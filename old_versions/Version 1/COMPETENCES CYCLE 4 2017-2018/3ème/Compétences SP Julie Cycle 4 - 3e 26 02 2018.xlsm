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arra\Dropbox\COMPETENCES CYCLE 4\3ème\"/>
    </mc:Choice>
  </mc:AlternateContent>
  <bookViews>
    <workbookView xWindow="0" yWindow="0" windowWidth="19200" windowHeight="7110" firstSheet="3" activeTab="8"/>
  </bookViews>
  <sheets>
    <sheet name="Classe (3ème1)" sheetId="6" r:id="rId1"/>
    <sheet name="Elève (3ème1)" sheetId="2" r:id="rId2"/>
    <sheet name="Classe (3ème2)" sheetId="12" r:id="rId3"/>
    <sheet name="Elève (3ème2)" sheetId="13" r:id="rId4"/>
    <sheet name="Classe (3ème3)" sheetId="14" r:id="rId5"/>
    <sheet name="Elève (3ème3)" sheetId="15" r:id="rId6"/>
    <sheet name="Classe (3ème4)" sheetId="16" r:id="rId7"/>
    <sheet name="Elève (3ème4)" sheetId="17" r:id="rId8"/>
    <sheet name="Classe (3ème5)" sheetId="18" r:id="rId9"/>
    <sheet name="Elève (3ème5)" sheetId="19" r:id="rId10"/>
    <sheet name="Liste 3ème" sheetId="7" r:id="rId11"/>
    <sheet name="ref" sheetId="3" r:id="rId12"/>
  </sheets>
  <functionGroups builtInGroupCount="18"/>
  <definedNames>
    <definedName name="_xlnm._FilterDatabase" localSheetId="1" hidden="1">'Elève (3ème1)'!$A$2:$WN$26</definedName>
    <definedName name="_xlnm._FilterDatabase" localSheetId="3" hidden="1">'Elève (3ème2)'!$A$2:$WR$26</definedName>
    <definedName name="_xlnm._FilterDatabase" localSheetId="5" hidden="1">'Elève (3ème3)'!$A$2:$WJ$26</definedName>
    <definedName name="_xlnm._FilterDatabase" localSheetId="7" hidden="1">'Elève (3ème4)'!$A$2:$WJ$26</definedName>
    <definedName name="_xlnm._FilterDatabase" localSheetId="9" hidden="1">'Elève (3ème5)'!$A$2:$WZ$26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M3" i="19" l="1"/>
  <c r="UR3" i="19"/>
  <c r="TW3" i="19"/>
  <c r="TB3" i="19"/>
  <c r="SG3" i="19"/>
  <c r="RL3" i="19"/>
  <c r="QQ3" i="19"/>
  <c r="PV3" i="19"/>
  <c r="PA3" i="19"/>
  <c r="OF3" i="19"/>
  <c r="NK3" i="19"/>
  <c r="MP3" i="19"/>
  <c r="LU3" i="19"/>
  <c r="KZ3" i="19"/>
  <c r="KE3" i="19"/>
  <c r="JJ3" i="19"/>
  <c r="IO3" i="19"/>
  <c r="HT3" i="19"/>
  <c r="GY3" i="19"/>
  <c r="GD3" i="19"/>
  <c r="FI3" i="19"/>
  <c r="EN3" i="19"/>
  <c r="DS3" i="19"/>
  <c r="CX3" i="19"/>
  <c r="CC3" i="19"/>
  <c r="BH3" i="19"/>
  <c r="AM3" i="19"/>
  <c r="SG3" i="17"/>
  <c r="RL3" i="17"/>
  <c r="QQ3" i="17"/>
  <c r="PV3" i="17"/>
  <c r="PA3" i="17"/>
  <c r="OF3" i="17"/>
  <c r="NK3" i="17"/>
  <c r="MP3" i="17"/>
  <c r="LU3" i="17"/>
  <c r="KZ3" i="17"/>
  <c r="KE3" i="17"/>
  <c r="JJ3" i="17"/>
  <c r="IO3" i="17"/>
  <c r="HT3" i="17"/>
  <c r="GY3" i="17"/>
  <c r="GD3" i="17"/>
  <c r="FI3" i="17"/>
  <c r="EN3" i="17"/>
  <c r="DS3" i="17"/>
  <c r="CX3" i="17"/>
  <c r="CC3" i="17"/>
  <c r="BH3" i="17"/>
  <c r="AM3" i="17"/>
  <c r="AM3" i="15"/>
  <c r="BH3" i="15" s="1"/>
  <c r="CC3" i="15" s="1"/>
  <c r="CX3" i="15" s="1"/>
  <c r="DS3" i="15" s="1"/>
  <c r="EN3" i="15" s="1"/>
  <c r="FI3" i="15" s="1"/>
  <c r="GD3" i="15" s="1"/>
  <c r="GY3" i="15" s="1"/>
  <c r="HT3" i="15" s="1"/>
  <c r="IO3" i="15" s="1"/>
  <c r="JJ3" i="15" s="1"/>
  <c r="KE3" i="15" s="1"/>
  <c r="KZ3" i="15" s="1"/>
  <c r="LU3" i="15" s="1"/>
  <c r="MP3" i="15" s="1"/>
  <c r="NK3" i="15" s="1"/>
  <c r="OF3" i="15" s="1"/>
  <c r="PA3" i="15" s="1"/>
  <c r="PV3" i="15" s="1"/>
  <c r="QQ3" i="15" s="1"/>
  <c r="RL3" i="15" s="1"/>
  <c r="SG3" i="15" s="1"/>
  <c r="AM3" i="13"/>
  <c r="BH3" i="13" s="1"/>
  <c r="CC3" i="13" s="1"/>
  <c r="CX3" i="13" s="1"/>
  <c r="DS3" i="13" s="1"/>
  <c r="EN3" i="13" s="1"/>
  <c r="FI3" i="13" s="1"/>
  <c r="GD3" i="13" s="1"/>
  <c r="GY3" i="13" s="1"/>
  <c r="HT3" i="13" s="1"/>
  <c r="IO3" i="13" s="1"/>
  <c r="JJ3" i="13" s="1"/>
  <c r="KE3" i="13" s="1"/>
  <c r="KZ3" i="13" s="1"/>
  <c r="LU3" i="13" s="1"/>
  <c r="MP3" i="13" s="1"/>
  <c r="NK3" i="13" s="1"/>
  <c r="OF3" i="13" s="1"/>
  <c r="PA3" i="13" s="1"/>
  <c r="PV3" i="13" s="1"/>
  <c r="QQ3" i="13" s="1"/>
  <c r="RL3" i="13" s="1"/>
  <c r="SG3" i="13" s="1"/>
  <c r="TB3" i="13" s="1"/>
  <c r="TW3" i="13" s="1"/>
  <c r="TB3" i="2"/>
  <c r="SG3" i="2"/>
  <c r="RL3" i="2"/>
  <c r="QQ3" i="2"/>
  <c r="PV3" i="2"/>
  <c r="PA3" i="2"/>
  <c r="OF3" i="2"/>
  <c r="NK3" i="2"/>
  <c r="MP3" i="2"/>
  <c r="LU3" i="2"/>
  <c r="KZ3" i="2"/>
  <c r="KE3" i="2"/>
  <c r="JJ3" i="2"/>
  <c r="IO3" i="2"/>
  <c r="HT3" i="2"/>
  <c r="GY3" i="2"/>
  <c r="GD3" i="2"/>
  <c r="FI3" i="2"/>
  <c r="EN3" i="2"/>
  <c r="DS3" i="2"/>
  <c r="CX3" i="2"/>
  <c r="CC3" i="2"/>
  <c r="BH3" i="2"/>
  <c r="AM3" i="2"/>
  <c r="AL3" i="19" l="1"/>
  <c r="BG3" i="19" s="1"/>
  <c r="CB3" i="19" s="1"/>
  <c r="CW3" i="19" s="1"/>
  <c r="DR3" i="19" s="1"/>
  <c r="EM3" i="19" s="1"/>
  <c r="FH3" i="19" s="1"/>
  <c r="GC3" i="19" s="1"/>
  <c r="GX3" i="19" s="1"/>
  <c r="HS3" i="19" s="1"/>
  <c r="IN3" i="19" s="1"/>
  <c r="JI3" i="19" s="1"/>
  <c r="KD3" i="19" s="1"/>
  <c r="KY3" i="19" s="1"/>
  <c r="LT3" i="19" s="1"/>
  <c r="MO3" i="19" s="1"/>
  <c r="NJ3" i="19" s="1"/>
  <c r="OE3" i="19" s="1"/>
  <c r="OZ3" i="19" s="1"/>
  <c r="PU3" i="19" s="1"/>
  <c r="QP3" i="19" s="1"/>
  <c r="RK3" i="19" s="1"/>
  <c r="SF3" i="19" s="1"/>
  <c r="TA3" i="19" s="1"/>
  <c r="TV3" i="19" s="1"/>
  <c r="UQ3" i="19" s="1"/>
  <c r="VL3" i="19" s="1"/>
  <c r="AL3" i="17"/>
  <c r="BG3" i="17" s="1"/>
  <c r="CB3" i="17" s="1"/>
  <c r="CW3" i="17" s="1"/>
  <c r="DR3" i="17" s="1"/>
  <c r="EM3" i="17" s="1"/>
  <c r="FH3" i="17" s="1"/>
  <c r="GC3" i="17" s="1"/>
  <c r="GX3" i="17" s="1"/>
  <c r="HS3" i="17" s="1"/>
  <c r="IN3" i="17" s="1"/>
  <c r="JI3" i="17" s="1"/>
  <c r="KD3" i="17" s="1"/>
  <c r="KY3" i="17" s="1"/>
  <c r="LT3" i="17" s="1"/>
  <c r="MO3" i="17" s="1"/>
  <c r="NJ3" i="17" s="1"/>
  <c r="OE3" i="17" s="1"/>
  <c r="OZ3" i="17" s="1"/>
  <c r="PU3" i="17" s="1"/>
  <c r="QP3" i="17" s="1"/>
  <c r="RK3" i="17" s="1"/>
  <c r="SF3" i="17" s="1"/>
  <c r="BG3" i="15"/>
  <c r="CB3" i="15" s="1"/>
  <c r="CW3" i="15" s="1"/>
  <c r="DR3" i="15" s="1"/>
  <c r="EM3" i="15" s="1"/>
  <c r="FH3" i="15" s="1"/>
  <c r="GC3" i="15" s="1"/>
  <c r="GX3" i="15" s="1"/>
  <c r="HS3" i="15" s="1"/>
  <c r="IN3" i="15" s="1"/>
  <c r="JI3" i="15" s="1"/>
  <c r="KD3" i="15" s="1"/>
  <c r="KY3" i="15" s="1"/>
  <c r="LT3" i="15" s="1"/>
  <c r="MO3" i="15" s="1"/>
  <c r="NJ3" i="15" s="1"/>
  <c r="OE3" i="15" s="1"/>
  <c r="OZ3" i="15" s="1"/>
  <c r="PU3" i="15" s="1"/>
  <c r="QP3" i="15" s="1"/>
  <c r="RK3" i="15" s="1"/>
  <c r="SF3" i="15" s="1"/>
  <c r="AL3" i="15"/>
  <c r="AL3" i="13"/>
  <c r="BG3" i="13" s="1"/>
  <c r="CB3" i="13" s="1"/>
  <c r="CW3" i="13" s="1"/>
  <c r="DR3" i="13" s="1"/>
  <c r="EM3" i="13" s="1"/>
  <c r="FH3" i="13" s="1"/>
  <c r="GC3" i="13" s="1"/>
  <c r="GX3" i="13" s="1"/>
  <c r="HS3" i="13" s="1"/>
  <c r="IN3" i="13" s="1"/>
  <c r="JI3" i="13" s="1"/>
  <c r="KD3" i="13" s="1"/>
  <c r="KY3" i="13" s="1"/>
  <c r="LT3" i="13" s="1"/>
  <c r="MO3" i="13" s="1"/>
  <c r="NJ3" i="13" s="1"/>
  <c r="OE3" i="13" s="1"/>
  <c r="OZ3" i="13" s="1"/>
  <c r="PU3" i="13" s="1"/>
  <c r="QP3" i="13" s="1"/>
  <c r="RK3" i="13" s="1"/>
  <c r="SF3" i="13" s="1"/>
  <c r="TA3" i="13" s="1"/>
  <c r="TV3" i="13" s="1"/>
  <c r="AL3" i="2"/>
  <c r="BG3" i="2" s="1"/>
  <c r="CB3" i="2" s="1"/>
  <c r="CW3" i="2" s="1"/>
  <c r="DR3" i="2" s="1"/>
  <c r="EM3" i="2" s="1"/>
  <c r="FH3" i="2" s="1"/>
  <c r="GC3" i="2" s="1"/>
  <c r="GX3" i="2" s="1"/>
  <c r="HS3" i="2" s="1"/>
  <c r="IN3" i="2" s="1"/>
  <c r="JI3" i="2" s="1"/>
  <c r="KD3" i="2" s="1"/>
  <c r="KY3" i="2" s="1"/>
  <c r="LT3" i="2" s="1"/>
  <c r="MO3" i="2" s="1"/>
  <c r="NJ3" i="2" s="1"/>
  <c r="OE3" i="2" s="1"/>
  <c r="OZ3" i="2" s="1"/>
  <c r="PU3" i="2" s="1"/>
  <c r="QP3" i="2" s="1"/>
  <c r="RK3" i="2" s="1"/>
  <c r="SF3" i="2" s="1"/>
  <c r="TA3" i="2" s="1"/>
  <c r="AK3" i="19" l="1"/>
  <c r="BF3" i="19" s="1"/>
  <c r="CA3" i="19" s="1"/>
  <c r="CV3" i="19" s="1"/>
  <c r="DQ3" i="19" s="1"/>
  <c r="EL3" i="19" s="1"/>
  <c r="FG3" i="19" s="1"/>
  <c r="GB3" i="19" s="1"/>
  <c r="GW3" i="19" s="1"/>
  <c r="HR3" i="19" s="1"/>
  <c r="IM3" i="19" s="1"/>
  <c r="JH3" i="19" s="1"/>
  <c r="KC3" i="19" s="1"/>
  <c r="KX3" i="19" s="1"/>
  <c r="LS3" i="19" s="1"/>
  <c r="MN3" i="19" s="1"/>
  <c r="NI3" i="19" s="1"/>
  <c r="OD3" i="19" s="1"/>
  <c r="OY3" i="19" s="1"/>
  <c r="PT3" i="19" s="1"/>
  <c r="QO3" i="19" s="1"/>
  <c r="RJ3" i="19" s="1"/>
  <c r="SE3" i="19" s="1"/>
  <c r="SZ3" i="19" s="1"/>
  <c r="TU3" i="19" s="1"/>
  <c r="UP3" i="19" s="1"/>
  <c r="VK3" i="19" s="1"/>
  <c r="AK3" i="17"/>
  <c r="BF3" i="17" s="1"/>
  <c r="CA3" i="17" s="1"/>
  <c r="CV3" i="17" s="1"/>
  <c r="DQ3" i="17" s="1"/>
  <c r="EL3" i="17" s="1"/>
  <c r="FG3" i="17" s="1"/>
  <c r="GB3" i="17" s="1"/>
  <c r="GW3" i="17" s="1"/>
  <c r="HR3" i="17" s="1"/>
  <c r="IM3" i="17" s="1"/>
  <c r="JH3" i="17" s="1"/>
  <c r="KC3" i="17" s="1"/>
  <c r="KX3" i="17" s="1"/>
  <c r="LS3" i="17" s="1"/>
  <c r="MN3" i="17" s="1"/>
  <c r="NI3" i="17" s="1"/>
  <c r="OD3" i="17" s="1"/>
  <c r="OY3" i="17" s="1"/>
  <c r="PT3" i="17" s="1"/>
  <c r="QO3" i="17" s="1"/>
  <c r="RJ3" i="17" s="1"/>
  <c r="SE3" i="17" s="1"/>
  <c r="AK3" i="15"/>
  <c r="BF3" i="15" s="1"/>
  <c r="CA3" i="15" s="1"/>
  <c r="CV3" i="15" s="1"/>
  <c r="DQ3" i="15" s="1"/>
  <c r="EL3" i="15" s="1"/>
  <c r="FG3" i="15" s="1"/>
  <c r="GB3" i="15" s="1"/>
  <c r="GW3" i="15" s="1"/>
  <c r="HR3" i="15" s="1"/>
  <c r="IM3" i="15" s="1"/>
  <c r="JH3" i="15" s="1"/>
  <c r="KC3" i="15" s="1"/>
  <c r="KX3" i="15" s="1"/>
  <c r="LS3" i="15" s="1"/>
  <c r="MN3" i="15" s="1"/>
  <c r="NI3" i="15" s="1"/>
  <c r="OD3" i="15" s="1"/>
  <c r="OY3" i="15" s="1"/>
  <c r="PT3" i="15" s="1"/>
  <c r="QO3" i="15" s="1"/>
  <c r="RJ3" i="15" s="1"/>
  <c r="SE3" i="15" s="1"/>
  <c r="AK3" i="13"/>
  <c r="BF3" i="13" s="1"/>
  <c r="CA3" i="13" s="1"/>
  <c r="CV3" i="13" s="1"/>
  <c r="DQ3" i="13" s="1"/>
  <c r="EL3" i="13" s="1"/>
  <c r="FG3" i="13" s="1"/>
  <c r="GB3" i="13" s="1"/>
  <c r="GW3" i="13" s="1"/>
  <c r="HR3" i="13" s="1"/>
  <c r="IM3" i="13" s="1"/>
  <c r="JH3" i="13" s="1"/>
  <c r="KC3" i="13" s="1"/>
  <c r="KX3" i="13" s="1"/>
  <c r="LS3" i="13" s="1"/>
  <c r="MN3" i="13" s="1"/>
  <c r="NI3" i="13" s="1"/>
  <c r="OD3" i="13" s="1"/>
  <c r="OY3" i="13" s="1"/>
  <c r="PT3" i="13" s="1"/>
  <c r="QO3" i="13" s="1"/>
  <c r="RJ3" i="13" s="1"/>
  <c r="SE3" i="13" s="1"/>
  <c r="SZ3" i="13" s="1"/>
  <c r="TU3" i="13" s="1"/>
  <c r="AK3" i="2"/>
  <c r="BF3" i="2" s="1"/>
  <c r="CA3" i="2" s="1"/>
  <c r="CV3" i="2" s="1"/>
  <c r="DQ3" i="2" s="1"/>
  <c r="EL3" i="2" s="1"/>
  <c r="FG3" i="2" s="1"/>
  <c r="GB3" i="2" s="1"/>
  <c r="GW3" i="2" s="1"/>
  <c r="HR3" i="2" s="1"/>
  <c r="IM3" i="2" s="1"/>
  <c r="JH3" i="2" s="1"/>
  <c r="KC3" i="2" s="1"/>
  <c r="KX3" i="2" s="1"/>
  <c r="LS3" i="2" s="1"/>
  <c r="MN3" i="2" s="1"/>
  <c r="NI3" i="2" s="1"/>
  <c r="OD3" i="2" s="1"/>
  <c r="OY3" i="2" s="1"/>
  <c r="PT3" i="2" s="1"/>
  <c r="QO3" i="2" s="1"/>
  <c r="RJ3" i="2" s="1"/>
  <c r="SE3" i="2" s="1"/>
  <c r="SZ3" i="2" s="1"/>
  <c r="VE3" i="19" l="1"/>
  <c r="UJ3" i="19"/>
  <c r="TO3" i="19"/>
  <c r="ST3" i="19"/>
  <c r="RY3" i="19"/>
  <c r="RD3" i="19"/>
  <c r="QI3" i="19"/>
  <c r="PN3" i="19"/>
  <c r="OS3" i="19"/>
  <c r="NX3" i="19"/>
  <c r="NC3" i="19"/>
  <c r="MH3" i="19"/>
  <c r="LM3" i="19"/>
  <c r="KR3" i="19"/>
  <c r="JW3" i="19"/>
  <c r="JB3" i="19"/>
  <c r="IG3" i="19"/>
  <c r="HL3" i="19"/>
  <c r="GQ3" i="19"/>
  <c r="FV3" i="19"/>
  <c r="FA3" i="19"/>
  <c r="EF3" i="19"/>
  <c r="DK3" i="19"/>
  <c r="CP3" i="19"/>
  <c r="BU3" i="19"/>
  <c r="AZ3" i="19"/>
  <c r="AE3" i="19"/>
  <c r="RY3" i="17"/>
  <c r="RD3" i="17"/>
  <c r="QI3" i="17"/>
  <c r="PN3" i="17"/>
  <c r="OS3" i="17"/>
  <c r="NX3" i="17"/>
  <c r="NC3" i="17"/>
  <c r="MH3" i="17"/>
  <c r="LM3" i="17"/>
  <c r="KR3" i="17"/>
  <c r="JW3" i="17"/>
  <c r="JB3" i="17"/>
  <c r="IG3" i="17"/>
  <c r="HL3" i="17"/>
  <c r="GQ3" i="17"/>
  <c r="FV3" i="17"/>
  <c r="FA3" i="17"/>
  <c r="EF3" i="17"/>
  <c r="DK3" i="17"/>
  <c r="CP3" i="17"/>
  <c r="BU3" i="17"/>
  <c r="AZ3" i="17"/>
  <c r="AE3" i="17"/>
  <c r="RY3" i="15"/>
  <c r="RD3" i="15"/>
  <c r="QI3" i="15"/>
  <c r="PN3" i="15"/>
  <c r="OS3" i="15"/>
  <c r="NX3" i="15"/>
  <c r="NC3" i="15"/>
  <c r="MH3" i="15"/>
  <c r="LM3" i="15"/>
  <c r="KR3" i="15"/>
  <c r="JW3" i="15"/>
  <c r="JB3" i="15"/>
  <c r="IG3" i="15"/>
  <c r="HL3" i="15"/>
  <c r="GQ3" i="15"/>
  <c r="FV3" i="15"/>
  <c r="FA3" i="15"/>
  <c r="EF3" i="15"/>
  <c r="DK3" i="15"/>
  <c r="CP3" i="15"/>
  <c r="BU3" i="15"/>
  <c r="AZ3" i="15"/>
  <c r="AE3" i="15"/>
  <c r="TO3" i="13"/>
  <c r="ST3" i="13"/>
  <c r="RY3" i="13"/>
  <c r="RD3" i="13"/>
  <c r="QI3" i="13"/>
  <c r="PN3" i="13"/>
  <c r="OS3" i="13"/>
  <c r="NX3" i="13"/>
  <c r="NC3" i="13"/>
  <c r="MH3" i="13"/>
  <c r="LM3" i="13"/>
  <c r="KR3" i="13"/>
  <c r="JW3" i="13"/>
  <c r="JB3" i="13"/>
  <c r="IG3" i="13"/>
  <c r="HL3" i="13"/>
  <c r="GQ3" i="13"/>
  <c r="FV3" i="13"/>
  <c r="FA3" i="13"/>
  <c r="EF3" i="13"/>
  <c r="DK3" i="13"/>
  <c r="CP3" i="13"/>
  <c r="BU3" i="13"/>
  <c r="AZ3" i="13"/>
  <c r="AE3" i="13"/>
  <c r="ST3" i="2"/>
  <c r="RY3" i="2"/>
  <c r="RD3" i="2"/>
  <c r="QI3" i="2"/>
  <c r="PN3" i="2"/>
  <c r="OS3" i="2"/>
  <c r="NX3" i="2"/>
  <c r="NC3" i="2"/>
  <c r="MH3" i="2"/>
  <c r="LM3" i="2"/>
  <c r="KR3" i="2"/>
  <c r="JW3" i="2"/>
  <c r="JB3" i="2"/>
  <c r="IG3" i="2"/>
  <c r="HL3" i="2"/>
  <c r="GQ3" i="2"/>
  <c r="FV3" i="2"/>
  <c r="FA3" i="2"/>
  <c r="EF3" i="2"/>
  <c r="DK3" i="2"/>
  <c r="CP3" i="2"/>
  <c r="BU3" i="2"/>
  <c r="AZ3" i="2"/>
  <c r="AE3" i="2"/>
  <c r="P3" i="3"/>
  <c r="E3" i="3"/>
  <c r="F3" i="3" s="1"/>
  <c r="G3" i="3" l="1"/>
  <c r="F4" i="3"/>
  <c r="F5" i="3" s="1"/>
  <c r="F6" i="3" s="1"/>
  <c r="F7" i="3" s="1"/>
  <c r="F8" i="3" s="1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F23" i="3" s="1"/>
  <c r="F24" i="3" s="1"/>
  <c r="F25" i="3" s="1"/>
  <c r="F26" i="3" s="1"/>
  <c r="F27" i="3" s="1"/>
  <c r="F28" i="3" s="1"/>
  <c r="F29" i="3" s="1"/>
  <c r="F30" i="3" s="1"/>
  <c r="F31" i="3" s="1"/>
  <c r="F32" i="3" s="1"/>
  <c r="F33" i="3" s="1"/>
  <c r="F34" i="3" s="1"/>
  <c r="E4" i="3"/>
  <c r="E5" i="3" s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WW21" i="19"/>
  <c r="WX21" i="19" s="1"/>
  <c r="WR21" i="19"/>
  <c r="WS21" i="19" s="1"/>
  <c r="WM21" i="19"/>
  <c r="WN21" i="19" s="1"/>
  <c r="WF21" i="19"/>
  <c r="WG21" i="19" s="1"/>
  <c r="WA21" i="19"/>
  <c r="WB21" i="19" s="1"/>
  <c r="VV21" i="19"/>
  <c r="VO21" i="19"/>
  <c r="VP21" i="19" s="1"/>
  <c r="VG21" i="19"/>
  <c r="VH21" i="19" s="1"/>
  <c r="VA21" i="19"/>
  <c r="VB21" i="19" s="1"/>
  <c r="UT21" i="19"/>
  <c r="UU21" i="19" s="1"/>
  <c r="UL21" i="19"/>
  <c r="UM21" i="19" s="1"/>
  <c r="UF21" i="19"/>
  <c r="UG21" i="19" s="1"/>
  <c r="TY21" i="19"/>
  <c r="TZ21" i="19" s="1"/>
  <c r="TQ21" i="19"/>
  <c r="TK21" i="19"/>
  <c r="TL21" i="19" s="1"/>
  <c r="TD21" i="19"/>
  <c r="TE21" i="19" s="1"/>
  <c r="SV21" i="19"/>
  <c r="SW21" i="19" s="1"/>
  <c r="SP21" i="19"/>
  <c r="SQ21" i="19" s="1"/>
  <c r="SI21" i="19"/>
  <c r="SJ21" i="19" s="1"/>
  <c r="SA21" i="19"/>
  <c r="SB21" i="19" s="1"/>
  <c r="RU21" i="19"/>
  <c r="RV21" i="19" s="1"/>
  <c r="RN21" i="19"/>
  <c r="RO21" i="19" s="1"/>
  <c r="RF21" i="19"/>
  <c r="RG21" i="19" s="1"/>
  <c r="QZ21" i="19"/>
  <c r="RA21" i="19" s="1"/>
  <c r="QS21" i="19"/>
  <c r="QT21" i="19" s="1"/>
  <c r="QK21" i="19"/>
  <c r="QE21" i="19"/>
  <c r="QF21" i="19" s="1"/>
  <c r="PX21" i="19"/>
  <c r="PY21" i="19" s="1"/>
  <c r="PP21" i="19"/>
  <c r="PQ21" i="19" s="1"/>
  <c r="PJ21" i="19"/>
  <c r="PC21" i="19"/>
  <c r="PD21" i="19" s="1"/>
  <c r="OU21" i="19"/>
  <c r="OV21" i="19" s="1"/>
  <c r="OO21" i="19"/>
  <c r="OH21" i="19"/>
  <c r="OI21" i="19" s="1"/>
  <c r="NZ21" i="19"/>
  <c r="OA21" i="19" s="1"/>
  <c r="NT21" i="19"/>
  <c r="NM21" i="19"/>
  <c r="NN21" i="19" s="1"/>
  <c r="NE21" i="19"/>
  <c r="MY21" i="19"/>
  <c r="MR21" i="19"/>
  <c r="MS21" i="19" s="1"/>
  <c r="MJ21" i="19"/>
  <c r="MK21" i="19" s="1"/>
  <c r="MD21" i="19"/>
  <c r="LW21" i="19"/>
  <c r="LX21" i="19" s="1"/>
  <c r="LO21" i="19"/>
  <c r="LP21" i="19" s="1"/>
  <c r="LI21" i="19"/>
  <c r="LB21" i="19"/>
  <c r="LC21" i="19" s="1"/>
  <c r="KT21" i="19"/>
  <c r="KU21" i="19" s="1"/>
  <c r="KN21" i="19"/>
  <c r="KG21" i="19"/>
  <c r="KH21" i="19" s="1"/>
  <c r="JY21" i="19"/>
  <c r="JS21" i="19"/>
  <c r="JL21" i="19"/>
  <c r="JM21" i="19" s="1"/>
  <c r="JD21" i="19"/>
  <c r="JE21" i="19" s="1"/>
  <c r="IX21" i="19"/>
  <c r="IQ21" i="19"/>
  <c r="IR21" i="19" s="1"/>
  <c r="II21" i="19"/>
  <c r="IJ21" i="19" s="1"/>
  <c r="IC21" i="19"/>
  <c r="HV21" i="19"/>
  <c r="HW21" i="19" s="1"/>
  <c r="HN21" i="19"/>
  <c r="HO21" i="19" s="1"/>
  <c r="HH21" i="19"/>
  <c r="HA21" i="19"/>
  <c r="HB21" i="19" s="1"/>
  <c r="GS21" i="19"/>
  <c r="GT21" i="19" s="1"/>
  <c r="GM21" i="19"/>
  <c r="GM20" i="19" s="1"/>
  <c r="GN20" i="19" s="1"/>
  <c r="GF21" i="19"/>
  <c r="GG21" i="19" s="1"/>
  <c r="FX21" i="19"/>
  <c r="FY21" i="19" s="1"/>
  <c r="FR21" i="19"/>
  <c r="FR20" i="19" s="1"/>
  <c r="FK21" i="19"/>
  <c r="FL21" i="19" s="1"/>
  <c r="FC21" i="19"/>
  <c r="FD21" i="19" s="1"/>
  <c r="EW21" i="19"/>
  <c r="EW20" i="19" s="1"/>
  <c r="EP21" i="19"/>
  <c r="EQ21" i="19" s="1"/>
  <c r="EH21" i="19"/>
  <c r="EB21" i="19"/>
  <c r="EC21" i="19" s="1"/>
  <c r="DU21" i="19"/>
  <c r="DM21" i="19"/>
  <c r="DN21" i="19" s="1"/>
  <c r="DG21" i="19"/>
  <c r="DH21" i="19" s="1"/>
  <c r="CZ21" i="19"/>
  <c r="DA21" i="19" s="1"/>
  <c r="CR21" i="19"/>
  <c r="CL21" i="19"/>
  <c r="CM21" i="19" s="1"/>
  <c r="CE21" i="19"/>
  <c r="BW21" i="19"/>
  <c r="BX21" i="19" s="1"/>
  <c r="BQ21" i="19"/>
  <c r="BR21" i="19" s="1"/>
  <c r="BJ21" i="19"/>
  <c r="BK21" i="19" s="1"/>
  <c r="BB21" i="19"/>
  <c r="AV21" i="19"/>
  <c r="AW21" i="19" s="1"/>
  <c r="AO21" i="19"/>
  <c r="AG21" i="19"/>
  <c r="AH21" i="19" s="1"/>
  <c r="AA21" i="19"/>
  <c r="AB21" i="19" s="1"/>
  <c r="T21" i="19"/>
  <c r="U21" i="19" s="1"/>
  <c r="L21" i="19"/>
  <c r="F21" i="19"/>
  <c r="G21" i="19" s="1"/>
  <c r="WR20" i="19"/>
  <c r="WW19" i="19"/>
  <c r="WX19" i="19" s="1"/>
  <c r="WR19" i="19"/>
  <c r="WS19" i="19" s="1"/>
  <c r="WM19" i="19"/>
  <c r="WF19" i="19"/>
  <c r="WA19" i="19"/>
  <c r="WB19" i="19" s="1"/>
  <c r="VV19" i="19"/>
  <c r="VO19" i="19"/>
  <c r="VP19" i="19" s="1"/>
  <c r="VG19" i="19"/>
  <c r="VH19" i="19" s="1"/>
  <c r="VA19" i="19"/>
  <c r="VB19" i="19" s="1"/>
  <c r="UT19" i="19"/>
  <c r="UU19" i="19" s="1"/>
  <c r="UL19" i="19"/>
  <c r="UM19" i="19" s="1"/>
  <c r="UF19" i="19"/>
  <c r="TY19" i="19"/>
  <c r="TZ19" i="19" s="1"/>
  <c r="TQ19" i="19"/>
  <c r="TR19" i="19" s="1"/>
  <c r="TK19" i="19"/>
  <c r="TD19" i="19"/>
  <c r="TE19" i="19" s="1"/>
  <c r="SV19" i="19"/>
  <c r="SW19" i="19" s="1"/>
  <c r="SP19" i="19"/>
  <c r="SQ19" i="19" s="1"/>
  <c r="SI19" i="19"/>
  <c r="SJ19" i="19" s="1"/>
  <c r="SA19" i="19"/>
  <c r="RU19" i="19"/>
  <c r="RN19" i="19"/>
  <c r="RO19" i="19" s="1"/>
  <c r="RF19" i="19"/>
  <c r="RG19" i="19" s="1"/>
  <c r="QZ19" i="19"/>
  <c r="QS19" i="19"/>
  <c r="QT19" i="19" s="1"/>
  <c r="QK19" i="19"/>
  <c r="QL19" i="19" s="1"/>
  <c r="QE19" i="19"/>
  <c r="PX19" i="19"/>
  <c r="PY19" i="19" s="1"/>
  <c r="PP19" i="19"/>
  <c r="PQ19" i="19" s="1"/>
  <c r="PJ19" i="19"/>
  <c r="PC19" i="19"/>
  <c r="PD19" i="19" s="1"/>
  <c r="OU19" i="19"/>
  <c r="OV19" i="19" s="1"/>
  <c r="OO19" i="19"/>
  <c r="OH19" i="19"/>
  <c r="OI19" i="19" s="1"/>
  <c r="NZ19" i="19"/>
  <c r="OA19" i="19" s="1"/>
  <c r="NT19" i="19"/>
  <c r="NM19" i="19"/>
  <c r="NN19" i="19" s="1"/>
  <c r="NE19" i="19"/>
  <c r="NF19" i="19" s="1"/>
  <c r="MY19" i="19"/>
  <c r="MR19" i="19"/>
  <c r="MS19" i="19" s="1"/>
  <c r="MJ19" i="19"/>
  <c r="MK19" i="19" s="1"/>
  <c r="MD19" i="19"/>
  <c r="ME19" i="19" s="1"/>
  <c r="LW19" i="19"/>
  <c r="LX19" i="19" s="1"/>
  <c r="LO19" i="19"/>
  <c r="LP19" i="19" s="1"/>
  <c r="LI19" i="19"/>
  <c r="LB19" i="19"/>
  <c r="LC19" i="19" s="1"/>
  <c r="KT19" i="19"/>
  <c r="KU19" i="19" s="1"/>
  <c r="KN19" i="19"/>
  <c r="KG19" i="19"/>
  <c r="KH19" i="19" s="1"/>
  <c r="JY19" i="19"/>
  <c r="JZ19" i="19" s="1"/>
  <c r="JS19" i="19"/>
  <c r="JL19" i="19"/>
  <c r="JM19" i="19" s="1"/>
  <c r="JD19" i="19"/>
  <c r="JE19" i="19" s="1"/>
  <c r="IX19" i="19"/>
  <c r="IQ19" i="19"/>
  <c r="IR19" i="19" s="1"/>
  <c r="II19" i="19"/>
  <c r="IJ19" i="19" s="1"/>
  <c r="IC19" i="19"/>
  <c r="HV19" i="19"/>
  <c r="HW19" i="19" s="1"/>
  <c r="HN19" i="19"/>
  <c r="HO19" i="19" s="1"/>
  <c r="HH19" i="19"/>
  <c r="HA19" i="19"/>
  <c r="HB19" i="19" s="1"/>
  <c r="GS19" i="19"/>
  <c r="GT19" i="19" s="1"/>
  <c r="GM19" i="19"/>
  <c r="GF19" i="19"/>
  <c r="GG19" i="19" s="1"/>
  <c r="FX19" i="19"/>
  <c r="FY19" i="19" s="1"/>
  <c r="FR19" i="19"/>
  <c r="FS19" i="19" s="1"/>
  <c r="FK19" i="19"/>
  <c r="FL19" i="19" s="1"/>
  <c r="FC19" i="19"/>
  <c r="FD19" i="19" s="1"/>
  <c r="EW19" i="19"/>
  <c r="EP19" i="19"/>
  <c r="EQ19" i="19" s="1"/>
  <c r="EH19" i="19"/>
  <c r="EI19" i="19" s="1"/>
  <c r="EB19" i="19"/>
  <c r="DU19" i="19"/>
  <c r="DV19" i="19" s="1"/>
  <c r="DM19" i="19"/>
  <c r="DN19" i="19" s="1"/>
  <c r="DG19" i="19"/>
  <c r="CZ19" i="19"/>
  <c r="DA19" i="19" s="1"/>
  <c r="CR19" i="19"/>
  <c r="CS19" i="19" s="1"/>
  <c r="CL19" i="19"/>
  <c r="CE19" i="19"/>
  <c r="CF19" i="19" s="1"/>
  <c r="BW19" i="19"/>
  <c r="BX19" i="19" s="1"/>
  <c r="BQ19" i="19"/>
  <c r="BJ19" i="19"/>
  <c r="BK19" i="19" s="1"/>
  <c r="BB19" i="19"/>
  <c r="BC19" i="19" s="1"/>
  <c r="AV19" i="19"/>
  <c r="AO19" i="19"/>
  <c r="AP19" i="19" s="1"/>
  <c r="AG19" i="19"/>
  <c r="AH19" i="19" s="1"/>
  <c r="AA19" i="19"/>
  <c r="T19" i="19"/>
  <c r="U19" i="19" s="1"/>
  <c r="L19" i="19"/>
  <c r="M19" i="19" s="1"/>
  <c r="F19" i="19"/>
  <c r="G19" i="19" s="1"/>
  <c r="WW18" i="19"/>
  <c r="WX18" i="19" s="1"/>
  <c r="WR18" i="19"/>
  <c r="WM18" i="19"/>
  <c r="WF18" i="19"/>
  <c r="WG18" i="19" s="1"/>
  <c r="WA18" i="19"/>
  <c r="WB18" i="19" s="1"/>
  <c r="VV18" i="19"/>
  <c r="VO18" i="19"/>
  <c r="VP18" i="19" s="1"/>
  <c r="VG18" i="19"/>
  <c r="VH18" i="19" s="1"/>
  <c r="VA18" i="19"/>
  <c r="UT18" i="19"/>
  <c r="UL18" i="19"/>
  <c r="UM18" i="19" s="1"/>
  <c r="UF18" i="19"/>
  <c r="TY18" i="19"/>
  <c r="TZ18" i="19" s="1"/>
  <c r="TQ18" i="19"/>
  <c r="TR18" i="19" s="1"/>
  <c r="TK18" i="19"/>
  <c r="TD18" i="19"/>
  <c r="TE18" i="19" s="1"/>
  <c r="SV18" i="19"/>
  <c r="SW18" i="19" s="1"/>
  <c r="SP18" i="19"/>
  <c r="SI18" i="19"/>
  <c r="SJ18" i="19" s="1"/>
  <c r="SA18" i="19"/>
  <c r="SB18" i="19" s="1"/>
  <c r="RU18" i="19"/>
  <c r="RN18" i="19"/>
  <c r="RO18" i="19" s="1"/>
  <c r="RF18" i="19"/>
  <c r="QZ18" i="19"/>
  <c r="QS18" i="19"/>
  <c r="QK18" i="19"/>
  <c r="QL18" i="19" s="1"/>
  <c r="QE18" i="19"/>
  <c r="PX18" i="19"/>
  <c r="PY18" i="19" s="1"/>
  <c r="PP18" i="19"/>
  <c r="PQ18" i="19" s="1"/>
  <c r="PJ18" i="19"/>
  <c r="PC18" i="19"/>
  <c r="PD18" i="19" s="1"/>
  <c r="OU18" i="19"/>
  <c r="OV18" i="19" s="1"/>
  <c r="OO18" i="19"/>
  <c r="OH18" i="19"/>
  <c r="OI18" i="19" s="1"/>
  <c r="NZ18" i="19"/>
  <c r="OA18" i="19" s="1"/>
  <c r="NT18" i="19"/>
  <c r="NM18" i="19"/>
  <c r="NE18" i="19"/>
  <c r="NF18" i="19" s="1"/>
  <c r="MY18" i="19"/>
  <c r="MR18" i="19"/>
  <c r="MS18" i="19" s="1"/>
  <c r="MJ18" i="19"/>
  <c r="MK18" i="19" s="1"/>
  <c r="MD18" i="19"/>
  <c r="LW18" i="19"/>
  <c r="LX18" i="19" s="1"/>
  <c r="LO18" i="19"/>
  <c r="LP18" i="19" s="1"/>
  <c r="LI18" i="19"/>
  <c r="LB18" i="19"/>
  <c r="LC18" i="19" s="1"/>
  <c r="KT18" i="19"/>
  <c r="KU18" i="19" s="1"/>
  <c r="KN18" i="19"/>
  <c r="KG18" i="19"/>
  <c r="JY18" i="19"/>
  <c r="JZ18" i="19" s="1"/>
  <c r="JS18" i="19"/>
  <c r="JL18" i="19"/>
  <c r="JM18" i="19" s="1"/>
  <c r="JD18" i="19"/>
  <c r="JE18" i="19" s="1"/>
  <c r="IX18" i="19"/>
  <c r="IQ18" i="19"/>
  <c r="IR18" i="19" s="1"/>
  <c r="II18" i="19"/>
  <c r="IJ18" i="19" s="1"/>
  <c r="IC18" i="19"/>
  <c r="HV18" i="19"/>
  <c r="HW18" i="19" s="1"/>
  <c r="HN18" i="19"/>
  <c r="HO18" i="19" s="1"/>
  <c r="HH18" i="19"/>
  <c r="HA18" i="19"/>
  <c r="GS18" i="19"/>
  <c r="GT18" i="19" s="1"/>
  <c r="GM18" i="19"/>
  <c r="GF18" i="19"/>
  <c r="GG18" i="19" s="1"/>
  <c r="FX18" i="19"/>
  <c r="FY18" i="19" s="1"/>
  <c r="FR18" i="19"/>
  <c r="FK18" i="19"/>
  <c r="FL18" i="19" s="1"/>
  <c r="FC18" i="19"/>
  <c r="FD18" i="19" s="1"/>
  <c r="EW18" i="19"/>
  <c r="EP18" i="19"/>
  <c r="EQ18" i="19" s="1"/>
  <c r="EH18" i="19"/>
  <c r="EB18" i="19"/>
  <c r="DU18" i="19"/>
  <c r="DV18" i="19" s="1"/>
  <c r="DM18" i="19"/>
  <c r="DN18" i="19" s="1"/>
  <c r="DG18" i="19"/>
  <c r="CZ18" i="19"/>
  <c r="DA18" i="19" s="1"/>
  <c r="CR18" i="19"/>
  <c r="CS18" i="19" s="1"/>
  <c r="CL18" i="19"/>
  <c r="CE18" i="19"/>
  <c r="CF18" i="19" s="1"/>
  <c r="BW18" i="19"/>
  <c r="BX18" i="19" s="1"/>
  <c r="BQ18" i="19"/>
  <c r="BJ18" i="19"/>
  <c r="BK18" i="19" s="1"/>
  <c r="BB18" i="19"/>
  <c r="BC18" i="19" s="1"/>
  <c r="AV18" i="19"/>
  <c r="AO18" i="19"/>
  <c r="AP18" i="19" s="1"/>
  <c r="AG18" i="19"/>
  <c r="AH18" i="19" s="1"/>
  <c r="AA18" i="19"/>
  <c r="T18" i="19"/>
  <c r="U18" i="19" s="1"/>
  <c r="L18" i="19"/>
  <c r="M18" i="19" s="1"/>
  <c r="F18" i="19"/>
  <c r="WW17" i="19"/>
  <c r="WX17" i="19" s="1"/>
  <c r="WR17" i="19"/>
  <c r="WS17" i="19" s="1"/>
  <c r="WM17" i="19"/>
  <c r="WF17" i="19"/>
  <c r="WG17" i="19" s="1"/>
  <c r="WA17" i="19"/>
  <c r="WB17" i="19" s="1"/>
  <c r="VV17" i="19"/>
  <c r="VO17" i="19"/>
  <c r="VG17" i="19"/>
  <c r="VH17" i="19" s="1"/>
  <c r="VA17" i="19"/>
  <c r="UT17" i="19"/>
  <c r="UU17" i="19" s="1"/>
  <c r="UL17" i="19"/>
  <c r="UF17" i="19"/>
  <c r="TY17" i="19"/>
  <c r="TQ17" i="19"/>
  <c r="TR17" i="19" s="1"/>
  <c r="TK17" i="19"/>
  <c r="TD17" i="19"/>
  <c r="TE17" i="19" s="1"/>
  <c r="SV17" i="19"/>
  <c r="SW17" i="19" s="1"/>
  <c r="SP17" i="19"/>
  <c r="SI17" i="19"/>
  <c r="SA17" i="19"/>
  <c r="SB17" i="19" s="1"/>
  <c r="RU17" i="19"/>
  <c r="RN17" i="19"/>
  <c r="RF17" i="19"/>
  <c r="RG17" i="19" s="1"/>
  <c r="QZ17" i="19"/>
  <c r="QS17" i="19"/>
  <c r="QT17" i="19" s="1"/>
  <c r="QK17" i="19"/>
  <c r="QL17" i="19" s="1"/>
  <c r="QE17" i="19"/>
  <c r="PX17" i="19"/>
  <c r="PP17" i="19"/>
  <c r="PQ17" i="19" s="1"/>
  <c r="PJ17" i="19"/>
  <c r="PC17" i="19"/>
  <c r="PD17" i="19" s="1"/>
  <c r="OU17" i="19"/>
  <c r="OV17" i="19" s="1"/>
  <c r="OO17" i="19"/>
  <c r="OH17" i="19"/>
  <c r="NZ17" i="19"/>
  <c r="OA17" i="19" s="1"/>
  <c r="NT17" i="19"/>
  <c r="NM17" i="19"/>
  <c r="NN17" i="19" s="1"/>
  <c r="NE17" i="19"/>
  <c r="NF17" i="19" s="1"/>
  <c r="MY17" i="19"/>
  <c r="MR17" i="19"/>
  <c r="MJ17" i="19"/>
  <c r="MK17" i="19" s="1"/>
  <c r="MD17" i="19"/>
  <c r="LW17" i="19"/>
  <c r="LO17" i="19"/>
  <c r="LP17" i="19" s="1"/>
  <c r="LI17" i="19"/>
  <c r="LB17" i="19"/>
  <c r="LC17" i="19" s="1"/>
  <c r="KT17" i="19"/>
  <c r="KU17" i="19" s="1"/>
  <c r="KN17" i="19"/>
  <c r="KG17" i="19"/>
  <c r="KH17" i="19" s="1"/>
  <c r="JY17" i="19"/>
  <c r="JZ17" i="19" s="1"/>
  <c r="JS17" i="19"/>
  <c r="JL17" i="19"/>
  <c r="JM17" i="19" s="1"/>
  <c r="JD17" i="19"/>
  <c r="JE17" i="19" s="1"/>
  <c r="IX17" i="19"/>
  <c r="IQ17" i="19"/>
  <c r="II17" i="19"/>
  <c r="IJ17" i="19" s="1"/>
  <c r="IC17" i="19"/>
  <c r="HV17" i="19"/>
  <c r="HN17" i="19"/>
  <c r="HO17" i="19" s="1"/>
  <c r="HH17" i="19"/>
  <c r="HA17" i="19"/>
  <c r="HB17" i="19" s="1"/>
  <c r="GS17" i="19"/>
  <c r="GT17" i="19" s="1"/>
  <c r="GM17" i="19"/>
  <c r="GF17" i="19"/>
  <c r="FX17" i="19"/>
  <c r="FY17" i="19" s="1"/>
  <c r="FR17" i="19"/>
  <c r="FK17" i="19"/>
  <c r="FC17" i="19"/>
  <c r="FD17" i="19" s="1"/>
  <c r="EW17" i="19"/>
  <c r="EP17" i="19"/>
  <c r="EH17" i="19"/>
  <c r="EI17" i="19" s="1"/>
  <c r="EB17" i="19"/>
  <c r="DU17" i="19"/>
  <c r="DV17" i="19" s="1"/>
  <c r="DM17" i="19"/>
  <c r="DN17" i="19" s="1"/>
  <c r="DG17" i="19"/>
  <c r="CZ17" i="19"/>
  <c r="CR17" i="19"/>
  <c r="CS17" i="19" s="1"/>
  <c r="CL17" i="19"/>
  <c r="CE17" i="19"/>
  <c r="BW17" i="19"/>
  <c r="BX17" i="19" s="1"/>
  <c r="BQ17" i="19"/>
  <c r="BJ17" i="19"/>
  <c r="BB17" i="19"/>
  <c r="BC17" i="19" s="1"/>
  <c r="AV17" i="19"/>
  <c r="AO17" i="19"/>
  <c r="AG17" i="19"/>
  <c r="AH17" i="19" s="1"/>
  <c r="AA17" i="19"/>
  <c r="T17" i="19"/>
  <c r="U17" i="19" s="1"/>
  <c r="L17" i="19"/>
  <c r="M17" i="19" s="1"/>
  <c r="F17" i="19"/>
  <c r="WW15" i="19"/>
  <c r="WX15" i="19" s="1"/>
  <c r="WR15" i="19"/>
  <c r="WS15" i="19" s="1"/>
  <c r="WM15" i="19"/>
  <c r="WF15" i="19"/>
  <c r="WG15" i="19" s="1"/>
  <c r="WA15" i="19"/>
  <c r="WB15" i="19" s="1"/>
  <c r="VV15" i="19"/>
  <c r="VO15" i="19"/>
  <c r="VP15" i="19" s="1"/>
  <c r="VG15" i="19"/>
  <c r="VH15" i="19" s="1"/>
  <c r="VA15" i="19"/>
  <c r="UT15" i="19"/>
  <c r="UU15" i="19" s="1"/>
  <c r="UL15" i="19"/>
  <c r="UM15" i="19" s="1"/>
  <c r="UF15" i="19"/>
  <c r="TY15" i="19"/>
  <c r="TZ15" i="19" s="1"/>
  <c r="TQ15" i="19"/>
  <c r="TR15" i="19" s="1"/>
  <c r="TK15" i="19"/>
  <c r="TD15" i="19"/>
  <c r="TE15" i="19" s="1"/>
  <c r="SV15" i="19"/>
  <c r="SW15" i="19" s="1"/>
  <c r="SP15" i="19"/>
  <c r="SI15" i="19"/>
  <c r="SJ15" i="19" s="1"/>
  <c r="SA15" i="19"/>
  <c r="SB15" i="19" s="1"/>
  <c r="RU15" i="19"/>
  <c r="RN15" i="19"/>
  <c r="RO15" i="19" s="1"/>
  <c r="RF15" i="19"/>
  <c r="RG15" i="19" s="1"/>
  <c r="QZ15" i="19"/>
  <c r="QS15" i="19"/>
  <c r="QT15" i="19" s="1"/>
  <c r="QK15" i="19"/>
  <c r="QL15" i="19" s="1"/>
  <c r="QE15" i="19"/>
  <c r="PX15" i="19"/>
  <c r="PY15" i="19" s="1"/>
  <c r="PP15" i="19"/>
  <c r="PQ15" i="19" s="1"/>
  <c r="PJ15" i="19"/>
  <c r="PC15" i="19"/>
  <c r="PD15" i="19" s="1"/>
  <c r="OU15" i="19"/>
  <c r="OV15" i="19" s="1"/>
  <c r="OO15" i="19"/>
  <c r="OH15" i="19"/>
  <c r="OI15" i="19" s="1"/>
  <c r="NZ15" i="19"/>
  <c r="OA15" i="19" s="1"/>
  <c r="NT15" i="19"/>
  <c r="NM15" i="19"/>
  <c r="NN15" i="19" s="1"/>
  <c r="NE15" i="19"/>
  <c r="NF15" i="19" s="1"/>
  <c r="MY15" i="19"/>
  <c r="MR15" i="19"/>
  <c r="MS15" i="19" s="1"/>
  <c r="MJ15" i="19"/>
  <c r="MK15" i="19" s="1"/>
  <c r="MD15" i="19"/>
  <c r="LW15" i="19"/>
  <c r="LX15" i="19" s="1"/>
  <c r="LO15" i="19"/>
  <c r="LP15" i="19" s="1"/>
  <c r="LI15" i="19"/>
  <c r="LB15" i="19"/>
  <c r="LC15" i="19" s="1"/>
  <c r="KT15" i="19"/>
  <c r="KU15" i="19" s="1"/>
  <c r="KN15" i="19"/>
  <c r="KG15" i="19"/>
  <c r="KH15" i="19" s="1"/>
  <c r="JY15" i="19"/>
  <c r="JZ15" i="19" s="1"/>
  <c r="JS15" i="19"/>
  <c r="JL15" i="19"/>
  <c r="JM15" i="19" s="1"/>
  <c r="JD15" i="19"/>
  <c r="JE15" i="19" s="1"/>
  <c r="IX15" i="19"/>
  <c r="IQ15" i="19"/>
  <c r="IR15" i="19" s="1"/>
  <c r="II15" i="19"/>
  <c r="IJ15" i="19" s="1"/>
  <c r="IC15" i="19"/>
  <c r="HV15" i="19"/>
  <c r="HW15" i="19" s="1"/>
  <c r="HN15" i="19"/>
  <c r="HO15" i="19" s="1"/>
  <c r="HH15" i="19"/>
  <c r="HA15" i="19"/>
  <c r="HB15" i="19" s="1"/>
  <c r="GS15" i="19"/>
  <c r="GT15" i="19" s="1"/>
  <c r="GM15" i="19"/>
  <c r="GF15" i="19"/>
  <c r="GG15" i="19" s="1"/>
  <c r="FX15" i="19"/>
  <c r="FY15" i="19" s="1"/>
  <c r="FR15" i="19"/>
  <c r="FK15" i="19"/>
  <c r="FL15" i="19" s="1"/>
  <c r="FC15" i="19"/>
  <c r="FD15" i="19" s="1"/>
  <c r="EW15" i="19"/>
  <c r="EP15" i="19"/>
  <c r="EQ15" i="19" s="1"/>
  <c r="EH15" i="19"/>
  <c r="EI15" i="19" s="1"/>
  <c r="EB15" i="19"/>
  <c r="DU15" i="19"/>
  <c r="DV15" i="19" s="1"/>
  <c r="DM15" i="19"/>
  <c r="DN15" i="19" s="1"/>
  <c r="DG15" i="19"/>
  <c r="CZ15" i="19"/>
  <c r="DA15" i="19" s="1"/>
  <c r="CR15" i="19"/>
  <c r="CS15" i="19" s="1"/>
  <c r="CL15" i="19"/>
  <c r="CE15" i="19"/>
  <c r="CF15" i="19" s="1"/>
  <c r="BW15" i="19"/>
  <c r="BX15" i="19" s="1"/>
  <c r="BQ15" i="19"/>
  <c r="BJ15" i="19"/>
  <c r="BK15" i="19" s="1"/>
  <c r="BB15" i="19"/>
  <c r="BC15" i="19" s="1"/>
  <c r="AV15" i="19"/>
  <c r="AO15" i="19"/>
  <c r="AP15" i="19" s="1"/>
  <c r="AG15" i="19"/>
  <c r="AH15" i="19" s="1"/>
  <c r="AA15" i="19"/>
  <c r="T15" i="19"/>
  <c r="U15" i="19" s="1"/>
  <c r="L15" i="19"/>
  <c r="M15" i="19" s="1"/>
  <c r="F15" i="19"/>
  <c r="WW14" i="19"/>
  <c r="WX14" i="19" s="1"/>
  <c r="WR14" i="19"/>
  <c r="WS14" i="19" s="1"/>
  <c r="WM14" i="19"/>
  <c r="WF14" i="19"/>
  <c r="WG14" i="19" s="1"/>
  <c r="WA14" i="19"/>
  <c r="WB14" i="19" s="1"/>
  <c r="VV14" i="19"/>
  <c r="VO14" i="19"/>
  <c r="VG14" i="19"/>
  <c r="VH14" i="19" s="1"/>
  <c r="VA14" i="19"/>
  <c r="UT14" i="19"/>
  <c r="UU14" i="19" s="1"/>
  <c r="UL14" i="19"/>
  <c r="UM14" i="19" s="1"/>
  <c r="UF14" i="19"/>
  <c r="TY14" i="19"/>
  <c r="TZ14" i="19" s="1"/>
  <c r="TQ14" i="19"/>
  <c r="TR14" i="19" s="1"/>
  <c r="TK14" i="19"/>
  <c r="TD14" i="19"/>
  <c r="TE14" i="19" s="1"/>
  <c r="SV14" i="19"/>
  <c r="SW14" i="19" s="1"/>
  <c r="SP14" i="19"/>
  <c r="SI14" i="19"/>
  <c r="SJ14" i="19" s="1"/>
  <c r="SA14" i="19"/>
  <c r="SB14" i="19" s="1"/>
  <c r="RU14" i="19"/>
  <c r="RN14" i="19"/>
  <c r="RO14" i="19" s="1"/>
  <c r="RF14" i="19"/>
  <c r="RG14" i="19" s="1"/>
  <c r="QZ14" i="19"/>
  <c r="QS14" i="19"/>
  <c r="QT14" i="19" s="1"/>
  <c r="QK14" i="19"/>
  <c r="QL14" i="19" s="1"/>
  <c r="QE14" i="19"/>
  <c r="PX14" i="19"/>
  <c r="PY14" i="19" s="1"/>
  <c r="PP14" i="19"/>
  <c r="PQ14" i="19" s="1"/>
  <c r="PJ14" i="19"/>
  <c r="PC14" i="19"/>
  <c r="PD14" i="19" s="1"/>
  <c r="OU14" i="19"/>
  <c r="OV14" i="19" s="1"/>
  <c r="OO14" i="19"/>
  <c r="OH14" i="19"/>
  <c r="OI14" i="19" s="1"/>
  <c r="NZ14" i="19"/>
  <c r="OA14" i="19" s="1"/>
  <c r="NT14" i="19"/>
  <c r="NM14" i="19"/>
  <c r="NN14" i="19" s="1"/>
  <c r="NE14" i="19"/>
  <c r="NF14" i="19" s="1"/>
  <c r="MY14" i="19"/>
  <c r="MR14" i="19"/>
  <c r="MS14" i="19" s="1"/>
  <c r="MJ14" i="19"/>
  <c r="MD14" i="19"/>
  <c r="LW14" i="19"/>
  <c r="LX14" i="19" s="1"/>
  <c r="LO14" i="19"/>
  <c r="LP14" i="19" s="1"/>
  <c r="LI14" i="19"/>
  <c r="LB14" i="19"/>
  <c r="LC14" i="19" s="1"/>
  <c r="KT14" i="19"/>
  <c r="KU14" i="19" s="1"/>
  <c r="KN14" i="19"/>
  <c r="KG14" i="19"/>
  <c r="KH14" i="19" s="1"/>
  <c r="JY14" i="19"/>
  <c r="JZ14" i="19" s="1"/>
  <c r="JS14" i="19"/>
  <c r="JL14" i="19"/>
  <c r="JM14" i="19" s="1"/>
  <c r="JD14" i="19"/>
  <c r="IX14" i="19"/>
  <c r="IQ14" i="19"/>
  <c r="IR14" i="19" s="1"/>
  <c r="II14" i="19"/>
  <c r="IC14" i="19"/>
  <c r="HV14" i="19"/>
  <c r="HW14" i="19" s="1"/>
  <c r="HN14" i="19"/>
  <c r="HO14" i="19" s="1"/>
  <c r="HH14" i="19"/>
  <c r="HA14" i="19"/>
  <c r="HB14" i="19" s="1"/>
  <c r="GS14" i="19"/>
  <c r="GT14" i="19" s="1"/>
  <c r="GM14" i="19"/>
  <c r="GF14" i="19"/>
  <c r="GG14" i="19" s="1"/>
  <c r="FX14" i="19"/>
  <c r="FY14" i="19" s="1"/>
  <c r="FR14" i="19"/>
  <c r="FK14" i="19"/>
  <c r="FL14" i="19" s="1"/>
  <c r="FC14" i="19"/>
  <c r="FD14" i="19" s="1"/>
  <c r="EW14" i="19"/>
  <c r="EP14" i="19"/>
  <c r="EQ14" i="19" s="1"/>
  <c r="EH14" i="19"/>
  <c r="EI14" i="19" s="1"/>
  <c r="EB14" i="19"/>
  <c r="DU14" i="19"/>
  <c r="DV14" i="19" s="1"/>
  <c r="DM14" i="19"/>
  <c r="DN14" i="19" s="1"/>
  <c r="DG14" i="19"/>
  <c r="CZ14" i="19"/>
  <c r="DA14" i="19" s="1"/>
  <c r="CR14" i="19"/>
  <c r="CS14" i="19" s="1"/>
  <c r="CL14" i="19"/>
  <c r="CE14" i="19"/>
  <c r="CF14" i="19" s="1"/>
  <c r="BW14" i="19"/>
  <c r="BX14" i="19" s="1"/>
  <c r="BQ14" i="19"/>
  <c r="BJ14" i="19"/>
  <c r="BK14" i="19" s="1"/>
  <c r="BB14" i="19"/>
  <c r="BC14" i="19" s="1"/>
  <c r="AV14" i="19"/>
  <c r="AO14" i="19"/>
  <c r="AP14" i="19" s="1"/>
  <c r="AG14" i="19"/>
  <c r="AH14" i="19" s="1"/>
  <c r="AA14" i="19"/>
  <c r="T14" i="19"/>
  <c r="U14" i="19" s="1"/>
  <c r="L14" i="19"/>
  <c r="F14" i="19"/>
  <c r="WW12" i="19"/>
  <c r="WX12" i="19" s="1"/>
  <c r="WR12" i="19"/>
  <c r="WM12" i="19"/>
  <c r="WN12" i="19" s="1"/>
  <c r="WF12" i="19"/>
  <c r="WG12" i="19" s="1"/>
  <c r="WA12" i="19"/>
  <c r="WB12" i="19" s="1"/>
  <c r="VV12" i="19"/>
  <c r="VO12" i="19"/>
  <c r="VP12" i="19" s="1"/>
  <c r="VG12" i="19"/>
  <c r="VH12" i="19" s="1"/>
  <c r="VA12" i="19"/>
  <c r="UT12" i="19"/>
  <c r="UU12" i="19" s="1"/>
  <c r="UL12" i="19"/>
  <c r="UM12" i="19" s="1"/>
  <c r="UF12" i="19"/>
  <c r="TY12" i="19"/>
  <c r="TZ12" i="19" s="1"/>
  <c r="TQ12" i="19"/>
  <c r="TK12" i="19"/>
  <c r="TL12" i="19" s="1"/>
  <c r="TD12" i="19"/>
  <c r="SV12" i="19"/>
  <c r="SW12" i="19" s="1"/>
  <c r="SP12" i="19"/>
  <c r="SI12" i="19"/>
  <c r="SJ12" i="19" s="1"/>
  <c r="SA12" i="19"/>
  <c r="SB12" i="19" s="1"/>
  <c r="RU12" i="19"/>
  <c r="RN12" i="19"/>
  <c r="RO12" i="19" s="1"/>
  <c r="RF12" i="19"/>
  <c r="RG12" i="19" s="1"/>
  <c r="QZ12" i="19"/>
  <c r="QS12" i="19"/>
  <c r="QT12" i="19" s="1"/>
  <c r="QK12" i="19"/>
  <c r="QE12" i="19"/>
  <c r="QF12" i="19" s="1"/>
  <c r="PX12" i="19"/>
  <c r="PP12" i="19"/>
  <c r="PQ12" i="19" s="1"/>
  <c r="PJ12" i="19"/>
  <c r="PC12" i="19"/>
  <c r="PD12" i="19" s="1"/>
  <c r="OU12" i="19"/>
  <c r="OV12" i="19" s="1"/>
  <c r="OO12" i="19"/>
  <c r="OH12" i="19"/>
  <c r="OI12" i="19" s="1"/>
  <c r="NZ12" i="19"/>
  <c r="OA12" i="19" s="1"/>
  <c r="NT12" i="19"/>
  <c r="NM12" i="19"/>
  <c r="NN12" i="19" s="1"/>
  <c r="NE12" i="19"/>
  <c r="MY12" i="19"/>
  <c r="MZ12" i="19" s="1"/>
  <c r="MR12" i="19"/>
  <c r="MJ12" i="19"/>
  <c r="MK12" i="19" s="1"/>
  <c r="MD12" i="19"/>
  <c r="LW12" i="19"/>
  <c r="LX12" i="19" s="1"/>
  <c r="LO12" i="19"/>
  <c r="LP12" i="19" s="1"/>
  <c r="LI12" i="19"/>
  <c r="LB12" i="19"/>
  <c r="LC12" i="19" s="1"/>
  <c r="KT12" i="19"/>
  <c r="KU12" i="19" s="1"/>
  <c r="KN12" i="19"/>
  <c r="KG12" i="19"/>
  <c r="KH12" i="19" s="1"/>
  <c r="JY12" i="19"/>
  <c r="JS12" i="19"/>
  <c r="JL12" i="19"/>
  <c r="JM12" i="19" s="1"/>
  <c r="JD12" i="19"/>
  <c r="JE12" i="19" s="1"/>
  <c r="IX12" i="19"/>
  <c r="IQ12" i="19"/>
  <c r="IR12" i="19" s="1"/>
  <c r="II12" i="19"/>
  <c r="IJ12" i="19" s="1"/>
  <c r="IC12" i="19"/>
  <c r="HV12" i="19"/>
  <c r="HW12" i="19" s="1"/>
  <c r="HN12" i="19"/>
  <c r="HO12" i="19" s="1"/>
  <c r="HH12" i="19"/>
  <c r="HA12" i="19"/>
  <c r="HB12" i="19" s="1"/>
  <c r="GS12" i="19"/>
  <c r="GT12" i="19" s="1"/>
  <c r="GM12" i="19"/>
  <c r="GN12" i="19" s="1"/>
  <c r="GF12" i="19"/>
  <c r="GG12" i="19" s="1"/>
  <c r="FX12" i="19"/>
  <c r="FY12" i="19" s="1"/>
  <c r="FR12" i="19"/>
  <c r="FS12" i="19" s="1"/>
  <c r="FK12" i="19"/>
  <c r="FL12" i="19" s="1"/>
  <c r="FC12" i="19"/>
  <c r="FD12" i="19" s="1"/>
  <c r="EW12" i="19"/>
  <c r="EX12" i="19" s="1"/>
  <c r="EP12" i="19"/>
  <c r="EQ12" i="19" s="1"/>
  <c r="EH12" i="19"/>
  <c r="EI12" i="19" s="1"/>
  <c r="EB12" i="19"/>
  <c r="EC12" i="19" s="1"/>
  <c r="DU12" i="19"/>
  <c r="DV12" i="19" s="1"/>
  <c r="DM12" i="19"/>
  <c r="DN12" i="19" s="1"/>
  <c r="DG12" i="19"/>
  <c r="DH12" i="19" s="1"/>
  <c r="CZ12" i="19"/>
  <c r="DA12" i="19" s="1"/>
  <c r="CR12" i="19"/>
  <c r="CS12" i="19" s="1"/>
  <c r="CL12" i="19"/>
  <c r="CM12" i="19" s="1"/>
  <c r="CE12" i="19"/>
  <c r="BW12" i="19"/>
  <c r="BX12" i="19" s="1"/>
  <c r="BQ12" i="19"/>
  <c r="BR12" i="19" s="1"/>
  <c r="BJ12" i="19"/>
  <c r="BK12" i="19" s="1"/>
  <c r="BB12" i="19"/>
  <c r="BC12" i="19" s="1"/>
  <c r="AV12" i="19"/>
  <c r="AO12" i="19"/>
  <c r="AP12" i="19" s="1"/>
  <c r="AG12" i="19"/>
  <c r="AH12" i="19" s="1"/>
  <c r="AA12" i="19"/>
  <c r="AB12" i="19" s="1"/>
  <c r="T12" i="19"/>
  <c r="U12" i="19" s="1"/>
  <c r="L12" i="19"/>
  <c r="F12" i="19"/>
  <c r="G12" i="19" s="1"/>
  <c r="WW11" i="19"/>
  <c r="WX11" i="19" s="1"/>
  <c r="WR11" i="19"/>
  <c r="WS11" i="19" s="1"/>
  <c r="WM11" i="19"/>
  <c r="WF11" i="19"/>
  <c r="WG11" i="19" s="1"/>
  <c r="WA11" i="19"/>
  <c r="WB11" i="19" s="1"/>
  <c r="VV11" i="19"/>
  <c r="VO11" i="19"/>
  <c r="VP11" i="19" s="1"/>
  <c r="VG11" i="19"/>
  <c r="VH11" i="19" s="1"/>
  <c r="VA11" i="19"/>
  <c r="VB11" i="19" s="1"/>
  <c r="UT11" i="19"/>
  <c r="UU11" i="19" s="1"/>
  <c r="UL11" i="19"/>
  <c r="UM11" i="19" s="1"/>
  <c r="UF11" i="19"/>
  <c r="UG11" i="19" s="1"/>
  <c r="TY11" i="19"/>
  <c r="TQ11" i="19"/>
  <c r="TR11" i="19" s="1"/>
  <c r="TK11" i="19"/>
  <c r="TL11" i="19" s="1"/>
  <c r="TD11" i="19"/>
  <c r="TE11" i="19" s="1"/>
  <c r="SV11" i="19"/>
  <c r="SW11" i="19" s="1"/>
  <c r="SP11" i="19"/>
  <c r="SI11" i="19"/>
  <c r="SJ11" i="19" s="1"/>
  <c r="SA11" i="19"/>
  <c r="SB11" i="19" s="1"/>
  <c r="RU11" i="19"/>
  <c r="RV11" i="19" s="1"/>
  <c r="RN11" i="19"/>
  <c r="RO11" i="19" s="1"/>
  <c r="RF11" i="19"/>
  <c r="QZ11" i="19"/>
  <c r="RA11" i="19" s="1"/>
  <c r="QS11" i="19"/>
  <c r="QT11" i="19" s="1"/>
  <c r="QK11" i="19"/>
  <c r="QL11" i="19" s="1"/>
  <c r="QE11" i="19"/>
  <c r="QF11" i="19" s="1"/>
  <c r="PX11" i="19"/>
  <c r="PY11" i="19" s="1"/>
  <c r="PP11" i="19"/>
  <c r="PQ11" i="19" s="1"/>
  <c r="PJ11" i="19"/>
  <c r="PK11" i="19" s="1"/>
  <c r="PC11" i="19"/>
  <c r="PD11" i="19" s="1"/>
  <c r="OU11" i="19"/>
  <c r="OV11" i="19" s="1"/>
  <c r="OO11" i="19"/>
  <c r="OP11" i="19" s="1"/>
  <c r="OH11" i="19"/>
  <c r="OI11" i="19" s="1"/>
  <c r="NZ11" i="19"/>
  <c r="OA11" i="19" s="1"/>
  <c r="NT11" i="19"/>
  <c r="NU11" i="19" s="1"/>
  <c r="NM11" i="19"/>
  <c r="NE11" i="19"/>
  <c r="NF11" i="19" s="1"/>
  <c r="MY11" i="19"/>
  <c r="MZ11" i="19" s="1"/>
  <c r="MR11" i="19"/>
  <c r="MS11" i="19" s="1"/>
  <c r="MJ11" i="19"/>
  <c r="MK11" i="19" s="1"/>
  <c r="MD11" i="19"/>
  <c r="LW11" i="19"/>
  <c r="LX11" i="19" s="1"/>
  <c r="LO11" i="19"/>
  <c r="LP11" i="19" s="1"/>
  <c r="LI11" i="19"/>
  <c r="LJ11" i="19" s="1"/>
  <c r="LB11" i="19"/>
  <c r="LC11" i="19" s="1"/>
  <c r="KT11" i="19"/>
  <c r="KN11" i="19"/>
  <c r="KO11" i="19" s="1"/>
  <c r="KG11" i="19"/>
  <c r="KH11" i="19" s="1"/>
  <c r="JY11" i="19"/>
  <c r="JZ11" i="19" s="1"/>
  <c r="JS11" i="19"/>
  <c r="JT11" i="19" s="1"/>
  <c r="JL11" i="19"/>
  <c r="JM11" i="19" s="1"/>
  <c r="JD11" i="19"/>
  <c r="JE11" i="19" s="1"/>
  <c r="IX11" i="19"/>
  <c r="IY11" i="19" s="1"/>
  <c r="IQ11" i="19"/>
  <c r="IR11" i="19" s="1"/>
  <c r="II11" i="19"/>
  <c r="IJ11" i="19" s="1"/>
  <c r="IC11" i="19"/>
  <c r="ID11" i="19" s="1"/>
  <c r="HV11" i="19"/>
  <c r="HW11" i="19" s="1"/>
  <c r="HN11" i="19"/>
  <c r="HO11" i="19" s="1"/>
  <c r="HH11" i="19"/>
  <c r="HI11" i="19" s="1"/>
  <c r="HA11" i="19"/>
  <c r="GS11" i="19"/>
  <c r="GT11" i="19" s="1"/>
  <c r="GM11" i="19"/>
  <c r="GN11" i="19" s="1"/>
  <c r="GF11" i="19"/>
  <c r="GG11" i="19" s="1"/>
  <c r="FX11" i="19"/>
  <c r="FY11" i="19" s="1"/>
  <c r="FR11" i="19"/>
  <c r="FK11" i="19"/>
  <c r="FL11" i="19" s="1"/>
  <c r="FC11" i="19"/>
  <c r="FD11" i="19" s="1"/>
  <c r="EW11" i="19"/>
  <c r="EX11" i="19" s="1"/>
  <c r="EP11" i="19"/>
  <c r="EQ11" i="19" s="1"/>
  <c r="EH11" i="19"/>
  <c r="EB11" i="19"/>
  <c r="EC11" i="19" s="1"/>
  <c r="DU11" i="19"/>
  <c r="DV11" i="19" s="1"/>
  <c r="DM11" i="19"/>
  <c r="DG11" i="19"/>
  <c r="DH11" i="19" s="1"/>
  <c r="CZ11" i="19"/>
  <c r="DA11" i="19" s="1"/>
  <c r="CR11" i="19"/>
  <c r="CS11" i="19" s="1"/>
  <c r="CL11" i="19"/>
  <c r="CM11" i="19" s="1"/>
  <c r="CE11" i="19"/>
  <c r="CF11" i="19" s="1"/>
  <c r="BW11" i="19"/>
  <c r="BX11" i="19" s="1"/>
  <c r="BQ11" i="19"/>
  <c r="BR11" i="19" s="1"/>
  <c r="BJ11" i="19"/>
  <c r="BK11" i="19" s="1"/>
  <c r="BB11" i="19"/>
  <c r="BC11" i="19" s="1"/>
  <c r="AV11" i="19"/>
  <c r="AW11" i="19" s="1"/>
  <c r="AO11" i="19"/>
  <c r="AG11" i="19"/>
  <c r="AH11" i="19" s="1"/>
  <c r="AA11" i="19"/>
  <c r="AB11" i="19" s="1"/>
  <c r="T11" i="19"/>
  <c r="U11" i="19" s="1"/>
  <c r="L11" i="19"/>
  <c r="M11" i="19" s="1"/>
  <c r="F11" i="19"/>
  <c r="WW9" i="19"/>
  <c r="WX9" i="19" s="1"/>
  <c r="WR9" i="19"/>
  <c r="WS9" i="19" s="1"/>
  <c r="WM9" i="19"/>
  <c r="WN9" i="19" s="1"/>
  <c r="WF9" i="19"/>
  <c r="WG9" i="19" s="1"/>
  <c r="WA9" i="19"/>
  <c r="WB9" i="19" s="1"/>
  <c r="VV9" i="19"/>
  <c r="VW9" i="19" s="1"/>
  <c r="VO9" i="19"/>
  <c r="VP9" i="19" s="1"/>
  <c r="VG9" i="19"/>
  <c r="VH9" i="19" s="1"/>
  <c r="VA9" i="19"/>
  <c r="VB9" i="19" s="1"/>
  <c r="UT9" i="19"/>
  <c r="UU9" i="19" s="1"/>
  <c r="UL9" i="19"/>
  <c r="UF9" i="19"/>
  <c r="UG9" i="19" s="1"/>
  <c r="TY9" i="19"/>
  <c r="TZ9" i="19" s="1"/>
  <c r="TQ9" i="19"/>
  <c r="TR9" i="19" s="1"/>
  <c r="TK9" i="19"/>
  <c r="TL9" i="19" s="1"/>
  <c r="TD9" i="19"/>
  <c r="TE9" i="19" s="1"/>
  <c r="SV9" i="19"/>
  <c r="SW9" i="19" s="1"/>
  <c r="SP9" i="19"/>
  <c r="SQ9" i="19" s="1"/>
  <c r="SI9" i="19"/>
  <c r="SJ9" i="19" s="1"/>
  <c r="SA9" i="19"/>
  <c r="SB9" i="19" s="1"/>
  <c r="RU9" i="19"/>
  <c r="RV9" i="19" s="1"/>
  <c r="RN9" i="19"/>
  <c r="RO9" i="19" s="1"/>
  <c r="RF9" i="19"/>
  <c r="RG9" i="19" s="1"/>
  <c r="QZ9" i="19"/>
  <c r="RA9" i="19" s="1"/>
  <c r="QS9" i="19"/>
  <c r="QT9" i="19" s="1"/>
  <c r="QK9" i="19"/>
  <c r="QL9" i="19" s="1"/>
  <c r="QE9" i="19"/>
  <c r="QF9" i="19" s="1"/>
  <c r="PX9" i="19"/>
  <c r="PY9" i="19" s="1"/>
  <c r="PP9" i="19"/>
  <c r="PQ9" i="19" s="1"/>
  <c r="PJ9" i="19"/>
  <c r="PK9" i="19" s="1"/>
  <c r="PC9" i="19"/>
  <c r="PD9" i="19" s="1"/>
  <c r="OU9" i="19"/>
  <c r="OV9" i="19" s="1"/>
  <c r="OO9" i="19"/>
  <c r="OP9" i="19" s="1"/>
  <c r="OH9" i="19"/>
  <c r="OI9" i="19" s="1"/>
  <c r="NZ9" i="19"/>
  <c r="OA9" i="19" s="1"/>
  <c r="NT9" i="19"/>
  <c r="NU9" i="19" s="1"/>
  <c r="NM9" i="19"/>
  <c r="NN9" i="19" s="1"/>
  <c r="NE9" i="19"/>
  <c r="NF9" i="19" s="1"/>
  <c r="MY9" i="19"/>
  <c r="MZ9" i="19" s="1"/>
  <c r="MR9" i="19"/>
  <c r="MS9" i="19" s="1"/>
  <c r="MJ9" i="19"/>
  <c r="MK9" i="19" s="1"/>
  <c r="MD9" i="19"/>
  <c r="ME9" i="19" s="1"/>
  <c r="LW9" i="19"/>
  <c r="LX9" i="19" s="1"/>
  <c r="LO9" i="19"/>
  <c r="LP9" i="19" s="1"/>
  <c r="LI9" i="19"/>
  <c r="LJ9" i="19" s="1"/>
  <c r="LB9" i="19"/>
  <c r="LC9" i="19" s="1"/>
  <c r="KT9" i="19"/>
  <c r="KU9" i="19" s="1"/>
  <c r="KN9" i="19"/>
  <c r="KO9" i="19" s="1"/>
  <c r="KG9" i="19"/>
  <c r="KH9" i="19" s="1"/>
  <c r="JY9" i="19"/>
  <c r="JZ9" i="19" s="1"/>
  <c r="JS9" i="19"/>
  <c r="JT9" i="19" s="1"/>
  <c r="JL9" i="19"/>
  <c r="JM9" i="19" s="1"/>
  <c r="JD9" i="19"/>
  <c r="JE9" i="19" s="1"/>
  <c r="IX9" i="19"/>
  <c r="IY9" i="19" s="1"/>
  <c r="IQ9" i="19"/>
  <c r="IR9" i="19" s="1"/>
  <c r="II9" i="19"/>
  <c r="IJ9" i="19" s="1"/>
  <c r="IC9" i="19"/>
  <c r="ID9" i="19" s="1"/>
  <c r="HV9" i="19"/>
  <c r="HW9" i="19" s="1"/>
  <c r="HN9" i="19"/>
  <c r="HO9" i="19" s="1"/>
  <c r="HH9" i="19"/>
  <c r="HI9" i="19" s="1"/>
  <c r="HA9" i="19"/>
  <c r="HB9" i="19" s="1"/>
  <c r="GS9" i="19"/>
  <c r="GT9" i="19" s="1"/>
  <c r="GM9" i="19"/>
  <c r="GN9" i="19" s="1"/>
  <c r="GF9" i="19"/>
  <c r="GG9" i="19" s="1"/>
  <c r="FX9" i="19"/>
  <c r="FY9" i="19" s="1"/>
  <c r="FR9" i="19"/>
  <c r="FS9" i="19" s="1"/>
  <c r="FK9" i="19"/>
  <c r="FL9" i="19" s="1"/>
  <c r="FC9" i="19"/>
  <c r="FD9" i="19" s="1"/>
  <c r="EW9" i="19"/>
  <c r="EX9" i="19" s="1"/>
  <c r="EP9" i="19"/>
  <c r="EQ9" i="19" s="1"/>
  <c r="EH9" i="19"/>
  <c r="EI9" i="19" s="1"/>
  <c r="EB9" i="19"/>
  <c r="EC9" i="19" s="1"/>
  <c r="DU9" i="19"/>
  <c r="DV9" i="19" s="1"/>
  <c r="DM9" i="19"/>
  <c r="DN9" i="19" s="1"/>
  <c r="DG9" i="19"/>
  <c r="DH9" i="19" s="1"/>
  <c r="CZ9" i="19"/>
  <c r="DA9" i="19" s="1"/>
  <c r="CR9" i="19"/>
  <c r="CS9" i="19" s="1"/>
  <c r="CL9" i="19"/>
  <c r="CM9" i="19" s="1"/>
  <c r="CE9" i="19"/>
  <c r="CF9" i="19" s="1"/>
  <c r="BW9" i="19"/>
  <c r="BX9" i="19" s="1"/>
  <c r="BQ9" i="19"/>
  <c r="BR9" i="19" s="1"/>
  <c r="BJ9" i="19"/>
  <c r="BK9" i="19" s="1"/>
  <c r="BB9" i="19"/>
  <c r="BC9" i="19" s="1"/>
  <c r="AV9" i="19"/>
  <c r="AW9" i="19" s="1"/>
  <c r="AO9" i="19"/>
  <c r="AP9" i="19" s="1"/>
  <c r="AG9" i="19"/>
  <c r="AH9" i="19" s="1"/>
  <c r="AA9" i="19"/>
  <c r="AB9" i="19" s="1"/>
  <c r="T9" i="19"/>
  <c r="U9" i="19" s="1"/>
  <c r="L9" i="19"/>
  <c r="M9" i="19" s="1"/>
  <c r="F9" i="19"/>
  <c r="G9" i="19" s="1"/>
  <c r="WW8" i="19"/>
  <c r="WX8" i="19" s="1"/>
  <c r="WR8" i="19"/>
  <c r="WS8" i="19" s="1"/>
  <c r="WM8" i="19"/>
  <c r="WN8" i="19" s="1"/>
  <c r="WF8" i="19"/>
  <c r="WG8" i="19" s="1"/>
  <c r="WA8" i="19"/>
  <c r="WB8" i="19" s="1"/>
  <c r="VV8" i="19"/>
  <c r="VW8" i="19" s="1"/>
  <c r="VO8" i="19"/>
  <c r="VP8" i="19" s="1"/>
  <c r="VG8" i="19"/>
  <c r="VH8" i="19" s="1"/>
  <c r="VA8" i="19"/>
  <c r="UT8" i="19"/>
  <c r="UU8" i="19" s="1"/>
  <c r="UL8" i="19"/>
  <c r="UM8" i="19" s="1"/>
  <c r="UF8" i="19"/>
  <c r="UG8" i="19" s="1"/>
  <c r="TY8" i="19"/>
  <c r="TZ8" i="19" s="1"/>
  <c r="TQ8" i="19"/>
  <c r="TR8" i="19" s="1"/>
  <c r="TK8" i="19"/>
  <c r="TL8" i="19" s="1"/>
  <c r="TD8" i="19"/>
  <c r="TE8" i="19" s="1"/>
  <c r="SV8" i="19"/>
  <c r="SW8" i="19" s="1"/>
  <c r="SP8" i="19"/>
  <c r="SQ8" i="19" s="1"/>
  <c r="SI8" i="19"/>
  <c r="SJ8" i="19" s="1"/>
  <c r="SA8" i="19"/>
  <c r="SB8" i="19" s="1"/>
  <c r="RU8" i="19"/>
  <c r="RV8" i="19" s="1"/>
  <c r="RN8" i="19"/>
  <c r="RO8" i="19" s="1"/>
  <c r="RF8" i="19"/>
  <c r="RG8" i="19" s="1"/>
  <c r="QZ8" i="19"/>
  <c r="RA8" i="19" s="1"/>
  <c r="QS8" i="19"/>
  <c r="QT8" i="19" s="1"/>
  <c r="QK8" i="19"/>
  <c r="QL8" i="19" s="1"/>
  <c r="QE8" i="19"/>
  <c r="QF8" i="19" s="1"/>
  <c r="PX8" i="19"/>
  <c r="PY8" i="19" s="1"/>
  <c r="PP8" i="19"/>
  <c r="PQ8" i="19" s="1"/>
  <c r="PJ8" i="19"/>
  <c r="PK8" i="19" s="1"/>
  <c r="PC8" i="19"/>
  <c r="PD8" i="19" s="1"/>
  <c r="OU8" i="19"/>
  <c r="OV8" i="19" s="1"/>
  <c r="OO8" i="19"/>
  <c r="OP8" i="19" s="1"/>
  <c r="OH8" i="19"/>
  <c r="OI8" i="19" s="1"/>
  <c r="NZ8" i="19"/>
  <c r="OA8" i="19" s="1"/>
  <c r="NT8" i="19"/>
  <c r="NU8" i="19" s="1"/>
  <c r="NM8" i="19"/>
  <c r="NN8" i="19" s="1"/>
  <c r="NE8" i="19"/>
  <c r="NF8" i="19" s="1"/>
  <c r="MY8" i="19"/>
  <c r="MZ8" i="19" s="1"/>
  <c r="MR8" i="19"/>
  <c r="MS8" i="19" s="1"/>
  <c r="MJ8" i="19"/>
  <c r="MK8" i="19" s="1"/>
  <c r="MD8" i="19"/>
  <c r="ME8" i="19" s="1"/>
  <c r="LW8" i="19"/>
  <c r="LX8" i="19" s="1"/>
  <c r="LO8" i="19"/>
  <c r="LP8" i="19" s="1"/>
  <c r="LI8" i="19"/>
  <c r="LJ8" i="19" s="1"/>
  <c r="LB8" i="19"/>
  <c r="LC8" i="19" s="1"/>
  <c r="KT8" i="19"/>
  <c r="KU8" i="19" s="1"/>
  <c r="KN8" i="19"/>
  <c r="KO8" i="19" s="1"/>
  <c r="KG8" i="19"/>
  <c r="KH8" i="19" s="1"/>
  <c r="JY8" i="19"/>
  <c r="JZ8" i="19" s="1"/>
  <c r="JS8" i="19"/>
  <c r="JT8" i="19" s="1"/>
  <c r="JL8" i="19"/>
  <c r="JM8" i="19" s="1"/>
  <c r="JD8" i="19"/>
  <c r="JE8" i="19" s="1"/>
  <c r="IX8" i="19"/>
  <c r="IY8" i="19" s="1"/>
  <c r="IQ8" i="19"/>
  <c r="IR8" i="19" s="1"/>
  <c r="II8" i="19"/>
  <c r="IJ8" i="19" s="1"/>
  <c r="IC8" i="19"/>
  <c r="ID8" i="19" s="1"/>
  <c r="HV8" i="19"/>
  <c r="HW8" i="19" s="1"/>
  <c r="HN8" i="19"/>
  <c r="HO8" i="19" s="1"/>
  <c r="HH8" i="19"/>
  <c r="HI8" i="19" s="1"/>
  <c r="HA8" i="19"/>
  <c r="HB8" i="19" s="1"/>
  <c r="GS8" i="19"/>
  <c r="GT8" i="19" s="1"/>
  <c r="GM8" i="19"/>
  <c r="GN8" i="19" s="1"/>
  <c r="GF8" i="19"/>
  <c r="GG8" i="19" s="1"/>
  <c r="FX8" i="19"/>
  <c r="FY8" i="19" s="1"/>
  <c r="FR8" i="19"/>
  <c r="FS8" i="19" s="1"/>
  <c r="FK8" i="19"/>
  <c r="FL8" i="19" s="1"/>
  <c r="FC8" i="19"/>
  <c r="FD8" i="19" s="1"/>
  <c r="EW8" i="19"/>
  <c r="EX8" i="19" s="1"/>
  <c r="EP8" i="19"/>
  <c r="EQ8" i="19" s="1"/>
  <c r="EH8" i="19"/>
  <c r="EI8" i="19" s="1"/>
  <c r="EB8" i="19"/>
  <c r="EC8" i="19" s="1"/>
  <c r="DU8" i="19"/>
  <c r="DV8" i="19" s="1"/>
  <c r="DM8" i="19"/>
  <c r="DN8" i="19" s="1"/>
  <c r="DG8" i="19"/>
  <c r="DH8" i="19" s="1"/>
  <c r="CZ8" i="19"/>
  <c r="DA8" i="19" s="1"/>
  <c r="CR8" i="19"/>
  <c r="CS8" i="19" s="1"/>
  <c r="CL8" i="19"/>
  <c r="CM8" i="19" s="1"/>
  <c r="CE8" i="19"/>
  <c r="CF8" i="19" s="1"/>
  <c r="BW8" i="19"/>
  <c r="BX8" i="19" s="1"/>
  <c r="BQ8" i="19"/>
  <c r="BR8" i="19" s="1"/>
  <c r="BJ8" i="19"/>
  <c r="BK8" i="19" s="1"/>
  <c r="BB8" i="19"/>
  <c r="BC8" i="19" s="1"/>
  <c r="AV8" i="19"/>
  <c r="AW8" i="19" s="1"/>
  <c r="AO8" i="19"/>
  <c r="AP8" i="19" s="1"/>
  <c r="AG8" i="19"/>
  <c r="AH8" i="19" s="1"/>
  <c r="AA8" i="19"/>
  <c r="AB8" i="19" s="1"/>
  <c r="T8" i="19"/>
  <c r="U8" i="19" s="1"/>
  <c r="L8" i="19"/>
  <c r="M8" i="19" s="1"/>
  <c r="F8" i="19"/>
  <c r="G8" i="19" s="1"/>
  <c r="WW7" i="19"/>
  <c r="WX7" i="19" s="1"/>
  <c r="WR7" i="19"/>
  <c r="WS7" i="19" s="1"/>
  <c r="WM7" i="19"/>
  <c r="WN7" i="19" s="1"/>
  <c r="WF7" i="19"/>
  <c r="WG7" i="19" s="1"/>
  <c r="WA7" i="19"/>
  <c r="WB7" i="19" s="1"/>
  <c r="VV7" i="19"/>
  <c r="VW7" i="19" s="1"/>
  <c r="VO7" i="19"/>
  <c r="VP7" i="19" s="1"/>
  <c r="VG7" i="19"/>
  <c r="VH7" i="19" s="1"/>
  <c r="VA7" i="19"/>
  <c r="VB7" i="19" s="1"/>
  <c r="UT7" i="19"/>
  <c r="UU7" i="19" s="1"/>
  <c r="UL7" i="19"/>
  <c r="UM7" i="19" s="1"/>
  <c r="UF7" i="19"/>
  <c r="UG7" i="19" s="1"/>
  <c r="TY7" i="19"/>
  <c r="TZ7" i="19" s="1"/>
  <c r="TQ7" i="19"/>
  <c r="TR7" i="19" s="1"/>
  <c r="TK7" i="19"/>
  <c r="TL7" i="19" s="1"/>
  <c r="TD7" i="19"/>
  <c r="TE7" i="19" s="1"/>
  <c r="SV7" i="19"/>
  <c r="SW7" i="19" s="1"/>
  <c r="SP7" i="19"/>
  <c r="SQ7" i="19" s="1"/>
  <c r="SI7" i="19"/>
  <c r="SJ7" i="19" s="1"/>
  <c r="SA7" i="19"/>
  <c r="SB7" i="19" s="1"/>
  <c r="RU7" i="19"/>
  <c r="RV7" i="19" s="1"/>
  <c r="RN7" i="19"/>
  <c r="RO7" i="19" s="1"/>
  <c r="RF7" i="19"/>
  <c r="RG7" i="19" s="1"/>
  <c r="QZ7" i="19"/>
  <c r="RA7" i="19" s="1"/>
  <c r="QS7" i="19"/>
  <c r="QT7" i="19" s="1"/>
  <c r="QK7" i="19"/>
  <c r="QL7" i="19" s="1"/>
  <c r="QE7" i="19"/>
  <c r="QF7" i="19" s="1"/>
  <c r="PX7" i="19"/>
  <c r="PY7" i="19" s="1"/>
  <c r="PP7" i="19"/>
  <c r="PQ7" i="19" s="1"/>
  <c r="PJ7" i="19"/>
  <c r="PK7" i="19" s="1"/>
  <c r="PC7" i="19"/>
  <c r="PD7" i="19" s="1"/>
  <c r="OU7" i="19"/>
  <c r="OV7" i="19" s="1"/>
  <c r="OO7" i="19"/>
  <c r="OP7" i="19" s="1"/>
  <c r="OH7" i="19"/>
  <c r="OI7" i="19" s="1"/>
  <c r="NZ7" i="19"/>
  <c r="OA7" i="19" s="1"/>
  <c r="NT7" i="19"/>
  <c r="NU7" i="19" s="1"/>
  <c r="NM7" i="19"/>
  <c r="NN7" i="19" s="1"/>
  <c r="NE7" i="19"/>
  <c r="NF7" i="19" s="1"/>
  <c r="MY7" i="19"/>
  <c r="MZ7" i="19" s="1"/>
  <c r="MR7" i="19"/>
  <c r="MS7" i="19" s="1"/>
  <c r="MJ7" i="19"/>
  <c r="MK7" i="19" s="1"/>
  <c r="MD7" i="19"/>
  <c r="ME7" i="19" s="1"/>
  <c r="LW7" i="19"/>
  <c r="LX7" i="19" s="1"/>
  <c r="LO7" i="19"/>
  <c r="LP7" i="19" s="1"/>
  <c r="LI7" i="19"/>
  <c r="LJ7" i="19" s="1"/>
  <c r="LB7" i="19"/>
  <c r="LC7" i="19" s="1"/>
  <c r="KT7" i="19"/>
  <c r="KU7" i="19" s="1"/>
  <c r="KN7" i="19"/>
  <c r="KO7" i="19" s="1"/>
  <c r="KG7" i="19"/>
  <c r="KH7" i="19" s="1"/>
  <c r="JY7" i="19"/>
  <c r="JZ7" i="19" s="1"/>
  <c r="JS7" i="19"/>
  <c r="JT7" i="19" s="1"/>
  <c r="JL7" i="19"/>
  <c r="JM7" i="19" s="1"/>
  <c r="JD7" i="19"/>
  <c r="JE7" i="19" s="1"/>
  <c r="IX7" i="19"/>
  <c r="IY7" i="19" s="1"/>
  <c r="IQ7" i="19"/>
  <c r="IR7" i="19" s="1"/>
  <c r="II7" i="19"/>
  <c r="IJ7" i="19" s="1"/>
  <c r="IC7" i="19"/>
  <c r="ID7" i="19" s="1"/>
  <c r="HV7" i="19"/>
  <c r="HW7" i="19" s="1"/>
  <c r="HN7" i="19"/>
  <c r="HO7" i="19" s="1"/>
  <c r="HH7" i="19"/>
  <c r="HI7" i="19" s="1"/>
  <c r="HA7" i="19"/>
  <c r="HB7" i="19" s="1"/>
  <c r="GS7" i="19"/>
  <c r="GT7" i="19" s="1"/>
  <c r="GM7" i="19"/>
  <c r="GN7" i="19" s="1"/>
  <c r="GF7" i="19"/>
  <c r="GG7" i="19" s="1"/>
  <c r="FX7" i="19"/>
  <c r="FY7" i="19" s="1"/>
  <c r="FR7" i="19"/>
  <c r="FS7" i="19" s="1"/>
  <c r="FK7" i="19"/>
  <c r="FL7" i="19" s="1"/>
  <c r="FC7" i="19"/>
  <c r="FD7" i="19" s="1"/>
  <c r="EW7" i="19"/>
  <c r="EX7" i="19" s="1"/>
  <c r="EP7" i="19"/>
  <c r="EQ7" i="19" s="1"/>
  <c r="EH7" i="19"/>
  <c r="EI7" i="19" s="1"/>
  <c r="EB7" i="19"/>
  <c r="EC7" i="19" s="1"/>
  <c r="DU7" i="19"/>
  <c r="DV7" i="19" s="1"/>
  <c r="DM7" i="19"/>
  <c r="DN7" i="19" s="1"/>
  <c r="DG7" i="19"/>
  <c r="DH7" i="19" s="1"/>
  <c r="CZ7" i="19"/>
  <c r="DA7" i="19" s="1"/>
  <c r="CR7" i="19"/>
  <c r="CS7" i="19" s="1"/>
  <c r="CL7" i="19"/>
  <c r="CM7" i="19" s="1"/>
  <c r="CE7" i="19"/>
  <c r="CF7" i="19" s="1"/>
  <c r="BW7" i="19"/>
  <c r="BX7" i="19" s="1"/>
  <c r="BQ7" i="19"/>
  <c r="BR7" i="19" s="1"/>
  <c r="BJ7" i="19"/>
  <c r="BK7" i="19" s="1"/>
  <c r="BB7" i="19"/>
  <c r="BC7" i="19" s="1"/>
  <c r="AV7" i="19"/>
  <c r="AW7" i="19" s="1"/>
  <c r="AO7" i="19"/>
  <c r="AP7" i="19" s="1"/>
  <c r="AG7" i="19"/>
  <c r="AH7" i="19" s="1"/>
  <c r="AA7" i="19"/>
  <c r="AB7" i="19" s="1"/>
  <c r="T7" i="19"/>
  <c r="U7" i="19" s="1"/>
  <c r="L7" i="19"/>
  <c r="M7" i="19" s="1"/>
  <c r="F7" i="19"/>
  <c r="G7" i="19" s="1"/>
  <c r="WW6" i="19"/>
  <c r="WX6" i="19" s="1"/>
  <c r="WR6" i="19"/>
  <c r="WS6" i="19" s="1"/>
  <c r="WM6" i="19"/>
  <c r="WN6" i="19" s="1"/>
  <c r="WF6" i="19"/>
  <c r="WG6" i="19" s="1"/>
  <c r="WA6" i="19"/>
  <c r="WB6" i="19" s="1"/>
  <c r="VV6" i="19"/>
  <c r="VW6" i="19" s="1"/>
  <c r="VO6" i="19"/>
  <c r="VP6" i="19" s="1"/>
  <c r="VG6" i="19"/>
  <c r="VH6" i="19" s="1"/>
  <c r="VA6" i="19"/>
  <c r="VB6" i="19" s="1"/>
  <c r="UT6" i="19"/>
  <c r="UU6" i="19" s="1"/>
  <c r="UL6" i="19"/>
  <c r="UM6" i="19" s="1"/>
  <c r="UF6" i="19"/>
  <c r="UG6" i="19" s="1"/>
  <c r="TY6" i="19"/>
  <c r="TZ6" i="19" s="1"/>
  <c r="TQ6" i="19"/>
  <c r="TR6" i="19" s="1"/>
  <c r="TK6" i="19"/>
  <c r="TL6" i="19" s="1"/>
  <c r="TD6" i="19"/>
  <c r="TE6" i="19" s="1"/>
  <c r="SV6" i="19"/>
  <c r="SW6" i="19" s="1"/>
  <c r="SP6" i="19"/>
  <c r="SQ6" i="19" s="1"/>
  <c r="SI6" i="19"/>
  <c r="SJ6" i="19" s="1"/>
  <c r="SA6" i="19"/>
  <c r="SB6" i="19" s="1"/>
  <c r="RU6" i="19"/>
  <c r="RV6" i="19" s="1"/>
  <c r="RN6" i="19"/>
  <c r="RO6" i="19" s="1"/>
  <c r="RF6" i="19"/>
  <c r="RG6" i="19" s="1"/>
  <c r="QZ6" i="19"/>
  <c r="RA6" i="19" s="1"/>
  <c r="QS6" i="19"/>
  <c r="QT6" i="19" s="1"/>
  <c r="QK6" i="19"/>
  <c r="QL6" i="19" s="1"/>
  <c r="QE6" i="19"/>
  <c r="QF6" i="19" s="1"/>
  <c r="PX6" i="19"/>
  <c r="PY6" i="19" s="1"/>
  <c r="PP6" i="19"/>
  <c r="PQ6" i="19" s="1"/>
  <c r="PJ6" i="19"/>
  <c r="PK6" i="19" s="1"/>
  <c r="PC6" i="19"/>
  <c r="PD6" i="19" s="1"/>
  <c r="OU6" i="19"/>
  <c r="OV6" i="19" s="1"/>
  <c r="OO6" i="19"/>
  <c r="OP6" i="19" s="1"/>
  <c r="OH6" i="19"/>
  <c r="OI6" i="19" s="1"/>
  <c r="NZ6" i="19"/>
  <c r="OA6" i="19" s="1"/>
  <c r="NT6" i="19"/>
  <c r="NU6" i="19" s="1"/>
  <c r="NM6" i="19"/>
  <c r="NN6" i="19" s="1"/>
  <c r="NE6" i="19"/>
  <c r="NF6" i="19" s="1"/>
  <c r="MY6" i="19"/>
  <c r="MZ6" i="19" s="1"/>
  <c r="MR6" i="19"/>
  <c r="MS6" i="19" s="1"/>
  <c r="MJ6" i="19"/>
  <c r="MK6" i="19" s="1"/>
  <c r="MD6" i="19"/>
  <c r="ME6" i="19" s="1"/>
  <c r="LW6" i="19"/>
  <c r="LX6" i="19" s="1"/>
  <c r="LO6" i="19"/>
  <c r="LP6" i="19" s="1"/>
  <c r="LI6" i="19"/>
  <c r="LJ6" i="19" s="1"/>
  <c r="LB6" i="19"/>
  <c r="LC6" i="19" s="1"/>
  <c r="KT6" i="19"/>
  <c r="KU6" i="19" s="1"/>
  <c r="KN6" i="19"/>
  <c r="KO6" i="19" s="1"/>
  <c r="KG6" i="19"/>
  <c r="KH6" i="19" s="1"/>
  <c r="JY6" i="19"/>
  <c r="JZ6" i="19" s="1"/>
  <c r="JS6" i="19"/>
  <c r="JT6" i="19" s="1"/>
  <c r="JL6" i="19"/>
  <c r="JM6" i="19" s="1"/>
  <c r="JD6" i="19"/>
  <c r="JE6" i="19" s="1"/>
  <c r="IX6" i="19"/>
  <c r="IY6" i="19" s="1"/>
  <c r="IQ6" i="19"/>
  <c r="IR6" i="19" s="1"/>
  <c r="II6" i="19"/>
  <c r="IJ6" i="19" s="1"/>
  <c r="IC6" i="19"/>
  <c r="ID6" i="19" s="1"/>
  <c r="HV6" i="19"/>
  <c r="HW6" i="19" s="1"/>
  <c r="HN6" i="19"/>
  <c r="HO6" i="19" s="1"/>
  <c r="HH6" i="19"/>
  <c r="HI6" i="19" s="1"/>
  <c r="HA6" i="19"/>
  <c r="HB6" i="19" s="1"/>
  <c r="GS6" i="19"/>
  <c r="GT6" i="19" s="1"/>
  <c r="GM6" i="19"/>
  <c r="GN6" i="19" s="1"/>
  <c r="GF6" i="19"/>
  <c r="GG6" i="19" s="1"/>
  <c r="FX6" i="19"/>
  <c r="FR6" i="19"/>
  <c r="FS6" i="19" s="1"/>
  <c r="FK6" i="19"/>
  <c r="FL6" i="19" s="1"/>
  <c r="FC6" i="19"/>
  <c r="FD6" i="19" s="1"/>
  <c r="EW6" i="19"/>
  <c r="EX6" i="19" s="1"/>
  <c r="EP6" i="19"/>
  <c r="EQ6" i="19" s="1"/>
  <c r="EH6" i="19"/>
  <c r="EI6" i="19" s="1"/>
  <c r="EB6" i="19"/>
  <c r="EC6" i="19" s="1"/>
  <c r="DU6" i="19"/>
  <c r="DV6" i="19" s="1"/>
  <c r="DM6" i="19"/>
  <c r="DN6" i="19" s="1"/>
  <c r="DG6" i="19"/>
  <c r="DH6" i="19" s="1"/>
  <c r="CZ6" i="19"/>
  <c r="DA6" i="19" s="1"/>
  <c r="CR6" i="19"/>
  <c r="CS6" i="19" s="1"/>
  <c r="CL6" i="19"/>
  <c r="CM6" i="19" s="1"/>
  <c r="CE6" i="19"/>
  <c r="CF6" i="19" s="1"/>
  <c r="BW6" i="19"/>
  <c r="BX6" i="19" s="1"/>
  <c r="BQ6" i="19"/>
  <c r="BR6" i="19" s="1"/>
  <c r="BJ6" i="19"/>
  <c r="BK6" i="19" s="1"/>
  <c r="BB6" i="19"/>
  <c r="BC6" i="19" s="1"/>
  <c r="AV6" i="19"/>
  <c r="AW6" i="19" s="1"/>
  <c r="AO6" i="19"/>
  <c r="AP6" i="19" s="1"/>
  <c r="AG6" i="19"/>
  <c r="AH6" i="19" s="1"/>
  <c r="AA6" i="19"/>
  <c r="AB6" i="19" s="1"/>
  <c r="T6" i="19"/>
  <c r="U6" i="19" s="1"/>
  <c r="L6" i="19"/>
  <c r="F6" i="19"/>
  <c r="G6" i="19" s="1"/>
  <c r="WW5" i="19"/>
  <c r="WX5" i="19" s="1"/>
  <c r="WR5" i="19"/>
  <c r="WS5" i="19" s="1"/>
  <c r="WM5" i="19"/>
  <c r="WF5" i="19"/>
  <c r="WG5" i="19" s="1"/>
  <c r="WA5" i="19"/>
  <c r="WB5" i="19" s="1"/>
  <c r="VV5" i="19"/>
  <c r="VW5" i="19" s="1"/>
  <c r="VO5" i="19"/>
  <c r="VP5" i="19" s="1"/>
  <c r="VG5" i="19"/>
  <c r="VA5" i="19"/>
  <c r="VB5" i="19" s="1"/>
  <c r="UT5" i="19"/>
  <c r="UU5" i="19" s="1"/>
  <c r="UL5" i="19"/>
  <c r="UM5" i="19" s="1"/>
  <c r="UF5" i="19"/>
  <c r="UG5" i="19" s="1"/>
  <c r="TY5" i="19"/>
  <c r="TZ5" i="19" s="1"/>
  <c r="TQ5" i="19"/>
  <c r="TR5" i="19" s="1"/>
  <c r="TK5" i="19"/>
  <c r="TL5" i="19" s="1"/>
  <c r="TD5" i="19"/>
  <c r="TE5" i="19" s="1"/>
  <c r="SV5" i="19"/>
  <c r="SW5" i="19" s="1"/>
  <c r="SP5" i="19"/>
  <c r="SQ5" i="19" s="1"/>
  <c r="SI5" i="19"/>
  <c r="SJ5" i="19" s="1"/>
  <c r="SA5" i="19"/>
  <c r="RU5" i="19"/>
  <c r="RV5" i="19" s="1"/>
  <c r="RN5" i="19"/>
  <c r="RO5" i="19" s="1"/>
  <c r="RF5" i="19"/>
  <c r="RG5" i="19" s="1"/>
  <c r="QZ5" i="19"/>
  <c r="RA5" i="19" s="1"/>
  <c r="QS5" i="19"/>
  <c r="QT5" i="19" s="1"/>
  <c r="QK5" i="19"/>
  <c r="QL5" i="19" s="1"/>
  <c r="QE5" i="19"/>
  <c r="QF5" i="19" s="1"/>
  <c r="PX5" i="19"/>
  <c r="PY5" i="19" s="1"/>
  <c r="PP5" i="19"/>
  <c r="PQ5" i="19" s="1"/>
  <c r="PJ5" i="19"/>
  <c r="PK5" i="19" s="1"/>
  <c r="PC5" i="19"/>
  <c r="PD5" i="19" s="1"/>
  <c r="OU5" i="19"/>
  <c r="OV5" i="19" s="1"/>
  <c r="OO5" i="19"/>
  <c r="OP5" i="19" s="1"/>
  <c r="OH5" i="19"/>
  <c r="NZ5" i="19"/>
  <c r="OA5" i="19" s="1"/>
  <c r="NT5" i="19"/>
  <c r="NU5" i="19" s="1"/>
  <c r="NM5" i="19"/>
  <c r="NN5" i="19" s="1"/>
  <c r="NE5" i="19"/>
  <c r="NF5" i="19" s="1"/>
  <c r="MY5" i="19"/>
  <c r="MZ5" i="19" s="1"/>
  <c r="MR5" i="19"/>
  <c r="MS5" i="19" s="1"/>
  <c r="MJ5" i="19"/>
  <c r="MD5" i="19"/>
  <c r="ME5" i="19" s="1"/>
  <c r="LW5" i="19"/>
  <c r="LX5" i="19" s="1"/>
  <c r="LO5" i="19"/>
  <c r="LP5" i="19" s="1"/>
  <c r="LI5" i="19"/>
  <c r="LJ5" i="19" s="1"/>
  <c r="LB5" i="19"/>
  <c r="LC5" i="19" s="1"/>
  <c r="KT5" i="19"/>
  <c r="KN5" i="19"/>
  <c r="KO5" i="19" s="1"/>
  <c r="KG5" i="19"/>
  <c r="KH5" i="19" s="1"/>
  <c r="JY5" i="19"/>
  <c r="JZ5" i="19" s="1"/>
  <c r="JS5" i="19"/>
  <c r="JT5" i="19" s="1"/>
  <c r="JL5" i="19"/>
  <c r="JM5" i="19" s="1"/>
  <c r="JD5" i="19"/>
  <c r="IX5" i="19"/>
  <c r="IY5" i="19" s="1"/>
  <c r="IQ5" i="19"/>
  <c r="IR5" i="19" s="1"/>
  <c r="II5" i="19"/>
  <c r="IJ5" i="19" s="1"/>
  <c r="IC5" i="19"/>
  <c r="ID5" i="19" s="1"/>
  <c r="HV5" i="19"/>
  <c r="HW5" i="19" s="1"/>
  <c r="HN5" i="19"/>
  <c r="HO5" i="19" s="1"/>
  <c r="HH5" i="19"/>
  <c r="HI5" i="19" s="1"/>
  <c r="HA5" i="19"/>
  <c r="HB5" i="19" s="1"/>
  <c r="GS5" i="19"/>
  <c r="GT5" i="19" s="1"/>
  <c r="GM5" i="19"/>
  <c r="GF5" i="19"/>
  <c r="GG5" i="19" s="1"/>
  <c r="FX5" i="19"/>
  <c r="FY5" i="19" s="1"/>
  <c r="FR5" i="19"/>
  <c r="FK5" i="19"/>
  <c r="FL5" i="19" s="1"/>
  <c r="FC5" i="19"/>
  <c r="FD5" i="19" s="1"/>
  <c r="EW5" i="19"/>
  <c r="EP5" i="19"/>
  <c r="EQ5" i="19" s="1"/>
  <c r="EH5" i="19"/>
  <c r="EI5" i="19" s="1"/>
  <c r="EB5" i="19"/>
  <c r="EC5" i="19" s="1"/>
  <c r="DU5" i="19"/>
  <c r="DV5" i="19" s="1"/>
  <c r="DM5" i="19"/>
  <c r="DG5" i="19"/>
  <c r="DH5" i="19" s="1"/>
  <c r="CZ5" i="19"/>
  <c r="DA5" i="19" s="1"/>
  <c r="CR5" i="19"/>
  <c r="CS5" i="19" s="1"/>
  <c r="CL5" i="19"/>
  <c r="CM5" i="19" s="1"/>
  <c r="CE5" i="19"/>
  <c r="CF5" i="19" s="1"/>
  <c r="BW5" i="19"/>
  <c r="BX5" i="19" s="1"/>
  <c r="BQ5" i="19"/>
  <c r="BR5" i="19" s="1"/>
  <c r="BJ5" i="19"/>
  <c r="BK5" i="19" s="1"/>
  <c r="BB5" i="19"/>
  <c r="BC5" i="19" s="1"/>
  <c r="AV5" i="19"/>
  <c r="AW5" i="19" s="1"/>
  <c r="AO5" i="19"/>
  <c r="AP5" i="19" s="1"/>
  <c r="AG5" i="19"/>
  <c r="AH5" i="19" s="1"/>
  <c r="AA5" i="19"/>
  <c r="AB5" i="19" s="1"/>
  <c r="T5" i="19"/>
  <c r="U5" i="19" s="1"/>
  <c r="L5" i="19"/>
  <c r="M5" i="19" s="1"/>
  <c r="F5" i="19"/>
  <c r="G5" i="19" s="1"/>
  <c r="AU3" i="19"/>
  <c r="BP3" i="19" s="1"/>
  <c r="CK3" i="19" s="1"/>
  <c r="DF3" i="19" s="1"/>
  <c r="EA3" i="19" s="1"/>
  <c r="EV3" i="19" s="1"/>
  <c r="FQ3" i="19" s="1"/>
  <c r="GL3" i="19" s="1"/>
  <c r="HG3" i="19" s="1"/>
  <c r="IB3" i="19" s="1"/>
  <c r="IW3" i="19" s="1"/>
  <c r="JR3" i="19" s="1"/>
  <c r="KM3" i="19" s="1"/>
  <c r="LH3" i="19" s="1"/>
  <c r="MC3" i="19" s="1"/>
  <c r="MX3" i="19" s="1"/>
  <c r="NS3" i="19" s="1"/>
  <c r="ON3" i="19" s="1"/>
  <c r="PI3" i="19" s="1"/>
  <c r="QD3" i="19" s="1"/>
  <c r="QY3" i="19" s="1"/>
  <c r="RT3" i="19" s="1"/>
  <c r="SO3" i="19" s="1"/>
  <c r="TJ3" i="19" s="1"/>
  <c r="UE3" i="19" s="1"/>
  <c r="UZ3" i="19" s="1"/>
  <c r="VU3" i="19" s="1"/>
  <c r="WL3" i="19" s="1"/>
  <c r="AN3" i="19"/>
  <c r="BI3" i="19" s="1"/>
  <c r="CD3" i="19" s="1"/>
  <c r="CY3" i="19" s="1"/>
  <c r="DT3" i="19" s="1"/>
  <c r="EO3" i="19" s="1"/>
  <c r="FJ3" i="19" s="1"/>
  <c r="GE3" i="19" s="1"/>
  <c r="GZ3" i="19" s="1"/>
  <c r="HU3" i="19" s="1"/>
  <c r="IP3" i="19" s="1"/>
  <c r="JK3" i="19" s="1"/>
  <c r="KF3" i="19" s="1"/>
  <c r="LA3" i="19" s="1"/>
  <c r="LV3" i="19" s="1"/>
  <c r="MQ3" i="19" s="1"/>
  <c r="NL3" i="19" s="1"/>
  <c r="OG3" i="19" s="1"/>
  <c r="PB3" i="19" s="1"/>
  <c r="PW3" i="19" s="1"/>
  <c r="QR3" i="19" s="1"/>
  <c r="RM3" i="19" s="1"/>
  <c r="SH3" i="19" s="1"/>
  <c r="TC3" i="19" s="1"/>
  <c r="TX3" i="19" s="1"/>
  <c r="US3" i="19" s="1"/>
  <c r="VN3" i="19" s="1"/>
  <c r="WE3" i="19" s="1"/>
  <c r="WV3" i="19" s="1"/>
  <c r="AJ3" i="19"/>
  <c r="BE3" i="19" s="1"/>
  <c r="BZ3" i="19" s="1"/>
  <c r="CU3" i="19" s="1"/>
  <c r="DP3" i="19" s="1"/>
  <c r="EK3" i="19" s="1"/>
  <c r="FF3" i="19" s="1"/>
  <c r="GA3" i="19" s="1"/>
  <c r="GV3" i="19" s="1"/>
  <c r="HQ3" i="19" s="1"/>
  <c r="IL3" i="19" s="1"/>
  <c r="JG3" i="19" s="1"/>
  <c r="KB3" i="19" s="1"/>
  <c r="KW3" i="19" s="1"/>
  <c r="LR3" i="19" s="1"/>
  <c r="MM3" i="19" s="1"/>
  <c r="NH3" i="19" s="1"/>
  <c r="OC3" i="19" s="1"/>
  <c r="OX3" i="19" s="1"/>
  <c r="PS3" i="19" s="1"/>
  <c r="QN3" i="19" s="1"/>
  <c r="RI3" i="19" s="1"/>
  <c r="SD3" i="19" s="1"/>
  <c r="SY3" i="19" s="1"/>
  <c r="TT3" i="19" s="1"/>
  <c r="UO3" i="19" s="1"/>
  <c r="VJ3" i="19" s="1"/>
  <c r="WD3" i="19" s="1"/>
  <c r="WU3" i="19" s="1"/>
  <c r="AI3" i="19"/>
  <c r="BD3" i="19" s="1"/>
  <c r="BY3" i="19" s="1"/>
  <c r="CT3" i="19" s="1"/>
  <c r="DO3" i="19" s="1"/>
  <c r="EJ3" i="19" s="1"/>
  <c r="FE3" i="19" s="1"/>
  <c r="FZ3" i="19" s="1"/>
  <c r="GU3" i="19" s="1"/>
  <c r="HP3" i="19" s="1"/>
  <c r="IK3" i="19" s="1"/>
  <c r="JF3" i="19" s="1"/>
  <c r="KA3" i="19" s="1"/>
  <c r="KV3" i="19" s="1"/>
  <c r="LQ3" i="19" s="1"/>
  <c r="ML3" i="19" s="1"/>
  <c r="NG3" i="19" s="1"/>
  <c r="OB3" i="19" s="1"/>
  <c r="OW3" i="19" s="1"/>
  <c r="PR3" i="19" s="1"/>
  <c r="QM3" i="19" s="1"/>
  <c r="RH3" i="19" s="1"/>
  <c r="SC3" i="19" s="1"/>
  <c r="SX3" i="19" s="1"/>
  <c r="TS3" i="19" s="1"/>
  <c r="UN3" i="19" s="1"/>
  <c r="VI3" i="19" s="1"/>
  <c r="WC3" i="19" s="1"/>
  <c r="WT3" i="19" s="1"/>
  <c r="AF3" i="19"/>
  <c r="BA3" i="19" s="1"/>
  <c r="BV3" i="19" s="1"/>
  <c r="CQ3" i="19" s="1"/>
  <c r="DL3" i="19" s="1"/>
  <c r="EG3" i="19" s="1"/>
  <c r="FB3" i="19" s="1"/>
  <c r="FW3" i="19" s="1"/>
  <c r="GR3" i="19" s="1"/>
  <c r="HM3" i="19" s="1"/>
  <c r="IH3" i="19" s="1"/>
  <c r="JC3" i="19" s="1"/>
  <c r="JX3" i="19" s="1"/>
  <c r="KS3" i="19" s="1"/>
  <c r="LN3" i="19" s="1"/>
  <c r="MI3" i="19" s="1"/>
  <c r="ND3" i="19" s="1"/>
  <c r="NY3" i="19" s="1"/>
  <c r="OT3" i="19" s="1"/>
  <c r="PO3" i="19" s="1"/>
  <c r="QJ3" i="19" s="1"/>
  <c r="RE3" i="19" s="1"/>
  <c r="RZ3" i="19" s="1"/>
  <c r="SU3" i="19" s="1"/>
  <c r="TP3" i="19" s="1"/>
  <c r="UK3" i="19" s="1"/>
  <c r="VF3" i="19" s="1"/>
  <c r="VZ3" i="19" s="1"/>
  <c r="WQ3" i="19" s="1"/>
  <c r="AD3" i="19"/>
  <c r="AY3" i="19" s="1"/>
  <c r="BT3" i="19" s="1"/>
  <c r="CO3" i="19" s="1"/>
  <c r="DJ3" i="19" s="1"/>
  <c r="EE3" i="19" s="1"/>
  <c r="EZ3" i="19" s="1"/>
  <c r="FU3" i="19" s="1"/>
  <c r="GP3" i="19" s="1"/>
  <c r="HK3" i="19" s="1"/>
  <c r="IF3" i="19" s="1"/>
  <c r="JA3" i="19" s="1"/>
  <c r="JV3" i="19" s="1"/>
  <c r="KQ3" i="19" s="1"/>
  <c r="LL3" i="19" s="1"/>
  <c r="MG3" i="19" s="1"/>
  <c r="NB3" i="19" s="1"/>
  <c r="NW3" i="19" s="1"/>
  <c r="OR3" i="19" s="1"/>
  <c r="PM3" i="19" s="1"/>
  <c r="QH3" i="19" s="1"/>
  <c r="RC3" i="19" s="1"/>
  <c r="RX3" i="19" s="1"/>
  <c r="SS3" i="19" s="1"/>
  <c r="TN3" i="19" s="1"/>
  <c r="UI3" i="19" s="1"/>
  <c r="VD3" i="19" s="1"/>
  <c r="VY3" i="19" s="1"/>
  <c r="WP3" i="19" s="1"/>
  <c r="AC3" i="19"/>
  <c r="AX3" i="19" s="1"/>
  <c r="BS3" i="19" s="1"/>
  <c r="CN3" i="19" s="1"/>
  <c r="DI3" i="19" s="1"/>
  <c r="ED3" i="19" s="1"/>
  <c r="EY3" i="19" s="1"/>
  <c r="FT3" i="19" s="1"/>
  <c r="GO3" i="19" s="1"/>
  <c r="HJ3" i="19" s="1"/>
  <c r="IE3" i="19" s="1"/>
  <c r="IZ3" i="19" s="1"/>
  <c r="JU3" i="19" s="1"/>
  <c r="KP3" i="19" s="1"/>
  <c r="LK3" i="19" s="1"/>
  <c r="MF3" i="19" s="1"/>
  <c r="NA3" i="19" s="1"/>
  <c r="NV3" i="19" s="1"/>
  <c r="OQ3" i="19" s="1"/>
  <c r="PL3" i="19" s="1"/>
  <c r="QG3" i="19" s="1"/>
  <c r="RB3" i="19" s="1"/>
  <c r="RW3" i="19" s="1"/>
  <c r="SR3" i="19" s="1"/>
  <c r="TM3" i="19" s="1"/>
  <c r="UH3" i="19" s="1"/>
  <c r="VC3" i="19" s="1"/>
  <c r="VX3" i="19" s="1"/>
  <c r="WO3" i="19" s="1"/>
  <c r="Z3" i="19"/>
  <c r="Y3" i="19"/>
  <c r="AT3" i="19" s="1"/>
  <c r="BO3" i="19" s="1"/>
  <c r="CJ3" i="19" s="1"/>
  <c r="DE3" i="19" s="1"/>
  <c r="DZ3" i="19" s="1"/>
  <c r="EU3" i="19" s="1"/>
  <c r="FP3" i="19" s="1"/>
  <c r="GK3" i="19" s="1"/>
  <c r="HF3" i="19" s="1"/>
  <c r="IA3" i="19" s="1"/>
  <c r="IV3" i="19" s="1"/>
  <c r="JQ3" i="19" s="1"/>
  <c r="KL3" i="19" s="1"/>
  <c r="LG3" i="19" s="1"/>
  <c r="MB3" i="19" s="1"/>
  <c r="MW3" i="19" s="1"/>
  <c r="NR3" i="19" s="1"/>
  <c r="OM3" i="19" s="1"/>
  <c r="PH3" i="19" s="1"/>
  <c r="QC3" i="19" s="1"/>
  <c r="QX3" i="19" s="1"/>
  <c r="RS3" i="19" s="1"/>
  <c r="SN3" i="19" s="1"/>
  <c r="TI3" i="19" s="1"/>
  <c r="UD3" i="19" s="1"/>
  <c r="UY3" i="19" s="1"/>
  <c r="VT3" i="19" s="1"/>
  <c r="WK3" i="19" s="1"/>
  <c r="X3" i="19"/>
  <c r="AS3" i="19" s="1"/>
  <c r="BN3" i="19" s="1"/>
  <c r="CI3" i="19" s="1"/>
  <c r="DD3" i="19" s="1"/>
  <c r="DY3" i="19" s="1"/>
  <c r="ET3" i="19" s="1"/>
  <c r="FO3" i="19" s="1"/>
  <c r="GJ3" i="19" s="1"/>
  <c r="HE3" i="19" s="1"/>
  <c r="HZ3" i="19" s="1"/>
  <c r="IU3" i="19" s="1"/>
  <c r="JP3" i="19" s="1"/>
  <c r="KK3" i="19" s="1"/>
  <c r="LF3" i="19" s="1"/>
  <c r="MA3" i="19" s="1"/>
  <c r="MV3" i="19" s="1"/>
  <c r="NQ3" i="19" s="1"/>
  <c r="OL3" i="19" s="1"/>
  <c r="PG3" i="19" s="1"/>
  <c r="QB3" i="19" s="1"/>
  <c r="QW3" i="19" s="1"/>
  <c r="RR3" i="19" s="1"/>
  <c r="SM3" i="19" s="1"/>
  <c r="TH3" i="19" s="1"/>
  <c r="UC3" i="19" s="1"/>
  <c r="UX3" i="19" s="1"/>
  <c r="VS3" i="19" s="1"/>
  <c r="WJ3" i="19" s="1"/>
  <c r="X1" i="19"/>
  <c r="AS1" i="19" s="1"/>
  <c r="BN1" i="19" s="1"/>
  <c r="WG21" i="17"/>
  <c r="WG20" i="17" s="1"/>
  <c r="WH20" i="17" s="1"/>
  <c r="WB21" i="17"/>
  <c r="WC21" i="17" s="1"/>
  <c r="VW21" i="17"/>
  <c r="VP21" i="17"/>
  <c r="VP20" i="17" s="1"/>
  <c r="VQ20" i="17" s="1"/>
  <c r="VK21" i="17"/>
  <c r="VL21" i="17" s="1"/>
  <c r="VF21" i="17"/>
  <c r="VG21" i="17" s="1"/>
  <c r="UY21" i="17"/>
  <c r="UZ21" i="17" s="1"/>
  <c r="UT21" i="17"/>
  <c r="UU21" i="17" s="1"/>
  <c r="UO21" i="17"/>
  <c r="UO20" i="17" s="1"/>
  <c r="UP20" i="17" s="1"/>
  <c r="UH21" i="17"/>
  <c r="UH20" i="17" s="1"/>
  <c r="UI20" i="17" s="1"/>
  <c r="UC21" i="17"/>
  <c r="UC20" i="17" s="1"/>
  <c r="TX21" i="17"/>
  <c r="TY21" i="17" s="1"/>
  <c r="TQ21" i="17"/>
  <c r="TL21" i="17"/>
  <c r="TM21" i="17" s="1"/>
  <c r="TG21" i="17"/>
  <c r="TG20" i="17" s="1"/>
  <c r="SZ21" i="17"/>
  <c r="TA21" i="17" s="1"/>
  <c r="SU21" i="17"/>
  <c r="SV21" i="17" s="1"/>
  <c r="SP21" i="17"/>
  <c r="SP20" i="17" s="1"/>
  <c r="SI21" i="17"/>
  <c r="SJ21" i="17" s="1"/>
  <c r="SA21" i="17"/>
  <c r="SB21" i="17" s="1"/>
  <c r="RU21" i="17"/>
  <c r="RU20" i="17" s="1"/>
  <c r="RN21" i="17"/>
  <c r="RN20" i="17" s="1"/>
  <c r="RF21" i="17"/>
  <c r="RF20" i="17" s="1"/>
  <c r="QZ21" i="17"/>
  <c r="RA21" i="17" s="1"/>
  <c r="QS21" i="17"/>
  <c r="QT21" i="17" s="1"/>
  <c r="QK21" i="17"/>
  <c r="QL21" i="17" s="1"/>
  <c r="QE21" i="17"/>
  <c r="QE20" i="17" s="1"/>
  <c r="PX21" i="17"/>
  <c r="PY21" i="17" s="1"/>
  <c r="PP21" i="17"/>
  <c r="PQ21" i="17" s="1"/>
  <c r="PJ21" i="17"/>
  <c r="PC21" i="17"/>
  <c r="PD21" i="17" s="1"/>
  <c r="OU21" i="17"/>
  <c r="OV21" i="17" s="1"/>
  <c r="OO21" i="17"/>
  <c r="OO20" i="17" s="1"/>
  <c r="OH21" i="17"/>
  <c r="OH20" i="17" s="1"/>
  <c r="NZ21" i="17"/>
  <c r="NT21" i="17"/>
  <c r="NU21" i="17" s="1"/>
  <c r="NM21" i="17"/>
  <c r="NE21" i="17"/>
  <c r="NF21" i="17" s="1"/>
  <c r="MY21" i="17"/>
  <c r="MY20" i="17" s="1"/>
  <c r="MZ20" i="17" s="1"/>
  <c r="MR21" i="17"/>
  <c r="MS21" i="17" s="1"/>
  <c r="MJ21" i="17"/>
  <c r="MK21" i="17" s="1"/>
  <c r="MD21" i="17"/>
  <c r="MD20" i="17" s="1"/>
  <c r="LW21" i="17"/>
  <c r="LX21" i="17" s="1"/>
  <c r="LO21" i="17"/>
  <c r="LP21" i="17" s="1"/>
  <c r="LI21" i="17"/>
  <c r="LI20" i="17" s="1"/>
  <c r="LB21" i="17"/>
  <c r="LC21" i="17" s="1"/>
  <c r="KT21" i="17"/>
  <c r="KU21" i="17" s="1"/>
  <c r="KN21" i="17"/>
  <c r="KN20" i="17" s="1"/>
  <c r="KG21" i="17"/>
  <c r="KH21" i="17" s="1"/>
  <c r="JY21" i="17"/>
  <c r="JZ21" i="17" s="1"/>
  <c r="JS21" i="17"/>
  <c r="JS20" i="17" s="1"/>
  <c r="JL21" i="17"/>
  <c r="JM21" i="17" s="1"/>
  <c r="JD21" i="17"/>
  <c r="JE21" i="17" s="1"/>
  <c r="IX21" i="17"/>
  <c r="IQ21" i="17"/>
  <c r="IR21" i="17" s="1"/>
  <c r="II21" i="17"/>
  <c r="IJ21" i="17" s="1"/>
  <c r="IC21" i="17"/>
  <c r="HV21" i="17"/>
  <c r="HW21" i="17" s="1"/>
  <c r="HN21" i="17"/>
  <c r="HO21" i="17" s="1"/>
  <c r="HH21" i="17"/>
  <c r="HH20" i="17" s="1"/>
  <c r="HA21" i="17"/>
  <c r="HB21" i="17" s="1"/>
  <c r="GS21" i="17"/>
  <c r="GM21" i="17"/>
  <c r="GM20" i="17" s="1"/>
  <c r="GF21" i="17"/>
  <c r="FX21" i="17"/>
  <c r="FY21" i="17" s="1"/>
  <c r="FR21" i="17"/>
  <c r="FR20" i="17" s="1"/>
  <c r="FK21" i="17"/>
  <c r="FK20" i="17" s="1"/>
  <c r="FC21" i="17"/>
  <c r="FD21" i="17" s="1"/>
  <c r="EW21" i="17"/>
  <c r="EP21" i="17"/>
  <c r="EQ21" i="17" s="1"/>
  <c r="EH21" i="17"/>
  <c r="EI21" i="17" s="1"/>
  <c r="EB21" i="17"/>
  <c r="EB20" i="17" s="1"/>
  <c r="DU21" i="17"/>
  <c r="DU20" i="17" s="1"/>
  <c r="DM21" i="17"/>
  <c r="DG21" i="17"/>
  <c r="DG20" i="17" s="1"/>
  <c r="CZ21" i="17"/>
  <c r="CR21" i="17"/>
  <c r="CS21" i="17" s="1"/>
  <c r="CL21" i="17"/>
  <c r="CL20" i="17" s="1"/>
  <c r="CE21" i="17"/>
  <c r="CF21" i="17" s="1"/>
  <c r="BW21" i="17"/>
  <c r="BX21" i="17" s="1"/>
  <c r="BQ21" i="17"/>
  <c r="BJ21" i="17"/>
  <c r="BK21" i="17" s="1"/>
  <c r="BB21" i="17"/>
  <c r="BC21" i="17" s="1"/>
  <c r="AV21" i="17"/>
  <c r="AV20" i="17" s="1"/>
  <c r="AO21" i="17"/>
  <c r="AP21" i="17" s="1"/>
  <c r="AG21" i="17"/>
  <c r="AA21" i="17"/>
  <c r="AA20" i="17" s="1"/>
  <c r="AB20" i="17" s="1"/>
  <c r="T21" i="17"/>
  <c r="L21" i="17"/>
  <c r="M21" i="17" s="1"/>
  <c r="F21" i="17"/>
  <c r="F20" i="17" s="1"/>
  <c r="VW20" i="17"/>
  <c r="VX20" i="17" s="1"/>
  <c r="UT20" i="17"/>
  <c r="UU20" i="17" s="1"/>
  <c r="WG19" i="17"/>
  <c r="WH19" i="17" s="1"/>
  <c r="WB19" i="17"/>
  <c r="WC19" i="17" s="1"/>
  <c r="VW19" i="17"/>
  <c r="VX19" i="17" s="1"/>
  <c r="VP19" i="17"/>
  <c r="VQ19" i="17" s="1"/>
  <c r="VK19" i="17"/>
  <c r="VL19" i="17" s="1"/>
  <c r="VF19" i="17"/>
  <c r="VG19" i="17" s="1"/>
  <c r="UY19" i="17"/>
  <c r="UZ19" i="17" s="1"/>
  <c r="UT19" i="17"/>
  <c r="UU19" i="17" s="1"/>
  <c r="UO19" i="17"/>
  <c r="UP19" i="17" s="1"/>
  <c r="UH19" i="17"/>
  <c r="UI19" i="17" s="1"/>
  <c r="UC19" i="17"/>
  <c r="UD19" i="17" s="1"/>
  <c r="TX19" i="17"/>
  <c r="TY19" i="17" s="1"/>
  <c r="TQ19" i="17"/>
  <c r="TR19" i="17" s="1"/>
  <c r="TL19" i="17"/>
  <c r="TG19" i="17"/>
  <c r="TH19" i="17" s="1"/>
  <c r="SZ19" i="17"/>
  <c r="TA19" i="17" s="1"/>
  <c r="SU19" i="17"/>
  <c r="SV19" i="17" s="1"/>
  <c r="SP19" i="17"/>
  <c r="SI19" i="17"/>
  <c r="SJ19" i="17" s="1"/>
  <c r="SA19" i="17"/>
  <c r="SB19" i="17" s="1"/>
  <c r="RU19" i="17"/>
  <c r="RV19" i="17" s="1"/>
  <c r="RN19" i="17"/>
  <c r="RO19" i="17" s="1"/>
  <c r="RF19" i="17"/>
  <c r="RG19" i="17" s="1"/>
  <c r="QZ19" i="17"/>
  <c r="QS19" i="17"/>
  <c r="QT19" i="17" s="1"/>
  <c r="QK19" i="17"/>
  <c r="QL19" i="17" s="1"/>
  <c r="QE19" i="17"/>
  <c r="QF19" i="17" s="1"/>
  <c r="PX19" i="17"/>
  <c r="PY19" i="17" s="1"/>
  <c r="PP19" i="17"/>
  <c r="PQ19" i="17" s="1"/>
  <c r="PJ19" i="17"/>
  <c r="PC19" i="17"/>
  <c r="PD19" i="17" s="1"/>
  <c r="OU19" i="17"/>
  <c r="OV19" i="17" s="1"/>
  <c r="OO19" i="17"/>
  <c r="OP19" i="17" s="1"/>
  <c r="OH19" i="17"/>
  <c r="OI19" i="17" s="1"/>
  <c r="NZ19" i="17"/>
  <c r="OA19" i="17" s="1"/>
  <c r="NT19" i="17"/>
  <c r="NM19" i="17"/>
  <c r="NN19" i="17" s="1"/>
  <c r="NE19" i="17"/>
  <c r="NF19" i="17" s="1"/>
  <c r="MY19" i="17"/>
  <c r="MZ19" i="17" s="1"/>
  <c r="MR19" i="17"/>
  <c r="MS19" i="17" s="1"/>
  <c r="MJ19" i="17"/>
  <c r="MK19" i="17" s="1"/>
  <c r="MD19" i="17"/>
  <c r="LW19" i="17"/>
  <c r="LX19" i="17" s="1"/>
  <c r="LO19" i="17"/>
  <c r="LP19" i="17" s="1"/>
  <c r="LI19" i="17"/>
  <c r="LJ19" i="17" s="1"/>
  <c r="LB19" i="17"/>
  <c r="LC19" i="17" s="1"/>
  <c r="KT19" i="17"/>
  <c r="KU19" i="17" s="1"/>
  <c r="KN19" i="17"/>
  <c r="KG19" i="17"/>
  <c r="KH19" i="17" s="1"/>
  <c r="JY19" i="17"/>
  <c r="JZ19" i="17" s="1"/>
  <c r="JS19" i="17"/>
  <c r="JT19" i="17" s="1"/>
  <c r="JL19" i="17"/>
  <c r="JM19" i="17" s="1"/>
  <c r="JD19" i="17"/>
  <c r="JE19" i="17" s="1"/>
  <c r="IX19" i="17"/>
  <c r="IQ19" i="17"/>
  <c r="IR19" i="17" s="1"/>
  <c r="II19" i="17"/>
  <c r="IJ19" i="17" s="1"/>
  <c r="IC19" i="17"/>
  <c r="ID19" i="17" s="1"/>
  <c r="HV19" i="17"/>
  <c r="HW19" i="17" s="1"/>
  <c r="HN19" i="17"/>
  <c r="HO19" i="17" s="1"/>
  <c r="HH19" i="17"/>
  <c r="HA19" i="17"/>
  <c r="HB19" i="17" s="1"/>
  <c r="GS19" i="17"/>
  <c r="GM19" i="17"/>
  <c r="GN19" i="17" s="1"/>
  <c r="GF19" i="17"/>
  <c r="GG19" i="17" s="1"/>
  <c r="FX19" i="17"/>
  <c r="FY19" i="17" s="1"/>
  <c r="FR19" i="17"/>
  <c r="FK19" i="17"/>
  <c r="FL19" i="17" s="1"/>
  <c r="FC19" i="17"/>
  <c r="FD19" i="17" s="1"/>
  <c r="EW19" i="17"/>
  <c r="EX19" i="17" s="1"/>
  <c r="EP19" i="17"/>
  <c r="EQ19" i="17" s="1"/>
  <c r="EH19" i="17"/>
  <c r="EI19" i="17" s="1"/>
  <c r="EB19" i="17"/>
  <c r="DU19" i="17"/>
  <c r="DV19" i="17" s="1"/>
  <c r="DM19" i="17"/>
  <c r="DN19" i="17" s="1"/>
  <c r="DG19" i="17"/>
  <c r="DH19" i="17" s="1"/>
  <c r="CZ19" i="17"/>
  <c r="DA19" i="17" s="1"/>
  <c r="CR19" i="17"/>
  <c r="CS19" i="17" s="1"/>
  <c r="CL19" i="17"/>
  <c r="CM19" i="17" s="1"/>
  <c r="CE19" i="17"/>
  <c r="CF19" i="17" s="1"/>
  <c r="BW19" i="17"/>
  <c r="BX19" i="17" s="1"/>
  <c r="BQ19" i="17"/>
  <c r="BR19" i="17" s="1"/>
  <c r="BJ19" i="17"/>
  <c r="BK19" i="17" s="1"/>
  <c r="BB19" i="17"/>
  <c r="BC19" i="17" s="1"/>
  <c r="AV19" i="17"/>
  <c r="AO19" i="17"/>
  <c r="AP19" i="17" s="1"/>
  <c r="AG19" i="17"/>
  <c r="AH19" i="17" s="1"/>
  <c r="AA19" i="17"/>
  <c r="AB19" i="17" s="1"/>
  <c r="T19" i="17"/>
  <c r="U19" i="17" s="1"/>
  <c r="L19" i="17"/>
  <c r="M19" i="17" s="1"/>
  <c r="F19" i="17"/>
  <c r="G19" i="17" s="1"/>
  <c r="WG18" i="17"/>
  <c r="WH18" i="17" s="1"/>
  <c r="WB18" i="17"/>
  <c r="WC18" i="17" s="1"/>
  <c r="VW18" i="17"/>
  <c r="VP18" i="17"/>
  <c r="VQ18" i="17" s="1"/>
  <c r="VK18" i="17"/>
  <c r="VL18" i="17" s="1"/>
  <c r="VF18" i="17"/>
  <c r="UY18" i="17"/>
  <c r="UZ18" i="17" s="1"/>
  <c r="UT18" i="17"/>
  <c r="UU18" i="17" s="1"/>
  <c r="UO18" i="17"/>
  <c r="UP18" i="17" s="1"/>
  <c r="UH18" i="17"/>
  <c r="UI18" i="17" s="1"/>
  <c r="UC18" i="17"/>
  <c r="UD18" i="17" s="1"/>
  <c r="TX18" i="17"/>
  <c r="TY18" i="17" s="1"/>
  <c r="TQ18" i="17"/>
  <c r="TR18" i="17" s="1"/>
  <c r="TL18" i="17"/>
  <c r="TM18" i="17" s="1"/>
  <c r="TG18" i="17"/>
  <c r="TH18" i="17" s="1"/>
  <c r="SZ18" i="17"/>
  <c r="TA18" i="17" s="1"/>
  <c r="SU18" i="17"/>
  <c r="SV18" i="17" s="1"/>
  <c r="SP18" i="17"/>
  <c r="SI18" i="17"/>
  <c r="SJ18" i="17" s="1"/>
  <c r="SA18" i="17"/>
  <c r="SB18" i="17" s="1"/>
  <c r="RU18" i="17"/>
  <c r="RV18" i="17" s="1"/>
  <c r="RN18" i="17"/>
  <c r="RO18" i="17" s="1"/>
  <c r="RF18" i="17"/>
  <c r="RG18" i="17" s="1"/>
  <c r="QZ18" i="17"/>
  <c r="RA18" i="17" s="1"/>
  <c r="QS18" i="17"/>
  <c r="QT18" i="17" s="1"/>
  <c r="QK18" i="17"/>
  <c r="QL18" i="17" s="1"/>
  <c r="QE18" i="17"/>
  <c r="PX18" i="17"/>
  <c r="PY18" i="17" s="1"/>
  <c r="PP18" i="17"/>
  <c r="PQ18" i="17" s="1"/>
  <c r="PJ18" i="17"/>
  <c r="PK18" i="17" s="1"/>
  <c r="PC18" i="17"/>
  <c r="PD18" i="17" s="1"/>
  <c r="OU18" i="17"/>
  <c r="OV18" i="17" s="1"/>
  <c r="OO18" i="17"/>
  <c r="OP18" i="17" s="1"/>
  <c r="OH18" i="17"/>
  <c r="OI18" i="17" s="1"/>
  <c r="NZ18" i="17"/>
  <c r="NT18" i="17"/>
  <c r="NU18" i="17" s="1"/>
  <c r="NM18" i="17"/>
  <c r="NN18" i="17" s="1"/>
  <c r="NE18" i="17"/>
  <c r="NF18" i="17" s="1"/>
  <c r="MY18" i="17"/>
  <c r="MZ18" i="17" s="1"/>
  <c r="MR18" i="17"/>
  <c r="MS18" i="17" s="1"/>
  <c r="MJ18" i="17"/>
  <c r="MK18" i="17" s="1"/>
  <c r="MD18" i="17"/>
  <c r="ME18" i="17" s="1"/>
  <c r="LW18" i="17"/>
  <c r="LX18" i="17" s="1"/>
  <c r="LO18" i="17"/>
  <c r="LP18" i="17" s="1"/>
  <c r="LI18" i="17"/>
  <c r="LJ18" i="17" s="1"/>
  <c r="LB18" i="17"/>
  <c r="LC18" i="17" s="1"/>
  <c r="KT18" i="17"/>
  <c r="KN18" i="17"/>
  <c r="KO18" i="17" s="1"/>
  <c r="KG18" i="17"/>
  <c r="KH18" i="17" s="1"/>
  <c r="JY18" i="17"/>
  <c r="JZ18" i="17" s="1"/>
  <c r="JS18" i="17"/>
  <c r="JT18" i="17" s="1"/>
  <c r="JL18" i="17"/>
  <c r="JM18" i="17" s="1"/>
  <c r="JD18" i="17"/>
  <c r="JE18" i="17" s="1"/>
  <c r="IX18" i="17"/>
  <c r="IY18" i="17" s="1"/>
  <c r="IQ18" i="17"/>
  <c r="II18" i="17"/>
  <c r="IJ18" i="17" s="1"/>
  <c r="IC18" i="17"/>
  <c r="ID18" i="17" s="1"/>
  <c r="HV18" i="17"/>
  <c r="HW18" i="17" s="1"/>
  <c r="HN18" i="17"/>
  <c r="HO18" i="17" s="1"/>
  <c r="HH18" i="17"/>
  <c r="HI18" i="17" s="1"/>
  <c r="HA18" i="17"/>
  <c r="HB18" i="17" s="1"/>
  <c r="GS18" i="17"/>
  <c r="GT18" i="17" s="1"/>
  <c r="GM18" i="17"/>
  <c r="GN18" i="17" s="1"/>
  <c r="GF18" i="17"/>
  <c r="GG18" i="17" s="1"/>
  <c r="FX18" i="17"/>
  <c r="FY18" i="17" s="1"/>
  <c r="FR18" i="17"/>
  <c r="FS18" i="17" s="1"/>
  <c r="FK18" i="17"/>
  <c r="FL18" i="17" s="1"/>
  <c r="FC18" i="17"/>
  <c r="FD18" i="17" s="1"/>
  <c r="EW18" i="17"/>
  <c r="EX18" i="17" s="1"/>
  <c r="EP18" i="17"/>
  <c r="EQ18" i="17" s="1"/>
  <c r="EH18" i="17"/>
  <c r="EI18" i="17" s="1"/>
  <c r="EB18" i="17"/>
  <c r="EC18" i="17" s="1"/>
  <c r="DU18" i="17"/>
  <c r="DV18" i="17" s="1"/>
  <c r="DM18" i="17"/>
  <c r="DN18" i="17" s="1"/>
  <c r="DG18" i="17"/>
  <c r="DH18" i="17" s="1"/>
  <c r="CZ18" i="17"/>
  <c r="DA18" i="17" s="1"/>
  <c r="CR18" i="17"/>
  <c r="CS18" i="17" s="1"/>
  <c r="CL18" i="17"/>
  <c r="CM18" i="17" s="1"/>
  <c r="CE18" i="17"/>
  <c r="CF18" i="17" s="1"/>
  <c r="BW18" i="17"/>
  <c r="BX18" i="17" s="1"/>
  <c r="BQ18" i="17"/>
  <c r="BR18" i="17" s="1"/>
  <c r="BJ18" i="17"/>
  <c r="BK18" i="17" s="1"/>
  <c r="BB18" i="17"/>
  <c r="BC18" i="17" s="1"/>
  <c r="AV18" i="17"/>
  <c r="AW18" i="17" s="1"/>
  <c r="AO18" i="17"/>
  <c r="AP18" i="17" s="1"/>
  <c r="AG18" i="17"/>
  <c r="AH18" i="17" s="1"/>
  <c r="AA18" i="17"/>
  <c r="AB18" i="17" s="1"/>
  <c r="T18" i="17"/>
  <c r="U18" i="17" s="1"/>
  <c r="L18" i="17"/>
  <c r="M18" i="17" s="1"/>
  <c r="F18" i="17"/>
  <c r="G18" i="17" s="1"/>
  <c r="WG17" i="17"/>
  <c r="WH17" i="17" s="1"/>
  <c r="WB17" i="17"/>
  <c r="VW17" i="17"/>
  <c r="VX17" i="17" s="1"/>
  <c r="VP17" i="17"/>
  <c r="VQ17" i="17" s="1"/>
  <c r="VK17" i="17"/>
  <c r="VF17" i="17"/>
  <c r="VG17" i="17" s="1"/>
  <c r="UY17" i="17"/>
  <c r="UZ17" i="17" s="1"/>
  <c r="UT17" i="17"/>
  <c r="UO17" i="17"/>
  <c r="UH17" i="17"/>
  <c r="UI17" i="17" s="1"/>
  <c r="UC17" i="17"/>
  <c r="TX17" i="17"/>
  <c r="TY17" i="17" s="1"/>
  <c r="TQ17" i="17"/>
  <c r="TR17" i="17" s="1"/>
  <c r="TL17" i="17"/>
  <c r="TM17" i="17" s="1"/>
  <c r="TG17" i="17"/>
  <c r="TH17" i="17" s="1"/>
  <c r="SZ17" i="17"/>
  <c r="TA17" i="17" s="1"/>
  <c r="SU17" i="17"/>
  <c r="SV17" i="17" s="1"/>
  <c r="SP17" i="17"/>
  <c r="SQ17" i="17" s="1"/>
  <c r="SI17" i="17"/>
  <c r="SJ17" i="17" s="1"/>
  <c r="SA17" i="17"/>
  <c r="SB17" i="17" s="1"/>
  <c r="RU17" i="17"/>
  <c r="RV17" i="17" s="1"/>
  <c r="RN17" i="17"/>
  <c r="RO17" i="17" s="1"/>
  <c r="RF17" i="17"/>
  <c r="RG17" i="17" s="1"/>
  <c r="QZ17" i="17"/>
  <c r="RA17" i="17" s="1"/>
  <c r="QS17" i="17"/>
  <c r="QT17" i="17" s="1"/>
  <c r="QK17" i="17"/>
  <c r="QL17" i="17" s="1"/>
  <c r="QE17" i="17"/>
  <c r="QF17" i="17" s="1"/>
  <c r="PX17" i="17"/>
  <c r="PY17" i="17" s="1"/>
  <c r="PP17" i="17"/>
  <c r="PJ17" i="17"/>
  <c r="PK17" i="17" s="1"/>
  <c r="PC17" i="17"/>
  <c r="PD17" i="17" s="1"/>
  <c r="OU17" i="17"/>
  <c r="OV17" i="17" s="1"/>
  <c r="OO17" i="17"/>
  <c r="OH17" i="17"/>
  <c r="OI17" i="17" s="1"/>
  <c r="NZ17" i="17"/>
  <c r="OA17" i="17" s="1"/>
  <c r="NT17" i="17"/>
  <c r="NU17" i="17" s="1"/>
  <c r="NM17" i="17"/>
  <c r="NN17" i="17" s="1"/>
  <c r="NE17" i="17"/>
  <c r="NF17" i="17" s="1"/>
  <c r="MY17" i="17"/>
  <c r="MZ17" i="17" s="1"/>
  <c r="MR17" i="17"/>
  <c r="MS17" i="17" s="1"/>
  <c r="MJ17" i="17"/>
  <c r="MK17" i="17" s="1"/>
  <c r="MD17" i="17"/>
  <c r="ME17" i="17" s="1"/>
  <c r="LW17" i="17"/>
  <c r="LX17" i="17" s="1"/>
  <c r="LO17" i="17"/>
  <c r="LP17" i="17" s="1"/>
  <c r="LI17" i="17"/>
  <c r="LJ17" i="17" s="1"/>
  <c r="LB17" i="17"/>
  <c r="LC17" i="17" s="1"/>
  <c r="KT17" i="17"/>
  <c r="KU17" i="17" s="1"/>
  <c r="KN17" i="17"/>
  <c r="KO17" i="17" s="1"/>
  <c r="KG17" i="17"/>
  <c r="KH17" i="17" s="1"/>
  <c r="JY17" i="17"/>
  <c r="JZ17" i="17" s="1"/>
  <c r="JS17" i="17"/>
  <c r="JT17" i="17" s="1"/>
  <c r="JL17" i="17"/>
  <c r="JD17" i="17"/>
  <c r="IX17" i="17"/>
  <c r="IQ17" i="17"/>
  <c r="IR17" i="17" s="1"/>
  <c r="II17" i="17"/>
  <c r="IC17" i="17"/>
  <c r="ID17" i="17" s="1"/>
  <c r="HV17" i="17"/>
  <c r="HW17" i="17" s="1"/>
  <c r="HN17" i="17"/>
  <c r="HO17" i="17" s="1"/>
  <c r="HH17" i="17"/>
  <c r="HI17" i="17" s="1"/>
  <c r="HA17" i="17"/>
  <c r="HB17" i="17" s="1"/>
  <c r="GS17" i="17"/>
  <c r="GT17" i="17" s="1"/>
  <c r="GM17" i="17"/>
  <c r="GN17" i="17" s="1"/>
  <c r="GF17" i="17"/>
  <c r="GG17" i="17" s="1"/>
  <c r="FX17" i="17"/>
  <c r="FY17" i="17" s="1"/>
  <c r="FR17" i="17"/>
  <c r="FS17" i="17" s="1"/>
  <c r="FK17" i="17"/>
  <c r="FC17" i="17"/>
  <c r="EW17" i="17"/>
  <c r="EX17" i="17" s="1"/>
  <c r="EP17" i="17"/>
  <c r="EQ17" i="17" s="1"/>
  <c r="EH17" i="17"/>
  <c r="EI17" i="17" s="1"/>
  <c r="EB17" i="17"/>
  <c r="DU17" i="17"/>
  <c r="DV17" i="17" s="1"/>
  <c r="DM17" i="17"/>
  <c r="DN17" i="17" s="1"/>
  <c r="DG17" i="17"/>
  <c r="DH17" i="17" s="1"/>
  <c r="CZ17" i="17"/>
  <c r="DA17" i="17" s="1"/>
  <c r="CR17" i="17"/>
  <c r="CS17" i="17" s="1"/>
  <c r="CL17" i="17"/>
  <c r="CM17" i="17" s="1"/>
  <c r="CE17" i="17"/>
  <c r="BW17" i="17"/>
  <c r="BX17" i="17" s="1"/>
  <c r="BQ17" i="17"/>
  <c r="BR17" i="17" s="1"/>
  <c r="BJ17" i="17"/>
  <c r="BK17" i="17" s="1"/>
  <c r="BB17" i="17"/>
  <c r="BC17" i="17" s="1"/>
  <c r="AV17" i="17"/>
  <c r="AO17" i="17"/>
  <c r="AP17" i="17" s="1"/>
  <c r="AG17" i="17"/>
  <c r="AA17" i="17"/>
  <c r="T17" i="17"/>
  <c r="U17" i="17" s="1"/>
  <c r="L17" i="17"/>
  <c r="F17" i="17"/>
  <c r="G17" i="17" s="1"/>
  <c r="WG15" i="17"/>
  <c r="WH15" i="17" s="1"/>
  <c r="WB15" i="17"/>
  <c r="WC15" i="17" s="1"/>
  <c r="VW15" i="17"/>
  <c r="VX15" i="17" s="1"/>
  <c r="VP15" i="17"/>
  <c r="VQ15" i="17" s="1"/>
  <c r="VK15" i="17"/>
  <c r="VL15" i="17" s="1"/>
  <c r="VF15" i="17"/>
  <c r="VG15" i="17" s="1"/>
  <c r="UY15" i="17"/>
  <c r="UZ15" i="17" s="1"/>
  <c r="UT15" i="17"/>
  <c r="UU15" i="17" s="1"/>
  <c r="UO15" i="17"/>
  <c r="UP15" i="17" s="1"/>
  <c r="UH15" i="17"/>
  <c r="UI15" i="17" s="1"/>
  <c r="UC15" i="17"/>
  <c r="UD15" i="17" s="1"/>
  <c r="TX15" i="17"/>
  <c r="TY15" i="17" s="1"/>
  <c r="TQ15" i="17"/>
  <c r="TR15" i="17" s="1"/>
  <c r="TL15" i="17"/>
  <c r="TM15" i="17" s="1"/>
  <c r="TG15" i="17"/>
  <c r="TH15" i="17" s="1"/>
  <c r="SZ15" i="17"/>
  <c r="TA15" i="17" s="1"/>
  <c r="SU15" i="17"/>
  <c r="SV15" i="17" s="1"/>
  <c r="SP15" i="17"/>
  <c r="SQ15" i="17" s="1"/>
  <c r="SI15" i="17"/>
  <c r="SJ15" i="17" s="1"/>
  <c r="SA15" i="17"/>
  <c r="SB15" i="17" s="1"/>
  <c r="RU15" i="17"/>
  <c r="RV15" i="17" s="1"/>
  <c r="RN15" i="17"/>
  <c r="RO15" i="17" s="1"/>
  <c r="RF15" i="17"/>
  <c r="RG15" i="17" s="1"/>
  <c r="QZ15" i="17"/>
  <c r="RA15" i="17" s="1"/>
  <c r="QS15" i="17"/>
  <c r="QT15" i="17" s="1"/>
  <c r="QK15" i="17"/>
  <c r="QL15" i="17" s="1"/>
  <c r="QE15" i="17"/>
  <c r="QF15" i="17" s="1"/>
  <c r="PX15" i="17"/>
  <c r="PY15" i="17" s="1"/>
  <c r="PP15" i="17"/>
  <c r="PQ15" i="17" s="1"/>
  <c r="PJ15" i="17"/>
  <c r="PK15" i="17" s="1"/>
  <c r="PC15" i="17"/>
  <c r="PD15" i="17" s="1"/>
  <c r="OU15" i="17"/>
  <c r="OV15" i="17" s="1"/>
  <c r="OO15" i="17"/>
  <c r="OP15" i="17" s="1"/>
  <c r="OH15" i="17"/>
  <c r="OI15" i="17" s="1"/>
  <c r="NZ15" i="17"/>
  <c r="OA15" i="17" s="1"/>
  <c r="NT15" i="17"/>
  <c r="NU15" i="17" s="1"/>
  <c r="NM15" i="17"/>
  <c r="NN15" i="17" s="1"/>
  <c r="NE15" i="17"/>
  <c r="NF15" i="17" s="1"/>
  <c r="MY15" i="17"/>
  <c r="MZ15" i="17" s="1"/>
  <c r="MR15" i="17"/>
  <c r="MS15" i="17" s="1"/>
  <c r="MJ15" i="17"/>
  <c r="MK15" i="17" s="1"/>
  <c r="MD15" i="17"/>
  <c r="LW15" i="17"/>
  <c r="LX15" i="17" s="1"/>
  <c r="LO15" i="17"/>
  <c r="LP15" i="17" s="1"/>
  <c r="LI15" i="17"/>
  <c r="LJ15" i="17" s="1"/>
  <c r="LB15" i="17"/>
  <c r="LC15" i="17" s="1"/>
  <c r="KT15" i="17"/>
  <c r="KU15" i="17" s="1"/>
  <c r="KN15" i="17"/>
  <c r="KO15" i="17" s="1"/>
  <c r="KG15" i="17"/>
  <c r="KH15" i="17" s="1"/>
  <c r="JY15" i="17"/>
  <c r="JZ15" i="17" s="1"/>
  <c r="JS15" i="17"/>
  <c r="JT15" i="17" s="1"/>
  <c r="JL15" i="17"/>
  <c r="JM15" i="17" s="1"/>
  <c r="JD15" i="17"/>
  <c r="JE15" i="17" s="1"/>
  <c r="IX15" i="17"/>
  <c r="IY15" i="17" s="1"/>
  <c r="IQ15" i="17"/>
  <c r="IR15" i="17" s="1"/>
  <c r="II15" i="17"/>
  <c r="IJ15" i="17" s="1"/>
  <c r="IC15" i="17"/>
  <c r="ID15" i="17" s="1"/>
  <c r="HV15" i="17"/>
  <c r="HW15" i="17" s="1"/>
  <c r="HN15" i="17"/>
  <c r="HO15" i="17" s="1"/>
  <c r="HH15" i="17"/>
  <c r="HI15" i="17" s="1"/>
  <c r="HA15" i="17"/>
  <c r="HB15" i="17" s="1"/>
  <c r="GS15" i="17"/>
  <c r="GT15" i="17" s="1"/>
  <c r="GM15" i="17"/>
  <c r="GN15" i="17" s="1"/>
  <c r="GF15" i="17"/>
  <c r="GG15" i="17" s="1"/>
  <c r="FX15" i="17"/>
  <c r="FY15" i="17" s="1"/>
  <c r="FR15" i="17"/>
  <c r="FK15" i="17"/>
  <c r="FL15" i="17" s="1"/>
  <c r="FC15" i="17"/>
  <c r="FD15" i="17" s="1"/>
  <c r="EW15" i="17"/>
  <c r="EX15" i="17" s="1"/>
  <c r="EP15" i="17"/>
  <c r="EQ15" i="17" s="1"/>
  <c r="EH15" i="17"/>
  <c r="EI15" i="17" s="1"/>
  <c r="EB15" i="17"/>
  <c r="EC15" i="17" s="1"/>
  <c r="DU15" i="17"/>
  <c r="DV15" i="17" s="1"/>
  <c r="DM15" i="17"/>
  <c r="DN15" i="17" s="1"/>
  <c r="DG15" i="17"/>
  <c r="DH15" i="17" s="1"/>
  <c r="CZ15" i="17"/>
  <c r="DA15" i="17" s="1"/>
  <c r="CR15" i="17"/>
  <c r="CS15" i="17" s="1"/>
  <c r="CL15" i="17"/>
  <c r="CM15" i="17" s="1"/>
  <c r="CE15" i="17"/>
  <c r="CF15" i="17" s="1"/>
  <c r="BW15" i="17"/>
  <c r="BX15" i="17" s="1"/>
  <c r="BQ15" i="17"/>
  <c r="BR15" i="17" s="1"/>
  <c r="BJ15" i="17"/>
  <c r="BK15" i="17" s="1"/>
  <c r="BB15" i="17"/>
  <c r="BC15" i="17" s="1"/>
  <c r="AV15" i="17"/>
  <c r="AW15" i="17" s="1"/>
  <c r="AO15" i="17"/>
  <c r="AP15" i="17" s="1"/>
  <c r="AG15" i="17"/>
  <c r="AH15" i="17" s="1"/>
  <c r="AA15" i="17"/>
  <c r="AB15" i="17" s="1"/>
  <c r="T15" i="17"/>
  <c r="U15" i="17" s="1"/>
  <c r="L15" i="17"/>
  <c r="M15" i="17" s="1"/>
  <c r="F15" i="17"/>
  <c r="WG14" i="17"/>
  <c r="WH14" i="17" s="1"/>
  <c r="WB14" i="17"/>
  <c r="WC14" i="17" s="1"/>
  <c r="VW14" i="17"/>
  <c r="VX14" i="17" s="1"/>
  <c r="VP14" i="17"/>
  <c r="VQ14" i="17" s="1"/>
  <c r="VK14" i="17"/>
  <c r="VL14" i="17" s="1"/>
  <c r="VF14" i="17"/>
  <c r="VG14" i="17" s="1"/>
  <c r="UY14" i="17"/>
  <c r="UZ14" i="17" s="1"/>
  <c r="UT14" i="17"/>
  <c r="UU14" i="17" s="1"/>
  <c r="UO14" i="17"/>
  <c r="UP14" i="17" s="1"/>
  <c r="UH14" i="17"/>
  <c r="UI14" i="17" s="1"/>
  <c r="UC14" i="17"/>
  <c r="UD14" i="17" s="1"/>
  <c r="TX14" i="17"/>
  <c r="TY14" i="17" s="1"/>
  <c r="TQ14" i="17"/>
  <c r="TR14" i="17" s="1"/>
  <c r="TL14" i="17"/>
  <c r="TM14" i="17" s="1"/>
  <c r="TG14" i="17"/>
  <c r="TH14" i="17" s="1"/>
  <c r="SZ14" i="17"/>
  <c r="TA14" i="17" s="1"/>
  <c r="SU14" i="17"/>
  <c r="SV14" i="17" s="1"/>
  <c r="SP14" i="17"/>
  <c r="SQ14" i="17" s="1"/>
  <c r="SI14" i="17"/>
  <c r="SJ14" i="17" s="1"/>
  <c r="SA14" i="17"/>
  <c r="SB14" i="17" s="1"/>
  <c r="RU14" i="17"/>
  <c r="RV14" i="17" s="1"/>
  <c r="RN14" i="17"/>
  <c r="RO14" i="17" s="1"/>
  <c r="RF14" i="17"/>
  <c r="RG14" i="17" s="1"/>
  <c r="QZ14" i="17"/>
  <c r="QS14" i="17"/>
  <c r="QT14" i="17" s="1"/>
  <c r="QK14" i="17"/>
  <c r="QL14" i="17" s="1"/>
  <c r="QE14" i="17"/>
  <c r="QF14" i="17" s="1"/>
  <c r="PX14" i="17"/>
  <c r="PY14" i="17" s="1"/>
  <c r="PP14" i="17"/>
  <c r="PQ14" i="17" s="1"/>
  <c r="PJ14" i="17"/>
  <c r="PK14" i="17" s="1"/>
  <c r="PC14" i="17"/>
  <c r="PD14" i="17" s="1"/>
  <c r="OU14" i="17"/>
  <c r="OV14" i="17" s="1"/>
  <c r="OO14" i="17"/>
  <c r="OP14" i="17" s="1"/>
  <c r="OH14" i="17"/>
  <c r="OI14" i="17" s="1"/>
  <c r="NZ14" i="17"/>
  <c r="OA14" i="17" s="1"/>
  <c r="NT14" i="17"/>
  <c r="NU14" i="17" s="1"/>
  <c r="NM14" i="17"/>
  <c r="NN14" i="17" s="1"/>
  <c r="NE14" i="17"/>
  <c r="NF14" i="17" s="1"/>
  <c r="MY14" i="17"/>
  <c r="MZ14" i="17" s="1"/>
  <c r="MR14" i="17"/>
  <c r="MS14" i="17" s="1"/>
  <c r="MJ14" i="17"/>
  <c r="MK14" i="17" s="1"/>
  <c r="MD14" i="17"/>
  <c r="ME14" i="17" s="1"/>
  <c r="LW14" i="17"/>
  <c r="LX14" i="17" s="1"/>
  <c r="LO14" i="17"/>
  <c r="LP14" i="17" s="1"/>
  <c r="LI14" i="17"/>
  <c r="LJ14" i="17" s="1"/>
  <c r="LB14" i="17"/>
  <c r="LC14" i="17" s="1"/>
  <c r="KT14" i="17"/>
  <c r="KU14" i="17" s="1"/>
  <c r="KN14" i="17"/>
  <c r="KO14" i="17" s="1"/>
  <c r="KG14" i="17"/>
  <c r="KH14" i="17" s="1"/>
  <c r="JY14" i="17"/>
  <c r="JZ14" i="17" s="1"/>
  <c r="JS14" i="17"/>
  <c r="JT14" i="17" s="1"/>
  <c r="JL14" i="17"/>
  <c r="JM14" i="17" s="1"/>
  <c r="JD14" i="17"/>
  <c r="JE14" i="17" s="1"/>
  <c r="IX14" i="17"/>
  <c r="IY14" i="17" s="1"/>
  <c r="IQ14" i="17"/>
  <c r="IR14" i="17" s="1"/>
  <c r="II14" i="17"/>
  <c r="IJ14" i="17" s="1"/>
  <c r="IC14" i="17"/>
  <c r="ID14" i="17" s="1"/>
  <c r="HV14" i="17"/>
  <c r="HW14" i="17" s="1"/>
  <c r="HN14" i="17"/>
  <c r="HO14" i="17" s="1"/>
  <c r="HH14" i="17"/>
  <c r="HI14" i="17" s="1"/>
  <c r="HA14" i="17"/>
  <c r="HB14" i="17" s="1"/>
  <c r="GS14" i="17"/>
  <c r="GM14" i="17"/>
  <c r="GN14" i="17" s="1"/>
  <c r="GF14" i="17"/>
  <c r="GG14" i="17" s="1"/>
  <c r="FX14" i="17"/>
  <c r="FY14" i="17" s="1"/>
  <c r="FR14" i="17"/>
  <c r="FS14" i="17" s="1"/>
  <c r="FK14" i="17"/>
  <c r="FL14" i="17" s="1"/>
  <c r="FC14" i="17"/>
  <c r="FD14" i="17" s="1"/>
  <c r="EW14" i="17"/>
  <c r="EX14" i="17" s="1"/>
  <c r="EP14" i="17"/>
  <c r="EQ14" i="17" s="1"/>
  <c r="EH14" i="17"/>
  <c r="EI14" i="17" s="1"/>
  <c r="EB14" i="17"/>
  <c r="EC14" i="17" s="1"/>
  <c r="DU14" i="17"/>
  <c r="DV14" i="17" s="1"/>
  <c r="DM14" i="17"/>
  <c r="DN14" i="17" s="1"/>
  <c r="DG14" i="17"/>
  <c r="DH14" i="17" s="1"/>
  <c r="CZ14" i="17"/>
  <c r="DA14" i="17" s="1"/>
  <c r="CR14" i="17"/>
  <c r="CS14" i="17" s="1"/>
  <c r="CL14" i="17"/>
  <c r="CM14" i="17" s="1"/>
  <c r="CE14" i="17"/>
  <c r="CF14" i="17" s="1"/>
  <c r="BW14" i="17"/>
  <c r="BQ14" i="17"/>
  <c r="BR14" i="17" s="1"/>
  <c r="BJ14" i="17"/>
  <c r="BK14" i="17" s="1"/>
  <c r="BB14" i="17"/>
  <c r="BC14" i="17" s="1"/>
  <c r="AV14" i="17"/>
  <c r="AW14" i="17" s="1"/>
  <c r="AO14" i="17"/>
  <c r="AP14" i="17" s="1"/>
  <c r="AG14" i="17"/>
  <c r="AH14" i="17" s="1"/>
  <c r="AA14" i="17"/>
  <c r="AB14" i="17" s="1"/>
  <c r="T14" i="17"/>
  <c r="U14" i="17" s="1"/>
  <c r="L14" i="17"/>
  <c r="M14" i="17" s="1"/>
  <c r="F14" i="17"/>
  <c r="G14" i="17" s="1"/>
  <c r="WG12" i="17"/>
  <c r="WH12" i="17" s="1"/>
  <c r="WB12" i="17"/>
  <c r="WC12" i="17" s="1"/>
  <c r="VW12" i="17"/>
  <c r="VX12" i="17" s="1"/>
  <c r="VP12" i="17"/>
  <c r="VQ12" i="17" s="1"/>
  <c r="VK12" i="17"/>
  <c r="VL12" i="17" s="1"/>
  <c r="VF12" i="17"/>
  <c r="VG12" i="17" s="1"/>
  <c r="UY12" i="17"/>
  <c r="UZ12" i="17" s="1"/>
  <c r="UT12" i="17"/>
  <c r="UU12" i="17" s="1"/>
  <c r="UO12" i="17"/>
  <c r="UP12" i="17" s="1"/>
  <c r="UH12" i="17"/>
  <c r="UI12" i="17" s="1"/>
  <c r="UC12" i="17"/>
  <c r="UD12" i="17" s="1"/>
  <c r="TX12" i="17"/>
  <c r="TY12" i="17" s="1"/>
  <c r="TQ12" i="17"/>
  <c r="TR12" i="17" s="1"/>
  <c r="TL12" i="17"/>
  <c r="TM12" i="17" s="1"/>
  <c r="TG12" i="17"/>
  <c r="TH12" i="17" s="1"/>
  <c r="SZ12" i="17"/>
  <c r="TA12" i="17" s="1"/>
  <c r="SU12" i="17"/>
  <c r="SV12" i="17" s="1"/>
  <c r="SP12" i="17"/>
  <c r="SQ12" i="17" s="1"/>
  <c r="SI12" i="17"/>
  <c r="SJ12" i="17" s="1"/>
  <c r="SA12" i="17"/>
  <c r="RU12" i="17"/>
  <c r="RV12" i="17" s="1"/>
  <c r="RN12" i="17"/>
  <c r="RO12" i="17" s="1"/>
  <c r="RF12" i="17"/>
  <c r="RG12" i="17" s="1"/>
  <c r="QZ12" i="17"/>
  <c r="RA12" i="17" s="1"/>
  <c r="QS12" i="17"/>
  <c r="QT12" i="17" s="1"/>
  <c r="QK12" i="17"/>
  <c r="QL12" i="17" s="1"/>
  <c r="QE12" i="17"/>
  <c r="QF12" i="17" s="1"/>
  <c r="PX12" i="17"/>
  <c r="PY12" i="17" s="1"/>
  <c r="PP12" i="17"/>
  <c r="PQ12" i="17" s="1"/>
  <c r="PJ12" i="17"/>
  <c r="PK12" i="17" s="1"/>
  <c r="PC12" i="17"/>
  <c r="PD12" i="17" s="1"/>
  <c r="OU12" i="17"/>
  <c r="OV12" i="17" s="1"/>
  <c r="OO12" i="17"/>
  <c r="OP12" i="17" s="1"/>
  <c r="OH12" i="17"/>
  <c r="OI12" i="17" s="1"/>
  <c r="NZ12" i="17"/>
  <c r="OA12" i="17" s="1"/>
  <c r="NT12" i="17"/>
  <c r="NU12" i="17" s="1"/>
  <c r="NM12" i="17"/>
  <c r="NN12" i="17" s="1"/>
  <c r="NE12" i="17"/>
  <c r="NF12" i="17" s="1"/>
  <c r="MY12" i="17"/>
  <c r="MZ12" i="17" s="1"/>
  <c r="MR12" i="17"/>
  <c r="MS12" i="17" s="1"/>
  <c r="MJ12" i="17"/>
  <c r="MK12" i="17" s="1"/>
  <c r="MD12" i="17"/>
  <c r="ME12" i="17" s="1"/>
  <c r="LW12" i="17"/>
  <c r="LX12" i="17" s="1"/>
  <c r="LO12" i="17"/>
  <c r="LP12" i="17" s="1"/>
  <c r="LI12" i="17"/>
  <c r="LJ12" i="17" s="1"/>
  <c r="LB12" i="17"/>
  <c r="LC12" i="17" s="1"/>
  <c r="KT12" i="17"/>
  <c r="KU12" i="17" s="1"/>
  <c r="KN12" i="17"/>
  <c r="KO12" i="17" s="1"/>
  <c r="KG12" i="17"/>
  <c r="KH12" i="17" s="1"/>
  <c r="JY12" i="17"/>
  <c r="JZ12" i="17" s="1"/>
  <c r="JS12" i="17"/>
  <c r="JT12" i="17" s="1"/>
  <c r="JL12" i="17"/>
  <c r="JM12" i="17" s="1"/>
  <c r="JD12" i="17"/>
  <c r="JE12" i="17" s="1"/>
  <c r="IX12" i="17"/>
  <c r="IY12" i="17" s="1"/>
  <c r="IQ12" i="17"/>
  <c r="IR12" i="17" s="1"/>
  <c r="II12" i="17"/>
  <c r="IJ12" i="17" s="1"/>
  <c r="IC12" i="17"/>
  <c r="ID12" i="17" s="1"/>
  <c r="HV12" i="17"/>
  <c r="HW12" i="17" s="1"/>
  <c r="HN12" i="17"/>
  <c r="HO12" i="17" s="1"/>
  <c r="HH12" i="17"/>
  <c r="HI12" i="17" s="1"/>
  <c r="HA12" i="17"/>
  <c r="HB12" i="17" s="1"/>
  <c r="GS12" i="17"/>
  <c r="GT12" i="17" s="1"/>
  <c r="GM12" i="17"/>
  <c r="GN12" i="17" s="1"/>
  <c r="GF12" i="17"/>
  <c r="GG12" i="17" s="1"/>
  <c r="FX12" i="17"/>
  <c r="FY12" i="17" s="1"/>
  <c r="FR12" i="17"/>
  <c r="FS12" i="17" s="1"/>
  <c r="FK12" i="17"/>
  <c r="FL12" i="17" s="1"/>
  <c r="FC12" i="17"/>
  <c r="FD12" i="17" s="1"/>
  <c r="EW12" i="17"/>
  <c r="EX12" i="17" s="1"/>
  <c r="EP12" i="17"/>
  <c r="EQ12" i="17" s="1"/>
  <c r="EH12" i="17"/>
  <c r="EI12" i="17" s="1"/>
  <c r="EB12" i="17"/>
  <c r="EC12" i="17" s="1"/>
  <c r="DU12" i="17"/>
  <c r="DV12" i="17" s="1"/>
  <c r="DM12" i="17"/>
  <c r="DN12" i="17" s="1"/>
  <c r="DG12" i="17"/>
  <c r="DH12" i="17" s="1"/>
  <c r="CZ12" i="17"/>
  <c r="DA12" i="17" s="1"/>
  <c r="CR12" i="17"/>
  <c r="CS12" i="17" s="1"/>
  <c r="CL12" i="17"/>
  <c r="CM12" i="17" s="1"/>
  <c r="CE12" i="17"/>
  <c r="CF12" i="17" s="1"/>
  <c r="BW12" i="17"/>
  <c r="BX12" i="17" s="1"/>
  <c r="BQ12" i="17"/>
  <c r="BR12" i="17" s="1"/>
  <c r="BJ12" i="17"/>
  <c r="BK12" i="17" s="1"/>
  <c r="BB12" i="17"/>
  <c r="BC12" i="17" s="1"/>
  <c r="AV12" i="17"/>
  <c r="AW12" i="17" s="1"/>
  <c r="AO12" i="17"/>
  <c r="AP12" i="17" s="1"/>
  <c r="AG12" i="17"/>
  <c r="AH12" i="17" s="1"/>
  <c r="AA12" i="17"/>
  <c r="AB12" i="17" s="1"/>
  <c r="T12" i="17"/>
  <c r="U12" i="17" s="1"/>
  <c r="L12" i="17"/>
  <c r="M12" i="17" s="1"/>
  <c r="F12" i="17"/>
  <c r="G12" i="17" s="1"/>
  <c r="WG11" i="17"/>
  <c r="WB11" i="17"/>
  <c r="WC11" i="17" s="1"/>
  <c r="VW11" i="17"/>
  <c r="VX11" i="17" s="1"/>
  <c r="VP11" i="17"/>
  <c r="VQ11" i="17" s="1"/>
  <c r="VK11" i="17"/>
  <c r="VL11" i="17" s="1"/>
  <c r="VF11" i="17"/>
  <c r="UY11" i="17"/>
  <c r="UZ11" i="17" s="1"/>
  <c r="UT11" i="17"/>
  <c r="UU11" i="17" s="1"/>
  <c r="UO11" i="17"/>
  <c r="UP11" i="17" s="1"/>
  <c r="UH11" i="17"/>
  <c r="UI11" i="17" s="1"/>
  <c r="UC11" i="17"/>
  <c r="TX11" i="17"/>
  <c r="TY11" i="17" s="1"/>
  <c r="TQ11" i="17"/>
  <c r="TR11" i="17" s="1"/>
  <c r="TL11" i="17"/>
  <c r="TM11" i="17" s="1"/>
  <c r="TG11" i="17"/>
  <c r="TH11" i="17" s="1"/>
  <c r="SZ11" i="17"/>
  <c r="TA11" i="17" s="1"/>
  <c r="SU11" i="17"/>
  <c r="SV11" i="17" s="1"/>
  <c r="SP11" i="17"/>
  <c r="SQ11" i="17" s="1"/>
  <c r="SI11" i="17"/>
  <c r="SJ11" i="17" s="1"/>
  <c r="SA11" i="17"/>
  <c r="SB11" i="17" s="1"/>
  <c r="RU11" i="17"/>
  <c r="RV11" i="17" s="1"/>
  <c r="RN11" i="17"/>
  <c r="RO11" i="17" s="1"/>
  <c r="RF11" i="17"/>
  <c r="RG11" i="17" s="1"/>
  <c r="QZ11" i="17"/>
  <c r="RA11" i="17" s="1"/>
  <c r="QS11" i="17"/>
  <c r="QK11" i="17"/>
  <c r="QL11" i="17" s="1"/>
  <c r="QE11" i="17"/>
  <c r="QF11" i="17" s="1"/>
  <c r="PX11" i="17"/>
  <c r="PY11" i="17" s="1"/>
  <c r="PP11" i="17"/>
  <c r="PQ11" i="17" s="1"/>
  <c r="PJ11" i="17"/>
  <c r="PC11" i="17"/>
  <c r="PD11" i="17" s="1"/>
  <c r="OU11" i="17"/>
  <c r="OV11" i="17" s="1"/>
  <c r="OO11" i="17"/>
  <c r="OP11" i="17" s="1"/>
  <c r="OH11" i="17"/>
  <c r="OI11" i="17" s="1"/>
  <c r="NZ11" i="17"/>
  <c r="NT11" i="17"/>
  <c r="NU11" i="17" s="1"/>
  <c r="NM11" i="17"/>
  <c r="NN11" i="17" s="1"/>
  <c r="NE11" i="17"/>
  <c r="NF11" i="17" s="1"/>
  <c r="MY11" i="17"/>
  <c r="MZ11" i="17" s="1"/>
  <c r="MR11" i="17"/>
  <c r="MS11" i="17" s="1"/>
  <c r="MJ11" i="17"/>
  <c r="MK11" i="17" s="1"/>
  <c r="MD11" i="17"/>
  <c r="ME11" i="17" s="1"/>
  <c r="LW11" i="17"/>
  <c r="LX11" i="17" s="1"/>
  <c r="LO11" i="17"/>
  <c r="LI11" i="17"/>
  <c r="LJ11" i="17" s="1"/>
  <c r="LB11" i="17"/>
  <c r="LC11" i="17" s="1"/>
  <c r="KT11" i="17"/>
  <c r="KU11" i="17" s="1"/>
  <c r="KN11" i="17"/>
  <c r="KO11" i="17" s="1"/>
  <c r="KG11" i="17"/>
  <c r="KH11" i="17" s="1"/>
  <c r="JY11" i="17"/>
  <c r="JS11" i="17"/>
  <c r="JT11" i="17" s="1"/>
  <c r="JL11" i="17"/>
  <c r="JM11" i="17" s="1"/>
  <c r="JD11" i="17"/>
  <c r="IX11" i="17"/>
  <c r="IY11" i="17" s="1"/>
  <c r="IQ11" i="17"/>
  <c r="IR11" i="17" s="1"/>
  <c r="II11" i="17"/>
  <c r="IJ11" i="17" s="1"/>
  <c r="IC11" i="17"/>
  <c r="HV11" i="17"/>
  <c r="HW11" i="17" s="1"/>
  <c r="HN11" i="17"/>
  <c r="HO11" i="17" s="1"/>
  <c r="HH11" i="17"/>
  <c r="HI11" i="17" s="1"/>
  <c r="HA11" i="17"/>
  <c r="HB11" i="17" s="1"/>
  <c r="GS11" i="17"/>
  <c r="GT11" i="17" s="1"/>
  <c r="GM11" i="17"/>
  <c r="GN11" i="17" s="1"/>
  <c r="GF11" i="17"/>
  <c r="GG11" i="17" s="1"/>
  <c r="FX11" i="17"/>
  <c r="FY11" i="17" s="1"/>
  <c r="FR11" i="17"/>
  <c r="FS11" i="17" s="1"/>
  <c r="FK11" i="17"/>
  <c r="FL11" i="17" s="1"/>
  <c r="FC11" i="17"/>
  <c r="EW11" i="17"/>
  <c r="EX11" i="17" s="1"/>
  <c r="EP11" i="17"/>
  <c r="EQ11" i="17" s="1"/>
  <c r="EH11" i="17"/>
  <c r="EI11" i="17" s="1"/>
  <c r="EB11" i="17"/>
  <c r="EC11" i="17" s="1"/>
  <c r="DU11" i="17"/>
  <c r="DV11" i="17" s="1"/>
  <c r="DM11" i="17"/>
  <c r="DG11" i="17"/>
  <c r="DH11" i="17" s="1"/>
  <c r="CZ11" i="17"/>
  <c r="DA11" i="17" s="1"/>
  <c r="CR11" i="17"/>
  <c r="CS11" i="17" s="1"/>
  <c r="CL11" i="17"/>
  <c r="CM11" i="17" s="1"/>
  <c r="CE11" i="17"/>
  <c r="CF11" i="17" s="1"/>
  <c r="BW11" i="17"/>
  <c r="BQ11" i="17"/>
  <c r="BR11" i="17" s="1"/>
  <c r="BJ11" i="17"/>
  <c r="BK11" i="17" s="1"/>
  <c r="BB11" i="17"/>
  <c r="BC11" i="17" s="1"/>
  <c r="AV11" i="17"/>
  <c r="AW11" i="17" s="1"/>
  <c r="AO11" i="17"/>
  <c r="AP11" i="17" s="1"/>
  <c r="AG11" i="17"/>
  <c r="AH11" i="17" s="1"/>
  <c r="AA11" i="17"/>
  <c r="AB11" i="17" s="1"/>
  <c r="T11" i="17"/>
  <c r="U11" i="17" s="1"/>
  <c r="L11" i="17"/>
  <c r="M11" i="17" s="1"/>
  <c r="F11" i="17"/>
  <c r="G11" i="17" s="1"/>
  <c r="WG9" i="17"/>
  <c r="WH9" i="17" s="1"/>
  <c r="WB9" i="17"/>
  <c r="WC9" i="17" s="1"/>
  <c r="VW9" i="17"/>
  <c r="VX9" i="17" s="1"/>
  <c r="VP9" i="17"/>
  <c r="VQ9" i="17" s="1"/>
  <c r="VK9" i="17"/>
  <c r="VL9" i="17" s="1"/>
  <c r="VF9" i="17"/>
  <c r="VG9" i="17" s="1"/>
  <c r="UY9" i="17"/>
  <c r="UZ9" i="17" s="1"/>
  <c r="UT9" i="17"/>
  <c r="UU9" i="17" s="1"/>
  <c r="UO9" i="17"/>
  <c r="UP9" i="17" s="1"/>
  <c r="UH9" i="17"/>
  <c r="UI9" i="17" s="1"/>
  <c r="UC9" i="17"/>
  <c r="UD9" i="17" s="1"/>
  <c r="TX9" i="17"/>
  <c r="TY9" i="17" s="1"/>
  <c r="TQ9" i="17"/>
  <c r="TR9" i="17" s="1"/>
  <c r="TL9" i="17"/>
  <c r="TM9" i="17" s="1"/>
  <c r="TG9" i="17"/>
  <c r="TH9" i="17" s="1"/>
  <c r="SZ9" i="17"/>
  <c r="TA9" i="17" s="1"/>
  <c r="SU9" i="17"/>
  <c r="SV9" i="17" s="1"/>
  <c r="SP9" i="17"/>
  <c r="SQ9" i="17" s="1"/>
  <c r="SI9" i="17"/>
  <c r="SJ9" i="17" s="1"/>
  <c r="SA9" i="17"/>
  <c r="SB9" i="17" s="1"/>
  <c r="RU9" i="17"/>
  <c r="RV9" i="17" s="1"/>
  <c r="RN9" i="17"/>
  <c r="RO9" i="17" s="1"/>
  <c r="RF9" i="17"/>
  <c r="RG9" i="17" s="1"/>
  <c r="QZ9" i="17"/>
  <c r="RA9" i="17" s="1"/>
  <c r="QS9" i="17"/>
  <c r="QT9" i="17" s="1"/>
  <c r="QK9" i="17"/>
  <c r="QL9" i="17" s="1"/>
  <c r="QE9" i="17"/>
  <c r="QF9" i="17" s="1"/>
  <c r="PX9" i="17"/>
  <c r="PY9" i="17" s="1"/>
  <c r="PP9" i="17"/>
  <c r="PQ9" i="17" s="1"/>
  <c r="PJ9" i="17"/>
  <c r="PK9" i="17" s="1"/>
  <c r="PC9" i="17"/>
  <c r="PD9" i="17" s="1"/>
  <c r="OU9" i="17"/>
  <c r="OV9" i="17" s="1"/>
  <c r="OO9" i="17"/>
  <c r="OP9" i="17" s="1"/>
  <c r="OH9" i="17"/>
  <c r="OI9" i="17" s="1"/>
  <c r="NZ9" i="17"/>
  <c r="OA9" i="17" s="1"/>
  <c r="NT9" i="17"/>
  <c r="NU9" i="17" s="1"/>
  <c r="NM9" i="17"/>
  <c r="NN9" i="17" s="1"/>
  <c r="NE9" i="17"/>
  <c r="NF9" i="17" s="1"/>
  <c r="MY9" i="17"/>
  <c r="MZ9" i="17" s="1"/>
  <c r="MR9" i="17"/>
  <c r="MS9" i="17" s="1"/>
  <c r="MJ9" i="17"/>
  <c r="MK9" i="17" s="1"/>
  <c r="MD9" i="17"/>
  <c r="ME9" i="17" s="1"/>
  <c r="LW9" i="17"/>
  <c r="LX9" i="17" s="1"/>
  <c r="LO9" i="17"/>
  <c r="LP9" i="17" s="1"/>
  <c r="LI9" i="17"/>
  <c r="LJ9" i="17" s="1"/>
  <c r="LB9" i="17"/>
  <c r="LC9" i="17" s="1"/>
  <c r="KT9" i="17"/>
  <c r="KU9" i="17" s="1"/>
  <c r="KN9" i="17"/>
  <c r="KO9" i="17" s="1"/>
  <c r="KG9" i="17"/>
  <c r="KH9" i="17" s="1"/>
  <c r="JY9" i="17"/>
  <c r="JZ9" i="17" s="1"/>
  <c r="JS9" i="17"/>
  <c r="JT9" i="17" s="1"/>
  <c r="JL9" i="17"/>
  <c r="JM9" i="17" s="1"/>
  <c r="JD9" i="17"/>
  <c r="JE9" i="17" s="1"/>
  <c r="IX9" i="17"/>
  <c r="IY9" i="17" s="1"/>
  <c r="IQ9" i="17"/>
  <c r="IR9" i="17" s="1"/>
  <c r="II9" i="17"/>
  <c r="IJ9" i="17" s="1"/>
  <c r="IC9" i="17"/>
  <c r="ID9" i="17" s="1"/>
  <c r="HV9" i="17"/>
  <c r="HW9" i="17" s="1"/>
  <c r="HN9" i="17"/>
  <c r="HO9" i="17" s="1"/>
  <c r="HH9" i="17"/>
  <c r="HI9" i="17" s="1"/>
  <c r="HA9" i="17"/>
  <c r="HB9" i="17" s="1"/>
  <c r="GS9" i="17"/>
  <c r="GT9" i="17" s="1"/>
  <c r="GM9" i="17"/>
  <c r="GN9" i="17" s="1"/>
  <c r="GF9" i="17"/>
  <c r="GG9" i="17" s="1"/>
  <c r="FX9" i="17"/>
  <c r="FY9" i="17" s="1"/>
  <c r="FR9" i="17"/>
  <c r="FS9" i="17" s="1"/>
  <c r="FK9" i="17"/>
  <c r="FL9" i="17" s="1"/>
  <c r="FC9" i="17"/>
  <c r="FD9" i="17" s="1"/>
  <c r="EW9" i="17"/>
  <c r="EX9" i="17" s="1"/>
  <c r="EP9" i="17"/>
  <c r="EQ9" i="17" s="1"/>
  <c r="EH9" i="17"/>
  <c r="EI9" i="17" s="1"/>
  <c r="EB9" i="17"/>
  <c r="EC9" i="17" s="1"/>
  <c r="DU9" i="17"/>
  <c r="DV9" i="17" s="1"/>
  <c r="DM9" i="17"/>
  <c r="DN9" i="17" s="1"/>
  <c r="DG9" i="17"/>
  <c r="DH9" i="17" s="1"/>
  <c r="CZ9" i="17"/>
  <c r="DA9" i="17" s="1"/>
  <c r="CR9" i="17"/>
  <c r="CS9" i="17" s="1"/>
  <c r="CL9" i="17"/>
  <c r="CM9" i="17" s="1"/>
  <c r="CE9" i="17"/>
  <c r="CF9" i="17" s="1"/>
  <c r="BW9" i="17"/>
  <c r="BX9" i="17" s="1"/>
  <c r="BQ9" i="17"/>
  <c r="BR9" i="17" s="1"/>
  <c r="BJ9" i="17"/>
  <c r="BK9" i="17" s="1"/>
  <c r="BB9" i="17"/>
  <c r="BC9" i="17" s="1"/>
  <c r="AV9" i="17"/>
  <c r="AW9" i="17" s="1"/>
  <c r="AO9" i="17"/>
  <c r="AP9" i="17" s="1"/>
  <c r="AG9" i="17"/>
  <c r="AH9" i="17" s="1"/>
  <c r="AA9" i="17"/>
  <c r="AB9" i="17" s="1"/>
  <c r="T9" i="17"/>
  <c r="U9" i="17" s="1"/>
  <c r="L9" i="17"/>
  <c r="M9" i="17" s="1"/>
  <c r="F9" i="17"/>
  <c r="G9" i="17" s="1"/>
  <c r="WG8" i="17"/>
  <c r="WH8" i="17" s="1"/>
  <c r="WB8" i="17"/>
  <c r="WC8" i="17" s="1"/>
  <c r="VW8" i="17"/>
  <c r="VX8" i="17" s="1"/>
  <c r="VP8" i="17"/>
  <c r="VQ8" i="17" s="1"/>
  <c r="VK8" i="17"/>
  <c r="VL8" i="17" s="1"/>
  <c r="VF8" i="17"/>
  <c r="VG8" i="17" s="1"/>
  <c r="UY8" i="17"/>
  <c r="UZ8" i="17" s="1"/>
  <c r="UT8" i="17"/>
  <c r="UU8" i="17" s="1"/>
  <c r="UO8" i="17"/>
  <c r="UP8" i="17" s="1"/>
  <c r="UH8" i="17"/>
  <c r="UI8" i="17" s="1"/>
  <c r="UC8" i="17"/>
  <c r="UD8" i="17" s="1"/>
  <c r="TX8" i="17"/>
  <c r="TY8" i="17" s="1"/>
  <c r="TQ8" i="17"/>
  <c r="TR8" i="17" s="1"/>
  <c r="TL8" i="17"/>
  <c r="TM8" i="17" s="1"/>
  <c r="TG8" i="17"/>
  <c r="TH8" i="17" s="1"/>
  <c r="SZ8" i="17"/>
  <c r="TA8" i="17" s="1"/>
  <c r="SU8" i="17"/>
  <c r="SV8" i="17" s="1"/>
  <c r="SP8" i="17"/>
  <c r="SQ8" i="17" s="1"/>
  <c r="SI8" i="17"/>
  <c r="SJ8" i="17" s="1"/>
  <c r="SA8" i="17"/>
  <c r="SB8" i="17" s="1"/>
  <c r="RU8" i="17"/>
  <c r="RV8" i="17" s="1"/>
  <c r="RN8" i="17"/>
  <c r="RO8" i="17" s="1"/>
  <c r="RF8" i="17"/>
  <c r="RG8" i="17" s="1"/>
  <c r="QZ8" i="17"/>
  <c r="RA8" i="17" s="1"/>
  <c r="QS8" i="17"/>
  <c r="QT8" i="17" s="1"/>
  <c r="QK8" i="17"/>
  <c r="QL8" i="17" s="1"/>
  <c r="QE8" i="17"/>
  <c r="QF8" i="17" s="1"/>
  <c r="PX8" i="17"/>
  <c r="PY8" i="17" s="1"/>
  <c r="PP8" i="17"/>
  <c r="PQ8" i="17" s="1"/>
  <c r="PJ8" i="17"/>
  <c r="PK8" i="17" s="1"/>
  <c r="PC8" i="17"/>
  <c r="PD8" i="17" s="1"/>
  <c r="OU8" i="17"/>
  <c r="OV8" i="17" s="1"/>
  <c r="OO8" i="17"/>
  <c r="OP8" i="17" s="1"/>
  <c r="OH8" i="17"/>
  <c r="OI8" i="17" s="1"/>
  <c r="NZ8" i="17"/>
  <c r="OA8" i="17" s="1"/>
  <c r="NT8" i="17"/>
  <c r="NU8" i="17" s="1"/>
  <c r="NM8" i="17"/>
  <c r="NN8" i="17" s="1"/>
  <c r="NE8" i="17"/>
  <c r="NF8" i="17" s="1"/>
  <c r="MY8" i="17"/>
  <c r="MZ8" i="17" s="1"/>
  <c r="MR8" i="17"/>
  <c r="MS8" i="17" s="1"/>
  <c r="MJ8" i="17"/>
  <c r="MK8" i="17" s="1"/>
  <c r="MD8" i="17"/>
  <c r="ME8" i="17" s="1"/>
  <c r="LW8" i="17"/>
  <c r="LX8" i="17" s="1"/>
  <c r="LO8" i="17"/>
  <c r="LP8" i="17" s="1"/>
  <c r="LI8" i="17"/>
  <c r="LJ8" i="17" s="1"/>
  <c r="LB8" i="17"/>
  <c r="LC8" i="17" s="1"/>
  <c r="KT8" i="17"/>
  <c r="KU8" i="17" s="1"/>
  <c r="KN8" i="17"/>
  <c r="KO8" i="17" s="1"/>
  <c r="KG8" i="17"/>
  <c r="KH8" i="17" s="1"/>
  <c r="JY8" i="17"/>
  <c r="JZ8" i="17" s="1"/>
  <c r="JS8" i="17"/>
  <c r="JT8" i="17" s="1"/>
  <c r="JL8" i="17"/>
  <c r="JM8" i="17" s="1"/>
  <c r="JD8" i="17"/>
  <c r="JE8" i="17" s="1"/>
  <c r="IX8" i="17"/>
  <c r="IY8" i="17" s="1"/>
  <c r="IQ8" i="17"/>
  <c r="IR8" i="17" s="1"/>
  <c r="II8" i="17"/>
  <c r="IJ8" i="17" s="1"/>
  <c r="IC8" i="17"/>
  <c r="ID8" i="17" s="1"/>
  <c r="HV8" i="17"/>
  <c r="HW8" i="17" s="1"/>
  <c r="HN8" i="17"/>
  <c r="HO8" i="17" s="1"/>
  <c r="HH8" i="17"/>
  <c r="HI8" i="17" s="1"/>
  <c r="HA8" i="17"/>
  <c r="HB8" i="17" s="1"/>
  <c r="GS8" i="17"/>
  <c r="GT8" i="17" s="1"/>
  <c r="GM8" i="17"/>
  <c r="GN8" i="17" s="1"/>
  <c r="GF8" i="17"/>
  <c r="GG8" i="17" s="1"/>
  <c r="FX8" i="17"/>
  <c r="FY8" i="17" s="1"/>
  <c r="FR8" i="17"/>
  <c r="FS8" i="17" s="1"/>
  <c r="FK8" i="17"/>
  <c r="FL8" i="17" s="1"/>
  <c r="FC8" i="17"/>
  <c r="FD8" i="17" s="1"/>
  <c r="EW8" i="17"/>
  <c r="EX8" i="17" s="1"/>
  <c r="EP8" i="17"/>
  <c r="EQ8" i="17" s="1"/>
  <c r="EH8" i="17"/>
  <c r="EI8" i="17" s="1"/>
  <c r="EB8" i="17"/>
  <c r="EC8" i="17" s="1"/>
  <c r="DU8" i="17"/>
  <c r="DV8" i="17" s="1"/>
  <c r="DM8" i="17"/>
  <c r="DN8" i="17" s="1"/>
  <c r="DG8" i="17"/>
  <c r="DH8" i="17" s="1"/>
  <c r="CZ8" i="17"/>
  <c r="DA8" i="17" s="1"/>
  <c r="CR8" i="17"/>
  <c r="CS8" i="17" s="1"/>
  <c r="CL8" i="17"/>
  <c r="CM8" i="17" s="1"/>
  <c r="CE8" i="17"/>
  <c r="CF8" i="17" s="1"/>
  <c r="BW8" i="17"/>
  <c r="BX8" i="17" s="1"/>
  <c r="BQ8" i="17"/>
  <c r="BR8" i="17" s="1"/>
  <c r="BJ8" i="17"/>
  <c r="BK8" i="17" s="1"/>
  <c r="BB8" i="17"/>
  <c r="BC8" i="17" s="1"/>
  <c r="AV8" i="17"/>
  <c r="AW8" i="17" s="1"/>
  <c r="AO8" i="17"/>
  <c r="AP8" i="17" s="1"/>
  <c r="AG8" i="17"/>
  <c r="AH8" i="17" s="1"/>
  <c r="AA8" i="17"/>
  <c r="AB8" i="17" s="1"/>
  <c r="T8" i="17"/>
  <c r="U8" i="17" s="1"/>
  <c r="L8" i="17"/>
  <c r="M8" i="17" s="1"/>
  <c r="F8" i="17"/>
  <c r="G8" i="17" s="1"/>
  <c r="WG7" i="17"/>
  <c r="WH7" i="17" s="1"/>
  <c r="WB7" i="17"/>
  <c r="WC7" i="17" s="1"/>
  <c r="VW7" i="17"/>
  <c r="VX7" i="17" s="1"/>
  <c r="VP7" i="17"/>
  <c r="VQ7" i="17" s="1"/>
  <c r="VK7" i="17"/>
  <c r="VL7" i="17" s="1"/>
  <c r="VF7" i="17"/>
  <c r="VG7" i="17" s="1"/>
  <c r="UY7" i="17"/>
  <c r="UZ7" i="17" s="1"/>
  <c r="UT7" i="17"/>
  <c r="UU7" i="17" s="1"/>
  <c r="UO7" i="17"/>
  <c r="UP7" i="17" s="1"/>
  <c r="UH7" i="17"/>
  <c r="UI7" i="17" s="1"/>
  <c r="UC7" i="17"/>
  <c r="UD7" i="17" s="1"/>
  <c r="TX7" i="17"/>
  <c r="TY7" i="17" s="1"/>
  <c r="TQ7" i="17"/>
  <c r="TR7" i="17" s="1"/>
  <c r="TL7" i="17"/>
  <c r="TM7" i="17" s="1"/>
  <c r="TG7" i="17"/>
  <c r="TH7" i="17" s="1"/>
  <c r="SZ7" i="17"/>
  <c r="TA7" i="17" s="1"/>
  <c r="SU7" i="17"/>
  <c r="SV7" i="17" s="1"/>
  <c r="SP7" i="17"/>
  <c r="SQ7" i="17" s="1"/>
  <c r="SI7" i="17"/>
  <c r="SJ7" i="17" s="1"/>
  <c r="SA7" i="17"/>
  <c r="SB7" i="17" s="1"/>
  <c r="RU7" i="17"/>
  <c r="RV7" i="17" s="1"/>
  <c r="RN7" i="17"/>
  <c r="RO7" i="17" s="1"/>
  <c r="RF7" i="17"/>
  <c r="RG7" i="17" s="1"/>
  <c r="QZ7" i="17"/>
  <c r="RA7" i="17" s="1"/>
  <c r="QS7" i="17"/>
  <c r="QT7" i="17" s="1"/>
  <c r="QK7" i="17"/>
  <c r="QL7" i="17" s="1"/>
  <c r="QE7" i="17"/>
  <c r="QF7" i="17" s="1"/>
  <c r="PX7" i="17"/>
  <c r="PY7" i="17" s="1"/>
  <c r="PP7" i="17"/>
  <c r="PQ7" i="17" s="1"/>
  <c r="PJ7" i="17"/>
  <c r="PK7" i="17" s="1"/>
  <c r="PC7" i="17"/>
  <c r="PD7" i="17" s="1"/>
  <c r="OU7" i="17"/>
  <c r="OV7" i="17" s="1"/>
  <c r="OO7" i="17"/>
  <c r="OP7" i="17" s="1"/>
  <c r="OH7" i="17"/>
  <c r="OI7" i="17" s="1"/>
  <c r="NZ7" i="17"/>
  <c r="OA7" i="17" s="1"/>
  <c r="NT7" i="17"/>
  <c r="NU7" i="17" s="1"/>
  <c r="NM7" i="17"/>
  <c r="NN7" i="17" s="1"/>
  <c r="NE7" i="17"/>
  <c r="NF7" i="17" s="1"/>
  <c r="MY7" i="17"/>
  <c r="MZ7" i="17" s="1"/>
  <c r="MR7" i="17"/>
  <c r="MS7" i="17" s="1"/>
  <c r="MJ7" i="17"/>
  <c r="MK7" i="17" s="1"/>
  <c r="MD7" i="17"/>
  <c r="ME7" i="17" s="1"/>
  <c r="LW7" i="17"/>
  <c r="LX7" i="17" s="1"/>
  <c r="LO7" i="17"/>
  <c r="LP7" i="17" s="1"/>
  <c r="LI7" i="17"/>
  <c r="LJ7" i="17" s="1"/>
  <c r="LB7" i="17"/>
  <c r="LC7" i="17" s="1"/>
  <c r="KT7" i="17"/>
  <c r="KU7" i="17" s="1"/>
  <c r="KN7" i="17"/>
  <c r="KO7" i="17" s="1"/>
  <c r="KG7" i="17"/>
  <c r="KH7" i="17" s="1"/>
  <c r="JY7" i="17"/>
  <c r="JZ7" i="17" s="1"/>
  <c r="JS7" i="17"/>
  <c r="JT7" i="17" s="1"/>
  <c r="JL7" i="17"/>
  <c r="JM7" i="17" s="1"/>
  <c r="JD7" i="17"/>
  <c r="JE7" i="17" s="1"/>
  <c r="IX7" i="17"/>
  <c r="IY7" i="17" s="1"/>
  <c r="IQ7" i="17"/>
  <c r="IR7" i="17" s="1"/>
  <c r="II7" i="17"/>
  <c r="IJ7" i="17" s="1"/>
  <c r="IC7" i="17"/>
  <c r="ID7" i="17" s="1"/>
  <c r="HV7" i="17"/>
  <c r="HW7" i="17" s="1"/>
  <c r="HN7" i="17"/>
  <c r="HO7" i="17" s="1"/>
  <c r="HH7" i="17"/>
  <c r="HI7" i="17" s="1"/>
  <c r="HA7" i="17"/>
  <c r="HB7" i="17" s="1"/>
  <c r="GS7" i="17"/>
  <c r="GT7" i="17" s="1"/>
  <c r="GM7" i="17"/>
  <c r="GN7" i="17" s="1"/>
  <c r="GF7" i="17"/>
  <c r="GG7" i="17" s="1"/>
  <c r="FX7" i="17"/>
  <c r="FY7" i="17" s="1"/>
  <c r="FR7" i="17"/>
  <c r="FS7" i="17" s="1"/>
  <c r="FK7" i="17"/>
  <c r="FL7" i="17" s="1"/>
  <c r="FC7" i="17"/>
  <c r="FD7" i="17" s="1"/>
  <c r="EW7" i="17"/>
  <c r="EX7" i="17" s="1"/>
  <c r="EP7" i="17"/>
  <c r="EQ7" i="17" s="1"/>
  <c r="EH7" i="17"/>
  <c r="EI7" i="17" s="1"/>
  <c r="EB7" i="17"/>
  <c r="EC7" i="17" s="1"/>
  <c r="DU7" i="17"/>
  <c r="DV7" i="17" s="1"/>
  <c r="DM7" i="17"/>
  <c r="DN7" i="17" s="1"/>
  <c r="DG7" i="17"/>
  <c r="DH7" i="17" s="1"/>
  <c r="CZ7" i="17"/>
  <c r="DA7" i="17" s="1"/>
  <c r="CR7" i="17"/>
  <c r="CS7" i="17" s="1"/>
  <c r="CL7" i="17"/>
  <c r="CM7" i="17" s="1"/>
  <c r="CE7" i="17"/>
  <c r="CF7" i="17" s="1"/>
  <c r="BW7" i="17"/>
  <c r="BX7" i="17" s="1"/>
  <c r="BQ7" i="17"/>
  <c r="BR7" i="17" s="1"/>
  <c r="BJ7" i="17"/>
  <c r="BK7" i="17" s="1"/>
  <c r="BB7" i="17"/>
  <c r="BC7" i="17" s="1"/>
  <c r="AV7" i="17"/>
  <c r="AW7" i="17" s="1"/>
  <c r="AO7" i="17"/>
  <c r="AP7" i="17" s="1"/>
  <c r="AG7" i="17"/>
  <c r="AH7" i="17" s="1"/>
  <c r="AA7" i="17"/>
  <c r="AB7" i="17" s="1"/>
  <c r="T7" i="17"/>
  <c r="U7" i="17" s="1"/>
  <c r="L7" i="17"/>
  <c r="M7" i="17" s="1"/>
  <c r="F7" i="17"/>
  <c r="G7" i="17" s="1"/>
  <c r="WG6" i="17"/>
  <c r="WH6" i="17" s="1"/>
  <c r="WB6" i="17"/>
  <c r="WC6" i="17" s="1"/>
  <c r="VW6" i="17"/>
  <c r="VX6" i="17" s="1"/>
  <c r="VP6" i="17"/>
  <c r="VQ6" i="17" s="1"/>
  <c r="VK6" i="17"/>
  <c r="VL6" i="17" s="1"/>
  <c r="VF6" i="17"/>
  <c r="VG6" i="17" s="1"/>
  <c r="UY6" i="17"/>
  <c r="UZ6" i="17" s="1"/>
  <c r="UT6" i="17"/>
  <c r="UU6" i="17" s="1"/>
  <c r="UO6" i="17"/>
  <c r="UP6" i="17" s="1"/>
  <c r="UH6" i="17"/>
  <c r="UI6" i="17" s="1"/>
  <c r="UC6" i="17"/>
  <c r="UD6" i="17" s="1"/>
  <c r="TX6" i="17"/>
  <c r="TY6" i="17" s="1"/>
  <c r="TQ6" i="17"/>
  <c r="TR6" i="17" s="1"/>
  <c r="TL6" i="17"/>
  <c r="TM6" i="17" s="1"/>
  <c r="TG6" i="17"/>
  <c r="TH6" i="17" s="1"/>
  <c r="SZ6" i="17"/>
  <c r="TA6" i="17" s="1"/>
  <c r="SU6" i="17"/>
  <c r="SV6" i="17" s="1"/>
  <c r="SP6" i="17"/>
  <c r="SQ6" i="17" s="1"/>
  <c r="SI6" i="17"/>
  <c r="SJ6" i="17" s="1"/>
  <c r="SA6" i="17"/>
  <c r="SB6" i="17" s="1"/>
  <c r="RU6" i="17"/>
  <c r="RV6" i="17" s="1"/>
  <c r="RN6" i="17"/>
  <c r="RO6" i="17" s="1"/>
  <c r="RF6" i="17"/>
  <c r="RG6" i="17" s="1"/>
  <c r="QZ6" i="17"/>
  <c r="RA6" i="17" s="1"/>
  <c r="QS6" i="17"/>
  <c r="QT6" i="17" s="1"/>
  <c r="QK6" i="17"/>
  <c r="QL6" i="17" s="1"/>
  <c r="QE6" i="17"/>
  <c r="QF6" i="17" s="1"/>
  <c r="PX6" i="17"/>
  <c r="PY6" i="17" s="1"/>
  <c r="PP6" i="17"/>
  <c r="PQ6" i="17" s="1"/>
  <c r="PJ6" i="17"/>
  <c r="PK6" i="17" s="1"/>
  <c r="PC6" i="17"/>
  <c r="PD6" i="17" s="1"/>
  <c r="OU6" i="17"/>
  <c r="OV6" i="17" s="1"/>
  <c r="OO6" i="17"/>
  <c r="OP6" i="17" s="1"/>
  <c r="OH6" i="17"/>
  <c r="OI6" i="17" s="1"/>
  <c r="NZ6" i="17"/>
  <c r="OA6" i="17" s="1"/>
  <c r="NT6" i="17"/>
  <c r="NU6" i="17" s="1"/>
  <c r="NM6" i="17"/>
  <c r="NN6" i="17" s="1"/>
  <c r="NE6" i="17"/>
  <c r="NF6" i="17" s="1"/>
  <c r="MY6" i="17"/>
  <c r="MZ6" i="17" s="1"/>
  <c r="MR6" i="17"/>
  <c r="MS6" i="17" s="1"/>
  <c r="MJ6" i="17"/>
  <c r="MK6" i="17" s="1"/>
  <c r="MD6" i="17"/>
  <c r="ME6" i="17" s="1"/>
  <c r="LW6" i="17"/>
  <c r="LX6" i="17" s="1"/>
  <c r="LO6" i="17"/>
  <c r="LP6" i="17" s="1"/>
  <c r="LI6" i="17"/>
  <c r="LJ6" i="17" s="1"/>
  <c r="LB6" i="17"/>
  <c r="LC6" i="17" s="1"/>
  <c r="KT6" i="17"/>
  <c r="KU6" i="17" s="1"/>
  <c r="KN6" i="17"/>
  <c r="KO6" i="17" s="1"/>
  <c r="KG6" i="17"/>
  <c r="KH6" i="17" s="1"/>
  <c r="JY6" i="17"/>
  <c r="JZ6" i="17" s="1"/>
  <c r="JS6" i="17"/>
  <c r="JT6" i="17" s="1"/>
  <c r="JL6" i="17"/>
  <c r="JM6" i="17" s="1"/>
  <c r="JD6" i="17"/>
  <c r="JE6" i="17" s="1"/>
  <c r="IX6" i="17"/>
  <c r="IY6" i="17" s="1"/>
  <c r="IQ6" i="17"/>
  <c r="IR6" i="17" s="1"/>
  <c r="II6" i="17"/>
  <c r="IJ6" i="17" s="1"/>
  <c r="IC6" i="17"/>
  <c r="ID6" i="17" s="1"/>
  <c r="HV6" i="17"/>
  <c r="HW6" i="17" s="1"/>
  <c r="HN6" i="17"/>
  <c r="HO6" i="17" s="1"/>
  <c r="HH6" i="17"/>
  <c r="HI6" i="17" s="1"/>
  <c r="HA6" i="17"/>
  <c r="HB6" i="17" s="1"/>
  <c r="GS6" i="17"/>
  <c r="GT6" i="17" s="1"/>
  <c r="GM6" i="17"/>
  <c r="GN6" i="17" s="1"/>
  <c r="GF6" i="17"/>
  <c r="GG6" i="17" s="1"/>
  <c r="FX6" i="17"/>
  <c r="FY6" i="17" s="1"/>
  <c r="FR6" i="17"/>
  <c r="FS6" i="17" s="1"/>
  <c r="FK6" i="17"/>
  <c r="FL6" i="17" s="1"/>
  <c r="FC6" i="17"/>
  <c r="FD6" i="17" s="1"/>
  <c r="EW6" i="17"/>
  <c r="EX6" i="17" s="1"/>
  <c r="EP6" i="17"/>
  <c r="EQ6" i="17" s="1"/>
  <c r="EH6" i="17"/>
  <c r="EI6" i="17" s="1"/>
  <c r="EB6" i="17"/>
  <c r="EC6" i="17" s="1"/>
  <c r="DU6" i="17"/>
  <c r="DV6" i="17" s="1"/>
  <c r="DM6" i="17"/>
  <c r="DN6" i="17" s="1"/>
  <c r="DG6" i="17"/>
  <c r="DH6" i="17" s="1"/>
  <c r="CZ6" i="17"/>
  <c r="DA6" i="17" s="1"/>
  <c r="CR6" i="17"/>
  <c r="CS6" i="17" s="1"/>
  <c r="CL6" i="17"/>
  <c r="CM6" i="17" s="1"/>
  <c r="CE6" i="17"/>
  <c r="CF6" i="17" s="1"/>
  <c r="BW6" i="17"/>
  <c r="BX6" i="17" s="1"/>
  <c r="BQ6" i="17"/>
  <c r="BR6" i="17" s="1"/>
  <c r="BJ6" i="17"/>
  <c r="BK6" i="17" s="1"/>
  <c r="BB6" i="17"/>
  <c r="BC6" i="17" s="1"/>
  <c r="AV6" i="17"/>
  <c r="AW6" i="17" s="1"/>
  <c r="AO6" i="17"/>
  <c r="AP6" i="17" s="1"/>
  <c r="AG6" i="17"/>
  <c r="AH6" i="17" s="1"/>
  <c r="AA6" i="17"/>
  <c r="AB6" i="17" s="1"/>
  <c r="T6" i="17"/>
  <c r="U6" i="17" s="1"/>
  <c r="L6" i="17"/>
  <c r="M6" i="17" s="1"/>
  <c r="F6" i="17"/>
  <c r="G6" i="17" s="1"/>
  <c r="WG5" i="17"/>
  <c r="WH5" i="17" s="1"/>
  <c r="WB5" i="17"/>
  <c r="WC5" i="17" s="1"/>
  <c r="VW5" i="17"/>
  <c r="VX5" i="17" s="1"/>
  <c r="VP5" i="17"/>
  <c r="VQ5" i="17" s="1"/>
  <c r="VK5" i="17"/>
  <c r="VL5" i="17" s="1"/>
  <c r="VF5" i="17"/>
  <c r="VG5" i="17" s="1"/>
  <c r="UY5" i="17"/>
  <c r="UZ5" i="17" s="1"/>
  <c r="UT5" i="17"/>
  <c r="UU5" i="17" s="1"/>
  <c r="UO5" i="17"/>
  <c r="UP5" i="17" s="1"/>
  <c r="UH5" i="17"/>
  <c r="UI5" i="17" s="1"/>
  <c r="UC5" i="17"/>
  <c r="TX5" i="17"/>
  <c r="TY5" i="17" s="1"/>
  <c r="TQ5" i="17"/>
  <c r="TR5" i="17" s="1"/>
  <c r="TL5" i="17"/>
  <c r="TG5" i="17"/>
  <c r="TH5" i="17" s="1"/>
  <c r="SZ5" i="17"/>
  <c r="TA5" i="17" s="1"/>
  <c r="SU5" i="17"/>
  <c r="SP5" i="17"/>
  <c r="SQ5" i="17" s="1"/>
  <c r="SI5" i="17"/>
  <c r="SJ5" i="17" s="1"/>
  <c r="SA5" i="17"/>
  <c r="RU5" i="17"/>
  <c r="RV5" i="17" s="1"/>
  <c r="RN5" i="17"/>
  <c r="RO5" i="17" s="1"/>
  <c r="RF5" i="17"/>
  <c r="QZ5" i="17"/>
  <c r="RA5" i="17" s="1"/>
  <c r="QS5" i="17"/>
  <c r="QT5" i="17" s="1"/>
  <c r="QK5" i="17"/>
  <c r="QL5" i="17" s="1"/>
  <c r="QE5" i="17"/>
  <c r="QF5" i="17" s="1"/>
  <c r="PX5" i="17"/>
  <c r="PY5" i="17" s="1"/>
  <c r="PP5" i="17"/>
  <c r="PJ5" i="17"/>
  <c r="PK5" i="17" s="1"/>
  <c r="PC5" i="17"/>
  <c r="PD5" i="17" s="1"/>
  <c r="OU5" i="17"/>
  <c r="OO5" i="17"/>
  <c r="OP5" i="17" s="1"/>
  <c r="OH5" i="17"/>
  <c r="OI5" i="17" s="1"/>
  <c r="NZ5" i="17"/>
  <c r="NT5" i="17"/>
  <c r="NU5" i="17" s="1"/>
  <c r="NM5" i="17"/>
  <c r="NN5" i="17" s="1"/>
  <c r="NE5" i="17"/>
  <c r="MY5" i="17"/>
  <c r="MZ5" i="17" s="1"/>
  <c r="MR5" i="17"/>
  <c r="MS5" i="17" s="1"/>
  <c r="MJ5" i="17"/>
  <c r="MK5" i="17" s="1"/>
  <c r="MD5" i="17"/>
  <c r="ME5" i="17" s="1"/>
  <c r="LW5" i="17"/>
  <c r="LX5" i="17" s="1"/>
  <c r="LO5" i="17"/>
  <c r="LI5" i="17"/>
  <c r="LJ5" i="17" s="1"/>
  <c r="LB5" i="17"/>
  <c r="LC5" i="17" s="1"/>
  <c r="KT5" i="17"/>
  <c r="KN5" i="17"/>
  <c r="KO5" i="17" s="1"/>
  <c r="KG5" i="17"/>
  <c r="KH5" i="17" s="1"/>
  <c r="JY5" i="17"/>
  <c r="JS5" i="17"/>
  <c r="JT5" i="17" s="1"/>
  <c r="JL5" i="17"/>
  <c r="JM5" i="17" s="1"/>
  <c r="JD5" i="17"/>
  <c r="JE5" i="17" s="1"/>
  <c r="IX5" i="17"/>
  <c r="IY5" i="17" s="1"/>
  <c r="IQ5" i="17"/>
  <c r="IR5" i="17" s="1"/>
  <c r="II5" i="17"/>
  <c r="IJ5" i="17" s="1"/>
  <c r="IC5" i="17"/>
  <c r="ID5" i="17" s="1"/>
  <c r="HV5" i="17"/>
  <c r="HW5" i="17" s="1"/>
  <c r="HN5" i="17"/>
  <c r="HH5" i="17"/>
  <c r="HI5" i="17" s="1"/>
  <c r="HA5" i="17"/>
  <c r="HB5" i="17" s="1"/>
  <c r="GS5" i="17"/>
  <c r="GM5" i="17"/>
  <c r="GN5" i="17" s="1"/>
  <c r="GF5" i="17"/>
  <c r="GG5" i="17" s="1"/>
  <c r="FX5" i="17"/>
  <c r="FR5" i="17"/>
  <c r="FS5" i="17" s="1"/>
  <c r="FK5" i="17"/>
  <c r="FL5" i="17" s="1"/>
  <c r="FC5" i="17"/>
  <c r="FD5" i="17" s="1"/>
  <c r="EW5" i="17"/>
  <c r="EX5" i="17" s="1"/>
  <c r="EP5" i="17"/>
  <c r="EQ5" i="17" s="1"/>
  <c r="EH5" i="17"/>
  <c r="EB5" i="17"/>
  <c r="EC5" i="17" s="1"/>
  <c r="DU5" i="17"/>
  <c r="DV5" i="17" s="1"/>
  <c r="DM5" i="17"/>
  <c r="DG5" i="17"/>
  <c r="DH5" i="17" s="1"/>
  <c r="CZ5" i="17"/>
  <c r="DA5" i="17" s="1"/>
  <c r="CR5" i="17"/>
  <c r="CL5" i="17"/>
  <c r="CM5" i="17" s="1"/>
  <c r="CE5" i="17"/>
  <c r="CF5" i="17" s="1"/>
  <c r="BW5" i="17"/>
  <c r="BX5" i="17" s="1"/>
  <c r="BQ5" i="17"/>
  <c r="BR5" i="17" s="1"/>
  <c r="BJ5" i="17"/>
  <c r="BK5" i="17" s="1"/>
  <c r="BB5" i="17"/>
  <c r="AV5" i="17"/>
  <c r="AW5" i="17" s="1"/>
  <c r="AO5" i="17"/>
  <c r="AP5" i="17" s="1"/>
  <c r="AG5" i="17"/>
  <c r="AA5" i="17"/>
  <c r="AB5" i="17" s="1"/>
  <c r="T5" i="17"/>
  <c r="U5" i="17" s="1"/>
  <c r="L5" i="17"/>
  <c r="F5" i="17"/>
  <c r="G5" i="17" s="1"/>
  <c r="AN3" i="17"/>
  <c r="BI3" i="17" s="1"/>
  <c r="CD3" i="17" s="1"/>
  <c r="CY3" i="17" s="1"/>
  <c r="DT3" i="17" s="1"/>
  <c r="EO3" i="17" s="1"/>
  <c r="FJ3" i="17" s="1"/>
  <c r="GE3" i="17" s="1"/>
  <c r="GZ3" i="17" s="1"/>
  <c r="HU3" i="17" s="1"/>
  <c r="IP3" i="17" s="1"/>
  <c r="JK3" i="17" s="1"/>
  <c r="KF3" i="17" s="1"/>
  <c r="LA3" i="17" s="1"/>
  <c r="LV3" i="17" s="1"/>
  <c r="MQ3" i="17" s="1"/>
  <c r="NL3" i="17" s="1"/>
  <c r="OG3" i="17" s="1"/>
  <c r="PB3" i="17" s="1"/>
  <c r="PW3" i="17" s="1"/>
  <c r="QR3" i="17" s="1"/>
  <c r="RM3" i="17" s="1"/>
  <c r="SH3" i="17" s="1"/>
  <c r="SY3" i="17" s="1"/>
  <c r="TP3" i="17" s="1"/>
  <c r="UG3" i="17" s="1"/>
  <c r="UX3" i="17" s="1"/>
  <c r="VO3" i="17" s="1"/>
  <c r="WF3" i="17" s="1"/>
  <c r="AJ3" i="17"/>
  <c r="BE3" i="17" s="1"/>
  <c r="BZ3" i="17" s="1"/>
  <c r="CU3" i="17" s="1"/>
  <c r="DP3" i="17" s="1"/>
  <c r="EK3" i="17" s="1"/>
  <c r="FF3" i="17" s="1"/>
  <c r="GA3" i="17" s="1"/>
  <c r="GV3" i="17" s="1"/>
  <c r="HQ3" i="17" s="1"/>
  <c r="IL3" i="17" s="1"/>
  <c r="JG3" i="17" s="1"/>
  <c r="KB3" i="17" s="1"/>
  <c r="KW3" i="17" s="1"/>
  <c r="LR3" i="17" s="1"/>
  <c r="MM3" i="17" s="1"/>
  <c r="NH3" i="17" s="1"/>
  <c r="OC3" i="17" s="1"/>
  <c r="OX3" i="17" s="1"/>
  <c r="PS3" i="17" s="1"/>
  <c r="QN3" i="17" s="1"/>
  <c r="RI3" i="17" s="1"/>
  <c r="SD3" i="17" s="1"/>
  <c r="SX3" i="17" s="1"/>
  <c r="TO3" i="17" s="1"/>
  <c r="UF3" i="17" s="1"/>
  <c r="UW3" i="17" s="1"/>
  <c r="VN3" i="17" s="1"/>
  <c r="WE3" i="17" s="1"/>
  <c r="AI3" i="17"/>
  <c r="BD3" i="17" s="1"/>
  <c r="BY3" i="17" s="1"/>
  <c r="CT3" i="17" s="1"/>
  <c r="DO3" i="17" s="1"/>
  <c r="EJ3" i="17" s="1"/>
  <c r="FE3" i="17" s="1"/>
  <c r="FZ3" i="17" s="1"/>
  <c r="GU3" i="17" s="1"/>
  <c r="HP3" i="17" s="1"/>
  <c r="IK3" i="17" s="1"/>
  <c r="JF3" i="17" s="1"/>
  <c r="KA3" i="17" s="1"/>
  <c r="KV3" i="17" s="1"/>
  <c r="LQ3" i="17" s="1"/>
  <c r="ML3" i="17" s="1"/>
  <c r="NG3" i="17" s="1"/>
  <c r="OB3" i="17" s="1"/>
  <c r="OW3" i="17" s="1"/>
  <c r="PR3" i="17" s="1"/>
  <c r="QM3" i="17" s="1"/>
  <c r="RH3" i="17" s="1"/>
  <c r="SW3" i="17" s="1"/>
  <c r="TN3" i="17" s="1"/>
  <c r="UE3" i="17" s="1"/>
  <c r="UV3" i="17" s="1"/>
  <c r="VM3" i="17" s="1"/>
  <c r="WD3" i="17" s="1"/>
  <c r="AF3" i="17"/>
  <c r="BA3" i="17" s="1"/>
  <c r="BV3" i="17" s="1"/>
  <c r="CQ3" i="17" s="1"/>
  <c r="DL3" i="17" s="1"/>
  <c r="EG3" i="17" s="1"/>
  <c r="FB3" i="17" s="1"/>
  <c r="FW3" i="17" s="1"/>
  <c r="GR3" i="17" s="1"/>
  <c r="HM3" i="17" s="1"/>
  <c r="IH3" i="17" s="1"/>
  <c r="JC3" i="17" s="1"/>
  <c r="JX3" i="17" s="1"/>
  <c r="KS3" i="17" s="1"/>
  <c r="LN3" i="17" s="1"/>
  <c r="MI3" i="17" s="1"/>
  <c r="ND3" i="17" s="1"/>
  <c r="NY3" i="17" s="1"/>
  <c r="OT3" i="17" s="1"/>
  <c r="PO3" i="17" s="1"/>
  <c r="QJ3" i="17" s="1"/>
  <c r="RE3" i="17" s="1"/>
  <c r="RZ3" i="17" s="1"/>
  <c r="ST3" i="17" s="1"/>
  <c r="TK3" i="17" s="1"/>
  <c r="UB3" i="17" s="1"/>
  <c r="US3" i="17" s="1"/>
  <c r="VJ3" i="17" s="1"/>
  <c r="WA3" i="17" s="1"/>
  <c r="AD3" i="17"/>
  <c r="AY3" i="17" s="1"/>
  <c r="BT3" i="17" s="1"/>
  <c r="CO3" i="17" s="1"/>
  <c r="DJ3" i="17" s="1"/>
  <c r="EE3" i="17" s="1"/>
  <c r="EZ3" i="17" s="1"/>
  <c r="FU3" i="17" s="1"/>
  <c r="GP3" i="17" s="1"/>
  <c r="HK3" i="17" s="1"/>
  <c r="IF3" i="17" s="1"/>
  <c r="JA3" i="17" s="1"/>
  <c r="JV3" i="17" s="1"/>
  <c r="KQ3" i="17" s="1"/>
  <c r="LL3" i="17" s="1"/>
  <c r="MG3" i="17" s="1"/>
  <c r="NB3" i="17" s="1"/>
  <c r="NW3" i="17" s="1"/>
  <c r="OR3" i="17" s="1"/>
  <c r="PM3" i="17" s="1"/>
  <c r="QH3" i="17" s="1"/>
  <c r="RC3" i="17" s="1"/>
  <c r="RX3" i="17" s="1"/>
  <c r="SS3" i="17" s="1"/>
  <c r="TJ3" i="17" s="1"/>
  <c r="UA3" i="17" s="1"/>
  <c r="UR3" i="17" s="1"/>
  <c r="VI3" i="17" s="1"/>
  <c r="VZ3" i="17" s="1"/>
  <c r="AC3" i="17"/>
  <c r="AX3" i="17" s="1"/>
  <c r="BS3" i="17" s="1"/>
  <c r="CN3" i="17" s="1"/>
  <c r="DI3" i="17" s="1"/>
  <c r="ED3" i="17" s="1"/>
  <c r="EY3" i="17" s="1"/>
  <c r="FT3" i="17" s="1"/>
  <c r="GO3" i="17" s="1"/>
  <c r="HJ3" i="17" s="1"/>
  <c r="IE3" i="17" s="1"/>
  <c r="IZ3" i="17" s="1"/>
  <c r="JU3" i="17" s="1"/>
  <c r="KP3" i="17" s="1"/>
  <c r="LK3" i="17" s="1"/>
  <c r="MF3" i="17" s="1"/>
  <c r="NA3" i="17" s="1"/>
  <c r="NV3" i="17" s="1"/>
  <c r="OQ3" i="17" s="1"/>
  <c r="PL3" i="17" s="1"/>
  <c r="QG3" i="17" s="1"/>
  <c r="RB3" i="17" s="1"/>
  <c r="RW3" i="17" s="1"/>
  <c r="SR3" i="17" s="1"/>
  <c r="TI3" i="17" s="1"/>
  <c r="TZ3" i="17" s="1"/>
  <c r="UQ3" i="17" s="1"/>
  <c r="VH3" i="17" s="1"/>
  <c r="VY3" i="17" s="1"/>
  <c r="Z3" i="17"/>
  <c r="AU3" i="17" s="1"/>
  <c r="BP3" i="17" s="1"/>
  <c r="CK3" i="17" s="1"/>
  <c r="DF3" i="17" s="1"/>
  <c r="EA3" i="17" s="1"/>
  <c r="EV3" i="17" s="1"/>
  <c r="FQ3" i="17" s="1"/>
  <c r="GL3" i="17" s="1"/>
  <c r="HG3" i="17" s="1"/>
  <c r="IB3" i="17" s="1"/>
  <c r="IW3" i="17" s="1"/>
  <c r="JR3" i="17" s="1"/>
  <c r="KM3" i="17" s="1"/>
  <c r="LH3" i="17" s="1"/>
  <c r="MC3" i="17" s="1"/>
  <c r="MX3" i="17" s="1"/>
  <c r="NS3" i="17" s="1"/>
  <c r="ON3" i="17" s="1"/>
  <c r="PI3" i="17" s="1"/>
  <c r="QD3" i="17" s="1"/>
  <c r="QY3" i="17" s="1"/>
  <c r="RT3" i="17" s="1"/>
  <c r="SO3" i="17" s="1"/>
  <c r="TF3" i="17" s="1"/>
  <c r="TW3" i="17" s="1"/>
  <c r="UN3" i="17" s="1"/>
  <c r="VE3" i="17" s="1"/>
  <c r="VV3" i="17" s="1"/>
  <c r="Y3" i="17"/>
  <c r="AT3" i="17" s="1"/>
  <c r="BO3" i="17" s="1"/>
  <c r="CJ3" i="17" s="1"/>
  <c r="DE3" i="17" s="1"/>
  <c r="DZ3" i="17" s="1"/>
  <c r="EU3" i="17" s="1"/>
  <c r="FP3" i="17" s="1"/>
  <c r="GK3" i="17" s="1"/>
  <c r="HF3" i="17" s="1"/>
  <c r="IA3" i="17" s="1"/>
  <c r="IV3" i="17" s="1"/>
  <c r="JQ3" i="17" s="1"/>
  <c r="KL3" i="17" s="1"/>
  <c r="LG3" i="17" s="1"/>
  <c r="MB3" i="17" s="1"/>
  <c r="MW3" i="17" s="1"/>
  <c r="NR3" i="17" s="1"/>
  <c r="OM3" i="17" s="1"/>
  <c r="PH3" i="17" s="1"/>
  <c r="QC3" i="17" s="1"/>
  <c r="QX3" i="17" s="1"/>
  <c r="RS3" i="17" s="1"/>
  <c r="SN3" i="17" s="1"/>
  <c r="TE3" i="17" s="1"/>
  <c r="TV3" i="17" s="1"/>
  <c r="UM3" i="17" s="1"/>
  <c r="VD3" i="17" s="1"/>
  <c r="VU3" i="17" s="1"/>
  <c r="X3" i="17"/>
  <c r="AS3" i="17" s="1"/>
  <c r="BN3" i="17" s="1"/>
  <c r="CI3" i="17" s="1"/>
  <c r="DD3" i="17" s="1"/>
  <c r="DY3" i="17" s="1"/>
  <c r="ET3" i="17" s="1"/>
  <c r="FO3" i="17" s="1"/>
  <c r="GJ3" i="17" s="1"/>
  <c r="HE3" i="17" s="1"/>
  <c r="HZ3" i="17" s="1"/>
  <c r="IU3" i="17" s="1"/>
  <c r="JP3" i="17" s="1"/>
  <c r="KK3" i="17" s="1"/>
  <c r="LF3" i="17" s="1"/>
  <c r="MA3" i="17" s="1"/>
  <c r="MV3" i="17" s="1"/>
  <c r="NQ3" i="17" s="1"/>
  <c r="OL3" i="17" s="1"/>
  <c r="PG3" i="17" s="1"/>
  <c r="QB3" i="17" s="1"/>
  <c r="QW3" i="17" s="1"/>
  <c r="RR3" i="17" s="1"/>
  <c r="SM3" i="17" s="1"/>
  <c r="TD3" i="17" s="1"/>
  <c r="TU3" i="17" s="1"/>
  <c r="UL3" i="17" s="1"/>
  <c r="VC3" i="17" s="1"/>
  <c r="VT3" i="17" s="1"/>
  <c r="X1" i="17"/>
  <c r="AS1" i="17" s="1"/>
  <c r="BN1" i="17" s="1"/>
  <c r="CI1" i="17" s="1"/>
  <c r="WG21" i="15"/>
  <c r="WH21" i="15" s="1"/>
  <c r="WB21" i="15"/>
  <c r="WC21" i="15" s="1"/>
  <c r="VW21" i="15"/>
  <c r="VP21" i="15"/>
  <c r="VQ21" i="15" s="1"/>
  <c r="VK21" i="15"/>
  <c r="VF21" i="15"/>
  <c r="VG21" i="15" s="1"/>
  <c r="UY21" i="15"/>
  <c r="UZ21" i="15" s="1"/>
  <c r="UT21" i="15"/>
  <c r="UU21" i="15" s="1"/>
  <c r="UO21" i="15"/>
  <c r="UO20" i="15" s="1"/>
  <c r="UP20" i="15" s="1"/>
  <c r="UH21" i="15"/>
  <c r="UI21" i="15" s="1"/>
  <c r="UC21" i="15"/>
  <c r="UD21" i="15" s="1"/>
  <c r="TX21" i="15"/>
  <c r="TX20" i="15" s="1"/>
  <c r="TQ21" i="15"/>
  <c r="TR21" i="15" s="1"/>
  <c r="TL21" i="15"/>
  <c r="TG21" i="15"/>
  <c r="SZ21" i="15"/>
  <c r="SU21" i="15"/>
  <c r="SP21" i="15"/>
  <c r="SQ21" i="15" s="1"/>
  <c r="SI21" i="15"/>
  <c r="SA21" i="15"/>
  <c r="SB21" i="15" s="1"/>
  <c r="RU21" i="15"/>
  <c r="RU20" i="15" s="1"/>
  <c r="RV20" i="15" s="1"/>
  <c r="RN21" i="15"/>
  <c r="RF21" i="15"/>
  <c r="RG21" i="15" s="1"/>
  <c r="QZ21" i="15"/>
  <c r="QS21" i="15"/>
  <c r="QK21" i="15"/>
  <c r="QL21" i="15" s="1"/>
  <c r="QE21" i="15"/>
  <c r="PX21" i="15"/>
  <c r="PP21" i="15"/>
  <c r="PJ21" i="15"/>
  <c r="PJ20" i="15" s="1"/>
  <c r="PC21" i="15"/>
  <c r="OU21" i="15"/>
  <c r="OV21" i="15" s="1"/>
  <c r="OO21" i="15"/>
  <c r="OO20" i="15" s="1"/>
  <c r="OP20" i="15" s="1"/>
  <c r="OH21" i="15"/>
  <c r="OH20" i="15" s="1"/>
  <c r="NZ21" i="15"/>
  <c r="NT21" i="15"/>
  <c r="NT20" i="15" s="1"/>
  <c r="NM21" i="15"/>
  <c r="NM20" i="15" s="1"/>
  <c r="NN20" i="15" s="1"/>
  <c r="NE21" i="15"/>
  <c r="MY21" i="15"/>
  <c r="MY20" i="15" s="1"/>
  <c r="MR21" i="15"/>
  <c r="MS21" i="15" s="1"/>
  <c r="MJ21" i="15"/>
  <c r="MD21" i="15"/>
  <c r="MD20" i="15" s="1"/>
  <c r="LW21" i="15"/>
  <c r="LX21" i="15" s="1"/>
  <c r="LO21" i="15"/>
  <c r="LP21" i="15" s="1"/>
  <c r="LI21" i="15"/>
  <c r="LI20" i="15" s="1"/>
  <c r="LJ20" i="15" s="1"/>
  <c r="LB21" i="15"/>
  <c r="LB20" i="15" s="1"/>
  <c r="KT21" i="15"/>
  <c r="KU21" i="15" s="1"/>
  <c r="KN21" i="15"/>
  <c r="KG21" i="15"/>
  <c r="KG20" i="15" s="1"/>
  <c r="KH20" i="15" s="1"/>
  <c r="JY21" i="15"/>
  <c r="JZ21" i="15" s="1"/>
  <c r="JS21" i="15"/>
  <c r="JL21" i="15"/>
  <c r="JM21" i="15" s="1"/>
  <c r="JD21" i="15"/>
  <c r="JE21" i="15" s="1"/>
  <c r="IX21" i="15"/>
  <c r="IQ21" i="15"/>
  <c r="II21" i="15"/>
  <c r="IC21" i="15"/>
  <c r="IC20" i="15" s="1"/>
  <c r="HV21" i="15"/>
  <c r="HW21" i="15" s="1"/>
  <c r="HN21" i="15"/>
  <c r="HO21" i="15" s="1"/>
  <c r="HH21" i="15"/>
  <c r="HA21" i="15"/>
  <c r="GS21" i="15"/>
  <c r="GT21" i="15" s="1"/>
  <c r="GM21" i="15"/>
  <c r="GN21" i="15" s="1"/>
  <c r="GF21" i="15"/>
  <c r="GG21" i="15" s="1"/>
  <c r="FX21" i="15"/>
  <c r="FR21" i="15"/>
  <c r="FR20" i="15" s="1"/>
  <c r="FK21" i="15"/>
  <c r="FC21" i="15"/>
  <c r="FD21" i="15" s="1"/>
  <c r="EW21" i="15"/>
  <c r="EW20" i="15" s="1"/>
  <c r="EP21" i="15"/>
  <c r="EQ21" i="15" s="1"/>
  <c r="EH21" i="15"/>
  <c r="EI21" i="15" s="1"/>
  <c r="EB21" i="15"/>
  <c r="EC21" i="15" s="1"/>
  <c r="DU21" i="15"/>
  <c r="DM21" i="15"/>
  <c r="DG21" i="15"/>
  <c r="DH21" i="15" s="1"/>
  <c r="CZ21" i="15"/>
  <c r="CZ20" i="15" s="1"/>
  <c r="CR21" i="15"/>
  <c r="CS21" i="15" s="1"/>
  <c r="CL21" i="15"/>
  <c r="CE21" i="15"/>
  <c r="CF21" i="15" s="1"/>
  <c r="BW21" i="15"/>
  <c r="BQ21" i="15"/>
  <c r="BQ20" i="15" s="1"/>
  <c r="BR20" i="15" s="1"/>
  <c r="BJ21" i="15"/>
  <c r="BK21" i="15" s="1"/>
  <c r="BB21" i="15"/>
  <c r="AV21" i="15"/>
  <c r="AO21" i="15"/>
  <c r="AP21" i="15" s="1"/>
  <c r="AG21" i="15"/>
  <c r="AH21" i="15" s="1"/>
  <c r="AA21" i="15"/>
  <c r="T21" i="15"/>
  <c r="U21" i="15" s="1"/>
  <c r="L21" i="15"/>
  <c r="M21" i="15" s="1"/>
  <c r="F21" i="15"/>
  <c r="UY20" i="15"/>
  <c r="UT20" i="15"/>
  <c r="UU20" i="15" s="1"/>
  <c r="WG19" i="15"/>
  <c r="WH19" i="15" s="1"/>
  <c r="WB19" i="15"/>
  <c r="WC19" i="15" s="1"/>
  <c r="VW19" i="15"/>
  <c r="VP19" i="15"/>
  <c r="VQ19" i="15" s="1"/>
  <c r="VK19" i="15"/>
  <c r="VL19" i="15" s="1"/>
  <c r="VF19" i="15"/>
  <c r="UY19" i="15"/>
  <c r="UZ19" i="15" s="1"/>
  <c r="UT19" i="15"/>
  <c r="UU19" i="15" s="1"/>
  <c r="UO19" i="15"/>
  <c r="UH19" i="15"/>
  <c r="UI19" i="15" s="1"/>
  <c r="UC19" i="15"/>
  <c r="UD19" i="15" s="1"/>
  <c r="TX19" i="15"/>
  <c r="TQ19" i="15"/>
  <c r="TR19" i="15" s="1"/>
  <c r="TL19" i="15"/>
  <c r="TM19" i="15" s="1"/>
  <c r="TG19" i="15"/>
  <c r="SZ19" i="15"/>
  <c r="TA19" i="15" s="1"/>
  <c r="SU19" i="15"/>
  <c r="SV19" i="15" s="1"/>
  <c r="SP19" i="15"/>
  <c r="SI19" i="15"/>
  <c r="SJ19" i="15" s="1"/>
  <c r="SA19" i="15"/>
  <c r="RU19" i="15"/>
  <c r="RV19" i="15" s="1"/>
  <c r="RN19" i="15"/>
  <c r="RO19" i="15" s="1"/>
  <c r="RF19" i="15"/>
  <c r="QZ19" i="15"/>
  <c r="QS19" i="15"/>
  <c r="QT19" i="15" s="1"/>
  <c r="QK19" i="15"/>
  <c r="QL19" i="15" s="1"/>
  <c r="QE19" i="15"/>
  <c r="PX19" i="15"/>
  <c r="PY19" i="15" s="1"/>
  <c r="PP19" i="15"/>
  <c r="PQ19" i="15" s="1"/>
  <c r="PJ19" i="15"/>
  <c r="PC19" i="15"/>
  <c r="PD19" i="15" s="1"/>
  <c r="OU19" i="15"/>
  <c r="OV19" i="15" s="1"/>
  <c r="OO19" i="15"/>
  <c r="OH19" i="15"/>
  <c r="OI19" i="15" s="1"/>
  <c r="NZ19" i="15"/>
  <c r="OA19" i="15" s="1"/>
  <c r="NT19" i="15"/>
  <c r="NM19" i="15"/>
  <c r="NN19" i="15" s="1"/>
  <c r="NE19" i="15"/>
  <c r="NF19" i="15" s="1"/>
  <c r="MY19" i="15"/>
  <c r="MR19" i="15"/>
  <c r="MS19" i="15" s="1"/>
  <c r="MJ19" i="15"/>
  <c r="MK19" i="15" s="1"/>
  <c r="MD19" i="15"/>
  <c r="LW19" i="15"/>
  <c r="LX19" i="15" s="1"/>
  <c r="LO19" i="15"/>
  <c r="LP19" i="15" s="1"/>
  <c r="LI19" i="15"/>
  <c r="LB19" i="15"/>
  <c r="LC19" i="15" s="1"/>
  <c r="KT19" i="15"/>
  <c r="KU19" i="15" s="1"/>
  <c r="KN19" i="15"/>
  <c r="KG19" i="15"/>
  <c r="KH19" i="15" s="1"/>
  <c r="JY19" i="15"/>
  <c r="JZ19" i="15" s="1"/>
  <c r="JS19" i="15"/>
  <c r="JL19" i="15"/>
  <c r="JM19" i="15" s="1"/>
  <c r="JD19" i="15"/>
  <c r="JE19" i="15" s="1"/>
  <c r="IX19" i="15"/>
  <c r="IQ19" i="15"/>
  <c r="IR19" i="15" s="1"/>
  <c r="II19" i="15"/>
  <c r="IJ19" i="15" s="1"/>
  <c r="IC19" i="15"/>
  <c r="HV19" i="15"/>
  <c r="HW19" i="15" s="1"/>
  <c r="HN19" i="15"/>
  <c r="HO19" i="15" s="1"/>
  <c r="HH19" i="15"/>
  <c r="HA19" i="15"/>
  <c r="HB19" i="15" s="1"/>
  <c r="GS19" i="15"/>
  <c r="GT19" i="15" s="1"/>
  <c r="GM19" i="15"/>
  <c r="GF19" i="15"/>
  <c r="GG19" i="15" s="1"/>
  <c r="FX19" i="15"/>
  <c r="FY19" i="15" s="1"/>
  <c r="FR19" i="15"/>
  <c r="FK19" i="15"/>
  <c r="FL19" i="15" s="1"/>
  <c r="FC19" i="15"/>
  <c r="FD19" i="15" s="1"/>
  <c r="EW19" i="15"/>
  <c r="EP19" i="15"/>
  <c r="EQ19" i="15" s="1"/>
  <c r="EH19" i="15"/>
  <c r="EI19" i="15" s="1"/>
  <c r="EB19" i="15"/>
  <c r="DU19" i="15"/>
  <c r="DV19" i="15" s="1"/>
  <c r="DM19" i="15"/>
  <c r="DN19" i="15" s="1"/>
  <c r="DG19" i="15"/>
  <c r="CZ19" i="15"/>
  <c r="DA19" i="15" s="1"/>
  <c r="CR19" i="15"/>
  <c r="CS19" i="15" s="1"/>
  <c r="CL19" i="15"/>
  <c r="CE19" i="15"/>
  <c r="CF19" i="15" s="1"/>
  <c r="BW19" i="15"/>
  <c r="BX19" i="15" s="1"/>
  <c r="BQ19" i="15"/>
  <c r="BJ19" i="15"/>
  <c r="BK19" i="15" s="1"/>
  <c r="BB19" i="15"/>
  <c r="BC19" i="15" s="1"/>
  <c r="AV19" i="15"/>
  <c r="AO19" i="15"/>
  <c r="AP19" i="15" s="1"/>
  <c r="AG19" i="15"/>
  <c r="AH19" i="15" s="1"/>
  <c r="AA19" i="15"/>
  <c r="T19" i="15"/>
  <c r="U19" i="15" s="1"/>
  <c r="L19" i="15"/>
  <c r="M19" i="15" s="1"/>
  <c r="F19" i="15"/>
  <c r="WG18" i="15"/>
  <c r="WH18" i="15" s="1"/>
  <c r="WB18" i="15"/>
  <c r="WC18" i="15" s="1"/>
  <c r="VW18" i="15"/>
  <c r="VP18" i="15"/>
  <c r="VK18" i="15"/>
  <c r="VL18" i="15" s="1"/>
  <c r="VF18" i="15"/>
  <c r="UY18" i="15"/>
  <c r="UZ18" i="15" s="1"/>
  <c r="UT18" i="15"/>
  <c r="UU18" i="15" s="1"/>
  <c r="UO18" i="15"/>
  <c r="UH18" i="15"/>
  <c r="UI18" i="15" s="1"/>
  <c r="UC18" i="15"/>
  <c r="UD18" i="15" s="1"/>
  <c r="TX18" i="15"/>
  <c r="TQ18" i="15"/>
  <c r="TR18" i="15" s="1"/>
  <c r="TL18" i="15"/>
  <c r="TM18" i="15" s="1"/>
  <c r="TG18" i="15"/>
  <c r="SZ18" i="15"/>
  <c r="TA18" i="15" s="1"/>
  <c r="SU18" i="15"/>
  <c r="SV18" i="15" s="1"/>
  <c r="SP18" i="15"/>
  <c r="SI18" i="15"/>
  <c r="SJ18" i="15" s="1"/>
  <c r="SA18" i="15"/>
  <c r="SB18" i="15" s="1"/>
  <c r="RU18" i="15"/>
  <c r="RN18" i="15"/>
  <c r="RO18" i="15" s="1"/>
  <c r="RF18" i="15"/>
  <c r="RG18" i="15" s="1"/>
  <c r="QZ18" i="15"/>
  <c r="QS18" i="15"/>
  <c r="QT18" i="15" s="1"/>
  <c r="QK18" i="15"/>
  <c r="QL18" i="15" s="1"/>
  <c r="QE18" i="15"/>
  <c r="PX18" i="15"/>
  <c r="PY18" i="15" s="1"/>
  <c r="PP18" i="15"/>
  <c r="PQ18" i="15" s="1"/>
  <c r="PJ18" i="15"/>
  <c r="PC18" i="15"/>
  <c r="PD18" i="15" s="1"/>
  <c r="OU18" i="15"/>
  <c r="OV18" i="15" s="1"/>
  <c r="OO18" i="15"/>
  <c r="OH18" i="15"/>
  <c r="OI18" i="15" s="1"/>
  <c r="NZ18" i="15"/>
  <c r="OA18" i="15" s="1"/>
  <c r="NT18" i="15"/>
  <c r="NM18" i="15"/>
  <c r="NN18" i="15" s="1"/>
  <c r="NE18" i="15"/>
  <c r="NF18" i="15" s="1"/>
  <c r="MY18" i="15"/>
  <c r="MR18" i="15"/>
  <c r="MS18" i="15" s="1"/>
  <c r="MJ18" i="15"/>
  <c r="MK18" i="15" s="1"/>
  <c r="MD18" i="15"/>
  <c r="LW18" i="15"/>
  <c r="LX18" i="15" s="1"/>
  <c r="LO18" i="15"/>
  <c r="LP18" i="15" s="1"/>
  <c r="LI18" i="15"/>
  <c r="LB18" i="15"/>
  <c r="LC18" i="15" s="1"/>
  <c r="KT18" i="15"/>
  <c r="KU18" i="15" s="1"/>
  <c r="KN18" i="15"/>
  <c r="KG18" i="15"/>
  <c r="KH18" i="15" s="1"/>
  <c r="JY18" i="15"/>
  <c r="JZ18" i="15" s="1"/>
  <c r="JS18" i="15"/>
  <c r="JL18" i="15"/>
  <c r="JM18" i="15" s="1"/>
  <c r="JD18" i="15"/>
  <c r="JE18" i="15" s="1"/>
  <c r="IX18" i="15"/>
  <c r="IQ18" i="15"/>
  <c r="IR18" i="15" s="1"/>
  <c r="II18" i="15"/>
  <c r="IJ18" i="15" s="1"/>
  <c r="IC18" i="15"/>
  <c r="HV18" i="15"/>
  <c r="HW18" i="15" s="1"/>
  <c r="HN18" i="15"/>
  <c r="HO18" i="15" s="1"/>
  <c r="HH18" i="15"/>
  <c r="HA18" i="15"/>
  <c r="HB18" i="15" s="1"/>
  <c r="GS18" i="15"/>
  <c r="GT18" i="15" s="1"/>
  <c r="GM18" i="15"/>
  <c r="GF18" i="15"/>
  <c r="GG18" i="15" s="1"/>
  <c r="FX18" i="15"/>
  <c r="FY18" i="15" s="1"/>
  <c r="FR18" i="15"/>
  <c r="FK18" i="15"/>
  <c r="FL18" i="15" s="1"/>
  <c r="FC18" i="15"/>
  <c r="FD18" i="15" s="1"/>
  <c r="EW18" i="15"/>
  <c r="EP18" i="15"/>
  <c r="EQ18" i="15" s="1"/>
  <c r="EH18" i="15"/>
  <c r="EI18" i="15" s="1"/>
  <c r="EB18" i="15"/>
  <c r="DU18" i="15"/>
  <c r="DV18" i="15" s="1"/>
  <c r="DM18" i="15"/>
  <c r="DN18" i="15" s="1"/>
  <c r="DG18" i="15"/>
  <c r="CZ18" i="15"/>
  <c r="DA18" i="15" s="1"/>
  <c r="CR18" i="15"/>
  <c r="CS18" i="15" s="1"/>
  <c r="CL18" i="15"/>
  <c r="CE18" i="15"/>
  <c r="CF18" i="15" s="1"/>
  <c r="BW18" i="15"/>
  <c r="BX18" i="15" s="1"/>
  <c r="BQ18" i="15"/>
  <c r="BJ18" i="15"/>
  <c r="BK18" i="15" s="1"/>
  <c r="BB18" i="15"/>
  <c r="BC18" i="15" s="1"/>
  <c r="AV18" i="15"/>
  <c r="AO18" i="15"/>
  <c r="AP18" i="15" s="1"/>
  <c r="AG18" i="15"/>
  <c r="AH18" i="15" s="1"/>
  <c r="AA18" i="15"/>
  <c r="T18" i="15"/>
  <c r="U18" i="15" s="1"/>
  <c r="L18" i="15"/>
  <c r="M18" i="15" s="1"/>
  <c r="F18" i="15"/>
  <c r="WG17" i="15"/>
  <c r="WH17" i="15" s="1"/>
  <c r="WB17" i="15"/>
  <c r="WC17" i="15" s="1"/>
  <c r="VW17" i="15"/>
  <c r="VP17" i="15"/>
  <c r="VQ17" i="15" s="1"/>
  <c r="VK17" i="15"/>
  <c r="VL17" i="15" s="1"/>
  <c r="VF17" i="15"/>
  <c r="UY17" i="15"/>
  <c r="UT17" i="15"/>
  <c r="UU17" i="15" s="1"/>
  <c r="UO17" i="15"/>
  <c r="UH17" i="15"/>
  <c r="UC17" i="15"/>
  <c r="UD17" i="15" s="1"/>
  <c r="TX17" i="15"/>
  <c r="TQ17" i="15"/>
  <c r="TL17" i="15"/>
  <c r="TM17" i="15" s="1"/>
  <c r="TG17" i="15"/>
  <c r="SZ17" i="15"/>
  <c r="SU17" i="15"/>
  <c r="SV17" i="15" s="1"/>
  <c r="SP17" i="15"/>
  <c r="SI17" i="15"/>
  <c r="SA17" i="15"/>
  <c r="SB17" i="15" s="1"/>
  <c r="RU17" i="15"/>
  <c r="RN17" i="15"/>
  <c r="RO17" i="15" s="1"/>
  <c r="RF17" i="15"/>
  <c r="RG17" i="15" s="1"/>
  <c r="QZ17" i="15"/>
  <c r="QS17" i="15"/>
  <c r="QK17" i="15"/>
  <c r="QL17" i="15" s="1"/>
  <c r="QE17" i="15"/>
  <c r="PX17" i="15"/>
  <c r="PP17" i="15"/>
  <c r="PQ17" i="15" s="1"/>
  <c r="PJ17" i="15"/>
  <c r="PC17" i="15"/>
  <c r="OU17" i="15"/>
  <c r="OV17" i="15" s="1"/>
  <c r="OO17" i="15"/>
  <c r="OH17" i="15"/>
  <c r="OI17" i="15" s="1"/>
  <c r="NZ17" i="15"/>
  <c r="NT17" i="15"/>
  <c r="NM17" i="15"/>
  <c r="NE17" i="15"/>
  <c r="NF17" i="15" s="1"/>
  <c r="MY17" i="15"/>
  <c r="MR17" i="15"/>
  <c r="MS17" i="15" s="1"/>
  <c r="MJ17" i="15"/>
  <c r="MK17" i="15" s="1"/>
  <c r="MD17" i="15"/>
  <c r="LW17" i="15"/>
  <c r="LO17" i="15"/>
  <c r="LI17" i="15"/>
  <c r="LB17" i="15"/>
  <c r="LC17" i="15" s="1"/>
  <c r="KT17" i="15"/>
  <c r="KU17" i="15" s="1"/>
  <c r="KN17" i="15"/>
  <c r="KG17" i="15"/>
  <c r="JY17" i="15"/>
  <c r="JZ17" i="15" s="1"/>
  <c r="JS17" i="15"/>
  <c r="JL17" i="15"/>
  <c r="JM17" i="15" s="1"/>
  <c r="JD17" i="15"/>
  <c r="JE17" i="15" s="1"/>
  <c r="IX17" i="15"/>
  <c r="IQ17" i="15"/>
  <c r="II17" i="15"/>
  <c r="IJ17" i="15" s="1"/>
  <c r="IC17" i="15"/>
  <c r="HV17" i="15"/>
  <c r="HW17" i="15" s="1"/>
  <c r="HN17" i="15"/>
  <c r="HH17" i="15"/>
  <c r="HA17" i="15"/>
  <c r="GS17" i="15"/>
  <c r="GT17" i="15" s="1"/>
  <c r="GM17" i="15"/>
  <c r="GF17" i="15"/>
  <c r="GG17" i="15" s="1"/>
  <c r="FX17" i="15"/>
  <c r="FY17" i="15" s="1"/>
  <c r="FR17" i="15"/>
  <c r="FK17" i="15"/>
  <c r="FC17" i="15"/>
  <c r="EW17" i="15"/>
  <c r="EP17" i="15"/>
  <c r="EH17" i="15"/>
  <c r="EI17" i="15" s="1"/>
  <c r="EB17" i="15"/>
  <c r="DU17" i="15"/>
  <c r="DM17" i="15"/>
  <c r="DN17" i="15" s="1"/>
  <c r="DG17" i="15"/>
  <c r="CZ17" i="15"/>
  <c r="DA17" i="15" s="1"/>
  <c r="CR17" i="15"/>
  <c r="CS17" i="15" s="1"/>
  <c r="CL17" i="15"/>
  <c r="CE17" i="15"/>
  <c r="BW17" i="15"/>
  <c r="BX17" i="15" s="1"/>
  <c r="BQ17" i="15"/>
  <c r="BJ17" i="15"/>
  <c r="BK17" i="15" s="1"/>
  <c r="BB17" i="15"/>
  <c r="BC17" i="15" s="1"/>
  <c r="AV17" i="15"/>
  <c r="AO17" i="15"/>
  <c r="AG17" i="15"/>
  <c r="AH17" i="15" s="1"/>
  <c r="AA17" i="15"/>
  <c r="T17" i="15"/>
  <c r="L17" i="15"/>
  <c r="M17" i="15" s="1"/>
  <c r="F17" i="15"/>
  <c r="WG15" i="15"/>
  <c r="WH15" i="15" s="1"/>
  <c r="WB15" i="15"/>
  <c r="VW15" i="15"/>
  <c r="VX15" i="15" s="1"/>
  <c r="VP15" i="15"/>
  <c r="VQ15" i="15" s="1"/>
  <c r="VK15" i="15"/>
  <c r="VL15" i="15" s="1"/>
  <c r="VF15" i="15"/>
  <c r="UY15" i="15"/>
  <c r="UZ15" i="15" s="1"/>
  <c r="UT15" i="15"/>
  <c r="UO15" i="15"/>
  <c r="UH15" i="15"/>
  <c r="UI15" i="15" s="1"/>
  <c r="UC15" i="15"/>
  <c r="UD15" i="15" s="1"/>
  <c r="TX15" i="15"/>
  <c r="TQ15" i="15"/>
  <c r="TR15" i="15" s="1"/>
  <c r="TL15" i="15"/>
  <c r="TM15" i="15" s="1"/>
  <c r="TG15" i="15"/>
  <c r="TH15" i="15" s="1"/>
  <c r="SZ15" i="15"/>
  <c r="SU15" i="15"/>
  <c r="SV15" i="15" s="1"/>
  <c r="SP15" i="15"/>
  <c r="SI15" i="15"/>
  <c r="SJ15" i="15" s="1"/>
  <c r="SA15" i="15"/>
  <c r="SB15" i="15" s="1"/>
  <c r="RU15" i="15"/>
  <c r="RN15" i="15"/>
  <c r="RF15" i="15"/>
  <c r="RG15" i="15" s="1"/>
  <c r="QZ15" i="15"/>
  <c r="QS15" i="15"/>
  <c r="QT15" i="15" s="1"/>
  <c r="QK15" i="15"/>
  <c r="QL15" i="15" s="1"/>
  <c r="QE15" i="15"/>
  <c r="PX15" i="15"/>
  <c r="PY15" i="15" s="1"/>
  <c r="PP15" i="15"/>
  <c r="PQ15" i="15" s="1"/>
  <c r="PJ15" i="15"/>
  <c r="PC15" i="15"/>
  <c r="PD15" i="15" s="1"/>
  <c r="OU15" i="15"/>
  <c r="OV15" i="15" s="1"/>
  <c r="OO15" i="15"/>
  <c r="OH15" i="15"/>
  <c r="NZ15" i="15"/>
  <c r="OA15" i="15" s="1"/>
  <c r="NT15" i="15"/>
  <c r="NM15" i="15"/>
  <c r="NE15" i="15"/>
  <c r="NF15" i="15" s="1"/>
  <c r="MY15" i="15"/>
  <c r="MZ15" i="15" s="1"/>
  <c r="MR15" i="15"/>
  <c r="MS15" i="15" s="1"/>
  <c r="MJ15" i="15"/>
  <c r="MK15" i="15" s="1"/>
  <c r="MD15" i="15"/>
  <c r="LW15" i="15"/>
  <c r="LX15" i="15" s="1"/>
  <c r="LO15" i="15"/>
  <c r="LP15" i="15" s="1"/>
  <c r="LI15" i="15"/>
  <c r="LB15" i="15"/>
  <c r="LC15" i="15" s="1"/>
  <c r="KT15" i="15"/>
  <c r="KU15" i="15" s="1"/>
  <c r="KN15" i="15"/>
  <c r="KG15" i="15"/>
  <c r="KH15" i="15" s="1"/>
  <c r="JY15" i="15"/>
  <c r="JS15" i="15"/>
  <c r="JT15" i="15" s="1"/>
  <c r="JL15" i="15"/>
  <c r="JM15" i="15" s="1"/>
  <c r="JD15" i="15"/>
  <c r="JE15" i="15" s="1"/>
  <c r="IX15" i="15"/>
  <c r="IQ15" i="15"/>
  <c r="IR15" i="15" s="1"/>
  <c r="II15" i="15"/>
  <c r="IC15" i="15"/>
  <c r="HV15" i="15"/>
  <c r="HW15" i="15" s="1"/>
  <c r="HN15" i="15"/>
  <c r="HO15" i="15" s="1"/>
  <c r="HH15" i="15"/>
  <c r="HA15" i="15"/>
  <c r="HB15" i="15" s="1"/>
  <c r="GS15" i="15"/>
  <c r="GT15" i="15" s="1"/>
  <c r="GM15" i="15"/>
  <c r="GN15" i="15" s="1"/>
  <c r="GF15" i="15"/>
  <c r="FX15" i="15"/>
  <c r="FY15" i="15" s="1"/>
  <c r="FR15" i="15"/>
  <c r="FK15" i="15"/>
  <c r="FL15" i="15" s="1"/>
  <c r="FC15" i="15"/>
  <c r="FD15" i="15" s="1"/>
  <c r="EW15" i="15"/>
  <c r="EP15" i="15"/>
  <c r="EH15" i="15"/>
  <c r="EI15" i="15" s="1"/>
  <c r="EB15" i="15"/>
  <c r="DU15" i="15"/>
  <c r="DV15" i="15" s="1"/>
  <c r="DM15" i="15"/>
  <c r="DN15" i="15" s="1"/>
  <c r="DG15" i="15"/>
  <c r="CZ15" i="15"/>
  <c r="DA15" i="15" s="1"/>
  <c r="CR15" i="15"/>
  <c r="CS15" i="15" s="1"/>
  <c r="CL15" i="15"/>
  <c r="CE15" i="15"/>
  <c r="CF15" i="15" s="1"/>
  <c r="BW15" i="15"/>
  <c r="BX15" i="15" s="1"/>
  <c r="BQ15" i="15"/>
  <c r="BJ15" i="15"/>
  <c r="BK15" i="15" s="1"/>
  <c r="BB15" i="15"/>
  <c r="BC15" i="15" s="1"/>
  <c r="AV15" i="15"/>
  <c r="AO15" i="15"/>
  <c r="AP15" i="15" s="1"/>
  <c r="AG15" i="15"/>
  <c r="AH15" i="15" s="1"/>
  <c r="AA15" i="15"/>
  <c r="T15" i="15"/>
  <c r="U15" i="15" s="1"/>
  <c r="L15" i="15"/>
  <c r="M15" i="15" s="1"/>
  <c r="F15" i="15"/>
  <c r="WG14" i="15"/>
  <c r="WH14" i="15" s="1"/>
  <c r="WB14" i="15"/>
  <c r="WC14" i="15" s="1"/>
  <c r="VW14" i="15"/>
  <c r="VP14" i="15"/>
  <c r="VQ14" i="15" s="1"/>
  <c r="VK14" i="15"/>
  <c r="VF14" i="15"/>
  <c r="VG14" i="15" s="1"/>
  <c r="UY14" i="15"/>
  <c r="UT14" i="15"/>
  <c r="UU14" i="15" s="1"/>
  <c r="UO14" i="15"/>
  <c r="UH14" i="15"/>
  <c r="UI14" i="15" s="1"/>
  <c r="UC14" i="15"/>
  <c r="UD14" i="15" s="1"/>
  <c r="TX14" i="15"/>
  <c r="TQ14" i="15"/>
  <c r="TR14" i="15" s="1"/>
  <c r="TL14" i="15"/>
  <c r="TM14" i="15" s="1"/>
  <c r="TG14" i="15"/>
  <c r="SZ14" i="15"/>
  <c r="TA14" i="15" s="1"/>
  <c r="SU14" i="15"/>
  <c r="SP14" i="15"/>
  <c r="SI14" i="15"/>
  <c r="SA14" i="15"/>
  <c r="SB14" i="15" s="1"/>
  <c r="RU14" i="15"/>
  <c r="RN14" i="15"/>
  <c r="RO14" i="15" s="1"/>
  <c r="RF14" i="15"/>
  <c r="RG14" i="15" s="1"/>
  <c r="QZ14" i="15"/>
  <c r="QS14" i="15"/>
  <c r="QT14" i="15" s="1"/>
  <c r="QK14" i="15"/>
  <c r="QL14" i="15" s="1"/>
  <c r="QE14" i="15"/>
  <c r="PX14" i="15"/>
  <c r="PY14" i="15" s="1"/>
  <c r="PP14" i="15"/>
  <c r="PJ14" i="15"/>
  <c r="PC14" i="15"/>
  <c r="OU14" i="15"/>
  <c r="OV14" i="15" s="1"/>
  <c r="OO14" i="15"/>
  <c r="OH14" i="15"/>
  <c r="OI14" i="15" s="1"/>
  <c r="NZ14" i="15"/>
  <c r="OA14" i="15" s="1"/>
  <c r="NT14" i="15"/>
  <c r="NM14" i="15"/>
  <c r="NN14" i="15" s="1"/>
  <c r="NE14" i="15"/>
  <c r="NF14" i="15" s="1"/>
  <c r="MY14" i="15"/>
  <c r="MR14" i="15"/>
  <c r="MS14" i="15" s="1"/>
  <c r="MJ14" i="15"/>
  <c r="MD14" i="15"/>
  <c r="LW14" i="15"/>
  <c r="LO14" i="15"/>
  <c r="LP14" i="15" s="1"/>
  <c r="LI14" i="15"/>
  <c r="LB14" i="15"/>
  <c r="KT14" i="15"/>
  <c r="KU14" i="15" s="1"/>
  <c r="KN14" i="15"/>
  <c r="KG14" i="15"/>
  <c r="KH14" i="15" s="1"/>
  <c r="JY14" i="15"/>
  <c r="JZ14" i="15" s="1"/>
  <c r="JS14" i="15"/>
  <c r="JL14" i="15"/>
  <c r="JM14" i="15" s="1"/>
  <c r="JD14" i="15"/>
  <c r="IX14" i="15"/>
  <c r="IQ14" i="15"/>
  <c r="II14" i="15"/>
  <c r="IJ14" i="15" s="1"/>
  <c r="IC14" i="15"/>
  <c r="HV14" i="15"/>
  <c r="HW14" i="15" s="1"/>
  <c r="HN14" i="15"/>
  <c r="HO14" i="15" s="1"/>
  <c r="HH14" i="15"/>
  <c r="HA14" i="15"/>
  <c r="HB14" i="15" s="1"/>
  <c r="GS14" i="15"/>
  <c r="GT14" i="15" s="1"/>
  <c r="GM14" i="15"/>
  <c r="GF14" i="15"/>
  <c r="GG14" i="15" s="1"/>
  <c r="FX14" i="15"/>
  <c r="FY14" i="15" s="1"/>
  <c r="FR14" i="15"/>
  <c r="FS14" i="15" s="1"/>
  <c r="FK14" i="15"/>
  <c r="FL14" i="15" s="1"/>
  <c r="FC14" i="15"/>
  <c r="EW14" i="15"/>
  <c r="EX14" i="15" s="1"/>
  <c r="EP14" i="15"/>
  <c r="EQ14" i="15" s="1"/>
  <c r="EH14" i="15"/>
  <c r="EI14" i="15" s="1"/>
  <c r="EB14" i="15"/>
  <c r="EC14" i="15" s="1"/>
  <c r="DU14" i="15"/>
  <c r="DV14" i="15" s="1"/>
  <c r="DM14" i="15"/>
  <c r="DG14" i="15"/>
  <c r="DH14" i="15" s="1"/>
  <c r="CZ14" i="15"/>
  <c r="DA14" i="15" s="1"/>
  <c r="CR14" i="15"/>
  <c r="CL14" i="15"/>
  <c r="CM14" i="15" s="1"/>
  <c r="CE14" i="15"/>
  <c r="CF14" i="15" s="1"/>
  <c r="BW14" i="15"/>
  <c r="BX14" i="15" s="1"/>
  <c r="BQ14" i="15"/>
  <c r="BJ14" i="15"/>
  <c r="BK14" i="15" s="1"/>
  <c r="BB14" i="15"/>
  <c r="BC14" i="15" s="1"/>
  <c r="AV14" i="15"/>
  <c r="AW14" i="15" s="1"/>
  <c r="AO14" i="15"/>
  <c r="AP14" i="15" s="1"/>
  <c r="AG14" i="15"/>
  <c r="AH14" i="15" s="1"/>
  <c r="AA14" i="15"/>
  <c r="AB14" i="15" s="1"/>
  <c r="T14" i="15"/>
  <c r="U14" i="15" s="1"/>
  <c r="L14" i="15"/>
  <c r="M14" i="15" s="1"/>
  <c r="F14" i="15"/>
  <c r="G14" i="15" s="1"/>
  <c r="WG12" i="15"/>
  <c r="WH12" i="15" s="1"/>
  <c r="WB12" i="15"/>
  <c r="WC12" i="15" s="1"/>
  <c r="VW12" i="15"/>
  <c r="VX12" i="15" s="1"/>
  <c r="VP12" i="15"/>
  <c r="VQ12" i="15" s="1"/>
  <c r="VK12" i="15"/>
  <c r="VL12" i="15" s="1"/>
  <c r="VF12" i="15"/>
  <c r="VG12" i="15" s="1"/>
  <c r="UY12" i="15"/>
  <c r="UZ12" i="15" s="1"/>
  <c r="UT12" i="15"/>
  <c r="UU12" i="15" s="1"/>
  <c r="UO12" i="15"/>
  <c r="UH12" i="15"/>
  <c r="UI12" i="15" s="1"/>
  <c r="UC12" i="15"/>
  <c r="UD12" i="15" s="1"/>
  <c r="TX12" i="15"/>
  <c r="TY12" i="15" s="1"/>
  <c r="TQ12" i="15"/>
  <c r="TR12" i="15" s="1"/>
  <c r="TL12" i="15"/>
  <c r="TM12" i="15" s="1"/>
  <c r="TG12" i="15"/>
  <c r="TH12" i="15" s="1"/>
  <c r="SZ12" i="15"/>
  <c r="TA12" i="15" s="1"/>
  <c r="SU12" i="15"/>
  <c r="SV12" i="15" s="1"/>
  <c r="SP12" i="15"/>
  <c r="SQ12" i="15" s="1"/>
  <c r="SI12" i="15"/>
  <c r="SJ12" i="15" s="1"/>
  <c r="SA12" i="15"/>
  <c r="SB12" i="15" s="1"/>
  <c r="RU12" i="15"/>
  <c r="RV12" i="15" s="1"/>
  <c r="RN12" i="15"/>
  <c r="RO12" i="15" s="1"/>
  <c r="RF12" i="15"/>
  <c r="RG12" i="15" s="1"/>
  <c r="QZ12" i="15"/>
  <c r="RA12" i="15" s="1"/>
  <c r="QS12" i="15"/>
  <c r="QT12" i="15" s="1"/>
  <c r="QK12" i="15"/>
  <c r="QL12" i="15" s="1"/>
  <c r="QE12" i="15"/>
  <c r="QF12" i="15" s="1"/>
  <c r="PX12" i="15"/>
  <c r="PY12" i="15" s="1"/>
  <c r="PP12" i="15"/>
  <c r="PQ12" i="15" s="1"/>
  <c r="PJ12" i="15"/>
  <c r="PK12" i="15" s="1"/>
  <c r="PC12" i="15"/>
  <c r="PD12" i="15" s="1"/>
  <c r="OU12" i="15"/>
  <c r="OV12" i="15" s="1"/>
  <c r="OO12" i="15"/>
  <c r="OH12" i="15"/>
  <c r="OI12" i="15" s="1"/>
  <c r="NZ12" i="15"/>
  <c r="OA12" i="15" s="1"/>
  <c r="NT12" i="15"/>
  <c r="NU12" i="15" s="1"/>
  <c r="NM12" i="15"/>
  <c r="NN12" i="15" s="1"/>
  <c r="NE12" i="15"/>
  <c r="NF12" i="15" s="1"/>
  <c r="MY12" i="15"/>
  <c r="MZ12" i="15" s="1"/>
  <c r="MR12" i="15"/>
  <c r="MS12" i="15" s="1"/>
  <c r="MJ12" i="15"/>
  <c r="MK12" i="15" s="1"/>
  <c r="MD12" i="15"/>
  <c r="ME12" i="15" s="1"/>
  <c r="LW12" i="15"/>
  <c r="LX12" i="15" s="1"/>
  <c r="LO12" i="15"/>
  <c r="LP12" i="15" s="1"/>
  <c r="LI12" i="15"/>
  <c r="LJ12" i="15" s="1"/>
  <c r="LB12" i="15"/>
  <c r="LC12" i="15" s="1"/>
  <c r="KT12" i="15"/>
  <c r="KU12" i="15" s="1"/>
  <c r="KN12" i="15"/>
  <c r="KO12" i="15" s="1"/>
  <c r="KG12" i="15"/>
  <c r="KH12" i="15" s="1"/>
  <c r="JY12" i="15"/>
  <c r="JZ12" i="15" s="1"/>
  <c r="JS12" i="15"/>
  <c r="JT12" i="15" s="1"/>
  <c r="JL12" i="15"/>
  <c r="JM12" i="15" s="1"/>
  <c r="JD12" i="15"/>
  <c r="JE12" i="15" s="1"/>
  <c r="IX12" i="15"/>
  <c r="IY12" i="15" s="1"/>
  <c r="IQ12" i="15"/>
  <c r="IR12" i="15" s="1"/>
  <c r="II12" i="15"/>
  <c r="IJ12" i="15" s="1"/>
  <c r="IC12" i="15"/>
  <c r="ID12" i="15" s="1"/>
  <c r="HV12" i="15"/>
  <c r="HW12" i="15" s="1"/>
  <c r="HN12" i="15"/>
  <c r="HO12" i="15" s="1"/>
  <c r="HH12" i="15"/>
  <c r="HI12" i="15" s="1"/>
  <c r="HA12" i="15"/>
  <c r="HB12" i="15" s="1"/>
  <c r="GS12" i="15"/>
  <c r="GT12" i="15" s="1"/>
  <c r="GM12" i="15"/>
  <c r="GN12" i="15" s="1"/>
  <c r="GF12" i="15"/>
  <c r="GG12" i="15" s="1"/>
  <c r="FX12" i="15"/>
  <c r="FY12" i="15" s="1"/>
  <c r="FR12" i="15"/>
  <c r="FS12" i="15" s="1"/>
  <c r="FK12" i="15"/>
  <c r="FL12" i="15" s="1"/>
  <c r="FC12" i="15"/>
  <c r="FD12" i="15" s="1"/>
  <c r="EW12" i="15"/>
  <c r="EX12" i="15" s="1"/>
  <c r="EP12" i="15"/>
  <c r="EQ12" i="15" s="1"/>
  <c r="EH12" i="15"/>
  <c r="EI12" i="15" s="1"/>
  <c r="EB12" i="15"/>
  <c r="EC12" i="15" s="1"/>
  <c r="DU12" i="15"/>
  <c r="DV12" i="15" s="1"/>
  <c r="DM12" i="15"/>
  <c r="DN12" i="15" s="1"/>
  <c r="DG12" i="15"/>
  <c r="DH12" i="15" s="1"/>
  <c r="CZ12" i="15"/>
  <c r="DA12" i="15" s="1"/>
  <c r="CR12" i="15"/>
  <c r="CS12" i="15" s="1"/>
  <c r="CL12" i="15"/>
  <c r="CM12" i="15" s="1"/>
  <c r="CE12" i="15"/>
  <c r="CF12" i="15" s="1"/>
  <c r="BW12" i="15"/>
  <c r="BX12" i="15" s="1"/>
  <c r="BQ12" i="15"/>
  <c r="BR12" i="15" s="1"/>
  <c r="BJ12" i="15"/>
  <c r="BK12" i="15" s="1"/>
  <c r="BB12" i="15"/>
  <c r="AV12" i="15"/>
  <c r="AW12" i="15" s="1"/>
  <c r="AO12" i="15"/>
  <c r="AP12" i="15" s="1"/>
  <c r="AG12" i="15"/>
  <c r="AH12" i="15" s="1"/>
  <c r="AA12" i="15"/>
  <c r="AB12" i="15" s="1"/>
  <c r="T12" i="15"/>
  <c r="U12" i="15" s="1"/>
  <c r="L12" i="15"/>
  <c r="M12" i="15" s="1"/>
  <c r="F12" i="15"/>
  <c r="G12" i="15" s="1"/>
  <c r="WG11" i="15"/>
  <c r="WH11" i="15" s="1"/>
  <c r="WB11" i="15"/>
  <c r="WC11" i="15" s="1"/>
  <c r="VW11" i="15"/>
  <c r="VX11" i="15" s="1"/>
  <c r="VP11" i="15"/>
  <c r="VQ11" i="15" s="1"/>
  <c r="VK11" i="15"/>
  <c r="VF11" i="15"/>
  <c r="VG11" i="15" s="1"/>
  <c r="UY11" i="15"/>
  <c r="UZ11" i="15" s="1"/>
  <c r="UT11" i="15"/>
  <c r="UU11" i="15" s="1"/>
  <c r="UO11" i="15"/>
  <c r="UP11" i="15" s="1"/>
  <c r="UH11" i="15"/>
  <c r="UI11" i="15" s="1"/>
  <c r="UC11" i="15"/>
  <c r="UD11" i="15" s="1"/>
  <c r="TX11" i="15"/>
  <c r="TY11" i="15" s="1"/>
  <c r="TQ11" i="15"/>
  <c r="TR11" i="15" s="1"/>
  <c r="TL11" i="15"/>
  <c r="TM11" i="15" s="1"/>
  <c r="TG11" i="15"/>
  <c r="TH11" i="15" s="1"/>
  <c r="SZ11" i="15"/>
  <c r="TA11" i="15" s="1"/>
  <c r="SU11" i="15"/>
  <c r="SV11" i="15" s="1"/>
  <c r="SP11" i="15"/>
  <c r="SQ11" i="15" s="1"/>
  <c r="SI11" i="15"/>
  <c r="SJ11" i="15" s="1"/>
  <c r="SA11" i="15"/>
  <c r="SB11" i="15" s="1"/>
  <c r="RU11" i="15"/>
  <c r="RV11" i="15" s="1"/>
  <c r="RN11" i="15"/>
  <c r="RO11" i="15" s="1"/>
  <c r="RF11" i="15"/>
  <c r="RG11" i="15" s="1"/>
  <c r="QZ11" i="15"/>
  <c r="RA11" i="15" s="1"/>
  <c r="QS11" i="15"/>
  <c r="QT11" i="15" s="1"/>
  <c r="QK11" i="15"/>
  <c r="QL11" i="15" s="1"/>
  <c r="QE11" i="15"/>
  <c r="QF11" i="15" s="1"/>
  <c r="PX11" i="15"/>
  <c r="PY11" i="15" s="1"/>
  <c r="PP11" i="15"/>
  <c r="PJ11" i="15"/>
  <c r="PK11" i="15" s="1"/>
  <c r="PC11" i="15"/>
  <c r="PD11" i="15" s="1"/>
  <c r="OU11" i="15"/>
  <c r="OV11" i="15" s="1"/>
  <c r="OO11" i="15"/>
  <c r="OP11" i="15" s="1"/>
  <c r="OH11" i="15"/>
  <c r="OI11" i="15" s="1"/>
  <c r="NZ11" i="15"/>
  <c r="OA11" i="15" s="1"/>
  <c r="NT11" i="15"/>
  <c r="NU11" i="15" s="1"/>
  <c r="NM11" i="15"/>
  <c r="NN11" i="15" s="1"/>
  <c r="NE11" i="15"/>
  <c r="NF11" i="15" s="1"/>
  <c r="MY11" i="15"/>
  <c r="MZ11" i="15" s="1"/>
  <c r="MR11" i="15"/>
  <c r="MS11" i="15" s="1"/>
  <c r="MJ11" i="15"/>
  <c r="MK11" i="15" s="1"/>
  <c r="MD11" i="15"/>
  <c r="ME11" i="15" s="1"/>
  <c r="LW11" i="15"/>
  <c r="LX11" i="15" s="1"/>
  <c r="LO11" i="15"/>
  <c r="LP11" i="15" s="1"/>
  <c r="LI11" i="15"/>
  <c r="LJ11" i="15" s="1"/>
  <c r="LB11" i="15"/>
  <c r="LC11" i="15" s="1"/>
  <c r="KT11" i="15"/>
  <c r="KU11" i="15" s="1"/>
  <c r="KN11" i="15"/>
  <c r="KO11" i="15" s="1"/>
  <c r="KG11" i="15"/>
  <c r="KH11" i="15" s="1"/>
  <c r="JY11" i="15"/>
  <c r="JZ11" i="15" s="1"/>
  <c r="JS11" i="15"/>
  <c r="JT11" i="15" s="1"/>
  <c r="JL11" i="15"/>
  <c r="JM11" i="15" s="1"/>
  <c r="JD11" i="15"/>
  <c r="JE11" i="15" s="1"/>
  <c r="IX11" i="15"/>
  <c r="IY11" i="15" s="1"/>
  <c r="IQ11" i="15"/>
  <c r="IR11" i="15" s="1"/>
  <c r="II11" i="15"/>
  <c r="IJ11" i="15" s="1"/>
  <c r="IC11" i="15"/>
  <c r="ID11" i="15" s="1"/>
  <c r="HV11" i="15"/>
  <c r="HW11" i="15" s="1"/>
  <c r="HN11" i="15"/>
  <c r="HO11" i="15" s="1"/>
  <c r="HH11" i="15"/>
  <c r="HI11" i="15" s="1"/>
  <c r="HA11" i="15"/>
  <c r="HB11" i="15" s="1"/>
  <c r="GS11" i="15"/>
  <c r="GT11" i="15" s="1"/>
  <c r="GM11" i="15"/>
  <c r="GN11" i="15" s="1"/>
  <c r="GF11" i="15"/>
  <c r="GG11" i="15" s="1"/>
  <c r="FX11" i="15"/>
  <c r="FY11" i="15" s="1"/>
  <c r="FR11" i="15"/>
  <c r="FS11" i="15" s="1"/>
  <c r="FK11" i="15"/>
  <c r="FL11" i="15" s="1"/>
  <c r="FC11" i="15"/>
  <c r="FD11" i="15" s="1"/>
  <c r="EW11" i="15"/>
  <c r="EX11" i="15" s="1"/>
  <c r="EP11" i="15"/>
  <c r="EQ11" i="15" s="1"/>
  <c r="EH11" i="15"/>
  <c r="EB11" i="15"/>
  <c r="EC11" i="15" s="1"/>
  <c r="DU11" i="15"/>
  <c r="DV11" i="15" s="1"/>
  <c r="DM11" i="15"/>
  <c r="DN11" i="15" s="1"/>
  <c r="DG11" i="15"/>
  <c r="DH11" i="15" s="1"/>
  <c r="CZ11" i="15"/>
  <c r="DA11" i="15" s="1"/>
  <c r="CR11" i="15"/>
  <c r="CS11" i="15" s="1"/>
  <c r="CL11" i="15"/>
  <c r="CM11" i="15" s="1"/>
  <c r="CE11" i="15"/>
  <c r="CF11" i="15" s="1"/>
  <c r="BW11" i="15"/>
  <c r="BX11" i="15" s="1"/>
  <c r="BQ11" i="15"/>
  <c r="BR11" i="15" s="1"/>
  <c r="BJ11" i="15"/>
  <c r="BK11" i="15" s="1"/>
  <c r="BB11" i="15"/>
  <c r="BC11" i="15" s="1"/>
  <c r="AV11" i="15"/>
  <c r="AW11" i="15" s="1"/>
  <c r="AO11" i="15"/>
  <c r="AP11" i="15" s="1"/>
  <c r="AG11" i="15"/>
  <c r="AH11" i="15" s="1"/>
  <c r="AA11" i="15"/>
  <c r="AB11" i="15" s="1"/>
  <c r="T11" i="15"/>
  <c r="U11" i="15" s="1"/>
  <c r="L11" i="15"/>
  <c r="F11" i="15"/>
  <c r="G11" i="15" s="1"/>
  <c r="WG9" i="15"/>
  <c r="WH9" i="15" s="1"/>
  <c r="WB9" i="15"/>
  <c r="WC9" i="15" s="1"/>
  <c r="VW9" i="15"/>
  <c r="VX9" i="15" s="1"/>
  <c r="VP9" i="15"/>
  <c r="VQ9" i="15" s="1"/>
  <c r="VK9" i="15"/>
  <c r="VL9" i="15" s="1"/>
  <c r="VF9" i="15"/>
  <c r="VG9" i="15" s="1"/>
  <c r="UY9" i="15"/>
  <c r="UZ9" i="15" s="1"/>
  <c r="UT9" i="15"/>
  <c r="UU9" i="15" s="1"/>
  <c r="UO9" i="15"/>
  <c r="UP9" i="15" s="1"/>
  <c r="UH9" i="15"/>
  <c r="UI9" i="15" s="1"/>
  <c r="UC9" i="15"/>
  <c r="UD9" i="15" s="1"/>
  <c r="TX9" i="15"/>
  <c r="TY9" i="15" s="1"/>
  <c r="TQ9" i="15"/>
  <c r="TR9" i="15" s="1"/>
  <c r="TL9" i="15"/>
  <c r="TM9" i="15" s="1"/>
  <c r="TG9" i="15"/>
  <c r="SZ9" i="15"/>
  <c r="TA9" i="15" s="1"/>
  <c r="SU9" i="15"/>
  <c r="SV9" i="15" s="1"/>
  <c r="SP9" i="15"/>
  <c r="SQ9" i="15" s="1"/>
  <c r="SI9" i="15"/>
  <c r="SJ9" i="15" s="1"/>
  <c r="SA9" i="15"/>
  <c r="SB9" i="15" s="1"/>
  <c r="RU9" i="15"/>
  <c r="RV9" i="15" s="1"/>
  <c r="RN9" i="15"/>
  <c r="RO9" i="15" s="1"/>
  <c r="RF9" i="15"/>
  <c r="RG9" i="15" s="1"/>
  <c r="QZ9" i="15"/>
  <c r="RA9" i="15" s="1"/>
  <c r="QS9" i="15"/>
  <c r="QT9" i="15" s="1"/>
  <c r="QK9" i="15"/>
  <c r="QL9" i="15" s="1"/>
  <c r="QE9" i="15"/>
  <c r="PX9" i="15"/>
  <c r="PY9" i="15" s="1"/>
  <c r="PP9" i="15"/>
  <c r="PQ9" i="15" s="1"/>
  <c r="PJ9" i="15"/>
  <c r="PK9" i="15" s="1"/>
  <c r="PC9" i="15"/>
  <c r="PD9" i="15" s="1"/>
  <c r="OU9" i="15"/>
  <c r="OV9" i="15" s="1"/>
  <c r="OO9" i="15"/>
  <c r="OP9" i="15" s="1"/>
  <c r="OH9" i="15"/>
  <c r="OI9" i="15" s="1"/>
  <c r="NZ9" i="15"/>
  <c r="OA9" i="15" s="1"/>
  <c r="NT9" i="15"/>
  <c r="NU9" i="15" s="1"/>
  <c r="NM9" i="15"/>
  <c r="NN9" i="15" s="1"/>
  <c r="NE9" i="15"/>
  <c r="NF9" i="15" s="1"/>
  <c r="MY9" i="15"/>
  <c r="MR9" i="15"/>
  <c r="MS9" i="15" s="1"/>
  <c r="MJ9" i="15"/>
  <c r="MK9" i="15" s="1"/>
  <c r="MD9" i="15"/>
  <c r="ME9" i="15" s="1"/>
  <c r="LW9" i="15"/>
  <c r="LX9" i="15" s="1"/>
  <c r="LO9" i="15"/>
  <c r="LP9" i="15" s="1"/>
  <c r="LI9" i="15"/>
  <c r="LJ9" i="15" s="1"/>
  <c r="LB9" i="15"/>
  <c r="LC9" i="15" s="1"/>
  <c r="KT9" i="15"/>
  <c r="KU9" i="15" s="1"/>
  <c r="KN9" i="15"/>
  <c r="KO9" i="15" s="1"/>
  <c r="KG9" i="15"/>
  <c r="KH9" i="15" s="1"/>
  <c r="JY9" i="15"/>
  <c r="JZ9" i="15" s="1"/>
  <c r="JS9" i="15"/>
  <c r="JL9" i="15"/>
  <c r="JM9" i="15" s="1"/>
  <c r="JD9" i="15"/>
  <c r="JE9" i="15" s="1"/>
  <c r="IX9" i="15"/>
  <c r="IY9" i="15" s="1"/>
  <c r="IQ9" i="15"/>
  <c r="IR9" i="15" s="1"/>
  <c r="II9" i="15"/>
  <c r="IJ9" i="15" s="1"/>
  <c r="IC9" i="15"/>
  <c r="ID9" i="15" s="1"/>
  <c r="HV9" i="15"/>
  <c r="HW9" i="15" s="1"/>
  <c r="HN9" i="15"/>
  <c r="HO9" i="15" s="1"/>
  <c r="HH9" i="15"/>
  <c r="HI9" i="15" s="1"/>
  <c r="HA9" i="15"/>
  <c r="HB9" i="15" s="1"/>
  <c r="GS9" i="15"/>
  <c r="GT9" i="15" s="1"/>
  <c r="GM9" i="15"/>
  <c r="GF9" i="15"/>
  <c r="GG9" i="15" s="1"/>
  <c r="FX9" i="15"/>
  <c r="FY9" i="15" s="1"/>
  <c r="FR9" i="15"/>
  <c r="FS9" i="15" s="1"/>
  <c r="FK9" i="15"/>
  <c r="FL9" i="15" s="1"/>
  <c r="FC9" i="15"/>
  <c r="FD9" i="15" s="1"/>
  <c r="EW9" i="15"/>
  <c r="EX9" i="15" s="1"/>
  <c r="EP9" i="15"/>
  <c r="EQ9" i="15" s="1"/>
  <c r="EH9" i="15"/>
  <c r="EI9" i="15" s="1"/>
  <c r="EB9" i="15"/>
  <c r="EC9" i="15" s="1"/>
  <c r="DU9" i="15"/>
  <c r="DV9" i="15" s="1"/>
  <c r="DM9" i="15"/>
  <c r="DN9" i="15" s="1"/>
  <c r="DG9" i="15"/>
  <c r="CZ9" i="15"/>
  <c r="DA9" i="15" s="1"/>
  <c r="CR9" i="15"/>
  <c r="CS9" i="15" s="1"/>
  <c r="CL9" i="15"/>
  <c r="CM9" i="15" s="1"/>
  <c r="CE9" i="15"/>
  <c r="CF9" i="15" s="1"/>
  <c r="BW9" i="15"/>
  <c r="BX9" i="15" s="1"/>
  <c r="BQ9" i="15"/>
  <c r="BR9" i="15" s="1"/>
  <c r="BJ9" i="15"/>
  <c r="BK9" i="15" s="1"/>
  <c r="BB9" i="15"/>
  <c r="BC9" i="15" s="1"/>
  <c r="AV9" i="15"/>
  <c r="AW9" i="15" s="1"/>
  <c r="AO9" i="15"/>
  <c r="AP9" i="15" s="1"/>
  <c r="AG9" i="15"/>
  <c r="AH9" i="15" s="1"/>
  <c r="AA9" i="15"/>
  <c r="T9" i="15"/>
  <c r="U9" i="15" s="1"/>
  <c r="L9" i="15"/>
  <c r="M9" i="15" s="1"/>
  <c r="F9" i="15"/>
  <c r="G9" i="15" s="1"/>
  <c r="WG8" i="15"/>
  <c r="WH8" i="15" s="1"/>
  <c r="WB8" i="15"/>
  <c r="WC8" i="15" s="1"/>
  <c r="VW8" i="15"/>
  <c r="VX8" i="15" s="1"/>
  <c r="VP8" i="15"/>
  <c r="VQ8" i="15" s="1"/>
  <c r="VK8" i="15"/>
  <c r="VL8" i="15" s="1"/>
  <c r="VF8" i="15"/>
  <c r="VG8" i="15" s="1"/>
  <c r="UY8" i="15"/>
  <c r="UZ8" i="15" s="1"/>
  <c r="UT8" i="15"/>
  <c r="UU8" i="15" s="1"/>
  <c r="UO8" i="15"/>
  <c r="UH8" i="15"/>
  <c r="UI8" i="15" s="1"/>
  <c r="UC8" i="15"/>
  <c r="UD8" i="15" s="1"/>
  <c r="TX8" i="15"/>
  <c r="TY8" i="15" s="1"/>
  <c r="TQ8" i="15"/>
  <c r="TR8" i="15" s="1"/>
  <c r="TL8" i="15"/>
  <c r="TM8" i="15" s="1"/>
  <c r="TG8" i="15"/>
  <c r="SZ8" i="15"/>
  <c r="TA8" i="15" s="1"/>
  <c r="SU8" i="15"/>
  <c r="SV8" i="15" s="1"/>
  <c r="SP8" i="15"/>
  <c r="SQ8" i="15" s="1"/>
  <c r="SI8" i="15"/>
  <c r="SJ8" i="15" s="1"/>
  <c r="SA8" i="15"/>
  <c r="SB8" i="15" s="1"/>
  <c r="RU8" i="15"/>
  <c r="RN8" i="15"/>
  <c r="RO8" i="15" s="1"/>
  <c r="RF8" i="15"/>
  <c r="RG8" i="15" s="1"/>
  <c r="QZ8" i="15"/>
  <c r="RA8" i="15" s="1"/>
  <c r="QS8" i="15"/>
  <c r="QT8" i="15" s="1"/>
  <c r="QK8" i="15"/>
  <c r="QL8" i="15" s="1"/>
  <c r="QE8" i="15"/>
  <c r="PX8" i="15"/>
  <c r="PY8" i="15" s="1"/>
  <c r="PP8" i="15"/>
  <c r="PQ8" i="15" s="1"/>
  <c r="PJ8" i="15"/>
  <c r="PK8" i="15" s="1"/>
  <c r="PC8" i="15"/>
  <c r="PD8" i="15" s="1"/>
  <c r="OU8" i="15"/>
  <c r="OV8" i="15" s="1"/>
  <c r="OO8" i="15"/>
  <c r="OH8" i="15"/>
  <c r="OI8" i="15" s="1"/>
  <c r="NZ8" i="15"/>
  <c r="OA8" i="15" s="1"/>
  <c r="NT8" i="15"/>
  <c r="NU8" i="15" s="1"/>
  <c r="NM8" i="15"/>
  <c r="NN8" i="15" s="1"/>
  <c r="NE8" i="15"/>
  <c r="NF8" i="15" s="1"/>
  <c r="MY8" i="15"/>
  <c r="MR8" i="15"/>
  <c r="MS8" i="15" s="1"/>
  <c r="MJ8" i="15"/>
  <c r="MK8" i="15" s="1"/>
  <c r="MD8" i="15"/>
  <c r="ME8" i="15" s="1"/>
  <c r="LW8" i="15"/>
  <c r="LX8" i="15" s="1"/>
  <c r="LO8" i="15"/>
  <c r="LP8" i="15" s="1"/>
  <c r="LI8" i="15"/>
  <c r="LB8" i="15"/>
  <c r="LC8" i="15" s="1"/>
  <c r="KT8" i="15"/>
  <c r="KU8" i="15" s="1"/>
  <c r="KN8" i="15"/>
  <c r="KG8" i="15"/>
  <c r="KH8" i="15" s="1"/>
  <c r="JY8" i="15"/>
  <c r="JZ8" i="15" s="1"/>
  <c r="JS8" i="15"/>
  <c r="JT8" i="15" s="1"/>
  <c r="JL8" i="15"/>
  <c r="JM8" i="15" s="1"/>
  <c r="JD8" i="15"/>
  <c r="JE8" i="15" s="1"/>
  <c r="IX8" i="15"/>
  <c r="IY8" i="15" s="1"/>
  <c r="IQ8" i="15"/>
  <c r="IR8" i="15" s="1"/>
  <c r="II8" i="15"/>
  <c r="IJ8" i="15" s="1"/>
  <c r="IC8" i="15"/>
  <c r="ID8" i="15" s="1"/>
  <c r="HV8" i="15"/>
  <c r="HW8" i="15" s="1"/>
  <c r="HN8" i="15"/>
  <c r="HO8" i="15" s="1"/>
  <c r="HH8" i="15"/>
  <c r="HI8" i="15" s="1"/>
  <c r="HA8" i="15"/>
  <c r="HB8" i="15" s="1"/>
  <c r="GS8" i="15"/>
  <c r="GT8" i="15" s="1"/>
  <c r="GM8" i="15"/>
  <c r="GN8" i="15" s="1"/>
  <c r="GF8" i="15"/>
  <c r="GG8" i="15" s="1"/>
  <c r="FX8" i="15"/>
  <c r="FY8" i="15" s="1"/>
  <c r="FR8" i="15"/>
  <c r="FS8" i="15" s="1"/>
  <c r="FK8" i="15"/>
  <c r="FL8" i="15" s="1"/>
  <c r="FC8" i="15"/>
  <c r="FD8" i="15" s="1"/>
  <c r="EW8" i="15"/>
  <c r="EX8" i="15" s="1"/>
  <c r="EP8" i="15"/>
  <c r="EQ8" i="15" s="1"/>
  <c r="EH8" i="15"/>
  <c r="EI8" i="15" s="1"/>
  <c r="EB8" i="15"/>
  <c r="EC8" i="15" s="1"/>
  <c r="DU8" i="15"/>
  <c r="DV8" i="15" s="1"/>
  <c r="DM8" i="15"/>
  <c r="DN8" i="15" s="1"/>
  <c r="DG8" i="15"/>
  <c r="DH8" i="15" s="1"/>
  <c r="CZ8" i="15"/>
  <c r="DA8" i="15" s="1"/>
  <c r="CR8" i="15"/>
  <c r="CS8" i="15" s="1"/>
  <c r="CL8" i="15"/>
  <c r="CM8" i="15" s="1"/>
  <c r="CE8" i="15"/>
  <c r="CF8" i="15" s="1"/>
  <c r="BW8" i="15"/>
  <c r="BX8" i="15" s="1"/>
  <c r="BQ8" i="15"/>
  <c r="BR8" i="15" s="1"/>
  <c r="BJ8" i="15"/>
  <c r="BK8" i="15" s="1"/>
  <c r="BB8" i="15"/>
  <c r="BC8" i="15" s="1"/>
  <c r="AV8" i="15"/>
  <c r="AW8" i="15" s="1"/>
  <c r="AO8" i="15"/>
  <c r="AP8" i="15" s="1"/>
  <c r="AG8" i="15"/>
  <c r="AH8" i="15" s="1"/>
  <c r="AA8" i="15"/>
  <c r="AB8" i="15" s="1"/>
  <c r="T8" i="15"/>
  <c r="U8" i="15" s="1"/>
  <c r="L8" i="15"/>
  <c r="M8" i="15" s="1"/>
  <c r="F8" i="15"/>
  <c r="G8" i="15" s="1"/>
  <c r="WG7" i="15"/>
  <c r="WH7" i="15" s="1"/>
  <c r="WB7" i="15"/>
  <c r="WC7" i="15" s="1"/>
  <c r="VW7" i="15"/>
  <c r="VX7" i="15" s="1"/>
  <c r="VP7" i="15"/>
  <c r="VQ7" i="15" s="1"/>
  <c r="VK7" i="15"/>
  <c r="VL7" i="15" s="1"/>
  <c r="VF7" i="15"/>
  <c r="VG7" i="15" s="1"/>
  <c r="UY7" i="15"/>
  <c r="UZ7" i="15" s="1"/>
  <c r="UT7" i="15"/>
  <c r="UU7" i="15" s="1"/>
  <c r="UO7" i="15"/>
  <c r="UP7" i="15" s="1"/>
  <c r="UH7" i="15"/>
  <c r="UI7" i="15" s="1"/>
  <c r="UC7" i="15"/>
  <c r="UD7" i="15" s="1"/>
  <c r="TX7" i="15"/>
  <c r="TY7" i="15" s="1"/>
  <c r="TQ7" i="15"/>
  <c r="TR7" i="15" s="1"/>
  <c r="TL7" i="15"/>
  <c r="TM7" i="15" s="1"/>
  <c r="TG7" i="15"/>
  <c r="TH7" i="15" s="1"/>
  <c r="SZ7" i="15"/>
  <c r="TA7" i="15" s="1"/>
  <c r="SU7" i="15"/>
  <c r="SV7" i="15" s="1"/>
  <c r="SP7" i="15"/>
  <c r="SQ7" i="15" s="1"/>
  <c r="SI7" i="15"/>
  <c r="SJ7" i="15" s="1"/>
  <c r="SA7" i="15"/>
  <c r="SB7" i="15" s="1"/>
  <c r="RU7" i="15"/>
  <c r="RV7" i="15" s="1"/>
  <c r="RN7" i="15"/>
  <c r="RO7" i="15" s="1"/>
  <c r="RF7" i="15"/>
  <c r="RG7" i="15" s="1"/>
  <c r="QZ7" i="15"/>
  <c r="RA7" i="15" s="1"/>
  <c r="QS7" i="15"/>
  <c r="QT7" i="15" s="1"/>
  <c r="QK7" i="15"/>
  <c r="QL7" i="15" s="1"/>
  <c r="QE7" i="15"/>
  <c r="QF7" i="15" s="1"/>
  <c r="PX7" i="15"/>
  <c r="PY7" i="15" s="1"/>
  <c r="PP7" i="15"/>
  <c r="PQ7" i="15" s="1"/>
  <c r="PJ7" i="15"/>
  <c r="PK7" i="15" s="1"/>
  <c r="PC7" i="15"/>
  <c r="PD7" i="15" s="1"/>
  <c r="OU7" i="15"/>
  <c r="OV7" i="15" s="1"/>
  <c r="OO7" i="15"/>
  <c r="OP7" i="15" s="1"/>
  <c r="OH7" i="15"/>
  <c r="OI7" i="15" s="1"/>
  <c r="NZ7" i="15"/>
  <c r="OA7" i="15" s="1"/>
  <c r="NT7" i="15"/>
  <c r="NU7" i="15" s="1"/>
  <c r="NM7" i="15"/>
  <c r="NN7" i="15" s="1"/>
  <c r="NE7" i="15"/>
  <c r="NF7" i="15" s="1"/>
  <c r="MY7" i="15"/>
  <c r="MZ7" i="15" s="1"/>
  <c r="MR7" i="15"/>
  <c r="MS7" i="15" s="1"/>
  <c r="MJ7" i="15"/>
  <c r="MK7" i="15" s="1"/>
  <c r="MD7" i="15"/>
  <c r="ME7" i="15" s="1"/>
  <c r="LW7" i="15"/>
  <c r="LX7" i="15" s="1"/>
  <c r="LO7" i="15"/>
  <c r="LP7" i="15" s="1"/>
  <c r="LI7" i="15"/>
  <c r="LJ7" i="15" s="1"/>
  <c r="LB7" i="15"/>
  <c r="LC7" i="15" s="1"/>
  <c r="KT7" i="15"/>
  <c r="KU7" i="15" s="1"/>
  <c r="KN7" i="15"/>
  <c r="KO7" i="15" s="1"/>
  <c r="KG7" i="15"/>
  <c r="KH7" i="15" s="1"/>
  <c r="JY7" i="15"/>
  <c r="JZ7" i="15" s="1"/>
  <c r="JS7" i="15"/>
  <c r="JT7" i="15" s="1"/>
  <c r="JL7" i="15"/>
  <c r="JM7" i="15" s="1"/>
  <c r="JD7" i="15"/>
  <c r="JE7" i="15" s="1"/>
  <c r="IX7" i="15"/>
  <c r="IY7" i="15" s="1"/>
  <c r="IQ7" i="15"/>
  <c r="IR7" i="15" s="1"/>
  <c r="II7" i="15"/>
  <c r="IJ7" i="15" s="1"/>
  <c r="IC7" i="15"/>
  <c r="ID7" i="15" s="1"/>
  <c r="HV7" i="15"/>
  <c r="HW7" i="15" s="1"/>
  <c r="HN7" i="15"/>
  <c r="HO7" i="15" s="1"/>
  <c r="HH7" i="15"/>
  <c r="HI7" i="15" s="1"/>
  <c r="HA7" i="15"/>
  <c r="HB7" i="15" s="1"/>
  <c r="GS7" i="15"/>
  <c r="GT7" i="15" s="1"/>
  <c r="GM7" i="15"/>
  <c r="GN7" i="15" s="1"/>
  <c r="GF7" i="15"/>
  <c r="GG7" i="15" s="1"/>
  <c r="FX7" i="15"/>
  <c r="FY7" i="15" s="1"/>
  <c r="FR7" i="15"/>
  <c r="FS7" i="15" s="1"/>
  <c r="FK7" i="15"/>
  <c r="FL7" i="15" s="1"/>
  <c r="FC7" i="15"/>
  <c r="FD7" i="15" s="1"/>
  <c r="EW7" i="15"/>
  <c r="EX7" i="15" s="1"/>
  <c r="EP7" i="15"/>
  <c r="EH7" i="15"/>
  <c r="EI7" i="15" s="1"/>
  <c r="EB7" i="15"/>
  <c r="EC7" i="15" s="1"/>
  <c r="DU7" i="15"/>
  <c r="DV7" i="15" s="1"/>
  <c r="DM7" i="15"/>
  <c r="DN7" i="15" s="1"/>
  <c r="DG7" i="15"/>
  <c r="DH7" i="15" s="1"/>
  <c r="CZ7" i="15"/>
  <c r="DA7" i="15" s="1"/>
  <c r="CR7" i="15"/>
  <c r="CS7" i="15" s="1"/>
  <c r="CL7" i="15"/>
  <c r="CM7" i="15" s="1"/>
  <c r="CE7" i="15"/>
  <c r="CF7" i="15" s="1"/>
  <c r="BW7" i="15"/>
  <c r="BX7" i="15" s="1"/>
  <c r="BQ7" i="15"/>
  <c r="BR7" i="15" s="1"/>
  <c r="BJ7" i="15"/>
  <c r="BB7" i="15"/>
  <c r="BC7" i="15" s="1"/>
  <c r="AV7" i="15"/>
  <c r="AW7" i="15" s="1"/>
  <c r="AO7" i="15"/>
  <c r="AP7" i="15" s="1"/>
  <c r="AG7" i="15"/>
  <c r="AH7" i="15" s="1"/>
  <c r="AA7" i="15"/>
  <c r="AB7" i="15" s="1"/>
  <c r="T7" i="15"/>
  <c r="U7" i="15" s="1"/>
  <c r="L7" i="15"/>
  <c r="M7" i="15" s="1"/>
  <c r="F7" i="15"/>
  <c r="G7" i="15" s="1"/>
  <c r="WG6" i="15"/>
  <c r="WH6" i="15" s="1"/>
  <c r="WB6" i="15"/>
  <c r="WC6" i="15" s="1"/>
  <c r="VW6" i="15"/>
  <c r="VX6" i="15" s="1"/>
  <c r="VP6" i="15"/>
  <c r="VK6" i="15"/>
  <c r="VL6" i="15" s="1"/>
  <c r="VF6" i="15"/>
  <c r="VG6" i="15" s="1"/>
  <c r="UY6" i="15"/>
  <c r="UZ6" i="15" s="1"/>
  <c r="UT6" i="15"/>
  <c r="UU6" i="15" s="1"/>
  <c r="UO6" i="15"/>
  <c r="UP6" i="15" s="1"/>
  <c r="UH6" i="15"/>
  <c r="UI6" i="15" s="1"/>
  <c r="UC6" i="15"/>
  <c r="UD6" i="15" s="1"/>
  <c r="TX6" i="15"/>
  <c r="TY6" i="15" s="1"/>
  <c r="TQ6" i="15"/>
  <c r="TR6" i="15" s="1"/>
  <c r="TL6" i="15"/>
  <c r="TM6" i="15" s="1"/>
  <c r="TG6" i="15"/>
  <c r="TH6" i="15" s="1"/>
  <c r="SZ6" i="15"/>
  <c r="SU6" i="15"/>
  <c r="SV6" i="15" s="1"/>
  <c r="SP6" i="15"/>
  <c r="SQ6" i="15" s="1"/>
  <c r="SI6" i="15"/>
  <c r="SJ6" i="15" s="1"/>
  <c r="SA6" i="15"/>
  <c r="SB6" i="15" s="1"/>
  <c r="RU6" i="15"/>
  <c r="RV6" i="15" s="1"/>
  <c r="RN6" i="15"/>
  <c r="RO6" i="15" s="1"/>
  <c r="RF6" i="15"/>
  <c r="RG6" i="15" s="1"/>
  <c r="QZ6" i="15"/>
  <c r="RA6" i="15" s="1"/>
  <c r="QS6" i="15"/>
  <c r="QT6" i="15" s="1"/>
  <c r="QK6" i="15"/>
  <c r="QL6" i="15" s="1"/>
  <c r="QE6" i="15"/>
  <c r="QF6" i="15" s="1"/>
  <c r="PX6" i="15"/>
  <c r="PP6" i="15"/>
  <c r="PQ6" i="15" s="1"/>
  <c r="PJ6" i="15"/>
  <c r="PK6" i="15" s="1"/>
  <c r="PC6" i="15"/>
  <c r="PD6" i="15" s="1"/>
  <c r="OU6" i="15"/>
  <c r="OV6" i="15" s="1"/>
  <c r="OO6" i="15"/>
  <c r="OP6" i="15" s="1"/>
  <c r="OH6" i="15"/>
  <c r="OI6" i="15" s="1"/>
  <c r="NZ6" i="15"/>
  <c r="OA6" i="15" s="1"/>
  <c r="NT6" i="15"/>
  <c r="NU6" i="15" s="1"/>
  <c r="NM6" i="15"/>
  <c r="NN6" i="15" s="1"/>
  <c r="NE6" i="15"/>
  <c r="NF6" i="15" s="1"/>
  <c r="MY6" i="15"/>
  <c r="MZ6" i="15" s="1"/>
  <c r="MR6" i="15"/>
  <c r="MJ6" i="15"/>
  <c r="MK6" i="15" s="1"/>
  <c r="MD6" i="15"/>
  <c r="ME6" i="15" s="1"/>
  <c r="LW6" i="15"/>
  <c r="LX6" i="15" s="1"/>
  <c r="LO6" i="15"/>
  <c r="LP6" i="15" s="1"/>
  <c r="LI6" i="15"/>
  <c r="LJ6" i="15" s="1"/>
  <c r="LB6" i="15"/>
  <c r="KT6" i="15"/>
  <c r="KU6" i="15" s="1"/>
  <c r="KN6" i="15"/>
  <c r="KO6" i="15" s="1"/>
  <c r="KG6" i="15"/>
  <c r="KH6" i="15" s="1"/>
  <c r="JY6" i="15"/>
  <c r="JZ6" i="15" s="1"/>
  <c r="JS6" i="15"/>
  <c r="JT6" i="15" s="1"/>
  <c r="JL6" i="15"/>
  <c r="JD6" i="15"/>
  <c r="JE6" i="15" s="1"/>
  <c r="IX6" i="15"/>
  <c r="IY6" i="15" s="1"/>
  <c r="IQ6" i="15"/>
  <c r="IR6" i="15" s="1"/>
  <c r="II6" i="15"/>
  <c r="IJ6" i="15" s="1"/>
  <c r="IC6" i="15"/>
  <c r="ID6" i="15" s="1"/>
  <c r="HV6" i="15"/>
  <c r="HN6" i="15"/>
  <c r="HO6" i="15" s="1"/>
  <c r="HH6" i="15"/>
  <c r="HI6" i="15" s="1"/>
  <c r="HA6" i="15"/>
  <c r="HB6" i="15" s="1"/>
  <c r="GS6" i="15"/>
  <c r="GT6" i="15" s="1"/>
  <c r="GM6" i="15"/>
  <c r="GN6" i="15" s="1"/>
  <c r="GF6" i="15"/>
  <c r="FX6" i="15"/>
  <c r="FY6" i="15" s="1"/>
  <c r="FR6" i="15"/>
  <c r="FS6" i="15" s="1"/>
  <c r="FK6" i="15"/>
  <c r="FL6" i="15" s="1"/>
  <c r="FC6" i="15"/>
  <c r="FD6" i="15" s="1"/>
  <c r="EW6" i="15"/>
  <c r="EX6" i="15" s="1"/>
  <c r="EP6" i="15"/>
  <c r="EQ6" i="15" s="1"/>
  <c r="EH6" i="15"/>
  <c r="EI6" i="15" s="1"/>
  <c r="EB6" i="15"/>
  <c r="DU6" i="15"/>
  <c r="DV6" i="15" s="1"/>
  <c r="DM6" i="15"/>
  <c r="DN6" i="15" s="1"/>
  <c r="DG6" i="15"/>
  <c r="DH6" i="15" s="1"/>
  <c r="CZ6" i="15"/>
  <c r="CR6" i="15"/>
  <c r="CS6" i="15" s="1"/>
  <c r="CL6" i="15"/>
  <c r="CM6" i="15" s="1"/>
  <c r="CE6" i="15"/>
  <c r="CF6" i="15" s="1"/>
  <c r="BW6" i="15"/>
  <c r="BQ6" i="15"/>
  <c r="BR6" i="15" s="1"/>
  <c r="BJ6" i="15"/>
  <c r="BK6" i="15" s="1"/>
  <c r="BB6" i="15"/>
  <c r="BC6" i="15" s="1"/>
  <c r="AV6" i="15"/>
  <c r="AO6" i="15"/>
  <c r="AP6" i="15" s="1"/>
  <c r="AG6" i="15"/>
  <c r="AH6" i="15" s="1"/>
  <c r="AA6" i="15"/>
  <c r="AB6" i="15" s="1"/>
  <c r="T6" i="15"/>
  <c r="L6" i="15"/>
  <c r="M6" i="15" s="1"/>
  <c r="F6" i="15"/>
  <c r="G6" i="15" s="1"/>
  <c r="WG5" i="15"/>
  <c r="WH5" i="15" s="1"/>
  <c r="WB5" i="15"/>
  <c r="WC5" i="15" s="1"/>
  <c r="VW5" i="15"/>
  <c r="VX5" i="15" s="1"/>
  <c r="VP5" i="15"/>
  <c r="VQ5" i="15" s="1"/>
  <c r="VK5" i="15"/>
  <c r="VL5" i="15" s="1"/>
  <c r="VF5" i="15"/>
  <c r="UY5" i="15"/>
  <c r="UZ5" i="15" s="1"/>
  <c r="UT5" i="15"/>
  <c r="UO5" i="15"/>
  <c r="UP5" i="15" s="1"/>
  <c r="UH5" i="15"/>
  <c r="UC5" i="15"/>
  <c r="UD5" i="15" s="1"/>
  <c r="TX5" i="15"/>
  <c r="TY5" i="15" s="1"/>
  <c r="TQ5" i="15"/>
  <c r="TR5" i="15" s="1"/>
  <c r="TL5" i="15"/>
  <c r="TM5" i="15" s="1"/>
  <c r="TG5" i="15"/>
  <c r="TH5" i="15" s="1"/>
  <c r="SZ5" i="15"/>
  <c r="TA5" i="15" s="1"/>
  <c r="SU5" i="15"/>
  <c r="SV5" i="15" s="1"/>
  <c r="SP5" i="15"/>
  <c r="SI5" i="15"/>
  <c r="SJ5" i="15" s="1"/>
  <c r="SA5" i="15"/>
  <c r="RU5" i="15"/>
  <c r="RV5" i="15" s="1"/>
  <c r="RN5" i="15"/>
  <c r="RF5" i="15"/>
  <c r="RG5" i="15" s="1"/>
  <c r="QZ5" i="15"/>
  <c r="RA5" i="15" s="1"/>
  <c r="QS5" i="15"/>
  <c r="QT5" i="15" s="1"/>
  <c r="QK5" i="15"/>
  <c r="QL5" i="15" s="1"/>
  <c r="QE5" i="15"/>
  <c r="QF5" i="15" s="1"/>
  <c r="PX5" i="15"/>
  <c r="PY5" i="15" s="1"/>
  <c r="PP5" i="15"/>
  <c r="PQ5" i="15" s="1"/>
  <c r="PJ5" i="15"/>
  <c r="PC5" i="15"/>
  <c r="PD5" i="15" s="1"/>
  <c r="OU5" i="15"/>
  <c r="OO5" i="15"/>
  <c r="OP5" i="15" s="1"/>
  <c r="OH5" i="15"/>
  <c r="NZ5" i="15"/>
  <c r="OA5" i="15" s="1"/>
  <c r="NT5" i="15"/>
  <c r="NU5" i="15" s="1"/>
  <c r="NM5" i="15"/>
  <c r="NN5" i="15" s="1"/>
  <c r="NE5" i="15"/>
  <c r="NF5" i="15" s="1"/>
  <c r="MY5" i="15"/>
  <c r="MZ5" i="15" s="1"/>
  <c r="MR5" i="15"/>
  <c r="MS5" i="15" s="1"/>
  <c r="MJ5" i="15"/>
  <c r="MK5" i="15" s="1"/>
  <c r="MD5" i="15"/>
  <c r="LW5" i="15"/>
  <c r="LX5" i="15" s="1"/>
  <c r="LO5" i="15"/>
  <c r="LP5" i="15" s="1"/>
  <c r="LI5" i="15"/>
  <c r="LJ5" i="15" s="1"/>
  <c r="LB5" i="15"/>
  <c r="LC5" i="15" s="1"/>
  <c r="KT5" i="15"/>
  <c r="KU5" i="15" s="1"/>
  <c r="KN5" i="15"/>
  <c r="KO5" i="15" s="1"/>
  <c r="KG5" i="15"/>
  <c r="KH5" i="15" s="1"/>
  <c r="JY5" i="15"/>
  <c r="JZ5" i="15" s="1"/>
  <c r="JS5" i="15"/>
  <c r="JT5" i="15" s="1"/>
  <c r="JL5" i="15"/>
  <c r="JM5" i="15" s="1"/>
  <c r="JD5" i="15"/>
  <c r="JE5" i="15" s="1"/>
  <c r="IX5" i="15"/>
  <c r="IY5" i="15" s="1"/>
  <c r="IQ5" i="15"/>
  <c r="IR5" i="15" s="1"/>
  <c r="II5" i="15"/>
  <c r="IJ5" i="15" s="1"/>
  <c r="IC5" i="15"/>
  <c r="ID5" i="15" s="1"/>
  <c r="HV5" i="15"/>
  <c r="HW5" i="15" s="1"/>
  <c r="HN5" i="15"/>
  <c r="HO5" i="15" s="1"/>
  <c r="HH5" i="15"/>
  <c r="HI5" i="15" s="1"/>
  <c r="HA5" i="15"/>
  <c r="HB5" i="15" s="1"/>
  <c r="GS5" i="15"/>
  <c r="GT5" i="15" s="1"/>
  <c r="GM5" i="15"/>
  <c r="GN5" i="15" s="1"/>
  <c r="GF5" i="15"/>
  <c r="GG5" i="15" s="1"/>
  <c r="FX5" i="15"/>
  <c r="FY5" i="15" s="1"/>
  <c r="FR5" i="15"/>
  <c r="FS5" i="15" s="1"/>
  <c r="FK5" i="15"/>
  <c r="FL5" i="15" s="1"/>
  <c r="FC5" i="15"/>
  <c r="EW5" i="15"/>
  <c r="EX5" i="15" s="1"/>
  <c r="EP5" i="15"/>
  <c r="EQ5" i="15" s="1"/>
  <c r="EH5" i="15"/>
  <c r="EI5" i="15" s="1"/>
  <c r="EB5" i="15"/>
  <c r="DU5" i="15"/>
  <c r="DM5" i="15"/>
  <c r="DG5" i="15"/>
  <c r="DH5" i="15" s="1"/>
  <c r="CZ5" i="15"/>
  <c r="DA5" i="15" s="1"/>
  <c r="CR5" i="15"/>
  <c r="CS5" i="15" s="1"/>
  <c r="CL5" i="15"/>
  <c r="CE5" i="15"/>
  <c r="BW5" i="15"/>
  <c r="BX5" i="15" s="1"/>
  <c r="BQ5" i="15"/>
  <c r="BR5" i="15" s="1"/>
  <c r="BJ5" i="15"/>
  <c r="BK5" i="15" s="1"/>
  <c r="BB5" i="15"/>
  <c r="BC5" i="15" s="1"/>
  <c r="AV5" i="15"/>
  <c r="AO5" i="15"/>
  <c r="AG5" i="15"/>
  <c r="AH5" i="15" s="1"/>
  <c r="AA5" i="15"/>
  <c r="AB5" i="15" s="1"/>
  <c r="T5" i="15"/>
  <c r="U5" i="15" s="1"/>
  <c r="L5" i="15"/>
  <c r="M5" i="15" s="1"/>
  <c r="F5" i="15"/>
  <c r="AY3" i="15"/>
  <c r="BT3" i="15" s="1"/>
  <c r="CO3" i="15" s="1"/>
  <c r="DJ3" i="15" s="1"/>
  <c r="EE3" i="15" s="1"/>
  <c r="EZ3" i="15" s="1"/>
  <c r="FU3" i="15" s="1"/>
  <c r="GP3" i="15" s="1"/>
  <c r="HK3" i="15" s="1"/>
  <c r="IF3" i="15" s="1"/>
  <c r="JA3" i="15" s="1"/>
  <c r="JV3" i="15" s="1"/>
  <c r="KQ3" i="15" s="1"/>
  <c r="LL3" i="15" s="1"/>
  <c r="MG3" i="15" s="1"/>
  <c r="NB3" i="15" s="1"/>
  <c r="NW3" i="15" s="1"/>
  <c r="OR3" i="15" s="1"/>
  <c r="PM3" i="15" s="1"/>
  <c r="QH3" i="15" s="1"/>
  <c r="RC3" i="15" s="1"/>
  <c r="RX3" i="15" s="1"/>
  <c r="SS3" i="15" s="1"/>
  <c r="TJ3" i="15" s="1"/>
  <c r="UA3" i="15" s="1"/>
  <c r="UR3" i="15" s="1"/>
  <c r="VI3" i="15" s="1"/>
  <c r="VZ3" i="15" s="1"/>
  <c r="AN3" i="15"/>
  <c r="BI3" i="15" s="1"/>
  <c r="CD3" i="15" s="1"/>
  <c r="CY3" i="15" s="1"/>
  <c r="DT3" i="15" s="1"/>
  <c r="EO3" i="15" s="1"/>
  <c r="FJ3" i="15" s="1"/>
  <c r="GE3" i="15" s="1"/>
  <c r="GZ3" i="15" s="1"/>
  <c r="HU3" i="15" s="1"/>
  <c r="IP3" i="15" s="1"/>
  <c r="JK3" i="15" s="1"/>
  <c r="KF3" i="15" s="1"/>
  <c r="LA3" i="15" s="1"/>
  <c r="LV3" i="15" s="1"/>
  <c r="MQ3" i="15" s="1"/>
  <c r="NL3" i="15" s="1"/>
  <c r="OG3" i="15" s="1"/>
  <c r="PB3" i="15" s="1"/>
  <c r="PW3" i="15" s="1"/>
  <c r="QR3" i="15" s="1"/>
  <c r="RM3" i="15" s="1"/>
  <c r="SH3" i="15" s="1"/>
  <c r="SY3" i="15" s="1"/>
  <c r="TP3" i="15" s="1"/>
  <c r="UG3" i="15" s="1"/>
  <c r="UX3" i="15" s="1"/>
  <c r="VO3" i="15" s="1"/>
  <c r="WF3" i="15" s="1"/>
  <c r="AJ3" i="15"/>
  <c r="BE3" i="15" s="1"/>
  <c r="BZ3" i="15" s="1"/>
  <c r="CU3" i="15" s="1"/>
  <c r="DP3" i="15" s="1"/>
  <c r="EK3" i="15" s="1"/>
  <c r="FF3" i="15" s="1"/>
  <c r="GA3" i="15" s="1"/>
  <c r="GV3" i="15" s="1"/>
  <c r="HQ3" i="15" s="1"/>
  <c r="IL3" i="15" s="1"/>
  <c r="JG3" i="15" s="1"/>
  <c r="KB3" i="15" s="1"/>
  <c r="KW3" i="15" s="1"/>
  <c r="LR3" i="15" s="1"/>
  <c r="MM3" i="15" s="1"/>
  <c r="NH3" i="15" s="1"/>
  <c r="OC3" i="15" s="1"/>
  <c r="OX3" i="15" s="1"/>
  <c r="PS3" i="15" s="1"/>
  <c r="QN3" i="15" s="1"/>
  <c r="RI3" i="15" s="1"/>
  <c r="SD3" i="15" s="1"/>
  <c r="SX3" i="15" s="1"/>
  <c r="TO3" i="15" s="1"/>
  <c r="UF3" i="15" s="1"/>
  <c r="UW3" i="15" s="1"/>
  <c r="VN3" i="15" s="1"/>
  <c r="WE3" i="15" s="1"/>
  <c r="AI3" i="15"/>
  <c r="BD3" i="15" s="1"/>
  <c r="BY3" i="15" s="1"/>
  <c r="CT3" i="15" s="1"/>
  <c r="DO3" i="15" s="1"/>
  <c r="EJ3" i="15" s="1"/>
  <c r="FE3" i="15" s="1"/>
  <c r="FZ3" i="15" s="1"/>
  <c r="GU3" i="15" s="1"/>
  <c r="HP3" i="15" s="1"/>
  <c r="IK3" i="15" s="1"/>
  <c r="JF3" i="15" s="1"/>
  <c r="KA3" i="15" s="1"/>
  <c r="KV3" i="15" s="1"/>
  <c r="LQ3" i="15" s="1"/>
  <c r="ML3" i="15" s="1"/>
  <c r="NG3" i="15" s="1"/>
  <c r="OB3" i="15" s="1"/>
  <c r="OW3" i="15" s="1"/>
  <c r="PR3" i="15" s="1"/>
  <c r="QM3" i="15" s="1"/>
  <c r="RH3" i="15" s="1"/>
  <c r="SC3" i="15" s="1"/>
  <c r="SW3" i="15" s="1"/>
  <c r="TN3" i="15" s="1"/>
  <c r="UE3" i="15" s="1"/>
  <c r="UV3" i="15" s="1"/>
  <c r="VM3" i="15" s="1"/>
  <c r="WD3" i="15" s="1"/>
  <c r="AF3" i="15"/>
  <c r="BA3" i="15" s="1"/>
  <c r="BV3" i="15" s="1"/>
  <c r="CQ3" i="15" s="1"/>
  <c r="DL3" i="15" s="1"/>
  <c r="EG3" i="15" s="1"/>
  <c r="FB3" i="15" s="1"/>
  <c r="FW3" i="15" s="1"/>
  <c r="GR3" i="15" s="1"/>
  <c r="HM3" i="15" s="1"/>
  <c r="IH3" i="15" s="1"/>
  <c r="JC3" i="15" s="1"/>
  <c r="JX3" i="15" s="1"/>
  <c r="KS3" i="15" s="1"/>
  <c r="LN3" i="15" s="1"/>
  <c r="MI3" i="15" s="1"/>
  <c r="ND3" i="15" s="1"/>
  <c r="NY3" i="15" s="1"/>
  <c r="OT3" i="15" s="1"/>
  <c r="PO3" i="15" s="1"/>
  <c r="QJ3" i="15" s="1"/>
  <c r="RE3" i="15" s="1"/>
  <c r="RZ3" i="15" s="1"/>
  <c r="ST3" i="15" s="1"/>
  <c r="TK3" i="15" s="1"/>
  <c r="UB3" i="15" s="1"/>
  <c r="US3" i="15" s="1"/>
  <c r="VJ3" i="15" s="1"/>
  <c r="WA3" i="15" s="1"/>
  <c r="AD3" i="15"/>
  <c r="AC3" i="15"/>
  <c r="AX3" i="15" s="1"/>
  <c r="BS3" i="15" s="1"/>
  <c r="CN3" i="15" s="1"/>
  <c r="DI3" i="15" s="1"/>
  <c r="ED3" i="15" s="1"/>
  <c r="EY3" i="15" s="1"/>
  <c r="FT3" i="15" s="1"/>
  <c r="GO3" i="15" s="1"/>
  <c r="HJ3" i="15" s="1"/>
  <c r="IE3" i="15" s="1"/>
  <c r="IZ3" i="15" s="1"/>
  <c r="JU3" i="15" s="1"/>
  <c r="KP3" i="15" s="1"/>
  <c r="LK3" i="15" s="1"/>
  <c r="MF3" i="15" s="1"/>
  <c r="NA3" i="15" s="1"/>
  <c r="NV3" i="15" s="1"/>
  <c r="OQ3" i="15" s="1"/>
  <c r="PL3" i="15" s="1"/>
  <c r="QG3" i="15" s="1"/>
  <c r="RB3" i="15" s="1"/>
  <c r="RW3" i="15" s="1"/>
  <c r="SR3" i="15" s="1"/>
  <c r="TI3" i="15" s="1"/>
  <c r="TZ3" i="15" s="1"/>
  <c r="UQ3" i="15" s="1"/>
  <c r="VH3" i="15" s="1"/>
  <c r="VY3" i="15" s="1"/>
  <c r="Z3" i="15"/>
  <c r="AU3" i="15" s="1"/>
  <c r="BP3" i="15" s="1"/>
  <c r="CK3" i="15" s="1"/>
  <c r="DF3" i="15" s="1"/>
  <c r="EA3" i="15" s="1"/>
  <c r="EV3" i="15" s="1"/>
  <c r="FQ3" i="15" s="1"/>
  <c r="GL3" i="15" s="1"/>
  <c r="HG3" i="15" s="1"/>
  <c r="IB3" i="15" s="1"/>
  <c r="IW3" i="15" s="1"/>
  <c r="JR3" i="15" s="1"/>
  <c r="KM3" i="15" s="1"/>
  <c r="LH3" i="15" s="1"/>
  <c r="MC3" i="15" s="1"/>
  <c r="MX3" i="15" s="1"/>
  <c r="NS3" i="15" s="1"/>
  <c r="ON3" i="15" s="1"/>
  <c r="PI3" i="15" s="1"/>
  <c r="QD3" i="15" s="1"/>
  <c r="QY3" i="15" s="1"/>
  <c r="RT3" i="15" s="1"/>
  <c r="SO3" i="15" s="1"/>
  <c r="TF3" i="15" s="1"/>
  <c r="TW3" i="15" s="1"/>
  <c r="UN3" i="15" s="1"/>
  <c r="VE3" i="15" s="1"/>
  <c r="VV3" i="15" s="1"/>
  <c r="Y3" i="15"/>
  <c r="AT3" i="15" s="1"/>
  <c r="BO3" i="15" s="1"/>
  <c r="CJ3" i="15" s="1"/>
  <c r="DE3" i="15" s="1"/>
  <c r="DZ3" i="15" s="1"/>
  <c r="EU3" i="15" s="1"/>
  <c r="FP3" i="15" s="1"/>
  <c r="GK3" i="15" s="1"/>
  <c r="HF3" i="15" s="1"/>
  <c r="IA3" i="15" s="1"/>
  <c r="IV3" i="15" s="1"/>
  <c r="JQ3" i="15" s="1"/>
  <c r="KL3" i="15" s="1"/>
  <c r="LG3" i="15" s="1"/>
  <c r="MB3" i="15" s="1"/>
  <c r="MW3" i="15" s="1"/>
  <c r="NR3" i="15" s="1"/>
  <c r="OM3" i="15" s="1"/>
  <c r="PH3" i="15" s="1"/>
  <c r="QC3" i="15" s="1"/>
  <c r="QX3" i="15" s="1"/>
  <c r="RS3" i="15" s="1"/>
  <c r="SN3" i="15" s="1"/>
  <c r="TE3" i="15" s="1"/>
  <c r="TV3" i="15" s="1"/>
  <c r="UM3" i="15" s="1"/>
  <c r="VD3" i="15" s="1"/>
  <c r="VU3" i="15" s="1"/>
  <c r="X3" i="15"/>
  <c r="AS3" i="15" s="1"/>
  <c r="BN3" i="15" s="1"/>
  <c r="CI3" i="15" s="1"/>
  <c r="DD3" i="15" s="1"/>
  <c r="DY3" i="15" s="1"/>
  <c r="ET3" i="15" s="1"/>
  <c r="FO3" i="15" s="1"/>
  <c r="GJ3" i="15" s="1"/>
  <c r="HE3" i="15" s="1"/>
  <c r="HZ3" i="15" s="1"/>
  <c r="IU3" i="15" s="1"/>
  <c r="JP3" i="15" s="1"/>
  <c r="KK3" i="15" s="1"/>
  <c r="LF3" i="15" s="1"/>
  <c r="MA3" i="15" s="1"/>
  <c r="MV3" i="15" s="1"/>
  <c r="NQ3" i="15" s="1"/>
  <c r="OL3" i="15" s="1"/>
  <c r="PG3" i="15" s="1"/>
  <c r="QB3" i="15" s="1"/>
  <c r="QW3" i="15" s="1"/>
  <c r="RR3" i="15" s="1"/>
  <c r="SM3" i="15" s="1"/>
  <c r="TD3" i="15" s="1"/>
  <c r="TU3" i="15" s="1"/>
  <c r="UL3" i="15" s="1"/>
  <c r="VC3" i="15" s="1"/>
  <c r="VT3" i="15" s="1"/>
  <c r="AS1" i="15"/>
  <c r="X1" i="15"/>
  <c r="WO21" i="13"/>
  <c r="WO20" i="13" s="1"/>
  <c r="WP20" i="13" s="1"/>
  <c r="WJ21" i="13"/>
  <c r="WK21" i="13" s="1"/>
  <c r="WE21" i="13"/>
  <c r="WF21" i="13" s="1"/>
  <c r="VX21" i="13"/>
  <c r="VS21" i="13"/>
  <c r="VT21" i="13" s="1"/>
  <c r="VN21" i="13"/>
  <c r="VO21" i="13" s="1"/>
  <c r="VG21" i="13"/>
  <c r="VB21" i="13"/>
  <c r="VC21" i="13" s="1"/>
  <c r="UW21" i="13"/>
  <c r="UX21" i="13" s="1"/>
  <c r="UP21" i="13"/>
  <c r="UP20" i="13" s="1"/>
  <c r="UQ20" i="13" s="1"/>
  <c r="UK21" i="13"/>
  <c r="UL21" i="13" s="1"/>
  <c r="UF21" i="13"/>
  <c r="UG21" i="13" s="1"/>
  <c r="TY21" i="13"/>
  <c r="TY20" i="13" s="1"/>
  <c r="TZ20" i="13" s="1"/>
  <c r="TQ21" i="13"/>
  <c r="TR21" i="13" s="1"/>
  <c r="TK21" i="13"/>
  <c r="TL21" i="13" s="1"/>
  <c r="TD21" i="13"/>
  <c r="TD20" i="13" s="1"/>
  <c r="TE20" i="13" s="1"/>
  <c r="SV21" i="13"/>
  <c r="SW21" i="13" s="1"/>
  <c r="SP21" i="13"/>
  <c r="SQ21" i="13" s="1"/>
  <c r="SI21" i="13"/>
  <c r="SI20" i="13" s="1"/>
  <c r="SA21" i="13"/>
  <c r="SB21" i="13" s="1"/>
  <c r="RU21" i="13"/>
  <c r="RV21" i="13" s="1"/>
  <c r="RN21" i="13"/>
  <c r="RN20" i="13" s="1"/>
  <c r="RO20" i="13" s="1"/>
  <c r="RF21" i="13"/>
  <c r="RG21" i="13" s="1"/>
  <c r="QZ21" i="13"/>
  <c r="RA21" i="13" s="1"/>
  <c r="QS21" i="13"/>
  <c r="QS20" i="13" s="1"/>
  <c r="QT20" i="13" s="1"/>
  <c r="QK21" i="13"/>
  <c r="QL21" i="13" s="1"/>
  <c r="QE21" i="13"/>
  <c r="QF21" i="13" s="1"/>
  <c r="PX21" i="13"/>
  <c r="PY21" i="13" s="1"/>
  <c r="PP21" i="13"/>
  <c r="PQ21" i="13" s="1"/>
  <c r="PJ21" i="13"/>
  <c r="PK21" i="13" s="1"/>
  <c r="PC21" i="13"/>
  <c r="PD21" i="13" s="1"/>
  <c r="OU21" i="13"/>
  <c r="OV21" i="13" s="1"/>
  <c r="OO21" i="13"/>
  <c r="OP21" i="13" s="1"/>
  <c r="OH21" i="13"/>
  <c r="OI21" i="13" s="1"/>
  <c r="NZ21" i="13"/>
  <c r="OA21" i="13" s="1"/>
  <c r="NT21" i="13"/>
  <c r="NT20" i="13" s="1"/>
  <c r="NM21" i="13"/>
  <c r="NN21" i="13" s="1"/>
  <c r="NE21" i="13"/>
  <c r="NF21" i="13" s="1"/>
  <c r="MY21" i="13"/>
  <c r="MY20" i="13" s="1"/>
  <c r="MR21" i="13"/>
  <c r="MS21" i="13" s="1"/>
  <c r="MJ21" i="13"/>
  <c r="MK21" i="13" s="1"/>
  <c r="MD21" i="13"/>
  <c r="MD20" i="13" s="1"/>
  <c r="ME20" i="13" s="1"/>
  <c r="LW21" i="13"/>
  <c r="LX21" i="13" s="1"/>
  <c r="LO21" i="13"/>
  <c r="LP21" i="13" s="1"/>
  <c r="LI21" i="13"/>
  <c r="LI20" i="13" s="1"/>
  <c r="LB21" i="13"/>
  <c r="LC21" i="13" s="1"/>
  <c r="KT21" i="13"/>
  <c r="KU21" i="13" s="1"/>
  <c r="KN21" i="13"/>
  <c r="KN20" i="13" s="1"/>
  <c r="KO20" i="13" s="1"/>
  <c r="KG21" i="13"/>
  <c r="KH21" i="13" s="1"/>
  <c r="JY21" i="13"/>
  <c r="JZ21" i="13" s="1"/>
  <c r="JS21" i="13"/>
  <c r="JL21" i="13"/>
  <c r="JM21" i="13" s="1"/>
  <c r="JD21" i="13"/>
  <c r="JE21" i="13" s="1"/>
  <c r="IX21" i="13"/>
  <c r="IX20" i="13" s="1"/>
  <c r="IY20" i="13" s="1"/>
  <c r="IQ21" i="13"/>
  <c r="IR21" i="13" s="1"/>
  <c r="II21" i="13"/>
  <c r="IJ21" i="13" s="1"/>
  <c r="IC21" i="13"/>
  <c r="IC20" i="13" s="1"/>
  <c r="HV21" i="13"/>
  <c r="HW21" i="13" s="1"/>
  <c r="HN21" i="13"/>
  <c r="HO21" i="13" s="1"/>
  <c r="HH21" i="13"/>
  <c r="HH20" i="13" s="1"/>
  <c r="HI20" i="13" s="1"/>
  <c r="HA21" i="13"/>
  <c r="HB21" i="13" s="1"/>
  <c r="GS21" i="13"/>
  <c r="GT21" i="13" s="1"/>
  <c r="GM21" i="13"/>
  <c r="GF21" i="13"/>
  <c r="GG21" i="13" s="1"/>
  <c r="FX21" i="13"/>
  <c r="FY21" i="13" s="1"/>
  <c r="FR21" i="13"/>
  <c r="FS21" i="13" s="1"/>
  <c r="FK21" i="13"/>
  <c r="FL21" i="13" s="1"/>
  <c r="FC21" i="13"/>
  <c r="FD21" i="13" s="1"/>
  <c r="EW21" i="13"/>
  <c r="EP21" i="13"/>
  <c r="EP20" i="13" s="1"/>
  <c r="EH21" i="13"/>
  <c r="EI21" i="13" s="1"/>
  <c r="EB21" i="13"/>
  <c r="EB20" i="13" s="1"/>
  <c r="EC20" i="13" s="1"/>
  <c r="DU21" i="13"/>
  <c r="DV21" i="13" s="1"/>
  <c r="DM21" i="13"/>
  <c r="DN21" i="13" s="1"/>
  <c r="DG21" i="13"/>
  <c r="CZ21" i="13"/>
  <c r="DA21" i="13" s="1"/>
  <c r="CR21" i="13"/>
  <c r="CS21" i="13" s="1"/>
  <c r="CL21" i="13"/>
  <c r="CL20" i="13" s="1"/>
  <c r="CM20" i="13" s="1"/>
  <c r="CE21" i="13"/>
  <c r="CF21" i="13" s="1"/>
  <c r="BW21" i="13"/>
  <c r="BX21" i="13" s="1"/>
  <c r="BQ21" i="13"/>
  <c r="BQ20" i="13" s="1"/>
  <c r="BJ21" i="13"/>
  <c r="BK21" i="13" s="1"/>
  <c r="BB21" i="13"/>
  <c r="BC21" i="13" s="1"/>
  <c r="AV21" i="13"/>
  <c r="AO21" i="13"/>
  <c r="AG21" i="13"/>
  <c r="AH21" i="13" s="1"/>
  <c r="AA21" i="13"/>
  <c r="AA20" i="13" s="1"/>
  <c r="AB20" i="13" s="1"/>
  <c r="T21" i="13"/>
  <c r="T20" i="13" s="1"/>
  <c r="L21" i="13"/>
  <c r="M21" i="13" s="1"/>
  <c r="F21" i="13"/>
  <c r="WE20" i="13"/>
  <c r="VX20" i="13"/>
  <c r="VY20" i="13" s="1"/>
  <c r="VG20" i="13"/>
  <c r="UK20" i="13"/>
  <c r="JS20" i="13"/>
  <c r="WO19" i="13"/>
  <c r="WP19" i="13" s="1"/>
  <c r="WJ19" i="13"/>
  <c r="WK19" i="13" s="1"/>
  <c r="WE19" i="13"/>
  <c r="WF19" i="13" s="1"/>
  <c r="VX19" i="13"/>
  <c r="VY19" i="13" s="1"/>
  <c r="VS19" i="13"/>
  <c r="VT19" i="13" s="1"/>
  <c r="VN19" i="13"/>
  <c r="VG19" i="13"/>
  <c r="VH19" i="13" s="1"/>
  <c r="VB19" i="13"/>
  <c r="VC19" i="13" s="1"/>
  <c r="UW19" i="13"/>
  <c r="UP19" i="13"/>
  <c r="UK19" i="13"/>
  <c r="UL19" i="13" s="1"/>
  <c r="UF19" i="13"/>
  <c r="TY19" i="13"/>
  <c r="TZ19" i="13" s="1"/>
  <c r="TQ19" i="13"/>
  <c r="TR19" i="13" s="1"/>
  <c r="TK19" i="13"/>
  <c r="TD19" i="13"/>
  <c r="TE19" i="13" s="1"/>
  <c r="SV19" i="13"/>
  <c r="SW19" i="13" s="1"/>
  <c r="SP19" i="13"/>
  <c r="SI19" i="13"/>
  <c r="SJ19" i="13" s="1"/>
  <c r="SA19" i="13"/>
  <c r="SB19" i="13" s="1"/>
  <c r="RU19" i="13"/>
  <c r="RV19" i="13" s="1"/>
  <c r="RN19" i="13"/>
  <c r="RO19" i="13" s="1"/>
  <c r="RF19" i="13"/>
  <c r="RG19" i="13" s="1"/>
  <c r="QZ19" i="13"/>
  <c r="QS19" i="13"/>
  <c r="QT19" i="13" s="1"/>
  <c r="QK19" i="13"/>
  <c r="QL19" i="13" s="1"/>
  <c r="QE19" i="13"/>
  <c r="QF19" i="13" s="1"/>
  <c r="PX19" i="13"/>
  <c r="PY19" i="13" s="1"/>
  <c r="PP19" i="13"/>
  <c r="PQ19" i="13" s="1"/>
  <c r="PJ19" i="13"/>
  <c r="PC19" i="13"/>
  <c r="PD19" i="13" s="1"/>
  <c r="OU19" i="13"/>
  <c r="OV19" i="13" s="1"/>
  <c r="OO19" i="13"/>
  <c r="OH19" i="13"/>
  <c r="OI19" i="13" s="1"/>
  <c r="NZ19" i="13"/>
  <c r="OA19" i="13" s="1"/>
  <c r="NT19" i="13"/>
  <c r="NM19" i="13"/>
  <c r="NN19" i="13" s="1"/>
  <c r="NE19" i="13"/>
  <c r="NF19" i="13" s="1"/>
  <c r="MY19" i="13"/>
  <c r="MR19" i="13"/>
  <c r="MS19" i="13" s="1"/>
  <c r="MJ19" i="13"/>
  <c r="MK19" i="13" s="1"/>
  <c r="MD19" i="13"/>
  <c r="LW19" i="13"/>
  <c r="LX19" i="13" s="1"/>
  <c r="LO19" i="13"/>
  <c r="LP19" i="13" s="1"/>
  <c r="LI19" i="13"/>
  <c r="LB19" i="13"/>
  <c r="LC19" i="13" s="1"/>
  <c r="KT19" i="13"/>
  <c r="KU19" i="13" s="1"/>
  <c r="KN19" i="13"/>
  <c r="KG19" i="13"/>
  <c r="KH19" i="13" s="1"/>
  <c r="JY19" i="13"/>
  <c r="JS19" i="13"/>
  <c r="JL19" i="13"/>
  <c r="JM19" i="13" s="1"/>
  <c r="JD19" i="13"/>
  <c r="JE19" i="13" s="1"/>
  <c r="IX19" i="13"/>
  <c r="IQ19" i="13"/>
  <c r="IR19" i="13" s="1"/>
  <c r="II19" i="13"/>
  <c r="IJ19" i="13" s="1"/>
  <c r="IC19" i="13"/>
  <c r="HV19" i="13"/>
  <c r="HN19" i="13"/>
  <c r="HO19" i="13" s="1"/>
  <c r="HH19" i="13"/>
  <c r="HA19" i="13"/>
  <c r="HB19" i="13" s="1"/>
  <c r="GS19" i="13"/>
  <c r="GT19" i="13" s="1"/>
  <c r="GM19" i="13"/>
  <c r="GF19" i="13"/>
  <c r="GG19" i="13" s="1"/>
  <c r="FX19" i="13"/>
  <c r="FY19" i="13" s="1"/>
  <c r="FR19" i="13"/>
  <c r="FK19" i="13"/>
  <c r="FL19" i="13" s="1"/>
  <c r="FC19" i="13"/>
  <c r="FD19" i="13" s="1"/>
  <c r="EW19" i="13"/>
  <c r="EP19" i="13"/>
  <c r="EQ19" i="13" s="1"/>
  <c r="EH19" i="13"/>
  <c r="EI19" i="13" s="1"/>
  <c r="EB19" i="13"/>
  <c r="DU19" i="13"/>
  <c r="DV19" i="13" s="1"/>
  <c r="DM19" i="13"/>
  <c r="DG19" i="13"/>
  <c r="CZ19" i="13"/>
  <c r="DA19" i="13" s="1"/>
  <c r="CR19" i="13"/>
  <c r="CS19" i="13" s="1"/>
  <c r="CL19" i="13"/>
  <c r="CE19" i="13"/>
  <c r="CF19" i="13" s="1"/>
  <c r="BW19" i="13"/>
  <c r="BX19" i="13" s="1"/>
  <c r="BQ19" i="13"/>
  <c r="BJ19" i="13"/>
  <c r="BK19" i="13" s="1"/>
  <c r="BB19" i="13"/>
  <c r="BC19" i="13" s="1"/>
  <c r="AV19" i="13"/>
  <c r="AO19" i="13"/>
  <c r="AP19" i="13" s="1"/>
  <c r="AG19" i="13"/>
  <c r="AH19" i="13" s="1"/>
  <c r="AA19" i="13"/>
  <c r="T19" i="13"/>
  <c r="U19" i="13" s="1"/>
  <c r="L19" i="13"/>
  <c r="M19" i="13" s="1"/>
  <c r="F19" i="13"/>
  <c r="WO18" i="13"/>
  <c r="WP18" i="13" s="1"/>
  <c r="WJ18" i="13"/>
  <c r="WK18" i="13" s="1"/>
  <c r="WE18" i="13"/>
  <c r="VX18" i="13"/>
  <c r="VY18" i="13" s="1"/>
  <c r="VS18" i="13"/>
  <c r="VT18" i="13" s="1"/>
  <c r="VN18" i="13"/>
  <c r="VG18" i="13"/>
  <c r="VH18" i="13" s="1"/>
  <c r="VB18" i="13"/>
  <c r="UW18" i="13"/>
  <c r="UP18" i="13"/>
  <c r="UQ18" i="13" s="1"/>
  <c r="UK18" i="13"/>
  <c r="UL18" i="13" s="1"/>
  <c r="UF18" i="13"/>
  <c r="TY18" i="13"/>
  <c r="TZ18" i="13" s="1"/>
  <c r="TQ18" i="13"/>
  <c r="TR18" i="13" s="1"/>
  <c r="TK18" i="13"/>
  <c r="TD18" i="13"/>
  <c r="SV18" i="13"/>
  <c r="SW18" i="13" s="1"/>
  <c r="SP18" i="13"/>
  <c r="SI18" i="13"/>
  <c r="SJ18" i="13" s="1"/>
  <c r="SA18" i="13"/>
  <c r="SB18" i="13" s="1"/>
  <c r="RU18" i="13"/>
  <c r="RN18" i="13"/>
  <c r="RO18" i="13" s="1"/>
  <c r="RF18" i="13"/>
  <c r="RG18" i="13" s="1"/>
  <c r="QZ18" i="13"/>
  <c r="QS18" i="13"/>
  <c r="QT18" i="13" s="1"/>
  <c r="QK18" i="13"/>
  <c r="QL18" i="13" s="1"/>
  <c r="QE18" i="13"/>
  <c r="PX18" i="13"/>
  <c r="PY18" i="13" s="1"/>
  <c r="PP18" i="13"/>
  <c r="PQ18" i="13" s="1"/>
  <c r="PJ18" i="13"/>
  <c r="PC18" i="13"/>
  <c r="PD18" i="13" s="1"/>
  <c r="OU18" i="13"/>
  <c r="OV18" i="13" s="1"/>
  <c r="OO18" i="13"/>
  <c r="OH18" i="13"/>
  <c r="OI18" i="13" s="1"/>
  <c r="NZ18" i="13"/>
  <c r="OA18" i="13" s="1"/>
  <c r="NT18" i="13"/>
  <c r="NM18" i="13"/>
  <c r="NN18" i="13" s="1"/>
  <c r="NE18" i="13"/>
  <c r="NF18" i="13" s="1"/>
  <c r="MY18" i="13"/>
  <c r="MR18" i="13"/>
  <c r="MS18" i="13" s="1"/>
  <c r="MJ18" i="13"/>
  <c r="MK18" i="13" s="1"/>
  <c r="MD18" i="13"/>
  <c r="LW18" i="13"/>
  <c r="LX18" i="13" s="1"/>
  <c r="LO18" i="13"/>
  <c r="LP18" i="13" s="1"/>
  <c r="LI18" i="13"/>
  <c r="LB18" i="13"/>
  <c r="LC18" i="13" s="1"/>
  <c r="KT18" i="13"/>
  <c r="KU18" i="13" s="1"/>
  <c r="KN18" i="13"/>
  <c r="KG18" i="13"/>
  <c r="KH18" i="13" s="1"/>
  <c r="JY18" i="13"/>
  <c r="JZ18" i="13" s="1"/>
  <c r="JS18" i="13"/>
  <c r="JL18" i="13"/>
  <c r="JM18" i="13" s="1"/>
  <c r="JD18" i="13"/>
  <c r="JE18" i="13" s="1"/>
  <c r="IX18" i="13"/>
  <c r="IQ18" i="13"/>
  <c r="IR18" i="13" s="1"/>
  <c r="II18" i="13"/>
  <c r="IJ18" i="13" s="1"/>
  <c r="IC18" i="13"/>
  <c r="HV18" i="13"/>
  <c r="HW18" i="13" s="1"/>
  <c r="HN18" i="13"/>
  <c r="HO18" i="13" s="1"/>
  <c r="HH18" i="13"/>
  <c r="HA18" i="13"/>
  <c r="GS18" i="13"/>
  <c r="GT18" i="13" s="1"/>
  <c r="GM18" i="13"/>
  <c r="GF18" i="13"/>
  <c r="FX18" i="13"/>
  <c r="FY18" i="13" s="1"/>
  <c r="FR18" i="13"/>
  <c r="FK18" i="13"/>
  <c r="FC18" i="13"/>
  <c r="FD18" i="13" s="1"/>
  <c r="EW18" i="13"/>
  <c r="EP18" i="13"/>
  <c r="EQ18" i="13" s="1"/>
  <c r="EH18" i="13"/>
  <c r="EI18" i="13" s="1"/>
  <c r="EB18" i="13"/>
  <c r="DU18" i="13"/>
  <c r="DM18" i="13"/>
  <c r="DN18" i="13" s="1"/>
  <c r="DG18" i="13"/>
  <c r="CZ18" i="13"/>
  <c r="DA18" i="13" s="1"/>
  <c r="CR18" i="13"/>
  <c r="CS18" i="13" s="1"/>
  <c r="CL18" i="13"/>
  <c r="CE18" i="13"/>
  <c r="BW18" i="13"/>
  <c r="BX18" i="13" s="1"/>
  <c r="BQ18" i="13"/>
  <c r="BJ18" i="13"/>
  <c r="BK18" i="13" s="1"/>
  <c r="BB18" i="13"/>
  <c r="BC18" i="13" s="1"/>
  <c r="AV18" i="13"/>
  <c r="AO18" i="13"/>
  <c r="AG18" i="13"/>
  <c r="AH18" i="13" s="1"/>
  <c r="AA18" i="13"/>
  <c r="T18" i="13"/>
  <c r="U18" i="13" s="1"/>
  <c r="L18" i="13"/>
  <c r="M18" i="13" s="1"/>
  <c r="F18" i="13"/>
  <c r="WO17" i="13"/>
  <c r="WJ17" i="13"/>
  <c r="WK17" i="13" s="1"/>
  <c r="WE17" i="13"/>
  <c r="VX17" i="13"/>
  <c r="VY17" i="13" s="1"/>
  <c r="VS17" i="13"/>
  <c r="VT17" i="13" s="1"/>
  <c r="VN17" i="13"/>
  <c r="VG17" i="13"/>
  <c r="VB17" i="13"/>
  <c r="VC17" i="13" s="1"/>
  <c r="UW17" i="13"/>
  <c r="UP17" i="13"/>
  <c r="UQ17" i="13" s="1"/>
  <c r="UK17" i="13"/>
  <c r="UL17" i="13" s="1"/>
  <c r="UF17" i="13"/>
  <c r="TY17" i="13"/>
  <c r="TQ17" i="13"/>
  <c r="TK17" i="13"/>
  <c r="TD17" i="13"/>
  <c r="TE17" i="13" s="1"/>
  <c r="SV17" i="13"/>
  <c r="SW17" i="13" s="1"/>
  <c r="SP17" i="13"/>
  <c r="SI17" i="13"/>
  <c r="SA17" i="13"/>
  <c r="SB17" i="13" s="1"/>
  <c r="RU17" i="13"/>
  <c r="RN17" i="13"/>
  <c r="RO17" i="13" s="1"/>
  <c r="RF17" i="13"/>
  <c r="RG17" i="13" s="1"/>
  <c r="QZ17" i="13"/>
  <c r="QS17" i="13"/>
  <c r="QK17" i="13"/>
  <c r="QL17" i="13" s="1"/>
  <c r="QE17" i="13"/>
  <c r="PX17" i="13"/>
  <c r="PY17" i="13" s="1"/>
  <c r="PP17" i="13"/>
  <c r="PQ17" i="13" s="1"/>
  <c r="PJ17" i="13"/>
  <c r="PC17" i="13"/>
  <c r="OU17" i="13"/>
  <c r="OV17" i="13" s="1"/>
  <c r="OO17" i="13"/>
  <c r="OH17" i="13"/>
  <c r="NZ17" i="13"/>
  <c r="OA17" i="13" s="1"/>
  <c r="NT17" i="13"/>
  <c r="NM17" i="13"/>
  <c r="NE17" i="13"/>
  <c r="MY17" i="13"/>
  <c r="MR17" i="13"/>
  <c r="MS17" i="13" s="1"/>
  <c r="MJ17" i="13"/>
  <c r="MK17" i="13" s="1"/>
  <c r="MD17" i="13"/>
  <c r="LW17" i="13"/>
  <c r="LO17" i="13"/>
  <c r="LP17" i="13" s="1"/>
  <c r="LI17" i="13"/>
  <c r="LB17" i="13"/>
  <c r="KT17" i="13"/>
  <c r="KU17" i="13" s="1"/>
  <c r="KN17" i="13"/>
  <c r="KG17" i="13"/>
  <c r="JY17" i="13"/>
  <c r="JZ17" i="13" s="1"/>
  <c r="JS17" i="13"/>
  <c r="JL17" i="13"/>
  <c r="JM17" i="13" s="1"/>
  <c r="JD17" i="13"/>
  <c r="JE17" i="13" s="1"/>
  <c r="IX17" i="13"/>
  <c r="IQ17" i="13"/>
  <c r="II17" i="13"/>
  <c r="IJ17" i="13" s="1"/>
  <c r="IC17" i="13"/>
  <c r="HV17" i="13"/>
  <c r="HW17" i="13" s="1"/>
  <c r="HN17" i="13"/>
  <c r="HH17" i="13"/>
  <c r="HI17" i="13" s="1"/>
  <c r="HA17" i="13"/>
  <c r="HB17" i="13" s="1"/>
  <c r="GS17" i="13"/>
  <c r="GT17" i="13" s="1"/>
  <c r="GM17" i="13"/>
  <c r="GF17" i="13"/>
  <c r="GG17" i="13" s="1"/>
  <c r="FX17" i="13"/>
  <c r="FR17" i="13"/>
  <c r="FS17" i="13" s="1"/>
  <c r="FK17" i="13"/>
  <c r="FL17" i="13" s="1"/>
  <c r="FC17" i="13"/>
  <c r="FD17" i="13" s="1"/>
  <c r="EW17" i="13"/>
  <c r="EP17" i="13"/>
  <c r="EQ17" i="13" s="1"/>
  <c r="EH17" i="13"/>
  <c r="EB17" i="13"/>
  <c r="EC17" i="13" s="1"/>
  <c r="DU17" i="13"/>
  <c r="DV17" i="13" s="1"/>
  <c r="DM17" i="13"/>
  <c r="DN17" i="13" s="1"/>
  <c r="DG17" i="13"/>
  <c r="DH17" i="13" s="1"/>
  <c r="CZ17" i="13"/>
  <c r="DA17" i="13" s="1"/>
  <c r="CR17" i="13"/>
  <c r="CL17" i="13"/>
  <c r="CM17" i="13" s="1"/>
  <c r="CE17" i="13"/>
  <c r="CF17" i="13" s="1"/>
  <c r="BW17" i="13"/>
  <c r="BX17" i="13" s="1"/>
  <c r="BQ17" i="13"/>
  <c r="BJ17" i="13"/>
  <c r="BK17" i="13" s="1"/>
  <c r="BB17" i="13"/>
  <c r="AV17" i="13"/>
  <c r="AW17" i="13" s="1"/>
  <c r="AO17" i="13"/>
  <c r="AP17" i="13" s="1"/>
  <c r="AG17" i="13"/>
  <c r="AH17" i="13" s="1"/>
  <c r="AA17" i="13"/>
  <c r="T17" i="13"/>
  <c r="U17" i="13" s="1"/>
  <c r="L17" i="13"/>
  <c r="F17" i="13"/>
  <c r="G17" i="13" s="1"/>
  <c r="WO15" i="13"/>
  <c r="WP15" i="13" s="1"/>
  <c r="WJ15" i="13"/>
  <c r="WK15" i="13" s="1"/>
  <c r="WE15" i="13"/>
  <c r="WF15" i="13" s="1"/>
  <c r="VX15" i="13"/>
  <c r="VY15" i="13" s="1"/>
  <c r="VS15" i="13"/>
  <c r="VT15" i="13" s="1"/>
  <c r="VN15" i="13"/>
  <c r="VO15" i="13" s="1"/>
  <c r="VG15" i="13"/>
  <c r="VH15" i="13" s="1"/>
  <c r="VB15" i="13"/>
  <c r="VC15" i="13" s="1"/>
  <c r="UW15" i="13"/>
  <c r="UP15" i="13"/>
  <c r="UQ15" i="13" s="1"/>
  <c r="UK15" i="13"/>
  <c r="UL15" i="13" s="1"/>
  <c r="UF15" i="13"/>
  <c r="UG15" i="13" s="1"/>
  <c r="TY15" i="13"/>
  <c r="TZ15" i="13" s="1"/>
  <c r="TQ15" i="13"/>
  <c r="TR15" i="13" s="1"/>
  <c r="TK15" i="13"/>
  <c r="TD15" i="13"/>
  <c r="TE15" i="13" s="1"/>
  <c r="SV15" i="13"/>
  <c r="SW15" i="13" s="1"/>
  <c r="SP15" i="13"/>
  <c r="SQ15" i="13" s="1"/>
  <c r="SI15" i="13"/>
  <c r="SJ15" i="13" s="1"/>
  <c r="SA15" i="13"/>
  <c r="SB15" i="13" s="1"/>
  <c r="RU15" i="13"/>
  <c r="RN15" i="13"/>
  <c r="RO15" i="13" s="1"/>
  <c r="RF15" i="13"/>
  <c r="RG15" i="13" s="1"/>
  <c r="QZ15" i="13"/>
  <c r="RA15" i="13" s="1"/>
  <c r="QS15" i="13"/>
  <c r="QT15" i="13" s="1"/>
  <c r="QK15" i="13"/>
  <c r="QL15" i="13" s="1"/>
  <c r="QE15" i="13"/>
  <c r="PX15" i="13"/>
  <c r="PY15" i="13" s="1"/>
  <c r="PP15" i="13"/>
  <c r="PQ15" i="13" s="1"/>
  <c r="PJ15" i="13"/>
  <c r="PK15" i="13" s="1"/>
  <c r="PC15" i="13"/>
  <c r="PD15" i="13" s="1"/>
  <c r="OU15" i="13"/>
  <c r="OV15" i="13" s="1"/>
  <c r="OO15" i="13"/>
  <c r="OH15" i="13"/>
  <c r="OI15" i="13" s="1"/>
  <c r="NZ15" i="13"/>
  <c r="OA15" i="13" s="1"/>
  <c r="NT15" i="13"/>
  <c r="NU15" i="13" s="1"/>
  <c r="NM15" i="13"/>
  <c r="NE15" i="13"/>
  <c r="NF15" i="13" s="1"/>
  <c r="MY15" i="13"/>
  <c r="MZ15" i="13" s="1"/>
  <c r="MR15" i="13"/>
  <c r="MS15" i="13" s="1"/>
  <c r="MJ15" i="13"/>
  <c r="MK15" i="13" s="1"/>
  <c r="MD15" i="13"/>
  <c r="ME15" i="13" s="1"/>
  <c r="LW15" i="13"/>
  <c r="LO15" i="13"/>
  <c r="LP15" i="13" s="1"/>
  <c r="LI15" i="13"/>
  <c r="LJ15" i="13" s="1"/>
  <c r="LB15" i="13"/>
  <c r="LC15" i="13" s="1"/>
  <c r="KT15" i="13"/>
  <c r="KU15" i="13" s="1"/>
  <c r="KN15" i="13"/>
  <c r="KO15" i="13" s="1"/>
  <c r="KG15" i="13"/>
  <c r="KH15" i="13" s="1"/>
  <c r="JY15" i="13"/>
  <c r="JZ15" i="13" s="1"/>
  <c r="JS15" i="13"/>
  <c r="JT15" i="13" s="1"/>
  <c r="JL15" i="13"/>
  <c r="JM15" i="13" s="1"/>
  <c r="JD15" i="13"/>
  <c r="JE15" i="13" s="1"/>
  <c r="IX15" i="13"/>
  <c r="IY15" i="13" s="1"/>
  <c r="IQ15" i="13"/>
  <c r="IR15" i="13" s="1"/>
  <c r="II15" i="13"/>
  <c r="IJ15" i="13" s="1"/>
  <c r="IC15" i="13"/>
  <c r="HV15" i="13"/>
  <c r="HW15" i="13" s="1"/>
  <c r="HN15" i="13"/>
  <c r="HO15" i="13" s="1"/>
  <c r="HH15" i="13"/>
  <c r="HI15" i="13" s="1"/>
  <c r="HA15" i="13"/>
  <c r="GS15" i="13"/>
  <c r="GT15" i="13" s="1"/>
  <c r="GM15" i="13"/>
  <c r="GN15" i="13" s="1"/>
  <c r="GF15" i="13"/>
  <c r="GG15" i="13" s="1"/>
  <c r="FX15" i="13"/>
  <c r="FY15" i="13" s="1"/>
  <c r="FR15" i="13"/>
  <c r="FS15" i="13" s="1"/>
  <c r="FK15" i="13"/>
  <c r="FL15" i="13" s="1"/>
  <c r="FC15" i="13"/>
  <c r="EW15" i="13"/>
  <c r="EX15" i="13" s="1"/>
  <c r="EP15" i="13"/>
  <c r="EQ15" i="13" s="1"/>
  <c r="EH15" i="13"/>
  <c r="EI15" i="13" s="1"/>
  <c r="EB15" i="13"/>
  <c r="DU15" i="13"/>
  <c r="DV15" i="13" s="1"/>
  <c r="DM15" i="13"/>
  <c r="DG15" i="13"/>
  <c r="DH15" i="13" s="1"/>
  <c r="CZ15" i="13"/>
  <c r="DA15" i="13" s="1"/>
  <c r="CR15" i="13"/>
  <c r="CS15" i="13" s="1"/>
  <c r="CL15" i="13"/>
  <c r="CM15" i="13" s="1"/>
  <c r="CE15" i="13"/>
  <c r="CF15" i="13" s="1"/>
  <c r="BW15" i="13"/>
  <c r="BQ15" i="13"/>
  <c r="BR15" i="13" s="1"/>
  <c r="BJ15" i="13"/>
  <c r="BK15" i="13" s="1"/>
  <c r="BB15" i="13"/>
  <c r="BC15" i="13" s="1"/>
  <c r="AV15" i="13"/>
  <c r="AO15" i="13"/>
  <c r="AP15" i="13" s="1"/>
  <c r="AG15" i="13"/>
  <c r="AA15" i="13"/>
  <c r="T15" i="13"/>
  <c r="U15" i="13" s="1"/>
  <c r="L15" i="13"/>
  <c r="M15" i="13" s="1"/>
  <c r="F15" i="13"/>
  <c r="G15" i="13" s="1"/>
  <c r="WO14" i="13"/>
  <c r="WP14" i="13" s="1"/>
  <c r="WJ14" i="13"/>
  <c r="WE14" i="13"/>
  <c r="VX14" i="13"/>
  <c r="VY14" i="13" s="1"/>
  <c r="VS14" i="13"/>
  <c r="VT14" i="13" s="1"/>
  <c r="VN14" i="13"/>
  <c r="VO14" i="13" s="1"/>
  <c r="VG14" i="13"/>
  <c r="VB14" i="13"/>
  <c r="UW14" i="13"/>
  <c r="UX14" i="13" s="1"/>
  <c r="UP14" i="13"/>
  <c r="UQ14" i="13" s="1"/>
  <c r="UK14" i="13"/>
  <c r="UF14" i="13"/>
  <c r="TY14" i="13"/>
  <c r="TZ14" i="13" s="1"/>
  <c r="TQ14" i="13"/>
  <c r="TK14" i="13"/>
  <c r="TL14" i="13" s="1"/>
  <c r="TD14" i="13"/>
  <c r="TE14" i="13" s="1"/>
  <c r="SV14" i="13"/>
  <c r="SW14" i="13" s="1"/>
  <c r="SP14" i="13"/>
  <c r="SQ14" i="13" s="1"/>
  <c r="SI14" i="13"/>
  <c r="SJ14" i="13" s="1"/>
  <c r="SA14" i="13"/>
  <c r="SB14" i="13" s="1"/>
  <c r="RU14" i="13"/>
  <c r="RV14" i="13" s="1"/>
  <c r="RN14" i="13"/>
  <c r="RO14" i="13" s="1"/>
  <c r="RF14" i="13"/>
  <c r="RG14" i="13" s="1"/>
  <c r="QZ14" i="13"/>
  <c r="RA14" i="13" s="1"/>
  <c r="QS14" i="13"/>
  <c r="QT14" i="13" s="1"/>
  <c r="QK14" i="13"/>
  <c r="QL14" i="13" s="1"/>
  <c r="QE14" i="13"/>
  <c r="QF14" i="13" s="1"/>
  <c r="PX14" i="13"/>
  <c r="PY14" i="13" s="1"/>
  <c r="PP14" i="13"/>
  <c r="PQ14" i="13" s="1"/>
  <c r="PJ14" i="13"/>
  <c r="PK14" i="13" s="1"/>
  <c r="PC14" i="13"/>
  <c r="PD14" i="13" s="1"/>
  <c r="OU14" i="13"/>
  <c r="OV14" i="13" s="1"/>
  <c r="OO14" i="13"/>
  <c r="OP14" i="13" s="1"/>
  <c r="OH14" i="13"/>
  <c r="OI14" i="13" s="1"/>
  <c r="NZ14" i="13"/>
  <c r="OA14" i="13" s="1"/>
  <c r="NT14" i="13"/>
  <c r="NU14" i="13" s="1"/>
  <c r="NM14" i="13"/>
  <c r="NN14" i="13" s="1"/>
  <c r="NE14" i="13"/>
  <c r="NF14" i="13" s="1"/>
  <c r="MY14" i="13"/>
  <c r="MZ14" i="13" s="1"/>
  <c r="MR14" i="13"/>
  <c r="MS14" i="13" s="1"/>
  <c r="MJ14" i="13"/>
  <c r="MK14" i="13" s="1"/>
  <c r="MD14" i="13"/>
  <c r="ME14" i="13" s="1"/>
  <c r="LW14" i="13"/>
  <c r="LX14" i="13" s="1"/>
  <c r="LO14" i="13"/>
  <c r="LP14" i="13" s="1"/>
  <c r="LI14" i="13"/>
  <c r="LJ14" i="13" s="1"/>
  <c r="LB14" i="13"/>
  <c r="LC14" i="13" s="1"/>
  <c r="KT14" i="13"/>
  <c r="KU14" i="13" s="1"/>
  <c r="KN14" i="13"/>
  <c r="KO14" i="13" s="1"/>
  <c r="KG14" i="13"/>
  <c r="KH14" i="13" s="1"/>
  <c r="JY14" i="13"/>
  <c r="JZ14" i="13" s="1"/>
  <c r="JS14" i="13"/>
  <c r="JT14" i="13" s="1"/>
  <c r="JL14" i="13"/>
  <c r="JM14" i="13" s="1"/>
  <c r="JD14" i="13"/>
  <c r="JE14" i="13" s="1"/>
  <c r="IX14" i="13"/>
  <c r="IY14" i="13" s="1"/>
  <c r="IQ14" i="13"/>
  <c r="IR14" i="13" s="1"/>
  <c r="II14" i="13"/>
  <c r="IJ14" i="13" s="1"/>
  <c r="IC14" i="13"/>
  <c r="ID14" i="13" s="1"/>
  <c r="HV14" i="13"/>
  <c r="HW14" i="13" s="1"/>
  <c r="HN14" i="13"/>
  <c r="HO14" i="13" s="1"/>
  <c r="HH14" i="13"/>
  <c r="HI14" i="13" s="1"/>
  <c r="HA14" i="13"/>
  <c r="HB14" i="13" s="1"/>
  <c r="GS14" i="13"/>
  <c r="GT14" i="13" s="1"/>
  <c r="GM14" i="13"/>
  <c r="GN14" i="13" s="1"/>
  <c r="GF14" i="13"/>
  <c r="GG14" i="13" s="1"/>
  <c r="FX14" i="13"/>
  <c r="FY14" i="13" s="1"/>
  <c r="FR14" i="13"/>
  <c r="FS14" i="13" s="1"/>
  <c r="FK14" i="13"/>
  <c r="FL14" i="13" s="1"/>
  <c r="FC14" i="13"/>
  <c r="FD14" i="13" s="1"/>
  <c r="EW14" i="13"/>
  <c r="EX14" i="13" s="1"/>
  <c r="EP14" i="13"/>
  <c r="EQ14" i="13" s="1"/>
  <c r="EH14" i="13"/>
  <c r="EI14" i="13" s="1"/>
  <c r="EB14" i="13"/>
  <c r="EC14" i="13" s="1"/>
  <c r="DU14" i="13"/>
  <c r="DV14" i="13" s="1"/>
  <c r="DM14" i="13"/>
  <c r="DN14" i="13" s="1"/>
  <c r="DG14" i="13"/>
  <c r="DH14" i="13" s="1"/>
  <c r="CZ14" i="13"/>
  <c r="DA14" i="13" s="1"/>
  <c r="CR14" i="13"/>
  <c r="CS14" i="13" s="1"/>
  <c r="CL14" i="13"/>
  <c r="CM14" i="13" s="1"/>
  <c r="CE14" i="13"/>
  <c r="CF14" i="13" s="1"/>
  <c r="BW14" i="13"/>
  <c r="BX14" i="13" s="1"/>
  <c r="BQ14" i="13"/>
  <c r="BR14" i="13" s="1"/>
  <c r="BJ14" i="13"/>
  <c r="BK14" i="13" s="1"/>
  <c r="BB14" i="13"/>
  <c r="BC14" i="13" s="1"/>
  <c r="AV14" i="13"/>
  <c r="AW14" i="13" s="1"/>
  <c r="AO14" i="13"/>
  <c r="AP14" i="13" s="1"/>
  <c r="AG14" i="13"/>
  <c r="AH14" i="13" s="1"/>
  <c r="AA14" i="13"/>
  <c r="AB14" i="13" s="1"/>
  <c r="T14" i="13"/>
  <c r="U14" i="13" s="1"/>
  <c r="L14" i="13"/>
  <c r="M14" i="13" s="1"/>
  <c r="F14" i="13"/>
  <c r="G14" i="13" s="1"/>
  <c r="WO12" i="13"/>
  <c r="WP12" i="13" s="1"/>
  <c r="WJ12" i="13"/>
  <c r="WK12" i="13" s="1"/>
  <c r="WE12" i="13"/>
  <c r="WF12" i="13" s="1"/>
  <c r="VX12" i="13"/>
  <c r="VY12" i="13" s="1"/>
  <c r="VS12" i="13"/>
  <c r="VT12" i="13" s="1"/>
  <c r="VN12" i="13"/>
  <c r="VO12" i="13" s="1"/>
  <c r="VG12" i="13"/>
  <c r="VH12" i="13" s="1"/>
  <c r="VB12" i="13"/>
  <c r="VC12" i="13" s="1"/>
  <c r="UW12" i="13"/>
  <c r="UX12" i="13" s="1"/>
  <c r="UP12" i="13"/>
  <c r="UQ12" i="13" s="1"/>
  <c r="UK12" i="13"/>
  <c r="UL12" i="13" s="1"/>
  <c r="UF12" i="13"/>
  <c r="UG12" i="13" s="1"/>
  <c r="TY12" i="13"/>
  <c r="TZ12" i="13" s="1"/>
  <c r="TQ12" i="13"/>
  <c r="TR12" i="13" s="1"/>
  <c r="TK12" i="13"/>
  <c r="TL12" i="13" s="1"/>
  <c r="TD12" i="13"/>
  <c r="TE12" i="13" s="1"/>
  <c r="SV12" i="13"/>
  <c r="SW12" i="13" s="1"/>
  <c r="SP12" i="13"/>
  <c r="SQ12" i="13" s="1"/>
  <c r="SI12" i="13"/>
  <c r="SJ12" i="13" s="1"/>
  <c r="SA12" i="13"/>
  <c r="SB12" i="13" s="1"/>
  <c r="RU12" i="13"/>
  <c r="RV12" i="13" s="1"/>
  <c r="RN12" i="13"/>
  <c r="RO12" i="13" s="1"/>
  <c r="RF12" i="13"/>
  <c r="RG12" i="13" s="1"/>
  <c r="QZ12" i="13"/>
  <c r="RA12" i="13" s="1"/>
  <c r="QS12" i="13"/>
  <c r="QT12" i="13" s="1"/>
  <c r="QK12" i="13"/>
  <c r="QL12" i="13" s="1"/>
  <c r="QE12" i="13"/>
  <c r="QF12" i="13" s="1"/>
  <c r="PX12" i="13"/>
  <c r="PY12" i="13" s="1"/>
  <c r="PP12" i="13"/>
  <c r="PQ12" i="13" s="1"/>
  <c r="PJ12" i="13"/>
  <c r="PK12" i="13" s="1"/>
  <c r="PC12" i="13"/>
  <c r="PD12" i="13" s="1"/>
  <c r="OU12" i="13"/>
  <c r="OV12" i="13" s="1"/>
  <c r="OO12" i="13"/>
  <c r="OP12" i="13" s="1"/>
  <c r="OH12" i="13"/>
  <c r="OI12" i="13" s="1"/>
  <c r="NZ12" i="13"/>
  <c r="OA12" i="13" s="1"/>
  <c r="NT12" i="13"/>
  <c r="NU12" i="13" s="1"/>
  <c r="NM12" i="13"/>
  <c r="NN12" i="13" s="1"/>
  <c r="NE12" i="13"/>
  <c r="NF12" i="13" s="1"/>
  <c r="MY12" i="13"/>
  <c r="MZ12" i="13" s="1"/>
  <c r="MR12" i="13"/>
  <c r="MS12" i="13" s="1"/>
  <c r="MJ12" i="13"/>
  <c r="MK12" i="13" s="1"/>
  <c r="MD12" i="13"/>
  <c r="ME12" i="13" s="1"/>
  <c r="LW12" i="13"/>
  <c r="LX12" i="13" s="1"/>
  <c r="LO12" i="13"/>
  <c r="LP12" i="13" s="1"/>
  <c r="LI12" i="13"/>
  <c r="LJ12" i="13" s="1"/>
  <c r="LB12" i="13"/>
  <c r="LC12" i="13" s="1"/>
  <c r="KT12" i="13"/>
  <c r="KU12" i="13" s="1"/>
  <c r="KN12" i="13"/>
  <c r="KO12" i="13" s="1"/>
  <c r="KG12" i="13"/>
  <c r="KH12" i="13" s="1"/>
  <c r="JY12" i="13"/>
  <c r="JZ12" i="13" s="1"/>
  <c r="JS12" i="13"/>
  <c r="JT12" i="13" s="1"/>
  <c r="JL12" i="13"/>
  <c r="JM12" i="13" s="1"/>
  <c r="JD12" i="13"/>
  <c r="JE12" i="13" s="1"/>
  <c r="IX12" i="13"/>
  <c r="IY12" i="13" s="1"/>
  <c r="IQ12" i="13"/>
  <c r="IR12" i="13" s="1"/>
  <c r="II12" i="13"/>
  <c r="IJ12" i="13" s="1"/>
  <c r="IC12" i="13"/>
  <c r="ID12" i="13" s="1"/>
  <c r="HV12" i="13"/>
  <c r="HW12" i="13" s="1"/>
  <c r="HN12" i="13"/>
  <c r="HO12" i="13" s="1"/>
  <c r="HH12" i="13"/>
  <c r="HI12" i="13" s="1"/>
  <c r="HA12" i="13"/>
  <c r="HB12" i="13" s="1"/>
  <c r="GS12" i="13"/>
  <c r="GT12" i="13" s="1"/>
  <c r="GM12" i="13"/>
  <c r="GN12" i="13" s="1"/>
  <c r="GF12" i="13"/>
  <c r="GG12" i="13" s="1"/>
  <c r="FX12" i="13"/>
  <c r="FY12" i="13" s="1"/>
  <c r="FR12" i="13"/>
  <c r="FS12" i="13" s="1"/>
  <c r="FK12" i="13"/>
  <c r="FL12" i="13" s="1"/>
  <c r="FC12" i="13"/>
  <c r="FD12" i="13" s="1"/>
  <c r="EW12" i="13"/>
  <c r="EX12" i="13" s="1"/>
  <c r="EP12" i="13"/>
  <c r="EQ12" i="13" s="1"/>
  <c r="EH12" i="13"/>
  <c r="EI12" i="13" s="1"/>
  <c r="EB12" i="13"/>
  <c r="EC12" i="13" s="1"/>
  <c r="DU12" i="13"/>
  <c r="DV12" i="13" s="1"/>
  <c r="DM12" i="13"/>
  <c r="DN12" i="13" s="1"/>
  <c r="DG12" i="13"/>
  <c r="DH12" i="13" s="1"/>
  <c r="CZ12" i="13"/>
  <c r="DA12" i="13" s="1"/>
  <c r="CR12" i="13"/>
  <c r="CS12" i="13" s="1"/>
  <c r="CL12" i="13"/>
  <c r="CM12" i="13" s="1"/>
  <c r="CE12" i="13"/>
  <c r="CF12" i="13" s="1"/>
  <c r="BW12" i="13"/>
  <c r="BX12" i="13" s="1"/>
  <c r="BQ12" i="13"/>
  <c r="BR12" i="13" s="1"/>
  <c r="BJ12" i="13"/>
  <c r="BK12" i="13" s="1"/>
  <c r="BB12" i="13"/>
  <c r="BC12" i="13" s="1"/>
  <c r="AV12" i="13"/>
  <c r="AW12" i="13" s="1"/>
  <c r="AO12" i="13"/>
  <c r="AP12" i="13" s="1"/>
  <c r="AG12" i="13"/>
  <c r="AH12" i="13" s="1"/>
  <c r="AA12" i="13"/>
  <c r="AB12" i="13" s="1"/>
  <c r="T12" i="13"/>
  <c r="U12" i="13" s="1"/>
  <c r="L12" i="13"/>
  <c r="M12" i="13" s="1"/>
  <c r="F12" i="13"/>
  <c r="G12" i="13" s="1"/>
  <c r="WO11" i="13"/>
  <c r="WP11" i="13" s="1"/>
  <c r="WJ11" i="13"/>
  <c r="WK11" i="13" s="1"/>
  <c r="WE11" i="13"/>
  <c r="WF11" i="13" s="1"/>
  <c r="VX11" i="13"/>
  <c r="VY11" i="13" s="1"/>
  <c r="VS11" i="13"/>
  <c r="VT11" i="13" s="1"/>
  <c r="VN11" i="13"/>
  <c r="VO11" i="13" s="1"/>
  <c r="VG11" i="13"/>
  <c r="VH11" i="13" s="1"/>
  <c r="VB11" i="13"/>
  <c r="UW11" i="13"/>
  <c r="UX11" i="13" s="1"/>
  <c r="UP11" i="13"/>
  <c r="UQ11" i="13" s="1"/>
  <c r="UK11" i="13"/>
  <c r="UL11" i="13" s="1"/>
  <c r="UF11" i="13"/>
  <c r="UG11" i="13" s="1"/>
  <c r="TY11" i="13"/>
  <c r="TZ11" i="13" s="1"/>
  <c r="TQ11" i="13"/>
  <c r="TR11" i="13" s="1"/>
  <c r="TK11" i="13"/>
  <c r="TL11" i="13" s="1"/>
  <c r="TD11" i="13"/>
  <c r="TE11" i="13" s="1"/>
  <c r="SV11" i="13"/>
  <c r="SW11" i="13" s="1"/>
  <c r="SP11" i="13"/>
  <c r="SQ11" i="13" s="1"/>
  <c r="SI11" i="13"/>
  <c r="SJ11" i="13" s="1"/>
  <c r="SA11" i="13"/>
  <c r="SB11" i="13" s="1"/>
  <c r="RU11" i="13"/>
  <c r="RV11" i="13" s="1"/>
  <c r="RN11" i="13"/>
  <c r="RF11" i="13"/>
  <c r="RG11" i="13" s="1"/>
  <c r="QZ11" i="13"/>
  <c r="RA11" i="13" s="1"/>
  <c r="QS11" i="13"/>
  <c r="QT11" i="13" s="1"/>
  <c r="QK11" i="13"/>
  <c r="QL11" i="13" s="1"/>
  <c r="QE11" i="13"/>
  <c r="QF11" i="13" s="1"/>
  <c r="PX11" i="13"/>
  <c r="PY11" i="13" s="1"/>
  <c r="PP11" i="13"/>
  <c r="PQ11" i="13" s="1"/>
  <c r="PJ11" i="13"/>
  <c r="PK11" i="13" s="1"/>
  <c r="PC11" i="13"/>
  <c r="PD11" i="13" s="1"/>
  <c r="OU11" i="13"/>
  <c r="OO11" i="13"/>
  <c r="OP11" i="13" s="1"/>
  <c r="OH11" i="13"/>
  <c r="OI11" i="13" s="1"/>
  <c r="NZ11" i="13"/>
  <c r="OA11" i="13" s="1"/>
  <c r="NT11" i="13"/>
  <c r="NU11" i="13" s="1"/>
  <c r="NM11" i="13"/>
  <c r="NN11" i="13" s="1"/>
  <c r="NE11" i="13"/>
  <c r="NF11" i="13" s="1"/>
  <c r="MY11" i="13"/>
  <c r="MZ11" i="13" s="1"/>
  <c r="MR11" i="13"/>
  <c r="MS11" i="13" s="1"/>
  <c r="MJ11" i="13"/>
  <c r="MK11" i="13" s="1"/>
  <c r="MD11" i="13"/>
  <c r="ME11" i="13" s="1"/>
  <c r="LW11" i="13"/>
  <c r="LX11" i="13" s="1"/>
  <c r="LO11" i="13"/>
  <c r="LP11" i="13" s="1"/>
  <c r="LI11" i="13"/>
  <c r="LJ11" i="13" s="1"/>
  <c r="LB11" i="13"/>
  <c r="KT11" i="13"/>
  <c r="KU11" i="13" s="1"/>
  <c r="KN11" i="13"/>
  <c r="KO11" i="13" s="1"/>
  <c r="KG11" i="13"/>
  <c r="KH11" i="13" s="1"/>
  <c r="JY11" i="13"/>
  <c r="JZ11" i="13" s="1"/>
  <c r="JS11" i="13"/>
  <c r="JT11" i="13" s="1"/>
  <c r="JL11" i="13"/>
  <c r="JM11" i="13" s="1"/>
  <c r="JD11" i="13"/>
  <c r="JE11" i="13" s="1"/>
  <c r="IX11" i="13"/>
  <c r="IY11" i="13" s="1"/>
  <c r="IQ11" i="13"/>
  <c r="IR11" i="13" s="1"/>
  <c r="II11" i="13"/>
  <c r="IC11" i="13"/>
  <c r="ID11" i="13" s="1"/>
  <c r="HV11" i="13"/>
  <c r="HW11" i="13" s="1"/>
  <c r="HN11" i="13"/>
  <c r="HO11" i="13" s="1"/>
  <c r="HH11" i="13"/>
  <c r="HI11" i="13" s="1"/>
  <c r="HA11" i="13"/>
  <c r="HB11" i="13" s="1"/>
  <c r="GS11" i="13"/>
  <c r="GT11" i="13" s="1"/>
  <c r="GM11" i="13"/>
  <c r="GN11" i="13" s="1"/>
  <c r="GF11" i="13"/>
  <c r="GG11" i="13" s="1"/>
  <c r="FX11" i="13"/>
  <c r="FY11" i="13" s="1"/>
  <c r="FR11" i="13"/>
  <c r="FS11" i="13" s="1"/>
  <c r="FK11" i="13"/>
  <c r="FL11" i="13" s="1"/>
  <c r="FC11" i="13"/>
  <c r="FD11" i="13" s="1"/>
  <c r="EW11" i="13"/>
  <c r="EX11" i="13" s="1"/>
  <c r="EP11" i="13"/>
  <c r="EH11" i="13"/>
  <c r="EI11" i="13" s="1"/>
  <c r="EB11" i="13"/>
  <c r="EC11" i="13" s="1"/>
  <c r="DU11" i="13"/>
  <c r="DV11" i="13" s="1"/>
  <c r="DM11" i="13"/>
  <c r="DN11" i="13" s="1"/>
  <c r="DG11" i="13"/>
  <c r="DH11" i="13" s="1"/>
  <c r="CZ11" i="13"/>
  <c r="DA11" i="13" s="1"/>
  <c r="CR11" i="13"/>
  <c r="CS11" i="13" s="1"/>
  <c r="CL11" i="13"/>
  <c r="CM11" i="13" s="1"/>
  <c r="CE11" i="13"/>
  <c r="CF11" i="13" s="1"/>
  <c r="BW11" i="13"/>
  <c r="BQ11" i="13"/>
  <c r="BR11" i="13" s="1"/>
  <c r="BJ11" i="13"/>
  <c r="BK11" i="13" s="1"/>
  <c r="BB11" i="13"/>
  <c r="BC11" i="13" s="1"/>
  <c r="AV11" i="13"/>
  <c r="AW11" i="13" s="1"/>
  <c r="AO11" i="13"/>
  <c r="AP11" i="13" s="1"/>
  <c r="AG11" i="13"/>
  <c r="AH11" i="13" s="1"/>
  <c r="AA11" i="13"/>
  <c r="AB11" i="13" s="1"/>
  <c r="T11" i="13"/>
  <c r="U11" i="13" s="1"/>
  <c r="L11" i="13"/>
  <c r="M11" i="13" s="1"/>
  <c r="F11" i="13"/>
  <c r="G11" i="13" s="1"/>
  <c r="WO9" i="13"/>
  <c r="WP9" i="13" s="1"/>
  <c r="WJ9" i="13"/>
  <c r="WK9" i="13" s="1"/>
  <c r="WE9" i="13"/>
  <c r="WF9" i="13" s="1"/>
  <c r="VX9" i="13"/>
  <c r="VY9" i="13" s="1"/>
  <c r="VS9" i="13"/>
  <c r="VT9" i="13" s="1"/>
  <c r="VN9" i="13"/>
  <c r="VO9" i="13" s="1"/>
  <c r="VG9" i="13"/>
  <c r="VH9" i="13" s="1"/>
  <c r="VB9" i="13"/>
  <c r="VC9" i="13" s="1"/>
  <c r="UW9" i="13"/>
  <c r="UX9" i="13" s="1"/>
  <c r="UP9" i="13"/>
  <c r="UK9" i="13"/>
  <c r="UL9" i="13" s="1"/>
  <c r="UF9" i="13"/>
  <c r="UG9" i="13" s="1"/>
  <c r="TY9" i="13"/>
  <c r="TZ9" i="13" s="1"/>
  <c r="TQ9" i="13"/>
  <c r="TR9" i="13" s="1"/>
  <c r="TK9" i="13"/>
  <c r="TL9" i="13" s="1"/>
  <c r="TD9" i="13"/>
  <c r="TE9" i="13" s="1"/>
  <c r="SV9" i="13"/>
  <c r="SW9" i="13" s="1"/>
  <c r="SP9" i="13"/>
  <c r="SQ9" i="13" s="1"/>
  <c r="SI9" i="13"/>
  <c r="SJ9" i="13" s="1"/>
  <c r="SA9" i="13"/>
  <c r="SB9" i="13" s="1"/>
  <c r="RU9" i="13"/>
  <c r="RV9" i="13" s="1"/>
  <c r="RN9" i="13"/>
  <c r="RO9" i="13" s="1"/>
  <c r="RF9" i="13"/>
  <c r="RG9" i="13" s="1"/>
  <c r="QZ9" i="13"/>
  <c r="RA9" i="13" s="1"/>
  <c r="QS9" i="13"/>
  <c r="QT9" i="13" s="1"/>
  <c r="QK9" i="13"/>
  <c r="QL9" i="13" s="1"/>
  <c r="QE9" i="13"/>
  <c r="QF9" i="13" s="1"/>
  <c r="PX9" i="13"/>
  <c r="PY9" i="13" s="1"/>
  <c r="PP9" i="13"/>
  <c r="PQ9" i="13" s="1"/>
  <c r="PJ9" i="13"/>
  <c r="PK9" i="13" s="1"/>
  <c r="PC9" i="13"/>
  <c r="PD9" i="13" s="1"/>
  <c r="OU9" i="13"/>
  <c r="OO9" i="13"/>
  <c r="OP9" i="13" s="1"/>
  <c r="OH9" i="13"/>
  <c r="OI9" i="13" s="1"/>
  <c r="NZ9" i="13"/>
  <c r="OA9" i="13" s="1"/>
  <c r="NT9" i="13"/>
  <c r="NU9" i="13" s="1"/>
  <c r="NM9" i="13"/>
  <c r="NN9" i="13" s="1"/>
  <c r="NE9" i="13"/>
  <c r="NF9" i="13" s="1"/>
  <c r="MY9" i="13"/>
  <c r="MZ9" i="13" s="1"/>
  <c r="MR9" i="13"/>
  <c r="MS9" i="13" s="1"/>
  <c r="MJ9" i="13"/>
  <c r="MK9" i="13" s="1"/>
  <c r="MD9" i="13"/>
  <c r="ME9" i="13" s="1"/>
  <c r="LW9" i="13"/>
  <c r="LX9" i="13" s="1"/>
  <c r="LO9" i="13"/>
  <c r="LI9" i="13"/>
  <c r="LJ9" i="13" s="1"/>
  <c r="LB9" i="13"/>
  <c r="LC9" i="13" s="1"/>
  <c r="KT9" i="13"/>
  <c r="KU9" i="13" s="1"/>
  <c r="KN9" i="13"/>
  <c r="KO9" i="13" s="1"/>
  <c r="KG9" i="13"/>
  <c r="KH9" i="13" s="1"/>
  <c r="JY9" i="13"/>
  <c r="JZ9" i="13" s="1"/>
  <c r="JS9" i="13"/>
  <c r="JT9" i="13" s="1"/>
  <c r="JL9" i="13"/>
  <c r="JM9" i="13" s="1"/>
  <c r="JD9" i="13"/>
  <c r="JE9" i="13" s="1"/>
  <c r="IX9" i="13"/>
  <c r="IY9" i="13" s="1"/>
  <c r="IQ9" i="13"/>
  <c r="IR9" i="13" s="1"/>
  <c r="II9" i="13"/>
  <c r="IJ9" i="13" s="1"/>
  <c r="IC9" i="13"/>
  <c r="ID9" i="13" s="1"/>
  <c r="HV9" i="13"/>
  <c r="HW9" i="13" s="1"/>
  <c r="HN9" i="13"/>
  <c r="HO9" i="13" s="1"/>
  <c r="HH9" i="13"/>
  <c r="HA9" i="13"/>
  <c r="HB9" i="13" s="1"/>
  <c r="GS9" i="13"/>
  <c r="GM9" i="13"/>
  <c r="GN9" i="13" s="1"/>
  <c r="GF9" i="13"/>
  <c r="GG9" i="13" s="1"/>
  <c r="FX9" i="13"/>
  <c r="FY9" i="13" s="1"/>
  <c r="FR9" i="13"/>
  <c r="FS9" i="13" s="1"/>
  <c r="FK9" i="13"/>
  <c r="FL9" i="13" s="1"/>
  <c r="FC9" i="13"/>
  <c r="EW9" i="13"/>
  <c r="EX9" i="13" s="1"/>
  <c r="EP9" i="13"/>
  <c r="EQ9" i="13" s="1"/>
  <c r="EH9" i="13"/>
  <c r="EI9" i="13" s="1"/>
  <c r="EB9" i="13"/>
  <c r="DU9" i="13"/>
  <c r="DV9" i="13" s="1"/>
  <c r="DM9" i="13"/>
  <c r="DG9" i="13"/>
  <c r="DH9" i="13" s="1"/>
  <c r="CZ9" i="13"/>
  <c r="DA9" i="13" s="1"/>
  <c r="CR9" i="13"/>
  <c r="CS9" i="13" s="1"/>
  <c r="CL9" i="13"/>
  <c r="CE9" i="13"/>
  <c r="CF9" i="13" s="1"/>
  <c r="BW9" i="13"/>
  <c r="BQ9" i="13"/>
  <c r="BR9" i="13" s="1"/>
  <c r="BJ9" i="13"/>
  <c r="BK9" i="13" s="1"/>
  <c r="BB9" i="13"/>
  <c r="BC9" i="13" s="1"/>
  <c r="AV9" i="13"/>
  <c r="AO9" i="13"/>
  <c r="AP9" i="13" s="1"/>
  <c r="AG9" i="13"/>
  <c r="AA9" i="13"/>
  <c r="AB9" i="13" s="1"/>
  <c r="T9" i="13"/>
  <c r="U9" i="13" s="1"/>
  <c r="L9" i="13"/>
  <c r="M9" i="13" s="1"/>
  <c r="F9" i="13"/>
  <c r="WO8" i="13"/>
  <c r="WP8" i="13" s="1"/>
  <c r="WJ8" i="13"/>
  <c r="WE8" i="13"/>
  <c r="WF8" i="13" s="1"/>
  <c r="VX8" i="13"/>
  <c r="VY8" i="13" s="1"/>
  <c r="VS8" i="13"/>
  <c r="VT8" i="13" s="1"/>
  <c r="VN8" i="13"/>
  <c r="VG8" i="13"/>
  <c r="VH8" i="13" s="1"/>
  <c r="VB8" i="13"/>
  <c r="UW8" i="13"/>
  <c r="UX8" i="13" s="1"/>
  <c r="UP8" i="13"/>
  <c r="UQ8" i="13" s="1"/>
  <c r="UK8" i="13"/>
  <c r="UL8" i="13" s="1"/>
  <c r="UF8" i="13"/>
  <c r="TY8" i="13"/>
  <c r="TZ8" i="13" s="1"/>
  <c r="TQ8" i="13"/>
  <c r="TK8" i="13"/>
  <c r="TL8" i="13" s="1"/>
  <c r="TD8" i="13"/>
  <c r="TE8" i="13" s="1"/>
  <c r="SV8" i="13"/>
  <c r="SW8" i="13" s="1"/>
  <c r="SP8" i="13"/>
  <c r="SI8" i="13"/>
  <c r="SJ8" i="13" s="1"/>
  <c r="SA8" i="13"/>
  <c r="RU8" i="13"/>
  <c r="RV8" i="13" s="1"/>
  <c r="RN8" i="13"/>
  <c r="RO8" i="13" s="1"/>
  <c r="RF8" i="13"/>
  <c r="RG8" i="13" s="1"/>
  <c r="QZ8" i="13"/>
  <c r="QS8" i="13"/>
  <c r="QT8" i="13" s="1"/>
  <c r="QK8" i="13"/>
  <c r="QE8" i="13"/>
  <c r="QF8" i="13" s="1"/>
  <c r="PX8" i="13"/>
  <c r="PY8" i="13" s="1"/>
  <c r="PP8" i="13"/>
  <c r="PQ8" i="13" s="1"/>
  <c r="PJ8" i="13"/>
  <c r="PC8" i="13"/>
  <c r="PD8" i="13" s="1"/>
  <c r="OU8" i="13"/>
  <c r="OO8" i="13"/>
  <c r="OP8" i="13" s="1"/>
  <c r="OH8" i="13"/>
  <c r="OI8" i="13" s="1"/>
  <c r="NZ8" i="13"/>
  <c r="OA8" i="13" s="1"/>
  <c r="NT8" i="13"/>
  <c r="NM8" i="13"/>
  <c r="NN8" i="13" s="1"/>
  <c r="NE8" i="13"/>
  <c r="MY8" i="13"/>
  <c r="MZ8" i="13" s="1"/>
  <c r="MR8" i="13"/>
  <c r="MS8" i="13" s="1"/>
  <c r="MJ8" i="13"/>
  <c r="MK8" i="13" s="1"/>
  <c r="MD8" i="13"/>
  <c r="LW8" i="13"/>
  <c r="LX8" i="13" s="1"/>
  <c r="LO8" i="13"/>
  <c r="LP8" i="13" s="1"/>
  <c r="LI8" i="13"/>
  <c r="LB8" i="13"/>
  <c r="LC8" i="13" s="1"/>
  <c r="KT8" i="13"/>
  <c r="KU8" i="13" s="1"/>
  <c r="KN8" i="13"/>
  <c r="KG8" i="13"/>
  <c r="KH8" i="13" s="1"/>
  <c r="JY8" i="13"/>
  <c r="JZ8" i="13" s="1"/>
  <c r="JS8" i="13"/>
  <c r="JL8" i="13"/>
  <c r="JM8" i="13" s="1"/>
  <c r="JD8" i="13"/>
  <c r="JE8" i="13" s="1"/>
  <c r="IX8" i="13"/>
  <c r="IQ8" i="13"/>
  <c r="IR8" i="13" s="1"/>
  <c r="II8" i="13"/>
  <c r="IJ8" i="13" s="1"/>
  <c r="IC8" i="13"/>
  <c r="HV8" i="13"/>
  <c r="HW8" i="13" s="1"/>
  <c r="HN8" i="13"/>
  <c r="HO8" i="13" s="1"/>
  <c r="HH8" i="13"/>
  <c r="HA8" i="13"/>
  <c r="HB8" i="13" s="1"/>
  <c r="GS8" i="13"/>
  <c r="GT8" i="13" s="1"/>
  <c r="GM8" i="13"/>
  <c r="GF8" i="13"/>
  <c r="GG8" i="13" s="1"/>
  <c r="FX8" i="13"/>
  <c r="FY8" i="13" s="1"/>
  <c r="FR8" i="13"/>
  <c r="FK8" i="13"/>
  <c r="FL8" i="13" s="1"/>
  <c r="FC8" i="13"/>
  <c r="FD8" i="13" s="1"/>
  <c r="EW8" i="13"/>
  <c r="EP8" i="13"/>
  <c r="EQ8" i="13" s="1"/>
  <c r="EH8" i="13"/>
  <c r="EI8" i="13" s="1"/>
  <c r="EB8" i="13"/>
  <c r="DU8" i="13"/>
  <c r="DV8" i="13" s="1"/>
  <c r="DM8" i="13"/>
  <c r="DN8" i="13" s="1"/>
  <c r="DG8" i="13"/>
  <c r="CZ8" i="13"/>
  <c r="DA8" i="13" s="1"/>
  <c r="CR8" i="13"/>
  <c r="CS8" i="13" s="1"/>
  <c r="CL8" i="13"/>
  <c r="CE8" i="13"/>
  <c r="CF8" i="13" s="1"/>
  <c r="BW8" i="13"/>
  <c r="BX8" i="13" s="1"/>
  <c r="BQ8" i="13"/>
  <c r="BJ8" i="13"/>
  <c r="BK8" i="13" s="1"/>
  <c r="BB8" i="13"/>
  <c r="BC8" i="13" s="1"/>
  <c r="AV8" i="13"/>
  <c r="AO8" i="13"/>
  <c r="AP8" i="13" s="1"/>
  <c r="AG8" i="13"/>
  <c r="AH8" i="13" s="1"/>
  <c r="AA8" i="13"/>
  <c r="T8" i="13"/>
  <c r="U8" i="13" s="1"/>
  <c r="L8" i="13"/>
  <c r="M8" i="13" s="1"/>
  <c r="F8" i="13"/>
  <c r="WO7" i="13"/>
  <c r="WP7" i="13" s="1"/>
  <c r="WJ7" i="13"/>
  <c r="WK7" i="13" s="1"/>
  <c r="WE7" i="13"/>
  <c r="VX7" i="13"/>
  <c r="VY7" i="13" s="1"/>
  <c r="VS7" i="13"/>
  <c r="VT7" i="13" s="1"/>
  <c r="VN7" i="13"/>
  <c r="VG7" i="13"/>
  <c r="VH7" i="13" s="1"/>
  <c r="VB7" i="13"/>
  <c r="VC7" i="13" s="1"/>
  <c r="UW7" i="13"/>
  <c r="UP7" i="13"/>
  <c r="UQ7" i="13" s="1"/>
  <c r="UK7" i="13"/>
  <c r="UL7" i="13" s="1"/>
  <c r="UF7" i="13"/>
  <c r="TY7" i="13"/>
  <c r="TZ7" i="13" s="1"/>
  <c r="TQ7" i="13"/>
  <c r="TR7" i="13" s="1"/>
  <c r="TK7" i="13"/>
  <c r="TD7" i="13"/>
  <c r="TE7" i="13" s="1"/>
  <c r="SV7" i="13"/>
  <c r="SW7" i="13" s="1"/>
  <c r="SP7" i="13"/>
  <c r="SI7" i="13"/>
  <c r="SJ7" i="13" s="1"/>
  <c r="SA7" i="13"/>
  <c r="SB7" i="13" s="1"/>
  <c r="RU7" i="13"/>
  <c r="RN7" i="13"/>
  <c r="RO7" i="13" s="1"/>
  <c r="RF7" i="13"/>
  <c r="RG7" i="13" s="1"/>
  <c r="QZ7" i="13"/>
  <c r="QS7" i="13"/>
  <c r="QT7" i="13" s="1"/>
  <c r="QK7" i="13"/>
  <c r="QL7" i="13" s="1"/>
  <c r="QE7" i="13"/>
  <c r="PX7" i="13"/>
  <c r="PY7" i="13" s="1"/>
  <c r="PP7" i="13"/>
  <c r="PQ7" i="13" s="1"/>
  <c r="PJ7" i="13"/>
  <c r="PC7" i="13"/>
  <c r="PD7" i="13" s="1"/>
  <c r="OU7" i="13"/>
  <c r="OV7" i="13" s="1"/>
  <c r="OO7" i="13"/>
  <c r="OH7" i="13"/>
  <c r="OI7" i="13" s="1"/>
  <c r="NZ7" i="13"/>
  <c r="OA7" i="13" s="1"/>
  <c r="NT7" i="13"/>
  <c r="NM7" i="13"/>
  <c r="NN7" i="13" s="1"/>
  <c r="NE7" i="13"/>
  <c r="NF7" i="13" s="1"/>
  <c r="MY7" i="13"/>
  <c r="MR7" i="13"/>
  <c r="MS7" i="13" s="1"/>
  <c r="MJ7" i="13"/>
  <c r="MK7" i="13" s="1"/>
  <c r="MD7" i="13"/>
  <c r="LW7" i="13"/>
  <c r="LX7" i="13" s="1"/>
  <c r="LO7" i="13"/>
  <c r="LP7" i="13" s="1"/>
  <c r="LI7" i="13"/>
  <c r="LB7" i="13"/>
  <c r="LC7" i="13" s="1"/>
  <c r="KT7" i="13"/>
  <c r="KU7" i="13" s="1"/>
  <c r="KN7" i="13"/>
  <c r="KG7" i="13"/>
  <c r="KH7" i="13" s="1"/>
  <c r="JY7" i="13"/>
  <c r="JZ7" i="13" s="1"/>
  <c r="JS7" i="13"/>
  <c r="JL7" i="13"/>
  <c r="JM7" i="13" s="1"/>
  <c r="JD7" i="13"/>
  <c r="JE7" i="13" s="1"/>
  <c r="IX7" i="13"/>
  <c r="IQ7" i="13"/>
  <c r="IR7" i="13" s="1"/>
  <c r="II7" i="13"/>
  <c r="IJ7" i="13" s="1"/>
  <c r="IC7" i="13"/>
  <c r="HV7" i="13"/>
  <c r="HW7" i="13" s="1"/>
  <c r="HN7" i="13"/>
  <c r="HO7" i="13" s="1"/>
  <c r="HH7" i="13"/>
  <c r="HA7" i="13"/>
  <c r="HB7" i="13" s="1"/>
  <c r="GS7" i="13"/>
  <c r="GT7" i="13" s="1"/>
  <c r="GM7" i="13"/>
  <c r="GF7" i="13"/>
  <c r="GG7" i="13" s="1"/>
  <c r="FX7" i="13"/>
  <c r="FY7" i="13" s="1"/>
  <c r="FR7" i="13"/>
  <c r="FK7" i="13"/>
  <c r="FL7" i="13" s="1"/>
  <c r="FC7" i="13"/>
  <c r="FD7" i="13" s="1"/>
  <c r="EW7" i="13"/>
  <c r="EP7" i="13"/>
  <c r="EQ7" i="13" s="1"/>
  <c r="EH7" i="13"/>
  <c r="EI7" i="13" s="1"/>
  <c r="EB7" i="13"/>
  <c r="DU7" i="13"/>
  <c r="DV7" i="13" s="1"/>
  <c r="DM7" i="13"/>
  <c r="DN7" i="13" s="1"/>
  <c r="DG7" i="13"/>
  <c r="CZ7" i="13"/>
  <c r="DA7" i="13" s="1"/>
  <c r="CR7" i="13"/>
  <c r="CS7" i="13" s="1"/>
  <c r="CL7" i="13"/>
  <c r="CE7" i="13"/>
  <c r="CF7" i="13" s="1"/>
  <c r="BW7" i="13"/>
  <c r="BX7" i="13" s="1"/>
  <c r="BQ7" i="13"/>
  <c r="BJ7" i="13"/>
  <c r="BB7" i="13"/>
  <c r="BC7" i="13" s="1"/>
  <c r="AV7" i="13"/>
  <c r="AO7" i="13"/>
  <c r="AP7" i="13" s="1"/>
  <c r="AG7" i="13"/>
  <c r="AH7" i="13" s="1"/>
  <c r="AA7" i="13"/>
  <c r="T7" i="13"/>
  <c r="U7" i="13" s="1"/>
  <c r="L7" i="13"/>
  <c r="M7" i="13" s="1"/>
  <c r="F7" i="13"/>
  <c r="WO6" i="13"/>
  <c r="WP6" i="13" s="1"/>
  <c r="WJ6" i="13"/>
  <c r="WK6" i="13" s="1"/>
  <c r="WE6" i="13"/>
  <c r="VX6" i="13"/>
  <c r="VY6" i="13" s="1"/>
  <c r="VS6" i="13"/>
  <c r="VT6" i="13" s="1"/>
  <c r="VN6" i="13"/>
  <c r="VG6" i="13"/>
  <c r="VH6" i="13" s="1"/>
  <c r="VB6" i="13"/>
  <c r="VC6" i="13" s="1"/>
  <c r="UW6" i="13"/>
  <c r="UP6" i="13"/>
  <c r="UQ6" i="13" s="1"/>
  <c r="UK6" i="13"/>
  <c r="UL6" i="13" s="1"/>
  <c r="UF6" i="13"/>
  <c r="TY6" i="13"/>
  <c r="TQ6" i="13"/>
  <c r="TR6" i="13" s="1"/>
  <c r="TK6" i="13"/>
  <c r="TD6" i="13"/>
  <c r="TE6" i="13" s="1"/>
  <c r="SV6" i="13"/>
  <c r="SW6" i="13" s="1"/>
  <c r="SP6" i="13"/>
  <c r="SI6" i="13"/>
  <c r="SJ6" i="13" s="1"/>
  <c r="SA6" i="13"/>
  <c r="SB6" i="13" s="1"/>
  <c r="RU6" i="13"/>
  <c r="RN6" i="13"/>
  <c r="RO6" i="13" s="1"/>
  <c r="RF6" i="13"/>
  <c r="RG6" i="13" s="1"/>
  <c r="QZ6" i="13"/>
  <c r="QS6" i="13"/>
  <c r="QT6" i="13" s="1"/>
  <c r="QK6" i="13"/>
  <c r="QL6" i="13" s="1"/>
  <c r="QE6" i="13"/>
  <c r="PX6" i="13"/>
  <c r="PY6" i="13" s="1"/>
  <c r="PP6" i="13"/>
  <c r="PQ6" i="13" s="1"/>
  <c r="PJ6" i="13"/>
  <c r="PC6" i="13"/>
  <c r="PD6" i="13" s="1"/>
  <c r="OU6" i="13"/>
  <c r="OV6" i="13" s="1"/>
  <c r="OO6" i="13"/>
  <c r="OH6" i="13"/>
  <c r="OI6" i="13" s="1"/>
  <c r="NZ6" i="13"/>
  <c r="OA6" i="13" s="1"/>
  <c r="NT6" i="13"/>
  <c r="NM6" i="13"/>
  <c r="NN6" i="13" s="1"/>
  <c r="NE6" i="13"/>
  <c r="NF6" i="13" s="1"/>
  <c r="MY6" i="13"/>
  <c r="MR6" i="13"/>
  <c r="MS6" i="13" s="1"/>
  <c r="MJ6" i="13"/>
  <c r="MK6" i="13" s="1"/>
  <c r="MD6" i="13"/>
  <c r="LW6" i="13"/>
  <c r="LX6" i="13" s="1"/>
  <c r="LO6" i="13"/>
  <c r="LP6" i="13" s="1"/>
  <c r="LI6" i="13"/>
  <c r="LB6" i="13"/>
  <c r="LC6" i="13" s="1"/>
  <c r="KT6" i="13"/>
  <c r="KU6" i="13" s="1"/>
  <c r="KN6" i="13"/>
  <c r="KG6" i="13"/>
  <c r="KH6" i="13" s="1"/>
  <c r="JY6" i="13"/>
  <c r="JZ6" i="13" s="1"/>
  <c r="JS6" i="13"/>
  <c r="JL6" i="13"/>
  <c r="JM6" i="13" s="1"/>
  <c r="JD6" i="13"/>
  <c r="JE6" i="13" s="1"/>
  <c r="IX6" i="13"/>
  <c r="IQ6" i="13"/>
  <c r="IR6" i="13" s="1"/>
  <c r="II6" i="13"/>
  <c r="IJ6" i="13" s="1"/>
  <c r="IC6" i="13"/>
  <c r="HV6" i="13"/>
  <c r="HW6" i="13" s="1"/>
  <c r="HN6" i="13"/>
  <c r="HO6" i="13" s="1"/>
  <c r="HH6" i="13"/>
  <c r="HA6" i="13"/>
  <c r="GS6" i="13"/>
  <c r="GM6" i="13"/>
  <c r="GF6" i="13"/>
  <c r="GG6" i="13" s="1"/>
  <c r="FX6" i="13"/>
  <c r="FY6" i="13" s="1"/>
  <c r="FR6" i="13"/>
  <c r="FK6" i="13"/>
  <c r="FL6" i="13" s="1"/>
  <c r="FC6" i="13"/>
  <c r="EW6" i="13"/>
  <c r="EP6" i="13"/>
  <c r="EH6" i="13"/>
  <c r="EI6" i="13" s="1"/>
  <c r="EB6" i="13"/>
  <c r="DU6" i="13"/>
  <c r="DV6" i="13" s="1"/>
  <c r="DM6" i="13"/>
  <c r="DG6" i="13"/>
  <c r="CZ6" i="13"/>
  <c r="DA6" i="13" s="1"/>
  <c r="CR6" i="13"/>
  <c r="CS6" i="13" s="1"/>
  <c r="CL6" i="13"/>
  <c r="CE6" i="13"/>
  <c r="CF6" i="13" s="1"/>
  <c r="BW6" i="13"/>
  <c r="BQ6" i="13"/>
  <c r="BJ6" i="13"/>
  <c r="BK6" i="13" s="1"/>
  <c r="BB6" i="13"/>
  <c r="BC6" i="13" s="1"/>
  <c r="AV6" i="13"/>
  <c r="AO6" i="13"/>
  <c r="AP6" i="13" s="1"/>
  <c r="AG6" i="13"/>
  <c r="AA6" i="13"/>
  <c r="T6" i="13"/>
  <c r="U6" i="13" s="1"/>
  <c r="L6" i="13"/>
  <c r="M6" i="13" s="1"/>
  <c r="F6" i="13"/>
  <c r="WO5" i="13"/>
  <c r="WJ5" i="13"/>
  <c r="WE5" i="13"/>
  <c r="VX5" i="13"/>
  <c r="VY5" i="13" s="1"/>
  <c r="VS5" i="13"/>
  <c r="VT5" i="13" s="1"/>
  <c r="VN5" i="13"/>
  <c r="VG5" i="13"/>
  <c r="VH5" i="13" s="1"/>
  <c r="VB5" i="13"/>
  <c r="UW5" i="13"/>
  <c r="UP5" i="13"/>
  <c r="UQ5" i="13" s="1"/>
  <c r="UK5" i="13"/>
  <c r="UL5" i="13" s="1"/>
  <c r="UF5" i="13"/>
  <c r="TY5" i="13"/>
  <c r="TZ5" i="13" s="1"/>
  <c r="TQ5" i="13"/>
  <c r="TK5" i="13"/>
  <c r="TD5" i="13"/>
  <c r="SV5" i="13"/>
  <c r="SW5" i="13" s="1"/>
  <c r="SP5" i="13"/>
  <c r="SI5" i="13"/>
  <c r="SJ5" i="13" s="1"/>
  <c r="SA5" i="13"/>
  <c r="RU5" i="13"/>
  <c r="RN5" i="13"/>
  <c r="RO5" i="13" s="1"/>
  <c r="RF5" i="13"/>
  <c r="RG5" i="13" s="1"/>
  <c r="QZ5" i="13"/>
  <c r="QS5" i="13"/>
  <c r="QK5" i="13"/>
  <c r="QE5" i="13"/>
  <c r="PX5" i="13"/>
  <c r="PY5" i="13" s="1"/>
  <c r="PP5" i="13"/>
  <c r="PQ5" i="13" s="1"/>
  <c r="PJ5" i="13"/>
  <c r="PC5" i="13"/>
  <c r="PD5" i="13" s="1"/>
  <c r="OU5" i="13"/>
  <c r="OO5" i="13"/>
  <c r="OH5" i="13"/>
  <c r="OI5" i="13" s="1"/>
  <c r="NZ5" i="13"/>
  <c r="OA5" i="13" s="1"/>
  <c r="NT5" i="13"/>
  <c r="NM5" i="13"/>
  <c r="NN5" i="13" s="1"/>
  <c r="NE5" i="13"/>
  <c r="MY5" i="13"/>
  <c r="MR5" i="13"/>
  <c r="MJ5" i="13"/>
  <c r="MK5" i="13" s="1"/>
  <c r="MD5" i="13"/>
  <c r="LW5" i="13"/>
  <c r="LX5" i="13" s="1"/>
  <c r="LO5" i="13"/>
  <c r="LI5" i="13"/>
  <c r="LB5" i="13"/>
  <c r="KT5" i="13"/>
  <c r="KU5" i="13" s="1"/>
  <c r="KN5" i="13"/>
  <c r="KG5" i="13"/>
  <c r="JY5" i="13"/>
  <c r="JS5" i="13"/>
  <c r="JL5" i="13"/>
  <c r="JM5" i="13" s="1"/>
  <c r="JD5" i="13"/>
  <c r="JE5" i="13" s="1"/>
  <c r="IX5" i="13"/>
  <c r="IQ5" i="13"/>
  <c r="IR5" i="13" s="1"/>
  <c r="II5" i="13"/>
  <c r="IC5" i="13"/>
  <c r="HV5" i="13"/>
  <c r="HW5" i="13" s="1"/>
  <c r="HN5" i="13"/>
  <c r="HO5" i="13" s="1"/>
  <c r="HH5" i="13"/>
  <c r="HA5" i="13"/>
  <c r="HB5" i="13" s="1"/>
  <c r="GS5" i="13"/>
  <c r="GT5" i="13" s="1"/>
  <c r="GM5" i="13"/>
  <c r="GF5" i="13"/>
  <c r="GG5" i="13" s="1"/>
  <c r="FX5" i="13"/>
  <c r="FY5" i="13" s="1"/>
  <c r="FR5" i="13"/>
  <c r="FK5" i="13"/>
  <c r="FL5" i="13" s="1"/>
  <c r="FC5" i="13"/>
  <c r="FD5" i="13" s="1"/>
  <c r="EW5" i="13"/>
  <c r="EP5" i="13"/>
  <c r="EQ5" i="13" s="1"/>
  <c r="EH5" i="13"/>
  <c r="EI5" i="13" s="1"/>
  <c r="EB5" i="13"/>
  <c r="DU5" i="13"/>
  <c r="DV5" i="13" s="1"/>
  <c r="DM5" i="13"/>
  <c r="DN5" i="13" s="1"/>
  <c r="DG5" i="13"/>
  <c r="CZ5" i="13"/>
  <c r="DA5" i="13" s="1"/>
  <c r="CR5" i="13"/>
  <c r="CS5" i="13" s="1"/>
  <c r="CL5" i="13"/>
  <c r="CE5" i="13"/>
  <c r="CF5" i="13" s="1"/>
  <c r="BW5" i="13"/>
  <c r="BX5" i="13" s="1"/>
  <c r="BQ5" i="13"/>
  <c r="BJ5" i="13"/>
  <c r="BK5" i="13" s="1"/>
  <c r="BB5" i="13"/>
  <c r="BC5" i="13" s="1"/>
  <c r="AV5" i="13"/>
  <c r="AO5" i="13"/>
  <c r="AP5" i="13" s="1"/>
  <c r="AG5" i="13"/>
  <c r="AH5" i="13" s="1"/>
  <c r="AA5" i="13"/>
  <c r="T5" i="13"/>
  <c r="U5" i="13" s="1"/>
  <c r="L5" i="13"/>
  <c r="M5" i="13" s="1"/>
  <c r="F5" i="13"/>
  <c r="AN3" i="13"/>
  <c r="BI3" i="13" s="1"/>
  <c r="CD3" i="13" s="1"/>
  <c r="CY3" i="13" s="1"/>
  <c r="DT3" i="13" s="1"/>
  <c r="EO3" i="13" s="1"/>
  <c r="FJ3" i="13" s="1"/>
  <c r="GE3" i="13" s="1"/>
  <c r="GZ3" i="13" s="1"/>
  <c r="HU3" i="13" s="1"/>
  <c r="IP3" i="13" s="1"/>
  <c r="JK3" i="13" s="1"/>
  <c r="KF3" i="13" s="1"/>
  <c r="LA3" i="13" s="1"/>
  <c r="LV3" i="13" s="1"/>
  <c r="MQ3" i="13" s="1"/>
  <c r="NL3" i="13" s="1"/>
  <c r="OG3" i="13" s="1"/>
  <c r="PB3" i="13" s="1"/>
  <c r="PW3" i="13" s="1"/>
  <c r="QR3" i="13" s="1"/>
  <c r="RM3" i="13" s="1"/>
  <c r="SH3" i="13" s="1"/>
  <c r="TC3" i="13" s="1"/>
  <c r="TX3" i="13" s="1"/>
  <c r="UO3" i="13" s="1"/>
  <c r="VF3" i="13" s="1"/>
  <c r="VW3" i="13" s="1"/>
  <c r="WN3" i="13" s="1"/>
  <c r="AJ3" i="13"/>
  <c r="BE3" i="13" s="1"/>
  <c r="BZ3" i="13" s="1"/>
  <c r="CU3" i="13" s="1"/>
  <c r="DP3" i="13" s="1"/>
  <c r="EK3" i="13" s="1"/>
  <c r="FF3" i="13" s="1"/>
  <c r="GA3" i="13" s="1"/>
  <c r="GV3" i="13" s="1"/>
  <c r="HQ3" i="13" s="1"/>
  <c r="IL3" i="13" s="1"/>
  <c r="JG3" i="13" s="1"/>
  <c r="KB3" i="13" s="1"/>
  <c r="KW3" i="13" s="1"/>
  <c r="LR3" i="13" s="1"/>
  <c r="MM3" i="13" s="1"/>
  <c r="NH3" i="13" s="1"/>
  <c r="OC3" i="13" s="1"/>
  <c r="OX3" i="13" s="1"/>
  <c r="PS3" i="13" s="1"/>
  <c r="QN3" i="13" s="1"/>
  <c r="RI3" i="13" s="1"/>
  <c r="SD3" i="13" s="1"/>
  <c r="SY3" i="13" s="1"/>
  <c r="TT3" i="13" s="1"/>
  <c r="UN3" i="13" s="1"/>
  <c r="VE3" i="13" s="1"/>
  <c r="VV3" i="13" s="1"/>
  <c r="WM3" i="13" s="1"/>
  <c r="AI3" i="13"/>
  <c r="BD3" i="13" s="1"/>
  <c r="BY3" i="13" s="1"/>
  <c r="CT3" i="13" s="1"/>
  <c r="DO3" i="13" s="1"/>
  <c r="EJ3" i="13" s="1"/>
  <c r="FE3" i="13" s="1"/>
  <c r="FZ3" i="13" s="1"/>
  <c r="GU3" i="13" s="1"/>
  <c r="HP3" i="13" s="1"/>
  <c r="IK3" i="13" s="1"/>
  <c r="JF3" i="13" s="1"/>
  <c r="KA3" i="13" s="1"/>
  <c r="KV3" i="13" s="1"/>
  <c r="LQ3" i="13" s="1"/>
  <c r="ML3" i="13" s="1"/>
  <c r="NG3" i="13" s="1"/>
  <c r="OB3" i="13" s="1"/>
  <c r="OW3" i="13" s="1"/>
  <c r="PR3" i="13" s="1"/>
  <c r="QM3" i="13" s="1"/>
  <c r="RH3" i="13" s="1"/>
  <c r="SC3" i="13" s="1"/>
  <c r="SX3" i="13" s="1"/>
  <c r="TS3" i="13" s="1"/>
  <c r="UM3" i="13" s="1"/>
  <c r="VD3" i="13" s="1"/>
  <c r="VU3" i="13" s="1"/>
  <c r="WL3" i="13" s="1"/>
  <c r="AF3" i="13"/>
  <c r="BA3" i="13" s="1"/>
  <c r="BV3" i="13" s="1"/>
  <c r="CQ3" i="13" s="1"/>
  <c r="DL3" i="13" s="1"/>
  <c r="EG3" i="13" s="1"/>
  <c r="FB3" i="13" s="1"/>
  <c r="FW3" i="13" s="1"/>
  <c r="GR3" i="13" s="1"/>
  <c r="HM3" i="13" s="1"/>
  <c r="IH3" i="13" s="1"/>
  <c r="JC3" i="13" s="1"/>
  <c r="JX3" i="13" s="1"/>
  <c r="KS3" i="13" s="1"/>
  <c r="LN3" i="13" s="1"/>
  <c r="MI3" i="13" s="1"/>
  <c r="ND3" i="13" s="1"/>
  <c r="NY3" i="13" s="1"/>
  <c r="OT3" i="13" s="1"/>
  <c r="PO3" i="13" s="1"/>
  <c r="QJ3" i="13" s="1"/>
  <c r="RE3" i="13" s="1"/>
  <c r="RZ3" i="13" s="1"/>
  <c r="SU3" i="13" s="1"/>
  <c r="TP3" i="13" s="1"/>
  <c r="UJ3" i="13" s="1"/>
  <c r="VA3" i="13" s="1"/>
  <c r="VR3" i="13" s="1"/>
  <c r="WI3" i="13" s="1"/>
  <c r="AD3" i="13"/>
  <c r="AY3" i="13" s="1"/>
  <c r="BT3" i="13" s="1"/>
  <c r="CO3" i="13" s="1"/>
  <c r="DJ3" i="13" s="1"/>
  <c r="EE3" i="13" s="1"/>
  <c r="EZ3" i="13" s="1"/>
  <c r="FU3" i="13" s="1"/>
  <c r="GP3" i="13" s="1"/>
  <c r="HK3" i="13" s="1"/>
  <c r="IF3" i="13" s="1"/>
  <c r="JA3" i="13" s="1"/>
  <c r="JV3" i="13" s="1"/>
  <c r="KQ3" i="13" s="1"/>
  <c r="LL3" i="13" s="1"/>
  <c r="MG3" i="13" s="1"/>
  <c r="NB3" i="13" s="1"/>
  <c r="NW3" i="13" s="1"/>
  <c r="OR3" i="13" s="1"/>
  <c r="PM3" i="13" s="1"/>
  <c r="QH3" i="13" s="1"/>
  <c r="RC3" i="13" s="1"/>
  <c r="RX3" i="13" s="1"/>
  <c r="SS3" i="13" s="1"/>
  <c r="TN3" i="13" s="1"/>
  <c r="UI3" i="13" s="1"/>
  <c r="UZ3" i="13" s="1"/>
  <c r="VQ3" i="13" s="1"/>
  <c r="WH3" i="13" s="1"/>
  <c r="AC3" i="13"/>
  <c r="AX3" i="13" s="1"/>
  <c r="BS3" i="13" s="1"/>
  <c r="CN3" i="13" s="1"/>
  <c r="DI3" i="13" s="1"/>
  <c r="ED3" i="13" s="1"/>
  <c r="EY3" i="13" s="1"/>
  <c r="FT3" i="13" s="1"/>
  <c r="GO3" i="13" s="1"/>
  <c r="HJ3" i="13" s="1"/>
  <c r="IE3" i="13" s="1"/>
  <c r="IZ3" i="13" s="1"/>
  <c r="JU3" i="13" s="1"/>
  <c r="KP3" i="13" s="1"/>
  <c r="LK3" i="13" s="1"/>
  <c r="MF3" i="13" s="1"/>
  <c r="NA3" i="13" s="1"/>
  <c r="NV3" i="13" s="1"/>
  <c r="OQ3" i="13" s="1"/>
  <c r="PL3" i="13" s="1"/>
  <c r="QG3" i="13" s="1"/>
  <c r="RB3" i="13" s="1"/>
  <c r="RW3" i="13" s="1"/>
  <c r="SR3" i="13" s="1"/>
  <c r="TM3" i="13" s="1"/>
  <c r="UH3" i="13" s="1"/>
  <c r="UY3" i="13" s="1"/>
  <c r="VP3" i="13" s="1"/>
  <c r="WG3" i="13" s="1"/>
  <c r="Z3" i="13"/>
  <c r="AU3" i="13" s="1"/>
  <c r="BP3" i="13" s="1"/>
  <c r="CK3" i="13" s="1"/>
  <c r="DF3" i="13" s="1"/>
  <c r="EA3" i="13" s="1"/>
  <c r="EV3" i="13" s="1"/>
  <c r="FQ3" i="13" s="1"/>
  <c r="GL3" i="13" s="1"/>
  <c r="HG3" i="13" s="1"/>
  <c r="IB3" i="13" s="1"/>
  <c r="IW3" i="13" s="1"/>
  <c r="JR3" i="13" s="1"/>
  <c r="KM3" i="13" s="1"/>
  <c r="LH3" i="13" s="1"/>
  <c r="MC3" i="13" s="1"/>
  <c r="MX3" i="13" s="1"/>
  <c r="NS3" i="13" s="1"/>
  <c r="ON3" i="13" s="1"/>
  <c r="PI3" i="13" s="1"/>
  <c r="QD3" i="13" s="1"/>
  <c r="QY3" i="13" s="1"/>
  <c r="RT3" i="13" s="1"/>
  <c r="SO3" i="13" s="1"/>
  <c r="TJ3" i="13" s="1"/>
  <c r="UE3" i="13" s="1"/>
  <c r="UV3" i="13" s="1"/>
  <c r="VM3" i="13" s="1"/>
  <c r="WD3" i="13" s="1"/>
  <c r="Y3" i="13"/>
  <c r="AT3" i="13" s="1"/>
  <c r="BO3" i="13" s="1"/>
  <c r="CJ3" i="13" s="1"/>
  <c r="DE3" i="13" s="1"/>
  <c r="DZ3" i="13" s="1"/>
  <c r="EU3" i="13" s="1"/>
  <c r="FP3" i="13" s="1"/>
  <c r="GK3" i="13" s="1"/>
  <c r="HF3" i="13" s="1"/>
  <c r="IA3" i="13" s="1"/>
  <c r="IV3" i="13" s="1"/>
  <c r="JQ3" i="13" s="1"/>
  <c r="KL3" i="13" s="1"/>
  <c r="LG3" i="13" s="1"/>
  <c r="MB3" i="13" s="1"/>
  <c r="MW3" i="13" s="1"/>
  <c r="NR3" i="13" s="1"/>
  <c r="OM3" i="13" s="1"/>
  <c r="PH3" i="13" s="1"/>
  <c r="QC3" i="13" s="1"/>
  <c r="QX3" i="13" s="1"/>
  <c r="RS3" i="13" s="1"/>
  <c r="SN3" i="13" s="1"/>
  <c r="TI3" i="13" s="1"/>
  <c r="UD3" i="13" s="1"/>
  <c r="UU3" i="13" s="1"/>
  <c r="VL3" i="13" s="1"/>
  <c r="WC3" i="13" s="1"/>
  <c r="X3" i="13"/>
  <c r="AS3" i="13" s="1"/>
  <c r="BN3" i="13" s="1"/>
  <c r="CI3" i="13" s="1"/>
  <c r="DD3" i="13" s="1"/>
  <c r="DY3" i="13" s="1"/>
  <c r="ET3" i="13" s="1"/>
  <c r="FO3" i="13" s="1"/>
  <c r="GJ3" i="13" s="1"/>
  <c r="HE3" i="13" s="1"/>
  <c r="HZ3" i="13" s="1"/>
  <c r="IU3" i="13" s="1"/>
  <c r="JP3" i="13" s="1"/>
  <c r="KK3" i="13" s="1"/>
  <c r="LF3" i="13" s="1"/>
  <c r="MA3" i="13" s="1"/>
  <c r="MV3" i="13" s="1"/>
  <c r="NQ3" i="13" s="1"/>
  <c r="OL3" i="13" s="1"/>
  <c r="PG3" i="13" s="1"/>
  <c r="QB3" i="13" s="1"/>
  <c r="QW3" i="13" s="1"/>
  <c r="RR3" i="13" s="1"/>
  <c r="SM3" i="13" s="1"/>
  <c r="TH3" i="13" s="1"/>
  <c r="UC3" i="13" s="1"/>
  <c r="UT3" i="13" s="1"/>
  <c r="VK3" i="13" s="1"/>
  <c r="WB3" i="13" s="1"/>
  <c r="X1" i="13"/>
  <c r="GS20" i="19" l="1"/>
  <c r="FK20" i="13"/>
  <c r="FL20" i="13" s="1"/>
  <c r="OH20" i="19"/>
  <c r="VK20" i="17"/>
  <c r="VL20" i="17" s="1"/>
  <c r="HV20" i="15"/>
  <c r="HW20" i="15" s="1"/>
  <c r="UF20" i="13"/>
  <c r="II20" i="13"/>
  <c r="VB20" i="13"/>
  <c r="UT20" i="19"/>
  <c r="VV13" i="19"/>
  <c r="VW13" i="19" s="1"/>
  <c r="MD16" i="19"/>
  <c r="ME16" i="19" s="1"/>
  <c r="EP20" i="19"/>
  <c r="WA20" i="19"/>
  <c r="WB20" i="19" s="1"/>
  <c r="HA20" i="19"/>
  <c r="HB20" i="19" s="1"/>
  <c r="PP20" i="19"/>
  <c r="KG20" i="19"/>
  <c r="KH20" i="19" s="1"/>
  <c r="TY20" i="19"/>
  <c r="TZ20" i="19" s="1"/>
  <c r="WW20" i="19"/>
  <c r="FX20" i="19"/>
  <c r="NM20" i="19"/>
  <c r="NN20" i="19" s="1"/>
  <c r="SP20" i="15"/>
  <c r="SQ20" i="15" s="1"/>
  <c r="UC20" i="15"/>
  <c r="MR20" i="15"/>
  <c r="FC20" i="15"/>
  <c r="GF20" i="13"/>
  <c r="GG20" i="13" s="1"/>
  <c r="VN20" i="13"/>
  <c r="VO20" i="13" s="1"/>
  <c r="WJ20" i="13"/>
  <c r="LB20" i="13"/>
  <c r="LC20" i="13" s="1"/>
  <c r="OH20" i="13"/>
  <c r="OI20" i="13" s="1"/>
  <c r="H3" i="3"/>
  <c r="H4" i="3" s="1"/>
  <c r="H5" i="3" s="1"/>
  <c r="H6" i="3" s="1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H24" i="3" s="1"/>
  <c r="H25" i="3" s="1"/>
  <c r="H26" i="3" s="1"/>
  <c r="H27" i="3" s="1"/>
  <c r="H28" i="3" s="1"/>
  <c r="H29" i="3" s="1"/>
  <c r="H30" i="3" s="1"/>
  <c r="H31" i="3" s="1"/>
  <c r="H32" i="3" s="1"/>
  <c r="H33" i="3" s="1"/>
  <c r="H34" i="3" s="1"/>
  <c r="G4" i="3"/>
  <c r="G5" i="3" s="1"/>
  <c r="G6" i="3" s="1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RN13" i="19"/>
  <c r="RO13" i="19" s="1"/>
  <c r="WW13" i="19"/>
  <c r="WX13" i="19" s="1"/>
  <c r="DG13" i="19"/>
  <c r="DH13" i="19" s="1"/>
  <c r="GM13" i="19"/>
  <c r="GN13" i="19" s="1"/>
  <c r="TK13" i="19"/>
  <c r="TL13" i="19" s="1"/>
  <c r="VO13" i="19"/>
  <c r="VP13" i="19" s="1"/>
  <c r="SV20" i="19"/>
  <c r="SW20" i="19" s="1"/>
  <c r="VO10" i="19"/>
  <c r="VP10" i="19" s="1"/>
  <c r="VA13" i="19"/>
  <c r="VB13" i="19" s="1"/>
  <c r="MJ20" i="19"/>
  <c r="MK20" i="19" s="1"/>
  <c r="MR4" i="19"/>
  <c r="MS4" i="19" s="1"/>
  <c r="HV13" i="19"/>
  <c r="HW13" i="19" s="1"/>
  <c r="JD20" i="19"/>
  <c r="JE20" i="19" s="1"/>
  <c r="BQ20" i="19"/>
  <c r="BR20" i="19" s="1"/>
  <c r="II10" i="19"/>
  <c r="IJ10" i="19" s="1"/>
  <c r="TD4" i="19"/>
  <c r="TE4" i="19" s="1"/>
  <c r="DM20" i="19"/>
  <c r="DN20" i="19" s="1"/>
  <c r="WW16" i="19"/>
  <c r="WX16" i="19" s="1"/>
  <c r="AA16" i="19"/>
  <c r="AB16" i="19" s="1"/>
  <c r="GM16" i="19"/>
  <c r="GN16" i="19" s="1"/>
  <c r="MY16" i="19"/>
  <c r="MZ16" i="19" s="1"/>
  <c r="SI20" i="19"/>
  <c r="SJ20" i="19" s="1"/>
  <c r="VO20" i="19"/>
  <c r="VP20" i="19" s="1"/>
  <c r="WW4" i="19"/>
  <c r="WX4" i="19" s="1"/>
  <c r="GF4" i="19"/>
  <c r="GG4" i="19" s="1"/>
  <c r="DU13" i="19"/>
  <c r="DV13" i="19" s="1"/>
  <c r="WR13" i="19"/>
  <c r="WS13" i="19" s="1"/>
  <c r="QZ13" i="19"/>
  <c r="RA13" i="19" s="1"/>
  <c r="UF13" i="19"/>
  <c r="UG13" i="19" s="1"/>
  <c r="NZ20" i="19"/>
  <c r="OA20" i="19" s="1"/>
  <c r="JY10" i="19"/>
  <c r="JZ10" i="19" s="1"/>
  <c r="WR10" i="19"/>
  <c r="WS10" i="19" s="1"/>
  <c r="BJ20" i="19"/>
  <c r="BK20" i="19" s="1"/>
  <c r="SP13" i="19"/>
  <c r="SQ13" i="19" s="1"/>
  <c r="BW20" i="19"/>
  <c r="BX20" i="19" s="1"/>
  <c r="PX13" i="19"/>
  <c r="PY13" i="19" s="1"/>
  <c r="TD16" i="19"/>
  <c r="TE16" i="19" s="1"/>
  <c r="AV16" i="19"/>
  <c r="AW16" i="19" s="1"/>
  <c r="EB16" i="19"/>
  <c r="EC16" i="19" s="1"/>
  <c r="SA10" i="19"/>
  <c r="SB10" i="19" s="1"/>
  <c r="DM10" i="19"/>
  <c r="DN10" i="19" s="1"/>
  <c r="QK13" i="19"/>
  <c r="QL13" i="19" s="1"/>
  <c r="PJ13" i="19"/>
  <c r="PK13" i="19" s="1"/>
  <c r="L16" i="19"/>
  <c r="M16" i="19" s="1"/>
  <c r="LW20" i="19"/>
  <c r="LX20" i="19" s="1"/>
  <c r="WF4" i="19"/>
  <c r="WG4" i="19" s="1"/>
  <c r="SA4" i="19"/>
  <c r="SB4" i="19" s="1"/>
  <c r="GS10" i="19"/>
  <c r="GT10" i="19" s="1"/>
  <c r="TQ10" i="19"/>
  <c r="TR10" i="19" s="1"/>
  <c r="HA13" i="19"/>
  <c r="HB13" i="19" s="1"/>
  <c r="QS13" i="19"/>
  <c r="QT13" i="19" s="1"/>
  <c r="CR16" i="19"/>
  <c r="CS16" i="19" s="1"/>
  <c r="FR16" i="19"/>
  <c r="FS16" i="19" s="1"/>
  <c r="FK20" i="19"/>
  <c r="HV20" i="19"/>
  <c r="HW20" i="19" s="1"/>
  <c r="UL20" i="19"/>
  <c r="UM20" i="19" s="1"/>
  <c r="WM20" i="19"/>
  <c r="WN20" i="19" s="1"/>
  <c r="T20" i="19"/>
  <c r="U20" i="19" s="1"/>
  <c r="GS16" i="19"/>
  <c r="GT16" i="19" s="1"/>
  <c r="TQ16" i="19"/>
  <c r="TR16" i="19" s="1"/>
  <c r="WY19" i="19"/>
  <c r="WZ19" i="19" s="1"/>
  <c r="GF10" i="19"/>
  <c r="GG10" i="19" s="1"/>
  <c r="CZ13" i="19"/>
  <c r="DA13" i="19" s="1"/>
  <c r="IQ13" i="19"/>
  <c r="IR13" i="19" s="1"/>
  <c r="WF13" i="19"/>
  <c r="WG13" i="19" s="1"/>
  <c r="JY16" i="19"/>
  <c r="JZ16" i="19" s="1"/>
  <c r="LD6" i="19"/>
  <c r="LE6" i="19" s="1"/>
  <c r="GH7" i="19"/>
  <c r="GI7" i="19" s="1"/>
  <c r="EP4" i="19"/>
  <c r="EQ4" i="19" s="1"/>
  <c r="WH6" i="19"/>
  <c r="WI6" i="19" s="1"/>
  <c r="AO13" i="19"/>
  <c r="AP13" i="19" s="1"/>
  <c r="WM13" i="19"/>
  <c r="WN13" i="19" s="1"/>
  <c r="V19" i="19"/>
  <c r="W19" i="19" s="1"/>
  <c r="LO4" i="19"/>
  <c r="LP4" i="19" s="1"/>
  <c r="WA4" i="19"/>
  <c r="WB4" i="19" s="1"/>
  <c r="UV6" i="19"/>
  <c r="UW6" i="19" s="1"/>
  <c r="JN7" i="19"/>
  <c r="JO7" i="19" s="1"/>
  <c r="V8" i="19"/>
  <c r="W8" i="19" s="1"/>
  <c r="OJ8" i="19"/>
  <c r="OK8" i="19" s="1"/>
  <c r="HV10" i="19"/>
  <c r="HW10" i="19" s="1"/>
  <c r="NZ10" i="19"/>
  <c r="OA10" i="19" s="1"/>
  <c r="WW10" i="19"/>
  <c r="WX10" i="19" s="1"/>
  <c r="L10" i="19"/>
  <c r="M10" i="19" s="1"/>
  <c r="T13" i="19"/>
  <c r="U13" i="19" s="1"/>
  <c r="FK13" i="19"/>
  <c r="FL13" i="19" s="1"/>
  <c r="MR13" i="19"/>
  <c r="MS13" i="19" s="1"/>
  <c r="TQ13" i="19"/>
  <c r="TR13" i="19" s="1"/>
  <c r="QE13" i="19"/>
  <c r="QF13" i="19" s="1"/>
  <c r="T16" i="19"/>
  <c r="U16" i="19" s="1"/>
  <c r="DU16" i="19"/>
  <c r="DV16" i="19" s="1"/>
  <c r="F16" i="19"/>
  <c r="G16" i="19" s="1"/>
  <c r="RP19" i="19"/>
  <c r="RQ19" i="19" s="1"/>
  <c r="BW4" i="19"/>
  <c r="BX4" i="19" s="1"/>
  <c r="WH7" i="19"/>
  <c r="WI7" i="19" s="1"/>
  <c r="JN8" i="19"/>
  <c r="JO8" i="19" s="1"/>
  <c r="WH9" i="19"/>
  <c r="WI9" i="19" s="1"/>
  <c r="FX10" i="19"/>
  <c r="FY10" i="19" s="1"/>
  <c r="PP10" i="19"/>
  <c r="PQ10" i="19" s="1"/>
  <c r="WA10" i="19"/>
  <c r="WB10" i="19" s="1"/>
  <c r="OH13" i="19"/>
  <c r="OI13" i="19" s="1"/>
  <c r="UT13" i="19"/>
  <c r="UU13" i="19" s="1"/>
  <c r="RU13" i="19"/>
  <c r="RV13" i="19" s="1"/>
  <c r="AG16" i="19"/>
  <c r="AH16" i="19" s="1"/>
  <c r="BQ16" i="19"/>
  <c r="BR16" i="19" s="1"/>
  <c r="VA16" i="19"/>
  <c r="VB16" i="19" s="1"/>
  <c r="WM16" i="19"/>
  <c r="WN16" i="19" s="1"/>
  <c r="NO19" i="19"/>
  <c r="NP19" i="19" s="1"/>
  <c r="GF20" i="19"/>
  <c r="GG20" i="19" s="1"/>
  <c r="SA20" i="19"/>
  <c r="SB20" i="19" s="1"/>
  <c r="WF20" i="19"/>
  <c r="WG20" i="19" s="1"/>
  <c r="PP4" i="19"/>
  <c r="PQ4" i="19" s="1"/>
  <c r="WR4" i="19"/>
  <c r="WS4" i="19" s="1"/>
  <c r="V7" i="19"/>
  <c r="W7" i="19" s="1"/>
  <c r="IQ10" i="19"/>
  <c r="IR10" i="19" s="1"/>
  <c r="WF10" i="19"/>
  <c r="WG10" i="19" s="1"/>
  <c r="PC13" i="19"/>
  <c r="PD13" i="19" s="1"/>
  <c r="CL13" i="19"/>
  <c r="CM13" i="19" s="1"/>
  <c r="BB16" i="19"/>
  <c r="BC16" i="19" s="1"/>
  <c r="WA16" i="19"/>
  <c r="WB16" i="19" s="1"/>
  <c r="UT16" i="19"/>
  <c r="UU16" i="19" s="1"/>
  <c r="FC20" i="19"/>
  <c r="FD20" i="19" s="1"/>
  <c r="TG16" i="17"/>
  <c r="TH16" i="17" s="1"/>
  <c r="IC10" i="17"/>
  <c r="ID10" i="17" s="1"/>
  <c r="LO10" i="17"/>
  <c r="LP10" i="17" s="1"/>
  <c r="SA20" i="17"/>
  <c r="SB20" i="17" s="1"/>
  <c r="MR20" i="17"/>
  <c r="MS20" i="17" s="1"/>
  <c r="VF4" i="17"/>
  <c r="VG4" i="17" s="1"/>
  <c r="TL10" i="17"/>
  <c r="TM10" i="17" s="1"/>
  <c r="SU13" i="17"/>
  <c r="SV13" i="17" s="1"/>
  <c r="JY20" i="17"/>
  <c r="JZ20" i="17" s="1"/>
  <c r="HA20" i="17"/>
  <c r="HV10" i="17"/>
  <c r="HW10" i="17" s="1"/>
  <c r="KT13" i="17"/>
  <c r="KU13" i="17" s="1"/>
  <c r="PX20" i="17"/>
  <c r="WB10" i="17"/>
  <c r="WC10" i="17" s="1"/>
  <c r="UO13" i="17"/>
  <c r="UP13" i="17" s="1"/>
  <c r="CR10" i="17"/>
  <c r="CS10" i="17" s="1"/>
  <c r="VF10" i="17"/>
  <c r="VG10" i="17" s="1"/>
  <c r="CE13" i="17"/>
  <c r="CF13" i="17" s="1"/>
  <c r="WG13" i="17"/>
  <c r="WH13" i="17" s="1"/>
  <c r="CE20" i="17"/>
  <c r="CF20" i="17" s="1"/>
  <c r="BW13" i="17"/>
  <c r="BX13" i="17" s="1"/>
  <c r="SP10" i="17"/>
  <c r="SQ10" i="17" s="1"/>
  <c r="DM10" i="17"/>
  <c r="DN10" i="17" s="1"/>
  <c r="JD13" i="17"/>
  <c r="JE13" i="17" s="1"/>
  <c r="MY13" i="17"/>
  <c r="MZ13" i="17" s="1"/>
  <c r="TQ13" i="17"/>
  <c r="TR13" i="17" s="1"/>
  <c r="VK13" i="17"/>
  <c r="VL13" i="17" s="1"/>
  <c r="IX16" i="17"/>
  <c r="IY16" i="17" s="1"/>
  <c r="TG10" i="17"/>
  <c r="TH10" i="17" s="1"/>
  <c r="BQ13" i="17"/>
  <c r="BR13" i="17" s="1"/>
  <c r="KG13" i="17"/>
  <c r="KH13" i="17" s="1"/>
  <c r="QE13" i="17"/>
  <c r="QF13" i="17" s="1"/>
  <c r="UC13" i="17"/>
  <c r="UD13" i="17" s="1"/>
  <c r="VW13" i="17"/>
  <c r="VX13" i="17" s="1"/>
  <c r="EH13" i="17"/>
  <c r="EI13" i="17" s="1"/>
  <c r="LI13" i="17"/>
  <c r="LJ13" i="17" s="1"/>
  <c r="TG13" i="17"/>
  <c r="TH13" i="17" s="1"/>
  <c r="UY13" i="17"/>
  <c r="UZ13" i="17" s="1"/>
  <c r="FK10" i="17"/>
  <c r="FL10" i="17" s="1"/>
  <c r="LB20" i="17"/>
  <c r="LC20" i="17" s="1"/>
  <c r="TX20" i="17"/>
  <c r="TY20" i="17" s="1"/>
  <c r="DU4" i="17"/>
  <c r="DV4" i="17" s="1"/>
  <c r="BJ10" i="17"/>
  <c r="BK10" i="17" s="1"/>
  <c r="LW10" i="17"/>
  <c r="LX10" i="17" s="1"/>
  <c r="PC13" i="17"/>
  <c r="PD13" i="17" s="1"/>
  <c r="HV20" i="17"/>
  <c r="OU20" i="17"/>
  <c r="OV20" i="17" s="1"/>
  <c r="SZ20" i="17"/>
  <c r="TA20" i="17" s="1"/>
  <c r="AG16" i="17"/>
  <c r="AH16" i="17" s="1"/>
  <c r="AG13" i="17"/>
  <c r="AH13" i="17" s="1"/>
  <c r="VK4" i="17"/>
  <c r="VL4" i="17" s="1"/>
  <c r="BB10" i="17"/>
  <c r="BC10" i="17" s="1"/>
  <c r="AO13" i="17"/>
  <c r="AP13" i="17" s="1"/>
  <c r="GF13" i="17"/>
  <c r="GG13" i="17" s="1"/>
  <c r="PJ13" i="17"/>
  <c r="PK13" i="17" s="1"/>
  <c r="TX16" i="17"/>
  <c r="TY16" i="17" s="1"/>
  <c r="TL20" i="17"/>
  <c r="TM20" i="17" s="1"/>
  <c r="WB4" i="17"/>
  <c r="WC4" i="17" s="1"/>
  <c r="TX10" i="17"/>
  <c r="TY10" i="17" s="1"/>
  <c r="VP13" i="17"/>
  <c r="VQ13" i="17" s="1"/>
  <c r="GS13" i="17"/>
  <c r="GT13" i="17" s="1"/>
  <c r="AO16" i="17"/>
  <c r="AP16" i="17" s="1"/>
  <c r="VF16" i="17"/>
  <c r="VG16" i="17" s="1"/>
  <c r="SU20" i="17"/>
  <c r="SV20" i="17" s="1"/>
  <c r="VF20" i="17"/>
  <c r="TQ4" i="17"/>
  <c r="TR4" i="17" s="1"/>
  <c r="WG4" i="17"/>
  <c r="WH4" i="17" s="1"/>
  <c r="JY13" i="17"/>
  <c r="JZ13" i="17" s="1"/>
  <c r="JY16" i="17"/>
  <c r="JZ16" i="17" s="1"/>
  <c r="FX20" i="17"/>
  <c r="FY20" i="17" s="1"/>
  <c r="QS20" i="17"/>
  <c r="QT20" i="17" s="1"/>
  <c r="L10" i="17"/>
  <c r="M10" i="17" s="1"/>
  <c r="FK4" i="17"/>
  <c r="FL4" i="17" s="1"/>
  <c r="UH4" i="17"/>
  <c r="UI4" i="17" s="1"/>
  <c r="II10" i="17"/>
  <c r="IJ10" i="17" s="1"/>
  <c r="PX10" i="17"/>
  <c r="PY10" i="17" s="1"/>
  <c r="UO10" i="17"/>
  <c r="UP10" i="17" s="1"/>
  <c r="VK10" i="17"/>
  <c r="VL10" i="17" s="1"/>
  <c r="SA10" i="17"/>
  <c r="SB10" i="17" s="1"/>
  <c r="GT14" i="17"/>
  <c r="CZ16" i="17"/>
  <c r="DA16" i="17" s="1"/>
  <c r="SP16" i="17"/>
  <c r="SQ16" i="17" s="1"/>
  <c r="AO4" i="17"/>
  <c r="AP4" i="17" s="1"/>
  <c r="IX4" i="17"/>
  <c r="IY4" i="17" s="1"/>
  <c r="UT4" i="17"/>
  <c r="UU4" i="17" s="1"/>
  <c r="VP4" i="17"/>
  <c r="VQ4" i="17" s="1"/>
  <c r="T10" i="17"/>
  <c r="U10" i="17" s="1"/>
  <c r="KT10" i="17"/>
  <c r="KU10" i="17" s="1"/>
  <c r="UT10" i="17"/>
  <c r="UU10" i="17" s="1"/>
  <c r="VP10" i="17"/>
  <c r="VQ10" i="17" s="1"/>
  <c r="BW10" i="17"/>
  <c r="BX10" i="17" s="1"/>
  <c r="FC10" i="17"/>
  <c r="FD10" i="17" s="1"/>
  <c r="L13" i="17"/>
  <c r="M13" i="17" s="1"/>
  <c r="GF16" i="17"/>
  <c r="GG16" i="17" s="1"/>
  <c r="AH17" i="17"/>
  <c r="CE4" i="17"/>
  <c r="CF4" i="17" s="1"/>
  <c r="SZ4" i="17"/>
  <c r="TA4" i="17" s="1"/>
  <c r="UY4" i="17"/>
  <c r="UZ4" i="17" s="1"/>
  <c r="VW4" i="17"/>
  <c r="VX4" i="17" s="1"/>
  <c r="FX10" i="17"/>
  <c r="FY10" i="17" s="1"/>
  <c r="LB10" i="17"/>
  <c r="LC10" i="17" s="1"/>
  <c r="SU10" i="17"/>
  <c r="SV10" i="17" s="1"/>
  <c r="TQ10" i="17"/>
  <c r="TR10" i="17" s="1"/>
  <c r="DM13" i="17"/>
  <c r="DN13" i="17" s="1"/>
  <c r="JY20" i="15"/>
  <c r="JZ20" i="15" s="1"/>
  <c r="VF20" i="15"/>
  <c r="VG20" i="15" s="1"/>
  <c r="BJ20" i="15"/>
  <c r="UH20" i="15"/>
  <c r="UI20" i="15" s="1"/>
  <c r="WB20" i="15"/>
  <c r="WC20" i="15" s="1"/>
  <c r="QK20" i="15"/>
  <c r="GM13" i="15"/>
  <c r="GN13" i="15" s="1"/>
  <c r="SA20" i="15"/>
  <c r="SB20" i="15" s="1"/>
  <c r="HN20" i="15"/>
  <c r="HO20" i="15" s="1"/>
  <c r="UO13" i="15"/>
  <c r="UP13" i="15" s="1"/>
  <c r="DG20" i="15"/>
  <c r="EH20" i="15"/>
  <c r="EI20" i="15" s="1"/>
  <c r="VP13" i="15"/>
  <c r="VQ13" i="15" s="1"/>
  <c r="TQ10" i="15"/>
  <c r="TR10" i="15" s="1"/>
  <c r="IX13" i="15"/>
  <c r="IY13" i="15" s="1"/>
  <c r="SP13" i="15"/>
  <c r="SQ13" i="15" s="1"/>
  <c r="AO13" i="15"/>
  <c r="AP13" i="15" s="1"/>
  <c r="IC13" i="15"/>
  <c r="ID13" i="15" s="1"/>
  <c r="RU13" i="15"/>
  <c r="RV13" i="15" s="1"/>
  <c r="AO16" i="15"/>
  <c r="AP16" i="15" s="1"/>
  <c r="DU16" i="15"/>
  <c r="DV16" i="15" s="1"/>
  <c r="TQ16" i="15"/>
  <c r="TR16" i="15" s="1"/>
  <c r="VF16" i="15"/>
  <c r="VG16" i="15" s="1"/>
  <c r="JL16" i="15"/>
  <c r="JM16" i="15" s="1"/>
  <c r="UJ21" i="15"/>
  <c r="UJ20" i="15" s="1"/>
  <c r="UK20" i="15" s="1"/>
  <c r="KT10" i="15"/>
  <c r="KU10" i="15" s="1"/>
  <c r="TG16" i="15"/>
  <c r="TH16" i="15" s="1"/>
  <c r="BW10" i="15"/>
  <c r="BX10" i="15" s="1"/>
  <c r="UH10" i="15"/>
  <c r="UI10" i="15" s="1"/>
  <c r="PX13" i="15"/>
  <c r="PY13" i="15" s="1"/>
  <c r="WG13" i="15"/>
  <c r="WH13" i="15" s="1"/>
  <c r="MY13" i="15"/>
  <c r="MZ13" i="15" s="1"/>
  <c r="VF10" i="15"/>
  <c r="VG10" i="15" s="1"/>
  <c r="TG13" i="15"/>
  <c r="TH13" i="15" s="1"/>
  <c r="VW13" i="15"/>
  <c r="VX13" i="15" s="1"/>
  <c r="MJ10" i="15"/>
  <c r="MK10" i="15" s="1"/>
  <c r="UO16" i="15"/>
  <c r="UP16" i="15" s="1"/>
  <c r="FX10" i="15"/>
  <c r="FY10" i="15" s="1"/>
  <c r="NM10" i="15"/>
  <c r="NN10" i="15" s="1"/>
  <c r="WG10" i="15"/>
  <c r="WH10" i="15" s="1"/>
  <c r="CL13" i="15"/>
  <c r="CM13" i="15" s="1"/>
  <c r="SU16" i="15"/>
  <c r="SV16" i="15" s="1"/>
  <c r="VK16" i="15"/>
  <c r="VL16" i="15" s="1"/>
  <c r="TQ20" i="15"/>
  <c r="TR20" i="15" s="1"/>
  <c r="UC4" i="15"/>
  <c r="UD4" i="15" s="1"/>
  <c r="SP10" i="15"/>
  <c r="SQ10" i="15" s="1"/>
  <c r="UT10" i="15"/>
  <c r="UU10" i="15" s="1"/>
  <c r="VK10" i="15"/>
  <c r="VL10" i="15" s="1"/>
  <c r="WG16" i="15"/>
  <c r="WH16" i="15" s="1"/>
  <c r="MY16" i="15"/>
  <c r="MZ16" i="15" s="1"/>
  <c r="PE19" i="15"/>
  <c r="PF19" i="15" s="1"/>
  <c r="WG20" i="15"/>
  <c r="LO10" i="15"/>
  <c r="LP10" i="15" s="1"/>
  <c r="SZ10" i="15"/>
  <c r="TA10" i="15" s="1"/>
  <c r="UY10" i="15"/>
  <c r="UZ10" i="15" s="1"/>
  <c r="L10" i="15"/>
  <c r="M10" i="15" s="1"/>
  <c r="SP16" i="15"/>
  <c r="SQ16" i="15" s="1"/>
  <c r="UH16" i="15"/>
  <c r="UI16" i="15" s="1"/>
  <c r="TX16" i="15"/>
  <c r="TY16" i="15" s="1"/>
  <c r="JD20" i="15"/>
  <c r="JE20" i="15" s="1"/>
  <c r="NE4" i="15"/>
  <c r="NF4" i="15" s="1"/>
  <c r="OU4" i="15"/>
  <c r="OV4" i="15" s="1"/>
  <c r="SA4" i="15"/>
  <c r="SB4" i="15" s="1"/>
  <c r="UT4" i="15"/>
  <c r="UU4" i="15" s="1"/>
  <c r="LB10" i="15"/>
  <c r="LC10" i="15" s="1"/>
  <c r="VP10" i="15"/>
  <c r="VQ10" i="15" s="1"/>
  <c r="EH13" i="15"/>
  <c r="EI13" i="15" s="1"/>
  <c r="BB16" i="15"/>
  <c r="BC16" i="15" s="1"/>
  <c r="UC16" i="15"/>
  <c r="UD16" i="15" s="1"/>
  <c r="CE16" i="15"/>
  <c r="CF16" i="15" s="1"/>
  <c r="UY16" i="15"/>
  <c r="UZ16" i="15" s="1"/>
  <c r="WB4" i="15"/>
  <c r="WC4" i="15" s="1"/>
  <c r="SP4" i="15"/>
  <c r="SQ4" i="15" s="1"/>
  <c r="EH10" i="15"/>
  <c r="EI10" i="15" s="1"/>
  <c r="AV13" i="15"/>
  <c r="AW13" i="15" s="1"/>
  <c r="DM13" i="15"/>
  <c r="DN13" i="15" s="1"/>
  <c r="JS13" i="15"/>
  <c r="JT13" i="15" s="1"/>
  <c r="MR16" i="15"/>
  <c r="MS16" i="15" s="1"/>
  <c r="TL16" i="15"/>
  <c r="TM16" i="15" s="1"/>
  <c r="RU16" i="15"/>
  <c r="RV16" i="15" s="1"/>
  <c r="AG4" i="15"/>
  <c r="AH4" i="15" s="1"/>
  <c r="TX10" i="15"/>
  <c r="TY10" i="15" s="1"/>
  <c r="QE13" i="15"/>
  <c r="QF13" i="15" s="1"/>
  <c r="AQ15" i="15"/>
  <c r="AR15" i="15" s="1"/>
  <c r="UT16" i="15"/>
  <c r="UU16" i="15" s="1"/>
  <c r="WB16" i="15"/>
  <c r="WC16" i="15" s="1"/>
  <c r="T16" i="15"/>
  <c r="U16" i="15" s="1"/>
  <c r="NT16" i="15"/>
  <c r="NU16" i="15" s="1"/>
  <c r="PX16" i="15"/>
  <c r="PY16" i="15" s="1"/>
  <c r="SZ16" i="15"/>
  <c r="TA16" i="15" s="1"/>
  <c r="V6" i="15"/>
  <c r="M11" i="15"/>
  <c r="SU4" i="15"/>
  <c r="SV4" i="15" s="1"/>
  <c r="CR10" i="15"/>
  <c r="CS10" i="15" s="1"/>
  <c r="HA10" i="15"/>
  <c r="HB10" i="15" s="1"/>
  <c r="TG10" i="15"/>
  <c r="TH10" i="15" s="1"/>
  <c r="UH13" i="15"/>
  <c r="UI13" i="15" s="1"/>
  <c r="L4" i="15"/>
  <c r="M4" i="15" s="1"/>
  <c r="TX4" i="15"/>
  <c r="TY4" i="15" s="1"/>
  <c r="T10" i="15"/>
  <c r="U10" i="15" s="1"/>
  <c r="DU10" i="15"/>
  <c r="DV10" i="15" s="1"/>
  <c r="HN10" i="15"/>
  <c r="HO10" i="15" s="1"/>
  <c r="SU10" i="15"/>
  <c r="SV10" i="15" s="1"/>
  <c r="TL10" i="15"/>
  <c r="TM10" i="15" s="1"/>
  <c r="VW10" i="15"/>
  <c r="VX10" i="15" s="1"/>
  <c r="BB10" i="15"/>
  <c r="BC10" i="15" s="1"/>
  <c r="L13" i="15"/>
  <c r="M13" i="15" s="1"/>
  <c r="EB13" i="15"/>
  <c r="EC13" i="15" s="1"/>
  <c r="OH13" i="15"/>
  <c r="OI13" i="15" s="1"/>
  <c r="NM13" i="15"/>
  <c r="NN13" i="15" s="1"/>
  <c r="QS13" i="15"/>
  <c r="QT13" i="15" s="1"/>
  <c r="TB19" i="15"/>
  <c r="TC19" i="15" s="1"/>
  <c r="AG20" i="15"/>
  <c r="AH20" i="15" s="1"/>
  <c r="AQ21" i="15"/>
  <c r="AR21" i="15" s="1"/>
  <c r="NN21" i="15"/>
  <c r="OI21" i="15"/>
  <c r="VW4" i="15"/>
  <c r="VX4" i="15" s="1"/>
  <c r="CE10" i="15"/>
  <c r="CF10" i="15" s="1"/>
  <c r="GS10" i="15"/>
  <c r="GT10" i="15" s="1"/>
  <c r="AG13" i="15"/>
  <c r="AH13" i="15" s="1"/>
  <c r="BB13" i="15"/>
  <c r="BC13" i="15" s="1"/>
  <c r="TQ13" i="15"/>
  <c r="TR13" i="15" s="1"/>
  <c r="FC13" i="15"/>
  <c r="FD13" i="15" s="1"/>
  <c r="DG13" i="15"/>
  <c r="DH13" i="15" s="1"/>
  <c r="FM19" i="15"/>
  <c r="FN19" i="15" s="1"/>
  <c r="QZ16" i="15"/>
  <c r="RA16" i="15" s="1"/>
  <c r="AO20" i="15"/>
  <c r="AP20" i="15" s="1"/>
  <c r="TY21" i="15"/>
  <c r="TQ20" i="13"/>
  <c r="TR20" i="13" s="1"/>
  <c r="OU20" i="13"/>
  <c r="OV20" i="13" s="1"/>
  <c r="KT20" i="13"/>
  <c r="TD4" i="13"/>
  <c r="TE4" i="13" s="1"/>
  <c r="UW13" i="13"/>
  <c r="UX13" i="13" s="1"/>
  <c r="UK13" i="13"/>
  <c r="UL13" i="13" s="1"/>
  <c r="VG13" i="13"/>
  <c r="VH13" i="13" s="1"/>
  <c r="WE13" i="13"/>
  <c r="WF13" i="13" s="1"/>
  <c r="TQ13" i="13"/>
  <c r="TR13" i="13" s="1"/>
  <c r="FC16" i="13"/>
  <c r="FD16" i="13" s="1"/>
  <c r="WJ16" i="13"/>
  <c r="WK16" i="13" s="1"/>
  <c r="DM20" i="13"/>
  <c r="DN20" i="13" s="1"/>
  <c r="UF10" i="13"/>
  <c r="UG10" i="13" s="1"/>
  <c r="VX4" i="13"/>
  <c r="VY4" i="13" s="1"/>
  <c r="HN13" i="13"/>
  <c r="HO13" i="13" s="1"/>
  <c r="VX10" i="13"/>
  <c r="VY10" i="13" s="1"/>
  <c r="LI13" i="13"/>
  <c r="LJ13" i="13" s="1"/>
  <c r="EH13" i="13"/>
  <c r="EI13" i="13" s="1"/>
  <c r="FX13" i="13"/>
  <c r="FY13" i="13" s="1"/>
  <c r="BQ13" i="13"/>
  <c r="BR13" i="13" s="1"/>
  <c r="KN13" i="13"/>
  <c r="KO13" i="13" s="1"/>
  <c r="VS13" i="13"/>
  <c r="VT13" i="13" s="1"/>
  <c r="UK10" i="13"/>
  <c r="UL10" i="13" s="1"/>
  <c r="QU15" i="13"/>
  <c r="QV15" i="13" s="1"/>
  <c r="JL16" i="13"/>
  <c r="JM16" i="13" s="1"/>
  <c r="U21" i="13"/>
  <c r="KG10" i="13"/>
  <c r="KH10" i="13" s="1"/>
  <c r="WO10" i="13"/>
  <c r="WP10" i="13" s="1"/>
  <c r="GM13" i="13"/>
  <c r="GN13" i="13" s="1"/>
  <c r="PC13" i="13"/>
  <c r="PD13" i="13" s="1"/>
  <c r="FM15" i="13"/>
  <c r="FN15" i="13" s="1"/>
  <c r="MR16" i="13"/>
  <c r="MS16" i="13" s="1"/>
  <c r="LB16" i="13"/>
  <c r="LC16" i="13" s="1"/>
  <c r="OH16" i="13"/>
  <c r="OI16" i="13" s="1"/>
  <c r="T4" i="13"/>
  <c r="U4" i="13" s="1"/>
  <c r="QZ13" i="13"/>
  <c r="RA13" i="13" s="1"/>
  <c r="VX13" i="13"/>
  <c r="VY13" i="13" s="1"/>
  <c r="UF13" i="13"/>
  <c r="UG13" i="13" s="1"/>
  <c r="AA13" i="13"/>
  <c r="AB13" i="13" s="1"/>
  <c r="PX16" i="13"/>
  <c r="PY16" i="13" s="1"/>
  <c r="JS13" i="13"/>
  <c r="JT13" i="13" s="1"/>
  <c r="VH14" i="13"/>
  <c r="AB15" i="13"/>
  <c r="VS20" i="13"/>
  <c r="VT20" i="13" s="1"/>
  <c r="HV10" i="13"/>
  <c r="HW10" i="13" s="1"/>
  <c r="UP10" i="13"/>
  <c r="UQ10" i="13" s="1"/>
  <c r="RF13" i="13"/>
  <c r="RG13" i="13" s="1"/>
  <c r="WO13" i="13"/>
  <c r="WP13" i="13" s="1"/>
  <c r="AQ15" i="13"/>
  <c r="AR15" i="13" s="1"/>
  <c r="VI15" i="13"/>
  <c r="VJ15" i="13" s="1"/>
  <c r="CR16" i="13"/>
  <c r="CS16" i="13" s="1"/>
  <c r="VG4" i="13"/>
  <c r="VH4" i="13" s="1"/>
  <c r="UW4" i="13"/>
  <c r="UX4" i="13" s="1"/>
  <c r="VN10" i="13"/>
  <c r="VO10" i="13" s="1"/>
  <c r="AO13" i="13"/>
  <c r="AP13" i="13" s="1"/>
  <c r="TK13" i="13"/>
  <c r="TL13" i="13" s="1"/>
  <c r="GS16" i="13"/>
  <c r="GT16" i="13" s="1"/>
  <c r="SV16" i="13"/>
  <c r="SW16" i="13" s="1"/>
  <c r="TF19" i="13"/>
  <c r="TG19" i="13" s="1"/>
  <c r="BB20" i="13"/>
  <c r="BC20" i="13" s="1"/>
  <c r="FX20" i="13"/>
  <c r="FY20" i="13" s="1"/>
  <c r="EQ21" i="13"/>
  <c r="L10" i="13"/>
  <c r="M10" i="13" s="1"/>
  <c r="LY8" i="13"/>
  <c r="LZ8" i="13" s="1"/>
  <c r="LW13" i="13"/>
  <c r="LX13" i="13" s="1"/>
  <c r="WQ15" i="13"/>
  <c r="WR15" i="13" s="1"/>
  <c r="AO4" i="13"/>
  <c r="AP4" i="13" s="1"/>
  <c r="V5" i="13"/>
  <c r="W5" i="13" s="1"/>
  <c r="CG6" i="13"/>
  <c r="CH6" i="13" s="1"/>
  <c r="WE4" i="13"/>
  <c r="WF4" i="13" s="1"/>
  <c r="HA13" i="13"/>
  <c r="HB13" i="13" s="1"/>
  <c r="KI15" i="13"/>
  <c r="KJ15" i="13" s="1"/>
  <c r="L13" i="13"/>
  <c r="M13" i="13" s="1"/>
  <c r="BB13" i="13"/>
  <c r="BC13" i="13" s="1"/>
  <c r="VI14" i="13"/>
  <c r="WF14" i="13"/>
  <c r="IC13" i="13"/>
  <c r="ID13" i="13" s="1"/>
  <c r="UA15" i="13"/>
  <c r="UB15" i="13" s="1"/>
  <c r="UX15" i="13"/>
  <c r="FM17" i="13"/>
  <c r="FN17" i="13" s="1"/>
  <c r="TD16" i="13"/>
  <c r="TE16" i="13" s="1"/>
  <c r="MR4" i="13"/>
  <c r="MS4" i="13" s="1"/>
  <c r="VI6" i="13"/>
  <c r="VJ6" i="13" s="1"/>
  <c r="DW7" i="13"/>
  <c r="DX7" i="13" s="1"/>
  <c r="WQ7" i="13"/>
  <c r="WR7" i="13" s="1"/>
  <c r="FM8" i="13"/>
  <c r="FN8" i="13" s="1"/>
  <c r="HX9" i="13"/>
  <c r="HY9" i="13" s="1"/>
  <c r="WQ14" i="13"/>
  <c r="WR14" i="13" s="1"/>
  <c r="CG15" i="13"/>
  <c r="CH15" i="13" s="1"/>
  <c r="SK15" i="13"/>
  <c r="SL15" i="13" s="1"/>
  <c r="VP14" i="19"/>
  <c r="VG16" i="19"/>
  <c r="VH16" i="19" s="1"/>
  <c r="VG10" i="19"/>
  <c r="VH10" i="19" s="1"/>
  <c r="VG20" i="19"/>
  <c r="VH20" i="19" s="1"/>
  <c r="UV8" i="19"/>
  <c r="UW8" i="19" s="1"/>
  <c r="UL10" i="19"/>
  <c r="UM10" i="19" s="1"/>
  <c r="UU18" i="19"/>
  <c r="UL4" i="19"/>
  <c r="UM4" i="19" s="1"/>
  <c r="UV7" i="19"/>
  <c r="UW7" i="19" s="1"/>
  <c r="TY4" i="19"/>
  <c r="TZ4" i="19" s="1"/>
  <c r="TY13" i="19"/>
  <c r="TZ13" i="19" s="1"/>
  <c r="TD13" i="19"/>
  <c r="TE13" i="19" s="1"/>
  <c r="SV10" i="19"/>
  <c r="SW10" i="19" s="1"/>
  <c r="TF6" i="19"/>
  <c r="TG6" i="19" s="1"/>
  <c r="TF7" i="19"/>
  <c r="TG7" i="19" s="1"/>
  <c r="TF8" i="19"/>
  <c r="TG8" i="19" s="1"/>
  <c r="SV16" i="19"/>
  <c r="SW16" i="19" s="1"/>
  <c r="TD20" i="19"/>
  <c r="TE20" i="19" s="1"/>
  <c r="RU16" i="19"/>
  <c r="RV16" i="19" s="1"/>
  <c r="SI4" i="19"/>
  <c r="SJ4" i="19" s="1"/>
  <c r="SI10" i="19"/>
  <c r="SJ10" i="19" s="1"/>
  <c r="SI13" i="19"/>
  <c r="SJ13" i="19" s="1"/>
  <c r="RP7" i="19"/>
  <c r="RQ7" i="19" s="1"/>
  <c r="RF16" i="19"/>
  <c r="RG16" i="19" s="1"/>
  <c r="RP6" i="19"/>
  <c r="RQ6" i="19" s="1"/>
  <c r="RN4" i="19"/>
  <c r="RO4" i="19" s="1"/>
  <c r="RP8" i="19"/>
  <c r="RQ8" i="19" s="1"/>
  <c r="RN10" i="19"/>
  <c r="RO10" i="19" s="1"/>
  <c r="RF20" i="19"/>
  <c r="RG20" i="19" s="1"/>
  <c r="QK10" i="19"/>
  <c r="QL10" i="19" s="1"/>
  <c r="QK4" i="19"/>
  <c r="QL4" i="19" s="1"/>
  <c r="QS10" i="19"/>
  <c r="QT10" i="19" s="1"/>
  <c r="QK16" i="19"/>
  <c r="QL16" i="19" s="1"/>
  <c r="QS20" i="19"/>
  <c r="QT20" i="19" s="1"/>
  <c r="QS4" i="19"/>
  <c r="QT4" i="19" s="1"/>
  <c r="QE16" i="19"/>
  <c r="QF16" i="19" s="1"/>
  <c r="PX4" i="19"/>
  <c r="PY4" i="19" s="1"/>
  <c r="PZ8" i="19"/>
  <c r="QA8" i="19" s="1"/>
  <c r="PX20" i="19"/>
  <c r="PY20" i="19" s="1"/>
  <c r="PZ6" i="19"/>
  <c r="QA6" i="19" s="1"/>
  <c r="PP16" i="19"/>
  <c r="PQ16" i="19" s="1"/>
  <c r="PZ7" i="19"/>
  <c r="QA7" i="19" s="1"/>
  <c r="OU10" i="19"/>
  <c r="OV10" i="19" s="1"/>
  <c r="OU16" i="19"/>
  <c r="OV16" i="19" s="1"/>
  <c r="OU20" i="19"/>
  <c r="OV20" i="19" s="1"/>
  <c r="OU4" i="19"/>
  <c r="OV4" i="19" s="1"/>
  <c r="PC20" i="19"/>
  <c r="PD20" i="19" s="1"/>
  <c r="NZ16" i="19"/>
  <c r="OA16" i="19" s="1"/>
  <c r="OJ7" i="19"/>
  <c r="OK7" i="19" s="1"/>
  <c r="OH10" i="19"/>
  <c r="OI10" i="19" s="1"/>
  <c r="OJ6" i="19"/>
  <c r="OK6" i="19" s="1"/>
  <c r="NE4" i="19"/>
  <c r="NF4" i="19" s="1"/>
  <c r="NM4" i="19"/>
  <c r="NN4" i="19" s="1"/>
  <c r="NM13" i="19"/>
  <c r="NN13" i="19" s="1"/>
  <c r="MT9" i="19"/>
  <c r="MU9" i="19" s="1"/>
  <c r="MT6" i="19"/>
  <c r="MU6" i="19" s="1"/>
  <c r="MT7" i="19"/>
  <c r="MU7" i="19" s="1"/>
  <c r="MT19" i="19"/>
  <c r="MU19" i="19" s="1"/>
  <c r="MR20" i="19"/>
  <c r="MS20" i="19" s="1"/>
  <c r="MT8" i="19"/>
  <c r="MU8" i="19" s="1"/>
  <c r="LO13" i="19"/>
  <c r="LP13" i="19" s="1"/>
  <c r="LW4" i="19"/>
  <c r="LX4" i="19" s="1"/>
  <c r="LO10" i="19"/>
  <c r="LP10" i="19" s="1"/>
  <c r="LW13" i="19"/>
  <c r="LX13" i="19" s="1"/>
  <c r="LW10" i="19"/>
  <c r="LX10" i="19" s="1"/>
  <c r="LO20" i="19"/>
  <c r="LP20" i="19" s="1"/>
  <c r="LB4" i="19"/>
  <c r="LC4" i="19" s="1"/>
  <c r="LD7" i="19"/>
  <c r="LE7" i="19" s="1"/>
  <c r="LD8" i="19"/>
  <c r="LE8" i="19" s="1"/>
  <c r="KN10" i="19"/>
  <c r="KO10" i="19" s="1"/>
  <c r="LB10" i="19"/>
  <c r="LC10" i="19" s="1"/>
  <c r="KT20" i="19"/>
  <c r="KU20" i="19" s="1"/>
  <c r="JY4" i="19"/>
  <c r="JZ4" i="19" s="1"/>
  <c r="KG13" i="19"/>
  <c r="KH13" i="19" s="1"/>
  <c r="KG4" i="19"/>
  <c r="KH4" i="19" s="1"/>
  <c r="JL20" i="19"/>
  <c r="JM20" i="19" s="1"/>
  <c r="JD16" i="19"/>
  <c r="JE16" i="19" s="1"/>
  <c r="JD10" i="19"/>
  <c r="JE10" i="19" s="1"/>
  <c r="JL4" i="19"/>
  <c r="JM4" i="19" s="1"/>
  <c r="JN6" i="19"/>
  <c r="JO6" i="19" s="1"/>
  <c r="II20" i="19"/>
  <c r="IJ20" i="19" s="1"/>
  <c r="IQ4" i="19"/>
  <c r="IR4" i="19" s="1"/>
  <c r="II16" i="19"/>
  <c r="IJ16" i="19" s="1"/>
  <c r="IQ20" i="19"/>
  <c r="IR20" i="19" s="1"/>
  <c r="HX7" i="19"/>
  <c r="HY7" i="19" s="1"/>
  <c r="HX8" i="19"/>
  <c r="HY8" i="19" s="1"/>
  <c r="HV4" i="19"/>
  <c r="HW4" i="19" s="1"/>
  <c r="HX6" i="19"/>
  <c r="HY6" i="19" s="1"/>
  <c r="HN20" i="19"/>
  <c r="HO20" i="19" s="1"/>
  <c r="GS4" i="19"/>
  <c r="GT4" i="19" s="1"/>
  <c r="HA4" i="19"/>
  <c r="HB4" i="19" s="1"/>
  <c r="GM10" i="19"/>
  <c r="GN10" i="19" s="1"/>
  <c r="FR13" i="19"/>
  <c r="FS13" i="19" s="1"/>
  <c r="GH19" i="19"/>
  <c r="GI19" i="19" s="1"/>
  <c r="GH8" i="19"/>
  <c r="GI8" i="19" s="1"/>
  <c r="GF13" i="19"/>
  <c r="GG13" i="19" s="1"/>
  <c r="FX16" i="19"/>
  <c r="FY16" i="19" s="1"/>
  <c r="FC10" i="19"/>
  <c r="FD10" i="19" s="1"/>
  <c r="FK4" i="19"/>
  <c r="FL4" i="19" s="1"/>
  <c r="EW16" i="19"/>
  <c r="EX16" i="19" s="1"/>
  <c r="ER8" i="19"/>
  <c r="ES8" i="19" s="1"/>
  <c r="ER19" i="19"/>
  <c r="ES19" i="19" s="1"/>
  <c r="ER7" i="19"/>
  <c r="ES7" i="19" s="1"/>
  <c r="DN11" i="19"/>
  <c r="DM16" i="19"/>
  <c r="DN16" i="19" s="1"/>
  <c r="DB7" i="19"/>
  <c r="DC7" i="19" s="1"/>
  <c r="DB8" i="19"/>
  <c r="DC8" i="19" s="1"/>
  <c r="CZ20" i="19"/>
  <c r="DA20" i="19" s="1"/>
  <c r="CR4" i="19"/>
  <c r="CS4" i="19" s="1"/>
  <c r="DB6" i="19"/>
  <c r="DC6" i="19" s="1"/>
  <c r="DB9" i="19"/>
  <c r="DC9" i="19" s="1"/>
  <c r="CZ10" i="19"/>
  <c r="DA10" i="19" s="1"/>
  <c r="CE13" i="19"/>
  <c r="CF13" i="19" s="1"/>
  <c r="BJ10" i="19"/>
  <c r="BK10" i="19" s="1"/>
  <c r="BJ13" i="19"/>
  <c r="BK13" i="19" s="1"/>
  <c r="BL7" i="19"/>
  <c r="BM7" i="19" s="1"/>
  <c r="BL8" i="19"/>
  <c r="BM8" i="19" s="1"/>
  <c r="SB12" i="17"/>
  <c r="RU13" i="17"/>
  <c r="RV13" i="17" s="1"/>
  <c r="SI20" i="17"/>
  <c r="SJ20" i="17" s="1"/>
  <c r="SI13" i="17"/>
  <c r="SJ13" i="17" s="1"/>
  <c r="RU16" i="17"/>
  <c r="RV16" i="17" s="1"/>
  <c r="SI4" i="17"/>
  <c r="SJ4" i="17" s="1"/>
  <c r="SI10" i="17"/>
  <c r="SJ10" i="17" s="1"/>
  <c r="SA16" i="17"/>
  <c r="SB16" i="17" s="1"/>
  <c r="RO21" i="17"/>
  <c r="RN10" i="17"/>
  <c r="RO10" i="17" s="1"/>
  <c r="RF13" i="17"/>
  <c r="RG13" i="17" s="1"/>
  <c r="QK13" i="17"/>
  <c r="QL13" i="17" s="1"/>
  <c r="QS13" i="17"/>
  <c r="QT13" i="17" s="1"/>
  <c r="QK16" i="17"/>
  <c r="QL16" i="17" s="1"/>
  <c r="QE16" i="17"/>
  <c r="QF16" i="17" s="1"/>
  <c r="QS4" i="17"/>
  <c r="QT4" i="17" s="1"/>
  <c r="QK4" i="17"/>
  <c r="QL4" i="17" s="1"/>
  <c r="QK10" i="17"/>
  <c r="QL10" i="17" s="1"/>
  <c r="QK20" i="17"/>
  <c r="QL20" i="17" s="1"/>
  <c r="PP13" i="17"/>
  <c r="PQ13" i="17" s="1"/>
  <c r="PJ16" i="17"/>
  <c r="PK16" i="17" s="1"/>
  <c r="PJ4" i="17"/>
  <c r="PK4" i="17" s="1"/>
  <c r="PX4" i="17"/>
  <c r="PY4" i="17" s="1"/>
  <c r="PP10" i="17"/>
  <c r="PQ10" i="17" s="1"/>
  <c r="PP20" i="17"/>
  <c r="PQ20" i="17" s="1"/>
  <c r="PC4" i="17"/>
  <c r="PD4" i="17" s="1"/>
  <c r="OU10" i="17"/>
  <c r="OV10" i="17" s="1"/>
  <c r="OO13" i="17"/>
  <c r="OP13" i="17" s="1"/>
  <c r="OU16" i="17"/>
  <c r="OV16" i="17" s="1"/>
  <c r="PC10" i="17"/>
  <c r="PD10" i="17" s="1"/>
  <c r="OH10" i="17"/>
  <c r="OI10" i="17" s="1"/>
  <c r="NT10" i="17"/>
  <c r="NU10" i="17" s="1"/>
  <c r="NT16" i="17"/>
  <c r="NU16" i="17" s="1"/>
  <c r="NZ13" i="17"/>
  <c r="OA13" i="17" s="1"/>
  <c r="OH4" i="17"/>
  <c r="OI4" i="17" s="1"/>
  <c r="OH13" i="17"/>
  <c r="OI13" i="17" s="1"/>
  <c r="NE10" i="17"/>
  <c r="NF10" i="17" s="1"/>
  <c r="NE13" i="17"/>
  <c r="NF13" i="17" s="1"/>
  <c r="NM10" i="17"/>
  <c r="NN10" i="17" s="1"/>
  <c r="NM13" i="17"/>
  <c r="NN13" i="17" s="1"/>
  <c r="NE16" i="17"/>
  <c r="NF16" i="17" s="1"/>
  <c r="MD16" i="17"/>
  <c r="ME16" i="17" s="1"/>
  <c r="MJ4" i="17"/>
  <c r="MK4" i="17" s="1"/>
  <c r="MR4" i="17"/>
  <c r="MS4" i="17" s="1"/>
  <c r="MJ10" i="17"/>
  <c r="MK10" i="17" s="1"/>
  <c r="MJ13" i="17"/>
  <c r="MK13" i="17" s="1"/>
  <c r="LO16" i="17"/>
  <c r="LP16" i="17" s="1"/>
  <c r="LO20" i="17"/>
  <c r="LP20" i="17" s="1"/>
  <c r="LP11" i="17"/>
  <c r="LW4" i="17"/>
  <c r="LX4" i="17" s="1"/>
  <c r="LW13" i="17"/>
  <c r="LX13" i="17" s="1"/>
  <c r="LW20" i="17"/>
  <c r="LX20" i="17" s="1"/>
  <c r="KN16" i="17"/>
  <c r="KO16" i="17" s="1"/>
  <c r="LB4" i="17"/>
  <c r="LC4" i="17" s="1"/>
  <c r="LD9" i="17"/>
  <c r="LE9" i="17" s="1"/>
  <c r="LB13" i="17"/>
  <c r="LC13" i="17" s="1"/>
  <c r="KT20" i="17"/>
  <c r="KU20" i="17" s="1"/>
  <c r="JS13" i="17"/>
  <c r="JT13" i="17" s="1"/>
  <c r="JY10" i="17"/>
  <c r="JZ10" i="17" s="1"/>
  <c r="IX13" i="17"/>
  <c r="IY13" i="17" s="1"/>
  <c r="JL20" i="17"/>
  <c r="JM20" i="17" s="1"/>
  <c r="JD4" i="17"/>
  <c r="JE4" i="17" s="1"/>
  <c r="JL4" i="17"/>
  <c r="JM4" i="17" s="1"/>
  <c r="JN9" i="17"/>
  <c r="JO9" i="17" s="1"/>
  <c r="II4" i="17"/>
  <c r="IJ4" i="17" s="1"/>
  <c r="IC13" i="17"/>
  <c r="ID13" i="17" s="1"/>
  <c r="IQ4" i="17"/>
  <c r="IR4" i="17" s="1"/>
  <c r="II13" i="17"/>
  <c r="IJ13" i="17" s="1"/>
  <c r="IQ10" i="17"/>
  <c r="IR10" i="17" s="1"/>
  <c r="IQ13" i="17"/>
  <c r="IR13" i="17" s="1"/>
  <c r="IQ20" i="17"/>
  <c r="IR20" i="17" s="1"/>
  <c r="HN13" i="17"/>
  <c r="HO13" i="17" s="1"/>
  <c r="HN20" i="17"/>
  <c r="HO20" i="17" s="1"/>
  <c r="HV13" i="17"/>
  <c r="HW13" i="17" s="1"/>
  <c r="HV4" i="17"/>
  <c r="HW4" i="17" s="1"/>
  <c r="HN10" i="17"/>
  <c r="HO10" i="17" s="1"/>
  <c r="HV16" i="17"/>
  <c r="HW16" i="17" s="1"/>
  <c r="HA16" i="17"/>
  <c r="HB16" i="17" s="1"/>
  <c r="HA13" i="17"/>
  <c r="HB13" i="17" s="1"/>
  <c r="HA4" i="17"/>
  <c r="HB4" i="17" s="1"/>
  <c r="GF10" i="17"/>
  <c r="GG10" i="17" s="1"/>
  <c r="FX13" i="17"/>
  <c r="FY13" i="17" s="1"/>
  <c r="FD11" i="17"/>
  <c r="FL21" i="17"/>
  <c r="EW13" i="17"/>
  <c r="EX13" i="17" s="1"/>
  <c r="FC4" i="17"/>
  <c r="FD4" i="17" s="1"/>
  <c r="FC13" i="17"/>
  <c r="FD13" i="17" s="1"/>
  <c r="EP10" i="17"/>
  <c r="EQ10" i="17" s="1"/>
  <c r="EP4" i="17"/>
  <c r="EQ4" i="17" s="1"/>
  <c r="EB13" i="17"/>
  <c r="EC13" i="17" s="1"/>
  <c r="EH20" i="17"/>
  <c r="EI20" i="17" s="1"/>
  <c r="DM16" i="17"/>
  <c r="DN16" i="17" s="1"/>
  <c r="DU13" i="17"/>
  <c r="DV13" i="17" s="1"/>
  <c r="DG13" i="17"/>
  <c r="DH13" i="17" s="1"/>
  <c r="CL13" i="17"/>
  <c r="CM13" i="17" s="1"/>
  <c r="CE10" i="17"/>
  <c r="CF10" i="17" s="1"/>
  <c r="BX11" i="17"/>
  <c r="BW4" i="17"/>
  <c r="BX4" i="17" s="1"/>
  <c r="BB13" i="17"/>
  <c r="BC13" i="17" s="1"/>
  <c r="BB20" i="17"/>
  <c r="BC20" i="17" s="1"/>
  <c r="BJ4" i="17"/>
  <c r="BK4" i="17" s="1"/>
  <c r="BJ13" i="17"/>
  <c r="BK13" i="17" s="1"/>
  <c r="SI16" i="15"/>
  <c r="SJ16" i="15" s="1"/>
  <c r="SA10" i="15"/>
  <c r="SB10" i="15" s="1"/>
  <c r="SI10" i="15"/>
  <c r="SJ10" i="15" s="1"/>
  <c r="SA16" i="15"/>
  <c r="SB16" i="15" s="1"/>
  <c r="RF10" i="15"/>
  <c r="RG10" i="15" s="1"/>
  <c r="RN10" i="15"/>
  <c r="RO10" i="15" s="1"/>
  <c r="RF13" i="15"/>
  <c r="RG13" i="15" s="1"/>
  <c r="QK4" i="15"/>
  <c r="QL4" i="15" s="1"/>
  <c r="QK13" i="15"/>
  <c r="QL13" i="15" s="1"/>
  <c r="QS10" i="15"/>
  <c r="QT10" i="15" s="1"/>
  <c r="QS16" i="15"/>
  <c r="QT16" i="15" s="1"/>
  <c r="QU18" i="15"/>
  <c r="QV18" i="15" s="1"/>
  <c r="PJ13" i="15"/>
  <c r="PK13" i="15" s="1"/>
  <c r="PJ10" i="15"/>
  <c r="PK10" i="15" s="1"/>
  <c r="PP10" i="15"/>
  <c r="PQ10" i="15" s="1"/>
  <c r="OO13" i="15"/>
  <c r="OP13" i="15" s="1"/>
  <c r="PC16" i="15"/>
  <c r="PD16" i="15" s="1"/>
  <c r="OU13" i="15"/>
  <c r="OV13" i="15" s="1"/>
  <c r="OU10" i="15"/>
  <c r="OV10" i="15" s="1"/>
  <c r="OU20" i="15"/>
  <c r="OV20" i="15" s="1"/>
  <c r="NZ13" i="15"/>
  <c r="OA13" i="15" s="1"/>
  <c r="OH10" i="15"/>
  <c r="OI10" i="15" s="1"/>
  <c r="OI15" i="15"/>
  <c r="OH16" i="15"/>
  <c r="OI16" i="15" s="1"/>
  <c r="NM16" i="15"/>
  <c r="NN16" i="15" s="1"/>
  <c r="NE13" i="15"/>
  <c r="NF13" i="15" s="1"/>
  <c r="NN15" i="15"/>
  <c r="NE10" i="15"/>
  <c r="NF10" i="15" s="1"/>
  <c r="NO15" i="15"/>
  <c r="NP15" i="15" s="1"/>
  <c r="MR13" i="15"/>
  <c r="MS13" i="15" s="1"/>
  <c r="LO4" i="15"/>
  <c r="LP4" i="15" s="1"/>
  <c r="LO20" i="15"/>
  <c r="LP20" i="15" s="1"/>
  <c r="LO13" i="15"/>
  <c r="LP13" i="15" s="1"/>
  <c r="LI13" i="15"/>
  <c r="LJ13" i="15" s="1"/>
  <c r="LW16" i="15"/>
  <c r="LX16" i="15" s="1"/>
  <c r="LW20" i="15"/>
  <c r="LX20" i="15" s="1"/>
  <c r="LB13" i="15"/>
  <c r="LC13" i="15" s="1"/>
  <c r="KT20" i="15"/>
  <c r="KU20" i="15" s="1"/>
  <c r="LC21" i="15"/>
  <c r="KN10" i="15"/>
  <c r="KO10" i="15" s="1"/>
  <c r="KT13" i="15"/>
  <c r="KU13" i="15" s="1"/>
  <c r="KT16" i="15"/>
  <c r="KU16" i="15" s="1"/>
  <c r="JY10" i="15"/>
  <c r="JZ10" i="15" s="1"/>
  <c r="KH21" i="15"/>
  <c r="KG16" i="15"/>
  <c r="KH16" i="15" s="1"/>
  <c r="KI18" i="15"/>
  <c r="KJ18" i="15" s="1"/>
  <c r="KG10" i="15"/>
  <c r="KH10" i="15" s="1"/>
  <c r="KG13" i="15"/>
  <c r="KH13" i="15" s="1"/>
  <c r="JD4" i="15"/>
  <c r="JE4" i="15" s="1"/>
  <c r="JL10" i="15"/>
  <c r="JM10" i="15" s="1"/>
  <c r="JN21" i="15"/>
  <c r="JN20" i="15" s="1"/>
  <c r="JO20" i="15" s="1"/>
  <c r="JL20" i="15"/>
  <c r="JM20" i="15" s="1"/>
  <c r="JL13" i="15"/>
  <c r="JM13" i="15" s="1"/>
  <c r="II10" i="15"/>
  <c r="IJ10" i="15" s="1"/>
  <c r="II4" i="15"/>
  <c r="IJ4" i="15" s="1"/>
  <c r="IQ10" i="15"/>
  <c r="IR10" i="15" s="1"/>
  <c r="IQ16" i="15"/>
  <c r="IR16" i="15" s="1"/>
  <c r="HN13" i="15"/>
  <c r="HO13" i="15" s="1"/>
  <c r="HV13" i="15"/>
  <c r="HW13" i="15" s="1"/>
  <c r="HA16" i="15"/>
  <c r="HB16" i="15" s="1"/>
  <c r="GS13" i="15"/>
  <c r="GT13" i="15" s="1"/>
  <c r="GS4" i="15"/>
  <c r="GT4" i="15" s="1"/>
  <c r="GS20" i="15"/>
  <c r="GT20" i="15" s="1"/>
  <c r="FX13" i="15"/>
  <c r="FY13" i="15" s="1"/>
  <c r="FR13" i="15"/>
  <c r="FS13" i="15" s="1"/>
  <c r="FC4" i="15"/>
  <c r="FD4" i="15" s="1"/>
  <c r="FD14" i="15"/>
  <c r="FD5" i="15"/>
  <c r="EX21" i="15"/>
  <c r="FK16" i="15"/>
  <c r="FL16" i="15" s="1"/>
  <c r="EP20" i="15"/>
  <c r="EQ20" i="15" s="1"/>
  <c r="EH4" i="15"/>
  <c r="EI4" i="15" s="1"/>
  <c r="EP10" i="15"/>
  <c r="EQ10" i="15" s="1"/>
  <c r="EI11" i="15"/>
  <c r="EP16" i="15"/>
  <c r="EQ16" i="15" s="1"/>
  <c r="DM4" i="15"/>
  <c r="DN4" i="15" s="1"/>
  <c r="DN14" i="15"/>
  <c r="DM16" i="15"/>
  <c r="DN16" i="15" s="1"/>
  <c r="CR13" i="15"/>
  <c r="CS13" i="15" s="1"/>
  <c r="DA21" i="15"/>
  <c r="CR20" i="15"/>
  <c r="CR4" i="15"/>
  <c r="CS4" i="15" s="1"/>
  <c r="CZ10" i="15"/>
  <c r="DA10" i="15" s="1"/>
  <c r="CS14" i="15"/>
  <c r="BW4" i="15"/>
  <c r="BX4" i="15" s="1"/>
  <c r="BX6" i="15"/>
  <c r="BW13" i="15"/>
  <c r="BX13" i="15" s="1"/>
  <c r="BC12" i="15"/>
  <c r="BJ13" i="15"/>
  <c r="BK13" i="15" s="1"/>
  <c r="TL15" i="13"/>
  <c r="UA5" i="13"/>
  <c r="UB5" i="13" s="1"/>
  <c r="TQ10" i="13"/>
  <c r="TR10" i="13" s="1"/>
  <c r="TE5" i="13"/>
  <c r="SV10" i="13"/>
  <c r="SW10" i="13" s="1"/>
  <c r="SV13" i="13"/>
  <c r="SW13" i="13" s="1"/>
  <c r="RV15" i="13"/>
  <c r="RU13" i="13"/>
  <c r="RV13" i="13" s="1"/>
  <c r="SA20" i="13"/>
  <c r="SA10" i="13"/>
  <c r="SB10" i="13" s="1"/>
  <c r="SI4" i="13"/>
  <c r="SJ4" i="13" s="1"/>
  <c r="SA13" i="13"/>
  <c r="SB13" i="13" s="1"/>
  <c r="SI16" i="13"/>
  <c r="SJ16" i="13" s="1"/>
  <c r="RN16" i="13"/>
  <c r="RO16" i="13" s="1"/>
  <c r="RN4" i="13"/>
  <c r="RO4" i="13" s="1"/>
  <c r="RF20" i="13"/>
  <c r="RG20" i="13" s="1"/>
  <c r="QU7" i="13"/>
  <c r="QV7" i="13" s="1"/>
  <c r="QS10" i="13"/>
  <c r="QT10" i="13" s="1"/>
  <c r="QE13" i="13"/>
  <c r="QF13" i="13" s="1"/>
  <c r="QF15" i="13"/>
  <c r="PX20" i="13"/>
  <c r="PY20" i="13" s="1"/>
  <c r="PX4" i="13"/>
  <c r="PY4" i="13" s="1"/>
  <c r="PX10" i="13"/>
  <c r="PY10" i="13" s="1"/>
  <c r="OO4" i="13"/>
  <c r="OP4" i="13" s="1"/>
  <c r="PE6" i="13"/>
  <c r="PF6" i="13" s="1"/>
  <c r="PC4" i="13"/>
  <c r="PD4" i="13" s="1"/>
  <c r="OO13" i="13"/>
  <c r="OP13" i="13" s="1"/>
  <c r="NT13" i="13"/>
  <c r="NU13" i="13" s="1"/>
  <c r="OH10" i="13"/>
  <c r="OI10" i="13" s="1"/>
  <c r="NZ13" i="13"/>
  <c r="OA13" i="13" s="1"/>
  <c r="NZ16" i="13"/>
  <c r="OA16" i="13" s="1"/>
  <c r="OI17" i="13"/>
  <c r="NM4" i="13"/>
  <c r="NN4" i="13" s="1"/>
  <c r="NM13" i="13"/>
  <c r="NN13" i="13" s="1"/>
  <c r="NE10" i="13"/>
  <c r="NF10" i="13" s="1"/>
  <c r="NO5" i="13"/>
  <c r="NP5" i="13" s="1"/>
  <c r="MY13" i="13"/>
  <c r="MZ13" i="13" s="1"/>
  <c r="MJ13" i="13"/>
  <c r="MK13" i="13" s="1"/>
  <c r="MS5" i="13"/>
  <c r="MJ10" i="13"/>
  <c r="MK10" i="13" s="1"/>
  <c r="MR20" i="13"/>
  <c r="MS20" i="13" s="1"/>
  <c r="LO10" i="13"/>
  <c r="LP10" i="13" s="1"/>
  <c r="LW4" i="13"/>
  <c r="LX4" i="13" s="1"/>
  <c r="LX15" i="13"/>
  <c r="LO20" i="13"/>
  <c r="LW16" i="13"/>
  <c r="LX16" i="13" s="1"/>
  <c r="KT13" i="13"/>
  <c r="KU13" i="13" s="1"/>
  <c r="LB4" i="13"/>
  <c r="LC4" i="13" s="1"/>
  <c r="KI7" i="13"/>
  <c r="KJ7" i="13" s="1"/>
  <c r="KG16" i="13"/>
  <c r="KH16" i="13" s="1"/>
  <c r="JY20" i="13"/>
  <c r="JZ20" i="13" s="1"/>
  <c r="JL4" i="13"/>
  <c r="JM4" i="13" s="1"/>
  <c r="JL20" i="13"/>
  <c r="JM20" i="13" s="1"/>
  <c r="JL10" i="13"/>
  <c r="JM10" i="13" s="1"/>
  <c r="IS6" i="13"/>
  <c r="IT6" i="13" s="1"/>
  <c r="IS17" i="13"/>
  <c r="IT17" i="13" s="1"/>
  <c r="IQ4" i="13"/>
  <c r="IR4" i="13" s="1"/>
  <c r="IC4" i="13"/>
  <c r="ID4" i="13" s="1"/>
  <c r="IQ13" i="13"/>
  <c r="IR13" i="13" s="1"/>
  <c r="II16" i="13"/>
  <c r="IJ16" i="13" s="1"/>
  <c r="HI9" i="13"/>
  <c r="HN20" i="13"/>
  <c r="HO20" i="13" s="1"/>
  <c r="HH13" i="13"/>
  <c r="HI13" i="13" s="1"/>
  <c r="HV16" i="13"/>
  <c r="HW16" i="13" s="1"/>
  <c r="HV20" i="13"/>
  <c r="HW20" i="13" s="1"/>
  <c r="HA16" i="13"/>
  <c r="HB16" i="13" s="1"/>
  <c r="HC17" i="13"/>
  <c r="HD17" i="13" s="1"/>
  <c r="GF16" i="13"/>
  <c r="GG16" i="13" s="1"/>
  <c r="GF4" i="13"/>
  <c r="GG4" i="13" s="1"/>
  <c r="GH5" i="13"/>
  <c r="GI5" i="13" s="1"/>
  <c r="FX10" i="13"/>
  <c r="FY10" i="13" s="1"/>
  <c r="FK13" i="13"/>
  <c r="FL13" i="13" s="1"/>
  <c r="FM5" i="13"/>
  <c r="FN5" i="13" s="1"/>
  <c r="FC10" i="13"/>
  <c r="FD10" i="13" s="1"/>
  <c r="FC20" i="13"/>
  <c r="FD20" i="13" s="1"/>
  <c r="FK4" i="13"/>
  <c r="FL4" i="13" s="1"/>
  <c r="EW13" i="13"/>
  <c r="EX13" i="13" s="1"/>
  <c r="FM21" i="13"/>
  <c r="FN21" i="13" s="1"/>
  <c r="EP16" i="13"/>
  <c r="EQ16" i="13" s="1"/>
  <c r="EH20" i="13"/>
  <c r="EI20" i="13" s="1"/>
  <c r="EB13" i="13"/>
  <c r="EC13" i="13" s="1"/>
  <c r="DG13" i="13"/>
  <c r="DH13" i="13" s="1"/>
  <c r="DU4" i="13"/>
  <c r="DV4" i="13" s="1"/>
  <c r="DU10" i="13"/>
  <c r="DV10" i="13" s="1"/>
  <c r="DW15" i="13"/>
  <c r="DX15" i="13" s="1"/>
  <c r="CZ10" i="13"/>
  <c r="DA10" i="13" s="1"/>
  <c r="CR13" i="13"/>
  <c r="CS13" i="13" s="1"/>
  <c r="DB5" i="13"/>
  <c r="DC5" i="13" s="1"/>
  <c r="CR20" i="13"/>
  <c r="CS20" i="13" s="1"/>
  <c r="CZ4" i="13"/>
  <c r="DA4" i="13" s="1"/>
  <c r="CZ16" i="13"/>
  <c r="DA16" i="13" s="1"/>
  <c r="CZ20" i="13"/>
  <c r="DA20" i="13" s="1"/>
  <c r="CE4" i="13"/>
  <c r="CF4" i="13" s="1"/>
  <c r="CG5" i="13"/>
  <c r="CH5" i="13" s="1"/>
  <c r="CE13" i="13"/>
  <c r="CF13" i="13" s="1"/>
  <c r="BJ4" i="13"/>
  <c r="BK4" i="13" s="1"/>
  <c r="AV13" i="13"/>
  <c r="AW13" i="13" s="1"/>
  <c r="BJ16" i="13"/>
  <c r="BK16" i="13" s="1"/>
  <c r="BJ20" i="13"/>
  <c r="BK20" i="13" s="1"/>
  <c r="BJ10" i="13"/>
  <c r="BK10" i="13" s="1"/>
  <c r="EQ6" i="13"/>
  <c r="EP4" i="13"/>
  <c r="EQ4" i="13" s="1"/>
  <c r="KH5" i="13"/>
  <c r="KG4" i="13"/>
  <c r="KH4" i="13" s="1"/>
  <c r="LC5" i="13"/>
  <c r="WP5" i="13"/>
  <c r="WO4" i="13"/>
  <c r="WP4" i="13" s="1"/>
  <c r="BK7" i="13"/>
  <c r="BL5" i="13"/>
  <c r="BM5" i="13" s="1"/>
  <c r="ER5" i="13"/>
  <c r="ES5" i="13" s="1"/>
  <c r="HB6" i="13"/>
  <c r="HA4" i="13"/>
  <c r="HB4" i="13" s="1"/>
  <c r="TZ6" i="13"/>
  <c r="TY4" i="13"/>
  <c r="TZ4" i="13" s="1"/>
  <c r="AQ5" i="13"/>
  <c r="AR5" i="13" s="1"/>
  <c r="DW5" i="13"/>
  <c r="DX5" i="13" s="1"/>
  <c r="HC5" i="13"/>
  <c r="HD5" i="13" s="1"/>
  <c r="QT5" i="13"/>
  <c r="QS4" i="13"/>
  <c r="QT4" i="13" s="1"/>
  <c r="ER9" i="13"/>
  <c r="ES9" i="13" s="1"/>
  <c r="NO6" i="13"/>
  <c r="NP6" i="13" s="1"/>
  <c r="UA6" i="13"/>
  <c r="UB6" i="13" s="1"/>
  <c r="CG7" i="13"/>
  <c r="CH7" i="13" s="1"/>
  <c r="IS7" i="13"/>
  <c r="IT7" i="13" s="1"/>
  <c r="PE7" i="13"/>
  <c r="PF7" i="13" s="1"/>
  <c r="LY9" i="13"/>
  <c r="LZ9" i="13" s="1"/>
  <c r="HV4" i="13"/>
  <c r="HW4" i="13" s="1"/>
  <c r="OH4" i="13"/>
  <c r="OI4" i="13" s="1"/>
  <c r="JS4" i="13"/>
  <c r="JT4" i="13" s="1"/>
  <c r="QE4" i="13"/>
  <c r="QF4" i="13" s="1"/>
  <c r="EC9" i="13"/>
  <c r="LP9" i="13"/>
  <c r="PE9" i="13"/>
  <c r="PF9" i="13" s="1"/>
  <c r="TF14" i="13"/>
  <c r="AO16" i="13"/>
  <c r="AP16" i="13" s="1"/>
  <c r="JS4" i="15"/>
  <c r="JT4" i="15" s="1"/>
  <c r="BC21" i="15"/>
  <c r="BB20" i="15"/>
  <c r="BC20" i="15" s="1"/>
  <c r="FY21" i="15"/>
  <c r="FX20" i="15"/>
  <c r="FY20" i="15" s="1"/>
  <c r="HB21" i="15"/>
  <c r="HA20" i="15"/>
  <c r="HB20" i="15" s="1"/>
  <c r="MK21" i="15"/>
  <c r="MJ20" i="15"/>
  <c r="MK20" i="15" s="1"/>
  <c r="NF21" i="15"/>
  <c r="NE20" i="15"/>
  <c r="NF20" i="15" s="1"/>
  <c r="OA21" i="15"/>
  <c r="NZ20" i="15"/>
  <c r="PX20" i="15"/>
  <c r="PY20" i="15" s="1"/>
  <c r="PY21" i="15"/>
  <c r="TB21" i="15"/>
  <c r="LP5" i="17"/>
  <c r="LO4" i="17"/>
  <c r="LP4" i="17" s="1"/>
  <c r="OV5" i="17"/>
  <c r="OU4" i="17"/>
  <c r="OV4" i="17" s="1"/>
  <c r="SA4" i="17"/>
  <c r="SB4" i="17" s="1"/>
  <c r="SB5" i="17"/>
  <c r="OV9" i="13"/>
  <c r="PZ9" i="13"/>
  <c r="QA9" i="13" s="1"/>
  <c r="AG10" i="13"/>
  <c r="AH10" i="13" s="1"/>
  <c r="CE10" i="13"/>
  <c r="CF10" i="13" s="1"/>
  <c r="EH10" i="13"/>
  <c r="EI10" i="13" s="1"/>
  <c r="GS10" i="13"/>
  <c r="GT10" i="13" s="1"/>
  <c r="IQ10" i="13"/>
  <c r="IR10" i="13" s="1"/>
  <c r="KT10" i="13"/>
  <c r="KU10" i="13" s="1"/>
  <c r="PC10" i="13"/>
  <c r="PD10" i="13" s="1"/>
  <c r="RF10" i="13"/>
  <c r="RG10" i="13" s="1"/>
  <c r="VS10" i="13"/>
  <c r="VT10" i="13" s="1"/>
  <c r="F13" i="13"/>
  <c r="G13" i="13" s="1"/>
  <c r="AG13" i="13"/>
  <c r="AH13" i="13" s="1"/>
  <c r="CL13" i="13"/>
  <c r="CM13" i="13" s="1"/>
  <c r="DM13" i="13"/>
  <c r="DN13" i="13" s="1"/>
  <c r="FR13" i="13"/>
  <c r="FS13" i="13" s="1"/>
  <c r="GS13" i="13"/>
  <c r="GT13" i="13" s="1"/>
  <c r="IX13" i="13"/>
  <c r="IY13" i="13" s="1"/>
  <c r="JY13" i="13"/>
  <c r="JZ13" i="13" s="1"/>
  <c r="MD13" i="13"/>
  <c r="ME13" i="13" s="1"/>
  <c r="NE13" i="13"/>
  <c r="NF13" i="13" s="1"/>
  <c r="PJ13" i="13"/>
  <c r="PK13" i="13" s="1"/>
  <c r="QK13" i="13"/>
  <c r="QL13" i="13" s="1"/>
  <c r="SI13" i="13"/>
  <c r="SJ13" i="13" s="1"/>
  <c r="TD13" i="13"/>
  <c r="TE13" i="13" s="1"/>
  <c r="TY13" i="13"/>
  <c r="TZ13" i="13" s="1"/>
  <c r="UP13" i="13"/>
  <c r="UQ13" i="13" s="1"/>
  <c r="VN13" i="13"/>
  <c r="VO13" i="13" s="1"/>
  <c r="UG14" i="13"/>
  <c r="VC14" i="13"/>
  <c r="WK14" i="13"/>
  <c r="AH15" i="13"/>
  <c r="AW15" i="13"/>
  <c r="BX15" i="13"/>
  <c r="DN15" i="13"/>
  <c r="EC15" i="13"/>
  <c r="FD15" i="13"/>
  <c r="HB15" i="13"/>
  <c r="ID15" i="13"/>
  <c r="IS15" i="13"/>
  <c r="IT15" i="13" s="1"/>
  <c r="NN15" i="13"/>
  <c r="OP15" i="13"/>
  <c r="PE15" i="13"/>
  <c r="PF15" i="13" s="1"/>
  <c r="T16" i="13"/>
  <c r="U16" i="13" s="1"/>
  <c r="LO16" i="13"/>
  <c r="LP16" i="13" s="1"/>
  <c r="QK16" i="13"/>
  <c r="QL16" i="13" s="1"/>
  <c r="UK16" i="13"/>
  <c r="UL16" i="13" s="1"/>
  <c r="LC17" i="13"/>
  <c r="QS16" i="13"/>
  <c r="QT16" i="13" s="1"/>
  <c r="WO16" i="13"/>
  <c r="WP16" i="13" s="1"/>
  <c r="FK16" i="13"/>
  <c r="FL16" i="13" s="1"/>
  <c r="GG18" i="13"/>
  <c r="TE18" i="13"/>
  <c r="HW19" i="13"/>
  <c r="BW20" i="13"/>
  <c r="BX20" i="13" s="1"/>
  <c r="DU20" i="13"/>
  <c r="DV20" i="13" s="1"/>
  <c r="JD20" i="13"/>
  <c r="JE20" i="13" s="1"/>
  <c r="KG20" i="13"/>
  <c r="KH20" i="13" s="1"/>
  <c r="NE20" i="13"/>
  <c r="NF20" i="13" s="1"/>
  <c r="NZ20" i="13"/>
  <c r="OA20" i="13" s="1"/>
  <c r="PC20" i="13"/>
  <c r="PD20" i="13" s="1"/>
  <c r="QK20" i="13"/>
  <c r="QL20" i="13" s="1"/>
  <c r="SV20" i="13"/>
  <c r="SW20" i="13" s="1"/>
  <c r="DW21" i="13"/>
  <c r="DX21" i="13" s="1"/>
  <c r="JY4" i="15"/>
  <c r="JZ4" i="15" s="1"/>
  <c r="NZ4" i="15"/>
  <c r="OA4" i="15" s="1"/>
  <c r="QS4" i="15"/>
  <c r="QT4" i="15" s="1"/>
  <c r="TL4" i="15"/>
  <c r="TM4" i="15" s="1"/>
  <c r="UO4" i="15"/>
  <c r="UP4" i="15" s="1"/>
  <c r="DN5" i="15"/>
  <c r="AG10" i="15"/>
  <c r="AH10" i="15" s="1"/>
  <c r="BJ10" i="15"/>
  <c r="BK10" i="15" s="1"/>
  <c r="EB10" i="15"/>
  <c r="EC10" i="15" s="1"/>
  <c r="FC10" i="15"/>
  <c r="FD10" i="15" s="1"/>
  <c r="GF10" i="15"/>
  <c r="GG10" i="15" s="1"/>
  <c r="JD10" i="15"/>
  <c r="JE10" i="15" s="1"/>
  <c r="NZ10" i="15"/>
  <c r="OA10" i="15" s="1"/>
  <c r="PC10" i="15"/>
  <c r="PD10" i="15" s="1"/>
  <c r="PX10" i="15"/>
  <c r="PY10" i="15" s="1"/>
  <c r="UC10" i="15"/>
  <c r="UD10" i="15" s="1"/>
  <c r="PQ11" i="15"/>
  <c r="VL11" i="15"/>
  <c r="T13" i="15"/>
  <c r="U13" i="15" s="1"/>
  <c r="FK13" i="15"/>
  <c r="FL13" i="15" s="1"/>
  <c r="UC13" i="15"/>
  <c r="UD13" i="15" s="1"/>
  <c r="VF13" i="15"/>
  <c r="VG13" i="15" s="1"/>
  <c r="LC14" i="15"/>
  <c r="AB15" i="15"/>
  <c r="AG16" i="15"/>
  <c r="AH16" i="15" s="1"/>
  <c r="BJ16" i="15"/>
  <c r="BK16" i="15" s="1"/>
  <c r="CZ16" i="15"/>
  <c r="DA16" i="15" s="1"/>
  <c r="EH16" i="15"/>
  <c r="EI16" i="15" s="1"/>
  <c r="GF16" i="15"/>
  <c r="GG16" i="15" s="1"/>
  <c r="HV16" i="15"/>
  <c r="HW16" i="15" s="1"/>
  <c r="LB16" i="15"/>
  <c r="LC16" i="15" s="1"/>
  <c r="NE16" i="15"/>
  <c r="NF16" i="15" s="1"/>
  <c r="OU16" i="15"/>
  <c r="OV16" i="15" s="1"/>
  <c r="QE16" i="15"/>
  <c r="QF16" i="15" s="1"/>
  <c r="RN16" i="15"/>
  <c r="RO16" i="15" s="1"/>
  <c r="U17" i="15"/>
  <c r="AP17" i="15"/>
  <c r="CF17" i="15"/>
  <c r="DV17" i="15"/>
  <c r="EQ17" i="15"/>
  <c r="FL17" i="15"/>
  <c r="HB17" i="15"/>
  <c r="IR17" i="15"/>
  <c r="KH17" i="15"/>
  <c r="LX17" i="15"/>
  <c r="NN17" i="15"/>
  <c r="PD17" i="15"/>
  <c r="PY17" i="15"/>
  <c r="QT17" i="15"/>
  <c r="SJ17" i="15"/>
  <c r="TA17" i="15"/>
  <c r="TR17" i="15"/>
  <c r="UI17" i="15"/>
  <c r="UZ17" i="15"/>
  <c r="LY19" i="15"/>
  <c r="LZ19" i="15" s="1"/>
  <c r="LJ19" i="15"/>
  <c r="SJ21" i="15"/>
  <c r="SI20" i="15"/>
  <c r="SJ20" i="15" s="1"/>
  <c r="SZ20" i="15"/>
  <c r="TA20" i="15" s="1"/>
  <c r="TA21" i="15"/>
  <c r="BC5" i="17"/>
  <c r="BB4" i="17"/>
  <c r="BC4" i="17" s="1"/>
  <c r="EI5" i="17"/>
  <c r="EH4" i="17"/>
  <c r="EI4" i="17" s="1"/>
  <c r="HO5" i="17"/>
  <c r="HN4" i="17"/>
  <c r="HO4" i="17" s="1"/>
  <c r="KT4" i="17"/>
  <c r="KU4" i="17" s="1"/>
  <c r="KU5" i="17"/>
  <c r="NZ4" i="17"/>
  <c r="OA4" i="17" s="1"/>
  <c r="OA5" i="17"/>
  <c r="RF4" i="17"/>
  <c r="RG4" i="17" s="1"/>
  <c r="RG5" i="17"/>
  <c r="UD5" i="17"/>
  <c r="UC4" i="17"/>
  <c r="UD4" i="17" s="1"/>
  <c r="AO10" i="13"/>
  <c r="AP10" i="13" s="1"/>
  <c r="CR10" i="13"/>
  <c r="CS10" i="13" s="1"/>
  <c r="HA10" i="13"/>
  <c r="HB10" i="13" s="1"/>
  <c r="JD10" i="13"/>
  <c r="JE10" i="13" s="1"/>
  <c r="NM10" i="13"/>
  <c r="NN10" i="13" s="1"/>
  <c r="PP10" i="13"/>
  <c r="PQ10" i="13" s="1"/>
  <c r="TY10" i="13"/>
  <c r="TZ10" i="13" s="1"/>
  <c r="UW10" i="13"/>
  <c r="UX10" i="13" s="1"/>
  <c r="DU13" i="13"/>
  <c r="DV13" i="13" s="1"/>
  <c r="JD13" i="13"/>
  <c r="JE13" i="13" s="1"/>
  <c r="KG13" i="13"/>
  <c r="KH13" i="13" s="1"/>
  <c r="PP13" i="13"/>
  <c r="PQ13" i="13" s="1"/>
  <c r="QS13" i="13"/>
  <c r="QT13" i="13" s="1"/>
  <c r="RN13" i="13"/>
  <c r="RO13" i="13" s="1"/>
  <c r="SP13" i="13"/>
  <c r="SQ13" i="13" s="1"/>
  <c r="WJ13" i="13"/>
  <c r="WK13" i="13" s="1"/>
  <c r="UR14" i="13"/>
  <c r="US14" i="13" s="1"/>
  <c r="VZ14" i="13"/>
  <c r="WA14" i="13" s="1"/>
  <c r="V15" i="13"/>
  <c r="W15" i="13" s="1"/>
  <c r="BL15" i="13"/>
  <c r="BM15" i="13" s="1"/>
  <c r="DB15" i="13"/>
  <c r="DC15" i="13" s="1"/>
  <c r="ER15" i="13"/>
  <c r="ES15" i="13" s="1"/>
  <c r="HC15" i="13"/>
  <c r="HD15" i="13" s="1"/>
  <c r="NO15" i="13"/>
  <c r="NP15" i="13" s="1"/>
  <c r="RP15" i="13"/>
  <c r="RQ15" i="13" s="1"/>
  <c r="TF15" i="13"/>
  <c r="TG15" i="13" s="1"/>
  <c r="UR15" i="13"/>
  <c r="US15" i="13" s="1"/>
  <c r="VZ15" i="13"/>
  <c r="WA15" i="13" s="1"/>
  <c r="JD16" i="13"/>
  <c r="JE16" i="13" s="1"/>
  <c r="KT16" i="13"/>
  <c r="KU16" i="13" s="1"/>
  <c r="PP16" i="13"/>
  <c r="PQ16" i="13" s="1"/>
  <c r="SA16" i="13"/>
  <c r="SB16" i="13" s="1"/>
  <c r="AQ17" i="13"/>
  <c r="AR17" i="13" s="1"/>
  <c r="CG17" i="13"/>
  <c r="CH17" i="13" s="1"/>
  <c r="LY17" i="13"/>
  <c r="LZ17" i="13" s="1"/>
  <c r="PC16" i="13"/>
  <c r="PD16" i="13" s="1"/>
  <c r="SK17" i="13"/>
  <c r="VG16" i="13"/>
  <c r="VH16" i="13" s="1"/>
  <c r="AQ18" i="13"/>
  <c r="AR18" i="13" s="1"/>
  <c r="DU16" i="13"/>
  <c r="DV16" i="13" s="1"/>
  <c r="HC18" i="13"/>
  <c r="HD18" i="13" s="1"/>
  <c r="NO18" i="13"/>
  <c r="NP18" i="13" s="1"/>
  <c r="UA18" i="13"/>
  <c r="UB18" i="13" s="1"/>
  <c r="CG19" i="13"/>
  <c r="CH19" i="13" s="1"/>
  <c r="IS19" i="13"/>
  <c r="IT19" i="13" s="1"/>
  <c r="PE19" i="13"/>
  <c r="PF19" i="13" s="1"/>
  <c r="QU19" i="13"/>
  <c r="QV19" i="13" s="1"/>
  <c r="VI19" i="13"/>
  <c r="VJ19" i="13" s="1"/>
  <c r="WQ19" i="13"/>
  <c r="WR19" i="13" s="1"/>
  <c r="AG20" i="13"/>
  <c r="AH20" i="13" s="1"/>
  <c r="GS20" i="13"/>
  <c r="GT20" i="13" s="1"/>
  <c r="MJ20" i="13"/>
  <c r="MK20" i="13" s="1"/>
  <c r="NM20" i="13"/>
  <c r="NN20" i="13" s="1"/>
  <c r="PP20" i="13"/>
  <c r="PQ20" i="13" s="1"/>
  <c r="BL21" i="13"/>
  <c r="BM21" i="13" s="1"/>
  <c r="HC21" i="13"/>
  <c r="HD21" i="13" s="1"/>
  <c r="MJ4" i="15"/>
  <c r="MK4" i="15" s="1"/>
  <c r="PC4" i="15"/>
  <c r="PD4" i="15" s="1"/>
  <c r="RF4" i="15"/>
  <c r="RG4" i="15" s="1"/>
  <c r="V5" i="15"/>
  <c r="W5" i="15" s="1"/>
  <c r="UJ5" i="15"/>
  <c r="UK5" i="15" s="1"/>
  <c r="VA9" i="15"/>
  <c r="VB9" i="15" s="1"/>
  <c r="AO10" i="15"/>
  <c r="AP10" i="15" s="1"/>
  <c r="FK10" i="15"/>
  <c r="FL10" i="15" s="1"/>
  <c r="HV10" i="15"/>
  <c r="HW10" i="15" s="1"/>
  <c r="MR10" i="15"/>
  <c r="MS10" i="15" s="1"/>
  <c r="QK10" i="15"/>
  <c r="QL10" i="15" s="1"/>
  <c r="SA13" i="15"/>
  <c r="SB13" i="15" s="1"/>
  <c r="TL13" i="15"/>
  <c r="TM13" i="15" s="1"/>
  <c r="BW16" i="15"/>
  <c r="BX16" i="15" s="1"/>
  <c r="GS16" i="15"/>
  <c r="GT16" i="15" s="1"/>
  <c r="II16" i="15"/>
  <c r="IJ16" i="15" s="1"/>
  <c r="JY16" i="15"/>
  <c r="JZ16" i="15" s="1"/>
  <c r="RN20" i="15"/>
  <c r="RO20" i="15" s="1"/>
  <c r="RO21" i="15"/>
  <c r="AG4" i="17"/>
  <c r="AH4" i="17" s="1"/>
  <c r="AH5" i="17"/>
  <c r="DM4" i="17"/>
  <c r="DN4" i="17" s="1"/>
  <c r="DN5" i="17"/>
  <c r="GS4" i="17"/>
  <c r="GT4" i="17" s="1"/>
  <c r="GT5" i="17"/>
  <c r="JY4" i="17"/>
  <c r="JZ4" i="17" s="1"/>
  <c r="JZ5" i="17"/>
  <c r="NE4" i="17"/>
  <c r="NF4" i="17" s="1"/>
  <c r="NF5" i="17"/>
  <c r="TL4" i="17"/>
  <c r="TM4" i="17" s="1"/>
  <c r="TM5" i="17"/>
  <c r="LY5" i="13"/>
  <c r="LZ5" i="13" s="1"/>
  <c r="SK5" i="13"/>
  <c r="SL5" i="13" s="1"/>
  <c r="AQ6" i="13"/>
  <c r="AR6" i="13" s="1"/>
  <c r="HC6" i="13"/>
  <c r="HD6" i="13" s="1"/>
  <c r="VI7" i="13"/>
  <c r="VJ7" i="13" s="1"/>
  <c r="DW8" i="13"/>
  <c r="DX8" i="13" s="1"/>
  <c r="KI8" i="13"/>
  <c r="KJ8" i="13" s="1"/>
  <c r="BB10" i="13"/>
  <c r="BC10" i="13" s="1"/>
  <c r="FK10" i="13"/>
  <c r="FL10" i="13" s="1"/>
  <c r="HN10" i="13"/>
  <c r="HO10" i="13" s="1"/>
  <c r="LW10" i="13"/>
  <c r="LX10" i="13" s="1"/>
  <c r="NZ10" i="13"/>
  <c r="OA10" i="13" s="1"/>
  <c r="SI10" i="13"/>
  <c r="SJ10" i="13" s="1"/>
  <c r="VG10" i="13"/>
  <c r="VH10" i="13" s="1"/>
  <c r="WE10" i="13"/>
  <c r="WF10" i="13" s="1"/>
  <c r="BW13" i="13"/>
  <c r="BX13" i="13" s="1"/>
  <c r="FC13" i="13"/>
  <c r="FD13" i="13" s="1"/>
  <c r="II13" i="13"/>
  <c r="IJ13" i="13" s="1"/>
  <c r="LO13" i="13"/>
  <c r="LP13" i="13" s="1"/>
  <c r="OU13" i="13"/>
  <c r="OV13" i="13" s="1"/>
  <c r="VB13" i="13"/>
  <c r="VC13" i="13" s="1"/>
  <c r="UL14" i="13"/>
  <c r="LY15" i="13"/>
  <c r="LZ15" i="13" s="1"/>
  <c r="MJ16" i="13"/>
  <c r="MK16" i="13" s="1"/>
  <c r="RF16" i="13"/>
  <c r="RG16" i="13" s="1"/>
  <c r="VS16" i="13"/>
  <c r="VT16" i="13" s="1"/>
  <c r="DW17" i="13"/>
  <c r="DX17" i="13" s="1"/>
  <c r="IX16" i="13"/>
  <c r="IY16" i="13" s="1"/>
  <c r="KI17" i="13"/>
  <c r="KJ17" i="13" s="1"/>
  <c r="NM16" i="13"/>
  <c r="NN16" i="13" s="1"/>
  <c r="QU17" i="13"/>
  <c r="QV17" i="13" s="1"/>
  <c r="TY16" i="13"/>
  <c r="TZ16" i="13" s="1"/>
  <c r="WQ17" i="13"/>
  <c r="WR17" i="13" s="1"/>
  <c r="CE16" i="13"/>
  <c r="CF16" i="13" s="1"/>
  <c r="FM18" i="13"/>
  <c r="FN18" i="13" s="1"/>
  <c r="LY18" i="13"/>
  <c r="LZ18" i="13" s="1"/>
  <c r="SK18" i="13"/>
  <c r="SL18" i="13" s="1"/>
  <c r="AQ19" i="13"/>
  <c r="AR19" i="13" s="1"/>
  <c r="HC19" i="13"/>
  <c r="HD19" i="13" s="1"/>
  <c r="NO19" i="13"/>
  <c r="NP19" i="13" s="1"/>
  <c r="RP19" i="13"/>
  <c r="RQ19" i="13" s="1"/>
  <c r="SK19" i="13"/>
  <c r="SL19" i="13" s="1"/>
  <c r="L20" i="13"/>
  <c r="M20" i="13" s="1"/>
  <c r="HA20" i="13"/>
  <c r="HB20" i="13" s="1"/>
  <c r="UW20" i="13"/>
  <c r="UX20" i="13" s="1"/>
  <c r="FX4" i="15"/>
  <c r="FY4" i="15" s="1"/>
  <c r="KT4" i="15"/>
  <c r="KU4" i="15" s="1"/>
  <c r="ER5" i="15"/>
  <c r="ES5" i="15" s="1"/>
  <c r="DM10" i="15"/>
  <c r="DN10" i="15" s="1"/>
  <c r="LW10" i="15"/>
  <c r="LX10" i="15" s="1"/>
  <c r="WB10" i="15"/>
  <c r="WC10" i="15" s="1"/>
  <c r="CE13" i="15"/>
  <c r="CF13" i="15" s="1"/>
  <c r="CZ13" i="15"/>
  <c r="DA13" i="15" s="1"/>
  <c r="DU13" i="15"/>
  <c r="DV13" i="15" s="1"/>
  <c r="FD17" i="15"/>
  <c r="FC16" i="15"/>
  <c r="FD16" i="15" s="1"/>
  <c r="HO17" i="15"/>
  <c r="HN16" i="15"/>
  <c r="HO16" i="15" s="1"/>
  <c r="LP17" i="15"/>
  <c r="LO16" i="15"/>
  <c r="LP16" i="15" s="1"/>
  <c r="OA17" i="15"/>
  <c r="NZ16" i="15"/>
  <c r="OA16" i="15" s="1"/>
  <c r="WI18" i="15"/>
  <c r="WJ18" i="15" s="1"/>
  <c r="VW16" i="15"/>
  <c r="VX16" i="15" s="1"/>
  <c r="RG19" i="15"/>
  <c r="RF16" i="15"/>
  <c r="RG16" i="15" s="1"/>
  <c r="SB19" i="15"/>
  <c r="SK19" i="15"/>
  <c r="SL19" i="15" s="1"/>
  <c r="QT21" i="15"/>
  <c r="QS20" i="15"/>
  <c r="TM21" i="15"/>
  <c r="TL20" i="15"/>
  <c r="TM20" i="15" s="1"/>
  <c r="UK21" i="15"/>
  <c r="L4" i="17"/>
  <c r="M4" i="17" s="1"/>
  <c r="M5" i="17"/>
  <c r="CR4" i="17"/>
  <c r="CS4" i="17" s="1"/>
  <c r="CS5" i="17"/>
  <c r="FX4" i="17"/>
  <c r="FY4" i="17" s="1"/>
  <c r="FY5" i="17"/>
  <c r="PQ5" i="17"/>
  <c r="PP4" i="17"/>
  <c r="PQ4" i="17" s="1"/>
  <c r="SU4" i="17"/>
  <c r="SV4" i="17" s="1"/>
  <c r="SV5" i="17"/>
  <c r="PZ8" i="17"/>
  <c r="QA8" i="17" s="1"/>
  <c r="RP8" i="17"/>
  <c r="RQ8" i="17" s="1"/>
  <c r="TB8" i="17"/>
  <c r="TC8" i="17" s="1"/>
  <c r="UJ8" i="17"/>
  <c r="UK8" i="17" s="1"/>
  <c r="VR8" i="17"/>
  <c r="VS8" i="17" s="1"/>
  <c r="AG10" i="17"/>
  <c r="AH10" i="17" s="1"/>
  <c r="DU10" i="17"/>
  <c r="DV10" i="17" s="1"/>
  <c r="GS10" i="17"/>
  <c r="GT10" i="17" s="1"/>
  <c r="MR10" i="17"/>
  <c r="MS10" i="17" s="1"/>
  <c r="SZ10" i="17"/>
  <c r="TA10" i="17" s="1"/>
  <c r="DN11" i="17"/>
  <c r="LD11" i="17"/>
  <c r="LE11" i="17" s="1"/>
  <c r="TB11" i="17"/>
  <c r="TC11" i="17" s="1"/>
  <c r="GM13" i="17"/>
  <c r="GN13" i="17" s="1"/>
  <c r="JL13" i="17"/>
  <c r="JM13" i="17" s="1"/>
  <c r="RN13" i="17"/>
  <c r="RO13" i="17" s="1"/>
  <c r="TL13" i="17"/>
  <c r="TM13" i="17" s="1"/>
  <c r="UH13" i="17"/>
  <c r="UI13" i="17" s="1"/>
  <c r="BX14" i="17"/>
  <c r="LD14" i="17"/>
  <c r="LE14" i="17" s="1"/>
  <c r="MT14" i="17"/>
  <c r="MU14" i="17" s="1"/>
  <c r="OJ14" i="17"/>
  <c r="OK14" i="17" s="1"/>
  <c r="FL17" i="17"/>
  <c r="FK16" i="17"/>
  <c r="FL16" i="17" s="1"/>
  <c r="JM17" i="17"/>
  <c r="JL16" i="17"/>
  <c r="JM16" i="17" s="1"/>
  <c r="QK16" i="15"/>
  <c r="QL16" i="15" s="1"/>
  <c r="LI16" i="15"/>
  <c r="LJ16" i="15" s="1"/>
  <c r="MD16" i="15"/>
  <c r="ME16" i="15" s="1"/>
  <c r="OO16" i="15"/>
  <c r="OP16" i="15" s="1"/>
  <c r="PJ16" i="15"/>
  <c r="PK16" i="15" s="1"/>
  <c r="V18" i="15"/>
  <c r="W18" i="15" s="1"/>
  <c r="BL18" i="15"/>
  <c r="BM18" i="15" s="1"/>
  <c r="DB18" i="15"/>
  <c r="DC18" i="15" s="1"/>
  <c r="ER18" i="15"/>
  <c r="ES18" i="15" s="1"/>
  <c r="GH18" i="15"/>
  <c r="GI18" i="15" s="1"/>
  <c r="HX18" i="15"/>
  <c r="HY18" i="15" s="1"/>
  <c r="KI19" i="15"/>
  <c r="KJ19" i="15" s="1"/>
  <c r="LD19" i="15"/>
  <c r="LE19" i="15" s="1"/>
  <c r="WI19" i="15"/>
  <c r="WJ19" i="15" s="1"/>
  <c r="L20" i="15"/>
  <c r="M20" i="15" s="1"/>
  <c r="VP20" i="15"/>
  <c r="VQ20" i="15" s="1"/>
  <c r="V21" i="15"/>
  <c r="W21" i="15" s="1"/>
  <c r="T4" i="17"/>
  <c r="U4" i="17" s="1"/>
  <c r="CZ4" i="17"/>
  <c r="DA4" i="17" s="1"/>
  <c r="GF4" i="17"/>
  <c r="GG4" i="17" s="1"/>
  <c r="KG4" i="17"/>
  <c r="KH4" i="17" s="1"/>
  <c r="NM4" i="17"/>
  <c r="NN4" i="17" s="1"/>
  <c r="RN4" i="17"/>
  <c r="RO4" i="17" s="1"/>
  <c r="SP4" i="17"/>
  <c r="SQ4" i="17" s="1"/>
  <c r="TG4" i="17"/>
  <c r="TH4" i="17" s="1"/>
  <c r="RP9" i="17"/>
  <c r="RQ9" i="17" s="1"/>
  <c r="TB9" i="17"/>
  <c r="TC9" i="17" s="1"/>
  <c r="UJ9" i="17"/>
  <c r="UK9" i="17" s="1"/>
  <c r="VR9" i="17"/>
  <c r="VS9" i="17" s="1"/>
  <c r="CZ10" i="17"/>
  <c r="DA10" i="17" s="1"/>
  <c r="EH10" i="17"/>
  <c r="EI10" i="17" s="1"/>
  <c r="KG10" i="17"/>
  <c r="KH10" i="17" s="1"/>
  <c r="RF10" i="17"/>
  <c r="RG10" i="17" s="1"/>
  <c r="T13" i="17"/>
  <c r="U13" i="17" s="1"/>
  <c r="CR13" i="17"/>
  <c r="CS13" i="17" s="1"/>
  <c r="EP13" i="17"/>
  <c r="EQ13" i="17" s="1"/>
  <c r="FK13" i="17"/>
  <c r="FL13" i="17" s="1"/>
  <c r="KN13" i="17"/>
  <c r="KO13" i="17" s="1"/>
  <c r="LO13" i="17"/>
  <c r="LP13" i="17" s="1"/>
  <c r="MR13" i="17"/>
  <c r="MS13" i="17" s="1"/>
  <c r="OU13" i="17"/>
  <c r="OV13" i="17" s="1"/>
  <c r="VF13" i="17"/>
  <c r="VG13" i="17" s="1"/>
  <c r="WB13" i="17"/>
  <c r="WC13" i="17" s="1"/>
  <c r="CR16" i="17"/>
  <c r="CS16" i="17" s="1"/>
  <c r="EH16" i="17"/>
  <c r="EI16" i="17" s="1"/>
  <c r="IS19" i="15"/>
  <c r="IT19" i="15" s="1"/>
  <c r="MT19" i="15"/>
  <c r="MU19" i="15" s="1"/>
  <c r="VA19" i="15"/>
  <c r="VB19" i="15" s="1"/>
  <c r="T20" i="15"/>
  <c r="U20" i="15" s="1"/>
  <c r="RF20" i="15"/>
  <c r="PZ21" i="15"/>
  <c r="QA21" i="15" s="1"/>
  <c r="RP21" i="15"/>
  <c r="RQ21" i="15" s="1"/>
  <c r="DB9" i="17"/>
  <c r="DC9" i="17" s="1"/>
  <c r="OJ9" i="17"/>
  <c r="OK9" i="17" s="1"/>
  <c r="AO10" i="17"/>
  <c r="AP10" i="17" s="1"/>
  <c r="HA10" i="17"/>
  <c r="HB10" i="17" s="1"/>
  <c r="UH10" i="17"/>
  <c r="UI10" i="17" s="1"/>
  <c r="UY10" i="17"/>
  <c r="UZ10" i="17" s="1"/>
  <c r="VW10" i="17"/>
  <c r="VX10" i="17" s="1"/>
  <c r="AA13" i="17"/>
  <c r="AB13" i="17" s="1"/>
  <c r="CZ13" i="17"/>
  <c r="DA13" i="17" s="1"/>
  <c r="PX13" i="17"/>
  <c r="PY13" i="17" s="1"/>
  <c r="SA13" i="17"/>
  <c r="SB13" i="17" s="1"/>
  <c r="SZ13" i="17"/>
  <c r="TA13" i="17" s="1"/>
  <c r="UT13" i="17"/>
  <c r="UU13" i="17" s="1"/>
  <c r="EW16" i="17"/>
  <c r="EX16" i="17" s="1"/>
  <c r="HN16" i="17"/>
  <c r="HO16" i="17" s="1"/>
  <c r="MJ16" i="17"/>
  <c r="MK16" i="17" s="1"/>
  <c r="RF16" i="17"/>
  <c r="RG16" i="17" s="1"/>
  <c r="SU16" i="17"/>
  <c r="SV16" i="17" s="1"/>
  <c r="AB17" i="17"/>
  <c r="AA16" i="17"/>
  <c r="AB16" i="17" s="1"/>
  <c r="AW17" i="17"/>
  <c r="BL17" i="17"/>
  <c r="BM17" i="17" s="1"/>
  <c r="QU19" i="15"/>
  <c r="QV19" i="15" s="1"/>
  <c r="RP19" i="15"/>
  <c r="RQ19" i="15" s="1"/>
  <c r="GH21" i="15"/>
  <c r="GH20" i="15" s="1"/>
  <c r="GI20" i="15" s="1"/>
  <c r="MT21" i="15"/>
  <c r="MT20" i="15" s="1"/>
  <c r="MU20" i="15" s="1"/>
  <c r="CF17" i="17"/>
  <c r="CE16" i="17"/>
  <c r="CF16" i="17" s="1"/>
  <c r="EC17" i="17"/>
  <c r="EB16" i="17"/>
  <c r="EC16" i="17" s="1"/>
  <c r="FC16" i="17"/>
  <c r="FD16" i="17" s="1"/>
  <c r="FD17" i="17"/>
  <c r="OP17" i="17"/>
  <c r="OO16" i="17"/>
  <c r="OP16" i="17" s="1"/>
  <c r="PQ17" i="17"/>
  <c r="PP16" i="17"/>
  <c r="PQ16" i="17" s="1"/>
  <c r="UP17" i="17"/>
  <c r="UO16" i="17"/>
  <c r="UP16" i="17" s="1"/>
  <c r="IR18" i="17"/>
  <c r="IQ16" i="17"/>
  <c r="IR16" i="17" s="1"/>
  <c r="KU18" i="17"/>
  <c r="KT16" i="17"/>
  <c r="KU16" i="17" s="1"/>
  <c r="OA18" i="17"/>
  <c r="NZ16" i="17"/>
  <c r="OA16" i="17" s="1"/>
  <c r="VX18" i="17"/>
  <c r="VW16" i="17"/>
  <c r="VX16" i="17" s="1"/>
  <c r="GT19" i="17"/>
  <c r="GS16" i="17"/>
  <c r="GT16" i="17" s="1"/>
  <c r="TL16" i="17"/>
  <c r="TM16" i="17" s="1"/>
  <c r="TM19" i="17"/>
  <c r="DN5" i="19"/>
  <c r="DM4" i="19"/>
  <c r="DN4" i="19" s="1"/>
  <c r="WN5" i="19"/>
  <c r="WM4" i="19"/>
  <c r="WN4" i="19" s="1"/>
  <c r="M6" i="19"/>
  <c r="L4" i="19"/>
  <c r="M4" i="19" s="1"/>
  <c r="FY6" i="19"/>
  <c r="FX4" i="19"/>
  <c r="FY4" i="19" s="1"/>
  <c r="AO20" i="17"/>
  <c r="AP20" i="17" s="1"/>
  <c r="CR20" i="17"/>
  <c r="CS20" i="17" s="1"/>
  <c r="NE20" i="17"/>
  <c r="NF20" i="17" s="1"/>
  <c r="QZ20" i="17"/>
  <c r="RA20" i="17" s="1"/>
  <c r="DV21" i="17"/>
  <c r="OI21" i="17"/>
  <c r="PZ21" i="17"/>
  <c r="PZ20" i="17" s="1"/>
  <c r="QA20" i="17" s="1"/>
  <c r="SQ21" i="17"/>
  <c r="TB21" i="17"/>
  <c r="TC21" i="17" s="1"/>
  <c r="UI21" i="17"/>
  <c r="VQ21" i="17"/>
  <c r="BB4" i="19"/>
  <c r="BC4" i="19" s="1"/>
  <c r="FC4" i="19"/>
  <c r="FD4" i="19" s="1"/>
  <c r="MK5" i="19"/>
  <c r="MJ4" i="19"/>
  <c r="MK4" i="19" s="1"/>
  <c r="OI5" i="19"/>
  <c r="OH4" i="19"/>
  <c r="OI4" i="19" s="1"/>
  <c r="SB5" i="19"/>
  <c r="BL6" i="19"/>
  <c r="BM6" i="19" s="1"/>
  <c r="EP20" i="17"/>
  <c r="EQ20" i="17" s="1"/>
  <c r="JD20" i="17"/>
  <c r="JE20" i="17" s="1"/>
  <c r="MJ20" i="17"/>
  <c r="MK20" i="17" s="1"/>
  <c r="PC20" i="17"/>
  <c r="PD20" i="17" s="1"/>
  <c r="VR21" i="17"/>
  <c r="VS21" i="17" s="1"/>
  <c r="SV4" i="19"/>
  <c r="SW4" i="19" s="1"/>
  <c r="UT4" i="19"/>
  <c r="UU4" i="19" s="1"/>
  <c r="KU5" i="19"/>
  <c r="KT4" i="19"/>
  <c r="KU4" i="19" s="1"/>
  <c r="VH5" i="19"/>
  <c r="VG4" i="19"/>
  <c r="VH4" i="19" s="1"/>
  <c r="V6" i="19"/>
  <c r="W6" i="19" s="1"/>
  <c r="GH6" i="19"/>
  <c r="GI6" i="19" s="1"/>
  <c r="L20" i="17"/>
  <c r="M20" i="17" s="1"/>
  <c r="FC20" i="17"/>
  <c r="FD20" i="17" s="1"/>
  <c r="KG20" i="17"/>
  <c r="KH20" i="17" s="1"/>
  <c r="UY20" i="17"/>
  <c r="UZ20" i="17" s="1"/>
  <c r="WB20" i="17"/>
  <c r="JN21" i="17"/>
  <c r="JO21" i="17" s="1"/>
  <c r="II4" i="19"/>
  <c r="IJ4" i="19" s="1"/>
  <c r="PC4" i="19"/>
  <c r="PD4" i="19" s="1"/>
  <c r="VO4" i="19"/>
  <c r="VP4" i="19" s="1"/>
  <c r="JE5" i="19"/>
  <c r="JD4" i="19"/>
  <c r="JE4" i="19" s="1"/>
  <c r="WH5" i="19"/>
  <c r="WI5" i="19" s="1"/>
  <c r="ER6" i="19"/>
  <c r="ES6" i="19" s="1"/>
  <c r="V9" i="19"/>
  <c r="W9" i="19" s="1"/>
  <c r="T10" i="19"/>
  <c r="U10" i="19" s="1"/>
  <c r="EP10" i="19"/>
  <c r="EQ10" i="19" s="1"/>
  <c r="HN10" i="19"/>
  <c r="HO10" i="19" s="1"/>
  <c r="MY10" i="19"/>
  <c r="MZ10" i="19" s="1"/>
  <c r="UT10" i="19"/>
  <c r="UU10" i="19" s="1"/>
  <c r="BW13" i="19"/>
  <c r="BX13" i="19" s="1"/>
  <c r="OU13" i="19"/>
  <c r="OV13" i="19" s="1"/>
  <c r="SA13" i="19"/>
  <c r="SB13" i="19" s="1"/>
  <c r="VG13" i="19"/>
  <c r="VH13" i="19" s="1"/>
  <c r="BJ16" i="19"/>
  <c r="BK16" i="19" s="1"/>
  <c r="BK17" i="19"/>
  <c r="EP16" i="19"/>
  <c r="EQ16" i="19" s="1"/>
  <c r="EQ17" i="19"/>
  <c r="HV16" i="19"/>
  <c r="HW16" i="19" s="1"/>
  <c r="HW17" i="19"/>
  <c r="OI17" i="19"/>
  <c r="OH16" i="19"/>
  <c r="OI16" i="19" s="1"/>
  <c r="RO17" i="19"/>
  <c r="RN16" i="19"/>
  <c r="RO16" i="19" s="1"/>
  <c r="EI18" i="19"/>
  <c r="EH16" i="19"/>
  <c r="EI16" i="19" s="1"/>
  <c r="TF18" i="19"/>
  <c r="TG18" i="19" s="1"/>
  <c r="SQ18" i="19"/>
  <c r="BL19" i="19"/>
  <c r="BM19" i="19" s="1"/>
  <c r="AW19" i="19"/>
  <c r="HX19" i="19"/>
  <c r="HY19" i="19" s="1"/>
  <c r="HI19" i="19"/>
  <c r="NT16" i="19"/>
  <c r="NU16" i="19" s="1"/>
  <c r="OJ19" i="19"/>
  <c r="OK19" i="19" s="1"/>
  <c r="NU19" i="19"/>
  <c r="HN4" i="19"/>
  <c r="HO4" i="19" s="1"/>
  <c r="TQ4" i="19"/>
  <c r="TR4" i="19" s="1"/>
  <c r="EW4" i="19"/>
  <c r="EX4" i="19" s="1"/>
  <c r="AG10" i="19"/>
  <c r="AH10" i="19" s="1"/>
  <c r="CR10" i="19"/>
  <c r="CS10" i="19" s="1"/>
  <c r="JL10" i="19"/>
  <c r="JM10" i="19" s="1"/>
  <c r="NE10" i="19"/>
  <c r="NF10" i="19" s="1"/>
  <c r="WN11" i="19"/>
  <c r="WM10" i="19"/>
  <c r="WN10" i="19" s="1"/>
  <c r="FX13" i="19"/>
  <c r="FY13" i="19" s="1"/>
  <c r="RF13" i="19"/>
  <c r="RG13" i="19" s="1"/>
  <c r="UL13" i="19"/>
  <c r="UM13" i="19" s="1"/>
  <c r="M14" i="19"/>
  <c r="L13" i="19"/>
  <c r="M13" i="19" s="1"/>
  <c r="JE14" i="19"/>
  <c r="JD13" i="19"/>
  <c r="JE13" i="19" s="1"/>
  <c r="MK14" i="19"/>
  <c r="MJ13" i="19"/>
  <c r="MK13" i="19" s="1"/>
  <c r="JL16" i="19"/>
  <c r="JM16" i="19" s="1"/>
  <c r="AO16" i="19"/>
  <c r="AP16" i="19" s="1"/>
  <c r="AP17" i="19"/>
  <c r="QZ16" i="19"/>
  <c r="RA16" i="19" s="1"/>
  <c r="RA18" i="19"/>
  <c r="WG19" i="19"/>
  <c r="WF16" i="19"/>
  <c r="WG16" i="19" s="1"/>
  <c r="LB20" i="19"/>
  <c r="LC20" i="19" s="1"/>
  <c r="VW11" i="19"/>
  <c r="WH11" i="19"/>
  <c r="WI11" i="19" s="1"/>
  <c r="IJ14" i="19"/>
  <c r="II13" i="19"/>
  <c r="IJ13" i="19" s="1"/>
  <c r="DA17" i="19"/>
  <c r="CZ16" i="19"/>
  <c r="DA16" i="19" s="1"/>
  <c r="GG17" i="19"/>
  <c r="GF16" i="19"/>
  <c r="GG16" i="19" s="1"/>
  <c r="MS17" i="19"/>
  <c r="MR16" i="19"/>
  <c r="MS16" i="19" s="1"/>
  <c r="PX16" i="19"/>
  <c r="PY16" i="19" s="1"/>
  <c r="PY17" i="19"/>
  <c r="WH18" i="19"/>
  <c r="WI18" i="19" s="1"/>
  <c r="VV16" i="19"/>
  <c r="VW16" i="19" s="1"/>
  <c r="LD19" i="19"/>
  <c r="LE19" i="19" s="1"/>
  <c r="KN16" i="19"/>
  <c r="KO16" i="19" s="1"/>
  <c r="EI21" i="19"/>
  <c r="EH20" i="19"/>
  <c r="EI20" i="19" s="1"/>
  <c r="JZ21" i="19"/>
  <c r="JY20" i="19"/>
  <c r="JZ20" i="19" s="1"/>
  <c r="NF21" i="19"/>
  <c r="NE20" i="19"/>
  <c r="NF20" i="19" s="1"/>
  <c r="QL21" i="19"/>
  <c r="QK20" i="19"/>
  <c r="QL20" i="19" s="1"/>
  <c r="TR21" i="19"/>
  <c r="TQ20" i="19"/>
  <c r="TR20" i="19" s="1"/>
  <c r="VW21" i="19"/>
  <c r="WH21" i="19"/>
  <c r="VV20" i="19"/>
  <c r="VW20" i="19" s="1"/>
  <c r="BW10" i="19"/>
  <c r="BX10" i="19" s="1"/>
  <c r="FK10" i="19"/>
  <c r="FL10" i="19" s="1"/>
  <c r="KG10" i="19"/>
  <c r="KH10" i="19" s="1"/>
  <c r="VV10" i="19"/>
  <c r="VW10" i="19" s="1"/>
  <c r="CR13" i="19"/>
  <c r="CS13" i="19" s="1"/>
  <c r="FC13" i="19"/>
  <c r="FD13" i="19" s="1"/>
  <c r="PP13" i="19"/>
  <c r="PQ13" i="19" s="1"/>
  <c r="SV13" i="19"/>
  <c r="SW13" i="19" s="1"/>
  <c r="WA13" i="19"/>
  <c r="WB13" i="19" s="1"/>
  <c r="LB16" i="19"/>
  <c r="LC16" i="19" s="1"/>
  <c r="PC16" i="19"/>
  <c r="PD16" i="19" s="1"/>
  <c r="CE16" i="19"/>
  <c r="CF16" i="19" s="1"/>
  <c r="CF17" i="19"/>
  <c r="FK16" i="19"/>
  <c r="FL16" i="19" s="1"/>
  <c r="FL17" i="19"/>
  <c r="IR17" i="19"/>
  <c r="IQ16" i="19"/>
  <c r="IR16" i="19" s="1"/>
  <c r="LW16" i="19"/>
  <c r="LX16" i="19" s="1"/>
  <c r="LX17" i="19"/>
  <c r="RN20" i="19"/>
  <c r="RO20" i="19" s="1"/>
  <c r="BW16" i="19"/>
  <c r="BX16" i="19" s="1"/>
  <c r="HN16" i="19"/>
  <c r="HO16" i="19" s="1"/>
  <c r="BL18" i="19"/>
  <c r="BM18" i="19" s="1"/>
  <c r="HX18" i="19"/>
  <c r="HY18" i="19" s="1"/>
  <c r="OJ18" i="19"/>
  <c r="OK18" i="19" s="1"/>
  <c r="SK18" i="19"/>
  <c r="SL18" i="19" s="1"/>
  <c r="AQ19" i="19"/>
  <c r="AR19" i="19" s="1"/>
  <c r="HC19" i="19"/>
  <c r="HD19" i="19" s="1"/>
  <c r="WH19" i="19"/>
  <c r="WI19" i="19" s="1"/>
  <c r="EP13" i="19"/>
  <c r="EQ13" i="19" s="1"/>
  <c r="JL13" i="19"/>
  <c r="JM13" i="19" s="1"/>
  <c r="LB13" i="19"/>
  <c r="LC13" i="19" s="1"/>
  <c r="DG16" i="19"/>
  <c r="DH16" i="19" s="1"/>
  <c r="LI16" i="19"/>
  <c r="LJ16" i="19" s="1"/>
  <c r="UA18" i="19"/>
  <c r="UB18" i="19" s="1"/>
  <c r="CG19" i="19"/>
  <c r="CH19" i="19" s="1"/>
  <c r="IS19" i="19"/>
  <c r="IT19" i="19" s="1"/>
  <c r="PE19" i="19"/>
  <c r="PF19" i="19" s="1"/>
  <c r="WN19" i="19"/>
  <c r="V15" i="19"/>
  <c r="W15" i="19" s="1"/>
  <c r="BL15" i="19"/>
  <c r="BM15" i="19" s="1"/>
  <c r="DB15" i="19"/>
  <c r="DC15" i="19" s="1"/>
  <c r="ER15" i="19"/>
  <c r="ES15" i="19" s="1"/>
  <c r="GH15" i="19"/>
  <c r="GI15" i="19" s="1"/>
  <c r="HX15" i="19"/>
  <c r="HY15" i="19" s="1"/>
  <c r="JN15" i="19"/>
  <c r="JO15" i="19" s="1"/>
  <c r="LD15" i="19"/>
  <c r="LE15" i="19" s="1"/>
  <c r="MT15" i="19"/>
  <c r="MU15" i="19" s="1"/>
  <c r="OJ15" i="19"/>
  <c r="OK15" i="19" s="1"/>
  <c r="PZ15" i="19"/>
  <c r="QA15" i="19" s="1"/>
  <c r="RP15" i="19"/>
  <c r="RQ15" i="19" s="1"/>
  <c r="TF15" i="19"/>
  <c r="TG15" i="19" s="1"/>
  <c r="UV15" i="19"/>
  <c r="UW15" i="19" s="1"/>
  <c r="WH15" i="19"/>
  <c r="WI15" i="19" s="1"/>
  <c r="ER18" i="19"/>
  <c r="ES18" i="19" s="1"/>
  <c r="LD18" i="19"/>
  <c r="LE18" i="19" s="1"/>
  <c r="TF19" i="19"/>
  <c r="TG19" i="19" s="1"/>
  <c r="UV19" i="19"/>
  <c r="UW19" i="19" s="1"/>
  <c r="VQ19" i="19"/>
  <c r="VR19" i="19" s="1"/>
  <c r="WY21" i="19"/>
  <c r="MY16" i="17"/>
  <c r="MZ16" i="17" s="1"/>
  <c r="QZ16" i="17"/>
  <c r="RA16" i="17" s="1"/>
  <c r="RP11" i="17"/>
  <c r="RQ11" i="17" s="1"/>
  <c r="QE4" i="17"/>
  <c r="QF4" i="17" s="1"/>
  <c r="PZ9" i="17"/>
  <c r="QA9" i="17" s="1"/>
  <c r="NT20" i="17"/>
  <c r="NU20" i="17" s="1"/>
  <c r="MT9" i="17"/>
  <c r="MU9" i="17" s="1"/>
  <c r="LI16" i="17"/>
  <c r="LJ16" i="17" s="1"/>
  <c r="LI10" i="17"/>
  <c r="LJ10" i="17" s="1"/>
  <c r="JS16" i="17"/>
  <c r="JT16" i="17" s="1"/>
  <c r="JS10" i="17"/>
  <c r="JT10" i="17" s="1"/>
  <c r="IX10" i="17"/>
  <c r="IY10" i="17" s="1"/>
  <c r="IC16" i="17"/>
  <c r="ID16" i="17" s="1"/>
  <c r="HH16" i="17"/>
  <c r="HI16" i="17" s="1"/>
  <c r="HX17" i="17"/>
  <c r="HY17" i="17" s="1"/>
  <c r="HX9" i="17"/>
  <c r="HY9" i="17" s="1"/>
  <c r="GM16" i="17"/>
  <c r="GN16" i="17" s="1"/>
  <c r="FR16" i="17"/>
  <c r="FS16" i="17" s="1"/>
  <c r="GH17" i="17"/>
  <c r="GI17" i="17" s="1"/>
  <c r="GH9" i="17"/>
  <c r="GI9" i="17" s="1"/>
  <c r="ER9" i="17"/>
  <c r="ES9" i="17" s="1"/>
  <c r="DG16" i="17"/>
  <c r="DH16" i="17" s="1"/>
  <c r="CL16" i="17"/>
  <c r="CM16" i="17" s="1"/>
  <c r="BQ16" i="17"/>
  <c r="BR16" i="17" s="1"/>
  <c r="AV16" i="17"/>
  <c r="AW16" i="17" s="1"/>
  <c r="BL9" i="17"/>
  <c r="BM9" i="17" s="1"/>
  <c r="AA10" i="17"/>
  <c r="AB10" i="17" s="1"/>
  <c r="F16" i="17"/>
  <c r="G16" i="17" s="1"/>
  <c r="V9" i="17"/>
  <c r="W9" i="17" s="1"/>
  <c r="F4" i="17"/>
  <c r="G4" i="17" s="1"/>
  <c r="TK4" i="13"/>
  <c r="TL4" i="13" s="1"/>
  <c r="SP20" i="13"/>
  <c r="SQ20" i="13" s="1"/>
  <c r="QZ20" i="13"/>
  <c r="RP9" i="13"/>
  <c r="RQ9" i="13" s="1"/>
  <c r="QE10" i="13"/>
  <c r="QF10" i="13" s="1"/>
  <c r="QU9" i="13"/>
  <c r="QV9" i="13" s="1"/>
  <c r="PJ20" i="13"/>
  <c r="PK20" i="13" s="1"/>
  <c r="PJ10" i="13"/>
  <c r="PK10" i="13" s="1"/>
  <c r="OJ9" i="13"/>
  <c r="OK9" i="13" s="1"/>
  <c r="NO9" i="13"/>
  <c r="NP9" i="13" s="1"/>
  <c r="MT9" i="13"/>
  <c r="MU9" i="13" s="1"/>
  <c r="LD9" i="13"/>
  <c r="LE9" i="13" s="1"/>
  <c r="IY17" i="13"/>
  <c r="JN17" i="13"/>
  <c r="JO17" i="13" s="1"/>
  <c r="IX10" i="13"/>
  <c r="IY10" i="13" s="1"/>
  <c r="GN17" i="13"/>
  <c r="FR20" i="13"/>
  <c r="FS20" i="13" s="1"/>
  <c r="GH9" i="13"/>
  <c r="GI9" i="13" s="1"/>
  <c r="EW20" i="13"/>
  <c r="EX17" i="13"/>
  <c r="EW10" i="13"/>
  <c r="EX10" i="13" s="1"/>
  <c r="EW4" i="13"/>
  <c r="EX4" i="13" s="1"/>
  <c r="CM21" i="13"/>
  <c r="DB21" i="13"/>
  <c r="DC21" i="13" s="1"/>
  <c r="BR17" i="13"/>
  <c r="AV20" i="13"/>
  <c r="AW20" i="13" s="1"/>
  <c r="AB17" i="13"/>
  <c r="AA4" i="13"/>
  <c r="AB4" i="13" s="1"/>
  <c r="VA4" i="19"/>
  <c r="VB4" i="19" s="1"/>
  <c r="UF10" i="19"/>
  <c r="UG10" i="19" s="1"/>
  <c r="TF9" i="19"/>
  <c r="TG9" i="19" s="1"/>
  <c r="QZ10" i="19"/>
  <c r="RA10" i="19" s="1"/>
  <c r="QE4" i="19"/>
  <c r="QF4" i="19" s="1"/>
  <c r="PJ10" i="19"/>
  <c r="PK10" i="19" s="1"/>
  <c r="PZ9" i="19"/>
  <c r="QA9" i="19" s="1"/>
  <c r="LI4" i="19"/>
  <c r="LJ4" i="19" s="1"/>
  <c r="JS10" i="19"/>
  <c r="JT10" i="19" s="1"/>
  <c r="IX10" i="19"/>
  <c r="IY10" i="19" s="1"/>
  <c r="JN9" i="19"/>
  <c r="JO9" i="19" s="1"/>
  <c r="HH10" i="19"/>
  <c r="HI10" i="19" s="1"/>
  <c r="GM4" i="19"/>
  <c r="GN4" i="19" s="1"/>
  <c r="GH9" i="19"/>
  <c r="GI9" i="19" s="1"/>
  <c r="DG4" i="19"/>
  <c r="DH4" i="19" s="1"/>
  <c r="BQ10" i="19"/>
  <c r="BR10" i="19" s="1"/>
  <c r="BQ4" i="19"/>
  <c r="BR4" i="19" s="1"/>
  <c r="AA20" i="19"/>
  <c r="AB20" i="19" s="1"/>
  <c r="QZ20" i="15"/>
  <c r="RA20" i="15" s="1"/>
  <c r="PK21" i="15"/>
  <c r="PJ4" i="15"/>
  <c r="PK4" i="15" s="1"/>
  <c r="NT4" i="15"/>
  <c r="NU4" i="15" s="1"/>
  <c r="LD5" i="15"/>
  <c r="LE5" i="15" s="1"/>
  <c r="IX20" i="15"/>
  <c r="IY20" i="15" s="1"/>
  <c r="HH4" i="15"/>
  <c r="HI4" i="15" s="1"/>
  <c r="GM20" i="15"/>
  <c r="GM4" i="15"/>
  <c r="GN4" i="15" s="1"/>
  <c r="EW4" i="15"/>
  <c r="EX4" i="15" s="1"/>
  <c r="F20" i="15"/>
  <c r="G20" i="15" s="1"/>
  <c r="AA10" i="13"/>
  <c r="AB10" i="13" s="1"/>
  <c r="ER21" i="15"/>
  <c r="ES21" i="15" s="1"/>
  <c r="EB20" i="15"/>
  <c r="EC20" i="15" s="1"/>
  <c r="KN4" i="15"/>
  <c r="KO4" i="15" s="1"/>
  <c r="IY21" i="15"/>
  <c r="IX10" i="15"/>
  <c r="IY10" i="15" s="1"/>
  <c r="IX4" i="15"/>
  <c r="IY4" i="15" s="1"/>
  <c r="RA21" i="15"/>
  <c r="QZ10" i="15"/>
  <c r="RA10" i="15" s="1"/>
  <c r="QZ4" i="15"/>
  <c r="RA4" i="15" s="1"/>
  <c r="AA20" i="15"/>
  <c r="AB20" i="15" s="1"/>
  <c r="AB21" i="15"/>
  <c r="NT10" i="15"/>
  <c r="NU10" i="15" s="1"/>
  <c r="FR10" i="15"/>
  <c r="FS10" i="15" s="1"/>
  <c r="FR4" i="15"/>
  <c r="FS4" i="15" s="1"/>
  <c r="GH5" i="15"/>
  <c r="GI5" i="15" s="1"/>
  <c r="JS10" i="15"/>
  <c r="JT10" i="15" s="1"/>
  <c r="RU20" i="19"/>
  <c r="SK21" i="19"/>
  <c r="RU4" i="19"/>
  <c r="RV4" i="19" s="1"/>
  <c r="TK20" i="13"/>
  <c r="TL20" i="13" s="1"/>
  <c r="TK10" i="13"/>
  <c r="TL10" i="13" s="1"/>
  <c r="SP10" i="13"/>
  <c r="SQ10" i="13" s="1"/>
  <c r="RU20" i="13"/>
  <c r="RV20" i="13" s="1"/>
  <c r="RU10" i="13"/>
  <c r="RV10" i="13" s="1"/>
  <c r="RU4" i="13"/>
  <c r="RV4" i="13" s="1"/>
  <c r="QZ10" i="13"/>
  <c r="RA10" i="13" s="1"/>
  <c r="QE20" i="13"/>
  <c r="QF20" i="13" s="1"/>
  <c r="OO20" i="13"/>
  <c r="OP20" i="13" s="1"/>
  <c r="OO10" i="13"/>
  <c r="OP10" i="13" s="1"/>
  <c r="NT10" i="13"/>
  <c r="NU10" i="13" s="1"/>
  <c r="MY10" i="13"/>
  <c r="MZ10" i="13" s="1"/>
  <c r="MY4" i="13"/>
  <c r="MZ4" i="13" s="1"/>
  <c r="MD10" i="13"/>
  <c r="ME10" i="13" s="1"/>
  <c r="LI10" i="13"/>
  <c r="LJ10" i="13" s="1"/>
  <c r="LI4" i="13"/>
  <c r="LJ4" i="13" s="1"/>
  <c r="KN10" i="13"/>
  <c r="KO10" i="13" s="1"/>
  <c r="JS10" i="13"/>
  <c r="JT10" i="13" s="1"/>
  <c r="IC10" i="13"/>
  <c r="ID10" i="13" s="1"/>
  <c r="HH10" i="13"/>
  <c r="HI10" i="13" s="1"/>
  <c r="GM20" i="13"/>
  <c r="GN20" i="13" s="1"/>
  <c r="GM10" i="13"/>
  <c r="GN10" i="13" s="1"/>
  <c r="GM4" i="13"/>
  <c r="GN4" i="13" s="1"/>
  <c r="GH21" i="13"/>
  <c r="GH20" i="13" s="1"/>
  <c r="GI20" i="13" s="1"/>
  <c r="FR10" i="13"/>
  <c r="FS10" i="13" s="1"/>
  <c r="EC21" i="13"/>
  <c r="ER21" i="13"/>
  <c r="ER20" i="13" s="1"/>
  <c r="ES20" i="13" s="1"/>
  <c r="EB10" i="13"/>
  <c r="EC10" i="13" s="1"/>
  <c r="DG20" i="13"/>
  <c r="DH20" i="13" s="1"/>
  <c r="DG10" i="13"/>
  <c r="DH10" i="13" s="1"/>
  <c r="DG4" i="13"/>
  <c r="DH4" i="13" s="1"/>
  <c r="CL10" i="13"/>
  <c r="CM10" i="13" s="1"/>
  <c r="BQ10" i="13"/>
  <c r="BR10" i="13" s="1"/>
  <c r="BQ4" i="13"/>
  <c r="BR4" i="13" s="1"/>
  <c r="AW21" i="13"/>
  <c r="AV10" i="13"/>
  <c r="AW10" i="13" s="1"/>
  <c r="F10" i="13"/>
  <c r="G10" i="13" s="1"/>
  <c r="RU10" i="15"/>
  <c r="RV10" i="15" s="1"/>
  <c r="RU4" i="15"/>
  <c r="RV4" i="15" s="1"/>
  <c r="QE10" i="15"/>
  <c r="QF10" i="15" s="1"/>
  <c r="QE4" i="15"/>
  <c r="QF4" i="15" s="1"/>
  <c r="OO4" i="15"/>
  <c r="OP4" i="15" s="1"/>
  <c r="MY10" i="15"/>
  <c r="MZ10" i="15" s="1"/>
  <c r="ME21" i="15"/>
  <c r="MD10" i="15"/>
  <c r="ME10" i="15" s="1"/>
  <c r="LI10" i="15"/>
  <c r="LJ10" i="15" s="1"/>
  <c r="IC10" i="15"/>
  <c r="ID10" i="15" s="1"/>
  <c r="IC4" i="15"/>
  <c r="ID4" i="15" s="1"/>
  <c r="HH10" i="15"/>
  <c r="HI10" i="15" s="1"/>
  <c r="HC21" i="15"/>
  <c r="GM10" i="15"/>
  <c r="GN10" i="15" s="1"/>
  <c r="EW10" i="15"/>
  <c r="EX10" i="15" s="1"/>
  <c r="DG4" i="15"/>
  <c r="DH4" i="15" s="1"/>
  <c r="CL10" i="15"/>
  <c r="CM10" i="15" s="1"/>
  <c r="BR21" i="15"/>
  <c r="BQ10" i="15"/>
  <c r="BR10" i="15" s="1"/>
  <c r="BQ4" i="15"/>
  <c r="BR4" i="15" s="1"/>
  <c r="AV10" i="15"/>
  <c r="AW10" i="15" s="1"/>
  <c r="F10" i="15"/>
  <c r="G10" i="15" s="1"/>
  <c r="RU10" i="17"/>
  <c r="RV10" i="17" s="1"/>
  <c r="QZ10" i="17"/>
  <c r="RA10" i="17" s="1"/>
  <c r="QE10" i="17"/>
  <c r="QF10" i="17" s="1"/>
  <c r="PJ20" i="17"/>
  <c r="PK20" i="17" s="1"/>
  <c r="PK21" i="17"/>
  <c r="OO10" i="17"/>
  <c r="OP10" i="17" s="1"/>
  <c r="MY10" i="17"/>
  <c r="MZ10" i="17" s="1"/>
  <c r="MY4" i="17"/>
  <c r="MZ4" i="17" s="1"/>
  <c r="MD10" i="17"/>
  <c r="ME10" i="17" s="1"/>
  <c r="MT11" i="17"/>
  <c r="MU11" i="17" s="1"/>
  <c r="MD4" i="17"/>
  <c r="ME4" i="17" s="1"/>
  <c r="KN10" i="17"/>
  <c r="KO10" i="17" s="1"/>
  <c r="JS4" i="17"/>
  <c r="JT4" i="17" s="1"/>
  <c r="IX20" i="17"/>
  <c r="IY20" i="17" s="1"/>
  <c r="IY21" i="17"/>
  <c r="GM10" i="17"/>
  <c r="GN10" i="17" s="1"/>
  <c r="GM4" i="17"/>
  <c r="GN4" i="17" s="1"/>
  <c r="FR4" i="17"/>
  <c r="FS4" i="17" s="1"/>
  <c r="EW10" i="17"/>
  <c r="EX10" i="17" s="1"/>
  <c r="DG10" i="17"/>
  <c r="DH10" i="17" s="1"/>
  <c r="DG4" i="17"/>
  <c r="DH4" i="17" s="1"/>
  <c r="CL4" i="17"/>
  <c r="CM4" i="17" s="1"/>
  <c r="BQ10" i="17"/>
  <c r="BR10" i="17" s="1"/>
  <c r="BL12" i="17"/>
  <c r="BM12" i="17" s="1"/>
  <c r="AA4" i="17"/>
  <c r="AB4" i="17" s="1"/>
  <c r="V12" i="17"/>
  <c r="W12" i="17" s="1"/>
  <c r="VA20" i="19"/>
  <c r="VB20" i="19" s="1"/>
  <c r="VQ21" i="19"/>
  <c r="UF20" i="19"/>
  <c r="UG20" i="19" s="1"/>
  <c r="UV21" i="19"/>
  <c r="UV11" i="19"/>
  <c r="UW11" i="19" s="1"/>
  <c r="UV5" i="19"/>
  <c r="UW5" i="19" s="1"/>
  <c r="TK20" i="19"/>
  <c r="TL20" i="19" s="1"/>
  <c r="UA21" i="19"/>
  <c r="TK10" i="19"/>
  <c r="TL10" i="19" s="1"/>
  <c r="TK4" i="19"/>
  <c r="TL4" i="19" s="1"/>
  <c r="SP20" i="19"/>
  <c r="SQ20" i="19" s="1"/>
  <c r="TF21" i="19"/>
  <c r="TF5" i="19"/>
  <c r="TG5" i="19" s="1"/>
  <c r="QZ20" i="19"/>
  <c r="RA20" i="19" s="1"/>
  <c r="RP21" i="19"/>
  <c r="RP5" i="19"/>
  <c r="RQ5" i="19" s="1"/>
  <c r="QE20" i="19"/>
  <c r="QU21" i="19"/>
  <c r="QE10" i="19"/>
  <c r="QF10" i="19" s="1"/>
  <c r="PZ11" i="19"/>
  <c r="QA11" i="19" s="1"/>
  <c r="PZ5" i="19"/>
  <c r="QA5" i="19" s="1"/>
  <c r="OO4" i="19"/>
  <c r="OP4" i="19" s="1"/>
  <c r="OJ11" i="19"/>
  <c r="OK11" i="19" s="1"/>
  <c r="OJ5" i="19"/>
  <c r="OK5" i="19" s="1"/>
  <c r="MY4" i="19"/>
  <c r="MZ4" i="19" s="1"/>
  <c r="MT5" i="19"/>
  <c r="MU5" i="19" s="1"/>
  <c r="LD5" i="19"/>
  <c r="LE5" i="19" s="1"/>
  <c r="JT12" i="19"/>
  <c r="JS4" i="19"/>
  <c r="JT4" i="19" s="1"/>
  <c r="JN11" i="19"/>
  <c r="JO11" i="19" s="1"/>
  <c r="JN5" i="19"/>
  <c r="JO5" i="19" s="1"/>
  <c r="IC4" i="19"/>
  <c r="ID4" i="19" s="1"/>
  <c r="HX11" i="19"/>
  <c r="HY11" i="19" s="1"/>
  <c r="HX5" i="19"/>
  <c r="HY5" i="19" s="1"/>
  <c r="GH12" i="19"/>
  <c r="GI12" i="19" s="1"/>
  <c r="EW10" i="19"/>
  <c r="EX10" i="19" s="1"/>
  <c r="EB20" i="19"/>
  <c r="EC20" i="19" s="1"/>
  <c r="ER12" i="19"/>
  <c r="ES12" i="19" s="1"/>
  <c r="EB10" i="19"/>
  <c r="EC10" i="19" s="1"/>
  <c r="DG20" i="19"/>
  <c r="DH20" i="19" s="1"/>
  <c r="DG10" i="19"/>
  <c r="DH10" i="19" s="1"/>
  <c r="CL20" i="19"/>
  <c r="CM20" i="19" s="1"/>
  <c r="DB12" i="19"/>
  <c r="DC12" i="19" s="1"/>
  <c r="DB11" i="19"/>
  <c r="DC11" i="19" s="1"/>
  <c r="AV20" i="19"/>
  <c r="AW20" i="19" s="1"/>
  <c r="BL11" i="19"/>
  <c r="BM11" i="19" s="1"/>
  <c r="AA10" i="19"/>
  <c r="AB10" i="19" s="1"/>
  <c r="AA4" i="19"/>
  <c r="AB4" i="19" s="1"/>
  <c r="F20" i="19"/>
  <c r="G20" i="19" s="1"/>
  <c r="CI1" i="19"/>
  <c r="TZ11" i="19"/>
  <c r="TY10" i="19"/>
  <c r="TZ10" i="19" s="1"/>
  <c r="BJ4" i="19"/>
  <c r="BK4" i="19" s="1"/>
  <c r="GH5" i="19"/>
  <c r="FS5" i="19"/>
  <c r="G11" i="19"/>
  <c r="V11" i="19"/>
  <c r="F10" i="19"/>
  <c r="G10" i="19" s="1"/>
  <c r="KU11" i="19"/>
  <c r="LD11" i="19"/>
  <c r="KT10" i="19"/>
  <c r="KU10" i="19" s="1"/>
  <c r="T4" i="19"/>
  <c r="U4" i="19" s="1"/>
  <c r="CZ4" i="19"/>
  <c r="DA4" i="19" s="1"/>
  <c r="AQ5" i="19"/>
  <c r="CG5" i="19"/>
  <c r="ER5" i="19"/>
  <c r="NN11" i="19"/>
  <c r="NM10" i="19"/>
  <c r="NN10" i="19" s="1"/>
  <c r="F4" i="19"/>
  <c r="G4" i="19" s="1"/>
  <c r="AG4" i="19"/>
  <c r="AH4" i="19" s="1"/>
  <c r="AV4" i="19"/>
  <c r="AW4" i="19" s="1"/>
  <c r="CL4" i="19"/>
  <c r="CM4" i="19" s="1"/>
  <c r="EB4" i="19"/>
  <c r="EC4" i="19" s="1"/>
  <c r="FR4" i="19"/>
  <c r="FS4" i="19" s="1"/>
  <c r="HH4" i="19"/>
  <c r="HI4" i="19" s="1"/>
  <c r="IX4" i="19"/>
  <c r="IY4" i="19" s="1"/>
  <c r="KN4" i="19"/>
  <c r="KO4" i="19" s="1"/>
  <c r="MD4" i="19"/>
  <c r="ME4" i="19" s="1"/>
  <c r="NT4" i="19"/>
  <c r="NU4" i="19" s="1"/>
  <c r="PJ4" i="19"/>
  <c r="PK4" i="19" s="1"/>
  <c r="QZ4" i="19"/>
  <c r="RA4" i="19" s="1"/>
  <c r="SP4" i="19"/>
  <c r="SQ4" i="19" s="1"/>
  <c r="UF4" i="19"/>
  <c r="UG4" i="19" s="1"/>
  <c r="VV4" i="19"/>
  <c r="VW4" i="19" s="1"/>
  <c r="FM5" i="19"/>
  <c r="EX5" i="19"/>
  <c r="HB11" i="19"/>
  <c r="HA10" i="19"/>
  <c r="HB10" i="19" s="1"/>
  <c r="ME11" i="19"/>
  <c r="MT11" i="19"/>
  <c r="MD10" i="19"/>
  <c r="ME10" i="19" s="1"/>
  <c r="M12" i="19"/>
  <c r="V12" i="19"/>
  <c r="W12" i="19" s="1"/>
  <c r="MS12" i="19"/>
  <c r="MR10" i="19"/>
  <c r="MS10" i="19" s="1"/>
  <c r="PY12" i="19"/>
  <c r="PX10" i="19"/>
  <c r="PY10" i="19" s="1"/>
  <c r="TE12" i="19"/>
  <c r="TD10" i="19"/>
  <c r="TE10" i="19" s="1"/>
  <c r="AW12" i="19"/>
  <c r="BL12" i="19"/>
  <c r="AV10" i="19"/>
  <c r="AW10" i="19" s="1"/>
  <c r="V5" i="19"/>
  <c r="BL5" i="19"/>
  <c r="DB5" i="19"/>
  <c r="DW5" i="19"/>
  <c r="HC5" i="19"/>
  <c r="GN5" i="19"/>
  <c r="EI11" i="19"/>
  <c r="ER11" i="19"/>
  <c r="EH10" i="19"/>
  <c r="EI10" i="19" s="1"/>
  <c r="SQ11" i="19"/>
  <c r="TF11" i="19"/>
  <c r="SP10" i="19"/>
  <c r="SQ10" i="19" s="1"/>
  <c r="AO4" i="19"/>
  <c r="AP4" i="19" s="1"/>
  <c r="CE4" i="19"/>
  <c r="CF4" i="19" s="1"/>
  <c r="DU4" i="19"/>
  <c r="DV4" i="19" s="1"/>
  <c r="EH4" i="19"/>
  <c r="EI4" i="19" s="1"/>
  <c r="NZ4" i="19"/>
  <c r="OA4" i="19" s="1"/>
  <c r="RF4" i="19"/>
  <c r="RG4" i="19" s="1"/>
  <c r="UM9" i="19"/>
  <c r="UV9" i="19"/>
  <c r="UW9" i="19" s="1"/>
  <c r="AP11" i="19"/>
  <c r="AO10" i="19"/>
  <c r="AP10" i="19" s="1"/>
  <c r="FS11" i="19"/>
  <c r="GH11" i="19"/>
  <c r="FR10" i="19"/>
  <c r="FS10" i="19" s="1"/>
  <c r="RG11" i="19"/>
  <c r="RF10" i="19"/>
  <c r="RG10" i="19" s="1"/>
  <c r="RP11" i="19"/>
  <c r="CF12" i="19"/>
  <c r="CE10" i="19"/>
  <c r="CF10" i="19" s="1"/>
  <c r="V14" i="19"/>
  <c r="G14" i="19"/>
  <c r="AQ14" i="19"/>
  <c r="AB14" i="19"/>
  <c r="BL14" i="19"/>
  <c r="AW14" i="19"/>
  <c r="AV13" i="19"/>
  <c r="AW13" i="19" s="1"/>
  <c r="CG14" i="19"/>
  <c r="BR14" i="19"/>
  <c r="BQ13" i="19"/>
  <c r="BR13" i="19" s="1"/>
  <c r="DB14" i="19"/>
  <c r="CM14" i="19"/>
  <c r="DW14" i="19"/>
  <c r="DH14" i="19"/>
  <c r="ER14" i="19"/>
  <c r="EC14" i="19"/>
  <c r="EB13" i="19"/>
  <c r="EC13" i="19" s="1"/>
  <c r="FM14" i="19"/>
  <c r="EX14" i="19"/>
  <c r="EW13" i="19"/>
  <c r="EX13" i="19" s="1"/>
  <c r="GH14" i="19"/>
  <c r="FS14" i="19"/>
  <c r="HC14" i="19"/>
  <c r="GN14" i="19"/>
  <c r="HX14" i="19"/>
  <c r="HI14" i="19"/>
  <c r="HH13" i="19"/>
  <c r="HI13" i="19" s="1"/>
  <c r="IS14" i="19"/>
  <c r="ID14" i="19"/>
  <c r="IC13" i="19"/>
  <c r="ID13" i="19" s="1"/>
  <c r="JN14" i="19"/>
  <c r="IY14" i="19"/>
  <c r="KI14" i="19"/>
  <c r="JT14" i="19"/>
  <c r="LD14" i="19"/>
  <c r="KO14" i="19"/>
  <c r="KN13" i="19"/>
  <c r="KO13" i="19" s="1"/>
  <c r="LY14" i="19"/>
  <c r="LJ14" i="19"/>
  <c r="LI13" i="19"/>
  <c r="LJ13" i="19" s="1"/>
  <c r="MT14" i="19"/>
  <c r="ME14" i="19"/>
  <c r="NO14" i="19"/>
  <c r="MZ14" i="19"/>
  <c r="OJ14" i="19"/>
  <c r="NU14" i="19"/>
  <c r="NT13" i="19"/>
  <c r="NU13" i="19" s="1"/>
  <c r="PE14" i="19"/>
  <c r="OP14" i="19"/>
  <c r="OO13" i="19"/>
  <c r="OP13" i="19" s="1"/>
  <c r="PZ14" i="19"/>
  <c r="PK14" i="19"/>
  <c r="QU14" i="19"/>
  <c r="QF14" i="19"/>
  <c r="RP14" i="19"/>
  <c r="RA14" i="19"/>
  <c r="SK14" i="19"/>
  <c r="RV14" i="19"/>
  <c r="TF14" i="19"/>
  <c r="SQ14" i="19"/>
  <c r="UA14" i="19"/>
  <c r="TL14" i="19"/>
  <c r="UV14" i="19"/>
  <c r="UG14" i="19"/>
  <c r="VQ14" i="19"/>
  <c r="VB14" i="19"/>
  <c r="WH14" i="19"/>
  <c r="VW14" i="19"/>
  <c r="WY14" i="19"/>
  <c r="WN14" i="19"/>
  <c r="AQ15" i="19"/>
  <c r="AR15" i="19" s="1"/>
  <c r="AB15" i="19"/>
  <c r="CG15" i="19"/>
  <c r="CH15" i="19" s="1"/>
  <c r="BR15" i="19"/>
  <c r="DW15" i="19"/>
  <c r="DX15" i="19" s="1"/>
  <c r="DH15" i="19"/>
  <c r="FM15" i="19"/>
  <c r="FN15" i="19" s="1"/>
  <c r="EX15" i="19"/>
  <c r="HC15" i="19"/>
  <c r="HD15" i="19" s="1"/>
  <c r="GN15" i="19"/>
  <c r="IS15" i="19"/>
  <c r="IT15" i="19" s="1"/>
  <c r="ID15" i="19"/>
  <c r="KI15" i="19"/>
  <c r="KJ15" i="19" s="1"/>
  <c r="JT15" i="19"/>
  <c r="LY15" i="19"/>
  <c r="LZ15" i="19" s="1"/>
  <c r="LJ15" i="19"/>
  <c r="NO15" i="19"/>
  <c r="NP15" i="19" s="1"/>
  <c r="MZ15" i="19"/>
  <c r="PE15" i="19"/>
  <c r="PF15" i="19" s="1"/>
  <c r="OP15" i="19"/>
  <c r="QU15" i="19"/>
  <c r="QV15" i="19" s="1"/>
  <c r="QF15" i="19"/>
  <c r="SK15" i="19"/>
  <c r="SL15" i="19" s="1"/>
  <c r="RV15" i="19"/>
  <c r="UA15" i="19"/>
  <c r="UB15" i="19" s="1"/>
  <c r="TL15" i="19"/>
  <c r="VQ15" i="19"/>
  <c r="VR15" i="19" s="1"/>
  <c r="VB15" i="19"/>
  <c r="WY15" i="19"/>
  <c r="WZ15" i="19" s="1"/>
  <c r="WN15" i="19"/>
  <c r="IS5" i="19"/>
  <c r="KI5" i="19"/>
  <c r="LY5" i="19"/>
  <c r="NO5" i="19"/>
  <c r="PE5" i="19"/>
  <c r="QU5" i="19"/>
  <c r="SK5" i="19"/>
  <c r="UA5" i="19"/>
  <c r="VQ5" i="19"/>
  <c r="WY5" i="19"/>
  <c r="AQ6" i="19"/>
  <c r="AR6" i="19" s="1"/>
  <c r="CG6" i="19"/>
  <c r="CH6" i="19" s="1"/>
  <c r="DW6" i="19"/>
  <c r="DX6" i="19" s="1"/>
  <c r="FM6" i="19"/>
  <c r="FN6" i="19" s="1"/>
  <c r="HC6" i="19"/>
  <c r="HD6" i="19" s="1"/>
  <c r="IS6" i="19"/>
  <c r="IT6" i="19" s="1"/>
  <c r="KI6" i="19"/>
  <c r="KJ6" i="19" s="1"/>
  <c r="LY6" i="19"/>
  <c r="LZ6" i="19" s="1"/>
  <c r="NO6" i="19"/>
  <c r="NP6" i="19" s="1"/>
  <c r="PE6" i="19"/>
  <c r="PF6" i="19" s="1"/>
  <c r="QU6" i="19"/>
  <c r="QV6" i="19" s="1"/>
  <c r="SK6" i="19"/>
  <c r="SL6" i="19" s="1"/>
  <c r="UA6" i="19"/>
  <c r="UB6" i="19" s="1"/>
  <c r="VQ6" i="19"/>
  <c r="VR6" i="19" s="1"/>
  <c r="WY6" i="19"/>
  <c r="WZ6" i="19" s="1"/>
  <c r="AQ7" i="19"/>
  <c r="AR7" i="19" s="1"/>
  <c r="CG7" i="19"/>
  <c r="CH7" i="19" s="1"/>
  <c r="DW7" i="19"/>
  <c r="DX7" i="19" s="1"/>
  <c r="FM7" i="19"/>
  <c r="FN7" i="19" s="1"/>
  <c r="HC7" i="19"/>
  <c r="HD7" i="19" s="1"/>
  <c r="IS7" i="19"/>
  <c r="IT7" i="19" s="1"/>
  <c r="KI7" i="19"/>
  <c r="KJ7" i="19" s="1"/>
  <c r="LY7" i="19"/>
  <c r="LZ7" i="19" s="1"/>
  <c r="NO7" i="19"/>
  <c r="NP7" i="19" s="1"/>
  <c r="PE7" i="19"/>
  <c r="PF7" i="19" s="1"/>
  <c r="QU7" i="19"/>
  <c r="QV7" i="19" s="1"/>
  <c r="SK7" i="19"/>
  <c r="SL7" i="19" s="1"/>
  <c r="UA7" i="19"/>
  <c r="UB7" i="19" s="1"/>
  <c r="VQ7" i="19"/>
  <c r="VR7" i="19" s="1"/>
  <c r="WY7" i="19"/>
  <c r="WZ7" i="19" s="1"/>
  <c r="AQ8" i="19"/>
  <c r="AR8" i="19" s="1"/>
  <c r="CG8" i="19"/>
  <c r="CH8" i="19" s="1"/>
  <c r="DW8" i="19"/>
  <c r="DX8" i="19" s="1"/>
  <c r="FM8" i="19"/>
  <c r="FN8" i="19" s="1"/>
  <c r="HC8" i="19"/>
  <c r="HD8" i="19" s="1"/>
  <c r="IS8" i="19"/>
  <c r="IT8" i="19" s="1"/>
  <c r="KI8" i="19"/>
  <c r="KJ8" i="19" s="1"/>
  <c r="LY8" i="19"/>
  <c r="LZ8" i="19" s="1"/>
  <c r="NO8" i="19"/>
  <c r="NP8" i="19" s="1"/>
  <c r="PE8" i="19"/>
  <c r="PF8" i="19" s="1"/>
  <c r="QU8" i="19"/>
  <c r="QV8" i="19" s="1"/>
  <c r="SK8" i="19"/>
  <c r="SL8" i="19" s="1"/>
  <c r="UA8" i="19"/>
  <c r="UB8" i="19" s="1"/>
  <c r="VQ8" i="19"/>
  <c r="VR8" i="19" s="1"/>
  <c r="VB8" i="19"/>
  <c r="WH8" i="19"/>
  <c r="WI8" i="19" s="1"/>
  <c r="BL9" i="19"/>
  <c r="BM9" i="19" s="1"/>
  <c r="ER9" i="19"/>
  <c r="ES9" i="19" s="1"/>
  <c r="HX9" i="19"/>
  <c r="HY9" i="19" s="1"/>
  <c r="LD9" i="19"/>
  <c r="LE9" i="19" s="1"/>
  <c r="OJ9" i="19"/>
  <c r="OK9" i="19" s="1"/>
  <c r="RP9" i="19"/>
  <c r="RQ9" i="19" s="1"/>
  <c r="BB10" i="19"/>
  <c r="BC10" i="19" s="1"/>
  <c r="MJ10" i="19"/>
  <c r="MK10" i="19" s="1"/>
  <c r="PC10" i="19"/>
  <c r="PD10" i="19" s="1"/>
  <c r="HX12" i="19"/>
  <c r="HY12" i="19" s="1"/>
  <c r="HI12" i="19"/>
  <c r="IC10" i="19"/>
  <c r="ID10" i="19" s="1"/>
  <c r="IS12" i="19"/>
  <c r="IT12" i="19" s="1"/>
  <c r="ID12" i="19"/>
  <c r="LD12" i="19"/>
  <c r="LE12" i="19" s="1"/>
  <c r="KO12" i="19"/>
  <c r="LI10" i="19"/>
  <c r="LJ10" i="19" s="1"/>
  <c r="LY12" i="19"/>
  <c r="LZ12" i="19" s="1"/>
  <c r="LJ12" i="19"/>
  <c r="OJ12" i="19"/>
  <c r="OK12" i="19" s="1"/>
  <c r="NU12" i="19"/>
  <c r="OO10" i="19"/>
  <c r="OP10" i="19" s="1"/>
  <c r="PE12" i="19"/>
  <c r="PF12" i="19" s="1"/>
  <c r="OP12" i="19"/>
  <c r="RP12" i="19"/>
  <c r="RQ12" i="19" s="1"/>
  <c r="RA12" i="19"/>
  <c r="RU10" i="19"/>
  <c r="RV10" i="19" s="1"/>
  <c r="SK12" i="19"/>
  <c r="SL12" i="19" s="1"/>
  <c r="RV12" i="19"/>
  <c r="UV12" i="19"/>
  <c r="UW12" i="19" s="1"/>
  <c r="UG12" i="19"/>
  <c r="VA10" i="19"/>
  <c r="VB10" i="19" s="1"/>
  <c r="VQ12" i="19"/>
  <c r="VR12" i="19" s="1"/>
  <c r="VB12" i="19"/>
  <c r="F13" i="19"/>
  <c r="G13" i="19" s="1"/>
  <c r="AA13" i="19"/>
  <c r="AB13" i="19" s="1"/>
  <c r="MD13" i="19"/>
  <c r="ME13" i="19" s="1"/>
  <c r="MY13" i="19"/>
  <c r="MZ13" i="19" s="1"/>
  <c r="CL10" i="19"/>
  <c r="CM10" i="19" s="1"/>
  <c r="DU10" i="19"/>
  <c r="DV10" i="19" s="1"/>
  <c r="NT10" i="19"/>
  <c r="NU10" i="19" s="1"/>
  <c r="JZ12" i="19"/>
  <c r="KI12" i="19"/>
  <c r="KJ12" i="19" s="1"/>
  <c r="NF12" i="19"/>
  <c r="NO12" i="19"/>
  <c r="NP12" i="19" s="1"/>
  <c r="QL12" i="19"/>
  <c r="QU12" i="19"/>
  <c r="QV12" i="19" s="1"/>
  <c r="TR12" i="19"/>
  <c r="UA12" i="19"/>
  <c r="UB12" i="19" s="1"/>
  <c r="WS12" i="19"/>
  <c r="WY12" i="19"/>
  <c r="WZ12" i="19" s="1"/>
  <c r="IX13" i="19"/>
  <c r="IY13" i="19" s="1"/>
  <c r="JS13" i="19"/>
  <c r="JT13" i="19" s="1"/>
  <c r="WY8" i="19"/>
  <c r="WZ8" i="19" s="1"/>
  <c r="AQ9" i="19"/>
  <c r="AR9" i="19" s="1"/>
  <c r="CG9" i="19"/>
  <c r="CH9" i="19" s="1"/>
  <c r="DW9" i="19"/>
  <c r="DX9" i="19" s="1"/>
  <c r="FM9" i="19"/>
  <c r="FN9" i="19" s="1"/>
  <c r="HC9" i="19"/>
  <c r="HD9" i="19" s="1"/>
  <c r="IS9" i="19"/>
  <c r="IT9" i="19" s="1"/>
  <c r="KI9" i="19"/>
  <c r="KJ9" i="19" s="1"/>
  <c r="LY9" i="19"/>
  <c r="LZ9" i="19" s="1"/>
  <c r="NO9" i="19"/>
  <c r="NP9" i="19" s="1"/>
  <c r="PE9" i="19"/>
  <c r="PF9" i="19" s="1"/>
  <c r="QU9" i="19"/>
  <c r="QV9" i="19" s="1"/>
  <c r="SK9" i="19"/>
  <c r="SL9" i="19" s="1"/>
  <c r="UA9" i="19"/>
  <c r="UB9" i="19" s="1"/>
  <c r="VQ9" i="19"/>
  <c r="VR9" i="19" s="1"/>
  <c r="WY9" i="19"/>
  <c r="WZ9" i="19" s="1"/>
  <c r="AQ11" i="19"/>
  <c r="CG11" i="19"/>
  <c r="DW11" i="19"/>
  <c r="FM11" i="19"/>
  <c r="HC11" i="19"/>
  <c r="IS11" i="19"/>
  <c r="KI11" i="19"/>
  <c r="LY11" i="19"/>
  <c r="NO11" i="19"/>
  <c r="PE11" i="19"/>
  <c r="QU11" i="19"/>
  <c r="SK11" i="19"/>
  <c r="UA11" i="19"/>
  <c r="VQ11" i="19"/>
  <c r="WY11" i="19"/>
  <c r="AQ12" i="19"/>
  <c r="AR12" i="19" s="1"/>
  <c r="CG12" i="19"/>
  <c r="CH12" i="19" s="1"/>
  <c r="DW12" i="19"/>
  <c r="DX12" i="19" s="1"/>
  <c r="FM12" i="19"/>
  <c r="FN12" i="19" s="1"/>
  <c r="HC12" i="19"/>
  <c r="HD12" i="19" s="1"/>
  <c r="JN12" i="19"/>
  <c r="IY12" i="19"/>
  <c r="MT12" i="19"/>
  <c r="MU12" i="19" s="1"/>
  <c r="ME12" i="19"/>
  <c r="PZ12" i="19"/>
  <c r="QA12" i="19" s="1"/>
  <c r="PK12" i="19"/>
  <c r="TF12" i="19"/>
  <c r="TG12" i="19" s="1"/>
  <c r="SQ12" i="19"/>
  <c r="WH12" i="19"/>
  <c r="VW12" i="19"/>
  <c r="AG13" i="19"/>
  <c r="AH13" i="19" s="1"/>
  <c r="DM13" i="19"/>
  <c r="DN13" i="19" s="1"/>
  <c r="GS13" i="19"/>
  <c r="GT13" i="19" s="1"/>
  <c r="JY13" i="19"/>
  <c r="JZ13" i="19" s="1"/>
  <c r="NE13" i="19"/>
  <c r="NF13" i="19" s="1"/>
  <c r="BB13" i="19"/>
  <c r="BC13" i="19" s="1"/>
  <c r="EH13" i="19"/>
  <c r="EI13" i="19" s="1"/>
  <c r="HN13" i="19"/>
  <c r="HO13" i="19" s="1"/>
  <c r="KT13" i="19"/>
  <c r="KU13" i="19" s="1"/>
  <c r="NZ13" i="19"/>
  <c r="OA13" i="19" s="1"/>
  <c r="TF17" i="19"/>
  <c r="SQ17" i="19"/>
  <c r="SP16" i="19"/>
  <c r="SQ16" i="19" s="1"/>
  <c r="UA17" i="19"/>
  <c r="TL17" i="19"/>
  <c r="TK16" i="19"/>
  <c r="TL16" i="19" s="1"/>
  <c r="UM17" i="19"/>
  <c r="UL16" i="19"/>
  <c r="UM16" i="19" s="1"/>
  <c r="CG18" i="19"/>
  <c r="CH18" i="19" s="1"/>
  <c r="BR18" i="19"/>
  <c r="IS18" i="19"/>
  <c r="IT18" i="19" s="1"/>
  <c r="ID18" i="19"/>
  <c r="PE18" i="19"/>
  <c r="PF18" i="19" s="1"/>
  <c r="OP18" i="19"/>
  <c r="OO16" i="19"/>
  <c r="OP16" i="19" s="1"/>
  <c r="PZ18" i="19"/>
  <c r="QA18" i="19" s="1"/>
  <c r="PK18" i="19"/>
  <c r="PJ16" i="19"/>
  <c r="PK16" i="19" s="1"/>
  <c r="UV18" i="19"/>
  <c r="UW18" i="19" s="1"/>
  <c r="UG18" i="19"/>
  <c r="UF16" i="19"/>
  <c r="UG16" i="19" s="1"/>
  <c r="WS18" i="19"/>
  <c r="WR16" i="19"/>
  <c r="WS16" i="19" s="1"/>
  <c r="DB19" i="19"/>
  <c r="DC19" i="19" s="1"/>
  <c r="CM19" i="19"/>
  <c r="CL16" i="19"/>
  <c r="CM16" i="19" s="1"/>
  <c r="JN19" i="19"/>
  <c r="JO19" i="19" s="1"/>
  <c r="IY19" i="19"/>
  <c r="PZ19" i="19"/>
  <c r="QA19" i="19" s="1"/>
  <c r="PK19" i="19"/>
  <c r="SB19" i="19"/>
  <c r="SA16" i="19"/>
  <c r="SB16" i="19" s="1"/>
  <c r="V17" i="19"/>
  <c r="G17" i="19"/>
  <c r="AQ17" i="19"/>
  <c r="AB17" i="19"/>
  <c r="BL17" i="19"/>
  <c r="AW17" i="19"/>
  <c r="CG17" i="19"/>
  <c r="BR17" i="19"/>
  <c r="DB17" i="19"/>
  <c r="CM17" i="19"/>
  <c r="DW17" i="19"/>
  <c r="DH17" i="19"/>
  <c r="ER17" i="19"/>
  <c r="EC17" i="19"/>
  <c r="FM17" i="19"/>
  <c r="EX17" i="19"/>
  <c r="GH17" i="19"/>
  <c r="FS17" i="19"/>
  <c r="HC17" i="19"/>
  <c r="GN17" i="19"/>
  <c r="HX17" i="19"/>
  <c r="HI17" i="19"/>
  <c r="IS17" i="19"/>
  <c r="ID17" i="19"/>
  <c r="JN17" i="19"/>
  <c r="IY17" i="19"/>
  <c r="KI17" i="19"/>
  <c r="JT17" i="19"/>
  <c r="LD17" i="19"/>
  <c r="KO17" i="19"/>
  <c r="LY17" i="19"/>
  <c r="LJ17" i="19"/>
  <c r="MT17" i="19"/>
  <c r="ME17" i="19"/>
  <c r="NO17" i="19"/>
  <c r="MZ17" i="19"/>
  <c r="OJ17" i="19"/>
  <c r="NU17" i="19"/>
  <c r="PE17" i="19"/>
  <c r="OP17" i="19"/>
  <c r="PZ17" i="19"/>
  <c r="PK17" i="19"/>
  <c r="QU17" i="19"/>
  <c r="QF17" i="19"/>
  <c r="RP17" i="19"/>
  <c r="RA17" i="19"/>
  <c r="SK17" i="19"/>
  <c r="RV17" i="19"/>
  <c r="VP17" i="19"/>
  <c r="VO16" i="19"/>
  <c r="VP16" i="19" s="1"/>
  <c r="V18" i="19"/>
  <c r="W18" i="19" s="1"/>
  <c r="G18" i="19"/>
  <c r="GH18" i="19"/>
  <c r="GI18" i="19" s="1"/>
  <c r="FS18" i="19"/>
  <c r="KH18" i="19"/>
  <c r="KG16" i="19"/>
  <c r="KH16" i="19" s="1"/>
  <c r="MT18" i="19"/>
  <c r="MU18" i="19" s="1"/>
  <c r="ME18" i="19"/>
  <c r="RG18" i="19"/>
  <c r="RP18" i="19"/>
  <c r="RQ18" i="19" s="1"/>
  <c r="TZ17" i="19"/>
  <c r="TY16" i="19"/>
  <c r="TZ16" i="19" s="1"/>
  <c r="WH17" i="19"/>
  <c r="WY17" i="19"/>
  <c r="WN17" i="19"/>
  <c r="FM18" i="19"/>
  <c r="FN18" i="19" s="1"/>
  <c r="EX18" i="19"/>
  <c r="LY18" i="19"/>
  <c r="LZ18" i="19" s="1"/>
  <c r="LJ18" i="19"/>
  <c r="QT18" i="19"/>
  <c r="QS16" i="19"/>
  <c r="QT16" i="19" s="1"/>
  <c r="AP21" i="19"/>
  <c r="AO20" i="19"/>
  <c r="G15" i="19"/>
  <c r="AW15" i="19"/>
  <c r="CM15" i="19"/>
  <c r="EC15" i="19"/>
  <c r="FS15" i="19"/>
  <c r="HI15" i="19"/>
  <c r="IY15" i="19"/>
  <c r="KO15" i="19"/>
  <c r="ME15" i="19"/>
  <c r="NU15" i="19"/>
  <c r="PK15" i="19"/>
  <c r="RA15" i="19"/>
  <c r="SQ15" i="19"/>
  <c r="UG15" i="19"/>
  <c r="VW15" i="19"/>
  <c r="FC16" i="19"/>
  <c r="FD16" i="19" s="1"/>
  <c r="HH16" i="19"/>
  <c r="HI16" i="19" s="1"/>
  <c r="IC16" i="19"/>
  <c r="ID16" i="19" s="1"/>
  <c r="IX16" i="19"/>
  <c r="IY16" i="19" s="1"/>
  <c r="JS16" i="19"/>
  <c r="JT16" i="19" s="1"/>
  <c r="KT16" i="19"/>
  <c r="KU16" i="19" s="1"/>
  <c r="LO16" i="19"/>
  <c r="LP16" i="19" s="1"/>
  <c r="MJ16" i="19"/>
  <c r="MK16" i="19" s="1"/>
  <c r="NE16" i="19"/>
  <c r="NF16" i="19" s="1"/>
  <c r="SJ17" i="19"/>
  <c r="SI16" i="19"/>
  <c r="SJ16" i="19" s="1"/>
  <c r="UV17" i="19"/>
  <c r="UG17" i="19"/>
  <c r="DB18" i="19"/>
  <c r="DC18" i="19" s="1"/>
  <c r="CM18" i="19"/>
  <c r="HB18" i="19"/>
  <c r="HA16" i="19"/>
  <c r="HB16" i="19" s="1"/>
  <c r="JN18" i="19"/>
  <c r="JO18" i="19" s="1"/>
  <c r="IY18" i="19"/>
  <c r="NN18" i="19"/>
  <c r="NM16" i="19"/>
  <c r="NN16" i="19" s="1"/>
  <c r="CS21" i="19"/>
  <c r="CR20" i="19"/>
  <c r="VQ17" i="19"/>
  <c r="VB17" i="19"/>
  <c r="AQ18" i="19"/>
  <c r="AR18" i="19" s="1"/>
  <c r="AB18" i="19"/>
  <c r="DW18" i="19"/>
  <c r="DX18" i="19" s="1"/>
  <c r="DH18" i="19"/>
  <c r="HC18" i="19"/>
  <c r="HD18" i="19" s="1"/>
  <c r="GN18" i="19"/>
  <c r="KI18" i="19"/>
  <c r="KJ18" i="19" s="1"/>
  <c r="JT18" i="19"/>
  <c r="NO18" i="19"/>
  <c r="NP18" i="19" s="1"/>
  <c r="MZ18" i="19"/>
  <c r="QU18" i="19"/>
  <c r="QV18" i="19" s="1"/>
  <c r="QF18" i="19"/>
  <c r="VQ18" i="19"/>
  <c r="VR18" i="19" s="1"/>
  <c r="VW18" i="19"/>
  <c r="DW19" i="19"/>
  <c r="DX19" i="19" s="1"/>
  <c r="EC19" i="19"/>
  <c r="KI19" i="19"/>
  <c r="KJ19" i="19" s="1"/>
  <c r="KO19" i="19"/>
  <c r="QU19" i="19"/>
  <c r="QV19" i="19" s="1"/>
  <c r="RA19" i="19"/>
  <c r="JT21" i="19"/>
  <c r="KI21" i="19"/>
  <c r="JS20" i="19"/>
  <c r="MZ21" i="19"/>
  <c r="NO21" i="19"/>
  <c r="MY20" i="19"/>
  <c r="VW17" i="19"/>
  <c r="AW18" i="19"/>
  <c r="EC18" i="19"/>
  <c r="HI18" i="19"/>
  <c r="KO18" i="19"/>
  <c r="NU18" i="19"/>
  <c r="WY18" i="19"/>
  <c r="WZ18" i="19" s="1"/>
  <c r="FM19" i="19"/>
  <c r="FN19" i="19" s="1"/>
  <c r="LY19" i="19"/>
  <c r="LZ19" i="19" s="1"/>
  <c r="SK19" i="19"/>
  <c r="SL19" i="19" s="1"/>
  <c r="UA19" i="19"/>
  <c r="UB19" i="19" s="1"/>
  <c r="TL19" i="19"/>
  <c r="IY21" i="19"/>
  <c r="JN21" i="19"/>
  <c r="IX20" i="19"/>
  <c r="ME21" i="19"/>
  <c r="MT21" i="19"/>
  <c r="MD20" i="19"/>
  <c r="PK21" i="19"/>
  <c r="PZ21" i="19"/>
  <c r="PJ20" i="19"/>
  <c r="PQ20" i="19"/>
  <c r="BC21" i="19"/>
  <c r="BB20" i="19"/>
  <c r="DV21" i="19"/>
  <c r="DU20" i="19"/>
  <c r="ID21" i="19"/>
  <c r="IS21" i="19"/>
  <c r="IC20" i="19"/>
  <c r="LJ21" i="19"/>
  <c r="LY21" i="19"/>
  <c r="LI20" i="19"/>
  <c r="OP21" i="19"/>
  <c r="PE21" i="19"/>
  <c r="OO20" i="19"/>
  <c r="RV18" i="19"/>
  <c r="TL18" i="19"/>
  <c r="VB18" i="19"/>
  <c r="WN18" i="19"/>
  <c r="AB19" i="19"/>
  <c r="BR19" i="19"/>
  <c r="DH19" i="19"/>
  <c r="EX19" i="19"/>
  <c r="GN19" i="19"/>
  <c r="ID19" i="19"/>
  <c r="JT19" i="19"/>
  <c r="LJ19" i="19"/>
  <c r="MZ19" i="19"/>
  <c r="OP19" i="19"/>
  <c r="QF19" i="19"/>
  <c r="RV19" i="19"/>
  <c r="UG19" i="19"/>
  <c r="VW19" i="19"/>
  <c r="FY20" i="19"/>
  <c r="WX20" i="19"/>
  <c r="M21" i="19"/>
  <c r="L20" i="19"/>
  <c r="CF21" i="19"/>
  <c r="CE20" i="19"/>
  <c r="HI21" i="19"/>
  <c r="HX21" i="19"/>
  <c r="HH20" i="19"/>
  <c r="KO21" i="19"/>
  <c r="LD21" i="19"/>
  <c r="KN20" i="19"/>
  <c r="NU21" i="19"/>
  <c r="OJ21" i="19"/>
  <c r="NT20" i="19"/>
  <c r="AG20" i="19"/>
  <c r="EX20" i="19"/>
  <c r="AQ21" i="19"/>
  <c r="CG21" i="19"/>
  <c r="DW21" i="19"/>
  <c r="FM21" i="19"/>
  <c r="EX21" i="19"/>
  <c r="EQ20" i="19"/>
  <c r="OI20" i="19"/>
  <c r="UU20" i="19"/>
  <c r="GH21" i="19"/>
  <c r="FS21" i="19"/>
  <c r="FS20" i="19"/>
  <c r="GT20" i="19"/>
  <c r="WS20" i="19"/>
  <c r="V21" i="19"/>
  <c r="BL21" i="19"/>
  <c r="DB21" i="19"/>
  <c r="ER21" i="19"/>
  <c r="HC21" i="19"/>
  <c r="GN21" i="19"/>
  <c r="BL5" i="17"/>
  <c r="GH6" i="17"/>
  <c r="GI6" i="17" s="1"/>
  <c r="VR6" i="17"/>
  <c r="VS6" i="17" s="1"/>
  <c r="ME15" i="17"/>
  <c r="MD13" i="17"/>
  <c r="ME13" i="17" s="1"/>
  <c r="MT15" i="17"/>
  <c r="DD1" i="17"/>
  <c r="CG5" i="17"/>
  <c r="FM5" i="17"/>
  <c r="IS5" i="17"/>
  <c r="LY5" i="17"/>
  <c r="PE5" i="17"/>
  <c r="SK5" i="17"/>
  <c r="VA5" i="17"/>
  <c r="AQ6" i="17"/>
  <c r="AR6" i="17" s="1"/>
  <c r="DW6" i="17"/>
  <c r="DX6" i="17" s="1"/>
  <c r="HC6" i="17"/>
  <c r="HD6" i="17" s="1"/>
  <c r="KI6" i="17"/>
  <c r="KJ6" i="17" s="1"/>
  <c r="NO6" i="17"/>
  <c r="NP6" i="17" s="1"/>
  <c r="QU6" i="17"/>
  <c r="QV6" i="17" s="1"/>
  <c r="TS6" i="17"/>
  <c r="TT6" i="17" s="1"/>
  <c r="WI6" i="17"/>
  <c r="WJ6" i="17" s="1"/>
  <c r="CG7" i="17"/>
  <c r="CH7" i="17" s="1"/>
  <c r="JE11" i="17"/>
  <c r="JD10" i="17"/>
  <c r="JE10" i="17" s="1"/>
  <c r="QT11" i="17"/>
  <c r="QS10" i="17"/>
  <c r="QT10" i="17" s="1"/>
  <c r="VG11" i="17"/>
  <c r="VR11" i="17"/>
  <c r="RA14" i="17"/>
  <c r="QZ13" i="17"/>
  <c r="RA13" i="17" s="1"/>
  <c r="RP14" i="17"/>
  <c r="TB15" i="17"/>
  <c r="TC15" i="17" s="1"/>
  <c r="HX5" i="17"/>
  <c r="LD5" i="17"/>
  <c r="RP5" i="17"/>
  <c r="UJ5" i="17"/>
  <c r="JN6" i="17"/>
  <c r="JO6" i="17" s="1"/>
  <c r="MT6" i="17"/>
  <c r="MU6" i="17" s="1"/>
  <c r="PZ6" i="17"/>
  <c r="QA6" i="17" s="1"/>
  <c r="TB6" i="17"/>
  <c r="TC6" i="17" s="1"/>
  <c r="BL7" i="17"/>
  <c r="BM7" i="17" s="1"/>
  <c r="WH11" i="17"/>
  <c r="WG10" i="17"/>
  <c r="WH10" i="17" s="1"/>
  <c r="AV4" i="17"/>
  <c r="AW4" i="17" s="1"/>
  <c r="EB4" i="17"/>
  <c r="EC4" i="17" s="1"/>
  <c r="HH4" i="17"/>
  <c r="HI4" i="17" s="1"/>
  <c r="KN4" i="17"/>
  <c r="KO4" i="17" s="1"/>
  <c r="NT4" i="17"/>
  <c r="NU4" i="17" s="1"/>
  <c r="QZ4" i="17"/>
  <c r="RA4" i="17" s="1"/>
  <c r="TX4" i="17"/>
  <c r="TY4" i="17" s="1"/>
  <c r="V5" i="17"/>
  <c r="DB5" i="17"/>
  <c r="GH5" i="17"/>
  <c r="JN5" i="17"/>
  <c r="MT5" i="17"/>
  <c r="PZ5" i="17"/>
  <c r="TB5" i="17"/>
  <c r="VR5" i="17"/>
  <c r="BL6" i="17"/>
  <c r="BM6" i="17" s="1"/>
  <c r="ER6" i="17"/>
  <c r="ES6" i="17" s="1"/>
  <c r="HX6" i="17"/>
  <c r="HY6" i="17" s="1"/>
  <c r="LD6" i="17"/>
  <c r="LE6" i="17" s="1"/>
  <c r="OJ6" i="17"/>
  <c r="OK6" i="17" s="1"/>
  <c r="RP6" i="17"/>
  <c r="RQ6" i="17" s="1"/>
  <c r="UJ6" i="17"/>
  <c r="UK6" i="17" s="1"/>
  <c r="V7" i="17"/>
  <c r="W7" i="17" s="1"/>
  <c r="DB7" i="17"/>
  <c r="DC7" i="17" s="1"/>
  <c r="ER7" i="17"/>
  <c r="ES7" i="17" s="1"/>
  <c r="GH7" i="17"/>
  <c r="GI7" i="17" s="1"/>
  <c r="HX7" i="17"/>
  <c r="HY7" i="17" s="1"/>
  <c r="JN7" i="17"/>
  <c r="JO7" i="17" s="1"/>
  <c r="LD7" i="17"/>
  <c r="LE7" i="17" s="1"/>
  <c r="MT7" i="17"/>
  <c r="MU7" i="17" s="1"/>
  <c r="OJ7" i="17"/>
  <c r="OK7" i="17" s="1"/>
  <c r="PZ7" i="17"/>
  <c r="QA7" i="17" s="1"/>
  <c r="RP7" i="17"/>
  <c r="RQ7" i="17" s="1"/>
  <c r="TB7" i="17"/>
  <c r="TC7" i="17" s="1"/>
  <c r="UJ7" i="17"/>
  <c r="UK7" i="17" s="1"/>
  <c r="VR7" i="17"/>
  <c r="VS7" i="17" s="1"/>
  <c r="V8" i="17"/>
  <c r="W8" i="17" s="1"/>
  <c r="BL8" i="17"/>
  <c r="BM8" i="17" s="1"/>
  <c r="DB8" i="17"/>
  <c r="DC8" i="17" s="1"/>
  <c r="ER8" i="17"/>
  <c r="ES8" i="17" s="1"/>
  <c r="GH8" i="17"/>
  <c r="GI8" i="17" s="1"/>
  <c r="HX8" i="17"/>
  <c r="HY8" i="17" s="1"/>
  <c r="JN8" i="17"/>
  <c r="JO8" i="17" s="1"/>
  <c r="LD8" i="17"/>
  <c r="LE8" i="17" s="1"/>
  <c r="MT8" i="17"/>
  <c r="MU8" i="17" s="1"/>
  <c r="OJ8" i="17"/>
  <c r="OK8" i="17" s="1"/>
  <c r="PK11" i="17"/>
  <c r="PZ11" i="17"/>
  <c r="G15" i="17"/>
  <c r="F13" i="17"/>
  <c r="G13" i="17" s="1"/>
  <c r="V15" i="17"/>
  <c r="W15" i="17" s="1"/>
  <c r="M17" i="17"/>
  <c r="V17" i="17"/>
  <c r="L16" i="17"/>
  <c r="M16" i="17" s="1"/>
  <c r="ER5" i="17"/>
  <c r="OJ5" i="17"/>
  <c r="V6" i="17"/>
  <c r="W6" i="17" s="1"/>
  <c r="DB6" i="17"/>
  <c r="DC6" i="17" s="1"/>
  <c r="OA11" i="17"/>
  <c r="NZ10" i="17"/>
  <c r="OA10" i="17" s="1"/>
  <c r="BQ4" i="17"/>
  <c r="BR4" i="17" s="1"/>
  <c r="EW4" i="17"/>
  <c r="EX4" i="17" s="1"/>
  <c r="IC4" i="17"/>
  <c r="ID4" i="17" s="1"/>
  <c r="LI4" i="17"/>
  <c r="LJ4" i="17" s="1"/>
  <c r="OO4" i="17"/>
  <c r="OP4" i="17" s="1"/>
  <c r="RU4" i="17"/>
  <c r="RV4" i="17" s="1"/>
  <c r="UO4" i="17"/>
  <c r="UP4" i="17" s="1"/>
  <c r="AQ5" i="17"/>
  <c r="DW5" i="17"/>
  <c r="HC5" i="17"/>
  <c r="KI5" i="17"/>
  <c r="NO5" i="17"/>
  <c r="QU5" i="17"/>
  <c r="TS5" i="17"/>
  <c r="WI5" i="17"/>
  <c r="CG6" i="17"/>
  <c r="CH6" i="17" s="1"/>
  <c r="FM6" i="17"/>
  <c r="FN6" i="17" s="1"/>
  <c r="IS6" i="17"/>
  <c r="IT6" i="17" s="1"/>
  <c r="LY6" i="17"/>
  <c r="LZ6" i="17" s="1"/>
  <c r="PE6" i="17"/>
  <c r="PF6" i="17" s="1"/>
  <c r="SK6" i="17"/>
  <c r="SL6" i="17" s="1"/>
  <c r="VA6" i="17"/>
  <c r="VB6" i="17" s="1"/>
  <c r="AQ7" i="17"/>
  <c r="AR7" i="17" s="1"/>
  <c r="F10" i="17"/>
  <c r="G10" i="17" s="1"/>
  <c r="AV10" i="17"/>
  <c r="AW10" i="17" s="1"/>
  <c r="CL10" i="17"/>
  <c r="CM10" i="17" s="1"/>
  <c r="EB10" i="17"/>
  <c r="EC10" i="17" s="1"/>
  <c r="FR10" i="17"/>
  <c r="FS10" i="17" s="1"/>
  <c r="HH10" i="17"/>
  <c r="HI10" i="17" s="1"/>
  <c r="PJ10" i="17"/>
  <c r="PK10" i="17" s="1"/>
  <c r="V11" i="17"/>
  <c r="BL11" i="17"/>
  <c r="DB11" i="17"/>
  <c r="ER11" i="17"/>
  <c r="GH11" i="17"/>
  <c r="HX11" i="17"/>
  <c r="UD11" i="17"/>
  <c r="UC10" i="17"/>
  <c r="UD10" i="17" s="1"/>
  <c r="FS15" i="17"/>
  <c r="FR13" i="17"/>
  <c r="FS13" i="17" s="1"/>
  <c r="GH15" i="17"/>
  <c r="GI15" i="17" s="1"/>
  <c r="TB14" i="17"/>
  <c r="BL15" i="17"/>
  <c r="BM15" i="17" s="1"/>
  <c r="HX15" i="17"/>
  <c r="HY15" i="17" s="1"/>
  <c r="OJ15" i="17"/>
  <c r="UJ15" i="17"/>
  <c r="UK15" i="17" s="1"/>
  <c r="JE17" i="17"/>
  <c r="JD16" i="17"/>
  <c r="JE16" i="17" s="1"/>
  <c r="DW7" i="17"/>
  <c r="DX7" i="17" s="1"/>
  <c r="FM7" i="17"/>
  <c r="FN7" i="17" s="1"/>
  <c r="HC7" i="17"/>
  <c r="HD7" i="17" s="1"/>
  <c r="IS7" i="17"/>
  <c r="IT7" i="17" s="1"/>
  <c r="KI7" i="17"/>
  <c r="KJ7" i="17" s="1"/>
  <c r="LY7" i="17"/>
  <c r="LZ7" i="17" s="1"/>
  <c r="NO7" i="17"/>
  <c r="NP7" i="17" s="1"/>
  <c r="PE7" i="17"/>
  <c r="PF7" i="17" s="1"/>
  <c r="QU7" i="17"/>
  <c r="QV7" i="17" s="1"/>
  <c r="SK7" i="17"/>
  <c r="SL7" i="17" s="1"/>
  <c r="TS7" i="17"/>
  <c r="TT7" i="17" s="1"/>
  <c r="VA7" i="17"/>
  <c r="VB7" i="17" s="1"/>
  <c r="WI7" i="17"/>
  <c r="WJ7" i="17" s="1"/>
  <c r="AQ8" i="17"/>
  <c r="AR8" i="17" s="1"/>
  <c r="CG8" i="17"/>
  <c r="CH8" i="17" s="1"/>
  <c r="DW8" i="17"/>
  <c r="DX8" i="17" s="1"/>
  <c r="FM8" i="17"/>
  <c r="FN8" i="17" s="1"/>
  <c r="HC8" i="17"/>
  <c r="HD8" i="17" s="1"/>
  <c r="IS8" i="17"/>
  <c r="IT8" i="17" s="1"/>
  <c r="KI8" i="17"/>
  <c r="KJ8" i="17" s="1"/>
  <c r="LY8" i="17"/>
  <c r="LZ8" i="17" s="1"/>
  <c r="NO8" i="17"/>
  <c r="NP8" i="17" s="1"/>
  <c r="PE8" i="17"/>
  <c r="PF8" i="17" s="1"/>
  <c r="QU8" i="17"/>
  <c r="QV8" i="17" s="1"/>
  <c r="SK8" i="17"/>
  <c r="SL8" i="17" s="1"/>
  <c r="TS8" i="17"/>
  <c r="TT8" i="17" s="1"/>
  <c r="VA8" i="17"/>
  <c r="VB8" i="17" s="1"/>
  <c r="WI8" i="17"/>
  <c r="WJ8" i="17" s="1"/>
  <c r="AQ9" i="17"/>
  <c r="AR9" i="17" s="1"/>
  <c r="CG9" i="17"/>
  <c r="CH9" i="17" s="1"/>
  <c r="DW9" i="17"/>
  <c r="DX9" i="17" s="1"/>
  <c r="FM9" i="17"/>
  <c r="FN9" i="17" s="1"/>
  <c r="HC9" i="17"/>
  <c r="HD9" i="17" s="1"/>
  <c r="IS9" i="17"/>
  <c r="IT9" i="17" s="1"/>
  <c r="KI9" i="17"/>
  <c r="KJ9" i="17" s="1"/>
  <c r="LY9" i="17"/>
  <c r="LZ9" i="17" s="1"/>
  <c r="NO9" i="17"/>
  <c r="NP9" i="17" s="1"/>
  <c r="PE9" i="17"/>
  <c r="PF9" i="17" s="1"/>
  <c r="QU9" i="17"/>
  <c r="QV9" i="17" s="1"/>
  <c r="SK9" i="17"/>
  <c r="SL9" i="17" s="1"/>
  <c r="TS9" i="17"/>
  <c r="TT9" i="17" s="1"/>
  <c r="VA9" i="17"/>
  <c r="VB9" i="17" s="1"/>
  <c r="WI9" i="17"/>
  <c r="WJ9" i="17" s="1"/>
  <c r="AQ11" i="17"/>
  <c r="CG11" i="17"/>
  <c r="DW11" i="17"/>
  <c r="FM11" i="17"/>
  <c r="HC11" i="17"/>
  <c r="IS11" i="17"/>
  <c r="ID11" i="17"/>
  <c r="JN11" i="17"/>
  <c r="JZ11" i="17"/>
  <c r="OJ11" i="17"/>
  <c r="UJ11" i="17"/>
  <c r="DB12" i="17"/>
  <c r="DC12" i="17" s="1"/>
  <c r="ER12" i="17"/>
  <c r="ES12" i="17" s="1"/>
  <c r="GH12" i="17"/>
  <c r="GI12" i="17" s="1"/>
  <c r="HX12" i="17"/>
  <c r="HY12" i="17" s="1"/>
  <c r="JN12" i="17"/>
  <c r="JO12" i="17" s="1"/>
  <c r="LD12" i="17"/>
  <c r="LE12" i="17" s="1"/>
  <c r="MT12" i="17"/>
  <c r="OJ12" i="17"/>
  <c r="OK12" i="17" s="1"/>
  <c r="PZ12" i="17"/>
  <c r="QA12" i="17" s="1"/>
  <c r="RP12" i="17"/>
  <c r="TB12" i="17"/>
  <c r="UJ12" i="17"/>
  <c r="UK12" i="17" s="1"/>
  <c r="VR12" i="17"/>
  <c r="VS12" i="17" s="1"/>
  <c r="V14" i="17"/>
  <c r="BL14" i="17"/>
  <c r="DB14" i="17"/>
  <c r="ER14" i="17"/>
  <c r="GH14" i="17"/>
  <c r="HX14" i="17"/>
  <c r="JN14" i="17"/>
  <c r="UJ14" i="17"/>
  <c r="DB15" i="17"/>
  <c r="DC15" i="17" s="1"/>
  <c r="JN15" i="17"/>
  <c r="JO15" i="17" s="1"/>
  <c r="PZ15" i="17"/>
  <c r="QA15" i="17" s="1"/>
  <c r="VR15" i="17"/>
  <c r="VS15" i="17" s="1"/>
  <c r="II16" i="17"/>
  <c r="IJ16" i="17" s="1"/>
  <c r="IJ17" i="17"/>
  <c r="JL10" i="17"/>
  <c r="JM10" i="17" s="1"/>
  <c r="AV13" i="17"/>
  <c r="AW13" i="17" s="1"/>
  <c r="HH13" i="17"/>
  <c r="HI13" i="17" s="1"/>
  <c r="NT13" i="17"/>
  <c r="NU13" i="17" s="1"/>
  <c r="SP13" i="17"/>
  <c r="SQ13" i="17" s="1"/>
  <c r="TX13" i="17"/>
  <c r="TY13" i="17" s="1"/>
  <c r="PZ14" i="17"/>
  <c r="VR14" i="17"/>
  <c r="ER15" i="17"/>
  <c r="ES15" i="17" s="1"/>
  <c r="LD15" i="17"/>
  <c r="RP15" i="17"/>
  <c r="RQ15" i="17" s="1"/>
  <c r="BB16" i="17"/>
  <c r="BC16" i="17" s="1"/>
  <c r="DU16" i="17"/>
  <c r="DV16" i="17" s="1"/>
  <c r="FX16" i="17"/>
  <c r="FY16" i="17" s="1"/>
  <c r="KG16" i="17"/>
  <c r="KH16" i="17" s="1"/>
  <c r="LW16" i="17"/>
  <c r="LX16" i="17" s="1"/>
  <c r="NM16" i="17"/>
  <c r="NN16" i="17" s="1"/>
  <c r="PC16" i="17"/>
  <c r="PD16" i="17" s="1"/>
  <c r="QS16" i="17"/>
  <c r="QT16" i="17" s="1"/>
  <c r="SI16" i="17"/>
  <c r="SJ16" i="17" s="1"/>
  <c r="TQ16" i="17"/>
  <c r="TR16" i="17" s="1"/>
  <c r="UH16" i="17"/>
  <c r="UI16" i="17" s="1"/>
  <c r="WG16" i="17"/>
  <c r="WH16" i="17" s="1"/>
  <c r="DB17" i="17"/>
  <c r="IY19" i="17"/>
  <c r="JN19" i="17"/>
  <c r="JO19" i="17" s="1"/>
  <c r="PK19" i="17"/>
  <c r="PZ19" i="17"/>
  <c r="QA19" i="17" s="1"/>
  <c r="KI11" i="17"/>
  <c r="LY11" i="17"/>
  <c r="NO11" i="17"/>
  <c r="PE11" i="17"/>
  <c r="QU11" i="17"/>
  <c r="SK11" i="17"/>
  <c r="TS11" i="17"/>
  <c r="VA11" i="17"/>
  <c r="WI11" i="17"/>
  <c r="AQ12" i="17"/>
  <c r="AR12" i="17" s="1"/>
  <c r="CG12" i="17"/>
  <c r="CH12" i="17" s="1"/>
  <c r="DW12" i="17"/>
  <c r="DX12" i="17" s="1"/>
  <c r="FM12" i="17"/>
  <c r="FN12" i="17" s="1"/>
  <c r="HC12" i="17"/>
  <c r="HD12" i="17" s="1"/>
  <c r="IS12" i="17"/>
  <c r="IT12" i="17" s="1"/>
  <c r="KI12" i="17"/>
  <c r="KJ12" i="17" s="1"/>
  <c r="LY12" i="17"/>
  <c r="LZ12" i="17" s="1"/>
  <c r="NO12" i="17"/>
  <c r="NP12" i="17" s="1"/>
  <c r="PE12" i="17"/>
  <c r="PF12" i="17" s="1"/>
  <c r="QU12" i="17"/>
  <c r="QV12" i="17" s="1"/>
  <c r="SK12" i="17"/>
  <c r="SL12" i="17" s="1"/>
  <c r="TS12" i="17"/>
  <c r="TT12" i="17" s="1"/>
  <c r="VA12" i="17"/>
  <c r="VB12" i="17" s="1"/>
  <c r="WI12" i="17"/>
  <c r="WJ12" i="17" s="1"/>
  <c r="AQ14" i="17"/>
  <c r="CG14" i="17"/>
  <c r="DW14" i="17"/>
  <c r="FM14" i="17"/>
  <c r="HC14" i="17"/>
  <c r="IS14" i="17"/>
  <c r="KI14" i="17"/>
  <c r="LY14" i="17"/>
  <c r="NO14" i="17"/>
  <c r="PE14" i="17"/>
  <c r="QU14" i="17"/>
  <c r="SK14" i="17"/>
  <c r="TS14" i="17"/>
  <c r="VA14" i="17"/>
  <c r="WI14" i="17"/>
  <c r="AQ15" i="17"/>
  <c r="AR15" i="17" s="1"/>
  <c r="CG15" i="17"/>
  <c r="CH15" i="17" s="1"/>
  <c r="DW15" i="17"/>
  <c r="DX15" i="17" s="1"/>
  <c r="FM15" i="17"/>
  <c r="FN15" i="17" s="1"/>
  <c r="HC15" i="17"/>
  <c r="HD15" i="17" s="1"/>
  <c r="IS15" i="17"/>
  <c r="IT15" i="17" s="1"/>
  <c r="KI15" i="17"/>
  <c r="KJ15" i="17" s="1"/>
  <c r="LY15" i="17"/>
  <c r="LZ15" i="17" s="1"/>
  <c r="NO15" i="17"/>
  <c r="NP15" i="17" s="1"/>
  <c r="PE15" i="17"/>
  <c r="PF15" i="17" s="1"/>
  <c r="QU15" i="17"/>
  <c r="QV15" i="17" s="1"/>
  <c r="SK15" i="17"/>
  <c r="SL15" i="17" s="1"/>
  <c r="TS15" i="17"/>
  <c r="TT15" i="17" s="1"/>
  <c r="VA15" i="17"/>
  <c r="VB15" i="17" s="1"/>
  <c r="WI15" i="17"/>
  <c r="WJ15" i="17" s="1"/>
  <c r="SQ18" i="17"/>
  <c r="TB18" i="17"/>
  <c r="TC18" i="17" s="1"/>
  <c r="VG18" i="17"/>
  <c r="VR18" i="17"/>
  <c r="VS18" i="17" s="1"/>
  <c r="HI19" i="17"/>
  <c r="HX19" i="17"/>
  <c r="HY19" i="17" s="1"/>
  <c r="T16" i="17"/>
  <c r="U16" i="17" s="1"/>
  <c r="BJ16" i="17"/>
  <c r="BK16" i="17" s="1"/>
  <c r="BW16" i="17"/>
  <c r="BX16" i="17" s="1"/>
  <c r="EP16" i="17"/>
  <c r="EQ16" i="17" s="1"/>
  <c r="LB16" i="17"/>
  <c r="LC16" i="17" s="1"/>
  <c r="MR16" i="17"/>
  <c r="MS16" i="17" s="1"/>
  <c r="OH16" i="17"/>
  <c r="OI16" i="17" s="1"/>
  <c r="PX16" i="17"/>
  <c r="PY16" i="17" s="1"/>
  <c r="RN16" i="17"/>
  <c r="RO16" i="17" s="1"/>
  <c r="SZ16" i="17"/>
  <c r="TA16" i="17" s="1"/>
  <c r="UY16" i="17"/>
  <c r="UZ16" i="17" s="1"/>
  <c r="VP16" i="17"/>
  <c r="VQ16" i="17" s="1"/>
  <c r="ER17" i="17"/>
  <c r="IY17" i="17"/>
  <c r="JN17" i="17"/>
  <c r="NU19" i="17"/>
  <c r="OJ19" i="17"/>
  <c r="OK19" i="17" s="1"/>
  <c r="UJ19" i="17"/>
  <c r="UK19" i="17" s="1"/>
  <c r="AW20" i="17"/>
  <c r="HI20" i="17"/>
  <c r="AW19" i="17"/>
  <c r="BL19" i="17"/>
  <c r="BM19" i="17" s="1"/>
  <c r="FS19" i="17"/>
  <c r="GH19" i="17"/>
  <c r="GI19" i="17" s="1"/>
  <c r="ME19" i="17"/>
  <c r="MT19" i="17"/>
  <c r="MU19" i="17" s="1"/>
  <c r="SQ19" i="17"/>
  <c r="TB19" i="17"/>
  <c r="TC19" i="17" s="1"/>
  <c r="AH21" i="17"/>
  <c r="AG20" i="17"/>
  <c r="CZ20" i="17"/>
  <c r="DA21" i="17"/>
  <c r="EW20" i="17"/>
  <c r="FM21" i="17"/>
  <c r="EX21" i="17"/>
  <c r="GT21" i="17"/>
  <c r="GS20" i="17"/>
  <c r="OA21" i="17"/>
  <c r="OJ21" i="17"/>
  <c r="NZ20" i="17"/>
  <c r="UD17" i="17"/>
  <c r="UC16" i="17"/>
  <c r="UD16" i="17" s="1"/>
  <c r="UU17" i="17"/>
  <c r="UT16" i="17"/>
  <c r="UU16" i="17" s="1"/>
  <c r="VL17" i="17"/>
  <c r="VK16" i="17"/>
  <c r="VL16" i="17" s="1"/>
  <c r="WC17" i="17"/>
  <c r="WB16" i="17"/>
  <c r="WC16" i="17" s="1"/>
  <c r="EC19" i="17"/>
  <c r="ER19" i="17"/>
  <c r="ES19" i="17" s="1"/>
  <c r="KO19" i="17"/>
  <c r="LD19" i="17"/>
  <c r="LE19" i="17" s="1"/>
  <c r="RA19" i="17"/>
  <c r="RP19" i="17"/>
  <c r="RQ19" i="17" s="1"/>
  <c r="AQ17" i="17"/>
  <c r="CG17" i="17"/>
  <c r="DW17" i="17"/>
  <c r="FM17" i="17"/>
  <c r="HC17" i="17"/>
  <c r="IS17" i="17"/>
  <c r="KI17" i="17"/>
  <c r="LY17" i="17"/>
  <c r="NO17" i="17"/>
  <c r="PE17" i="17"/>
  <c r="QU17" i="17"/>
  <c r="SK17" i="17"/>
  <c r="TS17" i="17"/>
  <c r="VA17" i="17"/>
  <c r="WI17" i="17"/>
  <c r="AQ18" i="17"/>
  <c r="AR18" i="17" s="1"/>
  <c r="CG18" i="17"/>
  <c r="CH18" i="17" s="1"/>
  <c r="DW18" i="17"/>
  <c r="DX18" i="17" s="1"/>
  <c r="FM18" i="17"/>
  <c r="FN18" i="17" s="1"/>
  <c r="HC18" i="17"/>
  <c r="HD18" i="17" s="1"/>
  <c r="IS18" i="17"/>
  <c r="IT18" i="17" s="1"/>
  <c r="KI18" i="17"/>
  <c r="KJ18" i="17" s="1"/>
  <c r="LY18" i="17"/>
  <c r="LZ18" i="17" s="1"/>
  <c r="NO18" i="17"/>
  <c r="NP18" i="17" s="1"/>
  <c r="PE18" i="17"/>
  <c r="PF18" i="17" s="1"/>
  <c r="QU18" i="17"/>
  <c r="QV18" i="17" s="1"/>
  <c r="QF18" i="17"/>
  <c r="RP18" i="17"/>
  <c r="RQ18" i="17" s="1"/>
  <c r="UJ18" i="17"/>
  <c r="UK18" i="17" s="1"/>
  <c r="V19" i="17"/>
  <c r="W19" i="17" s="1"/>
  <c r="DB19" i="17"/>
  <c r="DC19" i="17" s="1"/>
  <c r="VR19" i="17"/>
  <c r="VS19" i="17" s="1"/>
  <c r="KO20" i="17"/>
  <c r="RV20" i="17"/>
  <c r="DW21" i="17"/>
  <c r="ER21" i="17"/>
  <c r="EC21" i="17"/>
  <c r="NN21" i="17"/>
  <c r="NM20" i="17"/>
  <c r="G20" i="17"/>
  <c r="EC20" i="17"/>
  <c r="FS20" i="17"/>
  <c r="ME20" i="17"/>
  <c r="T20" i="17"/>
  <c r="U21" i="17"/>
  <c r="BQ20" i="17"/>
  <c r="CG21" i="17"/>
  <c r="BR21" i="17"/>
  <c r="DN21" i="17"/>
  <c r="DM20" i="17"/>
  <c r="GF20" i="17"/>
  <c r="GG21" i="17"/>
  <c r="UD21" i="17"/>
  <c r="UJ21" i="17"/>
  <c r="LD17" i="17"/>
  <c r="MT17" i="17"/>
  <c r="OJ17" i="17"/>
  <c r="PZ17" i="17"/>
  <c r="RP17" i="17"/>
  <c r="TB17" i="17"/>
  <c r="UJ17" i="17"/>
  <c r="VR17" i="17"/>
  <c r="V18" i="17"/>
  <c r="W18" i="17" s="1"/>
  <c r="BL18" i="17"/>
  <c r="DB18" i="17"/>
  <c r="DC18" i="17" s="1"/>
  <c r="ER18" i="17"/>
  <c r="ES18" i="17" s="1"/>
  <c r="GH18" i="17"/>
  <c r="GI18" i="17" s="1"/>
  <c r="HX18" i="17"/>
  <c r="JN18" i="17"/>
  <c r="JO18" i="17" s="1"/>
  <c r="LD18" i="17"/>
  <c r="LE18" i="17" s="1"/>
  <c r="MT18" i="17"/>
  <c r="MU18" i="17" s="1"/>
  <c r="OJ18" i="17"/>
  <c r="OK18" i="17" s="1"/>
  <c r="PZ18" i="17"/>
  <c r="QA18" i="17" s="1"/>
  <c r="CM20" i="17"/>
  <c r="UD20" i="17"/>
  <c r="AQ21" i="17"/>
  <c r="BL21" i="17"/>
  <c r="AW21" i="17"/>
  <c r="HC21" i="17"/>
  <c r="HX21" i="17"/>
  <c r="HI21" i="17"/>
  <c r="IS21" i="17"/>
  <c r="ID21" i="17"/>
  <c r="IC20" i="17"/>
  <c r="MT21" i="17"/>
  <c r="ME21" i="17"/>
  <c r="TQ20" i="17"/>
  <c r="TR21" i="17"/>
  <c r="DV20" i="17"/>
  <c r="FL20" i="17"/>
  <c r="HB20" i="17"/>
  <c r="RG20" i="17"/>
  <c r="VG20" i="17"/>
  <c r="KI21" i="17"/>
  <c r="JT21" i="17"/>
  <c r="LD21" i="17"/>
  <c r="KO21" i="17"/>
  <c r="LY21" i="17"/>
  <c r="LJ21" i="17"/>
  <c r="SK21" i="17"/>
  <c r="RV21" i="17"/>
  <c r="SK18" i="17"/>
  <c r="SL18" i="17" s="1"/>
  <c r="TS18" i="17"/>
  <c r="TT18" i="17" s="1"/>
  <c r="VA18" i="17"/>
  <c r="VB18" i="17" s="1"/>
  <c r="WI18" i="17"/>
  <c r="WJ18" i="17" s="1"/>
  <c r="AQ19" i="17"/>
  <c r="AR19" i="17" s="1"/>
  <c r="CG19" i="17"/>
  <c r="CH19" i="17" s="1"/>
  <c r="DW19" i="17"/>
  <c r="DX19" i="17" s="1"/>
  <c r="FM19" i="17"/>
  <c r="FN19" i="17" s="1"/>
  <c r="HC19" i="17"/>
  <c r="HD19" i="17" s="1"/>
  <c r="IS19" i="17"/>
  <c r="IT19" i="17" s="1"/>
  <c r="KI19" i="17"/>
  <c r="KJ19" i="17" s="1"/>
  <c r="LY19" i="17"/>
  <c r="LZ19" i="17" s="1"/>
  <c r="NO19" i="17"/>
  <c r="NP19" i="17" s="1"/>
  <c r="PE19" i="17"/>
  <c r="PF19" i="17" s="1"/>
  <c r="QU19" i="17"/>
  <c r="QV19" i="17" s="1"/>
  <c r="SK19" i="17"/>
  <c r="SL19" i="17" s="1"/>
  <c r="TS19" i="17"/>
  <c r="TT19" i="17" s="1"/>
  <c r="VA19" i="17"/>
  <c r="VB19" i="17" s="1"/>
  <c r="WI19" i="17"/>
  <c r="WJ19" i="17" s="1"/>
  <c r="DH20" i="17"/>
  <c r="GN20" i="17"/>
  <c r="JT20" i="17"/>
  <c r="LJ20" i="17"/>
  <c r="OP20" i="17"/>
  <c r="QF20" i="17"/>
  <c r="SQ20" i="17"/>
  <c r="V21" i="17"/>
  <c r="G21" i="17"/>
  <c r="DB21" i="17"/>
  <c r="CM21" i="17"/>
  <c r="GH21" i="17"/>
  <c r="FS21" i="17"/>
  <c r="RG21" i="17"/>
  <c r="RP21" i="17"/>
  <c r="BJ20" i="17"/>
  <c r="BW20" i="17"/>
  <c r="HW20" i="17"/>
  <c r="II20" i="17"/>
  <c r="OI20" i="17"/>
  <c r="PY20" i="17"/>
  <c r="RO20" i="17"/>
  <c r="TH20" i="17"/>
  <c r="AB21" i="17"/>
  <c r="DH21" i="17"/>
  <c r="GN21" i="17"/>
  <c r="PE21" i="17"/>
  <c r="OP21" i="17"/>
  <c r="VA21" i="17"/>
  <c r="UP21" i="17"/>
  <c r="WH21" i="17"/>
  <c r="NO21" i="17"/>
  <c r="MZ21" i="17"/>
  <c r="QU21" i="17"/>
  <c r="QF21" i="17"/>
  <c r="TS21" i="17"/>
  <c r="TH21" i="17"/>
  <c r="WI21" i="17"/>
  <c r="VX21" i="17"/>
  <c r="W6" i="15"/>
  <c r="DV5" i="15"/>
  <c r="DU4" i="15"/>
  <c r="DV4" i="15" s="1"/>
  <c r="SQ5" i="15"/>
  <c r="TB5" i="15"/>
  <c r="BL17" i="15"/>
  <c r="AW17" i="15"/>
  <c r="AV16" i="15"/>
  <c r="AW16" i="15" s="1"/>
  <c r="DW17" i="15"/>
  <c r="DH17" i="15"/>
  <c r="DG16" i="15"/>
  <c r="DH16" i="15" s="1"/>
  <c r="FM17" i="15"/>
  <c r="EX17" i="15"/>
  <c r="EW16" i="15"/>
  <c r="EX16" i="15" s="1"/>
  <c r="IS17" i="15"/>
  <c r="ID17" i="15"/>
  <c r="IC16" i="15"/>
  <c r="ID16" i="15" s="1"/>
  <c r="LD17" i="15"/>
  <c r="KO17" i="15"/>
  <c r="KN16" i="15"/>
  <c r="KO16" i="15" s="1"/>
  <c r="EC5" i="15"/>
  <c r="EB4" i="15"/>
  <c r="EC4" i="15" s="1"/>
  <c r="VG5" i="15"/>
  <c r="VR5" i="15"/>
  <c r="JM6" i="15"/>
  <c r="JL4" i="15"/>
  <c r="JM4" i="15" s="1"/>
  <c r="PY6" i="15"/>
  <c r="PX4" i="15"/>
  <c r="PY4" i="15" s="1"/>
  <c r="BK7" i="15"/>
  <c r="BJ4" i="15"/>
  <c r="BK4" i="15" s="1"/>
  <c r="IQ13" i="15"/>
  <c r="IR13" i="15" s="1"/>
  <c r="IR14" i="15"/>
  <c r="KN13" i="15"/>
  <c r="KO13" i="15" s="1"/>
  <c r="LD14" i="15"/>
  <c r="KO14" i="15"/>
  <c r="MK14" i="15"/>
  <c r="MJ13" i="15"/>
  <c r="MK13" i="15" s="1"/>
  <c r="PC13" i="15"/>
  <c r="PD13" i="15" s="1"/>
  <c r="PD14" i="15"/>
  <c r="QZ13" i="15"/>
  <c r="RA13" i="15" s="1"/>
  <c r="RP14" i="15"/>
  <c r="RA14" i="15"/>
  <c r="SV14" i="15"/>
  <c r="SU13" i="15"/>
  <c r="SV13" i="15" s="1"/>
  <c r="VL14" i="15"/>
  <c r="VR14" i="15"/>
  <c r="VK13" i="15"/>
  <c r="VL13" i="15" s="1"/>
  <c r="GG15" i="15"/>
  <c r="GF13" i="15"/>
  <c r="GG13" i="15" s="1"/>
  <c r="RO15" i="15"/>
  <c r="RN13" i="15"/>
  <c r="RO13" i="15" s="1"/>
  <c r="CM5" i="15"/>
  <c r="CL4" i="15"/>
  <c r="CM4" i="15" s="1"/>
  <c r="U6" i="15"/>
  <c r="T4" i="15"/>
  <c r="U4" i="15" s="1"/>
  <c r="TH8" i="15"/>
  <c r="TS8" i="15"/>
  <c r="TT8" i="15" s="1"/>
  <c r="TG4" i="15"/>
  <c r="TH4" i="15" s="1"/>
  <c r="AQ17" i="15"/>
  <c r="AB17" i="15"/>
  <c r="AA16" i="15"/>
  <c r="AB16" i="15" s="1"/>
  <c r="DB17" i="15"/>
  <c r="CM17" i="15"/>
  <c r="CL16" i="15"/>
  <c r="CM16" i="15" s="1"/>
  <c r="GH17" i="15"/>
  <c r="FS17" i="15"/>
  <c r="FR16" i="15"/>
  <c r="FS16" i="15" s="1"/>
  <c r="HX17" i="15"/>
  <c r="HI17" i="15"/>
  <c r="HH16" i="15"/>
  <c r="HI16" i="15" s="1"/>
  <c r="KI17" i="15"/>
  <c r="JT17" i="15"/>
  <c r="JS16" i="15"/>
  <c r="JT16" i="15" s="1"/>
  <c r="HN4" i="15"/>
  <c r="HO4" i="15" s="1"/>
  <c r="OI5" i="15"/>
  <c r="OH4" i="15"/>
  <c r="OI4" i="15" s="1"/>
  <c r="OV5" i="15"/>
  <c r="VQ6" i="15"/>
  <c r="VP4" i="15"/>
  <c r="VQ4" i="15" s="1"/>
  <c r="LW4" i="15"/>
  <c r="LX4" i="15" s="1"/>
  <c r="PP4" i="15"/>
  <c r="PQ4" i="15" s="1"/>
  <c r="TQ4" i="15"/>
  <c r="TR4" i="15" s="1"/>
  <c r="VF4" i="15"/>
  <c r="VG4" i="15" s="1"/>
  <c r="G5" i="15"/>
  <c r="F4" i="15"/>
  <c r="G4" i="15" s="1"/>
  <c r="AP5" i="15"/>
  <c r="AO4" i="15"/>
  <c r="AP4" i="15" s="1"/>
  <c r="BL5" i="15"/>
  <c r="HX5" i="15"/>
  <c r="ME5" i="15"/>
  <c r="MT5" i="15"/>
  <c r="OJ5" i="15"/>
  <c r="RO5" i="15"/>
  <c r="RN4" i="15"/>
  <c r="RO4" i="15" s="1"/>
  <c r="SB5" i="15"/>
  <c r="AB9" i="15"/>
  <c r="AQ9" i="15"/>
  <c r="AR9" i="15" s="1"/>
  <c r="AA4" i="15"/>
  <c r="AB4" i="15" s="1"/>
  <c r="V17" i="15"/>
  <c r="G17" i="15"/>
  <c r="F16" i="15"/>
  <c r="G16" i="15" s="1"/>
  <c r="CG17" i="15"/>
  <c r="BR17" i="15"/>
  <c r="BQ16" i="15"/>
  <c r="BR16" i="15" s="1"/>
  <c r="ER17" i="15"/>
  <c r="EC17" i="15"/>
  <c r="EB16" i="15"/>
  <c r="EC16" i="15" s="1"/>
  <c r="HC17" i="15"/>
  <c r="GN17" i="15"/>
  <c r="GM16" i="15"/>
  <c r="GN16" i="15" s="1"/>
  <c r="JN17" i="15"/>
  <c r="IY17" i="15"/>
  <c r="IX16" i="15"/>
  <c r="IY16" i="15" s="1"/>
  <c r="NM4" i="15"/>
  <c r="NN4" i="15" s="1"/>
  <c r="UY4" i="15"/>
  <c r="UZ4" i="15" s="1"/>
  <c r="WG4" i="15"/>
  <c r="WH4" i="15" s="1"/>
  <c r="AW6" i="15"/>
  <c r="BL6" i="15"/>
  <c r="BM6" i="15" s="1"/>
  <c r="GG6" i="15"/>
  <c r="GF4" i="15"/>
  <c r="GG4" i="15" s="1"/>
  <c r="MS6" i="15"/>
  <c r="MR4" i="15"/>
  <c r="MS4" i="15" s="1"/>
  <c r="TA6" i="15"/>
  <c r="SZ4" i="15"/>
  <c r="TA4" i="15" s="1"/>
  <c r="EQ7" i="15"/>
  <c r="EP4" i="15"/>
  <c r="EQ4" i="15" s="1"/>
  <c r="BN1" i="15"/>
  <c r="BB4" i="15"/>
  <c r="BC4" i="15" s="1"/>
  <c r="FK4" i="15"/>
  <c r="FL4" i="15" s="1"/>
  <c r="HA4" i="15"/>
  <c r="HB4" i="15" s="1"/>
  <c r="IQ4" i="15"/>
  <c r="IR4" i="15" s="1"/>
  <c r="KG4" i="15"/>
  <c r="KH4" i="15" s="1"/>
  <c r="MD4" i="15"/>
  <c r="ME4" i="15" s="1"/>
  <c r="SI4" i="15"/>
  <c r="SJ4" i="15" s="1"/>
  <c r="VK4" i="15"/>
  <c r="VL4" i="15" s="1"/>
  <c r="AW5" i="15"/>
  <c r="AV4" i="15"/>
  <c r="AW4" i="15" s="1"/>
  <c r="CF5" i="15"/>
  <c r="CE4" i="15"/>
  <c r="CF4" i="15" s="1"/>
  <c r="DB5" i="15"/>
  <c r="JN5" i="15"/>
  <c r="PK5" i="15"/>
  <c r="PZ5" i="15"/>
  <c r="RP5" i="15"/>
  <c r="UI5" i="15"/>
  <c r="UH4" i="15"/>
  <c r="UI4" i="15" s="1"/>
  <c r="UU5" i="15"/>
  <c r="DA6" i="15"/>
  <c r="CZ4" i="15"/>
  <c r="DA4" i="15" s="1"/>
  <c r="DB6" i="15"/>
  <c r="DC6" i="15" s="1"/>
  <c r="EC6" i="15"/>
  <c r="ER6" i="15"/>
  <c r="ES6" i="15" s="1"/>
  <c r="HW6" i="15"/>
  <c r="HV4" i="15"/>
  <c r="HW4" i="15" s="1"/>
  <c r="LC6" i="15"/>
  <c r="LB4" i="15"/>
  <c r="LC4" i="15" s="1"/>
  <c r="MZ8" i="15"/>
  <c r="NO8" i="15"/>
  <c r="NP8" i="15" s="1"/>
  <c r="MY4" i="15"/>
  <c r="MZ4" i="15" s="1"/>
  <c r="MZ9" i="15"/>
  <c r="NO9" i="15"/>
  <c r="NP9" i="15" s="1"/>
  <c r="RV8" i="15"/>
  <c r="SK8" i="15"/>
  <c r="SL8" i="15" s="1"/>
  <c r="DH9" i="15"/>
  <c r="DW9" i="15"/>
  <c r="DX9" i="15" s="1"/>
  <c r="QF9" i="15"/>
  <c r="QU9" i="15"/>
  <c r="QV9" i="15" s="1"/>
  <c r="LJ8" i="15"/>
  <c r="LY8" i="15"/>
  <c r="LZ8" i="15" s="1"/>
  <c r="LI4" i="15"/>
  <c r="LJ4" i="15" s="1"/>
  <c r="AQ5" i="15"/>
  <c r="CG5" i="15"/>
  <c r="DW5" i="15"/>
  <c r="FM5" i="15"/>
  <c r="HC5" i="15"/>
  <c r="IS5" i="15"/>
  <c r="KI5" i="15"/>
  <c r="LY5" i="15"/>
  <c r="QF8" i="15"/>
  <c r="QU8" i="15"/>
  <c r="QV8" i="15" s="1"/>
  <c r="GN9" i="15"/>
  <c r="HC9" i="15"/>
  <c r="HD9" i="15" s="1"/>
  <c r="TH9" i="15"/>
  <c r="TS9" i="15"/>
  <c r="TT9" i="15" s="1"/>
  <c r="OP12" i="15"/>
  <c r="OO10" i="15"/>
  <c r="OP10" i="15" s="1"/>
  <c r="PE12" i="15"/>
  <c r="PF12" i="15" s="1"/>
  <c r="BR14" i="15"/>
  <c r="BQ13" i="15"/>
  <c r="BR13" i="15" s="1"/>
  <c r="CG14" i="15"/>
  <c r="OP8" i="15"/>
  <c r="PE8" i="15"/>
  <c r="PF8" i="15" s="1"/>
  <c r="UP8" i="15"/>
  <c r="VA8" i="15"/>
  <c r="VB8" i="15" s="1"/>
  <c r="JT9" i="15"/>
  <c r="KI9" i="15"/>
  <c r="KJ9" i="15" s="1"/>
  <c r="UP12" i="15"/>
  <c r="UO10" i="15"/>
  <c r="UP10" i="15" s="1"/>
  <c r="VA12" i="15"/>
  <c r="VB12" i="15" s="1"/>
  <c r="NO5" i="15"/>
  <c r="PE5" i="15"/>
  <c r="QU5" i="15"/>
  <c r="SK5" i="15"/>
  <c r="TS5" i="15"/>
  <c r="VA5" i="15"/>
  <c r="WI5" i="15"/>
  <c r="AQ6" i="15"/>
  <c r="AR6" i="15" s="1"/>
  <c r="CG6" i="15"/>
  <c r="CH6" i="15" s="1"/>
  <c r="DW6" i="15"/>
  <c r="DX6" i="15" s="1"/>
  <c r="FM6" i="15"/>
  <c r="FN6" i="15" s="1"/>
  <c r="HC6" i="15"/>
  <c r="HD6" i="15" s="1"/>
  <c r="IS6" i="15"/>
  <c r="IT6" i="15" s="1"/>
  <c r="KI6" i="15"/>
  <c r="KJ6" i="15" s="1"/>
  <c r="LY6" i="15"/>
  <c r="LZ6" i="15" s="1"/>
  <c r="NO6" i="15"/>
  <c r="NP6" i="15" s="1"/>
  <c r="PE6" i="15"/>
  <c r="PF6" i="15" s="1"/>
  <c r="QU6" i="15"/>
  <c r="QV6" i="15" s="1"/>
  <c r="SK6" i="15"/>
  <c r="SL6" i="15" s="1"/>
  <c r="TS6" i="15"/>
  <c r="TT6" i="15" s="1"/>
  <c r="VA6" i="15"/>
  <c r="VB6" i="15" s="1"/>
  <c r="WI6" i="15"/>
  <c r="WJ6" i="15" s="1"/>
  <c r="AQ7" i="15"/>
  <c r="AR7" i="15" s="1"/>
  <c r="CG7" i="15"/>
  <c r="CH7" i="15" s="1"/>
  <c r="DW7" i="15"/>
  <c r="DX7" i="15" s="1"/>
  <c r="FM7" i="15"/>
  <c r="FN7" i="15" s="1"/>
  <c r="HC7" i="15"/>
  <c r="HD7" i="15" s="1"/>
  <c r="IS7" i="15"/>
  <c r="IT7" i="15" s="1"/>
  <c r="KI7" i="15"/>
  <c r="KJ7" i="15" s="1"/>
  <c r="LY7" i="15"/>
  <c r="LZ7" i="15" s="1"/>
  <c r="NO7" i="15"/>
  <c r="NP7" i="15" s="1"/>
  <c r="PE7" i="15"/>
  <c r="PF7" i="15" s="1"/>
  <c r="QU7" i="15"/>
  <c r="QV7" i="15" s="1"/>
  <c r="SK7" i="15"/>
  <c r="SL7" i="15" s="1"/>
  <c r="TS7" i="15"/>
  <c r="TT7" i="15" s="1"/>
  <c r="VA7" i="15"/>
  <c r="VB7" i="15" s="1"/>
  <c r="WI7" i="15"/>
  <c r="WJ7" i="15" s="1"/>
  <c r="AQ8" i="15"/>
  <c r="AR8" i="15" s="1"/>
  <c r="CG8" i="15"/>
  <c r="CH8" i="15" s="1"/>
  <c r="DW8" i="15"/>
  <c r="DX8" i="15" s="1"/>
  <c r="FM8" i="15"/>
  <c r="FN8" i="15" s="1"/>
  <c r="HC8" i="15"/>
  <c r="HD8" i="15" s="1"/>
  <c r="IS8" i="15"/>
  <c r="IT8" i="15" s="1"/>
  <c r="KI8" i="15"/>
  <c r="KJ8" i="15" s="1"/>
  <c r="WI8" i="15"/>
  <c r="WJ8" i="15" s="1"/>
  <c r="CG9" i="15"/>
  <c r="CH9" i="15" s="1"/>
  <c r="FM9" i="15"/>
  <c r="FN9" i="15" s="1"/>
  <c r="IS9" i="15"/>
  <c r="IT9" i="15" s="1"/>
  <c r="LY9" i="15"/>
  <c r="LZ9" i="15" s="1"/>
  <c r="PE9" i="15"/>
  <c r="PF9" i="15" s="1"/>
  <c r="SK9" i="15"/>
  <c r="SL9" i="15" s="1"/>
  <c r="WI9" i="15"/>
  <c r="WJ9" i="15" s="1"/>
  <c r="DG10" i="15"/>
  <c r="DH10" i="15" s="1"/>
  <c r="AQ11" i="15"/>
  <c r="CG11" i="15"/>
  <c r="DW11" i="15"/>
  <c r="FM11" i="15"/>
  <c r="HC11" i="15"/>
  <c r="IS11" i="15"/>
  <c r="KI11" i="15"/>
  <c r="LY11" i="15"/>
  <c r="NO11" i="15"/>
  <c r="PE11" i="15"/>
  <c r="QU11" i="15"/>
  <c r="SK11" i="15"/>
  <c r="TS11" i="15"/>
  <c r="VA11" i="15"/>
  <c r="WI11" i="15"/>
  <c r="AQ12" i="15"/>
  <c r="AR12" i="15" s="1"/>
  <c r="CG12" i="15"/>
  <c r="CH12" i="15" s="1"/>
  <c r="DW12" i="15"/>
  <c r="DX12" i="15" s="1"/>
  <c r="FM12" i="15"/>
  <c r="FN12" i="15" s="1"/>
  <c r="HC12" i="15"/>
  <c r="HD12" i="15" s="1"/>
  <c r="IS12" i="15"/>
  <c r="IT12" i="15" s="1"/>
  <c r="KI12" i="15"/>
  <c r="KJ12" i="15" s="1"/>
  <c r="QU12" i="15"/>
  <c r="QV12" i="15" s="1"/>
  <c r="WI12" i="15"/>
  <c r="WJ12" i="15" s="1"/>
  <c r="AA13" i="15"/>
  <c r="AB13" i="15" s="1"/>
  <c r="DW14" i="15"/>
  <c r="JN14" i="15"/>
  <c r="KI14" i="15"/>
  <c r="JT14" i="15"/>
  <c r="PZ14" i="15"/>
  <c r="QU14" i="15"/>
  <c r="QF14" i="15"/>
  <c r="UY13" i="15"/>
  <c r="UZ13" i="15" s="1"/>
  <c r="UZ14" i="15"/>
  <c r="EQ15" i="15"/>
  <c r="EP13" i="15"/>
  <c r="EQ13" i="15" s="1"/>
  <c r="LY12" i="15"/>
  <c r="LZ12" i="15" s="1"/>
  <c r="SK12" i="15"/>
  <c r="SL12" i="15" s="1"/>
  <c r="FM14" i="15"/>
  <c r="HH13" i="15"/>
  <c r="HI13" i="15" s="1"/>
  <c r="HX14" i="15"/>
  <c r="HI14" i="15"/>
  <c r="JE14" i="15"/>
  <c r="JD13" i="15"/>
  <c r="JE13" i="15" s="1"/>
  <c r="LW13" i="15"/>
  <c r="LX13" i="15" s="1"/>
  <c r="LX14" i="15"/>
  <c r="NT13" i="15"/>
  <c r="NU13" i="15" s="1"/>
  <c r="OJ14" i="15"/>
  <c r="NU14" i="15"/>
  <c r="PQ14" i="15"/>
  <c r="PP13" i="15"/>
  <c r="PQ13" i="15" s="1"/>
  <c r="SI13" i="15"/>
  <c r="SJ13" i="15" s="1"/>
  <c r="SJ14" i="15"/>
  <c r="LD15" i="15"/>
  <c r="LE15" i="15" s="1"/>
  <c r="KO15" i="15"/>
  <c r="LY15" i="15"/>
  <c r="LZ15" i="15" s="1"/>
  <c r="LJ15" i="15"/>
  <c r="MT15" i="15"/>
  <c r="MU15" i="15" s="1"/>
  <c r="ME15" i="15"/>
  <c r="MD13" i="15"/>
  <c r="ME13" i="15" s="1"/>
  <c r="QU15" i="15"/>
  <c r="QV15" i="15" s="1"/>
  <c r="QF15" i="15"/>
  <c r="UU15" i="15"/>
  <c r="UT13" i="15"/>
  <c r="UU13" i="15" s="1"/>
  <c r="WC15" i="15"/>
  <c r="WI15" i="15"/>
  <c r="WJ15" i="15" s="1"/>
  <c r="WB13" i="15"/>
  <c r="WC13" i="15" s="1"/>
  <c r="GH6" i="15"/>
  <c r="GI6" i="15" s="1"/>
  <c r="HX6" i="15"/>
  <c r="HY6" i="15" s="1"/>
  <c r="JN6" i="15"/>
  <c r="JO6" i="15" s="1"/>
  <c r="LD6" i="15"/>
  <c r="LE6" i="15" s="1"/>
  <c r="MT6" i="15"/>
  <c r="MU6" i="15" s="1"/>
  <c r="OJ6" i="15"/>
  <c r="OK6" i="15" s="1"/>
  <c r="PZ6" i="15"/>
  <c r="QA6" i="15" s="1"/>
  <c r="RP6" i="15"/>
  <c r="RQ6" i="15" s="1"/>
  <c r="TB6" i="15"/>
  <c r="TC6" i="15" s="1"/>
  <c r="UJ6" i="15"/>
  <c r="UK6" i="15" s="1"/>
  <c r="VR6" i="15"/>
  <c r="VS6" i="15" s="1"/>
  <c r="V7" i="15"/>
  <c r="W7" i="15" s="1"/>
  <c r="BL7" i="15"/>
  <c r="BM7" i="15" s="1"/>
  <c r="DB7" i="15"/>
  <c r="DC7" i="15" s="1"/>
  <c r="ER7" i="15"/>
  <c r="ES7" i="15" s="1"/>
  <c r="GH7" i="15"/>
  <c r="GI7" i="15" s="1"/>
  <c r="HX7" i="15"/>
  <c r="HY7" i="15" s="1"/>
  <c r="JN7" i="15"/>
  <c r="JO7" i="15" s="1"/>
  <c r="LD7" i="15"/>
  <c r="LE7" i="15" s="1"/>
  <c r="MT7" i="15"/>
  <c r="MU7" i="15" s="1"/>
  <c r="OJ7" i="15"/>
  <c r="OK7" i="15" s="1"/>
  <c r="PZ7" i="15"/>
  <c r="QA7" i="15" s="1"/>
  <c r="RP7" i="15"/>
  <c r="RQ7" i="15" s="1"/>
  <c r="TB7" i="15"/>
  <c r="TC7" i="15" s="1"/>
  <c r="UJ7" i="15"/>
  <c r="UK7" i="15" s="1"/>
  <c r="VR7" i="15"/>
  <c r="VS7" i="15" s="1"/>
  <c r="V8" i="15"/>
  <c r="W8" i="15" s="1"/>
  <c r="BL8" i="15"/>
  <c r="BM8" i="15" s="1"/>
  <c r="DB8" i="15"/>
  <c r="DC8" i="15" s="1"/>
  <c r="ER8" i="15"/>
  <c r="ES8" i="15" s="1"/>
  <c r="GH8" i="15"/>
  <c r="GI8" i="15" s="1"/>
  <c r="HX8" i="15"/>
  <c r="HY8" i="15" s="1"/>
  <c r="JN8" i="15"/>
  <c r="JO8" i="15" s="1"/>
  <c r="KO8" i="15"/>
  <c r="LD8" i="15"/>
  <c r="LE8" i="15" s="1"/>
  <c r="AA10" i="15"/>
  <c r="AB10" i="15" s="1"/>
  <c r="NO12" i="15"/>
  <c r="NP12" i="15" s="1"/>
  <c r="TS12" i="15"/>
  <c r="TT12" i="15" s="1"/>
  <c r="EW13" i="15"/>
  <c r="EX13" i="15" s="1"/>
  <c r="AQ14" i="15"/>
  <c r="HC14" i="15"/>
  <c r="GN14" i="15"/>
  <c r="MT14" i="15"/>
  <c r="NO14" i="15"/>
  <c r="MZ14" i="15"/>
  <c r="TB14" i="15"/>
  <c r="TS14" i="15"/>
  <c r="TH14" i="15"/>
  <c r="TX13" i="15"/>
  <c r="TY13" i="15" s="1"/>
  <c r="UJ14" i="15"/>
  <c r="TY14" i="15"/>
  <c r="WI14" i="15"/>
  <c r="VX14" i="15"/>
  <c r="V15" i="15"/>
  <c r="W15" i="15" s="1"/>
  <c r="G15" i="15"/>
  <c r="F13" i="15"/>
  <c r="G13" i="15" s="1"/>
  <c r="DW15" i="15"/>
  <c r="DX15" i="15" s="1"/>
  <c r="DH15" i="15"/>
  <c r="IJ15" i="15"/>
  <c r="II13" i="15"/>
  <c r="IJ13" i="15" s="1"/>
  <c r="JZ15" i="15"/>
  <c r="KI15" i="15"/>
  <c r="KJ15" i="15" s="1"/>
  <c r="JY13" i="15"/>
  <c r="JZ13" i="15" s="1"/>
  <c r="TA15" i="15"/>
  <c r="SZ13" i="15"/>
  <c r="TA13" i="15" s="1"/>
  <c r="BL15" i="15"/>
  <c r="BM15" i="15" s="1"/>
  <c r="AW15" i="15"/>
  <c r="CG15" i="15"/>
  <c r="CH15" i="15" s="1"/>
  <c r="BR15" i="15"/>
  <c r="DB15" i="15"/>
  <c r="DC15" i="15" s="1"/>
  <c r="CM15" i="15"/>
  <c r="OJ15" i="15"/>
  <c r="OK15" i="15" s="1"/>
  <c r="NU15" i="15"/>
  <c r="PE15" i="15"/>
  <c r="PF15" i="15" s="1"/>
  <c r="OP15" i="15"/>
  <c r="PZ15" i="15"/>
  <c r="QA15" i="15" s="1"/>
  <c r="PK15" i="15"/>
  <c r="MT8" i="15"/>
  <c r="MU8" i="15" s="1"/>
  <c r="OJ8" i="15"/>
  <c r="OK8" i="15" s="1"/>
  <c r="PZ8" i="15"/>
  <c r="QA8" i="15" s="1"/>
  <c r="RP8" i="15"/>
  <c r="RQ8" i="15" s="1"/>
  <c r="TB8" i="15"/>
  <c r="TC8" i="15" s="1"/>
  <c r="UJ8" i="15"/>
  <c r="UK8" i="15" s="1"/>
  <c r="VR8" i="15"/>
  <c r="VS8" i="15" s="1"/>
  <c r="V9" i="15"/>
  <c r="W9" i="15" s="1"/>
  <c r="BL9" i="15"/>
  <c r="BM9" i="15" s="1"/>
  <c r="DB9" i="15"/>
  <c r="DC9" i="15" s="1"/>
  <c r="ER9" i="15"/>
  <c r="ES9" i="15" s="1"/>
  <c r="GH9" i="15"/>
  <c r="GI9" i="15" s="1"/>
  <c r="HX9" i="15"/>
  <c r="HY9" i="15" s="1"/>
  <c r="JN9" i="15"/>
  <c r="JO9" i="15" s="1"/>
  <c r="LD9" i="15"/>
  <c r="LE9" i="15" s="1"/>
  <c r="MT9" i="15"/>
  <c r="MU9" i="15" s="1"/>
  <c r="OJ9" i="15"/>
  <c r="OK9" i="15" s="1"/>
  <c r="PZ9" i="15"/>
  <c r="QA9" i="15" s="1"/>
  <c r="RP9" i="15"/>
  <c r="RQ9" i="15" s="1"/>
  <c r="TB9" i="15"/>
  <c r="TC9" i="15" s="1"/>
  <c r="UJ9" i="15"/>
  <c r="UK9" i="15" s="1"/>
  <c r="VR9" i="15"/>
  <c r="VS9" i="15" s="1"/>
  <c r="V11" i="15"/>
  <c r="BL11" i="15"/>
  <c r="DB11" i="15"/>
  <c r="ER11" i="15"/>
  <c r="GH11" i="15"/>
  <c r="HX11" i="15"/>
  <c r="JN11" i="15"/>
  <c r="LD11" i="15"/>
  <c r="MT11" i="15"/>
  <c r="OJ11" i="15"/>
  <c r="PZ11" i="15"/>
  <c r="RP11" i="15"/>
  <c r="TB11" i="15"/>
  <c r="UJ11" i="15"/>
  <c r="VR11" i="15"/>
  <c r="V12" i="15"/>
  <c r="W12" i="15" s="1"/>
  <c r="BL12" i="15"/>
  <c r="BM12" i="15" s="1"/>
  <c r="DB12" i="15"/>
  <c r="DC12" i="15" s="1"/>
  <c r="ER12" i="15"/>
  <c r="ES12" i="15" s="1"/>
  <c r="GH12" i="15"/>
  <c r="GI12" i="15" s="1"/>
  <c r="HX12" i="15"/>
  <c r="HY12" i="15" s="1"/>
  <c r="JN12" i="15"/>
  <c r="JO12" i="15" s="1"/>
  <c r="LD12" i="15"/>
  <c r="LE12" i="15" s="1"/>
  <c r="MT12" i="15"/>
  <c r="MU12" i="15" s="1"/>
  <c r="OJ12" i="15"/>
  <c r="OK12" i="15" s="1"/>
  <c r="PZ12" i="15"/>
  <c r="QA12" i="15" s="1"/>
  <c r="RP12" i="15"/>
  <c r="RQ12" i="15" s="1"/>
  <c r="TB12" i="15"/>
  <c r="TC12" i="15" s="1"/>
  <c r="UJ12" i="15"/>
  <c r="UK12" i="15" s="1"/>
  <c r="VR12" i="15"/>
  <c r="VS12" i="15" s="1"/>
  <c r="V14" i="15"/>
  <c r="BL14" i="15"/>
  <c r="DB14" i="15"/>
  <c r="ER14" i="15"/>
  <c r="GH14" i="15"/>
  <c r="IS14" i="15"/>
  <c r="ID14" i="15"/>
  <c r="LY14" i="15"/>
  <c r="LJ14" i="15"/>
  <c r="PE14" i="15"/>
  <c r="OP14" i="15"/>
  <c r="SK14" i="15"/>
  <c r="RV14" i="15"/>
  <c r="VA14" i="15"/>
  <c r="UP14" i="15"/>
  <c r="ER15" i="15"/>
  <c r="ES15" i="15" s="1"/>
  <c r="EC15" i="15"/>
  <c r="FM15" i="15"/>
  <c r="FN15" i="15" s="1"/>
  <c r="EX15" i="15"/>
  <c r="GH15" i="15"/>
  <c r="GI15" i="15" s="1"/>
  <c r="FS15" i="15"/>
  <c r="HC15" i="15"/>
  <c r="HD15" i="15" s="1"/>
  <c r="RP15" i="15"/>
  <c r="RQ15" i="15" s="1"/>
  <c r="RA15" i="15"/>
  <c r="SK15" i="15"/>
  <c r="SL15" i="15" s="1"/>
  <c r="RV15" i="15"/>
  <c r="TB15" i="15"/>
  <c r="TC15" i="15" s="1"/>
  <c r="SQ15" i="15"/>
  <c r="TS15" i="15"/>
  <c r="TT15" i="15" s="1"/>
  <c r="BL21" i="15"/>
  <c r="AW21" i="15"/>
  <c r="AV20" i="15"/>
  <c r="HX21" i="15"/>
  <c r="HI21" i="15"/>
  <c r="HH20" i="15"/>
  <c r="PD21" i="15"/>
  <c r="PC20" i="15"/>
  <c r="HA13" i="15"/>
  <c r="HB13" i="15" s="1"/>
  <c r="IY14" i="15"/>
  <c r="ME14" i="15"/>
  <c r="PK14" i="15"/>
  <c r="SQ14" i="15"/>
  <c r="HX15" i="15"/>
  <c r="HY15" i="15" s="1"/>
  <c r="HI15" i="15"/>
  <c r="IS15" i="15"/>
  <c r="IT15" i="15" s="1"/>
  <c r="ID15" i="15"/>
  <c r="JN15" i="15"/>
  <c r="JO15" i="15" s="1"/>
  <c r="IY15" i="15"/>
  <c r="UJ15" i="15"/>
  <c r="UK15" i="15" s="1"/>
  <c r="TY15" i="15"/>
  <c r="VA15" i="15"/>
  <c r="VB15" i="15" s="1"/>
  <c r="UP15" i="15"/>
  <c r="VR15" i="15"/>
  <c r="VS15" i="15" s="1"/>
  <c r="VG15" i="15"/>
  <c r="LD18" i="15"/>
  <c r="LE18" i="15" s="1"/>
  <c r="KO18" i="15"/>
  <c r="RP18" i="15"/>
  <c r="RQ18" i="15" s="1"/>
  <c r="RA18" i="15"/>
  <c r="V19" i="15"/>
  <c r="W19" i="15" s="1"/>
  <c r="G19" i="15"/>
  <c r="GH19" i="15"/>
  <c r="GI19" i="15" s="1"/>
  <c r="FS19" i="15"/>
  <c r="LY17" i="15"/>
  <c r="LJ17" i="15"/>
  <c r="MT17" i="15"/>
  <c r="ME17" i="15"/>
  <c r="NO17" i="15"/>
  <c r="MZ17" i="15"/>
  <c r="OJ17" i="15"/>
  <c r="NU17" i="15"/>
  <c r="PE17" i="15"/>
  <c r="OP17" i="15"/>
  <c r="PZ17" i="15"/>
  <c r="PK17" i="15"/>
  <c r="QU17" i="15"/>
  <c r="QF17" i="15"/>
  <c r="RP17" i="15"/>
  <c r="RA17" i="15"/>
  <c r="SK17" i="15"/>
  <c r="RV17" i="15"/>
  <c r="TB17" i="15"/>
  <c r="SQ17" i="15"/>
  <c r="TS17" i="15"/>
  <c r="TH17" i="15"/>
  <c r="UJ17" i="15"/>
  <c r="TY17" i="15"/>
  <c r="VA17" i="15"/>
  <c r="UP17" i="15"/>
  <c r="VR17" i="15"/>
  <c r="VG17" i="15"/>
  <c r="WI17" i="15"/>
  <c r="VX17" i="15"/>
  <c r="AQ18" i="15"/>
  <c r="AR18" i="15" s="1"/>
  <c r="AB18" i="15"/>
  <c r="CG18" i="15"/>
  <c r="CH18" i="15" s="1"/>
  <c r="BR18" i="15"/>
  <c r="DW18" i="15"/>
  <c r="DX18" i="15" s="1"/>
  <c r="DH18" i="15"/>
  <c r="FM18" i="15"/>
  <c r="FN18" i="15" s="1"/>
  <c r="EX18" i="15"/>
  <c r="HC18" i="15"/>
  <c r="HD18" i="15" s="1"/>
  <c r="GN18" i="15"/>
  <c r="IS18" i="15"/>
  <c r="IT18" i="15" s="1"/>
  <c r="ID18" i="15"/>
  <c r="PE18" i="15"/>
  <c r="PF18" i="15" s="1"/>
  <c r="OP18" i="15"/>
  <c r="VA18" i="15"/>
  <c r="VB18" i="15" s="1"/>
  <c r="UP18" i="15"/>
  <c r="DW19" i="15"/>
  <c r="DX19" i="15" s="1"/>
  <c r="DH19" i="15"/>
  <c r="NO19" i="15"/>
  <c r="NP19" i="15" s="1"/>
  <c r="MZ19" i="15"/>
  <c r="EX20" i="15"/>
  <c r="ID20" i="15"/>
  <c r="MZ20" i="15"/>
  <c r="DN21" i="15"/>
  <c r="DW21" i="15"/>
  <c r="DM20" i="15"/>
  <c r="NO18" i="15"/>
  <c r="NP18" i="15" s="1"/>
  <c r="OJ18" i="15"/>
  <c r="OK18" i="15" s="1"/>
  <c r="NU18" i="15"/>
  <c r="TS18" i="15"/>
  <c r="TT18" i="15" s="1"/>
  <c r="UJ18" i="15"/>
  <c r="UK18" i="15" s="1"/>
  <c r="TY18" i="15"/>
  <c r="CG19" i="15"/>
  <c r="CH19" i="15" s="1"/>
  <c r="DB19" i="15"/>
  <c r="DC19" i="15" s="1"/>
  <c r="CM19" i="15"/>
  <c r="L16" i="15"/>
  <c r="M16" i="15" s="1"/>
  <c r="CR16" i="15"/>
  <c r="CS16" i="15" s="1"/>
  <c r="FX16" i="15"/>
  <c r="FY16" i="15" s="1"/>
  <c r="JD16" i="15"/>
  <c r="JE16" i="15" s="1"/>
  <c r="MJ16" i="15"/>
  <c r="MK16" i="15" s="1"/>
  <c r="PP16" i="15"/>
  <c r="PQ16" i="15" s="1"/>
  <c r="LY18" i="15"/>
  <c r="LZ18" i="15" s="1"/>
  <c r="LJ18" i="15"/>
  <c r="SK18" i="15"/>
  <c r="SL18" i="15" s="1"/>
  <c r="RV18" i="15"/>
  <c r="VQ18" i="15"/>
  <c r="VP16" i="15"/>
  <c r="VQ16" i="15" s="1"/>
  <c r="AQ19" i="15"/>
  <c r="AR19" i="15" s="1"/>
  <c r="AB19" i="15"/>
  <c r="HC19" i="15"/>
  <c r="HD19" i="15" s="1"/>
  <c r="GN19" i="15"/>
  <c r="TS19" i="15"/>
  <c r="TT19" i="15" s="1"/>
  <c r="TH19" i="15"/>
  <c r="DA20" i="15"/>
  <c r="OI20" i="15"/>
  <c r="CL20" i="15"/>
  <c r="DB21" i="15"/>
  <c r="CM21" i="15"/>
  <c r="PK20" i="15"/>
  <c r="DV21" i="15"/>
  <c r="DU20" i="15"/>
  <c r="IJ21" i="15"/>
  <c r="II20" i="15"/>
  <c r="KI21" i="15"/>
  <c r="JT21" i="15"/>
  <c r="LD21" i="15"/>
  <c r="KO21" i="15"/>
  <c r="KN20" i="15"/>
  <c r="MU21" i="15"/>
  <c r="VL21" i="15"/>
  <c r="VR21" i="15"/>
  <c r="VK20" i="15"/>
  <c r="JN18" i="15"/>
  <c r="JO18" i="15" s="1"/>
  <c r="IY18" i="15"/>
  <c r="MT18" i="15"/>
  <c r="MU18" i="15" s="1"/>
  <c r="ME18" i="15"/>
  <c r="PZ18" i="15"/>
  <c r="QA18" i="15" s="1"/>
  <c r="PK18" i="15"/>
  <c r="TB18" i="15"/>
  <c r="TC18" i="15" s="1"/>
  <c r="SQ18" i="15"/>
  <c r="VR18" i="15"/>
  <c r="VS18" i="15" s="1"/>
  <c r="VG18" i="15"/>
  <c r="BL19" i="15"/>
  <c r="BM19" i="15" s="1"/>
  <c r="AW19" i="15"/>
  <c r="ER19" i="15"/>
  <c r="ES19" i="15" s="1"/>
  <c r="EC19" i="15"/>
  <c r="HX19" i="15"/>
  <c r="HY19" i="15" s="1"/>
  <c r="ID19" i="15"/>
  <c r="OJ19" i="15"/>
  <c r="OK19" i="15" s="1"/>
  <c r="OP19" i="15"/>
  <c r="UJ19" i="15"/>
  <c r="UK19" i="15" s="1"/>
  <c r="UP19" i="15"/>
  <c r="BK20" i="15"/>
  <c r="DH20" i="15"/>
  <c r="LC20" i="15"/>
  <c r="QT20" i="15"/>
  <c r="BX21" i="15"/>
  <c r="CG21" i="15"/>
  <c r="BW20" i="15"/>
  <c r="FL21" i="15"/>
  <c r="FK20" i="15"/>
  <c r="IQ20" i="15"/>
  <c r="IR21" i="15"/>
  <c r="G18" i="15"/>
  <c r="AW18" i="15"/>
  <c r="CM18" i="15"/>
  <c r="EC18" i="15"/>
  <c r="FS18" i="15"/>
  <c r="HI18" i="15"/>
  <c r="JT18" i="15"/>
  <c r="MZ18" i="15"/>
  <c r="QF18" i="15"/>
  <c r="TH18" i="15"/>
  <c r="VX18" i="15"/>
  <c r="BR19" i="15"/>
  <c r="EX19" i="15"/>
  <c r="JN19" i="15"/>
  <c r="JO19" i="15" s="1"/>
  <c r="JT19" i="15"/>
  <c r="PZ19" i="15"/>
  <c r="QA19" i="15" s="1"/>
  <c r="QF19" i="15"/>
  <c r="VR19" i="15"/>
  <c r="VS19" i="15" s="1"/>
  <c r="VX19" i="15"/>
  <c r="GF20" i="15"/>
  <c r="JS20" i="15"/>
  <c r="MS20" i="15"/>
  <c r="OA20" i="15"/>
  <c r="FM21" i="15"/>
  <c r="FD20" i="15"/>
  <c r="NO21" i="15"/>
  <c r="MZ21" i="15"/>
  <c r="OJ21" i="15"/>
  <c r="NU21" i="15"/>
  <c r="SV21" i="15"/>
  <c r="SU20" i="15"/>
  <c r="TS21" i="15"/>
  <c r="TH21" i="15"/>
  <c r="TG20" i="15"/>
  <c r="HI19" i="15"/>
  <c r="IY19" i="15"/>
  <c r="KO19" i="15"/>
  <c r="ME19" i="15"/>
  <c r="NU19" i="15"/>
  <c r="PK19" i="15"/>
  <c r="RA19" i="15"/>
  <c r="SQ19" i="15"/>
  <c r="TY19" i="15"/>
  <c r="VG19" i="15"/>
  <c r="CE20" i="15"/>
  <c r="FS20" i="15"/>
  <c r="ME20" i="15"/>
  <c r="NU20" i="15"/>
  <c r="QL20" i="15"/>
  <c r="TY20" i="15"/>
  <c r="UZ20" i="15"/>
  <c r="G21" i="15"/>
  <c r="FS21" i="15"/>
  <c r="PQ21" i="15"/>
  <c r="PP20" i="15"/>
  <c r="QU21" i="15"/>
  <c r="QF21" i="15"/>
  <c r="QE20" i="15"/>
  <c r="WI21" i="15"/>
  <c r="VX21" i="15"/>
  <c r="VW20" i="15"/>
  <c r="UD20" i="15"/>
  <c r="IS21" i="15"/>
  <c r="ID21" i="15"/>
  <c r="LY21" i="15"/>
  <c r="LJ21" i="15"/>
  <c r="PE21" i="15"/>
  <c r="OP21" i="15"/>
  <c r="SK21" i="15"/>
  <c r="RV21" i="15"/>
  <c r="VA21" i="15"/>
  <c r="UP21" i="15"/>
  <c r="IJ5" i="13"/>
  <c r="II4" i="13"/>
  <c r="IJ4" i="13" s="1"/>
  <c r="TF5" i="13"/>
  <c r="SQ5" i="13"/>
  <c r="SP4" i="13"/>
  <c r="SQ4" i="13" s="1"/>
  <c r="DN6" i="13"/>
  <c r="DM4" i="13"/>
  <c r="DN4" i="13" s="1"/>
  <c r="OJ6" i="13"/>
  <c r="OK6" i="13" s="1"/>
  <c r="NU6" i="13"/>
  <c r="JN7" i="13"/>
  <c r="JO7" i="13" s="1"/>
  <c r="IY7" i="13"/>
  <c r="PZ7" i="13"/>
  <c r="QA7" i="13" s="1"/>
  <c r="PK7" i="13"/>
  <c r="VZ7" i="13"/>
  <c r="WA7" i="13" s="1"/>
  <c r="VO7" i="13"/>
  <c r="UQ9" i="13"/>
  <c r="UP4" i="13"/>
  <c r="UQ4" i="13" s="1"/>
  <c r="EI17" i="13"/>
  <c r="ER17" i="13"/>
  <c r="EH16" i="13"/>
  <c r="EI16" i="13" s="1"/>
  <c r="AS1" i="13"/>
  <c r="LD5" i="13"/>
  <c r="KO5" i="13"/>
  <c r="KN4" i="13"/>
  <c r="KO4" i="13" s="1"/>
  <c r="NF5" i="13"/>
  <c r="NE4" i="13"/>
  <c r="NF4" i="13" s="1"/>
  <c r="RP5" i="13"/>
  <c r="RA5" i="13"/>
  <c r="QZ4" i="13"/>
  <c r="RA4" i="13" s="1"/>
  <c r="TR5" i="13"/>
  <c r="TQ4" i="13"/>
  <c r="TR4" i="13" s="1"/>
  <c r="V6" i="13"/>
  <c r="W6" i="13" s="1"/>
  <c r="G6" i="13"/>
  <c r="F4" i="13"/>
  <c r="G4" i="13" s="1"/>
  <c r="BX6" i="13"/>
  <c r="BW4" i="13"/>
  <c r="BX4" i="13" s="1"/>
  <c r="GH6" i="13"/>
  <c r="GI6" i="13" s="1"/>
  <c r="FS6" i="13"/>
  <c r="FR4" i="13"/>
  <c r="FS4" i="13" s="1"/>
  <c r="MT6" i="13"/>
  <c r="MU6" i="13" s="1"/>
  <c r="ME6" i="13"/>
  <c r="TF6" i="13"/>
  <c r="TG6" i="13" s="1"/>
  <c r="SQ6" i="13"/>
  <c r="BL7" i="13"/>
  <c r="BM7" i="13" s="1"/>
  <c r="AW7" i="13"/>
  <c r="HX7" i="13"/>
  <c r="HY7" i="13" s="1"/>
  <c r="HI7" i="13"/>
  <c r="OJ7" i="13"/>
  <c r="OK7" i="13" s="1"/>
  <c r="NU7" i="13"/>
  <c r="UR7" i="13"/>
  <c r="US7" i="13" s="1"/>
  <c r="UG7" i="13"/>
  <c r="DB8" i="13"/>
  <c r="DC8" i="13" s="1"/>
  <c r="CM8" i="13"/>
  <c r="JN8" i="13"/>
  <c r="JO8" i="13" s="1"/>
  <c r="IY8" i="13"/>
  <c r="NF8" i="13"/>
  <c r="NO8" i="13"/>
  <c r="NP8" i="13" s="1"/>
  <c r="OV8" i="13"/>
  <c r="PE8" i="13"/>
  <c r="PF8" i="13" s="1"/>
  <c r="QL8" i="13"/>
  <c r="QU8" i="13"/>
  <c r="QV8" i="13" s="1"/>
  <c r="SB8" i="13"/>
  <c r="SK8" i="13"/>
  <c r="SL8" i="13" s="1"/>
  <c r="TR8" i="13"/>
  <c r="UA8" i="13"/>
  <c r="UB8" i="13" s="1"/>
  <c r="VC8" i="13"/>
  <c r="VI8" i="13"/>
  <c r="VJ8" i="13" s="1"/>
  <c r="WK8" i="13"/>
  <c r="WQ8" i="13"/>
  <c r="WR8" i="13" s="1"/>
  <c r="AH9" i="13"/>
  <c r="AQ9" i="13"/>
  <c r="AR9" i="13" s="1"/>
  <c r="BX9" i="13"/>
  <c r="CG9" i="13"/>
  <c r="CH9" i="13" s="1"/>
  <c r="DN9" i="13"/>
  <c r="DW9" i="13"/>
  <c r="DX9" i="13" s="1"/>
  <c r="IJ11" i="13"/>
  <c r="II10" i="13"/>
  <c r="IJ10" i="13" s="1"/>
  <c r="MT5" i="13"/>
  <c r="ME5" i="13"/>
  <c r="MD4" i="13"/>
  <c r="ME4" i="13" s="1"/>
  <c r="VC5" i="13"/>
  <c r="VB4" i="13"/>
  <c r="VC4" i="13" s="1"/>
  <c r="HX6" i="13"/>
  <c r="HY6" i="13" s="1"/>
  <c r="HI6" i="13"/>
  <c r="UR6" i="13"/>
  <c r="US6" i="13" s="1"/>
  <c r="UG6" i="13"/>
  <c r="ER8" i="13"/>
  <c r="ES8" i="13" s="1"/>
  <c r="EC8" i="13"/>
  <c r="FD9" i="13"/>
  <c r="FM9" i="13"/>
  <c r="FN9" i="13" s="1"/>
  <c r="JN5" i="13"/>
  <c r="IY5" i="13"/>
  <c r="IX4" i="13"/>
  <c r="IY4" i="13" s="1"/>
  <c r="KI5" i="13"/>
  <c r="LP5" i="13"/>
  <c r="LO4" i="13"/>
  <c r="LP4" i="13" s="1"/>
  <c r="PZ5" i="13"/>
  <c r="PK5" i="13"/>
  <c r="PJ4" i="13"/>
  <c r="PK4" i="13" s="1"/>
  <c r="QU5" i="13"/>
  <c r="SB5" i="13"/>
  <c r="SA4" i="13"/>
  <c r="SB4" i="13" s="1"/>
  <c r="VZ5" i="13"/>
  <c r="VO5" i="13"/>
  <c r="VN4" i="13"/>
  <c r="VO4" i="13" s="1"/>
  <c r="WQ5" i="13"/>
  <c r="AH6" i="13"/>
  <c r="AG4" i="13"/>
  <c r="AH4" i="13" s="1"/>
  <c r="ER6" i="13"/>
  <c r="ES6" i="13" s="1"/>
  <c r="EC6" i="13"/>
  <c r="EB4" i="13"/>
  <c r="EC4" i="13" s="1"/>
  <c r="FM6" i="13"/>
  <c r="FN6" i="13" s="1"/>
  <c r="GT6" i="13"/>
  <c r="GS4" i="13"/>
  <c r="GT4" i="13" s="1"/>
  <c r="LD6" i="13"/>
  <c r="LE6" i="13" s="1"/>
  <c r="KO6" i="13"/>
  <c r="LY6" i="13"/>
  <c r="LZ6" i="13" s="1"/>
  <c r="RP6" i="13"/>
  <c r="RQ6" i="13" s="1"/>
  <c r="RA6" i="13"/>
  <c r="SK6" i="13"/>
  <c r="SL6" i="13" s="1"/>
  <c r="V7" i="13"/>
  <c r="W7" i="13" s="1"/>
  <c r="G7" i="13"/>
  <c r="AQ7" i="13"/>
  <c r="AR7" i="13" s="1"/>
  <c r="GH7" i="13"/>
  <c r="GI7" i="13" s="1"/>
  <c r="FS7" i="13"/>
  <c r="HC7" i="13"/>
  <c r="HD7" i="13" s="1"/>
  <c r="MT7" i="13"/>
  <c r="MU7" i="13" s="1"/>
  <c r="ME7" i="13"/>
  <c r="NO7" i="13"/>
  <c r="NP7" i="13" s="1"/>
  <c r="TF7" i="13"/>
  <c r="TG7" i="13" s="1"/>
  <c r="SQ7" i="13"/>
  <c r="UA7" i="13"/>
  <c r="UB7" i="13" s="1"/>
  <c r="BL8" i="13"/>
  <c r="BM8" i="13" s="1"/>
  <c r="AW8" i="13"/>
  <c r="CG8" i="13"/>
  <c r="CH8" i="13" s="1"/>
  <c r="HX8" i="13"/>
  <c r="HY8" i="13" s="1"/>
  <c r="HI8" i="13"/>
  <c r="IS8" i="13"/>
  <c r="IT8" i="13" s="1"/>
  <c r="EQ11" i="13"/>
  <c r="EP10" i="13"/>
  <c r="EQ10" i="13" s="1"/>
  <c r="OV11" i="13"/>
  <c r="OU10" i="13"/>
  <c r="OV10" i="13" s="1"/>
  <c r="OV5" i="13"/>
  <c r="OU4" i="13"/>
  <c r="OV4" i="13" s="1"/>
  <c r="BL6" i="13"/>
  <c r="BM6" i="13" s="1"/>
  <c r="AW6" i="13"/>
  <c r="AV4" i="13"/>
  <c r="AW4" i="13" s="1"/>
  <c r="DB7" i="13"/>
  <c r="DC7" i="13" s="1"/>
  <c r="CM7" i="13"/>
  <c r="LD8" i="13"/>
  <c r="LE8" i="13" s="1"/>
  <c r="KO8" i="13"/>
  <c r="BX11" i="13"/>
  <c r="BW10" i="13"/>
  <c r="BX10" i="13" s="1"/>
  <c r="RO11" i="13"/>
  <c r="RN10" i="13"/>
  <c r="RO10" i="13" s="1"/>
  <c r="HX5" i="13"/>
  <c r="HI5" i="13"/>
  <c r="HH4" i="13"/>
  <c r="HI4" i="13" s="1"/>
  <c r="IS5" i="13"/>
  <c r="JZ5" i="13"/>
  <c r="JY4" i="13"/>
  <c r="JZ4" i="13" s="1"/>
  <c r="OJ5" i="13"/>
  <c r="NU5" i="13"/>
  <c r="NT4" i="13"/>
  <c r="NU4" i="13" s="1"/>
  <c r="PE5" i="13"/>
  <c r="QL5" i="13"/>
  <c r="QK4" i="13"/>
  <c r="QL4" i="13" s="1"/>
  <c r="UR5" i="13"/>
  <c r="UG5" i="13"/>
  <c r="UF4" i="13"/>
  <c r="UG4" i="13" s="1"/>
  <c r="VI5" i="13"/>
  <c r="WK5" i="13"/>
  <c r="WJ4" i="13"/>
  <c r="WK4" i="13" s="1"/>
  <c r="DB6" i="13"/>
  <c r="DC6" i="13" s="1"/>
  <c r="CM6" i="13"/>
  <c r="CL4" i="13"/>
  <c r="CM4" i="13" s="1"/>
  <c r="DW6" i="13"/>
  <c r="DX6" i="13" s="1"/>
  <c r="FD6" i="13"/>
  <c r="FC4" i="13"/>
  <c r="FD4" i="13" s="1"/>
  <c r="JN6" i="13"/>
  <c r="JO6" i="13" s="1"/>
  <c r="IY6" i="13"/>
  <c r="KI6" i="13"/>
  <c r="KJ6" i="13" s="1"/>
  <c r="PZ6" i="13"/>
  <c r="QA6" i="13" s="1"/>
  <c r="PK6" i="13"/>
  <c r="QU6" i="13"/>
  <c r="QV6" i="13" s="1"/>
  <c r="VZ6" i="13"/>
  <c r="WA6" i="13" s="1"/>
  <c r="VO6" i="13"/>
  <c r="WQ6" i="13"/>
  <c r="WR6" i="13" s="1"/>
  <c r="ER7" i="13"/>
  <c r="ES7" i="13" s="1"/>
  <c r="EC7" i="13"/>
  <c r="FM7" i="13"/>
  <c r="FN7" i="13" s="1"/>
  <c r="LD7" i="13"/>
  <c r="LE7" i="13" s="1"/>
  <c r="KO7" i="13"/>
  <c r="LY7" i="13"/>
  <c r="LZ7" i="13" s="1"/>
  <c r="RP7" i="13"/>
  <c r="RQ7" i="13" s="1"/>
  <c r="RA7" i="13"/>
  <c r="SK7" i="13"/>
  <c r="SL7" i="13" s="1"/>
  <c r="V8" i="13"/>
  <c r="W8" i="13" s="1"/>
  <c r="G8" i="13"/>
  <c r="AQ8" i="13"/>
  <c r="AR8" i="13" s="1"/>
  <c r="GH8" i="13"/>
  <c r="GI8" i="13" s="1"/>
  <c r="FS8" i="13"/>
  <c r="HC8" i="13"/>
  <c r="HD8" i="13" s="1"/>
  <c r="MT8" i="13"/>
  <c r="MU8" i="13" s="1"/>
  <c r="ME8" i="13"/>
  <c r="OJ8" i="13"/>
  <c r="OK8" i="13" s="1"/>
  <c r="NU8" i="13"/>
  <c r="PZ8" i="13"/>
  <c r="QA8" i="13" s="1"/>
  <c r="PK8" i="13"/>
  <c r="RP8" i="13"/>
  <c r="RQ8" i="13" s="1"/>
  <c r="RA8" i="13"/>
  <c r="TF8" i="13"/>
  <c r="TG8" i="13" s="1"/>
  <c r="SQ8" i="13"/>
  <c r="UR8" i="13"/>
  <c r="US8" i="13" s="1"/>
  <c r="UG8" i="13"/>
  <c r="VZ8" i="13"/>
  <c r="WA8" i="13" s="1"/>
  <c r="VO8" i="13"/>
  <c r="V9" i="13"/>
  <c r="W9" i="13" s="1"/>
  <c r="G9" i="13"/>
  <c r="BL9" i="13"/>
  <c r="BM9" i="13" s="1"/>
  <c r="AW9" i="13"/>
  <c r="DB9" i="13"/>
  <c r="DC9" i="13" s="1"/>
  <c r="CM9" i="13"/>
  <c r="GT9" i="13"/>
  <c r="HC9" i="13"/>
  <c r="HD9" i="13" s="1"/>
  <c r="LC11" i="13"/>
  <c r="LB10" i="13"/>
  <c r="LC10" i="13" s="1"/>
  <c r="VC11" i="13"/>
  <c r="VB10" i="13"/>
  <c r="VC10" i="13" s="1"/>
  <c r="G5" i="13"/>
  <c r="AB5" i="13"/>
  <c r="AW5" i="13"/>
  <c r="BR5" i="13"/>
  <c r="CM5" i="13"/>
  <c r="DH5" i="13"/>
  <c r="EC5" i="13"/>
  <c r="EX5" i="13"/>
  <c r="FS5" i="13"/>
  <c r="GN5" i="13"/>
  <c r="T10" i="13"/>
  <c r="U10" i="13" s="1"/>
  <c r="DM10" i="13"/>
  <c r="DN10" i="13" s="1"/>
  <c r="GF10" i="13"/>
  <c r="GG10" i="13" s="1"/>
  <c r="JY10" i="13"/>
  <c r="JZ10" i="13" s="1"/>
  <c r="MR10" i="13"/>
  <c r="MS10" i="13" s="1"/>
  <c r="QK10" i="13"/>
  <c r="QL10" i="13" s="1"/>
  <c r="TD10" i="13"/>
  <c r="TE10" i="13" s="1"/>
  <c r="WJ10" i="13"/>
  <c r="WK10" i="13" s="1"/>
  <c r="T13" i="13"/>
  <c r="U13" i="13" s="1"/>
  <c r="BJ13" i="13"/>
  <c r="BK13" i="13" s="1"/>
  <c r="CZ13" i="13"/>
  <c r="DA13" i="13" s="1"/>
  <c r="EP13" i="13"/>
  <c r="EQ13" i="13" s="1"/>
  <c r="GF13" i="13"/>
  <c r="GG13" i="13" s="1"/>
  <c r="HV13" i="13"/>
  <c r="HW13" i="13" s="1"/>
  <c r="JL13" i="13"/>
  <c r="JM13" i="13" s="1"/>
  <c r="LB13" i="13"/>
  <c r="LC13" i="13" s="1"/>
  <c r="MR13" i="13"/>
  <c r="MS13" i="13" s="1"/>
  <c r="OH13" i="13"/>
  <c r="OI13" i="13" s="1"/>
  <c r="PX13" i="13"/>
  <c r="PY13" i="13" s="1"/>
  <c r="UA14" i="13"/>
  <c r="TR14" i="13"/>
  <c r="L4" i="13"/>
  <c r="M4" i="13" s="1"/>
  <c r="BB4" i="13"/>
  <c r="BC4" i="13" s="1"/>
  <c r="CR4" i="13"/>
  <c r="CS4" i="13" s="1"/>
  <c r="EH4" i="13"/>
  <c r="EI4" i="13" s="1"/>
  <c r="FX4" i="13"/>
  <c r="FY4" i="13" s="1"/>
  <c r="HN4" i="13"/>
  <c r="HO4" i="13" s="1"/>
  <c r="JD4" i="13"/>
  <c r="JE4" i="13" s="1"/>
  <c r="KT4" i="13"/>
  <c r="KU4" i="13" s="1"/>
  <c r="MJ4" i="13"/>
  <c r="MK4" i="13" s="1"/>
  <c r="NZ4" i="13"/>
  <c r="OA4" i="13" s="1"/>
  <c r="PP4" i="13"/>
  <c r="PQ4" i="13" s="1"/>
  <c r="RF4" i="13"/>
  <c r="RG4" i="13" s="1"/>
  <c r="SV4" i="13"/>
  <c r="SW4" i="13" s="1"/>
  <c r="UK4" i="13"/>
  <c r="UL4" i="13" s="1"/>
  <c r="VS4" i="13"/>
  <c r="VT4" i="13" s="1"/>
  <c r="ID5" i="13"/>
  <c r="JT5" i="13"/>
  <c r="LJ5" i="13"/>
  <c r="MZ5" i="13"/>
  <c r="OP5" i="13"/>
  <c r="QF5" i="13"/>
  <c r="RV5" i="13"/>
  <c r="TL5" i="13"/>
  <c r="UX5" i="13"/>
  <c r="WF5" i="13"/>
  <c r="AB6" i="13"/>
  <c r="BR6" i="13"/>
  <c r="DH6" i="13"/>
  <c r="EX6" i="13"/>
  <c r="GN6" i="13"/>
  <c r="ID6" i="13"/>
  <c r="JT6" i="13"/>
  <c r="LJ6" i="13"/>
  <c r="MZ6" i="13"/>
  <c r="OP6" i="13"/>
  <c r="QF6" i="13"/>
  <c r="RV6" i="13"/>
  <c r="TL6" i="13"/>
  <c r="UX6" i="13"/>
  <c r="WF6" i="13"/>
  <c r="AB7" i="13"/>
  <c r="BR7" i="13"/>
  <c r="DH7" i="13"/>
  <c r="EX7" i="13"/>
  <c r="GN7" i="13"/>
  <c r="ID7" i="13"/>
  <c r="JT7" i="13"/>
  <c r="LJ7" i="13"/>
  <c r="MZ7" i="13"/>
  <c r="OP7" i="13"/>
  <c r="QF7" i="13"/>
  <c r="RV7" i="13"/>
  <c r="TL7" i="13"/>
  <c r="UX7" i="13"/>
  <c r="WF7" i="13"/>
  <c r="AB8" i="13"/>
  <c r="BR8" i="13"/>
  <c r="DH8" i="13"/>
  <c r="EX8" i="13"/>
  <c r="GN8" i="13"/>
  <c r="ID8" i="13"/>
  <c r="JT8" i="13"/>
  <c r="LJ8" i="13"/>
  <c r="IS9" i="13"/>
  <c r="IT9" i="13" s="1"/>
  <c r="JN9" i="13"/>
  <c r="JO9" i="13" s="1"/>
  <c r="KI9" i="13"/>
  <c r="KJ9" i="13" s="1"/>
  <c r="TF9" i="13"/>
  <c r="TG9" i="13" s="1"/>
  <c r="UR9" i="13"/>
  <c r="US9" i="13" s="1"/>
  <c r="VZ9" i="13"/>
  <c r="WA9" i="13" s="1"/>
  <c r="V11" i="13"/>
  <c r="BL11" i="13"/>
  <c r="DB11" i="13"/>
  <c r="ER11" i="13"/>
  <c r="GH11" i="13"/>
  <c r="HX11" i="13"/>
  <c r="JN11" i="13"/>
  <c r="LD11" i="13"/>
  <c r="MT11" i="13"/>
  <c r="OJ11" i="13"/>
  <c r="PZ11" i="13"/>
  <c r="RP11" i="13"/>
  <c r="TF11" i="13"/>
  <c r="UR11" i="13"/>
  <c r="VZ11" i="13"/>
  <c r="V12" i="13"/>
  <c r="W12" i="13" s="1"/>
  <c r="BL12" i="13"/>
  <c r="BM12" i="13" s="1"/>
  <c r="DB12" i="13"/>
  <c r="DC12" i="13" s="1"/>
  <c r="ER12" i="13"/>
  <c r="ES12" i="13" s="1"/>
  <c r="GH12" i="13"/>
  <c r="GI12" i="13" s="1"/>
  <c r="HX12" i="13"/>
  <c r="HY12" i="13" s="1"/>
  <c r="JN12" i="13"/>
  <c r="JO12" i="13" s="1"/>
  <c r="LD12" i="13"/>
  <c r="LE12" i="13" s="1"/>
  <c r="MT12" i="13"/>
  <c r="MU12" i="13" s="1"/>
  <c r="OJ12" i="13"/>
  <c r="OK12" i="13" s="1"/>
  <c r="PZ12" i="13"/>
  <c r="QA12" i="13" s="1"/>
  <c r="RP12" i="13"/>
  <c r="RQ12" i="13" s="1"/>
  <c r="TF12" i="13"/>
  <c r="TG12" i="13" s="1"/>
  <c r="UR12" i="13"/>
  <c r="US12" i="13" s="1"/>
  <c r="VZ12" i="13"/>
  <c r="WA12" i="13" s="1"/>
  <c r="V14" i="13"/>
  <c r="BL14" i="13"/>
  <c r="DB14" i="13"/>
  <c r="ER14" i="13"/>
  <c r="GH14" i="13"/>
  <c r="HX14" i="13"/>
  <c r="JN14" i="13"/>
  <c r="LD14" i="13"/>
  <c r="MT14" i="13"/>
  <c r="OJ14" i="13"/>
  <c r="PZ14" i="13"/>
  <c r="RP14" i="13"/>
  <c r="CS17" i="13"/>
  <c r="DB17" i="13"/>
  <c r="KN16" i="13"/>
  <c r="KO16" i="13" s="1"/>
  <c r="LD17" i="13"/>
  <c r="KO17" i="13"/>
  <c r="NF17" i="13"/>
  <c r="NE16" i="13"/>
  <c r="NF16" i="13" s="1"/>
  <c r="QZ16" i="13"/>
  <c r="RA16" i="13" s="1"/>
  <c r="RP17" i="13"/>
  <c r="RA17" i="13"/>
  <c r="TR17" i="13"/>
  <c r="TQ16" i="13"/>
  <c r="TR16" i="13" s="1"/>
  <c r="F16" i="13"/>
  <c r="G16" i="13" s="1"/>
  <c r="V18" i="13"/>
  <c r="W18" i="13" s="1"/>
  <c r="G18" i="13"/>
  <c r="FR16" i="13"/>
  <c r="FS16" i="13" s="1"/>
  <c r="GH18" i="13"/>
  <c r="GI18" i="13" s="1"/>
  <c r="FS18" i="13"/>
  <c r="MT18" i="13"/>
  <c r="MU18" i="13" s="1"/>
  <c r="ME18" i="13"/>
  <c r="TF18" i="13"/>
  <c r="TG18" i="13" s="1"/>
  <c r="SQ18" i="13"/>
  <c r="VC18" i="13"/>
  <c r="VB16" i="13"/>
  <c r="VC16" i="13" s="1"/>
  <c r="BL19" i="13"/>
  <c r="BM19" i="13" s="1"/>
  <c r="AW19" i="13"/>
  <c r="DN19" i="13"/>
  <c r="DM16" i="13"/>
  <c r="DN16" i="13" s="1"/>
  <c r="HX19" i="13"/>
  <c r="HY19" i="13" s="1"/>
  <c r="HI19" i="13"/>
  <c r="JZ19" i="13"/>
  <c r="JY16" i="13"/>
  <c r="JZ16" i="13" s="1"/>
  <c r="OJ19" i="13"/>
  <c r="OK19" i="13" s="1"/>
  <c r="NU19" i="13"/>
  <c r="BW16" i="13"/>
  <c r="BX16" i="13" s="1"/>
  <c r="BC17" i="13"/>
  <c r="BL17" i="13"/>
  <c r="BB16" i="13"/>
  <c r="BC16" i="13" s="1"/>
  <c r="HO17" i="13"/>
  <c r="HX17" i="13"/>
  <c r="HN16" i="13"/>
  <c r="HO16" i="13" s="1"/>
  <c r="SK9" i="13"/>
  <c r="SL9" i="13" s="1"/>
  <c r="UA9" i="13"/>
  <c r="UB9" i="13" s="1"/>
  <c r="VI9" i="13"/>
  <c r="VJ9" i="13" s="1"/>
  <c r="WQ9" i="13"/>
  <c r="WR9" i="13" s="1"/>
  <c r="AQ11" i="13"/>
  <c r="CG11" i="13"/>
  <c r="DW11" i="13"/>
  <c r="FM11" i="13"/>
  <c r="HC11" i="13"/>
  <c r="IS11" i="13"/>
  <c r="KI11" i="13"/>
  <c r="LY11" i="13"/>
  <c r="NO11" i="13"/>
  <c r="PE11" i="13"/>
  <c r="QU11" i="13"/>
  <c r="SK11" i="13"/>
  <c r="UA11" i="13"/>
  <c r="VI11" i="13"/>
  <c r="WQ11" i="13"/>
  <c r="AQ12" i="13"/>
  <c r="AR12" i="13" s="1"/>
  <c r="CG12" i="13"/>
  <c r="CH12" i="13" s="1"/>
  <c r="DW12" i="13"/>
  <c r="DX12" i="13" s="1"/>
  <c r="FM12" i="13"/>
  <c r="FN12" i="13" s="1"/>
  <c r="HC12" i="13"/>
  <c r="HD12" i="13" s="1"/>
  <c r="IS12" i="13"/>
  <c r="IT12" i="13" s="1"/>
  <c r="KI12" i="13"/>
  <c r="KJ12" i="13" s="1"/>
  <c r="LY12" i="13"/>
  <c r="LZ12" i="13" s="1"/>
  <c r="NO12" i="13"/>
  <c r="NP12" i="13" s="1"/>
  <c r="PE12" i="13"/>
  <c r="PF12" i="13" s="1"/>
  <c r="QU12" i="13"/>
  <c r="QV12" i="13" s="1"/>
  <c r="SK12" i="13"/>
  <c r="SL12" i="13" s="1"/>
  <c r="UA12" i="13"/>
  <c r="UB12" i="13" s="1"/>
  <c r="VI12" i="13"/>
  <c r="VJ12" i="13" s="1"/>
  <c r="WQ12" i="13"/>
  <c r="WR12" i="13" s="1"/>
  <c r="AQ14" i="13"/>
  <c r="CG14" i="13"/>
  <c r="DW14" i="13"/>
  <c r="FM14" i="13"/>
  <c r="HC14" i="13"/>
  <c r="IS14" i="13"/>
  <c r="KI14" i="13"/>
  <c r="LY14" i="13"/>
  <c r="NO14" i="13"/>
  <c r="PE14" i="13"/>
  <c r="QU14" i="13"/>
  <c r="SK14" i="13"/>
  <c r="OU16" i="13"/>
  <c r="OV16" i="13" s="1"/>
  <c r="M17" i="13"/>
  <c r="V17" i="13"/>
  <c r="L16" i="13"/>
  <c r="M16" i="13" s="1"/>
  <c r="FY17" i="13"/>
  <c r="GH17" i="13"/>
  <c r="FX16" i="13"/>
  <c r="FY16" i="13" s="1"/>
  <c r="PJ16" i="13"/>
  <c r="PK16" i="13" s="1"/>
  <c r="PZ17" i="13"/>
  <c r="PK17" i="13"/>
  <c r="VN16" i="13"/>
  <c r="VO16" i="13" s="1"/>
  <c r="VZ17" i="13"/>
  <c r="VO17" i="13"/>
  <c r="EB16" i="13"/>
  <c r="EC16" i="13" s="1"/>
  <c r="ER18" i="13"/>
  <c r="ES18" i="13" s="1"/>
  <c r="EC18" i="13"/>
  <c r="LD18" i="13"/>
  <c r="LE18" i="13" s="1"/>
  <c r="KO18" i="13"/>
  <c r="RP18" i="13"/>
  <c r="RQ18" i="13" s="1"/>
  <c r="RA18" i="13"/>
  <c r="V19" i="13"/>
  <c r="W19" i="13" s="1"/>
  <c r="G19" i="13"/>
  <c r="GH19" i="13"/>
  <c r="GI19" i="13" s="1"/>
  <c r="FS19" i="13"/>
  <c r="MT19" i="13"/>
  <c r="MU19" i="13" s="1"/>
  <c r="ME19" i="13"/>
  <c r="UA19" i="13"/>
  <c r="UB19" i="13" s="1"/>
  <c r="TL19" i="13"/>
  <c r="GH15" i="13"/>
  <c r="GI15" i="13" s="1"/>
  <c r="HX15" i="13"/>
  <c r="HY15" i="13" s="1"/>
  <c r="JN15" i="13"/>
  <c r="JO15" i="13" s="1"/>
  <c r="LD15" i="13"/>
  <c r="LE15" i="13" s="1"/>
  <c r="MT15" i="13"/>
  <c r="MU15" i="13" s="1"/>
  <c r="OJ15" i="13"/>
  <c r="OK15" i="13" s="1"/>
  <c r="PZ15" i="13"/>
  <c r="QA15" i="13" s="1"/>
  <c r="IQ16" i="13"/>
  <c r="IR16" i="13" s="1"/>
  <c r="IR17" i="13"/>
  <c r="NT16" i="13"/>
  <c r="NU16" i="13" s="1"/>
  <c r="OJ17" i="13"/>
  <c r="NU17" i="13"/>
  <c r="PE17" i="13"/>
  <c r="UF16" i="13"/>
  <c r="UG16" i="13" s="1"/>
  <c r="UR17" i="13"/>
  <c r="UG17" i="13"/>
  <c r="VI17" i="13"/>
  <c r="CL16" i="13"/>
  <c r="CM16" i="13" s="1"/>
  <c r="DB18" i="13"/>
  <c r="DC18" i="13" s="1"/>
  <c r="CM18" i="13"/>
  <c r="DW18" i="13"/>
  <c r="DX18" i="13" s="1"/>
  <c r="JN18" i="13"/>
  <c r="JO18" i="13" s="1"/>
  <c r="IY18" i="13"/>
  <c r="KI18" i="13"/>
  <c r="KJ18" i="13" s="1"/>
  <c r="PZ18" i="13"/>
  <c r="QA18" i="13" s="1"/>
  <c r="PK18" i="13"/>
  <c r="QU18" i="13"/>
  <c r="QV18" i="13" s="1"/>
  <c r="VZ18" i="13"/>
  <c r="WA18" i="13" s="1"/>
  <c r="VO18" i="13"/>
  <c r="WQ18" i="13"/>
  <c r="ER19" i="13"/>
  <c r="ES19" i="13" s="1"/>
  <c r="EC19" i="13"/>
  <c r="FM19" i="13"/>
  <c r="LD19" i="13"/>
  <c r="LE19" i="13" s="1"/>
  <c r="KO19" i="13"/>
  <c r="LY19" i="13"/>
  <c r="LZ19" i="13" s="1"/>
  <c r="EX20" i="13"/>
  <c r="AG16" i="13"/>
  <c r="AH16" i="13" s="1"/>
  <c r="MD16" i="13"/>
  <c r="ME16" i="13" s="1"/>
  <c r="MT17" i="13"/>
  <c r="ME17" i="13"/>
  <c r="NO17" i="13"/>
  <c r="SP16" i="13"/>
  <c r="SQ16" i="13" s="1"/>
  <c r="TF17" i="13"/>
  <c r="SQ17" i="13"/>
  <c r="UA17" i="13"/>
  <c r="AV16" i="13"/>
  <c r="BL18" i="13"/>
  <c r="BM18" i="13" s="1"/>
  <c r="AW18" i="13"/>
  <c r="CG18" i="13"/>
  <c r="HH16" i="13"/>
  <c r="HI16" i="13" s="1"/>
  <c r="HX18" i="13"/>
  <c r="HY18" i="13" s="1"/>
  <c r="HI18" i="13"/>
  <c r="IS18" i="13"/>
  <c r="IT18" i="13" s="1"/>
  <c r="OJ18" i="13"/>
  <c r="OK18" i="13" s="1"/>
  <c r="NU18" i="13"/>
  <c r="PE18" i="13"/>
  <c r="PF18" i="13" s="1"/>
  <c r="UR18" i="13"/>
  <c r="US18" i="13" s="1"/>
  <c r="UG18" i="13"/>
  <c r="VI18" i="13"/>
  <c r="VJ18" i="13" s="1"/>
  <c r="DB19" i="13"/>
  <c r="DC19" i="13" s="1"/>
  <c r="CM19" i="13"/>
  <c r="DW19" i="13"/>
  <c r="DX19" i="13" s="1"/>
  <c r="JN19" i="13"/>
  <c r="JO19" i="13" s="1"/>
  <c r="IY19" i="13"/>
  <c r="KI19" i="13"/>
  <c r="KJ19" i="13" s="1"/>
  <c r="PZ19" i="13"/>
  <c r="QA19" i="13" s="1"/>
  <c r="PK19" i="13"/>
  <c r="UQ19" i="13"/>
  <c r="UP16" i="13"/>
  <c r="UQ16" i="13" s="1"/>
  <c r="BR20" i="13"/>
  <c r="U20" i="13"/>
  <c r="JT20" i="13"/>
  <c r="LJ20" i="13"/>
  <c r="MZ20" i="13"/>
  <c r="NU20" i="13"/>
  <c r="RA20" i="13"/>
  <c r="UG20" i="13"/>
  <c r="WF20" i="13"/>
  <c r="F20" i="13"/>
  <c r="V21" i="13"/>
  <c r="G21" i="13"/>
  <c r="KH17" i="13"/>
  <c r="LX17" i="13"/>
  <c r="NN17" i="13"/>
  <c r="PD17" i="13"/>
  <c r="QT17" i="13"/>
  <c r="SJ17" i="13"/>
  <c r="TZ17" i="13"/>
  <c r="VH17" i="13"/>
  <c r="WP17" i="13"/>
  <c r="AP18" i="13"/>
  <c r="CF18" i="13"/>
  <c r="DV18" i="13"/>
  <c r="FL18" i="13"/>
  <c r="HB18" i="13"/>
  <c r="UR19" i="13"/>
  <c r="US19" i="13" s="1"/>
  <c r="UX19" i="13"/>
  <c r="ID20" i="13"/>
  <c r="AA16" i="13"/>
  <c r="AB16" i="13" s="1"/>
  <c r="BQ16" i="13"/>
  <c r="BR16" i="13" s="1"/>
  <c r="DG16" i="13"/>
  <c r="DH16" i="13" s="1"/>
  <c r="EW16" i="13"/>
  <c r="EX16" i="13" s="1"/>
  <c r="GM16" i="13"/>
  <c r="GN16" i="13" s="1"/>
  <c r="IC16" i="13"/>
  <c r="ID16" i="13" s="1"/>
  <c r="JS16" i="13"/>
  <c r="JT16" i="13" s="1"/>
  <c r="LI16" i="13"/>
  <c r="LJ16" i="13" s="1"/>
  <c r="MY16" i="13"/>
  <c r="MZ16" i="13" s="1"/>
  <c r="OO16" i="13"/>
  <c r="OP16" i="13" s="1"/>
  <c r="QE16" i="13"/>
  <c r="QF16" i="13" s="1"/>
  <c r="RU16" i="13"/>
  <c r="RV16" i="13" s="1"/>
  <c r="TK16" i="13"/>
  <c r="TL16" i="13" s="1"/>
  <c r="UW16" i="13"/>
  <c r="UX16" i="13" s="1"/>
  <c r="VX16" i="13"/>
  <c r="VY16" i="13" s="1"/>
  <c r="WE16" i="13"/>
  <c r="WF16" i="13" s="1"/>
  <c r="ID17" i="13"/>
  <c r="JT17" i="13"/>
  <c r="LJ17" i="13"/>
  <c r="MZ17" i="13"/>
  <c r="OP17" i="13"/>
  <c r="QF17" i="13"/>
  <c r="RV17" i="13"/>
  <c r="TL17" i="13"/>
  <c r="UX17" i="13"/>
  <c r="WF17" i="13"/>
  <c r="AB18" i="13"/>
  <c r="BR18" i="13"/>
  <c r="DH18" i="13"/>
  <c r="EX18" i="13"/>
  <c r="GN18" i="13"/>
  <c r="ID18" i="13"/>
  <c r="JT18" i="13"/>
  <c r="LJ18" i="13"/>
  <c r="MZ18" i="13"/>
  <c r="OP18" i="13"/>
  <c r="QF18" i="13"/>
  <c r="RV18" i="13"/>
  <c r="TL18" i="13"/>
  <c r="UX18" i="13"/>
  <c r="WF18" i="13"/>
  <c r="AB19" i="13"/>
  <c r="BR19" i="13"/>
  <c r="DH19" i="13"/>
  <c r="EX19" i="13"/>
  <c r="GN19" i="13"/>
  <c r="ID19" i="13"/>
  <c r="JT19" i="13"/>
  <c r="LJ19" i="13"/>
  <c r="MZ19" i="13"/>
  <c r="OP19" i="13"/>
  <c r="VZ19" i="13"/>
  <c r="WA19" i="13" s="1"/>
  <c r="KU20" i="13"/>
  <c r="SJ20" i="13"/>
  <c r="VH20" i="13"/>
  <c r="AP21" i="13"/>
  <c r="AO20" i="13"/>
  <c r="WK20" i="13"/>
  <c r="JT21" i="13"/>
  <c r="KI21" i="13"/>
  <c r="MZ21" i="13"/>
  <c r="NO21" i="13"/>
  <c r="SJ21" i="13"/>
  <c r="SK21" i="13"/>
  <c r="VH21" i="13"/>
  <c r="VI21" i="13"/>
  <c r="EQ20" i="13"/>
  <c r="IJ20" i="13"/>
  <c r="UL20" i="13"/>
  <c r="AQ21" i="13"/>
  <c r="RA19" i="13"/>
  <c r="SQ19" i="13"/>
  <c r="UG19" i="13"/>
  <c r="VO19" i="13"/>
  <c r="CE20" i="13"/>
  <c r="IQ20" i="13"/>
  <c r="LW20" i="13"/>
  <c r="SB20" i="13"/>
  <c r="VC20" i="13"/>
  <c r="CG21" i="13"/>
  <c r="IY21" i="13"/>
  <c r="JN21" i="13"/>
  <c r="ME21" i="13"/>
  <c r="MT21" i="13"/>
  <c r="RO21" i="13"/>
  <c r="RP21" i="13"/>
  <c r="UQ21" i="13"/>
  <c r="UR21" i="13"/>
  <c r="AB21" i="13"/>
  <c r="BR21" i="13"/>
  <c r="DH21" i="13"/>
  <c r="EX21" i="13"/>
  <c r="GN21" i="13"/>
  <c r="ID21" i="13"/>
  <c r="IS21" i="13"/>
  <c r="LJ21" i="13"/>
  <c r="LY21" i="13"/>
  <c r="QT21" i="13"/>
  <c r="QU21" i="13"/>
  <c r="TZ21" i="13"/>
  <c r="UA21" i="13"/>
  <c r="WP21" i="13"/>
  <c r="WQ21" i="13"/>
  <c r="HI21" i="13"/>
  <c r="HX21" i="13"/>
  <c r="KO21" i="13"/>
  <c r="LD21" i="13"/>
  <c r="NU21" i="13"/>
  <c r="OJ21" i="13"/>
  <c r="TE21" i="13"/>
  <c r="TF21" i="13"/>
  <c r="VY21" i="13"/>
  <c r="VZ21" i="13"/>
  <c r="PE21" i="13"/>
  <c r="PZ21" i="13"/>
  <c r="TG22" i="17" l="1"/>
  <c r="TH22" i="17" s="1"/>
  <c r="QA21" i="17"/>
  <c r="GI21" i="13"/>
  <c r="CZ22" i="19"/>
  <c r="DA22" i="19" s="1"/>
  <c r="WW22" i="19"/>
  <c r="WX22" i="19" s="1"/>
  <c r="GM22" i="19"/>
  <c r="GN22" i="19" s="1"/>
  <c r="JL22" i="19"/>
  <c r="JM22" i="19" s="1"/>
  <c r="JN20" i="17"/>
  <c r="JO20" i="17" s="1"/>
  <c r="VP22" i="17"/>
  <c r="VQ22" i="17" s="1"/>
  <c r="SP22" i="15"/>
  <c r="SQ22" i="15" s="1"/>
  <c r="AQ20" i="15"/>
  <c r="AR20" i="15" s="1"/>
  <c r="UH22" i="15"/>
  <c r="UI22" i="15" s="1"/>
  <c r="WG22" i="15"/>
  <c r="WH22" i="15" s="1"/>
  <c r="UC22" i="15"/>
  <c r="UD22" i="15" s="1"/>
  <c r="WH20" i="15"/>
  <c r="OO22" i="15"/>
  <c r="OP22" i="15" s="1"/>
  <c r="JO21" i="15"/>
  <c r="QS22" i="15"/>
  <c r="QT22" i="15" s="1"/>
  <c r="UT22" i="15"/>
  <c r="UU22" i="15" s="1"/>
  <c r="TY22" i="13"/>
  <c r="TZ22" i="13" s="1"/>
  <c r="BL20" i="13"/>
  <c r="BM20" i="13" s="1"/>
  <c r="WO22" i="13"/>
  <c r="WP22" i="13" s="1"/>
  <c r="FM20" i="13"/>
  <c r="FN20" i="13" s="1"/>
  <c r="HC20" i="13"/>
  <c r="HD20" i="13" s="1"/>
  <c r="GS22" i="13"/>
  <c r="GT22" i="13" s="1"/>
  <c r="FX22" i="13"/>
  <c r="FY22" i="13" s="1"/>
  <c r="JD22" i="19"/>
  <c r="JE22" i="19" s="1"/>
  <c r="WF22" i="19"/>
  <c r="WG22" i="19" s="1"/>
  <c r="FK22" i="19"/>
  <c r="FL22" i="19" s="1"/>
  <c r="WM22" i="19"/>
  <c r="WN22" i="19" s="1"/>
  <c r="GF22" i="19"/>
  <c r="GG22" i="19" s="1"/>
  <c r="FL20" i="19"/>
  <c r="PP22" i="19"/>
  <c r="PQ22" i="19" s="1"/>
  <c r="VV22" i="19"/>
  <c r="VW22" i="19" s="1"/>
  <c r="FR22" i="19"/>
  <c r="FS22" i="19" s="1"/>
  <c r="T22" i="19"/>
  <c r="U22" i="19" s="1"/>
  <c r="WR22" i="19"/>
  <c r="WS22" i="19" s="1"/>
  <c r="RN22" i="19"/>
  <c r="RO22" i="19" s="1"/>
  <c r="LB22" i="19"/>
  <c r="LC22" i="19" s="1"/>
  <c r="OU22" i="19"/>
  <c r="OV22" i="19" s="1"/>
  <c r="LO22" i="19"/>
  <c r="LP22" i="19" s="1"/>
  <c r="BJ22" i="19"/>
  <c r="BK22" i="19" s="1"/>
  <c r="HV22" i="19"/>
  <c r="HW22" i="19" s="1"/>
  <c r="PX22" i="19"/>
  <c r="PY22" i="19" s="1"/>
  <c r="SV22" i="19"/>
  <c r="SW22" i="19" s="1"/>
  <c r="JN4" i="19"/>
  <c r="JO4" i="19" s="1"/>
  <c r="F22" i="19"/>
  <c r="G22" i="19" s="1"/>
  <c r="BW22" i="19"/>
  <c r="BX22" i="19" s="1"/>
  <c r="RF22" i="19"/>
  <c r="RG22" i="19" s="1"/>
  <c r="WA22" i="19"/>
  <c r="WB22" i="19" s="1"/>
  <c r="QE22" i="19"/>
  <c r="QF22" i="19" s="1"/>
  <c r="KT22" i="19"/>
  <c r="KU22" i="19" s="1"/>
  <c r="TB20" i="17"/>
  <c r="TC20" i="17" s="1"/>
  <c r="HA22" i="17"/>
  <c r="HB22" i="17" s="1"/>
  <c r="UO22" i="17"/>
  <c r="UP22" i="17" s="1"/>
  <c r="QK22" i="17"/>
  <c r="QL22" i="17" s="1"/>
  <c r="SP22" i="17"/>
  <c r="SQ22" i="17" s="1"/>
  <c r="PP22" i="17"/>
  <c r="PQ22" i="17" s="1"/>
  <c r="VF22" i="17"/>
  <c r="VG22" i="17" s="1"/>
  <c r="UH22" i="17"/>
  <c r="UI22" i="17" s="1"/>
  <c r="VR20" i="17"/>
  <c r="VS20" i="17" s="1"/>
  <c r="PX22" i="17"/>
  <c r="PY22" i="17" s="1"/>
  <c r="EH22" i="17"/>
  <c r="EI22" i="17" s="1"/>
  <c r="JY22" i="17"/>
  <c r="JZ22" i="17" s="1"/>
  <c r="SI22" i="17"/>
  <c r="SJ22" i="17" s="1"/>
  <c r="SU22" i="17"/>
  <c r="SV22" i="17" s="1"/>
  <c r="NE22" i="17"/>
  <c r="NF22" i="17" s="1"/>
  <c r="AO22" i="17"/>
  <c r="AP22" i="17" s="1"/>
  <c r="AA22" i="17"/>
  <c r="AB22" i="17" s="1"/>
  <c r="WG22" i="17"/>
  <c r="WH22" i="17" s="1"/>
  <c r="RF22" i="17"/>
  <c r="RG22" i="17" s="1"/>
  <c r="FK22" i="17"/>
  <c r="FL22" i="17" s="1"/>
  <c r="IX22" i="17"/>
  <c r="IY22" i="17" s="1"/>
  <c r="UT22" i="17"/>
  <c r="UU22" i="17" s="1"/>
  <c r="WB22" i="17"/>
  <c r="WC22" i="17" s="1"/>
  <c r="WC20" i="17"/>
  <c r="EP22" i="17"/>
  <c r="EQ22" i="17" s="1"/>
  <c r="JL22" i="17"/>
  <c r="JM22" i="17" s="1"/>
  <c r="VW22" i="17"/>
  <c r="VX22" i="17" s="1"/>
  <c r="TX22" i="17"/>
  <c r="TY22" i="17" s="1"/>
  <c r="QS22" i="17"/>
  <c r="QT22" i="17" s="1"/>
  <c r="KT22" i="17"/>
  <c r="KU22" i="17" s="1"/>
  <c r="TL22" i="17"/>
  <c r="TM22" i="17" s="1"/>
  <c r="IQ22" i="17"/>
  <c r="IR22" i="17" s="1"/>
  <c r="VK22" i="17"/>
  <c r="VL22" i="17" s="1"/>
  <c r="UY22" i="17"/>
  <c r="UZ22" i="17" s="1"/>
  <c r="UC22" i="17"/>
  <c r="UD22" i="17" s="1"/>
  <c r="KT22" i="15"/>
  <c r="KU22" i="15" s="1"/>
  <c r="TL22" i="15"/>
  <c r="TM22" i="15" s="1"/>
  <c r="GI21" i="15"/>
  <c r="TX22" i="15"/>
  <c r="TY22" i="15" s="1"/>
  <c r="SZ22" i="15"/>
  <c r="TA22" i="15" s="1"/>
  <c r="RP20" i="15"/>
  <c r="RQ20" i="15" s="1"/>
  <c r="RF22" i="15"/>
  <c r="RG22" i="15" s="1"/>
  <c r="WB22" i="15"/>
  <c r="WC22" i="15" s="1"/>
  <c r="VF22" i="15"/>
  <c r="VG22" i="15" s="1"/>
  <c r="NM22" i="15"/>
  <c r="NN22" i="15" s="1"/>
  <c r="RG20" i="15"/>
  <c r="AO22" i="15"/>
  <c r="AP22" i="15" s="1"/>
  <c r="AG22" i="15"/>
  <c r="AH22" i="15" s="1"/>
  <c r="MR22" i="15"/>
  <c r="MS22" i="15" s="1"/>
  <c r="TQ22" i="15"/>
  <c r="TR22" i="15" s="1"/>
  <c r="BJ22" i="15"/>
  <c r="BK22" i="15" s="1"/>
  <c r="SI22" i="15"/>
  <c r="SJ22" i="15" s="1"/>
  <c r="UO22" i="15"/>
  <c r="UP22" i="15" s="1"/>
  <c r="QK22" i="15"/>
  <c r="QL22" i="15" s="1"/>
  <c r="QZ22" i="15"/>
  <c r="RA22" i="15" s="1"/>
  <c r="NT22" i="15"/>
  <c r="NU22" i="15" s="1"/>
  <c r="FC22" i="15"/>
  <c r="FD22" i="15" s="1"/>
  <c r="EH22" i="15"/>
  <c r="EI22" i="15" s="1"/>
  <c r="L22" i="15"/>
  <c r="M22" i="15" s="1"/>
  <c r="V20" i="15"/>
  <c r="W20" i="15" s="1"/>
  <c r="GM22" i="15"/>
  <c r="GN22" i="15" s="1"/>
  <c r="CR22" i="15"/>
  <c r="CS22" i="15" s="1"/>
  <c r="JL22" i="15"/>
  <c r="JM22" i="15" s="1"/>
  <c r="RF22" i="13"/>
  <c r="RG22" i="13" s="1"/>
  <c r="QS22" i="13"/>
  <c r="QT22" i="13" s="1"/>
  <c r="PC22" i="13"/>
  <c r="PD22" i="13" s="1"/>
  <c r="OU22" i="13"/>
  <c r="OV22" i="13" s="1"/>
  <c r="OH22" i="13"/>
  <c r="OI22" i="13" s="1"/>
  <c r="FK22" i="13"/>
  <c r="FL22" i="13" s="1"/>
  <c r="MJ22" i="13"/>
  <c r="MK22" i="13" s="1"/>
  <c r="KG22" i="13"/>
  <c r="KH22" i="13" s="1"/>
  <c r="VI13" i="13"/>
  <c r="VJ13" i="13" s="1"/>
  <c r="UK22" i="13"/>
  <c r="UL22" i="13" s="1"/>
  <c r="WJ22" i="13"/>
  <c r="WK22" i="13" s="1"/>
  <c r="NZ22" i="13"/>
  <c r="OA22" i="13" s="1"/>
  <c r="VJ14" i="13"/>
  <c r="HC16" i="13"/>
  <c r="HD16" i="13" s="1"/>
  <c r="VX22" i="13"/>
  <c r="VY22" i="13" s="1"/>
  <c r="WQ13" i="13"/>
  <c r="WR13" i="13" s="1"/>
  <c r="QU16" i="13"/>
  <c r="QV16" i="13" s="1"/>
  <c r="AQ16" i="13"/>
  <c r="AR16" i="13" s="1"/>
  <c r="UR13" i="13"/>
  <c r="US13" i="13" s="1"/>
  <c r="BW22" i="13"/>
  <c r="BX22" i="13" s="1"/>
  <c r="CZ22" i="13"/>
  <c r="DA22" i="13" s="1"/>
  <c r="LO22" i="13"/>
  <c r="LP22" i="13" s="1"/>
  <c r="UP22" i="13"/>
  <c r="UQ22" i="13" s="1"/>
  <c r="NM22" i="13"/>
  <c r="NN22" i="13" s="1"/>
  <c r="QK22" i="13"/>
  <c r="QL22" i="13" s="1"/>
  <c r="EH22" i="13"/>
  <c r="EI22" i="13" s="1"/>
  <c r="RN22" i="13"/>
  <c r="RO22" i="13" s="1"/>
  <c r="LP20" i="13"/>
  <c r="ES21" i="13"/>
  <c r="WE22" i="13"/>
  <c r="WF22" i="13" s="1"/>
  <c r="T22" i="13"/>
  <c r="U22" i="13" s="1"/>
  <c r="JL22" i="13"/>
  <c r="JM22" i="13" s="1"/>
  <c r="SI22" i="13"/>
  <c r="SJ22" i="13" s="1"/>
  <c r="KT22" i="13"/>
  <c r="KU22" i="13" s="1"/>
  <c r="PX22" i="13"/>
  <c r="PY22" i="13" s="1"/>
  <c r="FC22" i="13"/>
  <c r="FD22" i="13" s="1"/>
  <c r="TD22" i="13"/>
  <c r="TE22" i="13" s="1"/>
  <c r="LB22" i="13"/>
  <c r="LC22" i="13" s="1"/>
  <c r="DW20" i="13"/>
  <c r="DX20" i="13" s="1"/>
  <c r="VG22" i="13"/>
  <c r="VH22" i="13" s="1"/>
  <c r="SV22" i="13"/>
  <c r="SW22" i="13" s="1"/>
  <c r="VG22" i="19"/>
  <c r="VH22" i="19" s="1"/>
  <c r="UT22" i="19"/>
  <c r="UU22" i="19" s="1"/>
  <c r="UL22" i="19"/>
  <c r="UM22" i="19" s="1"/>
  <c r="TQ22" i="19"/>
  <c r="TR22" i="19" s="1"/>
  <c r="TD22" i="19"/>
  <c r="TE22" i="19" s="1"/>
  <c r="TF4" i="19"/>
  <c r="TG4" i="19" s="1"/>
  <c r="QK22" i="19"/>
  <c r="QL22" i="19" s="1"/>
  <c r="PZ4" i="19"/>
  <c r="QA4" i="19" s="1"/>
  <c r="PC22" i="19"/>
  <c r="PD22" i="19" s="1"/>
  <c r="OH22" i="19"/>
  <c r="OI22" i="19" s="1"/>
  <c r="MR22" i="19"/>
  <c r="MS22" i="19" s="1"/>
  <c r="LW22" i="19"/>
  <c r="LX22" i="19" s="1"/>
  <c r="JY22" i="19"/>
  <c r="JZ22" i="19" s="1"/>
  <c r="II22" i="19"/>
  <c r="IJ22" i="19" s="1"/>
  <c r="IQ22" i="19"/>
  <c r="IR22" i="19" s="1"/>
  <c r="HN22" i="19"/>
  <c r="HO22" i="19" s="1"/>
  <c r="FX22" i="19"/>
  <c r="FY22" i="19" s="1"/>
  <c r="EW22" i="19"/>
  <c r="EX22" i="19" s="1"/>
  <c r="EP22" i="19"/>
  <c r="EQ22" i="19" s="1"/>
  <c r="DG22" i="19"/>
  <c r="DH22" i="19" s="1"/>
  <c r="BQ22" i="19"/>
  <c r="BR22" i="19" s="1"/>
  <c r="SA22" i="17"/>
  <c r="SB22" i="17" s="1"/>
  <c r="QE22" i="17"/>
  <c r="QF22" i="17" s="1"/>
  <c r="PJ22" i="17"/>
  <c r="PK22" i="17" s="1"/>
  <c r="OU22" i="17"/>
  <c r="OV22" i="17" s="1"/>
  <c r="PC22" i="17"/>
  <c r="PD22" i="17" s="1"/>
  <c r="OH22" i="17"/>
  <c r="OI22" i="17" s="1"/>
  <c r="MJ22" i="17"/>
  <c r="MK22" i="17" s="1"/>
  <c r="MD22" i="17"/>
  <c r="ME22" i="17" s="1"/>
  <c r="LO22" i="17"/>
  <c r="LP22" i="17" s="1"/>
  <c r="LW22" i="17"/>
  <c r="LX22" i="17" s="1"/>
  <c r="LB22" i="17"/>
  <c r="LC22" i="17" s="1"/>
  <c r="KG22" i="17"/>
  <c r="KH22" i="17" s="1"/>
  <c r="JD22" i="17"/>
  <c r="JE22" i="17" s="1"/>
  <c r="HV22" i="17"/>
  <c r="HW22" i="17" s="1"/>
  <c r="HN22" i="17"/>
  <c r="HO22" i="17" s="1"/>
  <c r="FR22" i="17"/>
  <c r="FS22" i="17" s="1"/>
  <c r="FX22" i="17"/>
  <c r="FY22" i="17" s="1"/>
  <c r="FC22" i="17"/>
  <c r="FD22" i="17" s="1"/>
  <c r="DG22" i="17"/>
  <c r="DH22" i="17" s="1"/>
  <c r="DU22" i="17"/>
  <c r="DV22" i="17" s="1"/>
  <c r="CR22" i="17"/>
  <c r="CS22" i="17" s="1"/>
  <c r="CE22" i="17"/>
  <c r="CF22" i="17" s="1"/>
  <c r="BB22" i="17"/>
  <c r="BC22" i="17" s="1"/>
  <c r="SA22" i="15"/>
  <c r="SB22" i="15" s="1"/>
  <c r="RU22" i="15"/>
  <c r="RV22" i="15" s="1"/>
  <c r="PX22" i="15"/>
  <c r="PY22" i="15" s="1"/>
  <c r="PJ22" i="15"/>
  <c r="PK22" i="15" s="1"/>
  <c r="PZ20" i="15"/>
  <c r="QA20" i="15" s="1"/>
  <c r="OU22" i="15"/>
  <c r="OV22" i="15" s="1"/>
  <c r="OH22" i="15"/>
  <c r="OI22" i="15" s="1"/>
  <c r="NZ22" i="15"/>
  <c r="OA22" i="15" s="1"/>
  <c r="NE22" i="15"/>
  <c r="NF22" i="15" s="1"/>
  <c r="LO22" i="15"/>
  <c r="LP22" i="15" s="1"/>
  <c r="LB22" i="15"/>
  <c r="LC22" i="15" s="1"/>
  <c r="KG22" i="15"/>
  <c r="KH22" i="15" s="1"/>
  <c r="JY22" i="15"/>
  <c r="JZ22" i="15" s="1"/>
  <c r="HN22" i="15"/>
  <c r="HO22" i="15" s="1"/>
  <c r="HV22" i="15"/>
  <c r="HW22" i="15" s="1"/>
  <c r="GN20" i="15"/>
  <c r="HA22" i="15"/>
  <c r="HB22" i="15" s="1"/>
  <c r="GS22" i="15"/>
  <c r="GT22" i="15" s="1"/>
  <c r="EP22" i="15"/>
  <c r="EQ22" i="15" s="1"/>
  <c r="CS20" i="15"/>
  <c r="BB22" i="15"/>
  <c r="BC22" i="15" s="1"/>
  <c r="SA22" i="13"/>
  <c r="SB22" i="13" s="1"/>
  <c r="MR22" i="13"/>
  <c r="MS22" i="13" s="1"/>
  <c r="JY22" i="13"/>
  <c r="JZ22" i="13" s="1"/>
  <c r="KI16" i="13"/>
  <c r="KJ16" i="13" s="1"/>
  <c r="II22" i="13"/>
  <c r="IJ22" i="13" s="1"/>
  <c r="HA22" i="13"/>
  <c r="HB22" i="13" s="1"/>
  <c r="GF22" i="13"/>
  <c r="GG22" i="13" s="1"/>
  <c r="DU22" i="13"/>
  <c r="DV22" i="13" s="1"/>
  <c r="DB20" i="13"/>
  <c r="DC20" i="13" s="1"/>
  <c r="BB22" i="13"/>
  <c r="BC22" i="13" s="1"/>
  <c r="DW16" i="13"/>
  <c r="DX16" i="13" s="1"/>
  <c r="HN22" i="13"/>
  <c r="HO22" i="13" s="1"/>
  <c r="LY16" i="13"/>
  <c r="LZ16" i="13" s="1"/>
  <c r="MJ22" i="15"/>
  <c r="MK22" i="15" s="1"/>
  <c r="FX22" i="15"/>
  <c r="FY22" i="15" s="1"/>
  <c r="WI21" i="19"/>
  <c r="WH20" i="19"/>
  <c r="WI20" i="19" s="1"/>
  <c r="SL17" i="13"/>
  <c r="SK16" i="13"/>
  <c r="SL16" i="13" s="1"/>
  <c r="RU22" i="19"/>
  <c r="RV22" i="19" s="1"/>
  <c r="TC21" i="15"/>
  <c r="TB20" i="15"/>
  <c r="TC20" i="15" s="1"/>
  <c r="AG22" i="13"/>
  <c r="AH22" i="13" s="1"/>
  <c r="AQ4" i="13"/>
  <c r="AR4" i="13" s="1"/>
  <c r="SZ22" i="17"/>
  <c r="TA22" i="17" s="1"/>
  <c r="NE22" i="19"/>
  <c r="NF22" i="19" s="1"/>
  <c r="FC22" i="19"/>
  <c r="FD22" i="19" s="1"/>
  <c r="QS22" i="19"/>
  <c r="QT22" i="19" s="1"/>
  <c r="HA22" i="19"/>
  <c r="HB22" i="19" s="1"/>
  <c r="VO22" i="19"/>
  <c r="VP22" i="19" s="1"/>
  <c r="SI22" i="19"/>
  <c r="SJ22" i="19" s="1"/>
  <c r="SP22" i="19"/>
  <c r="SQ22" i="19" s="1"/>
  <c r="TK22" i="19"/>
  <c r="TL22" i="19" s="1"/>
  <c r="TG14" i="13"/>
  <c r="TF13" i="13"/>
  <c r="TG13" i="13" s="1"/>
  <c r="IS16" i="13"/>
  <c r="IT16" i="13" s="1"/>
  <c r="WZ21" i="19"/>
  <c r="WY20" i="19"/>
  <c r="WZ20" i="19" s="1"/>
  <c r="VZ13" i="13"/>
  <c r="WA13" i="13" s="1"/>
  <c r="MY22" i="17"/>
  <c r="MZ22" i="17" s="1"/>
  <c r="RU22" i="17"/>
  <c r="RV22" i="17" s="1"/>
  <c r="NT22" i="17"/>
  <c r="NU22" i="17" s="1"/>
  <c r="LI22" i="17"/>
  <c r="LJ22" i="17" s="1"/>
  <c r="KN22" i="17"/>
  <c r="KO22" i="17" s="1"/>
  <c r="JS22" i="17"/>
  <c r="JT22" i="17" s="1"/>
  <c r="GM22" i="17"/>
  <c r="GN22" i="17" s="1"/>
  <c r="SP22" i="13"/>
  <c r="SQ22" i="13" s="1"/>
  <c r="RU22" i="13"/>
  <c r="RV22" i="13" s="1"/>
  <c r="QE22" i="13"/>
  <c r="QF22" i="13" s="1"/>
  <c r="JS22" i="13"/>
  <c r="JT22" i="13" s="1"/>
  <c r="FR22" i="13"/>
  <c r="FS22" i="13" s="1"/>
  <c r="EB22" i="13"/>
  <c r="EC22" i="13" s="1"/>
  <c r="DG22" i="13"/>
  <c r="DH22" i="13" s="1"/>
  <c r="CL22" i="13"/>
  <c r="CM22" i="13" s="1"/>
  <c r="AV22" i="19"/>
  <c r="AW22" i="19" s="1"/>
  <c r="VA22" i="19"/>
  <c r="VB22" i="19" s="1"/>
  <c r="UV4" i="19"/>
  <c r="UW4" i="19" s="1"/>
  <c r="RV20" i="19"/>
  <c r="QF20" i="19"/>
  <c r="AA22" i="19"/>
  <c r="AB22" i="19" s="1"/>
  <c r="EW22" i="15"/>
  <c r="EX22" i="15" s="1"/>
  <c r="ER20" i="15"/>
  <c r="ES20" i="15" s="1"/>
  <c r="EB22" i="15"/>
  <c r="EC22" i="15" s="1"/>
  <c r="SL21" i="19"/>
  <c r="SK20" i="19"/>
  <c r="SL20" i="19" s="1"/>
  <c r="PJ22" i="13"/>
  <c r="PK22" i="13" s="1"/>
  <c r="IX22" i="13"/>
  <c r="IY22" i="13" s="1"/>
  <c r="MY22" i="15"/>
  <c r="MZ22" i="15" s="1"/>
  <c r="LI22" i="15"/>
  <c r="LJ22" i="15" s="1"/>
  <c r="HD21" i="15"/>
  <c r="HC20" i="15"/>
  <c r="HD20" i="15" s="1"/>
  <c r="DG22" i="15"/>
  <c r="DH22" i="15" s="1"/>
  <c r="CL22" i="17"/>
  <c r="CM22" i="17" s="1"/>
  <c r="F22" i="17"/>
  <c r="G22" i="17" s="1"/>
  <c r="VR21" i="19"/>
  <c r="VQ20" i="19"/>
  <c r="VR20" i="19" s="1"/>
  <c r="UW21" i="19"/>
  <c r="UV20" i="19"/>
  <c r="UW20" i="19" s="1"/>
  <c r="UB21" i="19"/>
  <c r="UA20" i="19"/>
  <c r="UB20" i="19" s="1"/>
  <c r="TG21" i="19"/>
  <c r="TF20" i="19"/>
  <c r="TG20" i="19" s="1"/>
  <c r="RQ21" i="19"/>
  <c r="RP20" i="19"/>
  <c r="RQ20" i="19" s="1"/>
  <c r="QV21" i="19"/>
  <c r="QU20" i="19"/>
  <c r="QV20" i="19" s="1"/>
  <c r="MT4" i="19"/>
  <c r="MU4" i="19" s="1"/>
  <c r="HX10" i="19"/>
  <c r="HY10" i="19" s="1"/>
  <c r="DB10" i="19"/>
  <c r="DC10" i="19" s="1"/>
  <c r="CL22" i="19"/>
  <c r="CM22" i="19" s="1"/>
  <c r="HD21" i="19"/>
  <c r="HC20" i="19"/>
  <c r="HD20" i="19" s="1"/>
  <c r="LE21" i="19"/>
  <c r="LD20" i="19"/>
  <c r="LE20" i="19" s="1"/>
  <c r="QA21" i="19"/>
  <c r="PZ20" i="19"/>
  <c r="QA20" i="19" s="1"/>
  <c r="MY22" i="19"/>
  <c r="MZ22" i="19" s="1"/>
  <c r="MZ20" i="19"/>
  <c r="UW17" i="19"/>
  <c r="UV16" i="19"/>
  <c r="UW16" i="19" s="1"/>
  <c r="WZ17" i="19"/>
  <c r="WY16" i="19"/>
  <c r="WZ16" i="19" s="1"/>
  <c r="UB17" i="19"/>
  <c r="UA16" i="19"/>
  <c r="UB16" i="19" s="1"/>
  <c r="SL11" i="19"/>
  <c r="SK10" i="19"/>
  <c r="SL10" i="19" s="1"/>
  <c r="SL5" i="19"/>
  <c r="SK4" i="19"/>
  <c r="SL4" i="19" s="1"/>
  <c r="LZ5" i="19"/>
  <c r="LY4" i="19"/>
  <c r="LZ4" i="19" s="1"/>
  <c r="VR14" i="19"/>
  <c r="VQ13" i="19"/>
  <c r="VR13" i="19" s="1"/>
  <c r="SL14" i="19"/>
  <c r="SK13" i="19"/>
  <c r="SL13" i="19" s="1"/>
  <c r="OK14" i="19"/>
  <c r="OJ13" i="19"/>
  <c r="OK13" i="19" s="1"/>
  <c r="GI14" i="19"/>
  <c r="GH13" i="19"/>
  <c r="GI13" i="19" s="1"/>
  <c r="DX14" i="19"/>
  <c r="DW13" i="19"/>
  <c r="DX13" i="19" s="1"/>
  <c r="HD5" i="19"/>
  <c r="HC4" i="19"/>
  <c r="HD4" i="19" s="1"/>
  <c r="AR5" i="19"/>
  <c r="AQ4" i="19"/>
  <c r="AR4" i="19" s="1"/>
  <c r="HX4" i="19"/>
  <c r="HY4" i="19" s="1"/>
  <c r="LE11" i="19"/>
  <c r="LD10" i="19"/>
  <c r="LE10" i="19" s="1"/>
  <c r="ER20" i="19"/>
  <c r="ES20" i="19" s="1"/>
  <c r="ES21" i="19"/>
  <c r="EB22" i="19"/>
  <c r="EC22" i="19" s="1"/>
  <c r="GS22" i="19"/>
  <c r="GT22" i="19" s="1"/>
  <c r="FN21" i="19"/>
  <c r="FM20" i="19"/>
  <c r="FN20" i="19" s="1"/>
  <c r="DM22" i="19"/>
  <c r="DN22" i="19" s="1"/>
  <c r="OK21" i="19"/>
  <c r="OJ20" i="19"/>
  <c r="OK20" i="19" s="1"/>
  <c r="CE22" i="19"/>
  <c r="CF22" i="19" s="1"/>
  <c r="CF20" i="19"/>
  <c r="IC22" i="19"/>
  <c r="ID22" i="19" s="1"/>
  <c r="ID20" i="19"/>
  <c r="IY20" i="19"/>
  <c r="IX22" i="19"/>
  <c r="IY22" i="19" s="1"/>
  <c r="NP21" i="19"/>
  <c r="NO20" i="19"/>
  <c r="NP20" i="19" s="1"/>
  <c r="MJ22" i="19"/>
  <c r="MK22" i="19" s="1"/>
  <c r="NM22" i="19"/>
  <c r="NN22" i="19" s="1"/>
  <c r="WI17" i="19"/>
  <c r="WH16" i="19"/>
  <c r="WI16" i="19" s="1"/>
  <c r="SL17" i="19"/>
  <c r="SK16" i="19"/>
  <c r="SL16" i="19" s="1"/>
  <c r="QV17" i="19"/>
  <c r="QU16" i="19"/>
  <c r="QV16" i="19" s="1"/>
  <c r="PF17" i="19"/>
  <c r="PE16" i="19"/>
  <c r="PF16" i="19" s="1"/>
  <c r="NP17" i="19"/>
  <c r="NO16" i="19"/>
  <c r="NP16" i="19" s="1"/>
  <c r="LZ17" i="19"/>
  <c r="LY16" i="19"/>
  <c r="LZ16" i="19" s="1"/>
  <c r="KJ17" i="19"/>
  <c r="KI16" i="19"/>
  <c r="KJ16" i="19" s="1"/>
  <c r="IT17" i="19"/>
  <c r="IS16" i="19"/>
  <c r="IT16" i="19" s="1"/>
  <c r="HD17" i="19"/>
  <c r="HC16" i="19"/>
  <c r="HD16" i="19" s="1"/>
  <c r="FN17" i="19"/>
  <c r="FM16" i="19"/>
  <c r="FN16" i="19" s="1"/>
  <c r="DX17" i="19"/>
  <c r="DW16" i="19"/>
  <c r="DX16" i="19" s="1"/>
  <c r="CH17" i="19"/>
  <c r="CG16" i="19"/>
  <c r="CH16" i="19" s="1"/>
  <c r="AR17" i="19"/>
  <c r="AQ16" i="19"/>
  <c r="AR16" i="19" s="1"/>
  <c r="WZ11" i="19"/>
  <c r="WY10" i="19"/>
  <c r="WZ10" i="19" s="1"/>
  <c r="QV11" i="19"/>
  <c r="QU10" i="19"/>
  <c r="QV10" i="19" s="1"/>
  <c r="KJ11" i="19"/>
  <c r="KI10" i="19"/>
  <c r="KJ10" i="19" s="1"/>
  <c r="DX11" i="19"/>
  <c r="DW10" i="19"/>
  <c r="DX10" i="19" s="1"/>
  <c r="WZ5" i="19"/>
  <c r="WY4" i="19"/>
  <c r="WZ4" i="19" s="1"/>
  <c r="QV5" i="19"/>
  <c r="QU4" i="19"/>
  <c r="QV4" i="19" s="1"/>
  <c r="KJ5" i="19"/>
  <c r="KI4" i="19"/>
  <c r="KJ4" i="19" s="1"/>
  <c r="PF14" i="19"/>
  <c r="PE13" i="19"/>
  <c r="PF13" i="19" s="1"/>
  <c r="IT14" i="19"/>
  <c r="IS13" i="19"/>
  <c r="IT13" i="19" s="1"/>
  <c r="CH14" i="19"/>
  <c r="CG13" i="19"/>
  <c r="CH13" i="19" s="1"/>
  <c r="ES11" i="19"/>
  <c r="ER10" i="19"/>
  <c r="ES10" i="19" s="1"/>
  <c r="DX5" i="19"/>
  <c r="DW4" i="19"/>
  <c r="DX4" i="19" s="1"/>
  <c r="WH4" i="19"/>
  <c r="WI4" i="19" s="1"/>
  <c r="OJ4" i="19"/>
  <c r="OK4" i="19" s="1"/>
  <c r="PZ10" i="19"/>
  <c r="QA10" i="19" s="1"/>
  <c r="RP4" i="19"/>
  <c r="RQ4" i="19" s="1"/>
  <c r="V20" i="19"/>
  <c r="W20" i="19" s="1"/>
  <c r="W21" i="19"/>
  <c r="NT22" i="19"/>
  <c r="NU22" i="19" s="1"/>
  <c r="NU20" i="19"/>
  <c r="PF21" i="19"/>
  <c r="PE20" i="19"/>
  <c r="PF20" i="19" s="1"/>
  <c r="DU22" i="19"/>
  <c r="DV22" i="19" s="1"/>
  <c r="DV20" i="19"/>
  <c r="KJ21" i="19"/>
  <c r="KI20" i="19"/>
  <c r="KJ20" i="19" s="1"/>
  <c r="CR22" i="19"/>
  <c r="CS22" i="19" s="1"/>
  <c r="CS20" i="19"/>
  <c r="LZ11" i="19"/>
  <c r="LY10" i="19"/>
  <c r="LZ10" i="19" s="1"/>
  <c r="FN11" i="19"/>
  <c r="FM10" i="19"/>
  <c r="FN10" i="19" s="1"/>
  <c r="WZ14" i="19"/>
  <c r="WY13" i="19"/>
  <c r="WZ13" i="19" s="1"/>
  <c r="UB14" i="19"/>
  <c r="UA13" i="19"/>
  <c r="UB13" i="19" s="1"/>
  <c r="QV14" i="19"/>
  <c r="QU13" i="19"/>
  <c r="QV13" i="19" s="1"/>
  <c r="MU14" i="19"/>
  <c r="MT13" i="19"/>
  <c r="MU13" i="19" s="1"/>
  <c r="KJ14" i="19"/>
  <c r="KI13" i="19"/>
  <c r="KJ13" i="19" s="1"/>
  <c r="HY14" i="19"/>
  <c r="HX13" i="19"/>
  <c r="HY13" i="19" s="1"/>
  <c r="BM14" i="19"/>
  <c r="BL13" i="19"/>
  <c r="BM13" i="19" s="1"/>
  <c r="W14" i="19"/>
  <c r="V13" i="19"/>
  <c r="W13" i="19" s="1"/>
  <c r="W5" i="19"/>
  <c r="V4" i="19"/>
  <c r="W4" i="19" s="1"/>
  <c r="BM12" i="19"/>
  <c r="BL10" i="19"/>
  <c r="BM10" i="19" s="1"/>
  <c r="FN5" i="19"/>
  <c r="FM4" i="19"/>
  <c r="FN4" i="19" s="1"/>
  <c r="DB20" i="19"/>
  <c r="DC20" i="19" s="1"/>
  <c r="DC21" i="19"/>
  <c r="UF22" i="19"/>
  <c r="UG22" i="19" s="1"/>
  <c r="DX21" i="19"/>
  <c r="DW20" i="19"/>
  <c r="DX20" i="19" s="1"/>
  <c r="HH22" i="19"/>
  <c r="HI22" i="19" s="1"/>
  <c r="HI20" i="19"/>
  <c r="TY22" i="19"/>
  <c r="TZ22" i="19" s="1"/>
  <c r="LI22" i="19"/>
  <c r="LJ22" i="19" s="1"/>
  <c r="LJ20" i="19"/>
  <c r="IT21" i="19"/>
  <c r="IS20" i="19"/>
  <c r="IT20" i="19" s="1"/>
  <c r="BC20" i="19"/>
  <c r="BB22" i="19"/>
  <c r="BC22" i="19" s="1"/>
  <c r="MD22" i="19"/>
  <c r="ME22" i="19" s="1"/>
  <c r="ME20" i="19"/>
  <c r="JO21" i="19"/>
  <c r="JN20" i="19"/>
  <c r="JO20" i="19" s="1"/>
  <c r="EH22" i="19"/>
  <c r="EI22" i="19" s="1"/>
  <c r="VR11" i="19"/>
  <c r="VQ10" i="19"/>
  <c r="VR10" i="19" s="1"/>
  <c r="PF11" i="19"/>
  <c r="PE10" i="19"/>
  <c r="PF10" i="19" s="1"/>
  <c r="IT11" i="19"/>
  <c r="IS10" i="19"/>
  <c r="IT10" i="19" s="1"/>
  <c r="CH11" i="19"/>
  <c r="CG10" i="19"/>
  <c r="CH10" i="19" s="1"/>
  <c r="VR5" i="19"/>
  <c r="VQ4" i="19"/>
  <c r="VR4" i="19" s="1"/>
  <c r="PF5" i="19"/>
  <c r="PE4" i="19"/>
  <c r="PF4" i="19" s="1"/>
  <c r="IT5" i="19"/>
  <c r="IS4" i="19"/>
  <c r="IT4" i="19" s="1"/>
  <c r="WI14" i="19"/>
  <c r="WH13" i="19"/>
  <c r="WI13" i="19" s="1"/>
  <c r="UW14" i="19"/>
  <c r="UV13" i="19"/>
  <c r="UW13" i="19" s="1"/>
  <c r="TG14" i="19"/>
  <c r="TF13" i="19"/>
  <c r="TG13" i="19" s="1"/>
  <c r="RQ14" i="19"/>
  <c r="RP13" i="19"/>
  <c r="RQ13" i="19" s="1"/>
  <c r="QA14" i="19"/>
  <c r="PZ13" i="19"/>
  <c r="QA13" i="19" s="1"/>
  <c r="NP14" i="19"/>
  <c r="NO13" i="19"/>
  <c r="NP13" i="19" s="1"/>
  <c r="LE14" i="19"/>
  <c r="LD13" i="19"/>
  <c r="LE13" i="19" s="1"/>
  <c r="JO14" i="19"/>
  <c r="JN13" i="19"/>
  <c r="JO13" i="19" s="1"/>
  <c r="HD14" i="19"/>
  <c r="HC13" i="19"/>
  <c r="HD13" i="19" s="1"/>
  <c r="ES14" i="19"/>
  <c r="ER13" i="19"/>
  <c r="ES13" i="19" s="1"/>
  <c r="DC14" i="19"/>
  <c r="DB13" i="19"/>
  <c r="DC13" i="19" s="1"/>
  <c r="AR14" i="19"/>
  <c r="AQ13" i="19"/>
  <c r="AR13" i="19" s="1"/>
  <c r="TF10" i="19"/>
  <c r="TG10" i="19" s="1"/>
  <c r="TG11" i="19"/>
  <c r="DC5" i="19"/>
  <c r="DB4" i="19"/>
  <c r="DC4" i="19" s="1"/>
  <c r="ES5" i="19"/>
  <c r="ER4" i="19"/>
  <c r="ES4" i="19" s="1"/>
  <c r="GI5" i="19"/>
  <c r="GH4" i="19"/>
  <c r="GI4" i="19" s="1"/>
  <c r="GH20" i="19"/>
  <c r="GI20" i="19" s="1"/>
  <c r="GI21" i="19"/>
  <c r="AR21" i="19"/>
  <c r="AQ20" i="19"/>
  <c r="AR20" i="19" s="1"/>
  <c r="BL20" i="19"/>
  <c r="BM20" i="19" s="1"/>
  <c r="BM21" i="19"/>
  <c r="SA22" i="19"/>
  <c r="SB22" i="19" s="1"/>
  <c r="QZ22" i="19"/>
  <c r="RA22" i="19" s="1"/>
  <c r="CH21" i="19"/>
  <c r="CG20" i="19"/>
  <c r="CH20" i="19" s="1"/>
  <c r="AG22" i="19"/>
  <c r="AH22" i="19" s="1"/>
  <c r="AH20" i="19"/>
  <c r="KN22" i="19"/>
  <c r="KO22" i="19" s="1"/>
  <c r="KO20" i="19"/>
  <c r="HY21" i="19"/>
  <c r="HX20" i="19"/>
  <c r="HY20" i="19" s="1"/>
  <c r="L22" i="19"/>
  <c r="M22" i="19" s="1"/>
  <c r="M20" i="19"/>
  <c r="OO22" i="19"/>
  <c r="OP22" i="19" s="1"/>
  <c r="OP20" i="19"/>
  <c r="LZ21" i="19"/>
  <c r="LY20" i="19"/>
  <c r="LZ20" i="19" s="1"/>
  <c r="KG22" i="19"/>
  <c r="KH22" i="19" s="1"/>
  <c r="PK20" i="19"/>
  <c r="PJ22" i="19"/>
  <c r="PK22" i="19" s="1"/>
  <c r="MU21" i="19"/>
  <c r="MT20" i="19"/>
  <c r="MU20" i="19" s="1"/>
  <c r="JT20" i="19"/>
  <c r="JS22" i="19"/>
  <c r="JT22" i="19" s="1"/>
  <c r="NZ22" i="19"/>
  <c r="OA22" i="19" s="1"/>
  <c r="VR17" i="19"/>
  <c r="VQ16" i="19"/>
  <c r="VR16" i="19" s="1"/>
  <c r="AO22" i="19"/>
  <c r="AP22" i="19" s="1"/>
  <c r="AP20" i="19"/>
  <c r="RQ17" i="19"/>
  <c r="RP16" i="19"/>
  <c r="RQ16" i="19" s="1"/>
  <c r="QA17" i="19"/>
  <c r="PZ16" i="19"/>
  <c r="QA16" i="19" s="1"/>
  <c r="OK17" i="19"/>
  <c r="OJ16" i="19"/>
  <c r="OK16" i="19" s="1"/>
  <c r="MU17" i="19"/>
  <c r="MT16" i="19"/>
  <c r="MU16" i="19" s="1"/>
  <c r="LE17" i="19"/>
  <c r="LD16" i="19"/>
  <c r="LE16" i="19" s="1"/>
  <c r="JO17" i="19"/>
  <c r="JN16" i="19"/>
  <c r="JO16" i="19" s="1"/>
  <c r="HY17" i="19"/>
  <c r="HX16" i="19"/>
  <c r="HY16" i="19" s="1"/>
  <c r="GI17" i="19"/>
  <c r="GH16" i="19"/>
  <c r="GI16" i="19" s="1"/>
  <c r="ES17" i="19"/>
  <c r="ER16" i="19"/>
  <c r="ES16" i="19" s="1"/>
  <c r="DC17" i="19"/>
  <c r="DB16" i="19"/>
  <c r="DC16" i="19" s="1"/>
  <c r="BM17" i="19"/>
  <c r="BL16" i="19"/>
  <c r="BM16" i="19" s="1"/>
  <c r="W17" i="19"/>
  <c r="V16" i="19"/>
  <c r="W16" i="19" s="1"/>
  <c r="TG17" i="19"/>
  <c r="TF16" i="19"/>
  <c r="TG16" i="19" s="1"/>
  <c r="WI12" i="19"/>
  <c r="WH10" i="19"/>
  <c r="WI10" i="19" s="1"/>
  <c r="JO12" i="19"/>
  <c r="JN10" i="19"/>
  <c r="JO10" i="19" s="1"/>
  <c r="UB11" i="19"/>
  <c r="UA10" i="19"/>
  <c r="UB10" i="19" s="1"/>
  <c r="NP11" i="19"/>
  <c r="NO10" i="19"/>
  <c r="NP10" i="19" s="1"/>
  <c r="HD11" i="19"/>
  <c r="HC10" i="19"/>
  <c r="HD10" i="19" s="1"/>
  <c r="AR11" i="19"/>
  <c r="AQ10" i="19"/>
  <c r="AR10" i="19" s="1"/>
  <c r="UB5" i="19"/>
  <c r="UA4" i="19"/>
  <c r="UB4" i="19" s="1"/>
  <c r="NP5" i="19"/>
  <c r="NO4" i="19"/>
  <c r="NP4" i="19" s="1"/>
  <c r="LZ14" i="19"/>
  <c r="LY13" i="19"/>
  <c r="LZ13" i="19" s="1"/>
  <c r="FN14" i="19"/>
  <c r="FM13" i="19"/>
  <c r="FN13" i="19" s="1"/>
  <c r="RQ11" i="19"/>
  <c r="RP10" i="19"/>
  <c r="RQ10" i="19" s="1"/>
  <c r="GH10" i="19"/>
  <c r="GI10" i="19" s="1"/>
  <c r="GI11" i="19"/>
  <c r="UV10" i="19"/>
  <c r="UW10" i="19" s="1"/>
  <c r="BM5" i="19"/>
  <c r="BL4" i="19"/>
  <c r="BM4" i="19" s="1"/>
  <c r="MT10" i="19"/>
  <c r="MU10" i="19" s="1"/>
  <c r="MU11" i="19"/>
  <c r="OJ10" i="19"/>
  <c r="OK10" i="19" s="1"/>
  <c r="CH5" i="19"/>
  <c r="CG4" i="19"/>
  <c r="CH4" i="19" s="1"/>
  <c r="LD4" i="19"/>
  <c r="LE4" i="19" s="1"/>
  <c r="V10" i="19"/>
  <c r="W10" i="19" s="1"/>
  <c r="W11" i="19"/>
  <c r="DD1" i="19"/>
  <c r="TT21" i="17"/>
  <c r="TS20" i="17"/>
  <c r="TT20" i="17" s="1"/>
  <c r="RQ21" i="17"/>
  <c r="RP20" i="17"/>
  <c r="RQ20" i="17" s="1"/>
  <c r="LZ21" i="17"/>
  <c r="LY20" i="17"/>
  <c r="LZ20" i="17" s="1"/>
  <c r="KJ21" i="17"/>
  <c r="KI20" i="17"/>
  <c r="KJ20" i="17" s="1"/>
  <c r="HY21" i="17"/>
  <c r="HX20" i="17"/>
  <c r="HY20" i="17" s="1"/>
  <c r="BM18" i="17"/>
  <c r="BL16" i="17"/>
  <c r="BM16" i="17" s="1"/>
  <c r="T22" i="17"/>
  <c r="U22" i="17" s="1"/>
  <c r="U20" i="17"/>
  <c r="ES21" i="17"/>
  <c r="ER20" i="17"/>
  <c r="ES20" i="17" s="1"/>
  <c r="PF17" i="17"/>
  <c r="PE16" i="17"/>
  <c r="PF16" i="17" s="1"/>
  <c r="NP14" i="17"/>
  <c r="NO13" i="17"/>
  <c r="NP13" i="17" s="1"/>
  <c r="AR14" i="17"/>
  <c r="AQ13" i="17"/>
  <c r="AR13" i="17" s="1"/>
  <c r="KI10" i="17"/>
  <c r="KJ10" i="17" s="1"/>
  <c r="KJ11" i="17"/>
  <c r="QA14" i="17"/>
  <c r="PZ13" i="17"/>
  <c r="QA13" i="17" s="1"/>
  <c r="W14" i="17"/>
  <c r="V13" i="17"/>
  <c r="W13" i="17" s="1"/>
  <c r="RQ14" i="17"/>
  <c r="RP13" i="17"/>
  <c r="RQ13" i="17" s="1"/>
  <c r="PF21" i="17"/>
  <c r="PE20" i="17"/>
  <c r="PF20" i="17" s="1"/>
  <c r="MR22" i="17"/>
  <c r="MS22" i="17" s="1"/>
  <c r="DC21" i="17"/>
  <c r="DB20" i="17"/>
  <c r="DC20" i="17" s="1"/>
  <c r="TQ22" i="17"/>
  <c r="TR22" i="17" s="1"/>
  <c r="TR20" i="17"/>
  <c r="HD21" i="17"/>
  <c r="HC20" i="17"/>
  <c r="HD20" i="17" s="1"/>
  <c r="RQ17" i="17"/>
  <c r="RP16" i="17"/>
  <c r="RQ16" i="17" s="1"/>
  <c r="LE17" i="17"/>
  <c r="LD16" i="17"/>
  <c r="LE16" i="17" s="1"/>
  <c r="GF22" i="17"/>
  <c r="GG22" i="17" s="1"/>
  <c r="GG20" i="17"/>
  <c r="CH21" i="17"/>
  <c r="CG20" i="17"/>
  <c r="CH20" i="17" s="1"/>
  <c r="QZ22" i="17"/>
  <c r="RA22" i="17" s="1"/>
  <c r="NM22" i="17"/>
  <c r="NN22" i="17" s="1"/>
  <c r="NN20" i="17"/>
  <c r="DX21" i="17"/>
  <c r="DW20" i="17"/>
  <c r="DX20" i="17" s="1"/>
  <c r="TS16" i="17"/>
  <c r="TT16" i="17" s="1"/>
  <c r="TT17" i="17"/>
  <c r="NP17" i="17"/>
  <c r="NO16" i="17"/>
  <c r="NP16" i="17" s="1"/>
  <c r="HD17" i="17"/>
  <c r="HC16" i="17"/>
  <c r="HD16" i="17" s="1"/>
  <c r="AQ16" i="17"/>
  <c r="AR16" i="17" s="1"/>
  <c r="AR17" i="17"/>
  <c r="NZ22" i="17"/>
  <c r="OA22" i="17" s="1"/>
  <c r="OA20" i="17"/>
  <c r="HH22" i="17"/>
  <c r="HI22" i="17" s="1"/>
  <c r="SL14" i="17"/>
  <c r="SK13" i="17"/>
  <c r="SL13" i="17" s="1"/>
  <c r="LZ14" i="17"/>
  <c r="LY13" i="17"/>
  <c r="LZ13" i="17" s="1"/>
  <c r="FN14" i="17"/>
  <c r="FM13" i="17"/>
  <c r="FN13" i="17" s="1"/>
  <c r="VB11" i="17"/>
  <c r="VA10" i="17"/>
  <c r="VB10" i="17" s="1"/>
  <c r="PF11" i="17"/>
  <c r="PE10" i="17"/>
  <c r="PF10" i="17" s="1"/>
  <c r="DC17" i="17"/>
  <c r="DB16" i="17"/>
  <c r="DC16" i="17" s="1"/>
  <c r="LE15" i="17"/>
  <c r="LD13" i="17"/>
  <c r="LE13" i="17" s="1"/>
  <c r="UK14" i="17"/>
  <c r="UJ13" i="17"/>
  <c r="UK13" i="17" s="1"/>
  <c r="ES14" i="17"/>
  <c r="ER13" i="17"/>
  <c r="ES13" i="17" s="1"/>
  <c r="JO11" i="17"/>
  <c r="JN10" i="17"/>
  <c r="JO10" i="17" s="1"/>
  <c r="FN11" i="17"/>
  <c r="FM10" i="17"/>
  <c r="FN10" i="17" s="1"/>
  <c r="GI11" i="17"/>
  <c r="GH10" i="17"/>
  <c r="GI10" i="17" s="1"/>
  <c r="W11" i="17"/>
  <c r="V10" i="17"/>
  <c r="W10" i="17" s="1"/>
  <c r="NP5" i="17"/>
  <c r="NO4" i="17"/>
  <c r="NP4" i="17" s="1"/>
  <c r="AR5" i="17"/>
  <c r="AQ4" i="17"/>
  <c r="AR4" i="17" s="1"/>
  <c r="W17" i="17"/>
  <c r="V16" i="17"/>
  <c r="W16" i="17" s="1"/>
  <c r="QA5" i="17"/>
  <c r="PZ4" i="17"/>
  <c r="QA4" i="17" s="1"/>
  <c r="DC5" i="17"/>
  <c r="DB4" i="17"/>
  <c r="DC4" i="17" s="1"/>
  <c r="UK5" i="17"/>
  <c r="UJ4" i="17"/>
  <c r="UK4" i="17" s="1"/>
  <c r="GH16" i="17"/>
  <c r="GI16" i="17" s="1"/>
  <c r="LZ5" i="17"/>
  <c r="LY4" i="17"/>
  <c r="LZ4" i="17" s="1"/>
  <c r="DY1" i="17"/>
  <c r="BJ22" i="17"/>
  <c r="BK22" i="17" s="1"/>
  <c r="BK20" i="17"/>
  <c r="TC17" i="17"/>
  <c r="TB16" i="17"/>
  <c r="TC16" i="17" s="1"/>
  <c r="IT17" i="17"/>
  <c r="IS16" i="17"/>
  <c r="IT16" i="17" s="1"/>
  <c r="GS22" i="17"/>
  <c r="GT22" i="17" s="1"/>
  <c r="GT20" i="17"/>
  <c r="WJ11" i="17"/>
  <c r="WI10" i="17"/>
  <c r="WJ10" i="17" s="1"/>
  <c r="GI14" i="17"/>
  <c r="GH13" i="17"/>
  <c r="GI13" i="17" s="1"/>
  <c r="RQ12" i="17"/>
  <c r="RP10" i="17"/>
  <c r="RQ10" i="17" s="1"/>
  <c r="HY11" i="17"/>
  <c r="HX10" i="17"/>
  <c r="HY10" i="17" s="1"/>
  <c r="QV5" i="17"/>
  <c r="QU4" i="17"/>
  <c r="QV4" i="17" s="1"/>
  <c r="PF5" i="17"/>
  <c r="PE4" i="17"/>
  <c r="PF4" i="17" s="1"/>
  <c r="WJ21" i="17"/>
  <c r="WI20" i="17"/>
  <c r="WJ20" i="17" s="1"/>
  <c r="QV21" i="17"/>
  <c r="QU20" i="17"/>
  <c r="QV20" i="17" s="1"/>
  <c r="SL21" i="17"/>
  <c r="SK20" i="17"/>
  <c r="SL20" i="17" s="1"/>
  <c r="LE21" i="17"/>
  <c r="LD20" i="17"/>
  <c r="LE20" i="17" s="1"/>
  <c r="L22" i="17"/>
  <c r="M22" i="17" s="1"/>
  <c r="IT21" i="17"/>
  <c r="IS20" i="17"/>
  <c r="IT20" i="17" s="1"/>
  <c r="VR16" i="17"/>
  <c r="VS16" i="17" s="1"/>
  <c r="VS17" i="17"/>
  <c r="QA17" i="17"/>
  <c r="PZ16" i="17"/>
  <c r="QA16" i="17" s="1"/>
  <c r="UK21" i="17"/>
  <c r="UJ20" i="17"/>
  <c r="UK20" i="17" s="1"/>
  <c r="DM22" i="17"/>
  <c r="DN22" i="17" s="1"/>
  <c r="DN20" i="17"/>
  <c r="BR20" i="17"/>
  <c r="BQ22" i="17"/>
  <c r="BR22" i="17" s="1"/>
  <c r="EB22" i="17"/>
  <c r="EC22" i="17" s="1"/>
  <c r="SL17" i="17"/>
  <c r="SK16" i="17"/>
  <c r="SL16" i="17" s="1"/>
  <c r="LZ17" i="17"/>
  <c r="LY16" i="17"/>
  <c r="LZ16" i="17" s="1"/>
  <c r="FM16" i="17"/>
  <c r="FN16" i="17" s="1"/>
  <c r="FN17" i="17"/>
  <c r="OK21" i="17"/>
  <c r="OJ20" i="17"/>
  <c r="OK20" i="17" s="1"/>
  <c r="DA20" i="17"/>
  <c r="CZ22" i="17"/>
  <c r="DA22" i="17" s="1"/>
  <c r="JO17" i="17"/>
  <c r="JN16" i="17"/>
  <c r="JO16" i="17" s="1"/>
  <c r="WJ14" i="17"/>
  <c r="WI13" i="17"/>
  <c r="WJ13" i="17" s="1"/>
  <c r="QV14" i="17"/>
  <c r="QU13" i="17"/>
  <c r="QV13" i="17" s="1"/>
  <c r="KJ14" i="17"/>
  <c r="KI13" i="17"/>
  <c r="KJ13" i="17" s="1"/>
  <c r="DX14" i="17"/>
  <c r="DW13" i="17"/>
  <c r="DX13" i="17" s="1"/>
  <c r="TT11" i="17"/>
  <c r="TS10" i="17"/>
  <c r="TT10" i="17" s="1"/>
  <c r="NP11" i="17"/>
  <c r="NO10" i="17"/>
  <c r="NP10" i="17" s="1"/>
  <c r="JO14" i="17"/>
  <c r="JN13" i="17"/>
  <c r="JO13" i="17" s="1"/>
  <c r="DC14" i="17"/>
  <c r="DB13" i="17"/>
  <c r="DC13" i="17" s="1"/>
  <c r="UK11" i="17"/>
  <c r="UJ10" i="17"/>
  <c r="UK10" i="17" s="1"/>
  <c r="DX11" i="17"/>
  <c r="DW10" i="17"/>
  <c r="DX10" i="17" s="1"/>
  <c r="TC14" i="17"/>
  <c r="TB13" i="17"/>
  <c r="TC13" i="17" s="1"/>
  <c r="ES11" i="17"/>
  <c r="ER10" i="17"/>
  <c r="ES10" i="17" s="1"/>
  <c r="WJ5" i="17"/>
  <c r="WI4" i="17"/>
  <c r="WJ4" i="17" s="1"/>
  <c r="KJ5" i="17"/>
  <c r="KI4" i="17"/>
  <c r="KJ4" i="17" s="1"/>
  <c r="OK5" i="17"/>
  <c r="OJ4" i="17"/>
  <c r="OK4" i="17" s="1"/>
  <c r="PZ10" i="17"/>
  <c r="QA10" i="17" s="1"/>
  <c r="QA11" i="17"/>
  <c r="MU5" i="17"/>
  <c r="MT4" i="17"/>
  <c r="MU4" i="17" s="1"/>
  <c r="W5" i="17"/>
  <c r="V4" i="17"/>
  <c r="W4" i="17" s="1"/>
  <c r="RQ5" i="17"/>
  <c r="RP4" i="17"/>
  <c r="RQ4" i="17" s="1"/>
  <c r="VB5" i="17"/>
  <c r="VA4" i="17"/>
  <c r="VB4" i="17" s="1"/>
  <c r="IT5" i="17"/>
  <c r="IS4" i="17"/>
  <c r="IT4" i="17" s="1"/>
  <c r="MU15" i="17"/>
  <c r="MT13" i="17"/>
  <c r="MU13" i="17" s="1"/>
  <c r="NP21" i="17"/>
  <c r="NO20" i="17"/>
  <c r="NP20" i="17" s="1"/>
  <c r="IC22" i="17"/>
  <c r="ID22" i="17" s="1"/>
  <c r="ID20" i="17"/>
  <c r="AR21" i="17"/>
  <c r="AQ20" i="17"/>
  <c r="AR20" i="17" s="1"/>
  <c r="HY18" i="17"/>
  <c r="HX16" i="17"/>
  <c r="HY16" i="17" s="1"/>
  <c r="MU17" i="17"/>
  <c r="MT16" i="17"/>
  <c r="MU16" i="17" s="1"/>
  <c r="VA16" i="17"/>
  <c r="VB16" i="17" s="1"/>
  <c r="VB17" i="17"/>
  <c r="CG16" i="17"/>
  <c r="CH16" i="17" s="1"/>
  <c r="CH17" i="17"/>
  <c r="EW22" i="17"/>
  <c r="EX22" i="17" s="1"/>
  <c r="EX20" i="17"/>
  <c r="ES17" i="17"/>
  <c r="ER16" i="17"/>
  <c r="ES16" i="17" s="1"/>
  <c r="TT14" i="17"/>
  <c r="TS13" i="17"/>
  <c r="TT13" i="17" s="1"/>
  <c r="HD14" i="17"/>
  <c r="HC13" i="17"/>
  <c r="HD13" i="17" s="1"/>
  <c r="QV11" i="17"/>
  <c r="QU10" i="17"/>
  <c r="QV10" i="17" s="1"/>
  <c r="HD11" i="17"/>
  <c r="HC10" i="17"/>
  <c r="HD10" i="17" s="1"/>
  <c r="AR11" i="17"/>
  <c r="AQ10" i="17"/>
  <c r="AR10" i="17" s="1"/>
  <c r="BM11" i="17"/>
  <c r="BL10" i="17"/>
  <c r="BM10" i="17" s="1"/>
  <c r="DX5" i="17"/>
  <c r="DW4" i="17"/>
  <c r="DX4" i="17" s="1"/>
  <c r="TC5" i="17"/>
  <c r="TB4" i="17"/>
  <c r="TC4" i="17" s="1"/>
  <c r="GI5" i="17"/>
  <c r="GH4" i="17"/>
  <c r="GI4" i="17" s="1"/>
  <c r="HY5" i="17"/>
  <c r="HX4" i="17"/>
  <c r="HY4" i="17" s="1"/>
  <c r="CH5" i="17"/>
  <c r="CG4" i="17"/>
  <c r="CH4" i="17" s="1"/>
  <c r="VB21" i="17"/>
  <c r="VA20" i="17"/>
  <c r="VB20" i="17" s="1"/>
  <c r="II22" i="17"/>
  <c r="IJ22" i="17" s="1"/>
  <c r="IJ20" i="17"/>
  <c r="BW22" i="17"/>
  <c r="BX22" i="17" s="1"/>
  <c r="BX20" i="17"/>
  <c r="GI21" i="17"/>
  <c r="GH20" i="17"/>
  <c r="GI20" i="17" s="1"/>
  <c r="W21" i="17"/>
  <c r="V20" i="17"/>
  <c r="W20" i="17" s="1"/>
  <c r="RN22" i="17"/>
  <c r="RO22" i="17" s="1"/>
  <c r="OO22" i="17"/>
  <c r="OP22" i="17" s="1"/>
  <c r="MU21" i="17"/>
  <c r="MT20" i="17"/>
  <c r="MU20" i="17" s="1"/>
  <c r="BM21" i="17"/>
  <c r="BL20" i="17"/>
  <c r="BM20" i="17" s="1"/>
  <c r="UJ16" i="17"/>
  <c r="UK16" i="17" s="1"/>
  <c r="UK17" i="17"/>
  <c r="OK17" i="17"/>
  <c r="OJ16" i="17"/>
  <c r="OK16" i="17" s="1"/>
  <c r="WI16" i="17"/>
  <c r="WJ16" i="17" s="1"/>
  <c r="WJ17" i="17"/>
  <c r="QV17" i="17"/>
  <c r="QU16" i="17"/>
  <c r="QV16" i="17" s="1"/>
  <c r="KJ17" i="17"/>
  <c r="KI16" i="17"/>
  <c r="KJ16" i="17" s="1"/>
  <c r="DX17" i="17"/>
  <c r="DW16" i="17"/>
  <c r="DX16" i="17" s="1"/>
  <c r="FN21" i="17"/>
  <c r="FM20" i="17"/>
  <c r="FN20" i="17" s="1"/>
  <c r="AG22" i="17"/>
  <c r="AH22" i="17" s="1"/>
  <c r="AH20" i="17"/>
  <c r="AV22" i="17"/>
  <c r="AW22" i="17" s="1"/>
  <c r="VB14" i="17"/>
  <c r="VA13" i="17"/>
  <c r="VB13" i="17" s="1"/>
  <c r="PF14" i="17"/>
  <c r="PE13" i="17"/>
  <c r="PF13" i="17" s="1"/>
  <c r="IT14" i="17"/>
  <c r="IS13" i="17"/>
  <c r="IT13" i="17" s="1"/>
  <c r="CH14" i="17"/>
  <c r="CG13" i="17"/>
  <c r="CH13" i="17" s="1"/>
  <c r="SL11" i="17"/>
  <c r="SK10" i="17"/>
  <c r="SL10" i="17" s="1"/>
  <c r="LZ11" i="17"/>
  <c r="LY10" i="17"/>
  <c r="LZ10" i="17" s="1"/>
  <c r="VS14" i="17"/>
  <c r="VR13" i="17"/>
  <c r="VS13" i="17" s="1"/>
  <c r="HY14" i="17"/>
  <c r="HX13" i="17"/>
  <c r="HY13" i="17" s="1"/>
  <c r="BM14" i="17"/>
  <c r="BL13" i="17"/>
  <c r="BM13" i="17" s="1"/>
  <c r="TC12" i="17"/>
  <c r="TB10" i="17"/>
  <c r="TC10" i="17" s="1"/>
  <c r="MU12" i="17"/>
  <c r="MT10" i="17"/>
  <c r="MU10" i="17" s="1"/>
  <c r="OK11" i="17"/>
  <c r="OJ10" i="17"/>
  <c r="OK10" i="17" s="1"/>
  <c r="IT11" i="17"/>
  <c r="IS10" i="17"/>
  <c r="IT10" i="17" s="1"/>
  <c r="CH11" i="17"/>
  <c r="CG10" i="17"/>
  <c r="CH10" i="17" s="1"/>
  <c r="OK15" i="17"/>
  <c r="OJ13" i="17"/>
  <c r="OK13" i="17" s="1"/>
  <c r="DC11" i="17"/>
  <c r="DB10" i="17"/>
  <c r="DC10" i="17" s="1"/>
  <c r="LD10" i="17"/>
  <c r="LE10" i="17" s="1"/>
  <c r="TT5" i="17"/>
  <c r="TS4" i="17"/>
  <c r="TT4" i="17" s="1"/>
  <c r="HD5" i="17"/>
  <c r="HC4" i="17"/>
  <c r="HD4" i="17" s="1"/>
  <c r="ES5" i="17"/>
  <c r="ER4" i="17"/>
  <c r="ES4" i="17" s="1"/>
  <c r="VS5" i="17"/>
  <c r="VR4" i="17"/>
  <c r="VS4" i="17" s="1"/>
  <c r="JO5" i="17"/>
  <c r="JN4" i="17"/>
  <c r="JO4" i="17" s="1"/>
  <c r="LE5" i="17"/>
  <c r="LD4" i="17"/>
  <c r="LE4" i="17" s="1"/>
  <c r="VS11" i="17"/>
  <c r="VR10" i="17"/>
  <c r="VS10" i="17" s="1"/>
  <c r="SL5" i="17"/>
  <c r="SK4" i="17"/>
  <c r="SL4" i="17" s="1"/>
  <c r="FN5" i="17"/>
  <c r="FM4" i="17"/>
  <c r="FN4" i="17" s="1"/>
  <c r="BM5" i="17"/>
  <c r="BL4" i="17"/>
  <c r="BM4" i="17" s="1"/>
  <c r="TT21" i="15"/>
  <c r="TS20" i="15"/>
  <c r="TT20" i="15" s="1"/>
  <c r="OK21" i="15"/>
  <c r="OJ20" i="15"/>
  <c r="OK20" i="15" s="1"/>
  <c r="FK22" i="15"/>
  <c r="FL22" i="15" s="1"/>
  <c r="FL20" i="15"/>
  <c r="AV22" i="15"/>
  <c r="AW22" i="15" s="1"/>
  <c r="AW20" i="15"/>
  <c r="DC14" i="15"/>
  <c r="DB13" i="15"/>
  <c r="DC13" i="15" s="1"/>
  <c r="TC11" i="15"/>
  <c r="TB10" i="15"/>
  <c r="TC10" i="15" s="1"/>
  <c r="UK14" i="15"/>
  <c r="UJ13" i="15"/>
  <c r="UK13" i="15" s="1"/>
  <c r="NP11" i="15"/>
  <c r="NO10" i="15"/>
  <c r="NP10" i="15" s="1"/>
  <c r="PF5" i="15"/>
  <c r="PE4" i="15"/>
  <c r="PF4" i="15" s="1"/>
  <c r="JN4" i="15"/>
  <c r="JO4" i="15" s="1"/>
  <c r="JO5" i="15"/>
  <c r="KJ17" i="15"/>
  <c r="KI16" i="15"/>
  <c r="KJ16" i="15" s="1"/>
  <c r="ER4" i="15"/>
  <c r="ES4" i="15" s="1"/>
  <c r="SL21" i="15"/>
  <c r="SK20" i="15"/>
  <c r="SL20" i="15" s="1"/>
  <c r="LZ21" i="15"/>
  <c r="LY20" i="15"/>
  <c r="LZ20" i="15" s="1"/>
  <c r="WJ21" i="15"/>
  <c r="WI20" i="15"/>
  <c r="WJ20" i="15" s="1"/>
  <c r="PP22" i="15"/>
  <c r="PQ22" i="15" s="1"/>
  <c r="PQ20" i="15"/>
  <c r="UY22" i="15"/>
  <c r="UZ22" i="15" s="1"/>
  <c r="LW22" i="15"/>
  <c r="LX22" i="15" s="1"/>
  <c r="SU22" i="15"/>
  <c r="SV22" i="15" s="1"/>
  <c r="SV20" i="15"/>
  <c r="MD22" i="15"/>
  <c r="ME22" i="15" s="1"/>
  <c r="FR22" i="15"/>
  <c r="FS22" i="15" s="1"/>
  <c r="JS22" i="15"/>
  <c r="JT22" i="15" s="1"/>
  <c r="JT20" i="15"/>
  <c r="BQ22" i="15"/>
  <c r="BR22" i="15" s="1"/>
  <c r="CH21" i="15"/>
  <c r="CG20" i="15"/>
  <c r="CH20" i="15" s="1"/>
  <c r="T22" i="15"/>
  <c r="U22" i="15" s="1"/>
  <c r="LE21" i="15"/>
  <c r="LD20" i="15"/>
  <c r="LE20" i="15" s="1"/>
  <c r="JD22" i="15"/>
  <c r="JE22" i="15" s="1"/>
  <c r="CL22" i="15"/>
  <c r="CM22" i="15" s="1"/>
  <c r="CM20" i="15"/>
  <c r="CZ22" i="15"/>
  <c r="DA22" i="15" s="1"/>
  <c r="IC22" i="15"/>
  <c r="ID22" i="15" s="1"/>
  <c r="WJ17" i="15"/>
  <c r="WI16" i="15"/>
  <c r="WJ16" i="15" s="1"/>
  <c r="VB17" i="15"/>
  <c r="VA16" i="15"/>
  <c r="VB16" i="15" s="1"/>
  <c r="TT17" i="15"/>
  <c r="TS16" i="15"/>
  <c r="TT16" i="15" s="1"/>
  <c r="SL17" i="15"/>
  <c r="SK16" i="15"/>
  <c r="SL16" i="15" s="1"/>
  <c r="QV17" i="15"/>
  <c r="QU16" i="15"/>
  <c r="QV16" i="15" s="1"/>
  <c r="PF17" i="15"/>
  <c r="PE16" i="15"/>
  <c r="PF16" i="15" s="1"/>
  <c r="NP17" i="15"/>
  <c r="NO16" i="15"/>
  <c r="NP16" i="15" s="1"/>
  <c r="LZ17" i="15"/>
  <c r="LY16" i="15"/>
  <c r="LZ16" i="15" s="1"/>
  <c r="HY21" i="15"/>
  <c r="HX20" i="15"/>
  <c r="HY20" i="15" s="1"/>
  <c r="VB14" i="15"/>
  <c r="VA13" i="15"/>
  <c r="VB13" i="15" s="1"/>
  <c r="PF14" i="15"/>
  <c r="PE13" i="15"/>
  <c r="PF13" i="15" s="1"/>
  <c r="IT14" i="15"/>
  <c r="IS13" i="15"/>
  <c r="IT13" i="15" s="1"/>
  <c r="BM14" i="15"/>
  <c r="BL13" i="15"/>
  <c r="BM13" i="15" s="1"/>
  <c r="RQ11" i="15"/>
  <c r="RP10" i="15"/>
  <c r="RQ10" i="15" s="1"/>
  <c r="LE11" i="15"/>
  <c r="LD10" i="15"/>
  <c r="LE10" i="15" s="1"/>
  <c r="ES11" i="15"/>
  <c r="ER10" i="15"/>
  <c r="ES10" i="15" s="1"/>
  <c r="HD14" i="15"/>
  <c r="HC13" i="15"/>
  <c r="HD13" i="15" s="1"/>
  <c r="OK14" i="15"/>
  <c r="OJ13" i="15"/>
  <c r="OK13" i="15" s="1"/>
  <c r="KJ14" i="15"/>
  <c r="KI13" i="15"/>
  <c r="KJ13" i="15" s="1"/>
  <c r="SL11" i="15"/>
  <c r="SK10" i="15"/>
  <c r="SL10" i="15" s="1"/>
  <c r="LZ11" i="15"/>
  <c r="LY10" i="15"/>
  <c r="LZ10" i="15" s="1"/>
  <c r="FN11" i="15"/>
  <c r="FM10" i="15"/>
  <c r="FN10" i="15" s="1"/>
  <c r="TS4" i="15"/>
  <c r="TT4" i="15" s="1"/>
  <c r="TT5" i="15"/>
  <c r="NO4" i="15"/>
  <c r="NP4" i="15" s="1"/>
  <c r="NP5" i="15"/>
  <c r="IT5" i="15"/>
  <c r="IS4" i="15"/>
  <c r="IT4" i="15" s="1"/>
  <c r="CH5" i="15"/>
  <c r="CG4" i="15"/>
  <c r="CH4" i="15" s="1"/>
  <c r="RQ5" i="15"/>
  <c r="RP4" i="15"/>
  <c r="RQ4" i="15" s="1"/>
  <c r="DB4" i="15"/>
  <c r="DC4" i="15" s="1"/>
  <c r="DC5" i="15"/>
  <c r="HD17" i="15"/>
  <c r="HC16" i="15"/>
  <c r="HD16" i="15" s="1"/>
  <c r="OK5" i="15"/>
  <c r="OJ4" i="15"/>
  <c r="OK4" i="15" s="1"/>
  <c r="BM5" i="15"/>
  <c r="BL4" i="15"/>
  <c r="BM4" i="15" s="1"/>
  <c r="DC17" i="15"/>
  <c r="DB16" i="15"/>
  <c r="DC16" i="15" s="1"/>
  <c r="VS14" i="15"/>
  <c r="VR13" i="15"/>
  <c r="VS13" i="15" s="1"/>
  <c r="LE14" i="15"/>
  <c r="LD13" i="15"/>
  <c r="LE13" i="15" s="1"/>
  <c r="FN17" i="15"/>
  <c r="FM16" i="15"/>
  <c r="FN16" i="15" s="1"/>
  <c r="LD4" i="15"/>
  <c r="LE4" i="15" s="1"/>
  <c r="QV21" i="15"/>
  <c r="QU20" i="15"/>
  <c r="QV20" i="15" s="1"/>
  <c r="MU11" i="15"/>
  <c r="MT10" i="15"/>
  <c r="MU10" i="15" s="1"/>
  <c r="W11" i="15"/>
  <c r="V10" i="15"/>
  <c r="W10" i="15" s="1"/>
  <c r="HY14" i="15"/>
  <c r="HX13" i="15"/>
  <c r="HY13" i="15" s="1"/>
  <c r="HD11" i="15"/>
  <c r="HC10" i="15"/>
  <c r="HD10" i="15" s="1"/>
  <c r="VB5" i="15"/>
  <c r="VA4" i="15"/>
  <c r="VB4" i="15" s="1"/>
  <c r="DX5" i="15"/>
  <c r="DW4" i="15"/>
  <c r="DX4" i="15" s="1"/>
  <c r="TC5" i="15"/>
  <c r="TB4" i="15"/>
  <c r="TC4" i="15" s="1"/>
  <c r="QE22" i="15"/>
  <c r="QF22" i="15" s="1"/>
  <c r="QF20" i="15"/>
  <c r="CE22" i="15"/>
  <c r="CF22" i="15" s="1"/>
  <c r="CF20" i="15"/>
  <c r="TG22" i="15"/>
  <c r="TH22" i="15" s="1"/>
  <c r="TH20" i="15"/>
  <c r="NP21" i="15"/>
  <c r="NO20" i="15"/>
  <c r="NP20" i="15" s="1"/>
  <c r="IX22" i="15"/>
  <c r="IY22" i="15" s="1"/>
  <c r="F22" i="15"/>
  <c r="G22" i="15" s="1"/>
  <c r="AA22" i="15"/>
  <c r="AB22" i="15" s="1"/>
  <c r="RN22" i="15"/>
  <c r="RO22" i="15" s="1"/>
  <c r="VK22" i="15"/>
  <c r="VL22" i="15" s="1"/>
  <c r="VL20" i="15"/>
  <c r="DU22" i="15"/>
  <c r="DV22" i="15" s="1"/>
  <c r="DV20" i="15"/>
  <c r="BM21" i="15"/>
  <c r="BL20" i="15"/>
  <c r="BM20" i="15" s="1"/>
  <c r="GI14" i="15"/>
  <c r="GH13" i="15"/>
  <c r="GI13" i="15" s="1"/>
  <c r="W14" i="15"/>
  <c r="V13" i="15"/>
  <c r="W13" i="15" s="1"/>
  <c r="VS11" i="15"/>
  <c r="VR10" i="15"/>
  <c r="VS10" i="15" s="1"/>
  <c r="QA11" i="15"/>
  <c r="PZ10" i="15"/>
  <c r="QA10" i="15" s="1"/>
  <c r="JO11" i="15"/>
  <c r="JN10" i="15"/>
  <c r="JO10" i="15" s="1"/>
  <c r="DC11" i="15"/>
  <c r="DB10" i="15"/>
  <c r="DC10" i="15" s="1"/>
  <c r="WJ14" i="15"/>
  <c r="WI13" i="15"/>
  <c r="WJ13" i="15" s="1"/>
  <c r="NP14" i="15"/>
  <c r="NO13" i="15"/>
  <c r="NP13" i="15" s="1"/>
  <c r="AR14" i="15"/>
  <c r="AQ13" i="15"/>
  <c r="AR13" i="15" s="1"/>
  <c r="FN14" i="15"/>
  <c r="FM13" i="15"/>
  <c r="FN13" i="15" s="1"/>
  <c r="QV14" i="15"/>
  <c r="QU13" i="15"/>
  <c r="QV13" i="15" s="1"/>
  <c r="JO14" i="15"/>
  <c r="JN13" i="15"/>
  <c r="JO13" i="15" s="1"/>
  <c r="WJ11" i="15"/>
  <c r="WI10" i="15"/>
  <c r="WJ10" i="15" s="1"/>
  <c r="QV11" i="15"/>
  <c r="QU10" i="15"/>
  <c r="QV10" i="15" s="1"/>
  <c r="KJ11" i="15"/>
  <c r="KI10" i="15"/>
  <c r="KJ10" i="15" s="1"/>
  <c r="DX11" i="15"/>
  <c r="DW10" i="15"/>
  <c r="DX10" i="15" s="1"/>
  <c r="SL5" i="15"/>
  <c r="SK4" i="15"/>
  <c r="SL4" i="15" s="1"/>
  <c r="HD5" i="15"/>
  <c r="HC4" i="15"/>
  <c r="HD4" i="15" s="1"/>
  <c r="AR5" i="15"/>
  <c r="AQ4" i="15"/>
  <c r="AR4" i="15" s="1"/>
  <c r="PZ4" i="15"/>
  <c r="QA4" i="15" s="1"/>
  <c r="QA5" i="15"/>
  <c r="CI1" i="15"/>
  <c r="JO17" i="15"/>
  <c r="JN16" i="15"/>
  <c r="JO16" i="15" s="1"/>
  <c r="W17" i="15"/>
  <c r="V16" i="15"/>
  <c r="W16" i="15" s="1"/>
  <c r="MT4" i="15"/>
  <c r="MU4" i="15" s="1"/>
  <c r="MU5" i="15"/>
  <c r="GH4" i="15"/>
  <c r="GI4" i="15" s="1"/>
  <c r="GI17" i="15"/>
  <c r="GH16" i="15"/>
  <c r="GI16" i="15" s="1"/>
  <c r="RQ14" i="15"/>
  <c r="RP13" i="15"/>
  <c r="RQ13" i="15" s="1"/>
  <c r="IT17" i="15"/>
  <c r="IS16" i="15"/>
  <c r="IT16" i="15" s="1"/>
  <c r="V4" i="15"/>
  <c r="W4" i="15" s="1"/>
  <c r="GG20" i="15"/>
  <c r="GF22" i="15"/>
  <c r="GG22" i="15" s="1"/>
  <c r="BX20" i="15"/>
  <c r="BW22" i="15"/>
  <c r="BX22" i="15" s="1"/>
  <c r="IJ20" i="15"/>
  <c r="II22" i="15"/>
  <c r="IJ22" i="15" s="1"/>
  <c r="DC21" i="15"/>
  <c r="DB20" i="15"/>
  <c r="DC20" i="15" s="1"/>
  <c r="DX21" i="15"/>
  <c r="DW20" i="15"/>
  <c r="DX20" i="15" s="1"/>
  <c r="GI11" i="15"/>
  <c r="GH10" i="15"/>
  <c r="GI10" i="15" s="1"/>
  <c r="TC14" i="15"/>
  <c r="TB13" i="15"/>
  <c r="TC13" i="15" s="1"/>
  <c r="TT11" i="15"/>
  <c r="TS10" i="15"/>
  <c r="TT10" i="15" s="1"/>
  <c r="AR11" i="15"/>
  <c r="AQ10" i="15"/>
  <c r="AR10" i="15" s="1"/>
  <c r="KJ5" i="15"/>
  <c r="KI4" i="15"/>
  <c r="KJ4" i="15" s="1"/>
  <c r="ES17" i="15"/>
  <c r="ER16" i="15"/>
  <c r="ES16" i="15" s="1"/>
  <c r="HY5" i="15"/>
  <c r="HX4" i="15"/>
  <c r="HY4" i="15" s="1"/>
  <c r="UJ4" i="15"/>
  <c r="UK4" i="15" s="1"/>
  <c r="AR17" i="15"/>
  <c r="AQ16" i="15"/>
  <c r="AR16" i="15" s="1"/>
  <c r="DX17" i="15"/>
  <c r="DW16" i="15"/>
  <c r="DX16" i="15" s="1"/>
  <c r="VB21" i="15"/>
  <c r="VA20" i="15"/>
  <c r="VB20" i="15" s="1"/>
  <c r="PF21" i="15"/>
  <c r="PE20" i="15"/>
  <c r="PF20" i="15" s="1"/>
  <c r="IT21" i="15"/>
  <c r="IS20" i="15"/>
  <c r="IT20" i="15" s="1"/>
  <c r="VW22" i="15"/>
  <c r="VX22" i="15" s="1"/>
  <c r="VX20" i="15"/>
  <c r="VP22" i="15"/>
  <c r="VQ22" i="15" s="1"/>
  <c r="FN21" i="15"/>
  <c r="FM20" i="15"/>
  <c r="FN20" i="15" s="1"/>
  <c r="IQ22" i="15"/>
  <c r="IR22" i="15" s="1"/>
  <c r="IR20" i="15"/>
  <c r="VS21" i="15"/>
  <c r="VR20" i="15"/>
  <c r="VS20" i="15" s="1"/>
  <c r="KO20" i="15"/>
  <c r="KN22" i="15"/>
  <c r="KO22" i="15" s="1"/>
  <c r="KJ21" i="15"/>
  <c r="KI20" i="15"/>
  <c r="KJ20" i="15" s="1"/>
  <c r="DM22" i="15"/>
  <c r="DN22" i="15" s="1"/>
  <c r="DN20" i="15"/>
  <c r="VS17" i="15"/>
  <c r="VR16" i="15"/>
  <c r="VS16" i="15" s="1"/>
  <c r="UK17" i="15"/>
  <c r="UJ16" i="15"/>
  <c r="UK16" i="15" s="1"/>
  <c r="TC17" i="15"/>
  <c r="TB16" i="15"/>
  <c r="TC16" i="15" s="1"/>
  <c r="RQ17" i="15"/>
  <c r="RP16" i="15"/>
  <c r="RQ16" i="15" s="1"/>
  <c r="QA17" i="15"/>
  <c r="PZ16" i="15"/>
  <c r="QA16" i="15" s="1"/>
  <c r="OK17" i="15"/>
  <c r="OJ16" i="15"/>
  <c r="OK16" i="15" s="1"/>
  <c r="MU17" i="15"/>
  <c r="MT16" i="15"/>
  <c r="MU16" i="15" s="1"/>
  <c r="PC22" i="15"/>
  <c r="PD22" i="15" s="1"/>
  <c r="PD20" i="15"/>
  <c r="HH22" i="15"/>
  <c r="HI22" i="15" s="1"/>
  <c r="HI20" i="15"/>
  <c r="SL14" i="15"/>
  <c r="SK13" i="15"/>
  <c r="SL13" i="15" s="1"/>
  <c r="LZ14" i="15"/>
  <c r="LY13" i="15"/>
  <c r="LZ13" i="15" s="1"/>
  <c r="ES14" i="15"/>
  <c r="ER13" i="15"/>
  <c r="ES13" i="15" s="1"/>
  <c r="UK11" i="15"/>
  <c r="UJ10" i="15"/>
  <c r="UK10" i="15" s="1"/>
  <c r="OK11" i="15"/>
  <c r="OJ10" i="15"/>
  <c r="OK10" i="15" s="1"/>
  <c r="HY11" i="15"/>
  <c r="HX10" i="15"/>
  <c r="HY10" i="15" s="1"/>
  <c r="BM11" i="15"/>
  <c r="BL10" i="15"/>
  <c r="BM10" i="15" s="1"/>
  <c r="TT14" i="15"/>
  <c r="TS13" i="15"/>
  <c r="TT13" i="15" s="1"/>
  <c r="MU14" i="15"/>
  <c r="MT13" i="15"/>
  <c r="MU13" i="15" s="1"/>
  <c r="QA14" i="15"/>
  <c r="PZ13" i="15"/>
  <c r="QA13" i="15" s="1"/>
  <c r="DX14" i="15"/>
  <c r="DW13" i="15"/>
  <c r="DX13" i="15" s="1"/>
  <c r="VB11" i="15"/>
  <c r="VA10" i="15"/>
  <c r="VB10" i="15" s="1"/>
  <c r="PF11" i="15"/>
  <c r="PE10" i="15"/>
  <c r="PF10" i="15" s="1"/>
  <c r="IT11" i="15"/>
  <c r="IS10" i="15"/>
  <c r="IT10" i="15" s="1"/>
  <c r="CH11" i="15"/>
  <c r="CG10" i="15"/>
  <c r="CH10" i="15" s="1"/>
  <c r="WI4" i="15"/>
  <c r="WJ4" i="15" s="1"/>
  <c r="WJ5" i="15"/>
  <c r="QU4" i="15"/>
  <c r="QV4" i="15" s="1"/>
  <c r="QV5" i="15"/>
  <c r="CH14" i="15"/>
  <c r="CG13" i="15"/>
  <c r="CH13" i="15" s="1"/>
  <c r="LZ5" i="15"/>
  <c r="LY4" i="15"/>
  <c r="LZ4" i="15" s="1"/>
  <c r="FN5" i="15"/>
  <c r="FM4" i="15"/>
  <c r="FN4" i="15" s="1"/>
  <c r="CH17" i="15"/>
  <c r="CG16" i="15"/>
  <c r="CH16" i="15" s="1"/>
  <c r="HY17" i="15"/>
  <c r="HX16" i="15"/>
  <c r="HY16" i="15" s="1"/>
  <c r="VS5" i="15"/>
  <c r="VR4" i="15"/>
  <c r="VS4" i="15" s="1"/>
  <c r="LE17" i="15"/>
  <c r="LD16" i="15"/>
  <c r="LE16" i="15" s="1"/>
  <c r="BM17" i="15"/>
  <c r="BL16" i="15"/>
  <c r="BM16" i="15" s="1"/>
  <c r="TG21" i="13"/>
  <c r="TF20" i="13"/>
  <c r="TG20" i="13" s="1"/>
  <c r="QV21" i="13"/>
  <c r="QU20" i="13"/>
  <c r="QV20" i="13" s="1"/>
  <c r="IQ22" i="13"/>
  <c r="IR22" i="13" s="1"/>
  <c r="IR20" i="13"/>
  <c r="SL21" i="13"/>
  <c r="SK20" i="13"/>
  <c r="SL20" i="13" s="1"/>
  <c r="W21" i="13"/>
  <c r="V20" i="13"/>
  <c r="W20" i="13" s="1"/>
  <c r="MU17" i="13"/>
  <c r="MT16" i="13"/>
  <c r="MU16" i="13" s="1"/>
  <c r="FN19" i="13"/>
  <c r="FM16" i="13"/>
  <c r="FN16" i="13" s="1"/>
  <c r="VJ17" i="13"/>
  <c r="VI16" i="13"/>
  <c r="VJ16" i="13" s="1"/>
  <c r="SK13" i="13"/>
  <c r="SL13" i="13" s="1"/>
  <c r="SL14" i="13"/>
  <c r="FM13" i="13"/>
  <c r="FN13" i="13" s="1"/>
  <c r="FN14" i="13"/>
  <c r="IS10" i="13"/>
  <c r="IT10" i="13" s="1"/>
  <c r="IT11" i="13"/>
  <c r="QA14" i="13"/>
  <c r="PZ13" i="13"/>
  <c r="QA13" i="13" s="1"/>
  <c r="DC14" i="13"/>
  <c r="DB13" i="13"/>
  <c r="DC13" i="13" s="1"/>
  <c r="MU11" i="13"/>
  <c r="MT10" i="13"/>
  <c r="MU10" i="13" s="1"/>
  <c r="OK5" i="13"/>
  <c r="OJ4" i="13"/>
  <c r="OK4" i="13" s="1"/>
  <c r="SK4" i="13"/>
  <c r="SL4" i="13" s="1"/>
  <c r="BN1" i="13"/>
  <c r="PF21" i="13"/>
  <c r="PE20" i="13"/>
  <c r="PF20" i="13" s="1"/>
  <c r="CH21" i="13"/>
  <c r="CG20" i="13"/>
  <c r="CH20" i="13" s="1"/>
  <c r="AR21" i="13"/>
  <c r="AQ20" i="13"/>
  <c r="AR20" i="13" s="1"/>
  <c r="UW22" i="13"/>
  <c r="UX22" i="13" s="1"/>
  <c r="OO22" i="13"/>
  <c r="OP22" i="13" s="1"/>
  <c r="MD22" i="13"/>
  <c r="ME22" i="13" s="1"/>
  <c r="KN22" i="13"/>
  <c r="KO22" i="13" s="1"/>
  <c r="HH22" i="13"/>
  <c r="HI22" i="13" s="1"/>
  <c r="DM22" i="13"/>
  <c r="DN22" i="13" s="1"/>
  <c r="TQ22" i="13"/>
  <c r="TR22" i="13" s="1"/>
  <c r="HV22" i="13"/>
  <c r="HW22" i="13" s="1"/>
  <c r="BJ22" i="13"/>
  <c r="BK22" i="13" s="1"/>
  <c r="F22" i="13"/>
  <c r="G22" i="13" s="1"/>
  <c r="G20" i="13"/>
  <c r="UF22" i="13"/>
  <c r="UG22" i="13" s="1"/>
  <c r="QZ22" i="13"/>
  <c r="RA22" i="13" s="1"/>
  <c r="NT22" i="13"/>
  <c r="NU22" i="13" s="1"/>
  <c r="LI22" i="13"/>
  <c r="LJ22" i="13" s="1"/>
  <c r="GM22" i="13"/>
  <c r="GN22" i="13" s="1"/>
  <c r="BQ22" i="13"/>
  <c r="BR22" i="13" s="1"/>
  <c r="AV22" i="13"/>
  <c r="AW22" i="13" s="1"/>
  <c r="AW16" i="13"/>
  <c r="GI17" i="13"/>
  <c r="GH16" i="13"/>
  <c r="GI16" i="13" s="1"/>
  <c r="QU13" i="13"/>
  <c r="QV13" i="13" s="1"/>
  <c r="QV14" i="13"/>
  <c r="KI13" i="13"/>
  <c r="KJ13" i="13" s="1"/>
  <c r="KJ14" i="13"/>
  <c r="DW13" i="13"/>
  <c r="DX13" i="13" s="1"/>
  <c r="DX14" i="13"/>
  <c r="UA10" i="13"/>
  <c r="UB10" i="13" s="1"/>
  <c r="UB11" i="13"/>
  <c r="NO10" i="13"/>
  <c r="NP10" i="13" s="1"/>
  <c r="NP11" i="13"/>
  <c r="HC10" i="13"/>
  <c r="HD10" i="13" s="1"/>
  <c r="HD11" i="13"/>
  <c r="AQ10" i="13"/>
  <c r="AR10" i="13" s="1"/>
  <c r="AR11" i="13"/>
  <c r="JN16" i="13"/>
  <c r="JO16" i="13" s="1"/>
  <c r="DC17" i="13"/>
  <c r="DB16" i="13"/>
  <c r="DC16" i="13" s="1"/>
  <c r="OK14" i="13"/>
  <c r="OJ13" i="13"/>
  <c r="OK13" i="13" s="1"/>
  <c r="HY14" i="13"/>
  <c r="HX13" i="13"/>
  <c r="HY13" i="13" s="1"/>
  <c r="BM14" i="13"/>
  <c r="BL13" i="13"/>
  <c r="BM13" i="13" s="1"/>
  <c r="RQ11" i="13"/>
  <c r="RP10" i="13"/>
  <c r="RQ10" i="13" s="1"/>
  <c r="LE11" i="13"/>
  <c r="LD10" i="13"/>
  <c r="LE10" i="13" s="1"/>
  <c r="ES11" i="13"/>
  <c r="ER10" i="13"/>
  <c r="ES10" i="13" s="1"/>
  <c r="PF5" i="13"/>
  <c r="PE4" i="13"/>
  <c r="PF4" i="13" s="1"/>
  <c r="BL4" i="13"/>
  <c r="BM4" i="13" s="1"/>
  <c r="WA5" i="13"/>
  <c r="VZ4" i="13"/>
  <c r="WA4" i="13" s="1"/>
  <c r="JO5" i="13"/>
  <c r="JN4" i="13"/>
  <c r="JO4" i="13" s="1"/>
  <c r="DB4" i="13"/>
  <c r="DC4" i="13" s="1"/>
  <c r="FM4" i="13"/>
  <c r="FN4" i="13" s="1"/>
  <c r="UA4" i="13"/>
  <c r="UB4" i="13" s="1"/>
  <c r="TG5" i="13"/>
  <c r="TF4" i="13"/>
  <c r="TG4" i="13" s="1"/>
  <c r="QA21" i="13"/>
  <c r="PZ20" i="13"/>
  <c r="QA20" i="13" s="1"/>
  <c r="LE21" i="13"/>
  <c r="LD20" i="13"/>
  <c r="LE20" i="13" s="1"/>
  <c r="WR21" i="13"/>
  <c r="WQ20" i="13"/>
  <c r="WR20" i="13" s="1"/>
  <c r="IT21" i="13"/>
  <c r="IS20" i="13"/>
  <c r="IT20" i="13" s="1"/>
  <c r="US21" i="13"/>
  <c r="UR20" i="13"/>
  <c r="US20" i="13" s="1"/>
  <c r="MU21" i="13"/>
  <c r="MT20" i="13"/>
  <c r="MU20" i="13" s="1"/>
  <c r="CE22" i="13"/>
  <c r="CF22" i="13" s="1"/>
  <c r="CF20" i="13"/>
  <c r="KJ21" i="13"/>
  <c r="KI20" i="13"/>
  <c r="KJ20" i="13" s="1"/>
  <c r="TG17" i="13"/>
  <c r="TF16" i="13"/>
  <c r="TG16" i="13" s="1"/>
  <c r="PF17" i="13"/>
  <c r="PE16" i="13"/>
  <c r="PF16" i="13" s="1"/>
  <c r="W17" i="13"/>
  <c r="V16" i="13"/>
  <c r="W16" i="13" s="1"/>
  <c r="LY13" i="13"/>
  <c r="LZ13" i="13" s="1"/>
  <c r="LZ14" i="13"/>
  <c r="VI10" i="13"/>
  <c r="VJ10" i="13" s="1"/>
  <c r="VJ11" i="13"/>
  <c r="PE10" i="13"/>
  <c r="PF10" i="13" s="1"/>
  <c r="PF11" i="13"/>
  <c r="CG10" i="13"/>
  <c r="CH10" i="13" s="1"/>
  <c r="CH11" i="13"/>
  <c r="JO14" i="13"/>
  <c r="JN13" i="13"/>
  <c r="JO13" i="13" s="1"/>
  <c r="TG11" i="13"/>
  <c r="TF10" i="13"/>
  <c r="TG10" i="13" s="1"/>
  <c r="GI11" i="13"/>
  <c r="GH10" i="13"/>
  <c r="GI10" i="13" s="1"/>
  <c r="W11" i="13"/>
  <c r="V10" i="13"/>
  <c r="W10" i="13" s="1"/>
  <c r="QV5" i="13"/>
  <c r="QU4" i="13"/>
  <c r="QV4" i="13" s="1"/>
  <c r="RQ5" i="13"/>
  <c r="RP4" i="13"/>
  <c r="RQ4" i="13" s="1"/>
  <c r="WA21" i="13"/>
  <c r="VZ20" i="13"/>
  <c r="WA20" i="13" s="1"/>
  <c r="OK21" i="13"/>
  <c r="OJ20" i="13"/>
  <c r="OK20" i="13" s="1"/>
  <c r="HY21" i="13"/>
  <c r="HX20" i="13"/>
  <c r="HY20" i="13" s="1"/>
  <c r="UB21" i="13"/>
  <c r="UA20" i="13"/>
  <c r="UB20" i="13" s="1"/>
  <c r="LZ21" i="13"/>
  <c r="LY20" i="13"/>
  <c r="LZ20" i="13" s="1"/>
  <c r="RQ21" i="13"/>
  <c r="RP20" i="13"/>
  <c r="RQ20" i="13" s="1"/>
  <c r="JO21" i="13"/>
  <c r="JN20" i="13"/>
  <c r="JO20" i="13" s="1"/>
  <c r="VB22" i="13"/>
  <c r="VC22" i="13" s="1"/>
  <c r="LW22" i="13"/>
  <c r="LX22" i="13" s="1"/>
  <c r="LX20" i="13"/>
  <c r="VJ21" i="13"/>
  <c r="VI20" i="13"/>
  <c r="VJ20" i="13" s="1"/>
  <c r="NP21" i="13"/>
  <c r="NO20" i="13"/>
  <c r="NP20" i="13" s="1"/>
  <c r="NE22" i="13"/>
  <c r="NF22" i="13" s="1"/>
  <c r="JD22" i="13"/>
  <c r="JE22" i="13" s="1"/>
  <c r="VS22" i="13"/>
  <c r="VT22" i="13" s="1"/>
  <c r="PP22" i="13"/>
  <c r="PQ22" i="13" s="1"/>
  <c r="IC22" i="13"/>
  <c r="ID22" i="13" s="1"/>
  <c r="AA22" i="13"/>
  <c r="AB22" i="13" s="1"/>
  <c r="CH18" i="13"/>
  <c r="CG16" i="13"/>
  <c r="CH16" i="13" s="1"/>
  <c r="UB17" i="13"/>
  <c r="UA16" i="13"/>
  <c r="UB16" i="13" s="1"/>
  <c r="NP17" i="13"/>
  <c r="NO16" i="13"/>
  <c r="NP16" i="13" s="1"/>
  <c r="EW22" i="13"/>
  <c r="EX22" i="13" s="1"/>
  <c r="US17" i="13"/>
  <c r="UR16" i="13"/>
  <c r="US16" i="13" s="1"/>
  <c r="OK17" i="13"/>
  <c r="OJ16" i="13"/>
  <c r="OK16" i="13" s="1"/>
  <c r="L22" i="13"/>
  <c r="M22" i="13" s="1"/>
  <c r="QA17" i="13"/>
  <c r="PZ16" i="13"/>
  <c r="QA16" i="13" s="1"/>
  <c r="PE13" i="13"/>
  <c r="PF13" i="13" s="1"/>
  <c r="PF14" i="13"/>
  <c r="IS13" i="13"/>
  <c r="IT13" i="13" s="1"/>
  <c r="IT14" i="13"/>
  <c r="CG13" i="13"/>
  <c r="CH13" i="13" s="1"/>
  <c r="CH14" i="13"/>
  <c r="SK10" i="13"/>
  <c r="SL10" i="13" s="1"/>
  <c r="SL11" i="13"/>
  <c r="LY10" i="13"/>
  <c r="LZ10" i="13" s="1"/>
  <c r="LZ11" i="13"/>
  <c r="FM10" i="13"/>
  <c r="FN10" i="13" s="1"/>
  <c r="FN11" i="13"/>
  <c r="BM17" i="13"/>
  <c r="BL16" i="13"/>
  <c r="BM16" i="13" s="1"/>
  <c r="RQ17" i="13"/>
  <c r="RP16" i="13"/>
  <c r="RQ16" i="13" s="1"/>
  <c r="MU14" i="13"/>
  <c r="MT13" i="13"/>
  <c r="MU13" i="13" s="1"/>
  <c r="GI14" i="13"/>
  <c r="GH13" i="13"/>
  <c r="GI13" i="13" s="1"/>
  <c r="W14" i="13"/>
  <c r="V13" i="13"/>
  <c r="W13" i="13" s="1"/>
  <c r="WA11" i="13"/>
  <c r="VZ10" i="13"/>
  <c r="WA10" i="13" s="1"/>
  <c r="QA11" i="13"/>
  <c r="PZ10" i="13"/>
  <c r="QA10" i="13" s="1"/>
  <c r="JO11" i="13"/>
  <c r="JN10" i="13"/>
  <c r="JO10" i="13" s="1"/>
  <c r="DC11" i="13"/>
  <c r="DB10" i="13"/>
  <c r="DC10" i="13" s="1"/>
  <c r="UA13" i="13"/>
  <c r="UB13" i="13" s="1"/>
  <c r="UB14" i="13"/>
  <c r="US5" i="13"/>
  <c r="UR4" i="13"/>
  <c r="US4" i="13" s="1"/>
  <c r="HY5" i="13"/>
  <c r="HX4" i="13"/>
  <c r="HY4" i="13" s="1"/>
  <c r="DW4" i="13"/>
  <c r="DX4" i="13" s="1"/>
  <c r="WR5" i="13"/>
  <c r="WQ4" i="13"/>
  <c r="WR4" i="13" s="1"/>
  <c r="KJ5" i="13"/>
  <c r="KI4" i="13"/>
  <c r="KJ4" i="13" s="1"/>
  <c r="NO4" i="13"/>
  <c r="NP4" i="13" s="1"/>
  <c r="MU5" i="13"/>
  <c r="MT4" i="13"/>
  <c r="MU4" i="13" s="1"/>
  <c r="VN22" i="13"/>
  <c r="VO22" i="13" s="1"/>
  <c r="EP22" i="13"/>
  <c r="EQ22" i="13" s="1"/>
  <c r="AO22" i="13"/>
  <c r="AP22" i="13" s="1"/>
  <c r="AP20" i="13"/>
  <c r="TK22" i="13"/>
  <c r="TL22" i="13" s="1"/>
  <c r="MY22" i="13"/>
  <c r="MZ22" i="13" s="1"/>
  <c r="CR22" i="13"/>
  <c r="CS22" i="13" s="1"/>
  <c r="WR18" i="13"/>
  <c r="WQ16" i="13"/>
  <c r="WR16" i="13" s="1"/>
  <c r="WA17" i="13"/>
  <c r="VZ16" i="13"/>
  <c r="WA16" i="13" s="1"/>
  <c r="NO13" i="13"/>
  <c r="NP13" i="13" s="1"/>
  <c r="NP14" i="13"/>
  <c r="HC13" i="13"/>
  <c r="HD13" i="13" s="1"/>
  <c r="HD14" i="13"/>
  <c r="AQ13" i="13"/>
  <c r="AR13" i="13" s="1"/>
  <c r="AR14" i="13"/>
  <c r="WQ10" i="13"/>
  <c r="WR10" i="13" s="1"/>
  <c r="WR11" i="13"/>
  <c r="QU10" i="13"/>
  <c r="QV10" i="13" s="1"/>
  <c r="QV11" i="13"/>
  <c r="KI10" i="13"/>
  <c r="KJ10" i="13" s="1"/>
  <c r="KJ11" i="13"/>
  <c r="DW10" i="13"/>
  <c r="DX10" i="13" s="1"/>
  <c r="DX11" i="13"/>
  <c r="HY17" i="13"/>
  <c r="HX16" i="13"/>
  <c r="HY16" i="13" s="1"/>
  <c r="LE17" i="13"/>
  <c r="LD16" i="13"/>
  <c r="LE16" i="13" s="1"/>
  <c r="RQ14" i="13"/>
  <c r="RP13" i="13"/>
  <c r="RQ13" i="13" s="1"/>
  <c r="LE14" i="13"/>
  <c r="LD13" i="13"/>
  <c r="LE13" i="13" s="1"/>
  <c r="ES14" i="13"/>
  <c r="ER13" i="13"/>
  <c r="ES13" i="13" s="1"/>
  <c r="US11" i="13"/>
  <c r="UR10" i="13"/>
  <c r="US10" i="13" s="1"/>
  <c r="OK11" i="13"/>
  <c r="OJ10" i="13"/>
  <c r="OK10" i="13" s="1"/>
  <c r="HY11" i="13"/>
  <c r="HX10" i="13"/>
  <c r="HY10" i="13" s="1"/>
  <c r="BM11" i="13"/>
  <c r="BL10" i="13"/>
  <c r="BM10" i="13" s="1"/>
  <c r="VJ5" i="13"/>
  <c r="VI4" i="13"/>
  <c r="VJ4" i="13" s="1"/>
  <c r="IT5" i="13"/>
  <c r="IS4" i="13"/>
  <c r="IT4" i="13" s="1"/>
  <c r="HC4" i="13"/>
  <c r="HD4" i="13" s="1"/>
  <c r="ER4" i="13"/>
  <c r="ES4" i="13" s="1"/>
  <c r="QA5" i="13"/>
  <c r="PZ4" i="13"/>
  <c r="QA4" i="13" s="1"/>
  <c r="GH4" i="13"/>
  <c r="GI4" i="13" s="1"/>
  <c r="V4" i="13"/>
  <c r="W4" i="13" s="1"/>
  <c r="LY4" i="13"/>
  <c r="LZ4" i="13" s="1"/>
  <c r="LE5" i="13"/>
  <c r="LD4" i="13"/>
  <c r="LE4" i="13" s="1"/>
  <c r="CG4" i="13"/>
  <c r="CH4" i="13" s="1"/>
  <c r="ES17" i="13"/>
  <c r="ER16" i="13"/>
  <c r="ES16" i="13" s="1"/>
  <c r="DY1" i="19" l="1"/>
  <c r="ET1" i="17"/>
  <c r="DD1" i="15"/>
  <c r="CI1" i="13"/>
  <c r="ET1" i="19" l="1"/>
  <c r="FO1" i="17"/>
  <c r="DY1" i="15"/>
  <c r="DD1" i="13"/>
  <c r="FO1" i="19" l="1"/>
  <c r="GJ1" i="17"/>
  <c r="ET1" i="15"/>
  <c r="DY1" i="13"/>
  <c r="GJ1" i="19" l="1"/>
  <c r="HE1" i="17"/>
  <c r="FO1" i="15"/>
  <c r="ET1" i="13"/>
  <c r="HE1" i="19" l="1"/>
  <c r="HZ1" i="17"/>
  <c r="GJ1" i="15"/>
  <c r="FO1" i="13"/>
  <c r="HZ1" i="19" l="1"/>
  <c r="IU1" i="17"/>
  <c r="HE1" i="15"/>
  <c r="GJ1" i="13"/>
  <c r="IU1" i="19" l="1"/>
  <c r="JP1" i="17"/>
  <c r="HZ1" i="15"/>
  <c r="HE1" i="13"/>
  <c r="JP1" i="19" l="1"/>
  <c r="KK1" i="17"/>
  <c r="IU1" i="15"/>
  <c r="HZ1" i="13"/>
  <c r="KK1" i="19" l="1"/>
  <c r="LF1" i="17"/>
  <c r="JP1" i="15"/>
  <c r="IU1" i="13"/>
  <c r="LF1" i="19" l="1"/>
  <c r="MA1" i="17"/>
  <c r="KK1" i="15"/>
  <c r="JP1" i="13"/>
  <c r="MA1" i="19" l="1"/>
  <c r="MV1" i="17"/>
  <c r="LF1" i="15"/>
  <c r="KK1" i="13"/>
  <c r="MV1" i="19" l="1"/>
  <c r="NQ1" i="17"/>
  <c r="MA1" i="15"/>
  <c r="LF1" i="13"/>
  <c r="NQ1" i="19" l="1"/>
  <c r="OL1" i="17"/>
  <c r="MV1" i="15"/>
  <c r="MA1" i="13"/>
  <c r="OL1" i="19" l="1"/>
  <c r="PG1" i="17"/>
  <c r="NQ1" i="15"/>
  <c r="MV1" i="13"/>
  <c r="PG1" i="19" l="1"/>
  <c r="QB1" i="17"/>
  <c r="OL1" i="15"/>
  <c r="NQ1" i="13"/>
  <c r="QB1" i="19" l="1"/>
  <c r="QW1" i="17"/>
  <c r="PG1" i="15"/>
  <c r="OL1" i="13"/>
  <c r="QW1" i="19" l="1"/>
  <c r="RR1" i="17"/>
  <c r="QB1" i="15"/>
  <c r="PG1" i="13"/>
  <c r="RR1" i="19" l="1"/>
  <c r="SM1" i="17"/>
  <c r="QW1" i="15"/>
  <c r="QB1" i="13"/>
  <c r="SM1" i="19" l="1"/>
  <c r="TD1" i="17"/>
  <c r="RR1" i="15"/>
  <c r="QW1" i="13"/>
  <c r="TH1" i="19" l="1"/>
  <c r="TU1" i="17"/>
  <c r="SM1" i="15"/>
  <c r="RR1" i="13"/>
  <c r="UC1" i="19" l="1"/>
  <c r="UL1" i="17"/>
  <c r="TD1" i="15"/>
  <c r="SM1" i="13"/>
  <c r="UX1" i="19" l="1"/>
  <c r="VC1" i="17"/>
  <c r="TU1" i="15"/>
  <c r="TH1" i="13"/>
  <c r="VS1" i="19" l="1"/>
  <c r="VT1" i="17"/>
  <c r="UL1" i="15"/>
  <c r="UC1" i="13"/>
  <c r="WJ1" i="19" l="1"/>
  <c r="VC1" i="15"/>
  <c r="UT1" i="13"/>
  <c r="VT1" i="15" l="1"/>
  <c r="VK1" i="13"/>
  <c r="WB1" i="13" l="1"/>
  <c r="WK21" i="2" l="1"/>
  <c r="WL21" i="2" s="1"/>
  <c r="WF21" i="2"/>
  <c r="WG21" i="2" s="1"/>
  <c r="WA21" i="2"/>
  <c r="WB21" i="2" s="1"/>
  <c r="WK19" i="2"/>
  <c r="WL19" i="2" s="1"/>
  <c r="WF19" i="2"/>
  <c r="WG19" i="2" s="1"/>
  <c r="WA19" i="2"/>
  <c r="WB19" i="2" s="1"/>
  <c r="WK18" i="2"/>
  <c r="WL18" i="2" s="1"/>
  <c r="WF18" i="2"/>
  <c r="WG18" i="2" s="1"/>
  <c r="WA18" i="2"/>
  <c r="WB18" i="2" s="1"/>
  <c r="WK17" i="2"/>
  <c r="WL17" i="2" s="1"/>
  <c r="WF17" i="2"/>
  <c r="WG17" i="2" s="1"/>
  <c r="WA17" i="2"/>
  <c r="WB17" i="2" s="1"/>
  <c r="WK15" i="2"/>
  <c r="WL15" i="2" s="1"/>
  <c r="WF15" i="2"/>
  <c r="WG15" i="2" s="1"/>
  <c r="WA15" i="2"/>
  <c r="WB15" i="2" s="1"/>
  <c r="WK14" i="2"/>
  <c r="WL14" i="2" s="1"/>
  <c r="WF14" i="2"/>
  <c r="WG14" i="2" s="1"/>
  <c r="WA14" i="2"/>
  <c r="WB14" i="2" s="1"/>
  <c r="WK12" i="2"/>
  <c r="WL12" i="2" s="1"/>
  <c r="WF12" i="2"/>
  <c r="WG12" i="2" s="1"/>
  <c r="WA12" i="2"/>
  <c r="WB12" i="2" s="1"/>
  <c r="WK11" i="2"/>
  <c r="WL11" i="2" s="1"/>
  <c r="WF11" i="2"/>
  <c r="WG11" i="2" s="1"/>
  <c r="WA11" i="2"/>
  <c r="WB11" i="2" s="1"/>
  <c r="WK9" i="2"/>
  <c r="WL9" i="2" s="1"/>
  <c r="WF9" i="2"/>
  <c r="WG9" i="2" s="1"/>
  <c r="WA9" i="2"/>
  <c r="WB9" i="2" s="1"/>
  <c r="WK8" i="2"/>
  <c r="WL8" i="2" s="1"/>
  <c r="WF8" i="2"/>
  <c r="WG8" i="2" s="1"/>
  <c r="WA8" i="2"/>
  <c r="WB8" i="2" s="1"/>
  <c r="WK7" i="2"/>
  <c r="WL7" i="2" s="1"/>
  <c r="WF7" i="2"/>
  <c r="WG7" i="2" s="1"/>
  <c r="WA7" i="2"/>
  <c r="WB7" i="2" s="1"/>
  <c r="WK6" i="2"/>
  <c r="WL6" i="2" s="1"/>
  <c r="WF6" i="2"/>
  <c r="WG6" i="2" s="1"/>
  <c r="WA6" i="2"/>
  <c r="WB6" i="2" s="1"/>
  <c r="WK5" i="2"/>
  <c r="WL5" i="2" s="1"/>
  <c r="WF5" i="2"/>
  <c r="WG5" i="2" s="1"/>
  <c r="WA5" i="2"/>
  <c r="WB5" i="2" s="1"/>
  <c r="VT21" i="2"/>
  <c r="VU21" i="2" s="1"/>
  <c r="VO21" i="2"/>
  <c r="VP21" i="2" s="1"/>
  <c r="VJ21" i="2"/>
  <c r="VK21" i="2" s="1"/>
  <c r="VT19" i="2"/>
  <c r="VU19" i="2" s="1"/>
  <c r="VO19" i="2"/>
  <c r="VP19" i="2" s="1"/>
  <c r="VJ19" i="2"/>
  <c r="VK19" i="2" s="1"/>
  <c r="VT18" i="2"/>
  <c r="VU18" i="2" s="1"/>
  <c r="VO18" i="2"/>
  <c r="VP18" i="2" s="1"/>
  <c r="VJ18" i="2"/>
  <c r="VK18" i="2" s="1"/>
  <c r="VT17" i="2"/>
  <c r="VU17" i="2" s="1"/>
  <c r="VO17" i="2"/>
  <c r="VP17" i="2" s="1"/>
  <c r="VJ17" i="2"/>
  <c r="VK17" i="2" s="1"/>
  <c r="VT15" i="2"/>
  <c r="VU15" i="2" s="1"/>
  <c r="VO15" i="2"/>
  <c r="VP15" i="2" s="1"/>
  <c r="VJ15" i="2"/>
  <c r="VK15" i="2" s="1"/>
  <c r="VT14" i="2"/>
  <c r="VU14" i="2" s="1"/>
  <c r="VO14" i="2"/>
  <c r="VP14" i="2" s="1"/>
  <c r="VJ14" i="2"/>
  <c r="VK14" i="2" s="1"/>
  <c r="VT12" i="2"/>
  <c r="VU12" i="2" s="1"/>
  <c r="VO12" i="2"/>
  <c r="VP12" i="2" s="1"/>
  <c r="VJ12" i="2"/>
  <c r="VK12" i="2" s="1"/>
  <c r="VT11" i="2"/>
  <c r="VU11" i="2" s="1"/>
  <c r="VO11" i="2"/>
  <c r="VP11" i="2" s="1"/>
  <c r="VJ11" i="2"/>
  <c r="VK11" i="2" s="1"/>
  <c r="VT9" i="2"/>
  <c r="VU9" i="2" s="1"/>
  <c r="VO9" i="2"/>
  <c r="VP9" i="2" s="1"/>
  <c r="VJ9" i="2"/>
  <c r="VK9" i="2" s="1"/>
  <c r="VT8" i="2"/>
  <c r="VU8" i="2" s="1"/>
  <c r="VO8" i="2"/>
  <c r="VP8" i="2" s="1"/>
  <c r="VJ8" i="2"/>
  <c r="VK8" i="2" s="1"/>
  <c r="VT7" i="2"/>
  <c r="VU7" i="2" s="1"/>
  <c r="VO7" i="2"/>
  <c r="VP7" i="2" s="1"/>
  <c r="VJ7" i="2"/>
  <c r="VK7" i="2" s="1"/>
  <c r="VT6" i="2"/>
  <c r="VU6" i="2" s="1"/>
  <c r="VO6" i="2"/>
  <c r="VP6" i="2" s="1"/>
  <c r="VJ6" i="2"/>
  <c r="VK6" i="2" s="1"/>
  <c r="VT5" i="2"/>
  <c r="VU5" i="2" s="1"/>
  <c r="VO5" i="2"/>
  <c r="VP5" i="2" s="1"/>
  <c r="VJ5" i="2"/>
  <c r="VK5" i="2" s="1"/>
  <c r="VC21" i="2"/>
  <c r="VD21" i="2" s="1"/>
  <c r="UX21" i="2"/>
  <c r="UY21" i="2" s="1"/>
  <c r="US21" i="2"/>
  <c r="UT21" i="2" s="1"/>
  <c r="VC19" i="2"/>
  <c r="VD19" i="2" s="1"/>
  <c r="UX19" i="2"/>
  <c r="UY19" i="2" s="1"/>
  <c r="US19" i="2"/>
  <c r="UT19" i="2" s="1"/>
  <c r="VC18" i="2"/>
  <c r="VD18" i="2" s="1"/>
  <c r="UX18" i="2"/>
  <c r="UY18" i="2" s="1"/>
  <c r="US18" i="2"/>
  <c r="UT18" i="2" s="1"/>
  <c r="VC17" i="2"/>
  <c r="VD17" i="2" s="1"/>
  <c r="UX17" i="2"/>
  <c r="UY17" i="2" s="1"/>
  <c r="US17" i="2"/>
  <c r="UT17" i="2" s="1"/>
  <c r="VC15" i="2"/>
  <c r="VD15" i="2" s="1"/>
  <c r="UX15" i="2"/>
  <c r="UY15" i="2" s="1"/>
  <c r="US15" i="2"/>
  <c r="UT15" i="2" s="1"/>
  <c r="VC14" i="2"/>
  <c r="VD14" i="2" s="1"/>
  <c r="UX14" i="2"/>
  <c r="UY14" i="2" s="1"/>
  <c r="US14" i="2"/>
  <c r="UT14" i="2" s="1"/>
  <c r="VC12" i="2"/>
  <c r="VD12" i="2" s="1"/>
  <c r="UX12" i="2"/>
  <c r="UY12" i="2" s="1"/>
  <c r="US12" i="2"/>
  <c r="UT12" i="2" s="1"/>
  <c r="VC11" i="2"/>
  <c r="VD11" i="2" s="1"/>
  <c r="UX11" i="2"/>
  <c r="UY11" i="2" s="1"/>
  <c r="US11" i="2"/>
  <c r="UT11" i="2" s="1"/>
  <c r="VC9" i="2"/>
  <c r="VD9" i="2" s="1"/>
  <c r="UX9" i="2"/>
  <c r="UY9" i="2" s="1"/>
  <c r="US9" i="2"/>
  <c r="UT9" i="2" s="1"/>
  <c r="VC8" i="2"/>
  <c r="VD8" i="2" s="1"/>
  <c r="UX8" i="2"/>
  <c r="UY8" i="2" s="1"/>
  <c r="US8" i="2"/>
  <c r="UT8" i="2" s="1"/>
  <c r="VC7" i="2"/>
  <c r="VD7" i="2" s="1"/>
  <c r="UX7" i="2"/>
  <c r="UY7" i="2" s="1"/>
  <c r="US7" i="2"/>
  <c r="UT7" i="2" s="1"/>
  <c r="VC6" i="2"/>
  <c r="VD6" i="2" s="1"/>
  <c r="UX6" i="2"/>
  <c r="UY6" i="2" s="1"/>
  <c r="US6" i="2"/>
  <c r="UT6" i="2" s="1"/>
  <c r="VC5" i="2"/>
  <c r="VD5" i="2" s="1"/>
  <c r="UX5" i="2"/>
  <c r="UY5" i="2" s="1"/>
  <c r="US5" i="2"/>
  <c r="UT5" i="2" s="1"/>
  <c r="UL21" i="2"/>
  <c r="UM21" i="2" s="1"/>
  <c r="UG21" i="2"/>
  <c r="UH21" i="2" s="1"/>
  <c r="UB21" i="2"/>
  <c r="UC21" i="2" s="1"/>
  <c r="UL19" i="2"/>
  <c r="UM19" i="2" s="1"/>
  <c r="UG19" i="2"/>
  <c r="UH19" i="2" s="1"/>
  <c r="UB19" i="2"/>
  <c r="UC19" i="2" s="1"/>
  <c r="UL18" i="2"/>
  <c r="UM18" i="2" s="1"/>
  <c r="UG18" i="2"/>
  <c r="UH18" i="2" s="1"/>
  <c r="UB18" i="2"/>
  <c r="UC18" i="2" s="1"/>
  <c r="UL17" i="2"/>
  <c r="UM17" i="2" s="1"/>
  <c r="UG17" i="2"/>
  <c r="UH17" i="2" s="1"/>
  <c r="UB17" i="2"/>
  <c r="UC17" i="2" s="1"/>
  <c r="UL15" i="2"/>
  <c r="UM15" i="2" s="1"/>
  <c r="UG15" i="2"/>
  <c r="UH15" i="2" s="1"/>
  <c r="UB15" i="2"/>
  <c r="UC15" i="2" s="1"/>
  <c r="UL14" i="2"/>
  <c r="UM14" i="2" s="1"/>
  <c r="UG14" i="2"/>
  <c r="UH14" i="2" s="1"/>
  <c r="UB14" i="2"/>
  <c r="UC14" i="2" s="1"/>
  <c r="UL12" i="2"/>
  <c r="UM12" i="2" s="1"/>
  <c r="UG12" i="2"/>
  <c r="UH12" i="2" s="1"/>
  <c r="UB12" i="2"/>
  <c r="UC12" i="2" s="1"/>
  <c r="UL11" i="2"/>
  <c r="UM11" i="2" s="1"/>
  <c r="UG11" i="2"/>
  <c r="UH11" i="2" s="1"/>
  <c r="UB11" i="2"/>
  <c r="UC11" i="2" s="1"/>
  <c r="UL9" i="2"/>
  <c r="UM9" i="2" s="1"/>
  <c r="UG9" i="2"/>
  <c r="UH9" i="2" s="1"/>
  <c r="UB9" i="2"/>
  <c r="UC9" i="2" s="1"/>
  <c r="UL8" i="2"/>
  <c r="UM8" i="2" s="1"/>
  <c r="UG8" i="2"/>
  <c r="UH8" i="2" s="1"/>
  <c r="UB8" i="2"/>
  <c r="UC8" i="2" s="1"/>
  <c r="UL7" i="2"/>
  <c r="UM7" i="2" s="1"/>
  <c r="UG7" i="2"/>
  <c r="UH7" i="2" s="1"/>
  <c r="UB7" i="2"/>
  <c r="UC7" i="2" s="1"/>
  <c r="UL6" i="2"/>
  <c r="UM6" i="2" s="1"/>
  <c r="UG6" i="2"/>
  <c r="UH6" i="2" s="1"/>
  <c r="UB6" i="2"/>
  <c r="UC6" i="2" s="1"/>
  <c r="UL5" i="2"/>
  <c r="UM5" i="2" s="1"/>
  <c r="UG5" i="2"/>
  <c r="UH5" i="2" s="1"/>
  <c r="UB5" i="2"/>
  <c r="UC5" i="2" s="1"/>
  <c r="TU21" i="2"/>
  <c r="TV21" i="2" s="1"/>
  <c r="TP21" i="2"/>
  <c r="TQ21" i="2" s="1"/>
  <c r="TK21" i="2"/>
  <c r="TL21" i="2" s="1"/>
  <c r="TU19" i="2"/>
  <c r="TV19" i="2" s="1"/>
  <c r="TP19" i="2"/>
  <c r="TQ19" i="2" s="1"/>
  <c r="TK19" i="2"/>
  <c r="TL19" i="2" s="1"/>
  <c r="TU18" i="2"/>
  <c r="TV18" i="2" s="1"/>
  <c r="TP18" i="2"/>
  <c r="TQ18" i="2" s="1"/>
  <c r="TK18" i="2"/>
  <c r="TL18" i="2" s="1"/>
  <c r="TU17" i="2"/>
  <c r="TV17" i="2" s="1"/>
  <c r="TP17" i="2"/>
  <c r="TQ17" i="2" s="1"/>
  <c r="TK17" i="2"/>
  <c r="TL17" i="2" s="1"/>
  <c r="TU15" i="2"/>
  <c r="TV15" i="2" s="1"/>
  <c r="TP15" i="2"/>
  <c r="TQ15" i="2" s="1"/>
  <c r="TK15" i="2"/>
  <c r="TL15" i="2" s="1"/>
  <c r="TU14" i="2"/>
  <c r="TV14" i="2" s="1"/>
  <c r="TP14" i="2"/>
  <c r="TQ14" i="2" s="1"/>
  <c r="TK14" i="2"/>
  <c r="TL14" i="2" s="1"/>
  <c r="TU12" i="2"/>
  <c r="TV12" i="2" s="1"/>
  <c r="TP12" i="2"/>
  <c r="TQ12" i="2" s="1"/>
  <c r="TK12" i="2"/>
  <c r="TL12" i="2" s="1"/>
  <c r="TU11" i="2"/>
  <c r="TV11" i="2" s="1"/>
  <c r="TP11" i="2"/>
  <c r="TQ11" i="2" s="1"/>
  <c r="TK11" i="2"/>
  <c r="TL11" i="2" s="1"/>
  <c r="TU9" i="2"/>
  <c r="TV9" i="2" s="1"/>
  <c r="TP9" i="2"/>
  <c r="TQ9" i="2" s="1"/>
  <c r="TK9" i="2"/>
  <c r="TL9" i="2" s="1"/>
  <c r="TU8" i="2"/>
  <c r="TV8" i="2" s="1"/>
  <c r="TP8" i="2"/>
  <c r="TQ8" i="2" s="1"/>
  <c r="TK8" i="2"/>
  <c r="TL8" i="2" s="1"/>
  <c r="TU7" i="2"/>
  <c r="TV7" i="2" s="1"/>
  <c r="TP7" i="2"/>
  <c r="TQ7" i="2" s="1"/>
  <c r="TK7" i="2"/>
  <c r="TL7" i="2" s="1"/>
  <c r="TU6" i="2"/>
  <c r="TV6" i="2" s="1"/>
  <c r="TP6" i="2"/>
  <c r="TQ6" i="2" s="1"/>
  <c r="TK6" i="2"/>
  <c r="TL6" i="2" s="1"/>
  <c r="TU5" i="2"/>
  <c r="TV5" i="2" s="1"/>
  <c r="TP5" i="2"/>
  <c r="TQ5" i="2" s="1"/>
  <c r="TK5" i="2"/>
  <c r="TL5" i="2" s="1"/>
  <c r="TD21" i="2"/>
  <c r="TE21" i="2" s="1"/>
  <c r="SV21" i="2"/>
  <c r="SW21" i="2" s="1"/>
  <c r="SP21" i="2"/>
  <c r="SQ21" i="2" s="1"/>
  <c r="TD19" i="2"/>
  <c r="TE19" i="2" s="1"/>
  <c r="SV19" i="2"/>
  <c r="SW19" i="2" s="1"/>
  <c r="SP19" i="2"/>
  <c r="SQ19" i="2" s="1"/>
  <c r="TD18" i="2"/>
  <c r="TE18" i="2" s="1"/>
  <c r="SV18" i="2"/>
  <c r="SW18" i="2" s="1"/>
  <c r="SP18" i="2"/>
  <c r="SQ18" i="2" s="1"/>
  <c r="TD17" i="2"/>
  <c r="TE17" i="2" s="1"/>
  <c r="SV17" i="2"/>
  <c r="SW17" i="2" s="1"/>
  <c r="SP17" i="2"/>
  <c r="SQ17" i="2" s="1"/>
  <c r="TD15" i="2"/>
  <c r="TE15" i="2" s="1"/>
  <c r="SV15" i="2"/>
  <c r="SW15" i="2" s="1"/>
  <c r="SP15" i="2"/>
  <c r="SQ15" i="2" s="1"/>
  <c r="TD14" i="2"/>
  <c r="TE14" i="2" s="1"/>
  <c r="SV14" i="2"/>
  <c r="SP14" i="2"/>
  <c r="SQ14" i="2" s="1"/>
  <c r="TD12" i="2"/>
  <c r="TE12" i="2" s="1"/>
  <c r="SV12" i="2"/>
  <c r="SP12" i="2"/>
  <c r="SQ12" i="2" s="1"/>
  <c r="TD11" i="2"/>
  <c r="TE11" i="2" s="1"/>
  <c r="SV11" i="2"/>
  <c r="SP11" i="2"/>
  <c r="SQ11" i="2" s="1"/>
  <c r="TD9" i="2"/>
  <c r="TE9" i="2" s="1"/>
  <c r="SV9" i="2"/>
  <c r="SP9" i="2"/>
  <c r="SQ9" i="2" s="1"/>
  <c r="TD8" i="2"/>
  <c r="TE8" i="2" s="1"/>
  <c r="SV8" i="2"/>
  <c r="SP8" i="2"/>
  <c r="SQ8" i="2" s="1"/>
  <c r="TD7" i="2"/>
  <c r="TE7" i="2" s="1"/>
  <c r="SV7" i="2"/>
  <c r="SW7" i="2" s="1"/>
  <c r="SP7" i="2"/>
  <c r="SQ7" i="2" s="1"/>
  <c r="TD6" i="2"/>
  <c r="TE6" i="2" s="1"/>
  <c r="SV6" i="2"/>
  <c r="SP6" i="2"/>
  <c r="SQ6" i="2" s="1"/>
  <c r="TD5" i="2"/>
  <c r="TE5" i="2" s="1"/>
  <c r="SV5" i="2"/>
  <c r="SP5" i="2"/>
  <c r="SQ5" i="2" s="1"/>
  <c r="SI21" i="2"/>
  <c r="SJ21" i="2" s="1"/>
  <c r="SA21" i="2"/>
  <c r="SB21" i="2" s="1"/>
  <c r="RU21" i="2"/>
  <c r="RV21" i="2" s="1"/>
  <c r="SI19" i="2"/>
  <c r="SJ19" i="2" s="1"/>
  <c r="SA19" i="2"/>
  <c r="SB19" i="2" s="1"/>
  <c r="RU19" i="2"/>
  <c r="RV19" i="2" s="1"/>
  <c r="SI18" i="2"/>
  <c r="SJ18" i="2" s="1"/>
  <c r="SA18" i="2"/>
  <c r="SB18" i="2" s="1"/>
  <c r="RU18" i="2"/>
  <c r="RV18" i="2" s="1"/>
  <c r="SI17" i="2"/>
  <c r="SJ17" i="2" s="1"/>
  <c r="SA17" i="2"/>
  <c r="SB17" i="2" s="1"/>
  <c r="RU17" i="2"/>
  <c r="RV17" i="2" s="1"/>
  <c r="SI15" i="2"/>
  <c r="SJ15" i="2" s="1"/>
  <c r="SA15" i="2"/>
  <c r="SB15" i="2" s="1"/>
  <c r="RU15" i="2"/>
  <c r="RV15" i="2" s="1"/>
  <c r="SI14" i="2"/>
  <c r="SJ14" i="2" s="1"/>
  <c r="SA14" i="2"/>
  <c r="SB14" i="2" s="1"/>
  <c r="RU14" i="2"/>
  <c r="RV14" i="2" s="1"/>
  <c r="SI12" i="2"/>
  <c r="SJ12" i="2" s="1"/>
  <c r="SA12" i="2"/>
  <c r="SB12" i="2" s="1"/>
  <c r="RU12" i="2"/>
  <c r="RV12" i="2" s="1"/>
  <c r="SI11" i="2"/>
  <c r="SJ11" i="2" s="1"/>
  <c r="SA11" i="2"/>
  <c r="SB11" i="2" s="1"/>
  <c r="RU11" i="2"/>
  <c r="RV11" i="2" s="1"/>
  <c r="SI9" i="2"/>
  <c r="SJ9" i="2" s="1"/>
  <c r="SA9" i="2"/>
  <c r="SB9" i="2" s="1"/>
  <c r="RU9" i="2"/>
  <c r="RV9" i="2" s="1"/>
  <c r="SI8" i="2"/>
  <c r="SJ8" i="2" s="1"/>
  <c r="SA8" i="2"/>
  <c r="SB8" i="2" s="1"/>
  <c r="RU8" i="2"/>
  <c r="RV8" i="2" s="1"/>
  <c r="SI7" i="2"/>
  <c r="SJ7" i="2" s="1"/>
  <c r="SA7" i="2"/>
  <c r="SB7" i="2" s="1"/>
  <c r="RU7" i="2"/>
  <c r="RV7" i="2" s="1"/>
  <c r="SI6" i="2"/>
  <c r="SJ6" i="2" s="1"/>
  <c r="SA6" i="2"/>
  <c r="SB6" i="2" s="1"/>
  <c r="RU6" i="2"/>
  <c r="RV6" i="2" s="1"/>
  <c r="SI5" i="2"/>
  <c r="SJ5" i="2" s="1"/>
  <c r="SA5" i="2"/>
  <c r="SB5" i="2" s="1"/>
  <c r="RU5" i="2"/>
  <c r="RV5" i="2" s="1"/>
  <c r="RN21" i="2"/>
  <c r="RO21" i="2" s="1"/>
  <c r="RF21" i="2"/>
  <c r="RG21" i="2" s="1"/>
  <c r="QZ21" i="2"/>
  <c r="RA21" i="2" s="1"/>
  <c r="RN19" i="2"/>
  <c r="RO19" i="2" s="1"/>
  <c r="RF19" i="2"/>
  <c r="RG19" i="2" s="1"/>
  <c r="QZ19" i="2"/>
  <c r="RA19" i="2" s="1"/>
  <c r="RN18" i="2"/>
  <c r="RO18" i="2" s="1"/>
  <c r="RF18" i="2"/>
  <c r="RG18" i="2" s="1"/>
  <c r="QZ18" i="2"/>
  <c r="RA18" i="2" s="1"/>
  <c r="RN17" i="2"/>
  <c r="RO17" i="2" s="1"/>
  <c r="RF17" i="2"/>
  <c r="RG17" i="2" s="1"/>
  <c r="QZ17" i="2"/>
  <c r="RA17" i="2" s="1"/>
  <c r="RN15" i="2"/>
  <c r="RO15" i="2" s="1"/>
  <c r="RF15" i="2"/>
  <c r="RG15" i="2" s="1"/>
  <c r="QZ15" i="2"/>
  <c r="RA15" i="2" s="1"/>
  <c r="RN14" i="2"/>
  <c r="RO14" i="2" s="1"/>
  <c r="RF14" i="2"/>
  <c r="RG14" i="2" s="1"/>
  <c r="QZ14" i="2"/>
  <c r="RA14" i="2" s="1"/>
  <c r="RN12" i="2"/>
  <c r="RO12" i="2" s="1"/>
  <c r="RF12" i="2"/>
  <c r="RG12" i="2" s="1"/>
  <c r="QZ12" i="2"/>
  <c r="RA12" i="2" s="1"/>
  <c r="RN11" i="2"/>
  <c r="RO11" i="2" s="1"/>
  <c r="RF11" i="2"/>
  <c r="RG11" i="2" s="1"/>
  <c r="QZ11" i="2"/>
  <c r="RA11" i="2" s="1"/>
  <c r="RN9" i="2"/>
  <c r="RO9" i="2" s="1"/>
  <c r="RF9" i="2"/>
  <c r="RG9" i="2" s="1"/>
  <c r="QZ9" i="2"/>
  <c r="RA9" i="2" s="1"/>
  <c r="RN8" i="2"/>
  <c r="RO8" i="2" s="1"/>
  <c r="RF8" i="2"/>
  <c r="RG8" i="2" s="1"/>
  <c r="QZ8" i="2"/>
  <c r="RA8" i="2" s="1"/>
  <c r="RN7" i="2"/>
  <c r="RO7" i="2" s="1"/>
  <c r="RF7" i="2"/>
  <c r="RG7" i="2" s="1"/>
  <c r="QZ7" i="2"/>
  <c r="RA7" i="2" s="1"/>
  <c r="RN6" i="2"/>
  <c r="RO6" i="2" s="1"/>
  <c r="RF6" i="2"/>
  <c r="RG6" i="2" s="1"/>
  <c r="QZ6" i="2"/>
  <c r="RA6" i="2" s="1"/>
  <c r="RN5" i="2"/>
  <c r="RO5" i="2" s="1"/>
  <c r="RF5" i="2"/>
  <c r="QZ5" i="2"/>
  <c r="RA5" i="2" s="1"/>
  <c r="QS21" i="2"/>
  <c r="QT21" i="2" s="1"/>
  <c r="QK21" i="2"/>
  <c r="QL21" i="2" s="1"/>
  <c r="QE21" i="2"/>
  <c r="QF21" i="2" s="1"/>
  <c r="QS19" i="2"/>
  <c r="QT19" i="2" s="1"/>
  <c r="QK19" i="2"/>
  <c r="QL19" i="2" s="1"/>
  <c r="QE19" i="2"/>
  <c r="QF19" i="2" s="1"/>
  <c r="QS18" i="2"/>
  <c r="QT18" i="2" s="1"/>
  <c r="QK18" i="2"/>
  <c r="QL18" i="2" s="1"/>
  <c r="QE18" i="2"/>
  <c r="QF18" i="2" s="1"/>
  <c r="QS17" i="2"/>
  <c r="QT17" i="2" s="1"/>
  <c r="QK17" i="2"/>
  <c r="QL17" i="2" s="1"/>
  <c r="QE17" i="2"/>
  <c r="QF17" i="2" s="1"/>
  <c r="QS15" i="2"/>
  <c r="QT15" i="2" s="1"/>
  <c r="QK15" i="2"/>
  <c r="QL15" i="2" s="1"/>
  <c r="QE15" i="2"/>
  <c r="QF15" i="2" s="1"/>
  <c r="QS14" i="2"/>
  <c r="QT14" i="2" s="1"/>
  <c r="QK14" i="2"/>
  <c r="QL14" i="2" s="1"/>
  <c r="QE14" i="2"/>
  <c r="QF14" i="2" s="1"/>
  <c r="QS12" i="2"/>
  <c r="QT12" i="2" s="1"/>
  <c r="QK12" i="2"/>
  <c r="QL12" i="2" s="1"/>
  <c r="QE12" i="2"/>
  <c r="QF12" i="2" s="1"/>
  <c r="QS11" i="2"/>
  <c r="QT11" i="2" s="1"/>
  <c r="QK11" i="2"/>
  <c r="QL11" i="2" s="1"/>
  <c r="QE11" i="2"/>
  <c r="QF11" i="2" s="1"/>
  <c r="QS9" i="2"/>
  <c r="QT9" i="2" s="1"/>
  <c r="QK9" i="2"/>
  <c r="QL9" i="2" s="1"/>
  <c r="QE9" i="2"/>
  <c r="QF9" i="2" s="1"/>
  <c r="QS8" i="2"/>
  <c r="QT8" i="2" s="1"/>
  <c r="QK8" i="2"/>
  <c r="QL8" i="2" s="1"/>
  <c r="QE8" i="2"/>
  <c r="QF8" i="2" s="1"/>
  <c r="QS7" i="2"/>
  <c r="QT7" i="2" s="1"/>
  <c r="QK7" i="2"/>
  <c r="QE7" i="2"/>
  <c r="QF7" i="2" s="1"/>
  <c r="QS6" i="2"/>
  <c r="QT6" i="2" s="1"/>
  <c r="QK6" i="2"/>
  <c r="QL6" i="2" s="1"/>
  <c r="QE6" i="2"/>
  <c r="QF6" i="2" s="1"/>
  <c r="QS5" i="2"/>
  <c r="QT5" i="2" s="1"/>
  <c r="QK5" i="2"/>
  <c r="QE5" i="2"/>
  <c r="QF5" i="2" s="1"/>
  <c r="PX21" i="2"/>
  <c r="PY21" i="2" s="1"/>
  <c r="PP21" i="2"/>
  <c r="PQ21" i="2" s="1"/>
  <c r="PJ21" i="2"/>
  <c r="PK21" i="2" s="1"/>
  <c r="PX19" i="2"/>
  <c r="PY19" i="2" s="1"/>
  <c r="PP19" i="2"/>
  <c r="PQ19" i="2" s="1"/>
  <c r="PJ19" i="2"/>
  <c r="PK19" i="2" s="1"/>
  <c r="PX18" i="2"/>
  <c r="PY18" i="2" s="1"/>
  <c r="PP18" i="2"/>
  <c r="PQ18" i="2" s="1"/>
  <c r="PJ18" i="2"/>
  <c r="PK18" i="2" s="1"/>
  <c r="PX17" i="2"/>
  <c r="PY17" i="2" s="1"/>
  <c r="PP17" i="2"/>
  <c r="PQ17" i="2" s="1"/>
  <c r="PJ17" i="2"/>
  <c r="PK17" i="2" s="1"/>
  <c r="PX15" i="2"/>
  <c r="PY15" i="2" s="1"/>
  <c r="PP15" i="2"/>
  <c r="PQ15" i="2" s="1"/>
  <c r="PJ15" i="2"/>
  <c r="PK15" i="2" s="1"/>
  <c r="PX14" i="2"/>
  <c r="PY14" i="2" s="1"/>
  <c r="PP14" i="2"/>
  <c r="PQ14" i="2" s="1"/>
  <c r="PJ14" i="2"/>
  <c r="PK14" i="2" s="1"/>
  <c r="PX12" i="2"/>
  <c r="PY12" i="2" s="1"/>
  <c r="PP12" i="2"/>
  <c r="PQ12" i="2" s="1"/>
  <c r="PJ12" i="2"/>
  <c r="PK12" i="2" s="1"/>
  <c r="PX11" i="2"/>
  <c r="PY11" i="2" s="1"/>
  <c r="PP11" i="2"/>
  <c r="PQ11" i="2" s="1"/>
  <c r="PJ11" i="2"/>
  <c r="PK11" i="2" s="1"/>
  <c r="PX9" i="2"/>
  <c r="PY9" i="2" s="1"/>
  <c r="PP9" i="2"/>
  <c r="PQ9" i="2" s="1"/>
  <c r="PJ9" i="2"/>
  <c r="PK9" i="2" s="1"/>
  <c r="PX8" i="2"/>
  <c r="PY8" i="2" s="1"/>
  <c r="PP8" i="2"/>
  <c r="PQ8" i="2" s="1"/>
  <c r="PJ8" i="2"/>
  <c r="PK8" i="2" s="1"/>
  <c r="PX7" i="2"/>
  <c r="PY7" i="2" s="1"/>
  <c r="PP7" i="2"/>
  <c r="PQ7" i="2" s="1"/>
  <c r="PJ7" i="2"/>
  <c r="PK7" i="2" s="1"/>
  <c r="PX6" i="2"/>
  <c r="PY6" i="2" s="1"/>
  <c r="PP6" i="2"/>
  <c r="PQ6" i="2" s="1"/>
  <c r="PJ6" i="2"/>
  <c r="PK6" i="2" s="1"/>
  <c r="PX5" i="2"/>
  <c r="PY5" i="2" s="1"/>
  <c r="PP5" i="2"/>
  <c r="PQ5" i="2" s="1"/>
  <c r="PJ5" i="2"/>
  <c r="PK5" i="2" s="1"/>
  <c r="PC21" i="2"/>
  <c r="PD21" i="2" s="1"/>
  <c r="OU21" i="2"/>
  <c r="OV21" i="2" s="1"/>
  <c r="OO21" i="2"/>
  <c r="OP21" i="2" s="1"/>
  <c r="PC19" i="2"/>
  <c r="PD19" i="2" s="1"/>
  <c r="OU19" i="2"/>
  <c r="OV19" i="2" s="1"/>
  <c r="OO19" i="2"/>
  <c r="OP19" i="2" s="1"/>
  <c r="PC18" i="2"/>
  <c r="PD18" i="2" s="1"/>
  <c r="OU18" i="2"/>
  <c r="OV18" i="2" s="1"/>
  <c r="OO18" i="2"/>
  <c r="OP18" i="2" s="1"/>
  <c r="PC17" i="2"/>
  <c r="PD17" i="2" s="1"/>
  <c r="OU17" i="2"/>
  <c r="OV17" i="2" s="1"/>
  <c r="OO17" i="2"/>
  <c r="OP17" i="2" s="1"/>
  <c r="PC15" i="2"/>
  <c r="PD15" i="2" s="1"/>
  <c r="OU15" i="2"/>
  <c r="OV15" i="2" s="1"/>
  <c r="OO15" i="2"/>
  <c r="OP15" i="2" s="1"/>
  <c r="PC14" i="2"/>
  <c r="PD14" i="2" s="1"/>
  <c r="OU14" i="2"/>
  <c r="OV14" i="2" s="1"/>
  <c r="OO14" i="2"/>
  <c r="OP14" i="2" s="1"/>
  <c r="PC12" i="2"/>
  <c r="PD12" i="2" s="1"/>
  <c r="OU12" i="2"/>
  <c r="OV12" i="2" s="1"/>
  <c r="OO12" i="2"/>
  <c r="OP12" i="2" s="1"/>
  <c r="PC11" i="2"/>
  <c r="PD11" i="2" s="1"/>
  <c r="OU11" i="2"/>
  <c r="OV11" i="2" s="1"/>
  <c r="OO11" i="2"/>
  <c r="OP11" i="2" s="1"/>
  <c r="PC9" i="2"/>
  <c r="PD9" i="2" s="1"/>
  <c r="OU9" i="2"/>
  <c r="OV9" i="2" s="1"/>
  <c r="OO9" i="2"/>
  <c r="OP9" i="2" s="1"/>
  <c r="PC8" i="2"/>
  <c r="PD8" i="2" s="1"/>
  <c r="OU8" i="2"/>
  <c r="OV8" i="2" s="1"/>
  <c r="OO8" i="2"/>
  <c r="OP8" i="2" s="1"/>
  <c r="PC7" i="2"/>
  <c r="PD7" i="2" s="1"/>
  <c r="OU7" i="2"/>
  <c r="OO7" i="2"/>
  <c r="OP7" i="2" s="1"/>
  <c r="PC6" i="2"/>
  <c r="PD6" i="2" s="1"/>
  <c r="OU6" i="2"/>
  <c r="OO6" i="2"/>
  <c r="OP6" i="2" s="1"/>
  <c r="PC5" i="2"/>
  <c r="PD5" i="2" s="1"/>
  <c r="OU5" i="2"/>
  <c r="OO5" i="2"/>
  <c r="OP5" i="2" s="1"/>
  <c r="OH21" i="2"/>
  <c r="OI21" i="2" s="1"/>
  <c r="NZ21" i="2"/>
  <c r="OA21" i="2" s="1"/>
  <c r="NT21" i="2"/>
  <c r="NU21" i="2" s="1"/>
  <c r="OH19" i="2"/>
  <c r="OI19" i="2" s="1"/>
  <c r="NZ19" i="2"/>
  <c r="OA19" i="2" s="1"/>
  <c r="NT19" i="2"/>
  <c r="NU19" i="2" s="1"/>
  <c r="OH18" i="2"/>
  <c r="OI18" i="2" s="1"/>
  <c r="NZ18" i="2"/>
  <c r="OA18" i="2" s="1"/>
  <c r="NT18" i="2"/>
  <c r="NU18" i="2" s="1"/>
  <c r="OH17" i="2"/>
  <c r="OI17" i="2" s="1"/>
  <c r="NZ17" i="2"/>
  <c r="OA17" i="2" s="1"/>
  <c r="NT17" i="2"/>
  <c r="NU17" i="2" s="1"/>
  <c r="OH15" i="2"/>
  <c r="OI15" i="2" s="1"/>
  <c r="NZ15" i="2"/>
  <c r="OA15" i="2" s="1"/>
  <c r="NT15" i="2"/>
  <c r="NU15" i="2" s="1"/>
  <c r="OH14" i="2"/>
  <c r="OI14" i="2" s="1"/>
  <c r="NZ14" i="2"/>
  <c r="OA14" i="2" s="1"/>
  <c r="NT14" i="2"/>
  <c r="NU14" i="2" s="1"/>
  <c r="OH12" i="2"/>
  <c r="OI12" i="2" s="1"/>
  <c r="NZ12" i="2"/>
  <c r="OA12" i="2" s="1"/>
  <c r="NT12" i="2"/>
  <c r="NU12" i="2" s="1"/>
  <c r="OH11" i="2"/>
  <c r="OI11" i="2" s="1"/>
  <c r="NZ11" i="2"/>
  <c r="OA11" i="2" s="1"/>
  <c r="NT11" i="2"/>
  <c r="NU11" i="2" s="1"/>
  <c r="OH9" i="2"/>
  <c r="OI9" i="2" s="1"/>
  <c r="NZ9" i="2"/>
  <c r="OA9" i="2" s="1"/>
  <c r="NT9" i="2"/>
  <c r="NU9" i="2" s="1"/>
  <c r="OH8" i="2"/>
  <c r="OI8" i="2" s="1"/>
  <c r="NZ8" i="2"/>
  <c r="OA8" i="2" s="1"/>
  <c r="NT8" i="2"/>
  <c r="NU8" i="2" s="1"/>
  <c r="OH7" i="2"/>
  <c r="OI7" i="2" s="1"/>
  <c r="NZ7" i="2"/>
  <c r="NT7" i="2"/>
  <c r="NU7" i="2" s="1"/>
  <c r="OH6" i="2"/>
  <c r="OI6" i="2" s="1"/>
  <c r="NZ6" i="2"/>
  <c r="OA6" i="2" s="1"/>
  <c r="NT6" i="2"/>
  <c r="NU6" i="2" s="1"/>
  <c r="OH5" i="2"/>
  <c r="OI5" i="2" s="1"/>
  <c r="NZ5" i="2"/>
  <c r="NT5" i="2"/>
  <c r="NU5" i="2" s="1"/>
  <c r="NM21" i="2"/>
  <c r="NN21" i="2" s="1"/>
  <c r="NE21" i="2"/>
  <c r="NF21" i="2" s="1"/>
  <c r="MY21" i="2"/>
  <c r="MZ21" i="2" s="1"/>
  <c r="NM19" i="2"/>
  <c r="NN19" i="2" s="1"/>
  <c r="NE19" i="2"/>
  <c r="NF19" i="2" s="1"/>
  <c r="MY19" i="2"/>
  <c r="MZ19" i="2" s="1"/>
  <c r="NM18" i="2"/>
  <c r="NN18" i="2" s="1"/>
  <c r="NE18" i="2"/>
  <c r="NF18" i="2" s="1"/>
  <c r="MY18" i="2"/>
  <c r="MZ18" i="2" s="1"/>
  <c r="NM17" i="2"/>
  <c r="NN17" i="2" s="1"/>
  <c r="NE17" i="2"/>
  <c r="NF17" i="2" s="1"/>
  <c r="MY17" i="2"/>
  <c r="MZ17" i="2" s="1"/>
  <c r="NM15" i="2"/>
  <c r="NN15" i="2" s="1"/>
  <c r="NE15" i="2"/>
  <c r="NF15" i="2" s="1"/>
  <c r="MY15" i="2"/>
  <c r="MZ15" i="2" s="1"/>
  <c r="NM14" i="2"/>
  <c r="NN14" i="2" s="1"/>
  <c r="NE14" i="2"/>
  <c r="NF14" i="2" s="1"/>
  <c r="MY14" i="2"/>
  <c r="MZ14" i="2" s="1"/>
  <c r="NM12" i="2"/>
  <c r="NN12" i="2" s="1"/>
  <c r="NE12" i="2"/>
  <c r="NF12" i="2" s="1"/>
  <c r="MY12" i="2"/>
  <c r="MZ12" i="2" s="1"/>
  <c r="NM11" i="2"/>
  <c r="NN11" i="2" s="1"/>
  <c r="NE11" i="2"/>
  <c r="NF11" i="2" s="1"/>
  <c r="MY11" i="2"/>
  <c r="MZ11" i="2" s="1"/>
  <c r="NM9" i="2"/>
  <c r="NN9" i="2" s="1"/>
  <c r="NE9" i="2"/>
  <c r="NF9" i="2" s="1"/>
  <c r="MY9" i="2"/>
  <c r="MZ9" i="2" s="1"/>
  <c r="NM8" i="2"/>
  <c r="NN8" i="2" s="1"/>
  <c r="NE8" i="2"/>
  <c r="NF8" i="2" s="1"/>
  <c r="MY8" i="2"/>
  <c r="MZ8" i="2" s="1"/>
  <c r="NM7" i="2"/>
  <c r="NN7" i="2" s="1"/>
  <c r="NE7" i="2"/>
  <c r="NF7" i="2" s="1"/>
  <c r="MY7" i="2"/>
  <c r="MZ7" i="2" s="1"/>
  <c r="NM6" i="2"/>
  <c r="NN6" i="2" s="1"/>
  <c r="NE6" i="2"/>
  <c r="NF6" i="2" s="1"/>
  <c r="MY6" i="2"/>
  <c r="MZ6" i="2" s="1"/>
  <c r="NM5" i="2"/>
  <c r="NN5" i="2" s="1"/>
  <c r="NE5" i="2"/>
  <c r="MY5" i="2"/>
  <c r="MZ5" i="2" s="1"/>
  <c r="MR21" i="2"/>
  <c r="MS21" i="2" s="1"/>
  <c r="MJ21" i="2"/>
  <c r="MK21" i="2" s="1"/>
  <c r="MD21" i="2"/>
  <c r="ME21" i="2" s="1"/>
  <c r="MR19" i="2"/>
  <c r="MS19" i="2" s="1"/>
  <c r="MJ19" i="2"/>
  <c r="MK19" i="2" s="1"/>
  <c r="MD19" i="2"/>
  <c r="ME19" i="2" s="1"/>
  <c r="MR18" i="2"/>
  <c r="MS18" i="2" s="1"/>
  <c r="MJ18" i="2"/>
  <c r="MD18" i="2"/>
  <c r="ME18" i="2" s="1"/>
  <c r="MR17" i="2"/>
  <c r="MS17" i="2" s="1"/>
  <c r="MJ17" i="2"/>
  <c r="MD17" i="2"/>
  <c r="ME17" i="2" s="1"/>
  <c r="MR15" i="2"/>
  <c r="MS15" i="2" s="1"/>
  <c r="MJ15" i="2"/>
  <c r="MK15" i="2" s="1"/>
  <c r="MD15" i="2"/>
  <c r="ME15" i="2" s="1"/>
  <c r="MR14" i="2"/>
  <c r="MS14" i="2" s="1"/>
  <c r="MJ14" i="2"/>
  <c r="MD14" i="2"/>
  <c r="ME14" i="2" s="1"/>
  <c r="MR12" i="2"/>
  <c r="MS12" i="2" s="1"/>
  <c r="MJ12" i="2"/>
  <c r="MK12" i="2" s="1"/>
  <c r="MD12" i="2"/>
  <c r="ME12" i="2" s="1"/>
  <c r="MR11" i="2"/>
  <c r="MS11" i="2" s="1"/>
  <c r="MJ11" i="2"/>
  <c r="MD11" i="2"/>
  <c r="ME11" i="2" s="1"/>
  <c r="MR9" i="2"/>
  <c r="MS9" i="2" s="1"/>
  <c r="MJ9" i="2"/>
  <c r="MK9" i="2" s="1"/>
  <c r="MD9" i="2"/>
  <c r="ME9" i="2" s="1"/>
  <c r="MR8" i="2"/>
  <c r="MS8" i="2" s="1"/>
  <c r="MJ8" i="2"/>
  <c r="MK8" i="2" s="1"/>
  <c r="MD8" i="2"/>
  <c r="ME8" i="2" s="1"/>
  <c r="MR7" i="2"/>
  <c r="MS7" i="2" s="1"/>
  <c r="MJ7" i="2"/>
  <c r="MK7" i="2" s="1"/>
  <c r="MD7" i="2"/>
  <c r="ME7" i="2" s="1"/>
  <c r="MR6" i="2"/>
  <c r="MS6" i="2" s="1"/>
  <c r="MJ6" i="2"/>
  <c r="MK6" i="2" s="1"/>
  <c r="MD6" i="2"/>
  <c r="ME6" i="2" s="1"/>
  <c r="MR5" i="2"/>
  <c r="MS5" i="2" s="1"/>
  <c r="MJ5" i="2"/>
  <c r="MK5" i="2" s="1"/>
  <c r="MD5" i="2"/>
  <c r="ME5" i="2" s="1"/>
  <c r="LW21" i="2"/>
  <c r="LX21" i="2" s="1"/>
  <c r="LO21" i="2"/>
  <c r="LO20" i="2" s="1"/>
  <c r="LI21" i="2"/>
  <c r="LJ21" i="2" s="1"/>
  <c r="LW19" i="2"/>
  <c r="LX19" i="2" s="1"/>
  <c r="LO19" i="2"/>
  <c r="LI19" i="2"/>
  <c r="LJ19" i="2" s="1"/>
  <c r="LW18" i="2"/>
  <c r="LX18" i="2" s="1"/>
  <c r="LO18" i="2"/>
  <c r="LI18" i="2"/>
  <c r="LJ18" i="2" s="1"/>
  <c r="LW17" i="2"/>
  <c r="LX17" i="2" s="1"/>
  <c r="LO17" i="2"/>
  <c r="LI17" i="2"/>
  <c r="LJ17" i="2" s="1"/>
  <c r="LW15" i="2"/>
  <c r="LX15" i="2" s="1"/>
  <c r="LO15" i="2"/>
  <c r="LP15" i="2" s="1"/>
  <c r="LI15" i="2"/>
  <c r="LJ15" i="2" s="1"/>
  <c r="LW14" i="2"/>
  <c r="LX14" i="2" s="1"/>
  <c r="LO14" i="2"/>
  <c r="LI14" i="2"/>
  <c r="LJ14" i="2" s="1"/>
  <c r="LW12" i="2"/>
  <c r="LX12" i="2" s="1"/>
  <c r="LO12" i="2"/>
  <c r="LP12" i="2" s="1"/>
  <c r="LI12" i="2"/>
  <c r="LJ12" i="2" s="1"/>
  <c r="LW11" i="2"/>
  <c r="LX11" i="2" s="1"/>
  <c r="LO11" i="2"/>
  <c r="LP11" i="2" s="1"/>
  <c r="LI11" i="2"/>
  <c r="LJ11" i="2" s="1"/>
  <c r="LW9" i="2"/>
  <c r="LX9" i="2" s="1"/>
  <c r="LO9" i="2"/>
  <c r="LP9" i="2" s="1"/>
  <c r="LI9" i="2"/>
  <c r="LJ9" i="2" s="1"/>
  <c r="LW8" i="2"/>
  <c r="LX8" i="2" s="1"/>
  <c r="LO8" i="2"/>
  <c r="LP8" i="2" s="1"/>
  <c r="LI8" i="2"/>
  <c r="LJ8" i="2" s="1"/>
  <c r="LW7" i="2"/>
  <c r="LX7" i="2" s="1"/>
  <c r="LO7" i="2"/>
  <c r="LI7" i="2"/>
  <c r="LJ7" i="2" s="1"/>
  <c r="LW6" i="2"/>
  <c r="LX6" i="2" s="1"/>
  <c r="LO6" i="2"/>
  <c r="LI6" i="2"/>
  <c r="LJ6" i="2" s="1"/>
  <c r="LW5" i="2"/>
  <c r="LX5" i="2" s="1"/>
  <c r="LO5" i="2"/>
  <c r="LP5" i="2" s="1"/>
  <c r="LI5" i="2"/>
  <c r="LJ5" i="2" s="1"/>
  <c r="LB21" i="2"/>
  <c r="LC21" i="2" s="1"/>
  <c r="KT21" i="2"/>
  <c r="KU21" i="2" s="1"/>
  <c r="KN21" i="2"/>
  <c r="KO21" i="2" s="1"/>
  <c r="LB19" i="2"/>
  <c r="LC19" i="2" s="1"/>
  <c r="KT19" i="2"/>
  <c r="KU19" i="2" s="1"/>
  <c r="KN19" i="2"/>
  <c r="KO19" i="2" s="1"/>
  <c r="LB18" i="2"/>
  <c r="LC18" i="2" s="1"/>
  <c r="KT18" i="2"/>
  <c r="KU18" i="2" s="1"/>
  <c r="KN18" i="2"/>
  <c r="KO18" i="2" s="1"/>
  <c r="LB17" i="2"/>
  <c r="LC17" i="2" s="1"/>
  <c r="KT17" i="2"/>
  <c r="KU17" i="2" s="1"/>
  <c r="KN17" i="2"/>
  <c r="KO17" i="2" s="1"/>
  <c r="LB15" i="2"/>
  <c r="LC15" i="2" s="1"/>
  <c r="KT15" i="2"/>
  <c r="KU15" i="2" s="1"/>
  <c r="KN15" i="2"/>
  <c r="KO15" i="2" s="1"/>
  <c r="LB14" i="2"/>
  <c r="LC14" i="2" s="1"/>
  <c r="KT14" i="2"/>
  <c r="KU14" i="2" s="1"/>
  <c r="KN14" i="2"/>
  <c r="KO14" i="2" s="1"/>
  <c r="LB12" i="2"/>
  <c r="LC12" i="2" s="1"/>
  <c r="KT12" i="2"/>
  <c r="KU12" i="2" s="1"/>
  <c r="KN12" i="2"/>
  <c r="KO12" i="2" s="1"/>
  <c r="LB11" i="2"/>
  <c r="LC11" i="2" s="1"/>
  <c r="KT11" i="2"/>
  <c r="KU11" i="2" s="1"/>
  <c r="KN11" i="2"/>
  <c r="KO11" i="2" s="1"/>
  <c r="LB9" i="2"/>
  <c r="LC9" i="2" s="1"/>
  <c r="KT9" i="2"/>
  <c r="KU9" i="2" s="1"/>
  <c r="KN9" i="2"/>
  <c r="KO9" i="2" s="1"/>
  <c r="LB8" i="2"/>
  <c r="LC8" i="2" s="1"/>
  <c r="KT8" i="2"/>
  <c r="KU8" i="2" s="1"/>
  <c r="KN8" i="2"/>
  <c r="KO8" i="2" s="1"/>
  <c r="LB7" i="2"/>
  <c r="LC7" i="2" s="1"/>
  <c r="KT7" i="2"/>
  <c r="KU7" i="2" s="1"/>
  <c r="KN7" i="2"/>
  <c r="KO7" i="2" s="1"/>
  <c r="LB6" i="2"/>
  <c r="LC6" i="2" s="1"/>
  <c r="KT6" i="2"/>
  <c r="KU6" i="2" s="1"/>
  <c r="KN6" i="2"/>
  <c r="KO6" i="2" s="1"/>
  <c r="LB5" i="2"/>
  <c r="LC5" i="2" s="1"/>
  <c r="KT5" i="2"/>
  <c r="KU5" i="2" s="1"/>
  <c r="KN5" i="2"/>
  <c r="KO5" i="2" s="1"/>
  <c r="KG21" i="2"/>
  <c r="KH21" i="2" s="1"/>
  <c r="JY21" i="2"/>
  <c r="JZ21" i="2" s="1"/>
  <c r="JS21" i="2"/>
  <c r="JT21" i="2" s="1"/>
  <c r="KG19" i="2"/>
  <c r="KH19" i="2" s="1"/>
  <c r="JY19" i="2"/>
  <c r="JZ19" i="2" s="1"/>
  <c r="JS19" i="2"/>
  <c r="JT19" i="2" s="1"/>
  <c r="KG18" i="2"/>
  <c r="KH18" i="2" s="1"/>
  <c r="JY18" i="2"/>
  <c r="JZ18" i="2" s="1"/>
  <c r="JS18" i="2"/>
  <c r="JT18" i="2" s="1"/>
  <c r="KG17" i="2"/>
  <c r="KH17" i="2" s="1"/>
  <c r="JY17" i="2"/>
  <c r="JZ17" i="2" s="1"/>
  <c r="JS17" i="2"/>
  <c r="JT17" i="2" s="1"/>
  <c r="KG15" i="2"/>
  <c r="KH15" i="2" s="1"/>
  <c r="JY15" i="2"/>
  <c r="JZ15" i="2" s="1"/>
  <c r="JS15" i="2"/>
  <c r="JT15" i="2" s="1"/>
  <c r="KG14" i="2"/>
  <c r="KH14" i="2" s="1"/>
  <c r="JY14" i="2"/>
  <c r="JZ14" i="2" s="1"/>
  <c r="JS14" i="2"/>
  <c r="JT14" i="2" s="1"/>
  <c r="KG12" i="2"/>
  <c r="KH12" i="2" s="1"/>
  <c r="JY12" i="2"/>
  <c r="JZ12" i="2" s="1"/>
  <c r="JS12" i="2"/>
  <c r="JT12" i="2" s="1"/>
  <c r="KG11" i="2"/>
  <c r="KH11" i="2" s="1"/>
  <c r="JY11" i="2"/>
  <c r="JZ11" i="2" s="1"/>
  <c r="JS11" i="2"/>
  <c r="JT11" i="2" s="1"/>
  <c r="KG9" i="2"/>
  <c r="KH9" i="2" s="1"/>
  <c r="JY9" i="2"/>
  <c r="JZ9" i="2" s="1"/>
  <c r="JS9" i="2"/>
  <c r="JT9" i="2" s="1"/>
  <c r="KG8" i="2"/>
  <c r="KH8" i="2" s="1"/>
  <c r="JY8" i="2"/>
  <c r="JZ8" i="2" s="1"/>
  <c r="JS8" i="2"/>
  <c r="JT8" i="2" s="1"/>
  <c r="KG7" i="2"/>
  <c r="KH7" i="2" s="1"/>
  <c r="JY7" i="2"/>
  <c r="JZ7" i="2" s="1"/>
  <c r="JS7" i="2"/>
  <c r="JT7" i="2" s="1"/>
  <c r="KG6" i="2"/>
  <c r="KH6" i="2" s="1"/>
  <c r="JY6" i="2"/>
  <c r="JZ6" i="2" s="1"/>
  <c r="JS6" i="2"/>
  <c r="JT6" i="2" s="1"/>
  <c r="KG5" i="2"/>
  <c r="KH5" i="2" s="1"/>
  <c r="JY5" i="2"/>
  <c r="JZ5" i="2" s="1"/>
  <c r="JS5" i="2"/>
  <c r="JT5" i="2" s="1"/>
  <c r="JL21" i="2"/>
  <c r="JM21" i="2" s="1"/>
  <c r="JD21" i="2"/>
  <c r="JE21" i="2" s="1"/>
  <c r="IX21" i="2"/>
  <c r="IY21" i="2" s="1"/>
  <c r="JL19" i="2"/>
  <c r="JM19" i="2" s="1"/>
  <c r="JD19" i="2"/>
  <c r="JE19" i="2" s="1"/>
  <c r="IX19" i="2"/>
  <c r="IY19" i="2" s="1"/>
  <c r="JL18" i="2"/>
  <c r="JM18" i="2" s="1"/>
  <c r="JD18" i="2"/>
  <c r="JE18" i="2" s="1"/>
  <c r="IX18" i="2"/>
  <c r="IY18" i="2" s="1"/>
  <c r="JL17" i="2"/>
  <c r="JM17" i="2" s="1"/>
  <c r="JD17" i="2"/>
  <c r="JE17" i="2" s="1"/>
  <c r="IX17" i="2"/>
  <c r="IY17" i="2" s="1"/>
  <c r="JL15" i="2"/>
  <c r="JM15" i="2" s="1"/>
  <c r="JD15" i="2"/>
  <c r="JE15" i="2" s="1"/>
  <c r="IX15" i="2"/>
  <c r="IY15" i="2" s="1"/>
  <c r="JL14" i="2"/>
  <c r="JM14" i="2" s="1"/>
  <c r="JD14" i="2"/>
  <c r="JE14" i="2" s="1"/>
  <c r="IX14" i="2"/>
  <c r="IY14" i="2" s="1"/>
  <c r="JL12" i="2"/>
  <c r="JM12" i="2" s="1"/>
  <c r="JD12" i="2"/>
  <c r="JE12" i="2" s="1"/>
  <c r="IX12" i="2"/>
  <c r="IY12" i="2" s="1"/>
  <c r="JL11" i="2"/>
  <c r="JM11" i="2" s="1"/>
  <c r="JD11" i="2"/>
  <c r="JE11" i="2" s="1"/>
  <c r="IX11" i="2"/>
  <c r="IY11" i="2" s="1"/>
  <c r="JL9" i="2"/>
  <c r="JM9" i="2" s="1"/>
  <c r="JD9" i="2"/>
  <c r="JE9" i="2" s="1"/>
  <c r="IX9" i="2"/>
  <c r="IY9" i="2" s="1"/>
  <c r="JL8" i="2"/>
  <c r="JM8" i="2" s="1"/>
  <c r="JD8" i="2"/>
  <c r="JE8" i="2" s="1"/>
  <c r="IX8" i="2"/>
  <c r="IY8" i="2" s="1"/>
  <c r="JL7" i="2"/>
  <c r="JM7" i="2" s="1"/>
  <c r="JD7" i="2"/>
  <c r="IX7" i="2"/>
  <c r="IY7" i="2" s="1"/>
  <c r="JL6" i="2"/>
  <c r="JM6" i="2" s="1"/>
  <c r="JD6" i="2"/>
  <c r="IX6" i="2"/>
  <c r="IY6" i="2" s="1"/>
  <c r="JL5" i="2"/>
  <c r="JM5" i="2" s="1"/>
  <c r="JD5" i="2"/>
  <c r="IX5" i="2"/>
  <c r="IY5" i="2" s="1"/>
  <c r="IQ21" i="2"/>
  <c r="IR21" i="2" s="1"/>
  <c r="II21" i="2"/>
  <c r="IJ21" i="2" s="1"/>
  <c r="IC21" i="2"/>
  <c r="ID21" i="2" s="1"/>
  <c r="IQ19" i="2"/>
  <c r="IR19" i="2" s="1"/>
  <c r="II19" i="2"/>
  <c r="IJ19" i="2" s="1"/>
  <c r="IC19" i="2"/>
  <c r="ID19" i="2" s="1"/>
  <c r="IQ18" i="2"/>
  <c r="IR18" i="2" s="1"/>
  <c r="II18" i="2"/>
  <c r="IC18" i="2"/>
  <c r="ID18" i="2" s="1"/>
  <c r="IQ17" i="2"/>
  <c r="IR17" i="2" s="1"/>
  <c r="II17" i="2"/>
  <c r="IC17" i="2"/>
  <c r="ID17" i="2" s="1"/>
  <c r="IQ15" i="2"/>
  <c r="IR15" i="2" s="1"/>
  <c r="II15" i="2"/>
  <c r="IC15" i="2"/>
  <c r="ID15" i="2" s="1"/>
  <c r="IQ14" i="2"/>
  <c r="IR14" i="2" s="1"/>
  <c r="II14" i="2"/>
  <c r="IC14" i="2"/>
  <c r="ID14" i="2" s="1"/>
  <c r="IQ12" i="2"/>
  <c r="IR12" i="2" s="1"/>
  <c r="II12" i="2"/>
  <c r="IC12" i="2"/>
  <c r="ID12" i="2" s="1"/>
  <c r="IQ11" i="2"/>
  <c r="IR11" i="2" s="1"/>
  <c r="II11" i="2"/>
  <c r="IC11" i="2"/>
  <c r="ID11" i="2" s="1"/>
  <c r="IQ9" i="2"/>
  <c r="IR9" i="2" s="1"/>
  <c r="II9" i="2"/>
  <c r="IC9" i="2"/>
  <c r="ID9" i="2" s="1"/>
  <c r="IQ8" i="2"/>
  <c r="IR8" i="2" s="1"/>
  <c r="II8" i="2"/>
  <c r="IJ8" i="2" s="1"/>
  <c r="IC8" i="2"/>
  <c r="ID8" i="2" s="1"/>
  <c r="IQ7" i="2"/>
  <c r="IR7" i="2" s="1"/>
  <c r="II7" i="2"/>
  <c r="IC7" i="2"/>
  <c r="ID7" i="2" s="1"/>
  <c r="IQ6" i="2"/>
  <c r="IR6" i="2" s="1"/>
  <c r="II6" i="2"/>
  <c r="IJ6" i="2" s="1"/>
  <c r="IC6" i="2"/>
  <c r="ID6" i="2" s="1"/>
  <c r="IQ5" i="2"/>
  <c r="IR5" i="2" s="1"/>
  <c r="II5" i="2"/>
  <c r="IC5" i="2"/>
  <c r="ID5" i="2" s="1"/>
  <c r="HV21" i="2"/>
  <c r="HW21" i="2" s="1"/>
  <c r="HN21" i="2"/>
  <c r="HO21" i="2" s="1"/>
  <c r="HH21" i="2"/>
  <c r="HI21" i="2" s="1"/>
  <c r="HV19" i="2"/>
  <c r="HW19" i="2" s="1"/>
  <c r="HN19" i="2"/>
  <c r="HO19" i="2" s="1"/>
  <c r="HH19" i="2"/>
  <c r="HI19" i="2" s="1"/>
  <c r="HV18" i="2"/>
  <c r="HW18" i="2" s="1"/>
  <c r="HN18" i="2"/>
  <c r="HO18" i="2" s="1"/>
  <c r="HH18" i="2"/>
  <c r="HI18" i="2" s="1"/>
  <c r="HV17" i="2"/>
  <c r="HW17" i="2" s="1"/>
  <c r="HN17" i="2"/>
  <c r="HO17" i="2" s="1"/>
  <c r="HH17" i="2"/>
  <c r="HI17" i="2" s="1"/>
  <c r="HV15" i="2"/>
  <c r="HW15" i="2" s="1"/>
  <c r="HN15" i="2"/>
  <c r="HO15" i="2" s="1"/>
  <c r="HH15" i="2"/>
  <c r="HI15" i="2" s="1"/>
  <c r="HV14" i="2"/>
  <c r="HW14" i="2" s="1"/>
  <c r="HN14" i="2"/>
  <c r="HO14" i="2" s="1"/>
  <c r="HH14" i="2"/>
  <c r="HI14" i="2" s="1"/>
  <c r="HV12" i="2"/>
  <c r="HW12" i="2" s="1"/>
  <c r="HN12" i="2"/>
  <c r="HH12" i="2"/>
  <c r="HI12" i="2" s="1"/>
  <c r="HV11" i="2"/>
  <c r="HW11" i="2" s="1"/>
  <c r="HN11" i="2"/>
  <c r="HH11" i="2"/>
  <c r="HI11" i="2" s="1"/>
  <c r="HV9" i="2"/>
  <c r="HW9" i="2" s="1"/>
  <c r="HN9" i="2"/>
  <c r="HH9" i="2"/>
  <c r="HI9" i="2" s="1"/>
  <c r="HV8" i="2"/>
  <c r="HW8" i="2" s="1"/>
  <c r="HN8" i="2"/>
  <c r="HH8" i="2"/>
  <c r="HI8" i="2" s="1"/>
  <c r="HV7" i="2"/>
  <c r="HW7" i="2" s="1"/>
  <c r="HN7" i="2"/>
  <c r="HH7" i="2"/>
  <c r="HI7" i="2" s="1"/>
  <c r="HV6" i="2"/>
  <c r="HW6" i="2" s="1"/>
  <c r="HN6" i="2"/>
  <c r="HH6" i="2"/>
  <c r="HI6" i="2" s="1"/>
  <c r="HV5" i="2"/>
  <c r="HW5" i="2" s="1"/>
  <c r="HN5" i="2"/>
  <c r="HH5" i="2"/>
  <c r="HI5" i="2" s="1"/>
  <c r="HA21" i="2"/>
  <c r="HB21" i="2" s="1"/>
  <c r="GS21" i="2"/>
  <c r="GT21" i="2" s="1"/>
  <c r="GM21" i="2"/>
  <c r="GN21" i="2" s="1"/>
  <c r="HA19" i="2"/>
  <c r="HB19" i="2" s="1"/>
  <c r="GS19" i="2"/>
  <c r="GT19" i="2" s="1"/>
  <c r="GM19" i="2"/>
  <c r="GN19" i="2" s="1"/>
  <c r="HA18" i="2"/>
  <c r="HB18" i="2" s="1"/>
  <c r="GS18" i="2"/>
  <c r="GT18" i="2" s="1"/>
  <c r="GM18" i="2"/>
  <c r="GN18" i="2" s="1"/>
  <c r="HA17" i="2"/>
  <c r="HB17" i="2" s="1"/>
  <c r="GS17" i="2"/>
  <c r="GT17" i="2" s="1"/>
  <c r="GM17" i="2"/>
  <c r="GN17" i="2" s="1"/>
  <c r="HA15" i="2"/>
  <c r="HB15" i="2" s="1"/>
  <c r="GS15" i="2"/>
  <c r="GT15" i="2" s="1"/>
  <c r="GM15" i="2"/>
  <c r="GN15" i="2" s="1"/>
  <c r="HA14" i="2"/>
  <c r="HB14" i="2" s="1"/>
  <c r="GS14" i="2"/>
  <c r="GT14" i="2" s="1"/>
  <c r="GM14" i="2"/>
  <c r="GN14" i="2" s="1"/>
  <c r="HA12" i="2"/>
  <c r="HB12" i="2" s="1"/>
  <c r="GS12" i="2"/>
  <c r="GT12" i="2" s="1"/>
  <c r="GM12" i="2"/>
  <c r="GN12" i="2" s="1"/>
  <c r="HA11" i="2"/>
  <c r="HB11" i="2" s="1"/>
  <c r="GS11" i="2"/>
  <c r="GT11" i="2" s="1"/>
  <c r="GM11" i="2"/>
  <c r="GN11" i="2" s="1"/>
  <c r="HA9" i="2"/>
  <c r="HB9" i="2" s="1"/>
  <c r="GS9" i="2"/>
  <c r="GT9" i="2" s="1"/>
  <c r="GM9" i="2"/>
  <c r="GN9" i="2" s="1"/>
  <c r="HA8" i="2"/>
  <c r="HB8" i="2" s="1"/>
  <c r="GS8" i="2"/>
  <c r="GT8" i="2" s="1"/>
  <c r="GM8" i="2"/>
  <c r="GN8" i="2" s="1"/>
  <c r="HA7" i="2"/>
  <c r="HB7" i="2" s="1"/>
  <c r="GS7" i="2"/>
  <c r="GT7" i="2" s="1"/>
  <c r="GM7" i="2"/>
  <c r="GN7" i="2" s="1"/>
  <c r="HA6" i="2"/>
  <c r="HB6" i="2" s="1"/>
  <c r="GS6" i="2"/>
  <c r="GT6" i="2" s="1"/>
  <c r="GM6" i="2"/>
  <c r="GN6" i="2" s="1"/>
  <c r="HA5" i="2"/>
  <c r="HB5" i="2" s="1"/>
  <c r="GS5" i="2"/>
  <c r="GT5" i="2" s="1"/>
  <c r="GM5" i="2"/>
  <c r="GN5" i="2" s="1"/>
  <c r="GF21" i="2"/>
  <c r="GG21" i="2" s="1"/>
  <c r="FX21" i="2"/>
  <c r="FY21" i="2" s="1"/>
  <c r="FR21" i="2"/>
  <c r="FS21" i="2" s="1"/>
  <c r="GF19" i="2"/>
  <c r="GG19" i="2" s="1"/>
  <c r="FX19" i="2"/>
  <c r="FY19" i="2" s="1"/>
  <c r="FR19" i="2"/>
  <c r="FS19" i="2" s="1"/>
  <c r="GF18" i="2"/>
  <c r="GG18" i="2" s="1"/>
  <c r="FX18" i="2"/>
  <c r="FY18" i="2" s="1"/>
  <c r="FR18" i="2"/>
  <c r="FS18" i="2" s="1"/>
  <c r="GF17" i="2"/>
  <c r="GG17" i="2" s="1"/>
  <c r="FX17" i="2"/>
  <c r="FY17" i="2" s="1"/>
  <c r="FR17" i="2"/>
  <c r="FS17" i="2" s="1"/>
  <c r="GF15" i="2"/>
  <c r="GG15" i="2" s="1"/>
  <c r="FX15" i="2"/>
  <c r="FY15" i="2" s="1"/>
  <c r="FR15" i="2"/>
  <c r="FS15" i="2" s="1"/>
  <c r="GF14" i="2"/>
  <c r="GG14" i="2" s="1"/>
  <c r="FX14" i="2"/>
  <c r="FY14" i="2" s="1"/>
  <c r="FR14" i="2"/>
  <c r="FS14" i="2" s="1"/>
  <c r="GF12" i="2"/>
  <c r="GG12" i="2" s="1"/>
  <c r="FX12" i="2"/>
  <c r="FY12" i="2" s="1"/>
  <c r="FR12" i="2"/>
  <c r="FS12" i="2" s="1"/>
  <c r="GF11" i="2"/>
  <c r="GG11" i="2" s="1"/>
  <c r="FX11" i="2"/>
  <c r="FR11" i="2"/>
  <c r="FS11" i="2" s="1"/>
  <c r="GF9" i="2"/>
  <c r="GG9" i="2" s="1"/>
  <c r="FX9" i="2"/>
  <c r="FY9" i="2" s="1"/>
  <c r="FR9" i="2"/>
  <c r="FS9" i="2" s="1"/>
  <c r="GF8" i="2"/>
  <c r="GG8" i="2" s="1"/>
  <c r="FX8" i="2"/>
  <c r="FR8" i="2"/>
  <c r="FS8" i="2" s="1"/>
  <c r="GF7" i="2"/>
  <c r="GG7" i="2" s="1"/>
  <c r="FX7" i="2"/>
  <c r="FY7" i="2" s="1"/>
  <c r="FR7" i="2"/>
  <c r="FS7" i="2" s="1"/>
  <c r="GF6" i="2"/>
  <c r="GG6" i="2" s="1"/>
  <c r="FX6" i="2"/>
  <c r="FR6" i="2"/>
  <c r="FS6" i="2" s="1"/>
  <c r="GF5" i="2"/>
  <c r="GG5" i="2" s="1"/>
  <c r="FX5" i="2"/>
  <c r="FR5" i="2"/>
  <c r="FS5" i="2" s="1"/>
  <c r="FK21" i="2"/>
  <c r="FL21" i="2" s="1"/>
  <c r="FC21" i="2"/>
  <c r="FD21" i="2" s="1"/>
  <c r="EW21" i="2"/>
  <c r="EX21" i="2" s="1"/>
  <c r="FK19" i="2"/>
  <c r="FL19" i="2" s="1"/>
  <c r="FC19" i="2"/>
  <c r="FD19" i="2" s="1"/>
  <c r="EW19" i="2"/>
  <c r="EX19" i="2" s="1"/>
  <c r="FK18" i="2"/>
  <c r="FL18" i="2" s="1"/>
  <c r="FC18" i="2"/>
  <c r="FD18" i="2" s="1"/>
  <c r="EW18" i="2"/>
  <c r="EX18" i="2" s="1"/>
  <c r="FK17" i="2"/>
  <c r="FL17" i="2" s="1"/>
  <c r="FC17" i="2"/>
  <c r="FD17" i="2" s="1"/>
  <c r="EW17" i="2"/>
  <c r="EX17" i="2" s="1"/>
  <c r="FK15" i="2"/>
  <c r="FL15" i="2" s="1"/>
  <c r="FC15" i="2"/>
  <c r="FD15" i="2" s="1"/>
  <c r="EW15" i="2"/>
  <c r="EX15" i="2" s="1"/>
  <c r="FK14" i="2"/>
  <c r="FL14" i="2" s="1"/>
  <c r="FC14" i="2"/>
  <c r="FD14" i="2" s="1"/>
  <c r="EW14" i="2"/>
  <c r="EX14" i="2" s="1"/>
  <c r="FK12" i="2"/>
  <c r="FL12" i="2" s="1"/>
  <c r="FC12" i="2"/>
  <c r="FD12" i="2" s="1"/>
  <c r="EW12" i="2"/>
  <c r="EX12" i="2" s="1"/>
  <c r="FK11" i="2"/>
  <c r="FL11" i="2" s="1"/>
  <c r="FC11" i="2"/>
  <c r="FD11" i="2" s="1"/>
  <c r="EW11" i="2"/>
  <c r="EX11" i="2" s="1"/>
  <c r="FK9" i="2"/>
  <c r="FL9" i="2" s="1"/>
  <c r="FC9" i="2"/>
  <c r="FD9" i="2" s="1"/>
  <c r="EW9" i="2"/>
  <c r="EX9" i="2" s="1"/>
  <c r="FK8" i="2"/>
  <c r="FL8" i="2" s="1"/>
  <c r="FC8" i="2"/>
  <c r="FD8" i="2" s="1"/>
  <c r="EW8" i="2"/>
  <c r="EX8" i="2" s="1"/>
  <c r="FK7" i="2"/>
  <c r="FL7" i="2" s="1"/>
  <c r="FC7" i="2"/>
  <c r="FD7" i="2" s="1"/>
  <c r="EW7" i="2"/>
  <c r="EX7" i="2" s="1"/>
  <c r="FK6" i="2"/>
  <c r="FL6" i="2" s="1"/>
  <c r="FC6" i="2"/>
  <c r="FD6" i="2" s="1"/>
  <c r="EW6" i="2"/>
  <c r="EX6" i="2" s="1"/>
  <c r="FK5" i="2"/>
  <c r="FL5" i="2" s="1"/>
  <c r="FC5" i="2"/>
  <c r="FD5" i="2" s="1"/>
  <c r="EW5" i="2"/>
  <c r="EX5" i="2" s="1"/>
  <c r="EP21" i="2"/>
  <c r="EQ21" i="2" s="1"/>
  <c r="EH21" i="2"/>
  <c r="EI21" i="2" s="1"/>
  <c r="EB21" i="2"/>
  <c r="EC21" i="2" s="1"/>
  <c r="EP19" i="2"/>
  <c r="EQ19" i="2" s="1"/>
  <c r="EH19" i="2"/>
  <c r="EI19" i="2" s="1"/>
  <c r="EB19" i="2"/>
  <c r="EC19" i="2" s="1"/>
  <c r="EP18" i="2"/>
  <c r="EQ18" i="2" s="1"/>
  <c r="EH18" i="2"/>
  <c r="EI18" i="2" s="1"/>
  <c r="EB18" i="2"/>
  <c r="EC18" i="2" s="1"/>
  <c r="EP17" i="2"/>
  <c r="EQ17" i="2" s="1"/>
  <c r="EH17" i="2"/>
  <c r="EI17" i="2" s="1"/>
  <c r="EB17" i="2"/>
  <c r="EC17" i="2" s="1"/>
  <c r="EP15" i="2"/>
  <c r="EQ15" i="2" s="1"/>
  <c r="EH15" i="2"/>
  <c r="EI15" i="2" s="1"/>
  <c r="EB15" i="2"/>
  <c r="EC15" i="2" s="1"/>
  <c r="EP14" i="2"/>
  <c r="EQ14" i="2" s="1"/>
  <c r="EH14" i="2"/>
  <c r="EI14" i="2" s="1"/>
  <c r="EB14" i="2"/>
  <c r="EC14" i="2" s="1"/>
  <c r="EP12" i="2"/>
  <c r="EQ12" i="2" s="1"/>
  <c r="EH12" i="2"/>
  <c r="EI12" i="2" s="1"/>
  <c r="EB12" i="2"/>
  <c r="EC12" i="2" s="1"/>
  <c r="EP11" i="2"/>
  <c r="EQ11" i="2" s="1"/>
  <c r="EH11" i="2"/>
  <c r="EI11" i="2" s="1"/>
  <c r="EB11" i="2"/>
  <c r="EC11" i="2" s="1"/>
  <c r="EP9" i="2"/>
  <c r="EQ9" i="2" s="1"/>
  <c r="EH9" i="2"/>
  <c r="EI9" i="2" s="1"/>
  <c r="EB9" i="2"/>
  <c r="EC9" i="2" s="1"/>
  <c r="EP8" i="2"/>
  <c r="EQ8" i="2" s="1"/>
  <c r="EH8" i="2"/>
  <c r="EI8" i="2" s="1"/>
  <c r="EB8" i="2"/>
  <c r="EC8" i="2" s="1"/>
  <c r="EP7" i="2"/>
  <c r="EQ7" i="2" s="1"/>
  <c r="EH7" i="2"/>
  <c r="EI7" i="2" s="1"/>
  <c r="EB7" i="2"/>
  <c r="EC7" i="2" s="1"/>
  <c r="EP6" i="2"/>
  <c r="EQ6" i="2" s="1"/>
  <c r="EH6" i="2"/>
  <c r="EI6" i="2" s="1"/>
  <c r="EB6" i="2"/>
  <c r="EC6" i="2" s="1"/>
  <c r="EP5" i="2"/>
  <c r="EQ5" i="2" s="1"/>
  <c r="EH5" i="2"/>
  <c r="EI5" i="2" s="1"/>
  <c r="EB5" i="2"/>
  <c r="EC5" i="2" s="1"/>
  <c r="DU21" i="2"/>
  <c r="DV21" i="2" s="1"/>
  <c r="DM21" i="2"/>
  <c r="DN21" i="2" s="1"/>
  <c r="DG21" i="2"/>
  <c r="DH21" i="2" s="1"/>
  <c r="DU19" i="2"/>
  <c r="DV19" i="2" s="1"/>
  <c r="DM19" i="2"/>
  <c r="DN19" i="2" s="1"/>
  <c r="DG19" i="2"/>
  <c r="DH19" i="2" s="1"/>
  <c r="DU18" i="2"/>
  <c r="DV18" i="2" s="1"/>
  <c r="DM18" i="2"/>
  <c r="DN18" i="2" s="1"/>
  <c r="DG18" i="2"/>
  <c r="DH18" i="2" s="1"/>
  <c r="DU17" i="2"/>
  <c r="DV17" i="2" s="1"/>
  <c r="DM17" i="2"/>
  <c r="DN17" i="2" s="1"/>
  <c r="DG17" i="2"/>
  <c r="DH17" i="2" s="1"/>
  <c r="DU15" i="2"/>
  <c r="DV15" i="2" s="1"/>
  <c r="DM15" i="2"/>
  <c r="DN15" i="2" s="1"/>
  <c r="DG15" i="2"/>
  <c r="DH15" i="2" s="1"/>
  <c r="DU14" i="2"/>
  <c r="DV14" i="2" s="1"/>
  <c r="DM14" i="2"/>
  <c r="DN14" i="2" s="1"/>
  <c r="DG14" i="2"/>
  <c r="DH14" i="2" s="1"/>
  <c r="DU12" i="2"/>
  <c r="DV12" i="2" s="1"/>
  <c r="DM12" i="2"/>
  <c r="DN12" i="2" s="1"/>
  <c r="DG12" i="2"/>
  <c r="DH12" i="2" s="1"/>
  <c r="DU11" i="2"/>
  <c r="DV11" i="2" s="1"/>
  <c r="DM11" i="2"/>
  <c r="DG11" i="2"/>
  <c r="DH11" i="2" s="1"/>
  <c r="DU9" i="2"/>
  <c r="DV9" i="2" s="1"/>
  <c r="DM9" i="2"/>
  <c r="DG9" i="2"/>
  <c r="DH9" i="2" s="1"/>
  <c r="DU8" i="2"/>
  <c r="DV8" i="2" s="1"/>
  <c r="DM8" i="2"/>
  <c r="DN8" i="2" s="1"/>
  <c r="DG8" i="2"/>
  <c r="DH8" i="2" s="1"/>
  <c r="DU7" i="2"/>
  <c r="DV7" i="2" s="1"/>
  <c r="DM7" i="2"/>
  <c r="DG7" i="2"/>
  <c r="DH7" i="2" s="1"/>
  <c r="DU6" i="2"/>
  <c r="DV6" i="2" s="1"/>
  <c r="DM6" i="2"/>
  <c r="DG6" i="2"/>
  <c r="DH6" i="2" s="1"/>
  <c r="DU5" i="2"/>
  <c r="DV5" i="2" s="1"/>
  <c r="DM5" i="2"/>
  <c r="DG5" i="2"/>
  <c r="DH5" i="2" s="1"/>
  <c r="CZ21" i="2"/>
  <c r="DA21" i="2" s="1"/>
  <c r="CR21" i="2"/>
  <c r="CS21" i="2" s="1"/>
  <c r="CL21" i="2"/>
  <c r="CM21" i="2" s="1"/>
  <c r="CZ19" i="2"/>
  <c r="DA19" i="2" s="1"/>
  <c r="CR19" i="2"/>
  <c r="CS19" i="2" s="1"/>
  <c r="CL19" i="2"/>
  <c r="CM19" i="2" s="1"/>
  <c r="CZ18" i="2"/>
  <c r="DA18" i="2" s="1"/>
  <c r="CR18" i="2"/>
  <c r="CS18" i="2" s="1"/>
  <c r="CL18" i="2"/>
  <c r="CM18" i="2" s="1"/>
  <c r="CZ17" i="2"/>
  <c r="DA17" i="2" s="1"/>
  <c r="CR17" i="2"/>
  <c r="CS17" i="2" s="1"/>
  <c r="CL17" i="2"/>
  <c r="CM17" i="2" s="1"/>
  <c r="CZ15" i="2"/>
  <c r="DA15" i="2" s="1"/>
  <c r="CR15" i="2"/>
  <c r="CS15" i="2" s="1"/>
  <c r="CL15" i="2"/>
  <c r="CM15" i="2" s="1"/>
  <c r="CZ14" i="2"/>
  <c r="DA14" i="2" s="1"/>
  <c r="CR14" i="2"/>
  <c r="CS14" i="2" s="1"/>
  <c r="CL14" i="2"/>
  <c r="CM14" i="2" s="1"/>
  <c r="CZ12" i="2"/>
  <c r="DA12" i="2" s="1"/>
  <c r="CR12" i="2"/>
  <c r="CS12" i="2" s="1"/>
  <c r="CL12" i="2"/>
  <c r="CM12" i="2" s="1"/>
  <c r="CZ11" i="2"/>
  <c r="DA11" i="2" s="1"/>
  <c r="CR11" i="2"/>
  <c r="CS11" i="2" s="1"/>
  <c r="CL11" i="2"/>
  <c r="CM11" i="2" s="1"/>
  <c r="CZ9" i="2"/>
  <c r="DA9" i="2" s="1"/>
  <c r="CR9" i="2"/>
  <c r="CS9" i="2" s="1"/>
  <c r="CL9" i="2"/>
  <c r="CM9" i="2" s="1"/>
  <c r="CZ8" i="2"/>
  <c r="DA8" i="2" s="1"/>
  <c r="CR8" i="2"/>
  <c r="CS8" i="2" s="1"/>
  <c r="CL8" i="2"/>
  <c r="CM8" i="2" s="1"/>
  <c r="CZ7" i="2"/>
  <c r="DA7" i="2" s="1"/>
  <c r="CR7" i="2"/>
  <c r="CS7" i="2" s="1"/>
  <c r="CL7" i="2"/>
  <c r="CM7" i="2" s="1"/>
  <c r="CZ6" i="2"/>
  <c r="DA6" i="2" s="1"/>
  <c r="CR6" i="2"/>
  <c r="CS6" i="2" s="1"/>
  <c r="CL6" i="2"/>
  <c r="CM6" i="2" s="1"/>
  <c r="CZ5" i="2"/>
  <c r="DA5" i="2" s="1"/>
  <c r="CR5" i="2"/>
  <c r="CS5" i="2" s="1"/>
  <c r="CL5" i="2"/>
  <c r="CM5" i="2" s="1"/>
  <c r="CE21" i="2"/>
  <c r="CF21" i="2" s="1"/>
  <c r="BW21" i="2"/>
  <c r="BX21" i="2" s="1"/>
  <c r="BQ21" i="2"/>
  <c r="BR21" i="2" s="1"/>
  <c r="CE19" i="2"/>
  <c r="CF19" i="2" s="1"/>
  <c r="BW19" i="2"/>
  <c r="BX19" i="2" s="1"/>
  <c r="BQ19" i="2"/>
  <c r="BR19" i="2" s="1"/>
  <c r="CE18" i="2"/>
  <c r="CF18" i="2" s="1"/>
  <c r="BW18" i="2"/>
  <c r="BX18" i="2" s="1"/>
  <c r="BQ18" i="2"/>
  <c r="BR18" i="2" s="1"/>
  <c r="CE17" i="2"/>
  <c r="CF17" i="2" s="1"/>
  <c r="BW17" i="2"/>
  <c r="BX17" i="2" s="1"/>
  <c r="BQ17" i="2"/>
  <c r="BR17" i="2" s="1"/>
  <c r="CE15" i="2"/>
  <c r="CF15" i="2" s="1"/>
  <c r="BW15" i="2"/>
  <c r="BX15" i="2" s="1"/>
  <c r="BQ15" i="2"/>
  <c r="BR15" i="2" s="1"/>
  <c r="CE14" i="2"/>
  <c r="CF14" i="2" s="1"/>
  <c r="BW14" i="2"/>
  <c r="BX14" i="2" s="1"/>
  <c r="BQ14" i="2"/>
  <c r="BR14" i="2" s="1"/>
  <c r="CE12" i="2"/>
  <c r="CF12" i="2" s="1"/>
  <c r="BW12" i="2"/>
  <c r="BX12" i="2" s="1"/>
  <c r="BQ12" i="2"/>
  <c r="BR12" i="2" s="1"/>
  <c r="CE11" i="2"/>
  <c r="CF11" i="2" s="1"/>
  <c r="BW11" i="2"/>
  <c r="BX11" i="2" s="1"/>
  <c r="BQ11" i="2"/>
  <c r="BR11" i="2" s="1"/>
  <c r="CE9" i="2"/>
  <c r="CF9" i="2" s="1"/>
  <c r="BW9" i="2"/>
  <c r="BX9" i="2" s="1"/>
  <c r="BQ9" i="2"/>
  <c r="BR9" i="2" s="1"/>
  <c r="CE8" i="2"/>
  <c r="CF8" i="2" s="1"/>
  <c r="BW8" i="2"/>
  <c r="BX8" i="2" s="1"/>
  <c r="BQ8" i="2"/>
  <c r="BR8" i="2" s="1"/>
  <c r="CE7" i="2"/>
  <c r="CF7" i="2" s="1"/>
  <c r="BW7" i="2"/>
  <c r="BX7" i="2" s="1"/>
  <c r="BQ7" i="2"/>
  <c r="BR7" i="2" s="1"/>
  <c r="CE6" i="2"/>
  <c r="CF6" i="2" s="1"/>
  <c r="BW6" i="2"/>
  <c r="BX6" i="2" s="1"/>
  <c r="BQ6" i="2"/>
  <c r="BR6" i="2" s="1"/>
  <c r="CE5" i="2"/>
  <c r="CF5" i="2" s="1"/>
  <c r="BW5" i="2"/>
  <c r="BX5" i="2" s="1"/>
  <c r="BQ5" i="2"/>
  <c r="BR5" i="2" s="1"/>
  <c r="BJ21" i="2"/>
  <c r="BK21" i="2" s="1"/>
  <c r="BB21" i="2"/>
  <c r="BC21" i="2" s="1"/>
  <c r="AV21" i="2"/>
  <c r="AW21" i="2" s="1"/>
  <c r="BJ19" i="2"/>
  <c r="BK19" i="2" s="1"/>
  <c r="BB19" i="2"/>
  <c r="AV19" i="2"/>
  <c r="AW19" i="2" s="1"/>
  <c r="BJ18" i="2"/>
  <c r="BK18" i="2" s="1"/>
  <c r="BB18" i="2"/>
  <c r="AV18" i="2"/>
  <c r="AW18" i="2" s="1"/>
  <c r="BJ17" i="2"/>
  <c r="BK17" i="2" s="1"/>
  <c r="BB17" i="2"/>
  <c r="AV17" i="2"/>
  <c r="AW17" i="2" s="1"/>
  <c r="BJ15" i="2"/>
  <c r="BK15" i="2" s="1"/>
  <c r="BB15" i="2"/>
  <c r="BC15" i="2" s="1"/>
  <c r="AV15" i="2"/>
  <c r="AW15" i="2" s="1"/>
  <c r="BJ14" i="2"/>
  <c r="BK14" i="2" s="1"/>
  <c r="BB14" i="2"/>
  <c r="AV14" i="2"/>
  <c r="AW14" i="2" s="1"/>
  <c r="BJ12" i="2"/>
  <c r="BK12" i="2" s="1"/>
  <c r="BB12" i="2"/>
  <c r="AV12" i="2"/>
  <c r="AW12" i="2" s="1"/>
  <c r="BJ11" i="2"/>
  <c r="BK11" i="2" s="1"/>
  <c r="BB11" i="2"/>
  <c r="AV11" i="2"/>
  <c r="AW11" i="2" s="1"/>
  <c r="BJ9" i="2"/>
  <c r="BK9" i="2" s="1"/>
  <c r="BB9" i="2"/>
  <c r="AV9" i="2"/>
  <c r="AW9" i="2" s="1"/>
  <c r="BJ8" i="2"/>
  <c r="BK8" i="2" s="1"/>
  <c r="BB8" i="2"/>
  <c r="BC8" i="2" s="1"/>
  <c r="AV8" i="2"/>
  <c r="AW8" i="2" s="1"/>
  <c r="BJ7" i="2"/>
  <c r="BK7" i="2" s="1"/>
  <c r="BB7" i="2"/>
  <c r="AV7" i="2"/>
  <c r="AW7" i="2" s="1"/>
  <c r="BJ6" i="2"/>
  <c r="BK6" i="2" s="1"/>
  <c r="BB6" i="2"/>
  <c r="AV6" i="2"/>
  <c r="AW6" i="2" s="1"/>
  <c r="BJ5" i="2"/>
  <c r="BK5" i="2" s="1"/>
  <c r="BB5" i="2"/>
  <c r="AV5" i="2"/>
  <c r="AW5" i="2" s="1"/>
  <c r="JD20" i="2" l="1"/>
  <c r="JE20" i="2" s="1"/>
  <c r="WA20" i="2"/>
  <c r="WB20" i="2" s="1"/>
  <c r="VT13" i="2"/>
  <c r="VU13" i="2" s="1"/>
  <c r="TP13" i="2"/>
  <c r="TQ13" i="2" s="1"/>
  <c r="TP20" i="2"/>
  <c r="TQ20" i="2" s="1"/>
  <c r="GF10" i="2"/>
  <c r="GG10" i="2" s="1"/>
  <c r="LO13" i="2"/>
  <c r="LP13" i="2" s="1"/>
  <c r="MR10" i="2"/>
  <c r="MS10" i="2" s="1"/>
  <c r="KG10" i="2"/>
  <c r="KH10" i="2" s="1"/>
  <c r="LB10" i="2"/>
  <c r="LC10" i="2" s="1"/>
  <c r="UX20" i="2"/>
  <c r="UY20" i="2" s="1"/>
  <c r="VT16" i="2"/>
  <c r="VU16" i="2" s="1"/>
  <c r="WF20" i="2"/>
  <c r="WG20" i="2" s="1"/>
  <c r="OU20" i="2"/>
  <c r="OV20" i="2" s="1"/>
  <c r="IQ13" i="2"/>
  <c r="IR13" i="2" s="1"/>
  <c r="II16" i="2"/>
  <c r="IJ16" i="2" s="1"/>
  <c r="PC20" i="2"/>
  <c r="PD20" i="2" s="1"/>
  <c r="QK20" i="2"/>
  <c r="QL20" i="2" s="1"/>
  <c r="BB10" i="2"/>
  <c r="BC10" i="2" s="1"/>
  <c r="EP13" i="2"/>
  <c r="EQ13" i="2" s="1"/>
  <c r="EP20" i="2"/>
  <c r="EQ20" i="2" s="1"/>
  <c r="GS13" i="2"/>
  <c r="GT13" i="2" s="1"/>
  <c r="OH10" i="2"/>
  <c r="OI10" i="2" s="1"/>
  <c r="PC10" i="2"/>
  <c r="PD10" i="2" s="1"/>
  <c r="PJ13" i="2"/>
  <c r="PK13" i="2" s="1"/>
  <c r="UG10" i="2"/>
  <c r="UH10" i="2" s="1"/>
  <c r="UX16" i="2"/>
  <c r="UY16" i="2" s="1"/>
  <c r="WK13" i="2"/>
  <c r="WL13" i="2" s="1"/>
  <c r="CR16" i="2"/>
  <c r="CS16" i="2" s="1"/>
  <c r="GF16" i="2"/>
  <c r="GG16" i="2" s="1"/>
  <c r="JD16" i="2"/>
  <c r="JE16" i="2" s="1"/>
  <c r="TF8" i="2"/>
  <c r="TG8" i="2" s="1"/>
  <c r="SV13" i="2"/>
  <c r="SW13" i="2" s="1"/>
  <c r="TU10" i="2"/>
  <c r="TV10" i="2" s="1"/>
  <c r="WK16" i="2"/>
  <c r="WL16" i="2" s="1"/>
  <c r="WK20" i="2"/>
  <c r="WL20" i="2" s="1"/>
  <c r="FC16" i="2"/>
  <c r="FD16" i="2" s="1"/>
  <c r="BL18" i="2"/>
  <c r="BM18" i="2" s="1"/>
  <c r="CL13" i="2"/>
  <c r="CM13" i="2" s="1"/>
  <c r="DW6" i="2"/>
  <c r="DX6" i="2" s="1"/>
  <c r="GF13" i="2"/>
  <c r="GG13" i="2" s="1"/>
  <c r="HX6" i="2"/>
  <c r="HY6" i="2" s="1"/>
  <c r="HN10" i="2"/>
  <c r="HO10" i="2" s="1"/>
  <c r="LB13" i="2"/>
  <c r="LC13" i="2" s="1"/>
  <c r="UX13" i="2"/>
  <c r="UY13" i="2" s="1"/>
  <c r="VO20" i="2"/>
  <c r="VP20" i="2" s="1"/>
  <c r="MJ10" i="2"/>
  <c r="MK10" i="2" s="1"/>
  <c r="QE13" i="2"/>
  <c r="QF13" i="2" s="1"/>
  <c r="QK16" i="2"/>
  <c r="QL16" i="2" s="1"/>
  <c r="RF13" i="2"/>
  <c r="RG13" i="2" s="1"/>
  <c r="RF20" i="2"/>
  <c r="RG20" i="2" s="1"/>
  <c r="SA4" i="2"/>
  <c r="SB4" i="2" s="1"/>
  <c r="TK16" i="2"/>
  <c r="TL16" i="2" s="1"/>
  <c r="UL13" i="2"/>
  <c r="UM13" i="2" s="1"/>
  <c r="UL20" i="2"/>
  <c r="UM20" i="2" s="1"/>
  <c r="VC4" i="2"/>
  <c r="VD4" i="2" s="1"/>
  <c r="UX10" i="2"/>
  <c r="UY10" i="2" s="1"/>
  <c r="US20" i="2"/>
  <c r="UT20" i="2" s="1"/>
  <c r="VT20" i="2"/>
  <c r="VU20" i="2" s="1"/>
  <c r="WF4" i="2"/>
  <c r="WG4" i="2" s="1"/>
  <c r="WA10" i="2"/>
  <c r="WB10" i="2" s="1"/>
  <c r="EP10" i="2"/>
  <c r="EQ10" i="2" s="1"/>
  <c r="FC13" i="2"/>
  <c r="FD13" i="2" s="1"/>
  <c r="IQ10" i="2"/>
  <c r="IR10" i="2" s="1"/>
  <c r="JL20" i="2"/>
  <c r="JM20" i="2" s="1"/>
  <c r="LW10" i="2"/>
  <c r="LX10" i="2" s="1"/>
  <c r="MR13" i="2"/>
  <c r="MS13" i="2" s="1"/>
  <c r="MJ16" i="2"/>
  <c r="MK16" i="2" s="1"/>
  <c r="PC13" i="2"/>
  <c r="PD13" i="2" s="1"/>
  <c r="QK10" i="2"/>
  <c r="QL10" i="2" s="1"/>
  <c r="QK13" i="2"/>
  <c r="QL13" i="2" s="1"/>
  <c r="RF10" i="2"/>
  <c r="RG10" i="2" s="1"/>
  <c r="SV10" i="2"/>
  <c r="SW10" i="2" s="1"/>
  <c r="SV20" i="2"/>
  <c r="SW20" i="2" s="1"/>
  <c r="SA20" i="2"/>
  <c r="SB20" i="2" s="1"/>
  <c r="RN20" i="2"/>
  <c r="RO20" i="2" s="1"/>
  <c r="RN4" i="2"/>
  <c r="RO4" i="2" s="1"/>
  <c r="RF16" i="2"/>
  <c r="RG16" i="2" s="1"/>
  <c r="QS10" i="2"/>
  <c r="QT10" i="2" s="1"/>
  <c r="QS20" i="2"/>
  <c r="QT20" i="2" s="1"/>
  <c r="PX10" i="2"/>
  <c r="PY10" i="2" s="1"/>
  <c r="PP13" i="2"/>
  <c r="PQ13" i="2" s="1"/>
  <c r="PP20" i="2"/>
  <c r="PQ20" i="2" s="1"/>
  <c r="PX20" i="2"/>
  <c r="PY20" i="2" s="1"/>
  <c r="PP10" i="2"/>
  <c r="PQ10" i="2" s="1"/>
  <c r="OU4" i="2"/>
  <c r="OV4" i="2" s="1"/>
  <c r="OU13" i="2"/>
  <c r="OV13" i="2" s="1"/>
  <c r="PC16" i="2"/>
  <c r="PD16" i="2" s="1"/>
  <c r="NZ4" i="2"/>
  <c r="OA4" i="2" s="1"/>
  <c r="OH13" i="2"/>
  <c r="OI13" i="2" s="1"/>
  <c r="OH20" i="2"/>
  <c r="OI20" i="2" s="1"/>
  <c r="NE20" i="2"/>
  <c r="NF20" i="2" s="1"/>
  <c r="MT18" i="2"/>
  <c r="MU18" i="2" s="1"/>
  <c r="LY18" i="2"/>
  <c r="LZ18" i="2" s="1"/>
  <c r="LW13" i="2"/>
  <c r="LX13" i="2" s="1"/>
  <c r="JY20" i="2"/>
  <c r="JZ20" i="2" s="1"/>
  <c r="JD13" i="2"/>
  <c r="JE13" i="2" s="1"/>
  <c r="JL4" i="2"/>
  <c r="JM4" i="2" s="1"/>
  <c r="JN7" i="2"/>
  <c r="JO7" i="2" s="1"/>
  <c r="JD10" i="2"/>
  <c r="JE10" i="2" s="1"/>
  <c r="IS15" i="2"/>
  <c r="IT15" i="2" s="1"/>
  <c r="IQ20" i="2"/>
  <c r="IR20" i="2" s="1"/>
  <c r="HV13" i="2"/>
  <c r="HW13" i="2" s="1"/>
  <c r="HV20" i="2"/>
  <c r="HW20" i="2" s="1"/>
  <c r="HV10" i="2"/>
  <c r="HW10" i="2" s="1"/>
  <c r="HA16" i="2"/>
  <c r="HB16" i="2" s="1"/>
  <c r="HA4" i="2"/>
  <c r="HB4" i="2" s="1"/>
  <c r="GS10" i="2"/>
  <c r="GT10" i="2" s="1"/>
  <c r="HA20" i="2"/>
  <c r="HB20" i="2" s="1"/>
  <c r="FX13" i="2"/>
  <c r="FY13" i="2" s="1"/>
  <c r="GF4" i="2"/>
  <c r="GG4" i="2" s="1"/>
  <c r="GF20" i="2"/>
  <c r="GG20" i="2" s="1"/>
  <c r="FK4" i="2"/>
  <c r="FL4" i="2" s="1"/>
  <c r="FC10" i="2"/>
  <c r="FD10" i="2" s="1"/>
  <c r="FC20" i="2"/>
  <c r="FD20" i="2" s="1"/>
  <c r="FK20" i="2"/>
  <c r="FL20" i="2" s="1"/>
  <c r="EH10" i="2"/>
  <c r="EI10" i="2" s="1"/>
  <c r="EH13" i="2"/>
  <c r="EI13" i="2" s="1"/>
  <c r="EP16" i="2"/>
  <c r="EQ16" i="2" s="1"/>
  <c r="DU13" i="2"/>
  <c r="DV13" i="2" s="1"/>
  <c r="DU10" i="2"/>
  <c r="DV10" i="2" s="1"/>
  <c r="CZ20" i="2"/>
  <c r="DA20" i="2" s="1"/>
  <c r="BW10" i="2"/>
  <c r="BX10" i="2" s="1"/>
  <c r="BW13" i="2"/>
  <c r="BX13" i="2" s="1"/>
  <c r="CE10" i="2"/>
  <c r="CF10" i="2" s="1"/>
  <c r="CE16" i="2"/>
  <c r="CF16" i="2" s="1"/>
  <c r="BJ13" i="2"/>
  <c r="BK13" i="2" s="1"/>
  <c r="BJ4" i="2"/>
  <c r="BK4" i="2" s="1"/>
  <c r="BL7" i="2"/>
  <c r="BM7" i="2" s="1"/>
  <c r="CZ10" i="2"/>
  <c r="DA10" i="2" s="1"/>
  <c r="CZ16" i="2"/>
  <c r="DA16" i="2" s="1"/>
  <c r="DM4" i="2"/>
  <c r="DN4" i="2" s="1"/>
  <c r="DM20" i="2"/>
  <c r="DN20" i="2" s="1"/>
  <c r="FK10" i="2"/>
  <c r="FL10" i="2" s="1"/>
  <c r="FK13" i="2"/>
  <c r="FL13" i="2" s="1"/>
  <c r="FK16" i="2"/>
  <c r="FL16" i="2" s="1"/>
  <c r="GH6" i="2"/>
  <c r="GI6" i="2" s="1"/>
  <c r="II10" i="2"/>
  <c r="IJ10" i="2" s="1"/>
  <c r="II13" i="2"/>
  <c r="IJ13" i="2" s="1"/>
  <c r="JN6" i="2"/>
  <c r="JO6" i="2" s="1"/>
  <c r="JL10" i="2"/>
  <c r="JM10" i="2" s="1"/>
  <c r="JL13" i="2"/>
  <c r="JM13" i="2" s="1"/>
  <c r="JL16" i="2"/>
  <c r="JM16" i="2" s="1"/>
  <c r="JY16" i="2"/>
  <c r="JZ16" i="2" s="1"/>
  <c r="KG20" i="2"/>
  <c r="KH20" i="2" s="1"/>
  <c r="KT4" i="2"/>
  <c r="KU4" i="2" s="1"/>
  <c r="KT20" i="2"/>
  <c r="KU20" i="2" s="1"/>
  <c r="LW20" i="2"/>
  <c r="LX20" i="2" s="1"/>
  <c r="MJ4" i="2"/>
  <c r="MK4" i="2" s="1"/>
  <c r="MT14" i="2"/>
  <c r="MU14" i="2" s="1"/>
  <c r="MR20" i="2"/>
  <c r="MS20" i="2" s="1"/>
  <c r="NM4" i="2"/>
  <c r="NN4" i="2" s="1"/>
  <c r="NE10" i="2"/>
  <c r="NF10" i="2" s="1"/>
  <c r="NE13" i="2"/>
  <c r="NF13" i="2" s="1"/>
  <c r="NE16" i="2"/>
  <c r="NF16" i="2" s="1"/>
  <c r="NM20" i="2"/>
  <c r="NN20" i="2" s="1"/>
  <c r="NZ20" i="2"/>
  <c r="OA20" i="2" s="1"/>
  <c r="PX13" i="2"/>
  <c r="PY13" i="2" s="1"/>
  <c r="QK4" i="2"/>
  <c r="QL4" i="2" s="1"/>
  <c r="QS13" i="2"/>
  <c r="QT13" i="2" s="1"/>
  <c r="QS16" i="2"/>
  <c r="QT16" i="2" s="1"/>
  <c r="RN10" i="2"/>
  <c r="RO10" i="2" s="1"/>
  <c r="RN13" i="2"/>
  <c r="RO13" i="2" s="1"/>
  <c r="RN16" i="2"/>
  <c r="RO16" i="2" s="1"/>
  <c r="SI4" i="2"/>
  <c r="SJ4" i="2" s="1"/>
  <c r="SA10" i="2"/>
  <c r="SB10" i="2" s="1"/>
  <c r="RU13" i="2"/>
  <c r="RV13" i="2" s="1"/>
  <c r="SA16" i="2"/>
  <c r="SB16" i="2" s="1"/>
  <c r="SI20" i="2"/>
  <c r="SJ20" i="2" s="1"/>
  <c r="TD4" i="2"/>
  <c r="TE4" i="2" s="1"/>
  <c r="SP13" i="2"/>
  <c r="SQ13" i="2" s="1"/>
  <c r="SV16" i="2"/>
  <c r="SW16" i="2" s="1"/>
  <c r="TD20" i="2"/>
  <c r="TE20" i="2" s="1"/>
  <c r="TP4" i="2"/>
  <c r="TQ4" i="2" s="1"/>
  <c r="TU13" i="2"/>
  <c r="TV13" i="2" s="1"/>
  <c r="TP16" i="2"/>
  <c r="TQ16" i="2" s="1"/>
  <c r="TU20" i="2"/>
  <c r="TV20" i="2" s="1"/>
  <c r="UB20" i="2"/>
  <c r="UC20" i="2" s="1"/>
  <c r="VC10" i="2"/>
  <c r="VD10" i="2" s="1"/>
  <c r="VC13" i="2"/>
  <c r="VD13" i="2" s="1"/>
  <c r="VC16" i="2"/>
  <c r="VD16" i="2" s="1"/>
  <c r="VC20" i="2"/>
  <c r="VD20" i="2" s="1"/>
  <c r="VO4" i="2"/>
  <c r="VP4" i="2" s="1"/>
  <c r="WF10" i="2"/>
  <c r="WG10" i="2" s="1"/>
  <c r="WA13" i="2"/>
  <c r="WB13" i="2" s="1"/>
  <c r="PP16" i="2"/>
  <c r="PQ16" i="2" s="1"/>
  <c r="BJ10" i="2"/>
  <c r="BK10" i="2" s="1"/>
  <c r="CZ13" i="2"/>
  <c r="DA13" i="2" s="1"/>
  <c r="BL6" i="2"/>
  <c r="BM6" i="2" s="1"/>
  <c r="BB13" i="2"/>
  <c r="BC13" i="2" s="1"/>
  <c r="CE20" i="2"/>
  <c r="CF20" i="2" s="1"/>
  <c r="DM13" i="2"/>
  <c r="DN13" i="2" s="1"/>
  <c r="DM16" i="2"/>
  <c r="DN16" i="2" s="1"/>
  <c r="DU20" i="2"/>
  <c r="DV20" i="2" s="1"/>
  <c r="EH4" i="2"/>
  <c r="EI4" i="2" s="1"/>
  <c r="EH20" i="2"/>
  <c r="EI20" i="2" s="1"/>
  <c r="FX4" i="2"/>
  <c r="FY4" i="2" s="1"/>
  <c r="FX20" i="2"/>
  <c r="FY20" i="2" s="1"/>
  <c r="GS20" i="2"/>
  <c r="GT20" i="2" s="1"/>
  <c r="HX8" i="2"/>
  <c r="HY8" i="2" s="1"/>
  <c r="IC13" i="2"/>
  <c r="ID13" i="2" s="1"/>
  <c r="IQ16" i="2"/>
  <c r="IR16" i="2" s="1"/>
  <c r="KG13" i="2"/>
  <c r="KH13" i="2" s="1"/>
  <c r="KG16" i="2"/>
  <c r="KH16" i="2" s="1"/>
  <c r="LB4" i="2"/>
  <c r="LC4" i="2" s="1"/>
  <c r="KT10" i="2"/>
  <c r="KU10" i="2" s="1"/>
  <c r="KT13" i="2"/>
  <c r="KU13" i="2" s="1"/>
  <c r="KT16" i="2"/>
  <c r="KU16" i="2" s="1"/>
  <c r="LB20" i="2"/>
  <c r="LC20" i="2" s="1"/>
  <c r="LW4" i="2"/>
  <c r="LX4" i="2" s="1"/>
  <c r="LY7" i="2"/>
  <c r="LZ7" i="2" s="1"/>
  <c r="LO10" i="2"/>
  <c r="LP10" i="2" s="1"/>
  <c r="LI13" i="2"/>
  <c r="LJ13" i="2" s="1"/>
  <c r="LY14" i="2"/>
  <c r="LZ14" i="2" s="1"/>
  <c r="MR4" i="2"/>
  <c r="MS4" i="2" s="1"/>
  <c r="MJ13" i="2"/>
  <c r="MK13" i="2" s="1"/>
  <c r="NM10" i="2"/>
  <c r="NN10" i="2" s="1"/>
  <c r="NM13" i="2"/>
  <c r="NN13" i="2" s="1"/>
  <c r="NM16" i="2"/>
  <c r="NN16" i="2" s="1"/>
  <c r="OH4" i="2"/>
  <c r="OI4" i="2" s="1"/>
  <c r="OJ7" i="2"/>
  <c r="OK7" i="2" s="1"/>
  <c r="NZ10" i="2"/>
  <c r="OA10" i="2" s="1"/>
  <c r="NZ13" i="2"/>
  <c r="OA13" i="2" s="1"/>
  <c r="NZ16" i="2"/>
  <c r="OA16" i="2" s="1"/>
  <c r="PC4" i="2"/>
  <c r="PD4" i="2" s="1"/>
  <c r="PE7" i="2"/>
  <c r="PF7" i="2" s="1"/>
  <c r="OU10" i="2"/>
  <c r="OV10" i="2" s="1"/>
  <c r="OO13" i="2"/>
  <c r="OP13" i="2" s="1"/>
  <c r="SI10" i="2"/>
  <c r="SJ10" i="2" s="1"/>
  <c r="SA13" i="2"/>
  <c r="SB13" i="2" s="1"/>
  <c r="SI16" i="2"/>
  <c r="SJ16" i="2" s="1"/>
  <c r="TF6" i="2"/>
  <c r="TG6" i="2" s="1"/>
  <c r="TD10" i="2"/>
  <c r="TE10" i="2" s="1"/>
  <c r="TD13" i="2"/>
  <c r="TE13" i="2" s="1"/>
  <c r="TD16" i="2"/>
  <c r="TE16" i="2" s="1"/>
  <c r="TU4" i="2"/>
  <c r="TV4" i="2" s="1"/>
  <c r="TK10" i="2"/>
  <c r="TL10" i="2" s="1"/>
  <c r="UG20" i="2"/>
  <c r="UH20" i="2" s="1"/>
  <c r="VT4" i="2"/>
  <c r="VU4" i="2" s="1"/>
  <c r="VO10" i="2"/>
  <c r="VP10" i="2" s="1"/>
  <c r="VO13" i="2"/>
  <c r="VP13" i="2" s="1"/>
  <c r="VJ16" i="2"/>
  <c r="VK16" i="2" s="1"/>
  <c r="VJ20" i="2"/>
  <c r="VK20" i="2" s="1"/>
  <c r="WK10" i="2"/>
  <c r="WL10" i="2" s="1"/>
  <c r="WF13" i="2"/>
  <c r="WG13" i="2" s="1"/>
  <c r="WA16" i="2"/>
  <c r="WB16" i="2" s="1"/>
  <c r="BJ16" i="2"/>
  <c r="BK16" i="2" s="1"/>
  <c r="BL19" i="2"/>
  <c r="BM19" i="2" s="1"/>
  <c r="BQ13" i="2"/>
  <c r="BR13" i="2" s="1"/>
  <c r="BW16" i="2"/>
  <c r="BX16" i="2" s="1"/>
  <c r="DU4" i="2"/>
  <c r="DV4" i="2" s="1"/>
  <c r="DW7" i="2"/>
  <c r="DX7" i="2" s="1"/>
  <c r="DU16" i="2"/>
  <c r="DV16" i="2" s="1"/>
  <c r="EP4" i="2"/>
  <c r="EQ4" i="2" s="1"/>
  <c r="EH16" i="2"/>
  <c r="EI16" i="2" s="1"/>
  <c r="FC4" i="2"/>
  <c r="FD4" i="2" s="1"/>
  <c r="GH8" i="2"/>
  <c r="GI8" i="2" s="1"/>
  <c r="FX16" i="2"/>
  <c r="FY16" i="2" s="1"/>
  <c r="GS4" i="2"/>
  <c r="GT4" i="2" s="1"/>
  <c r="GM13" i="2"/>
  <c r="GN13" i="2" s="1"/>
  <c r="GS16" i="2"/>
  <c r="GT16" i="2" s="1"/>
  <c r="HV4" i="2"/>
  <c r="HW4" i="2" s="1"/>
  <c r="HX7" i="2"/>
  <c r="HY7" i="2" s="1"/>
  <c r="IQ4" i="2"/>
  <c r="IR4" i="2" s="1"/>
  <c r="IS7" i="2"/>
  <c r="IT7" i="2" s="1"/>
  <c r="IS18" i="2"/>
  <c r="IT18" i="2" s="1"/>
  <c r="LB16" i="2"/>
  <c r="LC16" i="2" s="1"/>
  <c r="LY6" i="2"/>
  <c r="LZ6" i="2" s="1"/>
  <c r="LO16" i="2"/>
  <c r="LP16" i="2" s="1"/>
  <c r="LY19" i="2"/>
  <c r="LZ19" i="2" s="1"/>
  <c r="MR16" i="2"/>
  <c r="MS16" i="2" s="1"/>
  <c r="NE4" i="2"/>
  <c r="NF4" i="2" s="1"/>
  <c r="OH16" i="2"/>
  <c r="OI16" i="2" s="1"/>
  <c r="PE6" i="2"/>
  <c r="PF6" i="2" s="1"/>
  <c r="OU16" i="2"/>
  <c r="OV16" i="2" s="1"/>
  <c r="PP4" i="2"/>
  <c r="PQ4" i="2" s="1"/>
  <c r="QS4" i="2"/>
  <c r="QT4" i="2" s="1"/>
  <c r="QU7" i="2"/>
  <c r="QV7" i="2" s="1"/>
  <c r="TP10" i="2"/>
  <c r="TQ10" i="2" s="1"/>
  <c r="TK13" i="2"/>
  <c r="TL13" i="2" s="1"/>
  <c r="TK20" i="2"/>
  <c r="TL20" i="2" s="1"/>
  <c r="UB13" i="2"/>
  <c r="UC13" i="2" s="1"/>
  <c r="UB16" i="2"/>
  <c r="UC16" i="2" s="1"/>
  <c r="UX4" i="2"/>
  <c r="UY4" i="2" s="1"/>
  <c r="VT10" i="2"/>
  <c r="VU10" i="2" s="1"/>
  <c r="VO16" i="2"/>
  <c r="VP16" i="2" s="1"/>
  <c r="WF16" i="2"/>
  <c r="WG16" i="2" s="1"/>
  <c r="TF9" i="2"/>
  <c r="TG9" i="2" s="1"/>
  <c r="PJ16" i="2"/>
  <c r="PK16" i="2" s="1"/>
  <c r="MY16" i="2"/>
  <c r="MZ16" i="2" s="1"/>
  <c r="MT17" i="2"/>
  <c r="MU17" i="2" s="1"/>
  <c r="LI16" i="2"/>
  <c r="LJ16" i="2" s="1"/>
  <c r="LY17" i="2"/>
  <c r="LZ17" i="2" s="1"/>
  <c r="IX16" i="2"/>
  <c r="IY16" i="2" s="1"/>
  <c r="JN5" i="2"/>
  <c r="JO5" i="2" s="1"/>
  <c r="IS9" i="2"/>
  <c r="IT9" i="2" s="1"/>
  <c r="HH16" i="2"/>
  <c r="HI16" i="2" s="1"/>
  <c r="HX9" i="2"/>
  <c r="HY9" i="2" s="1"/>
  <c r="GM10" i="2"/>
  <c r="GN10" i="2" s="1"/>
  <c r="EW16" i="2"/>
  <c r="EX16" i="2" s="1"/>
  <c r="EB16" i="2"/>
  <c r="EC16" i="2" s="1"/>
  <c r="DW9" i="2"/>
  <c r="DX9" i="2" s="1"/>
  <c r="CL16" i="2"/>
  <c r="CM16" i="2" s="1"/>
  <c r="BQ16" i="2"/>
  <c r="BR16" i="2" s="1"/>
  <c r="BL17" i="2"/>
  <c r="BM17" i="2" s="1"/>
  <c r="BL9" i="2"/>
  <c r="BM9" i="2" s="1"/>
  <c r="SP20" i="2"/>
  <c r="SQ20" i="2" s="1"/>
  <c r="TF12" i="2"/>
  <c r="TG12" i="2" s="1"/>
  <c r="TF5" i="2"/>
  <c r="TG5" i="2" s="1"/>
  <c r="SP4" i="2"/>
  <c r="SQ4" i="2" s="1"/>
  <c r="RP5" i="2"/>
  <c r="RQ5" i="2" s="1"/>
  <c r="SP10" i="2"/>
  <c r="SQ10" i="2" s="1"/>
  <c r="TF11" i="2"/>
  <c r="TG11" i="2" s="1"/>
  <c r="RU20" i="2"/>
  <c r="RV20" i="2" s="1"/>
  <c r="QE20" i="2"/>
  <c r="QF20" i="2" s="1"/>
  <c r="QE10" i="2"/>
  <c r="QF10" i="2" s="1"/>
  <c r="PJ20" i="2"/>
  <c r="PK20" i="2" s="1"/>
  <c r="OO20" i="2"/>
  <c r="OP20" i="2" s="1"/>
  <c r="OJ5" i="2"/>
  <c r="OK5" i="2" s="1"/>
  <c r="MT11" i="2"/>
  <c r="MU11" i="2" s="1"/>
  <c r="KN10" i="2"/>
  <c r="KO10" i="2" s="1"/>
  <c r="IS12" i="2"/>
  <c r="IT12" i="2" s="1"/>
  <c r="IC10" i="2"/>
  <c r="ID10" i="2" s="1"/>
  <c r="IS5" i="2"/>
  <c r="IT5" i="2" s="1"/>
  <c r="HX12" i="2"/>
  <c r="HY12" i="2" s="1"/>
  <c r="HX11" i="2"/>
  <c r="HY11" i="2" s="1"/>
  <c r="HX5" i="2"/>
  <c r="HY5" i="2" s="1"/>
  <c r="GH11" i="2"/>
  <c r="GI11" i="2" s="1"/>
  <c r="FR10" i="2"/>
  <c r="FS10" i="2" s="1"/>
  <c r="DW11" i="2"/>
  <c r="DX11" i="2" s="1"/>
  <c r="DG4" i="2"/>
  <c r="DH4" i="2" s="1"/>
  <c r="CL20" i="2"/>
  <c r="CM20" i="2" s="1"/>
  <c r="CL10" i="2"/>
  <c r="CM10" i="2" s="1"/>
  <c r="BQ20" i="2"/>
  <c r="BR20" i="2" s="1"/>
  <c r="AV20" i="2"/>
  <c r="AW20" i="2" s="1"/>
  <c r="BL12" i="2"/>
  <c r="BM12" i="2" s="1"/>
  <c r="BL5" i="2"/>
  <c r="BM5" i="2" s="1"/>
  <c r="WA4" i="2"/>
  <c r="WB4" i="2" s="1"/>
  <c r="WK4" i="2"/>
  <c r="WL4" i="2" s="1"/>
  <c r="WM5" i="2"/>
  <c r="WM6" i="2"/>
  <c r="WN6" i="2" s="1"/>
  <c r="WM7" i="2"/>
  <c r="WN7" i="2" s="1"/>
  <c r="WM8" i="2"/>
  <c r="WN8" i="2" s="1"/>
  <c r="WM9" i="2"/>
  <c r="WN9" i="2" s="1"/>
  <c r="WM11" i="2"/>
  <c r="WM12" i="2"/>
  <c r="WN12" i="2" s="1"/>
  <c r="WM14" i="2"/>
  <c r="WM15" i="2"/>
  <c r="WN15" i="2" s="1"/>
  <c r="WM17" i="2"/>
  <c r="WM18" i="2"/>
  <c r="WN18" i="2" s="1"/>
  <c r="WM19" i="2"/>
  <c r="WN19" i="2" s="1"/>
  <c r="WM21" i="2"/>
  <c r="VV5" i="2"/>
  <c r="VV6" i="2"/>
  <c r="VW6" i="2" s="1"/>
  <c r="VV7" i="2"/>
  <c r="VW7" i="2" s="1"/>
  <c r="VV8" i="2"/>
  <c r="VW8" i="2" s="1"/>
  <c r="VV9" i="2"/>
  <c r="VW9" i="2" s="1"/>
  <c r="VV11" i="2"/>
  <c r="VV12" i="2"/>
  <c r="VW12" i="2" s="1"/>
  <c r="VV14" i="2"/>
  <c r="VV15" i="2"/>
  <c r="VW15" i="2" s="1"/>
  <c r="VV17" i="2"/>
  <c r="VV18" i="2"/>
  <c r="VW18" i="2" s="1"/>
  <c r="VV19" i="2"/>
  <c r="VW19" i="2" s="1"/>
  <c r="VV21" i="2"/>
  <c r="VJ4" i="2"/>
  <c r="VK4" i="2" s="1"/>
  <c r="VJ10" i="2"/>
  <c r="VK10" i="2" s="1"/>
  <c r="VJ13" i="2"/>
  <c r="VK13" i="2" s="1"/>
  <c r="VE5" i="2"/>
  <c r="VE6" i="2"/>
  <c r="VF6" i="2" s="1"/>
  <c r="VE7" i="2"/>
  <c r="VF7" i="2" s="1"/>
  <c r="VE8" i="2"/>
  <c r="VF8" i="2" s="1"/>
  <c r="VE9" i="2"/>
  <c r="VF9" i="2" s="1"/>
  <c r="VE11" i="2"/>
  <c r="VE12" i="2"/>
  <c r="VF12" i="2" s="1"/>
  <c r="VE14" i="2"/>
  <c r="VE15" i="2"/>
  <c r="VF15" i="2" s="1"/>
  <c r="VE17" i="2"/>
  <c r="VE18" i="2"/>
  <c r="VF18" i="2" s="1"/>
  <c r="VE19" i="2"/>
  <c r="VF19" i="2" s="1"/>
  <c r="VE21" i="2"/>
  <c r="US16" i="2"/>
  <c r="UT16" i="2" s="1"/>
  <c r="US4" i="2"/>
  <c r="UT4" i="2" s="1"/>
  <c r="US10" i="2"/>
  <c r="UT10" i="2" s="1"/>
  <c r="US13" i="2"/>
  <c r="UT13" i="2" s="1"/>
  <c r="UG4" i="2"/>
  <c r="UH4" i="2" s="1"/>
  <c r="UN6" i="2"/>
  <c r="UO6" i="2" s="1"/>
  <c r="UN8" i="2"/>
  <c r="UO8" i="2" s="1"/>
  <c r="UN9" i="2"/>
  <c r="UO9" i="2" s="1"/>
  <c r="UN12" i="2"/>
  <c r="UO12" i="2" s="1"/>
  <c r="UG13" i="2"/>
  <c r="UH13" i="2" s="1"/>
  <c r="UN14" i="2"/>
  <c r="UN18" i="2"/>
  <c r="UO18" i="2" s="1"/>
  <c r="UN19" i="2"/>
  <c r="UO19" i="2" s="1"/>
  <c r="UN21" i="2"/>
  <c r="UL4" i="2"/>
  <c r="UM4" i="2" s="1"/>
  <c r="UB10" i="2"/>
  <c r="UC10" i="2" s="1"/>
  <c r="UN5" i="2"/>
  <c r="UN7" i="2"/>
  <c r="UO7" i="2" s="1"/>
  <c r="UN11" i="2"/>
  <c r="UN15" i="2"/>
  <c r="UO15" i="2" s="1"/>
  <c r="UG16" i="2"/>
  <c r="UH16" i="2" s="1"/>
  <c r="UN17" i="2"/>
  <c r="UB4" i="2"/>
  <c r="UC4" i="2" s="1"/>
  <c r="UL10" i="2"/>
  <c r="UM10" i="2" s="1"/>
  <c r="UL16" i="2"/>
  <c r="UM16" i="2" s="1"/>
  <c r="TK4" i="2"/>
  <c r="TL4" i="2" s="1"/>
  <c r="TW5" i="2"/>
  <c r="TW6" i="2"/>
  <c r="TX6" i="2" s="1"/>
  <c r="TW7" i="2"/>
  <c r="TX7" i="2" s="1"/>
  <c r="TW8" i="2"/>
  <c r="TX8" i="2" s="1"/>
  <c r="TW9" i="2"/>
  <c r="TX9" i="2" s="1"/>
  <c r="TW11" i="2"/>
  <c r="TW12" i="2"/>
  <c r="TX12" i="2" s="1"/>
  <c r="TW14" i="2"/>
  <c r="TW15" i="2"/>
  <c r="TX15" i="2" s="1"/>
  <c r="TW17" i="2"/>
  <c r="TW18" i="2"/>
  <c r="TX18" i="2" s="1"/>
  <c r="TW19" i="2"/>
  <c r="TX19" i="2" s="1"/>
  <c r="TW21" i="2"/>
  <c r="TU16" i="2"/>
  <c r="TV16" i="2" s="1"/>
  <c r="SV4" i="2"/>
  <c r="SW4" i="2" s="1"/>
  <c r="TF7" i="2"/>
  <c r="TG7" i="2" s="1"/>
  <c r="TF14" i="2"/>
  <c r="TF15" i="2"/>
  <c r="TG15" i="2" s="1"/>
  <c r="TF17" i="2"/>
  <c r="TF18" i="2"/>
  <c r="TG18" i="2" s="1"/>
  <c r="TF19" i="2"/>
  <c r="TG19" i="2" s="1"/>
  <c r="TF21" i="2"/>
  <c r="SW5" i="2"/>
  <c r="SW6" i="2"/>
  <c r="SW8" i="2"/>
  <c r="SW9" i="2"/>
  <c r="SW11" i="2"/>
  <c r="SW12" i="2"/>
  <c r="SW14" i="2"/>
  <c r="SP16" i="2"/>
  <c r="SQ16" i="2" s="1"/>
  <c r="SK5" i="2"/>
  <c r="SK6" i="2"/>
  <c r="SL6" i="2" s="1"/>
  <c r="SK7" i="2"/>
  <c r="SL7" i="2" s="1"/>
  <c r="SK8" i="2"/>
  <c r="SL8" i="2" s="1"/>
  <c r="SK9" i="2"/>
  <c r="SL9" i="2" s="1"/>
  <c r="SK11" i="2"/>
  <c r="SK12" i="2"/>
  <c r="SL12" i="2" s="1"/>
  <c r="SK14" i="2"/>
  <c r="SK15" i="2"/>
  <c r="SL15" i="2" s="1"/>
  <c r="SK17" i="2"/>
  <c r="SK18" i="2"/>
  <c r="SL18" i="2" s="1"/>
  <c r="SK19" i="2"/>
  <c r="SL19" i="2" s="1"/>
  <c r="SK21" i="2"/>
  <c r="RU4" i="2"/>
  <c r="RV4" i="2" s="1"/>
  <c r="RU10" i="2"/>
  <c r="RV10" i="2" s="1"/>
  <c r="SI13" i="2"/>
  <c r="SJ13" i="2" s="1"/>
  <c r="RU16" i="2"/>
  <c r="RV16" i="2" s="1"/>
  <c r="RP6" i="2"/>
  <c r="RQ6" i="2" s="1"/>
  <c r="RP7" i="2"/>
  <c r="RQ7" i="2" s="1"/>
  <c r="RP8" i="2"/>
  <c r="RQ8" i="2" s="1"/>
  <c r="RP9" i="2"/>
  <c r="RQ9" i="2" s="1"/>
  <c r="RP11" i="2"/>
  <c r="RP12" i="2"/>
  <c r="RQ12" i="2" s="1"/>
  <c r="RP14" i="2"/>
  <c r="RP15" i="2"/>
  <c r="RQ15" i="2" s="1"/>
  <c r="RP17" i="2"/>
  <c r="RP18" i="2"/>
  <c r="RQ18" i="2" s="1"/>
  <c r="RP19" i="2"/>
  <c r="RQ19" i="2" s="1"/>
  <c r="RP21" i="2"/>
  <c r="RG5" i="2"/>
  <c r="RF4" i="2"/>
  <c r="RG4" i="2" s="1"/>
  <c r="QZ16" i="2"/>
  <c r="RA16" i="2" s="1"/>
  <c r="QZ4" i="2"/>
  <c r="RA4" i="2" s="1"/>
  <c r="QZ10" i="2"/>
  <c r="RA10" i="2" s="1"/>
  <c r="QZ13" i="2"/>
  <c r="RA13" i="2" s="1"/>
  <c r="QZ20" i="2"/>
  <c r="QU5" i="2"/>
  <c r="QU6" i="2"/>
  <c r="QV6" i="2" s="1"/>
  <c r="QU8" i="2"/>
  <c r="QV8" i="2" s="1"/>
  <c r="QU9" i="2"/>
  <c r="QV9" i="2" s="1"/>
  <c r="QU11" i="2"/>
  <c r="QU12" i="2"/>
  <c r="QV12" i="2" s="1"/>
  <c r="QU14" i="2"/>
  <c r="QU15" i="2"/>
  <c r="QV15" i="2" s="1"/>
  <c r="QU17" i="2"/>
  <c r="QU18" i="2"/>
  <c r="QV18" i="2" s="1"/>
  <c r="QU19" i="2"/>
  <c r="QV19" i="2" s="1"/>
  <c r="QU21" i="2"/>
  <c r="QL5" i="2"/>
  <c r="QL7" i="2"/>
  <c r="QE16" i="2"/>
  <c r="QF16" i="2" s="1"/>
  <c r="QE4" i="2"/>
  <c r="QF4" i="2" s="1"/>
  <c r="PZ5" i="2"/>
  <c r="PZ6" i="2"/>
  <c r="QA6" i="2" s="1"/>
  <c r="PZ7" i="2"/>
  <c r="QA7" i="2" s="1"/>
  <c r="PZ8" i="2"/>
  <c r="QA8" i="2" s="1"/>
  <c r="PZ9" i="2"/>
  <c r="QA9" i="2" s="1"/>
  <c r="PZ11" i="2"/>
  <c r="PZ12" i="2"/>
  <c r="QA12" i="2" s="1"/>
  <c r="PZ14" i="2"/>
  <c r="PZ15" i="2"/>
  <c r="QA15" i="2" s="1"/>
  <c r="PZ17" i="2"/>
  <c r="PZ18" i="2"/>
  <c r="QA18" i="2" s="1"/>
  <c r="PZ19" i="2"/>
  <c r="QA19" i="2" s="1"/>
  <c r="PZ21" i="2"/>
  <c r="PJ4" i="2"/>
  <c r="PK4" i="2" s="1"/>
  <c r="PX4" i="2"/>
  <c r="PY4" i="2" s="1"/>
  <c r="PJ10" i="2"/>
  <c r="PK10" i="2" s="1"/>
  <c r="PX16" i="2"/>
  <c r="PY16" i="2" s="1"/>
  <c r="PE8" i="2"/>
  <c r="PF8" i="2" s="1"/>
  <c r="PE9" i="2"/>
  <c r="PF9" i="2" s="1"/>
  <c r="PE11" i="2"/>
  <c r="PE12" i="2"/>
  <c r="PF12" i="2" s="1"/>
  <c r="PE14" i="2"/>
  <c r="PE15" i="2"/>
  <c r="PF15" i="2" s="1"/>
  <c r="PE17" i="2"/>
  <c r="PE18" i="2"/>
  <c r="PF18" i="2" s="1"/>
  <c r="PE19" i="2"/>
  <c r="PF19" i="2" s="1"/>
  <c r="PE21" i="2"/>
  <c r="OV5" i="2"/>
  <c r="OV6" i="2"/>
  <c r="OV7" i="2"/>
  <c r="PE5" i="2"/>
  <c r="OO16" i="2"/>
  <c r="OP16" i="2" s="1"/>
  <c r="OO4" i="2"/>
  <c r="OP4" i="2" s="1"/>
  <c r="OO10" i="2"/>
  <c r="OP10" i="2" s="1"/>
  <c r="OJ6" i="2"/>
  <c r="OK6" i="2" s="1"/>
  <c r="OJ8" i="2"/>
  <c r="OK8" i="2" s="1"/>
  <c r="OJ9" i="2"/>
  <c r="OK9" i="2" s="1"/>
  <c r="OJ11" i="2"/>
  <c r="OJ12" i="2"/>
  <c r="OK12" i="2" s="1"/>
  <c r="OJ14" i="2"/>
  <c r="OJ15" i="2"/>
  <c r="OK15" i="2" s="1"/>
  <c r="OJ17" i="2"/>
  <c r="OJ18" i="2"/>
  <c r="OK18" i="2" s="1"/>
  <c r="OJ19" i="2"/>
  <c r="OK19" i="2" s="1"/>
  <c r="OJ21" i="2"/>
  <c r="OA5" i="2"/>
  <c r="OA7" i="2"/>
  <c r="NT20" i="2"/>
  <c r="NT4" i="2"/>
  <c r="NU4" i="2" s="1"/>
  <c r="NT10" i="2"/>
  <c r="NU10" i="2" s="1"/>
  <c r="NT13" i="2"/>
  <c r="NU13" i="2" s="1"/>
  <c r="NT16" i="2"/>
  <c r="NU16" i="2" s="1"/>
  <c r="NO5" i="2"/>
  <c r="NO6" i="2"/>
  <c r="NP6" i="2" s="1"/>
  <c r="NO7" i="2"/>
  <c r="NP7" i="2" s="1"/>
  <c r="NO8" i="2"/>
  <c r="NP8" i="2" s="1"/>
  <c r="NO9" i="2"/>
  <c r="NP9" i="2" s="1"/>
  <c r="NO11" i="2"/>
  <c r="NO12" i="2"/>
  <c r="NP12" i="2" s="1"/>
  <c r="NO14" i="2"/>
  <c r="NO15" i="2"/>
  <c r="NP15" i="2" s="1"/>
  <c r="NO17" i="2"/>
  <c r="NO18" i="2"/>
  <c r="NP18" i="2" s="1"/>
  <c r="NO19" i="2"/>
  <c r="NP19" i="2" s="1"/>
  <c r="NO21" i="2"/>
  <c r="NF5" i="2"/>
  <c r="MY4" i="2"/>
  <c r="MZ4" i="2" s="1"/>
  <c r="MY10" i="2"/>
  <c r="MZ10" i="2" s="1"/>
  <c r="MY13" i="2"/>
  <c r="MZ13" i="2" s="1"/>
  <c r="MY20" i="2"/>
  <c r="MT8" i="2"/>
  <c r="MU8" i="2" s="1"/>
  <c r="MT9" i="2"/>
  <c r="MU9" i="2" s="1"/>
  <c r="MT12" i="2"/>
  <c r="MU12" i="2" s="1"/>
  <c r="MT15" i="2"/>
  <c r="MU15" i="2" s="1"/>
  <c r="MT19" i="2"/>
  <c r="MU19" i="2" s="1"/>
  <c r="MJ20" i="2"/>
  <c r="MK11" i="2"/>
  <c r="MK14" i="2"/>
  <c r="MK17" i="2"/>
  <c r="MK18" i="2"/>
  <c r="MT5" i="2"/>
  <c r="MT6" i="2"/>
  <c r="MU6" i="2" s="1"/>
  <c r="MT7" i="2"/>
  <c r="MU7" i="2" s="1"/>
  <c r="MT21" i="2"/>
  <c r="MD4" i="2"/>
  <c r="ME4" i="2" s="1"/>
  <c r="MD10" i="2"/>
  <c r="ME10" i="2" s="1"/>
  <c r="MD13" i="2"/>
  <c r="ME13" i="2" s="1"/>
  <c r="MD16" i="2"/>
  <c r="ME16" i="2" s="1"/>
  <c r="MD20" i="2"/>
  <c r="LP20" i="2"/>
  <c r="LO4" i="2"/>
  <c r="LP4" i="2" s="1"/>
  <c r="LY5" i="2"/>
  <c r="LY8" i="2"/>
  <c r="LZ8" i="2" s="1"/>
  <c r="LY9" i="2"/>
  <c r="LZ9" i="2" s="1"/>
  <c r="LY11" i="2"/>
  <c r="LY12" i="2"/>
  <c r="LZ12" i="2" s="1"/>
  <c r="LY15" i="2"/>
  <c r="LZ15" i="2" s="1"/>
  <c r="LY21" i="2"/>
  <c r="LP6" i="2"/>
  <c r="LP7" i="2"/>
  <c r="LP14" i="2"/>
  <c r="LP17" i="2"/>
  <c r="LP18" i="2"/>
  <c r="LP19" i="2"/>
  <c r="LP21" i="2"/>
  <c r="LI4" i="2"/>
  <c r="LJ4" i="2" s="1"/>
  <c r="LI20" i="2"/>
  <c r="LI10" i="2"/>
  <c r="LJ10" i="2" s="1"/>
  <c r="LW16" i="2"/>
  <c r="LX16" i="2" s="1"/>
  <c r="KN4" i="2"/>
  <c r="KO4" i="2" s="1"/>
  <c r="LD5" i="2"/>
  <c r="LD6" i="2"/>
  <c r="LE6" i="2" s="1"/>
  <c r="LD7" i="2"/>
  <c r="LE7" i="2" s="1"/>
  <c r="LD8" i="2"/>
  <c r="LE8" i="2" s="1"/>
  <c r="LD9" i="2"/>
  <c r="LE9" i="2" s="1"/>
  <c r="LD11" i="2"/>
  <c r="LD12" i="2"/>
  <c r="LE12" i="2" s="1"/>
  <c r="LD14" i="2"/>
  <c r="LD15" i="2"/>
  <c r="LE15" i="2" s="1"/>
  <c r="LD17" i="2"/>
  <c r="LD18" i="2"/>
  <c r="LE18" i="2" s="1"/>
  <c r="LD19" i="2"/>
  <c r="LE19" i="2" s="1"/>
  <c r="LD21" i="2"/>
  <c r="KN13" i="2"/>
  <c r="KO13" i="2" s="1"/>
  <c r="KN16" i="2"/>
  <c r="KO16" i="2" s="1"/>
  <c r="KN20" i="2"/>
  <c r="KI5" i="2"/>
  <c r="KI7" i="2"/>
  <c r="KJ7" i="2" s="1"/>
  <c r="KI9" i="2"/>
  <c r="KJ9" i="2" s="1"/>
  <c r="JY10" i="2"/>
  <c r="JZ10" i="2" s="1"/>
  <c r="KI11" i="2"/>
  <c r="KI14" i="2"/>
  <c r="JY4" i="2"/>
  <c r="JZ4" i="2" s="1"/>
  <c r="KI6" i="2"/>
  <c r="KJ6" i="2" s="1"/>
  <c r="KI8" i="2"/>
  <c r="KJ8" i="2" s="1"/>
  <c r="KI12" i="2"/>
  <c r="KJ12" i="2" s="1"/>
  <c r="JY13" i="2"/>
  <c r="JZ13" i="2" s="1"/>
  <c r="KI15" i="2"/>
  <c r="KJ15" i="2" s="1"/>
  <c r="KI17" i="2"/>
  <c r="KI18" i="2"/>
  <c r="KJ18" i="2" s="1"/>
  <c r="KI19" i="2"/>
  <c r="KJ19" i="2" s="1"/>
  <c r="KI21" i="2"/>
  <c r="JS4" i="2"/>
  <c r="JT4" i="2" s="1"/>
  <c r="KG4" i="2"/>
  <c r="KH4" i="2" s="1"/>
  <c r="JS10" i="2"/>
  <c r="JT10" i="2" s="1"/>
  <c r="JS13" i="2"/>
  <c r="JT13" i="2" s="1"/>
  <c r="JS16" i="2"/>
  <c r="JT16" i="2" s="1"/>
  <c r="JS20" i="2"/>
  <c r="JN8" i="2"/>
  <c r="JO8" i="2" s="1"/>
  <c r="JN9" i="2"/>
  <c r="JO9" i="2" s="1"/>
  <c r="JN11" i="2"/>
  <c r="JN12" i="2"/>
  <c r="JO12" i="2" s="1"/>
  <c r="JN14" i="2"/>
  <c r="JN15" i="2"/>
  <c r="JO15" i="2" s="1"/>
  <c r="JN17" i="2"/>
  <c r="JN18" i="2"/>
  <c r="JO18" i="2" s="1"/>
  <c r="JN19" i="2"/>
  <c r="JO19" i="2" s="1"/>
  <c r="JN21" i="2"/>
  <c r="JE5" i="2"/>
  <c r="JE6" i="2"/>
  <c r="JE7" i="2"/>
  <c r="JD4" i="2"/>
  <c r="JE4" i="2" s="1"/>
  <c r="IX10" i="2"/>
  <c r="IY10" i="2" s="1"/>
  <c r="IX13" i="2"/>
  <c r="IY13" i="2" s="1"/>
  <c r="IX20" i="2"/>
  <c r="IX4" i="2"/>
  <c r="IY4" i="2" s="1"/>
  <c r="II4" i="2"/>
  <c r="IJ4" i="2" s="1"/>
  <c r="IS6" i="2"/>
  <c r="IT6" i="2" s="1"/>
  <c r="IS8" i="2"/>
  <c r="IT8" i="2" s="1"/>
  <c r="IS11" i="2"/>
  <c r="IS14" i="2"/>
  <c r="IS17" i="2"/>
  <c r="IS19" i="2"/>
  <c r="IT19" i="2" s="1"/>
  <c r="II20" i="2"/>
  <c r="IS21" i="2"/>
  <c r="IJ5" i="2"/>
  <c r="IJ7" i="2"/>
  <c r="IJ9" i="2"/>
  <c r="IJ11" i="2"/>
  <c r="IJ12" i="2"/>
  <c r="IJ14" i="2"/>
  <c r="IJ15" i="2"/>
  <c r="IJ17" i="2"/>
  <c r="IJ18" i="2"/>
  <c r="IC4" i="2"/>
  <c r="ID4" i="2" s="1"/>
  <c r="IC16" i="2"/>
  <c r="ID16" i="2" s="1"/>
  <c r="IC20" i="2"/>
  <c r="HN4" i="2"/>
  <c r="HO4" i="2" s="1"/>
  <c r="HX17" i="2"/>
  <c r="HX19" i="2"/>
  <c r="HY19" i="2" s="1"/>
  <c r="HN20" i="2"/>
  <c r="HX21" i="2"/>
  <c r="HO5" i="2"/>
  <c r="HO6" i="2"/>
  <c r="HO7" i="2"/>
  <c r="HO8" i="2"/>
  <c r="HO9" i="2"/>
  <c r="HO11" i="2"/>
  <c r="HO12" i="2"/>
  <c r="HH10" i="2"/>
  <c r="HI10" i="2" s="1"/>
  <c r="HH13" i="2"/>
  <c r="HI13" i="2" s="1"/>
  <c r="HH20" i="2"/>
  <c r="HN13" i="2"/>
  <c r="HO13" i="2" s="1"/>
  <c r="HX14" i="2"/>
  <c r="HX15" i="2"/>
  <c r="HY15" i="2" s="1"/>
  <c r="HN16" i="2"/>
  <c r="HO16" i="2" s="1"/>
  <c r="HX18" i="2"/>
  <c r="HY18" i="2" s="1"/>
  <c r="HH4" i="2"/>
  <c r="HI4" i="2" s="1"/>
  <c r="HV16" i="2"/>
  <c r="HW16" i="2" s="1"/>
  <c r="HC5" i="2"/>
  <c r="HC6" i="2"/>
  <c r="HD6" i="2" s="1"/>
  <c r="HC7" i="2"/>
  <c r="HD7" i="2" s="1"/>
  <c r="HC8" i="2"/>
  <c r="HD8" i="2" s="1"/>
  <c r="HC9" i="2"/>
  <c r="HD9" i="2" s="1"/>
  <c r="HC11" i="2"/>
  <c r="HC12" i="2"/>
  <c r="HD12" i="2" s="1"/>
  <c r="HC14" i="2"/>
  <c r="HC15" i="2"/>
  <c r="HD15" i="2" s="1"/>
  <c r="HC17" i="2"/>
  <c r="HC18" i="2"/>
  <c r="HD18" i="2" s="1"/>
  <c r="HC19" i="2"/>
  <c r="HD19" i="2" s="1"/>
  <c r="HC21" i="2"/>
  <c r="GM4" i="2"/>
  <c r="GN4" i="2" s="1"/>
  <c r="HA13" i="2"/>
  <c r="HB13" i="2" s="1"/>
  <c r="GM20" i="2"/>
  <c r="HA10" i="2"/>
  <c r="HB10" i="2" s="1"/>
  <c r="GM16" i="2"/>
  <c r="GN16" i="2" s="1"/>
  <c r="GH5" i="2"/>
  <c r="GH7" i="2"/>
  <c r="GI7" i="2" s="1"/>
  <c r="GH9" i="2"/>
  <c r="GI9" i="2" s="1"/>
  <c r="FX10" i="2"/>
  <c r="FY10" i="2" s="1"/>
  <c r="GH12" i="2"/>
  <c r="GI12" i="2" s="1"/>
  <c r="GH14" i="2"/>
  <c r="GH15" i="2"/>
  <c r="GI15" i="2" s="1"/>
  <c r="GH17" i="2"/>
  <c r="GH18" i="2"/>
  <c r="GI18" i="2" s="1"/>
  <c r="GH19" i="2"/>
  <c r="GI19" i="2" s="1"/>
  <c r="GH21" i="2"/>
  <c r="FY5" i="2"/>
  <c r="FY6" i="2"/>
  <c r="FY8" i="2"/>
  <c r="FY11" i="2"/>
  <c r="FR4" i="2"/>
  <c r="FS4" i="2" s="1"/>
  <c r="FR13" i="2"/>
  <c r="FS13" i="2" s="1"/>
  <c r="FR16" i="2"/>
  <c r="FS16" i="2" s="1"/>
  <c r="FR20" i="2"/>
  <c r="FM5" i="2"/>
  <c r="FM6" i="2"/>
  <c r="FN6" i="2" s="1"/>
  <c r="FM7" i="2"/>
  <c r="FN7" i="2" s="1"/>
  <c r="FM8" i="2"/>
  <c r="FN8" i="2" s="1"/>
  <c r="FM9" i="2"/>
  <c r="FN9" i="2" s="1"/>
  <c r="FM11" i="2"/>
  <c r="FM12" i="2"/>
  <c r="FN12" i="2" s="1"/>
  <c r="FM14" i="2"/>
  <c r="FM15" i="2"/>
  <c r="FN15" i="2" s="1"/>
  <c r="FM17" i="2"/>
  <c r="FM18" i="2"/>
  <c r="FN18" i="2" s="1"/>
  <c r="FM19" i="2"/>
  <c r="FN19" i="2" s="1"/>
  <c r="FM21" i="2"/>
  <c r="EW4" i="2"/>
  <c r="EX4" i="2" s="1"/>
  <c r="EW10" i="2"/>
  <c r="EX10" i="2" s="1"/>
  <c r="EW13" i="2"/>
  <c r="EX13" i="2" s="1"/>
  <c r="EW20" i="2"/>
  <c r="ER5" i="2"/>
  <c r="ER6" i="2"/>
  <c r="ES6" i="2" s="1"/>
  <c r="ER7" i="2"/>
  <c r="ES7" i="2" s="1"/>
  <c r="ER8" i="2"/>
  <c r="ES8" i="2" s="1"/>
  <c r="ER9" i="2"/>
  <c r="ES9" i="2" s="1"/>
  <c r="ER11" i="2"/>
  <c r="ER12" i="2"/>
  <c r="ES12" i="2" s="1"/>
  <c r="ER14" i="2"/>
  <c r="ER15" i="2"/>
  <c r="ES15" i="2" s="1"/>
  <c r="ER17" i="2"/>
  <c r="ER18" i="2"/>
  <c r="ES18" i="2" s="1"/>
  <c r="ER19" i="2"/>
  <c r="ES19" i="2" s="1"/>
  <c r="ER21" i="2"/>
  <c r="EB10" i="2"/>
  <c r="EC10" i="2" s="1"/>
  <c r="EB20" i="2"/>
  <c r="EB4" i="2"/>
  <c r="EC4" i="2" s="1"/>
  <c r="EB13" i="2"/>
  <c r="EC13" i="2" s="1"/>
  <c r="DW8" i="2"/>
  <c r="DX8" i="2" s="1"/>
  <c r="DW12" i="2"/>
  <c r="DX12" i="2" s="1"/>
  <c r="DW14" i="2"/>
  <c r="DW15" i="2"/>
  <c r="DX15" i="2" s="1"/>
  <c r="DW17" i="2"/>
  <c r="DW18" i="2"/>
  <c r="DX18" i="2" s="1"/>
  <c r="DW19" i="2"/>
  <c r="DX19" i="2" s="1"/>
  <c r="DW21" i="2"/>
  <c r="DN5" i="2"/>
  <c r="DN6" i="2"/>
  <c r="DN7" i="2"/>
  <c r="DN9" i="2"/>
  <c r="DN11" i="2"/>
  <c r="DW5" i="2"/>
  <c r="DG20" i="2"/>
  <c r="DM10" i="2"/>
  <c r="DN10" i="2" s="1"/>
  <c r="DG10" i="2"/>
  <c r="DH10" i="2" s="1"/>
  <c r="DG13" i="2"/>
  <c r="DH13" i="2" s="1"/>
  <c r="DG16" i="2"/>
  <c r="DH16" i="2" s="1"/>
  <c r="CR4" i="2"/>
  <c r="CS4" i="2" s="1"/>
  <c r="DB6" i="2"/>
  <c r="DC6" i="2" s="1"/>
  <c r="DB8" i="2"/>
  <c r="DC8" i="2" s="1"/>
  <c r="DB11" i="2"/>
  <c r="DB14" i="2"/>
  <c r="DB21" i="2"/>
  <c r="DB5" i="2"/>
  <c r="DB7" i="2"/>
  <c r="DC7" i="2" s="1"/>
  <c r="DB9" i="2"/>
  <c r="DC9" i="2" s="1"/>
  <c r="CR10" i="2"/>
  <c r="CS10" i="2" s="1"/>
  <c r="DB12" i="2"/>
  <c r="DC12" i="2" s="1"/>
  <c r="CR13" i="2"/>
  <c r="CS13" i="2" s="1"/>
  <c r="DB15" i="2"/>
  <c r="DC15" i="2" s="1"/>
  <c r="DB17" i="2"/>
  <c r="DB18" i="2"/>
  <c r="DC18" i="2" s="1"/>
  <c r="DB19" i="2"/>
  <c r="DC19" i="2" s="1"/>
  <c r="CR20" i="2"/>
  <c r="CL4" i="2"/>
  <c r="CM4" i="2" s="1"/>
  <c r="CZ4" i="2"/>
  <c r="DA4" i="2" s="1"/>
  <c r="BQ10" i="2"/>
  <c r="BR10" i="2" s="1"/>
  <c r="CE13" i="2"/>
  <c r="CF13" i="2" s="1"/>
  <c r="CG6" i="2"/>
  <c r="CH6" i="2" s="1"/>
  <c r="CG7" i="2"/>
  <c r="CH7" i="2" s="1"/>
  <c r="CG8" i="2"/>
  <c r="CH8" i="2" s="1"/>
  <c r="CG9" i="2"/>
  <c r="CH9" i="2" s="1"/>
  <c r="CG11" i="2"/>
  <c r="CG12" i="2"/>
  <c r="CH12" i="2" s="1"/>
  <c r="CG14" i="2"/>
  <c r="CG15" i="2"/>
  <c r="CH15" i="2" s="1"/>
  <c r="CG18" i="2"/>
  <c r="CH18" i="2" s="1"/>
  <c r="CG21" i="2"/>
  <c r="BW4" i="2"/>
  <c r="BX4" i="2" s="1"/>
  <c r="CG5" i="2"/>
  <c r="CG17" i="2"/>
  <c r="CG19" i="2"/>
  <c r="CH19" i="2" s="1"/>
  <c r="BW20" i="2"/>
  <c r="CE4" i="2"/>
  <c r="CF4" i="2" s="1"/>
  <c r="BQ4" i="2"/>
  <c r="BR4" i="2" s="1"/>
  <c r="BB4" i="2"/>
  <c r="BC4" i="2" s="1"/>
  <c r="BL8" i="2"/>
  <c r="BM8" i="2" s="1"/>
  <c r="BL11" i="2"/>
  <c r="BL14" i="2"/>
  <c r="BL15" i="2"/>
  <c r="BM15" i="2" s="1"/>
  <c r="BB20" i="2"/>
  <c r="BL21" i="2"/>
  <c r="BC5" i="2"/>
  <c r="BC6" i="2"/>
  <c r="BC7" i="2"/>
  <c r="BC9" i="2"/>
  <c r="BC11" i="2"/>
  <c r="BC12" i="2"/>
  <c r="BC14" i="2"/>
  <c r="BC17" i="2"/>
  <c r="BC18" i="2"/>
  <c r="BC19" i="2"/>
  <c r="AV4" i="2"/>
  <c r="AW4" i="2" s="1"/>
  <c r="AV13" i="2"/>
  <c r="AW13" i="2" s="1"/>
  <c r="AV16" i="2"/>
  <c r="AW16" i="2" s="1"/>
  <c r="BB16" i="2"/>
  <c r="BC16" i="2" s="1"/>
  <c r="AV10" i="2"/>
  <c r="AW10" i="2" s="1"/>
  <c r="BJ20" i="2"/>
  <c r="EP22" i="2" l="1"/>
  <c r="EQ22" i="2" s="1"/>
  <c r="TP22" i="2"/>
  <c r="TQ22" i="2" s="1"/>
  <c r="FC22" i="2"/>
  <c r="FD22" i="2" s="1"/>
  <c r="MR22" i="2"/>
  <c r="MS22" i="2" s="1"/>
  <c r="VT22" i="2"/>
  <c r="VU22" i="2" s="1"/>
  <c r="WK22" i="2"/>
  <c r="WL22" i="2" s="1"/>
  <c r="IQ22" i="2"/>
  <c r="IR22" i="2" s="1"/>
  <c r="SA22" i="2"/>
  <c r="SB22" i="2" s="1"/>
  <c r="WF22" i="2"/>
  <c r="WG22" i="2" s="1"/>
  <c r="JL22" i="2"/>
  <c r="JM22" i="2" s="1"/>
  <c r="OH22" i="2"/>
  <c r="OI22" i="2" s="1"/>
  <c r="NZ22" i="2"/>
  <c r="OA22" i="2" s="1"/>
  <c r="OU22" i="2"/>
  <c r="OV22" i="2" s="1"/>
  <c r="VO22" i="2"/>
  <c r="VP22" i="2" s="1"/>
  <c r="DU22" i="2"/>
  <c r="DV22" i="2" s="1"/>
  <c r="KT22" i="2"/>
  <c r="KU22" i="2" s="1"/>
  <c r="NM22" i="2"/>
  <c r="NN22" i="2" s="1"/>
  <c r="VC22" i="2"/>
  <c r="VD22" i="2" s="1"/>
  <c r="BL16" i="2"/>
  <c r="BM16" i="2" s="1"/>
  <c r="EH22" i="2"/>
  <c r="EI22" i="2" s="1"/>
  <c r="LY16" i="2"/>
  <c r="LZ16" i="2" s="1"/>
  <c r="NE22" i="2"/>
  <c r="NF22" i="2" s="1"/>
  <c r="QS22" i="2"/>
  <c r="QT22" i="2" s="1"/>
  <c r="QK22" i="2"/>
  <c r="QL22" i="2" s="1"/>
  <c r="TD22" i="2"/>
  <c r="TE22" i="2" s="1"/>
  <c r="SV22" i="2"/>
  <c r="SW22" i="2" s="1"/>
  <c r="UX22" i="2"/>
  <c r="UY22" i="2" s="1"/>
  <c r="FK22" i="2"/>
  <c r="FL22" i="2" s="1"/>
  <c r="GF22" i="2"/>
  <c r="GG22" i="2" s="1"/>
  <c r="GS22" i="2"/>
  <c r="GT22" i="2" s="1"/>
  <c r="LB22" i="2"/>
  <c r="LC22" i="2" s="1"/>
  <c r="PP22" i="2"/>
  <c r="PQ22" i="2" s="1"/>
  <c r="RN22" i="2"/>
  <c r="RO22" i="2" s="1"/>
  <c r="WA22" i="2"/>
  <c r="WB22" i="2" s="1"/>
  <c r="BL4" i="2"/>
  <c r="BM4" i="2" s="1"/>
  <c r="TK22" i="2"/>
  <c r="TL22" i="2" s="1"/>
  <c r="PC22" i="2"/>
  <c r="PD22" i="2" s="1"/>
  <c r="LW22" i="2"/>
  <c r="LX22" i="2" s="1"/>
  <c r="FX22" i="2"/>
  <c r="FY22" i="2" s="1"/>
  <c r="CZ22" i="2"/>
  <c r="DA22" i="2" s="1"/>
  <c r="HV22" i="2"/>
  <c r="HW22" i="2" s="1"/>
  <c r="TU22" i="2"/>
  <c r="TV22" i="2" s="1"/>
  <c r="UB22" i="2"/>
  <c r="UC22" i="2" s="1"/>
  <c r="PX22" i="2"/>
  <c r="PY22" i="2" s="1"/>
  <c r="KG22" i="2"/>
  <c r="KH22" i="2" s="1"/>
  <c r="MT13" i="2"/>
  <c r="MU13" i="2" s="1"/>
  <c r="HX4" i="2"/>
  <c r="HY4" i="2" s="1"/>
  <c r="TF10" i="2"/>
  <c r="TG10" i="2" s="1"/>
  <c r="PJ22" i="2"/>
  <c r="PK22" i="2" s="1"/>
  <c r="MT10" i="2"/>
  <c r="MU10" i="2" s="1"/>
  <c r="HX10" i="2"/>
  <c r="HY10" i="2" s="1"/>
  <c r="AV22" i="2"/>
  <c r="AW22" i="2" s="1"/>
  <c r="WN17" i="2"/>
  <c r="WM16" i="2"/>
  <c r="WN16" i="2" s="1"/>
  <c r="WN21" i="2"/>
  <c r="WM20" i="2"/>
  <c r="WN20" i="2" s="1"/>
  <c r="WN5" i="2"/>
  <c r="WM4" i="2"/>
  <c r="WN4" i="2" s="1"/>
  <c r="WN14" i="2"/>
  <c r="WM13" i="2"/>
  <c r="WN13" i="2" s="1"/>
  <c r="WN11" i="2"/>
  <c r="WM10" i="2"/>
  <c r="WN10" i="2" s="1"/>
  <c r="VJ22" i="2"/>
  <c r="VK22" i="2" s="1"/>
  <c r="VW17" i="2"/>
  <c r="VV16" i="2"/>
  <c r="VW16" i="2" s="1"/>
  <c r="VW11" i="2"/>
  <c r="VV10" i="2"/>
  <c r="VW10" i="2" s="1"/>
  <c r="VW14" i="2"/>
  <c r="VV13" i="2"/>
  <c r="VW13" i="2" s="1"/>
  <c r="VW21" i="2"/>
  <c r="VV20" i="2"/>
  <c r="VW20" i="2" s="1"/>
  <c r="VV4" i="2"/>
  <c r="VW4" i="2" s="1"/>
  <c r="VW5" i="2"/>
  <c r="US22" i="2"/>
  <c r="UT22" i="2" s="1"/>
  <c r="VF14" i="2"/>
  <c r="VE13" i="2"/>
  <c r="VF13" i="2" s="1"/>
  <c r="VF17" i="2"/>
  <c r="VE16" i="2"/>
  <c r="VF16" i="2" s="1"/>
  <c r="VF11" i="2"/>
  <c r="VE10" i="2"/>
  <c r="VF10" i="2" s="1"/>
  <c r="VF21" i="2"/>
  <c r="VE20" i="2"/>
  <c r="VF20" i="2" s="1"/>
  <c r="VE4" i="2"/>
  <c r="VF4" i="2" s="1"/>
  <c r="VF5" i="2"/>
  <c r="UO11" i="2"/>
  <c r="UN10" i="2"/>
  <c r="UO10" i="2" s="1"/>
  <c r="UO17" i="2"/>
  <c r="UN16" i="2"/>
  <c r="UO16" i="2" s="1"/>
  <c r="UG22" i="2"/>
  <c r="UH22" i="2" s="1"/>
  <c r="UO14" i="2"/>
  <c r="UN13" i="2"/>
  <c r="UO13" i="2" s="1"/>
  <c r="UO5" i="2"/>
  <c r="UN4" i="2"/>
  <c r="UO4" i="2" s="1"/>
  <c r="UO21" i="2"/>
  <c r="UN20" i="2"/>
  <c r="UO20" i="2" s="1"/>
  <c r="UL22" i="2"/>
  <c r="UM22" i="2" s="1"/>
  <c r="TX17" i="2"/>
  <c r="TW16" i="2"/>
  <c r="TX16" i="2" s="1"/>
  <c r="TX11" i="2"/>
  <c r="TW10" i="2"/>
  <c r="TX10" i="2" s="1"/>
  <c r="TX21" i="2"/>
  <c r="TW20" i="2"/>
  <c r="TX20" i="2" s="1"/>
  <c r="TX5" i="2"/>
  <c r="TW4" i="2"/>
  <c r="TX4" i="2" s="1"/>
  <c r="TX14" i="2"/>
  <c r="TW13" i="2"/>
  <c r="TX13" i="2" s="1"/>
  <c r="TF13" i="2"/>
  <c r="TG13" i="2" s="1"/>
  <c r="TG14" i="2"/>
  <c r="TG21" i="2"/>
  <c r="TF20" i="2"/>
  <c r="TG20" i="2" s="1"/>
  <c r="TF4" i="2"/>
  <c r="TG4" i="2" s="1"/>
  <c r="SP22" i="2"/>
  <c r="SQ22" i="2" s="1"/>
  <c r="TG17" i="2"/>
  <c r="TF16" i="2"/>
  <c r="TG16" i="2" s="1"/>
  <c r="RU22" i="2"/>
  <c r="RV22" i="2" s="1"/>
  <c r="SL14" i="2"/>
  <c r="SK13" i="2"/>
  <c r="SL13" i="2" s="1"/>
  <c r="SL17" i="2"/>
  <c r="SK16" i="2"/>
  <c r="SL16" i="2" s="1"/>
  <c r="SL11" i="2"/>
  <c r="SK10" i="2"/>
  <c r="SL10" i="2" s="1"/>
  <c r="SI22" i="2"/>
  <c r="SJ22" i="2" s="1"/>
  <c r="SL21" i="2"/>
  <c r="SK20" i="2"/>
  <c r="SL20" i="2" s="1"/>
  <c r="SL5" i="2"/>
  <c r="SK4" i="2"/>
  <c r="SL4" i="2" s="1"/>
  <c r="RA20" i="2"/>
  <c r="QZ22" i="2"/>
  <c r="RA22" i="2" s="1"/>
  <c r="RF22" i="2"/>
  <c r="RG22" i="2" s="1"/>
  <c r="RQ17" i="2"/>
  <c r="RP16" i="2"/>
  <c r="RQ16" i="2" s="1"/>
  <c r="RQ11" i="2"/>
  <c r="RP10" i="2"/>
  <c r="RQ10" i="2" s="1"/>
  <c r="RQ21" i="2"/>
  <c r="RP20" i="2"/>
  <c r="RQ20" i="2" s="1"/>
  <c r="RQ14" i="2"/>
  <c r="RP13" i="2"/>
  <c r="RQ13" i="2" s="1"/>
  <c r="RP4" i="2"/>
  <c r="RQ4" i="2" s="1"/>
  <c r="QV21" i="2"/>
  <c r="QU20" i="2"/>
  <c r="QV20" i="2" s="1"/>
  <c r="QV14" i="2"/>
  <c r="QU13" i="2"/>
  <c r="QV13" i="2" s="1"/>
  <c r="QE22" i="2"/>
  <c r="QF22" i="2" s="1"/>
  <c r="QV17" i="2"/>
  <c r="QU16" i="2"/>
  <c r="QV16" i="2" s="1"/>
  <c r="QV11" i="2"/>
  <c r="QU10" i="2"/>
  <c r="QV10" i="2" s="1"/>
  <c r="QU4" i="2"/>
  <c r="QV4" i="2" s="1"/>
  <c r="QV5" i="2"/>
  <c r="QA14" i="2"/>
  <c r="PZ13" i="2"/>
  <c r="QA13" i="2" s="1"/>
  <c r="QA17" i="2"/>
  <c r="PZ16" i="2"/>
  <c r="QA16" i="2" s="1"/>
  <c r="QA11" i="2"/>
  <c r="PZ10" i="2"/>
  <c r="QA10" i="2" s="1"/>
  <c r="QA21" i="2"/>
  <c r="PZ20" i="2"/>
  <c r="QA20" i="2" s="1"/>
  <c r="QA5" i="2"/>
  <c r="PZ4" i="2"/>
  <c r="QA4" i="2" s="1"/>
  <c r="OO22" i="2"/>
  <c r="OP22" i="2" s="1"/>
  <c r="PE4" i="2"/>
  <c r="PF4" i="2" s="1"/>
  <c r="PF5" i="2"/>
  <c r="PF17" i="2"/>
  <c r="PE16" i="2"/>
  <c r="PF16" i="2" s="1"/>
  <c r="PF11" i="2"/>
  <c r="PE10" i="2"/>
  <c r="PF10" i="2" s="1"/>
  <c r="PF21" i="2"/>
  <c r="PE20" i="2"/>
  <c r="PF20" i="2" s="1"/>
  <c r="PF14" i="2"/>
  <c r="PE13" i="2"/>
  <c r="PF13" i="2" s="1"/>
  <c r="OK14" i="2"/>
  <c r="OJ13" i="2"/>
  <c r="OK13" i="2" s="1"/>
  <c r="OK17" i="2"/>
  <c r="OJ16" i="2"/>
  <c r="OK16" i="2" s="1"/>
  <c r="OK11" i="2"/>
  <c r="OJ10" i="2"/>
  <c r="OK10" i="2" s="1"/>
  <c r="NU20" i="2"/>
  <c r="NT22" i="2"/>
  <c r="NU22" i="2" s="1"/>
  <c r="OK21" i="2"/>
  <c r="OJ20" i="2"/>
  <c r="OK20" i="2" s="1"/>
  <c r="OJ4" i="2"/>
  <c r="OK4" i="2" s="1"/>
  <c r="NP17" i="2"/>
  <c r="NO16" i="2"/>
  <c r="NP16" i="2" s="1"/>
  <c r="NP11" i="2"/>
  <c r="NO10" i="2"/>
  <c r="NP10" i="2" s="1"/>
  <c r="MZ20" i="2"/>
  <c r="MY22" i="2"/>
  <c r="MZ22" i="2" s="1"/>
  <c r="NP14" i="2"/>
  <c r="NO13" i="2"/>
  <c r="NP13" i="2" s="1"/>
  <c r="NP21" i="2"/>
  <c r="NO20" i="2"/>
  <c r="NP20" i="2" s="1"/>
  <c r="NO4" i="2"/>
  <c r="NP4" i="2" s="1"/>
  <c r="NP5" i="2"/>
  <c r="MK20" i="2"/>
  <c r="MJ22" i="2"/>
  <c r="MK22" i="2" s="1"/>
  <c r="ME20" i="2"/>
  <c r="MD22" i="2"/>
  <c r="ME22" i="2" s="1"/>
  <c r="MU5" i="2"/>
  <c r="MT4" i="2"/>
  <c r="MU4" i="2" s="1"/>
  <c r="MT16" i="2"/>
  <c r="MU16" i="2" s="1"/>
  <c r="MU21" i="2"/>
  <c r="MT20" i="2"/>
  <c r="MU20" i="2" s="1"/>
  <c r="LJ20" i="2"/>
  <c r="LI22" i="2"/>
  <c r="LJ22" i="2" s="1"/>
  <c r="LZ11" i="2"/>
  <c r="LY10" i="2"/>
  <c r="LZ10" i="2" s="1"/>
  <c r="LO22" i="2"/>
  <c r="LP22" i="2" s="1"/>
  <c r="LZ21" i="2"/>
  <c r="LY20" i="2"/>
  <c r="LZ20" i="2" s="1"/>
  <c r="LY13" i="2"/>
  <c r="LZ13" i="2" s="1"/>
  <c r="LZ5" i="2"/>
  <c r="LY4" i="2"/>
  <c r="LZ4" i="2" s="1"/>
  <c r="KO20" i="2"/>
  <c r="KN22" i="2"/>
  <c r="KO22" i="2" s="1"/>
  <c r="LE17" i="2"/>
  <c r="LD16" i="2"/>
  <c r="LE16" i="2" s="1"/>
  <c r="LE11" i="2"/>
  <c r="LD10" i="2"/>
  <c r="LE10" i="2" s="1"/>
  <c r="LE21" i="2"/>
  <c r="LD20" i="2"/>
  <c r="LE20" i="2" s="1"/>
  <c r="LE5" i="2"/>
  <c r="LD4" i="2"/>
  <c r="LE4" i="2" s="1"/>
  <c r="LE14" i="2"/>
  <c r="LD13" i="2"/>
  <c r="LE13" i="2" s="1"/>
  <c r="JT20" i="2"/>
  <c r="JS22" i="2"/>
  <c r="JT22" i="2" s="1"/>
  <c r="KJ21" i="2"/>
  <c r="KI20" i="2"/>
  <c r="KJ20" i="2" s="1"/>
  <c r="KJ14" i="2"/>
  <c r="KI13" i="2"/>
  <c r="KJ13" i="2" s="1"/>
  <c r="JY22" i="2"/>
  <c r="JZ22" i="2" s="1"/>
  <c r="KJ17" i="2"/>
  <c r="KI16" i="2"/>
  <c r="KJ16" i="2" s="1"/>
  <c r="KJ11" i="2"/>
  <c r="KI10" i="2"/>
  <c r="KJ10" i="2" s="1"/>
  <c r="KJ5" i="2"/>
  <c r="KI4" i="2"/>
  <c r="KJ4" i="2" s="1"/>
  <c r="JO14" i="2"/>
  <c r="JN13" i="2"/>
  <c r="JO13" i="2" s="1"/>
  <c r="IY20" i="2"/>
  <c r="IX22" i="2"/>
  <c r="IY22" i="2" s="1"/>
  <c r="JN4" i="2"/>
  <c r="JO4" i="2" s="1"/>
  <c r="JO21" i="2"/>
  <c r="JN20" i="2"/>
  <c r="JO20" i="2" s="1"/>
  <c r="JD22" i="2"/>
  <c r="JE22" i="2" s="1"/>
  <c r="JO17" i="2"/>
  <c r="JN16" i="2"/>
  <c r="JO16" i="2" s="1"/>
  <c r="JO11" i="2"/>
  <c r="JN10" i="2"/>
  <c r="JO10" i="2" s="1"/>
  <c r="ID20" i="2"/>
  <c r="IC22" i="2"/>
  <c r="ID22" i="2" s="1"/>
  <c r="IT21" i="2"/>
  <c r="IS20" i="2"/>
  <c r="IT20" i="2" s="1"/>
  <c r="IT14" i="2"/>
  <c r="IS13" i="2"/>
  <c r="IT13" i="2" s="1"/>
  <c r="IJ20" i="2"/>
  <c r="II22" i="2"/>
  <c r="IJ22" i="2" s="1"/>
  <c r="IT11" i="2"/>
  <c r="IS10" i="2"/>
  <c r="IT10" i="2" s="1"/>
  <c r="IS4" i="2"/>
  <c r="IT4" i="2" s="1"/>
  <c r="IT17" i="2"/>
  <c r="IS16" i="2"/>
  <c r="IT16" i="2" s="1"/>
  <c r="HX13" i="2"/>
  <c r="HY13" i="2" s="1"/>
  <c r="HY14" i="2"/>
  <c r="HX16" i="2"/>
  <c r="HY16" i="2" s="1"/>
  <c r="HY17" i="2"/>
  <c r="HO20" i="2"/>
  <c r="HN22" i="2"/>
  <c r="HO22" i="2" s="1"/>
  <c r="HI20" i="2"/>
  <c r="HH22" i="2"/>
  <c r="HI22" i="2" s="1"/>
  <c r="HY21" i="2"/>
  <c r="HX20" i="2"/>
  <c r="HY20" i="2" s="1"/>
  <c r="HD14" i="2"/>
  <c r="HC13" i="2"/>
  <c r="HD13" i="2" s="1"/>
  <c r="HA22" i="2"/>
  <c r="HB22" i="2" s="1"/>
  <c r="HD17" i="2"/>
  <c r="HC16" i="2"/>
  <c r="HD16" i="2" s="1"/>
  <c r="HD11" i="2"/>
  <c r="HC10" i="2"/>
  <c r="HD10" i="2" s="1"/>
  <c r="GN20" i="2"/>
  <c r="GM22" i="2"/>
  <c r="GN22" i="2" s="1"/>
  <c r="HD21" i="2"/>
  <c r="HC20" i="2"/>
  <c r="HD20" i="2" s="1"/>
  <c r="HD5" i="2"/>
  <c r="HC4" i="2"/>
  <c r="HD4" i="2" s="1"/>
  <c r="GI14" i="2"/>
  <c r="GH13" i="2"/>
  <c r="GI13" i="2" s="1"/>
  <c r="FS20" i="2"/>
  <c r="FR22" i="2"/>
  <c r="FS22" i="2" s="1"/>
  <c r="GH4" i="2"/>
  <c r="GI4" i="2" s="1"/>
  <c r="GI5" i="2"/>
  <c r="GI17" i="2"/>
  <c r="GH16" i="2"/>
  <c r="GI16" i="2" s="1"/>
  <c r="GH10" i="2"/>
  <c r="GI10" i="2" s="1"/>
  <c r="GI21" i="2"/>
  <c r="GH20" i="2"/>
  <c r="GI20" i="2" s="1"/>
  <c r="FN14" i="2"/>
  <c r="FM13" i="2"/>
  <c r="FN13" i="2" s="1"/>
  <c r="EX20" i="2"/>
  <c r="EW22" i="2"/>
  <c r="EX22" i="2" s="1"/>
  <c r="FN17" i="2"/>
  <c r="FM16" i="2"/>
  <c r="FN16" i="2" s="1"/>
  <c r="FN11" i="2"/>
  <c r="FM10" i="2"/>
  <c r="FN10" i="2" s="1"/>
  <c r="FN21" i="2"/>
  <c r="FM20" i="2"/>
  <c r="FN20" i="2" s="1"/>
  <c r="FN5" i="2"/>
  <c r="FM4" i="2"/>
  <c r="FN4" i="2" s="1"/>
  <c r="EC20" i="2"/>
  <c r="EB22" i="2"/>
  <c r="EC22" i="2" s="1"/>
  <c r="ES14" i="2"/>
  <c r="ER13" i="2"/>
  <c r="ES13" i="2" s="1"/>
  <c r="ES17" i="2"/>
  <c r="ER16" i="2"/>
  <c r="ES16" i="2" s="1"/>
  <c r="ES11" i="2"/>
  <c r="ER10" i="2"/>
  <c r="ES10" i="2" s="1"/>
  <c r="ES21" i="2"/>
  <c r="ER20" i="2"/>
  <c r="ES20" i="2" s="1"/>
  <c r="ES5" i="2"/>
  <c r="ER4" i="2"/>
  <c r="ES4" i="2" s="1"/>
  <c r="DM22" i="2"/>
  <c r="DN22" i="2" s="1"/>
  <c r="DX17" i="2"/>
  <c r="DW16" i="2"/>
  <c r="DX16" i="2" s="1"/>
  <c r="DH20" i="2"/>
  <c r="DG22" i="2"/>
  <c r="DH22" i="2" s="1"/>
  <c r="DX21" i="2"/>
  <c r="DW20" i="2"/>
  <c r="DX20" i="2" s="1"/>
  <c r="DW4" i="2"/>
  <c r="DX4" i="2" s="1"/>
  <c r="DX5" i="2"/>
  <c r="DX14" i="2"/>
  <c r="DW13" i="2"/>
  <c r="DX13" i="2" s="1"/>
  <c r="DW10" i="2"/>
  <c r="DX10" i="2" s="1"/>
  <c r="DC11" i="2"/>
  <c r="DB10" i="2"/>
  <c r="DC10" i="2" s="1"/>
  <c r="CL22" i="2"/>
  <c r="CM22" i="2" s="1"/>
  <c r="DC5" i="2"/>
  <c r="DB4" i="2"/>
  <c r="DC4" i="2" s="1"/>
  <c r="DC17" i="2"/>
  <c r="DB16" i="2"/>
  <c r="DC16" i="2" s="1"/>
  <c r="DC21" i="2"/>
  <c r="DB20" i="2"/>
  <c r="DC20" i="2" s="1"/>
  <c r="CS20" i="2"/>
  <c r="CR22" i="2"/>
  <c r="CS22" i="2" s="1"/>
  <c r="DC14" i="2"/>
  <c r="DB13" i="2"/>
  <c r="DC13" i="2" s="1"/>
  <c r="CE22" i="2"/>
  <c r="CF22" i="2" s="1"/>
  <c r="CH21" i="2"/>
  <c r="CG20" i="2"/>
  <c r="CH20" i="2" s="1"/>
  <c r="BQ22" i="2"/>
  <c r="BR22" i="2" s="1"/>
  <c r="CH17" i="2"/>
  <c r="CG16" i="2"/>
  <c r="CH16" i="2" s="1"/>
  <c r="CH11" i="2"/>
  <c r="CG10" i="2"/>
  <c r="CH10" i="2" s="1"/>
  <c r="CH5" i="2"/>
  <c r="CG4" i="2"/>
  <c r="CH4" i="2" s="1"/>
  <c r="BX20" i="2"/>
  <c r="BW22" i="2"/>
  <c r="BX22" i="2" s="1"/>
  <c r="CH14" i="2"/>
  <c r="CG13" i="2"/>
  <c r="CH13" i="2" s="1"/>
  <c r="BK20" i="2"/>
  <c r="BJ22" i="2"/>
  <c r="BK22" i="2" s="1"/>
  <c r="BL20" i="2"/>
  <c r="BM20" i="2" s="1"/>
  <c r="BM21" i="2"/>
  <c r="BL10" i="2"/>
  <c r="BM10" i="2" s="1"/>
  <c r="BM11" i="2"/>
  <c r="BB22" i="2"/>
  <c r="BC22" i="2" s="1"/>
  <c r="BC20" i="2"/>
  <c r="BL13" i="2"/>
  <c r="BM13" i="2" s="1"/>
  <c r="BM14" i="2"/>
  <c r="X1" i="2" l="1"/>
  <c r="AS1" i="2" s="1"/>
  <c r="BN1" i="2" l="1"/>
  <c r="AN3" i="2"/>
  <c r="BI3" i="2" s="1"/>
  <c r="CD3" i="2" s="1"/>
  <c r="CY3" i="2" s="1"/>
  <c r="DT3" i="2" s="1"/>
  <c r="EO3" i="2" s="1"/>
  <c r="FJ3" i="2" s="1"/>
  <c r="GE3" i="2" s="1"/>
  <c r="GZ3" i="2" s="1"/>
  <c r="HU3" i="2" s="1"/>
  <c r="IP3" i="2" s="1"/>
  <c r="JK3" i="2" s="1"/>
  <c r="KF3" i="2" s="1"/>
  <c r="LA3" i="2" s="1"/>
  <c r="LV3" i="2" s="1"/>
  <c r="MQ3" i="2" s="1"/>
  <c r="NL3" i="2" s="1"/>
  <c r="OG3" i="2" s="1"/>
  <c r="PB3" i="2" s="1"/>
  <c r="PW3" i="2" s="1"/>
  <c r="QR3" i="2" s="1"/>
  <c r="RM3" i="2" s="1"/>
  <c r="SH3" i="2" s="1"/>
  <c r="TC3" i="2" s="1"/>
  <c r="TT3" i="2" s="1"/>
  <c r="UK3" i="2" s="1"/>
  <c r="VB3" i="2" s="1"/>
  <c r="VS3" i="2" s="1"/>
  <c r="WJ3" i="2" s="1"/>
  <c r="AJ3" i="2"/>
  <c r="BE3" i="2" s="1"/>
  <c r="BZ3" i="2" s="1"/>
  <c r="CU3" i="2" s="1"/>
  <c r="DP3" i="2" s="1"/>
  <c r="EK3" i="2" s="1"/>
  <c r="FF3" i="2" s="1"/>
  <c r="GA3" i="2" s="1"/>
  <c r="GV3" i="2" s="1"/>
  <c r="HQ3" i="2" s="1"/>
  <c r="IL3" i="2" s="1"/>
  <c r="JG3" i="2" s="1"/>
  <c r="KB3" i="2" s="1"/>
  <c r="KW3" i="2" s="1"/>
  <c r="LR3" i="2" s="1"/>
  <c r="MM3" i="2" s="1"/>
  <c r="NH3" i="2" s="1"/>
  <c r="OC3" i="2" s="1"/>
  <c r="OX3" i="2" s="1"/>
  <c r="PS3" i="2" s="1"/>
  <c r="QN3" i="2" s="1"/>
  <c r="RI3" i="2" s="1"/>
  <c r="SD3" i="2" s="1"/>
  <c r="SY3" i="2" s="1"/>
  <c r="TS3" i="2" s="1"/>
  <c r="UJ3" i="2" s="1"/>
  <c r="VA3" i="2" s="1"/>
  <c r="VR3" i="2" s="1"/>
  <c r="WI3" i="2" s="1"/>
  <c r="AI3" i="2"/>
  <c r="BD3" i="2" s="1"/>
  <c r="BY3" i="2" s="1"/>
  <c r="CT3" i="2" s="1"/>
  <c r="DO3" i="2" s="1"/>
  <c r="EJ3" i="2" s="1"/>
  <c r="FE3" i="2" s="1"/>
  <c r="FZ3" i="2" s="1"/>
  <c r="GU3" i="2" s="1"/>
  <c r="HP3" i="2" s="1"/>
  <c r="IK3" i="2" s="1"/>
  <c r="JF3" i="2" s="1"/>
  <c r="KA3" i="2" s="1"/>
  <c r="KV3" i="2" s="1"/>
  <c r="LQ3" i="2" s="1"/>
  <c r="ML3" i="2" s="1"/>
  <c r="NG3" i="2" s="1"/>
  <c r="OB3" i="2" s="1"/>
  <c r="OW3" i="2" s="1"/>
  <c r="PR3" i="2" s="1"/>
  <c r="QM3" i="2" s="1"/>
  <c r="RH3" i="2" s="1"/>
  <c r="SC3" i="2" s="1"/>
  <c r="SX3" i="2" s="1"/>
  <c r="TR3" i="2" s="1"/>
  <c r="UI3" i="2" s="1"/>
  <c r="UZ3" i="2" s="1"/>
  <c r="VQ3" i="2" s="1"/>
  <c r="WH3" i="2" s="1"/>
  <c r="AF3" i="2"/>
  <c r="BA3" i="2" s="1"/>
  <c r="BV3" i="2" s="1"/>
  <c r="CQ3" i="2" s="1"/>
  <c r="DL3" i="2" s="1"/>
  <c r="EG3" i="2" s="1"/>
  <c r="FB3" i="2" s="1"/>
  <c r="FW3" i="2" s="1"/>
  <c r="GR3" i="2" s="1"/>
  <c r="HM3" i="2" s="1"/>
  <c r="IH3" i="2" s="1"/>
  <c r="JC3" i="2" s="1"/>
  <c r="JX3" i="2" s="1"/>
  <c r="KS3" i="2" s="1"/>
  <c r="LN3" i="2" s="1"/>
  <c r="MI3" i="2" s="1"/>
  <c r="ND3" i="2" s="1"/>
  <c r="NY3" i="2" s="1"/>
  <c r="OT3" i="2" s="1"/>
  <c r="PO3" i="2" s="1"/>
  <c r="QJ3" i="2" s="1"/>
  <c r="RE3" i="2" s="1"/>
  <c r="RZ3" i="2" s="1"/>
  <c r="SU3" i="2" s="1"/>
  <c r="TO3" i="2" s="1"/>
  <c r="UF3" i="2" s="1"/>
  <c r="UW3" i="2" s="1"/>
  <c r="VN3" i="2" s="1"/>
  <c r="WE3" i="2" s="1"/>
  <c r="AD3" i="2"/>
  <c r="AY3" i="2" s="1"/>
  <c r="BT3" i="2" s="1"/>
  <c r="CO3" i="2" s="1"/>
  <c r="DJ3" i="2" s="1"/>
  <c r="EE3" i="2" s="1"/>
  <c r="EZ3" i="2" s="1"/>
  <c r="FU3" i="2" s="1"/>
  <c r="GP3" i="2" s="1"/>
  <c r="HK3" i="2" s="1"/>
  <c r="IF3" i="2" s="1"/>
  <c r="JA3" i="2" s="1"/>
  <c r="JV3" i="2" s="1"/>
  <c r="KQ3" i="2" s="1"/>
  <c r="LL3" i="2" s="1"/>
  <c r="MG3" i="2" s="1"/>
  <c r="NB3" i="2" s="1"/>
  <c r="NW3" i="2" s="1"/>
  <c r="OR3" i="2" s="1"/>
  <c r="PM3" i="2" s="1"/>
  <c r="QH3" i="2" s="1"/>
  <c r="RC3" i="2" s="1"/>
  <c r="RX3" i="2" s="1"/>
  <c r="SS3" i="2" s="1"/>
  <c r="TN3" i="2" s="1"/>
  <c r="UE3" i="2" s="1"/>
  <c r="UV3" i="2" s="1"/>
  <c r="VM3" i="2" s="1"/>
  <c r="WD3" i="2" s="1"/>
  <c r="AC3" i="2"/>
  <c r="AX3" i="2" s="1"/>
  <c r="BS3" i="2" s="1"/>
  <c r="CN3" i="2" s="1"/>
  <c r="DI3" i="2" s="1"/>
  <c r="ED3" i="2" s="1"/>
  <c r="EY3" i="2" s="1"/>
  <c r="FT3" i="2" s="1"/>
  <c r="GO3" i="2" s="1"/>
  <c r="HJ3" i="2" s="1"/>
  <c r="IE3" i="2" s="1"/>
  <c r="IZ3" i="2" s="1"/>
  <c r="JU3" i="2" s="1"/>
  <c r="KP3" i="2" s="1"/>
  <c r="LK3" i="2" s="1"/>
  <c r="MF3" i="2" s="1"/>
  <c r="NA3" i="2" s="1"/>
  <c r="NV3" i="2" s="1"/>
  <c r="OQ3" i="2" s="1"/>
  <c r="PL3" i="2" s="1"/>
  <c r="QG3" i="2" s="1"/>
  <c r="RB3" i="2" s="1"/>
  <c r="RW3" i="2" s="1"/>
  <c r="SR3" i="2" s="1"/>
  <c r="TM3" i="2" s="1"/>
  <c r="UD3" i="2" s="1"/>
  <c r="UU3" i="2" s="1"/>
  <c r="VL3" i="2" s="1"/>
  <c r="WC3" i="2" s="1"/>
  <c r="Z3" i="2"/>
  <c r="AU3" i="2" s="1"/>
  <c r="BP3" i="2" s="1"/>
  <c r="CK3" i="2" s="1"/>
  <c r="DF3" i="2" s="1"/>
  <c r="EA3" i="2" s="1"/>
  <c r="EV3" i="2" s="1"/>
  <c r="FQ3" i="2" s="1"/>
  <c r="GL3" i="2" s="1"/>
  <c r="HG3" i="2" s="1"/>
  <c r="IB3" i="2" s="1"/>
  <c r="IW3" i="2" s="1"/>
  <c r="JR3" i="2" s="1"/>
  <c r="KM3" i="2" s="1"/>
  <c r="LH3" i="2" s="1"/>
  <c r="MC3" i="2" s="1"/>
  <c r="MX3" i="2" s="1"/>
  <c r="NS3" i="2" s="1"/>
  <c r="ON3" i="2" s="1"/>
  <c r="PI3" i="2" s="1"/>
  <c r="QD3" i="2" s="1"/>
  <c r="QY3" i="2" s="1"/>
  <c r="RT3" i="2" s="1"/>
  <c r="SO3" i="2" s="1"/>
  <c r="TJ3" i="2" s="1"/>
  <c r="UA3" i="2" s="1"/>
  <c r="UR3" i="2" s="1"/>
  <c r="VI3" i="2" s="1"/>
  <c r="VZ3" i="2" s="1"/>
  <c r="Y3" i="2"/>
  <c r="AT3" i="2" s="1"/>
  <c r="BO3" i="2" s="1"/>
  <c r="CJ3" i="2" s="1"/>
  <c r="DE3" i="2" s="1"/>
  <c r="DZ3" i="2" s="1"/>
  <c r="EU3" i="2" s="1"/>
  <c r="FP3" i="2" s="1"/>
  <c r="GK3" i="2" s="1"/>
  <c r="HF3" i="2" s="1"/>
  <c r="IA3" i="2" s="1"/>
  <c r="IV3" i="2" s="1"/>
  <c r="JQ3" i="2" s="1"/>
  <c r="KL3" i="2" s="1"/>
  <c r="LG3" i="2" s="1"/>
  <c r="MB3" i="2" s="1"/>
  <c r="MW3" i="2" s="1"/>
  <c r="NR3" i="2" s="1"/>
  <c r="OM3" i="2" s="1"/>
  <c r="PH3" i="2" s="1"/>
  <c r="QC3" i="2" s="1"/>
  <c r="QX3" i="2" s="1"/>
  <c r="RS3" i="2" s="1"/>
  <c r="SN3" i="2" s="1"/>
  <c r="TI3" i="2" s="1"/>
  <c r="TZ3" i="2" s="1"/>
  <c r="UQ3" i="2" s="1"/>
  <c r="VH3" i="2" s="1"/>
  <c r="VY3" i="2" s="1"/>
  <c r="X3" i="2"/>
  <c r="AS3" i="2" s="1"/>
  <c r="BN3" i="2" s="1"/>
  <c r="CI3" i="2" s="1"/>
  <c r="DD3" i="2" s="1"/>
  <c r="DY3" i="2" s="1"/>
  <c r="ET3" i="2" s="1"/>
  <c r="FO3" i="2" s="1"/>
  <c r="GJ3" i="2" s="1"/>
  <c r="HE3" i="2" s="1"/>
  <c r="HZ3" i="2" s="1"/>
  <c r="IU3" i="2" s="1"/>
  <c r="JP3" i="2" s="1"/>
  <c r="KK3" i="2" s="1"/>
  <c r="LF3" i="2" s="1"/>
  <c r="MA3" i="2" s="1"/>
  <c r="MV3" i="2" s="1"/>
  <c r="NQ3" i="2" s="1"/>
  <c r="OL3" i="2" s="1"/>
  <c r="PG3" i="2" s="1"/>
  <c r="QB3" i="2" s="1"/>
  <c r="QW3" i="2" s="1"/>
  <c r="RR3" i="2" s="1"/>
  <c r="SM3" i="2" s="1"/>
  <c r="TH3" i="2" s="1"/>
  <c r="TY3" i="2" s="1"/>
  <c r="UP3" i="2" s="1"/>
  <c r="VG3" i="2" s="1"/>
  <c r="VX3" i="2" s="1"/>
  <c r="AO21" i="2"/>
  <c r="AP21" i="2" s="1"/>
  <c r="AG21" i="2"/>
  <c r="AH21" i="2" s="1"/>
  <c r="AA21" i="2"/>
  <c r="AB21" i="2" s="1"/>
  <c r="AO19" i="2"/>
  <c r="AP19" i="2" s="1"/>
  <c r="AG19" i="2"/>
  <c r="AA19" i="2"/>
  <c r="AB19" i="2" s="1"/>
  <c r="AO18" i="2"/>
  <c r="AP18" i="2" s="1"/>
  <c r="AG18" i="2"/>
  <c r="AH18" i="2" s="1"/>
  <c r="AA18" i="2"/>
  <c r="AB18" i="2" s="1"/>
  <c r="AO17" i="2"/>
  <c r="AP17" i="2" s="1"/>
  <c r="AG17" i="2"/>
  <c r="AH17" i="2" s="1"/>
  <c r="AA17" i="2"/>
  <c r="AB17" i="2" s="1"/>
  <c r="AO15" i="2"/>
  <c r="AP15" i="2" s="1"/>
  <c r="AG15" i="2"/>
  <c r="AH15" i="2" s="1"/>
  <c r="AA15" i="2"/>
  <c r="AB15" i="2" s="1"/>
  <c r="AO14" i="2"/>
  <c r="AP14" i="2" s="1"/>
  <c r="AG14" i="2"/>
  <c r="AA14" i="2"/>
  <c r="AB14" i="2" s="1"/>
  <c r="AO12" i="2"/>
  <c r="AP12" i="2" s="1"/>
  <c r="AG12" i="2"/>
  <c r="AA12" i="2"/>
  <c r="AB12" i="2" s="1"/>
  <c r="AO11" i="2"/>
  <c r="AP11" i="2" s="1"/>
  <c r="AG11" i="2"/>
  <c r="AA11" i="2"/>
  <c r="AB11" i="2" s="1"/>
  <c r="AO9" i="2"/>
  <c r="AP9" i="2" s="1"/>
  <c r="AG9" i="2"/>
  <c r="AH9" i="2" s="1"/>
  <c r="AA9" i="2"/>
  <c r="AB9" i="2" s="1"/>
  <c r="AO8" i="2"/>
  <c r="AP8" i="2" s="1"/>
  <c r="AG8" i="2"/>
  <c r="AH8" i="2" s="1"/>
  <c r="AA8" i="2"/>
  <c r="AB8" i="2" s="1"/>
  <c r="AO7" i="2"/>
  <c r="AP7" i="2" s="1"/>
  <c r="AG7" i="2"/>
  <c r="AH7" i="2" s="1"/>
  <c r="AA7" i="2"/>
  <c r="AB7" i="2" s="1"/>
  <c r="AO6" i="2"/>
  <c r="AP6" i="2" s="1"/>
  <c r="AG6" i="2"/>
  <c r="AH6" i="2" s="1"/>
  <c r="AA6" i="2"/>
  <c r="AB6" i="2" s="1"/>
  <c r="AO5" i="2"/>
  <c r="AP5" i="2" s="1"/>
  <c r="AG5" i="2"/>
  <c r="AH5" i="2" s="1"/>
  <c r="AA5" i="2"/>
  <c r="AB5" i="2" s="1"/>
  <c r="CI1" i="2" l="1"/>
  <c r="AQ19" i="2"/>
  <c r="AR19" i="2" s="1"/>
  <c r="AG10" i="2"/>
  <c r="AH10" i="2" s="1"/>
  <c r="AO10" i="2"/>
  <c r="AP10" i="2" s="1"/>
  <c r="AO16" i="2"/>
  <c r="AP16" i="2" s="1"/>
  <c r="AO13" i="2"/>
  <c r="AP13" i="2" s="1"/>
  <c r="AG4" i="2"/>
  <c r="AH4" i="2" s="1"/>
  <c r="AQ14" i="2"/>
  <c r="AR14" i="2" s="1"/>
  <c r="AO20" i="2"/>
  <c r="AO4" i="2"/>
  <c r="AP4" i="2" s="1"/>
  <c r="AG16" i="2"/>
  <c r="AG13" i="2"/>
  <c r="AH13" i="2" s="1"/>
  <c r="AQ12" i="2"/>
  <c r="AR12" i="2" s="1"/>
  <c r="AA4" i="2"/>
  <c r="AQ8" i="2"/>
  <c r="AR8" i="2" s="1"/>
  <c r="AQ11" i="2"/>
  <c r="AQ15" i="2"/>
  <c r="AR15" i="2" s="1"/>
  <c r="AQ17" i="2"/>
  <c r="AQ18" i="2"/>
  <c r="AR18" i="2" s="1"/>
  <c r="AH11" i="2"/>
  <c r="AH12" i="2"/>
  <c r="AH14" i="2"/>
  <c r="AH19" i="2"/>
  <c r="AA20" i="2"/>
  <c r="AQ5" i="2"/>
  <c r="AQ6" i="2"/>
  <c r="AR6" i="2" s="1"/>
  <c r="AQ7" i="2"/>
  <c r="AR7" i="2" s="1"/>
  <c r="AQ9" i="2"/>
  <c r="AR9" i="2" s="1"/>
  <c r="AG20" i="2"/>
  <c r="AQ21" i="2"/>
  <c r="AA10" i="2"/>
  <c r="AB10" i="2" s="1"/>
  <c r="AA13" i="2"/>
  <c r="AB13" i="2" s="1"/>
  <c r="AA16" i="2"/>
  <c r="AB16" i="2" s="1"/>
  <c r="DD1" i="2" l="1"/>
  <c r="AP20" i="2"/>
  <c r="AO22" i="2"/>
  <c r="AP22" i="2" s="1"/>
  <c r="AB4" i="2"/>
  <c r="AA22" i="2"/>
  <c r="AB22" i="2" s="1"/>
  <c r="AH16" i="2"/>
  <c r="AG22" i="2"/>
  <c r="AH22" i="2" s="1"/>
  <c r="AQ13" i="2"/>
  <c r="AR13" i="2" s="1"/>
  <c r="AR21" i="2"/>
  <c r="AQ20" i="2"/>
  <c r="AR20" i="2" s="1"/>
  <c r="AB20" i="2"/>
  <c r="AR11" i="2"/>
  <c r="AQ10" i="2"/>
  <c r="AR10" i="2" s="1"/>
  <c r="AR17" i="2"/>
  <c r="AQ16" i="2"/>
  <c r="AR16" i="2" s="1"/>
  <c r="AH20" i="2"/>
  <c r="AR5" i="2"/>
  <c r="AQ4" i="2"/>
  <c r="AR4" i="2" s="1"/>
  <c r="DY1" i="2" l="1"/>
  <c r="T21" i="2"/>
  <c r="U21" i="2" s="1"/>
  <c r="L21" i="2"/>
  <c r="F21" i="2"/>
  <c r="G21" i="2" s="1"/>
  <c r="T19" i="2"/>
  <c r="U19" i="2" s="1"/>
  <c r="L19" i="2"/>
  <c r="M19" i="2" s="1"/>
  <c r="F19" i="2"/>
  <c r="G19" i="2" s="1"/>
  <c r="T18" i="2"/>
  <c r="U18" i="2" s="1"/>
  <c r="L18" i="2"/>
  <c r="M18" i="2" s="1"/>
  <c r="F18" i="2"/>
  <c r="T17" i="2"/>
  <c r="U17" i="2" s="1"/>
  <c r="L17" i="2"/>
  <c r="M17" i="2" s="1"/>
  <c r="F17" i="2"/>
  <c r="T15" i="2"/>
  <c r="U15" i="2" s="1"/>
  <c r="L15" i="2"/>
  <c r="M15" i="2" s="1"/>
  <c r="F15" i="2"/>
  <c r="G15" i="2" s="1"/>
  <c r="T14" i="2"/>
  <c r="U14" i="2" s="1"/>
  <c r="L14" i="2"/>
  <c r="M14" i="2" s="1"/>
  <c r="F14" i="2"/>
  <c r="T12" i="2"/>
  <c r="U12" i="2" s="1"/>
  <c r="L12" i="2"/>
  <c r="M12" i="2" s="1"/>
  <c r="F12" i="2"/>
  <c r="T11" i="2"/>
  <c r="L11" i="2"/>
  <c r="M11" i="2" s="1"/>
  <c r="F11" i="2"/>
  <c r="T9" i="2"/>
  <c r="U9" i="2" s="1"/>
  <c r="L9" i="2"/>
  <c r="M9" i="2" s="1"/>
  <c r="F9" i="2"/>
  <c r="T8" i="2"/>
  <c r="U8" i="2" s="1"/>
  <c r="L8" i="2"/>
  <c r="M8" i="2" s="1"/>
  <c r="F8" i="2"/>
  <c r="T7" i="2"/>
  <c r="U7" i="2" s="1"/>
  <c r="L7" i="2"/>
  <c r="M7" i="2" s="1"/>
  <c r="F7" i="2"/>
  <c r="G7" i="2" s="1"/>
  <c r="T6" i="2"/>
  <c r="U6" i="2" s="1"/>
  <c r="L6" i="2"/>
  <c r="M6" i="2" s="1"/>
  <c r="F6" i="2"/>
  <c r="G6" i="2" s="1"/>
  <c r="T5" i="2"/>
  <c r="U5" i="2" s="1"/>
  <c r="L5" i="2"/>
  <c r="M5" i="2" s="1"/>
  <c r="A5" i="14"/>
  <c r="X6" i="14"/>
  <c r="UC2" i="13"/>
  <c r="Y6" i="12"/>
  <c r="A14" i="16"/>
  <c r="A24" i="14"/>
  <c r="A20" i="16"/>
  <c r="A7" i="14"/>
  <c r="N5" i="16"/>
  <c r="C6" i="18"/>
  <c r="A16" i="12"/>
  <c r="A23" i="12"/>
  <c r="W5" i="12"/>
  <c r="Z4" i="16"/>
  <c r="L6" i="12"/>
  <c r="BN2" i="15"/>
  <c r="X5" i="16"/>
  <c r="S5" i="16"/>
  <c r="P6" i="18"/>
  <c r="I6" i="16"/>
  <c r="A4" i="16"/>
  <c r="A16" i="18"/>
  <c r="P8" i="18"/>
  <c r="L8" i="12"/>
  <c r="F8" i="14"/>
  <c r="J5" i="14"/>
  <c r="A16" i="14"/>
  <c r="B5" i="16"/>
  <c r="L7" i="16"/>
  <c r="M4" i="16"/>
  <c r="A19" i="18"/>
  <c r="T9" i="12"/>
  <c r="A15" i="12"/>
  <c r="T5" i="16"/>
  <c r="A25" i="12"/>
  <c r="Y6" i="18"/>
  <c r="A11" i="16"/>
  <c r="A25" i="18"/>
  <c r="A16" i="16"/>
  <c r="R5" i="16"/>
  <c r="U5" i="14"/>
  <c r="R4" i="18"/>
  <c r="I4" i="16"/>
  <c r="M5" i="18"/>
  <c r="A11" i="14"/>
  <c r="A28" i="18"/>
  <c r="T6" i="14"/>
  <c r="N4" i="16"/>
  <c r="T5" i="14"/>
  <c r="A27" i="18"/>
  <c r="A14" i="14"/>
  <c r="G7" i="18"/>
  <c r="F5" i="6"/>
  <c r="X8" i="12"/>
  <c r="Z5" i="6"/>
  <c r="J6" i="18"/>
  <c r="A25" i="14"/>
  <c r="H5" i="18"/>
  <c r="V6" i="14"/>
  <c r="N4" i="14"/>
  <c r="J6" i="6"/>
  <c r="P5" i="18"/>
  <c r="K5" i="16"/>
  <c r="J4" i="18"/>
  <c r="A19" i="12"/>
  <c r="W4" i="16"/>
  <c r="E5" i="14"/>
  <c r="A21" i="12"/>
  <c r="A10" i="6"/>
  <c r="P7" i="12"/>
  <c r="A8" i="6"/>
  <c r="T6" i="16"/>
  <c r="H4" i="14"/>
  <c r="A12" i="18"/>
  <c r="F4" i="16"/>
  <c r="M6" i="16"/>
  <c r="F6" i="14"/>
  <c r="T4" i="16"/>
  <c r="I5" i="14"/>
  <c r="L6" i="16"/>
  <c r="PG2" i="15"/>
  <c r="P4" i="16"/>
  <c r="L8" i="14"/>
  <c r="K5" i="14"/>
  <c r="Q8" i="18"/>
  <c r="I5" i="12"/>
  <c r="E7" i="12"/>
  <c r="M8" i="18"/>
  <c r="A22" i="16"/>
  <c r="H5" i="14"/>
  <c r="N7" i="18"/>
  <c r="A10" i="16"/>
  <c r="I7" i="18"/>
  <c r="U8" i="18"/>
  <c r="B5" i="18"/>
  <c r="M5" i="6"/>
  <c r="T5" i="6"/>
  <c r="L4" i="18"/>
  <c r="I6" i="14"/>
  <c r="P5" i="14"/>
  <c r="W6" i="18"/>
  <c r="A7" i="18"/>
  <c r="A12" i="16"/>
  <c r="F8" i="18"/>
  <c r="H6" i="18"/>
  <c r="VK2" i="13"/>
  <c r="F8" i="12"/>
  <c r="A8" i="18"/>
  <c r="M7" i="14"/>
  <c r="B7" i="16"/>
  <c r="F4" i="18"/>
  <c r="S5" i="6"/>
  <c r="B4" i="18"/>
  <c r="P5" i="16"/>
  <c r="V8" i="16"/>
  <c r="J8" i="12"/>
  <c r="J6" i="12"/>
  <c r="E8" i="18"/>
  <c r="A21" i="16"/>
  <c r="L6" i="14"/>
  <c r="Q8" i="12"/>
  <c r="D5" i="6"/>
  <c r="C4" i="14"/>
  <c r="A20" i="12"/>
  <c r="K8" i="14"/>
  <c r="Y7" i="14"/>
  <c r="Y4" i="14"/>
  <c r="A22" i="18"/>
  <c r="P6" i="12"/>
  <c r="A14" i="18"/>
  <c r="A23" i="14"/>
  <c r="N6" i="18"/>
  <c r="I7" i="12"/>
  <c r="V6" i="16"/>
  <c r="O6" i="12"/>
  <c r="A7" i="12"/>
  <c r="S5" i="12"/>
  <c r="F7" i="14"/>
  <c r="Z4" i="14"/>
  <c r="W5" i="18"/>
  <c r="G6" i="12"/>
  <c r="I7" i="14"/>
  <c r="S6" i="14"/>
  <c r="O5" i="6"/>
  <c r="I4" i="12"/>
  <c r="P5" i="12"/>
  <c r="HE2" i="19"/>
  <c r="V7" i="12"/>
  <c r="J8" i="16"/>
  <c r="A17" i="18"/>
  <c r="Y4" i="12"/>
  <c r="T7" i="14"/>
  <c r="F5" i="12"/>
  <c r="A31" i="18"/>
  <c r="UX2" i="19" s="1"/>
  <c r="J7" i="14"/>
  <c r="S6" i="18"/>
  <c r="F5" i="18"/>
  <c r="E4" i="18"/>
  <c r="A19" i="16"/>
  <c r="A21" i="18"/>
  <c r="A7" i="16"/>
  <c r="P7" i="14"/>
  <c r="A26" i="18"/>
  <c r="K6" i="16"/>
  <c r="N4" i="18"/>
  <c r="Q8" i="16"/>
  <c r="A13" i="6"/>
  <c r="P4" i="12"/>
  <c r="S4" i="18"/>
  <c r="A25" i="6"/>
  <c r="C8" i="18"/>
  <c r="S8" i="12"/>
  <c r="D7" i="12"/>
  <c r="O5" i="14"/>
  <c r="C4" i="18"/>
  <c r="G5" i="14"/>
  <c r="W4" i="18"/>
  <c r="V5" i="14"/>
  <c r="A19" i="6"/>
  <c r="M5" i="16"/>
  <c r="A11" i="12"/>
  <c r="V4" i="16"/>
  <c r="UT2" i="13"/>
  <c r="G6" i="16"/>
  <c r="C5" i="14"/>
  <c r="Z5" i="18"/>
  <c r="A14" i="6"/>
  <c r="L5" i="16"/>
  <c r="P9" i="12"/>
  <c r="D5" i="18"/>
  <c r="F5" i="16"/>
  <c r="BN2" i="13"/>
  <c r="U4" i="14"/>
  <c r="P6" i="16"/>
  <c r="P7" i="18"/>
  <c r="C8" i="12"/>
  <c r="G5" i="18"/>
  <c r="Y8" i="18"/>
  <c r="U6" i="16"/>
  <c r="H6" i="12"/>
  <c r="E6" i="14"/>
  <c r="A26" i="16"/>
  <c r="E5" i="18"/>
  <c r="I4" i="18"/>
  <c r="D4" i="16"/>
  <c r="M4" i="18"/>
  <c r="A9" i="6"/>
  <c r="Y4" i="18"/>
  <c r="P8" i="12"/>
  <c r="M6" i="18"/>
  <c r="X6" i="18"/>
  <c r="L9" i="18"/>
  <c r="N6" i="16"/>
  <c r="S7" i="18"/>
  <c r="W8" i="12"/>
  <c r="A22" i="14"/>
  <c r="T5" i="18"/>
  <c r="B8" i="16"/>
  <c r="K5" i="6"/>
  <c r="U8" i="14"/>
  <c r="G8" i="12"/>
  <c r="A28" i="12"/>
  <c r="A28" i="6"/>
  <c r="O5" i="16"/>
  <c r="A9" i="18"/>
  <c r="H8" i="16"/>
  <c r="E6" i="18"/>
  <c r="J8" i="18"/>
  <c r="X7" i="18"/>
  <c r="R6" i="18"/>
  <c r="R5" i="6"/>
  <c r="Z6" i="14"/>
  <c r="A26" i="14"/>
  <c r="A9" i="14"/>
  <c r="R6" i="12"/>
  <c r="D8" i="12"/>
  <c r="S8" i="14"/>
  <c r="M7" i="18"/>
  <c r="W8" i="18"/>
  <c r="R5" i="12"/>
  <c r="U4" i="18"/>
  <c r="W4" i="14"/>
  <c r="K4" i="14"/>
  <c r="Y7" i="16"/>
  <c r="A14" i="12"/>
  <c r="V7" i="16"/>
  <c r="E4" i="12"/>
  <c r="V8" i="14"/>
  <c r="A18" i="14"/>
  <c r="A29" i="12"/>
  <c r="K6" i="14"/>
  <c r="T6" i="18"/>
  <c r="B5" i="12"/>
  <c r="I5" i="18"/>
  <c r="SM2" i="19"/>
  <c r="A4" i="12"/>
  <c r="U5" i="18"/>
  <c r="A21" i="14"/>
  <c r="HE2" i="17"/>
  <c r="K4" i="16"/>
  <c r="IU2" i="13"/>
  <c r="VS2" i="19"/>
  <c r="T8" i="18"/>
  <c r="B6" i="14"/>
  <c r="V5" i="16"/>
  <c r="G7" i="16"/>
  <c r="X6" i="12"/>
  <c r="B4" i="12"/>
  <c r="E7" i="16"/>
  <c r="J4" i="12"/>
  <c r="F7" i="12"/>
  <c r="U6" i="14"/>
  <c r="U4" i="12"/>
  <c r="L8" i="18"/>
  <c r="Y7" i="12"/>
  <c r="W7" i="18"/>
  <c r="I5" i="6"/>
  <c r="VT2" i="17"/>
  <c r="A10" i="12"/>
  <c r="O5" i="12"/>
  <c r="A9" i="12"/>
  <c r="F4" i="14"/>
  <c r="Y7" i="18"/>
  <c r="G7" i="12"/>
  <c r="O6" i="16"/>
  <c r="Q4" i="16"/>
  <c r="A21" i="6"/>
  <c r="H7" i="12"/>
  <c r="R4" i="12"/>
  <c r="U6" i="18"/>
  <c r="V4" i="18"/>
  <c r="RR2" i="19"/>
  <c r="C7" i="18"/>
  <c r="Z8" i="18"/>
  <c r="X4" i="16"/>
  <c r="T7" i="16"/>
  <c r="L8" i="16"/>
  <c r="G7" i="14"/>
  <c r="Q5" i="6"/>
  <c r="A13" i="16"/>
  <c r="D7" i="14"/>
  <c r="V4" i="14"/>
  <c r="Q6" i="16"/>
  <c r="A7" i="6"/>
  <c r="R4" i="14"/>
  <c r="Z7" i="18"/>
  <c r="Q6" i="12"/>
  <c r="A17" i="16"/>
  <c r="N5" i="14"/>
  <c r="H5" i="12"/>
  <c r="Z4" i="18"/>
  <c r="A5" i="16"/>
  <c r="H4" i="18"/>
  <c r="SM2" i="15"/>
  <c r="X4" i="12"/>
  <c r="X2" i="15"/>
  <c r="I8" i="16"/>
  <c r="K6" i="18"/>
  <c r="K6" i="12"/>
  <c r="G5" i="6"/>
  <c r="A18" i="12"/>
  <c r="Q4" i="14"/>
  <c r="Q7" i="14"/>
  <c r="K5" i="12"/>
  <c r="I8" i="14"/>
  <c r="KK2" i="13"/>
  <c r="Q5" i="12"/>
  <c r="O4" i="12"/>
  <c r="X5" i="14"/>
  <c r="SM2" i="17"/>
  <c r="A5" i="18"/>
  <c r="O6" i="14"/>
  <c r="A10" i="18"/>
  <c r="X9" i="14"/>
  <c r="J5" i="12"/>
  <c r="L6" i="18"/>
  <c r="Z5" i="16"/>
  <c r="U7" i="14"/>
  <c r="L4" i="12"/>
  <c r="A27" i="12"/>
  <c r="U5" i="12"/>
  <c r="C7" i="16"/>
  <c r="A12" i="12"/>
  <c r="A8" i="14"/>
  <c r="UL2" i="17"/>
  <c r="VT2" i="15"/>
  <c r="L5" i="14"/>
  <c r="D6" i="14"/>
  <c r="N6" i="12"/>
  <c r="A13" i="12"/>
  <c r="I5" i="16"/>
  <c r="A18" i="16"/>
  <c r="R6" i="6"/>
  <c r="M5" i="14"/>
  <c r="A18" i="6"/>
  <c r="D9" i="16"/>
  <c r="V5" i="18"/>
  <c r="A18" i="18"/>
  <c r="D8" i="14"/>
  <c r="K4" i="12"/>
  <c r="TD2" i="15"/>
  <c r="WJ2" i="19"/>
  <c r="X8" i="16"/>
  <c r="H8" i="18"/>
  <c r="G5" i="16"/>
  <c r="J7" i="16"/>
  <c r="G8" i="18"/>
  <c r="A27" i="16"/>
  <c r="H4" i="16"/>
  <c r="D4" i="18"/>
  <c r="W5" i="14"/>
  <c r="T7" i="18"/>
  <c r="O6" i="18"/>
  <c r="L4" i="14"/>
  <c r="A5" i="12"/>
  <c r="Y5" i="12"/>
  <c r="IU2" i="17"/>
  <c r="J7" i="18"/>
  <c r="E7" i="14"/>
  <c r="X5" i="6"/>
  <c r="U5" i="16"/>
  <c r="A12" i="6"/>
  <c r="X8" i="14"/>
  <c r="D8" i="16"/>
  <c r="Y4" i="16"/>
  <c r="A20" i="18"/>
  <c r="KK2" i="19"/>
  <c r="HZ2" i="13"/>
  <c r="D5" i="12"/>
  <c r="O8" i="12"/>
  <c r="Z7" i="16"/>
  <c r="RR2" i="13"/>
  <c r="A24" i="16"/>
  <c r="X7" i="16"/>
  <c r="S4" i="16"/>
  <c r="A22" i="12"/>
  <c r="M6" i="12"/>
  <c r="B6" i="12"/>
  <c r="C4" i="16"/>
  <c r="B6" i="16"/>
  <c r="I8" i="12"/>
  <c r="J4" i="16"/>
  <c r="I7" i="16"/>
  <c r="K7" i="16"/>
  <c r="S7" i="12"/>
  <c r="W7" i="16"/>
  <c r="D9" i="12"/>
  <c r="V8" i="12"/>
  <c r="A16" i="6"/>
  <c r="V4" i="12"/>
  <c r="H5" i="16"/>
  <c r="S6" i="12"/>
  <c r="T4" i="18"/>
  <c r="A6" i="18"/>
  <c r="A8" i="12"/>
  <c r="H9" i="18"/>
  <c r="Z7" i="12"/>
  <c r="M8" i="12"/>
  <c r="A12" i="14"/>
  <c r="A13" i="14"/>
  <c r="M8" i="14"/>
  <c r="Z6" i="12"/>
  <c r="W7" i="14"/>
  <c r="A23" i="18"/>
  <c r="A6" i="6"/>
  <c r="O8" i="14"/>
  <c r="I6" i="12"/>
  <c r="G8" i="14"/>
  <c r="WB2" i="13"/>
  <c r="T9" i="16"/>
  <c r="G4" i="18"/>
  <c r="K8" i="16"/>
  <c r="P8" i="16"/>
  <c r="S6" i="16"/>
  <c r="T5" i="12"/>
  <c r="Z8" i="16"/>
  <c r="P5" i="6"/>
  <c r="T4" i="14"/>
  <c r="R8" i="18"/>
  <c r="R7" i="12"/>
  <c r="B8" i="14"/>
  <c r="T4" i="12"/>
  <c r="A17" i="14"/>
  <c r="T8" i="12"/>
  <c r="R7" i="16"/>
  <c r="I9" i="18"/>
  <c r="T10" i="14"/>
  <c r="R9" i="14"/>
  <c r="W6" i="6"/>
  <c r="U9" i="16"/>
  <c r="K9" i="16"/>
  <c r="X2" i="17"/>
  <c r="T10" i="18"/>
  <c r="T6" i="6"/>
  <c r="H6" i="6"/>
  <c r="Q9" i="14"/>
  <c r="E9" i="18"/>
  <c r="X10" i="18"/>
  <c r="L10" i="12"/>
  <c r="QW2" i="15"/>
  <c r="B7" i="6"/>
  <c r="L10" i="14"/>
  <c r="DY2" i="17"/>
  <c r="G9" i="14"/>
  <c r="K9" i="12"/>
  <c r="W9" i="14"/>
  <c r="G9" i="12"/>
  <c r="Y9" i="12"/>
  <c r="Z9" i="18"/>
  <c r="O9" i="16"/>
  <c r="BN2" i="19"/>
  <c r="M9" i="16"/>
  <c r="O9" i="12"/>
  <c r="I9" i="14"/>
  <c r="I6" i="6"/>
  <c r="X10" i="14"/>
  <c r="Y6" i="6"/>
  <c r="V7" i="14"/>
  <c r="A24" i="18"/>
  <c r="P6" i="14"/>
  <c r="C7" i="12"/>
  <c r="V5" i="6"/>
  <c r="G4" i="12"/>
  <c r="GJ2" i="13"/>
  <c r="Y6" i="16"/>
  <c r="F6" i="18"/>
  <c r="O5" i="18"/>
  <c r="X5" i="12"/>
  <c r="D5" i="14"/>
  <c r="C6" i="14"/>
  <c r="Z5" i="12"/>
  <c r="VC2" i="17"/>
  <c r="N8" i="16"/>
  <c r="C5" i="16"/>
  <c r="S7" i="16"/>
  <c r="Y5" i="6"/>
  <c r="Y5" i="18"/>
  <c r="W6" i="16"/>
  <c r="X7" i="14"/>
  <c r="A29" i="18"/>
  <c r="A6" i="12"/>
  <c r="J7" i="12"/>
  <c r="R5" i="14"/>
  <c r="F6" i="12"/>
  <c r="U6" i="12"/>
  <c r="D9" i="14"/>
  <c r="F6" i="16"/>
  <c r="JP2" i="19"/>
  <c r="B8" i="12"/>
  <c r="BN2" i="2"/>
  <c r="A15" i="18"/>
  <c r="C8" i="14"/>
  <c r="S4" i="14"/>
  <c r="OL2" i="13"/>
  <c r="H7" i="18"/>
  <c r="R6" i="16"/>
  <c r="B5" i="6"/>
  <c r="D5" i="16"/>
  <c r="Y8" i="12"/>
  <c r="B7" i="12"/>
  <c r="Z6" i="16"/>
  <c r="T8" i="16"/>
  <c r="R5" i="18"/>
  <c r="L7" i="18"/>
  <c r="H6" i="14"/>
  <c r="A6" i="14"/>
  <c r="C6" i="12"/>
  <c r="H8" i="12"/>
  <c r="I4" i="14"/>
  <c r="A25" i="16"/>
  <c r="FO2" i="13"/>
  <c r="A11" i="6"/>
  <c r="A10" i="14"/>
  <c r="B5" i="14"/>
  <c r="FO2" i="17"/>
  <c r="A9" i="16"/>
  <c r="K4" i="18"/>
  <c r="Q4" i="18"/>
  <c r="D7" i="18"/>
  <c r="J6" i="16"/>
  <c r="A13" i="18"/>
  <c r="MV2" i="15"/>
  <c r="H7" i="16"/>
  <c r="A8" i="16"/>
  <c r="W7" i="12"/>
  <c r="D7" i="16"/>
  <c r="S8" i="18"/>
  <c r="D6" i="16"/>
  <c r="T9" i="14"/>
  <c r="K7" i="18"/>
  <c r="Q5" i="16"/>
  <c r="W5" i="6"/>
  <c r="V6" i="6"/>
  <c r="L5" i="6"/>
  <c r="D8" i="18"/>
  <c r="U7" i="16"/>
  <c r="Z8" i="12"/>
  <c r="AS2" i="13"/>
  <c r="W8" i="14"/>
  <c r="A23" i="16"/>
  <c r="O8" i="16"/>
  <c r="LF2" i="13"/>
  <c r="S7" i="14"/>
  <c r="M7" i="12"/>
  <c r="UL2" i="15"/>
  <c r="X6" i="16"/>
  <c r="R7" i="14"/>
  <c r="T9" i="18"/>
  <c r="W8" i="16"/>
  <c r="X9" i="12"/>
  <c r="QW2" i="17"/>
  <c r="M6" i="14"/>
  <c r="B6" i="6"/>
  <c r="LF2" i="19"/>
  <c r="S9" i="16"/>
  <c r="H10" i="12"/>
  <c r="N7" i="6"/>
  <c r="P10" i="18"/>
  <c r="MA2" i="17"/>
  <c r="K9" i="14"/>
  <c r="F7" i="6"/>
  <c r="V9" i="16"/>
  <c r="O6" i="6"/>
  <c r="B9" i="14"/>
  <c r="D10" i="14"/>
  <c r="F9" i="12"/>
  <c r="CI2" i="13"/>
  <c r="D10" i="16"/>
  <c r="DD2" i="2"/>
  <c r="DD2" i="13"/>
  <c r="G6" i="6"/>
  <c r="FO2" i="15"/>
  <c r="H10" i="16"/>
  <c r="C9" i="14"/>
  <c r="I9" i="16"/>
  <c r="J7" i="6"/>
  <c r="J9" i="16"/>
  <c r="N9" i="12"/>
  <c r="X6" i="6"/>
  <c r="AS2" i="15"/>
  <c r="V9" i="12"/>
  <c r="I9" i="12"/>
  <c r="O9" i="14"/>
  <c r="H10" i="14"/>
  <c r="W9" i="18"/>
  <c r="Z6" i="6"/>
  <c r="A15" i="6"/>
  <c r="O7" i="18"/>
  <c r="T6" i="12"/>
  <c r="H4" i="12"/>
  <c r="A27" i="14"/>
  <c r="RR2" i="15" s="1"/>
  <c r="Y6" i="14"/>
  <c r="Q5" i="14"/>
  <c r="U8" i="12"/>
  <c r="D6" i="18"/>
  <c r="E4" i="16"/>
  <c r="C4" i="12"/>
  <c r="D4" i="12"/>
  <c r="P4" i="14"/>
  <c r="N5" i="6"/>
  <c r="G4" i="16"/>
  <c r="F7" i="18"/>
  <c r="Z8" i="14"/>
  <c r="TU2" i="15"/>
  <c r="R7" i="18"/>
  <c r="A20" i="6"/>
  <c r="Q6" i="14"/>
  <c r="Q4" i="12"/>
  <c r="J6" i="14"/>
  <c r="Z6" i="18"/>
  <c r="A26" i="6"/>
  <c r="N6" i="14"/>
  <c r="E4" i="14"/>
  <c r="P4" i="18"/>
  <c r="W5" i="16"/>
  <c r="A27" i="6"/>
  <c r="FO2" i="19"/>
  <c r="F5" i="14"/>
  <c r="L9" i="12"/>
  <c r="P7" i="16"/>
  <c r="R6" i="14"/>
  <c r="S5" i="14"/>
  <c r="CI2" i="2"/>
  <c r="J5" i="16"/>
  <c r="X9" i="16"/>
  <c r="A22" i="6"/>
  <c r="BN2" i="17"/>
  <c r="Q7" i="16"/>
  <c r="N6" i="6"/>
  <c r="P9" i="14"/>
  <c r="G6" i="18"/>
  <c r="P8" i="14"/>
  <c r="O8" i="18"/>
  <c r="Q7" i="12"/>
  <c r="N5" i="18"/>
  <c r="O4" i="14"/>
  <c r="V5" i="12"/>
  <c r="V8" i="18"/>
  <c r="X5" i="18"/>
  <c r="NQ2" i="19"/>
  <c r="L5" i="12"/>
  <c r="O4" i="16"/>
  <c r="V6" i="18"/>
  <c r="E6" i="16"/>
  <c r="P9" i="18"/>
  <c r="X9" i="18"/>
  <c r="C7" i="14"/>
  <c r="Z5" i="14"/>
  <c r="B7" i="14"/>
  <c r="D6" i="12"/>
  <c r="E5" i="16"/>
  <c r="QB2" i="19"/>
  <c r="E5" i="6"/>
  <c r="TD2" i="17"/>
  <c r="A4" i="6"/>
  <c r="A30" i="18"/>
  <c r="MV2" i="13"/>
  <c r="V7" i="18"/>
  <c r="Q6" i="18"/>
  <c r="C8" i="16"/>
  <c r="X4" i="18"/>
  <c r="E8" i="16"/>
  <c r="B6" i="18"/>
  <c r="K8" i="18"/>
  <c r="A4" i="14"/>
  <c r="PG2" i="19"/>
  <c r="J8" i="14"/>
  <c r="J5" i="18"/>
  <c r="K8" i="12"/>
  <c r="A24" i="6"/>
  <c r="H9" i="12"/>
  <c r="S4" i="12"/>
  <c r="Y8" i="14"/>
  <c r="H9" i="14"/>
  <c r="A23" i="6"/>
  <c r="H5" i="6"/>
  <c r="B7" i="18"/>
  <c r="F6" i="6"/>
  <c r="A15" i="16"/>
  <c r="N8" i="14"/>
  <c r="JP2" i="17"/>
  <c r="OL2" i="15"/>
  <c r="E6" i="12"/>
  <c r="H8" i="14"/>
  <c r="U9" i="12"/>
  <c r="W9" i="12"/>
  <c r="U9" i="14"/>
  <c r="V9" i="18"/>
  <c r="U6" i="6"/>
  <c r="G9" i="16"/>
  <c r="QB2" i="17"/>
  <c r="S9" i="18"/>
  <c r="J9" i="18"/>
  <c r="Z9" i="16"/>
  <c r="H10" i="18"/>
  <c r="R9" i="12"/>
  <c r="X10" i="16"/>
  <c r="QB2" i="15"/>
  <c r="MA2" i="19"/>
  <c r="S9" i="12"/>
  <c r="U9" i="18"/>
  <c r="K9" i="18"/>
  <c r="V7" i="6"/>
  <c r="QW2" i="19"/>
  <c r="Z9" i="12"/>
  <c r="C6" i="6"/>
  <c r="C2" i="2"/>
  <c r="F9" i="18"/>
  <c r="D6" i="6"/>
  <c r="J9" i="14"/>
  <c r="C9" i="12"/>
  <c r="Y9" i="14"/>
  <c r="TU2" i="17"/>
  <c r="M4" i="14"/>
  <c r="L7" i="14"/>
  <c r="O7" i="14"/>
  <c r="N7" i="16"/>
  <c r="X7" i="12"/>
  <c r="Y5" i="14"/>
  <c r="J4" i="14"/>
  <c r="F4" i="12"/>
  <c r="V6" i="12"/>
  <c r="E8" i="14"/>
  <c r="E7" i="18"/>
  <c r="M5" i="12"/>
  <c r="O7" i="16"/>
  <c r="K7" i="12"/>
  <c r="A11" i="18"/>
  <c r="T8" i="14"/>
  <c r="MV2" i="19"/>
  <c r="N5" i="12"/>
  <c r="O7" i="12"/>
  <c r="G4" i="14"/>
  <c r="H7" i="14"/>
  <c r="B8" i="18"/>
  <c r="Q5" i="18"/>
  <c r="U4" i="16"/>
  <c r="K5" i="18"/>
  <c r="M7" i="16"/>
  <c r="E8" i="12"/>
  <c r="B4" i="16"/>
  <c r="C5" i="6"/>
  <c r="W4" i="12"/>
  <c r="A24" i="12"/>
  <c r="L9" i="14"/>
  <c r="O4" i="18"/>
  <c r="A4" i="18"/>
  <c r="U8" i="16"/>
  <c r="U7" i="12"/>
  <c r="DY2" i="13"/>
  <c r="M8" i="16"/>
  <c r="H9" i="16"/>
  <c r="A17" i="12"/>
  <c r="JP2" i="13" s="1"/>
  <c r="Z7" i="14"/>
  <c r="P10" i="12"/>
  <c r="E9" i="14"/>
  <c r="C2" i="17"/>
  <c r="F9" i="14"/>
  <c r="M6" i="6"/>
  <c r="E9" i="12"/>
  <c r="V9" i="14"/>
  <c r="B9" i="16"/>
  <c r="L10" i="16"/>
  <c r="N9" i="14"/>
  <c r="OL2" i="17"/>
  <c r="G9" i="18"/>
  <c r="P10" i="14"/>
  <c r="T10" i="12"/>
  <c r="R9" i="18"/>
  <c r="Q7" i="18"/>
  <c r="A17" i="6"/>
  <c r="E5" i="12"/>
  <c r="G5" i="12"/>
  <c r="R8" i="16"/>
  <c r="H6" i="16"/>
  <c r="L4" i="16"/>
  <c r="K7" i="14"/>
  <c r="A19" i="14"/>
  <c r="C5" i="18"/>
  <c r="R8" i="12"/>
  <c r="Y5" i="16"/>
  <c r="DD2" i="19"/>
  <c r="MA2" i="13"/>
  <c r="C9" i="16"/>
  <c r="P6" i="6"/>
  <c r="C9" i="18"/>
  <c r="D10" i="18"/>
  <c r="S9" i="14"/>
  <c r="X10" i="12"/>
  <c r="G8" i="16"/>
  <c r="VC2" i="15"/>
  <c r="F8" i="16"/>
  <c r="Q6" i="6"/>
  <c r="IU2" i="19"/>
  <c r="O9" i="18"/>
  <c r="W9" i="16"/>
  <c r="N9" i="16"/>
  <c r="F9" i="16"/>
  <c r="B9" i="18"/>
  <c r="T10" i="16"/>
  <c r="N7" i="12"/>
  <c r="Q8" i="14"/>
  <c r="S5" i="18"/>
  <c r="C5" i="12"/>
  <c r="W6" i="14"/>
  <c r="C6" i="16"/>
  <c r="F7" i="16"/>
  <c r="I6" i="18"/>
  <c r="D4" i="14"/>
  <c r="U5" i="6"/>
  <c r="D9" i="18"/>
  <c r="G6" i="14"/>
  <c r="A26" i="12"/>
  <c r="N7" i="14"/>
  <c r="Y8" i="16"/>
  <c r="Z4" i="12"/>
  <c r="U7" i="18"/>
  <c r="P9" i="16"/>
  <c r="X8" i="18"/>
  <c r="L7" i="12"/>
  <c r="QB2" i="13"/>
  <c r="I8" i="18"/>
  <c r="B4" i="14"/>
  <c r="R8" i="14"/>
  <c r="Y9" i="18"/>
  <c r="R9" i="16"/>
  <c r="M9" i="18"/>
  <c r="K6" i="6"/>
  <c r="P10" i="16"/>
  <c r="E9" i="16"/>
  <c r="M9" i="12"/>
  <c r="E6" i="6"/>
  <c r="Q9" i="16"/>
  <c r="Y9" i="16"/>
  <c r="CI2" i="17"/>
  <c r="Q9" i="12"/>
  <c r="D10" i="12"/>
  <c r="S6" i="6"/>
  <c r="ET2" i="15"/>
  <c r="M4" i="12"/>
  <c r="A20" i="14"/>
  <c r="MA2" i="15" s="1"/>
  <c r="L5" i="18"/>
  <c r="A6" i="16"/>
  <c r="AS2" i="17" s="1"/>
  <c r="A5" i="6"/>
  <c r="X2" i="2" s="1"/>
  <c r="R4" i="16"/>
  <c r="J5" i="6"/>
  <c r="X2" i="13"/>
  <c r="A15" i="14"/>
  <c r="HZ2" i="15" s="1"/>
  <c r="X4" i="14"/>
  <c r="T7" i="12"/>
  <c r="W6" i="12"/>
  <c r="N8" i="18"/>
  <c r="Z9" i="14"/>
  <c r="N9" i="18"/>
  <c r="L10" i="18"/>
  <c r="J9" i="12"/>
  <c r="Q9" i="18"/>
  <c r="KK2" i="17"/>
  <c r="R7" i="6"/>
  <c r="L9" i="16"/>
  <c r="N4" i="12"/>
  <c r="S8" i="16"/>
  <c r="N8" i="12"/>
  <c r="L6" i="6"/>
  <c r="NQ2" i="17"/>
  <c r="C2" i="15"/>
  <c r="M9" i="14"/>
  <c r="JP2" i="15"/>
  <c r="B9" i="12"/>
  <c r="ET2" i="17"/>
  <c r="ET1" i="2" l="1"/>
  <c r="G14" i="2"/>
  <c r="L13" i="2"/>
  <c r="M13" i="2" s="1"/>
  <c r="F20" i="2"/>
  <c r="L4" i="2"/>
  <c r="M4" i="2" s="1"/>
  <c r="T10" i="2"/>
  <c r="U11" i="2"/>
  <c r="G12" i="2"/>
  <c r="F10" i="2"/>
  <c r="G10" i="2" s="1"/>
  <c r="T13" i="2"/>
  <c r="L16" i="2"/>
  <c r="M16" i="2" s="1"/>
  <c r="F16" i="2"/>
  <c r="T20" i="2"/>
  <c r="V8" i="2"/>
  <c r="W8" i="2" s="1"/>
  <c r="T4" i="2"/>
  <c r="U4" i="2" s="1"/>
  <c r="V9" i="2"/>
  <c r="W9" i="2" s="1"/>
  <c r="T16" i="2"/>
  <c r="V6" i="2"/>
  <c r="W6" i="2" s="1"/>
  <c r="V7" i="2"/>
  <c r="W7" i="2" s="1"/>
  <c r="L10" i="2"/>
  <c r="M10" i="2" s="1"/>
  <c r="G8" i="2"/>
  <c r="V11" i="2"/>
  <c r="G11" i="2"/>
  <c r="G9" i="2"/>
  <c r="V12" i="2"/>
  <c r="W12" i="2" s="1"/>
  <c r="V14" i="2"/>
  <c r="F13" i="2"/>
  <c r="G13" i="2" s="1"/>
  <c r="V15" i="2"/>
  <c r="W15" i="2" s="1"/>
  <c r="G17" i="2"/>
  <c r="V17" i="2"/>
  <c r="G18" i="2"/>
  <c r="V18" i="2"/>
  <c r="W18" i="2" s="1"/>
  <c r="V19" i="2"/>
  <c r="W19" i="2" s="1"/>
  <c r="M21" i="2"/>
  <c r="L20" i="2"/>
  <c r="V21" i="2"/>
  <c r="QW2" i="13"/>
  <c r="HZ2" i="19"/>
  <c r="DY2" i="19"/>
  <c r="SM2" i="13"/>
  <c r="HZ2" i="17"/>
  <c r="GJ2" i="17"/>
  <c r="G4" i="6"/>
  <c r="R8" i="6"/>
  <c r="C10" i="16"/>
  <c r="T11" i="12"/>
  <c r="X11" i="12"/>
  <c r="Z10" i="12"/>
  <c r="B10" i="14"/>
  <c r="W10" i="18"/>
  <c r="G7" i="6"/>
  <c r="J8" i="6"/>
  <c r="M7" i="6"/>
  <c r="M10" i="14"/>
  <c r="N10" i="12"/>
  <c r="AS2" i="2"/>
  <c r="LF2" i="17"/>
  <c r="V10" i="12"/>
  <c r="D11" i="12"/>
  <c r="D11" i="16"/>
  <c r="K10" i="18"/>
  <c r="O10" i="16"/>
  <c r="O10" i="14"/>
  <c r="B8" i="6"/>
  <c r="Z10" i="16"/>
  <c r="TH2" i="19"/>
  <c r="E10" i="16"/>
  <c r="L11" i="18"/>
  <c r="K7" i="6"/>
  <c r="C4" i="6"/>
  <c r="X7" i="6"/>
  <c r="G10" i="14"/>
  <c r="U10" i="14"/>
  <c r="Q7" i="6"/>
  <c r="RR2" i="17"/>
  <c r="Q10" i="18"/>
  <c r="P11" i="16"/>
  <c r="N10" i="18"/>
  <c r="S10" i="18"/>
  <c r="S7" i="6"/>
  <c r="DY2" i="2"/>
  <c r="Y10" i="18"/>
  <c r="M10" i="18"/>
  <c r="Z10" i="18"/>
  <c r="T11" i="14"/>
  <c r="F10" i="14"/>
  <c r="J10" i="12"/>
  <c r="J10" i="14"/>
  <c r="O4" i="6"/>
  <c r="T7" i="6"/>
  <c r="DD2" i="17"/>
  <c r="F10" i="12"/>
  <c r="V10" i="16"/>
  <c r="D7" i="6"/>
  <c r="E10" i="14"/>
  <c r="R10" i="14"/>
  <c r="I7" i="6"/>
  <c r="N10" i="14"/>
  <c r="C10" i="14"/>
  <c r="Z10" i="14"/>
  <c r="U7" i="6"/>
  <c r="J4" i="6"/>
  <c r="C2" i="19"/>
  <c r="OL2" i="19"/>
  <c r="X2" i="19"/>
  <c r="ET2" i="13"/>
  <c r="KK2" i="15"/>
  <c r="V10" i="18"/>
  <c r="Q10" i="14"/>
  <c r="L11" i="16"/>
  <c r="P11" i="14"/>
  <c r="S10" i="14"/>
  <c r="D4" i="6"/>
  <c r="Y7" i="6"/>
  <c r="H11" i="16"/>
  <c r="M10" i="12"/>
  <c r="P11" i="12"/>
  <c r="L11" i="12"/>
  <c r="P11" i="18"/>
  <c r="Z4" i="6"/>
  <c r="M10" i="16"/>
  <c r="LF2" i="15"/>
  <c r="Y10" i="16"/>
  <c r="U10" i="16"/>
  <c r="X11" i="16"/>
  <c r="W10" i="12"/>
  <c r="P7" i="6"/>
  <c r="I10" i="12"/>
  <c r="V8" i="6"/>
  <c r="L11" i="14"/>
  <c r="GJ2" i="15"/>
  <c r="IU2" i="15"/>
  <c r="Z7" i="6"/>
  <c r="H11" i="12"/>
  <c r="E7" i="6"/>
  <c r="D11" i="18"/>
  <c r="C2" i="13"/>
  <c r="CI2" i="15"/>
  <c r="W10" i="14"/>
  <c r="N10" i="16"/>
  <c r="H11" i="18"/>
  <c r="O7" i="6"/>
  <c r="X11" i="14"/>
  <c r="PG2" i="17"/>
  <c r="I10" i="16"/>
  <c r="ET2" i="19"/>
  <c r="AS2" i="19"/>
  <c r="TH2" i="13"/>
  <c r="CI2" i="19"/>
  <c r="DY2" i="15"/>
  <c r="T11" i="18"/>
  <c r="W7" i="6"/>
  <c r="K4" i="6"/>
  <c r="I10" i="14"/>
  <c r="R10" i="12"/>
  <c r="F10" i="18"/>
  <c r="I10" i="18"/>
  <c r="E10" i="18"/>
  <c r="R10" i="16"/>
  <c r="B10" i="12"/>
  <c r="C10" i="18"/>
  <c r="L7" i="6"/>
  <c r="U10" i="18"/>
  <c r="F10" i="16"/>
  <c r="DD2" i="15"/>
  <c r="F4" i="6"/>
  <c r="Q10" i="12"/>
  <c r="G10" i="12"/>
  <c r="G10" i="16"/>
  <c r="Y10" i="14"/>
  <c r="H11" i="14"/>
  <c r="N8" i="6"/>
  <c r="K10" i="12"/>
  <c r="GJ2" i="19"/>
  <c r="R10" i="18"/>
  <c r="UC2" i="19"/>
  <c r="NQ2" i="13"/>
  <c r="HE2" i="13"/>
  <c r="HE2" i="15"/>
  <c r="NQ2" i="15"/>
  <c r="J10" i="16"/>
  <c r="U10" i="12"/>
  <c r="H7" i="6"/>
  <c r="T11" i="16"/>
  <c r="K10" i="16"/>
  <c r="S10" i="12"/>
  <c r="D11" i="14"/>
  <c r="F8" i="6"/>
  <c r="S10" i="16"/>
  <c r="E10" i="12"/>
  <c r="X11" i="18"/>
  <c r="O10" i="12"/>
  <c r="V10" i="14"/>
  <c r="O10" i="18"/>
  <c r="MV2" i="17"/>
  <c r="G10" i="18"/>
  <c r="W10" i="16"/>
  <c r="C10" i="12"/>
  <c r="J10" i="18"/>
  <c r="B10" i="16"/>
  <c r="C7" i="6"/>
  <c r="PG2" i="13"/>
  <c r="Q10" i="16"/>
  <c r="B10" i="18"/>
  <c r="K10" i="14"/>
  <c r="Y10" i="12"/>
  <c r="FO1" i="2" l="1"/>
  <c r="G16" i="2"/>
  <c r="G20" i="2"/>
  <c r="U13" i="2"/>
  <c r="U10" i="2"/>
  <c r="U16" i="2"/>
  <c r="L22" i="2"/>
  <c r="M22" i="2" s="1"/>
  <c r="T22" i="2"/>
  <c r="U22" i="2" s="1"/>
  <c r="U20" i="2"/>
  <c r="W11" i="2"/>
  <c r="V10" i="2"/>
  <c r="W10" i="2" s="1"/>
  <c r="W17" i="2"/>
  <c r="V16" i="2"/>
  <c r="W16" i="2" s="1"/>
  <c r="W21" i="2"/>
  <c r="V20" i="2"/>
  <c r="W20" i="2" s="1"/>
  <c r="M20" i="2"/>
  <c r="W14" i="2"/>
  <c r="V13" i="2"/>
  <c r="W13" i="2" s="1"/>
  <c r="F5" i="2"/>
  <c r="F4" i="2" s="1"/>
  <c r="V9" i="6"/>
  <c r="U8" i="6"/>
  <c r="E11" i="18"/>
  <c r="M4" i="6"/>
  <c r="S8" i="6"/>
  <c r="W8" i="6"/>
  <c r="E11" i="16"/>
  <c r="Q11" i="16"/>
  <c r="D12" i="12"/>
  <c r="F11" i="16"/>
  <c r="G11" i="16"/>
  <c r="G11" i="18"/>
  <c r="N11" i="12"/>
  <c r="E8" i="6"/>
  <c r="I11" i="16"/>
  <c r="H8" i="6"/>
  <c r="M11" i="16"/>
  <c r="V11" i="16"/>
  <c r="J11" i="12"/>
  <c r="N9" i="6"/>
  <c r="K11" i="18"/>
  <c r="K8" i="6"/>
  <c r="Y11" i="14"/>
  <c r="L12" i="18"/>
  <c r="I11" i="14"/>
  <c r="K11" i="16"/>
  <c r="T4" i="6"/>
  <c r="Y11" i="12"/>
  <c r="W4" i="6"/>
  <c r="X12" i="14"/>
  <c r="S4" i="6"/>
  <c r="G11" i="12"/>
  <c r="L12" i="16"/>
  <c r="B11" i="14"/>
  <c r="O11" i="14"/>
  <c r="Q11" i="12"/>
  <c r="H12" i="12"/>
  <c r="R11" i="18"/>
  <c r="Q11" i="18"/>
  <c r="C11" i="18"/>
  <c r="L12" i="14"/>
  <c r="P12" i="18"/>
  <c r="U11" i="16"/>
  <c r="Z11" i="14"/>
  <c r="S11" i="12"/>
  <c r="R4" i="6"/>
  <c r="V11" i="14"/>
  <c r="T12" i="18"/>
  <c r="N11" i="18"/>
  <c r="P12" i="14"/>
  <c r="U11" i="18"/>
  <c r="J11" i="18"/>
  <c r="N4" i="6"/>
  <c r="S11" i="16"/>
  <c r="L8" i="6"/>
  <c r="X4" i="6"/>
  <c r="G8" i="6"/>
  <c r="Y8" i="6"/>
  <c r="R11" i="12"/>
  <c r="U11" i="14"/>
  <c r="H12" i="14"/>
  <c r="T12" i="14"/>
  <c r="I11" i="12"/>
  <c r="H12" i="18"/>
  <c r="V11" i="12"/>
  <c r="R9" i="6"/>
  <c r="Z11" i="18"/>
  <c r="P8" i="6"/>
  <c r="M8" i="6"/>
  <c r="W11" i="18"/>
  <c r="C11" i="16"/>
  <c r="Y11" i="16"/>
  <c r="I4" i="6"/>
  <c r="V11" i="18"/>
  <c r="W11" i="12"/>
  <c r="Y4" i="6"/>
  <c r="C8" i="6"/>
  <c r="E11" i="14"/>
  <c r="M11" i="14"/>
  <c r="T8" i="6"/>
  <c r="R11" i="16"/>
  <c r="N11" i="16"/>
  <c r="U11" i="12"/>
  <c r="D12" i="14"/>
  <c r="E11" i="12"/>
  <c r="P12" i="12"/>
  <c r="C11" i="12"/>
  <c r="T12" i="12"/>
  <c r="U4" i="6"/>
  <c r="X12" i="16"/>
  <c r="Z11" i="16"/>
  <c r="Q11" i="14"/>
  <c r="Z8" i="6"/>
  <c r="M11" i="12"/>
  <c r="D12" i="18"/>
  <c r="J11" i="16"/>
  <c r="D8" i="6"/>
  <c r="P12" i="16"/>
  <c r="G11" i="14"/>
  <c r="F11" i="12"/>
  <c r="H4" i="6"/>
  <c r="F9" i="6"/>
  <c r="X8" i="6"/>
  <c r="X12" i="12"/>
  <c r="F11" i="18"/>
  <c r="W11" i="14"/>
  <c r="Z11" i="12"/>
  <c r="B11" i="18"/>
  <c r="L12" i="12"/>
  <c r="T12" i="16"/>
  <c r="O11" i="12"/>
  <c r="N11" i="14"/>
  <c r="H12" i="16"/>
  <c r="J11" i="14"/>
  <c r="K11" i="14"/>
  <c r="P4" i="6"/>
  <c r="K11" i="12"/>
  <c r="Y11" i="18"/>
  <c r="W11" i="16"/>
  <c r="S11" i="14"/>
  <c r="D12" i="16"/>
  <c r="C11" i="14"/>
  <c r="X12" i="18"/>
  <c r="B11" i="12"/>
  <c r="I11" i="18"/>
  <c r="M11" i="18"/>
  <c r="Q8" i="6"/>
  <c r="S11" i="18"/>
  <c r="L4" i="6"/>
  <c r="O8" i="6"/>
  <c r="B9" i="6"/>
  <c r="B11" i="16"/>
  <c r="O11" i="16"/>
  <c r="O11" i="18"/>
  <c r="I8" i="6"/>
  <c r="J9" i="6"/>
  <c r="F11" i="14"/>
  <c r="Q4" i="6"/>
  <c r="ET2" i="2"/>
  <c r="R11" i="14"/>
  <c r="GJ1" i="2" l="1"/>
  <c r="G4" i="2"/>
  <c r="F22" i="2"/>
  <c r="G22" i="2" s="1"/>
  <c r="G5" i="2"/>
  <c r="V5" i="2"/>
  <c r="H13" i="16"/>
  <c r="I12" i="18"/>
  <c r="Z12" i="16"/>
  <c r="V12" i="16"/>
  <c r="M12" i="12"/>
  <c r="G12" i="12"/>
  <c r="X13" i="16"/>
  <c r="O12" i="14"/>
  <c r="V10" i="6"/>
  <c r="O9" i="6"/>
  <c r="W9" i="6"/>
  <c r="M12" i="14"/>
  <c r="L13" i="16"/>
  <c r="D9" i="6"/>
  <c r="Y12" i="14"/>
  <c r="Y12" i="12"/>
  <c r="Q9" i="6"/>
  <c r="F12" i="12"/>
  <c r="N12" i="12"/>
  <c r="V12" i="18"/>
  <c r="B4" i="6"/>
  <c r="H13" i="18"/>
  <c r="B10" i="6"/>
  <c r="E12" i="18"/>
  <c r="R12" i="18"/>
  <c r="Z12" i="12"/>
  <c r="P13" i="18"/>
  <c r="D13" i="18"/>
  <c r="U12" i="12"/>
  <c r="B12" i="16"/>
  <c r="K12" i="18"/>
  <c r="W12" i="12"/>
  <c r="O12" i="18"/>
  <c r="R10" i="6"/>
  <c r="C12" i="18"/>
  <c r="T13" i="12"/>
  <c r="V4" i="6"/>
  <c r="Z12" i="18"/>
  <c r="H13" i="12"/>
  <c r="U12" i="18"/>
  <c r="P13" i="14"/>
  <c r="E9" i="6"/>
  <c r="V12" i="14"/>
  <c r="J12" i="18"/>
  <c r="E12" i="12"/>
  <c r="E12" i="14"/>
  <c r="K9" i="6"/>
  <c r="K12" i="12"/>
  <c r="X13" i="18"/>
  <c r="S9" i="6"/>
  <c r="R12" i="14"/>
  <c r="C12" i="16"/>
  <c r="T13" i="18"/>
  <c r="N10" i="6"/>
  <c r="B12" i="12"/>
  <c r="S12" i="18"/>
  <c r="N12" i="14"/>
  <c r="C12" i="12"/>
  <c r="X9" i="6"/>
  <c r="I12" i="16"/>
  <c r="P13" i="12"/>
  <c r="M12" i="16"/>
  <c r="D13" i="12"/>
  <c r="D13" i="14"/>
  <c r="R12" i="12"/>
  <c r="K12" i="14"/>
  <c r="F12" i="14"/>
  <c r="Z9" i="6"/>
  <c r="Y12" i="16"/>
  <c r="J10" i="6"/>
  <c r="N12" i="18"/>
  <c r="H13" i="14"/>
  <c r="W12" i="14"/>
  <c r="W12" i="16"/>
  <c r="O12" i="16"/>
  <c r="L13" i="12"/>
  <c r="G12" i="16"/>
  <c r="N12" i="16"/>
  <c r="Z12" i="14"/>
  <c r="C9" i="6"/>
  <c r="O12" i="12"/>
  <c r="U9" i="6"/>
  <c r="U12" i="16"/>
  <c r="T9" i="6"/>
  <c r="K12" i="16"/>
  <c r="S12" i="12"/>
  <c r="F12" i="16"/>
  <c r="L13" i="14"/>
  <c r="C12" i="14"/>
  <c r="G12" i="18"/>
  <c r="B12" i="18"/>
  <c r="M12" i="18"/>
  <c r="M9" i="6"/>
  <c r="Q12" i="16"/>
  <c r="F12" i="18"/>
  <c r="G9" i="6"/>
  <c r="Y9" i="6"/>
  <c r="V12" i="12"/>
  <c r="G12" i="14"/>
  <c r="U12" i="14"/>
  <c r="Q12" i="14"/>
  <c r="Q12" i="12"/>
  <c r="E12" i="16"/>
  <c r="I12" i="14"/>
  <c r="J12" i="12"/>
  <c r="P13" i="16"/>
  <c r="S12" i="14"/>
  <c r="X13" i="12"/>
  <c r="J12" i="14"/>
  <c r="R12" i="16"/>
  <c r="Y12" i="18"/>
  <c r="B12" i="14"/>
  <c r="P9" i="6"/>
  <c r="L13" i="18"/>
  <c r="X13" i="14"/>
  <c r="Q12" i="18"/>
  <c r="FO2" i="2"/>
  <c r="T13" i="14"/>
  <c r="W12" i="18"/>
  <c r="F10" i="6"/>
  <c r="I9" i="6"/>
  <c r="I12" i="12"/>
  <c r="L9" i="6"/>
  <c r="J12" i="16"/>
  <c r="D13" i="16"/>
  <c r="T13" i="16"/>
  <c r="S12" i="16"/>
  <c r="H9" i="6"/>
  <c r="HE1" i="2" l="1"/>
  <c r="W5" i="2"/>
  <c r="V4" i="2"/>
  <c r="W4" i="2" s="1"/>
  <c r="U11" i="6"/>
  <c r="E13" i="18"/>
  <c r="U14" i="6"/>
  <c r="E4" i="6"/>
  <c r="W14" i="6"/>
  <c r="G10" i="6"/>
  <c r="P12" i="6"/>
  <c r="S13" i="16"/>
  <c r="C12" i="6"/>
  <c r="W11" i="6"/>
  <c r="D12" i="6"/>
  <c r="I11" i="6"/>
  <c r="B13" i="16"/>
  <c r="L14" i="6"/>
  <c r="P11" i="6"/>
  <c r="X15" i="6"/>
  <c r="J13" i="6"/>
  <c r="U13" i="16"/>
  <c r="Z14" i="6"/>
  <c r="Y14" i="6"/>
  <c r="L10" i="6"/>
  <c r="E13" i="12"/>
  <c r="P14" i="12"/>
  <c r="G12" i="6"/>
  <c r="E11" i="6"/>
  <c r="R13" i="14"/>
  <c r="M13" i="12"/>
  <c r="Z13" i="6"/>
  <c r="O10" i="6"/>
  <c r="V13" i="14"/>
  <c r="R13" i="18"/>
  <c r="R13" i="12"/>
  <c r="GJ2" i="2"/>
  <c r="S13" i="6"/>
  <c r="E10" i="6"/>
  <c r="I12" i="6"/>
  <c r="L14" i="16"/>
  <c r="F13" i="14"/>
  <c r="Q13" i="12"/>
  <c r="R11" i="6"/>
  <c r="N13" i="16"/>
  <c r="E14" i="6"/>
  <c r="S13" i="18"/>
  <c r="U13" i="14"/>
  <c r="S10" i="6"/>
  <c r="K10" i="6"/>
  <c r="M13" i="18"/>
  <c r="R14" i="6"/>
  <c r="C13" i="6"/>
  <c r="F12" i="6"/>
  <c r="B12" i="6"/>
  <c r="V13" i="12"/>
  <c r="D14" i="14"/>
  <c r="F14" i="6"/>
  <c r="F13" i="6"/>
  <c r="I10" i="6"/>
  <c r="X11" i="6"/>
  <c r="G13" i="14"/>
  <c r="B13" i="12"/>
  <c r="G13" i="12"/>
  <c r="D10" i="6"/>
  <c r="J13" i="14"/>
  <c r="Z12" i="6"/>
  <c r="J12" i="6"/>
  <c r="P10" i="6"/>
  <c r="V11" i="6"/>
  <c r="R13" i="6"/>
  <c r="L13" i="6"/>
  <c r="H14" i="12"/>
  <c r="K13" i="14"/>
  <c r="L15" i="6"/>
  <c r="O13" i="18"/>
  <c r="P14" i="18"/>
  <c r="Y13" i="6"/>
  <c r="W12" i="6"/>
  <c r="W13" i="6"/>
  <c r="M13" i="16"/>
  <c r="J13" i="12"/>
  <c r="B11" i="6"/>
  <c r="H11" i="6"/>
  <c r="K14" i="6"/>
  <c r="G13" i="6"/>
  <c r="T14" i="12"/>
  <c r="S11" i="6"/>
  <c r="G13" i="16"/>
  <c r="D14" i="6"/>
  <c r="Y13" i="16"/>
  <c r="B14" i="6"/>
  <c r="H14" i="6"/>
  <c r="X12" i="6"/>
  <c r="N13" i="18"/>
  <c r="M13" i="6"/>
  <c r="Y13" i="12"/>
  <c r="E13" i="16"/>
  <c r="X14" i="16"/>
  <c r="I13" i="12"/>
  <c r="F13" i="18"/>
  <c r="C13" i="14"/>
  <c r="I13" i="16"/>
  <c r="Q14" i="6"/>
  <c r="C14" i="6"/>
  <c r="H14" i="16"/>
  <c r="Q10" i="6"/>
  <c r="H10" i="6"/>
  <c r="Z13" i="16"/>
  <c r="Z10" i="6"/>
  <c r="W13" i="14"/>
  <c r="X14" i="14"/>
  <c r="V13" i="6"/>
  <c r="W13" i="12"/>
  <c r="C13" i="18"/>
  <c r="I13" i="18"/>
  <c r="O13" i="12"/>
  <c r="T11" i="6"/>
  <c r="M10" i="6"/>
  <c r="U12" i="6"/>
  <c r="N13" i="12"/>
  <c r="R12" i="6"/>
  <c r="E13" i="14"/>
  <c r="H13" i="6"/>
  <c r="L14" i="12"/>
  <c r="Q12" i="6"/>
  <c r="W13" i="16"/>
  <c r="C11" i="6"/>
  <c r="B13" i="18"/>
  <c r="S13" i="12"/>
  <c r="W10" i="6"/>
  <c r="F11" i="6"/>
  <c r="O13" i="6"/>
  <c r="U10" i="6"/>
  <c r="Z11" i="6"/>
  <c r="Y12" i="6"/>
  <c r="N11" i="6"/>
  <c r="T14" i="6"/>
  <c r="T10" i="6"/>
  <c r="L11" i="6"/>
  <c r="O12" i="6"/>
  <c r="T13" i="6"/>
  <c r="K13" i="12"/>
  <c r="J13" i="16"/>
  <c r="X14" i="12"/>
  <c r="P14" i="16"/>
  <c r="K12" i="6"/>
  <c r="O13" i="14"/>
  <c r="X14" i="18"/>
  <c r="D15" i="6"/>
  <c r="I14" i="6"/>
  <c r="E12" i="6"/>
  <c r="I13" i="6"/>
  <c r="O13" i="16"/>
  <c r="V12" i="6"/>
  <c r="N12" i="6"/>
  <c r="N13" i="6"/>
  <c r="R13" i="16"/>
  <c r="X13" i="6"/>
  <c r="X14" i="6"/>
  <c r="T14" i="18"/>
  <c r="C10" i="6"/>
  <c r="P14" i="14"/>
  <c r="K13" i="18"/>
  <c r="H14" i="18"/>
  <c r="H12" i="6"/>
  <c r="H15" i="6"/>
  <c r="H14" i="14"/>
  <c r="M14" i="6"/>
  <c r="J11" i="6"/>
  <c r="T14" i="16"/>
  <c r="U13" i="12"/>
  <c r="V13" i="16"/>
  <c r="D13" i="6"/>
  <c r="Q13" i="6"/>
  <c r="O11" i="6"/>
  <c r="P14" i="6"/>
  <c r="F13" i="12"/>
  <c r="S13" i="14"/>
  <c r="Q13" i="16"/>
  <c r="X10" i="6"/>
  <c r="C13" i="16"/>
  <c r="N13" i="14"/>
  <c r="J13" i="18"/>
  <c r="F13" i="16"/>
  <c r="M12" i="6"/>
  <c r="Q13" i="18"/>
  <c r="V13" i="18"/>
  <c r="D14" i="16"/>
  <c r="U13" i="6"/>
  <c r="Z13" i="18"/>
  <c r="T15" i="6"/>
  <c r="K13" i="6"/>
  <c r="I13" i="14"/>
  <c r="M13" i="14"/>
  <c r="L14" i="14"/>
  <c r="D14" i="12"/>
  <c r="G13" i="18"/>
  <c r="L12" i="6"/>
  <c r="D11" i="6"/>
  <c r="Y10" i="6"/>
  <c r="Y13" i="14"/>
  <c r="Q13" i="14"/>
  <c r="J14" i="6"/>
  <c r="Z13" i="12"/>
  <c r="D14" i="18"/>
  <c r="K13" i="16"/>
  <c r="P13" i="6"/>
  <c r="Q11" i="6"/>
  <c r="E13" i="6"/>
  <c r="N14" i="6"/>
  <c r="Y13" i="18"/>
  <c r="L14" i="18"/>
  <c r="B13" i="14"/>
  <c r="B13" i="6"/>
  <c r="K11" i="6"/>
  <c r="M11" i="6"/>
  <c r="T12" i="6"/>
  <c r="P15" i="6"/>
  <c r="W13" i="18"/>
  <c r="U13" i="18"/>
  <c r="S12" i="6"/>
  <c r="Y11" i="6"/>
  <c r="G11" i="6"/>
  <c r="C13" i="12"/>
  <c r="Z13" i="14"/>
  <c r="V14" i="6"/>
  <c r="T14" i="14"/>
  <c r="HZ1" i="2" l="1"/>
  <c r="S14" i="16"/>
  <c r="Y14" i="16"/>
  <c r="S14" i="6"/>
  <c r="Y14" i="18"/>
  <c r="L15" i="18"/>
  <c r="I14" i="12"/>
  <c r="V14" i="12"/>
  <c r="R14" i="16"/>
  <c r="Q14" i="14"/>
  <c r="L15" i="14"/>
  <c r="K14" i="16"/>
  <c r="T15" i="16"/>
  <c r="O14" i="14"/>
  <c r="J14" i="12"/>
  <c r="W14" i="14"/>
  <c r="M14" i="16"/>
  <c r="N14" i="18"/>
  <c r="Z14" i="16"/>
  <c r="G14" i="18"/>
  <c r="B14" i="12"/>
  <c r="O14" i="18"/>
  <c r="K14" i="12"/>
  <c r="R14" i="18"/>
  <c r="E14" i="18"/>
  <c r="W14" i="12"/>
  <c r="X15" i="14"/>
  <c r="F14" i="12"/>
  <c r="C14" i="16"/>
  <c r="X15" i="16"/>
  <c r="Y14" i="12"/>
  <c r="P15" i="18"/>
  <c r="H15" i="18"/>
  <c r="Y14" i="14"/>
  <c r="W14" i="16"/>
  <c r="U14" i="18"/>
  <c r="V14" i="14"/>
  <c r="Q14" i="16"/>
  <c r="J14" i="18"/>
  <c r="Z14" i="18"/>
  <c r="U14" i="14"/>
  <c r="D15" i="16"/>
  <c r="K14" i="18"/>
  <c r="H15" i="16"/>
  <c r="D15" i="18"/>
  <c r="T15" i="14"/>
  <c r="R14" i="12"/>
  <c r="F14" i="14"/>
  <c r="S14" i="14"/>
  <c r="E14" i="12"/>
  <c r="S14" i="18"/>
  <c r="F14" i="18"/>
  <c r="G14" i="12"/>
  <c r="C14" i="12"/>
  <c r="R14" i="14"/>
  <c r="N14" i="16"/>
  <c r="N14" i="12"/>
  <c r="X15" i="18"/>
  <c r="S14" i="12"/>
  <c r="P15" i="12"/>
  <c r="E14" i="16"/>
  <c r="O14" i="12"/>
  <c r="M14" i="14"/>
  <c r="T15" i="12"/>
  <c r="G14" i="14"/>
  <c r="V14" i="16"/>
  <c r="O14" i="16"/>
  <c r="C14" i="18"/>
  <c r="G14" i="16"/>
  <c r="O14" i="6"/>
  <c r="D15" i="14"/>
  <c r="Q14" i="18"/>
  <c r="P15" i="14"/>
  <c r="X15" i="12"/>
  <c r="H15" i="14"/>
  <c r="E14" i="14"/>
  <c r="I14" i="18"/>
  <c r="C14" i="14"/>
  <c r="F14" i="16"/>
  <c r="Z14" i="12"/>
  <c r="Q14" i="12"/>
  <c r="J14" i="16"/>
  <c r="B14" i="16"/>
  <c r="Z14" i="14"/>
  <c r="G14" i="6"/>
  <c r="H15" i="12"/>
  <c r="M14" i="18"/>
  <c r="L15" i="16"/>
  <c r="B14" i="18"/>
  <c r="B14" i="14"/>
  <c r="V14" i="18"/>
  <c r="K14" i="14"/>
  <c r="J14" i="14"/>
  <c r="U14" i="16"/>
  <c r="U14" i="12"/>
  <c r="W14" i="18"/>
  <c r="P15" i="16"/>
  <c r="D15" i="12"/>
  <c r="M14" i="12"/>
  <c r="L15" i="12"/>
  <c r="I14" i="14"/>
  <c r="I14" i="16"/>
  <c r="HE2" i="2"/>
  <c r="T15" i="18"/>
  <c r="N14" i="14"/>
  <c r="IU1" i="2" l="1"/>
  <c r="L16" i="12"/>
  <c r="H16" i="12"/>
  <c r="I15" i="6"/>
  <c r="B15" i="6"/>
  <c r="X16" i="14"/>
  <c r="J15" i="12"/>
  <c r="V15" i="12"/>
  <c r="G15" i="14"/>
  <c r="F15" i="6"/>
  <c r="K15" i="6"/>
  <c r="I15" i="12"/>
  <c r="C15" i="6"/>
  <c r="I15" i="16"/>
  <c r="M15" i="14"/>
  <c r="N15" i="12"/>
  <c r="U15" i="14"/>
  <c r="X16" i="6"/>
  <c r="V15" i="16"/>
  <c r="R15" i="16"/>
  <c r="S15" i="18"/>
  <c r="W15" i="12"/>
  <c r="J15" i="16"/>
  <c r="Y15" i="6"/>
  <c r="O15" i="14"/>
  <c r="J15" i="18"/>
  <c r="I15" i="18"/>
  <c r="B15" i="14"/>
  <c r="D16" i="12"/>
  <c r="F15" i="16"/>
  <c r="Z15" i="12"/>
  <c r="L16" i="16"/>
  <c r="E15" i="6"/>
  <c r="D16" i="16"/>
  <c r="C15" i="18"/>
  <c r="S15" i="16"/>
  <c r="T16" i="16"/>
  <c r="V15" i="18"/>
  <c r="D16" i="14"/>
  <c r="K15" i="12"/>
  <c r="H16" i="16"/>
  <c r="B15" i="18"/>
  <c r="F15" i="18"/>
  <c r="U15" i="18"/>
  <c r="K15" i="16"/>
  <c r="G15" i="12"/>
  <c r="V15" i="14"/>
  <c r="O15" i="18"/>
  <c r="T16" i="6"/>
  <c r="U15" i="16"/>
  <c r="H16" i="6"/>
  <c r="R15" i="12"/>
  <c r="W15" i="18"/>
  <c r="T16" i="14"/>
  <c r="U15" i="6"/>
  <c r="G15" i="6"/>
  <c r="Z15" i="14"/>
  <c r="K15" i="14"/>
  <c r="L16" i="6"/>
  <c r="E15" i="16"/>
  <c r="E15" i="14"/>
  <c r="Q15" i="12"/>
  <c r="G15" i="16"/>
  <c r="D16" i="18"/>
  <c r="S15" i="6"/>
  <c r="G15" i="18"/>
  <c r="B15" i="16"/>
  <c r="O15" i="12"/>
  <c r="X16" i="18"/>
  <c r="N15" i="16"/>
  <c r="Q15" i="14"/>
  <c r="P16" i="16"/>
  <c r="P16" i="6"/>
  <c r="Z15" i="6"/>
  <c r="P16" i="14"/>
  <c r="M15" i="18"/>
  <c r="O15" i="6"/>
  <c r="M15" i="12"/>
  <c r="O15" i="16"/>
  <c r="Y15" i="16"/>
  <c r="R15" i="18"/>
  <c r="Q15" i="18"/>
  <c r="S15" i="12"/>
  <c r="D16" i="6"/>
  <c r="W15" i="14"/>
  <c r="H16" i="14"/>
  <c r="T16" i="12"/>
  <c r="N15" i="18"/>
  <c r="J15" i="14"/>
  <c r="I15" i="14"/>
  <c r="E15" i="12"/>
  <c r="P16" i="12"/>
  <c r="X16" i="16"/>
  <c r="N15" i="6"/>
  <c r="C15" i="16"/>
  <c r="V15" i="6"/>
  <c r="E15" i="18"/>
  <c r="J15" i="6"/>
  <c r="W15" i="16"/>
  <c r="Q15" i="16"/>
  <c r="B15" i="12"/>
  <c r="F15" i="12"/>
  <c r="Q15" i="6"/>
  <c r="C15" i="12"/>
  <c r="Y15" i="18"/>
  <c r="R15" i="14"/>
  <c r="L16" i="18"/>
  <c r="X16" i="12"/>
  <c r="Y15" i="14"/>
  <c r="L16" i="14"/>
  <c r="C15" i="14"/>
  <c r="Z15" i="18"/>
  <c r="W15" i="6"/>
  <c r="S15" i="14"/>
  <c r="Y15" i="12"/>
  <c r="HZ2" i="2"/>
  <c r="R15" i="6"/>
  <c r="H16" i="18"/>
  <c r="T16" i="18"/>
  <c r="F15" i="14"/>
  <c r="M15" i="16"/>
  <c r="Z15" i="16"/>
  <c r="M15" i="6"/>
  <c r="P16" i="18"/>
  <c r="U15" i="12"/>
  <c r="N15" i="14"/>
  <c r="K15" i="18"/>
  <c r="JP1" i="2" l="1"/>
  <c r="C16" i="18"/>
  <c r="G16" i="6"/>
  <c r="G16" i="12"/>
  <c r="O16" i="6"/>
  <c r="Q16" i="18"/>
  <c r="S16" i="18"/>
  <c r="B16" i="6"/>
  <c r="I16" i="16"/>
  <c r="V16" i="16"/>
  <c r="X17" i="18"/>
  <c r="B16" i="16"/>
  <c r="N16" i="12"/>
  <c r="K16" i="14"/>
  <c r="J16" i="12"/>
  <c r="V16" i="6"/>
  <c r="Q16" i="14"/>
  <c r="B16" i="14"/>
  <c r="J16" i="6"/>
  <c r="P17" i="18"/>
  <c r="T17" i="16"/>
  <c r="R16" i="18"/>
  <c r="E16" i="12"/>
  <c r="E16" i="18"/>
  <c r="X17" i="14"/>
  <c r="F16" i="12"/>
  <c r="P17" i="16"/>
  <c r="Z16" i="16"/>
  <c r="W16" i="16"/>
  <c r="U16" i="12"/>
  <c r="N16" i="14"/>
  <c r="R16" i="14"/>
  <c r="P17" i="6"/>
  <c r="Y16" i="6"/>
  <c r="H17" i="16"/>
  <c r="P17" i="12"/>
  <c r="S16" i="14"/>
  <c r="V16" i="14"/>
  <c r="U16" i="6"/>
  <c r="Y16" i="14"/>
  <c r="Z16" i="12"/>
  <c r="O16" i="18"/>
  <c r="O16" i="16"/>
  <c r="U16" i="14"/>
  <c r="F16" i="16"/>
  <c r="Y16" i="16"/>
  <c r="B16" i="12"/>
  <c r="L17" i="6"/>
  <c r="K16" i="16"/>
  <c r="J16" i="14"/>
  <c r="Z16" i="6"/>
  <c r="M16" i="12"/>
  <c r="I16" i="6"/>
  <c r="T17" i="14"/>
  <c r="L17" i="16"/>
  <c r="Q16" i="16"/>
  <c r="K16" i="18"/>
  <c r="T17" i="18"/>
  <c r="P17" i="14"/>
  <c r="K16" i="6"/>
  <c r="H17" i="6"/>
  <c r="S16" i="6"/>
  <c r="D17" i="16"/>
  <c r="E16" i="14"/>
  <c r="H17" i="14"/>
  <c r="K16" i="12"/>
  <c r="Y16" i="12"/>
  <c r="G16" i="16"/>
  <c r="F16" i="18"/>
  <c r="N16" i="6"/>
  <c r="R16" i="16"/>
  <c r="W16" i="18"/>
  <c r="L17" i="14"/>
  <c r="N16" i="18"/>
  <c r="Z16" i="18"/>
  <c r="L17" i="12"/>
  <c r="G16" i="18"/>
  <c r="Q16" i="12"/>
  <c r="E16" i="6"/>
  <c r="L17" i="18"/>
  <c r="M16" i="14"/>
  <c r="N16" i="16"/>
  <c r="B16" i="18"/>
  <c r="W16" i="12"/>
  <c r="D17" i="18"/>
  <c r="U16" i="16"/>
  <c r="G16" i="14"/>
  <c r="D17" i="12"/>
  <c r="T17" i="12"/>
  <c r="M16" i="18"/>
  <c r="F16" i="14"/>
  <c r="S16" i="16"/>
  <c r="J16" i="16"/>
  <c r="D17" i="14"/>
  <c r="J16" i="18"/>
  <c r="C16" i="12"/>
  <c r="H17" i="18"/>
  <c r="S16" i="12"/>
  <c r="M16" i="6"/>
  <c r="U16" i="18"/>
  <c r="X17" i="12"/>
  <c r="IU2" i="2"/>
  <c r="D17" i="6"/>
  <c r="I16" i="14"/>
  <c r="X17" i="16"/>
  <c r="T17" i="6"/>
  <c r="C16" i="14"/>
  <c r="R16" i="6"/>
  <c r="W16" i="6"/>
  <c r="C16" i="16"/>
  <c r="O16" i="14"/>
  <c r="R16" i="12"/>
  <c r="Q16" i="6"/>
  <c r="O16" i="12"/>
  <c r="W16" i="14"/>
  <c r="V16" i="18"/>
  <c r="I16" i="18"/>
  <c r="E16" i="16"/>
  <c r="Z16" i="14"/>
  <c r="I16" i="12"/>
  <c r="M16" i="16"/>
  <c r="H17" i="12"/>
  <c r="F16" i="6"/>
  <c r="C16" i="6"/>
  <c r="V16" i="12"/>
  <c r="X17" i="6"/>
  <c r="Y16" i="18"/>
  <c r="KK1" i="2" l="1"/>
  <c r="K17" i="16"/>
  <c r="L18" i="18"/>
  <c r="B17" i="12"/>
  <c r="S17" i="16"/>
  <c r="N17" i="16"/>
  <c r="Z17" i="14"/>
  <c r="N17" i="12"/>
  <c r="C17" i="18"/>
  <c r="S17" i="12"/>
  <c r="Z17" i="6"/>
  <c r="E17" i="18"/>
  <c r="R17" i="18"/>
  <c r="H18" i="18"/>
  <c r="E17" i="14"/>
  <c r="R17" i="12"/>
  <c r="O17" i="16"/>
  <c r="Y17" i="6"/>
  <c r="G17" i="14"/>
  <c r="J17" i="14"/>
  <c r="N17" i="18"/>
  <c r="K17" i="6"/>
  <c r="W17" i="18"/>
  <c r="G17" i="18"/>
  <c r="JP2" i="2"/>
  <c r="L18" i="12"/>
  <c r="D18" i="6"/>
  <c r="B17" i="18"/>
  <c r="D18" i="18"/>
  <c r="B17" i="16"/>
  <c r="G17" i="12"/>
  <c r="T18" i="16"/>
  <c r="D18" i="12"/>
  <c r="B17" i="6"/>
  <c r="K17" i="14"/>
  <c r="G17" i="6"/>
  <c r="F17" i="18"/>
  <c r="V17" i="14"/>
  <c r="F17" i="14"/>
  <c r="V17" i="12"/>
  <c r="I17" i="14"/>
  <c r="U17" i="14"/>
  <c r="P18" i="18"/>
  <c r="P18" i="16"/>
  <c r="X18" i="6"/>
  <c r="E17" i="16"/>
  <c r="P18" i="6"/>
  <c r="Q17" i="14"/>
  <c r="D18" i="16"/>
  <c r="G17" i="16"/>
  <c r="T18" i="14"/>
  <c r="Z17" i="18"/>
  <c r="B17" i="14"/>
  <c r="W17" i="6"/>
  <c r="Y17" i="18"/>
  <c r="E17" i="6"/>
  <c r="L18" i="14"/>
  <c r="X18" i="14"/>
  <c r="I17" i="16"/>
  <c r="H18" i="16"/>
  <c r="H18" i="6"/>
  <c r="Y17" i="14"/>
  <c r="C17" i="12"/>
  <c r="O17" i="12"/>
  <c r="V17" i="18"/>
  <c r="W17" i="12"/>
  <c r="R17" i="14"/>
  <c r="C17" i="14"/>
  <c r="N17" i="14"/>
  <c r="I17" i="6"/>
  <c r="P18" i="12"/>
  <c r="M17" i="6"/>
  <c r="C17" i="16"/>
  <c r="S17" i="6"/>
  <c r="K17" i="18"/>
  <c r="U17" i="16"/>
  <c r="J17" i="18"/>
  <c r="U17" i="6"/>
  <c r="Y17" i="16"/>
  <c r="T18" i="18"/>
  <c r="Q17" i="18"/>
  <c r="T18" i="6"/>
  <c r="E17" i="12"/>
  <c r="R17" i="6"/>
  <c r="X18" i="12"/>
  <c r="T18" i="12"/>
  <c r="J17" i="16"/>
  <c r="Z17" i="16"/>
  <c r="O17" i="18"/>
  <c r="M17" i="16"/>
  <c r="C17" i="6"/>
  <c r="Y17" i="12"/>
  <c r="K17" i="12"/>
  <c r="W17" i="14"/>
  <c r="U17" i="18"/>
  <c r="J17" i="6"/>
  <c r="N17" i="6"/>
  <c r="U17" i="12"/>
  <c r="R17" i="16"/>
  <c r="H18" i="14"/>
  <c r="Q17" i="6"/>
  <c r="S17" i="14"/>
  <c r="H18" i="12"/>
  <c r="X18" i="16"/>
  <c r="I17" i="12"/>
  <c r="V17" i="6"/>
  <c r="P18" i="14"/>
  <c r="O17" i="6"/>
  <c r="F17" i="6"/>
  <c r="O17" i="14"/>
  <c r="M17" i="18"/>
  <c r="Z17" i="12"/>
  <c r="S17" i="18"/>
  <c r="W17" i="16"/>
  <c r="F17" i="12"/>
  <c r="M17" i="12"/>
  <c r="X18" i="18"/>
  <c r="L18" i="16"/>
  <c r="Q17" i="16"/>
  <c r="M17" i="14"/>
  <c r="I17" i="18"/>
  <c r="V17" i="16"/>
  <c r="J17" i="12"/>
  <c r="Q17" i="12"/>
  <c r="F17" i="16"/>
  <c r="L18" i="6"/>
  <c r="D18" i="14"/>
  <c r="LF1" i="2" l="1"/>
  <c r="U18" i="14"/>
  <c r="G18" i="18"/>
  <c r="C18" i="6"/>
  <c r="S18" i="14"/>
  <c r="W18" i="16"/>
  <c r="J18" i="14"/>
  <c r="H19" i="6"/>
  <c r="F18" i="12"/>
  <c r="M18" i="18"/>
  <c r="W18" i="12"/>
  <c r="P19" i="6"/>
  <c r="E18" i="18"/>
  <c r="J18" i="18"/>
  <c r="K18" i="14"/>
  <c r="F18" i="14"/>
  <c r="R18" i="6"/>
  <c r="F18" i="18"/>
  <c r="O18" i="6"/>
  <c r="T19" i="18"/>
  <c r="H19" i="12"/>
  <c r="W18" i="18"/>
  <c r="B18" i="16"/>
  <c r="R18" i="14"/>
  <c r="W18" i="14"/>
  <c r="J18" i="16"/>
  <c r="M18" i="16"/>
  <c r="T19" i="14"/>
  <c r="Y18" i="12"/>
  <c r="M18" i="12"/>
  <c r="C18" i="12"/>
  <c r="U18" i="12"/>
  <c r="L19" i="12"/>
  <c r="P19" i="18"/>
  <c r="I18" i="16"/>
  <c r="V18" i="14"/>
  <c r="M18" i="6"/>
  <c r="L19" i="6"/>
  <c r="S18" i="6"/>
  <c r="L19" i="16"/>
  <c r="N18" i="6"/>
  <c r="B18" i="18"/>
  <c r="Z18" i="6"/>
  <c r="D19" i="6"/>
  <c r="X19" i="12"/>
  <c r="K18" i="6"/>
  <c r="B18" i="14"/>
  <c r="O18" i="16"/>
  <c r="G18" i="14"/>
  <c r="P19" i="12"/>
  <c r="D19" i="12"/>
  <c r="Z18" i="18"/>
  <c r="U18" i="16"/>
  <c r="Q18" i="12"/>
  <c r="Y18" i="16"/>
  <c r="Q18" i="14"/>
  <c r="H19" i="18"/>
  <c r="Q18" i="16"/>
  <c r="V18" i="6"/>
  <c r="F18" i="16"/>
  <c r="E18" i="12"/>
  <c r="K18" i="16"/>
  <c r="X19" i="18"/>
  <c r="V18" i="12"/>
  <c r="T19" i="6"/>
  <c r="B18" i="6"/>
  <c r="G18" i="12"/>
  <c r="H19" i="16"/>
  <c r="M18" i="14"/>
  <c r="R18" i="16"/>
  <c r="J18" i="12"/>
  <c r="V18" i="16"/>
  <c r="F18" i="6"/>
  <c r="N18" i="16"/>
  <c r="I18" i="12"/>
  <c r="Q18" i="6"/>
  <c r="D19" i="14"/>
  <c r="Y18" i="14"/>
  <c r="X19" i="6"/>
  <c r="D19" i="16"/>
  <c r="Y18" i="18"/>
  <c r="H19" i="14"/>
  <c r="L19" i="18"/>
  <c r="X19" i="16"/>
  <c r="S18" i="12"/>
  <c r="R18" i="12"/>
  <c r="B18" i="12"/>
  <c r="P19" i="16"/>
  <c r="W18" i="6"/>
  <c r="Y18" i="6"/>
  <c r="I18" i="14"/>
  <c r="O18" i="12"/>
  <c r="G18" i="16"/>
  <c r="P19" i="14"/>
  <c r="E18" i="16"/>
  <c r="G18" i="6"/>
  <c r="S18" i="18"/>
  <c r="E18" i="6"/>
  <c r="Z18" i="16"/>
  <c r="T19" i="16"/>
  <c r="C18" i="16"/>
  <c r="KK2" i="2"/>
  <c r="J18" i="6"/>
  <c r="D19" i="18"/>
  <c r="L19" i="14"/>
  <c r="S18" i="16"/>
  <c r="I18" i="18"/>
  <c r="C18" i="14"/>
  <c r="C18" i="18"/>
  <c r="R18" i="18"/>
  <c r="N18" i="12"/>
  <c r="I18" i="6"/>
  <c r="O18" i="18"/>
  <c r="N18" i="18"/>
  <c r="Z18" i="14"/>
  <c r="T19" i="12"/>
  <c r="V18" i="18"/>
  <c r="U18" i="18"/>
  <c r="K18" i="12"/>
  <c r="Z18" i="12"/>
  <c r="U18" i="6"/>
  <c r="X19" i="14"/>
  <c r="K18" i="18"/>
  <c r="N18" i="14"/>
  <c r="E18" i="14"/>
  <c r="O18" i="14"/>
  <c r="Q18" i="18"/>
  <c r="MA1" i="2" l="1"/>
  <c r="J19" i="18"/>
  <c r="K19" i="18"/>
  <c r="N19" i="14"/>
  <c r="B19" i="6"/>
  <c r="U19" i="14"/>
  <c r="V19" i="6"/>
  <c r="N19" i="12"/>
  <c r="V19" i="18"/>
  <c r="P20" i="14"/>
  <c r="M19" i="16"/>
  <c r="T20" i="12"/>
  <c r="I19" i="12"/>
  <c r="L20" i="14"/>
  <c r="X20" i="18"/>
  <c r="R19" i="16"/>
  <c r="R19" i="14"/>
  <c r="L20" i="18"/>
  <c r="S19" i="6"/>
  <c r="P20" i="12"/>
  <c r="C19" i="6"/>
  <c r="D20" i="16"/>
  <c r="U19" i="16"/>
  <c r="Y19" i="18"/>
  <c r="Q19" i="6"/>
  <c r="J19" i="12"/>
  <c r="C19" i="18"/>
  <c r="V19" i="16"/>
  <c r="E19" i="18"/>
  <c r="M19" i="6"/>
  <c r="O19" i="14"/>
  <c r="L20" i="12"/>
  <c r="H20" i="18"/>
  <c r="N19" i="16"/>
  <c r="Y19" i="16"/>
  <c r="H20" i="14"/>
  <c r="U19" i="18"/>
  <c r="Z19" i="16"/>
  <c r="H20" i="6"/>
  <c r="P20" i="18"/>
  <c r="F19" i="12"/>
  <c r="Z19" i="6"/>
  <c r="F19" i="16"/>
  <c r="W19" i="14"/>
  <c r="X20" i="16"/>
  <c r="U19" i="6"/>
  <c r="S19" i="16"/>
  <c r="R19" i="12"/>
  <c r="M19" i="18"/>
  <c r="C19" i="16"/>
  <c r="Y19" i="6"/>
  <c r="O19" i="18"/>
  <c r="X20" i="6"/>
  <c r="Q19" i="16"/>
  <c r="E19" i="12"/>
  <c r="E19" i="16"/>
  <c r="G19" i="12"/>
  <c r="Z19" i="14"/>
  <c r="T20" i="6"/>
  <c r="R19" i="6"/>
  <c r="R19" i="18"/>
  <c r="B19" i="18"/>
  <c r="Q19" i="12"/>
  <c r="H20" i="12"/>
  <c r="N19" i="18"/>
  <c r="W19" i="6"/>
  <c r="U19" i="12"/>
  <c r="D20" i="12"/>
  <c r="W19" i="12"/>
  <c r="Q19" i="18"/>
  <c r="V19" i="14"/>
  <c r="I19" i="16"/>
  <c r="D20" i="18"/>
  <c r="Y19" i="14"/>
  <c r="X20" i="12"/>
  <c r="T20" i="18"/>
  <c r="C19" i="14"/>
  <c r="I19" i="18"/>
  <c r="L20" i="16"/>
  <c r="S19" i="12"/>
  <c r="E19" i="6"/>
  <c r="K19" i="12"/>
  <c r="J19" i="14"/>
  <c r="J19" i="6"/>
  <c r="B19" i="14"/>
  <c r="G19" i="14"/>
  <c r="S19" i="14"/>
  <c r="M19" i="12"/>
  <c r="N19" i="6"/>
  <c r="F19" i="18"/>
  <c r="V19" i="12"/>
  <c r="J19" i="16"/>
  <c r="G19" i="18"/>
  <c r="K19" i="14"/>
  <c r="E19" i="14"/>
  <c r="T20" i="16"/>
  <c r="O19" i="6"/>
  <c r="G19" i="6"/>
  <c r="D20" i="6"/>
  <c r="D20" i="14"/>
  <c r="C19" i="12"/>
  <c r="L20" i="6"/>
  <c r="O19" i="16"/>
  <c r="Q19" i="14"/>
  <c r="F19" i="14"/>
  <c r="P20" i="6"/>
  <c r="K19" i="6"/>
  <c r="M19" i="14"/>
  <c r="S19" i="18"/>
  <c r="X20" i="14"/>
  <c r="Z19" i="18"/>
  <c r="H20" i="16"/>
  <c r="I19" i="6"/>
  <c r="W19" i="16"/>
  <c r="F19" i="6"/>
  <c r="T20" i="14"/>
  <c r="B19" i="16"/>
  <c r="G19" i="16"/>
  <c r="B19" i="12"/>
  <c r="Z19" i="12"/>
  <c r="Y19" i="12"/>
  <c r="O19" i="12"/>
  <c r="W19" i="18"/>
  <c r="P20" i="16"/>
  <c r="I19" i="14"/>
  <c r="K19" i="16"/>
  <c r="LF2" i="2"/>
  <c r="MV1" i="2" l="1"/>
  <c r="Y20" i="18"/>
  <c r="G20" i="12"/>
  <c r="C20" i="16"/>
  <c r="M20" i="12"/>
  <c r="L21" i="6"/>
  <c r="G20" i="18"/>
  <c r="I20" i="18"/>
  <c r="Z20" i="16"/>
  <c r="U20" i="12"/>
  <c r="Z20" i="12"/>
  <c r="S20" i="6"/>
  <c r="N20" i="6"/>
  <c r="D21" i="18"/>
  <c r="I20" i="12"/>
  <c r="J20" i="16"/>
  <c r="K20" i="12"/>
  <c r="N20" i="18"/>
  <c r="M20" i="6"/>
  <c r="H21" i="6"/>
  <c r="C20" i="6"/>
  <c r="B20" i="16"/>
  <c r="N20" i="16"/>
  <c r="B20" i="6"/>
  <c r="U20" i="16"/>
  <c r="I20" i="16"/>
  <c r="T21" i="14"/>
  <c r="Y20" i="12"/>
  <c r="R20" i="6"/>
  <c r="J20" i="18"/>
  <c r="Y20" i="14"/>
  <c r="R20" i="16"/>
  <c r="X21" i="18"/>
  <c r="L21" i="12"/>
  <c r="X21" i="12"/>
  <c r="F20" i="14"/>
  <c r="N20" i="12"/>
  <c r="H21" i="16"/>
  <c r="Q20" i="18"/>
  <c r="K20" i="16"/>
  <c r="X21" i="14"/>
  <c r="C20" i="14"/>
  <c r="D21" i="16"/>
  <c r="Z20" i="6"/>
  <c r="S20" i="12"/>
  <c r="E20" i="16"/>
  <c r="F20" i="18"/>
  <c r="E20" i="14"/>
  <c r="V20" i="12"/>
  <c r="V20" i="18"/>
  <c r="U20" i="14"/>
  <c r="P21" i="12"/>
  <c r="L21" i="18"/>
  <c r="M20" i="14"/>
  <c r="Y20" i="6"/>
  <c r="E20" i="6"/>
  <c r="C20" i="12"/>
  <c r="B20" i="14"/>
  <c r="V20" i="14"/>
  <c r="T21" i="18"/>
  <c r="Q20" i="14"/>
  <c r="V20" i="16"/>
  <c r="W20" i="14"/>
  <c r="O20" i="6"/>
  <c r="K20" i="18"/>
  <c r="S20" i="14"/>
  <c r="E20" i="12"/>
  <c r="T21" i="6"/>
  <c r="W20" i="18"/>
  <c r="R20" i="18"/>
  <c r="R20" i="14"/>
  <c r="Q20" i="16"/>
  <c r="P21" i="18"/>
  <c r="P21" i="16"/>
  <c r="F20" i="16"/>
  <c r="O20" i="12"/>
  <c r="Z20" i="18"/>
  <c r="W20" i="12"/>
  <c r="Q20" i="12"/>
  <c r="S20" i="18"/>
  <c r="L21" i="14"/>
  <c r="D21" i="6"/>
  <c r="G20" i="16"/>
  <c r="D21" i="14"/>
  <c r="M20" i="18"/>
  <c r="J20" i="14"/>
  <c r="P21" i="6"/>
  <c r="MA2" i="2"/>
  <c r="U20" i="6"/>
  <c r="U20" i="18"/>
  <c r="Q20" i="6"/>
  <c r="O20" i="14"/>
  <c r="B20" i="18"/>
  <c r="K20" i="14"/>
  <c r="H21" i="12"/>
  <c r="T21" i="16"/>
  <c r="I20" i="6"/>
  <c r="J20" i="6"/>
  <c r="H21" i="18"/>
  <c r="F20" i="12"/>
  <c r="G20" i="6"/>
  <c r="X21" i="16"/>
  <c r="F20" i="6"/>
  <c r="P21" i="14"/>
  <c r="W20" i="16"/>
  <c r="H21" i="14"/>
  <c r="K20" i="6"/>
  <c r="X21" i="6"/>
  <c r="O20" i="16"/>
  <c r="M20" i="16"/>
  <c r="S20" i="16"/>
  <c r="J20" i="12"/>
  <c r="T21" i="12"/>
  <c r="R20" i="12"/>
  <c r="Z20" i="14"/>
  <c r="B20" i="12"/>
  <c r="I20" i="14"/>
  <c r="E20" i="18"/>
  <c r="D21" i="12"/>
  <c r="N20" i="14"/>
  <c r="O20" i="18"/>
  <c r="Y20" i="16"/>
  <c r="L21" i="16"/>
  <c r="C20" i="18"/>
  <c r="G20" i="14"/>
  <c r="W20" i="6"/>
  <c r="V20" i="6"/>
  <c r="NQ1" i="2" l="1"/>
  <c r="S21" i="18"/>
  <c r="W21" i="14"/>
  <c r="G21" i="14"/>
  <c r="N21" i="6"/>
  <c r="I21" i="14"/>
  <c r="G21" i="18"/>
  <c r="O21" i="16"/>
  <c r="X22" i="14"/>
  <c r="D22" i="14"/>
  <c r="M21" i="18"/>
  <c r="Q21" i="6"/>
  <c r="L22" i="16"/>
  <c r="U21" i="14"/>
  <c r="R21" i="14"/>
  <c r="U21" i="6"/>
  <c r="C21" i="6"/>
  <c r="L22" i="18"/>
  <c r="U21" i="16"/>
  <c r="I21" i="12"/>
  <c r="F21" i="16"/>
  <c r="Y21" i="14"/>
  <c r="O21" i="6"/>
  <c r="X22" i="6"/>
  <c r="U21" i="18"/>
  <c r="K21" i="18"/>
  <c r="Z21" i="6"/>
  <c r="Q21" i="14"/>
  <c r="V21" i="18"/>
  <c r="V21" i="16"/>
  <c r="B21" i="18"/>
  <c r="M21" i="6"/>
  <c r="D22" i="6"/>
  <c r="O21" i="12"/>
  <c r="E21" i="14"/>
  <c r="W21" i="6"/>
  <c r="E21" i="16"/>
  <c r="V21" i="6"/>
  <c r="Z21" i="14"/>
  <c r="R21" i="6"/>
  <c r="O21" i="18"/>
  <c r="D22" i="16"/>
  <c r="E21" i="18"/>
  <c r="C21" i="18"/>
  <c r="R21" i="16"/>
  <c r="F21" i="14"/>
  <c r="N21" i="14"/>
  <c r="O21" i="14"/>
  <c r="B21" i="14"/>
  <c r="D22" i="12"/>
  <c r="Y21" i="6"/>
  <c r="K21" i="16"/>
  <c r="W21" i="16"/>
  <c r="Z21" i="18"/>
  <c r="Z21" i="16"/>
  <c r="C21" i="12"/>
  <c r="M21" i="16"/>
  <c r="F21" i="12"/>
  <c r="D22" i="18"/>
  <c r="J21" i="6"/>
  <c r="N21" i="18"/>
  <c r="P22" i="18"/>
  <c r="Y21" i="16"/>
  <c r="E21" i="12"/>
  <c r="Z21" i="12"/>
  <c r="T22" i="18"/>
  <c r="I21" i="6"/>
  <c r="Y21" i="12"/>
  <c r="E21" i="6"/>
  <c r="F21" i="6"/>
  <c r="T22" i="12"/>
  <c r="N21" i="16"/>
  <c r="H22" i="6"/>
  <c r="Q21" i="12"/>
  <c r="G21" i="6"/>
  <c r="T22" i="16"/>
  <c r="C21" i="14"/>
  <c r="U21" i="12"/>
  <c r="J21" i="12"/>
  <c r="B21" i="12"/>
  <c r="V21" i="14"/>
  <c r="L22" i="12"/>
  <c r="R21" i="12"/>
  <c r="S21" i="16"/>
  <c r="M21" i="12"/>
  <c r="M21" i="14"/>
  <c r="P22" i="6"/>
  <c r="L22" i="6"/>
  <c r="G21" i="12"/>
  <c r="R21" i="18"/>
  <c r="W21" i="18"/>
  <c r="P22" i="12"/>
  <c r="N21" i="12"/>
  <c r="I21" i="16"/>
  <c r="K21" i="6"/>
  <c r="C21" i="16"/>
  <c r="H22" i="18"/>
  <c r="B21" i="16"/>
  <c r="B21" i="6"/>
  <c r="J21" i="14"/>
  <c r="X22" i="12"/>
  <c r="F21" i="18"/>
  <c r="P22" i="14"/>
  <c r="Q21" i="16"/>
  <c r="X22" i="18"/>
  <c r="P22" i="16"/>
  <c r="S21" i="6"/>
  <c r="Q21" i="18"/>
  <c r="J21" i="18"/>
  <c r="W21" i="12"/>
  <c r="S21" i="12"/>
  <c r="J21" i="16"/>
  <c r="G21" i="16"/>
  <c r="Y21" i="18"/>
  <c r="S21" i="14"/>
  <c r="H22" i="16"/>
  <c r="I21" i="18"/>
  <c r="X22" i="16"/>
  <c r="T22" i="14"/>
  <c r="L22" i="14"/>
  <c r="K21" i="14"/>
  <c r="H22" i="14"/>
  <c r="T22" i="6"/>
  <c r="V21" i="12"/>
  <c r="MV2" i="2"/>
  <c r="K21" i="12"/>
  <c r="H22" i="12"/>
  <c r="OL1" i="2" l="1"/>
  <c r="B22" i="16"/>
  <c r="G22" i="16"/>
  <c r="W22" i="14"/>
  <c r="X23" i="16"/>
  <c r="H23" i="16"/>
  <c r="G22" i="14"/>
  <c r="Z22" i="12"/>
  <c r="P23" i="14"/>
  <c r="L23" i="14"/>
  <c r="X23" i="6"/>
  <c r="K22" i="12"/>
  <c r="C22" i="12"/>
  <c r="E22" i="6"/>
  <c r="K22" i="16"/>
  <c r="P23" i="18"/>
  <c r="M22" i="6"/>
  <c r="F22" i="16"/>
  <c r="V22" i="12"/>
  <c r="C22" i="14"/>
  <c r="M22" i="16"/>
  <c r="Z22" i="18"/>
  <c r="S22" i="12"/>
  <c r="N22" i="16"/>
  <c r="I22" i="18"/>
  <c r="B22" i="14"/>
  <c r="N22" i="14"/>
  <c r="U22" i="12"/>
  <c r="M22" i="18"/>
  <c r="T23" i="16"/>
  <c r="Z22" i="14"/>
  <c r="J22" i="6"/>
  <c r="S22" i="18"/>
  <c r="M22" i="14"/>
  <c r="W22" i="18"/>
  <c r="S22" i="6"/>
  <c r="Q22" i="18"/>
  <c r="J22" i="14"/>
  <c r="P23" i="6"/>
  <c r="X23" i="18"/>
  <c r="Y22" i="6"/>
  <c r="R22" i="18"/>
  <c r="Q22" i="6"/>
  <c r="S22" i="16"/>
  <c r="C22" i="16"/>
  <c r="P23" i="12"/>
  <c r="O22" i="16"/>
  <c r="B22" i="6"/>
  <c r="I22" i="16"/>
  <c r="E22" i="14"/>
  <c r="T23" i="6"/>
  <c r="R22" i="6"/>
  <c r="H23" i="18"/>
  <c r="J22" i="18"/>
  <c r="V22" i="18"/>
  <c r="C22" i="6"/>
  <c r="Y22" i="12"/>
  <c r="Y22" i="18"/>
  <c r="G22" i="6"/>
  <c r="F22" i="12"/>
  <c r="D23" i="6"/>
  <c r="T23" i="14"/>
  <c r="T23" i="12"/>
  <c r="W22" i="12"/>
  <c r="V22" i="6"/>
  <c r="R22" i="16"/>
  <c r="D23" i="12"/>
  <c r="L23" i="6"/>
  <c r="X23" i="12"/>
  <c r="F22" i="14"/>
  <c r="U22" i="16"/>
  <c r="O22" i="6"/>
  <c r="E22" i="16"/>
  <c r="Y22" i="16"/>
  <c r="Y22" i="14"/>
  <c r="J22" i="12"/>
  <c r="W22" i="6"/>
  <c r="B22" i="18"/>
  <c r="V22" i="14"/>
  <c r="H23" i="6"/>
  <c r="F22" i="6"/>
  <c r="N22" i="6"/>
  <c r="M22" i="12"/>
  <c r="Q22" i="12"/>
  <c r="H23" i="14"/>
  <c r="L23" i="18"/>
  <c r="L23" i="16"/>
  <c r="T23" i="18"/>
  <c r="U22" i="6"/>
  <c r="I22" i="12"/>
  <c r="N22" i="18"/>
  <c r="B22" i="12"/>
  <c r="N22" i="12"/>
  <c r="I22" i="14"/>
  <c r="J22" i="16"/>
  <c r="D23" i="14"/>
  <c r="G22" i="18"/>
  <c r="Z22" i="16"/>
  <c r="H23" i="12"/>
  <c r="U22" i="14"/>
  <c r="P23" i="16"/>
  <c r="Q22" i="16"/>
  <c r="O22" i="14"/>
  <c r="F22" i="18"/>
  <c r="D23" i="16"/>
  <c r="X23" i="14"/>
  <c r="L23" i="12"/>
  <c r="O22" i="12"/>
  <c r="Q22" i="14"/>
  <c r="K22" i="14"/>
  <c r="K22" i="6"/>
  <c r="O22" i="18"/>
  <c r="E22" i="12"/>
  <c r="NQ2" i="2"/>
  <c r="R22" i="14"/>
  <c r="V22" i="16"/>
  <c r="C22" i="18"/>
  <c r="R22" i="12"/>
  <c r="I22" i="6"/>
  <c r="Z22" i="6"/>
  <c r="U22" i="18"/>
  <c r="W22" i="16"/>
  <c r="S22" i="14"/>
  <c r="D23" i="18"/>
  <c r="K22" i="18"/>
  <c r="G22" i="12"/>
  <c r="E22" i="18"/>
  <c r="PG1" i="2" l="1"/>
  <c r="H24" i="18"/>
  <c r="V23" i="12"/>
  <c r="Z23" i="18"/>
  <c r="H24" i="14"/>
  <c r="B23" i="14"/>
  <c r="T24" i="14"/>
  <c r="T24" i="18"/>
  <c r="W23" i="12"/>
  <c r="Z23" i="16"/>
  <c r="M23" i="6"/>
  <c r="L24" i="18"/>
  <c r="X24" i="16"/>
  <c r="K23" i="12"/>
  <c r="B23" i="16"/>
  <c r="V23" i="16"/>
  <c r="D24" i="16"/>
  <c r="T24" i="6"/>
  <c r="I23" i="12"/>
  <c r="C23" i="18"/>
  <c r="V23" i="6"/>
  <c r="K23" i="18"/>
  <c r="N23" i="6"/>
  <c r="J23" i="16"/>
  <c r="H24" i="12"/>
  <c r="C23" i="12"/>
  <c r="I23" i="6"/>
  <c r="Y23" i="12"/>
  <c r="E23" i="12"/>
  <c r="M23" i="14"/>
  <c r="X24" i="18"/>
  <c r="P24" i="16"/>
  <c r="O23" i="6"/>
  <c r="P24" i="6"/>
  <c r="Y23" i="14"/>
  <c r="X24" i="14"/>
  <c r="Q23" i="16"/>
  <c r="O23" i="14"/>
  <c r="Q23" i="18"/>
  <c r="H24" i="6"/>
  <c r="L24" i="14"/>
  <c r="I23" i="14"/>
  <c r="OL2" i="2"/>
  <c r="O23" i="12"/>
  <c r="B23" i="12"/>
  <c r="E23" i="18"/>
  <c r="K23" i="6"/>
  <c r="W23" i="16"/>
  <c r="S23" i="6"/>
  <c r="U23" i="12"/>
  <c r="J23" i="12"/>
  <c r="J23" i="14"/>
  <c r="X24" i="6"/>
  <c r="K23" i="16"/>
  <c r="Y23" i="16"/>
  <c r="E23" i="16"/>
  <c r="N23" i="14"/>
  <c r="T24" i="12"/>
  <c r="N23" i="16"/>
  <c r="M23" i="12"/>
  <c r="U23" i="14"/>
  <c r="P24" i="12"/>
  <c r="T24" i="16"/>
  <c r="C23" i="14"/>
  <c r="D24" i="14"/>
  <c r="Z23" i="14"/>
  <c r="D24" i="18"/>
  <c r="J23" i="6"/>
  <c r="Z23" i="6"/>
  <c r="R23" i="14"/>
  <c r="W23" i="18"/>
  <c r="G23" i="18"/>
  <c r="W23" i="6"/>
  <c r="M23" i="18"/>
  <c r="L24" i="16"/>
  <c r="E23" i="14"/>
  <c r="S23" i="16"/>
  <c r="E23" i="6"/>
  <c r="I23" i="16"/>
  <c r="Q23" i="14"/>
  <c r="V23" i="14"/>
  <c r="D24" i="6"/>
  <c r="O23" i="18"/>
  <c r="R23" i="12"/>
  <c r="L24" i="12"/>
  <c r="C23" i="6"/>
  <c r="K23" i="14"/>
  <c r="F23" i="14"/>
  <c r="V23" i="18"/>
  <c r="F23" i="12"/>
  <c r="G23" i="14"/>
  <c r="G23" i="16"/>
  <c r="H24" i="16"/>
  <c r="F23" i="6"/>
  <c r="N23" i="18"/>
  <c r="M23" i="16"/>
  <c r="B23" i="6"/>
  <c r="O23" i="16"/>
  <c r="G23" i="6"/>
  <c r="Q23" i="12"/>
  <c r="F23" i="18"/>
  <c r="Z23" i="12"/>
  <c r="R23" i="16"/>
  <c r="R23" i="6"/>
  <c r="I23" i="18"/>
  <c r="S23" i="14"/>
  <c r="Y23" i="6"/>
  <c r="N23" i="12"/>
  <c r="U23" i="16"/>
  <c r="F23" i="16"/>
  <c r="B23" i="18"/>
  <c r="X24" i="12"/>
  <c r="W23" i="14"/>
  <c r="D24" i="12"/>
  <c r="S23" i="12"/>
  <c r="P24" i="14"/>
  <c r="P24" i="18"/>
  <c r="S23" i="18"/>
  <c r="Q23" i="6"/>
  <c r="U23" i="6"/>
  <c r="C23" i="16"/>
  <c r="R23" i="18"/>
  <c r="U23" i="18"/>
  <c r="Y23" i="18"/>
  <c r="L24" i="6"/>
  <c r="J23" i="18"/>
  <c r="G23" i="12"/>
  <c r="QB1" i="2" l="1"/>
  <c r="Y24" i="18"/>
  <c r="E24" i="14"/>
  <c r="Q24" i="16"/>
  <c r="R24" i="12"/>
  <c r="N24" i="16"/>
  <c r="S24" i="6"/>
  <c r="F24" i="6"/>
  <c r="P25" i="6"/>
  <c r="M24" i="14"/>
  <c r="E24" i="12"/>
  <c r="D25" i="18"/>
  <c r="H25" i="16"/>
  <c r="L25" i="6"/>
  <c r="L25" i="12"/>
  <c r="F24" i="16"/>
  <c r="H25" i="18"/>
  <c r="N24" i="14"/>
  <c r="U24" i="16"/>
  <c r="K24" i="14"/>
  <c r="N24" i="12"/>
  <c r="N24" i="6"/>
  <c r="K24" i="6"/>
  <c r="K24" i="18"/>
  <c r="R24" i="6"/>
  <c r="P25" i="12"/>
  <c r="T25" i="6"/>
  <c r="W24" i="18"/>
  <c r="B24" i="14"/>
  <c r="Z24" i="18"/>
  <c r="Y24" i="6"/>
  <c r="W24" i="6"/>
  <c r="W24" i="14"/>
  <c r="Q24" i="14"/>
  <c r="V24" i="14"/>
  <c r="O24" i="12"/>
  <c r="B24" i="16"/>
  <c r="Z24" i="16"/>
  <c r="L25" i="14"/>
  <c r="F24" i="14"/>
  <c r="G24" i="16"/>
  <c r="T25" i="18"/>
  <c r="S24" i="14"/>
  <c r="T25" i="12"/>
  <c r="D25" i="6"/>
  <c r="X25" i="16"/>
  <c r="Z24" i="12"/>
  <c r="K24" i="16"/>
  <c r="G24" i="14"/>
  <c r="W24" i="12"/>
  <c r="K24" i="12"/>
  <c r="X25" i="6"/>
  <c r="C24" i="14"/>
  <c r="S24" i="12"/>
  <c r="U24" i="6"/>
  <c r="C24" i="12"/>
  <c r="C24" i="16"/>
  <c r="J24" i="6"/>
  <c r="O24" i="18"/>
  <c r="Z24" i="14"/>
  <c r="V24" i="18"/>
  <c r="F24" i="18"/>
  <c r="G24" i="12"/>
  <c r="Y24" i="16"/>
  <c r="M24" i="16"/>
  <c r="I24" i="18"/>
  <c r="M24" i="6"/>
  <c r="U24" i="12"/>
  <c r="C24" i="6"/>
  <c r="H25" i="12"/>
  <c r="Q24" i="6"/>
  <c r="D25" i="16"/>
  <c r="M24" i="12"/>
  <c r="E24" i="16"/>
  <c r="N24" i="18"/>
  <c r="V24" i="12"/>
  <c r="B24" i="18"/>
  <c r="S24" i="18"/>
  <c r="U24" i="18"/>
  <c r="V24" i="16"/>
  <c r="O24" i="16"/>
  <c r="G24" i="6"/>
  <c r="C24" i="18"/>
  <c r="PG2" i="2"/>
  <c r="O24" i="14"/>
  <c r="Q24" i="18"/>
  <c r="R24" i="18"/>
  <c r="B24" i="12"/>
  <c r="D25" i="14"/>
  <c r="X25" i="14"/>
  <c r="J24" i="14"/>
  <c r="Y24" i="14"/>
  <c r="D25" i="12"/>
  <c r="I24" i="12"/>
  <c r="T25" i="16"/>
  <c r="Z24" i="6"/>
  <c r="L25" i="18"/>
  <c r="J24" i="12"/>
  <c r="G24" i="18"/>
  <c r="I24" i="16"/>
  <c r="L25" i="16"/>
  <c r="P25" i="18"/>
  <c r="F24" i="12"/>
  <c r="P25" i="16"/>
  <c r="X25" i="12"/>
  <c r="O24" i="6"/>
  <c r="Y24" i="12"/>
  <c r="H25" i="6"/>
  <c r="S24" i="16"/>
  <c r="X25" i="18"/>
  <c r="Q24" i="12"/>
  <c r="M24" i="18"/>
  <c r="J24" i="16"/>
  <c r="U24" i="14"/>
  <c r="E24" i="6"/>
  <c r="I24" i="6"/>
  <c r="J24" i="18"/>
  <c r="W24" i="16"/>
  <c r="V24" i="6"/>
  <c r="H25" i="14"/>
  <c r="P25" i="14"/>
  <c r="T25" i="14"/>
  <c r="E24" i="18"/>
  <c r="B24" i="6"/>
  <c r="R24" i="14"/>
  <c r="R24" i="16"/>
  <c r="I24" i="14"/>
  <c r="QW1" i="2" l="1"/>
  <c r="Z25" i="14"/>
  <c r="S25" i="14"/>
  <c r="R25" i="16"/>
  <c r="D26" i="6"/>
  <c r="Q25" i="12"/>
  <c r="B25" i="14"/>
  <c r="T26" i="18"/>
  <c r="Y25" i="18"/>
  <c r="G25" i="16"/>
  <c r="E25" i="12"/>
  <c r="N25" i="18"/>
  <c r="W25" i="16"/>
  <c r="B25" i="12"/>
  <c r="T26" i="16"/>
  <c r="H26" i="18"/>
  <c r="T26" i="14"/>
  <c r="H26" i="12"/>
  <c r="S25" i="12"/>
  <c r="C25" i="18"/>
  <c r="QB2" i="2"/>
  <c r="Q25" i="6"/>
  <c r="S25" i="6"/>
  <c r="K25" i="16"/>
  <c r="W25" i="6"/>
  <c r="R25" i="12"/>
  <c r="K25" i="18"/>
  <c r="M25" i="16"/>
  <c r="U25" i="12"/>
  <c r="M25" i="14"/>
  <c r="V25" i="6"/>
  <c r="H26" i="6"/>
  <c r="J25" i="18"/>
  <c r="O25" i="18"/>
  <c r="Z25" i="12"/>
  <c r="G25" i="6"/>
  <c r="M25" i="12"/>
  <c r="W25" i="14"/>
  <c r="F25" i="18"/>
  <c r="I25" i="18"/>
  <c r="N25" i="14"/>
  <c r="M25" i="6"/>
  <c r="Q25" i="14"/>
  <c r="I25" i="6"/>
  <c r="U25" i="16"/>
  <c r="G25" i="18"/>
  <c r="K25" i="14"/>
  <c r="D26" i="18"/>
  <c r="L26" i="6"/>
  <c r="N25" i="6"/>
  <c r="Y25" i="16"/>
  <c r="T26" i="6"/>
  <c r="J25" i="12"/>
  <c r="D26" i="14"/>
  <c r="L26" i="18"/>
  <c r="Q25" i="18"/>
  <c r="C25" i="12"/>
  <c r="P26" i="16"/>
  <c r="Z25" i="16"/>
  <c r="Y25" i="6"/>
  <c r="S25" i="16"/>
  <c r="E25" i="6"/>
  <c r="I25" i="16"/>
  <c r="Y25" i="14"/>
  <c r="K25" i="12"/>
  <c r="N25" i="12"/>
  <c r="I25" i="12"/>
  <c r="W25" i="18"/>
  <c r="O25" i="12"/>
  <c r="C25" i="16"/>
  <c r="W25" i="12"/>
  <c r="V25" i="16"/>
  <c r="E25" i="16"/>
  <c r="T26" i="12"/>
  <c r="O25" i="6"/>
  <c r="B25" i="16"/>
  <c r="D26" i="16"/>
  <c r="U25" i="14"/>
  <c r="U25" i="6"/>
  <c r="H26" i="16"/>
  <c r="P26" i="6"/>
  <c r="V25" i="18"/>
  <c r="E25" i="14"/>
  <c r="C25" i="14"/>
  <c r="M25" i="18"/>
  <c r="Z25" i="6"/>
  <c r="L26" i="14"/>
  <c r="Y25" i="12"/>
  <c r="R25" i="14"/>
  <c r="I25" i="14"/>
  <c r="X26" i="16"/>
  <c r="O25" i="16"/>
  <c r="F25" i="12"/>
  <c r="K25" i="6"/>
  <c r="F25" i="14"/>
  <c r="Q25" i="16"/>
  <c r="B25" i="18"/>
  <c r="J25" i="16"/>
  <c r="L26" i="12"/>
  <c r="N25" i="16"/>
  <c r="E25" i="18"/>
  <c r="V25" i="12"/>
  <c r="X26" i="14"/>
  <c r="Z25" i="18"/>
  <c r="X26" i="12"/>
  <c r="U25" i="18"/>
  <c r="S25" i="18"/>
  <c r="P26" i="18"/>
  <c r="B25" i="6"/>
  <c r="R25" i="18"/>
  <c r="P26" i="14"/>
  <c r="J25" i="14"/>
  <c r="C25" i="6"/>
  <c r="V25" i="14"/>
  <c r="G25" i="14"/>
  <c r="F25" i="6"/>
  <c r="F25" i="16"/>
  <c r="R25" i="6"/>
  <c r="D26" i="12"/>
  <c r="X26" i="18"/>
  <c r="H26" i="14"/>
  <c r="J25" i="6"/>
  <c r="G25" i="12"/>
  <c r="O25" i="14"/>
  <c r="P26" i="12"/>
  <c r="X26" i="6"/>
  <c r="L26" i="16"/>
  <c r="RR1" i="2" l="1"/>
  <c r="L27" i="14"/>
  <c r="V26" i="6"/>
  <c r="Z26" i="14"/>
  <c r="L27" i="12"/>
  <c r="F26" i="18"/>
  <c r="Y26" i="12"/>
  <c r="D27" i="18"/>
  <c r="M26" i="12"/>
  <c r="E26" i="6"/>
  <c r="M26" i="16"/>
  <c r="Y26" i="16"/>
  <c r="G26" i="16"/>
  <c r="D27" i="16"/>
  <c r="X27" i="12"/>
  <c r="U26" i="14"/>
  <c r="F26" i="16"/>
  <c r="X27" i="6"/>
  <c r="QW2" i="2"/>
  <c r="C26" i="12"/>
  <c r="G26" i="18"/>
  <c r="X27" i="14"/>
  <c r="O26" i="6"/>
  <c r="B26" i="14"/>
  <c r="P27" i="12"/>
  <c r="O26" i="18"/>
  <c r="T27" i="14"/>
  <c r="O26" i="14"/>
  <c r="H27" i="14"/>
  <c r="T27" i="16"/>
  <c r="S26" i="14"/>
  <c r="R26" i="18"/>
  <c r="E26" i="14"/>
  <c r="N26" i="6"/>
  <c r="F26" i="14"/>
  <c r="O26" i="12"/>
  <c r="L27" i="16"/>
  <c r="X27" i="18"/>
  <c r="T27" i="6"/>
  <c r="N26" i="14"/>
  <c r="I26" i="14"/>
  <c r="I26" i="12"/>
  <c r="Q26" i="6"/>
  <c r="Y26" i="18"/>
  <c r="Z26" i="6"/>
  <c r="B26" i="16"/>
  <c r="H27" i="12"/>
  <c r="B26" i="6"/>
  <c r="N26" i="12"/>
  <c r="M26" i="18"/>
  <c r="N26" i="16"/>
  <c r="K26" i="18"/>
  <c r="K26" i="14"/>
  <c r="D27" i="12"/>
  <c r="P27" i="14"/>
  <c r="R26" i="14"/>
  <c r="K26" i="6"/>
  <c r="H27" i="6"/>
  <c r="U26" i="6"/>
  <c r="G26" i="12"/>
  <c r="E26" i="18"/>
  <c r="Z26" i="12"/>
  <c r="R26" i="6"/>
  <c r="I26" i="6"/>
  <c r="J26" i="16"/>
  <c r="D27" i="6"/>
  <c r="V26" i="16"/>
  <c r="C26" i="14"/>
  <c r="C26" i="16"/>
  <c r="Q26" i="16"/>
  <c r="I26" i="18"/>
  <c r="W26" i="14"/>
  <c r="S26" i="16"/>
  <c r="B26" i="18"/>
  <c r="H27" i="18"/>
  <c r="F26" i="12"/>
  <c r="V26" i="12"/>
  <c r="Z26" i="18"/>
  <c r="J26" i="14"/>
  <c r="Q26" i="12"/>
  <c r="J26" i="12"/>
  <c r="W26" i="12"/>
  <c r="Y26" i="6"/>
  <c r="J26" i="6"/>
  <c r="W26" i="16"/>
  <c r="C26" i="18"/>
  <c r="T27" i="18"/>
  <c r="G26" i="14"/>
  <c r="R26" i="12"/>
  <c r="V26" i="14"/>
  <c r="B26" i="12"/>
  <c r="T27" i="12"/>
  <c r="H27" i="16"/>
  <c r="K26" i="16"/>
  <c r="F26" i="6"/>
  <c r="P27" i="6"/>
  <c r="I26" i="16"/>
  <c r="W26" i="6"/>
  <c r="S26" i="6"/>
  <c r="L27" i="6"/>
  <c r="V26" i="18"/>
  <c r="Z26" i="16"/>
  <c r="D27" i="14"/>
  <c r="U26" i="12"/>
  <c r="X27" i="16"/>
  <c r="E26" i="16"/>
  <c r="C26" i="6"/>
  <c r="U26" i="16"/>
  <c r="P27" i="16"/>
  <c r="E26" i="12"/>
  <c r="R26" i="16"/>
  <c r="M26" i="6"/>
  <c r="S26" i="12"/>
  <c r="M26" i="14"/>
  <c r="P27" i="18"/>
  <c r="L27" i="18"/>
  <c r="W26" i="18"/>
  <c r="J26" i="18"/>
  <c r="O26" i="16"/>
  <c r="K26" i="12"/>
  <c r="N26" i="18"/>
  <c r="Q26" i="18"/>
  <c r="Y26" i="14"/>
  <c r="U26" i="18"/>
  <c r="Q26" i="14"/>
  <c r="S26" i="18"/>
  <c r="G26" i="6"/>
  <c r="SM1" i="2" l="1"/>
  <c r="U27" i="12"/>
  <c r="O27" i="14"/>
  <c r="Y27" i="12"/>
  <c r="L28" i="18"/>
  <c r="Z27" i="6"/>
  <c r="K27" i="16"/>
  <c r="G27" i="18"/>
  <c r="U27" i="14"/>
  <c r="Z27" i="12"/>
  <c r="F27" i="14"/>
  <c r="O27" i="12"/>
  <c r="N27" i="12"/>
  <c r="P28" i="18"/>
  <c r="B27" i="6"/>
  <c r="B27" i="18"/>
  <c r="S27" i="14"/>
  <c r="P28" i="6"/>
  <c r="U27" i="6"/>
  <c r="H28" i="18"/>
  <c r="Z27" i="14"/>
  <c r="H28" i="6"/>
  <c r="U27" i="16"/>
  <c r="G27" i="12"/>
  <c r="R27" i="18"/>
  <c r="V27" i="18"/>
  <c r="F27" i="12"/>
  <c r="RR2" i="2"/>
  <c r="N27" i="16"/>
  <c r="G27" i="16"/>
  <c r="T28" i="6"/>
  <c r="S27" i="6"/>
  <c r="Q27" i="18"/>
  <c r="B27" i="16"/>
  <c r="M27" i="16"/>
  <c r="K27" i="12"/>
  <c r="M27" i="14"/>
  <c r="K27" i="6"/>
  <c r="M27" i="12"/>
  <c r="J27" i="16"/>
  <c r="Q27" i="16"/>
  <c r="X28" i="6"/>
  <c r="I27" i="18"/>
  <c r="L28" i="12"/>
  <c r="H28" i="12"/>
  <c r="T28" i="18"/>
  <c r="I27" i="16"/>
  <c r="W27" i="6"/>
  <c r="D28" i="18"/>
  <c r="K27" i="14"/>
  <c r="Q27" i="12"/>
  <c r="R27" i="6"/>
  <c r="F27" i="6"/>
  <c r="O27" i="6"/>
  <c r="Y27" i="14"/>
  <c r="X28" i="12"/>
  <c r="F27" i="18"/>
  <c r="J27" i="14"/>
  <c r="W27" i="16"/>
  <c r="V27" i="12"/>
  <c r="G27" i="14"/>
  <c r="O27" i="18"/>
  <c r="N27" i="18"/>
  <c r="F27" i="16"/>
  <c r="W27" i="12"/>
  <c r="O27" i="16"/>
  <c r="B27" i="12"/>
  <c r="V27" i="14"/>
  <c r="I27" i="14"/>
  <c r="W27" i="18"/>
  <c r="D28" i="12"/>
  <c r="R27" i="12"/>
  <c r="Z27" i="16"/>
  <c r="S27" i="12"/>
  <c r="C27" i="18"/>
  <c r="U27" i="18"/>
  <c r="E27" i="18"/>
  <c r="K27" i="18"/>
  <c r="D28" i="6"/>
  <c r="Z27" i="18"/>
  <c r="S27" i="18"/>
  <c r="E27" i="6"/>
  <c r="X28" i="18"/>
  <c r="R27" i="14"/>
  <c r="C27" i="6"/>
  <c r="J27" i="6"/>
  <c r="V27" i="16"/>
  <c r="M27" i="6"/>
  <c r="T28" i="12"/>
  <c r="Y27" i="16"/>
  <c r="Y27" i="6"/>
  <c r="I27" i="12"/>
  <c r="N27" i="14"/>
  <c r="V27" i="6"/>
  <c r="M27" i="18"/>
  <c r="C27" i="14"/>
  <c r="S27" i="16"/>
  <c r="P28" i="12"/>
  <c r="Y27" i="18"/>
  <c r="Q27" i="6"/>
  <c r="Q27" i="14"/>
  <c r="J27" i="12"/>
  <c r="N27" i="6"/>
  <c r="J27" i="18"/>
  <c r="B27" i="14"/>
  <c r="L28" i="6"/>
  <c r="R27" i="16"/>
  <c r="E27" i="12"/>
  <c r="W27" i="14"/>
  <c r="G27" i="6"/>
  <c r="C27" i="12"/>
  <c r="C27" i="16"/>
  <c r="I27" i="6"/>
  <c r="E27" i="14"/>
  <c r="E27" i="16"/>
  <c r="TH1" i="2" l="1"/>
  <c r="K28" i="18"/>
  <c r="O28" i="18"/>
  <c r="H29" i="12"/>
  <c r="N28" i="18"/>
  <c r="E28" i="12"/>
  <c r="D29" i="12"/>
  <c r="X29" i="18"/>
  <c r="I28" i="18"/>
  <c r="Q28" i="6"/>
  <c r="U28" i="18"/>
  <c r="I28" i="12"/>
  <c r="Q28" i="12"/>
  <c r="G28" i="18"/>
  <c r="S28" i="18"/>
  <c r="V28" i="18"/>
  <c r="O28" i="6"/>
  <c r="S28" i="12"/>
  <c r="V28" i="6"/>
  <c r="F28" i="6"/>
  <c r="U28" i="12"/>
  <c r="C28" i="12"/>
  <c r="Y28" i="6"/>
  <c r="I28" i="6"/>
  <c r="C28" i="18"/>
  <c r="D29" i="18"/>
  <c r="Z28" i="12"/>
  <c r="B28" i="18"/>
  <c r="SM2" i="2"/>
  <c r="M28" i="12"/>
  <c r="P29" i="18"/>
  <c r="F28" i="18"/>
  <c r="T29" i="12"/>
  <c r="U28" i="6"/>
  <c r="Z28" i="6"/>
  <c r="Y28" i="12"/>
  <c r="H29" i="18"/>
  <c r="S28" i="6"/>
  <c r="X29" i="12"/>
  <c r="B28" i="6"/>
  <c r="K28" i="12"/>
  <c r="G28" i="12"/>
  <c r="V28" i="12"/>
  <c r="W28" i="6"/>
  <c r="R28" i="18"/>
  <c r="J28" i="6"/>
  <c r="O28" i="12"/>
  <c r="N28" i="12"/>
  <c r="W28" i="18"/>
  <c r="N28" i="6"/>
  <c r="P29" i="12"/>
  <c r="K28" i="6"/>
  <c r="M28" i="18"/>
  <c r="C28" i="6"/>
  <c r="Z28" i="18"/>
  <c r="L29" i="18"/>
  <c r="R28" i="12"/>
  <c r="M28" i="6"/>
  <c r="E28" i="6"/>
  <c r="T29" i="18"/>
  <c r="J28" i="12"/>
  <c r="Q28" i="18"/>
  <c r="E28" i="18"/>
  <c r="B28" i="12"/>
  <c r="L29" i="12"/>
  <c r="W28" i="12"/>
  <c r="G28" i="6"/>
  <c r="R28" i="6"/>
  <c r="J28" i="18"/>
  <c r="Y28" i="18"/>
  <c r="F28" i="12"/>
  <c r="TY1" i="2" l="1"/>
  <c r="C29" i="18"/>
  <c r="K29" i="12"/>
  <c r="Z29" i="18"/>
  <c r="S29" i="18"/>
  <c r="F29" i="18"/>
  <c r="V29" i="12"/>
  <c r="X30" i="18"/>
  <c r="S29" i="12"/>
  <c r="I29" i="12"/>
  <c r="B29" i="18"/>
  <c r="K29" i="18"/>
  <c r="C29" i="12"/>
  <c r="D30" i="18"/>
  <c r="I29" i="18"/>
  <c r="W29" i="18"/>
  <c r="U29" i="18"/>
  <c r="Y29" i="12"/>
  <c r="M29" i="12"/>
  <c r="W29" i="12"/>
  <c r="N29" i="12"/>
  <c r="N29" i="18"/>
  <c r="Q29" i="12"/>
  <c r="Q29" i="18"/>
  <c r="M29" i="18"/>
  <c r="U29" i="12"/>
  <c r="Y29" i="18"/>
  <c r="E29" i="12"/>
  <c r="V29" i="18"/>
  <c r="O29" i="18"/>
  <c r="G29" i="18"/>
  <c r="Z29" i="12"/>
  <c r="F29" i="12"/>
  <c r="R29" i="18"/>
  <c r="H30" i="18"/>
  <c r="L30" i="18"/>
  <c r="TH2" i="2"/>
  <c r="P30" i="18"/>
  <c r="G29" i="12"/>
  <c r="J29" i="18"/>
  <c r="J29" i="12"/>
  <c r="B29" i="12"/>
  <c r="T30" i="18"/>
  <c r="R29" i="12"/>
  <c r="E29" i="18"/>
  <c r="O29" i="12"/>
  <c r="UP1" i="2" l="1"/>
  <c r="Q30" i="18"/>
  <c r="B30" i="18"/>
  <c r="M30" i="18"/>
  <c r="P31" i="18"/>
  <c r="S30" i="18"/>
  <c r="U30" i="18"/>
  <c r="W30" i="18"/>
  <c r="V30" i="18"/>
  <c r="TY2" i="2"/>
  <c r="C30" i="18"/>
  <c r="X31" i="18"/>
  <c r="D31" i="18"/>
  <c r="K30" i="18"/>
  <c r="E30" i="18"/>
  <c r="Z30" i="18"/>
  <c r="J30" i="18"/>
  <c r="Y30" i="18"/>
  <c r="F30" i="18"/>
  <c r="I30" i="18"/>
  <c r="L31" i="18"/>
  <c r="H31" i="18"/>
  <c r="G30" i="18"/>
  <c r="R30" i="18"/>
  <c r="O30" i="18"/>
  <c r="N30" i="18"/>
  <c r="T31" i="18"/>
  <c r="VG1" i="2" l="1"/>
  <c r="F31" i="18"/>
  <c r="Z31" i="18"/>
  <c r="Q31" i="18"/>
  <c r="UP2" i="2"/>
  <c r="K31" i="18"/>
  <c r="G31" i="18"/>
  <c r="Y31" i="18"/>
  <c r="V31" i="18"/>
  <c r="N31" i="18"/>
  <c r="I31" i="18"/>
  <c r="J31" i="18"/>
  <c r="B31" i="18"/>
  <c r="C31" i="18"/>
  <c r="R31" i="18"/>
  <c r="S31" i="18"/>
  <c r="O31" i="18"/>
  <c r="U31" i="18"/>
  <c r="W31" i="18"/>
  <c r="E31" i="18"/>
  <c r="M31" i="18"/>
  <c r="VX1" i="2" l="1"/>
  <c r="VG2" i="2"/>
  <c r="VX2" i="2"/>
</calcChain>
</file>

<file path=xl/sharedStrings.xml><?xml version="1.0" encoding="utf-8"?>
<sst xmlns="http://schemas.openxmlformats.org/spreadsheetml/2006/main" count="5083" uniqueCount="209">
  <si>
    <t>Bilan annuel par domaine</t>
  </si>
  <si>
    <t>Liste de la classe:</t>
  </si>
  <si>
    <t>D1</t>
  </si>
  <si>
    <t>D2</t>
  </si>
  <si>
    <t>D3</t>
  </si>
  <si>
    <t>D4</t>
  </si>
  <si>
    <t>D5</t>
  </si>
  <si>
    <t>1er 
trimestre</t>
  </si>
  <si>
    <t>2ème 
trimestre</t>
  </si>
  <si>
    <t>3ème 
trimestre</t>
  </si>
  <si>
    <t>Année</t>
  </si>
  <si>
    <t xml:space="preserve">Domaine 1
Composante 3 </t>
  </si>
  <si>
    <t>D1-3/1</t>
  </si>
  <si>
    <t>D1-3/2</t>
  </si>
  <si>
    <t>D1-3/3</t>
  </si>
  <si>
    <t>D1-3/4</t>
  </si>
  <si>
    <t>D1-3/5</t>
  </si>
  <si>
    <t xml:space="preserve">Domaine 2 </t>
  </si>
  <si>
    <t>Domaine 3</t>
  </si>
  <si>
    <t xml:space="preserve"> D3/1</t>
  </si>
  <si>
    <t xml:space="preserve">Domaine 4 </t>
  </si>
  <si>
    <t>D4/1</t>
  </si>
  <si>
    <t>D4/2</t>
  </si>
  <si>
    <t>D4/3</t>
  </si>
  <si>
    <t>Domaine 5</t>
  </si>
  <si>
    <t xml:space="preserve"> D5/1</t>
  </si>
  <si>
    <t>Note   /20</t>
  </si>
  <si>
    <t>A</t>
  </si>
  <si>
    <t>B</t>
  </si>
  <si>
    <t>C</t>
  </si>
  <si>
    <t>D</t>
  </si>
  <si>
    <t>1e tri</t>
  </si>
  <si>
    <t>2e tri</t>
  </si>
  <si>
    <t>3e tri</t>
  </si>
  <si>
    <t>Coeff</t>
  </si>
  <si>
    <t>Num_elève</t>
  </si>
  <si>
    <t>AP</t>
  </si>
  <si>
    <t>D3/2</t>
  </si>
  <si>
    <t>Note globale</t>
  </si>
  <si>
    <t>Notation</t>
  </si>
  <si>
    <t>Classe
2017 2018</t>
  </si>
  <si>
    <t>Nom de la feuille liée</t>
  </si>
  <si>
    <t>Indice  de liste</t>
  </si>
  <si>
    <t>Lignes des domaines</t>
  </si>
  <si>
    <t>Décalage</t>
  </si>
  <si>
    <t>D2/2</t>
  </si>
  <si>
    <t>D1-3/3 - AP</t>
  </si>
  <si>
    <t xml:space="preserve"> D2/1</t>
  </si>
  <si>
    <t xml:space="preserve"> D2/2 - AP</t>
  </si>
  <si>
    <t>BEAUJARD Vianney</t>
  </si>
  <si>
    <t>BERNARDOFF Simon</t>
  </si>
  <si>
    <t>BERTRAND Paul</t>
  </si>
  <si>
    <t>BINET Charlotte</t>
  </si>
  <si>
    <t>BRAND Augustin</t>
  </si>
  <si>
    <t>BRUN Hinatea</t>
  </si>
  <si>
    <t>CASELLA Alban</t>
  </si>
  <si>
    <t>CHAPELLIER Sophie</t>
  </si>
  <si>
    <t>DESJARDIN Ines</t>
  </si>
  <si>
    <t>DINZART Lucas</t>
  </si>
  <si>
    <t>GATINE Bertrand</t>
  </si>
  <si>
    <t>GLEISBERG Margaux</t>
  </si>
  <si>
    <t>HEINTZ Claire</t>
  </si>
  <si>
    <t>HUE Domitille</t>
  </si>
  <si>
    <t>LALLEMENT Claire</t>
  </si>
  <si>
    <t>LE CLEZIO Victoria</t>
  </si>
  <si>
    <t>MARCHAND Clotilde</t>
  </si>
  <si>
    <t>MAROIS Clotilde</t>
  </si>
  <si>
    <t>PERROTIN Guillemette</t>
  </si>
  <si>
    <t>PESCHARD Anne-Fleur</t>
  </si>
  <si>
    <t>PICARD Camille</t>
  </si>
  <si>
    <t>PINCON--LACHAUD Jeanne</t>
  </si>
  <si>
    <t>ROQUETA Clement</t>
  </si>
  <si>
    <t>VIRLOUVET Ines</t>
  </si>
  <si>
    <t>YAZID Ilian</t>
  </si>
  <si>
    <t>3ème1</t>
  </si>
  <si>
    <t>3ème2</t>
  </si>
  <si>
    <t>3ème3</t>
  </si>
  <si>
    <t>3ème4</t>
  </si>
  <si>
    <t>3ème5</t>
  </si>
  <si>
    <t>ALEXANDRE Solene</t>
  </si>
  <si>
    <t>BARILLER Benjamin</t>
  </si>
  <si>
    <t>BAULIN Mathilde</t>
  </si>
  <si>
    <t>BERGER Marie-Alix</t>
  </si>
  <si>
    <t>BES DE BERC Laure</t>
  </si>
  <si>
    <t>BESSON Margaux</t>
  </si>
  <si>
    <t>BOULESTREAU Paul</t>
  </si>
  <si>
    <t>BREDIN Carl</t>
  </si>
  <si>
    <t>DAUCHEL Eve</t>
  </si>
  <si>
    <t>DE FRANCE Malo</t>
  </si>
  <si>
    <t>DESECOT Marie-Domitille</t>
  </si>
  <si>
    <t>GAUTIER-BRANDICOURT Barthelemy</t>
  </si>
  <si>
    <t>GIBIER Louise</t>
  </si>
  <si>
    <t>GUILLAUD-VALLEE Jeanne</t>
  </si>
  <si>
    <t>HOURI Alexane</t>
  </si>
  <si>
    <t>IMHOFF Logan</t>
  </si>
  <si>
    <t>JASNIN Violaine</t>
  </si>
  <si>
    <t>LE BOULAIRE Maelys</t>
  </si>
  <si>
    <t>LOMANTO Roxane</t>
  </si>
  <si>
    <t>MANZANARES Hugo</t>
  </si>
  <si>
    <t>MOQUET Morgane</t>
  </si>
  <si>
    <t>NOSMAS Charlotte</t>
  </si>
  <si>
    <t>REYNAUD Marie- Xavie</t>
  </si>
  <si>
    <t>SECHET Henri</t>
  </si>
  <si>
    <t>VRAIN Marie-Alix</t>
  </si>
  <si>
    <t>WENZEL Thomas</t>
  </si>
  <si>
    <t>AOUILLE Ethan</t>
  </si>
  <si>
    <t>BATTAGLINI Pauline</t>
  </si>
  <si>
    <t>DAUDIER Balthazar</t>
  </si>
  <si>
    <t>DEMOCRATE Charlotte</t>
  </si>
  <si>
    <t>DEVIGNAC Vladimir</t>
  </si>
  <si>
    <t>FITOUSSI Emma-Hanna</t>
  </si>
  <si>
    <t>FONTAINE Adrien</t>
  </si>
  <si>
    <t>FRUGIER Manon</t>
  </si>
  <si>
    <t>GANCI Marie</t>
  </si>
  <si>
    <t>GILLES Camille</t>
  </si>
  <si>
    <t>HARAN Clemence</t>
  </si>
  <si>
    <t>HERTEAU Charles</t>
  </si>
  <si>
    <t>JANVIER Axel</t>
  </si>
  <si>
    <t>KERMOAL Dorian</t>
  </si>
  <si>
    <t>LI Eloise</t>
  </si>
  <si>
    <t>LIOT DE NORTBECOURT Ines</t>
  </si>
  <si>
    <t>MAQUET Berengere</t>
  </si>
  <si>
    <t>MARIMOT Loic</t>
  </si>
  <si>
    <t>MATIGNON Quentin</t>
  </si>
  <si>
    <t>MORIAMEZ Anna</t>
  </si>
  <si>
    <t>PERROUIN Maelys</t>
  </si>
  <si>
    <t>PETITJEAN Alix</t>
  </si>
  <si>
    <t>RATTIER Justine</t>
  </si>
  <si>
    <t>VERNA Anaelle</t>
  </si>
  <si>
    <t>BESSON Laura</t>
  </si>
  <si>
    <t>BRILLON Lison</t>
  </si>
  <si>
    <t>CARLES Therese</t>
  </si>
  <si>
    <t>COSTA Louise</t>
  </si>
  <si>
    <t>DOUCET Leopold</t>
  </si>
  <si>
    <t>DU PEYROUX Zelie</t>
  </si>
  <si>
    <t>DUMONT Hector</t>
  </si>
  <si>
    <t>GRAINDORGE Thomas</t>
  </si>
  <si>
    <t>HIRTZ Capucine</t>
  </si>
  <si>
    <t>INACIO Agathe</t>
  </si>
  <si>
    <t>LE BORGNE Arthur</t>
  </si>
  <si>
    <t>MAGNANT Josephine</t>
  </si>
  <si>
    <t>METTIER Fabian</t>
  </si>
  <si>
    <t>MONIN Justine</t>
  </si>
  <si>
    <t>MONNIER Charlotte</t>
  </si>
  <si>
    <t>MORIOU Henri</t>
  </si>
  <si>
    <t>NGO NGII Marie-Yaelle</t>
  </si>
  <si>
    <t>POTIN Mayeul</t>
  </si>
  <si>
    <t>RICHARD Callixte</t>
  </si>
  <si>
    <t>ROGER Theo</t>
  </si>
  <si>
    <t>ROUSSEAU Deo-Gracias</t>
  </si>
  <si>
    <t>SAUVAGE Alexis</t>
  </si>
  <si>
    <t>THIOU Esther</t>
  </si>
  <si>
    <t>WENZEL Marie</t>
  </si>
  <si>
    <t>BLANC Mathis</t>
  </si>
  <si>
    <t>BOUCHER Cesar</t>
  </si>
  <si>
    <t>BOUSSION Vianney</t>
  </si>
  <si>
    <t>BRABANT Maud</t>
  </si>
  <si>
    <t>BREYSSE Camille</t>
  </si>
  <si>
    <t>CABANEL Marie</t>
  </si>
  <si>
    <t>CHADOUTAUD Capucine</t>
  </si>
  <si>
    <t>CHAVELET Marie</t>
  </si>
  <si>
    <t>COSTA Nina</t>
  </si>
  <si>
    <t>COSTA Thomas</t>
  </si>
  <si>
    <t>DAUCHET Clementine</t>
  </si>
  <si>
    <t>FERRO Julia</t>
  </si>
  <si>
    <t>FREY Auguste</t>
  </si>
  <si>
    <t>GIGON Justine</t>
  </si>
  <si>
    <t>GUIMARD Felicie</t>
  </si>
  <si>
    <t>HERBRETEAU Damien</t>
  </si>
  <si>
    <t>HESLOIN Noé</t>
  </si>
  <si>
    <t>LE FORBAN Arnoult</t>
  </si>
  <si>
    <t>LESNE Augustin</t>
  </si>
  <si>
    <t>LORIOUX Maud</t>
  </si>
  <si>
    <t>MALAQUIN Matthieu</t>
  </si>
  <si>
    <t>MARCONNET- REGIDOR Matthieu</t>
  </si>
  <si>
    <t>MAUGE Lili</t>
  </si>
  <si>
    <t>NERISSON Armance</t>
  </si>
  <si>
    <t>PORTAIS Arthur</t>
  </si>
  <si>
    <t>QUEFFELEC Anatole</t>
  </si>
  <si>
    <t>ROBINEAU-BOURGNEUF Albane</t>
  </si>
  <si>
    <t>ROUSSEAU Philibert</t>
  </si>
  <si>
    <t>Classe</t>
  </si>
  <si>
    <t>Liste 3ème</t>
  </si>
  <si>
    <t>Classe 3ème 1
2017 2018</t>
  </si>
  <si>
    <t>Classe (3ème1)</t>
  </si>
  <si>
    <t>Elève (3ème1)</t>
  </si>
  <si>
    <t>Classe 3ème 2
2017 2018</t>
  </si>
  <si>
    <t>Elève (3ème2)</t>
  </si>
  <si>
    <t>Classe (3ème2)</t>
  </si>
  <si>
    <t>Classe 3ème 3
2017 2018</t>
  </si>
  <si>
    <t>Elève (3ème3)</t>
  </si>
  <si>
    <t>Classe (3ème3)</t>
  </si>
  <si>
    <t>Elève (3ème4)</t>
  </si>
  <si>
    <t>Classe (3ème4)</t>
  </si>
  <si>
    <t>Classe 3ème 5
2017 2018</t>
  </si>
  <si>
    <t>Elève (3ème5)</t>
  </si>
  <si>
    <t>Classe (3ème5)</t>
  </si>
  <si>
    <t>Frise atome</t>
  </si>
  <si>
    <t>Frisde atome</t>
  </si>
  <si>
    <t>Evaluation CH1 CH2</t>
  </si>
  <si>
    <t>Evaluations par trimestre</t>
  </si>
  <si>
    <t>1er tri</t>
  </si>
  <si>
    <t>Fiche O1/1</t>
  </si>
  <si>
    <t>Fiche O2/3</t>
  </si>
  <si>
    <t>EC</t>
  </si>
  <si>
    <t>Fiche CH3/3</t>
  </si>
  <si>
    <t>Fiche CH3/4</t>
  </si>
  <si>
    <t>EPI</t>
  </si>
  <si>
    <t>Fiche CH4/4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</si>
</sst>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</font>
    <font>
      <sz val="10"/>
      <name val="Arial"/>
      <family val="2"/>
    </font>
    <font>
      <b/>
      <sz val="11"/>
      <color theme="1"/>
      <name val="Comic Sans MS"/>
      <family val="4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3CAA22"/>
        <bgColor indexed="64"/>
      </patternFill>
    </fill>
    <fill>
      <patternFill patternType="solid">
        <fgColor rgb="FFB07BD7"/>
        <bgColor indexed="64"/>
      </patternFill>
    </fill>
    <fill>
      <patternFill patternType="solid">
        <fgColor rgb="FFFFCF37"/>
        <bgColor indexed="64"/>
      </patternFill>
    </fill>
    <fill>
      <patternFill patternType="solid">
        <fgColor rgb="FFFF5D3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5"/>
        <bgColor indexed="64"/>
      </patternFill>
    </fill>
  </fills>
  <borders count="8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dashed">
        <color indexed="64"/>
      </bottom>
      <diagonal/>
    </border>
    <border>
      <left/>
      <right/>
      <top style="double">
        <color indexed="64"/>
      </top>
      <bottom style="dashed">
        <color indexed="64"/>
      </bottom>
      <diagonal/>
    </border>
    <border>
      <left/>
      <right style="medium">
        <color indexed="64"/>
      </right>
      <top style="double">
        <color indexed="64"/>
      </top>
      <bottom style="dashed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/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 style="mediumDashed">
        <color indexed="64"/>
      </left>
      <right style="medium">
        <color indexed="64"/>
      </right>
      <top style="dashed">
        <color indexed="64"/>
      </top>
      <bottom style="double">
        <color indexed="64"/>
      </bottom>
      <diagonal/>
    </border>
    <border>
      <left style="medium">
        <color indexed="64"/>
      </left>
      <right/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mediumDashed">
        <color indexed="64"/>
      </right>
      <top style="dashed">
        <color indexed="64"/>
      </top>
      <bottom style="double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/>
      <right/>
      <top style="dashed">
        <color indexed="64"/>
      </top>
      <bottom style="double">
        <color indexed="64"/>
      </bottom>
      <diagonal/>
    </border>
    <border>
      <left style="dashed">
        <color indexed="64"/>
      </left>
      <right/>
      <top style="dashed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234">
    <xf numFmtId="0" fontId="0" fillId="0" borderId="0" xfId="0"/>
    <xf numFmtId="0" fontId="0" fillId="0" borderId="0" xfId="0" applyAlignment="1">
      <alignment horizontal="center" vertical="center"/>
    </xf>
    <xf numFmtId="0" fontId="0" fillId="0" borderId="35" xfId="0" applyBorder="1" applyAlignment="1" applyProtection="1">
      <alignment horizontal="center" vertical="center"/>
    </xf>
    <xf numFmtId="0" fontId="0" fillId="0" borderId="43" xfId="0" applyBorder="1" applyAlignment="1" applyProtection="1">
      <alignment horizontal="center" vertical="center"/>
    </xf>
    <xf numFmtId="0" fontId="0" fillId="0" borderId="45" xfId="0" applyBorder="1" applyAlignment="1" applyProtection="1">
      <alignment horizontal="center" vertical="center"/>
    </xf>
    <xf numFmtId="0" fontId="0" fillId="0" borderId="36" xfId="0" applyBorder="1" applyAlignment="1" applyProtection="1">
      <alignment horizontal="center" vertical="center"/>
    </xf>
    <xf numFmtId="0" fontId="0" fillId="0" borderId="21" xfId="0" applyBorder="1" applyAlignment="1" applyProtection="1">
      <alignment horizontal="center" vertical="center"/>
    </xf>
    <xf numFmtId="0" fontId="0" fillId="0" borderId="49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center" vertical="center"/>
    </xf>
    <xf numFmtId="0" fontId="0" fillId="0" borderId="0" xfId="0" applyProtection="1"/>
    <xf numFmtId="0" fontId="0" fillId="0" borderId="17" xfId="0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/>
    </xf>
    <xf numFmtId="0" fontId="0" fillId="0" borderId="20" xfId="0" applyBorder="1" applyAlignment="1" applyProtection="1">
      <alignment horizontal="center" vertical="center"/>
    </xf>
    <xf numFmtId="0" fontId="0" fillId="0" borderId="23" xfId="0" applyBorder="1" applyAlignment="1" applyProtection="1">
      <alignment horizontal="center" vertical="center"/>
    </xf>
    <xf numFmtId="0" fontId="0" fillId="0" borderId="24" xfId="0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</xf>
    <xf numFmtId="0" fontId="0" fillId="0" borderId="40" xfId="0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0" fillId="14" borderId="51" xfId="0" applyFill="1" applyBorder="1" applyAlignment="1" applyProtection="1">
      <alignment horizontal="center" vertical="center"/>
    </xf>
    <xf numFmtId="0" fontId="0" fillId="15" borderId="13" xfId="0" applyFill="1" applyBorder="1" applyAlignment="1" applyProtection="1">
      <alignment horizontal="center" vertical="center"/>
    </xf>
    <xf numFmtId="0" fontId="0" fillId="15" borderId="15" xfId="0" applyFill="1" applyBorder="1" applyAlignment="1" applyProtection="1">
      <alignment horizontal="center" vertical="center" wrapText="1"/>
    </xf>
    <xf numFmtId="0" fontId="0" fillId="15" borderId="14" xfId="0" applyFill="1" applyBorder="1" applyAlignment="1" applyProtection="1">
      <alignment horizontal="center" vertical="center" wrapText="1"/>
    </xf>
    <xf numFmtId="0" fontId="0" fillId="17" borderId="64" xfId="0" applyFill="1" applyBorder="1" applyAlignment="1" applyProtection="1">
      <alignment horizontal="center" vertical="center" wrapText="1"/>
    </xf>
    <xf numFmtId="0" fontId="0" fillId="17" borderId="69" xfId="0" applyFill="1" applyBorder="1" applyAlignment="1" applyProtection="1">
      <alignment horizontal="center" vertical="center" wrapText="1"/>
    </xf>
    <xf numFmtId="0" fontId="0" fillId="12" borderId="67" xfId="0" applyFill="1" applyBorder="1" applyAlignment="1" applyProtection="1">
      <alignment horizontal="center" vertical="center" wrapText="1"/>
    </xf>
    <xf numFmtId="0" fontId="5" fillId="21" borderId="61" xfId="0" applyFont="1" applyFill="1" applyBorder="1" applyAlignment="1" applyProtection="1">
      <alignment horizontal="center" vertical="center" wrapText="1"/>
    </xf>
    <xf numFmtId="0" fontId="5" fillId="21" borderId="62" xfId="0" applyFont="1" applyFill="1" applyBorder="1" applyAlignment="1" applyProtection="1">
      <alignment horizontal="center" vertical="center" wrapText="1"/>
    </xf>
    <xf numFmtId="0" fontId="5" fillId="21" borderId="63" xfId="0" applyFont="1" applyFill="1" applyBorder="1" applyAlignment="1" applyProtection="1">
      <alignment horizontal="center" vertical="center" wrapText="1"/>
    </xf>
    <xf numFmtId="0" fontId="0" fillId="21" borderId="64" xfId="0" applyFill="1" applyBorder="1" applyAlignment="1" applyProtection="1">
      <alignment horizontal="center" vertical="center" wrapText="1"/>
    </xf>
    <xf numFmtId="0" fontId="0" fillId="21" borderId="65" xfId="0" applyFill="1" applyBorder="1" applyAlignment="1" applyProtection="1">
      <alignment horizontal="center" vertical="center" wrapText="1"/>
    </xf>
    <xf numFmtId="0" fontId="0" fillId="21" borderId="66" xfId="0" applyFill="1" applyBorder="1" applyAlignment="1" applyProtection="1">
      <alignment horizontal="center" vertical="center" wrapText="1"/>
    </xf>
    <xf numFmtId="0" fontId="0" fillId="21" borderId="63" xfId="0" applyFill="1" applyBorder="1" applyAlignment="1" applyProtection="1">
      <alignment horizontal="center" vertical="center" wrapText="1"/>
    </xf>
    <xf numFmtId="0" fontId="0" fillId="21" borderId="67" xfId="0" applyFill="1" applyBorder="1" applyAlignment="1" applyProtection="1">
      <alignment horizontal="center" vertical="center" wrapText="1"/>
    </xf>
    <xf numFmtId="0" fontId="0" fillId="21" borderId="68" xfId="0" applyFill="1" applyBorder="1" applyAlignment="1" applyProtection="1">
      <alignment horizontal="center" vertical="center" wrapText="1"/>
    </xf>
    <xf numFmtId="0" fontId="0" fillId="21" borderId="69" xfId="0" applyFill="1" applyBorder="1" applyAlignment="1" applyProtection="1">
      <alignment horizontal="center" vertical="center" wrapText="1"/>
    </xf>
    <xf numFmtId="2" fontId="0" fillId="0" borderId="49" xfId="0" applyNumberFormat="1" applyBorder="1" applyAlignment="1" applyProtection="1">
      <alignment horizontal="center" vertical="center"/>
    </xf>
    <xf numFmtId="2" fontId="0" fillId="0" borderId="43" xfId="0" applyNumberFormat="1" applyBorder="1" applyAlignment="1" applyProtection="1">
      <alignment horizontal="center" vertical="center"/>
    </xf>
    <xf numFmtId="2" fontId="0" fillId="0" borderId="44" xfId="0" applyNumberFormat="1" applyBorder="1" applyAlignment="1" applyProtection="1">
      <alignment horizontal="center" vertical="center"/>
    </xf>
    <xf numFmtId="0" fontId="1" fillId="13" borderId="12" xfId="0" applyFont="1" applyFill="1" applyBorder="1" applyAlignment="1" applyProtection="1">
      <alignment horizontal="center"/>
    </xf>
    <xf numFmtId="0" fontId="1" fillId="0" borderId="0" xfId="0" applyFont="1" applyAlignment="1" applyProtection="1">
      <alignment horizontal="center"/>
    </xf>
    <xf numFmtId="0" fontId="0" fillId="22" borderId="80" xfId="0" applyFill="1" applyBorder="1"/>
    <xf numFmtId="0" fontId="2" fillId="20" borderId="81" xfId="0" applyFont="1" applyFill="1" applyBorder="1" applyAlignment="1" applyProtection="1">
      <alignment horizontal="center" vertical="center" wrapText="1"/>
    </xf>
    <xf numFmtId="0" fontId="0" fillId="19" borderId="51" xfId="0" applyFill="1" applyBorder="1" applyAlignment="1" applyProtection="1">
      <alignment horizontal="center" vertical="center"/>
    </xf>
    <xf numFmtId="0" fontId="0" fillId="19" borderId="1" xfId="0" applyFill="1" applyBorder="1" applyAlignment="1" applyProtection="1">
      <alignment horizontal="center" vertical="center"/>
    </xf>
    <xf numFmtId="0" fontId="0" fillId="12" borderId="77" xfId="0" applyFill="1" applyBorder="1" applyAlignment="1" applyProtection="1">
      <alignment horizontal="center" vertical="center"/>
    </xf>
    <xf numFmtId="0" fontId="0" fillId="0" borderId="0" xfId="0" applyBorder="1" applyProtection="1"/>
    <xf numFmtId="0" fontId="0" fillId="19" borderId="2" xfId="0" applyFill="1" applyBorder="1" applyAlignment="1" applyProtection="1">
      <alignment horizontal="center" vertical="center"/>
    </xf>
    <xf numFmtId="0" fontId="3" fillId="2" borderId="1" xfId="1" applyFont="1" applyFill="1" applyBorder="1" applyAlignment="1" applyProtection="1">
      <alignment horizontal="left" vertical="center"/>
    </xf>
    <xf numFmtId="0" fontId="0" fillId="0" borderId="1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23" borderId="13" xfId="0" applyFill="1" applyBorder="1" applyAlignment="1">
      <alignment horizontal="centerContinuous" vertical="center"/>
    </xf>
    <xf numFmtId="0" fontId="0" fillId="23" borderId="14" xfId="0" applyFill="1" applyBorder="1" applyAlignment="1">
      <alignment horizontal="centerContinuous" vertical="center"/>
    </xf>
    <xf numFmtId="0" fontId="0" fillId="0" borderId="85" xfId="0" applyBorder="1" applyAlignment="1">
      <alignment horizontal="center" vertical="center"/>
    </xf>
    <xf numFmtId="0" fontId="0" fillId="21" borderId="85" xfId="0" applyFill="1" applyBorder="1" applyAlignment="1">
      <alignment horizontal="center" vertical="center"/>
    </xf>
    <xf numFmtId="0" fontId="0" fillId="0" borderId="0" xfId="0" applyFont="1" applyAlignment="1" applyProtection="1">
      <alignment horizontal="center" vertical="center"/>
      <protection locked="0" hidden="1"/>
    </xf>
    <xf numFmtId="0" fontId="1" fillId="0" borderId="0" xfId="0" applyFont="1" applyBorder="1" applyAlignment="1" applyProtection="1">
      <alignment horizontal="center" vertical="center" textRotation="90"/>
      <protection locked="0" hidden="1"/>
    </xf>
    <xf numFmtId="0" fontId="1" fillId="0" borderId="0" xfId="0" applyFont="1" applyBorder="1" applyAlignment="1" applyProtection="1">
      <alignment horizontal="center" vertical="center"/>
      <protection locked="0" hidden="1"/>
    </xf>
    <xf numFmtId="0" fontId="0" fillId="21" borderId="76" xfId="0" applyFont="1" applyFill="1" applyBorder="1" applyAlignment="1" applyProtection="1">
      <alignment horizontal="center" vertical="center"/>
      <protection locked="0" hidden="1"/>
    </xf>
    <xf numFmtId="0" fontId="0" fillId="0" borderId="0" xfId="0" applyProtection="1">
      <protection locked="0" hidden="1"/>
    </xf>
    <xf numFmtId="0" fontId="1" fillId="0" borderId="4" xfId="0" applyFont="1" applyBorder="1" applyAlignment="1" applyProtection="1">
      <alignment horizontal="center" vertical="center"/>
      <protection locked="0" hidden="1"/>
    </xf>
    <xf numFmtId="0" fontId="1" fillId="0" borderId="5" xfId="0" applyFont="1" applyBorder="1" applyAlignment="1" applyProtection="1">
      <alignment horizontal="center" vertical="center"/>
      <protection locked="0" hidden="1"/>
    </xf>
    <xf numFmtId="0" fontId="0" fillId="0" borderId="8" xfId="0" applyFont="1" applyBorder="1" applyAlignment="1" applyProtection="1">
      <alignment horizontal="center" vertical="center" textRotation="90"/>
      <protection locked="0" hidden="1"/>
    </xf>
    <xf numFmtId="0" fontId="0" fillId="0" borderId="9" xfId="0" applyFont="1" applyBorder="1" applyAlignment="1" applyProtection="1">
      <alignment horizontal="center" vertical="center" textRotation="90"/>
      <protection locked="0" hidden="1"/>
    </xf>
    <xf numFmtId="0" fontId="0" fillId="0" borderId="10" xfId="0" applyFont="1" applyBorder="1" applyAlignment="1" applyProtection="1">
      <alignment horizontal="center" vertical="center" textRotation="90"/>
      <protection locked="0" hidden="1"/>
    </xf>
    <xf numFmtId="0" fontId="1" fillId="4" borderId="3" xfId="0" applyFont="1" applyFill="1" applyBorder="1" applyAlignment="1" applyProtection="1">
      <alignment horizontal="center" vertical="center" wrapText="1"/>
      <protection locked="0" hidden="1"/>
    </xf>
    <xf numFmtId="0" fontId="1" fillId="4" borderId="7" xfId="0" applyFont="1" applyFill="1" applyBorder="1" applyAlignment="1" applyProtection="1">
      <alignment horizontal="center" vertical="center" wrapText="1"/>
      <protection locked="0" hidden="1"/>
    </xf>
    <xf numFmtId="0" fontId="0" fillId="0" borderId="11" xfId="0" applyFont="1" applyBorder="1" applyAlignment="1" applyProtection="1">
      <alignment horizontal="center" vertical="center" textRotation="90"/>
      <protection locked="0" hidden="1"/>
    </xf>
    <xf numFmtId="0" fontId="1" fillId="10" borderId="3" xfId="0" applyFont="1" applyFill="1" applyBorder="1" applyAlignment="1" applyProtection="1">
      <alignment horizontal="center" vertical="center" wrapText="1"/>
      <protection locked="0" hidden="1"/>
    </xf>
    <xf numFmtId="0" fontId="1" fillId="10" borderId="7" xfId="0" applyFont="1" applyFill="1" applyBorder="1" applyAlignment="1" applyProtection="1">
      <alignment horizontal="center" vertical="center" wrapText="1"/>
      <protection locked="0" hidden="1"/>
    </xf>
    <xf numFmtId="0" fontId="1" fillId="5" borderId="3" xfId="0" applyFont="1" applyFill="1" applyBorder="1" applyAlignment="1" applyProtection="1">
      <alignment horizontal="center" vertical="center" wrapText="1"/>
      <protection locked="0" hidden="1"/>
    </xf>
    <xf numFmtId="0" fontId="1" fillId="5" borderId="7" xfId="0" applyFont="1" applyFill="1" applyBorder="1" applyAlignment="1" applyProtection="1">
      <alignment horizontal="center" vertical="center" wrapText="1"/>
      <protection locked="0" hidden="1"/>
    </xf>
    <xf numFmtId="0" fontId="1" fillId="15" borderId="3" xfId="0" applyFont="1" applyFill="1" applyBorder="1" applyAlignment="1" applyProtection="1">
      <alignment horizontal="center" vertical="center"/>
      <protection locked="0" hidden="1"/>
    </xf>
    <xf numFmtId="0" fontId="1" fillId="15" borderId="5" xfId="0" applyFont="1" applyFill="1" applyBorder="1" applyAlignment="1" applyProtection="1">
      <alignment horizontal="center" vertical="center"/>
      <protection locked="0" hidden="1"/>
    </xf>
    <xf numFmtId="0" fontId="0" fillId="0" borderId="78" xfId="0" applyFont="1" applyBorder="1" applyAlignment="1" applyProtection="1">
      <alignment horizontal="center" vertical="center" textRotation="90"/>
      <protection locked="0" hidden="1"/>
    </xf>
    <xf numFmtId="0" fontId="0" fillId="0" borderId="15" xfId="0" applyFont="1" applyBorder="1" applyAlignment="1" applyProtection="1">
      <alignment horizontal="center" vertical="center" textRotation="90"/>
      <protection locked="0" hidden="1"/>
    </xf>
    <xf numFmtId="0" fontId="0" fillId="0" borderId="14" xfId="0" applyFont="1" applyBorder="1" applyAlignment="1" applyProtection="1">
      <alignment horizontal="center" vertical="center" textRotation="90"/>
      <protection locked="0" hidden="1"/>
    </xf>
    <xf numFmtId="0" fontId="0" fillId="0" borderId="13" xfId="0" applyFont="1" applyBorder="1" applyAlignment="1" applyProtection="1">
      <alignment horizontal="center" vertical="center" textRotation="90"/>
      <protection locked="0" hidden="1"/>
    </xf>
    <xf numFmtId="0" fontId="7" fillId="3" borderId="3" xfId="0" applyFont="1" applyFill="1" applyBorder="1" applyAlignment="1" applyProtection="1">
      <alignment horizontal="center" vertical="center" wrapText="1"/>
      <protection locked="0" hidden="1"/>
    </xf>
    <xf numFmtId="0" fontId="1" fillId="0" borderId="3" xfId="0" applyFont="1" applyBorder="1" applyAlignment="1" applyProtection="1">
      <alignment horizontal="center" vertical="center"/>
      <protection locked="0" hidden="1"/>
    </xf>
    <xf numFmtId="0" fontId="1" fillId="0" borderId="7" xfId="0" applyFont="1" applyBorder="1" applyAlignment="1" applyProtection="1">
      <alignment horizontal="center" vertical="center"/>
      <protection locked="0" hidden="1"/>
    </xf>
    <xf numFmtId="0" fontId="1" fillId="0" borderId="55" xfId="0" applyFont="1" applyFill="1" applyBorder="1" applyAlignment="1" applyProtection="1">
      <alignment horizontal="center" vertical="center"/>
      <protection locked="0" hidden="1"/>
    </xf>
    <xf numFmtId="0" fontId="0" fillId="4" borderId="7" xfId="0" applyFont="1" applyFill="1" applyBorder="1" applyAlignment="1" applyProtection="1">
      <alignment horizontal="center" vertical="center"/>
      <protection locked="0" hidden="1"/>
    </xf>
    <xf numFmtId="0" fontId="0" fillId="10" borderId="7" xfId="0" applyFont="1" applyFill="1" applyBorder="1" applyAlignment="1" applyProtection="1">
      <alignment horizontal="center" vertical="center"/>
      <protection locked="0" hidden="1"/>
    </xf>
    <xf numFmtId="0" fontId="1" fillId="0" borderId="3" xfId="0" applyFont="1" applyFill="1" applyBorder="1" applyAlignment="1" applyProtection="1">
      <alignment horizontal="center" vertical="center"/>
      <protection locked="0" hidden="1"/>
    </xf>
    <xf numFmtId="0" fontId="1" fillId="0" borderId="4" xfId="0" applyFont="1" applyFill="1" applyBorder="1" applyAlignment="1" applyProtection="1">
      <alignment horizontal="center" vertical="center"/>
      <protection locked="0" hidden="1"/>
    </xf>
    <xf numFmtId="0" fontId="1" fillId="0" borderId="7" xfId="0" applyFont="1" applyFill="1" applyBorder="1" applyAlignment="1" applyProtection="1">
      <alignment horizontal="center" vertical="center"/>
      <protection locked="0" hidden="1"/>
    </xf>
    <xf numFmtId="0" fontId="0" fillId="5" borderId="7" xfId="0" applyFont="1" applyFill="1" applyBorder="1" applyAlignment="1" applyProtection="1">
      <alignment horizontal="center" vertical="center"/>
      <protection locked="0" hidden="1"/>
    </xf>
    <xf numFmtId="0" fontId="0" fillId="0" borderId="55" xfId="0" applyFont="1" applyFill="1" applyBorder="1" applyAlignment="1" applyProtection="1">
      <alignment horizontal="center" vertical="center"/>
      <protection locked="0" hidden="1"/>
    </xf>
    <xf numFmtId="0" fontId="5" fillId="15" borderId="5" xfId="0" applyFont="1" applyFill="1" applyBorder="1" applyAlignment="1" applyProtection="1">
      <alignment horizontal="center" vertical="center"/>
      <protection locked="0" hidden="1"/>
    </xf>
    <xf numFmtId="0" fontId="1" fillId="0" borderId="0" xfId="0" applyFont="1" applyProtection="1">
      <protection locked="0" hidden="1"/>
    </xf>
    <xf numFmtId="0" fontId="0" fillId="0" borderId="17" xfId="0" applyFont="1" applyBorder="1" applyAlignment="1" applyProtection="1">
      <alignment horizontal="center" vertical="center"/>
      <protection locked="0" hidden="1"/>
    </xf>
    <xf numFmtId="0" fontId="0" fillId="0" borderId="18" xfId="0" applyFont="1" applyBorder="1" applyAlignment="1" applyProtection="1">
      <alignment horizontal="center" vertical="center"/>
      <protection locked="0" hidden="1"/>
    </xf>
    <xf numFmtId="0" fontId="0" fillId="0" borderId="19" xfId="0" applyFont="1" applyBorder="1" applyAlignment="1" applyProtection="1">
      <alignment horizontal="center" vertical="center"/>
      <protection locked="0" hidden="1"/>
    </xf>
    <xf numFmtId="0" fontId="0" fillId="0" borderId="56" xfId="0" applyFont="1" applyFill="1" applyBorder="1" applyAlignment="1" applyProtection="1">
      <alignment horizontal="center" vertical="center"/>
      <protection locked="0" hidden="1"/>
    </xf>
    <xf numFmtId="0" fontId="0" fillId="6" borderId="57" xfId="0" applyFont="1" applyFill="1" applyBorder="1" applyAlignment="1" applyProtection="1">
      <alignment horizontal="center" vertical="center"/>
      <protection locked="0" hidden="1"/>
    </xf>
    <xf numFmtId="0" fontId="5" fillId="7" borderId="53" xfId="0" applyFont="1" applyFill="1" applyBorder="1" applyAlignment="1" applyProtection="1">
      <alignment horizontal="center" vertical="center"/>
      <protection locked="0" hidden="1"/>
    </xf>
    <xf numFmtId="0" fontId="0" fillId="0" borderId="20" xfId="0" applyFont="1" applyBorder="1" applyAlignment="1" applyProtection="1">
      <alignment horizontal="center" vertical="center"/>
      <protection locked="0" hidden="1"/>
    </xf>
    <xf numFmtId="0" fontId="0" fillId="0" borderId="23" xfId="0" applyFont="1" applyBorder="1" applyAlignment="1" applyProtection="1">
      <alignment horizontal="center" vertical="center"/>
      <protection locked="0" hidden="1"/>
    </xf>
    <xf numFmtId="0" fontId="0" fillId="0" borderId="24" xfId="0" applyFont="1" applyBorder="1" applyAlignment="1" applyProtection="1">
      <alignment horizontal="center" vertical="center"/>
      <protection locked="0" hidden="1"/>
    </xf>
    <xf numFmtId="0" fontId="0" fillId="0" borderId="25" xfId="0" applyFont="1" applyBorder="1" applyAlignment="1" applyProtection="1">
      <alignment horizontal="center" vertical="center"/>
      <protection locked="0" hidden="1"/>
    </xf>
    <xf numFmtId="0" fontId="0" fillId="0" borderId="49" xfId="0" applyFont="1" applyFill="1" applyBorder="1" applyAlignment="1" applyProtection="1">
      <alignment horizontal="center" vertical="center"/>
      <protection locked="0" hidden="1"/>
    </xf>
    <xf numFmtId="0" fontId="0" fillId="6" borderId="22" xfId="0" applyFont="1" applyFill="1" applyBorder="1" applyAlignment="1" applyProtection="1">
      <alignment horizontal="center" vertical="center"/>
      <protection locked="0" hidden="1"/>
    </xf>
    <xf numFmtId="0" fontId="5" fillId="7" borderId="59" xfId="0" applyFont="1" applyFill="1" applyBorder="1" applyAlignment="1" applyProtection="1">
      <alignment horizontal="center" vertical="center"/>
      <protection locked="0" hidden="1"/>
    </xf>
    <xf numFmtId="0" fontId="0" fillId="0" borderId="26" xfId="0" applyFont="1" applyBorder="1" applyAlignment="1" applyProtection="1">
      <alignment horizontal="center" vertical="center"/>
      <protection locked="0" hidden="1"/>
    </xf>
    <xf numFmtId="0" fontId="0" fillId="0" borderId="28" xfId="0" applyFont="1" applyBorder="1" applyAlignment="1" applyProtection="1">
      <alignment horizontal="center" vertical="center"/>
      <protection locked="0" hidden="1"/>
    </xf>
    <xf numFmtId="0" fontId="0" fillId="0" borderId="29" xfId="0" applyFont="1" applyBorder="1" applyAlignment="1" applyProtection="1">
      <alignment horizontal="center" vertical="center"/>
      <protection locked="0" hidden="1"/>
    </xf>
    <xf numFmtId="0" fontId="0" fillId="0" borderId="30" xfId="0" applyFont="1" applyBorder="1" applyAlignment="1" applyProtection="1">
      <alignment horizontal="center" vertical="center"/>
      <protection locked="0" hidden="1"/>
    </xf>
    <xf numFmtId="0" fontId="0" fillId="0" borderId="54" xfId="0" applyFont="1" applyFill="1" applyBorder="1" applyAlignment="1" applyProtection="1">
      <alignment horizontal="center" vertical="center"/>
      <protection locked="0" hidden="1"/>
    </xf>
    <xf numFmtId="0" fontId="0" fillId="6" borderId="58" xfId="0" applyFont="1" applyFill="1" applyBorder="1" applyAlignment="1" applyProtection="1">
      <alignment horizontal="center" vertical="center"/>
      <protection locked="0" hidden="1"/>
    </xf>
    <xf numFmtId="0" fontId="5" fillId="7" borderId="52" xfId="0" applyFont="1" applyFill="1" applyBorder="1" applyAlignment="1" applyProtection="1">
      <alignment horizontal="center" vertical="center"/>
      <protection locked="0" hidden="1"/>
    </xf>
    <xf numFmtId="0" fontId="0" fillId="0" borderId="70" xfId="0" applyFont="1" applyBorder="1" applyAlignment="1" applyProtection="1">
      <alignment horizontal="center" vertical="center"/>
      <protection locked="0" hidden="1"/>
    </xf>
    <xf numFmtId="0" fontId="1" fillId="0" borderId="6" xfId="0" applyFont="1" applyFill="1" applyBorder="1" applyAlignment="1" applyProtection="1">
      <alignment horizontal="center" vertical="center"/>
      <protection locked="0" hidden="1"/>
    </xf>
    <xf numFmtId="0" fontId="1" fillId="0" borderId="0" xfId="0" applyFont="1" applyFill="1" applyProtection="1">
      <protection locked="0" hidden="1"/>
    </xf>
    <xf numFmtId="0" fontId="6" fillId="0" borderId="56" xfId="0" applyFont="1" applyFill="1" applyBorder="1" applyAlignment="1" applyProtection="1">
      <alignment horizontal="center" vertical="center"/>
      <protection locked="0" hidden="1"/>
    </xf>
    <xf numFmtId="0" fontId="7" fillId="8" borderId="3" xfId="0" applyFont="1" applyFill="1" applyBorder="1" applyAlignment="1" applyProtection="1">
      <alignment horizontal="center" vertical="center" wrapText="1"/>
      <protection locked="0" hidden="1"/>
    </xf>
    <xf numFmtId="0" fontId="1" fillId="0" borderId="6" xfId="0" applyFont="1" applyBorder="1" applyAlignment="1" applyProtection="1">
      <alignment horizontal="center" vertical="center"/>
      <protection locked="0" hidden="1"/>
    </xf>
    <xf numFmtId="0" fontId="6" fillId="0" borderId="54" xfId="0" applyFont="1" applyFill="1" applyBorder="1" applyAlignment="1" applyProtection="1">
      <alignment horizontal="center" vertical="center"/>
      <protection locked="0" hidden="1"/>
    </xf>
    <xf numFmtId="0" fontId="5" fillId="11" borderId="53" xfId="0" applyFont="1" applyFill="1" applyBorder="1" applyAlignment="1" applyProtection="1">
      <alignment horizontal="center" vertical="center"/>
      <protection locked="0" hidden="1"/>
    </xf>
    <xf numFmtId="0" fontId="0" fillId="0" borderId="40" xfId="0" applyFont="1" applyBorder="1" applyAlignment="1" applyProtection="1">
      <alignment horizontal="center" vertical="center"/>
      <protection locked="0" hidden="1"/>
    </xf>
    <xf numFmtId="0" fontId="0" fillId="0" borderId="41" xfId="0" applyFont="1" applyBorder="1" applyAlignment="1" applyProtection="1">
      <alignment horizontal="center" vertical="center"/>
      <protection locked="0" hidden="1"/>
    </xf>
    <xf numFmtId="0" fontId="0" fillId="0" borderId="71" xfId="0" applyFont="1" applyBorder="1" applyAlignment="1" applyProtection="1">
      <alignment horizontal="center" vertical="center"/>
      <protection locked="0" hidden="1"/>
    </xf>
    <xf numFmtId="0" fontId="0" fillId="0" borderId="50" xfId="0" applyFont="1" applyFill="1" applyBorder="1" applyAlignment="1" applyProtection="1">
      <alignment horizontal="center" vertical="center"/>
      <protection locked="0" hidden="1"/>
    </xf>
    <xf numFmtId="0" fontId="0" fillId="6" borderId="31" xfId="0" applyFont="1" applyFill="1" applyBorder="1" applyAlignment="1" applyProtection="1">
      <alignment horizontal="center" vertical="center"/>
      <protection locked="0" hidden="1"/>
    </xf>
    <xf numFmtId="0" fontId="5" fillId="7" borderId="60" xfId="0" applyFont="1" applyFill="1" applyBorder="1" applyAlignment="1" applyProtection="1">
      <alignment horizontal="center" vertical="center"/>
      <protection locked="0" hidden="1"/>
    </xf>
    <xf numFmtId="0" fontId="0" fillId="0" borderId="42" xfId="0" applyFont="1" applyBorder="1" applyAlignment="1" applyProtection="1">
      <alignment horizontal="center" vertical="center"/>
      <protection locked="0" hidden="1"/>
    </xf>
    <xf numFmtId="0" fontId="1" fillId="0" borderId="0" xfId="0" applyFont="1" applyAlignment="1" applyProtection="1">
      <alignment horizontal="center" vertical="center"/>
      <protection locked="0" hidden="1"/>
    </xf>
    <xf numFmtId="0" fontId="1" fillId="0" borderId="55" xfId="0" applyNumberFormat="1" applyFont="1" applyBorder="1" applyAlignment="1" applyProtection="1">
      <alignment horizontal="center" vertical="center"/>
      <protection locked="0" hidden="1"/>
    </xf>
    <xf numFmtId="2" fontId="0" fillId="9" borderId="79" xfId="0" applyNumberFormat="1" applyFont="1" applyFill="1" applyBorder="1" applyAlignment="1" applyProtection="1">
      <alignment horizontal="center" vertical="center"/>
      <protection locked="0" hidden="1"/>
    </xf>
    <xf numFmtId="2" fontId="0" fillId="18" borderId="79" xfId="0" applyNumberFormat="1" applyFont="1" applyFill="1" applyBorder="1" applyAlignment="1" applyProtection="1">
      <alignment horizontal="center" vertical="center"/>
      <protection locked="0" hidden="1"/>
    </xf>
    <xf numFmtId="2" fontId="0" fillId="16" borderId="79" xfId="0" applyNumberFormat="1" applyFont="1" applyFill="1" applyBorder="1" applyAlignment="1" applyProtection="1">
      <alignment horizontal="center" vertical="center"/>
      <protection locked="0" hidden="1"/>
    </xf>
    <xf numFmtId="0" fontId="4" fillId="0" borderId="0" xfId="0" applyFont="1" applyProtection="1">
      <protection locked="0" hidden="1"/>
    </xf>
    <xf numFmtId="0" fontId="4" fillId="0" borderId="0" xfId="0" applyFont="1" applyBorder="1" applyAlignment="1" applyProtection="1">
      <alignment horizontal="center" vertical="center" textRotation="90"/>
      <protection locked="0" hidden="1"/>
    </xf>
    <xf numFmtId="0" fontId="4" fillId="0" borderId="0" xfId="0" applyFont="1" applyBorder="1" applyAlignment="1" applyProtection="1">
      <alignment horizontal="center" vertical="center"/>
      <protection locked="0" hidden="1"/>
    </xf>
    <xf numFmtId="0" fontId="0" fillId="0" borderId="0" xfId="0" applyAlignment="1" applyProtection="1">
      <alignment horizontal="center" vertical="center"/>
      <protection locked="0" hidden="1"/>
    </xf>
    <xf numFmtId="0" fontId="0" fillId="19" borderId="13" xfId="0" applyFont="1" applyFill="1" applyBorder="1" applyAlignment="1" applyProtection="1">
      <alignment horizontal="center" vertical="center" wrapText="1"/>
      <protection hidden="1"/>
    </xf>
    <xf numFmtId="0" fontId="0" fillId="19" borderId="14" xfId="0" applyFont="1" applyFill="1" applyBorder="1" applyAlignment="1" applyProtection="1">
      <alignment horizontal="center" vertical="center" wrapText="1"/>
      <protection hidden="1"/>
    </xf>
    <xf numFmtId="0" fontId="0" fillId="0" borderId="39" xfId="0" applyFont="1" applyBorder="1" applyAlignment="1" applyProtection="1">
      <alignment horizontal="center" vertical="center" textRotation="90"/>
      <protection hidden="1"/>
    </xf>
    <xf numFmtId="0" fontId="0" fillId="0" borderId="74" xfId="0" applyFont="1" applyBorder="1" applyAlignment="1" applyProtection="1">
      <alignment horizontal="center" vertical="center"/>
      <protection hidden="1"/>
    </xf>
    <xf numFmtId="0" fontId="7" fillId="3" borderId="12" xfId="0" applyFont="1" applyFill="1" applyBorder="1" applyAlignment="1" applyProtection="1">
      <alignment horizontal="center" vertical="center" wrapText="1"/>
      <protection hidden="1"/>
    </xf>
    <xf numFmtId="0" fontId="7" fillId="8" borderId="12" xfId="0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1" fillId="0" borderId="4" xfId="0" applyFont="1" applyBorder="1" applyAlignment="1" applyProtection="1">
      <alignment horizontal="centerContinuous" vertical="center"/>
      <protection locked="0" hidden="1"/>
    </xf>
    <xf numFmtId="0" fontId="0" fillId="21" borderId="7" xfId="0" applyFont="1" applyFill="1" applyBorder="1" applyAlignment="1" applyProtection="1">
      <alignment horizontal="center" vertical="center"/>
      <protection hidden="1"/>
    </xf>
    <xf numFmtId="0" fontId="1" fillId="0" borderId="4" xfId="0" applyFont="1" applyBorder="1" applyAlignment="1" applyProtection="1">
      <alignment horizontal="centerContinuous"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1" fillId="0" borderId="3" xfId="0" applyFont="1" applyFill="1" applyBorder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Font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 textRotation="90"/>
      <protection hidden="1"/>
    </xf>
    <xf numFmtId="0" fontId="1" fillId="4" borderId="3" xfId="0" applyFont="1" applyFill="1" applyBorder="1" applyAlignment="1" applyProtection="1">
      <alignment horizontal="centerContinuous" vertical="center" wrapText="1"/>
      <protection hidden="1"/>
    </xf>
    <xf numFmtId="0" fontId="1" fillId="4" borderId="7" xfId="0" applyFont="1" applyFill="1" applyBorder="1" applyAlignment="1" applyProtection="1">
      <alignment horizontal="centerContinuous" vertical="center" wrapText="1"/>
      <protection hidden="1"/>
    </xf>
    <xf numFmtId="0" fontId="1" fillId="0" borderId="55" xfId="0" applyFont="1" applyFill="1" applyBorder="1" applyAlignment="1" applyProtection="1">
      <alignment horizontal="center" vertical="center"/>
      <protection hidden="1"/>
    </xf>
    <xf numFmtId="0" fontId="0" fillId="4" borderId="7" xfId="0" applyFont="1" applyFill="1" applyBorder="1" applyAlignment="1" applyProtection="1">
      <alignment horizontal="center" vertical="center"/>
      <protection hidden="1"/>
    </xf>
    <xf numFmtId="0" fontId="0" fillId="0" borderId="56" xfId="0" applyFont="1" applyFill="1" applyBorder="1" applyAlignment="1" applyProtection="1">
      <alignment horizontal="center" vertical="center"/>
      <protection hidden="1"/>
    </xf>
    <xf numFmtId="0" fontId="0" fillId="6" borderId="57" xfId="0" applyFont="1" applyFill="1" applyBorder="1" applyAlignment="1" applyProtection="1">
      <alignment horizontal="center" vertical="center"/>
      <protection hidden="1"/>
    </xf>
    <xf numFmtId="0" fontId="0" fillId="0" borderId="49" xfId="0" applyFont="1" applyFill="1" applyBorder="1" applyAlignment="1" applyProtection="1">
      <alignment horizontal="center" vertical="center"/>
      <protection hidden="1"/>
    </xf>
    <xf numFmtId="0" fontId="0" fillId="6" borderId="22" xfId="0" applyFont="1" applyFill="1" applyBorder="1" applyAlignment="1" applyProtection="1">
      <alignment horizontal="center" vertical="center"/>
      <protection hidden="1"/>
    </xf>
    <xf numFmtId="0" fontId="0" fillId="0" borderId="54" xfId="0" applyFont="1" applyFill="1" applyBorder="1" applyAlignment="1" applyProtection="1">
      <alignment horizontal="center" vertical="center"/>
      <protection hidden="1"/>
    </xf>
    <xf numFmtId="0" fontId="0" fillId="6" borderId="58" xfId="0" applyFont="1" applyFill="1" applyBorder="1" applyAlignment="1" applyProtection="1">
      <alignment horizontal="center" vertical="center"/>
      <protection hidden="1"/>
    </xf>
    <xf numFmtId="0" fontId="0" fillId="0" borderId="50" xfId="0" applyFont="1" applyFill="1" applyBorder="1" applyAlignment="1" applyProtection="1">
      <alignment horizontal="center" vertical="center"/>
      <protection hidden="1"/>
    </xf>
    <xf numFmtId="0" fontId="0" fillId="6" borderId="31" xfId="0" applyFont="1" applyFill="1" applyBorder="1" applyAlignment="1" applyProtection="1">
      <alignment horizontal="center" vertical="center"/>
      <protection hidden="1"/>
    </xf>
    <xf numFmtId="0" fontId="1" fillId="0" borderId="55" xfId="0" applyNumberFormat="1" applyFont="1" applyBorder="1" applyAlignment="1" applyProtection="1">
      <alignment horizontal="center" vertical="center"/>
      <protection hidden="1"/>
    </xf>
    <xf numFmtId="2" fontId="0" fillId="9" borderId="79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horizontal="center" vertical="center" textRotation="90"/>
      <protection hidden="1"/>
    </xf>
    <xf numFmtId="0" fontId="1" fillId="10" borderId="3" xfId="0" applyFont="1" applyFill="1" applyBorder="1" applyAlignment="1" applyProtection="1">
      <alignment horizontal="centerContinuous" vertical="center" wrapText="1"/>
      <protection hidden="1"/>
    </xf>
    <xf numFmtId="0" fontId="1" fillId="10" borderId="7" xfId="0" applyFont="1" applyFill="1" applyBorder="1" applyAlignment="1" applyProtection="1">
      <alignment horizontal="centerContinuous" vertical="center" wrapText="1"/>
      <protection hidden="1"/>
    </xf>
    <xf numFmtId="0" fontId="0" fillId="10" borderId="7" xfId="0" applyFont="1" applyFill="1" applyBorder="1" applyAlignment="1" applyProtection="1">
      <alignment horizontal="center" vertical="center"/>
      <protection hidden="1"/>
    </xf>
    <xf numFmtId="2" fontId="0" fillId="18" borderId="79" xfId="0" applyNumberFormat="1" applyFont="1" applyFill="1" applyBorder="1" applyAlignment="1" applyProtection="1">
      <alignment horizontal="center" vertical="center"/>
      <protection hidden="1"/>
    </xf>
    <xf numFmtId="0" fontId="1" fillId="0" borderId="60" xfId="0" applyFont="1" applyBorder="1" applyAlignment="1" applyProtection="1">
      <alignment horizontal="center" vertical="center" textRotation="90"/>
      <protection hidden="1"/>
    </xf>
    <xf numFmtId="0" fontId="1" fillId="0" borderId="5" xfId="0" applyFont="1" applyBorder="1" applyAlignment="1" applyProtection="1">
      <alignment horizontal="centerContinuous" vertical="center"/>
      <protection hidden="1"/>
    </xf>
    <xf numFmtId="0" fontId="1" fillId="5" borderId="3" xfId="0" applyFont="1" applyFill="1" applyBorder="1" applyAlignment="1" applyProtection="1">
      <alignment horizontal="centerContinuous" vertical="center" wrapText="1"/>
      <protection hidden="1"/>
    </xf>
    <xf numFmtId="0" fontId="1" fillId="5" borderId="7" xfId="0" applyFont="1" applyFill="1" applyBorder="1" applyAlignment="1" applyProtection="1">
      <alignment horizontal="centerContinuous" vertical="center" wrapText="1"/>
      <protection hidden="1"/>
    </xf>
    <xf numFmtId="0" fontId="1" fillId="15" borderId="3" xfId="0" applyFont="1" applyFill="1" applyBorder="1" applyAlignment="1" applyProtection="1">
      <alignment horizontal="centerContinuous" vertical="center"/>
      <protection hidden="1"/>
    </xf>
    <xf numFmtId="0" fontId="1" fillId="15" borderId="5" xfId="0" applyFont="1" applyFill="1" applyBorder="1" applyAlignment="1" applyProtection="1">
      <alignment horizontal="centerContinuous" vertical="center"/>
      <protection hidden="1"/>
    </xf>
    <xf numFmtId="0" fontId="0" fillId="5" borderId="7" xfId="0" applyFont="1" applyFill="1" applyBorder="1" applyAlignment="1" applyProtection="1">
      <alignment horizontal="center" vertical="center"/>
      <protection hidden="1"/>
    </xf>
    <xf numFmtId="0" fontId="0" fillId="0" borderId="55" xfId="0" applyFont="1" applyFill="1" applyBorder="1" applyAlignment="1" applyProtection="1">
      <alignment horizontal="center" vertical="center"/>
      <protection hidden="1"/>
    </xf>
    <xf numFmtId="0" fontId="5" fillId="15" borderId="5" xfId="0" applyFont="1" applyFill="1" applyBorder="1" applyAlignment="1" applyProtection="1">
      <alignment horizontal="center" vertical="center"/>
      <protection hidden="1"/>
    </xf>
    <xf numFmtId="0" fontId="5" fillId="7" borderId="53" xfId="0" applyFont="1" applyFill="1" applyBorder="1" applyAlignment="1" applyProtection="1">
      <alignment horizontal="center" vertical="center"/>
      <protection hidden="1"/>
    </xf>
    <xf numFmtId="0" fontId="5" fillId="7" borderId="59" xfId="0" applyFont="1" applyFill="1" applyBorder="1" applyAlignment="1" applyProtection="1">
      <alignment horizontal="center" vertical="center"/>
      <protection hidden="1"/>
    </xf>
    <xf numFmtId="0" fontId="5" fillId="7" borderId="52" xfId="0" applyFont="1" applyFill="1" applyBorder="1" applyAlignment="1" applyProtection="1">
      <alignment horizontal="center" vertical="center"/>
      <protection hidden="1"/>
    </xf>
    <xf numFmtId="0" fontId="6" fillId="0" borderId="56" xfId="0" applyFont="1" applyFill="1" applyBorder="1" applyAlignment="1" applyProtection="1">
      <alignment horizontal="center" vertical="center"/>
      <protection hidden="1"/>
    </xf>
    <xf numFmtId="0" fontId="6" fillId="0" borderId="54" xfId="0" applyFont="1" applyFill="1" applyBorder="1" applyAlignment="1" applyProtection="1">
      <alignment horizontal="center" vertical="center"/>
      <protection hidden="1"/>
    </xf>
    <xf numFmtId="0" fontId="5" fillId="11" borderId="53" xfId="0" applyFont="1" applyFill="1" applyBorder="1" applyAlignment="1" applyProtection="1">
      <alignment horizontal="center" vertical="center"/>
      <protection hidden="1"/>
    </xf>
    <xf numFmtId="0" fontId="5" fillId="7" borderId="60" xfId="0" applyFont="1" applyFill="1" applyBorder="1" applyAlignment="1" applyProtection="1">
      <alignment horizontal="center" vertical="center"/>
      <protection hidden="1"/>
    </xf>
    <xf numFmtId="2" fontId="0" fillId="16" borderId="79" xfId="0" applyNumberFormat="1" applyFont="1" applyFill="1" applyBorder="1" applyAlignment="1" applyProtection="1">
      <alignment horizontal="center" vertical="center"/>
      <protection hidden="1"/>
    </xf>
    <xf numFmtId="0" fontId="0" fillId="21" borderId="76" xfId="0" applyFont="1" applyFill="1" applyBorder="1" applyAlignment="1" applyProtection="1">
      <alignment horizontal="center" vertical="center"/>
      <protection hidden="1"/>
    </xf>
    <xf numFmtId="0" fontId="1" fillId="0" borderId="6" xfId="0" applyFont="1" applyFill="1" applyBorder="1" applyAlignment="1" applyProtection="1">
      <alignment horizontal="center" vertical="center"/>
      <protection hidden="1"/>
    </xf>
    <xf numFmtId="0" fontId="1" fillId="0" borderId="6" xfId="0" applyFont="1" applyBorder="1" applyAlignment="1" applyProtection="1">
      <alignment horizontal="center" vertical="center"/>
      <protection hidden="1"/>
    </xf>
    <xf numFmtId="0" fontId="0" fillId="0" borderId="20" xfId="0" applyBorder="1" applyAlignment="1" applyProtection="1">
      <alignment horizontal="center" vertical="center"/>
      <protection locked="0"/>
    </xf>
    <xf numFmtId="0" fontId="0" fillId="0" borderId="26" xfId="0" applyBorder="1" applyAlignment="1" applyProtection="1">
      <alignment horizontal="center" vertical="center"/>
      <protection locked="0"/>
    </xf>
    <xf numFmtId="0" fontId="0" fillId="0" borderId="42" xfId="0" applyBorder="1" applyAlignment="1" applyProtection="1">
      <alignment horizontal="center" vertical="center"/>
      <protection locked="0"/>
    </xf>
    <xf numFmtId="0" fontId="0" fillId="0" borderId="86" xfId="0" applyFont="1" applyBorder="1" applyAlignment="1" applyProtection="1">
      <alignment horizontal="center" vertical="center" textRotation="90"/>
      <protection locked="0" hidden="1"/>
    </xf>
    <xf numFmtId="0" fontId="0" fillId="21" borderId="46" xfId="0" applyFill="1" applyBorder="1" applyAlignment="1" applyProtection="1">
      <alignment horizontal="center" vertical="center"/>
    </xf>
    <xf numFmtId="0" fontId="0" fillId="21" borderId="47" xfId="0" applyFill="1" applyBorder="1" applyAlignment="1" applyProtection="1">
      <alignment horizontal="center" vertical="center"/>
    </xf>
    <xf numFmtId="0" fontId="0" fillId="21" borderId="48" xfId="0" applyFill="1" applyBorder="1" applyAlignment="1" applyProtection="1">
      <alignment horizontal="center" vertical="center"/>
    </xf>
    <xf numFmtId="0" fontId="0" fillId="12" borderId="32" xfId="0" applyFill="1" applyBorder="1" applyAlignment="1" applyProtection="1">
      <alignment horizontal="center" vertical="center"/>
    </xf>
    <xf numFmtId="0" fontId="0" fillId="12" borderId="34" xfId="0" applyFill="1" applyBorder="1" applyAlignment="1" applyProtection="1">
      <alignment horizontal="center" vertical="center"/>
    </xf>
    <xf numFmtId="0" fontId="0" fillId="17" borderId="32" xfId="0" applyFill="1" applyBorder="1" applyAlignment="1" applyProtection="1">
      <alignment horizontal="center" vertical="center"/>
    </xf>
    <xf numFmtId="0" fontId="0" fillId="17" borderId="33" xfId="0" applyFill="1" applyBorder="1" applyAlignment="1" applyProtection="1">
      <alignment horizontal="center" vertical="center"/>
    </xf>
    <xf numFmtId="0" fontId="0" fillId="17" borderId="34" xfId="0" applyFill="1" applyBorder="1" applyAlignment="1" applyProtection="1">
      <alignment horizontal="center" vertical="center"/>
    </xf>
    <xf numFmtId="0" fontId="0" fillId="20" borderId="37" xfId="0" applyFill="1" applyBorder="1" applyAlignment="1" applyProtection="1">
      <alignment horizontal="center" vertical="center"/>
    </xf>
    <xf numFmtId="0" fontId="0" fillId="20" borderId="38" xfId="0" applyFill="1" applyBorder="1" applyAlignment="1" applyProtection="1">
      <alignment horizontal="center" vertical="center"/>
    </xf>
    <xf numFmtId="0" fontId="2" fillId="20" borderId="82" xfId="0" applyFont="1" applyFill="1" applyBorder="1" applyAlignment="1" applyProtection="1">
      <alignment horizontal="center" vertical="center" wrapText="1"/>
    </xf>
    <xf numFmtId="0" fontId="2" fillId="20" borderId="83" xfId="0" applyFont="1" applyFill="1" applyBorder="1" applyAlignment="1" applyProtection="1">
      <alignment horizontal="center" vertical="center" wrapText="1"/>
    </xf>
    <xf numFmtId="0" fontId="5" fillId="21" borderId="33" xfId="0" applyFont="1" applyFill="1" applyBorder="1" applyAlignment="1" applyProtection="1">
      <alignment horizontal="center" vertical="center"/>
    </xf>
    <xf numFmtId="0" fontId="5" fillId="21" borderId="34" xfId="0" applyFont="1" applyFill="1" applyBorder="1" applyAlignment="1" applyProtection="1">
      <alignment horizontal="center" vertical="center"/>
    </xf>
    <xf numFmtId="0" fontId="5" fillId="0" borderId="27" xfId="0" applyFont="1" applyBorder="1" applyAlignment="1" applyProtection="1">
      <alignment horizontal="center" vertical="center"/>
      <protection hidden="1"/>
    </xf>
    <xf numFmtId="0" fontId="5" fillId="0" borderId="73" xfId="0" applyFont="1" applyBorder="1" applyAlignment="1" applyProtection="1">
      <alignment horizontal="center" vertical="center"/>
      <protection hidden="1"/>
    </xf>
    <xf numFmtId="0" fontId="5" fillId="0" borderId="16" xfId="0" applyFont="1" applyBorder="1" applyAlignment="1" applyProtection="1">
      <alignment horizontal="center" vertical="center"/>
      <protection hidden="1"/>
    </xf>
    <xf numFmtId="0" fontId="5" fillId="0" borderId="72" xfId="0" applyFont="1" applyBorder="1" applyAlignment="1" applyProtection="1">
      <alignment horizontal="center" vertical="center"/>
      <protection hidden="1"/>
    </xf>
    <xf numFmtId="0" fontId="0" fillId="21" borderId="8" xfId="0" applyFont="1" applyFill="1" applyBorder="1" applyAlignment="1" applyProtection="1">
      <alignment horizontal="center" vertical="center"/>
      <protection hidden="1"/>
    </xf>
    <xf numFmtId="0" fontId="0" fillId="21" borderId="75" xfId="0" applyFont="1" applyFill="1" applyBorder="1" applyAlignment="1" applyProtection="1">
      <alignment horizontal="center" vertical="center"/>
      <protection hidden="1"/>
    </xf>
    <xf numFmtId="0" fontId="5" fillId="0" borderId="21" xfId="0" applyFont="1" applyBorder="1" applyAlignment="1" applyProtection="1">
      <alignment horizontal="center" vertical="center"/>
      <protection hidden="1"/>
    </xf>
    <xf numFmtId="0" fontId="5" fillId="0" borderId="22" xfId="0" applyFont="1" applyBorder="1" applyAlignment="1" applyProtection="1">
      <alignment horizontal="center"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1" fillId="0" borderId="7" xfId="0" applyFont="1" applyBorder="1" applyAlignment="1" applyProtection="1">
      <alignment horizontal="center" vertical="center"/>
      <protection hidden="1"/>
    </xf>
    <xf numFmtId="0" fontId="5" fillId="0" borderId="3" xfId="0" applyFont="1" applyBorder="1" applyAlignment="1" applyProtection="1">
      <alignment horizontal="center" vertical="center"/>
      <protection hidden="1"/>
    </xf>
    <xf numFmtId="0" fontId="5" fillId="0" borderId="7" xfId="0" applyFont="1" applyBorder="1" applyAlignment="1" applyProtection="1">
      <alignment horizontal="center" vertical="center"/>
      <protection hidden="1"/>
    </xf>
    <xf numFmtId="0" fontId="0" fillId="20" borderId="84" xfId="0" applyFill="1" applyBorder="1" applyAlignment="1" applyProtection="1">
      <alignment horizontal="center" vertical="center"/>
    </xf>
    <xf numFmtId="0" fontId="5" fillId="21" borderId="32" xfId="0" applyFont="1" applyFill="1" applyBorder="1" applyAlignment="1" applyProtection="1">
      <alignment horizontal="center" vertical="center"/>
    </xf>
    <xf numFmtId="0" fontId="0" fillId="21" borderId="32" xfId="0" applyFill="1" applyBorder="1" applyAlignment="1" applyProtection="1">
      <alignment horizontal="center" vertical="center"/>
    </xf>
    <xf numFmtId="0" fontId="0" fillId="21" borderId="33" xfId="0" applyFill="1" applyBorder="1" applyAlignment="1" applyProtection="1">
      <alignment horizontal="center" vertical="center"/>
    </xf>
    <xf numFmtId="0" fontId="0" fillId="21" borderId="34" xfId="0" applyFill="1" applyBorder="1" applyAlignment="1" applyProtection="1">
      <alignment horizontal="center" vertical="center"/>
    </xf>
    <xf numFmtId="0" fontId="0" fillId="13" borderId="3" xfId="0" applyFill="1" applyBorder="1" applyAlignment="1" applyProtection="1">
      <alignment horizontal="center" vertical="center" wrapText="1"/>
    </xf>
    <xf numFmtId="0" fontId="0" fillId="13" borderId="7" xfId="0" applyFill="1" applyBorder="1" applyAlignment="1" applyProtection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F5D37"/>
      <color rgb="FFB07BD7"/>
      <color rgb="FFFF3300"/>
      <color rgb="FFFFCF37"/>
      <color rgb="FFE0C13C"/>
      <color rgb="FF33CC33"/>
      <color rgb="FFFCA08E"/>
      <color rgb="FF9C5BCD"/>
      <color rgb="FF3CAA22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B28"/>
  <sheetViews>
    <sheetView topLeftCell="E4" zoomScale="90" zoomScaleNormal="90" workbookViewId="0"/>
  </sheetViews>
  <sheetFormatPr baseColWidth="10" defaultColWidth="11.41796875" defaultRowHeight="14.4" x14ac:dyDescent="0.55000000000000004"/>
  <cols>
    <col min="1" max="1" width="30.68359375" style="9" customWidth="1"/>
    <col min="2" max="26" width="6.68359375" style="9" customWidth="1"/>
    <col min="27" max="27" width="3" style="9" customWidth="1"/>
    <col min="28" max="28" width="20.15625" style="9" customWidth="1"/>
    <col min="29" max="16384" width="11.41796875" style="9"/>
  </cols>
  <sheetData>
    <row r="1" spans="1:28" ht="31.5" customHeight="1" thickBot="1" x14ac:dyDescent="0.6">
      <c r="A1" s="47" t="s">
        <v>183</v>
      </c>
      <c r="B1" s="209" t="s">
        <v>0</v>
      </c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  <c r="O1" s="209"/>
      <c r="P1" s="209"/>
      <c r="Q1" s="209"/>
      <c r="R1" s="209"/>
      <c r="S1" s="209"/>
      <c r="T1" s="209"/>
      <c r="U1" s="209"/>
      <c r="V1" s="209"/>
      <c r="W1" s="209"/>
      <c r="X1" s="209"/>
      <c r="Y1" s="209"/>
      <c r="Z1" s="210"/>
      <c r="AB1" s="48" t="s">
        <v>41</v>
      </c>
    </row>
    <row r="2" spans="1:28" ht="25" customHeight="1" thickTop="1" x14ac:dyDescent="0.55000000000000004">
      <c r="A2" s="211" t="s">
        <v>1</v>
      </c>
      <c r="B2" s="213" t="s">
        <v>181</v>
      </c>
      <c r="C2" s="213"/>
      <c r="D2" s="213"/>
      <c r="E2" s="214"/>
      <c r="F2" s="201" t="s">
        <v>3</v>
      </c>
      <c r="G2" s="202"/>
      <c r="H2" s="202"/>
      <c r="I2" s="203"/>
      <c r="J2" s="201" t="s">
        <v>4</v>
      </c>
      <c r="K2" s="202"/>
      <c r="L2" s="202"/>
      <c r="M2" s="203"/>
      <c r="N2" s="201" t="s">
        <v>5</v>
      </c>
      <c r="O2" s="202"/>
      <c r="P2" s="202"/>
      <c r="Q2" s="203"/>
      <c r="R2" s="201" t="s">
        <v>6</v>
      </c>
      <c r="S2" s="202"/>
      <c r="T2" s="202"/>
      <c r="U2" s="203"/>
      <c r="V2" s="206" t="s">
        <v>38</v>
      </c>
      <c r="W2" s="207"/>
      <c r="X2" s="208"/>
      <c r="Y2" s="204" t="s">
        <v>36</v>
      </c>
      <c r="Z2" s="205"/>
      <c r="AB2" s="49" t="s">
        <v>185</v>
      </c>
    </row>
    <row r="3" spans="1:28" ht="25" customHeight="1" thickBot="1" x14ac:dyDescent="0.6">
      <c r="A3" s="212"/>
      <c r="B3" s="31" t="s">
        <v>31</v>
      </c>
      <c r="C3" s="32" t="s">
        <v>32</v>
      </c>
      <c r="D3" s="31" t="s">
        <v>33</v>
      </c>
      <c r="E3" s="33" t="s">
        <v>10</v>
      </c>
      <c r="F3" s="34" t="s">
        <v>31</v>
      </c>
      <c r="G3" s="35" t="s">
        <v>32</v>
      </c>
      <c r="H3" s="36" t="s">
        <v>33</v>
      </c>
      <c r="I3" s="37" t="s">
        <v>10</v>
      </c>
      <c r="J3" s="38" t="s">
        <v>31</v>
      </c>
      <c r="K3" s="39" t="s">
        <v>32</v>
      </c>
      <c r="L3" s="36" t="s">
        <v>33</v>
      </c>
      <c r="M3" s="37" t="s">
        <v>10</v>
      </c>
      <c r="N3" s="34" t="s">
        <v>31</v>
      </c>
      <c r="O3" s="40" t="s">
        <v>32</v>
      </c>
      <c r="P3" s="36" t="s">
        <v>33</v>
      </c>
      <c r="Q3" s="37" t="s">
        <v>10</v>
      </c>
      <c r="R3" s="34" t="s">
        <v>31</v>
      </c>
      <c r="S3" s="40" t="s">
        <v>32</v>
      </c>
      <c r="T3" s="36" t="s">
        <v>33</v>
      </c>
      <c r="U3" s="37" t="s">
        <v>10</v>
      </c>
      <c r="V3" s="28" t="s">
        <v>31</v>
      </c>
      <c r="W3" s="29" t="s">
        <v>32</v>
      </c>
      <c r="X3" s="29" t="s">
        <v>33</v>
      </c>
      <c r="Y3" s="30" t="s">
        <v>14</v>
      </c>
      <c r="Z3" s="50" t="s">
        <v>45</v>
      </c>
      <c r="AA3" s="51"/>
      <c r="AB3" s="52" t="s">
        <v>182</v>
      </c>
    </row>
    <row r="4" spans="1:28" ht="15.75" customHeight="1" thickTop="1" x14ac:dyDescent="0.55000000000000004">
      <c r="A4" s="53" t="str">
        <f ca="1">CELL("contenu",INDIRECT(ADDRESS(ROW()-2,1,1,,CELL("contenu",$AB$3))))</f>
        <v>BEAUJARD Vianney</v>
      </c>
      <c r="B4" s="2" t="str">
        <f ca="1">CELL("contenu",INDIRECT(ADDRESS(ref!$K$3,ref!E3,1,,CELL("contenu",$AB$2))))</f>
        <v>C</v>
      </c>
      <c r="C4" s="3" t="str">
        <f ca="1">CELL("contenu",INDIRECT(ADDRESS(ref!$K$3,ref!F3,1,,CELL("contenu",$AB$2))))</f>
        <v>A</v>
      </c>
      <c r="D4" s="4" t="str">
        <f ca="1">CELL("contenu",INDIRECT(ADDRESS(ref!$K$3,ref!G3,1,,CELL("contenu",$AB$2))))</f>
        <v>C</v>
      </c>
      <c r="E4" s="5" t="str">
        <f ca="1">CELL("contenu",INDIRECT(ADDRESS(ref!$K$3,ref!H3,1,,CELL("contenu",$AB$2))))</f>
        <v>C</v>
      </c>
      <c r="F4" s="6" t="str">
        <f ca="1">CELL("contenu",INDIRECT(ADDRESS(ref!$K$4,ref!E3,1,,CELL("contenu",$AB$2))))</f>
        <v>B</v>
      </c>
      <c r="G4" s="3" t="str">
        <f ca="1">CELL("contenu",INDIRECT(ADDRESS(ref!$K$4,ref!F3,1,,CELL("contenu",$AB$2))))</f>
        <v/>
      </c>
      <c r="H4" s="4" t="str">
        <f ca="1">CELL("contenu",INDIRECT(ADDRESS(ref!$K$4,ref!G3,1,,CELL("contenu",$AB$2))))</f>
        <v>A</v>
      </c>
      <c r="I4" s="5" t="str">
        <f ca="1">CELL("contenu",INDIRECT(ADDRESS(ref!$K$4,ref!H3,1,,CELL("contenu",$AB$2))))</f>
        <v>B</v>
      </c>
      <c r="J4" s="6" t="str">
        <f ca="1">CELL("contenu",INDIRECT(ADDRESS(ref!$K$5,ref!E3,1,,CELL("contenu",$AB$2))))</f>
        <v/>
      </c>
      <c r="K4" s="3" t="str">
        <f ca="1">CELL("contenu",INDIRECT(ADDRESS(ref!$K$5,ref!F3,1,,CELL("contenu",$AB$2))))</f>
        <v/>
      </c>
      <c r="L4" s="4" t="str">
        <f ca="1">CELL("contenu",INDIRECT(ADDRESS(ref!$K$5,ref!G3,1,,CELL("contenu",$AB$2))))</f>
        <v>B</v>
      </c>
      <c r="M4" s="5" t="str">
        <f ca="1">CELL("contenu",INDIRECT(ADDRESS(ref!$K$5,ref!H3,1,,CELL("contenu",$AB$2))))</f>
        <v>B</v>
      </c>
      <c r="N4" s="6" t="str">
        <f ca="1">CELL("contenu",INDIRECT(ADDRESS(ref!$K$6,ref!E3,1,,CELL("contenu",$AB$2))))</f>
        <v>C</v>
      </c>
      <c r="O4" s="3" t="str">
        <f ca="1">CELL("contenu",INDIRECT(ADDRESS(ref!$K$6,ref!F3,1,,CELL("contenu",$AB$2))))</f>
        <v>B</v>
      </c>
      <c r="P4" s="4" t="str">
        <f ca="1">CELL("contenu",INDIRECT(ADDRESS(ref!$K$6,ref!G3,1,,CELL("contenu",$AB$2))))</f>
        <v>C</v>
      </c>
      <c r="Q4" s="5" t="str">
        <f ca="1">CELL("contenu",INDIRECT(ADDRESS(ref!$K$6,ref!H3,1,,CELL("contenu",$AB$2))))</f>
        <v>C</v>
      </c>
      <c r="R4" s="6" t="str">
        <f ca="1">CELL("contenu",INDIRECT(ADDRESS(ref!$K$7,ref!E3,1,,CELL("contenu",$AB$2))))</f>
        <v>B</v>
      </c>
      <c r="S4" s="3" t="str">
        <f ca="1">CELL("contenu",INDIRECT(ADDRESS(ref!$K$7,ref!F3,1,,CELL("contenu",$AB$2))))</f>
        <v/>
      </c>
      <c r="T4" s="4" t="str">
        <f ca="1">CELL("contenu",INDIRECT(ADDRESS(ref!$K$7,ref!G3,1,,CELL("contenu",$AB$2))))</f>
        <v/>
      </c>
      <c r="U4" s="5" t="str">
        <f ca="1">CELL("contenu",INDIRECT(ADDRESS(ref!$K$7,ref!H3,1,,CELL("contenu",$AB$2))))</f>
        <v>B</v>
      </c>
      <c r="V4" s="41">
        <f ca="1">CELL("contenu",INDIRECT(ADDRESS(ref!$K$8,ref!E3,1,,CELL("contenu",$AB$2))))</f>
        <v>12.291666666666668</v>
      </c>
      <c r="W4" s="42">
        <f ca="1">CELL("contenu",INDIRECT(ADDRESS(ref!$K$8,ref!F3,1,,CELL("contenu",$AB$2))))</f>
        <v>17.5</v>
      </c>
      <c r="X4" s="43">
        <f ca="1">CELL("contenu",INDIRECT(ADDRESS(ref!$K$8,ref!G3,1,,CELL("contenu",$AB$2))))</f>
        <v>14.6875</v>
      </c>
      <c r="Y4" s="7" t="str">
        <f ca="1">CELL("contenu",INDIRECT(ADDRESS(ref!$K$9,ref!H3,1,,CELL("contenu",$AB$2))))</f>
        <v/>
      </c>
      <c r="Z4" s="8" t="str">
        <f ca="1">CELL("contenu",INDIRECT(ADDRESS(ref!$K$10,ref!H3,1,,CELL("contenu",$AB$2))))</f>
        <v>A</v>
      </c>
    </row>
    <row r="5" spans="1:28" x14ac:dyDescent="0.55000000000000004">
      <c r="A5" s="53" t="str">
        <f ca="1">CELL("contenu",INDIRECT(ADDRESS(ROW()-2,1,1,,CELL("contenu",$AB$3))))</f>
        <v>BERNARDOFF Simon</v>
      </c>
      <c r="B5" s="2" t="str">
        <f ca="1">CELL("contenu",INDIRECT(ADDRESS(ref!$K$3,ref!E4,1,,CELL("contenu",$AB$2))))</f>
        <v>C</v>
      </c>
      <c r="C5" s="3" t="str">
        <f ca="1">CELL("contenu",INDIRECT(ADDRESS(ref!$K$3,ref!F4,1,,CELL("contenu",$AB$2))))</f>
        <v>D</v>
      </c>
      <c r="D5" s="4" t="str">
        <f ca="1">CELL("contenu",INDIRECT(ADDRESS(ref!$K$3,ref!G4,1,,CELL("contenu",$AB$2))))</f>
        <v>C</v>
      </c>
      <c r="E5" s="5" t="str">
        <f ca="1">CELL("contenu",INDIRECT(ADDRESS(ref!$K$3,ref!H4,1,,CELL("contenu",$AB$2))))</f>
        <v>C</v>
      </c>
      <c r="F5" s="6" t="str">
        <f ca="1">CELL("contenu",INDIRECT(ADDRESS(ref!$K$4,ref!E4,1,,CELL("contenu",$AB$2))))</f>
        <v>D</v>
      </c>
      <c r="G5" s="3" t="str">
        <f ca="1">CELL("contenu",INDIRECT(ADDRESS(ref!$K$4,ref!F4,1,,CELL("contenu",$AB$2))))</f>
        <v/>
      </c>
      <c r="H5" s="4" t="str">
        <f ca="1">CELL("contenu",INDIRECT(ADDRESS(ref!$K$4,ref!G4,1,,CELL("contenu",$AB$2))))</f>
        <v>B</v>
      </c>
      <c r="I5" s="5" t="str">
        <f ca="1">CELL("contenu",INDIRECT(ADDRESS(ref!$K$4,ref!H4,1,,CELL("contenu",$AB$2))))</f>
        <v>C</v>
      </c>
      <c r="J5" s="6" t="str">
        <f ca="1">CELL("contenu",INDIRECT(ADDRESS(ref!$K$5,ref!E4,1,,CELL("contenu",$AB$2))))</f>
        <v/>
      </c>
      <c r="K5" s="3" t="str">
        <f ca="1">CELL("contenu",INDIRECT(ADDRESS(ref!$K$5,ref!F4,1,,CELL("contenu",$AB$2))))</f>
        <v/>
      </c>
      <c r="L5" s="4" t="str">
        <f ca="1">CELL("contenu",INDIRECT(ADDRESS(ref!$K$5,ref!G4,1,,CELL("contenu",$AB$2))))</f>
        <v>A</v>
      </c>
      <c r="M5" s="5" t="str">
        <f ca="1">CELL("contenu",INDIRECT(ADDRESS(ref!$K$5,ref!H4,1,,CELL("contenu",$AB$2))))</f>
        <v>A</v>
      </c>
      <c r="N5" s="6" t="str">
        <f ca="1">CELL("contenu",INDIRECT(ADDRESS(ref!$K$6,ref!E4,1,,CELL("contenu",$AB$2))))</f>
        <v>D</v>
      </c>
      <c r="O5" s="3" t="str">
        <f ca="1">CELL("contenu",INDIRECT(ADDRESS(ref!$K$6,ref!F4,1,,CELL("contenu",$AB$2))))</f>
        <v>C</v>
      </c>
      <c r="P5" s="4" t="str">
        <f ca="1">CELL("contenu",INDIRECT(ADDRESS(ref!$K$6,ref!G4,1,,CELL("contenu",$AB$2))))</f>
        <v>C</v>
      </c>
      <c r="Q5" s="5" t="str">
        <f ca="1">CELL("contenu",INDIRECT(ADDRESS(ref!$K$6,ref!H4,1,,CELL("contenu",$AB$2))))</f>
        <v>C</v>
      </c>
      <c r="R5" s="6" t="str">
        <f ca="1">CELL("contenu",INDIRECT(ADDRESS(ref!$K$7,ref!E4,1,,CELL("contenu",$AB$2))))</f>
        <v>D</v>
      </c>
      <c r="S5" s="3" t="str">
        <f ca="1">CELL("contenu",INDIRECT(ADDRESS(ref!$K$7,ref!F4,1,,CELL("contenu",$AB$2))))</f>
        <v/>
      </c>
      <c r="T5" s="4" t="str">
        <f ca="1">CELL("contenu",INDIRECT(ADDRESS(ref!$K$7,ref!G4,1,,CELL("contenu",$AB$2))))</f>
        <v/>
      </c>
      <c r="U5" s="5" t="str">
        <f ca="1">CELL("contenu",INDIRECT(ADDRESS(ref!$K$7,ref!H4,1,,CELL("contenu",$AB$2))))</f>
        <v>D</v>
      </c>
      <c r="V5" s="41">
        <f ca="1">CELL("contenu",INDIRECT(ADDRESS(ref!$K$8,ref!E4,1,,CELL("contenu",$AB$2))))</f>
        <v>7.0833333333333339</v>
      </c>
      <c r="W5" s="42">
        <f ca="1">CELL("contenu",INDIRECT(ADDRESS(ref!$K$8,ref!F4,1,,CELL("contenu",$AB$2))))</f>
        <v>8.75</v>
      </c>
      <c r="X5" s="43">
        <f ca="1">CELL("contenu",INDIRECT(ADDRESS(ref!$K$8,ref!G4,1,,CELL("contenu",$AB$2))))</f>
        <v>14.583333333333332</v>
      </c>
      <c r="Y5" s="7" t="str">
        <f ca="1">CELL("contenu",INDIRECT(ADDRESS(ref!$K$9,ref!H4,1,,CELL("contenu",$AB$2))))</f>
        <v/>
      </c>
      <c r="Z5" s="8" t="str">
        <f ca="1">CELL("contenu",INDIRECT(ADDRESS(ref!$K$10,ref!H4,1,,CELL("contenu",$AB$2))))</f>
        <v>D</v>
      </c>
    </row>
    <row r="6" spans="1:28" x14ac:dyDescent="0.55000000000000004">
      <c r="A6" s="53" t="str">
        <f t="shared" ref="A6:A28" ca="1" si="0">CELL("contenu",INDIRECT(ADDRESS(ROW()-2,1,1,,CELL("contenu",$AB$3))))</f>
        <v>BERTRAND Paul</v>
      </c>
      <c r="B6" s="2" t="str">
        <f ca="1">CELL("contenu",INDIRECT(ADDRESS(ref!$K$3,ref!E5,1,,CELL("contenu",$AB$2))))</f>
        <v>C</v>
      </c>
      <c r="C6" s="3" t="str">
        <f ca="1">CELL("contenu",INDIRECT(ADDRESS(ref!$K$3,ref!F5,1,,CELL("contenu",$AB$2))))</f>
        <v>C</v>
      </c>
      <c r="D6" s="4" t="str">
        <f ca="1">CELL("contenu",INDIRECT(ADDRESS(ref!$K$3,ref!G5,1,,CELL("contenu",$AB$2))))</f>
        <v>C</v>
      </c>
      <c r="E6" s="5" t="str">
        <f ca="1">CELL("contenu",INDIRECT(ADDRESS(ref!$K$3,ref!H5,1,,CELL("contenu",$AB$2))))</f>
        <v>C</v>
      </c>
      <c r="F6" s="6" t="str">
        <f ca="1">CELL("contenu",INDIRECT(ADDRESS(ref!$K$4,ref!E5,1,,CELL("contenu",$AB$2))))</f>
        <v>C</v>
      </c>
      <c r="G6" s="3" t="str">
        <f ca="1">CELL("contenu",INDIRECT(ADDRESS(ref!$K$4,ref!F5,1,,CELL("contenu",$AB$2))))</f>
        <v/>
      </c>
      <c r="H6" s="4" t="str">
        <f ca="1">CELL("contenu",INDIRECT(ADDRESS(ref!$K$4,ref!G5,1,,CELL("contenu",$AB$2))))</f>
        <v>B</v>
      </c>
      <c r="I6" s="5" t="str">
        <f ca="1">CELL("contenu",INDIRECT(ADDRESS(ref!$K$4,ref!H5,1,,CELL("contenu",$AB$2))))</f>
        <v>C</v>
      </c>
      <c r="J6" s="6" t="str">
        <f ca="1">CELL("contenu",INDIRECT(ADDRESS(ref!$K$5,ref!E5,1,,CELL("contenu",$AB$2))))</f>
        <v/>
      </c>
      <c r="K6" s="3" t="str">
        <f ca="1">CELL("contenu",INDIRECT(ADDRESS(ref!$K$5,ref!F5,1,,CELL("contenu",$AB$2))))</f>
        <v/>
      </c>
      <c r="L6" s="4" t="str">
        <f ca="1">CELL("contenu",INDIRECT(ADDRESS(ref!$K$5,ref!G5,1,,CELL("contenu",$AB$2))))</f>
        <v>A</v>
      </c>
      <c r="M6" s="5" t="str">
        <f ca="1">CELL("contenu",INDIRECT(ADDRESS(ref!$K$5,ref!H5,1,,CELL("contenu",$AB$2))))</f>
        <v>A</v>
      </c>
      <c r="N6" s="6" t="str">
        <f ca="1">CELL("contenu",INDIRECT(ADDRESS(ref!$K$6,ref!E5,1,,CELL("contenu",$AB$2))))</f>
        <v>C</v>
      </c>
      <c r="O6" s="3" t="str">
        <f ca="1">CELL("contenu",INDIRECT(ADDRESS(ref!$K$6,ref!F5,1,,CELL("contenu",$AB$2))))</f>
        <v>C</v>
      </c>
      <c r="P6" s="4" t="str">
        <f ca="1">CELL("contenu",INDIRECT(ADDRESS(ref!$K$6,ref!G5,1,,CELL("contenu",$AB$2))))</f>
        <v>C</v>
      </c>
      <c r="Q6" s="5" t="str">
        <f ca="1">CELL("contenu",INDIRECT(ADDRESS(ref!$K$6,ref!H5,1,,CELL("contenu",$AB$2))))</f>
        <v>C</v>
      </c>
      <c r="R6" s="6" t="str">
        <f ca="1">CELL("contenu",INDIRECT(ADDRESS(ref!$K$7,ref!E5,1,,CELL("contenu",$AB$2))))</f>
        <v>C</v>
      </c>
      <c r="S6" s="3" t="str">
        <f ca="1">CELL("contenu",INDIRECT(ADDRESS(ref!$K$7,ref!F5,1,,CELL("contenu",$AB$2))))</f>
        <v/>
      </c>
      <c r="T6" s="4" t="str">
        <f ca="1">CELL("contenu",INDIRECT(ADDRESS(ref!$K$7,ref!G5,1,,CELL("contenu",$AB$2))))</f>
        <v/>
      </c>
      <c r="U6" s="5" t="str">
        <f ca="1">CELL("contenu",INDIRECT(ADDRESS(ref!$K$7,ref!H5,1,,CELL("contenu",$AB$2))))</f>
        <v>C</v>
      </c>
      <c r="V6" s="41">
        <f ca="1">CELL("contenu",INDIRECT(ADDRESS(ref!$K$8,ref!E5,1,,CELL("contenu",$AB$2))))</f>
        <v>10.625</v>
      </c>
      <c r="W6" s="42">
        <f ca="1">CELL("contenu",INDIRECT(ADDRESS(ref!$K$8,ref!F5,1,,CELL("contenu",$AB$2))))</f>
        <v>11.25</v>
      </c>
      <c r="X6" s="43">
        <f ca="1">CELL("contenu",INDIRECT(ADDRESS(ref!$K$8,ref!G5,1,,CELL("contenu",$AB$2))))</f>
        <v>14.270833333333332</v>
      </c>
      <c r="Y6" s="7" t="str">
        <f ca="1">CELL("contenu",INDIRECT(ADDRESS(ref!$K$9,ref!H5,1,,CELL("contenu",$AB$2))))</f>
        <v/>
      </c>
      <c r="Z6" s="8" t="str">
        <f ca="1">CELL("contenu",INDIRECT(ADDRESS(ref!$K$10,ref!H5,1,,CELL("contenu",$AB$2))))</f>
        <v>B</v>
      </c>
    </row>
    <row r="7" spans="1:28" x14ac:dyDescent="0.55000000000000004">
      <c r="A7" s="53" t="str">
        <f t="shared" ca="1" si="0"/>
        <v>BINET Charlotte</v>
      </c>
      <c r="B7" s="2" t="str">
        <f ca="1">CELL("contenu",INDIRECT(ADDRESS(ref!$K$3,ref!E6,1,,CELL("contenu",$AB$2))))</f>
        <v>D</v>
      </c>
      <c r="C7" s="3" t="str">
        <f ca="1">CELL("contenu",INDIRECT(ADDRESS(ref!$K$3,ref!F6,1,,CELL("contenu",$AB$2))))</f>
        <v>B</v>
      </c>
      <c r="D7" s="4" t="str">
        <f ca="1">CELL("contenu",INDIRECT(ADDRESS(ref!$K$3,ref!G6,1,,CELL("contenu",$AB$2))))</f>
        <v>C</v>
      </c>
      <c r="E7" s="5" t="str">
        <f ca="1">CELL("contenu",INDIRECT(ADDRESS(ref!$K$3,ref!H6,1,,CELL("contenu",$AB$2))))</f>
        <v>C</v>
      </c>
      <c r="F7" s="6" t="str">
        <f ca="1">CELL("contenu",INDIRECT(ADDRESS(ref!$K$4,ref!E6,1,,CELL("contenu",$AB$2))))</f>
        <v>C</v>
      </c>
      <c r="G7" s="3" t="str">
        <f ca="1">CELL("contenu",INDIRECT(ADDRESS(ref!$K$4,ref!F6,1,,CELL("contenu",$AB$2))))</f>
        <v/>
      </c>
      <c r="H7" s="4" t="str">
        <f ca="1">CELL("contenu",INDIRECT(ADDRESS(ref!$K$4,ref!G6,1,,CELL("contenu",$AB$2))))</f>
        <v>A</v>
      </c>
      <c r="I7" s="5" t="str">
        <f ca="1">CELL("contenu",INDIRECT(ADDRESS(ref!$K$4,ref!H6,1,,CELL("contenu",$AB$2))))</f>
        <v>B</v>
      </c>
      <c r="J7" s="6" t="str">
        <f ca="1">CELL("contenu",INDIRECT(ADDRESS(ref!$K$5,ref!E6,1,,CELL("contenu",$AB$2))))</f>
        <v/>
      </c>
      <c r="K7" s="3" t="str">
        <f ca="1">CELL("contenu",INDIRECT(ADDRESS(ref!$K$5,ref!F6,1,,CELL("contenu",$AB$2))))</f>
        <v/>
      </c>
      <c r="L7" s="4" t="str">
        <f ca="1">CELL("contenu",INDIRECT(ADDRESS(ref!$K$5,ref!G6,1,,CELL("contenu",$AB$2))))</f>
        <v>A</v>
      </c>
      <c r="M7" s="5" t="str">
        <f ca="1">CELL("contenu",INDIRECT(ADDRESS(ref!$K$5,ref!H6,1,,CELL("contenu",$AB$2))))</f>
        <v>A</v>
      </c>
      <c r="N7" s="6" t="str">
        <f ca="1">CELL("contenu",INDIRECT(ADDRESS(ref!$K$6,ref!E6,1,,CELL("contenu",$AB$2))))</f>
        <v>C</v>
      </c>
      <c r="O7" s="3" t="str">
        <f ca="1">CELL("contenu",INDIRECT(ADDRESS(ref!$K$6,ref!F6,1,,CELL("contenu",$AB$2))))</f>
        <v>C</v>
      </c>
      <c r="P7" s="4" t="str">
        <f ca="1">CELL("contenu",INDIRECT(ADDRESS(ref!$K$6,ref!G6,1,,CELL("contenu",$AB$2))))</f>
        <v>B</v>
      </c>
      <c r="Q7" s="5" t="str">
        <f ca="1">CELL("contenu",INDIRECT(ADDRESS(ref!$K$6,ref!H6,1,,CELL("contenu",$AB$2))))</f>
        <v>C</v>
      </c>
      <c r="R7" s="6" t="str">
        <f ca="1">CELL("contenu",INDIRECT(ADDRESS(ref!$K$7,ref!E6,1,,CELL("contenu",$AB$2))))</f>
        <v>C</v>
      </c>
      <c r="S7" s="3" t="str">
        <f ca="1">CELL("contenu",INDIRECT(ADDRESS(ref!$K$7,ref!F6,1,,CELL("contenu",$AB$2))))</f>
        <v/>
      </c>
      <c r="T7" s="4" t="str">
        <f ca="1">CELL("contenu",INDIRECT(ADDRESS(ref!$K$7,ref!G6,1,,CELL("contenu",$AB$2))))</f>
        <v/>
      </c>
      <c r="U7" s="5" t="str">
        <f ca="1">CELL("contenu",INDIRECT(ADDRESS(ref!$K$7,ref!H6,1,,CELL("contenu",$AB$2))))</f>
        <v>C</v>
      </c>
      <c r="V7" s="41">
        <f ca="1">CELL("contenu",INDIRECT(ADDRESS(ref!$K$8,ref!E6,1,,CELL("contenu",$AB$2))))</f>
        <v>9.7916666666666661</v>
      </c>
      <c r="W7" s="42">
        <f ca="1">CELL("contenu",INDIRECT(ADDRESS(ref!$K$8,ref!F6,1,,CELL("contenu",$AB$2))))</f>
        <v>12.5</v>
      </c>
      <c r="X7" s="43">
        <f ca="1">CELL("contenu",INDIRECT(ADDRESS(ref!$K$8,ref!G6,1,,CELL("contenu",$AB$2))))</f>
        <v>16.770833333333332</v>
      </c>
      <c r="Y7" s="7" t="str">
        <f ca="1">CELL("contenu",INDIRECT(ADDRESS(ref!$K$9,ref!H6,1,,CELL("contenu",$AB$2))))</f>
        <v/>
      </c>
      <c r="Z7" s="8" t="str">
        <f ca="1">CELL("contenu",INDIRECT(ADDRESS(ref!$K$10,ref!H6,1,,CELL("contenu",$AB$2))))</f>
        <v>A</v>
      </c>
    </row>
    <row r="8" spans="1:28" x14ac:dyDescent="0.55000000000000004">
      <c r="A8" s="53" t="str">
        <f t="shared" ca="1" si="0"/>
        <v>BRAND Augustin</v>
      </c>
      <c r="B8" s="2" t="str">
        <f ca="1">CELL("contenu",INDIRECT(ADDRESS(ref!$K$3,ref!E7,1,,CELL("contenu",$AB$2))))</f>
        <v>C</v>
      </c>
      <c r="C8" s="3" t="str">
        <f ca="1">CELL("contenu",INDIRECT(ADDRESS(ref!$K$3,ref!F7,1,,CELL("contenu",$AB$2))))</f>
        <v/>
      </c>
      <c r="D8" s="4" t="str">
        <f ca="1">CELL("contenu",INDIRECT(ADDRESS(ref!$K$3,ref!G7,1,,CELL("contenu",$AB$2))))</f>
        <v>C</v>
      </c>
      <c r="E8" s="5" t="str">
        <f ca="1">CELL("contenu",INDIRECT(ADDRESS(ref!$K$3,ref!H7,1,,CELL("contenu",$AB$2))))</f>
        <v>C</v>
      </c>
      <c r="F8" s="6" t="str">
        <f ca="1">CELL("contenu",INDIRECT(ADDRESS(ref!$K$4,ref!E7,1,,CELL("contenu",$AB$2))))</f>
        <v>C</v>
      </c>
      <c r="G8" s="3" t="str">
        <f ca="1">CELL("contenu",INDIRECT(ADDRESS(ref!$K$4,ref!F7,1,,CELL("contenu",$AB$2))))</f>
        <v/>
      </c>
      <c r="H8" s="4" t="str">
        <f ca="1">CELL("contenu",INDIRECT(ADDRESS(ref!$K$4,ref!G7,1,,CELL("contenu",$AB$2))))</f>
        <v>B</v>
      </c>
      <c r="I8" s="5" t="str">
        <f ca="1">CELL("contenu",INDIRECT(ADDRESS(ref!$K$4,ref!H7,1,,CELL("contenu",$AB$2))))</f>
        <v>B</v>
      </c>
      <c r="J8" s="6" t="str">
        <f ca="1">CELL("contenu",INDIRECT(ADDRESS(ref!$K$5,ref!E7,1,,CELL("contenu",$AB$2))))</f>
        <v/>
      </c>
      <c r="K8" s="3" t="str">
        <f ca="1">CELL("contenu",INDIRECT(ADDRESS(ref!$K$5,ref!F7,1,,CELL("contenu",$AB$2))))</f>
        <v/>
      </c>
      <c r="L8" s="4" t="str">
        <f ca="1">CELL("contenu",INDIRECT(ADDRESS(ref!$K$5,ref!G7,1,,CELL("contenu",$AB$2))))</f>
        <v>A</v>
      </c>
      <c r="M8" s="5" t="str">
        <f ca="1">CELL("contenu",INDIRECT(ADDRESS(ref!$K$5,ref!H7,1,,CELL("contenu",$AB$2))))</f>
        <v>A</v>
      </c>
      <c r="N8" s="6" t="str">
        <f ca="1">CELL("contenu",INDIRECT(ADDRESS(ref!$K$6,ref!E7,1,,CELL("contenu",$AB$2))))</f>
        <v>C</v>
      </c>
      <c r="O8" s="3" t="str">
        <f ca="1">CELL("contenu",INDIRECT(ADDRESS(ref!$K$6,ref!F7,1,,CELL("contenu",$AB$2))))</f>
        <v>D</v>
      </c>
      <c r="P8" s="4" t="str">
        <f ca="1">CELL("contenu",INDIRECT(ADDRESS(ref!$K$6,ref!G7,1,,CELL("contenu",$AB$2))))</f>
        <v>C</v>
      </c>
      <c r="Q8" s="5" t="str">
        <f ca="1">CELL("contenu",INDIRECT(ADDRESS(ref!$K$6,ref!H7,1,,CELL("contenu",$AB$2))))</f>
        <v>C</v>
      </c>
      <c r="R8" s="6" t="str">
        <f ca="1">CELL("contenu",INDIRECT(ADDRESS(ref!$K$7,ref!E7,1,,CELL("contenu",$AB$2))))</f>
        <v>B</v>
      </c>
      <c r="S8" s="3" t="str">
        <f ca="1">CELL("contenu",INDIRECT(ADDRESS(ref!$K$7,ref!F7,1,,CELL("contenu",$AB$2))))</f>
        <v/>
      </c>
      <c r="T8" s="4" t="str">
        <f ca="1">CELL("contenu",INDIRECT(ADDRESS(ref!$K$7,ref!G7,1,,CELL("contenu",$AB$2))))</f>
        <v/>
      </c>
      <c r="U8" s="5" t="str">
        <f ca="1">CELL("contenu",INDIRECT(ADDRESS(ref!$K$7,ref!H7,1,,CELL("contenu",$AB$2))))</f>
        <v>B</v>
      </c>
      <c r="V8" s="41">
        <f ca="1">CELL("contenu",INDIRECT(ADDRESS(ref!$K$8,ref!E7,1,,CELL("contenu",$AB$2))))</f>
        <v>11.458333333333332</v>
      </c>
      <c r="W8" s="42">
        <f ca="1">CELL("contenu",INDIRECT(ADDRESS(ref!$K$8,ref!F7,1,,CELL("contenu",$AB$2))))</f>
        <v>5</v>
      </c>
      <c r="X8" s="43">
        <f ca="1">CELL("contenu",INDIRECT(ADDRESS(ref!$K$8,ref!G7,1,,CELL("contenu",$AB$2))))</f>
        <v>14.166666666666668</v>
      </c>
      <c r="Y8" s="7" t="str">
        <f ca="1">CELL("contenu",INDIRECT(ADDRESS(ref!$K$9,ref!H7,1,,CELL("contenu",$AB$2))))</f>
        <v/>
      </c>
      <c r="Z8" s="8" t="str">
        <f ca="1">CELL("contenu",INDIRECT(ADDRESS(ref!$K$10,ref!H7,1,,CELL("contenu",$AB$2))))</f>
        <v>A</v>
      </c>
    </row>
    <row r="9" spans="1:28" x14ac:dyDescent="0.55000000000000004">
      <c r="A9" s="53" t="str">
        <f t="shared" ca="1" si="0"/>
        <v>BRUN Hinatea</v>
      </c>
      <c r="B9" s="2" t="str">
        <f ca="1">CELL("contenu",INDIRECT(ADDRESS(ref!$K$3,ref!E8,1,,CELL("contenu",$AB$2))))</f>
        <v>C</v>
      </c>
      <c r="C9" s="3" t="str">
        <f ca="1">CELL("contenu",INDIRECT(ADDRESS(ref!$K$3,ref!F8,1,,CELL("contenu",$AB$2))))</f>
        <v>B</v>
      </c>
      <c r="D9" s="4" t="str">
        <f ca="1">CELL("contenu",INDIRECT(ADDRESS(ref!$K$3,ref!G8,1,,CELL("contenu",$AB$2))))</f>
        <v>B</v>
      </c>
      <c r="E9" s="5" t="str">
        <f ca="1">CELL("contenu",INDIRECT(ADDRESS(ref!$K$3,ref!H8,1,,CELL("contenu",$AB$2))))</f>
        <v>C</v>
      </c>
      <c r="F9" s="6" t="str">
        <f ca="1">CELL("contenu",INDIRECT(ADDRESS(ref!$K$4,ref!E8,1,,CELL("contenu",$AB$2))))</f>
        <v>A</v>
      </c>
      <c r="G9" s="3" t="str">
        <f ca="1">CELL("contenu",INDIRECT(ADDRESS(ref!$K$4,ref!F8,1,,CELL("contenu",$AB$2))))</f>
        <v/>
      </c>
      <c r="H9" s="4" t="str">
        <f ca="1">CELL("contenu",INDIRECT(ADDRESS(ref!$K$4,ref!G8,1,,CELL("contenu",$AB$2))))</f>
        <v>B</v>
      </c>
      <c r="I9" s="5" t="str">
        <f ca="1">CELL("contenu",INDIRECT(ADDRESS(ref!$K$4,ref!H8,1,,CELL("contenu",$AB$2))))</f>
        <v>A</v>
      </c>
      <c r="J9" s="6" t="str">
        <f ca="1">CELL("contenu",INDIRECT(ADDRESS(ref!$K$5,ref!E8,1,,CELL("contenu",$AB$2))))</f>
        <v/>
      </c>
      <c r="K9" s="3" t="str">
        <f ca="1">CELL("contenu",INDIRECT(ADDRESS(ref!$K$5,ref!F8,1,,CELL("contenu",$AB$2))))</f>
        <v/>
      </c>
      <c r="L9" s="4" t="str">
        <f ca="1">CELL("contenu",INDIRECT(ADDRESS(ref!$K$5,ref!G8,1,,CELL("contenu",$AB$2))))</f>
        <v>A</v>
      </c>
      <c r="M9" s="5" t="str">
        <f ca="1">CELL("contenu",INDIRECT(ADDRESS(ref!$K$5,ref!H8,1,,CELL("contenu",$AB$2))))</f>
        <v>A</v>
      </c>
      <c r="N9" s="6" t="str">
        <f ca="1">CELL("contenu",INDIRECT(ADDRESS(ref!$K$6,ref!E8,1,,CELL("contenu",$AB$2))))</f>
        <v>C</v>
      </c>
      <c r="O9" s="3" t="str">
        <f ca="1">CELL("contenu",INDIRECT(ADDRESS(ref!$K$6,ref!F8,1,,CELL("contenu",$AB$2))))</f>
        <v>C</v>
      </c>
      <c r="P9" s="4" t="str">
        <f ca="1">CELL("contenu",INDIRECT(ADDRESS(ref!$K$6,ref!G8,1,,CELL("contenu",$AB$2))))</f>
        <v>B</v>
      </c>
      <c r="Q9" s="5" t="str">
        <f ca="1">CELL("contenu",INDIRECT(ADDRESS(ref!$K$6,ref!H8,1,,CELL("contenu",$AB$2))))</f>
        <v>C</v>
      </c>
      <c r="R9" s="6" t="str">
        <f ca="1">CELL("contenu",INDIRECT(ADDRESS(ref!$K$7,ref!E8,1,,CELL("contenu",$AB$2))))</f>
        <v>B</v>
      </c>
      <c r="S9" s="3" t="str">
        <f ca="1">CELL("contenu",INDIRECT(ADDRESS(ref!$K$7,ref!F8,1,,CELL("contenu",$AB$2))))</f>
        <v/>
      </c>
      <c r="T9" s="4" t="str">
        <f ca="1">CELL("contenu",INDIRECT(ADDRESS(ref!$K$7,ref!G8,1,,CELL("contenu",$AB$2))))</f>
        <v/>
      </c>
      <c r="U9" s="5" t="str">
        <f ca="1">CELL("contenu",INDIRECT(ADDRESS(ref!$K$7,ref!H8,1,,CELL("contenu",$AB$2))))</f>
        <v>B</v>
      </c>
      <c r="V9" s="41">
        <f ca="1">CELL("contenu",INDIRECT(ADDRESS(ref!$K$8,ref!E8,1,,CELL("contenu",$AB$2))))</f>
        <v>13.125</v>
      </c>
      <c r="W9" s="42">
        <f ca="1">CELL("contenu",INDIRECT(ADDRESS(ref!$K$8,ref!F8,1,,CELL("contenu",$AB$2))))</f>
        <v>12.5</v>
      </c>
      <c r="X9" s="43">
        <f ca="1">CELL("contenu",INDIRECT(ADDRESS(ref!$K$8,ref!G8,1,,CELL("contenu",$AB$2))))</f>
        <v>16.111111111111114</v>
      </c>
      <c r="Y9" s="7" t="str">
        <f ca="1">CELL("contenu",INDIRECT(ADDRESS(ref!$K$9,ref!H8,1,,CELL("contenu",$AB$2))))</f>
        <v/>
      </c>
      <c r="Z9" s="8" t="str">
        <f ca="1">CELL("contenu",INDIRECT(ADDRESS(ref!$K$10,ref!H8,1,,CELL("contenu",$AB$2))))</f>
        <v>A</v>
      </c>
    </row>
    <row r="10" spans="1:28" x14ac:dyDescent="0.55000000000000004">
      <c r="A10" s="53" t="str">
        <f t="shared" ca="1" si="0"/>
        <v>CASELLA Alban</v>
      </c>
      <c r="B10" s="2" t="str">
        <f ca="1">CELL("contenu",INDIRECT(ADDRESS(ref!$K$3,ref!E9,1,,CELL("contenu",$AB$2))))</f>
        <v>C</v>
      </c>
      <c r="C10" s="3" t="str">
        <f ca="1">CELL("contenu",INDIRECT(ADDRESS(ref!$K$3,ref!F9,1,,CELL("contenu",$AB$2))))</f>
        <v>C</v>
      </c>
      <c r="D10" s="4" t="str">
        <f ca="1">CELL("contenu",INDIRECT(ADDRESS(ref!$K$3,ref!G9,1,,CELL("contenu",$AB$2))))</f>
        <v>B</v>
      </c>
      <c r="E10" s="5" t="str">
        <f ca="1">CELL("contenu",INDIRECT(ADDRESS(ref!$K$3,ref!H9,1,,CELL("contenu",$AB$2))))</f>
        <v>C</v>
      </c>
      <c r="F10" s="6" t="str">
        <f ca="1">CELL("contenu",INDIRECT(ADDRESS(ref!$K$4,ref!E9,1,,CELL("contenu",$AB$2))))</f>
        <v>B</v>
      </c>
      <c r="G10" s="3" t="str">
        <f ca="1">CELL("contenu",INDIRECT(ADDRESS(ref!$K$4,ref!F9,1,,CELL("contenu",$AB$2))))</f>
        <v/>
      </c>
      <c r="H10" s="4" t="str">
        <f ca="1">CELL("contenu",INDIRECT(ADDRESS(ref!$K$4,ref!G9,1,,CELL("contenu",$AB$2))))</f>
        <v>B</v>
      </c>
      <c r="I10" s="5" t="str">
        <f ca="1">CELL("contenu",INDIRECT(ADDRESS(ref!$K$4,ref!H9,1,,CELL("contenu",$AB$2))))</f>
        <v>B</v>
      </c>
      <c r="J10" s="6" t="str">
        <f ca="1">CELL("contenu",INDIRECT(ADDRESS(ref!$K$5,ref!E9,1,,CELL("contenu",$AB$2))))</f>
        <v/>
      </c>
      <c r="K10" s="3" t="str">
        <f ca="1">CELL("contenu",INDIRECT(ADDRESS(ref!$K$5,ref!F9,1,,CELL("contenu",$AB$2))))</f>
        <v/>
      </c>
      <c r="L10" s="4" t="str">
        <f ca="1">CELL("contenu",INDIRECT(ADDRESS(ref!$K$5,ref!G9,1,,CELL("contenu",$AB$2))))</f>
        <v>A</v>
      </c>
      <c r="M10" s="5" t="str">
        <f ca="1">CELL("contenu",INDIRECT(ADDRESS(ref!$K$5,ref!H9,1,,CELL("contenu",$AB$2))))</f>
        <v>A</v>
      </c>
      <c r="N10" s="6" t="str">
        <f ca="1">CELL("contenu",INDIRECT(ADDRESS(ref!$K$6,ref!E9,1,,CELL("contenu",$AB$2))))</f>
        <v>C</v>
      </c>
      <c r="O10" s="3" t="str">
        <f ca="1">CELL("contenu",INDIRECT(ADDRESS(ref!$K$6,ref!F9,1,,CELL("contenu",$AB$2))))</f>
        <v>C</v>
      </c>
      <c r="P10" s="4" t="str">
        <f ca="1">CELL("contenu",INDIRECT(ADDRESS(ref!$K$6,ref!G9,1,,CELL("contenu",$AB$2))))</f>
        <v>B</v>
      </c>
      <c r="Q10" s="5" t="str">
        <f ca="1">CELL("contenu",INDIRECT(ADDRESS(ref!$K$6,ref!H9,1,,CELL("contenu",$AB$2))))</f>
        <v>C</v>
      </c>
      <c r="R10" s="6" t="str">
        <f ca="1">CELL("contenu",INDIRECT(ADDRESS(ref!$K$7,ref!E9,1,,CELL("contenu",$AB$2))))</f>
        <v>C</v>
      </c>
      <c r="S10" s="3" t="str">
        <f ca="1">CELL("contenu",INDIRECT(ADDRESS(ref!$K$7,ref!F9,1,,CELL("contenu",$AB$2))))</f>
        <v/>
      </c>
      <c r="T10" s="4" t="str">
        <f ca="1">CELL("contenu",INDIRECT(ADDRESS(ref!$K$7,ref!G9,1,,CELL("contenu",$AB$2))))</f>
        <v/>
      </c>
      <c r="U10" s="5" t="str">
        <f ca="1">CELL("contenu",INDIRECT(ADDRESS(ref!$K$7,ref!H9,1,,CELL("contenu",$AB$2))))</f>
        <v>C</v>
      </c>
      <c r="V10" s="41">
        <f ca="1">CELL("contenu",INDIRECT(ADDRESS(ref!$K$8,ref!E9,1,,CELL("contenu",$AB$2))))</f>
        <v>12.083333333333332</v>
      </c>
      <c r="W10" s="42">
        <f ca="1">CELL("contenu",INDIRECT(ADDRESS(ref!$K$8,ref!F9,1,,CELL("contenu",$AB$2))))</f>
        <v>11.25</v>
      </c>
      <c r="X10" s="43">
        <f ca="1">CELL("contenu",INDIRECT(ADDRESS(ref!$K$8,ref!G9,1,,CELL("contenu",$AB$2))))</f>
        <v>16.041666666666668</v>
      </c>
      <c r="Y10" s="7" t="str">
        <f ca="1">CELL("contenu",INDIRECT(ADDRESS(ref!$K$9,ref!H9,1,,CELL("contenu",$AB$2))))</f>
        <v/>
      </c>
      <c r="Z10" s="8" t="str">
        <f ca="1">CELL("contenu",INDIRECT(ADDRESS(ref!$K$10,ref!H9,1,,CELL("contenu",$AB$2))))</f>
        <v>B</v>
      </c>
    </row>
    <row r="11" spans="1:28" x14ac:dyDescent="0.55000000000000004">
      <c r="A11" s="53" t="str">
        <f t="shared" ca="1" si="0"/>
        <v>CHAPELLIER Sophie</v>
      </c>
      <c r="B11" s="2" t="str">
        <f ca="1">CELL("contenu",INDIRECT(ADDRESS(ref!$K$3,ref!E10,1,,CELL("contenu",$AB$2))))</f>
        <v>C</v>
      </c>
      <c r="C11" s="3" t="str">
        <f ca="1">CELL("contenu",INDIRECT(ADDRESS(ref!$K$3,ref!F10,1,,CELL("contenu",$AB$2))))</f>
        <v>A</v>
      </c>
      <c r="D11" s="4" t="str">
        <f ca="1">CELL("contenu",INDIRECT(ADDRESS(ref!$K$3,ref!G10,1,,CELL("contenu",$AB$2))))</f>
        <v>C</v>
      </c>
      <c r="E11" s="5" t="str">
        <f ca="1">CELL("contenu",INDIRECT(ADDRESS(ref!$K$3,ref!H10,1,,CELL("contenu",$AB$2))))</f>
        <v>C</v>
      </c>
      <c r="F11" s="6" t="str">
        <f ca="1">CELL("contenu",INDIRECT(ADDRESS(ref!$K$4,ref!E10,1,,CELL("contenu",$AB$2))))</f>
        <v>C</v>
      </c>
      <c r="G11" s="3" t="str">
        <f ca="1">CELL("contenu",INDIRECT(ADDRESS(ref!$K$4,ref!F10,1,,CELL("contenu",$AB$2))))</f>
        <v/>
      </c>
      <c r="H11" s="4" t="str">
        <f ca="1">CELL("contenu",INDIRECT(ADDRESS(ref!$K$4,ref!G10,1,,CELL("contenu",$AB$2))))</f>
        <v>B</v>
      </c>
      <c r="I11" s="5" t="str">
        <f ca="1">CELL("contenu",INDIRECT(ADDRESS(ref!$K$4,ref!H10,1,,CELL("contenu",$AB$2))))</f>
        <v>B</v>
      </c>
      <c r="J11" s="6" t="str">
        <f ca="1">CELL("contenu",INDIRECT(ADDRESS(ref!$K$5,ref!E10,1,,CELL("contenu",$AB$2))))</f>
        <v/>
      </c>
      <c r="K11" s="3" t="str">
        <f ca="1">CELL("contenu",INDIRECT(ADDRESS(ref!$K$5,ref!F10,1,,CELL("contenu",$AB$2))))</f>
        <v/>
      </c>
      <c r="L11" s="4" t="str">
        <f ca="1">CELL("contenu",INDIRECT(ADDRESS(ref!$K$5,ref!G10,1,,CELL("contenu",$AB$2))))</f>
        <v>B</v>
      </c>
      <c r="M11" s="5" t="str">
        <f ca="1">CELL("contenu",INDIRECT(ADDRESS(ref!$K$5,ref!H10,1,,CELL("contenu",$AB$2))))</f>
        <v>B</v>
      </c>
      <c r="N11" s="6" t="str">
        <f ca="1">CELL("contenu",INDIRECT(ADDRESS(ref!$K$6,ref!E10,1,,CELL("contenu",$AB$2))))</f>
        <v>C</v>
      </c>
      <c r="O11" s="3" t="str">
        <f ca="1">CELL("contenu",INDIRECT(ADDRESS(ref!$K$6,ref!F10,1,,CELL("contenu",$AB$2))))</f>
        <v>B</v>
      </c>
      <c r="P11" s="4" t="str">
        <f ca="1">CELL("contenu",INDIRECT(ADDRESS(ref!$K$6,ref!G10,1,,CELL("contenu",$AB$2))))</f>
        <v>C</v>
      </c>
      <c r="Q11" s="5" t="str">
        <f ca="1">CELL("contenu",INDIRECT(ADDRESS(ref!$K$6,ref!H10,1,,CELL("contenu",$AB$2))))</f>
        <v>C</v>
      </c>
      <c r="R11" s="6" t="str">
        <f ca="1">CELL("contenu",INDIRECT(ADDRESS(ref!$K$7,ref!E10,1,,CELL("contenu",$AB$2))))</f>
        <v>B</v>
      </c>
      <c r="S11" s="3" t="str">
        <f ca="1">CELL("contenu",INDIRECT(ADDRESS(ref!$K$7,ref!F10,1,,CELL("contenu",$AB$2))))</f>
        <v/>
      </c>
      <c r="T11" s="4" t="str">
        <f ca="1">CELL("contenu",INDIRECT(ADDRESS(ref!$K$7,ref!G10,1,,CELL("contenu",$AB$2))))</f>
        <v/>
      </c>
      <c r="U11" s="5" t="str">
        <f ca="1">CELL("contenu",INDIRECT(ADDRESS(ref!$K$7,ref!H10,1,,CELL("contenu",$AB$2))))</f>
        <v>B</v>
      </c>
      <c r="V11" s="41">
        <f ca="1">CELL("contenu",INDIRECT(ADDRESS(ref!$K$8,ref!E10,1,,CELL("contenu",$AB$2))))</f>
        <v>11.666666666666668</v>
      </c>
      <c r="W11" s="42">
        <f ca="1">CELL("contenu",INDIRECT(ADDRESS(ref!$K$8,ref!F10,1,,CELL("contenu",$AB$2))))</f>
        <v>17.5</v>
      </c>
      <c r="X11" s="43">
        <f ca="1">CELL("contenu",INDIRECT(ADDRESS(ref!$K$8,ref!G10,1,,CELL("contenu",$AB$2))))</f>
        <v>13.333333333333332</v>
      </c>
      <c r="Y11" s="7" t="str">
        <f ca="1">CELL("contenu",INDIRECT(ADDRESS(ref!$K$9,ref!H10,1,,CELL("contenu",$AB$2))))</f>
        <v/>
      </c>
      <c r="Z11" s="8" t="str">
        <f ca="1">CELL("contenu",INDIRECT(ADDRESS(ref!$K$10,ref!H10,1,,CELL("contenu",$AB$2))))</f>
        <v>A</v>
      </c>
    </row>
    <row r="12" spans="1:28" x14ac:dyDescent="0.55000000000000004">
      <c r="A12" s="53" t="str">
        <f t="shared" ca="1" si="0"/>
        <v>DESJARDIN Ines</v>
      </c>
      <c r="B12" s="2" t="str">
        <f ca="1">CELL("contenu",INDIRECT(ADDRESS(ref!$K$3,ref!E11,1,,CELL("contenu",$AB$2))))</f>
        <v>C</v>
      </c>
      <c r="C12" s="3" t="str">
        <f ca="1">CELL("contenu",INDIRECT(ADDRESS(ref!$K$3,ref!F11,1,,CELL("contenu",$AB$2))))</f>
        <v>B</v>
      </c>
      <c r="D12" s="4" t="str">
        <f ca="1">CELL("contenu",INDIRECT(ADDRESS(ref!$K$3,ref!G11,1,,CELL("contenu",$AB$2))))</f>
        <v>C</v>
      </c>
      <c r="E12" s="5" t="str">
        <f ca="1">CELL("contenu",INDIRECT(ADDRESS(ref!$K$3,ref!H11,1,,CELL("contenu",$AB$2))))</f>
        <v>C</v>
      </c>
      <c r="F12" s="6" t="str">
        <f ca="1">CELL("contenu",INDIRECT(ADDRESS(ref!$K$4,ref!E11,1,,CELL("contenu",$AB$2))))</f>
        <v>C</v>
      </c>
      <c r="G12" s="3" t="str">
        <f ca="1">CELL("contenu",INDIRECT(ADDRESS(ref!$K$4,ref!F11,1,,CELL("contenu",$AB$2))))</f>
        <v/>
      </c>
      <c r="H12" s="4" t="str">
        <f ca="1">CELL("contenu",INDIRECT(ADDRESS(ref!$K$4,ref!G11,1,,CELL("contenu",$AB$2))))</f>
        <v>B</v>
      </c>
      <c r="I12" s="5" t="str">
        <f ca="1">CELL("contenu",INDIRECT(ADDRESS(ref!$K$4,ref!H11,1,,CELL("contenu",$AB$2))))</f>
        <v>B</v>
      </c>
      <c r="J12" s="6" t="str">
        <f ca="1">CELL("contenu",INDIRECT(ADDRESS(ref!$K$5,ref!E11,1,,CELL("contenu",$AB$2))))</f>
        <v/>
      </c>
      <c r="K12" s="3" t="str">
        <f ca="1">CELL("contenu",INDIRECT(ADDRESS(ref!$K$5,ref!F11,1,,CELL("contenu",$AB$2))))</f>
        <v/>
      </c>
      <c r="L12" s="4" t="str">
        <f ca="1">CELL("contenu",INDIRECT(ADDRESS(ref!$K$5,ref!G11,1,,CELL("contenu",$AB$2))))</f>
        <v>A</v>
      </c>
      <c r="M12" s="5" t="str">
        <f ca="1">CELL("contenu",INDIRECT(ADDRESS(ref!$K$5,ref!H11,1,,CELL("contenu",$AB$2))))</f>
        <v>A</v>
      </c>
      <c r="N12" s="6" t="str">
        <f ca="1">CELL("contenu",INDIRECT(ADDRESS(ref!$K$6,ref!E11,1,,CELL("contenu",$AB$2))))</f>
        <v>D</v>
      </c>
      <c r="O12" s="3" t="str">
        <f ca="1">CELL("contenu",INDIRECT(ADDRESS(ref!$K$6,ref!F11,1,,CELL("contenu",$AB$2))))</f>
        <v>C</v>
      </c>
      <c r="P12" s="4" t="str">
        <f ca="1">CELL("contenu",INDIRECT(ADDRESS(ref!$K$6,ref!G11,1,,CELL("contenu",$AB$2))))</f>
        <v>C</v>
      </c>
      <c r="Q12" s="5" t="str">
        <f ca="1">CELL("contenu",INDIRECT(ADDRESS(ref!$K$6,ref!H11,1,,CELL("contenu",$AB$2))))</f>
        <v>C</v>
      </c>
      <c r="R12" s="6" t="str">
        <f ca="1">CELL("contenu",INDIRECT(ADDRESS(ref!$K$7,ref!E11,1,,CELL("contenu",$AB$2))))</f>
        <v>C</v>
      </c>
      <c r="S12" s="3" t="str">
        <f ca="1">CELL("contenu",INDIRECT(ADDRESS(ref!$K$7,ref!F11,1,,CELL("contenu",$AB$2))))</f>
        <v/>
      </c>
      <c r="T12" s="4" t="str">
        <f ca="1">CELL("contenu",INDIRECT(ADDRESS(ref!$K$7,ref!G11,1,,CELL("contenu",$AB$2))))</f>
        <v/>
      </c>
      <c r="U12" s="5" t="str">
        <f ca="1">CELL("contenu",INDIRECT(ADDRESS(ref!$K$7,ref!H11,1,,CELL("contenu",$AB$2))))</f>
        <v>C</v>
      </c>
      <c r="V12" s="41">
        <f ca="1">CELL("contenu",INDIRECT(ADDRESS(ref!$K$8,ref!E11,1,,CELL("contenu",$AB$2))))</f>
        <v>8.9583333333333339</v>
      </c>
      <c r="W12" s="42">
        <f ca="1">CELL("contenu",INDIRECT(ADDRESS(ref!$K$8,ref!F11,1,,CELL("contenu",$AB$2))))</f>
        <v>12.5</v>
      </c>
      <c r="X12" s="43">
        <f ca="1">CELL("contenu",INDIRECT(ADDRESS(ref!$K$8,ref!G11,1,,CELL("contenu",$AB$2))))</f>
        <v>13.472222222222221</v>
      </c>
      <c r="Y12" s="7" t="str">
        <f ca="1">CELL("contenu",INDIRECT(ADDRESS(ref!$K$9,ref!H11,1,,CELL("contenu",$AB$2))))</f>
        <v/>
      </c>
      <c r="Z12" s="8" t="str">
        <f ca="1">CELL("contenu",INDIRECT(ADDRESS(ref!$K$10,ref!H11,1,,CELL("contenu",$AB$2))))</f>
        <v>A</v>
      </c>
    </row>
    <row r="13" spans="1:28" x14ac:dyDescent="0.55000000000000004">
      <c r="A13" s="53" t="str">
        <f t="shared" ca="1" si="0"/>
        <v>DINZART Lucas</v>
      </c>
      <c r="B13" s="2" t="str">
        <f ca="1">CELL("contenu",INDIRECT(ADDRESS(ref!$K$3,ref!E12,1,,CELL("contenu",$AB$2))))</f>
        <v>D</v>
      </c>
      <c r="C13" s="3" t="str">
        <f ca="1">CELL("contenu",INDIRECT(ADDRESS(ref!$K$3,ref!F12,1,,CELL("contenu",$AB$2))))</f>
        <v>C</v>
      </c>
      <c r="D13" s="4" t="str">
        <f ca="1">CELL("contenu",INDIRECT(ADDRESS(ref!$K$3,ref!G12,1,,CELL("contenu",$AB$2))))</f>
        <v>C</v>
      </c>
      <c r="E13" s="5" t="str">
        <f ca="1">CELL("contenu",INDIRECT(ADDRESS(ref!$K$3,ref!H12,1,,CELL("contenu",$AB$2))))</f>
        <v>C</v>
      </c>
      <c r="F13" s="6" t="str">
        <f ca="1">CELL("contenu",INDIRECT(ADDRESS(ref!$K$4,ref!E12,1,,CELL("contenu",$AB$2))))</f>
        <v>B</v>
      </c>
      <c r="G13" s="3" t="str">
        <f ca="1">CELL("contenu",INDIRECT(ADDRESS(ref!$K$4,ref!F12,1,,CELL("contenu",$AB$2))))</f>
        <v/>
      </c>
      <c r="H13" s="4" t="str">
        <f ca="1">CELL("contenu",INDIRECT(ADDRESS(ref!$K$4,ref!G12,1,,CELL("contenu",$AB$2))))</f>
        <v>B</v>
      </c>
      <c r="I13" s="5" t="str">
        <f ca="1">CELL("contenu",INDIRECT(ADDRESS(ref!$K$4,ref!H12,1,,CELL("contenu",$AB$2))))</f>
        <v>B</v>
      </c>
      <c r="J13" s="6" t="str">
        <f ca="1">CELL("contenu",INDIRECT(ADDRESS(ref!$K$5,ref!E12,1,,CELL("contenu",$AB$2))))</f>
        <v/>
      </c>
      <c r="K13" s="3" t="str">
        <f ca="1">CELL("contenu",INDIRECT(ADDRESS(ref!$K$5,ref!F12,1,,CELL("contenu",$AB$2))))</f>
        <v/>
      </c>
      <c r="L13" s="4" t="str">
        <f ca="1">CELL("contenu",INDIRECT(ADDRESS(ref!$K$5,ref!G12,1,,CELL("contenu",$AB$2))))</f>
        <v>B</v>
      </c>
      <c r="M13" s="5" t="str">
        <f ca="1">CELL("contenu",INDIRECT(ADDRESS(ref!$K$5,ref!H12,1,,CELL("contenu",$AB$2))))</f>
        <v>B</v>
      </c>
      <c r="N13" s="6" t="str">
        <f ca="1">CELL("contenu",INDIRECT(ADDRESS(ref!$K$6,ref!E12,1,,CELL("contenu",$AB$2))))</f>
        <v>D</v>
      </c>
      <c r="O13" s="3" t="str">
        <f ca="1">CELL("contenu",INDIRECT(ADDRESS(ref!$K$6,ref!F12,1,,CELL("contenu",$AB$2))))</f>
        <v>C</v>
      </c>
      <c r="P13" s="4" t="str">
        <f ca="1">CELL("contenu",INDIRECT(ADDRESS(ref!$K$6,ref!G12,1,,CELL("contenu",$AB$2))))</f>
        <v>C</v>
      </c>
      <c r="Q13" s="5" t="str">
        <f ca="1">CELL("contenu",INDIRECT(ADDRESS(ref!$K$6,ref!H12,1,,CELL("contenu",$AB$2))))</f>
        <v>C</v>
      </c>
      <c r="R13" s="6" t="str">
        <f ca="1">CELL("contenu",INDIRECT(ADDRESS(ref!$K$7,ref!E12,1,,CELL("contenu",$AB$2))))</f>
        <v>C</v>
      </c>
      <c r="S13" s="3" t="str">
        <f ca="1">CELL("contenu",INDIRECT(ADDRESS(ref!$K$7,ref!F12,1,,CELL("contenu",$AB$2))))</f>
        <v/>
      </c>
      <c r="T13" s="4" t="str">
        <f ca="1">CELL("contenu",INDIRECT(ADDRESS(ref!$K$7,ref!G12,1,,CELL("contenu",$AB$2))))</f>
        <v/>
      </c>
      <c r="U13" s="5" t="str">
        <f ca="1">CELL("contenu",INDIRECT(ADDRESS(ref!$K$7,ref!H12,1,,CELL("contenu",$AB$2))))</f>
        <v>C</v>
      </c>
      <c r="V13" s="41">
        <f ca="1">CELL("contenu",INDIRECT(ADDRESS(ref!$K$8,ref!E12,1,,CELL("contenu",$AB$2))))</f>
        <v>8.5416666666666661</v>
      </c>
      <c r="W13" s="42">
        <f ca="1">CELL("contenu",INDIRECT(ADDRESS(ref!$K$8,ref!F12,1,,CELL("contenu",$AB$2))))</f>
        <v>11.25</v>
      </c>
      <c r="X13" s="43">
        <f ca="1">CELL("contenu",INDIRECT(ADDRESS(ref!$K$8,ref!G12,1,,CELL("contenu",$AB$2))))</f>
        <v>12.1875</v>
      </c>
      <c r="Y13" s="7" t="str">
        <f ca="1">CELL("contenu",INDIRECT(ADDRESS(ref!$K$9,ref!H12,1,,CELL("contenu",$AB$2))))</f>
        <v/>
      </c>
      <c r="Z13" s="8" t="str">
        <f ca="1">CELL("contenu",INDIRECT(ADDRESS(ref!$K$10,ref!H12,1,,CELL("contenu",$AB$2))))</f>
        <v>A</v>
      </c>
    </row>
    <row r="14" spans="1:28" x14ac:dyDescent="0.55000000000000004">
      <c r="A14" s="53" t="str">
        <f t="shared" ca="1" si="0"/>
        <v>GATINE Bertrand</v>
      </c>
      <c r="B14" s="2" t="str">
        <f ca="1">CELL("contenu",INDIRECT(ADDRESS(ref!$K$3,ref!E13,1,,CELL("contenu",$AB$2))))</f>
        <v>C</v>
      </c>
      <c r="C14" s="3" t="str">
        <f ca="1">CELL("contenu",INDIRECT(ADDRESS(ref!$K$3,ref!F13,1,,CELL("contenu",$AB$2))))</f>
        <v>A</v>
      </c>
      <c r="D14" s="4" t="str">
        <f ca="1">CELL("contenu",INDIRECT(ADDRESS(ref!$K$3,ref!G13,1,,CELL("contenu",$AB$2))))</f>
        <v>B</v>
      </c>
      <c r="E14" s="5" t="str">
        <f ca="1">CELL("contenu",INDIRECT(ADDRESS(ref!$K$3,ref!H13,1,,CELL("contenu",$AB$2))))</f>
        <v>B</v>
      </c>
      <c r="F14" s="6" t="str">
        <f ca="1">CELL("contenu",INDIRECT(ADDRESS(ref!$K$4,ref!E13,1,,CELL("contenu",$AB$2))))</f>
        <v>B</v>
      </c>
      <c r="G14" s="3" t="str">
        <f ca="1">CELL("contenu",INDIRECT(ADDRESS(ref!$K$4,ref!F13,1,,CELL("contenu",$AB$2))))</f>
        <v/>
      </c>
      <c r="H14" s="4" t="str">
        <f ca="1">CELL("contenu",INDIRECT(ADDRESS(ref!$K$4,ref!G13,1,,CELL("contenu",$AB$2))))</f>
        <v>B</v>
      </c>
      <c r="I14" s="5" t="str">
        <f ca="1">CELL("contenu",INDIRECT(ADDRESS(ref!$K$4,ref!H13,1,,CELL("contenu",$AB$2))))</f>
        <v>B</v>
      </c>
      <c r="J14" s="6" t="str">
        <f ca="1">CELL("contenu",INDIRECT(ADDRESS(ref!$K$5,ref!E13,1,,CELL("contenu",$AB$2))))</f>
        <v/>
      </c>
      <c r="K14" s="3" t="str">
        <f ca="1">CELL("contenu",INDIRECT(ADDRESS(ref!$K$5,ref!F13,1,,CELL("contenu",$AB$2))))</f>
        <v/>
      </c>
      <c r="L14" s="4" t="str">
        <f ca="1">CELL("contenu",INDIRECT(ADDRESS(ref!$K$5,ref!G13,1,,CELL("contenu",$AB$2))))</f>
        <v>A</v>
      </c>
      <c r="M14" s="5" t="str">
        <f ca="1">CELL("contenu",INDIRECT(ADDRESS(ref!$K$5,ref!H13,1,,CELL("contenu",$AB$2))))</f>
        <v>A</v>
      </c>
      <c r="N14" s="6" t="str">
        <f ca="1">CELL("contenu",INDIRECT(ADDRESS(ref!$K$6,ref!E13,1,,CELL("contenu",$AB$2))))</f>
        <v>C</v>
      </c>
      <c r="O14" s="3" t="str">
        <f ca="1">CELL("contenu",INDIRECT(ADDRESS(ref!$K$6,ref!F13,1,,CELL("contenu",$AB$2))))</f>
        <v>C</v>
      </c>
      <c r="P14" s="4" t="str">
        <f ca="1">CELL("contenu",INDIRECT(ADDRESS(ref!$K$6,ref!G13,1,,CELL("contenu",$AB$2))))</f>
        <v>B</v>
      </c>
      <c r="Q14" s="5" t="str">
        <f ca="1">CELL("contenu",INDIRECT(ADDRESS(ref!$K$6,ref!H13,1,,CELL("contenu",$AB$2))))</f>
        <v>C</v>
      </c>
      <c r="R14" s="6" t="str">
        <f ca="1">CELL("contenu",INDIRECT(ADDRESS(ref!$K$7,ref!E13,1,,CELL("contenu",$AB$2))))</f>
        <v>B</v>
      </c>
      <c r="S14" s="3" t="str">
        <f ca="1">CELL("contenu",INDIRECT(ADDRESS(ref!$K$7,ref!F13,1,,CELL("contenu",$AB$2))))</f>
        <v/>
      </c>
      <c r="T14" s="4" t="str">
        <f ca="1">CELL("contenu",INDIRECT(ADDRESS(ref!$K$7,ref!G13,1,,CELL("contenu",$AB$2))))</f>
        <v/>
      </c>
      <c r="U14" s="5" t="str">
        <f ca="1">CELL("contenu",INDIRECT(ADDRESS(ref!$K$7,ref!H13,1,,CELL("contenu",$AB$2))))</f>
        <v>B</v>
      </c>
      <c r="V14" s="41">
        <f ca="1">CELL("contenu",INDIRECT(ADDRESS(ref!$K$8,ref!E13,1,,CELL("contenu",$AB$2))))</f>
        <v>12.5</v>
      </c>
      <c r="W14" s="42">
        <f ca="1">CELL("contenu",INDIRECT(ADDRESS(ref!$K$8,ref!F13,1,,CELL("contenu",$AB$2))))</f>
        <v>16.25</v>
      </c>
      <c r="X14" s="43">
        <f ca="1">CELL("contenu",INDIRECT(ADDRESS(ref!$K$8,ref!G13,1,,CELL("contenu",$AB$2))))</f>
        <v>16.458333333333332</v>
      </c>
      <c r="Y14" s="7" t="str">
        <f ca="1">CELL("contenu",INDIRECT(ADDRESS(ref!$K$9,ref!H13,1,,CELL("contenu",$AB$2))))</f>
        <v/>
      </c>
      <c r="Z14" s="8" t="str">
        <f ca="1">CELL("contenu",INDIRECT(ADDRESS(ref!$K$10,ref!H13,1,,CELL("contenu",$AB$2))))</f>
        <v>A</v>
      </c>
    </row>
    <row r="15" spans="1:28" x14ac:dyDescent="0.55000000000000004">
      <c r="A15" s="53" t="str">
        <f t="shared" ca="1" si="0"/>
        <v>GLEISBERG Margaux</v>
      </c>
      <c r="B15" s="2" t="str">
        <f ca="1">CELL("contenu",INDIRECT(ADDRESS(ref!$K$3,ref!E14,1,,CELL("contenu",$AB$2))))</f>
        <v>D</v>
      </c>
      <c r="C15" s="3" t="str">
        <f ca="1">CELL("contenu",INDIRECT(ADDRESS(ref!$K$3,ref!F14,1,,CELL("contenu",$AB$2))))</f>
        <v>D</v>
      </c>
      <c r="D15" s="4" t="str">
        <f ca="1">CELL("contenu",INDIRECT(ADDRESS(ref!$K$3,ref!G14,1,,CELL("contenu",$AB$2))))</f>
        <v>C</v>
      </c>
      <c r="E15" s="5" t="str">
        <f ca="1">CELL("contenu",INDIRECT(ADDRESS(ref!$K$3,ref!H14,1,,CELL("contenu",$AB$2))))</f>
        <v>C</v>
      </c>
      <c r="F15" s="6" t="str">
        <f ca="1">CELL("contenu",INDIRECT(ADDRESS(ref!$K$4,ref!E14,1,,CELL("contenu",$AB$2))))</f>
        <v>C</v>
      </c>
      <c r="G15" s="3" t="str">
        <f ca="1">CELL("contenu",INDIRECT(ADDRESS(ref!$K$4,ref!F14,1,,CELL("contenu",$AB$2))))</f>
        <v/>
      </c>
      <c r="H15" s="4" t="str">
        <f ca="1">CELL("contenu",INDIRECT(ADDRESS(ref!$K$4,ref!G14,1,,CELL("contenu",$AB$2))))</f>
        <v>B</v>
      </c>
      <c r="I15" s="5" t="str">
        <f ca="1">CELL("contenu",INDIRECT(ADDRESS(ref!$K$4,ref!H14,1,,CELL("contenu",$AB$2))))</f>
        <v>B</v>
      </c>
      <c r="J15" s="6" t="str">
        <f ca="1">CELL("contenu",INDIRECT(ADDRESS(ref!$K$5,ref!E14,1,,CELL("contenu",$AB$2))))</f>
        <v/>
      </c>
      <c r="K15" s="3" t="str">
        <f ca="1">CELL("contenu",INDIRECT(ADDRESS(ref!$K$5,ref!F14,1,,CELL("contenu",$AB$2))))</f>
        <v/>
      </c>
      <c r="L15" s="4" t="str">
        <f ca="1">CELL("contenu",INDIRECT(ADDRESS(ref!$K$5,ref!G14,1,,CELL("contenu",$AB$2))))</f>
        <v>B</v>
      </c>
      <c r="M15" s="5" t="str">
        <f ca="1">CELL("contenu",INDIRECT(ADDRESS(ref!$K$5,ref!H14,1,,CELL("contenu",$AB$2))))</f>
        <v>B</v>
      </c>
      <c r="N15" s="6" t="str">
        <f ca="1">CELL("contenu",INDIRECT(ADDRESS(ref!$K$6,ref!E14,1,,CELL("contenu",$AB$2))))</f>
        <v>D</v>
      </c>
      <c r="O15" s="3" t="str">
        <f ca="1">CELL("contenu",INDIRECT(ADDRESS(ref!$K$6,ref!F14,1,,CELL("contenu",$AB$2))))</f>
        <v>D</v>
      </c>
      <c r="P15" s="4" t="str">
        <f ca="1">CELL("contenu",INDIRECT(ADDRESS(ref!$K$6,ref!G14,1,,CELL("contenu",$AB$2))))</f>
        <v>B</v>
      </c>
      <c r="Q15" s="5" t="str">
        <f ca="1">CELL("contenu",INDIRECT(ADDRESS(ref!$K$6,ref!H14,1,,CELL("contenu",$AB$2))))</f>
        <v>C</v>
      </c>
      <c r="R15" s="6" t="str">
        <f ca="1">CELL("contenu",INDIRECT(ADDRESS(ref!$K$7,ref!E14,1,,CELL("contenu",$AB$2))))</f>
        <v>B</v>
      </c>
      <c r="S15" s="3" t="str">
        <f ca="1">CELL("contenu",INDIRECT(ADDRESS(ref!$K$7,ref!F14,1,,CELL("contenu",$AB$2))))</f>
        <v/>
      </c>
      <c r="T15" s="4" t="str">
        <f ca="1">CELL("contenu",INDIRECT(ADDRESS(ref!$K$7,ref!G14,1,,CELL("contenu",$AB$2))))</f>
        <v/>
      </c>
      <c r="U15" s="5" t="str">
        <f ca="1">CELL("contenu",INDIRECT(ADDRESS(ref!$K$7,ref!H14,1,,CELL("contenu",$AB$2))))</f>
        <v>B</v>
      </c>
      <c r="V15" s="41">
        <f ca="1">CELL("contenu",INDIRECT(ADDRESS(ref!$K$8,ref!E14,1,,CELL("contenu",$AB$2))))</f>
        <v>8.75</v>
      </c>
      <c r="W15" s="42">
        <f ca="1">CELL("contenu",INDIRECT(ADDRESS(ref!$K$8,ref!F14,1,,CELL("contenu",$AB$2))))</f>
        <v>6.25</v>
      </c>
      <c r="X15" s="43">
        <f ca="1">CELL("contenu",INDIRECT(ADDRESS(ref!$K$8,ref!G14,1,,CELL("contenu",$AB$2))))</f>
        <v>15.208333333333332</v>
      </c>
      <c r="Y15" s="7" t="str">
        <f ca="1">CELL("contenu",INDIRECT(ADDRESS(ref!$K$9,ref!H14,1,,CELL("contenu",$AB$2))))</f>
        <v/>
      </c>
      <c r="Z15" s="8" t="str">
        <f ca="1">CELL("contenu",INDIRECT(ADDRESS(ref!$K$10,ref!H14,1,,CELL("contenu",$AB$2))))</f>
        <v>A</v>
      </c>
    </row>
    <row r="16" spans="1:28" x14ac:dyDescent="0.55000000000000004">
      <c r="A16" s="53" t="str">
        <f t="shared" ca="1" si="0"/>
        <v>HEINTZ Claire</v>
      </c>
      <c r="B16" s="2" t="str">
        <f ca="1">CELL("contenu",INDIRECT(ADDRESS(ref!$K$3,ref!E15,1,,CELL("contenu",$AB$2))))</f>
        <v>C</v>
      </c>
      <c r="C16" s="3" t="str">
        <f ca="1">CELL("contenu",INDIRECT(ADDRESS(ref!$K$3,ref!F15,1,,CELL("contenu",$AB$2))))</f>
        <v>D</v>
      </c>
      <c r="D16" s="4" t="str">
        <f ca="1">CELL("contenu",INDIRECT(ADDRESS(ref!$K$3,ref!G15,1,,CELL("contenu",$AB$2))))</f>
        <v>B</v>
      </c>
      <c r="E16" s="5" t="str">
        <f ca="1">CELL("contenu",INDIRECT(ADDRESS(ref!$K$3,ref!H15,1,,CELL("contenu",$AB$2))))</f>
        <v>C</v>
      </c>
      <c r="F16" s="6" t="str">
        <f ca="1">CELL("contenu",INDIRECT(ADDRESS(ref!$K$4,ref!E15,1,,CELL("contenu",$AB$2))))</f>
        <v>B</v>
      </c>
      <c r="G16" s="3" t="str">
        <f ca="1">CELL("contenu",INDIRECT(ADDRESS(ref!$K$4,ref!F15,1,,CELL("contenu",$AB$2))))</f>
        <v/>
      </c>
      <c r="H16" s="4" t="str">
        <f ca="1">CELL("contenu",INDIRECT(ADDRESS(ref!$K$4,ref!G15,1,,CELL("contenu",$AB$2))))</f>
        <v>A</v>
      </c>
      <c r="I16" s="5" t="str">
        <f ca="1">CELL("contenu",INDIRECT(ADDRESS(ref!$K$4,ref!H15,1,,CELL("contenu",$AB$2))))</f>
        <v>B</v>
      </c>
      <c r="J16" s="6" t="str">
        <f ca="1">CELL("contenu",INDIRECT(ADDRESS(ref!$K$5,ref!E15,1,,CELL("contenu",$AB$2))))</f>
        <v/>
      </c>
      <c r="K16" s="3" t="str">
        <f ca="1">CELL("contenu",INDIRECT(ADDRESS(ref!$K$5,ref!F15,1,,CELL("contenu",$AB$2))))</f>
        <v/>
      </c>
      <c r="L16" s="4" t="str">
        <f ca="1">CELL("contenu",INDIRECT(ADDRESS(ref!$K$5,ref!G15,1,,CELL("contenu",$AB$2))))</f>
        <v>A</v>
      </c>
      <c r="M16" s="5" t="str">
        <f ca="1">CELL("contenu",INDIRECT(ADDRESS(ref!$K$5,ref!H15,1,,CELL("contenu",$AB$2))))</f>
        <v>A</v>
      </c>
      <c r="N16" s="6" t="str">
        <f ca="1">CELL("contenu",INDIRECT(ADDRESS(ref!$K$6,ref!E15,1,,CELL("contenu",$AB$2))))</f>
        <v>B</v>
      </c>
      <c r="O16" s="3" t="str">
        <f ca="1">CELL("contenu",INDIRECT(ADDRESS(ref!$K$6,ref!F15,1,,CELL("contenu",$AB$2))))</f>
        <v>C</v>
      </c>
      <c r="P16" s="4" t="str">
        <f ca="1">CELL("contenu",INDIRECT(ADDRESS(ref!$K$6,ref!G15,1,,CELL("contenu",$AB$2))))</f>
        <v>C</v>
      </c>
      <c r="Q16" s="5" t="str">
        <f ca="1">CELL("contenu",INDIRECT(ADDRESS(ref!$K$6,ref!H15,1,,CELL("contenu",$AB$2))))</f>
        <v>C</v>
      </c>
      <c r="R16" s="6" t="str">
        <f ca="1">CELL("contenu",INDIRECT(ADDRESS(ref!$K$7,ref!E15,1,,CELL("contenu",$AB$2))))</f>
        <v>B</v>
      </c>
      <c r="S16" s="3" t="str">
        <f ca="1">CELL("contenu",INDIRECT(ADDRESS(ref!$K$7,ref!F15,1,,CELL("contenu",$AB$2))))</f>
        <v/>
      </c>
      <c r="T16" s="4" t="str">
        <f ca="1">CELL("contenu",INDIRECT(ADDRESS(ref!$K$7,ref!G15,1,,CELL("contenu",$AB$2))))</f>
        <v/>
      </c>
      <c r="U16" s="5" t="str">
        <f ca="1">CELL("contenu",INDIRECT(ADDRESS(ref!$K$7,ref!H15,1,,CELL("contenu",$AB$2))))</f>
        <v>B</v>
      </c>
      <c r="V16" s="41">
        <f ca="1">CELL("contenu",INDIRECT(ADDRESS(ref!$K$8,ref!E15,1,,CELL("contenu",$AB$2))))</f>
        <v>14.583333333333332</v>
      </c>
      <c r="W16" s="42">
        <f ca="1">CELL("contenu",INDIRECT(ADDRESS(ref!$K$8,ref!F15,1,,CELL("contenu",$AB$2))))</f>
        <v>7.5</v>
      </c>
      <c r="X16" s="43">
        <f ca="1">CELL("contenu",INDIRECT(ADDRESS(ref!$K$8,ref!G15,1,,CELL("contenu",$AB$2))))</f>
        <v>16.041666666666668</v>
      </c>
      <c r="Y16" s="7" t="str">
        <f ca="1">CELL("contenu",INDIRECT(ADDRESS(ref!$K$9,ref!H15,1,,CELL("contenu",$AB$2))))</f>
        <v/>
      </c>
      <c r="Z16" s="8" t="str">
        <f ca="1">CELL("contenu",INDIRECT(ADDRESS(ref!$K$10,ref!H15,1,,CELL("contenu",$AB$2))))</f>
        <v>B</v>
      </c>
    </row>
    <row r="17" spans="1:26" x14ac:dyDescent="0.55000000000000004">
      <c r="A17" s="53" t="str">
        <f t="shared" ca="1" si="0"/>
        <v>HUE Domitille</v>
      </c>
      <c r="B17" s="2" t="str">
        <f ca="1">CELL("contenu",INDIRECT(ADDRESS(ref!$K$3,ref!E16,1,,CELL("contenu",$AB$2))))</f>
        <v>C</v>
      </c>
      <c r="C17" s="3" t="str">
        <f ca="1">CELL("contenu",INDIRECT(ADDRESS(ref!$K$3,ref!F16,1,,CELL("contenu",$AB$2))))</f>
        <v>C</v>
      </c>
      <c r="D17" s="4" t="str">
        <f ca="1">CELL("contenu",INDIRECT(ADDRESS(ref!$K$3,ref!G16,1,,CELL("contenu",$AB$2))))</f>
        <v>C</v>
      </c>
      <c r="E17" s="5" t="str">
        <f ca="1">CELL("contenu",INDIRECT(ADDRESS(ref!$K$3,ref!H16,1,,CELL("contenu",$AB$2))))</f>
        <v>C</v>
      </c>
      <c r="F17" s="6" t="str">
        <f ca="1">CELL("contenu",INDIRECT(ADDRESS(ref!$K$4,ref!E16,1,,CELL("contenu",$AB$2))))</f>
        <v>B</v>
      </c>
      <c r="G17" s="3" t="str">
        <f ca="1">CELL("contenu",INDIRECT(ADDRESS(ref!$K$4,ref!F16,1,,CELL("contenu",$AB$2))))</f>
        <v/>
      </c>
      <c r="H17" s="4" t="str">
        <f ca="1">CELL("contenu",INDIRECT(ADDRESS(ref!$K$4,ref!G16,1,,CELL("contenu",$AB$2))))</f>
        <v>A</v>
      </c>
      <c r="I17" s="5" t="str">
        <f ca="1">CELL("contenu",INDIRECT(ADDRESS(ref!$K$4,ref!H16,1,,CELL("contenu",$AB$2))))</f>
        <v>B</v>
      </c>
      <c r="J17" s="6" t="str">
        <f ca="1">CELL("contenu",INDIRECT(ADDRESS(ref!$K$5,ref!E16,1,,CELL("contenu",$AB$2))))</f>
        <v/>
      </c>
      <c r="K17" s="3" t="str">
        <f ca="1">CELL("contenu",INDIRECT(ADDRESS(ref!$K$5,ref!F16,1,,CELL("contenu",$AB$2))))</f>
        <v/>
      </c>
      <c r="L17" s="4" t="str">
        <f ca="1">CELL("contenu",INDIRECT(ADDRESS(ref!$K$5,ref!G16,1,,CELL("contenu",$AB$2))))</f>
        <v>B</v>
      </c>
      <c r="M17" s="5" t="str">
        <f ca="1">CELL("contenu",INDIRECT(ADDRESS(ref!$K$5,ref!H16,1,,CELL("contenu",$AB$2))))</f>
        <v>B</v>
      </c>
      <c r="N17" s="6" t="str">
        <f ca="1">CELL("contenu",INDIRECT(ADDRESS(ref!$K$6,ref!E16,1,,CELL("contenu",$AB$2))))</f>
        <v>C</v>
      </c>
      <c r="O17" s="3" t="str">
        <f ca="1">CELL("contenu",INDIRECT(ADDRESS(ref!$K$6,ref!F16,1,,CELL("contenu",$AB$2))))</f>
        <v>D</v>
      </c>
      <c r="P17" s="4" t="str">
        <f ca="1">CELL("contenu",INDIRECT(ADDRESS(ref!$K$6,ref!G16,1,,CELL("contenu",$AB$2))))</f>
        <v>C</v>
      </c>
      <c r="Q17" s="5" t="str">
        <f ca="1">CELL("contenu",INDIRECT(ADDRESS(ref!$K$6,ref!H16,1,,CELL("contenu",$AB$2))))</f>
        <v>C</v>
      </c>
      <c r="R17" s="6" t="str">
        <f ca="1">CELL("contenu",INDIRECT(ADDRESS(ref!$K$7,ref!E16,1,,CELL("contenu",$AB$2))))</f>
        <v>C</v>
      </c>
      <c r="S17" s="3" t="str">
        <f ca="1">CELL("contenu",INDIRECT(ADDRESS(ref!$K$7,ref!F16,1,,CELL("contenu",$AB$2))))</f>
        <v/>
      </c>
      <c r="T17" s="4" t="str">
        <f ca="1">CELL("contenu",INDIRECT(ADDRESS(ref!$K$7,ref!G16,1,,CELL("contenu",$AB$2))))</f>
        <v/>
      </c>
      <c r="U17" s="5" t="str">
        <f ca="1">CELL("contenu",INDIRECT(ADDRESS(ref!$K$7,ref!H16,1,,CELL("contenu",$AB$2))))</f>
        <v>C</v>
      </c>
      <c r="V17" s="41">
        <f ca="1">CELL("contenu",INDIRECT(ADDRESS(ref!$K$8,ref!E16,1,,CELL("contenu",$AB$2))))</f>
        <v>12.083333333333332</v>
      </c>
      <c r="W17" s="42">
        <f ca="1">CELL("contenu",INDIRECT(ADDRESS(ref!$K$8,ref!F16,1,,CELL("contenu",$AB$2))))</f>
        <v>7.5</v>
      </c>
      <c r="X17" s="43">
        <f ca="1">CELL("contenu",INDIRECT(ADDRESS(ref!$K$8,ref!G16,1,,CELL("contenu",$AB$2))))</f>
        <v>13.958333333333332</v>
      </c>
      <c r="Y17" s="7" t="str">
        <f ca="1">CELL("contenu",INDIRECT(ADDRESS(ref!$K$9,ref!H16,1,,CELL("contenu",$AB$2))))</f>
        <v/>
      </c>
      <c r="Z17" s="8" t="str">
        <f ca="1">CELL("contenu",INDIRECT(ADDRESS(ref!$K$10,ref!H16,1,,CELL("contenu",$AB$2))))</f>
        <v>B</v>
      </c>
    </row>
    <row r="18" spans="1:26" x14ac:dyDescent="0.55000000000000004">
      <c r="A18" s="53" t="str">
        <f t="shared" ca="1" si="0"/>
        <v>LALLEMENT Claire</v>
      </c>
      <c r="B18" s="2" t="str">
        <f ca="1">CELL("contenu",INDIRECT(ADDRESS(ref!$K$3,ref!E17,1,,CELL("contenu",$AB$2))))</f>
        <v>C</v>
      </c>
      <c r="C18" s="3" t="str">
        <f ca="1">CELL("contenu",INDIRECT(ADDRESS(ref!$K$3,ref!F17,1,,CELL("contenu",$AB$2))))</f>
        <v>C</v>
      </c>
      <c r="D18" s="4" t="str">
        <f ca="1">CELL("contenu",INDIRECT(ADDRESS(ref!$K$3,ref!G17,1,,CELL("contenu",$AB$2))))</f>
        <v>C</v>
      </c>
      <c r="E18" s="5" t="str">
        <f ca="1">CELL("contenu",INDIRECT(ADDRESS(ref!$K$3,ref!H17,1,,CELL("contenu",$AB$2))))</f>
        <v>C</v>
      </c>
      <c r="F18" s="6" t="str">
        <f ca="1">CELL("contenu",INDIRECT(ADDRESS(ref!$K$4,ref!E17,1,,CELL("contenu",$AB$2))))</f>
        <v>B</v>
      </c>
      <c r="G18" s="3" t="str">
        <f ca="1">CELL("contenu",INDIRECT(ADDRESS(ref!$K$4,ref!F17,1,,CELL("contenu",$AB$2))))</f>
        <v/>
      </c>
      <c r="H18" s="4" t="str">
        <f ca="1">CELL("contenu",INDIRECT(ADDRESS(ref!$K$4,ref!G17,1,,CELL("contenu",$AB$2))))</f>
        <v>B</v>
      </c>
      <c r="I18" s="5" t="str">
        <f ca="1">CELL("contenu",INDIRECT(ADDRESS(ref!$K$4,ref!H17,1,,CELL("contenu",$AB$2))))</f>
        <v>B</v>
      </c>
      <c r="J18" s="6" t="str">
        <f ca="1">CELL("contenu",INDIRECT(ADDRESS(ref!$K$5,ref!E17,1,,CELL("contenu",$AB$2))))</f>
        <v/>
      </c>
      <c r="K18" s="3" t="str">
        <f ca="1">CELL("contenu",INDIRECT(ADDRESS(ref!$K$5,ref!F17,1,,CELL("contenu",$AB$2))))</f>
        <v/>
      </c>
      <c r="L18" s="4" t="str">
        <f ca="1">CELL("contenu",INDIRECT(ADDRESS(ref!$K$5,ref!G17,1,,CELL("contenu",$AB$2))))</f>
        <v>A</v>
      </c>
      <c r="M18" s="5" t="str">
        <f ca="1">CELL("contenu",INDIRECT(ADDRESS(ref!$K$5,ref!H17,1,,CELL("contenu",$AB$2))))</f>
        <v>A</v>
      </c>
      <c r="N18" s="6" t="str">
        <f ca="1">CELL("contenu",INDIRECT(ADDRESS(ref!$K$6,ref!E17,1,,CELL("contenu",$AB$2))))</f>
        <v>D</v>
      </c>
      <c r="O18" s="3" t="str">
        <f ca="1">CELL("contenu",INDIRECT(ADDRESS(ref!$K$6,ref!F17,1,,CELL("contenu",$AB$2))))</f>
        <v>C</v>
      </c>
      <c r="P18" s="4" t="str">
        <f ca="1">CELL("contenu",INDIRECT(ADDRESS(ref!$K$6,ref!G17,1,,CELL("contenu",$AB$2))))</f>
        <v>C</v>
      </c>
      <c r="Q18" s="5" t="str">
        <f ca="1">CELL("contenu",INDIRECT(ADDRESS(ref!$K$6,ref!H17,1,,CELL("contenu",$AB$2))))</f>
        <v>C</v>
      </c>
      <c r="R18" s="6" t="str">
        <f ca="1">CELL("contenu",INDIRECT(ADDRESS(ref!$K$7,ref!E17,1,,CELL("contenu",$AB$2))))</f>
        <v>D</v>
      </c>
      <c r="S18" s="3" t="str">
        <f ca="1">CELL("contenu",INDIRECT(ADDRESS(ref!$K$7,ref!F17,1,,CELL("contenu",$AB$2))))</f>
        <v/>
      </c>
      <c r="T18" s="4" t="str">
        <f ca="1">CELL("contenu",INDIRECT(ADDRESS(ref!$K$7,ref!G17,1,,CELL("contenu",$AB$2))))</f>
        <v/>
      </c>
      <c r="U18" s="5" t="str">
        <f ca="1">CELL("contenu",INDIRECT(ADDRESS(ref!$K$7,ref!H17,1,,CELL("contenu",$AB$2))))</f>
        <v>D</v>
      </c>
      <c r="V18" s="41">
        <f ca="1">CELL("contenu",INDIRECT(ADDRESS(ref!$K$8,ref!E17,1,,CELL("contenu",$AB$2))))</f>
        <v>8.3333333333333339</v>
      </c>
      <c r="W18" s="42">
        <f ca="1">CELL("contenu",INDIRECT(ADDRESS(ref!$K$8,ref!F17,1,,CELL("contenu",$AB$2))))</f>
        <v>11.25</v>
      </c>
      <c r="X18" s="43">
        <f ca="1">CELL("contenu",INDIRECT(ADDRESS(ref!$K$8,ref!G17,1,,CELL("contenu",$AB$2))))</f>
        <v>15</v>
      </c>
      <c r="Y18" s="7" t="str">
        <f ca="1">CELL("contenu",INDIRECT(ADDRESS(ref!$K$9,ref!H17,1,,CELL("contenu",$AB$2))))</f>
        <v/>
      </c>
      <c r="Z18" s="8" t="str">
        <f ca="1">CELL("contenu",INDIRECT(ADDRESS(ref!$K$10,ref!H17,1,,CELL("contenu",$AB$2))))</f>
        <v>A</v>
      </c>
    </row>
    <row r="19" spans="1:26" x14ac:dyDescent="0.55000000000000004">
      <c r="A19" s="53" t="str">
        <f t="shared" ca="1" si="0"/>
        <v>LE CLEZIO Victoria</v>
      </c>
      <c r="B19" s="2" t="str">
        <f ca="1">CELL("contenu",INDIRECT(ADDRESS(ref!$K$3,ref!E18,1,,CELL("contenu",$AB$2))))</f>
        <v>D</v>
      </c>
      <c r="C19" s="3" t="str">
        <f ca="1">CELL("contenu",INDIRECT(ADDRESS(ref!$K$3,ref!F18,1,,CELL("contenu",$AB$2))))</f>
        <v>C</v>
      </c>
      <c r="D19" s="4" t="str">
        <f ca="1">CELL("contenu",INDIRECT(ADDRESS(ref!$K$3,ref!G18,1,,CELL("contenu",$AB$2))))</f>
        <v>C</v>
      </c>
      <c r="E19" s="5" t="str">
        <f ca="1">CELL("contenu",INDIRECT(ADDRESS(ref!$K$3,ref!H18,1,,CELL("contenu",$AB$2))))</f>
        <v>C</v>
      </c>
      <c r="F19" s="6" t="str">
        <f ca="1">CELL("contenu",INDIRECT(ADDRESS(ref!$K$4,ref!E18,1,,CELL("contenu",$AB$2))))</f>
        <v>C</v>
      </c>
      <c r="G19" s="3" t="str">
        <f ca="1">CELL("contenu",INDIRECT(ADDRESS(ref!$K$4,ref!F18,1,,CELL("contenu",$AB$2))))</f>
        <v/>
      </c>
      <c r="H19" s="4" t="str">
        <f ca="1">CELL("contenu",INDIRECT(ADDRESS(ref!$K$4,ref!G18,1,,CELL("contenu",$AB$2))))</f>
        <v>B</v>
      </c>
      <c r="I19" s="5" t="str">
        <f ca="1">CELL("contenu",INDIRECT(ADDRESS(ref!$K$4,ref!H18,1,,CELL("contenu",$AB$2))))</f>
        <v>B</v>
      </c>
      <c r="J19" s="6" t="str">
        <f ca="1">CELL("contenu",INDIRECT(ADDRESS(ref!$K$5,ref!E18,1,,CELL("contenu",$AB$2))))</f>
        <v/>
      </c>
      <c r="K19" s="3" t="str">
        <f ca="1">CELL("contenu",INDIRECT(ADDRESS(ref!$K$5,ref!F18,1,,CELL("contenu",$AB$2))))</f>
        <v/>
      </c>
      <c r="L19" s="4" t="str">
        <f ca="1">CELL("contenu",INDIRECT(ADDRESS(ref!$K$5,ref!G18,1,,CELL("contenu",$AB$2))))</f>
        <v>B</v>
      </c>
      <c r="M19" s="5" t="str">
        <f ca="1">CELL("contenu",INDIRECT(ADDRESS(ref!$K$5,ref!H18,1,,CELL("contenu",$AB$2))))</f>
        <v>B</v>
      </c>
      <c r="N19" s="6" t="str">
        <f ca="1">CELL("contenu",INDIRECT(ADDRESS(ref!$K$6,ref!E18,1,,CELL("contenu",$AB$2))))</f>
        <v>D</v>
      </c>
      <c r="O19" s="3" t="str">
        <f ca="1">CELL("contenu",INDIRECT(ADDRESS(ref!$K$6,ref!F18,1,,CELL("contenu",$AB$2))))</f>
        <v>C</v>
      </c>
      <c r="P19" s="4" t="str">
        <f ca="1">CELL("contenu",INDIRECT(ADDRESS(ref!$K$6,ref!G18,1,,CELL("contenu",$AB$2))))</f>
        <v>C</v>
      </c>
      <c r="Q19" s="5" t="str">
        <f ca="1">CELL("contenu",INDIRECT(ADDRESS(ref!$K$6,ref!H18,1,,CELL("contenu",$AB$2))))</f>
        <v>C</v>
      </c>
      <c r="R19" s="6" t="str">
        <f ca="1">CELL("contenu",INDIRECT(ADDRESS(ref!$K$7,ref!E18,1,,CELL("contenu",$AB$2))))</f>
        <v>B</v>
      </c>
      <c r="S19" s="3" t="str">
        <f ca="1">CELL("contenu",INDIRECT(ADDRESS(ref!$K$7,ref!F18,1,,CELL("contenu",$AB$2))))</f>
        <v/>
      </c>
      <c r="T19" s="4" t="str">
        <f ca="1">CELL("contenu",INDIRECT(ADDRESS(ref!$K$7,ref!G18,1,,CELL("contenu",$AB$2))))</f>
        <v/>
      </c>
      <c r="U19" s="5" t="str">
        <f ca="1">CELL("contenu",INDIRECT(ADDRESS(ref!$K$7,ref!H18,1,,CELL("contenu",$AB$2))))</f>
        <v>B</v>
      </c>
      <c r="V19" s="41">
        <f ca="1">CELL("contenu",INDIRECT(ADDRESS(ref!$K$8,ref!E18,1,,CELL("contenu",$AB$2))))</f>
        <v>8.75</v>
      </c>
      <c r="W19" s="42">
        <f ca="1">CELL("contenu",INDIRECT(ADDRESS(ref!$K$8,ref!F18,1,,CELL("contenu",$AB$2))))</f>
        <v>11.25</v>
      </c>
      <c r="X19" s="43">
        <f ca="1">CELL("contenu",INDIRECT(ADDRESS(ref!$K$8,ref!G18,1,,CELL("contenu",$AB$2))))</f>
        <v>12.291666666666668</v>
      </c>
      <c r="Y19" s="7" t="str">
        <f ca="1">CELL("contenu",INDIRECT(ADDRESS(ref!$K$9,ref!H18,1,,CELL("contenu",$AB$2))))</f>
        <v/>
      </c>
      <c r="Z19" s="8" t="str">
        <f ca="1">CELL("contenu",INDIRECT(ADDRESS(ref!$K$10,ref!H18,1,,CELL("contenu",$AB$2))))</f>
        <v>A</v>
      </c>
    </row>
    <row r="20" spans="1:26" x14ac:dyDescent="0.55000000000000004">
      <c r="A20" s="53" t="str">
        <f t="shared" ca="1" si="0"/>
        <v>MARCHAND Clotilde</v>
      </c>
      <c r="B20" s="2" t="str">
        <f ca="1">CELL("contenu",INDIRECT(ADDRESS(ref!$K$3,ref!E19,1,,CELL("contenu",$AB$2))))</f>
        <v>C</v>
      </c>
      <c r="C20" s="3" t="str">
        <f ca="1">CELL("contenu",INDIRECT(ADDRESS(ref!$K$3,ref!F19,1,,CELL("contenu",$AB$2))))</f>
        <v>C</v>
      </c>
      <c r="D20" s="4" t="str">
        <f ca="1">CELL("contenu",INDIRECT(ADDRESS(ref!$K$3,ref!G19,1,,CELL("contenu",$AB$2))))</f>
        <v>C</v>
      </c>
      <c r="E20" s="5" t="str">
        <f ca="1">CELL("contenu",INDIRECT(ADDRESS(ref!$K$3,ref!H19,1,,CELL("contenu",$AB$2))))</f>
        <v>C</v>
      </c>
      <c r="F20" s="6" t="str">
        <f ca="1">CELL("contenu",INDIRECT(ADDRESS(ref!$K$4,ref!E19,1,,CELL("contenu",$AB$2))))</f>
        <v>C</v>
      </c>
      <c r="G20" s="3" t="str">
        <f ca="1">CELL("contenu",INDIRECT(ADDRESS(ref!$K$4,ref!F19,1,,CELL("contenu",$AB$2))))</f>
        <v/>
      </c>
      <c r="H20" s="4" t="str">
        <f ca="1">CELL("contenu",INDIRECT(ADDRESS(ref!$K$4,ref!G19,1,,CELL("contenu",$AB$2))))</f>
        <v>A</v>
      </c>
      <c r="I20" s="5" t="str">
        <f ca="1">CELL("contenu",INDIRECT(ADDRESS(ref!$K$4,ref!H19,1,,CELL("contenu",$AB$2))))</f>
        <v>B</v>
      </c>
      <c r="J20" s="6" t="str">
        <f ca="1">CELL("contenu",INDIRECT(ADDRESS(ref!$K$5,ref!E19,1,,CELL("contenu",$AB$2))))</f>
        <v/>
      </c>
      <c r="K20" s="3" t="str">
        <f ca="1">CELL("contenu",INDIRECT(ADDRESS(ref!$K$5,ref!F19,1,,CELL("contenu",$AB$2))))</f>
        <v/>
      </c>
      <c r="L20" s="4" t="str">
        <f ca="1">CELL("contenu",INDIRECT(ADDRESS(ref!$K$5,ref!G19,1,,CELL("contenu",$AB$2))))</f>
        <v>A</v>
      </c>
      <c r="M20" s="5" t="str">
        <f ca="1">CELL("contenu",INDIRECT(ADDRESS(ref!$K$5,ref!H19,1,,CELL("contenu",$AB$2))))</f>
        <v>A</v>
      </c>
      <c r="N20" s="6" t="str">
        <f ca="1">CELL("contenu",INDIRECT(ADDRESS(ref!$K$6,ref!E19,1,,CELL("contenu",$AB$2))))</f>
        <v>D</v>
      </c>
      <c r="O20" s="3" t="str">
        <f ca="1">CELL("contenu",INDIRECT(ADDRESS(ref!$K$6,ref!F19,1,,CELL("contenu",$AB$2))))</f>
        <v>C</v>
      </c>
      <c r="P20" s="4" t="str">
        <f ca="1">CELL("contenu",INDIRECT(ADDRESS(ref!$K$6,ref!G19,1,,CELL("contenu",$AB$2))))</f>
        <v>C</v>
      </c>
      <c r="Q20" s="5" t="str">
        <f ca="1">CELL("contenu",INDIRECT(ADDRESS(ref!$K$6,ref!H19,1,,CELL("contenu",$AB$2))))</f>
        <v>C</v>
      </c>
      <c r="R20" s="6" t="str">
        <f ca="1">CELL("contenu",INDIRECT(ADDRESS(ref!$K$7,ref!E19,1,,CELL("contenu",$AB$2))))</f>
        <v>B</v>
      </c>
      <c r="S20" s="3" t="str">
        <f ca="1">CELL("contenu",INDIRECT(ADDRESS(ref!$K$7,ref!F19,1,,CELL("contenu",$AB$2))))</f>
        <v/>
      </c>
      <c r="T20" s="4" t="str">
        <f ca="1">CELL("contenu",INDIRECT(ADDRESS(ref!$K$7,ref!G19,1,,CELL("contenu",$AB$2))))</f>
        <v/>
      </c>
      <c r="U20" s="5" t="str">
        <f ca="1">CELL("contenu",INDIRECT(ADDRESS(ref!$K$7,ref!H19,1,,CELL("contenu",$AB$2))))</f>
        <v>B</v>
      </c>
      <c r="V20" s="41">
        <f ca="1">CELL("contenu",INDIRECT(ADDRESS(ref!$K$8,ref!E19,1,,CELL("contenu",$AB$2))))</f>
        <v>10.625</v>
      </c>
      <c r="W20" s="42">
        <f ca="1">CELL("contenu",INDIRECT(ADDRESS(ref!$K$8,ref!F19,1,,CELL("contenu",$AB$2))))</f>
        <v>10</v>
      </c>
      <c r="X20" s="43">
        <f ca="1">CELL("contenu",INDIRECT(ADDRESS(ref!$K$8,ref!G19,1,,CELL("contenu",$AB$2))))</f>
        <v>14.166666666666668</v>
      </c>
      <c r="Y20" s="7" t="str">
        <f ca="1">CELL("contenu",INDIRECT(ADDRESS(ref!$K$9,ref!H19,1,,CELL("contenu",$AB$2))))</f>
        <v/>
      </c>
      <c r="Z20" s="8" t="str">
        <f ca="1">CELL("contenu",INDIRECT(ADDRESS(ref!$K$10,ref!H19,1,,CELL("contenu",$AB$2))))</f>
        <v>A</v>
      </c>
    </row>
    <row r="21" spans="1:26" x14ac:dyDescent="0.55000000000000004">
      <c r="A21" s="53" t="str">
        <f t="shared" ca="1" si="0"/>
        <v>MAROIS Clotilde</v>
      </c>
      <c r="B21" s="2" t="str">
        <f ca="1">CELL("contenu",INDIRECT(ADDRESS(ref!$K$3,ref!E20,1,,CELL("contenu",$AB$2))))</f>
        <v>C</v>
      </c>
      <c r="C21" s="3" t="str">
        <f ca="1">CELL("contenu",INDIRECT(ADDRESS(ref!$K$3,ref!F20,1,,CELL("contenu",$AB$2))))</f>
        <v>B</v>
      </c>
      <c r="D21" s="4" t="str">
        <f ca="1">CELL("contenu",INDIRECT(ADDRESS(ref!$K$3,ref!G20,1,,CELL("contenu",$AB$2))))</f>
        <v>C</v>
      </c>
      <c r="E21" s="5" t="str">
        <f ca="1">CELL("contenu",INDIRECT(ADDRESS(ref!$K$3,ref!H20,1,,CELL("contenu",$AB$2))))</f>
        <v>C</v>
      </c>
      <c r="F21" s="6" t="str">
        <f ca="1">CELL("contenu",INDIRECT(ADDRESS(ref!$K$4,ref!E20,1,,CELL("contenu",$AB$2))))</f>
        <v>B</v>
      </c>
      <c r="G21" s="3" t="str">
        <f ca="1">CELL("contenu",INDIRECT(ADDRESS(ref!$K$4,ref!F20,1,,CELL("contenu",$AB$2))))</f>
        <v/>
      </c>
      <c r="H21" s="4" t="str">
        <f ca="1">CELL("contenu",INDIRECT(ADDRESS(ref!$K$4,ref!G20,1,,CELL("contenu",$AB$2))))</f>
        <v>A</v>
      </c>
      <c r="I21" s="5" t="str">
        <f ca="1">CELL("contenu",INDIRECT(ADDRESS(ref!$K$4,ref!H20,1,,CELL("contenu",$AB$2))))</f>
        <v>B</v>
      </c>
      <c r="J21" s="6" t="str">
        <f ca="1">CELL("contenu",INDIRECT(ADDRESS(ref!$K$5,ref!E20,1,,CELL("contenu",$AB$2))))</f>
        <v/>
      </c>
      <c r="K21" s="3" t="str">
        <f ca="1">CELL("contenu",INDIRECT(ADDRESS(ref!$K$5,ref!F20,1,,CELL("contenu",$AB$2))))</f>
        <v/>
      </c>
      <c r="L21" s="4" t="str">
        <f ca="1">CELL("contenu",INDIRECT(ADDRESS(ref!$K$5,ref!G20,1,,CELL("contenu",$AB$2))))</f>
        <v>A</v>
      </c>
      <c r="M21" s="5" t="str">
        <f ca="1">CELL("contenu",INDIRECT(ADDRESS(ref!$K$5,ref!H20,1,,CELL("contenu",$AB$2))))</f>
        <v>A</v>
      </c>
      <c r="N21" s="6" t="str">
        <f ca="1">CELL("contenu",INDIRECT(ADDRESS(ref!$K$6,ref!E20,1,,CELL("contenu",$AB$2))))</f>
        <v>B</v>
      </c>
      <c r="O21" s="3" t="str">
        <f ca="1">CELL("contenu",INDIRECT(ADDRESS(ref!$K$6,ref!F20,1,,CELL("contenu",$AB$2))))</f>
        <v>C</v>
      </c>
      <c r="P21" s="4" t="str">
        <f ca="1">CELL("contenu",INDIRECT(ADDRESS(ref!$K$6,ref!G20,1,,CELL("contenu",$AB$2))))</f>
        <v>B</v>
      </c>
      <c r="Q21" s="5" t="str">
        <f ca="1">CELL("contenu",INDIRECT(ADDRESS(ref!$K$6,ref!H20,1,,CELL("contenu",$AB$2))))</f>
        <v>C</v>
      </c>
      <c r="R21" s="6" t="str">
        <f ca="1">CELL("contenu",INDIRECT(ADDRESS(ref!$K$7,ref!E20,1,,CELL("contenu",$AB$2))))</f>
        <v>B</v>
      </c>
      <c r="S21" s="3" t="str">
        <f ca="1">CELL("contenu",INDIRECT(ADDRESS(ref!$K$7,ref!F20,1,,CELL("contenu",$AB$2))))</f>
        <v/>
      </c>
      <c r="T21" s="4" t="str">
        <f ca="1">CELL("contenu",INDIRECT(ADDRESS(ref!$K$7,ref!G20,1,,CELL("contenu",$AB$2))))</f>
        <v/>
      </c>
      <c r="U21" s="5" t="str">
        <f ca="1">CELL("contenu",INDIRECT(ADDRESS(ref!$K$7,ref!H20,1,,CELL("contenu",$AB$2))))</f>
        <v>B</v>
      </c>
      <c r="V21" s="41">
        <f ca="1">CELL("contenu",INDIRECT(ADDRESS(ref!$K$8,ref!E20,1,,CELL("contenu",$AB$2))))</f>
        <v>13.333333333333332</v>
      </c>
      <c r="W21" s="42">
        <f ca="1">CELL("contenu",INDIRECT(ADDRESS(ref!$K$8,ref!F20,1,,CELL("contenu",$AB$2))))</f>
        <v>12.5</v>
      </c>
      <c r="X21" s="43">
        <f ca="1">CELL("contenu",INDIRECT(ADDRESS(ref!$K$8,ref!G20,1,,CELL("contenu",$AB$2))))</f>
        <v>16.145833333333332</v>
      </c>
      <c r="Y21" s="7" t="str">
        <f ca="1">CELL("contenu",INDIRECT(ADDRESS(ref!$K$9,ref!H20,1,,CELL("contenu",$AB$2))))</f>
        <v/>
      </c>
      <c r="Z21" s="8" t="str">
        <f ca="1">CELL("contenu",INDIRECT(ADDRESS(ref!$K$10,ref!H20,1,,CELL("contenu",$AB$2))))</f>
        <v>A</v>
      </c>
    </row>
    <row r="22" spans="1:26" x14ac:dyDescent="0.55000000000000004">
      <c r="A22" s="53" t="str">
        <f t="shared" ca="1" si="0"/>
        <v>PERROTIN Guillemette</v>
      </c>
      <c r="B22" s="2" t="str">
        <f ca="1">CELL("contenu",INDIRECT(ADDRESS(ref!$K$3,ref!E21,1,,CELL("contenu",$AB$2))))</f>
        <v>C</v>
      </c>
      <c r="C22" s="3" t="str">
        <f ca="1">CELL("contenu",INDIRECT(ADDRESS(ref!$K$3,ref!F21,1,,CELL("contenu",$AB$2))))</f>
        <v>D</v>
      </c>
      <c r="D22" s="4" t="str">
        <f ca="1">CELL("contenu",INDIRECT(ADDRESS(ref!$K$3,ref!G21,1,,CELL("contenu",$AB$2))))</f>
        <v>C</v>
      </c>
      <c r="E22" s="5" t="str">
        <f ca="1">CELL("contenu",INDIRECT(ADDRESS(ref!$K$3,ref!H21,1,,CELL("contenu",$AB$2))))</f>
        <v>C</v>
      </c>
      <c r="F22" s="6" t="str">
        <f ca="1">CELL("contenu",INDIRECT(ADDRESS(ref!$K$4,ref!E21,1,,CELL("contenu",$AB$2))))</f>
        <v>C</v>
      </c>
      <c r="G22" s="3" t="str">
        <f ca="1">CELL("contenu",INDIRECT(ADDRESS(ref!$K$4,ref!F21,1,,CELL("contenu",$AB$2))))</f>
        <v/>
      </c>
      <c r="H22" s="4" t="str">
        <f ca="1">CELL("contenu",INDIRECT(ADDRESS(ref!$K$4,ref!G21,1,,CELL("contenu",$AB$2))))</f>
        <v>B</v>
      </c>
      <c r="I22" s="5" t="str">
        <f ca="1">CELL("contenu",INDIRECT(ADDRESS(ref!$K$4,ref!H21,1,,CELL("contenu",$AB$2))))</f>
        <v>C</v>
      </c>
      <c r="J22" s="6" t="str">
        <f ca="1">CELL("contenu",INDIRECT(ADDRESS(ref!$K$5,ref!E21,1,,CELL("contenu",$AB$2))))</f>
        <v/>
      </c>
      <c r="K22" s="3" t="str">
        <f ca="1">CELL("contenu",INDIRECT(ADDRESS(ref!$K$5,ref!F21,1,,CELL("contenu",$AB$2))))</f>
        <v/>
      </c>
      <c r="L22" s="4" t="str">
        <f ca="1">CELL("contenu",INDIRECT(ADDRESS(ref!$K$5,ref!G21,1,,CELL("contenu",$AB$2))))</f>
        <v>A</v>
      </c>
      <c r="M22" s="5" t="str">
        <f ca="1">CELL("contenu",INDIRECT(ADDRESS(ref!$K$5,ref!H21,1,,CELL("contenu",$AB$2))))</f>
        <v>A</v>
      </c>
      <c r="N22" s="6" t="str">
        <f ca="1">CELL("contenu",INDIRECT(ADDRESS(ref!$K$6,ref!E21,1,,CELL("contenu",$AB$2))))</f>
        <v>C</v>
      </c>
      <c r="O22" s="3" t="str">
        <f ca="1">CELL("contenu",INDIRECT(ADDRESS(ref!$K$6,ref!F21,1,,CELL("contenu",$AB$2))))</f>
        <v>D</v>
      </c>
      <c r="P22" s="4" t="str">
        <f ca="1">CELL("contenu",INDIRECT(ADDRESS(ref!$K$6,ref!G21,1,,CELL("contenu",$AB$2))))</f>
        <v>B</v>
      </c>
      <c r="Q22" s="5" t="str">
        <f ca="1">CELL("contenu",INDIRECT(ADDRESS(ref!$K$6,ref!H21,1,,CELL("contenu",$AB$2))))</f>
        <v>C</v>
      </c>
      <c r="R22" s="6" t="str">
        <f ca="1">CELL("contenu",INDIRECT(ADDRESS(ref!$K$7,ref!E21,1,,CELL("contenu",$AB$2))))</f>
        <v>C</v>
      </c>
      <c r="S22" s="3" t="str">
        <f ca="1">CELL("contenu",INDIRECT(ADDRESS(ref!$K$7,ref!F21,1,,CELL("contenu",$AB$2))))</f>
        <v/>
      </c>
      <c r="T22" s="4" t="str">
        <f ca="1">CELL("contenu",INDIRECT(ADDRESS(ref!$K$7,ref!G21,1,,CELL("contenu",$AB$2))))</f>
        <v/>
      </c>
      <c r="U22" s="5" t="str">
        <f ca="1">CELL("contenu",INDIRECT(ADDRESS(ref!$K$7,ref!H21,1,,CELL("contenu",$AB$2))))</f>
        <v>C</v>
      </c>
      <c r="V22" s="41">
        <f ca="1">CELL("contenu",INDIRECT(ADDRESS(ref!$K$8,ref!E21,1,,CELL("contenu",$AB$2))))</f>
        <v>10.833333333333332</v>
      </c>
      <c r="W22" s="42">
        <f ca="1">CELL("contenu",INDIRECT(ADDRESS(ref!$K$8,ref!F21,1,,CELL("contenu",$AB$2))))</f>
        <v>6.25</v>
      </c>
      <c r="X22" s="43">
        <f ca="1">CELL("contenu",INDIRECT(ADDRESS(ref!$K$8,ref!G21,1,,CELL("contenu",$AB$2))))</f>
        <v>15.3125</v>
      </c>
      <c r="Y22" s="7" t="str">
        <f ca="1">CELL("contenu",INDIRECT(ADDRESS(ref!$K$9,ref!H21,1,,CELL("contenu",$AB$2))))</f>
        <v/>
      </c>
      <c r="Z22" s="8" t="str">
        <f ca="1">CELL("contenu",INDIRECT(ADDRESS(ref!$K$10,ref!H21,1,,CELL("contenu",$AB$2))))</f>
        <v>B</v>
      </c>
    </row>
    <row r="23" spans="1:26" x14ac:dyDescent="0.55000000000000004">
      <c r="A23" s="53" t="str">
        <f t="shared" ca="1" si="0"/>
        <v>PESCHARD Anne-Fleur</v>
      </c>
      <c r="B23" s="2" t="str">
        <f ca="1">CELL("contenu",INDIRECT(ADDRESS(ref!$K$3,ref!E22,1,,CELL("contenu",$AB$2))))</f>
        <v>C</v>
      </c>
      <c r="C23" s="3" t="str">
        <f ca="1">CELL("contenu",INDIRECT(ADDRESS(ref!$K$3,ref!F22,1,,CELL("contenu",$AB$2))))</f>
        <v>C</v>
      </c>
      <c r="D23" s="4" t="str">
        <f ca="1">CELL("contenu",INDIRECT(ADDRESS(ref!$K$3,ref!G22,1,,CELL("contenu",$AB$2))))</f>
        <v>C</v>
      </c>
      <c r="E23" s="5" t="str">
        <f ca="1">CELL("contenu",INDIRECT(ADDRESS(ref!$K$3,ref!H22,1,,CELL("contenu",$AB$2))))</f>
        <v>C</v>
      </c>
      <c r="F23" s="6" t="str">
        <f ca="1">CELL("contenu",INDIRECT(ADDRESS(ref!$K$4,ref!E22,1,,CELL("contenu",$AB$2))))</f>
        <v>B</v>
      </c>
      <c r="G23" s="3" t="str">
        <f ca="1">CELL("contenu",INDIRECT(ADDRESS(ref!$K$4,ref!F22,1,,CELL("contenu",$AB$2))))</f>
        <v/>
      </c>
      <c r="H23" s="4" t="str">
        <f ca="1">CELL("contenu",INDIRECT(ADDRESS(ref!$K$4,ref!G22,1,,CELL("contenu",$AB$2))))</f>
        <v>B</v>
      </c>
      <c r="I23" s="5" t="str">
        <f ca="1">CELL("contenu",INDIRECT(ADDRESS(ref!$K$4,ref!H22,1,,CELL("contenu",$AB$2))))</f>
        <v>B</v>
      </c>
      <c r="J23" s="6" t="str">
        <f ca="1">CELL("contenu",INDIRECT(ADDRESS(ref!$K$5,ref!E22,1,,CELL("contenu",$AB$2))))</f>
        <v/>
      </c>
      <c r="K23" s="3" t="str">
        <f ca="1">CELL("contenu",INDIRECT(ADDRESS(ref!$K$5,ref!F22,1,,CELL("contenu",$AB$2))))</f>
        <v/>
      </c>
      <c r="L23" s="4" t="str">
        <f ca="1">CELL("contenu",INDIRECT(ADDRESS(ref!$K$5,ref!G22,1,,CELL("contenu",$AB$2))))</f>
        <v>B</v>
      </c>
      <c r="M23" s="5" t="str">
        <f ca="1">CELL("contenu",INDIRECT(ADDRESS(ref!$K$5,ref!H22,1,,CELL("contenu",$AB$2))))</f>
        <v>B</v>
      </c>
      <c r="N23" s="6" t="str">
        <f ca="1">CELL("contenu",INDIRECT(ADDRESS(ref!$K$6,ref!E22,1,,CELL("contenu",$AB$2))))</f>
        <v>D</v>
      </c>
      <c r="O23" s="3" t="str">
        <f ca="1">CELL("contenu",INDIRECT(ADDRESS(ref!$K$6,ref!F22,1,,CELL("contenu",$AB$2))))</f>
        <v>C</v>
      </c>
      <c r="P23" s="4" t="str">
        <f ca="1">CELL("contenu",INDIRECT(ADDRESS(ref!$K$6,ref!G22,1,,CELL("contenu",$AB$2))))</f>
        <v>C</v>
      </c>
      <c r="Q23" s="5" t="str">
        <f ca="1">CELL("contenu",INDIRECT(ADDRESS(ref!$K$6,ref!H22,1,,CELL("contenu",$AB$2))))</f>
        <v>C</v>
      </c>
      <c r="R23" s="6" t="str">
        <f ca="1">CELL("contenu",INDIRECT(ADDRESS(ref!$K$7,ref!E22,1,,CELL("contenu",$AB$2))))</f>
        <v>B</v>
      </c>
      <c r="S23" s="3" t="str">
        <f ca="1">CELL("contenu",INDIRECT(ADDRESS(ref!$K$7,ref!F22,1,,CELL("contenu",$AB$2))))</f>
        <v/>
      </c>
      <c r="T23" s="4" t="str">
        <f ca="1">CELL("contenu",INDIRECT(ADDRESS(ref!$K$7,ref!G22,1,,CELL("contenu",$AB$2))))</f>
        <v/>
      </c>
      <c r="U23" s="5" t="str">
        <f ca="1">CELL("contenu",INDIRECT(ADDRESS(ref!$K$7,ref!H22,1,,CELL("contenu",$AB$2))))</f>
        <v>B</v>
      </c>
      <c r="V23" s="41">
        <f ca="1">CELL("contenu",INDIRECT(ADDRESS(ref!$K$8,ref!E22,1,,CELL("contenu",$AB$2))))</f>
        <v>10.625</v>
      </c>
      <c r="W23" s="42">
        <f ca="1">CELL("contenu",INDIRECT(ADDRESS(ref!$K$8,ref!F22,1,,CELL("contenu",$AB$2))))</f>
        <v>10</v>
      </c>
      <c r="X23" s="43">
        <f ca="1">CELL("contenu",INDIRECT(ADDRESS(ref!$K$8,ref!G22,1,,CELL("contenu",$AB$2))))</f>
        <v>14.270833333333332</v>
      </c>
      <c r="Y23" s="7" t="str">
        <f ca="1">CELL("contenu",INDIRECT(ADDRESS(ref!$K$9,ref!H22,1,,CELL("contenu",$AB$2))))</f>
        <v/>
      </c>
      <c r="Z23" s="8" t="str">
        <f ca="1">CELL("contenu",INDIRECT(ADDRESS(ref!$K$10,ref!H22,1,,CELL("contenu",$AB$2))))</f>
        <v>A</v>
      </c>
    </row>
    <row r="24" spans="1:26" x14ac:dyDescent="0.55000000000000004">
      <c r="A24" s="53" t="str">
        <f t="shared" ca="1" si="0"/>
        <v>PICARD Camille</v>
      </c>
      <c r="B24" s="2" t="str">
        <f ca="1">CELL("contenu",INDIRECT(ADDRESS(ref!$K$3,ref!E23,1,,CELL("contenu",$AB$2))))</f>
        <v>C</v>
      </c>
      <c r="C24" s="3" t="str">
        <f ca="1">CELL("contenu",INDIRECT(ADDRESS(ref!$K$3,ref!F23,1,,CELL("contenu",$AB$2))))</f>
        <v>A</v>
      </c>
      <c r="D24" s="4" t="str">
        <f ca="1">CELL("contenu",INDIRECT(ADDRESS(ref!$K$3,ref!G23,1,,CELL("contenu",$AB$2))))</f>
        <v>B</v>
      </c>
      <c r="E24" s="5" t="str">
        <f ca="1">CELL("contenu",INDIRECT(ADDRESS(ref!$K$3,ref!H23,1,,CELL("contenu",$AB$2))))</f>
        <v>B</v>
      </c>
      <c r="F24" s="6" t="str">
        <f ca="1">CELL("contenu",INDIRECT(ADDRESS(ref!$K$4,ref!E23,1,,CELL("contenu",$AB$2))))</f>
        <v>B</v>
      </c>
      <c r="G24" s="3" t="str">
        <f ca="1">CELL("contenu",INDIRECT(ADDRESS(ref!$K$4,ref!F23,1,,CELL("contenu",$AB$2))))</f>
        <v/>
      </c>
      <c r="H24" s="4" t="str">
        <f ca="1">CELL("contenu",INDIRECT(ADDRESS(ref!$K$4,ref!G23,1,,CELL("contenu",$AB$2))))</f>
        <v>A</v>
      </c>
      <c r="I24" s="5" t="str">
        <f ca="1">CELL("contenu",INDIRECT(ADDRESS(ref!$K$4,ref!H23,1,,CELL("contenu",$AB$2))))</f>
        <v>B</v>
      </c>
      <c r="J24" s="6" t="str">
        <f ca="1">CELL("contenu",INDIRECT(ADDRESS(ref!$K$5,ref!E23,1,,CELL("contenu",$AB$2))))</f>
        <v/>
      </c>
      <c r="K24" s="3" t="str">
        <f ca="1">CELL("contenu",INDIRECT(ADDRESS(ref!$K$5,ref!F23,1,,CELL("contenu",$AB$2))))</f>
        <v/>
      </c>
      <c r="L24" s="4" t="str">
        <f ca="1">CELL("contenu",INDIRECT(ADDRESS(ref!$K$5,ref!G23,1,,CELL("contenu",$AB$2))))</f>
        <v>A</v>
      </c>
      <c r="M24" s="5" t="str">
        <f ca="1">CELL("contenu",INDIRECT(ADDRESS(ref!$K$5,ref!H23,1,,CELL("contenu",$AB$2))))</f>
        <v>A</v>
      </c>
      <c r="N24" s="6" t="str">
        <f ca="1">CELL("contenu",INDIRECT(ADDRESS(ref!$K$6,ref!E23,1,,CELL("contenu",$AB$2))))</f>
        <v>C</v>
      </c>
      <c r="O24" s="3" t="str">
        <f ca="1">CELL("contenu",INDIRECT(ADDRESS(ref!$K$6,ref!F23,1,,CELL("contenu",$AB$2))))</f>
        <v>C</v>
      </c>
      <c r="P24" s="4" t="str">
        <f ca="1">CELL("contenu",INDIRECT(ADDRESS(ref!$K$6,ref!G23,1,,CELL("contenu",$AB$2))))</f>
        <v>B</v>
      </c>
      <c r="Q24" s="5" t="str">
        <f ca="1">CELL("contenu",INDIRECT(ADDRESS(ref!$K$6,ref!H23,1,,CELL("contenu",$AB$2))))</f>
        <v>C</v>
      </c>
      <c r="R24" s="6" t="str">
        <f ca="1">CELL("contenu",INDIRECT(ADDRESS(ref!$K$7,ref!E23,1,,CELL("contenu",$AB$2))))</f>
        <v>A</v>
      </c>
      <c r="S24" s="3" t="str">
        <f ca="1">CELL("contenu",INDIRECT(ADDRESS(ref!$K$7,ref!F23,1,,CELL("contenu",$AB$2))))</f>
        <v/>
      </c>
      <c r="T24" s="4" t="str">
        <f ca="1">CELL("contenu",INDIRECT(ADDRESS(ref!$K$7,ref!G23,1,,CELL("contenu",$AB$2))))</f>
        <v/>
      </c>
      <c r="U24" s="5" t="str">
        <f ca="1">CELL("contenu",INDIRECT(ADDRESS(ref!$K$7,ref!H23,1,,CELL("contenu",$AB$2))))</f>
        <v>A</v>
      </c>
      <c r="V24" s="41">
        <f ca="1">CELL("contenu",INDIRECT(ADDRESS(ref!$K$8,ref!E23,1,,CELL("contenu",$AB$2))))</f>
        <v>13.333333333333332</v>
      </c>
      <c r="W24" s="42">
        <f ca="1">CELL("contenu",INDIRECT(ADDRESS(ref!$K$8,ref!F23,1,,CELL("contenu",$AB$2))))</f>
        <v>16.25</v>
      </c>
      <c r="X24" s="43">
        <f ca="1">CELL("contenu",INDIRECT(ADDRESS(ref!$K$8,ref!G23,1,,CELL("contenu",$AB$2))))</f>
        <v>17.1875</v>
      </c>
      <c r="Y24" s="7" t="str">
        <f ca="1">CELL("contenu",INDIRECT(ADDRESS(ref!$K$9,ref!H23,1,,CELL("contenu",$AB$2))))</f>
        <v/>
      </c>
      <c r="Z24" s="8" t="str">
        <f ca="1">CELL("contenu",INDIRECT(ADDRESS(ref!$K$10,ref!H23,1,,CELL("contenu",$AB$2))))</f>
        <v>A</v>
      </c>
    </row>
    <row r="25" spans="1:26" x14ac:dyDescent="0.55000000000000004">
      <c r="A25" s="53" t="str">
        <f t="shared" ca="1" si="0"/>
        <v>PINCON--LACHAUD Jeanne</v>
      </c>
      <c r="B25" s="2" t="str">
        <f ca="1">CELL("contenu",INDIRECT(ADDRESS(ref!$K$3,ref!E24,1,,CELL("contenu",$AB$2))))</f>
        <v>B</v>
      </c>
      <c r="C25" s="3" t="str">
        <f ca="1">CELL("contenu",INDIRECT(ADDRESS(ref!$K$3,ref!F24,1,,CELL("contenu",$AB$2))))</f>
        <v>A</v>
      </c>
      <c r="D25" s="4" t="str">
        <f ca="1">CELL("contenu",INDIRECT(ADDRESS(ref!$K$3,ref!G24,1,,CELL("contenu",$AB$2))))</f>
        <v>B</v>
      </c>
      <c r="E25" s="5" t="str">
        <f ca="1">CELL("contenu",INDIRECT(ADDRESS(ref!$K$3,ref!H24,1,,CELL("contenu",$AB$2))))</f>
        <v>B</v>
      </c>
      <c r="F25" s="6" t="str">
        <f ca="1">CELL("contenu",INDIRECT(ADDRESS(ref!$K$4,ref!E24,1,,CELL("contenu",$AB$2))))</f>
        <v>A</v>
      </c>
      <c r="G25" s="3" t="str">
        <f ca="1">CELL("contenu",INDIRECT(ADDRESS(ref!$K$4,ref!F24,1,,CELL("contenu",$AB$2))))</f>
        <v/>
      </c>
      <c r="H25" s="4" t="str">
        <f ca="1">CELL("contenu",INDIRECT(ADDRESS(ref!$K$4,ref!G24,1,,CELL("contenu",$AB$2))))</f>
        <v>A</v>
      </c>
      <c r="I25" s="5" t="str">
        <f ca="1">CELL("contenu",INDIRECT(ADDRESS(ref!$K$4,ref!H24,1,,CELL("contenu",$AB$2))))</f>
        <v>A</v>
      </c>
      <c r="J25" s="6" t="str">
        <f ca="1">CELL("contenu",INDIRECT(ADDRESS(ref!$K$5,ref!E24,1,,CELL("contenu",$AB$2))))</f>
        <v/>
      </c>
      <c r="K25" s="3" t="str">
        <f ca="1">CELL("contenu",INDIRECT(ADDRESS(ref!$K$5,ref!F24,1,,CELL("contenu",$AB$2))))</f>
        <v/>
      </c>
      <c r="L25" s="4" t="str">
        <f ca="1">CELL("contenu",INDIRECT(ADDRESS(ref!$K$5,ref!G24,1,,CELL("contenu",$AB$2))))</f>
        <v>A</v>
      </c>
      <c r="M25" s="5" t="str">
        <f ca="1">CELL("contenu",INDIRECT(ADDRESS(ref!$K$5,ref!H24,1,,CELL("contenu",$AB$2))))</f>
        <v>A</v>
      </c>
      <c r="N25" s="6" t="str">
        <f ca="1">CELL("contenu",INDIRECT(ADDRESS(ref!$K$6,ref!E24,1,,CELL("contenu",$AB$2))))</f>
        <v>B</v>
      </c>
      <c r="O25" s="3" t="str">
        <f ca="1">CELL("contenu",INDIRECT(ADDRESS(ref!$K$6,ref!F24,1,,CELL("contenu",$AB$2))))</f>
        <v>B</v>
      </c>
      <c r="P25" s="4" t="str">
        <f ca="1">CELL("contenu",INDIRECT(ADDRESS(ref!$K$6,ref!G24,1,,CELL("contenu",$AB$2))))</f>
        <v>B</v>
      </c>
      <c r="Q25" s="5" t="str">
        <f ca="1">CELL("contenu",INDIRECT(ADDRESS(ref!$K$6,ref!H24,1,,CELL("contenu",$AB$2))))</f>
        <v>B</v>
      </c>
      <c r="R25" s="6" t="str">
        <f ca="1">CELL("contenu",INDIRECT(ADDRESS(ref!$K$7,ref!E24,1,,CELL("contenu",$AB$2))))</f>
        <v>B</v>
      </c>
      <c r="S25" s="3" t="str">
        <f ca="1">CELL("contenu",INDIRECT(ADDRESS(ref!$K$7,ref!F24,1,,CELL("contenu",$AB$2))))</f>
        <v/>
      </c>
      <c r="T25" s="4" t="str">
        <f ca="1">CELL("contenu",INDIRECT(ADDRESS(ref!$K$7,ref!G24,1,,CELL("contenu",$AB$2))))</f>
        <v/>
      </c>
      <c r="U25" s="5" t="str">
        <f ca="1">CELL("contenu",INDIRECT(ADDRESS(ref!$K$7,ref!H24,1,,CELL("contenu",$AB$2))))</f>
        <v>B</v>
      </c>
      <c r="V25" s="41">
        <f ca="1">CELL("contenu",INDIRECT(ADDRESS(ref!$K$8,ref!E24,1,,CELL("contenu",$AB$2))))</f>
        <v>16.458333333333332</v>
      </c>
      <c r="W25" s="42">
        <f ca="1">CELL("contenu",INDIRECT(ADDRESS(ref!$K$8,ref!F24,1,,CELL("contenu",$AB$2))))</f>
        <v>17.5</v>
      </c>
      <c r="X25" s="43">
        <f ca="1">CELL("contenu",INDIRECT(ADDRESS(ref!$K$8,ref!G24,1,,CELL("contenu",$AB$2))))</f>
        <v>18.125</v>
      </c>
      <c r="Y25" s="7" t="str">
        <f ca="1">CELL("contenu",INDIRECT(ADDRESS(ref!$K$9,ref!H24,1,,CELL("contenu",$AB$2))))</f>
        <v/>
      </c>
      <c r="Z25" s="8" t="str">
        <f ca="1">CELL("contenu",INDIRECT(ADDRESS(ref!$K$10,ref!H24,1,,CELL("contenu",$AB$2))))</f>
        <v>A</v>
      </c>
    </row>
    <row r="26" spans="1:26" x14ac:dyDescent="0.55000000000000004">
      <c r="A26" s="53" t="str">
        <f t="shared" ca="1" si="0"/>
        <v>ROQUETA Clement</v>
      </c>
      <c r="B26" s="2" t="str">
        <f ca="1">CELL("contenu",INDIRECT(ADDRESS(ref!$K$3,ref!E25,1,,CELL("contenu",$AB$2))))</f>
        <v>D</v>
      </c>
      <c r="C26" s="3" t="str">
        <f ca="1">CELL("contenu",INDIRECT(ADDRESS(ref!$K$3,ref!F25,1,,CELL("contenu",$AB$2))))</f>
        <v>B</v>
      </c>
      <c r="D26" s="4" t="str">
        <f ca="1">CELL("contenu",INDIRECT(ADDRESS(ref!$K$3,ref!G25,1,,CELL("contenu",$AB$2))))</f>
        <v>B</v>
      </c>
      <c r="E26" s="5" t="str">
        <f ca="1">CELL("contenu",INDIRECT(ADDRESS(ref!$K$3,ref!H25,1,,CELL("contenu",$AB$2))))</f>
        <v>C</v>
      </c>
      <c r="F26" s="6" t="str">
        <f ca="1">CELL("contenu",INDIRECT(ADDRESS(ref!$K$4,ref!E25,1,,CELL("contenu",$AB$2))))</f>
        <v>D</v>
      </c>
      <c r="G26" s="3" t="str">
        <f ca="1">CELL("contenu",INDIRECT(ADDRESS(ref!$K$4,ref!F25,1,,CELL("contenu",$AB$2))))</f>
        <v/>
      </c>
      <c r="H26" s="4" t="str">
        <f ca="1">CELL("contenu",INDIRECT(ADDRESS(ref!$K$4,ref!G25,1,,CELL("contenu",$AB$2))))</f>
        <v>B</v>
      </c>
      <c r="I26" s="5" t="str">
        <f ca="1">CELL("contenu",INDIRECT(ADDRESS(ref!$K$4,ref!H25,1,,CELL("contenu",$AB$2))))</f>
        <v>C</v>
      </c>
      <c r="J26" s="6" t="str">
        <f ca="1">CELL("contenu",INDIRECT(ADDRESS(ref!$K$5,ref!E25,1,,CELL("contenu",$AB$2))))</f>
        <v/>
      </c>
      <c r="K26" s="3" t="str">
        <f ca="1">CELL("contenu",INDIRECT(ADDRESS(ref!$K$5,ref!F25,1,,CELL("contenu",$AB$2))))</f>
        <v/>
      </c>
      <c r="L26" s="4" t="str">
        <f ca="1">CELL("contenu",INDIRECT(ADDRESS(ref!$K$5,ref!G25,1,,CELL("contenu",$AB$2))))</f>
        <v>A</v>
      </c>
      <c r="M26" s="5" t="str">
        <f ca="1">CELL("contenu",INDIRECT(ADDRESS(ref!$K$5,ref!H25,1,,CELL("contenu",$AB$2))))</f>
        <v>A</v>
      </c>
      <c r="N26" s="6" t="str">
        <f ca="1">CELL("contenu",INDIRECT(ADDRESS(ref!$K$6,ref!E25,1,,CELL("contenu",$AB$2))))</f>
        <v>C</v>
      </c>
      <c r="O26" s="3" t="str">
        <f ca="1">CELL("contenu",INDIRECT(ADDRESS(ref!$K$6,ref!F25,1,,CELL("contenu",$AB$2))))</f>
        <v>C</v>
      </c>
      <c r="P26" s="4" t="str">
        <f ca="1">CELL("contenu",INDIRECT(ADDRESS(ref!$K$6,ref!G25,1,,CELL("contenu",$AB$2))))</f>
        <v>C</v>
      </c>
      <c r="Q26" s="5" t="str">
        <f ca="1">CELL("contenu",INDIRECT(ADDRESS(ref!$K$6,ref!H25,1,,CELL("contenu",$AB$2))))</f>
        <v>C</v>
      </c>
      <c r="R26" s="6" t="str">
        <f ca="1">CELL("contenu",INDIRECT(ADDRESS(ref!$K$7,ref!E25,1,,CELL("contenu",$AB$2))))</f>
        <v>B</v>
      </c>
      <c r="S26" s="3" t="str">
        <f ca="1">CELL("contenu",INDIRECT(ADDRESS(ref!$K$7,ref!F25,1,,CELL("contenu",$AB$2))))</f>
        <v/>
      </c>
      <c r="T26" s="4" t="str">
        <f ca="1">CELL("contenu",INDIRECT(ADDRESS(ref!$K$7,ref!G25,1,,CELL("contenu",$AB$2))))</f>
        <v/>
      </c>
      <c r="U26" s="5" t="str">
        <f ca="1">CELL("contenu",INDIRECT(ADDRESS(ref!$K$7,ref!H25,1,,CELL("contenu",$AB$2))))</f>
        <v>B</v>
      </c>
      <c r="V26" s="41">
        <f ca="1">CELL("contenu",INDIRECT(ADDRESS(ref!$K$8,ref!E25,1,,CELL("contenu",$AB$2))))</f>
        <v>9.7916666666666661</v>
      </c>
      <c r="W26" s="42">
        <f ca="1">CELL("contenu",INDIRECT(ADDRESS(ref!$K$8,ref!F25,1,,CELL("contenu",$AB$2))))</f>
        <v>13.75</v>
      </c>
      <c r="X26" s="43">
        <f ca="1">CELL("contenu",INDIRECT(ADDRESS(ref!$K$8,ref!G25,1,,CELL("contenu",$AB$2))))</f>
        <v>15.486111111111114</v>
      </c>
      <c r="Y26" s="7" t="str">
        <f ca="1">CELL("contenu",INDIRECT(ADDRESS(ref!$K$9,ref!H25,1,,CELL("contenu",$AB$2))))</f>
        <v/>
      </c>
      <c r="Z26" s="8" t="str">
        <f ca="1">CELL("contenu",INDIRECT(ADDRESS(ref!$K$10,ref!H25,1,,CELL("contenu",$AB$2))))</f>
        <v>D</v>
      </c>
    </row>
    <row r="27" spans="1:26" x14ac:dyDescent="0.55000000000000004">
      <c r="A27" s="53" t="str">
        <f t="shared" ca="1" si="0"/>
        <v>VIRLOUVET Ines</v>
      </c>
      <c r="B27" s="2" t="str">
        <f ca="1">CELL("contenu",INDIRECT(ADDRESS(ref!$K$3,ref!E26,1,,CELL("contenu",$AB$2))))</f>
        <v>C</v>
      </c>
      <c r="C27" s="3" t="str">
        <f ca="1">CELL("contenu",INDIRECT(ADDRESS(ref!$K$3,ref!F26,1,,CELL("contenu",$AB$2))))</f>
        <v>D</v>
      </c>
      <c r="D27" s="4" t="str">
        <f ca="1">CELL("contenu",INDIRECT(ADDRESS(ref!$K$3,ref!G26,1,,CELL("contenu",$AB$2))))</f>
        <v>B</v>
      </c>
      <c r="E27" s="5" t="str">
        <f ca="1">CELL("contenu",INDIRECT(ADDRESS(ref!$K$3,ref!H26,1,,CELL("contenu",$AB$2))))</f>
        <v>C</v>
      </c>
      <c r="F27" s="6" t="str">
        <f ca="1">CELL("contenu",INDIRECT(ADDRESS(ref!$K$4,ref!E26,1,,CELL("contenu",$AB$2))))</f>
        <v>A</v>
      </c>
      <c r="G27" s="3" t="str">
        <f ca="1">CELL("contenu",INDIRECT(ADDRESS(ref!$K$4,ref!F26,1,,CELL("contenu",$AB$2))))</f>
        <v/>
      </c>
      <c r="H27" s="4" t="str">
        <f ca="1">CELL("contenu",INDIRECT(ADDRESS(ref!$K$4,ref!G26,1,,CELL("contenu",$AB$2))))</f>
        <v>A</v>
      </c>
      <c r="I27" s="5" t="str">
        <f ca="1">CELL("contenu",INDIRECT(ADDRESS(ref!$K$4,ref!H26,1,,CELL("contenu",$AB$2))))</f>
        <v>A</v>
      </c>
      <c r="J27" s="6" t="str">
        <f ca="1">CELL("contenu",INDIRECT(ADDRESS(ref!$K$5,ref!E26,1,,CELL("contenu",$AB$2))))</f>
        <v/>
      </c>
      <c r="K27" s="3" t="str">
        <f ca="1">CELL("contenu",INDIRECT(ADDRESS(ref!$K$5,ref!F26,1,,CELL("contenu",$AB$2))))</f>
        <v/>
      </c>
      <c r="L27" s="4" t="str">
        <f ca="1">CELL("contenu",INDIRECT(ADDRESS(ref!$K$5,ref!G26,1,,CELL("contenu",$AB$2))))</f>
        <v>A</v>
      </c>
      <c r="M27" s="5" t="str">
        <f ca="1">CELL("contenu",INDIRECT(ADDRESS(ref!$K$5,ref!H26,1,,CELL("contenu",$AB$2))))</f>
        <v>A</v>
      </c>
      <c r="N27" s="6" t="str">
        <f ca="1">CELL("contenu",INDIRECT(ADDRESS(ref!$K$6,ref!E26,1,,CELL("contenu",$AB$2))))</f>
        <v>C</v>
      </c>
      <c r="O27" s="3" t="str">
        <f ca="1">CELL("contenu",INDIRECT(ADDRESS(ref!$K$6,ref!F26,1,,CELL("contenu",$AB$2))))</f>
        <v>C</v>
      </c>
      <c r="P27" s="4" t="str">
        <f ca="1">CELL("contenu",INDIRECT(ADDRESS(ref!$K$6,ref!G26,1,,CELL("contenu",$AB$2))))</f>
        <v>B</v>
      </c>
      <c r="Q27" s="5" t="str">
        <f ca="1">CELL("contenu",INDIRECT(ADDRESS(ref!$K$6,ref!H26,1,,CELL("contenu",$AB$2))))</f>
        <v>C</v>
      </c>
      <c r="R27" s="6" t="str">
        <f ca="1">CELL("contenu",INDIRECT(ADDRESS(ref!$K$7,ref!E26,1,,CELL("contenu",$AB$2))))</f>
        <v>B</v>
      </c>
      <c r="S27" s="3" t="str">
        <f ca="1">CELL("contenu",INDIRECT(ADDRESS(ref!$K$7,ref!F26,1,,CELL("contenu",$AB$2))))</f>
        <v/>
      </c>
      <c r="T27" s="4" t="str">
        <f ca="1">CELL("contenu",INDIRECT(ADDRESS(ref!$K$7,ref!G26,1,,CELL("contenu",$AB$2))))</f>
        <v/>
      </c>
      <c r="U27" s="5" t="str">
        <f ca="1">CELL("contenu",INDIRECT(ADDRESS(ref!$K$7,ref!H26,1,,CELL("contenu",$AB$2))))</f>
        <v>B</v>
      </c>
      <c r="V27" s="41">
        <f ca="1">CELL("contenu",INDIRECT(ADDRESS(ref!$K$8,ref!E26,1,,CELL("contenu",$AB$2))))</f>
        <v>13.958333333333332</v>
      </c>
      <c r="W27" s="42">
        <f ca="1">CELL("contenu",INDIRECT(ADDRESS(ref!$K$8,ref!F26,1,,CELL("contenu",$AB$2))))</f>
        <v>7.5</v>
      </c>
      <c r="X27" s="43">
        <f ca="1">CELL("contenu",INDIRECT(ADDRESS(ref!$K$8,ref!G26,1,,CELL("contenu",$AB$2))))</f>
        <v>16.875</v>
      </c>
      <c r="Y27" s="7" t="str">
        <f ca="1">CELL("contenu",INDIRECT(ADDRESS(ref!$K$9,ref!H26,1,,CELL("contenu",$AB$2))))</f>
        <v/>
      </c>
      <c r="Z27" s="8" t="str">
        <f ca="1">CELL("contenu",INDIRECT(ADDRESS(ref!$K$10,ref!H26,1,,CELL("contenu",$AB$2))))</f>
        <v>A</v>
      </c>
    </row>
    <row r="28" spans="1:26" x14ac:dyDescent="0.55000000000000004">
      <c r="A28" s="53" t="str">
        <f t="shared" ca="1" si="0"/>
        <v>YAZID Ilian</v>
      </c>
      <c r="B28" s="2" t="str">
        <f ca="1">CELL("contenu",INDIRECT(ADDRESS(ref!$K$3,ref!E27,1,,CELL("contenu",$AB$2))))</f>
        <v>C</v>
      </c>
      <c r="C28" s="3" t="str">
        <f ca="1">CELL("contenu",INDIRECT(ADDRESS(ref!$K$3,ref!F27,1,,CELL("contenu",$AB$2))))</f>
        <v>B</v>
      </c>
      <c r="D28" s="4" t="str">
        <f ca="1">CELL("contenu",INDIRECT(ADDRESS(ref!$K$3,ref!G27,1,,CELL("contenu",$AB$2))))</f>
        <v>C</v>
      </c>
      <c r="E28" s="5" t="str">
        <f ca="1">CELL("contenu",INDIRECT(ADDRESS(ref!$K$3,ref!H27,1,,CELL("contenu",$AB$2))))</f>
        <v>C</v>
      </c>
      <c r="F28" s="6" t="str">
        <f ca="1">CELL("contenu",INDIRECT(ADDRESS(ref!$K$4,ref!E27,1,,CELL("contenu",$AB$2))))</f>
        <v>D</v>
      </c>
      <c r="G28" s="3" t="str">
        <f ca="1">CELL("contenu",INDIRECT(ADDRESS(ref!$K$4,ref!F27,1,,CELL("contenu",$AB$2))))</f>
        <v/>
      </c>
      <c r="H28" s="4" t="str">
        <f ca="1">CELL("contenu",INDIRECT(ADDRESS(ref!$K$4,ref!G27,1,,CELL("contenu",$AB$2))))</f>
        <v>B</v>
      </c>
      <c r="I28" s="5" t="str">
        <f ca="1">CELL("contenu",INDIRECT(ADDRESS(ref!$K$4,ref!H27,1,,CELL("contenu",$AB$2))))</f>
        <v>C</v>
      </c>
      <c r="J28" s="6" t="str">
        <f ca="1">CELL("contenu",INDIRECT(ADDRESS(ref!$K$5,ref!E27,1,,CELL("contenu",$AB$2))))</f>
        <v/>
      </c>
      <c r="K28" s="3" t="str">
        <f ca="1">CELL("contenu",INDIRECT(ADDRESS(ref!$K$5,ref!F27,1,,CELL("contenu",$AB$2))))</f>
        <v/>
      </c>
      <c r="L28" s="4" t="str">
        <f ca="1">CELL("contenu",INDIRECT(ADDRESS(ref!$K$5,ref!G27,1,,CELL("contenu",$AB$2))))</f>
        <v>A</v>
      </c>
      <c r="M28" s="5" t="str">
        <f ca="1">CELL("contenu",INDIRECT(ADDRESS(ref!$K$5,ref!H27,1,,CELL("contenu",$AB$2))))</f>
        <v>A</v>
      </c>
      <c r="N28" s="6" t="str">
        <f ca="1">CELL("contenu",INDIRECT(ADDRESS(ref!$K$6,ref!E27,1,,CELL("contenu",$AB$2))))</f>
        <v>C</v>
      </c>
      <c r="O28" s="3" t="str">
        <f ca="1">CELL("contenu",INDIRECT(ADDRESS(ref!$K$6,ref!F27,1,,CELL("contenu",$AB$2))))</f>
        <v>C</v>
      </c>
      <c r="P28" s="4" t="str">
        <f ca="1">CELL("contenu",INDIRECT(ADDRESS(ref!$K$6,ref!G27,1,,CELL("contenu",$AB$2))))</f>
        <v>C</v>
      </c>
      <c r="Q28" s="5" t="str">
        <f ca="1">CELL("contenu",INDIRECT(ADDRESS(ref!$K$6,ref!H27,1,,CELL("contenu",$AB$2))))</f>
        <v>C</v>
      </c>
      <c r="R28" s="6" t="str">
        <f ca="1">CELL("contenu",INDIRECT(ADDRESS(ref!$K$7,ref!E27,1,,CELL("contenu",$AB$2))))</f>
        <v>C</v>
      </c>
      <c r="S28" s="3" t="str">
        <f ca="1">CELL("contenu",INDIRECT(ADDRESS(ref!$K$7,ref!F27,1,,CELL("contenu",$AB$2))))</f>
        <v/>
      </c>
      <c r="T28" s="4" t="str">
        <f ca="1">CELL("contenu",INDIRECT(ADDRESS(ref!$K$7,ref!G27,1,,CELL("contenu",$AB$2))))</f>
        <v/>
      </c>
      <c r="U28" s="5" t="str">
        <f ca="1">CELL("contenu",INDIRECT(ADDRESS(ref!$K$7,ref!H27,1,,CELL("contenu",$AB$2))))</f>
        <v>C</v>
      </c>
      <c r="V28" s="41">
        <f ca="1">CELL("contenu",INDIRECT(ADDRESS(ref!$K$8,ref!E27,1,,CELL("contenu",$AB$2))))</f>
        <v>9.7916666666666661</v>
      </c>
      <c r="W28" s="42">
        <f ca="1">CELL("contenu",INDIRECT(ADDRESS(ref!$K$8,ref!F27,1,,CELL("contenu",$AB$2))))</f>
        <v>13.75</v>
      </c>
      <c r="X28" s="43">
        <f ca="1">CELL("contenu",INDIRECT(ADDRESS(ref!$K$8,ref!G27,1,,CELL("contenu",$AB$2))))</f>
        <v>14.895833333333332</v>
      </c>
      <c r="Y28" s="7" t="str">
        <f ca="1">CELL("contenu",INDIRECT(ADDRESS(ref!$K$9,ref!H27,1,,CELL("contenu",$AB$2))))</f>
        <v/>
      </c>
      <c r="Z28" s="8" t="str">
        <f ca="1">CELL("contenu",INDIRECT(ADDRESS(ref!$K$10,ref!H27,1,,CELL("contenu",$AB$2))))</f>
        <v>D</v>
      </c>
    </row>
  </sheetData>
  <sheetProtection algorithmName="SHA-512" hashValue="W3f3RXib9XIjF/4jPDT9wbE2sH4NFwTezfljEEu+CEnOvXwBlHc4r+eqra3fiB2M9RGTqQbSCaE00+NFtPa3Ew==" saltValue="5cqQgNaEBxDy8K7dslBQ+Q==" spinCount="100000" sheet="1" selectLockedCells="1"/>
  <mergeCells count="9">
    <mergeCell ref="R2:U2"/>
    <mergeCell ref="Y2:Z2"/>
    <mergeCell ref="V2:X2"/>
    <mergeCell ref="B1:Z1"/>
    <mergeCell ref="A2:A3"/>
    <mergeCell ref="B2:E2"/>
    <mergeCell ref="F2:I2"/>
    <mergeCell ref="J2:M2"/>
    <mergeCell ref="N2:Q2"/>
  </mergeCells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WN24"/>
  <sheetViews>
    <sheetView topLeftCell="A4" zoomScale="80" zoomScaleNormal="80" workbookViewId="0">
      <pane xSplit="2" topLeftCell="NI1" activePane="topRight" state="frozen"/>
      <selection activeCell="A5" sqref="A5:B5"/>
      <selection pane="topRight" activeCell="OF19" sqref="OF19"/>
    </sheetView>
  </sheetViews>
  <sheetFormatPr baseColWidth="10" defaultColWidth="5.68359375" defaultRowHeight="14.4" x14ac:dyDescent="0.55000000000000004"/>
  <cols>
    <col min="1" max="1" width="17.68359375" style="148" customWidth="1"/>
    <col min="2" max="2" width="13.68359375" style="148" customWidth="1"/>
    <col min="3" max="5" width="4.68359375" style="139" customWidth="1"/>
    <col min="6" max="6" width="4.68359375" style="171" customWidth="1"/>
    <col min="7" max="7" width="8.68359375" style="172" customWidth="1"/>
    <col min="8" max="11" width="4.68359375" style="138" customWidth="1"/>
    <col min="12" max="12" width="4.68359375" style="172" customWidth="1"/>
    <col min="13" max="13" width="8.68359375" style="172" customWidth="1"/>
    <col min="14" max="19" width="4.68359375" style="138" customWidth="1"/>
    <col min="20" max="20" width="4.68359375" style="172" customWidth="1"/>
    <col min="21" max="21" width="8.68359375" style="172" customWidth="1"/>
    <col min="22" max="22" width="4.68359375" style="172" customWidth="1"/>
    <col min="23" max="23" width="8.68359375" style="172" customWidth="1"/>
    <col min="24" max="26" width="4.68359375" style="139" customWidth="1"/>
    <col min="27" max="27" width="4.68359375" style="171" customWidth="1"/>
    <col min="28" max="28" width="8.68359375" style="172" customWidth="1"/>
    <col min="29" max="32" width="4.68359375" style="138" customWidth="1"/>
    <col min="33" max="33" width="4.68359375" style="172" customWidth="1"/>
    <col min="34" max="34" width="8.68359375" style="172" customWidth="1"/>
    <col min="35" max="40" width="4.68359375" style="138" customWidth="1"/>
    <col min="41" max="41" width="4.68359375" style="172" customWidth="1"/>
    <col min="42" max="42" width="8.68359375" style="172" customWidth="1"/>
    <col min="43" max="43" width="4.68359375" style="172" customWidth="1"/>
    <col min="44" max="44" width="8.68359375" style="172" customWidth="1"/>
    <col min="45" max="48" width="4.68359375" style="139" customWidth="1"/>
    <col min="49" max="49" width="8.68359375" style="137" customWidth="1"/>
    <col min="50" max="53" width="4.68359375" style="138" customWidth="1"/>
    <col min="54" max="54" width="4.68359375" style="137" customWidth="1"/>
    <col min="55" max="55" width="8.68359375" style="137" customWidth="1"/>
    <col min="56" max="61" width="4.68359375" style="138" customWidth="1"/>
    <col min="62" max="62" width="4.68359375" style="137" customWidth="1"/>
    <col min="63" max="63" width="8.68359375" style="137" customWidth="1"/>
    <col min="64" max="64" width="4.68359375" style="137" customWidth="1"/>
    <col min="65" max="65" width="8.68359375" style="137" customWidth="1"/>
    <col min="66" max="69" width="4.68359375" style="139" customWidth="1"/>
    <col min="70" max="70" width="8.68359375" style="137" customWidth="1"/>
    <col min="71" max="74" width="4.68359375" style="138" customWidth="1"/>
    <col min="75" max="75" width="4.68359375" style="137" customWidth="1"/>
    <col min="76" max="76" width="8.68359375" style="137" customWidth="1"/>
    <col min="77" max="82" width="4.68359375" style="138" customWidth="1"/>
    <col min="83" max="83" width="4.68359375" style="137" customWidth="1"/>
    <col min="84" max="84" width="8.68359375" style="137" customWidth="1"/>
    <col min="85" max="85" width="4.68359375" style="137" customWidth="1"/>
    <col min="86" max="86" width="8.68359375" style="137" customWidth="1"/>
    <col min="87" max="90" width="4.68359375" style="139" customWidth="1"/>
    <col min="91" max="91" width="8.68359375" style="137" customWidth="1"/>
    <col min="92" max="95" width="4.68359375" style="138" customWidth="1"/>
    <col min="96" max="96" width="4.68359375" style="137" customWidth="1"/>
    <col min="97" max="97" width="8.68359375" style="137" customWidth="1"/>
    <col min="98" max="103" width="4.68359375" style="138" customWidth="1"/>
    <col min="104" max="104" width="4.68359375" style="137" customWidth="1"/>
    <col min="105" max="105" width="8.68359375" style="137" customWidth="1"/>
    <col min="106" max="106" width="4.68359375" style="137" customWidth="1"/>
    <col min="107" max="107" width="8.68359375" style="137" customWidth="1"/>
    <col min="108" max="111" width="4.68359375" style="139" customWidth="1"/>
    <col min="112" max="112" width="8.68359375" style="137" customWidth="1"/>
    <col min="113" max="116" width="4.68359375" style="138" customWidth="1"/>
    <col min="117" max="117" width="4.68359375" style="137" customWidth="1"/>
    <col min="118" max="118" width="8.68359375" style="137" customWidth="1"/>
    <col min="119" max="124" width="4.68359375" style="138" customWidth="1"/>
    <col min="125" max="125" width="4.68359375" style="137" customWidth="1"/>
    <col min="126" max="126" width="8.68359375" style="137" customWidth="1"/>
    <col min="127" max="127" width="4.68359375" style="137" customWidth="1"/>
    <col min="128" max="128" width="8.68359375" style="137" customWidth="1"/>
    <col min="129" max="132" width="4.68359375" style="139" customWidth="1"/>
    <col min="133" max="133" width="8.68359375" style="137" customWidth="1"/>
    <col min="134" max="137" width="4.68359375" style="138" customWidth="1"/>
    <col min="138" max="138" width="4.68359375" style="137" customWidth="1"/>
    <col min="139" max="139" width="8.68359375" style="137" customWidth="1"/>
    <col min="140" max="145" width="4.68359375" style="138" customWidth="1"/>
    <col min="146" max="146" width="4.68359375" style="137" customWidth="1"/>
    <col min="147" max="147" width="8.68359375" style="137" customWidth="1"/>
    <col min="148" max="148" width="4.68359375" style="137" customWidth="1"/>
    <col min="149" max="149" width="8.68359375" style="137" customWidth="1"/>
    <col min="150" max="153" width="4.68359375" style="139" customWidth="1"/>
    <col min="154" max="154" width="8.68359375" style="137" customWidth="1"/>
    <col min="155" max="158" width="4.68359375" style="138" customWidth="1"/>
    <col min="159" max="159" width="4.68359375" style="137" customWidth="1"/>
    <col min="160" max="160" width="8.68359375" style="137" customWidth="1"/>
    <col min="161" max="166" width="4.68359375" style="138" customWidth="1"/>
    <col min="167" max="167" width="4.68359375" style="137" customWidth="1"/>
    <col min="168" max="168" width="8.68359375" style="137" customWidth="1"/>
    <col min="169" max="169" width="4.68359375" style="137" customWidth="1"/>
    <col min="170" max="170" width="8.68359375" style="137" customWidth="1"/>
    <col min="171" max="174" width="4.68359375" style="139" customWidth="1"/>
    <col min="175" max="175" width="8.68359375" style="137" customWidth="1"/>
    <col min="176" max="179" width="4.68359375" style="138" customWidth="1"/>
    <col min="180" max="180" width="4.68359375" style="137" customWidth="1"/>
    <col min="181" max="181" width="8.68359375" style="137" customWidth="1"/>
    <col min="182" max="187" width="4.68359375" style="138" customWidth="1"/>
    <col min="188" max="188" width="4.68359375" style="137" customWidth="1"/>
    <col min="189" max="189" width="8.68359375" style="137" customWidth="1"/>
    <col min="190" max="190" width="4.68359375" style="137" customWidth="1"/>
    <col min="191" max="191" width="8.68359375" style="137" customWidth="1"/>
    <col min="192" max="195" width="4.68359375" style="139" customWidth="1"/>
    <col min="196" max="196" width="8.68359375" style="137" customWidth="1"/>
    <col min="197" max="200" width="4.68359375" style="138" customWidth="1"/>
    <col min="201" max="201" width="4.68359375" style="137" customWidth="1"/>
    <col min="202" max="202" width="8.68359375" style="137" customWidth="1"/>
    <col min="203" max="208" width="4.68359375" style="138" customWidth="1"/>
    <col min="209" max="209" width="4.68359375" style="137" customWidth="1"/>
    <col min="210" max="210" width="8.68359375" style="137" customWidth="1"/>
    <col min="211" max="211" width="4.68359375" style="137" customWidth="1"/>
    <col min="212" max="212" width="8.68359375" style="137" customWidth="1"/>
    <col min="213" max="216" width="4.68359375" style="139" customWidth="1"/>
    <col min="217" max="217" width="8.68359375" style="137" customWidth="1"/>
    <col min="218" max="221" width="4.68359375" style="138" customWidth="1"/>
    <col min="222" max="222" width="4.68359375" style="137" customWidth="1"/>
    <col min="223" max="223" width="8.68359375" style="137" customWidth="1"/>
    <col min="224" max="229" width="4.68359375" style="138" customWidth="1"/>
    <col min="230" max="230" width="4.68359375" style="137" customWidth="1"/>
    <col min="231" max="231" width="8.68359375" style="137" customWidth="1"/>
    <col min="232" max="232" width="4.68359375" style="137" customWidth="1"/>
    <col min="233" max="233" width="8.68359375" style="137" customWidth="1"/>
    <col min="234" max="237" width="4.68359375" style="139" customWidth="1"/>
    <col min="238" max="238" width="8.68359375" style="137" customWidth="1"/>
    <col min="239" max="242" width="4.68359375" style="138" customWidth="1"/>
    <col min="243" max="243" width="4.68359375" style="137" customWidth="1"/>
    <col min="244" max="244" width="8.68359375" style="137" customWidth="1"/>
    <col min="245" max="250" width="4.68359375" style="138" customWidth="1"/>
    <col min="251" max="251" width="4.68359375" style="137" customWidth="1"/>
    <col min="252" max="252" width="8.68359375" style="137" customWidth="1"/>
    <col min="253" max="253" width="4.68359375" style="137" customWidth="1"/>
    <col min="254" max="254" width="8.68359375" style="137" customWidth="1"/>
    <col min="255" max="258" width="4.68359375" style="139" customWidth="1"/>
    <col min="259" max="259" width="8.68359375" style="137" customWidth="1"/>
    <col min="260" max="263" width="4.68359375" style="138" customWidth="1"/>
    <col min="264" max="264" width="4.68359375" style="137" customWidth="1"/>
    <col min="265" max="265" width="8.68359375" style="137" customWidth="1"/>
    <col min="266" max="271" width="4.68359375" style="138" customWidth="1"/>
    <col min="272" max="272" width="4.68359375" style="137" customWidth="1"/>
    <col min="273" max="273" width="8.68359375" style="137" customWidth="1"/>
    <col min="274" max="274" width="4.68359375" style="137" customWidth="1"/>
    <col min="275" max="275" width="8.68359375" style="137" customWidth="1"/>
    <col min="276" max="279" width="4.68359375" style="139" customWidth="1"/>
    <col min="280" max="280" width="8.68359375" style="137" customWidth="1"/>
    <col min="281" max="284" width="4.68359375" style="138" customWidth="1"/>
    <col min="285" max="285" width="4.68359375" style="137" customWidth="1"/>
    <col min="286" max="286" width="8.68359375" style="137" customWidth="1"/>
    <col min="287" max="292" width="4.68359375" style="138" customWidth="1"/>
    <col min="293" max="293" width="4.68359375" style="137" customWidth="1"/>
    <col min="294" max="294" width="8.68359375" style="137" customWidth="1"/>
    <col min="295" max="295" width="4.68359375" style="137" customWidth="1"/>
    <col min="296" max="296" width="8.68359375" style="137" customWidth="1"/>
    <col min="297" max="300" width="4.68359375" style="139" customWidth="1"/>
    <col min="301" max="301" width="8.68359375" style="137" customWidth="1"/>
    <col min="302" max="305" width="4.68359375" style="138" customWidth="1"/>
    <col min="306" max="306" width="4.68359375" style="137" customWidth="1"/>
    <col min="307" max="307" width="8.68359375" style="137" customWidth="1"/>
    <col min="308" max="313" width="4.68359375" style="138" customWidth="1"/>
    <col min="314" max="314" width="4.68359375" style="137" customWidth="1"/>
    <col min="315" max="315" width="8.68359375" style="137" customWidth="1"/>
    <col min="316" max="316" width="4.68359375" style="137" customWidth="1"/>
    <col min="317" max="317" width="8.68359375" style="137" customWidth="1"/>
    <col min="318" max="321" width="4.68359375" style="139" customWidth="1"/>
    <col min="322" max="322" width="8.68359375" style="137" customWidth="1"/>
    <col min="323" max="326" width="4.68359375" style="138" customWidth="1"/>
    <col min="327" max="327" width="4.68359375" style="137" customWidth="1"/>
    <col min="328" max="328" width="8.68359375" style="137" customWidth="1"/>
    <col min="329" max="334" width="4.68359375" style="138" customWidth="1"/>
    <col min="335" max="335" width="4.68359375" style="137" customWidth="1"/>
    <col min="336" max="336" width="8.68359375" style="137" customWidth="1"/>
    <col min="337" max="337" width="4.68359375" style="137" customWidth="1"/>
    <col min="338" max="338" width="8.68359375" style="137" customWidth="1"/>
    <col min="339" max="342" width="4.68359375" style="139" customWidth="1"/>
    <col min="343" max="343" width="8.68359375" style="137" customWidth="1"/>
    <col min="344" max="347" width="4.68359375" style="138" customWidth="1"/>
    <col min="348" max="348" width="4.68359375" style="137" customWidth="1"/>
    <col min="349" max="349" width="8.68359375" style="137" customWidth="1"/>
    <col min="350" max="355" width="4.68359375" style="138" customWidth="1"/>
    <col min="356" max="356" width="4.68359375" style="137" customWidth="1"/>
    <col min="357" max="357" width="8.68359375" style="137" customWidth="1"/>
    <col min="358" max="358" width="4.68359375" style="137" customWidth="1"/>
    <col min="359" max="359" width="8.68359375" style="137" customWidth="1"/>
    <col min="360" max="363" width="4.68359375" style="139" customWidth="1"/>
    <col min="364" max="364" width="8.68359375" style="137" customWidth="1"/>
    <col min="365" max="368" width="4.68359375" style="138" customWidth="1"/>
    <col min="369" max="369" width="4.68359375" style="137" customWidth="1"/>
    <col min="370" max="370" width="8.68359375" style="137" customWidth="1"/>
    <col min="371" max="376" width="4.68359375" style="138" customWidth="1"/>
    <col min="377" max="377" width="4.68359375" style="137" customWidth="1"/>
    <col min="378" max="378" width="8.68359375" style="137" customWidth="1"/>
    <col min="379" max="379" width="4.68359375" style="137" customWidth="1"/>
    <col min="380" max="380" width="8.68359375" style="137" customWidth="1"/>
    <col min="381" max="384" width="4.68359375" style="139" customWidth="1"/>
    <col min="385" max="385" width="8.68359375" style="137" customWidth="1"/>
    <col min="386" max="389" width="4.68359375" style="138" customWidth="1"/>
    <col min="390" max="390" width="4.68359375" style="137" customWidth="1"/>
    <col min="391" max="391" width="8.68359375" style="137" customWidth="1"/>
    <col min="392" max="397" width="4.68359375" style="138" customWidth="1"/>
    <col min="398" max="398" width="4.68359375" style="137" customWidth="1"/>
    <col min="399" max="399" width="8.68359375" style="137" customWidth="1"/>
    <col min="400" max="400" width="4.68359375" style="137" customWidth="1"/>
    <col min="401" max="401" width="8.68359375" style="137" customWidth="1"/>
    <col min="402" max="405" width="4.68359375" style="139" customWidth="1"/>
    <col min="406" max="406" width="8.68359375" style="137" customWidth="1"/>
    <col min="407" max="410" width="4.68359375" style="138" customWidth="1"/>
    <col min="411" max="411" width="4.68359375" style="137" customWidth="1"/>
    <col min="412" max="412" width="8.68359375" style="137" customWidth="1"/>
    <col min="413" max="418" width="4.68359375" style="138" customWidth="1"/>
    <col min="419" max="419" width="4.68359375" style="137" customWidth="1"/>
    <col min="420" max="420" width="8.68359375" style="137" customWidth="1"/>
    <col min="421" max="421" width="4.68359375" style="137" customWidth="1"/>
    <col min="422" max="422" width="8.68359375" style="137" customWidth="1"/>
    <col min="423" max="426" width="4.68359375" style="139" customWidth="1"/>
    <col min="427" max="427" width="8.68359375" style="137" customWidth="1"/>
    <col min="428" max="431" width="4.68359375" style="138" customWidth="1"/>
    <col min="432" max="432" width="4.68359375" style="137" customWidth="1"/>
    <col min="433" max="433" width="8.68359375" style="137" customWidth="1"/>
    <col min="434" max="439" width="4.68359375" style="138" customWidth="1"/>
    <col min="440" max="440" width="4.68359375" style="137" customWidth="1"/>
    <col min="441" max="441" width="8.68359375" style="137" customWidth="1"/>
    <col min="442" max="442" width="4.68359375" style="137" customWidth="1"/>
    <col min="443" max="443" width="8.68359375" style="137" customWidth="1"/>
    <col min="444" max="447" width="4.68359375" style="139" customWidth="1"/>
    <col min="448" max="448" width="8.68359375" style="137" customWidth="1"/>
    <col min="449" max="452" width="4.68359375" style="138" customWidth="1"/>
    <col min="453" max="453" width="4.68359375" style="137" customWidth="1"/>
    <col min="454" max="454" width="8.68359375" style="137" customWidth="1"/>
    <col min="455" max="460" width="4.68359375" style="138" customWidth="1"/>
    <col min="461" max="461" width="4.68359375" style="137" customWidth="1"/>
    <col min="462" max="462" width="8.68359375" style="137" customWidth="1"/>
    <col min="463" max="463" width="4.68359375" style="137" customWidth="1"/>
    <col min="464" max="464" width="8.68359375" style="137" customWidth="1"/>
    <col min="465" max="468" width="4.68359375" style="139" customWidth="1"/>
    <col min="469" max="469" width="8.68359375" style="137" customWidth="1"/>
    <col min="470" max="473" width="4.68359375" style="138" customWidth="1"/>
    <col min="474" max="474" width="4.68359375" style="137" customWidth="1"/>
    <col min="475" max="475" width="8.68359375" style="137" customWidth="1"/>
    <col min="476" max="481" width="4.68359375" style="138" customWidth="1"/>
    <col min="482" max="482" width="4.68359375" style="137" customWidth="1"/>
    <col min="483" max="483" width="8.68359375" style="137" customWidth="1"/>
    <col min="484" max="484" width="4.68359375" style="137" customWidth="1"/>
    <col min="485" max="485" width="8.68359375" style="137" customWidth="1"/>
    <col min="486" max="489" width="4.68359375" style="139" customWidth="1"/>
    <col min="490" max="490" width="8.68359375" style="137" customWidth="1"/>
    <col min="491" max="494" width="4.68359375" style="138" customWidth="1"/>
    <col min="495" max="495" width="4.68359375" style="137" customWidth="1"/>
    <col min="496" max="496" width="8.68359375" style="137" customWidth="1"/>
    <col min="497" max="502" width="4.68359375" style="138" customWidth="1"/>
    <col min="503" max="503" width="4.68359375" style="137" customWidth="1"/>
    <col min="504" max="504" width="8.68359375" style="137" customWidth="1"/>
    <col min="505" max="505" width="4.68359375" style="137" customWidth="1"/>
    <col min="506" max="506" width="8.68359375" style="137" customWidth="1"/>
    <col min="507" max="510" width="4.68359375" style="139" customWidth="1"/>
    <col min="511" max="511" width="8.68359375" style="137" customWidth="1"/>
    <col min="512" max="515" width="4.68359375" style="138" customWidth="1"/>
    <col min="516" max="516" width="4.68359375" style="137" customWidth="1"/>
    <col min="517" max="517" width="8.68359375" style="137" customWidth="1"/>
    <col min="518" max="523" width="4.68359375" style="138" customWidth="1"/>
    <col min="524" max="524" width="4.68359375" style="137" customWidth="1"/>
    <col min="525" max="525" width="8.68359375" style="137" customWidth="1"/>
    <col min="526" max="526" width="4.68359375" style="137" customWidth="1"/>
    <col min="527" max="527" width="8.68359375" style="137" customWidth="1"/>
    <col min="528" max="531" width="4.68359375" style="139" customWidth="1"/>
    <col min="532" max="532" width="8.68359375" style="137" customWidth="1"/>
    <col min="533" max="535" width="4.68359375" style="138" customWidth="1"/>
    <col min="536" max="536" width="4.68359375" style="137" customWidth="1"/>
    <col min="537" max="537" width="8.68359375" style="137" customWidth="1"/>
    <col min="538" max="540" width="4.68359375" style="138" customWidth="1"/>
    <col min="541" max="541" width="4.68359375" style="137" customWidth="1"/>
    <col min="542" max="542" width="8.68359375" style="137" customWidth="1"/>
    <col min="543" max="543" width="4.68359375" style="137" customWidth="1"/>
    <col min="544" max="544" width="8.68359375" style="137" customWidth="1"/>
    <col min="545" max="548" width="4.68359375" style="139" customWidth="1"/>
    <col min="549" max="549" width="8.68359375" style="137" customWidth="1"/>
    <col min="550" max="552" width="4.68359375" style="138" customWidth="1"/>
    <col min="553" max="553" width="4.68359375" style="137" customWidth="1"/>
    <col min="554" max="554" width="8.68359375" style="137" customWidth="1"/>
    <col min="555" max="557" width="4.68359375" style="138" customWidth="1"/>
    <col min="558" max="558" width="4.68359375" style="137" customWidth="1"/>
    <col min="559" max="559" width="8.68359375" style="137" customWidth="1"/>
    <col min="560" max="560" width="4.68359375" style="137" customWidth="1"/>
    <col min="561" max="561" width="8.68359375" style="137" customWidth="1"/>
    <col min="562" max="565" width="4.68359375" style="139" customWidth="1"/>
    <col min="566" max="566" width="8.68359375" style="137" customWidth="1"/>
    <col min="567" max="569" width="4.68359375" style="138" customWidth="1"/>
    <col min="570" max="570" width="4.68359375" style="137" customWidth="1"/>
    <col min="571" max="571" width="8.68359375" style="137" customWidth="1"/>
    <col min="572" max="574" width="4.68359375" style="138" customWidth="1"/>
    <col min="575" max="575" width="4.68359375" style="137" customWidth="1"/>
    <col min="576" max="576" width="8.68359375" style="137" customWidth="1"/>
    <col min="577" max="577" width="4.68359375" style="137" customWidth="1"/>
    <col min="578" max="578" width="8.68359375" style="137" customWidth="1"/>
    <col min="579" max="582" width="4.68359375" style="139" customWidth="1"/>
    <col min="583" max="583" width="8.68359375" style="137" customWidth="1"/>
    <col min="584" max="586" width="4.68359375" style="138" customWidth="1"/>
    <col min="587" max="587" width="4.68359375" style="137" customWidth="1"/>
    <col min="588" max="588" width="8.68359375" style="137" customWidth="1"/>
    <col min="589" max="591" width="4.68359375" style="138" customWidth="1"/>
    <col min="592" max="592" width="4.68359375" style="137" customWidth="1"/>
    <col min="593" max="593" width="8.68359375" style="137" customWidth="1"/>
    <col min="594" max="594" width="4.68359375" style="137" customWidth="1"/>
    <col min="595" max="595" width="8.68359375" style="137" customWidth="1"/>
    <col min="596" max="599" width="4.68359375" style="139" customWidth="1"/>
    <col min="600" max="600" width="8.68359375" style="137" customWidth="1"/>
    <col min="601" max="603" width="4.68359375" style="138" customWidth="1"/>
    <col min="604" max="604" width="4.68359375" style="137" customWidth="1"/>
    <col min="605" max="605" width="8.68359375" style="137" customWidth="1"/>
    <col min="606" max="608" width="4.68359375" style="138" customWidth="1"/>
    <col min="609" max="609" width="4.68359375" style="137" customWidth="1"/>
    <col min="610" max="610" width="8.68359375" style="137" customWidth="1"/>
    <col min="611" max="611" width="4.68359375" style="137" customWidth="1"/>
    <col min="612" max="612" width="8.68359375" style="137" customWidth="1"/>
    <col min="613" max="16384" width="5.68359375" style="64"/>
  </cols>
  <sheetData>
    <row r="1" spans="1:612" ht="18" customHeight="1" thickBot="1" x14ac:dyDescent="0.6">
      <c r="A1" s="219" t="s">
        <v>42</v>
      </c>
      <c r="B1" s="220"/>
      <c r="C1" s="150">
        <v>4</v>
      </c>
      <c r="D1" s="60"/>
      <c r="E1" s="60"/>
      <c r="F1" s="155"/>
      <c r="G1" s="156"/>
      <c r="H1" s="154"/>
      <c r="I1" s="62"/>
      <c r="J1" s="62"/>
      <c r="K1" s="62"/>
      <c r="L1" s="156"/>
      <c r="M1" s="156"/>
      <c r="N1" s="154"/>
      <c r="O1" s="62"/>
      <c r="P1" s="62"/>
      <c r="Q1" s="62"/>
      <c r="R1" s="62"/>
      <c r="S1" s="62"/>
      <c r="T1" s="156"/>
      <c r="U1" s="156"/>
      <c r="V1" s="156"/>
      <c r="W1" s="177"/>
      <c r="X1" s="194">
        <f>C1+1</f>
        <v>5</v>
      </c>
      <c r="Y1" s="60"/>
      <c r="Z1" s="60"/>
      <c r="AA1" s="155"/>
      <c r="AB1" s="156"/>
      <c r="AC1" s="154"/>
      <c r="AD1" s="62"/>
      <c r="AE1" s="62"/>
      <c r="AF1" s="62"/>
      <c r="AG1" s="156"/>
      <c r="AH1" s="156"/>
      <c r="AI1" s="154"/>
      <c r="AJ1" s="62"/>
      <c r="AK1" s="62"/>
      <c r="AL1" s="62"/>
      <c r="AM1" s="62"/>
      <c r="AN1" s="62"/>
      <c r="AO1" s="156"/>
      <c r="AP1" s="156"/>
      <c r="AQ1" s="156"/>
      <c r="AR1" s="156"/>
      <c r="AS1" s="194">
        <f>X1+1</f>
        <v>6</v>
      </c>
      <c r="AT1" s="60"/>
      <c r="AU1" s="60"/>
      <c r="AV1" s="155"/>
      <c r="AW1" s="156"/>
      <c r="AX1" s="154"/>
      <c r="AY1" s="62"/>
      <c r="AZ1" s="62"/>
      <c r="BA1" s="62"/>
      <c r="BB1" s="156"/>
      <c r="BC1" s="156"/>
      <c r="BD1" s="154"/>
      <c r="BE1" s="62"/>
      <c r="BF1" s="62"/>
      <c r="BG1" s="62"/>
      <c r="BH1" s="62"/>
      <c r="BI1" s="62"/>
      <c r="BJ1" s="156"/>
      <c r="BK1" s="156"/>
      <c r="BL1" s="156"/>
      <c r="BM1" s="156"/>
      <c r="BN1" s="194">
        <f>AS1+1</f>
        <v>7</v>
      </c>
      <c r="BO1" s="60"/>
      <c r="BP1" s="60"/>
      <c r="BQ1" s="155"/>
      <c r="BR1" s="156"/>
      <c r="BS1" s="154"/>
      <c r="BT1" s="62"/>
      <c r="BU1" s="62"/>
      <c r="BV1" s="62"/>
      <c r="BW1" s="156"/>
      <c r="BX1" s="156"/>
      <c r="BY1" s="154"/>
      <c r="BZ1" s="62"/>
      <c r="CA1" s="62"/>
      <c r="CB1" s="62"/>
      <c r="CC1" s="62"/>
      <c r="CD1" s="62"/>
      <c r="CE1" s="156"/>
      <c r="CF1" s="156"/>
      <c r="CG1" s="156"/>
      <c r="CH1" s="156"/>
      <c r="CI1" s="194">
        <f>BN1+1</f>
        <v>8</v>
      </c>
      <c r="CJ1" s="60"/>
      <c r="CK1" s="60"/>
      <c r="CL1" s="155"/>
      <c r="CM1" s="156"/>
      <c r="CN1" s="154"/>
      <c r="CO1" s="62"/>
      <c r="CP1" s="62"/>
      <c r="CQ1" s="62"/>
      <c r="CR1" s="156"/>
      <c r="CS1" s="156"/>
      <c r="CT1" s="154"/>
      <c r="CU1" s="62"/>
      <c r="CV1" s="62"/>
      <c r="CW1" s="62"/>
      <c r="CX1" s="62"/>
      <c r="CY1" s="62"/>
      <c r="CZ1" s="156"/>
      <c r="DA1" s="156"/>
      <c r="DB1" s="156"/>
      <c r="DC1" s="156"/>
      <c r="DD1" s="194">
        <f>CI1+1</f>
        <v>9</v>
      </c>
      <c r="DE1" s="60"/>
      <c r="DF1" s="60"/>
      <c r="DG1" s="155"/>
      <c r="DH1" s="156"/>
      <c r="DI1" s="154"/>
      <c r="DJ1" s="62"/>
      <c r="DK1" s="62"/>
      <c r="DL1" s="62"/>
      <c r="DM1" s="156"/>
      <c r="DN1" s="156"/>
      <c r="DO1" s="154"/>
      <c r="DP1" s="62"/>
      <c r="DQ1" s="62"/>
      <c r="DR1" s="62"/>
      <c r="DS1" s="62"/>
      <c r="DT1" s="62"/>
      <c r="DU1" s="156"/>
      <c r="DV1" s="156"/>
      <c r="DW1" s="156"/>
      <c r="DX1" s="156"/>
      <c r="DY1" s="194">
        <f>DD1+1</f>
        <v>10</v>
      </c>
      <c r="DZ1" s="60"/>
      <c r="EA1" s="60"/>
      <c r="EB1" s="155"/>
      <c r="EC1" s="156"/>
      <c r="ED1" s="154"/>
      <c r="EE1" s="62"/>
      <c r="EF1" s="62"/>
      <c r="EG1" s="62"/>
      <c r="EH1" s="156"/>
      <c r="EI1" s="156"/>
      <c r="EJ1" s="154"/>
      <c r="EK1" s="62"/>
      <c r="EL1" s="62"/>
      <c r="EM1" s="62"/>
      <c r="EN1" s="62"/>
      <c r="EO1" s="62"/>
      <c r="EP1" s="156"/>
      <c r="EQ1" s="156"/>
      <c r="ER1" s="156"/>
      <c r="ES1" s="156"/>
      <c r="ET1" s="194">
        <f>DY1+1</f>
        <v>11</v>
      </c>
      <c r="EU1" s="60"/>
      <c r="EV1" s="60"/>
      <c r="EW1" s="155"/>
      <c r="EX1" s="156"/>
      <c r="EY1" s="154"/>
      <c r="EZ1" s="62"/>
      <c r="FA1" s="62"/>
      <c r="FB1" s="62"/>
      <c r="FC1" s="156"/>
      <c r="FD1" s="156"/>
      <c r="FE1" s="154"/>
      <c r="FF1" s="62"/>
      <c r="FG1" s="62"/>
      <c r="FH1" s="62"/>
      <c r="FI1" s="62"/>
      <c r="FJ1" s="62"/>
      <c r="FK1" s="156"/>
      <c r="FL1" s="156"/>
      <c r="FM1" s="156"/>
      <c r="FN1" s="156"/>
      <c r="FO1" s="194">
        <f>ET1+1</f>
        <v>12</v>
      </c>
      <c r="FP1" s="60"/>
      <c r="FQ1" s="60"/>
      <c r="FR1" s="155"/>
      <c r="FS1" s="156"/>
      <c r="FT1" s="154"/>
      <c r="FU1" s="62"/>
      <c r="FV1" s="62"/>
      <c r="FW1" s="62"/>
      <c r="FX1" s="156"/>
      <c r="FY1" s="156"/>
      <c r="FZ1" s="154"/>
      <c r="GA1" s="62"/>
      <c r="GB1" s="62"/>
      <c r="GC1" s="62"/>
      <c r="GD1" s="62"/>
      <c r="GE1" s="62"/>
      <c r="GF1" s="156"/>
      <c r="GG1" s="156"/>
      <c r="GH1" s="156"/>
      <c r="GI1" s="156"/>
      <c r="GJ1" s="194">
        <f>FO1+1</f>
        <v>13</v>
      </c>
      <c r="GK1" s="60"/>
      <c r="GL1" s="60"/>
      <c r="GM1" s="155"/>
      <c r="GN1" s="156"/>
      <c r="GO1" s="154"/>
      <c r="GP1" s="62"/>
      <c r="GQ1" s="62"/>
      <c r="GR1" s="62"/>
      <c r="GS1" s="156"/>
      <c r="GT1" s="156"/>
      <c r="GU1" s="154"/>
      <c r="GV1" s="62"/>
      <c r="GW1" s="62"/>
      <c r="GX1" s="62"/>
      <c r="GY1" s="62"/>
      <c r="GZ1" s="62"/>
      <c r="HA1" s="156"/>
      <c r="HB1" s="156"/>
      <c r="HC1" s="156"/>
      <c r="HD1" s="156"/>
      <c r="HE1" s="194">
        <f>GJ1+1</f>
        <v>14</v>
      </c>
      <c r="HF1" s="60"/>
      <c r="HG1" s="60"/>
      <c r="HH1" s="155"/>
      <c r="HI1" s="156"/>
      <c r="HJ1" s="154"/>
      <c r="HK1" s="62"/>
      <c r="HL1" s="62"/>
      <c r="HM1" s="62"/>
      <c r="HN1" s="156"/>
      <c r="HO1" s="156"/>
      <c r="HP1" s="154"/>
      <c r="HQ1" s="62"/>
      <c r="HR1" s="62"/>
      <c r="HS1" s="62"/>
      <c r="HT1" s="62"/>
      <c r="HU1" s="62"/>
      <c r="HV1" s="156"/>
      <c r="HW1" s="156"/>
      <c r="HX1" s="156"/>
      <c r="HY1" s="156"/>
      <c r="HZ1" s="194">
        <f>HE1+1</f>
        <v>15</v>
      </c>
      <c r="IA1" s="60"/>
      <c r="IB1" s="60"/>
      <c r="IC1" s="155"/>
      <c r="ID1" s="156"/>
      <c r="IE1" s="154"/>
      <c r="IF1" s="62"/>
      <c r="IG1" s="62"/>
      <c r="IH1" s="62"/>
      <c r="II1" s="156"/>
      <c r="IJ1" s="156"/>
      <c r="IK1" s="154"/>
      <c r="IL1" s="62"/>
      <c r="IM1" s="62"/>
      <c r="IN1" s="62"/>
      <c r="IO1" s="62"/>
      <c r="IP1" s="62"/>
      <c r="IQ1" s="156"/>
      <c r="IR1" s="156"/>
      <c r="IS1" s="156"/>
      <c r="IT1" s="156"/>
      <c r="IU1" s="194">
        <f>HZ1+1</f>
        <v>16</v>
      </c>
      <c r="IV1" s="60"/>
      <c r="IW1" s="60"/>
      <c r="IX1" s="155"/>
      <c r="IY1" s="156"/>
      <c r="IZ1" s="154"/>
      <c r="JA1" s="62"/>
      <c r="JB1" s="62"/>
      <c r="JC1" s="62"/>
      <c r="JD1" s="156"/>
      <c r="JE1" s="156"/>
      <c r="JF1" s="154"/>
      <c r="JG1" s="62"/>
      <c r="JH1" s="62"/>
      <c r="JI1" s="62"/>
      <c r="JJ1" s="62"/>
      <c r="JK1" s="62"/>
      <c r="JL1" s="156"/>
      <c r="JM1" s="156"/>
      <c r="JN1" s="156"/>
      <c r="JO1" s="156"/>
      <c r="JP1" s="194">
        <f>IU1+1</f>
        <v>17</v>
      </c>
      <c r="JQ1" s="60"/>
      <c r="JR1" s="60"/>
      <c r="JS1" s="155"/>
      <c r="JT1" s="156"/>
      <c r="JU1" s="154"/>
      <c r="JV1" s="62"/>
      <c r="JW1" s="62"/>
      <c r="JX1" s="62"/>
      <c r="JY1" s="156"/>
      <c r="JZ1" s="156"/>
      <c r="KA1" s="154"/>
      <c r="KB1" s="62"/>
      <c r="KC1" s="62"/>
      <c r="KD1" s="62"/>
      <c r="KE1" s="62"/>
      <c r="KF1" s="62"/>
      <c r="KG1" s="156"/>
      <c r="KH1" s="156"/>
      <c r="KI1" s="156"/>
      <c r="KJ1" s="156"/>
      <c r="KK1" s="194">
        <f>JP1+1</f>
        <v>18</v>
      </c>
      <c r="KL1" s="60"/>
      <c r="KM1" s="60"/>
      <c r="KN1" s="155"/>
      <c r="KO1" s="156"/>
      <c r="KP1" s="154"/>
      <c r="KQ1" s="62"/>
      <c r="KR1" s="62"/>
      <c r="KS1" s="62"/>
      <c r="KT1" s="156"/>
      <c r="KU1" s="156"/>
      <c r="KV1" s="154"/>
      <c r="KW1" s="62"/>
      <c r="KX1" s="62"/>
      <c r="KY1" s="62"/>
      <c r="KZ1" s="62"/>
      <c r="LA1" s="62"/>
      <c r="LB1" s="156"/>
      <c r="LC1" s="156"/>
      <c r="LD1" s="156"/>
      <c r="LE1" s="156"/>
      <c r="LF1" s="194">
        <f>KK1+1</f>
        <v>19</v>
      </c>
      <c r="LG1" s="60"/>
      <c r="LH1" s="60"/>
      <c r="LI1" s="155"/>
      <c r="LJ1" s="156"/>
      <c r="LK1" s="154"/>
      <c r="LL1" s="62"/>
      <c r="LM1" s="62"/>
      <c r="LN1" s="62"/>
      <c r="LO1" s="156"/>
      <c r="LP1" s="156"/>
      <c r="LQ1" s="154"/>
      <c r="LR1" s="62"/>
      <c r="LS1" s="62"/>
      <c r="LT1" s="62"/>
      <c r="LU1" s="62"/>
      <c r="LV1" s="62"/>
      <c r="LW1" s="156"/>
      <c r="LX1" s="156"/>
      <c r="LY1" s="156"/>
      <c r="LZ1" s="156"/>
      <c r="MA1" s="194">
        <f>LF1+1</f>
        <v>20</v>
      </c>
      <c r="MB1" s="60"/>
      <c r="MC1" s="60"/>
      <c r="MD1" s="155"/>
      <c r="ME1" s="156"/>
      <c r="MF1" s="154"/>
      <c r="MG1" s="62"/>
      <c r="MH1" s="62"/>
      <c r="MI1" s="62"/>
      <c r="MJ1" s="156"/>
      <c r="MK1" s="156"/>
      <c r="ML1" s="154"/>
      <c r="MM1" s="62"/>
      <c r="MN1" s="62"/>
      <c r="MO1" s="62"/>
      <c r="MP1" s="62"/>
      <c r="MQ1" s="62"/>
      <c r="MR1" s="156"/>
      <c r="MS1" s="156"/>
      <c r="MT1" s="156"/>
      <c r="MU1" s="156"/>
      <c r="MV1" s="194">
        <f>MA1+1</f>
        <v>21</v>
      </c>
      <c r="MW1" s="60"/>
      <c r="MX1" s="60"/>
      <c r="MY1" s="155"/>
      <c r="MZ1" s="156"/>
      <c r="NA1" s="154"/>
      <c r="NB1" s="62"/>
      <c r="NC1" s="62"/>
      <c r="ND1" s="62"/>
      <c r="NE1" s="156"/>
      <c r="NF1" s="156"/>
      <c r="NG1" s="154"/>
      <c r="NH1" s="62"/>
      <c r="NI1" s="62"/>
      <c r="NJ1" s="62"/>
      <c r="NK1" s="62"/>
      <c r="NL1" s="62"/>
      <c r="NM1" s="156"/>
      <c r="NN1" s="156"/>
      <c r="NO1" s="156"/>
      <c r="NP1" s="156"/>
      <c r="NQ1" s="194">
        <f>MV1+1</f>
        <v>22</v>
      </c>
      <c r="NR1" s="60"/>
      <c r="NS1" s="60"/>
      <c r="NT1" s="155"/>
      <c r="NU1" s="156"/>
      <c r="NV1" s="154"/>
      <c r="NW1" s="62"/>
      <c r="NX1" s="62"/>
      <c r="NY1" s="62"/>
      <c r="NZ1" s="156"/>
      <c r="OA1" s="156"/>
      <c r="OB1" s="154"/>
      <c r="OC1" s="62"/>
      <c r="OD1" s="62"/>
      <c r="OE1" s="62"/>
      <c r="OF1" s="62"/>
      <c r="OG1" s="62"/>
      <c r="OH1" s="156"/>
      <c r="OI1" s="156"/>
      <c r="OJ1" s="156"/>
      <c r="OK1" s="156"/>
      <c r="OL1" s="194">
        <f>NQ1+1</f>
        <v>23</v>
      </c>
      <c r="OM1" s="60"/>
      <c r="ON1" s="60"/>
      <c r="OO1" s="155"/>
      <c r="OP1" s="156"/>
      <c r="OQ1" s="154"/>
      <c r="OR1" s="62"/>
      <c r="OS1" s="62"/>
      <c r="OT1" s="62"/>
      <c r="OU1" s="156"/>
      <c r="OV1" s="156"/>
      <c r="OW1" s="154"/>
      <c r="OX1" s="62"/>
      <c r="OY1" s="62"/>
      <c r="OZ1" s="62"/>
      <c r="PA1" s="62"/>
      <c r="PB1" s="62"/>
      <c r="PC1" s="156"/>
      <c r="PD1" s="156"/>
      <c r="PE1" s="156"/>
      <c r="PF1" s="156"/>
      <c r="PG1" s="194">
        <f>OL1+1</f>
        <v>24</v>
      </c>
      <c r="PH1" s="60"/>
      <c r="PI1" s="60"/>
      <c r="PJ1" s="155"/>
      <c r="PK1" s="156"/>
      <c r="PL1" s="154"/>
      <c r="PM1" s="62"/>
      <c r="PN1" s="62"/>
      <c r="PO1" s="62"/>
      <c r="PP1" s="156"/>
      <c r="PQ1" s="156"/>
      <c r="PR1" s="154"/>
      <c r="PS1" s="62"/>
      <c r="PT1" s="62"/>
      <c r="PU1" s="62"/>
      <c r="PV1" s="62"/>
      <c r="PW1" s="62"/>
      <c r="PX1" s="156"/>
      <c r="PY1" s="156"/>
      <c r="PZ1" s="156"/>
      <c r="QA1" s="156"/>
      <c r="QB1" s="194">
        <f>PG1+1</f>
        <v>25</v>
      </c>
      <c r="QC1" s="60"/>
      <c r="QD1" s="60"/>
      <c r="QE1" s="155"/>
      <c r="QF1" s="156"/>
      <c r="QG1" s="154"/>
      <c r="QH1" s="62"/>
      <c r="QI1" s="62"/>
      <c r="QJ1" s="62"/>
      <c r="QK1" s="156"/>
      <c r="QL1" s="156"/>
      <c r="QM1" s="154"/>
      <c r="QN1" s="62"/>
      <c r="QO1" s="62"/>
      <c r="QP1" s="62"/>
      <c r="QQ1" s="62"/>
      <c r="QR1" s="62"/>
      <c r="QS1" s="156"/>
      <c r="QT1" s="156"/>
      <c r="QU1" s="156"/>
      <c r="QV1" s="156"/>
      <c r="QW1" s="194">
        <f>QB1+1</f>
        <v>26</v>
      </c>
      <c r="QX1" s="60"/>
      <c r="QY1" s="60"/>
      <c r="QZ1" s="155"/>
      <c r="RA1" s="156"/>
      <c r="RB1" s="154"/>
      <c r="RC1" s="62"/>
      <c r="RD1" s="62"/>
      <c r="RE1" s="62"/>
      <c r="RF1" s="156"/>
      <c r="RG1" s="156"/>
      <c r="RH1" s="154"/>
      <c r="RI1" s="62"/>
      <c r="RJ1" s="62"/>
      <c r="RK1" s="62"/>
      <c r="RL1" s="62"/>
      <c r="RM1" s="62"/>
      <c r="RN1" s="156"/>
      <c r="RO1" s="156"/>
      <c r="RP1" s="156"/>
      <c r="RQ1" s="156"/>
      <c r="RR1" s="194">
        <f>QW1+1</f>
        <v>27</v>
      </c>
      <c r="RS1" s="60"/>
      <c r="RT1" s="60"/>
      <c r="RU1" s="155"/>
      <c r="RV1" s="156"/>
      <c r="RW1" s="154"/>
      <c r="RX1" s="62"/>
      <c r="RY1" s="62"/>
      <c r="RZ1" s="62"/>
      <c r="SA1" s="156"/>
      <c r="SB1" s="156"/>
      <c r="SC1" s="154"/>
      <c r="SD1" s="62"/>
      <c r="SE1" s="62"/>
      <c r="SF1" s="62"/>
      <c r="SG1" s="62"/>
      <c r="SH1" s="62"/>
      <c r="SI1" s="156"/>
      <c r="SJ1" s="156"/>
      <c r="SK1" s="156"/>
      <c r="SL1" s="156"/>
      <c r="SM1" s="194">
        <f>RR1+1</f>
        <v>28</v>
      </c>
      <c r="SN1" s="60"/>
      <c r="SO1" s="60"/>
      <c r="SP1" s="155"/>
      <c r="SQ1" s="156"/>
      <c r="SR1" s="154"/>
      <c r="SS1" s="62"/>
      <c r="ST1" s="62"/>
      <c r="SU1" s="62"/>
      <c r="SV1" s="156"/>
      <c r="SW1" s="156"/>
      <c r="SX1" s="154"/>
      <c r="SY1" s="62"/>
      <c r="SZ1" s="62"/>
      <c r="TA1" s="62"/>
      <c r="TB1" s="62"/>
      <c r="TC1" s="62"/>
      <c r="TD1" s="156"/>
      <c r="TE1" s="156"/>
      <c r="TF1" s="156"/>
      <c r="TG1" s="156"/>
      <c r="TH1" s="63">
        <f>SM1+1</f>
        <v>29</v>
      </c>
      <c r="TI1" s="60"/>
      <c r="TJ1" s="60"/>
      <c r="TK1" s="60"/>
      <c r="TL1" s="61"/>
      <c r="TM1" s="62"/>
      <c r="TN1" s="62"/>
      <c r="TO1" s="62"/>
      <c r="TP1" s="61"/>
      <c r="TQ1" s="61"/>
      <c r="TR1" s="62"/>
      <c r="TS1" s="62"/>
      <c r="TT1" s="62"/>
      <c r="TU1" s="61"/>
      <c r="TV1" s="61"/>
      <c r="TW1" s="61"/>
      <c r="TX1" s="61"/>
      <c r="TY1" s="63">
        <f>TH1+1</f>
        <v>30</v>
      </c>
      <c r="TZ1" s="60"/>
      <c r="UA1" s="60"/>
      <c r="UB1" s="60"/>
      <c r="UC1" s="61"/>
      <c r="UD1" s="62"/>
      <c r="UE1" s="62"/>
      <c r="UF1" s="62"/>
      <c r="UG1" s="61"/>
      <c r="UH1" s="61"/>
      <c r="UI1" s="62"/>
      <c r="UJ1" s="62"/>
      <c r="UK1" s="62"/>
      <c r="UL1" s="61"/>
      <c r="UM1" s="61"/>
      <c r="UN1" s="61"/>
      <c r="UO1" s="61"/>
      <c r="UP1" s="63">
        <f>TY1+1</f>
        <v>31</v>
      </c>
      <c r="UQ1" s="60"/>
      <c r="UR1" s="60"/>
      <c r="US1" s="60"/>
      <c r="UT1" s="61"/>
      <c r="UU1" s="62"/>
      <c r="UV1" s="62"/>
      <c r="UW1" s="62"/>
      <c r="UX1" s="61"/>
      <c r="UY1" s="61"/>
      <c r="UZ1" s="62"/>
      <c r="VA1" s="62"/>
      <c r="VB1" s="62"/>
      <c r="VC1" s="61"/>
      <c r="VD1" s="61"/>
      <c r="VE1" s="61"/>
      <c r="VF1" s="61"/>
      <c r="VG1" s="63">
        <f>UP1+1</f>
        <v>32</v>
      </c>
      <c r="VH1" s="60"/>
      <c r="VI1" s="60"/>
      <c r="VJ1" s="60"/>
      <c r="VK1" s="61"/>
      <c r="VL1" s="62"/>
      <c r="VM1" s="62"/>
      <c r="VN1" s="62"/>
      <c r="VO1" s="61"/>
      <c r="VP1" s="61"/>
      <c r="VQ1" s="62"/>
      <c r="VR1" s="62"/>
      <c r="VS1" s="62"/>
      <c r="VT1" s="61"/>
      <c r="VU1" s="61"/>
      <c r="VV1" s="61"/>
      <c r="VW1" s="61"/>
      <c r="VX1" s="63">
        <f>VG1+1</f>
        <v>33</v>
      </c>
      <c r="VY1" s="60"/>
      <c r="VZ1" s="60"/>
      <c r="WA1" s="60"/>
      <c r="WB1" s="61"/>
      <c r="WC1" s="62"/>
      <c r="WD1" s="62"/>
      <c r="WE1" s="62"/>
      <c r="WF1" s="61"/>
      <c r="WG1" s="61"/>
      <c r="WH1" s="62"/>
      <c r="WI1" s="62"/>
      <c r="WJ1" s="62"/>
      <c r="WK1" s="61"/>
      <c r="WL1" s="61"/>
      <c r="WM1" s="61"/>
      <c r="WN1" s="61"/>
    </row>
    <row r="2" spans="1:612" ht="60" customHeight="1" thickBot="1" x14ac:dyDescent="0.6">
      <c r="A2" s="140" t="s">
        <v>41</v>
      </c>
      <c r="B2" s="141" t="s">
        <v>184</v>
      </c>
      <c r="C2" s="151" t="str">
        <f ca="1">IF(CELL("contenu",INDIRECT(ADDRESS(C1,1,1,1,CELL("contenu",$B$2))))="","----",CELL("contenu",INDIRECT(ADDRESS(C1,1,1,1,CELL("contenu",$B$2)))))</f>
        <v>BEAUJARD Vianney</v>
      </c>
      <c r="D2" s="149"/>
      <c r="E2" s="149"/>
      <c r="F2" s="151"/>
      <c r="G2" s="151"/>
      <c r="H2" s="151"/>
      <c r="I2" s="149"/>
      <c r="J2" s="149"/>
      <c r="K2" s="149"/>
      <c r="L2" s="151"/>
      <c r="M2" s="151"/>
      <c r="N2" s="151"/>
      <c r="O2" s="149"/>
      <c r="P2" s="149"/>
      <c r="Q2" s="149"/>
      <c r="R2" s="149"/>
      <c r="S2" s="149"/>
      <c r="T2" s="151"/>
      <c r="U2" s="151"/>
      <c r="V2" s="151"/>
      <c r="W2" s="178"/>
      <c r="X2" s="151" t="str">
        <f ca="1">IF(CELL("contenu",INDIRECT(ADDRESS(X1,1,1,1,CELL("contenu",$B$2))))="","----",CELL("contenu",INDIRECT(ADDRESS(X1,1,1,1,CELL("contenu",$B$2)))))</f>
        <v>BERNARDOFF Simon</v>
      </c>
      <c r="Y2" s="149"/>
      <c r="Z2" s="149"/>
      <c r="AA2" s="151"/>
      <c r="AB2" s="151"/>
      <c r="AC2" s="151"/>
      <c r="AD2" s="149"/>
      <c r="AE2" s="149"/>
      <c r="AF2" s="149"/>
      <c r="AG2" s="151"/>
      <c r="AH2" s="151"/>
      <c r="AI2" s="151"/>
      <c r="AJ2" s="149"/>
      <c r="AK2" s="149"/>
      <c r="AL2" s="149"/>
      <c r="AM2" s="149"/>
      <c r="AN2" s="149"/>
      <c r="AO2" s="151"/>
      <c r="AP2" s="151"/>
      <c r="AQ2" s="151"/>
      <c r="AR2" s="178"/>
      <c r="AS2" s="151" t="str">
        <f ca="1">IF(CELL("contenu",INDIRECT(ADDRESS(AS1,1,1,1,CELL("contenu",$B$2))))="","----",CELL("contenu",INDIRECT(ADDRESS(AS1,1,1,1,CELL("contenu",$B$2)))))</f>
        <v>BERTRAND Paul</v>
      </c>
      <c r="AT2" s="149"/>
      <c r="AU2" s="149"/>
      <c r="AV2" s="151"/>
      <c r="AW2" s="151"/>
      <c r="AX2" s="151"/>
      <c r="AY2" s="149"/>
      <c r="AZ2" s="149"/>
      <c r="BA2" s="149"/>
      <c r="BB2" s="151"/>
      <c r="BC2" s="151"/>
      <c r="BD2" s="151"/>
      <c r="BE2" s="149"/>
      <c r="BF2" s="149"/>
      <c r="BG2" s="149"/>
      <c r="BH2" s="149"/>
      <c r="BI2" s="149"/>
      <c r="BJ2" s="151"/>
      <c r="BK2" s="151"/>
      <c r="BL2" s="151"/>
      <c r="BM2" s="178"/>
      <c r="BN2" s="151" t="str">
        <f ca="1">IF(CELL("contenu",INDIRECT(ADDRESS(BN1,1,1,1,CELL("contenu",$B$2))))="","----",CELL("contenu",INDIRECT(ADDRESS(BN1,1,1,1,CELL("contenu",$B$2)))))</f>
        <v>BINET Charlotte</v>
      </c>
      <c r="BO2" s="149"/>
      <c r="BP2" s="149"/>
      <c r="BQ2" s="151"/>
      <c r="BR2" s="151"/>
      <c r="BS2" s="151"/>
      <c r="BT2" s="149"/>
      <c r="BU2" s="149"/>
      <c r="BV2" s="149"/>
      <c r="BW2" s="151"/>
      <c r="BX2" s="151"/>
      <c r="BY2" s="151"/>
      <c r="BZ2" s="149"/>
      <c r="CA2" s="149"/>
      <c r="CB2" s="149"/>
      <c r="CC2" s="149"/>
      <c r="CD2" s="149"/>
      <c r="CE2" s="151"/>
      <c r="CF2" s="151"/>
      <c r="CG2" s="151"/>
      <c r="CH2" s="178"/>
      <c r="CI2" s="151" t="str">
        <f ca="1">IF(CELL("contenu",INDIRECT(ADDRESS(CI1,1,1,1,CELL("contenu",$B$2))))="","----",CELL("contenu",INDIRECT(ADDRESS(CI1,1,1,1,CELL("contenu",$B$2)))))</f>
        <v>BRAND Augustin</v>
      </c>
      <c r="CJ2" s="149"/>
      <c r="CK2" s="149"/>
      <c r="CL2" s="151"/>
      <c r="CM2" s="151"/>
      <c r="CN2" s="151"/>
      <c r="CO2" s="149"/>
      <c r="CP2" s="149"/>
      <c r="CQ2" s="149"/>
      <c r="CR2" s="151"/>
      <c r="CS2" s="151"/>
      <c r="CT2" s="151"/>
      <c r="CU2" s="149"/>
      <c r="CV2" s="149"/>
      <c r="CW2" s="149"/>
      <c r="CX2" s="149"/>
      <c r="CY2" s="149"/>
      <c r="CZ2" s="151"/>
      <c r="DA2" s="151"/>
      <c r="DB2" s="151"/>
      <c r="DC2" s="178"/>
      <c r="DD2" s="151" t="str">
        <f ca="1">IF(CELL("contenu",INDIRECT(ADDRESS(DD1,1,1,1,CELL("contenu",$B$2))))="","----",CELL("contenu",INDIRECT(ADDRESS(DD1,1,1,1,CELL("contenu",$B$2)))))</f>
        <v>BRUN Hinatea</v>
      </c>
      <c r="DE2" s="149"/>
      <c r="DF2" s="149"/>
      <c r="DG2" s="151"/>
      <c r="DH2" s="151"/>
      <c r="DI2" s="151"/>
      <c r="DJ2" s="149"/>
      <c r="DK2" s="149"/>
      <c r="DL2" s="149"/>
      <c r="DM2" s="151"/>
      <c r="DN2" s="151"/>
      <c r="DO2" s="151"/>
      <c r="DP2" s="149"/>
      <c r="DQ2" s="149"/>
      <c r="DR2" s="149"/>
      <c r="DS2" s="149"/>
      <c r="DT2" s="149"/>
      <c r="DU2" s="151"/>
      <c r="DV2" s="151"/>
      <c r="DW2" s="151"/>
      <c r="DX2" s="178"/>
      <c r="DY2" s="151" t="str">
        <f ca="1">IF(CELL("contenu",INDIRECT(ADDRESS(DY1,1,1,1,CELL("contenu",$B$2))))="","----",CELL("contenu",INDIRECT(ADDRESS(DY1,1,1,1,CELL("contenu",$B$2)))))</f>
        <v>CASELLA Alban</v>
      </c>
      <c r="DZ2" s="149"/>
      <c r="EA2" s="149"/>
      <c r="EB2" s="151"/>
      <c r="EC2" s="151"/>
      <c r="ED2" s="151"/>
      <c r="EE2" s="149"/>
      <c r="EF2" s="149"/>
      <c r="EG2" s="149"/>
      <c r="EH2" s="151"/>
      <c r="EI2" s="151"/>
      <c r="EJ2" s="151"/>
      <c r="EK2" s="149"/>
      <c r="EL2" s="149"/>
      <c r="EM2" s="149"/>
      <c r="EN2" s="149"/>
      <c r="EO2" s="149"/>
      <c r="EP2" s="151"/>
      <c r="EQ2" s="151"/>
      <c r="ER2" s="151"/>
      <c r="ES2" s="178"/>
      <c r="ET2" s="151" t="str">
        <f ca="1">IF(CELL("contenu",INDIRECT(ADDRESS(ET1,1,1,1,CELL("contenu",$B$2))))="","----",CELL("contenu",INDIRECT(ADDRESS(ET1,1,1,1,CELL("contenu",$B$2)))))</f>
        <v>CHAPELLIER Sophie</v>
      </c>
      <c r="EU2" s="149"/>
      <c r="EV2" s="149"/>
      <c r="EW2" s="151"/>
      <c r="EX2" s="151"/>
      <c r="EY2" s="151"/>
      <c r="EZ2" s="149"/>
      <c r="FA2" s="149"/>
      <c r="FB2" s="149"/>
      <c r="FC2" s="151"/>
      <c r="FD2" s="151"/>
      <c r="FE2" s="151"/>
      <c r="FF2" s="149"/>
      <c r="FG2" s="149"/>
      <c r="FH2" s="149"/>
      <c r="FI2" s="149"/>
      <c r="FJ2" s="149"/>
      <c r="FK2" s="151"/>
      <c r="FL2" s="151"/>
      <c r="FM2" s="151"/>
      <c r="FN2" s="178"/>
      <c r="FO2" s="151" t="str">
        <f ca="1">IF(CELL("contenu",INDIRECT(ADDRESS(FO1,1,1,1,CELL("contenu",$B$2))))="","----",CELL("contenu",INDIRECT(ADDRESS(FO1,1,1,1,CELL("contenu",$B$2)))))</f>
        <v>DESJARDIN Ines</v>
      </c>
      <c r="FP2" s="149"/>
      <c r="FQ2" s="149"/>
      <c r="FR2" s="151"/>
      <c r="FS2" s="151"/>
      <c r="FT2" s="151"/>
      <c r="FU2" s="149"/>
      <c r="FV2" s="149"/>
      <c r="FW2" s="149"/>
      <c r="FX2" s="151"/>
      <c r="FY2" s="151"/>
      <c r="FZ2" s="151"/>
      <c r="GA2" s="149"/>
      <c r="GB2" s="149"/>
      <c r="GC2" s="149"/>
      <c r="GD2" s="149"/>
      <c r="GE2" s="149"/>
      <c r="GF2" s="151"/>
      <c r="GG2" s="151"/>
      <c r="GH2" s="151"/>
      <c r="GI2" s="178"/>
      <c r="GJ2" s="151" t="str">
        <f ca="1">IF(CELL("contenu",INDIRECT(ADDRESS(GJ1,1,1,1,CELL("contenu",$B$2))))="","----",CELL("contenu",INDIRECT(ADDRESS(GJ1,1,1,1,CELL("contenu",$B$2)))))</f>
        <v>DINZART Lucas</v>
      </c>
      <c r="GK2" s="149"/>
      <c r="GL2" s="149"/>
      <c r="GM2" s="151"/>
      <c r="GN2" s="151"/>
      <c r="GO2" s="151"/>
      <c r="GP2" s="149"/>
      <c r="GQ2" s="149"/>
      <c r="GR2" s="149"/>
      <c r="GS2" s="151"/>
      <c r="GT2" s="151"/>
      <c r="GU2" s="151"/>
      <c r="GV2" s="149"/>
      <c r="GW2" s="149"/>
      <c r="GX2" s="149"/>
      <c r="GY2" s="149"/>
      <c r="GZ2" s="149"/>
      <c r="HA2" s="151"/>
      <c r="HB2" s="151"/>
      <c r="HC2" s="151"/>
      <c r="HD2" s="178"/>
      <c r="HE2" s="151" t="str">
        <f ca="1">IF(CELL("contenu",INDIRECT(ADDRESS(HE1,1,1,1,CELL("contenu",$B$2))))="","----",CELL("contenu",INDIRECT(ADDRESS(HE1,1,1,1,CELL("contenu",$B$2)))))</f>
        <v>GATINE Bertrand</v>
      </c>
      <c r="HF2" s="149"/>
      <c r="HG2" s="149"/>
      <c r="HH2" s="151"/>
      <c r="HI2" s="151"/>
      <c r="HJ2" s="151"/>
      <c r="HK2" s="149"/>
      <c r="HL2" s="149"/>
      <c r="HM2" s="149"/>
      <c r="HN2" s="151"/>
      <c r="HO2" s="151"/>
      <c r="HP2" s="151"/>
      <c r="HQ2" s="149"/>
      <c r="HR2" s="149"/>
      <c r="HS2" s="149"/>
      <c r="HT2" s="149"/>
      <c r="HU2" s="149"/>
      <c r="HV2" s="151"/>
      <c r="HW2" s="151"/>
      <c r="HX2" s="151"/>
      <c r="HY2" s="178"/>
      <c r="HZ2" s="151" t="str">
        <f ca="1">IF(CELL("contenu",INDIRECT(ADDRESS(HZ1,1,1,1,CELL("contenu",$B$2))))="","----",CELL("contenu",INDIRECT(ADDRESS(HZ1,1,1,1,CELL("contenu",$B$2)))))</f>
        <v>GLEISBERG Margaux</v>
      </c>
      <c r="IA2" s="149"/>
      <c r="IB2" s="149"/>
      <c r="IC2" s="151"/>
      <c r="ID2" s="151"/>
      <c r="IE2" s="151"/>
      <c r="IF2" s="149"/>
      <c r="IG2" s="149"/>
      <c r="IH2" s="149"/>
      <c r="II2" s="151"/>
      <c r="IJ2" s="151"/>
      <c r="IK2" s="151"/>
      <c r="IL2" s="149"/>
      <c r="IM2" s="149"/>
      <c r="IN2" s="149"/>
      <c r="IO2" s="149"/>
      <c r="IP2" s="149"/>
      <c r="IQ2" s="151"/>
      <c r="IR2" s="151"/>
      <c r="IS2" s="151"/>
      <c r="IT2" s="178"/>
      <c r="IU2" s="151" t="str">
        <f ca="1">IF(CELL("contenu",INDIRECT(ADDRESS(IU1,1,1,1,CELL("contenu",$B$2))))="","----",CELL("contenu",INDIRECT(ADDRESS(IU1,1,1,1,CELL("contenu",$B$2)))))</f>
        <v>HEINTZ Claire</v>
      </c>
      <c r="IV2" s="149"/>
      <c r="IW2" s="149"/>
      <c r="IX2" s="151"/>
      <c r="IY2" s="151"/>
      <c r="IZ2" s="151"/>
      <c r="JA2" s="149"/>
      <c r="JB2" s="149"/>
      <c r="JC2" s="149"/>
      <c r="JD2" s="151"/>
      <c r="JE2" s="151"/>
      <c r="JF2" s="151"/>
      <c r="JG2" s="149"/>
      <c r="JH2" s="149"/>
      <c r="JI2" s="149"/>
      <c r="JJ2" s="149"/>
      <c r="JK2" s="149"/>
      <c r="JL2" s="151"/>
      <c r="JM2" s="151"/>
      <c r="JN2" s="151"/>
      <c r="JO2" s="178"/>
      <c r="JP2" s="151" t="str">
        <f ca="1">IF(CELL("contenu",INDIRECT(ADDRESS(JP1,1,1,1,CELL("contenu",$B$2))))="","----",CELL("contenu",INDIRECT(ADDRESS(JP1,1,1,1,CELL("contenu",$B$2)))))</f>
        <v>HUE Domitille</v>
      </c>
      <c r="JQ2" s="149"/>
      <c r="JR2" s="149"/>
      <c r="JS2" s="151"/>
      <c r="JT2" s="151"/>
      <c r="JU2" s="151"/>
      <c r="JV2" s="149"/>
      <c r="JW2" s="149"/>
      <c r="JX2" s="149"/>
      <c r="JY2" s="151"/>
      <c r="JZ2" s="151"/>
      <c r="KA2" s="151"/>
      <c r="KB2" s="149"/>
      <c r="KC2" s="149"/>
      <c r="KD2" s="149"/>
      <c r="KE2" s="149"/>
      <c r="KF2" s="149"/>
      <c r="KG2" s="151"/>
      <c r="KH2" s="151"/>
      <c r="KI2" s="151"/>
      <c r="KJ2" s="178"/>
      <c r="KK2" s="151" t="str">
        <f ca="1">IF(CELL("contenu",INDIRECT(ADDRESS(KK1,1,1,1,CELL("contenu",$B$2))))="","----",CELL("contenu",INDIRECT(ADDRESS(KK1,1,1,1,CELL("contenu",$B$2)))))</f>
        <v>LALLEMENT Claire</v>
      </c>
      <c r="KL2" s="149"/>
      <c r="KM2" s="149"/>
      <c r="KN2" s="151"/>
      <c r="KO2" s="151"/>
      <c r="KP2" s="151"/>
      <c r="KQ2" s="149"/>
      <c r="KR2" s="149"/>
      <c r="KS2" s="149"/>
      <c r="KT2" s="151"/>
      <c r="KU2" s="151"/>
      <c r="KV2" s="151"/>
      <c r="KW2" s="149"/>
      <c r="KX2" s="149"/>
      <c r="KY2" s="149"/>
      <c r="KZ2" s="149"/>
      <c r="LA2" s="149"/>
      <c r="LB2" s="151"/>
      <c r="LC2" s="151"/>
      <c r="LD2" s="151"/>
      <c r="LE2" s="178"/>
      <c r="LF2" s="151" t="str">
        <f ca="1">IF(CELL("contenu",INDIRECT(ADDRESS(LF1,1,1,1,CELL("contenu",$B$2))))="","----",CELL("contenu",INDIRECT(ADDRESS(LF1,1,1,1,CELL("contenu",$B$2)))))</f>
        <v>LE CLEZIO Victoria</v>
      </c>
      <c r="LG2" s="149"/>
      <c r="LH2" s="149"/>
      <c r="LI2" s="151"/>
      <c r="LJ2" s="151"/>
      <c r="LK2" s="151"/>
      <c r="LL2" s="149"/>
      <c r="LM2" s="149"/>
      <c r="LN2" s="149"/>
      <c r="LO2" s="151"/>
      <c r="LP2" s="151"/>
      <c r="LQ2" s="151"/>
      <c r="LR2" s="149"/>
      <c r="LS2" s="149"/>
      <c r="LT2" s="149"/>
      <c r="LU2" s="149"/>
      <c r="LV2" s="149"/>
      <c r="LW2" s="151"/>
      <c r="LX2" s="151"/>
      <c r="LY2" s="151"/>
      <c r="LZ2" s="178"/>
      <c r="MA2" s="151" t="str">
        <f ca="1">IF(CELL("contenu",INDIRECT(ADDRESS(MA1,1,1,1,CELL("contenu",$B$2))))="","----",CELL("contenu",INDIRECT(ADDRESS(MA1,1,1,1,CELL("contenu",$B$2)))))</f>
        <v>MARCHAND Clotilde</v>
      </c>
      <c r="MB2" s="149"/>
      <c r="MC2" s="149"/>
      <c r="MD2" s="151"/>
      <c r="ME2" s="151"/>
      <c r="MF2" s="151"/>
      <c r="MG2" s="149"/>
      <c r="MH2" s="149"/>
      <c r="MI2" s="149"/>
      <c r="MJ2" s="151"/>
      <c r="MK2" s="151"/>
      <c r="ML2" s="151"/>
      <c r="MM2" s="149"/>
      <c r="MN2" s="149"/>
      <c r="MO2" s="149"/>
      <c r="MP2" s="149"/>
      <c r="MQ2" s="149"/>
      <c r="MR2" s="151"/>
      <c r="MS2" s="151"/>
      <c r="MT2" s="151"/>
      <c r="MU2" s="178"/>
      <c r="MV2" s="151" t="str">
        <f ca="1">IF(CELL("contenu",INDIRECT(ADDRESS(MV1,1,1,1,CELL("contenu",$B$2))))="","----",CELL("contenu",INDIRECT(ADDRESS(MV1,1,1,1,CELL("contenu",$B$2)))))</f>
        <v>MAROIS Clotilde</v>
      </c>
      <c r="MW2" s="149"/>
      <c r="MX2" s="149"/>
      <c r="MY2" s="151"/>
      <c r="MZ2" s="151"/>
      <c r="NA2" s="151"/>
      <c r="NB2" s="149"/>
      <c r="NC2" s="149"/>
      <c r="ND2" s="149"/>
      <c r="NE2" s="151"/>
      <c r="NF2" s="151"/>
      <c r="NG2" s="151"/>
      <c r="NH2" s="149"/>
      <c r="NI2" s="149"/>
      <c r="NJ2" s="149"/>
      <c r="NK2" s="149"/>
      <c r="NL2" s="149"/>
      <c r="NM2" s="151"/>
      <c r="NN2" s="151"/>
      <c r="NO2" s="151"/>
      <c r="NP2" s="178"/>
      <c r="NQ2" s="151" t="str">
        <f ca="1">IF(CELL("contenu",INDIRECT(ADDRESS(NQ1,1,1,1,CELL("contenu",$B$2))))="","----",CELL("contenu",INDIRECT(ADDRESS(NQ1,1,1,1,CELL("contenu",$B$2)))))</f>
        <v>PERROTIN Guillemette</v>
      </c>
      <c r="NR2" s="149"/>
      <c r="NS2" s="149"/>
      <c r="NT2" s="151"/>
      <c r="NU2" s="151"/>
      <c r="NV2" s="151"/>
      <c r="NW2" s="149"/>
      <c r="NX2" s="149"/>
      <c r="NY2" s="149"/>
      <c r="NZ2" s="151"/>
      <c r="OA2" s="151"/>
      <c r="OB2" s="151"/>
      <c r="OC2" s="149"/>
      <c r="OD2" s="149"/>
      <c r="OE2" s="149"/>
      <c r="OF2" s="149"/>
      <c r="OG2" s="149"/>
      <c r="OH2" s="151"/>
      <c r="OI2" s="151"/>
      <c r="OJ2" s="151"/>
      <c r="OK2" s="178"/>
      <c r="OL2" s="151" t="str">
        <f ca="1">IF(CELL("contenu",INDIRECT(ADDRESS(OL1,1,1,1,CELL("contenu",$B$2))))="","----",CELL("contenu",INDIRECT(ADDRESS(OL1,1,1,1,CELL("contenu",$B$2)))))</f>
        <v>PESCHARD Anne-Fleur</v>
      </c>
      <c r="OM2" s="149"/>
      <c r="ON2" s="149"/>
      <c r="OO2" s="151"/>
      <c r="OP2" s="151"/>
      <c r="OQ2" s="151"/>
      <c r="OR2" s="149"/>
      <c r="OS2" s="149"/>
      <c r="OT2" s="149"/>
      <c r="OU2" s="151"/>
      <c r="OV2" s="151"/>
      <c r="OW2" s="151"/>
      <c r="OX2" s="149"/>
      <c r="OY2" s="149"/>
      <c r="OZ2" s="149"/>
      <c r="PA2" s="149"/>
      <c r="PB2" s="149"/>
      <c r="PC2" s="151"/>
      <c r="PD2" s="151"/>
      <c r="PE2" s="151"/>
      <c r="PF2" s="178"/>
      <c r="PG2" s="151" t="str">
        <f ca="1">IF(CELL("contenu",INDIRECT(ADDRESS(PG1,1,1,1,CELL("contenu",$B$2))))="","----",CELL("contenu",INDIRECT(ADDRESS(PG1,1,1,1,CELL("contenu",$B$2)))))</f>
        <v>PICARD Camille</v>
      </c>
      <c r="PH2" s="149"/>
      <c r="PI2" s="149"/>
      <c r="PJ2" s="151"/>
      <c r="PK2" s="151"/>
      <c r="PL2" s="151"/>
      <c r="PM2" s="149"/>
      <c r="PN2" s="149"/>
      <c r="PO2" s="149"/>
      <c r="PP2" s="151"/>
      <c r="PQ2" s="151"/>
      <c r="PR2" s="151"/>
      <c r="PS2" s="149"/>
      <c r="PT2" s="149"/>
      <c r="PU2" s="149"/>
      <c r="PV2" s="149"/>
      <c r="PW2" s="149"/>
      <c r="PX2" s="151"/>
      <c r="PY2" s="151"/>
      <c r="PZ2" s="151"/>
      <c r="QA2" s="178"/>
      <c r="QB2" s="151" t="str">
        <f ca="1">IF(CELL("contenu",INDIRECT(ADDRESS(QB1,1,1,1,CELL("contenu",$B$2))))="","----",CELL("contenu",INDIRECT(ADDRESS(QB1,1,1,1,CELL("contenu",$B$2)))))</f>
        <v>PINCON--LACHAUD Jeanne</v>
      </c>
      <c r="QC2" s="149"/>
      <c r="QD2" s="149"/>
      <c r="QE2" s="151"/>
      <c r="QF2" s="151"/>
      <c r="QG2" s="151"/>
      <c r="QH2" s="149"/>
      <c r="QI2" s="149"/>
      <c r="QJ2" s="149"/>
      <c r="QK2" s="151"/>
      <c r="QL2" s="151"/>
      <c r="QM2" s="151"/>
      <c r="QN2" s="149"/>
      <c r="QO2" s="149"/>
      <c r="QP2" s="149"/>
      <c r="QQ2" s="149"/>
      <c r="QR2" s="149"/>
      <c r="QS2" s="151"/>
      <c r="QT2" s="151"/>
      <c r="QU2" s="151"/>
      <c r="QV2" s="178"/>
      <c r="QW2" s="151" t="str">
        <f ca="1">IF(CELL("contenu",INDIRECT(ADDRESS(QW1,1,1,1,CELL("contenu",$B$2))))="","----",CELL("contenu",INDIRECT(ADDRESS(QW1,1,1,1,CELL("contenu",$B$2)))))</f>
        <v>ROQUETA Clement</v>
      </c>
      <c r="QX2" s="149"/>
      <c r="QY2" s="149"/>
      <c r="QZ2" s="151"/>
      <c r="RA2" s="151"/>
      <c r="RB2" s="151"/>
      <c r="RC2" s="149"/>
      <c r="RD2" s="149"/>
      <c r="RE2" s="149"/>
      <c r="RF2" s="151"/>
      <c r="RG2" s="151"/>
      <c r="RH2" s="151"/>
      <c r="RI2" s="149"/>
      <c r="RJ2" s="149"/>
      <c r="RK2" s="149"/>
      <c r="RL2" s="149"/>
      <c r="RM2" s="149"/>
      <c r="RN2" s="151"/>
      <c r="RO2" s="151"/>
      <c r="RP2" s="151"/>
      <c r="RQ2" s="178"/>
      <c r="RR2" s="151" t="str">
        <f ca="1">IF(CELL("contenu",INDIRECT(ADDRESS(RR1,1,1,1,CELL("contenu",$B$2))))="","----",CELL("contenu",INDIRECT(ADDRESS(RR1,1,1,1,CELL("contenu",$B$2)))))</f>
        <v>VIRLOUVET Ines</v>
      </c>
      <c r="RS2" s="149"/>
      <c r="RT2" s="149"/>
      <c r="RU2" s="151"/>
      <c r="RV2" s="151"/>
      <c r="RW2" s="151"/>
      <c r="RX2" s="149"/>
      <c r="RY2" s="149"/>
      <c r="RZ2" s="149"/>
      <c r="SA2" s="151"/>
      <c r="SB2" s="151"/>
      <c r="SC2" s="151"/>
      <c r="SD2" s="149"/>
      <c r="SE2" s="149"/>
      <c r="SF2" s="149"/>
      <c r="SG2" s="149"/>
      <c r="SH2" s="149"/>
      <c r="SI2" s="151"/>
      <c r="SJ2" s="151"/>
      <c r="SK2" s="151"/>
      <c r="SL2" s="178"/>
      <c r="SM2" s="151" t="str">
        <f ca="1">IF(CELL("contenu",INDIRECT(ADDRESS(SM1,1,1,1,CELL("contenu",$B$2))))="","----",CELL("contenu",INDIRECT(ADDRESS(SM1,1,1,1,CELL("contenu",$B$2)))))</f>
        <v>YAZID Ilian</v>
      </c>
      <c r="SN2" s="149"/>
      <c r="SO2" s="149"/>
      <c r="SP2" s="151"/>
      <c r="SQ2" s="151"/>
      <c r="SR2" s="151"/>
      <c r="SS2" s="149"/>
      <c r="ST2" s="149"/>
      <c r="SU2" s="149"/>
      <c r="SV2" s="151"/>
      <c r="SW2" s="151"/>
      <c r="SX2" s="151"/>
      <c r="SY2" s="149"/>
      <c r="SZ2" s="149"/>
      <c r="TA2" s="149"/>
      <c r="TB2" s="149"/>
      <c r="TC2" s="149"/>
      <c r="TD2" s="151"/>
      <c r="TE2" s="151"/>
      <c r="TF2" s="151"/>
      <c r="TG2" s="178"/>
      <c r="TH2" s="65" t="str">
        <f ca="1">IF(CELL("contenu",INDIRECT(ADDRESS(TH1,1,1,1,CELL("contenu",$B$2))))="","----",CELL("contenu",INDIRECT(ADDRESS(TH1,1,1,1,CELL("contenu",$B$2)))))</f>
        <v>----</v>
      </c>
      <c r="TI2" s="65"/>
      <c r="TJ2" s="65"/>
      <c r="TK2" s="65"/>
      <c r="TL2" s="65"/>
      <c r="TM2" s="65"/>
      <c r="TN2" s="65"/>
      <c r="TO2" s="65"/>
      <c r="TP2" s="65"/>
      <c r="TQ2" s="65"/>
      <c r="TR2" s="65"/>
      <c r="TS2" s="65"/>
      <c r="TT2" s="65"/>
      <c r="TU2" s="65"/>
      <c r="TV2" s="65"/>
      <c r="TW2" s="65"/>
      <c r="TX2" s="66"/>
      <c r="TY2" s="65" t="str">
        <f ca="1">IF(CELL("contenu",INDIRECT(ADDRESS(TY1,1,1,1,CELL("contenu",$B$2))))="","----",CELL("contenu",INDIRECT(ADDRESS(TY1,1,1,1,CELL("contenu",$B$2)))))</f>
        <v>----</v>
      </c>
      <c r="TZ2" s="65"/>
      <c r="UA2" s="65"/>
      <c r="UB2" s="65"/>
      <c r="UC2" s="65"/>
      <c r="UD2" s="65"/>
      <c r="UE2" s="65"/>
      <c r="UF2" s="65"/>
      <c r="UG2" s="65"/>
      <c r="UH2" s="65"/>
      <c r="UI2" s="65"/>
      <c r="UJ2" s="65"/>
      <c r="UK2" s="65"/>
      <c r="UL2" s="65"/>
      <c r="UM2" s="65"/>
      <c r="UN2" s="65"/>
      <c r="UO2" s="66"/>
      <c r="UP2" s="65" t="str">
        <f ca="1">IF(CELL("contenu",INDIRECT(ADDRESS(UP1,1,1,1,CELL("contenu",$B$2))))="","----",CELL("contenu",INDIRECT(ADDRESS(UP1,1,1,1,CELL("contenu",$B$2)))))</f>
        <v>----</v>
      </c>
      <c r="UQ2" s="65"/>
      <c r="UR2" s="65"/>
      <c r="US2" s="65"/>
      <c r="UT2" s="65"/>
      <c r="UU2" s="65"/>
      <c r="UV2" s="65"/>
      <c r="UW2" s="65"/>
      <c r="UX2" s="65"/>
      <c r="UY2" s="65"/>
      <c r="UZ2" s="65"/>
      <c r="VA2" s="65"/>
      <c r="VB2" s="65"/>
      <c r="VC2" s="65"/>
      <c r="VD2" s="65"/>
      <c r="VE2" s="65"/>
      <c r="VF2" s="66"/>
      <c r="VG2" s="65" t="str">
        <f ca="1">IF(CELL("contenu",INDIRECT(ADDRESS(VG1,1,1,1,CELL("contenu",$B$2))))="","----",CELL("contenu",INDIRECT(ADDRESS(VG1,1,1,1,CELL("contenu",$B$2)))))</f>
        <v>----</v>
      </c>
      <c r="VH2" s="65"/>
      <c r="VI2" s="65"/>
      <c r="VJ2" s="65"/>
      <c r="VK2" s="65"/>
      <c r="VL2" s="65"/>
      <c r="VM2" s="65"/>
      <c r="VN2" s="65"/>
      <c r="VO2" s="65"/>
      <c r="VP2" s="65"/>
      <c r="VQ2" s="65"/>
      <c r="VR2" s="65"/>
      <c r="VS2" s="65"/>
      <c r="VT2" s="65"/>
      <c r="VU2" s="65"/>
      <c r="VV2" s="65"/>
      <c r="VW2" s="66"/>
      <c r="VX2" s="65" t="str">
        <f ca="1">IF(CELL("contenu",INDIRECT(ADDRESS(VX1,1,1,1,CELL("contenu",$B$2))))="","----",CELL("contenu",INDIRECT(ADDRESS(VX1,1,1,1,CELL("contenu",$B$2)))))</f>
        <v>----</v>
      </c>
      <c r="VY2" s="65"/>
      <c r="VZ2" s="65"/>
      <c r="WA2" s="65"/>
      <c r="WB2" s="65"/>
      <c r="WC2" s="65"/>
      <c r="WD2" s="65"/>
      <c r="WE2" s="65"/>
      <c r="WF2" s="65"/>
      <c r="WG2" s="65"/>
      <c r="WH2" s="65"/>
      <c r="WI2" s="65"/>
      <c r="WJ2" s="65"/>
      <c r="WK2" s="65"/>
      <c r="WL2" s="65"/>
      <c r="WM2" s="65"/>
      <c r="WN2" s="66"/>
    </row>
    <row r="3" spans="1:612" ht="60" customHeight="1" thickBot="1" x14ac:dyDescent="0.6">
      <c r="A3" s="142"/>
      <c r="B3" s="143" t="s">
        <v>34</v>
      </c>
      <c r="C3" s="67" t="s">
        <v>197</v>
      </c>
      <c r="D3" s="68" t="s">
        <v>199</v>
      </c>
      <c r="E3" s="69"/>
      <c r="F3" s="157" t="s">
        <v>7</v>
      </c>
      <c r="G3" s="158"/>
      <c r="H3" s="67" t="s">
        <v>202</v>
      </c>
      <c r="I3" s="72"/>
      <c r="J3" s="69"/>
      <c r="K3" s="69"/>
      <c r="L3" s="173" t="s">
        <v>8</v>
      </c>
      <c r="M3" s="174"/>
      <c r="N3" s="67" t="s">
        <v>203</v>
      </c>
      <c r="O3" s="72" t="s">
        <v>204</v>
      </c>
      <c r="P3" s="69" t="s">
        <v>205</v>
      </c>
      <c r="Q3" s="69" t="s">
        <v>208</v>
      </c>
      <c r="R3" s="69"/>
      <c r="S3" s="69"/>
      <c r="T3" s="179" t="s">
        <v>9</v>
      </c>
      <c r="U3" s="180"/>
      <c r="V3" s="181" t="s">
        <v>10</v>
      </c>
      <c r="W3" s="182"/>
      <c r="X3" s="79" t="str">
        <f>IF(C3="","",C3)</f>
        <v>Frise atome</v>
      </c>
      <c r="Y3" s="80" t="str">
        <f>IF(D3="","",D3)</f>
        <v>Evaluation CH1 CH2</v>
      </c>
      <c r="Z3" s="81" t="str">
        <f>IF(E3="","",E3)</f>
        <v/>
      </c>
      <c r="AA3" s="157" t="s">
        <v>7</v>
      </c>
      <c r="AB3" s="158"/>
      <c r="AC3" s="82" t="str">
        <f>IF(H3="","",H3)</f>
        <v>Fiche O1/1</v>
      </c>
      <c r="AD3" s="80" t="str">
        <f>IF(I3="","",I3)</f>
        <v/>
      </c>
      <c r="AE3" s="200" t="str">
        <f>IF(J3="","",J3)</f>
        <v/>
      </c>
      <c r="AF3" s="81" t="str">
        <f>IF(K3="","",K3)</f>
        <v/>
      </c>
      <c r="AG3" s="173" t="s">
        <v>8</v>
      </c>
      <c r="AH3" s="174"/>
      <c r="AI3" s="82" t="str">
        <f t="shared" ref="AI3:AN3" si="0">IF(N3="","",N3)</f>
        <v>Fiche O2/3</v>
      </c>
      <c r="AJ3" s="80" t="str">
        <f t="shared" si="0"/>
        <v>EC</v>
      </c>
      <c r="AK3" s="200" t="str">
        <f t="shared" si="0"/>
        <v>Fiche CH3/3</v>
      </c>
      <c r="AL3" s="200" t="str">
        <f t="shared" si="0"/>
        <v>Fiche CH4/4</v>
      </c>
      <c r="AM3" s="200" t="str">
        <f t="shared" si="0"/>
        <v/>
      </c>
      <c r="AN3" s="81" t="str">
        <f t="shared" si="0"/>
        <v/>
      </c>
      <c r="AO3" s="179" t="s">
        <v>9</v>
      </c>
      <c r="AP3" s="180"/>
      <c r="AQ3" s="181" t="s">
        <v>10</v>
      </c>
      <c r="AR3" s="182"/>
      <c r="AS3" s="79" t="str">
        <f>IF(X3="","",X3)</f>
        <v>Frise atome</v>
      </c>
      <c r="AT3" s="80" t="str">
        <f>IF(Y3="","",Y3)</f>
        <v>Evaluation CH1 CH2</v>
      </c>
      <c r="AU3" s="81" t="str">
        <f>IF(Z3="","",Z3)</f>
        <v/>
      </c>
      <c r="AV3" s="157" t="s">
        <v>7</v>
      </c>
      <c r="AW3" s="158"/>
      <c r="AX3" s="82" t="str">
        <f>IF(AC3="","",AC3)</f>
        <v>Fiche O1/1</v>
      </c>
      <c r="AY3" s="80" t="str">
        <f>IF(AD3="","",AD3)</f>
        <v/>
      </c>
      <c r="AZ3" s="200" t="str">
        <f>IF(AE3="","",AE3)</f>
        <v/>
      </c>
      <c r="BA3" s="81" t="str">
        <f>IF(AF3="","",AF3)</f>
        <v/>
      </c>
      <c r="BB3" s="173" t="s">
        <v>8</v>
      </c>
      <c r="BC3" s="174"/>
      <c r="BD3" s="82" t="str">
        <f t="shared" ref="BD3:BI3" si="1">IF(AI3="","",AI3)</f>
        <v>Fiche O2/3</v>
      </c>
      <c r="BE3" s="80" t="str">
        <f t="shared" si="1"/>
        <v>EC</v>
      </c>
      <c r="BF3" s="200" t="str">
        <f t="shared" si="1"/>
        <v>Fiche CH3/3</v>
      </c>
      <c r="BG3" s="200" t="str">
        <f t="shared" si="1"/>
        <v>Fiche CH4/4</v>
      </c>
      <c r="BH3" s="200" t="str">
        <f t="shared" si="1"/>
        <v/>
      </c>
      <c r="BI3" s="81" t="str">
        <f t="shared" si="1"/>
        <v/>
      </c>
      <c r="BJ3" s="179" t="s">
        <v>9</v>
      </c>
      <c r="BK3" s="180"/>
      <c r="BL3" s="181" t="s">
        <v>10</v>
      </c>
      <c r="BM3" s="182"/>
      <c r="BN3" s="79" t="str">
        <f>IF(AS3="","",AS3)</f>
        <v>Frise atome</v>
      </c>
      <c r="BO3" s="80" t="str">
        <f>IF(AT3="","",AT3)</f>
        <v>Evaluation CH1 CH2</v>
      </c>
      <c r="BP3" s="81" t="str">
        <f>IF(AU3="","",AU3)</f>
        <v/>
      </c>
      <c r="BQ3" s="157" t="s">
        <v>7</v>
      </c>
      <c r="BR3" s="158"/>
      <c r="BS3" s="82" t="str">
        <f>IF(AX3="","",AX3)</f>
        <v>Fiche O1/1</v>
      </c>
      <c r="BT3" s="80" t="str">
        <f>IF(AY3="","",AY3)</f>
        <v/>
      </c>
      <c r="BU3" s="200" t="str">
        <f>IF(AZ3="","",AZ3)</f>
        <v/>
      </c>
      <c r="BV3" s="81" t="str">
        <f>IF(BA3="","",BA3)</f>
        <v/>
      </c>
      <c r="BW3" s="173" t="s">
        <v>8</v>
      </c>
      <c r="BX3" s="174"/>
      <c r="BY3" s="82" t="str">
        <f t="shared" ref="BY3:CD3" si="2">IF(BD3="","",BD3)</f>
        <v>Fiche O2/3</v>
      </c>
      <c r="BZ3" s="80" t="str">
        <f t="shared" si="2"/>
        <v>EC</v>
      </c>
      <c r="CA3" s="200" t="str">
        <f t="shared" si="2"/>
        <v>Fiche CH3/3</v>
      </c>
      <c r="CB3" s="200" t="str">
        <f t="shared" si="2"/>
        <v>Fiche CH4/4</v>
      </c>
      <c r="CC3" s="200" t="str">
        <f t="shared" si="2"/>
        <v/>
      </c>
      <c r="CD3" s="81" t="str">
        <f t="shared" si="2"/>
        <v/>
      </c>
      <c r="CE3" s="179" t="s">
        <v>9</v>
      </c>
      <c r="CF3" s="180"/>
      <c r="CG3" s="181" t="s">
        <v>10</v>
      </c>
      <c r="CH3" s="182"/>
      <c r="CI3" s="79" t="str">
        <f>IF(BN3="","",BN3)</f>
        <v>Frise atome</v>
      </c>
      <c r="CJ3" s="80" t="str">
        <f>IF(BO3="","",BO3)</f>
        <v>Evaluation CH1 CH2</v>
      </c>
      <c r="CK3" s="81" t="str">
        <f>IF(BP3="","",BP3)</f>
        <v/>
      </c>
      <c r="CL3" s="157" t="s">
        <v>7</v>
      </c>
      <c r="CM3" s="158"/>
      <c r="CN3" s="82" t="str">
        <f>IF(BS3="","",BS3)</f>
        <v>Fiche O1/1</v>
      </c>
      <c r="CO3" s="80" t="str">
        <f>IF(BT3="","",BT3)</f>
        <v/>
      </c>
      <c r="CP3" s="200" t="str">
        <f>IF(BU3="","",BU3)</f>
        <v/>
      </c>
      <c r="CQ3" s="81" t="str">
        <f>IF(BV3="","",BV3)</f>
        <v/>
      </c>
      <c r="CR3" s="173" t="s">
        <v>8</v>
      </c>
      <c r="CS3" s="174"/>
      <c r="CT3" s="82" t="str">
        <f t="shared" ref="CT3:CY3" si="3">IF(BY3="","",BY3)</f>
        <v>Fiche O2/3</v>
      </c>
      <c r="CU3" s="80" t="str">
        <f t="shared" si="3"/>
        <v>EC</v>
      </c>
      <c r="CV3" s="200" t="str">
        <f t="shared" si="3"/>
        <v>Fiche CH3/3</v>
      </c>
      <c r="CW3" s="200" t="str">
        <f t="shared" si="3"/>
        <v>Fiche CH4/4</v>
      </c>
      <c r="CX3" s="200" t="str">
        <f t="shared" si="3"/>
        <v/>
      </c>
      <c r="CY3" s="81" t="str">
        <f t="shared" si="3"/>
        <v/>
      </c>
      <c r="CZ3" s="179" t="s">
        <v>9</v>
      </c>
      <c r="DA3" s="180"/>
      <c r="DB3" s="181" t="s">
        <v>10</v>
      </c>
      <c r="DC3" s="182"/>
      <c r="DD3" s="79" t="str">
        <f>IF(CI3="","",CI3)</f>
        <v>Frise atome</v>
      </c>
      <c r="DE3" s="80" t="str">
        <f>IF(CJ3="","",CJ3)</f>
        <v>Evaluation CH1 CH2</v>
      </c>
      <c r="DF3" s="81" t="str">
        <f>IF(CK3="","",CK3)</f>
        <v/>
      </c>
      <c r="DG3" s="157" t="s">
        <v>7</v>
      </c>
      <c r="DH3" s="158"/>
      <c r="DI3" s="82" t="str">
        <f>IF(CN3="","",CN3)</f>
        <v>Fiche O1/1</v>
      </c>
      <c r="DJ3" s="80" t="str">
        <f>IF(CO3="","",CO3)</f>
        <v/>
      </c>
      <c r="DK3" s="200" t="str">
        <f>IF(CP3="","",CP3)</f>
        <v/>
      </c>
      <c r="DL3" s="81" t="str">
        <f>IF(CQ3="","",CQ3)</f>
        <v/>
      </c>
      <c r="DM3" s="173" t="s">
        <v>8</v>
      </c>
      <c r="DN3" s="174"/>
      <c r="DO3" s="82" t="str">
        <f t="shared" ref="DO3:DT3" si="4">IF(CT3="","",CT3)</f>
        <v>Fiche O2/3</v>
      </c>
      <c r="DP3" s="80" t="str">
        <f t="shared" si="4"/>
        <v>EC</v>
      </c>
      <c r="DQ3" s="200" t="str">
        <f t="shared" si="4"/>
        <v>Fiche CH3/3</v>
      </c>
      <c r="DR3" s="200" t="str">
        <f t="shared" si="4"/>
        <v>Fiche CH4/4</v>
      </c>
      <c r="DS3" s="200" t="str">
        <f t="shared" si="4"/>
        <v/>
      </c>
      <c r="DT3" s="81" t="str">
        <f t="shared" si="4"/>
        <v/>
      </c>
      <c r="DU3" s="179" t="s">
        <v>9</v>
      </c>
      <c r="DV3" s="180"/>
      <c r="DW3" s="181" t="s">
        <v>10</v>
      </c>
      <c r="DX3" s="182"/>
      <c r="DY3" s="79" t="str">
        <f>IF(DD3="","",DD3)</f>
        <v>Frise atome</v>
      </c>
      <c r="DZ3" s="80" t="str">
        <f>IF(DE3="","",DE3)</f>
        <v>Evaluation CH1 CH2</v>
      </c>
      <c r="EA3" s="81" t="str">
        <f>IF(DF3="","",DF3)</f>
        <v/>
      </c>
      <c r="EB3" s="157" t="s">
        <v>7</v>
      </c>
      <c r="EC3" s="158"/>
      <c r="ED3" s="82" t="str">
        <f>IF(DI3="","",DI3)</f>
        <v>Fiche O1/1</v>
      </c>
      <c r="EE3" s="80" t="str">
        <f>IF(DJ3="","",DJ3)</f>
        <v/>
      </c>
      <c r="EF3" s="200" t="str">
        <f>IF(DK3="","",DK3)</f>
        <v/>
      </c>
      <c r="EG3" s="81" t="str">
        <f>IF(DL3="","",DL3)</f>
        <v/>
      </c>
      <c r="EH3" s="173" t="s">
        <v>8</v>
      </c>
      <c r="EI3" s="174"/>
      <c r="EJ3" s="82" t="str">
        <f t="shared" ref="EJ3:EO3" si="5">IF(DO3="","",DO3)</f>
        <v>Fiche O2/3</v>
      </c>
      <c r="EK3" s="80" t="str">
        <f t="shared" si="5"/>
        <v>EC</v>
      </c>
      <c r="EL3" s="200" t="str">
        <f t="shared" si="5"/>
        <v>Fiche CH3/3</v>
      </c>
      <c r="EM3" s="200" t="str">
        <f t="shared" si="5"/>
        <v>Fiche CH4/4</v>
      </c>
      <c r="EN3" s="200" t="str">
        <f t="shared" si="5"/>
        <v/>
      </c>
      <c r="EO3" s="81" t="str">
        <f t="shared" si="5"/>
        <v/>
      </c>
      <c r="EP3" s="179" t="s">
        <v>9</v>
      </c>
      <c r="EQ3" s="180"/>
      <c r="ER3" s="181" t="s">
        <v>10</v>
      </c>
      <c r="ES3" s="182"/>
      <c r="ET3" s="79" t="str">
        <f>IF(DY3="","",DY3)</f>
        <v>Frise atome</v>
      </c>
      <c r="EU3" s="80" t="str">
        <f>IF(DZ3="","",DZ3)</f>
        <v>Evaluation CH1 CH2</v>
      </c>
      <c r="EV3" s="81" t="str">
        <f>IF(EA3="","",EA3)</f>
        <v/>
      </c>
      <c r="EW3" s="157" t="s">
        <v>7</v>
      </c>
      <c r="EX3" s="158"/>
      <c r="EY3" s="82" t="str">
        <f>IF(ED3="","",ED3)</f>
        <v>Fiche O1/1</v>
      </c>
      <c r="EZ3" s="80" t="str">
        <f>IF(EE3="","",EE3)</f>
        <v/>
      </c>
      <c r="FA3" s="200" t="str">
        <f>IF(EF3="","",EF3)</f>
        <v/>
      </c>
      <c r="FB3" s="81" t="str">
        <f>IF(EG3="","",EG3)</f>
        <v/>
      </c>
      <c r="FC3" s="173" t="s">
        <v>8</v>
      </c>
      <c r="FD3" s="174"/>
      <c r="FE3" s="82" t="str">
        <f t="shared" ref="FE3:FJ3" si="6">IF(EJ3="","",EJ3)</f>
        <v>Fiche O2/3</v>
      </c>
      <c r="FF3" s="80" t="str">
        <f t="shared" si="6"/>
        <v>EC</v>
      </c>
      <c r="FG3" s="200" t="str">
        <f t="shared" si="6"/>
        <v>Fiche CH3/3</v>
      </c>
      <c r="FH3" s="200" t="str">
        <f t="shared" si="6"/>
        <v>Fiche CH4/4</v>
      </c>
      <c r="FI3" s="200" t="str">
        <f t="shared" si="6"/>
        <v/>
      </c>
      <c r="FJ3" s="81" t="str">
        <f t="shared" si="6"/>
        <v/>
      </c>
      <c r="FK3" s="179" t="s">
        <v>9</v>
      </c>
      <c r="FL3" s="180"/>
      <c r="FM3" s="181" t="s">
        <v>10</v>
      </c>
      <c r="FN3" s="182"/>
      <c r="FO3" s="79" t="str">
        <f>IF(ET3="","",ET3)</f>
        <v>Frise atome</v>
      </c>
      <c r="FP3" s="80" t="str">
        <f>IF(EU3="","",EU3)</f>
        <v>Evaluation CH1 CH2</v>
      </c>
      <c r="FQ3" s="81" t="str">
        <f>IF(EV3="","",EV3)</f>
        <v/>
      </c>
      <c r="FR3" s="157" t="s">
        <v>7</v>
      </c>
      <c r="FS3" s="158"/>
      <c r="FT3" s="82" t="str">
        <f>IF(EY3="","",EY3)</f>
        <v>Fiche O1/1</v>
      </c>
      <c r="FU3" s="80" t="str">
        <f>IF(EZ3="","",EZ3)</f>
        <v/>
      </c>
      <c r="FV3" s="200" t="str">
        <f>IF(FA3="","",FA3)</f>
        <v/>
      </c>
      <c r="FW3" s="81" t="str">
        <f>IF(FB3="","",FB3)</f>
        <v/>
      </c>
      <c r="FX3" s="173" t="s">
        <v>8</v>
      </c>
      <c r="FY3" s="174"/>
      <c r="FZ3" s="82" t="str">
        <f t="shared" ref="FZ3:GE3" si="7">IF(FE3="","",FE3)</f>
        <v>Fiche O2/3</v>
      </c>
      <c r="GA3" s="80" t="str">
        <f t="shared" si="7"/>
        <v>EC</v>
      </c>
      <c r="GB3" s="200" t="str">
        <f t="shared" si="7"/>
        <v>Fiche CH3/3</v>
      </c>
      <c r="GC3" s="200" t="str">
        <f t="shared" si="7"/>
        <v>Fiche CH4/4</v>
      </c>
      <c r="GD3" s="200" t="str">
        <f t="shared" si="7"/>
        <v/>
      </c>
      <c r="GE3" s="81" t="str">
        <f t="shared" si="7"/>
        <v/>
      </c>
      <c r="GF3" s="179" t="s">
        <v>9</v>
      </c>
      <c r="GG3" s="180"/>
      <c r="GH3" s="181" t="s">
        <v>10</v>
      </c>
      <c r="GI3" s="182"/>
      <c r="GJ3" s="79" t="str">
        <f>IF(FO3="","",FO3)</f>
        <v>Frise atome</v>
      </c>
      <c r="GK3" s="80" t="str">
        <f>IF(FP3="","",FP3)</f>
        <v>Evaluation CH1 CH2</v>
      </c>
      <c r="GL3" s="81" t="str">
        <f>IF(FQ3="","",FQ3)</f>
        <v/>
      </c>
      <c r="GM3" s="157" t="s">
        <v>7</v>
      </c>
      <c r="GN3" s="158"/>
      <c r="GO3" s="82" t="str">
        <f>IF(FT3="","",FT3)</f>
        <v>Fiche O1/1</v>
      </c>
      <c r="GP3" s="80" t="str">
        <f>IF(FU3="","",FU3)</f>
        <v/>
      </c>
      <c r="GQ3" s="200" t="str">
        <f>IF(FV3="","",FV3)</f>
        <v/>
      </c>
      <c r="GR3" s="81" t="str">
        <f>IF(FW3="","",FW3)</f>
        <v/>
      </c>
      <c r="GS3" s="173" t="s">
        <v>8</v>
      </c>
      <c r="GT3" s="174"/>
      <c r="GU3" s="82" t="str">
        <f t="shared" ref="GU3:GZ3" si="8">IF(FZ3="","",FZ3)</f>
        <v>Fiche O2/3</v>
      </c>
      <c r="GV3" s="80" t="str">
        <f t="shared" si="8"/>
        <v>EC</v>
      </c>
      <c r="GW3" s="200" t="str">
        <f t="shared" si="8"/>
        <v>Fiche CH3/3</v>
      </c>
      <c r="GX3" s="200" t="str">
        <f t="shared" si="8"/>
        <v>Fiche CH4/4</v>
      </c>
      <c r="GY3" s="200" t="str">
        <f t="shared" si="8"/>
        <v/>
      </c>
      <c r="GZ3" s="81" t="str">
        <f t="shared" si="8"/>
        <v/>
      </c>
      <c r="HA3" s="179" t="s">
        <v>9</v>
      </c>
      <c r="HB3" s="180"/>
      <c r="HC3" s="181" t="s">
        <v>10</v>
      </c>
      <c r="HD3" s="182"/>
      <c r="HE3" s="79" t="str">
        <f>IF(GJ3="","",GJ3)</f>
        <v>Frise atome</v>
      </c>
      <c r="HF3" s="80" t="str">
        <f>IF(GK3="","",GK3)</f>
        <v>Evaluation CH1 CH2</v>
      </c>
      <c r="HG3" s="81" t="str">
        <f>IF(GL3="","",GL3)</f>
        <v/>
      </c>
      <c r="HH3" s="157" t="s">
        <v>7</v>
      </c>
      <c r="HI3" s="158"/>
      <c r="HJ3" s="82" t="str">
        <f>IF(GO3="","",GO3)</f>
        <v>Fiche O1/1</v>
      </c>
      <c r="HK3" s="80" t="str">
        <f>IF(GP3="","",GP3)</f>
        <v/>
      </c>
      <c r="HL3" s="200" t="str">
        <f>IF(GQ3="","",GQ3)</f>
        <v/>
      </c>
      <c r="HM3" s="81" t="str">
        <f>IF(GR3="","",GR3)</f>
        <v/>
      </c>
      <c r="HN3" s="173" t="s">
        <v>8</v>
      </c>
      <c r="HO3" s="174"/>
      <c r="HP3" s="82" t="str">
        <f t="shared" ref="HP3:HU3" si="9">IF(GU3="","",GU3)</f>
        <v>Fiche O2/3</v>
      </c>
      <c r="HQ3" s="80" t="str">
        <f t="shared" si="9"/>
        <v>EC</v>
      </c>
      <c r="HR3" s="200" t="str">
        <f t="shared" si="9"/>
        <v>Fiche CH3/3</v>
      </c>
      <c r="HS3" s="200" t="str">
        <f t="shared" si="9"/>
        <v>Fiche CH4/4</v>
      </c>
      <c r="HT3" s="200" t="str">
        <f t="shared" si="9"/>
        <v/>
      </c>
      <c r="HU3" s="81" t="str">
        <f t="shared" si="9"/>
        <v/>
      </c>
      <c r="HV3" s="179" t="s">
        <v>9</v>
      </c>
      <c r="HW3" s="180"/>
      <c r="HX3" s="181" t="s">
        <v>10</v>
      </c>
      <c r="HY3" s="182"/>
      <c r="HZ3" s="79" t="str">
        <f>IF(HE3="","",HE3)</f>
        <v>Frise atome</v>
      </c>
      <c r="IA3" s="80" t="str">
        <f>IF(HF3="","",HF3)</f>
        <v>Evaluation CH1 CH2</v>
      </c>
      <c r="IB3" s="81" t="str">
        <f>IF(HG3="","",HG3)</f>
        <v/>
      </c>
      <c r="IC3" s="157" t="s">
        <v>7</v>
      </c>
      <c r="ID3" s="158"/>
      <c r="IE3" s="82" t="str">
        <f>IF(HJ3="","",HJ3)</f>
        <v>Fiche O1/1</v>
      </c>
      <c r="IF3" s="80" t="str">
        <f>IF(HK3="","",HK3)</f>
        <v/>
      </c>
      <c r="IG3" s="200" t="str">
        <f>IF(HL3="","",HL3)</f>
        <v/>
      </c>
      <c r="IH3" s="81" t="str">
        <f>IF(HM3="","",HM3)</f>
        <v/>
      </c>
      <c r="II3" s="173" t="s">
        <v>8</v>
      </c>
      <c r="IJ3" s="174"/>
      <c r="IK3" s="82" t="str">
        <f t="shared" ref="IK3:IP3" si="10">IF(HP3="","",HP3)</f>
        <v>Fiche O2/3</v>
      </c>
      <c r="IL3" s="80" t="str">
        <f t="shared" si="10"/>
        <v>EC</v>
      </c>
      <c r="IM3" s="200" t="str">
        <f t="shared" si="10"/>
        <v>Fiche CH3/3</v>
      </c>
      <c r="IN3" s="200" t="str">
        <f t="shared" si="10"/>
        <v>Fiche CH4/4</v>
      </c>
      <c r="IO3" s="200" t="str">
        <f t="shared" si="10"/>
        <v/>
      </c>
      <c r="IP3" s="81" t="str">
        <f t="shared" si="10"/>
        <v/>
      </c>
      <c r="IQ3" s="179" t="s">
        <v>9</v>
      </c>
      <c r="IR3" s="180"/>
      <c r="IS3" s="181" t="s">
        <v>10</v>
      </c>
      <c r="IT3" s="182"/>
      <c r="IU3" s="79" t="str">
        <f>IF(HZ3="","",HZ3)</f>
        <v>Frise atome</v>
      </c>
      <c r="IV3" s="80" t="str">
        <f>IF(IA3="","",IA3)</f>
        <v>Evaluation CH1 CH2</v>
      </c>
      <c r="IW3" s="81" t="str">
        <f>IF(IB3="","",IB3)</f>
        <v/>
      </c>
      <c r="IX3" s="157" t="s">
        <v>7</v>
      </c>
      <c r="IY3" s="158"/>
      <c r="IZ3" s="82" t="str">
        <f>IF(IE3="","",IE3)</f>
        <v>Fiche O1/1</v>
      </c>
      <c r="JA3" s="80" t="str">
        <f>IF(IF3="","",IF3)</f>
        <v/>
      </c>
      <c r="JB3" s="200" t="str">
        <f>IF(IG3="","",IG3)</f>
        <v/>
      </c>
      <c r="JC3" s="81" t="str">
        <f>IF(IH3="","",IH3)</f>
        <v/>
      </c>
      <c r="JD3" s="173" t="s">
        <v>8</v>
      </c>
      <c r="JE3" s="174"/>
      <c r="JF3" s="82" t="str">
        <f t="shared" ref="JF3:JK3" si="11">IF(IK3="","",IK3)</f>
        <v>Fiche O2/3</v>
      </c>
      <c r="JG3" s="80" t="str">
        <f t="shared" si="11"/>
        <v>EC</v>
      </c>
      <c r="JH3" s="200" t="str">
        <f t="shared" si="11"/>
        <v>Fiche CH3/3</v>
      </c>
      <c r="JI3" s="200" t="str">
        <f t="shared" si="11"/>
        <v>Fiche CH4/4</v>
      </c>
      <c r="JJ3" s="200" t="str">
        <f t="shared" si="11"/>
        <v/>
      </c>
      <c r="JK3" s="81" t="str">
        <f t="shared" si="11"/>
        <v/>
      </c>
      <c r="JL3" s="179" t="s">
        <v>9</v>
      </c>
      <c r="JM3" s="180"/>
      <c r="JN3" s="181" t="s">
        <v>10</v>
      </c>
      <c r="JO3" s="182"/>
      <c r="JP3" s="79" t="str">
        <f>IF(IU3="","",IU3)</f>
        <v>Frise atome</v>
      </c>
      <c r="JQ3" s="80" t="str">
        <f>IF(IV3="","",IV3)</f>
        <v>Evaluation CH1 CH2</v>
      </c>
      <c r="JR3" s="81" t="str">
        <f>IF(IW3="","",IW3)</f>
        <v/>
      </c>
      <c r="JS3" s="157" t="s">
        <v>7</v>
      </c>
      <c r="JT3" s="158"/>
      <c r="JU3" s="82" t="str">
        <f>IF(IZ3="","",IZ3)</f>
        <v>Fiche O1/1</v>
      </c>
      <c r="JV3" s="80" t="str">
        <f>IF(JA3="","",JA3)</f>
        <v/>
      </c>
      <c r="JW3" s="200" t="str">
        <f>IF(JB3="","",JB3)</f>
        <v/>
      </c>
      <c r="JX3" s="81" t="str">
        <f>IF(JC3="","",JC3)</f>
        <v/>
      </c>
      <c r="JY3" s="173" t="s">
        <v>8</v>
      </c>
      <c r="JZ3" s="174"/>
      <c r="KA3" s="82" t="str">
        <f t="shared" ref="KA3:KF3" si="12">IF(JF3="","",JF3)</f>
        <v>Fiche O2/3</v>
      </c>
      <c r="KB3" s="80" t="str">
        <f t="shared" si="12"/>
        <v>EC</v>
      </c>
      <c r="KC3" s="200" t="str">
        <f t="shared" si="12"/>
        <v>Fiche CH3/3</v>
      </c>
      <c r="KD3" s="200" t="str">
        <f t="shared" si="12"/>
        <v>Fiche CH4/4</v>
      </c>
      <c r="KE3" s="200" t="str">
        <f t="shared" si="12"/>
        <v/>
      </c>
      <c r="KF3" s="81" t="str">
        <f t="shared" si="12"/>
        <v/>
      </c>
      <c r="KG3" s="179" t="s">
        <v>9</v>
      </c>
      <c r="KH3" s="180"/>
      <c r="KI3" s="181" t="s">
        <v>10</v>
      </c>
      <c r="KJ3" s="182"/>
      <c r="KK3" s="79" t="str">
        <f>IF(JP3="","",JP3)</f>
        <v>Frise atome</v>
      </c>
      <c r="KL3" s="80" t="str">
        <f>IF(JQ3="","",JQ3)</f>
        <v>Evaluation CH1 CH2</v>
      </c>
      <c r="KM3" s="81" t="str">
        <f>IF(JR3="","",JR3)</f>
        <v/>
      </c>
      <c r="KN3" s="157" t="s">
        <v>7</v>
      </c>
      <c r="KO3" s="158"/>
      <c r="KP3" s="82" t="str">
        <f>IF(JU3="","",JU3)</f>
        <v>Fiche O1/1</v>
      </c>
      <c r="KQ3" s="80" t="str">
        <f>IF(JV3="","",JV3)</f>
        <v/>
      </c>
      <c r="KR3" s="200" t="str">
        <f>IF(JW3="","",JW3)</f>
        <v/>
      </c>
      <c r="KS3" s="81" t="str">
        <f>IF(JX3="","",JX3)</f>
        <v/>
      </c>
      <c r="KT3" s="173" t="s">
        <v>8</v>
      </c>
      <c r="KU3" s="174"/>
      <c r="KV3" s="82" t="str">
        <f t="shared" ref="KV3:LA3" si="13">IF(KA3="","",KA3)</f>
        <v>Fiche O2/3</v>
      </c>
      <c r="KW3" s="80" t="str">
        <f t="shared" si="13"/>
        <v>EC</v>
      </c>
      <c r="KX3" s="200" t="str">
        <f t="shared" si="13"/>
        <v>Fiche CH3/3</v>
      </c>
      <c r="KY3" s="200" t="str">
        <f t="shared" si="13"/>
        <v>Fiche CH4/4</v>
      </c>
      <c r="KZ3" s="200" t="str">
        <f t="shared" si="13"/>
        <v/>
      </c>
      <c r="LA3" s="81" t="str">
        <f t="shared" si="13"/>
        <v/>
      </c>
      <c r="LB3" s="179" t="s">
        <v>9</v>
      </c>
      <c r="LC3" s="180"/>
      <c r="LD3" s="181" t="s">
        <v>10</v>
      </c>
      <c r="LE3" s="182"/>
      <c r="LF3" s="79" t="str">
        <f>IF(KK3="","",KK3)</f>
        <v>Frise atome</v>
      </c>
      <c r="LG3" s="80" t="str">
        <f>IF(KL3="","",KL3)</f>
        <v>Evaluation CH1 CH2</v>
      </c>
      <c r="LH3" s="81" t="str">
        <f>IF(KM3="","",KM3)</f>
        <v/>
      </c>
      <c r="LI3" s="157" t="s">
        <v>7</v>
      </c>
      <c r="LJ3" s="158"/>
      <c r="LK3" s="82" t="str">
        <f>IF(KP3="","",KP3)</f>
        <v>Fiche O1/1</v>
      </c>
      <c r="LL3" s="80" t="str">
        <f>IF(KQ3="","",KQ3)</f>
        <v/>
      </c>
      <c r="LM3" s="200" t="str">
        <f>IF(KR3="","",KR3)</f>
        <v/>
      </c>
      <c r="LN3" s="81" t="str">
        <f>IF(KS3="","",KS3)</f>
        <v/>
      </c>
      <c r="LO3" s="173" t="s">
        <v>8</v>
      </c>
      <c r="LP3" s="174"/>
      <c r="LQ3" s="82" t="str">
        <f t="shared" ref="LQ3:LV3" si="14">IF(KV3="","",KV3)</f>
        <v>Fiche O2/3</v>
      </c>
      <c r="LR3" s="80" t="str">
        <f t="shared" si="14"/>
        <v>EC</v>
      </c>
      <c r="LS3" s="200" t="str">
        <f t="shared" si="14"/>
        <v>Fiche CH3/3</v>
      </c>
      <c r="LT3" s="200" t="str">
        <f t="shared" si="14"/>
        <v>Fiche CH4/4</v>
      </c>
      <c r="LU3" s="200" t="str">
        <f t="shared" si="14"/>
        <v/>
      </c>
      <c r="LV3" s="81" t="str">
        <f t="shared" si="14"/>
        <v/>
      </c>
      <c r="LW3" s="179" t="s">
        <v>9</v>
      </c>
      <c r="LX3" s="180"/>
      <c r="LY3" s="181" t="s">
        <v>10</v>
      </c>
      <c r="LZ3" s="182"/>
      <c r="MA3" s="79" t="str">
        <f>IF(LF3="","",LF3)</f>
        <v>Frise atome</v>
      </c>
      <c r="MB3" s="80" t="str">
        <f>IF(LG3="","",LG3)</f>
        <v>Evaluation CH1 CH2</v>
      </c>
      <c r="MC3" s="81" t="str">
        <f>IF(LH3="","",LH3)</f>
        <v/>
      </c>
      <c r="MD3" s="157" t="s">
        <v>7</v>
      </c>
      <c r="ME3" s="158"/>
      <c r="MF3" s="82" t="str">
        <f>IF(LK3="","",LK3)</f>
        <v>Fiche O1/1</v>
      </c>
      <c r="MG3" s="80" t="str">
        <f>IF(LL3="","",LL3)</f>
        <v/>
      </c>
      <c r="MH3" s="200" t="str">
        <f>IF(LM3="","",LM3)</f>
        <v/>
      </c>
      <c r="MI3" s="81" t="str">
        <f>IF(LN3="","",LN3)</f>
        <v/>
      </c>
      <c r="MJ3" s="173" t="s">
        <v>8</v>
      </c>
      <c r="MK3" s="174"/>
      <c r="ML3" s="82" t="str">
        <f t="shared" ref="ML3:MQ3" si="15">IF(LQ3="","",LQ3)</f>
        <v>Fiche O2/3</v>
      </c>
      <c r="MM3" s="80" t="str">
        <f t="shared" si="15"/>
        <v>EC</v>
      </c>
      <c r="MN3" s="200" t="str">
        <f t="shared" si="15"/>
        <v>Fiche CH3/3</v>
      </c>
      <c r="MO3" s="200" t="str">
        <f t="shared" si="15"/>
        <v>Fiche CH4/4</v>
      </c>
      <c r="MP3" s="200" t="str">
        <f t="shared" si="15"/>
        <v/>
      </c>
      <c r="MQ3" s="81" t="str">
        <f t="shared" si="15"/>
        <v/>
      </c>
      <c r="MR3" s="179" t="s">
        <v>9</v>
      </c>
      <c r="MS3" s="180"/>
      <c r="MT3" s="181" t="s">
        <v>10</v>
      </c>
      <c r="MU3" s="182"/>
      <c r="MV3" s="79" t="str">
        <f>IF(MA3="","",MA3)</f>
        <v>Frise atome</v>
      </c>
      <c r="MW3" s="80" t="str">
        <f>IF(MB3="","",MB3)</f>
        <v>Evaluation CH1 CH2</v>
      </c>
      <c r="MX3" s="81" t="str">
        <f>IF(MC3="","",MC3)</f>
        <v/>
      </c>
      <c r="MY3" s="157" t="s">
        <v>7</v>
      </c>
      <c r="MZ3" s="158"/>
      <c r="NA3" s="82" t="str">
        <f>IF(MF3="","",MF3)</f>
        <v>Fiche O1/1</v>
      </c>
      <c r="NB3" s="80" t="str">
        <f>IF(MG3="","",MG3)</f>
        <v/>
      </c>
      <c r="NC3" s="200" t="str">
        <f>IF(MH3="","",MH3)</f>
        <v/>
      </c>
      <c r="ND3" s="81" t="str">
        <f>IF(MI3="","",MI3)</f>
        <v/>
      </c>
      <c r="NE3" s="173" t="s">
        <v>8</v>
      </c>
      <c r="NF3" s="174"/>
      <c r="NG3" s="82" t="str">
        <f t="shared" ref="NG3:NL3" si="16">IF(ML3="","",ML3)</f>
        <v>Fiche O2/3</v>
      </c>
      <c r="NH3" s="80" t="str">
        <f t="shared" si="16"/>
        <v>EC</v>
      </c>
      <c r="NI3" s="200" t="str">
        <f t="shared" si="16"/>
        <v>Fiche CH3/3</v>
      </c>
      <c r="NJ3" s="200" t="str">
        <f t="shared" si="16"/>
        <v>Fiche CH4/4</v>
      </c>
      <c r="NK3" s="200" t="str">
        <f t="shared" si="16"/>
        <v/>
      </c>
      <c r="NL3" s="81" t="str">
        <f t="shared" si="16"/>
        <v/>
      </c>
      <c r="NM3" s="179" t="s">
        <v>9</v>
      </c>
      <c r="NN3" s="180"/>
      <c r="NO3" s="181" t="s">
        <v>10</v>
      </c>
      <c r="NP3" s="182"/>
      <c r="NQ3" s="79" t="str">
        <f>IF(MV3="","",MV3)</f>
        <v>Frise atome</v>
      </c>
      <c r="NR3" s="80" t="str">
        <f>IF(MW3="","",MW3)</f>
        <v>Evaluation CH1 CH2</v>
      </c>
      <c r="NS3" s="81" t="str">
        <f>IF(MX3="","",MX3)</f>
        <v/>
      </c>
      <c r="NT3" s="157" t="s">
        <v>7</v>
      </c>
      <c r="NU3" s="158"/>
      <c r="NV3" s="82" t="str">
        <f>IF(NA3="","",NA3)</f>
        <v>Fiche O1/1</v>
      </c>
      <c r="NW3" s="80" t="str">
        <f>IF(NB3="","",NB3)</f>
        <v/>
      </c>
      <c r="NX3" s="200" t="str">
        <f>IF(NC3="","",NC3)</f>
        <v/>
      </c>
      <c r="NY3" s="81" t="str">
        <f>IF(ND3="","",ND3)</f>
        <v/>
      </c>
      <c r="NZ3" s="173" t="s">
        <v>8</v>
      </c>
      <c r="OA3" s="174"/>
      <c r="OB3" s="82" t="str">
        <f t="shared" ref="OB3:OG3" si="17">IF(NG3="","",NG3)</f>
        <v>Fiche O2/3</v>
      </c>
      <c r="OC3" s="80" t="str">
        <f t="shared" si="17"/>
        <v>EC</v>
      </c>
      <c r="OD3" s="200" t="str">
        <f t="shared" si="17"/>
        <v>Fiche CH3/3</v>
      </c>
      <c r="OE3" s="200" t="str">
        <f t="shared" si="17"/>
        <v>Fiche CH4/4</v>
      </c>
      <c r="OF3" s="200" t="str">
        <f t="shared" si="17"/>
        <v/>
      </c>
      <c r="OG3" s="81" t="str">
        <f t="shared" si="17"/>
        <v/>
      </c>
      <c r="OH3" s="179" t="s">
        <v>9</v>
      </c>
      <c r="OI3" s="180"/>
      <c r="OJ3" s="181" t="s">
        <v>10</v>
      </c>
      <c r="OK3" s="182"/>
      <c r="OL3" s="79" t="str">
        <f>IF(NQ3="","",NQ3)</f>
        <v>Frise atome</v>
      </c>
      <c r="OM3" s="80" t="str">
        <f>IF(NR3="","",NR3)</f>
        <v>Evaluation CH1 CH2</v>
      </c>
      <c r="ON3" s="81" t="str">
        <f>IF(NS3="","",NS3)</f>
        <v/>
      </c>
      <c r="OO3" s="157" t="s">
        <v>7</v>
      </c>
      <c r="OP3" s="158"/>
      <c r="OQ3" s="82" t="str">
        <f>IF(NV3="","",NV3)</f>
        <v>Fiche O1/1</v>
      </c>
      <c r="OR3" s="80" t="str">
        <f>IF(NW3="","",NW3)</f>
        <v/>
      </c>
      <c r="OS3" s="200" t="str">
        <f>IF(NX3="","",NX3)</f>
        <v/>
      </c>
      <c r="OT3" s="81" t="str">
        <f>IF(NY3="","",NY3)</f>
        <v/>
      </c>
      <c r="OU3" s="173" t="s">
        <v>8</v>
      </c>
      <c r="OV3" s="174"/>
      <c r="OW3" s="82" t="str">
        <f t="shared" ref="OW3:PB3" si="18">IF(OB3="","",OB3)</f>
        <v>Fiche O2/3</v>
      </c>
      <c r="OX3" s="80" t="str">
        <f t="shared" si="18"/>
        <v>EC</v>
      </c>
      <c r="OY3" s="200" t="str">
        <f t="shared" si="18"/>
        <v>Fiche CH3/3</v>
      </c>
      <c r="OZ3" s="200" t="str">
        <f t="shared" si="18"/>
        <v>Fiche CH4/4</v>
      </c>
      <c r="PA3" s="200" t="str">
        <f t="shared" si="18"/>
        <v/>
      </c>
      <c r="PB3" s="81" t="str">
        <f t="shared" si="18"/>
        <v/>
      </c>
      <c r="PC3" s="179" t="s">
        <v>9</v>
      </c>
      <c r="PD3" s="180"/>
      <c r="PE3" s="181" t="s">
        <v>10</v>
      </c>
      <c r="PF3" s="182"/>
      <c r="PG3" s="79" t="str">
        <f>IF(OL3="","",OL3)</f>
        <v>Frise atome</v>
      </c>
      <c r="PH3" s="80" t="str">
        <f>IF(OM3="","",OM3)</f>
        <v>Evaluation CH1 CH2</v>
      </c>
      <c r="PI3" s="81" t="str">
        <f>IF(ON3="","",ON3)</f>
        <v/>
      </c>
      <c r="PJ3" s="157" t="s">
        <v>7</v>
      </c>
      <c r="PK3" s="158"/>
      <c r="PL3" s="82" t="str">
        <f>IF(OQ3="","",OQ3)</f>
        <v>Fiche O1/1</v>
      </c>
      <c r="PM3" s="80" t="str">
        <f>IF(OR3="","",OR3)</f>
        <v/>
      </c>
      <c r="PN3" s="200" t="str">
        <f>IF(OS3="","",OS3)</f>
        <v/>
      </c>
      <c r="PO3" s="81" t="str">
        <f>IF(OT3="","",OT3)</f>
        <v/>
      </c>
      <c r="PP3" s="173" t="s">
        <v>8</v>
      </c>
      <c r="PQ3" s="174"/>
      <c r="PR3" s="82" t="str">
        <f t="shared" ref="PR3:PW3" si="19">IF(OW3="","",OW3)</f>
        <v>Fiche O2/3</v>
      </c>
      <c r="PS3" s="80" t="str">
        <f t="shared" si="19"/>
        <v>EC</v>
      </c>
      <c r="PT3" s="200" t="str">
        <f t="shared" si="19"/>
        <v>Fiche CH3/3</v>
      </c>
      <c r="PU3" s="200" t="str">
        <f t="shared" si="19"/>
        <v>Fiche CH4/4</v>
      </c>
      <c r="PV3" s="200" t="str">
        <f t="shared" si="19"/>
        <v/>
      </c>
      <c r="PW3" s="81" t="str">
        <f t="shared" si="19"/>
        <v/>
      </c>
      <c r="PX3" s="179" t="s">
        <v>9</v>
      </c>
      <c r="PY3" s="180"/>
      <c r="PZ3" s="181" t="s">
        <v>10</v>
      </c>
      <c r="QA3" s="182"/>
      <c r="QB3" s="79" t="str">
        <f>IF(PG3="","",PG3)</f>
        <v>Frise atome</v>
      </c>
      <c r="QC3" s="80" t="str">
        <f>IF(PH3="","",PH3)</f>
        <v>Evaluation CH1 CH2</v>
      </c>
      <c r="QD3" s="81" t="str">
        <f>IF(PI3="","",PI3)</f>
        <v/>
      </c>
      <c r="QE3" s="157" t="s">
        <v>7</v>
      </c>
      <c r="QF3" s="158"/>
      <c r="QG3" s="82" t="str">
        <f>IF(PL3="","",PL3)</f>
        <v>Fiche O1/1</v>
      </c>
      <c r="QH3" s="80" t="str">
        <f>IF(PM3="","",PM3)</f>
        <v/>
      </c>
      <c r="QI3" s="200" t="str">
        <f>IF(PN3="","",PN3)</f>
        <v/>
      </c>
      <c r="QJ3" s="81" t="str">
        <f>IF(PO3="","",PO3)</f>
        <v/>
      </c>
      <c r="QK3" s="173" t="s">
        <v>8</v>
      </c>
      <c r="QL3" s="174"/>
      <c r="QM3" s="82" t="str">
        <f t="shared" ref="QM3:QR3" si="20">IF(PR3="","",PR3)</f>
        <v>Fiche O2/3</v>
      </c>
      <c r="QN3" s="80" t="str">
        <f t="shared" si="20"/>
        <v>EC</v>
      </c>
      <c r="QO3" s="200" t="str">
        <f t="shared" si="20"/>
        <v>Fiche CH3/3</v>
      </c>
      <c r="QP3" s="200" t="str">
        <f t="shared" si="20"/>
        <v>Fiche CH4/4</v>
      </c>
      <c r="QQ3" s="200" t="str">
        <f t="shared" si="20"/>
        <v/>
      </c>
      <c r="QR3" s="81" t="str">
        <f t="shared" si="20"/>
        <v/>
      </c>
      <c r="QS3" s="179" t="s">
        <v>9</v>
      </c>
      <c r="QT3" s="180"/>
      <c r="QU3" s="181" t="s">
        <v>10</v>
      </c>
      <c r="QV3" s="182"/>
      <c r="QW3" s="79" t="str">
        <f>IF(QB3="","",QB3)</f>
        <v>Frise atome</v>
      </c>
      <c r="QX3" s="80" t="str">
        <f>IF(QC3="","",QC3)</f>
        <v>Evaluation CH1 CH2</v>
      </c>
      <c r="QY3" s="81" t="str">
        <f>IF(QD3="","",QD3)</f>
        <v/>
      </c>
      <c r="QZ3" s="157" t="s">
        <v>7</v>
      </c>
      <c r="RA3" s="158"/>
      <c r="RB3" s="82" t="str">
        <f>IF(QG3="","",QG3)</f>
        <v>Fiche O1/1</v>
      </c>
      <c r="RC3" s="80" t="str">
        <f>IF(QH3="","",QH3)</f>
        <v/>
      </c>
      <c r="RD3" s="200" t="str">
        <f>IF(QI3="","",QI3)</f>
        <v/>
      </c>
      <c r="RE3" s="81" t="str">
        <f>IF(QJ3="","",QJ3)</f>
        <v/>
      </c>
      <c r="RF3" s="173" t="s">
        <v>8</v>
      </c>
      <c r="RG3" s="174"/>
      <c r="RH3" s="82" t="str">
        <f t="shared" ref="RH3:RM3" si="21">IF(QM3="","",QM3)</f>
        <v>Fiche O2/3</v>
      </c>
      <c r="RI3" s="80" t="str">
        <f t="shared" si="21"/>
        <v>EC</v>
      </c>
      <c r="RJ3" s="200" t="str">
        <f t="shared" si="21"/>
        <v>Fiche CH3/3</v>
      </c>
      <c r="RK3" s="200" t="str">
        <f t="shared" si="21"/>
        <v>Fiche CH4/4</v>
      </c>
      <c r="RL3" s="200" t="str">
        <f t="shared" si="21"/>
        <v/>
      </c>
      <c r="RM3" s="81" t="str">
        <f t="shared" si="21"/>
        <v/>
      </c>
      <c r="RN3" s="179" t="s">
        <v>9</v>
      </c>
      <c r="RO3" s="180"/>
      <c r="RP3" s="181" t="s">
        <v>10</v>
      </c>
      <c r="RQ3" s="182"/>
      <c r="RR3" s="79" t="str">
        <f>IF(QW3="","",QW3)</f>
        <v>Frise atome</v>
      </c>
      <c r="RS3" s="80" t="str">
        <f>IF(QX3="","",QX3)</f>
        <v>Evaluation CH1 CH2</v>
      </c>
      <c r="RT3" s="81" t="str">
        <f>IF(QY3="","",QY3)</f>
        <v/>
      </c>
      <c r="RU3" s="157" t="s">
        <v>7</v>
      </c>
      <c r="RV3" s="158"/>
      <c r="RW3" s="82" t="str">
        <f>IF(RB3="","",RB3)</f>
        <v>Fiche O1/1</v>
      </c>
      <c r="RX3" s="80" t="str">
        <f>IF(RC3="","",RC3)</f>
        <v/>
      </c>
      <c r="RY3" s="200" t="str">
        <f>IF(RD3="","",RD3)</f>
        <v/>
      </c>
      <c r="RZ3" s="81" t="str">
        <f>IF(RE3="","",RE3)</f>
        <v/>
      </c>
      <c r="SA3" s="173" t="s">
        <v>8</v>
      </c>
      <c r="SB3" s="174"/>
      <c r="SC3" s="82" t="str">
        <f t="shared" ref="SC3:SH3" si="22">IF(RH3="","",RH3)</f>
        <v>Fiche O2/3</v>
      </c>
      <c r="SD3" s="80" t="str">
        <f t="shared" si="22"/>
        <v>EC</v>
      </c>
      <c r="SE3" s="200" t="str">
        <f t="shared" si="22"/>
        <v>Fiche CH3/3</v>
      </c>
      <c r="SF3" s="200" t="str">
        <f t="shared" si="22"/>
        <v>Fiche CH4/4</v>
      </c>
      <c r="SG3" s="200" t="str">
        <f t="shared" si="22"/>
        <v/>
      </c>
      <c r="SH3" s="81" t="str">
        <f t="shared" si="22"/>
        <v/>
      </c>
      <c r="SI3" s="179" t="s">
        <v>9</v>
      </c>
      <c r="SJ3" s="180"/>
      <c r="SK3" s="181" t="s">
        <v>10</v>
      </c>
      <c r="SL3" s="182"/>
      <c r="SM3" s="79" t="str">
        <f>IF(RR3="","",RR3)</f>
        <v>Frise atome</v>
      </c>
      <c r="SN3" s="80" t="str">
        <f>IF(RS3="","",RS3)</f>
        <v>Evaluation CH1 CH2</v>
      </c>
      <c r="SO3" s="81" t="str">
        <f>IF(RT3="","",RT3)</f>
        <v/>
      </c>
      <c r="SP3" s="157" t="s">
        <v>7</v>
      </c>
      <c r="SQ3" s="158"/>
      <c r="SR3" s="82" t="str">
        <f>IF(RW3="","",RW3)</f>
        <v>Fiche O1/1</v>
      </c>
      <c r="SS3" s="80" t="str">
        <f>IF(RX3="","",RX3)</f>
        <v/>
      </c>
      <c r="ST3" s="200" t="str">
        <f>IF(RY3="","",RY3)</f>
        <v/>
      </c>
      <c r="SU3" s="81" t="str">
        <f>IF(RZ3="","",RZ3)</f>
        <v/>
      </c>
      <c r="SV3" s="173" t="s">
        <v>8</v>
      </c>
      <c r="SW3" s="174"/>
      <c r="SX3" s="82" t="str">
        <f t="shared" ref="SX3:TC3" si="23">IF(SC3="","",SC3)</f>
        <v>Fiche O2/3</v>
      </c>
      <c r="SY3" s="80" t="str">
        <f t="shared" si="23"/>
        <v>EC</v>
      </c>
      <c r="SZ3" s="200" t="str">
        <f t="shared" si="23"/>
        <v>Fiche CH3/3</v>
      </c>
      <c r="TA3" s="200" t="str">
        <f t="shared" si="23"/>
        <v>Fiche CH4/4</v>
      </c>
      <c r="TB3" s="200" t="str">
        <f t="shared" si="23"/>
        <v/>
      </c>
      <c r="TC3" s="81" t="str">
        <f t="shared" si="23"/>
        <v/>
      </c>
      <c r="TD3" s="179" t="s">
        <v>9</v>
      </c>
      <c r="TE3" s="180"/>
      <c r="TF3" s="181" t="s">
        <v>10</v>
      </c>
      <c r="TG3" s="182"/>
      <c r="TH3" s="79" t="str">
        <f>IF(SM3="","",SM3)</f>
        <v>Frise atome</v>
      </c>
      <c r="TI3" s="80" t="str">
        <f>IF(SN3="","",SN3)</f>
        <v>Evaluation CH1 CH2</v>
      </c>
      <c r="TJ3" s="81" t="str">
        <f>IF(SO3="","",SO3)</f>
        <v/>
      </c>
      <c r="TK3" s="70" t="s">
        <v>7</v>
      </c>
      <c r="TL3" s="71"/>
      <c r="TM3" s="82" t="str">
        <f>IF(SR3="","",SR3)</f>
        <v>Fiche O1/1</v>
      </c>
      <c r="TN3" s="80" t="str">
        <f>IF(SS3="","",SS3)</f>
        <v/>
      </c>
      <c r="TO3" s="81" t="str">
        <f>IF(SU3="","",SU3)</f>
        <v/>
      </c>
      <c r="TP3" s="73" t="s">
        <v>8</v>
      </c>
      <c r="TQ3" s="74"/>
      <c r="TR3" s="82" t="str">
        <f>IF(SX3="","",SX3)</f>
        <v>Fiche O2/3</v>
      </c>
      <c r="TS3" s="80" t="str">
        <f>IF(SY3="","",SY3)</f>
        <v>EC</v>
      </c>
      <c r="TT3" s="81" t="str">
        <f>IF(TC3="","",TC3)</f>
        <v/>
      </c>
      <c r="TU3" s="75" t="s">
        <v>9</v>
      </c>
      <c r="TV3" s="76"/>
      <c r="TW3" s="77" t="s">
        <v>10</v>
      </c>
      <c r="TX3" s="78"/>
      <c r="TY3" s="79" t="str">
        <f>IF(TH3="","",TH3)</f>
        <v>Frise atome</v>
      </c>
      <c r="TZ3" s="80" t="str">
        <f>IF(TI3="","",TI3)</f>
        <v>Evaluation CH1 CH2</v>
      </c>
      <c r="UA3" s="81" t="str">
        <f>IF(TJ3="","",TJ3)</f>
        <v/>
      </c>
      <c r="UB3" s="70" t="s">
        <v>7</v>
      </c>
      <c r="UC3" s="71"/>
      <c r="UD3" s="82" t="str">
        <f>IF(TM3="","",TM3)</f>
        <v>Fiche O1/1</v>
      </c>
      <c r="UE3" s="80" t="str">
        <f>IF(TN3="","",TN3)</f>
        <v/>
      </c>
      <c r="UF3" s="81" t="str">
        <f>IF(TO3="","",TO3)</f>
        <v/>
      </c>
      <c r="UG3" s="73" t="s">
        <v>8</v>
      </c>
      <c r="UH3" s="74"/>
      <c r="UI3" s="82" t="str">
        <f>IF(TR3="","",TR3)</f>
        <v>Fiche O2/3</v>
      </c>
      <c r="UJ3" s="80" t="str">
        <f>IF(TS3="","",TS3)</f>
        <v>EC</v>
      </c>
      <c r="UK3" s="81" t="str">
        <f>IF(TT3="","",TT3)</f>
        <v/>
      </c>
      <c r="UL3" s="75" t="s">
        <v>9</v>
      </c>
      <c r="UM3" s="76"/>
      <c r="UN3" s="77" t="s">
        <v>10</v>
      </c>
      <c r="UO3" s="78"/>
      <c r="UP3" s="79" t="str">
        <f>IF(TY3="","",TY3)</f>
        <v>Frise atome</v>
      </c>
      <c r="UQ3" s="80" t="str">
        <f>IF(TZ3="","",TZ3)</f>
        <v>Evaluation CH1 CH2</v>
      </c>
      <c r="UR3" s="81" t="str">
        <f>IF(UA3="","",UA3)</f>
        <v/>
      </c>
      <c r="US3" s="70" t="s">
        <v>7</v>
      </c>
      <c r="UT3" s="71"/>
      <c r="UU3" s="82" t="str">
        <f>IF(UD3="","",UD3)</f>
        <v>Fiche O1/1</v>
      </c>
      <c r="UV3" s="80" t="str">
        <f>IF(UE3="","",UE3)</f>
        <v/>
      </c>
      <c r="UW3" s="81" t="str">
        <f>IF(UF3="","",UF3)</f>
        <v/>
      </c>
      <c r="UX3" s="73" t="s">
        <v>8</v>
      </c>
      <c r="UY3" s="74"/>
      <c r="UZ3" s="82" t="str">
        <f>IF(UI3="","",UI3)</f>
        <v>Fiche O2/3</v>
      </c>
      <c r="VA3" s="80" t="str">
        <f>IF(UJ3="","",UJ3)</f>
        <v>EC</v>
      </c>
      <c r="VB3" s="81" t="str">
        <f>IF(UK3="","",UK3)</f>
        <v/>
      </c>
      <c r="VC3" s="75" t="s">
        <v>9</v>
      </c>
      <c r="VD3" s="76"/>
      <c r="VE3" s="77" t="s">
        <v>10</v>
      </c>
      <c r="VF3" s="78"/>
      <c r="VG3" s="79" t="str">
        <f>IF(UP3="","",UP3)</f>
        <v>Frise atome</v>
      </c>
      <c r="VH3" s="80" t="str">
        <f>IF(UQ3="","",UQ3)</f>
        <v>Evaluation CH1 CH2</v>
      </c>
      <c r="VI3" s="81" t="str">
        <f>IF(UR3="","",UR3)</f>
        <v/>
      </c>
      <c r="VJ3" s="70" t="s">
        <v>7</v>
      </c>
      <c r="VK3" s="71"/>
      <c r="VL3" s="82" t="str">
        <f>IF(UU3="","",UU3)</f>
        <v>Fiche O1/1</v>
      </c>
      <c r="VM3" s="80" t="str">
        <f>IF(UV3="","",UV3)</f>
        <v/>
      </c>
      <c r="VN3" s="81" t="str">
        <f>IF(UW3="","",UW3)</f>
        <v/>
      </c>
      <c r="VO3" s="73" t="s">
        <v>8</v>
      </c>
      <c r="VP3" s="74"/>
      <c r="VQ3" s="82" t="str">
        <f>IF(UZ3="","",UZ3)</f>
        <v>Fiche O2/3</v>
      </c>
      <c r="VR3" s="80" t="str">
        <f>IF(VA3="","",VA3)</f>
        <v>EC</v>
      </c>
      <c r="VS3" s="81" t="str">
        <f>IF(VB3="","",VB3)</f>
        <v/>
      </c>
      <c r="VT3" s="75" t="s">
        <v>9</v>
      </c>
      <c r="VU3" s="76"/>
      <c r="VV3" s="77" t="s">
        <v>10</v>
      </c>
      <c r="VW3" s="78"/>
      <c r="VX3" s="79" t="str">
        <f>IF(VG3="","",VG3)</f>
        <v>Frise atome</v>
      </c>
      <c r="VY3" s="80" t="str">
        <f>IF(VH3="","",VH3)</f>
        <v>Evaluation CH1 CH2</v>
      </c>
      <c r="VZ3" s="81" t="str">
        <f>IF(VI3="","",VI3)</f>
        <v/>
      </c>
      <c r="WA3" s="70" t="s">
        <v>7</v>
      </c>
      <c r="WB3" s="71"/>
      <c r="WC3" s="82" t="str">
        <f>IF(VL3="","",VL3)</f>
        <v>Fiche O1/1</v>
      </c>
      <c r="WD3" s="80" t="str">
        <f>IF(VM3="","",VM3)</f>
        <v/>
      </c>
      <c r="WE3" s="81" t="str">
        <f>IF(VN3="","",VN3)</f>
        <v/>
      </c>
      <c r="WF3" s="73" t="s">
        <v>8</v>
      </c>
      <c r="WG3" s="74"/>
      <c r="WH3" s="82" t="str">
        <f>IF(VQ3="","",VQ3)</f>
        <v>Fiche O2/3</v>
      </c>
      <c r="WI3" s="80" t="str">
        <f>IF(VR3="","",VR3)</f>
        <v>EC</v>
      </c>
      <c r="WJ3" s="81" t="str">
        <f>IF(VS3="","",VS3)</f>
        <v/>
      </c>
      <c r="WK3" s="75" t="s">
        <v>9</v>
      </c>
      <c r="WL3" s="76"/>
      <c r="WM3" s="77" t="s">
        <v>10</v>
      </c>
      <c r="WN3" s="78"/>
    </row>
    <row r="4" spans="1:612" s="95" customFormat="1" ht="30" customHeight="1" thickBot="1" x14ac:dyDescent="0.6">
      <c r="A4" s="144" t="s">
        <v>11</v>
      </c>
      <c r="B4" s="83">
        <v>2</v>
      </c>
      <c r="C4" s="152"/>
      <c r="D4" s="65"/>
      <c r="E4" s="85"/>
      <c r="F4" s="159">
        <f>IF(COUNT(F5:F9)=0,"",SUM(F5:F9)/COUNT(F5:F9))</f>
        <v>2.25</v>
      </c>
      <c r="G4" s="160" t="str">
        <f t="shared" ref="G4:G21" si="24">IF(F4="","",IF(F4&gt;3.7,"A",IF(F4&gt;2.8,"B",IF(F4&gt;1.5,"C",IF(F4&gt;0,"D",IF(F4=0,""))))))</f>
        <v>C</v>
      </c>
      <c r="H4" s="152"/>
      <c r="I4" s="65"/>
      <c r="J4" s="65"/>
      <c r="K4" s="85"/>
      <c r="L4" s="159">
        <f>IF(COUNT(L5:L9)=0,"",SUM(L5:L9)/COUNT(L5:L9))</f>
        <v>4</v>
      </c>
      <c r="M4" s="175" t="str">
        <f t="shared" ref="M4:M21" si="25">IF(L4="","",IF(L4&gt;3.7,"A",IF(L4&gt;2.8,"B",IF(L4&gt;1.5,"C",IF(L4&gt;0,"D",IF(L4=0,""))))))</f>
        <v>A</v>
      </c>
      <c r="N4" s="153"/>
      <c r="O4" s="90"/>
      <c r="P4" s="90"/>
      <c r="Q4" s="90"/>
      <c r="R4" s="90"/>
      <c r="S4" s="91"/>
      <c r="T4" s="159">
        <f>IF(COUNT(T5:T9)=0,"",SUM(T5:T9)/COUNT(T5:T9))</f>
        <v>2.4375</v>
      </c>
      <c r="U4" s="183" t="str">
        <f t="shared" ref="U4:U21" si="26">IF(T4="","",IF(T4&gt;3.7,"A",IF(T4&gt;2.8,"B",IF(T4&gt;1.5,"C",IF(T4&gt;0,"D",IF(T4=0,""))))))</f>
        <v>C</v>
      </c>
      <c r="V4" s="184">
        <f>IF(COUNT(V5:V9)=0,"",SUM(V5:V9)/COUNT(V5:V9))</f>
        <v>2.71875</v>
      </c>
      <c r="W4" s="185" t="str">
        <f t="shared" ref="W4:W21" si="27">IF(V4="","",IF(V4&gt;3.7,"A",IF(V4&gt;2.8,"B",IF(V4&gt;1.5,"C",IF(V4&gt;0,"D",IF(V4=0,""))))))</f>
        <v>C</v>
      </c>
      <c r="X4" s="152"/>
      <c r="Y4" s="65"/>
      <c r="Z4" s="85"/>
      <c r="AA4" s="159">
        <f>IF(COUNT(AA5:AA9)=0,"",SUM(AA5:AA9)/COUNT(AA5:AA9))</f>
        <v>2</v>
      </c>
      <c r="AB4" s="160" t="str">
        <f t="shared" ref="AB4:AB21" si="28">IF(AA4="","",IF(AA4&gt;3.7,"A",IF(AA4&gt;2.8,"B",IF(AA4&gt;1.5,"C",IF(AA4&gt;0,"D",IF(AA4=0,""))))))</f>
        <v>C</v>
      </c>
      <c r="AC4" s="152"/>
      <c r="AD4" s="65"/>
      <c r="AE4" s="65"/>
      <c r="AF4" s="85"/>
      <c r="AG4" s="159">
        <f>IF(COUNT(AG5:AG9)=0,"",SUM(AG5:AG9)/COUNT(AG5:AG9))</f>
        <v>1</v>
      </c>
      <c r="AH4" s="175" t="str">
        <f t="shared" ref="AH4:AH21" si="29">IF(AG4="","",IF(AG4&gt;3.7,"A",IF(AG4&gt;2.8,"B",IF(AG4&gt;1.5,"C",IF(AG4&gt;0,"D",IF(AG4=0,""))))))</f>
        <v>D</v>
      </c>
      <c r="AI4" s="153"/>
      <c r="AJ4" s="90"/>
      <c r="AK4" s="90"/>
      <c r="AL4" s="90"/>
      <c r="AM4" s="90"/>
      <c r="AN4" s="91"/>
      <c r="AO4" s="159">
        <f>IF(COUNT(AO5:AO9)=0,"",SUM(AO5:AO9)/COUNT(AO5:AO9))</f>
        <v>2.625</v>
      </c>
      <c r="AP4" s="183" t="str">
        <f t="shared" ref="AP4:AP21" si="30">IF(AO4="","",IF(AO4&gt;3.7,"A",IF(AO4&gt;2.8,"B",IF(AO4&gt;1.5,"C",IF(AO4&gt;0,"D",IF(AO4=0,""))))))</f>
        <v>C</v>
      </c>
      <c r="AQ4" s="184">
        <f>IF(COUNT(AQ5:AQ9)=0,"",SUM(AQ5:AQ9)/COUNT(AQ5:AQ9))</f>
        <v>2.375</v>
      </c>
      <c r="AR4" s="185" t="str">
        <f t="shared" ref="AR4:AR21" si="31">IF(AQ4="","",IF(AQ4&gt;3.7,"A",IF(AQ4&gt;2.8,"B",IF(AQ4&gt;1.5,"C",IF(AQ4&gt;0,"D",IF(AQ4=0,""))))))</f>
        <v>C</v>
      </c>
      <c r="AS4" s="152"/>
      <c r="AT4" s="65"/>
      <c r="AU4" s="85"/>
      <c r="AV4" s="159">
        <f>IF(COUNT(AV5:AV9)=0,"",SUM(AV5:AV9)/COUNT(AV5:AV9))</f>
        <v>2</v>
      </c>
      <c r="AW4" s="160" t="str">
        <f t="shared" ref="AW4:AW21" si="32">IF(AV4="","",IF(AV4&gt;3.7,"A",IF(AV4&gt;2.8,"B",IF(AV4&gt;1.5,"C",IF(AV4&gt;0,"D",IF(AV4=0,""))))))</f>
        <v>C</v>
      </c>
      <c r="AX4" s="152"/>
      <c r="AY4" s="65"/>
      <c r="AZ4" s="65"/>
      <c r="BA4" s="85"/>
      <c r="BB4" s="159">
        <f>IF(COUNT(BB5:BB9)=0,"",SUM(BB5:BB9)/COUNT(BB5:BB9))</f>
        <v>2</v>
      </c>
      <c r="BC4" s="175" t="str">
        <f t="shared" ref="BC4:BC21" si="33">IF(BB4="","",IF(BB4&gt;3.7,"A",IF(BB4&gt;2.8,"B",IF(BB4&gt;1.5,"C",IF(BB4&gt;0,"D",IF(BB4=0,""))))))</f>
        <v>C</v>
      </c>
      <c r="BD4" s="153"/>
      <c r="BE4" s="90"/>
      <c r="BF4" s="90"/>
      <c r="BG4" s="90"/>
      <c r="BH4" s="90"/>
      <c r="BI4" s="91"/>
      <c r="BJ4" s="159">
        <f>IF(COUNT(BJ5:BJ9)=0,"",SUM(BJ5:BJ9)/COUNT(BJ5:BJ9))</f>
        <v>2.4375</v>
      </c>
      <c r="BK4" s="183" t="str">
        <f t="shared" ref="BK4:BK21" si="34">IF(BJ4="","",IF(BJ4&gt;3.7,"A",IF(BJ4&gt;2.8,"B",IF(BJ4&gt;1.5,"C",IF(BJ4&gt;0,"D",IF(BJ4=0,""))))))</f>
        <v>C</v>
      </c>
      <c r="BL4" s="184">
        <f>IF(COUNT(BL5:BL9)=0,"",SUM(BL5:BL9)/COUNT(BL5:BL9))</f>
        <v>2.34375</v>
      </c>
      <c r="BM4" s="185" t="str">
        <f t="shared" ref="BM4:BM21" si="35">IF(BL4="","",IF(BL4&gt;3.7,"A",IF(BL4&gt;2.8,"B",IF(BL4&gt;1.5,"C",IF(BL4&gt;0,"D",IF(BL4=0,""))))))</f>
        <v>C</v>
      </c>
      <c r="BN4" s="152"/>
      <c r="BO4" s="65"/>
      <c r="BP4" s="85"/>
      <c r="BQ4" s="159">
        <f>IF(COUNT(BQ5:BQ9)=0,"",SUM(BQ5:BQ9)/COUNT(BQ5:BQ9))</f>
        <v>1.5</v>
      </c>
      <c r="BR4" s="160" t="str">
        <f t="shared" ref="BR4:BR21" si="36">IF(BQ4="","",IF(BQ4&gt;3.7,"A",IF(BQ4&gt;2.8,"B",IF(BQ4&gt;1.5,"C",IF(BQ4&gt;0,"D",IF(BQ4=0,""))))))</f>
        <v>D</v>
      </c>
      <c r="BS4" s="152"/>
      <c r="BT4" s="65"/>
      <c r="BU4" s="65"/>
      <c r="BV4" s="85"/>
      <c r="BW4" s="159">
        <f>IF(COUNT(BW5:BW9)=0,"",SUM(BW5:BW9)/COUNT(BW5:BW9))</f>
        <v>3</v>
      </c>
      <c r="BX4" s="175" t="str">
        <f t="shared" ref="BX4:BX21" si="37">IF(BW4="","",IF(BW4&gt;3.7,"A",IF(BW4&gt;2.8,"B",IF(BW4&gt;1.5,"C",IF(BW4&gt;0,"D",IF(BW4=0,""))))))</f>
        <v>B</v>
      </c>
      <c r="BY4" s="153"/>
      <c r="BZ4" s="90"/>
      <c r="CA4" s="90"/>
      <c r="CB4" s="90"/>
      <c r="CC4" s="90"/>
      <c r="CD4" s="91"/>
      <c r="CE4" s="159">
        <f>IF(COUNT(CE5:CE9)=0,"",SUM(CE5:CE9)/COUNT(CE5:CE9))</f>
        <v>2.6875</v>
      </c>
      <c r="CF4" s="183" t="str">
        <f t="shared" ref="CF4:CF21" si="38">IF(CE4="","",IF(CE4&gt;3.7,"A",IF(CE4&gt;2.8,"B",IF(CE4&gt;1.5,"C",IF(CE4&gt;0,"D",IF(CE4=0,""))))))</f>
        <v>C</v>
      </c>
      <c r="CG4" s="184">
        <f>IF(COUNT(CG5:CG9)=0,"",SUM(CG5:CG9)/COUNT(CG5:CG9))</f>
        <v>2.40625</v>
      </c>
      <c r="CH4" s="185" t="str">
        <f t="shared" ref="CH4:CH21" si="39">IF(CG4="","",IF(CG4&gt;3.7,"A",IF(CG4&gt;2.8,"B",IF(CG4&gt;1.5,"C",IF(CG4&gt;0,"D",IF(CG4=0,""))))))</f>
        <v>C</v>
      </c>
      <c r="CI4" s="152"/>
      <c r="CJ4" s="65"/>
      <c r="CK4" s="85"/>
      <c r="CL4" s="159">
        <f>IF(COUNT(CL5:CL9)=0,"",SUM(CL5:CL9)/COUNT(CL5:CL9))</f>
        <v>1.75</v>
      </c>
      <c r="CM4" s="160" t="str">
        <f t="shared" ref="CM4:CM21" si="40">IF(CL4="","",IF(CL4&gt;3.7,"A",IF(CL4&gt;2.8,"B",IF(CL4&gt;1.5,"C",IF(CL4&gt;0,"D",IF(CL4=0,""))))))</f>
        <v>C</v>
      </c>
      <c r="CN4" s="152"/>
      <c r="CO4" s="65"/>
      <c r="CP4" s="65"/>
      <c r="CQ4" s="85"/>
      <c r="CR4" s="159" t="str">
        <f>IF(COUNT(CR5:CR9)=0,"",SUM(CR5:CR9)/COUNT(CR5:CR9))</f>
        <v/>
      </c>
      <c r="CS4" s="175" t="str">
        <f t="shared" ref="CS4:CS21" si="41">IF(CR4="","",IF(CR4&gt;3.7,"A",IF(CR4&gt;2.8,"B",IF(CR4&gt;1.5,"C",IF(CR4&gt;0,"D",IF(CR4=0,""))))))</f>
        <v/>
      </c>
      <c r="CT4" s="153"/>
      <c r="CU4" s="90"/>
      <c r="CV4" s="90"/>
      <c r="CW4" s="90"/>
      <c r="CX4" s="90"/>
      <c r="CY4" s="91"/>
      <c r="CZ4" s="159">
        <f>IF(COUNT(CZ5:CZ9)=0,"",SUM(CZ5:CZ9)/COUNT(CZ5:CZ9))</f>
        <v>2.3333333333333335</v>
      </c>
      <c r="DA4" s="183" t="str">
        <f t="shared" ref="DA4:DA21" si="42">IF(CZ4="","",IF(CZ4&gt;3.7,"A",IF(CZ4&gt;2.8,"B",IF(CZ4&gt;1.5,"C",IF(CZ4&gt;0,"D",IF(CZ4=0,""))))))</f>
        <v>C</v>
      </c>
      <c r="DB4" s="184">
        <f>IF(COUNT(DB5:DB9)=0,"",SUM(DB5:DB9)/COUNT(DB5:DB9))</f>
        <v>2.2708333333333335</v>
      </c>
      <c r="DC4" s="185" t="str">
        <f t="shared" ref="DC4:DC21" si="43">IF(DB4="","",IF(DB4&gt;3.7,"A",IF(DB4&gt;2.8,"B",IF(DB4&gt;1.5,"C",IF(DB4&gt;0,"D",IF(DB4=0,""))))))</f>
        <v>C</v>
      </c>
      <c r="DD4" s="152"/>
      <c r="DE4" s="65"/>
      <c r="DF4" s="85"/>
      <c r="DG4" s="159">
        <f>IF(COUNT(DG5:DG9)=0,"",SUM(DG5:DG9)/COUNT(DG5:DG9))</f>
        <v>2.5</v>
      </c>
      <c r="DH4" s="160" t="str">
        <f t="shared" ref="DH4:DH21" si="44">IF(DG4="","",IF(DG4&gt;3.7,"A",IF(DG4&gt;2.8,"B",IF(DG4&gt;1.5,"C",IF(DG4&gt;0,"D",IF(DG4=0,""))))))</f>
        <v>C</v>
      </c>
      <c r="DI4" s="152"/>
      <c r="DJ4" s="65"/>
      <c r="DK4" s="65"/>
      <c r="DL4" s="85"/>
      <c r="DM4" s="159">
        <f>IF(COUNT(DM5:DM9)=0,"",SUM(DM5:DM9)/COUNT(DM5:DM9))</f>
        <v>3</v>
      </c>
      <c r="DN4" s="175" t="str">
        <f t="shared" ref="DN4:DN21" si="45">IF(DM4="","",IF(DM4&gt;3.7,"A",IF(DM4&gt;2.8,"B",IF(DM4&gt;1.5,"C",IF(DM4&gt;0,"D",IF(DM4=0,""))))))</f>
        <v>B</v>
      </c>
      <c r="DO4" s="153"/>
      <c r="DP4" s="90"/>
      <c r="DQ4" s="90"/>
      <c r="DR4" s="90"/>
      <c r="DS4" s="90"/>
      <c r="DT4" s="91"/>
      <c r="DU4" s="159">
        <f>IF(COUNT(DU5:DU9)=0,"",SUM(DU5:DU9)/COUNT(DU5:DU9))</f>
        <v>2.8333333333333335</v>
      </c>
      <c r="DV4" s="183" t="str">
        <f t="shared" ref="DV4:DV21" si="46">IF(DU4="","",IF(DU4&gt;3.7,"A",IF(DU4&gt;2.8,"B",IF(DU4&gt;1.5,"C",IF(DU4&gt;0,"D",IF(DU4=0,""))))))</f>
        <v>B</v>
      </c>
      <c r="DW4" s="184">
        <f>IF(COUNT(DW5:DW9)=0,"",SUM(DW5:DW9)/COUNT(DW5:DW9))</f>
        <v>2.666666666666667</v>
      </c>
      <c r="DX4" s="185" t="str">
        <f t="shared" ref="DX4:DX21" si="47">IF(DW4="","",IF(DW4&gt;3.7,"A",IF(DW4&gt;2.8,"B",IF(DW4&gt;1.5,"C",IF(DW4&gt;0,"D",IF(DW4=0,""))))))</f>
        <v>C</v>
      </c>
      <c r="DY4" s="152"/>
      <c r="DZ4" s="65"/>
      <c r="EA4" s="85"/>
      <c r="EB4" s="159">
        <f>IF(COUNT(EB5:EB9)=0,"",SUM(EB5:EB9)/COUNT(EB5:EB9))</f>
        <v>2.5</v>
      </c>
      <c r="EC4" s="160" t="str">
        <f t="shared" ref="EC4:EC21" si="48">IF(EB4="","",IF(EB4&gt;3.7,"A",IF(EB4&gt;2.8,"B",IF(EB4&gt;1.5,"C",IF(EB4&gt;0,"D",IF(EB4=0,""))))))</f>
        <v>C</v>
      </c>
      <c r="ED4" s="152"/>
      <c r="EE4" s="65"/>
      <c r="EF4" s="65"/>
      <c r="EG4" s="85"/>
      <c r="EH4" s="159">
        <f>IF(COUNT(EH5:EH9)=0,"",SUM(EH5:EH9)/COUNT(EH5:EH9))</f>
        <v>2</v>
      </c>
      <c r="EI4" s="175" t="str">
        <f t="shared" ref="EI4:EI21" si="49">IF(EH4="","",IF(EH4&gt;3.7,"A",IF(EH4&gt;2.8,"B",IF(EH4&gt;1.5,"C",IF(EH4&gt;0,"D",IF(EH4=0,""))))))</f>
        <v>C</v>
      </c>
      <c r="EJ4" s="153"/>
      <c r="EK4" s="90"/>
      <c r="EL4" s="90"/>
      <c r="EM4" s="90"/>
      <c r="EN4" s="90"/>
      <c r="EO4" s="91"/>
      <c r="EP4" s="159">
        <f>IF(COUNT(EP5:EP9)=0,"",SUM(EP5:EP9)/COUNT(EP5:EP9))</f>
        <v>2.9583333333333335</v>
      </c>
      <c r="EQ4" s="183" t="str">
        <f t="shared" ref="EQ4:EQ21" si="50">IF(EP4="","",IF(EP4&gt;3.7,"A",IF(EP4&gt;2.8,"B",IF(EP4&gt;1.5,"C",IF(EP4&gt;0,"D",IF(EP4=0,""))))))</f>
        <v>B</v>
      </c>
      <c r="ER4" s="184">
        <f>IF(COUNT(ER5:ER9)=0,"",SUM(ER5:ER9)/COUNT(ER5:ER9))</f>
        <v>2.604166666666667</v>
      </c>
      <c r="ES4" s="185" t="str">
        <f t="shared" ref="ES4:ES21" si="51">IF(ER4="","",IF(ER4&gt;3.7,"A",IF(ER4&gt;2.8,"B",IF(ER4&gt;1.5,"C",IF(ER4&gt;0,"D",IF(ER4=0,""))))))</f>
        <v>C</v>
      </c>
      <c r="ET4" s="152"/>
      <c r="EU4" s="65"/>
      <c r="EV4" s="85"/>
      <c r="EW4" s="159">
        <f>IF(COUNT(EW5:EW9)=0,"",SUM(EW5:EW9)/COUNT(EW5:EW9))</f>
        <v>2</v>
      </c>
      <c r="EX4" s="160" t="str">
        <f t="shared" ref="EX4:EX21" si="52">IF(EW4="","",IF(EW4&gt;3.7,"A",IF(EW4&gt;2.8,"B",IF(EW4&gt;1.5,"C",IF(EW4&gt;0,"D",IF(EW4=0,""))))))</f>
        <v>C</v>
      </c>
      <c r="EY4" s="152"/>
      <c r="EZ4" s="65"/>
      <c r="FA4" s="65"/>
      <c r="FB4" s="85"/>
      <c r="FC4" s="159">
        <f>IF(COUNT(FC5:FC9)=0,"",SUM(FC5:FC9)/COUNT(FC5:FC9))</f>
        <v>4</v>
      </c>
      <c r="FD4" s="175" t="str">
        <f t="shared" ref="FD4:FD21" si="53">IF(FC4="","",IF(FC4&gt;3.7,"A",IF(FC4&gt;2.8,"B",IF(FC4&gt;1.5,"C",IF(FC4&gt;0,"D",IF(FC4=0,""))))))</f>
        <v>A</v>
      </c>
      <c r="FE4" s="153"/>
      <c r="FF4" s="90"/>
      <c r="FG4" s="90"/>
      <c r="FH4" s="90"/>
      <c r="FI4" s="90"/>
      <c r="FJ4" s="91"/>
      <c r="FK4" s="159">
        <f>IF(COUNT(FK5:FK9)=0,"",SUM(FK5:FK9)/COUNT(FK5:FK9))</f>
        <v>2</v>
      </c>
      <c r="FL4" s="183" t="str">
        <f t="shared" ref="FL4:FL21" si="54">IF(FK4="","",IF(FK4&gt;3.7,"A",IF(FK4&gt;2.8,"B",IF(FK4&gt;1.5,"C",IF(FK4&gt;0,"D",IF(FK4=0,""))))))</f>
        <v>C</v>
      </c>
      <c r="FM4" s="184">
        <f>IF(COUNT(FM5:FM9)=0,"",SUM(FM5:FM9)/COUNT(FM5:FM9))</f>
        <v>2.3125</v>
      </c>
      <c r="FN4" s="185" t="str">
        <f t="shared" ref="FN4:FN21" si="55">IF(FM4="","",IF(FM4&gt;3.7,"A",IF(FM4&gt;2.8,"B",IF(FM4&gt;1.5,"C",IF(FM4&gt;0,"D",IF(FM4=0,""))))))</f>
        <v>C</v>
      </c>
      <c r="FO4" s="152"/>
      <c r="FP4" s="65"/>
      <c r="FQ4" s="85"/>
      <c r="FR4" s="159">
        <f>IF(COUNT(FR5:FR9)=0,"",SUM(FR5:FR9)/COUNT(FR5:FR9))</f>
        <v>1.75</v>
      </c>
      <c r="FS4" s="160" t="str">
        <f t="shared" ref="FS4:FS21" si="56">IF(FR4="","",IF(FR4&gt;3.7,"A",IF(FR4&gt;2.8,"B",IF(FR4&gt;1.5,"C",IF(FR4&gt;0,"D",IF(FR4=0,""))))))</f>
        <v>C</v>
      </c>
      <c r="FT4" s="152"/>
      <c r="FU4" s="65"/>
      <c r="FV4" s="65"/>
      <c r="FW4" s="85"/>
      <c r="FX4" s="159">
        <f>IF(COUNT(FX5:FX9)=0,"",SUM(FX5:FX9)/COUNT(FX5:FX9))</f>
        <v>3</v>
      </c>
      <c r="FY4" s="175" t="str">
        <f t="shared" ref="FY4:FY21" si="57">IF(FX4="","",IF(FX4&gt;3.7,"A",IF(FX4&gt;2.8,"B",IF(FX4&gt;1.5,"C",IF(FX4&gt;0,"D",IF(FX4=0,""))))))</f>
        <v>B</v>
      </c>
      <c r="FZ4" s="153"/>
      <c r="GA4" s="90"/>
      <c r="GB4" s="90"/>
      <c r="GC4" s="90"/>
      <c r="GD4" s="90"/>
      <c r="GE4" s="91"/>
      <c r="GF4" s="159">
        <f>IF(COUNT(GF5:GF9)=0,"",SUM(GF5:GF9)/COUNT(GF5:GF9))</f>
        <v>1.6666666666666665</v>
      </c>
      <c r="GG4" s="183" t="str">
        <f t="shared" ref="GG4:GG21" si="58">IF(GF4="","",IF(GF4&gt;3.7,"A",IF(GF4&gt;2.8,"B",IF(GF4&gt;1.5,"C",IF(GF4&gt;0,"D",IF(GF4=0,""))))))</f>
        <v>C</v>
      </c>
      <c r="GH4" s="184">
        <f>IF(COUNT(GH5:GH9)=0,"",SUM(GH5:GH9)/COUNT(GH5:GH9))</f>
        <v>1.7708333333333333</v>
      </c>
      <c r="GI4" s="185" t="str">
        <f t="shared" ref="GI4:GI21" si="59">IF(GH4="","",IF(GH4&gt;3.7,"A",IF(GH4&gt;2.8,"B",IF(GH4&gt;1.5,"C",IF(GH4&gt;0,"D",IF(GH4=0,""))))))</f>
        <v>C</v>
      </c>
      <c r="GJ4" s="152"/>
      <c r="GK4" s="65"/>
      <c r="GL4" s="85"/>
      <c r="GM4" s="159">
        <f>IF(COUNT(GM5:GM9)=0,"",SUM(GM5:GM9)/COUNT(GM5:GM9))</f>
        <v>1.5</v>
      </c>
      <c r="GN4" s="160" t="str">
        <f t="shared" ref="GN4:GN21" si="60">IF(GM4="","",IF(GM4&gt;3.7,"A",IF(GM4&gt;2.8,"B",IF(GM4&gt;1.5,"C",IF(GM4&gt;0,"D",IF(GM4=0,""))))))</f>
        <v>D</v>
      </c>
      <c r="GO4" s="152"/>
      <c r="GP4" s="65"/>
      <c r="GQ4" s="65"/>
      <c r="GR4" s="85"/>
      <c r="GS4" s="159">
        <f>IF(COUNT(GS5:GS9)=0,"",SUM(GS5:GS9)/COUNT(GS5:GS9))</f>
        <v>2</v>
      </c>
      <c r="GT4" s="175" t="str">
        <f t="shared" ref="GT4:GT21" si="61">IF(GS4="","",IF(GS4&gt;3.7,"A",IF(GS4&gt;2.8,"B",IF(GS4&gt;1.5,"C",IF(GS4&gt;0,"D",IF(GS4=0,""))))))</f>
        <v>C</v>
      </c>
      <c r="GU4" s="153"/>
      <c r="GV4" s="90"/>
      <c r="GW4" s="90"/>
      <c r="GX4" s="90"/>
      <c r="GY4" s="90"/>
      <c r="GZ4" s="91"/>
      <c r="HA4" s="159">
        <f>IF(COUNT(HA5:HA9)=0,"",SUM(HA5:HA9)/COUNT(HA5:HA9))</f>
        <v>1.8125</v>
      </c>
      <c r="HB4" s="183" t="str">
        <f t="shared" ref="HB4:HB21" si="62">IF(HA4="","",IF(HA4&gt;3.7,"A",IF(HA4&gt;2.8,"B",IF(HA4&gt;1.5,"C",IF(HA4&gt;0,"D",IF(HA4=0,""))))))</f>
        <v>C</v>
      </c>
      <c r="HC4" s="184">
        <f>IF(COUNT(HC5:HC9)=0,"",SUM(HC5:HC9)/COUNT(HC5:HC9))</f>
        <v>1.78125</v>
      </c>
      <c r="HD4" s="185" t="str">
        <f t="shared" ref="HD4:HD21" si="63">IF(HC4="","",IF(HC4&gt;3.7,"A",IF(HC4&gt;2.8,"B",IF(HC4&gt;1.5,"C",IF(HC4&gt;0,"D",IF(HC4=0,""))))))</f>
        <v>C</v>
      </c>
      <c r="HE4" s="152"/>
      <c r="HF4" s="65"/>
      <c r="HG4" s="85"/>
      <c r="HH4" s="159">
        <f>IF(COUNT(HH5:HH9)=0,"",SUM(HH5:HH9)/COUNT(HH5:HH9))</f>
        <v>2.25</v>
      </c>
      <c r="HI4" s="160" t="str">
        <f t="shared" ref="HI4:HI21" si="64">IF(HH4="","",IF(HH4&gt;3.7,"A",IF(HH4&gt;2.8,"B",IF(HH4&gt;1.5,"C",IF(HH4&gt;0,"D",IF(HH4=0,""))))))</f>
        <v>C</v>
      </c>
      <c r="HJ4" s="152"/>
      <c r="HK4" s="65"/>
      <c r="HL4" s="65"/>
      <c r="HM4" s="85"/>
      <c r="HN4" s="159">
        <f>IF(COUNT(HN5:HN9)=0,"",SUM(HN5:HN9)/COUNT(HN5:HN9))</f>
        <v>4</v>
      </c>
      <c r="HO4" s="175" t="str">
        <f t="shared" ref="HO4:HO21" si="65">IF(HN4="","",IF(HN4&gt;3.7,"A",IF(HN4&gt;2.8,"B",IF(HN4&gt;1.5,"C",IF(HN4&gt;0,"D",IF(HN4=0,""))))))</f>
        <v>A</v>
      </c>
      <c r="HP4" s="153"/>
      <c r="HQ4" s="90"/>
      <c r="HR4" s="90"/>
      <c r="HS4" s="90"/>
      <c r="HT4" s="90"/>
      <c r="HU4" s="91"/>
      <c r="HV4" s="159">
        <f>IF(COUNT(HV5:HV9)=0,"",SUM(HV5:HV9)/COUNT(HV5:HV9))</f>
        <v>3.0416666666666665</v>
      </c>
      <c r="HW4" s="183" t="str">
        <f t="shared" ref="HW4:HW21" si="66">IF(HV4="","",IF(HV4&gt;3.7,"A",IF(HV4&gt;2.8,"B",IF(HV4&gt;1.5,"C",IF(HV4&gt;0,"D",IF(HV4=0,""))))))</f>
        <v>B</v>
      </c>
      <c r="HX4" s="184">
        <f>IF(COUNT(HX5:HX9)=0,"",SUM(HX5:HX9)/COUNT(HX5:HX9))</f>
        <v>2.958333333333333</v>
      </c>
      <c r="HY4" s="185" t="str">
        <f t="shared" ref="HY4:HY21" si="67">IF(HX4="","",IF(HX4&gt;3.7,"A",IF(HX4&gt;2.8,"B",IF(HX4&gt;1.5,"C",IF(HX4&gt;0,"D",IF(HX4=0,""))))))</f>
        <v>B</v>
      </c>
      <c r="HZ4" s="152"/>
      <c r="IA4" s="65"/>
      <c r="IB4" s="85"/>
      <c r="IC4" s="159">
        <f>IF(COUNT(IC5:IC9)=0,"",SUM(IC5:IC9)/COUNT(IC5:IC9))</f>
        <v>1.25</v>
      </c>
      <c r="ID4" s="160" t="str">
        <f t="shared" ref="ID4:ID21" si="68">IF(IC4="","",IF(IC4&gt;3.7,"A",IF(IC4&gt;2.8,"B",IF(IC4&gt;1.5,"C",IF(IC4&gt;0,"D",IF(IC4=0,""))))))</f>
        <v>D</v>
      </c>
      <c r="IE4" s="152"/>
      <c r="IF4" s="65"/>
      <c r="IG4" s="65"/>
      <c r="IH4" s="85"/>
      <c r="II4" s="159">
        <f>IF(COUNT(II5:II9)=0,"",SUM(II5:II9)/COUNT(II5:II9))</f>
        <v>1</v>
      </c>
      <c r="IJ4" s="175" t="str">
        <f t="shared" ref="IJ4:IJ21" si="69">IF(II4="","",IF(II4&gt;3.7,"A",IF(II4&gt;2.8,"B",IF(II4&gt;1.5,"C",IF(II4&gt;0,"D",IF(II4=0,""))))))</f>
        <v>D</v>
      </c>
      <c r="IK4" s="153"/>
      <c r="IL4" s="90"/>
      <c r="IM4" s="90"/>
      <c r="IN4" s="90"/>
      <c r="IO4" s="90"/>
      <c r="IP4" s="91"/>
      <c r="IQ4" s="159">
        <f>IF(COUNT(IQ5:IQ9)=0,"",SUM(IQ5:IQ9)/COUNT(IQ5:IQ9))</f>
        <v>2.625</v>
      </c>
      <c r="IR4" s="183" t="str">
        <f t="shared" ref="IR4:IR21" si="70">IF(IQ4="","",IF(IQ4&gt;3.7,"A",IF(IQ4&gt;2.8,"B",IF(IQ4&gt;1.5,"C",IF(IQ4&gt;0,"D",IF(IQ4=0,""))))))</f>
        <v>C</v>
      </c>
      <c r="IS4" s="184">
        <f>IF(COUNT(IS5:IS9)=0,"",SUM(IS5:IS9)/COUNT(IS5:IS9))</f>
        <v>2.125</v>
      </c>
      <c r="IT4" s="185" t="str">
        <f t="shared" ref="IT4:IT21" si="71">IF(IS4="","",IF(IS4&gt;3.7,"A",IF(IS4&gt;2.8,"B",IF(IS4&gt;1.5,"C",IF(IS4&gt;0,"D",IF(IS4=0,""))))))</f>
        <v>C</v>
      </c>
      <c r="IU4" s="152"/>
      <c r="IV4" s="65"/>
      <c r="IW4" s="85"/>
      <c r="IX4" s="159">
        <f>IF(COUNT(IX5:IX9)=0,"",SUM(IX5:IX9)/COUNT(IX5:IX9))</f>
        <v>2.5</v>
      </c>
      <c r="IY4" s="160" t="str">
        <f t="shared" ref="IY4:IY21" si="72">IF(IX4="","",IF(IX4&gt;3.7,"A",IF(IX4&gt;2.8,"B",IF(IX4&gt;1.5,"C",IF(IX4&gt;0,"D",IF(IX4=0,""))))))</f>
        <v>C</v>
      </c>
      <c r="IZ4" s="152"/>
      <c r="JA4" s="65"/>
      <c r="JB4" s="65"/>
      <c r="JC4" s="85"/>
      <c r="JD4" s="159">
        <f>IF(COUNT(JD5:JD9)=0,"",SUM(JD5:JD9)/COUNT(JD5:JD9))</f>
        <v>1</v>
      </c>
      <c r="JE4" s="175" t="str">
        <f t="shared" ref="JE4:JE21" si="73">IF(JD4="","",IF(JD4&gt;3.7,"A",IF(JD4&gt;2.8,"B",IF(JD4&gt;1.5,"C",IF(JD4&gt;0,"D",IF(JD4=0,""))))))</f>
        <v>D</v>
      </c>
      <c r="JF4" s="153"/>
      <c r="JG4" s="90"/>
      <c r="JH4" s="90"/>
      <c r="JI4" s="90"/>
      <c r="JJ4" s="90"/>
      <c r="JK4" s="91"/>
      <c r="JL4" s="159">
        <f>IF(COUNT(JL5:JL9)=0,"",SUM(JL5:JL9)/COUNT(JL5:JL9))</f>
        <v>2.875</v>
      </c>
      <c r="JM4" s="183" t="str">
        <f t="shared" ref="JM4:JM21" si="74">IF(JL4="","",IF(JL4&gt;3.7,"A",IF(JL4&gt;2.8,"B",IF(JL4&gt;1.5,"C",IF(JL4&gt;0,"D",IF(JL4=0,""))))))</f>
        <v>B</v>
      </c>
      <c r="JN4" s="184">
        <f>IF(COUNT(JN5:JN9)=0,"",SUM(JN5:JN9)/COUNT(JN5:JN9))</f>
        <v>2.4375</v>
      </c>
      <c r="JO4" s="185" t="str">
        <f t="shared" ref="JO4:JO21" si="75">IF(JN4="","",IF(JN4&gt;3.7,"A",IF(JN4&gt;2.8,"B",IF(JN4&gt;1.5,"C",IF(JN4&gt;0,"D",IF(JN4=0,""))))))</f>
        <v>C</v>
      </c>
      <c r="JP4" s="152"/>
      <c r="JQ4" s="65"/>
      <c r="JR4" s="85"/>
      <c r="JS4" s="159">
        <f>IF(COUNT(JS5:JS9)=0,"",SUM(JS5:JS9)/COUNT(JS5:JS9))</f>
        <v>2.5</v>
      </c>
      <c r="JT4" s="160" t="str">
        <f t="shared" ref="JT4:JT21" si="76">IF(JS4="","",IF(JS4&gt;3.7,"A",IF(JS4&gt;2.8,"B",IF(JS4&gt;1.5,"C",IF(JS4&gt;0,"D",IF(JS4=0,""))))))</f>
        <v>C</v>
      </c>
      <c r="JU4" s="152"/>
      <c r="JV4" s="65"/>
      <c r="JW4" s="65"/>
      <c r="JX4" s="85"/>
      <c r="JY4" s="159">
        <f>IF(COUNT(JY5:JY9)=0,"",SUM(JY5:JY9)/COUNT(JY5:JY9))</f>
        <v>2</v>
      </c>
      <c r="JZ4" s="175" t="str">
        <f t="shared" ref="JZ4:JZ21" si="77">IF(JY4="","",IF(JY4&gt;3.7,"A",IF(JY4&gt;2.8,"B",IF(JY4&gt;1.5,"C",IF(JY4&gt;0,"D",IF(JY4=0,""))))))</f>
        <v>C</v>
      </c>
      <c r="KA4" s="153"/>
      <c r="KB4" s="90"/>
      <c r="KC4" s="90"/>
      <c r="KD4" s="90"/>
      <c r="KE4" s="90"/>
      <c r="KF4" s="91"/>
      <c r="KG4" s="159">
        <f>IF(COUNT(KG5:KG9)=0,"",SUM(KG5:KG9)/COUNT(KG5:KG9))</f>
        <v>2.5</v>
      </c>
      <c r="KH4" s="183" t="str">
        <f t="shared" ref="KH4:KH21" si="78">IF(KG4="","",IF(KG4&gt;3.7,"A",IF(KG4&gt;2.8,"B",IF(KG4&gt;1.5,"C",IF(KG4&gt;0,"D",IF(KG4=0,""))))))</f>
        <v>C</v>
      </c>
      <c r="KI4" s="184">
        <f>IF(COUNT(KI5:KI9)=0,"",SUM(KI5:KI9)/COUNT(KI5:KI9))</f>
        <v>2.5</v>
      </c>
      <c r="KJ4" s="185" t="str">
        <f t="shared" ref="KJ4:KJ21" si="79">IF(KI4="","",IF(KI4&gt;3.7,"A",IF(KI4&gt;2.8,"B",IF(KI4&gt;1.5,"C",IF(KI4&gt;0,"D",IF(KI4=0,""))))))</f>
        <v>C</v>
      </c>
      <c r="KK4" s="152"/>
      <c r="KL4" s="65"/>
      <c r="KM4" s="85"/>
      <c r="KN4" s="159">
        <f>IF(COUNT(KN5:KN9)=0,"",SUM(KN5:KN9)/COUNT(KN5:KN9))</f>
        <v>1.75</v>
      </c>
      <c r="KO4" s="160" t="str">
        <f t="shared" ref="KO4:KO21" si="80">IF(KN4="","",IF(KN4&gt;3.7,"A",IF(KN4&gt;2.8,"B",IF(KN4&gt;1.5,"C",IF(KN4&gt;0,"D",IF(KN4=0,""))))))</f>
        <v>C</v>
      </c>
      <c r="KP4" s="152"/>
      <c r="KQ4" s="65"/>
      <c r="KR4" s="65"/>
      <c r="KS4" s="85"/>
      <c r="KT4" s="159">
        <f>IF(COUNT(KT5:KT9)=0,"",SUM(KT5:KT9)/COUNT(KT5:KT9))</f>
        <v>2</v>
      </c>
      <c r="KU4" s="175" t="str">
        <f t="shared" ref="KU4:KU21" si="81">IF(KT4="","",IF(KT4&gt;3.7,"A",IF(KT4&gt;2.8,"B",IF(KT4&gt;1.5,"C",IF(KT4&gt;0,"D",IF(KT4=0,""))))))</f>
        <v>C</v>
      </c>
      <c r="KV4" s="153"/>
      <c r="KW4" s="90"/>
      <c r="KX4" s="90"/>
      <c r="KY4" s="90"/>
      <c r="KZ4" s="90"/>
      <c r="LA4" s="91"/>
      <c r="LB4" s="159">
        <f>IF(COUNT(LB5:LB9)=0,"",SUM(LB5:LB9)/COUNT(LB5:LB9))</f>
        <v>2.75</v>
      </c>
      <c r="LC4" s="183" t="str">
        <f t="shared" ref="LC4:LC21" si="82">IF(LB4="","",IF(LB4&gt;3.7,"A",IF(LB4&gt;2.8,"B",IF(LB4&gt;1.5,"C",IF(LB4&gt;0,"D",IF(LB4=0,""))))))</f>
        <v>C</v>
      </c>
      <c r="LD4" s="184">
        <f>IF(COUNT(LD5:LD9)=0,"",SUM(LD5:LD9)/COUNT(LD5:LD9))</f>
        <v>2.375</v>
      </c>
      <c r="LE4" s="185" t="str">
        <f t="shared" ref="LE4:LE21" si="83">IF(LD4="","",IF(LD4&gt;3.7,"A",IF(LD4&gt;2.8,"B",IF(LD4&gt;1.5,"C",IF(LD4&gt;0,"D",IF(LD4=0,""))))))</f>
        <v>C</v>
      </c>
      <c r="LF4" s="152"/>
      <c r="LG4" s="65"/>
      <c r="LH4" s="85"/>
      <c r="LI4" s="159">
        <f>IF(COUNT(LI5:LI9)=0,"",SUM(LI5:LI9)/COUNT(LI5:LI9))</f>
        <v>1.25</v>
      </c>
      <c r="LJ4" s="160" t="str">
        <f t="shared" ref="LJ4:LJ21" si="84">IF(LI4="","",IF(LI4&gt;3.7,"A",IF(LI4&gt;2.8,"B",IF(LI4&gt;1.5,"C",IF(LI4&gt;0,"D",IF(LI4=0,""))))))</f>
        <v>D</v>
      </c>
      <c r="LK4" s="152"/>
      <c r="LL4" s="65"/>
      <c r="LM4" s="65"/>
      <c r="LN4" s="85"/>
      <c r="LO4" s="159">
        <f>IF(COUNT(LO5:LO9)=0,"",SUM(LO5:LO9)/COUNT(LO5:LO9))</f>
        <v>2</v>
      </c>
      <c r="LP4" s="175" t="str">
        <f t="shared" ref="LP4:LP21" si="85">IF(LO4="","",IF(LO4&gt;3.7,"A",IF(LO4&gt;2.8,"B",IF(LO4&gt;1.5,"C",IF(LO4&gt;0,"D",IF(LO4=0,""))))))</f>
        <v>C</v>
      </c>
      <c r="LQ4" s="153"/>
      <c r="LR4" s="90"/>
      <c r="LS4" s="90"/>
      <c r="LT4" s="90"/>
      <c r="LU4" s="90"/>
      <c r="LV4" s="91"/>
      <c r="LW4" s="159">
        <f>IF(COUNT(LW5:LW9)=0,"",SUM(LW5:LW9)/COUNT(LW5:LW9))</f>
        <v>1.9583333333333335</v>
      </c>
      <c r="LX4" s="183" t="str">
        <f t="shared" ref="LX4:LX21" si="86">IF(LW4="","",IF(LW4&gt;3.7,"A",IF(LW4&gt;2.8,"B",IF(LW4&gt;1.5,"C",IF(LW4&gt;0,"D",IF(LW4=0,""))))))</f>
        <v>C</v>
      </c>
      <c r="LY4" s="184">
        <f>IF(COUNT(LY5:LY9)=0,"",SUM(LY5:LY9)/COUNT(LY5:LY9))</f>
        <v>1.7916666666666667</v>
      </c>
      <c r="LZ4" s="185" t="str">
        <f t="shared" ref="LZ4:LZ21" si="87">IF(LY4="","",IF(LY4&gt;3.7,"A",IF(LY4&gt;2.8,"B",IF(LY4&gt;1.5,"C",IF(LY4&gt;0,"D",IF(LY4=0,""))))))</f>
        <v>C</v>
      </c>
      <c r="MA4" s="152"/>
      <c r="MB4" s="65"/>
      <c r="MC4" s="85"/>
      <c r="MD4" s="159">
        <f>IF(COUNT(MD5:MD9)=0,"",SUM(MD5:MD9)/COUNT(MD5:MD9))</f>
        <v>2.5</v>
      </c>
      <c r="ME4" s="160" t="str">
        <f t="shared" ref="ME4:ME21" si="88">IF(MD4="","",IF(MD4&gt;3.7,"A",IF(MD4&gt;2.8,"B",IF(MD4&gt;1.5,"C",IF(MD4&gt;0,"D",IF(MD4=0,""))))))</f>
        <v>C</v>
      </c>
      <c r="MF4" s="152"/>
      <c r="MG4" s="65"/>
      <c r="MH4" s="65"/>
      <c r="MI4" s="85"/>
      <c r="MJ4" s="159">
        <f>IF(COUNT(MJ5:MJ9)=0,"",SUM(MJ5:MJ9)/COUNT(MJ5:MJ9))</f>
        <v>2</v>
      </c>
      <c r="MK4" s="175" t="str">
        <f t="shared" ref="MK4:MK21" si="89">IF(MJ4="","",IF(MJ4&gt;3.7,"A",IF(MJ4&gt;2.8,"B",IF(MJ4&gt;1.5,"C",IF(MJ4&gt;0,"D",IF(MJ4=0,""))))))</f>
        <v>C</v>
      </c>
      <c r="ML4" s="153"/>
      <c r="MM4" s="90"/>
      <c r="MN4" s="90"/>
      <c r="MO4" s="90"/>
      <c r="MP4" s="90"/>
      <c r="MQ4" s="91"/>
      <c r="MR4" s="159">
        <f>IF(COUNT(MR5:MR9)=0,"",SUM(MR5:MR9)/COUNT(MR5:MR9))</f>
        <v>2.125</v>
      </c>
      <c r="MS4" s="183" t="str">
        <f t="shared" ref="MS4:MS21" si="90">IF(MR4="","",IF(MR4&gt;3.7,"A",IF(MR4&gt;2.8,"B",IF(MR4&gt;1.5,"C",IF(MR4&gt;0,"D",IF(MR4=0,""))))))</f>
        <v>C</v>
      </c>
      <c r="MT4" s="184">
        <f>IF(COUNT(MT5:MT9)=0,"",SUM(MT5:MT9)/COUNT(MT5:MT9))</f>
        <v>2.3125</v>
      </c>
      <c r="MU4" s="185" t="str">
        <f t="shared" ref="MU4:MU21" si="91">IF(MT4="","",IF(MT4&gt;3.7,"A",IF(MT4&gt;2.8,"B",IF(MT4&gt;1.5,"C",IF(MT4&gt;0,"D",IF(MT4=0,""))))))</f>
        <v>C</v>
      </c>
      <c r="MV4" s="152"/>
      <c r="MW4" s="65"/>
      <c r="MX4" s="85"/>
      <c r="MY4" s="159">
        <f>IF(COUNT(MY5:MY9)=0,"",SUM(MY5:MY9)/COUNT(MY5:MY9))</f>
        <v>1.75</v>
      </c>
      <c r="MZ4" s="160" t="str">
        <f t="shared" ref="MZ4:MZ21" si="92">IF(MY4="","",IF(MY4&gt;3.7,"A",IF(MY4&gt;2.8,"B",IF(MY4&gt;1.5,"C",IF(MY4&gt;0,"D",IF(MY4=0,""))))))</f>
        <v>C</v>
      </c>
      <c r="NA4" s="152"/>
      <c r="NB4" s="65"/>
      <c r="NC4" s="65"/>
      <c r="ND4" s="85"/>
      <c r="NE4" s="159">
        <f>IF(COUNT(NE5:NE9)=0,"",SUM(NE5:NE9)/COUNT(NE5:NE9))</f>
        <v>3</v>
      </c>
      <c r="NF4" s="175" t="str">
        <f t="shared" ref="NF4:NF21" si="93">IF(NE4="","",IF(NE4&gt;3.7,"A",IF(NE4&gt;2.8,"B",IF(NE4&gt;1.5,"C",IF(NE4&gt;0,"D",IF(NE4=0,""))))))</f>
        <v>B</v>
      </c>
      <c r="NG4" s="153"/>
      <c r="NH4" s="90"/>
      <c r="NI4" s="90"/>
      <c r="NJ4" s="90"/>
      <c r="NK4" s="90"/>
      <c r="NL4" s="91"/>
      <c r="NM4" s="159">
        <f>IF(COUNT(NM5:NM9)=0,"",SUM(NM5:NM9)/COUNT(NM5:NM9))</f>
        <v>2.5625</v>
      </c>
      <c r="NN4" s="183" t="str">
        <f t="shared" ref="NN4:NN21" si="94">IF(NM4="","",IF(NM4&gt;3.7,"A",IF(NM4&gt;2.8,"B",IF(NM4&gt;1.5,"C",IF(NM4&gt;0,"D",IF(NM4=0,""))))))</f>
        <v>C</v>
      </c>
      <c r="NO4" s="184">
        <f>IF(COUNT(NO5:NO9)=0,"",SUM(NO5:NO9)/COUNT(NO5:NO9))</f>
        <v>2.46875</v>
      </c>
      <c r="NP4" s="185" t="str">
        <f t="shared" ref="NP4:NP21" si="95">IF(NO4="","",IF(NO4&gt;3.7,"A",IF(NO4&gt;2.8,"B",IF(NO4&gt;1.5,"C",IF(NO4&gt;0,"D",IF(NO4=0,""))))))</f>
        <v>C</v>
      </c>
      <c r="NQ4" s="152"/>
      <c r="NR4" s="65"/>
      <c r="NS4" s="85"/>
      <c r="NT4" s="159">
        <f>IF(COUNT(NT5:NT9)=0,"",SUM(NT5:NT9)/COUNT(NT5:NT9))</f>
        <v>2.25</v>
      </c>
      <c r="NU4" s="160" t="str">
        <f t="shared" ref="NU4:NU21" si="96">IF(NT4="","",IF(NT4&gt;3.7,"A",IF(NT4&gt;2.8,"B",IF(NT4&gt;1.5,"C",IF(NT4&gt;0,"D",IF(NT4=0,""))))))</f>
        <v>C</v>
      </c>
      <c r="NV4" s="152"/>
      <c r="NW4" s="65"/>
      <c r="NX4" s="65"/>
      <c r="NY4" s="85"/>
      <c r="NZ4" s="159">
        <f>IF(COUNT(NZ5:NZ9)=0,"",SUM(NZ5:NZ9)/COUNT(NZ5:NZ9))</f>
        <v>1</v>
      </c>
      <c r="OA4" s="175" t="str">
        <f t="shared" ref="OA4:OA21" si="97">IF(NZ4="","",IF(NZ4&gt;3.7,"A",IF(NZ4&gt;2.8,"B",IF(NZ4&gt;1.5,"C",IF(NZ4&gt;0,"D",IF(NZ4=0,""))))))</f>
        <v>D</v>
      </c>
      <c r="OB4" s="153"/>
      <c r="OC4" s="90"/>
      <c r="OD4" s="90"/>
      <c r="OE4" s="90"/>
      <c r="OF4" s="90"/>
      <c r="OG4" s="91"/>
      <c r="OH4" s="159">
        <f>IF(COUNT(OH5:OH9)=0,"",SUM(OH5:OH9)/COUNT(OH5:OH9))</f>
        <v>2.1875</v>
      </c>
      <c r="OI4" s="183" t="str">
        <f t="shared" ref="OI4:OI21" si="98">IF(OH4="","",IF(OH4&gt;3.7,"A",IF(OH4&gt;2.8,"B",IF(OH4&gt;1.5,"C",IF(OH4&gt;0,"D",IF(OH4=0,""))))))</f>
        <v>C</v>
      </c>
      <c r="OJ4" s="184">
        <f>IF(COUNT(OJ5:OJ9)=0,"",SUM(OJ5:OJ9)/COUNT(OJ5:OJ9))</f>
        <v>2.09375</v>
      </c>
      <c r="OK4" s="185" t="str">
        <f t="shared" ref="OK4:OK21" si="99">IF(OJ4="","",IF(OJ4&gt;3.7,"A",IF(OJ4&gt;2.8,"B",IF(OJ4&gt;1.5,"C",IF(OJ4&gt;0,"D",IF(OJ4=0,""))))))</f>
        <v>C</v>
      </c>
      <c r="OL4" s="152"/>
      <c r="OM4" s="65"/>
      <c r="ON4" s="85"/>
      <c r="OO4" s="159">
        <f>IF(COUNT(OO5:OO9)=0,"",SUM(OO5:OO9)/COUNT(OO5:OO9))</f>
        <v>2.25</v>
      </c>
      <c r="OP4" s="160" t="str">
        <f t="shared" ref="OP4:OP21" si="100">IF(OO4="","",IF(OO4&gt;3.7,"A",IF(OO4&gt;2.8,"B",IF(OO4&gt;1.5,"C",IF(OO4&gt;0,"D",IF(OO4=0,""))))))</f>
        <v>C</v>
      </c>
      <c r="OQ4" s="152"/>
      <c r="OR4" s="65"/>
      <c r="OS4" s="65"/>
      <c r="OT4" s="85"/>
      <c r="OU4" s="159">
        <f>IF(COUNT(OU5:OU9)=0,"",SUM(OU5:OU9)/COUNT(OU5:OU9))</f>
        <v>2</v>
      </c>
      <c r="OV4" s="175" t="str">
        <f t="shared" ref="OV4:OV21" si="101">IF(OU4="","",IF(OU4&gt;3.7,"A",IF(OU4&gt;2.8,"B",IF(OU4&gt;1.5,"C",IF(OU4&gt;0,"D",IF(OU4=0,""))))))</f>
        <v>C</v>
      </c>
      <c r="OW4" s="153"/>
      <c r="OX4" s="90"/>
      <c r="OY4" s="90"/>
      <c r="OZ4" s="90"/>
      <c r="PA4" s="90"/>
      <c r="PB4" s="91"/>
      <c r="PC4" s="159">
        <f>IF(COUNT(PC5:PC9)=0,"",SUM(PC5:PC9)/COUNT(PC5:PC9))</f>
        <v>2.3125</v>
      </c>
      <c r="PD4" s="183" t="str">
        <f t="shared" ref="PD4:PD21" si="102">IF(PC4="","",IF(PC4&gt;3.7,"A",IF(PC4&gt;2.8,"B",IF(PC4&gt;1.5,"C",IF(PC4&gt;0,"D",IF(PC4=0,""))))))</f>
        <v>C</v>
      </c>
      <c r="PE4" s="184">
        <f>IF(COUNT(PE5:PE9)=0,"",SUM(PE5:PE9)/COUNT(PE5:PE9))</f>
        <v>2.34375</v>
      </c>
      <c r="PF4" s="185" t="str">
        <f t="shared" ref="PF4:PF21" si="103">IF(PE4="","",IF(PE4&gt;3.7,"A",IF(PE4&gt;2.8,"B",IF(PE4&gt;1.5,"C",IF(PE4&gt;0,"D",IF(PE4=0,""))))))</f>
        <v>C</v>
      </c>
      <c r="PG4" s="152"/>
      <c r="PH4" s="65"/>
      <c r="PI4" s="85"/>
      <c r="PJ4" s="159">
        <f>IF(COUNT(PJ5:PJ9)=0,"",SUM(PJ5:PJ9)/COUNT(PJ5:PJ9))</f>
        <v>2.5</v>
      </c>
      <c r="PK4" s="160" t="str">
        <f t="shared" ref="PK4:PK21" si="104">IF(PJ4="","",IF(PJ4&gt;3.7,"A",IF(PJ4&gt;2.8,"B",IF(PJ4&gt;1.5,"C",IF(PJ4&gt;0,"D",IF(PJ4=0,""))))))</f>
        <v>C</v>
      </c>
      <c r="PL4" s="152"/>
      <c r="PM4" s="65"/>
      <c r="PN4" s="65"/>
      <c r="PO4" s="85"/>
      <c r="PP4" s="159">
        <f>IF(COUNT(PP5:PP9)=0,"",SUM(PP5:PP9)/COUNT(PP5:PP9))</f>
        <v>4</v>
      </c>
      <c r="PQ4" s="175" t="str">
        <f t="shared" ref="PQ4:PQ21" si="105">IF(PP4="","",IF(PP4&gt;3.7,"A",IF(PP4&gt;2.8,"B",IF(PP4&gt;1.5,"C",IF(PP4&gt;0,"D",IF(PP4=0,""))))))</f>
        <v>A</v>
      </c>
      <c r="PR4" s="153"/>
      <c r="PS4" s="90"/>
      <c r="PT4" s="90"/>
      <c r="PU4" s="90"/>
      <c r="PV4" s="90"/>
      <c r="PW4" s="91"/>
      <c r="PX4" s="159">
        <f>IF(COUNT(PX5:PX9)=0,"",SUM(PX5:PX9)/COUNT(PX5:PX9))</f>
        <v>3.1875</v>
      </c>
      <c r="PY4" s="183" t="str">
        <f t="shared" ref="PY4:PY21" si="106">IF(PX4="","",IF(PX4&gt;3.7,"A",IF(PX4&gt;2.8,"B",IF(PX4&gt;1.5,"C",IF(PX4&gt;0,"D",IF(PX4=0,""))))))</f>
        <v>B</v>
      </c>
      <c r="PZ4" s="184">
        <f>IF(COUNT(PZ5:PZ9)=0,"",SUM(PZ5:PZ9)/COUNT(PZ5:PZ9))</f>
        <v>3.21875</v>
      </c>
      <c r="QA4" s="185" t="str">
        <f t="shared" ref="QA4:QA21" si="107">IF(PZ4="","",IF(PZ4&gt;3.7,"A",IF(PZ4&gt;2.8,"B",IF(PZ4&gt;1.5,"C",IF(PZ4&gt;0,"D",IF(PZ4=0,""))))))</f>
        <v>B</v>
      </c>
      <c r="QB4" s="152"/>
      <c r="QC4" s="65"/>
      <c r="QD4" s="85"/>
      <c r="QE4" s="159">
        <f>IF(COUNT(QE5:QE9)=0,"",SUM(QE5:QE9)/COUNT(QE5:QE9))</f>
        <v>3.25</v>
      </c>
      <c r="QF4" s="160" t="str">
        <f t="shared" ref="QF4:QF21" si="108">IF(QE4="","",IF(QE4&gt;3.7,"A",IF(QE4&gt;2.8,"B",IF(QE4&gt;1.5,"C",IF(QE4&gt;0,"D",IF(QE4=0,""))))))</f>
        <v>B</v>
      </c>
      <c r="QG4" s="152"/>
      <c r="QH4" s="65"/>
      <c r="QI4" s="65"/>
      <c r="QJ4" s="85"/>
      <c r="QK4" s="159">
        <f>IF(COUNT(QK5:QK9)=0,"",SUM(QK5:QK9)/COUNT(QK5:QK9))</f>
        <v>4</v>
      </c>
      <c r="QL4" s="175" t="str">
        <f t="shared" ref="QL4:QL21" si="109">IF(QK4="","",IF(QK4&gt;3.7,"A",IF(QK4&gt;2.8,"B",IF(QK4&gt;1.5,"C",IF(QK4&gt;0,"D",IF(QK4=0,""))))))</f>
        <v>A</v>
      </c>
      <c r="QM4" s="153"/>
      <c r="QN4" s="90"/>
      <c r="QO4" s="90"/>
      <c r="QP4" s="90"/>
      <c r="QQ4" s="90"/>
      <c r="QR4" s="91"/>
      <c r="QS4" s="159">
        <f>IF(COUNT(QS5:QS9)=0,"",SUM(QS5:QS9)/COUNT(QS5:QS9))</f>
        <v>3.5</v>
      </c>
      <c r="QT4" s="183" t="str">
        <f t="shared" ref="QT4:QT21" si="110">IF(QS4="","",IF(QS4&gt;3.7,"A",IF(QS4&gt;2.8,"B",IF(QS4&gt;1.5,"C",IF(QS4&gt;0,"D",IF(QS4=0,""))))))</f>
        <v>B</v>
      </c>
      <c r="QU4" s="184">
        <f>IF(COUNT(QU5:QU9)=0,"",SUM(QU5:QU9)/COUNT(QU5:QU9))</f>
        <v>3.4375</v>
      </c>
      <c r="QV4" s="185" t="str">
        <f t="shared" ref="QV4:QV21" si="111">IF(QU4="","",IF(QU4&gt;3.7,"A",IF(QU4&gt;2.8,"B",IF(QU4&gt;1.5,"C",IF(QU4&gt;0,"D",IF(QU4=0,""))))))</f>
        <v>B</v>
      </c>
      <c r="QW4" s="152"/>
      <c r="QX4" s="65"/>
      <c r="QY4" s="85"/>
      <c r="QZ4" s="159">
        <f>IF(COUNT(QZ5:QZ9)=0,"",SUM(QZ5:QZ9)/COUNT(QZ5:QZ9))</f>
        <v>1.5</v>
      </c>
      <c r="RA4" s="160" t="str">
        <f t="shared" ref="RA4:RA21" si="112">IF(QZ4="","",IF(QZ4&gt;3.7,"A",IF(QZ4&gt;2.8,"B",IF(QZ4&gt;1.5,"C",IF(QZ4&gt;0,"D",IF(QZ4=0,""))))))</f>
        <v>D</v>
      </c>
      <c r="RB4" s="152"/>
      <c r="RC4" s="65"/>
      <c r="RD4" s="65"/>
      <c r="RE4" s="85"/>
      <c r="RF4" s="159">
        <f>IF(COUNT(RF5:RF9)=0,"",SUM(RF5:RF9)/COUNT(RF5:RF9))</f>
        <v>3</v>
      </c>
      <c r="RG4" s="175" t="str">
        <f t="shared" ref="RG4:RG21" si="113">IF(RF4="","",IF(RF4&gt;3.7,"A",IF(RF4&gt;2.8,"B",IF(RF4&gt;1.5,"C",IF(RF4&gt;0,"D",IF(RF4=0,""))))))</f>
        <v>B</v>
      </c>
      <c r="RH4" s="153"/>
      <c r="RI4" s="90"/>
      <c r="RJ4" s="90"/>
      <c r="RK4" s="90"/>
      <c r="RL4" s="90"/>
      <c r="RM4" s="91"/>
      <c r="RN4" s="159">
        <f>IF(COUNT(RN5:RN9)=0,"",SUM(RN5:RN9)/COUNT(RN5:RN9))</f>
        <v>2.875</v>
      </c>
      <c r="RO4" s="183" t="str">
        <f t="shared" ref="RO4:RO21" si="114">IF(RN4="","",IF(RN4&gt;3.7,"A",IF(RN4&gt;2.8,"B",IF(RN4&gt;1.5,"C",IF(RN4&gt;0,"D",IF(RN4=0,""))))))</f>
        <v>B</v>
      </c>
      <c r="RP4" s="184">
        <f>IF(COUNT(RP5:RP9)=0,"",SUM(RP5:RP9)/COUNT(RP5:RP9))</f>
        <v>2.4375</v>
      </c>
      <c r="RQ4" s="185" t="str">
        <f t="shared" ref="RQ4:RQ21" si="115">IF(RP4="","",IF(RP4&gt;3.7,"A",IF(RP4&gt;2.8,"B",IF(RP4&gt;1.5,"C",IF(RP4&gt;0,"D",IF(RP4=0,""))))))</f>
        <v>C</v>
      </c>
      <c r="RR4" s="152"/>
      <c r="RS4" s="65"/>
      <c r="RT4" s="85"/>
      <c r="RU4" s="159">
        <f>IF(COUNT(RU5:RU9)=0,"",SUM(RU5:RU9)/COUNT(RU5:RU9))</f>
        <v>2.75</v>
      </c>
      <c r="RV4" s="160" t="str">
        <f t="shared" ref="RV4:RV21" si="116">IF(RU4="","",IF(RU4&gt;3.7,"A",IF(RU4&gt;2.8,"B",IF(RU4&gt;1.5,"C",IF(RU4&gt;0,"D",IF(RU4=0,""))))))</f>
        <v>C</v>
      </c>
      <c r="RW4" s="152"/>
      <c r="RX4" s="65"/>
      <c r="RY4" s="65"/>
      <c r="RZ4" s="85"/>
      <c r="SA4" s="159">
        <f>IF(COUNT(SA5:SA9)=0,"",SUM(SA5:SA9)/COUNT(SA5:SA9))</f>
        <v>1</v>
      </c>
      <c r="SB4" s="175" t="str">
        <f t="shared" ref="SB4:SB21" si="117">IF(SA4="","",IF(SA4&gt;3.7,"A",IF(SA4&gt;2.8,"B",IF(SA4&gt;1.5,"C",IF(SA4&gt;0,"D",IF(SA4=0,""))))))</f>
        <v>D</v>
      </c>
      <c r="SC4" s="153"/>
      <c r="SD4" s="90"/>
      <c r="SE4" s="90"/>
      <c r="SF4" s="90"/>
      <c r="SG4" s="90"/>
      <c r="SH4" s="91"/>
      <c r="SI4" s="159">
        <f>IF(COUNT(SI5:SI9)=0,"",SUM(SI5:SI9)/COUNT(SI5:SI9))</f>
        <v>3</v>
      </c>
      <c r="SJ4" s="183" t="str">
        <f t="shared" ref="SJ4:SJ21" si="118">IF(SI4="","",IF(SI4&gt;3.7,"A",IF(SI4&gt;2.8,"B",IF(SI4&gt;1.5,"C",IF(SI4&gt;0,"D",IF(SI4=0,""))))))</f>
        <v>B</v>
      </c>
      <c r="SK4" s="184">
        <f>IF(COUNT(SK5:SK9)=0,"",SUM(SK5:SK9)/COUNT(SK5:SK9))</f>
        <v>2.6875</v>
      </c>
      <c r="SL4" s="185" t="str">
        <f t="shared" ref="SL4:SL21" si="119">IF(SK4="","",IF(SK4&gt;3.7,"A",IF(SK4&gt;2.8,"B",IF(SK4&gt;1.5,"C",IF(SK4&gt;0,"D",IF(SK4=0,""))))))</f>
        <v>C</v>
      </c>
      <c r="SM4" s="152"/>
      <c r="SN4" s="65"/>
      <c r="SO4" s="85"/>
      <c r="SP4" s="159">
        <f>IF(COUNT(SP5:SP9)=0,"",SUM(SP5:SP9)/COUNT(SP5:SP9))</f>
        <v>2</v>
      </c>
      <c r="SQ4" s="160" t="str">
        <f t="shared" ref="SQ4:SQ21" si="120">IF(SP4="","",IF(SP4&gt;3.7,"A",IF(SP4&gt;2.8,"B",IF(SP4&gt;1.5,"C",IF(SP4&gt;0,"D",IF(SP4=0,""))))))</f>
        <v>C</v>
      </c>
      <c r="SR4" s="152"/>
      <c r="SS4" s="65"/>
      <c r="ST4" s="65"/>
      <c r="SU4" s="85"/>
      <c r="SV4" s="159">
        <f>IF(COUNT(SV5:SV9)=0,"",SUM(SV5:SV9)/COUNT(SV5:SV9))</f>
        <v>3</v>
      </c>
      <c r="SW4" s="175" t="str">
        <f t="shared" ref="SW4:SW21" si="121">IF(SV4="","",IF(SV4&gt;3.7,"A",IF(SV4&gt;2.8,"B",IF(SV4&gt;1.5,"C",IF(SV4&gt;0,"D",IF(SV4=0,""))))))</f>
        <v>B</v>
      </c>
      <c r="SX4" s="153"/>
      <c r="SY4" s="90"/>
      <c r="SZ4" s="90"/>
      <c r="TA4" s="90"/>
      <c r="TB4" s="90"/>
      <c r="TC4" s="91"/>
      <c r="TD4" s="159">
        <f>IF(COUNT(TD5:TD9)=0,"",SUM(TD5:TD9)/COUNT(TD5:TD9))</f>
        <v>2.5625</v>
      </c>
      <c r="TE4" s="183" t="str">
        <f t="shared" ref="TE4:TE21" si="122">IF(TD4="","",IF(TD4&gt;3.7,"A",IF(TD4&gt;2.8,"B",IF(TD4&gt;1.5,"C",IF(TD4&gt;0,"D",IF(TD4=0,""))))))</f>
        <v>C</v>
      </c>
      <c r="TF4" s="184">
        <f>IF(COUNT(TF5:TF9)=0,"",SUM(TF5:TF9)/COUNT(TF5:TF9))</f>
        <v>2.53125</v>
      </c>
      <c r="TG4" s="185" t="str">
        <f t="shared" ref="TG4:TG21" si="123">IF(TF4="","",IF(TF4&gt;3.7,"A",IF(TF4&gt;2.8,"B",IF(TF4&gt;1.5,"C",IF(TF4&gt;0,"D",IF(TF4=0,""))))))</f>
        <v>C</v>
      </c>
      <c r="TH4" s="84"/>
      <c r="TI4" s="65"/>
      <c r="TJ4" s="85"/>
      <c r="TK4" s="86" t="str">
        <f>IF(COUNT(TK5:TK9)=0,"",SUM(TK5:TK9)/COUNT(TK5:TK9))</f>
        <v/>
      </c>
      <c r="TL4" s="87" t="str">
        <f t="shared" ref="TL4:TL21" si="124">IF(TK4="","",IF(TK4&gt;3.7,"A",IF(TK4&gt;2.8,"B",IF(TK4&gt;1.5,"C",IF(TK4&gt;0,"D",IF(TK4=0,""))))))</f>
        <v/>
      </c>
      <c r="TM4" s="84"/>
      <c r="TN4" s="65"/>
      <c r="TO4" s="85"/>
      <c r="TP4" s="86" t="str">
        <f>IF(COUNT(TP5:TP9)=0,"",SUM(TP5:TP9)/COUNT(TP5:TP9))</f>
        <v/>
      </c>
      <c r="TQ4" s="88" t="str">
        <f t="shared" ref="TQ4:TQ21" si="125">IF(TP4="","",IF(TP4&gt;3.7,"A",IF(TP4&gt;2.8,"B",IF(TP4&gt;1.5,"C",IF(TP4&gt;0,"D",IF(TP4=0,""))))))</f>
        <v/>
      </c>
      <c r="TR4" s="89"/>
      <c r="TS4" s="90"/>
      <c r="TT4" s="91"/>
      <c r="TU4" s="86" t="str">
        <f>IF(COUNT(TU5:TU9)=0,"",SUM(TU5:TU9)/COUNT(TU5:TU9))</f>
        <v/>
      </c>
      <c r="TV4" s="92" t="str">
        <f t="shared" ref="TV4:TV21" si="126">IF(TU4="","",IF(TU4&gt;3.7,"A",IF(TU4&gt;2.8,"B",IF(TU4&gt;1.5,"C",IF(TU4&gt;0,"D",IF(TU4=0,""))))))</f>
        <v/>
      </c>
      <c r="TW4" s="93" t="str">
        <f>IF(COUNT(TW5:TW9)=0,"",SUM(TW5:TW9)/COUNT(TW5:TW9))</f>
        <v/>
      </c>
      <c r="TX4" s="94" t="str">
        <f t="shared" ref="TX4:TX21" si="127">IF(TW4="","",IF(TW4&gt;3.7,"A",IF(TW4&gt;2.8,"B",IF(TW4&gt;1.5,"C",IF(TW4&gt;0,"D",IF(TW4=0,""))))))</f>
        <v/>
      </c>
      <c r="TY4" s="84"/>
      <c r="TZ4" s="65"/>
      <c r="UA4" s="85"/>
      <c r="UB4" s="86" t="str">
        <f>IF(COUNT(UB5:UB9)=0,"",SUM(UB5:UB9)/COUNT(UB5:UB9))</f>
        <v/>
      </c>
      <c r="UC4" s="87" t="str">
        <f t="shared" ref="UC4:UC21" si="128">IF(UB4="","",IF(UB4&gt;3.7,"A",IF(UB4&gt;2.8,"B",IF(UB4&gt;1.5,"C",IF(UB4&gt;0,"D",IF(UB4=0,""))))))</f>
        <v/>
      </c>
      <c r="UD4" s="84"/>
      <c r="UE4" s="65"/>
      <c r="UF4" s="85"/>
      <c r="UG4" s="86" t="str">
        <f>IF(COUNT(UG5:UG9)=0,"",SUM(UG5:UG9)/COUNT(UG5:UG9))</f>
        <v/>
      </c>
      <c r="UH4" s="88" t="str">
        <f t="shared" ref="UH4:UH21" si="129">IF(UG4="","",IF(UG4&gt;3.7,"A",IF(UG4&gt;2.8,"B",IF(UG4&gt;1.5,"C",IF(UG4&gt;0,"D",IF(UG4=0,""))))))</f>
        <v/>
      </c>
      <c r="UI4" s="89"/>
      <c r="UJ4" s="90"/>
      <c r="UK4" s="91"/>
      <c r="UL4" s="86" t="str">
        <f>IF(COUNT(UL5:UL9)=0,"",SUM(UL5:UL9)/COUNT(UL5:UL9))</f>
        <v/>
      </c>
      <c r="UM4" s="92" t="str">
        <f t="shared" ref="UM4:UM21" si="130">IF(UL4="","",IF(UL4&gt;3.7,"A",IF(UL4&gt;2.8,"B",IF(UL4&gt;1.5,"C",IF(UL4&gt;0,"D",IF(UL4=0,""))))))</f>
        <v/>
      </c>
      <c r="UN4" s="93" t="str">
        <f>IF(COUNT(UN5:UN9)=0,"",SUM(UN5:UN9)/COUNT(UN5:UN9))</f>
        <v/>
      </c>
      <c r="UO4" s="94" t="str">
        <f t="shared" ref="UO4:UO21" si="131">IF(UN4="","",IF(UN4&gt;3.7,"A",IF(UN4&gt;2.8,"B",IF(UN4&gt;1.5,"C",IF(UN4&gt;0,"D",IF(UN4=0,""))))))</f>
        <v/>
      </c>
      <c r="UP4" s="84"/>
      <c r="UQ4" s="65"/>
      <c r="UR4" s="85"/>
      <c r="US4" s="86" t="str">
        <f>IF(COUNT(US5:US9)=0,"",SUM(US5:US9)/COUNT(US5:US9))</f>
        <v/>
      </c>
      <c r="UT4" s="87" t="str">
        <f t="shared" ref="UT4:UT21" si="132">IF(US4="","",IF(US4&gt;3.7,"A",IF(US4&gt;2.8,"B",IF(US4&gt;1.5,"C",IF(US4&gt;0,"D",IF(US4=0,""))))))</f>
        <v/>
      </c>
      <c r="UU4" s="84"/>
      <c r="UV4" s="65"/>
      <c r="UW4" s="85"/>
      <c r="UX4" s="86" t="str">
        <f>IF(COUNT(UX5:UX9)=0,"",SUM(UX5:UX9)/COUNT(UX5:UX9))</f>
        <v/>
      </c>
      <c r="UY4" s="88" t="str">
        <f t="shared" ref="UY4:UY21" si="133">IF(UX4="","",IF(UX4&gt;3.7,"A",IF(UX4&gt;2.8,"B",IF(UX4&gt;1.5,"C",IF(UX4&gt;0,"D",IF(UX4=0,""))))))</f>
        <v/>
      </c>
      <c r="UZ4" s="89"/>
      <c r="VA4" s="90"/>
      <c r="VB4" s="91"/>
      <c r="VC4" s="86" t="str">
        <f>IF(COUNT(VC5:VC9)=0,"",SUM(VC5:VC9)/COUNT(VC5:VC9))</f>
        <v/>
      </c>
      <c r="VD4" s="92" t="str">
        <f t="shared" ref="VD4:VD21" si="134">IF(VC4="","",IF(VC4&gt;3.7,"A",IF(VC4&gt;2.8,"B",IF(VC4&gt;1.5,"C",IF(VC4&gt;0,"D",IF(VC4=0,""))))))</f>
        <v/>
      </c>
      <c r="VE4" s="93" t="str">
        <f>IF(COUNT(VE5:VE9)=0,"",SUM(VE5:VE9)/COUNT(VE5:VE9))</f>
        <v/>
      </c>
      <c r="VF4" s="94" t="str">
        <f t="shared" ref="VF4:VF21" si="135">IF(VE4="","",IF(VE4&gt;3.7,"A",IF(VE4&gt;2.8,"B",IF(VE4&gt;1.5,"C",IF(VE4&gt;0,"D",IF(VE4=0,""))))))</f>
        <v/>
      </c>
      <c r="VG4" s="84"/>
      <c r="VH4" s="65"/>
      <c r="VI4" s="85"/>
      <c r="VJ4" s="86" t="str">
        <f>IF(COUNT(VJ5:VJ9)=0,"",SUM(VJ5:VJ9)/COUNT(VJ5:VJ9))</f>
        <v/>
      </c>
      <c r="VK4" s="87" t="str">
        <f t="shared" ref="VK4:VK21" si="136">IF(VJ4="","",IF(VJ4&gt;3.7,"A",IF(VJ4&gt;2.8,"B",IF(VJ4&gt;1.5,"C",IF(VJ4&gt;0,"D",IF(VJ4=0,""))))))</f>
        <v/>
      </c>
      <c r="VL4" s="84"/>
      <c r="VM4" s="65"/>
      <c r="VN4" s="85"/>
      <c r="VO4" s="86" t="str">
        <f>IF(COUNT(VO5:VO9)=0,"",SUM(VO5:VO9)/COUNT(VO5:VO9))</f>
        <v/>
      </c>
      <c r="VP4" s="88" t="str">
        <f t="shared" ref="VP4:VP21" si="137">IF(VO4="","",IF(VO4&gt;3.7,"A",IF(VO4&gt;2.8,"B",IF(VO4&gt;1.5,"C",IF(VO4&gt;0,"D",IF(VO4=0,""))))))</f>
        <v/>
      </c>
      <c r="VQ4" s="89"/>
      <c r="VR4" s="90"/>
      <c r="VS4" s="91"/>
      <c r="VT4" s="86" t="str">
        <f>IF(COUNT(VT5:VT9)=0,"",SUM(VT5:VT9)/COUNT(VT5:VT9))</f>
        <v/>
      </c>
      <c r="VU4" s="92" t="str">
        <f t="shared" ref="VU4:VU21" si="138">IF(VT4="","",IF(VT4&gt;3.7,"A",IF(VT4&gt;2.8,"B",IF(VT4&gt;1.5,"C",IF(VT4&gt;0,"D",IF(VT4=0,""))))))</f>
        <v/>
      </c>
      <c r="VV4" s="93" t="str">
        <f>IF(COUNT(VV5:VV9)=0,"",SUM(VV5:VV9)/COUNT(VV5:VV9))</f>
        <v/>
      </c>
      <c r="VW4" s="94" t="str">
        <f t="shared" ref="VW4:VW21" si="139">IF(VV4="","",IF(VV4&gt;3.7,"A",IF(VV4&gt;2.8,"B",IF(VV4&gt;1.5,"C",IF(VV4&gt;0,"D",IF(VV4=0,""))))))</f>
        <v/>
      </c>
      <c r="VX4" s="84"/>
      <c r="VY4" s="65"/>
      <c r="VZ4" s="85"/>
      <c r="WA4" s="86" t="str">
        <f>IF(COUNT(WA5:WA9)=0,"",SUM(WA5:WA9)/COUNT(WA5:WA9))</f>
        <v/>
      </c>
      <c r="WB4" s="87" t="str">
        <f t="shared" ref="WB4:WB21" si="140">IF(WA4="","",IF(WA4&gt;3.7,"A",IF(WA4&gt;2.8,"B",IF(WA4&gt;1.5,"C",IF(WA4&gt;0,"D",IF(WA4=0,""))))))</f>
        <v/>
      </c>
      <c r="WC4" s="84"/>
      <c r="WD4" s="65"/>
      <c r="WE4" s="85"/>
      <c r="WF4" s="86" t="str">
        <f>IF(COUNT(WF5:WF9)=0,"",SUM(WF5:WF9)/COUNT(WF5:WF9))</f>
        <v/>
      </c>
      <c r="WG4" s="88" t="str">
        <f t="shared" ref="WG4:WG21" si="141">IF(WF4="","",IF(WF4&gt;3.7,"A",IF(WF4&gt;2.8,"B",IF(WF4&gt;1.5,"C",IF(WF4&gt;0,"D",IF(WF4=0,""))))))</f>
        <v/>
      </c>
      <c r="WH4" s="89"/>
      <c r="WI4" s="90"/>
      <c r="WJ4" s="91"/>
      <c r="WK4" s="86" t="str">
        <f>IF(COUNT(WK5:WK9)=0,"",SUM(WK5:WK9)/COUNT(WK5:WK9))</f>
        <v/>
      </c>
      <c r="WL4" s="92" t="str">
        <f t="shared" ref="WL4:WL21" si="142">IF(WK4="","",IF(WK4&gt;3.7,"A",IF(WK4&gt;2.8,"B",IF(WK4&gt;1.5,"C",IF(WK4&gt;0,"D",IF(WK4=0,""))))))</f>
        <v/>
      </c>
      <c r="WM4" s="93" t="str">
        <f>IF(COUNT(WM5:WM9)=0,"",SUM(WM5:WM9)/COUNT(WM5:WM9))</f>
        <v/>
      </c>
      <c r="WN4" s="94" t="str">
        <f t="shared" ref="WN4:WN21" si="143">IF(WM4="","",IF(WM4&gt;3.7,"A",IF(WM4&gt;2.8,"B",IF(WM4&gt;1.5,"C",IF(WM4&gt;0,"D",IF(WM4=0,""))))))</f>
        <v/>
      </c>
    </row>
    <row r="5" spans="1:612" ht="18" customHeight="1" x14ac:dyDescent="0.55000000000000004">
      <c r="A5" s="217" t="s">
        <v>12</v>
      </c>
      <c r="B5" s="218"/>
      <c r="C5" s="96" t="s">
        <v>27</v>
      </c>
      <c r="D5" s="97" t="s">
        <v>28</v>
      </c>
      <c r="E5" s="98"/>
      <c r="F5" s="161">
        <f>IFERROR((((COUNTIF('Elève (3ème1)'!C5:E5,"A"))*4)+((COUNTIF('Elève (3ème1)'!C5:E5,"B"))*3)+((COUNTIF('Elève (3ème1)'!C5:E5,"C"))*2)+((COUNTIF('Elève (3ème1)'!C5:E5,"D"))*1))/(COUNTA(C5:E5)),"")</f>
        <v>3.5</v>
      </c>
      <c r="G5" s="162" t="str">
        <f t="shared" si="24"/>
        <v>B</v>
      </c>
      <c r="H5" s="96"/>
      <c r="I5" s="97"/>
      <c r="J5" s="98"/>
      <c r="K5" s="98"/>
      <c r="L5" s="161" t="str">
        <f>IFERROR((((COUNTIF('Elève (3ème1)'!H5:K5,"A"))*4)+((COUNTIF('Elève (3ème1)'!H5:K5,"B"))*3)+((COUNTIF('Elève (3ème1)'!H5:K5,"C"))*2)+((COUNTIF('Elève (3ème1)'!H5:K5,"D"))*1))/(COUNTA(H5:K5)),"")</f>
        <v/>
      </c>
      <c r="M5" s="162" t="str">
        <f t="shared" si="25"/>
        <v/>
      </c>
      <c r="N5" s="96" t="s">
        <v>29</v>
      </c>
      <c r="O5" s="97" t="s">
        <v>29</v>
      </c>
      <c r="P5" s="98"/>
      <c r="Q5" s="98"/>
      <c r="R5" s="98"/>
      <c r="S5" s="98"/>
      <c r="T5" s="161">
        <f>IFERROR((((COUNTIF('Elève (3ème1)'!N5:S5,"A"))*4)+((COUNTIF('Elève (3ème1)'!N5:S5,"B"))*3)+((COUNTIF('Elève (3ème1)'!N5:S5,"C"))*2)+((COUNTIF('Elève (3ème1)'!N5:S5,"D"))*1))/(COUNTA(N5:S5)),"")</f>
        <v>2</v>
      </c>
      <c r="U5" s="162" t="str">
        <f t="shared" si="26"/>
        <v>C</v>
      </c>
      <c r="V5" s="161">
        <f>IF(COUNT(F5,L5,T5)=0,"",SUM(F5,L5,T5)/COUNT(F5,L5,T5))</f>
        <v>2.75</v>
      </c>
      <c r="W5" s="186" t="str">
        <f t="shared" si="27"/>
        <v>C</v>
      </c>
      <c r="X5" s="96" t="s">
        <v>27</v>
      </c>
      <c r="Y5" s="97" t="s">
        <v>29</v>
      </c>
      <c r="Z5" s="98"/>
      <c r="AA5" s="161">
        <f>IFERROR((((COUNTIF('Elève (3ème1)'!X5:Z5,"A"))*4)+((COUNTIF('Elève (3ème1)'!X5:Z5,"B"))*3)+((COUNTIF('Elève (3ème1)'!X5:Z5,"C"))*2)+((COUNTIF('Elève (3ème1)'!X5:Z5,"D"))*1))/(COUNTA(X5:Z5)),"")</f>
        <v>3</v>
      </c>
      <c r="AB5" s="162" t="str">
        <f t="shared" si="28"/>
        <v>B</v>
      </c>
      <c r="AC5" s="96"/>
      <c r="AD5" s="97"/>
      <c r="AE5" s="98"/>
      <c r="AF5" s="98"/>
      <c r="AG5" s="161" t="str">
        <f>IFERROR((((COUNTIF('Elève (3ème1)'!AC5:AF5,"A"))*4)+((COUNTIF('Elève (3ème1)'!AC5:AF5,"B"))*3)+((COUNTIF('Elève (3ème1)'!AC5:AF5,"C"))*2)+((COUNTIF('Elève (3ème1)'!AC5:AF5,"D"))*1))/(COUNTA(AC5:AF5)),"")</f>
        <v/>
      </c>
      <c r="AH5" s="162" t="str">
        <f t="shared" si="29"/>
        <v/>
      </c>
      <c r="AI5" s="96" t="s">
        <v>29</v>
      </c>
      <c r="AJ5" s="97" t="s">
        <v>28</v>
      </c>
      <c r="AK5" s="98"/>
      <c r="AL5" s="98"/>
      <c r="AM5" s="98"/>
      <c r="AN5" s="102"/>
      <c r="AO5" s="161">
        <f>IFERROR((((COUNTIF('Elève (3ème1)'!AI5:AN5,"A"))*4)+((COUNTIF('Elève (3ème1)'!AI5:AN5,"B"))*3)+((COUNTIF('Elève (3ème1)'!AI5:AN5,"C"))*2)+((COUNTIF('Elève (3ème1)'!AI5:AN5,"D"))*1))/(COUNTA(AI5:AN5)),"")</f>
        <v>2.5</v>
      </c>
      <c r="AP5" s="162" t="str">
        <f t="shared" si="30"/>
        <v>C</v>
      </c>
      <c r="AQ5" s="161">
        <f>IF(COUNT(AA5,AG5,AO5)=0,"",SUM(AA5,AG5,AO5)/COUNT(AA5,AG5,AO5))</f>
        <v>2.75</v>
      </c>
      <c r="AR5" s="186" t="str">
        <f t="shared" si="31"/>
        <v>C</v>
      </c>
      <c r="AS5" s="96" t="s">
        <v>28</v>
      </c>
      <c r="AT5" s="97" t="s">
        <v>28</v>
      </c>
      <c r="AU5" s="98"/>
      <c r="AV5" s="161">
        <f>IFERROR((((COUNTIF('Elève (3ème1)'!AS5:AU5,"A"))*4)+((COUNTIF('Elève (3ème1)'!AS5:AU5,"B"))*3)+((COUNTIF('Elève (3ème1)'!AS5:AU5,"C"))*2)+((COUNTIF('Elève (3ème1)'!AS5:AU5,"D"))*1))/(COUNTA(AS5:AU5)),"")</f>
        <v>3</v>
      </c>
      <c r="AW5" s="162" t="str">
        <f t="shared" si="32"/>
        <v>B</v>
      </c>
      <c r="AX5" s="96"/>
      <c r="AY5" s="97"/>
      <c r="AZ5" s="98"/>
      <c r="BA5" s="98"/>
      <c r="BB5" s="161" t="str">
        <f>IFERROR((((COUNTIF('Elève (3ème1)'!AX5:BA5,"A"))*4)+((COUNTIF('Elève (3ème1)'!AX5:BA5,"B"))*3)+((COUNTIF('Elève (3ème1)'!AX5:BA5,"C"))*2)+((COUNTIF('Elève (3ème1)'!AX5:BA5,"D"))*1))/(COUNTA(AX5:BA5)),"")</f>
        <v/>
      </c>
      <c r="BC5" s="162" t="str">
        <f t="shared" si="33"/>
        <v/>
      </c>
      <c r="BD5" s="96" t="s">
        <v>27</v>
      </c>
      <c r="BE5" s="97" t="s">
        <v>29</v>
      </c>
      <c r="BF5" s="98"/>
      <c r="BG5" s="98"/>
      <c r="BH5" s="98"/>
      <c r="BI5" s="102"/>
      <c r="BJ5" s="161">
        <f>IFERROR((((COUNTIF('Elève (3ème1)'!BD5:BI5,"A"))*4)+((COUNTIF('Elève (3ème1)'!BD5:BI5,"B"))*3)+((COUNTIF('Elève (3ème1)'!BD5:BI5,"C"))*2)+((COUNTIF('Elève (3ème1)'!BD5:BI5,"D"))*1))/(COUNTA(BD5:BI5)),"")</f>
        <v>3</v>
      </c>
      <c r="BK5" s="162" t="str">
        <f t="shared" si="34"/>
        <v>B</v>
      </c>
      <c r="BL5" s="161">
        <f>IF(COUNT(AV5,BB5,BJ5)=0,"",SUM(AV5,BB5,BJ5)/COUNT(AV5,BB5,BJ5))</f>
        <v>3</v>
      </c>
      <c r="BM5" s="186" t="str">
        <f t="shared" si="35"/>
        <v>B</v>
      </c>
      <c r="BN5" s="96" t="s">
        <v>30</v>
      </c>
      <c r="BO5" s="97" t="s">
        <v>28</v>
      </c>
      <c r="BP5" s="98"/>
      <c r="BQ5" s="161">
        <f>IFERROR((((COUNTIF('Elève (3ème1)'!BN5:BP5,"A"))*4)+((COUNTIF('Elève (3ème1)'!BN5:BP5,"B"))*3)+((COUNTIF('Elève (3ème1)'!BN5:BP5,"C"))*2)+((COUNTIF('Elève (3ème1)'!BN5:BP5,"D"))*1))/(COUNTA(BN5:BP5)),"")</f>
        <v>2</v>
      </c>
      <c r="BR5" s="162" t="str">
        <f t="shared" si="36"/>
        <v>C</v>
      </c>
      <c r="BS5" s="96"/>
      <c r="BT5" s="97"/>
      <c r="BU5" s="98"/>
      <c r="BV5" s="98"/>
      <c r="BW5" s="161" t="str">
        <f>IFERROR((((COUNTIF('Elève (3ème1)'!BS5:BV5,"A"))*4)+((COUNTIF('Elève (3ème1)'!BS5:BV5,"B"))*3)+((COUNTIF('Elève (3ème1)'!BS5:BV5,"C"))*2)+((COUNTIF('Elève (3ème1)'!BS5:BV5,"D"))*1))/(COUNTA(BS5:BV5)),"")</f>
        <v/>
      </c>
      <c r="BX5" s="162" t="str">
        <f t="shared" si="37"/>
        <v/>
      </c>
      <c r="BY5" s="96" t="s">
        <v>27</v>
      </c>
      <c r="BZ5" s="97" t="s">
        <v>28</v>
      </c>
      <c r="CA5" s="98"/>
      <c r="CB5" s="98"/>
      <c r="CC5" s="98"/>
      <c r="CD5" s="102"/>
      <c r="CE5" s="161">
        <f>IFERROR((((COUNTIF('Elève (3ème1)'!BY5:CD5,"A"))*4)+((COUNTIF('Elève (3ème1)'!BY5:CD5,"B"))*3)+((COUNTIF('Elève (3ème1)'!BY5:CD5,"C"))*2)+((COUNTIF('Elève (3ème1)'!BY5:CD5,"D"))*1))/(COUNTA(BY5:CD5)),"")</f>
        <v>3.5</v>
      </c>
      <c r="CF5" s="162" t="str">
        <f t="shared" si="38"/>
        <v>B</v>
      </c>
      <c r="CG5" s="161">
        <f>IF(COUNT(BQ5,BW5,CE5)=0,"",SUM(BQ5,BW5,CE5)/COUNT(BQ5,BW5,CE5))</f>
        <v>2.75</v>
      </c>
      <c r="CH5" s="186" t="str">
        <f t="shared" si="39"/>
        <v>C</v>
      </c>
      <c r="CI5" s="96" t="s">
        <v>27</v>
      </c>
      <c r="CJ5" s="97" t="s">
        <v>30</v>
      </c>
      <c r="CK5" s="98"/>
      <c r="CL5" s="161">
        <f>IFERROR((((COUNTIF('Elève (3ème1)'!CI5:CK5,"A"))*4)+((COUNTIF('Elève (3ème1)'!CI5:CK5,"B"))*3)+((COUNTIF('Elève (3ème1)'!CI5:CK5,"C"))*2)+((COUNTIF('Elève (3ème1)'!CI5:CK5,"D"))*1))/(COUNTA(CI5:CK5)),"")</f>
        <v>2.5</v>
      </c>
      <c r="CM5" s="162" t="str">
        <f t="shared" si="40"/>
        <v>C</v>
      </c>
      <c r="CN5" s="96"/>
      <c r="CO5" s="97"/>
      <c r="CP5" s="98"/>
      <c r="CQ5" s="98"/>
      <c r="CR5" s="161" t="str">
        <f>IFERROR((((COUNTIF('Elève (3ème1)'!CN5:CQ5,"A"))*4)+((COUNTIF('Elève (3ème1)'!CN5:CQ5,"B"))*3)+((COUNTIF('Elève (3ème1)'!CN5:CQ5,"C"))*2)+((COUNTIF('Elève (3ème1)'!CN5:CQ5,"D"))*1))/(COUNTA(CN5:CQ5)),"")</f>
        <v/>
      </c>
      <c r="CS5" s="162" t="str">
        <f t="shared" si="41"/>
        <v/>
      </c>
      <c r="CT5" s="96" t="s">
        <v>29</v>
      </c>
      <c r="CU5" s="97" t="s">
        <v>29</v>
      </c>
      <c r="CV5" s="98"/>
      <c r="CW5" s="98"/>
      <c r="CX5" s="98"/>
      <c r="CY5" s="102"/>
      <c r="CZ5" s="161">
        <f>IFERROR((((COUNTIF('Elève (3ème1)'!CT5:CY5,"A"))*4)+((COUNTIF('Elève (3ème1)'!CT5:CY5,"B"))*3)+((COUNTIF('Elève (3ème1)'!CT5:CY5,"C"))*2)+((COUNTIF('Elève (3ème1)'!CT5:CY5,"D"))*1))/(COUNTA(CT5:CY5)),"")</f>
        <v>2</v>
      </c>
      <c r="DA5" s="162" t="str">
        <f t="shared" si="42"/>
        <v>C</v>
      </c>
      <c r="DB5" s="161">
        <f>IF(COUNT(CL5,CR5,CZ5)=0,"",SUM(CL5,CR5,CZ5)/COUNT(CL5,CR5,CZ5))</f>
        <v>2.25</v>
      </c>
      <c r="DC5" s="186" t="str">
        <f t="shared" si="43"/>
        <v>C</v>
      </c>
      <c r="DD5" s="96" t="s">
        <v>28</v>
      </c>
      <c r="DE5" s="97" t="s">
        <v>28</v>
      </c>
      <c r="DF5" s="98"/>
      <c r="DG5" s="161">
        <f>IFERROR((((COUNTIF('Elève (3ème1)'!DD5:DF5,"A"))*4)+((COUNTIF('Elève (3ème1)'!DD5:DF5,"B"))*3)+((COUNTIF('Elève (3ème1)'!DD5:DF5,"C"))*2)+((COUNTIF('Elève (3ème1)'!DD5:DF5,"D"))*1))/(COUNTA(DD5:DF5)),"")</f>
        <v>3</v>
      </c>
      <c r="DH5" s="162" t="str">
        <f t="shared" si="44"/>
        <v>B</v>
      </c>
      <c r="DI5" s="96"/>
      <c r="DJ5" s="97"/>
      <c r="DK5" s="98"/>
      <c r="DL5" s="98"/>
      <c r="DM5" s="161" t="str">
        <f>IFERROR((((COUNTIF('Elève (3ème1)'!DI5:DL5,"A"))*4)+((COUNTIF('Elève (3ème1)'!DI5:DL5,"B"))*3)+((COUNTIF('Elève (3ème1)'!DI5:DL5,"C"))*2)+((COUNTIF('Elève (3ème1)'!DI5:DL5,"D"))*1))/(COUNTA(DI5:DL5)),"")</f>
        <v/>
      </c>
      <c r="DN5" s="162" t="str">
        <f t="shared" si="45"/>
        <v/>
      </c>
      <c r="DO5" s="96" t="s">
        <v>27</v>
      </c>
      <c r="DP5" s="97" t="s">
        <v>29</v>
      </c>
      <c r="DQ5" s="98"/>
      <c r="DR5" s="98"/>
      <c r="DS5" s="98"/>
      <c r="DT5" s="102"/>
      <c r="DU5" s="161">
        <f>IFERROR((((COUNTIF('Elève (3ème1)'!DO5:DT5,"A"))*4)+((COUNTIF('Elève (3ème1)'!DO5:DT5,"B"))*3)+((COUNTIF('Elève (3ème1)'!DO5:DT5,"C"))*2)+((COUNTIF('Elève (3ème1)'!DO5:DT5,"D"))*1))/(COUNTA(DO5:DT5)),"")</f>
        <v>3</v>
      </c>
      <c r="DV5" s="162" t="str">
        <f t="shared" si="46"/>
        <v>B</v>
      </c>
      <c r="DW5" s="161">
        <f>IF(COUNT(DG5,DM5,DU5)=0,"",SUM(DG5,DM5,DU5)/COUNT(DG5,DM5,DU5))</f>
        <v>3</v>
      </c>
      <c r="DX5" s="186" t="str">
        <f t="shared" si="47"/>
        <v>B</v>
      </c>
      <c r="DY5" s="96" t="s">
        <v>28</v>
      </c>
      <c r="DZ5" s="97" t="s">
        <v>28</v>
      </c>
      <c r="EA5" s="98"/>
      <c r="EB5" s="161">
        <f>IFERROR((((COUNTIF('Elève (3ème1)'!DY5:EA5,"A"))*4)+((COUNTIF('Elève (3ème1)'!DY5:EA5,"B"))*3)+((COUNTIF('Elève (3ème1)'!DY5:EA5,"C"))*2)+((COUNTIF('Elève (3ème1)'!DY5:EA5,"D"))*1))/(COUNTA(DY5:EA5)),"")</f>
        <v>3</v>
      </c>
      <c r="EC5" s="162" t="str">
        <f t="shared" si="48"/>
        <v>B</v>
      </c>
      <c r="ED5" s="96"/>
      <c r="EE5" s="97"/>
      <c r="EF5" s="98"/>
      <c r="EG5" s="98"/>
      <c r="EH5" s="161" t="str">
        <f>IFERROR((((COUNTIF('Elève (3ème1)'!ED5:EG5,"A"))*4)+((COUNTIF('Elève (3ème1)'!ED5:EG5,"B"))*3)+((COUNTIF('Elève (3ème1)'!ED5:EG5,"C"))*2)+((COUNTIF('Elève (3ème1)'!ED5:EG5,"D"))*1))/(COUNTA(ED5:EG5)),"")</f>
        <v/>
      </c>
      <c r="EI5" s="162" t="str">
        <f t="shared" si="49"/>
        <v/>
      </c>
      <c r="EJ5" s="96" t="s">
        <v>28</v>
      </c>
      <c r="EK5" s="97" t="s">
        <v>27</v>
      </c>
      <c r="EL5" s="98"/>
      <c r="EM5" s="98"/>
      <c r="EN5" s="98"/>
      <c r="EO5" s="102"/>
      <c r="EP5" s="161">
        <f>IFERROR((((COUNTIF('Elève (3ème1)'!EJ5:EO5,"A"))*4)+((COUNTIF('Elève (3ème1)'!EJ5:EO5,"B"))*3)+((COUNTIF('Elève (3ème1)'!EJ5:EO5,"C"))*2)+((COUNTIF('Elève (3ème1)'!EJ5:EO5,"D"))*1))/(COUNTA(EJ5:EO5)),"")</f>
        <v>3.5</v>
      </c>
      <c r="EQ5" s="162" t="str">
        <f t="shared" si="50"/>
        <v>B</v>
      </c>
      <c r="ER5" s="161">
        <f>IF(COUNT(EB5,EH5,EP5)=0,"",SUM(EB5,EH5,EP5)/COUNT(EB5,EH5,EP5))</f>
        <v>3.25</v>
      </c>
      <c r="ES5" s="186" t="str">
        <f t="shared" si="51"/>
        <v>B</v>
      </c>
      <c r="ET5" s="96" t="s">
        <v>28</v>
      </c>
      <c r="EU5" s="97" t="s">
        <v>28</v>
      </c>
      <c r="EV5" s="98"/>
      <c r="EW5" s="161">
        <f>IFERROR((((COUNTIF('Elève (3ème1)'!ET5:EV5,"A"))*4)+((COUNTIF('Elève (3ème1)'!ET5:EV5,"B"))*3)+((COUNTIF('Elève (3ème1)'!ET5:EV5,"C"))*2)+((COUNTIF('Elève (3ème1)'!ET5:EV5,"D"))*1))/(COUNTA(ET5:EV5)),"")</f>
        <v>3</v>
      </c>
      <c r="EX5" s="162" t="str">
        <f t="shared" si="52"/>
        <v>B</v>
      </c>
      <c r="EY5" s="96"/>
      <c r="EZ5" s="97"/>
      <c r="FA5" s="98"/>
      <c r="FB5" s="98"/>
      <c r="FC5" s="161" t="str">
        <f>IFERROR((((COUNTIF('Elève (3ème1)'!EY5:FB5,"A"))*4)+((COUNTIF('Elève (3ème1)'!EY5:FB5,"B"))*3)+((COUNTIF('Elève (3ème1)'!EY5:FB5,"C"))*2)+((COUNTIF('Elève (3ème1)'!EY5:FB5,"D"))*1))/(COUNTA(EY5:FB5)),"")</f>
        <v/>
      </c>
      <c r="FD5" s="162" t="str">
        <f t="shared" si="53"/>
        <v/>
      </c>
      <c r="FE5" s="96" t="s">
        <v>29</v>
      </c>
      <c r="FF5" s="97" t="s">
        <v>29</v>
      </c>
      <c r="FG5" s="98"/>
      <c r="FH5" s="98"/>
      <c r="FI5" s="98"/>
      <c r="FJ5" s="102"/>
      <c r="FK5" s="161">
        <f>IFERROR((((COUNTIF('Elève (3ème1)'!FE5:FJ5,"A"))*4)+((COUNTIF('Elève (3ème1)'!FE5:FJ5,"B"))*3)+((COUNTIF('Elève (3ème1)'!FE5:FJ5,"C"))*2)+((COUNTIF('Elève (3ème1)'!FE5:FJ5,"D"))*1))/(COUNTA(FE5:FJ5)),"")</f>
        <v>2</v>
      </c>
      <c r="FL5" s="162" t="str">
        <f t="shared" si="54"/>
        <v>C</v>
      </c>
      <c r="FM5" s="161">
        <f>IF(COUNT(EW5,FC5,FK5)=0,"",SUM(EW5,FC5,FK5)/COUNT(EW5,FC5,FK5))</f>
        <v>2.5</v>
      </c>
      <c r="FN5" s="186" t="str">
        <f t="shared" si="55"/>
        <v>C</v>
      </c>
      <c r="FO5" s="96" t="s">
        <v>28</v>
      </c>
      <c r="FP5" s="97" t="s">
        <v>29</v>
      </c>
      <c r="FQ5" s="98"/>
      <c r="FR5" s="161">
        <f>IFERROR((((COUNTIF('Elève (3ème1)'!FO5:FQ5,"A"))*4)+((COUNTIF('Elève (3ème1)'!FO5:FQ5,"B"))*3)+((COUNTIF('Elève (3ème1)'!FO5:FQ5,"C"))*2)+((COUNTIF('Elève (3ème1)'!FO5:FQ5,"D"))*1))/(COUNTA(FO5:FQ5)),"")</f>
        <v>2.5</v>
      </c>
      <c r="FS5" s="162" t="str">
        <f t="shared" si="56"/>
        <v>C</v>
      </c>
      <c r="FT5" s="96"/>
      <c r="FU5" s="97"/>
      <c r="FV5" s="98"/>
      <c r="FW5" s="98"/>
      <c r="FX5" s="161" t="str">
        <f>IFERROR((((COUNTIF('Elève (3ème1)'!FT5:FW5,"A"))*4)+((COUNTIF('Elève (3ème1)'!FT5:FW5,"B"))*3)+((COUNTIF('Elève (3ème1)'!FT5:FW5,"C"))*2)+((COUNTIF('Elève (3ème1)'!FT5:FW5,"D"))*1))/(COUNTA(FT5:FW5)),"")</f>
        <v/>
      </c>
      <c r="FY5" s="162" t="str">
        <f t="shared" si="57"/>
        <v/>
      </c>
      <c r="FZ5" s="96" t="s">
        <v>29</v>
      </c>
      <c r="GA5" s="97" t="s">
        <v>29</v>
      </c>
      <c r="GB5" s="98"/>
      <c r="GC5" s="98"/>
      <c r="GD5" s="98"/>
      <c r="GE5" s="102"/>
      <c r="GF5" s="161">
        <f>IFERROR((((COUNTIF('Elève (3ème1)'!FZ5:GE5,"A"))*4)+((COUNTIF('Elève (3ème1)'!FZ5:GE5,"B"))*3)+((COUNTIF('Elève (3ème1)'!FZ5:GE5,"C"))*2)+((COUNTIF('Elève (3ème1)'!FZ5:GE5,"D"))*1))/(COUNTA(FZ5:GE5)),"")</f>
        <v>2</v>
      </c>
      <c r="GG5" s="162" t="str">
        <f t="shared" si="58"/>
        <v>C</v>
      </c>
      <c r="GH5" s="161">
        <f>IF(COUNT(FR5,FX5,GF5)=0,"",SUM(FR5,FX5,GF5)/COUNT(FR5,FX5,GF5))</f>
        <v>2.25</v>
      </c>
      <c r="GI5" s="186" t="str">
        <f t="shared" si="59"/>
        <v>C</v>
      </c>
      <c r="GJ5" s="96" t="s">
        <v>28</v>
      </c>
      <c r="GK5" s="97" t="s">
        <v>30</v>
      </c>
      <c r="GL5" s="98"/>
      <c r="GM5" s="161">
        <f>IFERROR((((COUNTIF('Elève (3ème1)'!GJ5:GL5,"A"))*4)+((COUNTIF('Elève (3ème1)'!GJ5:GL5,"B"))*3)+((COUNTIF('Elève (3ème1)'!GJ5:GL5,"C"))*2)+((COUNTIF('Elève (3ème1)'!GJ5:GL5,"D"))*1))/(COUNTA(GJ5:GL5)),"")</f>
        <v>2</v>
      </c>
      <c r="GN5" s="162" t="str">
        <f t="shared" si="60"/>
        <v>C</v>
      </c>
      <c r="GO5" s="96"/>
      <c r="GP5" s="97"/>
      <c r="GQ5" s="98"/>
      <c r="GR5" s="98"/>
      <c r="GS5" s="161" t="str">
        <f>IFERROR((((COUNTIF('Elève (3ème1)'!GO5:GR5,"A"))*4)+((COUNTIF('Elève (3ème1)'!GO5:GR5,"B"))*3)+((COUNTIF('Elève (3ème1)'!GO5:GR5,"C"))*2)+((COUNTIF('Elève (3ème1)'!GO5:GR5,"D"))*1))/(COUNTA(GO5:GR5)),"")</f>
        <v/>
      </c>
      <c r="GT5" s="162" t="str">
        <f t="shared" si="61"/>
        <v/>
      </c>
      <c r="GU5" s="96" t="s">
        <v>29</v>
      </c>
      <c r="GV5" s="97" t="s">
        <v>29</v>
      </c>
      <c r="GW5" s="98"/>
      <c r="GX5" s="98"/>
      <c r="GY5" s="98"/>
      <c r="GZ5" s="102"/>
      <c r="HA5" s="161">
        <f>IFERROR((((COUNTIF('Elève (3ème1)'!GU5:GZ5,"A"))*4)+((COUNTIF('Elève (3ème1)'!GU5:GZ5,"B"))*3)+((COUNTIF('Elève (3ème1)'!GU5:GZ5,"C"))*2)+((COUNTIF('Elève (3ème1)'!GU5:GZ5,"D"))*1))/(COUNTA(GU5:GZ5)),"")</f>
        <v>2</v>
      </c>
      <c r="HB5" s="162" t="str">
        <f t="shared" si="62"/>
        <v>C</v>
      </c>
      <c r="HC5" s="161">
        <f>IF(COUNT(GM5,GS5,HA5)=0,"",SUM(GM5,GS5,HA5)/COUNT(GM5,GS5,HA5))</f>
        <v>2</v>
      </c>
      <c r="HD5" s="186" t="str">
        <f t="shared" si="63"/>
        <v>C</v>
      </c>
      <c r="HE5" s="96" t="s">
        <v>27</v>
      </c>
      <c r="HF5" s="97" t="s">
        <v>28</v>
      </c>
      <c r="HG5" s="98"/>
      <c r="HH5" s="161">
        <f>IFERROR((((COUNTIF('Elève (3ème1)'!HE5:HG5,"A"))*4)+((COUNTIF('Elève (3ème1)'!HE5:HG5,"B"))*3)+((COUNTIF('Elève (3ème1)'!HE5:HG5,"C"))*2)+((COUNTIF('Elève (3ème1)'!HE5:HG5,"D"))*1))/(COUNTA(HE5:HG5)),"")</f>
        <v>3.5</v>
      </c>
      <c r="HI5" s="162" t="str">
        <f t="shared" si="64"/>
        <v>B</v>
      </c>
      <c r="HJ5" s="96"/>
      <c r="HK5" s="97"/>
      <c r="HL5" s="98"/>
      <c r="HM5" s="98"/>
      <c r="HN5" s="161" t="str">
        <f>IFERROR((((COUNTIF('Elève (3ème1)'!HJ5:HM5,"A"))*4)+((COUNTIF('Elève (3ème1)'!HJ5:HM5,"B"))*3)+((COUNTIF('Elève (3ème1)'!HJ5:HM5,"C"))*2)+((COUNTIF('Elève (3ème1)'!HJ5:HM5,"D"))*1))/(COUNTA(HJ5:HM5)),"")</f>
        <v/>
      </c>
      <c r="HO5" s="162" t="str">
        <f t="shared" si="65"/>
        <v/>
      </c>
      <c r="HP5" s="96" t="s">
        <v>27</v>
      </c>
      <c r="HQ5" s="97" t="s">
        <v>28</v>
      </c>
      <c r="HR5" s="98"/>
      <c r="HS5" s="98"/>
      <c r="HT5" s="98"/>
      <c r="HU5" s="102"/>
      <c r="HV5" s="161">
        <f>IFERROR((((COUNTIF('Elève (3ème1)'!HP5:HU5,"A"))*4)+((COUNTIF('Elève (3ème1)'!HP5:HU5,"B"))*3)+((COUNTIF('Elève (3ème1)'!HP5:HU5,"C"))*2)+((COUNTIF('Elève (3ème1)'!HP5:HU5,"D"))*1))/(COUNTA(HP5:HU5)),"")</f>
        <v>3.5</v>
      </c>
      <c r="HW5" s="162" t="str">
        <f t="shared" si="66"/>
        <v>B</v>
      </c>
      <c r="HX5" s="161">
        <f>IF(COUNT(HH5,HN5,HV5)=0,"",SUM(HH5,HN5,HV5)/COUNT(HH5,HN5,HV5))</f>
        <v>3.5</v>
      </c>
      <c r="HY5" s="186" t="str">
        <f t="shared" si="67"/>
        <v>B</v>
      </c>
      <c r="HZ5" s="96" t="s">
        <v>30</v>
      </c>
      <c r="IA5" s="97" t="s">
        <v>29</v>
      </c>
      <c r="IB5" s="98"/>
      <c r="IC5" s="161">
        <f>IFERROR((((COUNTIF('Elève (3ème1)'!HZ5:IB5,"A"))*4)+((COUNTIF('Elève (3ème1)'!HZ5:IB5,"B"))*3)+((COUNTIF('Elève (3ème1)'!HZ5:IB5,"C"))*2)+((COUNTIF('Elève (3ème1)'!HZ5:IB5,"D"))*1))/(COUNTA(HZ5:IB5)),"")</f>
        <v>1.5</v>
      </c>
      <c r="ID5" s="162" t="str">
        <f t="shared" si="68"/>
        <v>D</v>
      </c>
      <c r="IE5" s="96"/>
      <c r="IF5" s="97"/>
      <c r="IG5" s="98"/>
      <c r="IH5" s="98"/>
      <c r="II5" s="161" t="str">
        <f>IFERROR((((COUNTIF('Elève (3ème1)'!IE5:IH5,"A"))*4)+((COUNTIF('Elève (3ème1)'!IE5:IH5,"B"))*3)+((COUNTIF('Elève (3ème1)'!IE5:IH5,"C"))*2)+((COUNTIF('Elève (3ème1)'!IE5:IH5,"D"))*1))/(COUNTA(IE5:IH5)),"")</f>
        <v/>
      </c>
      <c r="IJ5" s="162" t="str">
        <f t="shared" si="69"/>
        <v/>
      </c>
      <c r="IK5" s="96" t="s">
        <v>27</v>
      </c>
      <c r="IL5" s="97" t="s">
        <v>29</v>
      </c>
      <c r="IM5" s="98"/>
      <c r="IN5" s="98"/>
      <c r="IO5" s="98"/>
      <c r="IP5" s="102"/>
      <c r="IQ5" s="161">
        <f>IFERROR((((COUNTIF('Elève (3ème1)'!IK5:IP5,"A"))*4)+((COUNTIF('Elève (3ème1)'!IK5:IP5,"B"))*3)+((COUNTIF('Elève (3ème1)'!IK5:IP5,"C"))*2)+((COUNTIF('Elève (3ème1)'!IK5:IP5,"D"))*1))/(COUNTA(IK5:IP5)),"")</f>
        <v>3</v>
      </c>
      <c r="IR5" s="162" t="str">
        <f t="shared" si="70"/>
        <v>B</v>
      </c>
      <c r="IS5" s="161">
        <f>IF(COUNT(IC5,II5,IQ5)=0,"",SUM(IC5,II5,IQ5)/COUNT(IC5,II5,IQ5))</f>
        <v>2.25</v>
      </c>
      <c r="IT5" s="186" t="str">
        <f t="shared" si="71"/>
        <v>C</v>
      </c>
      <c r="IU5" s="96" t="s">
        <v>28</v>
      </c>
      <c r="IV5" s="97" t="s">
        <v>28</v>
      </c>
      <c r="IW5" s="98"/>
      <c r="IX5" s="161">
        <f>IFERROR((((COUNTIF('Elève (3ème1)'!IU5:IW5,"A"))*4)+((COUNTIF('Elève (3ème1)'!IU5:IW5,"B"))*3)+((COUNTIF('Elève (3ème1)'!IU5:IW5,"C"))*2)+((COUNTIF('Elève (3ème1)'!IU5:IW5,"D"))*1))/(COUNTA(IU5:IW5)),"")</f>
        <v>3</v>
      </c>
      <c r="IY5" s="162" t="str">
        <f t="shared" si="72"/>
        <v>B</v>
      </c>
      <c r="IZ5" s="96"/>
      <c r="JA5" s="97"/>
      <c r="JB5" s="98"/>
      <c r="JC5" s="98"/>
      <c r="JD5" s="161" t="str">
        <f>IFERROR((((COUNTIF('Elève (3ème1)'!IZ5:JC5,"A"))*4)+((COUNTIF('Elève (3ème1)'!IZ5:JC5,"B"))*3)+((COUNTIF('Elève (3ème1)'!IZ5:JC5,"C"))*2)+((COUNTIF('Elève (3ème1)'!IZ5:JC5,"D"))*1))/(COUNTA(IZ5:JC5)),"")</f>
        <v/>
      </c>
      <c r="JE5" s="162" t="str">
        <f t="shared" si="73"/>
        <v/>
      </c>
      <c r="JF5" s="96" t="s">
        <v>27</v>
      </c>
      <c r="JG5" s="97" t="s">
        <v>28</v>
      </c>
      <c r="JH5" s="98"/>
      <c r="JI5" s="98"/>
      <c r="JJ5" s="98"/>
      <c r="JK5" s="102"/>
      <c r="JL5" s="161">
        <f>IFERROR((((COUNTIF('Elève (3ème1)'!JF5:JK5,"A"))*4)+((COUNTIF('Elève (3ème1)'!JF5:JK5,"B"))*3)+((COUNTIF('Elève (3ème1)'!JF5:JK5,"C"))*2)+((COUNTIF('Elève (3ème1)'!JF5:JK5,"D"))*1))/(COUNTA(JF5:JK5)),"")</f>
        <v>3.5</v>
      </c>
      <c r="JM5" s="162" t="str">
        <f t="shared" si="74"/>
        <v>B</v>
      </c>
      <c r="JN5" s="161">
        <f>IF(COUNT(IX5,JD5,JL5)=0,"",SUM(IX5,JD5,JL5)/COUNT(IX5,JD5,JL5))</f>
        <v>3.25</v>
      </c>
      <c r="JO5" s="186" t="str">
        <f t="shared" si="75"/>
        <v>B</v>
      </c>
      <c r="JP5" s="96" t="s">
        <v>28</v>
      </c>
      <c r="JQ5" s="97" t="s">
        <v>28</v>
      </c>
      <c r="JR5" s="98"/>
      <c r="JS5" s="161">
        <f>IFERROR((((COUNTIF('Elève (3ème1)'!JP5:JR5,"A"))*4)+((COUNTIF('Elève (3ème1)'!JP5:JR5,"B"))*3)+((COUNTIF('Elève (3ème1)'!JP5:JR5,"C"))*2)+((COUNTIF('Elève (3ème1)'!JP5:JR5,"D"))*1))/(COUNTA(JP5:JR5)),"")</f>
        <v>3</v>
      </c>
      <c r="JT5" s="162" t="str">
        <f t="shared" si="76"/>
        <v>B</v>
      </c>
      <c r="JU5" s="96"/>
      <c r="JV5" s="97"/>
      <c r="JW5" s="98"/>
      <c r="JX5" s="98"/>
      <c r="JY5" s="161" t="str">
        <f>IFERROR((((COUNTIF('Elève (3ème1)'!JU5:JX5,"A"))*4)+((COUNTIF('Elève (3ème1)'!JU5:JX5,"B"))*3)+((COUNTIF('Elève (3ème1)'!JU5:JX5,"C"))*2)+((COUNTIF('Elève (3ème1)'!JU5:JX5,"D"))*1))/(COUNTA(JU5:JX5)),"")</f>
        <v/>
      </c>
      <c r="JZ5" s="162" t="str">
        <f t="shared" si="77"/>
        <v/>
      </c>
      <c r="KA5" s="96" t="s">
        <v>27</v>
      </c>
      <c r="KB5" s="97" t="s">
        <v>29</v>
      </c>
      <c r="KC5" s="98"/>
      <c r="KD5" s="98"/>
      <c r="KE5" s="98"/>
      <c r="KF5" s="102"/>
      <c r="KG5" s="161">
        <f>IFERROR((((COUNTIF('Elève (3ème1)'!KA5:KF5,"A"))*4)+((COUNTIF('Elève (3ème1)'!KA5:KF5,"B"))*3)+((COUNTIF('Elève (3ème1)'!KA5:KF5,"C"))*2)+((COUNTIF('Elève (3ème1)'!KA5:KF5,"D"))*1))/(COUNTA(KA5:KF5)),"")</f>
        <v>3</v>
      </c>
      <c r="KH5" s="162" t="str">
        <f t="shared" si="78"/>
        <v>B</v>
      </c>
      <c r="KI5" s="161">
        <f>IF(COUNT(JS5,JY5,KG5)=0,"",SUM(JS5,JY5,KG5)/COUNT(JS5,JY5,KG5))</f>
        <v>3</v>
      </c>
      <c r="KJ5" s="186" t="str">
        <f t="shared" si="79"/>
        <v>B</v>
      </c>
      <c r="KK5" s="96" t="s">
        <v>28</v>
      </c>
      <c r="KL5" s="97" t="s">
        <v>29</v>
      </c>
      <c r="KM5" s="98"/>
      <c r="KN5" s="161">
        <f>IFERROR((((COUNTIF('Elève (3ème1)'!KK5:KM5,"A"))*4)+((COUNTIF('Elève (3ème1)'!KK5:KM5,"B"))*3)+((COUNTIF('Elève (3ème1)'!KK5:KM5,"C"))*2)+((COUNTIF('Elève (3ème1)'!KK5:KM5,"D"))*1))/(COUNTA(KK5:KM5)),"")</f>
        <v>2.5</v>
      </c>
      <c r="KO5" s="162" t="str">
        <f t="shared" si="80"/>
        <v>C</v>
      </c>
      <c r="KP5" s="96"/>
      <c r="KQ5" s="97"/>
      <c r="KR5" s="98"/>
      <c r="KS5" s="98"/>
      <c r="KT5" s="161" t="str">
        <f>IFERROR((((COUNTIF('Elève (3ème1)'!KP5:KS5,"A"))*4)+((COUNTIF('Elève (3ème1)'!KP5:KS5,"B"))*3)+((COUNTIF('Elève (3ème1)'!KP5:KS5,"C"))*2)+((COUNTIF('Elève (3ème1)'!KP5:KS5,"D"))*1))/(COUNTA(KP5:KS5)),"")</f>
        <v/>
      </c>
      <c r="KU5" s="162" t="str">
        <f t="shared" si="81"/>
        <v/>
      </c>
      <c r="KV5" s="96" t="s">
        <v>27</v>
      </c>
      <c r="KW5" s="97" t="s">
        <v>28</v>
      </c>
      <c r="KX5" s="98"/>
      <c r="KY5" s="98"/>
      <c r="KZ5" s="98"/>
      <c r="LA5" s="102"/>
      <c r="LB5" s="161">
        <f>IFERROR((((COUNTIF('Elève (3ème1)'!KV5:LA5,"A"))*4)+((COUNTIF('Elève (3ème1)'!KV5:LA5,"B"))*3)+((COUNTIF('Elève (3ème1)'!KV5:LA5,"C"))*2)+((COUNTIF('Elève (3ème1)'!KV5:LA5,"D"))*1))/(COUNTA(KV5:LA5)),"")</f>
        <v>3.5</v>
      </c>
      <c r="LC5" s="162" t="str">
        <f t="shared" si="82"/>
        <v>B</v>
      </c>
      <c r="LD5" s="161">
        <f>IF(COUNT(KN5,KT5,LB5)=0,"",SUM(KN5,KT5,LB5)/COUNT(KN5,KT5,LB5))</f>
        <v>3</v>
      </c>
      <c r="LE5" s="186" t="str">
        <f t="shared" si="83"/>
        <v>B</v>
      </c>
      <c r="LF5" s="96" t="s">
        <v>30</v>
      </c>
      <c r="LG5" s="97" t="s">
        <v>29</v>
      </c>
      <c r="LH5" s="98"/>
      <c r="LI5" s="161">
        <f>IFERROR((((COUNTIF('Elève (3ème1)'!LF5:LH5,"A"))*4)+((COUNTIF('Elève (3ème1)'!LF5:LH5,"B"))*3)+((COUNTIF('Elève (3ème1)'!LF5:LH5,"C"))*2)+((COUNTIF('Elève (3ème1)'!LF5:LH5,"D"))*1))/(COUNTA(LF5:LH5)),"")</f>
        <v>1.5</v>
      </c>
      <c r="LJ5" s="162" t="str">
        <f t="shared" si="84"/>
        <v>D</v>
      </c>
      <c r="LK5" s="96"/>
      <c r="LL5" s="97"/>
      <c r="LM5" s="98"/>
      <c r="LN5" s="98"/>
      <c r="LO5" s="161" t="str">
        <f>IFERROR((((COUNTIF('Elève (3ème1)'!LK5:LN5,"A"))*4)+((COUNTIF('Elève (3ème1)'!LK5:LN5,"B"))*3)+((COUNTIF('Elève (3ème1)'!LK5:LN5,"C"))*2)+((COUNTIF('Elève (3ème1)'!LK5:LN5,"D"))*1))/(COUNTA(LK5:LN5)),"")</f>
        <v/>
      </c>
      <c r="LP5" s="162" t="str">
        <f t="shared" si="85"/>
        <v/>
      </c>
      <c r="LQ5" s="96" t="s">
        <v>28</v>
      </c>
      <c r="LR5" s="97" t="s">
        <v>29</v>
      </c>
      <c r="LS5" s="98"/>
      <c r="LT5" s="98"/>
      <c r="LU5" s="98"/>
      <c r="LV5" s="102"/>
      <c r="LW5" s="161">
        <f>IFERROR((((COUNTIF('Elève (3ème1)'!LQ5:LV5,"A"))*4)+((COUNTIF('Elève (3ème1)'!LQ5:LV5,"B"))*3)+((COUNTIF('Elève (3ème1)'!LQ5:LV5,"C"))*2)+((COUNTIF('Elève (3ème1)'!LQ5:LV5,"D"))*1))/(COUNTA(LQ5:LV5)),"")</f>
        <v>2.5</v>
      </c>
      <c r="LX5" s="162" t="str">
        <f t="shared" si="86"/>
        <v>C</v>
      </c>
      <c r="LY5" s="161">
        <f>IF(COUNT(LI5,LO5,LW5)=0,"",SUM(LI5,LO5,LW5)/COUNT(LI5,LO5,LW5))</f>
        <v>2</v>
      </c>
      <c r="LZ5" s="186" t="str">
        <f t="shared" si="87"/>
        <v>C</v>
      </c>
      <c r="MA5" s="96" t="s">
        <v>27</v>
      </c>
      <c r="MB5" s="97" t="s">
        <v>29</v>
      </c>
      <c r="MC5" s="98"/>
      <c r="MD5" s="161">
        <f>IFERROR((((COUNTIF('Elève (3ème1)'!MA5:MC5,"A"))*4)+((COUNTIF('Elève (3ème1)'!MA5:MC5,"B"))*3)+((COUNTIF('Elève (3ème1)'!MA5:MC5,"C"))*2)+((COUNTIF('Elève (3ème1)'!MA5:MC5,"D"))*1))/(COUNTA(MA5:MC5)),"")</f>
        <v>3</v>
      </c>
      <c r="ME5" s="162" t="str">
        <f t="shared" si="88"/>
        <v>B</v>
      </c>
      <c r="MF5" s="96"/>
      <c r="MG5" s="97"/>
      <c r="MH5" s="98"/>
      <c r="MI5" s="98"/>
      <c r="MJ5" s="161" t="str">
        <f>IFERROR((((COUNTIF('Elève (3ème1)'!MF5:MI5,"A"))*4)+((COUNTIF('Elève (3ème1)'!MF5:MI5,"B"))*3)+((COUNTIF('Elève (3ème1)'!MF5:MI5,"C"))*2)+((COUNTIF('Elève (3ème1)'!MF5:MI5,"D"))*1))/(COUNTA(MF5:MI5)),"")</f>
        <v/>
      </c>
      <c r="MK5" s="162" t="str">
        <f t="shared" si="89"/>
        <v/>
      </c>
      <c r="ML5" s="96" t="s">
        <v>29</v>
      </c>
      <c r="MM5" s="97" t="s">
        <v>29</v>
      </c>
      <c r="MN5" s="98"/>
      <c r="MO5" s="98"/>
      <c r="MP5" s="98"/>
      <c r="MQ5" s="102"/>
      <c r="MR5" s="161">
        <f>IFERROR((((COUNTIF('Elève (3ème1)'!ML5:MQ5,"A"))*4)+((COUNTIF('Elève (3ème1)'!ML5:MQ5,"B"))*3)+((COUNTIF('Elève (3ème1)'!ML5:MQ5,"C"))*2)+((COUNTIF('Elève (3ème1)'!ML5:MQ5,"D"))*1))/(COUNTA(ML5:MQ5)),"")</f>
        <v>2</v>
      </c>
      <c r="MS5" s="162" t="str">
        <f t="shared" si="90"/>
        <v>C</v>
      </c>
      <c r="MT5" s="161">
        <f>IF(COUNT(MD5,MJ5,MR5)=0,"",SUM(MD5,MJ5,MR5)/COUNT(MD5,MJ5,MR5))</f>
        <v>2.5</v>
      </c>
      <c r="MU5" s="186" t="str">
        <f t="shared" si="91"/>
        <v>C</v>
      </c>
      <c r="MV5" s="96" t="s">
        <v>27</v>
      </c>
      <c r="MW5" s="97" t="s">
        <v>30</v>
      </c>
      <c r="MX5" s="98"/>
      <c r="MY5" s="161">
        <f>IFERROR((((COUNTIF('Elève (3ème1)'!MV5:MX5,"A"))*4)+((COUNTIF('Elève (3ème1)'!MV5:MX5,"B"))*3)+((COUNTIF('Elève (3ème1)'!MV5:MX5,"C"))*2)+((COUNTIF('Elève (3ème1)'!MV5:MX5,"D"))*1))/(COUNTA(MV5:MX5)),"")</f>
        <v>2.5</v>
      </c>
      <c r="MZ5" s="162" t="str">
        <f t="shared" si="92"/>
        <v>C</v>
      </c>
      <c r="NA5" s="96"/>
      <c r="NB5" s="97"/>
      <c r="NC5" s="98"/>
      <c r="ND5" s="98"/>
      <c r="NE5" s="161" t="str">
        <f>IFERROR((((COUNTIF('Elève (3ème1)'!NA5:ND5,"A"))*4)+((COUNTIF('Elève (3ème1)'!NA5:ND5,"B"))*3)+((COUNTIF('Elève (3ème1)'!NA5:ND5,"C"))*2)+((COUNTIF('Elève (3ème1)'!NA5:ND5,"D"))*1))/(COUNTA(NA5:ND5)),"")</f>
        <v/>
      </c>
      <c r="NF5" s="162" t="str">
        <f t="shared" si="93"/>
        <v/>
      </c>
      <c r="NG5" s="96" t="s">
        <v>28</v>
      </c>
      <c r="NH5" s="97" t="s">
        <v>28</v>
      </c>
      <c r="NI5" s="98"/>
      <c r="NJ5" s="98"/>
      <c r="NK5" s="98"/>
      <c r="NL5" s="102"/>
      <c r="NM5" s="161">
        <f>IFERROR((((COUNTIF('Elève (3ème1)'!NG5:NL5,"A"))*4)+((COUNTIF('Elève (3ème1)'!NG5:NL5,"B"))*3)+((COUNTIF('Elève (3ème1)'!NG5:NL5,"C"))*2)+((COUNTIF('Elève (3ème1)'!NG5:NL5,"D"))*1))/(COUNTA(NG5:NL5)),"")</f>
        <v>3</v>
      </c>
      <c r="NN5" s="162" t="str">
        <f t="shared" si="94"/>
        <v>B</v>
      </c>
      <c r="NO5" s="161">
        <f>IF(COUNT(MY5,NE5,NM5)=0,"",SUM(MY5,NE5,NM5)/COUNT(MY5,NE5,NM5))</f>
        <v>2.75</v>
      </c>
      <c r="NP5" s="186" t="str">
        <f t="shared" si="95"/>
        <v>C</v>
      </c>
      <c r="NQ5" s="96" t="s">
        <v>28</v>
      </c>
      <c r="NR5" s="97" t="s">
        <v>27</v>
      </c>
      <c r="NS5" s="98"/>
      <c r="NT5" s="161">
        <f>IFERROR((((COUNTIF('Elève (3ème1)'!NQ5:NS5,"A"))*4)+((COUNTIF('Elève (3ème1)'!NQ5:NS5,"B"))*3)+((COUNTIF('Elève (3ème1)'!NQ5:NS5,"C"))*2)+((COUNTIF('Elève (3ème1)'!NQ5:NS5,"D"))*1))/(COUNTA(NQ5:NS5)),"")</f>
        <v>3.5</v>
      </c>
      <c r="NU5" s="162" t="str">
        <f t="shared" si="96"/>
        <v>B</v>
      </c>
      <c r="NV5" s="96"/>
      <c r="NW5" s="97"/>
      <c r="NX5" s="98"/>
      <c r="NY5" s="98"/>
      <c r="NZ5" s="161" t="str">
        <f>IFERROR((((COUNTIF('Elève (3ème1)'!NV5:NY5,"A"))*4)+((COUNTIF('Elève (3ème1)'!NV5:NY5,"B"))*3)+((COUNTIF('Elève (3ème1)'!NV5:NY5,"C"))*2)+((COUNTIF('Elève (3ème1)'!NV5:NY5,"D"))*1))/(COUNTA(NV5:NY5)),"")</f>
        <v/>
      </c>
      <c r="OA5" s="162" t="str">
        <f t="shared" si="97"/>
        <v/>
      </c>
      <c r="OB5" s="96" t="s">
        <v>29</v>
      </c>
      <c r="OC5" s="97" t="s">
        <v>29</v>
      </c>
      <c r="OD5" s="98"/>
      <c r="OE5" s="98"/>
      <c r="OF5" s="98"/>
      <c r="OG5" s="102"/>
      <c r="OH5" s="161">
        <f>IFERROR((((COUNTIF('Elève (3ème1)'!OB5:OG5,"A"))*4)+((COUNTIF('Elève (3ème1)'!OB5:OG5,"B"))*3)+((COUNTIF('Elève (3ème1)'!OB5:OG5,"C"))*2)+((COUNTIF('Elève (3ème1)'!OB5:OG5,"D"))*1))/(COUNTA(OB5:OG5)),"")</f>
        <v>2</v>
      </c>
      <c r="OI5" s="162" t="str">
        <f t="shared" si="98"/>
        <v>C</v>
      </c>
      <c r="OJ5" s="161">
        <f>IF(COUNT(NT5,NZ5,OH5)=0,"",SUM(NT5,NZ5,OH5)/COUNT(NT5,NZ5,OH5))</f>
        <v>2.75</v>
      </c>
      <c r="OK5" s="186" t="str">
        <f t="shared" si="99"/>
        <v>C</v>
      </c>
      <c r="OL5" s="96" t="s">
        <v>27</v>
      </c>
      <c r="OM5" s="97" t="s">
        <v>28</v>
      </c>
      <c r="ON5" s="98"/>
      <c r="OO5" s="161">
        <f>IFERROR((((COUNTIF('Elève (3ème1)'!OL5:ON5,"A"))*4)+((COUNTIF('Elève (3ème1)'!OL5:ON5,"B"))*3)+((COUNTIF('Elève (3ème1)'!OL5:ON5,"C"))*2)+((COUNTIF('Elève (3ème1)'!OL5:ON5,"D"))*1))/(COUNTA(OL5:ON5)),"")</f>
        <v>3.5</v>
      </c>
      <c r="OP5" s="162" t="str">
        <f t="shared" si="100"/>
        <v>B</v>
      </c>
      <c r="OQ5" s="96"/>
      <c r="OR5" s="97"/>
      <c r="OS5" s="98"/>
      <c r="OT5" s="98"/>
      <c r="OU5" s="161" t="str">
        <f>IFERROR((((COUNTIF('Elève (3ème1)'!OQ5:OT5,"A"))*4)+((COUNTIF('Elève (3ème1)'!OQ5:OT5,"B"))*3)+((COUNTIF('Elève (3ème1)'!OQ5:OT5,"C"))*2)+((COUNTIF('Elève (3ème1)'!OQ5:OT5,"D"))*1))/(COUNTA(OQ5:OT5)),"")</f>
        <v/>
      </c>
      <c r="OV5" s="162" t="str">
        <f t="shared" si="101"/>
        <v/>
      </c>
      <c r="OW5" s="96" t="s">
        <v>27</v>
      </c>
      <c r="OX5" s="97" t="s">
        <v>30</v>
      </c>
      <c r="OY5" s="98"/>
      <c r="OZ5" s="98"/>
      <c r="PA5" s="98"/>
      <c r="PB5" s="102"/>
      <c r="PC5" s="161">
        <f>IFERROR((((COUNTIF('Elève (3ème1)'!OW5:PB5,"A"))*4)+((COUNTIF('Elève (3ème1)'!OW5:PB5,"B"))*3)+((COUNTIF('Elève (3ème1)'!OW5:PB5,"C"))*2)+((COUNTIF('Elève (3ème1)'!OW5:PB5,"D"))*1))/(COUNTA(OW5:PB5)),"")</f>
        <v>2.5</v>
      </c>
      <c r="PD5" s="162" t="str">
        <f t="shared" si="102"/>
        <v>C</v>
      </c>
      <c r="PE5" s="161">
        <f>IF(COUNT(OO5,OU5,PC5)=0,"",SUM(OO5,OU5,PC5)/COUNT(OO5,OU5,PC5))</f>
        <v>3</v>
      </c>
      <c r="PF5" s="186" t="str">
        <f t="shared" si="103"/>
        <v>B</v>
      </c>
      <c r="PG5" s="96" t="s">
        <v>27</v>
      </c>
      <c r="PH5" s="97" t="s">
        <v>27</v>
      </c>
      <c r="PI5" s="98"/>
      <c r="PJ5" s="161">
        <f>IFERROR((((COUNTIF('Elève (3ème1)'!PG5:PI5,"A"))*4)+((COUNTIF('Elève (3ème1)'!PG5:PI5,"B"))*3)+((COUNTIF('Elève (3ème1)'!PG5:PI5,"C"))*2)+((COUNTIF('Elève (3ème1)'!PG5:PI5,"D"))*1))/(COUNTA(PG5:PI5)),"")</f>
        <v>4</v>
      </c>
      <c r="PK5" s="162" t="str">
        <f t="shared" si="104"/>
        <v>A</v>
      </c>
      <c r="PL5" s="96"/>
      <c r="PM5" s="97"/>
      <c r="PN5" s="98"/>
      <c r="PO5" s="98"/>
      <c r="PP5" s="161" t="str">
        <f>IFERROR((((COUNTIF('Elève (3ème1)'!PL5:PO5,"A"))*4)+((COUNTIF('Elève (3ème1)'!PL5:PO5,"B"))*3)+((COUNTIF('Elève (3ème1)'!PL5:PO5,"C"))*2)+((COUNTIF('Elève (3ème1)'!PL5:PO5,"D"))*1))/(COUNTA(PL5:PO5)),"")</f>
        <v/>
      </c>
      <c r="PQ5" s="162" t="str">
        <f t="shared" si="105"/>
        <v/>
      </c>
      <c r="PR5" s="96" t="s">
        <v>27</v>
      </c>
      <c r="PS5" s="97" t="s">
        <v>27</v>
      </c>
      <c r="PT5" s="98"/>
      <c r="PU5" s="98"/>
      <c r="PV5" s="98"/>
      <c r="PW5" s="102"/>
      <c r="PX5" s="161">
        <f>IFERROR((((COUNTIF('Elève (3ème1)'!PR5:PW5,"A"))*4)+((COUNTIF('Elève (3ème1)'!PR5:PW5,"B"))*3)+((COUNTIF('Elève (3ème1)'!PR5:PW5,"C"))*2)+((COUNTIF('Elève (3ème1)'!PR5:PW5,"D"))*1))/(COUNTA(PR5:PW5)),"")</f>
        <v>4</v>
      </c>
      <c r="PY5" s="162" t="str">
        <f t="shared" si="106"/>
        <v>A</v>
      </c>
      <c r="PZ5" s="161">
        <f>IF(COUNT(PJ5,PP5,PX5)=0,"",SUM(PJ5,PP5,PX5)/COUNT(PJ5,PP5,PX5))</f>
        <v>4</v>
      </c>
      <c r="QA5" s="186" t="str">
        <f t="shared" si="107"/>
        <v>A</v>
      </c>
      <c r="QB5" s="96" t="s">
        <v>27</v>
      </c>
      <c r="QC5" s="97" t="s">
        <v>28</v>
      </c>
      <c r="QD5" s="98"/>
      <c r="QE5" s="161">
        <f>IFERROR((((COUNTIF('Elève (3ème1)'!QB5:QD5,"A"))*4)+((COUNTIF('Elève (3ème1)'!QB5:QD5,"B"))*3)+((COUNTIF('Elève (3ème1)'!QB5:QD5,"C"))*2)+((COUNTIF('Elève (3ème1)'!QB5:QD5,"D"))*1))/(COUNTA(QB5:QD5)),"")</f>
        <v>3.5</v>
      </c>
      <c r="QF5" s="162" t="str">
        <f t="shared" si="108"/>
        <v>B</v>
      </c>
      <c r="QG5" s="96"/>
      <c r="QH5" s="97"/>
      <c r="QI5" s="98"/>
      <c r="QJ5" s="98"/>
      <c r="QK5" s="161" t="str">
        <f>IFERROR((((COUNTIF('Elève (3ème1)'!QG5:QJ5,"A"))*4)+((COUNTIF('Elève (3ème1)'!QG5:QJ5,"B"))*3)+((COUNTIF('Elève (3ème1)'!QG5:QJ5,"C"))*2)+((COUNTIF('Elève (3ème1)'!QG5:QJ5,"D"))*1))/(COUNTA(QG5:QJ5)),"")</f>
        <v/>
      </c>
      <c r="QL5" s="162" t="str">
        <f t="shared" si="109"/>
        <v/>
      </c>
      <c r="QM5" s="96" t="s">
        <v>27</v>
      </c>
      <c r="QN5" s="97" t="s">
        <v>28</v>
      </c>
      <c r="QO5" s="98"/>
      <c r="QP5" s="98"/>
      <c r="QQ5" s="98"/>
      <c r="QR5" s="102"/>
      <c r="QS5" s="161">
        <f>IFERROR((((COUNTIF('Elève (3ème1)'!QM5:QR5,"A"))*4)+((COUNTIF('Elève (3ème1)'!QM5:QR5,"B"))*3)+((COUNTIF('Elève (3ème1)'!QM5:QR5,"C"))*2)+((COUNTIF('Elève (3ème1)'!QM5:QR5,"D"))*1))/(COUNTA(QM5:QR5)),"")</f>
        <v>3.5</v>
      </c>
      <c r="QT5" s="162" t="str">
        <f t="shared" si="110"/>
        <v>B</v>
      </c>
      <c r="QU5" s="161">
        <f>IF(COUNT(QE5,QK5,QS5)=0,"",SUM(QE5,QK5,QS5)/COUNT(QE5,QK5,QS5))</f>
        <v>3.5</v>
      </c>
      <c r="QV5" s="186" t="str">
        <f t="shared" si="111"/>
        <v>B</v>
      </c>
      <c r="QW5" s="96" t="s">
        <v>30</v>
      </c>
      <c r="QX5" s="97" t="s">
        <v>28</v>
      </c>
      <c r="QY5" s="98"/>
      <c r="QZ5" s="161">
        <f>IFERROR((((COUNTIF('Elève (3ème1)'!QW5:QY5,"A"))*4)+((COUNTIF('Elève (3ème1)'!QW5:QY5,"B"))*3)+((COUNTIF('Elève (3ème1)'!QW5:QY5,"C"))*2)+((COUNTIF('Elève (3ème1)'!QW5:QY5,"D"))*1))/(COUNTA(QW5:QY5)),"")</f>
        <v>2</v>
      </c>
      <c r="RA5" s="162" t="str">
        <f t="shared" si="112"/>
        <v>C</v>
      </c>
      <c r="RB5" s="96"/>
      <c r="RC5" s="97"/>
      <c r="RD5" s="98"/>
      <c r="RE5" s="98"/>
      <c r="RF5" s="161" t="str">
        <f>IFERROR((((COUNTIF('Elève (3ème1)'!RB5:RE5,"A"))*4)+((COUNTIF('Elève (3ème1)'!RB5:RE5,"B"))*3)+((COUNTIF('Elève (3ème1)'!RB5:RE5,"C"))*2)+((COUNTIF('Elève (3ème1)'!RB5:RE5,"D"))*1))/(COUNTA(RB5:RE5)),"")</f>
        <v/>
      </c>
      <c r="RG5" s="162" t="str">
        <f t="shared" si="113"/>
        <v/>
      </c>
      <c r="RH5" s="96" t="s">
        <v>29</v>
      </c>
      <c r="RI5" s="97" t="s">
        <v>28</v>
      </c>
      <c r="RJ5" s="98"/>
      <c r="RK5" s="98"/>
      <c r="RL5" s="98"/>
      <c r="RM5" s="102"/>
      <c r="RN5" s="161">
        <f>IFERROR((((COUNTIF('Elève (3ème1)'!RH5:RM5,"A"))*4)+((COUNTIF('Elève (3ème1)'!RH5:RM5,"B"))*3)+((COUNTIF('Elève (3ème1)'!RH5:RM5,"C"))*2)+((COUNTIF('Elève (3ème1)'!RH5:RM5,"D"))*1))/(COUNTA(RH5:RM5)),"")</f>
        <v>2.5</v>
      </c>
      <c r="RO5" s="162" t="str">
        <f t="shared" si="114"/>
        <v>C</v>
      </c>
      <c r="RP5" s="161">
        <f>IF(COUNT(QZ5,RF5,RN5)=0,"",SUM(QZ5,RF5,RN5)/COUNT(QZ5,RF5,RN5))</f>
        <v>2.25</v>
      </c>
      <c r="RQ5" s="186" t="str">
        <f t="shared" si="115"/>
        <v>C</v>
      </c>
      <c r="RR5" s="96" t="s">
        <v>27</v>
      </c>
      <c r="RS5" s="97" t="s">
        <v>28</v>
      </c>
      <c r="RT5" s="98"/>
      <c r="RU5" s="161">
        <f>IFERROR((((COUNTIF('Elève (3ème1)'!RR5:RT5,"A"))*4)+((COUNTIF('Elève (3ème1)'!RR5:RT5,"B"))*3)+((COUNTIF('Elève (3ème1)'!RR5:RT5,"C"))*2)+((COUNTIF('Elève (3ème1)'!RR5:RT5,"D"))*1))/(COUNTA(RR5:RT5)),"")</f>
        <v>3.5</v>
      </c>
      <c r="RV5" s="162" t="str">
        <f t="shared" si="116"/>
        <v>B</v>
      </c>
      <c r="RW5" s="96"/>
      <c r="RX5" s="97"/>
      <c r="RY5" s="98"/>
      <c r="RZ5" s="98"/>
      <c r="SA5" s="161" t="str">
        <f>IFERROR((((COUNTIF('Elève (3ème1)'!RW5:RZ5,"A"))*4)+((COUNTIF('Elève (3ème1)'!RW5:RZ5,"B"))*3)+((COUNTIF('Elève (3ème1)'!RW5:RZ5,"C"))*2)+((COUNTIF('Elève (3ème1)'!RW5:RZ5,"D"))*1))/(COUNTA(RW5:RZ5)),"")</f>
        <v/>
      </c>
      <c r="SB5" s="162" t="str">
        <f t="shared" si="117"/>
        <v/>
      </c>
      <c r="SC5" s="96" t="s">
        <v>27</v>
      </c>
      <c r="SD5" s="97" t="s">
        <v>28</v>
      </c>
      <c r="SE5" s="98"/>
      <c r="SF5" s="98"/>
      <c r="SG5" s="98"/>
      <c r="SH5" s="102"/>
      <c r="SI5" s="161">
        <f>IFERROR((((COUNTIF('Elève (3ème1)'!SC5:SH5,"A"))*4)+((COUNTIF('Elève (3ème1)'!SC5:SH5,"B"))*3)+((COUNTIF('Elève (3ème1)'!SC5:SH5,"C"))*2)+((COUNTIF('Elève (3ème1)'!SC5:SH5,"D"))*1))/(COUNTA(SC5:SH5)),"")</f>
        <v>3.5</v>
      </c>
      <c r="SJ5" s="162" t="str">
        <f t="shared" si="118"/>
        <v>B</v>
      </c>
      <c r="SK5" s="161">
        <f>IF(COUNT(RU5,SA5,SI5)=0,"",SUM(RU5,SA5,SI5)/COUNT(RU5,SA5,SI5))</f>
        <v>3.5</v>
      </c>
      <c r="SL5" s="186" t="str">
        <f t="shared" si="119"/>
        <v>B</v>
      </c>
      <c r="SM5" s="96" t="s">
        <v>30</v>
      </c>
      <c r="SN5" s="97" t="s">
        <v>28</v>
      </c>
      <c r="SO5" s="98"/>
      <c r="SP5" s="161">
        <f>IFERROR((((COUNTIF('Elève (3ème1)'!SM5:SO5,"A"))*4)+((COUNTIF('Elève (3ème1)'!SM5:SO5,"B"))*3)+((COUNTIF('Elève (3ème1)'!SM5:SO5,"C"))*2)+((COUNTIF('Elève (3ème1)'!SM5:SO5,"D"))*1))/(COUNTA(SM5:SO5)),"")</f>
        <v>2</v>
      </c>
      <c r="SQ5" s="162" t="str">
        <f t="shared" si="120"/>
        <v>C</v>
      </c>
      <c r="SR5" s="96"/>
      <c r="SS5" s="97"/>
      <c r="ST5" s="98"/>
      <c r="SU5" s="98"/>
      <c r="SV5" s="161" t="str">
        <f>IFERROR((((COUNTIF('Elève (3ème1)'!SR5:SU5,"A"))*4)+((COUNTIF('Elève (3ème1)'!SR5:SU5,"B"))*3)+((COUNTIF('Elève (3ème1)'!SR5:SU5,"C"))*2)+((COUNTIF('Elève (3ème1)'!SR5:SU5,"D"))*1))/(COUNTA(SR5:SU5)),"")</f>
        <v/>
      </c>
      <c r="SW5" s="162" t="str">
        <f t="shared" si="121"/>
        <v/>
      </c>
      <c r="SX5" s="96" t="s">
        <v>29</v>
      </c>
      <c r="SY5" s="97" t="s">
        <v>29</v>
      </c>
      <c r="SZ5" s="98"/>
      <c r="TA5" s="98"/>
      <c r="TB5" s="98"/>
      <c r="TC5" s="102"/>
      <c r="TD5" s="161">
        <f>IFERROR((((COUNTIF('Elève (3ème1)'!SX5:TC5,"A"))*4)+((COUNTIF('Elève (3ème1)'!SX5:TC5,"B"))*3)+((COUNTIF('Elève (3ème1)'!SX5:TC5,"C"))*2)+((COUNTIF('Elève (3ème1)'!SX5:TC5,"D"))*1))/(COUNTA(SX5:TC5)),"")</f>
        <v>2</v>
      </c>
      <c r="TE5" s="162" t="str">
        <f t="shared" si="122"/>
        <v>C</v>
      </c>
      <c r="TF5" s="161">
        <f>IF(COUNT(SP5,SV5,TD5)=0,"",SUM(SP5,SV5,TD5)/COUNT(SP5,SV5,TD5))</f>
        <v>2</v>
      </c>
      <c r="TG5" s="186" t="str">
        <f t="shared" si="123"/>
        <v>C</v>
      </c>
      <c r="TH5" s="96"/>
      <c r="TI5" s="97"/>
      <c r="TJ5" s="98"/>
      <c r="TK5" s="99" t="str">
        <f>IFERROR((((COUNTIF('Elève (3ème1)'!TH5:TJ5,"A"))*4)+((COUNTIF('Elève (3ème1)'!TH5:TJ5,"B"))*3)+((COUNTIF('Elève (3ème1)'!TH5:TJ5,"C"))*2)+((COUNTIF('Elève (3ème1)'!TH5:TJ5,"D"))*1))/(COUNTA(TH5:TJ5)),"")</f>
        <v/>
      </c>
      <c r="TL5" s="100" t="str">
        <f t="shared" si="124"/>
        <v/>
      </c>
      <c r="TM5" s="96"/>
      <c r="TN5" s="97"/>
      <c r="TO5" s="98"/>
      <c r="TP5" s="99" t="str">
        <f>IFERROR((((COUNTIF('Elève (3ème1)'!TM5:TO5,"A"))*4)+((COUNTIF('Elève (3ème1)'!TM5:TO5,"B"))*3)+((COUNTIF('Elève (3ème1)'!TM5:TO5,"C"))*2)+((COUNTIF('Elève (3ème1)'!TM5:TO5,"D"))*1))/(COUNTA(TM5:TO5)),"")</f>
        <v/>
      </c>
      <c r="TQ5" s="100" t="str">
        <f t="shared" si="125"/>
        <v/>
      </c>
      <c r="TR5" s="96"/>
      <c r="TS5" s="97"/>
      <c r="TT5" s="102"/>
      <c r="TU5" s="99" t="str">
        <f>IFERROR((((COUNTIF('Elève (3ème1)'!TR5:TT5,"A"))*4)+((COUNTIF('Elève (3ème1)'!TR5:TT5,"B"))*3)+((COUNTIF('Elève (3ème1)'!TR5:TT5,"C"))*2)+((COUNTIF('Elève (3ème1)'!TR5:TT5,"D"))*1))/(COUNTA(TR5:TT5)),"")</f>
        <v/>
      </c>
      <c r="TV5" s="100" t="str">
        <f t="shared" si="126"/>
        <v/>
      </c>
      <c r="TW5" s="99" t="str">
        <f>IF(COUNT(TK5,TP5,TU5)=0,"",SUM(TK5,TP5,TU5)/COUNT(TK5,TP5,TU5))</f>
        <v/>
      </c>
      <c r="TX5" s="101" t="str">
        <f t="shared" si="127"/>
        <v/>
      </c>
      <c r="TY5" s="96"/>
      <c r="TZ5" s="97"/>
      <c r="UA5" s="98"/>
      <c r="UB5" s="99" t="str">
        <f>IFERROR((((COUNTIF('Elève (3ème1)'!TY5:UA5,"A"))*4)+((COUNTIF('Elève (3ème1)'!TY5:UA5,"B"))*3)+((COUNTIF('Elève (3ème1)'!TY5:UA5,"C"))*2)+((COUNTIF('Elève (3ème1)'!TY5:UA5,"D"))*1))/(COUNTA(TY5:UA5)),"")</f>
        <v/>
      </c>
      <c r="UC5" s="100" t="str">
        <f t="shared" si="128"/>
        <v/>
      </c>
      <c r="UD5" s="96"/>
      <c r="UE5" s="97"/>
      <c r="UF5" s="98"/>
      <c r="UG5" s="99" t="str">
        <f>IFERROR((((COUNTIF('Elève (3ème1)'!UD5:UF5,"A"))*4)+((COUNTIF('Elève (3ème1)'!UD5:UF5,"B"))*3)+((COUNTIF('Elève (3ème1)'!UD5:UF5,"C"))*2)+((COUNTIF('Elève (3ème1)'!UD5:UF5,"D"))*1))/(COUNTA(UD5:UF5)),"")</f>
        <v/>
      </c>
      <c r="UH5" s="100" t="str">
        <f t="shared" si="129"/>
        <v/>
      </c>
      <c r="UI5" s="96"/>
      <c r="UJ5" s="97"/>
      <c r="UK5" s="102"/>
      <c r="UL5" s="99" t="str">
        <f>IFERROR((((COUNTIF('Elève (3ème1)'!UI5:UK5,"A"))*4)+((COUNTIF('Elève (3ème1)'!UI5:UK5,"B"))*3)+((COUNTIF('Elève (3ème1)'!UI5:UK5,"C"))*2)+((COUNTIF('Elève (3ème1)'!UI5:UK5,"D"))*1))/(COUNTA(UI5:UK5)),"")</f>
        <v/>
      </c>
      <c r="UM5" s="100" t="str">
        <f t="shared" si="130"/>
        <v/>
      </c>
      <c r="UN5" s="99" t="str">
        <f>IF(COUNT(UB5,UG5,UL5)=0,"",SUM(UB5,UG5,UL5)/COUNT(UB5,UG5,UL5))</f>
        <v/>
      </c>
      <c r="UO5" s="101" t="str">
        <f t="shared" si="131"/>
        <v/>
      </c>
      <c r="UP5" s="96"/>
      <c r="UQ5" s="97"/>
      <c r="UR5" s="98"/>
      <c r="US5" s="99" t="str">
        <f>IFERROR((((COUNTIF('Elève (3ème1)'!UP5:UR5,"A"))*4)+((COUNTIF('Elève (3ème1)'!UP5:UR5,"B"))*3)+((COUNTIF('Elève (3ème1)'!UP5:UR5,"C"))*2)+((COUNTIF('Elève (3ème1)'!UP5:UR5,"D"))*1))/(COUNTA(UP5:UR5)),"")</f>
        <v/>
      </c>
      <c r="UT5" s="100" t="str">
        <f t="shared" si="132"/>
        <v/>
      </c>
      <c r="UU5" s="96"/>
      <c r="UV5" s="97"/>
      <c r="UW5" s="98"/>
      <c r="UX5" s="99" t="str">
        <f>IFERROR((((COUNTIF('Elève (3ème1)'!UU5:UW5,"A"))*4)+((COUNTIF('Elève (3ème1)'!UU5:UW5,"B"))*3)+((COUNTIF('Elève (3ème1)'!UU5:UW5,"C"))*2)+((COUNTIF('Elève (3ème1)'!UU5:UW5,"D"))*1))/(COUNTA(UU5:UW5)),"")</f>
        <v/>
      </c>
      <c r="UY5" s="100" t="str">
        <f t="shared" si="133"/>
        <v/>
      </c>
      <c r="UZ5" s="96"/>
      <c r="VA5" s="97"/>
      <c r="VB5" s="102"/>
      <c r="VC5" s="99" t="str">
        <f>IFERROR((((COUNTIF('Elève (3ème1)'!UZ5:VB5,"A"))*4)+((COUNTIF('Elève (3ème1)'!UZ5:VB5,"B"))*3)+((COUNTIF('Elève (3ème1)'!UZ5:VB5,"C"))*2)+((COUNTIF('Elève (3ème1)'!UZ5:VB5,"D"))*1))/(COUNTA(UZ5:VB5)),"")</f>
        <v/>
      </c>
      <c r="VD5" s="100" t="str">
        <f t="shared" si="134"/>
        <v/>
      </c>
      <c r="VE5" s="99" t="str">
        <f>IF(COUNT(US5,UX5,VC5)=0,"",SUM(US5,UX5,VC5)/COUNT(US5,UX5,VC5))</f>
        <v/>
      </c>
      <c r="VF5" s="101" t="str">
        <f t="shared" si="135"/>
        <v/>
      </c>
      <c r="VG5" s="96"/>
      <c r="VH5" s="97"/>
      <c r="VI5" s="98"/>
      <c r="VJ5" s="99" t="str">
        <f>IFERROR((((COUNTIF('Elève (3ème1)'!VG5:VI5,"A"))*4)+((COUNTIF('Elève (3ème1)'!VG5:VI5,"B"))*3)+((COUNTIF('Elève (3ème1)'!VG5:VI5,"C"))*2)+((COUNTIF('Elève (3ème1)'!VG5:VI5,"D"))*1))/(COUNTA(VG5:VI5)),"")</f>
        <v/>
      </c>
      <c r="VK5" s="100" t="str">
        <f t="shared" si="136"/>
        <v/>
      </c>
      <c r="VL5" s="96"/>
      <c r="VM5" s="97"/>
      <c r="VN5" s="98"/>
      <c r="VO5" s="99" t="str">
        <f>IFERROR((((COUNTIF('Elève (3ème1)'!VL5:VN5,"A"))*4)+((COUNTIF('Elève (3ème1)'!VL5:VN5,"B"))*3)+((COUNTIF('Elève (3ème1)'!VL5:VN5,"C"))*2)+((COUNTIF('Elève (3ème1)'!VL5:VN5,"D"))*1))/(COUNTA(VL5:VN5)),"")</f>
        <v/>
      </c>
      <c r="VP5" s="100" t="str">
        <f t="shared" si="137"/>
        <v/>
      </c>
      <c r="VQ5" s="96"/>
      <c r="VR5" s="97"/>
      <c r="VS5" s="102"/>
      <c r="VT5" s="99" t="str">
        <f>IFERROR((((COUNTIF('Elève (3ème1)'!VQ5:VS5,"A"))*4)+((COUNTIF('Elève (3ème1)'!VQ5:VS5,"B"))*3)+((COUNTIF('Elève (3ème1)'!VQ5:VS5,"C"))*2)+((COUNTIF('Elève (3ème1)'!VQ5:VS5,"D"))*1))/(COUNTA(VQ5:VS5)),"")</f>
        <v/>
      </c>
      <c r="VU5" s="100" t="str">
        <f t="shared" si="138"/>
        <v/>
      </c>
      <c r="VV5" s="99" t="str">
        <f>IF(COUNT(VJ5,VO5,VT5)=0,"",SUM(VJ5,VO5,VT5)/COUNT(VJ5,VO5,VT5))</f>
        <v/>
      </c>
      <c r="VW5" s="101" t="str">
        <f t="shared" si="139"/>
        <v/>
      </c>
      <c r="VX5" s="96"/>
      <c r="VY5" s="97"/>
      <c r="VZ5" s="98"/>
      <c r="WA5" s="99" t="str">
        <f>IFERROR((((COUNTIF('Elève (3ème1)'!VX5:VZ5,"A"))*4)+((COUNTIF('Elève (3ème1)'!VX5:VZ5,"B"))*3)+((COUNTIF('Elève (3ème1)'!VX5:VZ5,"C"))*2)+((COUNTIF('Elève (3ème1)'!VX5:VZ5,"D"))*1))/(COUNTA(VX5:VZ5)),"")</f>
        <v/>
      </c>
      <c r="WB5" s="100" t="str">
        <f t="shared" si="140"/>
        <v/>
      </c>
      <c r="WC5" s="96"/>
      <c r="WD5" s="97"/>
      <c r="WE5" s="98"/>
      <c r="WF5" s="99" t="str">
        <f>IFERROR((((COUNTIF('Elève (3ème1)'!WC5:WE5,"A"))*4)+((COUNTIF('Elève (3ème1)'!WC5:WE5,"B"))*3)+((COUNTIF('Elève (3ème1)'!WC5:WE5,"C"))*2)+((COUNTIF('Elève (3ème1)'!WC5:WE5,"D"))*1))/(COUNTA(WC5:WE5)),"")</f>
        <v/>
      </c>
      <c r="WG5" s="100" t="str">
        <f t="shared" si="141"/>
        <v/>
      </c>
      <c r="WH5" s="96"/>
      <c r="WI5" s="97"/>
      <c r="WJ5" s="102"/>
      <c r="WK5" s="99" t="str">
        <f>IFERROR((((COUNTIF('Elève (3ème1)'!WH5:WJ5,"A"))*4)+((COUNTIF('Elève (3ème1)'!WH5:WJ5,"B"))*3)+((COUNTIF('Elève (3ème1)'!WH5:WJ5,"C"))*2)+((COUNTIF('Elève (3ème1)'!WH5:WJ5,"D"))*1))/(COUNTA(WH5:WJ5)),"")</f>
        <v/>
      </c>
      <c r="WL5" s="100" t="str">
        <f t="shared" si="142"/>
        <v/>
      </c>
      <c r="WM5" s="99" t="str">
        <f>IF(COUNT(WA5,WF5,WK5)=0,"",SUM(WA5,WF5,WK5)/COUNT(WA5,WF5,WK5))</f>
        <v/>
      </c>
      <c r="WN5" s="101" t="str">
        <f t="shared" si="143"/>
        <v/>
      </c>
    </row>
    <row r="6" spans="1:612" ht="18" customHeight="1" x14ac:dyDescent="0.55000000000000004">
      <c r="A6" s="221" t="s">
        <v>13</v>
      </c>
      <c r="B6" s="222"/>
      <c r="C6" s="103"/>
      <c r="D6" s="104"/>
      <c r="E6" s="105"/>
      <c r="F6" s="163" t="str">
        <f>IFERROR((((COUNTIF('Elève (3ème1)'!C6:E6,"A"))*4)+((COUNTIF('Elève (3ème1)'!C6:E6,"B"))*3)+((COUNTIF('Elève (3ème1)'!C6:E6,"C"))*2)+((COUNTIF('Elève (3ème1)'!C6:E6,"D"))*1))/(COUNTA(C6:E6)),"")</f>
        <v/>
      </c>
      <c r="G6" s="164" t="str">
        <f t="shared" si="24"/>
        <v/>
      </c>
      <c r="H6" s="103" t="s">
        <v>27</v>
      </c>
      <c r="I6" s="104"/>
      <c r="J6" s="105"/>
      <c r="K6" s="105"/>
      <c r="L6" s="163">
        <f>IFERROR((((COUNTIF('Elève (3ème1)'!H6:K6,"A"))*4)+((COUNTIF('Elève (3ème1)'!H6:K6,"B"))*3)+((COUNTIF('Elève (3ème1)'!H6:K6,"C"))*2)+((COUNTIF('Elève (3ème1)'!H6:K6,"D"))*1))/(COUNTA(H6:K6)),"")</f>
        <v>4</v>
      </c>
      <c r="M6" s="164" t="str">
        <f t="shared" si="25"/>
        <v>A</v>
      </c>
      <c r="N6" s="103" t="s">
        <v>29</v>
      </c>
      <c r="O6" s="104" t="s">
        <v>29</v>
      </c>
      <c r="P6" s="105" t="s">
        <v>28</v>
      </c>
      <c r="Q6" s="105" t="s">
        <v>29</v>
      </c>
      <c r="R6" s="105"/>
      <c r="S6" s="105"/>
      <c r="T6" s="163">
        <f>IFERROR((((COUNTIF('Elève (3ème1)'!N6:S6,"A"))*4)+((COUNTIF('Elève (3ème1)'!N6:S6,"B"))*3)+((COUNTIF('Elève (3ème1)'!N6:S6,"C"))*2)+((COUNTIF('Elève (3ème1)'!N6:S6,"D"))*1))/(COUNTA(N6:S6)),"")</f>
        <v>2.25</v>
      </c>
      <c r="U6" s="164" t="str">
        <f t="shared" si="26"/>
        <v>C</v>
      </c>
      <c r="V6" s="163">
        <f>IF(COUNT(F6,L6,T6)=0,"",SUM(F6,L6,T6)/COUNT(F6,L6,T6))</f>
        <v>3.125</v>
      </c>
      <c r="W6" s="187" t="str">
        <f t="shared" si="27"/>
        <v>B</v>
      </c>
      <c r="X6" s="103"/>
      <c r="Y6" s="104"/>
      <c r="Z6" s="105"/>
      <c r="AA6" s="163" t="str">
        <f>IFERROR((((COUNTIF('Elève (3ème1)'!X6:Z6,"A"))*4)+((COUNTIF('Elève (3ème1)'!X6:Z6,"B"))*3)+((COUNTIF('Elève (3ème1)'!X6:Z6,"C"))*2)+((COUNTIF('Elève (3ème1)'!X6:Z6,"D"))*1))/(COUNTA(X6:Z6)),"")</f>
        <v/>
      </c>
      <c r="AB6" s="164" t="str">
        <f t="shared" si="28"/>
        <v/>
      </c>
      <c r="AC6" s="103" t="s">
        <v>30</v>
      </c>
      <c r="AD6" s="104"/>
      <c r="AE6" s="105"/>
      <c r="AF6" s="105"/>
      <c r="AG6" s="163">
        <f>IFERROR((((COUNTIF('Elève (3ème1)'!AC6:AF6,"A"))*4)+((COUNTIF('Elève (3ème1)'!AC6:AF6,"B"))*3)+((COUNTIF('Elève (3ème1)'!AC6:AF6,"C"))*2)+((COUNTIF('Elève (3ème1)'!AC6:AF6,"D"))*1))/(COUNTA(AC6:AF6)),"")</f>
        <v>1</v>
      </c>
      <c r="AH6" s="164" t="str">
        <f t="shared" si="29"/>
        <v>D</v>
      </c>
      <c r="AI6" s="103" t="s">
        <v>28</v>
      </c>
      <c r="AJ6" s="104" t="s">
        <v>28</v>
      </c>
      <c r="AK6" s="105" t="s">
        <v>27</v>
      </c>
      <c r="AL6" s="105" t="s">
        <v>27</v>
      </c>
      <c r="AM6" s="105"/>
      <c r="AN6" s="109"/>
      <c r="AO6" s="163">
        <f>IFERROR((((COUNTIF('Elève (3ème1)'!AI6:AN6,"A"))*4)+((COUNTIF('Elève (3ème1)'!AI6:AN6,"B"))*3)+((COUNTIF('Elève (3ème1)'!AI6:AN6,"C"))*2)+((COUNTIF('Elève (3ème1)'!AI6:AN6,"D"))*1))/(COUNTA(AI6:AN6)),"")</f>
        <v>3.5</v>
      </c>
      <c r="AP6" s="164" t="str">
        <f t="shared" si="30"/>
        <v>B</v>
      </c>
      <c r="AQ6" s="163">
        <f>IF(COUNT(AA6,AG6,AO6)=0,"",SUM(AA6,AG6,AO6)/COUNT(AA6,AG6,AO6))</f>
        <v>2.25</v>
      </c>
      <c r="AR6" s="187" t="str">
        <f t="shared" si="31"/>
        <v>C</v>
      </c>
      <c r="AS6" s="103"/>
      <c r="AT6" s="104"/>
      <c r="AU6" s="105"/>
      <c r="AV6" s="163" t="str">
        <f>IFERROR((((COUNTIF('Elève (3ème1)'!AS6:AU6,"A"))*4)+((COUNTIF('Elève (3ème1)'!AS6:AU6,"B"))*3)+((COUNTIF('Elève (3ème1)'!AS6:AU6,"C"))*2)+((COUNTIF('Elève (3ème1)'!AS6:AU6,"D"))*1))/(COUNTA(AS6:AU6)),"")</f>
        <v/>
      </c>
      <c r="AW6" s="164" t="str">
        <f t="shared" si="32"/>
        <v/>
      </c>
      <c r="AX6" s="103" t="s">
        <v>29</v>
      </c>
      <c r="AY6" s="104"/>
      <c r="AZ6" s="105"/>
      <c r="BA6" s="105"/>
      <c r="BB6" s="163">
        <f>IFERROR((((COUNTIF('Elève (3ème1)'!AX6:BA6,"A"))*4)+((COUNTIF('Elève (3ème1)'!AX6:BA6,"B"))*3)+((COUNTIF('Elève (3ème1)'!AX6:BA6,"C"))*2)+((COUNTIF('Elève (3ème1)'!AX6:BA6,"D"))*1))/(COUNTA(AX6:BA6)),"")</f>
        <v>2</v>
      </c>
      <c r="BC6" s="164" t="str">
        <f t="shared" si="33"/>
        <v>C</v>
      </c>
      <c r="BD6" s="103" t="s">
        <v>28</v>
      </c>
      <c r="BE6" s="104" t="s">
        <v>29</v>
      </c>
      <c r="BF6" s="105" t="s">
        <v>28</v>
      </c>
      <c r="BG6" s="105" t="s">
        <v>28</v>
      </c>
      <c r="BH6" s="105"/>
      <c r="BI6" s="109"/>
      <c r="BJ6" s="163">
        <f>IFERROR((((COUNTIF('Elève (3ème1)'!BD6:BI6,"A"))*4)+((COUNTIF('Elève (3ème1)'!BD6:BI6,"B"))*3)+((COUNTIF('Elève (3ème1)'!BD6:BI6,"C"))*2)+((COUNTIF('Elève (3ème1)'!BD6:BI6,"D"))*1))/(COUNTA(BD6:BI6)),"")</f>
        <v>2.75</v>
      </c>
      <c r="BK6" s="164" t="str">
        <f t="shared" si="34"/>
        <v>C</v>
      </c>
      <c r="BL6" s="163">
        <f>IF(COUNT(AV6,BB6,BJ6)=0,"",SUM(AV6,BB6,BJ6)/COUNT(AV6,BB6,BJ6))</f>
        <v>2.375</v>
      </c>
      <c r="BM6" s="187" t="str">
        <f t="shared" si="35"/>
        <v>C</v>
      </c>
      <c r="BN6" s="103"/>
      <c r="BO6" s="104"/>
      <c r="BP6" s="105"/>
      <c r="BQ6" s="163" t="str">
        <f>IFERROR((((COUNTIF('Elève (3ème1)'!BN6:BP6,"A"))*4)+((COUNTIF('Elève (3ème1)'!BN6:BP6,"B"))*3)+((COUNTIF('Elève (3ème1)'!BN6:BP6,"C"))*2)+((COUNTIF('Elève (3ème1)'!BN6:BP6,"D"))*1))/(COUNTA(BN6:BP6)),"")</f>
        <v/>
      </c>
      <c r="BR6" s="164" t="str">
        <f t="shared" si="36"/>
        <v/>
      </c>
      <c r="BS6" s="103" t="s">
        <v>28</v>
      </c>
      <c r="BT6" s="104"/>
      <c r="BU6" s="105"/>
      <c r="BV6" s="105"/>
      <c r="BW6" s="163">
        <f>IFERROR((((COUNTIF('Elève (3ème1)'!BS6:BV6,"A"))*4)+((COUNTIF('Elève (3ème1)'!BS6:BV6,"B"))*3)+((COUNTIF('Elève (3ème1)'!BS6:BV6,"C"))*2)+((COUNTIF('Elève (3ème1)'!BS6:BV6,"D"))*1))/(COUNTA(BS6:BV6)),"")</f>
        <v>3</v>
      </c>
      <c r="BX6" s="164" t="str">
        <f t="shared" si="37"/>
        <v>B</v>
      </c>
      <c r="BY6" s="103" t="s">
        <v>28</v>
      </c>
      <c r="BZ6" s="104" t="s">
        <v>28</v>
      </c>
      <c r="CA6" s="105" t="s">
        <v>29</v>
      </c>
      <c r="CB6" s="105" t="s">
        <v>28</v>
      </c>
      <c r="CC6" s="105"/>
      <c r="CD6" s="109"/>
      <c r="CE6" s="163">
        <f>IFERROR((((COUNTIF('Elève (3ème1)'!BY6:CD6,"A"))*4)+((COUNTIF('Elève (3ème1)'!BY6:CD6,"B"))*3)+((COUNTIF('Elève (3ème1)'!BY6:CD6,"C"))*2)+((COUNTIF('Elève (3ème1)'!BY6:CD6,"D"))*1))/(COUNTA(BY6:CD6)),"")</f>
        <v>2.75</v>
      </c>
      <c r="CF6" s="164" t="str">
        <f t="shared" si="38"/>
        <v>C</v>
      </c>
      <c r="CG6" s="163">
        <f>IF(COUNT(BQ6,BW6,CE6)=0,"",SUM(BQ6,BW6,CE6)/COUNT(BQ6,BW6,CE6))</f>
        <v>2.875</v>
      </c>
      <c r="CH6" s="187" t="str">
        <f t="shared" si="39"/>
        <v>B</v>
      </c>
      <c r="CI6" s="103"/>
      <c r="CJ6" s="104"/>
      <c r="CK6" s="105"/>
      <c r="CL6" s="163" t="str">
        <f>IFERROR((((COUNTIF('Elève (3ème1)'!CI6:CK6,"A"))*4)+((COUNTIF('Elève (3ème1)'!CI6:CK6,"B"))*3)+((COUNTIF('Elève (3ème1)'!CI6:CK6,"C"))*2)+((COUNTIF('Elève (3ème1)'!CI6:CK6,"D"))*1))/(COUNTA(CI6:CK6)),"")</f>
        <v/>
      </c>
      <c r="CM6" s="164" t="str">
        <f t="shared" si="40"/>
        <v/>
      </c>
      <c r="CN6" s="103"/>
      <c r="CO6" s="104"/>
      <c r="CP6" s="105"/>
      <c r="CQ6" s="105"/>
      <c r="CR6" s="163" t="str">
        <f>IFERROR((((COUNTIF('Elève (3ème1)'!CN6:CQ6,"A"))*4)+((COUNTIF('Elève (3ème1)'!CN6:CQ6,"B"))*3)+((COUNTIF('Elève (3ème1)'!CN6:CQ6,"C"))*2)+((COUNTIF('Elève (3ème1)'!CN6:CQ6,"D"))*1))/(COUNTA(CN6:CQ6)),"")</f>
        <v/>
      </c>
      <c r="CS6" s="164" t="str">
        <f t="shared" si="41"/>
        <v/>
      </c>
      <c r="CT6" s="103" t="s">
        <v>28</v>
      </c>
      <c r="CU6" s="104" t="s">
        <v>29</v>
      </c>
      <c r="CV6" s="105"/>
      <c r="CW6" s="105" t="s">
        <v>29</v>
      </c>
      <c r="CX6" s="105"/>
      <c r="CY6" s="109"/>
      <c r="CZ6" s="163">
        <f>IFERROR((((COUNTIF('Elève (3ème1)'!CT6:CY6,"A"))*4)+((COUNTIF('Elève (3ème1)'!CT6:CY6,"B"))*3)+((COUNTIF('Elève (3ème1)'!CT6:CY6,"C"))*2)+((COUNTIF('Elève (3ème1)'!CT6:CY6,"D"))*1))/(COUNTA(CT6:CY6)),"")</f>
        <v>2.3333333333333335</v>
      </c>
      <c r="DA6" s="164" t="str">
        <f t="shared" si="42"/>
        <v>C</v>
      </c>
      <c r="DB6" s="163">
        <f>IF(COUNT(CL6,CR6,CZ6)=0,"",SUM(CL6,CR6,CZ6)/COUNT(CL6,CR6,CZ6))</f>
        <v>2.3333333333333335</v>
      </c>
      <c r="DC6" s="187" t="str">
        <f t="shared" si="43"/>
        <v>C</v>
      </c>
      <c r="DD6" s="103"/>
      <c r="DE6" s="104"/>
      <c r="DF6" s="105"/>
      <c r="DG6" s="163" t="str">
        <f>IFERROR((((COUNTIF('Elève (3ème1)'!DD6:DF6,"A"))*4)+((COUNTIF('Elève (3ème1)'!DD6:DF6,"B"))*3)+((COUNTIF('Elève (3ème1)'!DD6:DF6,"C"))*2)+((COUNTIF('Elève (3ème1)'!DD6:DF6,"D"))*1))/(COUNTA(DD6:DF6)),"")</f>
        <v/>
      </c>
      <c r="DH6" s="164" t="str">
        <f t="shared" si="44"/>
        <v/>
      </c>
      <c r="DI6" s="103" t="s">
        <v>28</v>
      </c>
      <c r="DJ6" s="104"/>
      <c r="DK6" s="105"/>
      <c r="DL6" s="105"/>
      <c r="DM6" s="163">
        <f>IFERROR((((COUNTIF('Elève (3ème1)'!DI6:DL6,"A"))*4)+((COUNTIF('Elève (3ème1)'!DI6:DL6,"B"))*3)+((COUNTIF('Elève (3ème1)'!DI6:DL6,"C"))*2)+((COUNTIF('Elève (3ème1)'!DI6:DL6,"D"))*1))/(COUNTA(DI6:DL6)),"")</f>
        <v>3</v>
      </c>
      <c r="DN6" s="164" t="str">
        <f t="shared" si="45"/>
        <v>B</v>
      </c>
      <c r="DO6" s="103" t="s">
        <v>28</v>
      </c>
      <c r="DP6" s="104" t="s">
        <v>28</v>
      </c>
      <c r="DQ6" s="105"/>
      <c r="DR6" s="105" t="s">
        <v>27</v>
      </c>
      <c r="DS6" s="105"/>
      <c r="DT6" s="109"/>
      <c r="DU6" s="163">
        <f>IFERROR((((COUNTIF('Elève (3ème1)'!DO6:DT6,"A"))*4)+((COUNTIF('Elève (3ème1)'!DO6:DT6,"B"))*3)+((COUNTIF('Elève (3ème1)'!DO6:DT6,"C"))*2)+((COUNTIF('Elève (3ème1)'!DO6:DT6,"D"))*1))/(COUNTA(DO6:DT6)),"")</f>
        <v>3.3333333333333335</v>
      </c>
      <c r="DV6" s="164" t="str">
        <f t="shared" si="46"/>
        <v>B</v>
      </c>
      <c r="DW6" s="163">
        <f>IF(COUNT(DG6,DM6,DU6)=0,"",SUM(DG6,DM6,DU6)/COUNT(DG6,DM6,DU6))</f>
        <v>3.166666666666667</v>
      </c>
      <c r="DX6" s="187" t="str">
        <f t="shared" si="47"/>
        <v>B</v>
      </c>
      <c r="DY6" s="103"/>
      <c r="DZ6" s="104"/>
      <c r="EA6" s="105"/>
      <c r="EB6" s="163" t="str">
        <f>IFERROR((((COUNTIF('Elève (3ème1)'!DY6:EA6,"A"))*4)+((COUNTIF('Elève (3ème1)'!DY6:EA6,"B"))*3)+((COUNTIF('Elève (3ème1)'!DY6:EA6,"C"))*2)+((COUNTIF('Elève (3ème1)'!DY6:EA6,"D"))*1))/(COUNTA(DY6:EA6)),"")</f>
        <v/>
      </c>
      <c r="EC6" s="164" t="str">
        <f t="shared" si="48"/>
        <v/>
      </c>
      <c r="ED6" s="103" t="s">
        <v>29</v>
      </c>
      <c r="EE6" s="104"/>
      <c r="EF6" s="105"/>
      <c r="EG6" s="105"/>
      <c r="EH6" s="163">
        <f>IFERROR((((COUNTIF('Elève (3ème1)'!ED6:EG6,"A"))*4)+((COUNTIF('Elève (3ème1)'!ED6:EG6,"B"))*3)+((COUNTIF('Elève (3ème1)'!ED6:EG6,"C"))*2)+((COUNTIF('Elève (3ème1)'!ED6:EG6,"D"))*1))/(COUNTA(ED6:EG6)),"")</f>
        <v>2</v>
      </c>
      <c r="EI6" s="164" t="str">
        <f t="shared" si="49"/>
        <v>C</v>
      </c>
      <c r="EJ6" s="103" t="s">
        <v>28</v>
      </c>
      <c r="EK6" s="104" t="s">
        <v>28</v>
      </c>
      <c r="EL6" s="105"/>
      <c r="EM6" s="105" t="s">
        <v>27</v>
      </c>
      <c r="EN6" s="105"/>
      <c r="EO6" s="109"/>
      <c r="EP6" s="163">
        <f>IFERROR((((COUNTIF('Elève (3ème1)'!EJ6:EO6,"A"))*4)+((COUNTIF('Elève (3ème1)'!EJ6:EO6,"B"))*3)+((COUNTIF('Elève (3ème1)'!EJ6:EO6,"C"))*2)+((COUNTIF('Elève (3ème1)'!EJ6:EO6,"D"))*1))/(COUNTA(EJ6:EO6)),"")</f>
        <v>3.3333333333333335</v>
      </c>
      <c r="EQ6" s="164" t="str">
        <f t="shared" si="50"/>
        <v>B</v>
      </c>
      <c r="ER6" s="163">
        <f>IF(COUNT(EB6,EH6,EP6)=0,"",SUM(EB6,EH6,EP6)/COUNT(EB6,EH6,EP6))</f>
        <v>2.666666666666667</v>
      </c>
      <c r="ES6" s="187" t="str">
        <f t="shared" si="51"/>
        <v>C</v>
      </c>
      <c r="ET6" s="103"/>
      <c r="EU6" s="104"/>
      <c r="EV6" s="105"/>
      <c r="EW6" s="163" t="str">
        <f>IFERROR((((COUNTIF('Elève (3ème1)'!ET6:EV6,"A"))*4)+((COUNTIF('Elève (3ème1)'!ET6:EV6,"B"))*3)+((COUNTIF('Elève (3ème1)'!ET6:EV6,"C"))*2)+((COUNTIF('Elève (3ème1)'!ET6:EV6,"D"))*1))/(COUNTA(ET6:EV6)),"")</f>
        <v/>
      </c>
      <c r="EX6" s="164" t="str">
        <f t="shared" si="52"/>
        <v/>
      </c>
      <c r="EY6" s="103" t="s">
        <v>27</v>
      </c>
      <c r="EZ6" s="104"/>
      <c r="FA6" s="105"/>
      <c r="FB6" s="105"/>
      <c r="FC6" s="163">
        <f>IFERROR((((COUNTIF('Elève (3ème1)'!EY6:FB6,"A"))*4)+((COUNTIF('Elève (3ème1)'!EY6:FB6,"B"))*3)+((COUNTIF('Elève (3ème1)'!EY6:FB6,"C"))*2)+((COUNTIF('Elève (3ème1)'!EY6:FB6,"D"))*1))/(COUNTA(EY6:FB6)),"")</f>
        <v>4</v>
      </c>
      <c r="FD6" s="164" t="str">
        <f t="shared" si="53"/>
        <v>A</v>
      </c>
      <c r="FE6" s="103" t="s">
        <v>28</v>
      </c>
      <c r="FF6" s="104" t="s">
        <v>29</v>
      </c>
      <c r="FG6" s="105" t="s">
        <v>28</v>
      </c>
      <c r="FH6" s="105" t="s">
        <v>29</v>
      </c>
      <c r="FI6" s="105"/>
      <c r="FJ6" s="109"/>
      <c r="FK6" s="163">
        <f>IFERROR((((COUNTIF('Elève (3ème1)'!FE6:FJ6,"A"))*4)+((COUNTIF('Elève (3ème1)'!FE6:FJ6,"B"))*3)+((COUNTIF('Elève (3ème1)'!FE6:FJ6,"C"))*2)+((COUNTIF('Elève (3ème1)'!FE6:FJ6,"D"))*1))/(COUNTA(FE6:FJ6)),"")</f>
        <v>2.5</v>
      </c>
      <c r="FL6" s="164" t="str">
        <f t="shared" si="54"/>
        <v>C</v>
      </c>
      <c r="FM6" s="163">
        <f>IF(COUNT(EW6,FC6,FK6)=0,"",SUM(EW6,FC6,FK6)/COUNT(EW6,FC6,FK6))</f>
        <v>3.25</v>
      </c>
      <c r="FN6" s="187" t="str">
        <f t="shared" si="55"/>
        <v>B</v>
      </c>
      <c r="FO6" s="103"/>
      <c r="FP6" s="104"/>
      <c r="FQ6" s="105"/>
      <c r="FR6" s="163" t="str">
        <f>IFERROR((((COUNTIF('Elève (3ème1)'!FO6:FQ6,"A"))*4)+((COUNTIF('Elève (3ème1)'!FO6:FQ6,"B"))*3)+((COUNTIF('Elève (3ème1)'!FO6:FQ6,"C"))*2)+((COUNTIF('Elève (3ème1)'!FO6:FQ6,"D"))*1))/(COUNTA(FO6:FQ6)),"")</f>
        <v/>
      </c>
      <c r="FS6" s="164" t="str">
        <f t="shared" si="56"/>
        <v/>
      </c>
      <c r="FT6" s="103" t="s">
        <v>28</v>
      </c>
      <c r="FU6" s="104"/>
      <c r="FV6" s="105"/>
      <c r="FW6" s="105"/>
      <c r="FX6" s="163">
        <f>IFERROR((((COUNTIF('Elève (3ème1)'!FT6:FW6,"A"))*4)+((COUNTIF('Elève (3ème1)'!FT6:FW6,"B"))*3)+((COUNTIF('Elève (3ème1)'!FT6:FW6,"C"))*2)+((COUNTIF('Elève (3ème1)'!FT6:FW6,"D"))*1))/(COUNTA(FT6:FW6)),"")</f>
        <v>3</v>
      </c>
      <c r="FY6" s="164" t="str">
        <f t="shared" si="57"/>
        <v>B</v>
      </c>
      <c r="FZ6" s="103" t="s">
        <v>28</v>
      </c>
      <c r="GA6" s="104" t="s">
        <v>29</v>
      </c>
      <c r="GB6" s="105"/>
      <c r="GC6" s="105" t="s">
        <v>28</v>
      </c>
      <c r="GD6" s="105"/>
      <c r="GE6" s="109"/>
      <c r="GF6" s="163">
        <f>IFERROR((((COUNTIF('Elève (3ème1)'!FZ6:GE6,"A"))*4)+((COUNTIF('Elève (3ème1)'!FZ6:GE6,"B"))*3)+((COUNTIF('Elève (3ème1)'!FZ6:GE6,"C"))*2)+((COUNTIF('Elève (3ème1)'!FZ6:GE6,"D"))*1))/(COUNTA(FZ6:GE6)),"")</f>
        <v>2.6666666666666665</v>
      </c>
      <c r="GG6" s="164" t="str">
        <f t="shared" si="58"/>
        <v>C</v>
      </c>
      <c r="GH6" s="163">
        <f>IF(COUNT(FR6,FX6,GF6)=0,"",SUM(FR6,FX6,GF6)/COUNT(FR6,FX6,GF6))</f>
        <v>2.833333333333333</v>
      </c>
      <c r="GI6" s="187" t="str">
        <f t="shared" si="59"/>
        <v>B</v>
      </c>
      <c r="GJ6" s="103"/>
      <c r="GK6" s="104"/>
      <c r="GL6" s="105"/>
      <c r="GM6" s="163" t="str">
        <f>IFERROR((((COUNTIF('Elève (3ème1)'!GJ6:GL6,"A"))*4)+((COUNTIF('Elève (3ème1)'!GJ6:GL6,"B"))*3)+((COUNTIF('Elève (3ème1)'!GJ6:GL6,"C"))*2)+((COUNTIF('Elève (3ème1)'!GJ6:GL6,"D"))*1))/(COUNTA(GJ6:GL6)),"")</f>
        <v/>
      </c>
      <c r="GN6" s="164" t="str">
        <f t="shared" si="60"/>
        <v/>
      </c>
      <c r="GO6" s="103" t="s">
        <v>29</v>
      </c>
      <c r="GP6" s="104"/>
      <c r="GQ6" s="105"/>
      <c r="GR6" s="105"/>
      <c r="GS6" s="163">
        <f>IFERROR((((COUNTIF('Elève (3ème1)'!GO6:GR6,"A"))*4)+((COUNTIF('Elève (3ème1)'!GO6:GR6,"B"))*3)+((COUNTIF('Elève (3ème1)'!GO6:GR6,"C"))*2)+((COUNTIF('Elève (3ème1)'!GO6:GR6,"D"))*1))/(COUNTA(GO6:GR6)),"")</f>
        <v>2</v>
      </c>
      <c r="GT6" s="164" t="str">
        <f t="shared" si="61"/>
        <v>C</v>
      </c>
      <c r="GU6" s="103" t="s">
        <v>28</v>
      </c>
      <c r="GV6" s="104" t="s">
        <v>29</v>
      </c>
      <c r="GW6" s="105" t="s">
        <v>29</v>
      </c>
      <c r="GX6" s="105" t="s">
        <v>29</v>
      </c>
      <c r="GY6" s="105"/>
      <c r="GZ6" s="109"/>
      <c r="HA6" s="163">
        <f>IFERROR((((COUNTIF('Elève (3ème1)'!GU6:GZ6,"A"))*4)+((COUNTIF('Elève (3ème1)'!GU6:GZ6,"B"))*3)+((COUNTIF('Elève (3ème1)'!GU6:GZ6,"C"))*2)+((COUNTIF('Elève (3ème1)'!GU6:GZ6,"D"))*1))/(COUNTA(GU6:GZ6)),"")</f>
        <v>2.25</v>
      </c>
      <c r="HB6" s="164" t="str">
        <f t="shared" si="62"/>
        <v>C</v>
      </c>
      <c r="HC6" s="163">
        <f>IF(COUNT(GM6,GS6,HA6)=0,"",SUM(GM6,GS6,HA6)/COUNT(GM6,GS6,HA6))</f>
        <v>2.125</v>
      </c>
      <c r="HD6" s="187" t="str">
        <f t="shared" si="63"/>
        <v>C</v>
      </c>
      <c r="HE6" s="103"/>
      <c r="HF6" s="104"/>
      <c r="HG6" s="105"/>
      <c r="HH6" s="163" t="str">
        <f>IFERROR((((COUNTIF('Elève (3ème1)'!HE6:HG6,"A"))*4)+((COUNTIF('Elève (3ème1)'!HE6:HG6,"B"))*3)+((COUNTIF('Elève (3ème1)'!HE6:HG6,"C"))*2)+((COUNTIF('Elève (3ème1)'!HE6:HG6,"D"))*1))/(COUNTA(HE6:HG6)),"")</f>
        <v/>
      </c>
      <c r="HI6" s="164" t="str">
        <f t="shared" si="64"/>
        <v/>
      </c>
      <c r="HJ6" s="103" t="s">
        <v>27</v>
      </c>
      <c r="HK6" s="104"/>
      <c r="HL6" s="105"/>
      <c r="HM6" s="105"/>
      <c r="HN6" s="163">
        <f>IFERROR((((COUNTIF('Elève (3ème1)'!HJ6:HM6,"A"))*4)+((COUNTIF('Elève (3ème1)'!HJ6:HM6,"B"))*3)+((COUNTIF('Elève (3ème1)'!HJ6:HM6,"C"))*2)+((COUNTIF('Elève (3ème1)'!HJ6:HM6,"D"))*1))/(COUNTA(HJ6:HM6)),"")</f>
        <v>4</v>
      </c>
      <c r="HO6" s="164" t="str">
        <f t="shared" si="65"/>
        <v>A</v>
      </c>
      <c r="HP6" s="103" t="s">
        <v>27</v>
      </c>
      <c r="HQ6" s="104" t="s">
        <v>28</v>
      </c>
      <c r="HR6" s="105"/>
      <c r="HS6" s="105" t="s">
        <v>27</v>
      </c>
      <c r="HT6" s="105"/>
      <c r="HU6" s="109"/>
      <c r="HV6" s="163">
        <f>IFERROR((((COUNTIF('Elève (3ème1)'!HP6:HU6,"A"))*4)+((COUNTIF('Elève (3ème1)'!HP6:HU6,"B"))*3)+((COUNTIF('Elève (3ème1)'!HP6:HU6,"C"))*2)+((COUNTIF('Elève (3ème1)'!HP6:HU6,"D"))*1))/(COUNTA(HP6:HU6)),"")</f>
        <v>3.6666666666666665</v>
      </c>
      <c r="HW6" s="164" t="str">
        <f t="shared" si="66"/>
        <v>B</v>
      </c>
      <c r="HX6" s="163">
        <f>IF(COUNT(HH6,HN6,HV6)=0,"",SUM(HH6,HN6,HV6)/COUNT(HH6,HN6,HV6))</f>
        <v>3.833333333333333</v>
      </c>
      <c r="HY6" s="187" t="str">
        <f t="shared" si="67"/>
        <v>A</v>
      </c>
      <c r="HZ6" s="103"/>
      <c r="IA6" s="104"/>
      <c r="IB6" s="105"/>
      <c r="IC6" s="163" t="str">
        <f>IFERROR((((COUNTIF('Elève (3ème1)'!HZ6:IB6,"A"))*4)+((COUNTIF('Elève (3ème1)'!HZ6:IB6,"B"))*3)+((COUNTIF('Elève (3ème1)'!HZ6:IB6,"C"))*2)+((COUNTIF('Elève (3ème1)'!HZ6:IB6,"D"))*1))/(COUNTA(HZ6:IB6)),"")</f>
        <v/>
      </c>
      <c r="ID6" s="164" t="str">
        <f t="shared" si="68"/>
        <v/>
      </c>
      <c r="IE6" s="103" t="s">
        <v>30</v>
      </c>
      <c r="IF6" s="104"/>
      <c r="IG6" s="105"/>
      <c r="IH6" s="105"/>
      <c r="II6" s="163">
        <f>IFERROR((((COUNTIF('Elève (3ème1)'!IE6:IH6,"A"))*4)+((COUNTIF('Elève (3ème1)'!IE6:IH6,"B"))*3)+((COUNTIF('Elève (3ème1)'!IE6:IH6,"C"))*2)+((COUNTIF('Elève (3ème1)'!IE6:IH6,"D"))*1))/(COUNTA(IE6:IH6)),"")</f>
        <v>1</v>
      </c>
      <c r="IJ6" s="164" t="str">
        <f t="shared" si="69"/>
        <v>D</v>
      </c>
      <c r="IK6" s="103" t="s">
        <v>28</v>
      </c>
      <c r="IL6" s="104" t="s">
        <v>29</v>
      </c>
      <c r="IM6" s="105" t="s">
        <v>28</v>
      </c>
      <c r="IN6" s="105" t="s">
        <v>29</v>
      </c>
      <c r="IO6" s="105"/>
      <c r="IP6" s="109"/>
      <c r="IQ6" s="163">
        <f>IFERROR((((COUNTIF('Elève (3ème1)'!IK6:IP6,"A"))*4)+((COUNTIF('Elève (3ème1)'!IK6:IP6,"B"))*3)+((COUNTIF('Elève (3ème1)'!IK6:IP6,"C"))*2)+((COUNTIF('Elève (3ème1)'!IK6:IP6,"D"))*1))/(COUNTA(IK6:IP6)),"")</f>
        <v>2.5</v>
      </c>
      <c r="IR6" s="164" t="str">
        <f t="shared" si="70"/>
        <v>C</v>
      </c>
      <c r="IS6" s="163">
        <f>IF(COUNT(IC6,II6,IQ6)=0,"",SUM(IC6,II6,IQ6)/COUNT(IC6,II6,IQ6))</f>
        <v>1.75</v>
      </c>
      <c r="IT6" s="187" t="str">
        <f t="shared" si="71"/>
        <v>C</v>
      </c>
      <c r="IU6" s="103"/>
      <c r="IV6" s="104"/>
      <c r="IW6" s="105"/>
      <c r="IX6" s="163" t="str">
        <f>IFERROR((((COUNTIF('Elève (3ème1)'!IU6:IW6,"A"))*4)+((COUNTIF('Elève (3ème1)'!IU6:IW6,"B"))*3)+((COUNTIF('Elève (3ème1)'!IU6:IW6,"C"))*2)+((COUNTIF('Elève (3ème1)'!IU6:IW6,"D"))*1))/(COUNTA(IU6:IW6)),"")</f>
        <v/>
      </c>
      <c r="IY6" s="164" t="str">
        <f t="shared" si="72"/>
        <v/>
      </c>
      <c r="IZ6" s="103" t="s">
        <v>30</v>
      </c>
      <c r="JA6" s="104"/>
      <c r="JB6" s="105"/>
      <c r="JC6" s="105"/>
      <c r="JD6" s="163">
        <f>IFERROR((((COUNTIF('Elève (3ème1)'!IZ6:JC6,"A"))*4)+((COUNTIF('Elève (3ème1)'!IZ6:JC6,"B"))*3)+((COUNTIF('Elève (3ème1)'!IZ6:JC6,"C"))*2)+((COUNTIF('Elève (3ème1)'!IZ6:JC6,"D"))*1))/(COUNTA(IZ6:JC6)),"")</f>
        <v>1</v>
      </c>
      <c r="JE6" s="164" t="str">
        <f t="shared" si="73"/>
        <v>D</v>
      </c>
      <c r="JF6" s="103" t="s">
        <v>27</v>
      </c>
      <c r="JG6" s="104" t="s">
        <v>29</v>
      </c>
      <c r="JH6" s="105"/>
      <c r="JI6" s="105" t="s">
        <v>28</v>
      </c>
      <c r="JJ6" s="105"/>
      <c r="JK6" s="109"/>
      <c r="JL6" s="163">
        <f>IFERROR((((COUNTIF('Elève (3ème1)'!JF6:JK6,"A"))*4)+((COUNTIF('Elève (3ème1)'!JF6:JK6,"B"))*3)+((COUNTIF('Elève (3ème1)'!JF6:JK6,"C"))*2)+((COUNTIF('Elève (3ème1)'!JF6:JK6,"D"))*1))/(COUNTA(JF6:JK6)),"")</f>
        <v>3</v>
      </c>
      <c r="JM6" s="164" t="str">
        <f t="shared" si="74"/>
        <v>B</v>
      </c>
      <c r="JN6" s="163">
        <f>IF(COUNT(IX6,JD6,JL6)=0,"",SUM(IX6,JD6,JL6)/COUNT(IX6,JD6,JL6))</f>
        <v>2</v>
      </c>
      <c r="JO6" s="187" t="str">
        <f t="shared" si="75"/>
        <v>C</v>
      </c>
      <c r="JP6" s="103"/>
      <c r="JQ6" s="104"/>
      <c r="JR6" s="105"/>
      <c r="JS6" s="163" t="str">
        <f>IFERROR((((COUNTIF('Elève (3ème1)'!JP6:JR6,"A"))*4)+((COUNTIF('Elève (3ème1)'!JP6:JR6,"B"))*3)+((COUNTIF('Elève (3ème1)'!JP6:JR6,"C"))*2)+((COUNTIF('Elève (3ème1)'!JP6:JR6,"D"))*1))/(COUNTA(JP6:JR6)),"")</f>
        <v/>
      </c>
      <c r="JT6" s="164" t="str">
        <f t="shared" si="76"/>
        <v/>
      </c>
      <c r="JU6" s="103" t="s">
        <v>29</v>
      </c>
      <c r="JV6" s="104"/>
      <c r="JW6" s="105"/>
      <c r="JX6" s="105"/>
      <c r="JY6" s="163">
        <f>IFERROR((((COUNTIF('Elève (3ème1)'!JU6:JX6,"A"))*4)+((COUNTIF('Elève (3ème1)'!JU6:JX6,"B"))*3)+((COUNTIF('Elève (3ème1)'!JU6:JX6,"C"))*2)+((COUNTIF('Elève (3ème1)'!JU6:JX6,"D"))*1))/(COUNTA(JU6:JX6)),"")</f>
        <v>2</v>
      </c>
      <c r="JZ6" s="164" t="str">
        <f t="shared" si="77"/>
        <v>C</v>
      </c>
      <c r="KA6" s="103" t="s">
        <v>28</v>
      </c>
      <c r="KB6" s="104" t="s">
        <v>28</v>
      </c>
      <c r="KC6" s="105" t="s">
        <v>29</v>
      </c>
      <c r="KD6" s="105" t="s">
        <v>27</v>
      </c>
      <c r="KE6" s="105"/>
      <c r="KF6" s="109"/>
      <c r="KG6" s="163">
        <f>IFERROR((((COUNTIF('Elève (3ème1)'!KA6:KF6,"A"))*4)+((COUNTIF('Elève (3ème1)'!KA6:KF6,"B"))*3)+((COUNTIF('Elève (3ème1)'!KA6:KF6,"C"))*2)+((COUNTIF('Elève (3ème1)'!KA6:KF6,"D"))*1))/(COUNTA(KA6:KF6)),"")</f>
        <v>3</v>
      </c>
      <c r="KH6" s="164" t="str">
        <f t="shared" si="78"/>
        <v>B</v>
      </c>
      <c r="KI6" s="163">
        <f>IF(COUNT(JS6,JY6,KG6)=0,"",SUM(JS6,JY6,KG6)/COUNT(JS6,JY6,KG6))</f>
        <v>2.5</v>
      </c>
      <c r="KJ6" s="187" t="str">
        <f t="shared" si="79"/>
        <v>C</v>
      </c>
      <c r="KK6" s="103"/>
      <c r="KL6" s="104"/>
      <c r="KM6" s="105"/>
      <c r="KN6" s="163" t="str">
        <f>IFERROR((((COUNTIF('Elève (3ème1)'!KK6:KM6,"A"))*4)+((COUNTIF('Elève (3ème1)'!KK6:KM6,"B"))*3)+((COUNTIF('Elève (3ème1)'!KK6:KM6,"C"))*2)+((COUNTIF('Elève (3ème1)'!KK6:KM6,"D"))*1))/(COUNTA(KK6:KM6)),"")</f>
        <v/>
      </c>
      <c r="KO6" s="164" t="str">
        <f t="shared" si="80"/>
        <v/>
      </c>
      <c r="KP6" s="103" t="s">
        <v>29</v>
      </c>
      <c r="KQ6" s="104"/>
      <c r="KR6" s="105"/>
      <c r="KS6" s="105"/>
      <c r="KT6" s="163">
        <f>IFERROR((((COUNTIF('Elève (3ème1)'!KP6:KS6,"A"))*4)+((COUNTIF('Elève (3ème1)'!KP6:KS6,"B"))*3)+((COUNTIF('Elève (3ème1)'!KP6:KS6,"C"))*2)+((COUNTIF('Elève (3ème1)'!KP6:KS6,"D"))*1))/(COUNTA(KP6:KS6)),"")</f>
        <v>2</v>
      </c>
      <c r="KU6" s="164" t="str">
        <f t="shared" si="81"/>
        <v>C</v>
      </c>
      <c r="KV6" s="103" t="s">
        <v>28</v>
      </c>
      <c r="KW6" s="104" t="s">
        <v>27</v>
      </c>
      <c r="KX6" s="105" t="s">
        <v>28</v>
      </c>
      <c r="KY6" s="105" t="s">
        <v>29</v>
      </c>
      <c r="KZ6" s="105"/>
      <c r="LA6" s="109"/>
      <c r="LB6" s="163">
        <f>IFERROR((((COUNTIF('Elève (3ème1)'!KV6:LA6,"A"))*4)+((COUNTIF('Elève (3ème1)'!KV6:LA6,"B"))*3)+((COUNTIF('Elève (3ème1)'!KV6:LA6,"C"))*2)+((COUNTIF('Elève (3ème1)'!KV6:LA6,"D"))*1))/(COUNTA(KV6:LA6)),"")</f>
        <v>3</v>
      </c>
      <c r="LC6" s="164" t="str">
        <f t="shared" si="82"/>
        <v>B</v>
      </c>
      <c r="LD6" s="163">
        <f>IF(COUNT(KN6,KT6,LB6)=0,"",SUM(KN6,KT6,LB6)/COUNT(KN6,KT6,LB6))</f>
        <v>2.5</v>
      </c>
      <c r="LE6" s="187" t="str">
        <f t="shared" si="83"/>
        <v>C</v>
      </c>
      <c r="LF6" s="103"/>
      <c r="LG6" s="104"/>
      <c r="LH6" s="105"/>
      <c r="LI6" s="163" t="str">
        <f>IFERROR((((COUNTIF('Elève (3ème1)'!LF6:LH6,"A"))*4)+((COUNTIF('Elève (3ème1)'!LF6:LH6,"B"))*3)+((COUNTIF('Elève (3ème1)'!LF6:LH6,"C"))*2)+((COUNTIF('Elève (3ème1)'!LF6:LH6,"D"))*1))/(COUNTA(LF6:LH6)),"")</f>
        <v/>
      </c>
      <c r="LJ6" s="164" t="str">
        <f t="shared" si="84"/>
        <v/>
      </c>
      <c r="LK6" s="103" t="s">
        <v>29</v>
      </c>
      <c r="LL6" s="104"/>
      <c r="LM6" s="105"/>
      <c r="LN6" s="105"/>
      <c r="LO6" s="163">
        <f>IFERROR((((COUNTIF('Elève (3ème1)'!LK6:LN6,"A"))*4)+((COUNTIF('Elève (3ème1)'!LK6:LN6,"B"))*3)+((COUNTIF('Elève (3ème1)'!LK6:LN6,"C"))*2)+((COUNTIF('Elève (3ème1)'!LK6:LN6,"D"))*1))/(COUNTA(LK6:LN6)),"")</f>
        <v>2</v>
      </c>
      <c r="LP6" s="164" t="str">
        <f t="shared" si="85"/>
        <v>C</v>
      </c>
      <c r="LQ6" s="103" t="s">
        <v>28</v>
      </c>
      <c r="LR6" s="104" t="s">
        <v>29</v>
      </c>
      <c r="LS6" s="105" t="s">
        <v>29</v>
      </c>
      <c r="LT6" s="105"/>
      <c r="LU6" s="105"/>
      <c r="LV6" s="109"/>
      <c r="LW6" s="163">
        <f>IFERROR((((COUNTIF('Elève (3ème1)'!LQ6:LV6,"A"))*4)+((COUNTIF('Elève (3ème1)'!LQ6:LV6,"B"))*3)+((COUNTIF('Elève (3ème1)'!LQ6:LV6,"C"))*2)+((COUNTIF('Elève (3ème1)'!LQ6:LV6,"D"))*1))/(COUNTA(LQ6:LV6)),"")</f>
        <v>2.3333333333333335</v>
      </c>
      <c r="LX6" s="164" t="str">
        <f t="shared" si="86"/>
        <v>C</v>
      </c>
      <c r="LY6" s="163">
        <f>IF(COUNT(LI6,LO6,LW6)=0,"",SUM(LI6,LO6,LW6)/COUNT(LI6,LO6,LW6))</f>
        <v>2.166666666666667</v>
      </c>
      <c r="LZ6" s="187" t="str">
        <f t="shared" si="87"/>
        <v>C</v>
      </c>
      <c r="MA6" s="103"/>
      <c r="MB6" s="104"/>
      <c r="MC6" s="105"/>
      <c r="MD6" s="163" t="str">
        <f>IFERROR((((COUNTIF('Elève (3ème1)'!MA6:MC6,"A"))*4)+((COUNTIF('Elève (3ème1)'!MA6:MC6,"B"))*3)+((COUNTIF('Elève (3ème1)'!MA6:MC6,"C"))*2)+((COUNTIF('Elève (3ème1)'!MA6:MC6,"D"))*1))/(COUNTA(MA6:MC6)),"")</f>
        <v/>
      </c>
      <c r="ME6" s="164" t="str">
        <f t="shared" si="88"/>
        <v/>
      </c>
      <c r="MF6" s="103" t="s">
        <v>29</v>
      </c>
      <c r="MG6" s="104"/>
      <c r="MH6" s="105"/>
      <c r="MI6" s="105"/>
      <c r="MJ6" s="163">
        <f>IFERROR((((COUNTIF('Elève (3ème1)'!MF6:MI6,"A"))*4)+((COUNTIF('Elève (3ème1)'!MF6:MI6,"B"))*3)+((COUNTIF('Elève (3ème1)'!MF6:MI6,"C"))*2)+((COUNTIF('Elève (3ème1)'!MF6:MI6,"D"))*1))/(COUNTA(MF6:MI6)),"")</f>
        <v>2</v>
      </c>
      <c r="MK6" s="164" t="str">
        <f t="shared" si="89"/>
        <v>C</v>
      </c>
      <c r="ML6" s="103" t="s">
        <v>28</v>
      </c>
      <c r="MM6" s="104" t="s">
        <v>30</v>
      </c>
      <c r="MN6" s="105" t="s">
        <v>28</v>
      </c>
      <c r="MO6" s="105" t="s">
        <v>28</v>
      </c>
      <c r="MP6" s="105"/>
      <c r="MQ6" s="109"/>
      <c r="MR6" s="163">
        <f>IFERROR((((COUNTIF('Elève (3ème1)'!ML6:MQ6,"A"))*4)+((COUNTIF('Elève (3ème1)'!ML6:MQ6,"B"))*3)+((COUNTIF('Elève (3ème1)'!ML6:MQ6,"C"))*2)+((COUNTIF('Elève (3ème1)'!ML6:MQ6,"D"))*1))/(COUNTA(ML6:MQ6)),"")</f>
        <v>2.5</v>
      </c>
      <c r="MS6" s="164" t="str">
        <f t="shared" si="90"/>
        <v>C</v>
      </c>
      <c r="MT6" s="163">
        <f>IF(COUNT(MD6,MJ6,MR6)=0,"",SUM(MD6,MJ6,MR6)/COUNT(MD6,MJ6,MR6))</f>
        <v>2.25</v>
      </c>
      <c r="MU6" s="187" t="str">
        <f t="shared" si="91"/>
        <v>C</v>
      </c>
      <c r="MV6" s="103"/>
      <c r="MW6" s="104"/>
      <c r="MX6" s="105"/>
      <c r="MY6" s="163" t="str">
        <f>IFERROR((((COUNTIF('Elève (3ème1)'!MV6:MX6,"A"))*4)+((COUNTIF('Elève (3ème1)'!MV6:MX6,"B"))*3)+((COUNTIF('Elève (3ème1)'!MV6:MX6,"C"))*2)+((COUNTIF('Elève (3ème1)'!MV6:MX6,"D"))*1))/(COUNTA(MV6:MX6)),"")</f>
        <v/>
      </c>
      <c r="MZ6" s="164" t="str">
        <f t="shared" si="92"/>
        <v/>
      </c>
      <c r="NA6" s="103" t="s">
        <v>28</v>
      </c>
      <c r="NB6" s="104"/>
      <c r="NC6" s="105"/>
      <c r="ND6" s="105"/>
      <c r="NE6" s="163">
        <f>IFERROR((((COUNTIF('Elève (3ème1)'!NA6:ND6,"A"))*4)+((COUNTIF('Elève (3ème1)'!NA6:ND6,"B"))*3)+((COUNTIF('Elève (3ème1)'!NA6:ND6,"C"))*2)+((COUNTIF('Elève (3ème1)'!NA6:ND6,"D"))*1))/(COUNTA(NA6:ND6)),"")</f>
        <v>3</v>
      </c>
      <c r="NF6" s="164" t="str">
        <f t="shared" si="93"/>
        <v>B</v>
      </c>
      <c r="NG6" s="103" t="s">
        <v>28</v>
      </c>
      <c r="NH6" s="104" t="s">
        <v>28</v>
      </c>
      <c r="NI6" s="105" t="s">
        <v>28</v>
      </c>
      <c r="NJ6" s="105" t="s">
        <v>27</v>
      </c>
      <c r="NK6" s="105"/>
      <c r="NL6" s="109"/>
      <c r="NM6" s="163">
        <f>IFERROR((((COUNTIF('Elève (3ème1)'!NG6:NL6,"A"))*4)+((COUNTIF('Elève (3ème1)'!NG6:NL6,"B"))*3)+((COUNTIF('Elève (3ème1)'!NG6:NL6,"C"))*2)+((COUNTIF('Elève (3ème1)'!NG6:NL6,"D"))*1))/(COUNTA(NG6:NL6)),"")</f>
        <v>3.25</v>
      </c>
      <c r="NN6" s="164" t="str">
        <f t="shared" si="94"/>
        <v>B</v>
      </c>
      <c r="NO6" s="163">
        <f>IF(COUNT(MY6,NE6,NM6)=0,"",SUM(MY6,NE6,NM6)/COUNT(MY6,NE6,NM6))</f>
        <v>3.125</v>
      </c>
      <c r="NP6" s="187" t="str">
        <f t="shared" si="95"/>
        <v>B</v>
      </c>
      <c r="NQ6" s="103"/>
      <c r="NR6" s="104"/>
      <c r="NS6" s="105"/>
      <c r="NT6" s="163" t="str">
        <f>IFERROR((((COUNTIF('Elève (3ème1)'!NQ6:NS6,"A"))*4)+((COUNTIF('Elève (3ème1)'!NQ6:NS6,"B"))*3)+((COUNTIF('Elève (3ème1)'!NQ6:NS6,"C"))*2)+((COUNTIF('Elève (3ème1)'!NQ6:NS6,"D"))*1))/(COUNTA(NQ6:NS6)),"")</f>
        <v/>
      </c>
      <c r="NU6" s="164" t="str">
        <f t="shared" si="96"/>
        <v/>
      </c>
      <c r="NV6" s="103" t="s">
        <v>30</v>
      </c>
      <c r="NW6" s="104"/>
      <c r="NX6" s="105"/>
      <c r="NY6" s="105"/>
      <c r="NZ6" s="163">
        <f>IFERROR((((COUNTIF('Elève (3ème1)'!NV6:NY6,"A"))*4)+((COUNTIF('Elève (3ème1)'!NV6:NY6,"B"))*3)+((COUNTIF('Elève (3ème1)'!NV6:NY6,"C"))*2)+((COUNTIF('Elève (3ème1)'!NV6:NY6,"D"))*1))/(COUNTA(NV6:NY6)),"")</f>
        <v>1</v>
      </c>
      <c r="OA6" s="164" t="str">
        <f t="shared" si="97"/>
        <v>D</v>
      </c>
      <c r="OB6" s="103" t="s">
        <v>28</v>
      </c>
      <c r="OC6" s="104" t="s">
        <v>28</v>
      </c>
      <c r="OD6" s="105" t="s">
        <v>27</v>
      </c>
      <c r="OE6" s="105" t="s">
        <v>28</v>
      </c>
      <c r="OF6" s="105"/>
      <c r="OG6" s="109"/>
      <c r="OH6" s="163">
        <f>IFERROR((((COUNTIF('Elève (3ème1)'!OB6:OG6,"A"))*4)+((COUNTIF('Elève (3ème1)'!OB6:OG6,"B"))*3)+((COUNTIF('Elève (3ème1)'!OB6:OG6,"C"))*2)+((COUNTIF('Elève (3ème1)'!OB6:OG6,"D"))*1))/(COUNTA(OB6:OG6)),"")</f>
        <v>3.25</v>
      </c>
      <c r="OI6" s="164" t="str">
        <f t="shared" si="98"/>
        <v>B</v>
      </c>
      <c r="OJ6" s="163">
        <f>IF(COUNT(NT6,NZ6,OH6)=0,"",SUM(NT6,NZ6,OH6)/COUNT(NT6,NZ6,OH6))</f>
        <v>2.125</v>
      </c>
      <c r="OK6" s="187" t="str">
        <f t="shared" si="99"/>
        <v>C</v>
      </c>
      <c r="OL6" s="103"/>
      <c r="OM6" s="104"/>
      <c r="ON6" s="105"/>
      <c r="OO6" s="163" t="str">
        <f>IFERROR((((COUNTIF('Elève (3ème1)'!OL6:ON6,"A"))*4)+((COUNTIF('Elève (3ème1)'!OL6:ON6,"B"))*3)+((COUNTIF('Elève (3ème1)'!OL6:ON6,"C"))*2)+((COUNTIF('Elève (3ème1)'!OL6:ON6,"D"))*1))/(COUNTA(OL6:ON6)),"")</f>
        <v/>
      </c>
      <c r="OP6" s="164" t="str">
        <f t="shared" si="100"/>
        <v/>
      </c>
      <c r="OQ6" s="103" t="s">
        <v>29</v>
      </c>
      <c r="OR6" s="104"/>
      <c r="OS6" s="105"/>
      <c r="OT6" s="105"/>
      <c r="OU6" s="163">
        <f>IFERROR((((COUNTIF('Elève (3ème1)'!OQ6:OT6,"A"))*4)+((COUNTIF('Elève (3ème1)'!OQ6:OT6,"B"))*3)+((COUNTIF('Elève (3ème1)'!OQ6:OT6,"C"))*2)+((COUNTIF('Elève (3ème1)'!OQ6:OT6,"D"))*1))/(COUNTA(OQ6:OT6)),"")</f>
        <v>2</v>
      </c>
      <c r="OV6" s="164" t="str">
        <f t="shared" si="101"/>
        <v>C</v>
      </c>
      <c r="OW6" s="103" t="s">
        <v>28</v>
      </c>
      <c r="OX6" s="104" t="s">
        <v>30</v>
      </c>
      <c r="OY6" s="105" t="s">
        <v>28</v>
      </c>
      <c r="OZ6" s="105" t="s">
        <v>27</v>
      </c>
      <c r="PA6" s="105"/>
      <c r="PB6" s="109"/>
      <c r="PC6" s="163">
        <f>IFERROR((((COUNTIF('Elève (3ème1)'!OW6:PB6,"A"))*4)+((COUNTIF('Elève (3ème1)'!OW6:PB6,"B"))*3)+((COUNTIF('Elève (3ème1)'!OW6:PB6,"C"))*2)+((COUNTIF('Elève (3ème1)'!OW6:PB6,"D"))*1))/(COUNTA(OW6:PB6)),"")</f>
        <v>2.75</v>
      </c>
      <c r="PD6" s="164" t="str">
        <f t="shared" si="102"/>
        <v>C</v>
      </c>
      <c r="PE6" s="163">
        <f>IF(COUNT(OO6,OU6,PC6)=0,"",SUM(OO6,OU6,PC6)/COUNT(OO6,OU6,PC6))</f>
        <v>2.375</v>
      </c>
      <c r="PF6" s="187" t="str">
        <f t="shared" si="103"/>
        <v>C</v>
      </c>
      <c r="PG6" s="103"/>
      <c r="PH6" s="104"/>
      <c r="PI6" s="105"/>
      <c r="PJ6" s="163" t="str">
        <f>IFERROR((((COUNTIF('Elève (3ème1)'!PG6:PI6,"A"))*4)+((COUNTIF('Elève (3ème1)'!PG6:PI6,"B"))*3)+((COUNTIF('Elève (3ème1)'!PG6:PI6,"C"))*2)+((COUNTIF('Elève (3ème1)'!PG6:PI6,"D"))*1))/(COUNTA(PG6:PI6)),"")</f>
        <v/>
      </c>
      <c r="PK6" s="164" t="str">
        <f t="shared" si="104"/>
        <v/>
      </c>
      <c r="PL6" s="103" t="s">
        <v>27</v>
      </c>
      <c r="PM6" s="104"/>
      <c r="PN6" s="105"/>
      <c r="PO6" s="105"/>
      <c r="PP6" s="163">
        <f>IFERROR((((COUNTIF('Elève (3ème1)'!PL6:PO6,"A"))*4)+((COUNTIF('Elève (3ème1)'!PL6:PO6,"B"))*3)+((COUNTIF('Elève (3ème1)'!PL6:PO6,"C"))*2)+((COUNTIF('Elève (3ème1)'!PL6:PO6,"D"))*1))/(COUNTA(PL6:PO6)),"")</f>
        <v>4</v>
      </c>
      <c r="PQ6" s="164" t="str">
        <f t="shared" si="105"/>
        <v>A</v>
      </c>
      <c r="PR6" s="103" t="s">
        <v>28</v>
      </c>
      <c r="PS6" s="104" t="s">
        <v>28</v>
      </c>
      <c r="PT6" s="105" t="s">
        <v>29</v>
      </c>
      <c r="PU6" s="105" t="s">
        <v>28</v>
      </c>
      <c r="PV6" s="105"/>
      <c r="PW6" s="109"/>
      <c r="PX6" s="163">
        <f>IFERROR((((COUNTIF('Elève (3ème1)'!PR6:PW6,"A"))*4)+((COUNTIF('Elève (3ème1)'!PR6:PW6,"B"))*3)+((COUNTIF('Elève (3ème1)'!PR6:PW6,"C"))*2)+((COUNTIF('Elève (3ème1)'!PR6:PW6,"D"))*1))/(COUNTA(PR6:PW6)),"")</f>
        <v>2.75</v>
      </c>
      <c r="PY6" s="164" t="str">
        <f t="shared" si="106"/>
        <v>C</v>
      </c>
      <c r="PZ6" s="163">
        <f>IF(COUNT(PJ6,PP6,PX6)=0,"",SUM(PJ6,PP6,PX6)/COUNT(PJ6,PP6,PX6))</f>
        <v>3.375</v>
      </c>
      <c r="QA6" s="187" t="str">
        <f t="shared" si="107"/>
        <v>B</v>
      </c>
      <c r="QB6" s="103"/>
      <c r="QC6" s="104"/>
      <c r="QD6" s="105"/>
      <c r="QE6" s="163" t="str">
        <f>IFERROR((((COUNTIF('Elève (3ème1)'!QB6:QD6,"A"))*4)+((COUNTIF('Elève (3ème1)'!QB6:QD6,"B"))*3)+((COUNTIF('Elève (3ème1)'!QB6:QD6,"C"))*2)+((COUNTIF('Elève (3ème1)'!QB6:QD6,"D"))*1))/(COUNTA(QB6:QD6)),"")</f>
        <v/>
      </c>
      <c r="QF6" s="164" t="str">
        <f t="shared" si="108"/>
        <v/>
      </c>
      <c r="QG6" s="103" t="s">
        <v>27</v>
      </c>
      <c r="QH6" s="104"/>
      <c r="QI6" s="105"/>
      <c r="QJ6" s="105"/>
      <c r="QK6" s="163">
        <f>IFERROR((((COUNTIF('Elève (3ème1)'!QG6:QJ6,"A"))*4)+((COUNTIF('Elève (3ème1)'!QG6:QJ6,"B"))*3)+((COUNTIF('Elève (3ème1)'!QG6:QJ6,"C"))*2)+((COUNTIF('Elève (3ème1)'!QG6:QJ6,"D"))*1))/(COUNTA(QG6:QJ6)),"")</f>
        <v>4</v>
      </c>
      <c r="QL6" s="164" t="str">
        <f t="shared" si="109"/>
        <v>A</v>
      </c>
      <c r="QM6" s="103" t="s">
        <v>28</v>
      </c>
      <c r="QN6" s="104" t="s">
        <v>27</v>
      </c>
      <c r="QO6" s="105" t="s">
        <v>28</v>
      </c>
      <c r="QP6" s="105" t="s">
        <v>27</v>
      </c>
      <c r="QQ6" s="105"/>
      <c r="QR6" s="109"/>
      <c r="QS6" s="163">
        <f>IFERROR((((COUNTIF('Elève (3ème1)'!QM6:QR6,"A"))*4)+((COUNTIF('Elève (3ème1)'!QM6:QR6,"B"))*3)+((COUNTIF('Elève (3ème1)'!QM6:QR6,"C"))*2)+((COUNTIF('Elève (3ème1)'!QM6:QR6,"D"))*1))/(COUNTA(QM6:QR6)),"")</f>
        <v>3.5</v>
      </c>
      <c r="QT6" s="164" t="str">
        <f t="shared" si="110"/>
        <v>B</v>
      </c>
      <c r="QU6" s="163">
        <f>IF(COUNT(QE6,QK6,QS6)=0,"",SUM(QE6,QK6,QS6)/COUNT(QE6,QK6,QS6))</f>
        <v>3.75</v>
      </c>
      <c r="QV6" s="187" t="str">
        <f t="shared" si="111"/>
        <v>A</v>
      </c>
      <c r="QW6" s="103"/>
      <c r="QX6" s="104"/>
      <c r="QY6" s="105"/>
      <c r="QZ6" s="163" t="str">
        <f>IFERROR((((COUNTIF('Elève (3ème1)'!QW6:QY6,"A"))*4)+((COUNTIF('Elève (3ème1)'!QW6:QY6,"B"))*3)+((COUNTIF('Elève (3ème1)'!QW6:QY6,"C"))*2)+((COUNTIF('Elève (3ème1)'!QW6:QY6,"D"))*1))/(COUNTA(QW6:QY6)),"")</f>
        <v/>
      </c>
      <c r="RA6" s="164" t="str">
        <f t="shared" si="112"/>
        <v/>
      </c>
      <c r="RB6" s="103" t="s">
        <v>28</v>
      </c>
      <c r="RC6" s="104"/>
      <c r="RD6" s="105"/>
      <c r="RE6" s="105"/>
      <c r="RF6" s="163">
        <f>IFERROR((((COUNTIF('Elève (3ème1)'!RB6:RE6,"A"))*4)+((COUNTIF('Elève (3ème1)'!RB6:RE6,"B"))*3)+((COUNTIF('Elève (3ème1)'!RB6:RE6,"C"))*2)+((COUNTIF('Elève (3ème1)'!RB6:RE6,"D"))*1))/(COUNTA(RB6:RE6)),"")</f>
        <v>3</v>
      </c>
      <c r="RG6" s="164" t="str">
        <f t="shared" si="113"/>
        <v>B</v>
      </c>
      <c r="RH6" s="103" t="s">
        <v>28</v>
      </c>
      <c r="RI6" s="104" t="s">
        <v>28</v>
      </c>
      <c r="RJ6" s="105"/>
      <c r="RK6" s="105" t="s">
        <v>28</v>
      </c>
      <c r="RL6" s="105"/>
      <c r="RM6" s="109"/>
      <c r="RN6" s="163">
        <f>IFERROR((((COUNTIF('Elève (3ème1)'!RH6:RM6,"A"))*4)+((COUNTIF('Elève (3ème1)'!RH6:RM6,"B"))*3)+((COUNTIF('Elève (3ème1)'!RH6:RM6,"C"))*2)+((COUNTIF('Elève (3ème1)'!RH6:RM6,"D"))*1))/(COUNTA(RH6:RM6)),"")</f>
        <v>3</v>
      </c>
      <c r="RO6" s="164" t="str">
        <f t="shared" si="114"/>
        <v>B</v>
      </c>
      <c r="RP6" s="163">
        <f>IF(COUNT(QZ6,RF6,RN6)=0,"",SUM(QZ6,RF6,RN6)/COUNT(QZ6,RF6,RN6))</f>
        <v>3</v>
      </c>
      <c r="RQ6" s="187" t="str">
        <f t="shared" si="115"/>
        <v>B</v>
      </c>
      <c r="RR6" s="103"/>
      <c r="RS6" s="104"/>
      <c r="RT6" s="105"/>
      <c r="RU6" s="163" t="str">
        <f>IFERROR((((COUNTIF('Elève (3ème1)'!RR6:RT6,"A"))*4)+((COUNTIF('Elève (3ème1)'!RR6:RT6,"B"))*3)+((COUNTIF('Elève (3ème1)'!RR6:RT6,"C"))*2)+((COUNTIF('Elève (3ème1)'!RR6:RT6,"D"))*1))/(COUNTA(RR6:RT6)),"")</f>
        <v/>
      </c>
      <c r="RV6" s="164" t="str">
        <f t="shared" si="116"/>
        <v/>
      </c>
      <c r="RW6" s="103" t="s">
        <v>30</v>
      </c>
      <c r="RX6" s="104"/>
      <c r="RY6" s="105"/>
      <c r="RZ6" s="105"/>
      <c r="SA6" s="163">
        <f>IFERROR((((COUNTIF('Elève (3ème1)'!RW6:RZ6,"A"))*4)+((COUNTIF('Elève (3ème1)'!RW6:RZ6,"B"))*3)+((COUNTIF('Elève (3ème1)'!RW6:RZ6,"C"))*2)+((COUNTIF('Elève (3ème1)'!RW6:RZ6,"D"))*1))/(COUNTA(RW6:RZ6)),"")</f>
        <v>1</v>
      </c>
      <c r="SB6" s="164" t="str">
        <f t="shared" si="117"/>
        <v>D</v>
      </c>
      <c r="SC6" s="103" t="s">
        <v>28</v>
      </c>
      <c r="SD6" s="104" t="s">
        <v>27</v>
      </c>
      <c r="SE6" s="105" t="s">
        <v>27</v>
      </c>
      <c r="SF6" s="105" t="s">
        <v>28</v>
      </c>
      <c r="SG6" s="105"/>
      <c r="SH6" s="109"/>
      <c r="SI6" s="163">
        <f>IFERROR((((COUNTIF('Elève (3ème1)'!SC6:SH6,"A"))*4)+((COUNTIF('Elève (3ème1)'!SC6:SH6,"B"))*3)+((COUNTIF('Elève (3ème1)'!SC6:SH6,"C"))*2)+((COUNTIF('Elève (3ème1)'!SC6:SH6,"D"))*1))/(COUNTA(SC6:SH6)),"")</f>
        <v>3.5</v>
      </c>
      <c r="SJ6" s="164" t="str">
        <f t="shared" si="118"/>
        <v>B</v>
      </c>
      <c r="SK6" s="163">
        <f>IF(COUNT(RU6,SA6,SI6)=0,"",SUM(RU6,SA6,SI6)/COUNT(RU6,SA6,SI6))</f>
        <v>2.25</v>
      </c>
      <c r="SL6" s="187" t="str">
        <f t="shared" si="119"/>
        <v>C</v>
      </c>
      <c r="SM6" s="103"/>
      <c r="SN6" s="104"/>
      <c r="SO6" s="105"/>
      <c r="SP6" s="163" t="str">
        <f>IFERROR((((COUNTIF('Elève (3ème1)'!SM6:SO6,"A"))*4)+((COUNTIF('Elève (3ème1)'!SM6:SO6,"B"))*3)+((COUNTIF('Elève (3ème1)'!SM6:SO6,"C"))*2)+((COUNTIF('Elève (3ème1)'!SM6:SO6,"D"))*1))/(COUNTA(SM6:SO6)),"")</f>
        <v/>
      </c>
      <c r="SQ6" s="164" t="str">
        <f t="shared" si="120"/>
        <v/>
      </c>
      <c r="SR6" s="103" t="s">
        <v>28</v>
      </c>
      <c r="SS6" s="104"/>
      <c r="ST6" s="105"/>
      <c r="SU6" s="105"/>
      <c r="SV6" s="163">
        <f>IFERROR((((COUNTIF('Elève (3ème1)'!SR6:SU6,"A"))*4)+((COUNTIF('Elève (3ème1)'!SR6:SU6,"B"))*3)+((COUNTIF('Elève (3ème1)'!SR6:SU6,"C"))*2)+((COUNTIF('Elève (3ème1)'!SR6:SU6,"D"))*1))/(COUNTA(SR6:SU6)),"")</f>
        <v>3</v>
      </c>
      <c r="SW6" s="164" t="str">
        <f t="shared" si="121"/>
        <v>B</v>
      </c>
      <c r="SX6" s="103" t="s">
        <v>28</v>
      </c>
      <c r="SY6" s="104" t="s">
        <v>28</v>
      </c>
      <c r="SZ6" s="105" t="s">
        <v>28</v>
      </c>
      <c r="TA6" s="105" t="s">
        <v>27</v>
      </c>
      <c r="TB6" s="105"/>
      <c r="TC6" s="109"/>
      <c r="TD6" s="163">
        <f>IFERROR((((COUNTIF('Elève (3ème1)'!SX6:TC6,"A"))*4)+((COUNTIF('Elève (3ème1)'!SX6:TC6,"B"))*3)+((COUNTIF('Elève (3ème1)'!SX6:TC6,"C"))*2)+((COUNTIF('Elève (3ème1)'!SX6:TC6,"D"))*1))/(COUNTA(SX6:TC6)),"")</f>
        <v>3.25</v>
      </c>
      <c r="TE6" s="164" t="str">
        <f t="shared" si="122"/>
        <v>B</v>
      </c>
      <c r="TF6" s="163">
        <f>IF(COUNT(SP6,SV6,TD6)=0,"",SUM(SP6,SV6,TD6)/COUNT(SP6,SV6,TD6))</f>
        <v>3.125</v>
      </c>
      <c r="TG6" s="187" t="str">
        <f t="shared" si="123"/>
        <v>B</v>
      </c>
      <c r="TH6" s="103"/>
      <c r="TI6" s="104"/>
      <c r="TJ6" s="105"/>
      <c r="TK6" s="106" t="str">
        <f>IFERROR((((COUNTIF('Elève (3ème1)'!TH6:TJ6,"A"))*4)+((COUNTIF('Elève (3ème1)'!TH6:TJ6,"B"))*3)+((COUNTIF('Elève (3ème1)'!TH6:TJ6,"C"))*2)+((COUNTIF('Elève (3ème1)'!TH6:TJ6,"D"))*1))/(COUNTA(TH6:TJ6)),"")</f>
        <v/>
      </c>
      <c r="TL6" s="107" t="str">
        <f t="shared" si="124"/>
        <v/>
      </c>
      <c r="TM6" s="103"/>
      <c r="TN6" s="104"/>
      <c r="TO6" s="105"/>
      <c r="TP6" s="106" t="str">
        <f>IFERROR((((COUNTIF('Elève (3ème1)'!TM6:TO6,"A"))*4)+((COUNTIF('Elève (3ème1)'!TM6:TO6,"B"))*3)+((COUNTIF('Elève (3ème1)'!TM6:TO6,"C"))*2)+((COUNTIF('Elève (3ème1)'!TM6:TO6,"D"))*1))/(COUNTA(TM6:TO6)),"")</f>
        <v/>
      </c>
      <c r="TQ6" s="107" t="str">
        <f t="shared" si="125"/>
        <v/>
      </c>
      <c r="TR6" s="103"/>
      <c r="TS6" s="104"/>
      <c r="TT6" s="109"/>
      <c r="TU6" s="106" t="str">
        <f>IFERROR((((COUNTIF('Elève (3ème1)'!TR6:TT6,"A"))*4)+((COUNTIF('Elève (3ème1)'!TR6:TT6,"B"))*3)+((COUNTIF('Elève (3ème1)'!TR6:TT6,"C"))*2)+((COUNTIF('Elève (3ème1)'!TR6:TT6,"D"))*1))/(COUNTA(TR6:TT6)),"")</f>
        <v/>
      </c>
      <c r="TV6" s="107" t="str">
        <f t="shared" si="126"/>
        <v/>
      </c>
      <c r="TW6" s="106" t="str">
        <f>IF(COUNT(TK6,TP6,TU6)=0,"",SUM(TK6,TP6,TU6)/COUNT(TK6,TP6,TU6))</f>
        <v/>
      </c>
      <c r="TX6" s="108" t="str">
        <f t="shared" si="127"/>
        <v/>
      </c>
      <c r="TY6" s="103"/>
      <c r="TZ6" s="104"/>
      <c r="UA6" s="105"/>
      <c r="UB6" s="106" t="str">
        <f>IFERROR((((COUNTIF('Elève (3ème1)'!TY6:UA6,"A"))*4)+((COUNTIF('Elève (3ème1)'!TY6:UA6,"B"))*3)+((COUNTIF('Elève (3ème1)'!TY6:UA6,"C"))*2)+((COUNTIF('Elève (3ème1)'!TY6:UA6,"D"))*1))/(COUNTA(TY6:UA6)),"")</f>
        <v/>
      </c>
      <c r="UC6" s="107" t="str">
        <f t="shared" si="128"/>
        <v/>
      </c>
      <c r="UD6" s="103"/>
      <c r="UE6" s="104"/>
      <c r="UF6" s="105"/>
      <c r="UG6" s="106" t="str">
        <f>IFERROR((((COUNTIF('Elève (3ème1)'!UD6:UF6,"A"))*4)+((COUNTIF('Elève (3ème1)'!UD6:UF6,"B"))*3)+((COUNTIF('Elève (3ème1)'!UD6:UF6,"C"))*2)+((COUNTIF('Elève (3ème1)'!UD6:UF6,"D"))*1))/(COUNTA(UD6:UF6)),"")</f>
        <v/>
      </c>
      <c r="UH6" s="107" t="str">
        <f t="shared" si="129"/>
        <v/>
      </c>
      <c r="UI6" s="103"/>
      <c r="UJ6" s="104"/>
      <c r="UK6" s="109"/>
      <c r="UL6" s="106" t="str">
        <f>IFERROR((((COUNTIF('Elève (3ème1)'!UI6:UK6,"A"))*4)+((COUNTIF('Elève (3ème1)'!UI6:UK6,"B"))*3)+((COUNTIF('Elève (3ème1)'!UI6:UK6,"C"))*2)+((COUNTIF('Elève (3ème1)'!UI6:UK6,"D"))*1))/(COUNTA(UI6:UK6)),"")</f>
        <v/>
      </c>
      <c r="UM6" s="107" t="str">
        <f t="shared" si="130"/>
        <v/>
      </c>
      <c r="UN6" s="106" t="str">
        <f>IF(COUNT(UB6,UG6,UL6)=0,"",SUM(UB6,UG6,UL6)/COUNT(UB6,UG6,UL6))</f>
        <v/>
      </c>
      <c r="UO6" s="108" t="str">
        <f t="shared" si="131"/>
        <v/>
      </c>
      <c r="UP6" s="103"/>
      <c r="UQ6" s="104"/>
      <c r="UR6" s="105"/>
      <c r="US6" s="106" t="str">
        <f>IFERROR((((COUNTIF('Elève (3ème1)'!UP6:UR6,"A"))*4)+((COUNTIF('Elève (3ème1)'!UP6:UR6,"B"))*3)+((COUNTIF('Elève (3ème1)'!UP6:UR6,"C"))*2)+((COUNTIF('Elève (3ème1)'!UP6:UR6,"D"))*1))/(COUNTA(UP6:UR6)),"")</f>
        <v/>
      </c>
      <c r="UT6" s="107" t="str">
        <f t="shared" si="132"/>
        <v/>
      </c>
      <c r="UU6" s="103"/>
      <c r="UV6" s="104"/>
      <c r="UW6" s="105"/>
      <c r="UX6" s="106" t="str">
        <f>IFERROR((((COUNTIF('Elève (3ème1)'!UU6:UW6,"A"))*4)+((COUNTIF('Elève (3ème1)'!UU6:UW6,"B"))*3)+((COUNTIF('Elève (3ème1)'!UU6:UW6,"C"))*2)+((COUNTIF('Elève (3ème1)'!UU6:UW6,"D"))*1))/(COUNTA(UU6:UW6)),"")</f>
        <v/>
      </c>
      <c r="UY6" s="107" t="str">
        <f t="shared" si="133"/>
        <v/>
      </c>
      <c r="UZ6" s="103"/>
      <c r="VA6" s="104"/>
      <c r="VB6" s="109"/>
      <c r="VC6" s="106" t="str">
        <f>IFERROR((((COUNTIF('Elève (3ème1)'!UZ6:VB6,"A"))*4)+((COUNTIF('Elève (3ème1)'!UZ6:VB6,"B"))*3)+((COUNTIF('Elève (3ème1)'!UZ6:VB6,"C"))*2)+((COUNTIF('Elève (3ème1)'!UZ6:VB6,"D"))*1))/(COUNTA(UZ6:VB6)),"")</f>
        <v/>
      </c>
      <c r="VD6" s="107" t="str">
        <f t="shared" si="134"/>
        <v/>
      </c>
      <c r="VE6" s="106" t="str">
        <f>IF(COUNT(US6,UX6,VC6)=0,"",SUM(US6,UX6,VC6)/COUNT(US6,UX6,VC6))</f>
        <v/>
      </c>
      <c r="VF6" s="108" t="str">
        <f t="shared" si="135"/>
        <v/>
      </c>
      <c r="VG6" s="103"/>
      <c r="VH6" s="104"/>
      <c r="VI6" s="105"/>
      <c r="VJ6" s="106" t="str">
        <f>IFERROR((((COUNTIF('Elève (3ème1)'!VG6:VI6,"A"))*4)+((COUNTIF('Elève (3ème1)'!VG6:VI6,"B"))*3)+((COUNTIF('Elève (3ème1)'!VG6:VI6,"C"))*2)+((COUNTIF('Elève (3ème1)'!VG6:VI6,"D"))*1))/(COUNTA(VG6:VI6)),"")</f>
        <v/>
      </c>
      <c r="VK6" s="107" t="str">
        <f t="shared" si="136"/>
        <v/>
      </c>
      <c r="VL6" s="103"/>
      <c r="VM6" s="104"/>
      <c r="VN6" s="105"/>
      <c r="VO6" s="106" t="str">
        <f>IFERROR((((COUNTIF('Elève (3ème1)'!VL6:VN6,"A"))*4)+((COUNTIF('Elève (3ème1)'!VL6:VN6,"B"))*3)+((COUNTIF('Elève (3ème1)'!VL6:VN6,"C"))*2)+((COUNTIF('Elève (3ème1)'!VL6:VN6,"D"))*1))/(COUNTA(VL6:VN6)),"")</f>
        <v/>
      </c>
      <c r="VP6" s="107" t="str">
        <f t="shared" si="137"/>
        <v/>
      </c>
      <c r="VQ6" s="103"/>
      <c r="VR6" s="104"/>
      <c r="VS6" s="109"/>
      <c r="VT6" s="106" t="str">
        <f>IFERROR((((COUNTIF('Elève (3ème1)'!VQ6:VS6,"A"))*4)+((COUNTIF('Elève (3ème1)'!VQ6:VS6,"B"))*3)+((COUNTIF('Elève (3ème1)'!VQ6:VS6,"C"))*2)+((COUNTIF('Elève (3ème1)'!VQ6:VS6,"D"))*1))/(COUNTA(VQ6:VS6)),"")</f>
        <v/>
      </c>
      <c r="VU6" s="107" t="str">
        <f t="shared" si="138"/>
        <v/>
      </c>
      <c r="VV6" s="106" t="str">
        <f>IF(COUNT(VJ6,VO6,VT6)=0,"",SUM(VJ6,VO6,VT6)/COUNT(VJ6,VO6,VT6))</f>
        <v/>
      </c>
      <c r="VW6" s="108" t="str">
        <f t="shared" si="139"/>
        <v/>
      </c>
      <c r="VX6" s="103"/>
      <c r="VY6" s="104"/>
      <c r="VZ6" s="105"/>
      <c r="WA6" s="106" t="str">
        <f>IFERROR((((COUNTIF('Elève (3ème1)'!VX6:VZ6,"A"))*4)+((COUNTIF('Elève (3ème1)'!VX6:VZ6,"B"))*3)+((COUNTIF('Elève (3ème1)'!VX6:VZ6,"C"))*2)+((COUNTIF('Elève (3ème1)'!VX6:VZ6,"D"))*1))/(COUNTA(VX6:VZ6)),"")</f>
        <v/>
      </c>
      <c r="WB6" s="107" t="str">
        <f t="shared" si="140"/>
        <v/>
      </c>
      <c r="WC6" s="103"/>
      <c r="WD6" s="104"/>
      <c r="WE6" s="105"/>
      <c r="WF6" s="106" t="str">
        <f>IFERROR((((COUNTIF('Elève (3ème1)'!WC6:WE6,"A"))*4)+((COUNTIF('Elève (3ème1)'!WC6:WE6,"B"))*3)+((COUNTIF('Elève (3ème1)'!WC6:WE6,"C"))*2)+((COUNTIF('Elève (3ème1)'!WC6:WE6,"D"))*1))/(COUNTA(WC6:WE6)),"")</f>
        <v/>
      </c>
      <c r="WG6" s="107" t="str">
        <f t="shared" si="141"/>
        <v/>
      </c>
      <c r="WH6" s="103"/>
      <c r="WI6" s="104"/>
      <c r="WJ6" s="109"/>
      <c r="WK6" s="106" t="str">
        <f>IFERROR((((COUNTIF('Elève (3ème1)'!WH6:WJ6,"A"))*4)+((COUNTIF('Elève (3ème1)'!WH6:WJ6,"B"))*3)+((COUNTIF('Elève (3ème1)'!WH6:WJ6,"C"))*2)+((COUNTIF('Elève (3ème1)'!WH6:WJ6,"D"))*1))/(COUNTA(WH6:WJ6)),"")</f>
        <v/>
      </c>
      <c r="WL6" s="107" t="str">
        <f t="shared" si="142"/>
        <v/>
      </c>
      <c r="WM6" s="106" t="str">
        <f>IF(COUNT(WA6,WF6,WK6)=0,"",SUM(WA6,WF6,WK6)/COUNT(WA6,WF6,WK6))</f>
        <v/>
      </c>
      <c r="WN6" s="108" t="str">
        <f t="shared" si="143"/>
        <v/>
      </c>
    </row>
    <row r="7" spans="1:612" ht="18" customHeight="1" x14ac:dyDescent="0.55000000000000004">
      <c r="A7" s="221" t="s">
        <v>46</v>
      </c>
      <c r="B7" s="222"/>
      <c r="C7" s="103"/>
      <c r="D7" s="104"/>
      <c r="E7" s="105"/>
      <c r="F7" s="163" t="str">
        <f>IFERROR((((COUNTIF('Elève (3ème1)'!C7:E7,"A"))*4)+((COUNTIF('Elève (3ème1)'!C7:E7,"B"))*3)+((COUNTIF('Elève (3ème1)'!C7:E7,"C"))*2)+((COUNTIF('Elève (3ème1)'!C7:E7,"D"))*1))/(COUNTA(C7:E7)),"")</f>
        <v/>
      </c>
      <c r="G7" s="164" t="str">
        <f t="shared" si="24"/>
        <v/>
      </c>
      <c r="H7" s="103"/>
      <c r="I7" s="104"/>
      <c r="J7" s="105"/>
      <c r="K7" s="105"/>
      <c r="L7" s="163" t="str">
        <f>IFERROR((((COUNTIF('Elève (3ème1)'!H7:K7,"A"))*4)+((COUNTIF('Elève (3ème1)'!H7:K7,"B"))*3)+((COUNTIF('Elève (3ème1)'!H7:K7,"C"))*2)+((COUNTIF('Elève (3ème1)'!H7:K7,"D"))*1))/(COUNTA(H7:K7)),"")</f>
        <v/>
      </c>
      <c r="M7" s="164" t="str">
        <f t="shared" si="25"/>
        <v/>
      </c>
      <c r="N7" s="103"/>
      <c r="O7" s="104"/>
      <c r="P7" s="105"/>
      <c r="Q7" s="105"/>
      <c r="R7" s="105"/>
      <c r="S7" s="105"/>
      <c r="T7" s="163" t="str">
        <f>IFERROR((((COUNTIF('Elève (3ème1)'!N7:S7,"A"))*4)+((COUNTIF('Elève (3ème1)'!N7:S7,"B"))*3)+((COUNTIF('Elève (3ème1)'!N7:S7,"C"))*2)+((COUNTIF('Elève (3ème1)'!N7:S7,"D"))*1))/(COUNTA(N7:S7)),"")</f>
        <v/>
      </c>
      <c r="U7" s="164" t="str">
        <f t="shared" si="26"/>
        <v/>
      </c>
      <c r="V7" s="163" t="str">
        <f>IF(COUNT(F7,L7,T7)=0,"",SUM(F7,L7,T7)/COUNT(F7,L7,T7))</f>
        <v/>
      </c>
      <c r="W7" s="187" t="str">
        <f t="shared" si="27"/>
        <v/>
      </c>
      <c r="X7" s="103"/>
      <c r="Y7" s="104"/>
      <c r="Z7" s="105"/>
      <c r="AA7" s="163" t="str">
        <f>IFERROR((((COUNTIF('Elève (3ème1)'!X7:Z7,"A"))*4)+((COUNTIF('Elève (3ème1)'!X7:Z7,"B"))*3)+((COUNTIF('Elève (3ème1)'!X7:Z7,"C"))*2)+((COUNTIF('Elève (3ème1)'!X7:Z7,"D"))*1))/(COUNTA(X7:Z7)),"")</f>
        <v/>
      </c>
      <c r="AB7" s="164" t="str">
        <f t="shared" si="28"/>
        <v/>
      </c>
      <c r="AC7" s="103"/>
      <c r="AD7" s="104"/>
      <c r="AE7" s="105"/>
      <c r="AF7" s="105"/>
      <c r="AG7" s="163" t="str">
        <f>IFERROR((((COUNTIF('Elève (3ème1)'!AC7:AF7,"A"))*4)+((COUNTIF('Elève (3ème1)'!AC7:AF7,"B"))*3)+((COUNTIF('Elève (3ème1)'!AC7:AF7,"C"))*2)+((COUNTIF('Elève (3ème1)'!AC7:AF7,"D"))*1))/(COUNTA(AC7:AF7)),"")</f>
        <v/>
      </c>
      <c r="AH7" s="164" t="str">
        <f t="shared" si="29"/>
        <v/>
      </c>
      <c r="AI7" s="103"/>
      <c r="AJ7" s="104"/>
      <c r="AK7" s="105"/>
      <c r="AL7" s="105"/>
      <c r="AM7" s="105"/>
      <c r="AN7" s="109"/>
      <c r="AO7" s="163" t="str">
        <f>IFERROR((((COUNTIF('Elève (3ème1)'!AI7:AN7,"A"))*4)+((COUNTIF('Elève (3ème1)'!AI7:AN7,"B"))*3)+((COUNTIF('Elève (3ème1)'!AI7:AN7,"C"))*2)+((COUNTIF('Elève (3ème1)'!AI7:AN7,"D"))*1))/(COUNTA(AI7:AN7)),"")</f>
        <v/>
      </c>
      <c r="AP7" s="164" t="str">
        <f t="shared" si="30"/>
        <v/>
      </c>
      <c r="AQ7" s="163" t="str">
        <f>IF(COUNT(AA7,AG7,AO7)=0,"",SUM(AA7,AG7,AO7)/COUNT(AA7,AG7,AO7))</f>
        <v/>
      </c>
      <c r="AR7" s="187" t="str">
        <f t="shared" si="31"/>
        <v/>
      </c>
      <c r="AS7" s="103"/>
      <c r="AT7" s="104"/>
      <c r="AU7" s="105"/>
      <c r="AV7" s="163" t="str">
        <f>IFERROR((((COUNTIF('Elève (3ème1)'!AS7:AU7,"A"))*4)+((COUNTIF('Elève (3ème1)'!AS7:AU7,"B"))*3)+((COUNTIF('Elève (3ème1)'!AS7:AU7,"C"))*2)+((COUNTIF('Elève (3ème1)'!AS7:AU7,"D"))*1))/(COUNTA(AS7:AU7)),"")</f>
        <v/>
      </c>
      <c r="AW7" s="164" t="str">
        <f t="shared" si="32"/>
        <v/>
      </c>
      <c r="AX7" s="103"/>
      <c r="AY7" s="104"/>
      <c r="AZ7" s="105"/>
      <c r="BA7" s="105"/>
      <c r="BB7" s="163" t="str">
        <f>IFERROR((((COUNTIF('Elève (3ème1)'!AX7:BA7,"A"))*4)+((COUNTIF('Elève (3ème1)'!AX7:BA7,"B"))*3)+((COUNTIF('Elève (3ème1)'!AX7:BA7,"C"))*2)+((COUNTIF('Elève (3ème1)'!AX7:BA7,"D"))*1))/(COUNTA(AX7:BA7)),"")</f>
        <v/>
      </c>
      <c r="BC7" s="164" t="str">
        <f t="shared" si="33"/>
        <v/>
      </c>
      <c r="BD7" s="103"/>
      <c r="BE7" s="104"/>
      <c r="BF7" s="105"/>
      <c r="BG7" s="105"/>
      <c r="BH7" s="105"/>
      <c r="BI7" s="109"/>
      <c r="BJ7" s="163" t="str">
        <f>IFERROR((((COUNTIF('Elève (3ème1)'!BD7:BI7,"A"))*4)+((COUNTIF('Elève (3ème1)'!BD7:BI7,"B"))*3)+((COUNTIF('Elève (3ème1)'!BD7:BI7,"C"))*2)+((COUNTIF('Elève (3ème1)'!BD7:BI7,"D"))*1))/(COUNTA(BD7:BI7)),"")</f>
        <v/>
      </c>
      <c r="BK7" s="164" t="str">
        <f t="shared" si="34"/>
        <v/>
      </c>
      <c r="BL7" s="163" t="str">
        <f>IF(COUNT(AV7,BB7,BJ7)=0,"",SUM(AV7,BB7,BJ7)/COUNT(AV7,BB7,BJ7))</f>
        <v/>
      </c>
      <c r="BM7" s="187" t="str">
        <f t="shared" si="35"/>
        <v/>
      </c>
      <c r="BN7" s="103"/>
      <c r="BO7" s="104"/>
      <c r="BP7" s="105"/>
      <c r="BQ7" s="163" t="str">
        <f>IFERROR((((COUNTIF('Elève (3ème1)'!BN7:BP7,"A"))*4)+((COUNTIF('Elève (3ème1)'!BN7:BP7,"B"))*3)+((COUNTIF('Elève (3ème1)'!BN7:BP7,"C"))*2)+((COUNTIF('Elève (3ème1)'!BN7:BP7,"D"))*1))/(COUNTA(BN7:BP7)),"")</f>
        <v/>
      </c>
      <c r="BR7" s="164" t="str">
        <f t="shared" si="36"/>
        <v/>
      </c>
      <c r="BS7" s="103"/>
      <c r="BT7" s="104"/>
      <c r="BU7" s="105"/>
      <c r="BV7" s="105"/>
      <c r="BW7" s="163" t="str">
        <f>IFERROR((((COUNTIF('Elève (3ème1)'!BS7:BV7,"A"))*4)+((COUNTIF('Elève (3ème1)'!BS7:BV7,"B"))*3)+((COUNTIF('Elève (3ème1)'!BS7:BV7,"C"))*2)+((COUNTIF('Elève (3ème1)'!BS7:BV7,"D"))*1))/(COUNTA(BS7:BV7)),"")</f>
        <v/>
      </c>
      <c r="BX7" s="164" t="str">
        <f t="shared" si="37"/>
        <v/>
      </c>
      <c r="BY7" s="103"/>
      <c r="BZ7" s="104"/>
      <c r="CA7" s="105"/>
      <c r="CB7" s="105"/>
      <c r="CC7" s="105"/>
      <c r="CD7" s="109"/>
      <c r="CE7" s="163" t="str">
        <f>IFERROR((((COUNTIF('Elève (3ème1)'!BY7:CD7,"A"))*4)+((COUNTIF('Elève (3ème1)'!BY7:CD7,"B"))*3)+((COUNTIF('Elève (3ème1)'!BY7:CD7,"C"))*2)+((COUNTIF('Elève (3ème1)'!BY7:CD7,"D"))*1))/(COUNTA(BY7:CD7)),"")</f>
        <v/>
      </c>
      <c r="CF7" s="164" t="str">
        <f t="shared" si="38"/>
        <v/>
      </c>
      <c r="CG7" s="163" t="str">
        <f>IF(COUNT(BQ7,BW7,CE7)=0,"",SUM(BQ7,BW7,CE7)/COUNT(BQ7,BW7,CE7))</f>
        <v/>
      </c>
      <c r="CH7" s="187" t="str">
        <f t="shared" si="39"/>
        <v/>
      </c>
      <c r="CI7" s="103"/>
      <c r="CJ7" s="104"/>
      <c r="CK7" s="105"/>
      <c r="CL7" s="163" t="str">
        <f>IFERROR((((COUNTIF('Elève (3ème1)'!CI7:CK7,"A"))*4)+((COUNTIF('Elève (3ème1)'!CI7:CK7,"B"))*3)+((COUNTIF('Elève (3ème1)'!CI7:CK7,"C"))*2)+((COUNTIF('Elève (3ème1)'!CI7:CK7,"D"))*1))/(COUNTA(CI7:CK7)),"")</f>
        <v/>
      </c>
      <c r="CM7" s="164" t="str">
        <f t="shared" si="40"/>
        <v/>
      </c>
      <c r="CN7" s="103"/>
      <c r="CO7" s="104"/>
      <c r="CP7" s="105"/>
      <c r="CQ7" s="105"/>
      <c r="CR7" s="163" t="str">
        <f>IFERROR((((COUNTIF('Elève (3ème1)'!CN7:CQ7,"A"))*4)+((COUNTIF('Elève (3ème1)'!CN7:CQ7,"B"))*3)+((COUNTIF('Elève (3ème1)'!CN7:CQ7,"C"))*2)+((COUNTIF('Elève (3ème1)'!CN7:CQ7,"D"))*1))/(COUNTA(CN7:CQ7)),"")</f>
        <v/>
      </c>
      <c r="CS7" s="164" t="str">
        <f t="shared" si="41"/>
        <v/>
      </c>
      <c r="CT7" s="103"/>
      <c r="CU7" s="104"/>
      <c r="CV7" s="105"/>
      <c r="CW7" s="105"/>
      <c r="CX7" s="105"/>
      <c r="CY7" s="109"/>
      <c r="CZ7" s="163" t="str">
        <f>IFERROR((((COUNTIF('Elève (3ème1)'!CT7:CY7,"A"))*4)+((COUNTIF('Elève (3ème1)'!CT7:CY7,"B"))*3)+((COUNTIF('Elève (3ème1)'!CT7:CY7,"C"))*2)+((COUNTIF('Elève (3ème1)'!CT7:CY7,"D"))*1))/(COUNTA(CT7:CY7)),"")</f>
        <v/>
      </c>
      <c r="DA7" s="164" t="str">
        <f t="shared" si="42"/>
        <v/>
      </c>
      <c r="DB7" s="163" t="str">
        <f>IF(COUNT(CL7,CR7,CZ7)=0,"",SUM(CL7,CR7,CZ7)/COUNT(CL7,CR7,CZ7))</f>
        <v/>
      </c>
      <c r="DC7" s="187" t="str">
        <f t="shared" si="43"/>
        <v/>
      </c>
      <c r="DD7" s="103"/>
      <c r="DE7" s="104"/>
      <c r="DF7" s="105"/>
      <c r="DG7" s="163" t="str">
        <f>IFERROR((((COUNTIF('Elève (3ème1)'!DD7:DF7,"A"))*4)+((COUNTIF('Elève (3ème1)'!DD7:DF7,"B"))*3)+((COUNTIF('Elève (3ème1)'!DD7:DF7,"C"))*2)+((COUNTIF('Elève (3ème1)'!DD7:DF7,"D"))*1))/(COUNTA(DD7:DF7)),"")</f>
        <v/>
      </c>
      <c r="DH7" s="164" t="str">
        <f t="shared" si="44"/>
        <v/>
      </c>
      <c r="DI7" s="103"/>
      <c r="DJ7" s="104"/>
      <c r="DK7" s="105"/>
      <c r="DL7" s="105"/>
      <c r="DM7" s="163" t="str">
        <f>IFERROR((((COUNTIF('Elève (3ème1)'!DI7:DL7,"A"))*4)+((COUNTIF('Elève (3ème1)'!DI7:DL7,"B"))*3)+((COUNTIF('Elève (3ème1)'!DI7:DL7,"C"))*2)+((COUNTIF('Elève (3ème1)'!DI7:DL7,"D"))*1))/(COUNTA(DI7:DL7)),"")</f>
        <v/>
      </c>
      <c r="DN7" s="164" t="str">
        <f t="shared" si="45"/>
        <v/>
      </c>
      <c r="DO7" s="103"/>
      <c r="DP7" s="104"/>
      <c r="DQ7" s="105"/>
      <c r="DR7" s="105"/>
      <c r="DS7" s="105"/>
      <c r="DT7" s="109"/>
      <c r="DU7" s="163" t="str">
        <f>IFERROR((((COUNTIF('Elève (3ème1)'!DO7:DT7,"A"))*4)+((COUNTIF('Elève (3ème1)'!DO7:DT7,"B"))*3)+((COUNTIF('Elève (3ème1)'!DO7:DT7,"C"))*2)+((COUNTIF('Elève (3ème1)'!DO7:DT7,"D"))*1))/(COUNTA(DO7:DT7)),"")</f>
        <v/>
      </c>
      <c r="DV7" s="164" t="str">
        <f t="shared" si="46"/>
        <v/>
      </c>
      <c r="DW7" s="163" t="str">
        <f>IF(COUNT(DG7,DM7,DU7)=0,"",SUM(DG7,DM7,DU7)/COUNT(DG7,DM7,DU7))</f>
        <v/>
      </c>
      <c r="DX7" s="187" t="str">
        <f t="shared" si="47"/>
        <v/>
      </c>
      <c r="DY7" s="103"/>
      <c r="DZ7" s="104"/>
      <c r="EA7" s="105"/>
      <c r="EB7" s="163" t="str">
        <f>IFERROR((((COUNTIF('Elève (3ème1)'!DY7:EA7,"A"))*4)+((COUNTIF('Elève (3ème1)'!DY7:EA7,"B"))*3)+((COUNTIF('Elève (3ème1)'!DY7:EA7,"C"))*2)+((COUNTIF('Elève (3ème1)'!DY7:EA7,"D"))*1))/(COUNTA(DY7:EA7)),"")</f>
        <v/>
      </c>
      <c r="EC7" s="164" t="str">
        <f t="shared" si="48"/>
        <v/>
      </c>
      <c r="ED7" s="103"/>
      <c r="EE7" s="104"/>
      <c r="EF7" s="105"/>
      <c r="EG7" s="105"/>
      <c r="EH7" s="163" t="str">
        <f>IFERROR((((COUNTIF('Elève (3ème1)'!ED7:EG7,"A"))*4)+((COUNTIF('Elève (3ème1)'!ED7:EG7,"B"))*3)+((COUNTIF('Elève (3ème1)'!ED7:EG7,"C"))*2)+((COUNTIF('Elève (3ème1)'!ED7:EG7,"D"))*1))/(COUNTA(ED7:EG7)),"")</f>
        <v/>
      </c>
      <c r="EI7" s="164" t="str">
        <f t="shared" si="49"/>
        <v/>
      </c>
      <c r="EJ7" s="103"/>
      <c r="EK7" s="104"/>
      <c r="EL7" s="105"/>
      <c r="EM7" s="105"/>
      <c r="EN7" s="105"/>
      <c r="EO7" s="109"/>
      <c r="EP7" s="163" t="str">
        <f>IFERROR((((COUNTIF('Elève (3ème1)'!EJ7:EO7,"A"))*4)+((COUNTIF('Elève (3ème1)'!EJ7:EO7,"B"))*3)+((COUNTIF('Elève (3ème1)'!EJ7:EO7,"C"))*2)+((COUNTIF('Elève (3ème1)'!EJ7:EO7,"D"))*1))/(COUNTA(EJ7:EO7)),"")</f>
        <v/>
      </c>
      <c r="EQ7" s="164" t="str">
        <f t="shared" si="50"/>
        <v/>
      </c>
      <c r="ER7" s="163" t="str">
        <f>IF(COUNT(EB7,EH7,EP7)=0,"",SUM(EB7,EH7,EP7)/COUNT(EB7,EH7,EP7))</f>
        <v/>
      </c>
      <c r="ES7" s="187" t="str">
        <f t="shared" si="51"/>
        <v/>
      </c>
      <c r="ET7" s="103"/>
      <c r="EU7" s="104"/>
      <c r="EV7" s="105"/>
      <c r="EW7" s="163" t="str">
        <f>IFERROR((((COUNTIF('Elève (3ème1)'!ET7:EV7,"A"))*4)+((COUNTIF('Elève (3ème1)'!ET7:EV7,"B"))*3)+((COUNTIF('Elève (3ème1)'!ET7:EV7,"C"))*2)+((COUNTIF('Elève (3ème1)'!ET7:EV7,"D"))*1))/(COUNTA(ET7:EV7)),"")</f>
        <v/>
      </c>
      <c r="EX7" s="164" t="str">
        <f t="shared" si="52"/>
        <v/>
      </c>
      <c r="EY7" s="103"/>
      <c r="EZ7" s="104"/>
      <c r="FA7" s="105"/>
      <c r="FB7" s="105"/>
      <c r="FC7" s="163" t="str">
        <f>IFERROR((((COUNTIF('Elève (3ème1)'!EY7:FB7,"A"))*4)+((COUNTIF('Elève (3ème1)'!EY7:FB7,"B"))*3)+((COUNTIF('Elève (3ème1)'!EY7:FB7,"C"))*2)+((COUNTIF('Elève (3ème1)'!EY7:FB7,"D"))*1))/(COUNTA(EY7:FB7)),"")</f>
        <v/>
      </c>
      <c r="FD7" s="164" t="str">
        <f t="shared" si="53"/>
        <v/>
      </c>
      <c r="FE7" s="103"/>
      <c r="FF7" s="104"/>
      <c r="FG7" s="105"/>
      <c r="FH7" s="105"/>
      <c r="FI7" s="105"/>
      <c r="FJ7" s="109"/>
      <c r="FK7" s="163" t="str">
        <f>IFERROR((((COUNTIF('Elève (3ème1)'!FE7:FJ7,"A"))*4)+((COUNTIF('Elève (3ème1)'!FE7:FJ7,"B"))*3)+((COUNTIF('Elève (3ème1)'!FE7:FJ7,"C"))*2)+((COUNTIF('Elève (3ème1)'!FE7:FJ7,"D"))*1))/(COUNTA(FE7:FJ7)),"")</f>
        <v/>
      </c>
      <c r="FL7" s="164" t="str">
        <f t="shared" si="54"/>
        <v/>
      </c>
      <c r="FM7" s="163" t="str">
        <f>IF(COUNT(EW7,FC7,FK7)=0,"",SUM(EW7,FC7,FK7)/COUNT(EW7,FC7,FK7))</f>
        <v/>
      </c>
      <c r="FN7" s="187" t="str">
        <f t="shared" si="55"/>
        <v/>
      </c>
      <c r="FO7" s="103"/>
      <c r="FP7" s="104"/>
      <c r="FQ7" s="105"/>
      <c r="FR7" s="163" t="str">
        <f>IFERROR((((COUNTIF('Elève (3ème1)'!FO7:FQ7,"A"))*4)+((COUNTIF('Elève (3ème1)'!FO7:FQ7,"B"))*3)+((COUNTIF('Elève (3ème1)'!FO7:FQ7,"C"))*2)+((COUNTIF('Elève (3ème1)'!FO7:FQ7,"D"))*1))/(COUNTA(FO7:FQ7)),"")</f>
        <v/>
      </c>
      <c r="FS7" s="164" t="str">
        <f t="shared" si="56"/>
        <v/>
      </c>
      <c r="FT7" s="103"/>
      <c r="FU7" s="104"/>
      <c r="FV7" s="105"/>
      <c r="FW7" s="105"/>
      <c r="FX7" s="163" t="str">
        <f>IFERROR((((COUNTIF('Elève (3ème1)'!FT7:FW7,"A"))*4)+((COUNTIF('Elève (3ème1)'!FT7:FW7,"B"))*3)+((COUNTIF('Elève (3ème1)'!FT7:FW7,"C"))*2)+((COUNTIF('Elève (3ème1)'!FT7:FW7,"D"))*1))/(COUNTA(FT7:FW7)),"")</f>
        <v/>
      </c>
      <c r="FY7" s="164" t="str">
        <f t="shared" si="57"/>
        <v/>
      </c>
      <c r="FZ7" s="103"/>
      <c r="GA7" s="104"/>
      <c r="GB7" s="105"/>
      <c r="GC7" s="105"/>
      <c r="GD7" s="105"/>
      <c r="GE7" s="109"/>
      <c r="GF7" s="163" t="str">
        <f>IFERROR((((COUNTIF('Elève (3ème1)'!FZ7:GE7,"A"))*4)+((COUNTIF('Elève (3ème1)'!FZ7:GE7,"B"))*3)+((COUNTIF('Elève (3ème1)'!FZ7:GE7,"C"))*2)+((COUNTIF('Elève (3ème1)'!FZ7:GE7,"D"))*1))/(COUNTA(FZ7:GE7)),"")</f>
        <v/>
      </c>
      <c r="GG7" s="164" t="str">
        <f t="shared" si="58"/>
        <v/>
      </c>
      <c r="GH7" s="163" t="str">
        <f>IF(COUNT(FR7,FX7,GF7)=0,"",SUM(FR7,FX7,GF7)/COUNT(FR7,FX7,GF7))</f>
        <v/>
      </c>
      <c r="GI7" s="187" t="str">
        <f t="shared" si="59"/>
        <v/>
      </c>
      <c r="GJ7" s="103"/>
      <c r="GK7" s="104"/>
      <c r="GL7" s="105"/>
      <c r="GM7" s="163" t="str">
        <f>IFERROR((((COUNTIF('Elève (3ème1)'!GJ7:GL7,"A"))*4)+((COUNTIF('Elève (3ème1)'!GJ7:GL7,"B"))*3)+((COUNTIF('Elève (3ème1)'!GJ7:GL7,"C"))*2)+((COUNTIF('Elève (3ème1)'!GJ7:GL7,"D"))*1))/(COUNTA(GJ7:GL7)),"")</f>
        <v/>
      </c>
      <c r="GN7" s="164" t="str">
        <f t="shared" si="60"/>
        <v/>
      </c>
      <c r="GO7" s="103"/>
      <c r="GP7" s="104"/>
      <c r="GQ7" s="105"/>
      <c r="GR7" s="105"/>
      <c r="GS7" s="163" t="str">
        <f>IFERROR((((COUNTIF('Elève (3ème1)'!GO7:GR7,"A"))*4)+((COUNTIF('Elève (3ème1)'!GO7:GR7,"B"))*3)+((COUNTIF('Elève (3ème1)'!GO7:GR7,"C"))*2)+((COUNTIF('Elève (3ème1)'!GO7:GR7,"D"))*1))/(COUNTA(GO7:GR7)),"")</f>
        <v/>
      </c>
      <c r="GT7" s="164" t="str">
        <f t="shared" si="61"/>
        <v/>
      </c>
      <c r="GU7" s="103"/>
      <c r="GV7" s="104"/>
      <c r="GW7" s="105"/>
      <c r="GX7" s="105"/>
      <c r="GY7" s="105"/>
      <c r="GZ7" s="109"/>
      <c r="HA7" s="163" t="str">
        <f>IFERROR((((COUNTIF('Elève (3ème1)'!GU7:GZ7,"A"))*4)+((COUNTIF('Elève (3ème1)'!GU7:GZ7,"B"))*3)+((COUNTIF('Elève (3ème1)'!GU7:GZ7,"C"))*2)+((COUNTIF('Elève (3ème1)'!GU7:GZ7,"D"))*1))/(COUNTA(GU7:GZ7)),"")</f>
        <v/>
      </c>
      <c r="HB7" s="164" t="str">
        <f t="shared" si="62"/>
        <v/>
      </c>
      <c r="HC7" s="163" t="str">
        <f>IF(COUNT(GM7,GS7,HA7)=0,"",SUM(GM7,GS7,HA7)/COUNT(GM7,GS7,HA7))</f>
        <v/>
      </c>
      <c r="HD7" s="187" t="str">
        <f t="shared" si="63"/>
        <v/>
      </c>
      <c r="HE7" s="103"/>
      <c r="HF7" s="104"/>
      <c r="HG7" s="105"/>
      <c r="HH7" s="163" t="str">
        <f>IFERROR((((COUNTIF('Elève (3ème1)'!HE7:HG7,"A"))*4)+((COUNTIF('Elève (3ème1)'!HE7:HG7,"B"))*3)+((COUNTIF('Elève (3ème1)'!HE7:HG7,"C"))*2)+((COUNTIF('Elève (3ème1)'!HE7:HG7,"D"))*1))/(COUNTA(HE7:HG7)),"")</f>
        <v/>
      </c>
      <c r="HI7" s="164" t="str">
        <f t="shared" si="64"/>
        <v/>
      </c>
      <c r="HJ7" s="103"/>
      <c r="HK7" s="104"/>
      <c r="HL7" s="105"/>
      <c r="HM7" s="105"/>
      <c r="HN7" s="163" t="str">
        <f>IFERROR((((COUNTIF('Elève (3ème1)'!HJ7:HM7,"A"))*4)+((COUNTIF('Elève (3ème1)'!HJ7:HM7,"B"))*3)+((COUNTIF('Elève (3ème1)'!HJ7:HM7,"C"))*2)+((COUNTIF('Elève (3ème1)'!HJ7:HM7,"D"))*1))/(COUNTA(HJ7:HM7)),"")</f>
        <v/>
      </c>
      <c r="HO7" s="164" t="str">
        <f t="shared" si="65"/>
        <v/>
      </c>
      <c r="HP7" s="103"/>
      <c r="HQ7" s="104"/>
      <c r="HR7" s="105"/>
      <c r="HS7" s="105"/>
      <c r="HT7" s="105"/>
      <c r="HU7" s="109"/>
      <c r="HV7" s="163" t="str">
        <f>IFERROR((((COUNTIF('Elève (3ème1)'!HP7:HU7,"A"))*4)+((COUNTIF('Elève (3ème1)'!HP7:HU7,"B"))*3)+((COUNTIF('Elève (3ème1)'!HP7:HU7,"C"))*2)+((COUNTIF('Elève (3ème1)'!HP7:HU7,"D"))*1))/(COUNTA(HP7:HU7)),"")</f>
        <v/>
      </c>
      <c r="HW7" s="164" t="str">
        <f t="shared" si="66"/>
        <v/>
      </c>
      <c r="HX7" s="163" t="str">
        <f>IF(COUNT(HH7,HN7,HV7)=0,"",SUM(HH7,HN7,HV7)/COUNT(HH7,HN7,HV7))</f>
        <v/>
      </c>
      <c r="HY7" s="187" t="str">
        <f t="shared" si="67"/>
        <v/>
      </c>
      <c r="HZ7" s="103"/>
      <c r="IA7" s="104"/>
      <c r="IB7" s="105"/>
      <c r="IC7" s="163" t="str">
        <f>IFERROR((((COUNTIF('Elève (3ème1)'!HZ7:IB7,"A"))*4)+((COUNTIF('Elève (3ème1)'!HZ7:IB7,"B"))*3)+((COUNTIF('Elève (3ème1)'!HZ7:IB7,"C"))*2)+((COUNTIF('Elève (3ème1)'!HZ7:IB7,"D"))*1))/(COUNTA(HZ7:IB7)),"")</f>
        <v/>
      </c>
      <c r="ID7" s="164" t="str">
        <f t="shared" si="68"/>
        <v/>
      </c>
      <c r="IE7" s="103"/>
      <c r="IF7" s="104"/>
      <c r="IG7" s="105"/>
      <c r="IH7" s="105"/>
      <c r="II7" s="163" t="str">
        <f>IFERROR((((COUNTIF('Elève (3ème1)'!IE7:IH7,"A"))*4)+((COUNTIF('Elève (3ème1)'!IE7:IH7,"B"))*3)+((COUNTIF('Elève (3ème1)'!IE7:IH7,"C"))*2)+((COUNTIF('Elève (3ème1)'!IE7:IH7,"D"))*1))/(COUNTA(IE7:IH7)),"")</f>
        <v/>
      </c>
      <c r="IJ7" s="164" t="str">
        <f t="shared" si="69"/>
        <v/>
      </c>
      <c r="IK7" s="103"/>
      <c r="IL7" s="104"/>
      <c r="IM7" s="105"/>
      <c r="IN7" s="105"/>
      <c r="IO7" s="105"/>
      <c r="IP7" s="109"/>
      <c r="IQ7" s="163" t="str">
        <f>IFERROR((((COUNTIF('Elève (3ème1)'!IK7:IP7,"A"))*4)+((COUNTIF('Elève (3ème1)'!IK7:IP7,"B"))*3)+((COUNTIF('Elève (3ème1)'!IK7:IP7,"C"))*2)+((COUNTIF('Elève (3ème1)'!IK7:IP7,"D"))*1))/(COUNTA(IK7:IP7)),"")</f>
        <v/>
      </c>
      <c r="IR7" s="164" t="str">
        <f t="shared" si="70"/>
        <v/>
      </c>
      <c r="IS7" s="163" t="str">
        <f>IF(COUNT(IC7,II7,IQ7)=0,"",SUM(IC7,II7,IQ7)/COUNT(IC7,II7,IQ7))</f>
        <v/>
      </c>
      <c r="IT7" s="187" t="str">
        <f t="shared" si="71"/>
        <v/>
      </c>
      <c r="IU7" s="103"/>
      <c r="IV7" s="104"/>
      <c r="IW7" s="105"/>
      <c r="IX7" s="163" t="str">
        <f>IFERROR((((COUNTIF('Elève (3ème1)'!IU7:IW7,"A"))*4)+((COUNTIF('Elève (3ème1)'!IU7:IW7,"B"))*3)+((COUNTIF('Elève (3ème1)'!IU7:IW7,"C"))*2)+((COUNTIF('Elève (3ème1)'!IU7:IW7,"D"))*1))/(COUNTA(IU7:IW7)),"")</f>
        <v/>
      </c>
      <c r="IY7" s="164" t="str">
        <f t="shared" si="72"/>
        <v/>
      </c>
      <c r="IZ7" s="103"/>
      <c r="JA7" s="104"/>
      <c r="JB7" s="105"/>
      <c r="JC7" s="105"/>
      <c r="JD7" s="163" t="str">
        <f>IFERROR((((COUNTIF('Elève (3ème1)'!IZ7:JC7,"A"))*4)+((COUNTIF('Elève (3ème1)'!IZ7:JC7,"B"))*3)+((COUNTIF('Elève (3ème1)'!IZ7:JC7,"C"))*2)+((COUNTIF('Elève (3ème1)'!IZ7:JC7,"D"))*1))/(COUNTA(IZ7:JC7)),"")</f>
        <v/>
      </c>
      <c r="JE7" s="164" t="str">
        <f t="shared" si="73"/>
        <v/>
      </c>
      <c r="JF7" s="103"/>
      <c r="JG7" s="104"/>
      <c r="JH7" s="105"/>
      <c r="JI7" s="105"/>
      <c r="JJ7" s="105"/>
      <c r="JK7" s="109"/>
      <c r="JL7" s="163" t="str">
        <f>IFERROR((((COUNTIF('Elève (3ème1)'!JF7:JK7,"A"))*4)+((COUNTIF('Elève (3ème1)'!JF7:JK7,"B"))*3)+((COUNTIF('Elève (3ème1)'!JF7:JK7,"C"))*2)+((COUNTIF('Elève (3ème1)'!JF7:JK7,"D"))*1))/(COUNTA(JF7:JK7)),"")</f>
        <v/>
      </c>
      <c r="JM7" s="164" t="str">
        <f t="shared" si="74"/>
        <v/>
      </c>
      <c r="JN7" s="163" t="str">
        <f>IF(COUNT(IX7,JD7,JL7)=0,"",SUM(IX7,JD7,JL7)/COUNT(IX7,JD7,JL7))</f>
        <v/>
      </c>
      <c r="JO7" s="187" t="str">
        <f t="shared" si="75"/>
        <v/>
      </c>
      <c r="JP7" s="103"/>
      <c r="JQ7" s="104"/>
      <c r="JR7" s="105"/>
      <c r="JS7" s="163" t="str">
        <f>IFERROR((((COUNTIF('Elève (3ème1)'!JP7:JR7,"A"))*4)+((COUNTIF('Elève (3ème1)'!JP7:JR7,"B"))*3)+((COUNTIF('Elève (3ème1)'!JP7:JR7,"C"))*2)+((COUNTIF('Elève (3ème1)'!JP7:JR7,"D"))*1))/(COUNTA(JP7:JR7)),"")</f>
        <v/>
      </c>
      <c r="JT7" s="164" t="str">
        <f t="shared" si="76"/>
        <v/>
      </c>
      <c r="JU7" s="103"/>
      <c r="JV7" s="104"/>
      <c r="JW7" s="105"/>
      <c r="JX7" s="105"/>
      <c r="JY7" s="163" t="str">
        <f>IFERROR((((COUNTIF('Elève (3ème1)'!JU7:JX7,"A"))*4)+((COUNTIF('Elève (3ème1)'!JU7:JX7,"B"))*3)+((COUNTIF('Elève (3ème1)'!JU7:JX7,"C"))*2)+((COUNTIF('Elève (3ème1)'!JU7:JX7,"D"))*1))/(COUNTA(JU7:JX7)),"")</f>
        <v/>
      </c>
      <c r="JZ7" s="164" t="str">
        <f t="shared" si="77"/>
        <v/>
      </c>
      <c r="KA7" s="103"/>
      <c r="KB7" s="104"/>
      <c r="KC7" s="105"/>
      <c r="KD7" s="105"/>
      <c r="KE7" s="105"/>
      <c r="KF7" s="109"/>
      <c r="KG7" s="163" t="str">
        <f>IFERROR((((COUNTIF('Elève (3ème1)'!KA7:KF7,"A"))*4)+((COUNTIF('Elève (3ème1)'!KA7:KF7,"B"))*3)+((COUNTIF('Elève (3ème1)'!KA7:KF7,"C"))*2)+((COUNTIF('Elève (3ème1)'!KA7:KF7,"D"))*1))/(COUNTA(KA7:KF7)),"")</f>
        <v/>
      </c>
      <c r="KH7" s="164" t="str">
        <f t="shared" si="78"/>
        <v/>
      </c>
      <c r="KI7" s="163" t="str">
        <f>IF(COUNT(JS7,JY7,KG7)=0,"",SUM(JS7,JY7,KG7)/COUNT(JS7,JY7,KG7))</f>
        <v/>
      </c>
      <c r="KJ7" s="187" t="str">
        <f t="shared" si="79"/>
        <v/>
      </c>
      <c r="KK7" s="103"/>
      <c r="KL7" s="104"/>
      <c r="KM7" s="105"/>
      <c r="KN7" s="163" t="str">
        <f>IFERROR((((COUNTIF('Elève (3ème1)'!KK7:KM7,"A"))*4)+((COUNTIF('Elève (3ème1)'!KK7:KM7,"B"))*3)+((COUNTIF('Elève (3ème1)'!KK7:KM7,"C"))*2)+((COUNTIF('Elève (3ème1)'!KK7:KM7,"D"))*1))/(COUNTA(KK7:KM7)),"")</f>
        <v/>
      </c>
      <c r="KO7" s="164" t="str">
        <f t="shared" si="80"/>
        <v/>
      </c>
      <c r="KP7" s="103"/>
      <c r="KQ7" s="104"/>
      <c r="KR7" s="105"/>
      <c r="KS7" s="105"/>
      <c r="KT7" s="163" t="str">
        <f>IFERROR((((COUNTIF('Elève (3ème1)'!KP7:KS7,"A"))*4)+((COUNTIF('Elève (3ème1)'!KP7:KS7,"B"))*3)+((COUNTIF('Elève (3ème1)'!KP7:KS7,"C"))*2)+((COUNTIF('Elève (3ème1)'!KP7:KS7,"D"))*1))/(COUNTA(KP7:KS7)),"")</f>
        <v/>
      </c>
      <c r="KU7" s="164" t="str">
        <f t="shared" si="81"/>
        <v/>
      </c>
      <c r="KV7" s="103"/>
      <c r="KW7" s="104"/>
      <c r="KX7" s="105"/>
      <c r="KY7" s="105"/>
      <c r="KZ7" s="105"/>
      <c r="LA7" s="109"/>
      <c r="LB7" s="163" t="str">
        <f>IFERROR((((COUNTIF('Elève (3ème1)'!KV7:LA7,"A"))*4)+((COUNTIF('Elève (3ème1)'!KV7:LA7,"B"))*3)+((COUNTIF('Elève (3ème1)'!KV7:LA7,"C"))*2)+((COUNTIF('Elève (3ème1)'!KV7:LA7,"D"))*1))/(COUNTA(KV7:LA7)),"")</f>
        <v/>
      </c>
      <c r="LC7" s="164" t="str">
        <f t="shared" si="82"/>
        <v/>
      </c>
      <c r="LD7" s="163" t="str">
        <f>IF(COUNT(KN7,KT7,LB7)=0,"",SUM(KN7,KT7,LB7)/COUNT(KN7,KT7,LB7))</f>
        <v/>
      </c>
      <c r="LE7" s="187" t="str">
        <f t="shared" si="83"/>
        <v/>
      </c>
      <c r="LF7" s="103"/>
      <c r="LG7" s="104"/>
      <c r="LH7" s="105"/>
      <c r="LI7" s="163" t="str">
        <f>IFERROR((((COUNTIF('Elève (3ème1)'!LF7:LH7,"A"))*4)+((COUNTIF('Elève (3ème1)'!LF7:LH7,"B"))*3)+((COUNTIF('Elève (3ème1)'!LF7:LH7,"C"))*2)+((COUNTIF('Elève (3ème1)'!LF7:LH7,"D"))*1))/(COUNTA(LF7:LH7)),"")</f>
        <v/>
      </c>
      <c r="LJ7" s="164" t="str">
        <f t="shared" si="84"/>
        <v/>
      </c>
      <c r="LK7" s="103"/>
      <c r="LL7" s="104"/>
      <c r="LM7" s="105"/>
      <c r="LN7" s="105"/>
      <c r="LO7" s="163" t="str">
        <f>IFERROR((((COUNTIF('Elève (3ème1)'!LK7:LN7,"A"))*4)+((COUNTIF('Elève (3ème1)'!LK7:LN7,"B"))*3)+((COUNTIF('Elève (3ème1)'!LK7:LN7,"C"))*2)+((COUNTIF('Elève (3ème1)'!LK7:LN7,"D"))*1))/(COUNTA(LK7:LN7)),"")</f>
        <v/>
      </c>
      <c r="LP7" s="164" t="str">
        <f t="shared" si="85"/>
        <v/>
      </c>
      <c r="LQ7" s="103"/>
      <c r="LR7" s="104"/>
      <c r="LS7" s="105"/>
      <c r="LT7" s="105"/>
      <c r="LU7" s="105"/>
      <c r="LV7" s="109"/>
      <c r="LW7" s="163" t="str">
        <f>IFERROR((((COUNTIF('Elève (3ème1)'!LQ7:LV7,"A"))*4)+((COUNTIF('Elève (3ème1)'!LQ7:LV7,"B"))*3)+((COUNTIF('Elève (3ème1)'!LQ7:LV7,"C"))*2)+((COUNTIF('Elève (3ème1)'!LQ7:LV7,"D"))*1))/(COUNTA(LQ7:LV7)),"")</f>
        <v/>
      </c>
      <c r="LX7" s="164" t="str">
        <f t="shared" si="86"/>
        <v/>
      </c>
      <c r="LY7" s="163" t="str">
        <f>IF(COUNT(LI7,LO7,LW7)=0,"",SUM(LI7,LO7,LW7)/COUNT(LI7,LO7,LW7))</f>
        <v/>
      </c>
      <c r="LZ7" s="187" t="str">
        <f t="shared" si="87"/>
        <v/>
      </c>
      <c r="MA7" s="103"/>
      <c r="MB7" s="104"/>
      <c r="MC7" s="105"/>
      <c r="MD7" s="163" t="str">
        <f>IFERROR((((COUNTIF('Elève (3ème1)'!MA7:MC7,"A"))*4)+((COUNTIF('Elève (3ème1)'!MA7:MC7,"B"))*3)+((COUNTIF('Elève (3ème1)'!MA7:MC7,"C"))*2)+((COUNTIF('Elève (3ème1)'!MA7:MC7,"D"))*1))/(COUNTA(MA7:MC7)),"")</f>
        <v/>
      </c>
      <c r="ME7" s="164" t="str">
        <f t="shared" si="88"/>
        <v/>
      </c>
      <c r="MF7" s="103"/>
      <c r="MG7" s="104"/>
      <c r="MH7" s="105"/>
      <c r="MI7" s="105"/>
      <c r="MJ7" s="163" t="str">
        <f>IFERROR((((COUNTIF('Elève (3ème1)'!MF7:MI7,"A"))*4)+((COUNTIF('Elève (3ème1)'!MF7:MI7,"B"))*3)+((COUNTIF('Elève (3ème1)'!MF7:MI7,"C"))*2)+((COUNTIF('Elève (3ème1)'!MF7:MI7,"D"))*1))/(COUNTA(MF7:MI7)),"")</f>
        <v/>
      </c>
      <c r="MK7" s="164" t="str">
        <f t="shared" si="89"/>
        <v/>
      </c>
      <c r="ML7" s="103"/>
      <c r="MM7" s="104"/>
      <c r="MN7" s="105"/>
      <c r="MO7" s="105"/>
      <c r="MP7" s="105"/>
      <c r="MQ7" s="109"/>
      <c r="MR7" s="163" t="str">
        <f>IFERROR((((COUNTIF('Elève (3ème1)'!ML7:MQ7,"A"))*4)+((COUNTIF('Elève (3ème1)'!ML7:MQ7,"B"))*3)+((COUNTIF('Elève (3ème1)'!ML7:MQ7,"C"))*2)+((COUNTIF('Elève (3ème1)'!ML7:MQ7,"D"))*1))/(COUNTA(ML7:MQ7)),"")</f>
        <v/>
      </c>
      <c r="MS7" s="164" t="str">
        <f t="shared" si="90"/>
        <v/>
      </c>
      <c r="MT7" s="163" t="str">
        <f>IF(COUNT(MD7,MJ7,MR7)=0,"",SUM(MD7,MJ7,MR7)/COUNT(MD7,MJ7,MR7))</f>
        <v/>
      </c>
      <c r="MU7" s="187" t="str">
        <f t="shared" si="91"/>
        <v/>
      </c>
      <c r="MV7" s="103"/>
      <c r="MW7" s="104"/>
      <c r="MX7" s="105"/>
      <c r="MY7" s="163" t="str">
        <f>IFERROR((((COUNTIF('Elève (3ème1)'!MV7:MX7,"A"))*4)+((COUNTIF('Elève (3ème1)'!MV7:MX7,"B"))*3)+((COUNTIF('Elève (3ème1)'!MV7:MX7,"C"))*2)+((COUNTIF('Elève (3ème1)'!MV7:MX7,"D"))*1))/(COUNTA(MV7:MX7)),"")</f>
        <v/>
      </c>
      <c r="MZ7" s="164" t="str">
        <f t="shared" si="92"/>
        <v/>
      </c>
      <c r="NA7" s="103"/>
      <c r="NB7" s="104"/>
      <c r="NC7" s="105"/>
      <c r="ND7" s="105"/>
      <c r="NE7" s="163" t="str">
        <f>IFERROR((((COUNTIF('Elève (3ème1)'!NA7:ND7,"A"))*4)+((COUNTIF('Elève (3ème1)'!NA7:ND7,"B"))*3)+((COUNTIF('Elève (3ème1)'!NA7:ND7,"C"))*2)+((COUNTIF('Elève (3ème1)'!NA7:ND7,"D"))*1))/(COUNTA(NA7:ND7)),"")</f>
        <v/>
      </c>
      <c r="NF7" s="164" t="str">
        <f t="shared" si="93"/>
        <v/>
      </c>
      <c r="NG7" s="103"/>
      <c r="NH7" s="104"/>
      <c r="NI7" s="105"/>
      <c r="NJ7" s="105"/>
      <c r="NK7" s="105"/>
      <c r="NL7" s="109"/>
      <c r="NM7" s="163" t="str">
        <f>IFERROR((((COUNTIF('Elève (3ème1)'!NG7:NL7,"A"))*4)+((COUNTIF('Elève (3ème1)'!NG7:NL7,"B"))*3)+((COUNTIF('Elève (3ème1)'!NG7:NL7,"C"))*2)+((COUNTIF('Elève (3ème1)'!NG7:NL7,"D"))*1))/(COUNTA(NG7:NL7)),"")</f>
        <v/>
      </c>
      <c r="NN7" s="164" t="str">
        <f t="shared" si="94"/>
        <v/>
      </c>
      <c r="NO7" s="163" t="str">
        <f>IF(COUNT(MY7,NE7,NM7)=0,"",SUM(MY7,NE7,NM7)/COUNT(MY7,NE7,NM7))</f>
        <v/>
      </c>
      <c r="NP7" s="187" t="str">
        <f t="shared" si="95"/>
        <v/>
      </c>
      <c r="NQ7" s="103"/>
      <c r="NR7" s="104"/>
      <c r="NS7" s="105"/>
      <c r="NT7" s="163" t="str">
        <f>IFERROR((((COUNTIF('Elève (3ème1)'!NQ7:NS7,"A"))*4)+((COUNTIF('Elève (3ème1)'!NQ7:NS7,"B"))*3)+((COUNTIF('Elève (3ème1)'!NQ7:NS7,"C"))*2)+((COUNTIF('Elève (3ème1)'!NQ7:NS7,"D"))*1))/(COUNTA(NQ7:NS7)),"")</f>
        <v/>
      </c>
      <c r="NU7" s="164" t="str">
        <f t="shared" si="96"/>
        <v/>
      </c>
      <c r="NV7" s="103"/>
      <c r="NW7" s="104"/>
      <c r="NX7" s="105"/>
      <c r="NY7" s="105"/>
      <c r="NZ7" s="163" t="str">
        <f>IFERROR((((COUNTIF('Elève (3ème1)'!NV7:NY7,"A"))*4)+((COUNTIF('Elève (3ème1)'!NV7:NY7,"B"))*3)+((COUNTIF('Elève (3ème1)'!NV7:NY7,"C"))*2)+((COUNTIF('Elève (3ème1)'!NV7:NY7,"D"))*1))/(COUNTA(NV7:NY7)),"")</f>
        <v/>
      </c>
      <c r="OA7" s="164" t="str">
        <f t="shared" si="97"/>
        <v/>
      </c>
      <c r="OB7" s="103"/>
      <c r="OC7" s="104"/>
      <c r="OD7" s="105"/>
      <c r="OE7" s="105"/>
      <c r="OF7" s="105"/>
      <c r="OG7" s="109"/>
      <c r="OH7" s="163" t="str">
        <f>IFERROR((((COUNTIF('Elève (3ème1)'!OB7:OG7,"A"))*4)+((COUNTIF('Elève (3ème1)'!OB7:OG7,"B"))*3)+((COUNTIF('Elève (3ème1)'!OB7:OG7,"C"))*2)+((COUNTIF('Elève (3ème1)'!OB7:OG7,"D"))*1))/(COUNTA(OB7:OG7)),"")</f>
        <v/>
      </c>
      <c r="OI7" s="164" t="str">
        <f t="shared" si="98"/>
        <v/>
      </c>
      <c r="OJ7" s="163" t="str">
        <f>IF(COUNT(NT7,NZ7,OH7)=0,"",SUM(NT7,NZ7,OH7)/COUNT(NT7,NZ7,OH7))</f>
        <v/>
      </c>
      <c r="OK7" s="187" t="str">
        <f t="shared" si="99"/>
        <v/>
      </c>
      <c r="OL7" s="103"/>
      <c r="OM7" s="104"/>
      <c r="ON7" s="105"/>
      <c r="OO7" s="163" t="str">
        <f>IFERROR((((COUNTIF('Elève (3ème1)'!OL7:ON7,"A"))*4)+((COUNTIF('Elève (3ème1)'!OL7:ON7,"B"))*3)+((COUNTIF('Elève (3ème1)'!OL7:ON7,"C"))*2)+((COUNTIF('Elève (3ème1)'!OL7:ON7,"D"))*1))/(COUNTA(OL7:ON7)),"")</f>
        <v/>
      </c>
      <c r="OP7" s="164" t="str">
        <f t="shared" si="100"/>
        <v/>
      </c>
      <c r="OQ7" s="103"/>
      <c r="OR7" s="104"/>
      <c r="OS7" s="105"/>
      <c r="OT7" s="105"/>
      <c r="OU7" s="163" t="str">
        <f>IFERROR((((COUNTIF('Elève (3ème1)'!OQ7:OT7,"A"))*4)+((COUNTIF('Elève (3ème1)'!OQ7:OT7,"B"))*3)+((COUNTIF('Elève (3ème1)'!OQ7:OT7,"C"))*2)+((COUNTIF('Elève (3ème1)'!OQ7:OT7,"D"))*1))/(COUNTA(OQ7:OT7)),"")</f>
        <v/>
      </c>
      <c r="OV7" s="164" t="str">
        <f t="shared" si="101"/>
        <v/>
      </c>
      <c r="OW7" s="103"/>
      <c r="OX7" s="104"/>
      <c r="OY7" s="105"/>
      <c r="OZ7" s="105"/>
      <c r="PA7" s="105"/>
      <c r="PB7" s="109"/>
      <c r="PC7" s="163" t="str">
        <f>IFERROR((((COUNTIF('Elève (3ème1)'!OW7:PB7,"A"))*4)+((COUNTIF('Elève (3ème1)'!OW7:PB7,"B"))*3)+((COUNTIF('Elève (3ème1)'!OW7:PB7,"C"))*2)+((COUNTIF('Elève (3ème1)'!OW7:PB7,"D"))*1))/(COUNTA(OW7:PB7)),"")</f>
        <v/>
      </c>
      <c r="PD7" s="164" t="str">
        <f t="shared" si="102"/>
        <v/>
      </c>
      <c r="PE7" s="163" t="str">
        <f>IF(COUNT(OO7,OU7,PC7)=0,"",SUM(OO7,OU7,PC7)/COUNT(OO7,OU7,PC7))</f>
        <v/>
      </c>
      <c r="PF7" s="187" t="str">
        <f t="shared" si="103"/>
        <v/>
      </c>
      <c r="PG7" s="103"/>
      <c r="PH7" s="104"/>
      <c r="PI7" s="105"/>
      <c r="PJ7" s="163" t="str">
        <f>IFERROR((((COUNTIF('Elève (3ème1)'!PG7:PI7,"A"))*4)+((COUNTIF('Elève (3ème1)'!PG7:PI7,"B"))*3)+((COUNTIF('Elève (3ème1)'!PG7:PI7,"C"))*2)+((COUNTIF('Elève (3ème1)'!PG7:PI7,"D"))*1))/(COUNTA(PG7:PI7)),"")</f>
        <v/>
      </c>
      <c r="PK7" s="164" t="str">
        <f t="shared" si="104"/>
        <v/>
      </c>
      <c r="PL7" s="103"/>
      <c r="PM7" s="104"/>
      <c r="PN7" s="105"/>
      <c r="PO7" s="105"/>
      <c r="PP7" s="163" t="str">
        <f>IFERROR((((COUNTIF('Elève (3ème1)'!PL7:PO7,"A"))*4)+((COUNTIF('Elève (3ème1)'!PL7:PO7,"B"))*3)+((COUNTIF('Elève (3ème1)'!PL7:PO7,"C"))*2)+((COUNTIF('Elève (3ème1)'!PL7:PO7,"D"))*1))/(COUNTA(PL7:PO7)),"")</f>
        <v/>
      </c>
      <c r="PQ7" s="164" t="str">
        <f t="shared" si="105"/>
        <v/>
      </c>
      <c r="PR7" s="103"/>
      <c r="PS7" s="104"/>
      <c r="PT7" s="105"/>
      <c r="PU7" s="105"/>
      <c r="PV7" s="105"/>
      <c r="PW7" s="109"/>
      <c r="PX7" s="163" t="str">
        <f>IFERROR((((COUNTIF('Elève (3ème1)'!PR7:PW7,"A"))*4)+((COUNTIF('Elève (3ème1)'!PR7:PW7,"B"))*3)+((COUNTIF('Elève (3ème1)'!PR7:PW7,"C"))*2)+((COUNTIF('Elève (3ème1)'!PR7:PW7,"D"))*1))/(COUNTA(PR7:PW7)),"")</f>
        <v/>
      </c>
      <c r="PY7" s="164" t="str">
        <f t="shared" si="106"/>
        <v/>
      </c>
      <c r="PZ7" s="163" t="str">
        <f>IF(COUNT(PJ7,PP7,PX7)=0,"",SUM(PJ7,PP7,PX7)/COUNT(PJ7,PP7,PX7))</f>
        <v/>
      </c>
      <c r="QA7" s="187" t="str">
        <f t="shared" si="107"/>
        <v/>
      </c>
      <c r="QB7" s="103"/>
      <c r="QC7" s="104"/>
      <c r="QD7" s="105"/>
      <c r="QE7" s="163" t="str">
        <f>IFERROR((((COUNTIF('Elève (3ème1)'!QB7:QD7,"A"))*4)+((COUNTIF('Elève (3ème1)'!QB7:QD7,"B"))*3)+((COUNTIF('Elève (3ème1)'!QB7:QD7,"C"))*2)+((COUNTIF('Elève (3ème1)'!QB7:QD7,"D"))*1))/(COUNTA(QB7:QD7)),"")</f>
        <v/>
      </c>
      <c r="QF7" s="164" t="str">
        <f t="shared" si="108"/>
        <v/>
      </c>
      <c r="QG7" s="103"/>
      <c r="QH7" s="104"/>
      <c r="QI7" s="105"/>
      <c r="QJ7" s="105"/>
      <c r="QK7" s="163" t="str">
        <f>IFERROR((((COUNTIF('Elève (3ème1)'!QG7:QJ7,"A"))*4)+((COUNTIF('Elève (3ème1)'!QG7:QJ7,"B"))*3)+((COUNTIF('Elève (3ème1)'!QG7:QJ7,"C"))*2)+((COUNTIF('Elève (3ème1)'!QG7:QJ7,"D"))*1))/(COUNTA(QG7:QJ7)),"")</f>
        <v/>
      </c>
      <c r="QL7" s="164" t="str">
        <f t="shared" si="109"/>
        <v/>
      </c>
      <c r="QM7" s="103"/>
      <c r="QN7" s="104"/>
      <c r="QO7" s="105"/>
      <c r="QP7" s="105"/>
      <c r="QQ7" s="105"/>
      <c r="QR7" s="109"/>
      <c r="QS7" s="163" t="str">
        <f>IFERROR((((COUNTIF('Elève (3ème1)'!QM7:QR7,"A"))*4)+((COUNTIF('Elève (3ème1)'!QM7:QR7,"B"))*3)+((COUNTIF('Elève (3ème1)'!QM7:QR7,"C"))*2)+((COUNTIF('Elève (3ème1)'!QM7:QR7,"D"))*1))/(COUNTA(QM7:QR7)),"")</f>
        <v/>
      </c>
      <c r="QT7" s="164" t="str">
        <f t="shared" si="110"/>
        <v/>
      </c>
      <c r="QU7" s="163" t="str">
        <f>IF(COUNT(QE7,QK7,QS7)=0,"",SUM(QE7,QK7,QS7)/COUNT(QE7,QK7,QS7))</f>
        <v/>
      </c>
      <c r="QV7" s="187" t="str">
        <f t="shared" si="111"/>
        <v/>
      </c>
      <c r="QW7" s="103"/>
      <c r="QX7" s="104"/>
      <c r="QY7" s="105"/>
      <c r="QZ7" s="163" t="str">
        <f>IFERROR((((COUNTIF('Elève (3ème1)'!QW7:QY7,"A"))*4)+((COUNTIF('Elève (3ème1)'!QW7:QY7,"B"))*3)+((COUNTIF('Elève (3ème1)'!QW7:QY7,"C"))*2)+((COUNTIF('Elève (3ème1)'!QW7:QY7,"D"))*1))/(COUNTA(QW7:QY7)),"")</f>
        <v/>
      </c>
      <c r="RA7" s="164" t="str">
        <f t="shared" si="112"/>
        <v/>
      </c>
      <c r="RB7" s="103"/>
      <c r="RC7" s="104"/>
      <c r="RD7" s="105"/>
      <c r="RE7" s="105"/>
      <c r="RF7" s="163" t="str">
        <f>IFERROR((((COUNTIF('Elève (3ème1)'!RB7:RE7,"A"))*4)+((COUNTIF('Elève (3ème1)'!RB7:RE7,"B"))*3)+((COUNTIF('Elève (3ème1)'!RB7:RE7,"C"))*2)+((COUNTIF('Elève (3ème1)'!RB7:RE7,"D"))*1))/(COUNTA(RB7:RE7)),"")</f>
        <v/>
      </c>
      <c r="RG7" s="164" t="str">
        <f t="shared" si="113"/>
        <v/>
      </c>
      <c r="RH7" s="103"/>
      <c r="RI7" s="104"/>
      <c r="RJ7" s="105"/>
      <c r="RK7" s="105"/>
      <c r="RL7" s="105"/>
      <c r="RM7" s="109"/>
      <c r="RN7" s="163" t="str">
        <f>IFERROR((((COUNTIF('Elève (3ème1)'!RH7:RM7,"A"))*4)+((COUNTIF('Elève (3ème1)'!RH7:RM7,"B"))*3)+((COUNTIF('Elève (3ème1)'!RH7:RM7,"C"))*2)+((COUNTIF('Elève (3ème1)'!RH7:RM7,"D"))*1))/(COUNTA(RH7:RM7)),"")</f>
        <v/>
      </c>
      <c r="RO7" s="164" t="str">
        <f t="shared" si="114"/>
        <v/>
      </c>
      <c r="RP7" s="163" t="str">
        <f>IF(COUNT(QZ7,RF7,RN7)=0,"",SUM(QZ7,RF7,RN7)/COUNT(QZ7,RF7,RN7))</f>
        <v/>
      </c>
      <c r="RQ7" s="187" t="str">
        <f t="shared" si="115"/>
        <v/>
      </c>
      <c r="RR7" s="103"/>
      <c r="RS7" s="104"/>
      <c r="RT7" s="105"/>
      <c r="RU7" s="163" t="str">
        <f>IFERROR((((COUNTIF('Elève (3ème1)'!RR7:RT7,"A"))*4)+((COUNTIF('Elève (3ème1)'!RR7:RT7,"B"))*3)+((COUNTIF('Elève (3ème1)'!RR7:RT7,"C"))*2)+((COUNTIF('Elève (3ème1)'!RR7:RT7,"D"))*1))/(COUNTA(RR7:RT7)),"")</f>
        <v/>
      </c>
      <c r="RV7" s="164" t="str">
        <f t="shared" si="116"/>
        <v/>
      </c>
      <c r="RW7" s="103"/>
      <c r="RX7" s="104"/>
      <c r="RY7" s="105"/>
      <c r="RZ7" s="105"/>
      <c r="SA7" s="163" t="str">
        <f>IFERROR((((COUNTIF('Elève (3ème1)'!RW7:RZ7,"A"))*4)+((COUNTIF('Elève (3ème1)'!RW7:RZ7,"B"))*3)+((COUNTIF('Elève (3ème1)'!RW7:RZ7,"C"))*2)+((COUNTIF('Elève (3ème1)'!RW7:RZ7,"D"))*1))/(COUNTA(RW7:RZ7)),"")</f>
        <v/>
      </c>
      <c r="SB7" s="164" t="str">
        <f t="shared" si="117"/>
        <v/>
      </c>
      <c r="SC7" s="103"/>
      <c r="SD7" s="104"/>
      <c r="SE7" s="105"/>
      <c r="SF7" s="105"/>
      <c r="SG7" s="105"/>
      <c r="SH7" s="109"/>
      <c r="SI7" s="163" t="str">
        <f>IFERROR((((COUNTIF('Elève (3ème1)'!SC7:SH7,"A"))*4)+((COUNTIF('Elève (3ème1)'!SC7:SH7,"B"))*3)+((COUNTIF('Elève (3ème1)'!SC7:SH7,"C"))*2)+((COUNTIF('Elève (3ème1)'!SC7:SH7,"D"))*1))/(COUNTA(SC7:SH7)),"")</f>
        <v/>
      </c>
      <c r="SJ7" s="164" t="str">
        <f t="shared" si="118"/>
        <v/>
      </c>
      <c r="SK7" s="163" t="str">
        <f>IF(COUNT(RU7,SA7,SI7)=0,"",SUM(RU7,SA7,SI7)/COUNT(RU7,SA7,SI7))</f>
        <v/>
      </c>
      <c r="SL7" s="187" t="str">
        <f t="shared" si="119"/>
        <v/>
      </c>
      <c r="SM7" s="103"/>
      <c r="SN7" s="104"/>
      <c r="SO7" s="105"/>
      <c r="SP7" s="163" t="str">
        <f>IFERROR((((COUNTIF('Elève (3ème1)'!SM7:SO7,"A"))*4)+((COUNTIF('Elève (3ème1)'!SM7:SO7,"B"))*3)+((COUNTIF('Elève (3ème1)'!SM7:SO7,"C"))*2)+((COUNTIF('Elève (3ème1)'!SM7:SO7,"D"))*1))/(COUNTA(SM7:SO7)),"")</f>
        <v/>
      </c>
      <c r="SQ7" s="164" t="str">
        <f t="shared" si="120"/>
        <v/>
      </c>
      <c r="SR7" s="103"/>
      <c r="SS7" s="104"/>
      <c r="ST7" s="105"/>
      <c r="SU7" s="105"/>
      <c r="SV7" s="163" t="str">
        <f>IFERROR((((COUNTIF('Elève (3ème1)'!SR7:SU7,"A"))*4)+((COUNTIF('Elève (3ème1)'!SR7:SU7,"B"))*3)+((COUNTIF('Elève (3ème1)'!SR7:SU7,"C"))*2)+((COUNTIF('Elève (3ème1)'!SR7:SU7,"D"))*1))/(COUNTA(SR7:SU7)),"")</f>
        <v/>
      </c>
      <c r="SW7" s="164" t="str">
        <f t="shared" si="121"/>
        <v/>
      </c>
      <c r="SX7" s="103"/>
      <c r="SY7" s="104"/>
      <c r="SZ7" s="105"/>
      <c r="TA7" s="105"/>
      <c r="TB7" s="105"/>
      <c r="TC7" s="109"/>
      <c r="TD7" s="163" t="str">
        <f>IFERROR((((COUNTIF('Elève (3ème1)'!SX7:TC7,"A"))*4)+((COUNTIF('Elève (3ème1)'!SX7:TC7,"B"))*3)+((COUNTIF('Elève (3ème1)'!SX7:TC7,"C"))*2)+((COUNTIF('Elève (3ème1)'!SX7:TC7,"D"))*1))/(COUNTA(SX7:TC7)),"")</f>
        <v/>
      </c>
      <c r="TE7" s="164" t="str">
        <f t="shared" si="122"/>
        <v/>
      </c>
      <c r="TF7" s="163" t="str">
        <f>IF(COUNT(SP7,SV7,TD7)=0,"",SUM(SP7,SV7,TD7)/COUNT(SP7,SV7,TD7))</f>
        <v/>
      </c>
      <c r="TG7" s="187" t="str">
        <f t="shared" si="123"/>
        <v/>
      </c>
      <c r="TH7" s="103"/>
      <c r="TI7" s="104"/>
      <c r="TJ7" s="105"/>
      <c r="TK7" s="106" t="str">
        <f>IFERROR((((COUNTIF('Elève (3ème1)'!TH7:TJ7,"A"))*4)+((COUNTIF('Elève (3ème1)'!TH7:TJ7,"B"))*3)+((COUNTIF('Elève (3ème1)'!TH7:TJ7,"C"))*2)+((COUNTIF('Elève (3ème1)'!TH7:TJ7,"D"))*1))/(COUNTA(TH7:TJ7)),"")</f>
        <v/>
      </c>
      <c r="TL7" s="107" t="str">
        <f t="shared" si="124"/>
        <v/>
      </c>
      <c r="TM7" s="103"/>
      <c r="TN7" s="104"/>
      <c r="TO7" s="105"/>
      <c r="TP7" s="106" t="str">
        <f>IFERROR((((COUNTIF('Elève (3ème1)'!TM7:TO7,"A"))*4)+((COUNTIF('Elève (3ème1)'!TM7:TO7,"B"))*3)+((COUNTIF('Elève (3ème1)'!TM7:TO7,"C"))*2)+((COUNTIF('Elève (3ème1)'!TM7:TO7,"D"))*1))/(COUNTA(TM7:TO7)),"")</f>
        <v/>
      </c>
      <c r="TQ7" s="107" t="str">
        <f t="shared" si="125"/>
        <v/>
      </c>
      <c r="TR7" s="103"/>
      <c r="TS7" s="104"/>
      <c r="TT7" s="109"/>
      <c r="TU7" s="106" t="str">
        <f>IFERROR((((COUNTIF('Elève (3ème1)'!TR7:TT7,"A"))*4)+((COUNTIF('Elève (3ème1)'!TR7:TT7,"B"))*3)+((COUNTIF('Elève (3ème1)'!TR7:TT7,"C"))*2)+((COUNTIF('Elève (3ème1)'!TR7:TT7,"D"))*1))/(COUNTA(TR7:TT7)),"")</f>
        <v/>
      </c>
      <c r="TV7" s="107" t="str">
        <f t="shared" si="126"/>
        <v/>
      </c>
      <c r="TW7" s="106" t="str">
        <f>IF(COUNT(TK7,TP7,TU7)=0,"",SUM(TK7,TP7,TU7)/COUNT(TK7,TP7,TU7))</f>
        <v/>
      </c>
      <c r="TX7" s="108" t="str">
        <f t="shared" si="127"/>
        <v/>
      </c>
      <c r="TY7" s="103"/>
      <c r="TZ7" s="104"/>
      <c r="UA7" s="105"/>
      <c r="UB7" s="106" t="str">
        <f>IFERROR((((COUNTIF('Elève (3ème1)'!TY7:UA7,"A"))*4)+((COUNTIF('Elève (3ème1)'!TY7:UA7,"B"))*3)+((COUNTIF('Elève (3ème1)'!TY7:UA7,"C"))*2)+((COUNTIF('Elève (3ème1)'!TY7:UA7,"D"))*1))/(COUNTA(TY7:UA7)),"")</f>
        <v/>
      </c>
      <c r="UC7" s="107" t="str">
        <f t="shared" si="128"/>
        <v/>
      </c>
      <c r="UD7" s="103"/>
      <c r="UE7" s="104"/>
      <c r="UF7" s="105"/>
      <c r="UG7" s="106" t="str">
        <f>IFERROR((((COUNTIF('Elève (3ème1)'!UD7:UF7,"A"))*4)+((COUNTIF('Elève (3ème1)'!UD7:UF7,"B"))*3)+((COUNTIF('Elève (3ème1)'!UD7:UF7,"C"))*2)+((COUNTIF('Elève (3ème1)'!UD7:UF7,"D"))*1))/(COUNTA(UD7:UF7)),"")</f>
        <v/>
      </c>
      <c r="UH7" s="107" t="str">
        <f t="shared" si="129"/>
        <v/>
      </c>
      <c r="UI7" s="103"/>
      <c r="UJ7" s="104"/>
      <c r="UK7" s="109"/>
      <c r="UL7" s="106" t="str">
        <f>IFERROR((((COUNTIF('Elève (3ème1)'!UI7:UK7,"A"))*4)+((COUNTIF('Elève (3ème1)'!UI7:UK7,"B"))*3)+((COUNTIF('Elève (3ème1)'!UI7:UK7,"C"))*2)+((COUNTIF('Elève (3ème1)'!UI7:UK7,"D"))*1))/(COUNTA(UI7:UK7)),"")</f>
        <v/>
      </c>
      <c r="UM7" s="107" t="str">
        <f t="shared" si="130"/>
        <v/>
      </c>
      <c r="UN7" s="106" t="str">
        <f>IF(COUNT(UB7,UG7,UL7)=0,"",SUM(UB7,UG7,UL7)/COUNT(UB7,UG7,UL7))</f>
        <v/>
      </c>
      <c r="UO7" s="108" t="str">
        <f t="shared" si="131"/>
        <v/>
      </c>
      <c r="UP7" s="103"/>
      <c r="UQ7" s="104"/>
      <c r="UR7" s="105"/>
      <c r="US7" s="106" t="str">
        <f>IFERROR((((COUNTIF('Elève (3ème1)'!UP7:UR7,"A"))*4)+((COUNTIF('Elève (3ème1)'!UP7:UR7,"B"))*3)+((COUNTIF('Elève (3ème1)'!UP7:UR7,"C"))*2)+((COUNTIF('Elève (3ème1)'!UP7:UR7,"D"))*1))/(COUNTA(UP7:UR7)),"")</f>
        <v/>
      </c>
      <c r="UT7" s="107" t="str">
        <f t="shared" si="132"/>
        <v/>
      </c>
      <c r="UU7" s="103"/>
      <c r="UV7" s="104"/>
      <c r="UW7" s="105"/>
      <c r="UX7" s="106" t="str">
        <f>IFERROR((((COUNTIF('Elève (3ème1)'!UU7:UW7,"A"))*4)+((COUNTIF('Elève (3ème1)'!UU7:UW7,"B"))*3)+((COUNTIF('Elève (3ème1)'!UU7:UW7,"C"))*2)+((COUNTIF('Elève (3ème1)'!UU7:UW7,"D"))*1))/(COUNTA(UU7:UW7)),"")</f>
        <v/>
      </c>
      <c r="UY7" s="107" t="str">
        <f t="shared" si="133"/>
        <v/>
      </c>
      <c r="UZ7" s="103"/>
      <c r="VA7" s="104"/>
      <c r="VB7" s="109"/>
      <c r="VC7" s="106" t="str">
        <f>IFERROR((((COUNTIF('Elève (3ème1)'!UZ7:VB7,"A"))*4)+((COUNTIF('Elève (3ème1)'!UZ7:VB7,"B"))*3)+((COUNTIF('Elève (3ème1)'!UZ7:VB7,"C"))*2)+((COUNTIF('Elève (3ème1)'!UZ7:VB7,"D"))*1))/(COUNTA(UZ7:VB7)),"")</f>
        <v/>
      </c>
      <c r="VD7" s="107" t="str">
        <f t="shared" si="134"/>
        <v/>
      </c>
      <c r="VE7" s="106" t="str">
        <f>IF(COUNT(US7,UX7,VC7)=0,"",SUM(US7,UX7,VC7)/COUNT(US7,UX7,VC7))</f>
        <v/>
      </c>
      <c r="VF7" s="108" t="str">
        <f t="shared" si="135"/>
        <v/>
      </c>
      <c r="VG7" s="103"/>
      <c r="VH7" s="104"/>
      <c r="VI7" s="105"/>
      <c r="VJ7" s="106" t="str">
        <f>IFERROR((((COUNTIF('Elève (3ème1)'!VG7:VI7,"A"))*4)+((COUNTIF('Elève (3ème1)'!VG7:VI7,"B"))*3)+((COUNTIF('Elève (3ème1)'!VG7:VI7,"C"))*2)+((COUNTIF('Elève (3ème1)'!VG7:VI7,"D"))*1))/(COUNTA(VG7:VI7)),"")</f>
        <v/>
      </c>
      <c r="VK7" s="107" t="str">
        <f t="shared" si="136"/>
        <v/>
      </c>
      <c r="VL7" s="103"/>
      <c r="VM7" s="104"/>
      <c r="VN7" s="105"/>
      <c r="VO7" s="106" t="str">
        <f>IFERROR((((COUNTIF('Elève (3ème1)'!VL7:VN7,"A"))*4)+((COUNTIF('Elève (3ème1)'!VL7:VN7,"B"))*3)+((COUNTIF('Elève (3ème1)'!VL7:VN7,"C"))*2)+((COUNTIF('Elève (3ème1)'!VL7:VN7,"D"))*1))/(COUNTA(VL7:VN7)),"")</f>
        <v/>
      </c>
      <c r="VP7" s="107" t="str">
        <f t="shared" si="137"/>
        <v/>
      </c>
      <c r="VQ7" s="103"/>
      <c r="VR7" s="104"/>
      <c r="VS7" s="109"/>
      <c r="VT7" s="106" t="str">
        <f>IFERROR((((COUNTIF('Elève (3ème1)'!VQ7:VS7,"A"))*4)+((COUNTIF('Elève (3ème1)'!VQ7:VS7,"B"))*3)+((COUNTIF('Elève (3ème1)'!VQ7:VS7,"C"))*2)+((COUNTIF('Elève (3ème1)'!VQ7:VS7,"D"))*1))/(COUNTA(VQ7:VS7)),"")</f>
        <v/>
      </c>
      <c r="VU7" s="107" t="str">
        <f t="shared" si="138"/>
        <v/>
      </c>
      <c r="VV7" s="106" t="str">
        <f>IF(COUNT(VJ7,VO7,VT7)=0,"",SUM(VJ7,VO7,VT7)/COUNT(VJ7,VO7,VT7))</f>
        <v/>
      </c>
      <c r="VW7" s="108" t="str">
        <f t="shared" si="139"/>
        <v/>
      </c>
      <c r="VX7" s="103"/>
      <c r="VY7" s="104"/>
      <c r="VZ7" s="105"/>
      <c r="WA7" s="106" t="str">
        <f>IFERROR((((COUNTIF('Elève (3ème1)'!VX7:VZ7,"A"))*4)+((COUNTIF('Elève (3ème1)'!VX7:VZ7,"B"))*3)+((COUNTIF('Elève (3ème1)'!VX7:VZ7,"C"))*2)+((COUNTIF('Elève (3ème1)'!VX7:VZ7,"D"))*1))/(COUNTA(VX7:VZ7)),"")</f>
        <v/>
      </c>
      <c r="WB7" s="107" t="str">
        <f t="shared" si="140"/>
        <v/>
      </c>
      <c r="WC7" s="103"/>
      <c r="WD7" s="104"/>
      <c r="WE7" s="105"/>
      <c r="WF7" s="106" t="str">
        <f>IFERROR((((COUNTIF('Elève (3ème1)'!WC7:WE7,"A"))*4)+((COUNTIF('Elève (3ème1)'!WC7:WE7,"B"))*3)+((COUNTIF('Elève (3ème1)'!WC7:WE7,"C"))*2)+((COUNTIF('Elève (3ème1)'!WC7:WE7,"D"))*1))/(COUNTA(WC7:WE7)),"")</f>
        <v/>
      </c>
      <c r="WG7" s="107" t="str">
        <f t="shared" si="141"/>
        <v/>
      </c>
      <c r="WH7" s="103"/>
      <c r="WI7" s="104"/>
      <c r="WJ7" s="109"/>
      <c r="WK7" s="106" t="str">
        <f>IFERROR((((COUNTIF('Elève (3ème1)'!WH7:WJ7,"A"))*4)+((COUNTIF('Elève (3ème1)'!WH7:WJ7,"B"))*3)+((COUNTIF('Elève (3ème1)'!WH7:WJ7,"C"))*2)+((COUNTIF('Elève (3ème1)'!WH7:WJ7,"D"))*1))/(COUNTA(WH7:WJ7)),"")</f>
        <v/>
      </c>
      <c r="WL7" s="107" t="str">
        <f t="shared" si="142"/>
        <v/>
      </c>
      <c r="WM7" s="106" t="str">
        <f>IF(COUNT(WA7,WF7,WK7)=0,"",SUM(WA7,WF7,WK7)/COUNT(WA7,WF7,WK7))</f>
        <v/>
      </c>
      <c r="WN7" s="108" t="str">
        <f t="shared" si="143"/>
        <v/>
      </c>
    </row>
    <row r="8" spans="1:612" ht="18" customHeight="1" x14ac:dyDescent="0.55000000000000004">
      <c r="A8" s="221" t="s">
        <v>15</v>
      </c>
      <c r="B8" s="222"/>
      <c r="C8" s="103"/>
      <c r="D8" s="104"/>
      <c r="E8" s="105"/>
      <c r="F8" s="163" t="str">
        <f>IFERROR((((COUNTIF('Elève (3ème1)'!C8:E8,"A"))*4)+((COUNTIF('Elève (3ème1)'!C8:E8,"B"))*3)+((COUNTIF('Elève (3ème1)'!C8:E8,"C"))*2)+((COUNTIF('Elève (3ème1)'!C8:E8,"D"))*1))/(COUNTA(C8:E8)),"")</f>
        <v/>
      </c>
      <c r="G8" s="164" t="str">
        <f t="shared" si="24"/>
        <v/>
      </c>
      <c r="H8" s="103"/>
      <c r="I8" s="104"/>
      <c r="J8" s="105"/>
      <c r="K8" s="105"/>
      <c r="L8" s="163" t="str">
        <f>IFERROR((((COUNTIF('Elève (3ème1)'!H8:K8,"A"))*4)+((COUNTIF('Elève (3ème1)'!H8:K8,"B"))*3)+((COUNTIF('Elève (3ème1)'!H8:K8,"C"))*2)+((COUNTIF('Elève (3ème1)'!H8:K8,"D"))*1))/(COUNTA(H8:K8)),"")</f>
        <v/>
      </c>
      <c r="M8" s="164" t="str">
        <f t="shared" si="25"/>
        <v/>
      </c>
      <c r="N8" s="103"/>
      <c r="O8" s="104" t="s">
        <v>28</v>
      </c>
      <c r="P8" s="105" t="s">
        <v>27</v>
      </c>
      <c r="Q8" s="105"/>
      <c r="R8" s="105"/>
      <c r="S8" s="105"/>
      <c r="T8" s="163">
        <f>IFERROR((((COUNTIF('Elève (3ème1)'!N8:S8,"A"))*4)+((COUNTIF('Elève (3ème1)'!N8:S8,"B"))*3)+((COUNTIF('Elève (3ème1)'!N8:S8,"C"))*2)+((COUNTIF('Elève (3ème1)'!N8:S8,"D"))*1))/(COUNTA(N8:S8)),"")</f>
        <v>3.5</v>
      </c>
      <c r="U8" s="164" t="str">
        <f t="shared" si="26"/>
        <v>B</v>
      </c>
      <c r="V8" s="163">
        <f>IF(COUNT(F8,L8,T8)=0,"",SUM(F8,L8,T8)/COUNT(F8,L8,T8))</f>
        <v>3.5</v>
      </c>
      <c r="W8" s="187" t="str">
        <f t="shared" si="27"/>
        <v>B</v>
      </c>
      <c r="X8" s="103"/>
      <c r="Y8" s="104"/>
      <c r="Z8" s="105"/>
      <c r="AA8" s="163" t="str">
        <f>IFERROR((((COUNTIF('Elève (3ème1)'!X8:Z8,"A"))*4)+((COUNTIF('Elève (3ème1)'!X8:Z8,"B"))*3)+((COUNTIF('Elève (3ème1)'!X8:Z8,"C"))*2)+((COUNTIF('Elève (3ème1)'!X8:Z8,"D"))*1))/(COUNTA(X8:Z8)),"")</f>
        <v/>
      </c>
      <c r="AB8" s="164" t="str">
        <f t="shared" si="28"/>
        <v/>
      </c>
      <c r="AC8" s="103"/>
      <c r="AD8" s="104"/>
      <c r="AE8" s="105"/>
      <c r="AF8" s="105"/>
      <c r="AG8" s="163" t="str">
        <f>IFERROR((((COUNTIF('Elève (3ème1)'!AC8:AF8,"A"))*4)+((COUNTIF('Elève (3ème1)'!AC8:AF8,"B"))*3)+((COUNTIF('Elève (3ème1)'!AC8:AF8,"C"))*2)+((COUNTIF('Elève (3ème1)'!AC8:AF8,"D"))*1))/(COUNTA(AC8:AF8)),"")</f>
        <v/>
      </c>
      <c r="AH8" s="164" t="str">
        <f t="shared" si="29"/>
        <v/>
      </c>
      <c r="AI8" s="103"/>
      <c r="AJ8" s="104" t="s">
        <v>28</v>
      </c>
      <c r="AK8" s="105" t="s">
        <v>27</v>
      </c>
      <c r="AL8" s="105"/>
      <c r="AM8" s="105"/>
      <c r="AN8" s="109"/>
      <c r="AO8" s="163">
        <f>IFERROR((((COUNTIF('Elève (3ème1)'!AI8:AN8,"A"))*4)+((COUNTIF('Elève (3ème1)'!AI8:AN8,"B"))*3)+((COUNTIF('Elève (3ème1)'!AI8:AN8,"C"))*2)+((COUNTIF('Elève (3ème1)'!AI8:AN8,"D"))*1))/(COUNTA(AI8:AN8)),"")</f>
        <v>3.5</v>
      </c>
      <c r="AP8" s="164" t="str">
        <f t="shared" si="30"/>
        <v>B</v>
      </c>
      <c r="AQ8" s="163">
        <f>IF(COUNT(AA8,AG8,AO8)=0,"",SUM(AA8,AG8,AO8)/COUNT(AA8,AG8,AO8))</f>
        <v>3.5</v>
      </c>
      <c r="AR8" s="187" t="str">
        <f t="shared" si="31"/>
        <v>B</v>
      </c>
      <c r="AS8" s="103"/>
      <c r="AT8" s="104"/>
      <c r="AU8" s="105"/>
      <c r="AV8" s="163" t="str">
        <f>IFERROR((((COUNTIF('Elève (3ème1)'!AS8:AU8,"A"))*4)+((COUNTIF('Elève (3ème1)'!AS8:AU8,"B"))*3)+((COUNTIF('Elève (3ème1)'!AS8:AU8,"C"))*2)+((COUNTIF('Elève (3ème1)'!AS8:AU8,"D"))*1))/(COUNTA(AS8:AU8)),"")</f>
        <v/>
      </c>
      <c r="AW8" s="164" t="str">
        <f t="shared" si="32"/>
        <v/>
      </c>
      <c r="AX8" s="103"/>
      <c r="AY8" s="104"/>
      <c r="AZ8" s="105"/>
      <c r="BA8" s="105"/>
      <c r="BB8" s="163" t="str">
        <f>IFERROR((((COUNTIF('Elève (3ème1)'!AX8:BA8,"A"))*4)+((COUNTIF('Elève (3ème1)'!AX8:BA8,"B"))*3)+((COUNTIF('Elève (3ème1)'!AX8:BA8,"C"))*2)+((COUNTIF('Elève (3ème1)'!AX8:BA8,"D"))*1))/(COUNTA(AX8:BA8)),"")</f>
        <v/>
      </c>
      <c r="BC8" s="164" t="str">
        <f t="shared" si="33"/>
        <v/>
      </c>
      <c r="BD8" s="103"/>
      <c r="BE8" s="104" t="s">
        <v>29</v>
      </c>
      <c r="BF8" s="105" t="s">
        <v>27</v>
      </c>
      <c r="BG8" s="105"/>
      <c r="BH8" s="105"/>
      <c r="BI8" s="109"/>
      <c r="BJ8" s="163">
        <f>IFERROR((((COUNTIF('Elève (3ème1)'!BD8:BI8,"A"))*4)+((COUNTIF('Elève (3ème1)'!BD8:BI8,"B"))*3)+((COUNTIF('Elève (3ème1)'!BD8:BI8,"C"))*2)+((COUNTIF('Elève (3ème1)'!BD8:BI8,"D"))*1))/(COUNTA(BD8:BI8)),"")</f>
        <v>3</v>
      </c>
      <c r="BK8" s="164" t="str">
        <f t="shared" si="34"/>
        <v>B</v>
      </c>
      <c r="BL8" s="163">
        <f>IF(COUNT(AV8,BB8,BJ8)=0,"",SUM(AV8,BB8,BJ8)/COUNT(AV8,BB8,BJ8))</f>
        <v>3</v>
      </c>
      <c r="BM8" s="187" t="str">
        <f t="shared" si="35"/>
        <v>B</v>
      </c>
      <c r="BN8" s="103"/>
      <c r="BO8" s="104"/>
      <c r="BP8" s="105"/>
      <c r="BQ8" s="163" t="str">
        <f>IFERROR((((COUNTIF('Elève (3ème1)'!BN8:BP8,"A"))*4)+((COUNTIF('Elève (3ème1)'!BN8:BP8,"B"))*3)+((COUNTIF('Elève (3ème1)'!BN8:BP8,"C"))*2)+((COUNTIF('Elève (3ème1)'!BN8:BP8,"D"))*1))/(COUNTA(BN8:BP8)),"")</f>
        <v/>
      </c>
      <c r="BR8" s="164" t="str">
        <f t="shared" si="36"/>
        <v/>
      </c>
      <c r="BS8" s="103"/>
      <c r="BT8" s="104"/>
      <c r="BU8" s="105"/>
      <c r="BV8" s="105"/>
      <c r="BW8" s="163" t="str">
        <f>IFERROR((((COUNTIF('Elève (3ème1)'!BS8:BV8,"A"))*4)+((COUNTIF('Elève (3ème1)'!BS8:BV8,"B"))*3)+((COUNTIF('Elève (3ème1)'!BS8:BV8,"C"))*2)+((COUNTIF('Elève (3ème1)'!BS8:BV8,"D"))*1))/(COUNTA(BS8:BV8)),"")</f>
        <v/>
      </c>
      <c r="BX8" s="164" t="str">
        <f t="shared" si="37"/>
        <v/>
      </c>
      <c r="BY8" s="103"/>
      <c r="BZ8" s="104" t="s">
        <v>30</v>
      </c>
      <c r="CA8" s="105" t="s">
        <v>27</v>
      </c>
      <c r="CB8" s="105"/>
      <c r="CC8" s="105"/>
      <c r="CD8" s="109"/>
      <c r="CE8" s="163">
        <f>IFERROR((((COUNTIF('Elève (3ème1)'!BY8:CD8,"A"))*4)+((COUNTIF('Elève (3ème1)'!BY8:CD8,"B"))*3)+((COUNTIF('Elève (3ème1)'!BY8:CD8,"C"))*2)+((COUNTIF('Elève (3ème1)'!BY8:CD8,"D"))*1))/(COUNTA(BY8:CD8)),"")</f>
        <v>2.5</v>
      </c>
      <c r="CF8" s="164" t="str">
        <f t="shared" si="38"/>
        <v>C</v>
      </c>
      <c r="CG8" s="163">
        <f>IF(COUNT(BQ8,BW8,CE8)=0,"",SUM(BQ8,BW8,CE8)/COUNT(BQ8,BW8,CE8))</f>
        <v>2.5</v>
      </c>
      <c r="CH8" s="187" t="str">
        <f t="shared" si="39"/>
        <v>C</v>
      </c>
      <c r="CI8" s="103"/>
      <c r="CJ8" s="104"/>
      <c r="CK8" s="105"/>
      <c r="CL8" s="163" t="str">
        <f>IFERROR((((COUNTIF('Elève (3ème1)'!CI8:CK8,"A"))*4)+((COUNTIF('Elève (3ème1)'!CI8:CK8,"B"))*3)+((COUNTIF('Elève (3ème1)'!CI8:CK8,"C"))*2)+((COUNTIF('Elève (3ème1)'!CI8:CK8,"D"))*1))/(COUNTA(CI8:CK8)),"")</f>
        <v/>
      </c>
      <c r="CM8" s="164" t="str">
        <f t="shared" si="40"/>
        <v/>
      </c>
      <c r="CN8" s="103"/>
      <c r="CO8" s="104"/>
      <c r="CP8" s="105"/>
      <c r="CQ8" s="105"/>
      <c r="CR8" s="163" t="str">
        <f>IFERROR((((COUNTIF('Elève (3ème1)'!CN8:CQ8,"A"))*4)+((COUNTIF('Elève (3ème1)'!CN8:CQ8,"B"))*3)+((COUNTIF('Elève (3ème1)'!CN8:CQ8,"C"))*2)+((COUNTIF('Elève (3ème1)'!CN8:CQ8,"D"))*1))/(COUNTA(CN8:CQ8)),"")</f>
        <v/>
      </c>
      <c r="CS8" s="164" t="str">
        <f t="shared" si="41"/>
        <v/>
      </c>
      <c r="CT8" s="103"/>
      <c r="CU8" s="104" t="s">
        <v>28</v>
      </c>
      <c r="CV8" s="105"/>
      <c r="CW8" s="105"/>
      <c r="CX8" s="105"/>
      <c r="CY8" s="109"/>
      <c r="CZ8" s="163">
        <f>IFERROR((((COUNTIF('Elève (3ème1)'!CT8:CY8,"A"))*4)+((COUNTIF('Elève (3ème1)'!CT8:CY8,"B"))*3)+((COUNTIF('Elève (3ème1)'!CT8:CY8,"C"))*2)+((COUNTIF('Elève (3ème1)'!CT8:CY8,"D"))*1))/(COUNTA(CT8:CY8)),"")</f>
        <v>3</v>
      </c>
      <c r="DA8" s="164" t="str">
        <f t="shared" si="42"/>
        <v>B</v>
      </c>
      <c r="DB8" s="163">
        <f>IF(COUNT(CL8,CR8,CZ8)=0,"",SUM(CL8,CR8,CZ8)/COUNT(CL8,CR8,CZ8))</f>
        <v>3</v>
      </c>
      <c r="DC8" s="187" t="str">
        <f t="shared" si="43"/>
        <v>B</v>
      </c>
      <c r="DD8" s="103"/>
      <c r="DE8" s="104"/>
      <c r="DF8" s="105"/>
      <c r="DG8" s="163" t="str">
        <f>IFERROR((((COUNTIF('Elève (3ème1)'!DD8:DF8,"A"))*4)+((COUNTIF('Elève (3ème1)'!DD8:DF8,"B"))*3)+((COUNTIF('Elève (3ème1)'!DD8:DF8,"C"))*2)+((COUNTIF('Elève (3ème1)'!DD8:DF8,"D"))*1))/(COUNTA(DD8:DF8)),"")</f>
        <v/>
      </c>
      <c r="DH8" s="164" t="str">
        <f t="shared" si="44"/>
        <v/>
      </c>
      <c r="DI8" s="103"/>
      <c r="DJ8" s="104"/>
      <c r="DK8" s="105"/>
      <c r="DL8" s="105"/>
      <c r="DM8" s="163" t="str">
        <f>IFERROR((((COUNTIF('Elève (3ème1)'!DI8:DL8,"A"))*4)+((COUNTIF('Elève (3ème1)'!DI8:DL8,"B"))*3)+((COUNTIF('Elève (3ème1)'!DI8:DL8,"C"))*2)+((COUNTIF('Elève (3ème1)'!DI8:DL8,"D"))*1))/(COUNTA(DI8:DL8)),"")</f>
        <v/>
      </c>
      <c r="DN8" s="164" t="str">
        <f t="shared" si="45"/>
        <v/>
      </c>
      <c r="DO8" s="103"/>
      <c r="DP8" s="104" t="s">
        <v>29</v>
      </c>
      <c r="DQ8" s="105"/>
      <c r="DR8" s="105"/>
      <c r="DS8" s="105"/>
      <c r="DT8" s="109"/>
      <c r="DU8" s="163">
        <f>IFERROR((((COUNTIF('Elève (3ème1)'!DO8:DT8,"A"))*4)+((COUNTIF('Elève (3ème1)'!DO8:DT8,"B"))*3)+((COUNTIF('Elève (3ème1)'!DO8:DT8,"C"))*2)+((COUNTIF('Elève (3ème1)'!DO8:DT8,"D"))*1))/(COUNTA(DO8:DT8)),"")</f>
        <v>2</v>
      </c>
      <c r="DV8" s="164" t="str">
        <f t="shared" si="46"/>
        <v>C</v>
      </c>
      <c r="DW8" s="163">
        <f>IF(COUNT(DG8,DM8,DU8)=0,"",SUM(DG8,DM8,DU8)/COUNT(DG8,DM8,DU8))</f>
        <v>2</v>
      </c>
      <c r="DX8" s="187" t="str">
        <f t="shared" si="47"/>
        <v>C</v>
      </c>
      <c r="DY8" s="103"/>
      <c r="DZ8" s="104"/>
      <c r="EA8" s="105"/>
      <c r="EB8" s="163" t="str">
        <f>IFERROR((((COUNTIF('Elève (3ème1)'!DY8:EA8,"A"))*4)+((COUNTIF('Elève (3ème1)'!DY8:EA8,"B"))*3)+((COUNTIF('Elève (3ème1)'!DY8:EA8,"C"))*2)+((COUNTIF('Elève (3ème1)'!DY8:EA8,"D"))*1))/(COUNTA(DY8:EA8)),"")</f>
        <v/>
      </c>
      <c r="EC8" s="164" t="str">
        <f t="shared" si="48"/>
        <v/>
      </c>
      <c r="ED8" s="103"/>
      <c r="EE8" s="104"/>
      <c r="EF8" s="105"/>
      <c r="EG8" s="105"/>
      <c r="EH8" s="163" t="str">
        <f>IFERROR((((COUNTIF('Elève (3ème1)'!ED8:EG8,"A"))*4)+((COUNTIF('Elève (3ème1)'!ED8:EG8,"B"))*3)+((COUNTIF('Elève (3ème1)'!ED8:EG8,"C"))*2)+((COUNTIF('Elève (3ème1)'!ED8:EG8,"D"))*1))/(COUNTA(ED8:EG8)),"")</f>
        <v/>
      </c>
      <c r="EI8" s="164" t="str">
        <f t="shared" si="49"/>
        <v/>
      </c>
      <c r="EJ8" s="103"/>
      <c r="EK8" s="104" t="s">
        <v>29</v>
      </c>
      <c r="EL8" s="105"/>
      <c r="EM8" s="105"/>
      <c r="EN8" s="105"/>
      <c r="EO8" s="109"/>
      <c r="EP8" s="163">
        <f>IFERROR((((COUNTIF('Elève (3ème1)'!EJ8:EO8,"A"))*4)+((COUNTIF('Elève (3ème1)'!EJ8:EO8,"B"))*3)+((COUNTIF('Elève (3ème1)'!EJ8:EO8,"C"))*2)+((COUNTIF('Elève (3ème1)'!EJ8:EO8,"D"))*1))/(COUNTA(EJ8:EO8)),"")</f>
        <v>2</v>
      </c>
      <c r="EQ8" s="164" t="str">
        <f t="shared" si="50"/>
        <v>C</v>
      </c>
      <c r="ER8" s="163">
        <f>IF(COUNT(EB8,EH8,EP8)=0,"",SUM(EB8,EH8,EP8)/COUNT(EB8,EH8,EP8))</f>
        <v>2</v>
      </c>
      <c r="ES8" s="187" t="str">
        <f t="shared" si="51"/>
        <v>C</v>
      </c>
      <c r="ET8" s="103"/>
      <c r="EU8" s="104"/>
      <c r="EV8" s="105"/>
      <c r="EW8" s="163" t="str">
        <f>IFERROR((((COUNTIF('Elève (3ème1)'!ET8:EV8,"A"))*4)+((COUNTIF('Elève (3ème1)'!ET8:EV8,"B"))*3)+((COUNTIF('Elève (3ème1)'!ET8:EV8,"C"))*2)+((COUNTIF('Elève (3ème1)'!ET8:EV8,"D"))*1))/(COUNTA(ET8:EV8)),"")</f>
        <v/>
      </c>
      <c r="EX8" s="164" t="str">
        <f t="shared" si="52"/>
        <v/>
      </c>
      <c r="EY8" s="103"/>
      <c r="EZ8" s="104"/>
      <c r="FA8" s="105"/>
      <c r="FB8" s="105"/>
      <c r="FC8" s="163" t="str">
        <f>IFERROR((((COUNTIF('Elève (3ème1)'!EY8:FB8,"A"))*4)+((COUNTIF('Elève (3ème1)'!EY8:FB8,"B"))*3)+((COUNTIF('Elève (3ème1)'!EY8:FB8,"C"))*2)+((COUNTIF('Elève (3ème1)'!EY8:FB8,"D"))*1))/(COUNTA(EY8:FB8)),"")</f>
        <v/>
      </c>
      <c r="FD8" s="164" t="str">
        <f t="shared" si="53"/>
        <v/>
      </c>
      <c r="FE8" s="103"/>
      <c r="FF8" s="104" t="s">
        <v>29</v>
      </c>
      <c r="FG8" s="105" t="s">
        <v>28</v>
      </c>
      <c r="FH8" s="105"/>
      <c r="FI8" s="105"/>
      <c r="FJ8" s="109"/>
      <c r="FK8" s="163">
        <f>IFERROR((((COUNTIF('Elève (3ème1)'!FE8:FJ8,"A"))*4)+((COUNTIF('Elève (3ème1)'!FE8:FJ8,"B"))*3)+((COUNTIF('Elève (3ème1)'!FE8:FJ8,"C"))*2)+((COUNTIF('Elève (3ème1)'!FE8:FJ8,"D"))*1))/(COUNTA(FE8:FJ8)),"")</f>
        <v>2.5</v>
      </c>
      <c r="FL8" s="164" t="str">
        <f t="shared" si="54"/>
        <v>C</v>
      </c>
      <c r="FM8" s="163">
        <f>IF(COUNT(EW8,FC8,FK8)=0,"",SUM(EW8,FC8,FK8)/COUNT(EW8,FC8,FK8))</f>
        <v>2.5</v>
      </c>
      <c r="FN8" s="187" t="str">
        <f t="shared" si="55"/>
        <v>C</v>
      </c>
      <c r="FO8" s="103"/>
      <c r="FP8" s="104"/>
      <c r="FQ8" s="105"/>
      <c r="FR8" s="163" t="str">
        <f>IFERROR((((COUNTIF('Elève (3ème1)'!FO8:FQ8,"A"))*4)+((COUNTIF('Elève (3ème1)'!FO8:FQ8,"B"))*3)+((COUNTIF('Elève (3ème1)'!FO8:FQ8,"C"))*2)+((COUNTIF('Elève (3ème1)'!FO8:FQ8,"D"))*1))/(COUNTA(FO8:FQ8)),"")</f>
        <v/>
      </c>
      <c r="FS8" s="164" t="str">
        <f t="shared" si="56"/>
        <v/>
      </c>
      <c r="FT8" s="103"/>
      <c r="FU8" s="104"/>
      <c r="FV8" s="105"/>
      <c r="FW8" s="105"/>
      <c r="FX8" s="163" t="str">
        <f>IFERROR((((COUNTIF('Elève (3ème1)'!FT8:FW8,"A"))*4)+((COUNTIF('Elève (3ème1)'!FT8:FW8,"B"))*3)+((COUNTIF('Elève (3ème1)'!FT8:FW8,"C"))*2)+((COUNTIF('Elève (3ème1)'!FT8:FW8,"D"))*1))/(COUNTA(FT8:FW8)),"")</f>
        <v/>
      </c>
      <c r="FY8" s="164" t="str">
        <f t="shared" si="57"/>
        <v/>
      </c>
      <c r="FZ8" s="103"/>
      <c r="GA8" s="104" t="s">
        <v>30</v>
      </c>
      <c r="GB8" s="105"/>
      <c r="GC8" s="105"/>
      <c r="GD8" s="105"/>
      <c r="GE8" s="109"/>
      <c r="GF8" s="163">
        <f>IFERROR((((COUNTIF('Elève (3ème1)'!FZ8:GE8,"A"))*4)+((COUNTIF('Elève (3ème1)'!FZ8:GE8,"B"))*3)+((COUNTIF('Elève (3ème1)'!FZ8:GE8,"C"))*2)+((COUNTIF('Elève (3ème1)'!FZ8:GE8,"D"))*1))/(COUNTA(FZ8:GE8)),"")</f>
        <v>1</v>
      </c>
      <c r="GG8" s="164" t="str">
        <f t="shared" si="58"/>
        <v>D</v>
      </c>
      <c r="GH8" s="163">
        <f>IF(COUNT(FR8,FX8,GF8)=0,"",SUM(FR8,FX8,GF8)/COUNT(FR8,FX8,GF8))</f>
        <v>1</v>
      </c>
      <c r="GI8" s="187" t="str">
        <f t="shared" si="59"/>
        <v>D</v>
      </c>
      <c r="GJ8" s="103"/>
      <c r="GK8" s="104"/>
      <c r="GL8" s="105"/>
      <c r="GM8" s="163" t="str">
        <f>IFERROR((((COUNTIF('Elève (3ème1)'!GJ8:GL8,"A"))*4)+((COUNTIF('Elève (3ème1)'!GJ8:GL8,"B"))*3)+((COUNTIF('Elève (3ème1)'!GJ8:GL8,"C"))*2)+((COUNTIF('Elève (3ème1)'!GJ8:GL8,"D"))*1))/(COUNTA(GJ8:GL8)),"")</f>
        <v/>
      </c>
      <c r="GN8" s="164" t="str">
        <f t="shared" si="60"/>
        <v/>
      </c>
      <c r="GO8" s="103"/>
      <c r="GP8" s="104"/>
      <c r="GQ8" s="105"/>
      <c r="GR8" s="105"/>
      <c r="GS8" s="163" t="str">
        <f>IFERROR((((COUNTIF('Elève (3ème1)'!GO8:GR8,"A"))*4)+((COUNTIF('Elève (3ème1)'!GO8:GR8,"B"))*3)+((COUNTIF('Elève (3ème1)'!GO8:GR8,"C"))*2)+((COUNTIF('Elève (3ème1)'!GO8:GR8,"D"))*1))/(COUNTA(GO8:GR8)),"")</f>
        <v/>
      </c>
      <c r="GT8" s="164" t="str">
        <f t="shared" si="61"/>
        <v/>
      </c>
      <c r="GU8" s="103"/>
      <c r="GV8" s="104" t="s">
        <v>30</v>
      </c>
      <c r="GW8" s="105" t="s">
        <v>28</v>
      </c>
      <c r="GX8" s="105"/>
      <c r="GY8" s="105"/>
      <c r="GZ8" s="109"/>
      <c r="HA8" s="163">
        <f>IFERROR((((COUNTIF('Elève (3ème1)'!GU8:GZ8,"A"))*4)+((COUNTIF('Elève (3ème1)'!GU8:GZ8,"B"))*3)+((COUNTIF('Elève (3ème1)'!GU8:GZ8,"C"))*2)+((COUNTIF('Elève (3ème1)'!GU8:GZ8,"D"))*1))/(COUNTA(GU8:GZ8)),"")</f>
        <v>2</v>
      </c>
      <c r="HB8" s="164" t="str">
        <f t="shared" si="62"/>
        <v>C</v>
      </c>
      <c r="HC8" s="163">
        <f>IF(COUNT(GM8,GS8,HA8)=0,"",SUM(GM8,GS8,HA8)/COUNT(GM8,GS8,HA8))</f>
        <v>2</v>
      </c>
      <c r="HD8" s="187" t="str">
        <f t="shared" si="63"/>
        <v>C</v>
      </c>
      <c r="HE8" s="103"/>
      <c r="HF8" s="104"/>
      <c r="HG8" s="105"/>
      <c r="HH8" s="163" t="str">
        <f>IFERROR((((COUNTIF('Elève (3ème1)'!HE8:HG8,"A"))*4)+((COUNTIF('Elève (3ème1)'!HE8:HG8,"B"))*3)+((COUNTIF('Elève (3ème1)'!HE8:HG8,"C"))*2)+((COUNTIF('Elève (3ème1)'!HE8:HG8,"D"))*1))/(COUNTA(HE8:HG8)),"")</f>
        <v/>
      </c>
      <c r="HI8" s="164" t="str">
        <f t="shared" si="64"/>
        <v/>
      </c>
      <c r="HJ8" s="103"/>
      <c r="HK8" s="104"/>
      <c r="HL8" s="105"/>
      <c r="HM8" s="105"/>
      <c r="HN8" s="163" t="str">
        <f>IFERROR((((COUNTIF('Elève (3ème1)'!HJ8:HM8,"A"))*4)+((COUNTIF('Elève (3ème1)'!HJ8:HM8,"B"))*3)+((COUNTIF('Elève (3ème1)'!HJ8:HM8,"C"))*2)+((COUNTIF('Elève (3ème1)'!HJ8:HM8,"D"))*1))/(COUNTA(HJ8:HM8)),"")</f>
        <v/>
      </c>
      <c r="HO8" s="164" t="str">
        <f t="shared" si="65"/>
        <v/>
      </c>
      <c r="HP8" s="103"/>
      <c r="HQ8" s="104" t="s">
        <v>28</v>
      </c>
      <c r="HR8" s="105"/>
      <c r="HS8" s="105"/>
      <c r="HT8" s="105"/>
      <c r="HU8" s="109"/>
      <c r="HV8" s="163">
        <f>IFERROR((((COUNTIF('Elève (3ème1)'!HP8:HU8,"A"))*4)+((COUNTIF('Elève (3ème1)'!HP8:HU8,"B"))*3)+((COUNTIF('Elève (3ème1)'!HP8:HU8,"C"))*2)+((COUNTIF('Elève (3ème1)'!HP8:HU8,"D"))*1))/(COUNTA(HP8:HU8)),"")</f>
        <v>3</v>
      </c>
      <c r="HW8" s="164" t="str">
        <f t="shared" si="66"/>
        <v>B</v>
      </c>
      <c r="HX8" s="163">
        <f>IF(COUNT(HH8,HN8,HV8)=0,"",SUM(HH8,HN8,HV8)/COUNT(HH8,HN8,HV8))</f>
        <v>3</v>
      </c>
      <c r="HY8" s="187" t="str">
        <f t="shared" si="67"/>
        <v>B</v>
      </c>
      <c r="HZ8" s="103"/>
      <c r="IA8" s="104"/>
      <c r="IB8" s="105"/>
      <c r="IC8" s="163" t="str">
        <f>IFERROR((((COUNTIF('Elève (3ème1)'!HZ8:IB8,"A"))*4)+((COUNTIF('Elève (3ème1)'!HZ8:IB8,"B"))*3)+((COUNTIF('Elève (3ème1)'!HZ8:IB8,"C"))*2)+((COUNTIF('Elève (3ème1)'!HZ8:IB8,"D"))*1))/(COUNTA(HZ8:IB8)),"")</f>
        <v/>
      </c>
      <c r="ID8" s="164" t="str">
        <f t="shared" si="68"/>
        <v/>
      </c>
      <c r="IE8" s="103"/>
      <c r="IF8" s="104"/>
      <c r="IG8" s="105"/>
      <c r="IH8" s="105"/>
      <c r="II8" s="163" t="str">
        <f>IFERROR((((COUNTIF('Elève (3ème1)'!IE8:IH8,"A"))*4)+((COUNTIF('Elève (3ème1)'!IE8:IH8,"B"))*3)+((COUNTIF('Elève (3ème1)'!IE8:IH8,"C"))*2)+((COUNTIF('Elève (3ème1)'!IE8:IH8,"D"))*1))/(COUNTA(IE8:IH8)),"")</f>
        <v/>
      </c>
      <c r="IJ8" s="164" t="str">
        <f t="shared" si="69"/>
        <v/>
      </c>
      <c r="IK8" s="103"/>
      <c r="IL8" s="104" t="s">
        <v>29</v>
      </c>
      <c r="IM8" s="105" t="s">
        <v>27</v>
      </c>
      <c r="IN8" s="105"/>
      <c r="IO8" s="105"/>
      <c r="IP8" s="109"/>
      <c r="IQ8" s="163">
        <f>IFERROR((((COUNTIF('Elève (3ème1)'!IK8:IP8,"A"))*4)+((COUNTIF('Elève (3ème1)'!IK8:IP8,"B"))*3)+((COUNTIF('Elève (3ème1)'!IK8:IP8,"C"))*2)+((COUNTIF('Elève (3ème1)'!IK8:IP8,"D"))*1))/(COUNTA(IK8:IP8)),"")</f>
        <v>3</v>
      </c>
      <c r="IR8" s="164" t="str">
        <f t="shared" si="70"/>
        <v>B</v>
      </c>
      <c r="IS8" s="163">
        <f>IF(COUNT(IC8,II8,IQ8)=0,"",SUM(IC8,II8,IQ8)/COUNT(IC8,II8,IQ8))</f>
        <v>3</v>
      </c>
      <c r="IT8" s="187" t="str">
        <f t="shared" si="71"/>
        <v>B</v>
      </c>
      <c r="IU8" s="103"/>
      <c r="IV8" s="104"/>
      <c r="IW8" s="105"/>
      <c r="IX8" s="163" t="str">
        <f>IFERROR((((COUNTIF('Elève (3ème1)'!IU8:IW8,"A"))*4)+((COUNTIF('Elève (3ème1)'!IU8:IW8,"B"))*3)+((COUNTIF('Elève (3ème1)'!IU8:IW8,"C"))*2)+((COUNTIF('Elève (3ème1)'!IU8:IW8,"D"))*1))/(COUNTA(IU8:IW8)),"")</f>
        <v/>
      </c>
      <c r="IY8" s="164" t="str">
        <f t="shared" si="72"/>
        <v/>
      </c>
      <c r="IZ8" s="103"/>
      <c r="JA8" s="104"/>
      <c r="JB8" s="105"/>
      <c r="JC8" s="105"/>
      <c r="JD8" s="163" t="str">
        <f>IFERROR((((COUNTIF('Elève (3ème1)'!IZ8:JC8,"A"))*4)+((COUNTIF('Elève (3ème1)'!IZ8:JC8,"B"))*3)+((COUNTIF('Elève (3ème1)'!IZ8:JC8,"C"))*2)+((COUNTIF('Elève (3ème1)'!IZ8:JC8,"D"))*1))/(COUNTA(IZ8:JC8)),"")</f>
        <v/>
      </c>
      <c r="JE8" s="164" t="str">
        <f t="shared" si="73"/>
        <v/>
      </c>
      <c r="JF8" s="103"/>
      <c r="JG8" s="104" t="s">
        <v>29</v>
      </c>
      <c r="JH8" s="105"/>
      <c r="JI8" s="105"/>
      <c r="JJ8" s="105"/>
      <c r="JK8" s="109"/>
      <c r="JL8" s="163">
        <f>IFERROR((((COUNTIF('Elève (3ème1)'!JF8:JK8,"A"))*4)+((COUNTIF('Elève (3ème1)'!JF8:JK8,"B"))*3)+((COUNTIF('Elève (3ème1)'!JF8:JK8,"C"))*2)+((COUNTIF('Elève (3ème1)'!JF8:JK8,"D"))*1))/(COUNTA(JF8:JK8)),"")</f>
        <v>2</v>
      </c>
      <c r="JM8" s="164" t="str">
        <f t="shared" si="74"/>
        <v>C</v>
      </c>
      <c r="JN8" s="163">
        <f>IF(COUNT(IX8,JD8,JL8)=0,"",SUM(IX8,JD8,JL8)/COUNT(IX8,JD8,JL8))</f>
        <v>2</v>
      </c>
      <c r="JO8" s="187" t="str">
        <f t="shared" si="75"/>
        <v>C</v>
      </c>
      <c r="JP8" s="103"/>
      <c r="JQ8" s="104"/>
      <c r="JR8" s="105"/>
      <c r="JS8" s="163" t="str">
        <f>IFERROR((((COUNTIF('Elève (3ème1)'!JP8:JR8,"A"))*4)+((COUNTIF('Elève (3ème1)'!JP8:JR8,"B"))*3)+((COUNTIF('Elève (3ème1)'!JP8:JR8,"C"))*2)+((COUNTIF('Elève (3ème1)'!JP8:JR8,"D"))*1))/(COUNTA(JP8:JR8)),"")</f>
        <v/>
      </c>
      <c r="JT8" s="164" t="str">
        <f t="shared" si="76"/>
        <v/>
      </c>
      <c r="JU8" s="103"/>
      <c r="JV8" s="104"/>
      <c r="JW8" s="105"/>
      <c r="JX8" s="105"/>
      <c r="JY8" s="163" t="str">
        <f>IFERROR((((COUNTIF('Elève (3ème1)'!JU8:JX8,"A"))*4)+((COUNTIF('Elève (3ème1)'!JU8:JX8,"B"))*3)+((COUNTIF('Elève (3ème1)'!JU8:JX8,"C"))*2)+((COUNTIF('Elève (3ème1)'!JU8:JX8,"D"))*1))/(COUNTA(JU8:JX8)),"")</f>
        <v/>
      </c>
      <c r="JZ8" s="164" t="str">
        <f t="shared" si="77"/>
        <v/>
      </c>
      <c r="KA8" s="103"/>
      <c r="KB8" s="104" t="s">
        <v>29</v>
      </c>
      <c r="KC8" s="105" t="s">
        <v>27</v>
      </c>
      <c r="KD8" s="105"/>
      <c r="KE8" s="105"/>
      <c r="KF8" s="109"/>
      <c r="KG8" s="163">
        <f>IFERROR((((COUNTIF('Elève (3ème1)'!KA8:KF8,"A"))*4)+((COUNTIF('Elève (3ème1)'!KA8:KF8,"B"))*3)+((COUNTIF('Elève (3ème1)'!KA8:KF8,"C"))*2)+((COUNTIF('Elève (3ème1)'!KA8:KF8,"D"))*1))/(COUNTA(KA8:KF8)),"")</f>
        <v>3</v>
      </c>
      <c r="KH8" s="164" t="str">
        <f t="shared" si="78"/>
        <v>B</v>
      </c>
      <c r="KI8" s="163">
        <f>IF(COUNT(JS8,JY8,KG8)=0,"",SUM(JS8,JY8,KG8)/COUNT(JS8,JY8,KG8))</f>
        <v>3</v>
      </c>
      <c r="KJ8" s="187" t="str">
        <f t="shared" si="79"/>
        <v>B</v>
      </c>
      <c r="KK8" s="103"/>
      <c r="KL8" s="104"/>
      <c r="KM8" s="105"/>
      <c r="KN8" s="163" t="str">
        <f>IFERROR((((COUNTIF('Elève (3ème1)'!KK8:KM8,"A"))*4)+((COUNTIF('Elève (3ème1)'!KK8:KM8,"B"))*3)+((COUNTIF('Elève (3ème1)'!KK8:KM8,"C"))*2)+((COUNTIF('Elève (3ème1)'!KK8:KM8,"D"))*1))/(COUNTA(KK8:KM8)),"")</f>
        <v/>
      </c>
      <c r="KO8" s="164" t="str">
        <f t="shared" si="80"/>
        <v/>
      </c>
      <c r="KP8" s="103"/>
      <c r="KQ8" s="104"/>
      <c r="KR8" s="105"/>
      <c r="KS8" s="105"/>
      <c r="KT8" s="163" t="str">
        <f>IFERROR((((COUNTIF('Elève (3ème1)'!KP8:KS8,"A"))*4)+((COUNTIF('Elève (3ème1)'!KP8:KS8,"B"))*3)+((COUNTIF('Elève (3ème1)'!KP8:KS8,"C"))*2)+((COUNTIF('Elève (3ème1)'!KP8:KS8,"D"))*1))/(COUNTA(KP8:KS8)),"")</f>
        <v/>
      </c>
      <c r="KU8" s="164" t="str">
        <f t="shared" si="81"/>
        <v/>
      </c>
      <c r="KV8" s="103"/>
      <c r="KW8" s="104" t="s">
        <v>29</v>
      </c>
      <c r="KX8" s="105" t="s">
        <v>28</v>
      </c>
      <c r="KY8" s="105"/>
      <c r="KZ8" s="105"/>
      <c r="LA8" s="109"/>
      <c r="LB8" s="163">
        <f>IFERROR((((COUNTIF('Elève (3ème1)'!KV8:LA8,"A"))*4)+((COUNTIF('Elève (3ème1)'!KV8:LA8,"B"))*3)+((COUNTIF('Elève (3ème1)'!KV8:LA8,"C"))*2)+((COUNTIF('Elève (3ème1)'!KV8:LA8,"D"))*1))/(COUNTA(KV8:LA8)),"")</f>
        <v>2.5</v>
      </c>
      <c r="LC8" s="164" t="str">
        <f t="shared" si="82"/>
        <v>C</v>
      </c>
      <c r="LD8" s="163">
        <f>IF(COUNT(KN8,KT8,LB8)=0,"",SUM(KN8,KT8,LB8)/COUNT(KN8,KT8,LB8))</f>
        <v>2.5</v>
      </c>
      <c r="LE8" s="187" t="str">
        <f t="shared" si="83"/>
        <v>C</v>
      </c>
      <c r="LF8" s="103"/>
      <c r="LG8" s="104"/>
      <c r="LH8" s="105"/>
      <c r="LI8" s="163" t="str">
        <f>IFERROR((((COUNTIF('Elève (3ème1)'!LF8:LH8,"A"))*4)+((COUNTIF('Elève (3ème1)'!LF8:LH8,"B"))*3)+((COUNTIF('Elève (3ème1)'!LF8:LH8,"C"))*2)+((COUNTIF('Elève (3ème1)'!LF8:LH8,"D"))*1))/(COUNTA(LF8:LH8)),"")</f>
        <v/>
      </c>
      <c r="LJ8" s="164" t="str">
        <f t="shared" si="84"/>
        <v/>
      </c>
      <c r="LK8" s="103"/>
      <c r="LL8" s="104"/>
      <c r="LM8" s="105"/>
      <c r="LN8" s="105"/>
      <c r="LO8" s="163" t="str">
        <f>IFERROR((((COUNTIF('Elève (3ème1)'!LK8:LN8,"A"))*4)+((COUNTIF('Elève (3ème1)'!LK8:LN8,"B"))*3)+((COUNTIF('Elève (3ème1)'!LK8:LN8,"C"))*2)+((COUNTIF('Elève (3ème1)'!LK8:LN8,"D"))*1))/(COUNTA(LK8:LN8)),"")</f>
        <v/>
      </c>
      <c r="LP8" s="164" t="str">
        <f t="shared" si="85"/>
        <v/>
      </c>
      <c r="LQ8" s="103"/>
      <c r="LR8" s="104" t="s">
        <v>30</v>
      </c>
      <c r="LS8" s="105" t="s">
        <v>28</v>
      </c>
      <c r="LT8" s="105"/>
      <c r="LU8" s="105"/>
      <c r="LV8" s="109"/>
      <c r="LW8" s="163">
        <f>IFERROR((((COUNTIF('Elève (3ème1)'!LQ8:LV8,"A"))*4)+((COUNTIF('Elève (3ème1)'!LQ8:LV8,"B"))*3)+((COUNTIF('Elève (3ème1)'!LQ8:LV8,"C"))*2)+((COUNTIF('Elève (3ème1)'!LQ8:LV8,"D"))*1))/(COUNTA(LQ8:LV8)),"")</f>
        <v>2</v>
      </c>
      <c r="LX8" s="164" t="str">
        <f t="shared" si="86"/>
        <v>C</v>
      </c>
      <c r="LY8" s="163">
        <f>IF(COUNT(LI8,LO8,LW8)=0,"",SUM(LI8,LO8,LW8)/COUNT(LI8,LO8,LW8))</f>
        <v>2</v>
      </c>
      <c r="LZ8" s="187" t="str">
        <f t="shared" si="87"/>
        <v>C</v>
      </c>
      <c r="MA8" s="103"/>
      <c r="MB8" s="104"/>
      <c r="MC8" s="105"/>
      <c r="MD8" s="163" t="str">
        <f>IFERROR((((COUNTIF('Elève (3ème1)'!MA8:MC8,"A"))*4)+((COUNTIF('Elève (3ème1)'!MA8:MC8,"B"))*3)+((COUNTIF('Elève (3ème1)'!MA8:MC8,"C"))*2)+((COUNTIF('Elève (3ème1)'!MA8:MC8,"D"))*1))/(COUNTA(MA8:MC8)),"")</f>
        <v/>
      </c>
      <c r="ME8" s="164" t="str">
        <f t="shared" si="88"/>
        <v/>
      </c>
      <c r="MF8" s="103"/>
      <c r="MG8" s="104"/>
      <c r="MH8" s="105"/>
      <c r="MI8" s="105"/>
      <c r="MJ8" s="163" t="str">
        <f>IFERROR((((COUNTIF('Elève (3ème1)'!MF8:MI8,"A"))*4)+((COUNTIF('Elève (3ème1)'!MF8:MI8,"B"))*3)+((COUNTIF('Elève (3ème1)'!MF8:MI8,"C"))*2)+((COUNTIF('Elève (3ème1)'!MF8:MI8,"D"))*1))/(COUNTA(MF8:MI8)),"")</f>
        <v/>
      </c>
      <c r="MK8" s="164" t="str">
        <f t="shared" si="89"/>
        <v/>
      </c>
      <c r="ML8" s="103"/>
      <c r="MM8" s="104" t="s">
        <v>29</v>
      </c>
      <c r="MN8" s="105" t="s">
        <v>27</v>
      </c>
      <c r="MO8" s="105"/>
      <c r="MP8" s="105"/>
      <c r="MQ8" s="109"/>
      <c r="MR8" s="163">
        <f>IFERROR((((COUNTIF('Elève (3ème1)'!ML8:MQ8,"A"))*4)+((COUNTIF('Elève (3ème1)'!ML8:MQ8,"B"))*3)+((COUNTIF('Elève (3ème1)'!ML8:MQ8,"C"))*2)+((COUNTIF('Elève (3ème1)'!ML8:MQ8,"D"))*1))/(COUNTA(ML8:MQ8)),"")</f>
        <v>3</v>
      </c>
      <c r="MS8" s="164" t="str">
        <f t="shared" si="90"/>
        <v>B</v>
      </c>
      <c r="MT8" s="163">
        <f>IF(COUNT(MD8,MJ8,MR8)=0,"",SUM(MD8,MJ8,MR8)/COUNT(MD8,MJ8,MR8))</f>
        <v>3</v>
      </c>
      <c r="MU8" s="187" t="str">
        <f t="shared" si="91"/>
        <v>B</v>
      </c>
      <c r="MV8" s="103"/>
      <c r="MW8" s="104"/>
      <c r="MX8" s="105"/>
      <c r="MY8" s="163" t="str">
        <f>IFERROR((((COUNTIF('Elève (3ème1)'!MV8:MX8,"A"))*4)+((COUNTIF('Elève (3ème1)'!MV8:MX8,"B"))*3)+((COUNTIF('Elève (3ème1)'!MV8:MX8,"C"))*2)+((COUNTIF('Elève (3ème1)'!MV8:MX8,"D"))*1))/(COUNTA(MV8:MX8)),"")</f>
        <v/>
      </c>
      <c r="MZ8" s="164" t="str">
        <f t="shared" si="92"/>
        <v/>
      </c>
      <c r="NA8" s="103"/>
      <c r="NB8" s="104"/>
      <c r="NC8" s="105"/>
      <c r="ND8" s="105"/>
      <c r="NE8" s="163" t="str">
        <f>IFERROR((((COUNTIF('Elève (3ème1)'!NA8:ND8,"A"))*4)+((COUNTIF('Elève (3ème1)'!NA8:ND8,"B"))*3)+((COUNTIF('Elève (3ème1)'!NA8:ND8,"C"))*2)+((COUNTIF('Elève (3ème1)'!NA8:ND8,"D"))*1))/(COUNTA(NA8:ND8)),"")</f>
        <v/>
      </c>
      <c r="NF8" s="164" t="str">
        <f t="shared" si="93"/>
        <v/>
      </c>
      <c r="NG8" s="103"/>
      <c r="NH8" s="104" t="s">
        <v>29</v>
      </c>
      <c r="NI8" s="105" t="s">
        <v>27</v>
      </c>
      <c r="NJ8" s="105"/>
      <c r="NK8" s="105"/>
      <c r="NL8" s="109"/>
      <c r="NM8" s="163">
        <f>IFERROR((((COUNTIF('Elève (3ème1)'!NG8:NL8,"A"))*4)+((COUNTIF('Elève (3ème1)'!NG8:NL8,"B"))*3)+((COUNTIF('Elève (3ème1)'!NG8:NL8,"C"))*2)+((COUNTIF('Elève (3ème1)'!NG8:NL8,"D"))*1))/(COUNTA(NG8:NL8)),"")</f>
        <v>3</v>
      </c>
      <c r="NN8" s="164" t="str">
        <f t="shared" si="94"/>
        <v>B</v>
      </c>
      <c r="NO8" s="163">
        <f>IF(COUNT(MY8,NE8,NM8)=0,"",SUM(MY8,NE8,NM8)/COUNT(MY8,NE8,NM8))</f>
        <v>3</v>
      </c>
      <c r="NP8" s="187" t="str">
        <f t="shared" si="95"/>
        <v>B</v>
      </c>
      <c r="NQ8" s="103"/>
      <c r="NR8" s="104"/>
      <c r="NS8" s="105"/>
      <c r="NT8" s="163" t="str">
        <f>IFERROR((((COUNTIF('Elève (3ème1)'!NQ8:NS8,"A"))*4)+((COUNTIF('Elève (3ème1)'!NQ8:NS8,"B"))*3)+((COUNTIF('Elève (3ème1)'!NQ8:NS8,"C"))*2)+((COUNTIF('Elève (3ème1)'!NQ8:NS8,"D"))*1))/(COUNTA(NQ8:NS8)),"")</f>
        <v/>
      </c>
      <c r="NU8" s="164" t="str">
        <f t="shared" si="96"/>
        <v/>
      </c>
      <c r="NV8" s="103"/>
      <c r="NW8" s="104"/>
      <c r="NX8" s="105"/>
      <c r="NY8" s="105"/>
      <c r="NZ8" s="163" t="str">
        <f>IFERROR((((COUNTIF('Elève (3ème1)'!NV8:NY8,"A"))*4)+((COUNTIF('Elève (3ème1)'!NV8:NY8,"B"))*3)+((COUNTIF('Elève (3ème1)'!NV8:NY8,"C"))*2)+((COUNTIF('Elève (3ème1)'!NV8:NY8,"D"))*1))/(COUNTA(NV8:NY8)),"")</f>
        <v/>
      </c>
      <c r="OA8" s="164" t="str">
        <f t="shared" si="97"/>
        <v/>
      </c>
      <c r="OB8" s="103"/>
      <c r="OC8" s="104" t="s">
        <v>30</v>
      </c>
      <c r="OD8" s="105" t="s">
        <v>27</v>
      </c>
      <c r="OE8" s="105"/>
      <c r="OF8" s="105"/>
      <c r="OG8" s="109"/>
      <c r="OH8" s="163">
        <f>IFERROR((((COUNTIF('Elève (3ème1)'!OB8:OG8,"A"))*4)+((COUNTIF('Elève (3ème1)'!OB8:OG8,"B"))*3)+((COUNTIF('Elève (3ème1)'!OB8:OG8,"C"))*2)+((COUNTIF('Elève (3ème1)'!OB8:OG8,"D"))*1))/(COUNTA(OB8:OG8)),"")</f>
        <v>2.5</v>
      </c>
      <c r="OI8" s="164" t="str">
        <f t="shared" si="98"/>
        <v>C</v>
      </c>
      <c r="OJ8" s="163">
        <f>IF(COUNT(NT8,NZ8,OH8)=0,"",SUM(NT8,NZ8,OH8)/COUNT(NT8,NZ8,OH8))</f>
        <v>2.5</v>
      </c>
      <c r="OK8" s="187" t="str">
        <f t="shared" si="99"/>
        <v>C</v>
      </c>
      <c r="OL8" s="103"/>
      <c r="OM8" s="104"/>
      <c r="ON8" s="105"/>
      <c r="OO8" s="163" t="str">
        <f>IFERROR((((COUNTIF('Elève (3ème1)'!OL8:ON8,"A"))*4)+((COUNTIF('Elève (3ème1)'!OL8:ON8,"B"))*3)+((COUNTIF('Elève (3ème1)'!OL8:ON8,"C"))*2)+((COUNTIF('Elève (3ème1)'!OL8:ON8,"D"))*1))/(COUNTA(OL8:ON8)),"")</f>
        <v/>
      </c>
      <c r="OP8" s="164" t="str">
        <f t="shared" si="100"/>
        <v/>
      </c>
      <c r="OQ8" s="103"/>
      <c r="OR8" s="104"/>
      <c r="OS8" s="105"/>
      <c r="OT8" s="105"/>
      <c r="OU8" s="163" t="str">
        <f>IFERROR((((COUNTIF('Elève (3ème1)'!OQ8:OT8,"A"))*4)+((COUNTIF('Elève (3ème1)'!OQ8:OT8,"B"))*3)+((COUNTIF('Elève (3ème1)'!OQ8:OT8,"C"))*2)+((COUNTIF('Elève (3ème1)'!OQ8:OT8,"D"))*1))/(COUNTA(OQ8:OT8)),"")</f>
        <v/>
      </c>
      <c r="OV8" s="164" t="str">
        <f t="shared" si="101"/>
        <v/>
      </c>
      <c r="OW8" s="103"/>
      <c r="OX8" s="104" t="s">
        <v>29</v>
      </c>
      <c r="OY8" s="105" t="s">
        <v>27</v>
      </c>
      <c r="OZ8" s="105"/>
      <c r="PA8" s="105"/>
      <c r="PB8" s="109"/>
      <c r="PC8" s="163">
        <f>IFERROR((((COUNTIF('Elève (3ème1)'!OW8:PB8,"A"))*4)+((COUNTIF('Elève (3ème1)'!OW8:PB8,"B"))*3)+((COUNTIF('Elève (3ème1)'!OW8:PB8,"C"))*2)+((COUNTIF('Elève (3ème1)'!OW8:PB8,"D"))*1))/(COUNTA(OW8:PB8)),"")</f>
        <v>3</v>
      </c>
      <c r="PD8" s="164" t="str">
        <f t="shared" si="102"/>
        <v>B</v>
      </c>
      <c r="PE8" s="163">
        <f>IF(COUNT(OO8,OU8,PC8)=0,"",SUM(OO8,OU8,PC8)/COUNT(OO8,OU8,PC8))</f>
        <v>3</v>
      </c>
      <c r="PF8" s="187" t="str">
        <f t="shared" si="103"/>
        <v>B</v>
      </c>
      <c r="PG8" s="103"/>
      <c r="PH8" s="104"/>
      <c r="PI8" s="105"/>
      <c r="PJ8" s="163" t="str">
        <f>IFERROR((((COUNTIF('Elève (3ème1)'!PG8:PI8,"A"))*4)+((COUNTIF('Elève (3ème1)'!PG8:PI8,"B"))*3)+((COUNTIF('Elève (3ème1)'!PG8:PI8,"C"))*2)+((COUNTIF('Elève (3ème1)'!PG8:PI8,"D"))*1))/(COUNTA(PG8:PI8)),"")</f>
        <v/>
      </c>
      <c r="PK8" s="164" t="str">
        <f t="shared" si="104"/>
        <v/>
      </c>
      <c r="PL8" s="103"/>
      <c r="PM8" s="104"/>
      <c r="PN8" s="105"/>
      <c r="PO8" s="105"/>
      <c r="PP8" s="163" t="str">
        <f>IFERROR((((COUNTIF('Elève (3ème1)'!PL8:PO8,"A"))*4)+((COUNTIF('Elève (3ème1)'!PL8:PO8,"B"))*3)+((COUNTIF('Elève (3ème1)'!PL8:PO8,"C"))*2)+((COUNTIF('Elève (3ème1)'!PL8:PO8,"D"))*1))/(COUNTA(PL8:PO8)),"")</f>
        <v/>
      </c>
      <c r="PQ8" s="164" t="str">
        <f t="shared" si="105"/>
        <v/>
      </c>
      <c r="PR8" s="103"/>
      <c r="PS8" s="104" t="s">
        <v>27</v>
      </c>
      <c r="PT8" s="105" t="s">
        <v>27</v>
      </c>
      <c r="PU8" s="105"/>
      <c r="PV8" s="105"/>
      <c r="PW8" s="109"/>
      <c r="PX8" s="163">
        <f>IFERROR((((COUNTIF('Elève (3ème1)'!PR8:PW8,"A"))*4)+((COUNTIF('Elève (3ème1)'!PR8:PW8,"B"))*3)+((COUNTIF('Elève (3ème1)'!PR8:PW8,"C"))*2)+((COUNTIF('Elève (3ème1)'!PR8:PW8,"D"))*1))/(COUNTA(PR8:PW8)),"")</f>
        <v>4</v>
      </c>
      <c r="PY8" s="164" t="str">
        <f t="shared" si="106"/>
        <v>A</v>
      </c>
      <c r="PZ8" s="163">
        <f>IF(COUNT(PJ8,PP8,PX8)=0,"",SUM(PJ8,PP8,PX8)/COUNT(PJ8,PP8,PX8))</f>
        <v>4</v>
      </c>
      <c r="QA8" s="187" t="str">
        <f t="shared" si="107"/>
        <v>A</v>
      </c>
      <c r="QB8" s="103"/>
      <c r="QC8" s="104"/>
      <c r="QD8" s="105"/>
      <c r="QE8" s="163" t="str">
        <f>IFERROR((((COUNTIF('Elève (3ème1)'!QB8:QD8,"A"))*4)+((COUNTIF('Elève (3ème1)'!QB8:QD8,"B"))*3)+((COUNTIF('Elève (3ème1)'!QB8:QD8,"C"))*2)+((COUNTIF('Elève (3ème1)'!QB8:QD8,"D"))*1))/(COUNTA(QB8:QD8)),"")</f>
        <v/>
      </c>
      <c r="QF8" s="164" t="str">
        <f t="shared" si="108"/>
        <v/>
      </c>
      <c r="QG8" s="103"/>
      <c r="QH8" s="104"/>
      <c r="QI8" s="105"/>
      <c r="QJ8" s="105"/>
      <c r="QK8" s="163" t="str">
        <f>IFERROR((((COUNTIF('Elève (3ème1)'!QG8:QJ8,"A"))*4)+((COUNTIF('Elève (3ème1)'!QG8:QJ8,"B"))*3)+((COUNTIF('Elève (3ème1)'!QG8:QJ8,"C"))*2)+((COUNTIF('Elève (3ème1)'!QG8:QJ8,"D"))*1))/(COUNTA(QG8:QJ8)),"")</f>
        <v/>
      </c>
      <c r="QL8" s="164" t="str">
        <f t="shared" si="109"/>
        <v/>
      </c>
      <c r="QM8" s="103"/>
      <c r="QN8" s="104" t="s">
        <v>29</v>
      </c>
      <c r="QO8" s="105" t="s">
        <v>27</v>
      </c>
      <c r="QP8" s="105"/>
      <c r="QQ8" s="105"/>
      <c r="QR8" s="109"/>
      <c r="QS8" s="163">
        <f>IFERROR((((COUNTIF('Elève (3ème1)'!QM8:QR8,"A"))*4)+((COUNTIF('Elève (3ème1)'!QM8:QR8,"B"))*3)+((COUNTIF('Elève (3ème1)'!QM8:QR8,"C"))*2)+((COUNTIF('Elève (3ème1)'!QM8:QR8,"D"))*1))/(COUNTA(QM8:QR8)),"")</f>
        <v>3</v>
      </c>
      <c r="QT8" s="164" t="str">
        <f t="shared" si="110"/>
        <v>B</v>
      </c>
      <c r="QU8" s="163">
        <f>IF(COUNT(QE8,QK8,QS8)=0,"",SUM(QE8,QK8,QS8)/COUNT(QE8,QK8,QS8))</f>
        <v>3</v>
      </c>
      <c r="QV8" s="187" t="str">
        <f t="shared" si="111"/>
        <v>B</v>
      </c>
      <c r="QW8" s="103"/>
      <c r="QX8" s="104"/>
      <c r="QY8" s="105"/>
      <c r="QZ8" s="163" t="str">
        <f>IFERROR((((COUNTIF('Elève (3ème1)'!QW8:QY8,"A"))*4)+((COUNTIF('Elève (3ème1)'!QW8:QY8,"B"))*3)+((COUNTIF('Elève (3ème1)'!QW8:QY8,"C"))*2)+((COUNTIF('Elève (3ème1)'!QW8:QY8,"D"))*1))/(COUNTA(QW8:QY8)),"")</f>
        <v/>
      </c>
      <c r="RA8" s="164" t="str">
        <f t="shared" si="112"/>
        <v/>
      </c>
      <c r="RB8" s="103"/>
      <c r="RC8" s="104"/>
      <c r="RD8" s="105"/>
      <c r="RE8" s="105"/>
      <c r="RF8" s="163" t="str">
        <f>IFERROR((((COUNTIF('Elève (3ème1)'!RB8:RE8,"A"))*4)+((COUNTIF('Elève (3ème1)'!RB8:RE8,"B"))*3)+((COUNTIF('Elève (3ème1)'!RB8:RE8,"C"))*2)+((COUNTIF('Elève (3ème1)'!RB8:RE8,"D"))*1))/(COUNTA(RB8:RE8)),"")</f>
        <v/>
      </c>
      <c r="RG8" s="164" t="str">
        <f t="shared" si="113"/>
        <v/>
      </c>
      <c r="RH8" s="103"/>
      <c r="RI8" s="104" t="s">
        <v>29</v>
      </c>
      <c r="RJ8" s="105"/>
      <c r="RK8" s="105"/>
      <c r="RL8" s="105"/>
      <c r="RM8" s="109"/>
      <c r="RN8" s="163">
        <f>IFERROR((((COUNTIF('Elève (3ème1)'!RH8:RM8,"A"))*4)+((COUNTIF('Elève (3ème1)'!RH8:RM8,"B"))*3)+((COUNTIF('Elève (3ème1)'!RH8:RM8,"C"))*2)+((COUNTIF('Elève (3ème1)'!RH8:RM8,"D"))*1))/(COUNTA(RH8:RM8)),"")</f>
        <v>2</v>
      </c>
      <c r="RO8" s="164" t="str">
        <f t="shared" si="114"/>
        <v>C</v>
      </c>
      <c r="RP8" s="163">
        <f>IF(COUNT(QZ8,RF8,RN8)=0,"",SUM(QZ8,RF8,RN8)/COUNT(QZ8,RF8,RN8))</f>
        <v>2</v>
      </c>
      <c r="RQ8" s="187" t="str">
        <f t="shared" si="115"/>
        <v>C</v>
      </c>
      <c r="RR8" s="103"/>
      <c r="RS8" s="104"/>
      <c r="RT8" s="105"/>
      <c r="RU8" s="163" t="str">
        <f>IFERROR((((COUNTIF('Elève (3ème1)'!RR8:RT8,"A"))*4)+((COUNTIF('Elève (3ème1)'!RR8:RT8,"B"))*3)+((COUNTIF('Elève (3ème1)'!RR8:RT8,"C"))*2)+((COUNTIF('Elève (3ème1)'!RR8:RT8,"D"))*1))/(COUNTA(RR8:RT8)),"")</f>
        <v/>
      </c>
      <c r="RV8" s="164" t="str">
        <f t="shared" si="116"/>
        <v/>
      </c>
      <c r="RW8" s="103"/>
      <c r="RX8" s="104"/>
      <c r="RY8" s="105"/>
      <c r="RZ8" s="105"/>
      <c r="SA8" s="163" t="str">
        <f>IFERROR((((COUNTIF('Elève (3ème1)'!RW8:RZ8,"A"))*4)+((COUNTIF('Elève (3ème1)'!RW8:RZ8,"B"))*3)+((COUNTIF('Elève (3ème1)'!RW8:RZ8,"C"))*2)+((COUNTIF('Elève (3ème1)'!RW8:RZ8,"D"))*1))/(COUNTA(RW8:RZ8)),"")</f>
        <v/>
      </c>
      <c r="SB8" s="164" t="str">
        <f t="shared" si="117"/>
        <v/>
      </c>
      <c r="SC8" s="103"/>
      <c r="SD8" s="104" t="s">
        <v>28</v>
      </c>
      <c r="SE8" s="105" t="s">
        <v>28</v>
      </c>
      <c r="SF8" s="105"/>
      <c r="SG8" s="105"/>
      <c r="SH8" s="109"/>
      <c r="SI8" s="163">
        <f>IFERROR((((COUNTIF('Elève (3ème1)'!SC8:SH8,"A"))*4)+((COUNTIF('Elève (3ème1)'!SC8:SH8,"B"))*3)+((COUNTIF('Elève (3ème1)'!SC8:SH8,"C"))*2)+((COUNTIF('Elève (3ème1)'!SC8:SH8,"D"))*1))/(COUNTA(SC8:SH8)),"")</f>
        <v>3</v>
      </c>
      <c r="SJ8" s="164" t="str">
        <f t="shared" si="118"/>
        <v>B</v>
      </c>
      <c r="SK8" s="163">
        <f>IF(COUNT(RU8,SA8,SI8)=0,"",SUM(RU8,SA8,SI8)/COUNT(RU8,SA8,SI8))</f>
        <v>3</v>
      </c>
      <c r="SL8" s="187" t="str">
        <f t="shared" si="119"/>
        <v>B</v>
      </c>
      <c r="SM8" s="103"/>
      <c r="SN8" s="104"/>
      <c r="SO8" s="105"/>
      <c r="SP8" s="163" t="str">
        <f>IFERROR((((COUNTIF('Elève (3ème1)'!SM8:SO8,"A"))*4)+((COUNTIF('Elève (3ème1)'!SM8:SO8,"B"))*3)+((COUNTIF('Elève (3ème1)'!SM8:SO8,"C"))*2)+((COUNTIF('Elève (3ème1)'!SM8:SO8,"D"))*1))/(COUNTA(SM8:SO8)),"")</f>
        <v/>
      </c>
      <c r="SQ8" s="164" t="str">
        <f t="shared" si="120"/>
        <v/>
      </c>
      <c r="SR8" s="103"/>
      <c r="SS8" s="104"/>
      <c r="ST8" s="105"/>
      <c r="SU8" s="105"/>
      <c r="SV8" s="163" t="str">
        <f>IFERROR((((COUNTIF('Elève (3ème1)'!SR8:SU8,"A"))*4)+((COUNTIF('Elève (3ème1)'!SR8:SU8,"B"))*3)+((COUNTIF('Elève (3ème1)'!SR8:SU8,"C"))*2)+((COUNTIF('Elève (3ème1)'!SR8:SU8,"D"))*1))/(COUNTA(SR8:SU8)),"")</f>
        <v/>
      </c>
      <c r="SW8" s="164" t="str">
        <f t="shared" si="121"/>
        <v/>
      </c>
      <c r="SX8" s="103"/>
      <c r="SY8" s="104" t="s">
        <v>29</v>
      </c>
      <c r="SZ8" s="105" t="s">
        <v>27</v>
      </c>
      <c r="TA8" s="105"/>
      <c r="TB8" s="105"/>
      <c r="TC8" s="109"/>
      <c r="TD8" s="163">
        <f>IFERROR((((COUNTIF('Elève (3ème1)'!SX8:TC8,"A"))*4)+((COUNTIF('Elève (3ème1)'!SX8:TC8,"B"))*3)+((COUNTIF('Elève (3ème1)'!SX8:TC8,"C"))*2)+((COUNTIF('Elève (3ème1)'!SX8:TC8,"D"))*1))/(COUNTA(SX8:TC8)),"")</f>
        <v>3</v>
      </c>
      <c r="TE8" s="164" t="str">
        <f t="shared" si="122"/>
        <v>B</v>
      </c>
      <c r="TF8" s="163">
        <f>IF(COUNT(SP8,SV8,TD8)=0,"",SUM(SP8,SV8,TD8)/COUNT(SP8,SV8,TD8))</f>
        <v>3</v>
      </c>
      <c r="TG8" s="187" t="str">
        <f t="shared" si="123"/>
        <v>B</v>
      </c>
      <c r="TH8" s="103"/>
      <c r="TI8" s="104"/>
      <c r="TJ8" s="105"/>
      <c r="TK8" s="106" t="str">
        <f>IFERROR((((COUNTIF('Elève (3ème1)'!TH8:TJ8,"A"))*4)+((COUNTIF('Elève (3ème1)'!TH8:TJ8,"B"))*3)+((COUNTIF('Elève (3ème1)'!TH8:TJ8,"C"))*2)+((COUNTIF('Elève (3ème1)'!TH8:TJ8,"D"))*1))/(COUNTA(TH8:TJ8)),"")</f>
        <v/>
      </c>
      <c r="TL8" s="107" t="str">
        <f t="shared" si="124"/>
        <v/>
      </c>
      <c r="TM8" s="103"/>
      <c r="TN8" s="104"/>
      <c r="TO8" s="105"/>
      <c r="TP8" s="106" t="str">
        <f>IFERROR((((COUNTIF('Elève (3ème1)'!TM8:TO8,"A"))*4)+((COUNTIF('Elève (3ème1)'!TM8:TO8,"B"))*3)+((COUNTIF('Elève (3ème1)'!TM8:TO8,"C"))*2)+((COUNTIF('Elève (3ème1)'!TM8:TO8,"D"))*1))/(COUNTA(TM8:TO8)),"")</f>
        <v/>
      </c>
      <c r="TQ8" s="107" t="str">
        <f t="shared" si="125"/>
        <v/>
      </c>
      <c r="TR8" s="103"/>
      <c r="TS8" s="104"/>
      <c r="TT8" s="109"/>
      <c r="TU8" s="106" t="str">
        <f>IFERROR((((COUNTIF('Elève (3ème1)'!TR8:TT8,"A"))*4)+((COUNTIF('Elève (3ème1)'!TR8:TT8,"B"))*3)+((COUNTIF('Elève (3ème1)'!TR8:TT8,"C"))*2)+((COUNTIF('Elève (3ème1)'!TR8:TT8,"D"))*1))/(COUNTA(TR8:TT8)),"")</f>
        <v/>
      </c>
      <c r="TV8" s="107" t="str">
        <f t="shared" si="126"/>
        <v/>
      </c>
      <c r="TW8" s="106" t="str">
        <f>IF(COUNT(TK8,TP8,TU8)=0,"",SUM(TK8,TP8,TU8)/COUNT(TK8,TP8,TU8))</f>
        <v/>
      </c>
      <c r="TX8" s="108" t="str">
        <f t="shared" si="127"/>
        <v/>
      </c>
      <c r="TY8" s="103"/>
      <c r="TZ8" s="104"/>
      <c r="UA8" s="105"/>
      <c r="UB8" s="106" t="str">
        <f>IFERROR((((COUNTIF('Elève (3ème1)'!TY8:UA8,"A"))*4)+((COUNTIF('Elève (3ème1)'!TY8:UA8,"B"))*3)+((COUNTIF('Elève (3ème1)'!TY8:UA8,"C"))*2)+((COUNTIF('Elève (3ème1)'!TY8:UA8,"D"))*1))/(COUNTA(TY8:UA8)),"")</f>
        <v/>
      </c>
      <c r="UC8" s="107" t="str">
        <f t="shared" si="128"/>
        <v/>
      </c>
      <c r="UD8" s="103"/>
      <c r="UE8" s="104"/>
      <c r="UF8" s="105"/>
      <c r="UG8" s="106" t="str">
        <f>IFERROR((((COUNTIF('Elève (3ème1)'!UD8:UF8,"A"))*4)+((COUNTIF('Elève (3ème1)'!UD8:UF8,"B"))*3)+((COUNTIF('Elève (3ème1)'!UD8:UF8,"C"))*2)+((COUNTIF('Elève (3ème1)'!UD8:UF8,"D"))*1))/(COUNTA(UD8:UF8)),"")</f>
        <v/>
      </c>
      <c r="UH8" s="107" t="str">
        <f t="shared" si="129"/>
        <v/>
      </c>
      <c r="UI8" s="103"/>
      <c r="UJ8" s="104"/>
      <c r="UK8" s="109"/>
      <c r="UL8" s="106" t="str">
        <f>IFERROR((((COUNTIF('Elève (3ème1)'!UI8:UK8,"A"))*4)+((COUNTIF('Elève (3ème1)'!UI8:UK8,"B"))*3)+((COUNTIF('Elève (3ème1)'!UI8:UK8,"C"))*2)+((COUNTIF('Elève (3ème1)'!UI8:UK8,"D"))*1))/(COUNTA(UI8:UK8)),"")</f>
        <v/>
      </c>
      <c r="UM8" s="107" t="str">
        <f t="shared" si="130"/>
        <v/>
      </c>
      <c r="UN8" s="106" t="str">
        <f>IF(COUNT(UB8,UG8,UL8)=0,"",SUM(UB8,UG8,UL8)/COUNT(UB8,UG8,UL8))</f>
        <v/>
      </c>
      <c r="UO8" s="108" t="str">
        <f t="shared" si="131"/>
        <v/>
      </c>
      <c r="UP8" s="103"/>
      <c r="UQ8" s="104"/>
      <c r="UR8" s="105"/>
      <c r="US8" s="106" t="str">
        <f>IFERROR((((COUNTIF('Elève (3ème1)'!UP8:UR8,"A"))*4)+((COUNTIF('Elève (3ème1)'!UP8:UR8,"B"))*3)+((COUNTIF('Elève (3ème1)'!UP8:UR8,"C"))*2)+((COUNTIF('Elève (3ème1)'!UP8:UR8,"D"))*1))/(COUNTA(UP8:UR8)),"")</f>
        <v/>
      </c>
      <c r="UT8" s="107" t="str">
        <f t="shared" si="132"/>
        <v/>
      </c>
      <c r="UU8" s="103"/>
      <c r="UV8" s="104"/>
      <c r="UW8" s="105"/>
      <c r="UX8" s="106" t="str">
        <f>IFERROR((((COUNTIF('Elève (3ème1)'!UU8:UW8,"A"))*4)+((COUNTIF('Elève (3ème1)'!UU8:UW8,"B"))*3)+((COUNTIF('Elève (3ème1)'!UU8:UW8,"C"))*2)+((COUNTIF('Elève (3ème1)'!UU8:UW8,"D"))*1))/(COUNTA(UU8:UW8)),"")</f>
        <v/>
      </c>
      <c r="UY8" s="107" t="str">
        <f t="shared" si="133"/>
        <v/>
      </c>
      <c r="UZ8" s="103"/>
      <c r="VA8" s="104"/>
      <c r="VB8" s="109"/>
      <c r="VC8" s="106" t="str">
        <f>IFERROR((((COUNTIF('Elève (3ème1)'!UZ8:VB8,"A"))*4)+((COUNTIF('Elève (3ème1)'!UZ8:VB8,"B"))*3)+((COUNTIF('Elève (3ème1)'!UZ8:VB8,"C"))*2)+((COUNTIF('Elève (3ème1)'!UZ8:VB8,"D"))*1))/(COUNTA(UZ8:VB8)),"")</f>
        <v/>
      </c>
      <c r="VD8" s="107" t="str">
        <f t="shared" si="134"/>
        <v/>
      </c>
      <c r="VE8" s="106" t="str">
        <f>IF(COUNT(US8,UX8,VC8)=0,"",SUM(US8,UX8,VC8)/COUNT(US8,UX8,VC8))</f>
        <v/>
      </c>
      <c r="VF8" s="108" t="str">
        <f t="shared" si="135"/>
        <v/>
      </c>
      <c r="VG8" s="103"/>
      <c r="VH8" s="104"/>
      <c r="VI8" s="105"/>
      <c r="VJ8" s="106" t="str">
        <f>IFERROR((((COUNTIF('Elève (3ème1)'!VG8:VI8,"A"))*4)+((COUNTIF('Elève (3ème1)'!VG8:VI8,"B"))*3)+((COUNTIF('Elève (3ème1)'!VG8:VI8,"C"))*2)+((COUNTIF('Elève (3ème1)'!VG8:VI8,"D"))*1))/(COUNTA(VG8:VI8)),"")</f>
        <v/>
      </c>
      <c r="VK8" s="107" t="str">
        <f t="shared" si="136"/>
        <v/>
      </c>
      <c r="VL8" s="103"/>
      <c r="VM8" s="104"/>
      <c r="VN8" s="105"/>
      <c r="VO8" s="106" t="str">
        <f>IFERROR((((COUNTIF('Elève (3ème1)'!VL8:VN8,"A"))*4)+((COUNTIF('Elève (3ème1)'!VL8:VN8,"B"))*3)+((COUNTIF('Elève (3ème1)'!VL8:VN8,"C"))*2)+((COUNTIF('Elève (3ème1)'!VL8:VN8,"D"))*1))/(COUNTA(VL8:VN8)),"")</f>
        <v/>
      </c>
      <c r="VP8" s="107" t="str">
        <f t="shared" si="137"/>
        <v/>
      </c>
      <c r="VQ8" s="103"/>
      <c r="VR8" s="104"/>
      <c r="VS8" s="109"/>
      <c r="VT8" s="106" t="str">
        <f>IFERROR((((COUNTIF('Elève (3ème1)'!VQ8:VS8,"A"))*4)+((COUNTIF('Elève (3ème1)'!VQ8:VS8,"B"))*3)+((COUNTIF('Elève (3ème1)'!VQ8:VS8,"C"))*2)+((COUNTIF('Elève (3ème1)'!VQ8:VS8,"D"))*1))/(COUNTA(VQ8:VS8)),"")</f>
        <v/>
      </c>
      <c r="VU8" s="107" t="str">
        <f t="shared" si="138"/>
        <v/>
      </c>
      <c r="VV8" s="106" t="str">
        <f>IF(COUNT(VJ8,VO8,VT8)=0,"",SUM(VJ8,VO8,VT8)/COUNT(VJ8,VO8,VT8))</f>
        <v/>
      </c>
      <c r="VW8" s="108" t="str">
        <f t="shared" si="139"/>
        <v/>
      </c>
      <c r="VX8" s="103"/>
      <c r="VY8" s="104"/>
      <c r="VZ8" s="105"/>
      <c r="WA8" s="106" t="str">
        <f>IFERROR((((COUNTIF('Elève (3ème1)'!VX8:VZ8,"A"))*4)+((COUNTIF('Elève (3ème1)'!VX8:VZ8,"B"))*3)+((COUNTIF('Elève (3ème1)'!VX8:VZ8,"C"))*2)+((COUNTIF('Elève (3ème1)'!VX8:VZ8,"D"))*1))/(COUNTA(VX8:VZ8)),"")</f>
        <v/>
      </c>
      <c r="WB8" s="107" t="str">
        <f t="shared" si="140"/>
        <v/>
      </c>
      <c r="WC8" s="103"/>
      <c r="WD8" s="104"/>
      <c r="WE8" s="105"/>
      <c r="WF8" s="106" t="str">
        <f>IFERROR((((COUNTIF('Elève (3ème1)'!WC8:WE8,"A"))*4)+((COUNTIF('Elève (3ème1)'!WC8:WE8,"B"))*3)+((COUNTIF('Elève (3ème1)'!WC8:WE8,"C"))*2)+((COUNTIF('Elève (3ème1)'!WC8:WE8,"D"))*1))/(COUNTA(WC8:WE8)),"")</f>
        <v/>
      </c>
      <c r="WG8" s="107" t="str">
        <f t="shared" si="141"/>
        <v/>
      </c>
      <c r="WH8" s="103"/>
      <c r="WI8" s="104"/>
      <c r="WJ8" s="109"/>
      <c r="WK8" s="106" t="str">
        <f>IFERROR((((COUNTIF('Elève (3ème1)'!WH8:WJ8,"A"))*4)+((COUNTIF('Elève (3ème1)'!WH8:WJ8,"B"))*3)+((COUNTIF('Elève (3ème1)'!WH8:WJ8,"C"))*2)+((COUNTIF('Elève (3ème1)'!WH8:WJ8,"D"))*1))/(COUNTA(WH8:WJ8)),"")</f>
        <v/>
      </c>
      <c r="WL8" s="107" t="str">
        <f t="shared" si="142"/>
        <v/>
      </c>
      <c r="WM8" s="106" t="str">
        <f>IF(COUNT(WA8,WF8,WK8)=0,"",SUM(WA8,WF8,WK8)/COUNT(WA8,WF8,WK8))</f>
        <v/>
      </c>
      <c r="WN8" s="108" t="str">
        <f t="shared" si="143"/>
        <v/>
      </c>
    </row>
    <row r="9" spans="1:612" ht="18" customHeight="1" thickBot="1" x14ac:dyDescent="0.6">
      <c r="A9" s="215" t="s">
        <v>16</v>
      </c>
      <c r="B9" s="216"/>
      <c r="C9" s="110"/>
      <c r="D9" s="111" t="s">
        <v>30</v>
      </c>
      <c r="E9" s="112"/>
      <c r="F9" s="165">
        <f>IFERROR((((COUNTIF('Elève (3ème1)'!C9:E9,"A"))*4)+((COUNTIF('Elève (3ème1)'!C9:E9,"B"))*3)+((COUNTIF('Elève (3ème1)'!C9:E9,"C"))*2)+((COUNTIF('Elève (3ème1)'!C9:E9,"D"))*1))/(COUNTA(C9:E9)),"")</f>
        <v>1</v>
      </c>
      <c r="G9" s="166" t="str">
        <f t="shared" si="24"/>
        <v>D</v>
      </c>
      <c r="H9" s="110"/>
      <c r="I9" s="111"/>
      <c r="J9" s="112"/>
      <c r="K9" s="112"/>
      <c r="L9" s="165" t="str">
        <f>IFERROR((((COUNTIF('Elève (3ème1)'!H9:K9,"A"))*4)+((COUNTIF('Elève (3ème1)'!H9:K9,"B"))*3)+((COUNTIF('Elève (3ème1)'!H9:K9,"C"))*2)+((COUNTIF('Elève (3ème1)'!H9:K9,"D"))*1))/(COUNTA(H9:K9)),"")</f>
        <v/>
      </c>
      <c r="M9" s="166" t="str">
        <f t="shared" si="25"/>
        <v/>
      </c>
      <c r="N9" s="110"/>
      <c r="O9" s="111" t="s">
        <v>29</v>
      </c>
      <c r="P9" s="112"/>
      <c r="Q9" s="112"/>
      <c r="R9" s="112"/>
      <c r="S9" s="112"/>
      <c r="T9" s="165">
        <f>IFERROR((((COUNTIF('Elève (3ème1)'!N9:S9,"A"))*4)+((COUNTIF('Elève (3ème1)'!N9:S9,"B"))*3)+((COUNTIF('Elève (3ème1)'!N9:S9,"C"))*2)+((COUNTIF('Elève (3ème1)'!N9:S9,"D"))*1))/(COUNTA(N9:S9)),"")</f>
        <v>2</v>
      </c>
      <c r="U9" s="166" t="str">
        <f t="shared" si="26"/>
        <v>C</v>
      </c>
      <c r="V9" s="165">
        <f>IF(COUNT(F9,L9,T9)=0,"",SUM(F9,L9,T9)/COUNT(F9,L9,T9))</f>
        <v>1.5</v>
      </c>
      <c r="W9" s="188" t="str">
        <f t="shared" si="27"/>
        <v>D</v>
      </c>
      <c r="X9" s="110"/>
      <c r="Y9" s="111" t="s">
        <v>30</v>
      </c>
      <c r="Z9" s="112"/>
      <c r="AA9" s="165">
        <f>IFERROR((((COUNTIF('Elève (3ème1)'!X9:Z9,"A"))*4)+((COUNTIF('Elève (3ème1)'!X9:Z9,"B"))*3)+((COUNTIF('Elève (3ème1)'!X9:Z9,"C"))*2)+((COUNTIF('Elève (3ème1)'!X9:Z9,"D"))*1))/(COUNTA(X9:Z9)),"")</f>
        <v>1</v>
      </c>
      <c r="AB9" s="166" t="str">
        <f t="shared" si="28"/>
        <v>D</v>
      </c>
      <c r="AC9" s="110"/>
      <c r="AD9" s="111"/>
      <c r="AE9" s="112"/>
      <c r="AF9" s="112"/>
      <c r="AG9" s="165" t="str">
        <f>IFERROR((((COUNTIF('Elève (3ème1)'!AC9:AF9,"A"))*4)+((COUNTIF('Elève (3ème1)'!AC9:AF9,"B"))*3)+((COUNTIF('Elève (3ème1)'!AC9:AF9,"C"))*2)+((COUNTIF('Elève (3ème1)'!AC9:AF9,"D"))*1))/(COUNTA(AC9:AF9)),"")</f>
        <v/>
      </c>
      <c r="AH9" s="166" t="str">
        <f t="shared" si="29"/>
        <v/>
      </c>
      <c r="AI9" s="110"/>
      <c r="AJ9" s="111" t="s">
        <v>30</v>
      </c>
      <c r="AK9" s="112"/>
      <c r="AL9" s="112"/>
      <c r="AM9" s="112"/>
      <c r="AN9" s="116"/>
      <c r="AO9" s="165">
        <f>IFERROR((((COUNTIF('Elève (3ème1)'!AI9:AN9,"A"))*4)+((COUNTIF('Elève (3ème1)'!AI9:AN9,"B"))*3)+((COUNTIF('Elève (3ème1)'!AI9:AN9,"C"))*2)+((COUNTIF('Elève (3ème1)'!AI9:AN9,"D"))*1))/(COUNTA(AI9:AN9)),"")</f>
        <v>1</v>
      </c>
      <c r="AP9" s="166" t="str">
        <f t="shared" si="30"/>
        <v>D</v>
      </c>
      <c r="AQ9" s="165">
        <f>IF(COUNT(AA9,AG9,AO9)=0,"",SUM(AA9,AG9,AO9)/COUNT(AA9,AG9,AO9))</f>
        <v>1</v>
      </c>
      <c r="AR9" s="188" t="str">
        <f t="shared" si="31"/>
        <v>D</v>
      </c>
      <c r="AS9" s="110"/>
      <c r="AT9" s="111" t="s">
        <v>30</v>
      </c>
      <c r="AU9" s="112"/>
      <c r="AV9" s="165">
        <f>IFERROR((((COUNTIF('Elève (3ème1)'!AS9:AU9,"A"))*4)+((COUNTIF('Elève (3ème1)'!AS9:AU9,"B"))*3)+((COUNTIF('Elève (3ème1)'!AS9:AU9,"C"))*2)+((COUNTIF('Elève (3ème1)'!AS9:AU9,"D"))*1))/(COUNTA(AS9:AU9)),"")</f>
        <v>1</v>
      </c>
      <c r="AW9" s="166" t="str">
        <f t="shared" si="32"/>
        <v>D</v>
      </c>
      <c r="AX9" s="110"/>
      <c r="AY9" s="111"/>
      <c r="AZ9" s="112"/>
      <c r="BA9" s="112"/>
      <c r="BB9" s="165" t="str">
        <f>IFERROR((((COUNTIF('Elève (3ème1)'!AX9:BA9,"A"))*4)+((COUNTIF('Elève (3ème1)'!AX9:BA9,"B"))*3)+((COUNTIF('Elève (3ème1)'!AX9:BA9,"C"))*2)+((COUNTIF('Elève (3ème1)'!AX9:BA9,"D"))*1))/(COUNTA(AX9:BA9)),"")</f>
        <v/>
      </c>
      <c r="BC9" s="166" t="str">
        <f t="shared" si="33"/>
        <v/>
      </c>
      <c r="BD9" s="110"/>
      <c r="BE9" s="111" t="s">
        <v>30</v>
      </c>
      <c r="BF9" s="112"/>
      <c r="BG9" s="112"/>
      <c r="BH9" s="112"/>
      <c r="BI9" s="116"/>
      <c r="BJ9" s="165">
        <f>IFERROR((((COUNTIF('Elève (3ème1)'!BD9:BI9,"A"))*4)+((COUNTIF('Elève (3ème1)'!BD9:BI9,"B"))*3)+((COUNTIF('Elève (3ème1)'!BD9:BI9,"C"))*2)+((COUNTIF('Elève (3ème1)'!BD9:BI9,"D"))*1))/(COUNTA(BD9:BI9)),"")</f>
        <v>1</v>
      </c>
      <c r="BK9" s="166" t="str">
        <f t="shared" si="34"/>
        <v>D</v>
      </c>
      <c r="BL9" s="165">
        <f>IF(COUNT(AV9,BB9,BJ9)=0,"",SUM(AV9,BB9,BJ9)/COUNT(AV9,BB9,BJ9))</f>
        <v>1</v>
      </c>
      <c r="BM9" s="188" t="str">
        <f t="shared" si="35"/>
        <v>D</v>
      </c>
      <c r="BN9" s="110"/>
      <c r="BO9" s="111" t="s">
        <v>30</v>
      </c>
      <c r="BP9" s="112"/>
      <c r="BQ9" s="165">
        <f>IFERROR((((COUNTIF('Elève (3ème1)'!BN9:BP9,"A"))*4)+((COUNTIF('Elève (3ème1)'!BN9:BP9,"B"))*3)+((COUNTIF('Elève (3ème1)'!BN9:BP9,"C"))*2)+((COUNTIF('Elève (3ème1)'!BN9:BP9,"D"))*1))/(COUNTA(BN9:BP9)),"")</f>
        <v>1</v>
      </c>
      <c r="BR9" s="166" t="str">
        <f t="shared" si="36"/>
        <v>D</v>
      </c>
      <c r="BS9" s="110"/>
      <c r="BT9" s="111"/>
      <c r="BU9" s="112"/>
      <c r="BV9" s="112"/>
      <c r="BW9" s="165" t="str">
        <f>IFERROR((((COUNTIF('Elève (3ème1)'!BS9:BV9,"A"))*4)+((COUNTIF('Elève (3ème1)'!BS9:BV9,"B"))*3)+((COUNTIF('Elève (3ème1)'!BS9:BV9,"C"))*2)+((COUNTIF('Elève (3ème1)'!BS9:BV9,"D"))*1))/(COUNTA(BS9:BV9)),"")</f>
        <v/>
      </c>
      <c r="BX9" s="166" t="str">
        <f t="shared" si="37"/>
        <v/>
      </c>
      <c r="BY9" s="110"/>
      <c r="BZ9" s="111" t="s">
        <v>29</v>
      </c>
      <c r="CA9" s="112"/>
      <c r="CB9" s="112"/>
      <c r="CC9" s="112"/>
      <c r="CD9" s="116"/>
      <c r="CE9" s="165">
        <f>IFERROR((((COUNTIF('Elève (3ème1)'!BY9:CD9,"A"))*4)+((COUNTIF('Elève (3ème1)'!BY9:CD9,"B"))*3)+((COUNTIF('Elève (3ème1)'!BY9:CD9,"C"))*2)+((COUNTIF('Elève (3ème1)'!BY9:CD9,"D"))*1))/(COUNTA(BY9:CD9)),"")</f>
        <v>2</v>
      </c>
      <c r="CF9" s="166" t="str">
        <f t="shared" si="38"/>
        <v>C</v>
      </c>
      <c r="CG9" s="165">
        <f>IF(COUNT(BQ9,BW9,CE9)=0,"",SUM(BQ9,BW9,CE9)/COUNT(BQ9,BW9,CE9))</f>
        <v>1.5</v>
      </c>
      <c r="CH9" s="188" t="str">
        <f t="shared" si="39"/>
        <v>D</v>
      </c>
      <c r="CI9" s="110"/>
      <c r="CJ9" s="111" t="s">
        <v>30</v>
      </c>
      <c r="CK9" s="112"/>
      <c r="CL9" s="165">
        <f>IFERROR((((COUNTIF('Elève (3ème1)'!CI9:CK9,"A"))*4)+((COUNTIF('Elève (3ème1)'!CI9:CK9,"B"))*3)+((COUNTIF('Elève (3ème1)'!CI9:CK9,"C"))*2)+((COUNTIF('Elève (3ème1)'!CI9:CK9,"D"))*1))/(COUNTA(CI9:CK9)),"")</f>
        <v>1</v>
      </c>
      <c r="CM9" s="166" t="str">
        <f t="shared" si="40"/>
        <v>D</v>
      </c>
      <c r="CN9" s="110"/>
      <c r="CO9" s="111"/>
      <c r="CP9" s="112"/>
      <c r="CQ9" s="112"/>
      <c r="CR9" s="165" t="str">
        <f>IFERROR((((COUNTIF('Elève (3ème1)'!CN9:CQ9,"A"))*4)+((COUNTIF('Elève (3ème1)'!CN9:CQ9,"B"))*3)+((COUNTIF('Elève (3ème1)'!CN9:CQ9,"C"))*2)+((COUNTIF('Elève (3ème1)'!CN9:CQ9,"D"))*1))/(COUNTA(CN9:CQ9)),"")</f>
        <v/>
      </c>
      <c r="CS9" s="166" t="str">
        <f t="shared" si="41"/>
        <v/>
      </c>
      <c r="CT9" s="110"/>
      <c r="CU9" s="111" t="s">
        <v>29</v>
      </c>
      <c r="CV9" s="112"/>
      <c r="CW9" s="112"/>
      <c r="CX9" s="112"/>
      <c r="CY9" s="116"/>
      <c r="CZ9" s="165">
        <f>IFERROR((((COUNTIF('Elève (3ème1)'!CT9:CY9,"A"))*4)+((COUNTIF('Elève (3ème1)'!CT9:CY9,"B"))*3)+((COUNTIF('Elève (3ème1)'!CT9:CY9,"C"))*2)+((COUNTIF('Elève (3ème1)'!CT9:CY9,"D"))*1))/(COUNTA(CT9:CY9)),"")</f>
        <v>2</v>
      </c>
      <c r="DA9" s="166" t="str">
        <f t="shared" si="42"/>
        <v>C</v>
      </c>
      <c r="DB9" s="165">
        <f>IF(COUNT(CL9,CR9,CZ9)=0,"",SUM(CL9,CR9,CZ9)/COUNT(CL9,CR9,CZ9))</f>
        <v>1.5</v>
      </c>
      <c r="DC9" s="188" t="str">
        <f t="shared" si="43"/>
        <v>D</v>
      </c>
      <c r="DD9" s="110"/>
      <c r="DE9" s="111" t="s">
        <v>29</v>
      </c>
      <c r="DF9" s="112"/>
      <c r="DG9" s="165">
        <f>IFERROR((((COUNTIF('Elève (3ème1)'!DD9:DF9,"A"))*4)+((COUNTIF('Elève (3ème1)'!DD9:DF9,"B"))*3)+((COUNTIF('Elève (3ème1)'!DD9:DF9,"C"))*2)+((COUNTIF('Elève (3ème1)'!DD9:DF9,"D"))*1))/(COUNTA(DD9:DF9)),"")</f>
        <v>2</v>
      </c>
      <c r="DH9" s="166" t="str">
        <f t="shared" si="44"/>
        <v>C</v>
      </c>
      <c r="DI9" s="110"/>
      <c r="DJ9" s="111"/>
      <c r="DK9" s="112"/>
      <c r="DL9" s="112"/>
      <c r="DM9" s="165" t="str">
        <f>IFERROR((((COUNTIF('Elève (3ème1)'!DI9:DL9,"A"))*4)+((COUNTIF('Elève (3ème1)'!DI9:DL9,"B"))*3)+((COUNTIF('Elève (3ème1)'!DI9:DL9,"C"))*2)+((COUNTIF('Elève (3ème1)'!DI9:DL9,"D"))*1))/(COUNTA(DI9:DL9)),"")</f>
        <v/>
      </c>
      <c r="DN9" s="166" t="str">
        <f t="shared" si="45"/>
        <v/>
      </c>
      <c r="DO9" s="110"/>
      <c r="DP9" s="111" t="s">
        <v>28</v>
      </c>
      <c r="DQ9" s="112"/>
      <c r="DR9" s="112"/>
      <c r="DS9" s="112"/>
      <c r="DT9" s="116"/>
      <c r="DU9" s="165">
        <f>IFERROR((((COUNTIF('Elève (3ème1)'!DO9:DT9,"A"))*4)+((COUNTIF('Elève (3ème1)'!DO9:DT9,"B"))*3)+((COUNTIF('Elève (3ème1)'!DO9:DT9,"C"))*2)+((COUNTIF('Elève (3ème1)'!DO9:DT9,"D"))*1))/(COUNTA(DO9:DT9)),"")</f>
        <v>3</v>
      </c>
      <c r="DV9" s="166" t="str">
        <f t="shared" si="46"/>
        <v>B</v>
      </c>
      <c r="DW9" s="165">
        <f>IF(COUNT(DG9,DM9,DU9)=0,"",SUM(DG9,DM9,DU9)/COUNT(DG9,DM9,DU9))</f>
        <v>2.5</v>
      </c>
      <c r="DX9" s="188" t="str">
        <f t="shared" si="47"/>
        <v>C</v>
      </c>
      <c r="DY9" s="110"/>
      <c r="DZ9" s="111" t="s">
        <v>29</v>
      </c>
      <c r="EA9" s="112"/>
      <c r="EB9" s="165">
        <f>IFERROR((((COUNTIF('Elève (3ème1)'!DY9:EA9,"A"))*4)+((COUNTIF('Elève (3ème1)'!DY9:EA9,"B"))*3)+((COUNTIF('Elève (3ème1)'!DY9:EA9,"C"))*2)+((COUNTIF('Elève (3ème1)'!DY9:EA9,"D"))*1))/(COUNTA(DY9:EA9)),"")</f>
        <v>2</v>
      </c>
      <c r="EC9" s="166" t="str">
        <f t="shared" si="48"/>
        <v>C</v>
      </c>
      <c r="ED9" s="110"/>
      <c r="EE9" s="111"/>
      <c r="EF9" s="112"/>
      <c r="EG9" s="112"/>
      <c r="EH9" s="165" t="str">
        <f>IFERROR((((COUNTIF('Elève (3ème1)'!ED9:EG9,"A"))*4)+((COUNTIF('Elève (3ème1)'!ED9:EG9,"B"))*3)+((COUNTIF('Elève (3ème1)'!ED9:EG9,"C"))*2)+((COUNTIF('Elève (3ème1)'!ED9:EG9,"D"))*1))/(COUNTA(ED9:EG9)),"")</f>
        <v/>
      </c>
      <c r="EI9" s="166" t="str">
        <f t="shared" si="49"/>
        <v/>
      </c>
      <c r="EJ9" s="110"/>
      <c r="EK9" s="111" t="s">
        <v>28</v>
      </c>
      <c r="EL9" s="112"/>
      <c r="EM9" s="112"/>
      <c r="EN9" s="112"/>
      <c r="EO9" s="116"/>
      <c r="EP9" s="165">
        <f>IFERROR((((COUNTIF('Elève (3ème1)'!EJ9:EO9,"A"))*4)+((COUNTIF('Elève (3ème1)'!EJ9:EO9,"B"))*3)+((COUNTIF('Elève (3ème1)'!EJ9:EO9,"C"))*2)+((COUNTIF('Elève (3ème1)'!EJ9:EO9,"D"))*1))/(COUNTA(EJ9:EO9)),"")</f>
        <v>3</v>
      </c>
      <c r="EQ9" s="166" t="str">
        <f t="shared" si="50"/>
        <v>B</v>
      </c>
      <c r="ER9" s="165">
        <f>IF(COUNT(EB9,EH9,EP9)=0,"",SUM(EB9,EH9,EP9)/COUNT(EB9,EH9,EP9))</f>
        <v>2.5</v>
      </c>
      <c r="ES9" s="188" t="str">
        <f t="shared" si="51"/>
        <v>C</v>
      </c>
      <c r="ET9" s="110"/>
      <c r="EU9" s="111" t="s">
        <v>30</v>
      </c>
      <c r="EV9" s="112"/>
      <c r="EW9" s="165">
        <f>IFERROR((((COUNTIF('Elève (3ème1)'!ET9:EV9,"A"))*4)+((COUNTIF('Elève (3ème1)'!ET9:EV9,"B"))*3)+((COUNTIF('Elève (3ème1)'!ET9:EV9,"C"))*2)+((COUNTIF('Elève (3ème1)'!ET9:EV9,"D"))*1))/(COUNTA(ET9:EV9)),"")</f>
        <v>1</v>
      </c>
      <c r="EX9" s="166" t="str">
        <f t="shared" si="52"/>
        <v>D</v>
      </c>
      <c r="EY9" s="110"/>
      <c r="EZ9" s="111"/>
      <c r="FA9" s="112"/>
      <c r="FB9" s="112"/>
      <c r="FC9" s="165" t="str">
        <f>IFERROR((((COUNTIF('Elève (3ème1)'!EY9:FB9,"A"))*4)+((COUNTIF('Elève (3ème1)'!EY9:FB9,"B"))*3)+((COUNTIF('Elève (3ème1)'!EY9:FB9,"C"))*2)+((COUNTIF('Elève (3ème1)'!EY9:FB9,"D"))*1))/(COUNTA(EY9:FB9)),"")</f>
        <v/>
      </c>
      <c r="FD9" s="166" t="str">
        <f t="shared" si="53"/>
        <v/>
      </c>
      <c r="FE9" s="110"/>
      <c r="FF9" s="111" t="s">
        <v>30</v>
      </c>
      <c r="FG9" s="112"/>
      <c r="FH9" s="112"/>
      <c r="FI9" s="112"/>
      <c r="FJ9" s="116"/>
      <c r="FK9" s="165">
        <f>IFERROR((((COUNTIF('Elève (3ème1)'!FE9:FJ9,"A"))*4)+((COUNTIF('Elève (3ème1)'!FE9:FJ9,"B"))*3)+((COUNTIF('Elève (3ème1)'!FE9:FJ9,"C"))*2)+((COUNTIF('Elève (3ème1)'!FE9:FJ9,"D"))*1))/(COUNTA(FE9:FJ9)),"")</f>
        <v>1</v>
      </c>
      <c r="FL9" s="166" t="str">
        <f t="shared" si="54"/>
        <v>D</v>
      </c>
      <c r="FM9" s="165">
        <f>IF(COUNT(EW9,FC9,FK9)=0,"",SUM(EW9,FC9,FK9)/COUNT(EW9,FC9,FK9))</f>
        <v>1</v>
      </c>
      <c r="FN9" s="188" t="str">
        <f t="shared" si="55"/>
        <v>D</v>
      </c>
      <c r="FO9" s="110"/>
      <c r="FP9" s="111" t="s">
        <v>30</v>
      </c>
      <c r="FQ9" s="112"/>
      <c r="FR9" s="165">
        <f>IFERROR((((COUNTIF('Elève (3ème1)'!FO9:FQ9,"A"))*4)+((COUNTIF('Elève (3ème1)'!FO9:FQ9,"B"))*3)+((COUNTIF('Elève (3ème1)'!FO9:FQ9,"C"))*2)+((COUNTIF('Elève (3ème1)'!FO9:FQ9,"D"))*1))/(COUNTA(FO9:FQ9)),"")</f>
        <v>1</v>
      </c>
      <c r="FS9" s="166" t="str">
        <f t="shared" si="56"/>
        <v>D</v>
      </c>
      <c r="FT9" s="110"/>
      <c r="FU9" s="111"/>
      <c r="FV9" s="112"/>
      <c r="FW9" s="112"/>
      <c r="FX9" s="165" t="str">
        <f>IFERROR((((COUNTIF('Elève (3ème1)'!FT9:FW9,"A"))*4)+((COUNTIF('Elève (3ème1)'!FT9:FW9,"B"))*3)+((COUNTIF('Elève (3ème1)'!FT9:FW9,"C"))*2)+((COUNTIF('Elève (3ème1)'!FT9:FW9,"D"))*1))/(COUNTA(FT9:FW9)),"")</f>
        <v/>
      </c>
      <c r="FY9" s="166" t="str">
        <f t="shared" si="57"/>
        <v/>
      </c>
      <c r="FZ9" s="110"/>
      <c r="GA9" s="111" t="s">
        <v>30</v>
      </c>
      <c r="GB9" s="112"/>
      <c r="GC9" s="112"/>
      <c r="GD9" s="112"/>
      <c r="GE9" s="116"/>
      <c r="GF9" s="165">
        <f>IFERROR((((COUNTIF('Elève (3ème1)'!FZ9:GE9,"A"))*4)+((COUNTIF('Elève (3ème1)'!FZ9:GE9,"B"))*3)+((COUNTIF('Elève (3ème1)'!FZ9:GE9,"C"))*2)+((COUNTIF('Elève (3ème1)'!FZ9:GE9,"D"))*1))/(COUNTA(FZ9:GE9)),"")</f>
        <v>1</v>
      </c>
      <c r="GG9" s="166" t="str">
        <f t="shared" si="58"/>
        <v>D</v>
      </c>
      <c r="GH9" s="165">
        <f>IF(COUNT(FR9,FX9,GF9)=0,"",SUM(FR9,FX9,GF9)/COUNT(FR9,FX9,GF9))</f>
        <v>1</v>
      </c>
      <c r="GI9" s="188" t="str">
        <f t="shared" si="59"/>
        <v>D</v>
      </c>
      <c r="GJ9" s="110"/>
      <c r="GK9" s="111" t="s">
        <v>30</v>
      </c>
      <c r="GL9" s="112"/>
      <c r="GM9" s="165">
        <f>IFERROR((((COUNTIF('Elève (3ème1)'!GJ9:GL9,"A"))*4)+((COUNTIF('Elève (3ème1)'!GJ9:GL9,"B"))*3)+((COUNTIF('Elève (3ème1)'!GJ9:GL9,"C"))*2)+((COUNTIF('Elève (3ème1)'!GJ9:GL9,"D"))*1))/(COUNTA(GJ9:GL9)),"")</f>
        <v>1</v>
      </c>
      <c r="GN9" s="166" t="str">
        <f t="shared" si="60"/>
        <v>D</v>
      </c>
      <c r="GO9" s="110"/>
      <c r="GP9" s="111"/>
      <c r="GQ9" s="112"/>
      <c r="GR9" s="112"/>
      <c r="GS9" s="165" t="str">
        <f>IFERROR((((COUNTIF('Elève (3ème1)'!GO9:GR9,"A"))*4)+((COUNTIF('Elève (3ème1)'!GO9:GR9,"B"))*3)+((COUNTIF('Elève (3ème1)'!GO9:GR9,"C"))*2)+((COUNTIF('Elève (3ème1)'!GO9:GR9,"D"))*1))/(COUNTA(GO9:GR9)),"")</f>
        <v/>
      </c>
      <c r="GT9" s="166" t="str">
        <f t="shared" si="61"/>
        <v/>
      </c>
      <c r="GU9" s="110"/>
      <c r="GV9" s="111" t="s">
        <v>30</v>
      </c>
      <c r="GW9" s="112"/>
      <c r="GX9" s="112"/>
      <c r="GY9" s="112"/>
      <c r="GZ9" s="116"/>
      <c r="HA9" s="165">
        <f>IFERROR((((COUNTIF('Elève (3ème1)'!GU9:GZ9,"A"))*4)+((COUNTIF('Elève (3ème1)'!GU9:GZ9,"B"))*3)+((COUNTIF('Elève (3ème1)'!GU9:GZ9,"C"))*2)+((COUNTIF('Elève (3ème1)'!GU9:GZ9,"D"))*1))/(COUNTA(GU9:GZ9)),"")</f>
        <v>1</v>
      </c>
      <c r="HB9" s="166" t="str">
        <f t="shared" si="62"/>
        <v>D</v>
      </c>
      <c r="HC9" s="165">
        <f>IF(COUNT(GM9,GS9,HA9)=0,"",SUM(GM9,GS9,HA9)/COUNT(GM9,GS9,HA9))</f>
        <v>1</v>
      </c>
      <c r="HD9" s="188" t="str">
        <f t="shared" si="63"/>
        <v>D</v>
      </c>
      <c r="HE9" s="110"/>
      <c r="HF9" s="111" t="s">
        <v>30</v>
      </c>
      <c r="HG9" s="112"/>
      <c r="HH9" s="165">
        <f>IFERROR((((COUNTIF('Elève (3ème1)'!HE9:HG9,"A"))*4)+((COUNTIF('Elève (3ème1)'!HE9:HG9,"B"))*3)+((COUNTIF('Elève (3ème1)'!HE9:HG9,"C"))*2)+((COUNTIF('Elève (3ème1)'!HE9:HG9,"D"))*1))/(COUNTA(HE9:HG9)),"")</f>
        <v>1</v>
      </c>
      <c r="HI9" s="166" t="str">
        <f t="shared" si="64"/>
        <v>D</v>
      </c>
      <c r="HJ9" s="110"/>
      <c r="HK9" s="111"/>
      <c r="HL9" s="112"/>
      <c r="HM9" s="112"/>
      <c r="HN9" s="165" t="str">
        <f>IFERROR((((COUNTIF('Elève (3ème1)'!HJ9:HM9,"A"))*4)+((COUNTIF('Elève (3ème1)'!HJ9:HM9,"B"))*3)+((COUNTIF('Elève (3ème1)'!HJ9:HM9,"C"))*2)+((COUNTIF('Elève (3ème1)'!HJ9:HM9,"D"))*1))/(COUNTA(HJ9:HM9)),"")</f>
        <v/>
      </c>
      <c r="HO9" s="166" t="str">
        <f t="shared" si="65"/>
        <v/>
      </c>
      <c r="HP9" s="110"/>
      <c r="HQ9" s="111" t="s">
        <v>29</v>
      </c>
      <c r="HR9" s="112"/>
      <c r="HS9" s="112"/>
      <c r="HT9" s="112"/>
      <c r="HU9" s="116"/>
      <c r="HV9" s="165">
        <f>IFERROR((((COUNTIF('Elève (3ème1)'!HP9:HU9,"A"))*4)+((COUNTIF('Elève (3ème1)'!HP9:HU9,"B"))*3)+((COUNTIF('Elève (3ème1)'!HP9:HU9,"C"))*2)+((COUNTIF('Elève (3ème1)'!HP9:HU9,"D"))*1))/(COUNTA(HP9:HU9)),"")</f>
        <v>2</v>
      </c>
      <c r="HW9" s="166" t="str">
        <f t="shared" si="66"/>
        <v>C</v>
      </c>
      <c r="HX9" s="165">
        <f>IF(COUNT(HH9,HN9,HV9)=0,"",SUM(HH9,HN9,HV9)/COUNT(HH9,HN9,HV9))</f>
        <v>1.5</v>
      </c>
      <c r="HY9" s="188" t="str">
        <f t="shared" si="67"/>
        <v>D</v>
      </c>
      <c r="HZ9" s="110"/>
      <c r="IA9" s="111" t="s">
        <v>30</v>
      </c>
      <c r="IB9" s="112"/>
      <c r="IC9" s="165">
        <f>IFERROR((((COUNTIF('Elève (3ème1)'!HZ9:IB9,"A"))*4)+((COUNTIF('Elève (3ème1)'!HZ9:IB9,"B"))*3)+((COUNTIF('Elève (3ème1)'!HZ9:IB9,"C"))*2)+((COUNTIF('Elève (3ème1)'!HZ9:IB9,"D"))*1))/(COUNTA(HZ9:IB9)),"")</f>
        <v>1</v>
      </c>
      <c r="ID9" s="166" t="str">
        <f t="shared" si="68"/>
        <v>D</v>
      </c>
      <c r="IE9" s="110"/>
      <c r="IF9" s="111"/>
      <c r="IG9" s="112"/>
      <c r="IH9" s="112"/>
      <c r="II9" s="165" t="str">
        <f>IFERROR((((COUNTIF('Elève (3ème1)'!IE9:IH9,"A"))*4)+((COUNTIF('Elève (3ème1)'!IE9:IH9,"B"))*3)+((COUNTIF('Elève (3ème1)'!IE9:IH9,"C"))*2)+((COUNTIF('Elève (3ème1)'!IE9:IH9,"D"))*1))/(COUNTA(IE9:IH9)),"")</f>
        <v/>
      </c>
      <c r="IJ9" s="166" t="str">
        <f t="shared" si="69"/>
        <v/>
      </c>
      <c r="IK9" s="110"/>
      <c r="IL9" s="111" t="s">
        <v>29</v>
      </c>
      <c r="IM9" s="112"/>
      <c r="IN9" s="112"/>
      <c r="IO9" s="112"/>
      <c r="IP9" s="116"/>
      <c r="IQ9" s="165">
        <f>IFERROR((((COUNTIF('Elève (3ème1)'!IK9:IP9,"A"))*4)+((COUNTIF('Elève (3ème1)'!IK9:IP9,"B"))*3)+((COUNTIF('Elève (3ème1)'!IK9:IP9,"C"))*2)+((COUNTIF('Elève (3ème1)'!IK9:IP9,"D"))*1))/(COUNTA(IK9:IP9)),"")</f>
        <v>2</v>
      </c>
      <c r="IR9" s="166" t="str">
        <f t="shared" si="70"/>
        <v>C</v>
      </c>
      <c r="IS9" s="165">
        <f>IF(COUNT(IC9,II9,IQ9)=0,"",SUM(IC9,II9,IQ9)/COUNT(IC9,II9,IQ9))</f>
        <v>1.5</v>
      </c>
      <c r="IT9" s="188" t="str">
        <f t="shared" si="71"/>
        <v>D</v>
      </c>
      <c r="IU9" s="110"/>
      <c r="IV9" s="111" t="s">
        <v>29</v>
      </c>
      <c r="IW9" s="112"/>
      <c r="IX9" s="165">
        <f>IFERROR((((COUNTIF('Elève (3ème1)'!IU9:IW9,"A"))*4)+((COUNTIF('Elève (3ème1)'!IU9:IW9,"B"))*3)+((COUNTIF('Elève (3ème1)'!IU9:IW9,"C"))*2)+((COUNTIF('Elève (3ème1)'!IU9:IW9,"D"))*1))/(COUNTA(IU9:IW9)),"")</f>
        <v>2</v>
      </c>
      <c r="IY9" s="166" t="str">
        <f t="shared" si="72"/>
        <v>C</v>
      </c>
      <c r="IZ9" s="110"/>
      <c r="JA9" s="111"/>
      <c r="JB9" s="112"/>
      <c r="JC9" s="112"/>
      <c r="JD9" s="165" t="str">
        <f>IFERROR((((COUNTIF('Elève (3ème1)'!IZ9:JC9,"A"))*4)+((COUNTIF('Elève (3ème1)'!IZ9:JC9,"B"))*3)+((COUNTIF('Elève (3ème1)'!IZ9:JC9,"C"))*2)+((COUNTIF('Elève (3ème1)'!IZ9:JC9,"D"))*1))/(COUNTA(IZ9:JC9)),"")</f>
        <v/>
      </c>
      <c r="JE9" s="166" t="str">
        <f t="shared" si="73"/>
        <v/>
      </c>
      <c r="JF9" s="110"/>
      <c r="JG9" s="111" t="s">
        <v>28</v>
      </c>
      <c r="JH9" s="112"/>
      <c r="JI9" s="112"/>
      <c r="JJ9" s="112"/>
      <c r="JK9" s="116"/>
      <c r="JL9" s="165">
        <f>IFERROR((((COUNTIF('Elève (3ème1)'!JF9:JK9,"A"))*4)+((COUNTIF('Elève (3ème1)'!JF9:JK9,"B"))*3)+((COUNTIF('Elève (3ème1)'!JF9:JK9,"C"))*2)+((COUNTIF('Elève (3ème1)'!JF9:JK9,"D"))*1))/(COUNTA(JF9:JK9)),"")</f>
        <v>3</v>
      </c>
      <c r="JM9" s="166" t="str">
        <f t="shared" si="74"/>
        <v>B</v>
      </c>
      <c r="JN9" s="165">
        <f>IF(COUNT(IX9,JD9,JL9)=0,"",SUM(IX9,JD9,JL9)/COUNT(IX9,JD9,JL9))</f>
        <v>2.5</v>
      </c>
      <c r="JO9" s="188" t="str">
        <f t="shared" si="75"/>
        <v>C</v>
      </c>
      <c r="JP9" s="110"/>
      <c r="JQ9" s="111" t="s">
        <v>29</v>
      </c>
      <c r="JR9" s="112"/>
      <c r="JS9" s="165">
        <f>IFERROR((((COUNTIF('Elève (3ème1)'!JP9:JR9,"A"))*4)+((COUNTIF('Elève (3ème1)'!JP9:JR9,"B"))*3)+((COUNTIF('Elève (3ème1)'!JP9:JR9,"C"))*2)+((COUNTIF('Elève (3ème1)'!JP9:JR9,"D"))*1))/(COUNTA(JP9:JR9)),"")</f>
        <v>2</v>
      </c>
      <c r="JT9" s="166" t="str">
        <f t="shared" si="76"/>
        <v>C</v>
      </c>
      <c r="JU9" s="110"/>
      <c r="JV9" s="111"/>
      <c r="JW9" s="112"/>
      <c r="JX9" s="112"/>
      <c r="JY9" s="165" t="str">
        <f>IFERROR((((COUNTIF('Elève (3ème1)'!JU9:JX9,"A"))*4)+((COUNTIF('Elève (3ème1)'!JU9:JX9,"B"))*3)+((COUNTIF('Elève (3ème1)'!JU9:JX9,"C"))*2)+((COUNTIF('Elève (3ème1)'!JU9:JX9,"D"))*1))/(COUNTA(JU9:JX9)),"")</f>
        <v/>
      </c>
      <c r="JZ9" s="166" t="str">
        <f t="shared" si="77"/>
        <v/>
      </c>
      <c r="KA9" s="110"/>
      <c r="KB9" s="111" t="s">
        <v>30</v>
      </c>
      <c r="KC9" s="112"/>
      <c r="KD9" s="112"/>
      <c r="KE9" s="112"/>
      <c r="KF9" s="116"/>
      <c r="KG9" s="165">
        <f>IFERROR((((COUNTIF('Elève (3ème1)'!KA9:KF9,"A"))*4)+((COUNTIF('Elève (3ème1)'!KA9:KF9,"B"))*3)+((COUNTIF('Elève (3ème1)'!KA9:KF9,"C"))*2)+((COUNTIF('Elève (3ème1)'!KA9:KF9,"D"))*1))/(COUNTA(KA9:KF9)),"")</f>
        <v>1</v>
      </c>
      <c r="KH9" s="166" t="str">
        <f t="shared" si="78"/>
        <v>D</v>
      </c>
      <c r="KI9" s="165">
        <f>IF(COUNT(JS9,JY9,KG9)=0,"",SUM(JS9,JY9,KG9)/COUNT(JS9,JY9,KG9))</f>
        <v>1.5</v>
      </c>
      <c r="KJ9" s="188" t="str">
        <f t="shared" si="79"/>
        <v>D</v>
      </c>
      <c r="KK9" s="110"/>
      <c r="KL9" s="111" t="s">
        <v>30</v>
      </c>
      <c r="KM9" s="112"/>
      <c r="KN9" s="165">
        <f>IFERROR((((COUNTIF('Elève (3ème1)'!KK9:KM9,"A"))*4)+((COUNTIF('Elève (3ème1)'!KK9:KM9,"B"))*3)+((COUNTIF('Elève (3ème1)'!KK9:KM9,"C"))*2)+((COUNTIF('Elève (3ème1)'!KK9:KM9,"D"))*1))/(COUNTA(KK9:KM9)),"")</f>
        <v>1</v>
      </c>
      <c r="KO9" s="166" t="str">
        <f t="shared" si="80"/>
        <v>D</v>
      </c>
      <c r="KP9" s="110"/>
      <c r="KQ9" s="111"/>
      <c r="KR9" s="112"/>
      <c r="KS9" s="112"/>
      <c r="KT9" s="165" t="str">
        <f>IFERROR((((COUNTIF('Elève (3ème1)'!KP9:KS9,"A"))*4)+((COUNTIF('Elève (3ème1)'!KP9:KS9,"B"))*3)+((COUNTIF('Elève (3ème1)'!KP9:KS9,"C"))*2)+((COUNTIF('Elève (3ème1)'!KP9:KS9,"D"))*1))/(COUNTA(KP9:KS9)),"")</f>
        <v/>
      </c>
      <c r="KU9" s="166" t="str">
        <f t="shared" si="81"/>
        <v/>
      </c>
      <c r="KV9" s="110"/>
      <c r="KW9" s="111" t="s">
        <v>29</v>
      </c>
      <c r="KX9" s="112"/>
      <c r="KY9" s="112"/>
      <c r="KZ9" s="112"/>
      <c r="LA9" s="116"/>
      <c r="LB9" s="165">
        <f>IFERROR((((COUNTIF('Elève (3ème1)'!KV9:LA9,"A"))*4)+((COUNTIF('Elève (3ème1)'!KV9:LA9,"B"))*3)+((COUNTIF('Elève (3ème1)'!KV9:LA9,"C"))*2)+((COUNTIF('Elève (3ème1)'!KV9:LA9,"D"))*1))/(COUNTA(KV9:LA9)),"")</f>
        <v>2</v>
      </c>
      <c r="LC9" s="166" t="str">
        <f t="shared" si="82"/>
        <v>C</v>
      </c>
      <c r="LD9" s="165">
        <f>IF(COUNT(KN9,KT9,LB9)=0,"",SUM(KN9,KT9,LB9)/COUNT(KN9,KT9,LB9))</f>
        <v>1.5</v>
      </c>
      <c r="LE9" s="188" t="str">
        <f t="shared" si="83"/>
        <v>D</v>
      </c>
      <c r="LF9" s="110"/>
      <c r="LG9" s="111" t="s">
        <v>30</v>
      </c>
      <c r="LH9" s="112"/>
      <c r="LI9" s="165">
        <f>IFERROR((((COUNTIF('Elève (3ème1)'!LF9:LH9,"A"))*4)+((COUNTIF('Elève (3ème1)'!LF9:LH9,"B"))*3)+((COUNTIF('Elève (3ème1)'!LF9:LH9,"C"))*2)+((COUNTIF('Elève (3ème1)'!LF9:LH9,"D"))*1))/(COUNTA(LF9:LH9)),"")</f>
        <v>1</v>
      </c>
      <c r="LJ9" s="166" t="str">
        <f t="shared" si="84"/>
        <v>D</v>
      </c>
      <c r="LK9" s="110"/>
      <c r="LL9" s="111"/>
      <c r="LM9" s="112"/>
      <c r="LN9" s="112"/>
      <c r="LO9" s="165" t="str">
        <f>IFERROR((((COUNTIF('Elève (3ème1)'!LK9:LN9,"A"))*4)+((COUNTIF('Elève (3ème1)'!LK9:LN9,"B"))*3)+((COUNTIF('Elève (3ème1)'!LK9:LN9,"C"))*2)+((COUNTIF('Elève (3ème1)'!LK9:LN9,"D"))*1))/(COUNTA(LK9:LN9)),"")</f>
        <v/>
      </c>
      <c r="LP9" s="166" t="str">
        <f t="shared" si="85"/>
        <v/>
      </c>
      <c r="LQ9" s="110"/>
      <c r="LR9" s="111" t="s">
        <v>30</v>
      </c>
      <c r="LS9" s="112"/>
      <c r="LT9" s="112"/>
      <c r="LU9" s="112"/>
      <c r="LV9" s="116"/>
      <c r="LW9" s="165">
        <f>IFERROR((((COUNTIF('Elève (3ème1)'!LQ9:LV9,"A"))*4)+((COUNTIF('Elève (3ème1)'!LQ9:LV9,"B"))*3)+((COUNTIF('Elève (3ème1)'!LQ9:LV9,"C"))*2)+((COUNTIF('Elève (3ème1)'!LQ9:LV9,"D"))*1))/(COUNTA(LQ9:LV9)),"")</f>
        <v>1</v>
      </c>
      <c r="LX9" s="166" t="str">
        <f t="shared" si="86"/>
        <v>D</v>
      </c>
      <c r="LY9" s="165">
        <f>IF(COUNT(LI9,LO9,LW9)=0,"",SUM(LI9,LO9,LW9)/COUNT(LI9,LO9,LW9))</f>
        <v>1</v>
      </c>
      <c r="LZ9" s="188" t="str">
        <f t="shared" si="87"/>
        <v>D</v>
      </c>
      <c r="MA9" s="110"/>
      <c r="MB9" s="111" t="s">
        <v>29</v>
      </c>
      <c r="MC9" s="112"/>
      <c r="MD9" s="165">
        <f>IFERROR((((COUNTIF('Elève (3ème1)'!MA9:MC9,"A"))*4)+((COUNTIF('Elève (3ème1)'!MA9:MC9,"B"))*3)+((COUNTIF('Elève (3ème1)'!MA9:MC9,"C"))*2)+((COUNTIF('Elève (3ème1)'!MA9:MC9,"D"))*1))/(COUNTA(MA9:MC9)),"")</f>
        <v>2</v>
      </c>
      <c r="ME9" s="166" t="str">
        <f t="shared" si="88"/>
        <v>C</v>
      </c>
      <c r="MF9" s="110"/>
      <c r="MG9" s="111"/>
      <c r="MH9" s="112"/>
      <c r="MI9" s="112"/>
      <c r="MJ9" s="165" t="str">
        <f>IFERROR((((COUNTIF('Elève (3ème1)'!MF9:MI9,"A"))*4)+((COUNTIF('Elève (3ème1)'!MF9:MI9,"B"))*3)+((COUNTIF('Elève (3ème1)'!MF9:MI9,"C"))*2)+((COUNTIF('Elève (3ème1)'!MF9:MI9,"D"))*1))/(COUNTA(MF9:MI9)),"")</f>
        <v/>
      </c>
      <c r="MK9" s="166" t="str">
        <f t="shared" si="89"/>
        <v/>
      </c>
      <c r="ML9" s="110"/>
      <c r="MM9" s="111" t="s">
        <v>30</v>
      </c>
      <c r="MN9" s="112"/>
      <c r="MO9" s="112"/>
      <c r="MP9" s="112"/>
      <c r="MQ9" s="116"/>
      <c r="MR9" s="165">
        <f>IFERROR((((COUNTIF('Elève (3ème1)'!ML9:MQ9,"A"))*4)+((COUNTIF('Elève (3ème1)'!ML9:MQ9,"B"))*3)+((COUNTIF('Elève (3ème1)'!ML9:MQ9,"C"))*2)+((COUNTIF('Elève (3ème1)'!ML9:MQ9,"D"))*1))/(COUNTA(ML9:MQ9)),"")</f>
        <v>1</v>
      </c>
      <c r="MS9" s="166" t="str">
        <f t="shared" si="90"/>
        <v>D</v>
      </c>
      <c r="MT9" s="165">
        <f>IF(COUNT(MD9,MJ9,MR9)=0,"",SUM(MD9,MJ9,MR9)/COUNT(MD9,MJ9,MR9))</f>
        <v>1.5</v>
      </c>
      <c r="MU9" s="188" t="str">
        <f t="shared" si="91"/>
        <v>D</v>
      </c>
      <c r="MV9" s="110"/>
      <c r="MW9" s="111" t="s">
        <v>30</v>
      </c>
      <c r="MX9" s="112"/>
      <c r="MY9" s="165">
        <f>IFERROR((((COUNTIF('Elève (3ème1)'!MV9:MX9,"A"))*4)+((COUNTIF('Elève (3ème1)'!MV9:MX9,"B"))*3)+((COUNTIF('Elève (3ème1)'!MV9:MX9,"C"))*2)+((COUNTIF('Elève (3ème1)'!MV9:MX9,"D"))*1))/(COUNTA(MV9:MX9)),"")</f>
        <v>1</v>
      </c>
      <c r="MZ9" s="166" t="str">
        <f t="shared" si="92"/>
        <v>D</v>
      </c>
      <c r="NA9" s="110"/>
      <c r="NB9" s="111"/>
      <c r="NC9" s="112"/>
      <c r="ND9" s="112"/>
      <c r="NE9" s="165" t="str">
        <f>IFERROR((((COUNTIF('Elève (3ème1)'!NA9:ND9,"A"))*4)+((COUNTIF('Elève (3ème1)'!NA9:ND9,"B"))*3)+((COUNTIF('Elève (3ème1)'!NA9:ND9,"C"))*2)+((COUNTIF('Elève (3ème1)'!NA9:ND9,"D"))*1))/(COUNTA(NA9:ND9)),"")</f>
        <v/>
      </c>
      <c r="NF9" s="166" t="str">
        <f t="shared" si="93"/>
        <v/>
      </c>
      <c r="NG9" s="110"/>
      <c r="NH9" s="111" t="s">
        <v>30</v>
      </c>
      <c r="NI9" s="112"/>
      <c r="NJ9" s="112"/>
      <c r="NK9" s="112"/>
      <c r="NL9" s="116"/>
      <c r="NM9" s="165">
        <f>IFERROR((((COUNTIF('Elève (3ème1)'!NG9:NL9,"A"))*4)+((COUNTIF('Elève (3ème1)'!NG9:NL9,"B"))*3)+((COUNTIF('Elève (3ème1)'!NG9:NL9,"C"))*2)+((COUNTIF('Elève (3ème1)'!NG9:NL9,"D"))*1))/(COUNTA(NG9:NL9)),"")</f>
        <v>1</v>
      </c>
      <c r="NN9" s="166" t="str">
        <f t="shared" si="94"/>
        <v>D</v>
      </c>
      <c r="NO9" s="165">
        <f>IF(COUNT(MY9,NE9,NM9)=0,"",SUM(MY9,NE9,NM9)/COUNT(MY9,NE9,NM9))</f>
        <v>1</v>
      </c>
      <c r="NP9" s="188" t="str">
        <f t="shared" si="95"/>
        <v>D</v>
      </c>
      <c r="NQ9" s="110"/>
      <c r="NR9" s="111" t="s">
        <v>30</v>
      </c>
      <c r="NS9" s="112"/>
      <c r="NT9" s="165">
        <f>IFERROR((((COUNTIF('Elève (3ème1)'!NQ9:NS9,"A"))*4)+((COUNTIF('Elève (3ème1)'!NQ9:NS9,"B"))*3)+((COUNTIF('Elève (3ème1)'!NQ9:NS9,"C"))*2)+((COUNTIF('Elève (3ème1)'!NQ9:NS9,"D"))*1))/(COUNTA(NQ9:NS9)),"")</f>
        <v>1</v>
      </c>
      <c r="NU9" s="166" t="str">
        <f t="shared" si="96"/>
        <v>D</v>
      </c>
      <c r="NV9" s="110"/>
      <c r="NW9" s="111"/>
      <c r="NX9" s="112"/>
      <c r="NY9" s="112"/>
      <c r="NZ9" s="165" t="str">
        <f>IFERROR((((COUNTIF('Elève (3ème1)'!NV9:NY9,"A"))*4)+((COUNTIF('Elève (3ème1)'!NV9:NY9,"B"))*3)+((COUNTIF('Elève (3ème1)'!NV9:NY9,"C"))*2)+((COUNTIF('Elève (3ème1)'!NV9:NY9,"D"))*1))/(COUNTA(NV9:NY9)),"")</f>
        <v/>
      </c>
      <c r="OA9" s="166" t="str">
        <f t="shared" si="97"/>
        <v/>
      </c>
      <c r="OB9" s="110"/>
      <c r="OC9" s="111" t="s">
        <v>30</v>
      </c>
      <c r="OD9" s="112"/>
      <c r="OE9" s="112"/>
      <c r="OF9" s="112"/>
      <c r="OG9" s="116"/>
      <c r="OH9" s="165">
        <f>IFERROR((((COUNTIF('Elève (3ème1)'!OB9:OG9,"A"))*4)+((COUNTIF('Elève (3ème1)'!OB9:OG9,"B"))*3)+((COUNTIF('Elève (3ème1)'!OB9:OG9,"C"))*2)+((COUNTIF('Elève (3ème1)'!OB9:OG9,"D"))*1))/(COUNTA(OB9:OG9)),"")</f>
        <v>1</v>
      </c>
      <c r="OI9" s="166" t="str">
        <f t="shared" si="98"/>
        <v>D</v>
      </c>
      <c r="OJ9" s="165">
        <f>IF(COUNT(NT9,NZ9,OH9)=0,"",SUM(NT9,NZ9,OH9)/COUNT(NT9,NZ9,OH9))</f>
        <v>1</v>
      </c>
      <c r="OK9" s="188" t="str">
        <f t="shared" si="99"/>
        <v>D</v>
      </c>
      <c r="OL9" s="110"/>
      <c r="OM9" s="111" t="s">
        <v>30</v>
      </c>
      <c r="ON9" s="112"/>
      <c r="OO9" s="165">
        <f>IFERROR((((COUNTIF('Elève (3ème1)'!OL9:ON9,"A"))*4)+((COUNTIF('Elève (3ème1)'!OL9:ON9,"B"))*3)+((COUNTIF('Elève (3ème1)'!OL9:ON9,"C"))*2)+((COUNTIF('Elève (3ème1)'!OL9:ON9,"D"))*1))/(COUNTA(OL9:ON9)),"")</f>
        <v>1</v>
      </c>
      <c r="OP9" s="166" t="str">
        <f t="shared" si="100"/>
        <v>D</v>
      </c>
      <c r="OQ9" s="110"/>
      <c r="OR9" s="111"/>
      <c r="OS9" s="112"/>
      <c r="OT9" s="112"/>
      <c r="OU9" s="165" t="str">
        <f>IFERROR((((COUNTIF('Elève (3ème1)'!OQ9:OT9,"A"))*4)+((COUNTIF('Elève (3ème1)'!OQ9:OT9,"B"))*3)+((COUNTIF('Elève (3ème1)'!OQ9:OT9,"C"))*2)+((COUNTIF('Elève (3ème1)'!OQ9:OT9,"D"))*1))/(COUNTA(OQ9:OT9)),"")</f>
        <v/>
      </c>
      <c r="OV9" s="166" t="str">
        <f t="shared" si="101"/>
        <v/>
      </c>
      <c r="OW9" s="110"/>
      <c r="OX9" s="111" t="s">
        <v>30</v>
      </c>
      <c r="OY9" s="112"/>
      <c r="OZ9" s="112"/>
      <c r="PA9" s="112"/>
      <c r="PB9" s="116"/>
      <c r="PC9" s="165">
        <f>IFERROR((((COUNTIF('Elève (3ème1)'!OW9:PB9,"A"))*4)+((COUNTIF('Elève (3ème1)'!OW9:PB9,"B"))*3)+((COUNTIF('Elève (3ème1)'!OW9:PB9,"C"))*2)+((COUNTIF('Elève (3ème1)'!OW9:PB9,"D"))*1))/(COUNTA(OW9:PB9)),"")</f>
        <v>1</v>
      </c>
      <c r="PD9" s="166" t="str">
        <f t="shared" si="102"/>
        <v>D</v>
      </c>
      <c r="PE9" s="165">
        <f>IF(COUNT(OO9,OU9,PC9)=0,"",SUM(OO9,OU9,PC9)/COUNT(OO9,OU9,PC9))</f>
        <v>1</v>
      </c>
      <c r="PF9" s="188" t="str">
        <f t="shared" si="103"/>
        <v>D</v>
      </c>
      <c r="PG9" s="110"/>
      <c r="PH9" s="111" t="s">
        <v>30</v>
      </c>
      <c r="PI9" s="112"/>
      <c r="PJ9" s="165">
        <f>IFERROR((((COUNTIF('Elève (3ème1)'!PG9:PI9,"A"))*4)+((COUNTIF('Elève (3ème1)'!PG9:PI9,"B"))*3)+((COUNTIF('Elève (3ème1)'!PG9:PI9,"C"))*2)+((COUNTIF('Elève (3ème1)'!PG9:PI9,"D"))*1))/(COUNTA(PG9:PI9)),"")</f>
        <v>1</v>
      </c>
      <c r="PK9" s="166" t="str">
        <f t="shared" si="104"/>
        <v>D</v>
      </c>
      <c r="PL9" s="110"/>
      <c r="PM9" s="111"/>
      <c r="PN9" s="112"/>
      <c r="PO9" s="112"/>
      <c r="PP9" s="165" t="str">
        <f>IFERROR((((COUNTIF('Elève (3ème1)'!PL9:PO9,"A"))*4)+((COUNTIF('Elève (3ème1)'!PL9:PO9,"B"))*3)+((COUNTIF('Elève (3ème1)'!PL9:PO9,"C"))*2)+((COUNTIF('Elève (3ème1)'!PL9:PO9,"D"))*1))/(COUNTA(PL9:PO9)),"")</f>
        <v/>
      </c>
      <c r="PQ9" s="166" t="str">
        <f t="shared" si="105"/>
        <v/>
      </c>
      <c r="PR9" s="110"/>
      <c r="PS9" s="111" t="s">
        <v>29</v>
      </c>
      <c r="PT9" s="112"/>
      <c r="PU9" s="112"/>
      <c r="PV9" s="112"/>
      <c r="PW9" s="116"/>
      <c r="PX9" s="165">
        <f>IFERROR((((COUNTIF('Elève (3ème1)'!PR9:PW9,"A"))*4)+((COUNTIF('Elève (3ème1)'!PR9:PW9,"B"))*3)+((COUNTIF('Elève (3ème1)'!PR9:PW9,"C"))*2)+((COUNTIF('Elève (3ème1)'!PR9:PW9,"D"))*1))/(COUNTA(PR9:PW9)),"")</f>
        <v>2</v>
      </c>
      <c r="PY9" s="166" t="str">
        <f t="shared" si="106"/>
        <v>C</v>
      </c>
      <c r="PZ9" s="165">
        <f>IF(COUNT(PJ9,PP9,PX9)=0,"",SUM(PJ9,PP9,PX9)/COUNT(PJ9,PP9,PX9))</f>
        <v>1.5</v>
      </c>
      <c r="QA9" s="188" t="str">
        <f t="shared" si="107"/>
        <v>D</v>
      </c>
      <c r="QB9" s="110"/>
      <c r="QC9" s="111" t="s">
        <v>28</v>
      </c>
      <c r="QD9" s="112"/>
      <c r="QE9" s="165">
        <f>IFERROR((((COUNTIF('Elève (3ème1)'!QB9:QD9,"A"))*4)+((COUNTIF('Elève (3ème1)'!QB9:QD9,"B"))*3)+((COUNTIF('Elève (3ème1)'!QB9:QD9,"C"))*2)+((COUNTIF('Elève (3ème1)'!QB9:QD9,"D"))*1))/(COUNTA(QB9:QD9)),"")</f>
        <v>3</v>
      </c>
      <c r="QF9" s="166" t="str">
        <f t="shared" si="108"/>
        <v>B</v>
      </c>
      <c r="QG9" s="110"/>
      <c r="QH9" s="111"/>
      <c r="QI9" s="112"/>
      <c r="QJ9" s="112"/>
      <c r="QK9" s="165" t="str">
        <f>IFERROR((((COUNTIF('Elève (3ème1)'!QG9:QJ9,"A"))*4)+((COUNTIF('Elève (3ème1)'!QG9:QJ9,"B"))*3)+((COUNTIF('Elève (3ème1)'!QG9:QJ9,"C"))*2)+((COUNTIF('Elève (3ème1)'!QG9:QJ9,"D"))*1))/(COUNTA(QG9:QJ9)),"")</f>
        <v/>
      </c>
      <c r="QL9" s="166" t="str">
        <f t="shared" si="109"/>
        <v/>
      </c>
      <c r="QM9" s="110"/>
      <c r="QN9" s="111" t="s">
        <v>27</v>
      </c>
      <c r="QO9" s="112"/>
      <c r="QP9" s="112"/>
      <c r="QQ9" s="112"/>
      <c r="QR9" s="116"/>
      <c r="QS9" s="165">
        <f>IFERROR((((COUNTIF('Elève (3ème1)'!QM9:QR9,"A"))*4)+((COUNTIF('Elève (3ème1)'!QM9:QR9,"B"))*3)+((COUNTIF('Elève (3ème1)'!QM9:QR9,"C"))*2)+((COUNTIF('Elève (3ème1)'!QM9:QR9,"D"))*1))/(COUNTA(QM9:QR9)),"")</f>
        <v>4</v>
      </c>
      <c r="QT9" s="166" t="str">
        <f t="shared" si="110"/>
        <v>A</v>
      </c>
      <c r="QU9" s="165">
        <f>IF(COUNT(QE9,QK9,QS9)=0,"",SUM(QE9,QK9,QS9)/COUNT(QE9,QK9,QS9))</f>
        <v>3.5</v>
      </c>
      <c r="QV9" s="188" t="str">
        <f t="shared" si="111"/>
        <v>B</v>
      </c>
      <c r="QW9" s="110"/>
      <c r="QX9" s="111" t="s">
        <v>30</v>
      </c>
      <c r="QY9" s="112"/>
      <c r="QZ9" s="165">
        <f>IFERROR((((COUNTIF('Elève (3ème1)'!QW9:QY9,"A"))*4)+((COUNTIF('Elève (3ème1)'!QW9:QY9,"B"))*3)+((COUNTIF('Elève (3ème1)'!QW9:QY9,"C"))*2)+((COUNTIF('Elève (3ème1)'!QW9:QY9,"D"))*1))/(COUNTA(QW9:QY9)),"")</f>
        <v>1</v>
      </c>
      <c r="RA9" s="166" t="str">
        <f t="shared" si="112"/>
        <v>D</v>
      </c>
      <c r="RB9" s="110"/>
      <c r="RC9" s="111"/>
      <c r="RD9" s="112"/>
      <c r="RE9" s="112"/>
      <c r="RF9" s="165" t="str">
        <f>IFERROR((((COUNTIF('Elève (3ème1)'!RB9:RE9,"A"))*4)+((COUNTIF('Elève (3ème1)'!RB9:RE9,"B"))*3)+((COUNTIF('Elève (3ème1)'!RB9:RE9,"C"))*2)+((COUNTIF('Elève (3ème1)'!RB9:RE9,"D"))*1))/(COUNTA(RB9:RE9)),"")</f>
        <v/>
      </c>
      <c r="RG9" s="166" t="str">
        <f t="shared" si="113"/>
        <v/>
      </c>
      <c r="RH9" s="110"/>
      <c r="RI9" s="111" t="s">
        <v>27</v>
      </c>
      <c r="RJ9" s="112"/>
      <c r="RK9" s="112"/>
      <c r="RL9" s="112"/>
      <c r="RM9" s="116"/>
      <c r="RN9" s="165">
        <f>IFERROR((((COUNTIF('Elève (3ème1)'!RH9:RM9,"A"))*4)+((COUNTIF('Elève (3ème1)'!RH9:RM9,"B"))*3)+((COUNTIF('Elève (3ème1)'!RH9:RM9,"C"))*2)+((COUNTIF('Elève (3ème1)'!RH9:RM9,"D"))*1))/(COUNTA(RH9:RM9)),"")</f>
        <v>4</v>
      </c>
      <c r="RO9" s="166" t="str">
        <f t="shared" si="114"/>
        <v>A</v>
      </c>
      <c r="RP9" s="165">
        <f>IF(COUNT(QZ9,RF9,RN9)=0,"",SUM(QZ9,RF9,RN9)/COUNT(QZ9,RF9,RN9))</f>
        <v>2.5</v>
      </c>
      <c r="RQ9" s="188" t="str">
        <f t="shared" si="115"/>
        <v>C</v>
      </c>
      <c r="RR9" s="110"/>
      <c r="RS9" s="111" t="s">
        <v>29</v>
      </c>
      <c r="RT9" s="112"/>
      <c r="RU9" s="165">
        <f>IFERROR((((COUNTIF('Elève (3ème1)'!RR9:RT9,"A"))*4)+((COUNTIF('Elève (3ème1)'!RR9:RT9,"B"))*3)+((COUNTIF('Elève (3ème1)'!RR9:RT9,"C"))*2)+((COUNTIF('Elève (3ème1)'!RR9:RT9,"D"))*1))/(COUNTA(RR9:RT9)),"")</f>
        <v>2</v>
      </c>
      <c r="RV9" s="166" t="str">
        <f t="shared" si="116"/>
        <v>C</v>
      </c>
      <c r="RW9" s="110"/>
      <c r="RX9" s="111"/>
      <c r="RY9" s="112"/>
      <c r="RZ9" s="112"/>
      <c r="SA9" s="165" t="str">
        <f>IFERROR((((COUNTIF('Elève (3ème1)'!RW9:RZ9,"A"))*4)+((COUNTIF('Elève (3ème1)'!RW9:RZ9,"B"))*3)+((COUNTIF('Elève (3ème1)'!RW9:RZ9,"C"))*2)+((COUNTIF('Elève (3ème1)'!RW9:RZ9,"D"))*1))/(COUNTA(RW9:RZ9)),"")</f>
        <v/>
      </c>
      <c r="SB9" s="166" t="str">
        <f t="shared" si="117"/>
        <v/>
      </c>
      <c r="SC9" s="110"/>
      <c r="SD9" s="111" t="s">
        <v>29</v>
      </c>
      <c r="SE9" s="112"/>
      <c r="SF9" s="112"/>
      <c r="SG9" s="112"/>
      <c r="SH9" s="116"/>
      <c r="SI9" s="165">
        <f>IFERROR((((COUNTIF('Elève (3ème1)'!SC9:SH9,"A"))*4)+((COUNTIF('Elève (3ème1)'!SC9:SH9,"B"))*3)+((COUNTIF('Elève (3ème1)'!SC9:SH9,"C"))*2)+((COUNTIF('Elève (3ème1)'!SC9:SH9,"D"))*1))/(COUNTA(SC9:SH9)),"")</f>
        <v>2</v>
      </c>
      <c r="SJ9" s="166" t="str">
        <f t="shared" si="118"/>
        <v>C</v>
      </c>
      <c r="SK9" s="165">
        <f>IF(COUNT(RU9,SA9,SI9)=0,"",SUM(RU9,SA9,SI9)/COUNT(RU9,SA9,SI9))</f>
        <v>2</v>
      </c>
      <c r="SL9" s="188" t="str">
        <f t="shared" si="119"/>
        <v>C</v>
      </c>
      <c r="SM9" s="110"/>
      <c r="SN9" s="111" t="s">
        <v>29</v>
      </c>
      <c r="SO9" s="112"/>
      <c r="SP9" s="165">
        <f>IFERROR((((COUNTIF('Elève (3ème1)'!SM9:SO9,"A"))*4)+((COUNTIF('Elève (3ème1)'!SM9:SO9,"B"))*3)+((COUNTIF('Elève (3ème1)'!SM9:SO9,"C"))*2)+((COUNTIF('Elève (3ème1)'!SM9:SO9,"D"))*1))/(COUNTA(SM9:SO9)),"")</f>
        <v>2</v>
      </c>
      <c r="SQ9" s="166" t="str">
        <f t="shared" si="120"/>
        <v>C</v>
      </c>
      <c r="SR9" s="110"/>
      <c r="SS9" s="111"/>
      <c r="ST9" s="112"/>
      <c r="SU9" s="112"/>
      <c r="SV9" s="165" t="str">
        <f>IFERROR((((COUNTIF('Elève (3ème1)'!SR9:SU9,"A"))*4)+((COUNTIF('Elève (3ème1)'!SR9:SU9,"B"))*3)+((COUNTIF('Elève (3ème1)'!SR9:SU9,"C"))*2)+((COUNTIF('Elève (3ème1)'!SR9:SU9,"D"))*1))/(COUNTA(SR9:SU9)),"")</f>
        <v/>
      </c>
      <c r="SW9" s="166" t="str">
        <f t="shared" si="121"/>
        <v/>
      </c>
      <c r="SX9" s="110"/>
      <c r="SY9" s="111" t="s">
        <v>29</v>
      </c>
      <c r="SZ9" s="112"/>
      <c r="TA9" s="112"/>
      <c r="TB9" s="112"/>
      <c r="TC9" s="116"/>
      <c r="TD9" s="165">
        <f>IFERROR((((COUNTIF('Elève (3ème1)'!SX9:TC9,"A"))*4)+((COUNTIF('Elève (3ème1)'!SX9:TC9,"B"))*3)+((COUNTIF('Elève (3ème1)'!SX9:TC9,"C"))*2)+((COUNTIF('Elève (3ème1)'!SX9:TC9,"D"))*1))/(COUNTA(SX9:TC9)),"")</f>
        <v>2</v>
      </c>
      <c r="TE9" s="166" t="str">
        <f t="shared" si="122"/>
        <v>C</v>
      </c>
      <c r="TF9" s="165">
        <f>IF(COUNT(SP9,SV9,TD9)=0,"",SUM(SP9,SV9,TD9)/COUNT(SP9,SV9,TD9))</f>
        <v>2</v>
      </c>
      <c r="TG9" s="188" t="str">
        <f t="shared" si="123"/>
        <v>C</v>
      </c>
      <c r="TH9" s="110"/>
      <c r="TI9" s="111"/>
      <c r="TJ9" s="112"/>
      <c r="TK9" s="113" t="str">
        <f>IFERROR((((COUNTIF('Elève (3ème1)'!TH9:TJ9,"A"))*4)+((COUNTIF('Elève (3ème1)'!TH9:TJ9,"B"))*3)+((COUNTIF('Elève (3ème1)'!TH9:TJ9,"C"))*2)+((COUNTIF('Elève (3ème1)'!TH9:TJ9,"D"))*1))/(COUNTA(TH9:TJ9)),"")</f>
        <v/>
      </c>
      <c r="TL9" s="114" t="str">
        <f t="shared" si="124"/>
        <v/>
      </c>
      <c r="TM9" s="110"/>
      <c r="TN9" s="111"/>
      <c r="TO9" s="112"/>
      <c r="TP9" s="113" t="str">
        <f>IFERROR((((COUNTIF('Elève (3ème1)'!TM9:TO9,"A"))*4)+((COUNTIF('Elève (3ème1)'!TM9:TO9,"B"))*3)+((COUNTIF('Elève (3ème1)'!TM9:TO9,"C"))*2)+((COUNTIF('Elève (3ème1)'!TM9:TO9,"D"))*1))/(COUNTA(TM9:TO9)),"")</f>
        <v/>
      </c>
      <c r="TQ9" s="114" t="str">
        <f t="shared" si="125"/>
        <v/>
      </c>
      <c r="TR9" s="110"/>
      <c r="TS9" s="111"/>
      <c r="TT9" s="116"/>
      <c r="TU9" s="113" t="str">
        <f>IFERROR((((COUNTIF('Elève (3ème1)'!TR9:TT9,"A"))*4)+((COUNTIF('Elève (3ème1)'!TR9:TT9,"B"))*3)+((COUNTIF('Elève (3ème1)'!TR9:TT9,"C"))*2)+((COUNTIF('Elève (3ème1)'!TR9:TT9,"D"))*1))/(COUNTA(TR9:TT9)),"")</f>
        <v/>
      </c>
      <c r="TV9" s="114" t="str">
        <f t="shared" si="126"/>
        <v/>
      </c>
      <c r="TW9" s="113" t="str">
        <f>IF(COUNT(TK9,TP9,TU9)=0,"",SUM(TK9,TP9,TU9)/COUNT(TK9,TP9,TU9))</f>
        <v/>
      </c>
      <c r="TX9" s="115" t="str">
        <f t="shared" si="127"/>
        <v/>
      </c>
      <c r="TY9" s="110"/>
      <c r="TZ9" s="111"/>
      <c r="UA9" s="112"/>
      <c r="UB9" s="113" t="str">
        <f>IFERROR((((COUNTIF('Elève (3ème1)'!TY9:UA9,"A"))*4)+((COUNTIF('Elève (3ème1)'!TY9:UA9,"B"))*3)+((COUNTIF('Elève (3ème1)'!TY9:UA9,"C"))*2)+((COUNTIF('Elève (3ème1)'!TY9:UA9,"D"))*1))/(COUNTA(TY9:UA9)),"")</f>
        <v/>
      </c>
      <c r="UC9" s="114" t="str">
        <f t="shared" si="128"/>
        <v/>
      </c>
      <c r="UD9" s="110"/>
      <c r="UE9" s="111"/>
      <c r="UF9" s="112"/>
      <c r="UG9" s="113" t="str">
        <f>IFERROR((((COUNTIF('Elève (3ème1)'!UD9:UF9,"A"))*4)+((COUNTIF('Elève (3ème1)'!UD9:UF9,"B"))*3)+((COUNTIF('Elève (3ème1)'!UD9:UF9,"C"))*2)+((COUNTIF('Elève (3ème1)'!UD9:UF9,"D"))*1))/(COUNTA(UD9:UF9)),"")</f>
        <v/>
      </c>
      <c r="UH9" s="114" t="str">
        <f t="shared" si="129"/>
        <v/>
      </c>
      <c r="UI9" s="110"/>
      <c r="UJ9" s="111"/>
      <c r="UK9" s="116"/>
      <c r="UL9" s="113" t="str">
        <f>IFERROR((((COUNTIF('Elève (3ème1)'!UI9:UK9,"A"))*4)+((COUNTIF('Elève (3ème1)'!UI9:UK9,"B"))*3)+((COUNTIF('Elève (3ème1)'!UI9:UK9,"C"))*2)+((COUNTIF('Elève (3ème1)'!UI9:UK9,"D"))*1))/(COUNTA(UI9:UK9)),"")</f>
        <v/>
      </c>
      <c r="UM9" s="114" t="str">
        <f t="shared" si="130"/>
        <v/>
      </c>
      <c r="UN9" s="113" t="str">
        <f>IF(COUNT(UB9,UG9,UL9)=0,"",SUM(UB9,UG9,UL9)/COUNT(UB9,UG9,UL9))</f>
        <v/>
      </c>
      <c r="UO9" s="115" t="str">
        <f t="shared" si="131"/>
        <v/>
      </c>
      <c r="UP9" s="110"/>
      <c r="UQ9" s="111"/>
      <c r="UR9" s="112"/>
      <c r="US9" s="113" t="str">
        <f>IFERROR((((COUNTIF('Elève (3ème1)'!UP9:UR9,"A"))*4)+((COUNTIF('Elève (3ème1)'!UP9:UR9,"B"))*3)+((COUNTIF('Elève (3ème1)'!UP9:UR9,"C"))*2)+((COUNTIF('Elève (3ème1)'!UP9:UR9,"D"))*1))/(COUNTA(UP9:UR9)),"")</f>
        <v/>
      </c>
      <c r="UT9" s="114" t="str">
        <f t="shared" si="132"/>
        <v/>
      </c>
      <c r="UU9" s="110"/>
      <c r="UV9" s="111"/>
      <c r="UW9" s="112"/>
      <c r="UX9" s="113" t="str">
        <f>IFERROR((((COUNTIF('Elève (3ème1)'!UU9:UW9,"A"))*4)+((COUNTIF('Elève (3ème1)'!UU9:UW9,"B"))*3)+((COUNTIF('Elève (3ème1)'!UU9:UW9,"C"))*2)+((COUNTIF('Elève (3ème1)'!UU9:UW9,"D"))*1))/(COUNTA(UU9:UW9)),"")</f>
        <v/>
      </c>
      <c r="UY9" s="114" t="str">
        <f t="shared" si="133"/>
        <v/>
      </c>
      <c r="UZ9" s="110"/>
      <c r="VA9" s="111"/>
      <c r="VB9" s="116"/>
      <c r="VC9" s="113" t="str">
        <f>IFERROR((((COUNTIF('Elève (3ème1)'!UZ9:VB9,"A"))*4)+((COUNTIF('Elève (3ème1)'!UZ9:VB9,"B"))*3)+((COUNTIF('Elève (3ème1)'!UZ9:VB9,"C"))*2)+((COUNTIF('Elève (3ème1)'!UZ9:VB9,"D"))*1))/(COUNTA(UZ9:VB9)),"")</f>
        <v/>
      </c>
      <c r="VD9" s="114" t="str">
        <f t="shared" si="134"/>
        <v/>
      </c>
      <c r="VE9" s="113" t="str">
        <f>IF(COUNT(US9,UX9,VC9)=0,"",SUM(US9,UX9,VC9)/COUNT(US9,UX9,VC9))</f>
        <v/>
      </c>
      <c r="VF9" s="115" t="str">
        <f t="shared" si="135"/>
        <v/>
      </c>
      <c r="VG9" s="110"/>
      <c r="VH9" s="111"/>
      <c r="VI9" s="112"/>
      <c r="VJ9" s="113" t="str">
        <f>IFERROR((((COUNTIF('Elève (3ème1)'!VG9:VI9,"A"))*4)+((COUNTIF('Elève (3ème1)'!VG9:VI9,"B"))*3)+((COUNTIF('Elève (3ème1)'!VG9:VI9,"C"))*2)+((COUNTIF('Elève (3ème1)'!VG9:VI9,"D"))*1))/(COUNTA(VG9:VI9)),"")</f>
        <v/>
      </c>
      <c r="VK9" s="114" t="str">
        <f t="shared" si="136"/>
        <v/>
      </c>
      <c r="VL9" s="110"/>
      <c r="VM9" s="111"/>
      <c r="VN9" s="112"/>
      <c r="VO9" s="113" t="str">
        <f>IFERROR((((COUNTIF('Elève (3ème1)'!VL9:VN9,"A"))*4)+((COUNTIF('Elève (3ème1)'!VL9:VN9,"B"))*3)+((COUNTIF('Elève (3ème1)'!VL9:VN9,"C"))*2)+((COUNTIF('Elève (3ème1)'!VL9:VN9,"D"))*1))/(COUNTA(VL9:VN9)),"")</f>
        <v/>
      </c>
      <c r="VP9" s="114" t="str">
        <f t="shared" si="137"/>
        <v/>
      </c>
      <c r="VQ9" s="110"/>
      <c r="VR9" s="111"/>
      <c r="VS9" s="116"/>
      <c r="VT9" s="113" t="str">
        <f>IFERROR((((COUNTIF('Elève (3ème1)'!VQ9:VS9,"A"))*4)+((COUNTIF('Elève (3ème1)'!VQ9:VS9,"B"))*3)+((COUNTIF('Elève (3ème1)'!VQ9:VS9,"C"))*2)+((COUNTIF('Elève (3ème1)'!VQ9:VS9,"D"))*1))/(COUNTA(VQ9:VS9)),"")</f>
        <v/>
      </c>
      <c r="VU9" s="114" t="str">
        <f t="shared" si="138"/>
        <v/>
      </c>
      <c r="VV9" s="113" t="str">
        <f>IF(COUNT(VJ9,VO9,VT9)=0,"",SUM(VJ9,VO9,VT9)/COUNT(VJ9,VO9,VT9))</f>
        <v/>
      </c>
      <c r="VW9" s="115" t="str">
        <f t="shared" si="139"/>
        <v/>
      </c>
      <c r="VX9" s="110"/>
      <c r="VY9" s="111"/>
      <c r="VZ9" s="112"/>
      <c r="WA9" s="113" t="str">
        <f>IFERROR((((COUNTIF('Elève (3ème1)'!VX9:VZ9,"A"))*4)+((COUNTIF('Elève (3ème1)'!VX9:VZ9,"B"))*3)+((COUNTIF('Elève (3ème1)'!VX9:VZ9,"C"))*2)+((COUNTIF('Elève (3ème1)'!VX9:VZ9,"D"))*1))/(COUNTA(VX9:VZ9)),"")</f>
        <v/>
      </c>
      <c r="WB9" s="114" t="str">
        <f t="shared" si="140"/>
        <v/>
      </c>
      <c r="WC9" s="110"/>
      <c r="WD9" s="111"/>
      <c r="WE9" s="112"/>
      <c r="WF9" s="113" t="str">
        <f>IFERROR((((COUNTIF('Elève (3ème1)'!WC9:WE9,"A"))*4)+((COUNTIF('Elève (3ème1)'!WC9:WE9,"B"))*3)+((COUNTIF('Elève (3ème1)'!WC9:WE9,"C"))*2)+((COUNTIF('Elève (3ème1)'!WC9:WE9,"D"))*1))/(COUNTA(WC9:WE9)),"")</f>
        <v/>
      </c>
      <c r="WG9" s="114" t="str">
        <f t="shared" si="141"/>
        <v/>
      </c>
      <c r="WH9" s="110"/>
      <c r="WI9" s="111"/>
      <c r="WJ9" s="116"/>
      <c r="WK9" s="113" t="str">
        <f>IFERROR((((COUNTIF('Elève (3ème1)'!WH9:WJ9,"A"))*4)+((COUNTIF('Elève (3ème1)'!WH9:WJ9,"B"))*3)+((COUNTIF('Elève (3ème1)'!WH9:WJ9,"C"))*2)+((COUNTIF('Elève (3ème1)'!WH9:WJ9,"D"))*1))/(COUNTA(WH9:WJ9)),"")</f>
        <v/>
      </c>
      <c r="WL9" s="114" t="str">
        <f t="shared" si="142"/>
        <v/>
      </c>
      <c r="WM9" s="113" t="str">
        <f>IF(COUNT(WA9,WF9,WK9)=0,"",SUM(WA9,WF9,WK9)/COUNT(WA9,WF9,WK9))</f>
        <v/>
      </c>
      <c r="WN9" s="115" t="str">
        <f t="shared" si="143"/>
        <v/>
      </c>
    </row>
    <row r="10" spans="1:612" s="118" customFormat="1" ht="17.25" customHeight="1" thickBot="1" x14ac:dyDescent="0.6">
      <c r="A10" s="144" t="s">
        <v>17</v>
      </c>
      <c r="B10" s="83">
        <v>1</v>
      </c>
      <c r="C10" s="153"/>
      <c r="D10" s="90"/>
      <c r="E10" s="91"/>
      <c r="F10" s="159">
        <f>IF(COUNT(F11:F12)=0,"",SUM(F11:F12)/COUNT(F11:F12))</f>
        <v>3.25</v>
      </c>
      <c r="G10" s="160" t="str">
        <f t="shared" si="24"/>
        <v>B</v>
      </c>
      <c r="H10" s="153"/>
      <c r="I10" s="90"/>
      <c r="J10" s="90"/>
      <c r="K10" s="91"/>
      <c r="L10" s="159" t="str">
        <f>IF(COUNT(L11,L12)=0,"",SUM(L11:L12)/COUNT(L11,L12))</f>
        <v/>
      </c>
      <c r="M10" s="175" t="str">
        <f t="shared" si="25"/>
        <v/>
      </c>
      <c r="N10" s="153"/>
      <c r="O10" s="90"/>
      <c r="P10" s="90"/>
      <c r="Q10" s="90"/>
      <c r="R10" s="90"/>
      <c r="S10" s="91"/>
      <c r="T10" s="159">
        <f>IF(COUNT(T11,T12)=0,"",SUM(T11:T12)/COUNT(T11,T12))</f>
        <v>3.75</v>
      </c>
      <c r="U10" s="183" t="str">
        <f t="shared" si="26"/>
        <v>A</v>
      </c>
      <c r="V10" s="184">
        <f>IF(COUNT(V11:V12)=0,"",SUM(V11:V12)/COUNT(V11:V12))</f>
        <v>3.5625</v>
      </c>
      <c r="W10" s="185" t="str">
        <f t="shared" si="27"/>
        <v>B</v>
      </c>
      <c r="X10" s="195"/>
      <c r="Y10" s="90"/>
      <c r="Z10" s="91"/>
      <c r="AA10" s="159">
        <f>IF(COUNT(AA11:AA12)=0,"",SUM(AA11:AA12)/COUNT(AA11:AA12))</f>
        <v>1</v>
      </c>
      <c r="AB10" s="160" t="str">
        <f t="shared" si="28"/>
        <v>D</v>
      </c>
      <c r="AC10" s="153"/>
      <c r="AD10" s="90"/>
      <c r="AE10" s="90"/>
      <c r="AF10" s="91"/>
      <c r="AG10" s="159" t="str">
        <f>IF(COUNT(AG11,AG12)=0,"",SUM(AG11:AG12)/COUNT(AG11,AG12))</f>
        <v/>
      </c>
      <c r="AH10" s="175" t="str">
        <f t="shared" si="29"/>
        <v/>
      </c>
      <c r="AI10" s="153"/>
      <c r="AJ10" s="90"/>
      <c r="AK10" s="90"/>
      <c r="AL10" s="90"/>
      <c r="AM10" s="90"/>
      <c r="AN10" s="91"/>
      <c r="AO10" s="159">
        <f>IF(COUNT(AO11,AO12)=0,"",SUM(AO11:AO12)/COUNT(AO11,AO12))</f>
        <v>3.25</v>
      </c>
      <c r="AP10" s="183" t="str">
        <f t="shared" si="30"/>
        <v>B</v>
      </c>
      <c r="AQ10" s="184">
        <f>IF(COUNT(AQ11:AQ12)=0,"",SUM(AQ11:AQ12)/COUNT(AQ11:AQ12))</f>
        <v>1.5625</v>
      </c>
      <c r="AR10" s="185" t="str">
        <f t="shared" si="31"/>
        <v>C</v>
      </c>
      <c r="AS10" s="195"/>
      <c r="AT10" s="90"/>
      <c r="AU10" s="91"/>
      <c r="AV10" s="159">
        <f>IF(COUNT(AV11:AV12)=0,"",SUM(AV11:AV12)/COUNT(AV11:AV12))</f>
        <v>2.25</v>
      </c>
      <c r="AW10" s="160" t="str">
        <f t="shared" si="32"/>
        <v>C</v>
      </c>
      <c r="AX10" s="153"/>
      <c r="AY10" s="90"/>
      <c r="AZ10" s="90"/>
      <c r="BA10" s="91"/>
      <c r="BB10" s="159" t="str">
        <f>IF(COUNT(BB11,BB12)=0,"",SUM(BB11:BB12)/COUNT(BB11,BB12))</f>
        <v/>
      </c>
      <c r="BC10" s="175" t="str">
        <f t="shared" si="33"/>
        <v/>
      </c>
      <c r="BD10" s="153"/>
      <c r="BE10" s="90"/>
      <c r="BF10" s="90"/>
      <c r="BG10" s="90"/>
      <c r="BH10" s="90"/>
      <c r="BI10" s="91"/>
      <c r="BJ10" s="159">
        <f>IF(COUNT(BJ11,BJ12)=0,"",SUM(BJ11:BJ12)/COUNT(BJ11,BJ12))</f>
        <v>3.25</v>
      </c>
      <c r="BK10" s="183" t="str">
        <f t="shared" si="34"/>
        <v>B</v>
      </c>
      <c r="BL10" s="184">
        <f>IF(COUNT(BL11:BL12)=0,"",SUM(BL11:BL12)/COUNT(BL11:BL12))</f>
        <v>2.6875</v>
      </c>
      <c r="BM10" s="185" t="str">
        <f t="shared" si="35"/>
        <v>C</v>
      </c>
      <c r="BN10" s="195"/>
      <c r="BO10" s="90"/>
      <c r="BP10" s="91"/>
      <c r="BQ10" s="159">
        <f>IF(COUNT(BQ11:BQ12)=0,"",SUM(BQ11:BQ12)/COUNT(BQ11:BQ12))</f>
        <v>2.75</v>
      </c>
      <c r="BR10" s="160" t="str">
        <f t="shared" si="36"/>
        <v>C</v>
      </c>
      <c r="BS10" s="153"/>
      <c r="BT10" s="90"/>
      <c r="BU10" s="90"/>
      <c r="BV10" s="91"/>
      <c r="BW10" s="159" t="str">
        <f>IF(COUNT(BW11,BW12)=0,"",SUM(BW11:BW12)/COUNT(BW11,BW12))</f>
        <v/>
      </c>
      <c r="BX10" s="175" t="str">
        <f t="shared" si="37"/>
        <v/>
      </c>
      <c r="BY10" s="153"/>
      <c r="BZ10" s="90"/>
      <c r="CA10" s="90"/>
      <c r="CB10" s="90"/>
      <c r="CC10" s="90"/>
      <c r="CD10" s="91"/>
      <c r="CE10" s="159">
        <f>IF(COUNT(CE11,CE12)=0,"",SUM(CE11:CE12)/COUNT(CE11,CE12))</f>
        <v>3.75</v>
      </c>
      <c r="CF10" s="183" t="str">
        <f t="shared" si="38"/>
        <v>A</v>
      </c>
      <c r="CG10" s="184">
        <f>IF(COUNT(CG11:CG12)=0,"",SUM(CG11:CG12)/COUNT(CG11:CG12))</f>
        <v>3.3125</v>
      </c>
      <c r="CH10" s="185" t="str">
        <f t="shared" si="39"/>
        <v>B</v>
      </c>
      <c r="CI10" s="195"/>
      <c r="CJ10" s="90"/>
      <c r="CK10" s="91"/>
      <c r="CL10" s="159">
        <f>IF(COUNT(CL11:CL12)=0,"",SUM(CL11:CL12)/COUNT(CL11:CL12))</f>
        <v>2.75</v>
      </c>
      <c r="CM10" s="160" t="str">
        <f t="shared" si="40"/>
        <v>C</v>
      </c>
      <c r="CN10" s="153"/>
      <c r="CO10" s="90"/>
      <c r="CP10" s="90"/>
      <c r="CQ10" s="91"/>
      <c r="CR10" s="159" t="str">
        <f>IF(COUNT(CR11,CR12)=0,"",SUM(CR11:CR12)/COUNT(CR11,CR12))</f>
        <v/>
      </c>
      <c r="CS10" s="175" t="str">
        <f t="shared" si="41"/>
        <v/>
      </c>
      <c r="CT10" s="153"/>
      <c r="CU10" s="90"/>
      <c r="CV10" s="90"/>
      <c r="CW10" s="90"/>
      <c r="CX10" s="90"/>
      <c r="CY10" s="91"/>
      <c r="CZ10" s="159">
        <f>IF(COUNT(CZ11,CZ12)=0,"",SUM(CZ11:CZ12)/COUNT(CZ11,CZ12))</f>
        <v>3.3333333333333335</v>
      </c>
      <c r="DA10" s="183" t="str">
        <f t="shared" si="42"/>
        <v>B</v>
      </c>
      <c r="DB10" s="184">
        <f>IF(COUNT(DB11:DB12)=0,"",SUM(DB11:DB12)/COUNT(DB11:DB12))</f>
        <v>3.2083333333333335</v>
      </c>
      <c r="DC10" s="185" t="str">
        <f t="shared" si="43"/>
        <v>B</v>
      </c>
      <c r="DD10" s="195"/>
      <c r="DE10" s="90"/>
      <c r="DF10" s="91"/>
      <c r="DG10" s="159">
        <f>IF(COUNT(DG11:DG12)=0,"",SUM(DG11:DG12)/COUNT(DG11:DG12))</f>
        <v>3.75</v>
      </c>
      <c r="DH10" s="160" t="str">
        <f t="shared" si="44"/>
        <v>A</v>
      </c>
      <c r="DI10" s="153"/>
      <c r="DJ10" s="90"/>
      <c r="DK10" s="90"/>
      <c r="DL10" s="91"/>
      <c r="DM10" s="159" t="str">
        <f>IF(COUNT(DM11,DM12)=0,"",SUM(DM11:DM12)/COUNT(DM11,DM12))</f>
        <v/>
      </c>
      <c r="DN10" s="175" t="str">
        <f t="shared" si="45"/>
        <v/>
      </c>
      <c r="DO10" s="153"/>
      <c r="DP10" s="90"/>
      <c r="DQ10" s="90"/>
      <c r="DR10" s="90"/>
      <c r="DS10" s="90"/>
      <c r="DT10" s="91"/>
      <c r="DU10" s="159">
        <f>IF(COUNT(DU11,DU12)=0,"",SUM(DU11:DU12)/COUNT(DU11,DU12))</f>
        <v>3.6666666666666665</v>
      </c>
      <c r="DV10" s="183" t="str">
        <f t="shared" si="46"/>
        <v>B</v>
      </c>
      <c r="DW10" s="184">
        <f>IF(COUNT(DW11:DW12)=0,"",SUM(DW11:DW12)/COUNT(DW11:DW12))</f>
        <v>3.7916666666666665</v>
      </c>
      <c r="DX10" s="185" t="str">
        <f t="shared" si="47"/>
        <v>A</v>
      </c>
      <c r="DY10" s="195"/>
      <c r="DZ10" s="90"/>
      <c r="EA10" s="91"/>
      <c r="EB10" s="159">
        <f>IF(COUNT(EB11:EB12)=0,"",SUM(EB11:EB12)/COUNT(EB11:EB12))</f>
        <v>3.5</v>
      </c>
      <c r="EC10" s="160" t="str">
        <f t="shared" si="48"/>
        <v>B</v>
      </c>
      <c r="ED10" s="153"/>
      <c r="EE10" s="90"/>
      <c r="EF10" s="90"/>
      <c r="EG10" s="91"/>
      <c r="EH10" s="159" t="str">
        <f>IF(COUNT(EH11,EH12)=0,"",SUM(EH11:EH12)/COUNT(EH11,EH12))</f>
        <v/>
      </c>
      <c r="EI10" s="175" t="str">
        <f t="shared" si="49"/>
        <v/>
      </c>
      <c r="EJ10" s="153"/>
      <c r="EK10" s="90"/>
      <c r="EL10" s="90"/>
      <c r="EM10" s="90"/>
      <c r="EN10" s="90"/>
      <c r="EO10" s="91"/>
      <c r="EP10" s="159">
        <f>IF(COUNT(EP11,EP12)=0,"",SUM(EP11:EP12)/COUNT(EP11,EP12))</f>
        <v>3.3333333333333335</v>
      </c>
      <c r="EQ10" s="183" t="str">
        <f t="shared" si="50"/>
        <v>B</v>
      </c>
      <c r="ER10" s="184">
        <f>IF(COUNT(ER11:ER12)=0,"",SUM(ER11:ER12)/COUNT(ER11:ER12))</f>
        <v>3.3333333333333335</v>
      </c>
      <c r="ES10" s="185" t="str">
        <f t="shared" si="51"/>
        <v>B</v>
      </c>
      <c r="ET10" s="195"/>
      <c r="EU10" s="90"/>
      <c r="EV10" s="91"/>
      <c r="EW10" s="159">
        <f>IF(COUNT(EW11:EW12)=0,"",SUM(EW11:EW12)/COUNT(EW11:EW12))</f>
        <v>2.5</v>
      </c>
      <c r="EX10" s="160" t="str">
        <f t="shared" si="52"/>
        <v>C</v>
      </c>
      <c r="EY10" s="153"/>
      <c r="EZ10" s="90"/>
      <c r="FA10" s="90"/>
      <c r="FB10" s="91"/>
      <c r="FC10" s="159" t="str">
        <f>IF(COUNT(FC11,FC12)=0,"",SUM(FC11:FC12)/COUNT(FC11,FC12))</f>
        <v/>
      </c>
      <c r="FD10" s="175" t="str">
        <f t="shared" si="53"/>
        <v/>
      </c>
      <c r="FE10" s="153"/>
      <c r="FF10" s="90"/>
      <c r="FG10" s="90"/>
      <c r="FH10" s="90"/>
      <c r="FI10" s="90"/>
      <c r="FJ10" s="91"/>
      <c r="FK10" s="159">
        <f>IF(COUNT(FK11,FK12)=0,"",SUM(FK11:FK12)/COUNT(FK11,FK12))</f>
        <v>3</v>
      </c>
      <c r="FL10" s="183" t="str">
        <f t="shared" si="54"/>
        <v>B</v>
      </c>
      <c r="FM10" s="184">
        <f>IF(COUNT(FM11:FM12)=0,"",SUM(FM11:FM12)/COUNT(FM11:FM12))</f>
        <v>3</v>
      </c>
      <c r="FN10" s="185" t="str">
        <f t="shared" si="55"/>
        <v>B</v>
      </c>
      <c r="FO10" s="195"/>
      <c r="FP10" s="90"/>
      <c r="FQ10" s="91"/>
      <c r="FR10" s="159">
        <f>IF(COUNT(FR11:FR12)=0,"",SUM(FR11:FR12)/COUNT(FR11:FR12))</f>
        <v>2.75</v>
      </c>
      <c r="FS10" s="160" t="str">
        <f t="shared" si="56"/>
        <v>C</v>
      </c>
      <c r="FT10" s="153"/>
      <c r="FU10" s="90"/>
      <c r="FV10" s="90"/>
      <c r="FW10" s="91"/>
      <c r="FX10" s="159" t="str">
        <f>IF(COUNT(FX11,FX12)=0,"",SUM(FX11:FX12)/COUNT(FX11,FX12))</f>
        <v/>
      </c>
      <c r="FY10" s="175" t="str">
        <f t="shared" si="57"/>
        <v/>
      </c>
      <c r="FZ10" s="153"/>
      <c r="GA10" s="90"/>
      <c r="GB10" s="90"/>
      <c r="GC10" s="90"/>
      <c r="GD10" s="90"/>
      <c r="GE10" s="91"/>
      <c r="GF10" s="159">
        <f>IF(COUNT(GF11,GF12)=0,"",SUM(GF11:GF12)/COUNT(GF11,GF12))</f>
        <v>3.3333333333333335</v>
      </c>
      <c r="GG10" s="183" t="str">
        <f t="shared" si="58"/>
        <v>B</v>
      </c>
      <c r="GH10" s="184">
        <f>IF(COUNT(GH11:GH12)=0,"",SUM(GH11:GH12)/COUNT(GH11:GH12))</f>
        <v>3.2083333333333335</v>
      </c>
      <c r="GI10" s="185" t="str">
        <f t="shared" si="59"/>
        <v>B</v>
      </c>
      <c r="GJ10" s="195"/>
      <c r="GK10" s="90"/>
      <c r="GL10" s="91"/>
      <c r="GM10" s="159">
        <f>IF(COUNT(GM11:GM12)=0,"",SUM(GM11:GM12)/COUNT(GM11:GM12))</f>
        <v>3.25</v>
      </c>
      <c r="GN10" s="160" t="str">
        <f t="shared" si="60"/>
        <v>B</v>
      </c>
      <c r="GO10" s="153"/>
      <c r="GP10" s="90"/>
      <c r="GQ10" s="90"/>
      <c r="GR10" s="91"/>
      <c r="GS10" s="159" t="str">
        <f>IF(COUNT(GS11,GS12)=0,"",SUM(GS11:GS12)/COUNT(GS11,GS12))</f>
        <v/>
      </c>
      <c r="GT10" s="175" t="str">
        <f t="shared" si="61"/>
        <v/>
      </c>
      <c r="GU10" s="153"/>
      <c r="GV10" s="90"/>
      <c r="GW10" s="90"/>
      <c r="GX10" s="90"/>
      <c r="GY10" s="90"/>
      <c r="GZ10" s="91"/>
      <c r="HA10" s="159">
        <f>IF(COUNT(HA11,HA12)=0,"",SUM(HA11:HA12)/COUNT(HA11,HA12))</f>
        <v>3.5</v>
      </c>
      <c r="HB10" s="183" t="str">
        <f t="shared" si="62"/>
        <v>B</v>
      </c>
      <c r="HC10" s="184">
        <f>IF(COUNT(HC11:HC12)=0,"",SUM(HC11:HC12)/COUNT(HC11:HC12))</f>
        <v>3.5</v>
      </c>
      <c r="HD10" s="185" t="str">
        <f t="shared" si="63"/>
        <v>B</v>
      </c>
      <c r="HE10" s="195"/>
      <c r="HF10" s="90"/>
      <c r="HG10" s="91"/>
      <c r="HH10" s="159">
        <f>IF(COUNT(HH11:HH12)=0,"",SUM(HH11:HH12)/COUNT(HH11:HH12))</f>
        <v>3</v>
      </c>
      <c r="HI10" s="160" t="str">
        <f t="shared" si="64"/>
        <v>B</v>
      </c>
      <c r="HJ10" s="153"/>
      <c r="HK10" s="90"/>
      <c r="HL10" s="90"/>
      <c r="HM10" s="91"/>
      <c r="HN10" s="159" t="str">
        <f>IF(COUNT(HN11,HN12)=0,"",SUM(HN11:HN12)/COUNT(HN11,HN12))</f>
        <v/>
      </c>
      <c r="HO10" s="175" t="str">
        <f t="shared" si="65"/>
        <v/>
      </c>
      <c r="HP10" s="153"/>
      <c r="HQ10" s="90"/>
      <c r="HR10" s="90"/>
      <c r="HS10" s="90"/>
      <c r="HT10" s="90"/>
      <c r="HU10" s="91"/>
      <c r="HV10" s="159">
        <f>IF(COUNT(HV11,HV12)=0,"",SUM(HV11:HV12)/COUNT(HV11,HV12))</f>
        <v>3.6666666666666665</v>
      </c>
      <c r="HW10" s="183" t="str">
        <f t="shared" si="66"/>
        <v>B</v>
      </c>
      <c r="HX10" s="184">
        <f>IF(COUNT(HX11:HX12)=0,"",SUM(HX11:HX12)/COUNT(HX11:HX12))</f>
        <v>3.4166666666666665</v>
      </c>
      <c r="HY10" s="185" t="str">
        <f t="shared" si="67"/>
        <v>B</v>
      </c>
      <c r="HZ10" s="195"/>
      <c r="IA10" s="90"/>
      <c r="IB10" s="91"/>
      <c r="IC10" s="159">
        <f>IF(COUNT(IC11:IC12)=0,"",SUM(IC11:IC12)/COUNT(IC11:IC12))</f>
        <v>2.5</v>
      </c>
      <c r="ID10" s="160" t="str">
        <f t="shared" si="68"/>
        <v>C</v>
      </c>
      <c r="IE10" s="153"/>
      <c r="IF10" s="90"/>
      <c r="IG10" s="90"/>
      <c r="IH10" s="91"/>
      <c r="II10" s="159" t="str">
        <f>IF(COUNT(II11,II12)=0,"",SUM(II11:II12)/COUNT(II11,II12))</f>
        <v/>
      </c>
      <c r="IJ10" s="175" t="str">
        <f t="shared" si="69"/>
        <v/>
      </c>
      <c r="IK10" s="153"/>
      <c r="IL10" s="90"/>
      <c r="IM10" s="90"/>
      <c r="IN10" s="90"/>
      <c r="IO10" s="90"/>
      <c r="IP10" s="91"/>
      <c r="IQ10" s="159">
        <f>IF(COUNT(IQ11,IQ12)=0,"",SUM(IQ11:IQ12)/COUNT(IQ11,IQ12))</f>
        <v>3.5</v>
      </c>
      <c r="IR10" s="183" t="str">
        <f t="shared" si="70"/>
        <v>B</v>
      </c>
      <c r="IS10" s="184">
        <f>IF(COUNT(IS11:IS12)=0,"",SUM(IS11:IS12)/COUNT(IS11:IS12))</f>
        <v>3.125</v>
      </c>
      <c r="IT10" s="185" t="str">
        <f t="shared" si="71"/>
        <v>B</v>
      </c>
      <c r="IU10" s="195"/>
      <c r="IV10" s="90"/>
      <c r="IW10" s="91"/>
      <c r="IX10" s="159">
        <f>IF(COUNT(IX11:IX12)=0,"",SUM(IX11:IX12)/COUNT(IX11:IX12))</f>
        <v>3</v>
      </c>
      <c r="IY10" s="160" t="str">
        <f t="shared" si="72"/>
        <v>B</v>
      </c>
      <c r="IZ10" s="153"/>
      <c r="JA10" s="90"/>
      <c r="JB10" s="90"/>
      <c r="JC10" s="91"/>
      <c r="JD10" s="159" t="str">
        <f>IF(COUNT(JD11,JD12)=0,"",SUM(JD11:JD12)/COUNT(JD11,JD12))</f>
        <v/>
      </c>
      <c r="JE10" s="175" t="str">
        <f t="shared" si="73"/>
        <v/>
      </c>
      <c r="JF10" s="153"/>
      <c r="JG10" s="90"/>
      <c r="JH10" s="90"/>
      <c r="JI10" s="90"/>
      <c r="JJ10" s="90"/>
      <c r="JK10" s="91"/>
      <c r="JL10" s="159">
        <f>IF(COUNT(JL11,JL12)=0,"",SUM(JL11:JL12)/COUNT(JL11,JL12))</f>
        <v>4</v>
      </c>
      <c r="JM10" s="183" t="str">
        <f t="shared" si="74"/>
        <v>A</v>
      </c>
      <c r="JN10" s="184">
        <f>IF(COUNT(JN11:JN12)=0,"",SUM(JN11:JN12)/COUNT(JN11:JN12))</f>
        <v>3.25</v>
      </c>
      <c r="JO10" s="185" t="str">
        <f t="shared" si="75"/>
        <v>B</v>
      </c>
      <c r="JP10" s="195"/>
      <c r="JQ10" s="90"/>
      <c r="JR10" s="91"/>
      <c r="JS10" s="159">
        <f>IF(COUNT(JS11:JS12)=0,"",SUM(JS11:JS12)/COUNT(JS11:JS12))</f>
        <v>3</v>
      </c>
      <c r="JT10" s="160" t="str">
        <f t="shared" si="76"/>
        <v>B</v>
      </c>
      <c r="JU10" s="153"/>
      <c r="JV10" s="90"/>
      <c r="JW10" s="90"/>
      <c r="JX10" s="91"/>
      <c r="JY10" s="159" t="str">
        <f>IF(COUNT(JY11,JY12)=0,"",SUM(JY11:JY12)/COUNT(JY11,JY12))</f>
        <v/>
      </c>
      <c r="JZ10" s="175" t="str">
        <f t="shared" si="77"/>
        <v/>
      </c>
      <c r="KA10" s="153"/>
      <c r="KB10" s="90"/>
      <c r="KC10" s="90"/>
      <c r="KD10" s="90"/>
      <c r="KE10" s="90"/>
      <c r="KF10" s="91"/>
      <c r="KG10" s="159">
        <f>IF(COUNT(KG11,KG12)=0,"",SUM(KG11:KG12)/COUNT(KG11,KG12))</f>
        <v>3.75</v>
      </c>
      <c r="KH10" s="183" t="str">
        <f t="shared" si="78"/>
        <v>A</v>
      </c>
      <c r="KI10" s="184">
        <f>IF(COUNT(KI11:KI12)=0,"",SUM(KI11:KI12)/COUNT(KI11:KI12))</f>
        <v>3.1875</v>
      </c>
      <c r="KJ10" s="185" t="str">
        <f t="shared" si="79"/>
        <v>B</v>
      </c>
      <c r="KK10" s="195"/>
      <c r="KL10" s="90"/>
      <c r="KM10" s="91"/>
      <c r="KN10" s="159">
        <f>IF(COUNT(KN11:KN12)=0,"",SUM(KN11:KN12)/COUNT(KN11:KN12))</f>
        <v>3</v>
      </c>
      <c r="KO10" s="160" t="str">
        <f t="shared" si="80"/>
        <v>B</v>
      </c>
      <c r="KP10" s="153"/>
      <c r="KQ10" s="90"/>
      <c r="KR10" s="90"/>
      <c r="KS10" s="91"/>
      <c r="KT10" s="159" t="str">
        <f>IF(COUNT(KT11,KT12)=0,"",SUM(KT11:KT12)/COUNT(KT11,KT12))</f>
        <v/>
      </c>
      <c r="KU10" s="175" t="str">
        <f t="shared" si="81"/>
        <v/>
      </c>
      <c r="KV10" s="153"/>
      <c r="KW10" s="90"/>
      <c r="KX10" s="90"/>
      <c r="KY10" s="90"/>
      <c r="KZ10" s="90"/>
      <c r="LA10" s="91"/>
      <c r="LB10" s="159">
        <f>IF(COUNT(LB11,LB12)=0,"",SUM(LB11:LB12)/COUNT(LB11,LB12))</f>
        <v>3.5</v>
      </c>
      <c r="LC10" s="183" t="str">
        <f t="shared" si="82"/>
        <v>B</v>
      </c>
      <c r="LD10" s="184">
        <f>IF(COUNT(LD11:LD12)=0,"",SUM(LD11:LD12)/COUNT(LD11:LD12))</f>
        <v>3.375</v>
      </c>
      <c r="LE10" s="185" t="str">
        <f t="shared" si="83"/>
        <v>B</v>
      </c>
      <c r="LF10" s="195"/>
      <c r="LG10" s="90"/>
      <c r="LH10" s="91"/>
      <c r="LI10" s="159">
        <f>IF(COUNT(LI11:LI12)=0,"",SUM(LI11:LI12)/COUNT(LI11:LI12))</f>
        <v>2.5</v>
      </c>
      <c r="LJ10" s="160" t="str">
        <f t="shared" si="84"/>
        <v>C</v>
      </c>
      <c r="LK10" s="153"/>
      <c r="LL10" s="90"/>
      <c r="LM10" s="90"/>
      <c r="LN10" s="91"/>
      <c r="LO10" s="159" t="str">
        <f>IF(COUNT(LO11,LO12)=0,"",SUM(LO11:LO12)/COUNT(LO11,LO12))</f>
        <v/>
      </c>
      <c r="LP10" s="175" t="str">
        <f t="shared" si="85"/>
        <v/>
      </c>
      <c r="LQ10" s="153"/>
      <c r="LR10" s="90"/>
      <c r="LS10" s="90"/>
      <c r="LT10" s="90"/>
      <c r="LU10" s="90"/>
      <c r="LV10" s="91"/>
      <c r="LW10" s="159">
        <f>IF(COUNT(LW11,LW12)=0,"",SUM(LW11:LW12)/COUNT(LW11,LW12))</f>
        <v>3.3333333333333335</v>
      </c>
      <c r="LX10" s="183" t="str">
        <f t="shared" si="86"/>
        <v>B</v>
      </c>
      <c r="LY10" s="184">
        <f>IF(COUNT(LY11:LY12)=0,"",SUM(LY11:LY12)/COUNT(LY11:LY12))</f>
        <v>3.0833333333333335</v>
      </c>
      <c r="LZ10" s="185" t="str">
        <f t="shared" si="87"/>
        <v>B</v>
      </c>
      <c r="MA10" s="195"/>
      <c r="MB10" s="90"/>
      <c r="MC10" s="91"/>
      <c r="MD10" s="159">
        <f>IF(COUNT(MD11:MD12)=0,"",SUM(MD11:MD12)/COUNT(MD11:MD12))</f>
        <v>2.75</v>
      </c>
      <c r="ME10" s="160" t="str">
        <f t="shared" si="88"/>
        <v>C</v>
      </c>
      <c r="MF10" s="153"/>
      <c r="MG10" s="90"/>
      <c r="MH10" s="90"/>
      <c r="MI10" s="91"/>
      <c r="MJ10" s="159" t="str">
        <f>IF(COUNT(MJ11,MJ12)=0,"",SUM(MJ11:MJ12)/COUNT(MJ11,MJ12))</f>
        <v/>
      </c>
      <c r="MK10" s="175" t="str">
        <f t="shared" si="89"/>
        <v/>
      </c>
      <c r="ML10" s="153"/>
      <c r="MM10" s="90"/>
      <c r="MN10" s="90"/>
      <c r="MO10" s="90"/>
      <c r="MP10" s="90"/>
      <c r="MQ10" s="91"/>
      <c r="MR10" s="159">
        <f>IF(COUNT(MR11,MR12)=0,"",SUM(MR11:MR12)/COUNT(MR11,MR12))</f>
        <v>3.75</v>
      </c>
      <c r="MS10" s="183" t="str">
        <f t="shared" si="90"/>
        <v>A</v>
      </c>
      <c r="MT10" s="184">
        <f>IF(COUNT(MT11:MT12)=0,"",SUM(MT11:MT12)/COUNT(MT11:MT12))</f>
        <v>3.3125</v>
      </c>
      <c r="MU10" s="185" t="str">
        <f t="shared" si="91"/>
        <v>B</v>
      </c>
      <c r="MV10" s="195"/>
      <c r="MW10" s="90"/>
      <c r="MX10" s="91"/>
      <c r="MY10" s="159">
        <f>IF(COUNT(MY11:MY12)=0,"",SUM(MY11:MY12)/COUNT(MY11:MY12))</f>
        <v>3.5</v>
      </c>
      <c r="MZ10" s="160" t="str">
        <f t="shared" si="92"/>
        <v>B</v>
      </c>
      <c r="NA10" s="153"/>
      <c r="NB10" s="90"/>
      <c r="NC10" s="90"/>
      <c r="ND10" s="91"/>
      <c r="NE10" s="159" t="str">
        <f>IF(COUNT(NE11,NE12)=0,"",SUM(NE11:NE12)/COUNT(NE11,NE12))</f>
        <v/>
      </c>
      <c r="NF10" s="175" t="str">
        <f t="shared" si="93"/>
        <v/>
      </c>
      <c r="NG10" s="153"/>
      <c r="NH10" s="90"/>
      <c r="NI10" s="90"/>
      <c r="NJ10" s="90"/>
      <c r="NK10" s="90"/>
      <c r="NL10" s="91"/>
      <c r="NM10" s="159">
        <f>IF(COUNT(NM11,NM12)=0,"",SUM(NM11:NM12)/COUNT(NM11,NM12))</f>
        <v>3.75</v>
      </c>
      <c r="NN10" s="183" t="str">
        <f t="shared" si="94"/>
        <v>A</v>
      </c>
      <c r="NO10" s="184">
        <f>IF(COUNT(NO11:NO12)=0,"",SUM(NO11:NO12)/COUNT(NO11:NO12))</f>
        <v>3.6875</v>
      </c>
      <c r="NP10" s="185" t="str">
        <f t="shared" si="95"/>
        <v>B</v>
      </c>
      <c r="NQ10" s="195"/>
      <c r="NR10" s="90"/>
      <c r="NS10" s="91"/>
      <c r="NT10" s="159">
        <f>IF(COUNT(NT11:NT12)=0,"",SUM(NT11:NT12)/COUNT(NT11:NT12))</f>
        <v>2</v>
      </c>
      <c r="NU10" s="160" t="str">
        <f t="shared" si="96"/>
        <v>C</v>
      </c>
      <c r="NV10" s="153"/>
      <c r="NW10" s="90"/>
      <c r="NX10" s="90"/>
      <c r="NY10" s="91"/>
      <c r="NZ10" s="159" t="str">
        <f>IF(COUNT(NZ11,NZ12)=0,"",SUM(NZ11:NZ12)/COUNT(NZ11,NZ12))</f>
        <v/>
      </c>
      <c r="OA10" s="175" t="str">
        <f t="shared" si="97"/>
        <v/>
      </c>
      <c r="OB10" s="153"/>
      <c r="OC10" s="90"/>
      <c r="OD10" s="90"/>
      <c r="OE10" s="90"/>
      <c r="OF10" s="90"/>
      <c r="OG10" s="91"/>
      <c r="OH10" s="159">
        <f>IF(COUNT(OH11,OH12)=0,"",SUM(OH11:OH12)/COUNT(OH11,OH12))</f>
        <v>3.5</v>
      </c>
      <c r="OI10" s="183" t="str">
        <f t="shared" si="98"/>
        <v>B</v>
      </c>
      <c r="OJ10" s="184">
        <f>IF(COUNT(OJ11:OJ12)=0,"",SUM(OJ11:OJ12)/COUNT(OJ11:OJ12))</f>
        <v>2.625</v>
      </c>
      <c r="OK10" s="185" t="str">
        <f t="shared" si="99"/>
        <v>C</v>
      </c>
      <c r="OL10" s="195"/>
      <c r="OM10" s="90"/>
      <c r="ON10" s="91"/>
      <c r="OO10" s="159">
        <f>IF(COUNT(OO11:OO12)=0,"",SUM(OO11:OO12)/COUNT(OO11:OO12))</f>
        <v>3.25</v>
      </c>
      <c r="OP10" s="160" t="str">
        <f t="shared" si="100"/>
        <v>B</v>
      </c>
      <c r="OQ10" s="153"/>
      <c r="OR10" s="90"/>
      <c r="OS10" s="90"/>
      <c r="OT10" s="91"/>
      <c r="OU10" s="159" t="str">
        <f>IF(COUNT(OU11,OU12)=0,"",SUM(OU11:OU12)/COUNT(OU11,OU12))</f>
        <v/>
      </c>
      <c r="OV10" s="175" t="str">
        <f t="shared" si="101"/>
        <v/>
      </c>
      <c r="OW10" s="153"/>
      <c r="OX10" s="90"/>
      <c r="OY10" s="90"/>
      <c r="OZ10" s="90"/>
      <c r="PA10" s="90"/>
      <c r="PB10" s="91"/>
      <c r="PC10" s="159">
        <f>IF(COUNT(PC11,PC12)=0,"",SUM(PC11:PC12)/COUNT(PC11,PC12))</f>
        <v>3.5</v>
      </c>
      <c r="PD10" s="183" t="str">
        <f t="shared" si="102"/>
        <v>B</v>
      </c>
      <c r="PE10" s="184">
        <f>IF(COUNT(PE11:PE12)=0,"",SUM(PE11:PE12)/COUNT(PE11:PE12))</f>
        <v>3.5</v>
      </c>
      <c r="PF10" s="185" t="str">
        <f t="shared" si="103"/>
        <v>B</v>
      </c>
      <c r="PG10" s="195"/>
      <c r="PH10" s="90"/>
      <c r="PI10" s="91"/>
      <c r="PJ10" s="159">
        <f>IF(COUNT(PJ11:PJ12)=0,"",SUM(PJ11:PJ12)/COUNT(PJ11:PJ12))</f>
        <v>3</v>
      </c>
      <c r="PK10" s="160" t="str">
        <f t="shared" si="104"/>
        <v>B</v>
      </c>
      <c r="PL10" s="153"/>
      <c r="PM10" s="90"/>
      <c r="PN10" s="90"/>
      <c r="PO10" s="91"/>
      <c r="PP10" s="159" t="str">
        <f>IF(COUNT(PP11,PP12)=0,"",SUM(PP11:PP12)/COUNT(PP11,PP12))</f>
        <v/>
      </c>
      <c r="PQ10" s="175" t="str">
        <f t="shared" si="105"/>
        <v/>
      </c>
      <c r="PR10" s="153"/>
      <c r="PS10" s="90"/>
      <c r="PT10" s="90"/>
      <c r="PU10" s="90"/>
      <c r="PV10" s="90"/>
      <c r="PW10" s="91"/>
      <c r="PX10" s="159">
        <f>IF(COUNT(PX11,PX12)=0,"",SUM(PX11:PX12)/COUNT(PX11,PX12))</f>
        <v>3.75</v>
      </c>
      <c r="PY10" s="183" t="str">
        <f t="shared" si="106"/>
        <v>A</v>
      </c>
      <c r="PZ10" s="184">
        <f>IF(COUNT(PZ11:PZ12)=0,"",SUM(PZ11:PZ12)/COUNT(PZ11:PZ12))</f>
        <v>3.4375</v>
      </c>
      <c r="QA10" s="185" t="str">
        <f t="shared" si="107"/>
        <v>B</v>
      </c>
      <c r="QB10" s="195"/>
      <c r="QC10" s="90"/>
      <c r="QD10" s="91"/>
      <c r="QE10" s="159">
        <f>IF(COUNT(QE11:QE12)=0,"",SUM(QE11:QE12)/COUNT(QE11:QE12))</f>
        <v>3.75</v>
      </c>
      <c r="QF10" s="160" t="str">
        <f t="shared" si="108"/>
        <v>A</v>
      </c>
      <c r="QG10" s="153"/>
      <c r="QH10" s="90"/>
      <c r="QI10" s="90"/>
      <c r="QJ10" s="91"/>
      <c r="QK10" s="159" t="str">
        <f>IF(COUNT(QK11,QK12)=0,"",SUM(QK11:QK12)/COUNT(QK11,QK12))</f>
        <v/>
      </c>
      <c r="QL10" s="175" t="str">
        <f t="shared" si="109"/>
        <v/>
      </c>
      <c r="QM10" s="153"/>
      <c r="QN10" s="90"/>
      <c r="QO10" s="90"/>
      <c r="QP10" s="90"/>
      <c r="QQ10" s="90"/>
      <c r="QR10" s="91"/>
      <c r="QS10" s="159">
        <f>IF(COUNT(QS11,QS12)=0,"",SUM(QS11:QS12)/COUNT(QS11,QS12))</f>
        <v>3.75</v>
      </c>
      <c r="QT10" s="183" t="str">
        <f t="shared" si="110"/>
        <v>A</v>
      </c>
      <c r="QU10" s="184">
        <f>IF(COUNT(QU11:QU12)=0,"",SUM(QU11:QU12)/COUNT(QU11:QU12))</f>
        <v>3.8125</v>
      </c>
      <c r="QV10" s="185" t="str">
        <f t="shared" si="111"/>
        <v>A</v>
      </c>
      <c r="QW10" s="195"/>
      <c r="QX10" s="90"/>
      <c r="QY10" s="91"/>
      <c r="QZ10" s="159">
        <f>IF(COUNT(QZ11:QZ12)=0,"",SUM(QZ11:QZ12)/COUNT(QZ11:QZ12))</f>
        <v>1.25</v>
      </c>
      <c r="RA10" s="160" t="str">
        <f t="shared" si="112"/>
        <v>D</v>
      </c>
      <c r="RB10" s="153"/>
      <c r="RC10" s="90"/>
      <c r="RD10" s="90"/>
      <c r="RE10" s="91"/>
      <c r="RF10" s="159" t="str">
        <f>IF(COUNT(RF11,RF12)=0,"",SUM(RF11:RF12)/COUNT(RF11,RF12))</f>
        <v/>
      </c>
      <c r="RG10" s="175" t="str">
        <f t="shared" si="113"/>
        <v/>
      </c>
      <c r="RH10" s="153"/>
      <c r="RI10" s="90"/>
      <c r="RJ10" s="90"/>
      <c r="RK10" s="90"/>
      <c r="RL10" s="90"/>
      <c r="RM10" s="91"/>
      <c r="RN10" s="159">
        <f>IF(COUNT(RN11,RN12)=0,"",SUM(RN11:RN12)/COUNT(RN11,RN12))</f>
        <v>3.3333333333333335</v>
      </c>
      <c r="RO10" s="183" t="str">
        <f t="shared" si="114"/>
        <v>B</v>
      </c>
      <c r="RP10" s="184">
        <f>IF(COUNT(RP11:RP12)=0,"",SUM(RP11:RP12)/COUNT(RP11:RP12))</f>
        <v>1.7083333333333335</v>
      </c>
      <c r="RQ10" s="185" t="str">
        <f t="shared" si="115"/>
        <v>C</v>
      </c>
      <c r="RR10" s="195"/>
      <c r="RS10" s="90"/>
      <c r="RT10" s="91"/>
      <c r="RU10" s="159">
        <f>IF(COUNT(RU11:RU12)=0,"",SUM(RU11:RU12)/COUNT(RU11:RU12))</f>
        <v>3.75</v>
      </c>
      <c r="RV10" s="160" t="str">
        <f t="shared" si="116"/>
        <v>A</v>
      </c>
      <c r="RW10" s="153"/>
      <c r="RX10" s="90"/>
      <c r="RY10" s="90"/>
      <c r="RZ10" s="91"/>
      <c r="SA10" s="159" t="str">
        <f>IF(COUNT(SA11,SA12)=0,"",SUM(SA11:SA12)/COUNT(SA11,SA12))</f>
        <v/>
      </c>
      <c r="SB10" s="175" t="str">
        <f t="shared" si="117"/>
        <v/>
      </c>
      <c r="SC10" s="153"/>
      <c r="SD10" s="90"/>
      <c r="SE10" s="90"/>
      <c r="SF10" s="90"/>
      <c r="SG10" s="90"/>
      <c r="SH10" s="91"/>
      <c r="SI10" s="159">
        <f>IF(COUNT(SI11,SI12)=0,"",SUM(SI11:SI12)/COUNT(SI11,SI12))</f>
        <v>3.75</v>
      </c>
      <c r="SJ10" s="183" t="str">
        <f t="shared" si="118"/>
        <v>A</v>
      </c>
      <c r="SK10" s="184">
        <f>IF(COUNT(SK11:SK12)=0,"",SUM(SK11:SK12)/COUNT(SK11:SK12))</f>
        <v>3.8125</v>
      </c>
      <c r="SL10" s="185" t="str">
        <f t="shared" si="119"/>
        <v>A</v>
      </c>
      <c r="SM10" s="195"/>
      <c r="SN10" s="90"/>
      <c r="SO10" s="91"/>
      <c r="SP10" s="159">
        <f>IF(COUNT(SP11:SP12)=0,"",SUM(SP11:SP12)/COUNT(SP11:SP12))</f>
        <v>1.25</v>
      </c>
      <c r="SQ10" s="160" t="str">
        <f t="shared" si="120"/>
        <v>D</v>
      </c>
      <c r="SR10" s="153"/>
      <c r="SS10" s="90"/>
      <c r="ST10" s="90"/>
      <c r="SU10" s="91"/>
      <c r="SV10" s="159" t="str">
        <f>IF(COUNT(SV11,SV12)=0,"",SUM(SV11:SV12)/COUNT(SV11,SV12))</f>
        <v/>
      </c>
      <c r="SW10" s="175" t="str">
        <f t="shared" si="121"/>
        <v/>
      </c>
      <c r="SX10" s="153"/>
      <c r="SY10" s="90"/>
      <c r="SZ10" s="90"/>
      <c r="TA10" s="90"/>
      <c r="TB10" s="90"/>
      <c r="TC10" s="91"/>
      <c r="TD10" s="159">
        <f>IF(COUNT(TD11,TD12)=0,"",SUM(TD11:TD12)/COUNT(TD11,TD12))</f>
        <v>3.25</v>
      </c>
      <c r="TE10" s="183" t="str">
        <f t="shared" si="122"/>
        <v>B</v>
      </c>
      <c r="TF10" s="184">
        <f>IF(COUNT(TF11:TF12)=0,"",SUM(TF11:TF12)/COUNT(TF11:TF12))</f>
        <v>1.6875</v>
      </c>
      <c r="TG10" s="185" t="str">
        <f t="shared" si="123"/>
        <v>C</v>
      </c>
      <c r="TH10" s="117"/>
      <c r="TI10" s="90"/>
      <c r="TJ10" s="91"/>
      <c r="TK10" s="86" t="str">
        <f>IF(COUNT(TK11:TK12)=0,"",SUM(TK11:TK12)/COUNT(TK11:TK12))</f>
        <v/>
      </c>
      <c r="TL10" s="87" t="str">
        <f t="shared" si="124"/>
        <v/>
      </c>
      <c r="TM10" s="89"/>
      <c r="TN10" s="90"/>
      <c r="TO10" s="91"/>
      <c r="TP10" s="86" t="str">
        <f>IF(COUNT(TP11,TP12)=0,"",SUM(TP11:TP12)/COUNT(TP11,TP12))</f>
        <v/>
      </c>
      <c r="TQ10" s="88" t="str">
        <f t="shared" si="125"/>
        <v/>
      </c>
      <c r="TR10" s="89"/>
      <c r="TS10" s="90"/>
      <c r="TT10" s="91"/>
      <c r="TU10" s="86" t="str">
        <f>IF(COUNT(TU11,TU12)=0,"",SUM(TU11:TU12)/COUNT(TU11,TU12))</f>
        <v/>
      </c>
      <c r="TV10" s="92" t="str">
        <f t="shared" si="126"/>
        <v/>
      </c>
      <c r="TW10" s="93" t="str">
        <f>IF(COUNT(TW11:TW12)=0,"",SUM(TW11:TW12)/COUNT(TW11:TW12))</f>
        <v/>
      </c>
      <c r="TX10" s="94" t="str">
        <f t="shared" si="127"/>
        <v/>
      </c>
      <c r="TY10" s="117"/>
      <c r="TZ10" s="90"/>
      <c r="UA10" s="91"/>
      <c r="UB10" s="86" t="str">
        <f>IF(COUNT(UB11:UB12)=0,"",SUM(UB11:UB12)/COUNT(UB11:UB12))</f>
        <v/>
      </c>
      <c r="UC10" s="87" t="str">
        <f t="shared" si="128"/>
        <v/>
      </c>
      <c r="UD10" s="89"/>
      <c r="UE10" s="90"/>
      <c r="UF10" s="91"/>
      <c r="UG10" s="86" t="str">
        <f>IF(COUNT(UG11,UG12)=0,"",SUM(UG11:UG12)/COUNT(UG11,UG12))</f>
        <v/>
      </c>
      <c r="UH10" s="88" t="str">
        <f t="shared" si="129"/>
        <v/>
      </c>
      <c r="UI10" s="89"/>
      <c r="UJ10" s="90"/>
      <c r="UK10" s="91"/>
      <c r="UL10" s="86" t="str">
        <f>IF(COUNT(UL11,UL12)=0,"",SUM(UL11:UL12)/COUNT(UL11,UL12))</f>
        <v/>
      </c>
      <c r="UM10" s="92" t="str">
        <f t="shared" si="130"/>
        <v/>
      </c>
      <c r="UN10" s="93" t="str">
        <f>IF(COUNT(UN11:UN12)=0,"",SUM(UN11:UN12)/COUNT(UN11:UN12))</f>
        <v/>
      </c>
      <c r="UO10" s="94" t="str">
        <f t="shared" si="131"/>
        <v/>
      </c>
      <c r="UP10" s="117"/>
      <c r="UQ10" s="90"/>
      <c r="UR10" s="91"/>
      <c r="US10" s="86" t="str">
        <f>IF(COUNT(US11:US12)=0,"",SUM(US11:US12)/COUNT(US11:US12))</f>
        <v/>
      </c>
      <c r="UT10" s="87" t="str">
        <f t="shared" si="132"/>
        <v/>
      </c>
      <c r="UU10" s="89"/>
      <c r="UV10" s="90"/>
      <c r="UW10" s="91"/>
      <c r="UX10" s="86" t="str">
        <f>IF(COUNT(UX11,UX12)=0,"",SUM(UX11:UX12)/COUNT(UX11,UX12))</f>
        <v/>
      </c>
      <c r="UY10" s="88" t="str">
        <f t="shared" si="133"/>
        <v/>
      </c>
      <c r="UZ10" s="89"/>
      <c r="VA10" s="90"/>
      <c r="VB10" s="91"/>
      <c r="VC10" s="86" t="str">
        <f>IF(COUNT(VC11,VC12)=0,"",SUM(VC11:VC12)/COUNT(VC11,VC12))</f>
        <v/>
      </c>
      <c r="VD10" s="92" t="str">
        <f t="shared" si="134"/>
        <v/>
      </c>
      <c r="VE10" s="93" t="str">
        <f>IF(COUNT(VE11:VE12)=0,"",SUM(VE11:VE12)/COUNT(VE11:VE12))</f>
        <v/>
      </c>
      <c r="VF10" s="94" t="str">
        <f t="shared" si="135"/>
        <v/>
      </c>
      <c r="VG10" s="117"/>
      <c r="VH10" s="90"/>
      <c r="VI10" s="91"/>
      <c r="VJ10" s="86" t="str">
        <f>IF(COUNT(VJ11:VJ12)=0,"",SUM(VJ11:VJ12)/COUNT(VJ11:VJ12))</f>
        <v/>
      </c>
      <c r="VK10" s="87" t="str">
        <f t="shared" si="136"/>
        <v/>
      </c>
      <c r="VL10" s="89"/>
      <c r="VM10" s="90"/>
      <c r="VN10" s="91"/>
      <c r="VO10" s="86" t="str">
        <f>IF(COUNT(VO11,VO12)=0,"",SUM(VO11:VO12)/COUNT(VO11,VO12))</f>
        <v/>
      </c>
      <c r="VP10" s="88" t="str">
        <f t="shared" si="137"/>
        <v/>
      </c>
      <c r="VQ10" s="89"/>
      <c r="VR10" s="90"/>
      <c r="VS10" s="91"/>
      <c r="VT10" s="86" t="str">
        <f>IF(COUNT(VT11,VT12)=0,"",SUM(VT11:VT12)/COUNT(VT11,VT12))</f>
        <v/>
      </c>
      <c r="VU10" s="92" t="str">
        <f t="shared" si="138"/>
        <v/>
      </c>
      <c r="VV10" s="93" t="str">
        <f>IF(COUNT(VV11:VV12)=0,"",SUM(VV11:VV12)/COUNT(VV11:VV12))</f>
        <v/>
      </c>
      <c r="VW10" s="94" t="str">
        <f t="shared" si="139"/>
        <v/>
      </c>
      <c r="VX10" s="117"/>
      <c r="VY10" s="90"/>
      <c r="VZ10" s="91"/>
      <c r="WA10" s="86" t="str">
        <f>IF(COUNT(WA11:WA12)=0,"",SUM(WA11:WA12)/COUNT(WA11:WA12))</f>
        <v/>
      </c>
      <c r="WB10" s="87" t="str">
        <f t="shared" si="140"/>
        <v/>
      </c>
      <c r="WC10" s="89"/>
      <c r="WD10" s="90"/>
      <c r="WE10" s="91"/>
      <c r="WF10" s="86" t="str">
        <f>IF(COUNT(WF11,WF12)=0,"",SUM(WF11:WF12)/COUNT(WF11,WF12))</f>
        <v/>
      </c>
      <c r="WG10" s="88" t="str">
        <f t="shared" si="141"/>
        <v/>
      </c>
      <c r="WH10" s="89"/>
      <c r="WI10" s="90"/>
      <c r="WJ10" s="91"/>
      <c r="WK10" s="86" t="str">
        <f>IF(COUNT(WK11,WK12)=0,"",SUM(WK11:WK12)/COUNT(WK11,WK12))</f>
        <v/>
      </c>
      <c r="WL10" s="92" t="str">
        <f t="shared" si="142"/>
        <v/>
      </c>
      <c r="WM10" s="93" t="str">
        <f>IF(COUNT(WM11:WM12)=0,"",SUM(WM11:WM12)/COUNT(WM11:WM12))</f>
        <v/>
      </c>
      <c r="WN10" s="94" t="str">
        <f t="shared" si="143"/>
        <v/>
      </c>
    </row>
    <row r="11" spans="1:612" ht="18" customHeight="1" x14ac:dyDescent="0.55000000000000004">
      <c r="A11" s="217" t="s">
        <v>47</v>
      </c>
      <c r="B11" s="218"/>
      <c r="C11" s="103" t="s">
        <v>27</v>
      </c>
      <c r="D11" s="104" t="s">
        <v>30</v>
      </c>
      <c r="E11" s="105"/>
      <c r="F11" s="161">
        <f>IFERROR((((COUNTIF('Elève (3ème1)'!C11:E11,"A"))*4)+((COUNTIF('Elève (3ème1)'!C11:E11,"B"))*3)+((COUNTIF('Elève (3ème1)'!C11:E11,"C"))*2)+((COUNTIF('Elève (3ème1)'!C11:E11,"D"))*1))/(COUNTA(C11:E11)),"")</f>
        <v>2.5</v>
      </c>
      <c r="G11" s="162" t="str">
        <f t="shared" si="24"/>
        <v>C</v>
      </c>
      <c r="H11" s="103"/>
      <c r="I11" s="104"/>
      <c r="J11" s="105"/>
      <c r="K11" s="105"/>
      <c r="L11" s="161" t="str">
        <f>IFERROR((((COUNTIF('Elève (3ème1)'!H11:K11,"A"))*4)+((COUNTIF('Elève (3ème1)'!H11:K11,"B"))*3)+((COUNTIF('Elève (3ème1)'!H11:K11,"C"))*2)+((COUNTIF('Elève (3ème1)'!H11:K11,"D"))*1))/(COUNTA(H11:K11)),"")</f>
        <v/>
      </c>
      <c r="M11" s="162" t="str">
        <f t="shared" si="25"/>
        <v/>
      </c>
      <c r="N11" s="103" t="s">
        <v>27</v>
      </c>
      <c r="O11" s="104" t="s">
        <v>28</v>
      </c>
      <c r="P11" s="105" t="s">
        <v>27</v>
      </c>
      <c r="Q11" s="105" t="s">
        <v>27</v>
      </c>
      <c r="R11" s="105"/>
      <c r="S11" s="105"/>
      <c r="T11" s="161">
        <f>IFERROR((((COUNTIF('Elève (3ème1)'!N11:S11,"A"))*4)+((COUNTIF('Elève (3ème1)'!N11:S11,"B"))*3)+((COUNTIF('Elève (3ème1)'!N11:S11,"C"))*2)+((COUNTIF('Elève (3ème1)'!N11:S11,"D"))*1))/(COUNTA(N11:S11)),"")</f>
        <v>3.75</v>
      </c>
      <c r="U11" s="162" t="str">
        <f t="shared" si="26"/>
        <v>A</v>
      </c>
      <c r="V11" s="189">
        <f>IF(COUNT(F11,L11,T11)=0,"",SUM(F11,L11,T11)/COUNT(F11,L11,T11))</f>
        <v>3.125</v>
      </c>
      <c r="W11" s="186" t="str">
        <f t="shared" si="27"/>
        <v>B</v>
      </c>
      <c r="X11" s="103" t="s">
        <v>30</v>
      </c>
      <c r="Y11" s="104" t="s">
        <v>30</v>
      </c>
      <c r="Z11" s="105"/>
      <c r="AA11" s="161">
        <f>IFERROR((((COUNTIF('Elève (3ème1)'!X11:Z11,"A"))*4)+((COUNTIF('Elève (3ème1)'!X11:Z11,"B"))*3)+((COUNTIF('Elève (3ème1)'!X11:Z11,"C"))*2)+((COUNTIF('Elève (3ème1)'!X11:Z11,"D"))*1))/(COUNTA(X11:Z11)),"")</f>
        <v>1</v>
      </c>
      <c r="AB11" s="162" t="str">
        <f t="shared" si="28"/>
        <v>D</v>
      </c>
      <c r="AC11" s="103"/>
      <c r="AD11" s="104"/>
      <c r="AE11" s="105"/>
      <c r="AF11" s="105"/>
      <c r="AG11" s="161" t="str">
        <f>IFERROR((((COUNTIF('Elève (3ème1)'!AC11:AF11,"A"))*4)+((COUNTIF('Elève (3ème1)'!AC11:AF11,"B"))*3)+((COUNTIF('Elève (3ème1)'!AC11:AF11,"C"))*2)+((COUNTIF('Elève (3ème1)'!AC11:AF11,"D"))*1))/(COUNTA(AC11:AF11)),"")</f>
        <v/>
      </c>
      <c r="AH11" s="162" t="str">
        <f t="shared" si="29"/>
        <v/>
      </c>
      <c r="AI11" s="103" t="s">
        <v>28</v>
      </c>
      <c r="AJ11" s="104" t="s">
        <v>29</v>
      </c>
      <c r="AK11" s="105" t="s">
        <v>27</v>
      </c>
      <c r="AL11" s="105" t="s">
        <v>27</v>
      </c>
      <c r="AM11" s="105"/>
      <c r="AN11" s="109"/>
      <c r="AO11" s="161">
        <f>IFERROR((((COUNTIF('Elève (3ème1)'!AI11:AN11,"A"))*4)+((COUNTIF('Elève (3ème1)'!AI11:AN11,"B"))*3)+((COUNTIF('Elève (3ème1)'!AI11:AN11,"C"))*2)+((COUNTIF('Elève (3ème1)'!AI11:AN11,"D"))*1))/(COUNTA(AI11:AN11)),"")</f>
        <v>3.25</v>
      </c>
      <c r="AP11" s="162" t="str">
        <f t="shared" si="30"/>
        <v>B</v>
      </c>
      <c r="AQ11" s="189">
        <f>IF(COUNT(AA11,AG11,AO11)=0,"",SUM(AA11,AG11,AO11)/COUNT(AA11,AG11,AO11))</f>
        <v>2.125</v>
      </c>
      <c r="AR11" s="186" t="str">
        <f t="shared" si="31"/>
        <v>C</v>
      </c>
      <c r="AS11" s="103" t="s">
        <v>29</v>
      </c>
      <c r="AT11" s="104" t="s">
        <v>30</v>
      </c>
      <c r="AU11" s="105"/>
      <c r="AV11" s="161">
        <f>IFERROR((((COUNTIF('Elève (3ème1)'!AS11:AU11,"A"))*4)+((COUNTIF('Elève (3ème1)'!AS11:AU11,"B"))*3)+((COUNTIF('Elève (3ème1)'!AS11:AU11,"C"))*2)+((COUNTIF('Elève (3ème1)'!AS11:AU11,"D"))*1))/(COUNTA(AS11:AU11)),"")</f>
        <v>1.5</v>
      </c>
      <c r="AW11" s="162" t="str">
        <f t="shared" si="32"/>
        <v>D</v>
      </c>
      <c r="AX11" s="103"/>
      <c r="AY11" s="104"/>
      <c r="AZ11" s="105"/>
      <c r="BA11" s="105"/>
      <c r="BB11" s="161" t="str">
        <f>IFERROR((((COUNTIF('Elève (3ème1)'!AX11:BA11,"A"))*4)+((COUNTIF('Elève (3ème1)'!AX11:BA11,"B"))*3)+((COUNTIF('Elève (3ème1)'!AX11:BA11,"C"))*2)+((COUNTIF('Elève (3ème1)'!AX11:BA11,"D"))*1))/(COUNTA(AX11:BA11)),"")</f>
        <v/>
      </c>
      <c r="BC11" s="162" t="str">
        <f t="shared" si="33"/>
        <v/>
      </c>
      <c r="BD11" s="103" t="s">
        <v>28</v>
      </c>
      <c r="BE11" s="104" t="s">
        <v>29</v>
      </c>
      <c r="BF11" s="105" t="s">
        <v>27</v>
      </c>
      <c r="BG11" s="105" t="s">
        <v>27</v>
      </c>
      <c r="BH11" s="105"/>
      <c r="BI11" s="109"/>
      <c r="BJ11" s="161">
        <f>IFERROR((((COUNTIF('Elève (3ème1)'!BD11:BI11,"A"))*4)+((COUNTIF('Elève (3ème1)'!BD11:BI11,"B"))*3)+((COUNTIF('Elève (3ème1)'!BD11:BI11,"C"))*2)+((COUNTIF('Elève (3ème1)'!BD11:BI11,"D"))*1))/(COUNTA(BD11:BI11)),"")</f>
        <v>3.25</v>
      </c>
      <c r="BK11" s="162" t="str">
        <f t="shared" si="34"/>
        <v>B</v>
      </c>
      <c r="BL11" s="189">
        <f>IF(COUNT(AV11,BB11,BJ11)=0,"",SUM(AV11,BB11,BJ11)/COUNT(AV11,BB11,BJ11))</f>
        <v>2.375</v>
      </c>
      <c r="BM11" s="186" t="str">
        <f t="shared" si="35"/>
        <v>C</v>
      </c>
      <c r="BN11" s="103" t="s">
        <v>30</v>
      </c>
      <c r="BO11" s="104" t="s">
        <v>29</v>
      </c>
      <c r="BP11" s="105"/>
      <c r="BQ11" s="161">
        <f>IFERROR((((COUNTIF('Elève (3ème1)'!BN11:BP11,"A"))*4)+((COUNTIF('Elève (3ème1)'!BN11:BP11,"B"))*3)+((COUNTIF('Elève (3ème1)'!BN11:BP11,"C"))*2)+((COUNTIF('Elève (3ème1)'!BN11:BP11,"D"))*1))/(COUNTA(BN11:BP11)),"")</f>
        <v>1.5</v>
      </c>
      <c r="BR11" s="162" t="str">
        <f t="shared" si="36"/>
        <v>D</v>
      </c>
      <c r="BS11" s="103"/>
      <c r="BT11" s="104"/>
      <c r="BU11" s="105"/>
      <c r="BV11" s="105"/>
      <c r="BW11" s="161" t="str">
        <f>IFERROR((((COUNTIF('Elève (3ème1)'!BS11:BV11,"A"))*4)+((COUNTIF('Elève (3ème1)'!BS11:BV11,"B"))*3)+((COUNTIF('Elève (3ème1)'!BS11:BV11,"C"))*2)+((COUNTIF('Elève (3ème1)'!BS11:BV11,"D"))*1))/(COUNTA(BS11:BV11)),"")</f>
        <v/>
      </c>
      <c r="BX11" s="162" t="str">
        <f t="shared" si="37"/>
        <v/>
      </c>
      <c r="BY11" s="103" t="s">
        <v>27</v>
      </c>
      <c r="BZ11" s="104" t="s">
        <v>28</v>
      </c>
      <c r="CA11" s="105" t="s">
        <v>27</v>
      </c>
      <c r="CB11" s="105" t="s">
        <v>27</v>
      </c>
      <c r="CC11" s="105"/>
      <c r="CD11" s="109"/>
      <c r="CE11" s="161">
        <f>IFERROR((((COUNTIF('Elève (3ème1)'!BY11:CD11,"A"))*4)+((COUNTIF('Elève (3ème1)'!BY11:CD11,"B"))*3)+((COUNTIF('Elève (3ème1)'!BY11:CD11,"C"))*2)+((COUNTIF('Elève (3ème1)'!BY11:CD11,"D"))*1))/(COUNTA(BY11:CD11)),"")</f>
        <v>3.75</v>
      </c>
      <c r="CF11" s="162" t="str">
        <f t="shared" si="38"/>
        <v>A</v>
      </c>
      <c r="CG11" s="189">
        <f>IF(COUNT(BQ11,BW11,CE11)=0,"",SUM(BQ11,BW11,CE11)/COUNT(BQ11,BW11,CE11))</f>
        <v>2.625</v>
      </c>
      <c r="CH11" s="186" t="str">
        <f t="shared" si="39"/>
        <v>C</v>
      </c>
      <c r="CI11" s="103" t="s">
        <v>29</v>
      </c>
      <c r="CJ11" s="104" t="s">
        <v>30</v>
      </c>
      <c r="CK11" s="105"/>
      <c r="CL11" s="161">
        <f>IFERROR((((COUNTIF('Elève (3ème1)'!CI11:CK11,"A"))*4)+((COUNTIF('Elève (3ème1)'!CI11:CK11,"B"))*3)+((COUNTIF('Elève (3ème1)'!CI11:CK11,"C"))*2)+((COUNTIF('Elève (3ème1)'!CI11:CK11,"D"))*1))/(COUNTA(CI11:CK11)),"")</f>
        <v>1.5</v>
      </c>
      <c r="CM11" s="162" t="str">
        <f t="shared" si="40"/>
        <v>D</v>
      </c>
      <c r="CN11" s="103"/>
      <c r="CO11" s="104"/>
      <c r="CP11" s="105"/>
      <c r="CQ11" s="105"/>
      <c r="CR11" s="161" t="str">
        <f>IFERROR((((COUNTIF('Elève (3ème1)'!CN11:CQ11,"A"))*4)+((COUNTIF('Elève (3ème1)'!CN11:CQ11,"B"))*3)+((COUNTIF('Elève (3ème1)'!CN11:CQ11,"C"))*2)+((COUNTIF('Elève (3ème1)'!CN11:CQ11,"D"))*1))/(COUNTA(CN11:CQ11)),"")</f>
        <v/>
      </c>
      <c r="CS11" s="162" t="str">
        <f t="shared" si="41"/>
        <v/>
      </c>
      <c r="CT11" s="103" t="s">
        <v>28</v>
      </c>
      <c r="CU11" s="104" t="s">
        <v>28</v>
      </c>
      <c r="CV11" s="105"/>
      <c r="CW11" s="105" t="s">
        <v>27</v>
      </c>
      <c r="CX11" s="105"/>
      <c r="CY11" s="109"/>
      <c r="CZ11" s="161">
        <f>IFERROR((((COUNTIF('Elève (3ème1)'!CT11:CY11,"A"))*4)+((COUNTIF('Elève (3ème1)'!CT11:CY11,"B"))*3)+((COUNTIF('Elève (3ème1)'!CT11:CY11,"C"))*2)+((COUNTIF('Elève (3ème1)'!CT11:CY11,"D"))*1))/(COUNTA(CT11:CY11)),"")</f>
        <v>3.3333333333333335</v>
      </c>
      <c r="DA11" s="162" t="str">
        <f t="shared" si="42"/>
        <v>B</v>
      </c>
      <c r="DB11" s="189">
        <f>IF(COUNT(CL11,CR11,CZ11)=0,"",SUM(CL11,CR11,CZ11)/COUNT(CL11,CR11,CZ11))</f>
        <v>2.416666666666667</v>
      </c>
      <c r="DC11" s="186" t="str">
        <f t="shared" si="43"/>
        <v>C</v>
      </c>
      <c r="DD11" s="103" t="s">
        <v>27</v>
      </c>
      <c r="DE11" s="104" t="s">
        <v>28</v>
      </c>
      <c r="DF11" s="105"/>
      <c r="DG11" s="161">
        <f>IFERROR((((COUNTIF('Elève (3ème1)'!DD11:DF11,"A"))*4)+((COUNTIF('Elève (3ème1)'!DD11:DF11,"B"))*3)+((COUNTIF('Elève (3ème1)'!DD11:DF11,"C"))*2)+((COUNTIF('Elève (3ème1)'!DD11:DF11,"D"))*1))/(COUNTA(DD11:DF11)),"")</f>
        <v>3.5</v>
      </c>
      <c r="DH11" s="162" t="str">
        <f t="shared" si="44"/>
        <v>B</v>
      </c>
      <c r="DI11" s="103"/>
      <c r="DJ11" s="104"/>
      <c r="DK11" s="105"/>
      <c r="DL11" s="105"/>
      <c r="DM11" s="161" t="str">
        <f>IFERROR((((COUNTIF('Elève (3ème1)'!DI11:DL11,"A"))*4)+((COUNTIF('Elève (3ème1)'!DI11:DL11,"B"))*3)+((COUNTIF('Elève (3ème1)'!DI11:DL11,"C"))*2)+((COUNTIF('Elève (3ème1)'!DI11:DL11,"D"))*1))/(COUNTA(DI11:DL11)),"")</f>
        <v/>
      </c>
      <c r="DN11" s="162" t="str">
        <f t="shared" si="45"/>
        <v/>
      </c>
      <c r="DO11" s="103" t="s">
        <v>27</v>
      </c>
      <c r="DP11" s="104" t="s">
        <v>28</v>
      </c>
      <c r="DQ11" s="105"/>
      <c r="DR11" s="105" t="s">
        <v>27</v>
      </c>
      <c r="DS11" s="105"/>
      <c r="DT11" s="109"/>
      <c r="DU11" s="161">
        <f>IFERROR((((COUNTIF('Elève (3ème1)'!DO11:DT11,"A"))*4)+((COUNTIF('Elève (3ème1)'!DO11:DT11,"B"))*3)+((COUNTIF('Elève (3ème1)'!DO11:DT11,"C"))*2)+((COUNTIF('Elève (3ème1)'!DO11:DT11,"D"))*1))/(COUNTA(DO11:DT11)),"")</f>
        <v>3.6666666666666665</v>
      </c>
      <c r="DV11" s="162" t="str">
        <f t="shared" si="46"/>
        <v>B</v>
      </c>
      <c r="DW11" s="189">
        <f>IF(COUNT(DG11,DM11,DU11)=0,"",SUM(DG11,DM11,DU11)/COUNT(DG11,DM11,DU11))</f>
        <v>3.583333333333333</v>
      </c>
      <c r="DX11" s="186" t="str">
        <f t="shared" si="47"/>
        <v>B</v>
      </c>
      <c r="DY11" s="103" t="s">
        <v>27</v>
      </c>
      <c r="DZ11" s="104" t="s">
        <v>27</v>
      </c>
      <c r="EA11" s="105"/>
      <c r="EB11" s="161">
        <f>IFERROR((((COUNTIF('Elève (3ème1)'!DY11:EA11,"A"))*4)+((COUNTIF('Elève (3ème1)'!DY11:EA11,"B"))*3)+((COUNTIF('Elève (3ème1)'!DY11:EA11,"C"))*2)+((COUNTIF('Elève (3ème1)'!DY11:EA11,"D"))*1))/(COUNTA(DY11:EA11)),"")</f>
        <v>4</v>
      </c>
      <c r="EC11" s="162" t="str">
        <f t="shared" si="48"/>
        <v>A</v>
      </c>
      <c r="ED11" s="103"/>
      <c r="EE11" s="104"/>
      <c r="EF11" s="105"/>
      <c r="EG11" s="105"/>
      <c r="EH11" s="161" t="str">
        <f>IFERROR((((COUNTIF('Elève (3ème1)'!ED11:EG11,"A"))*4)+((COUNTIF('Elève (3ème1)'!ED11:EG11,"B"))*3)+((COUNTIF('Elève (3ème1)'!ED11:EG11,"C"))*2)+((COUNTIF('Elève (3ème1)'!ED11:EG11,"D"))*1))/(COUNTA(ED11:EG11)),"")</f>
        <v/>
      </c>
      <c r="EI11" s="162" t="str">
        <f t="shared" si="49"/>
        <v/>
      </c>
      <c r="EJ11" s="103" t="s">
        <v>27</v>
      </c>
      <c r="EK11" s="104" t="s">
        <v>29</v>
      </c>
      <c r="EL11" s="105"/>
      <c r="EM11" s="105" t="s">
        <v>27</v>
      </c>
      <c r="EN11" s="105"/>
      <c r="EO11" s="109"/>
      <c r="EP11" s="161">
        <f>IFERROR((((COUNTIF('Elève (3ème1)'!EJ11:EO11,"A"))*4)+((COUNTIF('Elève (3ème1)'!EJ11:EO11,"B"))*3)+((COUNTIF('Elève (3ème1)'!EJ11:EO11,"C"))*2)+((COUNTIF('Elève (3ème1)'!EJ11:EO11,"D"))*1))/(COUNTA(EJ11:EO11)),"")</f>
        <v>3.3333333333333335</v>
      </c>
      <c r="EQ11" s="162" t="str">
        <f t="shared" si="50"/>
        <v>B</v>
      </c>
      <c r="ER11" s="189">
        <f>IF(COUNT(EB11,EH11,EP11)=0,"",SUM(EB11,EH11,EP11)/COUNT(EB11,EH11,EP11))</f>
        <v>3.666666666666667</v>
      </c>
      <c r="ES11" s="186" t="str">
        <f t="shared" si="51"/>
        <v>B</v>
      </c>
      <c r="ET11" s="103" t="s">
        <v>30</v>
      </c>
      <c r="EU11" s="104" t="s">
        <v>30</v>
      </c>
      <c r="EV11" s="105"/>
      <c r="EW11" s="161">
        <f>IFERROR((((COUNTIF('Elève (3ème1)'!ET11:EV11,"A"))*4)+((COUNTIF('Elève (3ème1)'!ET11:EV11,"B"))*3)+((COUNTIF('Elève (3ème1)'!ET11:EV11,"C"))*2)+((COUNTIF('Elève (3ème1)'!ET11:EV11,"D"))*1))/(COUNTA(ET11:EV11)),"")</f>
        <v>1</v>
      </c>
      <c r="EX11" s="162" t="str">
        <f t="shared" si="52"/>
        <v>D</v>
      </c>
      <c r="EY11" s="103"/>
      <c r="EZ11" s="104"/>
      <c r="FA11" s="105"/>
      <c r="FB11" s="105"/>
      <c r="FC11" s="161" t="str">
        <f>IFERROR((((COUNTIF('Elève (3ème1)'!EY11:FB11,"A"))*4)+((COUNTIF('Elève (3ème1)'!EY11:FB11,"B"))*3)+((COUNTIF('Elève (3ème1)'!EY11:FB11,"C"))*2)+((COUNTIF('Elève (3ème1)'!EY11:FB11,"D"))*1))/(COUNTA(EY11:FB11)),"")</f>
        <v/>
      </c>
      <c r="FD11" s="162" t="str">
        <f t="shared" si="53"/>
        <v/>
      </c>
      <c r="FE11" s="103" t="s">
        <v>28</v>
      </c>
      <c r="FF11" s="104" t="s">
        <v>29</v>
      </c>
      <c r="FG11" s="105" t="s">
        <v>27</v>
      </c>
      <c r="FH11" s="105" t="s">
        <v>28</v>
      </c>
      <c r="FI11" s="105"/>
      <c r="FJ11" s="109"/>
      <c r="FK11" s="161">
        <f>IFERROR((((COUNTIF('Elève (3ème1)'!FE11:FJ11,"A"))*4)+((COUNTIF('Elève (3ème1)'!FE11:FJ11,"B"))*3)+((COUNTIF('Elève (3ème1)'!FE11:FJ11,"C"))*2)+((COUNTIF('Elève (3ème1)'!FE11:FJ11,"D"))*1))/(COUNTA(FE11:FJ11)),"")</f>
        <v>3</v>
      </c>
      <c r="FL11" s="162" t="str">
        <f t="shared" si="54"/>
        <v>B</v>
      </c>
      <c r="FM11" s="189">
        <f>IF(COUNT(EW11,FC11,FK11)=0,"",SUM(EW11,FC11,FK11)/COUNT(EW11,FC11,FK11))</f>
        <v>2</v>
      </c>
      <c r="FN11" s="186" t="str">
        <f t="shared" si="55"/>
        <v>C</v>
      </c>
      <c r="FO11" s="103" t="s">
        <v>30</v>
      </c>
      <c r="FP11" s="104" t="s">
        <v>29</v>
      </c>
      <c r="FQ11" s="105"/>
      <c r="FR11" s="161">
        <f>IFERROR((((COUNTIF('Elève (3ème1)'!FO11:FQ11,"A"))*4)+((COUNTIF('Elève (3ème1)'!FO11:FQ11,"B"))*3)+((COUNTIF('Elève (3ème1)'!FO11:FQ11,"C"))*2)+((COUNTIF('Elève (3ème1)'!FO11:FQ11,"D"))*1))/(COUNTA(FO11:FQ11)),"")</f>
        <v>1.5</v>
      </c>
      <c r="FS11" s="162" t="str">
        <f t="shared" si="56"/>
        <v>D</v>
      </c>
      <c r="FT11" s="103"/>
      <c r="FU11" s="104"/>
      <c r="FV11" s="105"/>
      <c r="FW11" s="105"/>
      <c r="FX11" s="161" t="str">
        <f>IFERROR((((COUNTIF('Elève (3ème1)'!FT11:FW11,"A"))*4)+((COUNTIF('Elève (3ème1)'!FT11:FW11,"B"))*3)+((COUNTIF('Elève (3ème1)'!FT11:FW11,"C"))*2)+((COUNTIF('Elève (3ème1)'!FT11:FW11,"D"))*1))/(COUNTA(FT11:FW11)),"")</f>
        <v/>
      </c>
      <c r="FY11" s="162" t="str">
        <f t="shared" si="57"/>
        <v/>
      </c>
      <c r="FZ11" s="103" t="s">
        <v>27</v>
      </c>
      <c r="GA11" s="104" t="s">
        <v>29</v>
      </c>
      <c r="GB11" s="105"/>
      <c r="GC11" s="105" t="s">
        <v>27</v>
      </c>
      <c r="GD11" s="105"/>
      <c r="GE11" s="109"/>
      <c r="GF11" s="161">
        <f>IFERROR((((COUNTIF('Elève (3ème1)'!FZ11:GE11,"A"))*4)+((COUNTIF('Elève (3ème1)'!FZ11:GE11,"B"))*3)+((COUNTIF('Elève (3ème1)'!FZ11:GE11,"C"))*2)+((COUNTIF('Elève (3ème1)'!FZ11:GE11,"D"))*1))/(COUNTA(FZ11:GE11)),"")</f>
        <v>3.3333333333333335</v>
      </c>
      <c r="GG11" s="162" t="str">
        <f t="shared" si="58"/>
        <v>B</v>
      </c>
      <c r="GH11" s="189">
        <f>IF(COUNT(FR11,FX11,GF11)=0,"",SUM(FR11,FX11,GF11)/COUNT(FR11,FX11,GF11))</f>
        <v>2.416666666666667</v>
      </c>
      <c r="GI11" s="186" t="str">
        <f t="shared" si="59"/>
        <v>C</v>
      </c>
      <c r="GJ11" s="103" t="s">
        <v>27</v>
      </c>
      <c r="GK11" s="104" t="s">
        <v>30</v>
      </c>
      <c r="GL11" s="105"/>
      <c r="GM11" s="161">
        <f>IFERROR((((COUNTIF('Elève (3ème1)'!GJ11:GL11,"A"))*4)+((COUNTIF('Elève (3ème1)'!GJ11:GL11,"B"))*3)+((COUNTIF('Elève (3ème1)'!GJ11:GL11,"C"))*2)+((COUNTIF('Elève (3ème1)'!GJ11:GL11,"D"))*1))/(COUNTA(GJ11:GL11)),"")</f>
        <v>2.5</v>
      </c>
      <c r="GN11" s="162" t="str">
        <f t="shared" si="60"/>
        <v>C</v>
      </c>
      <c r="GO11" s="103"/>
      <c r="GP11" s="104"/>
      <c r="GQ11" s="105"/>
      <c r="GR11" s="105"/>
      <c r="GS11" s="161" t="str">
        <f>IFERROR((((COUNTIF('Elève (3ème1)'!GO11:GR11,"A"))*4)+((COUNTIF('Elève (3ème1)'!GO11:GR11,"B"))*3)+((COUNTIF('Elève (3ème1)'!GO11:GR11,"C"))*2)+((COUNTIF('Elève (3ème1)'!GO11:GR11,"D"))*1))/(COUNTA(GO11:GR11)),"")</f>
        <v/>
      </c>
      <c r="GT11" s="162" t="str">
        <f t="shared" si="61"/>
        <v/>
      </c>
      <c r="GU11" s="103" t="s">
        <v>27</v>
      </c>
      <c r="GV11" s="104" t="s">
        <v>29</v>
      </c>
      <c r="GW11" s="105" t="s">
        <v>27</v>
      </c>
      <c r="GX11" s="105" t="s">
        <v>27</v>
      </c>
      <c r="GY11" s="105"/>
      <c r="GZ11" s="109"/>
      <c r="HA11" s="161">
        <f>IFERROR((((COUNTIF('Elève (3ème1)'!GU11:GZ11,"A"))*4)+((COUNTIF('Elève (3ème1)'!GU11:GZ11,"B"))*3)+((COUNTIF('Elève (3ème1)'!GU11:GZ11,"C"))*2)+((COUNTIF('Elève (3ème1)'!GU11:GZ11,"D"))*1))/(COUNTA(GU11:GZ11)),"")</f>
        <v>3.5</v>
      </c>
      <c r="HB11" s="162" t="str">
        <f t="shared" si="62"/>
        <v>B</v>
      </c>
      <c r="HC11" s="189">
        <f>IF(COUNT(GM11,GS11,HA11)=0,"",SUM(GM11,GS11,HA11)/COUNT(GM11,GS11,HA11))</f>
        <v>3</v>
      </c>
      <c r="HD11" s="186" t="str">
        <f t="shared" si="63"/>
        <v>B</v>
      </c>
      <c r="HE11" s="103" t="s">
        <v>30</v>
      </c>
      <c r="HF11" s="104" t="s">
        <v>28</v>
      </c>
      <c r="HG11" s="105"/>
      <c r="HH11" s="161">
        <f>IFERROR((((COUNTIF('Elève (3ème1)'!HE11:HG11,"A"))*4)+((COUNTIF('Elève (3ème1)'!HE11:HG11,"B"))*3)+((COUNTIF('Elève (3ème1)'!HE11:HG11,"C"))*2)+((COUNTIF('Elève (3ème1)'!HE11:HG11,"D"))*1))/(COUNTA(HE11:HG11)),"")</f>
        <v>2</v>
      </c>
      <c r="HI11" s="162" t="str">
        <f t="shared" si="64"/>
        <v>C</v>
      </c>
      <c r="HJ11" s="103"/>
      <c r="HK11" s="104"/>
      <c r="HL11" s="105"/>
      <c r="HM11" s="105"/>
      <c r="HN11" s="161" t="str">
        <f>IFERROR((((COUNTIF('Elève (3ème1)'!HJ11:HM11,"A"))*4)+((COUNTIF('Elève (3ème1)'!HJ11:HM11,"B"))*3)+((COUNTIF('Elève (3ème1)'!HJ11:HM11,"C"))*2)+((COUNTIF('Elève (3ème1)'!HJ11:HM11,"D"))*1))/(COUNTA(HJ11:HM11)),"")</f>
        <v/>
      </c>
      <c r="HO11" s="162" t="str">
        <f t="shared" si="65"/>
        <v/>
      </c>
      <c r="HP11" s="103" t="s">
        <v>27</v>
      </c>
      <c r="HQ11" s="104" t="s">
        <v>28</v>
      </c>
      <c r="HR11" s="105"/>
      <c r="HS11" s="105" t="s">
        <v>27</v>
      </c>
      <c r="HT11" s="105"/>
      <c r="HU11" s="109"/>
      <c r="HV11" s="161">
        <f>IFERROR((((COUNTIF('Elève (3ème1)'!HP11:HU11,"A"))*4)+((COUNTIF('Elève (3ème1)'!HP11:HU11,"B"))*3)+((COUNTIF('Elève (3ème1)'!HP11:HU11,"C"))*2)+((COUNTIF('Elève (3ème1)'!HP11:HU11,"D"))*1))/(COUNTA(HP11:HU11)),"")</f>
        <v>3.6666666666666665</v>
      </c>
      <c r="HW11" s="162" t="str">
        <f t="shared" si="66"/>
        <v>B</v>
      </c>
      <c r="HX11" s="189">
        <f>IF(COUNT(HH11,HN11,HV11)=0,"",SUM(HH11,HN11,HV11)/COUNT(HH11,HN11,HV11))</f>
        <v>2.833333333333333</v>
      </c>
      <c r="HY11" s="186" t="str">
        <f t="shared" si="67"/>
        <v>B</v>
      </c>
      <c r="HZ11" s="103" t="s">
        <v>30</v>
      </c>
      <c r="IA11" s="104" t="s">
        <v>30</v>
      </c>
      <c r="IB11" s="105"/>
      <c r="IC11" s="161">
        <f>IFERROR((((COUNTIF('Elève (3ème1)'!HZ11:IB11,"A"))*4)+((COUNTIF('Elève (3ème1)'!HZ11:IB11,"B"))*3)+((COUNTIF('Elève (3ème1)'!HZ11:IB11,"C"))*2)+((COUNTIF('Elève (3ème1)'!HZ11:IB11,"D"))*1))/(COUNTA(HZ11:IB11)),"")</f>
        <v>1</v>
      </c>
      <c r="ID11" s="162" t="str">
        <f t="shared" si="68"/>
        <v>D</v>
      </c>
      <c r="IE11" s="103"/>
      <c r="IF11" s="104"/>
      <c r="IG11" s="105"/>
      <c r="IH11" s="105"/>
      <c r="II11" s="161" t="str">
        <f>IFERROR((((COUNTIF('Elève (3ème1)'!IE11:IH11,"A"))*4)+((COUNTIF('Elève (3ème1)'!IE11:IH11,"B"))*3)+((COUNTIF('Elève (3ème1)'!IE11:IH11,"C"))*2)+((COUNTIF('Elève (3ème1)'!IE11:IH11,"D"))*1))/(COUNTA(IE11:IH11)),"")</f>
        <v/>
      </c>
      <c r="IJ11" s="162" t="str">
        <f t="shared" si="69"/>
        <v/>
      </c>
      <c r="IK11" s="103" t="s">
        <v>27</v>
      </c>
      <c r="IL11" s="104" t="s">
        <v>29</v>
      </c>
      <c r="IM11" s="105" t="s">
        <v>27</v>
      </c>
      <c r="IN11" s="105" t="s">
        <v>27</v>
      </c>
      <c r="IO11" s="105"/>
      <c r="IP11" s="109"/>
      <c r="IQ11" s="161">
        <f>IFERROR((((COUNTIF('Elève (3ème1)'!IK11:IP11,"A"))*4)+((COUNTIF('Elève (3ème1)'!IK11:IP11,"B"))*3)+((COUNTIF('Elève (3ème1)'!IK11:IP11,"C"))*2)+((COUNTIF('Elève (3ème1)'!IK11:IP11,"D"))*1))/(COUNTA(IK11:IP11)),"")</f>
        <v>3.5</v>
      </c>
      <c r="IR11" s="162" t="str">
        <f t="shared" si="70"/>
        <v>B</v>
      </c>
      <c r="IS11" s="189">
        <f>IF(COUNT(IC11,II11,IQ11)=0,"",SUM(IC11,II11,IQ11)/COUNT(IC11,II11,IQ11))</f>
        <v>2.25</v>
      </c>
      <c r="IT11" s="186" t="str">
        <f t="shared" si="71"/>
        <v>C</v>
      </c>
      <c r="IU11" s="103" t="s">
        <v>28</v>
      </c>
      <c r="IV11" s="104" t="s">
        <v>28</v>
      </c>
      <c r="IW11" s="105"/>
      <c r="IX11" s="161">
        <f>IFERROR((((COUNTIF('Elève (3ème1)'!IU11:IW11,"A"))*4)+((COUNTIF('Elève (3ème1)'!IU11:IW11,"B"))*3)+((COUNTIF('Elève (3ème1)'!IU11:IW11,"C"))*2)+((COUNTIF('Elève (3ème1)'!IU11:IW11,"D"))*1))/(COUNTA(IU11:IW11)),"")</f>
        <v>3</v>
      </c>
      <c r="IY11" s="162" t="str">
        <f t="shared" si="72"/>
        <v>B</v>
      </c>
      <c r="IZ11" s="103"/>
      <c r="JA11" s="104"/>
      <c r="JB11" s="105"/>
      <c r="JC11" s="105"/>
      <c r="JD11" s="161" t="str">
        <f>IFERROR((((COUNTIF('Elève (3ème1)'!IZ11:JC11,"A"))*4)+((COUNTIF('Elève (3ème1)'!IZ11:JC11,"B"))*3)+((COUNTIF('Elève (3ème1)'!IZ11:JC11,"C"))*2)+((COUNTIF('Elève (3ème1)'!IZ11:JC11,"D"))*1))/(COUNTA(IZ11:JC11)),"")</f>
        <v/>
      </c>
      <c r="JE11" s="162" t="str">
        <f t="shared" si="73"/>
        <v/>
      </c>
      <c r="JF11" s="103" t="s">
        <v>27</v>
      </c>
      <c r="JG11" s="104" t="s">
        <v>27</v>
      </c>
      <c r="JH11" s="105"/>
      <c r="JI11" s="105" t="s">
        <v>27</v>
      </c>
      <c r="JJ11" s="105"/>
      <c r="JK11" s="109"/>
      <c r="JL11" s="161">
        <f>IFERROR((((COUNTIF('Elève (3ème1)'!JF11:JK11,"A"))*4)+((COUNTIF('Elève (3ème1)'!JF11:JK11,"B"))*3)+((COUNTIF('Elève (3ème1)'!JF11:JK11,"C"))*2)+((COUNTIF('Elève (3ème1)'!JF11:JK11,"D"))*1))/(COUNTA(JF11:JK11)),"")</f>
        <v>4</v>
      </c>
      <c r="JM11" s="162" t="str">
        <f t="shared" si="74"/>
        <v>A</v>
      </c>
      <c r="JN11" s="189">
        <f>IF(COUNT(IX11,JD11,JL11)=0,"",SUM(IX11,JD11,JL11)/COUNT(IX11,JD11,JL11))</f>
        <v>3.5</v>
      </c>
      <c r="JO11" s="186" t="str">
        <f t="shared" si="75"/>
        <v>B</v>
      </c>
      <c r="JP11" s="103" t="s">
        <v>27</v>
      </c>
      <c r="JQ11" s="104" t="s">
        <v>29</v>
      </c>
      <c r="JR11" s="105"/>
      <c r="JS11" s="161">
        <f>IFERROR((((COUNTIF('Elève (3ème1)'!JP11:JR11,"A"))*4)+((COUNTIF('Elève (3ème1)'!JP11:JR11,"B"))*3)+((COUNTIF('Elève (3ème1)'!JP11:JR11,"C"))*2)+((COUNTIF('Elève (3ème1)'!JP11:JR11,"D"))*1))/(COUNTA(JP11:JR11)),"")</f>
        <v>3</v>
      </c>
      <c r="JT11" s="162" t="str">
        <f t="shared" si="76"/>
        <v>B</v>
      </c>
      <c r="JU11" s="103"/>
      <c r="JV11" s="104"/>
      <c r="JW11" s="105"/>
      <c r="JX11" s="105"/>
      <c r="JY11" s="161" t="str">
        <f>IFERROR((((COUNTIF('Elève (3ème1)'!JU11:JX11,"A"))*4)+((COUNTIF('Elève (3ème1)'!JU11:JX11,"B"))*3)+((COUNTIF('Elève (3ème1)'!JU11:JX11,"C"))*2)+((COUNTIF('Elève (3ème1)'!JU11:JX11,"D"))*1))/(COUNTA(JU11:JX11)),"")</f>
        <v/>
      </c>
      <c r="JZ11" s="162" t="str">
        <f t="shared" si="77"/>
        <v/>
      </c>
      <c r="KA11" s="103" t="s">
        <v>27</v>
      </c>
      <c r="KB11" s="104" t="s">
        <v>28</v>
      </c>
      <c r="KC11" s="105" t="s">
        <v>27</v>
      </c>
      <c r="KD11" s="105" t="s">
        <v>27</v>
      </c>
      <c r="KE11" s="105"/>
      <c r="KF11" s="109"/>
      <c r="KG11" s="161">
        <f>IFERROR((((COUNTIF('Elève (3ème1)'!KA11:KF11,"A"))*4)+((COUNTIF('Elève (3ème1)'!KA11:KF11,"B"))*3)+((COUNTIF('Elève (3ème1)'!KA11:KF11,"C"))*2)+((COUNTIF('Elève (3ème1)'!KA11:KF11,"D"))*1))/(COUNTA(KA11:KF11)),"")</f>
        <v>3.75</v>
      </c>
      <c r="KH11" s="162" t="str">
        <f t="shared" si="78"/>
        <v>A</v>
      </c>
      <c r="KI11" s="189">
        <f>IF(COUNT(JS11,JY11,KG11)=0,"",SUM(JS11,JY11,KG11)/COUNT(JS11,JY11,KG11))</f>
        <v>3.375</v>
      </c>
      <c r="KJ11" s="186" t="str">
        <f t="shared" si="79"/>
        <v>B</v>
      </c>
      <c r="KK11" s="103" t="s">
        <v>29</v>
      </c>
      <c r="KL11" s="104" t="s">
        <v>29</v>
      </c>
      <c r="KM11" s="105"/>
      <c r="KN11" s="161">
        <f>IFERROR((((COUNTIF('Elève (3ème1)'!KK11:KM11,"A"))*4)+((COUNTIF('Elève (3ème1)'!KK11:KM11,"B"))*3)+((COUNTIF('Elève (3ème1)'!KK11:KM11,"C"))*2)+((COUNTIF('Elève (3ème1)'!KK11:KM11,"D"))*1))/(COUNTA(KK11:KM11)),"")</f>
        <v>2</v>
      </c>
      <c r="KO11" s="162" t="str">
        <f t="shared" si="80"/>
        <v>C</v>
      </c>
      <c r="KP11" s="103"/>
      <c r="KQ11" s="104"/>
      <c r="KR11" s="105"/>
      <c r="KS11" s="105"/>
      <c r="KT11" s="161" t="str">
        <f>IFERROR((((COUNTIF('Elève (3ème1)'!KP11:KS11,"A"))*4)+((COUNTIF('Elève (3ème1)'!KP11:KS11,"B"))*3)+((COUNTIF('Elève (3ème1)'!KP11:KS11,"C"))*2)+((COUNTIF('Elève (3ème1)'!KP11:KS11,"D"))*1))/(COUNTA(KP11:KS11)),"")</f>
        <v/>
      </c>
      <c r="KU11" s="162" t="str">
        <f t="shared" si="81"/>
        <v/>
      </c>
      <c r="KV11" s="103" t="s">
        <v>27</v>
      </c>
      <c r="KW11" s="104" t="s">
        <v>29</v>
      </c>
      <c r="KX11" s="105" t="s">
        <v>27</v>
      </c>
      <c r="KY11" s="105" t="s">
        <v>27</v>
      </c>
      <c r="KZ11" s="105"/>
      <c r="LA11" s="109"/>
      <c r="LB11" s="161">
        <f>IFERROR((((COUNTIF('Elève (3ème1)'!KV11:LA11,"A"))*4)+((COUNTIF('Elève (3ème1)'!KV11:LA11,"B"))*3)+((COUNTIF('Elève (3ème1)'!KV11:LA11,"C"))*2)+((COUNTIF('Elève (3ème1)'!KV11:LA11,"D"))*1))/(COUNTA(KV11:LA11)),"")</f>
        <v>3.5</v>
      </c>
      <c r="LC11" s="162" t="str">
        <f t="shared" si="82"/>
        <v>B</v>
      </c>
      <c r="LD11" s="189">
        <f>IF(COUNT(KN11,KT11,LB11)=0,"",SUM(KN11,KT11,LB11)/COUNT(KN11,KT11,LB11))</f>
        <v>2.75</v>
      </c>
      <c r="LE11" s="186" t="str">
        <f t="shared" si="83"/>
        <v>C</v>
      </c>
      <c r="LF11" s="103" t="s">
        <v>30</v>
      </c>
      <c r="LG11" s="104" t="s">
        <v>30</v>
      </c>
      <c r="LH11" s="105"/>
      <c r="LI11" s="161">
        <f>IFERROR((((COUNTIF('Elève (3ème1)'!LF11:LH11,"A"))*4)+((COUNTIF('Elève (3ème1)'!LF11:LH11,"B"))*3)+((COUNTIF('Elève (3ème1)'!LF11:LH11,"C"))*2)+((COUNTIF('Elève (3ème1)'!LF11:LH11,"D"))*1))/(COUNTA(LF11:LH11)),"")</f>
        <v>1</v>
      </c>
      <c r="LJ11" s="162" t="str">
        <f t="shared" si="84"/>
        <v>D</v>
      </c>
      <c r="LK11" s="103"/>
      <c r="LL11" s="104"/>
      <c r="LM11" s="105"/>
      <c r="LN11" s="105"/>
      <c r="LO11" s="161" t="str">
        <f>IFERROR((((COUNTIF('Elève (3ème1)'!LK11:LN11,"A"))*4)+((COUNTIF('Elève (3ème1)'!LK11:LN11,"B"))*3)+((COUNTIF('Elève (3ème1)'!LK11:LN11,"C"))*2)+((COUNTIF('Elève (3ème1)'!LK11:LN11,"D"))*1))/(COUNTA(LK11:LN11)),"")</f>
        <v/>
      </c>
      <c r="LP11" s="162" t="str">
        <f t="shared" si="85"/>
        <v/>
      </c>
      <c r="LQ11" s="103" t="s">
        <v>27</v>
      </c>
      <c r="LR11" s="104" t="s">
        <v>29</v>
      </c>
      <c r="LS11" s="105" t="s">
        <v>27</v>
      </c>
      <c r="LT11" s="105"/>
      <c r="LU11" s="105"/>
      <c r="LV11" s="109"/>
      <c r="LW11" s="161">
        <f>IFERROR((((COUNTIF('Elève (3ème1)'!LQ11:LV11,"A"))*4)+((COUNTIF('Elève (3ème1)'!LQ11:LV11,"B"))*3)+((COUNTIF('Elève (3ème1)'!LQ11:LV11,"C"))*2)+((COUNTIF('Elève (3ème1)'!LQ11:LV11,"D"))*1))/(COUNTA(LQ11:LV11)),"")</f>
        <v>3.3333333333333335</v>
      </c>
      <c r="LX11" s="162" t="str">
        <f t="shared" si="86"/>
        <v>B</v>
      </c>
      <c r="LY11" s="189">
        <f>IF(COUNT(LI11,LO11,LW11)=0,"",SUM(LI11,LO11,LW11)/COUNT(LI11,LO11,LW11))</f>
        <v>2.166666666666667</v>
      </c>
      <c r="LZ11" s="186" t="str">
        <f t="shared" si="87"/>
        <v>C</v>
      </c>
      <c r="MA11" s="103" t="s">
        <v>30</v>
      </c>
      <c r="MB11" s="104" t="s">
        <v>29</v>
      </c>
      <c r="MC11" s="105"/>
      <c r="MD11" s="161">
        <f>IFERROR((((COUNTIF('Elève (3ème1)'!MA11:MC11,"A"))*4)+((COUNTIF('Elève (3ème1)'!MA11:MC11,"B"))*3)+((COUNTIF('Elève (3ème1)'!MA11:MC11,"C"))*2)+((COUNTIF('Elève (3ème1)'!MA11:MC11,"D"))*1))/(COUNTA(MA11:MC11)),"")</f>
        <v>1.5</v>
      </c>
      <c r="ME11" s="162" t="str">
        <f t="shared" si="88"/>
        <v>D</v>
      </c>
      <c r="MF11" s="103"/>
      <c r="MG11" s="104"/>
      <c r="MH11" s="105"/>
      <c r="MI11" s="105"/>
      <c r="MJ11" s="161" t="str">
        <f>IFERROR((((COUNTIF('Elève (3ème1)'!MF11:MI11,"A"))*4)+((COUNTIF('Elève (3ème1)'!MF11:MI11,"B"))*3)+((COUNTIF('Elève (3ème1)'!MF11:MI11,"C"))*2)+((COUNTIF('Elève (3ème1)'!MF11:MI11,"D"))*1))/(COUNTA(MF11:MI11)),"")</f>
        <v/>
      </c>
      <c r="MK11" s="162" t="str">
        <f t="shared" si="89"/>
        <v/>
      </c>
      <c r="ML11" s="103" t="s">
        <v>27</v>
      </c>
      <c r="MM11" s="104" t="s">
        <v>28</v>
      </c>
      <c r="MN11" s="105" t="s">
        <v>27</v>
      </c>
      <c r="MO11" s="105" t="s">
        <v>27</v>
      </c>
      <c r="MP11" s="105"/>
      <c r="MQ11" s="109"/>
      <c r="MR11" s="161">
        <f>IFERROR((((COUNTIF('Elève (3ème1)'!ML11:MQ11,"A"))*4)+((COUNTIF('Elève (3ème1)'!ML11:MQ11,"B"))*3)+((COUNTIF('Elève (3ème1)'!ML11:MQ11,"C"))*2)+((COUNTIF('Elève (3ème1)'!ML11:MQ11,"D"))*1))/(COUNTA(ML11:MQ11)),"")</f>
        <v>3.75</v>
      </c>
      <c r="MS11" s="162" t="str">
        <f t="shared" si="90"/>
        <v>A</v>
      </c>
      <c r="MT11" s="189">
        <f>IF(COUNT(MD11,MJ11,MR11)=0,"",SUM(MD11,MJ11,MR11)/COUNT(MD11,MJ11,MR11))</f>
        <v>2.625</v>
      </c>
      <c r="MU11" s="186" t="str">
        <f t="shared" si="91"/>
        <v>C</v>
      </c>
      <c r="MV11" s="103" t="s">
        <v>27</v>
      </c>
      <c r="MW11" s="104" t="s">
        <v>29</v>
      </c>
      <c r="MX11" s="105"/>
      <c r="MY11" s="161">
        <f>IFERROR((((COUNTIF('Elève (3ème1)'!MV11:MX11,"A"))*4)+((COUNTIF('Elève (3ème1)'!MV11:MX11,"B"))*3)+((COUNTIF('Elève (3ème1)'!MV11:MX11,"C"))*2)+((COUNTIF('Elève (3ème1)'!MV11:MX11,"D"))*1))/(COUNTA(MV11:MX11)),"")</f>
        <v>3</v>
      </c>
      <c r="MZ11" s="162" t="str">
        <f t="shared" si="92"/>
        <v>B</v>
      </c>
      <c r="NA11" s="103"/>
      <c r="NB11" s="104"/>
      <c r="NC11" s="105"/>
      <c r="ND11" s="105"/>
      <c r="NE11" s="161" t="str">
        <f>IFERROR((((COUNTIF('Elève (3ème1)'!NA11:ND11,"A"))*4)+((COUNTIF('Elève (3ème1)'!NA11:ND11,"B"))*3)+((COUNTIF('Elève (3ème1)'!NA11:ND11,"C"))*2)+((COUNTIF('Elève (3ème1)'!NA11:ND11,"D"))*1))/(COUNTA(NA11:ND11)),"")</f>
        <v/>
      </c>
      <c r="NF11" s="162" t="str">
        <f t="shared" si="93"/>
        <v/>
      </c>
      <c r="NG11" s="103" t="s">
        <v>27</v>
      </c>
      <c r="NH11" s="104" t="s">
        <v>28</v>
      </c>
      <c r="NI11" s="105" t="s">
        <v>27</v>
      </c>
      <c r="NJ11" s="105" t="s">
        <v>27</v>
      </c>
      <c r="NK11" s="105"/>
      <c r="NL11" s="109"/>
      <c r="NM11" s="161">
        <f>IFERROR((((COUNTIF('Elève (3ème1)'!NG11:NL11,"A"))*4)+((COUNTIF('Elève (3ème1)'!NG11:NL11,"B"))*3)+((COUNTIF('Elève (3ème1)'!NG11:NL11,"C"))*2)+((COUNTIF('Elève (3ème1)'!NG11:NL11,"D"))*1))/(COUNTA(NG11:NL11)),"")</f>
        <v>3.75</v>
      </c>
      <c r="NN11" s="162" t="str">
        <f t="shared" si="94"/>
        <v>A</v>
      </c>
      <c r="NO11" s="189">
        <f>IF(COUNT(MY11,NE11,NM11)=0,"",SUM(MY11,NE11,NM11)/COUNT(MY11,NE11,NM11))</f>
        <v>3.375</v>
      </c>
      <c r="NP11" s="186" t="str">
        <f t="shared" si="95"/>
        <v>B</v>
      </c>
      <c r="NQ11" s="103" t="s">
        <v>30</v>
      </c>
      <c r="NR11" s="104" t="s">
        <v>30</v>
      </c>
      <c r="NS11" s="105"/>
      <c r="NT11" s="161">
        <f>IFERROR((((COUNTIF('Elève (3ème1)'!NQ11:NS11,"A"))*4)+((COUNTIF('Elève (3ème1)'!NQ11:NS11,"B"))*3)+((COUNTIF('Elève (3ème1)'!NQ11:NS11,"C"))*2)+((COUNTIF('Elève (3ème1)'!NQ11:NS11,"D"))*1))/(COUNTA(NQ11:NS11)),"")</f>
        <v>1</v>
      </c>
      <c r="NU11" s="162" t="str">
        <f t="shared" si="96"/>
        <v>D</v>
      </c>
      <c r="NV11" s="103"/>
      <c r="NW11" s="104"/>
      <c r="NX11" s="105"/>
      <c r="NY11" s="105"/>
      <c r="NZ11" s="161" t="str">
        <f>IFERROR((((COUNTIF('Elève (3ème1)'!NV11:NY11,"A"))*4)+((COUNTIF('Elève (3ème1)'!NV11:NY11,"B"))*3)+((COUNTIF('Elève (3ème1)'!NV11:NY11,"C"))*2)+((COUNTIF('Elève (3ème1)'!NV11:NY11,"D"))*1))/(COUNTA(NV11:NY11)),"")</f>
        <v/>
      </c>
      <c r="OA11" s="162" t="str">
        <f t="shared" si="97"/>
        <v/>
      </c>
      <c r="OB11" s="103" t="s">
        <v>27</v>
      </c>
      <c r="OC11" s="104" t="s">
        <v>29</v>
      </c>
      <c r="OD11" s="105" t="s">
        <v>27</v>
      </c>
      <c r="OE11" s="105" t="s">
        <v>27</v>
      </c>
      <c r="OF11" s="105"/>
      <c r="OG11" s="109"/>
      <c r="OH11" s="161">
        <f>IFERROR((((COUNTIF('Elève (3ème1)'!OB11:OG11,"A"))*4)+((COUNTIF('Elève (3ème1)'!OB11:OG11,"B"))*3)+((COUNTIF('Elève (3ème1)'!OB11:OG11,"C"))*2)+((COUNTIF('Elève (3ème1)'!OB11:OG11,"D"))*1))/(COUNTA(OB11:OG11)),"")</f>
        <v>3.5</v>
      </c>
      <c r="OI11" s="162" t="str">
        <f t="shared" si="98"/>
        <v>B</v>
      </c>
      <c r="OJ11" s="189">
        <f>IF(COUNT(NT11,NZ11,OH11)=0,"",SUM(NT11,NZ11,OH11)/COUNT(NT11,NZ11,OH11))</f>
        <v>2.25</v>
      </c>
      <c r="OK11" s="186" t="str">
        <f t="shared" si="99"/>
        <v>C</v>
      </c>
      <c r="OL11" s="103" t="s">
        <v>27</v>
      </c>
      <c r="OM11" s="104" t="s">
        <v>30</v>
      </c>
      <c r="ON11" s="105"/>
      <c r="OO11" s="161">
        <f>IFERROR((((COUNTIF('Elève (3ème1)'!OL11:ON11,"A"))*4)+((COUNTIF('Elève (3ème1)'!OL11:ON11,"B"))*3)+((COUNTIF('Elève (3ème1)'!OL11:ON11,"C"))*2)+((COUNTIF('Elève (3ème1)'!OL11:ON11,"D"))*1))/(COUNTA(OL11:ON11)),"")</f>
        <v>2.5</v>
      </c>
      <c r="OP11" s="162" t="str">
        <f t="shared" si="100"/>
        <v>C</v>
      </c>
      <c r="OQ11" s="103"/>
      <c r="OR11" s="104"/>
      <c r="OS11" s="105"/>
      <c r="OT11" s="105"/>
      <c r="OU11" s="161" t="str">
        <f>IFERROR((((COUNTIF('Elève (3ème1)'!OQ11:OT11,"A"))*4)+((COUNTIF('Elève (3ème1)'!OQ11:OT11,"B"))*3)+((COUNTIF('Elève (3ème1)'!OQ11:OT11,"C"))*2)+((COUNTIF('Elève (3ème1)'!OQ11:OT11,"D"))*1))/(COUNTA(OQ11:OT11)),"")</f>
        <v/>
      </c>
      <c r="OV11" s="162" t="str">
        <f t="shared" si="101"/>
        <v/>
      </c>
      <c r="OW11" s="103" t="s">
        <v>27</v>
      </c>
      <c r="OX11" s="104" t="s">
        <v>29</v>
      </c>
      <c r="OY11" s="105" t="s">
        <v>27</v>
      </c>
      <c r="OZ11" s="105" t="s">
        <v>27</v>
      </c>
      <c r="PA11" s="105"/>
      <c r="PB11" s="109"/>
      <c r="PC11" s="161">
        <f>IFERROR((((COUNTIF('Elève (3ème1)'!OW11:PB11,"A"))*4)+((COUNTIF('Elève (3ème1)'!OW11:PB11,"B"))*3)+((COUNTIF('Elève (3ème1)'!OW11:PB11,"C"))*2)+((COUNTIF('Elève (3ème1)'!OW11:PB11,"D"))*1))/(COUNTA(OW11:PB11)),"")</f>
        <v>3.5</v>
      </c>
      <c r="PD11" s="162" t="str">
        <f t="shared" si="102"/>
        <v>B</v>
      </c>
      <c r="PE11" s="189">
        <f>IF(COUNT(OO11,OU11,PC11)=0,"",SUM(OO11,OU11,PC11)/COUNT(OO11,OU11,PC11))</f>
        <v>3</v>
      </c>
      <c r="PF11" s="186" t="str">
        <f t="shared" si="103"/>
        <v>B</v>
      </c>
      <c r="PG11" s="103" t="s">
        <v>29</v>
      </c>
      <c r="PH11" s="104" t="s">
        <v>29</v>
      </c>
      <c r="PI11" s="105"/>
      <c r="PJ11" s="161">
        <f>IFERROR((((COUNTIF('Elève (3ème1)'!PG11:PI11,"A"))*4)+((COUNTIF('Elève (3ème1)'!PG11:PI11,"B"))*3)+((COUNTIF('Elève (3ème1)'!PG11:PI11,"C"))*2)+((COUNTIF('Elève (3ème1)'!PG11:PI11,"D"))*1))/(COUNTA(PG11:PI11)),"")</f>
        <v>2</v>
      </c>
      <c r="PK11" s="162" t="str">
        <f t="shared" si="104"/>
        <v>C</v>
      </c>
      <c r="PL11" s="103"/>
      <c r="PM11" s="104"/>
      <c r="PN11" s="105"/>
      <c r="PO11" s="105"/>
      <c r="PP11" s="161" t="str">
        <f>IFERROR((((COUNTIF('Elève (3ème1)'!PL11:PO11,"A"))*4)+((COUNTIF('Elève (3ème1)'!PL11:PO11,"B"))*3)+((COUNTIF('Elève (3ème1)'!PL11:PO11,"C"))*2)+((COUNTIF('Elève (3ème1)'!PL11:PO11,"D"))*1))/(COUNTA(PL11:PO11)),"")</f>
        <v/>
      </c>
      <c r="PQ11" s="162" t="str">
        <f t="shared" si="105"/>
        <v/>
      </c>
      <c r="PR11" s="103" t="s">
        <v>27</v>
      </c>
      <c r="PS11" s="104" t="s">
        <v>28</v>
      </c>
      <c r="PT11" s="105" t="s">
        <v>27</v>
      </c>
      <c r="PU11" s="105" t="s">
        <v>27</v>
      </c>
      <c r="PV11" s="105"/>
      <c r="PW11" s="109"/>
      <c r="PX11" s="161">
        <f>IFERROR((((COUNTIF('Elève (3ème1)'!PR11:PW11,"A"))*4)+((COUNTIF('Elève (3ème1)'!PR11:PW11,"B"))*3)+((COUNTIF('Elève (3ème1)'!PR11:PW11,"C"))*2)+((COUNTIF('Elève (3ème1)'!PR11:PW11,"D"))*1))/(COUNTA(PR11:PW11)),"")</f>
        <v>3.75</v>
      </c>
      <c r="PY11" s="162" t="str">
        <f t="shared" si="106"/>
        <v>A</v>
      </c>
      <c r="PZ11" s="189">
        <f>IF(COUNT(PJ11,PP11,PX11)=0,"",SUM(PJ11,PP11,PX11)/COUNT(PJ11,PP11,PX11))</f>
        <v>2.875</v>
      </c>
      <c r="QA11" s="186" t="str">
        <f t="shared" si="107"/>
        <v>B</v>
      </c>
      <c r="QB11" s="103" t="s">
        <v>27</v>
      </c>
      <c r="QC11" s="104" t="s">
        <v>28</v>
      </c>
      <c r="QD11" s="105"/>
      <c r="QE11" s="161">
        <f>IFERROR((((COUNTIF('Elève (3ème1)'!QB11:QD11,"A"))*4)+((COUNTIF('Elève (3ème1)'!QB11:QD11,"B"))*3)+((COUNTIF('Elève (3ème1)'!QB11:QD11,"C"))*2)+((COUNTIF('Elève (3ème1)'!QB11:QD11,"D"))*1))/(COUNTA(QB11:QD11)),"")</f>
        <v>3.5</v>
      </c>
      <c r="QF11" s="162" t="str">
        <f t="shared" si="108"/>
        <v>B</v>
      </c>
      <c r="QG11" s="103"/>
      <c r="QH11" s="104"/>
      <c r="QI11" s="105"/>
      <c r="QJ11" s="105"/>
      <c r="QK11" s="161" t="str">
        <f>IFERROR((((COUNTIF('Elève (3ème1)'!QG11:QJ11,"A"))*4)+((COUNTIF('Elève (3ème1)'!QG11:QJ11,"B"))*3)+((COUNTIF('Elève (3ème1)'!QG11:QJ11,"C"))*2)+((COUNTIF('Elève (3ème1)'!QG11:QJ11,"D"))*1))/(COUNTA(QG11:QJ11)),"")</f>
        <v/>
      </c>
      <c r="QL11" s="162" t="str">
        <f t="shared" si="109"/>
        <v/>
      </c>
      <c r="QM11" s="103" t="s">
        <v>27</v>
      </c>
      <c r="QN11" s="104" t="s">
        <v>28</v>
      </c>
      <c r="QO11" s="105" t="s">
        <v>27</v>
      </c>
      <c r="QP11" s="105" t="s">
        <v>27</v>
      </c>
      <c r="QQ11" s="105"/>
      <c r="QR11" s="109"/>
      <c r="QS11" s="161">
        <f>IFERROR((((COUNTIF('Elève (3ème1)'!QM11:QR11,"A"))*4)+((COUNTIF('Elève (3ème1)'!QM11:QR11,"B"))*3)+((COUNTIF('Elève (3ème1)'!QM11:QR11,"C"))*2)+((COUNTIF('Elève (3ème1)'!QM11:QR11,"D"))*1))/(COUNTA(QM11:QR11)),"")</f>
        <v>3.75</v>
      </c>
      <c r="QT11" s="162" t="str">
        <f t="shared" si="110"/>
        <v>A</v>
      </c>
      <c r="QU11" s="189">
        <f>IF(COUNT(QE11,QK11,QS11)=0,"",SUM(QE11,QK11,QS11)/COUNT(QE11,QK11,QS11))</f>
        <v>3.625</v>
      </c>
      <c r="QV11" s="186" t="str">
        <f t="shared" si="111"/>
        <v>B</v>
      </c>
      <c r="QW11" s="103" t="s">
        <v>30</v>
      </c>
      <c r="QX11" s="104" t="s">
        <v>29</v>
      </c>
      <c r="QY11" s="105"/>
      <c r="QZ11" s="161">
        <f>IFERROR((((COUNTIF('Elève (3ème1)'!QW11:QY11,"A"))*4)+((COUNTIF('Elève (3ème1)'!QW11:QY11,"B"))*3)+((COUNTIF('Elève (3ème1)'!QW11:QY11,"C"))*2)+((COUNTIF('Elève (3ème1)'!QW11:QY11,"D"))*1))/(COUNTA(QW11:QY11)),"")</f>
        <v>1.5</v>
      </c>
      <c r="RA11" s="162" t="str">
        <f t="shared" si="112"/>
        <v>D</v>
      </c>
      <c r="RB11" s="103"/>
      <c r="RC11" s="104"/>
      <c r="RD11" s="105"/>
      <c r="RE11" s="105"/>
      <c r="RF11" s="161" t="str">
        <f>IFERROR((((COUNTIF('Elève (3ème1)'!RB11:RE11,"A"))*4)+((COUNTIF('Elève (3ème1)'!RB11:RE11,"B"))*3)+((COUNTIF('Elève (3ème1)'!RB11:RE11,"C"))*2)+((COUNTIF('Elève (3ème1)'!RB11:RE11,"D"))*1))/(COUNTA(RB11:RE11)),"")</f>
        <v/>
      </c>
      <c r="RG11" s="162" t="str">
        <f t="shared" si="113"/>
        <v/>
      </c>
      <c r="RH11" s="103" t="s">
        <v>28</v>
      </c>
      <c r="RI11" s="104" t="s">
        <v>28</v>
      </c>
      <c r="RJ11" s="105"/>
      <c r="RK11" s="105" t="s">
        <v>27</v>
      </c>
      <c r="RL11" s="105"/>
      <c r="RM11" s="109"/>
      <c r="RN11" s="161">
        <f>IFERROR((((COUNTIF('Elève (3ème1)'!RH11:RM11,"A"))*4)+((COUNTIF('Elève (3ème1)'!RH11:RM11,"B"))*3)+((COUNTIF('Elève (3ème1)'!RH11:RM11,"C"))*2)+((COUNTIF('Elève (3ème1)'!RH11:RM11,"D"))*1))/(COUNTA(RH11:RM11)),"")</f>
        <v>3.3333333333333335</v>
      </c>
      <c r="RO11" s="162" t="str">
        <f t="shared" si="114"/>
        <v>B</v>
      </c>
      <c r="RP11" s="189">
        <f>IF(COUNT(QZ11,RF11,RN11)=0,"",SUM(QZ11,RF11,RN11)/COUNT(QZ11,RF11,RN11))</f>
        <v>2.416666666666667</v>
      </c>
      <c r="RQ11" s="186" t="str">
        <f t="shared" si="115"/>
        <v>C</v>
      </c>
      <c r="RR11" s="103" t="s">
        <v>27</v>
      </c>
      <c r="RS11" s="104" t="s">
        <v>28</v>
      </c>
      <c r="RT11" s="105"/>
      <c r="RU11" s="161">
        <f>IFERROR((((COUNTIF('Elève (3ème1)'!RR11:RT11,"A"))*4)+((COUNTIF('Elève (3ème1)'!RR11:RT11,"B"))*3)+((COUNTIF('Elève (3ème1)'!RR11:RT11,"C"))*2)+((COUNTIF('Elève (3ème1)'!RR11:RT11,"D"))*1))/(COUNTA(RR11:RT11)),"")</f>
        <v>3.5</v>
      </c>
      <c r="RV11" s="162" t="str">
        <f t="shared" si="116"/>
        <v>B</v>
      </c>
      <c r="RW11" s="103"/>
      <c r="RX11" s="104"/>
      <c r="RY11" s="105"/>
      <c r="RZ11" s="105"/>
      <c r="SA11" s="161" t="str">
        <f>IFERROR((((COUNTIF('Elève (3ème1)'!RW11:RZ11,"A"))*4)+((COUNTIF('Elève (3ème1)'!RW11:RZ11,"B"))*3)+((COUNTIF('Elève (3ème1)'!RW11:RZ11,"C"))*2)+((COUNTIF('Elève (3ème1)'!RW11:RZ11,"D"))*1))/(COUNTA(RW11:RZ11)),"")</f>
        <v/>
      </c>
      <c r="SB11" s="162" t="str">
        <f t="shared" si="117"/>
        <v/>
      </c>
      <c r="SC11" s="103" t="s">
        <v>27</v>
      </c>
      <c r="SD11" s="104" t="s">
        <v>28</v>
      </c>
      <c r="SE11" s="105" t="s">
        <v>27</v>
      </c>
      <c r="SF11" s="105" t="s">
        <v>27</v>
      </c>
      <c r="SG11" s="105"/>
      <c r="SH11" s="109"/>
      <c r="SI11" s="161">
        <f>IFERROR((((COUNTIF('Elève (3ème1)'!SC11:SH11,"A"))*4)+((COUNTIF('Elève (3ème1)'!SC11:SH11,"B"))*3)+((COUNTIF('Elève (3ème1)'!SC11:SH11,"C"))*2)+((COUNTIF('Elève (3ème1)'!SC11:SH11,"D"))*1))/(COUNTA(SC11:SH11)),"")</f>
        <v>3.75</v>
      </c>
      <c r="SJ11" s="162" t="str">
        <f t="shared" si="118"/>
        <v>A</v>
      </c>
      <c r="SK11" s="189">
        <f>IF(COUNT(RU11,SA11,SI11)=0,"",SUM(RU11,SA11,SI11)/COUNT(RU11,SA11,SI11))</f>
        <v>3.625</v>
      </c>
      <c r="SL11" s="186" t="str">
        <f t="shared" si="119"/>
        <v>B</v>
      </c>
      <c r="SM11" s="103" t="s">
        <v>30</v>
      </c>
      <c r="SN11" s="104" t="s">
        <v>29</v>
      </c>
      <c r="SO11" s="105"/>
      <c r="SP11" s="161">
        <f>IFERROR((((COUNTIF('Elève (3ème1)'!SM11:SO11,"A"))*4)+((COUNTIF('Elève (3ème1)'!SM11:SO11,"B"))*3)+((COUNTIF('Elève (3ème1)'!SM11:SO11,"C"))*2)+((COUNTIF('Elève (3ème1)'!SM11:SO11,"D"))*1))/(COUNTA(SM11:SO11)),"")</f>
        <v>1.5</v>
      </c>
      <c r="SQ11" s="162" t="str">
        <f t="shared" si="120"/>
        <v>D</v>
      </c>
      <c r="SR11" s="103"/>
      <c r="SS11" s="104"/>
      <c r="ST11" s="105"/>
      <c r="SU11" s="105"/>
      <c r="SV11" s="161" t="str">
        <f>IFERROR((((COUNTIF('Elève (3ème1)'!SR11:SU11,"A"))*4)+((COUNTIF('Elève (3ème1)'!SR11:SU11,"B"))*3)+((COUNTIF('Elève (3ème1)'!SR11:SU11,"C"))*2)+((COUNTIF('Elève (3ème1)'!SR11:SU11,"D"))*1))/(COUNTA(SR11:SU11)),"")</f>
        <v/>
      </c>
      <c r="SW11" s="162" t="str">
        <f t="shared" si="121"/>
        <v/>
      </c>
      <c r="SX11" s="103" t="s">
        <v>27</v>
      </c>
      <c r="SY11" s="104" t="s">
        <v>29</v>
      </c>
      <c r="SZ11" s="105" t="s">
        <v>27</v>
      </c>
      <c r="TA11" s="105" t="s">
        <v>28</v>
      </c>
      <c r="TB11" s="105"/>
      <c r="TC11" s="109"/>
      <c r="TD11" s="161">
        <f>IFERROR((((COUNTIF('Elève (3ème1)'!SX11:TC11,"A"))*4)+((COUNTIF('Elève (3ème1)'!SX11:TC11,"B"))*3)+((COUNTIF('Elève (3ème1)'!SX11:TC11,"C"))*2)+((COUNTIF('Elève (3ème1)'!SX11:TC11,"D"))*1))/(COUNTA(SX11:TC11)),"")</f>
        <v>3.25</v>
      </c>
      <c r="TE11" s="162" t="str">
        <f t="shared" si="122"/>
        <v>B</v>
      </c>
      <c r="TF11" s="189">
        <f>IF(COUNT(SP11,SV11,TD11)=0,"",SUM(SP11,SV11,TD11)/COUNT(SP11,SV11,TD11))</f>
        <v>2.375</v>
      </c>
      <c r="TG11" s="186" t="str">
        <f t="shared" si="123"/>
        <v>C</v>
      </c>
      <c r="TH11" s="103"/>
      <c r="TI11" s="104"/>
      <c r="TJ11" s="105"/>
      <c r="TK11" s="99" t="str">
        <f>IFERROR((((COUNTIF('Elève (3ème1)'!TH11:TJ11,"A"))*4)+((COUNTIF('Elève (3ème1)'!TH11:TJ11,"B"))*3)+((COUNTIF('Elève (3ème1)'!TH11:TJ11,"C"))*2)+((COUNTIF('Elève (3ème1)'!TH11:TJ11,"D"))*1))/(COUNTA(TH11:TJ11)),"")</f>
        <v/>
      </c>
      <c r="TL11" s="100" t="str">
        <f t="shared" si="124"/>
        <v/>
      </c>
      <c r="TM11" s="103"/>
      <c r="TN11" s="104"/>
      <c r="TO11" s="105"/>
      <c r="TP11" s="99" t="str">
        <f>IFERROR((((COUNTIF('Elève (3ème1)'!TM11:TO11,"A"))*4)+((COUNTIF('Elève (3ème1)'!TM11:TO11,"B"))*3)+((COUNTIF('Elève (3ème1)'!TM11:TO11,"C"))*2)+((COUNTIF('Elève (3ème1)'!TM11:TO11,"D"))*1))/(COUNTA(TM11:TO11)),"")</f>
        <v/>
      </c>
      <c r="TQ11" s="100" t="str">
        <f t="shared" si="125"/>
        <v/>
      </c>
      <c r="TR11" s="103"/>
      <c r="TS11" s="104"/>
      <c r="TT11" s="109"/>
      <c r="TU11" s="99" t="str">
        <f>IFERROR((((COUNTIF('Elève (3ème1)'!TR11:TT11,"A"))*4)+((COUNTIF('Elève (3ème1)'!TR11:TT11,"B"))*3)+((COUNTIF('Elève (3ème1)'!TR11:TT11,"C"))*2)+((COUNTIF('Elève (3ème1)'!TR11:TT11,"D"))*1))/(COUNTA(TR11:TT11)),"")</f>
        <v/>
      </c>
      <c r="TV11" s="100" t="str">
        <f t="shared" si="126"/>
        <v/>
      </c>
      <c r="TW11" s="119" t="str">
        <f>IF(COUNT(TK11,TP11,TU11)=0,"",SUM(TK11,TP11,TU11)/COUNT(TK11,TP11,TU11))</f>
        <v/>
      </c>
      <c r="TX11" s="101" t="str">
        <f t="shared" si="127"/>
        <v/>
      </c>
      <c r="TY11" s="103"/>
      <c r="TZ11" s="104"/>
      <c r="UA11" s="105"/>
      <c r="UB11" s="99" t="str">
        <f>IFERROR((((COUNTIF('Elève (3ème1)'!TY11:UA11,"A"))*4)+((COUNTIF('Elève (3ème1)'!TY11:UA11,"B"))*3)+((COUNTIF('Elève (3ème1)'!TY11:UA11,"C"))*2)+((COUNTIF('Elève (3ème1)'!TY11:UA11,"D"))*1))/(COUNTA(TY11:UA11)),"")</f>
        <v/>
      </c>
      <c r="UC11" s="100" t="str">
        <f t="shared" si="128"/>
        <v/>
      </c>
      <c r="UD11" s="103"/>
      <c r="UE11" s="104"/>
      <c r="UF11" s="105"/>
      <c r="UG11" s="99" t="str">
        <f>IFERROR((((COUNTIF('Elève (3ème1)'!UD11:UF11,"A"))*4)+((COUNTIF('Elève (3ème1)'!UD11:UF11,"B"))*3)+((COUNTIF('Elève (3ème1)'!UD11:UF11,"C"))*2)+((COUNTIF('Elève (3ème1)'!UD11:UF11,"D"))*1))/(COUNTA(UD11:UF11)),"")</f>
        <v/>
      </c>
      <c r="UH11" s="100" t="str">
        <f t="shared" si="129"/>
        <v/>
      </c>
      <c r="UI11" s="103"/>
      <c r="UJ11" s="104"/>
      <c r="UK11" s="109"/>
      <c r="UL11" s="99" t="str">
        <f>IFERROR((((COUNTIF('Elève (3ème1)'!UI11:UK11,"A"))*4)+((COUNTIF('Elève (3ème1)'!UI11:UK11,"B"))*3)+((COUNTIF('Elève (3ème1)'!UI11:UK11,"C"))*2)+((COUNTIF('Elève (3ème1)'!UI11:UK11,"D"))*1))/(COUNTA(UI11:UK11)),"")</f>
        <v/>
      </c>
      <c r="UM11" s="100" t="str">
        <f t="shared" si="130"/>
        <v/>
      </c>
      <c r="UN11" s="119" t="str">
        <f>IF(COUNT(UB11,UG11,UL11)=0,"",SUM(UB11,UG11,UL11)/COUNT(UB11,UG11,UL11))</f>
        <v/>
      </c>
      <c r="UO11" s="101" t="str">
        <f t="shared" si="131"/>
        <v/>
      </c>
      <c r="UP11" s="103"/>
      <c r="UQ11" s="104"/>
      <c r="UR11" s="105"/>
      <c r="US11" s="99" t="str">
        <f>IFERROR((((COUNTIF('Elève (3ème1)'!UP11:UR11,"A"))*4)+((COUNTIF('Elève (3ème1)'!UP11:UR11,"B"))*3)+((COUNTIF('Elève (3ème1)'!UP11:UR11,"C"))*2)+((COUNTIF('Elève (3ème1)'!UP11:UR11,"D"))*1))/(COUNTA(UP11:UR11)),"")</f>
        <v/>
      </c>
      <c r="UT11" s="100" t="str">
        <f t="shared" si="132"/>
        <v/>
      </c>
      <c r="UU11" s="103"/>
      <c r="UV11" s="104"/>
      <c r="UW11" s="105"/>
      <c r="UX11" s="99" t="str">
        <f>IFERROR((((COUNTIF('Elève (3ème1)'!UU11:UW11,"A"))*4)+((COUNTIF('Elève (3ème1)'!UU11:UW11,"B"))*3)+((COUNTIF('Elève (3ème1)'!UU11:UW11,"C"))*2)+((COUNTIF('Elève (3ème1)'!UU11:UW11,"D"))*1))/(COUNTA(UU11:UW11)),"")</f>
        <v/>
      </c>
      <c r="UY11" s="100" t="str">
        <f t="shared" si="133"/>
        <v/>
      </c>
      <c r="UZ11" s="103"/>
      <c r="VA11" s="104"/>
      <c r="VB11" s="109"/>
      <c r="VC11" s="99" t="str">
        <f>IFERROR((((COUNTIF('Elève (3ème1)'!UZ11:VB11,"A"))*4)+((COUNTIF('Elève (3ème1)'!UZ11:VB11,"B"))*3)+((COUNTIF('Elève (3ème1)'!UZ11:VB11,"C"))*2)+((COUNTIF('Elève (3ème1)'!UZ11:VB11,"D"))*1))/(COUNTA(UZ11:VB11)),"")</f>
        <v/>
      </c>
      <c r="VD11" s="100" t="str">
        <f t="shared" si="134"/>
        <v/>
      </c>
      <c r="VE11" s="119" t="str">
        <f>IF(COUNT(US11,UX11,VC11)=0,"",SUM(US11,UX11,VC11)/COUNT(US11,UX11,VC11))</f>
        <v/>
      </c>
      <c r="VF11" s="101" t="str">
        <f t="shared" si="135"/>
        <v/>
      </c>
      <c r="VG11" s="103"/>
      <c r="VH11" s="104"/>
      <c r="VI11" s="105"/>
      <c r="VJ11" s="99" t="str">
        <f>IFERROR((((COUNTIF('Elève (3ème1)'!VG11:VI11,"A"))*4)+((COUNTIF('Elève (3ème1)'!VG11:VI11,"B"))*3)+((COUNTIF('Elève (3ème1)'!VG11:VI11,"C"))*2)+((COUNTIF('Elève (3ème1)'!VG11:VI11,"D"))*1))/(COUNTA(VG11:VI11)),"")</f>
        <v/>
      </c>
      <c r="VK11" s="100" t="str">
        <f t="shared" si="136"/>
        <v/>
      </c>
      <c r="VL11" s="103"/>
      <c r="VM11" s="104"/>
      <c r="VN11" s="105"/>
      <c r="VO11" s="99" t="str">
        <f>IFERROR((((COUNTIF('Elève (3ème1)'!VL11:VN11,"A"))*4)+((COUNTIF('Elève (3ème1)'!VL11:VN11,"B"))*3)+((COUNTIF('Elève (3ème1)'!VL11:VN11,"C"))*2)+((COUNTIF('Elève (3ème1)'!VL11:VN11,"D"))*1))/(COUNTA(VL11:VN11)),"")</f>
        <v/>
      </c>
      <c r="VP11" s="100" t="str">
        <f t="shared" si="137"/>
        <v/>
      </c>
      <c r="VQ11" s="103"/>
      <c r="VR11" s="104"/>
      <c r="VS11" s="109"/>
      <c r="VT11" s="99" t="str">
        <f>IFERROR((((COUNTIF('Elève (3ème1)'!VQ11:VS11,"A"))*4)+((COUNTIF('Elève (3ème1)'!VQ11:VS11,"B"))*3)+((COUNTIF('Elève (3ème1)'!VQ11:VS11,"C"))*2)+((COUNTIF('Elève (3ème1)'!VQ11:VS11,"D"))*1))/(COUNTA(VQ11:VS11)),"")</f>
        <v/>
      </c>
      <c r="VU11" s="100" t="str">
        <f t="shared" si="138"/>
        <v/>
      </c>
      <c r="VV11" s="119" t="str">
        <f>IF(COUNT(VJ11,VO11,VT11)=0,"",SUM(VJ11,VO11,VT11)/COUNT(VJ11,VO11,VT11))</f>
        <v/>
      </c>
      <c r="VW11" s="101" t="str">
        <f t="shared" si="139"/>
        <v/>
      </c>
      <c r="VX11" s="103"/>
      <c r="VY11" s="104"/>
      <c r="VZ11" s="105"/>
      <c r="WA11" s="99" t="str">
        <f>IFERROR((((COUNTIF('Elève (3ème1)'!VX11:VZ11,"A"))*4)+((COUNTIF('Elève (3ème1)'!VX11:VZ11,"B"))*3)+((COUNTIF('Elève (3ème1)'!VX11:VZ11,"C"))*2)+((COUNTIF('Elève (3ème1)'!VX11:VZ11,"D"))*1))/(COUNTA(VX11:VZ11)),"")</f>
        <v/>
      </c>
      <c r="WB11" s="100" t="str">
        <f t="shared" si="140"/>
        <v/>
      </c>
      <c r="WC11" s="103"/>
      <c r="WD11" s="104"/>
      <c r="WE11" s="105"/>
      <c r="WF11" s="99" t="str">
        <f>IFERROR((((COUNTIF('Elève (3ème1)'!WC11:WE11,"A"))*4)+((COUNTIF('Elève (3ème1)'!WC11:WE11,"B"))*3)+((COUNTIF('Elève (3ème1)'!WC11:WE11,"C"))*2)+((COUNTIF('Elève (3ème1)'!WC11:WE11,"D"))*1))/(COUNTA(WC11:WE11)),"")</f>
        <v/>
      </c>
      <c r="WG11" s="100" t="str">
        <f t="shared" si="141"/>
        <v/>
      </c>
      <c r="WH11" s="103"/>
      <c r="WI11" s="104"/>
      <c r="WJ11" s="109"/>
      <c r="WK11" s="99" t="str">
        <f>IFERROR((((COUNTIF('Elève (3ème1)'!WH11:WJ11,"A"))*4)+((COUNTIF('Elève (3ème1)'!WH11:WJ11,"B"))*3)+((COUNTIF('Elève (3ème1)'!WH11:WJ11,"C"))*2)+((COUNTIF('Elève (3ème1)'!WH11:WJ11,"D"))*1))/(COUNTA(WH11:WJ11)),"")</f>
        <v/>
      </c>
      <c r="WL11" s="100" t="str">
        <f t="shared" si="142"/>
        <v/>
      </c>
      <c r="WM11" s="119" t="str">
        <f>IF(COUNT(WA11,WF11,WK11)=0,"",SUM(WA11,WF11,WK11)/COUNT(WA11,WF11,WK11))</f>
        <v/>
      </c>
      <c r="WN11" s="101" t="str">
        <f t="shared" si="143"/>
        <v/>
      </c>
    </row>
    <row r="12" spans="1:612" ht="18" customHeight="1" thickBot="1" x14ac:dyDescent="0.6">
      <c r="A12" s="215" t="s">
        <v>48</v>
      </c>
      <c r="B12" s="216"/>
      <c r="C12" s="110" t="s">
        <v>27</v>
      </c>
      <c r="D12" s="111"/>
      <c r="E12" s="112"/>
      <c r="F12" s="165">
        <f>IFERROR((((COUNTIF('Elève (3ème1)'!C12:E12,"A"))*4)+((COUNTIF('Elève (3ème1)'!C12:E12,"B"))*3)+((COUNTIF('Elève (3ème1)'!C12:E12,"C"))*2)+((COUNTIF('Elève (3ème1)'!C12:E12,"D"))*1))/(COUNTA(C12:E12)),"")</f>
        <v>4</v>
      </c>
      <c r="G12" s="166" t="str">
        <f t="shared" si="24"/>
        <v>A</v>
      </c>
      <c r="H12" s="110"/>
      <c r="I12" s="111"/>
      <c r="J12" s="112"/>
      <c r="K12" s="112"/>
      <c r="L12" s="165" t="str">
        <f>IFERROR((((COUNTIF('Elève (3ème1)'!H12:K12,"A"))*4)+((COUNTIF('Elève (3ème1)'!H12:K12,"B"))*3)+((COUNTIF('Elève (3ème1)'!H12:K12,"C"))*2)+((COUNTIF('Elève (3ème1)'!H12:K12,"D"))*1))/(COUNTA(H12:K12)),"")</f>
        <v/>
      </c>
      <c r="M12" s="166" t="str">
        <f t="shared" si="25"/>
        <v/>
      </c>
      <c r="N12" s="110"/>
      <c r="O12" s="111"/>
      <c r="P12" s="112"/>
      <c r="Q12" s="112"/>
      <c r="R12" s="112"/>
      <c r="S12" s="112"/>
      <c r="T12" s="165" t="str">
        <f>IFERROR((((COUNTIF('Elève (3ème1)'!N12:S12,"A"))*4)+((COUNTIF('Elève (3ème1)'!N12:S12,"B"))*3)+((COUNTIF('Elève (3ème1)'!N12:S12,"C"))*2)+((COUNTIF('Elève (3ème1)'!N12:S12,"D"))*1))/(COUNTA(N12:S12)),"")</f>
        <v/>
      </c>
      <c r="U12" s="166" t="str">
        <f t="shared" si="26"/>
        <v/>
      </c>
      <c r="V12" s="165">
        <f>IF(COUNT(F12,L12,T12)=0,"",SUM(F12,L12,T12)/COUNT(F12,L12,T12))</f>
        <v>4</v>
      </c>
      <c r="W12" s="188" t="str">
        <f t="shared" si="27"/>
        <v>A</v>
      </c>
      <c r="X12" s="110" t="s">
        <v>30</v>
      </c>
      <c r="Y12" s="111"/>
      <c r="Z12" s="112"/>
      <c r="AA12" s="165">
        <f>IFERROR((((COUNTIF('Elève (3ème1)'!X12:Z12,"A"))*4)+((COUNTIF('Elève (3ème1)'!X12:Z12,"B"))*3)+((COUNTIF('Elève (3ème1)'!X12:Z12,"C"))*2)+((COUNTIF('Elève (3ème1)'!X12:Z12,"D"))*1))/(COUNTA(X12:Z12)),"")</f>
        <v>1</v>
      </c>
      <c r="AB12" s="166" t="str">
        <f t="shared" si="28"/>
        <v>D</v>
      </c>
      <c r="AC12" s="110"/>
      <c r="AD12" s="111"/>
      <c r="AE12" s="112"/>
      <c r="AF12" s="112"/>
      <c r="AG12" s="165" t="str">
        <f>IFERROR((((COUNTIF('Elève (3ème1)'!AC12:AF12,"A"))*4)+((COUNTIF('Elève (3ème1)'!AC12:AF12,"B"))*3)+((COUNTIF('Elève (3ème1)'!AC12:AF12,"C"))*2)+((COUNTIF('Elève (3ème1)'!AC12:AF12,"D"))*1))/(COUNTA(AC12:AF12)),"")</f>
        <v/>
      </c>
      <c r="AH12" s="166" t="str">
        <f t="shared" si="29"/>
        <v/>
      </c>
      <c r="AI12" s="110"/>
      <c r="AJ12" s="111"/>
      <c r="AK12" s="112"/>
      <c r="AL12" s="112"/>
      <c r="AM12" s="112"/>
      <c r="AN12" s="116"/>
      <c r="AO12" s="165" t="str">
        <f>IFERROR((((COUNTIF('Elève (3ème1)'!AI12:AN12,"A"))*4)+((COUNTIF('Elève (3ème1)'!AI12:AN12,"B"))*3)+((COUNTIF('Elève (3ème1)'!AI12:AN12,"C"))*2)+((COUNTIF('Elève (3ème1)'!AI12:AN12,"D"))*1))/(COUNTA(AI12:AN12)),"")</f>
        <v/>
      </c>
      <c r="AP12" s="166" t="str">
        <f t="shared" si="30"/>
        <v/>
      </c>
      <c r="AQ12" s="165">
        <f>IF(COUNT(AA12,AG12,AO12)=0,"",SUM(AA12,AG12,AO12)/COUNT(AA12,AG12,AO12))</f>
        <v>1</v>
      </c>
      <c r="AR12" s="188" t="str">
        <f t="shared" si="31"/>
        <v>D</v>
      </c>
      <c r="AS12" s="110" t="s">
        <v>28</v>
      </c>
      <c r="AT12" s="111"/>
      <c r="AU12" s="112"/>
      <c r="AV12" s="165">
        <f>IFERROR((((COUNTIF('Elève (3ème1)'!AS12:AU12,"A"))*4)+((COUNTIF('Elève (3ème1)'!AS12:AU12,"B"))*3)+((COUNTIF('Elève (3ème1)'!AS12:AU12,"C"))*2)+((COUNTIF('Elève (3ème1)'!AS12:AU12,"D"))*1))/(COUNTA(AS12:AU12)),"")</f>
        <v>3</v>
      </c>
      <c r="AW12" s="166" t="str">
        <f t="shared" si="32"/>
        <v>B</v>
      </c>
      <c r="AX12" s="110"/>
      <c r="AY12" s="111"/>
      <c r="AZ12" s="112"/>
      <c r="BA12" s="112"/>
      <c r="BB12" s="165" t="str">
        <f>IFERROR((((COUNTIF('Elève (3ème1)'!AX12:BA12,"A"))*4)+((COUNTIF('Elève (3ème1)'!AX12:BA12,"B"))*3)+((COUNTIF('Elève (3ème1)'!AX12:BA12,"C"))*2)+((COUNTIF('Elève (3ème1)'!AX12:BA12,"D"))*1))/(COUNTA(AX12:BA12)),"")</f>
        <v/>
      </c>
      <c r="BC12" s="166" t="str">
        <f t="shared" si="33"/>
        <v/>
      </c>
      <c r="BD12" s="110"/>
      <c r="BE12" s="111"/>
      <c r="BF12" s="112"/>
      <c r="BG12" s="112"/>
      <c r="BH12" s="112"/>
      <c r="BI12" s="116"/>
      <c r="BJ12" s="165" t="str">
        <f>IFERROR((((COUNTIF('Elève (3ème1)'!BD12:BI12,"A"))*4)+((COUNTIF('Elève (3ème1)'!BD12:BI12,"B"))*3)+((COUNTIF('Elève (3ème1)'!BD12:BI12,"C"))*2)+((COUNTIF('Elève (3ème1)'!BD12:BI12,"D"))*1))/(COUNTA(BD12:BI12)),"")</f>
        <v/>
      </c>
      <c r="BK12" s="166" t="str">
        <f t="shared" si="34"/>
        <v/>
      </c>
      <c r="BL12" s="165">
        <f>IF(COUNT(AV12,BB12,BJ12)=0,"",SUM(AV12,BB12,BJ12)/COUNT(AV12,BB12,BJ12))</f>
        <v>3</v>
      </c>
      <c r="BM12" s="188" t="str">
        <f t="shared" si="35"/>
        <v>B</v>
      </c>
      <c r="BN12" s="110" t="s">
        <v>27</v>
      </c>
      <c r="BO12" s="111"/>
      <c r="BP12" s="112"/>
      <c r="BQ12" s="165">
        <f>IFERROR((((COUNTIF('Elève (3ème1)'!BN12:BP12,"A"))*4)+((COUNTIF('Elève (3ème1)'!BN12:BP12,"B"))*3)+((COUNTIF('Elève (3ème1)'!BN12:BP12,"C"))*2)+((COUNTIF('Elève (3ème1)'!BN12:BP12,"D"))*1))/(COUNTA(BN12:BP12)),"")</f>
        <v>4</v>
      </c>
      <c r="BR12" s="166" t="str">
        <f t="shared" si="36"/>
        <v>A</v>
      </c>
      <c r="BS12" s="110"/>
      <c r="BT12" s="111"/>
      <c r="BU12" s="112"/>
      <c r="BV12" s="112"/>
      <c r="BW12" s="165" t="str">
        <f>IFERROR((((COUNTIF('Elève (3ème1)'!BS12:BV12,"A"))*4)+((COUNTIF('Elève (3ème1)'!BS12:BV12,"B"))*3)+((COUNTIF('Elève (3ème1)'!BS12:BV12,"C"))*2)+((COUNTIF('Elève (3ème1)'!BS12:BV12,"D"))*1))/(COUNTA(BS12:BV12)),"")</f>
        <v/>
      </c>
      <c r="BX12" s="166" t="str">
        <f t="shared" si="37"/>
        <v/>
      </c>
      <c r="BY12" s="110"/>
      <c r="BZ12" s="111"/>
      <c r="CA12" s="112"/>
      <c r="CB12" s="112"/>
      <c r="CC12" s="112"/>
      <c r="CD12" s="116"/>
      <c r="CE12" s="165" t="str">
        <f>IFERROR((((COUNTIF('Elève (3ème1)'!BY12:CD12,"A"))*4)+((COUNTIF('Elève (3ème1)'!BY12:CD12,"B"))*3)+((COUNTIF('Elève (3ème1)'!BY12:CD12,"C"))*2)+((COUNTIF('Elève (3ème1)'!BY12:CD12,"D"))*1))/(COUNTA(BY12:CD12)),"")</f>
        <v/>
      </c>
      <c r="CF12" s="166" t="str">
        <f t="shared" si="38"/>
        <v/>
      </c>
      <c r="CG12" s="165">
        <f>IF(COUNT(BQ12,BW12,CE12)=0,"",SUM(BQ12,BW12,CE12)/COUNT(BQ12,BW12,CE12))</f>
        <v>4</v>
      </c>
      <c r="CH12" s="188" t="str">
        <f t="shared" si="39"/>
        <v>A</v>
      </c>
      <c r="CI12" s="110" t="s">
        <v>27</v>
      </c>
      <c r="CJ12" s="111"/>
      <c r="CK12" s="112"/>
      <c r="CL12" s="165">
        <f>IFERROR((((COUNTIF('Elève (3ème1)'!CI12:CK12,"A"))*4)+((COUNTIF('Elève (3ème1)'!CI12:CK12,"B"))*3)+((COUNTIF('Elève (3ème1)'!CI12:CK12,"C"))*2)+((COUNTIF('Elève (3ème1)'!CI12:CK12,"D"))*1))/(COUNTA(CI12:CK12)),"")</f>
        <v>4</v>
      </c>
      <c r="CM12" s="166" t="str">
        <f t="shared" si="40"/>
        <v>A</v>
      </c>
      <c r="CN12" s="110"/>
      <c r="CO12" s="111"/>
      <c r="CP12" s="112"/>
      <c r="CQ12" s="112"/>
      <c r="CR12" s="165" t="str">
        <f>IFERROR((((COUNTIF('Elève (3ème1)'!CN12:CQ12,"A"))*4)+((COUNTIF('Elève (3ème1)'!CN12:CQ12,"B"))*3)+((COUNTIF('Elève (3ème1)'!CN12:CQ12,"C"))*2)+((COUNTIF('Elève (3ème1)'!CN12:CQ12,"D"))*1))/(COUNTA(CN12:CQ12)),"")</f>
        <v/>
      </c>
      <c r="CS12" s="166" t="str">
        <f t="shared" si="41"/>
        <v/>
      </c>
      <c r="CT12" s="110"/>
      <c r="CU12" s="111"/>
      <c r="CV12" s="112"/>
      <c r="CW12" s="112"/>
      <c r="CX12" s="112"/>
      <c r="CY12" s="116"/>
      <c r="CZ12" s="165" t="str">
        <f>IFERROR((((COUNTIF('Elève (3ème1)'!CT12:CY12,"A"))*4)+((COUNTIF('Elève (3ème1)'!CT12:CY12,"B"))*3)+((COUNTIF('Elève (3ème1)'!CT12:CY12,"C"))*2)+((COUNTIF('Elève (3ème1)'!CT12:CY12,"D"))*1))/(COUNTA(CT12:CY12)),"")</f>
        <v/>
      </c>
      <c r="DA12" s="166" t="str">
        <f t="shared" si="42"/>
        <v/>
      </c>
      <c r="DB12" s="165">
        <f>IF(COUNT(CL12,CR12,CZ12)=0,"",SUM(CL12,CR12,CZ12)/COUNT(CL12,CR12,CZ12))</f>
        <v>4</v>
      </c>
      <c r="DC12" s="188" t="str">
        <f t="shared" si="43"/>
        <v>A</v>
      </c>
      <c r="DD12" s="110" t="s">
        <v>27</v>
      </c>
      <c r="DE12" s="111"/>
      <c r="DF12" s="112"/>
      <c r="DG12" s="165">
        <f>IFERROR((((COUNTIF('Elève (3ème1)'!DD12:DF12,"A"))*4)+((COUNTIF('Elève (3ème1)'!DD12:DF12,"B"))*3)+((COUNTIF('Elève (3ème1)'!DD12:DF12,"C"))*2)+((COUNTIF('Elève (3ème1)'!DD12:DF12,"D"))*1))/(COUNTA(DD12:DF12)),"")</f>
        <v>4</v>
      </c>
      <c r="DH12" s="166" t="str">
        <f t="shared" si="44"/>
        <v>A</v>
      </c>
      <c r="DI12" s="110"/>
      <c r="DJ12" s="111"/>
      <c r="DK12" s="112"/>
      <c r="DL12" s="112"/>
      <c r="DM12" s="165" t="str">
        <f>IFERROR((((COUNTIF('Elève (3ème1)'!DI12:DL12,"A"))*4)+((COUNTIF('Elève (3ème1)'!DI12:DL12,"B"))*3)+((COUNTIF('Elève (3ème1)'!DI12:DL12,"C"))*2)+((COUNTIF('Elève (3ème1)'!DI12:DL12,"D"))*1))/(COUNTA(DI12:DL12)),"")</f>
        <v/>
      </c>
      <c r="DN12" s="166" t="str">
        <f t="shared" si="45"/>
        <v/>
      </c>
      <c r="DO12" s="110"/>
      <c r="DP12" s="111"/>
      <c r="DQ12" s="112"/>
      <c r="DR12" s="112"/>
      <c r="DS12" s="112"/>
      <c r="DT12" s="116"/>
      <c r="DU12" s="165" t="str">
        <f>IFERROR((((COUNTIF('Elève (3ème1)'!DO12:DT12,"A"))*4)+((COUNTIF('Elève (3ème1)'!DO12:DT12,"B"))*3)+((COUNTIF('Elève (3ème1)'!DO12:DT12,"C"))*2)+((COUNTIF('Elève (3ème1)'!DO12:DT12,"D"))*1))/(COUNTA(DO12:DT12)),"")</f>
        <v/>
      </c>
      <c r="DV12" s="166" t="str">
        <f t="shared" si="46"/>
        <v/>
      </c>
      <c r="DW12" s="165">
        <f>IF(COUNT(DG12,DM12,DU12)=0,"",SUM(DG12,DM12,DU12)/COUNT(DG12,DM12,DU12))</f>
        <v>4</v>
      </c>
      <c r="DX12" s="188" t="str">
        <f t="shared" si="47"/>
        <v>A</v>
      </c>
      <c r="DY12" s="110" t="s">
        <v>28</v>
      </c>
      <c r="DZ12" s="111"/>
      <c r="EA12" s="112"/>
      <c r="EB12" s="165">
        <f>IFERROR((((COUNTIF('Elève (3ème1)'!DY12:EA12,"A"))*4)+((COUNTIF('Elève (3ème1)'!DY12:EA12,"B"))*3)+((COUNTIF('Elève (3ème1)'!DY12:EA12,"C"))*2)+((COUNTIF('Elève (3ème1)'!DY12:EA12,"D"))*1))/(COUNTA(DY12:EA12)),"")</f>
        <v>3</v>
      </c>
      <c r="EC12" s="166" t="str">
        <f t="shared" si="48"/>
        <v>B</v>
      </c>
      <c r="ED12" s="110"/>
      <c r="EE12" s="111"/>
      <c r="EF12" s="112"/>
      <c r="EG12" s="112"/>
      <c r="EH12" s="165" t="str">
        <f>IFERROR((((COUNTIF('Elève (3ème1)'!ED12:EG12,"A"))*4)+((COUNTIF('Elève (3ème1)'!ED12:EG12,"B"))*3)+((COUNTIF('Elève (3ème1)'!ED12:EG12,"C"))*2)+((COUNTIF('Elève (3ème1)'!ED12:EG12,"D"))*1))/(COUNTA(ED12:EG12)),"")</f>
        <v/>
      </c>
      <c r="EI12" s="166" t="str">
        <f t="shared" si="49"/>
        <v/>
      </c>
      <c r="EJ12" s="110"/>
      <c r="EK12" s="111"/>
      <c r="EL12" s="112"/>
      <c r="EM12" s="112"/>
      <c r="EN12" s="112"/>
      <c r="EO12" s="116"/>
      <c r="EP12" s="165" t="str">
        <f>IFERROR((((COUNTIF('Elève (3ème1)'!EJ12:EO12,"A"))*4)+((COUNTIF('Elève (3ème1)'!EJ12:EO12,"B"))*3)+((COUNTIF('Elève (3ème1)'!EJ12:EO12,"C"))*2)+((COUNTIF('Elève (3ème1)'!EJ12:EO12,"D"))*1))/(COUNTA(EJ12:EO12)),"")</f>
        <v/>
      </c>
      <c r="EQ12" s="166" t="str">
        <f t="shared" si="50"/>
        <v/>
      </c>
      <c r="ER12" s="165">
        <f>IF(COUNT(EB12,EH12,EP12)=0,"",SUM(EB12,EH12,EP12)/COUNT(EB12,EH12,EP12))</f>
        <v>3</v>
      </c>
      <c r="ES12" s="188" t="str">
        <f t="shared" si="51"/>
        <v>B</v>
      </c>
      <c r="ET12" s="110" t="s">
        <v>27</v>
      </c>
      <c r="EU12" s="111"/>
      <c r="EV12" s="112"/>
      <c r="EW12" s="165">
        <f>IFERROR((((COUNTIF('Elève (3ème1)'!ET12:EV12,"A"))*4)+((COUNTIF('Elève (3ème1)'!ET12:EV12,"B"))*3)+((COUNTIF('Elève (3ème1)'!ET12:EV12,"C"))*2)+((COUNTIF('Elève (3ème1)'!ET12:EV12,"D"))*1))/(COUNTA(ET12:EV12)),"")</f>
        <v>4</v>
      </c>
      <c r="EX12" s="166" t="str">
        <f t="shared" si="52"/>
        <v>A</v>
      </c>
      <c r="EY12" s="110"/>
      <c r="EZ12" s="111"/>
      <c r="FA12" s="112"/>
      <c r="FB12" s="112"/>
      <c r="FC12" s="165" t="str">
        <f>IFERROR((((COUNTIF('Elève (3ème1)'!EY12:FB12,"A"))*4)+((COUNTIF('Elève (3ème1)'!EY12:FB12,"B"))*3)+((COUNTIF('Elève (3ème1)'!EY12:FB12,"C"))*2)+((COUNTIF('Elève (3ème1)'!EY12:FB12,"D"))*1))/(COUNTA(EY12:FB12)),"")</f>
        <v/>
      </c>
      <c r="FD12" s="166" t="str">
        <f t="shared" si="53"/>
        <v/>
      </c>
      <c r="FE12" s="110"/>
      <c r="FF12" s="111"/>
      <c r="FG12" s="112"/>
      <c r="FH12" s="112"/>
      <c r="FI12" s="112"/>
      <c r="FJ12" s="116"/>
      <c r="FK12" s="165" t="str">
        <f>IFERROR((((COUNTIF('Elève (3ème1)'!FE12:FJ12,"A"))*4)+((COUNTIF('Elève (3ème1)'!FE12:FJ12,"B"))*3)+((COUNTIF('Elève (3ème1)'!FE12:FJ12,"C"))*2)+((COUNTIF('Elève (3ème1)'!FE12:FJ12,"D"))*1))/(COUNTA(FE12:FJ12)),"")</f>
        <v/>
      </c>
      <c r="FL12" s="166" t="str">
        <f t="shared" si="54"/>
        <v/>
      </c>
      <c r="FM12" s="165">
        <f>IF(COUNT(EW12,FC12,FK12)=0,"",SUM(EW12,FC12,FK12)/COUNT(EW12,FC12,FK12))</f>
        <v>4</v>
      </c>
      <c r="FN12" s="188" t="str">
        <f t="shared" si="55"/>
        <v>A</v>
      </c>
      <c r="FO12" s="110" t="s">
        <v>27</v>
      </c>
      <c r="FP12" s="111"/>
      <c r="FQ12" s="112"/>
      <c r="FR12" s="165">
        <f>IFERROR((((COUNTIF('Elève (3ème1)'!FO12:FQ12,"A"))*4)+((COUNTIF('Elève (3ème1)'!FO12:FQ12,"B"))*3)+((COUNTIF('Elève (3ème1)'!FO12:FQ12,"C"))*2)+((COUNTIF('Elève (3ème1)'!FO12:FQ12,"D"))*1))/(COUNTA(FO12:FQ12)),"")</f>
        <v>4</v>
      </c>
      <c r="FS12" s="166" t="str">
        <f t="shared" si="56"/>
        <v>A</v>
      </c>
      <c r="FT12" s="110"/>
      <c r="FU12" s="111"/>
      <c r="FV12" s="112"/>
      <c r="FW12" s="112"/>
      <c r="FX12" s="165" t="str">
        <f>IFERROR((((COUNTIF('Elève (3ème1)'!FT12:FW12,"A"))*4)+((COUNTIF('Elève (3ème1)'!FT12:FW12,"B"))*3)+((COUNTIF('Elève (3ème1)'!FT12:FW12,"C"))*2)+((COUNTIF('Elève (3ème1)'!FT12:FW12,"D"))*1))/(COUNTA(FT12:FW12)),"")</f>
        <v/>
      </c>
      <c r="FY12" s="166" t="str">
        <f t="shared" si="57"/>
        <v/>
      </c>
      <c r="FZ12" s="110"/>
      <c r="GA12" s="111"/>
      <c r="GB12" s="112"/>
      <c r="GC12" s="112"/>
      <c r="GD12" s="112"/>
      <c r="GE12" s="116"/>
      <c r="GF12" s="165" t="str">
        <f>IFERROR((((COUNTIF('Elève (3ème1)'!FZ12:GE12,"A"))*4)+((COUNTIF('Elève (3ème1)'!FZ12:GE12,"B"))*3)+((COUNTIF('Elève (3ème1)'!FZ12:GE12,"C"))*2)+((COUNTIF('Elève (3ème1)'!FZ12:GE12,"D"))*1))/(COUNTA(FZ12:GE12)),"")</f>
        <v/>
      </c>
      <c r="GG12" s="166" t="str">
        <f t="shared" si="58"/>
        <v/>
      </c>
      <c r="GH12" s="165">
        <f>IF(COUNT(FR12,FX12,GF12)=0,"",SUM(FR12,FX12,GF12)/COUNT(FR12,FX12,GF12))</f>
        <v>4</v>
      </c>
      <c r="GI12" s="188" t="str">
        <f t="shared" si="59"/>
        <v>A</v>
      </c>
      <c r="GJ12" s="110" t="s">
        <v>27</v>
      </c>
      <c r="GK12" s="111"/>
      <c r="GL12" s="112"/>
      <c r="GM12" s="165">
        <f>IFERROR((((COUNTIF('Elève (3ème1)'!GJ12:GL12,"A"))*4)+((COUNTIF('Elève (3ème1)'!GJ12:GL12,"B"))*3)+((COUNTIF('Elève (3ème1)'!GJ12:GL12,"C"))*2)+((COUNTIF('Elève (3ème1)'!GJ12:GL12,"D"))*1))/(COUNTA(GJ12:GL12)),"")</f>
        <v>4</v>
      </c>
      <c r="GN12" s="166" t="str">
        <f t="shared" si="60"/>
        <v>A</v>
      </c>
      <c r="GO12" s="110"/>
      <c r="GP12" s="111"/>
      <c r="GQ12" s="112"/>
      <c r="GR12" s="112"/>
      <c r="GS12" s="165" t="str">
        <f>IFERROR((((COUNTIF('Elève (3ème1)'!GO12:GR12,"A"))*4)+((COUNTIF('Elève (3ème1)'!GO12:GR12,"B"))*3)+((COUNTIF('Elève (3ème1)'!GO12:GR12,"C"))*2)+((COUNTIF('Elève (3ème1)'!GO12:GR12,"D"))*1))/(COUNTA(GO12:GR12)),"")</f>
        <v/>
      </c>
      <c r="GT12" s="166" t="str">
        <f t="shared" si="61"/>
        <v/>
      </c>
      <c r="GU12" s="110"/>
      <c r="GV12" s="111"/>
      <c r="GW12" s="112"/>
      <c r="GX12" s="112"/>
      <c r="GY12" s="112"/>
      <c r="GZ12" s="116"/>
      <c r="HA12" s="165" t="str">
        <f>IFERROR((((COUNTIF('Elève (3ème1)'!GU12:GZ12,"A"))*4)+((COUNTIF('Elève (3ème1)'!GU12:GZ12,"B"))*3)+((COUNTIF('Elève (3ème1)'!GU12:GZ12,"C"))*2)+((COUNTIF('Elève (3ème1)'!GU12:GZ12,"D"))*1))/(COUNTA(GU12:GZ12)),"")</f>
        <v/>
      </c>
      <c r="HB12" s="166" t="str">
        <f t="shared" si="62"/>
        <v/>
      </c>
      <c r="HC12" s="165">
        <f>IF(COUNT(GM12,GS12,HA12)=0,"",SUM(GM12,GS12,HA12)/COUNT(GM12,GS12,HA12))</f>
        <v>4</v>
      </c>
      <c r="HD12" s="188" t="str">
        <f t="shared" si="63"/>
        <v>A</v>
      </c>
      <c r="HE12" s="110" t="s">
        <v>27</v>
      </c>
      <c r="HF12" s="111"/>
      <c r="HG12" s="112"/>
      <c r="HH12" s="165">
        <f>IFERROR((((COUNTIF('Elève (3ème1)'!HE12:HG12,"A"))*4)+((COUNTIF('Elève (3ème1)'!HE12:HG12,"B"))*3)+((COUNTIF('Elève (3ème1)'!HE12:HG12,"C"))*2)+((COUNTIF('Elève (3ème1)'!HE12:HG12,"D"))*1))/(COUNTA(HE12:HG12)),"")</f>
        <v>4</v>
      </c>
      <c r="HI12" s="166" t="str">
        <f t="shared" si="64"/>
        <v>A</v>
      </c>
      <c r="HJ12" s="110"/>
      <c r="HK12" s="111"/>
      <c r="HL12" s="112"/>
      <c r="HM12" s="112"/>
      <c r="HN12" s="165" t="str">
        <f>IFERROR((((COUNTIF('Elève (3ème1)'!HJ12:HM12,"A"))*4)+((COUNTIF('Elève (3ème1)'!HJ12:HM12,"B"))*3)+((COUNTIF('Elève (3ème1)'!HJ12:HM12,"C"))*2)+((COUNTIF('Elève (3ème1)'!HJ12:HM12,"D"))*1))/(COUNTA(HJ12:HM12)),"")</f>
        <v/>
      </c>
      <c r="HO12" s="166" t="str">
        <f t="shared" si="65"/>
        <v/>
      </c>
      <c r="HP12" s="110"/>
      <c r="HQ12" s="111"/>
      <c r="HR12" s="112"/>
      <c r="HS12" s="112"/>
      <c r="HT12" s="112"/>
      <c r="HU12" s="116"/>
      <c r="HV12" s="165" t="str">
        <f>IFERROR((((COUNTIF('Elève (3ème1)'!HP12:HU12,"A"))*4)+((COUNTIF('Elève (3ème1)'!HP12:HU12,"B"))*3)+((COUNTIF('Elève (3ème1)'!HP12:HU12,"C"))*2)+((COUNTIF('Elève (3ème1)'!HP12:HU12,"D"))*1))/(COUNTA(HP12:HU12)),"")</f>
        <v/>
      </c>
      <c r="HW12" s="166" t="str">
        <f t="shared" si="66"/>
        <v/>
      </c>
      <c r="HX12" s="165">
        <f>IF(COUNT(HH12,HN12,HV12)=0,"",SUM(HH12,HN12,HV12)/COUNT(HH12,HN12,HV12))</f>
        <v>4</v>
      </c>
      <c r="HY12" s="188" t="str">
        <f t="shared" si="67"/>
        <v>A</v>
      </c>
      <c r="HZ12" s="110" t="s">
        <v>27</v>
      </c>
      <c r="IA12" s="111"/>
      <c r="IB12" s="112"/>
      <c r="IC12" s="165">
        <f>IFERROR((((COUNTIF('Elève (3ème1)'!HZ12:IB12,"A"))*4)+((COUNTIF('Elève (3ème1)'!HZ12:IB12,"B"))*3)+((COUNTIF('Elève (3ème1)'!HZ12:IB12,"C"))*2)+((COUNTIF('Elève (3ème1)'!HZ12:IB12,"D"))*1))/(COUNTA(HZ12:IB12)),"")</f>
        <v>4</v>
      </c>
      <c r="ID12" s="166" t="str">
        <f t="shared" si="68"/>
        <v>A</v>
      </c>
      <c r="IE12" s="110"/>
      <c r="IF12" s="111"/>
      <c r="IG12" s="112"/>
      <c r="IH12" s="112"/>
      <c r="II12" s="165" t="str">
        <f>IFERROR((((COUNTIF('Elève (3ème1)'!IE12:IH12,"A"))*4)+((COUNTIF('Elève (3ème1)'!IE12:IH12,"B"))*3)+((COUNTIF('Elève (3ème1)'!IE12:IH12,"C"))*2)+((COUNTIF('Elève (3ème1)'!IE12:IH12,"D"))*1))/(COUNTA(IE12:IH12)),"")</f>
        <v/>
      </c>
      <c r="IJ12" s="166" t="str">
        <f t="shared" si="69"/>
        <v/>
      </c>
      <c r="IK12" s="110"/>
      <c r="IL12" s="111"/>
      <c r="IM12" s="112"/>
      <c r="IN12" s="112"/>
      <c r="IO12" s="112"/>
      <c r="IP12" s="116"/>
      <c r="IQ12" s="165" t="str">
        <f>IFERROR((((COUNTIF('Elève (3ème1)'!IK12:IP12,"A"))*4)+((COUNTIF('Elève (3ème1)'!IK12:IP12,"B"))*3)+((COUNTIF('Elève (3ème1)'!IK12:IP12,"C"))*2)+((COUNTIF('Elève (3ème1)'!IK12:IP12,"D"))*1))/(COUNTA(IK12:IP12)),"")</f>
        <v/>
      </c>
      <c r="IR12" s="166" t="str">
        <f t="shared" si="70"/>
        <v/>
      </c>
      <c r="IS12" s="165">
        <f>IF(COUNT(IC12,II12,IQ12)=0,"",SUM(IC12,II12,IQ12)/COUNT(IC12,II12,IQ12))</f>
        <v>4</v>
      </c>
      <c r="IT12" s="188" t="str">
        <f t="shared" si="71"/>
        <v>A</v>
      </c>
      <c r="IU12" s="110" t="s">
        <v>28</v>
      </c>
      <c r="IV12" s="111"/>
      <c r="IW12" s="112"/>
      <c r="IX12" s="165">
        <f>IFERROR((((COUNTIF('Elève (3ème1)'!IU12:IW12,"A"))*4)+((COUNTIF('Elève (3ème1)'!IU12:IW12,"B"))*3)+((COUNTIF('Elève (3ème1)'!IU12:IW12,"C"))*2)+((COUNTIF('Elève (3ème1)'!IU12:IW12,"D"))*1))/(COUNTA(IU12:IW12)),"")</f>
        <v>3</v>
      </c>
      <c r="IY12" s="166" t="str">
        <f t="shared" si="72"/>
        <v>B</v>
      </c>
      <c r="IZ12" s="110"/>
      <c r="JA12" s="111"/>
      <c r="JB12" s="112"/>
      <c r="JC12" s="112"/>
      <c r="JD12" s="165" t="str">
        <f>IFERROR((((COUNTIF('Elève (3ème1)'!IZ12:JC12,"A"))*4)+((COUNTIF('Elève (3ème1)'!IZ12:JC12,"B"))*3)+((COUNTIF('Elève (3ème1)'!IZ12:JC12,"C"))*2)+((COUNTIF('Elève (3ème1)'!IZ12:JC12,"D"))*1))/(COUNTA(IZ12:JC12)),"")</f>
        <v/>
      </c>
      <c r="JE12" s="166" t="str">
        <f t="shared" si="73"/>
        <v/>
      </c>
      <c r="JF12" s="110"/>
      <c r="JG12" s="111"/>
      <c r="JH12" s="112"/>
      <c r="JI12" s="112"/>
      <c r="JJ12" s="112"/>
      <c r="JK12" s="116"/>
      <c r="JL12" s="165" t="str">
        <f>IFERROR((((COUNTIF('Elève (3ème1)'!JF12:JK12,"A"))*4)+((COUNTIF('Elève (3ème1)'!JF12:JK12,"B"))*3)+((COUNTIF('Elève (3ème1)'!JF12:JK12,"C"))*2)+((COUNTIF('Elève (3ème1)'!JF12:JK12,"D"))*1))/(COUNTA(JF12:JK12)),"")</f>
        <v/>
      </c>
      <c r="JM12" s="166" t="str">
        <f t="shared" si="74"/>
        <v/>
      </c>
      <c r="JN12" s="165">
        <f>IF(COUNT(IX12,JD12,JL12)=0,"",SUM(IX12,JD12,JL12)/COUNT(IX12,JD12,JL12))</f>
        <v>3</v>
      </c>
      <c r="JO12" s="188" t="str">
        <f t="shared" si="75"/>
        <v>B</v>
      </c>
      <c r="JP12" s="110" t="s">
        <v>28</v>
      </c>
      <c r="JQ12" s="111"/>
      <c r="JR12" s="112"/>
      <c r="JS12" s="165">
        <f>IFERROR((((COUNTIF('Elève (3ème1)'!JP12:JR12,"A"))*4)+((COUNTIF('Elève (3ème1)'!JP12:JR12,"B"))*3)+((COUNTIF('Elève (3ème1)'!JP12:JR12,"C"))*2)+((COUNTIF('Elève (3ème1)'!JP12:JR12,"D"))*1))/(COUNTA(JP12:JR12)),"")</f>
        <v>3</v>
      </c>
      <c r="JT12" s="166" t="str">
        <f t="shared" si="76"/>
        <v>B</v>
      </c>
      <c r="JU12" s="110"/>
      <c r="JV12" s="111"/>
      <c r="JW12" s="112"/>
      <c r="JX12" s="112"/>
      <c r="JY12" s="165" t="str">
        <f>IFERROR((((COUNTIF('Elève (3ème1)'!JU12:JX12,"A"))*4)+((COUNTIF('Elève (3ème1)'!JU12:JX12,"B"))*3)+((COUNTIF('Elève (3ème1)'!JU12:JX12,"C"))*2)+((COUNTIF('Elève (3ème1)'!JU12:JX12,"D"))*1))/(COUNTA(JU12:JX12)),"")</f>
        <v/>
      </c>
      <c r="JZ12" s="166" t="str">
        <f t="shared" si="77"/>
        <v/>
      </c>
      <c r="KA12" s="110"/>
      <c r="KB12" s="111"/>
      <c r="KC12" s="112"/>
      <c r="KD12" s="112"/>
      <c r="KE12" s="112"/>
      <c r="KF12" s="116"/>
      <c r="KG12" s="165" t="str">
        <f>IFERROR((((COUNTIF('Elève (3ème1)'!KA12:KF12,"A"))*4)+((COUNTIF('Elève (3ème1)'!KA12:KF12,"B"))*3)+((COUNTIF('Elève (3ème1)'!KA12:KF12,"C"))*2)+((COUNTIF('Elève (3ème1)'!KA12:KF12,"D"))*1))/(COUNTA(KA12:KF12)),"")</f>
        <v/>
      </c>
      <c r="KH12" s="166" t="str">
        <f t="shared" si="78"/>
        <v/>
      </c>
      <c r="KI12" s="165">
        <f>IF(COUNT(JS12,JY12,KG12)=0,"",SUM(JS12,JY12,KG12)/COUNT(JS12,JY12,KG12))</f>
        <v>3</v>
      </c>
      <c r="KJ12" s="188" t="str">
        <f t="shared" si="79"/>
        <v>B</v>
      </c>
      <c r="KK12" s="110" t="s">
        <v>27</v>
      </c>
      <c r="KL12" s="111"/>
      <c r="KM12" s="112"/>
      <c r="KN12" s="165">
        <f>IFERROR((((COUNTIF('Elève (3ème1)'!KK12:KM12,"A"))*4)+((COUNTIF('Elève (3ème1)'!KK12:KM12,"B"))*3)+((COUNTIF('Elève (3ème1)'!KK12:KM12,"C"))*2)+((COUNTIF('Elève (3ème1)'!KK12:KM12,"D"))*1))/(COUNTA(KK12:KM12)),"")</f>
        <v>4</v>
      </c>
      <c r="KO12" s="166" t="str">
        <f t="shared" si="80"/>
        <v>A</v>
      </c>
      <c r="KP12" s="110"/>
      <c r="KQ12" s="111"/>
      <c r="KR12" s="112"/>
      <c r="KS12" s="112"/>
      <c r="KT12" s="165" t="str">
        <f>IFERROR((((COUNTIF('Elève (3ème1)'!KP12:KS12,"A"))*4)+((COUNTIF('Elève (3ème1)'!KP12:KS12,"B"))*3)+((COUNTIF('Elève (3ème1)'!KP12:KS12,"C"))*2)+((COUNTIF('Elève (3ème1)'!KP12:KS12,"D"))*1))/(COUNTA(KP12:KS12)),"")</f>
        <v/>
      </c>
      <c r="KU12" s="166" t="str">
        <f t="shared" si="81"/>
        <v/>
      </c>
      <c r="KV12" s="110"/>
      <c r="KW12" s="111"/>
      <c r="KX12" s="112"/>
      <c r="KY12" s="112"/>
      <c r="KZ12" s="112"/>
      <c r="LA12" s="116"/>
      <c r="LB12" s="165" t="str">
        <f>IFERROR((((COUNTIF('Elève (3ème1)'!KV12:LA12,"A"))*4)+((COUNTIF('Elève (3ème1)'!KV12:LA12,"B"))*3)+((COUNTIF('Elève (3ème1)'!KV12:LA12,"C"))*2)+((COUNTIF('Elève (3ème1)'!KV12:LA12,"D"))*1))/(COUNTA(KV12:LA12)),"")</f>
        <v/>
      </c>
      <c r="LC12" s="166" t="str">
        <f t="shared" si="82"/>
        <v/>
      </c>
      <c r="LD12" s="165">
        <f>IF(COUNT(KN12,KT12,LB12)=0,"",SUM(KN12,KT12,LB12)/COUNT(KN12,KT12,LB12))</f>
        <v>4</v>
      </c>
      <c r="LE12" s="188" t="str">
        <f t="shared" si="83"/>
        <v>A</v>
      </c>
      <c r="LF12" s="110" t="s">
        <v>27</v>
      </c>
      <c r="LG12" s="111"/>
      <c r="LH12" s="112"/>
      <c r="LI12" s="165">
        <f>IFERROR((((COUNTIF('Elève (3ème1)'!LF12:LH12,"A"))*4)+((COUNTIF('Elève (3ème1)'!LF12:LH12,"B"))*3)+((COUNTIF('Elève (3ème1)'!LF12:LH12,"C"))*2)+((COUNTIF('Elève (3ème1)'!LF12:LH12,"D"))*1))/(COUNTA(LF12:LH12)),"")</f>
        <v>4</v>
      </c>
      <c r="LJ12" s="166" t="str">
        <f t="shared" si="84"/>
        <v>A</v>
      </c>
      <c r="LK12" s="110"/>
      <c r="LL12" s="111"/>
      <c r="LM12" s="112"/>
      <c r="LN12" s="112"/>
      <c r="LO12" s="165" t="str">
        <f>IFERROR((((COUNTIF('Elève (3ème1)'!LK12:LN12,"A"))*4)+((COUNTIF('Elève (3ème1)'!LK12:LN12,"B"))*3)+((COUNTIF('Elève (3ème1)'!LK12:LN12,"C"))*2)+((COUNTIF('Elève (3ème1)'!LK12:LN12,"D"))*1))/(COUNTA(LK12:LN12)),"")</f>
        <v/>
      </c>
      <c r="LP12" s="166" t="str">
        <f t="shared" si="85"/>
        <v/>
      </c>
      <c r="LQ12" s="110"/>
      <c r="LR12" s="111"/>
      <c r="LS12" s="112"/>
      <c r="LT12" s="112"/>
      <c r="LU12" s="112"/>
      <c r="LV12" s="116"/>
      <c r="LW12" s="165" t="str">
        <f>IFERROR((((COUNTIF('Elève (3ème1)'!LQ12:LV12,"A"))*4)+((COUNTIF('Elève (3ème1)'!LQ12:LV12,"B"))*3)+((COUNTIF('Elève (3ème1)'!LQ12:LV12,"C"))*2)+((COUNTIF('Elève (3ème1)'!LQ12:LV12,"D"))*1))/(COUNTA(LQ12:LV12)),"")</f>
        <v/>
      </c>
      <c r="LX12" s="166" t="str">
        <f t="shared" si="86"/>
        <v/>
      </c>
      <c r="LY12" s="165">
        <f>IF(COUNT(LI12,LO12,LW12)=0,"",SUM(LI12,LO12,LW12)/COUNT(LI12,LO12,LW12))</f>
        <v>4</v>
      </c>
      <c r="LZ12" s="188" t="str">
        <f t="shared" si="87"/>
        <v>A</v>
      </c>
      <c r="MA12" s="110" t="s">
        <v>27</v>
      </c>
      <c r="MB12" s="111"/>
      <c r="MC12" s="112"/>
      <c r="MD12" s="165">
        <f>IFERROR((((COUNTIF('Elève (3ème1)'!MA12:MC12,"A"))*4)+((COUNTIF('Elève (3ème1)'!MA12:MC12,"B"))*3)+((COUNTIF('Elève (3ème1)'!MA12:MC12,"C"))*2)+((COUNTIF('Elève (3ème1)'!MA12:MC12,"D"))*1))/(COUNTA(MA12:MC12)),"")</f>
        <v>4</v>
      </c>
      <c r="ME12" s="166" t="str">
        <f t="shared" si="88"/>
        <v>A</v>
      </c>
      <c r="MF12" s="110"/>
      <c r="MG12" s="111"/>
      <c r="MH12" s="112"/>
      <c r="MI12" s="112"/>
      <c r="MJ12" s="165" t="str">
        <f>IFERROR((((COUNTIF('Elève (3ème1)'!MF12:MI12,"A"))*4)+((COUNTIF('Elève (3ème1)'!MF12:MI12,"B"))*3)+((COUNTIF('Elève (3ème1)'!MF12:MI12,"C"))*2)+((COUNTIF('Elève (3ème1)'!MF12:MI12,"D"))*1))/(COUNTA(MF12:MI12)),"")</f>
        <v/>
      </c>
      <c r="MK12" s="166" t="str">
        <f t="shared" si="89"/>
        <v/>
      </c>
      <c r="ML12" s="110"/>
      <c r="MM12" s="111"/>
      <c r="MN12" s="112"/>
      <c r="MO12" s="112"/>
      <c r="MP12" s="112"/>
      <c r="MQ12" s="116"/>
      <c r="MR12" s="165" t="str">
        <f>IFERROR((((COUNTIF('Elève (3ème1)'!ML12:MQ12,"A"))*4)+((COUNTIF('Elève (3ème1)'!ML12:MQ12,"B"))*3)+((COUNTIF('Elève (3ème1)'!ML12:MQ12,"C"))*2)+((COUNTIF('Elève (3ème1)'!ML12:MQ12,"D"))*1))/(COUNTA(ML12:MQ12)),"")</f>
        <v/>
      </c>
      <c r="MS12" s="166" t="str">
        <f t="shared" si="90"/>
        <v/>
      </c>
      <c r="MT12" s="165">
        <f>IF(COUNT(MD12,MJ12,MR12)=0,"",SUM(MD12,MJ12,MR12)/COUNT(MD12,MJ12,MR12))</f>
        <v>4</v>
      </c>
      <c r="MU12" s="188" t="str">
        <f t="shared" si="91"/>
        <v>A</v>
      </c>
      <c r="MV12" s="110" t="s">
        <v>27</v>
      </c>
      <c r="MW12" s="111"/>
      <c r="MX12" s="112"/>
      <c r="MY12" s="165">
        <f>IFERROR((((COUNTIF('Elève (3ème1)'!MV12:MX12,"A"))*4)+((COUNTIF('Elève (3ème1)'!MV12:MX12,"B"))*3)+((COUNTIF('Elève (3ème1)'!MV12:MX12,"C"))*2)+((COUNTIF('Elève (3ème1)'!MV12:MX12,"D"))*1))/(COUNTA(MV12:MX12)),"")</f>
        <v>4</v>
      </c>
      <c r="MZ12" s="166" t="str">
        <f t="shared" si="92"/>
        <v>A</v>
      </c>
      <c r="NA12" s="110"/>
      <c r="NB12" s="111"/>
      <c r="NC12" s="112"/>
      <c r="ND12" s="112"/>
      <c r="NE12" s="165" t="str">
        <f>IFERROR((((COUNTIF('Elève (3ème1)'!NA12:ND12,"A"))*4)+((COUNTIF('Elève (3ème1)'!NA12:ND12,"B"))*3)+((COUNTIF('Elève (3ème1)'!NA12:ND12,"C"))*2)+((COUNTIF('Elève (3ème1)'!NA12:ND12,"D"))*1))/(COUNTA(NA12:ND12)),"")</f>
        <v/>
      </c>
      <c r="NF12" s="166" t="str">
        <f t="shared" si="93"/>
        <v/>
      </c>
      <c r="NG12" s="110"/>
      <c r="NH12" s="111"/>
      <c r="NI12" s="112"/>
      <c r="NJ12" s="112"/>
      <c r="NK12" s="112"/>
      <c r="NL12" s="116"/>
      <c r="NM12" s="165" t="str">
        <f>IFERROR((((COUNTIF('Elève (3ème1)'!NG12:NL12,"A"))*4)+((COUNTIF('Elève (3ème1)'!NG12:NL12,"B"))*3)+((COUNTIF('Elève (3ème1)'!NG12:NL12,"C"))*2)+((COUNTIF('Elève (3ème1)'!NG12:NL12,"D"))*1))/(COUNTA(NG12:NL12)),"")</f>
        <v/>
      </c>
      <c r="NN12" s="166" t="str">
        <f t="shared" si="94"/>
        <v/>
      </c>
      <c r="NO12" s="165">
        <f>IF(COUNT(MY12,NE12,NM12)=0,"",SUM(MY12,NE12,NM12)/COUNT(MY12,NE12,NM12))</f>
        <v>4</v>
      </c>
      <c r="NP12" s="188" t="str">
        <f t="shared" si="95"/>
        <v>A</v>
      </c>
      <c r="NQ12" s="110" t="s">
        <v>28</v>
      </c>
      <c r="NR12" s="111"/>
      <c r="NS12" s="112"/>
      <c r="NT12" s="165">
        <f>IFERROR((((COUNTIF('Elève (3ème1)'!NQ12:NS12,"A"))*4)+((COUNTIF('Elève (3ème1)'!NQ12:NS12,"B"))*3)+((COUNTIF('Elève (3ème1)'!NQ12:NS12,"C"))*2)+((COUNTIF('Elève (3ème1)'!NQ12:NS12,"D"))*1))/(COUNTA(NQ12:NS12)),"")</f>
        <v>3</v>
      </c>
      <c r="NU12" s="166" t="str">
        <f t="shared" si="96"/>
        <v>B</v>
      </c>
      <c r="NV12" s="110"/>
      <c r="NW12" s="111"/>
      <c r="NX12" s="112"/>
      <c r="NY12" s="112"/>
      <c r="NZ12" s="165" t="str">
        <f>IFERROR((((COUNTIF('Elève (3ème1)'!NV12:NY12,"A"))*4)+((COUNTIF('Elève (3ème1)'!NV12:NY12,"B"))*3)+((COUNTIF('Elève (3ème1)'!NV12:NY12,"C"))*2)+((COUNTIF('Elève (3ème1)'!NV12:NY12,"D"))*1))/(COUNTA(NV12:NY12)),"")</f>
        <v/>
      </c>
      <c r="OA12" s="166" t="str">
        <f t="shared" si="97"/>
        <v/>
      </c>
      <c r="OB12" s="110"/>
      <c r="OC12" s="111"/>
      <c r="OD12" s="112"/>
      <c r="OE12" s="112"/>
      <c r="OF12" s="112"/>
      <c r="OG12" s="116"/>
      <c r="OH12" s="165" t="str">
        <f>IFERROR((((COUNTIF('Elève (3ème1)'!OB12:OG12,"A"))*4)+((COUNTIF('Elève (3ème1)'!OB12:OG12,"B"))*3)+((COUNTIF('Elève (3ème1)'!OB12:OG12,"C"))*2)+((COUNTIF('Elève (3ème1)'!OB12:OG12,"D"))*1))/(COUNTA(OB12:OG12)),"")</f>
        <v/>
      </c>
      <c r="OI12" s="166" t="str">
        <f t="shared" si="98"/>
        <v/>
      </c>
      <c r="OJ12" s="165">
        <f>IF(COUNT(NT12,NZ12,OH12)=0,"",SUM(NT12,NZ12,OH12)/COUNT(NT12,NZ12,OH12))</f>
        <v>3</v>
      </c>
      <c r="OK12" s="188" t="str">
        <f t="shared" si="99"/>
        <v>B</v>
      </c>
      <c r="OL12" s="110" t="s">
        <v>27</v>
      </c>
      <c r="OM12" s="111"/>
      <c r="ON12" s="112"/>
      <c r="OO12" s="165">
        <f>IFERROR((((COUNTIF('Elève (3ème1)'!OL12:ON12,"A"))*4)+((COUNTIF('Elève (3ème1)'!OL12:ON12,"B"))*3)+((COUNTIF('Elève (3ème1)'!OL12:ON12,"C"))*2)+((COUNTIF('Elève (3ème1)'!OL12:ON12,"D"))*1))/(COUNTA(OL12:ON12)),"")</f>
        <v>4</v>
      </c>
      <c r="OP12" s="166" t="str">
        <f t="shared" si="100"/>
        <v>A</v>
      </c>
      <c r="OQ12" s="110"/>
      <c r="OR12" s="111"/>
      <c r="OS12" s="112"/>
      <c r="OT12" s="112"/>
      <c r="OU12" s="165" t="str">
        <f>IFERROR((((COUNTIF('Elève (3ème1)'!OQ12:OT12,"A"))*4)+((COUNTIF('Elève (3ème1)'!OQ12:OT12,"B"))*3)+((COUNTIF('Elève (3ème1)'!OQ12:OT12,"C"))*2)+((COUNTIF('Elève (3ème1)'!OQ12:OT12,"D"))*1))/(COUNTA(OQ12:OT12)),"")</f>
        <v/>
      </c>
      <c r="OV12" s="166" t="str">
        <f t="shared" si="101"/>
        <v/>
      </c>
      <c r="OW12" s="110"/>
      <c r="OX12" s="111"/>
      <c r="OY12" s="112"/>
      <c r="OZ12" s="112"/>
      <c r="PA12" s="112"/>
      <c r="PB12" s="116"/>
      <c r="PC12" s="165" t="str">
        <f>IFERROR((((COUNTIF('Elève (3ème1)'!OW12:PB12,"A"))*4)+((COUNTIF('Elève (3ème1)'!OW12:PB12,"B"))*3)+((COUNTIF('Elève (3ème1)'!OW12:PB12,"C"))*2)+((COUNTIF('Elève (3ème1)'!OW12:PB12,"D"))*1))/(COUNTA(OW12:PB12)),"")</f>
        <v/>
      </c>
      <c r="PD12" s="166" t="str">
        <f t="shared" si="102"/>
        <v/>
      </c>
      <c r="PE12" s="165">
        <f>IF(COUNT(OO12,OU12,PC12)=0,"",SUM(OO12,OU12,PC12)/COUNT(OO12,OU12,PC12))</f>
        <v>4</v>
      </c>
      <c r="PF12" s="188" t="str">
        <f t="shared" si="103"/>
        <v>A</v>
      </c>
      <c r="PG12" s="110" t="s">
        <v>27</v>
      </c>
      <c r="PH12" s="111"/>
      <c r="PI12" s="112"/>
      <c r="PJ12" s="165">
        <f>IFERROR((((COUNTIF('Elève (3ème1)'!PG12:PI12,"A"))*4)+((COUNTIF('Elève (3ème1)'!PG12:PI12,"B"))*3)+((COUNTIF('Elève (3ème1)'!PG12:PI12,"C"))*2)+((COUNTIF('Elève (3ème1)'!PG12:PI12,"D"))*1))/(COUNTA(PG12:PI12)),"")</f>
        <v>4</v>
      </c>
      <c r="PK12" s="166" t="str">
        <f t="shared" si="104"/>
        <v>A</v>
      </c>
      <c r="PL12" s="110"/>
      <c r="PM12" s="111"/>
      <c r="PN12" s="112"/>
      <c r="PO12" s="112"/>
      <c r="PP12" s="165" t="str">
        <f>IFERROR((((COUNTIF('Elève (3ème1)'!PL12:PO12,"A"))*4)+((COUNTIF('Elève (3ème1)'!PL12:PO12,"B"))*3)+((COUNTIF('Elève (3ème1)'!PL12:PO12,"C"))*2)+((COUNTIF('Elève (3ème1)'!PL12:PO12,"D"))*1))/(COUNTA(PL12:PO12)),"")</f>
        <v/>
      </c>
      <c r="PQ12" s="166" t="str">
        <f t="shared" si="105"/>
        <v/>
      </c>
      <c r="PR12" s="110"/>
      <c r="PS12" s="111"/>
      <c r="PT12" s="112"/>
      <c r="PU12" s="112"/>
      <c r="PV12" s="112"/>
      <c r="PW12" s="116"/>
      <c r="PX12" s="165" t="str">
        <f>IFERROR((((COUNTIF('Elève (3ème1)'!PR12:PW12,"A"))*4)+((COUNTIF('Elève (3ème1)'!PR12:PW12,"B"))*3)+((COUNTIF('Elève (3ème1)'!PR12:PW12,"C"))*2)+((COUNTIF('Elève (3ème1)'!PR12:PW12,"D"))*1))/(COUNTA(PR12:PW12)),"")</f>
        <v/>
      </c>
      <c r="PY12" s="166" t="str">
        <f t="shared" si="106"/>
        <v/>
      </c>
      <c r="PZ12" s="165">
        <f>IF(COUNT(PJ12,PP12,PX12)=0,"",SUM(PJ12,PP12,PX12)/COUNT(PJ12,PP12,PX12))</f>
        <v>4</v>
      </c>
      <c r="QA12" s="188" t="str">
        <f t="shared" si="107"/>
        <v>A</v>
      </c>
      <c r="QB12" s="110" t="s">
        <v>27</v>
      </c>
      <c r="QC12" s="111"/>
      <c r="QD12" s="112"/>
      <c r="QE12" s="165">
        <f>IFERROR((((COUNTIF('Elève (3ème1)'!QB12:QD12,"A"))*4)+((COUNTIF('Elève (3ème1)'!QB12:QD12,"B"))*3)+((COUNTIF('Elève (3ème1)'!QB12:QD12,"C"))*2)+((COUNTIF('Elève (3ème1)'!QB12:QD12,"D"))*1))/(COUNTA(QB12:QD12)),"")</f>
        <v>4</v>
      </c>
      <c r="QF12" s="166" t="str">
        <f t="shared" si="108"/>
        <v>A</v>
      </c>
      <c r="QG12" s="110"/>
      <c r="QH12" s="111"/>
      <c r="QI12" s="112"/>
      <c r="QJ12" s="112"/>
      <c r="QK12" s="165" t="str">
        <f>IFERROR((((COUNTIF('Elève (3ème1)'!QG12:QJ12,"A"))*4)+((COUNTIF('Elève (3ème1)'!QG12:QJ12,"B"))*3)+((COUNTIF('Elève (3ème1)'!QG12:QJ12,"C"))*2)+((COUNTIF('Elève (3ème1)'!QG12:QJ12,"D"))*1))/(COUNTA(QG12:QJ12)),"")</f>
        <v/>
      </c>
      <c r="QL12" s="166" t="str">
        <f t="shared" si="109"/>
        <v/>
      </c>
      <c r="QM12" s="110"/>
      <c r="QN12" s="111"/>
      <c r="QO12" s="112"/>
      <c r="QP12" s="112"/>
      <c r="QQ12" s="112"/>
      <c r="QR12" s="116"/>
      <c r="QS12" s="165" t="str">
        <f>IFERROR((((COUNTIF('Elève (3ème1)'!QM12:QR12,"A"))*4)+((COUNTIF('Elève (3ème1)'!QM12:QR12,"B"))*3)+((COUNTIF('Elève (3ème1)'!QM12:QR12,"C"))*2)+((COUNTIF('Elève (3ème1)'!QM12:QR12,"D"))*1))/(COUNTA(QM12:QR12)),"")</f>
        <v/>
      </c>
      <c r="QT12" s="166" t="str">
        <f t="shared" si="110"/>
        <v/>
      </c>
      <c r="QU12" s="165">
        <f>IF(COUNT(QE12,QK12,QS12)=0,"",SUM(QE12,QK12,QS12)/COUNT(QE12,QK12,QS12))</f>
        <v>4</v>
      </c>
      <c r="QV12" s="188" t="str">
        <f t="shared" si="111"/>
        <v>A</v>
      </c>
      <c r="QW12" s="110" t="s">
        <v>30</v>
      </c>
      <c r="QX12" s="111"/>
      <c r="QY12" s="112"/>
      <c r="QZ12" s="165">
        <f>IFERROR((((COUNTIF('Elève (3ème1)'!QW12:QY12,"A"))*4)+((COUNTIF('Elève (3ème1)'!QW12:QY12,"B"))*3)+((COUNTIF('Elève (3ème1)'!QW12:QY12,"C"))*2)+((COUNTIF('Elève (3ème1)'!QW12:QY12,"D"))*1))/(COUNTA(QW12:QY12)),"")</f>
        <v>1</v>
      </c>
      <c r="RA12" s="166" t="str">
        <f t="shared" si="112"/>
        <v>D</v>
      </c>
      <c r="RB12" s="110"/>
      <c r="RC12" s="111"/>
      <c r="RD12" s="112"/>
      <c r="RE12" s="112"/>
      <c r="RF12" s="165" t="str">
        <f>IFERROR((((COUNTIF('Elève (3ème1)'!RB12:RE12,"A"))*4)+((COUNTIF('Elève (3ème1)'!RB12:RE12,"B"))*3)+((COUNTIF('Elève (3ème1)'!RB12:RE12,"C"))*2)+((COUNTIF('Elève (3ème1)'!RB12:RE12,"D"))*1))/(COUNTA(RB12:RE12)),"")</f>
        <v/>
      </c>
      <c r="RG12" s="166" t="str">
        <f t="shared" si="113"/>
        <v/>
      </c>
      <c r="RH12" s="110"/>
      <c r="RI12" s="111"/>
      <c r="RJ12" s="112"/>
      <c r="RK12" s="112"/>
      <c r="RL12" s="112"/>
      <c r="RM12" s="116"/>
      <c r="RN12" s="165" t="str">
        <f>IFERROR((((COUNTIF('Elève (3ème1)'!RH12:RM12,"A"))*4)+((COUNTIF('Elève (3ème1)'!RH12:RM12,"B"))*3)+((COUNTIF('Elève (3ème1)'!RH12:RM12,"C"))*2)+((COUNTIF('Elève (3ème1)'!RH12:RM12,"D"))*1))/(COUNTA(RH12:RM12)),"")</f>
        <v/>
      </c>
      <c r="RO12" s="166" t="str">
        <f t="shared" si="114"/>
        <v/>
      </c>
      <c r="RP12" s="165">
        <f>IF(COUNT(QZ12,RF12,RN12)=0,"",SUM(QZ12,RF12,RN12)/COUNT(QZ12,RF12,RN12))</f>
        <v>1</v>
      </c>
      <c r="RQ12" s="188" t="str">
        <f t="shared" si="115"/>
        <v>D</v>
      </c>
      <c r="RR12" s="110" t="s">
        <v>27</v>
      </c>
      <c r="RS12" s="111"/>
      <c r="RT12" s="112"/>
      <c r="RU12" s="165">
        <f>IFERROR((((COUNTIF('Elève (3ème1)'!RR12:RT12,"A"))*4)+((COUNTIF('Elève (3ème1)'!RR12:RT12,"B"))*3)+((COUNTIF('Elève (3ème1)'!RR12:RT12,"C"))*2)+((COUNTIF('Elève (3ème1)'!RR12:RT12,"D"))*1))/(COUNTA(RR12:RT12)),"")</f>
        <v>4</v>
      </c>
      <c r="RV12" s="166" t="str">
        <f t="shared" si="116"/>
        <v>A</v>
      </c>
      <c r="RW12" s="110"/>
      <c r="RX12" s="111"/>
      <c r="RY12" s="112"/>
      <c r="RZ12" s="112"/>
      <c r="SA12" s="165" t="str">
        <f>IFERROR((((COUNTIF('Elève (3ème1)'!RW12:RZ12,"A"))*4)+((COUNTIF('Elève (3ème1)'!RW12:RZ12,"B"))*3)+((COUNTIF('Elève (3ème1)'!RW12:RZ12,"C"))*2)+((COUNTIF('Elève (3ème1)'!RW12:RZ12,"D"))*1))/(COUNTA(RW12:RZ12)),"")</f>
        <v/>
      </c>
      <c r="SB12" s="166" t="str">
        <f t="shared" si="117"/>
        <v/>
      </c>
      <c r="SC12" s="110"/>
      <c r="SD12" s="111"/>
      <c r="SE12" s="112"/>
      <c r="SF12" s="112"/>
      <c r="SG12" s="112"/>
      <c r="SH12" s="116"/>
      <c r="SI12" s="165" t="str">
        <f>IFERROR((((COUNTIF('Elève (3ème1)'!SC12:SH12,"A"))*4)+((COUNTIF('Elève (3ème1)'!SC12:SH12,"B"))*3)+((COUNTIF('Elève (3ème1)'!SC12:SH12,"C"))*2)+((COUNTIF('Elève (3ème1)'!SC12:SH12,"D"))*1))/(COUNTA(SC12:SH12)),"")</f>
        <v/>
      </c>
      <c r="SJ12" s="166" t="str">
        <f t="shared" si="118"/>
        <v/>
      </c>
      <c r="SK12" s="165">
        <f>IF(COUNT(RU12,SA12,SI12)=0,"",SUM(RU12,SA12,SI12)/COUNT(RU12,SA12,SI12))</f>
        <v>4</v>
      </c>
      <c r="SL12" s="188" t="str">
        <f t="shared" si="119"/>
        <v>A</v>
      </c>
      <c r="SM12" s="110" t="s">
        <v>30</v>
      </c>
      <c r="SN12" s="111"/>
      <c r="SO12" s="112"/>
      <c r="SP12" s="165">
        <f>IFERROR((((COUNTIF('Elève (3ème1)'!SM12:SO12,"A"))*4)+((COUNTIF('Elève (3ème1)'!SM12:SO12,"B"))*3)+((COUNTIF('Elève (3ème1)'!SM12:SO12,"C"))*2)+((COUNTIF('Elève (3ème1)'!SM12:SO12,"D"))*1))/(COUNTA(SM12:SO12)),"")</f>
        <v>1</v>
      </c>
      <c r="SQ12" s="166" t="str">
        <f t="shared" si="120"/>
        <v>D</v>
      </c>
      <c r="SR12" s="110"/>
      <c r="SS12" s="111"/>
      <c r="ST12" s="112"/>
      <c r="SU12" s="112"/>
      <c r="SV12" s="165" t="str">
        <f>IFERROR((((COUNTIF('Elève (3ème1)'!SR12:SU12,"A"))*4)+((COUNTIF('Elève (3ème1)'!SR12:SU12,"B"))*3)+((COUNTIF('Elève (3ème1)'!SR12:SU12,"C"))*2)+((COUNTIF('Elève (3ème1)'!SR12:SU12,"D"))*1))/(COUNTA(SR12:SU12)),"")</f>
        <v/>
      </c>
      <c r="SW12" s="166" t="str">
        <f t="shared" si="121"/>
        <v/>
      </c>
      <c r="SX12" s="110"/>
      <c r="SY12" s="111"/>
      <c r="SZ12" s="112"/>
      <c r="TA12" s="112"/>
      <c r="TB12" s="112"/>
      <c r="TC12" s="116"/>
      <c r="TD12" s="165" t="str">
        <f>IFERROR((((COUNTIF('Elève (3ème1)'!SX12:TC12,"A"))*4)+((COUNTIF('Elève (3ème1)'!SX12:TC12,"B"))*3)+((COUNTIF('Elève (3ème1)'!SX12:TC12,"C"))*2)+((COUNTIF('Elève (3ème1)'!SX12:TC12,"D"))*1))/(COUNTA(SX12:TC12)),"")</f>
        <v/>
      </c>
      <c r="TE12" s="166" t="str">
        <f t="shared" si="122"/>
        <v/>
      </c>
      <c r="TF12" s="165">
        <f>IF(COUNT(SP12,SV12,TD12)=0,"",SUM(SP12,SV12,TD12)/COUNT(SP12,SV12,TD12))</f>
        <v>1</v>
      </c>
      <c r="TG12" s="188" t="str">
        <f t="shared" si="123"/>
        <v>D</v>
      </c>
      <c r="TH12" s="110"/>
      <c r="TI12" s="111"/>
      <c r="TJ12" s="112"/>
      <c r="TK12" s="113" t="str">
        <f>IFERROR((((COUNTIF('Elève (3ème1)'!TH12:TJ12,"A"))*4)+((COUNTIF('Elève (3ème1)'!TH12:TJ12,"B"))*3)+((COUNTIF('Elève (3ème1)'!TH12:TJ12,"C"))*2)+((COUNTIF('Elève (3ème1)'!TH12:TJ12,"D"))*1))/(COUNTA(TH12:TJ12)),"")</f>
        <v/>
      </c>
      <c r="TL12" s="114" t="str">
        <f t="shared" si="124"/>
        <v/>
      </c>
      <c r="TM12" s="110"/>
      <c r="TN12" s="111"/>
      <c r="TO12" s="112"/>
      <c r="TP12" s="113" t="str">
        <f>IFERROR((((COUNTIF('Elève (3ème1)'!TM12:TO12,"A"))*4)+((COUNTIF('Elève (3ème1)'!TM12:TO12,"B"))*3)+((COUNTIF('Elève (3ème1)'!TM12:TO12,"C"))*2)+((COUNTIF('Elève (3ème1)'!TM12:TO12,"D"))*1))/(COUNTA(TM12:TO12)),"")</f>
        <v/>
      </c>
      <c r="TQ12" s="114" t="str">
        <f t="shared" si="125"/>
        <v/>
      </c>
      <c r="TR12" s="110"/>
      <c r="TS12" s="111"/>
      <c r="TT12" s="116"/>
      <c r="TU12" s="113" t="str">
        <f>IFERROR((((COUNTIF('Elève (3ème1)'!TR12:TT12,"A"))*4)+((COUNTIF('Elève (3ème1)'!TR12:TT12,"B"))*3)+((COUNTIF('Elève (3ème1)'!TR12:TT12,"C"))*2)+((COUNTIF('Elève (3ème1)'!TR12:TT12,"D"))*1))/(COUNTA(TR12:TT12)),"")</f>
        <v/>
      </c>
      <c r="TV12" s="114" t="str">
        <f t="shared" si="126"/>
        <v/>
      </c>
      <c r="TW12" s="113" t="str">
        <f>IF(COUNT(TK12,TP12,TU12)=0,"",SUM(TK12,TP12,TU12)/COUNT(TK12,TP12,TU12))</f>
        <v/>
      </c>
      <c r="TX12" s="115" t="str">
        <f t="shared" si="127"/>
        <v/>
      </c>
      <c r="TY12" s="110"/>
      <c r="TZ12" s="111"/>
      <c r="UA12" s="112"/>
      <c r="UB12" s="113" t="str">
        <f>IFERROR((((COUNTIF('Elève (3ème1)'!TY12:UA12,"A"))*4)+((COUNTIF('Elève (3ème1)'!TY12:UA12,"B"))*3)+((COUNTIF('Elève (3ème1)'!TY12:UA12,"C"))*2)+((COUNTIF('Elève (3ème1)'!TY12:UA12,"D"))*1))/(COUNTA(TY12:UA12)),"")</f>
        <v/>
      </c>
      <c r="UC12" s="114" t="str">
        <f t="shared" si="128"/>
        <v/>
      </c>
      <c r="UD12" s="110"/>
      <c r="UE12" s="111"/>
      <c r="UF12" s="112"/>
      <c r="UG12" s="113" t="str">
        <f>IFERROR((((COUNTIF('Elève (3ème1)'!UD12:UF12,"A"))*4)+((COUNTIF('Elève (3ème1)'!UD12:UF12,"B"))*3)+((COUNTIF('Elève (3ème1)'!UD12:UF12,"C"))*2)+((COUNTIF('Elève (3ème1)'!UD12:UF12,"D"))*1))/(COUNTA(UD12:UF12)),"")</f>
        <v/>
      </c>
      <c r="UH12" s="114" t="str">
        <f t="shared" si="129"/>
        <v/>
      </c>
      <c r="UI12" s="110"/>
      <c r="UJ12" s="111"/>
      <c r="UK12" s="116"/>
      <c r="UL12" s="113" t="str">
        <f>IFERROR((((COUNTIF('Elève (3ème1)'!UI12:UK12,"A"))*4)+((COUNTIF('Elève (3ème1)'!UI12:UK12,"B"))*3)+((COUNTIF('Elève (3ème1)'!UI12:UK12,"C"))*2)+((COUNTIF('Elève (3ème1)'!UI12:UK12,"D"))*1))/(COUNTA(UI12:UK12)),"")</f>
        <v/>
      </c>
      <c r="UM12" s="114" t="str">
        <f t="shared" si="130"/>
        <v/>
      </c>
      <c r="UN12" s="113" t="str">
        <f>IF(COUNT(UB12,UG12,UL12)=0,"",SUM(UB12,UG12,UL12)/COUNT(UB12,UG12,UL12))</f>
        <v/>
      </c>
      <c r="UO12" s="115" t="str">
        <f t="shared" si="131"/>
        <v/>
      </c>
      <c r="UP12" s="110"/>
      <c r="UQ12" s="111"/>
      <c r="UR12" s="112"/>
      <c r="US12" s="113" t="str">
        <f>IFERROR((((COUNTIF('Elève (3ème1)'!UP12:UR12,"A"))*4)+((COUNTIF('Elève (3ème1)'!UP12:UR12,"B"))*3)+((COUNTIF('Elève (3ème1)'!UP12:UR12,"C"))*2)+((COUNTIF('Elève (3ème1)'!UP12:UR12,"D"))*1))/(COUNTA(UP12:UR12)),"")</f>
        <v/>
      </c>
      <c r="UT12" s="114" t="str">
        <f t="shared" si="132"/>
        <v/>
      </c>
      <c r="UU12" s="110"/>
      <c r="UV12" s="111"/>
      <c r="UW12" s="112"/>
      <c r="UX12" s="113" t="str">
        <f>IFERROR((((COUNTIF('Elève (3ème1)'!UU12:UW12,"A"))*4)+((COUNTIF('Elève (3ème1)'!UU12:UW12,"B"))*3)+((COUNTIF('Elève (3ème1)'!UU12:UW12,"C"))*2)+((COUNTIF('Elève (3ème1)'!UU12:UW12,"D"))*1))/(COUNTA(UU12:UW12)),"")</f>
        <v/>
      </c>
      <c r="UY12" s="114" t="str">
        <f t="shared" si="133"/>
        <v/>
      </c>
      <c r="UZ12" s="110"/>
      <c r="VA12" s="111"/>
      <c r="VB12" s="116"/>
      <c r="VC12" s="113" t="str">
        <f>IFERROR((((COUNTIF('Elève (3ème1)'!UZ12:VB12,"A"))*4)+((COUNTIF('Elève (3ème1)'!UZ12:VB12,"B"))*3)+((COUNTIF('Elève (3ème1)'!UZ12:VB12,"C"))*2)+((COUNTIF('Elève (3ème1)'!UZ12:VB12,"D"))*1))/(COUNTA(UZ12:VB12)),"")</f>
        <v/>
      </c>
      <c r="VD12" s="114" t="str">
        <f t="shared" si="134"/>
        <v/>
      </c>
      <c r="VE12" s="113" t="str">
        <f>IF(COUNT(US12,UX12,VC12)=0,"",SUM(US12,UX12,VC12)/COUNT(US12,UX12,VC12))</f>
        <v/>
      </c>
      <c r="VF12" s="115" t="str">
        <f t="shared" si="135"/>
        <v/>
      </c>
      <c r="VG12" s="110"/>
      <c r="VH12" s="111"/>
      <c r="VI12" s="112"/>
      <c r="VJ12" s="113" t="str">
        <f>IFERROR((((COUNTIF('Elève (3ème1)'!VG12:VI12,"A"))*4)+((COUNTIF('Elève (3ème1)'!VG12:VI12,"B"))*3)+((COUNTIF('Elève (3ème1)'!VG12:VI12,"C"))*2)+((COUNTIF('Elève (3ème1)'!VG12:VI12,"D"))*1))/(COUNTA(VG12:VI12)),"")</f>
        <v/>
      </c>
      <c r="VK12" s="114" t="str">
        <f t="shared" si="136"/>
        <v/>
      </c>
      <c r="VL12" s="110"/>
      <c r="VM12" s="111"/>
      <c r="VN12" s="112"/>
      <c r="VO12" s="113" t="str">
        <f>IFERROR((((COUNTIF('Elève (3ème1)'!VL12:VN12,"A"))*4)+((COUNTIF('Elève (3ème1)'!VL12:VN12,"B"))*3)+((COUNTIF('Elève (3ème1)'!VL12:VN12,"C"))*2)+((COUNTIF('Elève (3ème1)'!VL12:VN12,"D"))*1))/(COUNTA(VL12:VN12)),"")</f>
        <v/>
      </c>
      <c r="VP12" s="114" t="str">
        <f t="shared" si="137"/>
        <v/>
      </c>
      <c r="VQ12" s="110"/>
      <c r="VR12" s="111"/>
      <c r="VS12" s="116"/>
      <c r="VT12" s="113" t="str">
        <f>IFERROR((((COUNTIF('Elève (3ème1)'!VQ12:VS12,"A"))*4)+((COUNTIF('Elève (3ème1)'!VQ12:VS12,"B"))*3)+((COUNTIF('Elève (3ème1)'!VQ12:VS12,"C"))*2)+((COUNTIF('Elève (3ème1)'!VQ12:VS12,"D"))*1))/(COUNTA(VQ12:VS12)),"")</f>
        <v/>
      </c>
      <c r="VU12" s="114" t="str">
        <f t="shared" si="138"/>
        <v/>
      </c>
      <c r="VV12" s="113" t="str">
        <f>IF(COUNT(VJ12,VO12,VT12)=0,"",SUM(VJ12,VO12,VT12)/COUNT(VJ12,VO12,VT12))</f>
        <v/>
      </c>
      <c r="VW12" s="115" t="str">
        <f t="shared" si="139"/>
        <v/>
      </c>
      <c r="VX12" s="110"/>
      <c r="VY12" s="111"/>
      <c r="VZ12" s="112"/>
      <c r="WA12" s="113" t="str">
        <f>IFERROR((((COUNTIF('Elève (3ème1)'!VX12:VZ12,"A"))*4)+((COUNTIF('Elève (3ème1)'!VX12:VZ12,"B"))*3)+((COUNTIF('Elève (3ème1)'!VX12:VZ12,"C"))*2)+((COUNTIF('Elève (3ème1)'!VX12:VZ12,"D"))*1))/(COUNTA(VX12:VZ12)),"")</f>
        <v/>
      </c>
      <c r="WB12" s="114" t="str">
        <f t="shared" si="140"/>
        <v/>
      </c>
      <c r="WC12" s="110"/>
      <c r="WD12" s="111"/>
      <c r="WE12" s="112"/>
      <c r="WF12" s="113" t="str">
        <f>IFERROR((((COUNTIF('Elève (3ème1)'!WC12:WE12,"A"))*4)+((COUNTIF('Elève (3ème1)'!WC12:WE12,"B"))*3)+((COUNTIF('Elève (3ème1)'!WC12:WE12,"C"))*2)+((COUNTIF('Elève (3ème1)'!WC12:WE12,"D"))*1))/(COUNTA(WC12:WE12)),"")</f>
        <v/>
      </c>
      <c r="WG12" s="114" t="str">
        <f t="shared" si="141"/>
        <v/>
      </c>
      <c r="WH12" s="110"/>
      <c r="WI12" s="111"/>
      <c r="WJ12" s="116"/>
      <c r="WK12" s="113" t="str">
        <f>IFERROR((((COUNTIF('Elève (3ème1)'!WH12:WJ12,"A"))*4)+((COUNTIF('Elève (3ème1)'!WH12:WJ12,"B"))*3)+((COUNTIF('Elève (3ème1)'!WH12:WJ12,"C"))*2)+((COUNTIF('Elève (3ème1)'!WH12:WJ12,"D"))*1))/(COUNTA(WH12:WJ12)),"")</f>
        <v/>
      </c>
      <c r="WL12" s="114" t="str">
        <f t="shared" si="142"/>
        <v/>
      </c>
      <c r="WM12" s="113" t="str">
        <f>IF(COUNT(WA12,WF12,WK12)=0,"",SUM(WA12,WF12,WK12)/COUNT(WA12,WF12,WK12))</f>
        <v/>
      </c>
      <c r="WN12" s="115" t="str">
        <f t="shared" si="143"/>
        <v/>
      </c>
    </row>
    <row r="13" spans="1:612" s="95" customFormat="1" ht="16.5" customHeight="1" thickBot="1" x14ac:dyDescent="0.6">
      <c r="A13" s="145" t="s">
        <v>18</v>
      </c>
      <c r="B13" s="120">
        <v>1</v>
      </c>
      <c r="C13" s="152"/>
      <c r="D13" s="65"/>
      <c r="E13" s="85"/>
      <c r="F13" s="159" t="str">
        <f>IF(COUNT(F14:F15)=0,"",SUM(F14:F15)/COUNT(F14:F15))</f>
        <v/>
      </c>
      <c r="G13" s="160" t="str">
        <f t="shared" si="24"/>
        <v/>
      </c>
      <c r="H13" s="152"/>
      <c r="I13" s="65"/>
      <c r="J13" s="65"/>
      <c r="K13" s="85"/>
      <c r="L13" s="159" t="str">
        <f>IF(COUNT(L14,L15)=0,"",SUM(L14:L15)/COUNT(L14,L15))</f>
        <v/>
      </c>
      <c r="M13" s="175" t="str">
        <f t="shared" si="25"/>
        <v/>
      </c>
      <c r="N13" s="153"/>
      <c r="O13" s="90"/>
      <c r="P13" s="90"/>
      <c r="Q13" s="90"/>
      <c r="R13" s="90"/>
      <c r="S13" s="91"/>
      <c r="T13" s="159">
        <f>IF(COUNT(T14,T15)=0,"",SUM(T14:T15)/COUNT(T14,T15))</f>
        <v>3.5</v>
      </c>
      <c r="U13" s="183" t="str">
        <f t="shared" si="26"/>
        <v>B</v>
      </c>
      <c r="V13" s="184">
        <f>IF(COUNT(V14:V15)=0,"",SUM(V14:V15)/COUNT(V14:V15))</f>
        <v>3.5</v>
      </c>
      <c r="W13" s="185" t="str">
        <f t="shared" si="27"/>
        <v>B</v>
      </c>
      <c r="X13" s="196"/>
      <c r="Y13" s="65"/>
      <c r="Z13" s="85"/>
      <c r="AA13" s="159" t="str">
        <f>IF(COUNT(AA14:AA15)=0,"",SUM(AA14:AA15)/COUNT(AA14:AA15))</f>
        <v/>
      </c>
      <c r="AB13" s="160" t="str">
        <f t="shared" si="28"/>
        <v/>
      </c>
      <c r="AC13" s="152"/>
      <c r="AD13" s="65"/>
      <c r="AE13" s="65"/>
      <c r="AF13" s="85"/>
      <c r="AG13" s="159" t="str">
        <f>IF(COUNT(AG14,AG15)=0,"",SUM(AG14:AG15)/COUNT(AG14,AG15))</f>
        <v/>
      </c>
      <c r="AH13" s="175" t="str">
        <f t="shared" si="29"/>
        <v/>
      </c>
      <c r="AI13" s="153"/>
      <c r="AJ13" s="90"/>
      <c r="AK13" s="90"/>
      <c r="AL13" s="90"/>
      <c r="AM13" s="90"/>
      <c r="AN13" s="91"/>
      <c r="AO13" s="159">
        <f>IF(COUNT(AO14,AO15)=0,"",SUM(AO14:AO15)/COUNT(AO14,AO15))</f>
        <v>4</v>
      </c>
      <c r="AP13" s="183" t="str">
        <f t="shared" si="30"/>
        <v>A</v>
      </c>
      <c r="AQ13" s="184">
        <f>IF(COUNT(AQ14:AQ15)=0,"",SUM(AQ14:AQ15)/COUNT(AQ14:AQ15))</f>
        <v>4</v>
      </c>
      <c r="AR13" s="185" t="str">
        <f t="shared" si="31"/>
        <v>A</v>
      </c>
      <c r="AS13" s="196"/>
      <c r="AT13" s="65"/>
      <c r="AU13" s="85"/>
      <c r="AV13" s="159" t="str">
        <f>IF(COUNT(AV14:AV15)=0,"",SUM(AV14:AV15)/COUNT(AV14:AV15))</f>
        <v/>
      </c>
      <c r="AW13" s="160" t="str">
        <f t="shared" si="32"/>
        <v/>
      </c>
      <c r="AX13" s="152"/>
      <c r="AY13" s="65"/>
      <c r="AZ13" s="65"/>
      <c r="BA13" s="85"/>
      <c r="BB13" s="159" t="str">
        <f>IF(COUNT(BB14,BB15)=0,"",SUM(BB14:BB15)/COUNT(BB14,BB15))</f>
        <v/>
      </c>
      <c r="BC13" s="175" t="str">
        <f t="shared" si="33"/>
        <v/>
      </c>
      <c r="BD13" s="153"/>
      <c r="BE13" s="90"/>
      <c r="BF13" s="90"/>
      <c r="BG13" s="90"/>
      <c r="BH13" s="90"/>
      <c r="BI13" s="91"/>
      <c r="BJ13" s="159">
        <f>IF(COUNT(BJ14,BJ15)=0,"",SUM(BJ14:BJ15)/COUNT(BJ14,BJ15))</f>
        <v>4</v>
      </c>
      <c r="BK13" s="183" t="str">
        <f t="shared" si="34"/>
        <v>A</v>
      </c>
      <c r="BL13" s="184">
        <f>IF(COUNT(BL14:BL15)=0,"",SUM(BL14:BL15)/COUNT(BL14:BL15))</f>
        <v>4</v>
      </c>
      <c r="BM13" s="185" t="str">
        <f t="shared" si="35"/>
        <v>A</v>
      </c>
      <c r="BN13" s="196"/>
      <c r="BO13" s="65"/>
      <c r="BP13" s="85"/>
      <c r="BQ13" s="159" t="str">
        <f>IF(COUNT(BQ14:BQ15)=0,"",SUM(BQ14:BQ15)/COUNT(BQ14:BQ15))</f>
        <v/>
      </c>
      <c r="BR13" s="160" t="str">
        <f t="shared" si="36"/>
        <v/>
      </c>
      <c r="BS13" s="152"/>
      <c r="BT13" s="65"/>
      <c r="BU13" s="65"/>
      <c r="BV13" s="85"/>
      <c r="BW13" s="159" t="str">
        <f>IF(COUNT(BW14,BW15)=0,"",SUM(BW14:BW15)/COUNT(BW14,BW15))</f>
        <v/>
      </c>
      <c r="BX13" s="175" t="str">
        <f t="shared" si="37"/>
        <v/>
      </c>
      <c r="BY13" s="153"/>
      <c r="BZ13" s="90"/>
      <c r="CA13" s="90"/>
      <c r="CB13" s="90"/>
      <c r="CC13" s="90"/>
      <c r="CD13" s="91"/>
      <c r="CE13" s="159">
        <f>IF(COUNT(CE14,CE15)=0,"",SUM(CE14:CE15)/COUNT(CE14,CE15))</f>
        <v>4</v>
      </c>
      <c r="CF13" s="183" t="str">
        <f t="shared" si="38"/>
        <v>A</v>
      </c>
      <c r="CG13" s="184">
        <f>IF(COUNT(CG14:CG15)=0,"",SUM(CG14:CG15)/COUNT(CG14:CG15))</f>
        <v>4</v>
      </c>
      <c r="CH13" s="185" t="str">
        <f t="shared" si="39"/>
        <v>A</v>
      </c>
      <c r="CI13" s="196"/>
      <c r="CJ13" s="65"/>
      <c r="CK13" s="85"/>
      <c r="CL13" s="159" t="str">
        <f>IF(COUNT(CL14:CL15)=0,"",SUM(CL14:CL15)/COUNT(CL14:CL15))</f>
        <v/>
      </c>
      <c r="CM13" s="160" t="str">
        <f t="shared" si="40"/>
        <v/>
      </c>
      <c r="CN13" s="152"/>
      <c r="CO13" s="65"/>
      <c r="CP13" s="65"/>
      <c r="CQ13" s="85"/>
      <c r="CR13" s="159" t="str">
        <f>IF(COUNT(CR14,CR15)=0,"",SUM(CR14:CR15)/COUNT(CR14,CR15))</f>
        <v/>
      </c>
      <c r="CS13" s="175" t="str">
        <f t="shared" si="41"/>
        <v/>
      </c>
      <c r="CT13" s="153"/>
      <c r="CU13" s="90"/>
      <c r="CV13" s="90"/>
      <c r="CW13" s="90"/>
      <c r="CX13" s="90"/>
      <c r="CY13" s="91"/>
      <c r="CZ13" s="159">
        <f>IF(COUNT(CZ14,CZ15)=0,"",SUM(CZ14:CZ15)/COUNT(CZ14,CZ15))</f>
        <v>4</v>
      </c>
      <c r="DA13" s="183" t="str">
        <f t="shared" si="42"/>
        <v>A</v>
      </c>
      <c r="DB13" s="184">
        <f>IF(COUNT(DB14:DB15)=0,"",SUM(DB14:DB15)/COUNT(DB14:DB15))</f>
        <v>4</v>
      </c>
      <c r="DC13" s="185" t="str">
        <f t="shared" si="43"/>
        <v>A</v>
      </c>
      <c r="DD13" s="196"/>
      <c r="DE13" s="65"/>
      <c r="DF13" s="85"/>
      <c r="DG13" s="159" t="str">
        <f>IF(COUNT(DG14:DG15)=0,"",SUM(DG14:DG15)/COUNT(DG14:DG15))</f>
        <v/>
      </c>
      <c r="DH13" s="160" t="str">
        <f t="shared" si="44"/>
        <v/>
      </c>
      <c r="DI13" s="152"/>
      <c r="DJ13" s="65"/>
      <c r="DK13" s="65"/>
      <c r="DL13" s="85"/>
      <c r="DM13" s="159" t="str">
        <f>IF(COUNT(DM14,DM15)=0,"",SUM(DM14:DM15)/COUNT(DM14,DM15))</f>
        <v/>
      </c>
      <c r="DN13" s="175" t="str">
        <f t="shared" si="45"/>
        <v/>
      </c>
      <c r="DO13" s="153"/>
      <c r="DP13" s="90"/>
      <c r="DQ13" s="90"/>
      <c r="DR13" s="90"/>
      <c r="DS13" s="90"/>
      <c r="DT13" s="91"/>
      <c r="DU13" s="159">
        <f>IF(COUNT(DU14,DU15)=0,"",SUM(DU14:DU15)/COUNT(DU14,DU15))</f>
        <v>4</v>
      </c>
      <c r="DV13" s="183" t="str">
        <f t="shared" si="46"/>
        <v>A</v>
      </c>
      <c r="DW13" s="184">
        <f>IF(COUNT(DW14:DW15)=0,"",SUM(DW14:DW15)/COUNT(DW14:DW15))</f>
        <v>4</v>
      </c>
      <c r="DX13" s="185" t="str">
        <f t="shared" si="47"/>
        <v>A</v>
      </c>
      <c r="DY13" s="196"/>
      <c r="DZ13" s="65"/>
      <c r="EA13" s="85"/>
      <c r="EB13" s="159" t="str">
        <f>IF(COUNT(EB14:EB15)=0,"",SUM(EB14:EB15)/COUNT(EB14:EB15))</f>
        <v/>
      </c>
      <c r="EC13" s="160" t="str">
        <f t="shared" si="48"/>
        <v/>
      </c>
      <c r="ED13" s="152"/>
      <c r="EE13" s="65"/>
      <c r="EF13" s="65"/>
      <c r="EG13" s="85"/>
      <c r="EH13" s="159" t="str">
        <f>IF(COUNT(EH14,EH15)=0,"",SUM(EH14:EH15)/COUNT(EH14,EH15))</f>
        <v/>
      </c>
      <c r="EI13" s="175" t="str">
        <f t="shared" si="49"/>
        <v/>
      </c>
      <c r="EJ13" s="153"/>
      <c r="EK13" s="90"/>
      <c r="EL13" s="90"/>
      <c r="EM13" s="90"/>
      <c r="EN13" s="90"/>
      <c r="EO13" s="91"/>
      <c r="EP13" s="159">
        <f>IF(COUNT(EP14,EP15)=0,"",SUM(EP14:EP15)/COUNT(EP14,EP15))</f>
        <v>4</v>
      </c>
      <c r="EQ13" s="183" t="str">
        <f t="shared" si="50"/>
        <v>A</v>
      </c>
      <c r="ER13" s="184">
        <f>IF(COUNT(ER14:ER15)=0,"",SUM(ER14:ER15)/COUNT(ER14:ER15))</f>
        <v>4</v>
      </c>
      <c r="ES13" s="185" t="str">
        <f t="shared" si="51"/>
        <v>A</v>
      </c>
      <c r="ET13" s="196"/>
      <c r="EU13" s="65"/>
      <c r="EV13" s="85"/>
      <c r="EW13" s="159" t="str">
        <f>IF(COUNT(EW14:EW15)=0,"",SUM(EW14:EW15)/COUNT(EW14:EW15))</f>
        <v/>
      </c>
      <c r="EX13" s="160" t="str">
        <f t="shared" si="52"/>
        <v/>
      </c>
      <c r="EY13" s="152"/>
      <c r="EZ13" s="65"/>
      <c r="FA13" s="65"/>
      <c r="FB13" s="85"/>
      <c r="FC13" s="159" t="str">
        <f>IF(COUNT(FC14,FC15)=0,"",SUM(FC14:FC15)/COUNT(FC14,FC15))</f>
        <v/>
      </c>
      <c r="FD13" s="175" t="str">
        <f t="shared" si="53"/>
        <v/>
      </c>
      <c r="FE13" s="153"/>
      <c r="FF13" s="90"/>
      <c r="FG13" s="90"/>
      <c r="FH13" s="90"/>
      <c r="FI13" s="90"/>
      <c r="FJ13" s="91"/>
      <c r="FK13" s="159">
        <f>IF(COUNT(FK14,FK15)=0,"",SUM(FK14:FK15)/COUNT(FK14,FK15))</f>
        <v>3.5</v>
      </c>
      <c r="FL13" s="183" t="str">
        <f t="shared" si="54"/>
        <v>B</v>
      </c>
      <c r="FM13" s="184">
        <f>IF(COUNT(FM14:FM15)=0,"",SUM(FM14:FM15)/COUNT(FM14:FM15))</f>
        <v>3.5</v>
      </c>
      <c r="FN13" s="185" t="str">
        <f t="shared" si="55"/>
        <v>B</v>
      </c>
      <c r="FO13" s="196"/>
      <c r="FP13" s="65"/>
      <c r="FQ13" s="85"/>
      <c r="FR13" s="159" t="str">
        <f>IF(COUNT(FR14:FR15)=0,"",SUM(FR14:FR15)/COUNT(FR14:FR15))</f>
        <v/>
      </c>
      <c r="FS13" s="160" t="str">
        <f t="shared" si="56"/>
        <v/>
      </c>
      <c r="FT13" s="152"/>
      <c r="FU13" s="65"/>
      <c r="FV13" s="65"/>
      <c r="FW13" s="85"/>
      <c r="FX13" s="159" t="str">
        <f>IF(COUNT(FX14,FX15)=0,"",SUM(FX14:FX15)/COUNT(FX14,FX15))</f>
        <v/>
      </c>
      <c r="FY13" s="175" t="str">
        <f t="shared" si="57"/>
        <v/>
      </c>
      <c r="FZ13" s="153"/>
      <c r="GA13" s="90"/>
      <c r="GB13" s="90"/>
      <c r="GC13" s="90"/>
      <c r="GD13" s="90"/>
      <c r="GE13" s="91"/>
      <c r="GF13" s="159">
        <f>IF(COUNT(GF14,GF15)=0,"",SUM(GF14:GF15)/COUNT(GF14,GF15))</f>
        <v>4</v>
      </c>
      <c r="GG13" s="183" t="str">
        <f t="shared" si="58"/>
        <v>A</v>
      </c>
      <c r="GH13" s="184">
        <f>IF(COUNT(GH14:GH15)=0,"",SUM(GH14:GH15)/COUNT(GH14:GH15))</f>
        <v>4</v>
      </c>
      <c r="GI13" s="185" t="str">
        <f t="shared" si="59"/>
        <v>A</v>
      </c>
      <c r="GJ13" s="196"/>
      <c r="GK13" s="65"/>
      <c r="GL13" s="85"/>
      <c r="GM13" s="159" t="str">
        <f>IF(COUNT(GM14:GM15)=0,"",SUM(GM14:GM15)/COUNT(GM14:GM15))</f>
        <v/>
      </c>
      <c r="GN13" s="160" t="str">
        <f t="shared" si="60"/>
        <v/>
      </c>
      <c r="GO13" s="152"/>
      <c r="GP13" s="65"/>
      <c r="GQ13" s="65"/>
      <c r="GR13" s="85"/>
      <c r="GS13" s="159" t="str">
        <f>IF(COUNT(GS14,GS15)=0,"",SUM(GS14:GS15)/COUNT(GS14,GS15))</f>
        <v/>
      </c>
      <c r="GT13" s="175" t="str">
        <f t="shared" si="61"/>
        <v/>
      </c>
      <c r="GU13" s="153"/>
      <c r="GV13" s="90"/>
      <c r="GW13" s="90"/>
      <c r="GX13" s="90"/>
      <c r="GY13" s="90"/>
      <c r="GZ13" s="91"/>
      <c r="HA13" s="159">
        <f>IF(COUNT(HA14,HA15)=0,"",SUM(HA14:HA15)/COUNT(HA14,HA15))</f>
        <v>3.5</v>
      </c>
      <c r="HB13" s="183" t="str">
        <f t="shared" si="62"/>
        <v>B</v>
      </c>
      <c r="HC13" s="184">
        <f>IF(COUNT(HC14:HC15)=0,"",SUM(HC14:HC15)/COUNT(HC14:HC15))</f>
        <v>3.5</v>
      </c>
      <c r="HD13" s="185" t="str">
        <f t="shared" si="63"/>
        <v>B</v>
      </c>
      <c r="HE13" s="196"/>
      <c r="HF13" s="65"/>
      <c r="HG13" s="85"/>
      <c r="HH13" s="159" t="str">
        <f>IF(COUNT(HH14:HH15)=0,"",SUM(HH14:HH15)/COUNT(HH14:HH15))</f>
        <v/>
      </c>
      <c r="HI13" s="160" t="str">
        <f t="shared" si="64"/>
        <v/>
      </c>
      <c r="HJ13" s="152"/>
      <c r="HK13" s="65"/>
      <c r="HL13" s="65"/>
      <c r="HM13" s="85"/>
      <c r="HN13" s="159" t="str">
        <f>IF(COUNT(HN14,HN15)=0,"",SUM(HN14:HN15)/COUNT(HN14,HN15))</f>
        <v/>
      </c>
      <c r="HO13" s="175" t="str">
        <f t="shared" si="65"/>
        <v/>
      </c>
      <c r="HP13" s="153"/>
      <c r="HQ13" s="90"/>
      <c r="HR13" s="90"/>
      <c r="HS13" s="90"/>
      <c r="HT13" s="90"/>
      <c r="HU13" s="91"/>
      <c r="HV13" s="159">
        <f>IF(COUNT(HV14,HV15)=0,"",SUM(HV14:HV15)/COUNT(HV14,HV15))</f>
        <v>4</v>
      </c>
      <c r="HW13" s="183" t="str">
        <f t="shared" si="66"/>
        <v>A</v>
      </c>
      <c r="HX13" s="184">
        <f>IF(COUNT(HX14:HX15)=0,"",SUM(HX14:HX15)/COUNT(HX14:HX15))</f>
        <v>4</v>
      </c>
      <c r="HY13" s="185" t="str">
        <f t="shared" si="67"/>
        <v>A</v>
      </c>
      <c r="HZ13" s="196"/>
      <c r="IA13" s="65"/>
      <c r="IB13" s="85"/>
      <c r="IC13" s="159" t="str">
        <f>IF(COUNT(IC14:IC15)=0,"",SUM(IC14:IC15)/COUNT(IC14:IC15))</f>
        <v/>
      </c>
      <c r="ID13" s="160" t="str">
        <f t="shared" si="68"/>
        <v/>
      </c>
      <c r="IE13" s="152"/>
      <c r="IF13" s="65"/>
      <c r="IG13" s="65"/>
      <c r="IH13" s="85"/>
      <c r="II13" s="159" t="str">
        <f>IF(COUNT(II14,II15)=0,"",SUM(II14:II15)/COUNT(II14,II15))</f>
        <v/>
      </c>
      <c r="IJ13" s="175" t="str">
        <f t="shared" si="69"/>
        <v/>
      </c>
      <c r="IK13" s="153"/>
      <c r="IL13" s="90"/>
      <c r="IM13" s="90"/>
      <c r="IN13" s="90"/>
      <c r="IO13" s="90"/>
      <c r="IP13" s="91"/>
      <c r="IQ13" s="159">
        <f>IF(COUNT(IQ14,IQ15)=0,"",SUM(IQ14:IQ15)/COUNT(IQ14,IQ15))</f>
        <v>3.5</v>
      </c>
      <c r="IR13" s="183" t="str">
        <f t="shared" si="70"/>
        <v>B</v>
      </c>
      <c r="IS13" s="184">
        <f>IF(COUNT(IS14:IS15)=0,"",SUM(IS14:IS15)/COUNT(IS14:IS15))</f>
        <v>3.5</v>
      </c>
      <c r="IT13" s="185" t="str">
        <f t="shared" si="71"/>
        <v>B</v>
      </c>
      <c r="IU13" s="196"/>
      <c r="IV13" s="65"/>
      <c r="IW13" s="85"/>
      <c r="IX13" s="159" t="str">
        <f>IF(COUNT(IX14:IX15)=0,"",SUM(IX14:IX15)/COUNT(IX14:IX15))</f>
        <v/>
      </c>
      <c r="IY13" s="160" t="str">
        <f t="shared" si="72"/>
        <v/>
      </c>
      <c r="IZ13" s="152"/>
      <c r="JA13" s="65"/>
      <c r="JB13" s="65"/>
      <c r="JC13" s="85"/>
      <c r="JD13" s="159" t="str">
        <f>IF(COUNT(JD14,JD15)=0,"",SUM(JD14:JD15)/COUNT(JD14,JD15))</f>
        <v/>
      </c>
      <c r="JE13" s="175" t="str">
        <f t="shared" si="73"/>
        <v/>
      </c>
      <c r="JF13" s="153"/>
      <c r="JG13" s="90"/>
      <c r="JH13" s="90"/>
      <c r="JI13" s="90"/>
      <c r="JJ13" s="90"/>
      <c r="JK13" s="91"/>
      <c r="JL13" s="159">
        <f>IF(COUNT(JL14,JL15)=0,"",SUM(JL14:JL15)/COUNT(JL14,JL15))</f>
        <v>4</v>
      </c>
      <c r="JM13" s="183" t="str">
        <f t="shared" si="74"/>
        <v>A</v>
      </c>
      <c r="JN13" s="184">
        <f>IF(COUNT(JN14:JN15)=0,"",SUM(JN14:JN15)/COUNT(JN14:JN15))</f>
        <v>4</v>
      </c>
      <c r="JO13" s="185" t="str">
        <f t="shared" si="75"/>
        <v>A</v>
      </c>
      <c r="JP13" s="196"/>
      <c r="JQ13" s="65"/>
      <c r="JR13" s="85"/>
      <c r="JS13" s="159" t="str">
        <f>IF(COUNT(JS14:JS15)=0,"",SUM(JS14:JS15)/COUNT(JS14:JS15))</f>
        <v/>
      </c>
      <c r="JT13" s="160" t="str">
        <f t="shared" si="76"/>
        <v/>
      </c>
      <c r="JU13" s="152"/>
      <c r="JV13" s="65"/>
      <c r="JW13" s="65"/>
      <c r="JX13" s="85"/>
      <c r="JY13" s="159" t="str">
        <f>IF(COUNT(JY14,JY15)=0,"",SUM(JY14:JY15)/COUNT(JY14,JY15))</f>
        <v/>
      </c>
      <c r="JZ13" s="175" t="str">
        <f t="shared" si="77"/>
        <v/>
      </c>
      <c r="KA13" s="153"/>
      <c r="KB13" s="90"/>
      <c r="KC13" s="90"/>
      <c r="KD13" s="90"/>
      <c r="KE13" s="90"/>
      <c r="KF13" s="91"/>
      <c r="KG13" s="159">
        <f>IF(COUNT(KG14,KG15)=0,"",SUM(KG14:KG15)/COUNT(KG14,KG15))</f>
        <v>3.5</v>
      </c>
      <c r="KH13" s="183" t="str">
        <f t="shared" si="78"/>
        <v>B</v>
      </c>
      <c r="KI13" s="184">
        <f>IF(COUNT(KI14:KI15)=0,"",SUM(KI14:KI15)/COUNT(KI14:KI15))</f>
        <v>3.5</v>
      </c>
      <c r="KJ13" s="185" t="str">
        <f t="shared" si="79"/>
        <v>B</v>
      </c>
      <c r="KK13" s="196"/>
      <c r="KL13" s="65"/>
      <c r="KM13" s="85"/>
      <c r="KN13" s="159" t="str">
        <f>IF(COUNT(KN14:KN15)=0,"",SUM(KN14:KN15)/COUNT(KN14:KN15))</f>
        <v/>
      </c>
      <c r="KO13" s="160" t="str">
        <f t="shared" si="80"/>
        <v/>
      </c>
      <c r="KP13" s="152"/>
      <c r="KQ13" s="65"/>
      <c r="KR13" s="65"/>
      <c r="KS13" s="85"/>
      <c r="KT13" s="159" t="str">
        <f>IF(COUNT(KT14,KT15)=0,"",SUM(KT14:KT15)/COUNT(KT14,KT15))</f>
        <v/>
      </c>
      <c r="KU13" s="175" t="str">
        <f t="shared" si="81"/>
        <v/>
      </c>
      <c r="KV13" s="153"/>
      <c r="KW13" s="90"/>
      <c r="KX13" s="90"/>
      <c r="KY13" s="90"/>
      <c r="KZ13" s="90"/>
      <c r="LA13" s="91"/>
      <c r="LB13" s="159">
        <f>IF(COUNT(LB14,LB15)=0,"",SUM(LB14:LB15)/COUNT(LB14,LB15))</f>
        <v>4</v>
      </c>
      <c r="LC13" s="183" t="str">
        <f t="shared" si="82"/>
        <v>A</v>
      </c>
      <c r="LD13" s="184">
        <f>IF(COUNT(LD14:LD15)=0,"",SUM(LD14:LD15)/COUNT(LD14:LD15))</f>
        <v>4</v>
      </c>
      <c r="LE13" s="185" t="str">
        <f t="shared" si="83"/>
        <v>A</v>
      </c>
      <c r="LF13" s="196"/>
      <c r="LG13" s="65"/>
      <c r="LH13" s="85"/>
      <c r="LI13" s="159" t="str">
        <f>IF(COUNT(LI14:LI15)=0,"",SUM(LI14:LI15)/COUNT(LI14:LI15))</f>
        <v/>
      </c>
      <c r="LJ13" s="160" t="str">
        <f t="shared" si="84"/>
        <v/>
      </c>
      <c r="LK13" s="152"/>
      <c r="LL13" s="65"/>
      <c r="LM13" s="65"/>
      <c r="LN13" s="85"/>
      <c r="LO13" s="159" t="str">
        <f>IF(COUNT(LO14,LO15)=0,"",SUM(LO14:LO15)/COUNT(LO14,LO15))</f>
        <v/>
      </c>
      <c r="LP13" s="175" t="str">
        <f t="shared" si="85"/>
        <v/>
      </c>
      <c r="LQ13" s="153"/>
      <c r="LR13" s="90"/>
      <c r="LS13" s="90"/>
      <c r="LT13" s="90"/>
      <c r="LU13" s="90"/>
      <c r="LV13" s="91"/>
      <c r="LW13" s="159">
        <f>IF(COUNT(LW14,LW15)=0,"",SUM(LW14:LW15)/COUNT(LW14,LW15))</f>
        <v>3</v>
      </c>
      <c r="LX13" s="183" t="str">
        <f t="shared" si="86"/>
        <v>B</v>
      </c>
      <c r="LY13" s="184">
        <f>IF(COUNT(LY14:LY15)=0,"",SUM(LY14:LY15)/COUNT(LY14:LY15))</f>
        <v>3</v>
      </c>
      <c r="LZ13" s="185" t="str">
        <f t="shared" si="87"/>
        <v>B</v>
      </c>
      <c r="MA13" s="196"/>
      <c r="MB13" s="65"/>
      <c r="MC13" s="85"/>
      <c r="MD13" s="159" t="str">
        <f>IF(COUNT(MD14:MD15)=0,"",SUM(MD14:MD15)/COUNT(MD14:MD15))</f>
        <v/>
      </c>
      <c r="ME13" s="160" t="str">
        <f t="shared" si="88"/>
        <v/>
      </c>
      <c r="MF13" s="152"/>
      <c r="MG13" s="65"/>
      <c r="MH13" s="65"/>
      <c r="MI13" s="85"/>
      <c r="MJ13" s="159" t="str">
        <f>IF(COUNT(MJ14,MJ15)=0,"",SUM(MJ14:MJ15)/COUNT(MJ14,MJ15))</f>
        <v/>
      </c>
      <c r="MK13" s="175" t="str">
        <f t="shared" si="89"/>
        <v/>
      </c>
      <c r="ML13" s="153"/>
      <c r="MM13" s="90"/>
      <c r="MN13" s="90"/>
      <c r="MO13" s="90"/>
      <c r="MP13" s="90"/>
      <c r="MQ13" s="91"/>
      <c r="MR13" s="159">
        <f>IF(COUNT(MR14,MR15)=0,"",SUM(MR14:MR15)/COUNT(MR14,MR15))</f>
        <v>4</v>
      </c>
      <c r="MS13" s="183" t="str">
        <f t="shared" si="90"/>
        <v>A</v>
      </c>
      <c r="MT13" s="184">
        <f>IF(COUNT(MT14:MT15)=0,"",SUM(MT14:MT15)/COUNT(MT14:MT15))</f>
        <v>4</v>
      </c>
      <c r="MU13" s="185" t="str">
        <f t="shared" si="91"/>
        <v>A</v>
      </c>
      <c r="MV13" s="196"/>
      <c r="MW13" s="65"/>
      <c r="MX13" s="85"/>
      <c r="MY13" s="159" t="str">
        <f>IF(COUNT(MY14:MY15)=0,"",SUM(MY14:MY15)/COUNT(MY14:MY15))</f>
        <v/>
      </c>
      <c r="MZ13" s="160" t="str">
        <f t="shared" si="92"/>
        <v/>
      </c>
      <c r="NA13" s="152"/>
      <c r="NB13" s="65"/>
      <c r="NC13" s="65"/>
      <c r="ND13" s="85"/>
      <c r="NE13" s="159" t="str">
        <f>IF(COUNT(NE14,NE15)=0,"",SUM(NE14:NE15)/COUNT(NE14,NE15))</f>
        <v/>
      </c>
      <c r="NF13" s="175" t="str">
        <f t="shared" si="93"/>
        <v/>
      </c>
      <c r="NG13" s="153"/>
      <c r="NH13" s="90"/>
      <c r="NI13" s="90"/>
      <c r="NJ13" s="90"/>
      <c r="NK13" s="90"/>
      <c r="NL13" s="91"/>
      <c r="NM13" s="159">
        <f>IF(COUNT(NM14,NM15)=0,"",SUM(NM14:NM15)/COUNT(NM14,NM15))</f>
        <v>4</v>
      </c>
      <c r="NN13" s="183" t="str">
        <f t="shared" si="94"/>
        <v>A</v>
      </c>
      <c r="NO13" s="184">
        <f>IF(COUNT(NO14:NO15)=0,"",SUM(NO14:NO15)/COUNT(NO14:NO15))</f>
        <v>4</v>
      </c>
      <c r="NP13" s="185" t="str">
        <f t="shared" si="95"/>
        <v>A</v>
      </c>
      <c r="NQ13" s="196"/>
      <c r="NR13" s="65"/>
      <c r="NS13" s="85"/>
      <c r="NT13" s="159" t="str">
        <f>IF(COUNT(NT14:NT15)=0,"",SUM(NT14:NT15)/COUNT(NT14:NT15))</f>
        <v/>
      </c>
      <c r="NU13" s="160" t="str">
        <f t="shared" si="96"/>
        <v/>
      </c>
      <c r="NV13" s="152"/>
      <c r="NW13" s="65"/>
      <c r="NX13" s="65"/>
      <c r="NY13" s="85"/>
      <c r="NZ13" s="159" t="str">
        <f>IF(COUNT(NZ14,NZ15)=0,"",SUM(NZ14:NZ15)/COUNT(NZ14,NZ15))</f>
        <v/>
      </c>
      <c r="OA13" s="175" t="str">
        <f t="shared" si="97"/>
        <v/>
      </c>
      <c r="OB13" s="153"/>
      <c r="OC13" s="90"/>
      <c r="OD13" s="90"/>
      <c r="OE13" s="90"/>
      <c r="OF13" s="90"/>
      <c r="OG13" s="91"/>
      <c r="OH13" s="159">
        <f>IF(COUNT(OH14,OH15)=0,"",SUM(OH14:OH15)/COUNT(OH14,OH15))</f>
        <v>4</v>
      </c>
      <c r="OI13" s="183" t="str">
        <f t="shared" si="98"/>
        <v>A</v>
      </c>
      <c r="OJ13" s="184">
        <f>IF(COUNT(OJ14:OJ15)=0,"",SUM(OJ14:OJ15)/COUNT(OJ14:OJ15))</f>
        <v>4</v>
      </c>
      <c r="OK13" s="185" t="str">
        <f t="shared" si="99"/>
        <v>A</v>
      </c>
      <c r="OL13" s="196"/>
      <c r="OM13" s="65"/>
      <c r="ON13" s="85"/>
      <c r="OO13" s="159" t="str">
        <f>IF(COUNT(OO14:OO15)=0,"",SUM(OO14:OO15)/COUNT(OO14:OO15))</f>
        <v/>
      </c>
      <c r="OP13" s="160" t="str">
        <f t="shared" si="100"/>
        <v/>
      </c>
      <c r="OQ13" s="152"/>
      <c r="OR13" s="65"/>
      <c r="OS13" s="65"/>
      <c r="OT13" s="85"/>
      <c r="OU13" s="159" t="str">
        <f>IF(COUNT(OU14,OU15)=0,"",SUM(OU14:OU15)/COUNT(OU14,OU15))</f>
        <v/>
      </c>
      <c r="OV13" s="175" t="str">
        <f t="shared" si="101"/>
        <v/>
      </c>
      <c r="OW13" s="153"/>
      <c r="OX13" s="90"/>
      <c r="OY13" s="90"/>
      <c r="OZ13" s="90"/>
      <c r="PA13" s="90"/>
      <c r="PB13" s="91"/>
      <c r="PC13" s="159">
        <f>IF(COUNT(PC14,PC15)=0,"",SUM(PC14:PC15)/COUNT(PC14,PC15))</f>
        <v>3.5</v>
      </c>
      <c r="PD13" s="183" t="str">
        <f t="shared" si="102"/>
        <v>B</v>
      </c>
      <c r="PE13" s="184">
        <f>IF(COUNT(PE14:PE15)=0,"",SUM(PE14:PE15)/COUNT(PE14:PE15))</f>
        <v>3.5</v>
      </c>
      <c r="PF13" s="185" t="str">
        <f t="shared" si="103"/>
        <v>B</v>
      </c>
      <c r="PG13" s="196"/>
      <c r="PH13" s="65"/>
      <c r="PI13" s="85"/>
      <c r="PJ13" s="159" t="str">
        <f>IF(COUNT(PJ14:PJ15)=0,"",SUM(PJ14:PJ15)/COUNT(PJ14:PJ15))</f>
        <v/>
      </c>
      <c r="PK13" s="160" t="str">
        <f t="shared" si="104"/>
        <v/>
      </c>
      <c r="PL13" s="152"/>
      <c r="PM13" s="65"/>
      <c r="PN13" s="65"/>
      <c r="PO13" s="85"/>
      <c r="PP13" s="159" t="str">
        <f>IF(COUNT(PP14,PP15)=0,"",SUM(PP14:PP15)/COUNT(PP14,PP15))</f>
        <v/>
      </c>
      <c r="PQ13" s="175" t="str">
        <f t="shared" si="105"/>
        <v/>
      </c>
      <c r="PR13" s="153"/>
      <c r="PS13" s="90"/>
      <c r="PT13" s="90"/>
      <c r="PU13" s="90"/>
      <c r="PV13" s="90"/>
      <c r="PW13" s="91"/>
      <c r="PX13" s="159">
        <f>IF(COUNT(PX14,PX15)=0,"",SUM(PX14:PX15)/COUNT(PX14,PX15))</f>
        <v>4</v>
      </c>
      <c r="PY13" s="183" t="str">
        <f t="shared" si="106"/>
        <v>A</v>
      </c>
      <c r="PZ13" s="184">
        <f>IF(COUNT(PZ14:PZ15)=0,"",SUM(PZ14:PZ15)/COUNT(PZ14:PZ15))</f>
        <v>4</v>
      </c>
      <c r="QA13" s="185" t="str">
        <f t="shared" si="107"/>
        <v>A</v>
      </c>
      <c r="QB13" s="196"/>
      <c r="QC13" s="65"/>
      <c r="QD13" s="85"/>
      <c r="QE13" s="159" t="str">
        <f>IF(COUNT(QE14:QE15)=0,"",SUM(QE14:QE15)/COUNT(QE14:QE15))</f>
        <v/>
      </c>
      <c r="QF13" s="160" t="str">
        <f t="shared" si="108"/>
        <v/>
      </c>
      <c r="QG13" s="152"/>
      <c r="QH13" s="65"/>
      <c r="QI13" s="65"/>
      <c r="QJ13" s="85"/>
      <c r="QK13" s="159" t="str">
        <f>IF(COUNT(QK14,QK15)=0,"",SUM(QK14:QK15)/COUNT(QK14,QK15))</f>
        <v/>
      </c>
      <c r="QL13" s="175" t="str">
        <f t="shared" si="109"/>
        <v/>
      </c>
      <c r="QM13" s="153"/>
      <c r="QN13" s="90"/>
      <c r="QO13" s="90"/>
      <c r="QP13" s="90"/>
      <c r="QQ13" s="90"/>
      <c r="QR13" s="91"/>
      <c r="QS13" s="159">
        <f>IF(COUNT(QS14,QS15)=0,"",SUM(QS14:QS15)/COUNT(QS14,QS15))</f>
        <v>4</v>
      </c>
      <c r="QT13" s="183" t="str">
        <f t="shared" si="110"/>
        <v>A</v>
      </c>
      <c r="QU13" s="184">
        <f>IF(COUNT(QU14:QU15)=0,"",SUM(QU14:QU15)/COUNT(QU14:QU15))</f>
        <v>4</v>
      </c>
      <c r="QV13" s="185" t="str">
        <f t="shared" si="111"/>
        <v>A</v>
      </c>
      <c r="QW13" s="196"/>
      <c r="QX13" s="65"/>
      <c r="QY13" s="85"/>
      <c r="QZ13" s="159" t="str">
        <f>IF(COUNT(QZ14:QZ15)=0,"",SUM(QZ14:QZ15)/COUNT(QZ14:QZ15))</f>
        <v/>
      </c>
      <c r="RA13" s="160" t="str">
        <f t="shared" si="112"/>
        <v/>
      </c>
      <c r="RB13" s="152"/>
      <c r="RC13" s="65"/>
      <c r="RD13" s="65"/>
      <c r="RE13" s="85"/>
      <c r="RF13" s="159" t="str">
        <f>IF(COUNT(RF14,RF15)=0,"",SUM(RF14:RF15)/COUNT(RF14,RF15))</f>
        <v/>
      </c>
      <c r="RG13" s="175" t="str">
        <f t="shared" si="113"/>
        <v/>
      </c>
      <c r="RH13" s="153"/>
      <c r="RI13" s="90"/>
      <c r="RJ13" s="90"/>
      <c r="RK13" s="90"/>
      <c r="RL13" s="90"/>
      <c r="RM13" s="91"/>
      <c r="RN13" s="159">
        <f>IF(COUNT(RN14,RN15)=0,"",SUM(RN14:RN15)/COUNT(RN14,RN15))</f>
        <v>4</v>
      </c>
      <c r="RO13" s="183" t="str">
        <f t="shared" si="114"/>
        <v>A</v>
      </c>
      <c r="RP13" s="184">
        <f>IF(COUNT(RP14:RP15)=0,"",SUM(RP14:RP15)/COUNT(RP14:RP15))</f>
        <v>4</v>
      </c>
      <c r="RQ13" s="185" t="str">
        <f t="shared" si="115"/>
        <v>A</v>
      </c>
      <c r="RR13" s="196"/>
      <c r="RS13" s="65"/>
      <c r="RT13" s="85"/>
      <c r="RU13" s="159" t="str">
        <f>IF(COUNT(RU14:RU15)=0,"",SUM(RU14:RU15)/COUNT(RU14:RU15))</f>
        <v/>
      </c>
      <c r="RV13" s="160" t="str">
        <f t="shared" si="116"/>
        <v/>
      </c>
      <c r="RW13" s="152"/>
      <c r="RX13" s="65"/>
      <c r="RY13" s="65"/>
      <c r="RZ13" s="85"/>
      <c r="SA13" s="159" t="str">
        <f>IF(COUNT(SA14,SA15)=0,"",SUM(SA14:SA15)/COUNT(SA14,SA15))</f>
        <v/>
      </c>
      <c r="SB13" s="175" t="str">
        <f t="shared" si="117"/>
        <v/>
      </c>
      <c r="SC13" s="153"/>
      <c r="SD13" s="90"/>
      <c r="SE13" s="90"/>
      <c r="SF13" s="90"/>
      <c r="SG13" s="90"/>
      <c r="SH13" s="91"/>
      <c r="SI13" s="159">
        <f>IF(COUNT(SI14,SI15)=0,"",SUM(SI14:SI15)/COUNT(SI14,SI15))</f>
        <v>4</v>
      </c>
      <c r="SJ13" s="183" t="str">
        <f t="shared" si="118"/>
        <v>A</v>
      </c>
      <c r="SK13" s="184">
        <f>IF(COUNT(SK14:SK15)=0,"",SUM(SK14:SK15)/COUNT(SK14:SK15))</f>
        <v>4</v>
      </c>
      <c r="SL13" s="185" t="str">
        <f t="shared" si="119"/>
        <v>A</v>
      </c>
      <c r="SM13" s="196"/>
      <c r="SN13" s="65"/>
      <c r="SO13" s="85"/>
      <c r="SP13" s="159" t="str">
        <f>IF(COUNT(SP14:SP15)=0,"",SUM(SP14:SP15)/COUNT(SP14:SP15))</f>
        <v/>
      </c>
      <c r="SQ13" s="160" t="str">
        <f t="shared" si="120"/>
        <v/>
      </c>
      <c r="SR13" s="152"/>
      <c r="SS13" s="65"/>
      <c r="ST13" s="65"/>
      <c r="SU13" s="85"/>
      <c r="SV13" s="159" t="str">
        <f>IF(COUNT(SV14,SV15)=0,"",SUM(SV14:SV15)/COUNT(SV14,SV15))</f>
        <v/>
      </c>
      <c r="SW13" s="175" t="str">
        <f t="shared" si="121"/>
        <v/>
      </c>
      <c r="SX13" s="153"/>
      <c r="SY13" s="90"/>
      <c r="SZ13" s="90"/>
      <c r="TA13" s="90"/>
      <c r="TB13" s="90"/>
      <c r="TC13" s="91"/>
      <c r="TD13" s="159">
        <f>IF(COUNT(TD14,TD15)=0,"",SUM(TD14:TD15)/COUNT(TD14,TD15))</f>
        <v>4</v>
      </c>
      <c r="TE13" s="183" t="str">
        <f t="shared" si="122"/>
        <v>A</v>
      </c>
      <c r="TF13" s="184">
        <f>IF(COUNT(TF14:TF15)=0,"",SUM(TF14:TF15)/COUNT(TF14:TF15))</f>
        <v>4</v>
      </c>
      <c r="TG13" s="185" t="str">
        <f t="shared" si="123"/>
        <v>A</v>
      </c>
      <c r="TH13" s="121"/>
      <c r="TI13" s="65"/>
      <c r="TJ13" s="85"/>
      <c r="TK13" s="86" t="str">
        <f>IF(COUNT(TK14:TK15)=0,"",SUM(TK14:TK15)/COUNT(TK14:TK15))</f>
        <v/>
      </c>
      <c r="TL13" s="87" t="str">
        <f t="shared" si="124"/>
        <v/>
      </c>
      <c r="TM13" s="84"/>
      <c r="TN13" s="65"/>
      <c r="TO13" s="85"/>
      <c r="TP13" s="86" t="str">
        <f>IF(COUNT(TP14,TP15)=0,"",SUM(TP14:TP15)/COUNT(TP14,TP15))</f>
        <v/>
      </c>
      <c r="TQ13" s="88" t="str">
        <f t="shared" si="125"/>
        <v/>
      </c>
      <c r="TR13" s="89"/>
      <c r="TS13" s="90"/>
      <c r="TT13" s="91"/>
      <c r="TU13" s="86" t="str">
        <f>IF(COUNT(TU14,TU15)=0,"",SUM(TU14:TU15)/COUNT(TU14,TU15))</f>
        <v/>
      </c>
      <c r="TV13" s="92" t="str">
        <f t="shared" si="126"/>
        <v/>
      </c>
      <c r="TW13" s="93" t="str">
        <f>IF(COUNT(TW14:TW15)=0,"",SUM(TW14:TW15)/COUNT(TW14:TW15))</f>
        <v/>
      </c>
      <c r="TX13" s="94" t="str">
        <f t="shared" si="127"/>
        <v/>
      </c>
      <c r="TY13" s="121"/>
      <c r="TZ13" s="65"/>
      <c r="UA13" s="85"/>
      <c r="UB13" s="86" t="str">
        <f>IF(COUNT(UB14:UB15)=0,"",SUM(UB14:UB15)/COUNT(UB14:UB15))</f>
        <v/>
      </c>
      <c r="UC13" s="87" t="str">
        <f t="shared" si="128"/>
        <v/>
      </c>
      <c r="UD13" s="84"/>
      <c r="UE13" s="65"/>
      <c r="UF13" s="85"/>
      <c r="UG13" s="86" t="str">
        <f>IF(COUNT(UG14,UG15)=0,"",SUM(UG14:UG15)/COUNT(UG14,UG15))</f>
        <v/>
      </c>
      <c r="UH13" s="88" t="str">
        <f t="shared" si="129"/>
        <v/>
      </c>
      <c r="UI13" s="89"/>
      <c r="UJ13" s="90"/>
      <c r="UK13" s="91"/>
      <c r="UL13" s="86" t="str">
        <f>IF(COUNT(UL14,UL15)=0,"",SUM(UL14:UL15)/COUNT(UL14,UL15))</f>
        <v/>
      </c>
      <c r="UM13" s="92" t="str">
        <f t="shared" si="130"/>
        <v/>
      </c>
      <c r="UN13" s="93" t="str">
        <f>IF(COUNT(UN14:UN15)=0,"",SUM(UN14:UN15)/COUNT(UN14:UN15))</f>
        <v/>
      </c>
      <c r="UO13" s="94" t="str">
        <f t="shared" si="131"/>
        <v/>
      </c>
      <c r="UP13" s="121"/>
      <c r="UQ13" s="65"/>
      <c r="UR13" s="85"/>
      <c r="US13" s="86" t="str">
        <f>IF(COUNT(US14:US15)=0,"",SUM(US14:US15)/COUNT(US14:US15))</f>
        <v/>
      </c>
      <c r="UT13" s="87" t="str">
        <f t="shared" si="132"/>
        <v/>
      </c>
      <c r="UU13" s="84"/>
      <c r="UV13" s="65"/>
      <c r="UW13" s="85"/>
      <c r="UX13" s="86" t="str">
        <f>IF(COUNT(UX14,UX15)=0,"",SUM(UX14:UX15)/COUNT(UX14,UX15))</f>
        <v/>
      </c>
      <c r="UY13" s="88" t="str">
        <f t="shared" si="133"/>
        <v/>
      </c>
      <c r="UZ13" s="89"/>
      <c r="VA13" s="90"/>
      <c r="VB13" s="91"/>
      <c r="VC13" s="86" t="str">
        <f>IF(COUNT(VC14,VC15)=0,"",SUM(VC14:VC15)/COUNT(VC14,VC15))</f>
        <v/>
      </c>
      <c r="VD13" s="92" t="str">
        <f t="shared" si="134"/>
        <v/>
      </c>
      <c r="VE13" s="93" t="str">
        <f>IF(COUNT(VE14:VE15)=0,"",SUM(VE14:VE15)/COUNT(VE14:VE15))</f>
        <v/>
      </c>
      <c r="VF13" s="94" t="str">
        <f t="shared" si="135"/>
        <v/>
      </c>
      <c r="VG13" s="121"/>
      <c r="VH13" s="65"/>
      <c r="VI13" s="85"/>
      <c r="VJ13" s="86" t="str">
        <f>IF(COUNT(VJ14:VJ15)=0,"",SUM(VJ14:VJ15)/COUNT(VJ14:VJ15))</f>
        <v/>
      </c>
      <c r="VK13" s="87" t="str">
        <f t="shared" si="136"/>
        <v/>
      </c>
      <c r="VL13" s="84"/>
      <c r="VM13" s="65"/>
      <c r="VN13" s="85"/>
      <c r="VO13" s="86" t="str">
        <f>IF(COUNT(VO14,VO15)=0,"",SUM(VO14:VO15)/COUNT(VO14,VO15))</f>
        <v/>
      </c>
      <c r="VP13" s="88" t="str">
        <f t="shared" si="137"/>
        <v/>
      </c>
      <c r="VQ13" s="89"/>
      <c r="VR13" s="90"/>
      <c r="VS13" s="91"/>
      <c r="VT13" s="86" t="str">
        <f>IF(COUNT(VT14,VT15)=0,"",SUM(VT14:VT15)/COUNT(VT14,VT15))</f>
        <v/>
      </c>
      <c r="VU13" s="92" t="str">
        <f t="shared" si="138"/>
        <v/>
      </c>
      <c r="VV13" s="93" t="str">
        <f>IF(COUNT(VV14:VV15)=0,"",SUM(VV14:VV15)/COUNT(VV14:VV15))</f>
        <v/>
      </c>
      <c r="VW13" s="94" t="str">
        <f t="shared" si="139"/>
        <v/>
      </c>
      <c r="VX13" s="121"/>
      <c r="VY13" s="65"/>
      <c r="VZ13" s="85"/>
      <c r="WA13" s="86" t="str">
        <f>IF(COUNT(WA14:WA15)=0,"",SUM(WA14:WA15)/COUNT(WA14:WA15))</f>
        <v/>
      </c>
      <c r="WB13" s="87" t="str">
        <f t="shared" si="140"/>
        <v/>
      </c>
      <c r="WC13" s="84"/>
      <c r="WD13" s="65"/>
      <c r="WE13" s="85"/>
      <c r="WF13" s="86" t="str">
        <f>IF(COUNT(WF14,WF15)=0,"",SUM(WF14:WF15)/COUNT(WF14,WF15))</f>
        <v/>
      </c>
      <c r="WG13" s="88" t="str">
        <f t="shared" si="141"/>
        <v/>
      </c>
      <c r="WH13" s="89"/>
      <c r="WI13" s="90"/>
      <c r="WJ13" s="91"/>
      <c r="WK13" s="86" t="str">
        <f>IF(COUNT(WK14,WK15)=0,"",SUM(WK14:WK15)/COUNT(WK14,WK15))</f>
        <v/>
      </c>
      <c r="WL13" s="92" t="str">
        <f t="shared" si="142"/>
        <v/>
      </c>
      <c r="WM13" s="93" t="str">
        <f>IF(COUNT(WM14:WM15)=0,"",SUM(WM14:WM15)/COUNT(WM14:WM15))</f>
        <v/>
      </c>
      <c r="WN13" s="94" t="str">
        <f t="shared" si="143"/>
        <v/>
      </c>
    </row>
    <row r="14" spans="1:612" ht="18" customHeight="1" x14ac:dyDescent="0.55000000000000004">
      <c r="A14" s="217" t="s">
        <v>19</v>
      </c>
      <c r="B14" s="218"/>
      <c r="C14" s="103"/>
      <c r="D14" s="104"/>
      <c r="E14" s="105"/>
      <c r="F14" s="161" t="str">
        <f>IFERROR((((COUNTIF('Elève (3ème1)'!C14:E14,"A"))*4)+((COUNTIF('Elève (3ème1)'!C14:E14,"B"))*3)+((COUNTIF('Elève (3ème1)'!C14:E14,"C"))*2)+((COUNTIF('Elève (3ème1)'!C14:E14,"D"))*1))/(COUNTA(C14:E14)),"")</f>
        <v/>
      </c>
      <c r="G14" s="162" t="str">
        <f t="shared" si="24"/>
        <v/>
      </c>
      <c r="H14" s="103"/>
      <c r="I14" s="104"/>
      <c r="J14" s="105"/>
      <c r="K14" s="105"/>
      <c r="L14" s="161" t="str">
        <f>IFERROR((((COUNTIF('Elève (3ème1)'!H14:K14,"A"))*4)+((COUNTIF('Elève (3ème1)'!H14:K14,"B"))*3)+((COUNTIF('Elève (3ème1)'!H14:K14,"C"))*2)+((COUNTIF('Elève (3ème1)'!H14:K14,"D"))*1))/(COUNTA(H14:K14)),"")</f>
        <v/>
      </c>
      <c r="M14" s="162" t="str">
        <f t="shared" si="25"/>
        <v/>
      </c>
      <c r="N14" s="103"/>
      <c r="O14" s="104"/>
      <c r="P14" s="105"/>
      <c r="Q14" s="105"/>
      <c r="R14" s="105"/>
      <c r="S14" s="105"/>
      <c r="T14" s="161" t="str">
        <f>IFERROR((((COUNTIF('Elève (3ème1)'!N14:S14,"A"))*4)+((COUNTIF('Elève (3ème1)'!N14:S14,"B"))*3)+((COUNTIF('Elève (3ème1)'!N14:S14,"C"))*2)+((COUNTIF('Elève (3ème1)'!N14:S14,"D"))*1))/(COUNTA(N14:S14)),"")</f>
        <v/>
      </c>
      <c r="U14" s="162" t="str">
        <f t="shared" si="26"/>
        <v/>
      </c>
      <c r="V14" s="161" t="str">
        <f>IF(COUNT(F14,L14,T14)=0,"",SUM(F14,L14,T14)/COUNT(F14,L14,T14))</f>
        <v/>
      </c>
      <c r="W14" s="186" t="str">
        <f t="shared" si="27"/>
        <v/>
      </c>
      <c r="X14" s="103"/>
      <c r="Y14" s="104"/>
      <c r="Z14" s="105"/>
      <c r="AA14" s="161" t="str">
        <f>IFERROR((((COUNTIF('Elève (3ème1)'!X14:Z14,"A"))*4)+((COUNTIF('Elève (3ème1)'!X14:Z14,"B"))*3)+((COUNTIF('Elève (3ème1)'!X14:Z14,"C"))*2)+((COUNTIF('Elève (3ème1)'!X14:Z14,"D"))*1))/(COUNTA(X14:Z14)),"")</f>
        <v/>
      </c>
      <c r="AB14" s="162" t="str">
        <f t="shared" si="28"/>
        <v/>
      </c>
      <c r="AC14" s="103"/>
      <c r="AD14" s="104"/>
      <c r="AE14" s="105"/>
      <c r="AF14" s="105"/>
      <c r="AG14" s="161" t="str">
        <f>IFERROR((((COUNTIF('Elève (3ème1)'!AC14:AF14,"A"))*4)+((COUNTIF('Elève (3ème1)'!AC14:AF14,"B"))*3)+((COUNTIF('Elève (3ème1)'!AC14:AF14,"C"))*2)+((COUNTIF('Elève (3ème1)'!AC14:AF14,"D"))*1))/(COUNTA(AC14:AF14)),"")</f>
        <v/>
      </c>
      <c r="AH14" s="162" t="str">
        <f t="shared" si="29"/>
        <v/>
      </c>
      <c r="AI14" s="103"/>
      <c r="AJ14" s="104"/>
      <c r="AK14" s="105"/>
      <c r="AL14" s="105"/>
      <c r="AM14" s="105"/>
      <c r="AN14" s="109"/>
      <c r="AO14" s="161" t="str">
        <f>IFERROR((((COUNTIF('Elève (3ème1)'!AI14:AN14,"A"))*4)+((COUNTIF('Elève (3ème1)'!AI14:AN14,"B"))*3)+((COUNTIF('Elève (3ème1)'!AI14:AN14,"C"))*2)+((COUNTIF('Elève (3ème1)'!AI14:AN14,"D"))*1))/(COUNTA(AI14:AN14)),"")</f>
        <v/>
      </c>
      <c r="AP14" s="162" t="str">
        <f t="shared" si="30"/>
        <v/>
      </c>
      <c r="AQ14" s="161" t="str">
        <f>IF(COUNT(AA14,AG14,AO14)=0,"",SUM(AA14,AG14,AO14)/COUNT(AA14,AG14,AO14))</f>
        <v/>
      </c>
      <c r="AR14" s="186" t="str">
        <f t="shared" si="31"/>
        <v/>
      </c>
      <c r="AS14" s="103"/>
      <c r="AT14" s="104"/>
      <c r="AU14" s="105"/>
      <c r="AV14" s="161" t="str">
        <f>IFERROR((((COUNTIF('Elève (3ème1)'!AS14:AU14,"A"))*4)+((COUNTIF('Elève (3ème1)'!AS14:AU14,"B"))*3)+((COUNTIF('Elève (3ème1)'!AS14:AU14,"C"))*2)+((COUNTIF('Elève (3ème1)'!AS14:AU14,"D"))*1))/(COUNTA(AS14:AU14)),"")</f>
        <v/>
      </c>
      <c r="AW14" s="162" t="str">
        <f t="shared" si="32"/>
        <v/>
      </c>
      <c r="AX14" s="103"/>
      <c r="AY14" s="104"/>
      <c r="AZ14" s="105"/>
      <c r="BA14" s="105"/>
      <c r="BB14" s="161" t="str">
        <f>IFERROR((((COUNTIF('Elève (3ème1)'!AX14:BA14,"A"))*4)+((COUNTIF('Elève (3ème1)'!AX14:BA14,"B"))*3)+((COUNTIF('Elève (3ème1)'!AX14:BA14,"C"))*2)+((COUNTIF('Elève (3ème1)'!AX14:BA14,"D"))*1))/(COUNTA(AX14:BA14)),"")</f>
        <v/>
      </c>
      <c r="BC14" s="162" t="str">
        <f t="shared" si="33"/>
        <v/>
      </c>
      <c r="BD14" s="103"/>
      <c r="BE14" s="104"/>
      <c r="BF14" s="105"/>
      <c r="BG14" s="105"/>
      <c r="BH14" s="105"/>
      <c r="BI14" s="109"/>
      <c r="BJ14" s="161" t="str">
        <f>IFERROR((((COUNTIF('Elève (3ème1)'!BD14:BI14,"A"))*4)+((COUNTIF('Elève (3ème1)'!BD14:BI14,"B"))*3)+((COUNTIF('Elève (3ème1)'!BD14:BI14,"C"))*2)+((COUNTIF('Elève (3ème1)'!BD14:BI14,"D"))*1))/(COUNTA(BD14:BI14)),"")</f>
        <v/>
      </c>
      <c r="BK14" s="162" t="str">
        <f t="shared" si="34"/>
        <v/>
      </c>
      <c r="BL14" s="161" t="str">
        <f>IF(COUNT(AV14,BB14,BJ14)=0,"",SUM(AV14,BB14,BJ14)/COUNT(AV14,BB14,BJ14))</f>
        <v/>
      </c>
      <c r="BM14" s="186" t="str">
        <f t="shared" si="35"/>
        <v/>
      </c>
      <c r="BN14" s="103"/>
      <c r="BO14" s="104"/>
      <c r="BP14" s="105"/>
      <c r="BQ14" s="161" t="str">
        <f>IFERROR((((COUNTIF('Elève (3ème1)'!BN14:BP14,"A"))*4)+((COUNTIF('Elève (3ème1)'!BN14:BP14,"B"))*3)+((COUNTIF('Elève (3ème1)'!BN14:BP14,"C"))*2)+((COUNTIF('Elève (3ème1)'!BN14:BP14,"D"))*1))/(COUNTA(BN14:BP14)),"")</f>
        <v/>
      </c>
      <c r="BR14" s="162" t="str">
        <f t="shared" si="36"/>
        <v/>
      </c>
      <c r="BS14" s="103"/>
      <c r="BT14" s="104"/>
      <c r="BU14" s="105"/>
      <c r="BV14" s="105"/>
      <c r="BW14" s="161" t="str">
        <f>IFERROR((((COUNTIF('Elève (3ème1)'!BS14:BV14,"A"))*4)+((COUNTIF('Elève (3ème1)'!BS14:BV14,"B"))*3)+((COUNTIF('Elève (3ème1)'!BS14:BV14,"C"))*2)+((COUNTIF('Elève (3ème1)'!BS14:BV14,"D"))*1))/(COUNTA(BS14:BV14)),"")</f>
        <v/>
      </c>
      <c r="BX14" s="162" t="str">
        <f t="shared" si="37"/>
        <v/>
      </c>
      <c r="BY14" s="103"/>
      <c r="BZ14" s="104"/>
      <c r="CA14" s="105"/>
      <c r="CB14" s="105"/>
      <c r="CC14" s="105"/>
      <c r="CD14" s="109"/>
      <c r="CE14" s="161" t="str">
        <f>IFERROR((((COUNTIF('Elève (3ème1)'!BY14:CD14,"A"))*4)+((COUNTIF('Elève (3ème1)'!BY14:CD14,"B"))*3)+((COUNTIF('Elève (3ème1)'!BY14:CD14,"C"))*2)+((COUNTIF('Elève (3ème1)'!BY14:CD14,"D"))*1))/(COUNTA(BY14:CD14)),"")</f>
        <v/>
      </c>
      <c r="CF14" s="162" t="str">
        <f t="shared" si="38"/>
        <v/>
      </c>
      <c r="CG14" s="161" t="str">
        <f>IF(COUNT(BQ14,BW14,CE14)=0,"",SUM(BQ14,BW14,CE14)/COUNT(BQ14,BW14,CE14))</f>
        <v/>
      </c>
      <c r="CH14" s="186" t="str">
        <f t="shared" si="39"/>
        <v/>
      </c>
      <c r="CI14" s="103"/>
      <c r="CJ14" s="104"/>
      <c r="CK14" s="105"/>
      <c r="CL14" s="161" t="str">
        <f>IFERROR((((COUNTIF('Elève (3ème1)'!CI14:CK14,"A"))*4)+((COUNTIF('Elève (3ème1)'!CI14:CK14,"B"))*3)+((COUNTIF('Elève (3ème1)'!CI14:CK14,"C"))*2)+((COUNTIF('Elève (3ème1)'!CI14:CK14,"D"))*1))/(COUNTA(CI14:CK14)),"")</f>
        <v/>
      </c>
      <c r="CM14" s="162" t="str">
        <f t="shared" si="40"/>
        <v/>
      </c>
      <c r="CN14" s="103"/>
      <c r="CO14" s="104"/>
      <c r="CP14" s="105"/>
      <c r="CQ14" s="105"/>
      <c r="CR14" s="161" t="str">
        <f>IFERROR((((COUNTIF('Elève (3ème1)'!CN14:CQ14,"A"))*4)+((COUNTIF('Elève (3ème1)'!CN14:CQ14,"B"))*3)+((COUNTIF('Elève (3ème1)'!CN14:CQ14,"C"))*2)+((COUNTIF('Elève (3ème1)'!CN14:CQ14,"D"))*1))/(COUNTA(CN14:CQ14)),"")</f>
        <v/>
      </c>
      <c r="CS14" s="162" t="str">
        <f t="shared" si="41"/>
        <v/>
      </c>
      <c r="CT14" s="103"/>
      <c r="CU14" s="104"/>
      <c r="CV14" s="105"/>
      <c r="CW14" s="105"/>
      <c r="CX14" s="105"/>
      <c r="CY14" s="109"/>
      <c r="CZ14" s="161" t="str">
        <f>IFERROR((((COUNTIF('Elève (3ème1)'!CT14:CY14,"A"))*4)+((COUNTIF('Elève (3ème1)'!CT14:CY14,"B"))*3)+((COUNTIF('Elève (3ème1)'!CT14:CY14,"C"))*2)+((COUNTIF('Elève (3ème1)'!CT14:CY14,"D"))*1))/(COUNTA(CT14:CY14)),"")</f>
        <v/>
      </c>
      <c r="DA14" s="162" t="str">
        <f t="shared" si="42"/>
        <v/>
      </c>
      <c r="DB14" s="161" t="str">
        <f>IF(COUNT(CL14,CR14,CZ14)=0,"",SUM(CL14,CR14,CZ14)/COUNT(CL14,CR14,CZ14))</f>
        <v/>
      </c>
      <c r="DC14" s="186" t="str">
        <f t="shared" si="43"/>
        <v/>
      </c>
      <c r="DD14" s="103"/>
      <c r="DE14" s="104"/>
      <c r="DF14" s="105"/>
      <c r="DG14" s="161" t="str">
        <f>IFERROR((((COUNTIF('Elève (3ème1)'!DD14:DF14,"A"))*4)+((COUNTIF('Elève (3ème1)'!DD14:DF14,"B"))*3)+((COUNTIF('Elève (3ème1)'!DD14:DF14,"C"))*2)+((COUNTIF('Elève (3ème1)'!DD14:DF14,"D"))*1))/(COUNTA(DD14:DF14)),"")</f>
        <v/>
      </c>
      <c r="DH14" s="162" t="str">
        <f t="shared" si="44"/>
        <v/>
      </c>
      <c r="DI14" s="103"/>
      <c r="DJ14" s="104"/>
      <c r="DK14" s="105"/>
      <c r="DL14" s="105"/>
      <c r="DM14" s="161" t="str">
        <f>IFERROR((((COUNTIF('Elève (3ème1)'!DI14:DL14,"A"))*4)+((COUNTIF('Elève (3ème1)'!DI14:DL14,"B"))*3)+((COUNTIF('Elève (3ème1)'!DI14:DL14,"C"))*2)+((COUNTIF('Elève (3ème1)'!DI14:DL14,"D"))*1))/(COUNTA(DI14:DL14)),"")</f>
        <v/>
      </c>
      <c r="DN14" s="162" t="str">
        <f t="shared" si="45"/>
        <v/>
      </c>
      <c r="DO14" s="103"/>
      <c r="DP14" s="104"/>
      <c r="DQ14" s="105"/>
      <c r="DR14" s="105"/>
      <c r="DS14" s="105"/>
      <c r="DT14" s="109"/>
      <c r="DU14" s="161" t="str">
        <f>IFERROR((((COUNTIF('Elève (3ème1)'!DO14:DT14,"A"))*4)+((COUNTIF('Elève (3ème1)'!DO14:DT14,"B"))*3)+((COUNTIF('Elève (3ème1)'!DO14:DT14,"C"))*2)+((COUNTIF('Elève (3ème1)'!DO14:DT14,"D"))*1))/(COUNTA(DO14:DT14)),"")</f>
        <v/>
      </c>
      <c r="DV14" s="162" t="str">
        <f t="shared" si="46"/>
        <v/>
      </c>
      <c r="DW14" s="161" t="str">
        <f>IF(COUNT(DG14,DM14,DU14)=0,"",SUM(DG14,DM14,DU14)/COUNT(DG14,DM14,DU14))</f>
        <v/>
      </c>
      <c r="DX14" s="186" t="str">
        <f t="shared" si="47"/>
        <v/>
      </c>
      <c r="DY14" s="103"/>
      <c r="DZ14" s="104"/>
      <c r="EA14" s="105"/>
      <c r="EB14" s="161" t="str">
        <f>IFERROR((((COUNTIF('Elève (3ème1)'!DY14:EA14,"A"))*4)+((COUNTIF('Elève (3ème1)'!DY14:EA14,"B"))*3)+((COUNTIF('Elève (3ème1)'!DY14:EA14,"C"))*2)+((COUNTIF('Elève (3ème1)'!DY14:EA14,"D"))*1))/(COUNTA(DY14:EA14)),"")</f>
        <v/>
      </c>
      <c r="EC14" s="162" t="str">
        <f t="shared" si="48"/>
        <v/>
      </c>
      <c r="ED14" s="103"/>
      <c r="EE14" s="104"/>
      <c r="EF14" s="105"/>
      <c r="EG14" s="105"/>
      <c r="EH14" s="161" t="str">
        <f>IFERROR((((COUNTIF('Elève (3ème1)'!ED14:EG14,"A"))*4)+((COUNTIF('Elève (3ème1)'!ED14:EG14,"B"))*3)+((COUNTIF('Elève (3ème1)'!ED14:EG14,"C"))*2)+((COUNTIF('Elève (3ème1)'!ED14:EG14,"D"))*1))/(COUNTA(ED14:EG14)),"")</f>
        <v/>
      </c>
      <c r="EI14" s="162" t="str">
        <f t="shared" si="49"/>
        <v/>
      </c>
      <c r="EJ14" s="103"/>
      <c r="EK14" s="104"/>
      <c r="EL14" s="105"/>
      <c r="EM14" s="105"/>
      <c r="EN14" s="105"/>
      <c r="EO14" s="109"/>
      <c r="EP14" s="161" t="str">
        <f>IFERROR((((COUNTIF('Elève (3ème1)'!EJ14:EO14,"A"))*4)+((COUNTIF('Elève (3ème1)'!EJ14:EO14,"B"))*3)+((COUNTIF('Elève (3ème1)'!EJ14:EO14,"C"))*2)+((COUNTIF('Elève (3ème1)'!EJ14:EO14,"D"))*1))/(COUNTA(EJ14:EO14)),"")</f>
        <v/>
      </c>
      <c r="EQ14" s="162" t="str">
        <f t="shared" si="50"/>
        <v/>
      </c>
      <c r="ER14" s="161" t="str">
        <f>IF(COUNT(EB14,EH14,EP14)=0,"",SUM(EB14,EH14,EP14)/COUNT(EB14,EH14,EP14))</f>
        <v/>
      </c>
      <c r="ES14" s="186" t="str">
        <f t="shared" si="51"/>
        <v/>
      </c>
      <c r="ET14" s="103"/>
      <c r="EU14" s="104"/>
      <c r="EV14" s="105"/>
      <c r="EW14" s="161" t="str">
        <f>IFERROR((((COUNTIF('Elève (3ème1)'!ET14:EV14,"A"))*4)+((COUNTIF('Elève (3ème1)'!ET14:EV14,"B"))*3)+((COUNTIF('Elève (3ème1)'!ET14:EV14,"C"))*2)+((COUNTIF('Elève (3ème1)'!ET14:EV14,"D"))*1))/(COUNTA(ET14:EV14)),"")</f>
        <v/>
      </c>
      <c r="EX14" s="162" t="str">
        <f t="shared" si="52"/>
        <v/>
      </c>
      <c r="EY14" s="103"/>
      <c r="EZ14" s="104"/>
      <c r="FA14" s="105"/>
      <c r="FB14" s="105"/>
      <c r="FC14" s="161" t="str">
        <f>IFERROR((((COUNTIF('Elève (3ème1)'!EY14:FB14,"A"))*4)+((COUNTIF('Elève (3ème1)'!EY14:FB14,"B"))*3)+((COUNTIF('Elève (3ème1)'!EY14:FB14,"C"))*2)+((COUNTIF('Elève (3ème1)'!EY14:FB14,"D"))*1))/(COUNTA(EY14:FB14)),"")</f>
        <v/>
      </c>
      <c r="FD14" s="162" t="str">
        <f t="shared" si="53"/>
        <v/>
      </c>
      <c r="FE14" s="103"/>
      <c r="FF14" s="104"/>
      <c r="FG14" s="105"/>
      <c r="FH14" s="105"/>
      <c r="FI14" s="105"/>
      <c r="FJ14" s="109"/>
      <c r="FK14" s="161" t="str">
        <f>IFERROR((((COUNTIF('Elève (3ème1)'!FE14:FJ14,"A"))*4)+((COUNTIF('Elève (3ème1)'!FE14:FJ14,"B"))*3)+((COUNTIF('Elève (3ème1)'!FE14:FJ14,"C"))*2)+((COUNTIF('Elève (3ème1)'!FE14:FJ14,"D"))*1))/(COUNTA(FE14:FJ14)),"")</f>
        <v/>
      </c>
      <c r="FL14" s="162" t="str">
        <f t="shared" si="54"/>
        <v/>
      </c>
      <c r="FM14" s="161" t="str">
        <f>IF(COUNT(EW14,FC14,FK14)=0,"",SUM(EW14,FC14,FK14)/COUNT(EW14,FC14,FK14))</f>
        <v/>
      </c>
      <c r="FN14" s="186" t="str">
        <f t="shared" si="55"/>
        <v/>
      </c>
      <c r="FO14" s="103"/>
      <c r="FP14" s="104"/>
      <c r="FQ14" s="105"/>
      <c r="FR14" s="161" t="str">
        <f>IFERROR((((COUNTIF('Elève (3ème1)'!FO14:FQ14,"A"))*4)+((COUNTIF('Elève (3ème1)'!FO14:FQ14,"B"))*3)+((COUNTIF('Elève (3ème1)'!FO14:FQ14,"C"))*2)+((COUNTIF('Elève (3ème1)'!FO14:FQ14,"D"))*1))/(COUNTA(FO14:FQ14)),"")</f>
        <v/>
      </c>
      <c r="FS14" s="162" t="str">
        <f t="shared" si="56"/>
        <v/>
      </c>
      <c r="FT14" s="103"/>
      <c r="FU14" s="104"/>
      <c r="FV14" s="105"/>
      <c r="FW14" s="105"/>
      <c r="FX14" s="161" t="str">
        <f>IFERROR((((COUNTIF('Elève (3ème1)'!FT14:FW14,"A"))*4)+((COUNTIF('Elève (3ème1)'!FT14:FW14,"B"))*3)+((COUNTIF('Elève (3ème1)'!FT14:FW14,"C"))*2)+((COUNTIF('Elève (3ème1)'!FT14:FW14,"D"))*1))/(COUNTA(FT14:FW14)),"")</f>
        <v/>
      </c>
      <c r="FY14" s="162" t="str">
        <f t="shared" si="57"/>
        <v/>
      </c>
      <c r="FZ14" s="103"/>
      <c r="GA14" s="104"/>
      <c r="GB14" s="105"/>
      <c r="GC14" s="105"/>
      <c r="GD14" s="105"/>
      <c r="GE14" s="109"/>
      <c r="GF14" s="161" t="str">
        <f>IFERROR((((COUNTIF('Elève (3ème1)'!FZ14:GE14,"A"))*4)+((COUNTIF('Elève (3ème1)'!FZ14:GE14,"B"))*3)+((COUNTIF('Elève (3ème1)'!FZ14:GE14,"C"))*2)+((COUNTIF('Elève (3ème1)'!FZ14:GE14,"D"))*1))/(COUNTA(FZ14:GE14)),"")</f>
        <v/>
      </c>
      <c r="GG14" s="162" t="str">
        <f t="shared" si="58"/>
        <v/>
      </c>
      <c r="GH14" s="161" t="str">
        <f>IF(COUNT(FR14,FX14,GF14)=0,"",SUM(FR14,FX14,GF14)/COUNT(FR14,FX14,GF14))</f>
        <v/>
      </c>
      <c r="GI14" s="186" t="str">
        <f t="shared" si="59"/>
        <v/>
      </c>
      <c r="GJ14" s="103"/>
      <c r="GK14" s="104"/>
      <c r="GL14" s="105"/>
      <c r="GM14" s="161" t="str">
        <f>IFERROR((((COUNTIF('Elève (3ème1)'!GJ14:GL14,"A"))*4)+((COUNTIF('Elève (3ème1)'!GJ14:GL14,"B"))*3)+((COUNTIF('Elève (3ème1)'!GJ14:GL14,"C"))*2)+((COUNTIF('Elève (3ème1)'!GJ14:GL14,"D"))*1))/(COUNTA(GJ14:GL14)),"")</f>
        <v/>
      </c>
      <c r="GN14" s="162" t="str">
        <f t="shared" si="60"/>
        <v/>
      </c>
      <c r="GO14" s="103"/>
      <c r="GP14" s="104"/>
      <c r="GQ14" s="105"/>
      <c r="GR14" s="105"/>
      <c r="GS14" s="161" t="str">
        <f>IFERROR((((COUNTIF('Elève (3ème1)'!GO14:GR14,"A"))*4)+((COUNTIF('Elève (3ème1)'!GO14:GR14,"B"))*3)+((COUNTIF('Elève (3ème1)'!GO14:GR14,"C"))*2)+((COUNTIF('Elève (3ème1)'!GO14:GR14,"D"))*1))/(COUNTA(GO14:GR14)),"")</f>
        <v/>
      </c>
      <c r="GT14" s="162" t="str">
        <f t="shared" si="61"/>
        <v/>
      </c>
      <c r="GU14" s="103"/>
      <c r="GV14" s="104"/>
      <c r="GW14" s="105"/>
      <c r="GX14" s="105"/>
      <c r="GY14" s="105"/>
      <c r="GZ14" s="109"/>
      <c r="HA14" s="161" t="str">
        <f>IFERROR((((COUNTIF('Elève (3ème1)'!GU14:GZ14,"A"))*4)+((COUNTIF('Elève (3ème1)'!GU14:GZ14,"B"))*3)+((COUNTIF('Elève (3ème1)'!GU14:GZ14,"C"))*2)+((COUNTIF('Elève (3ème1)'!GU14:GZ14,"D"))*1))/(COUNTA(GU14:GZ14)),"")</f>
        <v/>
      </c>
      <c r="HB14" s="162" t="str">
        <f t="shared" si="62"/>
        <v/>
      </c>
      <c r="HC14" s="161" t="str">
        <f>IF(COUNT(GM14,GS14,HA14)=0,"",SUM(GM14,GS14,HA14)/COUNT(GM14,GS14,HA14))</f>
        <v/>
      </c>
      <c r="HD14" s="186" t="str">
        <f t="shared" si="63"/>
        <v/>
      </c>
      <c r="HE14" s="103"/>
      <c r="HF14" s="104"/>
      <c r="HG14" s="105"/>
      <c r="HH14" s="161" t="str">
        <f>IFERROR((((COUNTIF('Elève (3ème1)'!HE14:HG14,"A"))*4)+((COUNTIF('Elève (3ème1)'!HE14:HG14,"B"))*3)+((COUNTIF('Elève (3ème1)'!HE14:HG14,"C"))*2)+((COUNTIF('Elève (3ème1)'!HE14:HG14,"D"))*1))/(COUNTA(HE14:HG14)),"")</f>
        <v/>
      </c>
      <c r="HI14" s="162" t="str">
        <f t="shared" si="64"/>
        <v/>
      </c>
      <c r="HJ14" s="103"/>
      <c r="HK14" s="104"/>
      <c r="HL14" s="105"/>
      <c r="HM14" s="105"/>
      <c r="HN14" s="161" t="str">
        <f>IFERROR((((COUNTIF('Elève (3ème1)'!HJ14:HM14,"A"))*4)+((COUNTIF('Elève (3ème1)'!HJ14:HM14,"B"))*3)+((COUNTIF('Elève (3ème1)'!HJ14:HM14,"C"))*2)+((COUNTIF('Elève (3ème1)'!HJ14:HM14,"D"))*1))/(COUNTA(HJ14:HM14)),"")</f>
        <v/>
      </c>
      <c r="HO14" s="162" t="str">
        <f t="shared" si="65"/>
        <v/>
      </c>
      <c r="HP14" s="103"/>
      <c r="HQ14" s="104"/>
      <c r="HR14" s="105"/>
      <c r="HS14" s="105"/>
      <c r="HT14" s="105"/>
      <c r="HU14" s="109"/>
      <c r="HV14" s="161" t="str">
        <f>IFERROR((((COUNTIF('Elève (3ème1)'!HP14:HU14,"A"))*4)+((COUNTIF('Elève (3ème1)'!HP14:HU14,"B"))*3)+((COUNTIF('Elève (3ème1)'!HP14:HU14,"C"))*2)+((COUNTIF('Elève (3ème1)'!HP14:HU14,"D"))*1))/(COUNTA(HP14:HU14)),"")</f>
        <v/>
      </c>
      <c r="HW14" s="162" t="str">
        <f t="shared" si="66"/>
        <v/>
      </c>
      <c r="HX14" s="161" t="str">
        <f>IF(COUNT(HH14,HN14,HV14)=0,"",SUM(HH14,HN14,HV14)/COUNT(HH14,HN14,HV14))</f>
        <v/>
      </c>
      <c r="HY14" s="186" t="str">
        <f t="shared" si="67"/>
        <v/>
      </c>
      <c r="HZ14" s="103"/>
      <c r="IA14" s="104"/>
      <c r="IB14" s="105"/>
      <c r="IC14" s="161" t="str">
        <f>IFERROR((((COUNTIF('Elève (3ème1)'!HZ14:IB14,"A"))*4)+((COUNTIF('Elève (3ème1)'!HZ14:IB14,"B"))*3)+((COUNTIF('Elève (3ème1)'!HZ14:IB14,"C"))*2)+((COUNTIF('Elève (3ème1)'!HZ14:IB14,"D"))*1))/(COUNTA(HZ14:IB14)),"")</f>
        <v/>
      </c>
      <c r="ID14" s="162" t="str">
        <f t="shared" si="68"/>
        <v/>
      </c>
      <c r="IE14" s="103"/>
      <c r="IF14" s="104"/>
      <c r="IG14" s="105"/>
      <c r="IH14" s="105"/>
      <c r="II14" s="161" t="str">
        <f>IFERROR((((COUNTIF('Elève (3ème1)'!IE14:IH14,"A"))*4)+((COUNTIF('Elève (3ème1)'!IE14:IH14,"B"))*3)+((COUNTIF('Elève (3ème1)'!IE14:IH14,"C"))*2)+((COUNTIF('Elève (3ème1)'!IE14:IH14,"D"))*1))/(COUNTA(IE14:IH14)),"")</f>
        <v/>
      </c>
      <c r="IJ14" s="162" t="str">
        <f t="shared" si="69"/>
        <v/>
      </c>
      <c r="IK14" s="103"/>
      <c r="IL14" s="104"/>
      <c r="IM14" s="105"/>
      <c r="IN14" s="105"/>
      <c r="IO14" s="105"/>
      <c r="IP14" s="109"/>
      <c r="IQ14" s="161" t="str">
        <f>IFERROR((((COUNTIF('Elève (3ème1)'!IK14:IP14,"A"))*4)+((COUNTIF('Elève (3ème1)'!IK14:IP14,"B"))*3)+((COUNTIF('Elève (3ème1)'!IK14:IP14,"C"))*2)+((COUNTIF('Elève (3ème1)'!IK14:IP14,"D"))*1))/(COUNTA(IK14:IP14)),"")</f>
        <v/>
      </c>
      <c r="IR14" s="162" t="str">
        <f t="shared" si="70"/>
        <v/>
      </c>
      <c r="IS14" s="161" t="str">
        <f>IF(COUNT(IC14,II14,IQ14)=0,"",SUM(IC14,II14,IQ14)/COUNT(IC14,II14,IQ14))</f>
        <v/>
      </c>
      <c r="IT14" s="186" t="str">
        <f t="shared" si="71"/>
        <v/>
      </c>
      <c r="IU14" s="103"/>
      <c r="IV14" s="104"/>
      <c r="IW14" s="105"/>
      <c r="IX14" s="161" t="str">
        <f>IFERROR((((COUNTIF('Elève (3ème1)'!IU14:IW14,"A"))*4)+((COUNTIF('Elève (3ème1)'!IU14:IW14,"B"))*3)+((COUNTIF('Elève (3ème1)'!IU14:IW14,"C"))*2)+((COUNTIF('Elève (3ème1)'!IU14:IW14,"D"))*1))/(COUNTA(IU14:IW14)),"")</f>
        <v/>
      </c>
      <c r="IY14" s="162" t="str">
        <f t="shared" si="72"/>
        <v/>
      </c>
      <c r="IZ14" s="103"/>
      <c r="JA14" s="104"/>
      <c r="JB14" s="105"/>
      <c r="JC14" s="105"/>
      <c r="JD14" s="161" t="str">
        <f>IFERROR((((COUNTIF('Elève (3ème1)'!IZ14:JC14,"A"))*4)+((COUNTIF('Elève (3ème1)'!IZ14:JC14,"B"))*3)+((COUNTIF('Elève (3ème1)'!IZ14:JC14,"C"))*2)+((COUNTIF('Elève (3ème1)'!IZ14:JC14,"D"))*1))/(COUNTA(IZ14:JC14)),"")</f>
        <v/>
      </c>
      <c r="JE14" s="162" t="str">
        <f t="shared" si="73"/>
        <v/>
      </c>
      <c r="JF14" s="103"/>
      <c r="JG14" s="104"/>
      <c r="JH14" s="105"/>
      <c r="JI14" s="105"/>
      <c r="JJ14" s="105"/>
      <c r="JK14" s="109"/>
      <c r="JL14" s="161" t="str">
        <f>IFERROR((((COUNTIF('Elève (3ème1)'!JF14:JK14,"A"))*4)+((COUNTIF('Elève (3ème1)'!JF14:JK14,"B"))*3)+((COUNTIF('Elève (3ème1)'!JF14:JK14,"C"))*2)+((COUNTIF('Elève (3ème1)'!JF14:JK14,"D"))*1))/(COUNTA(JF14:JK14)),"")</f>
        <v/>
      </c>
      <c r="JM14" s="162" t="str">
        <f t="shared" si="74"/>
        <v/>
      </c>
      <c r="JN14" s="161" t="str">
        <f>IF(COUNT(IX14,JD14,JL14)=0,"",SUM(IX14,JD14,JL14)/COUNT(IX14,JD14,JL14))</f>
        <v/>
      </c>
      <c r="JO14" s="186" t="str">
        <f t="shared" si="75"/>
        <v/>
      </c>
      <c r="JP14" s="103"/>
      <c r="JQ14" s="104"/>
      <c r="JR14" s="105"/>
      <c r="JS14" s="161" t="str">
        <f>IFERROR((((COUNTIF('Elève (3ème1)'!JP14:JR14,"A"))*4)+((COUNTIF('Elève (3ème1)'!JP14:JR14,"B"))*3)+((COUNTIF('Elève (3ème1)'!JP14:JR14,"C"))*2)+((COUNTIF('Elève (3ème1)'!JP14:JR14,"D"))*1))/(COUNTA(JP14:JR14)),"")</f>
        <v/>
      </c>
      <c r="JT14" s="162" t="str">
        <f t="shared" si="76"/>
        <v/>
      </c>
      <c r="JU14" s="103"/>
      <c r="JV14" s="104"/>
      <c r="JW14" s="105"/>
      <c r="JX14" s="105"/>
      <c r="JY14" s="161" t="str">
        <f>IFERROR((((COUNTIF('Elève (3ème1)'!JU14:JX14,"A"))*4)+((COUNTIF('Elève (3ème1)'!JU14:JX14,"B"))*3)+((COUNTIF('Elève (3ème1)'!JU14:JX14,"C"))*2)+((COUNTIF('Elève (3ème1)'!JU14:JX14,"D"))*1))/(COUNTA(JU14:JX14)),"")</f>
        <v/>
      </c>
      <c r="JZ14" s="162" t="str">
        <f t="shared" si="77"/>
        <v/>
      </c>
      <c r="KA14" s="103"/>
      <c r="KB14" s="104"/>
      <c r="KC14" s="105"/>
      <c r="KD14" s="105"/>
      <c r="KE14" s="105"/>
      <c r="KF14" s="109"/>
      <c r="KG14" s="161" t="str">
        <f>IFERROR((((COUNTIF('Elève (3ème1)'!KA14:KF14,"A"))*4)+((COUNTIF('Elève (3ème1)'!KA14:KF14,"B"))*3)+((COUNTIF('Elève (3ème1)'!KA14:KF14,"C"))*2)+((COUNTIF('Elève (3ème1)'!KA14:KF14,"D"))*1))/(COUNTA(KA14:KF14)),"")</f>
        <v/>
      </c>
      <c r="KH14" s="162" t="str">
        <f t="shared" si="78"/>
        <v/>
      </c>
      <c r="KI14" s="161" t="str">
        <f>IF(COUNT(JS14,JY14,KG14)=0,"",SUM(JS14,JY14,KG14)/COUNT(JS14,JY14,KG14))</f>
        <v/>
      </c>
      <c r="KJ14" s="186" t="str">
        <f t="shared" si="79"/>
        <v/>
      </c>
      <c r="KK14" s="103"/>
      <c r="KL14" s="104"/>
      <c r="KM14" s="105"/>
      <c r="KN14" s="161" t="str">
        <f>IFERROR((((COUNTIF('Elève (3ème1)'!KK14:KM14,"A"))*4)+((COUNTIF('Elève (3ème1)'!KK14:KM14,"B"))*3)+((COUNTIF('Elève (3ème1)'!KK14:KM14,"C"))*2)+((COUNTIF('Elève (3ème1)'!KK14:KM14,"D"))*1))/(COUNTA(KK14:KM14)),"")</f>
        <v/>
      </c>
      <c r="KO14" s="162" t="str">
        <f t="shared" si="80"/>
        <v/>
      </c>
      <c r="KP14" s="103"/>
      <c r="KQ14" s="104"/>
      <c r="KR14" s="105"/>
      <c r="KS14" s="105"/>
      <c r="KT14" s="161" t="str">
        <f>IFERROR((((COUNTIF('Elève (3ème1)'!KP14:KS14,"A"))*4)+((COUNTIF('Elève (3ème1)'!KP14:KS14,"B"))*3)+((COUNTIF('Elève (3ème1)'!KP14:KS14,"C"))*2)+((COUNTIF('Elève (3ème1)'!KP14:KS14,"D"))*1))/(COUNTA(KP14:KS14)),"")</f>
        <v/>
      </c>
      <c r="KU14" s="162" t="str">
        <f t="shared" si="81"/>
        <v/>
      </c>
      <c r="KV14" s="103"/>
      <c r="KW14" s="104"/>
      <c r="KX14" s="105"/>
      <c r="KY14" s="105"/>
      <c r="KZ14" s="105"/>
      <c r="LA14" s="109"/>
      <c r="LB14" s="161" t="str">
        <f>IFERROR((((COUNTIF('Elève (3ème1)'!KV14:LA14,"A"))*4)+((COUNTIF('Elève (3ème1)'!KV14:LA14,"B"))*3)+((COUNTIF('Elève (3ème1)'!KV14:LA14,"C"))*2)+((COUNTIF('Elève (3ème1)'!KV14:LA14,"D"))*1))/(COUNTA(KV14:LA14)),"")</f>
        <v/>
      </c>
      <c r="LC14" s="162" t="str">
        <f t="shared" si="82"/>
        <v/>
      </c>
      <c r="LD14" s="161" t="str">
        <f>IF(COUNT(KN14,KT14,LB14)=0,"",SUM(KN14,KT14,LB14)/COUNT(KN14,KT14,LB14))</f>
        <v/>
      </c>
      <c r="LE14" s="186" t="str">
        <f t="shared" si="83"/>
        <v/>
      </c>
      <c r="LF14" s="103"/>
      <c r="LG14" s="104"/>
      <c r="LH14" s="105"/>
      <c r="LI14" s="161" t="str">
        <f>IFERROR((((COUNTIF('Elève (3ème1)'!LF14:LH14,"A"))*4)+((COUNTIF('Elève (3ème1)'!LF14:LH14,"B"))*3)+((COUNTIF('Elève (3ème1)'!LF14:LH14,"C"))*2)+((COUNTIF('Elève (3ème1)'!LF14:LH14,"D"))*1))/(COUNTA(LF14:LH14)),"")</f>
        <v/>
      </c>
      <c r="LJ14" s="162" t="str">
        <f t="shared" si="84"/>
        <v/>
      </c>
      <c r="LK14" s="103"/>
      <c r="LL14" s="104"/>
      <c r="LM14" s="105"/>
      <c r="LN14" s="105"/>
      <c r="LO14" s="161" t="str">
        <f>IFERROR((((COUNTIF('Elève (3ème1)'!LK14:LN14,"A"))*4)+((COUNTIF('Elève (3ème1)'!LK14:LN14,"B"))*3)+((COUNTIF('Elève (3ème1)'!LK14:LN14,"C"))*2)+((COUNTIF('Elève (3ème1)'!LK14:LN14,"D"))*1))/(COUNTA(LK14:LN14)),"")</f>
        <v/>
      </c>
      <c r="LP14" s="162" t="str">
        <f t="shared" si="85"/>
        <v/>
      </c>
      <c r="LQ14" s="103"/>
      <c r="LR14" s="104"/>
      <c r="LS14" s="105"/>
      <c r="LT14" s="105"/>
      <c r="LU14" s="105"/>
      <c r="LV14" s="109"/>
      <c r="LW14" s="161" t="str">
        <f>IFERROR((((COUNTIF('Elève (3ème1)'!LQ14:LV14,"A"))*4)+((COUNTIF('Elève (3ème1)'!LQ14:LV14,"B"))*3)+((COUNTIF('Elève (3ème1)'!LQ14:LV14,"C"))*2)+((COUNTIF('Elève (3ème1)'!LQ14:LV14,"D"))*1))/(COUNTA(LQ14:LV14)),"")</f>
        <v/>
      </c>
      <c r="LX14" s="162" t="str">
        <f t="shared" si="86"/>
        <v/>
      </c>
      <c r="LY14" s="161" t="str">
        <f>IF(COUNT(LI14,LO14,LW14)=0,"",SUM(LI14,LO14,LW14)/COUNT(LI14,LO14,LW14))</f>
        <v/>
      </c>
      <c r="LZ14" s="186" t="str">
        <f t="shared" si="87"/>
        <v/>
      </c>
      <c r="MA14" s="103"/>
      <c r="MB14" s="104"/>
      <c r="MC14" s="105"/>
      <c r="MD14" s="161" t="str">
        <f>IFERROR((((COUNTIF('Elève (3ème1)'!MA14:MC14,"A"))*4)+((COUNTIF('Elève (3ème1)'!MA14:MC14,"B"))*3)+((COUNTIF('Elève (3ème1)'!MA14:MC14,"C"))*2)+((COUNTIF('Elève (3ème1)'!MA14:MC14,"D"))*1))/(COUNTA(MA14:MC14)),"")</f>
        <v/>
      </c>
      <c r="ME14" s="162" t="str">
        <f t="shared" si="88"/>
        <v/>
      </c>
      <c r="MF14" s="103"/>
      <c r="MG14" s="104"/>
      <c r="MH14" s="105"/>
      <c r="MI14" s="105"/>
      <c r="MJ14" s="161" t="str">
        <f>IFERROR((((COUNTIF('Elève (3ème1)'!MF14:MI14,"A"))*4)+((COUNTIF('Elève (3ème1)'!MF14:MI14,"B"))*3)+((COUNTIF('Elève (3ème1)'!MF14:MI14,"C"))*2)+((COUNTIF('Elève (3ème1)'!MF14:MI14,"D"))*1))/(COUNTA(MF14:MI14)),"")</f>
        <v/>
      </c>
      <c r="MK14" s="162" t="str">
        <f t="shared" si="89"/>
        <v/>
      </c>
      <c r="ML14" s="103"/>
      <c r="MM14" s="104"/>
      <c r="MN14" s="105"/>
      <c r="MO14" s="105"/>
      <c r="MP14" s="105"/>
      <c r="MQ14" s="109"/>
      <c r="MR14" s="161" t="str">
        <f>IFERROR((((COUNTIF('Elève (3ème1)'!ML14:MQ14,"A"))*4)+((COUNTIF('Elève (3ème1)'!ML14:MQ14,"B"))*3)+((COUNTIF('Elève (3ème1)'!ML14:MQ14,"C"))*2)+((COUNTIF('Elève (3ème1)'!ML14:MQ14,"D"))*1))/(COUNTA(ML14:MQ14)),"")</f>
        <v/>
      </c>
      <c r="MS14" s="162" t="str">
        <f t="shared" si="90"/>
        <v/>
      </c>
      <c r="MT14" s="161" t="str">
        <f>IF(COUNT(MD14,MJ14,MR14)=0,"",SUM(MD14,MJ14,MR14)/COUNT(MD14,MJ14,MR14))</f>
        <v/>
      </c>
      <c r="MU14" s="186" t="str">
        <f t="shared" si="91"/>
        <v/>
      </c>
      <c r="MV14" s="103"/>
      <c r="MW14" s="104"/>
      <c r="MX14" s="105"/>
      <c r="MY14" s="161" t="str">
        <f>IFERROR((((COUNTIF('Elève (3ème1)'!MV14:MX14,"A"))*4)+((COUNTIF('Elève (3ème1)'!MV14:MX14,"B"))*3)+((COUNTIF('Elève (3ème1)'!MV14:MX14,"C"))*2)+((COUNTIF('Elève (3ème1)'!MV14:MX14,"D"))*1))/(COUNTA(MV14:MX14)),"")</f>
        <v/>
      </c>
      <c r="MZ14" s="162" t="str">
        <f t="shared" si="92"/>
        <v/>
      </c>
      <c r="NA14" s="103"/>
      <c r="NB14" s="104"/>
      <c r="NC14" s="105"/>
      <c r="ND14" s="105"/>
      <c r="NE14" s="161" t="str">
        <f>IFERROR((((COUNTIF('Elève (3ème1)'!NA14:ND14,"A"))*4)+((COUNTIF('Elève (3ème1)'!NA14:ND14,"B"))*3)+((COUNTIF('Elève (3ème1)'!NA14:ND14,"C"))*2)+((COUNTIF('Elève (3ème1)'!NA14:ND14,"D"))*1))/(COUNTA(NA14:ND14)),"")</f>
        <v/>
      </c>
      <c r="NF14" s="162" t="str">
        <f t="shared" si="93"/>
        <v/>
      </c>
      <c r="NG14" s="103"/>
      <c r="NH14" s="104"/>
      <c r="NI14" s="105"/>
      <c r="NJ14" s="105"/>
      <c r="NK14" s="105"/>
      <c r="NL14" s="109"/>
      <c r="NM14" s="161" t="str">
        <f>IFERROR((((COUNTIF('Elève (3ème1)'!NG14:NL14,"A"))*4)+((COUNTIF('Elève (3ème1)'!NG14:NL14,"B"))*3)+((COUNTIF('Elève (3ème1)'!NG14:NL14,"C"))*2)+((COUNTIF('Elève (3ème1)'!NG14:NL14,"D"))*1))/(COUNTA(NG14:NL14)),"")</f>
        <v/>
      </c>
      <c r="NN14" s="162" t="str">
        <f t="shared" si="94"/>
        <v/>
      </c>
      <c r="NO14" s="161" t="str">
        <f>IF(COUNT(MY14,NE14,NM14)=0,"",SUM(MY14,NE14,NM14)/COUNT(MY14,NE14,NM14))</f>
        <v/>
      </c>
      <c r="NP14" s="186" t="str">
        <f t="shared" si="95"/>
        <v/>
      </c>
      <c r="NQ14" s="103"/>
      <c r="NR14" s="104"/>
      <c r="NS14" s="105"/>
      <c r="NT14" s="161" t="str">
        <f>IFERROR((((COUNTIF('Elève (3ème1)'!NQ14:NS14,"A"))*4)+((COUNTIF('Elève (3ème1)'!NQ14:NS14,"B"))*3)+((COUNTIF('Elève (3ème1)'!NQ14:NS14,"C"))*2)+((COUNTIF('Elève (3ème1)'!NQ14:NS14,"D"))*1))/(COUNTA(NQ14:NS14)),"")</f>
        <v/>
      </c>
      <c r="NU14" s="162" t="str">
        <f t="shared" si="96"/>
        <v/>
      </c>
      <c r="NV14" s="103"/>
      <c r="NW14" s="104"/>
      <c r="NX14" s="105"/>
      <c r="NY14" s="105"/>
      <c r="NZ14" s="161" t="str">
        <f>IFERROR((((COUNTIF('Elève (3ème1)'!NV14:NY14,"A"))*4)+((COUNTIF('Elève (3ème1)'!NV14:NY14,"B"))*3)+((COUNTIF('Elève (3ème1)'!NV14:NY14,"C"))*2)+((COUNTIF('Elève (3ème1)'!NV14:NY14,"D"))*1))/(COUNTA(NV14:NY14)),"")</f>
        <v/>
      </c>
      <c r="OA14" s="162" t="str">
        <f t="shared" si="97"/>
        <v/>
      </c>
      <c r="OB14" s="103"/>
      <c r="OC14" s="104"/>
      <c r="OD14" s="105"/>
      <c r="OE14" s="105"/>
      <c r="OF14" s="105"/>
      <c r="OG14" s="109"/>
      <c r="OH14" s="161" t="str">
        <f>IFERROR((((COUNTIF('Elève (3ème1)'!OB14:OG14,"A"))*4)+((COUNTIF('Elève (3ème1)'!OB14:OG14,"B"))*3)+((COUNTIF('Elève (3ème1)'!OB14:OG14,"C"))*2)+((COUNTIF('Elève (3ème1)'!OB14:OG14,"D"))*1))/(COUNTA(OB14:OG14)),"")</f>
        <v/>
      </c>
      <c r="OI14" s="162" t="str">
        <f t="shared" si="98"/>
        <v/>
      </c>
      <c r="OJ14" s="161" t="str">
        <f>IF(COUNT(NT14,NZ14,OH14)=0,"",SUM(NT14,NZ14,OH14)/COUNT(NT14,NZ14,OH14))</f>
        <v/>
      </c>
      <c r="OK14" s="186" t="str">
        <f t="shared" si="99"/>
        <v/>
      </c>
      <c r="OL14" s="103"/>
      <c r="OM14" s="104"/>
      <c r="ON14" s="105"/>
      <c r="OO14" s="161" t="str">
        <f>IFERROR((((COUNTIF('Elève (3ème1)'!OL14:ON14,"A"))*4)+((COUNTIF('Elève (3ème1)'!OL14:ON14,"B"))*3)+((COUNTIF('Elève (3ème1)'!OL14:ON14,"C"))*2)+((COUNTIF('Elève (3ème1)'!OL14:ON14,"D"))*1))/(COUNTA(OL14:ON14)),"")</f>
        <v/>
      </c>
      <c r="OP14" s="162" t="str">
        <f t="shared" si="100"/>
        <v/>
      </c>
      <c r="OQ14" s="103"/>
      <c r="OR14" s="104"/>
      <c r="OS14" s="105"/>
      <c r="OT14" s="105"/>
      <c r="OU14" s="161" t="str">
        <f>IFERROR((((COUNTIF('Elève (3ème1)'!OQ14:OT14,"A"))*4)+((COUNTIF('Elève (3ème1)'!OQ14:OT14,"B"))*3)+((COUNTIF('Elève (3ème1)'!OQ14:OT14,"C"))*2)+((COUNTIF('Elève (3ème1)'!OQ14:OT14,"D"))*1))/(COUNTA(OQ14:OT14)),"")</f>
        <v/>
      </c>
      <c r="OV14" s="162" t="str">
        <f t="shared" si="101"/>
        <v/>
      </c>
      <c r="OW14" s="103"/>
      <c r="OX14" s="104"/>
      <c r="OY14" s="105"/>
      <c r="OZ14" s="105"/>
      <c r="PA14" s="105"/>
      <c r="PB14" s="109"/>
      <c r="PC14" s="161" t="str">
        <f>IFERROR((((COUNTIF('Elève (3ème1)'!OW14:PB14,"A"))*4)+((COUNTIF('Elève (3ème1)'!OW14:PB14,"B"))*3)+((COUNTIF('Elève (3ème1)'!OW14:PB14,"C"))*2)+((COUNTIF('Elève (3ème1)'!OW14:PB14,"D"))*1))/(COUNTA(OW14:PB14)),"")</f>
        <v/>
      </c>
      <c r="PD14" s="162" t="str">
        <f t="shared" si="102"/>
        <v/>
      </c>
      <c r="PE14" s="161" t="str">
        <f>IF(COUNT(OO14,OU14,PC14)=0,"",SUM(OO14,OU14,PC14)/COUNT(OO14,OU14,PC14))</f>
        <v/>
      </c>
      <c r="PF14" s="186" t="str">
        <f t="shared" si="103"/>
        <v/>
      </c>
      <c r="PG14" s="103"/>
      <c r="PH14" s="104"/>
      <c r="PI14" s="105"/>
      <c r="PJ14" s="161" t="str">
        <f>IFERROR((((COUNTIF('Elève (3ème1)'!PG14:PI14,"A"))*4)+((COUNTIF('Elève (3ème1)'!PG14:PI14,"B"))*3)+((COUNTIF('Elève (3ème1)'!PG14:PI14,"C"))*2)+((COUNTIF('Elève (3ème1)'!PG14:PI14,"D"))*1))/(COUNTA(PG14:PI14)),"")</f>
        <v/>
      </c>
      <c r="PK14" s="162" t="str">
        <f t="shared" si="104"/>
        <v/>
      </c>
      <c r="PL14" s="103"/>
      <c r="PM14" s="104"/>
      <c r="PN14" s="105"/>
      <c r="PO14" s="105"/>
      <c r="PP14" s="161" t="str">
        <f>IFERROR((((COUNTIF('Elève (3ème1)'!PL14:PO14,"A"))*4)+((COUNTIF('Elève (3ème1)'!PL14:PO14,"B"))*3)+((COUNTIF('Elève (3ème1)'!PL14:PO14,"C"))*2)+((COUNTIF('Elève (3ème1)'!PL14:PO14,"D"))*1))/(COUNTA(PL14:PO14)),"")</f>
        <v/>
      </c>
      <c r="PQ14" s="162" t="str">
        <f t="shared" si="105"/>
        <v/>
      </c>
      <c r="PR14" s="103"/>
      <c r="PS14" s="104"/>
      <c r="PT14" s="105"/>
      <c r="PU14" s="105"/>
      <c r="PV14" s="105"/>
      <c r="PW14" s="109"/>
      <c r="PX14" s="161" t="str">
        <f>IFERROR((((COUNTIF('Elève (3ème1)'!PR14:PW14,"A"))*4)+((COUNTIF('Elève (3ème1)'!PR14:PW14,"B"))*3)+((COUNTIF('Elève (3ème1)'!PR14:PW14,"C"))*2)+((COUNTIF('Elève (3ème1)'!PR14:PW14,"D"))*1))/(COUNTA(PR14:PW14)),"")</f>
        <v/>
      </c>
      <c r="PY14" s="162" t="str">
        <f t="shared" si="106"/>
        <v/>
      </c>
      <c r="PZ14" s="161" t="str">
        <f>IF(COUNT(PJ14,PP14,PX14)=0,"",SUM(PJ14,PP14,PX14)/COUNT(PJ14,PP14,PX14))</f>
        <v/>
      </c>
      <c r="QA14" s="186" t="str">
        <f t="shared" si="107"/>
        <v/>
      </c>
      <c r="QB14" s="103"/>
      <c r="QC14" s="104"/>
      <c r="QD14" s="105"/>
      <c r="QE14" s="161" t="str">
        <f>IFERROR((((COUNTIF('Elève (3ème1)'!QB14:QD14,"A"))*4)+((COUNTIF('Elève (3ème1)'!QB14:QD14,"B"))*3)+((COUNTIF('Elève (3ème1)'!QB14:QD14,"C"))*2)+((COUNTIF('Elève (3ème1)'!QB14:QD14,"D"))*1))/(COUNTA(QB14:QD14)),"")</f>
        <v/>
      </c>
      <c r="QF14" s="162" t="str">
        <f t="shared" si="108"/>
        <v/>
      </c>
      <c r="QG14" s="103"/>
      <c r="QH14" s="104"/>
      <c r="QI14" s="105"/>
      <c r="QJ14" s="105"/>
      <c r="QK14" s="161" t="str">
        <f>IFERROR((((COUNTIF('Elève (3ème1)'!QG14:QJ14,"A"))*4)+((COUNTIF('Elève (3ème1)'!QG14:QJ14,"B"))*3)+((COUNTIF('Elève (3ème1)'!QG14:QJ14,"C"))*2)+((COUNTIF('Elève (3ème1)'!QG14:QJ14,"D"))*1))/(COUNTA(QG14:QJ14)),"")</f>
        <v/>
      </c>
      <c r="QL14" s="162" t="str">
        <f t="shared" si="109"/>
        <v/>
      </c>
      <c r="QM14" s="103"/>
      <c r="QN14" s="104"/>
      <c r="QO14" s="105"/>
      <c r="QP14" s="105"/>
      <c r="QQ14" s="105"/>
      <c r="QR14" s="109"/>
      <c r="QS14" s="161" t="str">
        <f>IFERROR((((COUNTIF('Elève (3ème1)'!QM14:QR14,"A"))*4)+((COUNTIF('Elève (3ème1)'!QM14:QR14,"B"))*3)+((COUNTIF('Elève (3ème1)'!QM14:QR14,"C"))*2)+((COUNTIF('Elève (3ème1)'!QM14:QR14,"D"))*1))/(COUNTA(QM14:QR14)),"")</f>
        <v/>
      </c>
      <c r="QT14" s="162" t="str">
        <f t="shared" si="110"/>
        <v/>
      </c>
      <c r="QU14" s="161" t="str">
        <f>IF(COUNT(QE14,QK14,QS14)=0,"",SUM(QE14,QK14,QS14)/COUNT(QE14,QK14,QS14))</f>
        <v/>
      </c>
      <c r="QV14" s="186" t="str">
        <f t="shared" si="111"/>
        <v/>
      </c>
      <c r="QW14" s="103"/>
      <c r="QX14" s="104"/>
      <c r="QY14" s="105"/>
      <c r="QZ14" s="161" t="str">
        <f>IFERROR((((COUNTIF('Elève (3ème1)'!QW14:QY14,"A"))*4)+((COUNTIF('Elève (3ème1)'!QW14:QY14,"B"))*3)+((COUNTIF('Elève (3ème1)'!QW14:QY14,"C"))*2)+((COUNTIF('Elève (3ème1)'!QW14:QY14,"D"))*1))/(COUNTA(QW14:QY14)),"")</f>
        <v/>
      </c>
      <c r="RA14" s="162" t="str">
        <f t="shared" si="112"/>
        <v/>
      </c>
      <c r="RB14" s="103"/>
      <c r="RC14" s="104"/>
      <c r="RD14" s="105"/>
      <c r="RE14" s="105"/>
      <c r="RF14" s="161" t="str">
        <f>IFERROR((((COUNTIF('Elève (3ème1)'!RB14:RE14,"A"))*4)+((COUNTIF('Elève (3ème1)'!RB14:RE14,"B"))*3)+((COUNTIF('Elève (3ème1)'!RB14:RE14,"C"))*2)+((COUNTIF('Elève (3ème1)'!RB14:RE14,"D"))*1))/(COUNTA(RB14:RE14)),"")</f>
        <v/>
      </c>
      <c r="RG14" s="162" t="str">
        <f t="shared" si="113"/>
        <v/>
      </c>
      <c r="RH14" s="103"/>
      <c r="RI14" s="104"/>
      <c r="RJ14" s="105"/>
      <c r="RK14" s="105"/>
      <c r="RL14" s="105"/>
      <c r="RM14" s="109"/>
      <c r="RN14" s="161" t="str">
        <f>IFERROR((((COUNTIF('Elève (3ème1)'!RH14:RM14,"A"))*4)+((COUNTIF('Elève (3ème1)'!RH14:RM14,"B"))*3)+((COUNTIF('Elève (3ème1)'!RH14:RM14,"C"))*2)+((COUNTIF('Elève (3ème1)'!RH14:RM14,"D"))*1))/(COUNTA(RH14:RM14)),"")</f>
        <v/>
      </c>
      <c r="RO14" s="162" t="str">
        <f t="shared" si="114"/>
        <v/>
      </c>
      <c r="RP14" s="161" t="str">
        <f>IF(COUNT(QZ14,RF14,RN14)=0,"",SUM(QZ14,RF14,RN14)/COUNT(QZ14,RF14,RN14))</f>
        <v/>
      </c>
      <c r="RQ14" s="186" t="str">
        <f t="shared" si="115"/>
        <v/>
      </c>
      <c r="RR14" s="103"/>
      <c r="RS14" s="104"/>
      <c r="RT14" s="105"/>
      <c r="RU14" s="161" t="str">
        <f>IFERROR((((COUNTIF('Elève (3ème1)'!RR14:RT14,"A"))*4)+((COUNTIF('Elève (3ème1)'!RR14:RT14,"B"))*3)+((COUNTIF('Elève (3ème1)'!RR14:RT14,"C"))*2)+((COUNTIF('Elève (3ème1)'!RR14:RT14,"D"))*1))/(COUNTA(RR14:RT14)),"")</f>
        <v/>
      </c>
      <c r="RV14" s="162" t="str">
        <f t="shared" si="116"/>
        <v/>
      </c>
      <c r="RW14" s="103"/>
      <c r="RX14" s="104"/>
      <c r="RY14" s="105"/>
      <c r="RZ14" s="105"/>
      <c r="SA14" s="161" t="str">
        <f>IFERROR((((COUNTIF('Elève (3ème1)'!RW14:RZ14,"A"))*4)+((COUNTIF('Elève (3ème1)'!RW14:RZ14,"B"))*3)+((COUNTIF('Elève (3ème1)'!RW14:RZ14,"C"))*2)+((COUNTIF('Elève (3ème1)'!RW14:RZ14,"D"))*1))/(COUNTA(RW14:RZ14)),"")</f>
        <v/>
      </c>
      <c r="SB14" s="162" t="str">
        <f t="shared" si="117"/>
        <v/>
      </c>
      <c r="SC14" s="103"/>
      <c r="SD14" s="104"/>
      <c r="SE14" s="105"/>
      <c r="SF14" s="105"/>
      <c r="SG14" s="105"/>
      <c r="SH14" s="109"/>
      <c r="SI14" s="161" t="str">
        <f>IFERROR((((COUNTIF('Elève (3ème1)'!SC14:SH14,"A"))*4)+((COUNTIF('Elève (3ème1)'!SC14:SH14,"B"))*3)+((COUNTIF('Elève (3ème1)'!SC14:SH14,"C"))*2)+((COUNTIF('Elève (3ème1)'!SC14:SH14,"D"))*1))/(COUNTA(SC14:SH14)),"")</f>
        <v/>
      </c>
      <c r="SJ14" s="162" t="str">
        <f t="shared" si="118"/>
        <v/>
      </c>
      <c r="SK14" s="161" t="str">
        <f>IF(COUNT(RU14,SA14,SI14)=0,"",SUM(RU14,SA14,SI14)/COUNT(RU14,SA14,SI14))</f>
        <v/>
      </c>
      <c r="SL14" s="186" t="str">
        <f t="shared" si="119"/>
        <v/>
      </c>
      <c r="SM14" s="103"/>
      <c r="SN14" s="104"/>
      <c r="SO14" s="105"/>
      <c r="SP14" s="161" t="str">
        <f>IFERROR((((COUNTIF('Elève (3ème1)'!SM14:SO14,"A"))*4)+((COUNTIF('Elève (3ème1)'!SM14:SO14,"B"))*3)+((COUNTIF('Elève (3ème1)'!SM14:SO14,"C"))*2)+((COUNTIF('Elève (3ème1)'!SM14:SO14,"D"))*1))/(COUNTA(SM14:SO14)),"")</f>
        <v/>
      </c>
      <c r="SQ14" s="162" t="str">
        <f t="shared" si="120"/>
        <v/>
      </c>
      <c r="SR14" s="103"/>
      <c r="SS14" s="104"/>
      <c r="ST14" s="105"/>
      <c r="SU14" s="105"/>
      <c r="SV14" s="161" t="str">
        <f>IFERROR((((COUNTIF('Elève (3ème1)'!SR14:SU14,"A"))*4)+((COUNTIF('Elève (3ème1)'!SR14:SU14,"B"))*3)+((COUNTIF('Elève (3ème1)'!SR14:SU14,"C"))*2)+((COUNTIF('Elève (3ème1)'!SR14:SU14,"D"))*1))/(COUNTA(SR14:SU14)),"")</f>
        <v/>
      </c>
      <c r="SW14" s="162" t="str">
        <f t="shared" si="121"/>
        <v/>
      </c>
      <c r="SX14" s="103"/>
      <c r="SY14" s="104"/>
      <c r="SZ14" s="105"/>
      <c r="TA14" s="105"/>
      <c r="TB14" s="105"/>
      <c r="TC14" s="109"/>
      <c r="TD14" s="161" t="str">
        <f>IFERROR((((COUNTIF('Elève (3ème1)'!SX14:TC14,"A"))*4)+((COUNTIF('Elève (3ème1)'!SX14:TC14,"B"))*3)+((COUNTIF('Elève (3ème1)'!SX14:TC14,"C"))*2)+((COUNTIF('Elève (3ème1)'!SX14:TC14,"D"))*1))/(COUNTA(SX14:TC14)),"")</f>
        <v/>
      </c>
      <c r="TE14" s="162" t="str">
        <f t="shared" si="122"/>
        <v/>
      </c>
      <c r="TF14" s="161" t="str">
        <f>IF(COUNT(SP14,SV14,TD14)=0,"",SUM(SP14,SV14,TD14)/COUNT(SP14,SV14,TD14))</f>
        <v/>
      </c>
      <c r="TG14" s="186" t="str">
        <f t="shared" si="123"/>
        <v/>
      </c>
      <c r="TH14" s="103"/>
      <c r="TI14" s="104"/>
      <c r="TJ14" s="105"/>
      <c r="TK14" s="99" t="str">
        <f>IFERROR((((COUNTIF('Elève (3ème1)'!TH14:TJ14,"A"))*4)+((COUNTIF('Elève (3ème1)'!TH14:TJ14,"B"))*3)+((COUNTIF('Elève (3ème1)'!TH14:TJ14,"C"))*2)+((COUNTIF('Elève (3ème1)'!TH14:TJ14,"D"))*1))/(COUNTA(TH14:TJ14)),"")</f>
        <v/>
      </c>
      <c r="TL14" s="100" t="str">
        <f t="shared" si="124"/>
        <v/>
      </c>
      <c r="TM14" s="103"/>
      <c r="TN14" s="104"/>
      <c r="TO14" s="105"/>
      <c r="TP14" s="99" t="str">
        <f>IFERROR((((COUNTIF('Elève (3ème1)'!TM14:TO14,"A"))*4)+((COUNTIF('Elève (3ème1)'!TM14:TO14,"B"))*3)+((COUNTIF('Elève (3ème1)'!TM14:TO14,"C"))*2)+((COUNTIF('Elève (3ème1)'!TM14:TO14,"D"))*1))/(COUNTA(TM14:TO14)),"")</f>
        <v/>
      </c>
      <c r="TQ14" s="100" t="str">
        <f t="shared" si="125"/>
        <v/>
      </c>
      <c r="TR14" s="103"/>
      <c r="TS14" s="104"/>
      <c r="TT14" s="109"/>
      <c r="TU14" s="99" t="str">
        <f>IFERROR((((COUNTIF('Elève (3ème1)'!TR14:TT14,"A"))*4)+((COUNTIF('Elève (3ème1)'!TR14:TT14,"B"))*3)+((COUNTIF('Elève (3ème1)'!TR14:TT14,"C"))*2)+((COUNTIF('Elève (3ème1)'!TR14:TT14,"D"))*1))/(COUNTA(TR14:TT14)),"")</f>
        <v/>
      </c>
      <c r="TV14" s="100" t="str">
        <f t="shared" si="126"/>
        <v/>
      </c>
      <c r="TW14" s="99" t="str">
        <f>IF(COUNT(TK14,TP14,TU14)=0,"",SUM(TK14,TP14,TU14)/COUNT(TK14,TP14,TU14))</f>
        <v/>
      </c>
      <c r="TX14" s="101" t="str">
        <f t="shared" si="127"/>
        <v/>
      </c>
      <c r="TY14" s="103"/>
      <c r="TZ14" s="104"/>
      <c r="UA14" s="105"/>
      <c r="UB14" s="99" t="str">
        <f>IFERROR((((COUNTIF('Elève (3ème1)'!TY14:UA14,"A"))*4)+((COUNTIF('Elève (3ème1)'!TY14:UA14,"B"))*3)+((COUNTIF('Elève (3ème1)'!TY14:UA14,"C"))*2)+((COUNTIF('Elève (3ème1)'!TY14:UA14,"D"))*1))/(COUNTA(TY14:UA14)),"")</f>
        <v/>
      </c>
      <c r="UC14" s="100" t="str">
        <f t="shared" si="128"/>
        <v/>
      </c>
      <c r="UD14" s="103"/>
      <c r="UE14" s="104"/>
      <c r="UF14" s="105"/>
      <c r="UG14" s="99" t="str">
        <f>IFERROR((((COUNTIF('Elève (3ème1)'!UD14:UF14,"A"))*4)+((COUNTIF('Elève (3ème1)'!UD14:UF14,"B"))*3)+((COUNTIF('Elève (3ème1)'!UD14:UF14,"C"))*2)+((COUNTIF('Elève (3ème1)'!UD14:UF14,"D"))*1))/(COUNTA(UD14:UF14)),"")</f>
        <v/>
      </c>
      <c r="UH14" s="100" t="str">
        <f t="shared" si="129"/>
        <v/>
      </c>
      <c r="UI14" s="103"/>
      <c r="UJ14" s="104"/>
      <c r="UK14" s="109"/>
      <c r="UL14" s="99" t="str">
        <f>IFERROR((((COUNTIF('Elève (3ème1)'!UI14:UK14,"A"))*4)+((COUNTIF('Elève (3ème1)'!UI14:UK14,"B"))*3)+((COUNTIF('Elève (3ème1)'!UI14:UK14,"C"))*2)+((COUNTIF('Elève (3ème1)'!UI14:UK14,"D"))*1))/(COUNTA(UI14:UK14)),"")</f>
        <v/>
      </c>
      <c r="UM14" s="100" t="str">
        <f t="shared" si="130"/>
        <v/>
      </c>
      <c r="UN14" s="99" t="str">
        <f>IF(COUNT(UB14,UG14,UL14)=0,"",SUM(UB14,UG14,UL14)/COUNT(UB14,UG14,UL14))</f>
        <v/>
      </c>
      <c r="UO14" s="101" t="str">
        <f t="shared" si="131"/>
        <v/>
      </c>
      <c r="UP14" s="103"/>
      <c r="UQ14" s="104"/>
      <c r="UR14" s="105"/>
      <c r="US14" s="99" t="str">
        <f>IFERROR((((COUNTIF('Elève (3ème1)'!UP14:UR14,"A"))*4)+((COUNTIF('Elève (3ème1)'!UP14:UR14,"B"))*3)+((COUNTIF('Elève (3ème1)'!UP14:UR14,"C"))*2)+((COUNTIF('Elève (3ème1)'!UP14:UR14,"D"))*1))/(COUNTA(UP14:UR14)),"")</f>
        <v/>
      </c>
      <c r="UT14" s="100" t="str">
        <f t="shared" si="132"/>
        <v/>
      </c>
      <c r="UU14" s="103"/>
      <c r="UV14" s="104"/>
      <c r="UW14" s="105"/>
      <c r="UX14" s="99" t="str">
        <f>IFERROR((((COUNTIF('Elève (3ème1)'!UU14:UW14,"A"))*4)+((COUNTIF('Elève (3ème1)'!UU14:UW14,"B"))*3)+((COUNTIF('Elève (3ème1)'!UU14:UW14,"C"))*2)+((COUNTIF('Elève (3ème1)'!UU14:UW14,"D"))*1))/(COUNTA(UU14:UW14)),"")</f>
        <v/>
      </c>
      <c r="UY14" s="100" t="str">
        <f t="shared" si="133"/>
        <v/>
      </c>
      <c r="UZ14" s="103"/>
      <c r="VA14" s="104"/>
      <c r="VB14" s="109"/>
      <c r="VC14" s="99" t="str">
        <f>IFERROR((((COUNTIF('Elève (3ème1)'!UZ14:VB14,"A"))*4)+((COUNTIF('Elève (3ème1)'!UZ14:VB14,"B"))*3)+((COUNTIF('Elève (3ème1)'!UZ14:VB14,"C"))*2)+((COUNTIF('Elève (3ème1)'!UZ14:VB14,"D"))*1))/(COUNTA(UZ14:VB14)),"")</f>
        <v/>
      </c>
      <c r="VD14" s="100" t="str">
        <f t="shared" si="134"/>
        <v/>
      </c>
      <c r="VE14" s="99" t="str">
        <f>IF(COUNT(US14,UX14,VC14)=0,"",SUM(US14,UX14,VC14)/COUNT(US14,UX14,VC14))</f>
        <v/>
      </c>
      <c r="VF14" s="101" t="str">
        <f t="shared" si="135"/>
        <v/>
      </c>
      <c r="VG14" s="103"/>
      <c r="VH14" s="104"/>
      <c r="VI14" s="105"/>
      <c r="VJ14" s="99" t="str">
        <f>IFERROR((((COUNTIF('Elève (3ème1)'!VG14:VI14,"A"))*4)+((COUNTIF('Elève (3ème1)'!VG14:VI14,"B"))*3)+((COUNTIF('Elève (3ème1)'!VG14:VI14,"C"))*2)+((COUNTIF('Elève (3ème1)'!VG14:VI14,"D"))*1))/(COUNTA(VG14:VI14)),"")</f>
        <v/>
      </c>
      <c r="VK14" s="100" t="str">
        <f t="shared" si="136"/>
        <v/>
      </c>
      <c r="VL14" s="103"/>
      <c r="VM14" s="104"/>
      <c r="VN14" s="105"/>
      <c r="VO14" s="99" t="str">
        <f>IFERROR((((COUNTIF('Elève (3ème1)'!VL14:VN14,"A"))*4)+((COUNTIF('Elève (3ème1)'!VL14:VN14,"B"))*3)+((COUNTIF('Elève (3ème1)'!VL14:VN14,"C"))*2)+((COUNTIF('Elève (3ème1)'!VL14:VN14,"D"))*1))/(COUNTA(VL14:VN14)),"")</f>
        <v/>
      </c>
      <c r="VP14" s="100" t="str">
        <f t="shared" si="137"/>
        <v/>
      </c>
      <c r="VQ14" s="103"/>
      <c r="VR14" s="104"/>
      <c r="VS14" s="109"/>
      <c r="VT14" s="99" t="str">
        <f>IFERROR((((COUNTIF('Elève (3ème1)'!VQ14:VS14,"A"))*4)+((COUNTIF('Elève (3ème1)'!VQ14:VS14,"B"))*3)+((COUNTIF('Elève (3ème1)'!VQ14:VS14,"C"))*2)+((COUNTIF('Elève (3ème1)'!VQ14:VS14,"D"))*1))/(COUNTA(VQ14:VS14)),"")</f>
        <v/>
      </c>
      <c r="VU14" s="100" t="str">
        <f t="shared" si="138"/>
        <v/>
      </c>
      <c r="VV14" s="99" t="str">
        <f>IF(COUNT(VJ14,VO14,VT14)=0,"",SUM(VJ14,VO14,VT14)/COUNT(VJ14,VO14,VT14))</f>
        <v/>
      </c>
      <c r="VW14" s="101" t="str">
        <f t="shared" si="139"/>
        <v/>
      </c>
      <c r="VX14" s="103"/>
      <c r="VY14" s="104"/>
      <c r="VZ14" s="105"/>
      <c r="WA14" s="99" t="str">
        <f>IFERROR((((COUNTIF('Elève (3ème1)'!VX14:VZ14,"A"))*4)+((COUNTIF('Elève (3ème1)'!VX14:VZ14,"B"))*3)+((COUNTIF('Elève (3ème1)'!VX14:VZ14,"C"))*2)+((COUNTIF('Elève (3ème1)'!VX14:VZ14,"D"))*1))/(COUNTA(VX14:VZ14)),"")</f>
        <v/>
      </c>
      <c r="WB14" s="100" t="str">
        <f t="shared" si="140"/>
        <v/>
      </c>
      <c r="WC14" s="103"/>
      <c r="WD14" s="104"/>
      <c r="WE14" s="105"/>
      <c r="WF14" s="99" t="str">
        <f>IFERROR((((COUNTIF('Elève (3ème1)'!WC14:WE14,"A"))*4)+((COUNTIF('Elève (3ème1)'!WC14:WE14,"B"))*3)+((COUNTIF('Elève (3ème1)'!WC14:WE14,"C"))*2)+((COUNTIF('Elève (3ème1)'!WC14:WE14,"D"))*1))/(COUNTA(WC14:WE14)),"")</f>
        <v/>
      </c>
      <c r="WG14" s="100" t="str">
        <f t="shared" si="141"/>
        <v/>
      </c>
      <c r="WH14" s="103"/>
      <c r="WI14" s="104"/>
      <c r="WJ14" s="109"/>
      <c r="WK14" s="99" t="str">
        <f>IFERROR((((COUNTIF('Elève (3ème1)'!WH14:WJ14,"A"))*4)+((COUNTIF('Elève (3ème1)'!WH14:WJ14,"B"))*3)+((COUNTIF('Elève (3ème1)'!WH14:WJ14,"C"))*2)+((COUNTIF('Elève (3ème1)'!WH14:WJ14,"D"))*1))/(COUNTA(WH14:WJ14)),"")</f>
        <v/>
      </c>
      <c r="WL14" s="100" t="str">
        <f t="shared" si="142"/>
        <v/>
      </c>
      <c r="WM14" s="99" t="str">
        <f>IF(COUNT(WA14,WF14,WK14)=0,"",SUM(WA14,WF14,WK14)/COUNT(WA14,WF14,WK14))</f>
        <v/>
      </c>
      <c r="WN14" s="101" t="str">
        <f t="shared" si="143"/>
        <v/>
      </c>
    </row>
    <row r="15" spans="1:612" ht="18" customHeight="1" thickBot="1" x14ac:dyDescent="0.6">
      <c r="A15" s="215" t="s">
        <v>37</v>
      </c>
      <c r="B15" s="216"/>
      <c r="C15" s="110"/>
      <c r="D15" s="111"/>
      <c r="E15" s="112"/>
      <c r="F15" s="165" t="str">
        <f>IFERROR((((COUNTIF('Elève (3ème1)'!C15:E15,"A"))*4)+((COUNTIF('Elève (3ème1)'!C15:E15,"B"))*3)+((COUNTIF('Elève (3ème1)'!C15:E15,"C"))*2)+((COUNTIF('Elève (3ème1)'!C15:E15,"D"))*1))/(COUNTA(C15:E15)),"")</f>
        <v/>
      </c>
      <c r="G15" s="166" t="str">
        <f t="shared" si="24"/>
        <v/>
      </c>
      <c r="H15" s="110"/>
      <c r="I15" s="111"/>
      <c r="J15" s="112"/>
      <c r="K15" s="112"/>
      <c r="L15" s="165" t="str">
        <f>IFERROR((((COUNTIF('Elève (3ème1)'!H15:K15,"A"))*4)+((COUNTIF('Elève (3ème1)'!H15:K15,"B"))*3)+((COUNTIF('Elève (3ème1)'!H15:K15,"C"))*2)+((COUNTIF('Elève (3ème1)'!H15:K15,"D"))*1))/(COUNTA(H15:K15)),"")</f>
        <v/>
      </c>
      <c r="M15" s="166" t="str">
        <f t="shared" si="25"/>
        <v/>
      </c>
      <c r="N15" s="110"/>
      <c r="O15" s="111"/>
      <c r="P15" s="112" t="s">
        <v>28</v>
      </c>
      <c r="Q15" s="112" t="s">
        <v>27</v>
      </c>
      <c r="R15" s="112"/>
      <c r="S15" s="112"/>
      <c r="T15" s="165">
        <f>IFERROR((((COUNTIF('Elève (3ème1)'!N15:S15,"A"))*4)+((COUNTIF('Elève (3ème1)'!N15:S15,"B"))*3)+((COUNTIF('Elève (3ème1)'!N15:S15,"C"))*2)+((COUNTIF('Elève (3ème1)'!N15:S15,"D"))*1))/(COUNTA(N15:S15)),"")</f>
        <v>3.5</v>
      </c>
      <c r="U15" s="166" t="str">
        <f t="shared" si="26"/>
        <v>B</v>
      </c>
      <c r="V15" s="190">
        <f>IF(COUNT(F15,L15,T15)=0,"",SUM(F15,L15,T15)/COUNT(F15,L15,T15))</f>
        <v>3.5</v>
      </c>
      <c r="W15" s="188" t="str">
        <f t="shared" si="27"/>
        <v>B</v>
      </c>
      <c r="X15" s="110"/>
      <c r="Y15" s="111"/>
      <c r="Z15" s="112"/>
      <c r="AA15" s="165" t="str">
        <f>IFERROR((((COUNTIF('Elève (3ème1)'!X15:Z15,"A"))*4)+((COUNTIF('Elève (3ème1)'!X15:Z15,"B"))*3)+((COUNTIF('Elève (3ème1)'!X15:Z15,"C"))*2)+((COUNTIF('Elève (3ème1)'!X15:Z15,"D"))*1))/(COUNTA(X15:Z15)),"")</f>
        <v/>
      </c>
      <c r="AB15" s="166" t="str">
        <f t="shared" si="28"/>
        <v/>
      </c>
      <c r="AC15" s="110"/>
      <c r="AD15" s="111"/>
      <c r="AE15" s="112"/>
      <c r="AF15" s="112"/>
      <c r="AG15" s="165" t="str">
        <f>IFERROR((((COUNTIF('Elève (3ème1)'!AC15:AF15,"A"))*4)+((COUNTIF('Elève (3ème1)'!AC15:AF15,"B"))*3)+((COUNTIF('Elève (3ème1)'!AC15:AF15,"C"))*2)+((COUNTIF('Elève (3ème1)'!AC15:AF15,"D"))*1))/(COUNTA(AC15:AF15)),"")</f>
        <v/>
      </c>
      <c r="AH15" s="166" t="str">
        <f t="shared" si="29"/>
        <v/>
      </c>
      <c r="AI15" s="110"/>
      <c r="AJ15" s="111"/>
      <c r="AK15" s="112" t="s">
        <v>27</v>
      </c>
      <c r="AL15" s="112" t="s">
        <v>27</v>
      </c>
      <c r="AM15" s="112"/>
      <c r="AN15" s="116"/>
      <c r="AO15" s="165">
        <f>IFERROR((((COUNTIF('Elève (3ème1)'!AI15:AN15,"A"))*4)+((COUNTIF('Elève (3ème1)'!AI15:AN15,"B"))*3)+((COUNTIF('Elève (3ème1)'!AI15:AN15,"C"))*2)+((COUNTIF('Elève (3ème1)'!AI15:AN15,"D"))*1))/(COUNTA(AI15:AN15)),"")</f>
        <v>4</v>
      </c>
      <c r="AP15" s="166" t="str">
        <f t="shared" si="30"/>
        <v>A</v>
      </c>
      <c r="AQ15" s="190">
        <f>IF(COUNT(AA15,AG15,AO15)=0,"",SUM(AA15,AG15,AO15)/COUNT(AA15,AG15,AO15))</f>
        <v>4</v>
      </c>
      <c r="AR15" s="188" t="str">
        <f t="shared" si="31"/>
        <v>A</v>
      </c>
      <c r="AS15" s="110"/>
      <c r="AT15" s="111"/>
      <c r="AU15" s="112"/>
      <c r="AV15" s="165" t="str">
        <f>IFERROR((((COUNTIF('Elève (3ème1)'!AS15:AU15,"A"))*4)+((COUNTIF('Elève (3ème1)'!AS15:AU15,"B"))*3)+((COUNTIF('Elève (3ème1)'!AS15:AU15,"C"))*2)+((COUNTIF('Elève (3ème1)'!AS15:AU15,"D"))*1))/(COUNTA(AS15:AU15)),"")</f>
        <v/>
      </c>
      <c r="AW15" s="166" t="str">
        <f t="shared" si="32"/>
        <v/>
      </c>
      <c r="AX15" s="110"/>
      <c r="AY15" s="111"/>
      <c r="AZ15" s="112"/>
      <c r="BA15" s="112"/>
      <c r="BB15" s="165" t="str">
        <f>IFERROR((((COUNTIF('Elève (3ème1)'!AX15:BA15,"A"))*4)+((COUNTIF('Elève (3ème1)'!AX15:BA15,"B"))*3)+((COUNTIF('Elève (3ème1)'!AX15:BA15,"C"))*2)+((COUNTIF('Elève (3ème1)'!AX15:BA15,"D"))*1))/(COUNTA(AX15:BA15)),"")</f>
        <v/>
      </c>
      <c r="BC15" s="166" t="str">
        <f t="shared" si="33"/>
        <v/>
      </c>
      <c r="BD15" s="110"/>
      <c r="BE15" s="111"/>
      <c r="BF15" s="112" t="s">
        <v>27</v>
      </c>
      <c r="BG15" s="112" t="s">
        <v>27</v>
      </c>
      <c r="BH15" s="112"/>
      <c r="BI15" s="116"/>
      <c r="BJ15" s="165">
        <f>IFERROR((((COUNTIF('Elève (3ème1)'!BD15:BI15,"A"))*4)+((COUNTIF('Elève (3ème1)'!BD15:BI15,"B"))*3)+((COUNTIF('Elève (3ème1)'!BD15:BI15,"C"))*2)+((COUNTIF('Elève (3ème1)'!BD15:BI15,"D"))*1))/(COUNTA(BD15:BI15)),"")</f>
        <v>4</v>
      </c>
      <c r="BK15" s="166" t="str">
        <f t="shared" si="34"/>
        <v>A</v>
      </c>
      <c r="BL15" s="190">
        <f>IF(COUNT(AV15,BB15,BJ15)=0,"",SUM(AV15,BB15,BJ15)/COUNT(AV15,BB15,BJ15))</f>
        <v>4</v>
      </c>
      <c r="BM15" s="188" t="str">
        <f t="shared" si="35"/>
        <v>A</v>
      </c>
      <c r="BN15" s="110"/>
      <c r="BO15" s="111"/>
      <c r="BP15" s="112"/>
      <c r="BQ15" s="165" t="str">
        <f>IFERROR((((COUNTIF('Elève (3ème1)'!BN15:BP15,"A"))*4)+((COUNTIF('Elève (3ème1)'!BN15:BP15,"B"))*3)+((COUNTIF('Elève (3ème1)'!BN15:BP15,"C"))*2)+((COUNTIF('Elève (3ème1)'!BN15:BP15,"D"))*1))/(COUNTA(BN15:BP15)),"")</f>
        <v/>
      </c>
      <c r="BR15" s="166" t="str">
        <f t="shared" si="36"/>
        <v/>
      </c>
      <c r="BS15" s="110"/>
      <c r="BT15" s="111"/>
      <c r="BU15" s="112"/>
      <c r="BV15" s="112"/>
      <c r="BW15" s="165" t="str">
        <f>IFERROR((((COUNTIF('Elève (3ème1)'!BS15:BV15,"A"))*4)+((COUNTIF('Elève (3ème1)'!BS15:BV15,"B"))*3)+((COUNTIF('Elève (3ème1)'!BS15:BV15,"C"))*2)+((COUNTIF('Elève (3ème1)'!BS15:BV15,"D"))*1))/(COUNTA(BS15:BV15)),"")</f>
        <v/>
      </c>
      <c r="BX15" s="166" t="str">
        <f t="shared" si="37"/>
        <v/>
      </c>
      <c r="BY15" s="110"/>
      <c r="BZ15" s="111"/>
      <c r="CA15" s="112" t="s">
        <v>27</v>
      </c>
      <c r="CB15" s="112" t="s">
        <v>27</v>
      </c>
      <c r="CC15" s="112"/>
      <c r="CD15" s="116"/>
      <c r="CE15" s="165">
        <f>IFERROR((((COUNTIF('Elève (3ème1)'!BY15:CD15,"A"))*4)+((COUNTIF('Elève (3ème1)'!BY15:CD15,"B"))*3)+((COUNTIF('Elève (3ème1)'!BY15:CD15,"C"))*2)+((COUNTIF('Elève (3ème1)'!BY15:CD15,"D"))*1))/(COUNTA(BY15:CD15)),"")</f>
        <v>4</v>
      </c>
      <c r="CF15" s="166" t="str">
        <f t="shared" si="38"/>
        <v>A</v>
      </c>
      <c r="CG15" s="190">
        <f>IF(COUNT(BQ15,BW15,CE15)=0,"",SUM(BQ15,BW15,CE15)/COUNT(BQ15,BW15,CE15))</f>
        <v>4</v>
      </c>
      <c r="CH15" s="188" t="str">
        <f t="shared" si="39"/>
        <v>A</v>
      </c>
      <c r="CI15" s="110"/>
      <c r="CJ15" s="111"/>
      <c r="CK15" s="112"/>
      <c r="CL15" s="165" t="str">
        <f>IFERROR((((COUNTIF('Elève (3ème1)'!CI15:CK15,"A"))*4)+((COUNTIF('Elève (3ème1)'!CI15:CK15,"B"))*3)+((COUNTIF('Elève (3ème1)'!CI15:CK15,"C"))*2)+((COUNTIF('Elève (3ème1)'!CI15:CK15,"D"))*1))/(COUNTA(CI15:CK15)),"")</f>
        <v/>
      </c>
      <c r="CM15" s="166" t="str">
        <f t="shared" si="40"/>
        <v/>
      </c>
      <c r="CN15" s="110"/>
      <c r="CO15" s="111"/>
      <c r="CP15" s="112"/>
      <c r="CQ15" s="112"/>
      <c r="CR15" s="165" t="str">
        <f>IFERROR((((COUNTIF('Elève (3ème1)'!CN15:CQ15,"A"))*4)+((COUNTIF('Elève (3ème1)'!CN15:CQ15,"B"))*3)+((COUNTIF('Elève (3ème1)'!CN15:CQ15,"C"))*2)+((COUNTIF('Elève (3ème1)'!CN15:CQ15,"D"))*1))/(COUNTA(CN15:CQ15)),"")</f>
        <v/>
      </c>
      <c r="CS15" s="166" t="str">
        <f t="shared" si="41"/>
        <v/>
      </c>
      <c r="CT15" s="110"/>
      <c r="CU15" s="111"/>
      <c r="CV15" s="112"/>
      <c r="CW15" s="112" t="s">
        <v>27</v>
      </c>
      <c r="CX15" s="112"/>
      <c r="CY15" s="116"/>
      <c r="CZ15" s="165">
        <f>IFERROR((((COUNTIF('Elève (3ème1)'!CT15:CY15,"A"))*4)+((COUNTIF('Elève (3ème1)'!CT15:CY15,"B"))*3)+((COUNTIF('Elève (3ème1)'!CT15:CY15,"C"))*2)+((COUNTIF('Elève (3ème1)'!CT15:CY15,"D"))*1))/(COUNTA(CT15:CY15)),"")</f>
        <v>4</v>
      </c>
      <c r="DA15" s="166" t="str">
        <f t="shared" si="42"/>
        <v>A</v>
      </c>
      <c r="DB15" s="190">
        <f>IF(COUNT(CL15,CR15,CZ15)=0,"",SUM(CL15,CR15,CZ15)/COUNT(CL15,CR15,CZ15))</f>
        <v>4</v>
      </c>
      <c r="DC15" s="188" t="str">
        <f t="shared" si="43"/>
        <v>A</v>
      </c>
      <c r="DD15" s="110"/>
      <c r="DE15" s="111"/>
      <c r="DF15" s="112"/>
      <c r="DG15" s="165" t="str">
        <f>IFERROR((((COUNTIF('Elève (3ème1)'!DD15:DF15,"A"))*4)+((COUNTIF('Elève (3ème1)'!DD15:DF15,"B"))*3)+((COUNTIF('Elève (3ème1)'!DD15:DF15,"C"))*2)+((COUNTIF('Elève (3ème1)'!DD15:DF15,"D"))*1))/(COUNTA(DD15:DF15)),"")</f>
        <v/>
      </c>
      <c r="DH15" s="166" t="str">
        <f t="shared" si="44"/>
        <v/>
      </c>
      <c r="DI15" s="110"/>
      <c r="DJ15" s="111"/>
      <c r="DK15" s="112"/>
      <c r="DL15" s="112"/>
      <c r="DM15" s="165" t="str">
        <f>IFERROR((((COUNTIF('Elève (3ème1)'!DI15:DL15,"A"))*4)+((COUNTIF('Elève (3ème1)'!DI15:DL15,"B"))*3)+((COUNTIF('Elève (3ème1)'!DI15:DL15,"C"))*2)+((COUNTIF('Elève (3ème1)'!DI15:DL15,"D"))*1))/(COUNTA(DI15:DL15)),"")</f>
        <v/>
      </c>
      <c r="DN15" s="166" t="str">
        <f t="shared" si="45"/>
        <v/>
      </c>
      <c r="DO15" s="110"/>
      <c r="DP15" s="111"/>
      <c r="DQ15" s="112"/>
      <c r="DR15" s="112" t="s">
        <v>27</v>
      </c>
      <c r="DS15" s="112"/>
      <c r="DT15" s="116"/>
      <c r="DU15" s="165">
        <f>IFERROR((((COUNTIF('Elève (3ème1)'!DO15:DT15,"A"))*4)+((COUNTIF('Elève (3ème1)'!DO15:DT15,"B"))*3)+((COUNTIF('Elève (3ème1)'!DO15:DT15,"C"))*2)+((COUNTIF('Elève (3ème1)'!DO15:DT15,"D"))*1))/(COUNTA(DO15:DT15)),"")</f>
        <v>4</v>
      </c>
      <c r="DV15" s="166" t="str">
        <f t="shared" si="46"/>
        <v>A</v>
      </c>
      <c r="DW15" s="190">
        <f>IF(COUNT(DG15,DM15,DU15)=0,"",SUM(DG15,DM15,DU15)/COUNT(DG15,DM15,DU15))</f>
        <v>4</v>
      </c>
      <c r="DX15" s="188" t="str">
        <f t="shared" si="47"/>
        <v>A</v>
      </c>
      <c r="DY15" s="110"/>
      <c r="DZ15" s="111"/>
      <c r="EA15" s="112"/>
      <c r="EB15" s="165" t="str">
        <f>IFERROR((((COUNTIF('Elève (3ème1)'!DY15:EA15,"A"))*4)+((COUNTIF('Elève (3ème1)'!DY15:EA15,"B"))*3)+((COUNTIF('Elève (3ème1)'!DY15:EA15,"C"))*2)+((COUNTIF('Elève (3ème1)'!DY15:EA15,"D"))*1))/(COUNTA(DY15:EA15)),"")</f>
        <v/>
      </c>
      <c r="EC15" s="166" t="str">
        <f t="shared" si="48"/>
        <v/>
      </c>
      <c r="ED15" s="110"/>
      <c r="EE15" s="111"/>
      <c r="EF15" s="112"/>
      <c r="EG15" s="112"/>
      <c r="EH15" s="165" t="str">
        <f>IFERROR((((COUNTIF('Elève (3ème1)'!ED15:EG15,"A"))*4)+((COUNTIF('Elève (3ème1)'!ED15:EG15,"B"))*3)+((COUNTIF('Elève (3ème1)'!ED15:EG15,"C"))*2)+((COUNTIF('Elève (3ème1)'!ED15:EG15,"D"))*1))/(COUNTA(ED15:EG15)),"")</f>
        <v/>
      </c>
      <c r="EI15" s="166" t="str">
        <f t="shared" si="49"/>
        <v/>
      </c>
      <c r="EJ15" s="110"/>
      <c r="EK15" s="111"/>
      <c r="EL15" s="112"/>
      <c r="EM15" s="112" t="s">
        <v>27</v>
      </c>
      <c r="EN15" s="112"/>
      <c r="EO15" s="116"/>
      <c r="EP15" s="165">
        <f>IFERROR((((COUNTIF('Elève (3ème1)'!EJ15:EO15,"A"))*4)+((COUNTIF('Elève (3ème1)'!EJ15:EO15,"B"))*3)+((COUNTIF('Elève (3ème1)'!EJ15:EO15,"C"))*2)+((COUNTIF('Elève (3ème1)'!EJ15:EO15,"D"))*1))/(COUNTA(EJ15:EO15)),"")</f>
        <v>4</v>
      </c>
      <c r="EQ15" s="166" t="str">
        <f t="shared" si="50"/>
        <v>A</v>
      </c>
      <c r="ER15" s="190">
        <f>IF(COUNT(EB15,EH15,EP15)=0,"",SUM(EB15,EH15,EP15)/COUNT(EB15,EH15,EP15))</f>
        <v>4</v>
      </c>
      <c r="ES15" s="188" t="str">
        <f t="shared" si="51"/>
        <v>A</v>
      </c>
      <c r="ET15" s="110"/>
      <c r="EU15" s="111"/>
      <c r="EV15" s="112"/>
      <c r="EW15" s="165" t="str">
        <f>IFERROR((((COUNTIF('Elève (3ème1)'!ET15:EV15,"A"))*4)+((COUNTIF('Elève (3ème1)'!ET15:EV15,"B"))*3)+((COUNTIF('Elève (3ème1)'!ET15:EV15,"C"))*2)+((COUNTIF('Elève (3ème1)'!ET15:EV15,"D"))*1))/(COUNTA(ET15:EV15)),"")</f>
        <v/>
      </c>
      <c r="EX15" s="166" t="str">
        <f t="shared" si="52"/>
        <v/>
      </c>
      <c r="EY15" s="110"/>
      <c r="EZ15" s="111"/>
      <c r="FA15" s="112"/>
      <c r="FB15" s="112"/>
      <c r="FC15" s="165" t="str">
        <f>IFERROR((((COUNTIF('Elève (3ème1)'!EY15:FB15,"A"))*4)+((COUNTIF('Elève (3ème1)'!EY15:FB15,"B"))*3)+((COUNTIF('Elève (3ème1)'!EY15:FB15,"C"))*2)+((COUNTIF('Elève (3ème1)'!EY15:FB15,"D"))*1))/(COUNTA(EY15:FB15)),"")</f>
        <v/>
      </c>
      <c r="FD15" s="166" t="str">
        <f t="shared" si="53"/>
        <v/>
      </c>
      <c r="FE15" s="110"/>
      <c r="FF15" s="111"/>
      <c r="FG15" s="112" t="s">
        <v>28</v>
      </c>
      <c r="FH15" s="112" t="s">
        <v>27</v>
      </c>
      <c r="FI15" s="112"/>
      <c r="FJ15" s="116"/>
      <c r="FK15" s="165">
        <f>IFERROR((((COUNTIF('Elève (3ème1)'!FE15:FJ15,"A"))*4)+((COUNTIF('Elève (3ème1)'!FE15:FJ15,"B"))*3)+((COUNTIF('Elève (3ème1)'!FE15:FJ15,"C"))*2)+((COUNTIF('Elève (3ème1)'!FE15:FJ15,"D"))*1))/(COUNTA(FE15:FJ15)),"")</f>
        <v>3.5</v>
      </c>
      <c r="FL15" s="166" t="str">
        <f t="shared" si="54"/>
        <v>B</v>
      </c>
      <c r="FM15" s="190">
        <f>IF(COUNT(EW15,FC15,FK15)=0,"",SUM(EW15,FC15,FK15)/COUNT(EW15,FC15,FK15))</f>
        <v>3.5</v>
      </c>
      <c r="FN15" s="188" t="str">
        <f t="shared" si="55"/>
        <v>B</v>
      </c>
      <c r="FO15" s="110"/>
      <c r="FP15" s="111"/>
      <c r="FQ15" s="112"/>
      <c r="FR15" s="165" t="str">
        <f>IFERROR((((COUNTIF('Elève (3ème1)'!FO15:FQ15,"A"))*4)+((COUNTIF('Elève (3ème1)'!FO15:FQ15,"B"))*3)+((COUNTIF('Elève (3ème1)'!FO15:FQ15,"C"))*2)+((COUNTIF('Elève (3ème1)'!FO15:FQ15,"D"))*1))/(COUNTA(FO15:FQ15)),"")</f>
        <v/>
      </c>
      <c r="FS15" s="166" t="str">
        <f t="shared" si="56"/>
        <v/>
      </c>
      <c r="FT15" s="110"/>
      <c r="FU15" s="111"/>
      <c r="FV15" s="112"/>
      <c r="FW15" s="112"/>
      <c r="FX15" s="165" t="str">
        <f>IFERROR((((COUNTIF('Elève (3ème1)'!FT15:FW15,"A"))*4)+((COUNTIF('Elève (3ème1)'!FT15:FW15,"B"))*3)+((COUNTIF('Elève (3ème1)'!FT15:FW15,"C"))*2)+((COUNTIF('Elève (3ème1)'!FT15:FW15,"D"))*1))/(COUNTA(FT15:FW15)),"")</f>
        <v/>
      </c>
      <c r="FY15" s="166" t="str">
        <f t="shared" si="57"/>
        <v/>
      </c>
      <c r="FZ15" s="110"/>
      <c r="GA15" s="111"/>
      <c r="GB15" s="112"/>
      <c r="GC15" s="112" t="s">
        <v>27</v>
      </c>
      <c r="GD15" s="112"/>
      <c r="GE15" s="116"/>
      <c r="GF15" s="165">
        <f>IFERROR((((COUNTIF('Elève (3ème1)'!FZ15:GE15,"A"))*4)+((COUNTIF('Elève (3ème1)'!FZ15:GE15,"B"))*3)+((COUNTIF('Elève (3ème1)'!FZ15:GE15,"C"))*2)+((COUNTIF('Elève (3ème1)'!FZ15:GE15,"D"))*1))/(COUNTA(FZ15:GE15)),"")</f>
        <v>4</v>
      </c>
      <c r="GG15" s="166" t="str">
        <f t="shared" si="58"/>
        <v>A</v>
      </c>
      <c r="GH15" s="190">
        <f>IF(COUNT(FR15,FX15,GF15)=0,"",SUM(FR15,FX15,GF15)/COUNT(FR15,FX15,GF15))</f>
        <v>4</v>
      </c>
      <c r="GI15" s="188" t="str">
        <f t="shared" si="59"/>
        <v>A</v>
      </c>
      <c r="GJ15" s="110"/>
      <c r="GK15" s="111"/>
      <c r="GL15" s="112"/>
      <c r="GM15" s="165" t="str">
        <f>IFERROR((((COUNTIF('Elève (3ème1)'!GJ15:GL15,"A"))*4)+((COUNTIF('Elève (3ème1)'!GJ15:GL15,"B"))*3)+((COUNTIF('Elève (3ème1)'!GJ15:GL15,"C"))*2)+((COUNTIF('Elève (3ème1)'!GJ15:GL15,"D"))*1))/(COUNTA(GJ15:GL15)),"")</f>
        <v/>
      </c>
      <c r="GN15" s="166" t="str">
        <f t="shared" si="60"/>
        <v/>
      </c>
      <c r="GO15" s="110"/>
      <c r="GP15" s="111"/>
      <c r="GQ15" s="112"/>
      <c r="GR15" s="112"/>
      <c r="GS15" s="165" t="str">
        <f>IFERROR((((COUNTIF('Elève (3ème1)'!GO15:GR15,"A"))*4)+((COUNTIF('Elève (3ème1)'!GO15:GR15,"B"))*3)+((COUNTIF('Elève (3ème1)'!GO15:GR15,"C"))*2)+((COUNTIF('Elève (3ème1)'!GO15:GR15,"D"))*1))/(COUNTA(GO15:GR15)),"")</f>
        <v/>
      </c>
      <c r="GT15" s="166" t="str">
        <f t="shared" si="61"/>
        <v/>
      </c>
      <c r="GU15" s="110"/>
      <c r="GV15" s="111"/>
      <c r="GW15" s="112" t="s">
        <v>28</v>
      </c>
      <c r="GX15" s="112" t="s">
        <v>27</v>
      </c>
      <c r="GY15" s="112"/>
      <c r="GZ15" s="116"/>
      <c r="HA15" s="165">
        <f>IFERROR((((COUNTIF('Elève (3ème1)'!GU15:GZ15,"A"))*4)+((COUNTIF('Elève (3ème1)'!GU15:GZ15,"B"))*3)+((COUNTIF('Elève (3ème1)'!GU15:GZ15,"C"))*2)+((COUNTIF('Elève (3ème1)'!GU15:GZ15,"D"))*1))/(COUNTA(GU15:GZ15)),"")</f>
        <v>3.5</v>
      </c>
      <c r="HB15" s="166" t="str">
        <f t="shared" si="62"/>
        <v>B</v>
      </c>
      <c r="HC15" s="190">
        <f>IF(COUNT(GM15,GS15,HA15)=0,"",SUM(GM15,GS15,HA15)/COUNT(GM15,GS15,HA15))</f>
        <v>3.5</v>
      </c>
      <c r="HD15" s="188" t="str">
        <f t="shared" si="63"/>
        <v>B</v>
      </c>
      <c r="HE15" s="110"/>
      <c r="HF15" s="111"/>
      <c r="HG15" s="112"/>
      <c r="HH15" s="165" t="str">
        <f>IFERROR((((COUNTIF('Elève (3ème1)'!HE15:HG15,"A"))*4)+((COUNTIF('Elève (3ème1)'!HE15:HG15,"B"))*3)+((COUNTIF('Elève (3ème1)'!HE15:HG15,"C"))*2)+((COUNTIF('Elève (3ème1)'!HE15:HG15,"D"))*1))/(COUNTA(HE15:HG15)),"")</f>
        <v/>
      </c>
      <c r="HI15" s="166" t="str">
        <f t="shared" si="64"/>
        <v/>
      </c>
      <c r="HJ15" s="110"/>
      <c r="HK15" s="111"/>
      <c r="HL15" s="112"/>
      <c r="HM15" s="112"/>
      <c r="HN15" s="165" t="str">
        <f>IFERROR((((COUNTIF('Elève (3ème1)'!HJ15:HM15,"A"))*4)+((COUNTIF('Elève (3ème1)'!HJ15:HM15,"B"))*3)+((COUNTIF('Elève (3ème1)'!HJ15:HM15,"C"))*2)+((COUNTIF('Elève (3ème1)'!HJ15:HM15,"D"))*1))/(COUNTA(HJ15:HM15)),"")</f>
        <v/>
      </c>
      <c r="HO15" s="166" t="str">
        <f t="shared" si="65"/>
        <v/>
      </c>
      <c r="HP15" s="110"/>
      <c r="HQ15" s="111"/>
      <c r="HR15" s="112"/>
      <c r="HS15" s="112" t="s">
        <v>27</v>
      </c>
      <c r="HT15" s="112"/>
      <c r="HU15" s="116"/>
      <c r="HV15" s="165">
        <f>IFERROR((((COUNTIF('Elève (3ème1)'!HP15:HU15,"A"))*4)+((COUNTIF('Elève (3ème1)'!HP15:HU15,"B"))*3)+((COUNTIF('Elève (3ème1)'!HP15:HU15,"C"))*2)+((COUNTIF('Elève (3ème1)'!HP15:HU15,"D"))*1))/(COUNTA(HP15:HU15)),"")</f>
        <v>4</v>
      </c>
      <c r="HW15" s="166" t="str">
        <f t="shared" si="66"/>
        <v>A</v>
      </c>
      <c r="HX15" s="190">
        <f>IF(COUNT(HH15,HN15,HV15)=0,"",SUM(HH15,HN15,HV15)/COUNT(HH15,HN15,HV15))</f>
        <v>4</v>
      </c>
      <c r="HY15" s="188" t="str">
        <f t="shared" si="67"/>
        <v>A</v>
      </c>
      <c r="HZ15" s="110"/>
      <c r="IA15" s="111"/>
      <c r="IB15" s="112"/>
      <c r="IC15" s="165" t="str">
        <f>IFERROR((((COUNTIF('Elève (3ème1)'!HZ15:IB15,"A"))*4)+((COUNTIF('Elève (3ème1)'!HZ15:IB15,"B"))*3)+((COUNTIF('Elève (3ème1)'!HZ15:IB15,"C"))*2)+((COUNTIF('Elève (3ème1)'!HZ15:IB15,"D"))*1))/(COUNTA(HZ15:IB15)),"")</f>
        <v/>
      </c>
      <c r="ID15" s="166" t="str">
        <f t="shared" si="68"/>
        <v/>
      </c>
      <c r="IE15" s="110"/>
      <c r="IF15" s="111"/>
      <c r="IG15" s="112"/>
      <c r="IH15" s="112"/>
      <c r="II15" s="165" t="str">
        <f>IFERROR((((COUNTIF('Elève (3ème1)'!IE15:IH15,"A"))*4)+((COUNTIF('Elève (3ème1)'!IE15:IH15,"B"))*3)+((COUNTIF('Elève (3ème1)'!IE15:IH15,"C"))*2)+((COUNTIF('Elève (3ème1)'!IE15:IH15,"D"))*1))/(COUNTA(IE15:IH15)),"")</f>
        <v/>
      </c>
      <c r="IJ15" s="166" t="str">
        <f t="shared" si="69"/>
        <v/>
      </c>
      <c r="IK15" s="110"/>
      <c r="IL15" s="111"/>
      <c r="IM15" s="112" t="s">
        <v>28</v>
      </c>
      <c r="IN15" s="112" t="s">
        <v>27</v>
      </c>
      <c r="IO15" s="112"/>
      <c r="IP15" s="116"/>
      <c r="IQ15" s="165">
        <f>IFERROR((((COUNTIF('Elève (3ème1)'!IK15:IP15,"A"))*4)+((COUNTIF('Elève (3ème1)'!IK15:IP15,"B"))*3)+((COUNTIF('Elève (3ème1)'!IK15:IP15,"C"))*2)+((COUNTIF('Elève (3ème1)'!IK15:IP15,"D"))*1))/(COUNTA(IK15:IP15)),"")</f>
        <v>3.5</v>
      </c>
      <c r="IR15" s="166" t="str">
        <f t="shared" si="70"/>
        <v>B</v>
      </c>
      <c r="IS15" s="190">
        <f>IF(COUNT(IC15,II15,IQ15)=0,"",SUM(IC15,II15,IQ15)/COUNT(IC15,II15,IQ15))</f>
        <v>3.5</v>
      </c>
      <c r="IT15" s="188" t="str">
        <f t="shared" si="71"/>
        <v>B</v>
      </c>
      <c r="IU15" s="110"/>
      <c r="IV15" s="111"/>
      <c r="IW15" s="112"/>
      <c r="IX15" s="165" t="str">
        <f>IFERROR((((COUNTIF('Elève (3ème1)'!IU15:IW15,"A"))*4)+((COUNTIF('Elève (3ème1)'!IU15:IW15,"B"))*3)+((COUNTIF('Elève (3ème1)'!IU15:IW15,"C"))*2)+((COUNTIF('Elève (3ème1)'!IU15:IW15,"D"))*1))/(COUNTA(IU15:IW15)),"")</f>
        <v/>
      </c>
      <c r="IY15" s="166" t="str">
        <f t="shared" si="72"/>
        <v/>
      </c>
      <c r="IZ15" s="110"/>
      <c r="JA15" s="111"/>
      <c r="JB15" s="112"/>
      <c r="JC15" s="112"/>
      <c r="JD15" s="165" t="str">
        <f>IFERROR((((COUNTIF('Elève (3ème1)'!IZ15:JC15,"A"))*4)+((COUNTIF('Elève (3ème1)'!IZ15:JC15,"B"))*3)+((COUNTIF('Elève (3ème1)'!IZ15:JC15,"C"))*2)+((COUNTIF('Elève (3ème1)'!IZ15:JC15,"D"))*1))/(COUNTA(IZ15:JC15)),"")</f>
        <v/>
      </c>
      <c r="JE15" s="166" t="str">
        <f t="shared" si="73"/>
        <v/>
      </c>
      <c r="JF15" s="110"/>
      <c r="JG15" s="111"/>
      <c r="JH15" s="112"/>
      <c r="JI15" s="112" t="s">
        <v>27</v>
      </c>
      <c r="JJ15" s="112"/>
      <c r="JK15" s="116"/>
      <c r="JL15" s="165">
        <f>IFERROR((((COUNTIF('Elève (3ème1)'!JF15:JK15,"A"))*4)+((COUNTIF('Elève (3ème1)'!JF15:JK15,"B"))*3)+((COUNTIF('Elève (3ème1)'!JF15:JK15,"C"))*2)+((COUNTIF('Elève (3ème1)'!JF15:JK15,"D"))*1))/(COUNTA(JF15:JK15)),"")</f>
        <v>4</v>
      </c>
      <c r="JM15" s="166" t="str">
        <f t="shared" si="74"/>
        <v>A</v>
      </c>
      <c r="JN15" s="190">
        <f>IF(COUNT(IX15,JD15,JL15)=0,"",SUM(IX15,JD15,JL15)/COUNT(IX15,JD15,JL15))</f>
        <v>4</v>
      </c>
      <c r="JO15" s="188" t="str">
        <f t="shared" si="75"/>
        <v>A</v>
      </c>
      <c r="JP15" s="110"/>
      <c r="JQ15" s="111"/>
      <c r="JR15" s="112"/>
      <c r="JS15" s="165" t="str">
        <f>IFERROR((((COUNTIF('Elève (3ème1)'!JP15:JR15,"A"))*4)+((COUNTIF('Elève (3ème1)'!JP15:JR15,"B"))*3)+((COUNTIF('Elève (3ème1)'!JP15:JR15,"C"))*2)+((COUNTIF('Elève (3ème1)'!JP15:JR15,"D"))*1))/(COUNTA(JP15:JR15)),"")</f>
        <v/>
      </c>
      <c r="JT15" s="166" t="str">
        <f t="shared" si="76"/>
        <v/>
      </c>
      <c r="JU15" s="110"/>
      <c r="JV15" s="111"/>
      <c r="JW15" s="112"/>
      <c r="JX15" s="112"/>
      <c r="JY15" s="165" t="str">
        <f>IFERROR((((COUNTIF('Elève (3ème1)'!JU15:JX15,"A"))*4)+((COUNTIF('Elève (3ème1)'!JU15:JX15,"B"))*3)+((COUNTIF('Elève (3ème1)'!JU15:JX15,"C"))*2)+((COUNTIF('Elève (3ème1)'!JU15:JX15,"D"))*1))/(COUNTA(JU15:JX15)),"")</f>
        <v/>
      </c>
      <c r="JZ15" s="166" t="str">
        <f t="shared" si="77"/>
        <v/>
      </c>
      <c r="KA15" s="110"/>
      <c r="KB15" s="111"/>
      <c r="KC15" s="112" t="s">
        <v>28</v>
      </c>
      <c r="KD15" s="112" t="s">
        <v>27</v>
      </c>
      <c r="KE15" s="112"/>
      <c r="KF15" s="116"/>
      <c r="KG15" s="165">
        <f>IFERROR((((COUNTIF('Elève (3ème1)'!KA15:KF15,"A"))*4)+((COUNTIF('Elève (3ème1)'!KA15:KF15,"B"))*3)+((COUNTIF('Elève (3ème1)'!KA15:KF15,"C"))*2)+((COUNTIF('Elève (3ème1)'!KA15:KF15,"D"))*1))/(COUNTA(KA15:KF15)),"")</f>
        <v>3.5</v>
      </c>
      <c r="KH15" s="166" t="str">
        <f t="shared" si="78"/>
        <v>B</v>
      </c>
      <c r="KI15" s="190">
        <f>IF(COUNT(JS15,JY15,KG15)=0,"",SUM(JS15,JY15,KG15)/COUNT(JS15,JY15,KG15))</f>
        <v>3.5</v>
      </c>
      <c r="KJ15" s="188" t="str">
        <f t="shared" si="79"/>
        <v>B</v>
      </c>
      <c r="KK15" s="110"/>
      <c r="KL15" s="111"/>
      <c r="KM15" s="112"/>
      <c r="KN15" s="165" t="str">
        <f>IFERROR((((COUNTIF('Elève (3ème1)'!KK15:KM15,"A"))*4)+((COUNTIF('Elève (3ème1)'!KK15:KM15,"B"))*3)+((COUNTIF('Elève (3ème1)'!KK15:KM15,"C"))*2)+((COUNTIF('Elève (3ème1)'!KK15:KM15,"D"))*1))/(COUNTA(KK15:KM15)),"")</f>
        <v/>
      </c>
      <c r="KO15" s="166" t="str">
        <f t="shared" si="80"/>
        <v/>
      </c>
      <c r="KP15" s="110"/>
      <c r="KQ15" s="111"/>
      <c r="KR15" s="112"/>
      <c r="KS15" s="112"/>
      <c r="KT15" s="165" t="str">
        <f>IFERROR((((COUNTIF('Elève (3ème1)'!KP15:KS15,"A"))*4)+((COUNTIF('Elève (3ème1)'!KP15:KS15,"B"))*3)+((COUNTIF('Elève (3ème1)'!KP15:KS15,"C"))*2)+((COUNTIF('Elève (3ème1)'!KP15:KS15,"D"))*1))/(COUNTA(KP15:KS15)),"")</f>
        <v/>
      </c>
      <c r="KU15" s="166" t="str">
        <f t="shared" si="81"/>
        <v/>
      </c>
      <c r="KV15" s="110"/>
      <c r="KW15" s="111"/>
      <c r="KX15" s="112" t="s">
        <v>27</v>
      </c>
      <c r="KY15" s="112" t="s">
        <v>27</v>
      </c>
      <c r="KZ15" s="112"/>
      <c r="LA15" s="116"/>
      <c r="LB15" s="165">
        <f>IFERROR((((COUNTIF('Elève (3ème1)'!KV15:LA15,"A"))*4)+((COUNTIF('Elève (3ème1)'!KV15:LA15,"B"))*3)+((COUNTIF('Elève (3ème1)'!KV15:LA15,"C"))*2)+((COUNTIF('Elève (3ème1)'!KV15:LA15,"D"))*1))/(COUNTA(KV15:LA15)),"")</f>
        <v>4</v>
      </c>
      <c r="LC15" s="166" t="str">
        <f t="shared" si="82"/>
        <v>A</v>
      </c>
      <c r="LD15" s="190">
        <f>IF(COUNT(KN15,KT15,LB15)=0,"",SUM(KN15,KT15,LB15)/COUNT(KN15,KT15,LB15))</f>
        <v>4</v>
      </c>
      <c r="LE15" s="188" t="str">
        <f t="shared" si="83"/>
        <v>A</v>
      </c>
      <c r="LF15" s="110"/>
      <c r="LG15" s="111"/>
      <c r="LH15" s="112"/>
      <c r="LI15" s="165" t="str">
        <f>IFERROR((((COUNTIF('Elève (3ème1)'!LF15:LH15,"A"))*4)+((COUNTIF('Elève (3ème1)'!LF15:LH15,"B"))*3)+((COUNTIF('Elève (3ème1)'!LF15:LH15,"C"))*2)+((COUNTIF('Elève (3ème1)'!LF15:LH15,"D"))*1))/(COUNTA(LF15:LH15)),"")</f>
        <v/>
      </c>
      <c r="LJ15" s="166" t="str">
        <f t="shared" si="84"/>
        <v/>
      </c>
      <c r="LK15" s="110"/>
      <c r="LL15" s="111"/>
      <c r="LM15" s="112"/>
      <c r="LN15" s="112"/>
      <c r="LO15" s="165" t="str">
        <f>IFERROR((((COUNTIF('Elève (3ème1)'!LK15:LN15,"A"))*4)+((COUNTIF('Elève (3ème1)'!LK15:LN15,"B"))*3)+((COUNTIF('Elève (3ème1)'!LK15:LN15,"C"))*2)+((COUNTIF('Elève (3ème1)'!LK15:LN15,"D"))*1))/(COUNTA(LK15:LN15)),"")</f>
        <v/>
      </c>
      <c r="LP15" s="166" t="str">
        <f t="shared" si="85"/>
        <v/>
      </c>
      <c r="LQ15" s="110"/>
      <c r="LR15" s="111"/>
      <c r="LS15" s="112" t="s">
        <v>28</v>
      </c>
      <c r="LT15" s="112"/>
      <c r="LU15" s="112"/>
      <c r="LV15" s="116"/>
      <c r="LW15" s="165">
        <f>IFERROR((((COUNTIF('Elève (3ème1)'!LQ15:LV15,"A"))*4)+((COUNTIF('Elève (3ème1)'!LQ15:LV15,"B"))*3)+((COUNTIF('Elève (3ème1)'!LQ15:LV15,"C"))*2)+((COUNTIF('Elève (3ème1)'!LQ15:LV15,"D"))*1))/(COUNTA(LQ15:LV15)),"")</f>
        <v>3</v>
      </c>
      <c r="LX15" s="166" t="str">
        <f t="shared" si="86"/>
        <v>B</v>
      </c>
      <c r="LY15" s="190">
        <f>IF(COUNT(LI15,LO15,LW15)=0,"",SUM(LI15,LO15,LW15)/COUNT(LI15,LO15,LW15))</f>
        <v>3</v>
      </c>
      <c r="LZ15" s="188" t="str">
        <f t="shared" si="87"/>
        <v>B</v>
      </c>
      <c r="MA15" s="110"/>
      <c r="MB15" s="111"/>
      <c r="MC15" s="112"/>
      <c r="MD15" s="165" t="str">
        <f>IFERROR((((COUNTIF('Elève (3ème1)'!MA15:MC15,"A"))*4)+((COUNTIF('Elève (3ème1)'!MA15:MC15,"B"))*3)+((COUNTIF('Elève (3ème1)'!MA15:MC15,"C"))*2)+((COUNTIF('Elève (3ème1)'!MA15:MC15,"D"))*1))/(COUNTA(MA15:MC15)),"")</f>
        <v/>
      </c>
      <c r="ME15" s="166" t="str">
        <f t="shared" si="88"/>
        <v/>
      </c>
      <c r="MF15" s="110"/>
      <c r="MG15" s="111"/>
      <c r="MH15" s="112"/>
      <c r="MI15" s="112"/>
      <c r="MJ15" s="165" t="str">
        <f>IFERROR((((COUNTIF('Elève (3ème1)'!MF15:MI15,"A"))*4)+((COUNTIF('Elève (3ème1)'!MF15:MI15,"B"))*3)+((COUNTIF('Elève (3ème1)'!MF15:MI15,"C"))*2)+((COUNTIF('Elève (3ème1)'!MF15:MI15,"D"))*1))/(COUNTA(MF15:MI15)),"")</f>
        <v/>
      </c>
      <c r="MK15" s="166" t="str">
        <f t="shared" si="89"/>
        <v/>
      </c>
      <c r="ML15" s="110"/>
      <c r="MM15" s="111"/>
      <c r="MN15" s="112" t="s">
        <v>27</v>
      </c>
      <c r="MO15" s="112" t="s">
        <v>27</v>
      </c>
      <c r="MP15" s="112"/>
      <c r="MQ15" s="116"/>
      <c r="MR15" s="165">
        <f>IFERROR((((COUNTIF('Elève (3ème1)'!ML15:MQ15,"A"))*4)+((COUNTIF('Elève (3ème1)'!ML15:MQ15,"B"))*3)+((COUNTIF('Elève (3ème1)'!ML15:MQ15,"C"))*2)+((COUNTIF('Elève (3ème1)'!ML15:MQ15,"D"))*1))/(COUNTA(ML15:MQ15)),"")</f>
        <v>4</v>
      </c>
      <c r="MS15" s="166" t="str">
        <f t="shared" si="90"/>
        <v>A</v>
      </c>
      <c r="MT15" s="190">
        <f>IF(COUNT(MD15,MJ15,MR15)=0,"",SUM(MD15,MJ15,MR15)/COUNT(MD15,MJ15,MR15))</f>
        <v>4</v>
      </c>
      <c r="MU15" s="188" t="str">
        <f t="shared" si="91"/>
        <v>A</v>
      </c>
      <c r="MV15" s="110"/>
      <c r="MW15" s="111"/>
      <c r="MX15" s="112"/>
      <c r="MY15" s="165" t="str">
        <f>IFERROR((((COUNTIF('Elève (3ème1)'!MV15:MX15,"A"))*4)+((COUNTIF('Elève (3ème1)'!MV15:MX15,"B"))*3)+((COUNTIF('Elève (3ème1)'!MV15:MX15,"C"))*2)+((COUNTIF('Elève (3ème1)'!MV15:MX15,"D"))*1))/(COUNTA(MV15:MX15)),"")</f>
        <v/>
      </c>
      <c r="MZ15" s="166" t="str">
        <f t="shared" si="92"/>
        <v/>
      </c>
      <c r="NA15" s="110"/>
      <c r="NB15" s="111"/>
      <c r="NC15" s="112"/>
      <c r="ND15" s="112"/>
      <c r="NE15" s="165" t="str">
        <f>IFERROR((((COUNTIF('Elève (3ème1)'!NA15:ND15,"A"))*4)+((COUNTIF('Elève (3ème1)'!NA15:ND15,"B"))*3)+((COUNTIF('Elève (3ème1)'!NA15:ND15,"C"))*2)+((COUNTIF('Elève (3ème1)'!NA15:ND15,"D"))*1))/(COUNTA(NA15:ND15)),"")</f>
        <v/>
      </c>
      <c r="NF15" s="166" t="str">
        <f t="shared" si="93"/>
        <v/>
      </c>
      <c r="NG15" s="110"/>
      <c r="NH15" s="111"/>
      <c r="NI15" s="112" t="s">
        <v>27</v>
      </c>
      <c r="NJ15" s="112" t="s">
        <v>27</v>
      </c>
      <c r="NK15" s="112"/>
      <c r="NL15" s="116"/>
      <c r="NM15" s="165">
        <f>IFERROR((((COUNTIF('Elève (3ème1)'!NG15:NL15,"A"))*4)+((COUNTIF('Elève (3ème1)'!NG15:NL15,"B"))*3)+((COUNTIF('Elève (3ème1)'!NG15:NL15,"C"))*2)+((COUNTIF('Elève (3ème1)'!NG15:NL15,"D"))*1))/(COUNTA(NG15:NL15)),"")</f>
        <v>4</v>
      </c>
      <c r="NN15" s="166" t="str">
        <f t="shared" si="94"/>
        <v>A</v>
      </c>
      <c r="NO15" s="190">
        <f>IF(COUNT(MY15,NE15,NM15)=0,"",SUM(MY15,NE15,NM15)/COUNT(MY15,NE15,NM15))</f>
        <v>4</v>
      </c>
      <c r="NP15" s="188" t="str">
        <f t="shared" si="95"/>
        <v>A</v>
      </c>
      <c r="NQ15" s="110"/>
      <c r="NR15" s="111"/>
      <c r="NS15" s="112"/>
      <c r="NT15" s="165" t="str">
        <f>IFERROR((((COUNTIF('Elève (3ème1)'!NQ15:NS15,"A"))*4)+((COUNTIF('Elève (3ème1)'!NQ15:NS15,"B"))*3)+((COUNTIF('Elève (3ème1)'!NQ15:NS15,"C"))*2)+((COUNTIF('Elève (3ème1)'!NQ15:NS15,"D"))*1))/(COUNTA(NQ15:NS15)),"")</f>
        <v/>
      </c>
      <c r="NU15" s="166" t="str">
        <f t="shared" si="96"/>
        <v/>
      </c>
      <c r="NV15" s="110"/>
      <c r="NW15" s="111"/>
      <c r="NX15" s="112"/>
      <c r="NY15" s="112"/>
      <c r="NZ15" s="165" t="str">
        <f>IFERROR((((COUNTIF('Elève (3ème1)'!NV15:NY15,"A"))*4)+((COUNTIF('Elève (3ème1)'!NV15:NY15,"B"))*3)+((COUNTIF('Elève (3ème1)'!NV15:NY15,"C"))*2)+((COUNTIF('Elève (3ème1)'!NV15:NY15,"D"))*1))/(COUNTA(NV15:NY15)),"")</f>
        <v/>
      </c>
      <c r="OA15" s="166" t="str">
        <f t="shared" si="97"/>
        <v/>
      </c>
      <c r="OB15" s="110"/>
      <c r="OC15" s="111"/>
      <c r="OD15" s="112" t="s">
        <v>27</v>
      </c>
      <c r="OE15" s="112" t="s">
        <v>27</v>
      </c>
      <c r="OF15" s="112"/>
      <c r="OG15" s="116"/>
      <c r="OH15" s="165">
        <f>IFERROR((((COUNTIF('Elève (3ème1)'!OB15:OG15,"A"))*4)+((COUNTIF('Elève (3ème1)'!OB15:OG15,"B"))*3)+((COUNTIF('Elève (3ème1)'!OB15:OG15,"C"))*2)+((COUNTIF('Elève (3ème1)'!OB15:OG15,"D"))*1))/(COUNTA(OB15:OG15)),"")</f>
        <v>4</v>
      </c>
      <c r="OI15" s="166" t="str">
        <f t="shared" si="98"/>
        <v>A</v>
      </c>
      <c r="OJ15" s="190">
        <f>IF(COUNT(NT15,NZ15,OH15)=0,"",SUM(NT15,NZ15,OH15)/COUNT(NT15,NZ15,OH15))</f>
        <v>4</v>
      </c>
      <c r="OK15" s="188" t="str">
        <f t="shared" si="99"/>
        <v>A</v>
      </c>
      <c r="OL15" s="110"/>
      <c r="OM15" s="111"/>
      <c r="ON15" s="112"/>
      <c r="OO15" s="165" t="str">
        <f>IFERROR((((COUNTIF('Elève (3ème1)'!OL15:ON15,"A"))*4)+((COUNTIF('Elève (3ème1)'!OL15:ON15,"B"))*3)+((COUNTIF('Elève (3ème1)'!OL15:ON15,"C"))*2)+((COUNTIF('Elève (3ème1)'!OL15:ON15,"D"))*1))/(COUNTA(OL15:ON15)),"")</f>
        <v/>
      </c>
      <c r="OP15" s="166" t="str">
        <f t="shared" si="100"/>
        <v/>
      </c>
      <c r="OQ15" s="110"/>
      <c r="OR15" s="111"/>
      <c r="OS15" s="112"/>
      <c r="OT15" s="112"/>
      <c r="OU15" s="165" t="str">
        <f>IFERROR((((COUNTIF('Elève (3ème1)'!OQ15:OT15,"A"))*4)+((COUNTIF('Elève (3ème1)'!OQ15:OT15,"B"))*3)+((COUNTIF('Elève (3ème1)'!OQ15:OT15,"C"))*2)+((COUNTIF('Elève (3ème1)'!OQ15:OT15,"D"))*1))/(COUNTA(OQ15:OT15)),"")</f>
        <v/>
      </c>
      <c r="OV15" s="166" t="str">
        <f t="shared" si="101"/>
        <v/>
      </c>
      <c r="OW15" s="110"/>
      <c r="OX15" s="111"/>
      <c r="OY15" s="112" t="s">
        <v>28</v>
      </c>
      <c r="OZ15" s="112" t="s">
        <v>27</v>
      </c>
      <c r="PA15" s="112"/>
      <c r="PB15" s="116"/>
      <c r="PC15" s="165">
        <f>IFERROR((((COUNTIF('Elève (3ème1)'!OW15:PB15,"A"))*4)+((COUNTIF('Elève (3ème1)'!OW15:PB15,"B"))*3)+((COUNTIF('Elève (3ème1)'!OW15:PB15,"C"))*2)+((COUNTIF('Elève (3ème1)'!OW15:PB15,"D"))*1))/(COUNTA(OW15:PB15)),"")</f>
        <v>3.5</v>
      </c>
      <c r="PD15" s="166" t="str">
        <f t="shared" si="102"/>
        <v>B</v>
      </c>
      <c r="PE15" s="190">
        <f>IF(COUNT(OO15,OU15,PC15)=0,"",SUM(OO15,OU15,PC15)/COUNT(OO15,OU15,PC15))</f>
        <v>3.5</v>
      </c>
      <c r="PF15" s="188" t="str">
        <f t="shared" si="103"/>
        <v>B</v>
      </c>
      <c r="PG15" s="110"/>
      <c r="PH15" s="111"/>
      <c r="PI15" s="112"/>
      <c r="PJ15" s="165" t="str">
        <f>IFERROR((((COUNTIF('Elève (3ème1)'!PG15:PI15,"A"))*4)+((COUNTIF('Elève (3ème1)'!PG15:PI15,"B"))*3)+((COUNTIF('Elève (3ème1)'!PG15:PI15,"C"))*2)+((COUNTIF('Elève (3ème1)'!PG15:PI15,"D"))*1))/(COUNTA(PG15:PI15)),"")</f>
        <v/>
      </c>
      <c r="PK15" s="166" t="str">
        <f t="shared" si="104"/>
        <v/>
      </c>
      <c r="PL15" s="110"/>
      <c r="PM15" s="111"/>
      <c r="PN15" s="112"/>
      <c r="PO15" s="112"/>
      <c r="PP15" s="165" t="str">
        <f>IFERROR((((COUNTIF('Elève (3ème1)'!PL15:PO15,"A"))*4)+((COUNTIF('Elève (3ème1)'!PL15:PO15,"B"))*3)+((COUNTIF('Elève (3ème1)'!PL15:PO15,"C"))*2)+((COUNTIF('Elève (3ème1)'!PL15:PO15,"D"))*1))/(COUNTA(PL15:PO15)),"")</f>
        <v/>
      </c>
      <c r="PQ15" s="166" t="str">
        <f t="shared" si="105"/>
        <v/>
      </c>
      <c r="PR15" s="110"/>
      <c r="PS15" s="111"/>
      <c r="PT15" s="112" t="s">
        <v>27</v>
      </c>
      <c r="PU15" s="112" t="s">
        <v>27</v>
      </c>
      <c r="PV15" s="112"/>
      <c r="PW15" s="116"/>
      <c r="PX15" s="165">
        <f>IFERROR((((COUNTIF('Elève (3ème1)'!PR15:PW15,"A"))*4)+((COUNTIF('Elève (3ème1)'!PR15:PW15,"B"))*3)+((COUNTIF('Elève (3ème1)'!PR15:PW15,"C"))*2)+((COUNTIF('Elève (3ème1)'!PR15:PW15,"D"))*1))/(COUNTA(PR15:PW15)),"")</f>
        <v>4</v>
      </c>
      <c r="PY15" s="166" t="str">
        <f t="shared" si="106"/>
        <v>A</v>
      </c>
      <c r="PZ15" s="190">
        <f>IF(COUNT(PJ15,PP15,PX15)=0,"",SUM(PJ15,PP15,PX15)/COUNT(PJ15,PP15,PX15))</f>
        <v>4</v>
      </c>
      <c r="QA15" s="188" t="str">
        <f t="shared" si="107"/>
        <v>A</v>
      </c>
      <c r="QB15" s="110"/>
      <c r="QC15" s="111"/>
      <c r="QD15" s="112"/>
      <c r="QE15" s="165" t="str">
        <f>IFERROR((((COUNTIF('Elève (3ème1)'!QB15:QD15,"A"))*4)+((COUNTIF('Elève (3ème1)'!QB15:QD15,"B"))*3)+((COUNTIF('Elève (3ème1)'!QB15:QD15,"C"))*2)+((COUNTIF('Elève (3ème1)'!QB15:QD15,"D"))*1))/(COUNTA(QB15:QD15)),"")</f>
        <v/>
      </c>
      <c r="QF15" s="166" t="str">
        <f t="shared" si="108"/>
        <v/>
      </c>
      <c r="QG15" s="110"/>
      <c r="QH15" s="111"/>
      <c r="QI15" s="112"/>
      <c r="QJ15" s="112"/>
      <c r="QK15" s="165" t="str">
        <f>IFERROR((((COUNTIF('Elève (3ème1)'!QG15:QJ15,"A"))*4)+((COUNTIF('Elève (3ème1)'!QG15:QJ15,"B"))*3)+((COUNTIF('Elève (3ème1)'!QG15:QJ15,"C"))*2)+((COUNTIF('Elève (3ème1)'!QG15:QJ15,"D"))*1))/(COUNTA(QG15:QJ15)),"")</f>
        <v/>
      </c>
      <c r="QL15" s="166" t="str">
        <f t="shared" si="109"/>
        <v/>
      </c>
      <c r="QM15" s="110"/>
      <c r="QN15" s="111"/>
      <c r="QO15" s="112" t="s">
        <v>27</v>
      </c>
      <c r="QP15" s="112" t="s">
        <v>27</v>
      </c>
      <c r="QQ15" s="112"/>
      <c r="QR15" s="116"/>
      <c r="QS15" s="165">
        <f>IFERROR((((COUNTIF('Elève (3ème1)'!QM15:QR15,"A"))*4)+((COUNTIF('Elève (3ème1)'!QM15:QR15,"B"))*3)+((COUNTIF('Elève (3ème1)'!QM15:QR15,"C"))*2)+((COUNTIF('Elève (3ème1)'!QM15:QR15,"D"))*1))/(COUNTA(QM15:QR15)),"")</f>
        <v>4</v>
      </c>
      <c r="QT15" s="166" t="str">
        <f t="shared" si="110"/>
        <v>A</v>
      </c>
      <c r="QU15" s="190">
        <f>IF(COUNT(QE15,QK15,QS15)=0,"",SUM(QE15,QK15,QS15)/COUNT(QE15,QK15,QS15))</f>
        <v>4</v>
      </c>
      <c r="QV15" s="188" t="str">
        <f t="shared" si="111"/>
        <v>A</v>
      </c>
      <c r="QW15" s="110"/>
      <c r="QX15" s="111"/>
      <c r="QY15" s="112"/>
      <c r="QZ15" s="165" t="str">
        <f>IFERROR((((COUNTIF('Elève (3ème1)'!QW15:QY15,"A"))*4)+((COUNTIF('Elève (3ème1)'!QW15:QY15,"B"))*3)+((COUNTIF('Elève (3ème1)'!QW15:QY15,"C"))*2)+((COUNTIF('Elève (3ème1)'!QW15:QY15,"D"))*1))/(COUNTA(QW15:QY15)),"")</f>
        <v/>
      </c>
      <c r="RA15" s="166" t="str">
        <f t="shared" si="112"/>
        <v/>
      </c>
      <c r="RB15" s="110"/>
      <c r="RC15" s="111"/>
      <c r="RD15" s="112"/>
      <c r="RE15" s="112"/>
      <c r="RF15" s="165" t="str">
        <f>IFERROR((((COUNTIF('Elève (3ème1)'!RB15:RE15,"A"))*4)+((COUNTIF('Elève (3ème1)'!RB15:RE15,"B"))*3)+((COUNTIF('Elève (3ème1)'!RB15:RE15,"C"))*2)+((COUNTIF('Elève (3ème1)'!RB15:RE15,"D"))*1))/(COUNTA(RB15:RE15)),"")</f>
        <v/>
      </c>
      <c r="RG15" s="166" t="str">
        <f t="shared" si="113"/>
        <v/>
      </c>
      <c r="RH15" s="110"/>
      <c r="RI15" s="111"/>
      <c r="RJ15" s="112"/>
      <c r="RK15" s="112" t="s">
        <v>27</v>
      </c>
      <c r="RL15" s="112"/>
      <c r="RM15" s="116"/>
      <c r="RN15" s="165">
        <f>IFERROR((((COUNTIF('Elève (3ème1)'!RH15:RM15,"A"))*4)+((COUNTIF('Elève (3ème1)'!RH15:RM15,"B"))*3)+((COUNTIF('Elève (3ème1)'!RH15:RM15,"C"))*2)+((COUNTIF('Elève (3ème1)'!RH15:RM15,"D"))*1))/(COUNTA(RH15:RM15)),"")</f>
        <v>4</v>
      </c>
      <c r="RO15" s="166" t="str">
        <f t="shared" si="114"/>
        <v>A</v>
      </c>
      <c r="RP15" s="190">
        <f>IF(COUNT(QZ15,RF15,RN15)=0,"",SUM(QZ15,RF15,RN15)/COUNT(QZ15,RF15,RN15))</f>
        <v>4</v>
      </c>
      <c r="RQ15" s="188" t="str">
        <f t="shared" si="115"/>
        <v>A</v>
      </c>
      <c r="RR15" s="110"/>
      <c r="RS15" s="111"/>
      <c r="RT15" s="112"/>
      <c r="RU15" s="165" t="str">
        <f>IFERROR((((COUNTIF('Elève (3ème1)'!RR15:RT15,"A"))*4)+((COUNTIF('Elève (3ème1)'!RR15:RT15,"B"))*3)+((COUNTIF('Elève (3ème1)'!RR15:RT15,"C"))*2)+((COUNTIF('Elève (3ème1)'!RR15:RT15,"D"))*1))/(COUNTA(RR15:RT15)),"")</f>
        <v/>
      </c>
      <c r="RV15" s="166" t="str">
        <f t="shared" si="116"/>
        <v/>
      </c>
      <c r="RW15" s="110"/>
      <c r="RX15" s="111"/>
      <c r="RY15" s="112"/>
      <c r="RZ15" s="112"/>
      <c r="SA15" s="165" t="str">
        <f>IFERROR((((COUNTIF('Elève (3ème1)'!RW15:RZ15,"A"))*4)+((COUNTIF('Elève (3ème1)'!RW15:RZ15,"B"))*3)+((COUNTIF('Elève (3ème1)'!RW15:RZ15,"C"))*2)+((COUNTIF('Elève (3ème1)'!RW15:RZ15,"D"))*1))/(COUNTA(RW15:RZ15)),"")</f>
        <v/>
      </c>
      <c r="SB15" s="166" t="str">
        <f t="shared" si="117"/>
        <v/>
      </c>
      <c r="SC15" s="110"/>
      <c r="SD15" s="111"/>
      <c r="SE15" s="112" t="s">
        <v>27</v>
      </c>
      <c r="SF15" s="112" t="s">
        <v>27</v>
      </c>
      <c r="SG15" s="112"/>
      <c r="SH15" s="116"/>
      <c r="SI15" s="165">
        <f>IFERROR((((COUNTIF('Elève (3ème1)'!SC15:SH15,"A"))*4)+((COUNTIF('Elève (3ème1)'!SC15:SH15,"B"))*3)+((COUNTIF('Elève (3ème1)'!SC15:SH15,"C"))*2)+((COUNTIF('Elève (3ème1)'!SC15:SH15,"D"))*1))/(COUNTA(SC15:SH15)),"")</f>
        <v>4</v>
      </c>
      <c r="SJ15" s="166" t="str">
        <f t="shared" si="118"/>
        <v>A</v>
      </c>
      <c r="SK15" s="190">
        <f>IF(COUNT(RU15,SA15,SI15)=0,"",SUM(RU15,SA15,SI15)/COUNT(RU15,SA15,SI15))</f>
        <v>4</v>
      </c>
      <c r="SL15" s="188" t="str">
        <f t="shared" si="119"/>
        <v>A</v>
      </c>
      <c r="SM15" s="110"/>
      <c r="SN15" s="111"/>
      <c r="SO15" s="112"/>
      <c r="SP15" s="165" t="str">
        <f>IFERROR((((COUNTIF('Elève (3ème1)'!SM15:SO15,"A"))*4)+((COUNTIF('Elève (3ème1)'!SM15:SO15,"B"))*3)+((COUNTIF('Elève (3ème1)'!SM15:SO15,"C"))*2)+((COUNTIF('Elève (3ème1)'!SM15:SO15,"D"))*1))/(COUNTA(SM15:SO15)),"")</f>
        <v/>
      </c>
      <c r="SQ15" s="166" t="str">
        <f t="shared" si="120"/>
        <v/>
      </c>
      <c r="SR15" s="110"/>
      <c r="SS15" s="111"/>
      <c r="ST15" s="112"/>
      <c r="SU15" s="112"/>
      <c r="SV15" s="165" t="str">
        <f>IFERROR((((COUNTIF('Elève (3ème1)'!SR15:SU15,"A"))*4)+((COUNTIF('Elève (3ème1)'!SR15:SU15,"B"))*3)+((COUNTIF('Elève (3ème1)'!SR15:SU15,"C"))*2)+((COUNTIF('Elève (3ème1)'!SR15:SU15,"D"))*1))/(COUNTA(SR15:SU15)),"")</f>
        <v/>
      </c>
      <c r="SW15" s="166" t="str">
        <f t="shared" si="121"/>
        <v/>
      </c>
      <c r="SX15" s="110"/>
      <c r="SY15" s="111"/>
      <c r="SZ15" s="112" t="s">
        <v>27</v>
      </c>
      <c r="TA15" s="112" t="s">
        <v>27</v>
      </c>
      <c r="TB15" s="112"/>
      <c r="TC15" s="116"/>
      <c r="TD15" s="165">
        <f>IFERROR((((COUNTIF('Elève (3ème1)'!SX15:TC15,"A"))*4)+((COUNTIF('Elève (3ème1)'!SX15:TC15,"B"))*3)+((COUNTIF('Elève (3ème1)'!SX15:TC15,"C"))*2)+((COUNTIF('Elève (3ème1)'!SX15:TC15,"D"))*1))/(COUNTA(SX15:TC15)),"")</f>
        <v>4</v>
      </c>
      <c r="TE15" s="166" t="str">
        <f t="shared" si="122"/>
        <v>A</v>
      </c>
      <c r="TF15" s="190">
        <f>IF(COUNT(SP15,SV15,TD15)=0,"",SUM(SP15,SV15,TD15)/COUNT(SP15,SV15,TD15))</f>
        <v>4</v>
      </c>
      <c r="TG15" s="188" t="str">
        <f t="shared" si="123"/>
        <v>A</v>
      </c>
      <c r="TH15" s="110"/>
      <c r="TI15" s="111"/>
      <c r="TJ15" s="112"/>
      <c r="TK15" s="113" t="str">
        <f>IFERROR((((COUNTIF('Elève (3ème1)'!TH15:TJ15,"A"))*4)+((COUNTIF('Elève (3ème1)'!TH15:TJ15,"B"))*3)+((COUNTIF('Elève (3ème1)'!TH15:TJ15,"C"))*2)+((COUNTIF('Elève (3ème1)'!TH15:TJ15,"D"))*1))/(COUNTA(TH15:TJ15)),"")</f>
        <v/>
      </c>
      <c r="TL15" s="114" t="str">
        <f t="shared" si="124"/>
        <v/>
      </c>
      <c r="TM15" s="110"/>
      <c r="TN15" s="111"/>
      <c r="TO15" s="112"/>
      <c r="TP15" s="113" t="str">
        <f>IFERROR((((COUNTIF('Elève (3ème1)'!TM15:TO15,"A"))*4)+((COUNTIF('Elève (3ème1)'!TM15:TO15,"B"))*3)+((COUNTIF('Elève (3ème1)'!TM15:TO15,"C"))*2)+((COUNTIF('Elève (3ème1)'!TM15:TO15,"D"))*1))/(COUNTA(TM15:TO15)),"")</f>
        <v/>
      </c>
      <c r="TQ15" s="114" t="str">
        <f t="shared" si="125"/>
        <v/>
      </c>
      <c r="TR15" s="110"/>
      <c r="TS15" s="111"/>
      <c r="TT15" s="116"/>
      <c r="TU15" s="113" t="str">
        <f>IFERROR((((COUNTIF('Elève (3ème1)'!TR15:TT15,"A"))*4)+((COUNTIF('Elève (3ème1)'!TR15:TT15,"B"))*3)+((COUNTIF('Elève (3ème1)'!TR15:TT15,"C"))*2)+((COUNTIF('Elève (3ème1)'!TR15:TT15,"D"))*1))/(COUNTA(TR15:TT15)),"")</f>
        <v/>
      </c>
      <c r="TV15" s="114" t="str">
        <f t="shared" si="126"/>
        <v/>
      </c>
      <c r="TW15" s="122" t="str">
        <f>IF(COUNT(TK15,TP15,TU15)=0,"",SUM(TK15,TP15,TU15)/COUNT(TK15,TP15,TU15))</f>
        <v/>
      </c>
      <c r="TX15" s="115" t="str">
        <f t="shared" si="127"/>
        <v/>
      </c>
      <c r="TY15" s="110"/>
      <c r="TZ15" s="111"/>
      <c r="UA15" s="112"/>
      <c r="UB15" s="113" t="str">
        <f>IFERROR((((COUNTIF('Elève (3ème1)'!TY15:UA15,"A"))*4)+((COUNTIF('Elève (3ème1)'!TY15:UA15,"B"))*3)+((COUNTIF('Elève (3ème1)'!TY15:UA15,"C"))*2)+((COUNTIF('Elève (3ème1)'!TY15:UA15,"D"))*1))/(COUNTA(TY15:UA15)),"")</f>
        <v/>
      </c>
      <c r="UC15" s="114" t="str">
        <f t="shared" si="128"/>
        <v/>
      </c>
      <c r="UD15" s="110"/>
      <c r="UE15" s="111"/>
      <c r="UF15" s="112"/>
      <c r="UG15" s="113" t="str">
        <f>IFERROR((((COUNTIF('Elève (3ème1)'!UD15:UF15,"A"))*4)+((COUNTIF('Elève (3ème1)'!UD15:UF15,"B"))*3)+((COUNTIF('Elève (3ème1)'!UD15:UF15,"C"))*2)+((COUNTIF('Elève (3ème1)'!UD15:UF15,"D"))*1))/(COUNTA(UD15:UF15)),"")</f>
        <v/>
      </c>
      <c r="UH15" s="114" t="str">
        <f t="shared" si="129"/>
        <v/>
      </c>
      <c r="UI15" s="110"/>
      <c r="UJ15" s="111"/>
      <c r="UK15" s="116"/>
      <c r="UL15" s="113" t="str">
        <f>IFERROR((((COUNTIF('Elève (3ème1)'!UI15:UK15,"A"))*4)+((COUNTIF('Elève (3ème1)'!UI15:UK15,"B"))*3)+((COUNTIF('Elève (3ème1)'!UI15:UK15,"C"))*2)+((COUNTIF('Elève (3ème1)'!UI15:UK15,"D"))*1))/(COUNTA(UI15:UK15)),"")</f>
        <v/>
      </c>
      <c r="UM15" s="114" t="str">
        <f t="shared" si="130"/>
        <v/>
      </c>
      <c r="UN15" s="122" t="str">
        <f>IF(COUNT(UB15,UG15,UL15)=0,"",SUM(UB15,UG15,UL15)/COUNT(UB15,UG15,UL15))</f>
        <v/>
      </c>
      <c r="UO15" s="115" t="str">
        <f t="shared" si="131"/>
        <v/>
      </c>
      <c r="UP15" s="110"/>
      <c r="UQ15" s="111"/>
      <c r="UR15" s="112"/>
      <c r="US15" s="113" t="str">
        <f>IFERROR((((COUNTIF('Elève (3ème1)'!UP15:UR15,"A"))*4)+((COUNTIF('Elève (3ème1)'!UP15:UR15,"B"))*3)+((COUNTIF('Elève (3ème1)'!UP15:UR15,"C"))*2)+((COUNTIF('Elève (3ème1)'!UP15:UR15,"D"))*1))/(COUNTA(UP15:UR15)),"")</f>
        <v/>
      </c>
      <c r="UT15" s="114" t="str">
        <f t="shared" si="132"/>
        <v/>
      </c>
      <c r="UU15" s="110"/>
      <c r="UV15" s="111"/>
      <c r="UW15" s="112"/>
      <c r="UX15" s="113" t="str">
        <f>IFERROR((((COUNTIF('Elève (3ème1)'!UU15:UW15,"A"))*4)+((COUNTIF('Elève (3ème1)'!UU15:UW15,"B"))*3)+((COUNTIF('Elève (3ème1)'!UU15:UW15,"C"))*2)+((COUNTIF('Elève (3ème1)'!UU15:UW15,"D"))*1))/(COUNTA(UU15:UW15)),"")</f>
        <v/>
      </c>
      <c r="UY15" s="114" t="str">
        <f t="shared" si="133"/>
        <v/>
      </c>
      <c r="UZ15" s="110"/>
      <c r="VA15" s="111"/>
      <c r="VB15" s="116"/>
      <c r="VC15" s="113" t="str">
        <f>IFERROR((((COUNTIF('Elève (3ème1)'!UZ15:VB15,"A"))*4)+((COUNTIF('Elève (3ème1)'!UZ15:VB15,"B"))*3)+((COUNTIF('Elève (3ème1)'!UZ15:VB15,"C"))*2)+((COUNTIF('Elève (3ème1)'!UZ15:VB15,"D"))*1))/(COUNTA(UZ15:VB15)),"")</f>
        <v/>
      </c>
      <c r="VD15" s="114" t="str">
        <f t="shared" si="134"/>
        <v/>
      </c>
      <c r="VE15" s="122" t="str">
        <f>IF(COUNT(US15,UX15,VC15)=0,"",SUM(US15,UX15,VC15)/COUNT(US15,UX15,VC15))</f>
        <v/>
      </c>
      <c r="VF15" s="115" t="str">
        <f t="shared" si="135"/>
        <v/>
      </c>
      <c r="VG15" s="110"/>
      <c r="VH15" s="111"/>
      <c r="VI15" s="112"/>
      <c r="VJ15" s="113" t="str">
        <f>IFERROR((((COUNTIF('Elève (3ème1)'!VG15:VI15,"A"))*4)+((COUNTIF('Elève (3ème1)'!VG15:VI15,"B"))*3)+((COUNTIF('Elève (3ème1)'!VG15:VI15,"C"))*2)+((COUNTIF('Elève (3ème1)'!VG15:VI15,"D"))*1))/(COUNTA(VG15:VI15)),"")</f>
        <v/>
      </c>
      <c r="VK15" s="114" t="str">
        <f t="shared" si="136"/>
        <v/>
      </c>
      <c r="VL15" s="110"/>
      <c r="VM15" s="111"/>
      <c r="VN15" s="112"/>
      <c r="VO15" s="113" t="str">
        <f>IFERROR((((COUNTIF('Elève (3ème1)'!VL15:VN15,"A"))*4)+((COUNTIF('Elève (3ème1)'!VL15:VN15,"B"))*3)+((COUNTIF('Elève (3ème1)'!VL15:VN15,"C"))*2)+((COUNTIF('Elève (3ème1)'!VL15:VN15,"D"))*1))/(COUNTA(VL15:VN15)),"")</f>
        <v/>
      </c>
      <c r="VP15" s="114" t="str">
        <f t="shared" si="137"/>
        <v/>
      </c>
      <c r="VQ15" s="110"/>
      <c r="VR15" s="111"/>
      <c r="VS15" s="116"/>
      <c r="VT15" s="113" t="str">
        <f>IFERROR((((COUNTIF('Elève (3ème1)'!VQ15:VS15,"A"))*4)+((COUNTIF('Elève (3ème1)'!VQ15:VS15,"B"))*3)+((COUNTIF('Elève (3ème1)'!VQ15:VS15,"C"))*2)+((COUNTIF('Elève (3ème1)'!VQ15:VS15,"D"))*1))/(COUNTA(VQ15:VS15)),"")</f>
        <v/>
      </c>
      <c r="VU15" s="114" t="str">
        <f t="shared" si="138"/>
        <v/>
      </c>
      <c r="VV15" s="122" t="str">
        <f>IF(COUNT(VJ15,VO15,VT15)=0,"",SUM(VJ15,VO15,VT15)/COUNT(VJ15,VO15,VT15))</f>
        <v/>
      </c>
      <c r="VW15" s="115" t="str">
        <f t="shared" si="139"/>
        <v/>
      </c>
      <c r="VX15" s="110"/>
      <c r="VY15" s="111"/>
      <c r="VZ15" s="112"/>
      <c r="WA15" s="113" t="str">
        <f>IFERROR((((COUNTIF('Elève (3ème1)'!VX15:VZ15,"A"))*4)+((COUNTIF('Elève (3ème1)'!VX15:VZ15,"B"))*3)+((COUNTIF('Elève (3ème1)'!VX15:VZ15,"C"))*2)+((COUNTIF('Elève (3ème1)'!VX15:VZ15,"D"))*1))/(COUNTA(VX15:VZ15)),"")</f>
        <v/>
      </c>
      <c r="WB15" s="114" t="str">
        <f t="shared" si="140"/>
        <v/>
      </c>
      <c r="WC15" s="110"/>
      <c r="WD15" s="111"/>
      <c r="WE15" s="112"/>
      <c r="WF15" s="113" t="str">
        <f>IFERROR((((COUNTIF('Elève (3ème1)'!WC15:WE15,"A"))*4)+((COUNTIF('Elève (3ème1)'!WC15:WE15,"B"))*3)+((COUNTIF('Elève (3ème1)'!WC15:WE15,"C"))*2)+((COUNTIF('Elève (3ème1)'!WC15:WE15,"D"))*1))/(COUNTA(WC15:WE15)),"")</f>
        <v/>
      </c>
      <c r="WG15" s="114" t="str">
        <f t="shared" si="141"/>
        <v/>
      </c>
      <c r="WH15" s="110"/>
      <c r="WI15" s="111"/>
      <c r="WJ15" s="116"/>
      <c r="WK15" s="113" t="str">
        <f>IFERROR((((COUNTIF('Elève (3ème1)'!WH15:WJ15,"A"))*4)+((COUNTIF('Elève (3ème1)'!WH15:WJ15,"B"))*3)+((COUNTIF('Elève (3ème1)'!WH15:WJ15,"C"))*2)+((COUNTIF('Elève (3ème1)'!WH15:WJ15,"D"))*1))/(COUNTA(WH15:WJ15)),"")</f>
        <v/>
      </c>
      <c r="WL15" s="114" t="str">
        <f t="shared" si="142"/>
        <v/>
      </c>
      <c r="WM15" s="122" t="str">
        <f>IF(COUNT(WA15,WF15,WK15)=0,"",SUM(WA15,WF15,WK15)/COUNT(WA15,WF15,WK15))</f>
        <v/>
      </c>
      <c r="WN15" s="115" t="str">
        <f t="shared" si="143"/>
        <v/>
      </c>
    </row>
    <row r="16" spans="1:612" s="95" customFormat="1" ht="16.5" customHeight="1" thickBot="1" x14ac:dyDescent="0.6">
      <c r="A16" s="145" t="s">
        <v>20</v>
      </c>
      <c r="B16" s="120">
        <v>2</v>
      </c>
      <c r="C16" s="152"/>
      <c r="D16" s="65"/>
      <c r="E16" s="85"/>
      <c r="F16" s="159">
        <f>IF(COUNT(F17:F19)=0,"",SUM(F17:F19)/COUNT(F17:F19))</f>
        <v>2</v>
      </c>
      <c r="G16" s="160" t="str">
        <f t="shared" si="24"/>
        <v>C</v>
      </c>
      <c r="H16" s="152"/>
      <c r="I16" s="65"/>
      <c r="J16" s="65"/>
      <c r="K16" s="85"/>
      <c r="L16" s="159">
        <f>IF(COUNT(L17:L19)=0,"",SUM(L17:L19)/COUNT(L17:L19))</f>
        <v>3</v>
      </c>
      <c r="M16" s="175" t="str">
        <f t="shared" si="25"/>
        <v>B</v>
      </c>
      <c r="N16" s="153"/>
      <c r="O16" s="90"/>
      <c r="P16" s="90"/>
      <c r="Q16" s="90"/>
      <c r="R16" s="90"/>
      <c r="S16" s="91"/>
      <c r="T16" s="159">
        <f>IF(COUNT(T17:T19)=0,"",SUM(T17:T19)/COUNT(T17:T19))</f>
        <v>2.75</v>
      </c>
      <c r="U16" s="183" t="str">
        <f t="shared" si="26"/>
        <v>C</v>
      </c>
      <c r="V16" s="184">
        <f>IF(COUNT(V17:V19)=0,"",SUM(V17:V19)/COUNT(V17:V19))</f>
        <v>2.791666666666667</v>
      </c>
      <c r="W16" s="185" t="str">
        <f t="shared" si="27"/>
        <v>C</v>
      </c>
      <c r="X16" s="196"/>
      <c r="Y16" s="65"/>
      <c r="Z16" s="85"/>
      <c r="AA16" s="159">
        <f>IF(COUNT(AA17:AA19)=0,"",SUM(AA17:AA19)/COUNT(AA17:AA19))</f>
        <v>1</v>
      </c>
      <c r="AB16" s="160" t="str">
        <f t="shared" si="28"/>
        <v>D</v>
      </c>
      <c r="AC16" s="152"/>
      <c r="AD16" s="65"/>
      <c r="AE16" s="65"/>
      <c r="AF16" s="85"/>
      <c r="AG16" s="159">
        <f>IF(COUNT(AG17:AG19)=0,"",SUM(AG17:AG19)/COUNT(AG17:AG19))</f>
        <v>2.5</v>
      </c>
      <c r="AH16" s="175" t="str">
        <f t="shared" si="29"/>
        <v>C</v>
      </c>
      <c r="AI16" s="153"/>
      <c r="AJ16" s="90"/>
      <c r="AK16" s="90"/>
      <c r="AL16" s="90"/>
      <c r="AM16" s="90"/>
      <c r="AN16" s="91"/>
      <c r="AO16" s="159">
        <f>IF(COUNT(AO17:AO19)=0,"",SUM(AO17:AO19)/COUNT(AO17:AO19))</f>
        <v>2.5</v>
      </c>
      <c r="AP16" s="183" t="str">
        <f t="shared" si="30"/>
        <v>C</v>
      </c>
      <c r="AQ16" s="184">
        <f>IF(COUNT(AQ17:AQ19)=0,"",SUM(AQ17:AQ19)/COUNT(AQ17:AQ19))</f>
        <v>2.3333333333333335</v>
      </c>
      <c r="AR16" s="185" t="str">
        <f t="shared" si="31"/>
        <v>C</v>
      </c>
      <c r="AS16" s="196"/>
      <c r="AT16" s="65"/>
      <c r="AU16" s="85"/>
      <c r="AV16" s="159">
        <f>IF(COUNT(AV17:AV19)=0,"",SUM(AV17:AV19)/COUNT(AV17:AV19))</f>
        <v>2</v>
      </c>
      <c r="AW16" s="160" t="str">
        <f t="shared" si="32"/>
        <v>C</v>
      </c>
      <c r="AX16" s="152"/>
      <c r="AY16" s="65"/>
      <c r="AZ16" s="65"/>
      <c r="BA16" s="85"/>
      <c r="BB16" s="159">
        <f>IF(COUNT(BB17:BB19)=0,"",SUM(BB17:BB19)/COUNT(BB17:BB19))</f>
        <v>2.5</v>
      </c>
      <c r="BC16" s="175" t="str">
        <f t="shared" si="33"/>
        <v>C</v>
      </c>
      <c r="BD16" s="153"/>
      <c r="BE16" s="90"/>
      <c r="BF16" s="90"/>
      <c r="BG16" s="90"/>
      <c r="BH16" s="90"/>
      <c r="BI16" s="91"/>
      <c r="BJ16" s="159">
        <f>IF(COUNT(BJ17:BJ19)=0,"",SUM(BJ17:BJ19)/COUNT(BJ17:BJ19))</f>
        <v>2.5</v>
      </c>
      <c r="BK16" s="183" t="str">
        <f t="shared" si="34"/>
        <v>C</v>
      </c>
      <c r="BL16" s="184">
        <f>IF(COUNT(BL17:BL19)=0,"",SUM(BL17:BL19)/COUNT(BL17:BL19))</f>
        <v>2.5416666666666665</v>
      </c>
      <c r="BM16" s="185" t="str">
        <f t="shared" si="35"/>
        <v>C</v>
      </c>
      <c r="BN16" s="196"/>
      <c r="BO16" s="65"/>
      <c r="BP16" s="85"/>
      <c r="BQ16" s="159">
        <f>IF(COUNT(BQ17:BQ19)=0,"",SUM(BQ17:BQ19)/COUNT(BQ17:BQ19))</f>
        <v>2</v>
      </c>
      <c r="BR16" s="160" t="str">
        <f t="shared" si="36"/>
        <v>C</v>
      </c>
      <c r="BS16" s="152"/>
      <c r="BT16" s="65"/>
      <c r="BU16" s="65"/>
      <c r="BV16" s="85"/>
      <c r="BW16" s="159">
        <f>IF(COUNT(BW17:BW19)=0,"",SUM(BW17:BW19)/COUNT(BW17:BW19))</f>
        <v>2</v>
      </c>
      <c r="BX16" s="175" t="str">
        <f t="shared" si="37"/>
        <v>C</v>
      </c>
      <c r="BY16" s="153"/>
      <c r="BZ16" s="90"/>
      <c r="CA16" s="90"/>
      <c r="CB16" s="90"/>
      <c r="CC16" s="90"/>
      <c r="CD16" s="91"/>
      <c r="CE16" s="159">
        <f>IF(COUNT(CE17:CE19)=0,"",SUM(CE17:CE19)/COUNT(CE17:CE19))</f>
        <v>3.5</v>
      </c>
      <c r="CF16" s="183" t="str">
        <f t="shared" si="38"/>
        <v>B</v>
      </c>
      <c r="CG16" s="184">
        <f>IF(COUNT(CG17:CG19)=0,"",SUM(CG17:CG19)/COUNT(CG17:CG19))</f>
        <v>2.625</v>
      </c>
      <c r="CH16" s="185" t="str">
        <f t="shared" si="39"/>
        <v>C</v>
      </c>
      <c r="CI16" s="196"/>
      <c r="CJ16" s="65"/>
      <c r="CK16" s="85"/>
      <c r="CL16" s="159">
        <f>IF(COUNT(CL17:CL19)=0,"",SUM(CL17:CL19)/COUNT(CL17:CL19))</f>
        <v>2</v>
      </c>
      <c r="CM16" s="160" t="str">
        <f t="shared" si="40"/>
        <v>C</v>
      </c>
      <c r="CN16" s="152"/>
      <c r="CO16" s="65"/>
      <c r="CP16" s="65"/>
      <c r="CQ16" s="85"/>
      <c r="CR16" s="159">
        <f>IF(COUNT(CR17:CR19)=0,"",SUM(CR17:CR19)/COUNT(CR17:CR19))</f>
        <v>1</v>
      </c>
      <c r="CS16" s="175" t="str">
        <f t="shared" si="41"/>
        <v>D</v>
      </c>
      <c r="CT16" s="153"/>
      <c r="CU16" s="90"/>
      <c r="CV16" s="90"/>
      <c r="CW16" s="90"/>
      <c r="CX16" s="90"/>
      <c r="CY16" s="91"/>
      <c r="CZ16" s="159">
        <f>IF(COUNT(CZ17:CZ19)=0,"",SUM(CZ17:CZ19)/COUNT(CZ17:CZ19))</f>
        <v>2.5</v>
      </c>
      <c r="DA16" s="183" t="str">
        <f t="shared" si="42"/>
        <v>C</v>
      </c>
      <c r="DB16" s="184">
        <f>IF(COUNT(DB17:DB19)=0,"",SUM(DB17:DB19)/COUNT(DB17:DB19))</f>
        <v>1.8333333333333335</v>
      </c>
      <c r="DC16" s="185" t="str">
        <f t="shared" si="43"/>
        <v>C</v>
      </c>
      <c r="DD16" s="196"/>
      <c r="DE16" s="65"/>
      <c r="DF16" s="85"/>
      <c r="DG16" s="159">
        <f>IF(COUNT(DG17:DG19)=0,"",SUM(DG17:DG19)/COUNT(DG17:DG19))</f>
        <v>2</v>
      </c>
      <c r="DH16" s="160" t="str">
        <f t="shared" si="44"/>
        <v>C</v>
      </c>
      <c r="DI16" s="152"/>
      <c r="DJ16" s="65"/>
      <c r="DK16" s="65"/>
      <c r="DL16" s="85"/>
      <c r="DM16" s="159">
        <f>IF(COUNT(DM17:DM19)=0,"",SUM(DM17:DM19)/COUNT(DM17:DM19))</f>
        <v>2</v>
      </c>
      <c r="DN16" s="175" t="str">
        <f t="shared" si="45"/>
        <v>C</v>
      </c>
      <c r="DO16" s="153"/>
      <c r="DP16" s="90"/>
      <c r="DQ16" s="90"/>
      <c r="DR16" s="90"/>
      <c r="DS16" s="90"/>
      <c r="DT16" s="91"/>
      <c r="DU16" s="159">
        <f>IF(COUNT(DU17:DU19)=0,"",SUM(DU17:DU19)/COUNT(DU17:DU19))</f>
        <v>3</v>
      </c>
      <c r="DV16" s="183" t="str">
        <f t="shared" si="46"/>
        <v>B</v>
      </c>
      <c r="DW16" s="184">
        <f>IF(COUNT(DW17:DW19)=0,"",SUM(DW17:DW19)/COUNT(DW17:DW19))</f>
        <v>2.416666666666667</v>
      </c>
      <c r="DX16" s="185" t="str">
        <f t="shared" si="47"/>
        <v>C</v>
      </c>
      <c r="DY16" s="196"/>
      <c r="DZ16" s="65"/>
      <c r="EA16" s="85"/>
      <c r="EB16" s="159">
        <f>IF(COUNT(EB17:EB19)=0,"",SUM(EB17:EB19)/COUNT(EB17:EB19))</f>
        <v>2</v>
      </c>
      <c r="EC16" s="160" t="str">
        <f t="shared" si="48"/>
        <v>C</v>
      </c>
      <c r="ED16" s="152"/>
      <c r="EE16" s="65"/>
      <c r="EF16" s="65"/>
      <c r="EG16" s="85"/>
      <c r="EH16" s="159">
        <f>IF(COUNT(EH17:EH19)=0,"",SUM(EH17:EH19)/COUNT(EH17:EH19))</f>
        <v>2.5</v>
      </c>
      <c r="EI16" s="175" t="str">
        <f t="shared" si="49"/>
        <v>C</v>
      </c>
      <c r="EJ16" s="153"/>
      <c r="EK16" s="90"/>
      <c r="EL16" s="90"/>
      <c r="EM16" s="90"/>
      <c r="EN16" s="90"/>
      <c r="EO16" s="91"/>
      <c r="EP16" s="159">
        <f>IF(COUNT(EP17:EP19)=0,"",SUM(EP17:EP19)/COUNT(EP17:EP19))</f>
        <v>3</v>
      </c>
      <c r="EQ16" s="183" t="str">
        <f t="shared" si="50"/>
        <v>B</v>
      </c>
      <c r="ER16" s="184">
        <f>IF(COUNT(ER17:ER19)=0,"",SUM(ER17:ER19)/COUNT(ER17:ER19))</f>
        <v>2.666666666666667</v>
      </c>
      <c r="ES16" s="185" t="str">
        <f t="shared" si="51"/>
        <v>C</v>
      </c>
      <c r="ET16" s="196"/>
      <c r="EU16" s="65"/>
      <c r="EV16" s="85"/>
      <c r="EW16" s="159">
        <f>IF(COUNT(EW17:EW19)=0,"",SUM(EW17:EW19)/COUNT(EW17:EW19))</f>
        <v>2</v>
      </c>
      <c r="EX16" s="160" t="str">
        <f t="shared" si="52"/>
        <v>C</v>
      </c>
      <c r="EY16" s="152"/>
      <c r="EZ16" s="65"/>
      <c r="FA16" s="65"/>
      <c r="FB16" s="85"/>
      <c r="FC16" s="159">
        <f>IF(COUNT(FC17:FC19)=0,"",SUM(FC17:FC19)/COUNT(FC17:FC19))</f>
        <v>3</v>
      </c>
      <c r="FD16" s="175" t="str">
        <f t="shared" si="53"/>
        <v>B</v>
      </c>
      <c r="FE16" s="153"/>
      <c r="FF16" s="90"/>
      <c r="FG16" s="90"/>
      <c r="FH16" s="90"/>
      <c r="FI16" s="90"/>
      <c r="FJ16" s="91"/>
      <c r="FK16" s="159">
        <f>IF(COUNT(FK17:FK19)=0,"",SUM(FK17:FK19)/COUNT(FK17:FK19))</f>
        <v>2.75</v>
      </c>
      <c r="FL16" s="183" t="str">
        <f t="shared" si="54"/>
        <v>C</v>
      </c>
      <c r="FM16" s="184">
        <f>IF(COUNT(FM17:FM19)=0,"",SUM(FM17:FM19)/COUNT(FM17:FM19))</f>
        <v>2.75</v>
      </c>
      <c r="FN16" s="185" t="str">
        <f t="shared" si="55"/>
        <v>C</v>
      </c>
      <c r="FO16" s="196"/>
      <c r="FP16" s="65"/>
      <c r="FQ16" s="85"/>
      <c r="FR16" s="159">
        <f>IF(COUNT(FR17:FR19)=0,"",SUM(FR17:FR19)/COUNT(FR17:FR19))</f>
        <v>1</v>
      </c>
      <c r="FS16" s="160" t="str">
        <f t="shared" si="56"/>
        <v>D</v>
      </c>
      <c r="FT16" s="152"/>
      <c r="FU16" s="65"/>
      <c r="FV16" s="65"/>
      <c r="FW16" s="85"/>
      <c r="FX16" s="159">
        <f>IF(COUNT(FX17:FX19)=0,"",SUM(FX17:FX19)/COUNT(FX17:FX19))</f>
        <v>2</v>
      </c>
      <c r="FY16" s="175" t="str">
        <f t="shared" si="57"/>
        <v>C</v>
      </c>
      <c r="FZ16" s="153"/>
      <c r="GA16" s="90"/>
      <c r="GB16" s="90"/>
      <c r="GC16" s="90"/>
      <c r="GD16" s="90"/>
      <c r="GE16" s="91"/>
      <c r="GF16" s="159">
        <f>IF(COUNT(GF17:GF19)=0,"",SUM(GF17:GF19)/COUNT(GF17:GF19))</f>
        <v>2.75</v>
      </c>
      <c r="GG16" s="183" t="str">
        <f t="shared" si="58"/>
        <v>C</v>
      </c>
      <c r="GH16" s="184">
        <f>IF(COUNT(GH17:GH19)=0,"",SUM(GH17:GH19)/COUNT(GH17:GH19))</f>
        <v>2.1666666666666665</v>
      </c>
      <c r="GI16" s="185" t="str">
        <f t="shared" si="59"/>
        <v>C</v>
      </c>
      <c r="GJ16" s="196"/>
      <c r="GK16" s="65"/>
      <c r="GL16" s="85"/>
      <c r="GM16" s="159">
        <f>IF(COUNT(GM17:GM19)=0,"",SUM(GM17:GM19)/COUNT(GM17:GM19))</f>
        <v>1</v>
      </c>
      <c r="GN16" s="160" t="str">
        <f t="shared" si="60"/>
        <v>D</v>
      </c>
      <c r="GO16" s="152"/>
      <c r="GP16" s="65"/>
      <c r="GQ16" s="65"/>
      <c r="GR16" s="85"/>
      <c r="GS16" s="159">
        <f>IF(COUNT(GS17:GS19)=0,"",SUM(GS17:GS19)/COUNT(GS17:GS19))</f>
        <v>2.5</v>
      </c>
      <c r="GT16" s="175" t="str">
        <f t="shared" si="61"/>
        <v>C</v>
      </c>
      <c r="GU16" s="153"/>
      <c r="GV16" s="90"/>
      <c r="GW16" s="90"/>
      <c r="GX16" s="90"/>
      <c r="GY16" s="90"/>
      <c r="GZ16" s="91"/>
      <c r="HA16" s="159">
        <f>IF(COUNT(HA17:HA19)=0,"",SUM(HA17:HA19)/COUNT(HA17:HA19))</f>
        <v>2</v>
      </c>
      <c r="HB16" s="183" t="str">
        <f t="shared" si="62"/>
        <v>C</v>
      </c>
      <c r="HC16" s="184">
        <f>IF(COUNT(HC17:HC19)=0,"",SUM(HC17:HC19)/COUNT(HC17:HC19))</f>
        <v>2.125</v>
      </c>
      <c r="HD16" s="185" t="str">
        <f t="shared" si="63"/>
        <v>C</v>
      </c>
      <c r="HE16" s="196"/>
      <c r="HF16" s="65"/>
      <c r="HG16" s="85"/>
      <c r="HH16" s="159">
        <f>IF(COUNT(HH17:HH19)=0,"",SUM(HH17:HH19)/COUNT(HH17:HH19))</f>
        <v>2</v>
      </c>
      <c r="HI16" s="160" t="str">
        <f t="shared" si="64"/>
        <v>C</v>
      </c>
      <c r="HJ16" s="152"/>
      <c r="HK16" s="65"/>
      <c r="HL16" s="65"/>
      <c r="HM16" s="85"/>
      <c r="HN16" s="159">
        <f>IF(COUNT(HN17:HN19)=0,"",SUM(HN17:HN19)/COUNT(HN17:HN19))</f>
        <v>2.5</v>
      </c>
      <c r="HO16" s="175" t="str">
        <f t="shared" si="65"/>
        <v>C</v>
      </c>
      <c r="HP16" s="153"/>
      <c r="HQ16" s="90"/>
      <c r="HR16" s="90"/>
      <c r="HS16" s="90"/>
      <c r="HT16" s="90"/>
      <c r="HU16" s="91"/>
      <c r="HV16" s="159">
        <f>IF(COUNT(HV17:HV19)=0,"",SUM(HV17:HV19)/COUNT(HV17:HV19))</f>
        <v>3</v>
      </c>
      <c r="HW16" s="183" t="str">
        <f t="shared" si="66"/>
        <v>B</v>
      </c>
      <c r="HX16" s="184">
        <f>IF(COUNT(HX17:HX19)=0,"",SUM(HX17:HX19)/COUNT(HX17:HX19))</f>
        <v>2.75</v>
      </c>
      <c r="HY16" s="185" t="str">
        <f t="shared" si="67"/>
        <v>C</v>
      </c>
      <c r="HZ16" s="196"/>
      <c r="IA16" s="65"/>
      <c r="IB16" s="85"/>
      <c r="IC16" s="159">
        <f>IF(COUNT(IC17:IC19)=0,"",SUM(IC17:IC19)/COUNT(IC17:IC19))</f>
        <v>1</v>
      </c>
      <c r="ID16" s="160" t="str">
        <f t="shared" si="68"/>
        <v>D</v>
      </c>
      <c r="IE16" s="152"/>
      <c r="IF16" s="65"/>
      <c r="IG16" s="65"/>
      <c r="IH16" s="85"/>
      <c r="II16" s="159">
        <f>IF(COUNT(II17:II19)=0,"",SUM(II17:II19)/COUNT(II17:II19))</f>
        <v>1.5</v>
      </c>
      <c r="IJ16" s="175" t="str">
        <f t="shared" si="69"/>
        <v>D</v>
      </c>
      <c r="IK16" s="153"/>
      <c r="IL16" s="90"/>
      <c r="IM16" s="90"/>
      <c r="IN16" s="90"/>
      <c r="IO16" s="90"/>
      <c r="IP16" s="91"/>
      <c r="IQ16" s="159">
        <f>IF(COUNT(IQ17:IQ19)=0,"",SUM(IQ17:IQ19)/COUNT(IQ17:IQ19))</f>
        <v>3</v>
      </c>
      <c r="IR16" s="183" t="str">
        <f t="shared" si="70"/>
        <v>B</v>
      </c>
      <c r="IS16" s="184">
        <f>IF(COUNT(IS17:IS19)=0,"",SUM(IS17:IS19)/COUNT(IS17:IS19))</f>
        <v>2.0833333333333335</v>
      </c>
      <c r="IT16" s="185" t="str">
        <f t="shared" si="71"/>
        <v>C</v>
      </c>
      <c r="IU16" s="196"/>
      <c r="IV16" s="65"/>
      <c r="IW16" s="85"/>
      <c r="IX16" s="159">
        <f>IF(COUNT(IX17:IX19)=0,"",SUM(IX17:IX19)/COUNT(IX17:IX19))</f>
        <v>3</v>
      </c>
      <c r="IY16" s="160" t="str">
        <f t="shared" si="72"/>
        <v>B</v>
      </c>
      <c r="IZ16" s="152"/>
      <c r="JA16" s="65"/>
      <c r="JB16" s="65"/>
      <c r="JC16" s="85"/>
      <c r="JD16" s="159">
        <f>IF(COUNT(JD17:JD19)=0,"",SUM(JD17:JD19)/COUNT(JD17:JD19))</f>
        <v>2</v>
      </c>
      <c r="JE16" s="175" t="str">
        <f t="shared" si="73"/>
        <v>C</v>
      </c>
      <c r="JF16" s="153"/>
      <c r="JG16" s="90"/>
      <c r="JH16" s="90"/>
      <c r="JI16" s="90"/>
      <c r="JJ16" s="90"/>
      <c r="JK16" s="91"/>
      <c r="JL16" s="159">
        <f>IF(COUNT(JL17:JL19)=0,"",SUM(JL17:JL19)/COUNT(JL17:JL19))</f>
        <v>2.75</v>
      </c>
      <c r="JM16" s="183" t="str">
        <f t="shared" si="74"/>
        <v>C</v>
      </c>
      <c r="JN16" s="184">
        <f>IF(COUNT(JN17:JN19)=0,"",SUM(JN17:JN19)/COUNT(JN17:JN19))</f>
        <v>2.5</v>
      </c>
      <c r="JO16" s="185" t="str">
        <f t="shared" si="75"/>
        <v>C</v>
      </c>
      <c r="JP16" s="196"/>
      <c r="JQ16" s="65"/>
      <c r="JR16" s="85"/>
      <c r="JS16" s="159">
        <f>IF(COUNT(JS17:JS19)=0,"",SUM(JS17:JS19)/COUNT(JS17:JS19))</f>
        <v>2</v>
      </c>
      <c r="JT16" s="160" t="str">
        <f t="shared" si="76"/>
        <v>C</v>
      </c>
      <c r="JU16" s="152"/>
      <c r="JV16" s="65"/>
      <c r="JW16" s="65"/>
      <c r="JX16" s="85"/>
      <c r="JY16" s="159">
        <f>IF(COUNT(JY17:JY19)=0,"",SUM(JY17:JY19)/COUNT(JY17:JY19))</f>
        <v>1</v>
      </c>
      <c r="JZ16" s="175" t="str">
        <f t="shared" si="77"/>
        <v>D</v>
      </c>
      <c r="KA16" s="153"/>
      <c r="KB16" s="90"/>
      <c r="KC16" s="90"/>
      <c r="KD16" s="90"/>
      <c r="KE16" s="90"/>
      <c r="KF16" s="91"/>
      <c r="KG16" s="159">
        <f>IF(COUNT(KG17:KG19)=0,"",SUM(KG17:KG19)/COUNT(KG17:KG19))</f>
        <v>2.25</v>
      </c>
      <c r="KH16" s="183" t="str">
        <f t="shared" si="78"/>
        <v>C</v>
      </c>
      <c r="KI16" s="184">
        <f>IF(COUNT(KI17:KI19)=0,"",SUM(KI17:KI19)/COUNT(KI17:KI19))</f>
        <v>1.7083333333333335</v>
      </c>
      <c r="KJ16" s="185" t="str">
        <f t="shared" si="79"/>
        <v>C</v>
      </c>
      <c r="KK16" s="196"/>
      <c r="KL16" s="65"/>
      <c r="KM16" s="85"/>
      <c r="KN16" s="159">
        <f>IF(COUNT(KN17:KN19)=0,"",SUM(KN17:KN19)/COUNT(KN17:KN19))</f>
        <v>1</v>
      </c>
      <c r="KO16" s="160" t="str">
        <f t="shared" si="80"/>
        <v>D</v>
      </c>
      <c r="KP16" s="152"/>
      <c r="KQ16" s="65"/>
      <c r="KR16" s="65"/>
      <c r="KS16" s="85"/>
      <c r="KT16" s="159">
        <f>IF(COUNT(KT17:KT19)=0,"",SUM(KT17:KT19)/COUNT(KT17:KT19))</f>
        <v>2.5</v>
      </c>
      <c r="KU16" s="175" t="str">
        <f t="shared" si="81"/>
        <v>C</v>
      </c>
      <c r="KV16" s="153"/>
      <c r="KW16" s="90"/>
      <c r="KX16" s="90"/>
      <c r="KY16" s="90"/>
      <c r="KZ16" s="90"/>
      <c r="LA16" s="91"/>
      <c r="LB16" s="159">
        <f>IF(COUNT(LB17:LB19)=0,"",SUM(LB17:LB19)/COUNT(LB17:LB19))</f>
        <v>2.5</v>
      </c>
      <c r="LC16" s="183" t="str">
        <f t="shared" si="82"/>
        <v>C</v>
      </c>
      <c r="LD16" s="184">
        <f>IF(COUNT(LD17:LD19)=0,"",SUM(LD17:LD19)/COUNT(LD17:LD19))</f>
        <v>2.375</v>
      </c>
      <c r="LE16" s="185" t="str">
        <f t="shared" si="83"/>
        <v>C</v>
      </c>
      <c r="LF16" s="196"/>
      <c r="LG16" s="65"/>
      <c r="LH16" s="85"/>
      <c r="LI16" s="159">
        <f>IF(COUNT(LI17:LI19)=0,"",SUM(LI17:LI19)/COUNT(LI17:LI19))</f>
        <v>1</v>
      </c>
      <c r="LJ16" s="160" t="str">
        <f t="shared" si="84"/>
        <v>D</v>
      </c>
      <c r="LK16" s="152"/>
      <c r="LL16" s="65"/>
      <c r="LM16" s="65"/>
      <c r="LN16" s="85"/>
      <c r="LO16" s="159">
        <f>IF(COUNT(LO17:LO19)=0,"",SUM(LO17:LO19)/COUNT(LO17:LO19))</f>
        <v>2.5</v>
      </c>
      <c r="LP16" s="175" t="str">
        <f t="shared" si="85"/>
        <v>C</v>
      </c>
      <c r="LQ16" s="153"/>
      <c r="LR16" s="90"/>
      <c r="LS16" s="90"/>
      <c r="LT16" s="90"/>
      <c r="LU16" s="90"/>
      <c r="LV16" s="91"/>
      <c r="LW16" s="159">
        <f>IF(COUNT(LW17:LW19)=0,"",SUM(LW17:LW19)/COUNT(LW17:LW19))</f>
        <v>2.25</v>
      </c>
      <c r="LX16" s="183" t="str">
        <f t="shared" si="86"/>
        <v>C</v>
      </c>
      <c r="LY16" s="184">
        <f>IF(COUNT(LY17:LY19)=0,"",SUM(LY17:LY19)/COUNT(LY17:LY19))</f>
        <v>2.25</v>
      </c>
      <c r="LZ16" s="185" t="str">
        <f t="shared" si="87"/>
        <v>C</v>
      </c>
      <c r="MA16" s="196"/>
      <c r="MB16" s="65"/>
      <c r="MC16" s="85"/>
      <c r="MD16" s="159">
        <f>IF(COUNT(MD17:MD19)=0,"",SUM(MD17:MD19)/COUNT(MD17:MD19))</f>
        <v>1</v>
      </c>
      <c r="ME16" s="160" t="str">
        <f t="shared" si="88"/>
        <v>D</v>
      </c>
      <c r="MF16" s="152"/>
      <c r="MG16" s="65"/>
      <c r="MH16" s="65"/>
      <c r="MI16" s="85"/>
      <c r="MJ16" s="159">
        <f>IF(COUNT(MJ17:MJ19)=0,"",SUM(MJ17:MJ19)/COUNT(MJ17:MJ19))</f>
        <v>2</v>
      </c>
      <c r="MK16" s="175" t="str">
        <f t="shared" si="89"/>
        <v>C</v>
      </c>
      <c r="ML16" s="153"/>
      <c r="MM16" s="90"/>
      <c r="MN16" s="90"/>
      <c r="MO16" s="90"/>
      <c r="MP16" s="90"/>
      <c r="MQ16" s="91"/>
      <c r="MR16" s="159">
        <f>IF(COUNT(MR17:MR19)=0,"",SUM(MR17:MR19)/COUNT(MR17:MR19))</f>
        <v>2.5</v>
      </c>
      <c r="MS16" s="183" t="str">
        <f t="shared" si="90"/>
        <v>C</v>
      </c>
      <c r="MT16" s="184">
        <f>IF(COUNT(MT17:MT19)=0,"",SUM(MT17:MT19)/COUNT(MT17:MT19))</f>
        <v>2.0833333333333335</v>
      </c>
      <c r="MU16" s="185" t="str">
        <f t="shared" si="91"/>
        <v>C</v>
      </c>
      <c r="MV16" s="196"/>
      <c r="MW16" s="65"/>
      <c r="MX16" s="85"/>
      <c r="MY16" s="159">
        <f>IF(COUNT(MY17:MY19)=0,"",SUM(MY17:MY19)/COUNT(MY17:MY19))</f>
        <v>3</v>
      </c>
      <c r="MZ16" s="160" t="str">
        <f t="shared" si="92"/>
        <v>B</v>
      </c>
      <c r="NA16" s="152"/>
      <c r="NB16" s="65"/>
      <c r="NC16" s="65"/>
      <c r="ND16" s="85"/>
      <c r="NE16" s="159">
        <f>IF(COUNT(NE17:NE19)=0,"",SUM(NE17:NE19)/COUNT(NE17:NE19))</f>
        <v>2</v>
      </c>
      <c r="NF16" s="175" t="str">
        <f t="shared" si="93"/>
        <v>C</v>
      </c>
      <c r="NG16" s="153"/>
      <c r="NH16" s="90"/>
      <c r="NI16" s="90"/>
      <c r="NJ16" s="90"/>
      <c r="NK16" s="90"/>
      <c r="NL16" s="91"/>
      <c r="NM16" s="159">
        <f>IF(COUNT(NM17:NM19)=0,"",SUM(NM17:NM19)/COUNT(NM17:NM19))</f>
        <v>3.25</v>
      </c>
      <c r="NN16" s="183" t="str">
        <f t="shared" si="94"/>
        <v>B</v>
      </c>
      <c r="NO16" s="184">
        <f>IF(COUNT(NO17:NO19)=0,"",SUM(NO17:NO19)/COUNT(NO17:NO19))</f>
        <v>2.708333333333333</v>
      </c>
      <c r="NP16" s="185" t="str">
        <f t="shared" si="95"/>
        <v>C</v>
      </c>
      <c r="NQ16" s="196"/>
      <c r="NR16" s="65"/>
      <c r="NS16" s="85"/>
      <c r="NT16" s="159">
        <f>IF(COUNT(NT17:NT19)=0,"",SUM(NT17:NT19)/COUNT(NT17:NT19))</f>
        <v>2</v>
      </c>
      <c r="NU16" s="160" t="str">
        <f t="shared" si="96"/>
        <v>C</v>
      </c>
      <c r="NV16" s="152"/>
      <c r="NW16" s="65"/>
      <c r="NX16" s="65"/>
      <c r="NY16" s="85"/>
      <c r="NZ16" s="159">
        <f>IF(COUNT(NZ17:NZ19)=0,"",SUM(NZ17:NZ19)/COUNT(NZ17:NZ19))</f>
        <v>1.5</v>
      </c>
      <c r="OA16" s="175" t="str">
        <f t="shared" si="97"/>
        <v>D</v>
      </c>
      <c r="OB16" s="153"/>
      <c r="OC16" s="90"/>
      <c r="OD16" s="90"/>
      <c r="OE16" s="90"/>
      <c r="OF16" s="90"/>
      <c r="OG16" s="91"/>
      <c r="OH16" s="159">
        <f>IF(COUNT(OH17:OH19)=0,"",SUM(OH17:OH19)/COUNT(OH17:OH19))</f>
        <v>3.25</v>
      </c>
      <c r="OI16" s="183" t="str">
        <f t="shared" si="98"/>
        <v>B</v>
      </c>
      <c r="OJ16" s="184">
        <f>IF(COUNT(OJ17:OJ19)=0,"",SUM(OJ17:OJ19)/COUNT(OJ17:OJ19))</f>
        <v>2.4166666666666665</v>
      </c>
      <c r="OK16" s="185" t="str">
        <f t="shared" si="99"/>
        <v>C</v>
      </c>
      <c r="OL16" s="196"/>
      <c r="OM16" s="65"/>
      <c r="ON16" s="85"/>
      <c r="OO16" s="159">
        <f>IF(COUNT(OO17:OO19)=0,"",SUM(OO17:OO19)/COUNT(OO17:OO19))</f>
        <v>1</v>
      </c>
      <c r="OP16" s="160" t="str">
        <f t="shared" si="100"/>
        <v>D</v>
      </c>
      <c r="OQ16" s="152"/>
      <c r="OR16" s="65"/>
      <c r="OS16" s="65"/>
      <c r="OT16" s="85"/>
      <c r="OU16" s="159">
        <f>IF(COUNT(OU17:OU19)=0,"",SUM(OU17:OU19)/COUNT(OU17:OU19))</f>
        <v>2</v>
      </c>
      <c r="OV16" s="175" t="str">
        <f t="shared" si="101"/>
        <v>C</v>
      </c>
      <c r="OW16" s="153"/>
      <c r="OX16" s="90"/>
      <c r="OY16" s="90"/>
      <c r="OZ16" s="90"/>
      <c r="PA16" s="90"/>
      <c r="PB16" s="91"/>
      <c r="PC16" s="159">
        <f>IF(COUNT(PC17:PC19)=0,"",SUM(PC17:PC19)/COUNT(PC17:PC19))</f>
        <v>2.75</v>
      </c>
      <c r="PD16" s="183" t="str">
        <f t="shared" si="102"/>
        <v>C</v>
      </c>
      <c r="PE16" s="184">
        <f>IF(COUNT(PE17:PE19)=0,"",SUM(PE17:PE19)/COUNT(PE17:PE19))</f>
        <v>2.2083333333333335</v>
      </c>
      <c r="PF16" s="185" t="str">
        <f t="shared" si="103"/>
        <v>C</v>
      </c>
      <c r="PG16" s="196"/>
      <c r="PH16" s="65"/>
      <c r="PI16" s="85"/>
      <c r="PJ16" s="159">
        <f>IF(COUNT(PJ17:PJ19)=0,"",SUM(PJ17:PJ19)/COUNT(PJ17:PJ19))</f>
        <v>2</v>
      </c>
      <c r="PK16" s="160" t="str">
        <f t="shared" si="104"/>
        <v>C</v>
      </c>
      <c r="PL16" s="152"/>
      <c r="PM16" s="65"/>
      <c r="PN16" s="65"/>
      <c r="PO16" s="85"/>
      <c r="PP16" s="159">
        <f>IF(COUNT(PP17:PP19)=0,"",SUM(PP17:PP19)/COUNT(PP17:PP19))</f>
        <v>2.5</v>
      </c>
      <c r="PQ16" s="175" t="str">
        <f t="shared" si="105"/>
        <v>C</v>
      </c>
      <c r="PR16" s="153"/>
      <c r="PS16" s="90"/>
      <c r="PT16" s="90"/>
      <c r="PU16" s="90"/>
      <c r="PV16" s="90"/>
      <c r="PW16" s="91"/>
      <c r="PX16" s="159">
        <f>IF(COUNT(PX17:PX19)=0,"",SUM(PX17:PX19)/COUNT(PX17:PX19))</f>
        <v>3.25</v>
      </c>
      <c r="PY16" s="183" t="str">
        <f t="shared" si="106"/>
        <v>B</v>
      </c>
      <c r="PZ16" s="184">
        <f>IF(COUNT(PZ17:PZ19)=0,"",SUM(PZ17:PZ19)/COUNT(PZ17:PZ19))</f>
        <v>2.791666666666667</v>
      </c>
      <c r="QA16" s="185" t="str">
        <f t="shared" si="107"/>
        <v>C</v>
      </c>
      <c r="QB16" s="196"/>
      <c r="QC16" s="65"/>
      <c r="QD16" s="85"/>
      <c r="QE16" s="159">
        <f>IF(COUNT(QE17:QE19)=0,"",SUM(QE17:QE19)/COUNT(QE17:QE19))</f>
        <v>3</v>
      </c>
      <c r="QF16" s="160" t="str">
        <f t="shared" si="108"/>
        <v>B</v>
      </c>
      <c r="QG16" s="152"/>
      <c r="QH16" s="65"/>
      <c r="QI16" s="65"/>
      <c r="QJ16" s="85"/>
      <c r="QK16" s="159">
        <f>IF(COUNT(QK17:QK19)=0,"",SUM(QK17:QK19)/COUNT(QK17:QK19))</f>
        <v>3</v>
      </c>
      <c r="QL16" s="175" t="str">
        <f t="shared" si="109"/>
        <v>B</v>
      </c>
      <c r="QM16" s="153"/>
      <c r="QN16" s="90"/>
      <c r="QO16" s="90"/>
      <c r="QP16" s="90"/>
      <c r="QQ16" s="90"/>
      <c r="QR16" s="91"/>
      <c r="QS16" s="159">
        <f>IF(COUNT(QS17:QS19)=0,"",SUM(QS17:QS19)/COUNT(QS17:QS19))</f>
        <v>3.5</v>
      </c>
      <c r="QT16" s="183" t="str">
        <f t="shared" si="110"/>
        <v>B</v>
      </c>
      <c r="QU16" s="184">
        <f>IF(COUNT(QU17:QU19)=0,"",SUM(QU17:QU19)/COUNT(QU17:QU19))</f>
        <v>3.291666666666667</v>
      </c>
      <c r="QV16" s="185" t="str">
        <f t="shared" si="111"/>
        <v>B</v>
      </c>
      <c r="QW16" s="196"/>
      <c r="QX16" s="65"/>
      <c r="QY16" s="85"/>
      <c r="QZ16" s="159">
        <f>IF(COUNT(QZ17:QZ19)=0,"",SUM(QZ17:QZ19)/COUNT(QZ17:QZ19))</f>
        <v>2</v>
      </c>
      <c r="RA16" s="160" t="str">
        <f t="shared" si="112"/>
        <v>C</v>
      </c>
      <c r="RB16" s="152"/>
      <c r="RC16" s="65"/>
      <c r="RD16" s="65"/>
      <c r="RE16" s="85"/>
      <c r="RF16" s="159">
        <f>IF(COUNT(RF17:RF19)=0,"",SUM(RF17:RF19)/COUNT(RF17:RF19))</f>
        <v>2.5</v>
      </c>
      <c r="RG16" s="175" t="str">
        <f t="shared" si="113"/>
        <v>C</v>
      </c>
      <c r="RH16" s="153"/>
      <c r="RI16" s="90"/>
      <c r="RJ16" s="90"/>
      <c r="RK16" s="90"/>
      <c r="RL16" s="90"/>
      <c r="RM16" s="91"/>
      <c r="RN16" s="159">
        <f>IF(COUNT(RN17:RN19)=0,"",SUM(RN17:RN19)/COUNT(RN17:RN19))</f>
        <v>2.75</v>
      </c>
      <c r="RO16" s="183" t="str">
        <f t="shared" si="114"/>
        <v>C</v>
      </c>
      <c r="RP16" s="184">
        <f>IF(COUNT(RP17:RP19)=0,"",SUM(RP17:RP19)/COUNT(RP17:RP19))</f>
        <v>2.583333333333333</v>
      </c>
      <c r="RQ16" s="185" t="str">
        <f t="shared" si="115"/>
        <v>C</v>
      </c>
      <c r="RR16" s="196"/>
      <c r="RS16" s="65"/>
      <c r="RT16" s="85"/>
      <c r="RU16" s="159">
        <f>IF(COUNT(RU17:RU19)=0,"",SUM(RU17:RU19)/COUNT(RU17:RU19))</f>
        <v>2</v>
      </c>
      <c r="RV16" s="160" t="str">
        <f t="shared" si="116"/>
        <v>C</v>
      </c>
      <c r="RW16" s="152"/>
      <c r="RX16" s="65"/>
      <c r="RY16" s="65"/>
      <c r="RZ16" s="85"/>
      <c r="SA16" s="159">
        <f>IF(COUNT(SA17:SA19)=0,"",SUM(SA17:SA19)/COUNT(SA17:SA19))</f>
        <v>2</v>
      </c>
      <c r="SB16" s="175" t="str">
        <f t="shared" si="117"/>
        <v>C</v>
      </c>
      <c r="SC16" s="153"/>
      <c r="SD16" s="90"/>
      <c r="SE16" s="90"/>
      <c r="SF16" s="90"/>
      <c r="SG16" s="90"/>
      <c r="SH16" s="91"/>
      <c r="SI16" s="159">
        <f>IF(COUNT(SI17:SI19)=0,"",SUM(SI17:SI19)/COUNT(SI17:SI19))</f>
        <v>3.25</v>
      </c>
      <c r="SJ16" s="183" t="str">
        <f t="shared" si="118"/>
        <v>B</v>
      </c>
      <c r="SK16" s="184">
        <f>IF(COUNT(SK17:SK19)=0,"",SUM(SK17:SK19)/COUNT(SK17:SK19))</f>
        <v>2.541666666666667</v>
      </c>
      <c r="SL16" s="185" t="str">
        <f t="shared" si="119"/>
        <v>C</v>
      </c>
      <c r="SM16" s="196"/>
      <c r="SN16" s="65"/>
      <c r="SO16" s="85"/>
      <c r="SP16" s="159">
        <f>IF(COUNT(SP17:SP19)=0,"",SUM(SP17:SP19)/COUNT(SP17:SP19))</f>
        <v>2</v>
      </c>
      <c r="SQ16" s="160" t="str">
        <f t="shared" si="120"/>
        <v>C</v>
      </c>
      <c r="SR16" s="152"/>
      <c r="SS16" s="65"/>
      <c r="ST16" s="65"/>
      <c r="SU16" s="85"/>
      <c r="SV16" s="159">
        <f>IF(COUNT(SV17:SV19)=0,"",SUM(SV17:SV19)/COUNT(SV17:SV19))</f>
        <v>2.5</v>
      </c>
      <c r="SW16" s="175" t="str">
        <f t="shared" si="121"/>
        <v>C</v>
      </c>
      <c r="SX16" s="153"/>
      <c r="SY16" s="90"/>
      <c r="SZ16" s="90"/>
      <c r="TA16" s="90"/>
      <c r="TB16" s="90"/>
      <c r="TC16" s="91"/>
      <c r="TD16" s="159">
        <f>IF(COUNT(TD17:TD19)=0,"",SUM(TD17:TD19)/COUNT(TD17:TD19))</f>
        <v>2.75</v>
      </c>
      <c r="TE16" s="183" t="str">
        <f t="shared" si="122"/>
        <v>C</v>
      </c>
      <c r="TF16" s="184">
        <f>IF(COUNT(TF17:TF19)=0,"",SUM(TF17:TF19)/COUNT(TF17:TF19))</f>
        <v>2.625</v>
      </c>
      <c r="TG16" s="185" t="str">
        <f t="shared" si="123"/>
        <v>C</v>
      </c>
      <c r="TH16" s="121"/>
      <c r="TI16" s="65"/>
      <c r="TJ16" s="85"/>
      <c r="TK16" s="86" t="str">
        <f>IF(COUNT(TK17:TK19)=0,"",SUM(TK17:TK19)/COUNT(TK17:TK19))</f>
        <v/>
      </c>
      <c r="TL16" s="87" t="str">
        <f t="shared" si="124"/>
        <v/>
      </c>
      <c r="TM16" s="84"/>
      <c r="TN16" s="65"/>
      <c r="TO16" s="85"/>
      <c r="TP16" s="86" t="str">
        <f>IF(COUNT(TP17:TP19)=0,"",SUM(TP17:TP19)/COUNT(TP17:TP19))</f>
        <v/>
      </c>
      <c r="TQ16" s="88" t="str">
        <f t="shared" si="125"/>
        <v/>
      </c>
      <c r="TR16" s="89"/>
      <c r="TS16" s="90"/>
      <c r="TT16" s="91"/>
      <c r="TU16" s="86" t="str">
        <f>IF(COUNT(TU17:TU19)=0,"",SUM(TU17:TU19)/COUNT(TU17:TU19))</f>
        <v/>
      </c>
      <c r="TV16" s="92" t="str">
        <f t="shared" si="126"/>
        <v/>
      </c>
      <c r="TW16" s="93" t="str">
        <f>IF(COUNT(TW17:TW19)=0,"",SUM(TW17:TW19)/COUNT(TW17:TW19))</f>
        <v/>
      </c>
      <c r="TX16" s="94" t="str">
        <f t="shared" si="127"/>
        <v/>
      </c>
      <c r="TY16" s="121"/>
      <c r="TZ16" s="65"/>
      <c r="UA16" s="85"/>
      <c r="UB16" s="86" t="str">
        <f>IF(COUNT(UB17:UB19)=0,"",SUM(UB17:UB19)/COUNT(UB17:UB19))</f>
        <v/>
      </c>
      <c r="UC16" s="87" t="str">
        <f t="shared" si="128"/>
        <v/>
      </c>
      <c r="UD16" s="84"/>
      <c r="UE16" s="65"/>
      <c r="UF16" s="85"/>
      <c r="UG16" s="86" t="str">
        <f>IF(COUNT(UG17:UG19)=0,"",SUM(UG17:UG19)/COUNT(UG17:UG19))</f>
        <v/>
      </c>
      <c r="UH16" s="88" t="str">
        <f t="shared" si="129"/>
        <v/>
      </c>
      <c r="UI16" s="89"/>
      <c r="UJ16" s="90"/>
      <c r="UK16" s="91"/>
      <c r="UL16" s="86" t="str">
        <f>IF(COUNT(UL17:UL19)=0,"",SUM(UL17:UL19)/COUNT(UL17:UL19))</f>
        <v/>
      </c>
      <c r="UM16" s="92" t="str">
        <f t="shared" si="130"/>
        <v/>
      </c>
      <c r="UN16" s="93" t="str">
        <f>IF(COUNT(UN17:UN19)=0,"",SUM(UN17:UN19)/COUNT(UN17:UN19))</f>
        <v/>
      </c>
      <c r="UO16" s="94" t="str">
        <f t="shared" si="131"/>
        <v/>
      </c>
      <c r="UP16" s="121"/>
      <c r="UQ16" s="65"/>
      <c r="UR16" s="85"/>
      <c r="US16" s="86" t="str">
        <f>IF(COUNT(US17:US19)=0,"",SUM(US17:US19)/COUNT(US17:US19))</f>
        <v/>
      </c>
      <c r="UT16" s="87" t="str">
        <f t="shared" si="132"/>
        <v/>
      </c>
      <c r="UU16" s="84"/>
      <c r="UV16" s="65"/>
      <c r="UW16" s="85"/>
      <c r="UX16" s="86" t="str">
        <f>IF(COUNT(UX17:UX19)=0,"",SUM(UX17:UX19)/COUNT(UX17:UX19))</f>
        <v/>
      </c>
      <c r="UY16" s="88" t="str">
        <f t="shared" si="133"/>
        <v/>
      </c>
      <c r="UZ16" s="89"/>
      <c r="VA16" s="90"/>
      <c r="VB16" s="91"/>
      <c r="VC16" s="86" t="str">
        <f>IF(COUNT(VC17:VC19)=0,"",SUM(VC17:VC19)/COUNT(VC17:VC19))</f>
        <v/>
      </c>
      <c r="VD16" s="92" t="str">
        <f t="shared" si="134"/>
        <v/>
      </c>
      <c r="VE16" s="93" t="str">
        <f>IF(COUNT(VE17:VE19)=0,"",SUM(VE17:VE19)/COUNT(VE17:VE19))</f>
        <v/>
      </c>
      <c r="VF16" s="94" t="str">
        <f t="shared" si="135"/>
        <v/>
      </c>
      <c r="VG16" s="121"/>
      <c r="VH16" s="65"/>
      <c r="VI16" s="85"/>
      <c r="VJ16" s="86" t="str">
        <f>IF(COUNT(VJ17:VJ19)=0,"",SUM(VJ17:VJ19)/COUNT(VJ17:VJ19))</f>
        <v/>
      </c>
      <c r="VK16" s="87" t="str">
        <f t="shared" si="136"/>
        <v/>
      </c>
      <c r="VL16" s="84"/>
      <c r="VM16" s="65"/>
      <c r="VN16" s="85"/>
      <c r="VO16" s="86" t="str">
        <f>IF(COUNT(VO17:VO19)=0,"",SUM(VO17:VO19)/COUNT(VO17:VO19))</f>
        <v/>
      </c>
      <c r="VP16" s="88" t="str">
        <f t="shared" si="137"/>
        <v/>
      </c>
      <c r="VQ16" s="89"/>
      <c r="VR16" s="90"/>
      <c r="VS16" s="91"/>
      <c r="VT16" s="86" t="str">
        <f>IF(COUNT(VT17:VT19)=0,"",SUM(VT17:VT19)/COUNT(VT17:VT19))</f>
        <v/>
      </c>
      <c r="VU16" s="92" t="str">
        <f t="shared" si="138"/>
        <v/>
      </c>
      <c r="VV16" s="93" t="str">
        <f>IF(COUNT(VV17:VV19)=0,"",SUM(VV17:VV19)/COUNT(VV17:VV19))</f>
        <v/>
      </c>
      <c r="VW16" s="94" t="str">
        <f t="shared" si="139"/>
        <v/>
      </c>
      <c r="VX16" s="121"/>
      <c r="VY16" s="65"/>
      <c r="VZ16" s="85"/>
      <c r="WA16" s="86" t="str">
        <f>IF(COUNT(WA17:WA19)=0,"",SUM(WA17:WA19)/COUNT(WA17:WA19))</f>
        <v/>
      </c>
      <c r="WB16" s="87" t="str">
        <f t="shared" si="140"/>
        <v/>
      </c>
      <c r="WC16" s="84"/>
      <c r="WD16" s="65"/>
      <c r="WE16" s="85"/>
      <c r="WF16" s="86" t="str">
        <f>IF(COUNT(WF17:WF19)=0,"",SUM(WF17:WF19)/COUNT(WF17:WF19))</f>
        <v/>
      </c>
      <c r="WG16" s="88" t="str">
        <f t="shared" si="141"/>
        <v/>
      </c>
      <c r="WH16" s="89"/>
      <c r="WI16" s="90"/>
      <c r="WJ16" s="91"/>
      <c r="WK16" s="86" t="str">
        <f>IF(COUNT(WK17:WK19)=0,"",SUM(WK17:WK19)/COUNT(WK17:WK19))</f>
        <v/>
      </c>
      <c r="WL16" s="92" t="str">
        <f t="shared" si="142"/>
        <v/>
      </c>
      <c r="WM16" s="93" t="str">
        <f>IF(COUNT(WM17:WM19)=0,"",SUM(WM17:WM19)/COUNT(WM17:WM19))</f>
        <v/>
      </c>
      <c r="WN16" s="94" t="str">
        <f t="shared" si="143"/>
        <v/>
      </c>
    </row>
    <row r="17" spans="1:612" ht="18" customHeight="1" x14ac:dyDescent="0.55000000000000004">
      <c r="A17" s="217" t="s">
        <v>21</v>
      </c>
      <c r="B17" s="218"/>
      <c r="C17" s="103"/>
      <c r="D17" s="104" t="s">
        <v>29</v>
      </c>
      <c r="E17" s="105"/>
      <c r="F17" s="161">
        <f>IFERROR((((COUNTIF('Elève (3ème1)'!C17:E17,"A"))*4)+((COUNTIF('Elève (3ème1)'!C17:E17,"B"))*3)+((COUNTIF('Elève (3ème1)'!C17:E17,"C"))*2)+((COUNTIF('Elève (3ème1)'!C17:E17,"D"))*1))/(COUNTA(C17:E17)),"")</f>
        <v>2</v>
      </c>
      <c r="G17" s="162" t="str">
        <f t="shared" si="24"/>
        <v>C</v>
      </c>
      <c r="H17" s="103" t="s">
        <v>28</v>
      </c>
      <c r="I17" s="104"/>
      <c r="J17" s="105"/>
      <c r="K17" s="105"/>
      <c r="L17" s="161">
        <f>IFERROR((((COUNTIF('Elève (3ème1)'!H17:K17,"A"))*4)+((COUNTIF('Elève (3ème1)'!H17:K17,"B"))*3)+((COUNTIF('Elève (3ème1)'!H17:K17,"C"))*2)+((COUNTIF('Elève (3ème1)'!H17:K17,"D"))*1))/(COUNTA(H17:K17)),"")</f>
        <v>3</v>
      </c>
      <c r="M17" s="162" t="str">
        <f t="shared" si="25"/>
        <v>B</v>
      </c>
      <c r="N17" s="103" t="s">
        <v>29</v>
      </c>
      <c r="O17" s="104" t="s">
        <v>29</v>
      </c>
      <c r="P17" s="105"/>
      <c r="Q17" s="105"/>
      <c r="R17" s="105"/>
      <c r="S17" s="105"/>
      <c r="T17" s="161">
        <f>IFERROR((((COUNTIF('Elève (3ème1)'!N17:S17,"A"))*4)+((COUNTIF('Elève (3ème1)'!N17:S17,"B"))*3)+((COUNTIF('Elève (3ème1)'!N17:S17,"C"))*2)+((COUNTIF('Elève (3ème1)'!N17:S17,"D"))*1))/(COUNTA(N17:S17)),"")</f>
        <v>2</v>
      </c>
      <c r="U17" s="162" t="str">
        <f t="shared" si="26"/>
        <v>C</v>
      </c>
      <c r="V17" s="161">
        <f>IF(COUNT(F17,L17,T17)=0,"",SUM(F17,L17,T17)/COUNT(F17,L17,T17))</f>
        <v>2.3333333333333335</v>
      </c>
      <c r="W17" s="191" t="str">
        <f t="shared" si="27"/>
        <v>C</v>
      </c>
      <c r="X17" s="103"/>
      <c r="Y17" s="104" t="s">
        <v>30</v>
      </c>
      <c r="Z17" s="105"/>
      <c r="AA17" s="161">
        <f>IFERROR((((COUNTIF('Elève (3ème1)'!X17:Z17,"A"))*4)+((COUNTIF('Elève (3ème1)'!X17:Z17,"B"))*3)+((COUNTIF('Elève (3ème1)'!X17:Z17,"C"))*2)+((COUNTIF('Elève (3ème1)'!X17:Z17,"D"))*1))/(COUNTA(X17:Z17)),"")</f>
        <v>1</v>
      </c>
      <c r="AB17" s="162" t="str">
        <f t="shared" si="28"/>
        <v>D</v>
      </c>
      <c r="AC17" s="103" t="s">
        <v>29</v>
      </c>
      <c r="AD17" s="104"/>
      <c r="AE17" s="105"/>
      <c r="AF17" s="105"/>
      <c r="AG17" s="161">
        <f>IFERROR((((COUNTIF('Elève (3ème1)'!AC17:AF17,"A"))*4)+((COUNTIF('Elève (3ème1)'!AC17:AF17,"B"))*3)+((COUNTIF('Elève (3ème1)'!AC17:AF17,"C"))*2)+((COUNTIF('Elève (3ème1)'!AC17:AF17,"D"))*1))/(COUNTA(AC17:AF17)),"")</f>
        <v>2</v>
      </c>
      <c r="AH17" s="162" t="str">
        <f t="shared" si="29"/>
        <v>C</v>
      </c>
      <c r="AI17" s="103" t="s">
        <v>29</v>
      </c>
      <c r="AJ17" s="104" t="s">
        <v>29</v>
      </c>
      <c r="AK17" s="105"/>
      <c r="AL17" s="105"/>
      <c r="AM17" s="105"/>
      <c r="AN17" s="109"/>
      <c r="AO17" s="161">
        <f>IFERROR((((COUNTIF('Elève (3ème1)'!AI17:AN17,"A"))*4)+((COUNTIF('Elève (3ème1)'!AI17:AN17,"B"))*3)+((COUNTIF('Elève (3ème1)'!AI17:AN17,"C"))*2)+((COUNTIF('Elève (3ème1)'!AI17:AN17,"D"))*1))/(COUNTA(AI17:AN17)),"")</f>
        <v>2</v>
      </c>
      <c r="AP17" s="162" t="str">
        <f t="shared" si="30"/>
        <v>C</v>
      </c>
      <c r="AQ17" s="161">
        <f>IF(COUNT(AA17,AG17,AO17)=0,"",SUM(AA17,AG17,AO17)/COUNT(AA17,AG17,AO17))</f>
        <v>1.6666666666666667</v>
      </c>
      <c r="AR17" s="191" t="str">
        <f t="shared" si="31"/>
        <v>C</v>
      </c>
      <c r="AS17" s="103"/>
      <c r="AT17" s="104" t="s">
        <v>29</v>
      </c>
      <c r="AU17" s="105"/>
      <c r="AV17" s="161">
        <f>IFERROR((((COUNTIF('Elève (3ème1)'!AS17:AU17,"A"))*4)+((COUNTIF('Elève (3ème1)'!AS17:AU17,"B"))*3)+((COUNTIF('Elève (3ème1)'!AS17:AU17,"C"))*2)+((COUNTIF('Elève (3ème1)'!AS17:AU17,"D"))*1))/(COUNTA(AS17:AU17)),"")</f>
        <v>2</v>
      </c>
      <c r="AW17" s="162" t="str">
        <f t="shared" si="32"/>
        <v>C</v>
      </c>
      <c r="AX17" s="103" t="s">
        <v>29</v>
      </c>
      <c r="AY17" s="104"/>
      <c r="AZ17" s="105"/>
      <c r="BA17" s="105"/>
      <c r="BB17" s="161">
        <f>IFERROR((((COUNTIF('Elève (3ème1)'!AX17:BA17,"A"))*4)+((COUNTIF('Elève (3ème1)'!AX17:BA17,"B"))*3)+((COUNTIF('Elève (3ème1)'!AX17:BA17,"C"))*2)+((COUNTIF('Elève (3ème1)'!AX17:BA17,"D"))*1))/(COUNTA(AX17:BA17)),"")</f>
        <v>2</v>
      </c>
      <c r="BC17" s="162" t="str">
        <f t="shared" si="33"/>
        <v>C</v>
      </c>
      <c r="BD17" s="103" t="s">
        <v>29</v>
      </c>
      <c r="BE17" s="104" t="s">
        <v>30</v>
      </c>
      <c r="BF17" s="105"/>
      <c r="BG17" s="105"/>
      <c r="BH17" s="105"/>
      <c r="BI17" s="109"/>
      <c r="BJ17" s="161">
        <f>IFERROR((((COUNTIF('Elève (3ème1)'!BD17:BI17,"A"))*4)+((COUNTIF('Elève (3ème1)'!BD17:BI17,"B"))*3)+((COUNTIF('Elève (3ème1)'!BD17:BI17,"C"))*2)+((COUNTIF('Elève (3ème1)'!BD17:BI17,"D"))*1))/(COUNTA(BD17:BI17)),"")</f>
        <v>1.5</v>
      </c>
      <c r="BK17" s="162" t="str">
        <f t="shared" si="34"/>
        <v>D</v>
      </c>
      <c r="BL17" s="161">
        <f>IF(COUNT(AV17,BB17,BJ17)=0,"",SUM(AV17,BB17,BJ17)/COUNT(AV17,BB17,BJ17))</f>
        <v>1.8333333333333333</v>
      </c>
      <c r="BM17" s="191" t="str">
        <f t="shared" si="35"/>
        <v>C</v>
      </c>
      <c r="BN17" s="103"/>
      <c r="BO17" s="104" t="s">
        <v>29</v>
      </c>
      <c r="BP17" s="105"/>
      <c r="BQ17" s="161">
        <f>IFERROR((((COUNTIF('Elève (3ème1)'!BN17:BP17,"A"))*4)+((COUNTIF('Elève (3ème1)'!BN17:BP17,"B"))*3)+((COUNTIF('Elève (3ème1)'!BN17:BP17,"C"))*2)+((COUNTIF('Elève (3ème1)'!BN17:BP17,"D"))*1))/(COUNTA(BN17:BP17)),"")</f>
        <v>2</v>
      </c>
      <c r="BR17" s="162" t="str">
        <f t="shared" si="36"/>
        <v>C</v>
      </c>
      <c r="BS17" s="103" t="s">
        <v>29</v>
      </c>
      <c r="BT17" s="104"/>
      <c r="BU17" s="105"/>
      <c r="BV17" s="105"/>
      <c r="BW17" s="161">
        <f>IFERROR((((COUNTIF('Elève (3ème1)'!BS17:BV17,"A"))*4)+((COUNTIF('Elève (3ème1)'!BS17:BV17,"B"))*3)+((COUNTIF('Elève (3ème1)'!BS17:BV17,"C"))*2)+((COUNTIF('Elève (3ème1)'!BS17:BV17,"D"))*1))/(COUNTA(BS17:BV17)),"")</f>
        <v>2</v>
      </c>
      <c r="BX17" s="162" t="str">
        <f t="shared" si="37"/>
        <v>C</v>
      </c>
      <c r="BY17" s="103" t="s">
        <v>28</v>
      </c>
      <c r="BZ17" s="104" t="s">
        <v>27</v>
      </c>
      <c r="CA17" s="105"/>
      <c r="CB17" s="105"/>
      <c r="CC17" s="105"/>
      <c r="CD17" s="109"/>
      <c r="CE17" s="161">
        <f>IFERROR((((COUNTIF('Elève (3ème1)'!BY17:CD17,"A"))*4)+((COUNTIF('Elève (3ème1)'!BY17:CD17,"B"))*3)+((COUNTIF('Elève (3ème1)'!BY17:CD17,"C"))*2)+((COUNTIF('Elève (3ème1)'!BY17:CD17,"D"))*1))/(COUNTA(BY17:CD17)),"")</f>
        <v>3.5</v>
      </c>
      <c r="CF17" s="162" t="str">
        <f t="shared" si="38"/>
        <v>B</v>
      </c>
      <c r="CG17" s="161">
        <f>IF(COUNT(BQ17,BW17,CE17)=0,"",SUM(BQ17,BW17,CE17)/COUNT(BQ17,BW17,CE17))</f>
        <v>2.5</v>
      </c>
      <c r="CH17" s="191" t="str">
        <f t="shared" si="39"/>
        <v>C</v>
      </c>
      <c r="CI17" s="103"/>
      <c r="CJ17" s="104" t="s">
        <v>29</v>
      </c>
      <c r="CK17" s="105"/>
      <c r="CL17" s="161">
        <f>IFERROR((((COUNTIF('Elève (3ème1)'!CI17:CK17,"A"))*4)+((COUNTIF('Elève (3ème1)'!CI17:CK17,"B"))*3)+((COUNTIF('Elève (3ème1)'!CI17:CK17,"C"))*2)+((COUNTIF('Elève (3ème1)'!CI17:CK17,"D"))*1))/(COUNTA(CI17:CK17)),"")</f>
        <v>2</v>
      </c>
      <c r="CM17" s="162" t="str">
        <f t="shared" si="40"/>
        <v>C</v>
      </c>
      <c r="CN17" s="103" t="s">
        <v>30</v>
      </c>
      <c r="CO17" s="104"/>
      <c r="CP17" s="105"/>
      <c r="CQ17" s="105"/>
      <c r="CR17" s="161">
        <f>IFERROR((((COUNTIF('Elève (3ème1)'!CN17:CQ17,"A"))*4)+((COUNTIF('Elève (3ème1)'!CN17:CQ17,"B"))*3)+((COUNTIF('Elève (3ème1)'!CN17:CQ17,"C"))*2)+((COUNTIF('Elève (3ème1)'!CN17:CQ17,"D"))*1))/(COUNTA(CN17:CQ17)),"")</f>
        <v>1</v>
      </c>
      <c r="CS17" s="162" t="str">
        <f t="shared" si="41"/>
        <v>D</v>
      </c>
      <c r="CT17" s="103" t="s">
        <v>29</v>
      </c>
      <c r="CU17" s="104" t="s">
        <v>29</v>
      </c>
      <c r="CV17" s="105"/>
      <c r="CW17" s="105"/>
      <c r="CX17" s="105"/>
      <c r="CY17" s="109"/>
      <c r="CZ17" s="161">
        <f>IFERROR((((COUNTIF('Elève (3ème1)'!CT17:CY17,"A"))*4)+((COUNTIF('Elève (3ème1)'!CT17:CY17,"B"))*3)+((COUNTIF('Elève (3ème1)'!CT17:CY17,"C"))*2)+((COUNTIF('Elève (3ème1)'!CT17:CY17,"D"))*1))/(COUNTA(CT17:CY17)),"")</f>
        <v>2</v>
      </c>
      <c r="DA17" s="162" t="str">
        <f t="shared" si="42"/>
        <v>C</v>
      </c>
      <c r="DB17" s="161">
        <f>IF(COUNT(CL17,CR17,CZ17)=0,"",SUM(CL17,CR17,CZ17)/COUNT(CL17,CR17,CZ17))</f>
        <v>1.6666666666666667</v>
      </c>
      <c r="DC17" s="191" t="str">
        <f t="shared" si="43"/>
        <v>C</v>
      </c>
      <c r="DD17" s="103"/>
      <c r="DE17" s="104" t="s">
        <v>29</v>
      </c>
      <c r="DF17" s="105"/>
      <c r="DG17" s="161">
        <f>IFERROR((((COUNTIF('Elève (3ème1)'!DD17:DF17,"A"))*4)+((COUNTIF('Elève (3ème1)'!DD17:DF17,"B"))*3)+((COUNTIF('Elève (3ème1)'!DD17:DF17,"C"))*2)+((COUNTIF('Elève (3ème1)'!DD17:DF17,"D"))*1))/(COUNTA(DD17:DF17)),"")</f>
        <v>2</v>
      </c>
      <c r="DH17" s="162" t="str">
        <f t="shared" si="44"/>
        <v>C</v>
      </c>
      <c r="DI17" s="103" t="s">
        <v>29</v>
      </c>
      <c r="DJ17" s="104"/>
      <c r="DK17" s="105"/>
      <c r="DL17" s="105"/>
      <c r="DM17" s="161">
        <f>IFERROR((((COUNTIF('Elève (3ème1)'!DI17:DL17,"A"))*4)+((COUNTIF('Elève (3ème1)'!DI17:DL17,"B"))*3)+((COUNTIF('Elève (3ème1)'!DI17:DL17,"C"))*2)+((COUNTIF('Elève (3ème1)'!DI17:DL17,"D"))*1))/(COUNTA(DI17:DL17)),"")</f>
        <v>2</v>
      </c>
      <c r="DN17" s="162" t="str">
        <f t="shared" si="45"/>
        <v>C</v>
      </c>
      <c r="DO17" s="103" t="s">
        <v>28</v>
      </c>
      <c r="DP17" s="104" t="s">
        <v>28</v>
      </c>
      <c r="DQ17" s="105"/>
      <c r="DR17" s="105"/>
      <c r="DS17" s="105"/>
      <c r="DT17" s="109"/>
      <c r="DU17" s="161">
        <f>IFERROR((((COUNTIF('Elève (3ème1)'!DO17:DT17,"A"))*4)+((COUNTIF('Elève (3ème1)'!DO17:DT17,"B"))*3)+((COUNTIF('Elève (3ème1)'!DO17:DT17,"C"))*2)+((COUNTIF('Elève (3ème1)'!DO17:DT17,"D"))*1))/(COUNTA(DO17:DT17)),"")</f>
        <v>3</v>
      </c>
      <c r="DV17" s="162" t="str">
        <f t="shared" si="46"/>
        <v>B</v>
      </c>
      <c r="DW17" s="161">
        <f>IF(COUNT(DG17,DM17,DU17)=0,"",SUM(DG17,DM17,DU17)/COUNT(DG17,DM17,DU17))</f>
        <v>2.3333333333333335</v>
      </c>
      <c r="DX17" s="191" t="str">
        <f t="shared" si="47"/>
        <v>C</v>
      </c>
      <c r="DY17" s="103"/>
      <c r="DZ17" s="104" t="s">
        <v>29</v>
      </c>
      <c r="EA17" s="105"/>
      <c r="EB17" s="161">
        <f>IFERROR((((COUNTIF('Elève (3ème1)'!DY17:EA17,"A"))*4)+((COUNTIF('Elève (3ème1)'!DY17:EA17,"B"))*3)+((COUNTIF('Elève (3ème1)'!DY17:EA17,"C"))*2)+((COUNTIF('Elève (3ème1)'!DY17:EA17,"D"))*1))/(COUNTA(DY17:EA17)),"")</f>
        <v>2</v>
      </c>
      <c r="EC17" s="162" t="str">
        <f t="shared" si="48"/>
        <v>C</v>
      </c>
      <c r="ED17" s="103" t="s">
        <v>28</v>
      </c>
      <c r="EE17" s="104"/>
      <c r="EF17" s="105"/>
      <c r="EG17" s="105"/>
      <c r="EH17" s="161">
        <f>IFERROR((((COUNTIF('Elève (3ème1)'!ED17:EG17,"A"))*4)+((COUNTIF('Elève (3ème1)'!ED17:EG17,"B"))*3)+((COUNTIF('Elève (3ème1)'!ED17:EG17,"C"))*2)+((COUNTIF('Elève (3ème1)'!ED17:EG17,"D"))*1))/(COUNTA(ED17:EG17)),"")</f>
        <v>3</v>
      </c>
      <c r="EI17" s="162" t="str">
        <f t="shared" si="49"/>
        <v>B</v>
      </c>
      <c r="EJ17" s="103" t="s">
        <v>29</v>
      </c>
      <c r="EK17" s="104" t="s">
        <v>29</v>
      </c>
      <c r="EL17" s="105"/>
      <c r="EM17" s="105"/>
      <c r="EN17" s="105"/>
      <c r="EO17" s="109"/>
      <c r="EP17" s="161">
        <f>IFERROR((((COUNTIF('Elève (3ème1)'!EJ17:EO17,"A"))*4)+((COUNTIF('Elève (3ème1)'!EJ17:EO17,"B"))*3)+((COUNTIF('Elève (3ème1)'!EJ17:EO17,"C"))*2)+((COUNTIF('Elève (3ème1)'!EJ17:EO17,"D"))*1))/(COUNTA(EJ17:EO17)),"")</f>
        <v>2</v>
      </c>
      <c r="EQ17" s="162" t="str">
        <f t="shared" si="50"/>
        <v>C</v>
      </c>
      <c r="ER17" s="161">
        <f>IF(COUNT(EB17,EH17,EP17)=0,"",SUM(EB17,EH17,EP17)/COUNT(EB17,EH17,EP17))</f>
        <v>2.3333333333333335</v>
      </c>
      <c r="ES17" s="191" t="str">
        <f t="shared" si="51"/>
        <v>C</v>
      </c>
      <c r="ET17" s="103"/>
      <c r="EU17" s="104" t="s">
        <v>29</v>
      </c>
      <c r="EV17" s="105"/>
      <c r="EW17" s="161">
        <f>IFERROR((((COUNTIF('Elève (3ème1)'!ET17:EV17,"A"))*4)+((COUNTIF('Elève (3ème1)'!ET17:EV17,"B"))*3)+((COUNTIF('Elève (3ème1)'!ET17:EV17,"C"))*2)+((COUNTIF('Elève (3ème1)'!ET17:EV17,"D"))*1))/(COUNTA(ET17:EV17)),"")</f>
        <v>2</v>
      </c>
      <c r="EX17" s="162" t="str">
        <f t="shared" si="52"/>
        <v>C</v>
      </c>
      <c r="EY17" s="103" t="s">
        <v>28</v>
      </c>
      <c r="EZ17" s="104"/>
      <c r="FA17" s="105"/>
      <c r="FB17" s="105"/>
      <c r="FC17" s="161">
        <f>IFERROR((((COUNTIF('Elève (3ème1)'!EY17:FB17,"A"))*4)+((COUNTIF('Elève (3ème1)'!EY17:FB17,"B"))*3)+((COUNTIF('Elève (3ème1)'!EY17:FB17,"C"))*2)+((COUNTIF('Elève (3ème1)'!EY17:FB17,"D"))*1))/(COUNTA(EY17:FB17)),"")</f>
        <v>3</v>
      </c>
      <c r="FD17" s="162" t="str">
        <f t="shared" si="53"/>
        <v>B</v>
      </c>
      <c r="FE17" s="103" t="s">
        <v>28</v>
      </c>
      <c r="FF17" s="104" t="s">
        <v>29</v>
      </c>
      <c r="FG17" s="105"/>
      <c r="FH17" s="105"/>
      <c r="FI17" s="105"/>
      <c r="FJ17" s="109"/>
      <c r="FK17" s="161">
        <f>IFERROR((((COUNTIF('Elève (3ème1)'!FE17:FJ17,"A"))*4)+((COUNTIF('Elève (3ème1)'!FE17:FJ17,"B"))*3)+((COUNTIF('Elève (3ème1)'!FE17:FJ17,"C"))*2)+((COUNTIF('Elève (3ème1)'!FE17:FJ17,"D"))*1))/(COUNTA(FE17:FJ17)),"")</f>
        <v>2.5</v>
      </c>
      <c r="FL17" s="162" t="str">
        <f t="shared" si="54"/>
        <v>C</v>
      </c>
      <c r="FM17" s="161">
        <f>IF(COUNT(EW17,FC17,FK17)=0,"",SUM(EW17,FC17,FK17)/COUNT(EW17,FC17,FK17))</f>
        <v>2.5</v>
      </c>
      <c r="FN17" s="191" t="str">
        <f t="shared" si="55"/>
        <v>C</v>
      </c>
      <c r="FO17" s="103"/>
      <c r="FP17" s="104" t="s">
        <v>30</v>
      </c>
      <c r="FQ17" s="105"/>
      <c r="FR17" s="161">
        <f>IFERROR((((COUNTIF('Elève (3ème1)'!FO17:FQ17,"A"))*4)+((COUNTIF('Elève (3ème1)'!FO17:FQ17,"B"))*3)+((COUNTIF('Elève (3ème1)'!FO17:FQ17,"C"))*2)+((COUNTIF('Elève (3ème1)'!FO17:FQ17,"D"))*1))/(COUNTA(FO17:FQ17)),"")</f>
        <v>1</v>
      </c>
      <c r="FS17" s="162" t="str">
        <f t="shared" si="56"/>
        <v>D</v>
      </c>
      <c r="FT17" s="103" t="s">
        <v>29</v>
      </c>
      <c r="FU17" s="104"/>
      <c r="FV17" s="105"/>
      <c r="FW17" s="105"/>
      <c r="FX17" s="161">
        <f>IFERROR((((COUNTIF('Elève (3ème1)'!FT17:FW17,"A"))*4)+((COUNTIF('Elève (3ème1)'!FT17:FW17,"B"))*3)+((COUNTIF('Elève (3ème1)'!FT17:FW17,"C"))*2)+((COUNTIF('Elève (3ème1)'!FT17:FW17,"D"))*1))/(COUNTA(FT17:FW17)),"")</f>
        <v>2</v>
      </c>
      <c r="FY17" s="162" t="str">
        <f t="shared" si="57"/>
        <v>C</v>
      </c>
      <c r="FZ17" s="103" t="s">
        <v>29</v>
      </c>
      <c r="GA17" s="104" t="s">
        <v>28</v>
      </c>
      <c r="GB17" s="105"/>
      <c r="GC17" s="105"/>
      <c r="GD17" s="105"/>
      <c r="GE17" s="109"/>
      <c r="GF17" s="161">
        <f>IFERROR((((COUNTIF('Elève (3ème1)'!FZ17:GE17,"A"))*4)+((COUNTIF('Elève (3ème1)'!FZ17:GE17,"B"))*3)+((COUNTIF('Elève (3ème1)'!FZ17:GE17,"C"))*2)+((COUNTIF('Elève (3ème1)'!FZ17:GE17,"D"))*1))/(COUNTA(FZ17:GE17)),"")</f>
        <v>2.5</v>
      </c>
      <c r="GG17" s="162" t="str">
        <f t="shared" si="58"/>
        <v>C</v>
      </c>
      <c r="GH17" s="161">
        <f>IF(COUNT(FR17,FX17,GF17)=0,"",SUM(FR17,FX17,GF17)/COUNT(FR17,FX17,GF17))</f>
        <v>1.8333333333333333</v>
      </c>
      <c r="GI17" s="191" t="str">
        <f t="shared" si="59"/>
        <v>C</v>
      </c>
      <c r="GJ17" s="103"/>
      <c r="GK17" s="104" t="s">
        <v>30</v>
      </c>
      <c r="GL17" s="105"/>
      <c r="GM17" s="161">
        <f>IFERROR((((COUNTIF('Elève (3ème1)'!GJ17:GL17,"A"))*4)+((COUNTIF('Elève (3ème1)'!GJ17:GL17,"B"))*3)+((COUNTIF('Elève (3ème1)'!GJ17:GL17,"C"))*2)+((COUNTIF('Elève (3ème1)'!GJ17:GL17,"D"))*1))/(COUNTA(GJ17:GL17)),"")</f>
        <v>1</v>
      </c>
      <c r="GN17" s="162" t="str">
        <f t="shared" si="60"/>
        <v>D</v>
      </c>
      <c r="GO17" s="103" t="s">
        <v>29</v>
      </c>
      <c r="GP17" s="104"/>
      <c r="GQ17" s="105"/>
      <c r="GR17" s="105"/>
      <c r="GS17" s="161">
        <f>IFERROR((((COUNTIF('Elève (3ème1)'!GO17:GR17,"A"))*4)+((COUNTIF('Elève (3ème1)'!GO17:GR17,"B"))*3)+((COUNTIF('Elève (3ème1)'!GO17:GR17,"C"))*2)+((COUNTIF('Elève (3ème1)'!GO17:GR17,"D"))*1))/(COUNTA(GO17:GR17)),"")</f>
        <v>2</v>
      </c>
      <c r="GT17" s="162" t="str">
        <f t="shared" si="61"/>
        <v>C</v>
      </c>
      <c r="GU17" s="103" t="s">
        <v>30</v>
      </c>
      <c r="GV17" s="104" t="s">
        <v>29</v>
      </c>
      <c r="GW17" s="105"/>
      <c r="GX17" s="105"/>
      <c r="GY17" s="105"/>
      <c r="GZ17" s="109"/>
      <c r="HA17" s="161">
        <f>IFERROR((((COUNTIF('Elève (3ème1)'!GU17:GZ17,"A"))*4)+((COUNTIF('Elève (3ème1)'!GU17:GZ17,"B"))*3)+((COUNTIF('Elève (3ème1)'!GU17:GZ17,"C"))*2)+((COUNTIF('Elève (3ème1)'!GU17:GZ17,"D"))*1))/(COUNTA(GU17:GZ17)),"")</f>
        <v>1.5</v>
      </c>
      <c r="HB17" s="162" t="str">
        <f t="shared" si="62"/>
        <v>D</v>
      </c>
      <c r="HC17" s="161">
        <f>IF(COUNT(GM17,GS17,HA17)=0,"",SUM(GM17,GS17,HA17)/COUNT(GM17,GS17,HA17))</f>
        <v>1.5</v>
      </c>
      <c r="HD17" s="191" t="str">
        <f t="shared" si="63"/>
        <v>D</v>
      </c>
      <c r="HE17" s="103"/>
      <c r="HF17" s="104" t="s">
        <v>29</v>
      </c>
      <c r="HG17" s="105"/>
      <c r="HH17" s="161">
        <f>IFERROR((((COUNTIF('Elève (3ème1)'!HE17:HG17,"A"))*4)+((COUNTIF('Elève (3ème1)'!HE17:HG17,"B"))*3)+((COUNTIF('Elève (3ème1)'!HE17:HG17,"C"))*2)+((COUNTIF('Elève (3ème1)'!HE17:HG17,"D"))*1))/(COUNTA(HE17:HG17)),"")</f>
        <v>2</v>
      </c>
      <c r="HI17" s="162" t="str">
        <f t="shared" si="64"/>
        <v>C</v>
      </c>
      <c r="HJ17" s="103" t="s">
        <v>29</v>
      </c>
      <c r="HK17" s="104"/>
      <c r="HL17" s="105"/>
      <c r="HM17" s="105"/>
      <c r="HN17" s="161">
        <f>IFERROR((((COUNTIF('Elève (3ème1)'!HJ17:HM17,"A"))*4)+((COUNTIF('Elève (3ème1)'!HJ17:HM17,"B"))*3)+((COUNTIF('Elève (3ème1)'!HJ17:HM17,"C"))*2)+((COUNTIF('Elève (3ème1)'!HJ17:HM17,"D"))*1))/(COUNTA(HJ17:HM17)),"")</f>
        <v>2</v>
      </c>
      <c r="HO17" s="162" t="str">
        <f t="shared" si="65"/>
        <v>C</v>
      </c>
      <c r="HP17" s="103" t="s">
        <v>29</v>
      </c>
      <c r="HQ17" s="104" t="s">
        <v>29</v>
      </c>
      <c r="HR17" s="105"/>
      <c r="HS17" s="105"/>
      <c r="HT17" s="105"/>
      <c r="HU17" s="109"/>
      <c r="HV17" s="161">
        <f>IFERROR((((COUNTIF('Elève (3ème1)'!HP17:HU17,"A"))*4)+((COUNTIF('Elève (3ème1)'!HP17:HU17,"B"))*3)+((COUNTIF('Elève (3ème1)'!HP17:HU17,"C"))*2)+((COUNTIF('Elève (3ème1)'!HP17:HU17,"D"))*1))/(COUNTA(HP17:HU17)),"")</f>
        <v>2</v>
      </c>
      <c r="HW17" s="162" t="str">
        <f t="shared" si="66"/>
        <v>C</v>
      </c>
      <c r="HX17" s="161">
        <f>IF(COUNT(HH17,HN17,HV17)=0,"",SUM(HH17,HN17,HV17)/COUNT(HH17,HN17,HV17))</f>
        <v>2</v>
      </c>
      <c r="HY17" s="191" t="str">
        <f t="shared" si="67"/>
        <v>C</v>
      </c>
      <c r="HZ17" s="103"/>
      <c r="IA17" s="104" t="s">
        <v>30</v>
      </c>
      <c r="IB17" s="105"/>
      <c r="IC17" s="161">
        <f>IFERROR((((COUNTIF('Elève (3ème1)'!HZ17:IB17,"A"))*4)+((COUNTIF('Elève (3ème1)'!HZ17:IB17,"B"))*3)+((COUNTIF('Elève (3ème1)'!HZ17:IB17,"C"))*2)+((COUNTIF('Elève (3ème1)'!HZ17:IB17,"D"))*1))/(COUNTA(HZ17:IB17)),"")</f>
        <v>1</v>
      </c>
      <c r="ID17" s="162" t="str">
        <f t="shared" si="68"/>
        <v>D</v>
      </c>
      <c r="IE17" s="103" t="s">
        <v>30</v>
      </c>
      <c r="IF17" s="104"/>
      <c r="IG17" s="105"/>
      <c r="IH17" s="105"/>
      <c r="II17" s="161">
        <f>IFERROR((((COUNTIF('Elève (3ème1)'!IE17:IH17,"A"))*4)+((COUNTIF('Elève (3ème1)'!IE17:IH17,"B"))*3)+((COUNTIF('Elève (3ème1)'!IE17:IH17,"C"))*2)+((COUNTIF('Elève (3ème1)'!IE17:IH17,"D"))*1))/(COUNTA(IE17:IH17)),"")</f>
        <v>1</v>
      </c>
      <c r="IJ17" s="162" t="str">
        <f t="shared" si="69"/>
        <v>D</v>
      </c>
      <c r="IK17" s="103" t="s">
        <v>28</v>
      </c>
      <c r="IL17" s="104" t="s">
        <v>28</v>
      </c>
      <c r="IM17" s="105"/>
      <c r="IN17" s="105"/>
      <c r="IO17" s="105"/>
      <c r="IP17" s="109"/>
      <c r="IQ17" s="161">
        <f>IFERROR((((COUNTIF('Elève (3ème1)'!IK17:IP17,"A"))*4)+((COUNTIF('Elève (3ème1)'!IK17:IP17,"B"))*3)+((COUNTIF('Elève (3ème1)'!IK17:IP17,"C"))*2)+((COUNTIF('Elève (3ème1)'!IK17:IP17,"D"))*1))/(COUNTA(IK17:IP17)),"")</f>
        <v>3</v>
      </c>
      <c r="IR17" s="162" t="str">
        <f t="shared" si="70"/>
        <v>B</v>
      </c>
      <c r="IS17" s="161">
        <f>IF(COUNT(IC17,II17,IQ17)=0,"",SUM(IC17,II17,IQ17)/COUNT(IC17,II17,IQ17))</f>
        <v>1.6666666666666667</v>
      </c>
      <c r="IT17" s="191" t="str">
        <f t="shared" si="71"/>
        <v>C</v>
      </c>
      <c r="IU17" s="103"/>
      <c r="IV17" s="104" t="s">
        <v>28</v>
      </c>
      <c r="IW17" s="105"/>
      <c r="IX17" s="161">
        <f>IFERROR((((COUNTIF('Elève (3ème1)'!IU17:IW17,"A"))*4)+((COUNTIF('Elève (3ème1)'!IU17:IW17,"B"))*3)+((COUNTIF('Elève (3ème1)'!IU17:IW17,"C"))*2)+((COUNTIF('Elève (3ème1)'!IU17:IW17,"D"))*1))/(COUNTA(IU17:IW17)),"")</f>
        <v>3</v>
      </c>
      <c r="IY17" s="162" t="str">
        <f t="shared" si="72"/>
        <v>B</v>
      </c>
      <c r="IZ17" s="103" t="s">
        <v>29</v>
      </c>
      <c r="JA17" s="104"/>
      <c r="JB17" s="105"/>
      <c r="JC17" s="105"/>
      <c r="JD17" s="161">
        <f>IFERROR((((COUNTIF('Elève (3ème1)'!IZ17:JC17,"A"))*4)+((COUNTIF('Elève (3ème1)'!IZ17:JC17,"B"))*3)+((COUNTIF('Elève (3ème1)'!IZ17:JC17,"C"))*2)+((COUNTIF('Elève (3ème1)'!IZ17:JC17,"D"))*1))/(COUNTA(IZ17:JC17)),"")</f>
        <v>2</v>
      </c>
      <c r="JE17" s="162" t="str">
        <f t="shared" si="73"/>
        <v>C</v>
      </c>
      <c r="JF17" s="103" t="s">
        <v>29</v>
      </c>
      <c r="JG17" s="104" t="s">
        <v>28</v>
      </c>
      <c r="JH17" s="105"/>
      <c r="JI17" s="105"/>
      <c r="JJ17" s="105"/>
      <c r="JK17" s="109"/>
      <c r="JL17" s="161">
        <f>IFERROR((((COUNTIF('Elève (3ème1)'!JF17:JK17,"A"))*4)+((COUNTIF('Elève (3ème1)'!JF17:JK17,"B"))*3)+((COUNTIF('Elève (3ème1)'!JF17:JK17,"C"))*2)+((COUNTIF('Elève (3ème1)'!JF17:JK17,"D"))*1))/(COUNTA(JF17:JK17)),"")</f>
        <v>2.5</v>
      </c>
      <c r="JM17" s="162" t="str">
        <f t="shared" si="74"/>
        <v>C</v>
      </c>
      <c r="JN17" s="161">
        <f>IF(COUNT(IX17,JD17,JL17)=0,"",SUM(IX17,JD17,JL17)/COUNT(IX17,JD17,JL17))</f>
        <v>2.5</v>
      </c>
      <c r="JO17" s="191" t="str">
        <f t="shared" si="75"/>
        <v>C</v>
      </c>
      <c r="JP17" s="103"/>
      <c r="JQ17" s="104" t="s">
        <v>29</v>
      </c>
      <c r="JR17" s="105"/>
      <c r="JS17" s="161">
        <f>IFERROR((((COUNTIF('Elève (3ème1)'!JP17:JR17,"A"))*4)+((COUNTIF('Elève (3ème1)'!JP17:JR17,"B"))*3)+((COUNTIF('Elève (3ème1)'!JP17:JR17,"C"))*2)+((COUNTIF('Elève (3ème1)'!JP17:JR17,"D"))*1))/(COUNTA(JP17:JR17)),"")</f>
        <v>2</v>
      </c>
      <c r="JT17" s="162" t="str">
        <f t="shared" si="76"/>
        <v>C</v>
      </c>
      <c r="JU17" s="103" t="s">
        <v>30</v>
      </c>
      <c r="JV17" s="104"/>
      <c r="JW17" s="105"/>
      <c r="JX17" s="105"/>
      <c r="JY17" s="161">
        <f>IFERROR((((COUNTIF('Elève (3ème1)'!JU17:JX17,"A"))*4)+((COUNTIF('Elève (3ème1)'!JU17:JX17,"B"))*3)+((COUNTIF('Elève (3ème1)'!JU17:JX17,"C"))*2)+((COUNTIF('Elève (3ème1)'!JU17:JX17,"D"))*1))/(COUNTA(JU17:JX17)),"")</f>
        <v>1</v>
      </c>
      <c r="JZ17" s="162" t="str">
        <f t="shared" si="77"/>
        <v>D</v>
      </c>
      <c r="KA17" s="103" t="s">
        <v>29</v>
      </c>
      <c r="KB17" s="104" t="s">
        <v>29</v>
      </c>
      <c r="KC17" s="105"/>
      <c r="KD17" s="105"/>
      <c r="KE17" s="105"/>
      <c r="KF17" s="109"/>
      <c r="KG17" s="161">
        <f>IFERROR((((COUNTIF('Elève (3ème1)'!KA17:KF17,"A"))*4)+((COUNTIF('Elève (3ème1)'!KA17:KF17,"B"))*3)+((COUNTIF('Elève (3ème1)'!KA17:KF17,"C"))*2)+((COUNTIF('Elève (3ème1)'!KA17:KF17,"D"))*1))/(COUNTA(KA17:KF17)),"")</f>
        <v>2</v>
      </c>
      <c r="KH17" s="162" t="str">
        <f t="shared" si="78"/>
        <v>C</v>
      </c>
      <c r="KI17" s="161">
        <f>IF(COUNT(JS17,JY17,KG17)=0,"",SUM(JS17,JY17,KG17)/COUNT(JS17,JY17,KG17))</f>
        <v>1.6666666666666667</v>
      </c>
      <c r="KJ17" s="191" t="str">
        <f t="shared" si="79"/>
        <v>C</v>
      </c>
      <c r="KK17" s="103"/>
      <c r="KL17" s="104" t="s">
        <v>30</v>
      </c>
      <c r="KM17" s="105"/>
      <c r="KN17" s="161">
        <f>IFERROR((((COUNTIF('Elève (3ème1)'!KK17:KM17,"A"))*4)+((COUNTIF('Elève (3ème1)'!KK17:KM17,"B"))*3)+((COUNTIF('Elève (3ème1)'!KK17:KM17,"C"))*2)+((COUNTIF('Elève (3ème1)'!KK17:KM17,"D"))*1))/(COUNTA(KK17:KM17)),"")</f>
        <v>1</v>
      </c>
      <c r="KO17" s="162" t="str">
        <f t="shared" si="80"/>
        <v>D</v>
      </c>
      <c r="KP17" s="103" t="s">
        <v>29</v>
      </c>
      <c r="KQ17" s="104"/>
      <c r="KR17" s="105"/>
      <c r="KS17" s="105"/>
      <c r="KT17" s="161">
        <f>IFERROR((((COUNTIF('Elève (3ème1)'!KP17:KS17,"A"))*4)+((COUNTIF('Elève (3ème1)'!KP17:KS17,"B"))*3)+((COUNTIF('Elève (3ème1)'!KP17:KS17,"C"))*2)+((COUNTIF('Elève (3ème1)'!KP17:KS17,"D"))*1))/(COUNTA(KP17:KS17)),"")</f>
        <v>2</v>
      </c>
      <c r="KU17" s="162" t="str">
        <f t="shared" si="81"/>
        <v>C</v>
      </c>
      <c r="KV17" s="103" t="s">
        <v>29</v>
      </c>
      <c r="KW17" s="104" t="s">
        <v>30</v>
      </c>
      <c r="KX17" s="105"/>
      <c r="KY17" s="105"/>
      <c r="KZ17" s="105"/>
      <c r="LA17" s="109"/>
      <c r="LB17" s="161">
        <f>IFERROR((((COUNTIF('Elève (3ème1)'!KV17:LA17,"A"))*4)+((COUNTIF('Elève (3ème1)'!KV17:LA17,"B"))*3)+((COUNTIF('Elève (3ème1)'!KV17:LA17,"C"))*2)+((COUNTIF('Elève (3ème1)'!KV17:LA17,"D"))*1))/(COUNTA(KV17:LA17)),"")</f>
        <v>1.5</v>
      </c>
      <c r="LC17" s="162" t="str">
        <f t="shared" si="82"/>
        <v>D</v>
      </c>
      <c r="LD17" s="161">
        <f>IF(COUNT(KN17,KT17,LB17)=0,"",SUM(KN17,KT17,LB17)/COUNT(KN17,KT17,LB17))</f>
        <v>1.5</v>
      </c>
      <c r="LE17" s="191" t="str">
        <f t="shared" si="83"/>
        <v>D</v>
      </c>
      <c r="LF17" s="103"/>
      <c r="LG17" s="104" t="s">
        <v>30</v>
      </c>
      <c r="LH17" s="105"/>
      <c r="LI17" s="161">
        <f>IFERROR((((COUNTIF('Elève (3ème1)'!LF17:LH17,"A"))*4)+((COUNTIF('Elève (3ème1)'!LF17:LH17,"B"))*3)+((COUNTIF('Elève (3ème1)'!LF17:LH17,"C"))*2)+((COUNTIF('Elève (3ème1)'!LF17:LH17,"D"))*1))/(COUNTA(LF17:LH17)),"")</f>
        <v>1</v>
      </c>
      <c r="LJ17" s="162" t="str">
        <f t="shared" si="84"/>
        <v>D</v>
      </c>
      <c r="LK17" s="103" t="s">
        <v>29</v>
      </c>
      <c r="LL17" s="104"/>
      <c r="LM17" s="105"/>
      <c r="LN17" s="105"/>
      <c r="LO17" s="161">
        <f>IFERROR((((COUNTIF('Elève (3ème1)'!LK17:LN17,"A"))*4)+((COUNTIF('Elève (3ème1)'!LK17:LN17,"B"))*3)+((COUNTIF('Elève (3ème1)'!LK17:LN17,"C"))*2)+((COUNTIF('Elève (3ème1)'!LK17:LN17,"D"))*1))/(COUNTA(LK17:LN17)),"")</f>
        <v>2</v>
      </c>
      <c r="LP17" s="162" t="str">
        <f t="shared" si="85"/>
        <v>C</v>
      </c>
      <c r="LQ17" s="103" t="s">
        <v>29</v>
      </c>
      <c r="LR17" s="104" t="s">
        <v>30</v>
      </c>
      <c r="LS17" s="105"/>
      <c r="LT17" s="105"/>
      <c r="LU17" s="105"/>
      <c r="LV17" s="109"/>
      <c r="LW17" s="161">
        <f>IFERROR((((COUNTIF('Elève (3ème1)'!LQ17:LV17,"A"))*4)+((COUNTIF('Elève (3ème1)'!LQ17:LV17,"B"))*3)+((COUNTIF('Elève (3ème1)'!LQ17:LV17,"C"))*2)+((COUNTIF('Elève (3ème1)'!LQ17:LV17,"D"))*1))/(COUNTA(LQ17:LV17)),"")</f>
        <v>1.5</v>
      </c>
      <c r="LX17" s="162" t="str">
        <f t="shared" si="86"/>
        <v>D</v>
      </c>
      <c r="LY17" s="161">
        <f>IF(COUNT(LI17,LO17,LW17)=0,"",SUM(LI17,LO17,LW17)/COUNT(LI17,LO17,LW17))</f>
        <v>1.5</v>
      </c>
      <c r="LZ17" s="191" t="str">
        <f t="shared" si="87"/>
        <v>D</v>
      </c>
      <c r="MA17" s="103"/>
      <c r="MB17" s="104" t="s">
        <v>30</v>
      </c>
      <c r="MC17" s="105"/>
      <c r="MD17" s="161">
        <f>IFERROR((((COUNTIF('Elève (3ème1)'!MA17:MC17,"A"))*4)+((COUNTIF('Elève (3ème1)'!MA17:MC17,"B"))*3)+((COUNTIF('Elève (3ème1)'!MA17:MC17,"C"))*2)+((COUNTIF('Elève (3ème1)'!MA17:MC17,"D"))*1))/(COUNTA(MA17:MC17)),"")</f>
        <v>1</v>
      </c>
      <c r="ME17" s="162" t="str">
        <f t="shared" si="88"/>
        <v>D</v>
      </c>
      <c r="MF17" s="103" t="s">
        <v>29</v>
      </c>
      <c r="MG17" s="104"/>
      <c r="MH17" s="105"/>
      <c r="MI17" s="105"/>
      <c r="MJ17" s="161">
        <f>IFERROR((((COUNTIF('Elève (3ème1)'!MF17:MI17,"A"))*4)+((COUNTIF('Elève (3ème1)'!MF17:MI17,"B"))*3)+((COUNTIF('Elève (3ème1)'!MF17:MI17,"C"))*2)+((COUNTIF('Elève (3ème1)'!MF17:MI17,"D"))*1))/(COUNTA(MF17:MI17)),"")</f>
        <v>2</v>
      </c>
      <c r="MK17" s="162" t="str">
        <f t="shared" si="89"/>
        <v>C</v>
      </c>
      <c r="ML17" s="103" t="s">
        <v>29</v>
      </c>
      <c r="MM17" s="104" t="s">
        <v>29</v>
      </c>
      <c r="MN17" s="105"/>
      <c r="MO17" s="105"/>
      <c r="MP17" s="105"/>
      <c r="MQ17" s="109"/>
      <c r="MR17" s="161">
        <f>IFERROR((((COUNTIF('Elève (3ème1)'!ML17:MQ17,"A"))*4)+((COUNTIF('Elève (3ème1)'!ML17:MQ17,"B"))*3)+((COUNTIF('Elève (3ème1)'!ML17:MQ17,"C"))*2)+((COUNTIF('Elève (3ème1)'!ML17:MQ17,"D"))*1))/(COUNTA(ML17:MQ17)),"")</f>
        <v>2</v>
      </c>
      <c r="MS17" s="162" t="str">
        <f t="shared" si="90"/>
        <v>C</v>
      </c>
      <c r="MT17" s="161">
        <f>IF(COUNT(MD17,MJ17,MR17)=0,"",SUM(MD17,MJ17,MR17)/COUNT(MD17,MJ17,MR17))</f>
        <v>1.6666666666666667</v>
      </c>
      <c r="MU17" s="191" t="str">
        <f t="shared" si="91"/>
        <v>C</v>
      </c>
      <c r="MV17" s="103"/>
      <c r="MW17" s="104" t="s">
        <v>28</v>
      </c>
      <c r="MX17" s="105"/>
      <c r="MY17" s="161">
        <f>IFERROR((((COUNTIF('Elève (3ème1)'!MV17:MX17,"A"))*4)+((COUNTIF('Elève (3ème1)'!MV17:MX17,"B"))*3)+((COUNTIF('Elève (3ème1)'!MV17:MX17,"C"))*2)+((COUNTIF('Elève (3ème1)'!MV17:MX17,"D"))*1))/(COUNTA(MV17:MX17)),"")</f>
        <v>3</v>
      </c>
      <c r="MZ17" s="162" t="str">
        <f t="shared" si="92"/>
        <v>B</v>
      </c>
      <c r="NA17" s="103" t="s">
        <v>29</v>
      </c>
      <c r="NB17" s="104"/>
      <c r="NC17" s="105"/>
      <c r="ND17" s="105"/>
      <c r="NE17" s="161">
        <f>IFERROR((((COUNTIF('Elève (3ème1)'!NA17:ND17,"A"))*4)+((COUNTIF('Elève (3ème1)'!NA17:ND17,"B"))*3)+((COUNTIF('Elève (3ème1)'!NA17:ND17,"C"))*2)+((COUNTIF('Elève (3ème1)'!NA17:ND17,"D"))*1))/(COUNTA(NA17:ND17)),"")</f>
        <v>2</v>
      </c>
      <c r="NF17" s="162" t="str">
        <f t="shared" si="93"/>
        <v>C</v>
      </c>
      <c r="NG17" s="103" t="s">
        <v>29</v>
      </c>
      <c r="NH17" s="104" t="s">
        <v>27</v>
      </c>
      <c r="NI17" s="105"/>
      <c r="NJ17" s="105"/>
      <c r="NK17" s="105"/>
      <c r="NL17" s="109"/>
      <c r="NM17" s="161">
        <f>IFERROR((((COUNTIF('Elève (3ème1)'!NG17:NL17,"A"))*4)+((COUNTIF('Elève (3ème1)'!NG17:NL17,"B"))*3)+((COUNTIF('Elève (3ème1)'!NG17:NL17,"C"))*2)+((COUNTIF('Elève (3ème1)'!NG17:NL17,"D"))*1))/(COUNTA(NG17:NL17)),"")</f>
        <v>3</v>
      </c>
      <c r="NN17" s="162" t="str">
        <f t="shared" si="94"/>
        <v>B</v>
      </c>
      <c r="NO17" s="161">
        <f>IF(COUNT(MY17,NE17,NM17)=0,"",SUM(MY17,NE17,NM17)/COUNT(MY17,NE17,NM17))</f>
        <v>2.6666666666666665</v>
      </c>
      <c r="NP17" s="191" t="str">
        <f t="shared" si="95"/>
        <v>C</v>
      </c>
      <c r="NQ17" s="103"/>
      <c r="NR17" s="104" t="s">
        <v>29</v>
      </c>
      <c r="NS17" s="105"/>
      <c r="NT17" s="161">
        <f>IFERROR((((COUNTIF('Elève (3ème1)'!NQ17:NS17,"A"))*4)+((COUNTIF('Elève (3ème1)'!NQ17:NS17,"B"))*3)+((COUNTIF('Elève (3ème1)'!NQ17:NS17,"C"))*2)+((COUNTIF('Elève (3ème1)'!NQ17:NS17,"D"))*1))/(COUNTA(NQ17:NS17)),"")</f>
        <v>2</v>
      </c>
      <c r="NU17" s="162" t="str">
        <f t="shared" si="96"/>
        <v>C</v>
      </c>
      <c r="NV17" s="103" t="s">
        <v>30</v>
      </c>
      <c r="NW17" s="104"/>
      <c r="NX17" s="105"/>
      <c r="NY17" s="105"/>
      <c r="NZ17" s="161">
        <f>IFERROR((((COUNTIF('Elève (3ème1)'!NV17:NY17,"A"))*4)+((COUNTIF('Elève (3ème1)'!NV17:NY17,"B"))*3)+((COUNTIF('Elève (3ème1)'!NV17:NY17,"C"))*2)+((COUNTIF('Elève (3ème1)'!NV17:NY17,"D"))*1))/(COUNTA(NV17:NY17)),"")</f>
        <v>1</v>
      </c>
      <c r="OA17" s="162" t="str">
        <f t="shared" si="97"/>
        <v>D</v>
      </c>
      <c r="OB17" s="103" t="s">
        <v>29</v>
      </c>
      <c r="OC17" s="104" t="s">
        <v>28</v>
      </c>
      <c r="OD17" s="105"/>
      <c r="OE17" s="105"/>
      <c r="OF17" s="105"/>
      <c r="OG17" s="109"/>
      <c r="OH17" s="161">
        <f>IFERROR((((COUNTIF('Elève (3ème1)'!OB17:OG17,"A"))*4)+((COUNTIF('Elève (3ème1)'!OB17:OG17,"B"))*3)+((COUNTIF('Elève (3ème1)'!OB17:OG17,"C"))*2)+((COUNTIF('Elève (3ème1)'!OB17:OG17,"D"))*1))/(COUNTA(OB17:OG17)),"")</f>
        <v>2.5</v>
      </c>
      <c r="OI17" s="162" t="str">
        <f t="shared" si="98"/>
        <v>C</v>
      </c>
      <c r="OJ17" s="161">
        <f>IF(COUNT(NT17,NZ17,OH17)=0,"",SUM(NT17,NZ17,OH17)/COUNT(NT17,NZ17,OH17))</f>
        <v>1.8333333333333333</v>
      </c>
      <c r="OK17" s="191" t="str">
        <f t="shared" si="99"/>
        <v>C</v>
      </c>
      <c r="OL17" s="103"/>
      <c r="OM17" s="104" t="s">
        <v>30</v>
      </c>
      <c r="ON17" s="105"/>
      <c r="OO17" s="161">
        <f>IFERROR((((COUNTIF('Elève (3ème1)'!OL17:ON17,"A"))*4)+((COUNTIF('Elève (3ème1)'!OL17:ON17,"B"))*3)+((COUNTIF('Elève (3ème1)'!OL17:ON17,"C"))*2)+((COUNTIF('Elève (3ème1)'!OL17:ON17,"D"))*1))/(COUNTA(OL17:ON17)),"")</f>
        <v>1</v>
      </c>
      <c r="OP17" s="162" t="str">
        <f t="shared" si="100"/>
        <v>D</v>
      </c>
      <c r="OQ17" s="103" t="s">
        <v>29</v>
      </c>
      <c r="OR17" s="104"/>
      <c r="OS17" s="105"/>
      <c r="OT17" s="105"/>
      <c r="OU17" s="161">
        <f>IFERROR((((COUNTIF('Elève (3ème1)'!OQ17:OT17,"A"))*4)+((COUNTIF('Elève (3ème1)'!OQ17:OT17,"B"))*3)+((COUNTIF('Elève (3ème1)'!OQ17:OT17,"C"))*2)+((COUNTIF('Elève (3ème1)'!OQ17:OT17,"D"))*1))/(COUNTA(OQ17:OT17)),"")</f>
        <v>2</v>
      </c>
      <c r="OV17" s="162" t="str">
        <f t="shared" si="101"/>
        <v>C</v>
      </c>
      <c r="OW17" s="103" t="s">
        <v>28</v>
      </c>
      <c r="OX17" s="104" t="s">
        <v>30</v>
      </c>
      <c r="OY17" s="105"/>
      <c r="OZ17" s="105"/>
      <c r="PA17" s="105"/>
      <c r="PB17" s="109"/>
      <c r="PC17" s="161">
        <f>IFERROR((((COUNTIF('Elève (3ème1)'!OW17:PB17,"A"))*4)+((COUNTIF('Elève (3ème1)'!OW17:PB17,"B"))*3)+((COUNTIF('Elève (3ème1)'!OW17:PB17,"C"))*2)+((COUNTIF('Elève (3ème1)'!OW17:PB17,"D"))*1))/(COUNTA(OW17:PB17)),"")</f>
        <v>2</v>
      </c>
      <c r="PD17" s="162" t="str">
        <f t="shared" si="102"/>
        <v>C</v>
      </c>
      <c r="PE17" s="161">
        <f>IF(COUNT(OO17,OU17,PC17)=0,"",SUM(OO17,OU17,PC17)/COUNT(OO17,OU17,PC17))</f>
        <v>1.6666666666666667</v>
      </c>
      <c r="PF17" s="191" t="str">
        <f t="shared" si="103"/>
        <v>C</v>
      </c>
      <c r="PG17" s="103"/>
      <c r="PH17" s="104" t="s">
        <v>29</v>
      </c>
      <c r="PI17" s="105"/>
      <c r="PJ17" s="161">
        <f>IFERROR((((COUNTIF('Elève (3ème1)'!PG17:PI17,"A"))*4)+((COUNTIF('Elève (3ème1)'!PG17:PI17,"B"))*3)+((COUNTIF('Elève (3ème1)'!PG17:PI17,"C"))*2)+((COUNTIF('Elève (3ème1)'!PG17:PI17,"D"))*1))/(COUNTA(PG17:PI17)),"")</f>
        <v>2</v>
      </c>
      <c r="PK17" s="162" t="str">
        <f t="shared" si="104"/>
        <v>C</v>
      </c>
      <c r="PL17" s="103" t="s">
        <v>29</v>
      </c>
      <c r="PM17" s="104"/>
      <c r="PN17" s="105"/>
      <c r="PO17" s="105"/>
      <c r="PP17" s="161">
        <f>IFERROR((((COUNTIF('Elève (3ème1)'!PL17:PO17,"A"))*4)+((COUNTIF('Elève (3ème1)'!PL17:PO17,"B"))*3)+((COUNTIF('Elève (3ème1)'!PL17:PO17,"C"))*2)+((COUNTIF('Elève (3ème1)'!PL17:PO17,"D"))*1))/(COUNTA(PL17:PO17)),"")</f>
        <v>2</v>
      </c>
      <c r="PQ17" s="162" t="str">
        <f t="shared" si="105"/>
        <v>C</v>
      </c>
      <c r="PR17" s="103" t="s">
        <v>29</v>
      </c>
      <c r="PS17" s="104" t="s">
        <v>27</v>
      </c>
      <c r="PT17" s="105"/>
      <c r="PU17" s="105"/>
      <c r="PV17" s="105"/>
      <c r="PW17" s="109"/>
      <c r="PX17" s="161">
        <f>IFERROR((((COUNTIF('Elève (3ème1)'!PR17:PW17,"A"))*4)+((COUNTIF('Elève (3ème1)'!PR17:PW17,"B"))*3)+((COUNTIF('Elève (3ème1)'!PR17:PW17,"C"))*2)+((COUNTIF('Elève (3ème1)'!PR17:PW17,"D"))*1))/(COUNTA(PR17:PW17)),"")</f>
        <v>3</v>
      </c>
      <c r="PY17" s="162" t="str">
        <f t="shared" si="106"/>
        <v>B</v>
      </c>
      <c r="PZ17" s="161">
        <f>IF(COUNT(PJ17,PP17,PX17)=0,"",SUM(PJ17,PP17,PX17)/COUNT(PJ17,PP17,PX17))</f>
        <v>2.3333333333333335</v>
      </c>
      <c r="QA17" s="191" t="str">
        <f t="shared" si="107"/>
        <v>C</v>
      </c>
      <c r="QB17" s="103"/>
      <c r="QC17" s="104" t="s">
        <v>28</v>
      </c>
      <c r="QD17" s="105"/>
      <c r="QE17" s="161">
        <f>IFERROR((((COUNTIF('Elève (3ème1)'!QB17:QD17,"A"))*4)+((COUNTIF('Elève (3ème1)'!QB17:QD17,"B"))*3)+((COUNTIF('Elève (3ème1)'!QB17:QD17,"C"))*2)+((COUNTIF('Elève (3ème1)'!QB17:QD17,"D"))*1))/(COUNTA(QB17:QD17)),"")</f>
        <v>3</v>
      </c>
      <c r="QF17" s="162" t="str">
        <f t="shared" si="108"/>
        <v>B</v>
      </c>
      <c r="QG17" s="103" t="s">
        <v>29</v>
      </c>
      <c r="QH17" s="104"/>
      <c r="QI17" s="105"/>
      <c r="QJ17" s="105"/>
      <c r="QK17" s="161">
        <f>IFERROR((((COUNTIF('Elève (3ème1)'!QG17:QJ17,"A"))*4)+((COUNTIF('Elève (3ème1)'!QG17:QJ17,"B"))*3)+((COUNTIF('Elève (3ème1)'!QG17:QJ17,"C"))*2)+((COUNTIF('Elève (3ème1)'!QG17:QJ17,"D"))*1))/(COUNTA(QG17:QJ17)),"")</f>
        <v>2</v>
      </c>
      <c r="QL17" s="162" t="str">
        <f t="shared" si="109"/>
        <v>C</v>
      </c>
      <c r="QM17" s="103" t="s">
        <v>28</v>
      </c>
      <c r="QN17" s="104" t="s">
        <v>27</v>
      </c>
      <c r="QO17" s="105"/>
      <c r="QP17" s="105"/>
      <c r="QQ17" s="105"/>
      <c r="QR17" s="109"/>
      <c r="QS17" s="161">
        <f>IFERROR((((COUNTIF('Elève (3ème1)'!QM17:QR17,"A"))*4)+((COUNTIF('Elève (3ème1)'!QM17:QR17,"B"))*3)+((COUNTIF('Elève (3ème1)'!QM17:QR17,"C"))*2)+((COUNTIF('Elève (3ème1)'!QM17:QR17,"D"))*1))/(COUNTA(QM17:QR17)),"")</f>
        <v>3.5</v>
      </c>
      <c r="QT17" s="162" t="str">
        <f t="shared" si="110"/>
        <v>B</v>
      </c>
      <c r="QU17" s="161">
        <f>IF(COUNT(QE17,QK17,QS17)=0,"",SUM(QE17,QK17,QS17)/COUNT(QE17,QK17,QS17))</f>
        <v>2.8333333333333335</v>
      </c>
      <c r="QV17" s="191" t="str">
        <f t="shared" si="111"/>
        <v>B</v>
      </c>
      <c r="QW17" s="103"/>
      <c r="QX17" s="104" t="s">
        <v>29</v>
      </c>
      <c r="QY17" s="105"/>
      <c r="QZ17" s="161">
        <f>IFERROR((((COUNTIF('Elève (3ème1)'!QW17:QY17,"A"))*4)+((COUNTIF('Elève (3ème1)'!QW17:QY17,"B"))*3)+((COUNTIF('Elève (3ème1)'!QW17:QY17,"C"))*2)+((COUNTIF('Elève (3ème1)'!QW17:QY17,"D"))*1))/(COUNTA(QW17:QY17)),"")</f>
        <v>2</v>
      </c>
      <c r="RA17" s="162" t="str">
        <f t="shared" si="112"/>
        <v>C</v>
      </c>
      <c r="RB17" s="103" t="s">
        <v>29</v>
      </c>
      <c r="RC17" s="104"/>
      <c r="RD17" s="105"/>
      <c r="RE17" s="105"/>
      <c r="RF17" s="161">
        <f>IFERROR((((COUNTIF('Elève (3ème1)'!RB17:RE17,"A"))*4)+((COUNTIF('Elève (3ème1)'!RB17:RE17,"B"))*3)+((COUNTIF('Elève (3ème1)'!RB17:RE17,"C"))*2)+((COUNTIF('Elève (3ème1)'!RB17:RE17,"D"))*1))/(COUNTA(RB17:RE17)),"")</f>
        <v>2</v>
      </c>
      <c r="RG17" s="162" t="str">
        <f t="shared" si="113"/>
        <v>C</v>
      </c>
      <c r="RH17" s="103" t="s">
        <v>29</v>
      </c>
      <c r="RI17" s="104" t="s">
        <v>28</v>
      </c>
      <c r="RJ17" s="105"/>
      <c r="RK17" s="105"/>
      <c r="RL17" s="105"/>
      <c r="RM17" s="109"/>
      <c r="RN17" s="161">
        <f>IFERROR((((COUNTIF('Elève (3ème1)'!RH17:RM17,"A"))*4)+((COUNTIF('Elève (3ème1)'!RH17:RM17,"B"))*3)+((COUNTIF('Elève (3ème1)'!RH17:RM17,"C"))*2)+((COUNTIF('Elève (3ème1)'!RH17:RM17,"D"))*1))/(COUNTA(RH17:RM17)),"")</f>
        <v>2.5</v>
      </c>
      <c r="RO17" s="162" t="str">
        <f t="shared" si="114"/>
        <v>C</v>
      </c>
      <c r="RP17" s="161">
        <f>IF(COUNT(QZ17,RF17,RN17)=0,"",SUM(QZ17,RF17,RN17)/COUNT(QZ17,RF17,RN17))</f>
        <v>2.1666666666666665</v>
      </c>
      <c r="RQ17" s="191" t="str">
        <f t="shared" si="115"/>
        <v>C</v>
      </c>
      <c r="RR17" s="103"/>
      <c r="RS17" s="104" t="s">
        <v>29</v>
      </c>
      <c r="RT17" s="105"/>
      <c r="RU17" s="161">
        <f>IFERROR((((COUNTIF('Elève (3ème1)'!RR17:RT17,"A"))*4)+((COUNTIF('Elève (3ème1)'!RR17:RT17,"B"))*3)+((COUNTIF('Elève (3ème1)'!RR17:RT17,"C"))*2)+((COUNTIF('Elève (3ème1)'!RR17:RT17,"D"))*1))/(COUNTA(RR17:RT17)),"")</f>
        <v>2</v>
      </c>
      <c r="RV17" s="162" t="str">
        <f t="shared" si="116"/>
        <v>C</v>
      </c>
      <c r="RW17" s="103" t="s">
        <v>29</v>
      </c>
      <c r="RX17" s="104"/>
      <c r="RY17" s="105"/>
      <c r="RZ17" s="105"/>
      <c r="SA17" s="161">
        <f>IFERROR((((COUNTIF('Elève (3ème1)'!RW17:RZ17,"A"))*4)+((COUNTIF('Elève (3ème1)'!RW17:RZ17,"B"))*3)+((COUNTIF('Elève (3ème1)'!RW17:RZ17,"C"))*2)+((COUNTIF('Elève (3ème1)'!RW17:RZ17,"D"))*1))/(COUNTA(RW17:RZ17)),"")</f>
        <v>2</v>
      </c>
      <c r="SB17" s="162" t="str">
        <f t="shared" si="117"/>
        <v>C</v>
      </c>
      <c r="SC17" s="103" t="s">
        <v>29</v>
      </c>
      <c r="SD17" s="104" t="s">
        <v>27</v>
      </c>
      <c r="SE17" s="105"/>
      <c r="SF17" s="105"/>
      <c r="SG17" s="105"/>
      <c r="SH17" s="109"/>
      <c r="SI17" s="161">
        <f>IFERROR((((COUNTIF('Elève (3ème1)'!SC17:SH17,"A"))*4)+((COUNTIF('Elève (3ème1)'!SC17:SH17,"B"))*3)+((COUNTIF('Elève (3ème1)'!SC17:SH17,"C"))*2)+((COUNTIF('Elève (3ème1)'!SC17:SH17,"D"))*1))/(COUNTA(SC17:SH17)),"")</f>
        <v>3</v>
      </c>
      <c r="SJ17" s="162" t="str">
        <f t="shared" si="118"/>
        <v>B</v>
      </c>
      <c r="SK17" s="161">
        <f>IF(COUNT(RU17,SA17,SI17)=0,"",SUM(RU17,SA17,SI17)/COUNT(RU17,SA17,SI17))</f>
        <v>2.3333333333333335</v>
      </c>
      <c r="SL17" s="191" t="str">
        <f t="shared" si="119"/>
        <v>C</v>
      </c>
      <c r="SM17" s="103"/>
      <c r="SN17" s="104" t="s">
        <v>29</v>
      </c>
      <c r="SO17" s="105"/>
      <c r="SP17" s="161">
        <f>IFERROR((((COUNTIF('Elève (3ème1)'!SM17:SO17,"A"))*4)+((COUNTIF('Elève (3ème1)'!SM17:SO17,"B"))*3)+((COUNTIF('Elève (3ème1)'!SM17:SO17,"C"))*2)+((COUNTIF('Elève (3ème1)'!SM17:SO17,"D"))*1))/(COUNTA(SM17:SO17)),"")</f>
        <v>2</v>
      </c>
      <c r="SQ17" s="162" t="str">
        <f t="shared" si="120"/>
        <v>C</v>
      </c>
      <c r="SR17" s="103" t="s">
        <v>29</v>
      </c>
      <c r="SS17" s="104"/>
      <c r="ST17" s="105"/>
      <c r="SU17" s="105"/>
      <c r="SV17" s="161">
        <f>IFERROR((((COUNTIF('Elève (3ème1)'!SR17:SU17,"A"))*4)+((COUNTIF('Elève (3ème1)'!SR17:SU17,"B"))*3)+((COUNTIF('Elève (3ème1)'!SR17:SU17,"C"))*2)+((COUNTIF('Elève (3ème1)'!SR17:SU17,"D"))*1))/(COUNTA(SR17:SU17)),"")</f>
        <v>2</v>
      </c>
      <c r="SW17" s="162" t="str">
        <f t="shared" si="121"/>
        <v>C</v>
      </c>
      <c r="SX17" s="103" t="s">
        <v>30</v>
      </c>
      <c r="SY17" s="104" t="s">
        <v>28</v>
      </c>
      <c r="SZ17" s="105"/>
      <c r="TA17" s="105"/>
      <c r="TB17" s="105"/>
      <c r="TC17" s="109"/>
      <c r="TD17" s="161">
        <f>IFERROR((((COUNTIF('Elève (3ème1)'!SX17:TC17,"A"))*4)+((COUNTIF('Elève (3ème1)'!SX17:TC17,"B"))*3)+((COUNTIF('Elève (3ème1)'!SX17:TC17,"C"))*2)+((COUNTIF('Elève (3ème1)'!SX17:TC17,"D"))*1))/(COUNTA(SX17:TC17)),"")</f>
        <v>2</v>
      </c>
      <c r="TE17" s="162" t="str">
        <f t="shared" si="122"/>
        <v>C</v>
      </c>
      <c r="TF17" s="161">
        <f>IF(COUNT(SP17,SV17,TD17)=0,"",SUM(SP17,SV17,TD17)/COUNT(SP17,SV17,TD17))</f>
        <v>2</v>
      </c>
      <c r="TG17" s="191" t="str">
        <f t="shared" si="123"/>
        <v>C</v>
      </c>
      <c r="TH17" s="103"/>
      <c r="TI17" s="104"/>
      <c r="TJ17" s="105"/>
      <c r="TK17" s="99" t="str">
        <f>IFERROR((((COUNTIF('Elève (3ème1)'!TH17:TJ17,"A"))*4)+((COUNTIF('Elève (3ème1)'!TH17:TJ17,"B"))*3)+((COUNTIF('Elève (3ème1)'!TH17:TJ17,"C"))*2)+((COUNTIF('Elève (3ème1)'!TH17:TJ17,"D"))*1))/(COUNTA(TH17:TJ17)),"")</f>
        <v/>
      </c>
      <c r="TL17" s="100" t="str">
        <f t="shared" si="124"/>
        <v/>
      </c>
      <c r="TM17" s="103"/>
      <c r="TN17" s="104"/>
      <c r="TO17" s="105"/>
      <c r="TP17" s="99" t="str">
        <f>IFERROR((((COUNTIF('Elève (3ème1)'!TM17:TO17,"A"))*4)+((COUNTIF('Elève (3ème1)'!TM17:TO17,"B"))*3)+((COUNTIF('Elève (3ème1)'!TM17:TO17,"C"))*2)+((COUNTIF('Elève (3ème1)'!TM17:TO17,"D"))*1))/(COUNTA(TM17:TO17)),"")</f>
        <v/>
      </c>
      <c r="TQ17" s="100" t="str">
        <f t="shared" si="125"/>
        <v/>
      </c>
      <c r="TR17" s="103"/>
      <c r="TS17" s="104"/>
      <c r="TT17" s="109"/>
      <c r="TU17" s="99" t="str">
        <f>IFERROR((((COUNTIF('Elève (3ème1)'!TR17:TT17,"A"))*4)+((COUNTIF('Elève (3ème1)'!TR17:TT17,"B"))*3)+((COUNTIF('Elève (3ème1)'!TR17:TT17,"C"))*2)+((COUNTIF('Elève (3ème1)'!TR17:TT17,"D"))*1))/(COUNTA(TR17:TT17)),"")</f>
        <v/>
      </c>
      <c r="TV17" s="100" t="str">
        <f t="shared" si="126"/>
        <v/>
      </c>
      <c r="TW17" s="99" t="str">
        <f>IF(COUNT(TK17,TP17,TU17)=0,"",SUM(TK17,TP17,TU17)/COUNT(TK17,TP17,TU17))</f>
        <v/>
      </c>
      <c r="TX17" s="123" t="str">
        <f t="shared" si="127"/>
        <v/>
      </c>
      <c r="TY17" s="103"/>
      <c r="TZ17" s="104"/>
      <c r="UA17" s="105"/>
      <c r="UB17" s="99" t="str">
        <f>IFERROR((((COUNTIF('Elève (3ème1)'!TY17:UA17,"A"))*4)+((COUNTIF('Elève (3ème1)'!TY17:UA17,"B"))*3)+((COUNTIF('Elève (3ème1)'!TY17:UA17,"C"))*2)+((COUNTIF('Elève (3ème1)'!TY17:UA17,"D"))*1))/(COUNTA(TY17:UA17)),"")</f>
        <v/>
      </c>
      <c r="UC17" s="100" t="str">
        <f t="shared" si="128"/>
        <v/>
      </c>
      <c r="UD17" s="103"/>
      <c r="UE17" s="104"/>
      <c r="UF17" s="105"/>
      <c r="UG17" s="99" t="str">
        <f>IFERROR((((COUNTIF('Elève (3ème1)'!UD17:UF17,"A"))*4)+((COUNTIF('Elève (3ème1)'!UD17:UF17,"B"))*3)+((COUNTIF('Elève (3ème1)'!UD17:UF17,"C"))*2)+((COUNTIF('Elève (3ème1)'!UD17:UF17,"D"))*1))/(COUNTA(UD17:UF17)),"")</f>
        <v/>
      </c>
      <c r="UH17" s="100" t="str">
        <f t="shared" si="129"/>
        <v/>
      </c>
      <c r="UI17" s="103"/>
      <c r="UJ17" s="104"/>
      <c r="UK17" s="109"/>
      <c r="UL17" s="99" t="str">
        <f>IFERROR((((COUNTIF('Elève (3ème1)'!UI17:UK17,"A"))*4)+((COUNTIF('Elève (3ème1)'!UI17:UK17,"B"))*3)+((COUNTIF('Elève (3ème1)'!UI17:UK17,"C"))*2)+((COUNTIF('Elève (3ème1)'!UI17:UK17,"D"))*1))/(COUNTA(UI17:UK17)),"")</f>
        <v/>
      </c>
      <c r="UM17" s="100" t="str">
        <f t="shared" si="130"/>
        <v/>
      </c>
      <c r="UN17" s="99" t="str">
        <f>IF(COUNT(UB17,UG17,UL17)=0,"",SUM(UB17,UG17,UL17)/COUNT(UB17,UG17,UL17))</f>
        <v/>
      </c>
      <c r="UO17" s="123" t="str">
        <f t="shared" si="131"/>
        <v/>
      </c>
      <c r="UP17" s="103"/>
      <c r="UQ17" s="104"/>
      <c r="UR17" s="105"/>
      <c r="US17" s="99" t="str">
        <f>IFERROR((((COUNTIF('Elève (3ème1)'!UP17:UR17,"A"))*4)+((COUNTIF('Elève (3ème1)'!UP17:UR17,"B"))*3)+((COUNTIF('Elève (3ème1)'!UP17:UR17,"C"))*2)+((COUNTIF('Elève (3ème1)'!UP17:UR17,"D"))*1))/(COUNTA(UP17:UR17)),"")</f>
        <v/>
      </c>
      <c r="UT17" s="100" t="str">
        <f t="shared" si="132"/>
        <v/>
      </c>
      <c r="UU17" s="103"/>
      <c r="UV17" s="104"/>
      <c r="UW17" s="105"/>
      <c r="UX17" s="99" t="str">
        <f>IFERROR((((COUNTIF('Elève (3ème1)'!UU17:UW17,"A"))*4)+((COUNTIF('Elève (3ème1)'!UU17:UW17,"B"))*3)+((COUNTIF('Elève (3ème1)'!UU17:UW17,"C"))*2)+((COUNTIF('Elève (3ème1)'!UU17:UW17,"D"))*1))/(COUNTA(UU17:UW17)),"")</f>
        <v/>
      </c>
      <c r="UY17" s="100" t="str">
        <f t="shared" si="133"/>
        <v/>
      </c>
      <c r="UZ17" s="103"/>
      <c r="VA17" s="104"/>
      <c r="VB17" s="109"/>
      <c r="VC17" s="99" t="str">
        <f>IFERROR((((COUNTIF('Elève (3ème1)'!UZ17:VB17,"A"))*4)+((COUNTIF('Elève (3ème1)'!UZ17:VB17,"B"))*3)+((COUNTIF('Elève (3ème1)'!UZ17:VB17,"C"))*2)+((COUNTIF('Elève (3ème1)'!UZ17:VB17,"D"))*1))/(COUNTA(UZ17:VB17)),"")</f>
        <v/>
      </c>
      <c r="VD17" s="100" t="str">
        <f t="shared" si="134"/>
        <v/>
      </c>
      <c r="VE17" s="99" t="str">
        <f>IF(COUNT(US17,UX17,VC17)=0,"",SUM(US17,UX17,VC17)/COUNT(US17,UX17,VC17))</f>
        <v/>
      </c>
      <c r="VF17" s="123" t="str">
        <f t="shared" si="135"/>
        <v/>
      </c>
      <c r="VG17" s="103"/>
      <c r="VH17" s="104"/>
      <c r="VI17" s="105"/>
      <c r="VJ17" s="99" t="str">
        <f>IFERROR((((COUNTIF('Elève (3ème1)'!VG17:VI17,"A"))*4)+((COUNTIF('Elève (3ème1)'!VG17:VI17,"B"))*3)+((COUNTIF('Elève (3ème1)'!VG17:VI17,"C"))*2)+((COUNTIF('Elève (3ème1)'!VG17:VI17,"D"))*1))/(COUNTA(VG17:VI17)),"")</f>
        <v/>
      </c>
      <c r="VK17" s="100" t="str">
        <f t="shared" si="136"/>
        <v/>
      </c>
      <c r="VL17" s="103"/>
      <c r="VM17" s="104"/>
      <c r="VN17" s="105"/>
      <c r="VO17" s="99" t="str">
        <f>IFERROR((((COUNTIF('Elève (3ème1)'!VL17:VN17,"A"))*4)+((COUNTIF('Elève (3ème1)'!VL17:VN17,"B"))*3)+((COUNTIF('Elève (3ème1)'!VL17:VN17,"C"))*2)+((COUNTIF('Elève (3ème1)'!VL17:VN17,"D"))*1))/(COUNTA(VL17:VN17)),"")</f>
        <v/>
      </c>
      <c r="VP17" s="100" t="str">
        <f t="shared" si="137"/>
        <v/>
      </c>
      <c r="VQ17" s="103"/>
      <c r="VR17" s="104"/>
      <c r="VS17" s="109"/>
      <c r="VT17" s="99" t="str">
        <f>IFERROR((((COUNTIF('Elève (3ème1)'!VQ17:VS17,"A"))*4)+((COUNTIF('Elève (3ème1)'!VQ17:VS17,"B"))*3)+((COUNTIF('Elève (3ème1)'!VQ17:VS17,"C"))*2)+((COUNTIF('Elève (3ème1)'!VQ17:VS17,"D"))*1))/(COUNTA(VQ17:VS17)),"")</f>
        <v/>
      </c>
      <c r="VU17" s="100" t="str">
        <f t="shared" si="138"/>
        <v/>
      </c>
      <c r="VV17" s="99" t="str">
        <f>IF(COUNT(VJ17,VO17,VT17)=0,"",SUM(VJ17,VO17,VT17)/COUNT(VJ17,VO17,VT17))</f>
        <v/>
      </c>
      <c r="VW17" s="123" t="str">
        <f t="shared" si="139"/>
        <v/>
      </c>
      <c r="VX17" s="103"/>
      <c r="VY17" s="104"/>
      <c r="VZ17" s="105"/>
      <c r="WA17" s="99" t="str">
        <f>IFERROR((((COUNTIF('Elève (3ème1)'!VX17:VZ17,"A"))*4)+((COUNTIF('Elève (3ème1)'!VX17:VZ17,"B"))*3)+((COUNTIF('Elève (3ème1)'!VX17:VZ17,"C"))*2)+((COUNTIF('Elève (3ème1)'!VX17:VZ17,"D"))*1))/(COUNTA(VX17:VZ17)),"")</f>
        <v/>
      </c>
      <c r="WB17" s="100" t="str">
        <f t="shared" si="140"/>
        <v/>
      </c>
      <c r="WC17" s="103"/>
      <c r="WD17" s="104"/>
      <c r="WE17" s="105"/>
      <c r="WF17" s="99" t="str">
        <f>IFERROR((((COUNTIF('Elève (3ème1)'!WC17:WE17,"A"))*4)+((COUNTIF('Elève (3ème1)'!WC17:WE17,"B"))*3)+((COUNTIF('Elève (3ème1)'!WC17:WE17,"C"))*2)+((COUNTIF('Elève (3ème1)'!WC17:WE17,"D"))*1))/(COUNTA(WC17:WE17)),"")</f>
        <v/>
      </c>
      <c r="WG17" s="100" t="str">
        <f t="shared" si="141"/>
        <v/>
      </c>
      <c r="WH17" s="103"/>
      <c r="WI17" s="104"/>
      <c r="WJ17" s="109"/>
      <c r="WK17" s="99" t="str">
        <f>IFERROR((((COUNTIF('Elève (3ème1)'!WH17:WJ17,"A"))*4)+((COUNTIF('Elève (3ème1)'!WH17:WJ17,"B"))*3)+((COUNTIF('Elève (3ème1)'!WH17:WJ17,"C"))*2)+((COUNTIF('Elève (3ème1)'!WH17:WJ17,"D"))*1))/(COUNTA(WH17:WJ17)),"")</f>
        <v/>
      </c>
      <c r="WL17" s="100" t="str">
        <f t="shared" si="142"/>
        <v/>
      </c>
      <c r="WM17" s="99" t="str">
        <f>IF(COUNT(WA17,WF17,WK17)=0,"",SUM(WA17,WF17,WK17)/COUNT(WA17,WF17,WK17))</f>
        <v/>
      </c>
      <c r="WN17" s="123" t="str">
        <f t="shared" si="143"/>
        <v/>
      </c>
    </row>
    <row r="18" spans="1:612" ht="18" customHeight="1" x14ac:dyDescent="0.55000000000000004">
      <c r="A18" s="221" t="s">
        <v>22</v>
      </c>
      <c r="B18" s="222"/>
      <c r="C18" s="103"/>
      <c r="D18" s="104"/>
      <c r="E18" s="105"/>
      <c r="F18" s="163" t="str">
        <f>IFERROR((((COUNTIF('Elève (3ème1)'!C18:E18,"A"))*4)+((COUNTIF('Elève (3ème1)'!C18:E18,"B"))*3)+((COUNTIF('Elève (3ème1)'!C18:E18,"C"))*2)+((COUNTIF('Elève (3ème1)'!C18:E18,"D"))*1))/(COUNTA(C18:E18)),"")</f>
        <v/>
      </c>
      <c r="G18" s="164" t="str">
        <f t="shared" si="24"/>
        <v/>
      </c>
      <c r="H18" s="103"/>
      <c r="I18" s="104"/>
      <c r="J18" s="105"/>
      <c r="K18" s="105"/>
      <c r="L18" s="163" t="str">
        <f>IFERROR((((COUNTIF('Elève (3ème1)'!H18:K18,"A"))*4)+((COUNTIF('Elève (3ème1)'!H18:K18,"B"))*3)+((COUNTIF('Elève (3ème1)'!H18:K18,"C"))*2)+((COUNTIF('Elève (3ème1)'!H18:K18,"D"))*1))/(COUNTA(H18:K18)),"")</f>
        <v/>
      </c>
      <c r="M18" s="164" t="str">
        <f t="shared" si="25"/>
        <v/>
      </c>
      <c r="N18" s="103"/>
      <c r="O18" s="104"/>
      <c r="P18" s="105"/>
      <c r="Q18" s="105"/>
      <c r="R18" s="105"/>
      <c r="S18" s="105"/>
      <c r="T18" s="163" t="str">
        <f>IFERROR((((COUNTIF('Elève (3ème1)'!N18:S18,"A"))*4)+((COUNTIF('Elève (3ème1)'!N18:S18,"B"))*3)+((COUNTIF('Elève (3ème1)'!N18:S18,"C"))*2)+((COUNTIF('Elève (3ème1)'!N18:S18,"D"))*1))/(COUNTA(N18:S18)),"")</f>
        <v/>
      </c>
      <c r="U18" s="164" t="str">
        <f t="shared" si="26"/>
        <v/>
      </c>
      <c r="V18" s="163" t="str">
        <f>IF(COUNT(F18,L18,T18)=0,"",SUM(F18,L18,T18)/COUNT(F18,L18,T18))</f>
        <v/>
      </c>
      <c r="W18" s="187" t="str">
        <f t="shared" si="27"/>
        <v/>
      </c>
      <c r="X18" s="103"/>
      <c r="Y18" s="104"/>
      <c r="Z18" s="105"/>
      <c r="AA18" s="163" t="str">
        <f>IFERROR((((COUNTIF('Elève (3ème1)'!X18:Z18,"A"))*4)+((COUNTIF('Elève (3ème1)'!X18:Z18,"B"))*3)+((COUNTIF('Elève (3ème1)'!X18:Z18,"C"))*2)+((COUNTIF('Elève (3ème1)'!X18:Z18,"D"))*1))/(COUNTA(X18:Z18)),"")</f>
        <v/>
      </c>
      <c r="AB18" s="164" t="str">
        <f t="shared" si="28"/>
        <v/>
      </c>
      <c r="AC18" s="103"/>
      <c r="AD18" s="104"/>
      <c r="AE18" s="105"/>
      <c r="AF18" s="105"/>
      <c r="AG18" s="163" t="str">
        <f>IFERROR((((COUNTIF('Elève (3ème1)'!AC18:AF18,"A"))*4)+((COUNTIF('Elève (3ème1)'!AC18:AF18,"B"))*3)+((COUNTIF('Elève (3ème1)'!AC18:AF18,"C"))*2)+((COUNTIF('Elève (3ème1)'!AC18:AF18,"D"))*1))/(COUNTA(AC18:AF18)),"")</f>
        <v/>
      </c>
      <c r="AH18" s="164" t="str">
        <f t="shared" si="29"/>
        <v/>
      </c>
      <c r="AI18" s="103"/>
      <c r="AJ18" s="104"/>
      <c r="AK18" s="105"/>
      <c r="AL18" s="105"/>
      <c r="AM18" s="105"/>
      <c r="AN18" s="109"/>
      <c r="AO18" s="163" t="str">
        <f>IFERROR((((COUNTIF('Elève (3ème1)'!AI18:AN18,"A"))*4)+((COUNTIF('Elève (3ème1)'!AI18:AN18,"B"))*3)+((COUNTIF('Elève (3ème1)'!AI18:AN18,"C"))*2)+((COUNTIF('Elève (3ème1)'!AI18:AN18,"D"))*1))/(COUNTA(AI18:AN18)),"")</f>
        <v/>
      </c>
      <c r="AP18" s="164" t="str">
        <f t="shared" si="30"/>
        <v/>
      </c>
      <c r="AQ18" s="163" t="str">
        <f>IF(COUNT(AA18,AG18,AO18)=0,"",SUM(AA18,AG18,AO18)/COUNT(AA18,AG18,AO18))</f>
        <v/>
      </c>
      <c r="AR18" s="187" t="str">
        <f t="shared" si="31"/>
        <v/>
      </c>
      <c r="AS18" s="103"/>
      <c r="AT18" s="104"/>
      <c r="AU18" s="105"/>
      <c r="AV18" s="163" t="str">
        <f>IFERROR((((COUNTIF('Elève (3ème1)'!AS18:AU18,"A"))*4)+((COUNTIF('Elève (3ème1)'!AS18:AU18,"B"))*3)+((COUNTIF('Elève (3ème1)'!AS18:AU18,"C"))*2)+((COUNTIF('Elève (3ème1)'!AS18:AU18,"D"))*1))/(COUNTA(AS18:AU18)),"")</f>
        <v/>
      </c>
      <c r="AW18" s="164" t="str">
        <f t="shared" si="32"/>
        <v/>
      </c>
      <c r="AX18" s="103"/>
      <c r="AY18" s="104"/>
      <c r="AZ18" s="105"/>
      <c r="BA18" s="105"/>
      <c r="BB18" s="163" t="str">
        <f>IFERROR((((COUNTIF('Elève (3ème1)'!AX18:BA18,"A"))*4)+((COUNTIF('Elève (3ème1)'!AX18:BA18,"B"))*3)+((COUNTIF('Elève (3ème1)'!AX18:BA18,"C"))*2)+((COUNTIF('Elève (3ème1)'!AX18:BA18,"D"))*1))/(COUNTA(AX18:BA18)),"")</f>
        <v/>
      </c>
      <c r="BC18" s="164" t="str">
        <f t="shared" si="33"/>
        <v/>
      </c>
      <c r="BD18" s="103"/>
      <c r="BE18" s="104"/>
      <c r="BF18" s="105"/>
      <c r="BG18" s="105"/>
      <c r="BH18" s="105"/>
      <c r="BI18" s="109"/>
      <c r="BJ18" s="163" t="str">
        <f>IFERROR((((COUNTIF('Elève (3ème1)'!BD18:BI18,"A"))*4)+((COUNTIF('Elève (3ème1)'!BD18:BI18,"B"))*3)+((COUNTIF('Elève (3ème1)'!BD18:BI18,"C"))*2)+((COUNTIF('Elève (3ème1)'!BD18:BI18,"D"))*1))/(COUNTA(BD18:BI18)),"")</f>
        <v/>
      </c>
      <c r="BK18" s="164" t="str">
        <f t="shared" si="34"/>
        <v/>
      </c>
      <c r="BL18" s="163" t="str">
        <f>IF(COUNT(AV18,BB18,BJ18)=0,"",SUM(AV18,BB18,BJ18)/COUNT(AV18,BB18,BJ18))</f>
        <v/>
      </c>
      <c r="BM18" s="187" t="str">
        <f t="shared" si="35"/>
        <v/>
      </c>
      <c r="BN18" s="103"/>
      <c r="BO18" s="104"/>
      <c r="BP18" s="105"/>
      <c r="BQ18" s="163" t="str">
        <f>IFERROR((((COUNTIF('Elève (3ème1)'!BN18:BP18,"A"))*4)+((COUNTIF('Elève (3ème1)'!BN18:BP18,"B"))*3)+((COUNTIF('Elève (3ème1)'!BN18:BP18,"C"))*2)+((COUNTIF('Elève (3ème1)'!BN18:BP18,"D"))*1))/(COUNTA(BN18:BP18)),"")</f>
        <v/>
      </c>
      <c r="BR18" s="164" t="str">
        <f t="shared" si="36"/>
        <v/>
      </c>
      <c r="BS18" s="103"/>
      <c r="BT18" s="104"/>
      <c r="BU18" s="105"/>
      <c r="BV18" s="105"/>
      <c r="BW18" s="163" t="str">
        <f>IFERROR((((COUNTIF('Elève (3ème1)'!BS18:BV18,"A"))*4)+((COUNTIF('Elève (3ème1)'!BS18:BV18,"B"))*3)+((COUNTIF('Elève (3ème1)'!BS18:BV18,"C"))*2)+((COUNTIF('Elève (3ème1)'!BS18:BV18,"D"))*1))/(COUNTA(BS18:BV18)),"")</f>
        <v/>
      </c>
      <c r="BX18" s="164" t="str">
        <f t="shared" si="37"/>
        <v/>
      </c>
      <c r="BY18" s="103"/>
      <c r="BZ18" s="104"/>
      <c r="CA18" s="105"/>
      <c r="CB18" s="105"/>
      <c r="CC18" s="105"/>
      <c r="CD18" s="109"/>
      <c r="CE18" s="163" t="str">
        <f>IFERROR((((COUNTIF('Elève (3ème1)'!BY18:CD18,"A"))*4)+((COUNTIF('Elève (3ème1)'!BY18:CD18,"B"))*3)+((COUNTIF('Elève (3ème1)'!BY18:CD18,"C"))*2)+((COUNTIF('Elève (3ème1)'!BY18:CD18,"D"))*1))/(COUNTA(BY18:CD18)),"")</f>
        <v/>
      </c>
      <c r="CF18" s="164" t="str">
        <f t="shared" si="38"/>
        <v/>
      </c>
      <c r="CG18" s="163" t="str">
        <f>IF(COUNT(BQ18,BW18,CE18)=0,"",SUM(BQ18,BW18,CE18)/COUNT(BQ18,BW18,CE18))</f>
        <v/>
      </c>
      <c r="CH18" s="187" t="str">
        <f t="shared" si="39"/>
        <v/>
      </c>
      <c r="CI18" s="103"/>
      <c r="CJ18" s="104"/>
      <c r="CK18" s="105"/>
      <c r="CL18" s="163" t="str">
        <f>IFERROR((((COUNTIF('Elève (3ème1)'!CI18:CK18,"A"))*4)+((COUNTIF('Elève (3ème1)'!CI18:CK18,"B"))*3)+((COUNTIF('Elève (3ème1)'!CI18:CK18,"C"))*2)+((COUNTIF('Elève (3ème1)'!CI18:CK18,"D"))*1))/(COUNTA(CI18:CK18)),"")</f>
        <v/>
      </c>
      <c r="CM18" s="164" t="str">
        <f t="shared" si="40"/>
        <v/>
      </c>
      <c r="CN18" s="103"/>
      <c r="CO18" s="104"/>
      <c r="CP18" s="105"/>
      <c r="CQ18" s="105"/>
      <c r="CR18" s="163" t="str">
        <f>IFERROR((((COUNTIF('Elève (3ème1)'!CN18:CQ18,"A"))*4)+((COUNTIF('Elève (3ème1)'!CN18:CQ18,"B"))*3)+((COUNTIF('Elève (3ème1)'!CN18:CQ18,"C"))*2)+((COUNTIF('Elève (3ème1)'!CN18:CQ18,"D"))*1))/(COUNTA(CN18:CQ18)),"")</f>
        <v/>
      </c>
      <c r="CS18" s="164" t="str">
        <f t="shared" si="41"/>
        <v/>
      </c>
      <c r="CT18" s="103"/>
      <c r="CU18" s="104"/>
      <c r="CV18" s="105"/>
      <c r="CW18" s="105"/>
      <c r="CX18" s="105"/>
      <c r="CY18" s="109"/>
      <c r="CZ18" s="163" t="str">
        <f>IFERROR((((COUNTIF('Elève (3ème1)'!CT18:CY18,"A"))*4)+((COUNTIF('Elève (3ème1)'!CT18:CY18,"B"))*3)+((COUNTIF('Elève (3ème1)'!CT18:CY18,"C"))*2)+((COUNTIF('Elève (3ème1)'!CT18:CY18,"D"))*1))/(COUNTA(CT18:CY18)),"")</f>
        <v/>
      </c>
      <c r="DA18" s="164" t="str">
        <f t="shared" si="42"/>
        <v/>
      </c>
      <c r="DB18" s="163" t="str">
        <f>IF(COUNT(CL18,CR18,CZ18)=0,"",SUM(CL18,CR18,CZ18)/COUNT(CL18,CR18,CZ18))</f>
        <v/>
      </c>
      <c r="DC18" s="187" t="str">
        <f t="shared" si="43"/>
        <v/>
      </c>
      <c r="DD18" s="103"/>
      <c r="DE18" s="104"/>
      <c r="DF18" s="105"/>
      <c r="DG18" s="163" t="str">
        <f>IFERROR((((COUNTIF('Elève (3ème1)'!DD18:DF18,"A"))*4)+((COUNTIF('Elève (3ème1)'!DD18:DF18,"B"))*3)+((COUNTIF('Elève (3ème1)'!DD18:DF18,"C"))*2)+((COUNTIF('Elève (3ème1)'!DD18:DF18,"D"))*1))/(COUNTA(DD18:DF18)),"")</f>
        <v/>
      </c>
      <c r="DH18" s="164" t="str">
        <f t="shared" si="44"/>
        <v/>
      </c>
      <c r="DI18" s="103"/>
      <c r="DJ18" s="104"/>
      <c r="DK18" s="105"/>
      <c r="DL18" s="105"/>
      <c r="DM18" s="163" t="str">
        <f>IFERROR((((COUNTIF('Elève (3ème1)'!DI18:DL18,"A"))*4)+((COUNTIF('Elève (3ème1)'!DI18:DL18,"B"))*3)+((COUNTIF('Elève (3ème1)'!DI18:DL18,"C"))*2)+((COUNTIF('Elève (3ème1)'!DI18:DL18,"D"))*1))/(COUNTA(DI18:DL18)),"")</f>
        <v/>
      </c>
      <c r="DN18" s="164" t="str">
        <f t="shared" si="45"/>
        <v/>
      </c>
      <c r="DO18" s="103"/>
      <c r="DP18" s="104"/>
      <c r="DQ18" s="105"/>
      <c r="DR18" s="105"/>
      <c r="DS18" s="105"/>
      <c r="DT18" s="109"/>
      <c r="DU18" s="163" t="str">
        <f>IFERROR((((COUNTIF('Elève (3ème1)'!DO18:DT18,"A"))*4)+((COUNTIF('Elève (3ème1)'!DO18:DT18,"B"))*3)+((COUNTIF('Elève (3ème1)'!DO18:DT18,"C"))*2)+((COUNTIF('Elève (3ème1)'!DO18:DT18,"D"))*1))/(COUNTA(DO18:DT18)),"")</f>
        <v/>
      </c>
      <c r="DV18" s="164" t="str">
        <f t="shared" si="46"/>
        <v/>
      </c>
      <c r="DW18" s="163" t="str">
        <f>IF(COUNT(DG18,DM18,DU18)=0,"",SUM(DG18,DM18,DU18)/COUNT(DG18,DM18,DU18))</f>
        <v/>
      </c>
      <c r="DX18" s="187" t="str">
        <f t="shared" si="47"/>
        <v/>
      </c>
      <c r="DY18" s="103"/>
      <c r="DZ18" s="104"/>
      <c r="EA18" s="105"/>
      <c r="EB18" s="163" t="str">
        <f>IFERROR((((COUNTIF('Elève (3ème1)'!DY18:EA18,"A"))*4)+((COUNTIF('Elève (3ème1)'!DY18:EA18,"B"))*3)+((COUNTIF('Elève (3ème1)'!DY18:EA18,"C"))*2)+((COUNTIF('Elève (3ème1)'!DY18:EA18,"D"))*1))/(COUNTA(DY18:EA18)),"")</f>
        <v/>
      </c>
      <c r="EC18" s="164" t="str">
        <f t="shared" si="48"/>
        <v/>
      </c>
      <c r="ED18" s="103"/>
      <c r="EE18" s="104"/>
      <c r="EF18" s="105"/>
      <c r="EG18" s="105"/>
      <c r="EH18" s="163" t="str">
        <f>IFERROR((((COUNTIF('Elève (3ème1)'!ED18:EG18,"A"))*4)+((COUNTIF('Elève (3ème1)'!ED18:EG18,"B"))*3)+((COUNTIF('Elève (3ème1)'!ED18:EG18,"C"))*2)+((COUNTIF('Elève (3ème1)'!ED18:EG18,"D"))*1))/(COUNTA(ED18:EG18)),"")</f>
        <v/>
      </c>
      <c r="EI18" s="164" t="str">
        <f t="shared" si="49"/>
        <v/>
      </c>
      <c r="EJ18" s="103"/>
      <c r="EK18" s="104"/>
      <c r="EL18" s="105"/>
      <c r="EM18" s="105"/>
      <c r="EN18" s="105"/>
      <c r="EO18" s="109"/>
      <c r="EP18" s="163" t="str">
        <f>IFERROR((((COUNTIF('Elève (3ème1)'!EJ18:EO18,"A"))*4)+((COUNTIF('Elève (3ème1)'!EJ18:EO18,"B"))*3)+((COUNTIF('Elève (3ème1)'!EJ18:EO18,"C"))*2)+((COUNTIF('Elève (3ème1)'!EJ18:EO18,"D"))*1))/(COUNTA(EJ18:EO18)),"")</f>
        <v/>
      </c>
      <c r="EQ18" s="164" t="str">
        <f t="shared" si="50"/>
        <v/>
      </c>
      <c r="ER18" s="163" t="str">
        <f>IF(COUNT(EB18,EH18,EP18)=0,"",SUM(EB18,EH18,EP18)/COUNT(EB18,EH18,EP18))</f>
        <v/>
      </c>
      <c r="ES18" s="187" t="str">
        <f t="shared" si="51"/>
        <v/>
      </c>
      <c r="ET18" s="103"/>
      <c r="EU18" s="104"/>
      <c r="EV18" s="105"/>
      <c r="EW18" s="163" t="str">
        <f>IFERROR((((COUNTIF('Elève (3ème1)'!ET18:EV18,"A"))*4)+((COUNTIF('Elève (3ème1)'!ET18:EV18,"B"))*3)+((COUNTIF('Elève (3ème1)'!ET18:EV18,"C"))*2)+((COUNTIF('Elève (3ème1)'!ET18:EV18,"D"))*1))/(COUNTA(ET18:EV18)),"")</f>
        <v/>
      </c>
      <c r="EX18" s="164" t="str">
        <f t="shared" si="52"/>
        <v/>
      </c>
      <c r="EY18" s="103"/>
      <c r="EZ18" s="104"/>
      <c r="FA18" s="105"/>
      <c r="FB18" s="105"/>
      <c r="FC18" s="163" t="str">
        <f>IFERROR((((COUNTIF('Elève (3ème1)'!EY18:FB18,"A"))*4)+((COUNTIF('Elève (3ème1)'!EY18:FB18,"B"))*3)+((COUNTIF('Elève (3ème1)'!EY18:FB18,"C"))*2)+((COUNTIF('Elève (3ème1)'!EY18:FB18,"D"))*1))/(COUNTA(EY18:FB18)),"")</f>
        <v/>
      </c>
      <c r="FD18" s="164" t="str">
        <f t="shared" si="53"/>
        <v/>
      </c>
      <c r="FE18" s="103"/>
      <c r="FF18" s="104"/>
      <c r="FG18" s="105"/>
      <c r="FH18" s="105"/>
      <c r="FI18" s="105"/>
      <c r="FJ18" s="109"/>
      <c r="FK18" s="163" t="str">
        <f>IFERROR((((COUNTIF('Elève (3ème1)'!FE18:FJ18,"A"))*4)+((COUNTIF('Elève (3ème1)'!FE18:FJ18,"B"))*3)+((COUNTIF('Elève (3ème1)'!FE18:FJ18,"C"))*2)+((COUNTIF('Elève (3ème1)'!FE18:FJ18,"D"))*1))/(COUNTA(FE18:FJ18)),"")</f>
        <v/>
      </c>
      <c r="FL18" s="164" t="str">
        <f t="shared" si="54"/>
        <v/>
      </c>
      <c r="FM18" s="163" t="str">
        <f>IF(COUNT(EW18,FC18,FK18)=0,"",SUM(EW18,FC18,FK18)/COUNT(EW18,FC18,FK18))</f>
        <v/>
      </c>
      <c r="FN18" s="187" t="str">
        <f t="shared" si="55"/>
        <v/>
      </c>
      <c r="FO18" s="103"/>
      <c r="FP18" s="104"/>
      <c r="FQ18" s="105"/>
      <c r="FR18" s="163" t="str">
        <f>IFERROR((((COUNTIF('Elève (3ème1)'!FO18:FQ18,"A"))*4)+((COUNTIF('Elève (3ème1)'!FO18:FQ18,"B"))*3)+((COUNTIF('Elève (3ème1)'!FO18:FQ18,"C"))*2)+((COUNTIF('Elève (3ème1)'!FO18:FQ18,"D"))*1))/(COUNTA(FO18:FQ18)),"")</f>
        <v/>
      </c>
      <c r="FS18" s="164" t="str">
        <f t="shared" si="56"/>
        <v/>
      </c>
      <c r="FT18" s="103"/>
      <c r="FU18" s="104"/>
      <c r="FV18" s="105"/>
      <c r="FW18" s="105"/>
      <c r="FX18" s="163" t="str">
        <f>IFERROR((((COUNTIF('Elève (3ème1)'!FT18:FW18,"A"))*4)+((COUNTIF('Elève (3ème1)'!FT18:FW18,"B"))*3)+((COUNTIF('Elève (3ème1)'!FT18:FW18,"C"))*2)+((COUNTIF('Elève (3ème1)'!FT18:FW18,"D"))*1))/(COUNTA(FT18:FW18)),"")</f>
        <v/>
      </c>
      <c r="FY18" s="164" t="str">
        <f t="shared" si="57"/>
        <v/>
      </c>
      <c r="FZ18" s="103"/>
      <c r="GA18" s="104"/>
      <c r="GB18" s="105"/>
      <c r="GC18" s="105"/>
      <c r="GD18" s="105"/>
      <c r="GE18" s="109"/>
      <c r="GF18" s="163" t="str">
        <f>IFERROR((((COUNTIF('Elève (3ème1)'!FZ18:GE18,"A"))*4)+((COUNTIF('Elève (3ème1)'!FZ18:GE18,"B"))*3)+((COUNTIF('Elève (3ème1)'!FZ18:GE18,"C"))*2)+((COUNTIF('Elève (3ème1)'!FZ18:GE18,"D"))*1))/(COUNTA(FZ18:GE18)),"")</f>
        <v/>
      </c>
      <c r="GG18" s="164" t="str">
        <f t="shared" si="58"/>
        <v/>
      </c>
      <c r="GH18" s="163" t="str">
        <f>IF(COUNT(FR18,FX18,GF18)=0,"",SUM(FR18,FX18,GF18)/COUNT(FR18,FX18,GF18))</f>
        <v/>
      </c>
      <c r="GI18" s="187" t="str">
        <f t="shared" si="59"/>
        <v/>
      </c>
      <c r="GJ18" s="103"/>
      <c r="GK18" s="104"/>
      <c r="GL18" s="105"/>
      <c r="GM18" s="163" t="str">
        <f>IFERROR((((COUNTIF('Elève (3ème1)'!GJ18:GL18,"A"))*4)+((COUNTIF('Elève (3ème1)'!GJ18:GL18,"B"))*3)+((COUNTIF('Elève (3ème1)'!GJ18:GL18,"C"))*2)+((COUNTIF('Elève (3ème1)'!GJ18:GL18,"D"))*1))/(COUNTA(GJ18:GL18)),"")</f>
        <v/>
      </c>
      <c r="GN18" s="164" t="str">
        <f t="shared" si="60"/>
        <v/>
      </c>
      <c r="GO18" s="103"/>
      <c r="GP18" s="104"/>
      <c r="GQ18" s="105"/>
      <c r="GR18" s="105"/>
      <c r="GS18" s="163" t="str">
        <f>IFERROR((((COUNTIF('Elève (3ème1)'!GO18:GR18,"A"))*4)+((COUNTIF('Elève (3ème1)'!GO18:GR18,"B"))*3)+((COUNTIF('Elève (3ème1)'!GO18:GR18,"C"))*2)+((COUNTIF('Elève (3ème1)'!GO18:GR18,"D"))*1))/(COUNTA(GO18:GR18)),"")</f>
        <v/>
      </c>
      <c r="GT18" s="164" t="str">
        <f t="shared" si="61"/>
        <v/>
      </c>
      <c r="GU18" s="103"/>
      <c r="GV18" s="104"/>
      <c r="GW18" s="105"/>
      <c r="GX18" s="105"/>
      <c r="GY18" s="105"/>
      <c r="GZ18" s="109"/>
      <c r="HA18" s="163" t="str">
        <f>IFERROR((((COUNTIF('Elève (3ème1)'!GU18:GZ18,"A"))*4)+((COUNTIF('Elève (3ème1)'!GU18:GZ18,"B"))*3)+((COUNTIF('Elève (3ème1)'!GU18:GZ18,"C"))*2)+((COUNTIF('Elève (3ème1)'!GU18:GZ18,"D"))*1))/(COUNTA(GU18:GZ18)),"")</f>
        <v/>
      </c>
      <c r="HB18" s="164" t="str">
        <f t="shared" si="62"/>
        <v/>
      </c>
      <c r="HC18" s="163" t="str">
        <f>IF(COUNT(GM18,GS18,HA18)=0,"",SUM(GM18,GS18,HA18)/COUNT(GM18,GS18,HA18))</f>
        <v/>
      </c>
      <c r="HD18" s="187" t="str">
        <f t="shared" si="63"/>
        <v/>
      </c>
      <c r="HE18" s="103"/>
      <c r="HF18" s="104"/>
      <c r="HG18" s="105"/>
      <c r="HH18" s="163" t="str">
        <f>IFERROR((((COUNTIF('Elève (3ème1)'!HE18:HG18,"A"))*4)+((COUNTIF('Elève (3ème1)'!HE18:HG18,"B"))*3)+((COUNTIF('Elève (3ème1)'!HE18:HG18,"C"))*2)+((COUNTIF('Elève (3ème1)'!HE18:HG18,"D"))*1))/(COUNTA(HE18:HG18)),"")</f>
        <v/>
      </c>
      <c r="HI18" s="164" t="str">
        <f t="shared" si="64"/>
        <v/>
      </c>
      <c r="HJ18" s="103"/>
      <c r="HK18" s="104"/>
      <c r="HL18" s="105"/>
      <c r="HM18" s="105"/>
      <c r="HN18" s="163" t="str">
        <f>IFERROR((((COUNTIF('Elève (3ème1)'!HJ18:HM18,"A"))*4)+((COUNTIF('Elève (3ème1)'!HJ18:HM18,"B"))*3)+((COUNTIF('Elève (3ème1)'!HJ18:HM18,"C"))*2)+((COUNTIF('Elève (3ème1)'!HJ18:HM18,"D"))*1))/(COUNTA(HJ18:HM18)),"")</f>
        <v/>
      </c>
      <c r="HO18" s="164" t="str">
        <f t="shared" si="65"/>
        <v/>
      </c>
      <c r="HP18" s="103"/>
      <c r="HQ18" s="104"/>
      <c r="HR18" s="105"/>
      <c r="HS18" s="105"/>
      <c r="HT18" s="105"/>
      <c r="HU18" s="109"/>
      <c r="HV18" s="163" t="str">
        <f>IFERROR((((COUNTIF('Elève (3ème1)'!HP18:HU18,"A"))*4)+((COUNTIF('Elève (3ème1)'!HP18:HU18,"B"))*3)+((COUNTIF('Elève (3ème1)'!HP18:HU18,"C"))*2)+((COUNTIF('Elève (3ème1)'!HP18:HU18,"D"))*1))/(COUNTA(HP18:HU18)),"")</f>
        <v/>
      </c>
      <c r="HW18" s="164" t="str">
        <f t="shared" si="66"/>
        <v/>
      </c>
      <c r="HX18" s="163" t="str">
        <f>IF(COUNT(HH18,HN18,HV18)=0,"",SUM(HH18,HN18,HV18)/COUNT(HH18,HN18,HV18))</f>
        <v/>
      </c>
      <c r="HY18" s="187" t="str">
        <f t="shared" si="67"/>
        <v/>
      </c>
      <c r="HZ18" s="103"/>
      <c r="IA18" s="104"/>
      <c r="IB18" s="105"/>
      <c r="IC18" s="163" t="str">
        <f>IFERROR((((COUNTIF('Elève (3ème1)'!HZ18:IB18,"A"))*4)+((COUNTIF('Elève (3ème1)'!HZ18:IB18,"B"))*3)+((COUNTIF('Elève (3ème1)'!HZ18:IB18,"C"))*2)+((COUNTIF('Elève (3ème1)'!HZ18:IB18,"D"))*1))/(COUNTA(HZ18:IB18)),"")</f>
        <v/>
      </c>
      <c r="ID18" s="164" t="str">
        <f t="shared" si="68"/>
        <v/>
      </c>
      <c r="IE18" s="103"/>
      <c r="IF18" s="104"/>
      <c r="IG18" s="105"/>
      <c r="IH18" s="105"/>
      <c r="II18" s="163" t="str">
        <f>IFERROR((((COUNTIF('Elève (3ème1)'!IE18:IH18,"A"))*4)+((COUNTIF('Elève (3ème1)'!IE18:IH18,"B"))*3)+((COUNTIF('Elève (3ème1)'!IE18:IH18,"C"))*2)+((COUNTIF('Elève (3ème1)'!IE18:IH18,"D"))*1))/(COUNTA(IE18:IH18)),"")</f>
        <v/>
      </c>
      <c r="IJ18" s="164" t="str">
        <f t="shared" si="69"/>
        <v/>
      </c>
      <c r="IK18" s="103"/>
      <c r="IL18" s="104"/>
      <c r="IM18" s="105"/>
      <c r="IN18" s="105"/>
      <c r="IO18" s="105"/>
      <c r="IP18" s="109"/>
      <c r="IQ18" s="163" t="str">
        <f>IFERROR((((COUNTIF('Elève (3ème1)'!IK18:IP18,"A"))*4)+((COUNTIF('Elève (3ème1)'!IK18:IP18,"B"))*3)+((COUNTIF('Elève (3ème1)'!IK18:IP18,"C"))*2)+((COUNTIF('Elève (3ème1)'!IK18:IP18,"D"))*1))/(COUNTA(IK18:IP18)),"")</f>
        <v/>
      </c>
      <c r="IR18" s="164" t="str">
        <f t="shared" si="70"/>
        <v/>
      </c>
      <c r="IS18" s="163" t="str">
        <f>IF(COUNT(IC18,II18,IQ18)=0,"",SUM(IC18,II18,IQ18)/COUNT(IC18,II18,IQ18))</f>
        <v/>
      </c>
      <c r="IT18" s="187" t="str">
        <f t="shared" si="71"/>
        <v/>
      </c>
      <c r="IU18" s="103"/>
      <c r="IV18" s="104"/>
      <c r="IW18" s="105"/>
      <c r="IX18" s="163" t="str">
        <f>IFERROR((((COUNTIF('Elève (3ème1)'!IU18:IW18,"A"))*4)+((COUNTIF('Elève (3ème1)'!IU18:IW18,"B"))*3)+((COUNTIF('Elève (3ème1)'!IU18:IW18,"C"))*2)+((COUNTIF('Elève (3ème1)'!IU18:IW18,"D"))*1))/(COUNTA(IU18:IW18)),"")</f>
        <v/>
      </c>
      <c r="IY18" s="164" t="str">
        <f t="shared" si="72"/>
        <v/>
      </c>
      <c r="IZ18" s="103"/>
      <c r="JA18" s="104"/>
      <c r="JB18" s="105"/>
      <c r="JC18" s="105"/>
      <c r="JD18" s="163" t="str">
        <f>IFERROR((((COUNTIF('Elève (3ème1)'!IZ18:JC18,"A"))*4)+((COUNTIF('Elève (3ème1)'!IZ18:JC18,"B"))*3)+((COUNTIF('Elève (3ème1)'!IZ18:JC18,"C"))*2)+((COUNTIF('Elève (3ème1)'!IZ18:JC18,"D"))*1))/(COUNTA(IZ18:JC18)),"")</f>
        <v/>
      </c>
      <c r="JE18" s="164" t="str">
        <f t="shared" si="73"/>
        <v/>
      </c>
      <c r="JF18" s="103"/>
      <c r="JG18" s="104"/>
      <c r="JH18" s="105"/>
      <c r="JI18" s="105"/>
      <c r="JJ18" s="105"/>
      <c r="JK18" s="109"/>
      <c r="JL18" s="163" t="str">
        <f>IFERROR((((COUNTIF('Elève (3ème1)'!JF18:JK18,"A"))*4)+((COUNTIF('Elève (3ème1)'!JF18:JK18,"B"))*3)+((COUNTIF('Elève (3ème1)'!JF18:JK18,"C"))*2)+((COUNTIF('Elève (3ème1)'!JF18:JK18,"D"))*1))/(COUNTA(JF18:JK18)),"")</f>
        <v/>
      </c>
      <c r="JM18" s="164" t="str">
        <f t="shared" si="74"/>
        <v/>
      </c>
      <c r="JN18" s="163" t="str">
        <f>IF(COUNT(IX18,JD18,JL18)=0,"",SUM(IX18,JD18,JL18)/COUNT(IX18,JD18,JL18))</f>
        <v/>
      </c>
      <c r="JO18" s="187" t="str">
        <f t="shared" si="75"/>
        <v/>
      </c>
      <c r="JP18" s="103"/>
      <c r="JQ18" s="104"/>
      <c r="JR18" s="105"/>
      <c r="JS18" s="163" t="str">
        <f>IFERROR((((COUNTIF('Elève (3ème1)'!JP18:JR18,"A"))*4)+((COUNTIF('Elève (3ème1)'!JP18:JR18,"B"))*3)+((COUNTIF('Elève (3ème1)'!JP18:JR18,"C"))*2)+((COUNTIF('Elève (3ème1)'!JP18:JR18,"D"))*1))/(COUNTA(JP18:JR18)),"")</f>
        <v/>
      </c>
      <c r="JT18" s="164" t="str">
        <f t="shared" si="76"/>
        <v/>
      </c>
      <c r="JU18" s="103"/>
      <c r="JV18" s="104"/>
      <c r="JW18" s="105"/>
      <c r="JX18" s="105"/>
      <c r="JY18" s="163" t="str">
        <f>IFERROR((((COUNTIF('Elève (3ème1)'!JU18:JX18,"A"))*4)+((COUNTIF('Elève (3ème1)'!JU18:JX18,"B"))*3)+((COUNTIF('Elève (3ème1)'!JU18:JX18,"C"))*2)+((COUNTIF('Elève (3ème1)'!JU18:JX18,"D"))*1))/(COUNTA(JU18:JX18)),"")</f>
        <v/>
      </c>
      <c r="JZ18" s="164" t="str">
        <f t="shared" si="77"/>
        <v/>
      </c>
      <c r="KA18" s="103"/>
      <c r="KB18" s="104"/>
      <c r="KC18" s="105"/>
      <c r="KD18" s="105"/>
      <c r="KE18" s="105"/>
      <c r="KF18" s="109"/>
      <c r="KG18" s="163" t="str">
        <f>IFERROR((((COUNTIF('Elève (3ème1)'!KA18:KF18,"A"))*4)+((COUNTIF('Elève (3ème1)'!KA18:KF18,"B"))*3)+((COUNTIF('Elève (3ème1)'!KA18:KF18,"C"))*2)+((COUNTIF('Elève (3ème1)'!KA18:KF18,"D"))*1))/(COUNTA(KA18:KF18)),"")</f>
        <v/>
      </c>
      <c r="KH18" s="164" t="str">
        <f t="shared" si="78"/>
        <v/>
      </c>
      <c r="KI18" s="163" t="str">
        <f>IF(COUNT(JS18,JY18,KG18)=0,"",SUM(JS18,JY18,KG18)/COUNT(JS18,JY18,KG18))</f>
        <v/>
      </c>
      <c r="KJ18" s="187" t="str">
        <f t="shared" si="79"/>
        <v/>
      </c>
      <c r="KK18" s="103"/>
      <c r="KL18" s="104"/>
      <c r="KM18" s="105"/>
      <c r="KN18" s="163" t="str">
        <f>IFERROR((((COUNTIF('Elève (3ème1)'!KK18:KM18,"A"))*4)+((COUNTIF('Elève (3ème1)'!KK18:KM18,"B"))*3)+((COUNTIF('Elève (3ème1)'!KK18:KM18,"C"))*2)+((COUNTIF('Elève (3ème1)'!KK18:KM18,"D"))*1))/(COUNTA(KK18:KM18)),"")</f>
        <v/>
      </c>
      <c r="KO18" s="164" t="str">
        <f t="shared" si="80"/>
        <v/>
      </c>
      <c r="KP18" s="103"/>
      <c r="KQ18" s="104"/>
      <c r="KR18" s="105"/>
      <c r="KS18" s="105"/>
      <c r="KT18" s="163" t="str">
        <f>IFERROR((((COUNTIF('Elève (3ème1)'!KP18:KS18,"A"))*4)+((COUNTIF('Elève (3ème1)'!KP18:KS18,"B"))*3)+((COUNTIF('Elève (3ème1)'!KP18:KS18,"C"))*2)+((COUNTIF('Elève (3ème1)'!KP18:KS18,"D"))*1))/(COUNTA(KP18:KS18)),"")</f>
        <v/>
      </c>
      <c r="KU18" s="164" t="str">
        <f t="shared" si="81"/>
        <v/>
      </c>
      <c r="KV18" s="103"/>
      <c r="KW18" s="104"/>
      <c r="KX18" s="105"/>
      <c r="KY18" s="105"/>
      <c r="KZ18" s="105"/>
      <c r="LA18" s="109"/>
      <c r="LB18" s="163" t="str">
        <f>IFERROR((((COUNTIF('Elève (3ème1)'!KV18:LA18,"A"))*4)+((COUNTIF('Elève (3ème1)'!KV18:LA18,"B"))*3)+((COUNTIF('Elève (3ème1)'!KV18:LA18,"C"))*2)+((COUNTIF('Elève (3ème1)'!KV18:LA18,"D"))*1))/(COUNTA(KV18:LA18)),"")</f>
        <v/>
      </c>
      <c r="LC18" s="164" t="str">
        <f t="shared" si="82"/>
        <v/>
      </c>
      <c r="LD18" s="163" t="str">
        <f>IF(COUNT(KN18,KT18,LB18)=0,"",SUM(KN18,KT18,LB18)/COUNT(KN18,KT18,LB18))</f>
        <v/>
      </c>
      <c r="LE18" s="187" t="str">
        <f t="shared" si="83"/>
        <v/>
      </c>
      <c r="LF18" s="103"/>
      <c r="LG18" s="104"/>
      <c r="LH18" s="105"/>
      <c r="LI18" s="163" t="str">
        <f>IFERROR((((COUNTIF('Elève (3ème1)'!LF18:LH18,"A"))*4)+((COUNTIF('Elève (3ème1)'!LF18:LH18,"B"))*3)+((COUNTIF('Elève (3ème1)'!LF18:LH18,"C"))*2)+((COUNTIF('Elève (3ème1)'!LF18:LH18,"D"))*1))/(COUNTA(LF18:LH18)),"")</f>
        <v/>
      </c>
      <c r="LJ18" s="164" t="str">
        <f t="shared" si="84"/>
        <v/>
      </c>
      <c r="LK18" s="103"/>
      <c r="LL18" s="104"/>
      <c r="LM18" s="105"/>
      <c r="LN18" s="105"/>
      <c r="LO18" s="163" t="str">
        <f>IFERROR((((COUNTIF('Elève (3ème1)'!LK18:LN18,"A"))*4)+((COUNTIF('Elève (3ème1)'!LK18:LN18,"B"))*3)+((COUNTIF('Elève (3ème1)'!LK18:LN18,"C"))*2)+((COUNTIF('Elève (3ème1)'!LK18:LN18,"D"))*1))/(COUNTA(LK18:LN18)),"")</f>
        <v/>
      </c>
      <c r="LP18" s="164" t="str">
        <f t="shared" si="85"/>
        <v/>
      </c>
      <c r="LQ18" s="103"/>
      <c r="LR18" s="104"/>
      <c r="LS18" s="105"/>
      <c r="LT18" s="105"/>
      <c r="LU18" s="105"/>
      <c r="LV18" s="109"/>
      <c r="LW18" s="163" t="str">
        <f>IFERROR((((COUNTIF('Elève (3ème1)'!LQ18:LV18,"A"))*4)+((COUNTIF('Elève (3ème1)'!LQ18:LV18,"B"))*3)+((COUNTIF('Elève (3ème1)'!LQ18:LV18,"C"))*2)+((COUNTIF('Elève (3ème1)'!LQ18:LV18,"D"))*1))/(COUNTA(LQ18:LV18)),"")</f>
        <v/>
      </c>
      <c r="LX18" s="164" t="str">
        <f t="shared" si="86"/>
        <v/>
      </c>
      <c r="LY18" s="163" t="str">
        <f>IF(COUNT(LI18,LO18,LW18)=0,"",SUM(LI18,LO18,LW18)/COUNT(LI18,LO18,LW18))</f>
        <v/>
      </c>
      <c r="LZ18" s="187" t="str">
        <f t="shared" si="87"/>
        <v/>
      </c>
      <c r="MA18" s="103"/>
      <c r="MB18" s="104"/>
      <c r="MC18" s="105"/>
      <c r="MD18" s="163" t="str">
        <f>IFERROR((((COUNTIF('Elève (3ème1)'!MA18:MC18,"A"))*4)+((COUNTIF('Elève (3ème1)'!MA18:MC18,"B"))*3)+((COUNTIF('Elève (3ème1)'!MA18:MC18,"C"))*2)+((COUNTIF('Elève (3ème1)'!MA18:MC18,"D"))*1))/(COUNTA(MA18:MC18)),"")</f>
        <v/>
      </c>
      <c r="ME18" s="164" t="str">
        <f t="shared" si="88"/>
        <v/>
      </c>
      <c r="MF18" s="103"/>
      <c r="MG18" s="104"/>
      <c r="MH18" s="105"/>
      <c r="MI18" s="105"/>
      <c r="MJ18" s="163" t="str">
        <f>IFERROR((((COUNTIF('Elève (3ème1)'!MF18:MI18,"A"))*4)+((COUNTIF('Elève (3ème1)'!MF18:MI18,"B"))*3)+((COUNTIF('Elève (3ème1)'!MF18:MI18,"C"))*2)+((COUNTIF('Elève (3ème1)'!MF18:MI18,"D"))*1))/(COUNTA(MF18:MI18)),"")</f>
        <v/>
      </c>
      <c r="MK18" s="164" t="str">
        <f t="shared" si="89"/>
        <v/>
      </c>
      <c r="ML18" s="103"/>
      <c r="MM18" s="104"/>
      <c r="MN18" s="105"/>
      <c r="MO18" s="105"/>
      <c r="MP18" s="105"/>
      <c r="MQ18" s="109"/>
      <c r="MR18" s="163" t="str">
        <f>IFERROR((((COUNTIF('Elève (3ème1)'!ML18:MQ18,"A"))*4)+((COUNTIF('Elève (3ème1)'!ML18:MQ18,"B"))*3)+((COUNTIF('Elève (3ème1)'!ML18:MQ18,"C"))*2)+((COUNTIF('Elève (3ème1)'!ML18:MQ18,"D"))*1))/(COUNTA(ML18:MQ18)),"")</f>
        <v/>
      </c>
      <c r="MS18" s="164" t="str">
        <f t="shared" si="90"/>
        <v/>
      </c>
      <c r="MT18" s="163" t="str">
        <f>IF(COUNT(MD18,MJ18,MR18)=0,"",SUM(MD18,MJ18,MR18)/COUNT(MD18,MJ18,MR18))</f>
        <v/>
      </c>
      <c r="MU18" s="187" t="str">
        <f t="shared" si="91"/>
        <v/>
      </c>
      <c r="MV18" s="103"/>
      <c r="MW18" s="104"/>
      <c r="MX18" s="105"/>
      <c r="MY18" s="163" t="str">
        <f>IFERROR((((COUNTIF('Elève (3ème1)'!MV18:MX18,"A"))*4)+((COUNTIF('Elève (3ème1)'!MV18:MX18,"B"))*3)+((COUNTIF('Elève (3ème1)'!MV18:MX18,"C"))*2)+((COUNTIF('Elève (3ème1)'!MV18:MX18,"D"))*1))/(COUNTA(MV18:MX18)),"")</f>
        <v/>
      </c>
      <c r="MZ18" s="164" t="str">
        <f t="shared" si="92"/>
        <v/>
      </c>
      <c r="NA18" s="103"/>
      <c r="NB18" s="104"/>
      <c r="NC18" s="105"/>
      <c r="ND18" s="105"/>
      <c r="NE18" s="163" t="str">
        <f>IFERROR((((COUNTIF('Elève (3ème1)'!NA18:ND18,"A"))*4)+((COUNTIF('Elève (3ème1)'!NA18:ND18,"B"))*3)+((COUNTIF('Elève (3ème1)'!NA18:ND18,"C"))*2)+((COUNTIF('Elève (3ème1)'!NA18:ND18,"D"))*1))/(COUNTA(NA18:ND18)),"")</f>
        <v/>
      </c>
      <c r="NF18" s="164" t="str">
        <f t="shared" si="93"/>
        <v/>
      </c>
      <c r="NG18" s="103"/>
      <c r="NH18" s="104"/>
      <c r="NI18" s="105"/>
      <c r="NJ18" s="105"/>
      <c r="NK18" s="105"/>
      <c r="NL18" s="109"/>
      <c r="NM18" s="163" t="str">
        <f>IFERROR((((COUNTIF('Elève (3ème1)'!NG18:NL18,"A"))*4)+((COUNTIF('Elève (3ème1)'!NG18:NL18,"B"))*3)+((COUNTIF('Elève (3ème1)'!NG18:NL18,"C"))*2)+((COUNTIF('Elève (3ème1)'!NG18:NL18,"D"))*1))/(COUNTA(NG18:NL18)),"")</f>
        <v/>
      </c>
      <c r="NN18" s="164" t="str">
        <f t="shared" si="94"/>
        <v/>
      </c>
      <c r="NO18" s="163" t="str">
        <f>IF(COUNT(MY18,NE18,NM18)=0,"",SUM(MY18,NE18,NM18)/COUNT(MY18,NE18,NM18))</f>
        <v/>
      </c>
      <c r="NP18" s="187" t="str">
        <f t="shared" si="95"/>
        <v/>
      </c>
      <c r="NQ18" s="103"/>
      <c r="NR18" s="104"/>
      <c r="NS18" s="105"/>
      <c r="NT18" s="163" t="str">
        <f>IFERROR((((COUNTIF('Elève (3ème1)'!NQ18:NS18,"A"))*4)+((COUNTIF('Elève (3ème1)'!NQ18:NS18,"B"))*3)+((COUNTIF('Elève (3ème1)'!NQ18:NS18,"C"))*2)+((COUNTIF('Elève (3ème1)'!NQ18:NS18,"D"))*1))/(COUNTA(NQ18:NS18)),"")</f>
        <v/>
      </c>
      <c r="NU18" s="164" t="str">
        <f t="shared" si="96"/>
        <v/>
      </c>
      <c r="NV18" s="103"/>
      <c r="NW18" s="104"/>
      <c r="NX18" s="105"/>
      <c r="NY18" s="105"/>
      <c r="NZ18" s="163" t="str">
        <f>IFERROR((((COUNTIF('Elève (3ème1)'!NV18:NY18,"A"))*4)+((COUNTIF('Elève (3ème1)'!NV18:NY18,"B"))*3)+((COUNTIF('Elève (3ème1)'!NV18:NY18,"C"))*2)+((COUNTIF('Elève (3ème1)'!NV18:NY18,"D"))*1))/(COUNTA(NV18:NY18)),"")</f>
        <v/>
      </c>
      <c r="OA18" s="164" t="str">
        <f t="shared" si="97"/>
        <v/>
      </c>
      <c r="OB18" s="103"/>
      <c r="OC18" s="104"/>
      <c r="OD18" s="105"/>
      <c r="OE18" s="105"/>
      <c r="OF18" s="105"/>
      <c r="OG18" s="109"/>
      <c r="OH18" s="163" t="str">
        <f>IFERROR((((COUNTIF('Elève (3ème1)'!OB18:OG18,"A"))*4)+((COUNTIF('Elève (3ème1)'!OB18:OG18,"B"))*3)+((COUNTIF('Elève (3ème1)'!OB18:OG18,"C"))*2)+((COUNTIF('Elève (3ème1)'!OB18:OG18,"D"))*1))/(COUNTA(OB18:OG18)),"")</f>
        <v/>
      </c>
      <c r="OI18" s="164" t="str">
        <f t="shared" si="98"/>
        <v/>
      </c>
      <c r="OJ18" s="163" t="str">
        <f>IF(COUNT(NT18,NZ18,OH18)=0,"",SUM(NT18,NZ18,OH18)/COUNT(NT18,NZ18,OH18))</f>
        <v/>
      </c>
      <c r="OK18" s="187" t="str">
        <f t="shared" si="99"/>
        <v/>
      </c>
      <c r="OL18" s="103"/>
      <c r="OM18" s="104"/>
      <c r="ON18" s="105"/>
      <c r="OO18" s="163" t="str">
        <f>IFERROR((((COUNTIF('Elève (3ème1)'!OL18:ON18,"A"))*4)+((COUNTIF('Elève (3ème1)'!OL18:ON18,"B"))*3)+((COUNTIF('Elève (3ème1)'!OL18:ON18,"C"))*2)+((COUNTIF('Elève (3ème1)'!OL18:ON18,"D"))*1))/(COUNTA(OL18:ON18)),"")</f>
        <v/>
      </c>
      <c r="OP18" s="164" t="str">
        <f t="shared" si="100"/>
        <v/>
      </c>
      <c r="OQ18" s="103"/>
      <c r="OR18" s="104"/>
      <c r="OS18" s="105"/>
      <c r="OT18" s="105"/>
      <c r="OU18" s="163" t="str">
        <f>IFERROR((((COUNTIF('Elève (3ème1)'!OQ18:OT18,"A"))*4)+((COUNTIF('Elève (3ème1)'!OQ18:OT18,"B"))*3)+((COUNTIF('Elève (3ème1)'!OQ18:OT18,"C"))*2)+((COUNTIF('Elève (3ème1)'!OQ18:OT18,"D"))*1))/(COUNTA(OQ18:OT18)),"")</f>
        <v/>
      </c>
      <c r="OV18" s="164" t="str">
        <f t="shared" si="101"/>
        <v/>
      </c>
      <c r="OW18" s="103"/>
      <c r="OX18" s="104"/>
      <c r="OY18" s="105"/>
      <c r="OZ18" s="105"/>
      <c r="PA18" s="105"/>
      <c r="PB18" s="109"/>
      <c r="PC18" s="163" t="str">
        <f>IFERROR((((COUNTIF('Elève (3ème1)'!OW18:PB18,"A"))*4)+((COUNTIF('Elève (3ème1)'!OW18:PB18,"B"))*3)+((COUNTIF('Elève (3ème1)'!OW18:PB18,"C"))*2)+((COUNTIF('Elève (3ème1)'!OW18:PB18,"D"))*1))/(COUNTA(OW18:PB18)),"")</f>
        <v/>
      </c>
      <c r="PD18" s="164" t="str">
        <f t="shared" si="102"/>
        <v/>
      </c>
      <c r="PE18" s="163" t="str">
        <f>IF(COUNT(OO18,OU18,PC18)=0,"",SUM(OO18,OU18,PC18)/COUNT(OO18,OU18,PC18))</f>
        <v/>
      </c>
      <c r="PF18" s="187" t="str">
        <f t="shared" si="103"/>
        <v/>
      </c>
      <c r="PG18" s="103"/>
      <c r="PH18" s="104"/>
      <c r="PI18" s="105"/>
      <c r="PJ18" s="163" t="str">
        <f>IFERROR((((COUNTIF('Elève (3ème1)'!PG18:PI18,"A"))*4)+((COUNTIF('Elève (3ème1)'!PG18:PI18,"B"))*3)+((COUNTIF('Elève (3ème1)'!PG18:PI18,"C"))*2)+((COUNTIF('Elève (3ème1)'!PG18:PI18,"D"))*1))/(COUNTA(PG18:PI18)),"")</f>
        <v/>
      </c>
      <c r="PK18" s="164" t="str">
        <f t="shared" si="104"/>
        <v/>
      </c>
      <c r="PL18" s="103"/>
      <c r="PM18" s="104"/>
      <c r="PN18" s="105"/>
      <c r="PO18" s="105"/>
      <c r="PP18" s="163" t="str">
        <f>IFERROR((((COUNTIF('Elève (3ème1)'!PL18:PO18,"A"))*4)+((COUNTIF('Elève (3ème1)'!PL18:PO18,"B"))*3)+((COUNTIF('Elève (3ème1)'!PL18:PO18,"C"))*2)+((COUNTIF('Elève (3ème1)'!PL18:PO18,"D"))*1))/(COUNTA(PL18:PO18)),"")</f>
        <v/>
      </c>
      <c r="PQ18" s="164" t="str">
        <f t="shared" si="105"/>
        <v/>
      </c>
      <c r="PR18" s="103"/>
      <c r="PS18" s="104"/>
      <c r="PT18" s="105"/>
      <c r="PU18" s="105"/>
      <c r="PV18" s="105"/>
      <c r="PW18" s="109"/>
      <c r="PX18" s="163" t="str">
        <f>IFERROR((((COUNTIF('Elève (3ème1)'!PR18:PW18,"A"))*4)+((COUNTIF('Elève (3ème1)'!PR18:PW18,"B"))*3)+((COUNTIF('Elève (3ème1)'!PR18:PW18,"C"))*2)+((COUNTIF('Elève (3ème1)'!PR18:PW18,"D"))*1))/(COUNTA(PR18:PW18)),"")</f>
        <v/>
      </c>
      <c r="PY18" s="164" t="str">
        <f t="shared" si="106"/>
        <v/>
      </c>
      <c r="PZ18" s="163" t="str">
        <f>IF(COUNT(PJ18,PP18,PX18)=0,"",SUM(PJ18,PP18,PX18)/COUNT(PJ18,PP18,PX18))</f>
        <v/>
      </c>
      <c r="QA18" s="187" t="str">
        <f t="shared" si="107"/>
        <v/>
      </c>
      <c r="QB18" s="103"/>
      <c r="QC18" s="104"/>
      <c r="QD18" s="105"/>
      <c r="QE18" s="163" t="str">
        <f>IFERROR((((COUNTIF('Elève (3ème1)'!QB18:QD18,"A"))*4)+((COUNTIF('Elève (3ème1)'!QB18:QD18,"B"))*3)+((COUNTIF('Elève (3ème1)'!QB18:QD18,"C"))*2)+((COUNTIF('Elève (3ème1)'!QB18:QD18,"D"))*1))/(COUNTA(QB18:QD18)),"")</f>
        <v/>
      </c>
      <c r="QF18" s="164" t="str">
        <f t="shared" si="108"/>
        <v/>
      </c>
      <c r="QG18" s="103"/>
      <c r="QH18" s="104"/>
      <c r="QI18" s="105"/>
      <c r="QJ18" s="105"/>
      <c r="QK18" s="163" t="str">
        <f>IFERROR((((COUNTIF('Elève (3ème1)'!QG18:QJ18,"A"))*4)+((COUNTIF('Elève (3ème1)'!QG18:QJ18,"B"))*3)+((COUNTIF('Elève (3ème1)'!QG18:QJ18,"C"))*2)+((COUNTIF('Elève (3ème1)'!QG18:QJ18,"D"))*1))/(COUNTA(QG18:QJ18)),"")</f>
        <v/>
      </c>
      <c r="QL18" s="164" t="str">
        <f t="shared" si="109"/>
        <v/>
      </c>
      <c r="QM18" s="103"/>
      <c r="QN18" s="104"/>
      <c r="QO18" s="105"/>
      <c r="QP18" s="105"/>
      <c r="QQ18" s="105"/>
      <c r="QR18" s="109"/>
      <c r="QS18" s="163" t="str">
        <f>IFERROR((((COUNTIF('Elève (3ème1)'!QM18:QR18,"A"))*4)+((COUNTIF('Elève (3ème1)'!QM18:QR18,"B"))*3)+((COUNTIF('Elève (3ème1)'!QM18:QR18,"C"))*2)+((COUNTIF('Elève (3ème1)'!QM18:QR18,"D"))*1))/(COUNTA(QM18:QR18)),"")</f>
        <v/>
      </c>
      <c r="QT18" s="164" t="str">
        <f t="shared" si="110"/>
        <v/>
      </c>
      <c r="QU18" s="163" t="str">
        <f>IF(COUNT(QE18,QK18,QS18)=0,"",SUM(QE18,QK18,QS18)/COUNT(QE18,QK18,QS18))</f>
        <v/>
      </c>
      <c r="QV18" s="187" t="str">
        <f t="shared" si="111"/>
        <v/>
      </c>
      <c r="QW18" s="103"/>
      <c r="QX18" s="104"/>
      <c r="QY18" s="105"/>
      <c r="QZ18" s="163" t="str">
        <f>IFERROR((((COUNTIF('Elève (3ème1)'!QW18:QY18,"A"))*4)+((COUNTIF('Elève (3ème1)'!QW18:QY18,"B"))*3)+((COUNTIF('Elève (3ème1)'!QW18:QY18,"C"))*2)+((COUNTIF('Elève (3ème1)'!QW18:QY18,"D"))*1))/(COUNTA(QW18:QY18)),"")</f>
        <v/>
      </c>
      <c r="RA18" s="164" t="str">
        <f t="shared" si="112"/>
        <v/>
      </c>
      <c r="RB18" s="103"/>
      <c r="RC18" s="104"/>
      <c r="RD18" s="105"/>
      <c r="RE18" s="105"/>
      <c r="RF18" s="163" t="str">
        <f>IFERROR((((COUNTIF('Elève (3ème1)'!RB18:RE18,"A"))*4)+((COUNTIF('Elève (3ème1)'!RB18:RE18,"B"))*3)+((COUNTIF('Elève (3ème1)'!RB18:RE18,"C"))*2)+((COUNTIF('Elève (3ème1)'!RB18:RE18,"D"))*1))/(COUNTA(RB18:RE18)),"")</f>
        <v/>
      </c>
      <c r="RG18" s="164" t="str">
        <f t="shared" si="113"/>
        <v/>
      </c>
      <c r="RH18" s="103"/>
      <c r="RI18" s="104"/>
      <c r="RJ18" s="105"/>
      <c r="RK18" s="105"/>
      <c r="RL18" s="105"/>
      <c r="RM18" s="109"/>
      <c r="RN18" s="163" t="str">
        <f>IFERROR((((COUNTIF('Elève (3ème1)'!RH18:RM18,"A"))*4)+((COUNTIF('Elève (3ème1)'!RH18:RM18,"B"))*3)+((COUNTIF('Elève (3ème1)'!RH18:RM18,"C"))*2)+((COUNTIF('Elève (3ème1)'!RH18:RM18,"D"))*1))/(COUNTA(RH18:RM18)),"")</f>
        <v/>
      </c>
      <c r="RO18" s="164" t="str">
        <f t="shared" si="114"/>
        <v/>
      </c>
      <c r="RP18" s="163" t="str">
        <f>IF(COUNT(QZ18,RF18,RN18)=0,"",SUM(QZ18,RF18,RN18)/COUNT(QZ18,RF18,RN18))</f>
        <v/>
      </c>
      <c r="RQ18" s="187" t="str">
        <f t="shared" si="115"/>
        <v/>
      </c>
      <c r="RR18" s="103"/>
      <c r="RS18" s="104"/>
      <c r="RT18" s="105"/>
      <c r="RU18" s="163" t="str">
        <f>IFERROR((((COUNTIF('Elève (3ème1)'!RR18:RT18,"A"))*4)+((COUNTIF('Elève (3ème1)'!RR18:RT18,"B"))*3)+((COUNTIF('Elève (3ème1)'!RR18:RT18,"C"))*2)+((COUNTIF('Elève (3ème1)'!RR18:RT18,"D"))*1))/(COUNTA(RR18:RT18)),"")</f>
        <v/>
      </c>
      <c r="RV18" s="164" t="str">
        <f t="shared" si="116"/>
        <v/>
      </c>
      <c r="RW18" s="103"/>
      <c r="RX18" s="104"/>
      <c r="RY18" s="105"/>
      <c r="RZ18" s="105"/>
      <c r="SA18" s="163" t="str">
        <f>IFERROR((((COUNTIF('Elève (3ème1)'!RW18:RZ18,"A"))*4)+((COUNTIF('Elève (3ème1)'!RW18:RZ18,"B"))*3)+((COUNTIF('Elève (3ème1)'!RW18:RZ18,"C"))*2)+((COUNTIF('Elève (3ème1)'!RW18:RZ18,"D"))*1))/(COUNTA(RW18:RZ18)),"")</f>
        <v/>
      </c>
      <c r="SB18" s="164" t="str">
        <f t="shared" si="117"/>
        <v/>
      </c>
      <c r="SC18" s="103"/>
      <c r="SD18" s="104"/>
      <c r="SE18" s="105"/>
      <c r="SF18" s="105"/>
      <c r="SG18" s="105"/>
      <c r="SH18" s="109"/>
      <c r="SI18" s="163" t="str">
        <f>IFERROR((((COUNTIF('Elève (3ème1)'!SC18:SH18,"A"))*4)+((COUNTIF('Elève (3ème1)'!SC18:SH18,"B"))*3)+((COUNTIF('Elève (3ème1)'!SC18:SH18,"C"))*2)+((COUNTIF('Elève (3ème1)'!SC18:SH18,"D"))*1))/(COUNTA(SC18:SH18)),"")</f>
        <v/>
      </c>
      <c r="SJ18" s="164" t="str">
        <f t="shared" si="118"/>
        <v/>
      </c>
      <c r="SK18" s="163" t="str">
        <f>IF(COUNT(RU18,SA18,SI18)=0,"",SUM(RU18,SA18,SI18)/COUNT(RU18,SA18,SI18))</f>
        <v/>
      </c>
      <c r="SL18" s="187" t="str">
        <f t="shared" si="119"/>
        <v/>
      </c>
      <c r="SM18" s="103"/>
      <c r="SN18" s="104"/>
      <c r="SO18" s="105"/>
      <c r="SP18" s="163" t="str">
        <f>IFERROR((((COUNTIF('Elève (3ème1)'!SM18:SO18,"A"))*4)+((COUNTIF('Elève (3ème1)'!SM18:SO18,"B"))*3)+((COUNTIF('Elève (3ème1)'!SM18:SO18,"C"))*2)+((COUNTIF('Elève (3ème1)'!SM18:SO18,"D"))*1))/(COUNTA(SM18:SO18)),"")</f>
        <v/>
      </c>
      <c r="SQ18" s="164" t="str">
        <f t="shared" si="120"/>
        <v/>
      </c>
      <c r="SR18" s="103"/>
      <c r="SS18" s="104"/>
      <c r="ST18" s="105"/>
      <c r="SU18" s="105"/>
      <c r="SV18" s="163" t="str">
        <f>IFERROR((((COUNTIF('Elève (3ème1)'!SR18:SU18,"A"))*4)+((COUNTIF('Elève (3ème1)'!SR18:SU18,"B"))*3)+((COUNTIF('Elève (3ème1)'!SR18:SU18,"C"))*2)+((COUNTIF('Elève (3ème1)'!SR18:SU18,"D"))*1))/(COUNTA(SR18:SU18)),"")</f>
        <v/>
      </c>
      <c r="SW18" s="164" t="str">
        <f t="shared" si="121"/>
        <v/>
      </c>
      <c r="SX18" s="103"/>
      <c r="SY18" s="104"/>
      <c r="SZ18" s="105"/>
      <c r="TA18" s="105"/>
      <c r="TB18" s="105"/>
      <c r="TC18" s="109"/>
      <c r="TD18" s="163" t="str">
        <f>IFERROR((((COUNTIF('Elève (3ème1)'!SX18:TC18,"A"))*4)+((COUNTIF('Elève (3ème1)'!SX18:TC18,"B"))*3)+((COUNTIF('Elève (3ème1)'!SX18:TC18,"C"))*2)+((COUNTIF('Elève (3ème1)'!SX18:TC18,"D"))*1))/(COUNTA(SX18:TC18)),"")</f>
        <v/>
      </c>
      <c r="TE18" s="164" t="str">
        <f t="shared" si="122"/>
        <v/>
      </c>
      <c r="TF18" s="163" t="str">
        <f>IF(COUNT(SP18,SV18,TD18)=0,"",SUM(SP18,SV18,TD18)/COUNT(SP18,SV18,TD18))</f>
        <v/>
      </c>
      <c r="TG18" s="187" t="str">
        <f t="shared" si="123"/>
        <v/>
      </c>
      <c r="TH18" s="103"/>
      <c r="TI18" s="104"/>
      <c r="TJ18" s="105"/>
      <c r="TK18" s="106" t="str">
        <f>IFERROR((((COUNTIF('Elève (3ème1)'!TH18:TJ18,"A"))*4)+((COUNTIF('Elève (3ème1)'!TH18:TJ18,"B"))*3)+((COUNTIF('Elève (3ème1)'!TH18:TJ18,"C"))*2)+((COUNTIF('Elève (3ème1)'!TH18:TJ18,"D"))*1))/(COUNTA(TH18:TJ18)),"")</f>
        <v/>
      </c>
      <c r="TL18" s="107" t="str">
        <f t="shared" si="124"/>
        <v/>
      </c>
      <c r="TM18" s="103"/>
      <c r="TN18" s="104"/>
      <c r="TO18" s="105"/>
      <c r="TP18" s="106" t="str">
        <f>IFERROR((((COUNTIF('Elève (3ème1)'!TM18:TO18,"A"))*4)+((COUNTIF('Elève (3ème1)'!TM18:TO18,"B"))*3)+((COUNTIF('Elève (3ème1)'!TM18:TO18,"C"))*2)+((COUNTIF('Elève (3ème1)'!TM18:TO18,"D"))*1))/(COUNTA(TM18:TO18)),"")</f>
        <v/>
      </c>
      <c r="TQ18" s="107" t="str">
        <f t="shared" si="125"/>
        <v/>
      </c>
      <c r="TR18" s="103"/>
      <c r="TS18" s="104"/>
      <c r="TT18" s="109"/>
      <c r="TU18" s="106" t="str">
        <f>IFERROR((((COUNTIF('Elève (3ème1)'!TR18:TT18,"A"))*4)+((COUNTIF('Elève (3ème1)'!TR18:TT18,"B"))*3)+((COUNTIF('Elève (3ème1)'!TR18:TT18,"C"))*2)+((COUNTIF('Elève (3ème1)'!TR18:TT18,"D"))*1))/(COUNTA(TR18:TT18)),"")</f>
        <v/>
      </c>
      <c r="TV18" s="107" t="str">
        <f t="shared" si="126"/>
        <v/>
      </c>
      <c r="TW18" s="106" t="str">
        <f>IF(COUNT(TK18,TP18,TU18)=0,"",SUM(TK18,TP18,TU18)/COUNT(TK18,TP18,TU18))</f>
        <v/>
      </c>
      <c r="TX18" s="108" t="str">
        <f t="shared" si="127"/>
        <v/>
      </c>
      <c r="TY18" s="103"/>
      <c r="TZ18" s="104"/>
      <c r="UA18" s="105"/>
      <c r="UB18" s="106" t="str">
        <f>IFERROR((((COUNTIF('Elève (3ème1)'!TY18:UA18,"A"))*4)+((COUNTIF('Elève (3ème1)'!TY18:UA18,"B"))*3)+((COUNTIF('Elève (3ème1)'!TY18:UA18,"C"))*2)+((COUNTIF('Elève (3ème1)'!TY18:UA18,"D"))*1))/(COUNTA(TY18:UA18)),"")</f>
        <v/>
      </c>
      <c r="UC18" s="107" t="str">
        <f t="shared" si="128"/>
        <v/>
      </c>
      <c r="UD18" s="103"/>
      <c r="UE18" s="104"/>
      <c r="UF18" s="105"/>
      <c r="UG18" s="106" t="str">
        <f>IFERROR((((COUNTIF('Elève (3ème1)'!UD18:UF18,"A"))*4)+((COUNTIF('Elève (3ème1)'!UD18:UF18,"B"))*3)+((COUNTIF('Elève (3ème1)'!UD18:UF18,"C"))*2)+((COUNTIF('Elève (3ème1)'!UD18:UF18,"D"))*1))/(COUNTA(UD18:UF18)),"")</f>
        <v/>
      </c>
      <c r="UH18" s="107" t="str">
        <f t="shared" si="129"/>
        <v/>
      </c>
      <c r="UI18" s="103"/>
      <c r="UJ18" s="104"/>
      <c r="UK18" s="109"/>
      <c r="UL18" s="106" t="str">
        <f>IFERROR((((COUNTIF('Elève (3ème1)'!UI18:UK18,"A"))*4)+((COUNTIF('Elève (3ème1)'!UI18:UK18,"B"))*3)+((COUNTIF('Elève (3ème1)'!UI18:UK18,"C"))*2)+((COUNTIF('Elève (3ème1)'!UI18:UK18,"D"))*1))/(COUNTA(UI18:UK18)),"")</f>
        <v/>
      </c>
      <c r="UM18" s="107" t="str">
        <f t="shared" si="130"/>
        <v/>
      </c>
      <c r="UN18" s="106" t="str">
        <f>IF(COUNT(UB18,UG18,UL18)=0,"",SUM(UB18,UG18,UL18)/COUNT(UB18,UG18,UL18))</f>
        <v/>
      </c>
      <c r="UO18" s="108" t="str">
        <f t="shared" si="131"/>
        <v/>
      </c>
      <c r="UP18" s="103"/>
      <c r="UQ18" s="104"/>
      <c r="UR18" s="105"/>
      <c r="US18" s="106" t="str">
        <f>IFERROR((((COUNTIF('Elève (3ème1)'!UP18:UR18,"A"))*4)+((COUNTIF('Elève (3ème1)'!UP18:UR18,"B"))*3)+((COUNTIF('Elève (3ème1)'!UP18:UR18,"C"))*2)+((COUNTIF('Elève (3ème1)'!UP18:UR18,"D"))*1))/(COUNTA(UP18:UR18)),"")</f>
        <v/>
      </c>
      <c r="UT18" s="107" t="str">
        <f t="shared" si="132"/>
        <v/>
      </c>
      <c r="UU18" s="103"/>
      <c r="UV18" s="104"/>
      <c r="UW18" s="105"/>
      <c r="UX18" s="106" t="str">
        <f>IFERROR((((COUNTIF('Elève (3ème1)'!UU18:UW18,"A"))*4)+((COUNTIF('Elève (3ème1)'!UU18:UW18,"B"))*3)+((COUNTIF('Elève (3ème1)'!UU18:UW18,"C"))*2)+((COUNTIF('Elève (3ème1)'!UU18:UW18,"D"))*1))/(COUNTA(UU18:UW18)),"")</f>
        <v/>
      </c>
      <c r="UY18" s="107" t="str">
        <f t="shared" si="133"/>
        <v/>
      </c>
      <c r="UZ18" s="103"/>
      <c r="VA18" s="104"/>
      <c r="VB18" s="109"/>
      <c r="VC18" s="106" t="str">
        <f>IFERROR((((COUNTIF('Elève (3ème1)'!UZ18:VB18,"A"))*4)+((COUNTIF('Elève (3ème1)'!UZ18:VB18,"B"))*3)+((COUNTIF('Elève (3ème1)'!UZ18:VB18,"C"))*2)+((COUNTIF('Elève (3ème1)'!UZ18:VB18,"D"))*1))/(COUNTA(UZ18:VB18)),"")</f>
        <v/>
      </c>
      <c r="VD18" s="107" t="str">
        <f t="shared" si="134"/>
        <v/>
      </c>
      <c r="VE18" s="106" t="str">
        <f>IF(COUNT(US18,UX18,VC18)=0,"",SUM(US18,UX18,VC18)/COUNT(US18,UX18,VC18))</f>
        <v/>
      </c>
      <c r="VF18" s="108" t="str">
        <f t="shared" si="135"/>
        <v/>
      </c>
      <c r="VG18" s="103"/>
      <c r="VH18" s="104"/>
      <c r="VI18" s="105"/>
      <c r="VJ18" s="106" t="str">
        <f>IFERROR((((COUNTIF('Elève (3ème1)'!VG18:VI18,"A"))*4)+((COUNTIF('Elève (3ème1)'!VG18:VI18,"B"))*3)+((COUNTIF('Elève (3ème1)'!VG18:VI18,"C"))*2)+((COUNTIF('Elève (3ème1)'!VG18:VI18,"D"))*1))/(COUNTA(VG18:VI18)),"")</f>
        <v/>
      </c>
      <c r="VK18" s="107" t="str">
        <f t="shared" si="136"/>
        <v/>
      </c>
      <c r="VL18" s="103"/>
      <c r="VM18" s="104"/>
      <c r="VN18" s="105"/>
      <c r="VO18" s="106" t="str">
        <f>IFERROR((((COUNTIF('Elève (3ème1)'!VL18:VN18,"A"))*4)+((COUNTIF('Elève (3ème1)'!VL18:VN18,"B"))*3)+((COUNTIF('Elève (3ème1)'!VL18:VN18,"C"))*2)+((COUNTIF('Elève (3ème1)'!VL18:VN18,"D"))*1))/(COUNTA(VL18:VN18)),"")</f>
        <v/>
      </c>
      <c r="VP18" s="107" t="str">
        <f t="shared" si="137"/>
        <v/>
      </c>
      <c r="VQ18" s="103"/>
      <c r="VR18" s="104"/>
      <c r="VS18" s="109"/>
      <c r="VT18" s="106" t="str">
        <f>IFERROR((((COUNTIF('Elève (3ème1)'!VQ18:VS18,"A"))*4)+((COUNTIF('Elève (3ème1)'!VQ18:VS18,"B"))*3)+((COUNTIF('Elève (3ème1)'!VQ18:VS18,"C"))*2)+((COUNTIF('Elève (3ème1)'!VQ18:VS18,"D"))*1))/(COUNTA(VQ18:VS18)),"")</f>
        <v/>
      </c>
      <c r="VU18" s="107" t="str">
        <f t="shared" si="138"/>
        <v/>
      </c>
      <c r="VV18" s="106" t="str">
        <f>IF(COUNT(VJ18,VO18,VT18)=0,"",SUM(VJ18,VO18,VT18)/COUNT(VJ18,VO18,VT18))</f>
        <v/>
      </c>
      <c r="VW18" s="108" t="str">
        <f t="shared" si="139"/>
        <v/>
      </c>
      <c r="VX18" s="103"/>
      <c r="VY18" s="104"/>
      <c r="VZ18" s="105"/>
      <c r="WA18" s="106" t="str">
        <f>IFERROR((((COUNTIF('Elève (3ème1)'!VX18:VZ18,"A"))*4)+((COUNTIF('Elève (3ème1)'!VX18:VZ18,"B"))*3)+((COUNTIF('Elève (3ème1)'!VX18:VZ18,"C"))*2)+((COUNTIF('Elève (3ème1)'!VX18:VZ18,"D"))*1))/(COUNTA(VX18:VZ18)),"")</f>
        <v/>
      </c>
      <c r="WB18" s="107" t="str">
        <f t="shared" si="140"/>
        <v/>
      </c>
      <c r="WC18" s="103"/>
      <c r="WD18" s="104"/>
      <c r="WE18" s="105"/>
      <c r="WF18" s="106" t="str">
        <f>IFERROR((((COUNTIF('Elève (3ème1)'!WC18:WE18,"A"))*4)+((COUNTIF('Elève (3ème1)'!WC18:WE18,"B"))*3)+((COUNTIF('Elève (3ème1)'!WC18:WE18,"C"))*2)+((COUNTIF('Elève (3ème1)'!WC18:WE18,"D"))*1))/(COUNTA(WC18:WE18)),"")</f>
        <v/>
      </c>
      <c r="WG18" s="107" t="str">
        <f t="shared" si="141"/>
        <v/>
      </c>
      <c r="WH18" s="103"/>
      <c r="WI18" s="104"/>
      <c r="WJ18" s="109"/>
      <c r="WK18" s="106" t="str">
        <f>IFERROR((((COUNTIF('Elève (3ème1)'!WH18:WJ18,"A"))*4)+((COUNTIF('Elève (3ème1)'!WH18:WJ18,"B"))*3)+((COUNTIF('Elève (3ème1)'!WH18:WJ18,"C"))*2)+((COUNTIF('Elève (3ème1)'!WH18:WJ18,"D"))*1))/(COUNTA(WH18:WJ18)),"")</f>
        <v/>
      </c>
      <c r="WL18" s="107" t="str">
        <f t="shared" si="142"/>
        <v/>
      </c>
      <c r="WM18" s="106" t="str">
        <f>IF(COUNT(WA18,WF18,WK18)=0,"",SUM(WA18,WF18,WK18)/COUNT(WA18,WF18,WK18))</f>
        <v/>
      </c>
      <c r="WN18" s="108" t="str">
        <f t="shared" si="143"/>
        <v/>
      </c>
    </row>
    <row r="19" spans="1:612" ht="18" customHeight="1" thickBot="1" x14ac:dyDescent="0.6">
      <c r="A19" s="215" t="s">
        <v>23</v>
      </c>
      <c r="B19" s="216"/>
      <c r="C19" s="110"/>
      <c r="D19" s="111"/>
      <c r="E19" s="112"/>
      <c r="F19" s="165" t="str">
        <f>IFERROR((((COUNTIF('Elève (3ème1)'!C19:E19,"A"))*4)+((COUNTIF('Elève (3ème1)'!C19:E19,"B"))*3)+((COUNTIF('Elève (3ème1)'!C19:E19,"C"))*2)+((COUNTIF('Elève (3ème1)'!C19:E19,"D"))*1))/(COUNTA(C19:E19)),"")</f>
        <v/>
      </c>
      <c r="G19" s="166" t="str">
        <f t="shared" si="24"/>
        <v/>
      </c>
      <c r="H19" s="110" t="s">
        <v>28</v>
      </c>
      <c r="I19" s="111"/>
      <c r="J19" s="112"/>
      <c r="K19" s="112"/>
      <c r="L19" s="165">
        <f>IFERROR((((COUNTIF('Elève (3ème1)'!H19:K19,"A"))*4)+((COUNTIF('Elève (3ème1)'!H19:K19,"B"))*3)+((COUNTIF('Elève (3ème1)'!H19:K19,"C"))*2)+((COUNTIF('Elève (3ème1)'!H19:K19,"D"))*1))/(COUNTA(H19:K19)),"")</f>
        <v>3</v>
      </c>
      <c r="M19" s="166" t="str">
        <f t="shared" si="25"/>
        <v>B</v>
      </c>
      <c r="N19" s="110"/>
      <c r="O19" s="111"/>
      <c r="P19" s="112" t="s">
        <v>27</v>
      </c>
      <c r="Q19" s="112" t="s">
        <v>28</v>
      </c>
      <c r="R19" s="112"/>
      <c r="S19" s="112"/>
      <c r="T19" s="165">
        <f>IFERROR((((COUNTIF('Elève (3ème1)'!N19:S19,"A"))*4)+((COUNTIF('Elève (3ème1)'!N19:S19,"B"))*3)+((COUNTIF('Elève (3ème1)'!N19:S19,"C"))*2)+((COUNTIF('Elève (3ème1)'!N19:S19,"D"))*1))/(COUNTA(N19:S19)),"")</f>
        <v>3.5</v>
      </c>
      <c r="U19" s="166" t="str">
        <f t="shared" si="26"/>
        <v>B</v>
      </c>
      <c r="V19" s="165">
        <f>IF(COUNT(F19,L19,T19)=0,"",SUM(F19,L19,T19)/COUNT(F19,L19,T19))</f>
        <v>3.25</v>
      </c>
      <c r="W19" s="188" t="str">
        <f t="shared" si="27"/>
        <v>B</v>
      </c>
      <c r="X19" s="110"/>
      <c r="Y19" s="111"/>
      <c r="Z19" s="112"/>
      <c r="AA19" s="165" t="str">
        <f>IFERROR((((COUNTIF('Elève (3ème1)'!X19:Z19,"A"))*4)+((COUNTIF('Elève (3ème1)'!X19:Z19,"B"))*3)+((COUNTIF('Elève (3ème1)'!X19:Z19,"C"))*2)+((COUNTIF('Elève (3ème1)'!X19:Z19,"D"))*1))/(COUNTA(X19:Z19)),"")</f>
        <v/>
      </c>
      <c r="AB19" s="166" t="str">
        <f t="shared" si="28"/>
        <v/>
      </c>
      <c r="AC19" s="110" t="s">
        <v>28</v>
      </c>
      <c r="AD19" s="111"/>
      <c r="AE19" s="112"/>
      <c r="AF19" s="112"/>
      <c r="AG19" s="165">
        <f>IFERROR((((COUNTIF('Elève (3ème1)'!AC19:AF19,"A"))*4)+((COUNTIF('Elève (3ème1)'!AC19:AF19,"B"))*3)+((COUNTIF('Elève (3ème1)'!AC19:AF19,"C"))*2)+((COUNTIF('Elève (3ème1)'!AC19:AF19,"D"))*1))/(COUNTA(AC19:AF19)),"")</f>
        <v>3</v>
      </c>
      <c r="AH19" s="166" t="str">
        <f t="shared" si="29"/>
        <v>B</v>
      </c>
      <c r="AI19" s="110"/>
      <c r="AJ19" s="111"/>
      <c r="AK19" s="112" t="s">
        <v>28</v>
      </c>
      <c r="AL19" s="112" t="s">
        <v>28</v>
      </c>
      <c r="AM19" s="112"/>
      <c r="AN19" s="116"/>
      <c r="AO19" s="165">
        <f>IFERROR((((COUNTIF('Elève (3ème1)'!AI19:AN19,"A"))*4)+((COUNTIF('Elève (3ème1)'!AI19:AN19,"B"))*3)+((COUNTIF('Elève (3ème1)'!AI19:AN19,"C"))*2)+((COUNTIF('Elève (3ème1)'!AI19:AN19,"D"))*1))/(COUNTA(AI19:AN19)),"")</f>
        <v>3</v>
      </c>
      <c r="AP19" s="166" t="str">
        <f t="shared" si="30"/>
        <v>B</v>
      </c>
      <c r="AQ19" s="165">
        <f>IF(COUNT(AA19,AG19,AO19)=0,"",SUM(AA19,AG19,AO19)/COUNT(AA19,AG19,AO19))</f>
        <v>3</v>
      </c>
      <c r="AR19" s="188" t="str">
        <f t="shared" si="31"/>
        <v>B</v>
      </c>
      <c r="AS19" s="110"/>
      <c r="AT19" s="111"/>
      <c r="AU19" s="112"/>
      <c r="AV19" s="165" t="str">
        <f>IFERROR((((COUNTIF('Elève (3ème1)'!AS19:AU19,"A"))*4)+((COUNTIF('Elève (3ème1)'!AS19:AU19,"B"))*3)+((COUNTIF('Elève (3ème1)'!AS19:AU19,"C"))*2)+((COUNTIF('Elève (3ème1)'!AS19:AU19,"D"))*1))/(COUNTA(AS19:AU19)),"")</f>
        <v/>
      </c>
      <c r="AW19" s="166" t="str">
        <f t="shared" si="32"/>
        <v/>
      </c>
      <c r="AX19" s="110" t="s">
        <v>28</v>
      </c>
      <c r="AY19" s="111"/>
      <c r="AZ19" s="112"/>
      <c r="BA19" s="112"/>
      <c r="BB19" s="165">
        <f>IFERROR((((COUNTIF('Elève (3ème1)'!AX19:BA19,"A"))*4)+((COUNTIF('Elève (3ème1)'!AX19:BA19,"B"))*3)+((COUNTIF('Elève (3ème1)'!AX19:BA19,"C"))*2)+((COUNTIF('Elève (3ème1)'!AX19:BA19,"D"))*1))/(COUNTA(AX19:BA19)),"")</f>
        <v>3</v>
      </c>
      <c r="BC19" s="166" t="str">
        <f t="shared" si="33"/>
        <v>B</v>
      </c>
      <c r="BD19" s="110"/>
      <c r="BE19" s="111"/>
      <c r="BF19" s="112" t="s">
        <v>27</v>
      </c>
      <c r="BG19" s="112" t="s">
        <v>28</v>
      </c>
      <c r="BH19" s="112"/>
      <c r="BI19" s="116"/>
      <c r="BJ19" s="165">
        <f>IFERROR((((COUNTIF('Elève (3ème1)'!BD19:BI19,"A"))*4)+((COUNTIF('Elève (3ème1)'!BD19:BI19,"B"))*3)+((COUNTIF('Elève (3ème1)'!BD19:BI19,"C"))*2)+((COUNTIF('Elève (3ème1)'!BD19:BI19,"D"))*1))/(COUNTA(BD19:BI19)),"")</f>
        <v>3.5</v>
      </c>
      <c r="BK19" s="166" t="str">
        <f t="shared" si="34"/>
        <v>B</v>
      </c>
      <c r="BL19" s="165">
        <f>IF(COUNT(AV19,BB19,BJ19)=0,"",SUM(AV19,BB19,BJ19)/COUNT(AV19,BB19,BJ19))</f>
        <v>3.25</v>
      </c>
      <c r="BM19" s="188" t="str">
        <f t="shared" si="35"/>
        <v>B</v>
      </c>
      <c r="BN19" s="110"/>
      <c r="BO19" s="111"/>
      <c r="BP19" s="112"/>
      <c r="BQ19" s="165" t="str">
        <f>IFERROR((((COUNTIF('Elève (3ème1)'!BN19:BP19,"A"))*4)+((COUNTIF('Elève (3ème1)'!BN19:BP19,"B"))*3)+((COUNTIF('Elève (3ème1)'!BN19:BP19,"C"))*2)+((COUNTIF('Elève (3ème1)'!BN19:BP19,"D"))*1))/(COUNTA(BN19:BP19)),"")</f>
        <v/>
      </c>
      <c r="BR19" s="166" t="str">
        <f t="shared" si="36"/>
        <v/>
      </c>
      <c r="BS19" s="110" t="s">
        <v>29</v>
      </c>
      <c r="BT19" s="111"/>
      <c r="BU19" s="112"/>
      <c r="BV19" s="112"/>
      <c r="BW19" s="165">
        <f>IFERROR((((COUNTIF('Elève (3ème1)'!BS19:BV19,"A"))*4)+((COUNTIF('Elève (3ème1)'!BS19:BV19,"B"))*3)+((COUNTIF('Elève (3ème1)'!BS19:BV19,"C"))*2)+((COUNTIF('Elève (3ème1)'!BS19:BV19,"D"))*1))/(COUNTA(BS19:BV19)),"")</f>
        <v>2</v>
      </c>
      <c r="BX19" s="166" t="str">
        <f t="shared" si="37"/>
        <v>C</v>
      </c>
      <c r="BY19" s="110"/>
      <c r="BZ19" s="111"/>
      <c r="CA19" s="112" t="s">
        <v>27</v>
      </c>
      <c r="CB19" s="112" t="s">
        <v>28</v>
      </c>
      <c r="CC19" s="112"/>
      <c r="CD19" s="116"/>
      <c r="CE19" s="165">
        <f>IFERROR((((COUNTIF('Elève (3ème1)'!BY19:CD19,"A"))*4)+((COUNTIF('Elève (3ème1)'!BY19:CD19,"B"))*3)+((COUNTIF('Elève (3ème1)'!BY19:CD19,"C"))*2)+((COUNTIF('Elève (3ème1)'!BY19:CD19,"D"))*1))/(COUNTA(BY19:CD19)),"")</f>
        <v>3.5</v>
      </c>
      <c r="CF19" s="166" t="str">
        <f t="shared" si="38"/>
        <v>B</v>
      </c>
      <c r="CG19" s="165">
        <f>IF(COUNT(BQ19,BW19,CE19)=0,"",SUM(BQ19,BW19,CE19)/COUNT(BQ19,BW19,CE19))</f>
        <v>2.75</v>
      </c>
      <c r="CH19" s="188" t="str">
        <f t="shared" si="39"/>
        <v>C</v>
      </c>
      <c r="CI19" s="110"/>
      <c r="CJ19" s="111"/>
      <c r="CK19" s="112"/>
      <c r="CL19" s="165" t="str">
        <f>IFERROR((((COUNTIF('Elève (3ème1)'!CI19:CK19,"A"))*4)+((COUNTIF('Elève (3ème1)'!CI19:CK19,"B"))*3)+((COUNTIF('Elève (3ème1)'!CI19:CK19,"C"))*2)+((COUNTIF('Elève (3ème1)'!CI19:CK19,"D"))*1))/(COUNTA(CI19:CK19)),"")</f>
        <v/>
      </c>
      <c r="CM19" s="166" t="str">
        <f t="shared" si="40"/>
        <v/>
      </c>
      <c r="CN19" s="110" t="s">
        <v>30</v>
      </c>
      <c r="CO19" s="111"/>
      <c r="CP19" s="112"/>
      <c r="CQ19" s="112"/>
      <c r="CR19" s="165">
        <f>IFERROR((((COUNTIF('Elève (3ème1)'!CN19:CQ19,"A"))*4)+((COUNTIF('Elève (3ème1)'!CN19:CQ19,"B"))*3)+((COUNTIF('Elève (3ème1)'!CN19:CQ19,"C"))*2)+((COUNTIF('Elève (3ème1)'!CN19:CQ19,"D"))*1))/(COUNTA(CN19:CQ19)),"")</f>
        <v>1</v>
      </c>
      <c r="CS19" s="166" t="str">
        <f t="shared" si="41"/>
        <v>D</v>
      </c>
      <c r="CT19" s="110"/>
      <c r="CU19" s="111"/>
      <c r="CV19" s="112"/>
      <c r="CW19" s="112" t="s">
        <v>28</v>
      </c>
      <c r="CX19" s="112"/>
      <c r="CY19" s="116"/>
      <c r="CZ19" s="165">
        <f>IFERROR((((COUNTIF('Elève (3ème1)'!CT19:CY19,"A"))*4)+((COUNTIF('Elève (3ème1)'!CT19:CY19,"B"))*3)+((COUNTIF('Elève (3ème1)'!CT19:CY19,"C"))*2)+((COUNTIF('Elève (3ème1)'!CT19:CY19,"D"))*1))/(COUNTA(CT19:CY19)),"")</f>
        <v>3</v>
      </c>
      <c r="DA19" s="166" t="str">
        <f t="shared" si="42"/>
        <v>B</v>
      </c>
      <c r="DB19" s="165">
        <f>IF(COUNT(CL19,CR19,CZ19)=0,"",SUM(CL19,CR19,CZ19)/COUNT(CL19,CR19,CZ19))</f>
        <v>2</v>
      </c>
      <c r="DC19" s="188" t="str">
        <f t="shared" si="43"/>
        <v>C</v>
      </c>
      <c r="DD19" s="110"/>
      <c r="DE19" s="111"/>
      <c r="DF19" s="112"/>
      <c r="DG19" s="165" t="str">
        <f>IFERROR((((COUNTIF('Elève (3ème1)'!DD19:DF19,"A"))*4)+((COUNTIF('Elève (3ème1)'!DD19:DF19,"B"))*3)+((COUNTIF('Elève (3ème1)'!DD19:DF19,"C"))*2)+((COUNTIF('Elève (3ème1)'!DD19:DF19,"D"))*1))/(COUNTA(DD19:DF19)),"")</f>
        <v/>
      </c>
      <c r="DH19" s="166" t="str">
        <f t="shared" si="44"/>
        <v/>
      </c>
      <c r="DI19" s="110" t="s">
        <v>29</v>
      </c>
      <c r="DJ19" s="111"/>
      <c r="DK19" s="112"/>
      <c r="DL19" s="112"/>
      <c r="DM19" s="165">
        <f>IFERROR((((COUNTIF('Elève (3ème1)'!DI19:DL19,"A"))*4)+((COUNTIF('Elève (3ème1)'!DI19:DL19,"B"))*3)+((COUNTIF('Elève (3ème1)'!DI19:DL19,"C"))*2)+((COUNTIF('Elève (3ème1)'!DI19:DL19,"D"))*1))/(COUNTA(DI19:DL19)),"")</f>
        <v>2</v>
      </c>
      <c r="DN19" s="166" t="str">
        <f t="shared" si="45"/>
        <v>C</v>
      </c>
      <c r="DO19" s="110"/>
      <c r="DP19" s="111"/>
      <c r="DQ19" s="112"/>
      <c r="DR19" s="112" t="s">
        <v>28</v>
      </c>
      <c r="DS19" s="112"/>
      <c r="DT19" s="116"/>
      <c r="DU19" s="165">
        <f>IFERROR((((COUNTIF('Elève (3ème1)'!DO19:DT19,"A"))*4)+((COUNTIF('Elève (3ème1)'!DO19:DT19,"B"))*3)+((COUNTIF('Elève (3ème1)'!DO19:DT19,"C"))*2)+((COUNTIF('Elève (3ème1)'!DO19:DT19,"D"))*1))/(COUNTA(DO19:DT19)),"")</f>
        <v>3</v>
      </c>
      <c r="DV19" s="166" t="str">
        <f t="shared" si="46"/>
        <v>B</v>
      </c>
      <c r="DW19" s="165">
        <f>IF(COUNT(DG19,DM19,DU19)=0,"",SUM(DG19,DM19,DU19)/COUNT(DG19,DM19,DU19))</f>
        <v>2.5</v>
      </c>
      <c r="DX19" s="188" t="str">
        <f t="shared" si="47"/>
        <v>C</v>
      </c>
      <c r="DY19" s="110"/>
      <c r="DZ19" s="111"/>
      <c r="EA19" s="112"/>
      <c r="EB19" s="165" t="str">
        <f>IFERROR((((COUNTIF('Elève (3ème1)'!DY19:EA19,"A"))*4)+((COUNTIF('Elève (3ème1)'!DY19:EA19,"B"))*3)+((COUNTIF('Elève (3ème1)'!DY19:EA19,"C"))*2)+((COUNTIF('Elève (3ème1)'!DY19:EA19,"D"))*1))/(COUNTA(DY19:EA19)),"")</f>
        <v/>
      </c>
      <c r="EC19" s="166" t="str">
        <f t="shared" si="48"/>
        <v/>
      </c>
      <c r="ED19" s="110" t="s">
        <v>29</v>
      </c>
      <c r="EE19" s="111"/>
      <c r="EF19" s="112"/>
      <c r="EG19" s="112"/>
      <c r="EH19" s="165">
        <f>IFERROR((((COUNTIF('Elève (3ème1)'!ED19:EG19,"A"))*4)+((COUNTIF('Elève (3ème1)'!ED19:EG19,"B"))*3)+((COUNTIF('Elève (3ème1)'!ED19:EG19,"C"))*2)+((COUNTIF('Elève (3ème1)'!ED19:EG19,"D"))*1))/(COUNTA(ED19:EG19)),"")</f>
        <v>2</v>
      </c>
      <c r="EI19" s="166" t="str">
        <f t="shared" si="49"/>
        <v>C</v>
      </c>
      <c r="EJ19" s="110"/>
      <c r="EK19" s="111"/>
      <c r="EL19" s="112"/>
      <c r="EM19" s="112" t="s">
        <v>27</v>
      </c>
      <c r="EN19" s="112"/>
      <c r="EO19" s="116"/>
      <c r="EP19" s="165">
        <f>IFERROR((((COUNTIF('Elève (3ème1)'!EJ19:EO19,"A"))*4)+((COUNTIF('Elève (3ème1)'!EJ19:EO19,"B"))*3)+((COUNTIF('Elève (3ème1)'!EJ19:EO19,"C"))*2)+((COUNTIF('Elève (3ème1)'!EJ19:EO19,"D"))*1))/(COUNTA(EJ19:EO19)),"")</f>
        <v>4</v>
      </c>
      <c r="EQ19" s="166" t="str">
        <f t="shared" si="50"/>
        <v>A</v>
      </c>
      <c r="ER19" s="165">
        <f>IF(COUNT(EB19,EH19,EP19)=0,"",SUM(EB19,EH19,EP19)/COUNT(EB19,EH19,EP19))</f>
        <v>3</v>
      </c>
      <c r="ES19" s="188" t="str">
        <f t="shared" si="51"/>
        <v>B</v>
      </c>
      <c r="ET19" s="110"/>
      <c r="EU19" s="111"/>
      <c r="EV19" s="112"/>
      <c r="EW19" s="165" t="str">
        <f>IFERROR((((COUNTIF('Elève (3ème1)'!ET19:EV19,"A"))*4)+((COUNTIF('Elève (3ème1)'!ET19:EV19,"B"))*3)+((COUNTIF('Elève (3ème1)'!ET19:EV19,"C"))*2)+((COUNTIF('Elève (3ème1)'!ET19:EV19,"D"))*1))/(COUNTA(ET19:EV19)),"")</f>
        <v/>
      </c>
      <c r="EX19" s="166" t="str">
        <f t="shared" si="52"/>
        <v/>
      </c>
      <c r="EY19" s="110" t="s">
        <v>28</v>
      </c>
      <c r="EZ19" s="111"/>
      <c r="FA19" s="112"/>
      <c r="FB19" s="112"/>
      <c r="FC19" s="165">
        <f>IFERROR((((COUNTIF('Elève (3ème1)'!EY19:FB19,"A"))*4)+((COUNTIF('Elève (3ème1)'!EY19:FB19,"B"))*3)+((COUNTIF('Elève (3ème1)'!EY19:FB19,"C"))*2)+((COUNTIF('Elève (3ème1)'!EY19:FB19,"D"))*1))/(COUNTA(EY19:FB19)),"")</f>
        <v>3</v>
      </c>
      <c r="FD19" s="166" t="str">
        <f t="shared" si="53"/>
        <v>B</v>
      </c>
      <c r="FE19" s="110"/>
      <c r="FF19" s="111"/>
      <c r="FG19" s="112" t="s">
        <v>28</v>
      </c>
      <c r="FH19" s="112" t="s">
        <v>28</v>
      </c>
      <c r="FI19" s="112"/>
      <c r="FJ19" s="116"/>
      <c r="FK19" s="165">
        <f>IFERROR((((COUNTIF('Elève (3ème1)'!FE19:FJ19,"A"))*4)+((COUNTIF('Elève (3ème1)'!FE19:FJ19,"B"))*3)+((COUNTIF('Elève (3ème1)'!FE19:FJ19,"C"))*2)+((COUNTIF('Elève (3ème1)'!FE19:FJ19,"D"))*1))/(COUNTA(FE19:FJ19)),"")</f>
        <v>3</v>
      </c>
      <c r="FL19" s="166" t="str">
        <f t="shared" si="54"/>
        <v>B</v>
      </c>
      <c r="FM19" s="165">
        <f>IF(COUNT(EW19,FC19,FK19)=0,"",SUM(EW19,FC19,FK19)/COUNT(EW19,FC19,FK19))</f>
        <v>3</v>
      </c>
      <c r="FN19" s="188" t="str">
        <f t="shared" si="55"/>
        <v>B</v>
      </c>
      <c r="FO19" s="110"/>
      <c r="FP19" s="111"/>
      <c r="FQ19" s="112"/>
      <c r="FR19" s="165" t="str">
        <f>IFERROR((((COUNTIF('Elève (3ème1)'!FO19:FQ19,"A"))*4)+((COUNTIF('Elève (3ème1)'!FO19:FQ19,"B"))*3)+((COUNTIF('Elève (3ème1)'!FO19:FQ19,"C"))*2)+((COUNTIF('Elève (3ème1)'!FO19:FQ19,"D"))*1))/(COUNTA(FO19:FQ19)),"")</f>
        <v/>
      </c>
      <c r="FS19" s="166" t="str">
        <f t="shared" si="56"/>
        <v/>
      </c>
      <c r="FT19" s="110" t="s">
        <v>29</v>
      </c>
      <c r="FU19" s="111"/>
      <c r="FV19" s="112"/>
      <c r="FW19" s="112"/>
      <c r="FX19" s="165">
        <f>IFERROR((((COUNTIF('Elève (3ème1)'!FT19:FW19,"A"))*4)+((COUNTIF('Elève (3ème1)'!FT19:FW19,"B"))*3)+((COUNTIF('Elève (3ème1)'!FT19:FW19,"C"))*2)+((COUNTIF('Elève (3ème1)'!FT19:FW19,"D"))*1))/(COUNTA(FT19:FW19)),"")</f>
        <v>2</v>
      </c>
      <c r="FY19" s="166" t="str">
        <f t="shared" si="57"/>
        <v>C</v>
      </c>
      <c r="FZ19" s="110"/>
      <c r="GA19" s="111"/>
      <c r="GB19" s="112"/>
      <c r="GC19" s="112" t="s">
        <v>28</v>
      </c>
      <c r="GD19" s="112"/>
      <c r="GE19" s="116"/>
      <c r="GF19" s="165">
        <f>IFERROR((((COUNTIF('Elève (3ème1)'!FZ19:GE19,"A"))*4)+((COUNTIF('Elève (3ème1)'!FZ19:GE19,"B"))*3)+((COUNTIF('Elève (3ème1)'!FZ19:GE19,"C"))*2)+((COUNTIF('Elève (3ème1)'!FZ19:GE19,"D"))*1))/(COUNTA(FZ19:GE19)),"")</f>
        <v>3</v>
      </c>
      <c r="GG19" s="166" t="str">
        <f t="shared" si="58"/>
        <v>B</v>
      </c>
      <c r="GH19" s="165">
        <f>IF(COUNT(FR19,FX19,GF19)=0,"",SUM(FR19,FX19,GF19)/COUNT(FR19,FX19,GF19))</f>
        <v>2.5</v>
      </c>
      <c r="GI19" s="188" t="str">
        <f t="shared" si="59"/>
        <v>C</v>
      </c>
      <c r="GJ19" s="110"/>
      <c r="GK19" s="111"/>
      <c r="GL19" s="112"/>
      <c r="GM19" s="165" t="str">
        <f>IFERROR((((COUNTIF('Elève (3ème1)'!GJ19:GL19,"A"))*4)+((COUNTIF('Elève (3ème1)'!GJ19:GL19,"B"))*3)+((COUNTIF('Elève (3ème1)'!GJ19:GL19,"C"))*2)+((COUNTIF('Elève (3ème1)'!GJ19:GL19,"D"))*1))/(COUNTA(GJ19:GL19)),"")</f>
        <v/>
      </c>
      <c r="GN19" s="166" t="str">
        <f t="shared" si="60"/>
        <v/>
      </c>
      <c r="GO19" s="110" t="s">
        <v>28</v>
      </c>
      <c r="GP19" s="111"/>
      <c r="GQ19" s="112"/>
      <c r="GR19" s="112"/>
      <c r="GS19" s="165">
        <f>IFERROR((((COUNTIF('Elève (3ème1)'!GO19:GR19,"A"))*4)+((COUNTIF('Elève (3ème1)'!GO19:GR19,"B"))*3)+((COUNTIF('Elève (3ème1)'!GO19:GR19,"C"))*2)+((COUNTIF('Elève (3ème1)'!GO19:GR19,"D"))*1))/(COUNTA(GO19:GR19)),"")</f>
        <v>3</v>
      </c>
      <c r="GT19" s="166" t="str">
        <f t="shared" si="61"/>
        <v>B</v>
      </c>
      <c r="GU19" s="110"/>
      <c r="GV19" s="111"/>
      <c r="GW19" s="112" t="s">
        <v>28</v>
      </c>
      <c r="GX19" s="112" t="s">
        <v>29</v>
      </c>
      <c r="GY19" s="112"/>
      <c r="GZ19" s="116"/>
      <c r="HA19" s="165">
        <f>IFERROR((((COUNTIF('Elève (3ème1)'!GU19:GZ19,"A"))*4)+((COUNTIF('Elève (3ème1)'!GU19:GZ19,"B"))*3)+((COUNTIF('Elève (3ème1)'!GU19:GZ19,"C"))*2)+((COUNTIF('Elève (3ème1)'!GU19:GZ19,"D"))*1))/(COUNTA(GU19:GZ19)),"")</f>
        <v>2.5</v>
      </c>
      <c r="HB19" s="166" t="str">
        <f t="shared" si="62"/>
        <v>C</v>
      </c>
      <c r="HC19" s="165">
        <f>IF(COUNT(GM19,GS19,HA19)=0,"",SUM(GM19,GS19,HA19)/COUNT(GM19,GS19,HA19))</f>
        <v>2.75</v>
      </c>
      <c r="HD19" s="188" t="str">
        <f t="shared" si="63"/>
        <v>C</v>
      </c>
      <c r="HE19" s="110"/>
      <c r="HF19" s="111"/>
      <c r="HG19" s="112"/>
      <c r="HH19" s="165" t="str">
        <f>IFERROR((((COUNTIF('Elève (3ème1)'!HE19:HG19,"A"))*4)+((COUNTIF('Elève (3ème1)'!HE19:HG19,"B"))*3)+((COUNTIF('Elève (3ème1)'!HE19:HG19,"C"))*2)+((COUNTIF('Elève (3ème1)'!HE19:HG19,"D"))*1))/(COUNTA(HE19:HG19)),"")</f>
        <v/>
      </c>
      <c r="HI19" s="166" t="str">
        <f t="shared" si="64"/>
        <v/>
      </c>
      <c r="HJ19" s="110" t="s">
        <v>28</v>
      </c>
      <c r="HK19" s="111"/>
      <c r="HL19" s="112"/>
      <c r="HM19" s="112"/>
      <c r="HN19" s="165">
        <f>IFERROR((((COUNTIF('Elève (3ème1)'!HJ19:HM19,"A"))*4)+((COUNTIF('Elève (3ème1)'!HJ19:HM19,"B"))*3)+((COUNTIF('Elève (3ème1)'!HJ19:HM19,"C"))*2)+((COUNTIF('Elève (3ème1)'!HJ19:HM19,"D"))*1))/(COUNTA(HJ19:HM19)),"")</f>
        <v>3</v>
      </c>
      <c r="HO19" s="166" t="str">
        <f t="shared" si="65"/>
        <v>B</v>
      </c>
      <c r="HP19" s="110"/>
      <c r="HQ19" s="111"/>
      <c r="HR19" s="112"/>
      <c r="HS19" s="112" t="s">
        <v>27</v>
      </c>
      <c r="HT19" s="112"/>
      <c r="HU19" s="116"/>
      <c r="HV19" s="165">
        <f>IFERROR((((COUNTIF('Elève (3ème1)'!HP19:HU19,"A"))*4)+((COUNTIF('Elève (3ème1)'!HP19:HU19,"B"))*3)+((COUNTIF('Elève (3ème1)'!HP19:HU19,"C"))*2)+((COUNTIF('Elève (3ème1)'!HP19:HU19,"D"))*1))/(COUNTA(HP19:HU19)),"")</f>
        <v>4</v>
      </c>
      <c r="HW19" s="166" t="str">
        <f t="shared" si="66"/>
        <v>A</v>
      </c>
      <c r="HX19" s="165">
        <f>IF(COUNT(HH19,HN19,HV19)=0,"",SUM(HH19,HN19,HV19)/COUNT(HH19,HN19,HV19))</f>
        <v>3.5</v>
      </c>
      <c r="HY19" s="188" t="str">
        <f t="shared" si="67"/>
        <v>B</v>
      </c>
      <c r="HZ19" s="110"/>
      <c r="IA19" s="111"/>
      <c r="IB19" s="112"/>
      <c r="IC19" s="165" t="str">
        <f>IFERROR((((COUNTIF('Elève (3ème1)'!HZ19:IB19,"A"))*4)+((COUNTIF('Elève (3ème1)'!HZ19:IB19,"B"))*3)+((COUNTIF('Elève (3ème1)'!HZ19:IB19,"C"))*2)+((COUNTIF('Elève (3ème1)'!HZ19:IB19,"D"))*1))/(COUNTA(HZ19:IB19)),"")</f>
        <v/>
      </c>
      <c r="ID19" s="166" t="str">
        <f t="shared" si="68"/>
        <v/>
      </c>
      <c r="IE19" s="110" t="s">
        <v>29</v>
      </c>
      <c r="IF19" s="111"/>
      <c r="IG19" s="112"/>
      <c r="IH19" s="112"/>
      <c r="II19" s="165">
        <f>IFERROR((((COUNTIF('Elève (3ème1)'!IE19:IH19,"A"))*4)+((COUNTIF('Elève (3ème1)'!IE19:IH19,"B"))*3)+((COUNTIF('Elève (3ème1)'!IE19:IH19,"C"))*2)+((COUNTIF('Elève (3ème1)'!IE19:IH19,"D"))*1))/(COUNTA(IE19:IH19)),"")</f>
        <v>2</v>
      </c>
      <c r="IJ19" s="166" t="str">
        <f t="shared" si="69"/>
        <v>C</v>
      </c>
      <c r="IK19" s="110"/>
      <c r="IL19" s="111"/>
      <c r="IM19" s="112" t="s">
        <v>28</v>
      </c>
      <c r="IN19" s="112" t="s">
        <v>28</v>
      </c>
      <c r="IO19" s="112"/>
      <c r="IP19" s="116"/>
      <c r="IQ19" s="165">
        <f>IFERROR((((COUNTIF('Elève (3ème1)'!IK19:IP19,"A"))*4)+((COUNTIF('Elève (3ème1)'!IK19:IP19,"B"))*3)+((COUNTIF('Elève (3ème1)'!IK19:IP19,"C"))*2)+((COUNTIF('Elève (3ème1)'!IK19:IP19,"D"))*1))/(COUNTA(IK19:IP19)),"")</f>
        <v>3</v>
      </c>
      <c r="IR19" s="166" t="str">
        <f t="shared" si="70"/>
        <v>B</v>
      </c>
      <c r="IS19" s="165">
        <f>IF(COUNT(IC19,II19,IQ19)=0,"",SUM(IC19,II19,IQ19)/COUNT(IC19,II19,IQ19))</f>
        <v>2.5</v>
      </c>
      <c r="IT19" s="188" t="str">
        <f t="shared" si="71"/>
        <v>C</v>
      </c>
      <c r="IU19" s="110"/>
      <c r="IV19" s="111"/>
      <c r="IW19" s="112"/>
      <c r="IX19" s="165" t="str">
        <f>IFERROR((((COUNTIF('Elève (3ème1)'!IU19:IW19,"A"))*4)+((COUNTIF('Elève (3ème1)'!IU19:IW19,"B"))*3)+((COUNTIF('Elève (3ème1)'!IU19:IW19,"C"))*2)+((COUNTIF('Elève (3ème1)'!IU19:IW19,"D"))*1))/(COUNTA(IU19:IW19)),"")</f>
        <v/>
      </c>
      <c r="IY19" s="166" t="str">
        <f t="shared" si="72"/>
        <v/>
      </c>
      <c r="IZ19" s="110" t="s">
        <v>29</v>
      </c>
      <c r="JA19" s="111"/>
      <c r="JB19" s="112"/>
      <c r="JC19" s="112"/>
      <c r="JD19" s="165">
        <f>IFERROR((((COUNTIF('Elève (3ème1)'!IZ19:JC19,"A"))*4)+((COUNTIF('Elève (3ème1)'!IZ19:JC19,"B"))*3)+((COUNTIF('Elève (3ème1)'!IZ19:JC19,"C"))*2)+((COUNTIF('Elève (3ème1)'!IZ19:JC19,"D"))*1))/(COUNTA(IZ19:JC19)),"")</f>
        <v>2</v>
      </c>
      <c r="JE19" s="166" t="str">
        <f t="shared" si="73"/>
        <v>C</v>
      </c>
      <c r="JF19" s="110"/>
      <c r="JG19" s="111"/>
      <c r="JH19" s="112"/>
      <c r="JI19" s="112" t="s">
        <v>28</v>
      </c>
      <c r="JJ19" s="112"/>
      <c r="JK19" s="116"/>
      <c r="JL19" s="165">
        <f>IFERROR((((COUNTIF('Elève (3ème1)'!JF19:JK19,"A"))*4)+((COUNTIF('Elève (3ème1)'!JF19:JK19,"B"))*3)+((COUNTIF('Elève (3ème1)'!JF19:JK19,"C"))*2)+((COUNTIF('Elève (3ème1)'!JF19:JK19,"D"))*1))/(COUNTA(JF19:JK19)),"")</f>
        <v>3</v>
      </c>
      <c r="JM19" s="166" t="str">
        <f t="shared" si="74"/>
        <v>B</v>
      </c>
      <c r="JN19" s="165">
        <f>IF(COUNT(IX19,JD19,JL19)=0,"",SUM(IX19,JD19,JL19)/COUNT(IX19,JD19,JL19))</f>
        <v>2.5</v>
      </c>
      <c r="JO19" s="188" t="str">
        <f t="shared" si="75"/>
        <v>C</v>
      </c>
      <c r="JP19" s="110"/>
      <c r="JQ19" s="111"/>
      <c r="JR19" s="112"/>
      <c r="JS19" s="165" t="str">
        <f>IFERROR((((COUNTIF('Elève (3ème1)'!JP19:JR19,"A"))*4)+((COUNTIF('Elève (3ème1)'!JP19:JR19,"B"))*3)+((COUNTIF('Elève (3ème1)'!JP19:JR19,"C"))*2)+((COUNTIF('Elève (3ème1)'!JP19:JR19,"D"))*1))/(COUNTA(JP19:JR19)),"")</f>
        <v/>
      </c>
      <c r="JT19" s="166" t="str">
        <f t="shared" si="76"/>
        <v/>
      </c>
      <c r="JU19" s="110" t="s">
        <v>30</v>
      </c>
      <c r="JV19" s="111"/>
      <c r="JW19" s="112"/>
      <c r="JX19" s="112"/>
      <c r="JY19" s="165">
        <f>IFERROR((((COUNTIF('Elève (3ème1)'!JU19:JX19,"A"))*4)+((COUNTIF('Elève (3ème1)'!JU19:JX19,"B"))*3)+((COUNTIF('Elève (3ème1)'!JU19:JX19,"C"))*2)+((COUNTIF('Elève (3ème1)'!JU19:JX19,"D"))*1))/(COUNTA(JU19:JX19)),"")</f>
        <v>1</v>
      </c>
      <c r="JZ19" s="166" t="str">
        <f t="shared" si="77"/>
        <v>D</v>
      </c>
      <c r="KA19" s="110"/>
      <c r="KB19" s="111"/>
      <c r="KC19" s="112" t="s">
        <v>28</v>
      </c>
      <c r="KD19" s="112" t="s">
        <v>29</v>
      </c>
      <c r="KE19" s="112"/>
      <c r="KF19" s="116"/>
      <c r="KG19" s="165">
        <f>IFERROR((((COUNTIF('Elève (3ème1)'!KA19:KF19,"A"))*4)+((COUNTIF('Elève (3ème1)'!KA19:KF19,"B"))*3)+((COUNTIF('Elève (3ème1)'!KA19:KF19,"C"))*2)+((COUNTIF('Elève (3ème1)'!KA19:KF19,"D"))*1))/(COUNTA(KA19:KF19)),"")</f>
        <v>2.5</v>
      </c>
      <c r="KH19" s="166" t="str">
        <f t="shared" si="78"/>
        <v>C</v>
      </c>
      <c r="KI19" s="165">
        <f>IF(COUNT(JS19,JY19,KG19)=0,"",SUM(JS19,JY19,KG19)/COUNT(JS19,JY19,KG19))</f>
        <v>1.75</v>
      </c>
      <c r="KJ19" s="188" t="str">
        <f t="shared" si="79"/>
        <v>C</v>
      </c>
      <c r="KK19" s="110"/>
      <c r="KL19" s="111"/>
      <c r="KM19" s="112"/>
      <c r="KN19" s="165" t="str">
        <f>IFERROR((((COUNTIF('Elève (3ème1)'!KK19:KM19,"A"))*4)+((COUNTIF('Elève (3ème1)'!KK19:KM19,"B"))*3)+((COUNTIF('Elève (3ème1)'!KK19:KM19,"C"))*2)+((COUNTIF('Elève (3ème1)'!KK19:KM19,"D"))*1))/(COUNTA(KK19:KM19)),"")</f>
        <v/>
      </c>
      <c r="KO19" s="166" t="str">
        <f t="shared" si="80"/>
        <v/>
      </c>
      <c r="KP19" s="110" t="s">
        <v>28</v>
      </c>
      <c r="KQ19" s="111"/>
      <c r="KR19" s="112"/>
      <c r="KS19" s="112"/>
      <c r="KT19" s="165">
        <f>IFERROR((((COUNTIF('Elève (3ème1)'!KP19:KS19,"A"))*4)+((COUNTIF('Elève (3ème1)'!KP19:KS19,"B"))*3)+((COUNTIF('Elève (3ème1)'!KP19:KS19,"C"))*2)+((COUNTIF('Elève (3ème1)'!KP19:KS19,"D"))*1))/(COUNTA(KP19:KS19)),"")</f>
        <v>3</v>
      </c>
      <c r="KU19" s="166" t="str">
        <f t="shared" si="81"/>
        <v>B</v>
      </c>
      <c r="KV19" s="110"/>
      <c r="KW19" s="111"/>
      <c r="KX19" s="112" t="s">
        <v>27</v>
      </c>
      <c r="KY19" s="112" t="s">
        <v>28</v>
      </c>
      <c r="KZ19" s="112"/>
      <c r="LA19" s="116"/>
      <c r="LB19" s="165">
        <f>IFERROR((((COUNTIF('Elève (3ème1)'!KV19:LA19,"A"))*4)+((COUNTIF('Elève (3ème1)'!KV19:LA19,"B"))*3)+((COUNTIF('Elève (3ème1)'!KV19:LA19,"C"))*2)+((COUNTIF('Elève (3ème1)'!KV19:LA19,"D"))*1))/(COUNTA(KV19:LA19)),"")</f>
        <v>3.5</v>
      </c>
      <c r="LC19" s="166" t="str">
        <f t="shared" si="82"/>
        <v>B</v>
      </c>
      <c r="LD19" s="165">
        <f>IF(COUNT(KN19,KT19,LB19)=0,"",SUM(KN19,KT19,LB19)/COUNT(KN19,KT19,LB19))</f>
        <v>3.25</v>
      </c>
      <c r="LE19" s="188" t="str">
        <f t="shared" si="83"/>
        <v>B</v>
      </c>
      <c r="LF19" s="110"/>
      <c r="LG19" s="111"/>
      <c r="LH19" s="112"/>
      <c r="LI19" s="165" t="str">
        <f>IFERROR((((COUNTIF('Elève (3ème1)'!LF19:LH19,"A"))*4)+((COUNTIF('Elève (3ème1)'!LF19:LH19,"B"))*3)+((COUNTIF('Elève (3ème1)'!LF19:LH19,"C"))*2)+((COUNTIF('Elève (3ème1)'!LF19:LH19,"D"))*1))/(COUNTA(LF19:LH19)),"")</f>
        <v/>
      </c>
      <c r="LJ19" s="166" t="str">
        <f t="shared" si="84"/>
        <v/>
      </c>
      <c r="LK19" s="110" t="s">
        <v>28</v>
      </c>
      <c r="LL19" s="111"/>
      <c r="LM19" s="112"/>
      <c r="LN19" s="112"/>
      <c r="LO19" s="165">
        <f>IFERROR((((COUNTIF('Elève (3ème1)'!LK19:LN19,"A"))*4)+((COUNTIF('Elève (3ème1)'!LK19:LN19,"B"))*3)+((COUNTIF('Elève (3ème1)'!LK19:LN19,"C"))*2)+((COUNTIF('Elève (3ème1)'!LK19:LN19,"D"))*1))/(COUNTA(LK19:LN19)),"")</f>
        <v>3</v>
      </c>
      <c r="LP19" s="166" t="str">
        <f t="shared" si="85"/>
        <v>B</v>
      </c>
      <c r="LQ19" s="110"/>
      <c r="LR19" s="111"/>
      <c r="LS19" s="112" t="s">
        <v>28</v>
      </c>
      <c r="LT19" s="112"/>
      <c r="LU19" s="112"/>
      <c r="LV19" s="116"/>
      <c r="LW19" s="165">
        <f>IFERROR((((COUNTIF('Elève (3ème1)'!LQ19:LV19,"A"))*4)+((COUNTIF('Elève (3ème1)'!LQ19:LV19,"B"))*3)+((COUNTIF('Elève (3ème1)'!LQ19:LV19,"C"))*2)+((COUNTIF('Elève (3ème1)'!LQ19:LV19,"D"))*1))/(COUNTA(LQ19:LV19)),"")</f>
        <v>3</v>
      </c>
      <c r="LX19" s="166" t="str">
        <f t="shared" si="86"/>
        <v>B</v>
      </c>
      <c r="LY19" s="165">
        <f>IF(COUNT(LI19,LO19,LW19)=0,"",SUM(LI19,LO19,LW19)/COUNT(LI19,LO19,LW19))</f>
        <v>3</v>
      </c>
      <c r="LZ19" s="188" t="str">
        <f t="shared" si="87"/>
        <v>B</v>
      </c>
      <c r="MA19" s="110"/>
      <c r="MB19" s="111"/>
      <c r="MC19" s="112"/>
      <c r="MD19" s="165" t="str">
        <f>IFERROR((((COUNTIF('Elève (3ème1)'!MA19:MC19,"A"))*4)+((COUNTIF('Elève (3ème1)'!MA19:MC19,"B"))*3)+((COUNTIF('Elève (3ème1)'!MA19:MC19,"C"))*2)+((COUNTIF('Elève (3ème1)'!MA19:MC19,"D"))*1))/(COUNTA(MA19:MC19)),"")</f>
        <v/>
      </c>
      <c r="ME19" s="166" t="str">
        <f t="shared" si="88"/>
        <v/>
      </c>
      <c r="MF19" s="110" t="s">
        <v>29</v>
      </c>
      <c r="MG19" s="111"/>
      <c r="MH19" s="112"/>
      <c r="MI19" s="112"/>
      <c r="MJ19" s="165">
        <f>IFERROR((((COUNTIF('Elève (3ème1)'!MF19:MI19,"A"))*4)+((COUNTIF('Elève (3ème1)'!MF19:MI19,"B"))*3)+((COUNTIF('Elève (3ème1)'!MF19:MI19,"C"))*2)+((COUNTIF('Elève (3ème1)'!MF19:MI19,"D"))*1))/(COUNTA(MF19:MI19)),"")</f>
        <v>2</v>
      </c>
      <c r="MK19" s="166" t="str">
        <f t="shared" si="89"/>
        <v>C</v>
      </c>
      <c r="ML19" s="110"/>
      <c r="MM19" s="111"/>
      <c r="MN19" s="112" t="s">
        <v>28</v>
      </c>
      <c r="MO19" s="112" t="s">
        <v>28</v>
      </c>
      <c r="MP19" s="112"/>
      <c r="MQ19" s="116"/>
      <c r="MR19" s="165">
        <f>IFERROR((((COUNTIF('Elève (3ème1)'!ML19:MQ19,"A"))*4)+((COUNTIF('Elève (3ème1)'!ML19:MQ19,"B"))*3)+((COUNTIF('Elève (3ème1)'!ML19:MQ19,"C"))*2)+((COUNTIF('Elève (3ème1)'!ML19:MQ19,"D"))*1))/(COUNTA(ML19:MQ19)),"")</f>
        <v>3</v>
      </c>
      <c r="MS19" s="166" t="str">
        <f t="shared" si="90"/>
        <v>B</v>
      </c>
      <c r="MT19" s="165">
        <f>IF(COUNT(MD19,MJ19,MR19)=0,"",SUM(MD19,MJ19,MR19)/COUNT(MD19,MJ19,MR19))</f>
        <v>2.5</v>
      </c>
      <c r="MU19" s="188" t="str">
        <f t="shared" si="91"/>
        <v>C</v>
      </c>
      <c r="MV19" s="110"/>
      <c r="MW19" s="111"/>
      <c r="MX19" s="112"/>
      <c r="MY19" s="165" t="str">
        <f>IFERROR((((COUNTIF('Elève (3ème1)'!MV19:MX19,"A"))*4)+((COUNTIF('Elève (3ème1)'!MV19:MX19,"B"))*3)+((COUNTIF('Elève (3ème1)'!MV19:MX19,"C"))*2)+((COUNTIF('Elève (3ème1)'!MV19:MX19,"D"))*1))/(COUNTA(MV19:MX19)),"")</f>
        <v/>
      </c>
      <c r="MZ19" s="166" t="str">
        <f t="shared" si="92"/>
        <v/>
      </c>
      <c r="NA19" s="110" t="s">
        <v>29</v>
      </c>
      <c r="NB19" s="111"/>
      <c r="NC19" s="112"/>
      <c r="ND19" s="112"/>
      <c r="NE19" s="165">
        <f>IFERROR((((COUNTIF('Elève (3ème1)'!NA19:ND19,"A"))*4)+((COUNTIF('Elève (3ème1)'!NA19:ND19,"B"))*3)+((COUNTIF('Elève (3ème1)'!NA19:ND19,"C"))*2)+((COUNTIF('Elève (3ème1)'!NA19:ND19,"D"))*1))/(COUNTA(NA19:ND19)),"")</f>
        <v>2</v>
      </c>
      <c r="NF19" s="166" t="str">
        <f t="shared" si="93"/>
        <v>C</v>
      </c>
      <c r="NG19" s="110"/>
      <c r="NH19" s="111"/>
      <c r="NI19" s="112" t="s">
        <v>27</v>
      </c>
      <c r="NJ19" s="112" t="s">
        <v>28</v>
      </c>
      <c r="NK19" s="112"/>
      <c r="NL19" s="116"/>
      <c r="NM19" s="165">
        <f>IFERROR((((COUNTIF('Elève (3ème1)'!NG19:NL19,"A"))*4)+((COUNTIF('Elève (3ème1)'!NG19:NL19,"B"))*3)+((COUNTIF('Elève (3ème1)'!NG19:NL19,"C"))*2)+((COUNTIF('Elève (3ème1)'!NG19:NL19,"D"))*1))/(COUNTA(NG19:NL19)),"")</f>
        <v>3.5</v>
      </c>
      <c r="NN19" s="166" t="str">
        <f t="shared" si="94"/>
        <v>B</v>
      </c>
      <c r="NO19" s="165">
        <f>IF(COUNT(MY19,NE19,NM19)=0,"",SUM(MY19,NE19,NM19)/COUNT(MY19,NE19,NM19))</f>
        <v>2.75</v>
      </c>
      <c r="NP19" s="188" t="str">
        <f t="shared" si="95"/>
        <v>C</v>
      </c>
      <c r="NQ19" s="110"/>
      <c r="NR19" s="111"/>
      <c r="NS19" s="112"/>
      <c r="NT19" s="165" t="str">
        <f>IFERROR((((COUNTIF('Elève (3ème1)'!NQ19:NS19,"A"))*4)+((COUNTIF('Elève (3ème1)'!NQ19:NS19,"B"))*3)+((COUNTIF('Elève (3ème1)'!NQ19:NS19,"C"))*2)+((COUNTIF('Elève (3ème1)'!NQ19:NS19,"D"))*1))/(COUNTA(NQ19:NS19)),"")</f>
        <v/>
      </c>
      <c r="NU19" s="166" t="str">
        <f t="shared" si="96"/>
        <v/>
      </c>
      <c r="NV19" s="110" t="s">
        <v>29</v>
      </c>
      <c r="NW19" s="111"/>
      <c r="NX19" s="112"/>
      <c r="NY19" s="112"/>
      <c r="NZ19" s="165">
        <f>IFERROR((((COUNTIF('Elève (3ème1)'!NV19:NY19,"A"))*4)+((COUNTIF('Elève (3ème1)'!NV19:NY19,"B"))*3)+((COUNTIF('Elève (3ème1)'!NV19:NY19,"C"))*2)+((COUNTIF('Elève (3ème1)'!NV19:NY19,"D"))*1))/(COUNTA(NV19:NY19)),"")</f>
        <v>2</v>
      </c>
      <c r="OA19" s="166" t="str">
        <f t="shared" si="97"/>
        <v>C</v>
      </c>
      <c r="OB19" s="110"/>
      <c r="OC19" s="111"/>
      <c r="OD19" s="112" t="s">
        <v>27</v>
      </c>
      <c r="OE19" s="112" t="s">
        <v>27</v>
      </c>
      <c r="OF19" s="112"/>
      <c r="OG19" s="116"/>
      <c r="OH19" s="165">
        <f>IFERROR((((COUNTIF('Elève (3ème1)'!OB19:OG19,"A"))*4)+((COUNTIF('Elève (3ème1)'!OB19:OG19,"B"))*3)+((COUNTIF('Elève (3ème1)'!OB19:OG19,"C"))*2)+((COUNTIF('Elève (3ème1)'!OB19:OG19,"D"))*1))/(COUNTA(OB19:OG19)),"")</f>
        <v>4</v>
      </c>
      <c r="OI19" s="166" t="str">
        <f t="shared" si="98"/>
        <v>A</v>
      </c>
      <c r="OJ19" s="165">
        <f>IF(COUNT(NT19,NZ19,OH19)=0,"",SUM(NT19,NZ19,OH19)/COUNT(NT19,NZ19,OH19))</f>
        <v>3</v>
      </c>
      <c r="OK19" s="188" t="str">
        <f t="shared" si="99"/>
        <v>B</v>
      </c>
      <c r="OL19" s="110"/>
      <c r="OM19" s="111"/>
      <c r="ON19" s="112"/>
      <c r="OO19" s="165" t="str">
        <f>IFERROR((((COUNTIF('Elève (3ème1)'!OL19:ON19,"A"))*4)+((COUNTIF('Elève (3ème1)'!OL19:ON19,"B"))*3)+((COUNTIF('Elève (3ème1)'!OL19:ON19,"C"))*2)+((COUNTIF('Elève (3ème1)'!OL19:ON19,"D"))*1))/(COUNTA(OL19:ON19)),"")</f>
        <v/>
      </c>
      <c r="OP19" s="166" t="str">
        <f t="shared" si="100"/>
        <v/>
      </c>
      <c r="OQ19" s="110" t="s">
        <v>29</v>
      </c>
      <c r="OR19" s="111"/>
      <c r="OS19" s="112"/>
      <c r="OT19" s="112"/>
      <c r="OU19" s="165">
        <f>IFERROR((((COUNTIF('Elève (3ème1)'!OQ19:OT19,"A"))*4)+((COUNTIF('Elève (3ème1)'!OQ19:OT19,"B"))*3)+((COUNTIF('Elève (3ème1)'!OQ19:OT19,"C"))*2)+((COUNTIF('Elève (3ème1)'!OQ19:OT19,"D"))*1))/(COUNTA(OQ19:OT19)),"")</f>
        <v>2</v>
      </c>
      <c r="OV19" s="166" t="str">
        <f t="shared" si="101"/>
        <v>C</v>
      </c>
      <c r="OW19" s="110"/>
      <c r="OX19" s="111"/>
      <c r="OY19" s="112" t="s">
        <v>28</v>
      </c>
      <c r="OZ19" s="112" t="s">
        <v>27</v>
      </c>
      <c r="PA19" s="112"/>
      <c r="PB19" s="116"/>
      <c r="PC19" s="165">
        <f>IFERROR((((COUNTIF('Elève (3ème1)'!OW19:PB19,"A"))*4)+((COUNTIF('Elève (3ème1)'!OW19:PB19,"B"))*3)+((COUNTIF('Elève (3ème1)'!OW19:PB19,"C"))*2)+((COUNTIF('Elève (3ème1)'!OW19:PB19,"D"))*1))/(COUNTA(OW19:PB19)),"")</f>
        <v>3.5</v>
      </c>
      <c r="PD19" s="166" t="str">
        <f t="shared" si="102"/>
        <v>B</v>
      </c>
      <c r="PE19" s="165">
        <f>IF(COUNT(OO19,OU19,PC19)=0,"",SUM(OO19,OU19,PC19)/COUNT(OO19,OU19,PC19))</f>
        <v>2.75</v>
      </c>
      <c r="PF19" s="188" t="str">
        <f t="shared" si="103"/>
        <v>C</v>
      </c>
      <c r="PG19" s="110"/>
      <c r="PH19" s="111"/>
      <c r="PI19" s="112"/>
      <c r="PJ19" s="165" t="str">
        <f>IFERROR((((COUNTIF('Elève (3ème1)'!PG19:PI19,"A"))*4)+((COUNTIF('Elève (3ème1)'!PG19:PI19,"B"))*3)+((COUNTIF('Elève (3ème1)'!PG19:PI19,"C"))*2)+((COUNTIF('Elève (3ème1)'!PG19:PI19,"D"))*1))/(COUNTA(PG19:PI19)),"")</f>
        <v/>
      </c>
      <c r="PK19" s="166" t="str">
        <f t="shared" si="104"/>
        <v/>
      </c>
      <c r="PL19" s="110" t="s">
        <v>28</v>
      </c>
      <c r="PM19" s="111"/>
      <c r="PN19" s="112"/>
      <c r="PO19" s="112"/>
      <c r="PP19" s="165">
        <f>IFERROR((((COUNTIF('Elève (3ème1)'!PL19:PO19,"A"))*4)+((COUNTIF('Elève (3ème1)'!PL19:PO19,"B"))*3)+((COUNTIF('Elève (3ème1)'!PL19:PO19,"C"))*2)+((COUNTIF('Elève (3ème1)'!PL19:PO19,"D"))*1))/(COUNTA(PL19:PO19)),"")</f>
        <v>3</v>
      </c>
      <c r="PQ19" s="166" t="str">
        <f t="shared" si="105"/>
        <v>B</v>
      </c>
      <c r="PR19" s="110"/>
      <c r="PS19" s="111"/>
      <c r="PT19" s="112" t="s">
        <v>27</v>
      </c>
      <c r="PU19" s="112" t="s">
        <v>28</v>
      </c>
      <c r="PV19" s="112"/>
      <c r="PW19" s="116"/>
      <c r="PX19" s="165">
        <f>IFERROR((((COUNTIF('Elève (3ème1)'!PR19:PW19,"A"))*4)+((COUNTIF('Elève (3ème1)'!PR19:PW19,"B"))*3)+((COUNTIF('Elève (3ème1)'!PR19:PW19,"C"))*2)+((COUNTIF('Elève (3ème1)'!PR19:PW19,"D"))*1))/(COUNTA(PR19:PW19)),"")</f>
        <v>3.5</v>
      </c>
      <c r="PY19" s="166" t="str">
        <f t="shared" si="106"/>
        <v>B</v>
      </c>
      <c r="PZ19" s="165">
        <f>IF(COUNT(PJ19,PP19,PX19)=0,"",SUM(PJ19,PP19,PX19)/COUNT(PJ19,PP19,PX19))</f>
        <v>3.25</v>
      </c>
      <c r="QA19" s="188" t="str">
        <f t="shared" si="107"/>
        <v>B</v>
      </c>
      <c r="QB19" s="110"/>
      <c r="QC19" s="111"/>
      <c r="QD19" s="112"/>
      <c r="QE19" s="165" t="str">
        <f>IFERROR((((COUNTIF('Elève (3ème1)'!QB19:QD19,"A"))*4)+((COUNTIF('Elève (3ème1)'!QB19:QD19,"B"))*3)+((COUNTIF('Elève (3ème1)'!QB19:QD19,"C"))*2)+((COUNTIF('Elève (3ème1)'!QB19:QD19,"D"))*1))/(COUNTA(QB19:QD19)),"")</f>
        <v/>
      </c>
      <c r="QF19" s="166" t="str">
        <f t="shared" si="108"/>
        <v/>
      </c>
      <c r="QG19" s="110" t="s">
        <v>27</v>
      </c>
      <c r="QH19" s="111"/>
      <c r="QI19" s="112"/>
      <c r="QJ19" s="112"/>
      <c r="QK19" s="165">
        <f>IFERROR((((COUNTIF('Elève (3ème1)'!QG19:QJ19,"A"))*4)+((COUNTIF('Elève (3ème1)'!QG19:QJ19,"B"))*3)+((COUNTIF('Elève (3ème1)'!QG19:QJ19,"C"))*2)+((COUNTIF('Elève (3ème1)'!QG19:QJ19,"D"))*1))/(COUNTA(QG19:QJ19)),"")</f>
        <v>4</v>
      </c>
      <c r="QL19" s="166" t="str">
        <f t="shared" si="109"/>
        <v>A</v>
      </c>
      <c r="QM19" s="110"/>
      <c r="QN19" s="111"/>
      <c r="QO19" s="112" t="s">
        <v>27</v>
      </c>
      <c r="QP19" s="112" t="s">
        <v>28</v>
      </c>
      <c r="QQ19" s="112"/>
      <c r="QR19" s="116"/>
      <c r="QS19" s="165">
        <f>IFERROR((((COUNTIF('Elève (3ème1)'!QM19:QR19,"A"))*4)+((COUNTIF('Elève (3ème1)'!QM19:QR19,"B"))*3)+((COUNTIF('Elève (3ème1)'!QM19:QR19,"C"))*2)+((COUNTIF('Elève (3ème1)'!QM19:QR19,"D"))*1))/(COUNTA(QM19:QR19)),"")</f>
        <v>3.5</v>
      </c>
      <c r="QT19" s="166" t="str">
        <f t="shared" si="110"/>
        <v>B</v>
      </c>
      <c r="QU19" s="165">
        <f>IF(COUNT(QE19,QK19,QS19)=0,"",SUM(QE19,QK19,QS19)/COUNT(QE19,QK19,QS19))</f>
        <v>3.75</v>
      </c>
      <c r="QV19" s="188" t="str">
        <f t="shared" si="111"/>
        <v>A</v>
      </c>
      <c r="QW19" s="110"/>
      <c r="QX19" s="111"/>
      <c r="QY19" s="112"/>
      <c r="QZ19" s="165" t="str">
        <f>IFERROR((((COUNTIF('Elève (3ème1)'!QW19:QY19,"A"))*4)+((COUNTIF('Elève (3ème1)'!QW19:QY19,"B"))*3)+((COUNTIF('Elève (3ème1)'!QW19:QY19,"C"))*2)+((COUNTIF('Elève (3ème1)'!QW19:QY19,"D"))*1))/(COUNTA(QW19:QY19)),"")</f>
        <v/>
      </c>
      <c r="RA19" s="166" t="str">
        <f t="shared" si="112"/>
        <v/>
      </c>
      <c r="RB19" s="110" t="s">
        <v>28</v>
      </c>
      <c r="RC19" s="111"/>
      <c r="RD19" s="112"/>
      <c r="RE19" s="112"/>
      <c r="RF19" s="165">
        <f>IFERROR((((COUNTIF('Elève (3ème1)'!RB19:RE19,"A"))*4)+((COUNTIF('Elève (3ème1)'!RB19:RE19,"B"))*3)+((COUNTIF('Elève (3ème1)'!RB19:RE19,"C"))*2)+((COUNTIF('Elève (3ème1)'!RB19:RE19,"D"))*1))/(COUNTA(RB19:RE19)),"")</f>
        <v>3</v>
      </c>
      <c r="RG19" s="166" t="str">
        <f t="shared" si="113"/>
        <v>B</v>
      </c>
      <c r="RH19" s="110"/>
      <c r="RI19" s="111"/>
      <c r="RJ19" s="112"/>
      <c r="RK19" s="112" t="s">
        <v>28</v>
      </c>
      <c r="RL19" s="112"/>
      <c r="RM19" s="116"/>
      <c r="RN19" s="165">
        <f>IFERROR((((COUNTIF('Elève (3ème1)'!RH19:RM19,"A"))*4)+((COUNTIF('Elève (3ème1)'!RH19:RM19,"B"))*3)+((COUNTIF('Elève (3ème1)'!RH19:RM19,"C"))*2)+((COUNTIF('Elève (3ème1)'!RH19:RM19,"D"))*1))/(COUNTA(RH19:RM19)),"")</f>
        <v>3</v>
      </c>
      <c r="RO19" s="166" t="str">
        <f t="shared" si="114"/>
        <v>B</v>
      </c>
      <c r="RP19" s="165">
        <f>IF(COUNT(QZ19,RF19,RN19)=0,"",SUM(QZ19,RF19,RN19)/COUNT(QZ19,RF19,RN19))</f>
        <v>3</v>
      </c>
      <c r="RQ19" s="188" t="str">
        <f t="shared" si="115"/>
        <v>B</v>
      </c>
      <c r="RR19" s="110"/>
      <c r="RS19" s="111"/>
      <c r="RT19" s="112"/>
      <c r="RU19" s="165" t="str">
        <f>IFERROR((((COUNTIF('Elève (3ème1)'!RR19:RT19,"A"))*4)+((COUNTIF('Elève (3ème1)'!RR19:RT19,"B"))*3)+((COUNTIF('Elève (3ème1)'!RR19:RT19,"C"))*2)+((COUNTIF('Elève (3ème1)'!RR19:RT19,"D"))*1))/(COUNTA(RR19:RT19)),"")</f>
        <v/>
      </c>
      <c r="RV19" s="166" t="str">
        <f t="shared" si="116"/>
        <v/>
      </c>
      <c r="RW19" s="110" t="s">
        <v>29</v>
      </c>
      <c r="RX19" s="111"/>
      <c r="RY19" s="112"/>
      <c r="RZ19" s="112"/>
      <c r="SA19" s="165">
        <f>IFERROR((((COUNTIF('Elève (3ème1)'!RW19:RZ19,"A"))*4)+((COUNTIF('Elève (3ème1)'!RW19:RZ19,"B"))*3)+((COUNTIF('Elève (3ème1)'!RW19:RZ19,"C"))*2)+((COUNTIF('Elève (3ème1)'!RW19:RZ19,"D"))*1))/(COUNTA(RW19:RZ19)),"")</f>
        <v>2</v>
      </c>
      <c r="SB19" s="166" t="str">
        <f t="shared" si="117"/>
        <v>C</v>
      </c>
      <c r="SC19" s="110"/>
      <c r="SD19" s="111"/>
      <c r="SE19" s="112" t="s">
        <v>27</v>
      </c>
      <c r="SF19" s="112" t="s">
        <v>28</v>
      </c>
      <c r="SG19" s="112"/>
      <c r="SH19" s="116"/>
      <c r="SI19" s="165">
        <f>IFERROR((((COUNTIF('Elève (3ème1)'!SC19:SH19,"A"))*4)+((COUNTIF('Elève (3ème1)'!SC19:SH19,"B"))*3)+((COUNTIF('Elève (3ème1)'!SC19:SH19,"C"))*2)+((COUNTIF('Elève (3ème1)'!SC19:SH19,"D"))*1))/(COUNTA(SC19:SH19)),"")</f>
        <v>3.5</v>
      </c>
      <c r="SJ19" s="166" t="str">
        <f t="shared" si="118"/>
        <v>B</v>
      </c>
      <c r="SK19" s="165">
        <f>IF(COUNT(RU19,SA19,SI19)=0,"",SUM(RU19,SA19,SI19)/COUNT(RU19,SA19,SI19))</f>
        <v>2.75</v>
      </c>
      <c r="SL19" s="188" t="str">
        <f t="shared" si="119"/>
        <v>C</v>
      </c>
      <c r="SM19" s="110"/>
      <c r="SN19" s="111"/>
      <c r="SO19" s="112"/>
      <c r="SP19" s="165" t="str">
        <f>IFERROR((((COUNTIF('Elève (3ème1)'!SM19:SO19,"A"))*4)+((COUNTIF('Elève (3ème1)'!SM19:SO19,"B"))*3)+((COUNTIF('Elève (3ème1)'!SM19:SO19,"C"))*2)+((COUNTIF('Elève (3ème1)'!SM19:SO19,"D"))*1))/(COUNTA(SM19:SO19)),"")</f>
        <v/>
      </c>
      <c r="SQ19" s="166" t="str">
        <f t="shared" si="120"/>
        <v/>
      </c>
      <c r="SR19" s="110" t="s">
        <v>28</v>
      </c>
      <c r="SS19" s="111"/>
      <c r="ST19" s="112"/>
      <c r="SU19" s="112"/>
      <c r="SV19" s="165">
        <f>IFERROR((((COUNTIF('Elève (3ème1)'!SR19:SU19,"A"))*4)+((COUNTIF('Elève (3ème1)'!SR19:SU19,"B"))*3)+((COUNTIF('Elève (3ème1)'!SR19:SU19,"C"))*2)+((COUNTIF('Elève (3ème1)'!SR19:SU19,"D"))*1))/(COUNTA(SR19:SU19)),"")</f>
        <v>3</v>
      </c>
      <c r="SW19" s="166" t="str">
        <f t="shared" si="121"/>
        <v>B</v>
      </c>
      <c r="SX19" s="110"/>
      <c r="SY19" s="111"/>
      <c r="SZ19" s="112" t="s">
        <v>27</v>
      </c>
      <c r="TA19" s="112" t="s">
        <v>28</v>
      </c>
      <c r="TB19" s="112"/>
      <c r="TC19" s="116"/>
      <c r="TD19" s="165">
        <f>IFERROR((((COUNTIF('Elève (3ème1)'!SX19:TC19,"A"))*4)+((COUNTIF('Elève (3ème1)'!SX19:TC19,"B"))*3)+((COUNTIF('Elève (3ème1)'!SX19:TC19,"C"))*2)+((COUNTIF('Elève (3ème1)'!SX19:TC19,"D"))*1))/(COUNTA(SX19:TC19)),"")</f>
        <v>3.5</v>
      </c>
      <c r="TE19" s="166" t="str">
        <f t="shared" si="122"/>
        <v>B</v>
      </c>
      <c r="TF19" s="165">
        <f>IF(COUNT(SP19,SV19,TD19)=0,"",SUM(SP19,SV19,TD19)/COUNT(SP19,SV19,TD19))</f>
        <v>3.25</v>
      </c>
      <c r="TG19" s="188" t="str">
        <f t="shared" si="123"/>
        <v>B</v>
      </c>
      <c r="TH19" s="110"/>
      <c r="TI19" s="111"/>
      <c r="TJ19" s="112"/>
      <c r="TK19" s="113" t="str">
        <f>IFERROR((((COUNTIF('Elève (3ème1)'!TH19:TJ19,"A"))*4)+((COUNTIF('Elève (3ème1)'!TH19:TJ19,"B"))*3)+((COUNTIF('Elève (3ème1)'!TH19:TJ19,"C"))*2)+((COUNTIF('Elève (3ème1)'!TH19:TJ19,"D"))*1))/(COUNTA(TH19:TJ19)),"")</f>
        <v/>
      </c>
      <c r="TL19" s="114" t="str">
        <f t="shared" si="124"/>
        <v/>
      </c>
      <c r="TM19" s="110"/>
      <c r="TN19" s="111"/>
      <c r="TO19" s="112"/>
      <c r="TP19" s="113" t="str">
        <f>IFERROR((((COUNTIF('Elève (3ème1)'!TM19:TO19,"A"))*4)+((COUNTIF('Elève (3ème1)'!TM19:TO19,"B"))*3)+((COUNTIF('Elève (3ème1)'!TM19:TO19,"C"))*2)+((COUNTIF('Elève (3ème1)'!TM19:TO19,"D"))*1))/(COUNTA(TM19:TO19)),"")</f>
        <v/>
      </c>
      <c r="TQ19" s="114" t="str">
        <f t="shared" si="125"/>
        <v/>
      </c>
      <c r="TR19" s="110"/>
      <c r="TS19" s="111"/>
      <c r="TT19" s="116"/>
      <c r="TU19" s="113" t="str">
        <f>IFERROR((((COUNTIF('Elève (3ème1)'!TR19:TT19,"A"))*4)+((COUNTIF('Elève (3ème1)'!TR19:TT19,"B"))*3)+((COUNTIF('Elève (3ème1)'!TR19:TT19,"C"))*2)+((COUNTIF('Elève (3ème1)'!TR19:TT19,"D"))*1))/(COUNTA(TR19:TT19)),"")</f>
        <v/>
      </c>
      <c r="TV19" s="114" t="str">
        <f t="shared" si="126"/>
        <v/>
      </c>
      <c r="TW19" s="113" t="str">
        <f>IF(COUNT(TK19,TP19,TU19)=0,"",SUM(TK19,TP19,TU19)/COUNT(TK19,TP19,TU19))</f>
        <v/>
      </c>
      <c r="TX19" s="115" t="str">
        <f t="shared" si="127"/>
        <v/>
      </c>
      <c r="TY19" s="110"/>
      <c r="TZ19" s="111"/>
      <c r="UA19" s="112"/>
      <c r="UB19" s="113" t="str">
        <f>IFERROR((((COUNTIF('Elève (3ème1)'!TY19:UA19,"A"))*4)+((COUNTIF('Elève (3ème1)'!TY19:UA19,"B"))*3)+((COUNTIF('Elève (3ème1)'!TY19:UA19,"C"))*2)+((COUNTIF('Elève (3ème1)'!TY19:UA19,"D"))*1))/(COUNTA(TY19:UA19)),"")</f>
        <v/>
      </c>
      <c r="UC19" s="114" t="str">
        <f t="shared" si="128"/>
        <v/>
      </c>
      <c r="UD19" s="110"/>
      <c r="UE19" s="111"/>
      <c r="UF19" s="112"/>
      <c r="UG19" s="113" t="str">
        <f>IFERROR((((COUNTIF('Elève (3ème1)'!UD19:UF19,"A"))*4)+((COUNTIF('Elève (3ème1)'!UD19:UF19,"B"))*3)+((COUNTIF('Elève (3ème1)'!UD19:UF19,"C"))*2)+((COUNTIF('Elève (3ème1)'!UD19:UF19,"D"))*1))/(COUNTA(UD19:UF19)),"")</f>
        <v/>
      </c>
      <c r="UH19" s="114" t="str">
        <f t="shared" si="129"/>
        <v/>
      </c>
      <c r="UI19" s="110"/>
      <c r="UJ19" s="111"/>
      <c r="UK19" s="116"/>
      <c r="UL19" s="113" t="str">
        <f>IFERROR((((COUNTIF('Elève (3ème1)'!UI19:UK19,"A"))*4)+((COUNTIF('Elève (3ème1)'!UI19:UK19,"B"))*3)+((COUNTIF('Elève (3ème1)'!UI19:UK19,"C"))*2)+((COUNTIF('Elève (3ème1)'!UI19:UK19,"D"))*1))/(COUNTA(UI19:UK19)),"")</f>
        <v/>
      </c>
      <c r="UM19" s="114" t="str">
        <f t="shared" si="130"/>
        <v/>
      </c>
      <c r="UN19" s="113" t="str">
        <f>IF(COUNT(UB19,UG19,UL19)=0,"",SUM(UB19,UG19,UL19)/COUNT(UB19,UG19,UL19))</f>
        <v/>
      </c>
      <c r="UO19" s="115" t="str">
        <f t="shared" si="131"/>
        <v/>
      </c>
      <c r="UP19" s="110"/>
      <c r="UQ19" s="111"/>
      <c r="UR19" s="112"/>
      <c r="US19" s="113" t="str">
        <f>IFERROR((((COUNTIF('Elève (3ème1)'!UP19:UR19,"A"))*4)+((COUNTIF('Elève (3ème1)'!UP19:UR19,"B"))*3)+((COUNTIF('Elève (3ème1)'!UP19:UR19,"C"))*2)+((COUNTIF('Elève (3ème1)'!UP19:UR19,"D"))*1))/(COUNTA(UP19:UR19)),"")</f>
        <v/>
      </c>
      <c r="UT19" s="114" t="str">
        <f t="shared" si="132"/>
        <v/>
      </c>
      <c r="UU19" s="110"/>
      <c r="UV19" s="111"/>
      <c r="UW19" s="112"/>
      <c r="UX19" s="113" t="str">
        <f>IFERROR((((COUNTIF('Elève (3ème1)'!UU19:UW19,"A"))*4)+((COUNTIF('Elève (3ème1)'!UU19:UW19,"B"))*3)+((COUNTIF('Elève (3ème1)'!UU19:UW19,"C"))*2)+((COUNTIF('Elève (3ème1)'!UU19:UW19,"D"))*1))/(COUNTA(UU19:UW19)),"")</f>
        <v/>
      </c>
      <c r="UY19" s="114" t="str">
        <f t="shared" si="133"/>
        <v/>
      </c>
      <c r="UZ19" s="110"/>
      <c r="VA19" s="111"/>
      <c r="VB19" s="116"/>
      <c r="VC19" s="113" t="str">
        <f>IFERROR((((COUNTIF('Elève (3ème1)'!UZ19:VB19,"A"))*4)+((COUNTIF('Elève (3ème1)'!UZ19:VB19,"B"))*3)+((COUNTIF('Elève (3ème1)'!UZ19:VB19,"C"))*2)+((COUNTIF('Elève (3ème1)'!UZ19:VB19,"D"))*1))/(COUNTA(UZ19:VB19)),"")</f>
        <v/>
      </c>
      <c r="VD19" s="114" t="str">
        <f t="shared" si="134"/>
        <v/>
      </c>
      <c r="VE19" s="113" t="str">
        <f>IF(COUNT(US19,UX19,VC19)=0,"",SUM(US19,UX19,VC19)/COUNT(US19,UX19,VC19))</f>
        <v/>
      </c>
      <c r="VF19" s="115" t="str">
        <f t="shared" si="135"/>
        <v/>
      </c>
      <c r="VG19" s="110"/>
      <c r="VH19" s="111"/>
      <c r="VI19" s="112"/>
      <c r="VJ19" s="113" t="str">
        <f>IFERROR((((COUNTIF('Elève (3ème1)'!VG19:VI19,"A"))*4)+((COUNTIF('Elève (3ème1)'!VG19:VI19,"B"))*3)+((COUNTIF('Elève (3ème1)'!VG19:VI19,"C"))*2)+((COUNTIF('Elève (3ème1)'!VG19:VI19,"D"))*1))/(COUNTA(VG19:VI19)),"")</f>
        <v/>
      </c>
      <c r="VK19" s="114" t="str">
        <f t="shared" si="136"/>
        <v/>
      </c>
      <c r="VL19" s="110"/>
      <c r="VM19" s="111"/>
      <c r="VN19" s="112"/>
      <c r="VO19" s="113" t="str">
        <f>IFERROR((((COUNTIF('Elève (3ème1)'!VL19:VN19,"A"))*4)+((COUNTIF('Elève (3ème1)'!VL19:VN19,"B"))*3)+((COUNTIF('Elève (3ème1)'!VL19:VN19,"C"))*2)+((COUNTIF('Elève (3ème1)'!VL19:VN19,"D"))*1))/(COUNTA(VL19:VN19)),"")</f>
        <v/>
      </c>
      <c r="VP19" s="114" t="str">
        <f t="shared" si="137"/>
        <v/>
      </c>
      <c r="VQ19" s="110"/>
      <c r="VR19" s="111"/>
      <c r="VS19" s="116"/>
      <c r="VT19" s="113" t="str">
        <f>IFERROR((((COUNTIF('Elève (3ème1)'!VQ19:VS19,"A"))*4)+((COUNTIF('Elève (3ème1)'!VQ19:VS19,"B"))*3)+((COUNTIF('Elève (3ème1)'!VQ19:VS19,"C"))*2)+((COUNTIF('Elève (3ème1)'!VQ19:VS19,"D"))*1))/(COUNTA(VQ19:VS19)),"")</f>
        <v/>
      </c>
      <c r="VU19" s="114" t="str">
        <f t="shared" si="138"/>
        <v/>
      </c>
      <c r="VV19" s="113" t="str">
        <f>IF(COUNT(VJ19,VO19,VT19)=0,"",SUM(VJ19,VO19,VT19)/COUNT(VJ19,VO19,VT19))</f>
        <v/>
      </c>
      <c r="VW19" s="115" t="str">
        <f t="shared" si="139"/>
        <v/>
      </c>
      <c r="VX19" s="110"/>
      <c r="VY19" s="111"/>
      <c r="VZ19" s="112"/>
      <c r="WA19" s="113" t="str">
        <f>IFERROR((((COUNTIF('Elève (3ème1)'!VX19:VZ19,"A"))*4)+((COUNTIF('Elève (3ème1)'!VX19:VZ19,"B"))*3)+((COUNTIF('Elève (3ème1)'!VX19:VZ19,"C"))*2)+((COUNTIF('Elève (3ème1)'!VX19:VZ19,"D"))*1))/(COUNTA(VX19:VZ19)),"")</f>
        <v/>
      </c>
      <c r="WB19" s="114" t="str">
        <f t="shared" si="140"/>
        <v/>
      </c>
      <c r="WC19" s="110"/>
      <c r="WD19" s="111"/>
      <c r="WE19" s="112"/>
      <c r="WF19" s="113" t="str">
        <f>IFERROR((((COUNTIF('Elève (3ème1)'!WC19:WE19,"A"))*4)+((COUNTIF('Elève (3ème1)'!WC19:WE19,"B"))*3)+((COUNTIF('Elève (3ème1)'!WC19:WE19,"C"))*2)+((COUNTIF('Elève (3ème1)'!WC19:WE19,"D"))*1))/(COUNTA(WC19:WE19)),"")</f>
        <v/>
      </c>
      <c r="WG19" s="114" t="str">
        <f t="shared" si="141"/>
        <v/>
      </c>
      <c r="WH19" s="110"/>
      <c r="WI19" s="111"/>
      <c r="WJ19" s="116"/>
      <c r="WK19" s="113" t="str">
        <f>IFERROR((((COUNTIF('Elève (3ème1)'!WH19:WJ19,"A"))*4)+((COUNTIF('Elève (3ème1)'!WH19:WJ19,"B"))*3)+((COUNTIF('Elève (3ème1)'!WH19:WJ19,"C"))*2)+((COUNTIF('Elève (3ème1)'!WH19:WJ19,"D"))*1))/(COUNTA(WH19:WJ19)),"")</f>
        <v/>
      </c>
      <c r="WL19" s="114" t="str">
        <f t="shared" si="142"/>
        <v/>
      </c>
      <c r="WM19" s="113" t="str">
        <f>IF(COUNT(WA19,WF19,WK19)=0,"",SUM(WA19,WF19,WK19)/COUNT(WA19,WF19,WK19))</f>
        <v/>
      </c>
      <c r="WN19" s="115" t="str">
        <f t="shared" si="143"/>
        <v/>
      </c>
    </row>
    <row r="20" spans="1:612" s="95" customFormat="1" ht="16.5" customHeight="1" thickBot="1" x14ac:dyDescent="0.6">
      <c r="A20" s="145" t="s">
        <v>24</v>
      </c>
      <c r="B20" s="120">
        <v>1</v>
      </c>
      <c r="C20" s="152"/>
      <c r="D20" s="65"/>
      <c r="E20" s="85"/>
      <c r="F20" s="159">
        <f>IF(COUNT(F21)=0,"",SUM(F21)/COUNT(F21))</f>
        <v>3</v>
      </c>
      <c r="G20" s="160" t="str">
        <f t="shared" si="24"/>
        <v>B</v>
      </c>
      <c r="H20" s="152"/>
      <c r="I20" s="65"/>
      <c r="J20" s="65"/>
      <c r="K20" s="85"/>
      <c r="L20" s="159" t="str">
        <f>IF(COUNT(L21)=0,"",SUM(L21)/COUNT(L21))</f>
        <v/>
      </c>
      <c r="M20" s="175" t="str">
        <f t="shared" si="25"/>
        <v/>
      </c>
      <c r="N20" s="153"/>
      <c r="O20" s="90"/>
      <c r="P20" s="90"/>
      <c r="Q20" s="90"/>
      <c r="R20" s="90"/>
      <c r="S20" s="91"/>
      <c r="T20" s="159" t="str">
        <f>IF(COUNT(T21)=0,"",SUM(T21)/COUNT(T21))</f>
        <v/>
      </c>
      <c r="U20" s="183" t="str">
        <f t="shared" si="26"/>
        <v/>
      </c>
      <c r="V20" s="184">
        <f>IF(COUNT(V21)=0,"",SUM(V21)/COUNT(V21))</f>
        <v>3</v>
      </c>
      <c r="W20" s="185" t="str">
        <f t="shared" si="27"/>
        <v>B</v>
      </c>
      <c r="X20" s="196"/>
      <c r="Y20" s="65"/>
      <c r="Z20" s="85"/>
      <c r="AA20" s="159">
        <f>IF(COUNT(AA21)=0,"",SUM(AA21)/COUNT(AA21))</f>
        <v>1.5</v>
      </c>
      <c r="AB20" s="160" t="str">
        <f t="shared" si="28"/>
        <v>D</v>
      </c>
      <c r="AC20" s="152"/>
      <c r="AD20" s="65"/>
      <c r="AE20" s="65"/>
      <c r="AF20" s="85"/>
      <c r="AG20" s="159" t="str">
        <f>IF(COUNT(AG21)=0,"",SUM(AG21)/COUNT(AG21))</f>
        <v/>
      </c>
      <c r="AH20" s="175" t="str">
        <f t="shared" si="29"/>
        <v/>
      </c>
      <c r="AI20" s="153"/>
      <c r="AJ20" s="90"/>
      <c r="AK20" s="90"/>
      <c r="AL20" s="90"/>
      <c r="AM20" s="90"/>
      <c r="AN20" s="91"/>
      <c r="AO20" s="159" t="str">
        <f>IF(COUNT(AO21)=0,"",SUM(AO21)/COUNT(AO21))</f>
        <v/>
      </c>
      <c r="AP20" s="183" t="str">
        <f t="shared" si="30"/>
        <v/>
      </c>
      <c r="AQ20" s="184">
        <f>IF(COUNT(AQ21)=0,"",SUM(AQ21)/COUNT(AQ21))</f>
        <v>1.5</v>
      </c>
      <c r="AR20" s="185" t="str">
        <f t="shared" si="31"/>
        <v>D</v>
      </c>
      <c r="AS20" s="196"/>
      <c r="AT20" s="65"/>
      <c r="AU20" s="85"/>
      <c r="AV20" s="159">
        <f>IF(COUNT(AV21)=0,"",SUM(AV21)/COUNT(AV21))</f>
        <v>2.5</v>
      </c>
      <c r="AW20" s="160" t="str">
        <f t="shared" si="32"/>
        <v>C</v>
      </c>
      <c r="AX20" s="152"/>
      <c r="AY20" s="65"/>
      <c r="AZ20" s="65"/>
      <c r="BA20" s="85"/>
      <c r="BB20" s="159" t="str">
        <f>IF(COUNT(BB21)=0,"",SUM(BB21)/COUNT(BB21))</f>
        <v/>
      </c>
      <c r="BC20" s="175" t="str">
        <f t="shared" si="33"/>
        <v/>
      </c>
      <c r="BD20" s="153"/>
      <c r="BE20" s="90"/>
      <c r="BF20" s="90"/>
      <c r="BG20" s="90"/>
      <c r="BH20" s="90"/>
      <c r="BI20" s="91"/>
      <c r="BJ20" s="159" t="str">
        <f>IF(COUNT(BJ21)=0,"",SUM(BJ21)/COUNT(BJ21))</f>
        <v/>
      </c>
      <c r="BK20" s="183" t="str">
        <f t="shared" si="34"/>
        <v/>
      </c>
      <c r="BL20" s="184">
        <f>IF(COUNT(BL21)=0,"",SUM(BL21)/COUNT(BL21))</f>
        <v>2.5</v>
      </c>
      <c r="BM20" s="185" t="str">
        <f t="shared" si="35"/>
        <v>C</v>
      </c>
      <c r="BN20" s="196"/>
      <c r="BO20" s="65"/>
      <c r="BP20" s="85"/>
      <c r="BQ20" s="159">
        <f>IF(COUNT(BQ21)=0,"",SUM(BQ21)/COUNT(BQ21))</f>
        <v>2</v>
      </c>
      <c r="BR20" s="160" t="str">
        <f t="shared" si="36"/>
        <v>C</v>
      </c>
      <c r="BS20" s="152"/>
      <c r="BT20" s="65"/>
      <c r="BU20" s="65"/>
      <c r="BV20" s="85"/>
      <c r="BW20" s="159" t="str">
        <f>IF(COUNT(BW21)=0,"",SUM(BW21)/COUNT(BW21))</f>
        <v/>
      </c>
      <c r="BX20" s="175" t="str">
        <f t="shared" si="37"/>
        <v/>
      </c>
      <c r="BY20" s="153"/>
      <c r="BZ20" s="90"/>
      <c r="CA20" s="90"/>
      <c r="CB20" s="90"/>
      <c r="CC20" s="90"/>
      <c r="CD20" s="91"/>
      <c r="CE20" s="159" t="str">
        <f>IF(COUNT(CE21)=0,"",SUM(CE21)/COUNT(CE21))</f>
        <v/>
      </c>
      <c r="CF20" s="183" t="str">
        <f t="shared" si="38"/>
        <v/>
      </c>
      <c r="CG20" s="184">
        <f>IF(COUNT(CG21)=0,"",SUM(CG21)/COUNT(CG21))</f>
        <v>2</v>
      </c>
      <c r="CH20" s="185" t="str">
        <f t="shared" si="39"/>
        <v>C</v>
      </c>
      <c r="CI20" s="196"/>
      <c r="CJ20" s="65"/>
      <c r="CK20" s="85"/>
      <c r="CL20" s="159">
        <f>IF(COUNT(CL21)=0,"",SUM(CL21)/COUNT(CL21))</f>
        <v>3.5</v>
      </c>
      <c r="CM20" s="160" t="str">
        <f t="shared" si="40"/>
        <v>B</v>
      </c>
      <c r="CN20" s="152"/>
      <c r="CO20" s="65"/>
      <c r="CP20" s="65"/>
      <c r="CQ20" s="85"/>
      <c r="CR20" s="159" t="str">
        <f>IF(COUNT(CR21)=0,"",SUM(CR21)/COUNT(CR21))</f>
        <v/>
      </c>
      <c r="CS20" s="175" t="str">
        <f t="shared" si="41"/>
        <v/>
      </c>
      <c r="CT20" s="153"/>
      <c r="CU20" s="90"/>
      <c r="CV20" s="90"/>
      <c r="CW20" s="90"/>
      <c r="CX20" s="90"/>
      <c r="CY20" s="91"/>
      <c r="CZ20" s="159" t="str">
        <f>IF(COUNT(CZ21)=0,"",SUM(CZ21)/COUNT(CZ21))</f>
        <v/>
      </c>
      <c r="DA20" s="183" t="str">
        <f t="shared" si="42"/>
        <v/>
      </c>
      <c r="DB20" s="184">
        <f>IF(COUNT(DB21)=0,"",SUM(DB21)/COUNT(DB21))</f>
        <v>3.5</v>
      </c>
      <c r="DC20" s="185" t="str">
        <f t="shared" si="43"/>
        <v>B</v>
      </c>
      <c r="DD20" s="196"/>
      <c r="DE20" s="65"/>
      <c r="DF20" s="85"/>
      <c r="DG20" s="159">
        <f>IF(COUNT(DG21)=0,"",SUM(DG21)/COUNT(DG21))</f>
        <v>3</v>
      </c>
      <c r="DH20" s="160" t="str">
        <f t="shared" si="44"/>
        <v>B</v>
      </c>
      <c r="DI20" s="152"/>
      <c r="DJ20" s="65"/>
      <c r="DK20" s="65"/>
      <c r="DL20" s="85"/>
      <c r="DM20" s="159" t="str">
        <f>IF(COUNT(DM21)=0,"",SUM(DM21)/COUNT(DM21))</f>
        <v/>
      </c>
      <c r="DN20" s="175" t="str">
        <f t="shared" si="45"/>
        <v/>
      </c>
      <c r="DO20" s="153"/>
      <c r="DP20" s="90"/>
      <c r="DQ20" s="90"/>
      <c r="DR20" s="90"/>
      <c r="DS20" s="90"/>
      <c r="DT20" s="91"/>
      <c r="DU20" s="159" t="str">
        <f>IF(COUNT(DU21)=0,"",SUM(DU21)/COUNT(DU21))</f>
        <v/>
      </c>
      <c r="DV20" s="183" t="str">
        <f t="shared" si="46"/>
        <v/>
      </c>
      <c r="DW20" s="184">
        <f>IF(COUNT(DW21)=0,"",SUM(DW21)/COUNT(DW21))</f>
        <v>3</v>
      </c>
      <c r="DX20" s="185" t="str">
        <f t="shared" si="47"/>
        <v>B</v>
      </c>
      <c r="DY20" s="196"/>
      <c r="DZ20" s="65"/>
      <c r="EA20" s="85"/>
      <c r="EB20" s="159">
        <f>IF(COUNT(EB21)=0,"",SUM(EB21)/COUNT(EB21))</f>
        <v>2</v>
      </c>
      <c r="EC20" s="160" t="str">
        <f t="shared" si="48"/>
        <v>C</v>
      </c>
      <c r="ED20" s="152"/>
      <c r="EE20" s="65"/>
      <c r="EF20" s="65"/>
      <c r="EG20" s="85"/>
      <c r="EH20" s="159" t="str">
        <f>IF(COUNT(EH21)=0,"",SUM(EH21)/COUNT(EH21))</f>
        <v/>
      </c>
      <c r="EI20" s="175" t="str">
        <f t="shared" si="49"/>
        <v/>
      </c>
      <c r="EJ20" s="153"/>
      <c r="EK20" s="90"/>
      <c r="EL20" s="90"/>
      <c r="EM20" s="90"/>
      <c r="EN20" s="90"/>
      <c r="EO20" s="91"/>
      <c r="EP20" s="159" t="str">
        <f>IF(COUNT(EP21)=0,"",SUM(EP21)/COUNT(EP21))</f>
        <v/>
      </c>
      <c r="EQ20" s="183" t="str">
        <f t="shared" si="50"/>
        <v/>
      </c>
      <c r="ER20" s="184">
        <f>IF(COUNT(ER21)=0,"",SUM(ER21)/COUNT(ER21))</f>
        <v>2</v>
      </c>
      <c r="ES20" s="185" t="str">
        <f t="shared" si="51"/>
        <v>C</v>
      </c>
      <c r="ET20" s="196"/>
      <c r="EU20" s="65"/>
      <c r="EV20" s="85"/>
      <c r="EW20" s="159">
        <f>IF(COUNT(EW21)=0,"",SUM(EW21)/COUNT(EW21))</f>
        <v>3.5</v>
      </c>
      <c r="EX20" s="160" t="str">
        <f t="shared" si="52"/>
        <v>B</v>
      </c>
      <c r="EY20" s="152"/>
      <c r="EZ20" s="65"/>
      <c r="FA20" s="65"/>
      <c r="FB20" s="85"/>
      <c r="FC20" s="159" t="str">
        <f>IF(COUNT(FC21)=0,"",SUM(FC21)/COUNT(FC21))</f>
        <v/>
      </c>
      <c r="FD20" s="175" t="str">
        <f t="shared" si="53"/>
        <v/>
      </c>
      <c r="FE20" s="153"/>
      <c r="FF20" s="90"/>
      <c r="FG20" s="90"/>
      <c r="FH20" s="90"/>
      <c r="FI20" s="90"/>
      <c r="FJ20" s="91"/>
      <c r="FK20" s="159" t="str">
        <f>IF(COUNT(FK21)=0,"",SUM(FK21)/COUNT(FK21))</f>
        <v/>
      </c>
      <c r="FL20" s="183" t="str">
        <f t="shared" si="54"/>
        <v/>
      </c>
      <c r="FM20" s="184">
        <f>IF(COUNT(FM21)=0,"",SUM(FM21)/COUNT(FM21))</f>
        <v>3.5</v>
      </c>
      <c r="FN20" s="185" t="str">
        <f t="shared" si="55"/>
        <v>B</v>
      </c>
      <c r="FO20" s="196"/>
      <c r="FP20" s="65"/>
      <c r="FQ20" s="85"/>
      <c r="FR20" s="159">
        <f>IF(COUNT(FR21)=0,"",SUM(FR21)/COUNT(FR21))</f>
        <v>2.5</v>
      </c>
      <c r="FS20" s="160" t="str">
        <f t="shared" si="56"/>
        <v>C</v>
      </c>
      <c r="FT20" s="152"/>
      <c r="FU20" s="65"/>
      <c r="FV20" s="65"/>
      <c r="FW20" s="85"/>
      <c r="FX20" s="159" t="str">
        <f>IF(COUNT(FX21)=0,"",SUM(FX21)/COUNT(FX21))</f>
        <v/>
      </c>
      <c r="FY20" s="175" t="str">
        <f t="shared" si="57"/>
        <v/>
      </c>
      <c r="FZ20" s="153"/>
      <c r="GA20" s="90"/>
      <c r="GB20" s="90"/>
      <c r="GC20" s="90"/>
      <c r="GD20" s="90"/>
      <c r="GE20" s="91"/>
      <c r="GF20" s="159" t="str">
        <f>IF(COUNT(GF21)=0,"",SUM(GF21)/COUNT(GF21))</f>
        <v/>
      </c>
      <c r="GG20" s="183" t="str">
        <f t="shared" si="58"/>
        <v/>
      </c>
      <c r="GH20" s="184">
        <f>IF(COUNT(GH21)=0,"",SUM(GH21)/COUNT(GH21))</f>
        <v>2.5</v>
      </c>
      <c r="GI20" s="185" t="str">
        <f t="shared" si="59"/>
        <v>C</v>
      </c>
      <c r="GJ20" s="196"/>
      <c r="GK20" s="65"/>
      <c r="GL20" s="85"/>
      <c r="GM20" s="159">
        <f>IF(COUNT(GM21)=0,"",SUM(GM21)/COUNT(GM21))</f>
        <v>2</v>
      </c>
      <c r="GN20" s="160" t="str">
        <f t="shared" si="60"/>
        <v>C</v>
      </c>
      <c r="GO20" s="152"/>
      <c r="GP20" s="65"/>
      <c r="GQ20" s="65"/>
      <c r="GR20" s="85"/>
      <c r="GS20" s="159" t="str">
        <f>IF(COUNT(GS21)=0,"",SUM(GS21)/COUNT(GS21))</f>
        <v/>
      </c>
      <c r="GT20" s="175" t="str">
        <f t="shared" si="61"/>
        <v/>
      </c>
      <c r="GU20" s="153"/>
      <c r="GV20" s="90"/>
      <c r="GW20" s="90"/>
      <c r="GX20" s="90"/>
      <c r="GY20" s="90"/>
      <c r="GZ20" s="91"/>
      <c r="HA20" s="159" t="str">
        <f>IF(COUNT(HA21)=0,"",SUM(HA21)/COUNT(HA21))</f>
        <v/>
      </c>
      <c r="HB20" s="183" t="str">
        <f t="shared" si="62"/>
        <v/>
      </c>
      <c r="HC20" s="184">
        <f>IF(COUNT(HC21)=0,"",SUM(HC21)/COUNT(HC21))</f>
        <v>2</v>
      </c>
      <c r="HD20" s="185" t="str">
        <f t="shared" si="63"/>
        <v>C</v>
      </c>
      <c r="HE20" s="196"/>
      <c r="HF20" s="65"/>
      <c r="HG20" s="85"/>
      <c r="HH20" s="159">
        <f>IF(COUNT(HH21)=0,"",SUM(HH21)/COUNT(HH21))</f>
        <v>3.5</v>
      </c>
      <c r="HI20" s="160" t="str">
        <f t="shared" si="64"/>
        <v>B</v>
      </c>
      <c r="HJ20" s="152"/>
      <c r="HK20" s="65"/>
      <c r="HL20" s="65"/>
      <c r="HM20" s="85"/>
      <c r="HN20" s="159" t="str">
        <f>IF(COUNT(HN21)=0,"",SUM(HN21)/COUNT(HN21))</f>
        <v/>
      </c>
      <c r="HO20" s="175" t="str">
        <f t="shared" si="65"/>
        <v/>
      </c>
      <c r="HP20" s="153"/>
      <c r="HQ20" s="90"/>
      <c r="HR20" s="90"/>
      <c r="HS20" s="90"/>
      <c r="HT20" s="90"/>
      <c r="HU20" s="91"/>
      <c r="HV20" s="159" t="str">
        <f>IF(COUNT(HV21)=0,"",SUM(HV21)/COUNT(HV21))</f>
        <v/>
      </c>
      <c r="HW20" s="183" t="str">
        <f t="shared" si="66"/>
        <v/>
      </c>
      <c r="HX20" s="184">
        <f>IF(COUNT(HX21)=0,"",SUM(HX21)/COUNT(HX21))</f>
        <v>3.5</v>
      </c>
      <c r="HY20" s="185" t="str">
        <f t="shared" si="67"/>
        <v>B</v>
      </c>
      <c r="HZ20" s="196"/>
      <c r="IA20" s="65"/>
      <c r="IB20" s="85"/>
      <c r="IC20" s="159">
        <f>IF(COUNT(IC21)=0,"",SUM(IC21)/COUNT(IC21))</f>
        <v>3.5</v>
      </c>
      <c r="ID20" s="160" t="str">
        <f t="shared" si="68"/>
        <v>B</v>
      </c>
      <c r="IE20" s="152"/>
      <c r="IF20" s="65"/>
      <c r="IG20" s="65"/>
      <c r="IH20" s="85"/>
      <c r="II20" s="159" t="str">
        <f>IF(COUNT(II21)=0,"",SUM(II21)/COUNT(II21))</f>
        <v/>
      </c>
      <c r="IJ20" s="175" t="str">
        <f t="shared" si="69"/>
        <v/>
      </c>
      <c r="IK20" s="153"/>
      <c r="IL20" s="90"/>
      <c r="IM20" s="90"/>
      <c r="IN20" s="90"/>
      <c r="IO20" s="90"/>
      <c r="IP20" s="91"/>
      <c r="IQ20" s="159" t="str">
        <f>IF(COUNT(IQ21)=0,"",SUM(IQ21)/COUNT(IQ21))</f>
        <v/>
      </c>
      <c r="IR20" s="183" t="str">
        <f t="shared" si="70"/>
        <v/>
      </c>
      <c r="IS20" s="184">
        <f>IF(COUNT(IS21)=0,"",SUM(IS21)/COUNT(IS21))</f>
        <v>3.5</v>
      </c>
      <c r="IT20" s="185" t="str">
        <f t="shared" si="71"/>
        <v>B</v>
      </c>
      <c r="IU20" s="196"/>
      <c r="IV20" s="65"/>
      <c r="IW20" s="85"/>
      <c r="IX20" s="159">
        <f>IF(COUNT(IX21)=0,"",SUM(IX21)/COUNT(IX21))</f>
        <v>3.5</v>
      </c>
      <c r="IY20" s="160" t="str">
        <f t="shared" si="72"/>
        <v>B</v>
      </c>
      <c r="IZ20" s="152"/>
      <c r="JA20" s="65"/>
      <c r="JB20" s="65"/>
      <c r="JC20" s="85"/>
      <c r="JD20" s="159" t="str">
        <f>IF(COUNT(JD21)=0,"",SUM(JD21)/COUNT(JD21))</f>
        <v/>
      </c>
      <c r="JE20" s="175" t="str">
        <f t="shared" si="73"/>
        <v/>
      </c>
      <c r="JF20" s="153"/>
      <c r="JG20" s="90"/>
      <c r="JH20" s="90"/>
      <c r="JI20" s="90"/>
      <c r="JJ20" s="90"/>
      <c r="JK20" s="91"/>
      <c r="JL20" s="159" t="str">
        <f>IF(COUNT(JL21)=0,"",SUM(JL21)/COUNT(JL21))</f>
        <v/>
      </c>
      <c r="JM20" s="183" t="str">
        <f t="shared" si="74"/>
        <v/>
      </c>
      <c r="JN20" s="184">
        <f>IF(COUNT(JN21)=0,"",SUM(JN21)/COUNT(JN21))</f>
        <v>3.5</v>
      </c>
      <c r="JO20" s="185" t="str">
        <f t="shared" si="75"/>
        <v>B</v>
      </c>
      <c r="JP20" s="196"/>
      <c r="JQ20" s="65"/>
      <c r="JR20" s="85"/>
      <c r="JS20" s="159">
        <f>IF(COUNT(JS21)=0,"",SUM(JS21)/COUNT(JS21))</f>
        <v>2.5</v>
      </c>
      <c r="JT20" s="160" t="str">
        <f t="shared" si="76"/>
        <v>C</v>
      </c>
      <c r="JU20" s="152"/>
      <c r="JV20" s="65"/>
      <c r="JW20" s="65"/>
      <c r="JX20" s="85"/>
      <c r="JY20" s="159" t="str">
        <f>IF(COUNT(JY21)=0,"",SUM(JY21)/COUNT(JY21))</f>
        <v/>
      </c>
      <c r="JZ20" s="175" t="str">
        <f t="shared" si="77"/>
        <v/>
      </c>
      <c r="KA20" s="153"/>
      <c r="KB20" s="90"/>
      <c r="KC20" s="90"/>
      <c r="KD20" s="90"/>
      <c r="KE20" s="90"/>
      <c r="KF20" s="91"/>
      <c r="KG20" s="159" t="str">
        <f>IF(COUNT(KG21)=0,"",SUM(KG21)/COUNT(KG21))</f>
        <v/>
      </c>
      <c r="KH20" s="183" t="str">
        <f t="shared" si="78"/>
        <v/>
      </c>
      <c r="KI20" s="184">
        <f>IF(COUNT(KI21)=0,"",SUM(KI21)/COUNT(KI21))</f>
        <v>2.5</v>
      </c>
      <c r="KJ20" s="185" t="str">
        <f t="shared" si="79"/>
        <v>C</v>
      </c>
      <c r="KK20" s="196"/>
      <c r="KL20" s="65"/>
      <c r="KM20" s="85"/>
      <c r="KN20" s="159">
        <f>IF(COUNT(KN21)=0,"",SUM(KN21)/COUNT(KN21))</f>
        <v>1.5</v>
      </c>
      <c r="KO20" s="160" t="str">
        <f t="shared" si="80"/>
        <v>D</v>
      </c>
      <c r="KP20" s="152"/>
      <c r="KQ20" s="65"/>
      <c r="KR20" s="65"/>
      <c r="KS20" s="85"/>
      <c r="KT20" s="159" t="str">
        <f>IF(COUNT(KT21)=0,"",SUM(KT21)/COUNT(KT21))</f>
        <v/>
      </c>
      <c r="KU20" s="175" t="str">
        <f t="shared" si="81"/>
        <v/>
      </c>
      <c r="KV20" s="153"/>
      <c r="KW20" s="90"/>
      <c r="KX20" s="90"/>
      <c r="KY20" s="90"/>
      <c r="KZ20" s="90"/>
      <c r="LA20" s="91"/>
      <c r="LB20" s="159" t="str">
        <f>IF(COUNT(LB21)=0,"",SUM(LB21)/COUNT(LB21))</f>
        <v/>
      </c>
      <c r="LC20" s="183" t="str">
        <f t="shared" si="82"/>
        <v/>
      </c>
      <c r="LD20" s="184">
        <f>IF(COUNT(LD21)=0,"",SUM(LD21)/COUNT(LD21))</f>
        <v>1.5</v>
      </c>
      <c r="LE20" s="185" t="str">
        <f t="shared" si="83"/>
        <v>D</v>
      </c>
      <c r="LF20" s="196"/>
      <c r="LG20" s="65"/>
      <c r="LH20" s="85"/>
      <c r="LI20" s="159">
        <f>IF(COUNT(LI21)=0,"",SUM(LI21)/COUNT(LI21))</f>
        <v>3.5</v>
      </c>
      <c r="LJ20" s="160" t="str">
        <f t="shared" si="84"/>
        <v>B</v>
      </c>
      <c r="LK20" s="152"/>
      <c r="LL20" s="65"/>
      <c r="LM20" s="65"/>
      <c r="LN20" s="85"/>
      <c r="LO20" s="159" t="str">
        <f>IF(COUNT(LO21)=0,"",SUM(LO21)/COUNT(LO21))</f>
        <v/>
      </c>
      <c r="LP20" s="175" t="str">
        <f t="shared" si="85"/>
        <v/>
      </c>
      <c r="LQ20" s="153"/>
      <c r="LR20" s="90"/>
      <c r="LS20" s="90"/>
      <c r="LT20" s="90"/>
      <c r="LU20" s="90"/>
      <c r="LV20" s="91"/>
      <c r="LW20" s="159" t="str">
        <f>IF(COUNT(LW21)=0,"",SUM(LW21)/COUNT(LW21))</f>
        <v/>
      </c>
      <c r="LX20" s="183" t="str">
        <f t="shared" si="86"/>
        <v/>
      </c>
      <c r="LY20" s="184">
        <f>IF(COUNT(LY21)=0,"",SUM(LY21)/COUNT(LY21))</f>
        <v>3.5</v>
      </c>
      <c r="LZ20" s="185" t="str">
        <f t="shared" si="87"/>
        <v>B</v>
      </c>
      <c r="MA20" s="196"/>
      <c r="MB20" s="65"/>
      <c r="MC20" s="85"/>
      <c r="MD20" s="159">
        <f>IF(COUNT(MD21)=0,"",SUM(MD21)/COUNT(MD21))</f>
        <v>3</v>
      </c>
      <c r="ME20" s="160" t="str">
        <f t="shared" si="88"/>
        <v>B</v>
      </c>
      <c r="MF20" s="152"/>
      <c r="MG20" s="65"/>
      <c r="MH20" s="65"/>
      <c r="MI20" s="85"/>
      <c r="MJ20" s="159" t="str">
        <f>IF(COUNT(MJ21)=0,"",SUM(MJ21)/COUNT(MJ21))</f>
        <v/>
      </c>
      <c r="MK20" s="175" t="str">
        <f t="shared" si="89"/>
        <v/>
      </c>
      <c r="ML20" s="153"/>
      <c r="MM20" s="90"/>
      <c r="MN20" s="90"/>
      <c r="MO20" s="90"/>
      <c r="MP20" s="90"/>
      <c r="MQ20" s="91"/>
      <c r="MR20" s="159" t="str">
        <f>IF(COUNT(MR21)=0,"",SUM(MR21)/COUNT(MR21))</f>
        <v/>
      </c>
      <c r="MS20" s="183" t="str">
        <f t="shared" si="90"/>
        <v/>
      </c>
      <c r="MT20" s="184">
        <f>IF(COUNT(MT21)=0,"",SUM(MT21)/COUNT(MT21))</f>
        <v>3</v>
      </c>
      <c r="MU20" s="185" t="str">
        <f t="shared" si="91"/>
        <v>B</v>
      </c>
      <c r="MV20" s="196"/>
      <c r="MW20" s="65"/>
      <c r="MX20" s="85"/>
      <c r="MY20" s="159">
        <f>IF(COUNT(MY21)=0,"",SUM(MY21)/COUNT(MY21))</f>
        <v>3</v>
      </c>
      <c r="MZ20" s="160" t="str">
        <f t="shared" si="92"/>
        <v>B</v>
      </c>
      <c r="NA20" s="152"/>
      <c r="NB20" s="65"/>
      <c r="NC20" s="65"/>
      <c r="ND20" s="85"/>
      <c r="NE20" s="159" t="str">
        <f>IF(COUNT(NE21)=0,"",SUM(NE21)/COUNT(NE21))</f>
        <v/>
      </c>
      <c r="NF20" s="175" t="str">
        <f t="shared" si="93"/>
        <v/>
      </c>
      <c r="NG20" s="153"/>
      <c r="NH20" s="90"/>
      <c r="NI20" s="90"/>
      <c r="NJ20" s="90"/>
      <c r="NK20" s="90"/>
      <c r="NL20" s="91"/>
      <c r="NM20" s="159" t="str">
        <f>IF(COUNT(NM21)=0,"",SUM(NM21)/COUNT(NM21))</f>
        <v/>
      </c>
      <c r="NN20" s="183" t="str">
        <f t="shared" si="94"/>
        <v/>
      </c>
      <c r="NO20" s="184">
        <f>IF(COUNT(NO21)=0,"",SUM(NO21)/COUNT(NO21))</f>
        <v>3</v>
      </c>
      <c r="NP20" s="185" t="str">
        <f t="shared" si="95"/>
        <v>B</v>
      </c>
      <c r="NQ20" s="196"/>
      <c r="NR20" s="65"/>
      <c r="NS20" s="85"/>
      <c r="NT20" s="159">
        <f>IF(COUNT(NT21)=0,"",SUM(NT21)/COUNT(NT21))</f>
        <v>2.5</v>
      </c>
      <c r="NU20" s="160" t="str">
        <f t="shared" si="96"/>
        <v>C</v>
      </c>
      <c r="NV20" s="152"/>
      <c r="NW20" s="65"/>
      <c r="NX20" s="65"/>
      <c r="NY20" s="85"/>
      <c r="NZ20" s="159" t="str">
        <f>IF(COUNT(NZ21)=0,"",SUM(NZ21)/COUNT(NZ21))</f>
        <v/>
      </c>
      <c r="OA20" s="175" t="str">
        <f t="shared" si="97"/>
        <v/>
      </c>
      <c r="OB20" s="153"/>
      <c r="OC20" s="90"/>
      <c r="OD20" s="90"/>
      <c r="OE20" s="90"/>
      <c r="OF20" s="90"/>
      <c r="OG20" s="91"/>
      <c r="OH20" s="159" t="str">
        <f>IF(COUNT(OH21)=0,"",SUM(OH21)/COUNT(OH21))</f>
        <v/>
      </c>
      <c r="OI20" s="183" t="str">
        <f t="shared" si="98"/>
        <v/>
      </c>
      <c r="OJ20" s="184">
        <f>IF(COUNT(OJ21)=0,"",SUM(OJ21)/COUNT(OJ21))</f>
        <v>2.5</v>
      </c>
      <c r="OK20" s="185" t="str">
        <f t="shared" si="99"/>
        <v>C</v>
      </c>
      <c r="OL20" s="196"/>
      <c r="OM20" s="65"/>
      <c r="ON20" s="85"/>
      <c r="OO20" s="159">
        <f>IF(COUNT(OO21)=0,"",SUM(OO21)/COUNT(OO21))</f>
        <v>3</v>
      </c>
      <c r="OP20" s="160" t="str">
        <f t="shared" si="100"/>
        <v>B</v>
      </c>
      <c r="OQ20" s="152"/>
      <c r="OR20" s="65"/>
      <c r="OS20" s="65"/>
      <c r="OT20" s="85"/>
      <c r="OU20" s="159" t="str">
        <f>IF(COUNT(OU21)=0,"",SUM(OU21)/COUNT(OU21))</f>
        <v/>
      </c>
      <c r="OV20" s="175" t="str">
        <f t="shared" si="101"/>
        <v/>
      </c>
      <c r="OW20" s="153"/>
      <c r="OX20" s="90"/>
      <c r="OY20" s="90"/>
      <c r="OZ20" s="90"/>
      <c r="PA20" s="90"/>
      <c r="PB20" s="91"/>
      <c r="PC20" s="159" t="str">
        <f>IF(COUNT(PC21)=0,"",SUM(PC21)/COUNT(PC21))</f>
        <v/>
      </c>
      <c r="PD20" s="183" t="str">
        <f t="shared" si="102"/>
        <v/>
      </c>
      <c r="PE20" s="184">
        <f>IF(COUNT(PE21)=0,"",SUM(PE21)/COUNT(PE21))</f>
        <v>3</v>
      </c>
      <c r="PF20" s="185" t="str">
        <f t="shared" si="103"/>
        <v>B</v>
      </c>
      <c r="PG20" s="196"/>
      <c r="PH20" s="65"/>
      <c r="PI20" s="85"/>
      <c r="PJ20" s="159">
        <f>IF(COUNT(PJ21)=0,"",SUM(PJ21)/COUNT(PJ21))</f>
        <v>4</v>
      </c>
      <c r="PK20" s="160" t="str">
        <f t="shared" si="104"/>
        <v>A</v>
      </c>
      <c r="PL20" s="152"/>
      <c r="PM20" s="65"/>
      <c r="PN20" s="65"/>
      <c r="PO20" s="85"/>
      <c r="PP20" s="159" t="str">
        <f>IF(COUNT(PP21)=0,"",SUM(PP21)/COUNT(PP21))</f>
        <v/>
      </c>
      <c r="PQ20" s="175" t="str">
        <f t="shared" si="105"/>
        <v/>
      </c>
      <c r="PR20" s="153"/>
      <c r="PS20" s="90"/>
      <c r="PT20" s="90"/>
      <c r="PU20" s="90"/>
      <c r="PV20" s="90"/>
      <c r="PW20" s="91"/>
      <c r="PX20" s="159" t="str">
        <f>IF(COUNT(PX21)=0,"",SUM(PX21)/COUNT(PX21))</f>
        <v/>
      </c>
      <c r="PY20" s="183" t="str">
        <f t="shared" si="106"/>
        <v/>
      </c>
      <c r="PZ20" s="184">
        <f>IF(COUNT(PZ21)=0,"",SUM(PZ21)/COUNT(PZ21))</f>
        <v>4</v>
      </c>
      <c r="QA20" s="185" t="str">
        <f t="shared" si="107"/>
        <v>A</v>
      </c>
      <c r="QB20" s="196"/>
      <c r="QC20" s="65"/>
      <c r="QD20" s="85"/>
      <c r="QE20" s="159">
        <f>IF(COUNT(QE21)=0,"",SUM(QE21)/COUNT(QE21))</f>
        <v>3.5</v>
      </c>
      <c r="QF20" s="160" t="str">
        <f t="shared" si="108"/>
        <v>B</v>
      </c>
      <c r="QG20" s="152"/>
      <c r="QH20" s="65"/>
      <c r="QI20" s="65"/>
      <c r="QJ20" s="85"/>
      <c r="QK20" s="159" t="str">
        <f>IF(COUNT(QK21)=0,"",SUM(QK21)/COUNT(QK21))</f>
        <v/>
      </c>
      <c r="QL20" s="175" t="str">
        <f t="shared" si="109"/>
        <v/>
      </c>
      <c r="QM20" s="153"/>
      <c r="QN20" s="90"/>
      <c r="QO20" s="90"/>
      <c r="QP20" s="90"/>
      <c r="QQ20" s="90"/>
      <c r="QR20" s="91"/>
      <c r="QS20" s="159" t="str">
        <f>IF(COUNT(QS21)=0,"",SUM(QS21)/COUNT(QS21))</f>
        <v/>
      </c>
      <c r="QT20" s="183" t="str">
        <f t="shared" si="110"/>
        <v/>
      </c>
      <c r="QU20" s="184">
        <f>IF(COUNT(QU21)=0,"",SUM(QU21)/COUNT(QU21))</f>
        <v>3.5</v>
      </c>
      <c r="QV20" s="185" t="str">
        <f t="shared" si="111"/>
        <v>B</v>
      </c>
      <c r="QW20" s="196"/>
      <c r="QX20" s="65"/>
      <c r="QY20" s="85"/>
      <c r="QZ20" s="159">
        <f>IF(COUNT(QZ21)=0,"",SUM(QZ21)/COUNT(QZ21))</f>
        <v>3.5</v>
      </c>
      <c r="RA20" s="160" t="str">
        <f t="shared" si="112"/>
        <v>B</v>
      </c>
      <c r="RB20" s="152"/>
      <c r="RC20" s="65"/>
      <c r="RD20" s="65"/>
      <c r="RE20" s="85"/>
      <c r="RF20" s="159" t="str">
        <f>IF(COUNT(RF21)=0,"",SUM(RF21)/COUNT(RF21))</f>
        <v/>
      </c>
      <c r="RG20" s="175" t="str">
        <f t="shared" si="113"/>
        <v/>
      </c>
      <c r="RH20" s="153"/>
      <c r="RI20" s="90"/>
      <c r="RJ20" s="90"/>
      <c r="RK20" s="90"/>
      <c r="RL20" s="90"/>
      <c r="RM20" s="91"/>
      <c r="RN20" s="159" t="str">
        <f>IF(COUNT(RN21)=0,"",SUM(RN21)/COUNT(RN21))</f>
        <v/>
      </c>
      <c r="RO20" s="183" t="str">
        <f t="shared" si="114"/>
        <v/>
      </c>
      <c r="RP20" s="184">
        <f>IF(COUNT(RP21)=0,"",SUM(RP21)/COUNT(RP21))</f>
        <v>3.5</v>
      </c>
      <c r="RQ20" s="185" t="str">
        <f t="shared" si="115"/>
        <v>B</v>
      </c>
      <c r="RR20" s="196"/>
      <c r="RS20" s="65"/>
      <c r="RT20" s="85"/>
      <c r="RU20" s="159">
        <f>IF(COUNT(RU21)=0,"",SUM(RU21)/COUNT(RU21))</f>
        <v>3.5</v>
      </c>
      <c r="RV20" s="160" t="str">
        <f t="shared" si="116"/>
        <v>B</v>
      </c>
      <c r="RW20" s="152"/>
      <c r="RX20" s="65"/>
      <c r="RY20" s="65"/>
      <c r="RZ20" s="85"/>
      <c r="SA20" s="159" t="str">
        <f>IF(COUNT(SA21)=0,"",SUM(SA21)/COUNT(SA21))</f>
        <v/>
      </c>
      <c r="SB20" s="175" t="str">
        <f t="shared" si="117"/>
        <v/>
      </c>
      <c r="SC20" s="153"/>
      <c r="SD20" s="90"/>
      <c r="SE20" s="90"/>
      <c r="SF20" s="90"/>
      <c r="SG20" s="90"/>
      <c r="SH20" s="91"/>
      <c r="SI20" s="159" t="str">
        <f>IF(COUNT(SI21)=0,"",SUM(SI21)/COUNT(SI21))</f>
        <v/>
      </c>
      <c r="SJ20" s="183" t="str">
        <f t="shared" si="118"/>
        <v/>
      </c>
      <c r="SK20" s="184">
        <f>IF(COUNT(SK21)=0,"",SUM(SK21)/COUNT(SK21))</f>
        <v>3.5</v>
      </c>
      <c r="SL20" s="185" t="str">
        <f t="shared" si="119"/>
        <v>B</v>
      </c>
      <c r="SM20" s="196"/>
      <c r="SN20" s="65"/>
      <c r="SO20" s="85"/>
      <c r="SP20" s="159">
        <f>IF(COUNT(SP21)=0,"",SUM(SP21)/COUNT(SP21))</f>
        <v>2.5</v>
      </c>
      <c r="SQ20" s="160" t="str">
        <f t="shared" si="120"/>
        <v>C</v>
      </c>
      <c r="SR20" s="152"/>
      <c r="SS20" s="65"/>
      <c r="ST20" s="65"/>
      <c r="SU20" s="85"/>
      <c r="SV20" s="159" t="str">
        <f>IF(COUNT(SV21)=0,"",SUM(SV21)/COUNT(SV21))</f>
        <v/>
      </c>
      <c r="SW20" s="175" t="str">
        <f t="shared" si="121"/>
        <v/>
      </c>
      <c r="SX20" s="153"/>
      <c r="SY20" s="90"/>
      <c r="SZ20" s="90"/>
      <c r="TA20" s="90"/>
      <c r="TB20" s="90"/>
      <c r="TC20" s="91"/>
      <c r="TD20" s="159" t="str">
        <f>IF(COUNT(TD21)=0,"",SUM(TD21)/COUNT(TD21))</f>
        <v/>
      </c>
      <c r="TE20" s="183" t="str">
        <f t="shared" si="122"/>
        <v/>
      </c>
      <c r="TF20" s="184">
        <f>IF(COUNT(TF21)=0,"",SUM(TF21)/COUNT(TF21))</f>
        <v>2.5</v>
      </c>
      <c r="TG20" s="185" t="str">
        <f t="shared" si="123"/>
        <v>C</v>
      </c>
      <c r="TH20" s="121"/>
      <c r="TI20" s="65"/>
      <c r="TJ20" s="85"/>
      <c r="TK20" s="86" t="str">
        <f>IF(COUNT(TK21)=0,"",SUM(TK21)/COUNT(TK21))</f>
        <v/>
      </c>
      <c r="TL20" s="87" t="str">
        <f t="shared" si="124"/>
        <v/>
      </c>
      <c r="TM20" s="84"/>
      <c r="TN20" s="65"/>
      <c r="TO20" s="85"/>
      <c r="TP20" s="86" t="str">
        <f>IF(COUNT(TP21)=0,"",SUM(TP21)/COUNT(TP21))</f>
        <v/>
      </c>
      <c r="TQ20" s="88" t="str">
        <f t="shared" si="125"/>
        <v/>
      </c>
      <c r="TR20" s="89"/>
      <c r="TS20" s="90"/>
      <c r="TT20" s="91"/>
      <c r="TU20" s="86" t="str">
        <f>IF(COUNT(TU21)=0,"",SUM(TU21)/COUNT(TU21))</f>
        <v/>
      </c>
      <c r="TV20" s="92" t="str">
        <f t="shared" si="126"/>
        <v/>
      </c>
      <c r="TW20" s="93" t="str">
        <f>IF(COUNT(TW21)=0,"",SUM(TW21)/COUNT(TW21))</f>
        <v/>
      </c>
      <c r="TX20" s="94" t="str">
        <f t="shared" si="127"/>
        <v/>
      </c>
      <c r="TY20" s="121"/>
      <c r="TZ20" s="65"/>
      <c r="UA20" s="85"/>
      <c r="UB20" s="86" t="str">
        <f>IF(COUNT(UB21)=0,"",SUM(UB21)/COUNT(UB21))</f>
        <v/>
      </c>
      <c r="UC20" s="87" t="str">
        <f t="shared" si="128"/>
        <v/>
      </c>
      <c r="UD20" s="84"/>
      <c r="UE20" s="65"/>
      <c r="UF20" s="85"/>
      <c r="UG20" s="86" t="str">
        <f>IF(COUNT(UG21)=0,"",SUM(UG21)/COUNT(UG21))</f>
        <v/>
      </c>
      <c r="UH20" s="88" t="str">
        <f t="shared" si="129"/>
        <v/>
      </c>
      <c r="UI20" s="89"/>
      <c r="UJ20" s="90"/>
      <c r="UK20" s="91"/>
      <c r="UL20" s="86" t="str">
        <f>IF(COUNT(UL21)=0,"",SUM(UL21)/COUNT(UL21))</f>
        <v/>
      </c>
      <c r="UM20" s="92" t="str">
        <f t="shared" si="130"/>
        <v/>
      </c>
      <c r="UN20" s="93" t="str">
        <f>IF(COUNT(UN21)=0,"",SUM(UN21)/COUNT(UN21))</f>
        <v/>
      </c>
      <c r="UO20" s="94" t="str">
        <f t="shared" si="131"/>
        <v/>
      </c>
      <c r="UP20" s="121"/>
      <c r="UQ20" s="65"/>
      <c r="UR20" s="85"/>
      <c r="US20" s="86" t="str">
        <f>IF(COUNT(US21)=0,"",SUM(US21)/COUNT(US21))</f>
        <v/>
      </c>
      <c r="UT20" s="87" t="str">
        <f t="shared" si="132"/>
        <v/>
      </c>
      <c r="UU20" s="84"/>
      <c r="UV20" s="65"/>
      <c r="UW20" s="85"/>
      <c r="UX20" s="86" t="str">
        <f>IF(COUNT(UX21)=0,"",SUM(UX21)/COUNT(UX21))</f>
        <v/>
      </c>
      <c r="UY20" s="88" t="str">
        <f t="shared" si="133"/>
        <v/>
      </c>
      <c r="UZ20" s="89"/>
      <c r="VA20" s="90"/>
      <c r="VB20" s="91"/>
      <c r="VC20" s="86" t="str">
        <f>IF(COUNT(VC21)=0,"",SUM(VC21)/COUNT(VC21))</f>
        <v/>
      </c>
      <c r="VD20" s="92" t="str">
        <f t="shared" si="134"/>
        <v/>
      </c>
      <c r="VE20" s="93" t="str">
        <f>IF(COUNT(VE21)=0,"",SUM(VE21)/COUNT(VE21))</f>
        <v/>
      </c>
      <c r="VF20" s="94" t="str">
        <f t="shared" si="135"/>
        <v/>
      </c>
      <c r="VG20" s="121"/>
      <c r="VH20" s="65"/>
      <c r="VI20" s="85"/>
      <c r="VJ20" s="86" t="str">
        <f>IF(COUNT(VJ21)=0,"",SUM(VJ21)/COUNT(VJ21))</f>
        <v/>
      </c>
      <c r="VK20" s="87" t="str">
        <f t="shared" si="136"/>
        <v/>
      </c>
      <c r="VL20" s="84"/>
      <c r="VM20" s="65"/>
      <c r="VN20" s="85"/>
      <c r="VO20" s="86" t="str">
        <f>IF(COUNT(VO21)=0,"",SUM(VO21)/COUNT(VO21))</f>
        <v/>
      </c>
      <c r="VP20" s="88" t="str">
        <f t="shared" si="137"/>
        <v/>
      </c>
      <c r="VQ20" s="89"/>
      <c r="VR20" s="90"/>
      <c r="VS20" s="91"/>
      <c r="VT20" s="86" t="str">
        <f>IF(COUNT(VT21)=0,"",SUM(VT21)/COUNT(VT21))</f>
        <v/>
      </c>
      <c r="VU20" s="92" t="str">
        <f t="shared" si="138"/>
        <v/>
      </c>
      <c r="VV20" s="93" t="str">
        <f>IF(COUNT(VV21)=0,"",SUM(VV21)/COUNT(VV21))</f>
        <v/>
      </c>
      <c r="VW20" s="94" t="str">
        <f t="shared" si="139"/>
        <v/>
      </c>
      <c r="VX20" s="121"/>
      <c r="VY20" s="65"/>
      <c r="VZ20" s="85"/>
      <c r="WA20" s="86" t="str">
        <f>IF(COUNT(WA21)=0,"",SUM(WA21)/COUNT(WA21))</f>
        <v/>
      </c>
      <c r="WB20" s="87" t="str">
        <f t="shared" si="140"/>
        <v/>
      </c>
      <c r="WC20" s="84"/>
      <c r="WD20" s="65"/>
      <c r="WE20" s="85"/>
      <c r="WF20" s="86" t="str">
        <f>IF(COUNT(WF21)=0,"",SUM(WF21)/COUNT(WF21))</f>
        <v/>
      </c>
      <c r="WG20" s="88" t="str">
        <f t="shared" si="141"/>
        <v/>
      </c>
      <c r="WH20" s="89"/>
      <c r="WI20" s="90"/>
      <c r="WJ20" s="91"/>
      <c r="WK20" s="86" t="str">
        <f>IF(COUNT(WK21)=0,"",SUM(WK21)/COUNT(WK21))</f>
        <v/>
      </c>
      <c r="WL20" s="92" t="str">
        <f t="shared" si="142"/>
        <v/>
      </c>
      <c r="WM20" s="93" t="str">
        <f>IF(COUNT(WM21)=0,"",SUM(WM21)/COUNT(WM21))</f>
        <v/>
      </c>
      <c r="WN20" s="94" t="str">
        <f t="shared" si="143"/>
        <v/>
      </c>
    </row>
    <row r="21" spans="1:612" ht="18" customHeight="1" thickBot="1" x14ac:dyDescent="0.6">
      <c r="A21" s="225" t="s">
        <v>25</v>
      </c>
      <c r="B21" s="226"/>
      <c r="C21" s="124" t="s">
        <v>28</v>
      </c>
      <c r="D21" s="125" t="s">
        <v>28</v>
      </c>
      <c r="E21" s="126"/>
      <c r="F21" s="167">
        <f>IFERROR((((COUNTIF('Elève (3ème1)'!C21:E21,"A"))*4)+((COUNTIF('Elève (3ème1)'!C21:E21,"B"))*3)+((COUNTIF('Elève (3ème1)'!C21:E21,"C"))*2)+((COUNTIF('Elève (3ème1)'!C21:E21,"D"))*1))/(COUNTA(C21:E21)),"")</f>
        <v>3</v>
      </c>
      <c r="G21" s="168" t="str">
        <f t="shared" si="24"/>
        <v>B</v>
      </c>
      <c r="H21" s="124"/>
      <c r="I21" s="125"/>
      <c r="J21" s="126"/>
      <c r="K21" s="126"/>
      <c r="L21" s="167" t="str">
        <f>IFERROR((((COUNTIF('Elève (3ème1)'!H21:K21,"A"))*4)+((COUNTIF('Elève (3ème1)'!H21:K21,"B"))*3)+((COUNTIF('Elève (3ème1)'!H21:K21,"C"))*2)+((COUNTIF('Elève (3ème1)'!H21:K21,"D"))*1))/(COUNTA(H21:K21)),"")</f>
        <v/>
      </c>
      <c r="M21" s="168" t="str">
        <f t="shared" si="25"/>
        <v/>
      </c>
      <c r="N21" s="124"/>
      <c r="O21" s="125"/>
      <c r="P21" s="126"/>
      <c r="Q21" s="126"/>
      <c r="R21" s="126"/>
      <c r="S21" s="126"/>
      <c r="T21" s="167" t="str">
        <f>IFERROR((((COUNTIF('Elève (3ème1)'!N21:S21,"A"))*4)+((COUNTIF('Elève (3ème1)'!N21:S21,"B"))*3)+((COUNTIF('Elève (3ème1)'!N21:S21,"C"))*2)+((COUNTIF('Elève (3ème1)'!N21:S21,"D"))*1))/(COUNTA(N21:S21)),"")</f>
        <v/>
      </c>
      <c r="U21" s="168" t="str">
        <f t="shared" si="26"/>
        <v/>
      </c>
      <c r="V21" s="167">
        <f>IF(COUNT(F21,L21,T21)=0,"",SUM(F21,L21,T21)/COUNT(F21,L21,T21))</f>
        <v>3</v>
      </c>
      <c r="W21" s="192" t="str">
        <f t="shared" si="27"/>
        <v>B</v>
      </c>
      <c r="X21" s="124" t="s">
        <v>30</v>
      </c>
      <c r="Y21" s="125" t="s">
        <v>29</v>
      </c>
      <c r="Z21" s="126"/>
      <c r="AA21" s="167">
        <f>IFERROR((((COUNTIF('Elève (3ème1)'!X21:Z21,"A"))*4)+((COUNTIF('Elève (3ème1)'!X21:Z21,"B"))*3)+((COUNTIF('Elève (3ème1)'!X21:Z21,"C"))*2)+((COUNTIF('Elève (3ème1)'!X21:Z21,"D"))*1))/(COUNTA(X21:Z21)),"")</f>
        <v>1.5</v>
      </c>
      <c r="AB21" s="168" t="str">
        <f t="shared" si="28"/>
        <v>D</v>
      </c>
      <c r="AC21" s="124"/>
      <c r="AD21" s="125"/>
      <c r="AE21" s="126"/>
      <c r="AF21" s="126"/>
      <c r="AG21" s="167" t="str">
        <f>IFERROR((((COUNTIF('Elève (3ème1)'!AC21:AF21,"A"))*4)+((COUNTIF('Elève (3ème1)'!AC21:AF21,"B"))*3)+((COUNTIF('Elève (3ème1)'!AC21:AF21,"C"))*2)+((COUNTIF('Elève (3ème1)'!AC21:AF21,"D"))*1))/(COUNTA(AC21:AF21)),"")</f>
        <v/>
      </c>
      <c r="AH21" s="168" t="str">
        <f t="shared" si="29"/>
        <v/>
      </c>
      <c r="AI21" s="124"/>
      <c r="AJ21" s="125"/>
      <c r="AK21" s="126"/>
      <c r="AL21" s="126"/>
      <c r="AM21" s="126"/>
      <c r="AN21" s="130"/>
      <c r="AO21" s="167" t="str">
        <f>IFERROR((((COUNTIF('Elève (3ème1)'!AI21:AN21,"A"))*4)+((COUNTIF('Elève (3ème1)'!AI21:AN21,"B"))*3)+((COUNTIF('Elève (3ème1)'!AI21:AN21,"C"))*2)+((COUNTIF('Elève (3ème1)'!AI21:AN21,"D"))*1))/(COUNTA(AI21:AN21)),"")</f>
        <v/>
      </c>
      <c r="AP21" s="168" t="str">
        <f t="shared" si="30"/>
        <v/>
      </c>
      <c r="AQ21" s="167">
        <f>IF(COUNT(AA21,AG21,AO21)=0,"",SUM(AA21,AG21,AO21)/COUNT(AA21,AG21,AO21))</f>
        <v>1.5</v>
      </c>
      <c r="AR21" s="192" t="str">
        <f t="shared" si="31"/>
        <v>D</v>
      </c>
      <c r="AS21" s="124" t="s">
        <v>28</v>
      </c>
      <c r="AT21" s="125" t="s">
        <v>29</v>
      </c>
      <c r="AU21" s="126"/>
      <c r="AV21" s="167">
        <f>IFERROR((((COUNTIF('Elève (3ème1)'!AS21:AU21,"A"))*4)+((COUNTIF('Elève (3ème1)'!AS21:AU21,"B"))*3)+((COUNTIF('Elève (3ème1)'!AS21:AU21,"C"))*2)+((COUNTIF('Elève (3ème1)'!AS21:AU21,"D"))*1))/(COUNTA(AS21:AU21)),"")</f>
        <v>2.5</v>
      </c>
      <c r="AW21" s="168" t="str">
        <f t="shared" si="32"/>
        <v>C</v>
      </c>
      <c r="AX21" s="124"/>
      <c r="AY21" s="125"/>
      <c r="AZ21" s="126"/>
      <c r="BA21" s="126"/>
      <c r="BB21" s="167" t="str">
        <f>IFERROR((((COUNTIF('Elève (3ème1)'!AX21:BA21,"A"))*4)+((COUNTIF('Elève (3ème1)'!AX21:BA21,"B"))*3)+((COUNTIF('Elève (3ème1)'!AX21:BA21,"C"))*2)+((COUNTIF('Elève (3ème1)'!AX21:BA21,"D"))*1))/(COUNTA(AX21:BA21)),"")</f>
        <v/>
      </c>
      <c r="BC21" s="168" t="str">
        <f t="shared" si="33"/>
        <v/>
      </c>
      <c r="BD21" s="124"/>
      <c r="BE21" s="125"/>
      <c r="BF21" s="126"/>
      <c r="BG21" s="126"/>
      <c r="BH21" s="126"/>
      <c r="BI21" s="130"/>
      <c r="BJ21" s="167" t="str">
        <f>IFERROR((((COUNTIF('Elève (3ème1)'!BD21:BI21,"A"))*4)+((COUNTIF('Elève (3ème1)'!BD21:BI21,"B"))*3)+((COUNTIF('Elève (3ème1)'!BD21:BI21,"C"))*2)+((COUNTIF('Elève (3ème1)'!BD21:BI21,"D"))*1))/(COUNTA(BD21:BI21)),"")</f>
        <v/>
      </c>
      <c r="BK21" s="168" t="str">
        <f t="shared" si="34"/>
        <v/>
      </c>
      <c r="BL21" s="167">
        <f>IF(COUNT(AV21,BB21,BJ21)=0,"",SUM(AV21,BB21,BJ21)/COUNT(AV21,BB21,BJ21))</f>
        <v>2.5</v>
      </c>
      <c r="BM21" s="192" t="str">
        <f t="shared" si="35"/>
        <v>C</v>
      </c>
      <c r="BN21" s="124" t="s">
        <v>30</v>
      </c>
      <c r="BO21" s="125" t="s">
        <v>28</v>
      </c>
      <c r="BP21" s="126"/>
      <c r="BQ21" s="167">
        <f>IFERROR((((COUNTIF('Elève (3ème1)'!BN21:BP21,"A"))*4)+((COUNTIF('Elève (3ème1)'!BN21:BP21,"B"))*3)+((COUNTIF('Elève (3ème1)'!BN21:BP21,"C"))*2)+((COUNTIF('Elève (3ème1)'!BN21:BP21,"D"))*1))/(COUNTA(BN21:BP21)),"")</f>
        <v>2</v>
      </c>
      <c r="BR21" s="168" t="str">
        <f t="shared" si="36"/>
        <v>C</v>
      </c>
      <c r="BS21" s="124"/>
      <c r="BT21" s="125"/>
      <c r="BU21" s="126"/>
      <c r="BV21" s="126"/>
      <c r="BW21" s="167" t="str">
        <f>IFERROR((((COUNTIF('Elève (3ème1)'!BS21:BV21,"A"))*4)+((COUNTIF('Elève (3ème1)'!BS21:BV21,"B"))*3)+((COUNTIF('Elève (3ème1)'!BS21:BV21,"C"))*2)+((COUNTIF('Elève (3ème1)'!BS21:BV21,"D"))*1))/(COUNTA(BS21:BV21)),"")</f>
        <v/>
      </c>
      <c r="BX21" s="168" t="str">
        <f t="shared" si="37"/>
        <v/>
      </c>
      <c r="BY21" s="124"/>
      <c r="BZ21" s="125"/>
      <c r="CA21" s="126"/>
      <c r="CB21" s="126"/>
      <c r="CC21" s="126"/>
      <c r="CD21" s="130"/>
      <c r="CE21" s="167" t="str">
        <f>IFERROR((((COUNTIF('Elève (3ème1)'!BY21:CD21,"A"))*4)+((COUNTIF('Elève (3ème1)'!BY21:CD21,"B"))*3)+((COUNTIF('Elève (3ème1)'!BY21:CD21,"C"))*2)+((COUNTIF('Elève (3ème1)'!BY21:CD21,"D"))*1))/(COUNTA(BY21:CD21)),"")</f>
        <v/>
      </c>
      <c r="CF21" s="168" t="str">
        <f t="shared" si="38"/>
        <v/>
      </c>
      <c r="CG21" s="167">
        <f>IF(COUNT(BQ21,BW21,CE21)=0,"",SUM(BQ21,BW21,CE21)/COUNT(BQ21,BW21,CE21))</f>
        <v>2</v>
      </c>
      <c r="CH21" s="192" t="str">
        <f t="shared" si="39"/>
        <v>C</v>
      </c>
      <c r="CI21" s="124" t="s">
        <v>27</v>
      </c>
      <c r="CJ21" s="125" t="s">
        <v>28</v>
      </c>
      <c r="CK21" s="126"/>
      <c r="CL21" s="167">
        <f>IFERROR((((COUNTIF('Elève (3ème1)'!CI21:CK21,"A"))*4)+((COUNTIF('Elève (3ème1)'!CI21:CK21,"B"))*3)+((COUNTIF('Elève (3ème1)'!CI21:CK21,"C"))*2)+((COUNTIF('Elève (3ème1)'!CI21:CK21,"D"))*1))/(COUNTA(CI21:CK21)),"")</f>
        <v>3.5</v>
      </c>
      <c r="CM21" s="168" t="str">
        <f t="shared" si="40"/>
        <v>B</v>
      </c>
      <c r="CN21" s="124"/>
      <c r="CO21" s="125"/>
      <c r="CP21" s="126"/>
      <c r="CQ21" s="126"/>
      <c r="CR21" s="167" t="str">
        <f>IFERROR((((COUNTIF('Elève (3ème1)'!CN21:CQ21,"A"))*4)+((COUNTIF('Elève (3ème1)'!CN21:CQ21,"B"))*3)+((COUNTIF('Elève (3ème1)'!CN21:CQ21,"C"))*2)+((COUNTIF('Elève (3ème1)'!CN21:CQ21,"D"))*1))/(COUNTA(CN21:CQ21)),"")</f>
        <v/>
      </c>
      <c r="CS21" s="168" t="str">
        <f t="shared" si="41"/>
        <v/>
      </c>
      <c r="CT21" s="124"/>
      <c r="CU21" s="125"/>
      <c r="CV21" s="126"/>
      <c r="CW21" s="126"/>
      <c r="CX21" s="126"/>
      <c r="CY21" s="130"/>
      <c r="CZ21" s="167" t="str">
        <f>IFERROR((((COUNTIF('Elève (3ème1)'!CT21:CY21,"A"))*4)+((COUNTIF('Elève (3ème1)'!CT21:CY21,"B"))*3)+((COUNTIF('Elève (3ème1)'!CT21:CY21,"C"))*2)+((COUNTIF('Elève (3ème1)'!CT21:CY21,"D"))*1))/(COUNTA(CT21:CY21)),"")</f>
        <v/>
      </c>
      <c r="DA21" s="168" t="str">
        <f t="shared" si="42"/>
        <v/>
      </c>
      <c r="DB21" s="167">
        <f>IF(COUNT(CL21,CR21,CZ21)=0,"",SUM(CL21,CR21,CZ21)/COUNT(CL21,CR21,CZ21))</f>
        <v>3.5</v>
      </c>
      <c r="DC21" s="192" t="str">
        <f t="shared" si="43"/>
        <v>B</v>
      </c>
      <c r="DD21" s="124" t="s">
        <v>28</v>
      </c>
      <c r="DE21" s="125" t="s">
        <v>28</v>
      </c>
      <c r="DF21" s="126"/>
      <c r="DG21" s="167">
        <f>IFERROR((((COUNTIF('Elève (3ème1)'!DD21:DF21,"A"))*4)+((COUNTIF('Elève (3ème1)'!DD21:DF21,"B"))*3)+((COUNTIF('Elève (3ème1)'!DD21:DF21,"C"))*2)+((COUNTIF('Elève (3ème1)'!DD21:DF21,"D"))*1))/(COUNTA(DD21:DF21)),"")</f>
        <v>3</v>
      </c>
      <c r="DH21" s="168" t="str">
        <f t="shared" si="44"/>
        <v>B</v>
      </c>
      <c r="DI21" s="124"/>
      <c r="DJ21" s="125"/>
      <c r="DK21" s="126"/>
      <c r="DL21" s="126"/>
      <c r="DM21" s="167" t="str">
        <f>IFERROR((((COUNTIF('Elève (3ème1)'!DI21:DL21,"A"))*4)+((COUNTIF('Elève (3ème1)'!DI21:DL21,"B"))*3)+((COUNTIF('Elève (3ème1)'!DI21:DL21,"C"))*2)+((COUNTIF('Elève (3ème1)'!DI21:DL21,"D"))*1))/(COUNTA(DI21:DL21)),"")</f>
        <v/>
      </c>
      <c r="DN21" s="168" t="str">
        <f t="shared" si="45"/>
        <v/>
      </c>
      <c r="DO21" s="124"/>
      <c r="DP21" s="125"/>
      <c r="DQ21" s="126"/>
      <c r="DR21" s="126"/>
      <c r="DS21" s="126"/>
      <c r="DT21" s="130"/>
      <c r="DU21" s="167" t="str">
        <f>IFERROR((((COUNTIF('Elève (3ème1)'!DO21:DT21,"A"))*4)+((COUNTIF('Elève (3ème1)'!DO21:DT21,"B"))*3)+((COUNTIF('Elève (3ème1)'!DO21:DT21,"C"))*2)+((COUNTIF('Elève (3ème1)'!DO21:DT21,"D"))*1))/(COUNTA(DO21:DT21)),"")</f>
        <v/>
      </c>
      <c r="DV21" s="168" t="str">
        <f t="shared" si="46"/>
        <v/>
      </c>
      <c r="DW21" s="167">
        <f>IF(COUNT(DG21,DM21,DU21)=0,"",SUM(DG21,DM21,DU21)/COUNT(DG21,DM21,DU21))</f>
        <v>3</v>
      </c>
      <c r="DX21" s="192" t="str">
        <f t="shared" si="47"/>
        <v>B</v>
      </c>
      <c r="DY21" s="124" t="s">
        <v>29</v>
      </c>
      <c r="DZ21" s="125" t="s">
        <v>29</v>
      </c>
      <c r="EA21" s="126"/>
      <c r="EB21" s="167">
        <f>IFERROR((((COUNTIF('Elève (3ème1)'!DY21:EA21,"A"))*4)+((COUNTIF('Elève (3ème1)'!DY21:EA21,"B"))*3)+((COUNTIF('Elève (3ème1)'!DY21:EA21,"C"))*2)+((COUNTIF('Elève (3ème1)'!DY21:EA21,"D"))*1))/(COUNTA(DY21:EA21)),"")</f>
        <v>2</v>
      </c>
      <c r="EC21" s="168" t="str">
        <f t="shared" si="48"/>
        <v>C</v>
      </c>
      <c r="ED21" s="124"/>
      <c r="EE21" s="125"/>
      <c r="EF21" s="126"/>
      <c r="EG21" s="126"/>
      <c r="EH21" s="167" t="str">
        <f>IFERROR((((COUNTIF('Elève (3ème1)'!ED21:EG21,"A"))*4)+((COUNTIF('Elève (3ème1)'!ED21:EG21,"B"))*3)+((COUNTIF('Elève (3ème1)'!ED21:EG21,"C"))*2)+((COUNTIF('Elève (3ème1)'!ED21:EG21,"D"))*1))/(COUNTA(ED21:EG21)),"")</f>
        <v/>
      </c>
      <c r="EI21" s="168" t="str">
        <f t="shared" si="49"/>
        <v/>
      </c>
      <c r="EJ21" s="124"/>
      <c r="EK21" s="125"/>
      <c r="EL21" s="126"/>
      <c r="EM21" s="126"/>
      <c r="EN21" s="126"/>
      <c r="EO21" s="130"/>
      <c r="EP21" s="167" t="str">
        <f>IFERROR((((COUNTIF('Elève (3ème1)'!EJ21:EO21,"A"))*4)+((COUNTIF('Elève (3ème1)'!EJ21:EO21,"B"))*3)+((COUNTIF('Elève (3ème1)'!EJ21:EO21,"C"))*2)+((COUNTIF('Elève (3ème1)'!EJ21:EO21,"D"))*1))/(COUNTA(EJ21:EO21)),"")</f>
        <v/>
      </c>
      <c r="EQ21" s="168" t="str">
        <f t="shared" si="50"/>
        <v/>
      </c>
      <c r="ER21" s="167">
        <f>IF(COUNT(EB21,EH21,EP21)=0,"",SUM(EB21,EH21,EP21)/COUNT(EB21,EH21,EP21))</f>
        <v>2</v>
      </c>
      <c r="ES21" s="192" t="str">
        <f t="shared" si="51"/>
        <v>C</v>
      </c>
      <c r="ET21" s="124" t="s">
        <v>27</v>
      </c>
      <c r="EU21" s="125" t="s">
        <v>28</v>
      </c>
      <c r="EV21" s="126"/>
      <c r="EW21" s="167">
        <f>IFERROR((((COUNTIF('Elève (3ème1)'!ET21:EV21,"A"))*4)+((COUNTIF('Elève (3ème1)'!ET21:EV21,"B"))*3)+((COUNTIF('Elève (3ème1)'!ET21:EV21,"C"))*2)+((COUNTIF('Elève (3ème1)'!ET21:EV21,"D"))*1))/(COUNTA(ET21:EV21)),"")</f>
        <v>3.5</v>
      </c>
      <c r="EX21" s="168" t="str">
        <f t="shared" si="52"/>
        <v>B</v>
      </c>
      <c r="EY21" s="124"/>
      <c r="EZ21" s="125"/>
      <c r="FA21" s="126"/>
      <c r="FB21" s="126"/>
      <c r="FC21" s="167" t="str">
        <f>IFERROR((((COUNTIF('Elève (3ème1)'!EY21:FB21,"A"))*4)+((COUNTIF('Elève (3ème1)'!EY21:FB21,"B"))*3)+((COUNTIF('Elève (3ème1)'!EY21:FB21,"C"))*2)+((COUNTIF('Elève (3ème1)'!EY21:FB21,"D"))*1))/(COUNTA(EY21:FB21)),"")</f>
        <v/>
      </c>
      <c r="FD21" s="168" t="str">
        <f t="shared" si="53"/>
        <v/>
      </c>
      <c r="FE21" s="124"/>
      <c r="FF21" s="125"/>
      <c r="FG21" s="126"/>
      <c r="FH21" s="126"/>
      <c r="FI21" s="126"/>
      <c r="FJ21" s="130"/>
      <c r="FK21" s="167" t="str">
        <f>IFERROR((((COUNTIF('Elève (3ème1)'!FE21:FJ21,"A"))*4)+((COUNTIF('Elève (3ème1)'!FE21:FJ21,"B"))*3)+((COUNTIF('Elève (3ème1)'!FE21:FJ21,"C"))*2)+((COUNTIF('Elève (3ème1)'!FE21:FJ21,"D"))*1))/(COUNTA(FE21:FJ21)),"")</f>
        <v/>
      </c>
      <c r="FL21" s="168" t="str">
        <f t="shared" si="54"/>
        <v/>
      </c>
      <c r="FM21" s="167">
        <f>IF(COUNT(EW21,FC21,FK21)=0,"",SUM(EW21,FC21,FK21)/COUNT(EW21,FC21,FK21))</f>
        <v>3.5</v>
      </c>
      <c r="FN21" s="192" t="str">
        <f t="shared" si="55"/>
        <v>B</v>
      </c>
      <c r="FO21" s="124" t="s">
        <v>29</v>
      </c>
      <c r="FP21" s="125" t="s">
        <v>28</v>
      </c>
      <c r="FQ21" s="126"/>
      <c r="FR21" s="167">
        <f>IFERROR((((COUNTIF('Elève (3ème1)'!FO21:FQ21,"A"))*4)+((COUNTIF('Elève (3ème1)'!FO21:FQ21,"B"))*3)+((COUNTIF('Elève (3ème1)'!FO21:FQ21,"C"))*2)+((COUNTIF('Elève (3ème1)'!FO21:FQ21,"D"))*1))/(COUNTA(FO21:FQ21)),"")</f>
        <v>2.5</v>
      </c>
      <c r="FS21" s="168" t="str">
        <f t="shared" si="56"/>
        <v>C</v>
      </c>
      <c r="FT21" s="124"/>
      <c r="FU21" s="125"/>
      <c r="FV21" s="126"/>
      <c r="FW21" s="126"/>
      <c r="FX21" s="167" t="str">
        <f>IFERROR((((COUNTIF('Elève (3ème1)'!FT21:FW21,"A"))*4)+((COUNTIF('Elève (3ème1)'!FT21:FW21,"B"))*3)+((COUNTIF('Elève (3ème1)'!FT21:FW21,"C"))*2)+((COUNTIF('Elève (3ème1)'!FT21:FW21,"D"))*1))/(COUNTA(FT21:FW21)),"")</f>
        <v/>
      </c>
      <c r="FY21" s="168" t="str">
        <f t="shared" si="57"/>
        <v/>
      </c>
      <c r="FZ21" s="124"/>
      <c r="GA21" s="125"/>
      <c r="GB21" s="126"/>
      <c r="GC21" s="126"/>
      <c r="GD21" s="126"/>
      <c r="GE21" s="130"/>
      <c r="GF21" s="167" t="str">
        <f>IFERROR((((COUNTIF('Elève (3ème1)'!FZ21:GE21,"A"))*4)+((COUNTIF('Elève (3ème1)'!FZ21:GE21,"B"))*3)+((COUNTIF('Elève (3ème1)'!FZ21:GE21,"C"))*2)+((COUNTIF('Elève (3ème1)'!FZ21:GE21,"D"))*1))/(COUNTA(FZ21:GE21)),"")</f>
        <v/>
      </c>
      <c r="GG21" s="168" t="str">
        <f t="shared" si="58"/>
        <v/>
      </c>
      <c r="GH21" s="167">
        <f>IF(COUNT(FR21,FX21,GF21)=0,"",SUM(FR21,FX21,GF21)/COUNT(FR21,FX21,GF21))</f>
        <v>2.5</v>
      </c>
      <c r="GI21" s="192" t="str">
        <f t="shared" si="59"/>
        <v>C</v>
      </c>
      <c r="GJ21" s="124" t="s">
        <v>29</v>
      </c>
      <c r="GK21" s="125" t="s">
        <v>29</v>
      </c>
      <c r="GL21" s="126"/>
      <c r="GM21" s="167">
        <f>IFERROR((((COUNTIF('Elève (3ème1)'!GJ21:GL21,"A"))*4)+((COUNTIF('Elève (3ème1)'!GJ21:GL21,"B"))*3)+((COUNTIF('Elève (3ème1)'!GJ21:GL21,"C"))*2)+((COUNTIF('Elève (3ème1)'!GJ21:GL21,"D"))*1))/(COUNTA(GJ21:GL21)),"")</f>
        <v>2</v>
      </c>
      <c r="GN21" s="168" t="str">
        <f t="shared" si="60"/>
        <v>C</v>
      </c>
      <c r="GO21" s="124"/>
      <c r="GP21" s="125"/>
      <c r="GQ21" s="126"/>
      <c r="GR21" s="126"/>
      <c r="GS21" s="167" t="str">
        <f>IFERROR((((COUNTIF('Elève (3ème1)'!GO21:GR21,"A"))*4)+((COUNTIF('Elève (3ème1)'!GO21:GR21,"B"))*3)+((COUNTIF('Elève (3ème1)'!GO21:GR21,"C"))*2)+((COUNTIF('Elève (3ème1)'!GO21:GR21,"D"))*1))/(COUNTA(GO21:GR21)),"")</f>
        <v/>
      </c>
      <c r="GT21" s="168" t="str">
        <f t="shared" si="61"/>
        <v/>
      </c>
      <c r="GU21" s="124"/>
      <c r="GV21" s="125"/>
      <c r="GW21" s="126"/>
      <c r="GX21" s="126"/>
      <c r="GY21" s="126"/>
      <c r="GZ21" s="130"/>
      <c r="HA21" s="167" t="str">
        <f>IFERROR((((COUNTIF('Elève (3ème1)'!GU21:GZ21,"A"))*4)+((COUNTIF('Elève (3ème1)'!GU21:GZ21,"B"))*3)+((COUNTIF('Elève (3ème1)'!GU21:GZ21,"C"))*2)+((COUNTIF('Elève (3ème1)'!GU21:GZ21,"D"))*1))/(COUNTA(GU21:GZ21)),"")</f>
        <v/>
      </c>
      <c r="HB21" s="168" t="str">
        <f t="shared" si="62"/>
        <v/>
      </c>
      <c r="HC21" s="167">
        <f>IF(COUNT(GM21,GS21,HA21)=0,"",SUM(GM21,GS21,HA21)/COUNT(GM21,GS21,HA21))</f>
        <v>2</v>
      </c>
      <c r="HD21" s="192" t="str">
        <f t="shared" si="63"/>
        <v>C</v>
      </c>
      <c r="HE21" s="124" t="s">
        <v>27</v>
      </c>
      <c r="HF21" s="125" t="s">
        <v>28</v>
      </c>
      <c r="HG21" s="126"/>
      <c r="HH21" s="167">
        <f>IFERROR((((COUNTIF('Elève (3ème1)'!HE21:HG21,"A"))*4)+((COUNTIF('Elève (3ème1)'!HE21:HG21,"B"))*3)+((COUNTIF('Elève (3ème1)'!HE21:HG21,"C"))*2)+((COUNTIF('Elève (3ème1)'!HE21:HG21,"D"))*1))/(COUNTA(HE21:HG21)),"")</f>
        <v>3.5</v>
      </c>
      <c r="HI21" s="168" t="str">
        <f t="shared" si="64"/>
        <v>B</v>
      </c>
      <c r="HJ21" s="124"/>
      <c r="HK21" s="125"/>
      <c r="HL21" s="126"/>
      <c r="HM21" s="126"/>
      <c r="HN21" s="167" t="str">
        <f>IFERROR((((COUNTIF('Elève (3ème1)'!HJ21:HM21,"A"))*4)+((COUNTIF('Elève (3ème1)'!HJ21:HM21,"B"))*3)+((COUNTIF('Elève (3ème1)'!HJ21:HM21,"C"))*2)+((COUNTIF('Elève (3ème1)'!HJ21:HM21,"D"))*1))/(COUNTA(HJ21:HM21)),"")</f>
        <v/>
      </c>
      <c r="HO21" s="168" t="str">
        <f t="shared" si="65"/>
        <v/>
      </c>
      <c r="HP21" s="124"/>
      <c r="HQ21" s="125"/>
      <c r="HR21" s="126"/>
      <c r="HS21" s="126"/>
      <c r="HT21" s="126"/>
      <c r="HU21" s="130"/>
      <c r="HV21" s="167" t="str">
        <f>IFERROR((((COUNTIF('Elève (3ème1)'!HP21:HU21,"A"))*4)+((COUNTIF('Elève (3ème1)'!HP21:HU21,"B"))*3)+((COUNTIF('Elève (3ème1)'!HP21:HU21,"C"))*2)+((COUNTIF('Elève (3ème1)'!HP21:HU21,"D"))*1))/(COUNTA(HP21:HU21)),"")</f>
        <v/>
      </c>
      <c r="HW21" s="168" t="str">
        <f t="shared" si="66"/>
        <v/>
      </c>
      <c r="HX21" s="167">
        <f>IF(COUNT(HH21,HN21,HV21)=0,"",SUM(HH21,HN21,HV21)/COUNT(HH21,HN21,HV21))</f>
        <v>3.5</v>
      </c>
      <c r="HY21" s="192" t="str">
        <f t="shared" si="67"/>
        <v>B</v>
      </c>
      <c r="HZ21" s="124" t="s">
        <v>27</v>
      </c>
      <c r="IA21" s="125" t="s">
        <v>28</v>
      </c>
      <c r="IB21" s="126"/>
      <c r="IC21" s="167">
        <f>IFERROR((((COUNTIF('Elève (3ème1)'!HZ21:IB21,"A"))*4)+((COUNTIF('Elève (3ème1)'!HZ21:IB21,"B"))*3)+((COUNTIF('Elève (3ème1)'!HZ21:IB21,"C"))*2)+((COUNTIF('Elève (3ème1)'!HZ21:IB21,"D"))*1))/(COUNTA(HZ21:IB21)),"")</f>
        <v>3.5</v>
      </c>
      <c r="ID21" s="168" t="str">
        <f t="shared" si="68"/>
        <v>B</v>
      </c>
      <c r="IE21" s="124"/>
      <c r="IF21" s="125"/>
      <c r="IG21" s="126"/>
      <c r="IH21" s="126"/>
      <c r="II21" s="167" t="str">
        <f>IFERROR((((COUNTIF('Elève (3ème1)'!IE21:IH21,"A"))*4)+((COUNTIF('Elève (3ème1)'!IE21:IH21,"B"))*3)+((COUNTIF('Elève (3ème1)'!IE21:IH21,"C"))*2)+((COUNTIF('Elève (3ème1)'!IE21:IH21,"D"))*1))/(COUNTA(IE21:IH21)),"")</f>
        <v/>
      </c>
      <c r="IJ21" s="168" t="str">
        <f t="shared" si="69"/>
        <v/>
      </c>
      <c r="IK21" s="124"/>
      <c r="IL21" s="125"/>
      <c r="IM21" s="126"/>
      <c r="IN21" s="126"/>
      <c r="IO21" s="126"/>
      <c r="IP21" s="130"/>
      <c r="IQ21" s="167" t="str">
        <f>IFERROR((((COUNTIF('Elève (3ème1)'!IK21:IP21,"A"))*4)+((COUNTIF('Elève (3ème1)'!IK21:IP21,"B"))*3)+((COUNTIF('Elève (3ème1)'!IK21:IP21,"C"))*2)+((COUNTIF('Elève (3ème1)'!IK21:IP21,"D"))*1))/(COUNTA(IK21:IP21)),"")</f>
        <v/>
      </c>
      <c r="IR21" s="168" t="str">
        <f t="shared" si="70"/>
        <v/>
      </c>
      <c r="IS21" s="167">
        <f>IF(COUNT(IC21,II21,IQ21)=0,"",SUM(IC21,II21,IQ21)/COUNT(IC21,II21,IQ21))</f>
        <v>3.5</v>
      </c>
      <c r="IT21" s="192" t="str">
        <f t="shared" si="71"/>
        <v>B</v>
      </c>
      <c r="IU21" s="124" t="s">
        <v>27</v>
      </c>
      <c r="IV21" s="125" t="s">
        <v>28</v>
      </c>
      <c r="IW21" s="126"/>
      <c r="IX21" s="167">
        <f>IFERROR((((COUNTIF('Elève (3ème1)'!IU21:IW21,"A"))*4)+((COUNTIF('Elève (3ème1)'!IU21:IW21,"B"))*3)+((COUNTIF('Elève (3ème1)'!IU21:IW21,"C"))*2)+((COUNTIF('Elève (3ème1)'!IU21:IW21,"D"))*1))/(COUNTA(IU21:IW21)),"")</f>
        <v>3.5</v>
      </c>
      <c r="IY21" s="168" t="str">
        <f t="shared" si="72"/>
        <v>B</v>
      </c>
      <c r="IZ21" s="124"/>
      <c r="JA21" s="125"/>
      <c r="JB21" s="126"/>
      <c r="JC21" s="126"/>
      <c r="JD21" s="167" t="str">
        <f>IFERROR((((COUNTIF('Elève (3ème1)'!IZ21:JC21,"A"))*4)+((COUNTIF('Elève (3ème1)'!IZ21:JC21,"B"))*3)+((COUNTIF('Elève (3ème1)'!IZ21:JC21,"C"))*2)+((COUNTIF('Elève (3ème1)'!IZ21:JC21,"D"))*1))/(COUNTA(IZ21:JC21)),"")</f>
        <v/>
      </c>
      <c r="JE21" s="168" t="str">
        <f t="shared" si="73"/>
        <v/>
      </c>
      <c r="JF21" s="124"/>
      <c r="JG21" s="125"/>
      <c r="JH21" s="126"/>
      <c r="JI21" s="126"/>
      <c r="JJ21" s="126"/>
      <c r="JK21" s="130"/>
      <c r="JL21" s="167" t="str">
        <f>IFERROR((((COUNTIF('Elève (3ème1)'!JF21:JK21,"A"))*4)+((COUNTIF('Elève (3ème1)'!JF21:JK21,"B"))*3)+((COUNTIF('Elève (3ème1)'!JF21:JK21,"C"))*2)+((COUNTIF('Elève (3ème1)'!JF21:JK21,"D"))*1))/(COUNTA(JF21:JK21)),"")</f>
        <v/>
      </c>
      <c r="JM21" s="168" t="str">
        <f t="shared" si="74"/>
        <v/>
      </c>
      <c r="JN21" s="167">
        <f>IF(COUNT(IX21,JD21,JL21)=0,"",SUM(IX21,JD21,JL21)/COUNT(IX21,JD21,JL21))</f>
        <v>3.5</v>
      </c>
      <c r="JO21" s="192" t="str">
        <f t="shared" si="75"/>
        <v>B</v>
      </c>
      <c r="JP21" s="124" t="s">
        <v>28</v>
      </c>
      <c r="JQ21" s="125" t="s">
        <v>29</v>
      </c>
      <c r="JR21" s="126"/>
      <c r="JS21" s="167">
        <f>IFERROR((((COUNTIF('Elève (3ème1)'!JP21:JR21,"A"))*4)+((COUNTIF('Elève (3ème1)'!JP21:JR21,"B"))*3)+((COUNTIF('Elève (3ème1)'!JP21:JR21,"C"))*2)+((COUNTIF('Elève (3ème1)'!JP21:JR21,"D"))*1))/(COUNTA(JP21:JR21)),"")</f>
        <v>2.5</v>
      </c>
      <c r="JT21" s="168" t="str">
        <f t="shared" si="76"/>
        <v>C</v>
      </c>
      <c r="JU21" s="124"/>
      <c r="JV21" s="125"/>
      <c r="JW21" s="126"/>
      <c r="JX21" s="126"/>
      <c r="JY21" s="167" t="str">
        <f>IFERROR((((COUNTIF('Elève (3ème1)'!JU21:JX21,"A"))*4)+((COUNTIF('Elève (3ème1)'!JU21:JX21,"B"))*3)+((COUNTIF('Elève (3ème1)'!JU21:JX21,"C"))*2)+((COUNTIF('Elève (3ème1)'!JU21:JX21,"D"))*1))/(COUNTA(JU21:JX21)),"")</f>
        <v/>
      </c>
      <c r="JZ21" s="168" t="str">
        <f t="shared" si="77"/>
        <v/>
      </c>
      <c r="KA21" s="124"/>
      <c r="KB21" s="125"/>
      <c r="KC21" s="126"/>
      <c r="KD21" s="126"/>
      <c r="KE21" s="126"/>
      <c r="KF21" s="130"/>
      <c r="KG21" s="167" t="str">
        <f>IFERROR((((COUNTIF('Elève (3ème1)'!KA21:KF21,"A"))*4)+((COUNTIF('Elève (3ème1)'!KA21:KF21,"B"))*3)+((COUNTIF('Elève (3ème1)'!KA21:KF21,"C"))*2)+((COUNTIF('Elève (3ème1)'!KA21:KF21,"D"))*1))/(COUNTA(KA21:KF21)),"")</f>
        <v/>
      </c>
      <c r="KH21" s="168" t="str">
        <f t="shared" si="78"/>
        <v/>
      </c>
      <c r="KI21" s="167">
        <f>IF(COUNT(JS21,JY21,KG21)=0,"",SUM(JS21,JY21,KG21)/COUNT(JS21,JY21,KG21))</f>
        <v>2.5</v>
      </c>
      <c r="KJ21" s="192" t="str">
        <f t="shared" si="79"/>
        <v>C</v>
      </c>
      <c r="KK21" s="124" t="s">
        <v>30</v>
      </c>
      <c r="KL21" s="125" t="s">
        <v>29</v>
      </c>
      <c r="KM21" s="126"/>
      <c r="KN21" s="167">
        <f>IFERROR((((COUNTIF('Elève (3ème1)'!KK21:KM21,"A"))*4)+((COUNTIF('Elève (3ème1)'!KK21:KM21,"B"))*3)+((COUNTIF('Elève (3ème1)'!KK21:KM21,"C"))*2)+((COUNTIF('Elève (3ème1)'!KK21:KM21,"D"))*1))/(COUNTA(KK21:KM21)),"")</f>
        <v>1.5</v>
      </c>
      <c r="KO21" s="168" t="str">
        <f t="shared" si="80"/>
        <v>D</v>
      </c>
      <c r="KP21" s="124"/>
      <c r="KQ21" s="125"/>
      <c r="KR21" s="126"/>
      <c r="KS21" s="126"/>
      <c r="KT21" s="167" t="str">
        <f>IFERROR((((COUNTIF('Elève (3ème1)'!KP21:KS21,"A"))*4)+((COUNTIF('Elève (3ème1)'!KP21:KS21,"B"))*3)+((COUNTIF('Elève (3ème1)'!KP21:KS21,"C"))*2)+((COUNTIF('Elève (3ème1)'!KP21:KS21,"D"))*1))/(COUNTA(KP21:KS21)),"")</f>
        <v/>
      </c>
      <c r="KU21" s="168" t="str">
        <f t="shared" si="81"/>
        <v/>
      </c>
      <c r="KV21" s="124"/>
      <c r="KW21" s="125"/>
      <c r="KX21" s="126"/>
      <c r="KY21" s="126"/>
      <c r="KZ21" s="126"/>
      <c r="LA21" s="130"/>
      <c r="LB21" s="167" t="str">
        <f>IFERROR((((COUNTIF('Elève (3ème1)'!KV21:LA21,"A"))*4)+((COUNTIF('Elève (3ème1)'!KV21:LA21,"B"))*3)+((COUNTIF('Elève (3ème1)'!KV21:LA21,"C"))*2)+((COUNTIF('Elève (3ème1)'!KV21:LA21,"D"))*1))/(COUNTA(KV21:LA21)),"")</f>
        <v/>
      </c>
      <c r="LC21" s="168" t="str">
        <f t="shared" si="82"/>
        <v/>
      </c>
      <c r="LD21" s="167">
        <f>IF(COUNT(KN21,KT21,LB21)=0,"",SUM(KN21,KT21,LB21)/COUNT(KN21,KT21,LB21))</f>
        <v>1.5</v>
      </c>
      <c r="LE21" s="192" t="str">
        <f t="shared" si="83"/>
        <v>D</v>
      </c>
      <c r="LF21" s="124" t="s">
        <v>27</v>
      </c>
      <c r="LG21" s="125" t="s">
        <v>28</v>
      </c>
      <c r="LH21" s="126"/>
      <c r="LI21" s="167">
        <f>IFERROR((((COUNTIF('Elève (3ème1)'!LF21:LH21,"A"))*4)+((COUNTIF('Elève (3ème1)'!LF21:LH21,"B"))*3)+((COUNTIF('Elève (3ème1)'!LF21:LH21,"C"))*2)+((COUNTIF('Elève (3ème1)'!LF21:LH21,"D"))*1))/(COUNTA(LF21:LH21)),"")</f>
        <v>3.5</v>
      </c>
      <c r="LJ21" s="168" t="str">
        <f t="shared" si="84"/>
        <v>B</v>
      </c>
      <c r="LK21" s="124"/>
      <c r="LL21" s="125"/>
      <c r="LM21" s="126"/>
      <c r="LN21" s="126"/>
      <c r="LO21" s="167" t="str">
        <f>IFERROR((((COUNTIF('Elève (3ème1)'!LK21:LN21,"A"))*4)+((COUNTIF('Elève (3ème1)'!LK21:LN21,"B"))*3)+((COUNTIF('Elève (3ème1)'!LK21:LN21,"C"))*2)+((COUNTIF('Elève (3ème1)'!LK21:LN21,"D"))*1))/(COUNTA(LK21:LN21)),"")</f>
        <v/>
      </c>
      <c r="LP21" s="168" t="str">
        <f t="shared" si="85"/>
        <v/>
      </c>
      <c r="LQ21" s="124"/>
      <c r="LR21" s="125"/>
      <c r="LS21" s="126"/>
      <c r="LT21" s="126"/>
      <c r="LU21" s="126"/>
      <c r="LV21" s="130"/>
      <c r="LW21" s="167" t="str">
        <f>IFERROR((((COUNTIF('Elève (3ème1)'!LQ21:LV21,"A"))*4)+((COUNTIF('Elève (3ème1)'!LQ21:LV21,"B"))*3)+((COUNTIF('Elève (3ème1)'!LQ21:LV21,"C"))*2)+((COUNTIF('Elève (3ème1)'!LQ21:LV21,"D"))*1))/(COUNTA(LQ21:LV21)),"")</f>
        <v/>
      </c>
      <c r="LX21" s="168" t="str">
        <f t="shared" si="86"/>
        <v/>
      </c>
      <c r="LY21" s="167">
        <f>IF(COUNT(LI21,LO21,LW21)=0,"",SUM(LI21,LO21,LW21)/COUNT(LI21,LO21,LW21))</f>
        <v>3.5</v>
      </c>
      <c r="LZ21" s="192" t="str">
        <f t="shared" si="87"/>
        <v>B</v>
      </c>
      <c r="MA21" s="124" t="s">
        <v>27</v>
      </c>
      <c r="MB21" s="125" t="s">
        <v>29</v>
      </c>
      <c r="MC21" s="126"/>
      <c r="MD21" s="167">
        <f>IFERROR((((COUNTIF('Elève (3ème1)'!MA21:MC21,"A"))*4)+((COUNTIF('Elève (3ème1)'!MA21:MC21,"B"))*3)+((COUNTIF('Elève (3ème1)'!MA21:MC21,"C"))*2)+((COUNTIF('Elève (3ème1)'!MA21:MC21,"D"))*1))/(COUNTA(MA21:MC21)),"")</f>
        <v>3</v>
      </c>
      <c r="ME21" s="168" t="str">
        <f t="shared" si="88"/>
        <v>B</v>
      </c>
      <c r="MF21" s="124"/>
      <c r="MG21" s="125"/>
      <c r="MH21" s="126"/>
      <c r="MI21" s="126"/>
      <c r="MJ21" s="167" t="str">
        <f>IFERROR((((COUNTIF('Elève (3ème1)'!MF21:MI21,"A"))*4)+((COUNTIF('Elève (3ème1)'!MF21:MI21,"B"))*3)+((COUNTIF('Elève (3ème1)'!MF21:MI21,"C"))*2)+((COUNTIF('Elève (3ème1)'!MF21:MI21,"D"))*1))/(COUNTA(MF21:MI21)),"")</f>
        <v/>
      </c>
      <c r="MK21" s="168" t="str">
        <f t="shared" si="89"/>
        <v/>
      </c>
      <c r="ML21" s="124"/>
      <c r="MM21" s="125"/>
      <c r="MN21" s="126"/>
      <c r="MO21" s="126"/>
      <c r="MP21" s="126"/>
      <c r="MQ21" s="130"/>
      <c r="MR21" s="167" t="str">
        <f>IFERROR((((COUNTIF('Elève (3ème1)'!ML21:MQ21,"A"))*4)+((COUNTIF('Elève (3ème1)'!ML21:MQ21,"B"))*3)+((COUNTIF('Elève (3ème1)'!ML21:MQ21,"C"))*2)+((COUNTIF('Elève (3ème1)'!ML21:MQ21,"D"))*1))/(COUNTA(ML21:MQ21)),"")</f>
        <v/>
      </c>
      <c r="MS21" s="168" t="str">
        <f t="shared" si="90"/>
        <v/>
      </c>
      <c r="MT21" s="167">
        <f>IF(COUNT(MD21,MJ21,MR21)=0,"",SUM(MD21,MJ21,MR21)/COUNT(MD21,MJ21,MR21))</f>
        <v>3</v>
      </c>
      <c r="MU21" s="192" t="str">
        <f t="shared" si="91"/>
        <v>B</v>
      </c>
      <c r="MV21" s="124" t="s">
        <v>28</v>
      </c>
      <c r="MW21" s="125" t="s">
        <v>28</v>
      </c>
      <c r="MX21" s="126"/>
      <c r="MY21" s="167">
        <f>IFERROR((((COUNTIF('Elève (3ème1)'!MV21:MX21,"A"))*4)+((COUNTIF('Elève (3ème1)'!MV21:MX21,"B"))*3)+((COUNTIF('Elève (3ème1)'!MV21:MX21,"C"))*2)+((COUNTIF('Elève (3ème1)'!MV21:MX21,"D"))*1))/(COUNTA(MV21:MX21)),"")</f>
        <v>3</v>
      </c>
      <c r="MZ21" s="168" t="str">
        <f t="shared" si="92"/>
        <v>B</v>
      </c>
      <c r="NA21" s="124"/>
      <c r="NB21" s="125"/>
      <c r="NC21" s="126"/>
      <c r="ND21" s="126"/>
      <c r="NE21" s="167" t="str">
        <f>IFERROR((((COUNTIF('Elève (3ème1)'!NA21:ND21,"A"))*4)+((COUNTIF('Elève (3ème1)'!NA21:ND21,"B"))*3)+((COUNTIF('Elève (3ème1)'!NA21:ND21,"C"))*2)+((COUNTIF('Elève (3ème1)'!NA21:ND21,"D"))*1))/(COUNTA(NA21:ND21)),"")</f>
        <v/>
      </c>
      <c r="NF21" s="168" t="str">
        <f t="shared" si="93"/>
        <v/>
      </c>
      <c r="NG21" s="124"/>
      <c r="NH21" s="125"/>
      <c r="NI21" s="126"/>
      <c r="NJ21" s="126"/>
      <c r="NK21" s="126"/>
      <c r="NL21" s="130"/>
      <c r="NM21" s="167" t="str">
        <f>IFERROR((((COUNTIF('Elève (3ème1)'!NG21:NL21,"A"))*4)+((COUNTIF('Elève (3ème1)'!NG21:NL21,"B"))*3)+((COUNTIF('Elève (3ème1)'!NG21:NL21,"C"))*2)+((COUNTIF('Elève (3ème1)'!NG21:NL21,"D"))*1))/(COUNTA(NG21:NL21)),"")</f>
        <v/>
      </c>
      <c r="NN21" s="168" t="str">
        <f t="shared" si="94"/>
        <v/>
      </c>
      <c r="NO21" s="167">
        <f>IF(COUNT(MY21,NE21,NM21)=0,"",SUM(MY21,NE21,NM21)/COUNT(MY21,NE21,NM21))</f>
        <v>3</v>
      </c>
      <c r="NP21" s="192" t="str">
        <f t="shared" si="95"/>
        <v>B</v>
      </c>
      <c r="NQ21" s="124" t="s">
        <v>29</v>
      </c>
      <c r="NR21" s="125" t="s">
        <v>28</v>
      </c>
      <c r="NS21" s="126"/>
      <c r="NT21" s="167">
        <f>IFERROR((((COUNTIF('Elève (3ème1)'!NQ21:NS21,"A"))*4)+((COUNTIF('Elève (3ème1)'!NQ21:NS21,"B"))*3)+((COUNTIF('Elève (3ème1)'!NQ21:NS21,"C"))*2)+((COUNTIF('Elève (3ème1)'!NQ21:NS21,"D"))*1))/(COUNTA(NQ21:NS21)),"")</f>
        <v>2.5</v>
      </c>
      <c r="NU21" s="168" t="str">
        <f t="shared" si="96"/>
        <v>C</v>
      </c>
      <c r="NV21" s="124"/>
      <c r="NW21" s="125"/>
      <c r="NX21" s="126"/>
      <c r="NY21" s="126"/>
      <c r="NZ21" s="167" t="str">
        <f>IFERROR((((COUNTIF('Elève (3ème1)'!NV21:NY21,"A"))*4)+((COUNTIF('Elève (3ème1)'!NV21:NY21,"B"))*3)+((COUNTIF('Elève (3ème1)'!NV21:NY21,"C"))*2)+((COUNTIF('Elève (3ème1)'!NV21:NY21,"D"))*1))/(COUNTA(NV21:NY21)),"")</f>
        <v/>
      </c>
      <c r="OA21" s="168" t="str">
        <f t="shared" si="97"/>
        <v/>
      </c>
      <c r="OB21" s="124"/>
      <c r="OC21" s="125"/>
      <c r="OD21" s="126"/>
      <c r="OE21" s="126"/>
      <c r="OF21" s="126"/>
      <c r="OG21" s="130"/>
      <c r="OH21" s="167" t="str">
        <f>IFERROR((((COUNTIF('Elève (3ème1)'!OB21:OG21,"A"))*4)+((COUNTIF('Elève (3ème1)'!OB21:OG21,"B"))*3)+((COUNTIF('Elève (3ème1)'!OB21:OG21,"C"))*2)+((COUNTIF('Elève (3ème1)'!OB21:OG21,"D"))*1))/(COUNTA(OB21:OG21)),"")</f>
        <v/>
      </c>
      <c r="OI21" s="168" t="str">
        <f t="shared" si="98"/>
        <v/>
      </c>
      <c r="OJ21" s="167">
        <f>IF(COUNT(NT21,NZ21,OH21)=0,"",SUM(NT21,NZ21,OH21)/COUNT(NT21,NZ21,OH21))</f>
        <v>2.5</v>
      </c>
      <c r="OK21" s="192" t="str">
        <f t="shared" si="99"/>
        <v>C</v>
      </c>
      <c r="OL21" s="124" t="s">
        <v>27</v>
      </c>
      <c r="OM21" s="125" t="s">
        <v>29</v>
      </c>
      <c r="ON21" s="126"/>
      <c r="OO21" s="167">
        <f>IFERROR((((COUNTIF('Elève (3ème1)'!OL21:ON21,"A"))*4)+((COUNTIF('Elève (3ème1)'!OL21:ON21,"B"))*3)+((COUNTIF('Elève (3ème1)'!OL21:ON21,"C"))*2)+((COUNTIF('Elève (3ème1)'!OL21:ON21,"D"))*1))/(COUNTA(OL21:ON21)),"")</f>
        <v>3</v>
      </c>
      <c r="OP21" s="168" t="str">
        <f t="shared" si="100"/>
        <v>B</v>
      </c>
      <c r="OQ21" s="124"/>
      <c r="OR21" s="125"/>
      <c r="OS21" s="126"/>
      <c r="OT21" s="126"/>
      <c r="OU21" s="167" t="str">
        <f>IFERROR((((COUNTIF('Elève (3ème1)'!OQ21:OT21,"A"))*4)+((COUNTIF('Elève (3ème1)'!OQ21:OT21,"B"))*3)+((COUNTIF('Elève (3ème1)'!OQ21:OT21,"C"))*2)+((COUNTIF('Elève (3ème1)'!OQ21:OT21,"D"))*1))/(COUNTA(OQ21:OT21)),"")</f>
        <v/>
      </c>
      <c r="OV21" s="168" t="str">
        <f t="shared" si="101"/>
        <v/>
      </c>
      <c r="OW21" s="124"/>
      <c r="OX21" s="125"/>
      <c r="OY21" s="126"/>
      <c r="OZ21" s="126"/>
      <c r="PA21" s="126"/>
      <c r="PB21" s="130"/>
      <c r="PC21" s="167" t="str">
        <f>IFERROR((((COUNTIF('Elève (3ème1)'!OW21:PB21,"A"))*4)+((COUNTIF('Elève (3ème1)'!OW21:PB21,"B"))*3)+((COUNTIF('Elève (3ème1)'!OW21:PB21,"C"))*2)+((COUNTIF('Elève (3ème1)'!OW21:PB21,"D"))*1))/(COUNTA(OW21:PB21)),"")</f>
        <v/>
      </c>
      <c r="PD21" s="168" t="str">
        <f t="shared" si="102"/>
        <v/>
      </c>
      <c r="PE21" s="167">
        <f>IF(COUNT(OO21,OU21,PC21)=0,"",SUM(OO21,OU21,PC21)/COUNT(OO21,OU21,PC21))</f>
        <v>3</v>
      </c>
      <c r="PF21" s="192" t="str">
        <f t="shared" si="103"/>
        <v>B</v>
      </c>
      <c r="PG21" s="124" t="s">
        <v>27</v>
      </c>
      <c r="PH21" s="125" t="s">
        <v>27</v>
      </c>
      <c r="PI21" s="126"/>
      <c r="PJ21" s="167">
        <f>IFERROR((((COUNTIF('Elève (3ème1)'!PG21:PI21,"A"))*4)+((COUNTIF('Elève (3ème1)'!PG21:PI21,"B"))*3)+((COUNTIF('Elève (3ème1)'!PG21:PI21,"C"))*2)+((COUNTIF('Elève (3ème1)'!PG21:PI21,"D"))*1))/(COUNTA(PG21:PI21)),"")</f>
        <v>4</v>
      </c>
      <c r="PK21" s="168" t="str">
        <f t="shared" si="104"/>
        <v>A</v>
      </c>
      <c r="PL21" s="124"/>
      <c r="PM21" s="125"/>
      <c r="PN21" s="126"/>
      <c r="PO21" s="126"/>
      <c r="PP21" s="167" t="str">
        <f>IFERROR((((COUNTIF('Elève (3ème1)'!PL21:PO21,"A"))*4)+((COUNTIF('Elève (3ème1)'!PL21:PO21,"B"))*3)+((COUNTIF('Elève (3ème1)'!PL21:PO21,"C"))*2)+((COUNTIF('Elève (3ème1)'!PL21:PO21,"D"))*1))/(COUNTA(PL21:PO21)),"")</f>
        <v/>
      </c>
      <c r="PQ21" s="168" t="str">
        <f t="shared" si="105"/>
        <v/>
      </c>
      <c r="PR21" s="124"/>
      <c r="PS21" s="125"/>
      <c r="PT21" s="126"/>
      <c r="PU21" s="126"/>
      <c r="PV21" s="126"/>
      <c r="PW21" s="130"/>
      <c r="PX21" s="167" t="str">
        <f>IFERROR((((COUNTIF('Elève (3ème1)'!PR21:PW21,"A"))*4)+((COUNTIF('Elève (3ème1)'!PR21:PW21,"B"))*3)+((COUNTIF('Elève (3ème1)'!PR21:PW21,"C"))*2)+((COUNTIF('Elève (3ème1)'!PR21:PW21,"D"))*1))/(COUNTA(PR21:PW21)),"")</f>
        <v/>
      </c>
      <c r="PY21" s="168" t="str">
        <f t="shared" si="106"/>
        <v/>
      </c>
      <c r="PZ21" s="167">
        <f>IF(COUNT(PJ21,PP21,PX21)=0,"",SUM(PJ21,PP21,PX21)/COUNT(PJ21,PP21,PX21))</f>
        <v>4</v>
      </c>
      <c r="QA21" s="192" t="str">
        <f t="shared" si="107"/>
        <v>A</v>
      </c>
      <c r="QB21" s="124" t="s">
        <v>27</v>
      </c>
      <c r="QC21" s="125" t="s">
        <v>28</v>
      </c>
      <c r="QD21" s="126"/>
      <c r="QE21" s="167">
        <f>IFERROR((((COUNTIF('Elève (3ème1)'!QB21:QD21,"A"))*4)+((COUNTIF('Elève (3ème1)'!QB21:QD21,"B"))*3)+((COUNTIF('Elève (3ème1)'!QB21:QD21,"C"))*2)+((COUNTIF('Elève (3ème1)'!QB21:QD21,"D"))*1))/(COUNTA(QB21:QD21)),"")</f>
        <v>3.5</v>
      </c>
      <c r="QF21" s="168" t="str">
        <f t="shared" si="108"/>
        <v>B</v>
      </c>
      <c r="QG21" s="124"/>
      <c r="QH21" s="125"/>
      <c r="QI21" s="126"/>
      <c r="QJ21" s="126"/>
      <c r="QK21" s="167" t="str">
        <f>IFERROR((((COUNTIF('Elève (3ème1)'!QG21:QJ21,"A"))*4)+((COUNTIF('Elève (3ème1)'!QG21:QJ21,"B"))*3)+((COUNTIF('Elève (3ème1)'!QG21:QJ21,"C"))*2)+((COUNTIF('Elève (3ème1)'!QG21:QJ21,"D"))*1))/(COUNTA(QG21:QJ21)),"")</f>
        <v/>
      </c>
      <c r="QL21" s="168" t="str">
        <f t="shared" si="109"/>
        <v/>
      </c>
      <c r="QM21" s="124"/>
      <c r="QN21" s="125"/>
      <c r="QO21" s="126"/>
      <c r="QP21" s="126"/>
      <c r="QQ21" s="126"/>
      <c r="QR21" s="130"/>
      <c r="QS21" s="167" t="str">
        <f>IFERROR((((COUNTIF('Elève (3ème1)'!QM21:QR21,"A"))*4)+((COUNTIF('Elève (3ème1)'!QM21:QR21,"B"))*3)+((COUNTIF('Elève (3ème1)'!QM21:QR21,"C"))*2)+((COUNTIF('Elève (3ème1)'!QM21:QR21,"D"))*1))/(COUNTA(QM21:QR21)),"")</f>
        <v/>
      </c>
      <c r="QT21" s="168" t="str">
        <f t="shared" si="110"/>
        <v/>
      </c>
      <c r="QU21" s="167">
        <f>IF(COUNT(QE21,QK21,QS21)=0,"",SUM(QE21,QK21,QS21)/COUNT(QE21,QK21,QS21))</f>
        <v>3.5</v>
      </c>
      <c r="QV21" s="192" t="str">
        <f t="shared" si="111"/>
        <v>B</v>
      </c>
      <c r="QW21" s="124" t="s">
        <v>28</v>
      </c>
      <c r="QX21" s="125" t="s">
        <v>27</v>
      </c>
      <c r="QY21" s="126"/>
      <c r="QZ21" s="167">
        <f>IFERROR((((COUNTIF('Elève (3ème1)'!QW21:QY21,"A"))*4)+((COUNTIF('Elève (3ème1)'!QW21:QY21,"B"))*3)+((COUNTIF('Elève (3ème1)'!QW21:QY21,"C"))*2)+((COUNTIF('Elève (3ème1)'!QW21:QY21,"D"))*1))/(COUNTA(QW21:QY21)),"")</f>
        <v>3.5</v>
      </c>
      <c r="RA21" s="168" t="str">
        <f t="shared" si="112"/>
        <v>B</v>
      </c>
      <c r="RB21" s="124"/>
      <c r="RC21" s="125"/>
      <c r="RD21" s="126"/>
      <c r="RE21" s="126"/>
      <c r="RF21" s="167" t="str">
        <f>IFERROR((((COUNTIF('Elève (3ème1)'!RB21:RE21,"A"))*4)+((COUNTIF('Elève (3ème1)'!RB21:RE21,"B"))*3)+((COUNTIF('Elève (3ème1)'!RB21:RE21,"C"))*2)+((COUNTIF('Elève (3ème1)'!RB21:RE21,"D"))*1))/(COUNTA(RB21:RE21)),"")</f>
        <v/>
      </c>
      <c r="RG21" s="168" t="str">
        <f t="shared" si="113"/>
        <v/>
      </c>
      <c r="RH21" s="124"/>
      <c r="RI21" s="125"/>
      <c r="RJ21" s="126"/>
      <c r="RK21" s="126"/>
      <c r="RL21" s="126"/>
      <c r="RM21" s="130"/>
      <c r="RN21" s="167" t="str">
        <f>IFERROR((((COUNTIF('Elève (3ème1)'!RH21:RM21,"A"))*4)+((COUNTIF('Elève (3ème1)'!RH21:RM21,"B"))*3)+((COUNTIF('Elève (3ème1)'!RH21:RM21,"C"))*2)+((COUNTIF('Elève (3ème1)'!RH21:RM21,"D"))*1))/(COUNTA(RH21:RM21)),"")</f>
        <v/>
      </c>
      <c r="RO21" s="168" t="str">
        <f t="shared" si="114"/>
        <v/>
      </c>
      <c r="RP21" s="167">
        <f>IF(COUNT(QZ21,RF21,RN21)=0,"",SUM(QZ21,RF21,RN21)/COUNT(QZ21,RF21,RN21))</f>
        <v>3.5</v>
      </c>
      <c r="RQ21" s="192" t="str">
        <f t="shared" si="115"/>
        <v>B</v>
      </c>
      <c r="RR21" s="124" t="s">
        <v>27</v>
      </c>
      <c r="RS21" s="125" t="s">
        <v>28</v>
      </c>
      <c r="RT21" s="126"/>
      <c r="RU21" s="167">
        <f>IFERROR((((COUNTIF('Elève (3ème1)'!RR21:RT21,"A"))*4)+((COUNTIF('Elève (3ème1)'!RR21:RT21,"B"))*3)+((COUNTIF('Elève (3ème1)'!RR21:RT21,"C"))*2)+((COUNTIF('Elève (3ème1)'!RR21:RT21,"D"))*1))/(COUNTA(RR21:RT21)),"")</f>
        <v>3.5</v>
      </c>
      <c r="RV21" s="168" t="str">
        <f t="shared" si="116"/>
        <v>B</v>
      </c>
      <c r="RW21" s="124"/>
      <c r="RX21" s="125"/>
      <c r="RY21" s="126"/>
      <c r="RZ21" s="126"/>
      <c r="SA21" s="167" t="str">
        <f>IFERROR((((COUNTIF('Elève (3ème1)'!RW21:RZ21,"A"))*4)+((COUNTIF('Elève (3ème1)'!RW21:RZ21,"B"))*3)+((COUNTIF('Elève (3ème1)'!RW21:RZ21,"C"))*2)+((COUNTIF('Elève (3ème1)'!RW21:RZ21,"D"))*1))/(COUNTA(RW21:RZ21)),"")</f>
        <v/>
      </c>
      <c r="SB21" s="168" t="str">
        <f t="shared" si="117"/>
        <v/>
      </c>
      <c r="SC21" s="124"/>
      <c r="SD21" s="125"/>
      <c r="SE21" s="126"/>
      <c r="SF21" s="126"/>
      <c r="SG21" s="126"/>
      <c r="SH21" s="130"/>
      <c r="SI21" s="167" t="str">
        <f>IFERROR((((COUNTIF('Elève (3ème1)'!SC21:SH21,"A"))*4)+((COUNTIF('Elève (3ème1)'!SC21:SH21,"B"))*3)+((COUNTIF('Elève (3ème1)'!SC21:SH21,"C"))*2)+((COUNTIF('Elève (3ème1)'!SC21:SH21,"D"))*1))/(COUNTA(SC21:SH21)),"")</f>
        <v/>
      </c>
      <c r="SJ21" s="168" t="str">
        <f t="shared" si="118"/>
        <v/>
      </c>
      <c r="SK21" s="167">
        <f>IF(COUNT(RU21,SA21,SI21)=0,"",SUM(RU21,SA21,SI21)/COUNT(RU21,SA21,SI21))</f>
        <v>3.5</v>
      </c>
      <c r="SL21" s="192" t="str">
        <f t="shared" si="119"/>
        <v>B</v>
      </c>
      <c r="SM21" s="124" t="s">
        <v>28</v>
      </c>
      <c r="SN21" s="125" t="s">
        <v>29</v>
      </c>
      <c r="SO21" s="126"/>
      <c r="SP21" s="167">
        <f>IFERROR((((COUNTIF('Elève (3ème1)'!SM21:SO21,"A"))*4)+((COUNTIF('Elève (3ème1)'!SM21:SO21,"B"))*3)+((COUNTIF('Elève (3ème1)'!SM21:SO21,"C"))*2)+((COUNTIF('Elève (3ème1)'!SM21:SO21,"D"))*1))/(COUNTA(SM21:SO21)),"")</f>
        <v>2.5</v>
      </c>
      <c r="SQ21" s="168" t="str">
        <f t="shared" si="120"/>
        <v>C</v>
      </c>
      <c r="SR21" s="124"/>
      <c r="SS21" s="125"/>
      <c r="ST21" s="126"/>
      <c r="SU21" s="126"/>
      <c r="SV21" s="167" t="str">
        <f>IFERROR((((COUNTIF('Elève (3ème1)'!SR21:SU21,"A"))*4)+((COUNTIF('Elève (3ème1)'!SR21:SU21,"B"))*3)+((COUNTIF('Elève (3ème1)'!SR21:SU21,"C"))*2)+((COUNTIF('Elève (3ème1)'!SR21:SU21,"D"))*1))/(COUNTA(SR21:SU21)),"")</f>
        <v/>
      </c>
      <c r="SW21" s="168" t="str">
        <f t="shared" si="121"/>
        <v/>
      </c>
      <c r="SX21" s="124"/>
      <c r="SY21" s="125"/>
      <c r="SZ21" s="126"/>
      <c r="TA21" s="126"/>
      <c r="TB21" s="126"/>
      <c r="TC21" s="130"/>
      <c r="TD21" s="167" t="str">
        <f>IFERROR((((COUNTIF('Elève (3ème1)'!SX21:TC21,"A"))*4)+((COUNTIF('Elève (3ème1)'!SX21:TC21,"B"))*3)+((COUNTIF('Elève (3ème1)'!SX21:TC21,"C"))*2)+((COUNTIF('Elève (3ème1)'!SX21:TC21,"D"))*1))/(COUNTA(SX21:TC21)),"")</f>
        <v/>
      </c>
      <c r="TE21" s="168" t="str">
        <f t="shared" si="122"/>
        <v/>
      </c>
      <c r="TF21" s="167">
        <f>IF(COUNT(SP21,SV21,TD21)=0,"",SUM(SP21,SV21,TD21)/COUNT(SP21,SV21,TD21))</f>
        <v>2.5</v>
      </c>
      <c r="TG21" s="192" t="str">
        <f t="shared" si="123"/>
        <v>C</v>
      </c>
      <c r="TH21" s="124"/>
      <c r="TI21" s="125"/>
      <c r="TJ21" s="126"/>
      <c r="TK21" s="127" t="str">
        <f>IFERROR((((COUNTIF('Elève (3ème1)'!TH21:TJ21,"A"))*4)+((COUNTIF('Elève (3ème1)'!TH21:TJ21,"B"))*3)+((COUNTIF('Elève (3ème1)'!TH21:TJ21,"C"))*2)+((COUNTIF('Elève (3ème1)'!TH21:TJ21,"D"))*1))/(COUNTA(TH21:TJ21)),"")</f>
        <v/>
      </c>
      <c r="TL21" s="128" t="str">
        <f t="shared" si="124"/>
        <v/>
      </c>
      <c r="TM21" s="124"/>
      <c r="TN21" s="125"/>
      <c r="TO21" s="126"/>
      <c r="TP21" s="127" t="str">
        <f>IFERROR((((COUNTIF('Elève (3ème1)'!TM21:TO21,"A"))*4)+((COUNTIF('Elève (3ème1)'!TM21:TO21,"B"))*3)+((COUNTIF('Elève (3ème1)'!TM21:TO21,"C"))*2)+((COUNTIF('Elève (3ème1)'!TM21:TO21,"D"))*1))/(COUNTA(TM21:TO21)),"")</f>
        <v/>
      </c>
      <c r="TQ21" s="128" t="str">
        <f t="shared" si="125"/>
        <v/>
      </c>
      <c r="TR21" s="124"/>
      <c r="TS21" s="125"/>
      <c r="TT21" s="130"/>
      <c r="TU21" s="127" t="str">
        <f>IFERROR((((COUNTIF('Elève (3ème1)'!TR21:TT21,"A"))*4)+((COUNTIF('Elève (3ème1)'!TR21:TT21,"B"))*3)+((COUNTIF('Elève (3ème1)'!TR21:TT21,"C"))*2)+((COUNTIF('Elève (3ème1)'!TR21:TT21,"D"))*1))/(COUNTA(TR21:TT21)),"")</f>
        <v/>
      </c>
      <c r="TV21" s="128" t="str">
        <f t="shared" si="126"/>
        <v/>
      </c>
      <c r="TW21" s="127" t="str">
        <f>IF(COUNT(TK21,TP21,TU21)=0,"",SUM(TK21,TP21,TU21)/COUNT(TK21,TP21,TU21))</f>
        <v/>
      </c>
      <c r="TX21" s="129" t="str">
        <f t="shared" si="127"/>
        <v/>
      </c>
      <c r="TY21" s="124"/>
      <c r="TZ21" s="125"/>
      <c r="UA21" s="126"/>
      <c r="UB21" s="127" t="str">
        <f>IFERROR((((COUNTIF('Elève (3ème1)'!TY21:UA21,"A"))*4)+((COUNTIF('Elève (3ème1)'!TY21:UA21,"B"))*3)+((COUNTIF('Elève (3ème1)'!TY21:UA21,"C"))*2)+((COUNTIF('Elève (3ème1)'!TY21:UA21,"D"))*1))/(COUNTA(TY21:UA21)),"")</f>
        <v/>
      </c>
      <c r="UC21" s="128" t="str">
        <f t="shared" si="128"/>
        <v/>
      </c>
      <c r="UD21" s="124"/>
      <c r="UE21" s="125"/>
      <c r="UF21" s="126"/>
      <c r="UG21" s="127" t="str">
        <f>IFERROR((((COUNTIF('Elève (3ème1)'!UD21:UF21,"A"))*4)+((COUNTIF('Elève (3ème1)'!UD21:UF21,"B"))*3)+((COUNTIF('Elève (3ème1)'!UD21:UF21,"C"))*2)+((COUNTIF('Elève (3ème1)'!UD21:UF21,"D"))*1))/(COUNTA(UD21:UF21)),"")</f>
        <v/>
      </c>
      <c r="UH21" s="128" t="str">
        <f t="shared" si="129"/>
        <v/>
      </c>
      <c r="UI21" s="124"/>
      <c r="UJ21" s="125"/>
      <c r="UK21" s="130"/>
      <c r="UL21" s="127" t="str">
        <f>IFERROR((((COUNTIF('Elève (3ème1)'!UI21:UK21,"A"))*4)+((COUNTIF('Elève (3ème1)'!UI21:UK21,"B"))*3)+((COUNTIF('Elève (3ème1)'!UI21:UK21,"C"))*2)+((COUNTIF('Elève (3ème1)'!UI21:UK21,"D"))*1))/(COUNTA(UI21:UK21)),"")</f>
        <v/>
      </c>
      <c r="UM21" s="128" t="str">
        <f t="shared" si="130"/>
        <v/>
      </c>
      <c r="UN21" s="127" t="str">
        <f>IF(COUNT(UB21,UG21,UL21)=0,"",SUM(UB21,UG21,UL21)/COUNT(UB21,UG21,UL21))</f>
        <v/>
      </c>
      <c r="UO21" s="129" t="str">
        <f t="shared" si="131"/>
        <v/>
      </c>
      <c r="UP21" s="124"/>
      <c r="UQ21" s="125"/>
      <c r="UR21" s="126"/>
      <c r="US21" s="127" t="str">
        <f>IFERROR((((COUNTIF('Elève (3ème1)'!UP21:UR21,"A"))*4)+((COUNTIF('Elève (3ème1)'!UP21:UR21,"B"))*3)+((COUNTIF('Elève (3ème1)'!UP21:UR21,"C"))*2)+((COUNTIF('Elève (3ème1)'!UP21:UR21,"D"))*1))/(COUNTA(UP21:UR21)),"")</f>
        <v/>
      </c>
      <c r="UT21" s="128" t="str">
        <f t="shared" si="132"/>
        <v/>
      </c>
      <c r="UU21" s="124"/>
      <c r="UV21" s="125"/>
      <c r="UW21" s="126"/>
      <c r="UX21" s="127" t="str">
        <f>IFERROR((((COUNTIF('Elève (3ème1)'!UU21:UW21,"A"))*4)+((COUNTIF('Elève (3ème1)'!UU21:UW21,"B"))*3)+((COUNTIF('Elève (3ème1)'!UU21:UW21,"C"))*2)+((COUNTIF('Elève (3ème1)'!UU21:UW21,"D"))*1))/(COUNTA(UU21:UW21)),"")</f>
        <v/>
      </c>
      <c r="UY21" s="128" t="str">
        <f t="shared" si="133"/>
        <v/>
      </c>
      <c r="UZ21" s="124"/>
      <c r="VA21" s="125"/>
      <c r="VB21" s="130"/>
      <c r="VC21" s="127" t="str">
        <f>IFERROR((((COUNTIF('Elève (3ème1)'!UZ21:VB21,"A"))*4)+((COUNTIF('Elève (3ème1)'!UZ21:VB21,"B"))*3)+((COUNTIF('Elève (3ème1)'!UZ21:VB21,"C"))*2)+((COUNTIF('Elève (3ème1)'!UZ21:VB21,"D"))*1))/(COUNTA(UZ21:VB21)),"")</f>
        <v/>
      </c>
      <c r="VD21" s="128" t="str">
        <f t="shared" si="134"/>
        <v/>
      </c>
      <c r="VE21" s="127" t="str">
        <f>IF(COUNT(US21,UX21,VC21)=0,"",SUM(US21,UX21,VC21)/COUNT(US21,UX21,VC21))</f>
        <v/>
      </c>
      <c r="VF21" s="129" t="str">
        <f t="shared" si="135"/>
        <v/>
      </c>
      <c r="VG21" s="124"/>
      <c r="VH21" s="125"/>
      <c r="VI21" s="126"/>
      <c r="VJ21" s="127" t="str">
        <f>IFERROR((((COUNTIF('Elève (3ème1)'!VG21:VI21,"A"))*4)+((COUNTIF('Elève (3ème1)'!VG21:VI21,"B"))*3)+((COUNTIF('Elève (3ème1)'!VG21:VI21,"C"))*2)+((COUNTIF('Elève (3ème1)'!VG21:VI21,"D"))*1))/(COUNTA(VG21:VI21)),"")</f>
        <v/>
      </c>
      <c r="VK21" s="128" t="str">
        <f t="shared" si="136"/>
        <v/>
      </c>
      <c r="VL21" s="124"/>
      <c r="VM21" s="125"/>
      <c r="VN21" s="126"/>
      <c r="VO21" s="127" t="str">
        <f>IFERROR((((COUNTIF('Elève (3ème1)'!VL21:VN21,"A"))*4)+((COUNTIF('Elève (3ème1)'!VL21:VN21,"B"))*3)+((COUNTIF('Elève (3ème1)'!VL21:VN21,"C"))*2)+((COUNTIF('Elève (3ème1)'!VL21:VN21,"D"))*1))/(COUNTA(VL21:VN21)),"")</f>
        <v/>
      </c>
      <c r="VP21" s="128" t="str">
        <f t="shared" si="137"/>
        <v/>
      </c>
      <c r="VQ21" s="124"/>
      <c r="VR21" s="125"/>
      <c r="VS21" s="130"/>
      <c r="VT21" s="127" t="str">
        <f>IFERROR((((COUNTIF('Elève (3ème1)'!VQ21:VS21,"A"))*4)+((COUNTIF('Elève (3ème1)'!VQ21:VS21,"B"))*3)+((COUNTIF('Elève (3ème1)'!VQ21:VS21,"C"))*2)+((COUNTIF('Elève (3ème1)'!VQ21:VS21,"D"))*1))/(COUNTA(VQ21:VS21)),"")</f>
        <v/>
      </c>
      <c r="VU21" s="128" t="str">
        <f t="shared" si="138"/>
        <v/>
      </c>
      <c r="VV21" s="127" t="str">
        <f>IF(COUNT(VJ21,VO21,VT21)=0,"",SUM(VJ21,VO21,VT21)/COUNT(VJ21,VO21,VT21))</f>
        <v/>
      </c>
      <c r="VW21" s="129" t="str">
        <f t="shared" si="139"/>
        <v/>
      </c>
      <c r="VX21" s="124"/>
      <c r="VY21" s="125"/>
      <c r="VZ21" s="126"/>
      <c r="WA21" s="127" t="str">
        <f>IFERROR((((COUNTIF('Elève (3ème1)'!VX21:VZ21,"A"))*4)+((COUNTIF('Elève (3ème1)'!VX21:VZ21,"B"))*3)+((COUNTIF('Elève (3ème1)'!VX21:VZ21,"C"))*2)+((COUNTIF('Elève (3ème1)'!VX21:VZ21,"D"))*1))/(COUNTA(VX21:VZ21)),"")</f>
        <v/>
      </c>
      <c r="WB21" s="128" t="str">
        <f t="shared" si="140"/>
        <v/>
      </c>
      <c r="WC21" s="124"/>
      <c r="WD21" s="125"/>
      <c r="WE21" s="126"/>
      <c r="WF21" s="127" t="str">
        <f>IFERROR((((COUNTIF('Elève (3ème1)'!WC21:WE21,"A"))*4)+((COUNTIF('Elève (3ème1)'!WC21:WE21,"B"))*3)+((COUNTIF('Elève (3ème1)'!WC21:WE21,"C"))*2)+((COUNTIF('Elève (3ème1)'!WC21:WE21,"D"))*1))/(COUNTA(WC21:WE21)),"")</f>
        <v/>
      </c>
      <c r="WG21" s="128" t="str">
        <f t="shared" si="141"/>
        <v/>
      </c>
      <c r="WH21" s="124"/>
      <c r="WI21" s="125"/>
      <c r="WJ21" s="130"/>
      <c r="WK21" s="127" t="str">
        <f>IFERROR((((COUNTIF('Elève (3ème1)'!WH21:WJ21,"A"))*4)+((COUNTIF('Elève (3ème1)'!WH21:WJ21,"B"))*3)+((COUNTIF('Elève (3ème1)'!WH21:WJ21,"C"))*2)+((COUNTIF('Elève (3ème1)'!WH21:WJ21,"D"))*1))/(COUNTA(WH21:WJ21)),"")</f>
        <v/>
      </c>
      <c r="WL21" s="128" t="str">
        <f t="shared" si="142"/>
        <v/>
      </c>
      <c r="WM21" s="127" t="str">
        <f>IF(COUNT(WA21,WF21,WK21)=0,"",SUM(WA21,WF21,WK21)/COUNT(WA21,WF21,WK21))</f>
        <v/>
      </c>
      <c r="WN21" s="129" t="str">
        <f t="shared" si="143"/>
        <v/>
      </c>
    </row>
    <row r="22" spans="1:612" ht="14.7" thickBot="1" x14ac:dyDescent="0.6">
      <c r="A22" s="223" t="s">
        <v>26</v>
      </c>
      <c r="B22" s="224"/>
      <c r="C22" s="131"/>
      <c r="D22" s="131"/>
      <c r="E22" s="131"/>
      <c r="F22" s="169">
        <f>IF(COUNT(F20,F16,F13,F10,F4)=0,"",SUM($B$4*IF(COUNT(F4)=0,0,F4),$B$10*IF(COUNT(F10)=0,0,F10),$B$13*IF(COUNT(F13)=0,0,F13),$B$16*IF(COUNT(F16)=0,0,F16),$B$20*IF(COUNT(F20)=0,0,F20))/SUM($B$4*COUNT(F4),$B$10*COUNT(F10),$B$13*COUNT(F13),$B$16*COUNT(F16),$B$20*COUNT(F20)))</f>
        <v>2.4583333333333335</v>
      </c>
      <c r="G22" s="170">
        <f>IF(F22="","",F22*5)</f>
        <v>12.291666666666668</v>
      </c>
      <c r="H22" s="62"/>
      <c r="I22" s="62"/>
      <c r="J22" s="62"/>
      <c r="K22" s="62"/>
      <c r="L22" s="169">
        <f>IF(COUNT(L20,L16,L13,L10,L4)=0,"",SUM($B$4*IF(COUNT(L4)=0,0,L4),$B$10*IF(COUNT(L10)=0,0,L10),$B$13*IF(COUNT(L13)=0,0,L13),$B$16*IF(COUNT(L16)=0,0,L16),$B$20*IF(COUNT(L20)=0,0,L20))/SUM($B$4*COUNT(L4),$B$10*COUNT(L10),$B$13*COUNT(L13),$B$16*COUNT(L16),$B$20*COUNT(L20)))</f>
        <v>3.5</v>
      </c>
      <c r="M22" s="176">
        <f>IF(L22="","",L22*5)</f>
        <v>17.5</v>
      </c>
      <c r="N22" s="62"/>
      <c r="O22" s="62"/>
      <c r="P22" s="62"/>
      <c r="Q22" s="62"/>
      <c r="R22" s="62"/>
      <c r="S22" s="62"/>
      <c r="T22" s="169">
        <f>IF(COUNT(T20,T16,T13,T10,T4)=0,"",SUM($B$4*IF(COUNT(T4)=0,0,T4),$B$10*IF(COUNT(T10)=0,0,T10),$B$13*IF(COUNT(T13)=0,0,T13),$B$16*IF(COUNT(T16)=0,0,T16),$B$20*IF(COUNT(T20)=0,0,T20))/SUM($B$4*COUNT(T4),$B$10*COUNT(T10),$B$13*COUNT(T13),$B$16*COUNT(T16),$B$20*COUNT(T20)))</f>
        <v>2.9375</v>
      </c>
      <c r="U22" s="193">
        <f>IF(T22="","",T22*5)</f>
        <v>14.6875</v>
      </c>
      <c r="V22" s="156"/>
      <c r="W22" s="156"/>
      <c r="X22" s="131"/>
      <c r="Y22" s="131"/>
      <c r="Z22" s="131"/>
      <c r="AA22" s="169">
        <f>IF(COUNT(AA20,AA16,AA13,AA10,AA4)=0,"",SUM($B$4*IF(COUNT(AA4)=0,0,AA4),$B$10*IF(COUNT(AA10)=0,0,AA10),$B$13*IF(COUNT(AA13)=0,0,AA13),$B$16*IF(COUNT(AA16)=0,0,AA16),$B$20*IF(COUNT(AA20)=0,0,AA20))/SUM($B$4*COUNT(AA4),$B$10*COUNT(AA10),$B$13*COUNT(AA13),$B$16*COUNT(AA16),$B$20*COUNT(AA20)))</f>
        <v>1.4166666666666667</v>
      </c>
      <c r="AB22" s="170">
        <f>IF(AA22="","",AA22*5)</f>
        <v>7.0833333333333339</v>
      </c>
      <c r="AC22" s="62"/>
      <c r="AD22" s="62"/>
      <c r="AE22" s="62"/>
      <c r="AF22" s="62"/>
      <c r="AG22" s="169">
        <f>IF(COUNT(AG20,AG16,AG13,AG10,AG4)=0,"",SUM($B$4*IF(COUNT(AG4)=0,0,AG4),$B$10*IF(COUNT(AG10)=0,0,AG10),$B$13*IF(COUNT(AG13)=0,0,AG13),$B$16*IF(COUNT(AG16)=0,0,AG16),$B$20*IF(COUNT(AG20)=0,0,AG20))/SUM($B$4*COUNT(AG4),$B$10*COUNT(AG10),$B$13*COUNT(AG13),$B$16*COUNT(AG16),$B$20*COUNT(AG20)))</f>
        <v>1.75</v>
      </c>
      <c r="AH22" s="176">
        <f>IF(AG22="","",AG22*5)</f>
        <v>8.75</v>
      </c>
      <c r="AI22" s="62"/>
      <c r="AJ22" s="62"/>
      <c r="AK22" s="62"/>
      <c r="AL22" s="62"/>
      <c r="AM22" s="62"/>
      <c r="AN22" s="62"/>
      <c r="AO22" s="169">
        <f>IF(COUNT(AO20,AO16,AO13,AO10,AO4)=0,"",SUM($B$4*IF(COUNT(AO4)=0,0,AO4),$B$10*IF(COUNT(AO10)=0,0,AO10),$B$13*IF(COUNT(AO13)=0,0,AO13),$B$16*IF(COUNT(AO16)=0,0,AO16),$B$20*IF(COUNT(AO20)=0,0,AO20))/SUM($B$4*COUNT(AO4),$B$10*COUNT(AO10),$B$13*COUNT(AO13),$B$16*COUNT(AO16),$B$20*COUNT(AO20)))</f>
        <v>2.9166666666666665</v>
      </c>
      <c r="AP22" s="193">
        <f>IF(AO22="","",AO22*5)</f>
        <v>14.583333333333332</v>
      </c>
      <c r="AQ22" s="156"/>
      <c r="AR22" s="156"/>
      <c r="AS22" s="131"/>
      <c r="AT22" s="131"/>
      <c r="AU22" s="131"/>
      <c r="AV22" s="169">
        <f>IF(COUNT(AV20,AV16,AV13,AV10,AV4)=0,"",SUM($B$4*IF(COUNT(AV4)=0,0,AV4),$B$10*IF(COUNT(AV10)=0,0,AV10),$B$13*IF(COUNT(AV13)=0,0,AV13),$B$16*IF(COUNT(AV16)=0,0,AV16),$B$20*IF(COUNT(AV20)=0,0,AV20))/SUM($B$4*COUNT(AV4),$B$10*COUNT(AV10),$B$13*COUNT(AV13),$B$16*COUNT(AV16),$B$20*COUNT(AV20)))</f>
        <v>2.125</v>
      </c>
      <c r="AW22" s="170">
        <f>IF(AV22="","",AV22*5)</f>
        <v>10.625</v>
      </c>
      <c r="AX22" s="62"/>
      <c r="AY22" s="62"/>
      <c r="AZ22" s="62"/>
      <c r="BA22" s="62"/>
      <c r="BB22" s="169">
        <f>IF(COUNT(BB20,BB16,BB13,BB10,BB4)=0,"",SUM($B$4*IF(COUNT(BB4)=0,0,BB4),$B$10*IF(COUNT(BB10)=0,0,BB10),$B$13*IF(COUNT(BB13)=0,0,BB13),$B$16*IF(COUNT(BB16)=0,0,BB16),$B$20*IF(COUNT(BB20)=0,0,BB20))/SUM($B$4*COUNT(BB4),$B$10*COUNT(BB10),$B$13*COUNT(BB13),$B$16*COUNT(BB16),$B$20*COUNT(BB20)))</f>
        <v>2.25</v>
      </c>
      <c r="BC22" s="176">
        <f>IF(BB22="","",BB22*5)</f>
        <v>11.25</v>
      </c>
      <c r="BD22" s="62"/>
      <c r="BE22" s="62"/>
      <c r="BF22" s="62"/>
      <c r="BG22" s="62"/>
      <c r="BH22" s="62"/>
      <c r="BI22" s="62"/>
      <c r="BJ22" s="169">
        <f>IF(COUNT(BJ20,BJ16,BJ13,BJ10,BJ4)=0,"",SUM($B$4*IF(COUNT(BJ4)=0,0,BJ4),$B$10*IF(COUNT(BJ10)=0,0,BJ10),$B$13*IF(COUNT(BJ13)=0,0,BJ13),$B$16*IF(COUNT(BJ16)=0,0,BJ16),$B$20*IF(COUNT(BJ20)=0,0,BJ20))/SUM($B$4*COUNT(BJ4),$B$10*COUNT(BJ10),$B$13*COUNT(BJ13),$B$16*COUNT(BJ16),$B$20*COUNT(BJ20)))</f>
        <v>2.8541666666666665</v>
      </c>
      <c r="BK22" s="193">
        <f>IF(BJ22="","",BJ22*5)</f>
        <v>14.270833333333332</v>
      </c>
      <c r="BL22" s="156"/>
      <c r="BM22" s="156"/>
      <c r="BN22" s="131"/>
      <c r="BO22" s="131"/>
      <c r="BP22" s="131"/>
      <c r="BQ22" s="169">
        <f>IF(COUNT(BQ20,BQ16,BQ13,BQ10,BQ4)=0,"",SUM($B$4*IF(COUNT(BQ4)=0,0,BQ4),$B$10*IF(COUNT(BQ10)=0,0,BQ10),$B$13*IF(COUNT(BQ13)=0,0,BQ13),$B$16*IF(COUNT(BQ16)=0,0,BQ16),$B$20*IF(COUNT(BQ20)=0,0,BQ20))/SUM($B$4*COUNT(BQ4),$B$10*COUNT(BQ10),$B$13*COUNT(BQ13),$B$16*COUNT(BQ16),$B$20*COUNT(BQ20)))</f>
        <v>1.9583333333333333</v>
      </c>
      <c r="BR22" s="170">
        <f>IF(BQ22="","",BQ22*5)</f>
        <v>9.7916666666666661</v>
      </c>
      <c r="BS22" s="62"/>
      <c r="BT22" s="62"/>
      <c r="BU22" s="62"/>
      <c r="BV22" s="62"/>
      <c r="BW22" s="169">
        <f>IF(COUNT(BW20,BW16,BW13,BW10,BW4)=0,"",SUM($B$4*IF(COUNT(BW4)=0,0,BW4),$B$10*IF(COUNT(BW10)=0,0,BW10),$B$13*IF(COUNT(BW13)=0,0,BW13),$B$16*IF(COUNT(BW16)=0,0,BW16),$B$20*IF(COUNT(BW20)=0,0,BW20))/SUM($B$4*COUNT(BW4),$B$10*COUNT(BW10),$B$13*COUNT(BW13),$B$16*COUNT(BW16),$B$20*COUNT(BW20)))</f>
        <v>2.5</v>
      </c>
      <c r="BX22" s="176">
        <f>IF(BW22="","",BW22*5)</f>
        <v>12.5</v>
      </c>
      <c r="BY22" s="62"/>
      <c r="BZ22" s="62"/>
      <c r="CA22" s="62"/>
      <c r="CB22" s="62"/>
      <c r="CC22" s="62"/>
      <c r="CD22" s="62"/>
      <c r="CE22" s="169">
        <f>IF(COUNT(CE20,CE16,CE13,CE10,CE4)=0,"",SUM($B$4*IF(COUNT(CE4)=0,0,CE4),$B$10*IF(COUNT(CE10)=0,0,CE10),$B$13*IF(COUNT(CE13)=0,0,CE13),$B$16*IF(COUNT(CE16)=0,0,CE16),$B$20*IF(COUNT(CE20)=0,0,CE20))/SUM($B$4*COUNT(CE4),$B$10*COUNT(CE10),$B$13*COUNT(CE13),$B$16*COUNT(CE16),$B$20*COUNT(CE20)))</f>
        <v>3.3541666666666665</v>
      </c>
      <c r="CF22" s="193">
        <f>IF(CE22="","",CE22*5)</f>
        <v>16.770833333333332</v>
      </c>
      <c r="CG22" s="156"/>
      <c r="CH22" s="156"/>
      <c r="CI22" s="131"/>
      <c r="CJ22" s="131"/>
      <c r="CK22" s="131"/>
      <c r="CL22" s="169">
        <f>IF(COUNT(CL20,CL16,CL13,CL10,CL4)=0,"",SUM($B$4*IF(COUNT(CL4)=0,0,CL4),$B$10*IF(COUNT(CL10)=0,0,CL10),$B$13*IF(COUNT(CL13)=0,0,CL13),$B$16*IF(COUNT(CL16)=0,0,CL16),$B$20*IF(COUNT(CL20)=0,0,CL20))/SUM($B$4*COUNT(CL4),$B$10*COUNT(CL10),$B$13*COUNT(CL13),$B$16*COUNT(CL16),$B$20*COUNT(CL20)))</f>
        <v>2.2916666666666665</v>
      </c>
      <c r="CM22" s="170">
        <f>IF(CL22="","",CL22*5)</f>
        <v>11.458333333333332</v>
      </c>
      <c r="CN22" s="62"/>
      <c r="CO22" s="62"/>
      <c r="CP22" s="62"/>
      <c r="CQ22" s="62"/>
      <c r="CR22" s="169">
        <f>IF(COUNT(CR20,CR16,CR13,CR10,CR4)=0,"",SUM($B$4*IF(COUNT(CR4)=0,0,CR4),$B$10*IF(COUNT(CR10)=0,0,CR10),$B$13*IF(COUNT(CR13)=0,0,CR13),$B$16*IF(COUNT(CR16)=0,0,CR16),$B$20*IF(COUNT(CR20)=0,0,CR20))/SUM($B$4*COUNT(CR4),$B$10*COUNT(CR10),$B$13*COUNT(CR13),$B$16*COUNT(CR16),$B$20*COUNT(CR20)))</f>
        <v>1</v>
      </c>
      <c r="CS22" s="176">
        <f>IF(CR22="","",CR22*5)</f>
        <v>5</v>
      </c>
      <c r="CT22" s="62"/>
      <c r="CU22" s="62"/>
      <c r="CV22" s="62"/>
      <c r="CW22" s="62"/>
      <c r="CX22" s="62"/>
      <c r="CY22" s="62"/>
      <c r="CZ22" s="169">
        <f>IF(COUNT(CZ20,CZ16,CZ13,CZ10,CZ4)=0,"",SUM($B$4*IF(COUNT(CZ4)=0,0,CZ4),$B$10*IF(COUNT(CZ10)=0,0,CZ10),$B$13*IF(COUNT(CZ13)=0,0,CZ13),$B$16*IF(COUNT(CZ16)=0,0,CZ16),$B$20*IF(COUNT(CZ20)=0,0,CZ20))/SUM($B$4*COUNT(CZ4),$B$10*COUNT(CZ10),$B$13*COUNT(CZ13),$B$16*COUNT(CZ16),$B$20*COUNT(CZ20)))</f>
        <v>2.8333333333333335</v>
      </c>
      <c r="DA22" s="193">
        <f>IF(CZ22="","",CZ22*5)</f>
        <v>14.166666666666668</v>
      </c>
      <c r="DB22" s="156"/>
      <c r="DC22" s="156"/>
      <c r="DD22" s="131"/>
      <c r="DE22" s="131"/>
      <c r="DF22" s="131"/>
      <c r="DG22" s="169">
        <f>IF(COUNT(DG20,DG16,DG13,DG10,DG4)=0,"",SUM($B$4*IF(COUNT(DG4)=0,0,DG4),$B$10*IF(COUNT(DG10)=0,0,DG10),$B$13*IF(COUNT(DG13)=0,0,DG13),$B$16*IF(COUNT(DG16)=0,0,DG16),$B$20*IF(COUNT(DG20)=0,0,DG20))/SUM($B$4*COUNT(DG4),$B$10*COUNT(DG10),$B$13*COUNT(DG13),$B$16*COUNT(DG16),$B$20*COUNT(DG20)))</f>
        <v>2.625</v>
      </c>
      <c r="DH22" s="170">
        <f>IF(DG22="","",DG22*5)</f>
        <v>13.125</v>
      </c>
      <c r="DI22" s="62"/>
      <c r="DJ22" s="62"/>
      <c r="DK22" s="62"/>
      <c r="DL22" s="62"/>
      <c r="DM22" s="169">
        <f>IF(COUNT(DM20,DM16,DM13,DM10,DM4)=0,"",SUM($B$4*IF(COUNT(DM4)=0,0,DM4),$B$10*IF(COUNT(DM10)=0,0,DM10),$B$13*IF(COUNT(DM13)=0,0,DM13),$B$16*IF(COUNT(DM16)=0,0,DM16),$B$20*IF(COUNT(DM20)=0,0,DM20))/SUM($B$4*COUNT(DM4),$B$10*COUNT(DM10),$B$13*COUNT(DM13),$B$16*COUNT(DM16),$B$20*COUNT(DM20)))</f>
        <v>2.5</v>
      </c>
      <c r="DN22" s="176">
        <f>IF(DM22="","",DM22*5)</f>
        <v>12.5</v>
      </c>
      <c r="DO22" s="62"/>
      <c r="DP22" s="62"/>
      <c r="DQ22" s="62"/>
      <c r="DR22" s="62"/>
      <c r="DS22" s="62"/>
      <c r="DT22" s="62"/>
      <c r="DU22" s="169">
        <f>IF(COUNT(DU20,DU16,DU13,DU10,DU4)=0,"",SUM($B$4*IF(COUNT(DU4)=0,0,DU4),$B$10*IF(COUNT(DU10)=0,0,DU10),$B$13*IF(COUNT(DU13)=0,0,DU13),$B$16*IF(COUNT(DU16)=0,0,DU16),$B$20*IF(COUNT(DU20)=0,0,DU20))/SUM($B$4*COUNT(DU4),$B$10*COUNT(DU10),$B$13*COUNT(DU13),$B$16*COUNT(DU16),$B$20*COUNT(DU20)))</f>
        <v>3.2222222222222228</v>
      </c>
      <c r="DV22" s="193">
        <f>IF(DU22="","",DU22*5)</f>
        <v>16.111111111111114</v>
      </c>
      <c r="DW22" s="156"/>
      <c r="DX22" s="156"/>
      <c r="DY22" s="131"/>
      <c r="DZ22" s="131"/>
      <c r="EA22" s="131"/>
      <c r="EB22" s="169">
        <f>IF(COUNT(EB20,EB16,EB13,EB10,EB4)=0,"",SUM($B$4*IF(COUNT(EB4)=0,0,EB4),$B$10*IF(COUNT(EB10)=0,0,EB10),$B$13*IF(COUNT(EB13)=0,0,EB13),$B$16*IF(COUNT(EB16)=0,0,EB16),$B$20*IF(COUNT(EB20)=0,0,EB20))/SUM($B$4*COUNT(EB4),$B$10*COUNT(EB10),$B$13*COUNT(EB13),$B$16*COUNT(EB16),$B$20*COUNT(EB20)))</f>
        <v>2.4166666666666665</v>
      </c>
      <c r="EC22" s="170">
        <f>IF(EB22="","",EB22*5)</f>
        <v>12.083333333333332</v>
      </c>
      <c r="ED22" s="62"/>
      <c r="EE22" s="62"/>
      <c r="EF22" s="62"/>
      <c r="EG22" s="62"/>
      <c r="EH22" s="169">
        <f>IF(COUNT(EH20,EH16,EH13,EH10,EH4)=0,"",SUM($B$4*IF(COUNT(EH4)=0,0,EH4),$B$10*IF(COUNT(EH10)=0,0,EH10),$B$13*IF(COUNT(EH13)=0,0,EH13),$B$16*IF(COUNT(EH16)=0,0,EH16),$B$20*IF(COUNT(EH20)=0,0,EH20))/SUM($B$4*COUNT(EH4),$B$10*COUNT(EH10),$B$13*COUNT(EH13),$B$16*COUNT(EH16),$B$20*COUNT(EH20)))</f>
        <v>2.25</v>
      </c>
      <c r="EI22" s="176">
        <f>IF(EH22="","",EH22*5)</f>
        <v>11.25</v>
      </c>
      <c r="EJ22" s="62"/>
      <c r="EK22" s="62"/>
      <c r="EL22" s="62"/>
      <c r="EM22" s="62"/>
      <c r="EN22" s="62"/>
      <c r="EO22" s="62"/>
      <c r="EP22" s="169">
        <f>IF(COUNT(EP20,EP16,EP13,EP10,EP4)=0,"",SUM($B$4*IF(COUNT(EP4)=0,0,EP4),$B$10*IF(COUNT(EP10)=0,0,EP10),$B$13*IF(COUNT(EP13)=0,0,EP13),$B$16*IF(COUNT(EP16)=0,0,EP16),$B$20*IF(COUNT(EP20)=0,0,EP20))/SUM($B$4*COUNT(EP4),$B$10*COUNT(EP10),$B$13*COUNT(EP13),$B$16*COUNT(EP16),$B$20*COUNT(EP20)))</f>
        <v>3.2083333333333335</v>
      </c>
      <c r="EQ22" s="193">
        <f>IF(EP22="","",EP22*5)</f>
        <v>16.041666666666668</v>
      </c>
      <c r="ER22" s="156"/>
      <c r="ES22" s="156"/>
      <c r="ET22" s="131"/>
      <c r="EU22" s="131"/>
      <c r="EV22" s="131"/>
      <c r="EW22" s="169">
        <f>IF(COUNT(EW20,EW16,EW13,EW10,EW4)=0,"",SUM($B$4*IF(COUNT(EW4)=0,0,EW4),$B$10*IF(COUNT(EW10)=0,0,EW10),$B$13*IF(COUNT(EW13)=0,0,EW13),$B$16*IF(COUNT(EW16)=0,0,EW16),$B$20*IF(COUNT(EW20)=0,0,EW20))/SUM($B$4*COUNT(EW4),$B$10*COUNT(EW10),$B$13*COUNT(EW13),$B$16*COUNT(EW16),$B$20*COUNT(EW20)))</f>
        <v>2.3333333333333335</v>
      </c>
      <c r="EX22" s="170">
        <f>IF(EW22="","",EW22*5)</f>
        <v>11.666666666666668</v>
      </c>
      <c r="EY22" s="62"/>
      <c r="EZ22" s="62"/>
      <c r="FA22" s="62"/>
      <c r="FB22" s="62"/>
      <c r="FC22" s="169">
        <f>IF(COUNT(FC20,FC16,FC13,FC10,FC4)=0,"",SUM($B$4*IF(COUNT(FC4)=0,0,FC4),$B$10*IF(COUNT(FC10)=0,0,FC10),$B$13*IF(COUNT(FC13)=0,0,FC13),$B$16*IF(COUNT(FC16)=0,0,FC16),$B$20*IF(COUNT(FC20)=0,0,FC20))/SUM($B$4*COUNT(FC4),$B$10*COUNT(FC10),$B$13*COUNT(FC13),$B$16*COUNT(FC16),$B$20*COUNT(FC20)))</f>
        <v>3.5</v>
      </c>
      <c r="FD22" s="176">
        <f>IF(FC22="","",FC22*5)</f>
        <v>17.5</v>
      </c>
      <c r="FE22" s="62"/>
      <c r="FF22" s="62"/>
      <c r="FG22" s="62"/>
      <c r="FH22" s="62"/>
      <c r="FI22" s="62"/>
      <c r="FJ22" s="62"/>
      <c r="FK22" s="169">
        <f>IF(COUNT(FK20,FK16,FK13,FK10,FK4)=0,"",SUM($B$4*IF(COUNT(FK4)=0,0,FK4),$B$10*IF(COUNT(FK10)=0,0,FK10),$B$13*IF(COUNT(FK13)=0,0,FK13),$B$16*IF(COUNT(FK16)=0,0,FK16),$B$20*IF(COUNT(FK20)=0,0,FK20))/SUM($B$4*COUNT(FK4),$B$10*COUNT(FK10),$B$13*COUNT(FK13),$B$16*COUNT(FK16),$B$20*COUNT(FK20)))</f>
        <v>2.6666666666666665</v>
      </c>
      <c r="FL22" s="193">
        <f>IF(FK22="","",FK22*5)</f>
        <v>13.333333333333332</v>
      </c>
      <c r="FM22" s="156"/>
      <c r="FN22" s="156"/>
      <c r="FO22" s="131"/>
      <c r="FP22" s="131"/>
      <c r="FQ22" s="131"/>
      <c r="FR22" s="169">
        <f>IF(COUNT(FR20,FR16,FR13,FR10,FR4)=0,"",SUM($B$4*IF(COUNT(FR4)=0,0,FR4),$B$10*IF(COUNT(FR10)=0,0,FR10),$B$13*IF(COUNT(FR13)=0,0,FR13),$B$16*IF(COUNT(FR16)=0,0,FR16),$B$20*IF(COUNT(FR20)=0,0,FR20))/SUM($B$4*COUNT(FR4),$B$10*COUNT(FR10),$B$13*COUNT(FR13),$B$16*COUNT(FR16),$B$20*COUNT(FR20)))</f>
        <v>1.7916666666666667</v>
      </c>
      <c r="FS22" s="170">
        <f>IF(FR22="","",FR22*5)</f>
        <v>8.9583333333333339</v>
      </c>
      <c r="FT22" s="62"/>
      <c r="FU22" s="62"/>
      <c r="FV22" s="62"/>
      <c r="FW22" s="62"/>
      <c r="FX22" s="169">
        <f>IF(COUNT(FX20,FX16,FX13,FX10,FX4)=0,"",SUM($B$4*IF(COUNT(FX4)=0,0,FX4),$B$10*IF(COUNT(FX10)=0,0,FX10),$B$13*IF(COUNT(FX13)=0,0,FX13),$B$16*IF(COUNT(FX16)=0,0,FX16),$B$20*IF(COUNT(FX20)=0,0,FX20))/SUM($B$4*COUNT(FX4),$B$10*COUNT(FX10),$B$13*COUNT(FX13),$B$16*COUNT(FX16),$B$20*COUNT(FX20)))</f>
        <v>2.5</v>
      </c>
      <c r="FY22" s="176">
        <f>IF(FX22="","",FX22*5)</f>
        <v>12.5</v>
      </c>
      <c r="FZ22" s="62"/>
      <c r="GA22" s="62"/>
      <c r="GB22" s="62"/>
      <c r="GC22" s="62"/>
      <c r="GD22" s="62"/>
      <c r="GE22" s="62"/>
      <c r="GF22" s="169">
        <f>IF(COUNT(GF20,GF16,GF13,GF10,GF4)=0,"",SUM($B$4*IF(COUNT(GF4)=0,0,GF4),$B$10*IF(COUNT(GF10)=0,0,GF10),$B$13*IF(COUNT(GF13)=0,0,GF13),$B$16*IF(COUNT(GF16)=0,0,GF16),$B$20*IF(COUNT(GF20)=0,0,GF20))/SUM($B$4*COUNT(GF4),$B$10*COUNT(GF10),$B$13*COUNT(GF13),$B$16*COUNT(GF16),$B$20*COUNT(GF20)))</f>
        <v>2.6944444444444442</v>
      </c>
      <c r="GG22" s="193">
        <f>IF(GF22="","",GF22*5)</f>
        <v>13.472222222222221</v>
      </c>
      <c r="GH22" s="156"/>
      <c r="GI22" s="156"/>
      <c r="GJ22" s="131"/>
      <c r="GK22" s="131"/>
      <c r="GL22" s="131"/>
      <c r="GM22" s="169">
        <f>IF(COUNT(GM20,GM16,GM13,GM10,GM4)=0,"",SUM($B$4*IF(COUNT(GM4)=0,0,GM4),$B$10*IF(COUNT(GM10)=0,0,GM10),$B$13*IF(COUNT(GM13)=0,0,GM13),$B$16*IF(COUNT(GM16)=0,0,GM16),$B$20*IF(COUNT(GM20)=0,0,GM20))/SUM($B$4*COUNT(GM4),$B$10*COUNT(GM10),$B$13*COUNT(GM13),$B$16*COUNT(GM16),$B$20*COUNT(GM20)))</f>
        <v>1.7083333333333333</v>
      </c>
      <c r="GN22" s="170">
        <f>IF(GM22="","",GM22*5)</f>
        <v>8.5416666666666661</v>
      </c>
      <c r="GO22" s="62"/>
      <c r="GP22" s="62"/>
      <c r="GQ22" s="62"/>
      <c r="GR22" s="62"/>
      <c r="GS22" s="169">
        <f>IF(COUNT(GS20,GS16,GS13,GS10,GS4)=0,"",SUM($B$4*IF(COUNT(GS4)=0,0,GS4),$B$10*IF(COUNT(GS10)=0,0,GS10),$B$13*IF(COUNT(GS13)=0,0,GS13),$B$16*IF(COUNT(GS16)=0,0,GS16),$B$20*IF(COUNT(GS20)=0,0,GS20))/SUM($B$4*COUNT(GS4),$B$10*COUNT(GS10),$B$13*COUNT(GS13),$B$16*COUNT(GS16),$B$20*COUNT(GS20)))</f>
        <v>2.25</v>
      </c>
      <c r="GT22" s="176">
        <f>IF(GS22="","",GS22*5)</f>
        <v>11.25</v>
      </c>
      <c r="GU22" s="62"/>
      <c r="GV22" s="62"/>
      <c r="GW22" s="62"/>
      <c r="GX22" s="62"/>
      <c r="GY22" s="62"/>
      <c r="GZ22" s="62"/>
      <c r="HA22" s="169">
        <f>IF(COUNT(HA20,HA16,HA13,HA10,HA4)=0,"",SUM($B$4*IF(COUNT(HA4)=0,0,HA4),$B$10*IF(COUNT(HA10)=0,0,HA10),$B$13*IF(COUNT(HA13)=0,0,HA13),$B$16*IF(COUNT(HA16)=0,0,HA16),$B$20*IF(COUNT(HA20)=0,0,HA20))/SUM($B$4*COUNT(HA4),$B$10*COUNT(HA10),$B$13*COUNT(HA13),$B$16*COUNT(HA16),$B$20*COUNT(HA20)))</f>
        <v>2.4375</v>
      </c>
      <c r="HB22" s="193">
        <f>IF(HA22="","",HA22*5)</f>
        <v>12.1875</v>
      </c>
      <c r="HC22" s="156"/>
      <c r="HD22" s="156"/>
      <c r="HE22" s="131"/>
      <c r="HF22" s="131"/>
      <c r="HG22" s="131"/>
      <c r="HH22" s="169">
        <f>IF(COUNT(HH20,HH16,HH13,HH10,HH4)=0,"",SUM($B$4*IF(COUNT(HH4)=0,0,HH4),$B$10*IF(COUNT(HH10)=0,0,HH10),$B$13*IF(COUNT(HH13)=0,0,HH13),$B$16*IF(COUNT(HH16)=0,0,HH16),$B$20*IF(COUNT(HH20)=0,0,HH20))/SUM($B$4*COUNT(HH4),$B$10*COUNT(HH10),$B$13*COUNT(HH13),$B$16*COUNT(HH16),$B$20*COUNT(HH20)))</f>
        <v>2.5</v>
      </c>
      <c r="HI22" s="170">
        <f>IF(HH22="","",HH22*5)</f>
        <v>12.5</v>
      </c>
      <c r="HJ22" s="62"/>
      <c r="HK22" s="62"/>
      <c r="HL22" s="62"/>
      <c r="HM22" s="62"/>
      <c r="HN22" s="169">
        <f>IF(COUNT(HN20,HN16,HN13,HN10,HN4)=0,"",SUM($B$4*IF(COUNT(HN4)=0,0,HN4),$B$10*IF(COUNT(HN10)=0,0,HN10),$B$13*IF(COUNT(HN13)=0,0,HN13),$B$16*IF(COUNT(HN16)=0,0,HN16),$B$20*IF(COUNT(HN20)=0,0,HN20))/SUM($B$4*COUNT(HN4),$B$10*COUNT(HN10),$B$13*COUNT(HN13),$B$16*COUNT(HN16),$B$20*COUNT(HN20)))</f>
        <v>3.25</v>
      </c>
      <c r="HO22" s="176">
        <f>IF(HN22="","",HN22*5)</f>
        <v>16.25</v>
      </c>
      <c r="HP22" s="62"/>
      <c r="HQ22" s="62"/>
      <c r="HR22" s="62"/>
      <c r="HS22" s="62"/>
      <c r="HT22" s="62"/>
      <c r="HU22" s="62"/>
      <c r="HV22" s="169">
        <f>IF(COUNT(HV20,HV16,HV13,HV10,HV4)=0,"",SUM($B$4*IF(COUNT(HV4)=0,0,HV4),$B$10*IF(COUNT(HV10)=0,0,HV10),$B$13*IF(COUNT(HV13)=0,0,HV13),$B$16*IF(COUNT(HV16)=0,0,HV16),$B$20*IF(COUNT(HV20)=0,0,HV20))/SUM($B$4*COUNT(HV4),$B$10*COUNT(HV10),$B$13*COUNT(HV13),$B$16*COUNT(HV16),$B$20*COUNT(HV20)))</f>
        <v>3.2916666666666665</v>
      </c>
      <c r="HW22" s="193">
        <f>IF(HV22="","",HV22*5)</f>
        <v>16.458333333333332</v>
      </c>
      <c r="HX22" s="156"/>
      <c r="HY22" s="156"/>
      <c r="HZ22" s="131"/>
      <c r="IA22" s="131"/>
      <c r="IB22" s="131"/>
      <c r="IC22" s="169">
        <f>IF(COUNT(IC20,IC16,IC13,IC10,IC4)=0,"",SUM($B$4*IF(COUNT(IC4)=0,0,IC4),$B$10*IF(COUNT(IC10)=0,0,IC10),$B$13*IF(COUNT(IC13)=0,0,IC13),$B$16*IF(COUNT(IC16)=0,0,IC16),$B$20*IF(COUNT(IC20)=0,0,IC20))/SUM($B$4*COUNT(IC4),$B$10*COUNT(IC10),$B$13*COUNT(IC13),$B$16*COUNT(IC16),$B$20*COUNT(IC20)))</f>
        <v>1.75</v>
      </c>
      <c r="ID22" s="170">
        <f>IF(IC22="","",IC22*5)</f>
        <v>8.75</v>
      </c>
      <c r="IE22" s="62"/>
      <c r="IF22" s="62"/>
      <c r="IG22" s="62"/>
      <c r="IH22" s="62"/>
      <c r="II22" s="169">
        <f>IF(COUNT(II20,II16,II13,II10,II4)=0,"",SUM($B$4*IF(COUNT(II4)=0,0,II4),$B$10*IF(COUNT(II10)=0,0,II10),$B$13*IF(COUNT(II13)=0,0,II13),$B$16*IF(COUNT(II16)=0,0,II16),$B$20*IF(COUNT(II20)=0,0,II20))/SUM($B$4*COUNT(II4),$B$10*COUNT(II10),$B$13*COUNT(II13),$B$16*COUNT(II16),$B$20*COUNT(II20)))</f>
        <v>1.25</v>
      </c>
      <c r="IJ22" s="176">
        <f>IF(II22="","",II22*5)</f>
        <v>6.25</v>
      </c>
      <c r="IK22" s="62"/>
      <c r="IL22" s="62"/>
      <c r="IM22" s="62"/>
      <c r="IN22" s="62"/>
      <c r="IO22" s="62"/>
      <c r="IP22" s="62"/>
      <c r="IQ22" s="169">
        <f>IF(COUNT(IQ20,IQ16,IQ13,IQ10,IQ4)=0,"",SUM($B$4*IF(COUNT(IQ4)=0,0,IQ4),$B$10*IF(COUNT(IQ10)=0,0,IQ10),$B$13*IF(COUNT(IQ13)=0,0,IQ13),$B$16*IF(COUNT(IQ16)=0,0,IQ16),$B$20*IF(COUNT(IQ20)=0,0,IQ20))/SUM($B$4*COUNT(IQ4),$B$10*COUNT(IQ10),$B$13*COUNT(IQ13),$B$16*COUNT(IQ16),$B$20*COUNT(IQ20)))</f>
        <v>3.0416666666666665</v>
      </c>
      <c r="IR22" s="193">
        <f>IF(IQ22="","",IQ22*5)</f>
        <v>15.208333333333332</v>
      </c>
      <c r="IS22" s="156"/>
      <c r="IT22" s="156"/>
      <c r="IU22" s="131"/>
      <c r="IV22" s="131"/>
      <c r="IW22" s="131"/>
      <c r="IX22" s="169">
        <f>IF(COUNT(IX20,IX16,IX13,IX10,IX4)=0,"",SUM($B$4*IF(COUNT(IX4)=0,0,IX4),$B$10*IF(COUNT(IX10)=0,0,IX10),$B$13*IF(COUNT(IX13)=0,0,IX13),$B$16*IF(COUNT(IX16)=0,0,IX16),$B$20*IF(COUNT(IX20)=0,0,IX20))/SUM($B$4*COUNT(IX4),$B$10*COUNT(IX10),$B$13*COUNT(IX13),$B$16*COUNT(IX16),$B$20*COUNT(IX20)))</f>
        <v>2.9166666666666665</v>
      </c>
      <c r="IY22" s="170">
        <f>IF(IX22="","",IX22*5)</f>
        <v>14.583333333333332</v>
      </c>
      <c r="IZ22" s="62"/>
      <c r="JA22" s="62"/>
      <c r="JB22" s="62"/>
      <c r="JC22" s="62"/>
      <c r="JD22" s="169">
        <f>IF(COUNT(JD20,JD16,JD13,JD10,JD4)=0,"",SUM($B$4*IF(COUNT(JD4)=0,0,JD4),$B$10*IF(COUNT(JD10)=0,0,JD10),$B$13*IF(COUNT(JD13)=0,0,JD13),$B$16*IF(COUNT(JD16)=0,0,JD16),$B$20*IF(COUNT(JD20)=0,0,JD20))/SUM($B$4*COUNT(JD4),$B$10*COUNT(JD10),$B$13*COUNT(JD13),$B$16*COUNT(JD16),$B$20*COUNT(JD20)))</f>
        <v>1.5</v>
      </c>
      <c r="JE22" s="176">
        <f>IF(JD22="","",JD22*5)</f>
        <v>7.5</v>
      </c>
      <c r="JF22" s="62"/>
      <c r="JG22" s="62"/>
      <c r="JH22" s="62"/>
      <c r="JI22" s="62"/>
      <c r="JJ22" s="62"/>
      <c r="JK22" s="62"/>
      <c r="JL22" s="169">
        <f>IF(COUNT(JL20,JL16,JL13,JL10,JL4)=0,"",SUM($B$4*IF(COUNT(JL4)=0,0,JL4),$B$10*IF(COUNT(JL10)=0,0,JL10),$B$13*IF(COUNT(JL13)=0,0,JL13),$B$16*IF(COUNT(JL16)=0,0,JL16),$B$20*IF(COUNT(JL20)=0,0,JL20))/SUM($B$4*COUNT(JL4),$B$10*COUNT(JL10),$B$13*COUNT(JL13),$B$16*COUNT(JL16),$B$20*COUNT(JL20)))</f>
        <v>3.2083333333333335</v>
      </c>
      <c r="JM22" s="193">
        <f>IF(JL22="","",JL22*5)</f>
        <v>16.041666666666668</v>
      </c>
      <c r="JN22" s="156"/>
      <c r="JO22" s="156"/>
      <c r="JP22" s="131"/>
      <c r="JQ22" s="131"/>
      <c r="JR22" s="131"/>
      <c r="JS22" s="169">
        <f>IF(COUNT(JS20,JS16,JS13,JS10,JS4)=0,"",SUM($B$4*IF(COUNT(JS4)=0,0,JS4),$B$10*IF(COUNT(JS10)=0,0,JS10),$B$13*IF(COUNT(JS13)=0,0,JS13),$B$16*IF(COUNT(JS16)=0,0,JS16),$B$20*IF(COUNT(JS20)=0,0,JS20))/SUM($B$4*COUNT(JS4),$B$10*COUNT(JS10),$B$13*COUNT(JS13),$B$16*COUNT(JS16),$B$20*COUNT(JS20)))</f>
        <v>2.4166666666666665</v>
      </c>
      <c r="JT22" s="170">
        <f>IF(JS22="","",JS22*5)</f>
        <v>12.083333333333332</v>
      </c>
      <c r="JU22" s="62"/>
      <c r="JV22" s="62"/>
      <c r="JW22" s="62"/>
      <c r="JX22" s="62"/>
      <c r="JY22" s="169">
        <f>IF(COUNT(JY20,JY16,JY13,JY10,JY4)=0,"",SUM($B$4*IF(COUNT(JY4)=0,0,JY4),$B$10*IF(COUNT(JY10)=0,0,JY10),$B$13*IF(COUNT(JY13)=0,0,JY13),$B$16*IF(COUNT(JY16)=0,0,JY16),$B$20*IF(COUNT(JY20)=0,0,JY20))/SUM($B$4*COUNT(JY4),$B$10*COUNT(JY10),$B$13*COUNT(JY13),$B$16*COUNT(JY16),$B$20*COUNT(JY20)))</f>
        <v>1.5</v>
      </c>
      <c r="JZ22" s="176">
        <f>IF(JY22="","",JY22*5)</f>
        <v>7.5</v>
      </c>
      <c r="KA22" s="62"/>
      <c r="KB22" s="62"/>
      <c r="KC22" s="62"/>
      <c r="KD22" s="62"/>
      <c r="KE22" s="62"/>
      <c r="KF22" s="62"/>
      <c r="KG22" s="169">
        <f>IF(COUNT(KG20,KG16,KG13,KG10,KG4)=0,"",SUM($B$4*IF(COUNT(KG4)=0,0,KG4),$B$10*IF(COUNT(KG10)=0,0,KG10),$B$13*IF(COUNT(KG13)=0,0,KG13),$B$16*IF(COUNT(KG16)=0,0,KG16),$B$20*IF(COUNT(KG20)=0,0,KG20))/SUM($B$4*COUNT(KG4),$B$10*COUNT(KG10),$B$13*COUNT(KG13),$B$16*COUNT(KG16),$B$20*COUNT(KG20)))</f>
        <v>2.7916666666666665</v>
      </c>
      <c r="KH22" s="193">
        <f>IF(KG22="","",KG22*5)</f>
        <v>13.958333333333332</v>
      </c>
      <c r="KI22" s="156"/>
      <c r="KJ22" s="156"/>
      <c r="KK22" s="131"/>
      <c r="KL22" s="131"/>
      <c r="KM22" s="131"/>
      <c r="KN22" s="169">
        <f>IF(COUNT(KN20,KN16,KN13,KN10,KN4)=0,"",SUM($B$4*IF(COUNT(KN4)=0,0,KN4),$B$10*IF(COUNT(KN10)=0,0,KN10),$B$13*IF(COUNT(KN13)=0,0,KN13),$B$16*IF(COUNT(KN16)=0,0,KN16),$B$20*IF(COUNT(KN20)=0,0,KN20))/SUM($B$4*COUNT(KN4),$B$10*COUNT(KN10),$B$13*COUNT(KN13),$B$16*COUNT(KN16),$B$20*COUNT(KN20)))</f>
        <v>1.6666666666666667</v>
      </c>
      <c r="KO22" s="170">
        <f>IF(KN22="","",KN22*5)</f>
        <v>8.3333333333333339</v>
      </c>
      <c r="KP22" s="62"/>
      <c r="KQ22" s="62"/>
      <c r="KR22" s="62"/>
      <c r="KS22" s="62"/>
      <c r="KT22" s="169">
        <f>IF(COUNT(KT20,KT16,KT13,KT10,KT4)=0,"",SUM($B$4*IF(COUNT(KT4)=0,0,KT4),$B$10*IF(COUNT(KT10)=0,0,KT10),$B$13*IF(COUNT(KT13)=0,0,KT13),$B$16*IF(COUNT(KT16)=0,0,KT16),$B$20*IF(COUNT(KT20)=0,0,KT20))/SUM($B$4*COUNT(KT4),$B$10*COUNT(KT10),$B$13*COUNT(KT13),$B$16*COUNT(KT16),$B$20*COUNT(KT20)))</f>
        <v>2.25</v>
      </c>
      <c r="KU22" s="176">
        <f>IF(KT22="","",KT22*5)</f>
        <v>11.25</v>
      </c>
      <c r="KV22" s="62"/>
      <c r="KW22" s="62"/>
      <c r="KX22" s="62"/>
      <c r="KY22" s="62"/>
      <c r="KZ22" s="62"/>
      <c r="LA22" s="62"/>
      <c r="LB22" s="169">
        <f>IF(COUNT(LB20,LB16,LB13,LB10,LB4)=0,"",SUM($B$4*IF(COUNT(LB4)=0,0,LB4),$B$10*IF(COUNT(LB10)=0,0,LB10),$B$13*IF(COUNT(LB13)=0,0,LB13),$B$16*IF(COUNT(LB16)=0,0,LB16),$B$20*IF(COUNT(LB20)=0,0,LB20))/SUM($B$4*COUNT(LB4),$B$10*COUNT(LB10),$B$13*COUNT(LB13),$B$16*COUNT(LB16),$B$20*COUNT(LB20)))</f>
        <v>3</v>
      </c>
      <c r="LC22" s="193">
        <f>IF(LB22="","",LB22*5)</f>
        <v>15</v>
      </c>
      <c r="LD22" s="156"/>
      <c r="LE22" s="156"/>
      <c r="LF22" s="131"/>
      <c r="LG22" s="131"/>
      <c r="LH22" s="131"/>
      <c r="LI22" s="169">
        <f>IF(COUNT(LI20,LI16,LI13,LI10,LI4)=0,"",SUM($B$4*IF(COUNT(LI4)=0,0,LI4),$B$10*IF(COUNT(LI10)=0,0,LI10),$B$13*IF(COUNT(LI13)=0,0,LI13),$B$16*IF(COUNT(LI16)=0,0,LI16),$B$20*IF(COUNT(LI20)=0,0,LI20))/SUM($B$4*COUNT(LI4),$B$10*COUNT(LI10),$B$13*COUNT(LI13),$B$16*COUNT(LI16),$B$20*COUNT(LI20)))</f>
        <v>1.75</v>
      </c>
      <c r="LJ22" s="170">
        <f>IF(LI22="","",LI22*5)</f>
        <v>8.75</v>
      </c>
      <c r="LK22" s="62"/>
      <c r="LL22" s="62"/>
      <c r="LM22" s="62"/>
      <c r="LN22" s="62"/>
      <c r="LO22" s="169">
        <f>IF(COUNT(LO20,LO16,LO13,LO10,LO4)=0,"",SUM($B$4*IF(COUNT(LO4)=0,0,LO4),$B$10*IF(COUNT(LO10)=0,0,LO10),$B$13*IF(COUNT(LO13)=0,0,LO13),$B$16*IF(COUNT(LO16)=0,0,LO16),$B$20*IF(COUNT(LO20)=0,0,LO20))/SUM($B$4*COUNT(LO4),$B$10*COUNT(LO10),$B$13*COUNT(LO13),$B$16*COUNT(LO16),$B$20*COUNT(LO20)))</f>
        <v>2.25</v>
      </c>
      <c r="LP22" s="176">
        <f>IF(LO22="","",LO22*5)</f>
        <v>11.25</v>
      </c>
      <c r="LQ22" s="62"/>
      <c r="LR22" s="62"/>
      <c r="LS22" s="62"/>
      <c r="LT22" s="62"/>
      <c r="LU22" s="62"/>
      <c r="LV22" s="62"/>
      <c r="LW22" s="169">
        <f>IF(COUNT(LW20,LW16,LW13,LW10,LW4)=0,"",SUM($B$4*IF(COUNT(LW4)=0,0,LW4),$B$10*IF(COUNT(LW10)=0,0,LW10),$B$13*IF(COUNT(LW13)=0,0,LW13),$B$16*IF(COUNT(LW16)=0,0,LW16),$B$20*IF(COUNT(LW20)=0,0,LW20))/SUM($B$4*COUNT(LW4),$B$10*COUNT(LW10),$B$13*COUNT(LW13),$B$16*COUNT(LW16),$B$20*COUNT(LW20)))</f>
        <v>2.4583333333333335</v>
      </c>
      <c r="LX22" s="193">
        <f>IF(LW22="","",LW22*5)</f>
        <v>12.291666666666668</v>
      </c>
      <c r="LY22" s="156"/>
      <c r="LZ22" s="156"/>
      <c r="MA22" s="131"/>
      <c r="MB22" s="131"/>
      <c r="MC22" s="131"/>
      <c r="MD22" s="169">
        <f>IF(COUNT(MD20,MD16,MD13,MD10,MD4)=0,"",SUM($B$4*IF(COUNT(MD4)=0,0,MD4),$B$10*IF(COUNT(MD10)=0,0,MD10),$B$13*IF(COUNT(MD13)=0,0,MD13),$B$16*IF(COUNT(MD16)=0,0,MD16),$B$20*IF(COUNT(MD20)=0,0,MD20))/SUM($B$4*COUNT(MD4),$B$10*COUNT(MD10),$B$13*COUNT(MD13),$B$16*COUNT(MD16),$B$20*COUNT(MD20)))</f>
        <v>2.125</v>
      </c>
      <c r="ME22" s="170">
        <f>IF(MD22="","",MD22*5)</f>
        <v>10.625</v>
      </c>
      <c r="MF22" s="62"/>
      <c r="MG22" s="62"/>
      <c r="MH22" s="62"/>
      <c r="MI22" s="62"/>
      <c r="MJ22" s="169">
        <f>IF(COUNT(MJ20,MJ16,MJ13,MJ10,MJ4)=0,"",SUM($B$4*IF(COUNT(MJ4)=0,0,MJ4),$B$10*IF(COUNT(MJ10)=0,0,MJ10),$B$13*IF(COUNT(MJ13)=0,0,MJ13),$B$16*IF(COUNT(MJ16)=0,0,MJ16),$B$20*IF(COUNT(MJ20)=0,0,MJ20))/SUM($B$4*COUNT(MJ4),$B$10*COUNT(MJ10),$B$13*COUNT(MJ13),$B$16*COUNT(MJ16),$B$20*COUNT(MJ20)))</f>
        <v>2</v>
      </c>
      <c r="MK22" s="176">
        <f>IF(MJ22="","",MJ22*5)</f>
        <v>10</v>
      </c>
      <c r="ML22" s="62"/>
      <c r="MM22" s="62"/>
      <c r="MN22" s="62"/>
      <c r="MO22" s="62"/>
      <c r="MP22" s="62"/>
      <c r="MQ22" s="62"/>
      <c r="MR22" s="169">
        <f>IF(COUNT(MR20,MR16,MR13,MR10,MR4)=0,"",SUM($B$4*IF(COUNT(MR4)=0,0,MR4),$B$10*IF(COUNT(MR10)=0,0,MR10),$B$13*IF(COUNT(MR13)=0,0,MR13),$B$16*IF(COUNT(MR16)=0,0,MR16),$B$20*IF(COUNT(MR20)=0,0,MR20))/SUM($B$4*COUNT(MR4),$B$10*COUNT(MR10),$B$13*COUNT(MR13),$B$16*COUNT(MR16),$B$20*COUNT(MR20)))</f>
        <v>2.8333333333333335</v>
      </c>
      <c r="MS22" s="193">
        <f>IF(MR22="","",MR22*5)</f>
        <v>14.166666666666668</v>
      </c>
      <c r="MT22" s="156"/>
      <c r="MU22" s="156"/>
      <c r="MV22" s="131"/>
      <c r="MW22" s="131"/>
      <c r="MX22" s="131"/>
      <c r="MY22" s="169">
        <f>IF(COUNT(MY20,MY16,MY13,MY10,MY4)=0,"",SUM($B$4*IF(COUNT(MY4)=0,0,MY4),$B$10*IF(COUNT(MY10)=0,0,MY10),$B$13*IF(COUNT(MY13)=0,0,MY13),$B$16*IF(COUNT(MY16)=0,0,MY16),$B$20*IF(COUNT(MY20)=0,0,MY20))/SUM($B$4*COUNT(MY4),$B$10*COUNT(MY10),$B$13*COUNT(MY13),$B$16*COUNT(MY16),$B$20*COUNT(MY20)))</f>
        <v>2.6666666666666665</v>
      </c>
      <c r="MZ22" s="170">
        <f>IF(MY22="","",MY22*5)</f>
        <v>13.333333333333332</v>
      </c>
      <c r="NA22" s="62"/>
      <c r="NB22" s="62"/>
      <c r="NC22" s="62"/>
      <c r="ND22" s="62"/>
      <c r="NE22" s="169">
        <f>IF(COUNT(NE20,NE16,NE13,NE10,NE4)=0,"",SUM($B$4*IF(COUNT(NE4)=0,0,NE4),$B$10*IF(COUNT(NE10)=0,0,NE10),$B$13*IF(COUNT(NE13)=0,0,NE13),$B$16*IF(COUNT(NE16)=0,0,NE16),$B$20*IF(COUNT(NE20)=0,0,NE20))/SUM($B$4*COUNT(NE4),$B$10*COUNT(NE10),$B$13*COUNT(NE13),$B$16*COUNT(NE16),$B$20*COUNT(NE20)))</f>
        <v>2.5</v>
      </c>
      <c r="NF22" s="176">
        <f>IF(NE22="","",NE22*5)</f>
        <v>12.5</v>
      </c>
      <c r="NG22" s="62"/>
      <c r="NH22" s="62"/>
      <c r="NI22" s="62"/>
      <c r="NJ22" s="62"/>
      <c r="NK22" s="62"/>
      <c r="NL22" s="62"/>
      <c r="NM22" s="169">
        <f>IF(COUNT(NM20,NM16,NM13,NM10,NM4)=0,"",SUM($B$4*IF(COUNT(NM4)=0,0,NM4),$B$10*IF(COUNT(NM10)=0,0,NM10),$B$13*IF(COUNT(NM13)=0,0,NM13),$B$16*IF(COUNT(NM16)=0,0,NM16),$B$20*IF(COUNT(NM20)=0,0,NM20))/SUM($B$4*COUNT(NM4),$B$10*COUNT(NM10),$B$13*COUNT(NM13),$B$16*COUNT(NM16),$B$20*COUNT(NM20)))</f>
        <v>3.2291666666666665</v>
      </c>
      <c r="NN22" s="193">
        <f>IF(NM22="","",NM22*5)</f>
        <v>16.145833333333332</v>
      </c>
      <c r="NO22" s="156"/>
      <c r="NP22" s="156"/>
      <c r="NQ22" s="131"/>
      <c r="NR22" s="131"/>
      <c r="NS22" s="131"/>
      <c r="NT22" s="169">
        <f>IF(COUNT(NT20,NT16,NT13,NT10,NT4)=0,"",SUM($B$4*IF(COUNT(NT4)=0,0,NT4),$B$10*IF(COUNT(NT10)=0,0,NT10),$B$13*IF(COUNT(NT13)=0,0,NT13),$B$16*IF(COUNT(NT16)=0,0,NT16),$B$20*IF(COUNT(NT20)=0,0,NT20))/SUM($B$4*COUNT(NT4),$B$10*COUNT(NT10),$B$13*COUNT(NT13),$B$16*COUNT(NT16),$B$20*COUNT(NT20)))</f>
        <v>2.1666666666666665</v>
      </c>
      <c r="NU22" s="170">
        <f>IF(NT22="","",NT22*5)</f>
        <v>10.833333333333332</v>
      </c>
      <c r="NV22" s="62"/>
      <c r="NW22" s="62"/>
      <c r="NX22" s="62"/>
      <c r="NY22" s="62"/>
      <c r="NZ22" s="169">
        <f>IF(COUNT(NZ20,NZ16,NZ13,NZ10,NZ4)=0,"",SUM($B$4*IF(COUNT(NZ4)=0,0,NZ4),$B$10*IF(COUNT(NZ10)=0,0,NZ10),$B$13*IF(COUNT(NZ13)=0,0,NZ13),$B$16*IF(COUNT(NZ16)=0,0,NZ16),$B$20*IF(COUNT(NZ20)=0,0,NZ20))/SUM($B$4*COUNT(NZ4),$B$10*COUNT(NZ10),$B$13*COUNT(NZ13),$B$16*COUNT(NZ16),$B$20*COUNT(NZ20)))</f>
        <v>1.25</v>
      </c>
      <c r="OA22" s="176">
        <f>IF(NZ22="","",NZ22*5)</f>
        <v>6.25</v>
      </c>
      <c r="OB22" s="62"/>
      <c r="OC22" s="62"/>
      <c r="OD22" s="62"/>
      <c r="OE22" s="62"/>
      <c r="OF22" s="62"/>
      <c r="OG22" s="62"/>
      <c r="OH22" s="169">
        <f>IF(COUNT(OH20,OH16,OH13,OH10,OH4)=0,"",SUM($B$4*IF(COUNT(OH4)=0,0,OH4),$B$10*IF(COUNT(OH10)=0,0,OH10),$B$13*IF(COUNT(OH13)=0,0,OH13),$B$16*IF(COUNT(OH16)=0,0,OH16),$B$20*IF(COUNT(OH20)=0,0,OH20))/SUM($B$4*COUNT(OH4),$B$10*COUNT(OH10),$B$13*COUNT(OH13),$B$16*COUNT(OH16),$B$20*COUNT(OH20)))</f>
        <v>3.0625</v>
      </c>
      <c r="OI22" s="193">
        <f>IF(OH22="","",OH22*5)</f>
        <v>15.3125</v>
      </c>
      <c r="OJ22" s="156"/>
      <c r="OK22" s="156"/>
      <c r="OL22" s="131"/>
      <c r="OM22" s="131"/>
      <c r="ON22" s="131"/>
      <c r="OO22" s="169">
        <f>IF(COUNT(OO20,OO16,OO13,OO10,OO4)=0,"",SUM($B$4*IF(COUNT(OO4)=0,0,OO4),$B$10*IF(COUNT(OO10)=0,0,OO10),$B$13*IF(COUNT(OO13)=0,0,OO13),$B$16*IF(COUNT(OO16)=0,0,OO16),$B$20*IF(COUNT(OO20)=0,0,OO20))/SUM($B$4*COUNT(OO4),$B$10*COUNT(OO10),$B$13*COUNT(OO13),$B$16*COUNT(OO16),$B$20*COUNT(OO20)))</f>
        <v>2.125</v>
      </c>
      <c r="OP22" s="170">
        <f>IF(OO22="","",OO22*5)</f>
        <v>10.625</v>
      </c>
      <c r="OQ22" s="62"/>
      <c r="OR22" s="62"/>
      <c r="OS22" s="62"/>
      <c r="OT22" s="62"/>
      <c r="OU22" s="169">
        <f>IF(COUNT(OU20,OU16,OU13,OU10,OU4)=0,"",SUM($B$4*IF(COUNT(OU4)=0,0,OU4),$B$10*IF(COUNT(OU10)=0,0,OU10),$B$13*IF(COUNT(OU13)=0,0,OU13),$B$16*IF(COUNT(OU16)=0,0,OU16),$B$20*IF(COUNT(OU20)=0,0,OU20))/SUM($B$4*COUNT(OU4),$B$10*COUNT(OU10),$B$13*COUNT(OU13),$B$16*COUNT(OU16),$B$20*COUNT(OU20)))</f>
        <v>2</v>
      </c>
      <c r="OV22" s="176">
        <f>IF(OU22="","",OU22*5)</f>
        <v>10</v>
      </c>
      <c r="OW22" s="62"/>
      <c r="OX22" s="62"/>
      <c r="OY22" s="62"/>
      <c r="OZ22" s="62"/>
      <c r="PA22" s="62"/>
      <c r="PB22" s="62"/>
      <c r="PC22" s="169">
        <f>IF(COUNT(PC20,PC16,PC13,PC10,PC4)=0,"",SUM($B$4*IF(COUNT(PC4)=0,0,PC4),$B$10*IF(COUNT(PC10)=0,0,PC10),$B$13*IF(COUNT(PC13)=0,0,PC13),$B$16*IF(COUNT(PC16)=0,0,PC16),$B$20*IF(COUNT(PC20)=0,0,PC20))/SUM($B$4*COUNT(PC4),$B$10*COUNT(PC10),$B$13*COUNT(PC13),$B$16*COUNT(PC16),$B$20*COUNT(PC20)))</f>
        <v>2.8541666666666665</v>
      </c>
      <c r="PD22" s="193">
        <f>IF(PC22="","",PC22*5)</f>
        <v>14.270833333333332</v>
      </c>
      <c r="PE22" s="156"/>
      <c r="PF22" s="156"/>
      <c r="PG22" s="131"/>
      <c r="PH22" s="131"/>
      <c r="PI22" s="131"/>
      <c r="PJ22" s="169">
        <f>IF(COUNT(PJ20,PJ16,PJ13,PJ10,PJ4)=0,"",SUM($B$4*IF(COUNT(PJ4)=0,0,PJ4),$B$10*IF(COUNT(PJ10)=0,0,PJ10),$B$13*IF(COUNT(PJ13)=0,0,PJ13),$B$16*IF(COUNT(PJ16)=0,0,PJ16),$B$20*IF(COUNT(PJ20)=0,0,PJ20))/SUM($B$4*COUNT(PJ4),$B$10*COUNT(PJ10),$B$13*COUNT(PJ13),$B$16*COUNT(PJ16),$B$20*COUNT(PJ20)))</f>
        <v>2.6666666666666665</v>
      </c>
      <c r="PK22" s="170">
        <f>IF(PJ22="","",PJ22*5)</f>
        <v>13.333333333333332</v>
      </c>
      <c r="PL22" s="62"/>
      <c r="PM22" s="62"/>
      <c r="PN22" s="62"/>
      <c r="PO22" s="62"/>
      <c r="PP22" s="169">
        <f>IF(COUNT(PP20,PP16,PP13,PP10,PP4)=0,"",SUM($B$4*IF(COUNT(PP4)=0,0,PP4),$B$10*IF(COUNT(PP10)=0,0,PP10),$B$13*IF(COUNT(PP13)=0,0,PP13),$B$16*IF(COUNT(PP16)=0,0,PP16),$B$20*IF(COUNT(PP20)=0,0,PP20))/SUM($B$4*COUNT(PP4),$B$10*COUNT(PP10),$B$13*COUNT(PP13),$B$16*COUNT(PP16),$B$20*COUNT(PP20)))</f>
        <v>3.25</v>
      </c>
      <c r="PQ22" s="176">
        <f>IF(PP22="","",PP22*5)</f>
        <v>16.25</v>
      </c>
      <c r="PR22" s="62"/>
      <c r="PS22" s="62"/>
      <c r="PT22" s="62"/>
      <c r="PU22" s="62"/>
      <c r="PV22" s="62"/>
      <c r="PW22" s="62"/>
      <c r="PX22" s="169">
        <f>IF(COUNT(PX20,PX16,PX13,PX10,PX4)=0,"",SUM($B$4*IF(COUNT(PX4)=0,0,PX4),$B$10*IF(COUNT(PX10)=0,0,PX10),$B$13*IF(COUNT(PX13)=0,0,PX13),$B$16*IF(COUNT(PX16)=0,0,PX16),$B$20*IF(COUNT(PX20)=0,0,PX20))/SUM($B$4*COUNT(PX4),$B$10*COUNT(PX10),$B$13*COUNT(PX13),$B$16*COUNT(PX16),$B$20*COUNT(PX20)))</f>
        <v>3.4375</v>
      </c>
      <c r="PY22" s="193">
        <f>IF(PX22="","",PX22*5)</f>
        <v>17.1875</v>
      </c>
      <c r="PZ22" s="156"/>
      <c r="QA22" s="156"/>
      <c r="QB22" s="131"/>
      <c r="QC22" s="131"/>
      <c r="QD22" s="131"/>
      <c r="QE22" s="169">
        <f>IF(COUNT(QE20,QE16,QE13,QE10,QE4)=0,"",SUM($B$4*IF(COUNT(QE4)=0,0,QE4),$B$10*IF(COUNT(QE10)=0,0,QE10),$B$13*IF(COUNT(QE13)=0,0,QE13),$B$16*IF(COUNT(QE16)=0,0,QE16),$B$20*IF(COUNT(QE20)=0,0,QE20))/SUM($B$4*COUNT(QE4),$B$10*COUNT(QE10),$B$13*COUNT(QE13),$B$16*COUNT(QE16),$B$20*COUNT(QE20)))</f>
        <v>3.2916666666666665</v>
      </c>
      <c r="QF22" s="170">
        <f>IF(QE22="","",QE22*5)</f>
        <v>16.458333333333332</v>
      </c>
      <c r="QG22" s="62"/>
      <c r="QH22" s="62"/>
      <c r="QI22" s="62"/>
      <c r="QJ22" s="62"/>
      <c r="QK22" s="169">
        <f>IF(COUNT(QK20,QK16,QK13,QK10,QK4)=0,"",SUM($B$4*IF(COUNT(QK4)=0,0,QK4),$B$10*IF(COUNT(QK10)=0,0,QK10),$B$13*IF(COUNT(QK13)=0,0,QK13),$B$16*IF(COUNT(QK16)=0,0,QK16),$B$20*IF(COUNT(QK20)=0,0,QK20))/SUM($B$4*COUNT(QK4),$B$10*COUNT(QK10),$B$13*COUNT(QK13),$B$16*COUNT(QK16),$B$20*COUNT(QK20)))</f>
        <v>3.5</v>
      </c>
      <c r="QL22" s="176">
        <f>IF(QK22="","",QK22*5)</f>
        <v>17.5</v>
      </c>
      <c r="QM22" s="62"/>
      <c r="QN22" s="62"/>
      <c r="QO22" s="62"/>
      <c r="QP22" s="62"/>
      <c r="QQ22" s="62"/>
      <c r="QR22" s="62"/>
      <c r="QS22" s="169">
        <f>IF(COUNT(QS20,QS16,QS13,QS10,QS4)=0,"",SUM($B$4*IF(COUNT(QS4)=0,0,QS4),$B$10*IF(COUNT(QS10)=0,0,QS10),$B$13*IF(COUNT(QS13)=0,0,QS13),$B$16*IF(COUNT(QS16)=0,0,QS16),$B$20*IF(COUNT(QS20)=0,0,QS20))/SUM($B$4*COUNT(QS4),$B$10*COUNT(QS10),$B$13*COUNT(QS13),$B$16*COUNT(QS16),$B$20*COUNT(QS20)))</f>
        <v>3.625</v>
      </c>
      <c r="QT22" s="193">
        <f>IF(QS22="","",QS22*5)</f>
        <v>18.125</v>
      </c>
      <c r="QU22" s="156"/>
      <c r="QV22" s="156"/>
      <c r="QW22" s="131"/>
      <c r="QX22" s="131"/>
      <c r="QY22" s="131"/>
      <c r="QZ22" s="169">
        <f>IF(COUNT(QZ20,QZ16,QZ13,QZ10,QZ4)=0,"",SUM($B$4*IF(COUNT(QZ4)=0,0,QZ4),$B$10*IF(COUNT(QZ10)=0,0,QZ10),$B$13*IF(COUNT(QZ13)=0,0,QZ13),$B$16*IF(COUNT(QZ16)=0,0,QZ16),$B$20*IF(COUNT(QZ20)=0,0,QZ20))/SUM($B$4*COUNT(QZ4),$B$10*COUNT(QZ10),$B$13*COUNT(QZ13),$B$16*COUNT(QZ16),$B$20*COUNT(QZ20)))</f>
        <v>1.9583333333333333</v>
      </c>
      <c r="RA22" s="170">
        <f>IF(QZ22="","",QZ22*5)</f>
        <v>9.7916666666666661</v>
      </c>
      <c r="RB22" s="62"/>
      <c r="RC22" s="62"/>
      <c r="RD22" s="62"/>
      <c r="RE22" s="62"/>
      <c r="RF22" s="169">
        <f>IF(COUNT(RF20,RF16,RF13,RF10,RF4)=0,"",SUM($B$4*IF(COUNT(RF4)=0,0,RF4),$B$10*IF(COUNT(RF10)=0,0,RF10),$B$13*IF(COUNT(RF13)=0,0,RF13),$B$16*IF(COUNT(RF16)=0,0,RF16),$B$20*IF(COUNT(RF20)=0,0,RF20))/SUM($B$4*COUNT(RF4),$B$10*COUNT(RF10),$B$13*COUNT(RF13),$B$16*COUNT(RF16),$B$20*COUNT(RF20)))</f>
        <v>2.75</v>
      </c>
      <c r="RG22" s="176">
        <f>IF(RF22="","",RF22*5)</f>
        <v>13.75</v>
      </c>
      <c r="RH22" s="62"/>
      <c r="RI22" s="62"/>
      <c r="RJ22" s="62"/>
      <c r="RK22" s="62"/>
      <c r="RL22" s="62"/>
      <c r="RM22" s="62"/>
      <c r="RN22" s="169">
        <f>IF(COUNT(RN20,RN16,RN13,RN10,RN4)=0,"",SUM($B$4*IF(COUNT(RN4)=0,0,RN4),$B$10*IF(COUNT(RN10)=0,0,RN10),$B$13*IF(COUNT(RN13)=0,0,RN13),$B$16*IF(COUNT(RN16)=0,0,RN16),$B$20*IF(COUNT(RN20)=0,0,RN20))/SUM($B$4*COUNT(RN4),$B$10*COUNT(RN10),$B$13*COUNT(RN13),$B$16*COUNT(RN16),$B$20*COUNT(RN20)))</f>
        <v>3.0972222222222228</v>
      </c>
      <c r="RO22" s="193">
        <f>IF(RN22="","",RN22*5)</f>
        <v>15.486111111111114</v>
      </c>
      <c r="RP22" s="156"/>
      <c r="RQ22" s="156"/>
      <c r="RR22" s="131"/>
      <c r="RS22" s="131"/>
      <c r="RT22" s="131"/>
      <c r="RU22" s="169">
        <f>IF(COUNT(RU20,RU16,RU13,RU10,RU4)=0,"",SUM($B$4*IF(COUNT(RU4)=0,0,RU4),$B$10*IF(COUNT(RU10)=0,0,RU10),$B$13*IF(COUNT(RU13)=0,0,RU13),$B$16*IF(COUNT(RU16)=0,0,RU16),$B$20*IF(COUNT(RU20)=0,0,RU20))/SUM($B$4*COUNT(RU4),$B$10*COUNT(RU10),$B$13*COUNT(RU13),$B$16*COUNT(RU16),$B$20*COUNT(RU20)))</f>
        <v>2.7916666666666665</v>
      </c>
      <c r="RV22" s="170">
        <f>IF(RU22="","",RU22*5)</f>
        <v>13.958333333333332</v>
      </c>
      <c r="RW22" s="62"/>
      <c r="RX22" s="62"/>
      <c r="RY22" s="62"/>
      <c r="RZ22" s="62"/>
      <c r="SA22" s="169">
        <f>IF(COUNT(SA20,SA16,SA13,SA10,SA4)=0,"",SUM($B$4*IF(COUNT(SA4)=0,0,SA4),$B$10*IF(COUNT(SA10)=0,0,SA10),$B$13*IF(COUNT(SA13)=0,0,SA13),$B$16*IF(COUNT(SA16)=0,0,SA16),$B$20*IF(COUNT(SA20)=0,0,SA20))/SUM($B$4*COUNT(SA4),$B$10*COUNT(SA10),$B$13*COUNT(SA13),$B$16*COUNT(SA16),$B$20*COUNT(SA20)))</f>
        <v>1.5</v>
      </c>
      <c r="SB22" s="176">
        <f>IF(SA22="","",SA22*5)</f>
        <v>7.5</v>
      </c>
      <c r="SC22" s="62"/>
      <c r="SD22" s="62"/>
      <c r="SE22" s="62"/>
      <c r="SF22" s="62"/>
      <c r="SG22" s="62"/>
      <c r="SH22" s="62"/>
      <c r="SI22" s="169">
        <f>IF(COUNT(SI20,SI16,SI13,SI10,SI4)=0,"",SUM($B$4*IF(COUNT(SI4)=0,0,SI4),$B$10*IF(COUNT(SI10)=0,0,SI10),$B$13*IF(COUNT(SI13)=0,0,SI13),$B$16*IF(COUNT(SI16)=0,0,SI16),$B$20*IF(COUNT(SI20)=0,0,SI20))/SUM($B$4*COUNT(SI4),$B$10*COUNT(SI10),$B$13*COUNT(SI13),$B$16*COUNT(SI16),$B$20*COUNT(SI20)))</f>
        <v>3.375</v>
      </c>
      <c r="SJ22" s="193">
        <f>IF(SI22="","",SI22*5)</f>
        <v>16.875</v>
      </c>
      <c r="SK22" s="156"/>
      <c r="SL22" s="156"/>
      <c r="SM22" s="131"/>
      <c r="SN22" s="131"/>
      <c r="SO22" s="131"/>
      <c r="SP22" s="169">
        <f>IF(COUNT(SP20,SP16,SP13,SP10,SP4)=0,"",SUM($B$4*IF(COUNT(SP4)=0,0,SP4),$B$10*IF(COUNT(SP10)=0,0,SP10),$B$13*IF(COUNT(SP13)=0,0,SP13),$B$16*IF(COUNT(SP16)=0,0,SP16),$B$20*IF(COUNT(SP20)=0,0,SP20))/SUM($B$4*COUNT(SP4),$B$10*COUNT(SP10),$B$13*COUNT(SP13),$B$16*COUNT(SP16),$B$20*COUNT(SP20)))</f>
        <v>1.9583333333333333</v>
      </c>
      <c r="SQ22" s="170">
        <f>IF(SP22="","",SP22*5)</f>
        <v>9.7916666666666661</v>
      </c>
      <c r="SR22" s="62"/>
      <c r="SS22" s="62"/>
      <c r="ST22" s="62"/>
      <c r="SU22" s="62"/>
      <c r="SV22" s="169">
        <f>IF(COUNT(SV20,SV16,SV13,SV10,SV4)=0,"",SUM($B$4*IF(COUNT(SV4)=0,0,SV4),$B$10*IF(COUNT(SV10)=0,0,SV10),$B$13*IF(COUNT(SV13)=0,0,SV13),$B$16*IF(COUNT(SV16)=0,0,SV16),$B$20*IF(COUNT(SV20)=0,0,SV20))/SUM($B$4*COUNT(SV4),$B$10*COUNT(SV10),$B$13*COUNT(SV13),$B$16*COUNT(SV16),$B$20*COUNT(SV20)))</f>
        <v>2.75</v>
      </c>
      <c r="SW22" s="176">
        <f>IF(SV22="","",SV22*5)</f>
        <v>13.75</v>
      </c>
      <c r="SX22" s="62"/>
      <c r="SY22" s="62"/>
      <c r="SZ22" s="62"/>
      <c r="TA22" s="62"/>
      <c r="TB22" s="62"/>
      <c r="TC22" s="62"/>
      <c r="TD22" s="169">
        <f>IF(COUNT(TD20,TD16,TD13,TD10,TD4)=0,"",SUM($B$4*IF(COUNT(TD4)=0,0,TD4),$B$10*IF(COUNT(TD10)=0,0,TD10),$B$13*IF(COUNT(TD13)=0,0,TD13),$B$16*IF(COUNT(TD16)=0,0,TD16),$B$20*IF(COUNT(TD20)=0,0,TD20))/SUM($B$4*COUNT(TD4),$B$10*COUNT(TD10),$B$13*COUNT(TD13),$B$16*COUNT(TD16),$B$20*COUNT(TD20)))</f>
        <v>2.9791666666666665</v>
      </c>
      <c r="TE22" s="193">
        <f>IF(TD22="","",TD22*5)</f>
        <v>14.895833333333332</v>
      </c>
      <c r="TF22" s="156"/>
      <c r="TG22" s="156"/>
      <c r="TH22" s="131"/>
      <c r="TI22" s="131"/>
      <c r="TJ22" s="131"/>
      <c r="TK22" s="132" t="str">
        <f>IF(COUNT(TK20,TK16,TK13,TK10,TK4)=0,"",SUM($B$4*IF(COUNT(TK4)=0,0,TK4),$B$10*IF(COUNT(TK10)=0,0,TK10),$B$13*IF(COUNT(TK13)=0,0,TK13),$B$16*IF(COUNT(TK16)=0,0,TK16),$B$20*IF(COUNT(TK20)=0,0,TK20))/SUM($B$4*COUNT(TK4),$B$10*COUNT(TK10),$B$13*COUNT(TK13),$B$16*COUNT(TK16),$B$20*COUNT(TK20)))</f>
        <v/>
      </c>
      <c r="TL22" s="133" t="str">
        <f>IF(TK22="","",TK22*5)</f>
        <v/>
      </c>
      <c r="TM22" s="62"/>
      <c r="TN22" s="62"/>
      <c r="TO22" s="62"/>
      <c r="TP22" s="132" t="str">
        <f>IF(COUNT(TP20,TP16,TP13,TP10,TP4)=0,"",SUM($B$4*IF(COUNT(TP4)=0,0,TP4),$B$10*IF(COUNT(TP10)=0,0,TP10),$B$13*IF(COUNT(TP13)=0,0,TP13),$B$16*IF(COUNT(TP16)=0,0,TP16),$B$20*IF(COUNT(TP20)=0,0,TP20))/SUM($B$4*COUNT(TP4),$B$10*COUNT(TP10),$B$13*COUNT(TP13),$B$16*COUNT(TP16),$B$20*COUNT(TP20)))</f>
        <v/>
      </c>
      <c r="TQ22" s="134" t="str">
        <f>IF(TP22="","",TP22*5)</f>
        <v/>
      </c>
      <c r="TR22" s="62"/>
      <c r="TS22" s="62"/>
      <c r="TT22" s="62"/>
      <c r="TU22" s="132" t="str">
        <f>IF(COUNT(TU20,TU16,TU13,TU10,TU4)=0,"",SUM($B$4*IF(COUNT(TU4)=0,0,TU4),$B$10*IF(COUNT(TU10)=0,0,TU10),$B$13*IF(COUNT(TU13)=0,0,TU13),$B$16*IF(COUNT(TU16)=0,0,TU16),$B$20*IF(COUNT(TU20)=0,0,TU20))/SUM($B$4*COUNT(TU4),$B$10*COUNT(TU10),$B$13*COUNT(TU13),$B$16*COUNT(TU16),$B$20*COUNT(TU20)))</f>
        <v/>
      </c>
      <c r="TV22" s="135" t="str">
        <f>IF(TU22="","",TU22*5)</f>
        <v/>
      </c>
      <c r="TW22" s="61"/>
      <c r="TX22" s="61"/>
      <c r="TY22" s="131"/>
      <c r="TZ22" s="131"/>
      <c r="UA22" s="131"/>
      <c r="UB22" s="132" t="str">
        <f>IF(COUNT(UB20,UB16,UB13,UB10,UB4)=0,"",SUM($B$4*IF(COUNT(UB4)=0,0,UB4),$B$10*IF(COUNT(UB10)=0,0,UB10),$B$13*IF(COUNT(UB13)=0,0,UB13),$B$16*IF(COUNT(UB16)=0,0,UB16),$B$20*IF(COUNT(UB20)=0,0,UB20))/SUM($B$4*COUNT(UB4),$B$10*COUNT(UB10),$B$13*COUNT(UB13),$B$16*COUNT(UB16),$B$20*COUNT(UB20)))</f>
        <v/>
      </c>
      <c r="UC22" s="133" t="str">
        <f>IF(UB22="","",UB22*5)</f>
        <v/>
      </c>
      <c r="UD22" s="62"/>
      <c r="UE22" s="62"/>
      <c r="UF22" s="62"/>
      <c r="UG22" s="132" t="str">
        <f>IF(COUNT(UG20,UG16,UG13,UG10,UG4)=0,"",SUM($B$4*IF(COUNT(UG4)=0,0,UG4),$B$10*IF(COUNT(UG10)=0,0,UG10),$B$13*IF(COUNT(UG13)=0,0,UG13),$B$16*IF(COUNT(UG16)=0,0,UG16),$B$20*IF(COUNT(UG20)=0,0,UG20))/SUM($B$4*COUNT(UG4),$B$10*COUNT(UG10),$B$13*COUNT(UG13),$B$16*COUNT(UG16),$B$20*COUNT(UG20)))</f>
        <v/>
      </c>
      <c r="UH22" s="134" t="str">
        <f>IF(UG22="","",UG22*5)</f>
        <v/>
      </c>
      <c r="UI22" s="62"/>
      <c r="UJ22" s="62"/>
      <c r="UK22" s="62"/>
      <c r="UL22" s="132" t="str">
        <f>IF(COUNT(UL20,UL16,UL13,UL10,UL4)=0,"",SUM($B$4*IF(COUNT(UL4)=0,0,UL4),$B$10*IF(COUNT(UL10)=0,0,UL10),$B$13*IF(COUNT(UL13)=0,0,UL13),$B$16*IF(COUNT(UL16)=0,0,UL16),$B$20*IF(COUNT(UL20)=0,0,UL20))/SUM($B$4*COUNT(UL4),$B$10*COUNT(UL10),$B$13*COUNT(UL13),$B$16*COUNT(UL16),$B$20*COUNT(UL20)))</f>
        <v/>
      </c>
      <c r="UM22" s="135" t="str">
        <f>IF(UL22="","",UL22*5)</f>
        <v/>
      </c>
      <c r="UN22" s="61"/>
      <c r="UO22" s="61"/>
      <c r="UP22" s="131"/>
      <c r="UQ22" s="131"/>
      <c r="UR22" s="131"/>
      <c r="US22" s="132" t="str">
        <f>IF(COUNT(US20,US16,US13,US10,US4)=0,"",SUM($B$4*IF(COUNT(US4)=0,0,US4),$B$10*IF(COUNT(US10)=0,0,US10),$B$13*IF(COUNT(US13)=0,0,US13),$B$16*IF(COUNT(US16)=0,0,US16),$B$20*IF(COUNT(US20)=0,0,US20))/SUM($B$4*COUNT(US4),$B$10*COUNT(US10),$B$13*COUNT(US13),$B$16*COUNT(US16),$B$20*COUNT(US20)))</f>
        <v/>
      </c>
      <c r="UT22" s="133" t="str">
        <f>IF(US22="","",US22*5)</f>
        <v/>
      </c>
      <c r="UU22" s="62"/>
      <c r="UV22" s="62"/>
      <c r="UW22" s="62"/>
      <c r="UX22" s="132" t="str">
        <f>IF(COUNT(UX20,UX16,UX13,UX10,UX4)=0,"",SUM($B$4*IF(COUNT(UX4)=0,0,UX4),$B$10*IF(COUNT(UX10)=0,0,UX10),$B$13*IF(COUNT(UX13)=0,0,UX13),$B$16*IF(COUNT(UX16)=0,0,UX16),$B$20*IF(COUNT(UX20)=0,0,UX20))/SUM($B$4*COUNT(UX4),$B$10*COUNT(UX10),$B$13*COUNT(UX13),$B$16*COUNT(UX16),$B$20*COUNT(UX20)))</f>
        <v/>
      </c>
      <c r="UY22" s="134" t="str">
        <f>IF(UX22="","",UX22*5)</f>
        <v/>
      </c>
      <c r="UZ22" s="62"/>
      <c r="VA22" s="62"/>
      <c r="VB22" s="62"/>
      <c r="VC22" s="132" t="str">
        <f>IF(COUNT(VC20,VC16,VC13,VC10,VC4)=0,"",SUM($B$4*IF(COUNT(VC4)=0,0,VC4),$B$10*IF(COUNT(VC10)=0,0,VC10),$B$13*IF(COUNT(VC13)=0,0,VC13),$B$16*IF(COUNT(VC16)=0,0,VC16),$B$20*IF(COUNT(VC20)=0,0,VC20))/SUM($B$4*COUNT(VC4),$B$10*COUNT(VC10),$B$13*COUNT(VC13),$B$16*COUNT(VC16),$B$20*COUNT(VC20)))</f>
        <v/>
      </c>
      <c r="VD22" s="135" t="str">
        <f>IF(VC22="","",VC22*5)</f>
        <v/>
      </c>
      <c r="VE22" s="61"/>
      <c r="VF22" s="61"/>
      <c r="VG22" s="131"/>
      <c r="VH22" s="131"/>
      <c r="VI22" s="131"/>
      <c r="VJ22" s="132" t="str">
        <f>IF(COUNT(VJ20,VJ16,VJ13,VJ10,VJ4)=0,"",SUM($B$4*IF(COUNT(VJ4)=0,0,VJ4),$B$10*IF(COUNT(VJ10)=0,0,VJ10),$B$13*IF(COUNT(VJ13)=0,0,VJ13),$B$16*IF(COUNT(VJ16)=0,0,VJ16),$B$20*IF(COUNT(VJ20)=0,0,VJ20))/SUM($B$4*COUNT(VJ4),$B$10*COUNT(VJ10),$B$13*COUNT(VJ13),$B$16*COUNT(VJ16),$B$20*COUNT(VJ20)))</f>
        <v/>
      </c>
      <c r="VK22" s="133" t="str">
        <f>IF(VJ22="","",VJ22*5)</f>
        <v/>
      </c>
      <c r="VL22" s="62"/>
      <c r="VM22" s="62"/>
      <c r="VN22" s="62"/>
      <c r="VO22" s="132" t="str">
        <f>IF(COUNT(VO20,VO16,VO13,VO10,VO4)=0,"",SUM($B$4*IF(COUNT(VO4)=0,0,VO4),$B$10*IF(COUNT(VO10)=0,0,VO10),$B$13*IF(COUNT(VO13)=0,0,VO13),$B$16*IF(COUNT(VO16)=0,0,VO16),$B$20*IF(COUNT(VO20)=0,0,VO20))/SUM($B$4*COUNT(VO4),$B$10*COUNT(VO10),$B$13*COUNT(VO13),$B$16*COUNT(VO16),$B$20*COUNT(VO20)))</f>
        <v/>
      </c>
      <c r="VP22" s="134" t="str">
        <f>IF(VO22="","",VO22*5)</f>
        <v/>
      </c>
      <c r="VQ22" s="62"/>
      <c r="VR22" s="62"/>
      <c r="VS22" s="62"/>
      <c r="VT22" s="132" t="str">
        <f>IF(COUNT(VT20,VT16,VT13,VT10,VT4)=0,"",SUM($B$4*IF(COUNT(VT4)=0,0,VT4),$B$10*IF(COUNT(VT10)=0,0,VT10),$B$13*IF(COUNT(VT13)=0,0,VT13),$B$16*IF(COUNT(VT16)=0,0,VT16),$B$20*IF(COUNT(VT20)=0,0,VT20))/SUM($B$4*COUNT(VT4),$B$10*COUNT(VT10),$B$13*COUNT(VT13),$B$16*COUNT(VT16),$B$20*COUNT(VT20)))</f>
        <v/>
      </c>
      <c r="VU22" s="135" t="str">
        <f>IF(VT22="","",VT22*5)</f>
        <v/>
      </c>
      <c r="VV22" s="61"/>
      <c r="VW22" s="61"/>
      <c r="VX22" s="131"/>
      <c r="VY22" s="131"/>
      <c r="VZ22" s="131"/>
      <c r="WA22" s="132" t="str">
        <f>IF(COUNT(WA20,WA16,WA13,WA10,WA4)=0,"",SUM($B$4*IF(COUNT(WA4)=0,0,WA4),$B$10*IF(COUNT(WA10)=0,0,WA10),$B$13*IF(COUNT(WA13)=0,0,WA13),$B$16*IF(COUNT(WA16)=0,0,WA16),$B$20*IF(COUNT(WA20)=0,0,WA20))/SUM($B$4*COUNT(WA4),$B$10*COUNT(WA10),$B$13*COUNT(WA13),$B$16*COUNT(WA16),$B$20*COUNT(WA20)))</f>
        <v/>
      </c>
      <c r="WB22" s="133" t="str">
        <f>IF(WA22="","",WA22*5)</f>
        <v/>
      </c>
      <c r="WC22" s="62"/>
      <c r="WD22" s="62"/>
      <c r="WE22" s="62"/>
      <c r="WF22" s="132" t="str">
        <f>IF(COUNT(WF20,WF16,WF13,WF10,WF4)=0,"",SUM($B$4*IF(COUNT(WF4)=0,0,WF4),$B$10*IF(COUNT(WF10)=0,0,WF10),$B$13*IF(COUNT(WF13)=0,0,WF13),$B$16*IF(COUNT(WF16)=0,0,WF16),$B$20*IF(COUNT(WF20)=0,0,WF20))/SUM($B$4*COUNT(WF4),$B$10*COUNT(WF10),$B$13*COUNT(WF13),$B$16*COUNT(WF16),$B$20*COUNT(WF20)))</f>
        <v/>
      </c>
      <c r="WG22" s="134" t="str">
        <f>IF(WF22="","",WF22*5)</f>
        <v/>
      </c>
      <c r="WH22" s="62"/>
      <c r="WI22" s="62"/>
      <c r="WJ22" s="62"/>
      <c r="WK22" s="132" t="str">
        <f>IF(COUNT(WK20,WK16,WK13,WK10,WK4)=0,"",SUM($B$4*IF(COUNT(WK4)=0,0,WK4),$B$10*IF(COUNT(WK10)=0,0,WK10),$B$13*IF(COUNT(WK13)=0,0,WK13),$B$16*IF(COUNT(WK16)=0,0,WK16),$B$20*IF(COUNT(WK20)=0,0,WK20))/SUM($B$4*COUNT(WK4),$B$10*COUNT(WK10),$B$13*COUNT(WK13),$B$16*COUNT(WK16),$B$20*COUNT(WK20)))</f>
        <v/>
      </c>
      <c r="WL22" s="135" t="str">
        <f>IF(WK22="","",WK22*5)</f>
        <v/>
      </c>
      <c r="WM22" s="61"/>
      <c r="WN22" s="61"/>
    </row>
    <row r="23" spans="1:612" s="136" customFormat="1" ht="16.5" x14ac:dyDescent="0.75">
      <c r="A23" s="146"/>
      <c r="B23" s="146"/>
      <c r="F23" s="146"/>
      <c r="G23" s="146"/>
      <c r="L23" s="146"/>
      <c r="M23" s="146"/>
      <c r="T23" s="146"/>
      <c r="U23" s="146"/>
      <c r="V23" s="172"/>
      <c r="W23" s="172"/>
      <c r="AA23" s="146"/>
      <c r="AB23" s="146"/>
      <c r="AG23" s="146"/>
      <c r="AH23" s="146"/>
      <c r="AO23" s="146"/>
      <c r="AP23" s="146"/>
      <c r="AQ23" s="172"/>
      <c r="AR23" s="172"/>
      <c r="BL23" s="137"/>
      <c r="BM23" s="137"/>
      <c r="CG23" s="137"/>
      <c r="CH23" s="137"/>
      <c r="DB23" s="137"/>
      <c r="DC23" s="137"/>
      <c r="DW23" s="137"/>
      <c r="DX23" s="137"/>
      <c r="ER23" s="137"/>
      <c r="ES23" s="137"/>
      <c r="FM23" s="137"/>
      <c r="FN23" s="137"/>
      <c r="GH23" s="137"/>
      <c r="GI23" s="137"/>
      <c r="HC23" s="137"/>
      <c r="HD23" s="137"/>
      <c r="HX23" s="137"/>
      <c r="HY23" s="137"/>
      <c r="IS23" s="137"/>
      <c r="IT23" s="137"/>
      <c r="JN23" s="137"/>
      <c r="JO23" s="137"/>
      <c r="KI23" s="137"/>
      <c r="KJ23" s="137"/>
      <c r="LD23" s="137"/>
      <c r="LE23" s="137"/>
      <c r="LY23" s="137"/>
      <c r="LZ23" s="137"/>
      <c r="MT23" s="137"/>
      <c r="MU23" s="137"/>
      <c r="NO23" s="137"/>
      <c r="NP23" s="137"/>
      <c r="OJ23" s="137"/>
      <c r="OK23" s="137"/>
      <c r="PE23" s="137"/>
      <c r="PF23" s="137"/>
      <c r="PZ23" s="137"/>
      <c r="QA23" s="137"/>
      <c r="QU23" s="137"/>
      <c r="QV23" s="137"/>
      <c r="RP23" s="137"/>
      <c r="RQ23" s="137"/>
      <c r="SK23" s="137"/>
      <c r="SL23" s="137"/>
      <c r="TF23" s="137"/>
      <c r="TG23" s="137"/>
      <c r="TW23" s="137"/>
      <c r="TX23" s="137"/>
      <c r="UN23" s="137"/>
      <c r="UO23" s="137"/>
      <c r="VE23" s="137"/>
      <c r="VF23" s="137"/>
      <c r="VV23" s="137"/>
      <c r="VW23" s="137"/>
      <c r="WM23" s="137"/>
      <c r="WN23" s="137"/>
    </row>
    <row r="24" spans="1:612" ht="16.5" x14ac:dyDescent="0.55000000000000004">
      <c r="A24" s="147"/>
      <c r="B24" s="147"/>
      <c r="C24" s="138"/>
      <c r="D24" s="137"/>
      <c r="E24" s="137"/>
      <c r="F24" s="147"/>
      <c r="G24" s="147"/>
      <c r="I24" s="137"/>
      <c r="J24" s="137"/>
      <c r="K24" s="137"/>
      <c r="N24" s="139"/>
      <c r="O24" s="139"/>
      <c r="P24" s="139"/>
      <c r="Q24" s="139"/>
      <c r="R24" s="139"/>
      <c r="S24" s="139"/>
      <c r="T24" s="171"/>
      <c r="V24" s="147"/>
      <c r="W24" s="147"/>
      <c r="X24" s="138"/>
      <c r="Y24" s="137"/>
      <c r="Z24" s="137"/>
      <c r="AA24" s="147"/>
      <c r="AB24" s="147"/>
      <c r="AD24" s="137"/>
      <c r="AE24" s="137"/>
      <c r="AF24" s="137"/>
      <c r="AI24" s="139"/>
      <c r="AJ24" s="139"/>
      <c r="AK24" s="139"/>
      <c r="AL24" s="139"/>
      <c r="AM24" s="139"/>
      <c r="AN24" s="139"/>
      <c r="AO24" s="171"/>
      <c r="AQ24" s="147"/>
      <c r="AR24" s="147"/>
      <c r="AS24" s="138"/>
      <c r="AT24" s="137"/>
      <c r="AU24" s="137"/>
      <c r="AV24" s="138"/>
      <c r="AW24" s="138"/>
      <c r="AY24" s="137"/>
      <c r="AZ24" s="137"/>
      <c r="BA24" s="137"/>
      <c r="BD24" s="139"/>
      <c r="BE24" s="139"/>
      <c r="BF24" s="139"/>
      <c r="BG24" s="139"/>
      <c r="BH24" s="139"/>
      <c r="BI24" s="139"/>
      <c r="BJ24" s="139"/>
      <c r="BL24" s="138"/>
      <c r="BM24" s="138"/>
      <c r="BN24" s="138"/>
      <c r="BO24" s="137"/>
      <c r="BP24" s="137"/>
      <c r="BQ24" s="138"/>
      <c r="BR24" s="138"/>
      <c r="BT24" s="137"/>
      <c r="BU24" s="137"/>
      <c r="BV24" s="137"/>
      <c r="BY24" s="139"/>
      <c r="BZ24" s="139"/>
      <c r="CA24" s="139"/>
      <c r="CB24" s="139"/>
      <c r="CC24" s="139"/>
      <c r="CD24" s="139"/>
      <c r="CE24" s="139"/>
      <c r="CG24" s="138"/>
      <c r="CH24" s="138"/>
      <c r="CI24" s="138"/>
      <c r="CJ24" s="137"/>
      <c r="CK24" s="137"/>
      <c r="CL24" s="138"/>
      <c r="CM24" s="138"/>
      <c r="CO24" s="137"/>
      <c r="CP24" s="137"/>
      <c r="CQ24" s="137"/>
      <c r="CT24" s="139"/>
      <c r="CU24" s="139"/>
      <c r="CV24" s="139"/>
      <c r="CW24" s="139"/>
      <c r="CX24" s="139"/>
      <c r="CY24" s="139"/>
      <c r="CZ24" s="139"/>
      <c r="DB24" s="138"/>
      <c r="DC24" s="138"/>
      <c r="DD24" s="138"/>
      <c r="DE24" s="137"/>
      <c r="DF24" s="137"/>
      <c r="DG24" s="138"/>
      <c r="DH24" s="138"/>
      <c r="DJ24" s="137"/>
      <c r="DK24" s="137"/>
      <c r="DL24" s="137"/>
      <c r="DO24" s="139"/>
      <c r="DP24" s="139"/>
      <c r="DQ24" s="139"/>
      <c r="DR24" s="139"/>
      <c r="DS24" s="139"/>
      <c r="DT24" s="139"/>
      <c r="DU24" s="139"/>
      <c r="DW24" s="138"/>
      <c r="DX24" s="138"/>
      <c r="DY24" s="138"/>
      <c r="DZ24" s="137"/>
      <c r="EA24" s="137"/>
      <c r="EB24" s="138"/>
      <c r="EC24" s="138"/>
      <c r="EE24" s="137"/>
      <c r="EF24" s="137"/>
      <c r="EG24" s="137"/>
      <c r="EJ24" s="139"/>
      <c r="EK24" s="139"/>
      <c r="EL24" s="139"/>
      <c r="EM24" s="139"/>
      <c r="EN24" s="139"/>
      <c r="EO24" s="139"/>
      <c r="EP24" s="139"/>
      <c r="ER24" s="138"/>
      <c r="ES24" s="138"/>
      <c r="ET24" s="138"/>
      <c r="EU24" s="137"/>
      <c r="EV24" s="137"/>
      <c r="EW24" s="138"/>
      <c r="EX24" s="138"/>
      <c r="EZ24" s="137"/>
      <c r="FA24" s="137"/>
      <c r="FB24" s="137"/>
      <c r="FE24" s="139"/>
      <c r="FF24" s="139"/>
      <c r="FG24" s="139"/>
      <c r="FH24" s="139"/>
      <c r="FI24" s="139"/>
      <c r="FJ24" s="139"/>
      <c r="FK24" s="139"/>
      <c r="FM24" s="138"/>
      <c r="FN24" s="138"/>
      <c r="FO24" s="138"/>
      <c r="FP24" s="137"/>
      <c r="FQ24" s="137"/>
      <c r="FR24" s="138"/>
      <c r="FS24" s="138"/>
      <c r="FU24" s="137"/>
      <c r="FV24" s="137"/>
      <c r="FW24" s="137"/>
      <c r="FZ24" s="139"/>
      <c r="GA24" s="139"/>
      <c r="GB24" s="139"/>
      <c r="GC24" s="139"/>
      <c r="GD24" s="139"/>
      <c r="GE24" s="139"/>
      <c r="GF24" s="139"/>
      <c r="GH24" s="138"/>
      <c r="GI24" s="138"/>
      <c r="GJ24" s="138"/>
      <c r="GK24" s="137"/>
      <c r="GL24" s="137"/>
      <c r="GM24" s="138"/>
      <c r="GN24" s="138"/>
      <c r="GP24" s="137"/>
      <c r="GQ24" s="137"/>
      <c r="GR24" s="137"/>
      <c r="GU24" s="139"/>
      <c r="GV24" s="139"/>
      <c r="GW24" s="139"/>
      <c r="GX24" s="139"/>
      <c r="GY24" s="139"/>
      <c r="GZ24" s="139"/>
      <c r="HA24" s="139"/>
      <c r="HC24" s="138"/>
      <c r="HD24" s="138"/>
      <c r="HE24" s="138"/>
      <c r="HF24" s="137"/>
      <c r="HG24" s="137"/>
      <c r="HH24" s="138"/>
      <c r="HI24" s="138"/>
      <c r="HK24" s="137"/>
      <c r="HL24" s="137"/>
      <c r="HM24" s="137"/>
      <c r="HP24" s="139"/>
      <c r="HQ24" s="139"/>
      <c r="HR24" s="139"/>
      <c r="HS24" s="139"/>
      <c r="HT24" s="139"/>
      <c r="HU24" s="139"/>
      <c r="HV24" s="139"/>
      <c r="HX24" s="138"/>
      <c r="HY24" s="138"/>
      <c r="HZ24" s="138"/>
      <c r="IA24" s="137"/>
      <c r="IB24" s="137"/>
      <c r="IC24" s="138"/>
      <c r="ID24" s="138"/>
      <c r="IF24" s="137"/>
      <c r="IG24" s="137"/>
      <c r="IH24" s="137"/>
      <c r="IK24" s="139"/>
      <c r="IL24" s="139"/>
      <c r="IM24" s="139"/>
      <c r="IN24" s="139"/>
      <c r="IO24" s="139"/>
      <c r="IP24" s="139"/>
      <c r="IQ24" s="139"/>
      <c r="IS24" s="138"/>
      <c r="IT24" s="138"/>
      <c r="IU24" s="138"/>
      <c r="IV24" s="137"/>
      <c r="IW24" s="137"/>
      <c r="IX24" s="138"/>
      <c r="IY24" s="138"/>
      <c r="JA24" s="137"/>
      <c r="JB24" s="137"/>
      <c r="JC24" s="137"/>
      <c r="JF24" s="139"/>
      <c r="JG24" s="139"/>
      <c r="JH24" s="139"/>
      <c r="JI24" s="139"/>
      <c r="JJ24" s="139"/>
      <c r="JK24" s="139"/>
      <c r="JL24" s="139"/>
      <c r="JN24" s="138"/>
      <c r="JO24" s="138"/>
      <c r="JP24" s="138"/>
      <c r="JQ24" s="137"/>
      <c r="JR24" s="137"/>
      <c r="JS24" s="138"/>
      <c r="JT24" s="138"/>
      <c r="JV24" s="137"/>
      <c r="JW24" s="137"/>
      <c r="JX24" s="137"/>
      <c r="KA24" s="139"/>
      <c r="KB24" s="139"/>
      <c r="KC24" s="139"/>
      <c r="KD24" s="139"/>
      <c r="KE24" s="139"/>
      <c r="KF24" s="139"/>
      <c r="KG24" s="139"/>
      <c r="KI24" s="138"/>
      <c r="KJ24" s="138"/>
      <c r="KK24" s="138"/>
      <c r="KL24" s="137"/>
      <c r="KM24" s="137"/>
      <c r="KN24" s="138"/>
      <c r="KO24" s="138"/>
      <c r="KQ24" s="137"/>
      <c r="KR24" s="137"/>
      <c r="KS24" s="137"/>
      <c r="KV24" s="139"/>
      <c r="KW24" s="139"/>
      <c r="KX24" s="139"/>
      <c r="KY24" s="139"/>
      <c r="KZ24" s="139"/>
      <c r="LA24" s="139"/>
      <c r="LB24" s="139"/>
      <c r="LD24" s="138"/>
      <c r="LE24" s="138"/>
      <c r="LF24" s="138"/>
      <c r="LG24" s="137"/>
      <c r="LH24" s="137"/>
      <c r="LI24" s="138"/>
      <c r="LJ24" s="138"/>
      <c r="LL24" s="137"/>
      <c r="LM24" s="137"/>
      <c r="LN24" s="137"/>
      <c r="LQ24" s="139"/>
      <c r="LR24" s="139"/>
      <c r="LS24" s="139"/>
      <c r="LT24" s="139"/>
      <c r="LU24" s="139"/>
      <c r="LV24" s="139"/>
      <c r="LW24" s="139"/>
      <c r="LY24" s="138"/>
      <c r="LZ24" s="138"/>
      <c r="MA24" s="138"/>
      <c r="MB24" s="137"/>
      <c r="MC24" s="137"/>
      <c r="MD24" s="138"/>
      <c r="ME24" s="138"/>
      <c r="MG24" s="137"/>
      <c r="MH24" s="137"/>
      <c r="MI24" s="137"/>
      <c r="ML24" s="139"/>
      <c r="MM24" s="139"/>
      <c r="MN24" s="139"/>
      <c r="MO24" s="139"/>
      <c r="MP24" s="139"/>
      <c r="MQ24" s="139"/>
      <c r="MR24" s="139"/>
      <c r="MT24" s="138"/>
      <c r="MU24" s="138"/>
      <c r="MV24" s="138"/>
      <c r="MW24" s="137"/>
      <c r="MX24" s="137"/>
      <c r="MY24" s="138"/>
      <c r="MZ24" s="138"/>
      <c r="NB24" s="137"/>
      <c r="NC24" s="137"/>
      <c r="ND24" s="137"/>
      <c r="NG24" s="139"/>
      <c r="NH24" s="139"/>
      <c r="NI24" s="139"/>
      <c r="NJ24" s="139"/>
      <c r="NK24" s="139"/>
      <c r="NL24" s="139"/>
      <c r="NM24" s="139"/>
      <c r="NO24" s="138"/>
      <c r="NP24" s="138"/>
      <c r="NQ24" s="138"/>
      <c r="NR24" s="137"/>
      <c r="NS24" s="137"/>
      <c r="NT24" s="138"/>
      <c r="NU24" s="138"/>
      <c r="NW24" s="137"/>
      <c r="NX24" s="137"/>
      <c r="NY24" s="137"/>
      <c r="OB24" s="139"/>
      <c r="OC24" s="139"/>
      <c r="OD24" s="139"/>
      <c r="OE24" s="139"/>
      <c r="OF24" s="139"/>
      <c r="OG24" s="139"/>
      <c r="OH24" s="139"/>
      <c r="OJ24" s="138"/>
      <c r="OK24" s="138"/>
      <c r="OL24" s="138"/>
      <c r="OM24" s="137"/>
      <c r="ON24" s="137"/>
      <c r="OO24" s="138"/>
      <c r="OP24" s="138"/>
      <c r="OR24" s="137"/>
      <c r="OS24" s="137"/>
      <c r="OT24" s="137"/>
      <c r="OW24" s="139"/>
      <c r="OX24" s="139"/>
      <c r="OY24" s="139"/>
      <c r="OZ24" s="139"/>
      <c r="PA24" s="139"/>
      <c r="PB24" s="139"/>
      <c r="PC24" s="139"/>
      <c r="PE24" s="138"/>
      <c r="PF24" s="138"/>
      <c r="PG24" s="138"/>
      <c r="PH24" s="137"/>
      <c r="PI24" s="137"/>
      <c r="PJ24" s="138"/>
      <c r="PK24" s="138"/>
      <c r="PM24" s="137"/>
      <c r="PN24" s="137"/>
      <c r="PO24" s="137"/>
      <c r="PR24" s="139"/>
      <c r="PS24" s="139"/>
      <c r="PT24" s="139"/>
      <c r="PU24" s="139"/>
      <c r="PV24" s="139"/>
      <c r="PW24" s="139"/>
      <c r="PX24" s="139"/>
      <c r="PZ24" s="138"/>
      <c r="QA24" s="138"/>
      <c r="QB24" s="138"/>
      <c r="QC24" s="137"/>
      <c r="QD24" s="137"/>
      <c r="QE24" s="138"/>
      <c r="QF24" s="138"/>
      <c r="QH24" s="137"/>
      <c r="QI24" s="137"/>
      <c r="QJ24" s="137"/>
      <c r="QM24" s="139"/>
      <c r="QN24" s="139"/>
      <c r="QO24" s="139"/>
      <c r="QP24" s="139"/>
      <c r="QQ24" s="139"/>
      <c r="QR24" s="139"/>
      <c r="QS24" s="139"/>
      <c r="QU24" s="138"/>
      <c r="QV24" s="138"/>
      <c r="QW24" s="138"/>
      <c r="QX24" s="137"/>
      <c r="QY24" s="137"/>
      <c r="QZ24" s="138"/>
      <c r="RA24" s="138"/>
      <c r="RC24" s="137"/>
      <c r="RD24" s="137"/>
      <c r="RE24" s="137"/>
      <c r="RH24" s="139"/>
      <c r="RI24" s="139"/>
      <c r="RJ24" s="139"/>
      <c r="RK24" s="139"/>
      <c r="RL24" s="139"/>
      <c r="RM24" s="139"/>
      <c r="RN24" s="139"/>
      <c r="RP24" s="138"/>
      <c r="RQ24" s="138"/>
      <c r="RR24" s="138"/>
      <c r="RS24" s="137"/>
      <c r="RT24" s="137"/>
      <c r="RU24" s="138"/>
      <c r="RV24" s="138"/>
      <c r="RX24" s="137"/>
      <c r="RY24" s="137"/>
      <c r="RZ24" s="137"/>
      <c r="SC24" s="139"/>
      <c r="SD24" s="139"/>
      <c r="SE24" s="139"/>
      <c r="SF24" s="139"/>
      <c r="SG24" s="139"/>
      <c r="SH24" s="139"/>
      <c r="SI24" s="139"/>
      <c r="SK24" s="138"/>
      <c r="SL24" s="138"/>
      <c r="SM24" s="138"/>
      <c r="SN24" s="137"/>
      <c r="SO24" s="137"/>
      <c r="SP24" s="138"/>
      <c r="SQ24" s="138"/>
      <c r="SS24" s="137"/>
      <c r="ST24" s="137"/>
      <c r="SU24" s="137"/>
      <c r="SX24" s="139"/>
      <c r="SY24" s="139"/>
      <c r="SZ24" s="139"/>
      <c r="TA24" s="139"/>
      <c r="TB24" s="139"/>
      <c r="TC24" s="139"/>
      <c r="TD24" s="139"/>
      <c r="TF24" s="138"/>
      <c r="TG24" s="138"/>
      <c r="TH24" s="138"/>
      <c r="TI24" s="137"/>
      <c r="TJ24" s="137"/>
      <c r="TK24" s="138"/>
      <c r="TL24" s="138"/>
      <c r="TN24" s="137"/>
      <c r="TO24" s="137"/>
      <c r="TR24" s="139"/>
      <c r="TS24" s="139"/>
      <c r="TT24" s="139"/>
      <c r="TU24" s="139"/>
      <c r="TW24" s="138"/>
      <c r="TX24" s="138"/>
      <c r="TY24" s="138"/>
      <c r="TZ24" s="137"/>
      <c r="UA24" s="137"/>
      <c r="UB24" s="138"/>
      <c r="UC24" s="138"/>
      <c r="UE24" s="137"/>
      <c r="UF24" s="137"/>
      <c r="UI24" s="139"/>
      <c r="UJ24" s="139"/>
      <c r="UK24" s="139"/>
      <c r="UL24" s="139"/>
      <c r="UN24" s="138"/>
      <c r="UO24" s="138"/>
      <c r="UP24" s="138"/>
      <c r="UQ24" s="137"/>
      <c r="UR24" s="137"/>
      <c r="US24" s="138"/>
      <c r="UT24" s="138"/>
      <c r="UV24" s="137"/>
      <c r="UW24" s="137"/>
      <c r="UZ24" s="139"/>
      <c r="VA24" s="139"/>
      <c r="VB24" s="139"/>
      <c r="VC24" s="139"/>
      <c r="VE24" s="138"/>
      <c r="VF24" s="138"/>
      <c r="VG24" s="138"/>
      <c r="VH24" s="137"/>
      <c r="VI24" s="137"/>
      <c r="VJ24" s="138"/>
      <c r="VK24" s="138"/>
      <c r="VM24" s="137"/>
      <c r="VN24" s="137"/>
      <c r="VQ24" s="139"/>
      <c r="VR24" s="139"/>
      <c r="VS24" s="139"/>
      <c r="VT24" s="139"/>
      <c r="VV24" s="138"/>
      <c r="VW24" s="138"/>
      <c r="VX24" s="138"/>
      <c r="VY24" s="137"/>
      <c r="VZ24" s="137"/>
      <c r="WA24" s="138"/>
      <c r="WB24" s="138"/>
      <c r="WD24" s="137"/>
      <c r="WE24" s="137"/>
      <c r="WH24" s="64"/>
      <c r="WI24" s="64"/>
      <c r="WJ24" s="64"/>
      <c r="WK24" s="64"/>
      <c r="WL24" s="64"/>
      <c r="WM24" s="64"/>
      <c r="WN24" s="64"/>
    </row>
  </sheetData>
  <sheetProtection algorithmName="SHA-512" hashValue="5PK/BX/lV0/kwZnydnopfg30o3Ul478Y1kMiF+Y6QZagdTuUcb0Nu6QqY6C3/YE2Sbae/DP1rIykQDMDU2fwpw==" saltValue="/bBKDCR+Xrz36Q+IcDshOw==" spinCount="100000" sheet="1" insertColumns="0" selectLockedCells="1"/>
  <dataConsolidate/>
  <mergeCells count="15">
    <mergeCell ref="A22:B22"/>
    <mergeCell ref="A15:B15"/>
    <mergeCell ref="A17:B17"/>
    <mergeCell ref="A18:B18"/>
    <mergeCell ref="A19:B19"/>
    <mergeCell ref="A21:B21"/>
    <mergeCell ref="A9:B9"/>
    <mergeCell ref="A11:B11"/>
    <mergeCell ref="A12:B12"/>
    <mergeCell ref="A14:B14"/>
    <mergeCell ref="A1:B1"/>
    <mergeCell ref="A5:B5"/>
    <mergeCell ref="A6:B6"/>
    <mergeCell ref="A7:B7"/>
    <mergeCell ref="A8:B8"/>
  </mergeCells>
  <pageMargins left="0.23622047244094491" right="0.23622047244094491" top="0.19685039370078741" bottom="0.19685039370078741" header="0.31496062992125984" footer="0.31496062992125984"/>
  <pageSetup paperSize="9" orientation="landscape" r:id="rId1"/>
  <ignoredErrors>
    <ignoredError sqref="U4:V4 U5:V21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ref!$B$3:$B$6</xm:f>
          </x14:formula1>
          <xm:sqref>H5:K9 C5:E9 N5:S9 X5:Z9 AC5:AF9 AI5:AN9 C11:E12 H11:K12 N11:S12 X11:Z12 AC11:AF12 AI11:AN12 C14:E15 H14:K15 N14:S15 X14:Z15 AC14:AF15 AI14:AN15 C17:E19 H17:K19 N17:S19 X17:Z19 AC17:AF19 AI17:AN19 C21:E21 H21:K21 N21:S21 X21:Z21 AC21:AF21 AI21:AN21 SM5:SO9 SR5:SU9 SX5:TC9 SM11:SO12 SR11:SU12 SX11:TC12 SM14:SO15 SR14:SU15 SX14:TC15 SM17:SO19 SR17:SU19 SX17:TC19 SM21:SO21 SR21:SU21 SX21:TC21 TH5:TJ9 TM5:TO9 TR5:TT9 TH11:TJ12 TM11:TO12 TR11:TT12 TH14:TJ15 TM14:TO15 TR14:TT15 TH17:TJ19 TM17:TO19 TR17:TT19 TH21:TJ21 TM21:TO21 TR21:TT21 UP5:UR9 UU5:UW9 UZ5:VB9 UP11:UR12 UU11:UW12 UZ11:VB12 UP14:UR15 UU14:UW15 UZ14:VB15 UP17:UR19 UU17:UW19 UZ17:VB19 UP21:UR21 UU21:UW21 UZ21:VB21 TY5:UA9 UD5:UF9 UI5:UK9 TY11:UA12 UD11:UF12 UI11:UK12 TY14:UA15 UD14:UF15 UI14:UK15 TY17:UA19 UD17:UF19 UI17:UK19 TY21:UA21 UD21:UF21 UI21:UK21 VG5:VI9 VL5:VN9 VQ5:VS9 VG11:VI12 VL11:VN12 VQ11:VS12 VG14:VI15 VL14:VN15 VQ14:VS15 VG17:VI19 VL17:VN19 VQ17:VS19 VG21:VI21 VL21:VN21 VQ21:VS21 AS5:AU9 AX5:BA9 BD5:BI9 AS11:AU12 AX11:BA12 BD11:BI12 AS14:AU15 AX14:BA15 BD14:BI15 AS17:AU19 AX17:BA19 BD17:BI19 AS21:AU21 AX21:BA21 BD21:BI21 BN5:BP9 BS5:BV9 BY5:CD9 BN11:BP12 BS11:BV12 BY11:CD12 BN14:BP15 BS14:BV15 BY14:CD15 BN17:BP19 BS17:BV19 BY17:CD19 BN21:BP21 BS21:BV21 BY21:CD21 CI5:CK9 CN5:CQ9 CT5:CY9 CI11:CK12 CN11:CQ12 CT11:CY12 CI14:CK15 CN14:CQ15 CT14:CY15 CI17:CK19 CN17:CQ19 CT17:CY19 CI21:CK21 CN21:CQ21 CT21:CY21 DD5:DF9 DI5:DL9 DO5:DT9 DD11:DF12 DI11:DL12 DO11:DT12 DD14:DF15 DI14:DL15 DO14:DT15 DD17:DF19 DI17:DL19 DO17:DT19 DD21:DF21 DI21:DL21 DO21:DT21 DY5:EA9 ED5:EG9 EJ5:EO9 DY11:EA12 ED11:EG12 EJ11:EO12 DY14:EA15 ED14:EG15 EJ14:EO15 DY17:EA19 ED17:EG19 EJ17:EO19 DY21:EA21 ED21:EG21 EJ21:EO21 ET5:EV9 EY5:FB9 FE5:FJ9 ET11:EV12 EY11:FB12 FE11:FJ12 ET14:EV15 EY14:FB15 FE14:FJ15 ET17:EV19 EY17:FB19 FE17:FJ19 ET21:EV21 EY21:FB21 FE21:FJ21 FO5:FQ9 FT5:FW9 FZ5:GE9 FO11:FQ12 FT11:FW12 FZ11:GE12 FO14:FQ15 FT14:FW15 FZ14:GE15 FO17:FQ19 FT17:FW19 FZ17:GE19 FO21:FQ21 FT21:FW21 FZ21:GE21 GJ5:GL9 GO5:GR9 GU5:GZ9 GJ11:GL12 GO11:GR12 GU11:GZ12 GJ14:GL15 GO14:GR15 GU14:GZ15 GJ17:GL19 GO17:GR19 GU17:GZ19 GJ21:GL21 GO21:GR21 GU21:GZ21 HE5:HG9 HJ5:HM9 HP5:HU9 HE11:HG12 HJ11:HM12 HP11:HU12 HE14:HG15 HJ14:HM15 HP14:HU15 HE17:HG19 HJ17:HM19 HP17:HU19 HE21:HG21 HJ21:HM21 HP21:HU21 HZ5:IB9 IE5:IH9 IK5:IP9 HZ11:IB12 IE11:IH12 IK11:IP12 HZ14:IB15 IE14:IH15 IK14:IP15 HZ17:IB19 IE17:IH19 IK17:IP19 HZ21:IB21 IE21:IH21 IK21:IP21 IU5:IW9 IZ5:JC9 JF5:JK9 IU11:IW12 IZ11:JC12 JF11:JK12 IU14:IW15 IZ14:JC15 JF14:JK15 IU17:IW19 IZ17:JC19 JF17:JK19 IU21:IW21 IZ21:JC21 JF21:JK21 JP5:JR9 JU5:JX9 KA5:KF9 JP11:JR12 JU11:JX12 KA11:KF12 JP14:JR15 JU14:JX15 KA14:KF15 JP17:JR19 JU17:JX19 KA17:KF19 JP21:JR21 JU21:JX21 KA21:KF21 KK5:KM9 KP5:KS9 KV5:LA9 KK11:KM12 KP11:KS12 KV11:LA12 KK14:KM15 KP14:KS15 KV14:LA15 KK17:KM19 KP17:KS19 KV17:LA19 KK21:KM21 KP21:KS21 KV21:LA21 LF5:LH9 LK5:LN9 LQ5:LV9 LF11:LH12 LK11:LN12 LQ11:LV12 LF14:LH15 LK14:LN15 LQ14:LV15 LF17:LH19 LK17:LN19 LQ17:LV19 LF21:LH21 LK21:LN21 LQ21:LV21 MA5:MC9 MF5:MI9 ML5:MQ9 MA11:MC12 MF11:MI12 ML11:MQ12 MA14:MC15 MF14:MI15 ML14:MQ15 MA17:MC19 MF17:MI19 ML17:MQ19 MA21:MC21 MF21:MI21 ML21:MQ21 MV5:MX9 NA5:ND9 NG5:NL9 MV11:MX12 NA11:ND12 NG11:NL12 MV14:MX15 NA14:ND15 NG14:NL15 MV17:MX19 NA17:ND19 NG17:NL19 MV21:MX21 NA21:ND21 NG21:NL21 NQ5:NS9 NV5:NY9 OB5:OG9 NQ11:NS12 NV11:NY12 OB11:OG12 NQ14:NS15 NV14:NY15 OB14:OG15 NQ17:NS19 NV17:NY19 OB17:OG19 NQ21:NS21 NV21:NY21 OB21:OG21 OL5:ON9 OQ5:OT9 OW5:PB9 OL11:ON12 OQ11:OT12 OW11:PB12 OL14:ON15 OQ14:OT15 OW14:PB15 OL17:ON19 OQ17:OT19 OW17:PB19 OL21:ON21 OQ21:OT21 OW21:PB21 PG5:PI9 PL5:PO9 PR5:PW9 PG11:PI12 PL11:PO12 PR11:PW12 PG14:PI15 PL14:PO15 PR14:PW15 PG17:PI19 PL17:PO19 PR17:PW19 PG21:PI21 PL21:PO21 PR21:PW21 QB5:QD9 QG5:QJ9 QM5:QR9 QB11:QD12 QG11:QJ12 QM11:QR12 QB14:QD15 QG14:QJ15 QM14:QR15 QB17:QD19 QG17:QJ19 QM17:QR19 QB21:QD21 QG21:QJ21 QM21:QR21 QW5:QY9 RB5:RE9 RH5:RM9 QW11:QY12 RB11:RE12 RH11:RM12 QW14:QY15 RB14:RE15 RH14:RM15 QW17:QY19 RB17:RE19 RH17:RM19 QW21:QY21 RB21:RE21 RH21:RM21 RR5:RT9 RW5:RZ9 SC5:SH9 RR11:RT12 RW11:RZ12 SC11:SH12 RR14:RT15 RW14:RZ15 SC14:SH15 RR17:RT19 RW17:RZ19 SC17:SH19 RR21:RT21 RW21:RZ21 SC21:SH21 VX5:VZ9 WC5:WE9 WH5:WJ9 VX11:VZ12 WC11:WE12 WH11:WJ12 VX14:VZ15 WC14:WE15 WH14:WJ15 VX17:VZ19 WC17:WE19 WH17:WJ19 VX21:VZ21 WC21:WE21 WH21:WJ21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B29"/>
  <sheetViews>
    <sheetView topLeftCell="A4" zoomScale="90" zoomScaleNormal="90" workbookViewId="0"/>
  </sheetViews>
  <sheetFormatPr baseColWidth="10" defaultColWidth="11.41796875" defaultRowHeight="14.4" x14ac:dyDescent="0.55000000000000004"/>
  <cols>
    <col min="1" max="1" width="30.68359375" style="9" customWidth="1"/>
    <col min="2" max="26" width="6.68359375" style="9" customWidth="1"/>
    <col min="27" max="27" width="3" style="9" customWidth="1"/>
    <col min="28" max="28" width="20.15625" style="9" customWidth="1"/>
    <col min="29" max="16384" width="11.41796875" style="9"/>
  </cols>
  <sheetData>
    <row r="1" spans="1:28" ht="31.5" customHeight="1" thickBot="1" x14ac:dyDescent="0.6">
      <c r="A1" s="47" t="s">
        <v>186</v>
      </c>
      <c r="B1" s="209" t="s">
        <v>0</v>
      </c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  <c r="O1" s="209"/>
      <c r="P1" s="209"/>
      <c r="Q1" s="209"/>
      <c r="R1" s="209"/>
      <c r="S1" s="209"/>
      <c r="T1" s="209"/>
      <c r="U1" s="209"/>
      <c r="V1" s="209"/>
      <c r="W1" s="209"/>
      <c r="X1" s="209"/>
      <c r="Y1" s="209"/>
      <c r="Z1" s="210"/>
      <c r="AB1" s="48" t="s">
        <v>41</v>
      </c>
    </row>
    <row r="2" spans="1:28" ht="25" customHeight="1" thickTop="1" x14ac:dyDescent="0.55000000000000004">
      <c r="A2" s="211" t="s">
        <v>1</v>
      </c>
      <c r="B2" s="213" t="s">
        <v>181</v>
      </c>
      <c r="C2" s="213"/>
      <c r="D2" s="213"/>
      <c r="E2" s="214"/>
      <c r="F2" s="201" t="s">
        <v>3</v>
      </c>
      <c r="G2" s="202"/>
      <c r="H2" s="202"/>
      <c r="I2" s="203"/>
      <c r="J2" s="201" t="s">
        <v>4</v>
      </c>
      <c r="K2" s="202"/>
      <c r="L2" s="202"/>
      <c r="M2" s="203"/>
      <c r="N2" s="201" t="s">
        <v>5</v>
      </c>
      <c r="O2" s="202"/>
      <c r="P2" s="202"/>
      <c r="Q2" s="203"/>
      <c r="R2" s="201" t="s">
        <v>6</v>
      </c>
      <c r="S2" s="202"/>
      <c r="T2" s="202"/>
      <c r="U2" s="203"/>
      <c r="V2" s="206" t="s">
        <v>38</v>
      </c>
      <c r="W2" s="207"/>
      <c r="X2" s="208"/>
      <c r="Y2" s="204" t="s">
        <v>36</v>
      </c>
      <c r="Z2" s="205"/>
      <c r="AB2" s="49" t="s">
        <v>187</v>
      </c>
    </row>
    <row r="3" spans="1:28" ht="25" customHeight="1" thickBot="1" x14ac:dyDescent="0.6">
      <c r="A3" s="212"/>
      <c r="B3" s="31" t="s">
        <v>31</v>
      </c>
      <c r="C3" s="32" t="s">
        <v>32</v>
      </c>
      <c r="D3" s="31" t="s">
        <v>33</v>
      </c>
      <c r="E3" s="33" t="s">
        <v>10</v>
      </c>
      <c r="F3" s="34" t="s">
        <v>31</v>
      </c>
      <c r="G3" s="35" t="s">
        <v>32</v>
      </c>
      <c r="H3" s="36" t="s">
        <v>33</v>
      </c>
      <c r="I3" s="37" t="s">
        <v>10</v>
      </c>
      <c r="J3" s="38" t="s">
        <v>31</v>
      </c>
      <c r="K3" s="39" t="s">
        <v>32</v>
      </c>
      <c r="L3" s="36" t="s">
        <v>33</v>
      </c>
      <c r="M3" s="37" t="s">
        <v>10</v>
      </c>
      <c r="N3" s="34" t="s">
        <v>31</v>
      </c>
      <c r="O3" s="40" t="s">
        <v>32</v>
      </c>
      <c r="P3" s="36" t="s">
        <v>33</v>
      </c>
      <c r="Q3" s="37" t="s">
        <v>10</v>
      </c>
      <c r="R3" s="34" t="s">
        <v>31</v>
      </c>
      <c r="S3" s="40" t="s">
        <v>32</v>
      </c>
      <c r="T3" s="36" t="s">
        <v>33</v>
      </c>
      <c r="U3" s="37" t="s">
        <v>10</v>
      </c>
      <c r="V3" s="28" t="s">
        <v>31</v>
      </c>
      <c r="W3" s="29" t="s">
        <v>32</v>
      </c>
      <c r="X3" s="29" t="s">
        <v>33</v>
      </c>
      <c r="Y3" s="30" t="s">
        <v>14</v>
      </c>
      <c r="Z3" s="50" t="s">
        <v>45</v>
      </c>
      <c r="AA3" s="51"/>
      <c r="AB3" s="52" t="s">
        <v>182</v>
      </c>
    </row>
    <row r="4" spans="1:28" ht="15.75" customHeight="1" thickTop="1" x14ac:dyDescent="0.55000000000000004">
      <c r="A4" s="53" t="str">
        <f ca="1">CELL("contenu",INDIRECT(ADDRESS(ROW()-2,3,1,,CELL("contenu",$AB$3))))</f>
        <v>ALEXANDRE Solene</v>
      </c>
      <c r="B4" s="2" t="str">
        <f ca="1">CELL("contenu",INDIRECT(ADDRESS(ref!$K$3,ref!E3,1,,CELL("contenu",$AB$2))))</f>
        <v>B</v>
      </c>
      <c r="C4" s="3" t="str">
        <f ca="1">CELL("contenu",INDIRECT(ADDRESS(ref!$K$3,ref!F3,1,,CELL("contenu",$AB$2))))</f>
        <v>B</v>
      </c>
      <c r="D4" s="4" t="str">
        <f ca="1">CELL("contenu",INDIRECT(ADDRESS(ref!$K$3,ref!G3,1,,CELL("contenu",$AB$2))))</f>
        <v>B</v>
      </c>
      <c r="E4" s="5" t="str">
        <f ca="1">CELL("contenu",INDIRECT(ADDRESS(ref!$K$3,ref!H3,1,,CELL("contenu",$AB$2))))</f>
        <v>B</v>
      </c>
      <c r="F4" s="6" t="str">
        <f ca="1">CELL("contenu",INDIRECT(ADDRESS(ref!$K$4,ref!E3,1,,CELL("contenu",$AB$2))))</f>
        <v>B</v>
      </c>
      <c r="G4" s="3" t="str">
        <f ca="1">CELL("contenu",INDIRECT(ADDRESS(ref!$K$4,ref!F3,1,,CELL("contenu",$AB$2))))</f>
        <v/>
      </c>
      <c r="H4" s="4" t="str">
        <f ca="1">CELL("contenu",INDIRECT(ADDRESS(ref!$K$4,ref!G3,1,,CELL("contenu",$AB$2))))</f>
        <v>B</v>
      </c>
      <c r="I4" s="5" t="str">
        <f ca="1">CELL("contenu",INDIRECT(ADDRESS(ref!$K$4,ref!H3,1,,CELL("contenu",$AB$2))))</f>
        <v>B</v>
      </c>
      <c r="J4" s="6" t="str">
        <f ca="1">CELL("contenu",INDIRECT(ADDRESS(ref!$K$5,ref!E3,1,,CELL("contenu",$AB$2))))</f>
        <v/>
      </c>
      <c r="K4" s="3" t="str">
        <f ca="1">CELL("contenu",INDIRECT(ADDRESS(ref!$K$5,ref!F3,1,,CELL("contenu",$AB$2))))</f>
        <v/>
      </c>
      <c r="L4" s="4" t="str">
        <f ca="1">CELL("contenu",INDIRECT(ADDRESS(ref!$K$5,ref!G3,1,,CELL("contenu",$AB$2))))</f>
        <v>B</v>
      </c>
      <c r="M4" s="5" t="str">
        <f ca="1">CELL("contenu",INDIRECT(ADDRESS(ref!$K$5,ref!H3,1,,CELL("contenu",$AB$2))))</f>
        <v>B</v>
      </c>
      <c r="N4" s="6" t="str">
        <f ca="1">CELL("contenu",INDIRECT(ADDRESS(ref!$K$6,ref!E3,1,,CELL("contenu",$AB$2))))</f>
        <v>B</v>
      </c>
      <c r="O4" s="3" t="str">
        <f ca="1">CELL("contenu",INDIRECT(ADDRESS(ref!$K$6,ref!F3,1,,CELL("contenu",$AB$2))))</f>
        <v>C</v>
      </c>
      <c r="P4" s="4" t="str">
        <f ca="1">CELL("contenu",INDIRECT(ADDRESS(ref!$K$6,ref!G3,1,,CELL("contenu",$AB$2))))</f>
        <v>B</v>
      </c>
      <c r="Q4" s="5" t="str">
        <f ca="1">CELL("contenu",INDIRECT(ADDRESS(ref!$K$6,ref!H3,1,,CELL("contenu",$AB$2))))</f>
        <v>B</v>
      </c>
      <c r="R4" s="6" t="str">
        <f ca="1">CELL("contenu",INDIRECT(ADDRESS(ref!$K$7,ref!E3,1,,CELL("contenu",$AB$2))))</f>
        <v>B</v>
      </c>
      <c r="S4" s="3" t="str">
        <f ca="1">CELL("contenu",INDIRECT(ADDRESS(ref!$K$7,ref!F3,1,,CELL("contenu",$AB$2))))</f>
        <v/>
      </c>
      <c r="T4" s="4" t="str">
        <f ca="1">CELL("contenu",INDIRECT(ADDRESS(ref!$K$7,ref!G3,1,,CELL("contenu",$AB$2))))</f>
        <v/>
      </c>
      <c r="U4" s="5" t="str">
        <f ca="1">CELL("contenu",INDIRECT(ADDRESS(ref!$K$7,ref!H3,1,,CELL("contenu",$AB$2))))</f>
        <v>B</v>
      </c>
      <c r="V4" s="41">
        <f ca="1">CELL("contenu",INDIRECT(ADDRESS(ref!$K$8,ref!E3,1,,CELL("contenu",$AB$2))))</f>
        <v>15.625</v>
      </c>
      <c r="W4" s="42">
        <f ca="1">CELL("contenu",INDIRECT(ADDRESS(ref!$K$8,ref!F3,1,,CELL("contenu",$AB$2))))</f>
        <v>13.75</v>
      </c>
      <c r="X4" s="43">
        <f ca="1">CELL("contenu",INDIRECT(ADDRESS(ref!$K$8,ref!G3,1,,CELL("contenu",$AB$2))))</f>
        <v>16.875</v>
      </c>
      <c r="Y4" s="7" t="str">
        <f ca="1">CELL("contenu",INDIRECT(ADDRESS(ref!$K$9,ref!H3,1,,CELL("contenu",$AB$2))))</f>
        <v/>
      </c>
      <c r="Z4" s="8" t="str">
        <f ca="1">CELL("contenu",INDIRECT(ADDRESS(ref!$K$10,ref!H3,1,,CELL("contenu",$AB$2))))</f>
        <v>B</v>
      </c>
    </row>
    <row r="5" spans="1:28" x14ac:dyDescent="0.55000000000000004">
      <c r="A5" s="53" t="str">
        <f ca="1">CELL("contenu",INDIRECT(ADDRESS(ROW()-2,3,1,,CELL("contenu",$AB$3))))</f>
        <v>BARILLER Benjamin</v>
      </c>
      <c r="B5" s="2" t="str">
        <f ca="1">CELL("contenu",INDIRECT(ADDRESS(ref!$K$3,ref!E4,1,,CELL("contenu",$AB$2))))</f>
        <v>C</v>
      </c>
      <c r="C5" s="3" t="str">
        <f ca="1">CELL("contenu",INDIRECT(ADDRESS(ref!$K$3,ref!F4,1,,CELL("contenu",$AB$2))))</f>
        <v>B</v>
      </c>
      <c r="D5" s="4" t="str">
        <f ca="1">CELL("contenu",INDIRECT(ADDRESS(ref!$K$3,ref!G4,1,,CELL("contenu",$AB$2))))</f>
        <v>C</v>
      </c>
      <c r="E5" s="5" t="str">
        <f ca="1">CELL("contenu",INDIRECT(ADDRESS(ref!$K$3,ref!H4,1,,CELL("contenu",$AB$2))))</f>
        <v>C</v>
      </c>
      <c r="F5" s="6" t="str">
        <f ca="1">CELL("contenu",INDIRECT(ADDRESS(ref!$K$4,ref!E4,1,,CELL("contenu",$AB$2))))</f>
        <v>B</v>
      </c>
      <c r="G5" s="3" t="str">
        <f ca="1">CELL("contenu",INDIRECT(ADDRESS(ref!$K$4,ref!F4,1,,CELL("contenu",$AB$2))))</f>
        <v/>
      </c>
      <c r="H5" s="4" t="str">
        <f ca="1">CELL("contenu",INDIRECT(ADDRESS(ref!$K$4,ref!G4,1,,CELL("contenu",$AB$2))))</f>
        <v>B</v>
      </c>
      <c r="I5" s="5" t="str">
        <f ca="1">CELL("contenu",INDIRECT(ADDRESS(ref!$K$4,ref!H4,1,,CELL("contenu",$AB$2))))</f>
        <v>B</v>
      </c>
      <c r="J5" s="6" t="str">
        <f ca="1">CELL("contenu",INDIRECT(ADDRESS(ref!$K$5,ref!E4,1,,CELL("contenu",$AB$2))))</f>
        <v/>
      </c>
      <c r="K5" s="3" t="str">
        <f ca="1">CELL("contenu",INDIRECT(ADDRESS(ref!$K$5,ref!F4,1,,CELL("contenu",$AB$2))))</f>
        <v/>
      </c>
      <c r="L5" s="4" t="str">
        <f ca="1">CELL("contenu",INDIRECT(ADDRESS(ref!$K$5,ref!G4,1,,CELL("contenu",$AB$2))))</f>
        <v>B</v>
      </c>
      <c r="M5" s="5" t="str">
        <f ca="1">CELL("contenu",INDIRECT(ADDRESS(ref!$K$5,ref!H4,1,,CELL("contenu",$AB$2))))</f>
        <v>B</v>
      </c>
      <c r="N5" s="6" t="str">
        <f ca="1">CELL("contenu",INDIRECT(ADDRESS(ref!$K$6,ref!E4,1,,CELL("contenu",$AB$2))))</f>
        <v>C</v>
      </c>
      <c r="O5" s="3" t="str">
        <f ca="1">CELL("contenu",INDIRECT(ADDRESS(ref!$K$6,ref!F4,1,,CELL("contenu",$AB$2))))</f>
        <v>C</v>
      </c>
      <c r="P5" s="4" t="str">
        <f ca="1">CELL("contenu",INDIRECT(ADDRESS(ref!$K$6,ref!G4,1,,CELL("contenu",$AB$2))))</f>
        <v>C</v>
      </c>
      <c r="Q5" s="5" t="str">
        <f ca="1">CELL("contenu",INDIRECT(ADDRESS(ref!$K$6,ref!H4,1,,CELL("contenu",$AB$2))))</f>
        <v>C</v>
      </c>
      <c r="R5" s="6" t="str">
        <f ca="1">CELL("contenu",INDIRECT(ADDRESS(ref!$K$7,ref!E4,1,,CELL("contenu",$AB$2))))</f>
        <v>C</v>
      </c>
      <c r="S5" s="3" t="str">
        <f ca="1">CELL("contenu",INDIRECT(ADDRESS(ref!$K$7,ref!F4,1,,CELL("contenu",$AB$2))))</f>
        <v/>
      </c>
      <c r="T5" s="4" t="str">
        <f ca="1">CELL("contenu",INDIRECT(ADDRESS(ref!$K$7,ref!G4,1,,CELL("contenu",$AB$2))))</f>
        <v/>
      </c>
      <c r="U5" s="5" t="str">
        <f ca="1">CELL("contenu",INDIRECT(ADDRESS(ref!$K$7,ref!H4,1,,CELL("contenu",$AB$2))))</f>
        <v>C</v>
      </c>
      <c r="V5" s="41">
        <f ca="1">CELL("contenu",INDIRECT(ADDRESS(ref!$K$8,ref!E4,1,,CELL("contenu",$AB$2))))</f>
        <v>11.666666666666668</v>
      </c>
      <c r="W5" s="42">
        <f ca="1">CELL("contenu",INDIRECT(ADDRESS(ref!$K$8,ref!F4,1,,CELL("contenu",$AB$2))))</f>
        <v>12.5</v>
      </c>
      <c r="X5" s="43">
        <f ca="1">CELL("contenu",INDIRECT(ADDRESS(ref!$K$8,ref!G4,1,,CELL("contenu",$AB$2))))</f>
        <v>11.666666666666668</v>
      </c>
      <c r="Y5" s="7" t="str">
        <f ca="1">CELL("contenu",INDIRECT(ADDRESS(ref!$K$9,ref!H4,1,,CELL("contenu",$AB$2))))</f>
        <v/>
      </c>
      <c r="Z5" s="8" t="str">
        <f ca="1">CELL("contenu",INDIRECT(ADDRESS(ref!$K$10,ref!H4,1,,CELL("contenu",$AB$2))))</f>
        <v>B</v>
      </c>
    </row>
    <row r="6" spans="1:28" x14ac:dyDescent="0.55000000000000004">
      <c r="A6" s="53" t="str">
        <f t="shared" ref="A6:A29" ca="1" si="0">CELL("contenu",INDIRECT(ADDRESS(ROW()-2,3,1,,CELL("contenu",$AB$3))))</f>
        <v>BAULIN Mathilde</v>
      </c>
      <c r="B6" s="2" t="str">
        <f ca="1">CELL("contenu",INDIRECT(ADDRESS(ref!$K$3,ref!E5,1,,CELL("contenu",$AB$2))))</f>
        <v>C</v>
      </c>
      <c r="C6" s="3" t="str">
        <f ca="1">CELL("contenu",INDIRECT(ADDRESS(ref!$K$3,ref!F5,1,,CELL("contenu",$AB$2))))</f>
        <v>C</v>
      </c>
      <c r="D6" s="4" t="str">
        <f ca="1">CELL("contenu",INDIRECT(ADDRESS(ref!$K$3,ref!G5,1,,CELL("contenu",$AB$2))))</f>
        <v>C</v>
      </c>
      <c r="E6" s="5" t="str">
        <f ca="1">CELL("contenu",INDIRECT(ADDRESS(ref!$K$3,ref!H5,1,,CELL("contenu",$AB$2))))</f>
        <v>C</v>
      </c>
      <c r="F6" s="6" t="str">
        <f ca="1">CELL("contenu",INDIRECT(ADDRESS(ref!$K$4,ref!E5,1,,CELL("contenu",$AB$2))))</f>
        <v>C</v>
      </c>
      <c r="G6" s="3" t="str">
        <f ca="1">CELL("contenu",INDIRECT(ADDRESS(ref!$K$4,ref!F5,1,,CELL("contenu",$AB$2))))</f>
        <v/>
      </c>
      <c r="H6" s="4" t="str">
        <f ca="1">CELL("contenu",INDIRECT(ADDRESS(ref!$K$4,ref!G5,1,,CELL("contenu",$AB$2))))</f>
        <v>A</v>
      </c>
      <c r="I6" s="5" t="str">
        <f ca="1">CELL("contenu",INDIRECT(ADDRESS(ref!$K$4,ref!H5,1,,CELL("contenu",$AB$2))))</f>
        <v>B</v>
      </c>
      <c r="J6" s="6" t="str">
        <f ca="1">CELL("contenu",INDIRECT(ADDRESS(ref!$K$5,ref!E5,1,,CELL("contenu",$AB$2))))</f>
        <v/>
      </c>
      <c r="K6" s="3" t="str">
        <f ca="1">CELL("contenu",INDIRECT(ADDRESS(ref!$K$5,ref!F5,1,,CELL("contenu",$AB$2))))</f>
        <v/>
      </c>
      <c r="L6" s="4" t="str">
        <f ca="1">CELL("contenu",INDIRECT(ADDRESS(ref!$K$5,ref!G5,1,,CELL("contenu",$AB$2))))</f>
        <v>B</v>
      </c>
      <c r="M6" s="5" t="str">
        <f ca="1">CELL("contenu",INDIRECT(ADDRESS(ref!$K$5,ref!H5,1,,CELL("contenu",$AB$2))))</f>
        <v>B</v>
      </c>
      <c r="N6" s="6" t="str">
        <f ca="1">CELL("contenu",INDIRECT(ADDRESS(ref!$K$6,ref!E5,1,,CELL("contenu",$AB$2))))</f>
        <v>D</v>
      </c>
      <c r="O6" s="3" t="str">
        <f ca="1">CELL("contenu",INDIRECT(ADDRESS(ref!$K$6,ref!F5,1,,CELL("contenu",$AB$2))))</f>
        <v>C</v>
      </c>
      <c r="P6" s="4" t="str">
        <f ca="1">CELL("contenu",INDIRECT(ADDRESS(ref!$K$6,ref!G5,1,,CELL("contenu",$AB$2))))</f>
        <v>C</v>
      </c>
      <c r="Q6" s="5" t="str">
        <f ca="1">CELL("contenu",INDIRECT(ADDRESS(ref!$K$6,ref!H5,1,,CELL("contenu",$AB$2))))</f>
        <v>C</v>
      </c>
      <c r="R6" s="6" t="str">
        <f ca="1">CELL("contenu",INDIRECT(ADDRESS(ref!$K$7,ref!E5,1,,CELL("contenu",$AB$2))))</f>
        <v>C</v>
      </c>
      <c r="S6" s="3" t="str">
        <f ca="1">CELL("contenu",INDIRECT(ADDRESS(ref!$K$7,ref!F5,1,,CELL("contenu",$AB$2))))</f>
        <v/>
      </c>
      <c r="T6" s="4" t="str">
        <f ca="1">CELL("contenu",INDIRECT(ADDRESS(ref!$K$7,ref!G5,1,,CELL("contenu",$AB$2))))</f>
        <v/>
      </c>
      <c r="U6" s="5" t="str">
        <f ca="1">CELL("contenu",INDIRECT(ADDRESS(ref!$K$7,ref!H5,1,,CELL("contenu",$AB$2))))</f>
        <v>C</v>
      </c>
      <c r="V6" s="41">
        <f ca="1">CELL("contenu",INDIRECT(ADDRESS(ref!$K$8,ref!E5,1,,CELL("contenu",$AB$2))))</f>
        <v>8.9583333333333339</v>
      </c>
      <c r="W6" s="42">
        <f ca="1">CELL("contenu",INDIRECT(ADDRESS(ref!$K$8,ref!F5,1,,CELL("contenu",$AB$2))))</f>
        <v>10</v>
      </c>
      <c r="X6" s="43">
        <f ca="1">CELL("contenu",INDIRECT(ADDRESS(ref!$K$8,ref!G5,1,,CELL("contenu",$AB$2))))</f>
        <v>12.972222222222223</v>
      </c>
      <c r="Y6" s="7" t="str">
        <f ca="1">CELL("contenu",INDIRECT(ADDRESS(ref!$K$9,ref!H5,1,,CELL("contenu",$AB$2))))</f>
        <v/>
      </c>
      <c r="Z6" s="8" t="str">
        <f ca="1">CELL("contenu",INDIRECT(ADDRESS(ref!$K$10,ref!H5,1,,CELL("contenu",$AB$2))))</f>
        <v>B</v>
      </c>
    </row>
    <row r="7" spans="1:28" x14ac:dyDescent="0.55000000000000004">
      <c r="A7" s="53" t="str">
        <f t="shared" ca="1" si="0"/>
        <v>BERGER Marie-Alix</v>
      </c>
      <c r="B7" s="2" t="str">
        <f ca="1">CELL("contenu",INDIRECT(ADDRESS(ref!$K$3,ref!E6,1,,CELL("contenu",$AB$2))))</f>
        <v>C</v>
      </c>
      <c r="C7" s="3" t="str">
        <f ca="1">CELL("contenu",INDIRECT(ADDRESS(ref!$K$3,ref!F6,1,,CELL("contenu",$AB$2))))</f>
        <v>B</v>
      </c>
      <c r="D7" s="4" t="str">
        <f ca="1">CELL("contenu",INDIRECT(ADDRESS(ref!$K$3,ref!G6,1,,CELL("contenu",$AB$2))))</f>
        <v>C</v>
      </c>
      <c r="E7" s="5" t="str">
        <f ca="1">CELL("contenu",INDIRECT(ADDRESS(ref!$K$3,ref!H6,1,,CELL("contenu",$AB$2))))</f>
        <v>C</v>
      </c>
      <c r="F7" s="6" t="str">
        <f ca="1">CELL("contenu",INDIRECT(ADDRESS(ref!$K$4,ref!E6,1,,CELL("contenu",$AB$2))))</f>
        <v>D</v>
      </c>
      <c r="G7" s="3" t="str">
        <f ca="1">CELL("contenu",INDIRECT(ADDRESS(ref!$K$4,ref!F6,1,,CELL("contenu",$AB$2))))</f>
        <v/>
      </c>
      <c r="H7" s="4" t="str">
        <f ca="1">CELL("contenu",INDIRECT(ADDRESS(ref!$K$4,ref!G6,1,,CELL("contenu",$AB$2))))</f>
        <v>C</v>
      </c>
      <c r="I7" s="5" t="str">
        <f ca="1">CELL("contenu",INDIRECT(ADDRESS(ref!$K$4,ref!H6,1,,CELL("contenu",$AB$2))))</f>
        <v>C</v>
      </c>
      <c r="J7" s="6" t="str">
        <f ca="1">CELL("contenu",INDIRECT(ADDRESS(ref!$K$5,ref!E6,1,,CELL("contenu",$AB$2))))</f>
        <v/>
      </c>
      <c r="K7" s="3" t="str">
        <f ca="1">CELL("contenu",INDIRECT(ADDRESS(ref!$K$5,ref!F6,1,,CELL("contenu",$AB$2))))</f>
        <v/>
      </c>
      <c r="L7" s="4" t="str">
        <f ca="1">CELL("contenu",INDIRECT(ADDRESS(ref!$K$5,ref!G6,1,,CELL("contenu",$AB$2))))</f>
        <v>B</v>
      </c>
      <c r="M7" s="5" t="str">
        <f ca="1">CELL("contenu",INDIRECT(ADDRESS(ref!$K$5,ref!H6,1,,CELL("contenu",$AB$2))))</f>
        <v>B</v>
      </c>
      <c r="N7" s="6" t="str">
        <f ca="1">CELL("contenu",INDIRECT(ADDRESS(ref!$K$6,ref!E6,1,,CELL("contenu",$AB$2))))</f>
        <v>C</v>
      </c>
      <c r="O7" s="3" t="str">
        <f ca="1">CELL("contenu",INDIRECT(ADDRESS(ref!$K$6,ref!F6,1,,CELL("contenu",$AB$2))))</f>
        <v>B</v>
      </c>
      <c r="P7" s="4" t="str">
        <f ca="1">CELL("contenu",INDIRECT(ADDRESS(ref!$K$6,ref!G6,1,,CELL("contenu",$AB$2))))</f>
        <v>C</v>
      </c>
      <c r="Q7" s="5" t="str">
        <f ca="1">CELL("contenu",INDIRECT(ADDRESS(ref!$K$6,ref!H6,1,,CELL("contenu",$AB$2))))</f>
        <v>C</v>
      </c>
      <c r="R7" s="6" t="str">
        <f ca="1">CELL("contenu",INDIRECT(ADDRESS(ref!$K$7,ref!E6,1,,CELL("contenu",$AB$2))))</f>
        <v>B</v>
      </c>
      <c r="S7" s="3" t="str">
        <f ca="1">CELL("contenu",INDIRECT(ADDRESS(ref!$K$7,ref!F6,1,,CELL("contenu",$AB$2))))</f>
        <v/>
      </c>
      <c r="T7" s="4" t="str">
        <f ca="1">CELL("contenu",INDIRECT(ADDRESS(ref!$K$7,ref!G6,1,,CELL("contenu",$AB$2))))</f>
        <v/>
      </c>
      <c r="U7" s="5" t="str">
        <f ca="1">CELL("contenu",INDIRECT(ADDRESS(ref!$K$7,ref!H6,1,,CELL("contenu",$AB$2))))</f>
        <v>B</v>
      </c>
      <c r="V7" s="41">
        <f ca="1">CELL("contenu",INDIRECT(ADDRESS(ref!$K$8,ref!E6,1,,CELL("contenu",$AB$2))))</f>
        <v>10.833333333333332</v>
      </c>
      <c r="W7" s="42">
        <f ca="1">CELL("contenu",INDIRECT(ADDRESS(ref!$K$8,ref!F6,1,,CELL("contenu",$AB$2))))</f>
        <v>16.25</v>
      </c>
      <c r="X7" s="43">
        <f ca="1">CELL("contenu",INDIRECT(ADDRESS(ref!$K$8,ref!G6,1,,CELL("contenu",$AB$2))))</f>
        <v>11.729166666666666</v>
      </c>
      <c r="Y7" s="7" t="str">
        <f ca="1">CELL("contenu",INDIRECT(ADDRESS(ref!$K$9,ref!H6,1,,CELL("contenu",$AB$2))))</f>
        <v/>
      </c>
      <c r="Z7" s="8" t="str">
        <f ca="1">CELL("contenu",INDIRECT(ADDRESS(ref!$K$10,ref!H6,1,,CELL("contenu",$AB$2))))</f>
        <v>D</v>
      </c>
    </row>
    <row r="8" spans="1:28" x14ac:dyDescent="0.55000000000000004">
      <c r="A8" s="53" t="str">
        <f t="shared" ca="1" si="0"/>
        <v>BES DE BERC Laure</v>
      </c>
      <c r="B8" s="2" t="str">
        <f ca="1">CELL("contenu",INDIRECT(ADDRESS(ref!$K$3,ref!E7,1,,CELL("contenu",$AB$2))))</f>
        <v>C</v>
      </c>
      <c r="C8" s="3" t="str">
        <f ca="1">CELL("contenu",INDIRECT(ADDRESS(ref!$K$3,ref!F7,1,,CELL("contenu",$AB$2))))</f>
        <v>B</v>
      </c>
      <c r="D8" s="4" t="str">
        <f ca="1">CELL("contenu",INDIRECT(ADDRESS(ref!$K$3,ref!G7,1,,CELL("contenu",$AB$2))))</f>
        <v>C</v>
      </c>
      <c r="E8" s="5" t="str">
        <f ca="1">CELL("contenu",INDIRECT(ADDRESS(ref!$K$3,ref!H7,1,,CELL("contenu",$AB$2))))</f>
        <v>C</v>
      </c>
      <c r="F8" s="6" t="str">
        <f ca="1">CELL("contenu",INDIRECT(ADDRESS(ref!$K$4,ref!E7,1,,CELL("contenu",$AB$2))))</f>
        <v>C</v>
      </c>
      <c r="G8" s="3" t="str">
        <f ca="1">CELL("contenu",INDIRECT(ADDRESS(ref!$K$4,ref!F7,1,,CELL("contenu",$AB$2))))</f>
        <v/>
      </c>
      <c r="H8" s="4" t="str">
        <f ca="1">CELL("contenu",INDIRECT(ADDRESS(ref!$K$4,ref!G7,1,,CELL("contenu",$AB$2))))</f>
        <v>A</v>
      </c>
      <c r="I8" s="5" t="str">
        <f ca="1">CELL("contenu",INDIRECT(ADDRESS(ref!$K$4,ref!H7,1,,CELL("contenu",$AB$2))))</f>
        <v>B</v>
      </c>
      <c r="J8" s="6" t="str">
        <f ca="1">CELL("contenu",INDIRECT(ADDRESS(ref!$K$5,ref!E7,1,,CELL("contenu",$AB$2))))</f>
        <v/>
      </c>
      <c r="K8" s="3" t="str">
        <f ca="1">CELL("contenu",INDIRECT(ADDRESS(ref!$K$5,ref!F7,1,,CELL("contenu",$AB$2))))</f>
        <v/>
      </c>
      <c r="L8" s="4" t="str">
        <f ca="1">CELL("contenu",INDIRECT(ADDRESS(ref!$K$5,ref!G7,1,,CELL("contenu",$AB$2))))</f>
        <v>B</v>
      </c>
      <c r="M8" s="5" t="str">
        <f ca="1">CELL("contenu",INDIRECT(ADDRESS(ref!$K$5,ref!H7,1,,CELL("contenu",$AB$2))))</f>
        <v>B</v>
      </c>
      <c r="N8" s="6" t="str">
        <f ca="1">CELL("contenu",INDIRECT(ADDRESS(ref!$K$6,ref!E7,1,,CELL("contenu",$AB$2))))</f>
        <v>B</v>
      </c>
      <c r="O8" s="3" t="str">
        <f ca="1">CELL("contenu",INDIRECT(ADDRESS(ref!$K$6,ref!F7,1,,CELL("contenu",$AB$2))))</f>
        <v>C</v>
      </c>
      <c r="P8" s="4" t="str">
        <f ca="1">CELL("contenu",INDIRECT(ADDRESS(ref!$K$6,ref!G7,1,,CELL("contenu",$AB$2))))</f>
        <v>B</v>
      </c>
      <c r="Q8" s="5" t="str">
        <f ca="1">CELL("contenu",INDIRECT(ADDRESS(ref!$K$6,ref!H7,1,,CELL("contenu",$AB$2))))</f>
        <v>B</v>
      </c>
      <c r="R8" s="6" t="str">
        <f ca="1">CELL("contenu",INDIRECT(ADDRESS(ref!$K$7,ref!E7,1,,CELL("contenu",$AB$2))))</f>
        <v>C</v>
      </c>
      <c r="S8" s="3" t="str">
        <f ca="1">CELL("contenu",INDIRECT(ADDRESS(ref!$K$7,ref!F7,1,,CELL("contenu",$AB$2))))</f>
        <v/>
      </c>
      <c r="T8" s="4" t="str">
        <f ca="1">CELL("contenu",INDIRECT(ADDRESS(ref!$K$7,ref!G7,1,,CELL("contenu",$AB$2))))</f>
        <v/>
      </c>
      <c r="U8" s="5" t="str">
        <f ca="1">CELL("contenu",INDIRECT(ADDRESS(ref!$K$7,ref!H7,1,,CELL("contenu",$AB$2))))</f>
        <v>C</v>
      </c>
      <c r="V8" s="41">
        <f ca="1">CELL("contenu",INDIRECT(ADDRESS(ref!$K$8,ref!E7,1,,CELL("contenu",$AB$2))))</f>
        <v>13.125</v>
      </c>
      <c r="W8" s="42">
        <f ca="1">CELL("contenu",INDIRECT(ADDRESS(ref!$K$8,ref!F7,1,,CELL("contenu",$AB$2))))</f>
        <v>13.75</v>
      </c>
      <c r="X8" s="43">
        <f ca="1">CELL("contenu",INDIRECT(ADDRESS(ref!$K$8,ref!G7,1,,CELL("contenu",$AB$2))))</f>
        <v>15.229166666666664</v>
      </c>
      <c r="Y8" s="7" t="str">
        <f ca="1">CELL("contenu",INDIRECT(ADDRESS(ref!$K$9,ref!H7,1,,CELL("contenu",$AB$2))))</f>
        <v/>
      </c>
      <c r="Z8" s="8" t="str">
        <f ca="1">CELL("contenu",INDIRECT(ADDRESS(ref!$K$10,ref!H7,1,,CELL("contenu",$AB$2))))</f>
        <v>B</v>
      </c>
    </row>
    <row r="9" spans="1:28" x14ac:dyDescent="0.55000000000000004">
      <c r="A9" s="53" t="str">
        <f t="shared" ca="1" si="0"/>
        <v>BESSON Margaux</v>
      </c>
      <c r="B9" s="2" t="str">
        <f ca="1">CELL("contenu",INDIRECT(ADDRESS(ref!$K$3,ref!E8,1,,CELL("contenu",$AB$2))))</f>
        <v>C</v>
      </c>
      <c r="C9" s="3" t="str">
        <f ca="1">CELL("contenu",INDIRECT(ADDRESS(ref!$K$3,ref!F8,1,,CELL("contenu",$AB$2))))</f>
        <v>C</v>
      </c>
      <c r="D9" s="4" t="str">
        <f ca="1">CELL("contenu",INDIRECT(ADDRESS(ref!$K$3,ref!G8,1,,CELL("contenu",$AB$2))))</f>
        <v>C</v>
      </c>
      <c r="E9" s="5" t="str">
        <f ca="1">CELL("contenu",INDIRECT(ADDRESS(ref!$K$3,ref!H8,1,,CELL("contenu",$AB$2))))</f>
        <v>C</v>
      </c>
      <c r="F9" s="6" t="str">
        <f ca="1">CELL("contenu",INDIRECT(ADDRESS(ref!$K$4,ref!E8,1,,CELL("contenu",$AB$2))))</f>
        <v>C</v>
      </c>
      <c r="G9" s="3" t="str">
        <f ca="1">CELL("contenu",INDIRECT(ADDRESS(ref!$K$4,ref!F8,1,,CELL("contenu",$AB$2))))</f>
        <v/>
      </c>
      <c r="H9" s="4" t="str">
        <f ca="1">CELL("contenu",INDIRECT(ADDRESS(ref!$K$4,ref!G8,1,,CELL("contenu",$AB$2))))</f>
        <v>C</v>
      </c>
      <c r="I9" s="5" t="str">
        <f ca="1">CELL("contenu",INDIRECT(ADDRESS(ref!$K$4,ref!H8,1,,CELL("contenu",$AB$2))))</f>
        <v>C</v>
      </c>
      <c r="J9" s="6" t="str">
        <f ca="1">CELL("contenu",INDIRECT(ADDRESS(ref!$K$5,ref!E8,1,,CELL("contenu",$AB$2))))</f>
        <v/>
      </c>
      <c r="K9" s="3" t="str">
        <f ca="1">CELL("contenu",INDIRECT(ADDRESS(ref!$K$5,ref!F8,1,,CELL("contenu",$AB$2))))</f>
        <v/>
      </c>
      <c r="L9" s="4" t="str">
        <f ca="1">CELL("contenu",INDIRECT(ADDRESS(ref!$K$5,ref!G8,1,,CELL("contenu",$AB$2))))</f>
        <v>B</v>
      </c>
      <c r="M9" s="5" t="str">
        <f ca="1">CELL("contenu",INDIRECT(ADDRESS(ref!$K$5,ref!H8,1,,CELL("contenu",$AB$2))))</f>
        <v>B</v>
      </c>
      <c r="N9" s="6" t="str">
        <f ca="1">CELL("contenu",INDIRECT(ADDRESS(ref!$K$6,ref!E8,1,,CELL("contenu",$AB$2))))</f>
        <v>C</v>
      </c>
      <c r="O9" s="3" t="str">
        <f ca="1">CELL("contenu",INDIRECT(ADDRESS(ref!$K$6,ref!F8,1,,CELL("contenu",$AB$2))))</f>
        <v>D</v>
      </c>
      <c r="P9" s="4" t="str">
        <f ca="1">CELL("contenu",INDIRECT(ADDRESS(ref!$K$6,ref!G8,1,,CELL("contenu",$AB$2))))</f>
        <v>C</v>
      </c>
      <c r="Q9" s="5" t="str">
        <f ca="1">CELL("contenu",INDIRECT(ADDRESS(ref!$K$6,ref!H8,1,,CELL("contenu",$AB$2))))</f>
        <v>C</v>
      </c>
      <c r="R9" s="6" t="str">
        <f ca="1">CELL("contenu",INDIRECT(ADDRESS(ref!$K$7,ref!E8,1,,CELL("contenu",$AB$2))))</f>
        <v>B</v>
      </c>
      <c r="S9" s="3" t="str">
        <f ca="1">CELL("contenu",INDIRECT(ADDRESS(ref!$K$7,ref!F8,1,,CELL("contenu",$AB$2))))</f>
        <v/>
      </c>
      <c r="T9" s="4" t="str">
        <f ca="1">CELL("contenu",INDIRECT(ADDRESS(ref!$K$7,ref!G8,1,,CELL("contenu",$AB$2))))</f>
        <v/>
      </c>
      <c r="U9" s="5" t="str">
        <f ca="1">CELL("contenu",INDIRECT(ADDRESS(ref!$K$7,ref!H8,1,,CELL("contenu",$AB$2))))</f>
        <v>B</v>
      </c>
      <c r="V9" s="41">
        <f ca="1">CELL("contenu",INDIRECT(ADDRESS(ref!$K$8,ref!E8,1,,CELL("contenu",$AB$2))))</f>
        <v>12.083333333333332</v>
      </c>
      <c r="W9" s="42">
        <f ca="1">CELL("contenu",INDIRECT(ADDRESS(ref!$K$8,ref!F8,1,,CELL("contenu",$AB$2))))</f>
        <v>8.75</v>
      </c>
      <c r="X9" s="43">
        <f ca="1">CELL("contenu",INDIRECT(ADDRESS(ref!$K$8,ref!G8,1,,CELL("contenu",$AB$2))))</f>
        <v>12.326388888888889</v>
      </c>
      <c r="Y9" s="7" t="str">
        <f ca="1">CELL("contenu",INDIRECT(ADDRESS(ref!$K$9,ref!H8,1,,CELL("contenu",$AB$2))))</f>
        <v/>
      </c>
      <c r="Z9" s="8" t="str">
        <f ca="1">CELL("contenu",INDIRECT(ADDRESS(ref!$K$10,ref!H8,1,,CELL("contenu",$AB$2))))</f>
        <v>B</v>
      </c>
    </row>
    <row r="10" spans="1:28" x14ac:dyDescent="0.55000000000000004">
      <c r="A10" s="53" t="str">
        <f t="shared" ca="1" si="0"/>
        <v>BOULESTREAU Paul</v>
      </c>
      <c r="B10" s="2" t="str">
        <f ca="1">CELL("contenu",INDIRECT(ADDRESS(ref!$K$3,ref!E9,1,,CELL("contenu",$AB$2))))</f>
        <v>C</v>
      </c>
      <c r="C10" s="3" t="str">
        <f ca="1">CELL("contenu",INDIRECT(ADDRESS(ref!$K$3,ref!F9,1,,CELL("contenu",$AB$2))))</f>
        <v>A</v>
      </c>
      <c r="D10" s="4" t="str">
        <f ca="1">CELL("contenu",INDIRECT(ADDRESS(ref!$K$3,ref!G9,1,,CELL("contenu",$AB$2))))</f>
        <v>C</v>
      </c>
      <c r="E10" s="5" t="str">
        <f ca="1">CELL("contenu",INDIRECT(ADDRESS(ref!$K$3,ref!H9,1,,CELL("contenu",$AB$2))))</f>
        <v>C</v>
      </c>
      <c r="F10" s="6" t="str">
        <f ca="1">CELL("contenu",INDIRECT(ADDRESS(ref!$K$4,ref!E9,1,,CELL("contenu",$AB$2))))</f>
        <v>C</v>
      </c>
      <c r="G10" s="3" t="str">
        <f ca="1">CELL("contenu",INDIRECT(ADDRESS(ref!$K$4,ref!F9,1,,CELL("contenu",$AB$2))))</f>
        <v/>
      </c>
      <c r="H10" s="4" t="str">
        <f ca="1">CELL("contenu",INDIRECT(ADDRESS(ref!$K$4,ref!G9,1,,CELL("contenu",$AB$2))))</f>
        <v>B</v>
      </c>
      <c r="I10" s="5" t="str">
        <f ca="1">CELL("contenu",INDIRECT(ADDRESS(ref!$K$4,ref!H9,1,,CELL("contenu",$AB$2))))</f>
        <v>C</v>
      </c>
      <c r="J10" s="6" t="str">
        <f ca="1">CELL("contenu",INDIRECT(ADDRESS(ref!$K$5,ref!E9,1,,CELL("contenu",$AB$2))))</f>
        <v/>
      </c>
      <c r="K10" s="3" t="str">
        <f ca="1">CELL("contenu",INDIRECT(ADDRESS(ref!$K$5,ref!F9,1,,CELL("contenu",$AB$2))))</f>
        <v/>
      </c>
      <c r="L10" s="4" t="str">
        <f ca="1">CELL("contenu",INDIRECT(ADDRESS(ref!$K$5,ref!G9,1,,CELL("contenu",$AB$2))))</f>
        <v>B</v>
      </c>
      <c r="M10" s="5" t="str">
        <f ca="1">CELL("contenu",INDIRECT(ADDRESS(ref!$K$5,ref!H9,1,,CELL("contenu",$AB$2))))</f>
        <v>B</v>
      </c>
      <c r="N10" s="6" t="str">
        <f ca="1">CELL("contenu",INDIRECT(ADDRESS(ref!$K$6,ref!E9,1,,CELL("contenu",$AB$2))))</f>
        <v>B</v>
      </c>
      <c r="O10" s="3" t="str">
        <f ca="1">CELL("contenu",INDIRECT(ADDRESS(ref!$K$6,ref!F9,1,,CELL("contenu",$AB$2))))</f>
        <v>C</v>
      </c>
      <c r="P10" s="4" t="str">
        <f ca="1">CELL("contenu",INDIRECT(ADDRESS(ref!$K$6,ref!G9,1,,CELL("contenu",$AB$2))))</f>
        <v>C</v>
      </c>
      <c r="Q10" s="5" t="str">
        <f ca="1">CELL("contenu",INDIRECT(ADDRESS(ref!$K$6,ref!H9,1,,CELL("contenu",$AB$2))))</f>
        <v>C</v>
      </c>
      <c r="R10" s="6" t="str">
        <f ca="1">CELL("contenu",INDIRECT(ADDRESS(ref!$K$7,ref!E9,1,,CELL("contenu",$AB$2))))</f>
        <v>B</v>
      </c>
      <c r="S10" s="3" t="str">
        <f ca="1">CELL("contenu",INDIRECT(ADDRESS(ref!$K$7,ref!F9,1,,CELL("contenu",$AB$2))))</f>
        <v/>
      </c>
      <c r="T10" s="4" t="str">
        <f ca="1">CELL("contenu",INDIRECT(ADDRESS(ref!$K$7,ref!G9,1,,CELL("contenu",$AB$2))))</f>
        <v/>
      </c>
      <c r="U10" s="5" t="str">
        <f ca="1">CELL("contenu",INDIRECT(ADDRESS(ref!$K$7,ref!H9,1,,CELL("contenu",$AB$2))))</f>
        <v>B</v>
      </c>
      <c r="V10" s="41">
        <f ca="1">CELL("contenu",INDIRECT(ADDRESS(ref!$K$8,ref!E9,1,,CELL("contenu",$AB$2))))</f>
        <v>12.291666666666668</v>
      </c>
      <c r="W10" s="42">
        <f ca="1">CELL("contenu",INDIRECT(ADDRESS(ref!$K$8,ref!F9,1,,CELL("contenu",$AB$2))))</f>
        <v>16.25</v>
      </c>
      <c r="X10" s="43">
        <f ca="1">CELL("contenu",INDIRECT(ADDRESS(ref!$K$8,ref!G9,1,,CELL("contenu",$AB$2))))</f>
        <v>13.597222222222223</v>
      </c>
      <c r="Y10" s="7" t="str">
        <f ca="1">CELL("contenu",INDIRECT(ADDRESS(ref!$K$9,ref!H9,1,,CELL("contenu",$AB$2))))</f>
        <v/>
      </c>
      <c r="Z10" s="8" t="str">
        <f ca="1">CELL("contenu",INDIRECT(ADDRESS(ref!$K$10,ref!H9,1,,CELL("contenu",$AB$2))))</f>
        <v>C</v>
      </c>
    </row>
    <row r="11" spans="1:28" x14ac:dyDescent="0.55000000000000004">
      <c r="A11" s="53" t="str">
        <f t="shared" ca="1" si="0"/>
        <v>BREDIN Carl</v>
      </c>
      <c r="B11" s="2" t="str">
        <f ca="1">CELL("contenu",INDIRECT(ADDRESS(ref!$K$3,ref!E10,1,,CELL("contenu",$AB$2))))</f>
        <v>C</v>
      </c>
      <c r="C11" s="3" t="str">
        <f ca="1">CELL("contenu",INDIRECT(ADDRESS(ref!$K$3,ref!F10,1,,CELL("contenu",$AB$2))))</f>
        <v>C</v>
      </c>
      <c r="D11" s="4" t="str">
        <f ca="1">CELL("contenu",INDIRECT(ADDRESS(ref!$K$3,ref!G10,1,,CELL("contenu",$AB$2))))</f>
        <v>C</v>
      </c>
      <c r="E11" s="5" t="str">
        <f ca="1">CELL("contenu",INDIRECT(ADDRESS(ref!$K$3,ref!H10,1,,CELL("contenu",$AB$2))))</f>
        <v>C</v>
      </c>
      <c r="F11" s="6" t="str">
        <f ca="1">CELL("contenu",INDIRECT(ADDRESS(ref!$K$4,ref!E10,1,,CELL("contenu",$AB$2))))</f>
        <v>C</v>
      </c>
      <c r="G11" s="3" t="str">
        <f ca="1">CELL("contenu",INDIRECT(ADDRESS(ref!$K$4,ref!F10,1,,CELL("contenu",$AB$2))))</f>
        <v/>
      </c>
      <c r="H11" s="4" t="str">
        <f ca="1">CELL("contenu",INDIRECT(ADDRESS(ref!$K$4,ref!G10,1,,CELL("contenu",$AB$2))))</f>
        <v>B</v>
      </c>
      <c r="I11" s="5" t="str">
        <f ca="1">CELL("contenu",INDIRECT(ADDRESS(ref!$K$4,ref!H10,1,,CELL("contenu",$AB$2))))</f>
        <v>C</v>
      </c>
      <c r="J11" s="6" t="str">
        <f ca="1">CELL("contenu",INDIRECT(ADDRESS(ref!$K$5,ref!E10,1,,CELL("contenu",$AB$2))))</f>
        <v/>
      </c>
      <c r="K11" s="3" t="str">
        <f ca="1">CELL("contenu",INDIRECT(ADDRESS(ref!$K$5,ref!F10,1,,CELL("contenu",$AB$2))))</f>
        <v/>
      </c>
      <c r="L11" s="4" t="str">
        <f ca="1">CELL("contenu",INDIRECT(ADDRESS(ref!$K$5,ref!G10,1,,CELL("contenu",$AB$2))))</f>
        <v>B</v>
      </c>
      <c r="M11" s="5" t="str">
        <f ca="1">CELL("contenu",INDIRECT(ADDRESS(ref!$K$5,ref!H10,1,,CELL("contenu",$AB$2))))</f>
        <v>B</v>
      </c>
      <c r="N11" s="6" t="str">
        <f ca="1">CELL("contenu",INDIRECT(ADDRESS(ref!$K$6,ref!E10,1,,CELL("contenu",$AB$2))))</f>
        <v>C</v>
      </c>
      <c r="O11" s="3" t="str">
        <f ca="1">CELL("contenu",INDIRECT(ADDRESS(ref!$K$6,ref!F10,1,,CELL("contenu",$AB$2))))</f>
        <v>C</v>
      </c>
      <c r="P11" s="4" t="str">
        <f ca="1">CELL("contenu",INDIRECT(ADDRESS(ref!$K$6,ref!G10,1,,CELL("contenu",$AB$2))))</f>
        <v>C</v>
      </c>
      <c r="Q11" s="5" t="str">
        <f ca="1">CELL("contenu",INDIRECT(ADDRESS(ref!$K$6,ref!H10,1,,CELL("contenu",$AB$2))))</f>
        <v>C</v>
      </c>
      <c r="R11" s="6" t="str">
        <f ca="1">CELL("contenu",INDIRECT(ADDRESS(ref!$K$7,ref!E10,1,,CELL("contenu",$AB$2))))</f>
        <v>C</v>
      </c>
      <c r="S11" s="3" t="str">
        <f ca="1">CELL("contenu",INDIRECT(ADDRESS(ref!$K$7,ref!F10,1,,CELL("contenu",$AB$2))))</f>
        <v/>
      </c>
      <c r="T11" s="4" t="str">
        <f ca="1">CELL("contenu",INDIRECT(ADDRESS(ref!$K$7,ref!G10,1,,CELL("contenu",$AB$2))))</f>
        <v/>
      </c>
      <c r="U11" s="5" t="str">
        <f ca="1">CELL("contenu",INDIRECT(ADDRESS(ref!$K$7,ref!H10,1,,CELL("contenu",$AB$2))))</f>
        <v>C</v>
      </c>
      <c r="V11" s="41">
        <f ca="1">CELL("contenu",INDIRECT(ADDRESS(ref!$K$8,ref!E10,1,,CELL("contenu",$AB$2))))</f>
        <v>10.208333333333332</v>
      </c>
      <c r="W11" s="42">
        <f ca="1">CELL("contenu",INDIRECT(ADDRESS(ref!$K$8,ref!F10,1,,CELL("contenu",$AB$2))))</f>
        <v>10</v>
      </c>
      <c r="X11" s="43">
        <f ca="1">CELL("contenu",INDIRECT(ADDRESS(ref!$K$8,ref!G10,1,,CELL("contenu",$AB$2))))</f>
        <v>12.486111111111111</v>
      </c>
      <c r="Y11" s="7" t="str">
        <f ca="1">CELL("contenu",INDIRECT(ADDRESS(ref!$K$9,ref!H10,1,,CELL("contenu",$AB$2))))</f>
        <v/>
      </c>
      <c r="Z11" s="8" t="str">
        <f ca="1">CELL("contenu",INDIRECT(ADDRESS(ref!$K$10,ref!H10,1,,CELL("contenu",$AB$2))))</f>
        <v>B</v>
      </c>
    </row>
    <row r="12" spans="1:28" x14ac:dyDescent="0.55000000000000004">
      <c r="A12" s="53" t="str">
        <f t="shared" ca="1" si="0"/>
        <v>DAUCHEL Eve</v>
      </c>
      <c r="B12" s="2" t="str">
        <f ca="1">CELL("contenu",INDIRECT(ADDRESS(ref!$K$3,ref!E11,1,,CELL("contenu",$AB$2))))</f>
        <v>D</v>
      </c>
      <c r="C12" s="3" t="str">
        <f ca="1">CELL("contenu",INDIRECT(ADDRESS(ref!$K$3,ref!F11,1,,CELL("contenu",$AB$2))))</f>
        <v>B</v>
      </c>
      <c r="D12" s="4" t="str">
        <f ca="1">CELL("contenu",INDIRECT(ADDRESS(ref!$K$3,ref!G11,1,,CELL("contenu",$AB$2))))</f>
        <v>C</v>
      </c>
      <c r="E12" s="5" t="str">
        <f ca="1">CELL("contenu",INDIRECT(ADDRESS(ref!$K$3,ref!H11,1,,CELL("contenu",$AB$2))))</f>
        <v>C</v>
      </c>
      <c r="F12" s="6" t="str">
        <f ca="1">CELL("contenu",INDIRECT(ADDRESS(ref!$K$4,ref!E11,1,,CELL("contenu",$AB$2))))</f>
        <v>B</v>
      </c>
      <c r="G12" s="3" t="str">
        <f ca="1">CELL("contenu",INDIRECT(ADDRESS(ref!$K$4,ref!F11,1,,CELL("contenu",$AB$2))))</f>
        <v/>
      </c>
      <c r="H12" s="4" t="str">
        <f ca="1">CELL("contenu",INDIRECT(ADDRESS(ref!$K$4,ref!G11,1,,CELL("contenu",$AB$2))))</f>
        <v>A</v>
      </c>
      <c r="I12" s="5" t="str">
        <f ca="1">CELL("contenu",INDIRECT(ADDRESS(ref!$K$4,ref!H11,1,,CELL("contenu",$AB$2))))</f>
        <v>B</v>
      </c>
      <c r="J12" s="6" t="str">
        <f ca="1">CELL("contenu",INDIRECT(ADDRESS(ref!$K$5,ref!E11,1,,CELL("contenu",$AB$2))))</f>
        <v/>
      </c>
      <c r="K12" s="3" t="str">
        <f ca="1">CELL("contenu",INDIRECT(ADDRESS(ref!$K$5,ref!F11,1,,CELL("contenu",$AB$2))))</f>
        <v/>
      </c>
      <c r="L12" s="4" t="str">
        <f ca="1">CELL("contenu",INDIRECT(ADDRESS(ref!$K$5,ref!G11,1,,CELL("contenu",$AB$2))))</f>
        <v>B</v>
      </c>
      <c r="M12" s="5" t="str">
        <f ca="1">CELL("contenu",INDIRECT(ADDRESS(ref!$K$5,ref!H11,1,,CELL("contenu",$AB$2))))</f>
        <v>B</v>
      </c>
      <c r="N12" s="6" t="str">
        <f ca="1">CELL("contenu",INDIRECT(ADDRESS(ref!$K$6,ref!E11,1,,CELL("contenu",$AB$2))))</f>
        <v>B</v>
      </c>
      <c r="O12" s="3" t="str">
        <f ca="1">CELL("contenu",INDIRECT(ADDRESS(ref!$K$6,ref!F11,1,,CELL("contenu",$AB$2))))</f>
        <v>B</v>
      </c>
      <c r="P12" s="4" t="str">
        <f ca="1">CELL("contenu",INDIRECT(ADDRESS(ref!$K$6,ref!G11,1,,CELL("contenu",$AB$2))))</f>
        <v>C</v>
      </c>
      <c r="Q12" s="5" t="str">
        <f ca="1">CELL("contenu",INDIRECT(ADDRESS(ref!$K$6,ref!H11,1,,CELL("contenu",$AB$2))))</f>
        <v>B</v>
      </c>
      <c r="R12" s="6" t="str">
        <f ca="1">CELL("contenu",INDIRECT(ADDRESS(ref!$K$7,ref!E11,1,,CELL("contenu",$AB$2))))</f>
        <v>B</v>
      </c>
      <c r="S12" s="3" t="str">
        <f ca="1">CELL("contenu",INDIRECT(ADDRESS(ref!$K$7,ref!F11,1,,CELL("contenu",$AB$2))))</f>
        <v/>
      </c>
      <c r="T12" s="4" t="str">
        <f ca="1">CELL("contenu",INDIRECT(ADDRESS(ref!$K$7,ref!G11,1,,CELL("contenu",$AB$2))))</f>
        <v/>
      </c>
      <c r="U12" s="5" t="str">
        <f ca="1">CELL("contenu",INDIRECT(ADDRESS(ref!$K$7,ref!H11,1,,CELL("contenu",$AB$2))))</f>
        <v>B</v>
      </c>
      <c r="V12" s="41">
        <f ca="1">CELL("contenu",INDIRECT(ADDRESS(ref!$K$8,ref!E11,1,,CELL("contenu",$AB$2))))</f>
        <v>12.916666666666668</v>
      </c>
      <c r="W12" s="42">
        <f ca="1">CELL("contenu",INDIRECT(ADDRESS(ref!$K$8,ref!F11,1,,CELL("contenu",$AB$2))))</f>
        <v>16.25</v>
      </c>
      <c r="X12" s="43">
        <f ca="1">CELL("contenu",INDIRECT(ADDRESS(ref!$K$8,ref!G11,1,,CELL("contenu",$AB$2))))</f>
        <v>14.166666666666668</v>
      </c>
      <c r="Y12" s="7" t="str">
        <f ca="1">CELL("contenu",INDIRECT(ADDRESS(ref!$K$9,ref!H11,1,,CELL("contenu",$AB$2))))</f>
        <v/>
      </c>
      <c r="Z12" s="8" t="str">
        <f ca="1">CELL("contenu",INDIRECT(ADDRESS(ref!$K$10,ref!H11,1,,CELL("contenu",$AB$2))))</f>
        <v>A</v>
      </c>
    </row>
    <row r="13" spans="1:28" x14ac:dyDescent="0.55000000000000004">
      <c r="A13" s="53" t="str">
        <f t="shared" ca="1" si="0"/>
        <v>DE FRANCE Malo</v>
      </c>
      <c r="B13" s="2" t="str">
        <f ca="1">CELL("contenu",INDIRECT(ADDRESS(ref!$K$3,ref!E12,1,,CELL("contenu",$AB$2))))</f>
        <v>D</v>
      </c>
      <c r="C13" s="3" t="str">
        <f ca="1">CELL("contenu",INDIRECT(ADDRESS(ref!$K$3,ref!F12,1,,CELL("contenu",$AB$2))))</f>
        <v>D</v>
      </c>
      <c r="D13" s="4" t="str">
        <f ca="1">CELL("contenu",INDIRECT(ADDRESS(ref!$K$3,ref!G12,1,,CELL("contenu",$AB$2))))</f>
        <v>C</v>
      </c>
      <c r="E13" s="5" t="str">
        <f ca="1">CELL("contenu",INDIRECT(ADDRESS(ref!$K$3,ref!H12,1,,CELL("contenu",$AB$2))))</f>
        <v>C</v>
      </c>
      <c r="F13" s="6" t="str">
        <f ca="1">CELL("contenu",INDIRECT(ADDRESS(ref!$K$4,ref!E12,1,,CELL("contenu",$AB$2))))</f>
        <v>C</v>
      </c>
      <c r="G13" s="3" t="str">
        <f ca="1">CELL("contenu",INDIRECT(ADDRESS(ref!$K$4,ref!F12,1,,CELL("contenu",$AB$2))))</f>
        <v/>
      </c>
      <c r="H13" s="4" t="str">
        <f ca="1">CELL("contenu",INDIRECT(ADDRESS(ref!$K$4,ref!G12,1,,CELL("contenu",$AB$2))))</f>
        <v>B</v>
      </c>
      <c r="I13" s="5" t="str">
        <f ca="1">CELL("contenu",INDIRECT(ADDRESS(ref!$K$4,ref!H12,1,,CELL("contenu",$AB$2))))</f>
        <v>B</v>
      </c>
      <c r="J13" s="6" t="str">
        <f ca="1">CELL("contenu",INDIRECT(ADDRESS(ref!$K$5,ref!E12,1,,CELL("contenu",$AB$2))))</f>
        <v/>
      </c>
      <c r="K13" s="3" t="str">
        <f ca="1">CELL("contenu",INDIRECT(ADDRESS(ref!$K$5,ref!F12,1,,CELL("contenu",$AB$2))))</f>
        <v/>
      </c>
      <c r="L13" s="4" t="str">
        <f ca="1">CELL("contenu",INDIRECT(ADDRESS(ref!$K$5,ref!G12,1,,CELL("contenu",$AB$2))))</f>
        <v>B</v>
      </c>
      <c r="M13" s="5" t="str">
        <f ca="1">CELL("contenu",INDIRECT(ADDRESS(ref!$K$5,ref!H12,1,,CELL("contenu",$AB$2))))</f>
        <v>B</v>
      </c>
      <c r="N13" s="6" t="str">
        <f ca="1">CELL("contenu",INDIRECT(ADDRESS(ref!$K$6,ref!E12,1,,CELL("contenu",$AB$2))))</f>
        <v>C</v>
      </c>
      <c r="O13" s="3" t="str">
        <f ca="1">CELL("contenu",INDIRECT(ADDRESS(ref!$K$6,ref!F12,1,,CELL("contenu",$AB$2))))</f>
        <v>D</v>
      </c>
      <c r="P13" s="4" t="str">
        <f ca="1">CELL("contenu",INDIRECT(ADDRESS(ref!$K$6,ref!G12,1,,CELL("contenu",$AB$2))))</f>
        <v>C</v>
      </c>
      <c r="Q13" s="5" t="str">
        <f ca="1">CELL("contenu",INDIRECT(ADDRESS(ref!$K$6,ref!H12,1,,CELL("contenu",$AB$2))))</f>
        <v>C</v>
      </c>
      <c r="R13" s="6" t="str">
        <f ca="1">CELL("contenu",INDIRECT(ADDRESS(ref!$K$7,ref!E12,1,,CELL("contenu",$AB$2))))</f>
        <v>B</v>
      </c>
      <c r="S13" s="3" t="str">
        <f ca="1">CELL("contenu",INDIRECT(ADDRESS(ref!$K$7,ref!F12,1,,CELL("contenu",$AB$2))))</f>
        <v/>
      </c>
      <c r="T13" s="4" t="str">
        <f ca="1">CELL("contenu",INDIRECT(ADDRESS(ref!$K$7,ref!G12,1,,CELL("contenu",$AB$2))))</f>
        <v/>
      </c>
      <c r="U13" s="5" t="str">
        <f ca="1">CELL("contenu",INDIRECT(ADDRESS(ref!$K$7,ref!H12,1,,CELL("contenu",$AB$2))))</f>
        <v>B</v>
      </c>
      <c r="V13" s="41">
        <f ca="1">CELL("contenu",INDIRECT(ADDRESS(ref!$K$8,ref!E12,1,,CELL("contenu",$AB$2))))</f>
        <v>10.625</v>
      </c>
      <c r="W13" s="42">
        <f ca="1">CELL("contenu",INDIRECT(ADDRESS(ref!$K$8,ref!F12,1,,CELL("contenu",$AB$2))))</f>
        <v>6.25</v>
      </c>
      <c r="X13" s="43">
        <f ca="1">CELL("contenu",INDIRECT(ADDRESS(ref!$K$8,ref!G12,1,,CELL("contenu",$AB$2))))</f>
        <v>13.694444444444445</v>
      </c>
      <c r="Y13" s="7" t="str">
        <f ca="1">CELL("contenu",INDIRECT(ADDRESS(ref!$K$9,ref!H12,1,,CELL("contenu",$AB$2))))</f>
        <v/>
      </c>
      <c r="Z13" s="8" t="str">
        <f ca="1">CELL("contenu",INDIRECT(ADDRESS(ref!$K$10,ref!H12,1,,CELL("contenu",$AB$2))))</f>
        <v>B</v>
      </c>
    </row>
    <row r="14" spans="1:28" x14ac:dyDescent="0.55000000000000004">
      <c r="A14" s="53" t="str">
        <f t="shared" ca="1" si="0"/>
        <v>DESECOT Marie-Domitille</v>
      </c>
      <c r="B14" s="2" t="str">
        <f ca="1">CELL("contenu",INDIRECT(ADDRESS(ref!$K$3,ref!E13,1,,CELL("contenu",$AB$2))))</f>
        <v>C</v>
      </c>
      <c r="C14" s="3" t="str">
        <f ca="1">CELL("contenu",INDIRECT(ADDRESS(ref!$K$3,ref!F13,1,,CELL("contenu",$AB$2))))</f>
        <v>B</v>
      </c>
      <c r="D14" s="4" t="str">
        <f ca="1">CELL("contenu",INDIRECT(ADDRESS(ref!$K$3,ref!G13,1,,CELL("contenu",$AB$2))))</f>
        <v>C</v>
      </c>
      <c r="E14" s="5" t="str">
        <f ca="1">CELL("contenu",INDIRECT(ADDRESS(ref!$K$3,ref!H13,1,,CELL("contenu",$AB$2))))</f>
        <v>C</v>
      </c>
      <c r="F14" s="6" t="str">
        <f ca="1">CELL("contenu",INDIRECT(ADDRESS(ref!$K$4,ref!E13,1,,CELL("contenu",$AB$2))))</f>
        <v>B</v>
      </c>
      <c r="G14" s="3" t="str">
        <f ca="1">CELL("contenu",INDIRECT(ADDRESS(ref!$K$4,ref!F13,1,,CELL("contenu",$AB$2))))</f>
        <v/>
      </c>
      <c r="H14" s="4" t="str">
        <f ca="1">CELL("contenu",INDIRECT(ADDRESS(ref!$K$4,ref!G13,1,,CELL("contenu",$AB$2))))</f>
        <v>A</v>
      </c>
      <c r="I14" s="5" t="str">
        <f ca="1">CELL("contenu",INDIRECT(ADDRESS(ref!$K$4,ref!H13,1,,CELL("contenu",$AB$2))))</f>
        <v>B</v>
      </c>
      <c r="J14" s="6" t="str">
        <f ca="1">CELL("contenu",INDIRECT(ADDRESS(ref!$K$5,ref!E13,1,,CELL("contenu",$AB$2))))</f>
        <v/>
      </c>
      <c r="K14" s="3" t="str">
        <f ca="1">CELL("contenu",INDIRECT(ADDRESS(ref!$K$5,ref!F13,1,,CELL("contenu",$AB$2))))</f>
        <v/>
      </c>
      <c r="L14" s="4" t="str">
        <f ca="1">CELL("contenu",INDIRECT(ADDRESS(ref!$K$5,ref!G13,1,,CELL("contenu",$AB$2))))</f>
        <v>B</v>
      </c>
      <c r="M14" s="5" t="str">
        <f ca="1">CELL("contenu",INDIRECT(ADDRESS(ref!$K$5,ref!H13,1,,CELL("contenu",$AB$2))))</f>
        <v>B</v>
      </c>
      <c r="N14" s="6" t="str">
        <f ca="1">CELL("contenu",INDIRECT(ADDRESS(ref!$K$6,ref!E13,1,,CELL("contenu",$AB$2))))</f>
        <v>B</v>
      </c>
      <c r="O14" s="3" t="str">
        <f ca="1">CELL("contenu",INDIRECT(ADDRESS(ref!$K$6,ref!F13,1,,CELL("contenu",$AB$2))))</f>
        <v>B</v>
      </c>
      <c r="P14" s="4" t="str">
        <f ca="1">CELL("contenu",INDIRECT(ADDRESS(ref!$K$6,ref!G13,1,,CELL("contenu",$AB$2))))</f>
        <v>B</v>
      </c>
      <c r="Q14" s="5" t="str">
        <f ca="1">CELL("contenu",INDIRECT(ADDRESS(ref!$K$6,ref!H13,1,,CELL("contenu",$AB$2))))</f>
        <v>B</v>
      </c>
      <c r="R14" s="6" t="str">
        <f ca="1">CELL("contenu",INDIRECT(ADDRESS(ref!$K$7,ref!E13,1,,CELL("contenu",$AB$2))))</f>
        <v>B</v>
      </c>
      <c r="S14" s="3" t="str">
        <f ca="1">CELL("contenu",INDIRECT(ADDRESS(ref!$K$7,ref!F13,1,,CELL("contenu",$AB$2))))</f>
        <v/>
      </c>
      <c r="T14" s="4" t="str">
        <f ca="1">CELL("contenu",INDIRECT(ADDRESS(ref!$K$7,ref!G13,1,,CELL("contenu",$AB$2))))</f>
        <v/>
      </c>
      <c r="U14" s="5" t="str">
        <f ca="1">CELL("contenu",INDIRECT(ADDRESS(ref!$K$7,ref!H13,1,,CELL("contenu",$AB$2))))</f>
        <v>B</v>
      </c>
      <c r="V14" s="41">
        <f ca="1">CELL("contenu",INDIRECT(ADDRESS(ref!$K$8,ref!E13,1,,CELL("contenu",$AB$2))))</f>
        <v>12.916666666666668</v>
      </c>
      <c r="W14" s="42">
        <f ca="1">CELL("contenu",INDIRECT(ADDRESS(ref!$K$8,ref!F13,1,,CELL("contenu",$AB$2))))</f>
        <v>15</v>
      </c>
      <c r="X14" s="43">
        <f ca="1">CELL("contenu",INDIRECT(ADDRESS(ref!$K$8,ref!G13,1,,CELL("contenu",$AB$2))))</f>
        <v>14.777777777777779</v>
      </c>
      <c r="Y14" s="7" t="str">
        <f ca="1">CELL("contenu",INDIRECT(ADDRESS(ref!$K$9,ref!H13,1,,CELL("contenu",$AB$2))))</f>
        <v/>
      </c>
      <c r="Z14" s="8" t="str">
        <f ca="1">CELL("contenu",INDIRECT(ADDRESS(ref!$K$10,ref!H13,1,,CELL("contenu",$AB$2))))</f>
        <v>B</v>
      </c>
    </row>
    <row r="15" spans="1:28" x14ac:dyDescent="0.55000000000000004">
      <c r="A15" s="53" t="str">
        <f t="shared" ca="1" si="0"/>
        <v>GAUTIER-BRANDICOURT Barthelemy</v>
      </c>
      <c r="B15" s="2" t="str">
        <f ca="1">CELL("contenu",INDIRECT(ADDRESS(ref!$K$3,ref!E14,1,,CELL("contenu",$AB$2))))</f>
        <v>C</v>
      </c>
      <c r="C15" s="3" t="str">
        <f ca="1">CELL("contenu",INDIRECT(ADDRESS(ref!$K$3,ref!F14,1,,CELL("contenu",$AB$2))))</f>
        <v>B</v>
      </c>
      <c r="D15" s="4" t="str">
        <f ca="1">CELL("contenu",INDIRECT(ADDRESS(ref!$K$3,ref!G14,1,,CELL("contenu",$AB$2))))</f>
        <v>B</v>
      </c>
      <c r="E15" s="5" t="str">
        <f ca="1">CELL("contenu",INDIRECT(ADDRESS(ref!$K$3,ref!H14,1,,CELL("contenu",$AB$2))))</f>
        <v>B</v>
      </c>
      <c r="F15" s="6" t="str">
        <f ca="1">CELL("contenu",INDIRECT(ADDRESS(ref!$K$4,ref!E14,1,,CELL("contenu",$AB$2))))</f>
        <v>C</v>
      </c>
      <c r="G15" s="3" t="str">
        <f ca="1">CELL("contenu",INDIRECT(ADDRESS(ref!$K$4,ref!F14,1,,CELL("contenu",$AB$2))))</f>
        <v/>
      </c>
      <c r="H15" s="4" t="str">
        <f ca="1">CELL("contenu",INDIRECT(ADDRESS(ref!$K$4,ref!G14,1,,CELL("contenu",$AB$2))))</f>
        <v>B</v>
      </c>
      <c r="I15" s="5" t="str">
        <f ca="1">CELL("contenu",INDIRECT(ADDRESS(ref!$K$4,ref!H14,1,,CELL("contenu",$AB$2))))</f>
        <v>B</v>
      </c>
      <c r="J15" s="6" t="str">
        <f ca="1">CELL("contenu",INDIRECT(ADDRESS(ref!$K$5,ref!E14,1,,CELL("contenu",$AB$2))))</f>
        <v/>
      </c>
      <c r="K15" s="3" t="str">
        <f ca="1">CELL("contenu",INDIRECT(ADDRESS(ref!$K$5,ref!F14,1,,CELL("contenu",$AB$2))))</f>
        <v/>
      </c>
      <c r="L15" s="4" t="str">
        <f ca="1">CELL("contenu",INDIRECT(ADDRESS(ref!$K$5,ref!G14,1,,CELL("contenu",$AB$2))))</f>
        <v>B</v>
      </c>
      <c r="M15" s="5" t="str">
        <f ca="1">CELL("contenu",INDIRECT(ADDRESS(ref!$K$5,ref!H14,1,,CELL("contenu",$AB$2))))</f>
        <v>B</v>
      </c>
      <c r="N15" s="6" t="str">
        <f ca="1">CELL("contenu",INDIRECT(ADDRESS(ref!$K$6,ref!E14,1,,CELL("contenu",$AB$2))))</f>
        <v>A</v>
      </c>
      <c r="O15" s="3" t="str">
        <f ca="1">CELL("contenu",INDIRECT(ADDRESS(ref!$K$6,ref!F14,1,,CELL("contenu",$AB$2))))</f>
        <v>B</v>
      </c>
      <c r="P15" s="4" t="str">
        <f ca="1">CELL("contenu",INDIRECT(ADDRESS(ref!$K$6,ref!G14,1,,CELL("contenu",$AB$2))))</f>
        <v>B</v>
      </c>
      <c r="Q15" s="5" t="str">
        <f ca="1">CELL("contenu",INDIRECT(ADDRESS(ref!$K$6,ref!H14,1,,CELL("contenu",$AB$2))))</f>
        <v>B</v>
      </c>
      <c r="R15" s="6" t="str">
        <f ca="1">CELL("contenu",INDIRECT(ADDRESS(ref!$K$7,ref!E14,1,,CELL("contenu",$AB$2))))</f>
        <v>B</v>
      </c>
      <c r="S15" s="3" t="str">
        <f ca="1">CELL("contenu",INDIRECT(ADDRESS(ref!$K$7,ref!F14,1,,CELL("contenu",$AB$2))))</f>
        <v/>
      </c>
      <c r="T15" s="4" t="str">
        <f ca="1">CELL("contenu",INDIRECT(ADDRESS(ref!$K$7,ref!G14,1,,CELL("contenu",$AB$2))))</f>
        <v/>
      </c>
      <c r="U15" s="5" t="str">
        <f ca="1">CELL("contenu",INDIRECT(ADDRESS(ref!$K$7,ref!H14,1,,CELL("contenu",$AB$2))))</f>
        <v>B</v>
      </c>
      <c r="V15" s="41">
        <f ca="1">CELL("contenu",INDIRECT(ADDRESS(ref!$K$8,ref!E14,1,,CELL("contenu",$AB$2))))</f>
        <v>15.208333333333332</v>
      </c>
      <c r="W15" s="42">
        <f ca="1">CELL("contenu",INDIRECT(ADDRESS(ref!$K$8,ref!F14,1,,CELL("contenu",$AB$2))))</f>
        <v>15</v>
      </c>
      <c r="X15" s="43">
        <f ca="1">CELL("contenu",INDIRECT(ADDRESS(ref!$K$8,ref!G14,1,,CELL("contenu",$AB$2))))</f>
        <v>15.902777777777777</v>
      </c>
      <c r="Y15" s="7" t="str">
        <f ca="1">CELL("contenu",INDIRECT(ADDRESS(ref!$K$9,ref!H14,1,,CELL("contenu",$AB$2))))</f>
        <v/>
      </c>
      <c r="Z15" s="8" t="str">
        <f ca="1">CELL("contenu",INDIRECT(ADDRESS(ref!$K$10,ref!H14,1,,CELL("contenu",$AB$2))))</f>
        <v>B</v>
      </c>
    </row>
    <row r="16" spans="1:28" x14ac:dyDescent="0.55000000000000004">
      <c r="A16" s="53" t="str">
        <f t="shared" ca="1" si="0"/>
        <v>GIBIER Louise</v>
      </c>
      <c r="B16" s="2" t="str">
        <f ca="1">CELL("contenu",INDIRECT(ADDRESS(ref!$K$3,ref!E15,1,,CELL("contenu",$AB$2))))</f>
        <v>C</v>
      </c>
      <c r="C16" s="3" t="str">
        <f ca="1">CELL("contenu",INDIRECT(ADDRESS(ref!$K$3,ref!F15,1,,CELL("contenu",$AB$2))))</f>
        <v>C</v>
      </c>
      <c r="D16" s="4" t="str">
        <f ca="1">CELL("contenu",INDIRECT(ADDRESS(ref!$K$3,ref!G15,1,,CELL("contenu",$AB$2))))</f>
        <v>C</v>
      </c>
      <c r="E16" s="5" t="str">
        <f ca="1">CELL("contenu",INDIRECT(ADDRESS(ref!$K$3,ref!H15,1,,CELL("contenu",$AB$2))))</f>
        <v>C</v>
      </c>
      <c r="F16" s="6" t="str">
        <f ca="1">CELL("contenu",INDIRECT(ADDRESS(ref!$K$4,ref!E15,1,,CELL("contenu",$AB$2))))</f>
        <v>C</v>
      </c>
      <c r="G16" s="3" t="str">
        <f ca="1">CELL("contenu",INDIRECT(ADDRESS(ref!$K$4,ref!F15,1,,CELL("contenu",$AB$2))))</f>
        <v/>
      </c>
      <c r="H16" s="4" t="str">
        <f ca="1">CELL("contenu",INDIRECT(ADDRESS(ref!$K$4,ref!G15,1,,CELL("contenu",$AB$2))))</f>
        <v>B</v>
      </c>
      <c r="I16" s="5" t="str">
        <f ca="1">CELL("contenu",INDIRECT(ADDRESS(ref!$K$4,ref!H15,1,,CELL("contenu",$AB$2))))</f>
        <v>B</v>
      </c>
      <c r="J16" s="6" t="str">
        <f ca="1">CELL("contenu",INDIRECT(ADDRESS(ref!$K$5,ref!E15,1,,CELL("contenu",$AB$2))))</f>
        <v/>
      </c>
      <c r="K16" s="3" t="str">
        <f ca="1">CELL("contenu",INDIRECT(ADDRESS(ref!$K$5,ref!F15,1,,CELL("contenu",$AB$2))))</f>
        <v/>
      </c>
      <c r="L16" s="4" t="str">
        <f ca="1">CELL("contenu",INDIRECT(ADDRESS(ref!$K$5,ref!G15,1,,CELL("contenu",$AB$2))))</f>
        <v>B</v>
      </c>
      <c r="M16" s="5" t="str">
        <f ca="1">CELL("contenu",INDIRECT(ADDRESS(ref!$K$5,ref!H15,1,,CELL("contenu",$AB$2))))</f>
        <v>B</v>
      </c>
      <c r="N16" s="6" t="str">
        <f ca="1">CELL("contenu",INDIRECT(ADDRESS(ref!$K$6,ref!E15,1,,CELL("contenu",$AB$2))))</f>
        <v>C</v>
      </c>
      <c r="O16" s="3" t="str">
        <f ca="1">CELL("contenu",INDIRECT(ADDRESS(ref!$K$6,ref!F15,1,,CELL("contenu",$AB$2))))</f>
        <v>C</v>
      </c>
      <c r="P16" s="4" t="str">
        <f ca="1">CELL("contenu",INDIRECT(ADDRESS(ref!$K$6,ref!G15,1,,CELL("contenu",$AB$2))))</f>
        <v>C</v>
      </c>
      <c r="Q16" s="5" t="str">
        <f ca="1">CELL("contenu",INDIRECT(ADDRESS(ref!$K$6,ref!H15,1,,CELL("contenu",$AB$2))))</f>
        <v>C</v>
      </c>
      <c r="R16" s="6" t="str">
        <f ca="1">CELL("contenu",INDIRECT(ADDRESS(ref!$K$7,ref!E15,1,,CELL("contenu",$AB$2))))</f>
        <v>B</v>
      </c>
      <c r="S16" s="3" t="str">
        <f ca="1">CELL("contenu",INDIRECT(ADDRESS(ref!$K$7,ref!F15,1,,CELL("contenu",$AB$2))))</f>
        <v/>
      </c>
      <c r="T16" s="4" t="str">
        <f ca="1">CELL("contenu",INDIRECT(ADDRESS(ref!$K$7,ref!G15,1,,CELL("contenu",$AB$2))))</f>
        <v/>
      </c>
      <c r="U16" s="5" t="str">
        <f ca="1">CELL("contenu",INDIRECT(ADDRESS(ref!$K$7,ref!H15,1,,CELL("contenu",$AB$2))))</f>
        <v>B</v>
      </c>
      <c r="V16" s="41">
        <f ca="1">CELL("contenu",INDIRECT(ADDRESS(ref!$K$8,ref!E15,1,,CELL("contenu",$AB$2))))</f>
        <v>12.708333333333332</v>
      </c>
      <c r="W16" s="42">
        <f ca="1">CELL("contenu",INDIRECT(ADDRESS(ref!$K$8,ref!F15,1,,CELL("contenu",$AB$2))))</f>
        <v>10</v>
      </c>
      <c r="X16" s="43">
        <f ca="1">CELL("contenu",INDIRECT(ADDRESS(ref!$K$8,ref!G15,1,,CELL("contenu",$AB$2))))</f>
        <v>13.819444444444446</v>
      </c>
      <c r="Y16" s="7" t="str">
        <f ca="1">CELL("contenu",INDIRECT(ADDRESS(ref!$K$9,ref!H15,1,,CELL("contenu",$AB$2))))</f>
        <v/>
      </c>
      <c r="Z16" s="8" t="str">
        <f ca="1">CELL("contenu",INDIRECT(ADDRESS(ref!$K$10,ref!H15,1,,CELL("contenu",$AB$2))))</f>
        <v>C</v>
      </c>
    </row>
    <row r="17" spans="1:26" x14ac:dyDescent="0.55000000000000004">
      <c r="A17" s="53" t="str">
        <f t="shared" ca="1" si="0"/>
        <v>GUILLAUD-VALLEE Jeanne</v>
      </c>
      <c r="B17" s="2" t="str">
        <f ca="1">CELL("contenu",INDIRECT(ADDRESS(ref!$K$3,ref!E16,1,,CELL("contenu",$AB$2))))</f>
        <v>C</v>
      </c>
      <c r="C17" s="3" t="str">
        <f ca="1">CELL("contenu",INDIRECT(ADDRESS(ref!$K$3,ref!F16,1,,CELL("contenu",$AB$2))))</f>
        <v>A</v>
      </c>
      <c r="D17" s="4" t="str">
        <f ca="1">CELL("contenu",INDIRECT(ADDRESS(ref!$K$3,ref!G16,1,,CELL("contenu",$AB$2))))</f>
        <v>B</v>
      </c>
      <c r="E17" s="5" t="str">
        <f ca="1">CELL("contenu",INDIRECT(ADDRESS(ref!$K$3,ref!H16,1,,CELL("contenu",$AB$2))))</f>
        <v>B</v>
      </c>
      <c r="F17" s="6" t="str">
        <f ca="1">CELL("contenu",INDIRECT(ADDRESS(ref!$K$4,ref!E16,1,,CELL("contenu",$AB$2))))</f>
        <v>A</v>
      </c>
      <c r="G17" s="3" t="str">
        <f ca="1">CELL("contenu",INDIRECT(ADDRESS(ref!$K$4,ref!F16,1,,CELL("contenu",$AB$2))))</f>
        <v/>
      </c>
      <c r="H17" s="4" t="str">
        <f ca="1">CELL("contenu",INDIRECT(ADDRESS(ref!$K$4,ref!G16,1,,CELL("contenu",$AB$2))))</f>
        <v>B</v>
      </c>
      <c r="I17" s="5" t="str">
        <f ca="1">CELL("contenu",INDIRECT(ADDRESS(ref!$K$4,ref!H16,1,,CELL("contenu",$AB$2))))</f>
        <v>B</v>
      </c>
      <c r="J17" s="6" t="str">
        <f ca="1">CELL("contenu",INDIRECT(ADDRESS(ref!$K$5,ref!E16,1,,CELL("contenu",$AB$2))))</f>
        <v/>
      </c>
      <c r="K17" s="3" t="str">
        <f ca="1">CELL("contenu",INDIRECT(ADDRESS(ref!$K$5,ref!F16,1,,CELL("contenu",$AB$2))))</f>
        <v/>
      </c>
      <c r="L17" s="4" t="str">
        <f ca="1">CELL("contenu",INDIRECT(ADDRESS(ref!$K$5,ref!G16,1,,CELL("contenu",$AB$2))))</f>
        <v>C</v>
      </c>
      <c r="M17" s="5" t="str">
        <f ca="1">CELL("contenu",INDIRECT(ADDRESS(ref!$K$5,ref!H16,1,,CELL("contenu",$AB$2))))</f>
        <v>C</v>
      </c>
      <c r="N17" s="6" t="str">
        <f ca="1">CELL("contenu",INDIRECT(ADDRESS(ref!$K$6,ref!E16,1,,CELL("contenu",$AB$2))))</f>
        <v>B</v>
      </c>
      <c r="O17" s="3" t="str">
        <f ca="1">CELL("contenu",INDIRECT(ADDRESS(ref!$K$6,ref!F16,1,,CELL("contenu",$AB$2))))</f>
        <v>C</v>
      </c>
      <c r="P17" s="4" t="str">
        <f ca="1">CELL("contenu",INDIRECT(ADDRESS(ref!$K$6,ref!G16,1,,CELL("contenu",$AB$2))))</f>
        <v>B</v>
      </c>
      <c r="Q17" s="5" t="str">
        <f ca="1">CELL("contenu",INDIRECT(ADDRESS(ref!$K$6,ref!H16,1,,CELL("contenu",$AB$2))))</f>
        <v>B</v>
      </c>
      <c r="R17" s="6" t="str">
        <f ca="1">CELL("contenu",INDIRECT(ADDRESS(ref!$K$7,ref!E16,1,,CELL("contenu",$AB$2))))</f>
        <v>B</v>
      </c>
      <c r="S17" s="3" t="str">
        <f ca="1">CELL("contenu",INDIRECT(ADDRESS(ref!$K$7,ref!F16,1,,CELL("contenu",$AB$2))))</f>
        <v/>
      </c>
      <c r="T17" s="4" t="str">
        <f ca="1">CELL("contenu",INDIRECT(ADDRESS(ref!$K$7,ref!G16,1,,CELL("contenu",$AB$2))))</f>
        <v/>
      </c>
      <c r="U17" s="5" t="str">
        <f ca="1">CELL("contenu",INDIRECT(ADDRESS(ref!$K$7,ref!H16,1,,CELL("contenu",$AB$2))))</f>
        <v>B</v>
      </c>
      <c r="V17" s="41">
        <f ca="1">CELL("contenu",INDIRECT(ADDRESS(ref!$K$8,ref!E16,1,,CELL("contenu",$AB$2))))</f>
        <v>14.791666666666668</v>
      </c>
      <c r="W17" s="42">
        <f ca="1">CELL("contenu",INDIRECT(ADDRESS(ref!$K$8,ref!F16,1,,CELL("contenu",$AB$2))))</f>
        <v>16.25</v>
      </c>
      <c r="X17" s="43">
        <f ca="1">CELL("contenu",INDIRECT(ADDRESS(ref!$K$8,ref!G16,1,,CELL("contenu",$AB$2))))</f>
        <v>15.145833333333334</v>
      </c>
      <c r="Y17" s="7" t="str">
        <f ca="1">CELL("contenu",INDIRECT(ADDRESS(ref!$K$9,ref!H16,1,,CELL("contenu",$AB$2))))</f>
        <v/>
      </c>
      <c r="Z17" s="8" t="str">
        <f ca="1">CELL("contenu",INDIRECT(ADDRESS(ref!$K$10,ref!H16,1,,CELL("contenu",$AB$2))))</f>
        <v>B</v>
      </c>
    </row>
    <row r="18" spans="1:26" x14ac:dyDescent="0.55000000000000004">
      <c r="A18" s="53" t="str">
        <f t="shared" ca="1" si="0"/>
        <v>HOURI Alexane</v>
      </c>
      <c r="B18" s="2" t="str">
        <f ca="1">CELL("contenu",INDIRECT(ADDRESS(ref!$K$3,ref!E17,1,,CELL("contenu",$AB$2))))</f>
        <v>C</v>
      </c>
      <c r="C18" s="3" t="str">
        <f ca="1">CELL("contenu",INDIRECT(ADDRESS(ref!$K$3,ref!F17,1,,CELL("contenu",$AB$2))))</f>
        <v>C</v>
      </c>
      <c r="D18" s="4" t="str">
        <f ca="1">CELL("contenu",INDIRECT(ADDRESS(ref!$K$3,ref!G17,1,,CELL("contenu",$AB$2))))</f>
        <v>C</v>
      </c>
      <c r="E18" s="5" t="str">
        <f ca="1">CELL("contenu",INDIRECT(ADDRESS(ref!$K$3,ref!H17,1,,CELL("contenu",$AB$2))))</f>
        <v>C</v>
      </c>
      <c r="F18" s="6" t="str">
        <f ca="1">CELL("contenu",INDIRECT(ADDRESS(ref!$K$4,ref!E17,1,,CELL("contenu",$AB$2))))</f>
        <v>C</v>
      </c>
      <c r="G18" s="3" t="str">
        <f ca="1">CELL("contenu",INDIRECT(ADDRESS(ref!$K$4,ref!F17,1,,CELL("contenu",$AB$2))))</f>
        <v/>
      </c>
      <c r="H18" s="4" t="str">
        <f ca="1">CELL("contenu",INDIRECT(ADDRESS(ref!$K$4,ref!G17,1,,CELL("contenu",$AB$2))))</f>
        <v>C</v>
      </c>
      <c r="I18" s="5" t="str">
        <f ca="1">CELL("contenu",INDIRECT(ADDRESS(ref!$K$4,ref!H17,1,,CELL("contenu",$AB$2))))</f>
        <v>C</v>
      </c>
      <c r="J18" s="6" t="str">
        <f ca="1">CELL("contenu",INDIRECT(ADDRESS(ref!$K$5,ref!E17,1,,CELL("contenu",$AB$2))))</f>
        <v/>
      </c>
      <c r="K18" s="3" t="str">
        <f ca="1">CELL("contenu",INDIRECT(ADDRESS(ref!$K$5,ref!F17,1,,CELL("contenu",$AB$2))))</f>
        <v/>
      </c>
      <c r="L18" s="4" t="str">
        <f ca="1">CELL("contenu",INDIRECT(ADDRESS(ref!$K$5,ref!G17,1,,CELL("contenu",$AB$2))))</f>
        <v>B</v>
      </c>
      <c r="M18" s="5" t="str">
        <f ca="1">CELL("contenu",INDIRECT(ADDRESS(ref!$K$5,ref!H17,1,,CELL("contenu",$AB$2))))</f>
        <v>B</v>
      </c>
      <c r="N18" s="6" t="str">
        <f ca="1">CELL("contenu",INDIRECT(ADDRESS(ref!$K$6,ref!E17,1,,CELL("contenu",$AB$2))))</f>
        <v>B</v>
      </c>
      <c r="O18" s="3" t="str">
        <f ca="1">CELL("contenu",INDIRECT(ADDRESS(ref!$K$6,ref!F17,1,,CELL("contenu",$AB$2))))</f>
        <v>D</v>
      </c>
      <c r="P18" s="4" t="str">
        <f ca="1">CELL("contenu",INDIRECT(ADDRESS(ref!$K$6,ref!G17,1,,CELL("contenu",$AB$2))))</f>
        <v>B</v>
      </c>
      <c r="Q18" s="5" t="str">
        <f ca="1">CELL("contenu",INDIRECT(ADDRESS(ref!$K$6,ref!H17,1,,CELL("contenu",$AB$2))))</f>
        <v>C</v>
      </c>
      <c r="R18" s="6" t="str">
        <f ca="1">CELL("contenu",INDIRECT(ADDRESS(ref!$K$7,ref!E17,1,,CELL("contenu",$AB$2))))</f>
        <v>C</v>
      </c>
      <c r="S18" s="3" t="str">
        <f ca="1">CELL("contenu",INDIRECT(ADDRESS(ref!$K$7,ref!F17,1,,CELL("contenu",$AB$2))))</f>
        <v/>
      </c>
      <c r="T18" s="4" t="str">
        <f ca="1">CELL("contenu",INDIRECT(ADDRESS(ref!$K$7,ref!G17,1,,CELL("contenu",$AB$2))))</f>
        <v/>
      </c>
      <c r="U18" s="5" t="str">
        <f ca="1">CELL("contenu",INDIRECT(ADDRESS(ref!$K$7,ref!H17,1,,CELL("contenu",$AB$2))))</f>
        <v>C</v>
      </c>
      <c r="V18" s="41">
        <f ca="1">CELL("contenu",INDIRECT(ADDRESS(ref!$K$8,ref!E17,1,,CELL("contenu",$AB$2))))</f>
        <v>12.5</v>
      </c>
      <c r="W18" s="42">
        <f ca="1">CELL("contenu",INDIRECT(ADDRESS(ref!$K$8,ref!F17,1,,CELL("contenu",$AB$2))))</f>
        <v>8.75</v>
      </c>
      <c r="X18" s="43">
        <f ca="1">CELL("contenu",INDIRECT(ADDRESS(ref!$K$8,ref!G17,1,,CELL("contenu",$AB$2))))</f>
        <v>14.097222222222221</v>
      </c>
      <c r="Y18" s="7" t="str">
        <f ca="1">CELL("contenu",INDIRECT(ADDRESS(ref!$K$9,ref!H17,1,,CELL("contenu",$AB$2))))</f>
        <v/>
      </c>
      <c r="Z18" s="8" t="str">
        <f ca="1">CELL("contenu",INDIRECT(ADDRESS(ref!$K$10,ref!H17,1,,CELL("contenu",$AB$2))))</f>
        <v>C</v>
      </c>
    </row>
    <row r="19" spans="1:26" x14ac:dyDescent="0.55000000000000004">
      <c r="A19" s="53" t="str">
        <f t="shared" ca="1" si="0"/>
        <v>IMHOFF Logan</v>
      </c>
      <c r="B19" s="2" t="str">
        <f ca="1">CELL("contenu",INDIRECT(ADDRESS(ref!$K$3,ref!E18,1,,CELL("contenu",$AB$2))))</f>
        <v>C</v>
      </c>
      <c r="C19" s="3" t="str">
        <f ca="1">CELL("contenu",INDIRECT(ADDRESS(ref!$K$3,ref!F18,1,,CELL("contenu",$AB$2))))</f>
        <v>C</v>
      </c>
      <c r="D19" s="4" t="str">
        <f ca="1">CELL("contenu",INDIRECT(ADDRESS(ref!$K$3,ref!G18,1,,CELL("contenu",$AB$2))))</f>
        <v>C</v>
      </c>
      <c r="E19" s="5" t="str">
        <f ca="1">CELL("contenu",INDIRECT(ADDRESS(ref!$K$3,ref!H18,1,,CELL("contenu",$AB$2))))</f>
        <v>C</v>
      </c>
      <c r="F19" s="6" t="str">
        <f ca="1">CELL("contenu",INDIRECT(ADDRESS(ref!$K$4,ref!E18,1,,CELL("contenu",$AB$2))))</f>
        <v>D</v>
      </c>
      <c r="G19" s="3" t="str">
        <f ca="1">CELL("contenu",INDIRECT(ADDRESS(ref!$K$4,ref!F18,1,,CELL("contenu",$AB$2))))</f>
        <v/>
      </c>
      <c r="H19" s="4" t="str">
        <f ca="1">CELL("contenu",INDIRECT(ADDRESS(ref!$K$4,ref!G18,1,,CELL("contenu",$AB$2))))</f>
        <v>C</v>
      </c>
      <c r="I19" s="5" t="str">
        <f ca="1">CELL("contenu",INDIRECT(ADDRESS(ref!$K$4,ref!H18,1,,CELL("contenu",$AB$2))))</f>
        <v>C</v>
      </c>
      <c r="J19" s="6" t="str">
        <f ca="1">CELL("contenu",INDIRECT(ADDRESS(ref!$K$5,ref!E18,1,,CELL("contenu",$AB$2))))</f>
        <v/>
      </c>
      <c r="K19" s="3" t="str">
        <f ca="1">CELL("contenu",INDIRECT(ADDRESS(ref!$K$5,ref!F18,1,,CELL("contenu",$AB$2))))</f>
        <v/>
      </c>
      <c r="L19" s="4" t="str">
        <f ca="1">CELL("contenu",INDIRECT(ADDRESS(ref!$K$5,ref!G18,1,,CELL("contenu",$AB$2))))</f>
        <v>C</v>
      </c>
      <c r="M19" s="5" t="str">
        <f ca="1">CELL("contenu",INDIRECT(ADDRESS(ref!$K$5,ref!H18,1,,CELL("contenu",$AB$2))))</f>
        <v>C</v>
      </c>
      <c r="N19" s="6" t="str">
        <f ca="1">CELL("contenu",INDIRECT(ADDRESS(ref!$K$6,ref!E18,1,,CELL("contenu",$AB$2))))</f>
        <v>B</v>
      </c>
      <c r="O19" s="3" t="str">
        <f ca="1">CELL("contenu",INDIRECT(ADDRESS(ref!$K$6,ref!F18,1,,CELL("contenu",$AB$2))))</f>
        <v>D</v>
      </c>
      <c r="P19" s="4" t="str">
        <f ca="1">CELL("contenu",INDIRECT(ADDRESS(ref!$K$6,ref!G18,1,,CELL("contenu",$AB$2))))</f>
        <v>C</v>
      </c>
      <c r="Q19" s="5" t="str">
        <f ca="1">CELL("contenu",INDIRECT(ADDRESS(ref!$K$6,ref!H18,1,,CELL("contenu",$AB$2))))</f>
        <v>C</v>
      </c>
      <c r="R19" s="6" t="str">
        <f ca="1">CELL("contenu",INDIRECT(ADDRESS(ref!$K$7,ref!E18,1,,CELL("contenu",$AB$2))))</f>
        <v>B</v>
      </c>
      <c r="S19" s="3" t="str">
        <f ca="1">CELL("contenu",INDIRECT(ADDRESS(ref!$K$7,ref!F18,1,,CELL("contenu",$AB$2))))</f>
        <v/>
      </c>
      <c r="T19" s="4" t="str">
        <f ca="1">CELL("contenu",INDIRECT(ADDRESS(ref!$K$7,ref!G18,1,,CELL("contenu",$AB$2))))</f>
        <v/>
      </c>
      <c r="U19" s="5" t="str">
        <f ca="1">CELL("contenu",INDIRECT(ADDRESS(ref!$K$7,ref!H18,1,,CELL("contenu",$AB$2))))</f>
        <v>B</v>
      </c>
      <c r="V19" s="41">
        <f ca="1">CELL("contenu",INDIRECT(ADDRESS(ref!$K$8,ref!E18,1,,CELL("contenu",$AB$2))))</f>
        <v>12.708333333333332</v>
      </c>
      <c r="W19" s="42">
        <f ca="1">CELL("contenu",INDIRECT(ADDRESS(ref!$K$8,ref!F18,1,,CELL("contenu",$AB$2))))</f>
        <v>7.5</v>
      </c>
      <c r="X19" s="43">
        <f ca="1">CELL("contenu",INDIRECT(ADDRESS(ref!$K$8,ref!G18,1,,CELL("contenu",$AB$2))))</f>
        <v>10.104166666666668</v>
      </c>
      <c r="Y19" s="7" t="str">
        <f ca="1">CELL("contenu",INDIRECT(ADDRESS(ref!$K$9,ref!H18,1,,CELL("contenu",$AB$2))))</f>
        <v/>
      </c>
      <c r="Z19" s="8" t="str">
        <f ca="1">CELL("contenu",INDIRECT(ADDRESS(ref!$K$10,ref!H18,1,,CELL("contenu",$AB$2))))</f>
        <v>D</v>
      </c>
    </row>
    <row r="20" spans="1:26" x14ac:dyDescent="0.55000000000000004">
      <c r="A20" s="53" t="str">
        <f t="shared" ca="1" si="0"/>
        <v>JASNIN Violaine</v>
      </c>
      <c r="B20" s="2" t="str">
        <f ca="1">CELL("contenu",INDIRECT(ADDRESS(ref!$K$3,ref!E19,1,,CELL("contenu",$AB$2))))</f>
        <v>C</v>
      </c>
      <c r="C20" s="3" t="str">
        <f ca="1">CELL("contenu",INDIRECT(ADDRESS(ref!$K$3,ref!F19,1,,CELL("contenu",$AB$2))))</f>
        <v>B</v>
      </c>
      <c r="D20" s="4" t="str">
        <f ca="1">CELL("contenu",INDIRECT(ADDRESS(ref!$K$3,ref!G19,1,,CELL("contenu",$AB$2))))</f>
        <v>C</v>
      </c>
      <c r="E20" s="5" t="str">
        <f ca="1">CELL("contenu",INDIRECT(ADDRESS(ref!$K$3,ref!H19,1,,CELL("contenu",$AB$2))))</f>
        <v>C</v>
      </c>
      <c r="F20" s="6" t="str">
        <f ca="1">CELL("contenu",INDIRECT(ADDRESS(ref!$K$4,ref!E19,1,,CELL("contenu",$AB$2))))</f>
        <v>B</v>
      </c>
      <c r="G20" s="3" t="str">
        <f ca="1">CELL("contenu",INDIRECT(ADDRESS(ref!$K$4,ref!F19,1,,CELL("contenu",$AB$2))))</f>
        <v/>
      </c>
      <c r="H20" s="4" t="str">
        <f ca="1">CELL("contenu",INDIRECT(ADDRESS(ref!$K$4,ref!G19,1,,CELL("contenu",$AB$2))))</f>
        <v>C</v>
      </c>
      <c r="I20" s="5" t="str">
        <f ca="1">CELL("contenu",INDIRECT(ADDRESS(ref!$K$4,ref!H19,1,,CELL("contenu",$AB$2))))</f>
        <v>B</v>
      </c>
      <c r="J20" s="6" t="str">
        <f ca="1">CELL("contenu",INDIRECT(ADDRESS(ref!$K$5,ref!E19,1,,CELL("contenu",$AB$2))))</f>
        <v/>
      </c>
      <c r="K20" s="3" t="str">
        <f ca="1">CELL("contenu",INDIRECT(ADDRESS(ref!$K$5,ref!F19,1,,CELL("contenu",$AB$2))))</f>
        <v/>
      </c>
      <c r="L20" s="4" t="str">
        <f ca="1">CELL("contenu",INDIRECT(ADDRESS(ref!$K$5,ref!G19,1,,CELL("contenu",$AB$2))))</f>
        <v>B</v>
      </c>
      <c r="M20" s="5" t="str">
        <f ca="1">CELL("contenu",INDIRECT(ADDRESS(ref!$K$5,ref!H19,1,,CELL("contenu",$AB$2))))</f>
        <v>B</v>
      </c>
      <c r="N20" s="6" t="str">
        <f ca="1">CELL("contenu",INDIRECT(ADDRESS(ref!$K$6,ref!E19,1,,CELL("contenu",$AB$2))))</f>
        <v>A</v>
      </c>
      <c r="O20" s="3" t="str">
        <f ca="1">CELL("contenu",INDIRECT(ADDRESS(ref!$K$6,ref!F19,1,,CELL("contenu",$AB$2))))</f>
        <v>B</v>
      </c>
      <c r="P20" s="4" t="str">
        <f ca="1">CELL("contenu",INDIRECT(ADDRESS(ref!$K$6,ref!G19,1,,CELL("contenu",$AB$2))))</f>
        <v>C</v>
      </c>
      <c r="Q20" s="5" t="str">
        <f ca="1">CELL("contenu",INDIRECT(ADDRESS(ref!$K$6,ref!H19,1,,CELL("contenu",$AB$2))))</f>
        <v>B</v>
      </c>
      <c r="R20" s="6" t="str">
        <f ca="1">CELL("contenu",INDIRECT(ADDRESS(ref!$K$7,ref!E19,1,,CELL("contenu",$AB$2))))</f>
        <v>C</v>
      </c>
      <c r="S20" s="3" t="str">
        <f ca="1">CELL("contenu",INDIRECT(ADDRESS(ref!$K$7,ref!F19,1,,CELL("contenu",$AB$2))))</f>
        <v/>
      </c>
      <c r="T20" s="4" t="str">
        <f ca="1">CELL("contenu",INDIRECT(ADDRESS(ref!$K$7,ref!G19,1,,CELL("contenu",$AB$2))))</f>
        <v/>
      </c>
      <c r="U20" s="5" t="str">
        <f ca="1">CELL("contenu",INDIRECT(ADDRESS(ref!$K$7,ref!H19,1,,CELL("contenu",$AB$2))))</f>
        <v>C</v>
      </c>
      <c r="V20" s="41">
        <f ca="1">CELL("contenu",INDIRECT(ADDRESS(ref!$K$8,ref!E19,1,,CELL("contenu",$AB$2))))</f>
        <v>15.625</v>
      </c>
      <c r="W20" s="42">
        <f ca="1">CELL("contenu",INDIRECT(ADDRESS(ref!$K$8,ref!F19,1,,CELL("contenu",$AB$2))))</f>
        <v>16.25</v>
      </c>
      <c r="X20" s="43">
        <f ca="1">CELL("contenu",INDIRECT(ADDRESS(ref!$K$8,ref!G19,1,,CELL("contenu",$AB$2))))</f>
        <v>12.048611111111111</v>
      </c>
      <c r="Y20" s="7" t="str">
        <f ca="1">CELL("contenu",INDIRECT(ADDRESS(ref!$K$9,ref!H19,1,,CELL("contenu",$AB$2))))</f>
        <v/>
      </c>
      <c r="Z20" s="8" t="str">
        <f ca="1">CELL("contenu",INDIRECT(ADDRESS(ref!$K$10,ref!H19,1,,CELL("contenu",$AB$2))))</f>
        <v>B</v>
      </c>
    </row>
    <row r="21" spans="1:26" x14ac:dyDescent="0.55000000000000004">
      <c r="A21" s="53" t="str">
        <f t="shared" ca="1" si="0"/>
        <v>LE BOULAIRE Maelys</v>
      </c>
      <c r="B21" s="2" t="str">
        <f ca="1">CELL("contenu",INDIRECT(ADDRESS(ref!$K$3,ref!E20,1,,CELL("contenu",$AB$2))))</f>
        <v>C</v>
      </c>
      <c r="C21" s="3" t="str">
        <f ca="1">CELL("contenu",INDIRECT(ADDRESS(ref!$K$3,ref!F20,1,,CELL("contenu",$AB$2))))</f>
        <v>B</v>
      </c>
      <c r="D21" s="4" t="str">
        <f ca="1">CELL("contenu",INDIRECT(ADDRESS(ref!$K$3,ref!G20,1,,CELL("contenu",$AB$2))))</f>
        <v>B</v>
      </c>
      <c r="E21" s="5" t="str">
        <f ca="1">CELL("contenu",INDIRECT(ADDRESS(ref!$K$3,ref!H20,1,,CELL("contenu",$AB$2))))</f>
        <v>B</v>
      </c>
      <c r="F21" s="6" t="str">
        <f ca="1">CELL("contenu",INDIRECT(ADDRESS(ref!$K$4,ref!E20,1,,CELL("contenu",$AB$2))))</f>
        <v>B</v>
      </c>
      <c r="G21" s="3" t="str">
        <f ca="1">CELL("contenu",INDIRECT(ADDRESS(ref!$K$4,ref!F20,1,,CELL("contenu",$AB$2))))</f>
        <v/>
      </c>
      <c r="H21" s="4" t="str">
        <f ca="1">CELL("contenu",INDIRECT(ADDRESS(ref!$K$4,ref!G20,1,,CELL("contenu",$AB$2))))</f>
        <v>A</v>
      </c>
      <c r="I21" s="5" t="str">
        <f ca="1">CELL("contenu",INDIRECT(ADDRESS(ref!$K$4,ref!H20,1,,CELL("contenu",$AB$2))))</f>
        <v>B</v>
      </c>
      <c r="J21" s="6" t="str">
        <f ca="1">CELL("contenu",INDIRECT(ADDRESS(ref!$K$5,ref!E20,1,,CELL("contenu",$AB$2))))</f>
        <v/>
      </c>
      <c r="K21" s="3" t="str">
        <f ca="1">CELL("contenu",INDIRECT(ADDRESS(ref!$K$5,ref!F20,1,,CELL("contenu",$AB$2))))</f>
        <v/>
      </c>
      <c r="L21" s="4" t="str">
        <f ca="1">CELL("contenu",INDIRECT(ADDRESS(ref!$K$5,ref!G20,1,,CELL("contenu",$AB$2))))</f>
        <v>A</v>
      </c>
      <c r="M21" s="5" t="str">
        <f ca="1">CELL("contenu",INDIRECT(ADDRESS(ref!$K$5,ref!H20,1,,CELL("contenu",$AB$2))))</f>
        <v>A</v>
      </c>
      <c r="N21" s="6" t="str">
        <f ca="1">CELL("contenu",INDIRECT(ADDRESS(ref!$K$6,ref!E20,1,,CELL("contenu",$AB$2))))</f>
        <v>B</v>
      </c>
      <c r="O21" s="3" t="str">
        <f ca="1">CELL("contenu",INDIRECT(ADDRESS(ref!$K$6,ref!F20,1,,CELL("contenu",$AB$2))))</f>
        <v>C</v>
      </c>
      <c r="P21" s="4" t="str">
        <f ca="1">CELL("contenu",INDIRECT(ADDRESS(ref!$K$6,ref!G20,1,,CELL("contenu",$AB$2))))</f>
        <v>B</v>
      </c>
      <c r="Q21" s="5" t="str">
        <f ca="1">CELL("contenu",INDIRECT(ADDRESS(ref!$K$6,ref!H20,1,,CELL("contenu",$AB$2))))</f>
        <v>C</v>
      </c>
      <c r="R21" s="6" t="str">
        <f ca="1">CELL("contenu",INDIRECT(ADDRESS(ref!$K$7,ref!E20,1,,CELL("contenu",$AB$2))))</f>
        <v>D</v>
      </c>
      <c r="S21" s="3" t="str">
        <f ca="1">CELL("contenu",INDIRECT(ADDRESS(ref!$K$7,ref!F20,1,,CELL("contenu",$AB$2))))</f>
        <v/>
      </c>
      <c r="T21" s="4" t="str">
        <f ca="1">CELL("contenu",INDIRECT(ADDRESS(ref!$K$7,ref!G20,1,,CELL("contenu",$AB$2))))</f>
        <v/>
      </c>
      <c r="U21" s="5" t="str">
        <f ca="1">CELL("contenu",INDIRECT(ADDRESS(ref!$K$7,ref!H20,1,,CELL("contenu",$AB$2))))</f>
        <v>D</v>
      </c>
      <c r="V21" s="41">
        <f ca="1">CELL("contenu",INDIRECT(ADDRESS(ref!$K$8,ref!E20,1,,CELL("contenu",$AB$2))))</f>
        <v>13.125</v>
      </c>
      <c r="W21" s="42">
        <f ca="1">CELL("contenu",INDIRECT(ADDRESS(ref!$K$8,ref!F20,1,,CELL("contenu",$AB$2))))</f>
        <v>12.5</v>
      </c>
      <c r="X21" s="43">
        <f ca="1">CELL("contenu",INDIRECT(ADDRESS(ref!$K$8,ref!G20,1,,CELL("contenu",$AB$2))))</f>
        <v>17.243055555555557</v>
      </c>
      <c r="Y21" s="7" t="str">
        <f ca="1">CELL("contenu",INDIRECT(ADDRESS(ref!$K$9,ref!H20,1,,CELL("contenu",$AB$2))))</f>
        <v/>
      </c>
      <c r="Z21" s="8" t="str">
        <f ca="1">CELL("contenu",INDIRECT(ADDRESS(ref!$K$10,ref!H20,1,,CELL("contenu",$AB$2))))</f>
        <v>B</v>
      </c>
    </row>
    <row r="22" spans="1:26" x14ac:dyDescent="0.55000000000000004">
      <c r="A22" s="53" t="str">
        <f t="shared" ca="1" si="0"/>
        <v>LOMANTO Roxane</v>
      </c>
      <c r="B22" s="2" t="str">
        <f ca="1">CELL("contenu",INDIRECT(ADDRESS(ref!$K$3,ref!E21,1,,CELL("contenu",$AB$2))))</f>
        <v>C</v>
      </c>
      <c r="C22" s="3" t="str">
        <f ca="1">CELL("contenu",INDIRECT(ADDRESS(ref!$K$3,ref!F21,1,,CELL("contenu",$AB$2))))</f>
        <v>C</v>
      </c>
      <c r="D22" s="4" t="str">
        <f ca="1">CELL("contenu",INDIRECT(ADDRESS(ref!$K$3,ref!G21,1,,CELL("contenu",$AB$2))))</f>
        <v>C</v>
      </c>
      <c r="E22" s="5" t="str">
        <f ca="1">CELL("contenu",INDIRECT(ADDRESS(ref!$K$3,ref!H21,1,,CELL("contenu",$AB$2))))</f>
        <v>C</v>
      </c>
      <c r="F22" s="6" t="str">
        <f ca="1">CELL("contenu",INDIRECT(ADDRESS(ref!$K$4,ref!E21,1,,CELL("contenu",$AB$2))))</f>
        <v>C</v>
      </c>
      <c r="G22" s="3" t="str">
        <f ca="1">CELL("contenu",INDIRECT(ADDRESS(ref!$K$4,ref!F21,1,,CELL("contenu",$AB$2))))</f>
        <v/>
      </c>
      <c r="H22" s="4" t="str">
        <f ca="1">CELL("contenu",INDIRECT(ADDRESS(ref!$K$4,ref!G21,1,,CELL("contenu",$AB$2))))</f>
        <v>B</v>
      </c>
      <c r="I22" s="5" t="str">
        <f ca="1">CELL("contenu",INDIRECT(ADDRESS(ref!$K$4,ref!H21,1,,CELL("contenu",$AB$2))))</f>
        <v>B</v>
      </c>
      <c r="J22" s="6" t="str">
        <f ca="1">CELL("contenu",INDIRECT(ADDRESS(ref!$K$5,ref!E21,1,,CELL("contenu",$AB$2))))</f>
        <v/>
      </c>
      <c r="K22" s="3" t="str">
        <f ca="1">CELL("contenu",INDIRECT(ADDRESS(ref!$K$5,ref!F21,1,,CELL("contenu",$AB$2))))</f>
        <v/>
      </c>
      <c r="L22" s="4" t="str">
        <f ca="1">CELL("contenu",INDIRECT(ADDRESS(ref!$K$5,ref!G21,1,,CELL("contenu",$AB$2))))</f>
        <v>B</v>
      </c>
      <c r="M22" s="5" t="str">
        <f ca="1">CELL("contenu",INDIRECT(ADDRESS(ref!$K$5,ref!H21,1,,CELL("contenu",$AB$2))))</f>
        <v>B</v>
      </c>
      <c r="N22" s="6" t="str">
        <f ca="1">CELL("contenu",INDIRECT(ADDRESS(ref!$K$6,ref!E21,1,,CELL("contenu",$AB$2))))</f>
        <v>B</v>
      </c>
      <c r="O22" s="3" t="str">
        <f ca="1">CELL("contenu",INDIRECT(ADDRESS(ref!$K$6,ref!F21,1,,CELL("contenu",$AB$2))))</f>
        <v>C</v>
      </c>
      <c r="P22" s="4" t="str">
        <f ca="1">CELL("contenu",INDIRECT(ADDRESS(ref!$K$6,ref!G21,1,,CELL("contenu",$AB$2))))</f>
        <v>C</v>
      </c>
      <c r="Q22" s="5" t="str">
        <f ca="1">CELL("contenu",INDIRECT(ADDRESS(ref!$K$6,ref!H21,1,,CELL("contenu",$AB$2))))</f>
        <v>C</v>
      </c>
      <c r="R22" s="6" t="str">
        <f ca="1">CELL("contenu",INDIRECT(ADDRESS(ref!$K$7,ref!E21,1,,CELL("contenu",$AB$2))))</f>
        <v>C</v>
      </c>
      <c r="S22" s="3" t="str">
        <f ca="1">CELL("contenu",INDIRECT(ADDRESS(ref!$K$7,ref!F21,1,,CELL("contenu",$AB$2))))</f>
        <v/>
      </c>
      <c r="T22" s="4" t="str">
        <f ca="1">CELL("contenu",INDIRECT(ADDRESS(ref!$K$7,ref!G21,1,,CELL("contenu",$AB$2))))</f>
        <v/>
      </c>
      <c r="U22" s="5" t="str">
        <f ca="1">CELL("contenu",INDIRECT(ADDRESS(ref!$K$7,ref!H21,1,,CELL("contenu",$AB$2))))</f>
        <v>C</v>
      </c>
      <c r="V22" s="41">
        <f ca="1">CELL("contenu",INDIRECT(ADDRESS(ref!$K$8,ref!E21,1,,CELL("contenu",$AB$2))))</f>
        <v>13.541666666666668</v>
      </c>
      <c r="W22" s="42">
        <f ca="1">CELL("contenu",INDIRECT(ADDRESS(ref!$K$8,ref!F21,1,,CELL("contenu",$AB$2))))</f>
        <v>10</v>
      </c>
      <c r="X22" s="43">
        <f ca="1">CELL("contenu",INDIRECT(ADDRESS(ref!$K$8,ref!G21,1,,CELL("contenu",$AB$2))))</f>
        <v>12.868055555555555</v>
      </c>
      <c r="Y22" s="7" t="str">
        <f ca="1">CELL("contenu",INDIRECT(ADDRESS(ref!$K$9,ref!H21,1,,CELL("contenu",$AB$2))))</f>
        <v/>
      </c>
      <c r="Z22" s="8" t="str">
        <f ca="1">CELL("contenu",INDIRECT(ADDRESS(ref!$K$10,ref!H21,1,,CELL("contenu",$AB$2))))</f>
        <v>B</v>
      </c>
    </row>
    <row r="23" spans="1:26" x14ac:dyDescent="0.55000000000000004">
      <c r="A23" s="53" t="str">
        <f t="shared" ca="1" si="0"/>
        <v>MANZANARES Hugo</v>
      </c>
      <c r="B23" s="2" t="str">
        <f ca="1">CELL("contenu",INDIRECT(ADDRESS(ref!$K$3,ref!E22,1,,CELL("contenu",$AB$2))))</f>
        <v>B</v>
      </c>
      <c r="C23" s="3" t="str">
        <f ca="1">CELL("contenu",INDIRECT(ADDRESS(ref!$K$3,ref!F22,1,,CELL("contenu",$AB$2))))</f>
        <v>A</v>
      </c>
      <c r="D23" s="4" t="str">
        <f ca="1">CELL("contenu",INDIRECT(ADDRESS(ref!$K$3,ref!G22,1,,CELL("contenu",$AB$2))))</f>
        <v>A</v>
      </c>
      <c r="E23" s="5" t="str">
        <f ca="1">CELL("contenu",INDIRECT(ADDRESS(ref!$K$3,ref!H22,1,,CELL("contenu",$AB$2))))</f>
        <v>A</v>
      </c>
      <c r="F23" s="6" t="str">
        <f ca="1">CELL("contenu",INDIRECT(ADDRESS(ref!$K$4,ref!E22,1,,CELL("contenu",$AB$2))))</f>
        <v>B</v>
      </c>
      <c r="G23" s="3" t="str">
        <f ca="1">CELL("contenu",INDIRECT(ADDRESS(ref!$K$4,ref!F22,1,,CELL("contenu",$AB$2))))</f>
        <v/>
      </c>
      <c r="H23" s="4" t="str">
        <f ca="1">CELL("contenu",INDIRECT(ADDRESS(ref!$K$4,ref!G22,1,,CELL("contenu",$AB$2))))</f>
        <v>A</v>
      </c>
      <c r="I23" s="5" t="str">
        <f ca="1">CELL("contenu",INDIRECT(ADDRESS(ref!$K$4,ref!H22,1,,CELL("contenu",$AB$2))))</f>
        <v>B</v>
      </c>
      <c r="J23" s="6" t="str">
        <f ca="1">CELL("contenu",INDIRECT(ADDRESS(ref!$K$5,ref!E22,1,,CELL("contenu",$AB$2))))</f>
        <v/>
      </c>
      <c r="K23" s="3" t="str">
        <f ca="1">CELL("contenu",INDIRECT(ADDRESS(ref!$K$5,ref!F22,1,,CELL("contenu",$AB$2))))</f>
        <v/>
      </c>
      <c r="L23" s="4" t="str">
        <f ca="1">CELL("contenu",INDIRECT(ADDRESS(ref!$K$5,ref!G22,1,,CELL("contenu",$AB$2))))</f>
        <v>A</v>
      </c>
      <c r="M23" s="5" t="str">
        <f ca="1">CELL("contenu",INDIRECT(ADDRESS(ref!$K$5,ref!H22,1,,CELL("contenu",$AB$2))))</f>
        <v>A</v>
      </c>
      <c r="N23" s="6" t="str">
        <f ca="1">CELL("contenu",INDIRECT(ADDRESS(ref!$K$6,ref!E22,1,,CELL("contenu",$AB$2))))</f>
        <v>B</v>
      </c>
      <c r="O23" s="3" t="str">
        <f ca="1">CELL("contenu",INDIRECT(ADDRESS(ref!$K$6,ref!F22,1,,CELL("contenu",$AB$2))))</f>
        <v>B</v>
      </c>
      <c r="P23" s="4" t="str">
        <f ca="1">CELL("contenu",INDIRECT(ADDRESS(ref!$K$6,ref!G22,1,,CELL("contenu",$AB$2))))</f>
        <v>B</v>
      </c>
      <c r="Q23" s="5" t="str">
        <f ca="1">CELL("contenu",INDIRECT(ADDRESS(ref!$K$6,ref!H22,1,,CELL("contenu",$AB$2))))</f>
        <v>B</v>
      </c>
      <c r="R23" s="6" t="str">
        <f ca="1">CELL("contenu",INDIRECT(ADDRESS(ref!$K$7,ref!E22,1,,CELL("contenu",$AB$2))))</f>
        <v>B</v>
      </c>
      <c r="S23" s="3" t="str">
        <f ca="1">CELL("contenu",INDIRECT(ADDRESS(ref!$K$7,ref!F22,1,,CELL("contenu",$AB$2))))</f>
        <v/>
      </c>
      <c r="T23" s="4" t="str">
        <f ca="1">CELL("contenu",INDIRECT(ADDRESS(ref!$K$7,ref!G22,1,,CELL("contenu",$AB$2))))</f>
        <v/>
      </c>
      <c r="U23" s="5" t="str">
        <f ca="1">CELL("contenu",INDIRECT(ADDRESS(ref!$K$7,ref!H22,1,,CELL("contenu",$AB$2))))</f>
        <v>B</v>
      </c>
      <c r="V23" s="41">
        <f ca="1">CELL("contenu",INDIRECT(ADDRESS(ref!$K$8,ref!E22,1,,CELL("contenu",$AB$2))))</f>
        <v>16.041666666666668</v>
      </c>
      <c r="W23" s="42">
        <f ca="1">CELL("contenu",INDIRECT(ADDRESS(ref!$K$8,ref!F22,1,,CELL("contenu",$AB$2))))</f>
        <v>18.75</v>
      </c>
      <c r="X23" s="43">
        <f ca="1">CELL("contenu",INDIRECT(ADDRESS(ref!$K$8,ref!G22,1,,CELL("contenu",$AB$2))))</f>
        <v>18.930555555555557</v>
      </c>
      <c r="Y23" s="7" t="str">
        <f ca="1">CELL("contenu",INDIRECT(ADDRESS(ref!$K$9,ref!H22,1,,CELL("contenu",$AB$2))))</f>
        <v/>
      </c>
      <c r="Z23" s="8" t="str">
        <f ca="1">CELL("contenu",INDIRECT(ADDRESS(ref!$K$10,ref!H22,1,,CELL("contenu",$AB$2))))</f>
        <v>A</v>
      </c>
    </row>
    <row r="24" spans="1:26" x14ac:dyDescent="0.55000000000000004">
      <c r="A24" s="53" t="str">
        <f t="shared" ca="1" si="0"/>
        <v>MOQUET Morgane</v>
      </c>
      <c r="B24" s="2" t="str">
        <f ca="1">CELL("contenu",INDIRECT(ADDRESS(ref!$K$3,ref!E23,1,,CELL("contenu",$AB$2))))</f>
        <v>C</v>
      </c>
      <c r="C24" s="3" t="str">
        <f ca="1">CELL("contenu",INDIRECT(ADDRESS(ref!$K$3,ref!F23,1,,CELL("contenu",$AB$2))))</f>
        <v>A</v>
      </c>
      <c r="D24" s="4" t="str">
        <f ca="1">CELL("contenu",INDIRECT(ADDRESS(ref!$K$3,ref!G23,1,,CELL("contenu",$AB$2))))</f>
        <v>B</v>
      </c>
      <c r="E24" s="5" t="str">
        <f ca="1">CELL("contenu",INDIRECT(ADDRESS(ref!$K$3,ref!H23,1,,CELL("contenu",$AB$2))))</f>
        <v>B</v>
      </c>
      <c r="F24" s="6" t="str">
        <f ca="1">CELL("contenu",INDIRECT(ADDRESS(ref!$K$4,ref!E23,1,,CELL("contenu",$AB$2))))</f>
        <v>C</v>
      </c>
      <c r="G24" s="3" t="str">
        <f ca="1">CELL("contenu",INDIRECT(ADDRESS(ref!$K$4,ref!F23,1,,CELL("contenu",$AB$2))))</f>
        <v/>
      </c>
      <c r="H24" s="4" t="str">
        <f ca="1">CELL("contenu",INDIRECT(ADDRESS(ref!$K$4,ref!G23,1,,CELL("contenu",$AB$2))))</f>
        <v>B</v>
      </c>
      <c r="I24" s="5" t="str">
        <f ca="1">CELL("contenu",INDIRECT(ADDRESS(ref!$K$4,ref!H23,1,,CELL("contenu",$AB$2))))</f>
        <v>B</v>
      </c>
      <c r="J24" s="6" t="str">
        <f ca="1">CELL("contenu",INDIRECT(ADDRESS(ref!$K$5,ref!E23,1,,CELL("contenu",$AB$2))))</f>
        <v/>
      </c>
      <c r="K24" s="3" t="str">
        <f ca="1">CELL("contenu",INDIRECT(ADDRESS(ref!$K$5,ref!F23,1,,CELL("contenu",$AB$2))))</f>
        <v/>
      </c>
      <c r="L24" s="4" t="str">
        <f ca="1">CELL("contenu",INDIRECT(ADDRESS(ref!$K$5,ref!G23,1,,CELL("contenu",$AB$2))))</f>
        <v>B</v>
      </c>
      <c r="M24" s="5" t="str">
        <f ca="1">CELL("contenu",INDIRECT(ADDRESS(ref!$K$5,ref!H23,1,,CELL("contenu",$AB$2))))</f>
        <v>B</v>
      </c>
      <c r="N24" s="6" t="str">
        <f ca="1">CELL("contenu",INDIRECT(ADDRESS(ref!$K$6,ref!E23,1,,CELL("contenu",$AB$2))))</f>
        <v>C</v>
      </c>
      <c r="O24" s="3" t="str">
        <f ca="1">CELL("contenu",INDIRECT(ADDRESS(ref!$K$6,ref!F23,1,,CELL("contenu",$AB$2))))</f>
        <v>B</v>
      </c>
      <c r="P24" s="4" t="str">
        <f ca="1">CELL("contenu",INDIRECT(ADDRESS(ref!$K$6,ref!G23,1,,CELL("contenu",$AB$2))))</f>
        <v>B</v>
      </c>
      <c r="Q24" s="5" t="str">
        <f ca="1">CELL("contenu",INDIRECT(ADDRESS(ref!$K$6,ref!H23,1,,CELL("contenu",$AB$2))))</f>
        <v>B</v>
      </c>
      <c r="R24" s="6" t="str">
        <f ca="1">CELL("contenu",INDIRECT(ADDRESS(ref!$K$7,ref!E23,1,,CELL("contenu",$AB$2))))</f>
        <v>C</v>
      </c>
      <c r="S24" s="3" t="str">
        <f ca="1">CELL("contenu",INDIRECT(ADDRESS(ref!$K$7,ref!F23,1,,CELL("contenu",$AB$2))))</f>
        <v/>
      </c>
      <c r="T24" s="4" t="str">
        <f ca="1">CELL("contenu",INDIRECT(ADDRESS(ref!$K$7,ref!G23,1,,CELL("contenu",$AB$2))))</f>
        <v/>
      </c>
      <c r="U24" s="5" t="str">
        <f ca="1">CELL("contenu",INDIRECT(ADDRESS(ref!$K$7,ref!H23,1,,CELL("contenu",$AB$2))))</f>
        <v>C</v>
      </c>
      <c r="V24" s="41">
        <f ca="1">CELL("contenu",INDIRECT(ADDRESS(ref!$K$8,ref!E23,1,,CELL("contenu",$AB$2))))</f>
        <v>11.666666666666668</v>
      </c>
      <c r="W24" s="42">
        <f ca="1">CELL("contenu",INDIRECT(ADDRESS(ref!$K$8,ref!F23,1,,CELL("contenu",$AB$2))))</f>
        <v>18.75</v>
      </c>
      <c r="X24" s="43">
        <f ca="1">CELL("contenu",INDIRECT(ADDRESS(ref!$K$8,ref!G23,1,,CELL("contenu",$AB$2))))</f>
        <v>16.145833333333332</v>
      </c>
      <c r="Y24" s="7" t="str">
        <f ca="1">CELL("contenu",INDIRECT(ADDRESS(ref!$K$9,ref!H23,1,,CELL("contenu",$AB$2))))</f>
        <v/>
      </c>
      <c r="Z24" s="8" t="str">
        <f ca="1">CELL("contenu",INDIRECT(ADDRESS(ref!$K$10,ref!H23,1,,CELL("contenu",$AB$2))))</f>
        <v>C</v>
      </c>
    </row>
    <row r="25" spans="1:26" x14ac:dyDescent="0.55000000000000004">
      <c r="A25" s="53" t="str">
        <f t="shared" ca="1" si="0"/>
        <v>NOSMAS Charlotte</v>
      </c>
      <c r="B25" s="2" t="str">
        <f ca="1">CELL("contenu",INDIRECT(ADDRESS(ref!$K$3,ref!E24,1,,CELL("contenu",$AB$2))))</f>
        <v>C</v>
      </c>
      <c r="C25" s="3" t="str">
        <f ca="1">CELL("contenu",INDIRECT(ADDRESS(ref!$K$3,ref!F24,1,,CELL("contenu",$AB$2))))</f>
        <v>B</v>
      </c>
      <c r="D25" s="4" t="str">
        <f ca="1">CELL("contenu",INDIRECT(ADDRESS(ref!$K$3,ref!G24,1,,CELL("contenu",$AB$2))))</f>
        <v>B</v>
      </c>
      <c r="E25" s="5" t="str">
        <f ca="1">CELL("contenu",INDIRECT(ADDRESS(ref!$K$3,ref!H24,1,,CELL("contenu",$AB$2))))</f>
        <v>C</v>
      </c>
      <c r="F25" s="6" t="str">
        <f ca="1">CELL("contenu",INDIRECT(ADDRESS(ref!$K$4,ref!E24,1,,CELL("contenu",$AB$2))))</f>
        <v>B</v>
      </c>
      <c r="G25" s="3" t="str">
        <f ca="1">CELL("contenu",INDIRECT(ADDRESS(ref!$K$4,ref!F24,1,,CELL("contenu",$AB$2))))</f>
        <v/>
      </c>
      <c r="H25" s="4" t="str">
        <f ca="1">CELL("contenu",INDIRECT(ADDRESS(ref!$K$4,ref!G24,1,,CELL("contenu",$AB$2))))</f>
        <v>B</v>
      </c>
      <c r="I25" s="5" t="str">
        <f ca="1">CELL("contenu",INDIRECT(ADDRESS(ref!$K$4,ref!H24,1,,CELL("contenu",$AB$2))))</f>
        <v>B</v>
      </c>
      <c r="J25" s="6" t="str">
        <f ca="1">CELL("contenu",INDIRECT(ADDRESS(ref!$K$5,ref!E24,1,,CELL("contenu",$AB$2))))</f>
        <v/>
      </c>
      <c r="K25" s="3" t="str">
        <f ca="1">CELL("contenu",INDIRECT(ADDRESS(ref!$K$5,ref!F24,1,,CELL("contenu",$AB$2))))</f>
        <v/>
      </c>
      <c r="L25" s="4" t="str">
        <f ca="1">CELL("contenu",INDIRECT(ADDRESS(ref!$K$5,ref!G24,1,,CELL("contenu",$AB$2))))</f>
        <v>B</v>
      </c>
      <c r="M25" s="5" t="str">
        <f ca="1">CELL("contenu",INDIRECT(ADDRESS(ref!$K$5,ref!H24,1,,CELL("contenu",$AB$2))))</f>
        <v>B</v>
      </c>
      <c r="N25" s="6" t="str">
        <f ca="1">CELL("contenu",INDIRECT(ADDRESS(ref!$K$6,ref!E24,1,,CELL("contenu",$AB$2))))</f>
        <v>C</v>
      </c>
      <c r="O25" s="3" t="str">
        <f ca="1">CELL("contenu",INDIRECT(ADDRESS(ref!$K$6,ref!F24,1,,CELL("contenu",$AB$2))))</f>
        <v>C</v>
      </c>
      <c r="P25" s="4" t="str">
        <f ca="1">CELL("contenu",INDIRECT(ADDRESS(ref!$K$6,ref!G24,1,,CELL("contenu",$AB$2))))</f>
        <v>C</v>
      </c>
      <c r="Q25" s="5" t="str">
        <f ca="1">CELL("contenu",INDIRECT(ADDRESS(ref!$K$6,ref!H24,1,,CELL("contenu",$AB$2))))</f>
        <v>C</v>
      </c>
      <c r="R25" s="6" t="str">
        <f ca="1">CELL("contenu",INDIRECT(ADDRESS(ref!$K$7,ref!E24,1,,CELL("contenu",$AB$2))))</f>
        <v>C</v>
      </c>
      <c r="S25" s="3" t="str">
        <f ca="1">CELL("contenu",INDIRECT(ADDRESS(ref!$K$7,ref!F24,1,,CELL("contenu",$AB$2))))</f>
        <v/>
      </c>
      <c r="T25" s="4" t="str">
        <f ca="1">CELL("contenu",INDIRECT(ADDRESS(ref!$K$7,ref!G24,1,,CELL("contenu",$AB$2))))</f>
        <v/>
      </c>
      <c r="U25" s="5" t="str">
        <f ca="1">CELL("contenu",INDIRECT(ADDRESS(ref!$K$7,ref!H24,1,,CELL("contenu",$AB$2))))</f>
        <v>C</v>
      </c>
      <c r="V25" s="41">
        <f ca="1">CELL("contenu",INDIRECT(ADDRESS(ref!$K$8,ref!E24,1,,CELL("contenu",$AB$2))))</f>
        <v>11.25</v>
      </c>
      <c r="W25" s="42">
        <f ca="1">CELL("contenu",INDIRECT(ADDRESS(ref!$K$8,ref!F24,1,,CELL("contenu",$AB$2))))</f>
        <v>13.75</v>
      </c>
      <c r="X25" s="43">
        <f ca="1">CELL("contenu",INDIRECT(ADDRESS(ref!$K$8,ref!G24,1,,CELL("contenu",$AB$2))))</f>
        <v>14.152777777777779</v>
      </c>
      <c r="Y25" s="7" t="str">
        <f ca="1">CELL("contenu",INDIRECT(ADDRESS(ref!$K$9,ref!H24,1,,CELL("contenu",$AB$2))))</f>
        <v/>
      </c>
      <c r="Z25" s="8" t="str">
        <f ca="1">CELL("contenu",INDIRECT(ADDRESS(ref!$K$10,ref!H24,1,,CELL("contenu",$AB$2))))</f>
        <v>B</v>
      </c>
    </row>
    <row r="26" spans="1:26" x14ac:dyDescent="0.55000000000000004">
      <c r="A26" s="53" t="str">
        <f t="shared" ca="1" si="0"/>
        <v>REYNAUD Marie- Xavie</v>
      </c>
      <c r="B26" s="2" t="str">
        <f ca="1">CELL("contenu",INDIRECT(ADDRESS(ref!$K$3,ref!E25,1,,CELL("contenu",$AB$2))))</f>
        <v>C</v>
      </c>
      <c r="C26" s="3" t="str">
        <f ca="1">CELL("contenu",INDIRECT(ADDRESS(ref!$K$3,ref!F25,1,,CELL("contenu",$AB$2))))</f>
        <v>B</v>
      </c>
      <c r="D26" s="4" t="str">
        <f ca="1">CELL("contenu",INDIRECT(ADDRESS(ref!$K$3,ref!G25,1,,CELL("contenu",$AB$2))))</f>
        <v>C</v>
      </c>
      <c r="E26" s="5" t="str">
        <f ca="1">CELL("contenu",INDIRECT(ADDRESS(ref!$K$3,ref!H25,1,,CELL("contenu",$AB$2))))</f>
        <v>C</v>
      </c>
      <c r="F26" s="6" t="str">
        <f ca="1">CELL("contenu",INDIRECT(ADDRESS(ref!$K$4,ref!E25,1,,CELL("contenu",$AB$2))))</f>
        <v>B</v>
      </c>
      <c r="G26" s="3" t="str">
        <f ca="1">CELL("contenu",INDIRECT(ADDRESS(ref!$K$4,ref!F25,1,,CELL("contenu",$AB$2))))</f>
        <v/>
      </c>
      <c r="H26" s="4" t="str">
        <f ca="1">CELL("contenu",INDIRECT(ADDRESS(ref!$K$4,ref!G25,1,,CELL("contenu",$AB$2))))</f>
        <v>C</v>
      </c>
      <c r="I26" s="5" t="str">
        <f ca="1">CELL("contenu",INDIRECT(ADDRESS(ref!$K$4,ref!H25,1,,CELL("contenu",$AB$2))))</f>
        <v>B</v>
      </c>
      <c r="J26" s="6" t="str">
        <f ca="1">CELL("contenu",INDIRECT(ADDRESS(ref!$K$5,ref!E25,1,,CELL("contenu",$AB$2))))</f>
        <v/>
      </c>
      <c r="K26" s="3" t="str">
        <f ca="1">CELL("contenu",INDIRECT(ADDRESS(ref!$K$5,ref!F25,1,,CELL("contenu",$AB$2))))</f>
        <v/>
      </c>
      <c r="L26" s="4" t="str">
        <f ca="1">CELL("contenu",INDIRECT(ADDRESS(ref!$K$5,ref!G25,1,,CELL("contenu",$AB$2))))</f>
        <v>B</v>
      </c>
      <c r="M26" s="5" t="str">
        <f ca="1">CELL("contenu",INDIRECT(ADDRESS(ref!$K$5,ref!H25,1,,CELL("contenu",$AB$2))))</f>
        <v>B</v>
      </c>
      <c r="N26" s="6" t="str">
        <f ca="1">CELL("contenu",INDIRECT(ADDRESS(ref!$K$6,ref!E25,1,,CELL("contenu",$AB$2))))</f>
        <v>D</v>
      </c>
      <c r="O26" s="3" t="str">
        <f ca="1">CELL("contenu",INDIRECT(ADDRESS(ref!$K$6,ref!F25,1,,CELL("contenu",$AB$2))))</f>
        <v>C</v>
      </c>
      <c r="P26" s="4" t="str">
        <f ca="1">CELL("contenu",INDIRECT(ADDRESS(ref!$K$6,ref!G25,1,,CELL("contenu",$AB$2))))</f>
        <v>C</v>
      </c>
      <c r="Q26" s="5" t="str">
        <f ca="1">CELL("contenu",INDIRECT(ADDRESS(ref!$K$6,ref!H25,1,,CELL("contenu",$AB$2))))</f>
        <v>C</v>
      </c>
      <c r="R26" s="6" t="str">
        <f ca="1">CELL("contenu",INDIRECT(ADDRESS(ref!$K$7,ref!E25,1,,CELL("contenu",$AB$2))))</f>
        <v>B</v>
      </c>
      <c r="S26" s="3" t="str">
        <f ca="1">CELL("contenu",INDIRECT(ADDRESS(ref!$K$7,ref!F25,1,,CELL("contenu",$AB$2))))</f>
        <v/>
      </c>
      <c r="T26" s="4" t="str">
        <f ca="1">CELL("contenu",INDIRECT(ADDRESS(ref!$K$7,ref!G25,1,,CELL("contenu",$AB$2))))</f>
        <v/>
      </c>
      <c r="U26" s="5" t="str">
        <f ca="1">CELL("contenu",INDIRECT(ADDRESS(ref!$K$7,ref!H25,1,,CELL("contenu",$AB$2))))</f>
        <v>B</v>
      </c>
      <c r="V26" s="41">
        <f ca="1">CELL("contenu",INDIRECT(ADDRESS(ref!$K$8,ref!E25,1,,CELL("contenu",$AB$2))))</f>
        <v>10.833333333333332</v>
      </c>
      <c r="W26" s="42">
        <f ca="1">CELL("contenu",INDIRECT(ADDRESS(ref!$K$8,ref!F25,1,,CELL("contenu",$AB$2))))</f>
        <v>13.75</v>
      </c>
      <c r="X26" s="43">
        <f ca="1">CELL("contenu",INDIRECT(ADDRESS(ref!$K$8,ref!G25,1,,CELL("contenu",$AB$2))))</f>
        <v>12.465277777777779</v>
      </c>
      <c r="Y26" s="7" t="str">
        <f ca="1">CELL("contenu",INDIRECT(ADDRESS(ref!$K$9,ref!H25,1,,CELL("contenu",$AB$2))))</f>
        <v/>
      </c>
      <c r="Z26" s="8" t="str">
        <f ca="1">CELL("contenu",INDIRECT(ADDRESS(ref!$K$10,ref!H25,1,,CELL("contenu",$AB$2))))</f>
        <v>B</v>
      </c>
    </row>
    <row r="27" spans="1:26" x14ac:dyDescent="0.55000000000000004">
      <c r="A27" s="53" t="str">
        <f t="shared" ca="1" si="0"/>
        <v>SECHET Henri</v>
      </c>
      <c r="B27" s="2" t="str">
        <f ca="1">CELL("contenu",INDIRECT(ADDRESS(ref!$K$3,ref!E26,1,,CELL("contenu",$AB$2))))</f>
        <v>C</v>
      </c>
      <c r="C27" s="3" t="str">
        <f ca="1">CELL("contenu",INDIRECT(ADDRESS(ref!$K$3,ref!F26,1,,CELL("contenu",$AB$2))))</f>
        <v>B</v>
      </c>
      <c r="D27" s="4" t="str">
        <f ca="1">CELL("contenu",INDIRECT(ADDRESS(ref!$K$3,ref!G26,1,,CELL("contenu",$AB$2))))</f>
        <v>C</v>
      </c>
      <c r="E27" s="5" t="str">
        <f ca="1">CELL("contenu",INDIRECT(ADDRESS(ref!$K$3,ref!H26,1,,CELL("contenu",$AB$2))))</f>
        <v>C</v>
      </c>
      <c r="F27" s="6" t="str">
        <f ca="1">CELL("contenu",INDIRECT(ADDRESS(ref!$K$4,ref!E26,1,,CELL("contenu",$AB$2))))</f>
        <v>C</v>
      </c>
      <c r="G27" s="3" t="str">
        <f ca="1">CELL("contenu",INDIRECT(ADDRESS(ref!$K$4,ref!F26,1,,CELL("contenu",$AB$2))))</f>
        <v/>
      </c>
      <c r="H27" s="4" t="str">
        <f ca="1">CELL("contenu",INDIRECT(ADDRESS(ref!$K$4,ref!G26,1,,CELL("contenu",$AB$2))))</f>
        <v>C</v>
      </c>
      <c r="I27" s="5" t="str">
        <f ca="1">CELL("contenu",INDIRECT(ADDRESS(ref!$K$4,ref!H26,1,,CELL("contenu",$AB$2))))</f>
        <v>C</v>
      </c>
      <c r="J27" s="6" t="str">
        <f ca="1">CELL("contenu",INDIRECT(ADDRESS(ref!$K$5,ref!E26,1,,CELL("contenu",$AB$2))))</f>
        <v/>
      </c>
      <c r="K27" s="3" t="str">
        <f ca="1">CELL("contenu",INDIRECT(ADDRESS(ref!$K$5,ref!F26,1,,CELL("contenu",$AB$2))))</f>
        <v/>
      </c>
      <c r="L27" s="4" t="str">
        <f ca="1">CELL("contenu",INDIRECT(ADDRESS(ref!$K$5,ref!G26,1,,CELL("contenu",$AB$2))))</f>
        <v>B</v>
      </c>
      <c r="M27" s="5" t="str">
        <f ca="1">CELL("contenu",INDIRECT(ADDRESS(ref!$K$5,ref!H26,1,,CELL("contenu",$AB$2))))</f>
        <v>B</v>
      </c>
      <c r="N27" s="6" t="str">
        <f ca="1">CELL("contenu",INDIRECT(ADDRESS(ref!$K$6,ref!E26,1,,CELL("contenu",$AB$2))))</f>
        <v>B</v>
      </c>
      <c r="O27" s="3" t="str">
        <f ca="1">CELL("contenu",INDIRECT(ADDRESS(ref!$K$6,ref!F26,1,,CELL("contenu",$AB$2))))</f>
        <v>B</v>
      </c>
      <c r="P27" s="4" t="str">
        <f ca="1">CELL("contenu",INDIRECT(ADDRESS(ref!$K$6,ref!G26,1,,CELL("contenu",$AB$2))))</f>
        <v>B</v>
      </c>
      <c r="Q27" s="5" t="str">
        <f ca="1">CELL("contenu",INDIRECT(ADDRESS(ref!$K$6,ref!H26,1,,CELL("contenu",$AB$2))))</f>
        <v>B</v>
      </c>
      <c r="R27" s="6" t="str">
        <f ca="1">CELL("contenu",INDIRECT(ADDRESS(ref!$K$7,ref!E26,1,,CELL("contenu",$AB$2))))</f>
        <v>D</v>
      </c>
      <c r="S27" s="3" t="str">
        <f ca="1">CELL("contenu",INDIRECT(ADDRESS(ref!$K$7,ref!F26,1,,CELL("contenu",$AB$2))))</f>
        <v/>
      </c>
      <c r="T27" s="4" t="str">
        <f ca="1">CELL("contenu",INDIRECT(ADDRESS(ref!$K$7,ref!G26,1,,CELL("contenu",$AB$2))))</f>
        <v/>
      </c>
      <c r="U27" s="5" t="str">
        <f ca="1">CELL("contenu",INDIRECT(ADDRESS(ref!$K$7,ref!H26,1,,CELL("contenu",$AB$2))))</f>
        <v>D</v>
      </c>
      <c r="V27" s="41">
        <f ca="1">CELL("contenu",INDIRECT(ADDRESS(ref!$K$8,ref!E26,1,,CELL("contenu",$AB$2))))</f>
        <v>10.208333333333332</v>
      </c>
      <c r="W27" s="42">
        <f ca="1">CELL("contenu",INDIRECT(ADDRESS(ref!$K$8,ref!F26,1,,CELL("contenu",$AB$2))))</f>
        <v>15</v>
      </c>
      <c r="X27" s="43">
        <f ca="1">CELL("contenu",INDIRECT(ADDRESS(ref!$K$8,ref!G26,1,,CELL("contenu",$AB$2))))</f>
        <v>14.347222222222225</v>
      </c>
      <c r="Y27" s="7" t="str">
        <f ca="1">CELL("contenu",INDIRECT(ADDRESS(ref!$K$9,ref!H26,1,,CELL("contenu",$AB$2))))</f>
        <v/>
      </c>
      <c r="Z27" s="8" t="str">
        <f ca="1">CELL("contenu",INDIRECT(ADDRESS(ref!$K$10,ref!H26,1,,CELL("contenu",$AB$2))))</f>
        <v>C</v>
      </c>
    </row>
    <row r="28" spans="1:26" x14ac:dyDescent="0.55000000000000004">
      <c r="A28" s="53" t="str">
        <f t="shared" ca="1" si="0"/>
        <v>VRAIN Marie-Alix</v>
      </c>
      <c r="B28" s="2" t="str">
        <f ca="1">CELL("contenu",INDIRECT(ADDRESS(ref!$K$3,ref!E27,1,,CELL("contenu",$AB$2))))</f>
        <v>C</v>
      </c>
      <c r="C28" s="3" t="str">
        <f ca="1">CELL("contenu",INDIRECT(ADDRESS(ref!$K$3,ref!F27,1,,CELL("contenu",$AB$2))))</f>
        <v>B</v>
      </c>
      <c r="D28" s="4" t="str">
        <f ca="1">CELL("contenu",INDIRECT(ADDRESS(ref!$K$3,ref!G27,1,,CELL("contenu",$AB$2))))</f>
        <v>C</v>
      </c>
      <c r="E28" s="5" t="str">
        <f ca="1">CELL("contenu",INDIRECT(ADDRESS(ref!$K$3,ref!H27,1,,CELL("contenu",$AB$2))))</f>
        <v>C</v>
      </c>
      <c r="F28" s="6" t="str">
        <f ca="1">CELL("contenu",INDIRECT(ADDRESS(ref!$K$4,ref!E27,1,,CELL("contenu",$AB$2))))</f>
        <v>C</v>
      </c>
      <c r="G28" s="3" t="str">
        <f ca="1">CELL("contenu",INDIRECT(ADDRESS(ref!$K$4,ref!F27,1,,CELL("contenu",$AB$2))))</f>
        <v/>
      </c>
      <c r="H28" s="4" t="str">
        <f ca="1">CELL("contenu",INDIRECT(ADDRESS(ref!$K$4,ref!G27,1,,CELL("contenu",$AB$2))))</f>
        <v>B</v>
      </c>
      <c r="I28" s="5" t="str">
        <f ca="1">CELL("contenu",INDIRECT(ADDRESS(ref!$K$4,ref!H27,1,,CELL("contenu",$AB$2))))</f>
        <v>C</v>
      </c>
      <c r="J28" s="6" t="str">
        <f ca="1">CELL("contenu",INDIRECT(ADDRESS(ref!$K$5,ref!E27,1,,CELL("contenu",$AB$2))))</f>
        <v/>
      </c>
      <c r="K28" s="3" t="str">
        <f ca="1">CELL("contenu",INDIRECT(ADDRESS(ref!$K$5,ref!F27,1,,CELL("contenu",$AB$2))))</f>
        <v/>
      </c>
      <c r="L28" s="4" t="str">
        <f ca="1">CELL("contenu",INDIRECT(ADDRESS(ref!$K$5,ref!G27,1,,CELL("contenu",$AB$2))))</f>
        <v>B</v>
      </c>
      <c r="M28" s="5" t="str">
        <f ca="1">CELL("contenu",INDIRECT(ADDRESS(ref!$K$5,ref!H27,1,,CELL("contenu",$AB$2))))</f>
        <v>B</v>
      </c>
      <c r="N28" s="6" t="str">
        <f ca="1">CELL("contenu",INDIRECT(ADDRESS(ref!$K$6,ref!E27,1,,CELL("contenu",$AB$2))))</f>
        <v>B</v>
      </c>
      <c r="O28" s="3" t="str">
        <f ca="1">CELL("contenu",INDIRECT(ADDRESS(ref!$K$6,ref!F27,1,,CELL("contenu",$AB$2))))</f>
        <v>C</v>
      </c>
      <c r="P28" s="4" t="str">
        <f ca="1">CELL("contenu",INDIRECT(ADDRESS(ref!$K$6,ref!G27,1,,CELL("contenu",$AB$2))))</f>
        <v>C</v>
      </c>
      <c r="Q28" s="5" t="str">
        <f ca="1">CELL("contenu",INDIRECT(ADDRESS(ref!$K$6,ref!H27,1,,CELL("contenu",$AB$2))))</f>
        <v>C</v>
      </c>
      <c r="R28" s="6" t="str">
        <f ca="1">CELL("contenu",INDIRECT(ADDRESS(ref!$K$7,ref!E27,1,,CELL("contenu",$AB$2))))</f>
        <v>B</v>
      </c>
      <c r="S28" s="3" t="str">
        <f ca="1">CELL("contenu",INDIRECT(ADDRESS(ref!$K$7,ref!F27,1,,CELL("contenu",$AB$2))))</f>
        <v/>
      </c>
      <c r="T28" s="4" t="str">
        <f ca="1">CELL("contenu",INDIRECT(ADDRESS(ref!$K$7,ref!G27,1,,CELL("contenu",$AB$2))))</f>
        <v/>
      </c>
      <c r="U28" s="5" t="str">
        <f ca="1">CELL("contenu",INDIRECT(ADDRESS(ref!$K$7,ref!H27,1,,CELL("contenu",$AB$2))))</f>
        <v>B</v>
      </c>
      <c r="V28" s="41">
        <f ca="1">CELL("contenu",INDIRECT(ADDRESS(ref!$K$8,ref!E27,1,,CELL("contenu",$AB$2))))</f>
        <v>13.333333333333332</v>
      </c>
      <c r="W28" s="42">
        <f ca="1">CELL("contenu",INDIRECT(ADDRESS(ref!$K$8,ref!F27,1,,CELL("contenu",$AB$2))))</f>
        <v>12.5</v>
      </c>
      <c r="X28" s="43">
        <f ca="1">CELL("contenu",INDIRECT(ADDRESS(ref!$K$8,ref!G27,1,,CELL("contenu",$AB$2))))</f>
        <v>13.006944444444446</v>
      </c>
      <c r="Y28" s="7" t="str">
        <f ca="1">CELL("contenu",INDIRECT(ADDRESS(ref!$K$9,ref!H27,1,,CELL("contenu",$AB$2))))</f>
        <v/>
      </c>
      <c r="Z28" s="8" t="str">
        <f ca="1">CELL("contenu",INDIRECT(ADDRESS(ref!$K$10,ref!H27,1,,CELL("contenu",$AB$2))))</f>
        <v>B</v>
      </c>
    </row>
    <row r="29" spans="1:26" x14ac:dyDescent="0.55000000000000004">
      <c r="A29" s="53" t="str">
        <f t="shared" ca="1" si="0"/>
        <v>WENZEL Thomas</v>
      </c>
      <c r="B29" s="2" t="str">
        <f ca="1">CELL("contenu",INDIRECT(ADDRESS(ref!$K$3,ref!E28,1,,CELL("contenu",$AB$2))))</f>
        <v>C</v>
      </c>
      <c r="C29" s="3" t="str">
        <f ca="1">CELL("contenu",INDIRECT(ADDRESS(ref!$K$3,ref!F28,1,,CELL("contenu",$AB$2))))</f>
        <v>C</v>
      </c>
      <c r="D29" s="4" t="str">
        <f ca="1">CELL("contenu",INDIRECT(ADDRESS(ref!$K$3,ref!G28,1,,CELL("contenu",$AB$2))))</f>
        <v>C</v>
      </c>
      <c r="E29" s="5" t="str">
        <f ca="1">CELL("contenu",INDIRECT(ADDRESS(ref!$K$3,ref!H28,1,,CELL("contenu",$AB$2))))</f>
        <v>C</v>
      </c>
      <c r="F29" s="6" t="str">
        <f ca="1">CELL("contenu",INDIRECT(ADDRESS(ref!$K$4,ref!E28,1,,CELL("contenu",$AB$2))))</f>
        <v>B</v>
      </c>
      <c r="G29" s="3" t="str">
        <f ca="1">CELL("contenu",INDIRECT(ADDRESS(ref!$K$4,ref!F28,1,,CELL("contenu",$AB$2))))</f>
        <v/>
      </c>
      <c r="H29" s="4" t="str">
        <f ca="1">CELL("contenu",INDIRECT(ADDRESS(ref!$K$4,ref!G28,1,,CELL("contenu",$AB$2))))</f>
        <v>C</v>
      </c>
      <c r="I29" s="5" t="str">
        <f ca="1">CELL("contenu",INDIRECT(ADDRESS(ref!$K$4,ref!H28,1,,CELL("contenu",$AB$2))))</f>
        <v>C</v>
      </c>
      <c r="J29" s="6" t="str">
        <f ca="1">CELL("contenu",INDIRECT(ADDRESS(ref!$K$5,ref!E28,1,,CELL("contenu",$AB$2))))</f>
        <v/>
      </c>
      <c r="K29" s="3" t="str">
        <f ca="1">CELL("contenu",INDIRECT(ADDRESS(ref!$K$5,ref!F28,1,,CELL("contenu",$AB$2))))</f>
        <v/>
      </c>
      <c r="L29" s="4" t="str">
        <f ca="1">CELL("contenu",INDIRECT(ADDRESS(ref!$K$5,ref!G28,1,,CELL("contenu",$AB$2))))</f>
        <v>C</v>
      </c>
      <c r="M29" s="5" t="str">
        <f ca="1">CELL("contenu",INDIRECT(ADDRESS(ref!$K$5,ref!H28,1,,CELL("contenu",$AB$2))))</f>
        <v>C</v>
      </c>
      <c r="N29" s="6" t="str">
        <f ca="1">CELL("contenu",INDIRECT(ADDRESS(ref!$K$6,ref!E28,1,,CELL("contenu",$AB$2))))</f>
        <v>D</v>
      </c>
      <c r="O29" s="3" t="str">
        <f ca="1">CELL("contenu",INDIRECT(ADDRESS(ref!$K$6,ref!F28,1,,CELL("contenu",$AB$2))))</f>
        <v>C</v>
      </c>
      <c r="P29" s="4" t="str">
        <f ca="1">CELL("contenu",INDIRECT(ADDRESS(ref!$K$6,ref!G28,1,,CELL("contenu",$AB$2))))</f>
        <v>C</v>
      </c>
      <c r="Q29" s="5" t="str">
        <f ca="1">CELL("contenu",INDIRECT(ADDRESS(ref!$K$6,ref!H28,1,,CELL("contenu",$AB$2))))</f>
        <v>C</v>
      </c>
      <c r="R29" s="6" t="str">
        <f ca="1">CELL("contenu",INDIRECT(ADDRESS(ref!$K$7,ref!E28,1,,CELL("contenu",$AB$2))))</f>
        <v>C</v>
      </c>
      <c r="S29" s="3" t="str">
        <f ca="1">CELL("contenu",INDIRECT(ADDRESS(ref!$K$7,ref!F28,1,,CELL("contenu",$AB$2))))</f>
        <v/>
      </c>
      <c r="T29" s="4" t="str">
        <f ca="1">CELL("contenu",INDIRECT(ADDRESS(ref!$K$7,ref!G28,1,,CELL("contenu",$AB$2))))</f>
        <v/>
      </c>
      <c r="U29" s="5" t="str">
        <f ca="1">CELL("contenu",INDIRECT(ADDRESS(ref!$K$7,ref!H28,1,,CELL("contenu",$AB$2))))</f>
        <v>C</v>
      </c>
      <c r="V29" s="41">
        <f ca="1">CELL("contenu",INDIRECT(ADDRESS(ref!$K$8,ref!E28,1,,CELL("contenu",$AB$2))))</f>
        <v>9.375</v>
      </c>
      <c r="W29" s="42">
        <f ca="1">CELL("contenu",INDIRECT(ADDRESS(ref!$K$8,ref!F28,1,,CELL("contenu",$AB$2))))</f>
        <v>10</v>
      </c>
      <c r="X29" s="43">
        <f ca="1">CELL("contenu",INDIRECT(ADDRESS(ref!$K$8,ref!G28,1,,CELL("contenu",$AB$2))))</f>
        <v>9.5833333333333339</v>
      </c>
      <c r="Y29" s="7" t="str">
        <f ca="1">CELL("contenu",INDIRECT(ADDRESS(ref!$K$9,ref!H28,1,,CELL("contenu",$AB$2))))</f>
        <v/>
      </c>
      <c r="Z29" s="8" t="str">
        <f ca="1">CELL("contenu",INDIRECT(ADDRESS(ref!$K$10,ref!H28,1,,CELL("contenu",$AB$2))))</f>
        <v>B</v>
      </c>
    </row>
  </sheetData>
  <sheetProtection algorithmName="SHA-512" hashValue="mREHs3dMnaXiRh8I9FjO2NULEH1wCwNZnnBjnPz0A0zwzMT/XIpsZG5ZB5UNr1JsjNfnAsgckQ0iNi8jjr7vJQ==" saltValue="wg7IOHhps/DBiQ+xjOIZvg==" spinCount="100000" sheet="1" selectLockedCells="1"/>
  <mergeCells count="9">
    <mergeCell ref="B1:Z1"/>
    <mergeCell ref="A2:A3"/>
    <mergeCell ref="B2:E2"/>
    <mergeCell ref="F2:I2"/>
    <mergeCell ref="J2:M2"/>
    <mergeCell ref="N2:Q2"/>
    <mergeCell ref="R2:U2"/>
    <mergeCell ref="V2:X2"/>
    <mergeCell ref="Y2:Z2"/>
  </mergeCells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WR24"/>
  <sheetViews>
    <sheetView topLeftCell="A2" zoomScale="80" zoomScaleNormal="80" workbookViewId="0">
      <pane xSplit="2" topLeftCell="TQ1" activePane="topRight" state="frozen"/>
      <selection activeCell="A5" sqref="A5"/>
      <selection pane="topRight" activeCell="TX19" sqref="TX19"/>
    </sheetView>
  </sheetViews>
  <sheetFormatPr baseColWidth="10" defaultColWidth="5.68359375" defaultRowHeight="14.4" x14ac:dyDescent="0.55000000000000004"/>
  <cols>
    <col min="1" max="1" width="17.68359375" style="148" customWidth="1"/>
    <col min="2" max="2" width="13.68359375" style="148" customWidth="1"/>
    <col min="3" max="5" width="4.68359375" style="139" customWidth="1"/>
    <col min="6" max="6" width="4.68359375" style="171" customWidth="1"/>
    <col min="7" max="7" width="8.68359375" style="172" customWidth="1"/>
    <col min="8" max="11" width="4.68359375" style="138" customWidth="1"/>
    <col min="12" max="12" width="4.68359375" style="172" customWidth="1"/>
    <col min="13" max="13" width="8.68359375" style="172" customWidth="1"/>
    <col min="14" max="19" width="4.68359375" style="138" customWidth="1"/>
    <col min="20" max="20" width="4.68359375" style="172" customWidth="1"/>
    <col min="21" max="21" width="8.68359375" style="172" customWidth="1"/>
    <col min="22" max="22" width="4.68359375" style="172" customWidth="1"/>
    <col min="23" max="23" width="8.68359375" style="172" customWidth="1"/>
    <col min="24" max="26" width="4.68359375" style="139" customWidth="1"/>
    <col min="27" max="27" width="4.68359375" style="171" customWidth="1"/>
    <col min="28" max="28" width="8.68359375" style="172" customWidth="1"/>
    <col min="29" max="32" width="4.68359375" style="138" customWidth="1"/>
    <col min="33" max="33" width="4.68359375" style="172" customWidth="1"/>
    <col min="34" max="34" width="8.68359375" style="172" customWidth="1"/>
    <col min="35" max="40" width="4.68359375" style="138" customWidth="1"/>
    <col min="41" max="41" width="4.68359375" style="172" customWidth="1"/>
    <col min="42" max="42" width="8.68359375" style="172" customWidth="1"/>
    <col min="43" max="43" width="4.68359375" style="172" customWidth="1"/>
    <col min="44" max="44" width="8.68359375" style="172" customWidth="1"/>
    <col min="45" max="48" width="4.68359375" style="139" customWidth="1"/>
    <col min="49" max="49" width="8.68359375" style="137" customWidth="1"/>
    <col min="50" max="53" width="4.68359375" style="138" customWidth="1"/>
    <col min="54" max="54" width="4.68359375" style="137" customWidth="1"/>
    <col min="55" max="55" width="8.68359375" style="137" customWidth="1"/>
    <col min="56" max="61" width="4.68359375" style="138" customWidth="1"/>
    <col min="62" max="62" width="4.68359375" style="137" customWidth="1"/>
    <col min="63" max="63" width="8.68359375" style="137" customWidth="1"/>
    <col min="64" max="64" width="4.68359375" style="137" customWidth="1"/>
    <col min="65" max="65" width="8.68359375" style="137" customWidth="1"/>
    <col min="66" max="69" width="4.68359375" style="139" customWidth="1"/>
    <col min="70" max="70" width="8.68359375" style="137" customWidth="1"/>
    <col min="71" max="74" width="4.68359375" style="138" customWidth="1"/>
    <col min="75" max="75" width="4.68359375" style="137" customWidth="1"/>
    <col min="76" max="76" width="8.68359375" style="137" customWidth="1"/>
    <col min="77" max="82" width="4.68359375" style="138" customWidth="1"/>
    <col min="83" max="83" width="4.68359375" style="137" customWidth="1"/>
    <col min="84" max="84" width="8.68359375" style="137" customWidth="1"/>
    <col min="85" max="85" width="4.68359375" style="137" customWidth="1"/>
    <col min="86" max="86" width="8.68359375" style="137" customWidth="1"/>
    <col min="87" max="90" width="4.68359375" style="139" customWidth="1"/>
    <col min="91" max="91" width="8.68359375" style="137" customWidth="1"/>
    <col min="92" max="95" width="4.68359375" style="138" customWidth="1"/>
    <col min="96" max="96" width="4.68359375" style="137" customWidth="1"/>
    <col min="97" max="97" width="8.68359375" style="137" customWidth="1"/>
    <col min="98" max="103" width="4.68359375" style="138" customWidth="1"/>
    <col min="104" max="104" width="4.68359375" style="137" customWidth="1"/>
    <col min="105" max="105" width="8.68359375" style="137" customWidth="1"/>
    <col min="106" max="106" width="4.68359375" style="137" customWidth="1"/>
    <col min="107" max="107" width="8.68359375" style="137" customWidth="1"/>
    <col min="108" max="111" width="4.68359375" style="139" customWidth="1"/>
    <col min="112" max="112" width="8.68359375" style="137" customWidth="1"/>
    <col min="113" max="116" width="4.68359375" style="138" customWidth="1"/>
    <col min="117" max="117" width="4.68359375" style="137" customWidth="1"/>
    <col min="118" max="118" width="8.68359375" style="137" customWidth="1"/>
    <col min="119" max="124" width="4.68359375" style="138" customWidth="1"/>
    <col min="125" max="125" width="4.68359375" style="137" customWidth="1"/>
    <col min="126" max="126" width="8.68359375" style="137" customWidth="1"/>
    <col min="127" max="127" width="4.68359375" style="137" customWidth="1"/>
    <col min="128" max="128" width="8.68359375" style="137" customWidth="1"/>
    <col min="129" max="132" width="4.68359375" style="139" customWidth="1"/>
    <col min="133" max="133" width="8.68359375" style="137" customWidth="1"/>
    <col min="134" max="137" width="4.68359375" style="138" customWidth="1"/>
    <col min="138" max="138" width="4.68359375" style="137" customWidth="1"/>
    <col min="139" max="139" width="8.68359375" style="137" customWidth="1"/>
    <col min="140" max="145" width="4.68359375" style="138" customWidth="1"/>
    <col min="146" max="146" width="4.68359375" style="137" customWidth="1"/>
    <col min="147" max="147" width="8.68359375" style="137" customWidth="1"/>
    <col min="148" max="148" width="4.68359375" style="137" customWidth="1"/>
    <col min="149" max="149" width="8.68359375" style="137" customWidth="1"/>
    <col min="150" max="153" width="4.68359375" style="139" customWidth="1"/>
    <col min="154" max="154" width="8.68359375" style="137" customWidth="1"/>
    <col min="155" max="158" width="4.68359375" style="138" customWidth="1"/>
    <col min="159" max="159" width="4.68359375" style="137" customWidth="1"/>
    <col min="160" max="160" width="8.68359375" style="137" customWidth="1"/>
    <col min="161" max="166" width="4.68359375" style="138" customWidth="1"/>
    <col min="167" max="167" width="4.68359375" style="137" customWidth="1"/>
    <col min="168" max="168" width="8.68359375" style="137" customWidth="1"/>
    <col min="169" max="169" width="4.68359375" style="137" customWidth="1"/>
    <col min="170" max="170" width="8.68359375" style="137" customWidth="1"/>
    <col min="171" max="174" width="4.68359375" style="139" customWidth="1"/>
    <col min="175" max="175" width="8.68359375" style="137" customWidth="1"/>
    <col min="176" max="179" width="4.68359375" style="138" customWidth="1"/>
    <col min="180" max="180" width="4.68359375" style="137" customWidth="1"/>
    <col min="181" max="181" width="8.68359375" style="137" customWidth="1"/>
    <col min="182" max="187" width="4.68359375" style="138" customWidth="1"/>
    <col min="188" max="188" width="4.68359375" style="137" customWidth="1"/>
    <col min="189" max="189" width="8.68359375" style="137" customWidth="1"/>
    <col min="190" max="190" width="4.68359375" style="137" customWidth="1"/>
    <col min="191" max="191" width="8.68359375" style="137" customWidth="1"/>
    <col min="192" max="195" width="4.68359375" style="139" customWidth="1"/>
    <col min="196" max="196" width="8.68359375" style="137" customWidth="1"/>
    <col min="197" max="200" width="4.68359375" style="138" customWidth="1"/>
    <col min="201" max="201" width="4.68359375" style="137" customWidth="1"/>
    <col min="202" max="202" width="8.68359375" style="137" customWidth="1"/>
    <col min="203" max="208" width="4.68359375" style="138" customWidth="1"/>
    <col min="209" max="209" width="4.68359375" style="137" customWidth="1"/>
    <col min="210" max="210" width="8.68359375" style="137" customWidth="1"/>
    <col min="211" max="211" width="4.68359375" style="137" customWidth="1"/>
    <col min="212" max="212" width="8.68359375" style="137" customWidth="1"/>
    <col min="213" max="216" width="4.68359375" style="139" customWidth="1"/>
    <col min="217" max="217" width="8.68359375" style="137" customWidth="1"/>
    <col min="218" max="221" width="4.68359375" style="138" customWidth="1"/>
    <col min="222" max="222" width="4.68359375" style="137" customWidth="1"/>
    <col min="223" max="223" width="8.68359375" style="137" customWidth="1"/>
    <col min="224" max="229" width="4.68359375" style="138" customWidth="1"/>
    <col min="230" max="230" width="4.68359375" style="137" customWidth="1"/>
    <col min="231" max="231" width="8.68359375" style="137" customWidth="1"/>
    <col min="232" max="232" width="4.68359375" style="137" customWidth="1"/>
    <col min="233" max="233" width="8.68359375" style="137" customWidth="1"/>
    <col min="234" max="237" width="4.68359375" style="139" customWidth="1"/>
    <col min="238" max="238" width="8.68359375" style="137" customWidth="1"/>
    <col min="239" max="242" width="4.68359375" style="138" customWidth="1"/>
    <col min="243" max="243" width="4.68359375" style="137" customWidth="1"/>
    <col min="244" max="244" width="8.68359375" style="137" customWidth="1"/>
    <col min="245" max="250" width="4.68359375" style="138" customWidth="1"/>
    <col min="251" max="251" width="4.68359375" style="137" customWidth="1"/>
    <col min="252" max="252" width="8.68359375" style="137" customWidth="1"/>
    <col min="253" max="253" width="4.68359375" style="137" customWidth="1"/>
    <col min="254" max="254" width="8.68359375" style="137" customWidth="1"/>
    <col min="255" max="258" width="4.68359375" style="139" customWidth="1"/>
    <col min="259" max="259" width="8.68359375" style="137" customWidth="1"/>
    <col min="260" max="263" width="4.68359375" style="138" customWidth="1"/>
    <col min="264" max="264" width="4.68359375" style="137" customWidth="1"/>
    <col min="265" max="265" width="8.68359375" style="137" customWidth="1"/>
    <col min="266" max="271" width="4.68359375" style="138" customWidth="1"/>
    <col min="272" max="272" width="4.68359375" style="137" customWidth="1"/>
    <col min="273" max="273" width="8.68359375" style="137" customWidth="1"/>
    <col min="274" max="274" width="4.68359375" style="137" customWidth="1"/>
    <col min="275" max="275" width="8.68359375" style="137" customWidth="1"/>
    <col min="276" max="279" width="4.68359375" style="139" customWidth="1"/>
    <col min="280" max="280" width="8.68359375" style="137" customWidth="1"/>
    <col min="281" max="284" width="4.68359375" style="138" customWidth="1"/>
    <col min="285" max="285" width="4.68359375" style="137" customWidth="1"/>
    <col min="286" max="286" width="8.68359375" style="137" customWidth="1"/>
    <col min="287" max="292" width="4.68359375" style="138" customWidth="1"/>
    <col min="293" max="293" width="4.68359375" style="137" customWidth="1"/>
    <col min="294" max="294" width="8.68359375" style="137" customWidth="1"/>
    <col min="295" max="295" width="4.68359375" style="137" customWidth="1"/>
    <col min="296" max="296" width="8.68359375" style="137" customWidth="1"/>
    <col min="297" max="300" width="4.68359375" style="139" customWidth="1"/>
    <col min="301" max="301" width="8.68359375" style="137" customWidth="1"/>
    <col min="302" max="305" width="4.68359375" style="138" customWidth="1"/>
    <col min="306" max="306" width="4.68359375" style="137" customWidth="1"/>
    <col min="307" max="307" width="8.68359375" style="137" customWidth="1"/>
    <col min="308" max="313" width="4.68359375" style="138" customWidth="1"/>
    <col min="314" max="314" width="4.68359375" style="137" customWidth="1"/>
    <col min="315" max="315" width="8.68359375" style="137" customWidth="1"/>
    <col min="316" max="316" width="4.68359375" style="137" customWidth="1"/>
    <col min="317" max="317" width="8.68359375" style="137" customWidth="1"/>
    <col min="318" max="321" width="4.68359375" style="139" customWidth="1"/>
    <col min="322" max="322" width="8.68359375" style="137" customWidth="1"/>
    <col min="323" max="326" width="4.68359375" style="138" customWidth="1"/>
    <col min="327" max="327" width="4.68359375" style="137" customWidth="1"/>
    <col min="328" max="328" width="8.68359375" style="137" customWidth="1"/>
    <col min="329" max="334" width="4.68359375" style="138" customWidth="1"/>
    <col min="335" max="335" width="4.68359375" style="137" customWidth="1"/>
    <col min="336" max="336" width="8.68359375" style="137" customWidth="1"/>
    <col min="337" max="337" width="4.68359375" style="137" customWidth="1"/>
    <col min="338" max="338" width="8.68359375" style="137" customWidth="1"/>
    <col min="339" max="342" width="4.68359375" style="139" customWidth="1"/>
    <col min="343" max="343" width="8.68359375" style="137" customWidth="1"/>
    <col min="344" max="347" width="4.68359375" style="138" customWidth="1"/>
    <col min="348" max="348" width="4.68359375" style="137" customWidth="1"/>
    <col min="349" max="349" width="8.68359375" style="137" customWidth="1"/>
    <col min="350" max="355" width="4.68359375" style="138" customWidth="1"/>
    <col min="356" max="356" width="4.68359375" style="137" customWidth="1"/>
    <col min="357" max="357" width="8.68359375" style="137" customWidth="1"/>
    <col min="358" max="358" width="4.68359375" style="137" customWidth="1"/>
    <col min="359" max="359" width="8.68359375" style="137" customWidth="1"/>
    <col min="360" max="363" width="4.68359375" style="139" customWidth="1"/>
    <col min="364" max="364" width="8.68359375" style="137" customWidth="1"/>
    <col min="365" max="368" width="4.68359375" style="138" customWidth="1"/>
    <col min="369" max="369" width="4.68359375" style="137" customWidth="1"/>
    <col min="370" max="370" width="8.68359375" style="137" customWidth="1"/>
    <col min="371" max="376" width="4.68359375" style="138" customWidth="1"/>
    <col min="377" max="377" width="4.68359375" style="137" customWidth="1"/>
    <col min="378" max="378" width="8.68359375" style="137" customWidth="1"/>
    <col min="379" max="379" width="4.68359375" style="137" customWidth="1"/>
    <col min="380" max="380" width="8.68359375" style="137" customWidth="1"/>
    <col min="381" max="384" width="4.68359375" style="139" customWidth="1"/>
    <col min="385" max="385" width="8.68359375" style="137" customWidth="1"/>
    <col min="386" max="389" width="4.68359375" style="138" customWidth="1"/>
    <col min="390" max="390" width="4.68359375" style="137" customWidth="1"/>
    <col min="391" max="391" width="8.68359375" style="137" customWidth="1"/>
    <col min="392" max="397" width="4.68359375" style="138" customWidth="1"/>
    <col min="398" max="398" width="4.68359375" style="137" customWidth="1"/>
    <col min="399" max="399" width="8.68359375" style="137" customWidth="1"/>
    <col min="400" max="400" width="4.68359375" style="137" customWidth="1"/>
    <col min="401" max="401" width="8.68359375" style="137" customWidth="1"/>
    <col min="402" max="405" width="4.68359375" style="139" customWidth="1"/>
    <col min="406" max="406" width="8.68359375" style="137" customWidth="1"/>
    <col min="407" max="410" width="4.68359375" style="138" customWidth="1"/>
    <col min="411" max="411" width="4.68359375" style="137" customWidth="1"/>
    <col min="412" max="412" width="8.68359375" style="137" customWidth="1"/>
    <col min="413" max="418" width="4.68359375" style="138" customWidth="1"/>
    <col min="419" max="419" width="4.68359375" style="137" customWidth="1"/>
    <col min="420" max="420" width="8.68359375" style="137" customWidth="1"/>
    <col min="421" max="421" width="4.68359375" style="137" customWidth="1"/>
    <col min="422" max="422" width="8.68359375" style="137" customWidth="1"/>
    <col min="423" max="426" width="4.68359375" style="139" customWidth="1"/>
    <col min="427" max="427" width="8.68359375" style="137" customWidth="1"/>
    <col min="428" max="431" width="4.68359375" style="138" customWidth="1"/>
    <col min="432" max="432" width="4.68359375" style="137" customWidth="1"/>
    <col min="433" max="433" width="8.68359375" style="137" customWidth="1"/>
    <col min="434" max="439" width="4.68359375" style="138" customWidth="1"/>
    <col min="440" max="440" width="4.68359375" style="137" customWidth="1"/>
    <col min="441" max="441" width="8.68359375" style="137" customWidth="1"/>
    <col min="442" max="442" width="4.68359375" style="137" customWidth="1"/>
    <col min="443" max="443" width="8.68359375" style="137" customWidth="1"/>
    <col min="444" max="447" width="4.68359375" style="139" customWidth="1"/>
    <col min="448" max="448" width="8.68359375" style="137" customWidth="1"/>
    <col min="449" max="452" width="4.68359375" style="138" customWidth="1"/>
    <col min="453" max="453" width="4.68359375" style="137" customWidth="1"/>
    <col min="454" max="454" width="8.68359375" style="137" customWidth="1"/>
    <col min="455" max="460" width="4.68359375" style="138" customWidth="1"/>
    <col min="461" max="461" width="4.68359375" style="137" customWidth="1"/>
    <col min="462" max="462" width="8.68359375" style="137" customWidth="1"/>
    <col min="463" max="463" width="4.68359375" style="137" customWidth="1"/>
    <col min="464" max="464" width="8.68359375" style="137" customWidth="1"/>
    <col min="465" max="468" width="4.68359375" style="139" customWidth="1"/>
    <col min="469" max="469" width="8.68359375" style="137" customWidth="1"/>
    <col min="470" max="473" width="4.68359375" style="138" customWidth="1"/>
    <col min="474" max="474" width="4.68359375" style="137" customWidth="1"/>
    <col min="475" max="475" width="8.68359375" style="137" customWidth="1"/>
    <col min="476" max="481" width="4.68359375" style="138" customWidth="1"/>
    <col min="482" max="482" width="4.68359375" style="137" customWidth="1"/>
    <col min="483" max="483" width="8.68359375" style="137" customWidth="1"/>
    <col min="484" max="484" width="4.68359375" style="137" customWidth="1"/>
    <col min="485" max="485" width="8.68359375" style="137" customWidth="1"/>
    <col min="486" max="489" width="4.68359375" style="139" customWidth="1"/>
    <col min="490" max="490" width="8.68359375" style="137" customWidth="1"/>
    <col min="491" max="494" width="4.68359375" style="138" customWidth="1"/>
    <col min="495" max="495" width="4.68359375" style="137" customWidth="1"/>
    <col min="496" max="496" width="8.68359375" style="137" customWidth="1"/>
    <col min="497" max="502" width="4.68359375" style="138" customWidth="1"/>
    <col min="503" max="503" width="4.68359375" style="137" customWidth="1"/>
    <col min="504" max="504" width="8.68359375" style="137" customWidth="1"/>
    <col min="505" max="505" width="4.68359375" style="137" customWidth="1"/>
    <col min="506" max="506" width="8.68359375" style="137" customWidth="1"/>
    <col min="507" max="510" width="4.68359375" style="139" customWidth="1"/>
    <col min="511" max="511" width="8.68359375" style="137" customWidth="1"/>
    <col min="512" max="515" width="4.68359375" style="138" customWidth="1"/>
    <col min="516" max="516" width="4.68359375" style="137" customWidth="1"/>
    <col min="517" max="517" width="8.68359375" style="137" customWidth="1"/>
    <col min="518" max="523" width="4.68359375" style="138" customWidth="1"/>
    <col min="524" max="524" width="4.68359375" style="137" customWidth="1"/>
    <col min="525" max="525" width="8.68359375" style="137" customWidth="1"/>
    <col min="526" max="526" width="4.68359375" style="137" customWidth="1"/>
    <col min="527" max="527" width="8.68359375" style="137" customWidth="1"/>
    <col min="528" max="531" width="4.68359375" style="139" customWidth="1"/>
    <col min="532" max="532" width="8.68359375" style="137" customWidth="1"/>
    <col min="533" max="536" width="4.68359375" style="138" customWidth="1"/>
    <col min="537" max="537" width="4.68359375" style="137" customWidth="1"/>
    <col min="538" max="538" width="8.68359375" style="137" customWidth="1"/>
    <col min="539" max="544" width="4.68359375" style="138" customWidth="1"/>
    <col min="545" max="545" width="4.68359375" style="137" customWidth="1"/>
    <col min="546" max="546" width="8.68359375" style="137" customWidth="1"/>
    <col min="547" max="547" width="4.68359375" style="137" customWidth="1"/>
    <col min="548" max="548" width="8.68359375" style="137" customWidth="1"/>
    <col min="549" max="552" width="4.68359375" style="139" customWidth="1"/>
    <col min="553" max="553" width="8.68359375" style="137" customWidth="1"/>
    <col min="554" max="556" width="4.68359375" style="138" customWidth="1"/>
    <col min="557" max="557" width="4.68359375" style="137" customWidth="1"/>
    <col min="558" max="558" width="8.68359375" style="137" customWidth="1"/>
    <col min="559" max="561" width="4.68359375" style="138" customWidth="1"/>
    <col min="562" max="562" width="4.68359375" style="137" customWidth="1"/>
    <col min="563" max="563" width="8.68359375" style="137" customWidth="1"/>
    <col min="564" max="564" width="4.68359375" style="137" customWidth="1"/>
    <col min="565" max="565" width="8.68359375" style="137" customWidth="1"/>
    <col min="566" max="569" width="4.68359375" style="139" customWidth="1"/>
    <col min="570" max="570" width="8.68359375" style="137" customWidth="1"/>
    <col min="571" max="573" width="4.68359375" style="138" customWidth="1"/>
    <col min="574" max="574" width="4.68359375" style="137" customWidth="1"/>
    <col min="575" max="575" width="8.68359375" style="137" customWidth="1"/>
    <col min="576" max="578" width="4.68359375" style="138" customWidth="1"/>
    <col min="579" max="579" width="4.68359375" style="137" customWidth="1"/>
    <col min="580" max="580" width="8.68359375" style="137" customWidth="1"/>
    <col min="581" max="581" width="4.68359375" style="137" customWidth="1"/>
    <col min="582" max="582" width="8.68359375" style="137" customWidth="1"/>
    <col min="583" max="586" width="4.68359375" style="139" customWidth="1"/>
    <col min="587" max="587" width="8.68359375" style="137" customWidth="1"/>
    <col min="588" max="590" width="4.68359375" style="138" customWidth="1"/>
    <col min="591" max="591" width="4.68359375" style="137" customWidth="1"/>
    <col min="592" max="592" width="8.68359375" style="137" customWidth="1"/>
    <col min="593" max="595" width="4.68359375" style="138" customWidth="1"/>
    <col min="596" max="596" width="4.68359375" style="137" customWidth="1"/>
    <col min="597" max="597" width="8.68359375" style="137" customWidth="1"/>
    <col min="598" max="598" width="4.68359375" style="137" customWidth="1"/>
    <col min="599" max="599" width="8.68359375" style="137" customWidth="1"/>
    <col min="600" max="603" width="4.68359375" style="139" customWidth="1"/>
    <col min="604" max="604" width="8.68359375" style="137" customWidth="1"/>
    <col min="605" max="607" width="4.68359375" style="138" customWidth="1"/>
    <col min="608" max="608" width="4.68359375" style="137" customWidth="1"/>
    <col min="609" max="609" width="8.68359375" style="137" customWidth="1"/>
    <col min="610" max="612" width="4.68359375" style="138" customWidth="1"/>
    <col min="613" max="613" width="4.68359375" style="137" customWidth="1"/>
    <col min="614" max="614" width="8.68359375" style="137" customWidth="1"/>
    <col min="615" max="615" width="4.68359375" style="137" customWidth="1"/>
    <col min="616" max="616" width="8.68359375" style="137" customWidth="1"/>
    <col min="617" max="16384" width="5.68359375" style="64"/>
  </cols>
  <sheetData>
    <row r="1" spans="1:616" ht="18" customHeight="1" thickBot="1" x14ac:dyDescent="0.6">
      <c r="A1" s="219" t="s">
        <v>42</v>
      </c>
      <c r="B1" s="220"/>
      <c r="C1" s="150">
        <v>4</v>
      </c>
      <c r="D1" s="60"/>
      <c r="E1" s="60"/>
      <c r="F1" s="155"/>
      <c r="G1" s="156"/>
      <c r="H1" s="154"/>
      <c r="I1" s="62"/>
      <c r="J1" s="62"/>
      <c r="K1" s="62"/>
      <c r="L1" s="156"/>
      <c r="M1" s="156"/>
      <c r="N1" s="154"/>
      <c r="O1" s="62"/>
      <c r="P1" s="62"/>
      <c r="Q1" s="62"/>
      <c r="R1" s="62"/>
      <c r="S1" s="62"/>
      <c r="T1" s="156"/>
      <c r="U1" s="156"/>
      <c r="V1" s="156"/>
      <c r="W1" s="177"/>
      <c r="X1" s="194">
        <f>C1+1</f>
        <v>5</v>
      </c>
      <c r="Y1" s="60"/>
      <c r="Z1" s="60"/>
      <c r="AA1" s="155"/>
      <c r="AB1" s="156"/>
      <c r="AC1" s="154"/>
      <c r="AD1" s="62"/>
      <c r="AE1" s="62"/>
      <c r="AF1" s="62"/>
      <c r="AG1" s="156"/>
      <c r="AH1" s="156"/>
      <c r="AI1" s="154"/>
      <c r="AJ1" s="62"/>
      <c r="AK1" s="62"/>
      <c r="AL1" s="62"/>
      <c r="AM1" s="62"/>
      <c r="AN1" s="62"/>
      <c r="AO1" s="156"/>
      <c r="AP1" s="156"/>
      <c r="AQ1" s="156"/>
      <c r="AR1" s="156"/>
      <c r="AS1" s="194">
        <f>X1+1</f>
        <v>6</v>
      </c>
      <c r="AT1" s="60"/>
      <c r="AU1" s="60"/>
      <c r="AV1" s="155"/>
      <c r="AW1" s="156"/>
      <c r="AX1" s="154"/>
      <c r="AY1" s="62"/>
      <c r="AZ1" s="62"/>
      <c r="BA1" s="62"/>
      <c r="BB1" s="156"/>
      <c r="BC1" s="156"/>
      <c r="BD1" s="154"/>
      <c r="BE1" s="62"/>
      <c r="BF1" s="62"/>
      <c r="BG1" s="62"/>
      <c r="BH1" s="62"/>
      <c r="BI1" s="62"/>
      <c r="BJ1" s="156"/>
      <c r="BK1" s="156"/>
      <c r="BL1" s="156"/>
      <c r="BM1" s="156"/>
      <c r="BN1" s="194">
        <f>AS1+1</f>
        <v>7</v>
      </c>
      <c r="BO1" s="60"/>
      <c r="BP1" s="60"/>
      <c r="BQ1" s="155"/>
      <c r="BR1" s="156"/>
      <c r="BS1" s="154"/>
      <c r="BT1" s="62"/>
      <c r="BU1" s="62"/>
      <c r="BV1" s="62"/>
      <c r="BW1" s="156"/>
      <c r="BX1" s="156"/>
      <c r="BY1" s="154"/>
      <c r="BZ1" s="62"/>
      <c r="CA1" s="62"/>
      <c r="CB1" s="62"/>
      <c r="CC1" s="62"/>
      <c r="CD1" s="62"/>
      <c r="CE1" s="156"/>
      <c r="CF1" s="156"/>
      <c r="CG1" s="156"/>
      <c r="CH1" s="156"/>
      <c r="CI1" s="194">
        <f>BN1+1</f>
        <v>8</v>
      </c>
      <c r="CJ1" s="60"/>
      <c r="CK1" s="60"/>
      <c r="CL1" s="155"/>
      <c r="CM1" s="156"/>
      <c r="CN1" s="154"/>
      <c r="CO1" s="62"/>
      <c r="CP1" s="62"/>
      <c r="CQ1" s="62"/>
      <c r="CR1" s="156"/>
      <c r="CS1" s="156"/>
      <c r="CT1" s="154"/>
      <c r="CU1" s="62"/>
      <c r="CV1" s="62"/>
      <c r="CW1" s="62"/>
      <c r="CX1" s="62"/>
      <c r="CY1" s="62"/>
      <c r="CZ1" s="156"/>
      <c r="DA1" s="156"/>
      <c r="DB1" s="156"/>
      <c r="DC1" s="156"/>
      <c r="DD1" s="194">
        <f>CI1+1</f>
        <v>9</v>
      </c>
      <c r="DE1" s="60"/>
      <c r="DF1" s="60"/>
      <c r="DG1" s="155"/>
      <c r="DH1" s="156"/>
      <c r="DI1" s="154"/>
      <c r="DJ1" s="62"/>
      <c r="DK1" s="62"/>
      <c r="DL1" s="62"/>
      <c r="DM1" s="156"/>
      <c r="DN1" s="156"/>
      <c r="DO1" s="154"/>
      <c r="DP1" s="62"/>
      <c r="DQ1" s="62"/>
      <c r="DR1" s="62"/>
      <c r="DS1" s="62"/>
      <c r="DT1" s="62"/>
      <c r="DU1" s="156"/>
      <c r="DV1" s="156"/>
      <c r="DW1" s="156"/>
      <c r="DX1" s="156"/>
      <c r="DY1" s="194">
        <f>DD1+1</f>
        <v>10</v>
      </c>
      <c r="DZ1" s="60"/>
      <c r="EA1" s="60"/>
      <c r="EB1" s="155"/>
      <c r="EC1" s="156"/>
      <c r="ED1" s="154"/>
      <c r="EE1" s="62"/>
      <c r="EF1" s="62"/>
      <c r="EG1" s="62"/>
      <c r="EH1" s="156"/>
      <c r="EI1" s="156"/>
      <c r="EJ1" s="154"/>
      <c r="EK1" s="62"/>
      <c r="EL1" s="62"/>
      <c r="EM1" s="62"/>
      <c r="EN1" s="62"/>
      <c r="EO1" s="62"/>
      <c r="EP1" s="156"/>
      <c r="EQ1" s="156"/>
      <c r="ER1" s="156"/>
      <c r="ES1" s="156"/>
      <c r="ET1" s="194">
        <f>DY1+1</f>
        <v>11</v>
      </c>
      <c r="EU1" s="60"/>
      <c r="EV1" s="60"/>
      <c r="EW1" s="155"/>
      <c r="EX1" s="156"/>
      <c r="EY1" s="154"/>
      <c r="EZ1" s="62"/>
      <c r="FA1" s="62"/>
      <c r="FB1" s="62"/>
      <c r="FC1" s="156"/>
      <c r="FD1" s="156"/>
      <c r="FE1" s="154"/>
      <c r="FF1" s="62"/>
      <c r="FG1" s="62"/>
      <c r="FH1" s="62"/>
      <c r="FI1" s="62"/>
      <c r="FJ1" s="62"/>
      <c r="FK1" s="156"/>
      <c r="FL1" s="156"/>
      <c r="FM1" s="156"/>
      <c r="FN1" s="156"/>
      <c r="FO1" s="194">
        <f>ET1+1</f>
        <v>12</v>
      </c>
      <c r="FP1" s="60"/>
      <c r="FQ1" s="60"/>
      <c r="FR1" s="155"/>
      <c r="FS1" s="156"/>
      <c r="FT1" s="154"/>
      <c r="FU1" s="62"/>
      <c r="FV1" s="62"/>
      <c r="FW1" s="62"/>
      <c r="FX1" s="156"/>
      <c r="FY1" s="156"/>
      <c r="FZ1" s="154"/>
      <c r="GA1" s="62"/>
      <c r="GB1" s="62"/>
      <c r="GC1" s="62"/>
      <c r="GD1" s="62"/>
      <c r="GE1" s="62"/>
      <c r="GF1" s="156"/>
      <c r="GG1" s="156"/>
      <c r="GH1" s="156"/>
      <c r="GI1" s="156"/>
      <c r="GJ1" s="194">
        <f>FO1+1</f>
        <v>13</v>
      </c>
      <c r="GK1" s="60"/>
      <c r="GL1" s="60"/>
      <c r="GM1" s="155"/>
      <c r="GN1" s="156"/>
      <c r="GO1" s="154"/>
      <c r="GP1" s="62"/>
      <c r="GQ1" s="62"/>
      <c r="GR1" s="62"/>
      <c r="GS1" s="156"/>
      <c r="GT1" s="156"/>
      <c r="GU1" s="154"/>
      <c r="GV1" s="62"/>
      <c r="GW1" s="62"/>
      <c r="GX1" s="62"/>
      <c r="GY1" s="62"/>
      <c r="GZ1" s="62"/>
      <c r="HA1" s="156"/>
      <c r="HB1" s="156"/>
      <c r="HC1" s="156"/>
      <c r="HD1" s="156"/>
      <c r="HE1" s="194">
        <f>GJ1+1</f>
        <v>14</v>
      </c>
      <c r="HF1" s="60"/>
      <c r="HG1" s="60"/>
      <c r="HH1" s="155"/>
      <c r="HI1" s="156"/>
      <c r="HJ1" s="154"/>
      <c r="HK1" s="62"/>
      <c r="HL1" s="62"/>
      <c r="HM1" s="62"/>
      <c r="HN1" s="156"/>
      <c r="HO1" s="156"/>
      <c r="HP1" s="154"/>
      <c r="HQ1" s="62"/>
      <c r="HR1" s="62"/>
      <c r="HS1" s="62"/>
      <c r="HT1" s="62"/>
      <c r="HU1" s="62"/>
      <c r="HV1" s="156"/>
      <c r="HW1" s="156"/>
      <c r="HX1" s="156"/>
      <c r="HY1" s="156"/>
      <c r="HZ1" s="194">
        <f>HE1+1</f>
        <v>15</v>
      </c>
      <c r="IA1" s="60"/>
      <c r="IB1" s="60"/>
      <c r="IC1" s="155"/>
      <c r="ID1" s="156"/>
      <c r="IE1" s="154"/>
      <c r="IF1" s="62"/>
      <c r="IG1" s="62"/>
      <c r="IH1" s="62"/>
      <c r="II1" s="156"/>
      <c r="IJ1" s="156"/>
      <c r="IK1" s="154"/>
      <c r="IL1" s="62"/>
      <c r="IM1" s="62"/>
      <c r="IN1" s="62"/>
      <c r="IO1" s="62"/>
      <c r="IP1" s="62"/>
      <c r="IQ1" s="156"/>
      <c r="IR1" s="156"/>
      <c r="IS1" s="156"/>
      <c r="IT1" s="156"/>
      <c r="IU1" s="194">
        <f>HZ1+1</f>
        <v>16</v>
      </c>
      <c r="IV1" s="60"/>
      <c r="IW1" s="60"/>
      <c r="IX1" s="155"/>
      <c r="IY1" s="156"/>
      <c r="IZ1" s="154"/>
      <c r="JA1" s="62"/>
      <c r="JB1" s="62"/>
      <c r="JC1" s="62"/>
      <c r="JD1" s="156"/>
      <c r="JE1" s="156"/>
      <c r="JF1" s="154"/>
      <c r="JG1" s="62"/>
      <c r="JH1" s="62"/>
      <c r="JI1" s="62"/>
      <c r="JJ1" s="62"/>
      <c r="JK1" s="62"/>
      <c r="JL1" s="156"/>
      <c r="JM1" s="156"/>
      <c r="JN1" s="156"/>
      <c r="JO1" s="156"/>
      <c r="JP1" s="194">
        <f>IU1+1</f>
        <v>17</v>
      </c>
      <c r="JQ1" s="60"/>
      <c r="JR1" s="60"/>
      <c r="JS1" s="155"/>
      <c r="JT1" s="156"/>
      <c r="JU1" s="154"/>
      <c r="JV1" s="62"/>
      <c r="JW1" s="62"/>
      <c r="JX1" s="62"/>
      <c r="JY1" s="156"/>
      <c r="JZ1" s="156"/>
      <c r="KA1" s="154"/>
      <c r="KB1" s="62"/>
      <c r="KC1" s="62"/>
      <c r="KD1" s="62"/>
      <c r="KE1" s="62"/>
      <c r="KF1" s="62"/>
      <c r="KG1" s="156"/>
      <c r="KH1" s="156"/>
      <c r="KI1" s="156"/>
      <c r="KJ1" s="156"/>
      <c r="KK1" s="194">
        <f>JP1+1</f>
        <v>18</v>
      </c>
      <c r="KL1" s="60"/>
      <c r="KM1" s="60"/>
      <c r="KN1" s="155"/>
      <c r="KO1" s="156"/>
      <c r="KP1" s="154"/>
      <c r="KQ1" s="62"/>
      <c r="KR1" s="62"/>
      <c r="KS1" s="62"/>
      <c r="KT1" s="156"/>
      <c r="KU1" s="156"/>
      <c r="KV1" s="154"/>
      <c r="KW1" s="62"/>
      <c r="KX1" s="62"/>
      <c r="KY1" s="62"/>
      <c r="KZ1" s="62"/>
      <c r="LA1" s="62"/>
      <c r="LB1" s="156"/>
      <c r="LC1" s="156"/>
      <c r="LD1" s="156"/>
      <c r="LE1" s="156"/>
      <c r="LF1" s="194">
        <f>KK1+1</f>
        <v>19</v>
      </c>
      <c r="LG1" s="60"/>
      <c r="LH1" s="60"/>
      <c r="LI1" s="155"/>
      <c r="LJ1" s="156"/>
      <c r="LK1" s="154"/>
      <c r="LL1" s="62"/>
      <c r="LM1" s="62"/>
      <c r="LN1" s="62"/>
      <c r="LO1" s="156"/>
      <c r="LP1" s="156"/>
      <c r="LQ1" s="154"/>
      <c r="LR1" s="62"/>
      <c r="LS1" s="62"/>
      <c r="LT1" s="62"/>
      <c r="LU1" s="62"/>
      <c r="LV1" s="62"/>
      <c r="LW1" s="156"/>
      <c r="LX1" s="156"/>
      <c r="LY1" s="156"/>
      <c r="LZ1" s="156"/>
      <c r="MA1" s="194">
        <f>LF1+1</f>
        <v>20</v>
      </c>
      <c r="MB1" s="60"/>
      <c r="MC1" s="60"/>
      <c r="MD1" s="155"/>
      <c r="ME1" s="156"/>
      <c r="MF1" s="154"/>
      <c r="MG1" s="62"/>
      <c r="MH1" s="62"/>
      <c r="MI1" s="62"/>
      <c r="MJ1" s="156"/>
      <c r="MK1" s="156"/>
      <c r="ML1" s="154"/>
      <c r="MM1" s="62"/>
      <c r="MN1" s="62"/>
      <c r="MO1" s="62"/>
      <c r="MP1" s="62"/>
      <c r="MQ1" s="62"/>
      <c r="MR1" s="156"/>
      <c r="MS1" s="156"/>
      <c r="MT1" s="156"/>
      <c r="MU1" s="156"/>
      <c r="MV1" s="194">
        <f>MA1+1</f>
        <v>21</v>
      </c>
      <c r="MW1" s="60"/>
      <c r="MX1" s="60"/>
      <c r="MY1" s="155"/>
      <c r="MZ1" s="156"/>
      <c r="NA1" s="154"/>
      <c r="NB1" s="62"/>
      <c r="NC1" s="62"/>
      <c r="ND1" s="62"/>
      <c r="NE1" s="156"/>
      <c r="NF1" s="156"/>
      <c r="NG1" s="154"/>
      <c r="NH1" s="62"/>
      <c r="NI1" s="62"/>
      <c r="NJ1" s="62"/>
      <c r="NK1" s="62"/>
      <c r="NL1" s="62"/>
      <c r="NM1" s="156"/>
      <c r="NN1" s="156"/>
      <c r="NO1" s="156"/>
      <c r="NP1" s="156"/>
      <c r="NQ1" s="194">
        <f>MV1+1</f>
        <v>22</v>
      </c>
      <c r="NR1" s="60"/>
      <c r="NS1" s="60"/>
      <c r="NT1" s="155"/>
      <c r="NU1" s="156"/>
      <c r="NV1" s="154"/>
      <c r="NW1" s="62"/>
      <c r="NX1" s="62"/>
      <c r="NY1" s="62"/>
      <c r="NZ1" s="156"/>
      <c r="OA1" s="156"/>
      <c r="OB1" s="154"/>
      <c r="OC1" s="62"/>
      <c r="OD1" s="62"/>
      <c r="OE1" s="62"/>
      <c r="OF1" s="62"/>
      <c r="OG1" s="62"/>
      <c r="OH1" s="156"/>
      <c r="OI1" s="156"/>
      <c r="OJ1" s="156"/>
      <c r="OK1" s="156"/>
      <c r="OL1" s="194">
        <f>NQ1+1</f>
        <v>23</v>
      </c>
      <c r="OM1" s="60"/>
      <c r="ON1" s="60"/>
      <c r="OO1" s="155"/>
      <c r="OP1" s="156"/>
      <c r="OQ1" s="154"/>
      <c r="OR1" s="62"/>
      <c r="OS1" s="62"/>
      <c r="OT1" s="62"/>
      <c r="OU1" s="156"/>
      <c r="OV1" s="156"/>
      <c r="OW1" s="154"/>
      <c r="OX1" s="62"/>
      <c r="OY1" s="62"/>
      <c r="OZ1" s="62"/>
      <c r="PA1" s="62"/>
      <c r="PB1" s="62"/>
      <c r="PC1" s="156"/>
      <c r="PD1" s="156"/>
      <c r="PE1" s="156"/>
      <c r="PF1" s="156"/>
      <c r="PG1" s="194">
        <f>OL1+1</f>
        <v>24</v>
      </c>
      <c r="PH1" s="60"/>
      <c r="PI1" s="60"/>
      <c r="PJ1" s="155"/>
      <c r="PK1" s="156"/>
      <c r="PL1" s="154"/>
      <c r="PM1" s="62"/>
      <c r="PN1" s="62"/>
      <c r="PO1" s="62"/>
      <c r="PP1" s="156"/>
      <c r="PQ1" s="156"/>
      <c r="PR1" s="154"/>
      <c r="PS1" s="62"/>
      <c r="PT1" s="62"/>
      <c r="PU1" s="62"/>
      <c r="PV1" s="62"/>
      <c r="PW1" s="62"/>
      <c r="PX1" s="156"/>
      <c r="PY1" s="156"/>
      <c r="PZ1" s="156"/>
      <c r="QA1" s="156"/>
      <c r="QB1" s="194">
        <f>PG1+1</f>
        <v>25</v>
      </c>
      <c r="QC1" s="60"/>
      <c r="QD1" s="60"/>
      <c r="QE1" s="155"/>
      <c r="QF1" s="156"/>
      <c r="QG1" s="154"/>
      <c r="QH1" s="62"/>
      <c r="QI1" s="62"/>
      <c r="QJ1" s="62"/>
      <c r="QK1" s="156"/>
      <c r="QL1" s="156"/>
      <c r="QM1" s="154"/>
      <c r="QN1" s="62"/>
      <c r="QO1" s="62"/>
      <c r="QP1" s="62"/>
      <c r="QQ1" s="62"/>
      <c r="QR1" s="62"/>
      <c r="QS1" s="156"/>
      <c r="QT1" s="156"/>
      <c r="QU1" s="156"/>
      <c r="QV1" s="156"/>
      <c r="QW1" s="194">
        <f>QB1+1</f>
        <v>26</v>
      </c>
      <c r="QX1" s="60"/>
      <c r="QY1" s="60"/>
      <c r="QZ1" s="155"/>
      <c r="RA1" s="156"/>
      <c r="RB1" s="154"/>
      <c r="RC1" s="62"/>
      <c r="RD1" s="62"/>
      <c r="RE1" s="62"/>
      <c r="RF1" s="156"/>
      <c r="RG1" s="156"/>
      <c r="RH1" s="154"/>
      <c r="RI1" s="62"/>
      <c r="RJ1" s="62"/>
      <c r="RK1" s="62"/>
      <c r="RL1" s="62"/>
      <c r="RM1" s="62"/>
      <c r="RN1" s="156"/>
      <c r="RO1" s="156"/>
      <c r="RP1" s="156"/>
      <c r="RQ1" s="156"/>
      <c r="RR1" s="194">
        <f>QW1+1</f>
        <v>27</v>
      </c>
      <c r="RS1" s="60"/>
      <c r="RT1" s="60"/>
      <c r="RU1" s="155"/>
      <c r="RV1" s="156"/>
      <c r="RW1" s="154"/>
      <c r="RX1" s="62"/>
      <c r="RY1" s="62"/>
      <c r="RZ1" s="62"/>
      <c r="SA1" s="156"/>
      <c r="SB1" s="156"/>
      <c r="SC1" s="154"/>
      <c r="SD1" s="62"/>
      <c r="SE1" s="62"/>
      <c r="SF1" s="62"/>
      <c r="SG1" s="62"/>
      <c r="SH1" s="62"/>
      <c r="SI1" s="156"/>
      <c r="SJ1" s="156"/>
      <c r="SK1" s="156"/>
      <c r="SL1" s="156"/>
      <c r="SM1" s="194">
        <f>RR1+1</f>
        <v>28</v>
      </c>
      <c r="SN1" s="60"/>
      <c r="SO1" s="60"/>
      <c r="SP1" s="155"/>
      <c r="SQ1" s="156"/>
      <c r="SR1" s="154"/>
      <c r="SS1" s="62"/>
      <c r="ST1" s="62"/>
      <c r="SU1" s="62"/>
      <c r="SV1" s="156"/>
      <c r="SW1" s="156"/>
      <c r="SX1" s="154"/>
      <c r="SY1" s="62"/>
      <c r="SZ1" s="62"/>
      <c r="TA1" s="62"/>
      <c r="TB1" s="62"/>
      <c r="TC1" s="62"/>
      <c r="TD1" s="156"/>
      <c r="TE1" s="156"/>
      <c r="TF1" s="156"/>
      <c r="TG1" s="156"/>
      <c r="TH1" s="194">
        <f>SM1+1</f>
        <v>29</v>
      </c>
      <c r="TI1" s="60"/>
      <c r="TJ1" s="60"/>
      <c r="TK1" s="155"/>
      <c r="TL1" s="156"/>
      <c r="TM1" s="154"/>
      <c r="TN1" s="62"/>
      <c r="TO1" s="62"/>
      <c r="TP1" s="62"/>
      <c r="TQ1" s="156"/>
      <c r="TR1" s="156"/>
      <c r="TS1" s="154"/>
      <c r="TT1" s="62"/>
      <c r="TU1" s="62"/>
      <c r="TV1" s="62"/>
      <c r="TW1" s="62"/>
      <c r="TX1" s="62"/>
      <c r="TY1" s="156"/>
      <c r="TZ1" s="156"/>
      <c r="UA1" s="156"/>
      <c r="UB1" s="156"/>
      <c r="UC1" s="63">
        <f>TH1+1</f>
        <v>30</v>
      </c>
      <c r="UD1" s="60"/>
      <c r="UE1" s="60"/>
      <c r="UF1" s="60"/>
      <c r="UG1" s="61"/>
      <c r="UH1" s="62"/>
      <c r="UI1" s="62"/>
      <c r="UJ1" s="62"/>
      <c r="UK1" s="61"/>
      <c r="UL1" s="61"/>
      <c r="UM1" s="62"/>
      <c r="UN1" s="62"/>
      <c r="UO1" s="62"/>
      <c r="UP1" s="61"/>
      <c r="UQ1" s="61"/>
      <c r="UR1" s="61"/>
      <c r="US1" s="61"/>
      <c r="UT1" s="63">
        <f>UC1+1</f>
        <v>31</v>
      </c>
      <c r="UU1" s="60"/>
      <c r="UV1" s="60"/>
      <c r="UW1" s="60"/>
      <c r="UX1" s="61"/>
      <c r="UY1" s="62"/>
      <c r="UZ1" s="62"/>
      <c r="VA1" s="62"/>
      <c r="VB1" s="61"/>
      <c r="VC1" s="61"/>
      <c r="VD1" s="62"/>
      <c r="VE1" s="62"/>
      <c r="VF1" s="62"/>
      <c r="VG1" s="61"/>
      <c r="VH1" s="61"/>
      <c r="VI1" s="61"/>
      <c r="VJ1" s="61"/>
      <c r="VK1" s="63">
        <f>UT1+1</f>
        <v>32</v>
      </c>
      <c r="VL1" s="60"/>
      <c r="VM1" s="60"/>
      <c r="VN1" s="60"/>
      <c r="VO1" s="61"/>
      <c r="VP1" s="62"/>
      <c r="VQ1" s="62"/>
      <c r="VR1" s="62"/>
      <c r="VS1" s="61"/>
      <c r="VT1" s="61"/>
      <c r="VU1" s="62"/>
      <c r="VV1" s="62"/>
      <c r="VW1" s="62"/>
      <c r="VX1" s="61"/>
      <c r="VY1" s="61"/>
      <c r="VZ1" s="61"/>
      <c r="WA1" s="61"/>
      <c r="WB1" s="63">
        <f>VK1+1</f>
        <v>33</v>
      </c>
      <c r="WC1" s="60"/>
      <c r="WD1" s="60"/>
      <c r="WE1" s="60"/>
      <c r="WF1" s="61"/>
      <c r="WG1" s="62"/>
      <c r="WH1" s="62"/>
      <c r="WI1" s="62"/>
      <c r="WJ1" s="61"/>
      <c r="WK1" s="61"/>
      <c r="WL1" s="62"/>
      <c r="WM1" s="62"/>
      <c r="WN1" s="62"/>
      <c r="WO1" s="61"/>
      <c r="WP1" s="61"/>
      <c r="WQ1" s="61"/>
      <c r="WR1" s="61"/>
    </row>
    <row r="2" spans="1:616" ht="60" customHeight="1" thickBot="1" x14ac:dyDescent="0.6">
      <c r="A2" s="140" t="s">
        <v>41</v>
      </c>
      <c r="B2" s="141" t="s">
        <v>188</v>
      </c>
      <c r="C2" s="151" t="str">
        <f ca="1">IF(CELL("contenu",INDIRECT(ADDRESS(C1,1,1,1,CELL("contenu",$B$2))))="","----",CELL("contenu",INDIRECT(ADDRESS(C1,1,1,1,CELL("contenu",$B$2)))))</f>
        <v>ALEXANDRE Solene</v>
      </c>
      <c r="D2" s="149"/>
      <c r="E2" s="149"/>
      <c r="F2" s="151"/>
      <c r="G2" s="151"/>
      <c r="H2" s="151"/>
      <c r="I2" s="149"/>
      <c r="J2" s="149"/>
      <c r="K2" s="149"/>
      <c r="L2" s="151"/>
      <c r="M2" s="151"/>
      <c r="N2" s="151"/>
      <c r="O2" s="149"/>
      <c r="P2" s="149"/>
      <c r="Q2" s="149"/>
      <c r="R2" s="149"/>
      <c r="S2" s="149"/>
      <c r="T2" s="151"/>
      <c r="U2" s="151"/>
      <c r="V2" s="151"/>
      <c r="W2" s="178"/>
      <c r="X2" s="151" t="str">
        <f ca="1">IF(CELL("contenu",INDIRECT(ADDRESS(X1,1,1,1,CELL("contenu",$B$2))))="","----",CELL("contenu",INDIRECT(ADDRESS(X1,1,1,1,CELL("contenu",$B$2)))))</f>
        <v>BARILLER Benjamin</v>
      </c>
      <c r="Y2" s="149"/>
      <c r="Z2" s="149"/>
      <c r="AA2" s="151"/>
      <c r="AB2" s="151"/>
      <c r="AC2" s="151"/>
      <c r="AD2" s="149"/>
      <c r="AE2" s="149"/>
      <c r="AF2" s="149"/>
      <c r="AG2" s="151"/>
      <c r="AH2" s="151"/>
      <c r="AI2" s="151"/>
      <c r="AJ2" s="149"/>
      <c r="AK2" s="149"/>
      <c r="AL2" s="149"/>
      <c r="AM2" s="149"/>
      <c r="AN2" s="149"/>
      <c r="AO2" s="151"/>
      <c r="AP2" s="151"/>
      <c r="AQ2" s="151"/>
      <c r="AR2" s="178"/>
      <c r="AS2" s="151" t="str">
        <f ca="1">IF(CELL("contenu",INDIRECT(ADDRESS(AS1,1,1,1,CELL("contenu",$B$2))))="","----",CELL("contenu",INDIRECT(ADDRESS(AS1,1,1,1,CELL("contenu",$B$2)))))</f>
        <v>BAULIN Mathilde</v>
      </c>
      <c r="AT2" s="149"/>
      <c r="AU2" s="149"/>
      <c r="AV2" s="151"/>
      <c r="AW2" s="151"/>
      <c r="AX2" s="151"/>
      <c r="AY2" s="149"/>
      <c r="AZ2" s="149"/>
      <c r="BA2" s="149"/>
      <c r="BB2" s="151"/>
      <c r="BC2" s="151"/>
      <c r="BD2" s="151"/>
      <c r="BE2" s="149"/>
      <c r="BF2" s="149"/>
      <c r="BG2" s="149"/>
      <c r="BH2" s="149"/>
      <c r="BI2" s="149"/>
      <c r="BJ2" s="151"/>
      <c r="BK2" s="151"/>
      <c r="BL2" s="151"/>
      <c r="BM2" s="178"/>
      <c r="BN2" s="151" t="str">
        <f ca="1">IF(CELL("contenu",INDIRECT(ADDRESS(BN1,1,1,1,CELL("contenu",$B$2))))="","----",CELL("contenu",INDIRECT(ADDRESS(BN1,1,1,1,CELL("contenu",$B$2)))))</f>
        <v>BERGER Marie-Alix</v>
      </c>
      <c r="BO2" s="149"/>
      <c r="BP2" s="149"/>
      <c r="BQ2" s="151"/>
      <c r="BR2" s="151"/>
      <c r="BS2" s="151"/>
      <c r="BT2" s="149"/>
      <c r="BU2" s="149"/>
      <c r="BV2" s="149"/>
      <c r="BW2" s="151"/>
      <c r="BX2" s="151"/>
      <c r="BY2" s="151"/>
      <c r="BZ2" s="149"/>
      <c r="CA2" s="149"/>
      <c r="CB2" s="149"/>
      <c r="CC2" s="149"/>
      <c r="CD2" s="149"/>
      <c r="CE2" s="151"/>
      <c r="CF2" s="151"/>
      <c r="CG2" s="151"/>
      <c r="CH2" s="178"/>
      <c r="CI2" s="151" t="str">
        <f ca="1">IF(CELL("contenu",INDIRECT(ADDRESS(CI1,1,1,1,CELL("contenu",$B$2))))="","----",CELL("contenu",INDIRECT(ADDRESS(CI1,1,1,1,CELL("contenu",$B$2)))))</f>
        <v>BES DE BERC Laure</v>
      </c>
      <c r="CJ2" s="149"/>
      <c r="CK2" s="149"/>
      <c r="CL2" s="151"/>
      <c r="CM2" s="151"/>
      <c r="CN2" s="151"/>
      <c r="CO2" s="149"/>
      <c r="CP2" s="149"/>
      <c r="CQ2" s="149"/>
      <c r="CR2" s="151"/>
      <c r="CS2" s="151"/>
      <c r="CT2" s="151"/>
      <c r="CU2" s="149"/>
      <c r="CV2" s="149"/>
      <c r="CW2" s="149"/>
      <c r="CX2" s="149"/>
      <c r="CY2" s="149"/>
      <c r="CZ2" s="151"/>
      <c r="DA2" s="151"/>
      <c r="DB2" s="151"/>
      <c r="DC2" s="178"/>
      <c r="DD2" s="151" t="str">
        <f ca="1">IF(CELL("contenu",INDIRECT(ADDRESS(DD1,1,1,1,CELL("contenu",$B$2))))="","----",CELL("contenu",INDIRECT(ADDRESS(DD1,1,1,1,CELL("contenu",$B$2)))))</f>
        <v>BESSON Margaux</v>
      </c>
      <c r="DE2" s="149"/>
      <c r="DF2" s="149"/>
      <c r="DG2" s="151"/>
      <c r="DH2" s="151"/>
      <c r="DI2" s="151"/>
      <c r="DJ2" s="149"/>
      <c r="DK2" s="149"/>
      <c r="DL2" s="149"/>
      <c r="DM2" s="151"/>
      <c r="DN2" s="151"/>
      <c r="DO2" s="151"/>
      <c r="DP2" s="149"/>
      <c r="DQ2" s="149"/>
      <c r="DR2" s="149"/>
      <c r="DS2" s="149"/>
      <c r="DT2" s="149"/>
      <c r="DU2" s="151"/>
      <c r="DV2" s="151"/>
      <c r="DW2" s="151"/>
      <c r="DX2" s="178"/>
      <c r="DY2" s="151" t="str">
        <f ca="1">IF(CELL("contenu",INDIRECT(ADDRESS(DY1,1,1,1,CELL("contenu",$B$2))))="","----",CELL("contenu",INDIRECT(ADDRESS(DY1,1,1,1,CELL("contenu",$B$2)))))</f>
        <v>BOULESTREAU Paul</v>
      </c>
      <c r="DZ2" s="149"/>
      <c r="EA2" s="149"/>
      <c r="EB2" s="151"/>
      <c r="EC2" s="151"/>
      <c r="ED2" s="151"/>
      <c r="EE2" s="149"/>
      <c r="EF2" s="149"/>
      <c r="EG2" s="149"/>
      <c r="EH2" s="151"/>
      <c r="EI2" s="151"/>
      <c r="EJ2" s="151"/>
      <c r="EK2" s="149"/>
      <c r="EL2" s="149"/>
      <c r="EM2" s="149"/>
      <c r="EN2" s="149"/>
      <c r="EO2" s="149"/>
      <c r="EP2" s="151"/>
      <c r="EQ2" s="151"/>
      <c r="ER2" s="151"/>
      <c r="ES2" s="178"/>
      <c r="ET2" s="151" t="str">
        <f ca="1">IF(CELL("contenu",INDIRECT(ADDRESS(ET1,1,1,1,CELL("contenu",$B$2))))="","----",CELL("contenu",INDIRECT(ADDRESS(ET1,1,1,1,CELL("contenu",$B$2)))))</f>
        <v>BREDIN Carl</v>
      </c>
      <c r="EU2" s="149"/>
      <c r="EV2" s="149"/>
      <c r="EW2" s="151"/>
      <c r="EX2" s="151"/>
      <c r="EY2" s="151"/>
      <c r="EZ2" s="149"/>
      <c r="FA2" s="149"/>
      <c r="FB2" s="149"/>
      <c r="FC2" s="151"/>
      <c r="FD2" s="151"/>
      <c r="FE2" s="151"/>
      <c r="FF2" s="149"/>
      <c r="FG2" s="149"/>
      <c r="FH2" s="149"/>
      <c r="FI2" s="149"/>
      <c r="FJ2" s="149"/>
      <c r="FK2" s="151"/>
      <c r="FL2" s="151"/>
      <c r="FM2" s="151"/>
      <c r="FN2" s="178"/>
      <c r="FO2" s="151" t="str">
        <f ca="1">IF(CELL("contenu",INDIRECT(ADDRESS(FO1,1,1,1,CELL("contenu",$B$2))))="","----",CELL("contenu",INDIRECT(ADDRESS(FO1,1,1,1,CELL("contenu",$B$2)))))</f>
        <v>DAUCHEL Eve</v>
      </c>
      <c r="FP2" s="149"/>
      <c r="FQ2" s="149"/>
      <c r="FR2" s="151"/>
      <c r="FS2" s="151"/>
      <c r="FT2" s="151"/>
      <c r="FU2" s="149"/>
      <c r="FV2" s="149"/>
      <c r="FW2" s="149"/>
      <c r="FX2" s="151"/>
      <c r="FY2" s="151"/>
      <c r="FZ2" s="151"/>
      <c r="GA2" s="149"/>
      <c r="GB2" s="149"/>
      <c r="GC2" s="149"/>
      <c r="GD2" s="149"/>
      <c r="GE2" s="149"/>
      <c r="GF2" s="151"/>
      <c r="GG2" s="151"/>
      <c r="GH2" s="151"/>
      <c r="GI2" s="178"/>
      <c r="GJ2" s="151" t="str">
        <f ca="1">IF(CELL("contenu",INDIRECT(ADDRESS(GJ1,1,1,1,CELL("contenu",$B$2))))="","----",CELL("contenu",INDIRECT(ADDRESS(GJ1,1,1,1,CELL("contenu",$B$2)))))</f>
        <v>DE FRANCE Malo</v>
      </c>
      <c r="GK2" s="149"/>
      <c r="GL2" s="149"/>
      <c r="GM2" s="151"/>
      <c r="GN2" s="151"/>
      <c r="GO2" s="151"/>
      <c r="GP2" s="149"/>
      <c r="GQ2" s="149"/>
      <c r="GR2" s="149"/>
      <c r="GS2" s="151"/>
      <c r="GT2" s="151"/>
      <c r="GU2" s="151"/>
      <c r="GV2" s="149"/>
      <c r="GW2" s="149"/>
      <c r="GX2" s="149"/>
      <c r="GY2" s="149"/>
      <c r="GZ2" s="149"/>
      <c r="HA2" s="151"/>
      <c r="HB2" s="151"/>
      <c r="HC2" s="151"/>
      <c r="HD2" s="178"/>
      <c r="HE2" s="151" t="str">
        <f ca="1">IF(CELL("contenu",INDIRECT(ADDRESS(HE1,1,1,1,CELL("contenu",$B$2))))="","----",CELL("contenu",INDIRECT(ADDRESS(HE1,1,1,1,CELL("contenu",$B$2)))))</f>
        <v>DESECOT Marie-Domitille</v>
      </c>
      <c r="HF2" s="149"/>
      <c r="HG2" s="149"/>
      <c r="HH2" s="151"/>
      <c r="HI2" s="151"/>
      <c r="HJ2" s="151"/>
      <c r="HK2" s="149"/>
      <c r="HL2" s="149"/>
      <c r="HM2" s="149"/>
      <c r="HN2" s="151"/>
      <c r="HO2" s="151"/>
      <c r="HP2" s="151"/>
      <c r="HQ2" s="149"/>
      <c r="HR2" s="149"/>
      <c r="HS2" s="149"/>
      <c r="HT2" s="149"/>
      <c r="HU2" s="149"/>
      <c r="HV2" s="151"/>
      <c r="HW2" s="151"/>
      <c r="HX2" s="151"/>
      <c r="HY2" s="178"/>
      <c r="HZ2" s="151" t="str">
        <f ca="1">IF(CELL("contenu",INDIRECT(ADDRESS(HZ1,1,1,1,CELL("contenu",$B$2))))="","----",CELL("contenu",INDIRECT(ADDRESS(HZ1,1,1,1,CELL("contenu",$B$2)))))</f>
        <v>GAUTIER-BRANDICOURT Barthelemy</v>
      </c>
      <c r="IA2" s="149"/>
      <c r="IB2" s="149"/>
      <c r="IC2" s="151"/>
      <c r="ID2" s="151"/>
      <c r="IE2" s="151"/>
      <c r="IF2" s="149"/>
      <c r="IG2" s="149"/>
      <c r="IH2" s="149"/>
      <c r="II2" s="151"/>
      <c r="IJ2" s="151"/>
      <c r="IK2" s="151"/>
      <c r="IL2" s="149"/>
      <c r="IM2" s="149"/>
      <c r="IN2" s="149"/>
      <c r="IO2" s="149"/>
      <c r="IP2" s="149"/>
      <c r="IQ2" s="151"/>
      <c r="IR2" s="151"/>
      <c r="IS2" s="151"/>
      <c r="IT2" s="178"/>
      <c r="IU2" s="151" t="str">
        <f ca="1">IF(CELL("contenu",INDIRECT(ADDRESS(IU1,1,1,1,CELL("contenu",$B$2))))="","----",CELL("contenu",INDIRECT(ADDRESS(IU1,1,1,1,CELL("contenu",$B$2)))))</f>
        <v>GIBIER Louise</v>
      </c>
      <c r="IV2" s="149"/>
      <c r="IW2" s="149"/>
      <c r="IX2" s="151"/>
      <c r="IY2" s="151"/>
      <c r="IZ2" s="151"/>
      <c r="JA2" s="149"/>
      <c r="JB2" s="149"/>
      <c r="JC2" s="149"/>
      <c r="JD2" s="151"/>
      <c r="JE2" s="151"/>
      <c r="JF2" s="151"/>
      <c r="JG2" s="149"/>
      <c r="JH2" s="149"/>
      <c r="JI2" s="149"/>
      <c r="JJ2" s="149"/>
      <c r="JK2" s="149"/>
      <c r="JL2" s="151"/>
      <c r="JM2" s="151"/>
      <c r="JN2" s="151"/>
      <c r="JO2" s="178"/>
      <c r="JP2" s="151" t="str">
        <f ca="1">IF(CELL("contenu",INDIRECT(ADDRESS(JP1,1,1,1,CELL("contenu",$B$2))))="","----",CELL("contenu",INDIRECT(ADDRESS(JP1,1,1,1,CELL("contenu",$B$2)))))</f>
        <v>GUILLAUD-VALLEE Jeanne</v>
      </c>
      <c r="JQ2" s="149"/>
      <c r="JR2" s="149"/>
      <c r="JS2" s="151"/>
      <c r="JT2" s="151"/>
      <c r="JU2" s="151"/>
      <c r="JV2" s="149"/>
      <c r="JW2" s="149"/>
      <c r="JX2" s="149"/>
      <c r="JY2" s="151"/>
      <c r="JZ2" s="151"/>
      <c r="KA2" s="151"/>
      <c r="KB2" s="149"/>
      <c r="KC2" s="149"/>
      <c r="KD2" s="149"/>
      <c r="KE2" s="149"/>
      <c r="KF2" s="149"/>
      <c r="KG2" s="151"/>
      <c r="KH2" s="151"/>
      <c r="KI2" s="151"/>
      <c r="KJ2" s="178"/>
      <c r="KK2" s="151" t="str">
        <f ca="1">IF(CELL("contenu",INDIRECT(ADDRESS(KK1,1,1,1,CELL("contenu",$B$2))))="","----",CELL("contenu",INDIRECT(ADDRESS(KK1,1,1,1,CELL("contenu",$B$2)))))</f>
        <v>HOURI Alexane</v>
      </c>
      <c r="KL2" s="149"/>
      <c r="KM2" s="149"/>
      <c r="KN2" s="151"/>
      <c r="KO2" s="151"/>
      <c r="KP2" s="151"/>
      <c r="KQ2" s="149"/>
      <c r="KR2" s="149"/>
      <c r="KS2" s="149"/>
      <c r="KT2" s="151"/>
      <c r="KU2" s="151"/>
      <c r="KV2" s="151"/>
      <c r="KW2" s="149"/>
      <c r="KX2" s="149"/>
      <c r="KY2" s="149"/>
      <c r="KZ2" s="149"/>
      <c r="LA2" s="149"/>
      <c r="LB2" s="151"/>
      <c r="LC2" s="151"/>
      <c r="LD2" s="151"/>
      <c r="LE2" s="178"/>
      <c r="LF2" s="151" t="str">
        <f ca="1">IF(CELL("contenu",INDIRECT(ADDRESS(LF1,1,1,1,CELL("contenu",$B$2))))="","----",CELL("contenu",INDIRECT(ADDRESS(LF1,1,1,1,CELL("contenu",$B$2)))))</f>
        <v>IMHOFF Logan</v>
      </c>
      <c r="LG2" s="149"/>
      <c r="LH2" s="149"/>
      <c r="LI2" s="151"/>
      <c r="LJ2" s="151"/>
      <c r="LK2" s="151"/>
      <c r="LL2" s="149"/>
      <c r="LM2" s="149"/>
      <c r="LN2" s="149"/>
      <c r="LO2" s="151"/>
      <c r="LP2" s="151"/>
      <c r="LQ2" s="151"/>
      <c r="LR2" s="149"/>
      <c r="LS2" s="149"/>
      <c r="LT2" s="149"/>
      <c r="LU2" s="149"/>
      <c r="LV2" s="149"/>
      <c r="LW2" s="151"/>
      <c r="LX2" s="151"/>
      <c r="LY2" s="151"/>
      <c r="LZ2" s="178"/>
      <c r="MA2" s="151" t="str">
        <f ca="1">IF(CELL("contenu",INDIRECT(ADDRESS(MA1,1,1,1,CELL("contenu",$B$2))))="","----",CELL("contenu",INDIRECT(ADDRESS(MA1,1,1,1,CELL("contenu",$B$2)))))</f>
        <v>JASNIN Violaine</v>
      </c>
      <c r="MB2" s="149"/>
      <c r="MC2" s="149"/>
      <c r="MD2" s="151"/>
      <c r="ME2" s="151"/>
      <c r="MF2" s="151"/>
      <c r="MG2" s="149"/>
      <c r="MH2" s="149"/>
      <c r="MI2" s="149"/>
      <c r="MJ2" s="151"/>
      <c r="MK2" s="151"/>
      <c r="ML2" s="151"/>
      <c r="MM2" s="149"/>
      <c r="MN2" s="149"/>
      <c r="MO2" s="149"/>
      <c r="MP2" s="149"/>
      <c r="MQ2" s="149"/>
      <c r="MR2" s="151"/>
      <c r="MS2" s="151"/>
      <c r="MT2" s="151"/>
      <c r="MU2" s="178"/>
      <c r="MV2" s="151" t="str">
        <f ca="1">IF(CELL("contenu",INDIRECT(ADDRESS(MV1,1,1,1,CELL("contenu",$B$2))))="","----",CELL("contenu",INDIRECT(ADDRESS(MV1,1,1,1,CELL("contenu",$B$2)))))</f>
        <v>LE BOULAIRE Maelys</v>
      </c>
      <c r="MW2" s="149"/>
      <c r="MX2" s="149"/>
      <c r="MY2" s="151"/>
      <c r="MZ2" s="151"/>
      <c r="NA2" s="151"/>
      <c r="NB2" s="149"/>
      <c r="NC2" s="149"/>
      <c r="ND2" s="149"/>
      <c r="NE2" s="151"/>
      <c r="NF2" s="151"/>
      <c r="NG2" s="151"/>
      <c r="NH2" s="149"/>
      <c r="NI2" s="149"/>
      <c r="NJ2" s="149"/>
      <c r="NK2" s="149"/>
      <c r="NL2" s="149"/>
      <c r="NM2" s="151"/>
      <c r="NN2" s="151"/>
      <c r="NO2" s="151"/>
      <c r="NP2" s="178"/>
      <c r="NQ2" s="151" t="str">
        <f ca="1">IF(CELL("contenu",INDIRECT(ADDRESS(NQ1,1,1,1,CELL("contenu",$B$2))))="","----",CELL("contenu",INDIRECT(ADDRESS(NQ1,1,1,1,CELL("contenu",$B$2)))))</f>
        <v>LOMANTO Roxane</v>
      </c>
      <c r="NR2" s="149"/>
      <c r="NS2" s="149"/>
      <c r="NT2" s="151"/>
      <c r="NU2" s="151"/>
      <c r="NV2" s="151"/>
      <c r="NW2" s="149"/>
      <c r="NX2" s="149"/>
      <c r="NY2" s="149"/>
      <c r="NZ2" s="151"/>
      <c r="OA2" s="151"/>
      <c r="OB2" s="151"/>
      <c r="OC2" s="149"/>
      <c r="OD2" s="149"/>
      <c r="OE2" s="149"/>
      <c r="OF2" s="149"/>
      <c r="OG2" s="149"/>
      <c r="OH2" s="151"/>
      <c r="OI2" s="151"/>
      <c r="OJ2" s="151"/>
      <c r="OK2" s="178"/>
      <c r="OL2" s="151" t="str">
        <f ca="1">IF(CELL("contenu",INDIRECT(ADDRESS(OL1,1,1,1,CELL("contenu",$B$2))))="","----",CELL("contenu",INDIRECT(ADDRESS(OL1,1,1,1,CELL("contenu",$B$2)))))</f>
        <v>MANZANARES Hugo</v>
      </c>
      <c r="OM2" s="149"/>
      <c r="ON2" s="149"/>
      <c r="OO2" s="151"/>
      <c r="OP2" s="151"/>
      <c r="OQ2" s="151"/>
      <c r="OR2" s="149"/>
      <c r="OS2" s="149"/>
      <c r="OT2" s="149"/>
      <c r="OU2" s="151"/>
      <c r="OV2" s="151"/>
      <c r="OW2" s="151"/>
      <c r="OX2" s="149"/>
      <c r="OY2" s="149"/>
      <c r="OZ2" s="149"/>
      <c r="PA2" s="149"/>
      <c r="PB2" s="149"/>
      <c r="PC2" s="151"/>
      <c r="PD2" s="151"/>
      <c r="PE2" s="151"/>
      <c r="PF2" s="178"/>
      <c r="PG2" s="151" t="str">
        <f ca="1">IF(CELL("contenu",INDIRECT(ADDRESS(PG1,1,1,1,CELL("contenu",$B$2))))="","----",CELL("contenu",INDIRECT(ADDRESS(PG1,1,1,1,CELL("contenu",$B$2)))))</f>
        <v>MOQUET Morgane</v>
      </c>
      <c r="PH2" s="149"/>
      <c r="PI2" s="149"/>
      <c r="PJ2" s="151"/>
      <c r="PK2" s="151"/>
      <c r="PL2" s="151"/>
      <c r="PM2" s="149"/>
      <c r="PN2" s="149"/>
      <c r="PO2" s="149"/>
      <c r="PP2" s="151"/>
      <c r="PQ2" s="151"/>
      <c r="PR2" s="151"/>
      <c r="PS2" s="149"/>
      <c r="PT2" s="149"/>
      <c r="PU2" s="149"/>
      <c r="PV2" s="149"/>
      <c r="PW2" s="149"/>
      <c r="PX2" s="151"/>
      <c r="PY2" s="151"/>
      <c r="PZ2" s="151"/>
      <c r="QA2" s="178"/>
      <c r="QB2" s="151" t="str">
        <f ca="1">IF(CELL("contenu",INDIRECT(ADDRESS(QB1,1,1,1,CELL("contenu",$B$2))))="","----",CELL("contenu",INDIRECT(ADDRESS(QB1,1,1,1,CELL("contenu",$B$2)))))</f>
        <v>NOSMAS Charlotte</v>
      </c>
      <c r="QC2" s="149"/>
      <c r="QD2" s="149"/>
      <c r="QE2" s="151"/>
      <c r="QF2" s="151"/>
      <c r="QG2" s="151"/>
      <c r="QH2" s="149"/>
      <c r="QI2" s="149"/>
      <c r="QJ2" s="149"/>
      <c r="QK2" s="151"/>
      <c r="QL2" s="151"/>
      <c r="QM2" s="151"/>
      <c r="QN2" s="149"/>
      <c r="QO2" s="149"/>
      <c r="QP2" s="149"/>
      <c r="QQ2" s="149"/>
      <c r="QR2" s="149"/>
      <c r="QS2" s="151"/>
      <c r="QT2" s="151"/>
      <c r="QU2" s="151"/>
      <c r="QV2" s="178"/>
      <c r="QW2" s="151" t="str">
        <f ca="1">IF(CELL("contenu",INDIRECT(ADDRESS(QW1,1,1,1,CELL("contenu",$B$2))))="","----",CELL("contenu",INDIRECT(ADDRESS(QW1,1,1,1,CELL("contenu",$B$2)))))</f>
        <v>REYNAUD Marie- Xavie</v>
      </c>
      <c r="QX2" s="149"/>
      <c r="QY2" s="149"/>
      <c r="QZ2" s="151"/>
      <c r="RA2" s="151"/>
      <c r="RB2" s="151"/>
      <c r="RC2" s="149"/>
      <c r="RD2" s="149"/>
      <c r="RE2" s="149"/>
      <c r="RF2" s="151"/>
      <c r="RG2" s="151"/>
      <c r="RH2" s="151"/>
      <c r="RI2" s="149"/>
      <c r="RJ2" s="149"/>
      <c r="RK2" s="149"/>
      <c r="RL2" s="149"/>
      <c r="RM2" s="149"/>
      <c r="RN2" s="151"/>
      <c r="RO2" s="151"/>
      <c r="RP2" s="151"/>
      <c r="RQ2" s="178"/>
      <c r="RR2" s="151" t="str">
        <f ca="1">IF(CELL("contenu",INDIRECT(ADDRESS(RR1,1,1,1,CELL("contenu",$B$2))))="","----",CELL("contenu",INDIRECT(ADDRESS(RR1,1,1,1,CELL("contenu",$B$2)))))</f>
        <v>SECHET Henri</v>
      </c>
      <c r="RS2" s="149"/>
      <c r="RT2" s="149"/>
      <c r="RU2" s="151"/>
      <c r="RV2" s="151"/>
      <c r="RW2" s="151"/>
      <c r="RX2" s="149"/>
      <c r="RY2" s="149"/>
      <c r="RZ2" s="149"/>
      <c r="SA2" s="151"/>
      <c r="SB2" s="151"/>
      <c r="SC2" s="151"/>
      <c r="SD2" s="149"/>
      <c r="SE2" s="149"/>
      <c r="SF2" s="149"/>
      <c r="SG2" s="149"/>
      <c r="SH2" s="149"/>
      <c r="SI2" s="151"/>
      <c r="SJ2" s="151"/>
      <c r="SK2" s="151"/>
      <c r="SL2" s="178"/>
      <c r="SM2" s="151" t="str">
        <f ca="1">IF(CELL("contenu",INDIRECT(ADDRESS(SM1,1,1,1,CELL("contenu",$B$2))))="","----",CELL("contenu",INDIRECT(ADDRESS(SM1,1,1,1,CELL("contenu",$B$2)))))</f>
        <v>VRAIN Marie-Alix</v>
      </c>
      <c r="SN2" s="149"/>
      <c r="SO2" s="149"/>
      <c r="SP2" s="151"/>
      <c r="SQ2" s="151"/>
      <c r="SR2" s="151"/>
      <c r="SS2" s="149"/>
      <c r="ST2" s="149"/>
      <c r="SU2" s="149"/>
      <c r="SV2" s="151"/>
      <c r="SW2" s="151"/>
      <c r="SX2" s="151"/>
      <c r="SY2" s="149"/>
      <c r="SZ2" s="149"/>
      <c r="TA2" s="149"/>
      <c r="TB2" s="149"/>
      <c r="TC2" s="149"/>
      <c r="TD2" s="151"/>
      <c r="TE2" s="151"/>
      <c r="TF2" s="151"/>
      <c r="TG2" s="178"/>
      <c r="TH2" s="151" t="str">
        <f ca="1">IF(CELL("contenu",INDIRECT(ADDRESS(TH1,1,1,1,CELL("contenu",$B$2))))="","----",CELL("contenu",INDIRECT(ADDRESS(TH1,1,1,1,CELL("contenu",$B$2)))))</f>
        <v>WENZEL Thomas</v>
      </c>
      <c r="TI2" s="149"/>
      <c r="TJ2" s="149"/>
      <c r="TK2" s="151"/>
      <c r="TL2" s="151"/>
      <c r="TM2" s="151"/>
      <c r="TN2" s="149"/>
      <c r="TO2" s="149"/>
      <c r="TP2" s="149"/>
      <c r="TQ2" s="151"/>
      <c r="TR2" s="151"/>
      <c r="TS2" s="151"/>
      <c r="TT2" s="149"/>
      <c r="TU2" s="149"/>
      <c r="TV2" s="149"/>
      <c r="TW2" s="149"/>
      <c r="TX2" s="149"/>
      <c r="TY2" s="151"/>
      <c r="TZ2" s="151"/>
      <c r="UA2" s="151"/>
      <c r="UB2" s="178"/>
      <c r="UC2" s="65" t="str">
        <f ca="1">IF(CELL("contenu",INDIRECT(ADDRESS(UC1,1,1,1,CELL("contenu",$B$2))))="","----",CELL("contenu",INDIRECT(ADDRESS(UC1,1,1,1,CELL("contenu",$B$2)))))</f>
        <v>----</v>
      </c>
      <c r="UD2" s="65"/>
      <c r="UE2" s="65"/>
      <c r="UF2" s="65"/>
      <c r="UG2" s="65"/>
      <c r="UH2" s="65"/>
      <c r="UI2" s="65"/>
      <c r="UJ2" s="65"/>
      <c r="UK2" s="65"/>
      <c r="UL2" s="65"/>
      <c r="UM2" s="65"/>
      <c r="UN2" s="65"/>
      <c r="UO2" s="65"/>
      <c r="UP2" s="65"/>
      <c r="UQ2" s="65"/>
      <c r="UR2" s="65"/>
      <c r="US2" s="66"/>
      <c r="UT2" s="65" t="str">
        <f ca="1">IF(CELL("contenu",INDIRECT(ADDRESS(UT1,1,1,1,CELL("contenu",$B$2))))="","----",CELL("contenu",INDIRECT(ADDRESS(UT1,1,1,1,CELL("contenu",$B$2)))))</f>
        <v>----</v>
      </c>
      <c r="UU2" s="65"/>
      <c r="UV2" s="65"/>
      <c r="UW2" s="65"/>
      <c r="UX2" s="65"/>
      <c r="UY2" s="65"/>
      <c r="UZ2" s="65"/>
      <c r="VA2" s="65"/>
      <c r="VB2" s="65"/>
      <c r="VC2" s="65"/>
      <c r="VD2" s="65"/>
      <c r="VE2" s="65"/>
      <c r="VF2" s="65"/>
      <c r="VG2" s="65"/>
      <c r="VH2" s="65"/>
      <c r="VI2" s="65"/>
      <c r="VJ2" s="66"/>
      <c r="VK2" s="65" t="str">
        <f ca="1">IF(CELL("contenu",INDIRECT(ADDRESS(VK1,1,1,1,CELL("contenu",$B$2))))="","----",CELL("contenu",INDIRECT(ADDRESS(VK1,1,1,1,CELL("contenu",$B$2)))))</f>
        <v>----</v>
      </c>
      <c r="VL2" s="65"/>
      <c r="VM2" s="65"/>
      <c r="VN2" s="65"/>
      <c r="VO2" s="65"/>
      <c r="VP2" s="65"/>
      <c r="VQ2" s="65"/>
      <c r="VR2" s="65"/>
      <c r="VS2" s="65"/>
      <c r="VT2" s="65"/>
      <c r="VU2" s="65"/>
      <c r="VV2" s="65"/>
      <c r="VW2" s="65"/>
      <c r="VX2" s="65"/>
      <c r="VY2" s="65"/>
      <c r="VZ2" s="65"/>
      <c r="WA2" s="66"/>
      <c r="WB2" s="65" t="str">
        <f ca="1">IF(CELL("contenu",INDIRECT(ADDRESS(WB1,1,1,1,CELL("contenu",$B$2))))="","----",CELL("contenu",INDIRECT(ADDRESS(WB1,1,1,1,CELL("contenu",$B$2)))))</f>
        <v>----</v>
      </c>
      <c r="WC2" s="65"/>
      <c r="WD2" s="65"/>
      <c r="WE2" s="65"/>
      <c r="WF2" s="65"/>
      <c r="WG2" s="65"/>
      <c r="WH2" s="65"/>
      <c r="WI2" s="65"/>
      <c r="WJ2" s="65"/>
      <c r="WK2" s="65"/>
      <c r="WL2" s="65"/>
      <c r="WM2" s="65"/>
      <c r="WN2" s="65"/>
      <c r="WO2" s="65"/>
      <c r="WP2" s="65"/>
      <c r="WQ2" s="65"/>
      <c r="WR2" s="66"/>
    </row>
    <row r="3" spans="1:616" ht="60" customHeight="1" thickBot="1" x14ac:dyDescent="0.6">
      <c r="A3" s="142"/>
      <c r="B3" s="143" t="s">
        <v>34</v>
      </c>
      <c r="C3" s="67" t="s">
        <v>198</v>
      </c>
      <c r="D3" s="68" t="s">
        <v>199</v>
      </c>
      <c r="E3" s="69"/>
      <c r="F3" s="157" t="s">
        <v>7</v>
      </c>
      <c r="G3" s="158"/>
      <c r="H3" s="67" t="s">
        <v>202</v>
      </c>
      <c r="I3" s="72"/>
      <c r="J3" s="69"/>
      <c r="K3" s="69"/>
      <c r="L3" s="173" t="s">
        <v>8</v>
      </c>
      <c r="M3" s="174"/>
      <c r="N3" s="67" t="s">
        <v>203</v>
      </c>
      <c r="O3" s="72" t="s">
        <v>204</v>
      </c>
      <c r="P3" s="69" t="s">
        <v>205</v>
      </c>
      <c r="Q3" s="69" t="s">
        <v>208</v>
      </c>
      <c r="R3" s="69" t="s">
        <v>207</v>
      </c>
      <c r="S3" s="69"/>
      <c r="T3" s="179" t="s">
        <v>9</v>
      </c>
      <c r="U3" s="180"/>
      <c r="V3" s="181" t="s">
        <v>10</v>
      </c>
      <c r="W3" s="182"/>
      <c r="X3" s="79" t="str">
        <f>IF(C3="","",C3)</f>
        <v>Frisde atome</v>
      </c>
      <c r="Y3" s="80" t="str">
        <f>IF(D3="","",D3)</f>
        <v>Evaluation CH1 CH2</v>
      </c>
      <c r="Z3" s="81" t="str">
        <f>IF(E3="","",E3)</f>
        <v/>
      </c>
      <c r="AA3" s="157" t="s">
        <v>7</v>
      </c>
      <c r="AB3" s="158"/>
      <c r="AC3" s="82" t="str">
        <f>IF(H3="","",H3)</f>
        <v>Fiche O1/1</v>
      </c>
      <c r="AD3" s="80" t="str">
        <f>IF(I3="","",I3)</f>
        <v/>
      </c>
      <c r="AE3" s="200" t="str">
        <f>IF(J3="","",J3)</f>
        <v/>
      </c>
      <c r="AF3" s="81" t="str">
        <f>IF(K3="","",K3)</f>
        <v/>
      </c>
      <c r="AG3" s="173" t="s">
        <v>8</v>
      </c>
      <c r="AH3" s="174"/>
      <c r="AI3" s="82" t="str">
        <f t="shared" ref="AI3:AN3" si="0">IF(N3="","",N3)</f>
        <v>Fiche O2/3</v>
      </c>
      <c r="AJ3" s="80" t="str">
        <f t="shared" si="0"/>
        <v>EC</v>
      </c>
      <c r="AK3" s="200" t="str">
        <f t="shared" si="0"/>
        <v>Fiche CH3/3</v>
      </c>
      <c r="AL3" s="200" t="str">
        <f t="shared" si="0"/>
        <v>Fiche CH4/4</v>
      </c>
      <c r="AM3" s="200" t="str">
        <f t="shared" si="0"/>
        <v>EPI</v>
      </c>
      <c r="AN3" s="81" t="str">
        <f t="shared" si="0"/>
        <v/>
      </c>
      <c r="AO3" s="179" t="s">
        <v>9</v>
      </c>
      <c r="AP3" s="180"/>
      <c r="AQ3" s="181" t="s">
        <v>10</v>
      </c>
      <c r="AR3" s="182"/>
      <c r="AS3" s="79" t="str">
        <f>IF(X3="","",X3)</f>
        <v>Frisde atome</v>
      </c>
      <c r="AT3" s="80" t="str">
        <f>IF(Y3="","",Y3)</f>
        <v>Evaluation CH1 CH2</v>
      </c>
      <c r="AU3" s="81" t="str">
        <f>IF(Z3="","",Z3)</f>
        <v/>
      </c>
      <c r="AV3" s="157" t="s">
        <v>7</v>
      </c>
      <c r="AW3" s="158"/>
      <c r="AX3" s="82" t="str">
        <f>IF(AC3="","",AC3)</f>
        <v>Fiche O1/1</v>
      </c>
      <c r="AY3" s="80" t="str">
        <f>IF(AD3="","",AD3)</f>
        <v/>
      </c>
      <c r="AZ3" s="200" t="str">
        <f>IF(AE3="","",AE3)</f>
        <v/>
      </c>
      <c r="BA3" s="81" t="str">
        <f>IF(AF3="","",AF3)</f>
        <v/>
      </c>
      <c r="BB3" s="173" t="s">
        <v>8</v>
      </c>
      <c r="BC3" s="174"/>
      <c r="BD3" s="82" t="str">
        <f t="shared" ref="BD3:BI3" si="1">IF(AI3="","",AI3)</f>
        <v>Fiche O2/3</v>
      </c>
      <c r="BE3" s="80" t="str">
        <f t="shared" si="1"/>
        <v>EC</v>
      </c>
      <c r="BF3" s="200" t="str">
        <f t="shared" si="1"/>
        <v>Fiche CH3/3</v>
      </c>
      <c r="BG3" s="200" t="str">
        <f t="shared" si="1"/>
        <v>Fiche CH4/4</v>
      </c>
      <c r="BH3" s="200" t="str">
        <f t="shared" si="1"/>
        <v>EPI</v>
      </c>
      <c r="BI3" s="81" t="str">
        <f t="shared" si="1"/>
        <v/>
      </c>
      <c r="BJ3" s="179" t="s">
        <v>9</v>
      </c>
      <c r="BK3" s="180"/>
      <c r="BL3" s="181" t="s">
        <v>10</v>
      </c>
      <c r="BM3" s="182"/>
      <c r="BN3" s="79" t="str">
        <f>IF(AS3="","",AS3)</f>
        <v>Frisde atome</v>
      </c>
      <c r="BO3" s="80" t="str">
        <f>IF(AT3="","",AT3)</f>
        <v>Evaluation CH1 CH2</v>
      </c>
      <c r="BP3" s="81" t="str">
        <f>IF(AU3="","",AU3)</f>
        <v/>
      </c>
      <c r="BQ3" s="157" t="s">
        <v>7</v>
      </c>
      <c r="BR3" s="158"/>
      <c r="BS3" s="82" t="str">
        <f>IF(AX3="","",AX3)</f>
        <v>Fiche O1/1</v>
      </c>
      <c r="BT3" s="80" t="str">
        <f>IF(AY3="","",AY3)</f>
        <v/>
      </c>
      <c r="BU3" s="200" t="str">
        <f>IF(AZ3="","",AZ3)</f>
        <v/>
      </c>
      <c r="BV3" s="81" t="str">
        <f>IF(BA3="","",BA3)</f>
        <v/>
      </c>
      <c r="BW3" s="173" t="s">
        <v>8</v>
      </c>
      <c r="BX3" s="174"/>
      <c r="BY3" s="82" t="str">
        <f t="shared" ref="BY3:CD3" si="2">IF(BD3="","",BD3)</f>
        <v>Fiche O2/3</v>
      </c>
      <c r="BZ3" s="80" t="str">
        <f t="shared" si="2"/>
        <v>EC</v>
      </c>
      <c r="CA3" s="200" t="str">
        <f t="shared" si="2"/>
        <v>Fiche CH3/3</v>
      </c>
      <c r="CB3" s="200" t="str">
        <f t="shared" si="2"/>
        <v>Fiche CH4/4</v>
      </c>
      <c r="CC3" s="200" t="str">
        <f t="shared" si="2"/>
        <v>EPI</v>
      </c>
      <c r="CD3" s="81" t="str">
        <f t="shared" si="2"/>
        <v/>
      </c>
      <c r="CE3" s="179" t="s">
        <v>9</v>
      </c>
      <c r="CF3" s="180"/>
      <c r="CG3" s="181" t="s">
        <v>10</v>
      </c>
      <c r="CH3" s="182"/>
      <c r="CI3" s="79" t="str">
        <f>IF(BN3="","",BN3)</f>
        <v>Frisde atome</v>
      </c>
      <c r="CJ3" s="80" t="str">
        <f>IF(BO3="","",BO3)</f>
        <v>Evaluation CH1 CH2</v>
      </c>
      <c r="CK3" s="81" t="str">
        <f>IF(BP3="","",BP3)</f>
        <v/>
      </c>
      <c r="CL3" s="157" t="s">
        <v>7</v>
      </c>
      <c r="CM3" s="158"/>
      <c r="CN3" s="82" t="str">
        <f>IF(BS3="","",BS3)</f>
        <v>Fiche O1/1</v>
      </c>
      <c r="CO3" s="80" t="str">
        <f>IF(BT3="","",BT3)</f>
        <v/>
      </c>
      <c r="CP3" s="200" t="str">
        <f>IF(BU3="","",BU3)</f>
        <v/>
      </c>
      <c r="CQ3" s="81" t="str">
        <f>IF(BV3="","",BV3)</f>
        <v/>
      </c>
      <c r="CR3" s="173" t="s">
        <v>8</v>
      </c>
      <c r="CS3" s="174"/>
      <c r="CT3" s="82" t="str">
        <f t="shared" ref="CT3:CY3" si="3">IF(BY3="","",BY3)</f>
        <v>Fiche O2/3</v>
      </c>
      <c r="CU3" s="80" t="str">
        <f t="shared" si="3"/>
        <v>EC</v>
      </c>
      <c r="CV3" s="200" t="str">
        <f t="shared" si="3"/>
        <v>Fiche CH3/3</v>
      </c>
      <c r="CW3" s="200" t="str">
        <f t="shared" si="3"/>
        <v>Fiche CH4/4</v>
      </c>
      <c r="CX3" s="200" t="str">
        <f t="shared" si="3"/>
        <v>EPI</v>
      </c>
      <c r="CY3" s="81" t="str">
        <f t="shared" si="3"/>
        <v/>
      </c>
      <c r="CZ3" s="179" t="s">
        <v>9</v>
      </c>
      <c r="DA3" s="180"/>
      <c r="DB3" s="181" t="s">
        <v>10</v>
      </c>
      <c r="DC3" s="182"/>
      <c r="DD3" s="79" t="str">
        <f>IF(CI3="","",CI3)</f>
        <v>Frisde atome</v>
      </c>
      <c r="DE3" s="80" t="str">
        <f>IF(CJ3="","",CJ3)</f>
        <v>Evaluation CH1 CH2</v>
      </c>
      <c r="DF3" s="81" t="str">
        <f>IF(CK3="","",CK3)</f>
        <v/>
      </c>
      <c r="DG3" s="157" t="s">
        <v>7</v>
      </c>
      <c r="DH3" s="158"/>
      <c r="DI3" s="82" t="str">
        <f>IF(CN3="","",CN3)</f>
        <v>Fiche O1/1</v>
      </c>
      <c r="DJ3" s="80" t="str">
        <f>IF(CO3="","",CO3)</f>
        <v/>
      </c>
      <c r="DK3" s="200" t="str">
        <f>IF(CP3="","",CP3)</f>
        <v/>
      </c>
      <c r="DL3" s="81" t="str">
        <f>IF(CQ3="","",CQ3)</f>
        <v/>
      </c>
      <c r="DM3" s="173" t="s">
        <v>8</v>
      </c>
      <c r="DN3" s="174"/>
      <c r="DO3" s="82" t="str">
        <f t="shared" ref="DO3:DT3" si="4">IF(CT3="","",CT3)</f>
        <v>Fiche O2/3</v>
      </c>
      <c r="DP3" s="80" t="str">
        <f t="shared" si="4"/>
        <v>EC</v>
      </c>
      <c r="DQ3" s="200" t="str">
        <f t="shared" si="4"/>
        <v>Fiche CH3/3</v>
      </c>
      <c r="DR3" s="200" t="str">
        <f t="shared" si="4"/>
        <v>Fiche CH4/4</v>
      </c>
      <c r="DS3" s="200" t="str">
        <f t="shared" si="4"/>
        <v>EPI</v>
      </c>
      <c r="DT3" s="81" t="str">
        <f t="shared" si="4"/>
        <v/>
      </c>
      <c r="DU3" s="179" t="s">
        <v>9</v>
      </c>
      <c r="DV3" s="180"/>
      <c r="DW3" s="181" t="s">
        <v>10</v>
      </c>
      <c r="DX3" s="182"/>
      <c r="DY3" s="79" t="str">
        <f>IF(DD3="","",DD3)</f>
        <v>Frisde atome</v>
      </c>
      <c r="DZ3" s="80" t="str">
        <f>IF(DE3="","",DE3)</f>
        <v>Evaluation CH1 CH2</v>
      </c>
      <c r="EA3" s="81" t="str">
        <f>IF(DF3="","",DF3)</f>
        <v/>
      </c>
      <c r="EB3" s="157" t="s">
        <v>7</v>
      </c>
      <c r="EC3" s="158"/>
      <c r="ED3" s="82" t="str">
        <f>IF(DI3="","",DI3)</f>
        <v>Fiche O1/1</v>
      </c>
      <c r="EE3" s="80" t="str">
        <f>IF(DJ3="","",DJ3)</f>
        <v/>
      </c>
      <c r="EF3" s="200" t="str">
        <f>IF(DK3="","",DK3)</f>
        <v/>
      </c>
      <c r="EG3" s="81" t="str">
        <f>IF(DL3="","",DL3)</f>
        <v/>
      </c>
      <c r="EH3" s="173" t="s">
        <v>8</v>
      </c>
      <c r="EI3" s="174"/>
      <c r="EJ3" s="82" t="str">
        <f t="shared" ref="EJ3:EO3" si="5">IF(DO3="","",DO3)</f>
        <v>Fiche O2/3</v>
      </c>
      <c r="EK3" s="80" t="str">
        <f t="shared" si="5"/>
        <v>EC</v>
      </c>
      <c r="EL3" s="200" t="str">
        <f t="shared" si="5"/>
        <v>Fiche CH3/3</v>
      </c>
      <c r="EM3" s="200" t="str">
        <f t="shared" si="5"/>
        <v>Fiche CH4/4</v>
      </c>
      <c r="EN3" s="200" t="str">
        <f t="shared" si="5"/>
        <v>EPI</v>
      </c>
      <c r="EO3" s="81" t="str">
        <f t="shared" si="5"/>
        <v/>
      </c>
      <c r="EP3" s="179" t="s">
        <v>9</v>
      </c>
      <c r="EQ3" s="180"/>
      <c r="ER3" s="181" t="s">
        <v>10</v>
      </c>
      <c r="ES3" s="182"/>
      <c r="ET3" s="79" t="str">
        <f>IF(DY3="","",DY3)</f>
        <v>Frisde atome</v>
      </c>
      <c r="EU3" s="80" t="str">
        <f>IF(DZ3="","",DZ3)</f>
        <v>Evaluation CH1 CH2</v>
      </c>
      <c r="EV3" s="81" t="str">
        <f>IF(EA3="","",EA3)</f>
        <v/>
      </c>
      <c r="EW3" s="157" t="s">
        <v>7</v>
      </c>
      <c r="EX3" s="158"/>
      <c r="EY3" s="82" t="str">
        <f>IF(ED3="","",ED3)</f>
        <v>Fiche O1/1</v>
      </c>
      <c r="EZ3" s="80" t="str">
        <f>IF(EE3="","",EE3)</f>
        <v/>
      </c>
      <c r="FA3" s="200" t="str">
        <f>IF(EF3="","",EF3)</f>
        <v/>
      </c>
      <c r="FB3" s="81" t="str">
        <f>IF(EG3="","",EG3)</f>
        <v/>
      </c>
      <c r="FC3" s="173" t="s">
        <v>8</v>
      </c>
      <c r="FD3" s="174"/>
      <c r="FE3" s="82" t="str">
        <f t="shared" ref="FE3:FJ3" si="6">IF(EJ3="","",EJ3)</f>
        <v>Fiche O2/3</v>
      </c>
      <c r="FF3" s="80" t="str">
        <f t="shared" si="6"/>
        <v>EC</v>
      </c>
      <c r="FG3" s="200" t="str">
        <f t="shared" si="6"/>
        <v>Fiche CH3/3</v>
      </c>
      <c r="FH3" s="200" t="str">
        <f t="shared" si="6"/>
        <v>Fiche CH4/4</v>
      </c>
      <c r="FI3" s="200" t="str">
        <f t="shared" si="6"/>
        <v>EPI</v>
      </c>
      <c r="FJ3" s="81" t="str">
        <f t="shared" si="6"/>
        <v/>
      </c>
      <c r="FK3" s="179" t="s">
        <v>9</v>
      </c>
      <c r="FL3" s="180"/>
      <c r="FM3" s="181" t="s">
        <v>10</v>
      </c>
      <c r="FN3" s="182"/>
      <c r="FO3" s="79" t="str">
        <f>IF(ET3="","",ET3)</f>
        <v>Frisde atome</v>
      </c>
      <c r="FP3" s="80" t="str">
        <f>IF(EU3="","",EU3)</f>
        <v>Evaluation CH1 CH2</v>
      </c>
      <c r="FQ3" s="81" t="str">
        <f>IF(EV3="","",EV3)</f>
        <v/>
      </c>
      <c r="FR3" s="157" t="s">
        <v>7</v>
      </c>
      <c r="FS3" s="158"/>
      <c r="FT3" s="82" t="str">
        <f>IF(EY3="","",EY3)</f>
        <v>Fiche O1/1</v>
      </c>
      <c r="FU3" s="80" t="str">
        <f>IF(EZ3="","",EZ3)</f>
        <v/>
      </c>
      <c r="FV3" s="200" t="str">
        <f>IF(FA3="","",FA3)</f>
        <v/>
      </c>
      <c r="FW3" s="81" t="str">
        <f>IF(FB3="","",FB3)</f>
        <v/>
      </c>
      <c r="FX3" s="173" t="s">
        <v>8</v>
      </c>
      <c r="FY3" s="174"/>
      <c r="FZ3" s="82" t="str">
        <f t="shared" ref="FZ3:GE3" si="7">IF(FE3="","",FE3)</f>
        <v>Fiche O2/3</v>
      </c>
      <c r="GA3" s="80" t="str">
        <f t="shared" si="7"/>
        <v>EC</v>
      </c>
      <c r="GB3" s="200" t="str">
        <f t="shared" si="7"/>
        <v>Fiche CH3/3</v>
      </c>
      <c r="GC3" s="200" t="str">
        <f t="shared" si="7"/>
        <v>Fiche CH4/4</v>
      </c>
      <c r="GD3" s="200" t="str">
        <f t="shared" si="7"/>
        <v>EPI</v>
      </c>
      <c r="GE3" s="81" t="str">
        <f t="shared" si="7"/>
        <v/>
      </c>
      <c r="GF3" s="179" t="s">
        <v>9</v>
      </c>
      <c r="GG3" s="180"/>
      <c r="GH3" s="181" t="s">
        <v>10</v>
      </c>
      <c r="GI3" s="182"/>
      <c r="GJ3" s="79" t="str">
        <f>IF(FO3="","",FO3)</f>
        <v>Frisde atome</v>
      </c>
      <c r="GK3" s="80" t="str">
        <f>IF(FP3="","",FP3)</f>
        <v>Evaluation CH1 CH2</v>
      </c>
      <c r="GL3" s="81" t="str">
        <f>IF(FQ3="","",FQ3)</f>
        <v/>
      </c>
      <c r="GM3" s="157" t="s">
        <v>7</v>
      </c>
      <c r="GN3" s="158"/>
      <c r="GO3" s="82" t="str">
        <f>IF(FT3="","",FT3)</f>
        <v>Fiche O1/1</v>
      </c>
      <c r="GP3" s="80" t="str">
        <f>IF(FU3="","",FU3)</f>
        <v/>
      </c>
      <c r="GQ3" s="200" t="str">
        <f>IF(FV3="","",FV3)</f>
        <v/>
      </c>
      <c r="GR3" s="81" t="str">
        <f>IF(FW3="","",FW3)</f>
        <v/>
      </c>
      <c r="GS3" s="173" t="s">
        <v>8</v>
      </c>
      <c r="GT3" s="174"/>
      <c r="GU3" s="82" t="str">
        <f t="shared" ref="GU3:GZ3" si="8">IF(FZ3="","",FZ3)</f>
        <v>Fiche O2/3</v>
      </c>
      <c r="GV3" s="80" t="str">
        <f t="shared" si="8"/>
        <v>EC</v>
      </c>
      <c r="GW3" s="200" t="str">
        <f t="shared" si="8"/>
        <v>Fiche CH3/3</v>
      </c>
      <c r="GX3" s="200" t="str">
        <f t="shared" si="8"/>
        <v>Fiche CH4/4</v>
      </c>
      <c r="GY3" s="200" t="str">
        <f t="shared" si="8"/>
        <v>EPI</v>
      </c>
      <c r="GZ3" s="81" t="str">
        <f t="shared" si="8"/>
        <v/>
      </c>
      <c r="HA3" s="179" t="s">
        <v>9</v>
      </c>
      <c r="HB3" s="180"/>
      <c r="HC3" s="181" t="s">
        <v>10</v>
      </c>
      <c r="HD3" s="182"/>
      <c r="HE3" s="79" t="str">
        <f>IF(GJ3="","",GJ3)</f>
        <v>Frisde atome</v>
      </c>
      <c r="HF3" s="80" t="str">
        <f>IF(GK3="","",GK3)</f>
        <v>Evaluation CH1 CH2</v>
      </c>
      <c r="HG3" s="81" t="str">
        <f>IF(GL3="","",GL3)</f>
        <v/>
      </c>
      <c r="HH3" s="157" t="s">
        <v>7</v>
      </c>
      <c r="HI3" s="158"/>
      <c r="HJ3" s="82" t="str">
        <f>IF(GO3="","",GO3)</f>
        <v>Fiche O1/1</v>
      </c>
      <c r="HK3" s="80" t="str">
        <f>IF(GP3="","",GP3)</f>
        <v/>
      </c>
      <c r="HL3" s="200" t="str">
        <f>IF(GQ3="","",GQ3)</f>
        <v/>
      </c>
      <c r="HM3" s="81" t="str">
        <f>IF(GR3="","",GR3)</f>
        <v/>
      </c>
      <c r="HN3" s="173" t="s">
        <v>8</v>
      </c>
      <c r="HO3" s="174"/>
      <c r="HP3" s="82" t="str">
        <f t="shared" ref="HP3:HU3" si="9">IF(GU3="","",GU3)</f>
        <v>Fiche O2/3</v>
      </c>
      <c r="HQ3" s="80" t="str">
        <f t="shared" si="9"/>
        <v>EC</v>
      </c>
      <c r="HR3" s="200" t="str">
        <f t="shared" si="9"/>
        <v>Fiche CH3/3</v>
      </c>
      <c r="HS3" s="200" t="str">
        <f t="shared" si="9"/>
        <v>Fiche CH4/4</v>
      </c>
      <c r="HT3" s="200" t="str">
        <f t="shared" si="9"/>
        <v>EPI</v>
      </c>
      <c r="HU3" s="81" t="str">
        <f t="shared" si="9"/>
        <v/>
      </c>
      <c r="HV3" s="179" t="s">
        <v>9</v>
      </c>
      <c r="HW3" s="180"/>
      <c r="HX3" s="181" t="s">
        <v>10</v>
      </c>
      <c r="HY3" s="182"/>
      <c r="HZ3" s="79" t="str">
        <f>IF(HE3="","",HE3)</f>
        <v>Frisde atome</v>
      </c>
      <c r="IA3" s="80" t="str">
        <f>IF(HF3="","",HF3)</f>
        <v>Evaluation CH1 CH2</v>
      </c>
      <c r="IB3" s="81" t="str">
        <f>IF(HG3="","",HG3)</f>
        <v/>
      </c>
      <c r="IC3" s="157" t="s">
        <v>7</v>
      </c>
      <c r="ID3" s="158"/>
      <c r="IE3" s="82" t="str">
        <f>IF(HJ3="","",HJ3)</f>
        <v>Fiche O1/1</v>
      </c>
      <c r="IF3" s="80" t="str">
        <f>IF(HK3="","",HK3)</f>
        <v/>
      </c>
      <c r="IG3" s="200" t="str">
        <f>IF(HL3="","",HL3)</f>
        <v/>
      </c>
      <c r="IH3" s="81" t="str">
        <f>IF(HM3="","",HM3)</f>
        <v/>
      </c>
      <c r="II3" s="173" t="s">
        <v>8</v>
      </c>
      <c r="IJ3" s="174"/>
      <c r="IK3" s="82" t="str">
        <f t="shared" ref="IK3:IP3" si="10">IF(HP3="","",HP3)</f>
        <v>Fiche O2/3</v>
      </c>
      <c r="IL3" s="80" t="str">
        <f t="shared" si="10"/>
        <v>EC</v>
      </c>
      <c r="IM3" s="200" t="str">
        <f t="shared" si="10"/>
        <v>Fiche CH3/3</v>
      </c>
      <c r="IN3" s="200" t="str">
        <f t="shared" si="10"/>
        <v>Fiche CH4/4</v>
      </c>
      <c r="IO3" s="200" t="str">
        <f t="shared" si="10"/>
        <v>EPI</v>
      </c>
      <c r="IP3" s="81" t="str">
        <f t="shared" si="10"/>
        <v/>
      </c>
      <c r="IQ3" s="179" t="s">
        <v>9</v>
      </c>
      <c r="IR3" s="180"/>
      <c r="IS3" s="181" t="s">
        <v>10</v>
      </c>
      <c r="IT3" s="182"/>
      <c r="IU3" s="79" t="str">
        <f>IF(HZ3="","",HZ3)</f>
        <v>Frisde atome</v>
      </c>
      <c r="IV3" s="80" t="str">
        <f>IF(IA3="","",IA3)</f>
        <v>Evaluation CH1 CH2</v>
      </c>
      <c r="IW3" s="81" t="str">
        <f>IF(IB3="","",IB3)</f>
        <v/>
      </c>
      <c r="IX3" s="157" t="s">
        <v>7</v>
      </c>
      <c r="IY3" s="158"/>
      <c r="IZ3" s="82" t="str">
        <f>IF(IE3="","",IE3)</f>
        <v>Fiche O1/1</v>
      </c>
      <c r="JA3" s="80" t="str">
        <f>IF(IF3="","",IF3)</f>
        <v/>
      </c>
      <c r="JB3" s="200" t="str">
        <f>IF(IG3="","",IG3)</f>
        <v/>
      </c>
      <c r="JC3" s="81" t="str">
        <f>IF(IH3="","",IH3)</f>
        <v/>
      </c>
      <c r="JD3" s="173" t="s">
        <v>8</v>
      </c>
      <c r="JE3" s="174"/>
      <c r="JF3" s="82" t="str">
        <f t="shared" ref="JF3:JK3" si="11">IF(IK3="","",IK3)</f>
        <v>Fiche O2/3</v>
      </c>
      <c r="JG3" s="80" t="str">
        <f t="shared" si="11"/>
        <v>EC</v>
      </c>
      <c r="JH3" s="200" t="str">
        <f t="shared" si="11"/>
        <v>Fiche CH3/3</v>
      </c>
      <c r="JI3" s="200" t="str">
        <f t="shared" si="11"/>
        <v>Fiche CH4/4</v>
      </c>
      <c r="JJ3" s="200" t="str">
        <f t="shared" si="11"/>
        <v>EPI</v>
      </c>
      <c r="JK3" s="81" t="str">
        <f t="shared" si="11"/>
        <v/>
      </c>
      <c r="JL3" s="179" t="s">
        <v>9</v>
      </c>
      <c r="JM3" s="180"/>
      <c r="JN3" s="181" t="s">
        <v>10</v>
      </c>
      <c r="JO3" s="182"/>
      <c r="JP3" s="79" t="str">
        <f>IF(IU3="","",IU3)</f>
        <v>Frisde atome</v>
      </c>
      <c r="JQ3" s="80" t="str">
        <f>IF(IV3="","",IV3)</f>
        <v>Evaluation CH1 CH2</v>
      </c>
      <c r="JR3" s="81" t="str">
        <f>IF(IW3="","",IW3)</f>
        <v/>
      </c>
      <c r="JS3" s="157" t="s">
        <v>7</v>
      </c>
      <c r="JT3" s="158"/>
      <c r="JU3" s="82" t="str">
        <f>IF(IZ3="","",IZ3)</f>
        <v>Fiche O1/1</v>
      </c>
      <c r="JV3" s="80" t="str">
        <f>IF(JA3="","",JA3)</f>
        <v/>
      </c>
      <c r="JW3" s="200" t="str">
        <f>IF(JB3="","",JB3)</f>
        <v/>
      </c>
      <c r="JX3" s="81" t="str">
        <f>IF(JC3="","",JC3)</f>
        <v/>
      </c>
      <c r="JY3" s="173" t="s">
        <v>8</v>
      </c>
      <c r="JZ3" s="174"/>
      <c r="KA3" s="82" t="str">
        <f t="shared" ref="KA3:KF3" si="12">IF(JF3="","",JF3)</f>
        <v>Fiche O2/3</v>
      </c>
      <c r="KB3" s="80" t="str">
        <f t="shared" si="12"/>
        <v>EC</v>
      </c>
      <c r="KC3" s="200" t="str">
        <f t="shared" si="12"/>
        <v>Fiche CH3/3</v>
      </c>
      <c r="KD3" s="200" t="str">
        <f t="shared" si="12"/>
        <v>Fiche CH4/4</v>
      </c>
      <c r="KE3" s="200" t="str">
        <f t="shared" si="12"/>
        <v>EPI</v>
      </c>
      <c r="KF3" s="81" t="str">
        <f t="shared" si="12"/>
        <v/>
      </c>
      <c r="KG3" s="179" t="s">
        <v>9</v>
      </c>
      <c r="KH3" s="180"/>
      <c r="KI3" s="181" t="s">
        <v>10</v>
      </c>
      <c r="KJ3" s="182"/>
      <c r="KK3" s="79" t="str">
        <f>IF(JP3="","",JP3)</f>
        <v>Frisde atome</v>
      </c>
      <c r="KL3" s="80" t="str">
        <f>IF(JQ3="","",JQ3)</f>
        <v>Evaluation CH1 CH2</v>
      </c>
      <c r="KM3" s="81" t="str">
        <f>IF(JR3="","",JR3)</f>
        <v/>
      </c>
      <c r="KN3" s="157" t="s">
        <v>7</v>
      </c>
      <c r="KO3" s="158"/>
      <c r="KP3" s="82" t="str">
        <f>IF(JU3="","",JU3)</f>
        <v>Fiche O1/1</v>
      </c>
      <c r="KQ3" s="80" t="str">
        <f>IF(JV3="","",JV3)</f>
        <v/>
      </c>
      <c r="KR3" s="200" t="str">
        <f>IF(JW3="","",JW3)</f>
        <v/>
      </c>
      <c r="KS3" s="81" t="str">
        <f>IF(JX3="","",JX3)</f>
        <v/>
      </c>
      <c r="KT3" s="173" t="s">
        <v>8</v>
      </c>
      <c r="KU3" s="174"/>
      <c r="KV3" s="82" t="str">
        <f t="shared" ref="KV3:LA3" si="13">IF(KA3="","",KA3)</f>
        <v>Fiche O2/3</v>
      </c>
      <c r="KW3" s="80" t="str">
        <f t="shared" si="13"/>
        <v>EC</v>
      </c>
      <c r="KX3" s="200" t="str">
        <f t="shared" si="13"/>
        <v>Fiche CH3/3</v>
      </c>
      <c r="KY3" s="200" t="str">
        <f t="shared" si="13"/>
        <v>Fiche CH4/4</v>
      </c>
      <c r="KZ3" s="200" t="str">
        <f t="shared" si="13"/>
        <v>EPI</v>
      </c>
      <c r="LA3" s="81" t="str">
        <f t="shared" si="13"/>
        <v/>
      </c>
      <c r="LB3" s="179" t="s">
        <v>9</v>
      </c>
      <c r="LC3" s="180"/>
      <c r="LD3" s="181" t="s">
        <v>10</v>
      </c>
      <c r="LE3" s="182"/>
      <c r="LF3" s="79" t="str">
        <f>IF(KK3="","",KK3)</f>
        <v>Frisde atome</v>
      </c>
      <c r="LG3" s="80" t="str">
        <f>IF(KL3="","",KL3)</f>
        <v>Evaluation CH1 CH2</v>
      </c>
      <c r="LH3" s="81" t="str">
        <f>IF(KM3="","",KM3)</f>
        <v/>
      </c>
      <c r="LI3" s="157" t="s">
        <v>7</v>
      </c>
      <c r="LJ3" s="158"/>
      <c r="LK3" s="82" t="str">
        <f>IF(KP3="","",KP3)</f>
        <v>Fiche O1/1</v>
      </c>
      <c r="LL3" s="80" t="str">
        <f>IF(KQ3="","",KQ3)</f>
        <v/>
      </c>
      <c r="LM3" s="200" t="str">
        <f>IF(KR3="","",KR3)</f>
        <v/>
      </c>
      <c r="LN3" s="81" t="str">
        <f>IF(KS3="","",KS3)</f>
        <v/>
      </c>
      <c r="LO3" s="173" t="s">
        <v>8</v>
      </c>
      <c r="LP3" s="174"/>
      <c r="LQ3" s="82" t="str">
        <f t="shared" ref="LQ3:LV3" si="14">IF(KV3="","",KV3)</f>
        <v>Fiche O2/3</v>
      </c>
      <c r="LR3" s="80" t="str">
        <f t="shared" si="14"/>
        <v>EC</v>
      </c>
      <c r="LS3" s="200" t="str">
        <f t="shared" si="14"/>
        <v>Fiche CH3/3</v>
      </c>
      <c r="LT3" s="200" t="str">
        <f t="shared" si="14"/>
        <v>Fiche CH4/4</v>
      </c>
      <c r="LU3" s="200" t="str">
        <f t="shared" si="14"/>
        <v>EPI</v>
      </c>
      <c r="LV3" s="81" t="str">
        <f t="shared" si="14"/>
        <v/>
      </c>
      <c r="LW3" s="179" t="s">
        <v>9</v>
      </c>
      <c r="LX3" s="180"/>
      <c r="LY3" s="181" t="s">
        <v>10</v>
      </c>
      <c r="LZ3" s="182"/>
      <c r="MA3" s="79" t="str">
        <f>IF(LF3="","",LF3)</f>
        <v>Frisde atome</v>
      </c>
      <c r="MB3" s="80" t="str">
        <f>IF(LG3="","",LG3)</f>
        <v>Evaluation CH1 CH2</v>
      </c>
      <c r="MC3" s="81" t="str">
        <f>IF(LH3="","",LH3)</f>
        <v/>
      </c>
      <c r="MD3" s="157" t="s">
        <v>7</v>
      </c>
      <c r="ME3" s="158"/>
      <c r="MF3" s="82" t="str">
        <f>IF(LK3="","",LK3)</f>
        <v>Fiche O1/1</v>
      </c>
      <c r="MG3" s="80" t="str">
        <f>IF(LL3="","",LL3)</f>
        <v/>
      </c>
      <c r="MH3" s="200" t="str">
        <f>IF(LM3="","",LM3)</f>
        <v/>
      </c>
      <c r="MI3" s="81" t="str">
        <f>IF(LN3="","",LN3)</f>
        <v/>
      </c>
      <c r="MJ3" s="173" t="s">
        <v>8</v>
      </c>
      <c r="MK3" s="174"/>
      <c r="ML3" s="82" t="str">
        <f t="shared" ref="ML3:MQ3" si="15">IF(LQ3="","",LQ3)</f>
        <v>Fiche O2/3</v>
      </c>
      <c r="MM3" s="80" t="str">
        <f t="shared" si="15"/>
        <v>EC</v>
      </c>
      <c r="MN3" s="200" t="str">
        <f t="shared" si="15"/>
        <v>Fiche CH3/3</v>
      </c>
      <c r="MO3" s="200" t="str">
        <f t="shared" si="15"/>
        <v>Fiche CH4/4</v>
      </c>
      <c r="MP3" s="200" t="str">
        <f t="shared" si="15"/>
        <v>EPI</v>
      </c>
      <c r="MQ3" s="81" t="str">
        <f t="shared" si="15"/>
        <v/>
      </c>
      <c r="MR3" s="179" t="s">
        <v>9</v>
      </c>
      <c r="MS3" s="180"/>
      <c r="MT3" s="181" t="s">
        <v>10</v>
      </c>
      <c r="MU3" s="182"/>
      <c r="MV3" s="79" t="str">
        <f>IF(MA3="","",MA3)</f>
        <v>Frisde atome</v>
      </c>
      <c r="MW3" s="80" t="str">
        <f>IF(MB3="","",MB3)</f>
        <v>Evaluation CH1 CH2</v>
      </c>
      <c r="MX3" s="81" t="str">
        <f>IF(MC3="","",MC3)</f>
        <v/>
      </c>
      <c r="MY3" s="157" t="s">
        <v>7</v>
      </c>
      <c r="MZ3" s="158"/>
      <c r="NA3" s="82" t="str">
        <f>IF(MF3="","",MF3)</f>
        <v>Fiche O1/1</v>
      </c>
      <c r="NB3" s="80" t="str">
        <f>IF(MG3="","",MG3)</f>
        <v/>
      </c>
      <c r="NC3" s="200" t="str">
        <f>IF(MH3="","",MH3)</f>
        <v/>
      </c>
      <c r="ND3" s="81" t="str">
        <f>IF(MI3="","",MI3)</f>
        <v/>
      </c>
      <c r="NE3" s="173" t="s">
        <v>8</v>
      </c>
      <c r="NF3" s="174"/>
      <c r="NG3" s="82" t="str">
        <f t="shared" ref="NG3:NL3" si="16">IF(ML3="","",ML3)</f>
        <v>Fiche O2/3</v>
      </c>
      <c r="NH3" s="80" t="str">
        <f t="shared" si="16"/>
        <v>EC</v>
      </c>
      <c r="NI3" s="200" t="str">
        <f t="shared" si="16"/>
        <v>Fiche CH3/3</v>
      </c>
      <c r="NJ3" s="200" t="str">
        <f t="shared" si="16"/>
        <v>Fiche CH4/4</v>
      </c>
      <c r="NK3" s="200" t="str">
        <f t="shared" si="16"/>
        <v>EPI</v>
      </c>
      <c r="NL3" s="81" t="str">
        <f t="shared" si="16"/>
        <v/>
      </c>
      <c r="NM3" s="179" t="s">
        <v>9</v>
      </c>
      <c r="NN3" s="180"/>
      <c r="NO3" s="181" t="s">
        <v>10</v>
      </c>
      <c r="NP3" s="182"/>
      <c r="NQ3" s="79" t="str">
        <f>IF(MV3="","",MV3)</f>
        <v>Frisde atome</v>
      </c>
      <c r="NR3" s="80" t="str">
        <f>IF(MW3="","",MW3)</f>
        <v>Evaluation CH1 CH2</v>
      </c>
      <c r="NS3" s="81" t="str">
        <f>IF(MX3="","",MX3)</f>
        <v/>
      </c>
      <c r="NT3" s="157" t="s">
        <v>7</v>
      </c>
      <c r="NU3" s="158"/>
      <c r="NV3" s="82" t="str">
        <f>IF(NA3="","",NA3)</f>
        <v>Fiche O1/1</v>
      </c>
      <c r="NW3" s="80" t="str">
        <f>IF(NB3="","",NB3)</f>
        <v/>
      </c>
      <c r="NX3" s="200" t="str">
        <f>IF(NC3="","",NC3)</f>
        <v/>
      </c>
      <c r="NY3" s="81" t="str">
        <f>IF(ND3="","",ND3)</f>
        <v/>
      </c>
      <c r="NZ3" s="173" t="s">
        <v>8</v>
      </c>
      <c r="OA3" s="174"/>
      <c r="OB3" s="82" t="str">
        <f t="shared" ref="OB3:OG3" si="17">IF(NG3="","",NG3)</f>
        <v>Fiche O2/3</v>
      </c>
      <c r="OC3" s="80" t="str">
        <f t="shared" si="17"/>
        <v>EC</v>
      </c>
      <c r="OD3" s="200" t="str">
        <f t="shared" si="17"/>
        <v>Fiche CH3/3</v>
      </c>
      <c r="OE3" s="200" t="str">
        <f t="shared" si="17"/>
        <v>Fiche CH4/4</v>
      </c>
      <c r="OF3" s="200" t="str">
        <f t="shared" si="17"/>
        <v>EPI</v>
      </c>
      <c r="OG3" s="81" t="str">
        <f t="shared" si="17"/>
        <v/>
      </c>
      <c r="OH3" s="179" t="s">
        <v>9</v>
      </c>
      <c r="OI3" s="180"/>
      <c r="OJ3" s="181" t="s">
        <v>10</v>
      </c>
      <c r="OK3" s="182"/>
      <c r="OL3" s="79" t="str">
        <f>IF(NQ3="","",NQ3)</f>
        <v>Frisde atome</v>
      </c>
      <c r="OM3" s="80" t="str">
        <f>IF(NR3="","",NR3)</f>
        <v>Evaluation CH1 CH2</v>
      </c>
      <c r="ON3" s="81" t="str">
        <f>IF(NS3="","",NS3)</f>
        <v/>
      </c>
      <c r="OO3" s="157" t="s">
        <v>7</v>
      </c>
      <c r="OP3" s="158"/>
      <c r="OQ3" s="82" t="str">
        <f>IF(NV3="","",NV3)</f>
        <v>Fiche O1/1</v>
      </c>
      <c r="OR3" s="80" t="str">
        <f>IF(NW3="","",NW3)</f>
        <v/>
      </c>
      <c r="OS3" s="200" t="str">
        <f>IF(NX3="","",NX3)</f>
        <v/>
      </c>
      <c r="OT3" s="81" t="str">
        <f>IF(NY3="","",NY3)</f>
        <v/>
      </c>
      <c r="OU3" s="173" t="s">
        <v>8</v>
      </c>
      <c r="OV3" s="174"/>
      <c r="OW3" s="82" t="str">
        <f t="shared" ref="OW3:PB3" si="18">IF(OB3="","",OB3)</f>
        <v>Fiche O2/3</v>
      </c>
      <c r="OX3" s="80" t="str">
        <f t="shared" si="18"/>
        <v>EC</v>
      </c>
      <c r="OY3" s="200" t="str">
        <f t="shared" si="18"/>
        <v>Fiche CH3/3</v>
      </c>
      <c r="OZ3" s="200" t="str">
        <f t="shared" si="18"/>
        <v>Fiche CH4/4</v>
      </c>
      <c r="PA3" s="200" t="str">
        <f t="shared" si="18"/>
        <v>EPI</v>
      </c>
      <c r="PB3" s="81" t="str">
        <f t="shared" si="18"/>
        <v/>
      </c>
      <c r="PC3" s="179" t="s">
        <v>9</v>
      </c>
      <c r="PD3" s="180"/>
      <c r="PE3" s="181" t="s">
        <v>10</v>
      </c>
      <c r="PF3" s="182"/>
      <c r="PG3" s="79" t="str">
        <f>IF(OL3="","",OL3)</f>
        <v>Frisde atome</v>
      </c>
      <c r="PH3" s="80" t="str">
        <f>IF(OM3="","",OM3)</f>
        <v>Evaluation CH1 CH2</v>
      </c>
      <c r="PI3" s="81" t="str">
        <f>IF(ON3="","",ON3)</f>
        <v/>
      </c>
      <c r="PJ3" s="157" t="s">
        <v>7</v>
      </c>
      <c r="PK3" s="158"/>
      <c r="PL3" s="82" t="str">
        <f>IF(OQ3="","",OQ3)</f>
        <v>Fiche O1/1</v>
      </c>
      <c r="PM3" s="80" t="str">
        <f>IF(OR3="","",OR3)</f>
        <v/>
      </c>
      <c r="PN3" s="200" t="str">
        <f>IF(OS3="","",OS3)</f>
        <v/>
      </c>
      <c r="PO3" s="81" t="str">
        <f>IF(OT3="","",OT3)</f>
        <v/>
      </c>
      <c r="PP3" s="173" t="s">
        <v>8</v>
      </c>
      <c r="PQ3" s="174"/>
      <c r="PR3" s="82" t="str">
        <f t="shared" ref="PR3:PW3" si="19">IF(OW3="","",OW3)</f>
        <v>Fiche O2/3</v>
      </c>
      <c r="PS3" s="80" t="str">
        <f t="shared" si="19"/>
        <v>EC</v>
      </c>
      <c r="PT3" s="200" t="str">
        <f t="shared" si="19"/>
        <v>Fiche CH3/3</v>
      </c>
      <c r="PU3" s="200" t="str">
        <f t="shared" si="19"/>
        <v>Fiche CH4/4</v>
      </c>
      <c r="PV3" s="200" t="str">
        <f t="shared" si="19"/>
        <v>EPI</v>
      </c>
      <c r="PW3" s="81" t="str">
        <f t="shared" si="19"/>
        <v/>
      </c>
      <c r="PX3" s="179" t="s">
        <v>9</v>
      </c>
      <c r="PY3" s="180"/>
      <c r="PZ3" s="181" t="s">
        <v>10</v>
      </c>
      <c r="QA3" s="182"/>
      <c r="QB3" s="79" t="str">
        <f>IF(PG3="","",PG3)</f>
        <v>Frisde atome</v>
      </c>
      <c r="QC3" s="80" t="str">
        <f>IF(PH3="","",PH3)</f>
        <v>Evaluation CH1 CH2</v>
      </c>
      <c r="QD3" s="81" t="str">
        <f>IF(PI3="","",PI3)</f>
        <v/>
      </c>
      <c r="QE3" s="157" t="s">
        <v>7</v>
      </c>
      <c r="QF3" s="158"/>
      <c r="QG3" s="82" t="str">
        <f>IF(PL3="","",PL3)</f>
        <v>Fiche O1/1</v>
      </c>
      <c r="QH3" s="80" t="str">
        <f>IF(PM3="","",PM3)</f>
        <v/>
      </c>
      <c r="QI3" s="200" t="str">
        <f>IF(PN3="","",PN3)</f>
        <v/>
      </c>
      <c r="QJ3" s="81" t="str">
        <f>IF(PO3="","",PO3)</f>
        <v/>
      </c>
      <c r="QK3" s="173" t="s">
        <v>8</v>
      </c>
      <c r="QL3" s="174"/>
      <c r="QM3" s="82" t="str">
        <f t="shared" ref="QM3:QR3" si="20">IF(PR3="","",PR3)</f>
        <v>Fiche O2/3</v>
      </c>
      <c r="QN3" s="80" t="str">
        <f t="shared" si="20"/>
        <v>EC</v>
      </c>
      <c r="QO3" s="200" t="str">
        <f t="shared" si="20"/>
        <v>Fiche CH3/3</v>
      </c>
      <c r="QP3" s="200" t="str">
        <f t="shared" si="20"/>
        <v>Fiche CH4/4</v>
      </c>
      <c r="QQ3" s="200" t="str">
        <f t="shared" si="20"/>
        <v>EPI</v>
      </c>
      <c r="QR3" s="81" t="str">
        <f t="shared" si="20"/>
        <v/>
      </c>
      <c r="QS3" s="179" t="s">
        <v>9</v>
      </c>
      <c r="QT3" s="180"/>
      <c r="QU3" s="181" t="s">
        <v>10</v>
      </c>
      <c r="QV3" s="182"/>
      <c r="QW3" s="79" t="str">
        <f>IF(QB3="","",QB3)</f>
        <v>Frisde atome</v>
      </c>
      <c r="QX3" s="80" t="str">
        <f>IF(QC3="","",QC3)</f>
        <v>Evaluation CH1 CH2</v>
      </c>
      <c r="QY3" s="81" t="str">
        <f>IF(QD3="","",QD3)</f>
        <v/>
      </c>
      <c r="QZ3" s="157" t="s">
        <v>7</v>
      </c>
      <c r="RA3" s="158"/>
      <c r="RB3" s="82" t="str">
        <f>IF(QG3="","",QG3)</f>
        <v>Fiche O1/1</v>
      </c>
      <c r="RC3" s="80" t="str">
        <f>IF(QH3="","",QH3)</f>
        <v/>
      </c>
      <c r="RD3" s="200" t="str">
        <f>IF(QI3="","",QI3)</f>
        <v/>
      </c>
      <c r="RE3" s="81" t="str">
        <f>IF(QJ3="","",QJ3)</f>
        <v/>
      </c>
      <c r="RF3" s="173" t="s">
        <v>8</v>
      </c>
      <c r="RG3" s="174"/>
      <c r="RH3" s="82" t="str">
        <f t="shared" ref="RH3:RM3" si="21">IF(QM3="","",QM3)</f>
        <v>Fiche O2/3</v>
      </c>
      <c r="RI3" s="80" t="str">
        <f t="shared" si="21"/>
        <v>EC</v>
      </c>
      <c r="RJ3" s="200" t="str">
        <f t="shared" si="21"/>
        <v>Fiche CH3/3</v>
      </c>
      <c r="RK3" s="200" t="str">
        <f t="shared" si="21"/>
        <v>Fiche CH4/4</v>
      </c>
      <c r="RL3" s="200" t="str">
        <f t="shared" si="21"/>
        <v>EPI</v>
      </c>
      <c r="RM3" s="81" t="str">
        <f t="shared" si="21"/>
        <v/>
      </c>
      <c r="RN3" s="179" t="s">
        <v>9</v>
      </c>
      <c r="RO3" s="180"/>
      <c r="RP3" s="181" t="s">
        <v>10</v>
      </c>
      <c r="RQ3" s="182"/>
      <c r="RR3" s="79" t="str">
        <f>IF(QW3="","",QW3)</f>
        <v>Frisde atome</v>
      </c>
      <c r="RS3" s="80" t="str">
        <f>IF(QX3="","",QX3)</f>
        <v>Evaluation CH1 CH2</v>
      </c>
      <c r="RT3" s="81" t="str">
        <f>IF(QY3="","",QY3)</f>
        <v/>
      </c>
      <c r="RU3" s="157" t="s">
        <v>7</v>
      </c>
      <c r="RV3" s="158"/>
      <c r="RW3" s="82" t="str">
        <f>IF(RB3="","",RB3)</f>
        <v>Fiche O1/1</v>
      </c>
      <c r="RX3" s="80" t="str">
        <f>IF(RC3="","",RC3)</f>
        <v/>
      </c>
      <c r="RY3" s="200" t="str">
        <f>IF(RD3="","",RD3)</f>
        <v/>
      </c>
      <c r="RZ3" s="81" t="str">
        <f>IF(RE3="","",RE3)</f>
        <v/>
      </c>
      <c r="SA3" s="173" t="s">
        <v>8</v>
      </c>
      <c r="SB3" s="174"/>
      <c r="SC3" s="82" t="str">
        <f t="shared" ref="SC3:SH3" si="22">IF(RH3="","",RH3)</f>
        <v>Fiche O2/3</v>
      </c>
      <c r="SD3" s="80" t="str">
        <f t="shared" si="22"/>
        <v>EC</v>
      </c>
      <c r="SE3" s="200" t="str">
        <f t="shared" si="22"/>
        <v>Fiche CH3/3</v>
      </c>
      <c r="SF3" s="200" t="str">
        <f t="shared" si="22"/>
        <v>Fiche CH4/4</v>
      </c>
      <c r="SG3" s="200" t="str">
        <f t="shared" si="22"/>
        <v>EPI</v>
      </c>
      <c r="SH3" s="81" t="str">
        <f t="shared" si="22"/>
        <v/>
      </c>
      <c r="SI3" s="179" t="s">
        <v>9</v>
      </c>
      <c r="SJ3" s="180"/>
      <c r="SK3" s="181" t="s">
        <v>10</v>
      </c>
      <c r="SL3" s="182"/>
      <c r="SM3" s="79" t="str">
        <f>IF(RR3="","",RR3)</f>
        <v>Frisde atome</v>
      </c>
      <c r="SN3" s="80" t="str">
        <f>IF(RS3="","",RS3)</f>
        <v>Evaluation CH1 CH2</v>
      </c>
      <c r="SO3" s="81" t="str">
        <f>IF(RT3="","",RT3)</f>
        <v/>
      </c>
      <c r="SP3" s="157" t="s">
        <v>7</v>
      </c>
      <c r="SQ3" s="158"/>
      <c r="SR3" s="82" t="str">
        <f>IF(RW3="","",RW3)</f>
        <v>Fiche O1/1</v>
      </c>
      <c r="SS3" s="80" t="str">
        <f>IF(RX3="","",RX3)</f>
        <v/>
      </c>
      <c r="ST3" s="200" t="str">
        <f>IF(RY3="","",RY3)</f>
        <v/>
      </c>
      <c r="SU3" s="81" t="str">
        <f>IF(RZ3="","",RZ3)</f>
        <v/>
      </c>
      <c r="SV3" s="173" t="s">
        <v>8</v>
      </c>
      <c r="SW3" s="174"/>
      <c r="SX3" s="82" t="str">
        <f t="shared" ref="SX3:TC3" si="23">IF(SC3="","",SC3)</f>
        <v>Fiche O2/3</v>
      </c>
      <c r="SY3" s="80" t="str">
        <f t="shared" si="23"/>
        <v>EC</v>
      </c>
      <c r="SZ3" s="200" t="str">
        <f t="shared" si="23"/>
        <v>Fiche CH3/3</v>
      </c>
      <c r="TA3" s="200" t="str">
        <f t="shared" si="23"/>
        <v>Fiche CH4/4</v>
      </c>
      <c r="TB3" s="200" t="str">
        <f t="shared" si="23"/>
        <v>EPI</v>
      </c>
      <c r="TC3" s="81" t="str">
        <f t="shared" si="23"/>
        <v/>
      </c>
      <c r="TD3" s="179" t="s">
        <v>9</v>
      </c>
      <c r="TE3" s="180"/>
      <c r="TF3" s="181" t="s">
        <v>10</v>
      </c>
      <c r="TG3" s="182"/>
      <c r="TH3" s="79" t="str">
        <f>IF(SM3="","",SM3)</f>
        <v>Frisde atome</v>
      </c>
      <c r="TI3" s="80" t="str">
        <f>IF(SN3="","",SN3)</f>
        <v>Evaluation CH1 CH2</v>
      </c>
      <c r="TJ3" s="81" t="str">
        <f>IF(SO3="","",SO3)</f>
        <v/>
      </c>
      <c r="TK3" s="157" t="s">
        <v>7</v>
      </c>
      <c r="TL3" s="158"/>
      <c r="TM3" s="82" t="str">
        <f>IF(SR3="","",SR3)</f>
        <v>Fiche O1/1</v>
      </c>
      <c r="TN3" s="80" t="str">
        <f>IF(SS3="","",SS3)</f>
        <v/>
      </c>
      <c r="TO3" s="200" t="str">
        <f>IF(ST3="","",ST3)</f>
        <v/>
      </c>
      <c r="TP3" s="81" t="str">
        <f>IF(SU3="","",SU3)</f>
        <v/>
      </c>
      <c r="TQ3" s="173" t="s">
        <v>8</v>
      </c>
      <c r="TR3" s="174"/>
      <c r="TS3" s="82" t="str">
        <f t="shared" ref="TS3:TX3" si="24">IF(SX3="","",SX3)</f>
        <v>Fiche O2/3</v>
      </c>
      <c r="TT3" s="80" t="str">
        <f t="shared" si="24"/>
        <v>EC</v>
      </c>
      <c r="TU3" s="200" t="str">
        <f t="shared" si="24"/>
        <v>Fiche CH3/3</v>
      </c>
      <c r="TV3" s="200" t="str">
        <f t="shared" si="24"/>
        <v>Fiche CH4/4</v>
      </c>
      <c r="TW3" s="200" t="str">
        <f t="shared" si="24"/>
        <v>EPI</v>
      </c>
      <c r="TX3" s="81" t="str">
        <f t="shared" si="24"/>
        <v/>
      </c>
      <c r="TY3" s="179" t="s">
        <v>9</v>
      </c>
      <c r="TZ3" s="180"/>
      <c r="UA3" s="181" t="s">
        <v>10</v>
      </c>
      <c r="UB3" s="182"/>
      <c r="UC3" s="79" t="str">
        <f>IF(TH3="","",TH3)</f>
        <v>Frisde atome</v>
      </c>
      <c r="UD3" s="80" t="str">
        <f>IF(TI3="","",TI3)</f>
        <v>Evaluation CH1 CH2</v>
      </c>
      <c r="UE3" s="81" t="str">
        <f>IF(TJ3="","",TJ3)</f>
        <v/>
      </c>
      <c r="UF3" s="70" t="s">
        <v>7</v>
      </c>
      <c r="UG3" s="71"/>
      <c r="UH3" s="82" t="str">
        <f>IF(TM3="","",TM3)</f>
        <v>Fiche O1/1</v>
      </c>
      <c r="UI3" s="80" t="str">
        <f>IF(TN3="","",TN3)</f>
        <v/>
      </c>
      <c r="UJ3" s="81" t="str">
        <f>IF(TP3="","",TP3)</f>
        <v/>
      </c>
      <c r="UK3" s="73" t="s">
        <v>8</v>
      </c>
      <c r="UL3" s="74"/>
      <c r="UM3" s="82" t="str">
        <f>IF(TS3="","",TS3)</f>
        <v>Fiche O2/3</v>
      </c>
      <c r="UN3" s="80" t="str">
        <f>IF(TT3="","",TT3)</f>
        <v>EC</v>
      </c>
      <c r="UO3" s="81" t="str">
        <f>IF(TX3="","",TX3)</f>
        <v/>
      </c>
      <c r="UP3" s="75" t="s">
        <v>9</v>
      </c>
      <c r="UQ3" s="76"/>
      <c r="UR3" s="77" t="s">
        <v>10</v>
      </c>
      <c r="US3" s="78"/>
      <c r="UT3" s="79" t="str">
        <f>IF(UC3="","",UC3)</f>
        <v>Frisde atome</v>
      </c>
      <c r="UU3" s="80" t="str">
        <f>IF(UD3="","",UD3)</f>
        <v>Evaluation CH1 CH2</v>
      </c>
      <c r="UV3" s="81" t="str">
        <f>IF(UE3="","",UE3)</f>
        <v/>
      </c>
      <c r="UW3" s="70" t="s">
        <v>7</v>
      </c>
      <c r="UX3" s="71"/>
      <c r="UY3" s="82" t="str">
        <f>IF(UH3="","",UH3)</f>
        <v>Fiche O1/1</v>
      </c>
      <c r="UZ3" s="80" t="str">
        <f>IF(UI3="","",UI3)</f>
        <v/>
      </c>
      <c r="VA3" s="81" t="str">
        <f>IF(UJ3="","",UJ3)</f>
        <v/>
      </c>
      <c r="VB3" s="73" t="s">
        <v>8</v>
      </c>
      <c r="VC3" s="74"/>
      <c r="VD3" s="82" t="str">
        <f>IF(UM3="","",UM3)</f>
        <v>Fiche O2/3</v>
      </c>
      <c r="VE3" s="80" t="str">
        <f>IF(UN3="","",UN3)</f>
        <v>EC</v>
      </c>
      <c r="VF3" s="81" t="str">
        <f>IF(UO3="","",UO3)</f>
        <v/>
      </c>
      <c r="VG3" s="75" t="s">
        <v>9</v>
      </c>
      <c r="VH3" s="76"/>
      <c r="VI3" s="77" t="s">
        <v>10</v>
      </c>
      <c r="VJ3" s="78"/>
      <c r="VK3" s="79" t="str">
        <f>IF(UT3="","",UT3)</f>
        <v>Frisde atome</v>
      </c>
      <c r="VL3" s="80" t="str">
        <f>IF(UU3="","",UU3)</f>
        <v>Evaluation CH1 CH2</v>
      </c>
      <c r="VM3" s="81" t="str">
        <f>IF(UV3="","",UV3)</f>
        <v/>
      </c>
      <c r="VN3" s="70" t="s">
        <v>7</v>
      </c>
      <c r="VO3" s="71"/>
      <c r="VP3" s="82" t="str">
        <f>IF(UY3="","",UY3)</f>
        <v>Fiche O1/1</v>
      </c>
      <c r="VQ3" s="80" t="str">
        <f>IF(UZ3="","",UZ3)</f>
        <v/>
      </c>
      <c r="VR3" s="81" t="str">
        <f>IF(VA3="","",VA3)</f>
        <v/>
      </c>
      <c r="VS3" s="73" t="s">
        <v>8</v>
      </c>
      <c r="VT3" s="74"/>
      <c r="VU3" s="82" t="str">
        <f>IF(VD3="","",VD3)</f>
        <v>Fiche O2/3</v>
      </c>
      <c r="VV3" s="80" t="str">
        <f>IF(VE3="","",VE3)</f>
        <v>EC</v>
      </c>
      <c r="VW3" s="81" t="str">
        <f>IF(VF3="","",VF3)</f>
        <v/>
      </c>
      <c r="VX3" s="75" t="s">
        <v>9</v>
      </c>
      <c r="VY3" s="76"/>
      <c r="VZ3" s="77" t="s">
        <v>10</v>
      </c>
      <c r="WA3" s="78"/>
      <c r="WB3" s="79" t="str">
        <f>IF(VK3="","",VK3)</f>
        <v>Frisde atome</v>
      </c>
      <c r="WC3" s="80" t="str">
        <f>IF(VL3="","",VL3)</f>
        <v>Evaluation CH1 CH2</v>
      </c>
      <c r="WD3" s="81" t="str">
        <f>IF(VM3="","",VM3)</f>
        <v/>
      </c>
      <c r="WE3" s="70" t="s">
        <v>7</v>
      </c>
      <c r="WF3" s="71"/>
      <c r="WG3" s="82" t="str">
        <f>IF(VP3="","",VP3)</f>
        <v>Fiche O1/1</v>
      </c>
      <c r="WH3" s="80" t="str">
        <f>IF(VQ3="","",VQ3)</f>
        <v/>
      </c>
      <c r="WI3" s="81" t="str">
        <f>IF(VR3="","",VR3)</f>
        <v/>
      </c>
      <c r="WJ3" s="73" t="s">
        <v>8</v>
      </c>
      <c r="WK3" s="74"/>
      <c r="WL3" s="82" t="str">
        <f>IF(VU3="","",VU3)</f>
        <v>Fiche O2/3</v>
      </c>
      <c r="WM3" s="80" t="str">
        <f>IF(VV3="","",VV3)</f>
        <v>EC</v>
      </c>
      <c r="WN3" s="81" t="str">
        <f>IF(VW3="","",VW3)</f>
        <v/>
      </c>
      <c r="WO3" s="75" t="s">
        <v>9</v>
      </c>
      <c r="WP3" s="76"/>
      <c r="WQ3" s="77" t="s">
        <v>10</v>
      </c>
      <c r="WR3" s="78"/>
    </row>
    <row r="4" spans="1:616" s="95" customFormat="1" ht="30" customHeight="1" thickBot="1" x14ac:dyDescent="0.6">
      <c r="A4" s="144" t="s">
        <v>11</v>
      </c>
      <c r="B4" s="83">
        <v>2</v>
      </c>
      <c r="C4" s="152"/>
      <c r="D4" s="65"/>
      <c r="E4" s="85"/>
      <c r="F4" s="159">
        <f>IF(COUNT(F5:F9)=0,"",SUM(F5:F9)/COUNT(F5:F9))</f>
        <v>3</v>
      </c>
      <c r="G4" s="160" t="str">
        <f t="shared" ref="G4:G21" si="25">IF(F4="","",IF(F4&gt;3.7,"A",IF(F4&gt;2.8,"B",IF(F4&gt;1.5,"C",IF(F4&gt;0,"D",IF(F4=0,""))))))</f>
        <v>B</v>
      </c>
      <c r="H4" s="152"/>
      <c r="I4" s="65"/>
      <c r="J4" s="65"/>
      <c r="K4" s="85"/>
      <c r="L4" s="159">
        <f>IF(COUNT(L5:L9)=0,"",SUM(L5:L9)/COUNT(L5:L9))</f>
        <v>3</v>
      </c>
      <c r="M4" s="175" t="str">
        <f t="shared" ref="M4:M21" si="26">IF(L4="","",IF(L4&gt;3.7,"A",IF(L4&gt;2.8,"B",IF(L4&gt;1.5,"C",IF(L4&gt;0,"D",IF(L4=0,""))))))</f>
        <v>B</v>
      </c>
      <c r="N4" s="153"/>
      <c r="O4" s="90"/>
      <c r="P4" s="90"/>
      <c r="Q4" s="90"/>
      <c r="R4" s="90"/>
      <c r="S4" s="91"/>
      <c r="T4" s="159">
        <f>IF(COUNT(T5:T9)=0,"",SUM(T5:T9)/COUNT(T5:T9))</f>
        <v>3.2916666666666665</v>
      </c>
      <c r="U4" s="183" t="str">
        <f t="shared" ref="U4:U21" si="27">IF(T4="","",IF(T4&gt;3.7,"A",IF(T4&gt;2.8,"B",IF(T4&gt;1.5,"C",IF(T4&gt;0,"D",IF(T4=0,""))))))</f>
        <v>B</v>
      </c>
      <c r="V4" s="184">
        <f>IF(COUNT(V5:V9)=0,"",SUM(V5:V9)/COUNT(V5:V9))</f>
        <v>3.145833333333333</v>
      </c>
      <c r="W4" s="185" t="str">
        <f t="shared" ref="W4:W21" si="28">IF(V4="","",IF(V4&gt;3.7,"A",IF(V4&gt;2.8,"B",IF(V4&gt;1.5,"C",IF(V4&gt;0,"D",IF(V4=0,""))))))</f>
        <v>B</v>
      </c>
      <c r="X4" s="152"/>
      <c r="Y4" s="65"/>
      <c r="Z4" s="85"/>
      <c r="AA4" s="159">
        <f>IF(COUNT(AA5:AA9)=0,"",SUM(AA5:AA9)/COUNT(AA5:AA9))</f>
        <v>2.25</v>
      </c>
      <c r="AB4" s="160" t="str">
        <f t="shared" ref="AB4:AB21" si="29">IF(AA4="","",IF(AA4&gt;3.7,"A",IF(AA4&gt;2.8,"B",IF(AA4&gt;1.5,"C",IF(AA4&gt;0,"D",IF(AA4=0,""))))))</f>
        <v>C</v>
      </c>
      <c r="AC4" s="152"/>
      <c r="AD4" s="65"/>
      <c r="AE4" s="65"/>
      <c r="AF4" s="85"/>
      <c r="AG4" s="159">
        <f>IF(COUNT(AG5:AG9)=0,"",SUM(AG5:AG9)/COUNT(AG5:AG9))</f>
        <v>3</v>
      </c>
      <c r="AH4" s="175" t="str">
        <f t="shared" ref="AH4:AH21" si="30">IF(AG4="","",IF(AG4&gt;3.7,"A",IF(AG4&gt;2.8,"B",IF(AG4&gt;1.5,"C",IF(AG4&gt;0,"D",IF(AG4=0,""))))))</f>
        <v>B</v>
      </c>
      <c r="AI4" s="153"/>
      <c r="AJ4" s="90"/>
      <c r="AK4" s="90"/>
      <c r="AL4" s="90"/>
      <c r="AM4" s="90"/>
      <c r="AN4" s="91"/>
      <c r="AO4" s="159">
        <f>IF(COUNT(AO5:AO9)=0,"",SUM(AO5:AO9)/COUNT(AO5:AO9))</f>
        <v>1.8333333333333333</v>
      </c>
      <c r="AP4" s="183" t="str">
        <f t="shared" ref="AP4:AP21" si="31">IF(AO4="","",IF(AO4&gt;3.7,"A",IF(AO4&gt;2.8,"B",IF(AO4&gt;1.5,"C",IF(AO4&gt;0,"D",IF(AO4=0,""))))))</f>
        <v>C</v>
      </c>
      <c r="AQ4" s="184">
        <f>IF(COUNT(AQ5:AQ9)=0,"",SUM(AQ5:AQ9)/COUNT(AQ5:AQ9))</f>
        <v>2.1041666666666665</v>
      </c>
      <c r="AR4" s="185" t="str">
        <f t="shared" ref="AR4:AR21" si="32">IF(AQ4="","",IF(AQ4&gt;3.7,"A",IF(AQ4&gt;2.8,"B",IF(AQ4&gt;1.5,"C",IF(AQ4&gt;0,"D",IF(AQ4=0,""))))))</f>
        <v>C</v>
      </c>
      <c r="AS4" s="152"/>
      <c r="AT4" s="65"/>
      <c r="AU4" s="85"/>
      <c r="AV4" s="159">
        <f>IF(COUNT(AV5:AV9)=0,"",SUM(AV5:AV9)/COUNT(AV5:AV9))</f>
        <v>1.75</v>
      </c>
      <c r="AW4" s="160" t="str">
        <f t="shared" ref="AW4:AW21" si="33">IF(AV4="","",IF(AV4&gt;3.7,"A",IF(AV4&gt;2.8,"B",IF(AV4&gt;1.5,"C",IF(AV4&gt;0,"D",IF(AV4=0,""))))))</f>
        <v>C</v>
      </c>
      <c r="AX4" s="152"/>
      <c r="AY4" s="65"/>
      <c r="AZ4" s="65"/>
      <c r="BA4" s="85"/>
      <c r="BB4" s="159">
        <f>IF(COUNT(BB5:BB9)=0,"",SUM(BB5:BB9)/COUNT(BB5:BB9))</f>
        <v>2</v>
      </c>
      <c r="BC4" s="175" t="str">
        <f t="shared" ref="BC4:BC21" si="34">IF(BB4="","",IF(BB4&gt;3.7,"A",IF(BB4&gt;2.8,"B",IF(BB4&gt;1.5,"C",IF(BB4&gt;0,"D",IF(BB4=0,""))))))</f>
        <v>C</v>
      </c>
      <c r="BD4" s="153"/>
      <c r="BE4" s="90"/>
      <c r="BF4" s="90"/>
      <c r="BG4" s="90"/>
      <c r="BH4" s="90"/>
      <c r="BI4" s="91"/>
      <c r="BJ4" s="159">
        <f>IF(COUNT(BJ5:BJ9)=0,"",SUM(BJ5:BJ9)/COUNT(BJ5:BJ9))</f>
        <v>2.3333333333333335</v>
      </c>
      <c r="BK4" s="183" t="str">
        <f t="shared" ref="BK4:BK21" si="35">IF(BJ4="","",IF(BJ4&gt;3.7,"A",IF(BJ4&gt;2.8,"B",IF(BJ4&gt;1.5,"C",IF(BJ4&gt;0,"D",IF(BJ4=0,""))))))</f>
        <v>C</v>
      </c>
      <c r="BL4" s="184">
        <f>IF(COUNT(BL5:BL9)=0,"",SUM(BL5:BL9)/COUNT(BL5:BL9))</f>
        <v>2.041666666666667</v>
      </c>
      <c r="BM4" s="185" t="str">
        <f t="shared" ref="BM4:BM21" si="36">IF(BL4="","",IF(BL4&gt;3.7,"A",IF(BL4&gt;2.8,"B",IF(BL4&gt;1.5,"C",IF(BL4&gt;0,"D",IF(BL4=0,""))))))</f>
        <v>C</v>
      </c>
      <c r="BN4" s="152"/>
      <c r="BO4" s="65"/>
      <c r="BP4" s="85"/>
      <c r="BQ4" s="159">
        <f>IF(COUNT(BQ5:BQ9)=0,"",SUM(BQ5:BQ9)/COUNT(BQ5:BQ9))</f>
        <v>2.25</v>
      </c>
      <c r="BR4" s="160" t="str">
        <f t="shared" ref="BR4:BR21" si="37">IF(BQ4="","",IF(BQ4&gt;3.7,"A",IF(BQ4&gt;2.8,"B",IF(BQ4&gt;1.5,"C",IF(BQ4&gt;0,"D",IF(BQ4=0,""))))))</f>
        <v>C</v>
      </c>
      <c r="BS4" s="152"/>
      <c r="BT4" s="65"/>
      <c r="BU4" s="65"/>
      <c r="BV4" s="85"/>
      <c r="BW4" s="159">
        <f>IF(COUNT(BW5:BW9)=0,"",SUM(BW5:BW9)/COUNT(BW5:BW9))</f>
        <v>3</v>
      </c>
      <c r="BX4" s="175" t="str">
        <f t="shared" ref="BX4:BX21" si="38">IF(BW4="","",IF(BW4&gt;3.7,"A",IF(BW4&gt;2.8,"B",IF(BW4&gt;1.5,"C",IF(BW4&gt;0,"D",IF(BW4=0,""))))))</f>
        <v>B</v>
      </c>
      <c r="BY4" s="153"/>
      <c r="BZ4" s="90"/>
      <c r="CA4" s="90"/>
      <c r="CB4" s="90"/>
      <c r="CC4" s="90"/>
      <c r="CD4" s="91"/>
      <c r="CE4" s="159">
        <f>IF(COUNT(CE5:CE9)=0,"",SUM(CE5:CE9)/COUNT(CE5:CE9))</f>
        <v>2.0208333333333335</v>
      </c>
      <c r="CF4" s="183" t="str">
        <f t="shared" ref="CF4:CF21" si="39">IF(CE4="","",IF(CE4&gt;3.7,"A",IF(CE4&gt;2.8,"B",IF(CE4&gt;1.5,"C",IF(CE4&gt;0,"D",IF(CE4=0,""))))))</f>
        <v>C</v>
      </c>
      <c r="CG4" s="184">
        <f>IF(COUNT(CG5:CG9)=0,"",SUM(CG5:CG9)/COUNT(CG5:CG9))</f>
        <v>2.197916666666667</v>
      </c>
      <c r="CH4" s="185" t="str">
        <f t="shared" ref="CH4:CH21" si="40">IF(CG4="","",IF(CG4&gt;3.7,"A",IF(CG4&gt;2.8,"B",IF(CG4&gt;1.5,"C",IF(CG4&gt;0,"D",IF(CG4=0,""))))))</f>
        <v>C</v>
      </c>
      <c r="CI4" s="152"/>
      <c r="CJ4" s="65"/>
      <c r="CK4" s="85"/>
      <c r="CL4" s="159">
        <f>IF(COUNT(CL5:CL9)=0,"",SUM(CL5:CL9)/COUNT(CL5:CL9))</f>
        <v>2.25</v>
      </c>
      <c r="CM4" s="160" t="str">
        <f t="shared" ref="CM4:CM21" si="41">IF(CL4="","",IF(CL4&gt;3.7,"A",IF(CL4&gt;2.8,"B",IF(CL4&gt;1.5,"C",IF(CL4&gt;0,"D",IF(CL4=0,""))))))</f>
        <v>C</v>
      </c>
      <c r="CN4" s="152"/>
      <c r="CO4" s="65"/>
      <c r="CP4" s="65"/>
      <c r="CQ4" s="85"/>
      <c r="CR4" s="159">
        <f>IF(COUNT(CR5:CR9)=0,"",SUM(CR5:CR9)/COUNT(CR5:CR9))</f>
        <v>3</v>
      </c>
      <c r="CS4" s="175" t="str">
        <f t="shared" ref="CS4:CS21" si="42">IF(CR4="","",IF(CR4&gt;3.7,"A",IF(CR4&gt;2.8,"B",IF(CR4&gt;1.5,"C",IF(CR4&gt;0,"D",IF(CR4=0,""))))))</f>
        <v>B</v>
      </c>
      <c r="CT4" s="153"/>
      <c r="CU4" s="90"/>
      <c r="CV4" s="90"/>
      <c r="CW4" s="90"/>
      <c r="CX4" s="90"/>
      <c r="CY4" s="91"/>
      <c r="CZ4" s="159">
        <f>IF(COUNT(CZ5:CZ9)=0,"",SUM(CZ5:CZ9)/COUNT(CZ5:CZ9))</f>
        <v>2.3541666666666665</v>
      </c>
      <c r="DA4" s="183" t="str">
        <f t="shared" ref="DA4:DA21" si="43">IF(CZ4="","",IF(CZ4&gt;3.7,"A",IF(CZ4&gt;2.8,"B",IF(CZ4&gt;1.5,"C",IF(CZ4&gt;0,"D",IF(CZ4=0,""))))))</f>
        <v>C</v>
      </c>
      <c r="DB4" s="184">
        <f>IF(COUNT(DB5:DB9)=0,"",SUM(DB5:DB9)/COUNT(DB5:DB9))</f>
        <v>2.364583333333333</v>
      </c>
      <c r="DC4" s="185" t="str">
        <f t="shared" ref="DC4:DC21" si="44">IF(DB4="","",IF(DB4&gt;3.7,"A",IF(DB4&gt;2.8,"B",IF(DB4&gt;1.5,"C",IF(DB4&gt;0,"D",IF(DB4=0,""))))))</f>
        <v>C</v>
      </c>
      <c r="DD4" s="152"/>
      <c r="DE4" s="65"/>
      <c r="DF4" s="85"/>
      <c r="DG4" s="159">
        <f>IF(COUNT(DG5:DG9)=0,"",SUM(DG5:DG9)/COUNT(DG5:DG9))</f>
        <v>2.5</v>
      </c>
      <c r="DH4" s="160" t="str">
        <f t="shared" ref="DH4:DH21" si="45">IF(DG4="","",IF(DG4&gt;3.7,"A",IF(DG4&gt;2.8,"B",IF(DG4&gt;1.5,"C",IF(DG4&gt;0,"D",IF(DG4=0,""))))))</f>
        <v>C</v>
      </c>
      <c r="DI4" s="152"/>
      <c r="DJ4" s="65"/>
      <c r="DK4" s="65"/>
      <c r="DL4" s="85"/>
      <c r="DM4" s="159">
        <f>IF(COUNT(DM5:DM9)=0,"",SUM(DM5:DM9)/COUNT(DM5:DM9))</f>
        <v>2</v>
      </c>
      <c r="DN4" s="175" t="str">
        <f t="shared" ref="DN4:DN21" si="46">IF(DM4="","",IF(DM4&gt;3.7,"A",IF(DM4&gt;2.8,"B",IF(DM4&gt;1.5,"C",IF(DM4&gt;0,"D",IF(DM4=0,""))))))</f>
        <v>C</v>
      </c>
      <c r="DO4" s="153"/>
      <c r="DP4" s="90"/>
      <c r="DQ4" s="90"/>
      <c r="DR4" s="90"/>
      <c r="DS4" s="90"/>
      <c r="DT4" s="91"/>
      <c r="DU4" s="159">
        <f>IF(COUNT(DU5:DU9)=0,"",SUM(DU5:DU9)/COUNT(DU5:DU9))</f>
        <v>1.9166666666666665</v>
      </c>
      <c r="DV4" s="183" t="str">
        <f t="shared" ref="DV4:DV21" si="47">IF(DU4="","",IF(DU4&gt;3.7,"A",IF(DU4&gt;2.8,"B",IF(DU4&gt;1.5,"C",IF(DU4&gt;0,"D",IF(DU4=0,""))))))</f>
        <v>C</v>
      </c>
      <c r="DW4" s="184">
        <f>IF(COUNT(DW5:DW9)=0,"",SUM(DW5:DW9)/COUNT(DW5:DW9))</f>
        <v>1.9583333333333333</v>
      </c>
      <c r="DX4" s="185" t="str">
        <f t="shared" ref="DX4:DX21" si="48">IF(DW4="","",IF(DW4&gt;3.7,"A",IF(DW4&gt;2.8,"B",IF(DW4&gt;1.5,"C",IF(DW4&gt;0,"D",IF(DW4=0,""))))))</f>
        <v>C</v>
      </c>
      <c r="DY4" s="152"/>
      <c r="DZ4" s="65"/>
      <c r="EA4" s="85"/>
      <c r="EB4" s="159">
        <f>IF(COUNT(EB5:EB9)=0,"",SUM(EB5:EB9)/COUNT(EB5:EB9))</f>
        <v>2</v>
      </c>
      <c r="EC4" s="160" t="str">
        <f t="shared" ref="EC4:EC21" si="49">IF(EB4="","",IF(EB4&gt;3.7,"A",IF(EB4&gt;2.8,"B",IF(EB4&gt;1.5,"C",IF(EB4&gt;0,"D",IF(EB4=0,""))))))</f>
        <v>C</v>
      </c>
      <c r="ED4" s="152"/>
      <c r="EE4" s="65"/>
      <c r="EF4" s="65"/>
      <c r="EG4" s="85"/>
      <c r="EH4" s="159">
        <f>IF(COUNT(EH5:EH9)=0,"",SUM(EH5:EH9)/COUNT(EH5:EH9))</f>
        <v>4</v>
      </c>
      <c r="EI4" s="175" t="str">
        <f t="shared" ref="EI4:EI21" si="50">IF(EH4="","",IF(EH4&gt;3.7,"A",IF(EH4&gt;2.8,"B",IF(EH4&gt;1.5,"C",IF(EH4&gt;0,"D",IF(EH4=0,""))))))</f>
        <v>A</v>
      </c>
      <c r="EJ4" s="153"/>
      <c r="EK4" s="90"/>
      <c r="EL4" s="90"/>
      <c r="EM4" s="90"/>
      <c r="EN4" s="90"/>
      <c r="EO4" s="91"/>
      <c r="EP4" s="159">
        <f>IF(COUNT(EP5:EP9)=0,"",SUM(EP5:EP9)/COUNT(EP5:EP9))</f>
        <v>2.625</v>
      </c>
      <c r="EQ4" s="183" t="str">
        <f t="shared" ref="EQ4:EQ21" si="51">IF(EP4="","",IF(EP4&gt;3.7,"A",IF(EP4&gt;2.8,"B",IF(EP4&gt;1.5,"C",IF(EP4&gt;0,"D",IF(EP4=0,""))))))</f>
        <v>C</v>
      </c>
      <c r="ER4" s="184">
        <f>IF(COUNT(ER5:ER9)=0,"",SUM(ER5:ER9)/COUNT(ER5:ER9))</f>
        <v>2.625</v>
      </c>
      <c r="ES4" s="185" t="str">
        <f t="shared" ref="ES4:ES21" si="52">IF(ER4="","",IF(ER4&gt;3.7,"A",IF(ER4&gt;2.8,"B",IF(ER4&gt;1.5,"C",IF(ER4&gt;0,"D",IF(ER4=0,""))))))</f>
        <v>C</v>
      </c>
      <c r="ET4" s="152"/>
      <c r="EU4" s="65"/>
      <c r="EV4" s="85"/>
      <c r="EW4" s="159">
        <f>IF(COUNT(EW5:EW9)=0,"",SUM(EW5:EW9)/COUNT(EW5:EW9))</f>
        <v>1.75</v>
      </c>
      <c r="EX4" s="160" t="str">
        <f t="shared" ref="EX4:EX21" si="53">IF(EW4="","",IF(EW4&gt;3.7,"A",IF(EW4&gt;2.8,"B",IF(EW4&gt;1.5,"C",IF(EW4&gt;0,"D",IF(EW4=0,""))))))</f>
        <v>C</v>
      </c>
      <c r="EY4" s="152"/>
      <c r="EZ4" s="65"/>
      <c r="FA4" s="65"/>
      <c r="FB4" s="85"/>
      <c r="FC4" s="159">
        <f>IF(COUNT(FC5:FC9)=0,"",SUM(FC5:FC9)/COUNT(FC5:FC9))</f>
        <v>2</v>
      </c>
      <c r="FD4" s="175" t="str">
        <f t="shared" ref="FD4:FD21" si="54">IF(FC4="","",IF(FC4&gt;3.7,"A",IF(FC4&gt;2.8,"B",IF(FC4&gt;1.5,"C",IF(FC4&gt;0,"D",IF(FC4=0,""))))))</f>
        <v>C</v>
      </c>
      <c r="FE4" s="153"/>
      <c r="FF4" s="90"/>
      <c r="FG4" s="90"/>
      <c r="FH4" s="90"/>
      <c r="FI4" s="90"/>
      <c r="FJ4" s="91"/>
      <c r="FK4" s="159">
        <f>IF(COUNT(FK5:FK9)=0,"",SUM(FK5:FK9)/COUNT(FK5:FK9))</f>
        <v>2.0833333333333335</v>
      </c>
      <c r="FL4" s="183" t="str">
        <f t="shared" ref="FL4:FL21" si="55">IF(FK4="","",IF(FK4&gt;3.7,"A",IF(FK4&gt;2.8,"B",IF(FK4&gt;1.5,"C",IF(FK4&gt;0,"D",IF(FK4=0,""))))))</f>
        <v>C</v>
      </c>
      <c r="FM4" s="184">
        <f>IF(COUNT(FM5:FM9)=0,"",SUM(FM5:FM9)/COUNT(FM5:FM9))</f>
        <v>1.9791666666666667</v>
      </c>
      <c r="FN4" s="185" t="str">
        <f t="shared" ref="FN4:FN21" si="56">IF(FM4="","",IF(FM4&gt;3.7,"A",IF(FM4&gt;2.8,"B",IF(FM4&gt;1.5,"C",IF(FM4&gt;0,"D",IF(FM4=0,""))))))</f>
        <v>C</v>
      </c>
      <c r="FO4" s="152"/>
      <c r="FP4" s="65"/>
      <c r="FQ4" s="85"/>
      <c r="FR4" s="159">
        <f>IF(COUNT(FR5:FR9)=0,"",SUM(FR5:FR9)/COUNT(FR5:FR9))</f>
        <v>1.5</v>
      </c>
      <c r="FS4" s="160" t="str">
        <f t="shared" ref="FS4:FS21" si="57">IF(FR4="","",IF(FR4&gt;3.7,"A",IF(FR4&gt;2.8,"B",IF(FR4&gt;1.5,"C",IF(FR4&gt;0,"D",IF(FR4=0,""))))))</f>
        <v>D</v>
      </c>
      <c r="FT4" s="152"/>
      <c r="FU4" s="65"/>
      <c r="FV4" s="65"/>
      <c r="FW4" s="85"/>
      <c r="FX4" s="159">
        <f>IF(COUNT(FX5:FX9)=0,"",SUM(FX5:FX9)/COUNT(FX5:FX9))</f>
        <v>3</v>
      </c>
      <c r="FY4" s="175" t="str">
        <f t="shared" ref="FY4:FY21" si="58">IF(FX4="","",IF(FX4&gt;3.7,"A",IF(FX4&gt;2.8,"B",IF(FX4&gt;1.5,"C",IF(FX4&gt;0,"D",IF(FX4=0,""))))))</f>
        <v>B</v>
      </c>
      <c r="FZ4" s="153"/>
      <c r="GA4" s="90"/>
      <c r="GB4" s="90"/>
      <c r="GC4" s="90"/>
      <c r="GD4" s="90"/>
      <c r="GE4" s="91"/>
      <c r="GF4" s="159">
        <f>IF(COUNT(GF5:GF9)=0,"",SUM(GF5:GF9)/COUNT(GF5:GF9))</f>
        <v>2.125</v>
      </c>
      <c r="GG4" s="183" t="str">
        <f t="shared" ref="GG4:GG21" si="59">IF(GF4="","",IF(GF4&gt;3.7,"A",IF(GF4&gt;2.8,"B",IF(GF4&gt;1.5,"C",IF(GF4&gt;0,"D",IF(GF4=0,""))))))</f>
        <v>C</v>
      </c>
      <c r="GH4" s="184">
        <f>IF(COUNT(GH5:GH9)=0,"",SUM(GH5:GH9)/COUNT(GH5:GH9))</f>
        <v>2</v>
      </c>
      <c r="GI4" s="185" t="str">
        <f t="shared" ref="GI4:GI21" si="60">IF(GH4="","",IF(GH4&gt;3.7,"A",IF(GH4&gt;2.8,"B",IF(GH4&gt;1.5,"C",IF(GH4&gt;0,"D",IF(GH4=0,""))))))</f>
        <v>C</v>
      </c>
      <c r="GJ4" s="152"/>
      <c r="GK4" s="65"/>
      <c r="GL4" s="85"/>
      <c r="GM4" s="159">
        <f>IF(COUNT(GM5:GM9)=0,"",SUM(GM5:GM9)/COUNT(GM5:GM9))</f>
        <v>1.5</v>
      </c>
      <c r="GN4" s="160" t="str">
        <f t="shared" ref="GN4:GN21" si="61">IF(GM4="","",IF(GM4&gt;3.7,"A",IF(GM4&gt;2.8,"B",IF(GM4&gt;1.5,"C",IF(GM4&gt;0,"D",IF(GM4=0,""))))))</f>
        <v>D</v>
      </c>
      <c r="GO4" s="152"/>
      <c r="GP4" s="65"/>
      <c r="GQ4" s="65"/>
      <c r="GR4" s="85"/>
      <c r="GS4" s="159">
        <f>IF(COUNT(GS5:GS9)=0,"",SUM(GS5:GS9)/COUNT(GS5:GS9))</f>
        <v>1</v>
      </c>
      <c r="GT4" s="175" t="str">
        <f t="shared" ref="GT4:GT21" si="62">IF(GS4="","",IF(GS4&gt;3.7,"A",IF(GS4&gt;2.8,"B",IF(GS4&gt;1.5,"C",IF(GS4&gt;0,"D",IF(GS4=0,""))))))</f>
        <v>D</v>
      </c>
      <c r="GU4" s="153"/>
      <c r="GV4" s="90"/>
      <c r="GW4" s="90"/>
      <c r="GX4" s="90"/>
      <c r="GY4" s="90"/>
      <c r="GZ4" s="91"/>
      <c r="HA4" s="159">
        <f>IF(COUNT(HA5:HA9)=0,"",SUM(HA5:HA9)/COUNT(HA5:HA9))</f>
        <v>2.25</v>
      </c>
      <c r="HB4" s="183" t="str">
        <f t="shared" ref="HB4:HB21" si="63">IF(HA4="","",IF(HA4&gt;3.7,"A",IF(HA4&gt;2.8,"B",IF(HA4&gt;1.5,"C",IF(HA4&gt;0,"D",IF(HA4=0,""))))))</f>
        <v>C</v>
      </c>
      <c r="HC4" s="184">
        <f>IF(COUNT(HC5:HC9)=0,"",SUM(HC5:HC9)/COUNT(HC5:HC9))</f>
        <v>1.875</v>
      </c>
      <c r="HD4" s="185" t="str">
        <f t="shared" ref="HD4:HD21" si="64">IF(HC4="","",IF(HC4&gt;3.7,"A",IF(HC4&gt;2.8,"B",IF(HC4&gt;1.5,"C",IF(HC4&gt;0,"D",IF(HC4=0,""))))))</f>
        <v>C</v>
      </c>
      <c r="HE4" s="152"/>
      <c r="HF4" s="65"/>
      <c r="HG4" s="85"/>
      <c r="HH4" s="159">
        <f>IF(COUNT(HH5:HH9)=0,"",SUM(HH5:HH9)/COUNT(HH5:HH9))</f>
        <v>1.75</v>
      </c>
      <c r="HI4" s="160" t="str">
        <f t="shared" ref="HI4:HI21" si="65">IF(HH4="","",IF(HH4&gt;3.7,"A",IF(HH4&gt;2.8,"B",IF(HH4&gt;1.5,"C",IF(HH4&gt;0,"D",IF(HH4=0,""))))))</f>
        <v>C</v>
      </c>
      <c r="HJ4" s="152"/>
      <c r="HK4" s="65"/>
      <c r="HL4" s="65"/>
      <c r="HM4" s="85"/>
      <c r="HN4" s="159">
        <f>IF(COUNT(HN5:HN9)=0,"",SUM(HN5:HN9)/COUNT(HN5:HN9))</f>
        <v>3</v>
      </c>
      <c r="HO4" s="175" t="str">
        <f t="shared" ref="HO4:HO21" si="66">IF(HN4="","",IF(HN4&gt;3.7,"A",IF(HN4&gt;2.8,"B",IF(HN4&gt;1.5,"C",IF(HN4&gt;0,"D",IF(HN4=0,""))))))</f>
        <v>B</v>
      </c>
      <c r="HP4" s="153"/>
      <c r="HQ4" s="90"/>
      <c r="HR4" s="90"/>
      <c r="HS4" s="90"/>
      <c r="HT4" s="90"/>
      <c r="HU4" s="91"/>
      <c r="HV4" s="159">
        <f>IF(COUNT(HV5:HV9)=0,"",SUM(HV5:HV9)/COUNT(HV5:HV9))</f>
        <v>2.4166666666666665</v>
      </c>
      <c r="HW4" s="183" t="str">
        <f t="shared" ref="HW4:HW21" si="67">IF(HV4="","",IF(HV4&gt;3.7,"A",IF(HV4&gt;2.8,"B",IF(HV4&gt;1.5,"C",IF(HV4&gt;0,"D",IF(HV4=0,""))))))</f>
        <v>C</v>
      </c>
      <c r="HX4" s="184">
        <f>IF(COUNT(HX5:HX9)=0,"",SUM(HX5:HX9)/COUNT(HX5:HX9))</f>
        <v>2.270833333333333</v>
      </c>
      <c r="HY4" s="185" t="str">
        <f t="shared" ref="HY4:HY21" si="68">IF(HX4="","",IF(HX4&gt;3.7,"A",IF(HX4&gt;2.8,"B",IF(HX4&gt;1.5,"C",IF(HX4&gt;0,"D",IF(HX4=0,""))))))</f>
        <v>C</v>
      </c>
      <c r="HZ4" s="152"/>
      <c r="IA4" s="65"/>
      <c r="IB4" s="85"/>
      <c r="IC4" s="159">
        <f>IF(COUNT(IC5:IC9)=0,"",SUM(IC5:IC9)/COUNT(IC5:IC9))</f>
        <v>2.25</v>
      </c>
      <c r="ID4" s="160" t="str">
        <f t="shared" ref="ID4:ID21" si="69">IF(IC4="","",IF(IC4&gt;3.7,"A",IF(IC4&gt;2.8,"B",IF(IC4&gt;1.5,"C",IF(IC4&gt;0,"D",IF(IC4=0,""))))))</f>
        <v>C</v>
      </c>
      <c r="IE4" s="152"/>
      <c r="IF4" s="65"/>
      <c r="IG4" s="65"/>
      <c r="IH4" s="85"/>
      <c r="II4" s="159">
        <f>IF(COUNT(II5:II9)=0,"",SUM(II5:II9)/COUNT(II5:II9))</f>
        <v>3</v>
      </c>
      <c r="IJ4" s="175" t="str">
        <f t="shared" ref="IJ4:IJ21" si="70">IF(II4="","",IF(II4&gt;3.7,"A",IF(II4&gt;2.8,"B",IF(II4&gt;1.5,"C",IF(II4&gt;0,"D",IF(II4=0,""))))))</f>
        <v>B</v>
      </c>
      <c r="IK4" s="153"/>
      <c r="IL4" s="90"/>
      <c r="IM4" s="90"/>
      <c r="IN4" s="90"/>
      <c r="IO4" s="90"/>
      <c r="IP4" s="91"/>
      <c r="IQ4" s="159">
        <f>IF(COUNT(IQ5:IQ9)=0,"",SUM(IQ5:IQ9)/COUNT(IQ5:IQ9))</f>
        <v>3.4166666666666665</v>
      </c>
      <c r="IR4" s="183" t="str">
        <f t="shared" ref="IR4:IR21" si="71">IF(IQ4="","",IF(IQ4&gt;3.7,"A",IF(IQ4&gt;2.8,"B",IF(IQ4&gt;1.5,"C",IF(IQ4&gt;0,"D",IF(IQ4=0,""))))))</f>
        <v>B</v>
      </c>
      <c r="IS4" s="184">
        <f>IF(COUNT(IS5:IS9)=0,"",SUM(IS5:IS9)/COUNT(IS5:IS9))</f>
        <v>3.020833333333333</v>
      </c>
      <c r="IT4" s="185" t="str">
        <f t="shared" ref="IT4:IT21" si="72">IF(IS4="","",IF(IS4&gt;3.7,"A",IF(IS4&gt;2.8,"B",IF(IS4&gt;1.5,"C",IF(IS4&gt;0,"D",IF(IS4=0,""))))))</f>
        <v>B</v>
      </c>
      <c r="IU4" s="152"/>
      <c r="IV4" s="65"/>
      <c r="IW4" s="85"/>
      <c r="IX4" s="159">
        <f>IF(COUNT(IX5:IX9)=0,"",SUM(IX5:IX9)/COUNT(IX5:IX9))</f>
        <v>2.75</v>
      </c>
      <c r="IY4" s="160" t="str">
        <f t="shared" ref="IY4:IY21" si="73">IF(IX4="","",IF(IX4&gt;3.7,"A",IF(IX4&gt;2.8,"B",IF(IX4&gt;1.5,"C",IF(IX4&gt;0,"D",IF(IX4=0,""))))))</f>
        <v>C</v>
      </c>
      <c r="IZ4" s="152"/>
      <c r="JA4" s="65"/>
      <c r="JB4" s="65"/>
      <c r="JC4" s="85"/>
      <c r="JD4" s="159">
        <f>IF(COUNT(JD5:JD9)=0,"",SUM(JD5:JD9)/COUNT(JD5:JD9))</f>
        <v>2</v>
      </c>
      <c r="JE4" s="175" t="str">
        <f t="shared" ref="JE4:JE21" si="74">IF(JD4="","",IF(JD4&gt;3.7,"A",IF(JD4&gt;2.8,"B",IF(JD4&gt;1.5,"C",IF(JD4&gt;0,"D",IF(JD4=0,""))))))</f>
        <v>C</v>
      </c>
      <c r="JF4" s="153"/>
      <c r="JG4" s="90"/>
      <c r="JH4" s="90"/>
      <c r="JI4" s="90"/>
      <c r="JJ4" s="90"/>
      <c r="JK4" s="91"/>
      <c r="JL4" s="159">
        <f>IF(COUNT(JL5:JL9)=0,"",SUM(JL5:JL9)/COUNT(JL5:JL9))</f>
        <v>2.5</v>
      </c>
      <c r="JM4" s="183" t="str">
        <f t="shared" ref="JM4:JM21" si="75">IF(JL4="","",IF(JL4&gt;3.7,"A",IF(JL4&gt;2.8,"B",IF(JL4&gt;1.5,"C",IF(JL4&gt;0,"D",IF(JL4=0,""))))))</f>
        <v>C</v>
      </c>
      <c r="JN4" s="184">
        <f>IF(COUNT(JN5:JN9)=0,"",SUM(JN5:JN9)/COUNT(JN5:JN9))</f>
        <v>2.4375</v>
      </c>
      <c r="JO4" s="185" t="str">
        <f t="shared" ref="JO4:JO21" si="76">IF(JN4="","",IF(JN4&gt;3.7,"A",IF(JN4&gt;2.8,"B",IF(JN4&gt;1.5,"C",IF(JN4&gt;0,"D",IF(JN4=0,""))))))</f>
        <v>C</v>
      </c>
      <c r="JP4" s="152"/>
      <c r="JQ4" s="65"/>
      <c r="JR4" s="85"/>
      <c r="JS4" s="159">
        <f>IF(COUNT(JS5:JS9)=0,"",SUM(JS5:JS9)/COUNT(JS5:JS9))</f>
        <v>2.25</v>
      </c>
      <c r="JT4" s="160" t="str">
        <f t="shared" ref="JT4:JT21" si="77">IF(JS4="","",IF(JS4&gt;3.7,"A",IF(JS4&gt;2.8,"B",IF(JS4&gt;1.5,"C",IF(JS4&gt;0,"D",IF(JS4=0,""))))))</f>
        <v>C</v>
      </c>
      <c r="JU4" s="152"/>
      <c r="JV4" s="65"/>
      <c r="JW4" s="65"/>
      <c r="JX4" s="85"/>
      <c r="JY4" s="159">
        <f>IF(COUNT(JY5:JY9)=0,"",SUM(JY5:JY9)/COUNT(JY5:JY9))</f>
        <v>4</v>
      </c>
      <c r="JZ4" s="175" t="str">
        <f t="shared" ref="JZ4:JZ21" si="78">IF(JY4="","",IF(JY4&gt;3.7,"A",IF(JY4&gt;2.8,"B",IF(JY4&gt;1.5,"C",IF(JY4&gt;0,"D",IF(JY4=0,""))))))</f>
        <v>A</v>
      </c>
      <c r="KA4" s="153"/>
      <c r="KB4" s="90"/>
      <c r="KC4" s="90"/>
      <c r="KD4" s="90"/>
      <c r="KE4" s="90"/>
      <c r="KF4" s="91"/>
      <c r="KG4" s="159">
        <f>IF(COUNT(KG5:KG9)=0,"",SUM(KG5:KG9)/COUNT(KG5:KG9))</f>
        <v>3.0625</v>
      </c>
      <c r="KH4" s="183" t="str">
        <f t="shared" ref="KH4:KH21" si="79">IF(KG4="","",IF(KG4&gt;3.7,"A",IF(KG4&gt;2.8,"B",IF(KG4&gt;1.5,"C",IF(KG4&gt;0,"D",IF(KG4=0,""))))))</f>
        <v>B</v>
      </c>
      <c r="KI4" s="184">
        <f>IF(COUNT(KI5:KI9)=0,"",SUM(KI5:KI9)/COUNT(KI5:KI9))</f>
        <v>2.90625</v>
      </c>
      <c r="KJ4" s="185" t="str">
        <f t="shared" ref="KJ4:KJ21" si="80">IF(KI4="","",IF(KI4&gt;3.7,"A",IF(KI4&gt;2.8,"B",IF(KI4&gt;1.5,"C",IF(KI4&gt;0,"D",IF(KI4=0,""))))))</f>
        <v>B</v>
      </c>
      <c r="KK4" s="152"/>
      <c r="KL4" s="65"/>
      <c r="KM4" s="85"/>
      <c r="KN4" s="159">
        <f>IF(COUNT(KN5:KN9)=0,"",SUM(KN5:KN9)/COUNT(KN5:KN9))</f>
        <v>2.25</v>
      </c>
      <c r="KO4" s="160" t="str">
        <f t="shared" ref="KO4:KO21" si="81">IF(KN4="","",IF(KN4&gt;3.7,"A",IF(KN4&gt;2.8,"B",IF(KN4&gt;1.5,"C",IF(KN4&gt;0,"D",IF(KN4=0,""))))))</f>
        <v>C</v>
      </c>
      <c r="KP4" s="152"/>
      <c r="KQ4" s="65"/>
      <c r="KR4" s="65"/>
      <c r="KS4" s="85"/>
      <c r="KT4" s="159">
        <f>IF(COUNT(KT5:KT9)=0,"",SUM(KT5:KT9)/COUNT(KT5:KT9))</f>
        <v>2</v>
      </c>
      <c r="KU4" s="175" t="str">
        <f t="shared" ref="KU4:KU21" si="82">IF(KT4="","",IF(KT4&gt;3.7,"A",IF(KT4&gt;2.8,"B",IF(KT4&gt;1.5,"C",IF(KT4&gt;0,"D",IF(KT4=0,""))))))</f>
        <v>C</v>
      </c>
      <c r="KV4" s="153"/>
      <c r="KW4" s="90"/>
      <c r="KX4" s="90"/>
      <c r="KY4" s="90"/>
      <c r="KZ4" s="90"/>
      <c r="LA4" s="91"/>
      <c r="LB4" s="159">
        <f>IF(COUNT(LB5:LB9)=0,"",SUM(LB5:LB9)/COUNT(LB5:LB9))</f>
        <v>2.583333333333333</v>
      </c>
      <c r="LC4" s="183" t="str">
        <f t="shared" ref="LC4:LC21" si="83">IF(LB4="","",IF(LB4&gt;3.7,"A",IF(LB4&gt;2.8,"B",IF(LB4&gt;1.5,"C",IF(LB4&gt;0,"D",IF(LB4=0,""))))))</f>
        <v>C</v>
      </c>
      <c r="LD4" s="184">
        <f>IF(COUNT(LD5:LD9)=0,"",SUM(LD5:LD9)/COUNT(LD5:LD9))</f>
        <v>2.3541666666666665</v>
      </c>
      <c r="LE4" s="185" t="str">
        <f t="shared" ref="LE4:LE21" si="84">IF(LD4="","",IF(LD4&gt;3.7,"A",IF(LD4&gt;2.8,"B",IF(LD4&gt;1.5,"C",IF(LD4&gt;0,"D",IF(LD4=0,""))))))</f>
        <v>C</v>
      </c>
      <c r="LF4" s="152"/>
      <c r="LG4" s="65"/>
      <c r="LH4" s="85"/>
      <c r="LI4" s="159">
        <f>IF(COUNT(LI5:LI9)=0,"",SUM(LI5:LI9)/COUNT(LI5:LI9))</f>
        <v>2.5</v>
      </c>
      <c r="LJ4" s="160" t="str">
        <f t="shared" ref="LJ4:LJ21" si="85">IF(LI4="","",IF(LI4&gt;3.7,"A",IF(LI4&gt;2.8,"B",IF(LI4&gt;1.5,"C",IF(LI4&gt;0,"D",IF(LI4=0,""))))))</f>
        <v>C</v>
      </c>
      <c r="LK4" s="152"/>
      <c r="LL4" s="65"/>
      <c r="LM4" s="65"/>
      <c r="LN4" s="85"/>
      <c r="LO4" s="159">
        <f>IF(COUNT(LO5:LO9)=0,"",SUM(LO5:LO9)/COUNT(LO5:LO9))</f>
        <v>2</v>
      </c>
      <c r="LP4" s="175" t="str">
        <f t="shared" ref="LP4:LP21" si="86">IF(LO4="","",IF(LO4&gt;3.7,"A",IF(LO4&gt;2.8,"B",IF(LO4&gt;1.5,"C",IF(LO4&gt;0,"D",IF(LO4=0,""))))))</f>
        <v>C</v>
      </c>
      <c r="LQ4" s="153"/>
      <c r="LR4" s="90"/>
      <c r="LS4" s="90"/>
      <c r="LT4" s="90"/>
      <c r="LU4" s="90"/>
      <c r="LV4" s="91"/>
      <c r="LW4" s="159">
        <f>IF(COUNT(LW5:LW9)=0,"",SUM(LW5:LW9)/COUNT(LW5:LW9))</f>
        <v>1.5833333333333335</v>
      </c>
      <c r="LX4" s="183" t="str">
        <f t="shared" ref="LX4:LX21" si="87">IF(LW4="","",IF(LW4&gt;3.7,"A",IF(LW4&gt;2.8,"B",IF(LW4&gt;1.5,"C",IF(LW4&gt;0,"D",IF(LW4=0,""))))))</f>
        <v>C</v>
      </c>
      <c r="LY4" s="184">
        <f>IF(COUNT(LY5:LY9)=0,"",SUM(LY5:LY9)/COUNT(LY5:LY9))</f>
        <v>1.8541666666666667</v>
      </c>
      <c r="LZ4" s="185" t="str">
        <f t="shared" ref="LZ4:LZ21" si="88">IF(LY4="","",IF(LY4&gt;3.7,"A",IF(LY4&gt;2.8,"B",IF(LY4&gt;1.5,"C",IF(LY4&gt;0,"D",IF(LY4=0,""))))))</f>
        <v>C</v>
      </c>
      <c r="MA4" s="152"/>
      <c r="MB4" s="65"/>
      <c r="MC4" s="85"/>
      <c r="MD4" s="159">
        <f>IF(COUNT(MD5:MD9)=0,"",SUM(MD5:MD9)/COUNT(MD5:MD9))</f>
        <v>2.5</v>
      </c>
      <c r="ME4" s="160" t="str">
        <f t="shared" ref="ME4:ME21" si="89">IF(MD4="","",IF(MD4&gt;3.7,"A",IF(MD4&gt;2.8,"B",IF(MD4&gt;1.5,"C",IF(MD4&gt;0,"D",IF(MD4=0,""))))))</f>
        <v>C</v>
      </c>
      <c r="MF4" s="152"/>
      <c r="MG4" s="65"/>
      <c r="MH4" s="65"/>
      <c r="MI4" s="85"/>
      <c r="MJ4" s="159">
        <f>IF(COUNT(MJ5:MJ9)=0,"",SUM(MJ5:MJ9)/COUNT(MJ5:MJ9))</f>
        <v>3</v>
      </c>
      <c r="MK4" s="175" t="str">
        <f t="shared" ref="MK4:MK21" si="90">IF(MJ4="","",IF(MJ4&gt;3.7,"A",IF(MJ4&gt;2.8,"B",IF(MJ4&gt;1.5,"C",IF(MJ4&gt;0,"D",IF(MJ4=0,""))))))</f>
        <v>B</v>
      </c>
      <c r="ML4" s="153"/>
      <c r="MM4" s="90"/>
      <c r="MN4" s="90"/>
      <c r="MO4" s="90"/>
      <c r="MP4" s="90"/>
      <c r="MQ4" s="91"/>
      <c r="MR4" s="159">
        <f>IF(COUNT(MR5:MR9)=0,"",SUM(MR5:MR9)/COUNT(MR5:MR9))</f>
        <v>2.3125</v>
      </c>
      <c r="MS4" s="183" t="str">
        <f t="shared" ref="MS4:MS21" si="91">IF(MR4="","",IF(MR4&gt;3.7,"A",IF(MR4&gt;2.8,"B",IF(MR4&gt;1.5,"C",IF(MR4&gt;0,"D",IF(MR4=0,""))))))</f>
        <v>C</v>
      </c>
      <c r="MT4" s="184">
        <f>IF(COUNT(MT5:MT9)=0,"",SUM(MT5:MT9)/COUNT(MT5:MT9))</f>
        <v>2.53125</v>
      </c>
      <c r="MU4" s="185" t="str">
        <f t="shared" ref="MU4:MU21" si="92">IF(MT4="","",IF(MT4&gt;3.7,"A",IF(MT4&gt;2.8,"B",IF(MT4&gt;1.5,"C",IF(MT4&gt;0,"D",IF(MT4=0,""))))))</f>
        <v>C</v>
      </c>
      <c r="MV4" s="152"/>
      <c r="MW4" s="65"/>
      <c r="MX4" s="85"/>
      <c r="MY4" s="159">
        <f>IF(COUNT(MY5:MY9)=0,"",SUM(MY5:MY9)/COUNT(MY5:MY9))</f>
        <v>2.5</v>
      </c>
      <c r="MZ4" s="160" t="str">
        <f t="shared" ref="MZ4:MZ21" si="93">IF(MY4="","",IF(MY4&gt;3.7,"A",IF(MY4&gt;2.8,"B",IF(MY4&gt;1.5,"C",IF(MY4&gt;0,"D",IF(MY4=0,""))))))</f>
        <v>C</v>
      </c>
      <c r="NA4" s="152"/>
      <c r="NB4" s="65"/>
      <c r="NC4" s="65"/>
      <c r="ND4" s="85"/>
      <c r="NE4" s="159">
        <f>IF(COUNT(NE5:NE9)=0,"",SUM(NE5:NE9)/COUNT(NE5:NE9))</f>
        <v>3</v>
      </c>
      <c r="NF4" s="175" t="str">
        <f t="shared" ref="NF4:NF21" si="94">IF(NE4="","",IF(NE4&gt;3.7,"A",IF(NE4&gt;2.8,"B",IF(NE4&gt;1.5,"C",IF(NE4&gt;0,"D",IF(NE4=0,""))))))</f>
        <v>B</v>
      </c>
      <c r="NG4" s="153"/>
      <c r="NH4" s="90"/>
      <c r="NI4" s="90"/>
      <c r="NJ4" s="90"/>
      <c r="NK4" s="90"/>
      <c r="NL4" s="91"/>
      <c r="NM4" s="159">
        <f>IF(COUNT(NM5:NM9)=0,"",SUM(NM5:NM9)/COUNT(NM5:NM9))</f>
        <v>3.0625</v>
      </c>
      <c r="NN4" s="183" t="str">
        <f t="shared" ref="NN4:NN21" si="95">IF(NM4="","",IF(NM4&gt;3.7,"A",IF(NM4&gt;2.8,"B",IF(NM4&gt;1.5,"C",IF(NM4&gt;0,"D",IF(NM4=0,""))))))</f>
        <v>B</v>
      </c>
      <c r="NO4" s="184">
        <f>IF(COUNT(NO5:NO9)=0,"",SUM(NO5:NO9)/COUNT(NO5:NO9))</f>
        <v>2.90625</v>
      </c>
      <c r="NP4" s="185" t="str">
        <f t="shared" ref="NP4:NP21" si="96">IF(NO4="","",IF(NO4&gt;3.7,"A",IF(NO4&gt;2.8,"B",IF(NO4&gt;1.5,"C",IF(NO4&gt;0,"D",IF(NO4=0,""))))))</f>
        <v>B</v>
      </c>
      <c r="NQ4" s="152"/>
      <c r="NR4" s="65"/>
      <c r="NS4" s="85"/>
      <c r="NT4" s="159">
        <f>IF(COUNT(NT5:NT9)=0,"",SUM(NT5:NT9)/COUNT(NT5:NT9))</f>
        <v>2.5</v>
      </c>
      <c r="NU4" s="160" t="str">
        <f t="shared" ref="NU4:NU21" si="97">IF(NT4="","",IF(NT4&gt;3.7,"A",IF(NT4&gt;2.8,"B",IF(NT4&gt;1.5,"C",IF(NT4&gt;0,"D",IF(NT4=0,""))))))</f>
        <v>C</v>
      </c>
      <c r="NV4" s="152"/>
      <c r="NW4" s="65"/>
      <c r="NX4" s="65"/>
      <c r="NY4" s="85"/>
      <c r="NZ4" s="159">
        <f>IF(COUNT(NZ5:NZ9)=0,"",SUM(NZ5:NZ9)/COUNT(NZ5:NZ9))</f>
        <v>2</v>
      </c>
      <c r="OA4" s="175" t="str">
        <f t="shared" ref="OA4:OA21" si="98">IF(NZ4="","",IF(NZ4&gt;3.7,"A",IF(NZ4&gt;2.8,"B",IF(NZ4&gt;1.5,"C",IF(NZ4&gt;0,"D",IF(NZ4=0,""))))))</f>
        <v>C</v>
      </c>
      <c r="OB4" s="153"/>
      <c r="OC4" s="90"/>
      <c r="OD4" s="90"/>
      <c r="OE4" s="90"/>
      <c r="OF4" s="90"/>
      <c r="OG4" s="91"/>
      <c r="OH4" s="159">
        <f>IF(COUNT(OH5:OH9)=0,"",SUM(OH5:OH9)/COUNT(OH5:OH9))</f>
        <v>2.1041666666666665</v>
      </c>
      <c r="OI4" s="183" t="str">
        <f t="shared" ref="OI4:OI21" si="99">IF(OH4="","",IF(OH4&gt;3.7,"A",IF(OH4&gt;2.8,"B",IF(OH4&gt;1.5,"C",IF(OH4&gt;0,"D",IF(OH4=0,""))))))</f>
        <v>C</v>
      </c>
      <c r="OJ4" s="184">
        <f>IF(COUNT(OJ5:OJ9)=0,"",SUM(OJ5:OJ9)/COUNT(OJ5:OJ9))</f>
        <v>2.177083333333333</v>
      </c>
      <c r="OK4" s="185" t="str">
        <f t="shared" ref="OK4:OK21" si="100">IF(OJ4="","",IF(OJ4&gt;3.7,"A",IF(OJ4&gt;2.8,"B",IF(OJ4&gt;1.5,"C",IF(OJ4&gt;0,"D",IF(OJ4=0,""))))))</f>
        <v>C</v>
      </c>
      <c r="OL4" s="152"/>
      <c r="OM4" s="65"/>
      <c r="ON4" s="85"/>
      <c r="OO4" s="159">
        <f>IF(COUNT(OO5:OO9)=0,"",SUM(OO5:OO9)/COUNT(OO5:OO9))</f>
        <v>3.25</v>
      </c>
      <c r="OP4" s="160" t="str">
        <f t="shared" ref="OP4:OP21" si="101">IF(OO4="","",IF(OO4&gt;3.7,"A",IF(OO4&gt;2.8,"B",IF(OO4&gt;1.5,"C",IF(OO4&gt;0,"D",IF(OO4=0,""))))))</f>
        <v>B</v>
      </c>
      <c r="OQ4" s="152"/>
      <c r="OR4" s="65"/>
      <c r="OS4" s="65"/>
      <c r="OT4" s="85"/>
      <c r="OU4" s="159">
        <f>IF(COUNT(OU5:OU9)=0,"",SUM(OU5:OU9)/COUNT(OU5:OU9))</f>
        <v>4</v>
      </c>
      <c r="OV4" s="175" t="str">
        <f t="shared" ref="OV4:OV21" si="102">IF(OU4="","",IF(OU4&gt;3.7,"A",IF(OU4&gt;2.8,"B",IF(OU4&gt;1.5,"C",IF(OU4&gt;0,"D",IF(OU4=0,""))))))</f>
        <v>A</v>
      </c>
      <c r="OW4" s="153"/>
      <c r="OX4" s="90"/>
      <c r="OY4" s="90"/>
      <c r="OZ4" s="90"/>
      <c r="PA4" s="90"/>
      <c r="PB4" s="91"/>
      <c r="PC4" s="159">
        <f>IF(COUNT(PC5:PC9)=0,"",SUM(PC5:PC9)/COUNT(PC5:PC9))</f>
        <v>3.7916666666666665</v>
      </c>
      <c r="PD4" s="183" t="str">
        <f t="shared" ref="PD4:PD21" si="103">IF(PC4="","",IF(PC4&gt;3.7,"A",IF(PC4&gt;2.8,"B",IF(PC4&gt;1.5,"C",IF(PC4&gt;0,"D",IF(PC4=0,""))))))</f>
        <v>A</v>
      </c>
      <c r="PE4" s="184">
        <f>IF(COUNT(PE5:PE9)=0,"",SUM(PE5:PE9)/COUNT(PE5:PE9))</f>
        <v>3.708333333333333</v>
      </c>
      <c r="PF4" s="185" t="str">
        <f t="shared" ref="PF4:PF21" si="104">IF(PE4="","",IF(PE4&gt;3.7,"A",IF(PE4&gt;2.8,"B",IF(PE4&gt;1.5,"C",IF(PE4&gt;0,"D",IF(PE4=0,""))))))</f>
        <v>A</v>
      </c>
      <c r="PG4" s="152"/>
      <c r="PH4" s="65"/>
      <c r="PI4" s="85"/>
      <c r="PJ4" s="159">
        <f>IF(COUNT(PJ5:PJ9)=0,"",SUM(PJ5:PJ9)/COUNT(PJ5:PJ9))</f>
        <v>2.5</v>
      </c>
      <c r="PK4" s="160" t="str">
        <f t="shared" ref="PK4:PK21" si="105">IF(PJ4="","",IF(PJ4&gt;3.7,"A",IF(PJ4&gt;2.8,"B",IF(PJ4&gt;1.5,"C",IF(PJ4&gt;0,"D",IF(PJ4=0,""))))))</f>
        <v>C</v>
      </c>
      <c r="PL4" s="152"/>
      <c r="PM4" s="65"/>
      <c r="PN4" s="65"/>
      <c r="PO4" s="85"/>
      <c r="PP4" s="159">
        <f>IF(COUNT(PP5:PP9)=0,"",SUM(PP5:PP9)/COUNT(PP5:PP9))</f>
        <v>4</v>
      </c>
      <c r="PQ4" s="175" t="str">
        <f t="shared" ref="PQ4:PQ21" si="106">IF(PP4="","",IF(PP4&gt;3.7,"A",IF(PP4&gt;2.8,"B",IF(PP4&gt;1.5,"C",IF(PP4&gt;0,"D",IF(PP4=0,""))))))</f>
        <v>A</v>
      </c>
      <c r="PR4" s="153"/>
      <c r="PS4" s="90"/>
      <c r="PT4" s="90"/>
      <c r="PU4" s="90"/>
      <c r="PV4" s="90"/>
      <c r="PW4" s="91"/>
      <c r="PX4" s="159">
        <f>IF(COUNT(PX5:PX9)=0,"",SUM(PX5:PX9)/COUNT(PX5:PX9))</f>
        <v>3.166666666666667</v>
      </c>
      <c r="PY4" s="183" t="str">
        <f t="shared" ref="PY4:PY21" si="107">IF(PX4="","",IF(PX4&gt;3.7,"A",IF(PX4&gt;2.8,"B",IF(PX4&gt;1.5,"C",IF(PX4&gt;0,"D",IF(PX4=0,""))))))</f>
        <v>B</v>
      </c>
      <c r="PZ4" s="184">
        <f>IF(COUNT(PZ5:PZ9)=0,"",SUM(PZ5:PZ9)/COUNT(PZ5:PZ9))</f>
        <v>3.2083333333333335</v>
      </c>
      <c r="QA4" s="185" t="str">
        <f t="shared" ref="QA4:QA21" si="108">IF(PZ4="","",IF(PZ4&gt;3.7,"A",IF(PZ4&gt;2.8,"B",IF(PZ4&gt;1.5,"C",IF(PZ4&gt;0,"D",IF(PZ4=0,""))))))</f>
        <v>B</v>
      </c>
      <c r="QB4" s="152"/>
      <c r="QC4" s="65"/>
      <c r="QD4" s="85"/>
      <c r="QE4" s="159">
        <f>IF(COUNT(QE5:QE9)=0,"",SUM(QE5:QE9)/COUNT(QE5:QE9))</f>
        <v>2</v>
      </c>
      <c r="QF4" s="160" t="str">
        <f t="shared" ref="QF4:QF21" si="109">IF(QE4="","",IF(QE4&gt;3.7,"A",IF(QE4&gt;2.8,"B",IF(QE4&gt;1.5,"C",IF(QE4&gt;0,"D",IF(QE4=0,""))))))</f>
        <v>C</v>
      </c>
      <c r="QG4" s="152"/>
      <c r="QH4" s="65"/>
      <c r="QI4" s="65"/>
      <c r="QJ4" s="85"/>
      <c r="QK4" s="159">
        <f>IF(COUNT(QK5:QK9)=0,"",SUM(QK5:QK9)/COUNT(QK5:QK9))</f>
        <v>3</v>
      </c>
      <c r="QL4" s="175" t="str">
        <f t="shared" ref="QL4:QL21" si="110">IF(QK4="","",IF(QK4&gt;3.7,"A",IF(QK4&gt;2.8,"B",IF(QK4&gt;1.5,"C",IF(QK4&gt;0,"D",IF(QK4=0,""))))))</f>
        <v>B</v>
      </c>
      <c r="QM4" s="153"/>
      <c r="QN4" s="90"/>
      <c r="QO4" s="90"/>
      <c r="QP4" s="90"/>
      <c r="QQ4" s="90"/>
      <c r="QR4" s="91"/>
      <c r="QS4" s="159">
        <f>IF(COUNT(QS5:QS9)=0,"",SUM(QS5:QS9)/COUNT(QS5:QS9))</f>
        <v>2.875</v>
      </c>
      <c r="QT4" s="183" t="str">
        <f t="shared" ref="QT4:QT21" si="111">IF(QS4="","",IF(QS4&gt;3.7,"A",IF(QS4&gt;2.8,"B",IF(QS4&gt;1.5,"C",IF(QS4&gt;0,"D",IF(QS4=0,""))))))</f>
        <v>B</v>
      </c>
      <c r="QU4" s="184">
        <f>IF(COUNT(QU5:QU9)=0,"",SUM(QU5:QU9)/COUNT(QU5:QU9))</f>
        <v>2.6875</v>
      </c>
      <c r="QV4" s="185" t="str">
        <f t="shared" ref="QV4:QV21" si="112">IF(QU4="","",IF(QU4&gt;3.7,"A",IF(QU4&gt;2.8,"B",IF(QU4&gt;1.5,"C",IF(QU4&gt;0,"D",IF(QU4=0,""))))))</f>
        <v>C</v>
      </c>
      <c r="QW4" s="152"/>
      <c r="QX4" s="65"/>
      <c r="QY4" s="85"/>
      <c r="QZ4" s="159">
        <f>IF(COUNT(QZ5:QZ9)=0,"",SUM(QZ5:QZ9)/COUNT(QZ5:QZ9))</f>
        <v>2</v>
      </c>
      <c r="RA4" s="160" t="str">
        <f t="shared" ref="RA4:RA21" si="113">IF(QZ4="","",IF(QZ4&gt;3.7,"A",IF(QZ4&gt;2.8,"B",IF(QZ4&gt;1.5,"C",IF(QZ4&gt;0,"D",IF(QZ4=0,""))))))</f>
        <v>C</v>
      </c>
      <c r="RB4" s="152"/>
      <c r="RC4" s="65"/>
      <c r="RD4" s="65"/>
      <c r="RE4" s="85"/>
      <c r="RF4" s="159">
        <f>IF(COUNT(RF5:RF9)=0,"",SUM(RF5:RF9)/COUNT(RF5:RF9))</f>
        <v>3</v>
      </c>
      <c r="RG4" s="175" t="str">
        <f t="shared" ref="RG4:RG21" si="114">IF(RF4="","",IF(RF4&gt;3.7,"A",IF(RF4&gt;2.8,"B",IF(RF4&gt;1.5,"C",IF(RF4&gt;0,"D",IF(RF4=0,""))))))</f>
        <v>B</v>
      </c>
      <c r="RH4" s="153"/>
      <c r="RI4" s="90"/>
      <c r="RJ4" s="90"/>
      <c r="RK4" s="90"/>
      <c r="RL4" s="90"/>
      <c r="RM4" s="91"/>
      <c r="RN4" s="159">
        <f>IF(COUNT(RN5:RN9)=0,"",SUM(RN5:RN9)/COUNT(RN5:RN9))</f>
        <v>2</v>
      </c>
      <c r="RO4" s="183" t="str">
        <f t="shared" ref="RO4:RO21" si="115">IF(RN4="","",IF(RN4&gt;3.7,"A",IF(RN4&gt;2.8,"B",IF(RN4&gt;1.5,"C",IF(RN4&gt;0,"D",IF(RN4=0,""))))))</f>
        <v>C</v>
      </c>
      <c r="RP4" s="184">
        <f>IF(COUNT(RP5:RP9)=0,"",SUM(RP5:RP9)/COUNT(RP5:RP9))</f>
        <v>2.125</v>
      </c>
      <c r="RQ4" s="185" t="str">
        <f t="shared" ref="RQ4:RQ21" si="116">IF(RP4="","",IF(RP4&gt;3.7,"A",IF(RP4&gt;2.8,"B",IF(RP4&gt;1.5,"C",IF(RP4&gt;0,"D",IF(RP4=0,""))))))</f>
        <v>C</v>
      </c>
      <c r="RR4" s="152"/>
      <c r="RS4" s="65"/>
      <c r="RT4" s="85"/>
      <c r="RU4" s="159">
        <f>IF(COUNT(RU5:RU9)=0,"",SUM(RU5:RU9)/COUNT(RU5:RU9))</f>
        <v>1.75</v>
      </c>
      <c r="RV4" s="160" t="str">
        <f t="shared" ref="RV4:RV21" si="117">IF(RU4="","",IF(RU4&gt;3.7,"A",IF(RU4&gt;2.8,"B",IF(RU4&gt;1.5,"C",IF(RU4&gt;0,"D",IF(RU4=0,""))))))</f>
        <v>C</v>
      </c>
      <c r="RW4" s="152"/>
      <c r="RX4" s="65"/>
      <c r="RY4" s="65"/>
      <c r="RZ4" s="85"/>
      <c r="SA4" s="159">
        <f>IF(COUNT(SA5:SA9)=0,"",SUM(SA5:SA9)/COUNT(SA5:SA9))</f>
        <v>3</v>
      </c>
      <c r="SB4" s="175" t="str">
        <f t="shared" ref="SB4:SB21" si="118">IF(SA4="","",IF(SA4&gt;3.7,"A",IF(SA4&gt;2.8,"B",IF(SA4&gt;1.5,"C",IF(SA4&gt;0,"D",IF(SA4=0,""))))))</f>
        <v>B</v>
      </c>
      <c r="SC4" s="153"/>
      <c r="SD4" s="90"/>
      <c r="SE4" s="90"/>
      <c r="SF4" s="90"/>
      <c r="SG4" s="90"/>
      <c r="SH4" s="91"/>
      <c r="SI4" s="159">
        <f>IF(COUNT(SI5:SI9)=0,"",SUM(SI5:SI9)/COUNT(SI5:SI9))</f>
        <v>2.7083333333333335</v>
      </c>
      <c r="SJ4" s="183" t="str">
        <f t="shared" ref="SJ4:SJ21" si="119">IF(SI4="","",IF(SI4&gt;3.7,"A",IF(SI4&gt;2.8,"B",IF(SI4&gt;1.5,"C",IF(SI4&gt;0,"D",IF(SI4=0,""))))))</f>
        <v>C</v>
      </c>
      <c r="SK4" s="184">
        <f>IF(COUNT(SK5:SK9)=0,"",SUM(SK5:SK9)/COUNT(SK5:SK9))</f>
        <v>2.479166666666667</v>
      </c>
      <c r="SL4" s="185" t="str">
        <f t="shared" ref="SL4:SL21" si="120">IF(SK4="","",IF(SK4&gt;3.7,"A",IF(SK4&gt;2.8,"B",IF(SK4&gt;1.5,"C",IF(SK4&gt;0,"D",IF(SK4=0,""))))))</f>
        <v>C</v>
      </c>
      <c r="SM4" s="152"/>
      <c r="SN4" s="65"/>
      <c r="SO4" s="85"/>
      <c r="SP4" s="159">
        <f>IF(COUNT(SP5:SP9)=0,"",SUM(SP5:SP9)/COUNT(SP5:SP9))</f>
        <v>2.25</v>
      </c>
      <c r="SQ4" s="160" t="str">
        <f t="shared" ref="SQ4:SQ21" si="121">IF(SP4="","",IF(SP4&gt;3.7,"A",IF(SP4&gt;2.8,"B",IF(SP4&gt;1.5,"C",IF(SP4&gt;0,"D",IF(SP4=0,""))))))</f>
        <v>C</v>
      </c>
      <c r="SR4" s="152"/>
      <c r="SS4" s="65"/>
      <c r="ST4" s="65"/>
      <c r="SU4" s="85"/>
      <c r="SV4" s="159">
        <f>IF(COUNT(SV5:SV9)=0,"",SUM(SV5:SV9)/COUNT(SV5:SV9))</f>
        <v>3</v>
      </c>
      <c r="SW4" s="175" t="str">
        <f t="shared" ref="SW4:SW21" si="122">IF(SV4="","",IF(SV4&gt;3.7,"A",IF(SV4&gt;2.8,"B",IF(SV4&gt;1.5,"C",IF(SV4&gt;0,"D",IF(SV4=0,""))))))</f>
        <v>B</v>
      </c>
      <c r="SX4" s="153"/>
      <c r="SY4" s="90"/>
      <c r="SZ4" s="90"/>
      <c r="TA4" s="90"/>
      <c r="TB4" s="90"/>
      <c r="TC4" s="91"/>
      <c r="TD4" s="159">
        <f>IF(COUNT(TD5:TD9)=0,"",SUM(TD5:TD9)/COUNT(TD5:TD9))</f>
        <v>1.9375</v>
      </c>
      <c r="TE4" s="183" t="str">
        <f t="shared" ref="TE4:TE21" si="123">IF(TD4="","",IF(TD4&gt;3.7,"A",IF(TD4&gt;2.8,"B",IF(TD4&gt;1.5,"C",IF(TD4&gt;0,"D",IF(TD4=0,""))))))</f>
        <v>C</v>
      </c>
      <c r="TF4" s="184">
        <f>IF(COUNT(TF5:TF9)=0,"",SUM(TF5:TF9)/COUNT(TF5:TF9))</f>
        <v>2.15625</v>
      </c>
      <c r="TG4" s="185" t="str">
        <f t="shared" ref="TG4:TG21" si="124">IF(TF4="","",IF(TF4&gt;3.7,"A",IF(TF4&gt;2.8,"B",IF(TF4&gt;1.5,"C",IF(TF4&gt;0,"D",IF(TF4=0,""))))))</f>
        <v>C</v>
      </c>
      <c r="TH4" s="152"/>
      <c r="TI4" s="65"/>
      <c r="TJ4" s="85"/>
      <c r="TK4" s="159">
        <f>IF(COUNT(TK5:TK9)=0,"",SUM(TK5:TK9)/COUNT(TK5:TK9))</f>
        <v>1.75</v>
      </c>
      <c r="TL4" s="160" t="str">
        <f t="shared" ref="TL4:TL21" si="125">IF(TK4="","",IF(TK4&gt;3.7,"A",IF(TK4&gt;2.8,"B",IF(TK4&gt;1.5,"C",IF(TK4&gt;0,"D",IF(TK4=0,""))))))</f>
        <v>C</v>
      </c>
      <c r="TM4" s="152"/>
      <c r="TN4" s="65"/>
      <c r="TO4" s="65"/>
      <c r="TP4" s="85"/>
      <c r="TQ4" s="159">
        <f>IF(COUNT(TQ5:TQ9)=0,"",SUM(TQ5:TQ9)/COUNT(TQ5:TQ9))</f>
        <v>2</v>
      </c>
      <c r="TR4" s="175" t="str">
        <f t="shared" ref="TR4:TR21" si="126">IF(TQ4="","",IF(TQ4&gt;3.7,"A",IF(TQ4&gt;2.8,"B",IF(TQ4&gt;1.5,"C",IF(TQ4&gt;0,"D",IF(TQ4=0,""))))))</f>
        <v>C</v>
      </c>
      <c r="TS4" s="153"/>
      <c r="TT4" s="90"/>
      <c r="TU4" s="90"/>
      <c r="TV4" s="90"/>
      <c r="TW4" s="90"/>
      <c r="TX4" s="91"/>
      <c r="TY4" s="159">
        <f>IF(COUNT(TY5:TY9)=0,"",SUM(TY5:TY9)/COUNT(TY5:TY9))</f>
        <v>1.5833333333333335</v>
      </c>
      <c r="TZ4" s="183" t="str">
        <f t="shared" ref="TZ4:TZ21" si="127">IF(TY4="","",IF(TY4&gt;3.7,"A",IF(TY4&gt;2.8,"B",IF(TY4&gt;1.5,"C",IF(TY4&gt;0,"D",IF(TY4=0,""))))))</f>
        <v>C</v>
      </c>
      <c r="UA4" s="184">
        <f>IF(COUNT(UA5:UA9)=0,"",SUM(UA5:UA9)/COUNT(UA5:UA9))</f>
        <v>1.7291666666666667</v>
      </c>
      <c r="UB4" s="185" t="str">
        <f t="shared" ref="UB4:UB21" si="128">IF(UA4="","",IF(UA4&gt;3.7,"A",IF(UA4&gt;2.8,"B",IF(UA4&gt;1.5,"C",IF(UA4&gt;0,"D",IF(UA4=0,""))))))</f>
        <v>C</v>
      </c>
      <c r="UC4" s="84"/>
      <c r="UD4" s="65"/>
      <c r="UE4" s="85"/>
      <c r="UF4" s="86" t="str">
        <f>IF(COUNT(UF5:UF9)=0,"",SUM(UF5:UF9)/COUNT(UF5:UF9))</f>
        <v/>
      </c>
      <c r="UG4" s="87" t="str">
        <f t="shared" ref="UG4:UG21" si="129">IF(UF4="","",IF(UF4&gt;3.7,"A",IF(UF4&gt;2.8,"B",IF(UF4&gt;1.5,"C",IF(UF4&gt;0,"D",IF(UF4=0,""))))))</f>
        <v/>
      </c>
      <c r="UH4" s="84"/>
      <c r="UI4" s="65"/>
      <c r="UJ4" s="85"/>
      <c r="UK4" s="86" t="str">
        <f>IF(COUNT(UK5:UK9)=0,"",SUM(UK5:UK9)/COUNT(UK5:UK9))</f>
        <v/>
      </c>
      <c r="UL4" s="88" t="str">
        <f t="shared" ref="UL4:UL21" si="130">IF(UK4="","",IF(UK4&gt;3.7,"A",IF(UK4&gt;2.8,"B",IF(UK4&gt;1.5,"C",IF(UK4&gt;0,"D",IF(UK4=0,""))))))</f>
        <v/>
      </c>
      <c r="UM4" s="89"/>
      <c r="UN4" s="90"/>
      <c r="UO4" s="91"/>
      <c r="UP4" s="86" t="str">
        <f>IF(COUNT(UP5:UP9)=0,"",SUM(UP5:UP9)/COUNT(UP5:UP9))</f>
        <v/>
      </c>
      <c r="UQ4" s="92" t="str">
        <f t="shared" ref="UQ4:UQ21" si="131">IF(UP4="","",IF(UP4&gt;3.7,"A",IF(UP4&gt;2.8,"B",IF(UP4&gt;1.5,"C",IF(UP4&gt;0,"D",IF(UP4=0,""))))))</f>
        <v/>
      </c>
      <c r="UR4" s="93" t="str">
        <f>IF(COUNT(UR5:UR9)=0,"",SUM(UR5:UR9)/COUNT(UR5:UR9))</f>
        <v/>
      </c>
      <c r="US4" s="94" t="str">
        <f t="shared" ref="US4:US21" si="132">IF(UR4="","",IF(UR4&gt;3.7,"A",IF(UR4&gt;2.8,"B",IF(UR4&gt;1.5,"C",IF(UR4&gt;0,"D",IF(UR4=0,""))))))</f>
        <v/>
      </c>
      <c r="UT4" s="84"/>
      <c r="UU4" s="65"/>
      <c r="UV4" s="85"/>
      <c r="UW4" s="86" t="str">
        <f>IF(COUNT(UW5:UW9)=0,"",SUM(UW5:UW9)/COUNT(UW5:UW9))</f>
        <v/>
      </c>
      <c r="UX4" s="87" t="str">
        <f t="shared" ref="UX4:UX21" si="133">IF(UW4="","",IF(UW4&gt;3.7,"A",IF(UW4&gt;2.8,"B",IF(UW4&gt;1.5,"C",IF(UW4&gt;0,"D",IF(UW4=0,""))))))</f>
        <v/>
      </c>
      <c r="UY4" s="84"/>
      <c r="UZ4" s="65"/>
      <c r="VA4" s="85"/>
      <c r="VB4" s="86" t="str">
        <f>IF(COUNT(VB5:VB9)=0,"",SUM(VB5:VB9)/COUNT(VB5:VB9))</f>
        <v/>
      </c>
      <c r="VC4" s="88" t="str">
        <f t="shared" ref="VC4:VC21" si="134">IF(VB4="","",IF(VB4&gt;3.7,"A",IF(VB4&gt;2.8,"B",IF(VB4&gt;1.5,"C",IF(VB4&gt;0,"D",IF(VB4=0,""))))))</f>
        <v/>
      </c>
      <c r="VD4" s="89"/>
      <c r="VE4" s="90"/>
      <c r="VF4" s="91"/>
      <c r="VG4" s="86" t="str">
        <f>IF(COUNT(VG5:VG9)=0,"",SUM(VG5:VG9)/COUNT(VG5:VG9))</f>
        <v/>
      </c>
      <c r="VH4" s="92" t="str">
        <f t="shared" ref="VH4:VH21" si="135">IF(VG4="","",IF(VG4&gt;3.7,"A",IF(VG4&gt;2.8,"B",IF(VG4&gt;1.5,"C",IF(VG4&gt;0,"D",IF(VG4=0,""))))))</f>
        <v/>
      </c>
      <c r="VI4" s="93" t="str">
        <f>IF(COUNT(VI5:VI9)=0,"",SUM(VI5:VI9)/COUNT(VI5:VI9))</f>
        <v/>
      </c>
      <c r="VJ4" s="94" t="str">
        <f t="shared" ref="VJ4:VJ21" si="136">IF(VI4="","",IF(VI4&gt;3.7,"A",IF(VI4&gt;2.8,"B",IF(VI4&gt;1.5,"C",IF(VI4&gt;0,"D",IF(VI4=0,""))))))</f>
        <v/>
      </c>
      <c r="VK4" s="84"/>
      <c r="VL4" s="65"/>
      <c r="VM4" s="85"/>
      <c r="VN4" s="86" t="str">
        <f>IF(COUNT(VN5:VN9)=0,"",SUM(VN5:VN9)/COUNT(VN5:VN9))</f>
        <v/>
      </c>
      <c r="VO4" s="87" t="str">
        <f t="shared" ref="VO4:VO21" si="137">IF(VN4="","",IF(VN4&gt;3.7,"A",IF(VN4&gt;2.8,"B",IF(VN4&gt;1.5,"C",IF(VN4&gt;0,"D",IF(VN4=0,""))))))</f>
        <v/>
      </c>
      <c r="VP4" s="84"/>
      <c r="VQ4" s="65"/>
      <c r="VR4" s="85"/>
      <c r="VS4" s="86" t="str">
        <f>IF(COUNT(VS5:VS9)=0,"",SUM(VS5:VS9)/COUNT(VS5:VS9))</f>
        <v/>
      </c>
      <c r="VT4" s="88" t="str">
        <f t="shared" ref="VT4:VT21" si="138">IF(VS4="","",IF(VS4&gt;3.7,"A",IF(VS4&gt;2.8,"B",IF(VS4&gt;1.5,"C",IF(VS4&gt;0,"D",IF(VS4=0,""))))))</f>
        <v/>
      </c>
      <c r="VU4" s="89"/>
      <c r="VV4" s="90"/>
      <c r="VW4" s="91"/>
      <c r="VX4" s="86" t="str">
        <f>IF(COUNT(VX5:VX9)=0,"",SUM(VX5:VX9)/COUNT(VX5:VX9))</f>
        <v/>
      </c>
      <c r="VY4" s="92" t="str">
        <f t="shared" ref="VY4:VY21" si="139">IF(VX4="","",IF(VX4&gt;3.7,"A",IF(VX4&gt;2.8,"B",IF(VX4&gt;1.5,"C",IF(VX4&gt;0,"D",IF(VX4=0,""))))))</f>
        <v/>
      </c>
      <c r="VZ4" s="93" t="str">
        <f>IF(COUNT(VZ5:VZ9)=0,"",SUM(VZ5:VZ9)/COUNT(VZ5:VZ9))</f>
        <v/>
      </c>
      <c r="WA4" s="94" t="str">
        <f t="shared" ref="WA4:WA21" si="140">IF(VZ4="","",IF(VZ4&gt;3.7,"A",IF(VZ4&gt;2.8,"B",IF(VZ4&gt;1.5,"C",IF(VZ4&gt;0,"D",IF(VZ4=0,""))))))</f>
        <v/>
      </c>
      <c r="WB4" s="84"/>
      <c r="WC4" s="65"/>
      <c r="WD4" s="85"/>
      <c r="WE4" s="86" t="str">
        <f>IF(COUNT(WE5:WE9)=0,"",SUM(WE5:WE9)/COUNT(WE5:WE9))</f>
        <v/>
      </c>
      <c r="WF4" s="87" t="str">
        <f t="shared" ref="WF4:WF21" si="141">IF(WE4="","",IF(WE4&gt;3.7,"A",IF(WE4&gt;2.8,"B",IF(WE4&gt;1.5,"C",IF(WE4&gt;0,"D",IF(WE4=0,""))))))</f>
        <v/>
      </c>
      <c r="WG4" s="84"/>
      <c r="WH4" s="65"/>
      <c r="WI4" s="85"/>
      <c r="WJ4" s="86" t="str">
        <f>IF(COUNT(WJ5:WJ9)=0,"",SUM(WJ5:WJ9)/COUNT(WJ5:WJ9))</f>
        <v/>
      </c>
      <c r="WK4" s="88" t="str">
        <f t="shared" ref="WK4:WK21" si="142">IF(WJ4="","",IF(WJ4&gt;3.7,"A",IF(WJ4&gt;2.8,"B",IF(WJ4&gt;1.5,"C",IF(WJ4&gt;0,"D",IF(WJ4=0,""))))))</f>
        <v/>
      </c>
      <c r="WL4" s="89"/>
      <c r="WM4" s="90"/>
      <c r="WN4" s="91"/>
      <c r="WO4" s="86" t="str">
        <f>IF(COUNT(WO5:WO9)=0,"",SUM(WO5:WO9)/COUNT(WO5:WO9))</f>
        <v/>
      </c>
      <c r="WP4" s="92" t="str">
        <f t="shared" ref="WP4:WP21" si="143">IF(WO4="","",IF(WO4&gt;3.7,"A",IF(WO4&gt;2.8,"B",IF(WO4&gt;1.5,"C",IF(WO4&gt;0,"D",IF(WO4=0,""))))))</f>
        <v/>
      </c>
      <c r="WQ4" s="93" t="str">
        <f>IF(COUNT(WQ5:WQ9)=0,"",SUM(WQ5:WQ9)/COUNT(WQ5:WQ9))</f>
        <v/>
      </c>
      <c r="WR4" s="94" t="str">
        <f t="shared" ref="WR4:WR21" si="144">IF(WQ4="","",IF(WQ4&gt;3.7,"A",IF(WQ4&gt;2.8,"B",IF(WQ4&gt;1.5,"C",IF(WQ4&gt;0,"D",IF(WQ4=0,""))))))</f>
        <v/>
      </c>
    </row>
    <row r="5" spans="1:616" ht="18" customHeight="1" x14ac:dyDescent="0.55000000000000004">
      <c r="A5" s="217" t="s">
        <v>12</v>
      </c>
      <c r="B5" s="218"/>
      <c r="C5" s="96" t="s">
        <v>28</v>
      </c>
      <c r="D5" s="97" t="s">
        <v>28</v>
      </c>
      <c r="E5" s="98"/>
      <c r="F5" s="161">
        <f>IFERROR((((COUNTIF('Elève (3ème2)'!C5:E5,"A"))*4)+((COUNTIF('Elève (3ème2)'!C5:E5,"B"))*3)+((COUNTIF('Elève (3ème2)'!C5:E5,"C"))*2)+((COUNTIF('Elève (3ème2)'!C5:E5,"D"))*1))/(COUNTA(C5:E5)),"")</f>
        <v>3</v>
      </c>
      <c r="G5" s="162" t="str">
        <f t="shared" si="25"/>
        <v>B</v>
      </c>
      <c r="H5" s="96"/>
      <c r="I5" s="97"/>
      <c r="J5" s="98"/>
      <c r="K5" s="98"/>
      <c r="L5" s="161" t="str">
        <f>IFERROR((((COUNTIF('Elève (3ème2)'!H5:K5,"A"))*4)+((COUNTIF('Elève (3ème2)'!H5:K5,"B"))*3)+((COUNTIF('Elève (3ème2)'!H5:K5,"C"))*2)+((COUNTIF('Elève (3ème2)'!H5:K5,"D"))*1))/(COUNTA(H5:K5)),"")</f>
        <v/>
      </c>
      <c r="M5" s="162" t="str">
        <f t="shared" si="26"/>
        <v/>
      </c>
      <c r="N5" s="96" t="s">
        <v>27</v>
      </c>
      <c r="O5" s="97" t="s">
        <v>28</v>
      </c>
      <c r="P5" s="98"/>
      <c r="Q5" s="98"/>
      <c r="R5" s="98" t="s">
        <v>27</v>
      </c>
      <c r="S5" s="98"/>
      <c r="T5" s="161">
        <f>IFERROR((((COUNTIF('Elève (3ème2)'!N5:S5,"A"))*4)+((COUNTIF('Elève (3ème2)'!N5:S5,"B"))*3)+((COUNTIF('Elève (3ème2)'!N5:S5,"C"))*2)+((COUNTIF('Elève (3ème2)'!N5:S5,"D"))*1))/(COUNTA(N5:S5)),"")</f>
        <v>3.6666666666666665</v>
      </c>
      <c r="U5" s="162" t="str">
        <f t="shared" si="27"/>
        <v>B</v>
      </c>
      <c r="V5" s="161">
        <f>IF(COUNT(F5,L5,T5)=0,"",SUM(F5,L5,T5)/COUNT(F5,L5,T5))</f>
        <v>3.333333333333333</v>
      </c>
      <c r="W5" s="186" t="str">
        <f t="shared" si="28"/>
        <v>B</v>
      </c>
      <c r="X5" s="96" t="s">
        <v>27</v>
      </c>
      <c r="Y5" s="97" t="s">
        <v>28</v>
      </c>
      <c r="Z5" s="98"/>
      <c r="AA5" s="161">
        <f>IFERROR((((COUNTIF('Elève (3ème2)'!X5:Z5,"A"))*4)+((COUNTIF('Elève (3ème2)'!X5:Z5,"B"))*3)+((COUNTIF('Elève (3ème2)'!X5:Z5,"C"))*2)+((COUNTIF('Elève (3ème2)'!X5:Z5,"D"))*1))/(COUNTA(X5:Z5)),"")</f>
        <v>3.5</v>
      </c>
      <c r="AB5" s="162" t="str">
        <f t="shared" si="29"/>
        <v>B</v>
      </c>
      <c r="AC5" s="96"/>
      <c r="AD5" s="97"/>
      <c r="AE5" s="98"/>
      <c r="AF5" s="98"/>
      <c r="AG5" s="161" t="str">
        <f>IFERROR((((COUNTIF('Elève (3ème2)'!AC5:AF5,"A"))*4)+((COUNTIF('Elève (3ème2)'!AC5:AF5,"B"))*3)+((COUNTIF('Elève (3ème2)'!AC5:AF5,"C"))*2)+((COUNTIF('Elève (3ème2)'!AC5:AF5,"D"))*1))/(COUNTA(AC5:AF5)),"")</f>
        <v/>
      </c>
      <c r="AH5" s="162" t="str">
        <f t="shared" si="30"/>
        <v/>
      </c>
      <c r="AI5" s="96" t="s">
        <v>29</v>
      </c>
      <c r="AJ5" s="97" t="s">
        <v>30</v>
      </c>
      <c r="AK5" s="98"/>
      <c r="AL5" s="98"/>
      <c r="AM5" s="98" t="s">
        <v>29</v>
      </c>
      <c r="AN5" s="102"/>
      <c r="AO5" s="161">
        <f>IFERROR((((COUNTIF('Elève (3ème2)'!AI5:AN5,"A"))*4)+((COUNTIF('Elève (3ème2)'!AI5:AN5,"B"))*3)+((COUNTIF('Elève (3ème2)'!AI5:AN5,"C"))*2)+((COUNTIF('Elève (3ème2)'!AI5:AN5,"D"))*1))/(COUNTA(AI5:AN5)),"")</f>
        <v>1.6666666666666667</v>
      </c>
      <c r="AP5" s="162" t="str">
        <f t="shared" si="31"/>
        <v>C</v>
      </c>
      <c r="AQ5" s="161">
        <f>IF(COUNT(AA5,AG5,AO5)=0,"",SUM(AA5,AG5,AO5)/COUNT(AA5,AG5,AO5))</f>
        <v>2.5833333333333335</v>
      </c>
      <c r="AR5" s="186" t="str">
        <f t="shared" si="32"/>
        <v>C</v>
      </c>
      <c r="AS5" s="96" t="s">
        <v>28</v>
      </c>
      <c r="AT5" s="97" t="s">
        <v>29</v>
      </c>
      <c r="AU5" s="98"/>
      <c r="AV5" s="161">
        <f>IFERROR((((COUNTIF('Elève (3ème2)'!AS5:AU5,"A"))*4)+((COUNTIF('Elève (3ème2)'!AS5:AU5,"B"))*3)+((COUNTIF('Elève (3ème2)'!AS5:AU5,"C"))*2)+((COUNTIF('Elève (3ème2)'!AS5:AU5,"D"))*1))/(COUNTA(AS5:AU5)),"")</f>
        <v>2.5</v>
      </c>
      <c r="AW5" s="162" t="str">
        <f t="shared" si="33"/>
        <v>C</v>
      </c>
      <c r="AX5" s="96"/>
      <c r="AY5" s="97"/>
      <c r="AZ5" s="98"/>
      <c r="BA5" s="98"/>
      <c r="BB5" s="161" t="str">
        <f>IFERROR((((COUNTIF('Elève (3ème2)'!AX5:BA5,"A"))*4)+((COUNTIF('Elève (3ème2)'!AX5:BA5,"B"))*3)+((COUNTIF('Elève (3ème2)'!AX5:BA5,"C"))*2)+((COUNTIF('Elève (3ème2)'!AX5:BA5,"D"))*1))/(COUNTA(AX5:BA5)),"")</f>
        <v/>
      </c>
      <c r="BC5" s="162" t="str">
        <f t="shared" si="34"/>
        <v/>
      </c>
      <c r="BD5" s="96" t="s">
        <v>29</v>
      </c>
      <c r="BE5" s="97" t="s">
        <v>29</v>
      </c>
      <c r="BF5" s="98"/>
      <c r="BG5" s="98"/>
      <c r="BH5" s="98" t="s">
        <v>28</v>
      </c>
      <c r="BI5" s="102"/>
      <c r="BJ5" s="161">
        <f>IFERROR((((COUNTIF('Elève (3ème2)'!BD5:BI5,"A"))*4)+((COUNTIF('Elève (3ème2)'!BD5:BI5,"B"))*3)+((COUNTIF('Elève (3ème2)'!BD5:BI5,"C"))*2)+((COUNTIF('Elève (3ème2)'!BD5:BI5,"D"))*1))/(COUNTA(BD5:BI5)),"")</f>
        <v>2.3333333333333335</v>
      </c>
      <c r="BK5" s="162" t="str">
        <f t="shared" si="35"/>
        <v>C</v>
      </c>
      <c r="BL5" s="161">
        <f>IF(COUNT(AV5,BB5,BJ5)=0,"",SUM(AV5,BB5,BJ5)/COUNT(AV5,BB5,BJ5))</f>
        <v>2.416666666666667</v>
      </c>
      <c r="BM5" s="186" t="str">
        <f t="shared" si="36"/>
        <v>C</v>
      </c>
      <c r="BN5" s="96" t="s">
        <v>27</v>
      </c>
      <c r="BO5" s="97" t="s">
        <v>28</v>
      </c>
      <c r="BP5" s="98"/>
      <c r="BQ5" s="161">
        <f>IFERROR((((COUNTIF('Elève (3ème2)'!BN5:BP5,"A"))*4)+((COUNTIF('Elève (3ème2)'!BN5:BP5,"B"))*3)+((COUNTIF('Elève (3ème2)'!BN5:BP5,"C"))*2)+((COUNTIF('Elève (3ème2)'!BN5:BP5,"D"))*1))/(COUNTA(BN5:BP5)),"")</f>
        <v>3.5</v>
      </c>
      <c r="BR5" s="162" t="str">
        <f t="shared" si="37"/>
        <v>B</v>
      </c>
      <c r="BS5" s="96"/>
      <c r="BT5" s="97"/>
      <c r="BU5" s="98"/>
      <c r="BV5" s="98"/>
      <c r="BW5" s="161" t="str">
        <f>IFERROR((((COUNTIF('Elève (3ème2)'!BS5:BV5,"A"))*4)+((COUNTIF('Elève (3ème2)'!BS5:BV5,"B"))*3)+((COUNTIF('Elève (3ème2)'!BS5:BV5,"C"))*2)+((COUNTIF('Elève (3ème2)'!BS5:BV5,"D"))*1))/(COUNTA(BS5:BV5)),"")</f>
        <v/>
      </c>
      <c r="BX5" s="162" t="str">
        <f t="shared" si="38"/>
        <v/>
      </c>
      <c r="BY5" s="96" t="s">
        <v>28</v>
      </c>
      <c r="BZ5" s="97" t="s">
        <v>30</v>
      </c>
      <c r="CA5" s="98"/>
      <c r="CB5" s="98"/>
      <c r="CC5" s="98" t="s">
        <v>28</v>
      </c>
      <c r="CD5" s="102"/>
      <c r="CE5" s="161">
        <f>IFERROR((((COUNTIF('Elève (3ème2)'!BY5:CD5,"A"))*4)+((COUNTIF('Elève (3ème2)'!BY5:CD5,"B"))*3)+((COUNTIF('Elève (3ème2)'!BY5:CD5,"C"))*2)+((COUNTIF('Elève (3ème2)'!BY5:CD5,"D"))*1))/(COUNTA(BY5:CD5)),"")</f>
        <v>2.3333333333333335</v>
      </c>
      <c r="CF5" s="162" t="str">
        <f t="shared" si="39"/>
        <v>C</v>
      </c>
      <c r="CG5" s="161">
        <f>IF(COUNT(BQ5,BW5,CE5)=0,"",SUM(BQ5,BW5,CE5)/COUNT(BQ5,BW5,CE5))</f>
        <v>2.916666666666667</v>
      </c>
      <c r="CH5" s="186" t="str">
        <f t="shared" si="40"/>
        <v>B</v>
      </c>
      <c r="CI5" s="96" t="s">
        <v>28</v>
      </c>
      <c r="CJ5" s="97" t="s">
        <v>29</v>
      </c>
      <c r="CK5" s="98"/>
      <c r="CL5" s="161">
        <f>IFERROR((((COUNTIF('Elève (3ème2)'!CI5:CK5,"A"))*4)+((COUNTIF('Elève (3ème2)'!CI5:CK5,"B"))*3)+((COUNTIF('Elève (3ème2)'!CI5:CK5,"C"))*2)+((COUNTIF('Elève (3ème2)'!CI5:CK5,"D"))*1))/(COUNTA(CI5:CK5)),"")</f>
        <v>2.5</v>
      </c>
      <c r="CM5" s="162" t="str">
        <f t="shared" si="41"/>
        <v>C</v>
      </c>
      <c r="CN5" s="96"/>
      <c r="CO5" s="97"/>
      <c r="CP5" s="98"/>
      <c r="CQ5" s="98"/>
      <c r="CR5" s="161" t="str">
        <f>IFERROR((((COUNTIF('Elève (3ème2)'!CN5:CQ5,"A"))*4)+((COUNTIF('Elève (3ème2)'!CN5:CQ5,"B"))*3)+((COUNTIF('Elève (3ème2)'!CN5:CQ5,"C"))*2)+((COUNTIF('Elève (3ème2)'!CN5:CQ5,"D"))*1))/(COUNTA(CN5:CQ5)),"")</f>
        <v/>
      </c>
      <c r="CS5" s="162" t="str">
        <f t="shared" si="42"/>
        <v/>
      </c>
      <c r="CT5" s="96" t="s">
        <v>27</v>
      </c>
      <c r="CU5" s="97" t="s">
        <v>30</v>
      </c>
      <c r="CV5" s="98"/>
      <c r="CW5" s="98"/>
      <c r="CX5" s="98" t="s">
        <v>28</v>
      </c>
      <c r="CY5" s="102"/>
      <c r="CZ5" s="161">
        <f>IFERROR((((COUNTIF('Elève (3ème2)'!CT5:CY5,"A"))*4)+((COUNTIF('Elève (3ème2)'!CT5:CY5,"B"))*3)+((COUNTIF('Elève (3ème2)'!CT5:CY5,"C"))*2)+((COUNTIF('Elève (3ème2)'!CT5:CY5,"D"))*1))/(COUNTA(CT5:CY5)),"")</f>
        <v>2.6666666666666665</v>
      </c>
      <c r="DA5" s="162" t="str">
        <f t="shared" si="43"/>
        <v>C</v>
      </c>
      <c r="DB5" s="161">
        <f>IF(COUNT(CL5,CR5,CZ5)=0,"",SUM(CL5,CR5,CZ5)/COUNT(CL5,CR5,CZ5))</f>
        <v>2.583333333333333</v>
      </c>
      <c r="DC5" s="186" t="str">
        <f t="shared" si="44"/>
        <v>C</v>
      </c>
      <c r="DD5" s="96" t="s">
        <v>27</v>
      </c>
      <c r="DE5" s="97" t="s">
        <v>27</v>
      </c>
      <c r="DF5" s="98"/>
      <c r="DG5" s="161">
        <f>IFERROR((((COUNTIF('Elève (3ème2)'!DD5:DF5,"A"))*4)+((COUNTIF('Elève (3ème2)'!DD5:DF5,"B"))*3)+((COUNTIF('Elève (3ème2)'!DD5:DF5,"C"))*2)+((COUNTIF('Elève (3ème2)'!DD5:DF5,"D"))*1))/(COUNTA(DD5:DF5)),"")</f>
        <v>4</v>
      </c>
      <c r="DH5" s="162" t="str">
        <f t="shared" si="45"/>
        <v>A</v>
      </c>
      <c r="DI5" s="96"/>
      <c r="DJ5" s="97"/>
      <c r="DK5" s="98"/>
      <c r="DL5" s="98"/>
      <c r="DM5" s="161" t="str">
        <f>IFERROR((((COUNTIF('Elève (3ème2)'!DI5:DL5,"A"))*4)+((COUNTIF('Elève (3ème2)'!DI5:DL5,"B"))*3)+((COUNTIF('Elève (3ème2)'!DI5:DL5,"C"))*2)+((COUNTIF('Elève (3ème2)'!DI5:DL5,"D"))*1))/(COUNTA(DI5:DL5)),"")</f>
        <v/>
      </c>
      <c r="DN5" s="162" t="str">
        <f t="shared" si="46"/>
        <v/>
      </c>
      <c r="DO5" s="96" t="s">
        <v>28</v>
      </c>
      <c r="DP5" s="97" t="s">
        <v>29</v>
      </c>
      <c r="DQ5" s="98"/>
      <c r="DR5" s="98"/>
      <c r="DS5" s="98" t="s">
        <v>28</v>
      </c>
      <c r="DT5" s="102"/>
      <c r="DU5" s="161">
        <f>IFERROR((((COUNTIF('Elève (3ème2)'!DO5:DT5,"A"))*4)+((COUNTIF('Elève (3ème2)'!DO5:DT5,"B"))*3)+((COUNTIF('Elève (3ème2)'!DO5:DT5,"C"))*2)+((COUNTIF('Elève (3ème2)'!DO5:DT5,"D"))*1))/(COUNTA(DO5:DT5)),"")</f>
        <v>2.6666666666666665</v>
      </c>
      <c r="DV5" s="162" t="str">
        <f t="shared" si="47"/>
        <v>C</v>
      </c>
      <c r="DW5" s="161">
        <f>IF(COUNT(DG5,DM5,DU5)=0,"",SUM(DG5,DM5,DU5)/COUNT(DG5,DM5,DU5))</f>
        <v>3.333333333333333</v>
      </c>
      <c r="DX5" s="186" t="str">
        <f t="shared" si="48"/>
        <v>B</v>
      </c>
      <c r="DY5" s="96" t="s">
        <v>27</v>
      </c>
      <c r="DZ5" s="97" t="s">
        <v>29</v>
      </c>
      <c r="EA5" s="98"/>
      <c r="EB5" s="161">
        <f>IFERROR((((COUNTIF('Elève (3ème2)'!DY5:EA5,"A"))*4)+((COUNTIF('Elève (3ème2)'!DY5:EA5,"B"))*3)+((COUNTIF('Elève (3ème2)'!DY5:EA5,"C"))*2)+((COUNTIF('Elève (3ème2)'!DY5:EA5,"D"))*1))/(COUNTA(DY5:EA5)),"")</f>
        <v>3</v>
      </c>
      <c r="EC5" s="162" t="str">
        <f t="shared" si="49"/>
        <v>B</v>
      </c>
      <c r="ED5" s="96"/>
      <c r="EE5" s="97"/>
      <c r="EF5" s="98"/>
      <c r="EG5" s="98"/>
      <c r="EH5" s="161" t="str">
        <f>IFERROR((((COUNTIF('Elève (3ème2)'!ED5:EG5,"A"))*4)+((COUNTIF('Elève (3ème2)'!ED5:EG5,"B"))*3)+((COUNTIF('Elève (3ème2)'!ED5:EG5,"C"))*2)+((COUNTIF('Elève (3ème2)'!ED5:EG5,"D"))*1))/(COUNTA(ED5:EG5)),"")</f>
        <v/>
      </c>
      <c r="EI5" s="162" t="str">
        <f t="shared" si="50"/>
        <v/>
      </c>
      <c r="EJ5" s="96" t="s">
        <v>28</v>
      </c>
      <c r="EK5" s="97" t="s">
        <v>28</v>
      </c>
      <c r="EL5" s="98"/>
      <c r="EM5" s="98"/>
      <c r="EN5" s="98" t="s">
        <v>28</v>
      </c>
      <c r="EO5" s="102"/>
      <c r="EP5" s="161">
        <f>IFERROR((((COUNTIF('Elève (3ème2)'!EJ5:EO5,"A"))*4)+((COUNTIF('Elève (3ème2)'!EJ5:EO5,"B"))*3)+((COUNTIF('Elève (3ème2)'!EJ5:EO5,"C"))*2)+((COUNTIF('Elève (3ème2)'!EJ5:EO5,"D"))*1))/(COUNTA(EJ5:EO5)),"")</f>
        <v>3</v>
      </c>
      <c r="EQ5" s="162" t="str">
        <f t="shared" si="51"/>
        <v>B</v>
      </c>
      <c r="ER5" s="161">
        <f>IF(COUNT(EB5,EH5,EP5)=0,"",SUM(EB5,EH5,EP5)/COUNT(EB5,EH5,EP5))</f>
        <v>3</v>
      </c>
      <c r="ES5" s="186" t="str">
        <f t="shared" si="52"/>
        <v>B</v>
      </c>
      <c r="ET5" s="96" t="s">
        <v>29</v>
      </c>
      <c r="EU5" s="97" t="s">
        <v>28</v>
      </c>
      <c r="EV5" s="98"/>
      <c r="EW5" s="161">
        <f>IFERROR((((COUNTIF('Elève (3ème2)'!ET5:EV5,"A"))*4)+((COUNTIF('Elève (3ème2)'!ET5:EV5,"B"))*3)+((COUNTIF('Elève (3ème2)'!ET5:EV5,"C"))*2)+((COUNTIF('Elève (3ème2)'!ET5:EV5,"D"))*1))/(COUNTA(ET5:EV5)),"")</f>
        <v>2.5</v>
      </c>
      <c r="EX5" s="162" t="str">
        <f t="shared" si="53"/>
        <v>C</v>
      </c>
      <c r="EY5" s="96"/>
      <c r="EZ5" s="97"/>
      <c r="FA5" s="98"/>
      <c r="FB5" s="98"/>
      <c r="FC5" s="161" t="str">
        <f>IFERROR((((COUNTIF('Elève (3ème2)'!EY5:FB5,"A"))*4)+((COUNTIF('Elève (3ème2)'!EY5:FB5,"B"))*3)+((COUNTIF('Elève (3ème2)'!EY5:FB5,"C"))*2)+((COUNTIF('Elève (3ème2)'!EY5:FB5,"D"))*1))/(COUNTA(EY5:FB5)),"")</f>
        <v/>
      </c>
      <c r="FD5" s="162" t="str">
        <f t="shared" si="54"/>
        <v/>
      </c>
      <c r="FE5" s="96" t="s">
        <v>27</v>
      </c>
      <c r="FF5" s="97" t="s">
        <v>29</v>
      </c>
      <c r="FG5" s="98"/>
      <c r="FH5" s="98"/>
      <c r="FI5" s="98" t="s">
        <v>27</v>
      </c>
      <c r="FJ5" s="102"/>
      <c r="FK5" s="161">
        <f>IFERROR((((COUNTIF('Elève (3ème2)'!FE5:FJ5,"A"))*4)+((COUNTIF('Elève (3ème2)'!FE5:FJ5,"B"))*3)+((COUNTIF('Elève (3ème2)'!FE5:FJ5,"C"))*2)+((COUNTIF('Elève (3ème2)'!FE5:FJ5,"D"))*1))/(COUNTA(FE5:FJ5)),"")</f>
        <v>3.3333333333333335</v>
      </c>
      <c r="FL5" s="162" t="str">
        <f t="shared" si="55"/>
        <v>B</v>
      </c>
      <c r="FM5" s="161">
        <f>IF(COUNT(EW5,FC5,FK5)=0,"",SUM(EW5,FC5,FK5)/COUNT(EW5,FC5,FK5))</f>
        <v>2.916666666666667</v>
      </c>
      <c r="FN5" s="186" t="str">
        <f t="shared" si="56"/>
        <v>B</v>
      </c>
      <c r="FO5" s="96" t="s">
        <v>28</v>
      </c>
      <c r="FP5" s="97" t="s">
        <v>30</v>
      </c>
      <c r="FQ5" s="98"/>
      <c r="FR5" s="161">
        <f>IFERROR((((COUNTIF('Elève (3ème2)'!FO5:FQ5,"A"))*4)+((COUNTIF('Elève (3ème2)'!FO5:FQ5,"B"))*3)+((COUNTIF('Elève (3ème2)'!FO5:FQ5,"C"))*2)+((COUNTIF('Elève (3ème2)'!FO5:FQ5,"D"))*1))/(COUNTA(FO5:FQ5)),"")</f>
        <v>2</v>
      </c>
      <c r="FS5" s="162" t="str">
        <f t="shared" si="57"/>
        <v>C</v>
      </c>
      <c r="FT5" s="96"/>
      <c r="FU5" s="97"/>
      <c r="FV5" s="98"/>
      <c r="FW5" s="98"/>
      <c r="FX5" s="161" t="str">
        <f>IFERROR((((COUNTIF('Elève (3ème2)'!FT5:FW5,"A"))*4)+((COUNTIF('Elève (3ème2)'!FT5:FW5,"B"))*3)+((COUNTIF('Elève (3ème2)'!FT5:FW5,"C"))*2)+((COUNTIF('Elève (3ème2)'!FT5:FW5,"D"))*1))/(COUNTA(FT5:FW5)),"")</f>
        <v/>
      </c>
      <c r="FY5" s="162" t="str">
        <f t="shared" si="58"/>
        <v/>
      </c>
      <c r="FZ5" s="96" t="s">
        <v>28</v>
      </c>
      <c r="GA5" s="97" t="s">
        <v>29</v>
      </c>
      <c r="GB5" s="98"/>
      <c r="GC5" s="98"/>
      <c r="GD5" s="98" t="s">
        <v>27</v>
      </c>
      <c r="GE5" s="102"/>
      <c r="GF5" s="161">
        <f>IFERROR((((COUNTIF('Elève (3ème2)'!FZ5:GE5,"A"))*4)+((COUNTIF('Elève (3ème2)'!FZ5:GE5,"B"))*3)+((COUNTIF('Elève (3ème2)'!FZ5:GE5,"C"))*2)+((COUNTIF('Elève (3ème2)'!FZ5:GE5,"D"))*1))/(COUNTA(FZ5:GE5)),"")</f>
        <v>3</v>
      </c>
      <c r="GG5" s="162" t="str">
        <f t="shared" si="59"/>
        <v>B</v>
      </c>
      <c r="GH5" s="161">
        <f>IF(COUNT(FR5,FX5,GF5)=0,"",SUM(FR5,FX5,GF5)/COUNT(FR5,FX5,GF5))</f>
        <v>2.5</v>
      </c>
      <c r="GI5" s="186" t="str">
        <f t="shared" si="60"/>
        <v>C</v>
      </c>
      <c r="GJ5" s="96" t="s">
        <v>30</v>
      </c>
      <c r="GK5" s="97" t="s">
        <v>28</v>
      </c>
      <c r="GL5" s="98"/>
      <c r="GM5" s="161">
        <f>IFERROR((((COUNTIF('Elève (3ème2)'!GJ5:GL5,"A"))*4)+((COUNTIF('Elève (3ème2)'!GJ5:GL5,"B"))*3)+((COUNTIF('Elève (3ème2)'!GJ5:GL5,"C"))*2)+((COUNTIF('Elève (3ème2)'!GJ5:GL5,"D"))*1))/(COUNTA(GJ5:GL5)),"")</f>
        <v>2</v>
      </c>
      <c r="GN5" s="162" t="str">
        <f t="shared" si="61"/>
        <v>C</v>
      </c>
      <c r="GO5" s="96"/>
      <c r="GP5" s="97"/>
      <c r="GQ5" s="98"/>
      <c r="GR5" s="98"/>
      <c r="GS5" s="161" t="str">
        <f>IFERROR((((COUNTIF('Elève (3ème2)'!GO5:GR5,"A"))*4)+((COUNTIF('Elève (3ème2)'!GO5:GR5,"B"))*3)+((COUNTIF('Elève (3ème2)'!GO5:GR5,"C"))*2)+((COUNTIF('Elève (3ème2)'!GO5:GR5,"D"))*1))/(COUNTA(GO5:GR5)),"")</f>
        <v/>
      </c>
      <c r="GT5" s="162" t="str">
        <f t="shared" si="62"/>
        <v/>
      </c>
      <c r="GU5" s="96" t="s">
        <v>28</v>
      </c>
      <c r="GV5" s="97" t="s">
        <v>29</v>
      </c>
      <c r="GW5" s="98"/>
      <c r="GX5" s="98"/>
      <c r="GY5" s="98" t="s">
        <v>27</v>
      </c>
      <c r="GZ5" s="102"/>
      <c r="HA5" s="161">
        <f>IFERROR((((COUNTIF('Elève (3ème2)'!GU5:GZ5,"A"))*4)+((COUNTIF('Elève (3ème2)'!GU5:GZ5,"B"))*3)+((COUNTIF('Elève (3ème2)'!GU5:GZ5,"C"))*2)+((COUNTIF('Elève (3ème2)'!GU5:GZ5,"D"))*1))/(COUNTA(GU5:GZ5)),"")</f>
        <v>3</v>
      </c>
      <c r="HB5" s="162" t="str">
        <f t="shared" si="63"/>
        <v>B</v>
      </c>
      <c r="HC5" s="161">
        <f>IF(COUNT(GM5,GS5,HA5)=0,"",SUM(GM5,GS5,HA5)/COUNT(GM5,GS5,HA5))</f>
        <v>2.5</v>
      </c>
      <c r="HD5" s="186" t="str">
        <f t="shared" si="64"/>
        <v>C</v>
      </c>
      <c r="HE5" s="96" t="s">
        <v>28</v>
      </c>
      <c r="HF5" s="97" t="s">
        <v>29</v>
      </c>
      <c r="HG5" s="98"/>
      <c r="HH5" s="161">
        <f>IFERROR((((COUNTIF('Elève (3ème2)'!HE5:HG5,"A"))*4)+((COUNTIF('Elève (3ème2)'!HE5:HG5,"B"))*3)+((COUNTIF('Elève (3ème2)'!HE5:HG5,"C"))*2)+((COUNTIF('Elève (3ème2)'!HE5:HG5,"D"))*1))/(COUNTA(HE5:HG5)),"")</f>
        <v>2.5</v>
      </c>
      <c r="HI5" s="162" t="str">
        <f t="shared" si="65"/>
        <v>C</v>
      </c>
      <c r="HJ5" s="96"/>
      <c r="HK5" s="97"/>
      <c r="HL5" s="98"/>
      <c r="HM5" s="98"/>
      <c r="HN5" s="161" t="str">
        <f>IFERROR((((COUNTIF('Elève (3ème2)'!HJ5:HM5,"A"))*4)+((COUNTIF('Elève (3ème2)'!HJ5:HM5,"B"))*3)+((COUNTIF('Elève (3ème2)'!HJ5:HM5,"C"))*2)+((COUNTIF('Elève (3ème2)'!HJ5:HM5,"D"))*1))/(COUNTA(HJ5:HM5)),"")</f>
        <v/>
      </c>
      <c r="HO5" s="162" t="str">
        <f t="shared" si="66"/>
        <v/>
      </c>
      <c r="HP5" s="96" t="s">
        <v>28</v>
      </c>
      <c r="HQ5" s="97" t="s">
        <v>29</v>
      </c>
      <c r="HR5" s="98"/>
      <c r="HS5" s="98"/>
      <c r="HT5" s="98" t="s">
        <v>28</v>
      </c>
      <c r="HU5" s="102"/>
      <c r="HV5" s="161">
        <f>IFERROR((((COUNTIF('Elève (3ème2)'!HP5:HU5,"A"))*4)+((COUNTIF('Elève (3ème2)'!HP5:HU5,"B"))*3)+((COUNTIF('Elève (3ème2)'!HP5:HU5,"C"))*2)+((COUNTIF('Elève (3ème2)'!HP5:HU5,"D"))*1))/(COUNTA(HP5:HU5)),"")</f>
        <v>2.6666666666666665</v>
      </c>
      <c r="HW5" s="162" t="str">
        <f t="shared" si="67"/>
        <v>C</v>
      </c>
      <c r="HX5" s="161">
        <f>IF(COUNT(HH5,HN5,HV5)=0,"",SUM(HH5,HN5,HV5)/COUNT(HH5,HN5,HV5))</f>
        <v>2.583333333333333</v>
      </c>
      <c r="HY5" s="186" t="str">
        <f t="shared" si="68"/>
        <v>C</v>
      </c>
      <c r="HZ5" s="96" t="s">
        <v>29</v>
      </c>
      <c r="IA5" s="97" t="s">
        <v>28</v>
      </c>
      <c r="IB5" s="98"/>
      <c r="IC5" s="161">
        <f>IFERROR((((COUNTIF('Elève (3ème2)'!HZ5:IB5,"A"))*4)+((COUNTIF('Elève (3ème2)'!HZ5:IB5,"B"))*3)+((COUNTIF('Elève (3ème2)'!HZ5:IB5,"C"))*2)+((COUNTIF('Elève (3ème2)'!HZ5:IB5,"D"))*1))/(COUNTA(HZ5:IB5)),"")</f>
        <v>2.5</v>
      </c>
      <c r="ID5" s="162" t="str">
        <f t="shared" si="69"/>
        <v>C</v>
      </c>
      <c r="IE5" s="96"/>
      <c r="IF5" s="97"/>
      <c r="IG5" s="98"/>
      <c r="IH5" s="98"/>
      <c r="II5" s="161" t="str">
        <f>IFERROR((((COUNTIF('Elève (3ème2)'!IE5:IH5,"A"))*4)+((COUNTIF('Elève (3ème2)'!IE5:IH5,"B"))*3)+((COUNTIF('Elève (3ème2)'!IE5:IH5,"C"))*2)+((COUNTIF('Elève (3ème2)'!IE5:IH5,"D"))*1))/(COUNTA(IE5:IH5)),"")</f>
        <v/>
      </c>
      <c r="IJ5" s="162" t="str">
        <f t="shared" si="70"/>
        <v/>
      </c>
      <c r="IK5" s="96" t="s">
        <v>28</v>
      </c>
      <c r="IL5" s="97" t="s">
        <v>27</v>
      </c>
      <c r="IM5" s="98"/>
      <c r="IN5" s="98"/>
      <c r="IO5" s="98" t="s">
        <v>27</v>
      </c>
      <c r="IP5" s="102"/>
      <c r="IQ5" s="161">
        <f>IFERROR((((COUNTIF('Elève (3ème2)'!IK5:IP5,"A"))*4)+((COUNTIF('Elève (3ème2)'!IK5:IP5,"B"))*3)+((COUNTIF('Elève (3ème2)'!IK5:IP5,"C"))*2)+((COUNTIF('Elève (3ème2)'!IK5:IP5,"D"))*1))/(COUNTA(IK5:IP5)),"")</f>
        <v>3.6666666666666665</v>
      </c>
      <c r="IR5" s="162" t="str">
        <f t="shared" si="71"/>
        <v>B</v>
      </c>
      <c r="IS5" s="161">
        <f>IF(COUNT(IC5,II5,IQ5)=0,"",SUM(IC5,II5,IQ5)/COUNT(IC5,II5,IQ5))</f>
        <v>3.083333333333333</v>
      </c>
      <c r="IT5" s="186" t="str">
        <f t="shared" si="72"/>
        <v>B</v>
      </c>
      <c r="IU5" s="96" t="s">
        <v>27</v>
      </c>
      <c r="IV5" s="97" t="s">
        <v>28</v>
      </c>
      <c r="IW5" s="98"/>
      <c r="IX5" s="161">
        <f>IFERROR((((COUNTIF('Elève (3ème2)'!IU5:IW5,"A"))*4)+((COUNTIF('Elève (3ème2)'!IU5:IW5,"B"))*3)+((COUNTIF('Elève (3ème2)'!IU5:IW5,"C"))*2)+((COUNTIF('Elève (3ème2)'!IU5:IW5,"D"))*1))/(COUNTA(IU5:IW5)),"")</f>
        <v>3.5</v>
      </c>
      <c r="IY5" s="162" t="str">
        <f t="shared" si="73"/>
        <v>B</v>
      </c>
      <c r="IZ5" s="96"/>
      <c r="JA5" s="97"/>
      <c r="JB5" s="98"/>
      <c r="JC5" s="98"/>
      <c r="JD5" s="161" t="str">
        <f>IFERROR((((COUNTIF('Elève (3ème2)'!IZ5:JC5,"A"))*4)+((COUNTIF('Elève (3ème2)'!IZ5:JC5,"B"))*3)+((COUNTIF('Elève (3ème2)'!IZ5:JC5,"C"))*2)+((COUNTIF('Elève (3ème2)'!IZ5:JC5,"D"))*1))/(COUNTA(IZ5:JC5)),"")</f>
        <v/>
      </c>
      <c r="JE5" s="162" t="str">
        <f t="shared" si="74"/>
        <v/>
      </c>
      <c r="JF5" s="96" t="s">
        <v>28</v>
      </c>
      <c r="JG5" s="97" t="s">
        <v>29</v>
      </c>
      <c r="JH5" s="98"/>
      <c r="JI5" s="98"/>
      <c r="JJ5" s="98" t="s">
        <v>27</v>
      </c>
      <c r="JK5" s="102"/>
      <c r="JL5" s="161">
        <f>IFERROR((((COUNTIF('Elève (3ème2)'!JF5:JK5,"A"))*4)+((COUNTIF('Elève (3ème2)'!JF5:JK5,"B"))*3)+((COUNTIF('Elève (3ème2)'!JF5:JK5,"C"))*2)+((COUNTIF('Elève (3ème2)'!JF5:JK5,"D"))*1))/(COUNTA(JF5:JK5)),"")</f>
        <v>3</v>
      </c>
      <c r="JM5" s="162" t="str">
        <f t="shared" si="75"/>
        <v>B</v>
      </c>
      <c r="JN5" s="161">
        <f>IF(COUNT(IX5,JD5,JL5)=0,"",SUM(IX5,JD5,JL5)/COUNT(IX5,JD5,JL5))</f>
        <v>3.25</v>
      </c>
      <c r="JO5" s="186" t="str">
        <f t="shared" si="76"/>
        <v>B</v>
      </c>
      <c r="JP5" s="96" t="s">
        <v>28</v>
      </c>
      <c r="JQ5" s="97" t="s">
        <v>27</v>
      </c>
      <c r="JR5" s="98"/>
      <c r="JS5" s="161">
        <f>IFERROR((((COUNTIF('Elève (3ème2)'!JP5:JR5,"A"))*4)+((COUNTIF('Elève (3ème2)'!JP5:JR5,"B"))*3)+((COUNTIF('Elève (3ème2)'!JP5:JR5,"C"))*2)+((COUNTIF('Elève (3ème2)'!JP5:JR5,"D"))*1))/(COUNTA(JP5:JR5)),"")</f>
        <v>3.5</v>
      </c>
      <c r="JT5" s="162" t="str">
        <f t="shared" si="77"/>
        <v>B</v>
      </c>
      <c r="JU5" s="96"/>
      <c r="JV5" s="97"/>
      <c r="JW5" s="98"/>
      <c r="JX5" s="98"/>
      <c r="JY5" s="161" t="str">
        <f>IFERROR((((COUNTIF('Elève (3ème2)'!JU5:JX5,"A"))*4)+((COUNTIF('Elève (3ème2)'!JU5:JX5,"B"))*3)+((COUNTIF('Elève (3ème2)'!JU5:JX5,"C"))*2)+((COUNTIF('Elève (3ème2)'!JU5:JX5,"D"))*1))/(COUNTA(JU5:JX5)),"")</f>
        <v/>
      </c>
      <c r="JZ5" s="162" t="str">
        <f t="shared" si="78"/>
        <v/>
      </c>
      <c r="KA5" s="96" t="s">
        <v>27</v>
      </c>
      <c r="KB5" s="97" t="s">
        <v>29</v>
      </c>
      <c r="KC5" s="98"/>
      <c r="KD5" s="98"/>
      <c r="KE5" s="98" t="s">
        <v>28</v>
      </c>
      <c r="KF5" s="102"/>
      <c r="KG5" s="161">
        <f>IFERROR((((COUNTIF('Elève (3ème2)'!KA5:KF5,"A"))*4)+((COUNTIF('Elève (3ème2)'!KA5:KF5,"B"))*3)+((COUNTIF('Elève (3ème2)'!KA5:KF5,"C"))*2)+((COUNTIF('Elève (3ème2)'!KA5:KF5,"D"))*1))/(COUNTA(KA5:KF5)),"")</f>
        <v>3</v>
      </c>
      <c r="KH5" s="162" t="str">
        <f t="shared" si="79"/>
        <v>B</v>
      </c>
      <c r="KI5" s="161">
        <f>IF(COUNT(JS5,JY5,KG5)=0,"",SUM(JS5,JY5,KG5)/COUNT(JS5,JY5,KG5))</f>
        <v>3.25</v>
      </c>
      <c r="KJ5" s="186" t="str">
        <f t="shared" si="80"/>
        <v>B</v>
      </c>
      <c r="KK5" s="96" t="s">
        <v>27</v>
      </c>
      <c r="KL5" s="97" t="s">
        <v>28</v>
      </c>
      <c r="KM5" s="98"/>
      <c r="KN5" s="161">
        <f>IFERROR((((COUNTIF('Elève (3ème2)'!KK5:KM5,"A"))*4)+((COUNTIF('Elève (3ème2)'!KK5:KM5,"B"))*3)+((COUNTIF('Elève (3ème2)'!KK5:KM5,"C"))*2)+((COUNTIF('Elève (3ème2)'!KK5:KM5,"D"))*1))/(COUNTA(KK5:KM5)),"")</f>
        <v>3.5</v>
      </c>
      <c r="KO5" s="162" t="str">
        <f t="shared" si="81"/>
        <v>B</v>
      </c>
      <c r="KP5" s="96"/>
      <c r="KQ5" s="97"/>
      <c r="KR5" s="98"/>
      <c r="KS5" s="98"/>
      <c r="KT5" s="161" t="str">
        <f>IFERROR((((COUNTIF('Elève (3ème2)'!KP5:KS5,"A"))*4)+((COUNTIF('Elève (3ème2)'!KP5:KS5,"B"))*3)+((COUNTIF('Elève (3ème2)'!KP5:KS5,"C"))*2)+((COUNTIF('Elève (3ème2)'!KP5:KS5,"D"))*1))/(COUNTA(KP5:KS5)),"")</f>
        <v/>
      </c>
      <c r="KU5" s="162" t="str">
        <f t="shared" si="82"/>
        <v/>
      </c>
      <c r="KV5" s="96" t="s">
        <v>27</v>
      </c>
      <c r="KW5" s="97" t="s">
        <v>29</v>
      </c>
      <c r="KX5" s="98"/>
      <c r="KY5" s="98"/>
      <c r="KZ5" s="98" t="s">
        <v>29</v>
      </c>
      <c r="LA5" s="102"/>
      <c r="LB5" s="161">
        <f>IFERROR((((COUNTIF('Elève (3ème2)'!KV5:LA5,"A"))*4)+((COUNTIF('Elève (3ème2)'!KV5:LA5,"B"))*3)+((COUNTIF('Elève (3ème2)'!KV5:LA5,"C"))*2)+((COUNTIF('Elève (3ème2)'!KV5:LA5,"D"))*1))/(COUNTA(KV5:LA5)),"")</f>
        <v>2.6666666666666665</v>
      </c>
      <c r="LC5" s="162" t="str">
        <f t="shared" si="83"/>
        <v>C</v>
      </c>
      <c r="LD5" s="161">
        <f>IF(COUNT(KN5,KT5,LB5)=0,"",SUM(KN5,KT5,LB5)/COUNT(KN5,KT5,LB5))</f>
        <v>3.083333333333333</v>
      </c>
      <c r="LE5" s="186" t="str">
        <f t="shared" si="84"/>
        <v>B</v>
      </c>
      <c r="LF5" s="96" t="s">
        <v>27</v>
      </c>
      <c r="LG5" s="97" t="s">
        <v>27</v>
      </c>
      <c r="LH5" s="98"/>
      <c r="LI5" s="161">
        <f>IFERROR((((COUNTIF('Elève (3ème2)'!LF5:LH5,"A"))*4)+((COUNTIF('Elève (3ème2)'!LF5:LH5,"B"))*3)+((COUNTIF('Elève (3ème2)'!LF5:LH5,"C"))*2)+((COUNTIF('Elève (3ème2)'!LF5:LH5,"D"))*1))/(COUNTA(LF5:LH5)),"")</f>
        <v>4</v>
      </c>
      <c r="LJ5" s="162" t="str">
        <f t="shared" si="85"/>
        <v>A</v>
      </c>
      <c r="LK5" s="96"/>
      <c r="LL5" s="97"/>
      <c r="LM5" s="98"/>
      <c r="LN5" s="98"/>
      <c r="LO5" s="161" t="str">
        <f>IFERROR((((COUNTIF('Elève (3ème2)'!LK5:LN5,"A"))*4)+((COUNTIF('Elève (3ème2)'!LK5:LN5,"B"))*3)+((COUNTIF('Elève (3ème2)'!LK5:LN5,"C"))*2)+((COUNTIF('Elève (3ème2)'!LK5:LN5,"D"))*1))/(COUNTA(LK5:LN5)),"")</f>
        <v/>
      </c>
      <c r="LP5" s="162" t="str">
        <f t="shared" si="86"/>
        <v/>
      </c>
      <c r="LQ5" s="96"/>
      <c r="LR5" s="97" t="s">
        <v>30</v>
      </c>
      <c r="LS5" s="98"/>
      <c r="LT5" s="98"/>
      <c r="LU5" s="98" t="s">
        <v>29</v>
      </c>
      <c r="LV5" s="102"/>
      <c r="LW5" s="161">
        <f>IFERROR((((COUNTIF('Elève (3ème2)'!LQ5:LV5,"A"))*4)+((COUNTIF('Elève (3ème2)'!LQ5:LV5,"B"))*3)+((COUNTIF('Elève (3ème2)'!LQ5:LV5,"C"))*2)+((COUNTIF('Elève (3ème2)'!LQ5:LV5,"D"))*1))/(COUNTA(LQ5:LV5)),"")</f>
        <v>1.5</v>
      </c>
      <c r="LX5" s="162" t="str">
        <f t="shared" si="87"/>
        <v>D</v>
      </c>
      <c r="LY5" s="161">
        <f>IF(COUNT(LI5,LO5,LW5)=0,"",SUM(LI5,LO5,LW5)/COUNT(LI5,LO5,LW5))</f>
        <v>2.75</v>
      </c>
      <c r="LZ5" s="186" t="str">
        <f t="shared" si="88"/>
        <v>C</v>
      </c>
      <c r="MA5" s="96" t="s">
        <v>28</v>
      </c>
      <c r="MB5" s="97" t="s">
        <v>28</v>
      </c>
      <c r="MC5" s="98"/>
      <c r="MD5" s="161">
        <f>IFERROR((((COUNTIF('Elève (3ème2)'!MA5:MC5,"A"))*4)+((COUNTIF('Elève (3ème2)'!MA5:MC5,"B"))*3)+((COUNTIF('Elève (3ème2)'!MA5:MC5,"C"))*2)+((COUNTIF('Elève (3ème2)'!MA5:MC5,"D"))*1))/(COUNTA(MA5:MC5)),"")</f>
        <v>3</v>
      </c>
      <c r="ME5" s="162" t="str">
        <f t="shared" si="89"/>
        <v>B</v>
      </c>
      <c r="MF5" s="96"/>
      <c r="MG5" s="97"/>
      <c r="MH5" s="98"/>
      <c r="MI5" s="98"/>
      <c r="MJ5" s="161" t="str">
        <f>IFERROR((((COUNTIF('Elève (3ème2)'!MF5:MI5,"A"))*4)+((COUNTIF('Elève (3ème2)'!MF5:MI5,"B"))*3)+((COUNTIF('Elève (3ème2)'!MF5:MI5,"C"))*2)+((COUNTIF('Elève (3ème2)'!MF5:MI5,"D"))*1))/(COUNTA(MF5:MI5)),"")</f>
        <v/>
      </c>
      <c r="MK5" s="162" t="str">
        <f t="shared" si="90"/>
        <v/>
      </c>
      <c r="ML5" s="96" t="s">
        <v>30</v>
      </c>
      <c r="MM5" s="97" t="s">
        <v>28</v>
      </c>
      <c r="MN5" s="98"/>
      <c r="MO5" s="98"/>
      <c r="MP5" s="98" t="s">
        <v>29</v>
      </c>
      <c r="MQ5" s="102"/>
      <c r="MR5" s="161">
        <f>IFERROR((((COUNTIF('Elève (3ème2)'!ML5:MQ5,"A"))*4)+((COUNTIF('Elève (3ème2)'!ML5:MQ5,"B"))*3)+((COUNTIF('Elève (3ème2)'!ML5:MQ5,"C"))*2)+((COUNTIF('Elève (3ème2)'!ML5:MQ5,"D"))*1))/(COUNTA(ML5:MQ5)),"")</f>
        <v>2</v>
      </c>
      <c r="MS5" s="162" t="str">
        <f t="shared" si="91"/>
        <v>C</v>
      </c>
      <c r="MT5" s="161">
        <f>IF(COUNT(MD5,MJ5,MR5)=0,"",SUM(MD5,MJ5,MR5)/COUNT(MD5,MJ5,MR5))</f>
        <v>2.5</v>
      </c>
      <c r="MU5" s="186" t="str">
        <f t="shared" si="92"/>
        <v>C</v>
      </c>
      <c r="MV5" s="96" t="s">
        <v>28</v>
      </c>
      <c r="MW5" s="97" t="s">
        <v>28</v>
      </c>
      <c r="MX5" s="98"/>
      <c r="MY5" s="161">
        <f>IFERROR((((COUNTIF('Elève (3ème2)'!MV5:MX5,"A"))*4)+((COUNTIF('Elève (3ème2)'!MV5:MX5,"B"))*3)+((COUNTIF('Elève (3ème2)'!MV5:MX5,"C"))*2)+((COUNTIF('Elève (3ème2)'!MV5:MX5,"D"))*1))/(COUNTA(MV5:MX5)),"")</f>
        <v>3</v>
      </c>
      <c r="MZ5" s="162" t="str">
        <f t="shared" si="93"/>
        <v>B</v>
      </c>
      <c r="NA5" s="96"/>
      <c r="NB5" s="97"/>
      <c r="NC5" s="98"/>
      <c r="ND5" s="98"/>
      <c r="NE5" s="161" t="str">
        <f>IFERROR((((COUNTIF('Elève (3ème2)'!NA5:ND5,"A"))*4)+((COUNTIF('Elève (3ème2)'!NA5:ND5,"B"))*3)+((COUNTIF('Elève (3ème2)'!NA5:ND5,"C"))*2)+((COUNTIF('Elève (3ème2)'!NA5:ND5,"D"))*1))/(COUNTA(NA5:ND5)),"")</f>
        <v/>
      </c>
      <c r="NF5" s="162" t="str">
        <f t="shared" si="94"/>
        <v/>
      </c>
      <c r="NG5" s="96" t="s">
        <v>29</v>
      </c>
      <c r="NH5" s="97" t="s">
        <v>28</v>
      </c>
      <c r="NI5" s="98"/>
      <c r="NJ5" s="98"/>
      <c r="NK5" s="98" t="s">
        <v>27</v>
      </c>
      <c r="NL5" s="102"/>
      <c r="NM5" s="161">
        <f>IFERROR((((COUNTIF('Elève (3ème2)'!NG5:NL5,"A"))*4)+((COUNTIF('Elève (3ème2)'!NG5:NL5,"B"))*3)+((COUNTIF('Elève (3ème2)'!NG5:NL5,"C"))*2)+((COUNTIF('Elève (3ème2)'!NG5:NL5,"D"))*1))/(COUNTA(NG5:NL5)),"")</f>
        <v>3</v>
      </c>
      <c r="NN5" s="162" t="str">
        <f t="shared" si="95"/>
        <v>B</v>
      </c>
      <c r="NO5" s="161">
        <f>IF(COUNT(MY5,NE5,NM5)=0,"",SUM(MY5,NE5,NM5)/COUNT(MY5,NE5,NM5))</f>
        <v>3</v>
      </c>
      <c r="NP5" s="186" t="str">
        <f t="shared" si="96"/>
        <v>B</v>
      </c>
      <c r="NQ5" s="96" t="s">
        <v>28</v>
      </c>
      <c r="NR5" s="97" t="s">
        <v>28</v>
      </c>
      <c r="NS5" s="98"/>
      <c r="NT5" s="161">
        <f>IFERROR((((COUNTIF('Elève (3ème2)'!NQ5:NS5,"A"))*4)+((COUNTIF('Elève (3ème2)'!NQ5:NS5,"B"))*3)+((COUNTIF('Elève (3ème2)'!NQ5:NS5,"C"))*2)+((COUNTIF('Elève (3ème2)'!NQ5:NS5,"D"))*1))/(COUNTA(NQ5:NS5)),"")</f>
        <v>3</v>
      </c>
      <c r="NU5" s="162" t="str">
        <f t="shared" si="97"/>
        <v>B</v>
      </c>
      <c r="NV5" s="96"/>
      <c r="NW5" s="97"/>
      <c r="NX5" s="98"/>
      <c r="NY5" s="98"/>
      <c r="NZ5" s="161" t="str">
        <f>IFERROR((((COUNTIF('Elève (3ème2)'!NV5:NY5,"A"))*4)+((COUNTIF('Elève (3ème2)'!NV5:NY5,"B"))*3)+((COUNTIF('Elève (3ème2)'!NV5:NY5,"C"))*2)+((COUNTIF('Elève (3ème2)'!NV5:NY5,"D"))*1))/(COUNTA(NV5:NY5)),"")</f>
        <v/>
      </c>
      <c r="OA5" s="162" t="str">
        <f t="shared" si="98"/>
        <v/>
      </c>
      <c r="OB5" s="96" t="s">
        <v>27</v>
      </c>
      <c r="OC5" s="97" t="s">
        <v>30</v>
      </c>
      <c r="OD5" s="98"/>
      <c r="OE5" s="98"/>
      <c r="OF5" s="98" t="s">
        <v>28</v>
      </c>
      <c r="OG5" s="102"/>
      <c r="OH5" s="161">
        <f>IFERROR((((COUNTIF('Elève (3ème2)'!OB5:OG5,"A"))*4)+((COUNTIF('Elève (3ème2)'!OB5:OG5,"B"))*3)+((COUNTIF('Elève (3ème2)'!OB5:OG5,"C"))*2)+((COUNTIF('Elève (3ème2)'!OB5:OG5,"D"))*1))/(COUNTA(OB5:OG5)),"")</f>
        <v>2.6666666666666665</v>
      </c>
      <c r="OI5" s="162" t="str">
        <f t="shared" si="99"/>
        <v>C</v>
      </c>
      <c r="OJ5" s="161">
        <f>IF(COUNT(NT5,NZ5,OH5)=0,"",SUM(NT5,NZ5,OH5)/COUNT(NT5,NZ5,OH5))</f>
        <v>2.833333333333333</v>
      </c>
      <c r="OK5" s="186" t="str">
        <f t="shared" si="100"/>
        <v>B</v>
      </c>
      <c r="OL5" s="96" t="s">
        <v>28</v>
      </c>
      <c r="OM5" s="97" t="s">
        <v>27</v>
      </c>
      <c r="ON5" s="98"/>
      <c r="OO5" s="161">
        <f>IFERROR((((COUNTIF('Elève (3ème2)'!OL5:ON5,"A"))*4)+((COUNTIF('Elève (3ème2)'!OL5:ON5,"B"))*3)+((COUNTIF('Elève (3ème2)'!OL5:ON5,"C"))*2)+((COUNTIF('Elève (3ème2)'!OL5:ON5,"D"))*1))/(COUNTA(OL5:ON5)),"")</f>
        <v>3.5</v>
      </c>
      <c r="OP5" s="162" t="str">
        <f t="shared" si="101"/>
        <v>B</v>
      </c>
      <c r="OQ5" s="96"/>
      <c r="OR5" s="97"/>
      <c r="OS5" s="98"/>
      <c r="OT5" s="98"/>
      <c r="OU5" s="161" t="str">
        <f>IFERROR((((COUNTIF('Elève (3ème2)'!OQ5:OT5,"A"))*4)+((COUNTIF('Elève (3ème2)'!OQ5:OT5,"B"))*3)+((COUNTIF('Elève (3ème2)'!OQ5:OT5,"C"))*2)+((COUNTIF('Elève (3ème2)'!OQ5:OT5,"D"))*1))/(COUNTA(OQ5:OT5)),"")</f>
        <v/>
      </c>
      <c r="OV5" s="162" t="str">
        <f t="shared" si="102"/>
        <v/>
      </c>
      <c r="OW5" s="96" t="s">
        <v>27</v>
      </c>
      <c r="OX5" s="97" t="s">
        <v>28</v>
      </c>
      <c r="OY5" s="98"/>
      <c r="OZ5" s="98"/>
      <c r="PA5" s="98" t="s">
        <v>27</v>
      </c>
      <c r="PB5" s="102"/>
      <c r="PC5" s="161">
        <f>IFERROR((((COUNTIF('Elève (3ème2)'!OW5:PB5,"A"))*4)+((COUNTIF('Elève (3ème2)'!OW5:PB5,"B"))*3)+((COUNTIF('Elève (3ème2)'!OW5:PB5,"C"))*2)+((COUNTIF('Elève (3ème2)'!OW5:PB5,"D"))*1))/(COUNTA(OW5:PB5)),"")</f>
        <v>3.6666666666666665</v>
      </c>
      <c r="PD5" s="162" t="str">
        <f t="shared" si="103"/>
        <v>B</v>
      </c>
      <c r="PE5" s="161">
        <f>IF(COUNT(OO5,OU5,PC5)=0,"",SUM(OO5,OU5,PC5)/COUNT(OO5,OU5,PC5))</f>
        <v>3.583333333333333</v>
      </c>
      <c r="PF5" s="186" t="str">
        <f t="shared" si="104"/>
        <v>B</v>
      </c>
      <c r="PG5" s="96" t="s">
        <v>28</v>
      </c>
      <c r="PH5" s="97" t="s">
        <v>28</v>
      </c>
      <c r="PI5" s="98"/>
      <c r="PJ5" s="161">
        <f>IFERROR((((COUNTIF('Elève (3ème2)'!PG5:PI5,"A"))*4)+((COUNTIF('Elève (3ème2)'!PG5:PI5,"B"))*3)+((COUNTIF('Elève (3ème2)'!PG5:PI5,"C"))*2)+((COUNTIF('Elève (3ème2)'!PG5:PI5,"D"))*1))/(COUNTA(PG5:PI5)),"")</f>
        <v>3</v>
      </c>
      <c r="PK5" s="162" t="str">
        <f t="shared" si="105"/>
        <v>B</v>
      </c>
      <c r="PL5" s="96"/>
      <c r="PM5" s="97"/>
      <c r="PN5" s="98"/>
      <c r="PO5" s="98"/>
      <c r="PP5" s="161" t="str">
        <f>IFERROR((((COUNTIF('Elève (3ème2)'!PL5:PO5,"A"))*4)+((COUNTIF('Elève (3ème2)'!PL5:PO5,"B"))*3)+((COUNTIF('Elève (3ème2)'!PL5:PO5,"C"))*2)+((COUNTIF('Elève (3ème2)'!PL5:PO5,"D"))*1))/(COUNTA(PL5:PO5)),"")</f>
        <v/>
      </c>
      <c r="PQ5" s="162" t="str">
        <f t="shared" si="106"/>
        <v/>
      </c>
      <c r="PR5" s="96" t="s">
        <v>28</v>
      </c>
      <c r="PS5" s="97" t="s">
        <v>28</v>
      </c>
      <c r="PT5" s="98"/>
      <c r="PU5" s="98"/>
      <c r="PV5" s="98" t="s">
        <v>27</v>
      </c>
      <c r="PW5" s="102"/>
      <c r="PX5" s="161">
        <f>IFERROR((((COUNTIF('Elève (3ème2)'!PR5:PW5,"A"))*4)+((COUNTIF('Elève (3ème2)'!PR5:PW5,"B"))*3)+((COUNTIF('Elève (3ème2)'!PR5:PW5,"C"))*2)+((COUNTIF('Elève (3ème2)'!PR5:PW5,"D"))*1))/(COUNTA(PR5:PW5)),"")</f>
        <v>3.3333333333333335</v>
      </c>
      <c r="PY5" s="162" t="str">
        <f t="shared" si="107"/>
        <v>B</v>
      </c>
      <c r="PZ5" s="161">
        <f>IF(COUNT(PJ5,PP5,PX5)=0,"",SUM(PJ5,PP5,PX5)/COUNT(PJ5,PP5,PX5))</f>
        <v>3.166666666666667</v>
      </c>
      <c r="QA5" s="186" t="str">
        <f t="shared" si="108"/>
        <v>B</v>
      </c>
      <c r="QB5" s="96" t="s">
        <v>28</v>
      </c>
      <c r="QC5" s="97" t="s">
        <v>28</v>
      </c>
      <c r="QD5" s="98"/>
      <c r="QE5" s="161">
        <f>IFERROR((((COUNTIF('Elève (3ème2)'!QB5:QD5,"A"))*4)+((COUNTIF('Elève (3ème2)'!QB5:QD5,"B"))*3)+((COUNTIF('Elève (3ème2)'!QB5:QD5,"C"))*2)+((COUNTIF('Elève (3ème2)'!QB5:QD5,"D"))*1))/(COUNTA(QB5:QD5)),"")</f>
        <v>3</v>
      </c>
      <c r="QF5" s="162" t="str">
        <f t="shared" si="109"/>
        <v>B</v>
      </c>
      <c r="QG5" s="96"/>
      <c r="QH5" s="97"/>
      <c r="QI5" s="98"/>
      <c r="QJ5" s="98"/>
      <c r="QK5" s="161" t="str">
        <f>IFERROR((((COUNTIF('Elève (3ème2)'!QG5:QJ5,"A"))*4)+((COUNTIF('Elève (3ème2)'!QG5:QJ5,"B"))*3)+((COUNTIF('Elève (3ème2)'!QG5:QJ5,"C"))*2)+((COUNTIF('Elève (3ème2)'!QG5:QJ5,"D"))*1))/(COUNTA(QG5:QJ5)),"")</f>
        <v/>
      </c>
      <c r="QL5" s="162" t="str">
        <f t="shared" si="110"/>
        <v/>
      </c>
      <c r="QM5" s="96" t="s">
        <v>28</v>
      </c>
      <c r="QN5" s="97" t="s">
        <v>28</v>
      </c>
      <c r="QO5" s="98"/>
      <c r="QP5" s="98"/>
      <c r="QQ5" s="98" t="s">
        <v>28</v>
      </c>
      <c r="QR5" s="102"/>
      <c r="QS5" s="161">
        <f>IFERROR((((COUNTIF('Elève (3ème2)'!QM5:QR5,"A"))*4)+((COUNTIF('Elève (3ème2)'!QM5:QR5,"B"))*3)+((COUNTIF('Elève (3ème2)'!QM5:QR5,"C"))*2)+((COUNTIF('Elève (3ème2)'!QM5:QR5,"D"))*1))/(COUNTA(QM5:QR5)),"")</f>
        <v>3</v>
      </c>
      <c r="QT5" s="162" t="str">
        <f t="shared" si="111"/>
        <v>B</v>
      </c>
      <c r="QU5" s="161">
        <f>IF(COUNT(QE5,QK5,QS5)=0,"",SUM(QE5,QK5,QS5)/COUNT(QE5,QK5,QS5))</f>
        <v>3</v>
      </c>
      <c r="QV5" s="186" t="str">
        <f t="shared" si="112"/>
        <v>B</v>
      </c>
      <c r="QW5" s="96" t="s">
        <v>27</v>
      </c>
      <c r="QX5" s="97" t="s">
        <v>29</v>
      </c>
      <c r="QY5" s="98"/>
      <c r="QZ5" s="161">
        <f>IFERROR((((COUNTIF('Elève (3ème2)'!QW5:QY5,"A"))*4)+((COUNTIF('Elève (3ème2)'!QW5:QY5,"B"))*3)+((COUNTIF('Elève (3ème2)'!QW5:QY5,"C"))*2)+((COUNTIF('Elève (3ème2)'!QW5:QY5,"D"))*1))/(COUNTA(QW5:QY5)),"")</f>
        <v>3</v>
      </c>
      <c r="RA5" s="162" t="str">
        <f t="shared" si="113"/>
        <v>B</v>
      </c>
      <c r="RB5" s="96"/>
      <c r="RC5" s="97"/>
      <c r="RD5" s="98"/>
      <c r="RE5" s="98"/>
      <c r="RF5" s="161" t="str">
        <f>IFERROR((((COUNTIF('Elève (3ème2)'!RB5:RE5,"A"))*4)+((COUNTIF('Elève (3ème2)'!RB5:RE5,"B"))*3)+((COUNTIF('Elève (3ème2)'!RB5:RE5,"C"))*2)+((COUNTIF('Elève (3ème2)'!RB5:RE5,"D"))*1))/(COUNTA(RB5:RE5)),"")</f>
        <v/>
      </c>
      <c r="RG5" s="162" t="str">
        <f t="shared" si="114"/>
        <v/>
      </c>
      <c r="RH5" s="96" t="s">
        <v>28</v>
      </c>
      <c r="RI5" s="97" t="s">
        <v>29</v>
      </c>
      <c r="RJ5" s="98"/>
      <c r="RK5" s="98"/>
      <c r="RL5" s="98" t="s">
        <v>29</v>
      </c>
      <c r="RM5" s="102"/>
      <c r="RN5" s="161">
        <f>IFERROR((((COUNTIF('Elève (3ème2)'!RH5:RM5,"A"))*4)+((COUNTIF('Elève (3ème2)'!RH5:RM5,"B"))*3)+((COUNTIF('Elève (3ème2)'!RH5:RM5,"C"))*2)+((COUNTIF('Elève (3ème2)'!RH5:RM5,"D"))*1))/(COUNTA(RH5:RM5)),"")</f>
        <v>2.3333333333333335</v>
      </c>
      <c r="RO5" s="162" t="str">
        <f t="shared" si="115"/>
        <v>C</v>
      </c>
      <c r="RP5" s="161">
        <f>IF(COUNT(QZ5,RF5,RN5)=0,"",SUM(QZ5,RF5,RN5)/COUNT(QZ5,RF5,RN5))</f>
        <v>2.666666666666667</v>
      </c>
      <c r="RQ5" s="186" t="str">
        <f t="shared" si="116"/>
        <v>C</v>
      </c>
      <c r="RR5" s="96" t="s">
        <v>29</v>
      </c>
      <c r="RS5" s="97" t="s">
        <v>28</v>
      </c>
      <c r="RT5" s="98"/>
      <c r="RU5" s="161">
        <f>IFERROR((((COUNTIF('Elève (3ème2)'!RR5:RT5,"A"))*4)+((COUNTIF('Elève (3ème2)'!RR5:RT5,"B"))*3)+((COUNTIF('Elève (3ème2)'!RR5:RT5,"C"))*2)+((COUNTIF('Elève (3ème2)'!RR5:RT5,"D"))*1))/(COUNTA(RR5:RT5)),"")</f>
        <v>2.5</v>
      </c>
      <c r="RV5" s="162" t="str">
        <f t="shared" si="117"/>
        <v>C</v>
      </c>
      <c r="RW5" s="96"/>
      <c r="RX5" s="97"/>
      <c r="RY5" s="98"/>
      <c r="RZ5" s="98"/>
      <c r="SA5" s="161" t="str">
        <f>IFERROR((((COUNTIF('Elève (3ème2)'!RW5:RZ5,"A"))*4)+((COUNTIF('Elève (3ème2)'!RW5:RZ5,"B"))*3)+((COUNTIF('Elève (3ème2)'!RW5:RZ5,"C"))*2)+((COUNTIF('Elève (3ème2)'!RW5:RZ5,"D"))*1))/(COUNTA(RW5:RZ5)),"")</f>
        <v/>
      </c>
      <c r="SB5" s="162" t="str">
        <f t="shared" si="118"/>
        <v/>
      </c>
      <c r="SC5" s="96" t="s">
        <v>28</v>
      </c>
      <c r="SD5" s="97" t="s">
        <v>28</v>
      </c>
      <c r="SE5" s="98"/>
      <c r="SF5" s="98"/>
      <c r="SG5" s="98" t="s">
        <v>27</v>
      </c>
      <c r="SH5" s="102"/>
      <c r="SI5" s="161">
        <f>IFERROR((((COUNTIF('Elève (3ème2)'!SC5:SH5,"A"))*4)+((COUNTIF('Elève (3ème2)'!SC5:SH5,"B"))*3)+((COUNTIF('Elève (3ème2)'!SC5:SH5,"C"))*2)+((COUNTIF('Elève (3ème2)'!SC5:SH5,"D"))*1))/(COUNTA(SC5:SH5)),"")</f>
        <v>3.3333333333333335</v>
      </c>
      <c r="SJ5" s="162" t="str">
        <f t="shared" si="119"/>
        <v>B</v>
      </c>
      <c r="SK5" s="161">
        <f>IF(COUNT(RU5,SA5,SI5)=0,"",SUM(RU5,SA5,SI5)/COUNT(RU5,SA5,SI5))</f>
        <v>2.916666666666667</v>
      </c>
      <c r="SL5" s="186" t="str">
        <f t="shared" si="120"/>
        <v>B</v>
      </c>
      <c r="SM5" s="96" t="s">
        <v>27</v>
      </c>
      <c r="SN5" s="97" t="s">
        <v>28</v>
      </c>
      <c r="SO5" s="98"/>
      <c r="SP5" s="161">
        <f>IFERROR((((COUNTIF('Elève (3ème2)'!SM5:SO5,"A"))*4)+((COUNTIF('Elève (3ème2)'!SM5:SO5,"B"))*3)+((COUNTIF('Elève (3ème2)'!SM5:SO5,"C"))*2)+((COUNTIF('Elève (3ème2)'!SM5:SO5,"D"))*1))/(COUNTA(SM5:SO5)),"")</f>
        <v>3.5</v>
      </c>
      <c r="SQ5" s="162" t="str">
        <f t="shared" si="121"/>
        <v>B</v>
      </c>
      <c r="SR5" s="96"/>
      <c r="SS5" s="97"/>
      <c r="ST5" s="98"/>
      <c r="SU5" s="98"/>
      <c r="SV5" s="161" t="str">
        <f>IFERROR((((COUNTIF('Elève (3ème2)'!SR5:SU5,"A"))*4)+((COUNTIF('Elève (3ème2)'!SR5:SU5,"B"))*3)+((COUNTIF('Elève (3ème2)'!SR5:SU5,"C"))*2)+((COUNTIF('Elève (3ème2)'!SR5:SU5,"D"))*1))/(COUNTA(SR5:SU5)),"")</f>
        <v/>
      </c>
      <c r="SW5" s="162" t="str">
        <f t="shared" si="122"/>
        <v/>
      </c>
      <c r="SX5" s="96" t="s">
        <v>29</v>
      </c>
      <c r="SY5" s="97" t="s">
        <v>30</v>
      </c>
      <c r="SZ5" s="98"/>
      <c r="TA5" s="98"/>
      <c r="TB5" s="98" t="s">
        <v>28</v>
      </c>
      <c r="TC5" s="102"/>
      <c r="TD5" s="161">
        <f>IFERROR((((COUNTIF('Elève (3ème2)'!SX5:TC5,"A"))*4)+((COUNTIF('Elève (3ème2)'!SX5:TC5,"B"))*3)+((COUNTIF('Elève (3ème2)'!SX5:TC5,"C"))*2)+((COUNTIF('Elève (3ème2)'!SX5:TC5,"D"))*1))/(COUNTA(SX5:TC5)),"")</f>
        <v>2</v>
      </c>
      <c r="TE5" s="162" t="str">
        <f t="shared" si="123"/>
        <v>C</v>
      </c>
      <c r="TF5" s="161">
        <f>IF(COUNT(SP5,SV5,TD5)=0,"",SUM(SP5,SV5,TD5)/COUNT(SP5,SV5,TD5))</f>
        <v>2.75</v>
      </c>
      <c r="TG5" s="186" t="str">
        <f t="shared" si="124"/>
        <v>C</v>
      </c>
      <c r="TH5" s="96" t="s">
        <v>28</v>
      </c>
      <c r="TI5" s="97" t="s">
        <v>29</v>
      </c>
      <c r="TJ5" s="98"/>
      <c r="TK5" s="161">
        <f>IFERROR((((COUNTIF('Elève (3ème2)'!TH5:TJ5,"A"))*4)+((COUNTIF('Elève (3ème2)'!TH5:TJ5,"B"))*3)+((COUNTIF('Elève (3ème2)'!TH5:TJ5,"C"))*2)+((COUNTIF('Elève (3ème2)'!TH5:TJ5,"D"))*1))/(COUNTA(TH5:TJ5)),"")</f>
        <v>2.5</v>
      </c>
      <c r="TL5" s="162" t="str">
        <f t="shared" si="125"/>
        <v>C</v>
      </c>
      <c r="TM5" s="96"/>
      <c r="TN5" s="97"/>
      <c r="TO5" s="98"/>
      <c r="TP5" s="98"/>
      <c r="TQ5" s="161" t="str">
        <f>IFERROR((((COUNTIF('Elève (3ème2)'!TM5:TP5,"A"))*4)+((COUNTIF('Elève (3ème2)'!TM5:TP5,"B"))*3)+((COUNTIF('Elève (3ème2)'!TM5:TP5,"C"))*2)+((COUNTIF('Elève (3ème2)'!TM5:TP5,"D"))*1))/(COUNTA(TM5:TP5)),"")</f>
        <v/>
      </c>
      <c r="TR5" s="162" t="str">
        <f t="shared" si="126"/>
        <v/>
      </c>
      <c r="TS5" s="96" t="s">
        <v>30</v>
      </c>
      <c r="TT5" s="97" t="s">
        <v>29</v>
      </c>
      <c r="TU5" s="98"/>
      <c r="TV5" s="98"/>
      <c r="TW5" s="98" t="s">
        <v>29</v>
      </c>
      <c r="TX5" s="102"/>
      <c r="TY5" s="161">
        <f>IFERROR((((COUNTIF('Elève (3ème2)'!TS5:TX5,"A"))*4)+((COUNTIF('Elève (3ème2)'!TS5:TX5,"B"))*3)+((COUNTIF('Elève (3ème2)'!TS5:TX5,"C"))*2)+((COUNTIF('Elève (3ème2)'!TS5:TX5,"D"))*1))/(COUNTA(TS5:TX5)),"")</f>
        <v>1.6666666666666667</v>
      </c>
      <c r="TZ5" s="162" t="str">
        <f t="shared" si="127"/>
        <v>C</v>
      </c>
      <c r="UA5" s="161">
        <f>IF(COUNT(TK5,TQ5,TY5)=0,"",SUM(TK5,TQ5,TY5)/COUNT(TK5,TQ5,TY5))</f>
        <v>2.0833333333333335</v>
      </c>
      <c r="UB5" s="186" t="str">
        <f t="shared" si="128"/>
        <v>C</v>
      </c>
      <c r="UC5" s="96"/>
      <c r="UD5" s="97"/>
      <c r="UE5" s="98"/>
      <c r="UF5" s="99" t="str">
        <f>IFERROR((((COUNTIF('Elève (3ème2)'!UC5:UE5,"A"))*4)+((COUNTIF('Elève (3ème2)'!UC5:UE5,"B"))*3)+((COUNTIF('Elève (3ème2)'!UC5:UE5,"C"))*2)+((COUNTIF('Elève (3ème2)'!UC5:UE5,"D"))*1))/(COUNTA(UC5:UE5)),"")</f>
        <v/>
      </c>
      <c r="UG5" s="100" t="str">
        <f t="shared" si="129"/>
        <v/>
      </c>
      <c r="UH5" s="96"/>
      <c r="UI5" s="97"/>
      <c r="UJ5" s="98"/>
      <c r="UK5" s="99" t="str">
        <f>IFERROR((((COUNTIF('Elève (3ème2)'!UH5:UJ5,"A"))*4)+((COUNTIF('Elève (3ème2)'!UH5:UJ5,"B"))*3)+((COUNTIF('Elève (3ème2)'!UH5:UJ5,"C"))*2)+((COUNTIF('Elève (3ème2)'!UH5:UJ5,"D"))*1))/(COUNTA(UH5:UJ5)),"")</f>
        <v/>
      </c>
      <c r="UL5" s="100" t="str">
        <f t="shared" si="130"/>
        <v/>
      </c>
      <c r="UM5" s="96"/>
      <c r="UN5" s="97"/>
      <c r="UO5" s="102"/>
      <c r="UP5" s="99" t="str">
        <f>IFERROR((((COUNTIF('Elève (3ème2)'!UM5:UO5,"A"))*4)+((COUNTIF('Elève (3ème2)'!UM5:UO5,"B"))*3)+((COUNTIF('Elève (3ème2)'!UM5:UO5,"C"))*2)+((COUNTIF('Elève (3ème2)'!UM5:UO5,"D"))*1))/(COUNTA(UM5:UO5)),"")</f>
        <v/>
      </c>
      <c r="UQ5" s="100" t="str">
        <f t="shared" si="131"/>
        <v/>
      </c>
      <c r="UR5" s="99" t="str">
        <f>IF(COUNT(UF5,UK5,UP5)=0,"",SUM(UF5,UK5,UP5)/COUNT(UF5,UK5,UP5))</f>
        <v/>
      </c>
      <c r="US5" s="101" t="str">
        <f t="shared" si="132"/>
        <v/>
      </c>
      <c r="UT5" s="96"/>
      <c r="UU5" s="97"/>
      <c r="UV5" s="98"/>
      <c r="UW5" s="99" t="str">
        <f>IFERROR((((COUNTIF('Elève (3ème2)'!UT5:UV5,"A"))*4)+((COUNTIF('Elève (3ème2)'!UT5:UV5,"B"))*3)+((COUNTIF('Elève (3ème2)'!UT5:UV5,"C"))*2)+((COUNTIF('Elève (3ème2)'!UT5:UV5,"D"))*1))/(COUNTA(UT5:UV5)),"")</f>
        <v/>
      </c>
      <c r="UX5" s="100" t="str">
        <f t="shared" si="133"/>
        <v/>
      </c>
      <c r="UY5" s="96"/>
      <c r="UZ5" s="97"/>
      <c r="VA5" s="98"/>
      <c r="VB5" s="99" t="str">
        <f>IFERROR((((COUNTIF('Elève (3ème2)'!UY5:VA5,"A"))*4)+((COUNTIF('Elève (3ème2)'!UY5:VA5,"B"))*3)+((COUNTIF('Elève (3ème2)'!UY5:VA5,"C"))*2)+((COUNTIF('Elève (3ème2)'!UY5:VA5,"D"))*1))/(COUNTA(UY5:VA5)),"")</f>
        <v/>
      </c>
      <c r="VC5" s="100" t="str">
        <f t="shared" si="134"/>
        <v/>
      </c>
      <c r="VD5" s="96"/>
      <c r="VE5" s="97"/>
      <c r="VF5" s="102"/>
      <c r="VG5" s="99" t="str">
        <f>IFERROR((((COUNTIF('Elève (3ème2)'!VD5:VF5,"A"))*4)+((COUNTIF('Elève (3ème2)'!VD5:VF5,"B"))*3)+((COUNTIF('Elève (3ème2)'!VD5:VF5,"C"))*2)+((COUNTIF('Elève (3ème2)'!VD5:VF5,"D"))*1))/(COUNTA(VD5:VF5)),"")</f>
        <v/>
      </c>
      <c r="VH5" s="100" t="str">
        <f t="shared" si="135"/>
        <v/>
      </c>
      <c r="VI5" s="99" t="str">
        <f>IF(COUNT(UW5,VB5,VG5)=0,"",SUM(UW5,VB5,VG5)/COUNT(UW5,VB5,VG5))</f>
        <v/>
      </c>
      <c r="VJ5" s="101" t="str">
        <f t="shared" si="136"/>
        <v/>
      </c>
      <c r="VK5" s="96"/>
      <c r="VL5" s="97"/>
      <c r="VM5" s="98"/>
      <c r="VN5" s="99" t="str">
        <f>IFERROR((((COUNTIF('Elève (3ème2)'!VK5:VM5,"A"))*4)+((COUNTIF('Elève (3ème2)'!VK5:VM5,"B"))*3)+((COUNTIF('Elève (3ème2)'!VK5:VM5,"C"))*2)+((COUNTIF('Elève (3ème2)'!VK5:VM5,"D"))*1))/(COUNTA(VK5:VM5)),"")</f>
        <v/>
      </c>
      <c r="VO5" s="100" t="str">
        <f t="shared" si="137"/>
        <v/>
      </c>
      <c r="VP5" s="96"/>
      <c r="VQ5" s="97"/>
      <c r="VR5" s="98"/>
      <c r="VS5" s="99" t="str">
        <f>IFERROR((((COUNTIF('Elève (3ème2)'!VP5:VR5,"A"))*4)+((COUNTIF('Elève (3ème2)'!VP5:VR5,"B"))*3)+((COUNTIF('Elève (3ème2)'!VP5:VR5,"C"))*2)+((COUNTIF('Elève (3ème2)'!VP5:VR5,"D"))*1))/(COUNTA(VP5:VR5)),"")</f>
        <v/>
      </c>
      <c r="VT5" s="100" t="str">
        <f t="shared" si="138"/>
        <v/>
      </c>
      <c r="VU5" s="96"/>
      <c r="VV5" s="97"/>
      <c r="VW5" s="102"/>
      <c r="VX5" s="99" t="str">
        <f>IFERROR((((COUNTIF('Elève (3ème2)'!VU5:VW5,"A"))*4)+((COUNTIF('Elève (3ème2)'!VU5:VW5,"B"))*3)+((COUNTIF('Elève (3ème2)'!VU5:VW5,"C"))*2)+((COUNTIF('Elève (3ème2)'!VU5:VW5,"D"))*1))/(COUNTA(VU5:VW5)),"")</f>
        <v/>
      </c>
      <c r="VY5" s="100" t="str">
        <f t="shared" si="139"/>
        <v/>
      </c>
      <c r="VZ5" s="99" t="str">
        <f>IF(COUNT(VN5,VS5,VX5)=0,"",SUM(VN5,VS5,VX5)/COUNT(VN5,VS5,VX5))</f>
        <v/>
      </c>
      <c r="WA5" s="101" t="str">
        <f t="shared" si="140"/>
        <v/>
      </c>
      <c r="WB5" s="96"/>
      <c r="WC5" s="97"/>
      <c r="WD5" s="98"/>
      <c r="WE5" s="99" t="str">
        <f>IFERROR((((COUNTIF('Elève (3ème2)'!WB5:WD5,"A"))*4)+((COUNTIF('Elève (3ème2)'!WB5:WD5,"B"))*3)+((COUNTIF('Elève (3ème2)'!WB5:WD5,"C"))*2)+((COUNTIF('Elève (3ème2)'!WB5:WD5,"D"))*1))/(COUNTA(WB5:WD5)),"")</f>
        <v/>
      </c>
      <c r="WF5" s="100" t="str">
        <f t="shared" si="141"/>
        <v/>
      </c>
      <c r="WG5" s="96"/>
      <c r="WH5" s="97"/>
      <c r="WI5" s="98"/>
      <c r="WJ5" s="99" t="str">
        <f>IFERROR((((COUNTIF('Elève (3ème2)'!WG5:WI5,"A"))*4)+((COUNTIF('Elève (3ème2)'!WG5:WI5,"B"))*3)+((COUNTIF('Elève (3ème2)'!WG5:WI5,"C"))*2)+((COUNTIF('Elève (3ème2)'!WG5:WI5,"D"))*1))/(COUNTA(WG5:WI5)),"")</f>
        <v/>
      </c>
      <c r="WK5" s="100" t="str">
        <f t="shared" si="142"/>
        <v/>
      </c>
      <c r="WL5" s="96"/>
      <c r="WM5" s="97"/>
      <c r="WN5" s="102"/>
      <c r="WO5" s="99" t="str">
        <f>IFERROR((((COUNTIF('Elève (3ème2)'!WL5:WN5,"A"))*4)+((COUNTIF('Elève (3ème2)'!WL5:WN5,"B"))*3)+((COUNTIF('Elève (3ème2)'!WL5:WN5,"C"))*2)+((COUNTIF('Elève (3ème2)'!WL5:WN5,"D"))*1))/(COUNTA(WL5:WN5)),"")</f>
        <v/>
      </c>
      <c r="WP5" s="100" t="str">
        <f t="shared" si="143"/>
        <v/>
      </c>
      <c r="WQ5" s="99" t="str">
        <f>IF(COUNT(WE5,WJ5,WO5)=0,"",SUM(WE5,WJ5,WO5)/COUNT(WE5,WJ5,WO5))</f>
        <v/>
      </c>
      <c r="WR5" s="101" t="str">
        <f t="shared" si="144"/>
        <v/>
      </c>
    </row>
    <row r="6" spans="1:616" ht="18" customHeight="1" x14ac:dyDescent="0.55000000000000004">
      <c r="A6" s="221" t="s">
        <v>13</v>
      </c>
      <c r="B6" s="222"/>
      <c r="C6" s="103"/>
      <c r="D6" s="104"/>
      <c r="E6" s="105"/>
      <c r="F6" s="163" t="str">
        <f>IFERROR((((COUNTIF('Elève (3ème2)'!C6:E6,"A"))*4)+((COUNTIF('Elève (3ème2)'!C6:E6,"B"))*3)+((COUNTIF('Elève (3ème2)'!C6:E6,"C"))*2)+((COUNTIF('Elève (3ème2)'!C6:E6,"D"))*1))/(COUNTA(C6:E6)),"")</f>
        <v/>
      </c>
      <c r="G6" s="164" t="str">
        <f t="shared" si="25"/>
        <v/>
      </c>
      <c r="H6" s="103" t="s">
        <v>28</v>
      </c>
      <c r="I6" s="104"/>
      <c r="J6" s="105"/>
      <c r="K6" s="105"/>
      <c r="L6" s="163">
        <f>IFERROR((((COUNTIF('Elève (3ème2)'!H6:K6,"A"))*4)+((COUNTIF('Elève (3ème2)'!H6:K6,"B"))*3)+((COUNTIF('Elève (3ème2)'!H6:K6,"C"))*2)+((COUNTIF('Elève (3ème2)'!H6:K6,"D"))*1))/(COUNTA(H6:K6)),"")</f>
        <v>3</v>
      </c>
      <c r="M6" s="164" t="str">
        <f t="shared" si="26"/>
        <v>B</v>
      </c>
      <c r="N6" s="103" t="s">
        <v>27</v>
      </c>
      <c r="O6" s="104" t="s">
        <v>28</v>
      </c>
      <c r="P6" s="105"/>
      <c r="Q6" s="105"/>
      <c r="R6" s="105"/>
      <c r="S6" s="105"/>
      <c r="T6" s="163">
        <f>IFERROR((((COUNTIF('Elève (3ème2)'!N6:S6,"A"))*4)+((COUNTIF('Elève (3ème2)'!N6:S6,"B"))*3)+((COUNTIF('Elève (3ème2)'!N6:S6,"C"))*2)+((COUNTIF('Elève (3ème2)'!N6:S6,"D"))*1))/(COUNTA(N6:S6)),"")</f>
        <v>3.5</v>
      </c>
      <c r="U6" s="164" t="str">
        <f t="shared" si="27"/>
        <v>B</v>
      </c>
      <c r="V6" s="163">
        <f>IF(COUNT(F6,L6,T6)=0,"",SUM(F6,L6,T6)/COUNT(F6,L6,T6))</f>
        <v>3.25</v>
      </c>
      <c r="W6" s="187" t="str">
        <f t="shared" si="28"/>
        <v>B</v>
      </c>
      <c r="X6" s="103"/>
      <c r="Y6" s="104"/>
      <c r="Z6" s="105"/>
      <c r="AA6" s="163" t="str">
        <f>IFERROR((((COUNTIF('Elève (3ème2)'!X6:Z6,"A"))*4)+((COUNTIF('Elève (3ème2)'!X6:Z6,"B"))*3)+((COUNTIF('Elève (3ème2)'!X6:Z6,"C"))*2)+((COUNTIF('Elève (3ème2)'!X6:Z6,"D"))*1))/(COUNTA(X6:Z6)),"")</f>
        <v/>
      </c>
      <c r="AB6" s="164" t="str">
        <f t="shared" si="29"/>
        <v/>
      </c>
      <c r="AC6" s="103" t="s">
        <v>28</v>
      </c>
      <c r="AD6" s="104"/>
      <c r="AE6" s="105"/>
      <c r="AF6" s="105"/>
      <c r="AG6" s="163">
        <f>IFERROR((((COUNTIF('Elève (3ème2)'!AC6:AF6,"A"))*4)+((COUNTIF('Elève (3ème2)'!AC6:AF6,"B"))*3)+((COUNTIF('Elève (3ème2)'!AC6:AF6,"C"))*2)+((COUNTIF('Elève (3ème2)'!AC6:AF6,"D"))*1))/(COUNTA(AC6:AF6)),"")</f>
        <v>3</v>
      </c>
      <c r="AH6" s="164" t="str">
        <f t="shared" si="30"/>
        <v>B</v>
      </c>
      <c r="AI6" s="103" t="s">
        <v>28</v>
      </c>
      <c r="AJ6" s="104" t="s">
        <v>29</v>
      </c>
      <c r="AK6" s="105"/>
      <c r="AL6" s="105" t="s">
        <v>28</v>
      </c>
      <c r="AM6" s="105"/>
      <c r="AN6" s="109"/>
      <c r="AO6" s="163">
        <f>IFERROR((((COUNTIF('Elève (3ème2)'!AI6:AN6,"A"))*4)+((COUNTIF('Elève (3ème2)'!AI6:AN6,"B"))*3)+((COUNTIF('Elève (3ème2)'!AI6:AN6,"C"))*2)+((COUNTIF('Elève (3ème2)'!AI6:AN6,"D"))*1))/(COUNTA(AI6:AN6)),"")</f>
        <v>2.6666666666666665</v>
      </c>
      <c r="AP6" s="164" t="str">
        <f t="shared" si="31"/>
        <v>C</v>
      </c>
      <c r="AQ6" s="163">
        <f>IF(COUNT(AA6,AG6,AO6)=0,"",SUM(AA6,AG6,AO6)/COUNT(AA6,AG6,AO6))</f>
        <v>2.833333333333333</v>
      </c>
      <c r="AR6" s="187" t="str">
        <f t="shared" si="32"/>
        <v>B</v>
      </c>
      <c r="AS6" s="103"/>
      <c r="AT6" s="104"/>
      <c r="AU6" s="105"/>
      <c r="AV6" s="163" t="str">
        <f>IFERROR((((COUNTIF('Elève (3ème2)'!AS6:AU6,"A"))*4)+((COUNTIF('Elève (3ème2)'!AS6:AU6,"B"))*3)+((COUNTIF('Elève (3ème2)'!AS6:AU6,"C"))*2)+((COUNTIF('Elève (3ème2)'!AS6:AU6,"D"))*1))/(COUNTA(AS6:AU6)),"")</f>
        <v/>
      </c>
      <c r="AW6" s="164" t="str">
        <f t="shared" si="33"/>
        <v/>
      </c>
      <c r="AX6" s="103" t="s">
        <v>29</v>
      </c>
      <c r="AY6" s="104"/>
      <c r="AZ6" s="105"/>
      <c r="BA6" s="105"/>
      <c r="BB6" s="163">
        <f>IFERROR((((COUNTIF('Elève (3ème2)'!AX6:BA6,"A"))*4)+((COUNTIF('Elève (3ème2)'!AX6:BA6,"B"))*3)+((COUNTIF('Elève (3ème2)'!AX6:BA6,"C"))*2)+((COUNTIF('Elève (3ème2)'!AX6:BA6,"D"))*1))/(COUNTA(AX6:BA6)),"")</f>
        <v>2</v>
      </c>
      <c r="BC6" s="164" t="str">
        <f t="shared" si="34"/>
        <v>C</v>
      </c>
      <c r="BD6" s="103" t="s">
        <v>27</v>
      </c>
      <c r="BE6" s="104" t="s">
        <v>29</v>
      </c>
      <c r="BF6" s="105" t="s">
        <v>29</v>
      </c>
      <c r="BG6" s="105" t="s">
        <v>29</v>
      </c>
      <c r="BH6" s="105"/>
      <c r="BI6" s="109"/>
      <c r="BJ6" s="163">
        <f>IFERROR((((COUNTIF('Elève (3ème2)'!BD6:BI6,"A"))*4)+((COUNTIF('Elève (3ème2)'!BD6:BI6,"B"))*3)+((COUNTIF('Elève (3ème2)'!BD6:BI6,"C"))*2)+((COUNTIF('Elève (3ème2)'!BD6:BI6,"D"))*1))/(COUNTA(BD6:BI6)),"")</f>
        <v>2.5</v>
      </c>
      <c r="BK6" s="164" t="str">
        <f t="shared" si="35"/>
        <v>C</v>
      </c>
      <c r="BL6" s="163">
        <f>IF(COUNT(AV6,BB6,BJ6)=0,"",SUM(AV6,BB6,BJ6)/COUNT(AV6,BB6,BJ6))</f>
        <v>2.25</v>
      </c>
      <c r="BM6" s="187" t="str">
        <f t="shared" si="36"/>
        <v>C</v>
      </c>
      <c r="BN6" s="103"/>
      <c r="BO6" s="104"/>
      <c r="BP6" s="105"/>
      <c r="BQ6" s="163" t="str">
        <f>IFERROR((((COUNTIF('Elève (3ème2)'!BN6:BP6,"A"))*4)+((COUNTIF('Elève (3ème2)'!BN6:BP6,"B"))*3)+((COUNTIF('Elève (3ème2)'!BN6:BP6,"C"))*2)+((COUNTIF('Elève (3ème2)'!BN6:BP6,"D"))*1))/(COUNTA(BN6:BP6)),"")</f>
        <v/>
      </c>
      <c r="BR6" s="164" t="str">
        <f t="shared" si="37"/>
        <v/>
      </c>
      <c r="BS6" s="103" t="s">
        <v>28</v>
      </c>
      <c r="BT6" s="104"/>
      <c r="BU6" s="105"/>
      <c r="BV6" s="105"/>
      <c r="BW6" s="163">
        <f>IFERROR((((COUNTIF('Elève (3ème2)'!BS6:BV6,"A"))*4)+((COUNTIF('Elève (3ème2)'!BS6:BV6,"B"))*3)+((COUNTIF('Elève (3ème2)'!BS6:BV6,"C"))*2)+((COUNTIF('Elève (3ème2)'!BS6:BV6,"D"))*1))/(COUNTA(BS6:BV6)),"")</f>
        <v>3</v>
      </c>
      <c r="BX6" s="164" t="str">
        <f t="shared" si="38"/>
        <v>B</v>
      </c>
      <c r="BY6" s="103" t="s">
        <v>28</v>
      </c>
      <c r="BZ6" s="104" t="s">
        <v>29</v>
      </c>
      <c r="CA6" s="105" t="s">
        <v>28</v>
      </c>
      <c r="CB6" s="105" t="s">
        <v>28</v>
      </c>
      <c r="CC6" s="105"/>
      <c r="CD6" s="109"/>
      <c r="CE6" s="163">
        <f>IFERROR((((COUNTIF('Elève (3ème2)'!BY6:CD6,"A"))*4)+((COUNTIF('Elève (3ème2)'!BY6:CD6,"B"))*3)+((COUNTIF('Elève (3ème2)'!BY6:CD6,"C"))*2)+((COUNTIF('Elève (3ème2)'!BY6:CD6,"D"))*1))/(COUNTA(BY6:CD6)),"")</f>
        <v>2.75</v>
      </c>
      <c r="CF6" s="164" t="str">
        <f t="shared" si="39"/>
        <v>C</v>
      </c>
      <c r="CG6" s="163">
        <f>IF(COUNT(BQ6,BW6,CE6)=0,"",SUM(BQ6,BW6,CE6)/COUNT(BQ6,BW6,CE6))</f>
        <v>2.875</v>
      </c>
      <c r="CH6" s="187" t="str">
        <f t="shared" si="40"/>
        <v>B</v>
      </c>
      <c r="CI6" s="103"/>
      <c r="CJ6" s="104"/>
      <c r="CK6" s="105"/>
      <c r="CL6" s="163" t="str">
        <f>IFERROR((((COUNTIF('Elève (3ème2)'!CI6:CK6,"A"))*4)+((COUNTIF('Elève (3ème2)'!CI6:CK6,"B"))*3)+((COUNTIF('Elève (3ème2)'!CI6:CK6,"C"))*2)+((COUNTIF('Elève (3ème2)'!CI6:CK6,"D"))*1))/(COUNTA(CI6:CK6)),"")</f>
        <v/>
      </c>
      <c r="CM6" s="164" t="str">
        <f t="shared" si="41"/>
        <v/>
      </c>
      <c r="CN6" s="103" t="s">
        <v>28</v>
      </c>
      <c r="CO6" s="104"/>
      <c r="CP6" s="105"/>
      <c r="CQ6" s="105"/>
      <c r="CR6" s="163">
        <f>IFERROR((((COUNTIF('Elève (3ème2)'!CN6:CQ6,"A"))*4)+((COUNTIF('Elève (3ème2)'!CN6:CQ6,"B"))*3)+((COUNTIF('Elève (3ème2)'!CN6:CQ6,"C"))*2)+((COUNTIF('Elève (3ème2)'!CN6:CQ6,"D"))*1))/(COUNTA(CN6:CQ6)),"")</f>
        <v>3</v>
      </c>
      <c r="CS6" s="164" t="str">
        <f t="shared" si="42"/>
        <v>B</v>
      </c>
      <c r="CT6" s="103" t="s">
        <v>27</v>
      </c>
      <c r="CU6" s="104" t="s">
        <v>29</v>
      </c>
      <c r="CV6" s="105" t="s">
        <v>28</v>
      </c>
      <c r="CW6" s="105" t="s">
        <v>29</v>
      </c>
      <c r="CX6" s="105"/>
      <c r="CY6" s="109"/>
      <c r="CZ6" s="163">
        <f>IFERROR((((COUNTIF('Elève (3ème2)'!CT6:CY6,"A"))*4)+((COUNTIF('Elève (3ème2)'!CT6:CY6,"B"))*3)+((COUNTIF('Elève (3ème2)'!CT6:CY6,"C"))*2)+((COUNTIF('Elève (3ème2)'!CT6:CY6,"D"))*1))/(COUNTA(CT6:CY6)),"")</f>
        <v>2.75</v>
      </c>
      <c r="DA6" s="164" t="str">
        <f t="shared" si="43"/>
        <v>C</v>
      </c>
      <c r="DB6" s="163">
        <f>IF(COUNT(CL6,CR6,CZ6)=0,"",SUM(CL6,CR6,CZ6)/COUNT(CL6,CR6,CZ6))</f>
        <v>2.875</v>
      </c>
      <c r="DC6" s="187" t="str">
        <f t="shared" si="44"/>
        <v>B</v>
      </c>
      <c r="DD6" s="103"/>
      <c r="DE6" s="104"/>
      <c r="DF6" s="105"/>
      <c r="DG6" s="163" t="str">
        <f>IFERROR((((COUNTIF('Elève (3ème2)'!DD6:DF6,"A"))*4)+((COUNTIF('Elève (3ème2)'!DD6:DF6,"B"))*3)+((COUNTIF('Elève (3ème2)'!DD6:DF6,"C"))*2)+((COUNTIF('Elève (3ème2)'!DD6:DF6,"D"))*1))/(COUNTA(DD6:DF6)),"")</f>
        <v/>
      </c>
      <c r="DH6" s="164" t="str">
        <f t="shared" si="45"/>
        <v/>
      </c>
      <c r="DI6" s="103" t="s">
        <v>29</v>
      </c>
      <c r="DJ6" s="104"/>
      <c r="DK6" s="105"/>
      <c r="DL6" s="105"/>
      <c r="DM6" s="163">
        <f>IFERROR((((COUNTIF('Elève (3ème2)'!DI6:DL6,"A"))*4)+((COUNTIF('Elève (3ème2)'!DI6:DL6,"B"))*3)+((COUNTIF('Elève (3ème2)'!DI6:DL6,"C"))*2)+((COUNTIF('Elève (3ème2)'!DI6:DL6,"D"))*1))/(COUNTA(DI6:DL6)),"")</f>
        <v>2</v>
      </c>
      <c r="DN6" s="164" t="str">
        <f t="shared" si="46"/>
        <v>C</v>
      </c>
      <c r="DO6" s="103" t="s">
        <v>27</v>
      </c>
      <c r="DP6" s="104" t="s">
        <v>29</v>
      </c>
      <c r="DQ6" s="105"/>
      <c r="DR6" s="105" t="s">
        <v>28</v>
      </c>
      <c r="DS6" s="105"/>
      <c r="DT6" s="109"/>
      <c r="DU6" s="163">
        <f>IFERROR((((COUNTIF('Elève (3ème2)'!DO6:DT6,"A"))*4)+((COUNTIF('Elève (3ème2)'!DO6:DT6,"B"))*3)+((COUNTIF('Elève (3ème2)'!DO6:DT6,"C"))*2)+((COUNTIF('Elève (3ème2)'!DO6:DT6,"D"))*1))/(COUNTA(DO6:DT6)),"")</f>
        <v>3</v>
      </c>
      <c r="DV6" s="164" t="str">
        <f t="shared" si="47"/>
        <v>B</v>
      </c>
      <c r="DW6" s="163">
        <f>IF(COUNT(DG6,DM6,DU6)=0,"",SUM(DG6,DM6,DU6)/COUNT(DG6,DM6,DU6))</f>
        <v>2.5</v>
      </c>
      <c r="DX6" s="187" t="str">
        <f t="shared" si="48"/>
        <v>C</v>
      </c>
      <c r="DY6" s="103"/>
      <c r="DZ6" s="104"/>
      <c r="EA6" s="105"/>
      <c r="EB6" s="163" t="str">
        <f>IFERROR((((COUNTIF('Elève (3ème2)'!DY6:EA6,"A"))*4)+((COUNTIF('Elève (3ème2)'!DY6:EA6,"B"))*3)+((COUNTIF('Elève (3ème2)'!DY6:EA6,"C"))*2)+((COUNTIF('Elève (3ème2)'!DY6:EA6,"D"))*1))/(COUNTA(DY6:EA6)),"")</f>
        <v/>
      </c>
      <c r="EC6" s="164" t="str">
        <f t="shared" si="49"/>
        <v/>
      </c>
      <c r="ED6" s="103" t="s">
        <v>27</v>
      </c>
      <c r="EE6" s="104"/>
      <c r="EF6" s="105"/>
      <c r="EG6" s="105"/>
      <c r="EH6" s="163">
        <f>IFERROR((((COUNTIF('Elève (3ème2)'!ED6:EG6,"A"))*4)+((COUNTIF('Elève (3ème2)'!ED6:EG6,"B"))*3)+((COUNTIF('Elève (3ème2)'!ED6:EG6,"C"))*2)+((COUNTIF('Elève (3ème2)'!ED6:EG6,"D"))*1))/(COUNTA(ED6:EG6)),"")</f>
        <v>4</v>
      </c>
      <c r="EI6" s="164" t="str">
        <f t="shared" si="50"/>
        <v>A</v>
      </c>
      <c r="EJ6" s="103" t="s">
        <v>28</v>
      </c>
      <c r="EK6" s="104" t="s">
        <v>28</v>
      </c>
      <c r="EL6" s="105" t="s">
        <v>29</v>
      </c>
      <c r="EM6" s="105" t="s">
        <v>27</v>
      </c>
      <c r="EN6" s="105"/>
      <c r="EO6" s="109"/>
      <c r="EP6" s="163">
        <f>IFERROR((((COUNTIF('Elève (3ème2)'!EJ6:EO6,"A"))*4)+((COUNTIF('Elève (3ème2)'!EJ6:EO6,"B"))*3)+((COUNTIF('Elève (3ème2)'!EJ6:EO6,"C"))*2)+((COUNTIF('Elève (3ème2)'!EJ6:EO6,"D"))*1))/(COUNTA(EJ6:EO6)),"")</f>
        <v>3</v>
      </c>
      <c r="EQ6" s="164" t="str">
        <f t="shared" si="51"/>
        <v>B</v>
      </c>
      <c r="ER6" s="163">
        <f>IF(COUNT(EB6,EH6,EP6)=0,"",SUM(EB6,EH6,EP6)/COUNT(EB6,EH6,EP6))</f>
        <v>3.5</v>
      </c>
      <c r="ES6" s="187" t="str">
        <f t="shared" si="52"/>
        <v>B</v>
      </c>
      <c r="ET6" s="103"/>
      <c r="EU6" s="104"/>
      <c r="EV6" s="105"/>
      <c r="EW6" s="163" t="str">
        <f>IFERROR((((COUNTIF('Elève (3ème2)'!ET6:EV6,"A"))*4)+((COUNTIF('Elève (3ème2)'!ET6:EV6,"B"))*3)+((COUNTIF('Elève (3ème2)'!ET6:EV6,"C"))*2)+((COUNTIF('Elève (3ème2)'!ET6:EV6,"D"))*1))/(COUNTA(ET6:EV6)),"")</f>
        <v/>
      </c>
      <c r="EX6" s="164" t="str">
        <f t="shared" si="53"/>
        <v/>
      </c>
      <c r="EY6" s="103" t="s">
        <v>29</v>
      </c>
      <c r="EZ6" s="104"/>
      <c r="FA6" s="105"/>
      <c r="FB6" s="105"/>
      <c r="FC6" s="163">
        <f>IFERROR((((COUNTIF('Elève (3ème2)'!EY6:FB6,"A"))*4)+((COUNTIF('Elève (3ème2)'!EY6:FB6,"B"))*3)+((COUNTIF('Elève (3ème2)'!EY6:FB6,"C"))*2)+((COUNTIF('Elève (3ème2)'!EY6:FB6,"D"))*1))/(COUNTA(EY6:FB6)),"")</f>
        <v>2</v>
      </c>
      <c r="FD6" s="164" t="str">
        <f t="shared" si="54"/>
        <v>C</v>
      </c>
      <c r="FE6" s="103" t="s">
        <v>28</v>
      </c>
      <c r="FF6" s="104" t="s">
        <v>29</v>
      </c>
      <c r="FG6" s="105" t="s">
        <v>30</v>
      </c>
      <c r="FH6" s="105" t="s">
        <v>29</v>
      </c>
      <c r="FI6" s="105"/>
      <c r="FJ6" s="109"/>
      <c r="FK6" s="163">
        <f>IFERROR((((COUNTIF('Elève (3ème2)'!FE6:FJ6,"A"))*4)+((COUNTIF('Elève (3ème2)'!FE6:FJ6,"B"))*3)+((COUNTIF('Elève (3ème2)'!FE6:FJ6,"C"))*2)+((COUNTIF('Elève (3ème2)'!FE6:FJ6,"D"))*1))/(COUNTA(FE6:FJ6)),"")</f>
        <v>2</v>
      </c>
      <c r="FL6" s="164" t="str">
        <f t="shared" si="55"/>
        <v>C</v>
      </c>
      <c r="FM6" s="163">
        <f>IF(COUNT(EW6,FC6,FK6)=0,"",SUM(EW6,FC6,FK6)/COUNT(EW6,FC6,FK6))</f>
        <v>2</v>
      </c>
      <c r="FN6" s="187" t="str">
        <f t="shared" si="56"/>
        <v>C</v>
      </c>
      <c r="FO6" s="103"/>
      <c r="FP6" s="104"/>
      <c r="FQ6" s="105"/>
      <c r="FR6" s="163" t="str">
        <f>IFERROR((((COUNTIF('Elève (3ème2)'!FO6:FQ6,"A"))*4)+((COUNTIF('Elève (3ème2)'!FO6:FQ6,"B"))*3)+((COUNTIF('Elève (3ème2)'!FO6:FQ6,"C"))*2)+((COUNTIF('Elève (3ème2)'!FO6:FQ6,"D"))*1))/(COUNTA(FO6:FQ6)),"")</f>
        <v/>
      </c>
      <c r="FS6" s="164" t="str">
        <f t="shared" si="57"/>
        <v/>
      </c>
      <c r="FT6" s="103" t="s">
        <v>28</v>
      </c>
      <c r="FU6" s="104"/>
      <c r="FV6" s="105"/>
      <c r="FW6" s="105"/>
      <c r="FX6" s="163">
        <f>IFERROR((((COUNTIF('Elève (3ème2)'!FT6:FW6,"A"))*4)+((COUNTIF('Elève (3ème2)'!FT6:FW6,"B"))*3)+((COUNTIF('Elève (3ème2)'!FT6:FW6,"C"))*2)+((COUNTIF('Elève (3ème2)'!FT6:FW6,"D"))*1))/(COUNTA(FT6:FW6)),"")</f>
        <v>3</v>
      </c>
      <c r="FY6" s="164" t="str">
        <f t="shared" si="58"/>
        <v>B</v>
      </c>
      <c r="FZ6" s="103" t="s">
        <v>27</v>
      </c>
      <c r="GA6" s="104" t="s">
        <v>29</v>
      </c>
      <c r="GB6" s="105" t="s">
        <v>28</v>
      </c>
      <c r="GC6" s="105"/>
      <c r="GD6" s="105"/>
      <c r="GE6" s="109"/>
      <c r="GF6" s="163">
        <f>IFERROR((((COUNTIF('Elève (3ème2)'!FZ6:GE6,"A"))*4)+((COUNTIF('Elève (3ème2)'!FZ6:GE6,"B"))*3)+((COUNTIF('Elève (3ème2)'!FZ6:GE6,"C"))*2)+((COUNTIF('Elève (3ème2)'!FZ6:GE6,"D"))*1))/(COUNTA(FZ6:GE6)),"")</f>
        <v>3</v>
      </c>
      <c r="GG6" s="164" t="str">
        <f t="shared" si="59"/>
        <v>B</v>
      </c>
      <c r="GH6" s="163">
        <f>IF(COUNT(FR6,FX6,GF6)=0,"",SUM(FR6,FX6,GF6)/COUNT(FR6,FX6,GF6))</f>
        <v>3</v>
      </c>
      <c r="GI6" s="187" t="str">
        <f t="shared" si="60"/>
        <v>B</v>
      </c>
      <c r="GJ6" s="103"/>
      <c r="GK6" s="104"/>
      <c r="GL6" s="105"/>
      <c r="GM6" s="163" t="str">
        <f>IFERROR((((COUNTIF('Elève (3ème2)'!GJ6:GL6,"A"))*4)+((COUNTIF('Elève (3ème2)'!GJ6:GL6,"B"))*3)+((COUNTIF('Elève (3ème2)'!GJ6:GL6,"C"))*2)+((COUNTIF('Elève (3ème2)'!GJ6:GL6,"D"))*1))/(COUNTA(GJ6:GL6)),"")</f>
        <v/>
      </c>
      <c r="GN6" s="164" t="str">
        <f t="shared" si="61"/>
        <v/>
      </c>
      <c r="GO6" s="103" t="s">
        <v>30</v>
      </c>
      <c r="GP6" s="104"/>
      <c r="GQ6" s="105"/>
      <c r="GR6" s="105"/>
      <c r="GS6" s="163">
        <f>IFERROR((((COUNTIF('Elève (3ème2)'!GO6:GR6,"A"))*4)+((COUNTIF('Elève (3ème2)'!GO6:GR6,"B"))*3)+((COUNTIF('Elève (3ème2)'!GO6:GR6,"C"))*2)+((COUNTIF('Elève (3ème2)'!GO6:GR6,"D"))*1))/(COUNTA(GO6:GR6)),"")</f>
        <v>1</v>
      </c>
      <c r="GT6" s="164" t="str">
        <f t="shared" si="62"/>
        <v>D</v>
      </c>
      <c r="GU6" s="103" t="s">
        <v>29</v>
      </c>
      <c r="GV6" s="104" t="s">
        <v>29</v>
      </c>
      <c r="GW6" s="105" t="s">
        <v>29</v>
      </c>
      <c r="GX6" s="105" t="s">
        <v>29</v>
      </c>
      <c r="GY6" s="105"/>
      <c r="GZ6" s="109"/>
      <c r="HA6" s="163">
        <f>IFERROR((((COUNTIF('Elève (3ème2)'!GU6:GZ6,"A"))*4)+((COUNTIF('Elève (3ème2)'!GU6:GZ6,"B"))*3)+((COUNTIF('Elève (3ème2)'!GU6:GZ6,"C"))*2)+((COUNTIF('Elève (3ème2)'!GU6:GZ6,"D"))*1))/(COUNTA(GU6:GZ6)),"")</f>
        <v>2</v>
      </c>
      <c r="HB6" s="164" t="str">
        <f t="shared" si="63"/>
        <v>C</v>
      </c>
      <c r="HC6" s="163">
        <f>IF(COUNT(GM6,GS6,HA6)=0,"",SUM(GM6,GS6,HA6)/COUNT(GM6,GS6,HA6))</f>
        <v>1.5</v>
      </c>
      <c r="HD6" s="187" t="str">
        <f t="shared" si="64"/>
        <v>D</v>
      </c>
      <c r="HE6" s="103"/>
      <c r="HF6" s="104"/>
      <c r="HG6" s="105"/>
      <c r="HH6" s="163" t="str">
        <f>IFERROR((((COUNTIF('Elève (3ème2)'!HE6:HG6,"A"))*4)+((COUNTIF('Elève (3ème2)'!HE6:HG6,"B"))*3)+((COUNTIF('Elève (3ème2)'!HE6:HG6,"C"))*2)+((COUNTIF('Elève (3ème2)'!HE6:HG6,"D"))*1))/(COUNTA(HE6:HG6)),"")</f>
        <v/>
      </c>
      <c r="HI6" s="164" t="str">
        <f t="shared" si="65"/>
        <v/>
      </c>
      <c r="HJ6" s="103" t="s">
        <v>28</v>
      </c>
      <c r="HK6" s="104"/>
      <c r="HL6" s="105"/>
      <c r="HM6" s="105"/>
      <c r="HN6" s="163">
        <f>IFERROR((((COUNTIF('Elève (3ème2)'!HJ6:HM6,"A"))*4)+((COUNTIF('Elève (3ème2)'!HJ6:HM6,"B"))*3)+((COUNTIF('Elève (3ème2)'!HJ6:HM6,"C"))*2)+((COUNTIF('Elève (3ème2)'!HJ6:HM6,"D"))*1))/(COUNTA(HJ6:HM6)),"")</f>
        <v>3</v>
      </c>
      <c r="HO6" s="164" t="str">
        <f t="shared" si="66"/>
        <v>B</v>
      </c>
      <c r="HP6" s="103" t="s">
        <v>27</v>
      </c>
      <c r="HQ6" s="104" t="s">
        <v>28</v>
      </c>
      <c r="HR6" s="105" t="s">
        <v>28</v>
      </c>
      <c r="HS6" s="105" t="s">
        <v>29</v>
      </c>
      <c r="HT6" s="105"/>
      <c r="HU6" s="109"/>
      <c r="HV6" s="163">
        <f>IFERROR((((COUNTIF('Elève (3ème2)'!HP6:HU6,"A"))*4)+((COUNTIF('Elève (3ème2)'!HP6:HU6,"B"))*3)+((COUNTIF('Elève (3ème2)'!HP6:HU6,"C"))*2)+((COUNTIF('Elève (3ème2)'!HP6:HU6,"D"))*1))/(COUNTA(HP6:HU6)),"")</f>
        <v>3</v>
      </c>
      <c r="HW6" s="164" t="str">
        <f t="shared" si="67"/>
        <v>B</v>
      </c>
      <c r="HX6" s="163">
        <f>IF(COUNT(HH6,HN6,HV6)=0,"",SUM(HH6,HN6,HV6)/COUNT(HH6,HN6,HV6))</f>
        <v>3</v>
      </c>
      <c r="HY6" s="187" t="str">
        <f t="shared" si="68"/>
        <v>B</v>
      </c>
      <c r="HZ6" s="103"/>
      <c r="IA6" s="104"/>
      <c r="IB6" s="105"/>
      <c r="IC6" s="163" t="str">
        <f>IFERROR((((COUNTIF('Elève (3ème2)'!HZ6:IB6,"A"))*4)+((COUNTIF('Elève (3ème2)'!HZ6:IB6,"B"))*3)+((COUNTIF('Elève (3ème2)'!HZ6:IB6,"C"))*2)+((COUNTIF('Elève (3ème2)'!HZ6:IB6,"D"))*1))/(COUNTA(HZ6:IB6)),"")</f>
        <v/>
      </c>
      <c r="ID6" s="164" t="str">
        <f t="shared" si="69"/>
        <v/>
      </c>
      <c r="IE6" s="103" t="s">
        <v>28</v>
      </c>
      <c r="IF6" s="104"/>
      <c r="IG6" s="105"/>
      <c r="IH6" s="105"/>
      <c r="II6" s="163">
        <f>IFERROR((((COUNTIF('Elève (3ème2)'!IE6:IH6,"A"))*4)+((COUNTIF('Elève (3ème2)'!IE6:IH6,"B"))*3)+((COUNTIF('Elève (3ème2)'!IE6:IH6,"C"))*2)+((COUNTIF('Elève (3ème2)'!IE6:IH6,"D"))*1))/(COUNTA(IE6:IH6)),"")</f>
        <v>3</v>
      </c>
      <c r="IJ6" s="164" t="str">
        <f t="shared" si="70"/>
        <v>B</v>
      </c>
      <c r="IK6" s="103" t="s">
        <v>28</v>
      </c>
      <c r="IL6" s="104" t="s">
        <v>27</v>
      </c>
      <c r="IM6" s="105"/>
      <c r="IN6" s="105" t="s">
        <v>29</v>
      </c>
      <c r="IO6" s="105"/>
      <c r="IP6" s="109"/>
      <c r="IQ6" s="163">
        <f>IFERROR((((COUNTIF('Elève (3ème2)'!IK6:IP6,"A"))*4)+((COUNTIF('Elève (3ème2)'!IK6:IP6,"B"))*3)+((COUNTIF('Elève (3ème2)'!IK6:IP6,"C"))*2)+((COUNTIF('Elève (3ème2)'!IK6:IP6,"D"))*1))/(COUNTA(IK6:IP6)),"")</f>
        <v>3</v>
      </c>
      <c r="IR6" s="164" t="str">
        <f t="shared" si="71"/>
        <v>B</v>
      </c>
      <c r="IS6" s="163">
        <f>IF(COUNT(IC6,II6,IQ6)=0,"",SUM(IC6,II6,IQ6)/COUNT(IC6,II6,IQ6))</f>
        <v>3</v>
      </c>
      <c r="IT6" s="187" t="str">
        <f t="shared" si="72"/>
        <v>B</v>
      </c>
      <c r="IU6" s="103"/>
      <c r="IV6" s="104"/>
      <c r="IW6" s="105"/>
      <c r="IX6" s="163" t="str">
        <f>IFERROR((((COUNTIF('Elève (3ème2)'!IU6:IW6,"A"))*4)+((COUNTIF('Elève (3ème2)'!IU6:IW6,"B"))*3)+((COUNTIF('Elève (3ème2)'!IU6:IW6,"C"))*2)+((COUNTIF('Elève (3ème2)'!IU6:IW6,"D"))*1))/(COUNTA(IU6:IW6)),"")</f>
        <v/>
      </c>
      <c r="IY6" s="164" t="str">
        <f t="shared" si="73"/>
        <v/>
      </c>
      <c r="IZ6" s="103" t="s">
        <v>29</v>
      </c>
      <c r="JA6" s="104"/>
      <c r="JB6" s="105"/>
      <c r="JC6" s="105"/>
      <c r="JD6" s="163">
        <f>IFERROR((((COUNTIF('Elève (3ème2)'!IZ6:JC6,"A"))*4)+((COUNTIF('Elève (3ème2)'!IZ6:JC6,"B"))*3)+((COUNTIF('Elève (3ème2)'!IZ6:JC6,"C"))*2)+((COUNTIF('Elève (3ème2)'!IZ6:JC6,"D"))*1))/(COUNTA(IZ6:JC6)),"")</f>
        <v>2</v>
      </c>
      <c r="JE6" s="164" t="str">
        <f t="shared" si="74"/>
        <v>C</v>
      </c>
      <c r="JF6" s="103" t="s">
        <v>27</v>
      </c>
      <c r="JG6" s="104" t="s">
        <v>28</v>
      </c>
      <c r="JH6" s="105"/>
      <c r="JI6" s="105" t="s">
        <v>29</v>
      </c>
      <c r="JJ6" s="105"/>
      <c r="JK6" s="109"/>
      <c r="JL6" s="163">
        <f>IFERROR((((COUNTIF('Elève (3ème2)'!JF6:JK6,"A"))*4)+((COUNTIF('Elève (3ème2)'!JF6:JK6,"B"))*3)+((COUNTIF('Elève (3ème2)'!JF6:JK6,"C"))*2)+((COUNTIF('Elève (3ème2)'!JF6:JK6,"D"))*1))/(COUNTA(JF6:JK6)),"")</f>
        <v>3</v>
      </c>
      <c r="JM6" s="164" t="str">
        <f t="shared" si="75"/>
        <v>B</v>
      </c>
      <c r="JN6" s="163">
        <f>IF(COUNT(IX6,JD6,JL6)=0,"",SUM(IX6,JD6,JL6)/COUNT(IX6,JD6,JL6))</f>
        <v>2.5</v>
      </c>
      <c r="JO6" s="187" t="str">
        <f t="shared" si="76"/>
        <v>C</v>
      </c>
      <c r="JP6" s="103"/>
      <c r="JQ6" s="104"/>
      <c r="JR6" s="105"/>
      <c r="JS6" s="163" t="str">
        <f>IFERROR((((COUNTIF('Elève (3ème2)'!JP6:JR6,"A"))*4)+((COUNTIF('Elève (3ème2)'!JP6:JR6,"B"))*3)+((COUNTIF('Elève (3ème2)'!JP6:JR6,"C"))*2)+((COUNTIF('Elève (3ème2)'!JP6:JR6,"D"))*1))/(COUNTA(JP6:JR6)),"")</f>
        <v/>
      </c>
      <c r="JT6" s="164" t="str">
        <f t="shared" si="77"/>
        <v/>
      </c>
      <c r="JU6" s="103" t="s">
        <v>27</v>
      </c>
      <c r="JV6" s="104"/>
      <c r="JW6" s="105"/>
      <c r="JX6" s="105"/>
      <c r="JY6" s="163">
        <f>IFERROR((((COUNTIF('Elève (3ème2)'!JU6:JX6,"A"))*4)+((COUNTIF('Elève (3ème2)'!JU6:JX6,"B"))*3)+((COUNTIF('Elève (3ème2)'!JU6:JX6,"C"))*2)+((COUNTIF('Elève (3ème2)'!JU6:JX6,"D"))*1))/(COUNTA(JU6:JX6)),"")</f>
        <v>4</v>
      </c>
      <c r="JZ6" s="164" t="str">
        <f t="shared" si="78"/>
        <v>A</v>
      </c>
      <c r="KA6" s="103" t="s">
        <v>27</v>
      </c>
      <c r="KB6" s="104" t="s">
        <v>27</v>
      </c>
      <c r="KC6" s="105" t="s">
        <v>28</v>
      </c>
      <c r="KD6" s="105" t="s">
        <v>27</v>
      </c>
      <c r="KE6" s="105"/>
      <c r="KF6" s="109"/>
      <c r="KG6" s="163">
        <f>IFERROR((((COUNTIF('Elève (3ème2)'!KA6:KF6,"A"))*4)+((COUNTIF('Elève (3ème2)'!KA6:KF6,"B"))*3)+((COUNTIF('Elève (3ème2)'!KA6:KF6,"C"))*2)+((COUNTIF('Elève (3ème2)'!KA6:KF6,"D"))*1))/(COUNTA(KA6:KF6)),"")</f>
        <v>3.75</v>
      </c>
      <c r="KH6" s="164" t="str">
        <f t="shared" si="79"/>
        <v>A</v>
      </c>
      <c r="KI6" s="163">
        <f>IF(COUNT(JS6,JY6,KG6)=0,"",SUM(JS6,JY6,KG6)/COUNT(JS6,JY6,KG6))</f>
        <v>3.875</v>
      </c>
      <c r="KJ6" s="187" t="str">
        <f t="shared" si="80"/>
        <v>A</v>
      </c>
      <c r="KK6" s="103"/>
      <c r="KL6" s="104"/>
      <c r="KM6" s="105"/>
      <c r="KN6" s="163" t="str">
        <f>IFERROR((((COUNTIF('Elève (3ème2)'!KK6:KM6,"A"))*4)+((COUNTIF('Elève (3ème2)'!KK6:KM6,"B"))*3)+((COUNTIF('Elève (3ème2)'!KK6:KM6,"C"))*2)+((COUNTIF('Elève (3ème2)'!KK6:KM6,"D"))*1))/(COUNTA(KK6:KM6)),"")</f>
        <v/>
      </c>
      <c r="KO6" s="164" t="str">
        <f t="shared" si="81"/>
        <v/>
      </c>
      <c r="KP6" s="103" t="s">
        <v>29</v>
      </c>
      <c r="KQ6" s="104"/>
      <c r="KR6" s="105"/>
      <c r="KS6" s="105"/>
      <c r="KT6" s="163">
        <f>IFERROR((((COUNTIF('Elève (3ème2)'!KP6:KS6,"A"))*4)+((COUNTIF('Elève (3ème2)'!KP6:KS6,"B"))*3)+((COUNTIF('Elève (3ème2)'!KP6:KS6,"C"))*2)+((COUNTIF('Elève (3ème2)'!KP6:KS6,"D"))*1))/(COUNTA(KP6:KS6)),"")</f>
        <v>2</v>
      </c>
      <c r="KU6" s="164" t="str">
        <f t="shared" si="82"/>
        <v>C</v>
      </c>
      <c r="KV6" s="103" t="s">
        <v>28</v>
      </c>
      <c r="KW6" s="104" t="s">
        <v>29</v>
      </c>
      <c r="KX6" s="105" t="s">
        <v>28</v>
      </c>
      <c r="KY6" s="105"/>
      <c r="KZ6" s="105"/>
      <c r="LA6" s="109"/>
      <c r="LB6" s="163">
        <f>IFERROR((((COUNTIF('Elève (3ème2)'!KV6:LA6,"A"))*4)+((COUNTIF('Elève (3ème2)'!KV6:LA6,"B"))*3)+((COUNTIF('Elève (3ème2)'!KV6:LA6,"C"))*2)+((COUNTIF('Elève (3ème2)'!KV6:LA6,"D"))*1))/(COUNTA(KV6:LA6)),"")</f>
        <v>2.6666666666666665</v>
      </c>
      <c r="LC6" s="164" t="str">
        <f t="shared" si="83"/>
        <v>C</v>
      </c>
      <c r="LD6" s="163">
        <f>IF(COUNT(KN6,KT6,LB6)=0,"",SUM(KN6,KT6,LB6)/COUNT(KN6,KT6,LB6))</f>
        <v>2.333333333333333</v>
      </c>
      <c r="LE6" s="187" t="str">
        <f t="shared" si="84"/>
        <v>C</v>
      </c>
      <c r="LF6" s="103"/>
      <c r="LG6" s="104"/>
      <c r="LH6" s="105"/>
      <c r="LI6" s="163" t="str">
        <f>IFERROR((((COUNTIF('Elève (3ème2)'!LF6:LH6,"A"))*4)+((COUNTIF('Elève (3ème2)'!LF6:LH6,"B"))*3)+((COUNTIF('Elève (3ème2)'!LF6:LH6,"C"))*2)+((COUNTIF('Elève (3ème2)'!LF6:LH6,"D"))*1))/(COUNTA(LF6:LH6)),"")</f>
        <v/>
      </c>
      <c r="LJ6" s="164" t="str">
        <f t="shared" si="85"/>
        <v/>
      </c>
      <c r="LK6" s="103" t="s">
        <v>29</v>
      </c>
      <c r="LL6" s="104"/>
      <c r="LM6" s="105"/>
      <c r="LN6" s="105"/>
      <c r="LO6" s="163">
        <f>IFERROR((((COUNTIF('Elève (3ème2)'!LK6:LN6,"A"))*4)+((COUNTIF('Elève (3ème2)'!LK6:LN6,"B"))*3)+((COUNTIF('Elève (3ème2)'!LK6:LN6,"C"))*2)+((COUNTIF('Elève (3ème2)'!LK6:LN6,"D"))*1))/(COUNTA(LK6:LN6)),"")</f>
        <v>2</v>
      </c>
      <c r="LP6" s="164" t="str">
        <f t="shared" si="86"/>
        <v>C</v>
      </c>
      <c r="LQ6" s="103"/>
      <c r="LR6" s="104" t="s">
        <v>29</v>
      </c>
      <c r="LS6" s="105" t="s">
        <v>30</v>
      </c>
      <c r="LT6" s="105" t="s">
        <v>27</v>
      </c>
      <c r="LU6" s="105"/>
      <c r="LV6" s="109"/>
      <c r="LW6" s="163">
        <f>IFERROR((((COUNTIF('Elève (3ème2)'!LQ6:LV6,"A"))*4)+((COUNTIF('Elève (3ème2)'!LQ6:LV6,"B"))*3)+((COUNTIF('Elève (3ème2)'!LQ6:LV6,"C"))*2)+((COUNTIF('Elève (3ème2)'!LQ6:LV6,"D"))*1))/(COUNTA(LQ6:LV6)),"")</f>
        <v>2.3333333333333335</v>
      </c>
      <c r="LX6" s="164" t="str">
        <f t="shared" si="87"/>
        <v>C</v>
      </c>
      <c r="LY6" s="163">
        <f>IF(COUNT(LI6,LO6,LW6)=0,"",SUM(LI6,LO6,LW6)/COUNT(LI6,LO6,LW6))</f>
        <v>2.166666666666667</v>
      </c>
      <c r="LZ6" s="187" t="str">
        <f t="shared" si="88"/>
        <v>C</v>
      </c>
      <c r="MA6" s="103"/>
      <c r="MB6" s="104"/>
      <c r="MC6" s="105"/>
      <c r="MD6" s="163" t="str">
        <f>IFERROR((((COUNTIF('Elève (3ème2)'!MA6:MC6,"A"))*4)+((COUNTIF('Elève (3ème2)'!MA6:MC6,"B"))*3)+((COUNTIF('Elève (3ème2)'!MA6:MC6,"C"))*2)+((COUNTIF('Elève (3ème2)'!MA6:MC6,"D"))*1))/(COUNTA(MA6:MC6)),"")</f>
        <v/>
      </c>
      <c r="ME6" s="164" t="str">
        <f t="shared" si="89"/>
        <v/>
      </c>
      <c r="MF6" s="103" t="s">
        <v>28</v>
      </c>
      <c r="MG6" s="104"/>
      <c r="MH6" s="105"/>
      <c r="MI6" s="105"/>
      <c r="MJ6" s="163">
        <f>IFERROR((((COUNTIF('Elève (3ème2)'!MF6:MI6,"A"))*4)+((COUNTIF('Elève (3ème2)'!MF6:MI6,"B"))*3)+((COUNTIF('Elève (3ème2)'!MF6:MI6,"C"))*2)+((COUNTIF('Elève (3ème2)'!MF6:MI6,"D"))*1))/(COUNTA(MF6:MI6)),"")</f>
        <v>3</v>
      </c>
      <c r="MK6" s="164" t="str">
        <f t="shared" si="90"/>
        <v>B</v>
      </c>
      <c r="ML6" s="103" t="s">
        <v>30</v>
      </c>
      <c r="MM6" s="104" t="s">
        <v>28</v>
      </c>
      <c r="MN6" s="105" t="s">
        <v>29</v>
      </c>
      <c r="MO6" s="105" t="s">
        <v>28</v>
      </c>
      <c r="MP6" s="105"/>
      <c r="MQ6" s="109"/>
      <c r="MR6" s="163">
        <f>IFERROR((((COUNTIF('Elève (3ème2)'!ML6:MQ6,"A"))*4)+((COUNTIF('Elève (3ème2)'!ML6:MQ6,"B"))*3)+((COUNTIF('Elève (3ème2)'!ML6:MQ6,"C"))*2)+((COUNTIF('Elève (3ème2)'!ML6:MQ6,"D"))*1))/(COUNTA(ML6:MQ6)),"")</f>
        <v>2.25</v>
      </c>
      <c r="MS6" s="164" t="str">
        <f t="shared" si="91"/>
        <v>C</v>
      </c>
      <c r="MT6" s="163">
        <f>IF(COUNT(MD6,MJ6,MR6)=0,"",SUM(MD6,MJ6,MR6)/COUNT(MD6,MJ6,MR6))</f>
        <v>2.625</v>
      </c>
      <c r="MU6" s="187" t="str">
        <f t="shared" si="92"/>
        <v>C</v>
      </c>
      <c r="MV6" s="103"/>
      <c r="MW6" s="104"/>
      <c r="MX6" s="105"/>
      <c r="MY6" s="163" t="str">
        <f>IFERROR((((COUNTIF('Elève (3ème2)'!MV6:MX6,"A"))*4)+((COUNTIF('Elève (3ème2)'!MV6:MX6,"B"))*3)+((COUNTIF('Elève (3ème2)'!MV6:MX6,"C"))*2)+((COUNTIF('Elève (3ème2)'!MV6:MX6,"D"))*1))/(COUNTA(MV6:MX6)),"")</f>
        <v/>
      </c>
      <c r="MZ6" s="164" t="str">
        <f t="shared" si="93"/>
        <v/>
      </c>
      <c r="NA6" s="103" t="s">
        <v>28</v>
      </c>
      <c r="NB6" s="104"/>
      <c r="NC6" s="105"/>
      <c r="ND6" s="105"/>
      <c r="NE6" s="163">
        <f>IFERROR((((COUNTIF('Elève (3ème2)'!NA6:ND6,"A"))*4)+((COUNTIF('Elève (3ème2)'!NA6:ND6,"B"))*3)+((COUNTIF('Elève (3ème2)'!NA6:ND6,"C"))*2)+((COUNTIF('Elève (3ème2)'!NA6:ND6,"D"))*1))/(COUNTA(NA6:ND6)),"")</f>
        <v>3</v>
      </c>
      <c r="NF6" s="164" t="str">
        <f t="shared" si="94"/>
        <v>B</v>
      </c>
      <c r="NG6" s="103" t="s">
        <v>28</v>
      </c>
      <c r="NH6" s="104" t="s">
        <v>27</v>
      </c>
      <c r="NI6" s="105" t="s">
        <v>29</v>
      </c>
      <c r="NJ6" s="105" t="s">
        <v>27</v>
      </c>
      <c r="NK6" s="105"/>
      <c r="NL6" s="109"/>
      <c r="NM6" s="163">
        <f>IFERROR((((COUNTIF('Elève (3ème2)'!NG6:NL6,"A"))*4)+((COUNTIF('Elève (3ème2)'!NG6:NL6,"B"))*3)+((COUNTIF('Elève (3ème2)'!NG6:NL6,"C"))*2)+((COUNTIF('Elève (3ème2)'!NG6:NL6,"D"))*1))/(COUNTA(NG6:NL6)),"")</f>
        <v>3.25</v>
      </c>
      <c r="NN6" s="164" t="str">
        <f t="shared" si="95"/>
        <v>B</v>
      </c>
      <c r="NO6" s="163">
        <f>IF(COUNT(MY6,NE6,NM6)=0,"",SUM(MY6,NE6,NM6)/COUNT(MY6,NE6,NM6))</f>
        <v>3.125</v>
      </c>
      <c r="NP6" s="187" t="str">
        <f t="shared" si="96"/>
        <v>B</v>
      </c>
      <c r="NQ6" s="103"/>
      <c r="NR6" s="104"/>
      <c r="NS6" s="105"/>
      <c r="NT6" s="163" t="str">
        <f>IFERROR((((COUNTIF('Elève (3ème2)'!NQ6:NS6,"A"))*4)+((COUNTIF('Elève (3ème2)'!NQ6:NS6,"B"))*3)+((COUNTIF('Elève (3ème2)'!NQ6:NS6,"C"))*2)+((COUNTIF('Elève (3ème2)'!NQ6:NS6,"D"))*1))/(COUNTA(NQ6:NS6)),"")</f>
        <v/>
      </c>
      <c r="NU6" s="164" t="str">
        <f t="shared" si="97"/>
        <v/>
      </c>
      <c r="NV6" s="103" t="s">
        <v>29</v>
      </c>
      <c r="NW6" s="104"/>
      <c r="NX6" s="105"/>
      <c r="NY6" s="105"/>
      <c r="NZ6" s="163">
        <f>IFERROR((((COUNTIF('Elève (3ème2)'!NV6:NY6,"A"))*4)+((COUNTIF('Elève (3ème2)'!NV6:NY6,"B"))*3)+((COUNTIF('Elève (3ème2)'!NV6:NY6,"C"))*2)+((COUNTIF('Elève (3ème2)'!NV6:NY6,"D"))*1))/(COUNTA(NV6:NY6)),"")</f>
        <v>2</v>
      </c>
      <c r="OA6" s="164" t="str">
        <f t="shared" si="98"/>
        <v>C</v>
      </c>
      <c r="OB6" s="103" t="s">
        <v>28</v>
      </c>
      <c r="OC6" s="104" t="s">
        <v>27</v>
      </c>
      <c r="OD6" s="105" t="s">
        <v>29</v>
      </c>
      <c r="OE6" s="105" t="s">
        <v>29</v>
      </c>
      <c r="OF6" s="105"/>
      <c r="OG6" s="109"/>
      <c r="OH6" s="163">
        <f>IFERROR((((COUNTIF('Elève (3ème2)'!OB6:OG6,"A"))*4)+((COUNTIF('Elève (3ème2)'!OB6:OG6,"B"))*3)+((COUNTIF('Elève (3ème2)'!OB6:OG6,"C"))*2)+((COUNTIF('Elève (3ème2)'!OB6:OG6,"D"))*1))/(COUNTA(OB6:OG6)),"")</f>
        <v>2.75</v>
      </c>
      <c r="OI6" s="164" t="str">
        <f t="shared" si="99"/>
        <v>C</v>
      </c>
      <c r="OJ6" s="163">
        <f>IF(COUNT(NT6,NZ6,OH6)=0,"",SUM(NT6,NZ6,OH6)/COUNT(NT6,NZ6,OH6))</f>
        <v>2.375</v>
      </c>
      <c r="OK6" s="187" t="str">
        <f t="shared" si="100"/>
        <v>C</v>
      </c>
      <c r="OL6" s="103"/>
      <c r="OM6" s="104"/>
      <c r="ON6" s="105"/>
      <c r="OO6" s="163" t="str">
        <f>IFERROR((((COUNTIF('Elève (3ème2)'!OL6:ON6,"A"))*4)+((COUNTIF('Elève (3ème2)'!OL6:ON6,"B"))*3)+((COUNTIF('Elève (3ème2)'!OL6:ON6,"C"))*2)+((COUNTIF('Elève (3ème2)'!OL6:ON6,"D"))*1))/(COUNTA(OL6:ON6)),"")</f>
        <v/>
      </c>
      <c r="OP6" s="164" t="str">
        <f t="shared" si="101"/>
        <v/>
      </c>
      <c r="OQ6" s="103" t="s">
        <v>27</v>
      </c>
      <c r="OR6" s="104"/>
      <c r="OS6" s="105"/>
      <c r="OT6" s="105"/>
      <c r="OU6" s="163">
        <f>IFERROR((((COUNTIF('Elève (3ème2)'!OQ6:OT6,"A"))*4)+((COUNTIF('Elève (3ème2)'!OQ6:OT6,"B"))*3)+((COUNTIF('Elève (3ème2)'!OQ6:OT6,"C"))*2)+((COUNTIF('Elève (3ème2)'!OQ6:OT6,"D"))*1))/(COUNTA(OQ6:OT6)),"")</f>
        <v>4</v>
      </c>
      <c r="OV6" s="164" t="str">
        <f t="shared" si="102"/>
        <v>A</v>
      </c>
      <c r="OW6" s="103" t="s">
        <v>27</v>
      </c>
      <c r="OX6" s="104" t="s">
        <v>28</v>
      </c>
      <c r="OY6" s="105" t="s">
        <v>27</v>
      </c>
      <c r="OZ6" s="105" t="s">
        <v>28</v>
      </c>
      <c r="PA6" s="105"/>
      <c r="PB6" s="109"/>
      <c r="PC6" s="163">
        <f>IFERROR((((COUNTIF('Elève (3ème2)'!OW6:PB6,"A"))*4)+((COUNTIF('Elève (3ème2)'!OW6:PB6,"B"))*3)+((COUNTIF('Elève (3ème2)'!OW6:PB6,"C"))*2)+((COUNTIF('Elève (3ème2)'!OW6:PB6,"D"))*1))/(COUNTA(OW6:PB6)),"")</f>
        <v>3.5</v>
      </c>
      <c r="PD6" s="164" t="str">
        <f t="shared" si="103"/>
        <v>B</v>
      </c>
      <c r="PE6" s="163">
        <f>IF(COUNT(OO6,OU6,PC6)=0,"",SUM(OO6,OU6,PC6)/COUNT(OO6,OU6,PC6))</f>
        <v>3.75</v>
      </c>
      <c r="PF6" s="187" t="str">
        <f t="shared" si="104"/>
        <v>A</v>
      </c>
      <c r="PG6" s="103"/>
      <c r="PH6" s="104"/>
      <c r="PI6" s="105"/>
      <c r="PJ6" s="163" t="str">
        <f>IFERROR((((COUNTIF('Elève (3ème2)'!PG6:PI6,"A"))*4)+((COUNTIF('Elève (3ème2)'!PG6:PI6,"B"))*3)+((COUNTIF('Elève (3ème2)'!PG6:PI6,"C"))*2)+((COUNTIF('Elève (3ème2)'!PG6:PI6,"D"))*1))/(COUNTA(PG6:PI6)),"")</f>
        <v/>
      </c>
      <c r="PK6" s="164" t="str">
        <f t="shared" si="105"/>
        <v/>
      </c>
      <c r="PL6" s="103" t="s">
        <v>27</v>
      </c>
      <c r="PM6" s="104"/>
      <c r="PN6" s="105"/>
      <c r="PO6" s="105"/>
      <c r="PP6" s="163">
        <f>IFERROR((((COUNTIF('Elève (3ème2)'!PL6:PO6,"A"))*4)+((COUNTIF('Elève (3ème2)'!PL6:PO6,"B"))*3)+((COUNTIF('Elève (3ème2)'!PL6:PO6,"C"))*2)+((COUNTIF('Elève (3ème2)'!PL6:PO6,"D"))*1))/(COUNTA(PL6:PO6)),"")</f>
        <v>4</v>
      </c>
      <c r="PQ6" s="164" t="str">
        <f t="shared" si="106"/>
        <v>A</v>
      </c>
      <c r="PR6" s="103" t="s">
        <v>28</v>
      </c>
      <c r="PS6" s="104" t="s">
        <v>27</v>
      </c>
      <c r="PT6" s="105"/>
      <c r="PU6" s="105" t="s">
        <v>28</v>
      </c>
      <c r="PV6" s="105"/>
      <c r="PW6" s="109"/>
      <c r="PX6" s="163">
        <f>IFERROR((((COUNTIF('Elève (3ème2)'!PR6:PW6,"A"))*4)+((COUNTIF('Elève (3ème2)'!PR6:PW6,"B"))*3)+((COUNTIF('Elève (3ème2)'!PR6:PW6,"C"))*2)+((COUNTIF('Elève (3ème2)'!PR6:PW6,"D"))*1))/(COUNTA(PR6:PW6)),"")</f>
        <v>3.3333333333333335</v>
      </c>
      <c r="PY6" s="164" t="str">
        <f t="shared" si="107"/>
        <v>B</v>
      </c>
      <c r="PZ6" s="163">
        <f>IF(COUNT(PJ6,PP6,PX6)=0,"",SUM(PJ6,PP6,PX6)/COUNT(PJ6,PP6,PX6))</f>
        <v>3.666666666666667</v>
      </c>
      <c r="QA6" s="187" t="str">
        <f t="shared" si="108"/>
        <v>B</v>
      </c>
      <c r="QB6" s="103"/>
      <c r="QC6" s="104"/>
      <c r="QD6" s="105"/>
      <c r="QE6" s="163" t="str">
        <f>IFERROR((((COUNTIF('Elève (3ème2)'!QB6:QD6,"A"))*4)+((COUNTIF('Elève (3ème2)'!QB6:QD6,"B"))*3)+((COUNTIF('Elève (3ème2)'!QB6:QD6,"C"))*2)+((COUNTIF('Elève (3ème2)'!QB6:QD6,"D"))*1))/(COUNTA(QB6:QD6)),"")</f>
        <v/>
      </c>
      <c r="QF6" s="164" t="str">
        <f t="shared" si="109"/>
        <v/>
      </c>
      <c r="QG6" s="103" t="s">
        <v>28</v>
      </c>
      <c r="QH6" s="104"/>
      <c r="QI6" s="105"/>
      <c r="QJ6" s="105"/>
      <c r="QK6" s="163">
        <f>IFERROR((((COUNTIF('Elève (3ème2)'!QG6:QJ6,"A"))*4)+((COUNTIF('Elève (3ème2)'!QG6:QJ6,"B"))*3)+((COUNTIF('Elève (3ème2)'!QG6:QJ6,"C"))*2)+((COUNTIF('Elève (3ème2)'!QG6:QJ6,"D"))*1))/(COUNTA(QG6:QJ6)),"")</f>
        <v>3</v>
      </c>
      <c r="QL6" s="164" t="str">
        <f t="shared" si="110"/>
        <v>B</v>
      </c>
      <c r="QM6" s="103" t="s">
        <v>27</v>
      </c>
      <c r="QN6" s="104" t="s">
        <v>28</v>
      </c>
      <c r="QO6" s="105" t="s">
        <v>28</v>
      </c>
      <c r="QP6" s="105" t="s">
        <v>27</v>
      </c>
      <c r="QQ6" s="105"/>
      <c r="QR6" s="109"/>
      <c r="QS6" s="163">
        <f>IFERROR((((COUNTIF('Elève (3ème2)'!QM6:QR6,"A"))*4)+((COUNTIF('Elève (3ème2)'!QM6:QR6,"B"))*3)+((COUNTIF('Elève (3ème2)'!QM6:QR6,"C"))*2)+((COUNTIF('Elève (3ème2)'!QM6:QR6,"D"))*1))/(COUNTA(QM6:QR6)),"")</f>
        <v>3.5</v>
      </c>
      <c r="QT6" s="164" t="str">
        <f t="shared" si="111"/>
        <v>B</v>
      </c>
      <c r="QU6" s="163">
        <f>IF(COUNT(QE6,QK6,QS6)=0,"",SUM(QE6,QK6,QS6)/COUNT(QE6,QK6,QS6))</f>
        <v>3.25</v>
      </c>
      <c r="QV6" s="187" t="str">
        <f t="shared" si="112"/>
        <v>B</v>
      </c>
      <c r="QW6" s="103"/>
      <c r="QX6" s="104"/>
      <c r="QY6" s="105"/>
      <c r="QZ6" s="163" t="str">
        <f>IFERROR((((COUNTIF('Elève (3ème2)'!QW6:QY6,"A"))*4)+((COUNTIF('Elève (3ème2)'!QW6:QY6,"B"))*3)+((COUNTIF('Elève (3ème2)'!QW6:QY6,"C"))*2)+((COUNTIF('Elève (3ème2)'!QW6:QY6,"D"))*1))/(COUNTA(QW6:QY6)),"")</f>
        <v/>
      </c>
      <c r="RA6" s="164" t="str">
        <f t="shared" si="113"/>
        <v/>
      </c>
      <c r="RB6" s="103" t="s">
        <v>28</v>
      </c>
      <c r="RC6" s="104"/>
      <c r="RD6" s="105"/>
      <c r="RE6" s="105"/>
      <c r="RF6" s="163">
        <f>IFERROR((((COUNTIF('Elève (3ème2)'!RB6:RE6,"A"))*4)+((COUNTIF('Elève (3ème2)'!RB6:RE6,"B"))*3)+((COUNTIF('Elève (3ème2)'!RB6:RE6,"C"))*2)+((COUNTIF('Elève (3ème2)'!RB6:RE6,"D"))*1))/(COUNTA(RB6:RE6)),"")</f>
        <v>3</v>
      </c>
      <c r="RG6" s="164" t="str">
        <f t="shared" si="114"/>
        <v>B</v>
      </c>
      <c r="RH6" s="103" t="s">
        <v>28</v>
      </c>
      <c r="RI6" s="104" t="s">
        <v>28</v>
      </c>
      <c r="RJ6" s="105" t="s">
        <v>29</v>
      </c>
      <c r="RK6" s="105"/>
      <c r="RL6" s="105"/>
      <c r="RM6" s="109"/>
      <c r="RN6" s="163">
        <f>IFERROR((((COUNTIF('Elève (3ème2)'!RH6:RM6,"A"))*4)+((COUNTIF('Elève (3ème2)'!RH6:RM6,"B"))*3)+((COUNTIF('Elève (3ème2)'!RH6:RM6,"C"))*2)+((COUNTIF('Elève (3ème2)'!RH6:RM6,"D"))*1))/(COUNTA(RH6:RM6)),"")</f>
        <v>2.6666666666666665</v>
      </c>
      <c r="RO6" s="164" t="str">
        <f t="shared" si="115"/>
        <v>C</v>
      </c>
      <c r="RP6" s="163">
        <f>IF(COUNT(QZ6,RF6,RN6)=0,"",SUM(QZ6,RF6,RN6)/COUNT(QZ6,RF6,RN6))</f>
        <v>2.833333333333333</v>
      </c>
      <c r="RQ6" s="187" t="str">
        <f t="shared" si="116"/>
        <v>B</v>
      </c>
      <c r="RR6" s="103"/>
      <c r="RS6" s="104"/>
      <c r="RT6" s="105"/>
      <c r="RU6" s="163" t="str">
        <f>IFERROR((((COUNTIF('Elève (3ème2)'!RR6:RT6,"A"))*4)+((COUNTIF('Elève (3ème2)'!RR6:RT6,"B"))*3)+((COUNTIF('Elève (3ème2)'!RR6:RT6,"C"))*2)+((COUNTIF('Elève (3ème2)'!RR6:RT6,"D"))*1))/(COUNTA(RR6:RT6)),"")</f>
        <v/>
      </c>
      <c r="RV6" s="164" t="str">
        <f t="shared" si="117"/>
        <v/>
      </c>
      <c r="RW6" s="103" t="s">
        <v>28</v>
      </c>
      <c r="RX6" s="104"/>
      <c r="RY6" s="105"/>
      <c r="RZ6" s="105"/>
      <c r="SA6" s="163">
        <f>IFERROR((((COUNTIF('Elève (3ème2)'!RW6:RZ6,"A"))*4)+((COUNTIF('Elève (3ème2)'!RW6:RZ6,"B"))*3)+((COUNTIF('Elève (3ème2)'!RW6:RZ6,"C"))*2)+((COUNTIF('Elève (3ème2)'!RW6:RZ6,"D"))*1))/(COUNTA(RW6:RZ6)),"")</f>
        <v>3</v>
      </c>
      <c r="SB6" s="164" t="str">
        <f t="shared" si="118"/>
        <v>B</v>
      </c>
      <c r="SC6" s="103" t="s">
        <v>27</v>
      </c>
      <c r="SD6" s="104" t="s">
        <v>27</v>
      </c>
      <c r="SE6" s="105" t="s">
        <v>29</v>
      </c>
      <c r="SF6" s="105" t="s">
        <v>29</v>
      </c>
      <c r="SG6" s="105"/>
      <c r="SH6" s="109"/>
      <c r="SI6" s="163">
        <f>IFERROR((((COUNTIF('Elève (3ème2)'!SC6:SH6,"A"))*4)+((COUNTIF('Elève (3ème2)'!SC6:SH6,"B"))*3)+((COUNTIF('Elève (3ème2)'!SC6:SH6,"C"))*2)+((COUNTIF('Elève (3ème2)'!SC6:SH6,"D"))*1))/(COUNTA(SC6:SH6)),"")</f>
        <v>3</v>
      </c>
      <c r="SJ6" s="164" t="str">
        <f t="shared" si="119"/>
        <v>B</v>
      </c>
      <c r="SK6" s="163">
        <f>IF(COUNT(RU6,SA6,SI6)=0,"",SUM(RU6,SA6,SI6)/COUNT(RU6,SA6,SI6))</f>
        <v>3</v>
      </c>
      <c r="SL6" s="187" t="str">
        <f t="shared" si="120"/>
        <v>B</v>
      </c>
      <c r="SM6" s="103"/>
      <c r="SN6" s="104"/>
      <c r="SO6" s="105"/>
      <c r="SP6" s="163" t="str">
        <f>IFERROR((((COUNTIF('Elève (3ème2)'!SM6:SO6,"A"))*4)+((COUNTIF('Elève (3ème2)'!SM6:SO6,"B"))*3)+((COUNTIF('Elève (3ème2)'!SM6:SO6,"C"))*2)+((COUNTIF('Elève (3ème2)'!SM6:SO6,"D"))*1))/(COUNTA(SM6:SO6)),"")</f>
        <v/>
      </c>
      <c r="SQ6" s="164" t="str">
        <f t="shared" si="121"/>
        <v/>
      </c>
      <c r="SR6" s="103" t="s">
        <v>28</v>
      </c>
      <c r="SS6" s="104"/>
      <c r="ST6" s="105"/>
      <c r="SU6" s="105"/>
      <c r="SV6" s="163">
        <f>IFERROR((((COUNTIF('Elève (3ème2)'!SR6:SU6,"A"))*4)+((COUNTIF('Elève (3ème2)'!SR6:SU6,"B"))*3)+((COUNTIF('Elève (3ème2)'!SR6:SU6,"C"))*2)+((COUNTIF('Elève (3ème2)'!SR6:SU6,"D"))*1))/(COUNTA(SR6:SU6)),"")</f>
        <v>3</v>
      </c>
      <c r="SW6" s="164" t="str">
        <f t="shared" si="122"/>
        <v>B</v>
      </c>
      <c r="SX6" s="103" t="s">
        <v>27</v>
      </c>
      <c r="SY6" s="104" t="s">
        <v>29</v>
      </c>
      <c r="SZ6" s="105" t="s">
        <v>28</v>
      </c>
      <c r="TA6" s="105" t="s">
        <v>29</v>
      </c>
      <c r="TB6" s="105"/>
      <c r="TC6" s="109"/>
      <c r="TD6" s="163">
        <f>IFERROR((((COUNTIF('Elève (3ème2)'!SX6:TC6,"A"))*4)+((COUNTIF('Elève (3ème2)'!SX6:TC6,"B"))*3)+((COUNTIF('Elève (3ème2)'!SX6:TC6,"C"))*2)+((COUNTIF('Elève (3ème2)'!SX6:TC6,"D"))*1))/(COUNTA(SX6:TC6)),"")</f>
        <v>2.75</v>
      </c>
      <c r="TE6" s="164" t="str">
        <f t="shared" si="123"/>
        <v>C</v>
      </c>
      <c r="TF6" s="163">
        <f>IF(COUNT(SP6,SV6,TD6)=0,"",SUM(SP6,SV6,TD6)/COUNT(SP6,SV6,TD6))</f>
        <v>2.875</v>
      </c>
      <c r="TG6" s="187" t="str">
        <f t="shared" si="124"/>
        <v>B</v>
      </c>
      <c r="TH6" s="103"/>
      <c r="TI6" s="104"/>
      <c r="TJ6" s="105"/>
      <c r="TK6" s="163" t="str">
        <f>IFERROR((((COUNTIF('Elève (3ème2)'!TH6:TJ6,"A"))*4)+((COUNTIF('Elève (3ème2)'!TH6:TJ6,"B"))*3)+((COUNTIF('Elève (3ème2)'!TH6:TJ6,"C"))*2)+((COUNTIF('Elève (3ème2)'!TH6:TJ6,"D"))*1))/(COUNTA(TH6:TJ6)),"")</f>
        <v/>
      </c>
      <c r="TL6" s="164" t="str">
        <f t="shared" si="125"/>
        <v/>
      </c>
      <c r="TM6" s="103" t="s">
        <v>29</v>
      </c>
      <c r="TN6" s="104"/>
      <c r="TO6" s="105"/>
      <c r="TP6" s="105"/>
      <c r="TQ6" s="163">
        <f>IFERROR((((COUNTIF('Elève (3ème2)'!TM6:TP6,"A"))*4)+((COUNTIF('Elève (3ème2)'!TM6:TP6,"B"))*3)+((COUNTIF('Elève (3ème2)'!TM6:TP6,"C"))*2)+((COUNTIF('Elève (3ème2)'!TM6:TP6,"D"))*1))/(COUNTA(TM6:TP6)),"")</f>
        <v>2</v>
      </c>
      <c r="TR6" s="164" t="str">
        <f t="shared" si="126"/>
        <v>C</v>
      </c>
      <c r="TS6" s="103" t="s">
        <v>30</v>
      </c>
      <c r="TT6" s="104" t="s">
        <v>29</v>
      </c>
      <c r="TU6" s="105" t="s">
        <v>29</v>
      </c>
      <c r="TV6" s="105"/>
      <c r="TW6" s="105"/>
      <c r="TX6" s="109"/>
      <c r="TY6" s="163">
        <f>IFERROR((((COUNTIF('Elève (3ème2)'!TS6:TX6,"A"))*4)+((COUNTIF('Elève (3ème2)'!TS6:TX6,"B"))*3)+((COUNTIF('Elève (3ème2)'!TS6:TX6,"C"))*2)+((COUNTIF('Elève (3ème2)'!TS6:TX6,"D"))*1))/(COUNTA(TS6:TX6)),"")</f>
        <v>1.6666666666666667</v>
      </c>
      <c r="TZ6" s="164" t="str">
        <f t="shared" si="127"/>
        <v>C</v>
      </c>
      <c r="UA6" s="163">
        <f>IF(COUNT(TK6,TQ6,TY6)=0,"",SUM(TK6,TQ6,TY6)/COUNT(TK6,TQ6,TY6))</f>
        <v>1.8333333333333335</v>
      </c>
      <c r="UB6" s="187" t="str">
        <f t="shared" si="128"/>
        <v>C</v>
      </c>
      <c r="UC6" s="103"/>
      <c r="UD6" s="104"/>
      <c r="UE6" s="105"/>
      <c r="UF6" s="106" t="str">
        <f>IFERROR((((COUNTIF('Elève (3ème2)'!UC6:UE6,"A"))*4)+((COUNTIF('Elève (3ème2)'!UC6:UE6,"B"))*3)+((COUNTIF('Elève (3ème2)'!UC6:UE6,"C"))*2)+((COUNTIF('Elève (3ème2)'!UC6:UE6,"D"))*1))/(COUNTA(UC6:UE6)),"")</f>
        <v/>
      </c>
      <c r="UG6" s="107" t="str">
        <f t="shared" si="129"/>
        <v/>
      </c>
      <c r="UH6" s="103"/>
      <c r="UI6" s="104"/>
      <c r="UJ6" s="105"/>
      <c r="UK6" s="106" t="str">
        <f>IFERROR((((COUNTIF('Elève (3ème2)'!UH6:UJ6,"A"))*4)+((COUNTIF('Elève (3ème2)'!UH6:UJ6,"B"))*3)+((COUNTIF('Elève (3ème2)'!UH6:UJ6,"C"))*2)+((COUNTIF('Elève (3ème2)'!UH6:UJ6,"D"))*1))/(COUNTA(UH6:UJ6)),"")</f>
        <v/>
      </c>
      <c r="UL6" s="107" t="str">
        <f t="shared" si="130"/>
        <v/>
      </c>
      <c r="UM6" s="103"/>
      <c r="UN6" s="104"/>
      <c r="UO6" s="109"/>
      <c r="UP6" s="106" t="str">
        <f>IFERROR((((COUNTIF('Elève (3ème2)'!UM6:UO6,"A"))*4)+((COUNTIF('Elève (3ème2)'!UM6:UO6,"B"))*3)+((COUNTIF('Elève (3ème2)'!UM6:UO6,"C"))*2)+((COUNTIF('Elève (3ème2)'!UM6:UO6,"D"))*1))/(COUNTA(UM6:UO6)),"")</f>
        <v/>
      </c>
      <c r="UQ6" s="107" t="str">
        <f t="shared" si="131"/>
        <v/>
      </c>
      <c r="UR6" s="106" t="str">
        <f>IF(COUNT(UF6,UK6,UP6)=0,"",SUM(UF6,UK6,UP6)/COUNT(UF6,UK6,UP6))</f>
        <v/>
      </c>
      <c r="US6" s="108" t="str">
        <f t="shared" si="132"/>
        <v/>
      </c>
      <c r="UT6" s="103"/>
      <c r="UU6" s="104"/>
      <c r="UV6" s="105"/>
      <c r="UW6" s="106" t="str">
        <f>IFERROR((((COUNTIF('Elève (3ème2)'!UT6:UV6,"A"))*4)+((COUNTIF('Elève (3ème2)'!UT6:UV6,"B"))*3)+((COUNTIF('Elève (3ème2)'!UT6:UV6,"C"))*2)+((COUNTIF('Elève (3ème2)'!UT6:UV6,"D"))*1))/(COUNTA(UT6:UV6)),"")</f>
        <v/>
      </c>
      <c r="UX6" s="107" t="str">
        <f t="shared" si="133"/>
        <v/>
      </c>
      <c r="UY6" s="103"/>
      <c r="UZ6" s="104"/>
      <c r="VA6" s="105"/>
      <c r="VB6" s="106" t="str">
        <f>IFERROR((((COUNTIF('Elève (3ème2)'!UY6:VA6,"A"))*4)+((COUNTIF('Elève (3ème2)'!UY6:VA6,"B"))*3)+((COUNTIF('Elève (3ème2)'!UY6:VA6,"C"))*2)+((COUNTIF('Elève (3ème2)'!UY6:VA6,"D"))*1))/(COUNTA(UY6:VA6)),"")</f>
        <v/>
      </c>
      <c r="VC6" s="107" t="str">
        <f t="shared" si="134"/>
        <v/>
      </c>
      <c r="VD6" s="103"/>
      <c r="VE6" s="104"/>
      <c r="VF6" s="109"/>
      <c r="VG6" s="106" t="str">
        <f>IFERROR((((COUNTIF('Elève (3ème2)'!VD6:VF6,"A"))*4)+((COUNTIF('Elève (3ème2)'!VD6:VF6,"B"))*3)+((COUNTIF('Elève (3ème2)'!VD6:VF6,"C"))*2)+((COUNTIF('Elève (3ème2)'!VD6:VF6,"D"))*1))/(COUNTA(VD6:VF6)),"")</f>
        <v/>
      </c>
      <c r="VH6" s="107" t="str">
        <f t="shared" si="135"/>
        <v/>
      </c>
      <c r="VI6" s="106" t="str">
        <f>IF(COUNT(UW6,VB6,VG6)=0,"",SUM(UW6,VB6,VG6)/COUNT(UW6,VB6,VG6))</f>
        <v/>
      </c>
      <c r="VJ6" s="108" t="str">
        <f t="shared" si="136"/>
        <v/>
      </c>
      <c r="VK6" s="103"/>
      <c r="VL6" s="104"/>
      <c r="VM6" s="105"/>
      <c r="VN6" s="106" t="str">
        <f>IFERROR((((COUNTIF('Elève (3ème2)'!VK6:VM6,"A"))*4)+((COUNTIF('Elève (3ème2)'!VK6:VM6,"B"))*3)+((COUNTIF('Elève (3ème2)'!VK6:VM6,"C"))*2)+((COUNTIF('Elève (3ème2)'!VK6:VM6,"D"))*1))/(COUNTA(VK6:VM6)),"")</f>
        <v/>
      </c>
      <c r="VO6" s="107" t="str">
        <f t="shared" si="137"/>
        <v/>
      </c>
      <c r="VP6" s="103"/>
      <c r="VQ6" s="104"/>
      <c r="VR6" s="105"/>
      <c r="VS6" s="106" t="str">
        <f>IFERROR((((COUNTIF('Elève (3ème2)'!VP6:VR6,"A"))*4)+((COUNTIF('Elève (3ème2)'!VP6:VR6,"B"))*3)+((COUNTIF('Elève (3ème2)'!VP6:VR6,"C"))*2)+((COUNTIF('Elève (3ème2)'!VP6:VR6,"D"))*1))/(COUNTA(VP6:VR6)),"")</f>
        <v/>
      </c>
      <c r="VT6" s="107" t="str">
        <f t="shared" si="138"/>
        <v/>
      </c>
      <c r="VU6" s="103"/>
      <c r="VV6" s="104"/>
      <c r="VW6" s="109"/>
      <c r="VX6" s="106" t="str">
        <f>IFERROR((((COUNTIF('Elève (3ème2)'!VU6:VW6,"A"))*4)+((COUNTIF('Elève (3ème2)'!VU6:VW6,"B"))*3)+((COUNTIF('Elève (3ème2)'!VU6:VW6,"C"))*2)+((COUNTIF('Elève (3ème2)'!VU6:VW6,"D"))*1))/(COUNTA(VU6:VW6)),"")</f>
        <v/>
      </c>
      <c r="VY6" s="107" t="str">
        <f t="shared" si="139"/>
        <v/>
      </c>
      <c r="VZ6" s="106" t="str">
        <f>IF(COUNT(VN6,VS6,VX6)=0,"",SUM(VN6,VS6,VX6)/COUNT(VN6,VS6,VX6))</f>
        <v/>
      </c>
      <c r="WA6" s="108" t="str">
        <f t="shared" si="140"/>
        <v/>
      </c>
      <c r="WB6" s="103"/>
      <c r="WC6" s="104"/>
      <c r="WD6" s="105"/>
      <c r="WE6" s="106" t="str">
        <f>IFERROR((((COUNTIF('Elève (3ème2)'!WB6:WD6,"A"))*4)+((COUNTIF('Elève (3ème2)'!WB6:WD6,"B"))*3)+((COUNTIF('Elève (3ème2)'!WB6:WD6,"C"))*2)+((COUNTIF('Elève (3ème2)'!WB6:WD6,"D"))*1))/(COUNTA(WB6:WD6)),"")</f>
        <v/>
      </c>
      <c r="WF6" s="107" t="str">
        <f t="shared" si="141"/>
        <v/>
      </c>
      <c r="WG6" s="103"/>
      <c r="WH6" s="104"/>
      <c r="WI6" s="105"/>
      <c r="WJ6" s="106" t="str">
        <f>IFERROR((((COUNTIF('Elève (3ème2)'!WG6:WI6,"A"))*4)+((COUNTIF('Elève (3ème2)'!WG6:WI6,"B"))*3)+((COUNTIF('Elève (3ème2)'!WG6:WI6,"C"))*2)+((COUNTIF('Elève (3ème2)'!WG6:WI6,"D"))*1))/(COUNTA(WG6:WI6)),"")</f>
        <v/>
      </c>
      <c r="WK6" s="107" t="str">
        <f t="shared" si="142"/>
        <v/>
      </c>
      <c r="WL6" s="103"/>
      <c r="WM6" s="104"/>
      <c r="WN6" s="109"/>
      <c r="WO6" s="106" t="str">
        <f>IFERROR((((COUNTIF('Elève (3ème2)'!WL6:WN6,"A"))*4)+((COUNTIF('Elève (3ème2)'!WL6:WN6,"B"))*3)+((COUNTIF('Elève (3ème2)'!WL6:WN6,"C"))*2)+((COUNTIF('Elève (3ème2)'!WL6:WN6,"D"))*1))/(COUNTA(WL6:WN6)),"")</f>
        <v/>
      </c>
      <c r="WP6" s="107" t="str">
        <f t="shared" si="143"/>
        <v/>
      </c>
      <c r="WQ6" s="106" t="str">
        <f>IF(COUNT(WE6,WJ6,WO6)=0,"",SUM(WE6,WJ6,WO6)/COUNT(WE6,WJ6,WO6))</f>
        <v/>
      </c>
      <c r="WR6" s="108" t="str">
        <f t="shared" si="144"/>
        <v/>
      </c>
    </row>
    <row r="7" spans="1:616" ht="18" customHeight="1" x14ac:dyDescent="0.55000000000000004">
      <c r="A7" s="221" t="s">
        <v>46</v>
      </c>
      <c r="B7" s="222"/>
      <c r="C7" s="103"/>
      <c r="D7" s="104"/>
      <c r="E7" s="105"/>
      <c r="F7" s="163" t="str">
        <f>IFERROR((((COUNTIF('Elève (3ème2)'!C7:E7,"A"))*4)+((COUNTIF('Elève (3ème2)'!C7:E7,"B"))*3)+((COUNTIF('Elève (3ème2)'!C7:E7,"C"))*2)+((COUNTIF('Elève (3ème2)'!C7:E7,"D"))*1))/(COUNTA(C7:E7)),"")</f>
        <v/>
      </c>
      <c r="G7" s="164" t="str">
        <f t="shared" si="25"/>
        <v/>
      </c>
      <c r="H7" s="103"/>
      <c r="I7" s="104"/>
      <c r="J7" s="105"/>
      <c r="K7" s="105"/>
      <c r="L7" s="163" t="str">
        <f>IFERROR((((COUNTIF('Elève (3ème2)'!H7:K7,"A"))*4)+((COUNTIF('Elève (3ème2)'!H7:K7,"B"))*3)+((COUNTIF('Elève (3ème2)'!H7:K7,"C"))*2)+((COUNTIF('Elève (3ème2)'!H7:K7,"D"))*1))/(COUNTA(H7:K7)),"")</f>
        <v/>
      </c>
      <c r="M7" s="164" t="str">
        <f t="shared" si="26"/>
        <v/>
      </c>
      <c r="N7" s="103"/>
      <c r="O7" s="104"/>
      <c r="P7" s="105"/>
      <c r="Q7" s="105"/>
      <c r="R7" s="105"/>
      <c r="S7" s="105"/>
      <c r="T7" s="163" t="str">
        <f>IFERROR((((COUNTIF('Elève (3ème2)'!N7:S7,"A"))*4)+((COUNTIF('Elève (3ème2)'!N7:S7,"B"))*3)+((COUNTIF('Elève (3ème2)'!N7:S7,"C"))*2)+((COUNTIF('Elève (3ème2)'!N7:S7,"D"))*1))/(COUNTA(N7:S7)),"")</f>
        <v/>
      </c>
      <c r="U7" s="164" t="str">
        <f t="shared" si="27"/>
        <v/>
      </c>
      <c r="V7" s="163" t="str">
        <f>IF(COUNT(F7,L7,T7)=0,"",SUM(F7,L7,T7)/COUNT(F7,L7,T7))</f>
        <v/>
      </c>
      <c r="W7" s="187" t="str">
        <f t="shared" si="28"/>
        <v/>
      </c>
      <c r="X7" s="103"/>
      <c r="Y7" s="104"/>
      <c r="Z7" s="105"/>
      <c r="AA7" s="163" t="str">
        <f>IFERROR((((COUNTIF('Elève (3ème2)'!X7:Z7,"A"))*4)+((COUNTIF('Elève (3ème2)'!X7:Z7,"B"))*3)+((COUNTIF('Elève (3ème2)'!X7:Z7,"C"))*2)+((COUNTIF('Elève (3ème2)'!X7:Z7,"D"))*1))/(COUNTA(X7:Z7)),"")</f>
        <v/>
      </c>
      <c r="AB7" s="164" t="str">
        <f t="shared" si="29"/>
        <v/>
      </c>
      <c r="AC7" s="103"/>
      <c r="AD7" s="104"/>
      <c r="AE7" s="105"/>
      <c r="AF7" s="105"/>
      <c r="AG7" s="163" t="str">
        <f>IFERROR((((COUNTIF('Elève (3ème2)'!AC7:AF7,"A"))*4)+((COUNTIF('Elève (3ème2)'!AC7:AF7,"B"))*3)+((COUNTIF('Elève (3ème2)'!AC7:AF7,"C"))*2)+((COUNTIF('Elève (3ème2)'!AC7:AF7,"D"))*1))/(COUNTA(AC7:AF7)),"")</f>
        <v/>
      </c>
      <c r="AH7" s="164" t="str">
        <f t="shared" si="30"/>
        <v/>
      </c>
      <c r="AI7" s="103"/>
      <c r="AJ7" s="104"/>
      <c r="AK7" s="105"/>
      <c r="AL7" s="105"/>
      <c r="AM7" s="105"/>
      <c r="AN7" s="109"/>
      <c r="AO7" s="163" t="str">
        <f>IFERROR((((COUNTIF('Elève (3ème2)'!AI7:AN7,"A"))*4)+((COUNTIF('Elève (3ème2)'!AI7:AN7,"B"))*3)+((COUNTIF('Elève (3ème2)'!AI7:AN7,"C"))*2)+((COUNTIF('Elève (3ème2)'!AI7:AN7,"D"))*1))/(COUNTA(AI7:AN7)),"")</f>
        <v/>
      </c>
      <c r="AP7" s="164" t="str">
        <f t="shared" si="31"/>
        <v/>
      </c>
      <c r="AQ7" s="163" t="str">
        <f>IF(COUNT(AA7,AG7,AO7)=0,"",SUM(AA7,AG7,AO7)/COUNT(AA7,AG7,AO7))</f>
        <v/>
      </c>
      <c r="AR7" s="187" t="str">
        <f t="shared" si="32"/>
        <v/>
      </c>
      <c r="AS7" s="103"/>
      <c r="AT7" s="104"/>
      <c r="AU7" s="105"/>
      <c r="AV7" s="163" t="str">
        <f>IFERROR((((COUNTIF('Elève (3ème2)'!AS7:AU7,"A"))*4)+((COUNTIF('Elève (3ème2)'!AS7:AU7,"B"))*3)+((COUNTIF('Elève (3ème2)'!AS7:AU7,"C"))*2)+((COUNTIF('Elève (3ème2)'!AS7:AU7,"D"))*1))/(COUNTA(AS7:AU7)),"")</f>
        <v/>
      </c>
      <c r="AW7" s="164" t="str">
        <f t="shared" si="33"/>
        <v/>
      </c>
      <c r="AX7" s="103"/>
      <c r="AY7" s="104"/>
      <c r="AZ7" s="105"/>
      <c r="BA7" s="105"/>
      <c r="BB7" s="163" t="str">
        <f>IFERROR((((COUNTIF('Elève (3ème2)'!AX7:BA7,"A"))*4)+((COUNTIF('Elève (3ème2)'!AX7:BA7,"B"))*3)+((COUNTIF('Elève (3ème2)'!AX7:BA7,"C"))*2)+((COUNTIF('Elève (3ème2)'!AX7:BA7,"D"))*1))/(COUNTA(AX7:BA7)),"")</f>
        <v/>
      </c>
      <c r="BC7" s="164" t="str">
        <f t="shared" si="34"/>
        <v/>
      </c>
      <c r="BD7" s="103"/>
      <c r="BE7" s="104"/>
      <c r="BF7" s="105"/>
      <c r="BG7" s="105"/>
      <c r="BH7" s="105"/>
      <c r="BI7" s="109"/>
      <c r="BJ7" s="163" t="str">
        <f>IFERROR((((COUNTIF('Elève (3ème2)'!BD7:BI7,"A"))*4)+((COUNTIF('Elève (3ème2)'!BD7:BI7,"B"))*3)+((COUNTIF('Elève (3ème2)'!BD7:BI7,"C"))*2)+((COUNTIF('Elève (3ème2)'!BD7:BI7,"D"))*1))/(COUNTA(BD7:BI7)),"")</f>
        <v/>
      </c>
      <c r="BK7" s="164" t="str">
        <f t="shared" si="35"/>
        <v/>
      </c>
      <c r="BL7" s="163" t="str">
        <f>IF(COUNT(AV7,BB7,BJ7)=0,"",SUM(AV7,BB7,BJ7)/COUNT(AV7,BB7,BJ7))</f>
        <v/>
      </c>
      <c r="BM7" s="187" t="str">
        <f t="shared" si="36"/>
        <v/>
      </c>
      <c r="BN7" s="103"/>
      <c r="BO7" s="104"/>
      <c r="BP7" s="105"/>
      <c r="BQ7" s="163" t="str">
        <f>IFERROR((((COUNTIF('Elève (3ème2)'!BN7:BP7,"A"))*4)+((COUNTIF('Elève (3ème2)'!BN7:BP7,"B"))*3)+((COUNTIF('Elève (3ème2)'!BN7:BP7,"C"))*2)+((COUNTIF('Elève (3ème2)'!BN7:BP7,"D"))*1))/(COUNTA(BN7:BP7)),"")</f>
        <v/>
      </c>
      <c r="BR7" s="164" t="str">
        <f t="shared" si="37"/>
        <v/>
      </c>
      <c r="BS7" s="103"/>
      <c r="BT7" s="104"/>
      <c r="BU7" s="105"/>
      <c r="BV7" s="105"/>
      <c r="BW7" s="163" t="str">
        <f>IFERROR((((COUNTIF('Elève (3ème2)'!BS7:BV7,"A"))*4)+((COUNTIF('Elève (3ème2)'!BS7:BV7,"B"))*3)+((COUNTIF('Elève (3ème2)'!BS7:BV7,"C"))*2)+((COUNTIF('Elève (3ème2)'!BS7:BV7,"D"))*1))/(COUNTA(BS7:BV7)),"")</f>
        <v/>
      </c>
      <c r="BX7" s="164" t="str">
        <f t="shared" si="38"/>
        <v/>
      </c>
      <c r="BY7" s="103"/>
      <c r="BZ7" s="104"/>
      <c r="CA7" s="105"/>
      <c r="CB7" s="105"/>
      <c r="CC7" s="105"/>
      <c r="CD7" s="109"/>
      <c r="CE7" s="163" t="str">
        <f>IFERROR((((COUNTIF('Elève (3ème2)'!BY7:CD7,"A"))*4)+((COUNTIF('Elève (3ème2)'!BY7:CD7,"B"))*3)+((COUNTIF('Elève (3ème2)'!BY7:CD7,"C"))*2)+((COUNTIF('Elève (3ème2)'!BY7:CD7,"D"))*1))/(COUNTA(BY7:CD7)),"")</f>
        <v/>
      </c>
      <c r="CF7" s="164" t="str">
        <f t="shared" si="39"/>
        <v/>
      </c>
      <c r="CG7" s="163" t="str">
        <f>IF(COUNT(BQ7,BW7,CE7)=0,"",SUM(BQ7,BW7,CE7)/COUNT(BQ7,BW7,CE7))</f>
        <v/>
      </c>
      <c r="CH7" s="187" t="str">
        <f t="shared" si="40"/>
        <v/>
      </c>
      <c r="CI7" s="103"/>
      <c r="CJ7" s="104"/>
      <c r="CK7" s="105"/>
      <c r="CL7" s="163" t="str">
        <f>IFERROR((((COUNTIF('Elève (3ème2)'!CI7:CK7,"A"))*4)+((COUNTIF('Elève (3ème2)'!CI7:CK7,"B"))*3)+((COUNTIF('Elève (3ème2)'!CI7:CK7,"C"))*2)+((COUNTIF('Elève (3ème2)'!CI7:CK7,"D"))*1))/(COUNTA(CI7:CK7)),"")</f>
        <v/>
      </c>
      <c r="CM7" s="164" t="str">
        <f t="shared" si="41"/>
        <v/>
      </c>
      <c r="CN7" s="103"/>
      <c r="CO7" s="104"/>
      <c r="CP7" s="105"/>
      <c r="CQ7" s="105"/>
      <c r="CR7" s="163" t="str">
        <f>IFERROR((((COUNTIF('Elève (3ème2)'!CN7:CQ7,"A"))*4)+((COUNTIF('Elève (3ème2)'!CN7:CQ7,"B"))*3)+((COUNTIF('Elève (3ème2)'!CN7:CQ7,"C"))*2)+((COUNTIF('Elève (3ème2)'!CN7:CQ7,"D"))*1))/(COUNTA(CN7:CQ7)),"")</f>
        <v/>
      </c>
      <c r="CS7" s="164" t="str">
        <f t="shared" si="42"/>
        <v/>
      </c>
      <c r="CT7" s="103"/>
      <c r="CU7" s="104"/>
      <c r="CV7" s="105"/>
      <c r="CW7" s="105"/>
      <c r="CX7" s="105"/>
      <c r="CY7" s="109"/>
      <c r="CZ7" s="163" t="str">
        <f>IFERROR((((COUNTIF('Elève (3ème2)'!CT7:CY7,"A"))*4)+((COUNTIF('Elève (3ème2)'!CT7:CY7,"B"))*3)+((COUNTIF('Elève (3ème2)'!CT7:CY7,"C"))*2)+((COUNTIF('Elève (3ème2)'!CT7:CY7,"D"))*1))/(COUNTA(CT7:CY7)),"")</f>
        <v/>
      </c>
      <c r="DA7" s="164" t="str">
        <f t="shared" si="43"/>
        <v/>
      </c>
      <c r="DB7" s="163" t="str">
        <f>IF(COUNT(CL7,CR7,CZ7)=0,"",SUM(CL7,CR7,CZ7)/COUNT(CL7,CR7,CZ7))</f>
        <v/>
      </c>
      <c r="DC7" s="187" t="str">
        <f t="shared" si="44"/>
        <v/>
      </c>
      <c r="DD7" s="103"/>
      <c r="DE7" s="104"/>
      <c r="DF7" s="105"/>
      <c r="DG7" s="163" t="str">
        <f>IFERROR((((COUNTIF('Elève (3ème2)'!DD7:DF7,"A"))*4)+((COUNTIF('Elève (3ème2)'!DD7:DF7,"B"))*3)+((COUNTIF('Elève (3ème2)'!DD7:DF7,"C"))*2)+((COUNTIF('Elève (3ème2)'!DD7:DF7,"D"))*1))/(COUNTA(DD7:DF7)),"")</f>
        <v/>
      </c>
      <c r="DH7" s="164" t="str">
        <f t="shared" si="45"/>
        <v/>
      </c>
      <c r="DI7" s="103"/>
      <c r="DJ7" s="104"/>
      <c r="DK7" s="105"/>
      <c r="DL7" s="105"/>
      <c r="DM7" s="163" t="str">
        <f>IFERROR((((COUNTIF('Elève (3ème2)'!DI7:DL7,"A"))*4)+((COUNTIF('Elève (3ème2)'!DI7:DL7,"B"))*3)+((COUNTIF('Elève (3ème2)'!DI7:DL7,"C"))*2)+((COUNTIF('Elève (3ème2)'!DI7:DL7,"D"))*1))/(COUNTA(DI7:DL7)),"")</f>
        <v/>
      </c>
      <c r="DN7" s="164" t="str">
        <f t="shared" si="46"/>
        <v/>
      </c>
      <c r="DO7" s="103"/>
      <c r="DP7" s="104"/>
      <c r="DQ7" s="105"/>
      <c r="DR7" s="105"/>
      <c r="DS7" s="105"/>
      <c r="DT7" s="109"/>
      <c r="DU7" s="163" t="str">
        <f>IFERROR((((COUNTIF('Elève (3ème2)'!DO7:DT7,"A"))*4)+((COUNTIF('Elève (3ème2)'!DO7:DT7,"B"))*3)+((COUNTIF('Elève (3ème2)'!DO7:DT7,"C"))*2)+((COUNTIF('Elève (3ème2)'!DO7:DT7,"D"))*1))/(COUNTA(DO7:DT7)),"")</f>
        <v/>
      </c>
      <c r="DV7" s="164" t="str">
        <f t="shared" si="47"/>
        <v/>
      </c>
      <c r="DW7" s="163" t="str">
        <f>IF(COUNT(DG7,DM7,DU7)=0,"",SUM(DG7,DM7,DU7)/COUNT(DG7,DM7,DU7))</f>
        <v/>
      </c>
      <c r="DX7" s="187" t="str">
        <f t="shared" si="48"/>
        <v/>
      </c>
      <c r="DY7" s="103"/>
      <c r="DZ7" s="104"/>
      <c r="EA7" s="105"/>
      <c r="EB7" s="163" t="str">
        <f>IFERROR((((COUNTIF('Elève (3ème2)'!DY7:EA7,"A"))*4)+((COUNTIF('Elève (3ème2)'!DY7:EA7,"B"))*3)+((COUNTIF('Elève (3ème2)'!DY7:EA7,"C"))*2)+((COUNTIF('Elève (3ème2)'!DY7:EA7,"D"))*1))/(COUNTA(DY7:EA7)),"")</f>
        <v/>
      </c>
      <c r="EC7" s="164" t="str">
        <f t="shared" si="49"/>
        <v/>
      </c>
      <c r="ED7" s="103"/>
      <c r="EE7" s="104"/>
      <c r="EF7" s="105"/>
      <c r="EG7" s="105"/>
      <c r="EH7" s="163" t="str">
        <f>IFERROR((((COUNTIF('Elève (3ème2)'!ED7:EG7,"A"))*4)+((COUNTIF('Elève (3ème2)'!ED7:EG7,"B"))*3)+((COUNTIF('Elève (3ème2)'!ED7:EG7,"C"))*2)+((COUNTIF('Elève (3ème2)'!ED7:EG7,"D"))*1))/(COUNTA(ED7:EG7)),"")</f>
        <v/>
      </c>
      <c r="EI7" s="164" t="str">
        <f t="shared" si="50"/>
        <v/>
      </c>
      <c r="EJ7" s="103"/>
      <c r="EK7" s="104"/>
      <c r="EL7" s="105"/>
      <c r="EM7" s="105"/>
      <c r="EN7" s="105"/>
      <c r="EO7" s="109"/>
      <c r="EP7" s="163" t="str">
        <f>IFERROR((((COUNTIF('Elève (3ème2)'!EJ7:EO7,"A"))*4)+((COUNTIF('Elève (3ème2)'!EJ7:EO7,"B"))*3)+((COUNTIF('Elève (3ème2)'!EJ7:EO7,"C"))*2)+((COUNTIF('Elève (3ème2)'!EJ7:EO7,"D"))*1))/(COUNTA(EJ7:EO7)),"")</f>
        <v/>
      </c>
      <c r="EQ7" s="164" t="str">
        <f t="shared" si="51"/>
        <v/>
      </c>
      <c r="ER7" s="163" t="str">
        <f>IF(COUNT(EB7,EH7,EP7)=0,"",SUM(EB7,EH7,EP7)/COUNT(EB7,EH7,EP7))</f>
        <v/>
      </c>
      <c r="ES7" s="187" t="str">
        <f t="shared" si="52"/>
        <v/>
      </c>
      <c r="ET7" s="103"/>
      <c r="EU7" s="104"/>
      <c r="EV7" s="105"/>
      <c r="EW7" s="163" t="str">
        <f>IFERROR((((COUNTIF('Elève (3ème2)'!ET7:EV7,"A"))*4)+((COUNTIF('Elève (3ème2)'!ET7:EV7,"B"))*3)+((COUNTIF('Elève (3ème2)'!ET7:EV7,"C"))*2)+((COUNTIF('Elève (3ème2)'!ET7:EV7,"D"))*1))/(COUNTA(ET7:EV7)),"")</f>
        <v/>
      </c>
      <c r="EX7" s="164" t="str">
        <f t="shared" si="53"/>
        <v/>
      </c>
      <c r="EY7" s="103"/>
      <c r="EZ7" s="104"/>
      <c r="FA7" s="105"/>
      <c r="FB7" s="105"/>
      <c r="FC7" s="163" t="str">
        <f>IFERROR((((COUNTIF('Elève (3ème2)'!EY7:FB7,"A"))*4)+((COUNTIF('Elève (3ème2)'!EY7:FB7,"B"))*3)+((COUNTIF('Elève (3ème2)'!EY7:FB7,"C"))*2)+((COUNTIF('Elève (3ème2)'!EY7:FB7,"D"))*1))/(COUNTA(EY7:FB7)),"")</f>
        <v/>
      </c>
      <c r="FD7" s="164" t="str">
        <f t="shared" si="54"/>
        <v/>
      </c>
      <c r="FE7" s="103"/>
      <c r="FF7" s="104"/>
      <c r="FG7" s="105"/>
      <c r="FH7" s="105"/>
      <c r="FI7" s="105"/>
      <c r="FJ7" s="109"/>
      <c r="FK7" s="163" t="str">
        <f>IFERROR((((COUNTIF('Elève (3ème2)'!FE7:FJ7,"A"))*4)+((COUNTIF('Elève (3ème2)'!FE7:FJ7,"B"))*3)+((COUNTIF('Elève (3ème2)'!FE7:FJ7,"C"))*2)+((COUNTIF('Elève (3ème2)'!FE7:FJ7,"D"))*1))/(COUNTA(FE7:FJ7)),"")</f>
        <v/>
      </c>
      <c r="FL7" s="164" t="str">
        <f t="shared" si="55"/>
        <v/>
      </c>
      <c r="FM7" s="163" t="str">
        <f>IF(COUNT(EW7,FC7,FK7)=0,"",SUM(EW7,FC7,FK7)/COUNT(EW7,FC7,FK7))</f>
        <v/>
      </c>
      <c r="FN7" s="187" t="str">
        <f t="shared" si="56"/>
        <v/>
      </c>
      <c r="FO7" s="103"/>
      <c r="FP7" s="104"/>
      <c r="FQ7" s="105"/>
      <c r="FR7" s="163" t="str">
        <f>IFERROR((((COUNTIF('Elève (3ème2)'!FO7:FQ7,"A"))*4)+((COUNTIF('Elève (3ème2)'!FO7:FQ7,"B"))*3)+((COUNTIF('Elève (3ème2)'!FO7:FQ7,"C"))*2)+((COUNTIF('Elève (3ème2)'!FO7:FQ7,"D"))*1))/(COUNTA(FO7:FQ7)),"")</f>
        <v/>
      </c>
      <c r="FS7" s="164" t="str">
        <f t="shared" si="57"/>
        <v/>
      </c>
      <c r="FT7" s="103"/>
      <c r="FU7" s="104"/>
      <c r="FV7" s="105"/>
      <c r="FW7" s="105"/>
      <c r="FX7" s="163" t="str">
        <f>IFERROR((((COUNTIF('Elève (3ème2)'!FT7:FW7,"A"))*4)+((COUNTIF('Elève (3ème2)'!FT7:FW7,"B"))*3)+((COUNTIF('Elève (3ème2)'!FT7:FW7,"C"))*2)+((COUNTIF('Elève (3ème2)'!FT7:FW7,"D"))*1))/(COUNTA(FT7:FW7)),"")</f>
        <v/>
      </c>
      <c r="FY7" s="164" t="str">
        <f t="shared" si="58"/>
        <v/>
      </c>
      <c r="FZ7" s="103"/>
      <c r="GA7" s="104"/>
      <c r="GB7" s="105"/>
      <c r="GC7" s="105"/>
      <c r="GD7" s="105"/>
      <c r="GE7" s="109"/>
      <c r="GF7" s="163" t="str">
        <f>IFERROR((((COUNTIF('Elève (3ème2)'!FZ7:GE7,"A"))*4)+((COUNTIF('Elève (3ème2)'!FZ7:GE7,"B"))*3)+((COUNTIF('Elève (3ème2)'!FZ7:GE7,"C"))*2)+((COUNTIF('Elève (3ème2)'!FZ7:GE7,"D"))*1))/(COUNTA(FZ7:GE7)),"")</f>
        <v/>
      </c>
      <c r="GG7" s="164" t="str">
        <f t="shared" si="59"/>
        <v/>
      </c>
      <c r="GH7" s="163" t="str">
        <f>IF(COUNT(FR7,FX7,GF7)=0,"",SUM(FR7,FX7,GF7)/COUNT(FR7,FX7,GF7))</f>
        <v/>
      </c>
      <c r="GI7" s="187" t="str">
        <f t="shared" si="60"/>
        <v/>
      </c>
      <c r="GJ7" s="103"/>
      <c r="GK7" s="104"/>
      <c r="GL7" s="105"/>
      <c r="GM7" s="163" t="str">
        <f>IFERROR((((COUNTIF('Elève (3ème2)'!GJ7:GL7,"A"))*4)+((COUNTIF('Elève (3ème2)'!GJ7:GL7,"B"))*3)+((COUNTIF('Elève (3ème2)'!GJ7:GL7,"C"))*2)+((COUNTIF('Elève (3ème2)'!GJ7:GL7,"D"))*1))/(COUNTA(GJ7:GL7)),"")</f>
        <v/>
      </c>
      <c r="GN7" s="164" t="str">
        <f t="shared" si="61"/>
        <v/>
      </c>
      <c r="GO7" s="103"/>
      <c r="GP7" s="104"/>
      <c r="GQ7" s="105"/>
      <c r="GR7" s="105"/>
      <c r="GS7" s="163" t="str">
        <f>IFERROR((((COUNTIF('Elève (3ème2)'!GO7:GR7,"A"))*4)+((COUNTIF('Elève (3ème2)'!GO7:GR7,"B"))*3)+((COUNTIF('Elève (3ème2)'!GO7:GR7,"C"))*2)+((COUNTIF('Elève (3ème2)'!GO7:GR7,"D"))*1))/(COUNTA(GO7:GR7)),"")</f>
        <v/>
      </c>
      <c r="GT7" s="164" t="str">
        <f t="shared" si="62"/>
        <v/>
      </c>
      <c r="GU7" s="103"/>
      <c r="GV7" s="104"/>
      <c r="GW7" s="105"/>
      <c r="GX7" s="105"/>
      <c r="GY7" s="105"/>
      <c r="GZ7" s="109"/>
      <c r="HA7" s="163" t="str">
        <f>IFERROR((((COUNTIF('Elève (3ème2)'!GU7:GZ7,"A"))*4)+((COUNTIF('Elève (3ème2)'!GU7:GZ7,"B"))*3)+((COUNTIF('Elève (3ème2)'!GU7:GZ7,"C"))*2)+((COUNTIF('Elève (3ème2)'!GU7:GZ7,"D"))*1))/(COUNTA(GU7:GZ7)),"")</f>
        <v/>
      </c>
      <c r="HB7" s="164" t="str">
        <f t="shared" si="63"/>
        <v/>
      </c>
      <c r="HC7" s="163" t="str">
        <f>IF(COUNT(GM7,GS7,HA7)=0,"",SUM(GM7,GS7,HA7)/COUNT(GM7,GS7,HA7))</f>
        <v/>
      </c>
      <c r="HD7" s="187" t="str">
        <f t="shared" si="64"/>
        <v/>
      </c>
      <c r="HE7" s="103"/>
      <c r="HF7" s="104"/>
      <c r="HG7" s="105"/>
      <c r="HH7" s="163" t="str">
        <f>IFERROR((((COUNTIF('Elève (3ème2)'!HE7:HG7,"A"))*4)+((COUNTIF('Elève (3ème2)'!HE7:HG7,"B"))*3)+((COUNTIF('Elève (3ème2)'!HE7:HG7,"C"))*2)+((COUNTIF('Elève (3ème2)'!HE7:HG7,"D"))*1))/(COUNTA(HE7:HG7)),"")</f>
        <v/>
      </c>
      <c r="HI7" s="164" t="str">
        <f t="shared" si="65"/>
        <v/>
      </c>
      <c r="HJ7" s="103"/>
      <c r="HK7" s="104"/>
      <c r="HL7" s="105"/>
      <c r="HM7" s="105"/>
      <c r="HN7" s="163" t="str">
        <f>IFERROR((((COUNTIF('Elève (3ème2)'!HJ7:HM7,"A"))*4)+((COUNTIF('Elève (3ème2)'!HJ7:HM7,"B"))*3)+((COUNTIF('Elève (3ème2)'!HJ7:HM7,"C"))*2)+((COUNTIF('Elève (3ème2)'!HJ7:HM7,"D"))*1))/(COUNTA(HJ7:HM7)),"")</f>
        <v/>
      </c>
      <c r="HO7" s="164" t="str">
        <f t="shared" si="66"/>
        <v/>
      </c>
      <c r="HP7" s="103"/>
      <c r="HQ7" s="104"/>
      <c r="HR7" s="105"/>
      <c r="HS7" s="105"/>
      <c r="HT7" s="105"/>
      <c r="HU7" s="109"/>
      <c r="HV7" s="163" t="str">
        <f>IFERROR((((COUNTIF('Elève (3ème2)'!HP7:HU7,"A"))*4)+((COUNTIF('Elève (3ème2)'!HP7:HU7,"B"))*3)+((COUNTIF('Elève (3ème2)'!HP7:HU7,"C"))*2)+((COUNTIF('Elève (3ème2)'!HP7:HU7,"D"))*1))/(COUNTA(HP7:HU7)),"")</f>
        <v/>
      </c>
      <c r="HW7" s="164" t="str">
        <f t="shared" si="67"/>
        <v/>
      </c>
      <c r="HX7" s="163" t="str">
        <f>IF(COUNT(HH7,HN7,HV7)=0,"",SUM(HH7,HN7,HV7)/COUNT(HH7,HN7,HV7))</f>
        <v/>
      </c>
      <c r="HY7" s="187" t="str">
        <f t="shared" si="68"/>
        <v/>
      </c>
      <c r="HZ7" s="103"/>
      <c r="IA7" s="104"/>
      <c r="IB7" s="105"/>
      <c r="IC7" s="163" t="str">
        <f>IFERROR((((COUNTIF('Elève (3ème2)'!HZ7:IB7,"A"))*4)+((COUNTIF('Elève (3ème2)'!HZ7:IB7,"B"))*3)+((COUNTIF('Elève (3ème2)'!HZ7:IB7,"C"))*2)+((COUNTIF('Elève (3ème2)'!HZ7:IB7,"D"))*1))/(COUNTA(HZ7:IB7)),"")</f>
        <v/>
      </c>
      <c r="ID7" s="164" t="str">
        <f t="shared" si="69"/>
        <v/>
      </c>
      <c r="IE7" s="103"/>
      <c r="IF7" s="104"/>
      <c r="IG7" s="105"/>
      <c r="IH7" s="105"/>
      <c r="II7" s="163" t="str">
        <f>IFERROR((((COUNTIF('Elève (3ème2)'!IE7:IH7,"A"))*4)+((COUNTIF('Elève (3ème2)'!IE7:IH7,"B"))*3)+((COUNTIF('Elève (3ème2)'!IE7:IH7,"C"))*2)+((COUNTIF('Elève (3ème2)'!IE7:IH7,"D"))*1))/(COUNTA(IE7:IH7)),"")</f>
        <v/>
      </c>
      <c r="IJ7" s="164" t="str">
        <f t="shared" si="70"/>
        <v/>
      </c>
      <c r="IK7" s="103"/>
      <c r="IL7" s="104"/>
      <c r="IM7" s="105"/>
      <c r="IN7" s="105"/>
      <c r="IO7" s="105"/>
      <c r="IP7" s="109"/>
      <c r="IQ7" s="163" t="str">
        <f>IFERROR((((COUNTIF('Elève (3ème2)'!IK7:IP7,"A"))*4)+((COUNTIF('Elève (3ème2)'!IK7:IP7,"B"))*3)+((COUNTIF('Elève (3ème2)'!IK7:IP7,"C"))*2)+((COUNTIF('Elève (3ème2)'!IK7:IP7,"D"))*1))/(COUNTA(IK7:IP7)),"")</f>
        <v/>
      </c>
      <c r="IR7" s="164" t="str">
        <f t="shared" si="71"/>
        <v/>
      </c>
      <c r="IS7" s="163" t="str">
        <f>IF(COUNT(IC7,II7,IQ7)=0,"",SUM(IC7,II7,IQ7)/COUNT(IC7,II7,IQ7))</f>
        <v/>
      </c>
      <c r="IT7" s="187" t="str">
        <f t="shared" si="72"/>
        <v/>
      </c>
      <c r="IU7" s="103"/>
      <c r="IV7" s="104"/>
      <c r="IW7" s="105"/>
      <c r="IX7" s="163" t="str">
        <f>IFERROR((((COUNTIF('Elève (3ème2)'!IU7:IW7,"A"))*4)+((COUNTIF('Elève (3ème2)'!IU7:IW7,"B"))*3)+((COUNTIF('Elève (3ème2)'!IU7:IW7,"C"))*2)+((COUNTIF('Elève (3ème2)'!IU7:IW7,"D"))*1))/(COUNTA(IU7:IW7)),"")</f>
        <v/>
      </c>
      <c r="IY7" s="164" t="str">
        <f t="shared" si="73"/>
        <v/>
      </c>
      <c r="IZ7" s="103"/>
      <c r="JA7" s="104"/>
      <c r="JB7" s="105"/>
      <c r="JC7" s="105"/>
      <c r="JD7" s="163" t="str">
        <f>IFERROR((((COUNTIF('Elève (3ème2)'!IZ7:JC7,"A"))*4)+((COUNTIF('Elève (3ème2)'!IZ7:JC7,"B"))*3)+((COUNTIF('Elève (3ème2)'!IZ7:JC7,"C"))*2)+((COUNTIF('Elève (3ème2)'!IZ7:JC7,"D"))*1))/(COUNTA(IZ7:JC7)),"")</f>
        <v/>
      </c>
      <c r="JE7" s="164" t="str">
        <f t="shared" si="74"/>
        <v/>
      </c>
      <c r="JF7" s="103"/>
      <c r="JG7" s="104"/>
      <c r="JH7" s="105"/>
      <c r="JI7" s="105"/>
      <c r="JJ7" s="105"/>
      <c r="JK7" s="109"/>
      <c r="JL7" s="163" t="str">
        <f>IFERROR((((COUNTIF('Elève (3ème2)'!JF7:JK7,"A"))*4)+((COUNTIF('Elève (3ème2)'!JF7:JK7,"B"))*3)+((COUNTIF('Elève (3ème2)'!JF7:JK7,"C"))*2)+((COUNTIF('Elève (3ème2)'!JF7:JK7,"D"))*1))/(COUNTA(JF7:JK7)),"")</f>
        <v/>
      </c>
      <c r="JM7" s="164" t="str">
        <f t="shared" si="75"/>
        <v/>
      </c>
      <c r="JN7" s="163" t="str">
        <f>IF(COUNT(IX7,JD7,JL7)=0,"",SUM(IX7,JD7,JL7)/COUNT(IX7,JD7,JL7))</f>
        <v/>
      </c>
      <c r="JO7" s="187" t="str">
        <f t="shared" si="76"/>
        <v/>
      </c>
      <c r="JP7" s="103"/>
      <c r="JQ7" s="104"/>
      <c r="JR7" s="105"/>
      <c r="JS7" s="163" t="str">
        <f>IFERROR((((COUNTIF('Elève (3ème2)'!JP7:JR7,"A"))*4)+((COUNTIF('Elève (3ème2)'!JP7:JR7,"B"))*3)+((COUNTIF('Elève (3ème2)'!JP7:JR7,"C"))*2)+((COUNTIF('Elève (3ème2)'!JP7:JR7,"D"))*1))/(COUNTA(JP7:JR7)),"")</f>
        <v/>
      </c>
      <c r="JT7" s="164" t="str">
        <f t="shared" si="77"/>
        <v/>
      </c>
      <c r="JU7" s="103"/>
      <c r="JV7" s="104"/>
      <c r="JW7" s="105"/>
      <c r="JX7" s="105"/>
      <c r="JY7" s="163" t="str">
        <f>IFERROR((((COUNTIF('Elève (3ème2)'!JU7:JX7,"A"))*4)+((COUNTIF('Elève (3ème2)'!JU7:JX7,"B"))*3)+((COUNTIF('Elève (3ème2)'!JU7:JX7,"C"))*2)+((COUNTIF('Elève (3ème2)'!JU7:JX7,"D"))*1))/(COUNTA(JU7:JX7)),"")</f>
        <v/>
      </c>
      <c r="JZ7" s="164" t="str">
        <f t="shared" si="78"/>
        <v/>
      </c>
      <c r="KA7" s="103"/>
      <c r="KB7" s="104"/>
      <c r="KC7" s="105"/>
      <c r="KD7" s="105"/>
      <c r="KE7" s="105"/>
      <c r="KF7" s="109"/>
      <c r="KG7" s="163" t="str">
        <f>IFERROR((((COUNTIF('Elève (3ème2)'!KA7:KF7,"A"))*4)+((COUNTIF('Elève (3ème2)'!KA7:KF7,"B"))*3)+((COUNTIF('Elève (3ème2)'!KA7:KF7,"C"))*2)+((COUNTIF('Elève (3ème2)'!KA7:KF7,"D"))*1))/(COUNTA(KA7:KF7)),"")</f>
        <v/>
      </c>
      <c r="KH7" s="164" t="str">
        <f t="shared" si="79"/>
        <v/>
      </c>
      <c r="KI7" s="163" t="str">
        <f>IF(COUNT(JS7,JY7,KG7)=0,"",SUM(JS7,JY7,KG7)/COUNT(JS7,JY7,KG7))</f>
        <v/>
      </c>
      <c r="KJ7" s="187" t="str">
        <f t="shared" si="80"/>
        <v/>
      </c>
      <c r="KK7" s="103"/>
      <c r="KL7" s="104"/>
      <c r="KM7" s="105"/>
      <c r="KN7" s="163" t="str">
        <f>IFERROR((((COUNTIF('Elève (3ème2)'!KK7:KM7,"A"))*4)+((COUNTIF('Elève (3ème2)'!KK7:KM7,"B"))*3)+((COUNTIF('Elève (3ème2)'!KK7:KM7,"C"))*2)+((COUNTIF('Elève (3ème2)'!KK7:KM7,"D"))*1))/(COUNTA(KK7:KM7)),"")</f>
        <v/>
      </c>
      <c r="KO7" s="164" t="str">
        <f t="shared" si="81"/>
        <v/>
      </c>
      <c r="KP7" s="103"/>
      <c r="KQ7" s="104"/>
      <c r="KR7" s="105"/>
      <c r="KS7" s="105"/>
      <c r="KT7" s="163" t="str">
        <f>IFERROR((((COUNTIF('Elève (3ème2)'!KP7:KS7,"A"))*4)+((COUNTIF('Elève (3ème2)'!KP7:KS7,"B"))*3)+((COUNTIF('Elève (3ème2)'!KP7:KS7,"C"))*2)+((COUNTIF('Elève (3ème2)'!KP7:KS7,"D"))*1))/(COUNTA(KP7:KS7)),"")</f>
        <v/>
      </c>
      <c r="KU7" s="164" t="str">
        <f t="shared" si="82"/>
        <v/>
      </c>
      <c r="KV7" s="103"/>
      <c r="KW7" s="104"/>
      <c r="KX7" s="105"/>
      <c r="KY7" s="105"/>
      <c r="KZ7" s="105"/>
      <c r="LA7" s="109"/>
      <c r="LB7" s="163" t="str">
        <f>IFERROR((((COUNTIF('Elève (3ème2)'!KV7:LA7,"A"))*4)+((COUNTIF('Elève (3ème2)'!KV7:LA7,"B"))*3)+((COUNTIF('Elève (3ème2)'!KV7:LA7,"C"))*2)+((COUNTIF('Elève (3ème2)'!KV7:LA7,"D"))*1))/(COUNTA(KV7:LA7)),"")</f>
        <v/>
      </c>
      <c r="LC7" s="164" t="str">
        <f t="shared" si="83"/>
        <v/>
      </c>
      <c r="LD7" s="163" t="str">
        <f>IF(COUNT(KN7,KT7,LB7)=0,"",SUM(KN7,KT7,LB7)/COUNT(KN7,KT7,LB7))</f>
        <v/>
      </c>
      <c r="LE7" s="187" t="str">
        <f t="shared" si="84"/>
        <v/>
      </c>
      <c r="LF7" s="103"/>
      <c r="LG7" s="104"/>
      <c r="LH7" s="105"/>
      <c r="LI7" s="163" t="str">
        <f>IFERROR((((COUNTIF('Elève (3ème2)'!LF7:LH7,"A"))*4)+((COUNTIF('Elève (3ème2)'!LF7:LH7,"B"))*3)+((COUNTIF('Elève (3ème2)'!LF7:LH7,"C"))*2)+((COUNTIF('Elève (3ème2)'!LF7:LH7,"D"))*1))/(COUNTA(LF7:LH7)),"")</f>
        <v/>
      </c>
      <c r="LJ7" s="164" t="str">
        <f t="shared" si="85"/>
        <v/>
      </c>
      <c r="LK7" s="103"/>
      <c r="LL7" s="104"/>
      <c r="LM7" s="105"/>
      <c r="LN7" s="105"/>
      <c r="LO7" s="163" t="str">
        <f>IFERROR((((COUNTIF('Elève (3ème2)'!LK7:LN7,"A"))*4)+((COUNTIF('Elève (3ème2)'!LK7:LN7,"B"))*3)+((COUNTIF('Elève (3ème2)'!LK7:LN7,"C"))*2)+((COUNTIF('Elève (3ème2)'!LK7:LN7,"D"))*1))/(COUNTA(LK7:LN7)),"")</f>
        <v/>
      </c>
      <c r="LP7" s="164" t="str">
        <f t="shared" si="86"/>
        <v/>
      </c>
      <c r="LQ7" s="103"/>
      <c r="LR7" s="104"/>
      <c r="LS7" s="105"/>
      <c r="LT7" s="105"/>
      <c r="LU7" s="105"/>
      <c r="LV7" s="109"/>
      <c r="LW7" s="163" t="str">
        <f>IFERROR((((COUNTIF('Elève (3ème2)'!LQ7:LV7,"A"))*4)+((COUNTIF('Elève (3ème2)'!LQ7:LV7,"B"))*3)+((COUNTIF('Elève (3ème2)'!LQ7:LV7,"C"))*2)+((COUNTIF('Elève (3ème2)'!LQ7:LV7,"D"))*1))/(COUNTA(LQ7:LV7)),"")</f>
        <v/>
      </c>
      <c r="LX7" s="164" t="str">
        <f t="shared" si="87"/>
        <v/>
      </c>
      <c r="LY7" s="163" t="str">
        <f>IF(COUNT(LI7,LO7,LW7)=0,"",SUM(LI7,LO7,LW7)/COUNT(LI7,LO7,LW7))</f>
        <v/>
      </c>
      <c r="LZ7" s="187" t="str">
        <f t="shared" si="88"/>
        <v/>
      </c>
      <c r="MA7" s="103"/>
      <c r="MB7" s="104"/>
      <c r="MC7" s="105"/>
      <c r="MD7" s="163" t="str">
        <f>IFERROR((((COUNTIF('Elève (3ème2)'!MA7:MC7,"A"))*4)+((COUNTIF('Elève (3ème2)'!MA7:MC7,"B"))*3)+((COUNTIF('Elève (3ème2)'!MA7:MC7,"C"))*2)+((COUNTIF('Elève (3ème2)'!MA7:MC7,"D"))*1))/(COUNTA(MA7:MC7)),"")</f>
        <v/>
      </c>
      <c r="ME7" s="164" t="str">
        <f t="shared" si="89"/>
        <v/>
      </c>
      <c r="MF7" s="103"/>
      <c r="MG7" s="104"/>
      <c r="MH7" s="105"/>
      <c r="MI7" s="105"/>
      <c r="MJ7" s="163" t="str">
        <f>IFERROR((((COUNTIF('Elève (3ème2)'!MF7:MI7,"A"))*4)+((COUNTIF('Elève (3ème2)'!MF7:MI7,"B"))*3)+((COUNTIF('Elève (3ème2)'!MF7:MI7,"C"))*2)+((COUNTIF('Elève (3ème2)'!MF7:MI7,"D"))*1))/(COUNTA(MF7:MI7)),"")</f>
        <v/>
      </c>
      <c r="MK7" s="164" t="str">
        <f t="shared" si="90"/>
        <v/>
      </c>
      <c r="ML7" s="103"/>
      <c r="MM7" s="104"/>
      <c r="MN7" s="105"/>
      <c r="MO7" s="105"/>
      <c r="MP7" s="105"/>
      <c r="MQ7" s="109"/>
      <c r="MR7" s="163" t="str">
        <f>IFERROR((((COUNTIF('Elève (3ème2)'!ML7:MQ7,"A"))*4)+((COUNTIF('Elève (3ème2)'!ML7:MQ7,"B"))*3)+((COUNTIF('Elève (3ème2)'!ML7:MQ7,"C"))*2)+((COUNTIF('Elève (3ème2)'!ML7:MQ7,"D"))*1))/(COUNTA(ML7:MQ7)),"")</f>
        <v/>
      </c>
      <c r="MS7" s="164" t="str">
        <f t="shared" si="91"/>
        <v/>
      </c>
      <c r="MT7" s="163" t="str">
        <f>IF(COUNT(MD7,MJ7,MR7)=0,"",SUM(MD7,MJ7,MR7)/COUNT(MD7,MJ7,MR7))</f>
        <v/>
      </c>
      <c r="MU7" s="187" t="str">
        <f t="shared" si="92"/>
        <v/>
      </c>
      <c r="MV7" s="103"/>
      <c r="MW7" s="104"/>
      <c r="MX7" s="105"/>
      <c r="MY7" s="163" t="str">
        <f>IFERROR((((COUNTIF('Elève (3ème2)'!MV7:MX7,"A"))*4)+((COUNTIF('Elève (3ème2)'!MV7:MX7,"B"))*3)+((COUNTIF('Elève (3ème2)'!MV7:MX7,"C"))*2)+((COUNTIF('Elève (3ème2)'!MV7:MX7,"D"))*1))/(COUNTA(MV7:MX7)),"")</f>
        <v/>
      </c>
      <c r="MZ7" s="164" t="str">
        <f t="shared" si="93"/>
        <v/>
      </c>
      <c r="NA7" s="103"/>
      <c r="NB7" s="104"/>
      <c r="NC7" s="105"/>
      <c r="ND7" s="105"/>
      <c r="NE7" s="163" t="str">
        <f>IFERROR((((COUNTIF('Elève (3ème2)'!NA7:ND7,"A"))*4)+((COUNTIF('Elève (3ème2)'!NA7:ND7,"B"))*3)+((COUNTIF('Elève (3ème2)'!NA7:ND7,"C"))*2)+((COUNTIF('Elève (3ème2)'!NA7:ND7,"D"))*1))/(COUNTA(NA7:ND7)),"")</f>
        <v/>
      </c>
      <c r="NF7" s="164" t="str">
        <f t="shared" si="94"/>
        <v/>
      </c>
      <c r="NG7" s="103"/>
      <c r="NH7" s="104"/>
      <c r="NI7" s="105"/>
      <c r="NJ7" s="105"/>
      <c r="NK7" s="105"/>
      <c r="NL7" s="109"/>
      <c r="NM7" s="163" t="str">
        <f>IFERROR((((COUNTIF('Elève (3ème2)'!NG7:NL7,"A"))*4)+((COUNTIF('Elève (3ème2)'!NG7:NL7,"B"))*3)+((COUNTIF('Elève (3ème2)'!NG7:NL7,"C"))*2)+((COUNTIF('Elève (3ème2)'!NG7:NL7,"D"))*1))/(COUNTA(NG7:NL7)),"")</f>
        <v/>
      </c>
      <c r="NN7" s="164" t="str">
        <f t="shared" si="95"/>
        <v/>
      </c>
      <c r="NO7" s="163" t="str">
        <f>IF(COUNT(MY7,NE7,NM7)=0,"",SUM(MY7,NE7,NM7)/COUNT(MY7,NE7,NM7))</f>
        <v/>
      </c>
      <c r="NP7" s="187" t="str">
        <f t="shared" si="96"/>
        <v/>
      </c>
      <c r="NQ7" s="103"/>
      <c r="NR7" s="104"/>
      <c r="NS7" s="105"/>
      <c r="NT7" s="163" t="str">
        <f>IFERROR((((COUNTIF('Elève (3ème2)'!NQ7:NS7,"A"))*4)+((COUNTIF('Elève (3ème2)'!NQ7:NS7,"B"))*3)+((COUNTIF('Elève (3ème2)'!NQ7:NS7,"C"))*2)+((COUNTIF('Elève (3ème2)'!NQ7:NS7,"D"))*1))/(COUNTA(NQ7:NS7)),"")</f>
        <v/>
      </c>
      <c r="NU7" s="164" t="str">
        <f t="shared" si="97"/>
        <v/>
      </c>
      <c r="NV7" s="103"/>
      <c r="NW7" s="104"/>
      <c r="NX7" s="105"/>
      <c r="NY7" s="105"/>
      <c r="NZ7" s="163" t="str">
        <f>IFERROR((((COUNTIF('Elève (3ème2)'!NV7:NY7,"A"))*4)+((COUNTIF('Elève (3ème2)'!NV7:NY7,"B"))*3)+((COUNTIF('Elève (3ème2)'!NV7:NY7,"C"))*2)+((COUNTIF('Elève (3ème2)'!NV7:NY7,"D"))*1))/(COUNTA(NV7:NY7)),"")</f>
        <v/>
      </c>
      <c r="OA7" s="164" t="str">
        <f t="shared" si="98"/>
        <v/>
      </c>
      <c r="OB7" s="103"/>
      <c r="OC7" s="104"/>
      <c r="OD7" s="105"/>
      <c r="OE7" s="105"/>
      <c r="OF7" s="105"/>
      <c r="OG7" s="109"/>
      <c r="OH7" s="163" t="str">
        <f>IFERROR((((COUNTIF('Elève (3ème2)'!OB7:OG7,"A"))*4)+((COUNTIF('Elève (3ème2)'!OB7:OG7,"B"))*3)+((COUNTIF('Elève (3ème2)'!OB7:OG7,"C"))*2)+((COUNTIF('Elève (3ème2)'!OB7:OG7,"D"))*1))/(COUNTA(OB7:OG7)),"")</f>
        <v/>
      </c>
      <c r="OI7" s="164" t="str">
        <f t="shared" si="99"/>
        <v/>
      </c>
      <c r="OJ7" s="163" t="str">
        <f>IF(COUNT(NT7,NZ7,OH7)=0,"",SUM(NT7,NZ7,OH7)/COUNT(NT7,NZ7,OH7))</f>
        <v/>
      </c>
      <c r="OK7" s="187" t="str">
        <f t="shared" si="100"/>
        <v/>
      </c>
      <c r="OL7" s="103"/>
      <c r="OM7" s="104"/>
      <c r="ON7" s="105"/>
      <c r="OO7" s="163" t="str">
        <f>IFERROR((((COUNTIF('Elève (3ème2)'!OL7:ON7,"A"))*4)+((COUNTIF('Elève (3ème2)'!OL7:ON7,"B"))*3)+((COUNTIF('Elève (3ème2)'!OL7:ON7,"C"))*2)+((COUNTIF('Elève (3ème2)'!OL7:ON7,"D"))*1))/(COUNTA(OL7:ON7)),"")</f>
        <v/>
      </c>
      <c r="OP7" s="164" t="str">
        <f t="shared" si="101"/>
        <v/>
      </c>
      <c r="OQ7" s="103"/>
      <c r="OR7" s="104"/>
      <c r="OS7" s="105"/>
      <c r="OT7" s="105"/>
      <c r="OU7" s="163" t="str">
        <f>IFERROR((((COUNTIF('Elève (3ème2)'!OQ7:OT7,"A"))*4)+((COUNTIF('Elève (3ème2)'!OQ7:OT7,"B"))*3)+((COUNTIF('Elève (3ème2)'!OQ7:OT7,"C"))*2)+((COUNTIF('Elève (3ème2)'!OQ7:OT7,"D"))*1))/(COUNTA(OQ7:OT7)),"")</f>
        <v/>
      </c>
      <c r="OV7" s="164" t="str">
        <f t="shared" si="102"/>
        <v/>
      </c>
      <c r="OW7" s="103"/>
      <c r="OX7" s="104"/>
      <c r="OY7" s="105"/>
      <c r="OZ7" s="105"/>
      <c r="PA7" s="105"/>
      <c r="PB7" s="109"/>
      <c r="PC7" s="163" t="str">
        <f>IFERROR((((COUNTIF('Elève (3ème2)'!OW7:PB7,"A"))*4)+((COUNTIF('Elève (3ème2)'!OW7:PB7,"B"))*3)+((COUNTIF('Elève (3ème2)'!OW7:PB7,"C"))*2)+((COUNTIF('Elève (3ème2)'!OW7:PB7,"D"))*1))/(COUNTA(OW7:PB7)),"")</f>
        <v/>
      </c>
      <c r="PD7" s="164" t="str">
        <f t="shared" si="103"/>
        <v/>
      </c>
      <c r="PE7" s="163" t="str">
        <f>IF(COUNT(OO7,OU7,PC7)=0,"",SUM(OO7,OU7,PC7)/COUNT(OO7,OU7,PC7))</f>
        <v/>
      </c>
      <c r="PF7" s="187" t="str">
        <f t="shared" si="104"/>
        <v/>
      </c>
      <c r="PG7" s="103"/>
      <c r="PH7" s="104"/>
      <c r="PI7" s="105"/>
      <c r="PJ7" s="163" t="str">
        <f>IFERROR((((COUNTIF('Elève (3ème2)'!PG7:PI7,"A"))*4)+((COUNTIF('Elève (3ème2)'!PG7:PI7,"B"))*3)+((COUNTIF('Elève (3ème2)'!PG7:PI7,"C"))*2)+((COUNTIF('Elève (3ème2)'!PG7:PI7,"D"))*1))/(COUNTA(PG7:PI7)),"")</f>
        <v/>
      </c>
      <c r="PK7" s="164" t="str">
        <f t="shared" si="105"/>
        <v/>
      </c>
      <c r="PL7" s="103"/>
      <c r="PM7" s="104"/>
      <c r="PN7" s="105"/>
      <c r="PO7" s="105"/>
      <c r="PP7" s="163" t="str">
        <f>IFERROR((((COUNTIF('Elève (3ème2)'!PL7:PO7,"A"))*4)+((COUNTIF('Elève (3ème2)'!PL7:PO7,"B"))*3)+((COUNTIF('Elève (3ème2)'!PL7:PO7,"C"))*2)+((COUNTIF('Elève (3ème2)'!PL7:PO7,"D"))*1))/(COUNTA(PL7:PO7)),"")</f>
        <v/>
      </c>
      <c r="PQ7" s="164" t="str">
        <f t="shared" si="106"/>
        <v/>
      </c>
      <c r="PR7" s="103"/>
      <c r="PS7" s="104"/>
      <c r="PT7" s="105"/>
      <c r="PU7" s="105"/>
      <c r="PV7" s="105"/>
      <c r="PW7" s="109"/>
      <c r="PX7" s="163" t="str">
        <f>IFERROR((((COUNTIF('Elève (3ème2)'!PR7:PW7,"A"))*4)+((COUNTIF('Elève (3ème2)'!PR7:PW7,"B"))*3)+((COUNTIF('Elève (3ème2)'!PR7:PW7,"C"))*2)+((COUNTIF('Elève (3ème2)'!PR7:PW7,"D"))*1))/(COUNTA(PR7:PW7)),"")</f>
        <v/>
      </c>
      <c r="PY7" s="164" t="str">
        <f t="shared" si="107"/>
        <v/>
      </c>
      <c r="PZ7" s="163" t="str">
        <f>IF(COUNT(PJ7,PP7,PX7)=0,"",SUM(PJ7,PP7,PX7)/COUNT(PJ7,PP7,PX7))</f>
        <v/>
      </c>
      <c r="QA7" s="187" t="str">
        <f t="shared" si="108"/>
        <v/>
      </c>
      <c r="QB7" s="103"/>
      <c r="QC7" s="104"/>
      <c r="QD7" s="105"/>
      <c r="QE7" s="163" t="str">
        <f>IFERROR((((COUNTIF('Elève (3ème2)'!QB7:QD7,"A"))*4)+((COUNTIF('Elève (3ème2)'!QB7:QD7,"B"))*3)+((COUNTIF('Elève (3ème2)'!QB7:QD7,"C"))*2)+((COUNTIF('Elève (3ème2)'!QB7:QD7,"D"))*1))/(COUNTA(QB7:QD7)),"")</f>
        <v/>
      </c>
      <c r="QF7" s="164" t="str">
        <f t="shared" si="109"/>
        <v/>
      </c>
      <c r="QG7" s="103"/>
      <c r="QH7" s="104"/>
      <c r="QI7" s="105"/>
      <c r="QJ7" s="105"/>
      <c r="QK7" s="163" t="str">
        <f>IFERROR((((COUNTIF('Elève (3ème2)'!QG7:QJ7,"A"))*4)+((COUNTIF('Elève (3ème2)'!QG7:QJ7,"B"))*3)+((COUNTIF('Elève (3ème2)'!QG7:QJ7,"C"))*2)+((COUNTIF('Elève (3ème2)'!QG7:QJ7,"D"))*1))/(COUNTA(QG7:QJ7)),"")</f>
        <v/>
      </c>
      <c r="QL7" s="164" t="str">
        <f t="shared" si="110"/>
        <v/>
      </c>
      <c r="QM7" s="103"/>
      <c r="QN7" s="104"/>
      <c r="QO7" s="105"/>
      <c r="QP7" s="105"/>
      <c r="QQ7" s="105"/>
      <c r="QR7" s="109"/>
      <c r="QS7" s="163" t="str">
        <f>IFERROR((((COUNTIF('Elève (3ème2)'!QM7:QR7,"A"))*4)+((COUNTIF('Elève (3ème2)'!QM7:QR7,"B"))*3)+((COUNTIF('Elève (3ème2)'!QM7:QR7,"C"))*2)+((COUNTIF('Elève (3ème2)'!QM7:QR7,"D"))*1))/(COUNTA(QM7:QR7)),"")</f>
        <v/>
      </c>
      <c r="QT7" s="164" t="str">
        <f t="shared" si="111"/>
        <v/>
      </c>
      <c r="QU7" s="163" t="str">
        <f>IF(COUNT(QE7,QK7,QS7)=0,"",SUM(QE7,QK7,QS7)/COUNT(QE7,QK7,QS7))</f>
        <v/>
      </c>
      <c r="QV7" s="187" t="str">
        <f t="shared" si="112"/>
        <v/>
      </c>
      <c r="QW7" s="103"/>
      <c r="QX7" s="104"/>
      <c r="QY7" s="105"/>
      <c r="QZ7" s="163" t="str">
        <f>IFERROR((((COUNTIF('Elève (3ème2)'!QW7:QY7,"A"))*4)+((COUNTIF('Elève (3ème2)'!QW7:QY7,"B"))*3)+((COUNTIF('Elève (3ème2)'!QW7:QY7,"C"))*2)+((COUNTIF('Elève (3ème2)'!QW7:QY7,"D"))*1))/(COUNTA(QW7:QY7)),"")</f>
        <v/>
      </c>
      <c r="RA7" s="164" t="str">
        <f t="shared" si="113"/>
        <v/>
      </c>
      <c r="RB7" s="103"/>
      <c r="RC7" s="104"/>
      <c r="RD7" s="105"/>
      <c r="RE7" s="105"/>
      <c r="RF7" s="163" t="str">
        <f>IFERROR((((COUNTIF('Elève (3ème2)'!RB7:RE7,"A"))*4)+((COUNTIF('Elève (3ème2)'!RB7:RE7,"B"))*3)+((COUNTIF('Elève (3ème2)'!RB7:RE7,"C"))*2)+((COUNTIF('Elève (3ème2)'!RB7:RE7,"D"))*1))/(COUNTA(RB7:RE7)),"")</f>
        <v/>
      </c>
      <c r="RG7" s="164" t="str">
        <f t="shared" si="114"/>
        <v/>
      </c>
      <c r="RH7" s="103"/>
      <c r="RI7" s="104"/>
      <c r="RJ7" s="105"/>
      <c r="RK7" s="105"/>
      <c r="RL7" s="105"/>
      <c r="RM7" s="109"/>
      <c r="RN7" s="163" t="str">
        <f>IFERROR((((COUNTIF('Elève (3ème2)'!RH7:RM7,"A"))*4)+((COUNTIF('Elève (3ème2)'!RH7:RM7,"B"))*3)+((COUNTIF('Elève (3ème2)'!RH7:RM7,"C"))*2)+((COUNTIF('Elève (3ème2)'!RH7:RM7,"D"))*1))/(COUNTA(RH7:RM7)),"")</f>
        <v/>
      </c>
      <c r="RO7" s="164" t="str">
        <f t="shared" si="115"/>
        <v/>
      </c>
      <c r="RP7" s="163" t="str">
        <f>IF(COUNT(QZ7,RF7,RN7)=0,"",SUM(QZ7,RF7,RN7)/COUNT(QZ7,RF7,RN7))</f>
        <v/>
      </c>
      <c r="RQ7" s="187" t="str">
        <f t="shared" si="116"/>
        <v/>
      </c>
      <c r="RR7" s="103"/>
      <c r="RS7" s="104"/>
      <c r="RT7" s="105"/>
      <c r="RU7" s="163" t="str">
        <f>IFERROR((((COUNTIF('Elève (3ème2)'!RR7:RT7,"A"))*4)+((COUNTIF('Elève (3ème2)'!RR7:RT7,"B"))*3)+((COUNTIF('Elève (3ème2)'!RR7:RT7,"C"))*2)+((COUNTIF('Elève (3ème2)'!RR7:RT7,"D"))*1))/(COUNTA(RR7:RT7)),"")</f>
        <v/>
      </c>
      <c r="RV7" s="164" t="str">
        <f t="shared" si="117"/>
        <v/>
      </c>
      <c r="RW7" s="103"/>
      <c r="RX7" s="104"/>
      <c r="RY7" s="105"/>
      <c r="RZ7" s="105"/>
      <c r="SA7" s="163" t="str">
        <f>IFERROR((((COUNTIF('Elève (3ème2)'!RW7:RZ7,"A"))*4)+((COUNTIF('Elève (3ème2)'!RW7:RZ7,"B"))*3)+((COUNTIF('Elève (3ème2)'!RW7:RZ7,"C"))*2)+((COUNTIF('Elève (3ème2)'!RW7:RZ7,"D"))*1))/(COUNTA(RW7:RZ7)),"")</f>
        <v/>
      </c>
      <c r="SB7" s="164" t="str">
        <f t="shared" si="118"/>
        <v/>
      </c>
      <c r="SC7" s="103"/>
      <c r="SD7" s="104"/>
      <c r="SE7" s="105"/>
      <c r="SF7" s="105"/>
      <c r="SG7" s="105"/>
      <c r="SH7" s="109"/>
      <c r="SI7" s="163" t="str">
        <f>IFERROR((((COUNTIF('Elève (3ème2)'!SC7:SH7,"A"))*4)+((COUNTIF('Elève (3ème2)'!SC7:SH7,"B"))*3)+((COUNTIF('Elève (3ème2)'!SC7:SH7,"C"))*2)+((COUNTIF('Elève (3ème2)'!SC7:SH7,"D"))*1))/(COUNTA(SC7:SH7)),"")</f>
        <v/>
      </c>
      <c r="SJ7" s="164" t="str">
        <f t="shared" si="119"/>
        <v/>
      </c>
      <c r="SK7" s="163" t="str">
        <f>IF(COUNT(RU7,SA7,SI7)=0,"",SUM(RU7,SA7,SI7)/COUNT(RU7,SA7,SI7))</f>
        <v/>
      </c>
      <c r="SL7" s="187" t="str">
        <f t="shared" si="120"/>
        <v/>
      </c>
      <c r="SM7" s="103"/>
      <c r="SN7" s="104"/>
      <c r="SO7" s="105"/>
      <c r="SP7" s="163" t="str">
        <f>IFERROR((((COUNTIF('Elève (3ème2)'!SM7:SO7,"A"))*4)+((COUNTIF('Elève (3ème2)'!SM7:SO7,"B"))*3)+((COUNTIF('Elève (3ème2)'!SM7:SO7,"C"))*2)+((COUNTIF('Elève (3ème2)'!SM7:SO7,"D"))*1))/(COUNTA(SM7:SO7)),"")</f>
        <v/>
      </c>
      <c r="SQ7" s="164" t="str">
        <f t="shared" si="121"/>
        <v/>
      </c>
      <c r="SR7" s="103"/>
      <c r="SS7" s="104"/>
      <c r="ST7" s="105"/>
      <c r="SU7" s="105"/>
      <c r="SV7" s="163" t="str">
        <f>IFERROR((((COUNTIF('Elève (3ème2)'!SR7:SU7,"A"))*4)+((COUNTIF('Elève (3ème2)'!SR7:SU7,"B"))*3)+((COUNTIF('Elève (3ème2)'!SR7:SU7,"C"))*2)+((COUNTIF('Elève (3ème2)'!SR7:SU7,"D"))*1))/(COUNTA(SR7:SU7)),"")</f>
        <v/>
      </c>
      <c r="SW7" s="164" t="str">
        <f t="shared" si="122"/>
        <v/>
      </c>
      <c r="SX7" s="103"/>
      <c r="SY7" s="104"/>
      <c r="SZ7" s="105"/>
      <c r="TA7" s="105"/>
      <c r="TB7" s="105"/>
      <c r="TC7" s="109"/>
      <c r="TD7" s="163" t="str">
        <f>IFERROR((((COUNTIF('Elève (3ème2)'!SX7:TC7,"A"))*4)+((COUNTIF('Elève (3ème2)'!SX7:TC7,"B"))*3)+((COUNTIF('Elève (3ème2)'!SX7:TC7,"C"))*2)+((COUNTIF('Elève (3ème2)'!SX7:TC7,"D"))*1))/(COUNTA(SX7:TC7)),"")</f>
        <v/>
      </c>
      <c r="TE7" s="164" t="str">
        <f t="shared" si="123"/>
        <v/>
      </c>
      <c r="TF7" s="163" t="str">
        <f>IF(COUNT(SP7,SV7,TD7)=0,"",SUM(SP7,SV7,TD7)/COUNT(SP7,SV7,TD7))</f>
        <v/>
      </c>
      <c r="TG7" s="187" t="str">
        <f t="shared" si="124"/>
        <v/>
      </c>
      <c r="TH7" s="103"/>
      <c r="TI7" s="104"/>
      <c r="TJ7" s="105"/>
      <c r="TK7" s="163" t="str">
        <f>IFERROR((((COUNTIF('Elève (3ème2)'!TH7:TJ7,"A"))*4)+((COUNTIF('Elève (3ème2)'!TH7:TJ7,"B"))*3)+((COUNTIF('Elève (3ème2)'!TH7:TJ7,"C"))*2)+((COUNTIF('Elève (3ème2)'!TH7:TJ7,"D"))*1))/(COUNTA(TH7:TJ7)),"")</f>
        <v/>
      </c>
      <c r="TL7" s="164" t="str">
        <f t="shared" si="125"/>
        <v/>
      </c>
      <c r="TM7" s="103"/>
      <c r="TN7" s="104"/>
      <c r="TO7" s="105"/>
      <c r="TP7" s="105"/>
      <c r="TQ7" s="163" t="str">
        <f>IFERROR((((COUNTIF('Elève (3ème2)'!TM7:TP7,"A"))*4)+((COUNTIF('Elève (3ème2)'!TM7:TP7,"B"))*3)+((COUNTIF('Elève (3ème2)'!TM7:TP7,"C"))*2)+((COUNTIF('Elève (3ème2)'!TM7:TP7,"D"))*1))/(COUNTA(TM7:TP7)),"")</f>
        <v/>
      </c>
      <c r="TR7" s="164" t="str">
        <f t="shared" si="126"/>
        <v/>
      </c>
      <c r="TS7" s="103"/>
      <c r="TT7" s="104"/>
      <c r="TU7" s="105"/>
      <c r="TV7" s="105"/>
      <c r="TW7" s="105"/>
      <c r="TX7" s="109"/>
      <c r="TY7" s="163" t="str">
        <f>IFERROR((((COUNTIF('Elève (3ème2)'!TS7:TX7,"A"))*4)+((COUNTIF('Elève (3ème2)'!TS7:TX7,"B"))*3)+((COUNTIF('Elève (3ème2)'!TS7:TX7,"C"))*2)+((COUNTIF('Elève (3ème2)'!TS7:TX7,"D"))*1))/(COUNTA(TS7:TX7)),"")</f>
        <v/>
      </c>
      <c r="TZ7" s="164" t="str">
        <f t="shared" si="127"/>
        <v/>
      </c>
      <c r="UA7" s="163" t="str">
        <f>IF(COUNT(TK7,TQ7,TY7)=0,"",SUM(TK7,TQ7,TY7)/COUNT(TK7,TQ7,TY7))</f>
        <v/>
      </c>
      <c r="UB7" s="187" t="str">
        <f t="shared" si="128"/>
        <v/>
      </c>
      <c r="UC7" s="103"/>
      <c r="UD7" s="104"/>
      <c r="UE7" s="105"/>
      <c r="UF7" s="106" t="str">
        <f>IFERROR((((COUNTIF('Elève (3ème2)'!UC7:UE7,"A"))*4)+((COUNTIF('Elève (3ème2)'!UC7:UE7,"B"))*3)+((COUNTIF('Elève (3ème2)'!UC7:UE7,"C"))*2)+((COUNTIF('Elève (3ème2)'!UC7:UE7,"D"))*1))/(COUNTA(UC7:UE7)),"")</f>
        <v/>
      </c>
      <c r="UG7" s="107" t="str">
        <f t="shared" si="129"/>
        <v/>
      </c>
      <c r="UH7" s="103"/>
      <c r="UI7" s="104"/>
      <c r="UJ7" s="105"/>
      <c r="UK7" s="106" t="str">
        <f>IFERROR((((COUNTIF('Elève (3ème2)'!UH7:UJ7,"A"))*4)+((COUNTIF('Elève (3ème2)'!UH7:UJ7,"B"))*3)+((COUNTIF('Elève (3ème2)'!UH7:UJ7,"C"))*2)+((COUNTIF('Elève (3ème2)'!UH7:UJ7,"D"))*1))/(COUNTA(UH7:UJ7)),"")</f>
        <v/>
      </c>
      <c r="UL7" s="107" t="str">
        <f t="shared" si="130"/>
        <v/>
      </c>
      <c r="UM7" s="103"/>
      <c r="UN7" s="104"/>
      <c r="UO7" s="109"/>
      <c r="UP7" s="106" t="str">
        <f>IFERROR((((COUNTIF('Elève (3ème2)'!UM7:UO7,"A"))*4)+((COUNTIF('Elève (3ème2)'!UM7:UO7,"B"))*3)+((COUNTIF('Elève (3ème2)'!UM7:UO7,"C"))*2)+((COUNTIF('Elève (3ème2)'!UM7:UO7,"D"))*1))/(COUNTA(UM7:UO7)),"")</f>
        <v/>
      </c>
      <c r="UQ7" s="107" t="str">
        <f t="shared" si="131"/>
        <v/>
      </c>
      <c r="UR7" s="106" t="str">
        <f>IF(COUNT(UF7,UK7,UP7)=0,"",SUM(UF7,UK7,UP7)/COUNT(UF7,UK7,UP7))</f>
        <v/>
      </c>
      <c r="US7" s="108" t="str">
        <f t="shared" si="132"/>
        <v/>
      </c>
      <c r="UT7" s="103"/>
      <c r="UU7" s="104"/>
      <c r="UV7" s="105"/>
      <c r="UW7" s="106" t="str">
        <f>IFERROR((((COUNTIF('Elève (3ème2)'!UT7:UV7,"A"))*4)+((COUNTIF('Elève (3ème2)'!UT7:UV7,"B"))*3)+((COUNTIF('Elève (3ème2)'!UT7:UV7,"C"))*2)+((COUNTIF('Elève (3ème2)'!UT7:UV7,"D"))*1))/(COUNTA(UT7:UV7)),"")</f>
        <v/>
      </c>
      <c r="UX7" s="107" t="str">
        <f t="shared" si="133"/>
        <v/>
      </c>
      <c r="UY7" s="103"/>
      <c r="UZ7" s="104"/>
      <c r="VA7" s="105"/>
      <c r="VB7" s="106" t="str">
        <f>IFERROR((((COUNTIF('Elève (3ème2)'!UY7:VA7,"A"))*4)+((COUNTIF('Elève (3ème2)'!UY7:VA7,"B"))*3)+((COUNTIF('Elève (3ème2)'!UY7:VA7,"C"))*2)+((COUNTIF('Elève (3ème2)'!UY7:VA7,"D"))*1))/(COUNTA(UY7:VA7)),"")</f>
        <v/>
      </c>
      <c r="VC7" s="107" t="str">
        <f t="shared" si="134"/>
        <v/>
      </c>
      <c r="VD7" s="103"/>
      <c r="VE7" s="104"/>
      <c r="VF7" s="109"/>
      <c r="VG7" s="106" t="str">
        <f>IFERROR((((COUNTIF('Elève (3ème2)'!VD7:VF7,"A"))*4)+((COUNTIF('Elève (3ème2)'!VD7:VF7,"B"))*3)+((COUNTIF('Elève (3ème2)'!VD7:VF7,"C"))*2)+((COUNTIF('Elève (3ème2)'!VD7:VF7,"D"))*1))/(COUNTA(VD7:VF7)),"")</f>
        <v/>
      </c>
      <c r="VH7" s="107" t="str">
        <f t="shared" si="135"/>
        <v/>
      </c>
      <c r="VI7" s="106" t="str">
        <f>IF(COUNT(UW7,VB7,VG7)=0,"",SUM(UW7,VB7,VG7)/COUNT(UW7,VB7,VG7))</f>
        <v/>
      </c>
      <c r="VJ7" s="108" t="str">
        <f t="shared" si="136"/>
        <v/>
      </c>
      <c r="VK7" s="103"/>
      <c r="VL7" s="104"/>
      <c r="VM7" s="105"/>
      <c r="VN7" s="106" t="str">
        <f>IFERROR((((COUNTIF('Elève (3ème2)'!VK7:VM7,"A"))*4)+((COUNTIF('Elève (3ème2)'!VK7:VM7,"B"))*3)+((COUNTIF('Elève (3ème2)'!VK7:VM7,"C"))*2)+((COUNTIF('Elève (3ème2)'!VK7:VM7,"D"))*1))/(COUNTA(VK7:VM7)),"")</f>
        <v/>
      </c>
      <c r="VO7" s="107" t="str">
        <f t="shared" si="137"/>
        <v/>
      </c>
      <c r="VP7" s="103"/>
      <c r="VQ7" s="104"/>
      <c r="VR7" s="105"/>
      <c r="VS7" s="106" t="str">
        <f>IFERROR((((COUNTIF('Elève (3ème2)'!VP7:VR7,"A"))*4)+((COUNTIF('Elève (3ème2)'!VP7:VR7,"B"))*3)+((COUNTIF('Elève (3ème2)'!VP7:VR7,"C"))*2)+((COUNTIF('Elève (3ème2)'!VP7:VR7,"D"))*1))/(COUNTA(VP7:VR7)),"")</f>
        <v/>
      </c>
      <c r="VT7" s="107" t="str">
        <f t="shared" si="138"/>
        <v/>
      </c>
      <c r="VU7" s="103"/>
      <c r="VV7" s="104"/>
      <c r="VW7" s="109"/>
      <c r="VX7" s="106" t="str">
        <f>IFERROR((((COUNTIF('Elève (3ème2)'!VU7:VW7,"A"))*4)+((COUNTIF('Elève (3ème2)'!VU7:VW7,"B"))*3)+((COUNTIF('Elève (3ème2)'!VU7:VW7,"C"))*2)+((COUNTIF('Elève (3ème2)'!VU7:VW7,"D"))*1))/(COUNTA(VU7:VW7)),"")</f>
        <v/>
      </c>
      <c r="VY7" s="107" t="str">
        <f t="shared" si="139"/>
        <v/>
      </c>
      <c r="VZ7" s="106" t="str">
        <f>IF(COUNT(VN7,VS7,VX7)=0,"",SUM(VN7,VS7,VX7)/COUNT(VN7,VS7,VX7))</f>
        <v/>
      </c>
      <c r="WA7" s="108" t="str">
        <f t="shared" si="140"/>
        <v/>
      </c>
      <c r="WB7" s="103"/>
      <c r="WC7" s="104"/>
      <c r="WD7" s="105"/>
      <c r="WE7" s="106" t="str">
        <f>IFERROR((((COUNTIF('Elève (3ème2)'!WB7:WD7,"A"))*4)+((COUNTIF('Elève (3ème2)'!WB7:WD7,"B"))*3)+((COUNTIF('Elève (3ème2)'!WB7:WD7,"C"))*2)+((COUNTIF('Elève (3ème2)'!WB7:WD7,"D"))*1))/(COUNTA(WB7:WD7)),"")</f>
        <v/>
      </c>
      <c r="WF7" s="107" t="str">
        <f t="shared" si="141"/>
        <v/>
      </c>
      <c r="WG7" s="103"/>
      <c r="WH7" s="104"/>
      <c r="WI7" s="105"/>
      <c r="WJ7" s="106" t="str">
        <f>IFERROR((((COUNTIF('Elève (3ème2)'!WG7:WI7,"A"))*4)+((COUNTIF('Elève (3ème2)'!WG7:WI7,"B"))*3)+((COUNTIF('Elève (3ème2)'!WG7:WI7,"C"))*2)+((COUNTIF('Elève (3ème2)'!WG7:WI7,"D"))*1))/(COUNTA(WG7:WI7)),"")</f>
        <v/>
      </c>
      <c r="WK7" s="107" t="str">
        <f t="shared" si="142"/>
        <v/>
      </c>
      <c r="WL7" s="103"/>
      <c r="WM7" s="104"/>
      <c r="WN7" s="109"/>
      <c r="WO7" s="106" t="str">
        <f>IFERROR((((COUNTIF('Elève (3ème2)'!WL7:WN7,"A"))*4)+((COUNTIF('Elève (3ème2)'!WL7:WN7,"B"))*3)+((COUNTIF('Elève (3ème2)'!WL7:WN7,"C"))*2)+((COUNTIF('Elève (3ème2)'!WL7:WN7,"D"))*1))/(COUNTA(WL7:WN7)),"")</f>
        <v/>
      </c>
      <c r="WP7" s="107" t="str">
        <f t="shared" si="143"/>
        <v/>
      </c>
      <c r="WQ7" s="106" t="str">
        <f>IF(COUNT(WE7,WJ7,WO7)=0,"",SUM(WE7,WJ7,WO7)/COUNT(WE7,WJ7,WO7))</f>
        <v/>
      </c>
      <c r="WR7" s="108" t="str">
        <f t="shared" si="144"/>
        <v/>
      </c>
    </row>
    <row r="8" spans="1:616" ht="18" customHeight="1" x14ac:dyDescent="0.55000000000000004">
      <c r="A8" s="221" t="s">
        <v>15</v>
      </c>
      <c r="B8" s="222"/>
      <c r="C8" s="103"/>
      <c r="D8" s="104"/>
      <c r="E8" s="105"/>
      <c r="F8" s="163" t="str">
        <f>IFERROR((((COUNTIF('Elève (3ème2)'!C8:E8,"A"))*4)+((COUNTIF('Elève (3ème2)'!C8:E8,"B"))*3)+((COUNTIF('Elève (3ème2)'!C8:E8,"C"))*2)+((COUNTIF('Elève (3ème2)'!C8:E8,"D"))*1))/(COUNTA(C8:E8)),"")</f>
        <v/>
      </c>
      <c r="G8" s="164" t="str">
        <f t="shared" si="25"/>
        <v/>
      </c>
      <c r="H8" s="103"/>
      <c r="I8" s="104"/>
      <c r="J8" s="105"/>
      <c r="K8" s="105"/>
      <c r="L8" s="163" t="str">
        <f>IFERROR((((COUNTIF('Elève (3ème2)'!H8:K8,"A"))*4)+((COUNTIF('Elève (3ème2)'!H8:K8,"B"))*3)+((COUNTIF('Elève (3ème2)'!H8:K8,"C"))*2)+((COUNTIF('Elève (3ème2)'!H8:K8,"D"))*1))/(COUNTA(H8:K8)),"")</f>
        <v/>
      </c>
      <c r="M8" s="164" t="str">
        <f t="shared" si="26"/>
        <v/>
      </c>
      <c r="N8" s="103"/>
      <c r="O8" s="104" t="s">
        <v>28</v>
      </c>
      <c r="P8" s="105"/>
      <c r="Q8" s="105"/>
      <c r="R8" s="105"/>
      <c r="S8" s="105"/>
      <c r="T8" s="163">
        <f>IFERROR((((COUNTIF('Elève (3ème2)'!N8:S8,"A"))*4)+((COUNTIF('Elève (3ème2)'!N8:S8,"B"))*3)+((COUNTIF('Elève (3ème2)'!N8:S8,"C"))*2)+((COUNTIF('Elève (3ème2)'!N8:S8,"D"))*1))/(COUNTA(N8:S8)),"")</f>
        <v>3</v>
      </c>
      <c r="U8" s="164" t="str">
        <f t="shared" si="27"/>
        <v>B</v>
      </c>
      <c r="V8" s="163">
        <f>IF(COUNT(F8,L8,T8)=0,"",SUM(F8,L8,T8)/COUNT(F8,L8,T8))</f>
        <v>3</v>
      </c>
      <c r="W8" s="187" t="str">
        <f t="shared" si="28"/>
        <v>B</v>
      </c>
      <c r="X8" s="103"/>
      <c r="Y8" s="104"/>
      <c r="Z8" s="105"/>
      <c r="AA8" s="163" t="str">
        <f>IFERROR((((COUNTIF('Elève (3ème2)'!X8:Z8,"A"))*4)+((COUNTIF('Elève (3ème2)'!X8:Z8,"B"))*3)+((COUNTIF('Elève (3ème2)'!X8:Z8,"C"))*2)+((COUNTIF('Elève (3ème2)'!X8:Z8,"D"))*1))/(COUNTA(X8:Z8)),"")</f>
        <v/>
      </c>
      <c r="AB8" s="164" t="str">
        <f t="shared" si="29"/>
        <v/>
      </c>
      <c r="AC8" s="103"/>
      <c r="AD8" s="104"/>
      <c r="AE8" s="105"/>
      <c r="AF8" s="105"/>
      <c r="AG8" s="163" t="str">
        <f>IFERROR((((COUNTIF('Elève (3ème2)'!AC8:AF8,"A"))*4)+((COUNTIF('Elève (3ème2)'!AC8:AF8,"B"))*3)+((COUNTIF('Elève (3ème2)'!AC8:AF8,"C"))*2)+((COUNTIF('Elève (3ème2)'!AC8:AF8,"D"))*1))/(COUNTA(AC8:AF8)),"")</f>
        <v/>
      </c>
      <c r="AH8" s="164" t="str">
        <f t="shared" si="30"/>
        <v/>
      </c>
      <c r="AI8" s="103"/>
      <c r="AJ8" s="104" t="s">
        <v>29</v>
      </c>
      <c r="AK8" s="105"/>
      <c r="AL8" s="105"/>
      <c r="AM8" s="105"/>
      <c r="AN8" s="109"/>
      <c r="AO8" s="163">
        <f>IFERROR((((COUNTIF('Elève (3ème2)'!AI8:AN8,"A"))*4)+((COUNTIF('Elève (3ème2)'!AI8:AN8,"B"))*3)+((COUNTIF('Elève (3ème2)'!AI8:AN8,"C"))*2)+((COUNTIF('Elève (3ème2)'!AI8:AN8,"D"))*1))/(COUNTA(AI8:AN8)),"")</f>
        <v>2</v>
      </c>
      <c r="AP8" s="164" t="str">
        <f t="shared" si="31"/>
        <v>C</v>
      </c>
      <c r="AQ8" s="163">
        <f>IF(COUNT(AA8,AG8,AO8)=0,"",SUM(AA8,AG8,AO8)/COUNT(AA8,AG8,AO8))</f>
        <v>2</v>
      </c>
      <c r="AR8" s="187" t="str">
        <f t="shared" si="32"/>
        <v>C</v>
      </c>
      <c r="AS8" s="103"/>
      <c r="AT8" s="104"/>
      <c r="AU8" s="105"/>
      <c r="AV8" s="163" t="str">
        <f>IFERROR((((COUNTIF('Elève (3ème2)'!AS8:AU8,"A"))*4)+((COUNTIF('Elève (3ème2)'!AS8:AU8,"B"))*3)+((COUNTIF('Elève (3ème2)'!AS8:AU8,"C"))*2)+((COUNTIF('Elève (3ème2)'!AS8:AU8,"D"))*1))/(COUNTA(AS8:AU8)),"")</f>
        <v/>
      </c>
      <c r="AW8" s="164" t="str">
        <f t="shared" si="33"/>
        <v/>
      </c>
      <c r="AX8" s="103"/>
      <c r="AY8" s="104"/>
      <c r="AZ8" s="105"/>
      <c r="BA8" s="105"/>
      <c r="BB8" s="163" t="str">
        <f>IFERROR((((COUNTIF('Elève (3ème2)'!AX8:BA8,"A"))*4)+((COUNTIF('Elève (3ème2)'!AX8:BA8,"B"))*3)+((COUNTIF('Elève (3ème2)'!AX8:BA8,"C"))*2)+((COUNTIF('Elève (3ème2)'!AX8:BA8,"D"))*1))/(COUNTA(AX8:BA8)),"")</f>
        <v/>
      </c>
      <c r="BC8" s="164" t="str">
        <f t="shared" si="34"/>
        <v/>
      </c>
      <c r="BD8" s="103"/>
      <c r="BE8" s="104" t="s">
        <v>30</v>
      </c>
      <c r="BF8" s="105" t="s">
        <v>29</v>
      </c>
      <c r="BG8" s="105"/>
      <c r="BH8" s="105"/>
      <c r="BI8" s="109"/>
      <c r="BJ8" s="163">
        <f>IFERROR((((COUNTIF('Elève (3ème2)'!BD8:BI8,"A"))*4)+((COUNTIF('Elève (3ème2)'!BD8:BI8,"B"))*3)+((COUNTIF('Elève (3ème2)'!BD8:BI8,"C"))*2)+((COUNTIF('Elève (3ème2)'!BD8:BI8,"D"))*1))/(COUNTA(BD8:BI8)),"")</f>
        <v>1.5</v>
      </c>
      <c r="BK8" s="164" t="str">
        <f t="shared" si="35"/>
        <v>D</v>
      </c>
      <c r="BL8" s="163">
        <f>IF(COUNT(AV8,BB8,BJ8)=0,"",SUM(AV8,BB8,BJ8)/COUNT(AV8,BB8,BJ8))</f>
        <v>1.5</v>
      </c>
      <c r="BM8" s="187" t="str">
        <f t="shared" si="36"/>
        <v>D</v>
      </c>
      <c r="BN8" s="103"/>
      <c r="BO8" s="104"/>
      <c r="BP8" s="105"/>
      <c r="BQ8" s="163" t="str">
        <f>IFERROR((((COUNTIF('Elève (3ème2)'!BN8:BP8,"A"))*4)+((COUNTIF('Elève (3ème2)'!BN8:BP8,"B"))*3)+((COUNTIF('Elève (3ème2)'!BN8:BP8,"C"))*2)+((COUNTIF('Elève (3ème2)'!BN8:BP8,"D"))*1))/(COUNTA(BN8:BP8)),"")</f>
        <v/>
      </c>
      <c r="BR8" s="164" t="str">
        <f t="shared" si="37"/>
        <v/>
      </c>
      <c r="BS8" s="103"/>
      <c r="BT8" s="104"/>
      <c r="BU8" s="105"/>
      <c r="BV8" s="105"/>
      <c r="BW8" s="163" t="str">
        <f>IFERROR((((COUNTIF('Elève (3ème2)'!BS8:BV8,"A"))*4)+((COUNTIF('Elève (3ème2)'!BS8:BV8,"B"))*3)+((COUNTIF('Elève (3ème2)'!BS8:BV8,"C"))*2)+((COUNTIF('Elève (3ème2)'!BS8:BV8,"D"))*1))/(COUNTA(BS8:BV8)),"")</f>
        <v/>
      </c>
      <c r="BX8" s="164" t="str">
        <f t="shared" si="38"/>
        <v/>
      </c>
      <c r="BY8" s="103"/>
      <c r="BZ8" s="104" t="s">
        <v>29</v>
      </c>
      <c r="CA8" s="105" t="s">
        <v>29</v>
      </c>
      <c r="CB8" s="105"/>
      <c r="CC8" s="105"/>
      <c r="CD8" s="109"/>
      <c r="CE8" s="163">
        <f>IFERROR((((COUNTIF('Elève (3ème2)'!BY8:CD8,"A"))*4)+((COUNTIF('Elève (3ème2)'!BY8:CD8,"B"))*3)+((COUNTIF('Elève (3ème2)'!BY8:CD8,"C"))*2)+((COUNTIF('Elève (3ème2)'!BY8:CD8,"D"))*1))/(COUNTA(BY8:CD8)),"")</f>
        <v>2</v>
      </c>
      <c r="CF8" s="164" t="str">
        <f t="shared" si="39"/>
        <v>C</v>
      </c>
      <c r="CG8" s="163">
        <f>IF(COUNT(BQ8,BW8,CE8)=0,"",SUM(BQ8,BW8,CE8)/COUNT(BQ8,BW8,CE8))</f>
        <v>2</v>
      </c>
      <c r="CH8" s="187" t="str">
        <f t="shared" si="40"/>
        <v>C</v>
      </c>
      <c r="CI8" s="103"/>
      <c r="CJ8" s="104"/>
      <c r="CK8" s="105"/>
      <c r="CL8" s="163" t="str">
        <f>IFERROR((((COUNTIF('Elève (3ème2)'!CI8:CK8,"A"))*4)+((COUNTIF('Elève (3ème2)'!CI8:CK8,"B"))*3)+((COUNTIF('Elève (3ème2)'!CI8:CK8,"C"))*2)+((COUNTIF('Elève (3ème2)'!CI8:CK8,"D"))*1))/(COUNTA(CI8:CK8)),"")</f>
        <v/>
      </c>
      <c r="CM8" s="164" t="str">
        <f t="shared" si="41"/>
        <v/>
      </c>
      <c r="CN8" s="103"/>
      <c r="CO8" s="104"/>
      <c r="CP8" s="105"/>
      <c r="CQ8" s="105"/>
      <c r="CR8" s="163" t="str">
        <f>IFERROR((((COUNTIF('Elève (3ème2)'!CN8:CQ8,"A"))*4)+((COUNTIF('Elève (3ème2)'!CN8:CQ8,"B"))*3)+((COUNTIF('Elève (3ème2)'!CN8:CQ8,"C"))*2)+((COUNTIF('Elève (3ème2)'!CN8:CQ8,"D"))*1))/(COUNTA(CN8:CQ8)),"")</f>
        <v/>
      </c>
      <c r="CS8" s="164" t="str">
        <f t="shared" si="42"/>
        <v/>
      </c>
      <c r="CT8" s="103"/>
      <c r="CU8" s="104" t="s">
        <v>30</v>
      </c>
      <c r="CV8" s="105" t="s">
        <v>28</v>
      </c>
      <c r="CW8" s="105"/>
      <c r="CX8" s="105"/>
      <c r="CY8" s="109"/>
      <c r="CZ8" s="163">
        <f>IFERROR((((COUNTIF('Elève (3ème2)'!CT8:CY8,"A"))*4)+((COUNTIF('Elève (3ème2)'!CT8:CY8,"B"))*3)+((COUNTIF('Elève (3ème2)'!CT8:CY8,"C"))*2)+((COUNTIF('Elève (3ème2)'!CT8:CY8,"D"))*1))/(COUNTA(CT8:CY8)),"")</f>
        <v>2</v>
      </c>
      <c r="DA8" s="164" t="str">
        <f t="shared" si="43"/>
        <v>C</v>
      </c>
      <c r="DB8" s="163">
        <f>IF(COUNT(CL8,CR8,CZ8)=0,"",SUM(CL8,CR8,CZ8)/COUNT(CL8,CR8,CZ8))</f>
        <v>2</v>
      </c>
      <c r="DC8" s="187" t="str">
        <f t="shared" si="44"/>
        <v>C</v>
      </c>
      <c r="DD8" s="103"/>
      <c r="DE8" s="104"/>
      <c r="DF8" s="105"/>
      <c r="DG8" s="163" t="str">
        <f>IFERROR((((COUNTIF('Elève (3ème2)'!DD8:DF8,"A"))*4)+((COUNTIF('Elève (3ème2)'!DD8:DF8,"B"))*3)+((COUNTIF('Elève (3ème2)'!DD8:DF8,"C"))*2)+((COUNTIF('Elève (3ème2)'!DD8:DF8,"D"))*1))/(COUNTA(DD8:DF8)),"")</f>
        <v/>
      </c>
      <c r="DH8" s="164" t="str">
        <f t="shared" si="45"/>
        <v/>
      </c>
      <c r="DI8" s="103"/>
      <c r="DJ8" s="104"/>
      <c r="DK8" s="105"/>
      <c r="DL8" s="105"/>
      <c r="DM8" s="163" t="str">
        <f>IFERROR((((COUNTIF('Elève (3ème2)'!DI8:DL8,"A"))*4)+((COUNTIF('Elève (3ème2)'!DI8:DL8,"B"))*3)+((COUNTIF('Elève (3ème2)'!DI8:DL8,"C"))*2)+((COUNTIF('Elève (3ème2)'!DI8:DL8,"D"))*1))/(COUNTA(DI8:DL8)),"")</f>
        <v/>
      </c>
      <c r="DN8" s="164" t="str">
        <f t="shared" si="46"/>
        <v/>
      </c>
      <c r="DO8" s="103"/>
      <c r="DP8" s="104" t="s">
        <v>30</v>
      </c>
      <c r="DQ8" s="105"/>
      <c r="DR8" s="105"/>
      <c r="DS8" s="105"/>
      <c r="DT8" s="109"/>
      <c r="DU8" s="163">
        <f>IFERROR((((COUNTIF('Elève (3ème2)'!DO8:DT8,"A"))*4)+((COUNTIF('Elève (3ème2)'!DO8:DT8,"B"))*3)+((COUNTIF('Elève (3ème2)'!DO8:DT8,"C"))*2)+((COUNTIF('Elève (3ème2)'!DO8:DT8,"D"))*1))/(COUNTA(DO8:DT8)),"")</f>
        <v>1</v>
      </c>
      <c r="DV8" s="164" t="str">
        <f t="shared" si="47"/>
        <v>D</v>
      </c>
      <c r="DW8" s="163">
        <f>IF(COUNT(DG8,DM8,DU8)=0,"",SUM(DG8,DM8,DU8)/COUNT(DG8,DM8,DU8))</f>
        <v>1</v>
      </c>
      <c r="DX8" s="187" t="str">
        <f t="shared" si="48"/>
        <v>D</v>
      </c>
      <c r="DY8" s="103"/>
      <c r="DZ8" s="104"/>
      <c r="EA8" s="105"/>
      <c r="EB8" s="163" t="str">
        <f>IFERROR((((COUNTIF('Elève (3ème2)'!DY8:EA8,"A"))*4)+((COUNTIF('Elève (3ème2)'!DY8:EA8,"B"))*3)+((COUNTIF('Elève (3ème2)'!DY8:EA8,"C"))*2)+((COUNTIF('Elève (3ème2)'!DY8:EA8,"D"))*1))/(COUNTA(DY8:EA8)),"")</f>
        <v/>
      </c>
      <c r="EC8" s="164" t="str">
        <f t="shared" si="49"/>
        <v/>
      </c>
      <c r="ED8" s="103"/>
      <c r="EE8" s="104"/>
      <c r="EF8" s="105"/>
      <c r="EG8" s="105"/>
      <c r="EH8" s="163" t="str">
        <f>IFERROR((((COUNTIF('Elève (3ème2)'!ED8:EG8,"A"))*4)+((COUNTIF('Elève (3ème2)'!ED8:EG8,"B"))*3)+((COUNTIF('Elève (3ème2)'!ED8:EG8,"C"))*2)+((COUNTIF('Elève (3ème2)'!ED8:EG8,"D"))*1))/(COUNTA(ED8:EG8)),"")</f>
        <v/>
      </c>
      <c r="EI8" s="164" t="str">
        <f t="shared" si="50"/>
        <v/>
      </c>
      <c r="EJ8" s="103"/>
      <c r="EK8" s="104" t="s">
        <v>29</v>
      </c>
      <c r="EL8" s="105" t="s">
        <v>28</v>
      </c>
      <c r="EM8" s="105"/>
      <c r="EN8" s="105"/>
      <c r="EO8" s="109"/>
      <c r="EP8" s="163">
        <f>IFERROR((((COUNTIF('Elève (3ème2)'!EJ8:EO8,"A"))*4)+((COUNTIF('Elève (3ème2)'!EJ8:EO8,"B"))*3)+((COUNTIF('Elève (3ème2)'!EJ8:EO8,"C"))*2)+((COUNTIF('Elève (3ème2)'!EJ8:EO8,"D"))*1))/(COUNTA(EJ8:EO8)),"")</f>
        <v>2.5</v>
      </c>
      <c r="EQ8" s="164" t="str">
        <f t="shared" si="51"/>
        <v>C</v>
      </c>
      <c r="ER8" s="163">
        <f>IF(COUNT(EB8,EH8,EP8)=0,"",SUM(EB8,EH8,EP8)/COUNT(EB8,EH8,EP8))</f>
        <v>2.5</v>
      </c>
      <c r="ES8" s="187" t="str">
        <f t="shared" si="52"/>
        <v>C</v>
      </c>
      <c r="ET8" s="103"/>
      <c r="EU8" s="104"/>
      <c r="EV8" s="105"/>
      <c r="EW8" s="163" t="str">
        <f>IFERROR((((COUNTIF('Elève (3ème2)'!ET8:EV8,"A"))*4)+((COUNTIF('Elève (3ème2)'!ET8:EV8,"B"))*3)+((COUNTIF('Elève (3ème2)'!ET8:EV8,"C"))*2)+((COUNTIF('Elève (3ème2)'!ET8:EV8,"D"))*1))/(COUNTA(ET8:EV8)),"")</f>
        <v/>
      </c>
      <c r="EX8" s="164" t="str">
        <f t="shared" si="53"/>
        <v/>
      </c>
      <c r="EY8" s="103"/>
      <c r="EZ8" s="104"/>
      <c r="FA8" s="105"/>
      <c r="FB8" s="105"/>
      <c r="FC8" s="163" t="str">
        <f>IFERROR((((COUNTIF('Elève (3ème2)'!EY8:FB8,"A"))*4)+((COUNTIF('Elève (3ème2)'!EY8:FB8,"B"))*3)+((COUNTIF('Elève (3ème2)'!EY8:FB8,"C"))*2)+((COUNTIF('Elève (3ème2)'!EY8:FB8,"D"))*1))/(COUNTA(EY8:FB8)),"")</f>
        <v/>
      </c>
      <c r="FD8" s="164" t="str">
        <f t="shared" si="54"/>
        <v/>
      </c>
      <c r="FE8" s="103"/>
      <c r="FF8" s="104" t="s">
        <v>29</v>
      </c>
      <c r="FG8" s="105" t="s">
        <v>29</v>
      </c>
      <c r="FH8" s="105"/>
      <c r="FI8" s="105"/>
      <c r="FJ8" s="109"/>
      <c r="FK8" s="163">
        <f>IFERROR((((COUNTIF('Elève (3ème2)'!FE8:FJ8,"A"))*4)+((COUNTIF('Elève (3ème2)'!FE8:FJ8,"B"))*3)+((COUNTIF('Elève (3ème2)'!FE8:FJ8,"C"))*2)+((COUNTIF('Elève (3ème2)'!FE8:FJ8,"D"))*1))/(COUNTA(FE8:FJ8)),"")</f>
        <v>2</v>
      </c>
      <c r="FL8" s="164" t="str">
        <f t="shared" si="55"/>
        <v>C</v>
      </c>
      <c r="FM8" s="163">
        <f>IF(COUNT(EW8,FC8,FK8)=0,"",SUM(EW8,FC8,FK8)/COUNT(EW8,FC8,FK8))</f>
        <v>2</v>
      </c>
      <c r="FN8" s="187" t="str">
        <f t="shared" si="56"/>
        <v>C</v>
      </c>
      <c r="FO8" s="103"/>
      <c r="FP8" s="104"/>
      <c r="FQ8" s="105"/>
      <c r="FR8" s="163" t="str">
        <f>IFERROR((((COUNTIF('Elève (3ème2)'!FO8:FQ8,"A"))*4)+((COUNTIF('Elève (3ème2)'!FO8:FQ8,"B"))*3)+((COUNTIF('Elève (3ème2)'!FO8:FQ8,"C"))*2)+((COUNTIF('Elève (3ème2)'!FO8:FQ8,"D"))*1))/(COUNTA(FO8:FQ8)),"")</f>
        <v/>
      </c>
      <c r="FS8" s="164" t="str">
        <f t="shared" si="57"/>
        <v/>
      </c>
      <c r="FT8" s="103"/>
      <c r="FU8" s="104"/>
      <c r="FV8" s="105"/>
      <c r="FW8" s="105"/>
      <c r="FX8" s="163" t="str">
        <f>IFERROR((((COUNTIF('Elève (3ème2)'!FT8:FW8,"A"))*4)+((COUNTIF('Elève (3ème2)'!FT8:FW8,"B"))*3)+((COUNTIF('Elève (3ème2)'!FT8:FW8,"C"))*2)+((COUNTIF('Elève (3ème2)'!FT8:FW8,"D"))*1))/(COUNTA(FT8:FW8)),"")</f>
        <v/>
      </c>
      <c r="FY8" s="164" t="str">
        <f t="shared" si="58"/>
        <v/>
      </c>
      <c r="FZ8" s="103"/>
      <c r="GA8" s="104" t="s">
        <v>30</v>
      </c>
      <c r="GB8" s="105" t="s">
        <v>29</v>
      </c>
      <c r="GC8" s="105"/>
      <c r="GD8" s="105"/>
      <c r="GE8" s="109"/>
      <c r="GF8" s="163">
        <f>IFERROR((((COUNTIF('Elève (3ème2)'!FZ8:GE8,"A"))*4)+((COUNTIF('Elève (3ème2)'!FZ8:GE8,"B"))*3)+((COUNTIF('Elève (3ème2)'!FZ8:GE8,"C"))*2)+((COUNTIF('Elève (3ème2)'!FZ8:GE8,"D"))*1))/(COUNTA(FZ8:GE8)),"")</f>
        <v>1.5</v>
      </c>
      <c r="GG8" s="164" t="str">
        <f t="shared" si="59"/>
        <v>D</v>
      </c>
      <c r="GH8" s="163">
        <f>IF(COUNT(FR8,FX8,GF8)=0,"",SUM(FR8,FX8,GF8)/COUNT(FR8,FX8,GF8))</f>
        <v>1.5</v>
      </c>
      <c r="GI8" s="187" t="str">
        <f t="shared" si="60"/>
        <v>D</v>
      </c>
      <c r="GJ8" s="103"/>
      <c r="GK8" s="104"/>
      <c r="GL8" s="105"/>
      <c r="GM8" s="163" t="str">
        <f>IFERROR((((COUNTIF('Elève (3ème2)'!GJ8:GL8,"A"))*4)+((COUNTIF('Elève (3ème2)'!GJ8:GL8,"B"))*3)+((COUNTIF('Elève (3ème2)'!GJ8:GL8,"C"))*2)+((COUNTIF('Elève (3ème2)'!GJ8:GL8,"D"))*1))/(COUNTA(GJ8:GL8)),"")</f>
        <v/>
      </c>
      <c r="GN8" s="164" t="str">
        <f t="shared" si="61"/>
        <v/>
      </c>
      <c r="GO8" s="103"/>
      <c r="GP8" s="104"/>
      <c r="GQ8" s="105"/>
      <c r="GR8" s="105"/>
      <c r="GS8" s="163" t="str">
        <f>IFERROR((((COUNTIF('Elève (3ème2)'!GO8:GR8,"A"))*4)+((COUNTIF('Elève (3ème2)'!GO8:GR8,"B"))*3)+((COUNTIF('Elève (3ème2)'!GO8:GR8,"C"))*2)+((COUNTIF('Elève (3ème2)'!GO8:GR8,"D"))*1))/(COUNTA(GO8:GR8)),"")</f>
        <v/>
      </c>
      <c r="GT8" s="164" t="str">
        <f t="shared" si="62"/>
        <v/>
      </c>
      <c r="GU8" s="103"/>
      <c r="GV8" s="104" t="s">
        <v>29</v>
      </c>
      <c r="GW8" s="105" t="s">
        <v>29</v>
      </c>
      <c r="GX8" s="105"/>
      <c r="GY8" s="105"/>
      <c r="GZ8" s="109"/>
      <c r="HA8" s="163">
        <f>IFERROR((((COUNTIF('Elève (3ème2)'!GU8:GZ8,"A"))*4)+((COUNTIF('Elève (3ème2)'!GU8:GZ8,"B"))*3)+((COUNTIF('Elève (3ème2)'!GU8:GZ8,"C"))*2)+((COUNTIF('Elève (3ème2)'!GU8:GZ8,"D"))*1))/(COUNTA(GU8:GZ8)),"")</f>
        <v>2</v>
      </c>
      <c r="HB8" s="164" t="str">
        <f t="shared" si="63"/>
        <v>C</v>
      </c>
      <c r="HC8" s="163">
        <f>IF(COUNT(GM8,GS8,HA8)=0,"",SUM(GM8,GS8,HA8)/COUNT(GM8,GS8,HA8))</f>
        <v>2</v>
      </c>
      <c r="HD8" s="187" t="str">
        <f t="shared" si="64"/>
        <v>C</v>
      </c>
      <c r="HE8" s="103"/>
      <c r="HF8" s="104"/>
      <c r="HG8" s="105"/>
      <c r="HH8" s="163" t="str">
        <f>IFERROR((((COUNTIF('Elève (3ème2)'!HE8:HG8,"A"))*4)+((COUNTIF('Elève (3ème2)'!HE8:HG8,"B"))*3)+((COUNTIF('Elève (3ème2)'!HE8:HG8,"C"))*2)+((COUNTIF('Elève (3ème2)'!HE8:HG8,"D"))*1))/(COUNTA(HE8:HG8)),"")</f>
        <v/>
      </c>
      <c r="HI8" s="164" t="str">
        <f t="shared" si="65"/>
        <v/>
      </c>
      <c r="HJ8" s="103"/>
      <c r="HK8" s="104"/>
      <c r="HL8" s="105"/>
      <c r="HM8" s="105"/>
      <c r="HN8" s="163" t="str">
        <f>IFERROR((((COUNTIF('Elève (3ème2)'!HJ8:HM8,"A"))*4)+((COUNTIF('Elève (3ème2)'!HJ8:HM8,"B"))*3)+((COUNTIF('Elève (3ème2)'!HJ8:HM8,"C"))*2)+((COUNTIF('Elève (3ème2)'!HJ8:HM8,"D"))*1))/(COUNTA(HJ8:HM8)),"")</f>
        <v/>
      </c>
      <c r="HO8" s="164" t="str">
        <f t="shared" si="66"/>
        <v/>
      </c>
      <c r="HP8" s="103"/>
      <c r="HQ8" s="104" t="s">
        <v>30</v>
      </c>
      <c r="HR8" s="105" t="s">
        <v>28</v>
      </c>
      <c r="HS8" s="105"/>
      <c r="HT8" s="105"/>
      <c r="HU8" s="109"/>
      <c r="HV8" s="163">
        <f>IFERROR((((COUNTIF('Elève (3ème2)'!HP8:HU8,"A"))*4)+((COUNTIF('Elève (3ème2)'!HP8:HU8,"B"))*3)+((COUNTIF('Elève (3ème2)'!HP8:HU8,"C"))*2)+((COUNTIF('Elève (3ème2)'!HP8:HU8,"D"))*1))/(COUNTA(HP8:HU8)),"")</f>
        <v>2</v>
      </c>
      <c r="HW8" s="164" t="str">
        <f t="shared" si="67"/>
        <v>C</v>
      </c>
      <c r="HX8" s="163">
        <f>IF(COUNT(HH8,HN8,HV8)=0,"",SUM(HH8,HN8,HV8)/COUNT(HH8,HN8,HV8))</f>
        <v>2</v>
      </c>
      <c r="HY8" s="187" t="str">
        <f t="shared" si="68"/>
        <v>C</v>
      </c>
      <c r="HZ8" s="103"/>
      <c r="IA8" s="104"/>
      <c r="IB8" s="105"/>
      <c r="IC8" s="163" t="str">
        <f>IFERROR((((COUNTIF('Elève (3ème2)'!HZ8:IB8,"A"))*4)+((COUNTIF('Elève (3ème2)'!HZ8:IB8,"B"))*3)+((COUNTIF('Elève (3ème2)'!HZ8:IB8,"C"))*2)+((COUNTIF('Elève (3ème2)'!HZ8:IB8,"D"))*1))/(COUNTA(HZ8:IB8)),"")</f>
        <v/>
      </c>
      <c r="ID8" s="164" t="str">
        <f t="shared" si="69"/>
        <v/>
      </c>
      <c r="IE8" s="103"/>
      <c r="IF8" s="104"/>
      <c r="IG8" s="105"/>
      <c r="IH8" s="105"/>
      <c r="II8" s="163" t="str">
        <f>IFERROR((((COUNTIF('Elève (3ème2)'!IE8:IH8,"A"))*4)+((COUNTIF('Elève (3ème2)'!IE8:IH8,"B"))*3)+((COUNTIF('Elève (3ème2)'!IE8:IH8,"C"))*2)+((COUNTIF('Elève (3ème2)'!IE8:IH8,"D"))*1))/(COUNTA(IE8:IH8)),"")</f>
        <v/>
      </c>
      <c r="IJ8" s="164" t="str">
        <f t="shared" si="70"/>
        <v/>
      </c>
      <c r="IK8" s="103"/>
      <c r="IL8" s="104" t="s">
        <v>28</v>
      </c>
      <c r="IM8" s="105"/>
      <c r="IN8" s="105"/>
      <c r="IO8" s="105"/>
      <c r="IP8" s="109"/>
      <c r="IQ8" s="163">
        <f>IFERROR((((COUNTIF('Elève (3ème2)'!IK8:IP8,"A"))*4)+((COUNTIF('Elève (3ème2)'!IK8:IP8,"B"))*3)+((COUNTIF('Elève (3ème2)'!IK8:IP8,"C"))*2)+((COUNTIF('Elève (3ème2)'!IK8:IP8,"D"))*1))/(COUNTA(IK8:IP8)),"")</f>
        <v>3</v>
      </c>
      <c r="IR8" s="164" t="str">
        <f t="shared" si="71"/>
        <v>B</v>
      </c>
      <c r="IS8" s="163">
        <f>IF(COUNT(IC8,II8,IQ8)=0,"",SUM(IC8,II8,IQ8)/COUNT(IC8,II8,IQ8))</f>
        <v>3</v>
      </c>
      <c r="IT8" s="187" t="str">
        <f t="shared" si="72"/>
        <v>B</v>
      </c>
      <c r="IU8" s="103"/>
      <c r="IV8" s="104"/>
      <c r="IW8" s="105"/>
      <c r="IX8" s="163" t="str">
        <f>IFERROR((((COUNTIF('Elève (3ème2)'!IU8:IW8,"A"))*4)+((COUNTIF('Elève (3ème2)'!IU8:IW8,"B"))*3)+((COUNTIF('Elève (3ème2)'!IU8:IW8,"C"))*2)+((COUNTIF('Elève (3ème2)'!IU8:IW8,"D"))*1))/(COUNTA(IU8:IW8)),"")</f>
        <v/>
      </c>
      <c r="IY8" s="164" t="str">
        <f t="shared" si="73"/>
        <v/>
      </c>
      <c r="IZ8" s="103"/>
      <c r="JA8" s="104"/>
      <c r="JB8" s="105"/>
      <c r="JC8" s="105"/>
      <c r="JD8" s="163" t="str">
        <f>IFERROR((((COUNTIF('Elève (3ème2)'!IZ8:JC8,"A"))*4)+((COUNTIF('Elève (3ème2)'!IZ8:JC8,"B"))*3)+((COUNTIF('Elève (3ème2)'!IZ8:JC8,"C"))*2)+((COUNTIF('Elève (3ème2)'!IZ8:JC8,"D"))*1))/(COUNTA(IZ8:JC8)),"")</f>
        <v/>
      </c>
      <c r="JE8" s="164" t="str">
        <f t="shared" si="74"/>
        <v/>
      </c>
      <c r="JF8" s="103"/>
      <c r="JG8" s="104" t="s">
        <v>29</v>
      </c>
      <c r="JH8" s="105"/>
      <c r="JI8" s="105"/>
      <c r="JJ8" s="105"/>
      <c r="JK8" s="109"/>
      <c r="JL8" s="163">
        <f>IFERROR((((COUNTIF('Elève (3ème2)'!JF8:JK8,"A"))*4)+((COUNTIF('Elève (3ème2)'!JF8:JK8,"B"))*3)+((COUNTIF('Elève (3ème2)'!JF8:JK8,"C"))*2)+((COUNTIF('Elève (3ème2)'!JF8:JK8,"D"))*1))/(COUNTA(JF8:JK8)),"")</f>
        <v>2</v>
      </c>
      <c r="JM8" s="164" t="str">
        <f t="shared" si="75"/>
        <v>C</v>
      </c>
      <c r="JN8" s="163">
        <f>IF(COUNT(IX8,JD8,JL8)=0,"",SUM(IX8,JD8,JL8)/COUNT(IX8,JD8,JL8))</f>
        <v>2</v>
      </c>
      <c r="JO8" s="187" t="str">
        <f t="shared" si="76"/>
        <v>C</v>
      </c>
      <c r="JP8" s="103"/>
      <c r="JQ8" s="104"/>
      <c r="JR8" s="105"/>
      <c r="JS8" s="163" t="str">
        <f>IFERROR((((COUNTIF('Elève (3ème2)'!JP8:JR8,"A"))*4)+((COUNTIF('Elève (3ème2)'!JP8:JR8,"B"))*3)+((COUNTIF('Elève (3ème2)'!JP8:JR8,"C"))*2)+((COUNTIF('Elève (3ème2)'!JP8:JR8,"D"))*1))/(COUNTA(JP8:JR8)),"")</f>
        <v/>
      </c>
      <c r="JT8" s="164" t="str">
        <f t="shared" si="77"/>
        <v/>
      </c>
      <c r="JU8" s="103"/>
      <c r="JV8" s="104"/>
      <c r="JW8" s="105"/>
      <c r="JX8" s="105"/>
      <c r="JY8" s="163" t="str">
        <f>IFERROR((((COUNTIF('Elève (3ème2)'!JU8:JX8,"A"))*4)+((COUNTIF('Elève (3ème2)'!JU8:JX8,"B"))*3)+((COUNTIF('Elève (3ème2)'!JU8:JX8,"C"))*2)+((COUNTIF('Elève (3ème2)'!JU8:JX8,"D"))*1))/(COUNTA(JU8:JX8)),"")</f>
        <v/>
      </c>
      <c r="JZ8" s="164" t="str">
        <f t="shared" si="78"/>
        <v/>
      </c>
      <c r="KA8" s="103"/>
      <c r="KB8" s="104" t="s">
        <v>29</v>
      </c>
      <c r="KC8" s="105" t="s">
        <v>28</v>
      </c>
      <c r="KD8" s="105"/>
      <c r="KE8" s="105"/>
      <c r="KF8" s="109"/>
      <c r="KG8" s="163">
        <f>IFERROR((((COUNTIF('Elève (3ème2)'!KA8:KF8,"A"))*4)+((COUNTIF('Elève (3ème2)'!KA8:KF8,"B"))*3)+((COUNTIF('Elève (3ème2)'!KA8:KF8,"C"))*2)+((COUNTIF('Elève (3ème2)'!KA8:KF8,"D"))*1))/(COUNTA(KA8:KF8)),"")</f>
        <v>2.5</v>
      </c>
      <c r="KH8" s="164" t="str">
        <f t="shared" si="79"/>
        <v>C</v>
      </c>
      <c r="KI8" s="163">
        <f>IF(COUNT(JS8,JY8,KG8)=0,"",SUM(JS8,JY8,KG8)/COUNT(JS8,JY8,KG8))</f>
        <v>2.5</v>
      </c>
      <c r="KJ8" s="187" t="str">
        <f t="shared" si="80"/>
        <v>C</v>
      </c>
      <c r="KK8" s="103"/>
      <c r="KL8" s="104"/>
      <c r="KM8" s="105"/>
      <c r="KN8" s="163" t="str">
        <f>IFERROR((((COUNTIF('Elève (3ème2)'!KK8:KM8,"A"))*4)+((COUNTIF('Elève (3ème2)'!KK8:KM8,"B"))*3)+((COUNTIF('Elève (3ème2)'!KK8:KM8,"C"))*2)+((COUNTIF('Elève (3ème2)'!KK8:KM8,"D"))*1))/(COUNTA(KK8:KM8)),"")</f>
        <v/>
      </c>
      <c r="KO8" s="164" t="str">
        <f t="shared" si="81"/>
        <v/>
      </c>
      <c r="KP8" s="103"/>
      <c r="KQ8" s="104"/>
      <c r="KR8" s="105"/>
      <c r="KS8" s="105"/>
      <c r="KT8" s="163" t="str">
        <f>IFERROR((((COUNTIF('Elève (3ème2)'!KP8:KS8,"A"))*4)+((COUNTIF('Elève (3ème2)'!KP8:KS8,"B"))*3)+((COUNTIF('Elève (3ème2)'!KP8:KS8,"C"))*2)+((COUNTIF('Elève (3ème2)'!KP8:KS8,"D"))*1))/(COUNTA(KP8:KS8)),"")</f>
        <v/>
      </c>
      <c r="KU8" s="164" t="str">
        <f t="shared" si="82"/>
        <v/>
      </c>
      <c r="KV8" s="103"/>
      <c r="KW8" s="104" t="s">
        <v>29</v>
      </c>
      <c r="KX8" s="105" t="s">
        <v>29</v>
      </c>
      <c r="KY8" s="105"/>
      <c r="KZ8" s="105"/>
      <c r="LA8" s="109"/>
      <c r="LB8" s="163">
        <f>IFERROR((((COUNTIF('Elève (3ème2)'!KV8:LA8,"A"))*4)+((COUNTIF('Elève (3ème2)'!KV8:LA8,"B"))*3)+((COUNTIF('Elève (3ème2)'!KV8:LA8,"C"))*2)+((COUNTIF('Elève (3ème2)'!KV8:LA8,"D"))*1))/(COUNTA(KV8:LA8)),"")</f>
        <v>2</v>
      </c>
      <c r="LC8" s="164" t="str">
        <f t="shared" si="83"/>
        <v>C</v>
      </c>
      <c r="LD8" s="163">
        <f>IF(COUNT(KN8,KT8,LB8)=0,"",SUM(KN8,KT8,LB8)/COUNT(KN8,KT8,LB8))</f>
        <v>2</v>
      </c>
      <c r="LE8" s="187" t="str">
        <f t="shared" si="84"/>
        <v>C</v>
      </c>
      <c r="LF8" s="103"/>
      <c r="LG8" s="104"/>
      <c r="LH8" s="105"/>
      <c r="LI8" s="163" t="str">
        <f>IFERROR((((COUNTIF('Elève (3ème2)'!LF8:LH8,"A"))*4)+((COUNTIF('Elève (3ème2)'!LF8:LH8,"B"))*3)+((COUNTIF('Elève (3ème2)'!LF8:LH8,"C"))*2)+((COUNTIF('Elève (3ème2)'!LF8:LH8,"D"))*1))/(COUNTA(LF8:LH8)),"")</f>
        <v/>
      </c>
      <c r="LJ8" s="164" t="str">
        <f t="shared" si="85"/>
        <v/>
      </c>
      <c r="LK8" s="103"/>
      <c r="LL8" s="104"/>
      <c r="LM8" s="105"/>
      <c r="LN8" s="105"/>
      <c r="LO8" s="163" t="str">
        <f>IFERROR((((COUNTIF('Elève (3ème2)'!LK8:LN8,"A"))*4)+((COUNTIF('Elève (3ème2)'!LK8:LN8,"B"))*3)+((COUNTIF('Elève (3ème2)'!LK8:LN8,"C"))*2)+((COUNTIF('Elève (3ème2)'!LK8:LN8,"D"))*1))/(COUNTA(LK8:LN8)),"")</f>
        <v/>
      </c>
      <c r="LP8" s="164" t="str">
        <f t="shared" si="86"/>
        <v/>
      </c>
      <c r="LQ8" s="103"/>
      <c r="LR8" s="104" t="s">
        <v>30</v>
      </c>
      <c r="LS8" s="105" t="s">
        <v>29</v>
      </c>
      <c r="LT8" s="105"/>
      <c r="LU8" s="105"/>
      <c r="LV8" s="109"/>
      <c r="LW8" s="163">
        <f>IFERROR((((COUNTIF('Elève (3ème2)'!LQ8:LV8,"A"))*4)+((COUNTIF('Elève (3ème2)'!LQ8:LV8,"B"))*3)+((COUNTIF('Elève (3ème2)'!LQ8:LV8,"C"))*2)+((COUNTIF('Elève (3ème2)'!LQ8:LV8,"D"))*1))/(COUNTA(LQ8:LV8)),"")</f>
        <v>1.5</v>
      </c>
      <c r="LX8" s="164" t="str">
        <f t="shared" si="87"/>
        <v>D</v>
      </c>
      <c r="LY8" s="163">
        <f>IF(COUNT(LI8,LO8,LW8)=0,"",SUM(LI8,LO8,LW8)/COUNT(LI8,LO8,LW8))</f>
        <v>1.5</v>
      </c>
      <c r="LZ8" s="187" t="str">
        <f t="shared" si="88"/>
        <v>D</v>
      </c>
      <c r="MA8" s="103"/>
      <c r="MB8" s="104"/>
      <c r="MC8" s="105"/>
      <c r="MD8" s="163" t="str">
        <f>IFERROR((((COUNTIF('Elève (3ème2)'!MA8:MC8,"A"))*4)+((COUNTIF('Elève (3ème2)'!MA8:MC8,"B"))*3)+((COUNTIF('Elève (3ème2)'!MA8:MC8,"C"))*2)+((COUNTIF('Elève (3ème2)'!MA8:MC8,"D"))*1))/(COUNTA(MA8:MC8)),"")</f>
        <v/>
      </c>
      <c r="ME8" s="164" t="str">
        <f t="shared" si="89"/>
        <v/>
      </c>
      <c r="MF8" s="103"/>
      <c r="MG8" s="104"/>
      <c r="MH8" s="105"/>
      <c r="MI8" s="105"/>
      <c r="MJ8" s="163" t="str">
        <f>IFERROR((((COUNTIF('Elève (3ème2)'!MF8:MI8,"A"))*4)+((COUNTIF('Elève (3ème2)'!MF8:MI8,"B"))*3)+((COUNTIF('Elève (3ème2)'!MF8:MI8,"C"))*2)+((COUNTIF('Elève (3ème2)'!MF8:MI8,"D"))*1))/(COUNTA(MF8:MI8)),"")</f>
        <v/>
      </c>
      <c r="MK8" s="164" t="str">
        <f t="shared" si="90"/>
        <v/>
      </c>
      <c r="ML8" s="103"/>
      <c r="MM8" s="104" t="s">
        <v>28</v>
      </c>
      <c r="MN8" s="105" t="s">
        <v>28</v>
      </c>
      <c r="MO8" s="105"/>
      <c r="MP8" s="105"/>
      <c r="MQ8" s="109"/>
      <c r="MR8" s="163">
        <f>IFERROR((((COUNTIF('Elève (3ème2)'!ML8:MQ8,"A"))*4)+((COUNTIF('Elève (3ème2)'!ML8:MQ8,"B"))*3)+((COUNTIF('Elève (3ème2)'!ML8:MQ8,"C"))*2)+((COUNTIF('Elève (3ème2)'!ML8:MQ8,"D"))*1))/(COUNTA(ML8:MQ8)),"")</f>
        <v>3</v>
      </c>
      <c r="MS8" s="164" t="str">
        <f t="shared" si="91"/>
        <v>B</v>
      </c>
      <c r="MT8" s="163">
        <f>IF(COUNT(MD8,MJ8,MR8)=0,"",SUM(MD8,MJ8,MR8)/COUNT(MD8,MJ8,MR8))</f>
        <v>3</v>
      </c>
      <c r="MU8" s="187" t="str">
        <f t="shared" si="92"/>
        <v>B</v>
      </c>
      <c r="MV8" s="103"/>
      <c r="MW8" s="104"/>
      <c r="MX8" s="105"/>
      <c r="MY8" s="163" t="str">
        <f>IFERROR((((COUNTIF('Elève (3ème2)'!MV8:MX8,"A"))*4)+((COUNTIF('Elève (3ème2)'!MV8:MX8,"B"))*3)+((COUNTIF('Elève (3ème2)'!MV8:MX8,"C"))*2)+((COUNTIF('Elève (3ème2)'!MV8:MX8,"D"))*1))/(COUNTA(MV8:MX8)),"")</f>
        <v/>
      </c>
      <c r="MZ8" s="164" t="str">
        <f t="shared" si="93"/>
        <v/>
      </c>
      <c r="NA8" s="103"/>
      <c r="NB8" s="104"/>
      <c r="NC8" s="105"/>
      <c r="ND8" s="105"/>
      <c r="NE8" s="163" t="str">
        <f>IFERROR((((COUNTIF('Elève (3ème2)'!NA8:ND8,"A"))*4)+((COUNTIF('Elève (3ème2)'!NA8:ND8,"B"))*3)+((COUNTIF('Elève (3ème2)'!NA8:ND8,"C"))*2)+((COUNTIF('Elève (3ème2)'!NA8:ND8,"D"))*1))/(COUNTA(NA8:ND8)),"")</f>
        <v/>
      </c>
      <c r="NF8" s="164" t="str">
        <f t="shared" si="94"/>
        <v/>
      </c>
      <c r="NG8" s="103"/>
      <c r="NH8" s="104" t="s">
        <v>27</v>
      </c>
      <c r="NI8" s="105" t="s">
        <v>29</v>
      </c>
      <c r="NJ8" s="105"/>
      <c r="NK8" s="105"/>
      <c r="NL8" s="109"/>
      <c r="NM8" s="163">
        <f>IFERROR((((COUNTIF('Elève (3ème2)'!NG8:NL8,"A"))*4)+((COUNTIF('Elève (3ème2)'!NG8:NL8,"B"))*3)+((COUNTIF('Elève (3ème2)'!NG8:NL8,"C"))*2)+((COUNTIF('Elève (3ème2)'!NG8:NL8,"D"))*1))/(COUNTA(NG8:NL8)),"")</f>
        <v>3</v>
      </c>
      <c r="NN8" s="164" t="str">
        <f t="shared" si="95"/>
        <v>B</v>
      </c>
      <c r="NO8" s="163">
        <f>IF(COUNT(MY8,NE8,NM8)=0,"",SUM(MY8,NE8,NM8)/COUNT(MY8,NE8,NM8))</f>
        <v>3</v>
      </c>
      <c r="NP8" s="187" t="str">
        <f t="shared" si="96"/>
        <v>B</v>
      </c>
      <c r="NQ8" s="103"/>
      <c r="NR8" s="104"/>
      <c r="NS8" s="105"/>
      <c r="NT8" s="163" t="str">
        <f>IFERROR((((COUNTIF('Elève (3ème2)'!NQ8:NS8,"A"))*4)+((COUNTIF('Elève (3ème2)'!NQ8:NS8,"B"))*3)+((COUNTIF('Elève (3ème2)'!NQ8:NS8,"C"))*2)+((COUNTIF('Elève (3ème2)'!NQ8:NS8,"D"))*1))/(COUNTA(NQ8:NS8)),"")</f>
        <v/>
      </c>
      <c r="NU8" s="164" t="str">
        <f t="shared" si="97"/>
        <v/>
      </c>
      <c r="NV8" s="103"/>
      <c r="NW8" s="104"/>
      <c r="NX8" s="105"/>
      <c r="NY8" s="105"/>
      <c r="NZ8" s="163" t="str">
        <f>IFERROR((((COUNTIF('Elève (3ème2)'!NV8:NY8,"A"))*4)+((COUNTIF('Elève (3ème2)'!NV8:NY8,"B"))*3)+((COUNTIF('Elève (3ème2)'!NV8:NY8,"C"))*2)+((COUNTIF('Elève (3ème2)'!NV8:NY8,"D"))*1))/(COUNTA(NV8:NY8)),"")</f>
        <v/>
      </c>
      <c r="OA8" s="164" t="str">
        <f t="shared" si="98"/>
        <v/>
      </c>
      <c r="OB8" s="103"/>
      <c r="OC8" s="104" t="s">
        <v>30</v>
      </c>
      <c r="OD8" s="105" t="s">
        <v>28</v>
      </c>
      <c r="OE8" s="105"/>
      <c r="OF8" s="105"/>
      <c r="OG8" s="109"/>
      <c r="OH8" s="163">
        <f>IFERROR((((COUNTIF('Elève (3ème2)'!OB8:OG8,"A"))*4)+((COUNTIF('Elève (3ème2)'!OB8:OG8,"B"))*3)+((COUNTIF('Elève (3ème2)'!OB8:OG8,"C"))*2)+((COUNTIF('Elève (3ème2)'!OB8:OG8,"D"))*1))/(COUNTA(OB8:OG8)),"")</f>
        <v>2</v>
      </c>
      <c r="OI8" s="164" t="str">
        <f t="shared" si="99"/>
        <v>C</v>
      </c>
      <c r="OJ8" s="163">
        <f>IF(COUNT(NT8,NZ8,OH8)=0,"",SUM(NT8,NZ8,OH8)/COUNT(NT8,NZ8,OH8))</f>
        <v>2</v>
      </c>
      <c r="OK8" s="187" t="str">
        <f t="shared" si="100"/>
        <v>C</v>
      </c>
      <c r="OL8" s="103"/>
      <c r="OM8" s="104"/>
      <c r="ON8" s="105"/>
      <c r="OO8" s="163" t="str">
        <f>IFERROR((((COUNTIF('Elève (3ème2)'!OL8:ON8,"A"))*4)+((COUNTIF('Elève (3ème2)'!OL8:ON8,"B"))*3)+((COUNTIF('Elève (3ème2)'!OL8:ON8,"C"))*2)+((COUNTIF('Elève (3ème2)'!OL8:ON8,"D"))*1))/(COUNTA(OL8:ON8)),"")</f>
        <v/>
      </c>
      <c r="OP8" s="164" t="str">
        <f t="shared" si="101"/>
        <v/>
      </c>
      <c r="OQ8" s="103"/>
      <c r="OR8" s="104"/>
      <c r="OS8" s="105"/>
      <c r="OT8" s="105"/>
      <c r="OU8" s="163" t="str">
        <f>IFERROR((((COUNTIF('Elève (3ème2)'!OQ8:OT8,"A"))*4)+((COUNTIF('Elève (3ème2)'!OQ8:OT8,"B"))*3)+((COUNTIF('Elève (3ème2)'!OQ8:OT8,"C"))*2)+((COUNTIF('Elève (3ème2)'!OQ8:OT8,"D"))*1))/(COUNTA(OQ8:OT8)),"")</f>
        <v/>
      </c>
      <c r="OV8" s="164" t="str">
        <f t="shared" si="102"/>
        <v/>
      </c>
      <c r="OW8" s="103"/>
      <c r="OX8" s="104" t="s">
        <v>27</v>
      </c>
      <c r="OY8" s="105" t="s">
        <v>27</v>
      </c>
      <c r="OZ8" s="105"/>
      <c r="PA8" s="105"/>
      <c r="PB8" s="109"/>
      <c r="PC8" s="163">
        <f>IFERROR((((COUNTIF('Elève (3ème2)'!OW8:PB8,"A"))*4)+((COUNTIF('Elève (3ème2)'!OW8:PB8,"B"))*3)+((COUNTIF('Elève (3ème2)'!OW8:PB8,"C"))*2)+((COUNTIF('Elève (3ème2)'!OW8:PB8,"D"))*1))/(COUNTA(OW8:PB8)),"")</f>
        <v>4</v>
      </c>
      <c r="PD8" s="164" t="str">
        <f t="shared" si="103"/>
        <v>A</v>
      </c>
      <c r="PE8" s="163">
        <f>IF(COUNT(OO8,OU8,PC8)=0,"",SUM(OO8,OU8,PC8)/COUNT(OO8,OU8,PC8))</f>
        <v>4</v>
      </c>
      <c r="PF8" s="187" t="str">
        <f t="shared" si="104"/>
        <v>A</v>
      </c>
      <c r="PG8" s="103"/>
      <c r="PH8" s="104"/>
      <c r="PI8" s="105"/>
      <c r="PJ8" s="163" t="str">
        <f>IFERROR((((COUNTIF('Elève (3ème2)'!PG8:PI8,"A"))*4)+((COUNTIF('Elève (3ème2)'!PG8:PI8,"B"))*3)+((COUNTIF('Elève (3ème2)'!PG8:PI8,"C"))*2)+((COUNTIF('Elève (3ème2)'!PG8:PI8,"D"))*1))/(COUNTA(PG8:PI8)),"")</f>
        <v/>
      </c>
      <c r="PK8" s="164" t="str">
        <f t="shared" si="105"/>
        <v/>
      </c>
      <c r="PL8" s="103"/>
      <c r="PM8" s="104"/>
      <c r="PN8" s="105"/>
      <c r="PO8" s="105"/>
      <c r="PP8" s="163" t="str">
        <f>IFERROR((((COUNTIF('Elève (3ème2)'!PL8:PO8,"A"))*4)+((COUNTIF('Elève (3ème2)'!PL8:PO8,"B"))*3)+((COUNTIF('Elève (3ème2)'!PL8:PO8,"C"))*2)+((COUNTIF('Elève (3ème2)'!PL8:PO8,"D"))*1))/(COUNTA(PL8:PO8)),"")</f>
        <v/>
      </c>
      <c r="PQ8" s="164" t="str">
        <f t="shared" si="106"/>
        <v/>
      </c>
      <c r="PR8" s="103"/>
      <c r="PS8" s="104" t="s">
        <v>27</v>
      </c>
      <c r="PT8" s="105"/>
      <c r="PU8" s="105"/>
      <c r="PV8" s="105"/>
      <c r="PW8" s="109"/>
      <c r="PX8" s="163">
        <f>IFERROR((((COUNTIF('Elève (3ème2)'!PR8:PW8,"A"))*4)+((COUNTIF('Elève (3ème2)'!PR8:PW8,"B"))*3)+((COUNTIF('Elève (3ème2)'!PR8:PW8,"C"))*2)+((COUNTIF('Elève (3ème2)'!PR8:PW8,"D"))*1))/(COUNTA(PR8:PW8)),"")</f>
        <v>4</v>
      </c>
      <c r="PY8" s="164" t="str">
        <f t="shared" si="107"/>
        <v>A</v>
      </c>
      <c r="PZ8" s="163">
        <f>IF(COUNT(PJ8,PP8,PX8)=0,"",SUM(PJ8,PP8,PX8)/COUNT(PJ8,PP8,PX8))</f>
        <v>4</v>
      </c>
      <c r="QA8" s="187" t="str">
        <f t="shared" si="108"/>
        <v>A</v>
      </c>
      <c r="QB8" s="103"/>
      <c r="QC8" s="104"/>
      <c r="QD8" s="105"/>
      <c r="QE8" s="163" t="str">
        <f>IFERROR((((COUNTIF('Elève (3ème2)'!QB8:QD8,"A"))*4)+((COUNTIF('Elève (3ème2)'!QB8:QD8,"B"))*3)+((COUNTIF('Elève (3ème2)'!QB8:QD8,"C"))*2)+((COUNTIF('Elève (3ème2)'!QB8:QD8,"D"))*1))/(COUNTA(QB8:QD8)),"")</f>
        <v/>
      </c>
      <c r="QF8" s="164" t="str">
        <f t="shared" si="109"/>
        <v/>
      </c>
      <c r="QG8" s="103"/>
      <c r="QH8" s="104"/>
      <c r="QI8" s="105"/>
      <c r="QJ8" s="105"/>
      <c r="QK8" s="163" t="str">
        <f>IFERROR((((COUNTIF('Elève (3ème2)'!QG8:QJ8,"A"))*4)+((COUNTIF('Elève (3ème2)'!QG8:QJ8,"B"))*3)+((COUNTIF('Elève (3ème2)'!QG8:QJ8,"C"))*2)+((COUNTIF('Elève (3ème2)'!QG8:QJ8,"D"))*1))/(COUNTA(QG8:QJ8)),"")</f>
        <v/>
      </c>
      <c r="QL8" s="164" t="str">
        <f t="shared" si="110"/>
        <v/>
      </c>
      <c r="QM8" s="103"/>
      <c r="QN8" s="104" t="s">
        <v>29</v>
      </c>
      <c r="QO8" s="105" t="s">
        <v>27</v>
      </c>
      <c r="QP8" s="105"/>
      <c r="QQ8" s="105"/>
      <c r="QR8" s="109"/>
      <c r="QS8" s="163">
        <f>IFERROR((((COUNTIF('Elève (3ème2)'!QM8:QR8,"A"))*4)+((COUNTIF('Elève (3ème2)'!QM8:QR8,"B"))*3)+((COUNTIF('Elève (3ème2)'!QM8:QR8,"C"))*2)+((COUNTIF('Elève (3ème2)'!QM8:QR8,"D"))*1))/(COUNTA(QM8:QR8)),"")</f>
        <v>3</v>
      </c>
      <c r="QT8" s="164" t="str">
        <f t="shared" si="111"/>
        <v>B</v>
      </c>
      <c r="QU8" s="163">
        <f>IF(COUNT(QE8,QK8,QS8)=0,"",SUM(QE8,QK8,QS8)/COUNT(QE8,QK8,QS8))</f>
        <v>3</v>
      </c>
      <c r="QV8" s="187" t="str">
        <f t="shared" si="112"/>
        <v>B</v>
      </c>
      <c r="QW8" s="103"/>
      <c r="QX8" s="104"/>
      <c r="QY8" s="105"/>
      <c r="QZ8" s="163" t="str">
        <f>IFERROR((((COUNTIF('Elève (3ème2)'!QW8:QY8,"A"))*4)+((COUNTIF('Elève (3ème2)'!QW8:QY8,"B"))*3)+((COUNTIF('Elève (3ème2)'!QW8:QY8,"C"))*2)+((COUNTIF('Elève (3ème2)'!QW8:QY8,"D"))*1))/(COUNTA(QW8:QY8)),"")</f>
        <v/>
      </c>
      <c r="RA8" s="164" t="str">
        <f t="shared" si="113"/>
        <v/>
      </c>
      <c r="RB8" s="103"/>
      <c r="RC8" s="104"/>
      <c r="RD8" s="105"/>
      <c r="RE8" s="105"/>
      <c r="RF8" s="163" t="str">
        <f>IFERROR((((COUNTIF('Elève (3ème2)'!RB8:RE8,"A"))*4)+((COUNTIF('Elève (3ème2)'!RB8:RE8,"B"))*3)+((COUNTIF('Elève (3ème2)'!RB8:RE8,"C"))*2)+((COUNTIF('Elève (3ème2)'!RB8:RE8,"D"))*1))/(COUNTA(RB8:RE8)),"")</f>
        <v/>
      </c>
      <c r="RG8" s="164" t="str">
        <f t="shared" si="114"/>
        <v/>
      </c>
      <c r="RH8" s="103"/>
      <c r="RI8" s="104" t="s">
        <v>29</v>
      </c>
      <c r="RJ8" s="105" t="s">
        <v>29</v>
      </c>
      <c r="RK8" s="105"/>
      <c r="RL8" s="105"/>
      <c r="RM8" s="109"/>
      <c r="RN8" s="163">
        <f>IFERROR((((COUNTIF('Elève (3ème2)'!RH8:RM8,"A"))*4)+((COUNTIF('Elève (3ème2)'!RH8:RM8,"B"))*3)+((COUNTIF('Elève (3ème2)'!RH8:RM8,"C"))*2)+((COUNTIF('Elève (3ème2)'!RH8:RM8,"D"))*1))/(COUNTA(RH8:RM8)),"")</f>
        <v>2</v>
      </c>
      <c r="RO8" s="164" t="str">
        <f t="shared" si="115"/>
        <v>C</v>
      </c>
      <c r="RP8" s="163">
        <f>IF(COUNT(QZ8,RF8,RN8)=0,"",SUM(QZ8,RF8,RN8)/COUNT(QZ8,RF8,RN8))</f>
        <v>2</v>
      </c>
      <c r="RQ8" s="187" t="str">
        <f t="shared" si="116"/>
        <v>C</v>
      </c>
      <c r="RR8" s="103"/>
      <c r="RS8" s="104"/>
      <c r="RT8" s="105"/>
      <c r="RU8" s="163" t="str">
        <f>IFERROR((((COUNTIF('Elève (3ème2)'!RR8:RT8,"A"))*4)+((COUNTIF('Elève (3ème2)'!RR8:RT8,"B"))*3)+((COUNTIF('Elève (3ème2)'!RR8:RT8,"C"))*2)+((COUNTIF('Elève (3ème2)'!RR8:RT8,"D"))*1))/(COUNTA(RR8:RT8)),"")</f>
        <v/>
      </c>
      <c r="RV8" s="164" t="str">
        <f t="shared" si="117"/>
        <v/>
      </c>
      <c r="RW8" s="103"/>
      <c r="RX8" s="104"/>
      <c r="RY8" s="105"/>
      <c r="RZ8" s="105"/>
      <c r="SA8" s="163" t="str">
        <f>IFERROR((((COUNTIF('Elève (3ème2)'!RW8:RZ8,"A"))*4)+((COUNTIF('Elève (3ème2)'!RW8:RZ8,"B"))*3)+((COUNTIF('Elève (3ème2)'!RW8:RZ8,"C"))*2)+((COUNTIF('Elève (3ème2)'!RW8:RZ8,"D"))*1))/(COUNTA(RW8:RZ8)),"")</f>
        <v/>
      </c>
      <c r="SB8" s="164" t="str">
        <f t="shared" si="118"/>
        <v/>
      </c>
      <c r="SC8" s="103"/>
      <c r="SD8" s="104" t="s">
        <v>27</v>
      </c>
      <c r="SE8" s="105" t="s">
        <v>30</v>
      </c>
      <c r="SF8" s="105"/>
      <c r="SG8" s="105"/>
      <c r="SH8" s="109"/>
      <c r="SI8" s="163">
        <f>IFERROR((((COUNTIF('Elève (3ème2)'!SC8:SH8,"A"))*4)+((COUNTIF('Elève (3ème2)'!SC8:SH8,"B"))*3)+((COUNTIF('Elève (3ème2)'!SC8:SH8,"C"))*2)+((COUNTIF('Elève (3ème2)'!SC8:SH8,"D"))*1))/(COUNTA(SC8:SH8)),"")</f>
        <v>2.5</v>
      </c>
      <c r="SJ8" s="164" t="str">
        <f t="shared" si="119"/>
        <v>C</v>
      </c>
      <c r="SK8" s="163">
        <f>IF(COUNT(RU8,SA8,SI8)=0,"",SUM(RU8,SA8,SI8)/COUNT(RU8,SA8,SI8))</f>
        <v>2.5</v>
      </c>
      <c r="SL8" s="187" t="str">
        <f t="shared" si="120"/>
        <v>C</v>
      </c>
      <c r="SM8" s="103"/>
      <c r="SN8" s="104"/>
      <c r="SO8" s="105"/>
      <c r="SP8" s="163" t="str">
        <f>IFERROR((((COUNTIF('Elève (3ème2)'!SM8:SO8,"A"))*4)+((COUNTIF('Elève (3ème2)'!SM8:SO8,"B"))*3)+((COUNTIF('Elève (3ème2)'!SM8:SO8,"C"))*2)+((COUNTIF('Elève (3ème2)'!SM8:SO8,"D"))*1))/(COUNTA(SM8:SO8)),"")</f>
        <v/>
      </c>
      <c r="SQ8" s="164" t="str">
        <f t="shared" si="121"/>
        <v/>
      </c>
      <c r="SR8" s="103"/>
      <c r="SS8" s="104"/>
      <c r="ST8" s="105"/>
      <c r="SU8" s="105"/>
      <c r="SV8" s="163" t="str">
        <f>IFERROR((((COUNTIF('Elève (3ème2)'!SR8:SU8,"A"))*4)+((COUNTIF('Elève (3ème2)'!SR8:SU8,"B"))*3)+((COUNTIF('Elève (3ème2)'!SR8:SU8,"C"))*2)+((COUNTIF('Elève (3ème2)'!SR8:SU8,"D"))*1))/(COUNTA(SR8:SU8)),"")</f>
        <v/>
      </c>
      <c r="SW8" s="164" t="str">
        <f t="shared" si="122"/>
        <v/>
      </c>
      <c r="SX8" s="103"/>
      <c r="SY8" s="104" t="s">
        <v>30</v>
      </c>
      <c r="SZ8" s="105" t="s">
        <v>28</v>
      </c>
      <c r="TA8" s="105"/>
      <c r="TB8" s="105"/>
      <c r="TC8" s="109"/>
      <c r="TD8" s="163">
        <f>IFERROR((((COUNTIF('Elève (3ème2)'!SX8:TC8,"A"))*4)+((COUNTIF('Elève (3ème2)'!SX8:TC8,"B"))*3)+((COUNTIF('Elève (3ème2)'!SX8:TC8,"C"))*2)+((COUNTIF('Elève (3ème2)'!SX8:TC8,"D"))*1))/(COUNTA(SX8:TC8)),"")</f>
        <v>2</v>
      </c>
      <c r="TE8" s="164" t="str">
        <f t="shared" si="123"/>
        <v>C</v>
      </c>
      <c r="TF8" s="163">
        <f>IF(COUNT(SP8,SV8,TD8)=0,"",SUM(SP8,SV8,TD8)/COUNT(SP8,SV8,TD8))</f>
        <v>2</v>
      </c>
      <c r="TG8" s="187" t="str">
        <f t="shared" si="124"/>
        <v>C</v>
      </c>
      <c r="TH8" s="103"/>
      <c r="TI8" s="104"/>
      <c r="TJ8" s="105"/>
      <c r="TK8" s="163" t="str">
        <f>IFERROR((((COUNTIF('Elève (3ème2)'!TH8:TJ8,"A"))*4)+((COUNTIF('Elève (3ème2)'!TH8:TJ8,"B"))*3)+((COUNTIF('Elève (3ème2)'!TH8:TJ8,"C"))*2)+((COUNTIF('Elève (3ème2)'!TH8:TJ8,"D"))*1))/(COUNTA(TH8:TJ8)),"")</f>
        <v/>
      </c>
      <c r="TL8" s="164" t="str">
        <f t="shared" si="125"/>
        <v/>
      </c>
      <c r="TM8" s="103"/>
      <c r="TN8" s="104"/>
      <c r="TO8" s="105"/>
      <c r="TP8" s="105"/>
      <c r="TQ8" s="163" t="str">
        <f>IFERROR((((COUNTIF('Elève (3ème2)'!TM8:TP8,"A"))*4)+((COUNTIF('Elève (3ème2)'!TM8:TP8,"B"))*3)+((COUNTIF('Elève (3ème2)'!TM8:TP8,"C"))*2)+((COUNTIF('Elève (3ème2)'!TM8:TP8,"D"))*1))/(COUNTA(TM8:TP8)),"")</f>
        <v/>
      </c>
      <c r="TR8" s="164" t="str">
        <f t="shared" si="126"/>
        <v/>
      </c>
      <c r="TS8" s="103"/>
      <c r="TT8" s="104" t="s">
        <v>29</v>
      </c>
      <c r="TU8" s="105" t="s">
        <v>29</v>
      </c>
      <c r="TV8" s="105"/>
      <c r="TW8" s="105"/>
      <c r="TX8" s="109"/>
      <c r="TY8" s="163">
        <f>IFERROR((((COUNTIF('Elève (3ème2)'!TS8:TX8,"A"))*4)+((COUNTIF('Elève (3ème2)'!TS8:TX8,"B"))*3)+((COUNTIF('Elève (3ème2)'!TS8:TX8,"C"))*2)+((COUNTIF('Elève (3ème2)'!TS8:TX8,"D"))*1))/(COUNTA(TS8:TX8)),"")</f>
        <v>2</v>
      </c>
      <c r="TZ8" s="164" t="str">
        <f t="shared" si="127"/>
        <v>C</v>
      </c>
      <c r="UA8" s="163">
        <f>IF(COUNT(TK8,TQ8,TY8)=0,"",SUM(TK8,TQ8,TY8)/COUNT(TK8,TQ8,TY8))</f>
        <v>2</v>
      </c>
      <c r="UB8" s="187" t="str">
        <f t="shared" si="128"/>
        <v>C</v>
      </c>
      <c r="UC8" s="103"/>
      <c r="UD8" s="104"/>
      <c r="UE8" s="105"/>
      <c r="UF8" s="106" t="str">
        <f>IFERROR((((COUNTIF('Elève (3ème2)'!UC8:UE8,"A"))*4)+((COUNTIF('Elève (3ème2)'!UC8:UE8,"B"))*3)+((COUNTIF('Elève (3ème2)'!UC8:UE8,"C"))*2)+((COUNTIF('Elève (3ème2)'!UC8:UE8,"D"))*1))/(COUNTA(UC8:UE8)),"")</f>
        <v/>
      </c>
      <c r="UG8" s="107" t="str">
        <f t="shared" si="129"/>
        <v/>
      </c>
      <c r="UH8" s="103"/>
      <c r="UI8" s="104"/>
      <c r="UJ8" s="105"/>
      <c r="UK8" s="106" t="str">
        <f>IFERROR((((COUNTIF('Elève (3ème2)'!UH8:UJ8,"A"))*4)+((COUNTIF('Elève (3ème2)'!UH8:UJ8,"B"))*3)+((COUNTIF('Elève (3ème2)'!UH8:UJ8,"C"))*2)+((COUNTIF('Elève (3ème2)'!UH8:UJ8,"D"))*1))/(COUNTA(UH8:UJ8)),"")</f>
        <v/>
      </c>
      <c r="UL8" s="107" t="str">
        <f t="shared" si="130"/>
        <v/>
      </c>
      <c r="UM8" s="103"/>
      <c r="UN8" s="104"/>
      <c r="UO8" s="109"/>
      <c r="UP8" s="106" t="str">
        <f>IFERROR((((COUNTIF('Elève (3ème2)'!UM8:UO8,"A"))*4)+((COUNTIF('Elève (3ème2)'!UM8:UO8,"B"))*3)+((COUNTIF('Elève (3ème2)'!UM8:UO8,"C"))*2)+((COUNTIF('Elève (3ème2)'!UM8:UO8,"D"))*1))/(COUNTA(UM8:UO8)),"")</f>
        <v/>
      </c>
      <c r="UQ8" s="107" t="str">
        <f t="shared" si="131"/>
        <v/>
      </c>
      <c r="UR8" s="106" t="str">
        <f>IF(COUNT(UF8,UK8,UP8)=0,"",SUM(UF8,UK8,UP8)/COUNT(UF8,UK8,UP8))</f>
        <v/>
      </c>
      <c r="US8" s="108" t="str">
        <f t="shared" si="132"/>
        <v/>
      </c>
      <c r="UT8" s="103"/>
      <c r="UU8" s="104"/>
      <c r="UV8" s="105"/>
      <c r="UW8" s="106" t="str">
        <f>IFERROR((((COUNTIF('Elève (3ème2)'!UT8:UV8,"A"))*4)+((COUNTIF('Elève (3ème2)'!UT8:UV8,"B"))*3)+((COUNTIF('Elève (3ème2)'!UT8:UV8,"C"))*2)+((COUNTIF('Elève (3ème2)'!UT8:UV8,"D"))*1))/(COUNTA(UT8:UV8)),"")</f>
        <v/>
      </c>
      <c r="UX8" s="107" t="str">
        <f t="shared" si="133"/>
        <v/>
      </c>
      <c r="UY8" s="103"/>
      <c r="UZ8" s="104"/>
      <c r="VA8" s="105"/>
      <c r="VB8" s="106" t="str">
        <f>IFERROR((((COUNTIF('Elève (3ème2)'!UY8:VA8,"A"))*4)+((COUNTIF('Elève (3ème2)'!UY8:VA8,"B"))*3)+((COUNTIF('Elève (3ème2)'!UY8:VA8,"C"))*2)+((COUNTIF('Elève (3ème2)'!UY8:VA8,"D"))*1))/(COUNTA(UY8:VA8)),"")</f>
        <v/>
      </c>
      <c r="VC8" s="107" t="str">
        <f t="shared" si="134"/>
        <v/>
      </c>
      <c r="VD8" s="103"/>
      <c r="VE8" s="104"/>
      <c r="VF8" s="109"/>
      <c r="VG8" s="106" t="str">
        <f>IFERROR((((COUNTIF('Elève (3ème2)'!VD8:VF8,"A"))*4)+((COUNTIF('Elève (3ème2)'!VD8:VF8,"B"))*3)+((COUNTIF('Elève (3ème2)'!VD8:VF8,"C"))*2)+((COUNTIF('Elève (3ème2)'!VD8:VF8,"D"))*1))/(COUNTA(VD8:VF8)),"")</f>
        <v/>
      </c>
      <c r="VH8" s="107" t="str">
        <f t="shared" si="135"/>
        <v/>
      </c>
      <c r="VI8" s="106" t="str">
        <f>IF(COUNT(UW8,VB8,VG8)=0,"",SUM(UW8,VB8,VG8)/COUNT(UW8,VB8,VG8))</f>
        <v/>
      </c>
      <c r="VJ8" s="108" t="str">
        <f t="shared" si="136"/>
        <v/>
      </c>
      <c r="VK8" s="103"/>
      <c r="VL8" s="104"/>
      <c r="VM8" s="105"/>
      <c r="VN8" s="106" t="str">
        <f>IFERROR((((COUNTIF('Elève (3ème2)'!VK8:VM8,"A"))*4)+((COUNTIF('Elève (3ème2)'!VK8:VM8,"B"))*3)+((COUNTIF('Elève (3ème2)'!VK8:VM8,"C"))*2)+((COUNTIF('Elève (3ème2)'!VK8:VM8,"D"))*1))/(COUNTA(VK8:VM8)),"")</f>
        <v/>
      </c>
      <c r="VO8" s="107" t="str">
        <f t="shared" si="137"/>
        <v/>
      </c>
      <c r="VP8" s="103"/>
      <c r="VQ8" s="104"/>
      <c r="VR8" s="105"/>
      <c r="VS8" s="106" t="str">
        <f>IFERROR((((COUNTIF('Elève (3ème2)'!VP8:VR8,"A"))*4)+((COUNTIF('Elève (3ème2)'!VP8:VR8,"B"))*3)+((COUNTIF('Elève (3ème2)'!VP8:VR8,"C"))*2)+((COUNTIF('Elève (3ème2)'!VP8:VR8,"D"))*1))/(COUNTA(VP8:VR8)),"")</f>
        <v/>
      </c>
      <c r="VT8" s="107" t="str">
        <f t="shared" si="138"/>
        <v/>
      </c>
      <c r="VU8" s="103"/>
      <c r="VV8" s="104"/>
      <c r="VW8" s="109"/>
      <c r="VX8" s="106" t="str">
        <f>IFERROR((((COUNTIF('Elève (3ème2)'!VU8:VW8,"A"))*4)+((COUNTIF('Elève (3ème2)'!VU8:VW8,"B"))*3)+((COUNTIF('Elève (3ème2)'!VU8:VW8,"C"))*2)+((COUNTIF('Elève (3ème2)'!VU8:VW8,"D"))*1))/(COUNTA(VU8:VW8)),"")</f>
        <v/>
      </c>
      <c r="VY8" s="107" t="str">
        <f t="shared" si="139"/>
        <v/>
      </c>
      <c r="VZ8" s="106" t="str">
        <f>IF(COUNT(VN8,VS8,VX8)=0,"",SUM(VN8,VS8,VX8)/COUNT(VN8,VS8,VX8))</f>
        <v/>
      </c>
      <c r="WA8" s="108" t="str">
        <f t="shared" si="140"/>
        <v/>
      </c>
      <c r="WB8" s="103"/>
      <c r="WC8" s="104"/>
      <c r="WD8" s="105"/>
      <c r="WE8" s="106" t="str">
        <f>IFERROR((((COUNTIF('Elève (3ème2)'!WB8:WD8,"A"))*4)+((COUNTIF('Elève (3ème2)'!WB8:WD8,"B"))*3)+((COUNTIF('Elève (3ème2)'!WB8:WD8,"C"))*2)+((COUNTIF('Elève (3ème2)'!WB8:WD8,"D"))*1))/(COUNTA(WB8:WD8)),"")</f>
        <v/>
      </c>
      <c r="WF8" s="107" t="str">
        <f t="shared" si="141"/>
        <v/>
      </c>
      <c r="WG8" s="103"/>
      <c r="WH8" s="104"/>
      <c r="WI8" s="105"/>
      <c r="WJ8" s="106" t="str">
        <f>IFERROR((((COUNTIF('Elève (3ème2)'!WG8:WI8,"A"))*4)+((COUNTIF('Elève (3ème2)'!WG8:WI8,"B"))*3)+((COUNTIF('Elève (3ème2)'!WG8:WI8,"C"))*2)+((COUNTIF('Elève (3ème2)'!WG8:WI8,"D"))*1))/(COUNTA(WG8:WI8)),"")</f>
        <v/>
      </c>
      <c r="WK8" s="107" t="str">
        <f t="shared" si="142"/>
        <v/>
      </c>
      <c r="WL8" s="103"/>
      <c r="WM8" s="104"/>
      <c r="WN8" s="109"/>
      <c r="WO8" s="106" t="str">
        <f>IFERROR((((COUNTIF('Elève (3ème2)'!WL8:WN8,"A"))*4)+((COUNTIF('Elève (3ème2)'!WL8:WN8,"B"))*3)+((COUNTIF('Elève (3ème2)'!WL8:WN8,"C"))*2)+((COUNTIF('Elève (3ème2)'!WL8:WN8,"D"))*1))/(COUNTA(WL8:WN8)),"")</f>
        <v/>
      </c>
      <c r="WP8" s="107" t="str">
        <f t="shared" si="143"/>
        <v/>
      </c>
      <c r="WQ8" s="106" t="str">
        <f>IF(COUNT(WE8,WJ8,WO8)=0,"",SUM(WE8,WJ8,WO8)/COUNT(WE8,WJ8,WO8))</f>
        <v/>
      </c>
      <c r="WR8" s="108" t="str">
        <f t="shared" si="144"/>
        <v/>
      </c>
    </row>
    <row r="9" spans="1:616" ht="18" customHeight="1" thickBot="1" x14ac:dyDescent="0.6">
      <c r="A9" s="215" t="s">
        <v>16</v>
      </c>
      <c r="B9" s="216"/>
      <c r="C9" s="110"/>
      <c r="D9" s="111" t="s">
        <v>28</v>
      </c>
      <c r="E9" s="112"/>
      <c r="F9" s="165">
        <f>IFERROR((((COUNTIF('Elève (3ème2)'!C9:E9,"A"))*4)+((COUNTIF('Elève (3ème2)'!C9:E9,"B"))*3)+((COUNTIF('Elève (3ème2)'!C9:E9,"C"))*2)+((COUNTIF('Elève (3ème2)'!C9:E9,"D"))*1))/(COUNTA(C9:E9)),"")</f>
        <v>3</v>
      </c>
      <c r="G9" s="166" t="str">
        <f t="shared" si="25"/>
        <v>B</v>
      </c>
      <c r="H9" s="110"/>
      <c r="I9" s="111"/>
      <c r="J9" s="112"/>
      <c r="K9" s="112"/>
      <c r="L9" s="165" t="str">
        <f>IFERROR((((COUNTIF('Elève (3ème2)'!H9:K9,"A"))*4)+((COUNTIF('Elève (3ème2)'!H9:K9,"B"))*3)+((COUNTIF('Elève (3ème2)'!H9:K9,"C"))*2)+((COUNTIF('Elève (3ème2)'!H9:K9,"D"))*1))/(COUNTA(H9:K9)),"")</f>
        <v/>
      </c>
      <c r="M9" s="166" t="str">
        <f t="shared" si="26"/>
        <v/>
      </c>
      <c r="N9" s="110"/>
      <c r="O9" s="111" t="s">
        <v>28</v>
      </c>
      <c r="P9" s="112"/>
      <c r="Q9" s="112"/>
      <c r="R9" s="112"/>
      <c r="S9" s="112"/>
      <c r="T9" s="165">
        <f>IFERROR((((COUNTIF('Elève (3ème2)'!N9:S9,"A"))*4)+((COUNTIF('Elève (3ème2)'!N9:S9,"B"))*3)+((COUNTIF('Elève (3ème2)'!N9:S9,"C"))*2)+((COUNTIF('Elève (3ème2)'!N9:S9,"D"))*1))/(COUNTA(N9:S9)),"")</f>
        <v>3</v>
      </c>
      <c r="U9" s="166" t="str">
        <f t="shared" si="27"/>
        <v>B</v>
      </c>
      <c r="V9" s="165">
        <f>IF(COUNT(F9,L9,T9)=0,"",SUM(F9,L9,T9)/COUNT(F9,L9,T9))</f>
        <v>3</v>
      </c>
      <c r="W9" s="188" t="str">
        <f t="shared" si="28"/>
        <v>B</v>
      </c>
      <c r="X9" s="110"/>
      <c r="Y9" s="111" t="s">
        <v>30</v>
      </c>
      <c r="Z9" s="112"/>
      <c r="AA9" s="165">
        <f>IFERROR((((COUNTIF('Elève (3ème2)'!X9:Z9,"A"))*4)+((COUNTIF('Elève (3ème2)'!X9:Z9,"B"))*3)+((COUNTIF('Elève (3ème2)'!X9:Z9,"C"))*2)+((COUNTIF('Elève (3ème2)'!X9:Z9,"D"))*1))/(COUNTA(X9:Z9)),"")</f>
        <v>1</v>
      </c>
      <c r="AB9" s="166" t="str">
        <f t="shared" si="29"/>
        <v>D</v>
      </c>
      <c r="AC9" s="110"/>
      <c r="AD9" s="111"/>
      <c r="AE9" s="112"/>
      <c r="AF9" s="112"/>
      <c r="AG9" s="165" t="str">
        <f>IFERROR((((COUNTIF('Elève (3ème2)'!AC9:AF9,"A"))*4)+((COUNTIF('Elève (3ème2)'!AC9:AF9,"B"))*3)+((COUNTIF('Elève (3ème2)'!AC9:AF9,"C"))*2)+((COUNTIF('Elève (3ème2)'!AC9:AF9,"D"))*1))/(COUNTA(AC9:AF9)),"")</f>
        <v/>
      </c>
      <c r="AH9" s="166" t="str">
        <f t="shared" si="30"/>
        <v/>
      </c>
      <c r="AI9" s="110"/>
      <c r="AJ9" s="111" t="s">
        <v>30</v>
      </c>
      <c r="AK9" s="112"/>
      <c r="AL9" s="112"/>
      <c r="AM9" s="112"/>
      <c r="AN9" s="116"/>
      <c r="AO9" s="165">
        <f>IFERROR((((COUNTIF('Elève (3ème2)'!AI9:AN9,"A"))*4)+((COUNTIF('Elève (3ème2)'!AI9:AN9,"B"))*3)+((COUNTIF('Elève (3ème2)'!AI9:AN9,"C"))*2)+((COUNTIF('Elève (3ème2)'!AI9:AN9,"D"))*1))/(COUNTA(AI9:AN9)),"")</f>
        <v>1</v>
      </c>
      <c r="AP9" s="166" t="str">
        <f t="shared" si="31"/>
        <v>D</v>
      </c>
      <c r="AQ9" s="165">
        <f>IF(COUNT(AA9,AG9,AO9)=0,"",SUM(AA9,AG9,AO9)/COUNT(AA9,AG9,AO9))</f>
        <v>1</v>
      </c>
      <c r="AR9" s="188" t="str">
        <f t="shared" si="32"/>
        <v>D</v>
      </c>
      <c r="AS9" s="110"/>
      <c r="AT9" s="111" t="s">
        <v>30</v>
      </c>
      <c r="AU9" s="112"/>
      <c r="AV9" s="165">
        <f>IFERROR((((COUNTIF('Elève (3ème2)'!AS9:AU9,"A"))*4)+((COUNTIF('Elève (3ème2)'!AS9:AU9,"B"))*3)+((COUNTIF('Elève (3ème2)'!AS9:AU9,"C"))*2)+((COUNTIF('Elève (3ème2)'!AS9:AU9,"D"))*1))/(COUNTA(AS9:AU9)),"")</f>
        <v>1</v>
      </c>
      <c r="AW9" s="166" t="str">
        <f t="shared" si="33"/>
        <v>D</v>
      </c>
      <c r="AX9" s="110"/>
      <c r="AY9" s="111"/>
      <c r="AZ9" s="112"/>
      <c r="BA9" s="112"/>
      <c r="BB9" s="165" t="str">
        <f>IFERROR((((COUNTIF('Elève (3ème2)'!AX9:BA9,"A"))*4)+((COUNTIF('Elève (3ème2)'!AX9:BA9,"B"))*3)+((COUNTIF('Elève (3ème2)'!AX9:BA9,"C"))*2)+((COUNTIF('Elève (3ème2)'!AX9:BA9,"D"))*1))/(COUNTA(AX9:BA9)),"")</f>
        <v/>
      </c>
      <c r="BC9" s="166" t="str">
        <f t="shared" si="34"/>
        <v/>
      </c>
      <c r="BD9" s="110"/>
      <c r="BE9" s="111" t="s">
        <v>28</v>
      </c>
      <c r="BF9" s="112"/>
      <c r="BG9" s="112"/>
      <c r="BH9" s="112"/>
      <c r="BI9" s="116"/>
      <c r="BJ9" s="165">
        <f>IFERROR((((COUNTIF('Elève (3ème2)'!BD9:BI9,"A"))*4)+((COUNTIF('Elève (3ème2)'!BD9:BI9,"B"))*3)+((COUNTIF('Elève (3ème2)'!BD9:BI9,"C"))*2)+((COUNTIF('Elève (3ème2)'!BD9:BI9,"D"))*1))/(COUNTA(BD9:BI9)),"")</f>
        <v>3</v>
      </c>
      <c r="BK9" s="166" t="str">
        <f t="shared" si="35"/>
        <v>B</v>
      </c>
      <c r="BL9" s="165">
        <f>IF(COUNT(AV9,BB9,BJ9)=0,"",SUM(AV9,BB9,BJ9)/COUNT(AV9,BB9,BJ9))</f>
        <v>2</v>
      </c>
      <c r="BM9" s="188" t="str">
        <f t="shared" si="36"/>
        <v>C</v>
      </c>
      <c r="BN9" s="110"/>
      <c r="BO9" s="111" t="s">
        <v>30</v>
      </c>
      <c r="BP9" s="112"/>
      <c r="BQ9" s="165">
        <f>IFERROR((((COUNTIF('Elève (3ème2)'!BN9:BP9,"A"))*4)+((COUNTIF('Elève (3ème2)'!BN9:BP9,"B"))*3)+((COUNTIF('Elève (3ème2)'!BN9:BP9,"C"))*2)+((COUNTIF('Elève (3ème2)'!BN9:BP9,"D"))*1))/(COUNTA(BN9:BP9)),"")</f>
        <v>1</v>
      </c>
      <c r="BR9" s="166" t="str">
        <f t="shared" si="37"/>
        <v>D</v>
      </c>
      <c r="BS9" s="110"/>
      <c r="BT9" s="111"/>
      <c r="BU9" s="112"/>
      <c r="BV9" s="112"/>
      <c r="BW9" s="165" t="str">
        <f>IFERROR((((COUNTIF('Elève (3ème2)'!BS9:BV9,"A"))*4)+((COUNTIF('Elève (3ème2)'!BS9:BV9,"B"))*3)+((COUNTIF('Elève (3ème2)'!BS9:BV9,"C"))*2)+((COUNTIF('Elève (3ème2)'!BS9:BV9,"D"))*1))/(COUNTA(BS9:BV9)),"")</f>
        <v/>
      </c>
      <c r="BX9" s="166" t="str">
        <f t="shared" si="38"/>
        <v/>
      </c>
      <c r="BY9" s="110"/>
      <c r="BZ9" s="111" t="s">
        <v>30</v>
      </c>
      <c r="CA9" s="112"/>
      <c r="CB9" s="112"/>
      <c r="CC9" s="112"/>
      <c r="CD9" s="116"/>
      <c r="CE9" s="165">
        <f>IFERROR((((COUNTIF('Elève (3ème2)'!BY9:CD9,"A"))*4)+((COUNTIF('Elève (3ème2)'!BY9:CD9,"B"))*3)+((COUNTIF('Elève (3ème2)'!BY9:CD9,"C"))*2)+((COUNTIF('Elève (3ème2)'!BY9:CD9,"D"))*1))/(COUNTA(BY9:CD9)),"")</f>
        <v>1</v>
      </c>
      <c r="CF9" s="166" t="str">
        <f t="shared" si="39"/>
        <v>D</v>
      </c>
      <c r="CG9" s="165">
        <f>IF(COUNT(BQ9,BW9,CE9)=0,"",SUM(BQ9,BW9,CE9)/COUNT(BQ9,BW9,CE9))</f>
        <v>1</v>
      </c>
      <c r="CH9" s="188" t="str">
        <f t="shared" si="40"/>
        <v>D</v>
      </c>
      <c r="CI9" s="110"/>
      <c r="CJ9" s="111" t="s">
        <v>29</v>
      </c>
      <c r="CK9" s="112"/>
      <c r="CL9" s="165">
        <f>IFERROR((((COUNTIF('Elève (3ème2)'!CI9:CK9,"A"))*4)+((COUNTIF('Elève (3ème2)'!CI9:CK9,"B"))*3)+((COUNTIF('Elève (3ème2)'!CI9:CK9,"C"))*2)+((COUNTIF('Elève (3ème2)'!CI9:CK9,"D"))*1))/(COUNTA(CI9:CK9)),"")</f>
        <v>2</v>
      </c>
      <c r="CM9" s="166" t="str">
        <f t="shared" si="41"/>
        <v>C</v>
      </c>
      <c r="CN9" s="110"/>
      <c r="CO9" s="111"/>
      <c r="CP9" s="112"/>
      <c r="CQ9" s="112"/>
      <c r="CR9" s="165" t="str">
        <f>IFERROR((((COUNTIF('Elève (3ème2)'!CN9:CQ9,"A"))*4)+((COUNTIF('Elève (3ème2)'!CN9:CQ9,"B"))*3)+((COUNTIF('Elève (3ème2)'!CN9:CQ9,"C"))*2)+((COUNTIF('Elève (3ème2)'!CN9:CQ9,"D"))*1))/(COUNTA(CN9:CQ9)),"")</f>
        <v/>
      </c>
      <c r="CS9" s="166" t="str">
        <f t="shared" si="42"/>
        <v/>
      </c>
      <c r="CT9" s="110"/>
      <c r="CU9" s="111" t="s">
        <v>29</v>
      </c>
      <c r="CV9" s="112"/>
      <c r="CW9" s="112"/>
      <c r="CX9" s="112"/>
      <c r="CY9" s="116"/>
      <c r="CZ9" s="165">
        <f>IFERROR((((COUNTIF('Elève (3ème2)'!CT9:CY9,"A"))*4)+((COUNTIF('Elève (3ème2)'!CT9:CY9,"B"))*3)+((COUNTIF('Elève (3ème2)'!CT9:CY9,"C"))*2)+((COUNTIF('Elève (3ème2)'!CT9:CY9,"D"))*1))/(COUNTA(CT9:CY9)),"")</f>
        <v>2</v>
      </c>
      <c r="DA9" s="166" t="str">
        <f t="shared" si="43"/>
        <v>C</v>
      </c>
      <c r="DB9" s="165">
        <f>IF(COUNT(CL9,CR9,CZ9)=0,"",SUM(CL9,CR9,CZ9)/COUNT(CL9,CR9,CZ9))</f>
        <v>2</v>
      </c>
      <c r="DC9" s="188" t="str">
        <f t="shared" si="44"/>
        <v>C</v>
      </c>
      <c r="DD9" s="110"/>
      <c r="DE9" s="111" t="s">
        <v>30</v>
      </c>
      <c r="DF9" s="112"/>
      <c r="DG9" s="165">
        <f>IFERROR((((COUNTIF('Elève (3ème2)'!DD9:DF9,"A"))*4)+((COUNTIF('Elève (3ème2)'!DD9:DF9,"B"))*3)+((COUNTIF('Elève (3ème2)'!DD9:DF9,"C"))*2)+((COUNTIF('Elève (3ème2)'!DD9:DF9,"D"))*1))/(COUNTA(DD9:DF9)),"")</f>
        <v>1</v>
      </c>
      <c r="DH9" s="166" t="str">
        <f t="shared" si="45"/>
        <v>D</v>
      </c>
      <c r="DI9" s="110"/>
      <c r="DJ9" s="111"/>
      <c r="DK9" s="112"/>
      <c r="DL9" s="112"/>
      <c r="DM9" s="165" t="str">
        <f>IFERROR((((COUNTIF('Elève (3ème2)'!DI9:DL9,"A"))*4)+((COUNTIF('Elève (3ème2)'!DI9:DL9,"B"))*3)+((COUNTIF('Elève (3ème2)'!DI9:DL9,"C"))*2)+((COUNTIF('Elève (3ème2)'!DI9:DL9,"D"))*1))/(COUNTA(DI9:DL9)),"")</f>
        <v/>
      </c>
      <c r="DN9" s="166" t="str">
        <f t="shared" si="46"/>
        <v/>
      </c>
      <c r="DO9" s="110"/>
      <c r="DP9" s="111" t="s">
        <v>30</v>
      </c>
      <c r="DQ9" s="112"/>
      <c r="DR9" s="112"/>
      <c r="DS9" s="112"/>
      <c r="DT9" s="116"/>
      <c r="DU9" s="165">
        <f>IFERROR((((COUNTIF('Elève (3ème2)'!DO9:DT9,"A"))*4)+((COUNTIF('Elève (3ème2)'!DO9:DT9,"B"))*3)+((COUNTIF('Elève (3ème2)'!DO9:DT9,"C"))*2)+((COUNTIF('Elève (3ème2)'!DO9:DT9,"D"))*1))/(COUNTA(DO9:DT9)),"")</f>
        <v>1</v>
      </c>
      <c r="DV9" s="166" t="str">
        <f t="shared" si="47"/>
        <v>D</v>
      </c>
      <c r="DW9" s="165">
        <f>IF(COUNT(DG9,DM9,DU9)=0,"",SUM(DG9,DM9,DU9)/COUNT(DG9,DM9,DU9))</f>
        <v>1</v>
      </c>
      <c r="DX9" s="188" t="str">
        <f t="shared" si="48"/>
        <v>D</v>
      </c>
      <c r="DY9" s="110"/>
      <c r="DZ9" s="111" t="s">
        <v>30</v>
      </c>
      <c r="EA9" s="112"/>
      <c r="EB9" s="165">
        <f>IFERROR((((COUNTIF('Elève (3ème2)'!DY9:EA9,"A"))*4)+((COUNTIF('Elève (3ème2)'!DY9:EA9,"B"))*3)+((COUNTIF('Elève (3ème2)'!DY9:EA9,"C"))*2)+((COUNTIF('Elève (3ème2)'!DY9:EA9,"D"))*1))/(COUNTA(DY9:EA9)),"")</f>
        <v>1</v>
      </c>
      <c r="EC9" s="166" t="str">
        <f t="shared" si="49"/>
        <v>D</v>
      </c>
      <c r="ED9" s="110"/>
      <c r="EE9" s="111"/>
      <c r="EF9" s="112"/>
      <c r="EG9" s="112"/>
      <c r="EH9" s="165" t="str">
        <f>IFERROR((((COUNTIF('Elève (3ème2)'!ED9:EG9,"A"))*4)+((COUNTIF('Elève (3ème2)'!ED9:EG9,"B"))*3)+((COUNTIF('Elève (3ème2)'!ED9:EG9,"C"))*2)+((COUNTIF('Elève (3ème2)'!ED9:EG9,"D"))*1))/(COUNTA(ED9:EG9)),"")</f>
        <v/>
      </c>
      <c r="EI9" s="166" t="str">
        <f t="shared" si="50"/>
        <v/>
      </c>
      <c r="EJ9" s="110"/>
      <c r="EK9" s="111" t="s">
        <v>29</v>
      </c>
      <c r="EL9" s="112"/>
      <c r="EM9" s="112"/>
      <c r="EN9" s="112"/>
      <c r="EO9" s="116"/>
      <c r="EP9" s="165">
        <f>IFERROR((((COUNTIF('Elève (3ème2)'!EJ9:EO9,"A"))*4)+((COUNTIF('Elève (3ème2)'!EJ9:EO9,"B"))*3)+((COUNTIF('Elève (3ème2)'!EJ9:EO9,"C"))*2)+((COUNTIF('Elève (3ème2)'!EJ9:EO9,"D"))*1))/(COUNTA(EJ9:EO9)),"")</f>
        <v>2</v>
      </c>
      <c r="EQ9" s="166" t="str">
        <f t="shared" si="51"/>
        <v>C</v>
      </c>
      <c r="ER9" s="165">
        <f>IF(COUNT(EB9,EH9,EP9)=0,"",SUM(EB9,EH9,EP9)/COUNT(EB9,EH9,EP9))</f>
        <v>1.5</v>
      </c>
      <c r="ES9" s="188" t="str">
        <f t="shared" si="52"/>
        <v>D</v>
      </c>
      <c r="ET9" s="110"/>
      <c r="EU9" s="111" t="s">
        <v>30</v>
      </c>
      <c r="EV9" s="112"/>
      <c r="EW9" s="165">
        <f>IFERROR((((COUNTIF('Elève (3ème2)'!ET9:EV9,"A"))*4)+((COUNTIF('Elève (3ème2)'!ET9:EV9,"B"))*3)+((COUNTIF('Elève (3ème2)'!ET9:EV9,"C"))*2)+((COUNTIF('Elève (3ème2)'!ET9:EV9,"D"))*1))/(COUNTA(ET9:EV9)),"")</f>
        <v>1</v>
      </c>
      <c r="EX9" s="166" t="str">
        <f t="shared" si="53"/>
        <v>D</v>
      </c>
      <c r="EY9" s="110"/>
      <c r="EZ9" s="111"/>
      <c r="FA9" s="112"/>
      <c r="FB9" s="112"/>
      <c r="FC9" s="165" t="str">
        <f>IFERROR((((COUNTIF('Elève (3ème2)'!EY9:FB9,"A"))*4)+((COUNTIF('Elève (3ème2)'!EY9:FB9,"B"))*3)+((COUNTIF('Elève (3ème2)'!EY9:FB9,"C"))*2)+((COUNTIF('Elève (3ème2)'!EY9:FB9,"D"))*1))/(COUNTA(EY9:FB9)),"")</f>
        <v/>
      </c>
      <c r="FD9" s="166" t="str">
        <f t="shared" si="54"/>
        <v/>
      </c>
      <c r="FE9" s="110"/>
      <c r="FF9" s="111" t="s">
        <v>30</v>
      </c>
      <c r="FG9" s="112"/>
      <c r="FH9" s="112"/>
      <c r="FI9" s="112"/>
      <c r="FJ9" s="116"/>
      <c r="FK9" s="165">
        <f>IFERROR((((COUNTIF('Elève (3ème2)'!FE9:FJ9,"A"))*4)+((COUNTIF('Elève (3ème2)'!FE9:FJ9,"B"))*3)+((COUNTIF('Elève (3ème2)'!FE9:FJ9,"C"))*2)+((COUNTIF('Elève (3ème2)'!FE9:FJ9,"D"))*1))/(COUNTA(FE9:FJ9)),"")</f>
        <v>1</v>
      </c>
      <c r="FL9" s="166" t="str">
        <f t="shared" si="55"/>
        <v>D</v>
      </c>
      <c r="FM9" s="165">
        <f>IF(COUNT(EW9,FC9,FK9)=0,"",SUM(EW9,FC9,FK9)/COUNT(EW9,FC9,FK9))</f>
        <v>1</v>
      </c>
      <c r="FN9" s="188" t="str">
        <f t="shared" si="56"/>
        <v>D</v>
      </c>
      <c r="FO9" s="110"/>
      <c r="FP9" s="111" t="s">
        <v>30</v>
      </c>
      <c r="FQ9" s="112"/>
      <c r="FR9" s="165">
        <f>IFERROR((((COUNTIF('Elève (3ème2)'!FO9:FQ9,"A"))*4)+((COUNTIF('Elève (3ème2)'!FO9:FQ9,"B"))*3)+((COUNTIF('Elève (3ème2)'!FO9:FQ9,"C"))*2)+((COUNTIF('Elève (3ème2)'!FO9:FQ9,"D"))*1))/(COUNTA(FO9:FQ9)),"")</f>
        <v>1</v>
      </c>
      <c r="FS9" s="166" t="str">
        <f t="shared" si="57"/>
        <v>D</v>
      </c>
      <c r="FT9" s="110"/>
      <c r="FU9" s="111"/>
      <c r="FV9" s="112"/>
      <c r="FW9" s="112"/>
      <c r="FX9" s="165" t="str">
        <f>IFERROR((((COUNTIF('Elève (3ème2)'!FT9:FW9,"A"))*4)+((COUNTIF('Elève (3ème2)'!FT9:FW9,"B"))*3)+((COUNTIF('Elève (3ème2)'!FT9:FW9,"C"))*2)+((COUNTIF('Elève (3ème2)'!FT9:FW9,"D"))*1))/(COUNTA(FT9:FW9)),"")</f>
        <v/>
      </c>
      <c r="FY9" s="166" t="str">
        <f t="shared" si="58"/>
        <v/>
      </c>
      <c r="FZ9" s="110"/>
      <c r="GA9" s="111" t="s">
        <v>30</v>
      </c>
      <c r="GB9" s="112"/>
      <c r="GC9" s="112"/>
      <c r="GD9" s="112"/>
      <c r="GE9" s="116"/>
      <c r="GF9" s="165">
        <f>IFERROR((((COUNTIF('Elève (3ème2)'!FZ9:GE9,"A"))*4)+((COUNTIF('Elève (3ème2)'!FZ9:GE9,"B"))*3)+((COUNTIF('Elève (3ème2)'!FZ9:GE9,"C"))*2)+((COUNTIF('Elève (3ème2)'!FZ9:GE9,"D"))*1))/(COUNTA(FZ9:GE9)),"")</f>
        <v>1</v>
      </c>
      <c r="GG9" s="166" t="str">
        <f t="shared" si="59"/>
        <v>D</v>
      </c>
      <c r="GH9" s="165">
        <f>IF(COUNT(FR9,FX9,GF9)=0,"",SUM(FR9,FX9,GF9)/COUNT(FR9,FX9,GF9))</f>
        <v>1</v>
      </c>
      <c r="GI9" s="188" t="str">
        <f t="shared" si="60"/>
        <v>D</v>
      </c>
      <c r="GJ9" s="110"/>
      <c r="GK9" s="111" t="s">
        <v>30</v>
      </c>
      <c r="GL9" s="112"/>
      <c r="GM9" s="165">
        <f>IFERROR((((COUNTIF('Elève (3ème2)'!GJ9:GL9,"A"))*4)+((COUNTIF('Elève (3ème2)'!GJ9:GL9,"B"))*3)+((COUNTIF('Elève (3ème2)'!GJ9:GL9,"C"))*2)+((COUNTIF('Elève (3ème2)'!GJ9:GL9,"D"))*1))/(COUNTA(GJ9:GL9)),"")</f>
        <v>1</v>
      </c>
      <c r="GN9" s="166" t="str">
        <f t="shared" si="61"/>
        <v>D</v>
      </c>
      <c r="GO9" s="110"/>
      <c r="GP9" s="111"/>
      <c r="GQ9" s="112"/>
      <c r="GR9" s="112"/>
      <c r="GS9" s="165" t="str">
        <f>IFERROR((((COUNTIF('Elève (3ème2)'!GO9:GR9,"A"))*4)+((COUNTIF('Elève (3ème2)'!GO9:GR9,"B"))*3)+((COUNTIF('Elève (3ème2)'!GO9:GR9,"C"))*2)+((COUNTIF('Elève (3ème2)'!GO9:GR9,"D"))*1))/(COUNTA(GO9:GR9)),"")</f>
        <v/>
      </c>
      <c r="GT9" s="166" t="str">
        <f t="shared" si="62"/>
        <v/>
      </c>
      <c r="GU9" s="110"/>
      <c r="GV9" s="111" t="s">
        <v>29</v>
      </c>
      <c r="GW9" s="112"/>
      <c r="GX9" s="112"/>
      <c r="GY9" s="112"/>
      <c r="GZ9" s="116"/>
      <c r="HA9" s="165">
        <f>IFERROR((((COUNTIF('Elève (3ème2)'!GU9:GZ9,"A"))*4)+((COUNTIF('Elève (3ème2)'!GU9:GZ9,"B"))*3)+((COUNTIF('Elève (3ème2)'!GU9:GZ9,"C"))*2)+((COUNTIF('Elève (3ème2)'!GU9:GZ9,"D"))*1))/(COUNTA(GU9:GZ9)),"")</f>
        <v>2</v>
      </c>
      <c r="HB9" s="166" t="str">
        <f t="shared" si="63"/>
        <v>C</v>
      </c>
      <c r="HC9" s="165">
        <f>IF(COUNT(GM9,GS9,HA9)=0,"",SUM(GM9,GS9,HA9)/COUNT(GM9,GS9,HA9))</f>
        <v>1.5</v>
      </c>
      <c r="HD9" s="188" t="str">
        <f t="shared" si="64"/>
        <v>D</v>
      </c>
      <c r="HE9" s="110"/>
      <c r="HF9" s="111" t="s">
        <v>30</v>
      </c>
      <c r="HG9" s="112"/>
      <c r="HH9" s="165">
        <f>IFERROR((((COUNTIF('Elève (3ème2)'!HE9:HG9,"A"))*4)+((COUNTIF('Elève (3ème2)'!HE9:HG9,"B"))*3)+((COUNTIF('Elève (3ème2)'!HE9:HG9,"C"))*2)+((COUNTIF('Elève (3ème2)'!HE9:HG9,"D"))*1))/(COUNTA(HE9:HG9)),"")</f>
        <v>1</v>
      </c>
      <c r="HI9" s="166" t="str">
        <f t="shared" si="65"/>
        <v>D</v>
      </c>
      <c r="HJ9" s="110"/>
      <c r="HK9" s="111"/>
      <c r="HL9" s="112"/>
      <c r="HM9" s="112"/>
      <c r="HN9" s="165" t="str">
        <f>IFERROR((((COUNTIF('Elève (3ème2)'!HJ9:HM9,"A"))*4)+((COUNTIF('Elève (3ème2)'!HJ9:HM9,"B"))*3)+((COUNTIF('Elève (3ème2)'!HJ9:HM9,"C"))*2)+((COUNTIF('Elève (3ème2)'!HJ9:HM9,"D"))*1))/(COUNTA(HJ9:HM9)),"")</f>
        <v/>
      </c>
      <c r="HO9" s="166" t="str">
        <f t="shared" si="66"/>
        <v/>
      </c>
      <c r="HP9" s="110"/>
      <c r="HQ9" s="111" t="s">
        <v>29</v>
      </c>
      <c r="HR9" s="112"/>
      <c r="HS9" s="112"/>
      <c r="HT9" s="112"/>
      <c r="HU9" s="116"/>
      <c r="HV9" s="165">
        <f>IFERROR((((COUNTIF('Elève (3ème2)'!HP9:HU9,"A"))*4)+((COUNTIF('Elève (3ème2)'!HP9:HU9,"B"))*3)+((COUNTIF('Elève (3ème2)'!HP9:HU9,"C"))*2)+((COUNTIF('Elève (3ème2)'!HP9:HU9,"D"))*1))/(COUNTA(HP9:HU9)),"")</f>
        <v>2</v>
      </c>
      <c r="HW9" s="166" t="str">
        <f t="shared" si="67"/>
        <v>C</v>
      </c>
      <c r="HX9" s="165">
        <f>IF(COUNT(HH9,HN9,HV9)=0,"",SUM(HH9,HN9,HV9)/COUNT(HH9,HN9,HV9))</f>
        <v>1.5</v>
      </c>
      <c r="HY9" s="188" t="str">
        <f t="shared" si="68"/>
        <v>D</v>
      </c>
      <c r="HZ9" s="110"/>
      <c r="IA9" s="111" t="s">
        <v>29</v>
      </c>
      <c r="IB9" s="112"/>
      <c r="IC9" s="165">
        <f>IFERROR((((COUNTIF('Elève (3ème2)'!HZ9:IB9,"A"))*4)+((COUNTIF('Elève (3ème2)'!HZ9:IB9,"B"))*3)+((COUNTIF('Elève (3ème2)'!HZ9:IB9,"C"))*2)+((COUNTIF('Elève (3ème2)'!HZ9:IB9,"D"))*1))/(COUNTA(HZ9:IB9)),"")</f>
        <v>2</v>
      </c>
      <c r="ID9" s="166" t="str">
        <f t="shared" si="69"/>
        <v>C</v>
      </c>
      <c r="IE9" s="110"/>
      <c r="IF9" s="111"/>
      <c r="IG9" s="112"/>
      <c r="IH9" s="112"/>
      <c r="II9" s="165" t="str">
        <f>IFERROR((((COUNTIF('Elève (3ème2)'!IE9:IH9,"A"))*4)+((COUNTIF('Elève (3ème2)'!IE9:IH9,"B"))*3)+((COUNTIF('Elève (3ème2)'!IE9:IH9,"C"))*2)+((COUNTIF('Elève (3ème2)'!IE9:IH9,"D"))*1))/(COUNTA(IE9:IH9)),"")</f>
        <v/>
      </c>
      <c r="IJ9" s="166" t="str">
        <f t="shared" si="70"/>
        <v/>
      </c>
      <c r="IK9" s="110"/>
      <c r="IL9" s="111" t="s">
        <v>27</v>
      </c>
      <c r="IM9" s="112"/>
      <c r="IN9" s="112"/>
      <c r="IO9" s="112"/>
      <c r="IP9" s="116"/>
      <c r="IQ9" s="165">
        <f>IFERROR((((COUNTIF('Elève (3ème2)'!IK9:IP9,"A"))*4)+((COUNTIF('Elève (3ème2)'!IK9:IP9,"B"))*3)+((COUNTIF('Elève (3ème2)'!IK9:IP9,"C"))*2)+((COUNTIF('Elève (3ème2)'!IK9:IP9,"D"))*1))/(COUNTA(IK9:IP9)),"")</f>
        <v>4</v>
      </c>
      <c r="IR9" s="166" t="str">
        <f t="shared" si="71"/>
        <v>A</v>
      </c>
      <c r="IS9" s="165">
        <f>IF(COUNT(IC9,II9,IQ9)=0,"",SUM(IC9,II9,IQ9)/COUNT(IC9,II9,IQ9))</f>
        <v>3</v>
      </c>
      <c r="IT9" s="188" t="str">
        <f t="shared" si="72"/>
        <v>B</v>
      </c>
      <c r="IU9" s="110"/>
      <c r="IV9" s="111" t="s">
        <v>29</v>
      </c>
      <c r="IW9" s="112"/>
      <c r="IX9" s="165">
        <f>IFERROR((((COUNTIF('Elève (3ème2)'!IU9:IW9,"A"))*4)+((COUNTIF('Elève (3ème2)'!IU9:IW9,"B"))*3)+((COUNTIF('Elève (3ème2)'!IU9:IW9,"C"))*2)+((COUNTIF('Elève (3ème2)'!IU9:IW9,"D"))*1))/(COUNTA(IU9:IW9)),"")</f>
        <v>2</v>
      </c>
      <c r="IY9" s="166" t="str">
        <f t="shared" si="73"/>
        <v>C</v>
      </c>
      <c r="IZ9" s="110"/>
      <c r="JA9" s="111"/>
      <c r="JB9" s="112"/>
      <c r="JC9" s="112"/>
      <c r="JD9" s="165" t="str">
        <f>IFERROR((((COUNTIF('Elève (3ème2)'!IZ9:JC9,"A"))*4)+((COUNTIF('Elève (3ème2)'!IZ9:JC9,"B"))*3)+((COUNTIF('Elève (3ème2)'!IZ9:JC9,"C"))*2)+((COUNTIF('Elève (3ème2)'!IZ9:JC9,"D"))*1))/(COUNTA(IZ9:JC9)),"")</f>
        <v/>
      </c>
      <c r="JE9" s="166" t="str">
        <f t="shared" si="74"/>
        <v/>
      </c>
      <c r="JF9" s="110"/>
      <c r="JG9" s="111" t="s">
        <v>29</v>
      </c>
      <c r="JH9" s="112"/>
      <c r="JI9" s="112"/>
      <c r="JJ9" s="112"/>
      <c r="JK9" s="116"/>
      <c r="JL9" s="165">
        <f>IFERROR((((COUNTIF('Elève (3ème2)'!JF9:JK9,"A"))*4)+((COUNTIF('Elève (3ème2)'!JF9:JK9,"B"))*3)+((COUNTIF('Elève (3ème2)'!JF9:JK9,"C"))*2)+((COUNTIF('Elève (3ème2)'!JF9:JK9,"D"))*1))/(COUNTA(JF9:JK9)),"")</f>
        <v>2</v>
      </c>
      <c r="JM9" s="166" t="str">
        <f t="shared" si="75"/>
        <v>C</v>
      </c>
      <c r="JN9" s="165">
        <f>IF(COUNT(IX9,JD9,JL9)=0,"",SUM(IX9,JD9,JL9)/COUNT(IX9,JD9,JL9))</f>
        <v>2</v>
      </c>
      <c r="JO9" s="188" t="str">
        <f t="shared" si="76"/>
        <v>C</v>
      </c>
      <c r="JP9" s="110"/>
      <c r="JQ9" s="111" t="s">
        <v>30</v>
      </c>
      <c r="JR9" s="112"/>
      <c r="JS9" s="165">
        <f>IFERROR((((COUNTIF('Elève (3ème2)'!JP9:JR9,"A"))*4)+((COUNTIF('Elève (3ème2)'!JP9:JR9,"B"))*3)+((COUNTIF('Elève (3ème2)'!JP9:JR9,"C"))*2)+((COUNTIF('Elève (3ème2)'!JP9:JR9,"D"))*1))/(COUNTA(JP9:JR9)),"")</f>
        <v>1</v>
      </c>
      <c r="JT9" s="166" t="str">
        <f t="shared" si="77"/>
        <v>D</v>
      </c>
      <c r="JU9" s="110"/>
      <c r="JV9" s="111"/>
      <c r="JW9" s="112"/>
      <c r="JX9" s="112"/>
      <c r="JY9" s="165" t="str">
        <f>IFERROR((((COUNTIF('Elève (3ème2)'!JU9:JX9,"A"))*4)+((COUNTIF('Elève (3ème2)'!JU9:JX9,"B"))*3)+((COUNTIF('Elève (3ème2)'!JU9:JX9,"C"))*2)+((COUNTIF('Elève (3ème2)'!JU9:JX9,"D"))*1))/(COUNTA(JU9:JX9)),"")</f>
        <v/>
      </c>
      <c r="JZ9" s="166" t="str">
        <f t="shared" si="78"/>
        <v/>
      </c>
      <c r="KA9" s="110"/>
      <c r="KB9" s="111" t="s">
        <v>28</v>
      </c>
      <c r="KC9" s="112"/>
      <c r="KD9" s="112"/>
      <c r="KE9" s="112"/>
      <c r="KF9" s="116"/>
      <c r="KG9" s="165">
        <f>IFERROR((((COUNTIF('Elève (3ème2)'!KA9:KF9,"A"))*4)+((COUNTIF('Elève (3ème2)'!KA9:KF9,"B"))*3)+((COUNTIF('Elève (3ème2)'!KA9:KF9,"C"))*2)+((COUNTIF('Elève (3ème2)'!KA9:KF9,"D"))*1))/(COUNTA(KA9:KF9)),"")</f>
        <v>3</v>
      </c>
      <c r="KH9" s="166" t="str">
        <f t="shared" si="79"/>
        <v>B</v>
      </c>
      <c r="KI9" s="165">
        <f>IF(COUNT(JS9,JY9,KG9)=0,"",SUM(JS9,JY9,KG9)/COUNT(JS9,JY9,KG9))</f>
        <v>2</v>
      </c>
      <c r="KJ9" s="188" t="str">
        <f t="shared" si="80"/>
        <v>C</v>
      </c>
      <c r="KK9" s="110"/>
      <c r="KL9" s="111" t="s">
        <v>30</v>
      </c>
      <c r="KM9" s="112"/>
      <c r="KN9" s="165">
        <f>IFERROR((((COUNTIF('Elève (3ème2)'!KK9:KM9,"A"))*4)+((COUNTIF('Elève (3ème2)'!KK9:KM9,"B"))*3)+((COUNTIF('Elève (3ème2)'!KK9:KM9,"C"))*2)+((COUNTIF('Elève (3ème2)'!KK9:KM9,"D"))*1))/(COUNTA(KK9:KM9)),"")</f>
        <v>1</v>
      </c>
      <c r="KO9" s="166" t="str">
        <f t="shared" si="81"/>
        <v>D</v>
      </c>
      <c r="KP9" s="110"/>
      <c r="KQ9" s="111"/>
      <c r="KR9" s="112"/>
      <c r="KS9" s="112"/>
      <c r="KT9" s="165" t="str">
        <f>IFERROR((((COUNTIF('Elève (3ème2)'!KP9:KS9,"A"))*4)+((COUNTIF('Elève (3ème2)'!KP9:KS9,"B"))*3)+((COUNTIF('Elève (3ème2)'!KP9:KS9,"C"))*2)+((COUNTIF('Elève (3ème2)'!KP9:KS9,"D"))*1))/(COUNTA(KP9:KS9)),"")</f>
        <v/>
      </c>
      <c r="KU9" s="166" t="str">
        <f t="shared" si="82"/>
        <v/>
      </c>
      <c r="KV9" s="110"/>
      <c r="KW9" s="111" t="s">
        <v>28</v>
      </c>
      <c r="KX9" s="112"/>
      <c r="KY9" s="112"/>
      <c r="KZ9" s="112"/>
      <c r="LA9" s="116"/>
      <c r="LB9" s="165">
        <f>IFERROR((((COUNTIF('Elève (3ème2)'!KV9:LA9,"A"))*4)+((COUNTIF('Elève (3ème2)'!KV9:LA9,"B"))*3)+((COUNTIF('Elève (3ème2)'!KV9:LA9,"C"))*2)+((COUNTIF('Elève (3ème2)'!KV9:LA9,"D"))*1))/(COUNTA(KV9:LA9)),"")</f>
        <v>3</v>
      </c>
      <c r="LC9" s="166" t="str">
        <f t="shared" si="83"/>
        <v>B</v>
      </c>
      <c r="LD9" s="165">
        <f>IF(COUNT(KN9,KT9,LB9)=0,"",SUM(KN9,KT9,LB9)/COUNT(KN9,KT9,LB9))</f>
        <v>2</v>
      </c>
      <c r="LE9" s="188" t="str">
        <f t="shared" si="84"/>
        <v>C</v>
      </c>
      <c r="LF9" s="110"/>
      <c r="LG9" s="111" t="s">
        <v>30</v>
      </c>
      <c r="LH9" s="112"/>
      <c r="LI9" s="165">
        <f>IFERROR((((COUNTIF('Elève (3ème2)'!LF9:LH9,"A"))*4)+((COUNTIF('Elève (3ème2)'!LF9:LH9,"B"))*3)+((COUNTIF('Elève (3ème2)'!LF9:LH9,"C"))*2)+((COUNTIF('Elève (3ème2)'!LF9:LH9,"D"))*1))/(COUNTA(LF9:LH9)),"")</f>
        <v>1</v>
      </c>
      <c r="LJ9" s="166" t="str">
        <f t="shared" si="85"/>
        <v>D</v>
      </c>
      <c r="LK9" s="110"/>
      <c r="LL9" s="111"/>
      <c r="LM9" s="112"/>
      <c r="LN9" s="112"/>
      <c r="LO9" s="165" t="str">
        <f>IFERROR((((COUNTIF('Elève (3ème2)'!LK9:LN9,"A"))*4)+((COUNTIF('Elève (3ème2)'!LK9:LN9,"B"))*3)+((COUNTIF('Elève (3ème2)'!LK9:LN9,"C"))*2)+((COUNTIF('Elève (3ème2)'!LK9:LN9,"D"))*1))/(COUNTA(LK9:LN9)),"")</f>
        <v/>
      </c>
      <c r="LP9" s="166" t="str">
        <f t="shared" si="86"/>
        <v/>
      </c>
      <c r="LQ9" s="110"/>
      <c r="LR9" s="111" t="s">
        <v>30</v>
      </c>
      <c r="LS9" s="112"/>
      <c r="LT9" s="112"/>
      <c r="LU9" s="112"/>
      <c r="LV9" s="116"/>
      <c r="LW9" s="165">
        <f>IFERROR((((COUNTIF('Elève (3ème2)'!LQ9:LV9,"A"))*4)+((COUNTIF('Elève (3ème2)'!LQ9:LV9,"B"))*3)+((COUNTIF('Elève (3ème2)'!LQ9:LV9,"C"))*2)+((COUNTIF('Elève (3ème2)'!LQ9:LV9,"D"))*1))/(COUNTA(LQ9:LV9)),"")</f>
        <v>1</v>
      </c>
      <c r="LX9" s="166" t="str">
        <f t="shared" si="87"/>
        <v>D</v>
      </c>
      <c r="LY9" s="165">
        <f>IF(COUNT(LI9,LO9,LW9)=0,"",SUM(LI9,LO9,LW9)/COUNT(LI9,LO9,LW9))</f>
        <v>1</v>
      </c>
      <c r="LZ9" s="188" t="str">
        <f t="shared" si="88"/>
        <v>D</v>
      </c>
      <c r="MA9" s="110"/>
      <c r="MB9" s="111" t="s">
        <v>29</v>
      </c>
      <c r="MC9" s="112"/>
      <c r="MD9" s="165">
        <f>IFERROR((((COUNTIF('Elève (3ème2)'!MA9:MC9,"A"))*4)+((COUNTIF('Elève (3ème2)'!MA9:MC9,"B"))*3)+((COUNTIF('Elève (3ème2)'!MA9:MC9,"C"))*2)+((COUNTIF('Elève (3ème2)'!MA9:MC9,"D"))*1))/(COUNTA(MA9:MC9)),"")</f>
        <v>2</v>
      </c>
      <c r="ME9" s="166" t="str">
        <f t="shared" si="89"/>
        <v>C</v>
      </c>
      <c r="MF9" s="110"/>
      <c r="MG9" s="111"/>
      <c r="MH9" s="112"/>
      <c r="MI9" s="112"/>
      <c r="MJ9" s="165" t="str">
        <f>IFERROR((((COUNTIF('Elève (3ème2)'!MF9:MI9,"A"))*4)+((COUNTIF('Elève (3ème2)'!MF9:MI9,"B"))*3)+((COUNTIF('Elève (3ème2)'!MF9:MI9,"C"))*2)+((COUNTIF('Elève (3ème2)'!MF9:MI9,"D"))*1))/(COUNTA(MF9:MI9)),"")</f>
        <v/>
      </c>
      <c r="MK9" s="166" t="str">
        <f t="shared" si="90"/>
        <v/>
      </c>
      <c r="ML9" s="110"/>
      <c r="MM9" s="111" t="s">
        <v>29</v>
      </c>
      <c r="MN9" s="112"/>
      <c r="MO9" s="112"/>
      <c r="MP9" s="112"/>
      <c r="MQ9" s="116"/>
      <c r="MR9" s="165">
        <f>IFERROR((((COUNTIF('Elève (3ème2)'!ML9:MQ9,"A"))*4)+((COUNTIF('Elève (3ème2)'!ML9:MQ9,"B"))*3)+((COUNTIF('Elève (3ème2)'!ML9:MQ9,"C"))*2)+((COUNTIF('Elève (3ème2)'!ML9:MQ9,"D"))*1))/(COUNTA(ML9:MQ9)),"")</f>
        <v>2</v>
      </c>
      <c r="MS9" s="166" t="str">
        <f t="shared" si="91"/>
        <v>C</v>
      </c>
      <c r="MT9" s="165">
        <f>IF(COUNT(MD9,MJ9,MR9)=0,"",SUM(MD9,MJ9,MR9)/COUNT(MD9,MJ9,MR9))</f>
        <v>2</v>
      </c>
      <c r="MU9" s="188" t="str">
        <f t="shared" si="92"/>
        <v>C</v>
      </c>
      <c r="MV9" s="110"/>
      <c r="MW9" s="111" t="s">
        <v>29</v>
      </c>
      <c r="MX9" s="112"/>
      <c r="MY9" s="165">
        <f>IFERROR((((COUNTIF('Elève (3ème2)'!MV9:MX9,"A"))*4)+((COUNTIF('Elève (3ème2)'!MV9:MX9,"B"))*3)+((COUNTIF('Elève (3ème2)'!MV9:MX9,"C"))*2)+((COUNTIF('Elève (3ème2)'!MV9:MX9,"D"))*1))/(COUNTA(MV9:MX9)),"")</f>
        <v>2</v>
      </c>
      <c r="MZ9" s="166" t="str">
        <f t="shared" si="93"/>
        <v>C</v>
      </c>
      <c r="NA9" s="110"/>
      <c r="NB9" s="111"/>
      <c r="NC9" s="112"/>
      <c r="ND9" s="112"/>
      <c r="NE9" s="165" t="str">
        <f>IFERROR((((COUNTIF('Elève (3ème2)'!NA9:ND9,"A"))*4)+((COUNTIF('Elève (3ème2)'!NA9:ND9,"B"))*3)+((COUNTIF('Elève (3ème2)'!NA9:ND9,"C"))*2)+((COUNTIF('Elève (3ème2)'!NA9:ND9,"D"))*1))/(COUNTA(NA9:ND9)),"")</f>
        <v/>
      </c>
      <c r="NF9" s="166" t="str">
        <f t="shared" si="94"/>
        <v/>
      </c>
      <c r="NG9" s="110"/>
      <c r="NH9" s="111" t="s">
        <v>28</v>
      </c>
      <c r="NI9" s="112"/>
      <c r="NJ9" s="112"/>
      <c r="NK9" s="112"/>
      <c r="NL9" s="116"/>
      <c r="NM9" s="165">
        <f>IFERROR((((COUNTIF('Elève (3ème2)'!NG9:NL9,"A"))*4)+((COUNTIF('Elève (3ème2)'!NG9:NL9,"B"))*3)+((COUNTIF('Elève (3ème2)'!NG9:NL9,"C"))*2)+((COUNTIF('Elève (3ème2)'!NG9:NL9,"D"))*1))/(COUNTA(NG9:NL9)),"")</f>
        <v>3</v>
      </c>
      <c r="NN9" s="166" t="str">
        <f t="shared" si="95"/>
        <v>B</v>
      </c>
      <c r="NO9" s="165">
        <f>IF(COUNT(MY9,NE9,NM9)=0,"",SUM(MY9,NE9,NM9)/COUNT(MY9,NE9,NM9))</f>
        <v>2.5</v>
      </c>
      <c r="NP9" s="188" t="str">
        <f t="shared" si="96"/>
        <v>C</v>
      </c>
      <c r="NQ9" s="110"/>
      <c r="NR9" s="111" t="s">
        <v>29</v>
      </c>
      <c r="NS9" s="112"/>
      <c r="NT9" s="165">
        <f>IFERROR((((COUNTIF('Elève (3ème2)'!NQ9:NS9,"A"))*4)+((COUNTIF('Elève (3ème2)'!NQ9:NS9,"B"))*3)+((COUNTIF('Elève (3ème2)'!NQ9:NS9,"C"))*2)+((COUNTIF('Elève (3ème2)'!NQ9:NS9,"D"))*1))/(COUNTA(NQ9:NS9)),"")</f>
        <v>2</v>
      </c>
      <c r="NU9" s="166" t="str">
        <f t="shared" si="97"/>
        <v>C</v>
      </c>
      <c r="NV9" s="110"/>
      <c r="NW9" s="111"/>
      <c r="NX9" s="112"/>
      <c r="NY9" s="112"/>
      <c r="NZ9" s="165" t="str">
        <f>IFERROR((((COUNTIF('Elève (3ème2)'!NV9:NY9,"A"))*4)+((COUNTIF('Elève (3ème2)'!NV9:NY9,"B"))*3)+((COUNTIF('Elève (3ème2)'!NV9:NY9,"C"))*2)+((COUNTIF('Elève (3ème2)'!NV9:NY9,"D"))*1))/(COUNTA(NV9:NY9)),"")</f>
        <v/>
      </c>
      <c r="OA9" s="166" t="str">
        <f t="shared" si="98"/>
        <v/>
      </c>
      <c r="OB9" s="110"/>
      <c r="OC9" s="111" t="s">
        <v>30</v>
      </c>
      <c r="OD9" s="112"/>
      <c r="OE9" s="112"/>
      <c r="OF9" s="112"/>
      <c r="OG9" s="116"/>
      <c r="OH9" s="165">
        <f>IFERROR((((COUNTIF('Elève (3ème2)'!OB9:OG9,"A"))*4)+((COUNTIF('Elève (3ème2)'!OB9:OG9,"B"))*3)+((COUNTIF('Elève (3ème2)'!OB9:OG9,"C"))*2)+((COUNTIF('Elève (3ème2)'!OB9:OG9,"D"))*1))/(COUNTA(OB9:OG9)),"")</f>
        <v>1</v>
      </c>
      <c r="OI9" s="166" t="str">
        <f t="shared" si="99"/>
        <v>D</v>
      </c>
      <c r="OJ9" s="165">
        <f>IF(COUNT(NT9,NZ9,OH9)=0,"",SUM(NT9,NZ9,OH9)/COUNT(NT9,NZ9,OH9))</f>
        <v>1.5</v>
      </c>
      <c r="OK9" s="188" t="str">
        <f t="shared" si="100"/>
        <v>D</v>
      </c>
      <c r="OL9" s="110"/>
      <c r="OM9" s="111" t="s">
        <v>28</v>
      </c>
      <c r="ON9" s="112"/>
      <c r="OO9" s="165">
        <f>IFERROR((((COUNTIF('Elève (3ème2)'!OL9:ON9,"A"))*4)+((COUNTIF('Elève (3ème2)'!OL9:ON9,"B"))*3)+((COUNTIF('Elève (3ème2)'!OL9:ON9,"C"))*2)+((COUNTIF('Elève (3ème2)'!OL9:ON9,"D"))*1))/(COUNTA(OL9:ON9)),"")</f>
        <v>3</v>
      </c>
      <c r="OP9" s="166" t="str">
        <f t="shared" si="101"/>
        <v>B</v>
      </c>
      <c r="OQ9" s="110"/>
      <c r="OR9" s="111"/>
      <c r="OS9" s="112"/>
      <c r="OT9" s="112"/>
      <c r="OU9" s="165" t="str">
        <f>IFERROR((((COUNTIF('Elève (3ème2)'!OQ9:OT9,"A"))*4)+((COUNTIF('Elève (3ème2)'!OQ9:OT9,"B"))*3)+((COUNTIF('Elève (3ème2)'!OQ9:OT9,"C"))*2)+((COUNTIF('Elève (3ème2)'!OQ9:OT9,"D"))*1))/(COUNTA(OQ9:OT9)),"")</f>
        <v/>
      </c>
      <c r="OV9" s="166" t="str">
        <f t="shared" si="102"/>
        <v/>
      </c>
      <c r="OW9" s="110"/>
      <c r="OX9" s="111" t="s">
        <v>27</v>
      </c>
      <c r="OY9" s="112"/>
      <c r="OZ9" s="112"/>
      <c r="PA9" s="112"/>
      <c r="PB9" s="116"/>
      <c r="PC9" s="165">
        <f>IFERROR((((COUNTIF('Elève (3ème2)'!OW9:PB9,"A"))*4)+((COUNTIF('Elève (3ème2)'!OW9:PB9,"B"))*3)+((COUNTIF('Elève (3ème2)'!OW9:PB9,"C"))*2)+((COUNTIF('Elève (3ème2)'!OW9:PB9,"D"))*1))/(COUNTA(OW9:PB9)),"")</f>
        <v>4</v>
      </c>
      <c r="PD9" s="166" t="str">
        <f t="shared" si="103"/>
        <v>A</v>
      </c>
      <c r="PE9" s="165">
        <f>IF(COUNT(OO9,OU9,PC9)=0,"",SUM(OO9,OU9,PC9)/COUNT(OO9,OU9,PC9))</f>
        <v>3.5</v>
      </c>
      <c r="PF9" s="188" t="str">
        <f t="shared" si="104"/>
        <v>B</v>
      </c>
      <c r="PG9" s="110"/>
      <c r="PH9" s="111" t="s">
        <v>29</v>
      </c>
      <c r="PI9" s="112"/>
      <c r="PJ9" s="165">
        <f>IFERROR((((COUNTIF('Elève (3ème2)'!PG9:PI9,"A"))*4)+((COUNTIF('Elève (3ème2)'!PG9:PI9,"B"))*3)+((COUNTIF('Elève (3ème2)'!PG9:PI9,"C"))*2)+((COUNTIF('Elève (3ème2)'!PG9:PI9,"D"))*1))/(COUNTA(PG9:PI9)),"")</f>
        <v>2</v>
      </c>
      <c r="PK9" s="166" t="str">
        <f t="shared" si="105"/>
        <v>C</v>
      </c>
      <c r="PL9" s="110"/>
      <c r="PM9" s="111"/>
      <c r="PN9" s="112"/>
      <c r="PO9" s="112"/>
      <c r="PP9" s="165" t="str">
        <f>IFERROR((((COUNTIF('Elève (3ème2)'!PL9:PO9,"A"))*4)+((COUNTIF('Elève (3ème2)'!PL9:PO9,"B"))*3)+((COUNTIF('Elève (3ème2)'!PL9:PO9,"C"))*2)+((COUNTIF('Elève (3ème2)'!PL9:PO9,"D"))*1))/(COUNTA(PL9:PO9)),"")</f>
        <v/>
      </c>
      <c r="PQ9" s="166" t="str">
        <f t="shared" si="106"/>
        <v/>
      </c>
      <c r="PR9" s="110"/>
      <c r="PS9" s="111" t="s">
        <v>29</v>
      </c>
      <c r="PT9" s="112"/>
      <c r="PU9" s="112"/>
      <c r="PV9" s="112"/>
      <c r="PW9" s="116"/>
      <c r="PX9" s="165">
        <f>IFERROR((((COUNTIF('Elève (3ème2)'!PR9:PW9,"A"))*4)+((COUNTIF('Elève (3ème2)'!PR9:PW9,"B"))*3)+((COUNTIF('Elève (3ème2)'!PR9:PW9,"C"))*2)+((COUNTIF('Elève (3ème2)'!PR9:PW9,"D"))*1))/(COUNTA(PR9:PW9)),"")</f>
        <v>2</v>
      </c>
      <c r="PY9" s="166" t="str">
        <f t="shared" si="107"/>
        <v>C</v>
      </c>
      <c r="PZ9" s="165">
        <f>IF(COUNT(PJ9,PP9,PX9)=0,"",SUM(PJ9,PP9,PX9)/COUNT(PJ9,PP9,PX9))</f>
        <v>2</v>
      </c>
      <c r="QA9" s="188" t="str">
        <f t="shared" si="108"/>
        <v>C</v>
      </c>
      <c r="QB9" s="110"/>
      <c r="QC9" s="111" t="s">
        <v>30</v>
      </c>
      <c r="QD9" s="112"/>
      <c r="QE9" s="165">
        <f>IFERROR((((COUNTIF('Elève (3ème2)'!QB9:QD9,"A"))*4)+((COUNTIF('Elève (3ème2)'!QB9:QD9,"B"))*3)+((COUNTIF('Elève (3ème2)'!QB9:QD9,"C"))*2)+((COUNTIF('Elève (3ème2)'!QB9:QD9,"D"))*1))/(COUNTA(QB9:QD9)),"")</f>
        <v>1</v>
      </c>
      <c r="QF9" s="166" t="str">
        <f t="shared" si="109"/>
        <v>D</v>
      </c>
      <c r="QG9" s="110"/>
      <c r="QH9" s="111"/>
      <c r="QI9" s="112"/>
      <c r="QJ9" s="112"/>
      <c r="QK9" s="165" t="str">
        <f>IFERROR((((COUNTIF('Elève (3ème2)'!QG9:QJ9,"A"))*4)+((COUNTIF('Elève (3ème2)'!QG9:QJ9,"B"))*3)+((COUNTIF('Elève (3ème2)'!QG9:QJ9,"C"))*2)+((COUNTIF('Elève (3ème2)'!QG9:QJ9,"D"))*1))/(COUNTA(QG9:QJ9)),"")</f>
        <v/>
      </c>
      <c r="QL9" s="166" t="str">
        <f t="shared" si="110"/>
        <v/>
      </c>
      <c r="QM9" s="110"/>
      <c r="QN9" s="111" t="s">
        <v>29</v>
      </c>
      <c r="QO9" s="112"/>
      <c r="QP9" s="112"/>
      <c r="QQ9" s="112"/>
      <c r="QR9" s="116"/>
      <c r="QS9" s="165">
        <f>IFERROR((((COUNTIF('Elève (3ème2)'!QM9:QR9,"A"))*4)+((COUNTIF('Elève (3ème2)'!QM9:QR9,"B"))*3)+((COUNTIF('Elève (3ème2)'!QM9:QR9,"C"))*2)+((COUNTIF('Elève (3ème2)'!QM9:QR9,"D"))*1))/(COUNTA(QM9:QR9)),"")</f>
        <v>2</v>
      </c>
      <c r="QT9" s="166" t="str">
        <f t="shared" si="111"/>
        <v>C</v>
      </c>
      <c r="QU9" s="165">
        <f>IF(COUNT(QE9,QK9,QS9)=0,"",SUM(QE9,QK9,QS9)/COUNT(QE9,QK9,QS9))</f>
        <v>1.5</v>
      </c>
      <c r="QV9" s="188" t="str">
        <f t="shared" si="112"/>
        <v>D</v>
      </c>
      <c r="QW9" s="110"/>
      <c r="QX9" s="111" t="s">
        <v>30</v>
      </c>
      <c r="QY9" s="112"/>
      <c r="QZ9" s="165">
        <f>IFERROR((((COUNTIF('Elève (3ème2)'!QW9:QY9,"A"))*4)+((COUNTIF('Elève (3ème2)'!QW9:QY9,"B"))*3)+((COUNTIF('Elève (3ème2)'!QW9:QY9,"C"))*2)+((COUNTIF('Elève (3ème2)'!QW9:QY9,"D"))*1))/(COUNTA(QW9:QY9)),"")</f>
        <v>1</v>
      </c>
      <c r="RA9" s="166" t="str">
        <f t="shared" si="113"/>
        <v>D</v>
      </c>
      <c r="RB9" s="110"/>
      <c r="RC9" s="111"/>
      <c r="RD9" s="112"/>
      <c r="RE9" s="112"/>
      <c r="RF9" s="165" t="str">
        <f>IFERROR((((COUNTIF('Elève (3ème2)'!RB9:RE9,"A"))*4)+((COUNTIF('Elève (3ème2)'!RB9:RE9,"B"))*3)+((COUNTIF('Elève (3ème2)'!RB9:RE9,"C"))*2)+((COUNTIF('Elève (3ème2)'!RB9:RE9,"D"))*1))/(COUNTA(RB9:RE9)),"")</f>
        <v/>
      </c>
      <c r="RG9" s="166" t="str">
        <f t="shared" si="114"/>
        <v/>
      </c>
      <c r="RH9" s="110"/>
      <c r="RI9" s="111" t="s">
        <v>30</v>
      </c>
      <c r="RJ9" s="112"/>
      <c r="RK9" s="112"/>
      <c r="RL9" s="112"/>
      <c r="RM9" s="116"/>
      <c r="RN9" s="165">
        <f>IFERROR((((COUNTIF('Elève (3ème2)'!RH9:RM9,"A"))*4)+((COUNTIF('Elève (3ème2)'!RH9:RM9,"B"))*3)+((COUNTIF('Elève (3ème2)'!RH9:RM9,"C"))*2)+((COUNTIF('Elève (3ème2)'!RH9:RM9,"D"))*1))/(COUNTA(RH9:RM9)),"")</f>
        <v>1</v>
      </c>
      <c r="RO9" s="166" t="str">
        <f t="shared" si="115"/>
        <v>D</v>
      </c>
      <c r="RP9" s="165">
        <f>IF(COUNT(QZ9,RF9,RN9)=0,"",SUM(QZ9,RF9,RN9)/COUNT(QZ9,RF9,RN9))</f>
        <v>1</v>
      </c>
      <c r="RQ9" s="188" t="str">
        <f t="shared" si="116"/>
        <v>D</v>
      </c>
      <c r="RR9" s="110"/>
      <c r="RS9" s="111" t="s">
        <v>30</v>
      </c>
      <c r="RT9" s="112"/>
      <c r="RU9" s="165">
        <f>IFERROR((((COUNTIF('Elève (3ème2)'!RR9:RT9,"A"))*4)+((COUNTIF('Elève (3ème2)'!RR9:RT9,"B"))*3)+((COUNTIF('Elève (3ème2)'!RR9:RT9,"C"))*2)+((COUNTIF('Elève (3ème2)'!RR9:RT9,"D"))*1))/(COUNTA(RR9:RT9)),"")</f>
        <v>1</v>
      </c>
      <c r="RV9" s="166" t="str">
        <f t="shared" si="117"/>
        <v>D</v>
      </c>
      <c r="RW9" s="110"/>
      <c r="RX9" s="111"/>
      <c r="RY9" s="112"/>
      <c r="RZ9" s="112"/>
      <c r="SA9" s="165" t="str">
        <f>IFERROR((((COUNTIF('Elève (3ème2)'!RW9:RZ9,"A"))*4)+((COUNTIF('Elève (3ème2)'!RW9:RZ9,"B"))*3)+((COUNTIF('Elève (3ème2)'!RW9:RZ9,"C"))*2)+((COUNTIF('Elève (3ème2)'!RW9:RZ9,"D"))*1))/(COUNTA(RW9:RZ9)),"")</f>
        <v/>
      </c>
      <c r="SB9" s="166" t="str">
        <f t="shared" si="118"/>
        <v/>
      </c>
      <c r="SC9" s="110"/>
      <c r="SD9" s="111" t="s">
        <v>29</v>
      </c>
      <c r="SE9" s="112"/>
      <c r="SF9" s="112"/>
      <c r="SG9" s="112"/>
      <c r="SH9" s="116"/>
      <c r="SI9" s="165">
        <f>IFERROR((((COUNTIF('Elève (3ème2)'!SC9:SH9,"A"))*4)+((COUNTIF('Elève (3ème2)'!SC9:SH9,"B"))*3)+((COUNTIF('Elève (3ème2)'!SC9:SH9,"C"))*2)+((COUNTIF('Elève (3ème2)'!SC9:SH9,"D"))*1))/(COUNTA(SC9:SH9)),"")</f>
        <v>2</v>
      </c>
      <c r="SJ9" s="166" t="str">
        <f t="shared" si="119"/>
        <v>C</v>
      </c>
      <c r="SK9" s="165">
        <f>IF(COUNT(RU9,SA9,SI9)=0,"",SUM(RU9,SA9,SI9)/COUNT(RU9,SA9,SI9))</f>
        <v>1.5</v>
      </c>
      <c r="SL9" s="188" t="str">
        <f t="shared" si="120"/>
        <v>D</v>
      </c>
      <c r="SM9" s="110"/>
      <c r="SN9" s="111" t="s">
        <v>30</v>
      </c>
      <c r="SO9" s="112"/>
      <c r="SP9" s="165">
        <f>IFERROR((((COUNTIF('Elève (3ème2)'!SM9:SO9,"A"))*4)+((COUNTIF('Elève (3ème2)'!SM9:SO9,"B"))*3)+((COUNTIF('Elève (3ème2)'!SM9:SO9,"C"))*2)+((COUNTIF('Elève (3ème2)'!SM9:SO9,"D"))*1))/(COUNTA(SM9:SO9)),"")</f>
        <v>1</v>
      </c>
      <c r="SQ9" s="166" t="str">
        <f t="shared" si="121"/>
        <v>D</v>
      </c>
      <c r="SR9" s="110"/>
      <c r="SS9" s="111"/>
      <c r="ST9" s="112"/>
      <c r="SU9" s="112"/>
      <c r="SV9" s="165" t="str">
        <f>IFERROR((((COUNTIF('Elève (3ème2)'!SR9:SU9,"A"))*4)+((COUNTIF('Elève (3ème2)'!SR9:SU9,"B"))*3)+((COUNTIF('Elève (3ème2)'!SR9:SU9,"C"))*2)+((COUNTIF('Elève (3ème2)'!SR9:SU9,"D"))*1))/(COUNTA(SR9:SU9)),"")</f>
        <v/>
      </c>
      <c r="SW9" s="166" t="str">
        <f t="shared" si="122"/>
        <v/>
      </c>
      <c r="SX9" s="110"/>
      <c r="SY9" s="111" t="s">
        <v>30</v>
      </c>
      <c r="SZ9" s="112"/>
      <c r="TA9" s="112"/>
      <c r="TB9" s="112"/>
      <c r="TC9" s="116"/>
      <c r="TD9" s="165">
        <f>IFERROR((((COUNTIF('Elève (3ème2)'!SX9:TC9,"A"))*4)+((COUNTIF('Elève (3ème2)'!SX9:TC9,"B"))*3)+((COUNTIF('Elève (3ème2)'!SX9:TC9,"C"))*2)+((COUNTIF('Elève (3ème2)'!SX9:TC9,"D"))*1))/(COUNTA(SX9:TC9)),"")</f>
        <v>1</v>
      </c>
      <c r="TE9" s="166" t="str">
        <f t="shared" si="123"/>
        <v>D</v>
      </c>
      <c r="TF9" s="165">
        <f>IF(COUNT(SP9,SV9,TD9)=0,"",SUM(SP9,SV9,TD9)/COUNT(SP9,SV9,TD9))</f>
        <v>1</v>
      </c>
      <c r="TG9" s="188" t="str">
        <f t="shared" si="124"/>
        <v>D</v>
      </c>
      <c r="TH9" s="110"/>
      <c r="TI9" s="111" t="s">
        <v>30</v>
      </c>
      <c r="TJ9" s="112"/>
      <c r="TK9" s="165">
        <f>IFERROR((((COUNTIF('Elève (3ème2)'!TH9:TJ9,"A"))*4)+((COUNTIF('Elève (3ème2)'!TH9:TJ9,"B"))*3)+((COUNTIF('Elève (3ème2)'!TH9:TJ9,"C"))*2)+((COUNTIF('Elève (3ème2)'!TH9:TJ9,"D"))*1))/(COUNTA(TH9:TJ9)),"")</f>
        <v>1</v>
      </c>
      <c r="TL9" s="166" t="str">
        <f t="shared" si="125"/>
        <v>D</v>
      </c>
      <c r="TM9" s="110"/>
      <c r="TN9" s="111"/>
      <c r="TO9" s="112"/>
      <c r="TP9" s="112"/>
      <c r="TQ9" s="165" t="str">
        <f>IFERROR((((COUNTIF('Elève (3ème2)'!TM9:TP9,"A"))*4)+((COUNTIF('Elève (3ème2)'!TM9:TP9,"B"))*3)+((COUNTIF('Elève (3ème2)'!TM9:TP9,"C"))*2)+((COUNTIF('Elève (3ème2)'!TM9:TP9,"D"))*1))/(COUNTA(TM9:TP9)),"")</f>
        <v/>
      </c>
      <c r="TR9" s="166" t="str">
        <f t="shared" si="126"/>
        <v/>
      </c>
      <c r="TS9" s="110"/>
      <c r="TT9" s="111" t="s">
        <v>30</v>
      </c>
      <c r="TU9" s="112"/>
      <c r="TV9" s="112"/>
      <c r="TW9" s="112"/>
      <c r="TX9" s="116"/>
      <c r="TY9" s="165">
        <f>IFERROR((((COUNTIF('Elève (3ème2)'!TS9:TX9,"A"))*4)+((COUNTIF('Elève (3ème2)'!TS9:TX9,"B"))*3)+((COUNTIF('Elève (3ème2)'!TS9:TX9,"C"))*2)+((COUNTIF('Elève (3ème2)'!TS9:TX9,"D"))*1))/(COUNTA(TS9:TX9)),"")</f>
        <v>1</v>
      </c>
      <c r="TZ9" s="166" t="str">
        <f t="shared" si="127"/>
        <v>D</v>
      </c>
      <c r="UA9" s="165">
        <f>IF(COUNT(TK9,TQ9,TY9)=0,"",SUM(TK9,TQ9,TY9)/COUNT(TK9,TQ9,TY9))</f>
        <v>1</v>
      </c>
      <c r="UB9" s="188" t="str">
        <f t="shared" si="128"/>
        <v>D</v>
      </c>
      <c r="UC9" s="110"/>
      <c r="UD9" s="111"/>
      <c r="UE9" s="112"/>
      <c r="UF9" s="113" t="str">
        <f>IFERROR((((COUNTIF('Elève (3ème2)'!UC9:UE9,"A"))*4)+((COUNTIF('Elève (3ème2)'!UC9:UE9,"B"))*3)+((COUNTIF('Elève (3ème2)'!UC9:UE9,"C"))*2)+((COUNTIF('Elève (3ème2)'!UC9:UE9,"D"))*1))/(COUNTA(UC9:UE9)),"")</f>
        <v/>
      </c>
      <c r="UG9" s="114" t="str">
        <f t="shared" si="129"/>
        <v/>
      </c>
      <c r="UH9" s="110"/>
      <c r="UI9" s="111"/>
      <c r="UJ9" s="112"/>
      <c r="UK9" s="113" t="str">
        <f>IFERROR((((COUNTIF('Elève (3ème2)'!UH9:UJ9,"A"))*4)+((COUNTIF('Elève (3ème2)'!UH9:UJ9,"B"))*3)+((COUNTIF('Elève (3ème2)'!UH9:UJ9,"C"))*2)+((COUNTIF('Elève (3ème2)'!UH9:UJ9,"D"))*1))/(COUNTA(UH9:UJ9)),"")</f>
        <v/>
      </c>
      <c r="UL9" s="114" t="str">
        <f t="shared" si="130"/>
        <v/>
      </c>
      <c r="UM9" s="110"/>
      <c r="UN9" s="111"/>
      <c r="UO9" s="116"/>
      <c r="UP9" s="113" t="str">
        <f>IFERROR((((COUNTIF('Elève (3ème2)'!UM9:UO9,"A"))*4)+((COUNTIF('Elève (3ème2)'!UM9:UO9,"B"))*3)+((COUNTIF('Elève (3ème2)'!UM9:UO9,"C"))*2)+((COUNTIF('Elève (3ème2)'!UM9:UO9,"D"))*1))/(COUNTA(UM9:UO9)),"")</f>
        <v/>
      </c>
      <c r="UQ9" s="114" t="str">
        <f t="shared" si="131"/>
        <v/>
      </c>
      <c r="UR9" s="113" t="str">
        <f>IF(COUNT(UF9,UK9,UP9)=0,"",SUM(UF9,UK9,UP9)/COUNT(UF9,UK9,UP9))</f>
        <v/>
      </c>
      <c r="US9" s="115" t="str">
        <f t="shared" si="132"/>
        <v/>
      </c>
      <c r="UT9" s="110"/>
      <c r="UU9" s="111"/>
      <c r="UV9" s="112"/>
      <c r="UW9" s="113" t="str">
        <f>IFERROR((((COUNTIF('Elève (3ème2)'!UT9:UV9,"A"))*4)+((COUNTIF('Elève (3ème2)'!UT9:UV9,"B"))*3)+((COUNTIF('Elève (3ème2)'!UT9:UV9,"C"))*2)+((COUNTIF('Elève (3ème2)'!UT9:UV9,"D"))*1))/(COUNTA(UT9:UV9)),"")</f>
        <v/>
      </c>
      <c r="UX9" s="114" t="str">
        <f t="shared" si="133"/>
        <v/>
      </c>
      <c r="UY9" s="110"/>
      <c r="UZ9" s="111"/>
      <c r="VA9" s="112"/>
      <c r="VB9" s="113" t="str">
        <f>IFERROR((((COUNTIF('Elève (3ème2)'!UY9:VA9,"A"))*4)+((COUNTIF('Elève (3ème2)'!UY9:VA9,"B"))*3)+((COUNTIF('Elève (3ème2)'!UY9:VA9,"C"))*2)+((COUNTIF('Elève (3ème2)'!UY9:VA9,"D"))*1))/(COUNTA(UY9:VA9)),"")</f>
        <v/>
      </c>
      <c r="VC9" s="114" t="str">
        <f t="shared" si="134"/>
        <v/>
      </c>
      <c r="VD9" s="110"/>
      <c r="VE9" s="111"/>
      <c r="VF9" s="116"/>
      <c r="VG9" s="113" t="str">
        <f>IFERROR((((COUNTIF('Elève (3ème2)'!VD9:VF9,"A"))*4)+((COUNTIF('Elève (3ème2)'!VD9:VF9,"B"))*3)+((COUNTIF('Elève (3ème2)'!VD9:VF9,"C"))*2)+((COUNTIF('Elève (3ème2)'!VD9:VF9,"D"))*1))/(COUNTA(VD9:VF9)),"")</f>
        <v/>
      </c>
      <c r="VH9" s="114" t="str">
        <f t="shared" si="135"/>
        <v/>
      </c>
      <c r="VI9" s="113" t="str">
        <f>IF(COUNT(UW9,VB9,VG9)=0,"",SUM(UW9,VB9,VG9)/COUNT(UW9,VB9,VG9))</f>
        <v/>
      </c>
      <c r="VJ9" s="115" t="str">
        <f t="shared" si="136"/>
        <v/>
      </c>
      <c r="VK9" s="110"/>
      <c r="VL9" s="111"/>
      <c r="VM9" s="112"/>
      <c r="VN9" s="113" t="str">
        <f>IFERROR((((COUNTIF('Elève (3ème2)'!VK9:VM9,"A"))*4)+((COUNTIF('Elève (3ème2)'!VK9:VM9,"B"))*3)+((COUNTIF('Elève (3ème2)'!VK9:VM9,"C"))*2)+((COUNTIF('Elève (3ème2)'!VK9:VM9,"D"))*1))/(COUNTA(VK9:VM9)),"")</f>
        <v/>
      </c>
      <c r="VO9" s="114" t="str">
        <f t="shared" si="137"/>
        <v/>
      </c>
      <c r="VP9" s="110"/>
      <c r="VQ9" s="111"/>
      <c r="VR9" s="112"/>
      <c r="VS9" s="113" t="str">
        <f>IFERROR((((COUNTIF('Elève (3ème2)'!VP9:VR9,"A"))*4)+((COUNTIF('Elève (3ème2)'!VP9:VR9,"B"))*3)+((COUNTIF('Elève (3ème2)'!VP9:VR9,"C"))*2)+((COUNTIF('Elève (3ème2)'!VP9:VR9,"D"))*1))/(COUNTA(VP9:VR9)),"")</f>
        <v/>
      </c>
      <c r="VT9" s="114" t="str">
        <f t="shared" si="138"/>
        <v/>
      </c>
      <c r="VU9" s="110"/>
      <c r="VV9" s="111"/>
      <c r="VW9" s="116"/>
      <c r="VX9" s="113" t="str">
        <f>IFERROR((((COUNTIF('Elève (3ème2)'!VU9:VW9,"A"))*4)+((COUNTIF('Elève (3ème2)'!VU9:VW9,"B"))*3)+((COUNTIF('Elève (3ème2)'!VU9:VW9,"C"))*2)+((COUNTIF('Elève (3ème2)'!VU9:VW9,"D"))*1))/(COUNTA(VU9:VW9)),"")</f>
        <v/>
      </c>
      <c r="VY9" s="114" t="str">
        <f t="shared" si="139"/>
        <v/>
      </c>
      <c r="VZ9" s="113" t="str">
        <f>IF(COUNT(VN9,VS9,VX9)=0,"",SUM(VN9,VS9,VX9)/COUNT(VN9,VS9,VX9))</f>
        <v/>
      </c>
      <c r="WA9" s="115" t="str">
        <f t="shared" si="140"/>
        <v/>
      </c>
      <c r="WB9" s="110"/>
      <c r="WC9" s="111"/>
      <c r="WD9" s="112"/>
      <c r="WE9" s="113" t="str">
        <f>IFERROR((((COUNTIF('Elève (3ème2)'!WB9:WD9,"A"))*4)+((COUNTIF('Elève (3ème2)'!WB9:WD9,"B"))*3)+((COUNTIF('Elève (3ème2)'!WB9:WD9,"C"))*2)+((COUNTIF('Elève (3ème2)'!WB9:WD9,"D"))*1))/(COUNTA(WB9:WD9)),"")</f>
        <v/>
      </c>
      <c r="WF9" s="114" t="str">
        <f t="shared" si="141"/>
        <v/>
      </c>
      <c r="WG9" s="110"/>
      <c r="WH9" s="111"/>
      <c r="WI9" s="112"/>
      <c r="WJ9" s="113" t="str">
        <f>IFERROR((((COUNTIF('Elève (3ème2)'!WG9:WI9,"A"))*4)+((COUNTIF('Elève (3ème2)'!WG9:WI9,"B"))*3)+((COUNTIF('Elève (3ème2)'!WG9:WI9,"C"))*2)+((COUNTIF('Elève (3ème2)'!WG9:WI9,"D"))*1))/(COUNTA(WG9:WI9)),"")</f>
        <v/>
      </c>
      <c r="WK9" s="114" t="str">
        <f t="shared" si="142"/>
        <v/>
      </c>
      <c r="WL9" s="110"/>
      <c r="WM9" s="111"/>
      <c r="WN9" s="116"/>
      <c r="WO9" s="113" t="str">
        <f>IFERROR((((COUNTIF('Elève (3ème2)'!WL9:WN9,"A"))*4)+((COUNTIF('Elève (3ème2)'!WL9:WN9,"B"))*3)+((COUNTIF('Elève (3ème2)'!WL9:WN9,"C"))*2)+((COUNTIF('Elève (3ème2)'!WL9:WN9,"D"))*1))/(COUNTA(WL9:WN9)),"")</f>
        <v/>
      </c>
      <c r="WP9" s="114" t="str">
        <f t="shared" si="143"/>
        <v/>
      </c>
      <c r="WQ9" s="113" t="str">
        <f>IF(COUNT(WE9,WJ9,WO9)=0,"",SUM(WE9,WJ9,WO9)/COUNT(WE9,WJ9,WO9))</f>
        <v/>
      </c>
      <c r="WR9" s="115" t="str">
        <f t="shared" si="144"/>
        <v/>
      </c>
    </row>
    <row r="10" spans="1:616" s="118" customFormat="1" ht="17.25" customHeight="1" thickBot="1" x14ac:dyDescent="0.6">
      <c r="A10" s="144" t="s">
        <v>17</v>
      </c>
      <c r="B10" s="83">
        <v>1</v>
      </c>
      <c r="C10" s="153"/>
      <c r="D10" s="90"/>
      <c r="E10" s="91"/>
      <c r="F10" s="159">
        <f>IF(COUNT(F11:F12)=0,"",SUM(F11:F12)/COUNT(F11:F12))</f>
        <v>3.25</v>
      </c>
      <c r="G10" s="160" t="str">
        <f t="shared" si="25"/>
        <v>B</v>
      </c>
      <c r="H10" s="153"/>
      <c r="I10" s="90"/>
      <c r="J10" s="90"/>
      <c r="K10" s="91"/>
      <c r="L10" s="159" t="str">
        <f>IF(COUNT(L11,L12)=0,"",SUM(L11:L12)/COUNT(L11,L12))</f>
        <v/>
      </c>
      <c r="M10" s="175" t="str">
        <f t="shared" si="26"/>
        <v/>
      </c>
      <c r="N10" s="153"/>
      <c r="O10" s="90"/>
      <c r="P10" s="90"/>
      <c r="Q10" s="90"/>
      <c r="R10" s="90"/>
      <c r="S10" s="91"/>
      <c r="T10" s="159">
        <f>IF(COUNT(T11,T12)=0,"",SUM(T11:T12)/COUNT(T11,T12))</f>
        <v>3.666666666666667</v>
      </c>
      <c r="U10" s="183" t="str">
        <f t="shared" si="27"/>
        <v>B</v>
      </c>
      <c r="V10" s="184">
        <f>IF(COUNT(V11:V12)=0,"",SUM(V11:V12)/COUNT(V11:V12))</f>
        <v>3.4583333333333335</v>
      </c>
      <c r="W10" s="185" t="str">
        <f t="shared" si="28"/>
        <v>B</v>
      </c>
      <c r="X10" s="195"/>
      <c r="Y10" s="90"/>
      <c r="Z10" s="91"/>
      <c r="AA10" s="159">
        <f>IF(COUNT(AA11:AA12)=0,"",SUM(AA11:AA12)/COUNT(AA11:AA12))</f>
        <v>3</v>
      </c>
      <c r="AB10" s="160" t="str">
        <f t="shared" si="29"/>
        <v>B</v>
      </c>
      <c r="AC10" s="153"/>
      <c r="AD10" s="90"/>
      <c r="AE10" s="90"/>
      <c r="AF10" s="91"/>
      <c r="AG10" s="159" t="str">
        <f>IF(COUNT(AG11,AG12)=0,"",SUM(AG11:AG12)/COUNT(AG11,AG12))</f>
        <v/>
      </c>
      <c r="AH10" s="175" t="str">
        <f t="shared" si="30"/>
        <v/>
      </c>
      <c r="AI10" s="153"/>
      <c r="AJ10" s="90"/>
      <c r="AK10" s="90"/>
      <c r="AL10" s="90"/>
      <c r="AM10" s="90"/>
      <c r="AN10" s="91"/>
      <c r="AO10" s="159">
        <f>IF(COUNT(AO11,AO12)=0,"",SUM(AO11:AO12)/COUNT(AO11,AO12))</f>
        <v>3</v>
      </c>
      <c r="AP10" s="183" t="str">
        <f t="shared" si="31"/>
        <v>B</v>
      </c>
      <c r="AQ10" s="184">
        <f>IF(COUNT(AQ11:AQ12)=0,"",SUM(AQ11:AQ12)/COUNT(AQ11:AQ12))</f>
        <v>3</v>
      </c>
      <c r="AR10" s="185" t="str">
        <f t="shared" si="32"/>
        <v>B</v>
      </c>
      <c r="AS10" s="195"/>
      <c r="AT10" s="90"/>
      <c r="AU10" s="91"/>
      <c r="AV10" s="159">
        <f>IF(COUNT(AV11:AV12)=0,"",SUM(AV11:AV12)/COUNT(AV11:AV12))</f>
        <v>2.75</v>
      </c>
      <c r="AW10" s="160" t="str">
        <f t="shared" si="33"/>
        <v>C</v>
      </c>
      <c r="AX10" s="153"/>
      <c r="AY10" s="90"/>
      <c r="AZ10" s="90"/>
      <c r="BA10" s="91"/>
      <c r="BB10" s="159" t="str">
        <f>IF(COUNT(BB11,BB12)=0,"",SUM(BB11:BB12)/COUNT(BB11,BB12))</f>
        <v/>
      </c>
      <c r="BC10" s="175" t="str">
        <f t="shared" si="34"/>
        <v/>
      </c>
      <c r="BD10" s="153"/>
      <c r="BE10" s="90"/>
      <c r="BF10" s="90"/>
      <c r="BG10" s="90"/>
      <c r="BH10" s="90"/>
      <c r="BI10" s="91"/>
      <c r="BJ10" s="159">
        <f>IF(COUNT(BJ11,BJ12)=0,"",SUM(BJ11:BJ12)/COUNT(BJ11,BJ12))</f>
        <v>3.9</v>
      </c>
      <c r="BK10" s="183" t="str">
        <f t="shared" si="35"/>
        <v>A</v>
      </c>
      <c r="BL10" s="184">
        <f>IF(COUNT(BL11:BL12)=0,"",SUM(BL11:BL12)/COUNT(BL11:BL12))</f>
        <v>3.3250000000000002</v>
      </c>
      <c r="BM10" s="185" t="str">
        <f t="shared" si="36"/>
        <v>B</v>
      </c>
      <c r="BN10" s="195"/>
      <c r="BO10" s="90"/>
      <c r="BP10" s="91"/>
      <c r="BQ10" s="159">
        <f>IF(COUNT(BQ11:BQ12)=0,"",SUM(BQ11:BQ12)/COUNT(BQ11:BQ12))</f>
        <v>1</v>
      </c>
      <c r="BR10" s="160" t="str">
        <f t="shared" si="37"/>
        <v>D</v>
      </c>
      <c r="BS10" s="153"/>
      <c r="BT10" s="90"/>
      <c r="BU10" s="90"/>
      <c r="BV10" s="91"/>
      <c r="BW10" s="159" t="str">
        <f>IF(COUNT(BW11,BW12)=0,"",SUM(BW11:BW12)/COUNT(BW11,BW12))</f>
        <v/>
      </c>
      <c r="BX10" s="175" t="str">
        <f t="shared" si="38"/>
        <v/>
      </c>
      <c r="BY10" s="153"/>
      <c r="BZ10" s="90"/>
      <c r="CA10" s="90"/>
      <c r="CB10" s="90"/>
      <c r="CC10" s="90"/>
      <c r="CD10" s="91"/>
      <c r="CE10" s="159">
        <f>IF(COUNT(CE11,CE12)=0,"",SUM(CE11:CE12)/COUNT(CE11,CE12))</f>
        <v>2.7</v>
      </c>
      <c r="CF10" s="183" t="str">
        <f t="shared" si="39"/>
        <v>C</v>
      </c>
      <c r="CG10" s="184">
        <f>IF(COUNT(CG11:CG12)=0,"",SUM(CG11:CG12)/COUNT(CG11:CG12))</f>
        <v>1.85</v>
      </c>
      <c r="CH10" s="185" t="str">
        <f t="shared" si="40"/>
        <v>C</v>
      </c>
      <c r="CI10" s="195"/>
      <c r="CJ10" s="90"/>
      <c r="CK10" s="91"/>
      <c r="CL10" s="159">
        <f>IF(COUNT(CL11:CL12)=0,"",SUM(CL11:CL12)/COUNT(CL11:CL12))</f>
        <v>2.75</v>
      </c>
      <c r="CM10" s="160" t="str">
        <f t="shared" si="41"/>
        <v>C</v>
      </c>
      <c r="CN10" s="153"/>
      <c r="CO10" s="90"/>
      <c r="CP10" s="90"/>
      <c r="CQ10" s="91"/>
      <c r="CR10" s="159" t="str">
        <f>IF(COUNT(CR11,CR12)=0,"",SUM(CR11:CR12)/COUNT(CR11,CR12))</f>
        <v/>
      </c>
      <c r="CS10" s="175" t="str">
        <f t="shared" si="42"/>
        <v/>
      </c>
      <c r="CT10" s="153"/>
      <c r="CU10" s="90"/>
      <c r="CV10" s="90"/>
      <c r="CW10" s="90"/>
      <c r="CX10" s="90"/>
      <c r="CY10" s="91"/>
      <c r="CZ10" s="159">
        <f>IF(COUNT(CZ11,CZ12)=0,"",SUM(CZ11:CZ12)/COUNT(CZ11,CZ12))</f>
        <v>3.9</v>
      </c>
      <c r="DA10" s="183" t="str">
        <f t="shared" si="43"/>
        <v>A</v>
      </c>
      <c r="DB10" s="184">
        <f>IF(COUNT(DB11:DB12)=0,"",SUM(DB11:DB12)/COUNT(DB11:DB12))</f>
        <v>3.3250000000000002</v>
      </c>
      <c r="DC10" s="185" t="str">
        <f t="shared" si="44"/>
        <v>B</v>
      </c>
      <c r="DD10" s="195"/>
      <c r="DE10" s="90"/>
      <c r="DF10" s="91"/>
      <c r="DG10" s="159">
        <f>IF(COUNT(DG11:DG12)=0,"",SUM(DG11:DG12)/COUNT(DG11:DG12))</f>
        <v>2.5</v>
      </c>
      <c r="DH10" s="160" t="str">
        <f t="shared" si="45"/>
        <v>C</v>
      </c>
      <c r="DI10" s="153"/>
      <c r="DJ10" s="90"/>
      <c r="DK10" s="90"/>
      <c r="DL10" s="91"/>
      <c r="DM10" s="159" t="str">
        <f>IF(COUNT(DM11,DM12)=0,"",SUM(DM11:DM12)/COUNT(DM11,DM12))</f>
        <v/>
      </c>
      <c r="DN10" s="175" t="str">
        <f t="shared" si="46"/>
        <v/>
      </c>
      <c r="DO10" s="153"/>
      <c r="DP10" s="90"/>
      <c r="DQ10" s="90"/>
      <c r="DR10" s="90"/>
      <c r="DS10" s="90"/>
      <c r="DT10" s="91"/>
      <c r="DU10" s="159">
        <f>IF(COUNT(DU11,DU12)=0,"",SUM(DU11:DU12)/COUNT(DU11,DU12))</f>
        <v>2.625</v>
      </c>
      <c r="DV10" s="183" t="str">
        <f t="shared" si="47"/>
        <v>C</v>
      </c>
      <c r="DW10" s="184">
        <f>IF(COUNT(DW11:DW12)=0,"",SUM(DW11:DW12)/COUNT(DW11:DW12))</f>
        <v>2.5625</v>
      </c>
      <c r="DX10" s="185" t="str">
        <f t="shared" si="48"/>
        <v>C</v>
      </c>
      <c r="DY10" s="195"/>
      <c r="DZ10" s="90"/>
      <c r="EA10" s="91"/>
      <c r="EB10" s="159">
        <f>IF(COUNT(EB11:EB12)=0,"",SUM(EB11:EB12)/COUNT(EB11:EB12))</f>
        <v>1.75</v>
      </c>
      <c r="EC10" s="160" t="str">
        <f t="shared" si="49"/>
        <v>C</v>
      </c>
      <c r="ED10" s="153"/>
      <c r="EE10" s="90"/>
      <c r="EF10" s="90"/>
      <c r="EG10" s="91"/>
      <c r="EH10" s="159" t="str">
        <f>IF(COUNT(EH11,EH12)=0,"",SUM(EH11:EH12)/COUNT(EH11,EH12))</f>
        <v/>
      </c>
      <c r="EI10" s="175" t="str">
        <f t="shared" si="50"/>
        <v/>
      </c>
      <c r="EJ10" s="153"/>
      <c r="EK10" s="90"/>
      <c r="EL10" s="90"/>
      <c r="EM10" s="90"/>
      <c r="EN10" s="90"/>
      <c r="EO10" s="91"/>
      <c r="EP10" s="159">
        <f>IF(COUNT(EP11,EP12)=0,"",SUM(EP11:EP12)/COUNT(EP11,EP12))</f>
        <v>3.4</v>
      </c>
      <c r="EQ10" s="183" t="str">
        <f t="shared" si="51"/>
        <v>B</v>
      </c>
      <c r="ER10" s="184">
        <f>IF(COUNT(ER11:ER12)=0,"",SUM(ER11:ER12)/COUNT(ER11:ER12))</f>
        <v>2.5750000000000002</v>
      </c>
      <c r="ES10" s="185" t="str">
        <f t="shared" si="52"/>
        <v>C</v>
      </c>
      <c r="ET10" s="195"/>
      <c r="EU10" s="90"/>
      <c r="EV10" s="91"/>
      <c r="EW10" s="159">
        <f>IF(COUNT(EW11:EW12)=0,"",SUM(EW11:EW12)/COUNT(EW11:EW12))</f>
        <v>2.25</v>
      </c>
      <c r="EX10" s="160" t="str">
        <f t="shared" si="53"/>
        <v>C</v>
      </c>
      <c r="EY10" s="153"/>
      <c r="EZ10" s="90"/>
      <c r="FA10" s="90"/>
      <c r="FB10" s="91"/>
      <c r="FC10" s="159" t="str">
        <f>IF(COUNT(FC11,FC12)=0,"",SUM(FC11:FC12)/COUNT(FC11,FC12))</f>
        <v/>
      </c>
      <c r="FD10" s="175" t="str">
        <f t="shared" si="54"/>
        <v/>
      </c>
      <c r="FE10" s="153"/>
      <c r="FF10" s="90"/>
      <c r="FG10" s="90"/>
      <c r="FH10" s="90"/>
      <c r="FI10" s="90"/>
      <c r="FJ10" s="91"/>
      <c r="FK10" s="159">
        <f>IF(COUNT(FK11,FK12)=0,"",SUM(FK11:FK12)/COUNT(FK11,FK12))</f>
        <v>2.9</v>
      </c>
      <c r="FL10" s="183" t="str">
        <f t="shared" si="55"/>
        <v>B</v>
      </c>
      <c r="FM10" s="184">
        <f>IF(COUNT(FM11:FM12)=0,"",SUM(FM11:FM12)/COUNT(FM11:FM12))</f>
        <v>2.5750000000000002</v>
      </c>
      <c r="FN10" s="185" t="str">
        <f t="shared" si="56"/>
        <v>C</v>
      </c>
      <c r="FO10" s="195"/>
      <c r="FP10" s="90"/>
      <c r="FQ10" s="91"/>
      <c r="FR10" s="159">
        <f>IF(COUNT(FR11:FR12)=0,"",SUM(FR11:FR12)/COUNT(FR11:FR12))</f>
        <v>3.5</v>
      </c>
      <c r="FS10" s="160" t="str">
        <f t="shared" si="57"/>
        <v>B</v>
      </c>
      <c r="FT10" s="153"/>
      <c r="FU10" s="90"/>
      <c r="FV10" s="90"/>
      <c r="FW10" s="91"/>
      <c r="FX10" s="159" t="str">
        <f>IF(COUNT(FX11,FX12)=0,"",SUM(FX11:FX12)/COUNT(FX11,FX12))</f>
        <v/>
      </c>
      <c r="FY10" s="175" t="str">
        <f t="shared" si="58"/>
        <v/>
      </c>
      <c r="FZ10" s="153"/>
      <c r="GA10" s="90"/>
      <c r="GB10" s="90"/>
      <c r="GC10" s="90"/>
      <c r="GD10" s="90"/>
      <c r="GE10" s="91"/>
      <c r="GF10" s="159">
        <f>IF(COUNT(GF11,GF12)=0,"",SUM(GF11:GF12)/COUNT(GF11,GF12))</f>
        <v>3.75</v>
      </c>
      <c r="GG10" s="183" t="str">
        <f t="shared" si="59"/>
        <v>A</v>
      </c>
      <c r="GH10" s="184">
        <f>IF(COUNT(GH11:GH12)=0,"",SUM(GH11:GH12)/COUNT(GH11:GH12))</f>
        <v>3.625</v>
      </c>
      <c r="GI10" s="185" t="str">
        <f t="shared" si="60"/>
        <v>B</v>
      </c>
      <c r="GJ10" s="195"/>
      <c r="GK10" s="90"/>
      <c r="GL10" s="91"/>
      <c r="GM10" s="159">
        <f>IF(COUNT(GM11:GM12)=0,"",SUM(GM11:GM12)/COUNT(GM11:GM12))</f>
        <v>2.75</v>
      </c>
      <c r="GN10" s="160" t="str">
        <f t="shared" si="61"/>
        <v>C</v>
      </c>
      <c r="GO10" s="153"/>
      <c r="GP10" s="90"/>
      <c r="GQ10" s="90"/>
      <c r="GR10" s="91"/>
      <c r="GS10" s="159" t="str">
        <f>IF(COUNT(GS11,GS12)=0,"",SUM(GS11:GS12)/COUNT(GS11,GS12))</f>
        <v/>
      </c>
      <c r="GT10" s="175" t="str">
        <f t="shared" si="62"/>
        <v/>
      </c>
      <c r="GU10" s="153"/>
      <c r="GV10" s="90"/>
      <c r="GW10" s="90"/>
      <c r="GX10" s="90"/>
      <c r="GY10" s="90"/>
      <c r="GZ10" s="91"/>
      <c r="HA10" s="159">
        <f>IF(COUNT(HA11,HA12)=0,"",SUM(HA11:HA12)/COUNT(HA11,HA12))</f>
        <v>3.1</v>
      </c>
      <c r="HB10" s="183" t="str">
        <f t="shared" si="63"/>
        <v>B</v>
      </c>
      <c r="HC10" s="184">
        <f>IF(COUNT(HC11:HC12)=0,"",SUM(HC11:HC12)/COUNT(HC11:HC12))</f>
        <v>2.9249999999999998</v>
      </c>
      <c r="HD10" s="185" t="str">
        <f t="shared" si="64"/>
        <v>B</v>
      </c>
      <c r="HE10" s="195"/>
      <c r="HF10" s="90"/>
      <c r="HG10" s="91"/>
      <c r="HH10" s="159">
        <f>IF(COUNT(HH11:HH12)=0,"",SUM(HH11:HH12)/COUNT(HH11:HH12))</f>
        <v>3</v>
      </c>
      <c r="HI10" s="160" t="str">
        <f t="shared" si="65"/>
        <v>B</v>
      </c>
      <c r="HJ10" s="153"/>
      <c r="HK10" s="90"/>
      <c r="HL10" s="90"/>
      <c r="HM10" s="91"/>
      <c r="HN10" s="159" t="str">
        <f>IF(COUNT(HN11,HN12)=0,"",SUM(HN11:HN12)/COUNT(HN11,HN12))</f>
        <v/>
      </c>
      <c r="HO10" s="175" t="str">
        <f t="shared" si="66"/>
        <v/>
      </c>
      <c r="HP10" s="153"/>
      <c r="HQ10" s="90"/>
      <c r="HR10" s="90"/>
      <c r="HS10" s="90"/>
      <c r="HT10" s="90"/>
      <c r="HU10" s="91"/>
      <c r="HV10" s="159">
        <f>IF(COUNT(HV11,HV12)=0,"",SUM(HV11:HV12)/COUNT(HV11,HV12))</f>
        <v>3.9</v>
      </c>
      <c r="HW10" s="183" t="str">
        <f t="shared" si="67"/>
        <v>A</v>
      </c>
      <c r="HX10" s="184">
        <f>IF(COUNT(HX11:HX12)=0,"",SUM(HX11:HX12)/COUNT(HX11:HX12))</f>
        <v>3.45</v>
      </c>
      <c r="HY10" s="185" t="str">
        <f t="shared" si="68"/>
        <v>B</v>
      </c>
      <c r="HZ10" s="195"/>
      <c r="IA10" s="90"/>
      <c r="IB10" s="91"/>
      <c r="IC10" s="159">
        <f>IF(COUNT(IC11:IC12)=0,"",SUM(IC11:IC12)/COUNT(IC11:IC12))</f>
        <v>2.75</v>
      </c>
      <c r="ID10" s="160" t="str">
        <f t="shared" si="69"/>
        <v>C</v>
      </c>
      <c r="IE10" s="153"/>
      <c r="IF10" s="90"/>
      <c r="IG10" s="90"/>
      <c r="IH10" s="91"/>
      <c r="II10" s="159" t="str">
        <f>IF(COUNT(II11,II12)=0,"",SUM(II11:II12)/COUNT(II11,II12))</f>
        <v/>
      </c>
      <c r="IJ10" s="175" t="str">
        <f t="shared" si="70"/>
        <v/>
      </c>
      <c r="IK10" s="153"/>
      <c r="IL10" s="90"/>
      <c r="IM10" s="90"/>
      <c r="IN10" s="90"/>
      <c r="IO10" s="90"/>
      <c r="IP10" s="91"/>
      <c r="IQ10" s="159">
        <f>IF(COUNT(IQ11,IQ12)=0,"",SUM(IQ11:IQ12)/COUNT(IQ11,IQ12))</f>
        <v>3.25</v>
      </c>
      <c r="IR10" s="183" t="str">
        <f t="shared" si="71"/>
        <v>B</v>
      </c>
      <c r="IS10" s="184">
        <f>IF(COUNT(IS11:IS12)=0,"",SUM(IS11:IS12)/COUNT(IS11:IS12))</f>
        <v>3</v>
      </c>
      <c r="IT10" s="185" t="str">
        <f t="shared" si="72"/>
        <v>B</v>
      </c>
      <c r="IU10" s="195"/>
      <c r="IV10" s="90"/>
      <c r="IW10" s="91"/>
      <c r="IX10" s="159">
        <f>IF(COUNT(IX11:IX12)=0,"",SUM(IX11:IX12)/COUNT(IX11:IX12))</f>
        <v>2.75</v>
      </c>
      <c r="IY10" s="160" t="str">
        <f t="shared" si="73"/>
        <v>C</v>
      </c>
      <c r="IZ10" s="153"/>
      <c r="JA10" s="90"/>
      <c r="JB10" s="90"/>
      <c r="JC10" s="91"/>
      <c r="JD10" s="159" t="str">
        <f>IF(COUNT(JD11,JD12)=0,"",SUM(JD11:JD12)/COUNT(JD11,JD12))</f>
        <v/>
      </c>
      <c r="JE10" s="175" t="str">
        <f t="shared" si="74"/>
        <v/>
      </c>
      <c r="JF10" s="153"/>
      <c r="JG10" s="90"/>
      <c r="JH10" s="90"/>
      <c r="JI10" s="90"/>
      <c r="JJ10" s="90"/>
      <c r="JK10" s="91"/>
      <c r="JL10" s="159">
        <f>IF(COUNT(JL11,JL12)=0,"",SUM(JL11:JL12)/COUNT(JL11,JL12))</f>
        <v>3.25</v>
      </c>
      <c r="JM10" s="183" t="str">
        <f t="shared" si="75"/>
        <v>B</v>
      </c>
      <c r="JN10" s="184">
        <f>IF(COUNT(JN11:JN12)=0,"",SUM(JN11:JN12)/COUNT(JN11:JN12))</f>
        <v>3</v>
      </c>
      <c r="JO10" s="185" t="str">
        <f t="shared" si="76"/>
        <v>B</v>
      </c>
      <c r="JP10" s="195"/>
      <c r="JQ10" s="90"/>
      <c r="JR10" s="91"/>
      <c r="JS10" s="159">
        <f>IF(COUNT(JS11:JS12)=0,"",SUM(JS11:JS12)/COUNT(JS11:JS12))</f>
        <v>3.75</v>
      </c>
      <c r="JT10" s="160" t="str">
        <f t="shared" si="77"/>
        <v>A</v>
      </c>
      <c r="JU10" s="153"/>
      <c r="JV10" s="90"/>
      <c r="JW10" s="90"/>
      <c r="JX10" s="91"/>
      <c r="JY10" s="159" t="str">
        <f>IF(COUNT(JY11,JY12)=0,"",SUM(JY11:JY12)/COUNT(JY11,JY12))</f>
        <v/>
      </c>
      <c r="JZ10" s="175" t="str">
        <f t="shared" si="78"/>
        <v/>
      </c>
      <c r="KA10" s="153"/>
      <c r="KB10" s="90"/>
      <c r="KC10" s="90"/>
      <c r="KD10" s="90"/>
      <c r="KE10" s="90"/>
      <c r="KF10" s="91"/>
      <c r="KG10" s="159">
        <f>IF(COUNT(KG11,KG12)=0,"",SUM(KG11:KG12)/COUNT(KG11,KG12))</f>
        <v>3.3</v>
      </c>
      <c r="KH10" s="183" t="str">
        <f t="shared" si="79"/>
        <v>B</v>
      </c>
      <c r="KI10" s="184">
        <f>IF(COUNT(KI11:KI12)=0,"",SUM(KI11:KI12)/COUNT(KI11:KI12))</f>
        <v>3.5249999999999999</v>
      </c>
      <c r="KJ10" s="185" t="str">
        <f t="shared" si="80"/>
        <v>B</v>
      </c>
      <c r="KK10" s="195"/>
      <c r="KL10" s="90"/>
      <c r="KM10" s="91"/>
      <c r="KN10" s="159">
        <f>IF(COUNT(KN11:KN12)=0,"",SUM(KN11:KN12)/COUNT(KN11:KN12))</f>
        <v>2.5</v>
      </c>
      <c r="KO10" s="160" t="str">
        <f t="shared" si="81"/>
        <v>C</v>
      </c>
      <c r="KP10" s="153"/>
      <c r="KQ10" s="90"/>
      <c r="KR10" s="90"/>
      <c r="KS10" s="91"/>
      <c r="KT10" s="159" t="str">
        <f>IF(COUNT(KT11,KT12)=0,"",SUM(KT11:KT12)/COUNT(KT11,KT12))</f>
        <v/>
      </c>
      <c r="KU10" s="175" t="str">
        <f t="shared" si="82"/>
        <v/>
      </c>
      <c r="KV10" s="153"/>
      <c r="KW10" s="90"/>
      <c r="KX10" s="90"/>
      <c r="KY10" s="90"/>
      <c r="KZ10" s="90"/>
      <c r="LA10" s="91"/>
      <c r="LB10" s="159">
        <f>IF(COUNT(LB11,LB12)=0,"",SUM(LB11:LB12)/COUNT(LB11,LB12))</f>
        <v>2.75</v>
      </c>
      <c r="LC10" s="183" t="str">
        <f t="shared" si="83"/>
        <v>C</v>
      </c>
      <c r="LD10" s="184">
        <f>IF(COUNT(LD11:LD12)=0,"",SUM(LD11:LD12)/COUNT(LD11:LD12))</f>
        <v>2.625</v>
      </c>
      <c r="LE10" s="185" t="str">
        <f t="shared" si="84"/>
        <v>C</v>
      </c>
      <c r="LF10" s="195"/>
      <c r="LG10" s="90"/>
      <c r="LH10" s="91"/>
      <c r="LI10" s="159">
        <f>IF(COUNT(LI11:LI12)=0,"",SUM(LI11:LI12)/COUNT(LI11:LI12))</f>
        <v>1.25</v>
      </c>
      <c r="LJ10" s="160" t="str">
        <f t="shared" si="85"/>
        <v>D</v>
      </c>
      <c r="LK10" s="153"/>
      <c r="LL10" s="90"/>
      <c r="LM10" s="90"/>
      <c r="LN10" s="91"/>
      <c r="LO10" s="159" t="str">
        <f>IF(COUNT(LO11,LO12)=0,"",SUM(LO11:LO12)/COUNT(LO11,LO12))</f>
        <v/>
      </c>
      <c r="LP10" s="175" t="str">
        <f t="shared" si="86"/>
        <v/>
      </c>
      <c r="LQ10" s="153"/>
      <c r="LR10" s="90"/>
      <c r="LS10" s="90"/>
      <c r="LT10" s="90"/>
      <c r="LU10" s="90"/>
      <c r="LV10" s="91"/>
      <c r="LW10" s="159">
        <f>IF(COUNT(LW11,LW12)=0,"",SUM(LW11:LW12)/COUNT(LW11,LW12))</f>
        <v>2.375</v>
      </c>
      <c r="LX10" s="183" t="str">
        <f t="shared" si="87"/>
        <v>C</v>
      </c>
      <c r="LY10" s="184">
        <f>IF(COUNT(LY11:LY12)=0,"",SUM(LY11:LY12)/COUNT(LY11:LY12))</f>
        <v>1.8125</v>
      </c>
      <c r="LZ10" s="185" t="str">
        <f t="shared" si="88"/>
        <v>C</v>
      </c>
      <c r="MA10" s="195"/>
      <c r="MB10" s="90"/>
      <c r="MC10" s="91"/>
      <c r="MD10" s="159">
        <f>IF(COUNT(MD11:MD12)=0,"",SUM(MD11:MD12)/COUNT(MD11:MD12))</f>
        <v>3.25</v>
      </c>
      <c r="ME10" s="160" t="str">
        <f t="shared" si="89"/>
        <v>B</v>
      </c>
      <c r="MF10" s="153"/>
      <c r="MG10" s="90"/>
      <c r="MH10" s="90"/>
      <c r="MI10" s="91"/>
      <c r="MJ10" s="159" t="str">
        <f>IF(COUNT(MJ11,MJ12)=0,"",SUM(MJ11:MJ12)/COUNT(MJ11,MJ12))</f>
        <v/>
      </c>
      <c r="MK10" s="175" t="str">
        <f t="shared" si="90"/>
        <v/>
      </c>
      <c r="ML10" s="153"/>
      <c r="MM10" s="90"/>
      <c r="MN10" s="90"/>
      <c r="MO10" s="90"/>
      <c r="MP10" s="90"/>
      <c r="MQ10" s="91"/>
      <c r="MR10" s="159">
        <f>IF(COUNT(MR11,MR12)=0,"",SUM(MR11:MR12)/COUNT(MR11,MR12))</f>
        <v>2.5</v>
      </c>
      <c r="MS10" s="183" t="str">
        <f t="shared" si="91"/>
        <v>C</v>
      </c>
      <c r="MT10" s="184">
        <f>IF(COUNT(MT11:MT12)=0,"",SUM(MT11:MT12)/COUNT(MT11:MT12))</f>
        <v>2.875</v>
      </c>
      <c r="MU10" s="185" t="str">
        <f t="shared" si="92"/>
        <v>B</v>
      </c>
      <c r="MV10" s="195"/>
      <c r="MW10" s="90"/>
      <c r="MX10" s="91"/>
      <c r="MY10" s="159">
        <f>IF(COUNT(MY11:MY12)=0,"",SUM(MY11:MY12)/COUNT(MY11:MY12))</f>
        <v>3.25</v>
      </c>
      <c r="MZ10" s="160" t="str">
        <f t="shared" si="93"/>
        <v>B</v>
      </c>
      <c r="NA10" s="153"/>
      <c r="NB10" s="90"/>
      <c r="NC10" s="90"/>
      <c r="ND10" s="91"/>
      <c r="NE10" s="159" t="str">
        <f>IF(COUNT(NE11,NE12)=0,"",SUM(NE11:NE12)/COUNT(NE11,NE12))</f>
        <v/>
      </c>
      <c r="NF10" s="175" t="str">
        <f t="shared" si="94"/>
        <v/>
      </c>
      <c r="NG10" s="153"/>
      <c r="NH10" s="90"/>
      <c r="NI10" s="90"/>
      <c r="NJ10" s="90"/>
      <c r="NK10" s="90"/>
      <c r="NL10" s="91"/>
      <c r="NM10" s="159">
        <f>IF(COUNT(NM11,NM12)=0,"",SUM(NM11:NM12)/COUNT(NM11,NM12))</f>
        <v>3.9</v>
      </c>
      <c r="NN10" s="183" t="str">
        <f t="shared" si="95"/>
        <v>A</v>
      </c>
      <c r="NO10" s="184">
        <f>IF(COUNT(NO11:NO12)=0,"",SUM(NO11:NO12)/COUNT(NO11:NO12))</f>
        <v>3.5750000000000002</v>
      </c>
      <c r="NP10" s="185" t="str">
        <f t="shared" si="96"/>
        <v>B</v>
      </c>
      <c r="NQ10" s="195"/>
      <c r="NR10" s="90"/>
      <c r="NS10" s="91"/>
      <c r="NT10" s="159">
        <f>IF(COUNT(NT11:NT12)=0,"",SUM(NT11:NT12)/COUNT(NT11:NT12))</f>
        <v>2.75</v>
      </c>
      <c r="NU10" s="160" t="str">
        <f t="shared" si="97"/>
        <v>C</v>
      </c>
      <c r="NV10" s="153"/>
      <c r="NW10" s="90"/>
      <c r="NX10" s="90"/>
      <c r="NY10" s="91"/>
      <c r="NZ10" s="159" t="str">
        <f>IF(COUNT(NZ11,NZ12)=0,"",SUM(NZ11:NZ12)/COUNT(NZ11,NZ12))</f>
        <v/>
      </c>
      <c r="OA10" s="175" t="str">
        <f t="shared" si="98"/>
        <v/>
      </c>
      <c r="OB10" s="153"/>
      <c r="OC10" s="90"/>
      <c r="OD10" s="90"/>
      <c r="OE10" s="90"/>
      <c r="OF10" s="90"/>
      <c r="OG10" s="91"/>
      <c r="OH10" s="159">
        <f>IF(COUNT(OH11,OH12)=0,"",SUM(OH11:OH12)/COUNT(OH11,OH12))</f>
        <v>2.9</v>
      </c>
      <c r="OI10" s="183" t="str">
        <f t="shared" si="99"/>
        <v>B</v>
      </c>
      <c r="OJ10" s="184">
        <f>IF(COUNT(OJ11:OJ12)=0,"",SUM(OJ11:OJ12)/COUNT(OJ11:OJ12))</f>
        <v>2.8250000000000002</v>
      </c>
      <c r="OK10" s="185" t="str">
        <f t="shared" si="100"/>
        <v>B</v>
      </c>
      <c r="OL10" s="195"/>
      <c r="OM10" s="90"/>
      <c r="ON10" s="91"/>
      <c r="OO10" s="159">
        <f>IF(COUNT(OO11:OO12)=0,"",SUM(OO11:OO12)/COUNT(OO11:OO12))</f>
        <v>3.25</v>
      </c>
      <c r="OP10" s="160" t="str">
        <f t="shared" si="101"/>
        <v>B</v>
      </c>
      <c r="OQ10" s="153"/>
      <c r="OR10" s="90"/>
      <c r="OS10" s="90"/>
      <c r="OT10" s="91"/>
      <c r="OU10" s="159" t="str">
        <f>IF(COUNT(OU11,OU12)=0,"",SUM(OU11:OU12)/COUNT(OU11,OU12))</f>
        <v/>
      </c>
      <c r="OV10" s="175" t="str">
        <f t="shared" si="102"/>
        <v/>
      </c>
      <c r="OW10" s="153"/>
      <c r="OX10" s="90"/>
      <c r="OY10" s="90"/>
      <c r="OZ10" s="90"/>
      <c r="PA10" s="90"/>
      <c r="PB10" s="91"/>
      <c r="PC10" s="159">
        <f>IF(COUNT(PC11,PC12)=0,"",SUM(PC11:PC12)/COUNT(PC11,PC12))</f>
        <v>3.8</v>
      </c>
      <c r="PD10" s="183" t="str">
        <f t="shared" si="103"/>
        <v>A</v>
      </c>
      <c r="PE10" s="184">
        <f>IF(COUNT(PE11:PE12)=0,"",SUM(PE11:PE12)/COUNT(PE11:PE12))</f>
        <v>3.5249999999999999</v>
      </c>
      <c r="PF10" s="185" t="str">
        <f t="shared" si="104"/>
        <v>B</v>
      </c>
      <c r="PG10" s="195"/>
      <c r="PH10" s="90"/>
      <c r="PI10" s="91"/>
      <c r="PJ10" s="159">
        <f>IF(COUNT(PJ11:PJ12)=0,"",SUM(PJ11:PJ12)/COUNT(PJ11:PJ12))</f>
        <v>2.5</v>
      </c>
      <c r="PK10" s="160" t="str">
        <f t="shared" si="105"/>
        <v>C</v>
      </c>
      <c r="PL10" s="153"/>
      <c r="PM10" s="90"/>
      <c r="PN10" s="90"/>
      <c r="PO10" s="91"/>
      <c r="PP10" s="159" t="str">
        <f>IF(COUNT(PP11,PP12)=0,"",SUM(PP11:PP12)/COUNT(PP11,PP12))</f>
        <v/>
      </c>
      <c r="PQ10" s="175" t="str">
        <f t="shared" si="106"/>
        <v/>
      </c>
      <c r="PR10" s="153"/>
      <c r="PS10" s="90"/>
      <c r="PT10" s="90"/>
      <c r="PU10" s="90"/>
      <c r="PV10" s="90"/>
      <c r="PW10" s="91"/>
      <c r="PX10" s="159">
        <f>IF(COUNT(PX11,PX12)=0,"",SUM(PX11:PX12)/COUNT(PX11,PX12))</f>
        <v>3.375</v>
      </c>
      <c r="PY10" s="183" t="str">
        <f t="shared" si="107"/>
        <v>B</v>
      </c>
      <c r="PZ10" s="184">
        <f>IF(COUNT(PZ11:PZ12)=0,"",SUM(PZ11:PZ12)/COUNT(PZ11:PZ12))</f>
        <v>2.9375</v>
      </c>
      <c r="QA10" s="185" t="str">
        <f t="shared" si="108"/>
        <v>B</v>
      </c>
      <c r="QB10" s="195"/>
      <c r="QC10" s="90"/>
      <c r="QD10" s="91"/>
      <c r="QE10" s="159">
        <f>IF(COUNT(QE11:QE12)=0,"",SUM(QE11:QE12)/COUNT(QE11:QE12))</f>
        <v>3.5</v>
      </c>
      <c r="QF10" s="160" t="str">
        <f t="shared" si="109"/>
        <v>B</v>
      </c>
      <c r="QG10" s="153"/>
      <c r="QH10" s="90"/>
      <c r="QI10" s="90"/>
      <c r="QJ10" s="91"/>
      <c r="QK10" s="159" t="str">
        <f>IF(COUNT(QK11,QK12)=0,"",SUM(QK11:QK12)/COUNT(QK11,QK12))</f>
        <v/>
      </c>
      <c r="QL10" s="175" t="str">
        <f t="shared" si="110"/>
        <v/>
      </c>
      <c r="QM10" s="153"/>
      <c r="QN10" s="90"/>
      <c r="QO10" s="90"/>
      <c r="QP10" s="90"/>
      <c r="QQ10" s="90"/>
      <c r="QR10" s="91"/>
      <c r="QS10" s="159">
        <f>IF(COUNT(QS11,QS12)=0,"",SUM(QS11:QS12)/COUNT(QS11,QS12))</f>
        <v>2.9</v>
      </c>
      <c r="QT10" s="183" t="str">
        <f t="shared" si="111"/>
        <v>B</v>
      </c>
      <c r="QU10" s="184">
        <f>IF(COUNT(QU11:QU12)=0,"",SUM(QU11:QU12)/COUNT(QU11:QU12))</f>
        <v>3.2</v>
      </c>
      <c r="QV10" s="185" t="str">
        <f t="shared" si="112"/>
        <v>B</v>
      </c>
      <c r="QW10" s="195"/>
      <c r="QX10" s="90"/>
      <c r="QY10" s="91"/>
      <c r="QZ10" s="159">
        <f>IF(COUNT(QZ11:QZ12)=0,"",SUM(QZ11:QZ12)/COUNT(QZ11:QZ12))</f>
        <v>3.5</v>
      </c>
      <c r="RA10" s="160" t="str">
        <f t="shared" si="113"/>
        <v>B</v>
      </c>
      <c r="RB10" s="153"/>
      <c r="RC10" s="90"/>
      <c r="RD10" s="90"/>
      <c r="RE10" s="91"/>
      <c r="RF10" s="159" t="str">
        <f>IF(COUNT(RF11,RF12)=0,"",SUM(RF11:RF12)/COUNT(RF11,RF12))</f>
        <v/>
      </c>
      <c r="RG10" s="175" t="str">
        <f t="shared" si="114"/>
        <v/>
      </c>
      <c r="RH10" s="153"/>
      <c r="RI10" s="90"/>
      <c r="RJ10" s="90"/>
      <c r="RK10" s="90"/>
      <c r="RL10" s="90"/>
      <c r="RM10" s="91"/>
      <c r="RN10" s="159">
        <f>IF(COUNT(RN11,RN12)=0,"",SUM(RN11:RN12)/COUNT(RN11,RN12))</f>
        <v>2.625</v>
      </c>
      <c r="RO10" s="183" t="str">
        <f t="shared" si="115"/>
        <v>C</v>
      </c>
      <c r="RP10" s="184">
        <f>IF(COUNT(RP11:RP12)=0,"",SUM(RP11:RP12)/COUNT(RP11:RP12))</f>
        <v>3.0625</v>
      </c>
      <c r="RQ10" s="185" t="str">
        <f t="shared" si="116"/>
        <v>B</v>
      </c>
      <c r="RR10" s="195"/>
      <c r="RS10" s="90"/>
      <c r="RT10" s="91"/>
      <c r="RU10" s="159">
        <f>IF(COUNT(RU11:RU12)=0,"",SUM(RU11:RU12)/COUNT(RU11:RU12))</f>
        <v>1.75</v>
      </c>
      <c r="RV10" s="160" t="str">
        <f t="shared" si="117"/>
        <v>C</v>
      </c>
      <c r="RW10" s="153"/>
      <c r="RX10" s="90"/>
      <c r="RY10" s="90"/>
      <c r="RZ10" s="91"/>
      <c r="SA10" s="159" t="str">
        <f>IF(COUNT(SA11,SA12)=0,"",SUM(SA11:SA12)/COUNT(SA11,SA12))</f>
        <v/>
      </c>
      <c r="SB10" s="175" t="str">
        <f t="shared" si="118"/>
        <v/>
      </c>
      <c r="SC10" s="153"/>
      <c r="SD10" s="90"/>
      <c r="SE10" s="90"/>
      <c r="SF10" s="90"/>
      <c r="SG10" s="90"/>
      <c r="SH10" s="91"/>
      <c r="SI10" s="159">
        <f>IF(COUNT(SI11,SI12)=0,"",SUM(SI11:SI12)/COUNT(SI11,SI12))</f>
        <v>2.8</v>
      </c>
      <c r="SJ10" s="183" t="str">
        <f t="shared" si="119"/>
        <v>C</v>
      </c>
      <c r="SK10" s="184">
        <f>IF(COUNT(SK11:SK12)=0,"",SUM(SK11:SK12)/COUNT(SK11:SK12))</f>
        <v>2.2749999999999999</v>
      </c>
      <c r="SL10" s="185" t="str">
        <f t="shared" si="120"/>
        <v>C</v>
      </c>
      <c r="SM10" s="195"/>
      <c r="SN10" s="90"/>
      <c r="SO10" s="91"/>
      <c r="SP10" s="159">
        <f>IF(COUNT(SP11:SP12)=0,"",SUM(SP11:SP12)/COUNT(SP11:SP12))</f>
        <v>2</v>
      </c>
      <c r="SQ10" s="160" t="str">
        <f t="shared" si="121"/>
        <v>C</v>
      </c>
      <c r="SR10" s="153"/>
      <c r="SS10" s="90"/>
      <c r="ST10" s="90"/>
      <c r="SU10" s="91"/>
      <c r="SV10" s="159" t="str">
        <f>IF(COUNT(SV11,SV12)=0,"",SUM(SV11:SV12)/COUNT(SV11,SV12))</f>
        <v/>
      </c>
      <c r="SW10" s="175" t="str">
        <f t="shared" si="122"/>
        <v/>
      </c>
      <c r="SX10" s="153"/>
      <c r="SY10" s="90"/>
      <c r="SZ10" s="90"/>
      <c r="TA10" s="90"/>
      <c r="TB10" s="90"/>
      <c r="TC10" s="91"/>
      <c r="TD10" s="159">
        <f>IF(COUNT(TD11,TD12)=0,"",SUM(TD11:TD12)/COUNT(TD11,TD12))</f>
        <v>2.9</v>
      </c>
      <c r="TE10" s="183" t="str">
        <f t="shared" si="123"/>
        <v>B</v>
      </c>
      <c r="TF10" s="184">
        <f>IF(COUNT(TF11:TF12)=0,"",SUM(TF11:TF12)/COUNT(TF11:TF12))</f>
        <v>2.4500000000000002</v>
      </c>
      <c r="TG10" s="185" t="str">
        <f t="shared" si="124"/>
        <v>C</v>
      </c>
      <c r="TH10" s="195"/>
      <c r="TI10" s="90"/>
      <c r="TJ10" s="91"/>
      <c r="TK10" s="159">
        <f>IF(COUNT(TK11:TK12)=0,"",SUM(TK11:TK12)/COUNT(TK11:TK12))</f>
        <v>3.25</v>
      </c>
      <c r="TL10" s="160" t="str">
        <f t="shared" si="125"/>
        <v>B</v>
      </c>
      <c r="TM10" s="153"/>
      <c r="TN10" s="90"/>
      <c r="TO10" s="90"/>
      <c r="TP10" s="91"/>
      <c r="TQ10" s="159" t="str">
        <f>IF(COUNT(TQ11,TQ12)=0,"",SUM(TQ11:TQ12)/COUNT(TQ11,TQ12))</f>
        <v/>
      </c>
      <c r="TR10" s="175" t="str">
        <f t="shared" si="126"/>
        <v/>
      </c>
      <c r="TS10" s="153"/>
      <c r="TT10" s="90"/>
      <c r="TU10" s="90"/>
      <c r="TV10" s="90"/>
      <c r="TW10" s="90"/>
      <c r="TX10" s="91"/>
      <c r="TY10" s="159">
        <f>IF(COUNT(TY11,TY12)=0,"",SUM(TY11:TY12)/COUNT(TY11,TY12))</f>
        <v>2</v>
      </c>
      <c r="TZ10" s="183" t="str">
        <f t="shared" si="127"/>
        <v>C</v>
      </c>
      <c r="UA10" s="184">
        <f>IF(COUNT(UA11:UA12)=0,"",SUM(UA11:UA12)/COUNT(UA11:UA12))</f>
        <v>2.625</v>
      </c>
      <c r="UB10" s="185" t="str">
        <f t="shared" si="128"/>
        <v>C</v>
      </c>
      <c r="UC10" s="117"/>
      <c r="UD10" s="90"/>
      <c r="UE10" s="91"/>
      <c r="UF10" s="86" t="str">
        <f>IF(COUNT(UF11:UF12)=0,"",SUM(UF11:UF12)/COUNT(UF11:UF12))</f>
        <v/>
      </c>
      <c r="UG10" s="87" t="str">
        <f t="shared" si="129"/>
        <v/>
      </c>
      <c r="UH10" s="89"/>
      <c r="UI10" s="90"/>
      <c r="UJ10" s="91"/>
      <c r="UK10" s="86" t="str">
        <f>IF(COUNT(UK11,UK12)=0,"",SUM(UK11:UK12)/COUNT(UK11,UK12))</f>
        <v/>
      </c>
      <c r="UL10" s="88" t="str">
        <f t="shared" si="130"/>
        <v/>
      </c>
      <c r="UM10" s="89"/>
      <c r="UN10" s="90"/>
      <c r="UO10" s="91"/>
      <c r="UP10" s="86" t="str">
        <f>IF(COUNT(UP11,UP12)=0,"",SUM(UP11:UP12)/COUNT(UP11,UP12))</f>
        <v/>
      </c>
      <c r="UQ10" s="92" t="str">
        <f t="shared" si="131"/>
        <v/>
      </c>
      <c r="UR10" s="93" t="str">
        <f>IF(COUNT(UR11:UR12)=0,"",SUM(UR11:UR12)/COUNT(UR11:UR12))</f>
        <v/>
      </c>
      <c r="US10" s="94" t="str">
        <f t="shared" si="132"/>
        <v/>
      </c>
      <c r="UT10" s="117"/>
      <c r="UU10" s="90"/>
      <c r="UV10" s="91"/>
      <c r="UW10" s="86" t="str">
        <f>IF(COUNT(UW11:UW12)=0,"",SUM(UW11:UW12)/COUNT(UW11:UW12))</f>
        <v/>
      </c>
      <c r="UX10" s="87" t="str">
        <f t="shared" si="133"/>
        <v/>
      </c>
      <c r="UY10" s="89"/>
      <c r="UZ10" s="90"/>
      <c r="VA10" s="91"/>
      <c r="VB10" s="86" t="str">
        <f>IF(COUNT(VB11,VB12)=0,"",SUM(VB11:VB12)/COUNT(VB11,VB12))</f>
        <v/>
      </c>
      <c r="VC10" s="88" t="str">
        <f t="shared" si="134"/>
        <v/>
      </c>
      <c r="VD10" s="89"/>
      <c r="VE10" s="90"/>
      <c r="VF10" s="91"/>
      <c r="VG10" s="86" t="str">
        <f>IF(COUNT(VG11,VG12)=0,"",SUM(VG11:VG12)/COUNT(VG11,VG12))</f>
        <v/>
      </c>
      <c r="VH10" s="92" t="str">
        <f t="shared" si="135"/>
        <v/>
      </c>
      <c r="VI10" s="93" t="str">
        <f>IF(COUNT(VI11:VI12)=0,"",SUM(VI11:VI12)/COUNT(VI11:VI12))</f>
        <v/>
      </c>
      <c r="VJ10" s="94" t="str">
        <f t="shared" si="136"/>
        <v/>
      </c>
      <c r="VK10" s="117"/>
      <c r="VL10" s="90"/>
      <c r="VM10" s="91"/>
      <c r="VN10" s="86" t="str">
        <f>IF(COUNT(VN11:VN12)=0,"",SUM(VN11:VN12)/COUNT(VN11:VN12))</f>
        <v/>
      </c>
      <c r="VO10" s="87" t="str">
        <f t="shared" si="137"/>
        <v/>
      </c>
      <c r="VP10" s="89"/>
      <c r="VQ10" s="90"/>
      <c r="VR10" s="91"/>
      <c r="VS10" s="86" t="str">
        <f>IF(COUNT(VS11,VS12)=0,"",SUM(VS11:VS12)/COUNT(VS11,VS12))</f>
        <v/>
      </c>
      <c r="VT10" s="88" t="str">
        <f t="shared" si="138"/>
        <v/>
      </c>
      <c r="VU10" s="89"/>
      <c r="VV10" s="90"/>
      <c r="VW10" s="91"/>
      <c r="VX10" s="86" t="str">
        <f>IF(COUNT(VX11,VX12)=0,"",SUM(VX11:VX12)/COUNT(VX11,VX12))</f>
        <v/>
      </c>
      <c r="VY10" s="92" t="str">
        <f t="shared" si="139"/>
        <v/>
      </c>
      <c r="VZ10" s="93" t="str">
        <f>IF(COUNT(VZ11:VZ12)=0,"",SUM(VZ11:VZ12)/COUNT(VZ11:VZ12))</f>
        <v/>
      </c>
      <c r="WA10" s="94" t="str">
        <f t="shared" si="140"/>
        <v/>
      </c>
      <c r="WB10" s="117"/>
      <c r="WC10" s="90"/>
      <c r="WD10" s="91"/>
      <c r="WE10" s="86" t="str">
        <f>IF(COUNT(WE11:WE12)=0,"",SUM(WE11:WE12)/COUNT(WE11:WE12))</f>
        <v/>
      </c>
      <c r="WF10" s="87" t="str">
        <f t="shared" si="141"/>
        <v/>
      </c>
      <c r="WG10" s="89"/>
      <c r="WH10" s="90"/>
      <c r="WI10" s="91"/>
      <c r="WJ10" s="86" t="str">
        <f>IF(COUNT(WJ11,WJ12)=0,"",SUM(WJ11:WJ12)/COUNT(WJ11,WJ12))</f>
        <v/>
      </c>
      <c r="WK10" s="88" t="str">
        <f t="shared" si="142"/>
        <v/>
      </c>
      <c r="WL10" s="89"/>
      <c r="WM10" s="90"/>
      <c r="WN10" s="91"/>
      <c r="WO10" s="86" t="str">
        <f>IF(COUNT(WO11,WO12)=0,"",SUM(WO11:WO12)/COUNT(WO11,WO12))</f>
        <v/>
      </c>
      <c r="WP10" s="92" t="str">
        <f t="shared" si="143"/>
        <v/>
      </c>
      <c r="WQ10" s="93" t="str">
        <f>IF(COUNT(WQ11:WQ12)=0,"",SUM(WQ11:WQ12)/COUNT(WQ11:WQ12))</f>
        <v/>
      </c>
      <c r="WR10" s="94" t="str">
        <f t="shared" si="144"/>
        <v/>
      </c>
    </row>
    <row r="11" spans="1:616" ht="18" customHeight="1" x14ac:dyDescent="0.55000000000000004">
      <c r="A11" s="217" t="s">
        <v>47</v>
      </c>
      <c r="B11" s="218"/>
      <c r="C11" s="103" t="s">
        <v>27</v>
      </c>
      <c r="D11" s="104" t="s">
        <v>28</v>
      </c>
      <c r="E11" s="105"/>
      <c r="F11" s="161">
        <f>IFERROR((((COUNTIF('Elève (3ème2)'!C11:E11,"A"))*4)+((COUNTIF('Elève (3ème2)'!C11:E11,"B"))*3)+((COUNTIF('Elève (3ème2)'!C11:E11,"C"))*2)+((COUNTIF('Elève (3ème2)'!C11:E11,"D"))*1))/(COUNTA(C11:E11)),"")</f>
        <v>3.5</v>
      </c>
      <c r="G11" s="162" t="str">
        <f t="shared" si="25"/>
        <v>B</v>
      </c>
      <c r="H11" s="103"/>
      <c r="I11" s="104"/>
      <c r="J11" s="105"/>
      <c r="K11" s="105"/>
      <c r="L11" s="161" t="str">
        <f>IFERROR((((COUNTIF('Elève (3ème2)'!H11:K11,"A"))*4)+((COUNTIF('Elève (3ème2)'!H11:K11,"B"))*3)+((COUNTIF('Elève (3ème2)'!H11:K11,"C"))*2)+((COUNTIF('Elève (3ème2)'!H11:K11,"D"))*1))/(COUNTA(H11:K11)),"")</f>
        <v/>
      </c>
      <c r="M11" s="162" t="str">
        <f t="shared" si="26"/>
        <v/>
      </c>
      <c r="N11" s="103" t="s">
        <v>27</v>
      </c>
      <c r="O11" s="104" t="s">
        <v>28</v>
      </c>
      <c r="P11" s="105"/>
      <c r="Q11" s="105"/>
      <c r="R11" s="105" t="s">
        <v>28</v>
      </c>
      <c r="S11" s="105"/>
      <c r="T11" s="161">
        <f>IFERROR((((COUNTIF('Elève (3ème2)'!N11:S11,"A"))*4)+((COUNTIF('Elève (3ème2)'!N11:S11,"B"))*3)+((COUNTIF('Elève (3ème2)'!N11:S11,"C"))*2)+((COUNTIF('Elève (3ème2)'!N11:S11,"D"))*1))/(COUNTA(N11:S11)),"")</f>
        <v>3.3333333333333335</v>
      </c>
      <c r="U11" s="162" t="str">
        <f t="shared" si="27"/>
        <v>B</v>
      </c>
      <c r="V11" s="189">
        <f>IF(COUNT(F11,L11,T11)=0,"",SUM(F11,L11,T11)/COUNT(F11,L11,T11))</f>
        <v>3.416666666666667</v>
      </c>
      <c r="W11" s="186" t="str">
        <f t="shared" si="28"/>
        <v>B</v>
      </c>
      <c r="X11" s="103" t="s">
        <v>28</v>
      </c>
      <c r="Y11" s="104" t="s">
        <v>30</v>
      </c>
      <c r="Z11" s="105"/>
      <c r="AA11" s="161">
        <f>IFERROR((((COUNTIF('Elève (3ème2)'!X11:Z11,"A"))*4)+((COUNTIF('Elève (3ème2)'!X11:Z11,"B"))*3)+((COUNTIF('Elève (3ème2)'!X11:Z11,"C"))*2)+((COUNTIF('Elève (3ème2)'!X11:Z11,"D"))*1))/(COUNTA(X11:Z11)),"")</f>
        <v>2</v>
      </c>
      <c r="AB11" s="162" t="str">
        <f t="shared" si="29"/>
        <v>C</v>
      </c>
      <c r="AC11" s="103"/>
      <c r="AD11" s="104"/>
      <c r="AE11" s="105"/>
      <c r="AF11" s="105"/>
      <c r="AG11" s="161" t="str">
        <f>IFERROR((((COUNTIF('Elève (3ème2)'!AC11:AF11,"A"))*4)+((COUNTIF('Elève (3ème2)'!AC11:AF11,"B"))*3)+((COUNTIF('Elève (3ème2)'!AC11:AF11,"C"))*2)+((COUNTIF('Elève (3ème2)'!AC11:AF11,"D"))*1))/(COUNTA(AC11:AF11)),"")</f>
        <v/>
      </c>
      <c r="AH11" s="162" t="str">
        <f t="shared" si="30"/>
        <v/>
      </c>
      <c r="AI11" s="103" t="s">
        <v>27</v>
      </c>
      <c r="AJ11" s="104" t="s">
        <v>29</v>
      </c>
      <c r="AK11" s="105"/>
      <c r="AL11" s="105" t="s">
        <v>27</v>
      </c>
      <c r="AM11" s="105" t="s">
        <v>29</v>
      </c>
      <c r="AN11" s="109"/>
      <c r="AO11" s="161">
        <f>IFERROR((((COUNTIF('Elève (3ème2)'!AI11:AN11,"A"))*4)+((COUNTIF('Elève (3ème2)'!AI11:AN11,"B"))*3)+((COUNTIF('Elève (3ème2)'!AI11:AN11,"C"))*2)+((COUNTIF('Elève (3ème2)'!AI11:AN11,"D"))*1))/(COUNTA(AI11:AN11)),"")</f>
        <v>3</v>
      </c>
      <c r="AP11" s="162" t="str">
        <f t="shared" si="31"/>
        <v>B</v>
      </c>
      <c r="AQ11" s="189">
        <f>IF(COUNT(AA11,AG11,AO11)=0,"",SUM(AA11,AG11,AO11)/COUNT(AA11,AG11,AO11))</f>
        <v>2.5</v>
      </c>
      <c r="AR11" s="186" t="str">
        <f t="shared" si="32"/>
        <v>C</v>
      </c>
      <c r="AS11" s="103" t="s">
        <v>27</v>
      </c>
      <c r="AT11" s="104" t="s">
        <v>30</v>
      </c>
      <c r="AU11" s="105"/>
      <c r="AV11" s="161">
        <f>IFERROR((((COUNTIF('Elève (3ème2)'!AS11:AU11,"A"))*4)+((COUNTIF('Elève (3ème2)'!AS11:AU11,"B"))*3)+((COUNTIF('Elève (3ème2)'!AS11:AU11,"C"))*2)+((COUNTIF('Elève (3ème2)'!AS11:AU11,"D"))*1))/(COUNTA(AS11:AU11)),"")</f>
        <v>2.5</v>
      </c>
      <c r="AW11" s="162" t="str">
        <f t="shared" si="33"/>
        <v>C</v>
      </c>
      <c r="AX11" s="103"/>
      <c r="AY11" s="104"/>
      <c r="AZ11" s="105"/>
      <c r="BA11" s="105"/>
      <c r="BB11" s="161" t="str">
        <f>IFERROR((((COUNTIF('Elève (3ème2)'!AX11:BA11,"A"))*4)+((COUNTIF('Elève (3ème2)'!AX11:BA11,"B"))*3)+((COUNTIF('Elève (3ème2)'!AX11:BA11,"C"))*2)+((COUNTIF('Elève (3ème2)'!AX11:BA11,"D"))*1))/(COUNTA(AX11:BA11)),"")</f>
        <v/>
      </c>
      <c r="BC11" s="162" t="str">
        <f t="shared" si="34"/>
        <v/>
      </c>
      <c r="BD11" s="103" t="s">
        <v>27</v>
      </c>
      <c r="BE11" s="104" t="s">
        <v>28</v>
      </c>
      <c r="BF11" s="105" t="s">
        <v>27</v>
      </c>
      <c r="BG11" s="105" t="s">
        <v>27</v>
      </c>
      <c r="BH11" s="105" t="s">
        <v>27</v>
      </c>
      <c r="BI11" s="109"/>
      <c r="BJ11" s="161">
        <f>IFERROR((((COUNTIF('Elève (3ème2)'!BD11:BI11,"A"))*4)+((COUNTIF('Elève (3ème2)'!BD11:BI11,"B"))*3)+((COUNTIF('Elève (3ème2)'!BD11:BI11,"C"))*2)+((COUNTIF('Elève (3ème2)'!BD11:BI11,"D"))*1))/(COUNTA(BD11:BI11)),"")</f>
        <v>3.8</v>
      </c>
      <c r="BK11" s="162" t="str">
        <f t="shared" si="35"/>
        <v>A</v>
      </c>
      <c r="BL11" s="189">
        <f>IF(COUNT(AV11,BB11,BJ11)=0,"",SUM(AV11,BB11,BJ11)/COUNT(AV11,BB11,BJ11))</f>
        <v>3.15</v>
      </c>
      <c r="BM11" s="186" t="str">
        <f t="shared" si="36"/>
        <v>B</v>
      </c>
      <c r="BN11" s="103" t="s">
        <v>30</v>
      </c>
      <c r="BO11" s="104" t="s">
        <v>30</v>
      </c>
      <c r="BP11" s="105"/>
      <c r="BQ11" s="161">
        <f>IFERROR((((COUNTIF('Elève (3ème2)'!BN11:BP11,"A"))*4)+((COUNTIF('Elève (3ème2)'!BN11:BP11,"B"))*3)+((COUNTIF('Elève (3ème2)'!BN11:BP11,"C"))*2)+((COUNTIF('Elève (3ème2)'!BN11:BP11,"D"))*1))/(COUNTA(BN11:BP11)),"")</f>
        <v>1</v>
      </c>
      <c r="BR11" s="162" t="str">
        <f t="shared" si="37"/>
        <v>D</v>
      </c>
      <c r="BS11" s="103"/>
      <c r="BT11" s="104"/>
      <c r="BU11" s="105"/>
      <c r="BV11" s="105"/>
      <c r="BW11" s="161" t="str">
        <f>IFERROR((((COUNTIF('Elève (3ème2)'!BS11:BV11,"A"))*4)+((COUNTIF('Elève (3ème2)'!BS11:BV11,"B"))*3)+((COUNTIF('Elève (3ème2)'!BS11:BV11,"C"))*2)+((COUNTIF('Elève (3ème2)'!BS11:BV11,"D"))*1))/(COUNTA(BS11:BV11)),"")</f>
        <v/>
      </c>
      <c r="BX11" s="162" t="str">
        <f t="shared" si="38"/>
        <v/>
      </c>
      <c r="BY11" s="103" t="s">
        <v>27</v>
      </c>
      <c r="BZ11" s="104" t="s">
        <v>29</v>
      </c>
      <c r="CA11" s="105" t="s">
        <v>27</v>
      </c>
      <c r="CB11" s="105" t="s">
        <v>27</v>
      </c>
      <c r="CC11" s="105" t="s">
        <v>28</v>
      </c>
      <c r="CD11" s="109"/>
      <c r="CE11" s="161">
        <f>IFERROR((((COUNTIF('Elève (3ème2)'!BY11:CD11,"A"))*4)+((COUNTIF('Elève (3ème2)'!BY11:CD11,"B"))*3)+((COUNTIF('Elève (3ème2)'!BY11:CD11,"C"))*2)+((COUNTIF('Elève (3ème2)'!BY11:CD11,"D"))*1))/(COUNTA(BY11:CD11)),"")</f>
        <v>3.4</v>
      </c>
      <c r="CF11" s="162" t="str">
        <f t="shared" si="39"/>
        <v>B</v>
      </c>
      <c r="CG11" s="189">
        <f>IF(COUNT(BQ11,BW11,CE11)=0,"",SUM(BQ11,BW11,CE11)/COUNT(BQ11,BW11,CE11))</f>
        <v>2.2000000000000002</v>
      </c>
      <c r="CH11" s="186" t="str">
        <f t="shared" si="40"/>
        <v>C</v>
      </c>
      <c r="CI11" s="103" t="s">
        <v>28</v>
      </c>
      <c r="CJ11" s="104" t="s">
        <v>29</v>
      </c>
      <c r="CK11" s="105"/>
      <c r="CL11" s="161">
        <f>IFERROR((((COUNTIF('Elève (3ème2)'!CI11:CK11,"A"))*4)+((COUNTIF('Elève (3ème2)'!CI11:CK11,"B"))*3)+((COUNTIF('Elève (3ème2)'!CI11:CK11,"C"))*2)+((COUNTIF('Elève (3ème2)'!CI11:CK11,"D"))*1))/(COUNTA(CI11:CK11)),"")</f>
        <v>2.5</v>
      </c>
      <c r="CM11" s="162" t="str">
        <f t="shared" si="41"/>
        <v>C</v>
      </c>
      <c r="CN11" s="103"/>
      <c r="CO11" s="104"/>
      <c r="CP11" s="105"/>
      <c r="CQ11" s="105"/>
      <c r="CR11" s="161" t="str">
        <f>IFERROR((((COUNTIF('Elève (3ème2)'!CN11:CQ11,"A"))*4)+((COUNTIF('Elève (3ème2)'!CN11:CQ11,"B"))*3)+((COUNTIF('Elève (3ème2)'!CN11:CQ11,"C"))*2)+((COUNTIF('Elève (3ème2)'!CN11:CQ11,"D"))*1))/(COUNTA(CN11:CQ11)),"")</f>
        <v/>
      </c>
      <c r="CS11" s="162" t="str">
        <f t="shared" si="42"/>
        <v/>
      </c>
      <c r="CT11" s="103" t="s">
        <v>27</v>
      </c>
      <c r="CU11" s="104" t="s">
        <v>28</v>
      </c>
      <c r="CV11" s="105" t="s">
        <v>27</v>
      </c>
      <c r="CW11" s="105" t="s">
        <v>27</v>
      </c>
      <c r="CX11" s="105" t="s">
        <v>27</v>
      </c>
      <c r="CY11" s="109"/>
      <c r="CZ11" s="161">
        <f>IFERROR((((COUNTIF('Elève (3ème2)'!CT11:CY11,"A"))*4)+((COUNTIF('Elève (3ème2)'!CT11:CY11,"B"))*3)+((COUNTIF('Elève (3ème2)'!CT11:CY11,"C"))*2)+((COUNTIF('Elève (3ème2)'!CT11:CY11,"D"))*1))/(COUNTA(CT11:CY11)),"")</f>
        <v>3.8</v>
      </c>
      <c r="DA11" s="162" t="str">
        <f t="shared" si="43"/>
        <v>A</v>
      </c>
      <c r="DB11" s="189">
        <f>IF(COUNT(CL11,CR11,CZ11)=0,"",SUM(CL11,CR11,CZ11)/COUNT(CL11,CR11,CZ11))</f>
        <v>3.15</v>
      </c>
      <c r="DC11" s="186" t="str">
        <f t="shared" si="44"/>
        <v>B</v>
      </c>
      <c r="DD11" s="103" t="s">
        <v>30</v>
      </c>
      <c r="DE11" s="104" t="s">
        <v>30</v>
      </c>
      <c r="DF11" s="105"/>
      <c r="DG11" s="161">
        <f>IFERROR((((COUNTIF('Elève (3ème2)'!DD11:DF11,"A"))*4)+((COUNTIF('Elève (3ème2)'!DD11:DF11,"B"))*3)+((COUNTIF('Elève (3ème2)'!DD11:DF11,"C"))*2)+((COUNTIF('Elève (3ème2)'!DD11:DF11,"D"))*1))/(COUNTA(DD11:DF11)),"")</f>
        <v>1</v>
      </c>
      <c r="DH11" s="162" t="str">
        <f t="shared" si="45"/>
        <v>D</v>
      </c>
      <c r="DI11" s="103"/>
      <c r="DJ11" s="104"/>
      <c r="DK11" s="105"/>
      <c r="DL11" s="105"/>
      <c r="DM11" s="161" t="str">
        <f>IFERROR((((COUNTIF('Elève (3ème2)'!DI11:DL11,"A"))*4)+((COUNTIF('Elève (3ème2)'!DI11:DL11,"B"))*3)+((COUNTIF('Elève (3ème2)'!DI11:DL11,"C"))*2)+((COUNTIF('Elève (3ème2)'!DI11:DL11,"D"))*1))/(COUNTA(DI11:DL11)),"")</f>
        <v/>
      </c>
      <c r="DN11" s="162" t="str">
        <f t="shared" si="46"/>
        <v/>
      </c>
      <c r="DO11" s="103" t="s">
        <v>28</v>
      </c>
      <c r="DP11" s="104" t="s">
        <v>28</v>
      </c>
      <c r="DQ11" s="105"/>
      <c r="DR11" s="105" t="s">
        <v>27</v>
      </c>
      <c r="DS11" s="105" t="s">
        <v>28</v>
      </c>
      <c r="DT11" s="109"/>
      <c r="DU11" s="161">
        <f>IFERROR((((COUNTIF('Elève (3ème2)'!DO11:DT11,"A"))*4)+((COUNTIF('Elève (3ème2)'!DO11:DT11,"B"))*3)+((COUNTIF('Elève (3ème2)'!DO11:DT11,"C"))*2)+((COUNTIF('Elève (3ème2)'!DO11:DT11,"D"))*1))/(COUNTA(DO11:DT11)),"")</f>
        <v>3.25</v>
      </c>
      <c r="DV11" s="162" t="str">
        <f t="shared" si="47"/>
        <v>B</v>
      </c>
      <c r="DW11" s="189">
        <f>IF(COUNT(DG11,DM11,DU11)=0,"",SUM(DG11,DM11,DU11)/COUNT(DG11,DM11,DU11))</f>
        <v>2.125</v>
      </c>
      <c r="DX11" s="186" t="str">
        <f t="shared" si="48"/>
        <v>C</v>
      </c>
      <c r="DY11" s="103" t="s">
        <v>30</v>
      </c>
      <c r="DZ11" s="104" t="s">
        <v>29</v>
      </c>
      <c r="EA11" s="105"/>
      <c r="EB11" s="161">
        <f>IFERROR((((COUNTIF('Elève (3ème2)'!DY11:EA11,"A"))*4)+((COUNTIF('Elève (3ème2)'!DY11:EA11,"B"))*3)+((COUNTIF('Elève (3ème2)'!DY11:EA11,"C"))*2)+((COUNTIF('Elève (3ème2)'!DY11:EA11,"D"))*1))/(COUNTA(DY11:EA11)),"")</f>
        <v>1.5</v>
      </c>
      <c r="EC11" s="162" t="str">
        <f t="shared" si="49"/>
        <v>D</v>
      </c>
      <c r="ED11" s="103"/>
      <c r="EE11" s="104"/>
      <c r="EF11" s="105"/>
      <c r="EG11" s="105"/>
      <c r="EH11" s="161" t="str">
        <f>IFERROR((((COUNTIF('Elève (3ème2)'!ED11:EG11,"A"))*4)+((COUNTIF('Elève (3ème2)'!ED11:EG11,"B"))*3)+((COUNTIF('Elève (3ème2)'!ED11:EG11,"C"))*2)+((COUNTIF('Elève (3ème2)'!ED11:EG11,"D"))*1))/(COUNTA(ED11:EG11)),"")</f>
        <v/>
      </c>
      <c r="EI11" s="162" t="str">
        <f t="shared" si="50"/>
        <v/>
      </c>
      <c r="EJ11" s="103" t="s">
        <v>27</v>
      </c>
      <c r="EK11" s="104" t="s">
        <v>28</v>
      </c>
      <c r="EL11" s="105" t="s">
        <v>27</v>
      </c>
      <c r="EM11" s="105" t="s">
        <v>27</v>
      </c>
      <c r="EN11" s="105" t="s">
        <v>27</v>
      </c>
      <c r="EO11" s="109"/>
      <c r="EP11" s="161">
        <f>IFERROR((((COUNTIF('Elève (3ème2)'!EJ11:EO11,"A"))*4)+((COUNTIF('Elève (3ème2)'!EJ11:EO11,"B"))*3)+((COUNTIF('Elève (3ème2)'!EJ11:EO11,"C"))*2)+((COUNTIF('Elève (3ème2)'!EJ11:EO11,"D"))*1))/(COUNTA(EJ11:EO11)),"")</f>
        <v>3.8</v>
      </c>
      <c r="EQ11" s="162" t="str">
        <f t="shared" si="51"/>
        <v>A</v>
      </c>
      <c r="ER11" s="189">
        <f>IF(COUNT(EB11,EH11,EP11)=0,"",SUM(EB11,EH11,EP11)/COUNT(EB11,EH11,EP11))</f>
        <v>2.65</v>
      </c>
      <c r="ES11" s="186" t="str">
        <f t="shared" si="52"/>
        <v>C</v>
      </c>
      <c r="ET11" s="103" t="s">
        <v>30</v>
      </c>
      <c r="EU11" s="104" t="s">
        <v>29</v>
      </c>
      <c r="EV11" s="105"/>
      <c r="EW11" s="161">
        <f>IFERROR((((COUNTIF('Elève (3ème2)'!ET11:EV11,"A"))*4)+((COUNTIF('Elève (3ème2)'!ET11:EV11,"B"))*3)+((COUNTIF('Elève (3ème2)'!ET11:EV11,"C"))*2)+((COUNTIF('Elève (3ème2)'!ET11:EV11,"D"))*1))/(COUNTA(ET11:EV11)),"")</f>
        <v>1.5</v>
      </c>
      <c r="EX11" s="162" t="str">
        <f t="shared" si="53"/>
        <v>D</v>
      </c>
      <c r="EY11" s="103"/>
      <c r="EZ11" s="104"/>
      <c r="FA11" s="105"/>
      <c r="FB11" s="105"/>
      <c r="FC11" s="161" t="str">
        <f>IFERROR((((COUNTIF('Elève (3ème2)'!EY11:FB11,"A"))*4)+((COUNTIF('Elève (3ème2)'!EY11:FB11,"B"))*3)+((COUNTIF('Elève (3ème2)'!EY11:FB11,"C"))*2)+((COUNTIF('Elève (3ème2)'!EY11:FB11,"D"))*1))/(COUNTA(EY11:FB11)),"")</f>
        <v/>
      </c>
      <c r="FD11" s="162" t="str">
        <f t="shared" si="54"/>
        <v/>
      </c>
      <c r="FE11" s="103" t="s">
        <v>28</v>
      </c>
      <c r="FF11" s="104" t="s">
        <v>29</v>
      </c>
      <c r="FG11" s="105" t="s">
        <v>28</v>
      </c>
      <c r="FH11" s="105" t="s">
        <v>28</v>
      </c>
      <c r="FI11" s="105" t="s">
        <v>28</v>
      </c>
      <c r="FJ11" s="109"/>
      <c r="FK11" s="161">
        <f>IFERROR((((COUNTIF('Elève (3ème2)'!FE11:FJ11,"A"))*4)+((COUNTIF('Elève (3ème2)'!FE11:FJ11,"B"))*3)+((COUNTIF('Elève (3ème2)'!FE11:FJ11,"C"))*2)+((COUNTIF('Elève (3ème2)'!FE11:FJ11,"D"))*1))/(COUNTA(FE11:FJ11)),"")</f>
        <v>2.8</v>
      </c>
      <c r="FL11" s="162" t="str">
        <f t="shared" si="55"/>
        <v>C</v>
      </c>
      <c r="FM11" s="189">
        <f>IF(COUNT(EW11,FC11,FK11)=0,"",SUM(EW11,FC11,FK11)/COUNT(EW11,FC11,FK11))</f>
        <v>2.15</v>
      </c>
      <c r="FN11" s="186" t="str">
        <f t="shared" si="56"/>
        <v>C</v>
      </c>
      <c r="FO11" s="103" t="s">
        <v>27</v>
      </c>
      <c r="FP11" s="104" t="s">
        <v>29</v>
      </c>
      <c r="FQ11" s="105"/>
      <c r="FR11" s="161">
        <f>IFERROR((((COUNTIF('Elève (3ème2)'!FO11:FQ11,"A"))*4)+((COUNTIF('Elève (3ème2)'!FO11:FQ11,"B"))*3)+((COUNTIF('Elève (3ème2)'!FO11:FQ11,"C"))*2)+((COUNTIF('Elève (3ème2)'!FO11:FQ11,"D"))*1))/(COUNTA(FO11:FQ11)),"")</f>
        <v>3</v>
      </c>
      <c r="FS11" s="162" t="str">
        <f t="shared" si="57"/>
        <v>B</v>
      </c>
      <c r="FT11" s="103"/>
      <c r="FU11" s="104"/>
      <c r="FV11" s="105"/>
      <c r="FW11" s="105"/>
      <c r="FX11" s="161" t="str">
        <f>IFERROR((((COUNTIF('Elève (3ème2)'!FT11:FW11,"A"))*4)+((COUNTIF('Elève (3ème2)'!FT11:FW11,"B"))*3)+((COUNTIF('Elève (3ème2)'!FT11:FW11,"C"))*2)+((COUNTIF('Elève (3ème2)'!FT11:FW11,"D"))*1))/(COUNTA(FT11:FW11)),"")</f>
        <v/>
      </c>
      <c r="FY11" s="162" t="str">
        <f t="shared" si="58"/>
        <v/>
      </c>
      <c r="FZ11" s="103" t="s">
        <v>27</v>
      </c>
      <c r="GA11" s="104" t="s">
        <v>29</v>
      </c>
      <c r="GB11" s="105" t="s">
        <v>27</v>
      </c>
      <c r="GC11" s="105"/>
      <c r="GD11" s="105" t="s">
        <v>27</v>
      </c>
      <c r="GE11" s="109"/>
      <c r="GF11" s="161">
        <f>IFERROR((((COUNTIF('Elève (3ème2)'!FZ11:GE11,"A"))*4)+((COUNTIF('Elève (3ème2)'!FZ11:GE11,"B"))*3)+((COUNTIF('Elève (3ème2)'!FZ11:GE11,"C"))*2)+((COUNTIF('Elève (3ème2)'!FZ11:GE11,"D"))*1))/(COUNTA(FZ11:GE11)),"")</f>
        <v>3.5</v>
      </c>
      <c r="GG11" s="162" t="str">
        <f t="shared" si="59"/>
        <v>B</v>
      </c>
      <c r="GH11" s="189">
        <f>IF(COUNT(FR11,FX11,GF11)=0,"",SUM(FR11,FX11,GF11)/COUNT(FR11,FX11,GF11))</f>
        <v>3.25</v>
      </c>
      <c r="GI11" s="186" t="str">
        <f t="shared" si="60"/>
        <v>B</v>
      </c>
      <c r="GJ11" s="103" t="s">
        <v>30</v>
      </c>
      <c r="GK11" s="104" t="s">
        <v>29</v>
      </c>
      <c r="GL11" s="105"/>
      <c r="GM11" s="161">
        <f>IFERROR((((COUNTIF('Elève (3ème2)'!GJ11:GL11,"A"))*4)+((COUNTIF('Elève (3ème2)'!GJ11:GL11,"B"))*3)+((COUNTIF('Elève (3ème2)'!GJ11:GL11,"C"))*2)+((COUNTIF('Elève (3ème2)'!GJ11:GL11,"D"))*1))/(COUNTA(GJ11:GL11)),"")</f>
        <v>1.5</v>
      </c>
      <c r="GN11" s="162" t="str">
        <f t="shared" si="61"/>
        <v>D</v>
      </c>
      <c r="GO11" s="103"/>
      <c r="GP11" s="104"/>
      <c r="GQ11" s="105"/>
      <c r="GR11" s="105"/>
      <c r="GS11" s="161" t="str">
        <f>IFERROR((((COUNTIF('Elève (3ème2)'!GO11:GR11,"A"))*4)+((COUNTIF('Elève (3ème2)'!GO11:GR11,"B"))*3)+((COUNTIF('Elève (3ème2)'!GO11:GR11,"C"))*2)+((COUNTIF('Elève (3ème2)'!GO11:GR11,"D"))*1))/(COUNTA(GO11:GR11)),"")</f>
        <v/>
      </c>
      <c r="GT11" s="162" t="str">
        <f t="shared" si="62"/>
        <v/>
      </c>
      <c r="GU11" s="103" t="s">
        <v>28</v>
      </c>
      <c r="GV11" s="104" t="s">
        <v>29</v>
      </c>
      <c r="GW11" s="105" t="s">
        <v>27</v>
      </c>
      <c r="GX11" s="105" t="s">
        <v>27</v>
      </c>
      <c r="GY11" s="105" t="s">
        <v>28</v>
      </c>
      <c r="GZ11" s="109"/>
      <c r="HA11" s="161">
        <f>IFERROR((((COUNTIF('Elève (3ème2)'!GU11:GZ11,"A"))*4)+((COUNTIF('Elève (3ème2)'!GU11:GZ11,"B"))*3)+((COUNTIF('Elève (3ème2)'!GU11:GZ11,"C"))*2)+((COUNTIF('Elève (3ème2)'!GU11:GZ11,"D"))*1))/(COUNTA(GU11:GZ11)),"")</f>
        <v>3.2</v>
      </c>
      <c r="HB11" s="162" t="str">
        <f t="shared" si="63"/>
        <v>B</v>
      </c>
      <c r="HC11" s="189">
        <f>IF(COUNT(GM11,GS11,HA11)=0,"",SUM(GM11,GS11,HA11)/COUNT(GM11,GS11,HA11))</f>
        <v>2.35</v>
      </c>
      <c r="HD11" s="186" t="str">
        <f t="shared" si="64"/>
        <v>C</v>
      </c>
      <c r="HE11" s="103" t="s">
        <v>27</v>
      </c>
      <c r="HF11" s="104" t="s">
        <v>29</v>
      </c>
      <c r="HG11" s="105"/>
      <c r="HH11" s="161">
        <f>IFERROR((((COUNTIF('Elève (3ème2)'!HE11:HG11,"A"))*4)+((COUNTIF('Elève (3ème2)'!HE11:HG11,"B"))*3)+((COUNTIF('Elève (3ème2)'!HE11:HG11,"C"))*2)+((COUNTIF('Elève (3ème2)'!HE11:HG11,"D"))*1))/(COUNTA(HE11:HG11)),"")</f>
        <v>3</v>
      </c>
      <c r="HI11" s="162" t="str">
        <f t="shared" si="65"/>
        <v>B</v>
      </c>
      <c r="HJ11" s="103"/>
      <c r="HK11" s="104"/>
      <c r="HL11" s="105"/>
      <c r="HM11" s="105"/>
      <c r="HN11" s="161" t="str">
        <f>IFERROR((((COUNTIF('Elève (3ème2)'!HJ11:HM11,"A"))*4)+((COUNTIF('Elève (3ème2)'!HJ11:HM11,"B"))*3)+((COUNTIF('Elève (3ème2)'!HJ11:HM11,"C"))*2)+((COUNTIF('Elève (3ème2)'!HJ11:HM11,"D"))*1))/(COUNTA(HJ11:HM11)),"")</f>
        <v/>
      </c>
      <c r="HO11" s="162" t="str">
        <f t="shared" si="66"/>
        <v/>
      </c>
      <c r="HP11" s="103" t="s">
        <v>27</v>
      </c>
      <c r="HQ11" s="104" t="s">
        <v>28</v>
      </c>
      <c r="HR11" s="105" t="s">
        <v>27</v>
      </c>
      <c r="HS11" s="105" t="s">
        <v>27</v>
      </c>
      <c r="HT11" s="105" t="s">
        <v>27</v>
      </c>
      <c r="HU11" s="109"/>
      <c r="HV11" s="161">
        <f>IFERROR((((COUNTIF('Elève (3ème2)'!HP11:HU11,"A"))*4)+((COUNTIF('Elève (3ème2)'!HP11:HU11,"B"))*3)+((COUNTIF('Elève (3ème2)'!HP11:HU11,"C"))*2)+((COUNTIF('Elève (3ème2)'!HP11:HU11,"D"))*1))/(COUNTA(HP11:HU11)),"")</f>
        <v>3.8</v>
      </c>
      <c r="HW11" s="162" t="str">
        <f t="shared" si="67"/>
        <v>A</v>
      </c>
      <c r="HX11" s="189">
        <f>IF(COUNT(HH11,HN11,HV11)=0,"",SUM(HH11,HN11,HV11)/COUNT(HH11,HN11,HV11))</f>
        <v>3.4</v>
      </c>
      <c r="HY11" s="186" t="str">
        <f t="shared" si="68"/>
        <v>B</v>
      </c>
      <c r="HZ11" s="103" t="s">
        <v>30</v>
      </c>
      <c r="IA11" s="104" t="s">
        <v>29</v>
      </c>
      <c r="IB11" s="105"/>
      <c r="IC11" s="161">
        <f>IFERROR((((COUNTIF('Elève (3ème2)'!HZ11:IB11,"A"))*4)+((COUNTIF('Elève (3ème2)'!HZ11:IB11,"B"))*3)+((COUNTIF('Elève (3ème2)'!HZ11:IB11,"C"))*2)+((COUNTIF('Elève (3ème2)'!HZ11:IB11,"D"))*1))/(COUNTA(HZ11:IB11)),"")</f>
        <v>1.5</v>
      </c>
      <c r="ID11" s="162" t="str">
        <f t="shared" si="69"/>
        <v>D</v>
      </c>
      <c r="IE11" s="103"/>
      <c r="IF11" s="104"/>
      <c r="IG11" s="105"/>
      <c r="IH11" s="105"/>
      <c r="II11" s="161" t="str">
        <f>IFERROR((((COUNTIF('Elève (3ème2)'!IE11:IH11,"A"))*4)+((COUNTIF('Elève (3ème2)'!IE11:IH11,"B"))*3)+((COUNTIF('Elève (3ème2)'!IE11:IH11,"C"))*2)+((COUNTIF('Elève (3ème2)'!IE11:IH11,"D"))*1))/(COUNTA(IE11:IH11)),"")</f>
        <v/>
      </c>
      <c r="IJ11" s="162" t="str">
        <f t="shared" si="70"/>
        <v/>
      </c>
      <c r="IK11" s="103" t="s">
        <v>28</v>
      </c>
      <c r="IL11" s="104" t="s">
        <v>27</v>
      </c>
      <c r="IM11" s="105"/>
      <c r="IN11" s="105" t="s">
        <v>27</v>
      </c>
      <c r="IO11" s="105" t="s">
        <v>28</v>
      </c>
      <c r="IP11" s="109"/>
      <c r="IQ11" s="161">
        <f>IFERROR((((COUNTIF('Elève (3ème2)'!IK11:IP11,"A"))*4)+((COUNTIF('Elève (3ème2)'!IK11:IP11,"B"))*3)+((COUNTIF('Elève (3ème2)'!IK11:IP11,"C"))*2)+((COUNTIF('Elève (3ème2)'!IK11:IP11,"D"))*1))/(COUNTA(IK11:IP11)),"")</f>
        <v>3.5</v>
      </c>
      <c r="IR11" s="162" t="str">
        <f t="shared" si="71"/>
        <v>B</v>
      </c>
      <c r="IS11" s="189">
        <f>IF(COUNT(IC11,II11,IQ11)=0,"",SUM(IC11,II11,IQ11)/COUNT(IC11,II11,IQ11))</f>
        <v>2.5</v>
      </c>
      <c r="IT11" s="186" t="str">
        <f t="shared" si="72"/>
        <v>C</v>
      </c>
      <c r="IU11" s="103" t="s">
        <v>27</v>
      </c>
      <c r="IV11" s="104" t="s">
        <v>28</v>
      </c>
      <c r="IW11" s="105"/>
      <c r="IX11" s="161">
        <f>IFERROR((((COUNTIF('Elève (3ème2)'!IU11:IW11,"A"))*4)+((COUNTIF('Elève (3ème2)'!IU11:IW11,"B"))*3)+((COUNTIF('Elève (3ème2)'!IU11:IW11,"C"))*2)+((COUNTIF('Elève (3ème2)'!IU11:IW11,"D"))*1))/(COUNTA(IU11:IW11)),"")</f>
        <v>3.5</v>
      </c>
      <c r="IY11" s="162" t="str">
        <f t="shared" si="73"/>
        <v>B</v>
      </c>
      <c r="IZ11" s="103"/>
      <c r="JA11" s="104"/>
      <c r="JB11" s="105"/>
      <c r="JC11" s="105"/>
      <c r="JD11" s="161" t="str">
        <f>IFERROR((((COUNTIF('Elève (3ème2)'!IZ11:JC11,"A"))*4)+((COUNTIF('Elève (3ème2)'!IZ11:JC11,"B"))*3)+((COUNTIF('Elève (3ème2)'!IZ11:JC11,"C"))*2)+((COUNTIF('Elève (3ème2)'!IZ11:JC11,"D"))*1))/(COUNTA(IZ11:JC11)),"")</f>
        <v/>
      </c>
      <c r="JE11" s="162" t="str">
        <f t="shared" si="74"/>
        <v/>
      </c>
      <c r="JF11" s="103" t="s">
        <v>28</v>
      </c>
      <c r="JG11" s="104" t="s">
        <v>28</v>
      </c>
      <c r="JH11" s="105"/>
      <c r="JI11" s="105" t="s">
        <v>27</v>
      </c>
      <c r="JJ11" s="105" t="s">
        <v>27</v>
      </c>
      <c r="JK11" s="109"/>
      <c r="JL11" s="161">
        <f>IFERROR((((COUNTIF('Elève (3ème2)'!JF11:JK11,"A"))*4)+((COUNTIF('Elève (3ème2)'!JF11:JK11,"B"))*3)+((COUNTIF('Elève (3ème2)'!JF11:JK11,"C"))*2)+((COUNTIF('Elève (3ème2)'!JF11:JK11,"D"))*1))/(COUNTA(JF11:JK11)),"")</f>
        <v>3.5</v>
      </c>
      <c r="JM11" s="162" t="str">
        <f t="shared" si="75"/>
        <v>B</v>
      </c>
      <c r="JN11" s="189">
        <f>IF(COUNT(IX11,JD11,JL11)=0,"",SUM(IX11,JD11,JL11)/COUNT(IX11,JD11,JL11))</f>
        <v>3.5</v>
      </c>
      <c r="JO11" s="186" t="str">
        <f t="shared" si="76"/>
        <v>B</v>
      </c>
      <c r="JP11" s="103" t="s">
        <v>27</v>
      </c>
      <c r="JQ11" s="104" t="s">
        <v>28</v>
      </c>
      <c r="JR11" s="105"/>
      <c r="JS11" s="161">
        <f>IFERROR((((COUNTIF('Elève (3ème2)'!JP11:JR11,"A"))*4)+((COUNTIF('Elève (3ème2)'!JP11:JR11,"B"))*3)+((COUNTIF('Elève (3ème2)'!JP11:JR11,"C"))*2)+((COUNTIF('Elève (3ème2)'!JP11:JR11,"D"))*1))/(COUNTA(JP11:JR11)),"")</f>
        <v>3.5</v>
      </c>
      <c r="JT11" s="162" t="str">
        <f t="shared" si="77"/>
        <v>B</v>
      </c>
      <c r="JU11" s="103"/>
      <c r="JV11" s="104"/>
      <c r="JW11" s="105"/>
      <c r="JX11" s="105"/>
      <c r="JY11" s="161" t="str">
        <f>IFERROR((((COUNTIF('Elève (3ème2)'!JU11:JX11,"A"))*4)+((COUNTIF('Elève (3ème2)'!JU11:JX11,"B"))*3)+((COUNTIF('Elève (3ème2)'!JU11:JX11,"C"))*2)+((COUNTIF('Elève (3ème2)'!JU11:JX11,"D"))*1))/(COUNTA(JU11:JX11)),"")</f>
        <v/>
      </c>
      <c r="JZ11" s="162" t="str">
        <f t="shared" si="78"/>
        <v/>
      </c>
      <c r="KA11" s="103" t="s">
        <v>27</v>
      </c>
      <c r="KB11" s="104" t="s">
        <v>28</v>
      </c>
      <c r="KC11" s="105" t="s">
        <v>27</v>
      </c>
      <c r="KD11" s="105" t="s">
        <v>27</v>
      </c>
      <c r="KE11" s="105" t="s">
        <v>28</v>
      </c>
      <c r="KF11" s="109"/>
      <c r="KG11" s="161">
        <f>IFERROR((((COUNTIF('Elève (3ème2)'!KA11:KF11,"A"))*4)+((COUNTIF('Elève (3ème2)'!KA11:KF11,"B"))*3)+((COUNTIF('Elève (3ème2)'!KA11:KF11,"C"))*2)+((COUNTIF('Elève (3ème2)'!KA11:KF11,"D"))*1))/(COUNTA(KA11:KF11)),"")</f>
        <v>3.6</v>
      </c>
      <c r="KH11" s="162" t="str">
        <f t="shared" si="79"/>
        <v>B</v>
      </c>
      <c r="KI11" s="189">
        <f>IF(COUNT(JS11,JY11,KG11)=0,"",SUM(JS11,JY11,KG11)/COUNT(JS11,JY11,KG11))</f>
        <v>3.55</v>
      </c>
      <c r="KJ11" s="186" t="str">
        <f t="shared" si="80"/>
        <v>B</v>
      </c>
      <c r="KK11" s="103" t="s">
        <v>29</v>
      </c>
      <c r="KL11" s="104" t="s">
        <v>29</v>
      </c>
      <c r="KM11" s="105"/>
      <c r="KN11" s="161">
        <f>IFERROR((((COUNTIF('Elève (3ème2)'!KK11:KM11,"A"))*4)+((COUNTIF('Elève (3ème2)'!KK11:KM11,"B"))*3)+((COUNTIF('Elève (3ème2)'!KK11:KM11,"C"))*2)+((COUNTIF('Elève (3ème2)'!KK11:KM11,"D"))*1))/(COUNTA(KK11:KM11)),"")</f>
        <v>2</v>
      </c>
      <c r="KO11" s="162" t="str">
        <f t="shared" si="81"/>
        <v>C</v>
      </c>
      <c r="KP11" s="103"/>
      <c r="KQ11" s="104"/>
      <c r="KR11" s="105"/>
      <c r="KS11" s="105"/>
      <c r="KT11" s="161" t="str">
        <f>IFERROR((((COUNTIF('Elève (3ème2)'!KP11:KS11,"A"))*4)+((COUNTIF('Elève (3ème2)'!KP11:KS11,"B"))*3)+((COUNTIF('Elève (3ème2)'!KP11:KS11,"C"))*2)+((COUNTIF('Elève (3ème2)'!KP11:KS11,"D"))*1))/(COUNTA(KP11:KS11)),"")</f>
        <v/>
      </c>
      <c r="KU11" s="162" t="str">
        <f t="shared" si="82"/>
        <v/>
      </c>
      <c r="KV11" s="103" t="s">
        <v>27</v>
      </c>
      <c r="KW11" s="104" t="s">
        <v>28</v>
      </c>
      <c r="KX11" s="105" t="s">
        <v>27</v>
      </c>
      <c r="KY11" s="105"/>
      <c r="KZ11" s="105" t="s">
        <v>28</v>
      </c>
      <c r="LA11" s="109"/>
      <c r="LB11" s="161">
        <f>IFERROR((((COUNTIF('Elève (3ème2)'!KV11:LA11,"A"))*4)+((COUNTIF('Elève (3ème2)'!KV11:LA11,"B"))*3)+((COUNTIF('Elève (3ème2)'!KV11:LA11,"C"))*2)+((COUNTIF('Elève (3ème2)'!KV11:LA11,"D"))*1))/(COUNTA(KV11:LA11)),"")</f>
        <v>3.5</v>
      </c>
      <c r="LC11" s="162" t="str">
        <f t="shared" si="83"/>
        <v>B</v>
      </c>
      <c r="LD11" s="189">
        <f>IF(COUNT(KN11,KT11,LB11)=0,"",SUM(KN11,KT11,LB11)/COUNT(KN11,KT11,LB11))</f>
        <v>2.75</v>
      </c>
      <c r="LE11" s="186" t="str">
        <f t="shared" si="84"/>
        <v>C</v>
      </c>
      <c r="LF11" s="103" t="s">
        <v>30</v>
      </c>
      <c r="LG11" s="104" t="s">
        <v>29</v>
      </c>
      <c r="LH11" s="105"/>
      <c r="LI11" s="161">
        <f>IFERROR((((COUNTIF('Elève (3ème2)'!LF11:LH11,"A"))*4)+((COUNTIF('Elève (3ème2)'!LF11:LH11,"B"))*3)+((COUNTIF('Elève (3ème2)'!LF11:LH11,"C"))*2)+((COUNTIF('Elève (3ème2)'!LF11:LH11,"D"))*1))/(COUNTA(LF11:LH11)),"")</f>
        <v>1.5</v>
      </c>
      <c r="LJ11" s="162" t="str">
        <f t="shared" si="85"/>
        <v>D</v>
      </c>
      <c r="LK11" s="103"/>
      <c r="LL11" s="104"/>
      <c r="LM11" s="105"/>
      <c r="LN11" s="105"/>
      <c r="LO11" s="161" t="str">
        <f>IFERROR((((COUNTIF('Elève (3ème2)'!LK11:LN11,"A"))*4)+((COUNTIF('Elève (3ème2)'!LK11:LN11,"B"))*3)+((COUNTIF('Elève (3ème2)'!LK11:LN11,"C"))*2)+((COUNTIF('Elève (3ème2)'!LK11:LN11,"D"))*1))/(COUNTA(LK11:LN11)),"")</f>
        <v/>
      </c>
      <c r="LP11" s="162" t="str">
        <f t="shared" si="86"/>
        <v/>
      </c>
      <c r="LQ11" s="103"/>
      <c r="LR11" s="104" t="s">
        <v>29</v>
      </c>
      <c r="LS11" s="105" t="s">
        <v>28</v>
      </c>
      <c r="LT11" s="105" t="s">
        <v>27</v>
      </c>
      <c r="LU11" s="105" t="s">
        <v>29</v>
      </c>
      <c r="LV11" s="109"/>
      <c r="LW11" s="161">
        <f>IFERROR((((COUNTIF('Elève (3ème2)'!LQ11:LV11,"A"))*4)+((COUNTIF('Elève (3ème2)'!LQ11:LV11,"B"))*3)+((COUNTIF('Elève (3ème2)'!LQ11:LV11,"C"))*2)+((COUNTIF('Elève (3ème2)'!LQ11:LV11,"D"))*1))/(COUNTA(LQ11:LV11)),"")</f>
        <v>2.75</v>
      </c>
      <c r="LX11" s="162" t="str">
        <f t="shared" si="87"/>
        <v>C</v>
      </c>
      <c r="LY11" s="189">
        <f>IF(COUNT(LI11,LO11,LW11)=0,"",SUM(LI11,LO11,LW11)/COUNT(LI11,LO11,LW11))</f>
        <v>2.125</v>
      </c>
      <c r="LZ11" s="186" t="str">
        <f t="shared" si="88"/>
        <v>C</v>
      </c>
      <c r="MA11" s="103" t="s">
        <v>28</v>
      </c>
      <c r="MB11" s="104" t="s">
        <v>29</v>
      </c>
      <c r="MC11" s="105"/>
      <c r="MD11" s="161">
        <f>IFERROR((((COUNTIF('Elève (3ème2)'!MA11:MC11,"A"))*4)+((COUNTIF('Elève (3ème2)'!MA11:MC11,"B"))*3)+((COUNTIF('Elève (3ème2)'!MA11:MC11,"C"))*2)+((COUNTIF('Elève (3ème2)'!MA11:MC11,"D"))*1))/(COUNTA(MA11:MC11)),"")</f>
        <v>2.5</v>
      </c>
      <c r="ME11" s="162" t="str">
        <f t="shared" si="89"/>
        <v>C</v>
      </c>
      <c r="MF11" s="103"/>
      <c r="MG11" s="104"/>
      <c r="MH11" s="105"/>
      <c r="MI11" s="105"/>
      <c r="MJ11" s="161" t="str">
        <f>IFERROR((((COUNTIF('Elève (3ème2)'!MF11:MI11,"A"))*4)+((COUNTIF('Elève (3ème2)'!MF11:MI11,"B"))*3)+((COUNTIF('Elève (3ème2)'!MF11:MI11,"C"))*2)+((COUNTIF('Elève (3ème2)'!MF11:MI11,"D"))*1))/(COUNTA(MF11:MI11)),"")</f>
        <v/>
      </c>
      <c r="MK11" s="162" t="str">
        <f t="shared" si="90"/>
        <v/>
      </c>
      <c r="ML11" s="103" t="s">
        <v>29</v>
      </c>
      <c r="MM11" s="104" t="s">
        <v>28</v>
      </c>
      <c r="MN11" s="105" t="s">
        <v>27</v>
      </c>
      <c r="MO11" s="105" t="s">
        <v>27</v>
      </c>
      <c r="MP11" s="105" t="s">
        <v>29</v>
      </c>
      <c r="MQ11" s="109"/>
      <c r="MR11" s="161">
        <f>IFERROR((((COUNTIF('Elève (3ème2)'!ML11:MQ11,"A"))*4)+((COUNTIF('Elève (3ème2)'!ML11:MQ11,"B"))*3)+((COUNTIF('Elève (3ème2)'!ML11:MQ11,"C"))*2)+((COUNTIF('Elève (3ème2)'!ML11:MQ11,"D"))*1))/(COUNTA(ML11:MQ11)),"")</f>
        <v>3</v>
      </c>
      <c r="MS11" s="162" t="str">
        <f t="shared" si="91"/>
        <v>B</v>
      </c>
      <c r="MT11" s="189">
        <f>IF(COUNT(MD11,MJ11,MR11)=0,"",SUM(MD11,MJ11,MR11)/COUNT(MD11,MJ11,MR11))</f>
        <v>2.75</v>
      </c>
      <c r="MU11" s="186" t="str">
        <f t="shared" si="92"/>
        <v>C</v>
      </c>
      <c r="MV11" s="103" t="s">
        <v>27</v>
      </c>
      <c r="MW11" s="104" t="s">
        <v>28</v>
      </c>
      <c r="MX11" s="105"/>
      <c r="MY11" s="161">
        <f>IFERROR((((COUNTIF('Elève (3ème2)'!MV11:MX11,"A"))*4)+((COUNTIF('Elève (3ème2)'!MV11:MX11,"B"))*3)+((COUNTIF('Elève (3ème2)'!MV11:MX11,"C"))*2)+((COUNTIF('Elève (3ème2)'!MV11:MX11,"D"))*1))/(COUNTA(MV11:MX11)),"")</f>
        <v>3.5</v>
      </c>
      <c r="MZ11" s="162" t="str">
        <f t="shared" si="93"/>
        <v>B</v>
      </c>
      <c r="NA11" s="103"/>
      <c r="NB11" s="104"/>
      <c r="NC11" s="105"/>
      <c r="ND11" s="105"/>
      <c r="NE11" s="161" t="str">
        <f>IFERROR((((COUNTIF('Elève (3ème2)'!NA11:ND11,"A"))*4)+((COUNTIF('Elève (3ème2)'!NA11:ND11,"B"))*3)+((COUNTIF('Elève (3ème2)'!NA11:ND11,"C"))*2)+((COUNTIF('Elève (3ème2)'!NA11:ND11,"D"))*1))/(COUNTA(NA11:ND11)),"")</f>
        <v/>
      </c>
      <c r="NF11" s="162" t="str">
        <f t="shared" si="94"/>
        <v/>
      </c>
      <c r="NG11" s="103" t="s">
        <v>27</v>
      </c>
      <c r="NH11" s="104" t="s">
        <v>28</v>
      </c>
      <c r="NI11" s="105" t="s">
        <v>27</v>
      </c>
      <c r="NJ11" s="105" t="s">
        <v>27</v>
      </c>
      <c r="NK11" s="105" t="s">
        <v>27</v>
      </c>
      <c r="NL11" s="109"/>
      <c r="NM11" s="161">
        <f>IFERROR((((COUNTIF('Elève (3ème2)'!NG11:NL11,"A"))*4)+((COUNTIF('Elève (3ème2)'!NG11:NL11,"B"))*3)+((COUNTIF('Elève (3ème2)'!NG11:NL11,"C"))*2)+((COUNTIF('Elève (3ème2)'!NG11:NL11,"D"))*1))/(COUNTA(NG11:NL11)),"")</f>
        <v>3.8</v>
      </c>
      <c r="NN11" s="162" t="str">
        <f t="shared" si="95"/>
        <v>A</v>
      </c>
      <c r="NO11" s="189">
        <f>IF(COUNT(MY11,NE11,NM11)=0,"",SUM(MY11,NE11,NM11)/COUNT(MY11,NE11,NM11))</f>
        <v>3.65</v>
      </c>
      <c r="NP11" s="186" t="str">
        <f t="shared" si="96"/>
        <v>B</v>
      </c>
      <c r="NQ11" s="103" t="s">
        <v>28</v>
      </c>
      <c r="NR11" s="104" t="s">
        <v>29</v>
      </c>
      <c r="NS11" s="105"/>
      <c r="NT11" s="161">
        <f>IFERROR((((COUNTIF('Elève (3ème2)'!NQ11:NS11,"A"))*4)+((COUNTIF('Elève (3ème2)'!NQ11:NS11,"B"))*3)+((COUNTIF('Elève (3ème2)'!NQ11:NS11,"C"))*2)+((COUNTIF('Elève (3ème2)'!NQ11:NS11,"D"))*1))/(COUNTA(NQ11:NS11)),"")</f>
        <v>2.5</v>
      </c>
      <c r="NU11" s="162" t="str">
        <f t="shared" si="97"/>
        <v>C</v>
      </c>
      <c r="NV11" s="103"/>
      <c r="NW11" s="104"/>
      <c r="NX11" s="105"/>
      <c r="NY11" s="105"/>
      <c r="NZ11" s="161" t="str">
        <f>IFERROR((((COUNTIF('Elève (3ème2)'!NV11:NY11,"A"))*4)+((COUNTIF('Elève (3ème2)'!NV11:NY11,"B"))*3)+((COUNTIF('Elève (3ème2)'!NV11:NY11,"C"))*2)+((COUNTIF('Elève (3ème2)'!NV11:NY11,"D"))*1))/(COUNTA(NV11:NY11)),"")</f>
        <v/>
      </c>
      <c r="OA11" s="162" t="str">
        <f t="shared" si="98"/>
        <v/>
      </c>
      <c r="OB11" s="103" t="s">
        <v>28</v>
      </c>
      <c r="OC11" s="104" t="s">
        <v>29</v>
      </c>
      <c r="OD11" s="105" t="s">
        <v>27</v>
      </c>
      <c r="OE11" s="105" t="s">
        <v>28</v>
      </c>
      <c r="OF11" s="105" t="s">
        <v>29</v>
      </c>
      <c r="OG11" s="109"/>
      <c r="OH11" s="161">
        <f>IFERROR((((COUNTIF('Elève (3ème2)'!OB11:OG11,"A"))*4)+((COUNTIF('Elève (3ème2)'!OB11:OG11,"B"))*3)+((COUNTIF('Elève (3ème2)'!OB11:OG11,"C"))*2)+((COUNTIF('Elève (3ème2)'!OB11:OG11,"D"))*1))/(COUNTA(OB11:OG11)),"")</f>
        <v>2.8</v>
      </c>
      <c r="OI11" s="162" t="str">
        <f t="shared" si="99"/>
        <v>C</v>
      </c>
      <c r="OJ11" s="189">
        <f>IF(COUNT(NT11,NZ11,OH11)=0,"",SUM(NT11,NZ11,OH11)/COUNT(NT11,NZ11,OH11))</f>
        <v>2.65</v>
      </c>
      <c r="OK11" s="186" t="str">
        <f t="shared" si="100"/>
        <v>C</v>
      </c>
      <c r="OL11" s="103" t="s">
        <v>30</v>
      </c>
      <c r="OM11" s="104" t="s">
        <v>27</v>
      </c>
      <c r="ON11" s="105"/>
      <c r="OO11" s="161">
        <f>IFERROR((((COUNTIF('Elève (3ème2)'!OL11:ON11,"A"))*4)+((COUNTIF('Elève (3ème2)'!OL11:ON11,"B"))*3)+((COUNTIF('Elève (3ème2)'!OL11:ON11,"C"))*2)+((COUNTIF('Elève (3ème2)'!OL11:ON11,"D"))*1))/(COUNTA(OL11:ON11)),"")</f>
        <v>2.5</v>
      </c>
      <c r="OP11" s="162" t="str">
        <f t="shared" si="101"/>
        <v>C</v>
      </c>
      <c r="OQ11" s="103"/>
      <c r="OR11" s="104"/>
      <c r="OS11" s="105"/>
      <c r="OT11" s="105"/>
      <c r="OU11" s="161" t="str">
        <f>IFERROR((((COUNTIF('Elève (3ème2)'!OQ11:OT11,"A"))*4)+((COUNTIF('Elève (3ème2)'!OQ11:OT11,"B"))*3)+((COUNTIF('Elève (3ème2)'!OQ11:OT11,"C"))*2)+((COUNTIF('Elève (3ème2)'!OQ11:OT11,"D"))*1))/(COUNTA(OQ11:OT11)),"")</f>
        <v/>
      </c>
      <c r="OV11" s="162" t="str">
        <f t="shared" si="102"/>
        <v/>
      </c>
      <c r="OW11" s="103" t="s">
        <v>27</v>
      </c>
      <c r="OX11" s="104" t="s">
        <v>28</v>
      </c>
      <c r="OY11" s="105" t="s">
        <v>27</v>
      </c>
      <c r="OZ11" s="105" t="s">
        <v>28</v>
      </c>
      <c r="PA11" s="105" t="s">
        <v>27</v>
      </c>
      <c r="PB11" s="109"/>
      <c r="PC11" s="161">
        <f>IFERROR((((COUNTIF('Elève (3ème2)'!OW11:PB11,"A"))*4)+((COUNTIF('Elève (3ème2)'!OW11:PB11,"B"))*3)+((COUNTIF('Elève (3ème2)'!OW11:PB11,"C"))*2)+((COUNTIF('Elève (3ème2)'!OW11:PB11,"D"))*1))/(COUNTA(OW11:PB11)),"")</f>
        <v>3.6</v>
      </c>
      <c r="PD11" s="162" t="str">
        <f t="shared" si="103"/>
        <v>B</v>
      </c>
      <c r="PE11" s="189">
        <f>IF(COUNT(OO11,OU11,PC11)=0,"",SUM(OO11,OU11,PC11)/COUNT(OO11,OU11,PC11))</f>
        <v>3.05</v>
      </c>
      <c r="PF11" s="186" t="str">
        <f t="shared" si="104"/>
        <v>B</v>
      </c>
      <c r="PG11" s="103" t="s">
        <v>27</v>
      </c>
      <c r="PH11" s="104" t="s">
        <v>29</v>
      </c>
      <c r="PI11" s="105"/>
      <c r="PJ11" s="161">
        <f>IFERROR((((COUNTIF('Elève (3ème2)'!PG11:PI11,"A"))*4)+((COUNTIF('Elève (3ème2)'!PG11:PI11,"B"))*3)+((COUNTIF('Elève (3ème2)'!PG11:PI11,"C"))*2)+((COUNTIF('Elève (3ème2)'!PG11:PI11,"D"))*1))/(COUNTA(PG11:PI11)),"")</f>
        <v>3</v>
      </c>
      <c r="PK11" s="162" t="str">
        <f t="shared" si="105"/>
        <v>B</v>
      </c>
      <c r="PL11" s="103"/>
      <c r="PM11" s="104"/>
      <c r="PN11" s="105"/>
      <c r="PO11" s="105"/>
      <c r="PP11" s="161" t="str">
        <f>IFERROR((((COUNTIF('Elève (3ème2)'!PL11:PO11,"A"))*4)+((COUNTIF('Elève (3ème2)'!PL11:PO11,"B"))*3)+((COUNTIF('Elève (3ème2)'!PL11:PO11,"C"))*2)+((COUNTIF('Elève (3ème2)'!PL11:PO11,"D"))*1))/(COUNTA(PL11:PO11)),"")</f>
        <v/>
      </c>
      <c r="PQ11" s="162" t="str">
        <f t="shared" si="106"/>
        <v/>
      </c>
      <c r="PR11" s="103" t="s">
        <v>27</v>
      </c>
      <c r="PS11" s="104" t="s">
        <v>28</v>
      </c>
      <c r="PT11" s="105"/>
      <c r="PU11" s="105" t="s">
        <v>27</v>
      </c>
      <c r="PV11" s="105" t="s">
        <v>27</v>
      </c>
      <c r="PW11" s="109"/>
      <c r="PX11" s="161">
        <f>IFERROR((((COUNTIF('Elève (3ème2)'!PR11:PW11,"A"))*4)+((COUNTIF('Elève (3ème2)'!PR11:PW11,"B"))*3)+((COUNTIF('Elève (3ème2)'!PR11:PW11,"C"))*2)+((COUNTIF('Elève (3ème2)'!PR11:PW11,"D"))*1))/(COUNTA(PR11:PW11)),"")</f>
        <v>3.75</v>
      </c>
      <c r="PY11" s="162" t="str">
        <f t="shared" si="107"/>
        <v>A</v>
      </c>
      <c r="PZ11" s="189">
        <f>IF(COUNT(PJ11,PP11,PX11)=0,"",SUM(PJ11,PP11,PX11)/COUNT(PJ11,PP11,PX11))</f>
        <v>3.375</v>
      </c>
      <c r="QA11" s="186" t="str">
        <f t="shared" si="108"/>
        <v>B</v>
      </c>
      <c r="QB11" s="103" t="s">
        <v>27</v>
      </c>
      <c r="QC11" s="104" t="s">
        <v>29</v>
      </c>
      <c r="QD11" s="105"/>
      <c r="QE11" s="161">
        <f>IFERROR((((COUNTIF('Elève (3ème2)'!QB11:QD11,"A"))*4)+((COUNTIF('Elève (3ème2)'!QB11:QD11,"B"))*3)+((COUNTIF('Elève (3ème2)'!QB11:QD11,"C"))*2)+((COUNTIF('Elève (3ème2)'!QB11:QD11,"D"))*1))/(COUNTA(QB11:QD11)),"")</f>
        <v>3</v>
      </c>
      <c r="QF11" s="162" t="str">
        <f t="shared" si="109"/>
        <v>B</v>
      </c>
      <c r="QG11" s="103"/>
      <c r="QH11" s="104"/>
      <c r="QI11" s="105"/>
      <c r="QJ11" s="105"/>
      <c r="QK11" s="161" t="str">
        <f>IFERROR((((COUNTIF('Elève (3ème2)'!QG11:QJ11,"A"))*4)+((COUNTIF('Elève (3ème2)'!QG11:QJ11,"B"))*3)+((COUNTIF('Elève (3ème2)'!QG11:QJ11,"C"))*2)+((COUNTIF('Elève (3ème2)'!QG11:QJ11,"D"))*1))/(COUNTA(QG11:QJ11)),"")</f>
        <v/>
      </c>
      <c r="QL11" s="162" t="str">
        <f t="shared" si="110"/>
        <v/>
      </c>
      <c r="QM11" s="103" t="s">
        <v>27</v>
      </c>
      <c r="QN11" s="104" t="s">
        <v>27</v>
      </c>
      <c r="QO11" s="105" t="s">
        <v>27</v>
      </c>
      <c r="QP11" s="105" t="s">
        <v>27</v>
      </c>
      <c r="QQ11" s="105" t="s">
        <v>28</v>
      </c>
      <c r="QR11" s="109"/>
      <c r="QS11" s="161">
        <f>IFERROR((((COUNTIF('Elève (3ème2)'!QM11:QR11,"A"))*4)+((COUNTIF('Elève (3ème2)'!QM11:QR11,"B"))*3)+((COUNTIF('Elève (3ème2)'!QM11:QR11,"C"))*2)+((COUNTIF('Elève (3ème2)'!QM11:QR11,"D"))*1))/(COUNTA(QM11:QR11)),"")</f>
        <v>3.8</v>
      </c>
      <c r="QT11" s="162" t="str">
        <f t="shared" si="111"/>
        <v>A</v>
      </c>
      <c r="QU11" s="189">
        <f>IF(COUNT(QE11,QK11,QS11)=0,"",SUM(QE11,QK11,QS11)/COUNT(QE11,QK11,QS11))</f>
        <v>3.4</v>
      </c>
      <c r="QV11" s="186" t="str">
        <f t="shared" si="112"/>
        <v>B</v>
      </c>
      <c r="QW11" s="103" t="s">
        <v>27</v>
      </c>
      <c r="QX11" s="104" t="s">
        <v>29</v>
      </c>
      <c r="QY11" s="105"/>
      <c r="QZ11" s="161">
        <f>IFERROR((((COUNTIF('Elève (3ème2)'!QW11:QY11,"A"))*4)+((COUNTIF('Elève (3ème2)'!QW11:QY11,"B"))*3)+((COUNTIF('Elève (3ème2)'!QW11:QY11,"C"))*2)+((COUNTIF('Elève (3ème2)'!QW11:QY11,"D"))*1))/(COUNTA(QW11:QY11)),"")</f>
        <v>3</v>
      </c>
      <c r="RA11" s="162" t="str">
        <f t="shared" si="113"/>
        <v>B</v>
      </c>
      <c r="RB11" s="103"/>
      <c r="RC11" s="104"/>
      <c r="RD11" s="105"/>
      <c r="RE11" s="105"/>
      <c r="RF11" s="161" t="str">
        <f>IFERROR((((COUNTIF('Elève (3ème2)'!RB11:RE11,"A"))*4)+((COUNTIF('Elève (3ème2)'!RB11:RE11,"B"))*3)+((COUNTIF('Elève (3ème2)'!RB11:RE11,"C"))*2)+((COUNTIF('Elève (3ème2)'!RB11:RE11,"D"))*1))/(COUNTA(RB11:RE11)),"")</f>
        <v/>
      </c>
      <c r="RG11" s="162" t="str">
        <f t="shared" si="114"/>
        <v/>
      </c>
      <c r="RH11" s="103" t="s">
        <v>28</v>
      </c>
      <c r="RI11" s="104" t="s">
        <v>28</v>
      </c>
      <c r="RJ11" s="105" t="s">
        <v>27</v>
      </c>
      <c r="RK11" s="105"/>
      <c r="RL11" s="105" t="s">
        <v>28</v>
      </c>
      <c r="RM11" s="109"/>
      <c r="RN11" s="161">
        <f>IFERROR((((COUNTIF('Elève (3ème2)'!RH11:RM11,"A"))*4)+((COUNTIF('Elève (3ème2)'!RH11:RM11,"B"))*3)+((COUNTIF('Elève (3ème2)'!RH11:RM11,"C"))*2)+((COUNTIF('Elève (3ème2)'!RH11:RM11,"D"))*1))/(COUNTA(RH11:RM11)),"")</f>
        <v>3.25</v>
      </c>
      <c r="RO11" s="162" t="str">
        <f t="shared" si="115"/>
        <v>B</v>
      </c>
      <c r="RP11" s="189">
        <f>IF(COUNT(QZ11,RF11,RN11)=0,"",SUM(QZ11,RF11,RN11)/COUNT(QZ11,RF11,RN11))</f>
        <v>3.125</v>
      </c>
      <c r="RQ11" s="186" t="str">
        <f t="shared" si="116"/>
        <v>B</v>
      </c>
      <c r="RR11" s="103" t="s">
        <v>30</v>
      </c>
      <c r="RS11" s="104" t="s">
        <v>29</v>
      </c>
      <c r="RT11" s="105"/>
      <c r="RU11" s="161">
        <f>IFERROR((((COUNTIF('Elève (3ème2)'!RR11:RT11,"A"))*4)+((COUNTIF('Elève (3ème2)'!RR11:RT11,"B"))*3)+((COUNTIF('Elève (3ème2)'!RR11:RT11,"C"))*2)+((COUNTIF('Elève (3ème2)'!RR11:RT11,"D"))*1))/(COUNTA(RR11:RT11)),"")</f>
        <v>1.5</v>
      </c>
      <c r="RV11" s="162" t="str">
        <f t="shared" si="117"/>
        <v>D</v>
      </c>
      <c r="RW11" s="103"/>
      <c r="RX11" s="104"/>
      <c r="RY11" s="105"/>
      <c r="RZ11" s="105"/>
      <c r="SA11" s="161" t="str">
        <f>IFERROR((((COUNTIF('Elève (3ème2)'!RW11:RZ11,"A"))*4)+((COUNTIF('Elève (3ème2)'!RW11:RZ11,"B"))*3)+((COUNTIF('Elève (3ème2)'!RW11:RZ11,"C"))*2)+((COUNTIF('Elève (3ème2)'!RW11:RZ11,"D"))*1))/(COUNTA(RW11:RZ11)),"")</f>
        <v/>
      </c>
      <c r="SB11" s="162" t="str">
        <f t="shared" si="118"/>
        <v/>
      </c>
      <c r="SC11" s="103" t="s">
        <v>28</v>
      </c>
      <c r="SD11" s="104" t="s">
        <v>29</v>
      </c>
      <c r="SE11" s="105" t="s">
        <v>28</v>
      </c>
      <c r="SF11" s="105" t="s">
        <v>28</v>
      </c>
      <c r="SG11" s="105" t="s">
        <v>29</v>
      </c>
      <c r="SH11" s="109"/>
      <c r="SI11" s="161">
        <f>IFERROR((((COUNTIF('Elève (3ème2)'!SC11:SH11,"A"))*4)+((COUNTIF('Elève (3ème2)'!SC11:SH11,"B"))*3)+((COUNTIF('Elève (3ème2)'!SC11:SH11,"C"))*2)+((COUNTIF('Elève (3ème2)'!SC11:SH11,"D"))*1))/(COUNTA(SC11:SH11)),"")</f>
        <v>2.6</v>
      </c>
      <c r="SJ11" s="162" t="str">
        <f t="shared" si="119"/>
        <v>C</v>
      </c>
      <c r="SK11" s="189">
        <f>IF(COUNT(RU11,SA11,SI11)=0,"",SUM(RU11,SA11,SI11)/COUNT(RU11,SA11,SI11))</f>
        <v>2.0499999999999998</v>
      </c>
      <c r="SL11" s="186" t="str">
        <f t="shared" si="120"/>
        <v>C</v>
      </c>
      <c r="SM11" s="103" t="s">
        <v>30</v>
      </c>
      <c r="SN11" s="104" t="s">
        <v>30</v>
      </c>
      <c r="SO11" s="105"/>
      <c r="SP11" s="161">
        <f>IFERROR((((COUNTIF('Elève (3ème2)'!SM11:SO11,"A"))*4)+((COUNTIF('Elève (3ème2)'!SM11:SO11,"B"))*3)+((COUNTIF('Elève (3ème2)'!SM11:SO11,"C"))*2)+((COUNTIF('Elève (3ème2)'!SM11:SO11,"D"))*1))/(COUNTA(SM11:SO11)),"")</f>
        <v>1</v>
      </c>
      <c r="SQ11" s="162" t="str">
        <f t="shared" si="121"/>
        <v>D</v>
      </c>
      <c r="SR11" s="103"/>
      <c r="SS11" s="104"/>
      <c r="ST11" s="105"/>
      <c r="SU11" s="105"/>
      <c r="SV11" s="161" t="str">
        <f>IFERROR((((COUNTIF('Elève (3ème2)'!SR11:SU11,"A"))*4)+((COUNTIF('Elève (3ème2)'!SR11:SU11,"B"))*3)+((COUNTIF('Elève (3ème2)'!SR11:SU11,"C"))*2)+((COUNTIF('Elève (3ème2)'!SR11:SU11,"D"))*1))/(COUNTA(SR11:SU11)),"")</f>
        <v/>
      </c>
      <c r="SW11" s="162" t="str">
        <f t="shared" si="122"/>
        <v/>
      </c>
      <c r="SX11" s="103" t="s">
        <v>29</v>
      </c>
      <c r="SY11" s="104" t="s">
        <v>29</v>
      </c>
      <c r="SZ11" s="105" t="s">
        <v>27</v>
      </c>
      <c r="TA11" s="105" t="s">
        <v>27</v>
      </c>
      <c r="TB11" s="105" t="s">
        <v>29</v>
      </c>
      <c r="TC11" s="109"/>
      <c r="TD11" s="161">
        <f>IFERROR((((COUNTIF('Elève (3ème2)'!SX11:TC11,"A"))*4)+((COUNTIF('Elève (3ème2)'!SX11:TC11,"B"))*3)+((COUNTIF('Elève (3ème2)'!SX11:TC11,"C"))*2)+((COUNTIF('Elève (3ème2)'!SX11:TC11,"D"))*1))/(COUNTA(SX11:TC11)),"")</f>
        <v>2.8</v>
      </c>
      <c r="TE11" s="162" t="str">
        <f t="shared" si="123"/>
        <v>C</v>
      </c>
      <c r="TF11" s="189">
        <f>IF(COUNT(SP11,SV11,TD11)=0,"",SUM(SP11,SV11,TD11)/COUNT(SP11,SV11,TD11))</f>
        <v>1.9</v>
      </c>
      <c r="TG11" s="186" t="str">
        <f t="shared" si="124"/>
        <v>C</v>
      </c>
      <c r="TH11" s="103" t="s">
        <v>27</v>
      </c>
      <c r="TI11" s="104" t="s">
        <v>30</v>
      </c>
      <c r="TJ11" s="105"/>
      <c r="TK11" s="161">
        <f>IFERROR((((COUNTIF('Elève (3ème2)'!TH11:TJ11,"A"))*4)+((COUNTIF('Elève (3ème2)'!TH11:TJ11,"B"))*3)+((COUNTIF('Elève (3ème2)'!TH11:TJ11,"C"))*2)+((COUNTIF('Elève (3ème2)'!TH11:TJ11,"D"))*1))/(COUNTA(TH11:TJ11)),"")</f>
        <v>2.5</v>
      </c>
      <c r="TL11" s="162" t="str">
        <f t="shared" si="125"/>
        <v>C</v>
      </c>
      <c r="TM11" s="103"/>
      <c r="TN11" s="104"/>
      <c r="TO11" s="105"/>
      <c r="TP11" s="105"/>
      <c r="TQ11" s="161" t="str">
        <f>IFERROR((((COUNTIF('Elève (3ème2)'!TM11:TP11,"A"))*4)+((COUNTIF('Elève (3ème2)'!TM11:TP11,"B"))*3)+((COUNTIF('Elève (3ème2)'!TM11:TP11,"C"))*2)+((COUNTIF('Elève (3ème2)'!TM11:TP11,"D"))*1))/(COUNTA(TM11:TP11)),"")</f>
        <v/>
      </c>
      <c r="TR11" s="162" t="str">
        <f t="shared" si="126"/>
        <v/>
      </c>
      <c r="TS11" s="103" t="s">
        <v>30</v>
      </c>
      <c r="TT11" s="104" t="s">
        <v>29</v>
      </c>
      <c r="TU11" s="105" t="s">
        <v>28</v>
      </c>
      <c r="TV11" s="105"/>
      <c r="TW11" s="105" t="s">
        <v>29</v>
      </c>
      <c r="TX11" s="109"/>
      <c r="TY11" s="161">
        <f>IFERROR((((COUNTIF('Elève (3ème2)'!TS11:TX11,"A"))*4)+((COUNTIF('Elève (3ème2)'!TS11:TX11,"B"))*3)+((COUNTIF('Elève (3ème2)'!TS11:TX11,"C"))*2)+((COUNTIF('Elève (3ème2)'!TS11:TX11,"D"))*1))/(COUNTA(TS11:TX11)),"")</f>
        <v>2</v>
      </c>
      <c r="TZ11" s="162" t="str">
        <f t="shared" si="127"/>
        <v>C</v>
      </c>
      <c r="UA11" s="189">
        <f>IF(COUNT(TK11,TQ11,TY11)=0,"",SUM(TK11,TQ11,TY11)/COUNT(TK11,TQ11,TY11))</f>
        <v>2.25</v>
      </c>
      <c r="UB11" s="186" t="str">
        <f t="shared" si="128"/>
        <v>C</v>
      </c>
      <c r="UC11" s="103"/>
      <c r="UD11" s="104"/>
      <c r="UE11" s="105"/>
      <c r="UF11" s="99" t="str">
        <f>IFERROR((((COUNTIF('Elève (3ème2)'!UC11:UE11,"A"))*4)+((COUNTIF('Elève (3ème2)'!UC11:UE11,"B"))*3)+((COUNTIF('Elève (3ème2)'!UC11:UE11,"C"))*2)+((COUNTIF('Elève (3ème2)'!UC11:UE11,"D"))*1))/(COUNTA(UC11:UE11)),"")</f>
        <v/>
      </c>
      <c r="UG11" s="100" t="str">
        <f t="shared" si="129"/>
        <v/>
      </c>
      <c r="UH11" s="103"/>
      <c r="UI11" s="104"/>
      <c r="UJ11" s="105"/>
      <c r="UK11" s="99" t="str">
        <f>IFERROR((((COUNTIF('Elève (3ème2)'!UH11:UJ11,"A"))*4)+((COUNTIF('Elève (3ème2)'!UH11:UJ11,"B"))*3)+((COUNTIF('Elève (3ème2)'!UH11:UJ11,"C"))*2)+((COUNTIF('Elève (3ème2)'!UH11:UJ11,"D"))*1))/(COUNTA(UH11:UJ11)),"")</f>
        <v/>
      </c>
      <c r="UL11" s="100" t="str">
        <f t="shared" si="130"/>
        <v/>
      </c>
      <c r="UM11" s="103"/>
      <c r="UN11" s="104"/>
      <c r="UO11" s="109"/>
      <c r="UP11" s="99" t="str">
        <f>IFERROR((((COUNTIF('Elève (3ème2)'!UM11:UO11,"A"))*4)+((COUNTIF('Elève (3ème2)'!UM11:UO11,"B"))*3)+((COUNTIF('Elève (3ème2)'!UM11:UO11,"C"))*2)+((COUNTIF('Elève (3ème2)'!UM11:UO11,"D"))*1))/(COUNTA(UM11:UO11)),"")</f>
        <v/>
      </c>
      <c r="UQ11" s="100" t="str">
        <f t="shared" si="131"/>
        <v/>
      </c>
      <c r="UR11" s="119" t="str">
        <f>IF(COUNT(UF11,UK11,UP11)=0,"",SUM(UF11,UK11,UP11)/COUNT(UF11,UK11,UP11))</f>
        <v/>
      </c>
      <c r="US11" s="101" t="str">
        <f t="shared" si="132"/>
        <v/>
      </c>
      <c r="UT11" s="103"/>
      <c r="UU11" s="104"/>
      <c r="UV11" s="105"/>
      <c r="UW11" s="99" t="str">
        <f>IFERROR((((COUNTIF('Elève (3ème2)'!UT11:UV11,"A"))*4)+((COUNTIF('Elève (3ème2)'!UT11:UV11,"B"))*3)+((COUNTIF('Elève (3ème2)'!UT11:UV11,"C"))*2)+((COUNTIF('Elève (3ème2)'!UT11:UV11,"D"))*1))/(COUNTA(UT11:UV11)),"")</f>
        <v/>
      </c>
      <c r="UX11" s="100" t="str">
        <f t="shared" si="133"/>
        <v/>
      </c>
      <c r="UY11" s="103"/>
      <c r="UZ11" s="104"/>
      <c r="VA11" s="105"/>
      <c r="VB11" s="99" t="str">
        <f>IFERROR((((COUNTIF('Elève (3ème2)'!UY11:VA11,"A"))*4)+((COUNTIF('Elève (3ème2)'!UY11:VA11,"B"))*3)+((COUNTIF('Elève (3ème2)'!UY11:VA11,"C"))*2)+((COUNTIF('Elève (3ème2)'!UY11:VA11,"D"))*1))/(COUNTA(UY11:VA11)),"")</f>
        <v/>
      </c>
      <c r="VC11" s="100" t="str">
        <f t="shared" si="134"/>
        <v/>
      </c>
      <c r="VD11" s="103"/>
      <c r="VE11" s="104"/>
      <c r="VF11" s="109"/>
      <c r="VG11" s="99" t="str">
        <f>IFERROR((((COUNTIF('Elève (3ème2)'!VD11:VF11,"A"))*4)+((COUNTIF('Elève (3ème2)'!VD11:VF11,"B"))*3)+((COUNTIF('Elève (3ème2)'!VD11:VF11,"C"))*2)+((COUNTIF('Elève (3ème2)'!VD11:VF11,"D"))*1))/(COUNTA(VD11:VF11)),"")</f>
        <v/>
      </c>
      <c r="VH11" s="100" t="str">
        <f t="shared" si="135"/>
        <v/>
      </c>
      <c r="VI11" s="119" t="str">
        <f>IF(COUNT(UW11,VB11,VG11)=0,"",SUM(UW11,VB11,VG11)/COUNT(UW11,VB11,VG11))</f>
        <v/>
      </c>
      <c r="VJ11" s="101" t="str">
        <f t="shared" si="136"/>
        <v/>
      </c>
      <c r="VK11" s="103"/>
      <c r="VL11" s="104"/>
      <c r="VM11" s="105"/>
      <c r="VN11" s="99" t="str">
        <f>IFERROR((((COUNTIF('Elève (3ème2)'!VK11:VM11,"A"))*4)+((COUNTIF('Elève (3ème2)'!VK11:VM11,"B"))*3)+((COUNTIF('Elève (3ème2)'!VK11:VM11,"C"))*2)+((COUNTIF('Elève (3ème2)'!VK11:VM11,"D"))*1))/(COUNTA(VK11:VM11)),"")</f>
        <v/>
      </c>
      <c r="VO11" s="100" t="str">
        <f t="shared" si="137"/>
        <v/>
      </c>
      <c r="VP11" s="103"/>
      <c r="VQ11" s="104"/>
      <c r="VR11" s="105"/>
      <c r="VS11" s="99" t="str">
        <f>IFERROR((((COUNTIF('Elève (3ème2)'!VP11:VR11,"A"))*4)+((COUNTIF('Elève (3ème2)'!VP11:VR11,"B"))*3)+((COUNTIF('Elève (3ème2)'!VP11:VR11,"C"))*2)+((COUNTIF('Elève (3ème2)'!VP11:VR11,"D"))*1))/(COUNTA(VP11:VR11)),"")</f>
        <v/>
      </c>
      <c r="VT11" s="100" t="str">
        <f t="shared" si="138"/>
        <v/>
      </c>
      <c r="VU11" s="103"/>
      <c r="VV11" s="104"/>
      <c r="VW11" s="109"/>
      <c r="VX11" s="99" t="str">
        <f>IFERROR((((COUNTIF('Elève (3ème2)'!VU11:VW11,"A"))*4)+((COUNTIF('Elève (3ème2)'!VU11:VW11,"B"))*3)+((COUNTIF('Elève (3ème2)'!VU11:VW11,"C"))*2)+((COUNTIF('Elève (3ème2)'!VU11:VW11,"D"))*1))/(COUNTA(VU11:VW11)),"")</f>
        <v/>
      </c>
      <c r="VY11" s="100" t="str">
        <f t="shared" si="139"/>
        <v/>
      </c>
      <c r="VZ11" s="119" t="str">
        <f>IF(COUNT(VN11,VS11,VX11)=0,"",SUM(VN11,VS11,VX11)/COUNT(VN11,VS11,VX11))</f>
        <v/>
      </c>
      <c r="WA11" s="101" t="str">
        <f t="shared" si="140"/>
        <v/>
      </c>
      <c r="WB11" s="103"/>
      <c r="WC11" s="104"/>
      <c r="WD11" s="105"/>
      <c r="WE11" s="99" t="str">
        <f>IFERROR((((COUNTIF('Elève (3ème2)'!WB11:WD11,"A"))*4)+((COUNTIF('Elève (3ème2)'!WB11:WD11,"B"))*3)+((COUNTIF('Elève (3ème2)'!WB11:WD11,"C"))*2)+((COUNTIF('Elève (3ème2)'!WB11:WD11,"D"))*1))/(COUNTA(WB11:WD11)),"")</f>
        <v/>
      </c>
      <c r="WF11" s="100" t="str">
        <f t="shared" si="141"/>
        <v/>
      </c>
      <c r="WG11" s="103"/>
      <c r="WH11" s="104"/>
      <c r="WI11" s="105"/>
      <c r="WJ11" s="99" t="str">
        <f>IFERROR((((COUNTIF('Elève (3ème2)'!WG11:WI11,"A"))*4)+((COUNTIF('Elève (3ème2)'!WG11:WI11,"B"))*3)+((COUNTIF('Elève (3ème2)'!WG11:WI11,"C"))*2)+((COUNTIF('Elève (3ème2)'!WG11:WI11,"D"))*1))/(COUNTA(WG11:WI11)),"")</f>
        <v/>
      </c>
      <c r="WK11" s="100" t="str">
        <f t="shared" si="142"/>
        <v/>
      </c>
      <c r="WL11" s="103"/>
      <c r="WM11" s="104"/>
      <c r="WN11" s="109"/>
      <c r="WO11" s="99" t="str">
        <f>IFERROR((((COUNTIF('Elève (3ème2)'!WL11:WN11,"A"))*4)+((COUNTIF('Elève (3ème2)'!WL11:WN11,"B"))*3)+((COUNTIF('Elève (3ème2)'!WL11:WN11,"C"))*2)+((COUNTIF('Elève (3ème2)'!WL11:WN11,"D"))*1))/(COUNTA(WL11:WN11)),"")</f>
        <v/>
      </c>
      <c r="WP11" s="100" t="str">
        <f t="shared" si="143"/>
        <v/>
      </c>
      <c r="WQ11" s="119" t="str">
        <f>IF(COUNT(WE11,WJ11,WO11)=0,"",SUM(WE11,WJ11,WO11)/COUNT(WE11,WJ11,WO11))</f>
        <v/>
      </c>
      <c r="WR11" s="101" t="str">
        <f t="shared" si="144"/>
        <v/>
      </c>
    </row>
    <row r="12" spans="1:616" ht="18" customHeight="1" thickBot="1" x14ac:dyDescent="0.6">
      <c r="A12" s="215" t="s">
        <v>48</v>
      </c>
      <c r="B12" s="216"/>
      <c r="C12" s="110" t="s">
        <v>28</v>
      </c>
      <c r="D12" s="111"/>
      <c r="E12" s="112"/>
      <c r="F12" s="165">
        <f>IFERROR((((COUNTIF('Elève (3ème2)'!C12:E12,"A"))*4)+((COUNTIF('Elève (3ème2)'!C12:E12,"B"))*3)+((COUNTIF('Elève (3ème2)'!C12:E12,"C"))*2)+((COUNTIF('Elève (3ème2)'!C12:E12,"D"))*1))/(COUNTA(C12:E12)),"")</f>
        <v>3</v>
      </c>
      <c r="G12" s="166" t="str">
        <f t="shared" si="25"/>
        <v>B</v>
      </c>
      <c r="H12" s="110"/>
      <c r="I12" s="111"/>
      <c r="J12" s="112"/>
      <c r="K12" s="112"/>
      <c r="L12" s="165" t="str">
        <f>IFERROR((((COUNTIF('Elève (3ème2)'!H12:K12,"A"))*4)+((COUNTIF('Elève (3ème2)'!H12:K12,"B"))*3)+((COUNTIF('Elève (3ème2)'!H12:K12,"C"))*2)+((COUNTIF('Elève (3ème2)'!H12:K12,"D"))*1))/(COUNTA(H12:K12)),"")</f>
        <v/>
      </c>
      <c r="M12" s="166" t="str">
        <f t="shared" si="26"/>
        <v/>
      </c>
      <c r="N12" s="110"/>
      <c r="O12" s="111"/>
      <c r="P12" s="112"/>
      <c r="Q12" s="112"/>
      <c r="R12" s="112" t="s">
        <v>27</v>
      </c>
      <c r="S12" s="112"/>
      <c r="T12" s="165">
        <f>IFERROR((((COUNTIF('Elève (3ème2)'!N12:S12,"A"))*4)+((COUNTIF('Elève (3ème2)'!N12:S12,"B"))*3)+((COUNTIF('Elève (3ème2)'!N12:S12,"C"))*2)+((COUNTIF('Elève (3ème2)'!N12:S12,"D"))*1))/(COUNTA(N12:S12)),"")</f>
        <v>4</v>
      </c>
      <c r="U12" s="166" t="str">
        <f t="shared" si="27"/>
        <v>A</v>
      </c>
      <c r="V12" s="165">
        <f>IF(COUNT(F12,L12,T12)=0,"",SUM(F12,L12,T12)/COUNT(F12,L12,T12))</f>
        <v>3.5</v>
      </c>
      <c r="W12" s="188" t="str">
        <f t="shared" si="28"/>
        <v>B</v>
      </c>
      <c r="X12" s="110" t="s">
        <v>27</v>
      </c>
      <c r="Y12" s="111"/>
      <c r="Z12" s="112"/>
      <c r="AA12" s="165">
        <f>IFERROR((((COUNTIF('Elève (3ème2)'!X12:Z12,"A"))*4)+((COUNTIF('Elève (3ème2)'!X12:Z12,"B"))*3)+((COUNTIF('Elève (3ème2)'!X12:Z12,"C"))*2)+((COUNTIF('Elève (3ème2)'!X12:Z12,"D"))*1))/(COUNTA(X12:Z12)),"")</f>
        <v>4</v>
      </c>
      <c r="AB12" s="166" t="str">
        <f t="shared" si="29"/>
        <v>A</v>
      </c>
      <c r="AC12" s="110"/>
      <c r="AD12" s="111"/>
      <c r="AE12" s="112"/>
      <c r="AF12" s="112"/>
      <c r="AG12" s="165" t="str">
        <f>IFERROR((((COUNTIF('Elève (3ème2)'!AC12:AF12,"A"))*4)+((COUNTIF('Elève (3ème2)'!AC12:AF12,"B"))*3)+((COUNTIF('Elève (3ème2)'!AC12:AF12,"C"))*2)+((COUNTIF('Elève (3ème2)'!AC12:AF12,"D"))*1))/(COUNTA(AC12:AF12)),"")</f>
        <v/>
      </c>
      <c r="AH12" s="166" t="str">
        <f t="shared" si="30"/>
        <v/>
      </c>
      <c r="AI12" s="110"/>
      <c r="AJ12" s="111"/>
      <c r="AK12" s="112"/>
      <c r="AL12" s="112"/>
      <c r="AM12" s="112" t="s">
        <v>28</v>
      </c>
      <c r="AN12" s="116"/>
      <c r="AO12" s="165">
        <f>IFERROR((((COUNTIF('Elève (3ème2)'!AI12:AN12,"A"))*4)+((COUNTIF('Elève (3ème2)'!AI12:AN12,"B"))*3)+((COUNTIF('Elève (3ème2)'!AI12:AN12,"C"))*2)+((COUNTIF('Elève (3ème2)'!AI12:AN12,"D"))*1))/(COUNTA(AI12:AN12)),"")</f>
        <v>3</v>
      </c>
      <c r="AP12" s="166" t="str">
        <f t="shared" si="31"/>
        <v>B</v>
      </c>
      <c r="AQ12" s="165">
        <f>IF(COUNT(AA12,AG12,AO12)=0,"",SUM(AA12,AG12,AO12)/COUNT(AA12,AG12,AO12))</f>
        <v>3.5</v>
      </c>
      <c r="AR12" s="188" t="str">
        <f t="shared" si="32"/>
        <v>B</v>
      </c>
      <c r="AS12" s="110" t="s">
        <v>28</v>
      </c>
      <c r="AT12" s="111"/>
      <c r="AU12" s="112"/>
      <c r="AV12" s="165">
        <f>IFERROR((((COUNTIF('Elève (3ème2)'!AS12:AU12,"A"))*4)+((COUNTIF('Elève (3ème2)'!AS12:AU12,"B"))*3)+((COUNTIF('Elève (3ème2)'!AS12:AU12,"C"))*2)+((COUNTIF('Elève (3ème2)'!AS12:AU12,"D"))*1))/(COUNTA(AS12:AU12)),"")</f>
        <v>3</v>
      </c>
      <c r="AW12" s="166" t="str">
        <f t="shared" si="33"/>
        <v>B</v>
      </c>
      <c r="AX12" s="110"/>
      <c r="AY12" s="111"/>
      <c r="AZ12" s="112"/>
      <c r="BA12" s="112"/>
      <c r="BB12" s="165" t="str">
        <f>IFERROR((((COUNTIF('Elève (3ème2)'!AX12:BA12,"A"))*4)+((COUNTIF('Elève (3ème2)'!AX12:BA12,"B"))*3)+((COUNTIF('Elève (3ème2)'!AX12:BA12,"C"))*2)+((COUNTIF('Elève (3ème2)'!AX12:BA12,"D"))*1))/(COUNTA(AX12:BA12)),"")</f>
        <v/>
      </c>
      <c r="BC12" s="166" t="str">
        <f t="shared" si="34"/>
        <v/>
      </c>
      <c r="BD12" s="110"/>
      <c r="BE12" s="111"/>
      <c r="BF12" s="112"/>
      <c r="BG12" s="112"/>
      <c r="BH12" s="112" t="s">
        <v>27</v>
      </c>
      <c r="BI12" s="116"/>
      <c r="BJ12" s="165">
        <f>IFERROR((((COUNTIF('Elève (3ème2)'!BD12:BI12,"A"))*4)+((COUNTIF('Elève (3ème2)'!BD12:BI12,"B"))*3)+((COUNTIF('Elève (3ème2)'!BD12:BI12,"C"))*2)+((COUNTIF('Elève (3ème2)'!BD12:BI12,"D"))*1))/(COUNTA(BD12:BI12)),"")</f>
        <v>4</v>
      </c>
      <c r="BK12" s="166" t="str">
        <f t="shared" si="35"/>
        <v>A</v>
      </c>
      <c r="BL12" s="165">
        <f>IF(COUNT(AV12,BB12,BJ12)=0,"",SUM(AV12,BB12,BJ12)/COUNT(AV12,BB12,BJ12))</f>
        <v>3.5</v>
      </c>
      <c r="BM12" s="188" t="str">
        <f t="shared" si="36"/>
        <v>B</v>
      </c>
      <c r="BN12" s="110" t="s">
        <v>30</v>
      </c>
      <c r="BO12" s="111"/>
      <c r="BP12" s="112"/>
      <c r="BQ12" s="165">
        <f>IFERROR((((COUNTIF('Elève (3ème2)'!BN12:BP12,"A"))*4)+((COUNTIF('Elève (3ème2)'!BN12:BP12,"B"))*3)+((COUNTIF('Elève (3ème2)'!BN12:BP12,"C"))*2)+((COUNTIF('Elève (3ème2)'!BN12:BP12,"D"))*1))/(COUNTA(BN12:BP12)),"")</f>
        <v>1</v>
      </c>
      <c r="BR12" s="166" t="str">
        <f t="shared" si="37"/>
        <v>D</v>
      </c>
      <c r="BS12" s="110"/>
      <c r="BT12" s="111"/>
      <c r="BU12" s="112"/>
      <c r="BV12" s="112"/>
      <c r="BW12" s="165" t="str">
        <f>IFERROR((((COUNTIF('Elève (3ème2)'!BS12:BV12,"A"))*4)+((COUNTIF('Elève (3ème2)'!BS12:BV12,"B"))*3)+((COUNTIF('Elève (3ème2)'!BS12:BV12,"C"))*2)+((COUNTIF('Elève (3ème2)'!BS12:BV12,"D"))*1))/(COUNTA(BS12:BV12)),"")</f>
        <v/>
      </c>
      <c r="BX12" s="166" t="str">
        <f t="shared" si="38"/>
        <v/>
      </c>
      <c r="BY12" s="110"/>
      <c r="BZ12" s="111"/>
      <c r="CA12" s="112"/>
      <c r="CB12" s="112"/>
      <c r="CC12" s="112" t="s">
        <v>29</v>
      </c>
      <c r="CD12" s="116"/>
      <c r="CE12" s="165">
        <f>IFERROR((((COUNTIF('Elève (3ème2)'!BY12:CD12,"A"))*4)+((COUNTIF('Elève (3ème2)'!BY12:CD12,"B"))*3)+((COUNTIF('Elève (3ème2)'!BY12:CD12,"C"))*2)+((COUNTIF('Elève (3ème2)'!BY12:CD12,"D"))*1))/(COUNTA(BY12:CD12)),"")</f>
        <v>2</v>
      </c>
      <c r="CF12" s="166" t="str">
        <f t="shared" si="39"/>
        <v>C</v>
      </c>
      <c r="CG12" s="165">
        <f>IF(COUNT(BQ12,BW12,CE12)=0,"",SUM(BQ12,BW12,CE12)/COUNT(BQ12,BW12,CE12))</f>
        <v>1.5</v>
      </c>
      <c r="CH12" s="188" t="str">
        <f t="shared" si="40"/>
        <v>D</v>
      </c>
      <c r="CI12" s="110" t="s">
        <v>28</v>
      </c>
      <c r="CJ12" s="111"/>
      <c r="CK12" s="112"/>
      <c r="CL12" s="165">
        <f>IFERROR((((COUNTIF('Elève (3ème2)'!CI12:CK12,"A"))*4)+((COUNTIF('Elève (3ème2)'!CI12:CK12,"B"))*3)+((COUNTIF('Elève (3ème2)'!CI12:CK12,"C"))*2)+((COUNTIF('Elève (3ème2)'!CI12:CK12,"D"))*1))/(COUNTA(CI12:CK12)),"")</f>
        <v>3</v>
      </c>
      <c r="CM12" s="166" t="str">
        <f t="shared" si="41"/>
        <v>B</v>
      </c>
      <c r="CN12" s="110"/>
      <c r="CO12" s="111"/>
      <c r="CP12" s="112"/>
      <c r="CQ12" s="112"/>
      <c r="CR12" s="165" t="str">
        <f>IFERROR((((COUNTIF('Elève (3ème2)'!CN12:CQ12,"A"))*4)+((COUNTIF('Elève (3ème2)'!CN12:CQ12,"B"))*3)+((COUNTIF('Elève (3ème2)'!CN12:CQ12,"C"))*2)+((COUNTIF('Elève (3ème2)'!CN12:CQ12,"D"))*1))/(COUNTA(CN12:CQ12)),"")</f>
        <v/>
      </c>
      <c r="CS12" s="166" t="str">
        <f t="shared" si="42"/>
        <v/>
      </c>
      <c r="CT12" s="110"/>
      <c r="CU12" s="111"/>
      <c r="CV12" s="112"/>
      <c r="CW12" s="112"/>
      <c r="CX12" s="112" t="s">
        <v>27</v>
      </c>
      <c r="CY12" s="116"/>
      <c r="CZ12" s="165">
        <f>IFERROR((((COUNTIF('Elève (3ème2)'!CT12:CY12,"A"))*4)+((COUNTIF('Elève (3ème2)'!CT12:CY12,"B"))*3)+((COUNTIF('Elève (3ème2)'!CT12:CY12,"C"))*2)+((COUNTIF('Elève (3ème2)'!CT12:CY12,"D"))*1))/(COUNTA(CT12:CY12)),"")</f>
        <v>4</v>
      </c>
      <c r="DA12" s="166" t="str">
        <f t="shared" si="43"/>
        <v>A</v>
      </c>
      <c r="DB12" s="165">
        <f>IF(COUNT(CL12,CR12,CZ12)=0,"",SUM(CL12,CR12,CZ12)/COUNT(CL12,CR12,CZ12))</f>
        <v>3.5</v>
      </c>
      <c r="DC12" s="188" t="str">
        <f t="shared" si="44"/>
        <v>B</v>
      </c>
      <c r="DD12" s="110" t="s">
        <v>27</v>
      </c>
      <c r="DE12" s="111"/>
      <c r="DF12" s="112"/>
      <c r="DG12" s="165">
        <f>IFERROR((((COUNTIF('Elève (3ème2)'!DD12:DF12,"A"))*4)+((COUNTIF('Elève (3ème2)'!DD12:DF12,"B"))*3)+((COUNTIF('Elève (3ème2)'!DD12:DF12,"C"))*2)+((COUNTIF('Elève (3ème2)'!DD12:DF12,"D"))*1))/(COUNTA(DD12:DF12)),"")</f>
        <v>4</v>
      </c>
      <c r="DH12" s="166" t="str">
        <f t="shared" si="45"/>
        <v>A</v>
      </c>
      <c r="DI12" s="110"/>
      <c r="DJ12" s="111"/>
      <c r="DK12" s="112"/>
      <c r="DL12" s="112"/>
      <c r="DM12" s="165" t="str">
        <f>IFERROR((((COUNTIF('Elève (3ème2)'!DI12:DL12,"A"))*4)+((COUNTIF('Elève (3ème2)'!DI12:DL12,"B"))*3)+((COUNTIF('Elève (3ème2)'!DI12:DL12,"C"))*2)+((COUNTIF('Elève (3ème2)'!DI12:DL12,"D"))*1))/(COUNTA(DI12:DL12)),"")</f>
        <v/>
      </c>
      <c r="DN12" s="166" t="str">
        <f t="shared" si="46"/>
        <v/>
      </c>
      <c r="DO12" s="110"/>
      <c r="DP12" s="111"/>
      <c r="DQ12" s="112"/>
      <c r="DR12" s="112"/>
      <c r="DS12" s="112" t="s">
        <v>29</v>
      </c>
      <c r="DT12" s="116"/>
      <c r="DU12" s="165">
        <f>IFERROR((((COUNTIF('Elève (3ème2)'!DO12:DT12,"A"))*4)+((COUNTIF('Elève (3ème2)'!DO12:DT12,"B"))*3)+((COUNTIF('Elève (3ème2)'!DO12:DT12,"C"))*2)+((COUNTIF('Elève (3ème2)'!DO12:DT12,"D"))*1))/(COUNTA(DO12:DT12)),"")</f>
        <v>2</v>
      </c>
      <c r="DV12" s="166" t="str">
        <f t="shared" si="47"/>
        <v>C</v>
      </c>
      <c r="DW12" s="165">
        <f>IF(COUNT(DG12,DM12,DU12)=0,"",SUM(DG12,DM12,DU12)/COUNT(DG12,DM12,DU12))</f>
        <v>3</v>
      </c>
      <c r="DX12" s="188" t="str">
        <f t="shared" si="48"/>
        <v>B</v>
      </c>
      <c r="DY12" s="110" t="s">
        <v>29</v>
      </c>
      <c r="DZ12" s="111"/>
      <c r="EA12" s="112"/>
      <c r="EB12" s="165">
        <f>IFERROR((((COUNTIF('Elève (3ème2)'!DY12:EA12,"A"))*4)+((COUNTIF('Elève (3ème2)'!DY12:EA12,"B"))*3)+((COUNTIF('Elève (3ème2)'!DY12:EA12,"C"))*2)+((COUNTIF('Elève (3ème2)'!DY12:EA12,"D"))*1))/(COUNTA(DY12:EA12)),"")</f>
        <v>2</v>
      </c>
      <c r="EC12" s="166" t="str">
        <f t="shared" si="49"/>
        <v>C</v>
      </c>
      <c r="ED12" s="110"/>
      <c r="EE12" s="111"/>
      <c r="EF12" s="112"/>
      <c r="EG12" s="112"/>
      <c r="EH12" s="165" t="str">
        <f>IFERROR((((COUNTIF('Elève (3ème2)'!ED12:EG12,"A"))*4)+((COUNTIF('Elève (3ème2)'!ED12:EG12,"B"))*3)+((COUNTIF('Elève (3ème2)'!ED12:EG12,"C"))*2)+((COUNTIF('Elève (3ème2)'!ED12:EG12,"D"))*1))/(COUNTA(ED12:EG12)),"")</f>
        <v/>
      </c>
      <c r="EI12" s="166" t="str">
        <f t="shared" si="50"/>
        <v/>
      </c>
      <c r="EJ12" s="110"/>
      <c r="EK12" s="111"/>
      <c r="EL12" s="112"/>
      <c r="EM12" s="112"/>
      <c r="EN12" s="112" t="s">
        <v>28</v>
      </c>
      <c r="EO12" s="116"/>
      <c r="EP12" s="165">
        <f>IFERROR((((COUNTIF('Elève (3ème2)'!EJ12:EO12,"A"))*4)+((COUNTIF('Elève (3ème2)'!EJ12:EO12,"B"))*3)+((COUNTIF('Elève (3ème2)'!EJ12:EO12,"C"))*2)+((COUNTIF('Elève (3ème2)'!EJ12:EO12,"D"))*1))/(COUNTA(EJ12:EO12)),"")</f>
        <v>3</v>
      </c>
      <c r="EQ12" s="166" t="str">
        <f t="shared" si="51"/>
        <v>B</v>
      </c>
      <c r="ER12" s="165">
        <f>IF(COUNT(EB12,EH12,EP12)=0,"",SUM(EB12,EH12,EP12)/COUNT(EB12,EH12,EP12))</f>
        <v>2.5</v>
      </c>
      <c r="ES12" s="188" t="str">
        <f t="shared" si="52"/>
        <v>C</v>
      </c>
      <c r="ET12" s="110" t="s">
        <v>28</v>
      </c>
      <c r="EU12" s="111"/>
      <c r="EV12" s="112"/>
      <c r="EW12" s="165">
        <f>IFERROR((((COUNTIF('Elève (3ème2)'!ET12:EV12,"A"))*4)+((COUNTIF('Elève (3ème2)'!ET12:EV12,"B"))*3)+((COUNTIF('Elève (3ème2)'!ET12:EV12,"C"))*2)+((COUNTIF('Elève (3ème2)'!ET12:EV12,"D"))*1))/(COUNTA(ET12:EV12)),"")</f>
        <v>3</v>
      </c>
      <c r="EX12" s="166" t="str">
        <f t="shared" si="53"/>
        <v>B</v>
      </c>
      <c r="EY12" s="110"/>
      <c r="EZ12" s="111"/>
      <c r="FA12" s="112"/>
      <c r="FB12" s="112"/>
      <c r="FC12" s="165" t="str">
        <f>IFERROR((((COUNTIF('Elève (3ème2)'!EY12:FB12,"A"))*4)+((COUNTIF('Elève (3ème2)'!EY12:FB12,"B"))*3)+((COUNTIF('Elève (3ème2)'!EY12:FB12,"C"))*2)+((COUNTIF('Elève (3ème2)'!EY12:FB12,"D"))*1))/(COUNTA(EY12:FB12)),"")</f>
        <v/>
      </c>
      <c r="FD12" s="166" t="str">
        <f t="shared" si="54"/>
        <v/>
      </c>
      <c r="FE12" s="110"/>
      <c r="FF12" s="111"/>
      <c r="FG12" s="112"/>
      <c r="FH12" s="112"/>
      <c r="FI12" s="112" t="s">
        <v>28</v>
      </c>
      <c r="FJ12" s="116"/>
      <c r="FK12" s="165">
        <f>IFERROR((((COUNTIF('Elève (3ème2)'!FE12:FJ12,"A"))*4)+((COUNTIF('Elève (3ème2)'!FE12:FJ12,"B"))*3)+((COUNTIF('Elève (3ème2)'!FE12:FJ12,"C"))*2)+((COUNTIF('Elève (3ème2)'!FE12:FJ12,"D"))*1))/(COUNTA(FE12:FJ12)),"")</f>
        <v>3</v>
      </c>
      <c r="FL12" s="166" t="str">
        <f t="shared" si="55"/>
        <v>B</v>
      </c>
      <c r="FM12" s="165">
        <f>IF(COUNT(EW12,FC12,FK12)=0,"",SUM(EW12,FC12,FK12)/COUNT(EW12,FC12,FK12))</f>
        <v>3</v>
      </c>
      <c r="FN12" s="188" t="str">
        <f t="shared" si="56"/>
        <v>B</v>
      </c>
      <c r="FO12" s="110" t="s">
        <v>27</v>
      </c>
      <c r="FP12" s="111"/>
      <c r="FQ12" s="112"/>
      <c r="FR12" s="165">
        <f>IFERROR((((COUNTIF('Elève (3ème2)'!FO12:FQ12,"A"))*4)+((COUNTIF('Elève (3ème2)'!FO12:FQ12,"B"))*3)+((COUNTIF('Elève (3ème2)'!FO12:FQ12,"C"))*2)+((COUNTIF('Elève (3ème2)'!FO12:FQ12,"D"))*1))/(COUNTA(FO12:FQ12)),"")</f>
        <v>4</v>
      </c>
      <c r="FS12" s="166" t="str">
        <f t="shared" si="57"/>
        <v>A</v>
      </c>
      <c r="FT12" s="110"/>
      <c r="FU12" s="111"/>
      <c r="FV12" s="112"/>
      <c r="FW12" s="112"/>
      <c r="FX12" s="165" t="str">
        <f>IFERROR((((COUNTIF('Elève (3ème2)'!FT12:FW12,"A"))*4)+((COUNTIF('Elève (3ème2)'!FT12:FW12,"B"))*3)+((COUNTIF('Elève (3ème2)'!FT12:FW12,"C"))*2)+((COUNTIF('Elève (3ème2)'!FT12:FW12,"D"))*1))/(COUNTA(FT12:FW12)),"")</f>
        <v/>
      </c>
      <c r="FY12" s="166" t="str">
        <f t="shared" si="58"/>
        <v/>
      </c>
      <c r="FZ12" s="110"/>
      <c r="GA12" s="111"/>
      <c r="GB12" s="112"/>
      <c r="GC12" s="112"/>
      <c r="GD12" s="112" t="s">
        <v>27</v>
      </c>
      <c r="GE12" s="116"/>
      <c r="GF12" s="165">
        <f>IFERROR((((COUNTIF('Elève (3ème2)'!FZ12:GE12,"A"))*4)+((COUNTIF('Elève (3ème2)'!FZ12:GE12,"B"))*3)+((COUNTIF('Elève (3ème2)'!FZ12:GE12,"C"))*2)+((COUNTIF('Elève (3ème2)'!FZ12:GE12,"D"))*1))/(COUNTA(FZ12:GE12)),"")</f>
        <v>4</v>
      </c>
      <c r="GG12" s="166" t="str">
        <f t="shared" si="59"/>
        <v>A</v>
      </c>
      <c r="GH12" s="165">
        <f>IF(COUNT(FR12,FX12,GF12)=0,"",SUM(FR12,FX12,GF12)/COUNT(FR12,FX12,GF12))</f>
        <v>4</v>
      </c>
      <c r="GI12" s="188" t="str">
        <f t="shared" si="60"/>
        <v>A</v>
      </c>
      <c r="GJ12" s="110" t="s">
        <v>27</v>
      </c>
      <c r="GK12" s="111"/>
      <c r="GL12" s="112"/>
      <c r="GM12" s="165">
        <f>IFERROR((((COUNTIF('Elève (3ème2)'!GJ12:GL12,"A"))*4)+((COUNTIF('Elève (3ème2)'!GJ12:GL12,"B"))*3)+((COUNTIF('Elève (3ème2)'!GJ12:GL12,"C"))*2)+((COUNTIF('Elève (3ème2)'!GJ12:GL12,"D"))*1))/(COUNTA(GJ12:GL12)),"")</f>
        <v>4</v>
      </c>
      <c r="GN12" s="166" t="str">
        <f t="shared" si="61"/>
        <v>A</v>
      </c>
      <c r="GO12" s="110"/>
      <c r="GP12" s="111"/>
      <c r="GQ12" s="112"/>
      <c r="GR12" s="112"/>
      <c r="GS12" s="165" t="str">
        <f>IFERROR((((COUNTIF('Elève (3ème2)'!GO12:GR12,"A"))*4)+((COUNTIF('Elève (3ème2)'!GO12:GR12,"B"))*3)+((COUNTIF('Elève (3ème2)'!GO12:GR12,"C"))*2)+((COUNTIF('Elève (3ème2)'!GO12:GR12,"D"))*1))/(COUNTA(GO12:GR12)),"")</f>
        <v/>
      </c>
      <c r="GT12" s="166" t="str">
        <f t="shared" si="62"/>
        <v/>
      </c>
      <c r="GU12" s="110"/>
      <c r="GV12" s="111"/>
      <c r="GW12" s="112"/>
      <c r="GX12" s="112"/>
      <c r="GY12" s="112" t="s">
        <v>28</v>
      </c>
      <c r="GZ12" s="116"/>
      <c r="HA12" s="165">
        <f>IFERROR((((COUNTIF('Elève (3ème2)'!GU12:GZ12,"A"))*4)+((COUNTIF('Elève (3ème2)'!GU12:GZ12,"B"))*3)+((COUNTIF('Elève (3ème2)'!GU12:GZ12,"C"))*2)+((COUNTIF('Elève (3ème2)'!GU12:GZ12,"D"))*1))/(COUNTA(GU12:GZ12)),"")</f>
        <v>3</v>
      </c>
      <c r="HB12" s="166" t="str">
        <f t="shared" si="63"/>
        <v>B</v>
      </c>
      <c r="HC12" s="165">
        <f>IF(COUNT(GM12,GS12,HA12)=0,"",SUM(GM12,GS12,HA12)/COUNT(GM12,GS12,HA12))</f>
        <v>3.5</v>
      </c>
      <c r="HD12" s="188" t="str">
        <f t="shared" si="64"/>
        <v>B</v>
      </c>
      <c r="HE12" s="110" t="s">
        <v>28</v>
      </c>
      <c r="HF12" s="111"/>
      <c r="HG12" s="112"/>
      <c r="HH12" s="165">
        <f>IFERROR((((COUNTIF('Elève (3ème2)'!HE12:HG12,"A"))*4)+((COUNTIF('Elève (3ème2)'!HE12:HG12,"B"))*3)+((COUNTIF('Elève (3ème2)'!HE12:HG12,"C"))*2)+((COUNTIF('Elève (3ème2)'!HE12:HG12,"D"))*1))/(COUNTA(HE12:HG12)),"")</f>
        <v>3</v>
      </c>
      <c r="HI12" s="166" t="str">
        <f t="shared" si="65"/>
        <v>B</v>
      </c>
      <c r="HJ12" s="110"/>
      <c r="HK12" s="111"/>
      <c r="HL12" s="112"/>
      <c r="HM12" s="112"/>
      <c r="HN12" s="165" t="str">
        <f>IFERROR((((COUNTIF('Elève (3ème2)'!HJ12:HM12,"A"))*4)+((COUNTIF('Elève (3ème2)'!HJ12:HM12,"B"))*3)+((COUNTIF('Elève (3ème2)'!HJ12:HM12,"C"))*2)+((COUNTIF('Elève (3ème2)'!HJ12:HM12,"D"))*1))/(COUNTA(HJ12:HM12)),"")</f>
        <v/>
      </c>
      <c r="HO12" s="166" t="str">
        <f t="shared" si="66"/>
        <v/>
      </c>
      <c r="HP12" s="110"/>
      <c r="HQ12" s="111"/>
      <c r="HR12" s="112"/>
      <c r="HS12" s="112"/>
      <c r="HT12" s="112" t="s">
        <v>27</v>
      </c>
      <c r="HU12" s="116"/>
      <c r="HV12" s="165">
        <f>IFERROR((((COUNTIF('Elève (3ème2)'!HP12:HU12,"A"))*4)+((COUNTIF('Elève (3ème2)'!HP12:HU12,"B"))*3)+((COUNTIF('Elève (3ème2)'!HP12:HU12,"C"))*2)+((COUNTIF('Elève (3ème2)'!HP12:HU12,"D"))*1))/(COUNTA(HP12:HU12)),"")</f>
        <v>4</v>
      </c>
      <c r="HW12" s="166" t="str">
        <f t="shared" si="67"/>
        <v>A</v>
      </c>
      <c r="HX12" s="165">
        <f>IF(COUNT(HH12,HN12,HV12)=0,"",SUM(HH12,HN12,HV12)/COUNT(HH12,HN12,HV12))</f>
        <v>3.5</v>
      </c>
      <c r="HY12" s="188" t="str">
        <f t="shared" si="68"/>
        <v>B</v>
      </c>
      <c r="HZ12" s="110" t="s">
        <v>27</v>
      </c>
      <c r="IA12" s="111"/>
      <c r="IB12" s="112"/>
      <c r="IC12" s="165">
        <f>IFERROR((((COUNTIF('Elève (3ème2)'!HZ12:IB12,"A"))*4)+((COUNTIF('Elève (3ème2)'!HZ12:IB12,"B"))*3)+((COUNTIF('Elève (3ème2)'!HZ12:IB12,"C"))*2)+((COUNTIF('Elève (3ème2)'!HZ12:IB12,"D"))*1))/(COUNTA(HZ12:IB12)),"")</f>
        <v>4</v>
      </c>
      <c r="ID12" s="166" t="str">
        <f t="shared" si="69"/>
        <v>A</v>
      </c>
      <c r="IE12" s="110"/>
      <c r="IF12" s="111"/>
      <c r="IG12" s="112"/>
      <c r="IH12" s="112"/>
      <c r="II12" s="165" t="str">
        <f>IFERROR((((COUNTIF('Elève (3ème2)'!IE12:IH12,"A"))*4)+((COUNTIF('Elève (3ème2)'!IE12:IH12,"B"))*3)+((COUNTIF('Elève (3ème2)'!IE12:IH12,"C"))*2)+((COUNTIF('Elève (3ème2)'!IE12:IH12,"D"))*1))/(COUNTA(IE12:IH12)),"")</f>
        <v/>
      </c>
      <c r="IJ12" s="166" t="str">
        <f t="shared" si="70"/>
        <v/>
      </c>
      <c r="IK12" s="110"/>
      <c r="IL12" s="111"/>
      <c r="IM12" s="112"/>
      <c r="IN12" s="112"/>
      <c r="IO12" s="112" t="s">
        <v>28</v>
      </c>
      <c r="IP12" s="116"/>
      <c r="IQ12" s="165">
        <f>IFERROR((((COUNTIF('Elève (3ème2)'!IK12:IP12,"A"))*4)+((COUNTIF('Elève (3ème2)'!IK12:IP12,"B"))*3)+((COUNTIF('Elève (3ème2)'!IK12:IP12,"C"))*2)+((COUNTIF('Elève (3ème2)'!IK12:IP12,"D"))*1))/(COUNTA(IK12:IP12)),"")</f>
        <v>3</v>
      </c>
      <c r="IR12" s="166" t="str">
        <f t="shared" si="71"/>
        <v>B</v>
      </c>
      <c r="IS12" s="165">
        <f>IF(COUNT(IC12,II12,IQ12)=0,"",SUM(IC12,II12,IQ12)/COUNT(IC12,II12,IQ12))</f>
        <v>3.5</v>
      </c>
      <c r="IT12" s="188" t="str">
        <f t="shared" si="72"/>
        <v>B</v>
      </c>
      <c r="IU12" s="110" t="s">
        <v>29</v>
      </c>
      <c r="IV12" s="111"/>
      <c r="IW12" s="112"/>
      <c r="IX12" s="165">
        <f>IFERROR((((COUNTIF('Elève (3ème2)'!IU12:IW12,"A"))*4)+((COUNTIF('Elève (3ème2)'!IU12:IW12,"B"))*3)+((COUNTIF('Elève (3ème2)'!IU12:IW12,"C"))*2)+((COUNTIF('Elève (3ème2)'!IU12:IW12,"D"))*1))/(COUNTA(IU12:IW12)),"")</f>
        <v>2</v>
      </c>
      <c r="IY12" s="166" t="str">
        <f t="shared" si="73"/>
        <v>C</v>
      </c>
      <c r="IZ12" s="110"/>
      <c r="JA12" s="111"/>
      <c r="JB12" s="112"/>
      <c r="JC12" s="112"/>
      <c r="JD12" s="165" t="str">
        <f>IFERROR((((COUNTIF('Elève (3ème2)'!IZ12:JC12,"A"))*4)+((COUNTIF('Elève (3ème2)'!IZ12:JC12,"B"))*3)+((COUNTIF('Elève (3ème2)'!IZ12:JC12,"C"))*2)+((COUNTIF('Elève (3ème2)'!IZ12:JC12,"D"))*1))/(COUNTA(IZ12:JC12)),"")</f>
        <v/>
      </c>
      <c r="JE12" s="166" t="str">
        <f t="shared" si="74"/>
        <v/>
      </c>
      <c r="JF12" s="110"/>
      <c r="JG12" s="111"/>
      <c r="JH12" s="112"/>
      <c r="JI12" s="112"/>
      <c r="JJ12" s="112" t="s">
        <v>28</v>
      </c>
      <c r="JK12" s="116"/>
      <c r="JL12" s="165">
        <f>IFERROR((((COUNTIF('Elève (3ème2)'!JF12:JK12,"A"))*4)+((COUNTIF('Elève (3ème2)'!JF12:JK12,"B"))*3)+((COUNTIF('Elève (3ème2)'!JF12:JK12,"C"))*2)+((COUNTIF('Elève (3ème2)'!JF12:JK12,"D"))*1))/(COUNTA(JF12:JK12)),"")</f>
        <v>3</v>
      </c>
      <c r="JM12" s="166" t="str">
        <f t="shared" si="75"/>
        <v>B</v>
      </c>
      <c r="JN12" s="165">
        <f>IF(COUNT(IX12,JD12,JL12)=0,"",SUM(IX12,JD12,JL12)/COUNT(IX12,JD12,JL12))</f>
        <v>2.5</v>
      </c>
      <c r="JO12" s="188" t="str">
        <f t="shared" si="76"/>
        <v>C</v>
      </c>
      <c r="JP12" s="110" t="s">
        <v>27</v>
      </c>
      <c r="JQ12" s="111"/>
      <c r="JR12" s="112"/>
      <c r="JS12" s="165">
        <f>IFERROR((((COUNTIF('Elève (3ème2)'!JP12:JR12,"A"))*4)+((COUNTIF('Elève (3ème2)'!JP12:JR12,"B"))*3)+((COUNTIF('Elève (3ème2)'!JP12:JR12,"C"))*2)+((COUNTIF('Elève (3ème2)'!JP12:JR12,"D"))*1))/(COUNTA(JP12:JR12)),"")</f>
        <v>4</v>
      </c>
      <c r="JT12" s="166" t="str">
        <f t="shared" si="77"/>
        <v>A</v>
      </c>
      <c r="JU12" s="110"/>
      <c r="JV12" s="111"/>
      <c r="JW12" s="112"/>
      <c r="JX12" s="112"/>
      <c r="JY12" s="165" t="str">
        <f>IFERROR((((COUNTIF('Elève (3ème2)'!JU12:JX12,"A"))*4)+((COUNTIF('Elève (3ème2)'!JU12:JX12,"B"))*3)+((COUNTIF('Elève (3ème2)'!JU12:JX12,"C"))*2)+((COUNTIF('Elève (3ème2)'!JU12:JX12,"D"))*1))/(COUNTA(JU12:JX12)),"")</f>
        <v/>
      </c>
      <c r="JZ12" s="166" t="str">
        <f t="shared" si="78"/>
        <v/>
      </c>
      <c r="KA12" s="110"/>
      <c r="KB12" s="111"/>
      <c r="KC12" s="112"/>
      <c r="KD12" s="112"/>
      <c r="KE12" s="112" t="s">
        <v>28</v>
      </c>
      <c r="KF12" s="116"/>
      <c r="KG12" s="165">
        <f>IFERROR((((COUNTIF('Elève (3ème2)'!KA12:KF12,"A"))*4)+((COUNTIF('Elève (3ème2)'!KA12:KF12,"B"))*3)+((COUNTIF('Elève (3ème2)'!KA12:KF12,"C"))*2)+((COUNTIF('Elève (3ème2)'!KA12:KF12,"D"))*1))/(COUNTA(KA12:KF12)),"")</f>
        <v>3</v>
      </c>
      <c r="KH12" s="166" t="str">
        <f t="shared" si="79"/>
        <v>B</v>
      </c>
      <c r="KI12" s="165">
        <f>IF(COUNT(JS12,JY12,KG12)=0,"",SUM(JS12,JY12,KG12)/COUNT(JS12,JY12,KG12))</f>
        <v>3.5</v>
      </c>
      <c r="KJ12" s="188" t="str">
        <f t="shared" si="80"/>
        <v>B</v>
      </c>
      <c r="KK12" s="110" t="s">
        <v>28</v>
      </c>
      <c r="KL12" s="111"/>
      <c r="KM12" s="112"/>
      <c r="KN12" s="165">
        <f>IFERROR((((COUNTIF('Elève (3ème2)'!KK12:KM12,"A"))*4)+((COUNTIF('Elève (3ème2)'!KK12:KM12,"B"))*3)+((COUNTIF('Elève (3ème2)'!KK12:KM12,"C"))*2)+((COUNTIF('Elève (3ème2)'!KK12:KM12,"D"))*1))/(COUNTA(KK12:KM12)),"")</f>
        <v>3</v>
      </c>
      <c r="KO12" s="166" t="str">
        <f t="shared" si="81"/>
        <v>B</v>
      </c>
      <c r="KP12" s="110"/>
      <c r="KQ12" s="111"/>
      <c r="KR12" s="112"/>
      <c r="KS12" s="112"/>
      <c r="KT12" s="165" t="str">
        <f>IFERROR((((COUNTIF('Elève (3ème2)'!KP12:KS12,"A"))*4)+((COUNTIF('Elève (3ème2)'!KP12:KS12,"B"))*3)+((COUNTIF('Elève (3ème2)'!KP12:KS12,"C"))*2)+((COUNTIF('Elève (3ème2)'!KP12:KS12,"D"))*1))/(COUNTA(KP12:KS12)),"")</f>
        <v/>
      </c>
      <c r="KU12" s="166" t="str">
        <f t="shared" si="82"/>
        <v/>
      </c>
      <c r="KV12" s="110"/>
      <c r="KW12" s="111"/>
      <c r="KX12" s="112"/>
      <c r="KY12" s="112"/>
      <c r="KZ12" s="112" t="s">
        <v>29</v>
      </c>
      <c r="LA12" s="116"/>
      <c r="LB12" s="165">
        <f>IFERROR((((COUNTIF('Elève (3ème2)'!KV12:LA12,"A"))*4)+((COUNTIF('Elève (3ème2)'!KV12:LA12,"B"))*3)+((COUNTIF('Elève (3ème2)'!KV12:LA12,"C"))*2)+((COUNTIF('Elève (3ème2)'!KV12:LA12,"D"))*1))/(COUNTA(KV12:LA12)),"")</f>
        <v>2</v>
      </c>
      <c r="LC12" s="166" t="str">
        <f t="shared" si="83"/>
        <v>C</v>
      </c>
      <c r="LD12" s="165">
        <f>IF(COUNT(KN12,KT12,LB12)=0,"",SUM(KN12,KT12,LB12)/COUNT(KN12,KT12,LB12))</f>
        <v>2.5</v>
      </c>
      <c r="LE12" s="188" t="str">
        <f t="shared" si="84"/>
        <v>C</v>
      </c>
      <c r="LF12" s="110" t="s">
        <v>30</v>
      </c>
      <c r="LG12" s="111"/>
      <c r="LH12" s="112"/>
      <c r="LI12" s="165">
        <f>IFERROR((((COUNTIF('Elève (3ème2)'!LF12:LH12,"A"))*4)+((COUNTIF('Elève (3ème2)'!LF12:LH12,"B"))*3)+((COUNTIF('Elève (3ème2)'!LF12:LH12,"C"))*2)+((COUNTIF('Elève (3ème2)'!LF12:LH12,"D"))*1))/(COUNTA(LF12:LH12)),"")</f>
        <v>1</v>
      </c>
      <c r="LJ12" s="166" t="str">
        <f t="shared" si="85"/>
        <v>D</v>
      </c>
      <c r="LK12" s="110"/>
      <c r="LL12" s="111"/>
      <c r="LM12" s="112"/>
      <c r="LN12" s="112"/>
      <c r="LO12" s="165" t="str">
        <f>IFERROR((((COUNTIF('Elève (3ème2)'!LK12:LN12,"A"))*4)+((COUNTIF('Elève (3ème2)'!LK12:LN12,"B"))*3)+((COUNTIF('Elève (3ème2)'!LK12:LN12,"C"))*2)+((COUNTIF('Elève (3ème2)'!LK12:LN12,"D"))*1))/(COUNTA(LK12:LN12)),"")</f>
        <v/>
      </c>
      <c r="LP12" s="166" t="str">
        <f t="shared" si="86"/>
        <v/>
      </c>
      <c r="LQ12" s="110"/>
      <c r="LR12" s="111"/>
      <c r="LS12" s="112"/>
      <c r="LT12" s="112"/>
      <c r="LU12" s="112" t="s">
        <v>29</v>
      </c>
      <c r="LV12" s="116"/>
      <c r="LW12" s="165">
        <f>IFERROR((((COUNTIF('Elève (3ème2)'!LQ12:LV12,"A"))*4)+((COUNTIF('Elève (3ème2)'!LQ12:LV12,"B"))*3)+((COUNTIF('Elève (3ème2)'!LQ12:LV12,"C"))*2)+((COUNTIF('Elève (3ème2)'!LQ12:LV12,"D"))*1))/(COUNTA(LQ12:LV12)),"")</f>
        <v>2</v>
      </c>
      <c r="LX12" s="166" t="str">
        <f t="shared" si="87"/>
        <v>C</v>
      </c>
      <c r="LY12" s="165">
        <f>IF(COUNT(LI12,LO12,LW12)=0,"",SUM(LI12,LO12,LW12)/COUNT(LI12,LO12,LW12))</f>
        <v>1.5</v>
      </c>
      <c r="LZ12" s="188" t="str">
        <f t="shared" si="88"/>
        <v>D</v>
      </c>
      <c r="MA12" s="110" t="s">
        <v>27</v>
      </c>
      <c r="MB12" s="111"/>
      <c r="MC12" s="112"/>
      <c r="MD12" s="165">
        <f>IFERROR((((COUNTIF('Elève (3ème2)'!MA12:MC12,"A"))*4)+((COUNTIF('Elève (3ème2)'!MA12:MC12,"B"))*3)+((COUNTIF('Elève (3ème2)'!MA12:MC12,"C"))*2)+((COUNTIF('Elève (3ème2)'!MA12:MC12,"D"))*1))/(COUNTA(MA12:MC12)),"")</f>
        <v>4</v>
      </c>
      <c r="ME12" s="166" t="str">
        <f t="shared" si="89"/>
        <v>A</v>
      </c>
      <c r="MF12" s="110"/>
      <c r="MG12" s="111"/>
      <c r="MH12" s="112"/>
      <c r="MI12" s="112"/>
      <c r="MJ12" s="165" t="str">
        <f>IFERROR((((COUNTIF('Elève (3ème2)'!MF12:MI12,"A"))*4)+((COUNTIF('Elève (3ème2)'!MF12:MI12,"B"))*3)+((COUNTIF('Elève (3ème2)'!MF12:MI12,"C"))*2)+((COUNTIF('Elève (3ème2)'!MF12:MI12,"D"))*1))/(COUNTA(MF12:MI12)),"")</f>
        <v/>
      </c>
      <c r="MK12" s="166" t="str">
        <f t="shared" si="90"/>
        <v/>
      </c>
      <c r="ML12" s="110"/>
      <c r="MM12" s="111"/>
      <c r="MN12" s="112"/>
      <c r="MO12" s="112"/>
      <c r="MP12" s="112" t="s">
        <v>29</v>
      </c>
      <c r="MQ12" s="116"/>
      <c r="MR12" s="165">
        <f>IFERROR((((COUNTIF('Elève (3ème2)'!ML12:MQ12,"A"))*4)+((COUNTIF('Elève (3ème2)'!ML12:MQ12,"B"))*3)+((COUNTIF('Elève (3ème2)'!ML12:MQ12,"C"))*2)+((COUNTIF('Elève (3ème2)'!ML12:MQ12,"D"))*1))/(COUNTA(ML12:MQ12)),"")</f>
        <v>2</v>
      </c>
      <c r="MS12" s="166" t="str">
        <f t="shared" si="91"/>
        <v>C</v>
      </c>
      <c r="MT12" s="165">
        <f>IF(COUNT(MD12,MJ12,MR12)=0,"",SUM(MD12,MJ12,MR12)/COUNT(MD12,MJ12,MR12))</f>
        <v>3</v>
      </c>
      <c r="MU12" s="188" t="str">
        <f t="shared" si="92"/>
        <v>B</v>
      </c>
      <c r="MV12" s="110" t="s">
        <v>28</v>
      </c>
      <c r="MW12" s="111"/>
      <c r="MX12" s="112"/>
      <c r="MY12" s="165">
        <f>IFERROR((((COUNTIF('Elève (3ème2)'!MV12:MX12,"A"))*4)+((COUNTIF('Elève (3ème2)'!MV12:MX12,"B"))*3)+((COUNTIF('Elève (3ème2)'!MV12:MX12,"C"))*2)+((COUNTIF('Elève (3ème2)'!MV12:MX12,"D"))*1))/(COUNTA(MV12:MX12)),"")</f>
        <v>3</v>
      </c>
      <c r="MZ12" s="166" t="str">
        <f t="shared" si="93"/>
        <v>B</v>
      </c>
      <c r="NA12" s="110"/>
      <c r="NB12" s="111"/>
      <c r="NC12" s="112"/>
      <c r="ND12" s="112"/>
      <c r="NE12" s="165" t="str">
        <f>IFERROR((((COUNTIF('Elève (3ème2)'!NA12:ND12,"A"))*4)+((COUNTIF('Elève (3ème2)'!NA12:ND12,"B"))*3)+((COUNTIF('Elève (3ème2)'!NA12:ND12,"C"))*2)+((COUNTIF('Elève (3ème2)'!NA12:ND12,"D"))*1))/(COUNTA(NA12:ND12)),"")</f>
        <v/>
      </c>
      <c r="NF12" s="166" t="str">
        <f t="shared" si="94"/>
        <v/>
      </c>
      <c r="NG12" s="110"/>
      <c r="NH12" s="111"/>
      <c r="NI12" s="112"/>
      <c r="NJ12" s="112"/>
      <c r="NK12" s="112" t="s">
        <v>27</v>
      </c>
      <c r="NL12" s="116"/>
      <c r="NM12" s="165">
        <f>IFERROR((((COUNTIF('Elève (3ème2)'!NG12:NL12,"A"))*4)+((COUNTIF('Elève (3ème2)'!NG12:NL12,"B"))*3)+((COUNTIF('Elève (3ème2)'!NG12:NL12,"C"))*2)+((COUNTIF('Elève (3ème2)'!NG12:NL12,"D"))*1))/(COUNTA(NG12:NL12)),"")</f>
        <v>4</v>
      </c>
      <c r="NN12" s="166" t="str">
        <f t="shared" si="95"/>
        <v>A</v>
      </c>
      <c r="NO12" s="165">
        <f>IF(COUNT(MY12,NE12,NM12)=0,"",SUM(MY12,NE12,NM12)/COUNT(MY12,NE12,NM12))</f>
        <v>3.5</v>
      </c>
      <c r="NP12" s="188" t="str">
        <f t="shared" si="96"/>
        <v>B</v>
      </c>
      <c r="NQ12" s="110" t="s">
        <v>28</v>
      </c>
      <c r="NR12" s="111"/>
      <c r="NS12" s="112"/>
      <c r="NT12" s="165">
        <f>IFERROR((((COUNTIF('Elève (3ème2)'!NQ12:NS12,"A"))*4)+((COUNTIF('Elève (3ème2)'!NQ12:NS12,"B"))*3)+((COUNTIF('Elève (3ème2)'!NQ12:NS12,"C"))*2)+((COUNTIF('Elève (3ème2)'!NQ12:NS12,"D"))*1))/(COUNTA(NQ12:NS12)),"")</f>
        <v>3</v>
      </c>
      <c r="NU12" s="166" t="str">
        <f t="shared" si="97"/>
        <v>B</v>
      </c>
      <c r="NV12" s="110"/>
      <c r="NW12" s="111"/>
      <c r="NX12" s="112"/>
      <c r="NY12" s="112"/>
      <c r="NZ12" s="165" t="str">
        <f>IFERROR((((COUNTIF('Elève (3ème2)'!NV12:NY12,"A"))*4)+((COUNTIF('Elève (3ème2)'!NV12:NY12,"B"))*3)+((COUNTIF('Elève (3ème2)'!NV12:NY12,"C"))*2)+((COUNTIF('Elève (3ème2)'!NV12:NY12,"D"))*1))/(COUNTA(NV12:NY12)),"")</f>
        <v/>
      </c>
      <c r="OA12" s="166" t="str">
        <f t="shared" si="98"/>
        <v/>
      </c>
      <c r="OB12" s="110"/>
      <c r="OC12" s="111"/>
      <c r="OD12" s="112"/>
      <c r="OE12" s="112"/>
      <c r="OF12" s="112" t="s">
        <v>28</v>
      </c>
      <c r="OG12" s="116"/>
      <c r="OH12" s="165">
        <f>IFERROR((((COUNTIF('Elève (3ème2)'!OB12:OG12,"A"))*4)+((COUNTIF('Elève (3ème2)'!OB12:OG12,"B"))*3)+((COUNTIF('Elève (3ème2)'!OB12:OG12,"C"))*2)+((COUNTIF('Elève (3ème2)'!OB12:OG12,"D"))*1))/(COUNTA(OB12:OG12)),"")</f>
        <v>3</v>
      </c>
      <c r="OI12" s="166" t="str">
        <f t="shared" si="99"/>
        <v>B</v>
      </c>
      <c r="OJ12" s="165">
        <f>IF(COUNT(NT12,NZ12,OH12)=0,"",SUM(NT12,NZ12,OH12)/COUNT(NT12,NZ12,OH12))</f>
        <v>3</v>
      </c>
      <c r="OK12" s="188" t="str">
        <f t="shared" si="100"/>
        <v>B</v>
      </c>
      <c r="OL12" s="110" t="s">
        <v>27</v>
      </c>
      <c r="OM12" s="111"/>
      <c r="ON12" s="112"/>
      <c r="OO12" s="165">
        <f>IFERROR((((COUNTIF('Elève (3ème2)'!OL12:ON12,"A"))*4)+((COUNTIF('Elève (3ème2)'!OL12:ON12,"B"))*3)+((COUNTIF('Elève (3ème2)'!OL12:ON12,"C"))*2)+((COUNTIF('Elève (3ème2)'!OL12:ON12,"D"))*1))/(COUNTA(OL12:ON12)),"")</f>
        <v>4</v>
      </c>
      <c r="OP12" s="166" t="str">
        <f t="shared" si="101"/>
        <v>A</v>
      </c>
      <c r="OQ12" s="110"/>
      <c r="OR12" s="111"/>
      <c r="OS12" s="112"/>
      <c r="OT12" s="112"/>
      <c r="OU12" s="165" t="str">
        <f>IFERROR((((COUNTIF('Elève (3ème2)'!OQ12:OT12,"A"))*4)+((COUNTIF('Elève (3ème2)'!OQ12:OT12,"B"))*3)+((COUNTIF('Elève (3ème2)'!OQ12:OT12,"C"))*2)+((COUNTIF('Elève (3ème2)'!OQ12:OT12,"D"))*1))/(COUNTA(OQ12:OT12)),"")</f>
        <v/>
      </c>
      <c r="OV12" s="166" t="str">
        <f t="shared" si="102"/>
        <v/>
      </c>
      <c r="OW12" s="110"/>
      <c r="OX12" s="111"/>
      <c r="OY12" s="112"/>
      <c r="OZ12" s="112"/>
      <c r="PA12" s="112" t="s">
        <v>27</v>
      </c>
      <c r="PB12" s="116"/>
      <c r="PC12" s="165">
        <f>IFERROR((((COUNTIF('Elève (3ème2)'!OW12:PB12,"A"))*4)+((COUNTIF('Elève (3ème2)'!OW12:PB12,"B"))*3)+((COUNTIF('Elève (3ème2)'!OW12:PB12,"C"))*2)+((COUNTIF('Elève (3ème2)'!OW12:PB12,"D"))*1))/(COUNTA(OW12:PB12)),"")</f>
        <v>4</v>
      </c>
      <c r="PD12" s="166" t="str">
        <f t="shared" si="103"/>
        <v>A</v>
      </c>
      <c r="PE12" s="165">
        <f>IF(COUNT(OO12,OU12,PC12)=0,"",SUM(OO12,OU12,PC12)/COUNT(OO12,OU12,PC12))</f>
        <v>4</v>
      </c>
      <c r="PF12" s="188" t="str">
        <f t="shared" si="104"/>
        <v>A</v>
      </c>
      <c r="PG12" s="110" t="s">
        <v>29</v>
      </c>
      <c r="PH12" s="111"/>
      <c r="PI12" s="112"/>
      <c r="PJ12" s="165">
        <f>IFERROR((((COUNTIF('Elève (3ème2)'!PG12:PI12,"A"))*4)+((COUNTIF('Elève (3ème2)'!PG12:PI12,"B"))*3)+((COUNTIF('Elève (3ème2)'!PG12:PI12,"C"))*2)+((COUNTIF('Elève (3ème2)'!PG12:PI12,"D"))*1))/(COUNTA(PG12:PI12)),"")</f>
        <v>2</v>
      </c>
      <c r="PK12" s="166" t="str">
        <f t="shared" si="105"/>
        <v>C</v>
      </c>
      <c r="PL12" s="110"/>
      <c r="PM12" s="111"/>
      <c r="PN12" s="112"/>
      <c r="PO12" s="112"/>
      <c r="PP12" s="165" t="str">
        <f>IFERROR((((COUNTIF('Elève (3ème2)'!PL12:PO12,"A"))*4)+((COUNTIF('Elève (3ème2)'!PL12:PO12,"B"))*3)+((COUNTIF('Elève (3ème2)'!PL12:PO12,"C"))*2)+((COUNTIF('Elève (3ème2)'!PL12:PO12,"D"))*1))/(COUNTA(PL12:PO12)),"")</f>
        <v/>
      </c>
      <c r="PQ12" s="166" t="str">
        <f t="shared" si="106"/>
        <v/>
      </c>
      <c r="PR12" s="110"/>
      <c r="PS12" s="111"/>
      <c r="PT12" s="112"/>
      <c r="PU12" s="112"/>
      <c r="PV12" s="112" t="s">
        <v>28</v>
      </c>
      <c r="PW12" s="116"/>
      <c r="PX12" s="165">
        <f>IFERROR((((COUNTIF('Elève (3ème2)'!PR12:PW12,"A"))*4)+((COUNTIF('Elève (3ème2)'!PR12:PW12,"B"))*3)+((COUNTIF('Elève (3ème2)'!PR12:PW12,"C"))*2)+((COUNTIF('Elève (3ème2)'!PR12:PW12,"D"))*1))/(COUNTA(PR12:PW12)),"")</f>
        <v>3</v>
      </c>
      <c r="PY12" s="166" t="str">
        <f t="shared" si="107"/>
        <v>B</v>
      </c>
      <c r="PZ12" s="165">
        <f>IF(COUNT(PJ12,PP12,PX12)=0,"",SUM(PJ12,PP12,PX12)/COUNT(PJ12,PP12,PX12))</f>
        <v>2.5</v>
      </c>
      <c r="QA12" s="188" t="str">
        <f t="shared" si="108"/>
        <v>C</v>
      </c>
      <c r="QB12" s="110" t="s">
        <v>27</v>
      </c>
      <c r="QC12" s="111"/>
      <c r="QD12" s="112"/>
      <c r="QE12" s="165">
        <f>IFERROR((((COUNTIF('Elève (3ème2)'!QB12:QD12,"A"))*4)+((COUNTIF('Elève (3ème2)'!QB12:QD12,"B"))*3)+((COUNTIF('Elève (3ème2)'!QB12:QD12,"C"))*2)+((COUNTIF('Elève (3ème2)'!QB12:QD12,"D"))*1))/(COUNTA(QB12:QD12)),"")</f>
        <v>4</v>
      </c>
      <c r="QF12" s="166" t="str">
        <f t="shared" si="109"/>
        <v>A</v>
      </c>
      <c r="QG12" s="110"/>
      <c r="QH12" s="111"/>
      <c r="QI12" s="112"/>
      <c r="QJ12" s="112"/>
      <c r="QK12" s="165" t="str">
        <f>IFERROR((((COUNTIF('Elève (3ème2)'!QG12:QJ12,"A"))*4)+((COUNTIF('Elève (3ème2)'!QG12:QJ12,"B"))*3)+((COUNTIF('Elève (3ème2)'!QG12:QJ12,"C"))*2)+((COUNTIF('Elève (3ème2)'!QG12:QJ12,"D"))*1))/(COUNTA(QG12:QJ12)),"")</f>
        <v/>
      </c>
      <c r="QL12" s="166" t="str">
        <f t="shared" si="110"/>
        <v/>
      </c>
      <c r="QM12" s="110"/>
      <c r="QN12" s="111"/>
      <c r="QO12" s="112"/>
      <c r="QP12" s="112"/>
      <c r="QQ12" s="112" t="s">
        <v>29</v>
      </c>
      <c r="QR12" s="116"/>
      <c r="QS12" s="165">
        <f>IFERROR((((COUNTIF('Elève (3ème2)'!QM12:QR12,"A"))*4)+((COUNTIF('Elève (3ème2)'!QM12:QR12,"B"))*3)+((COUNTIF('Elève (3ème2)'!QM12:QR12,"C"))*2)+((COUNTIF('Elève (3ème2)'!QM12:QR12,"D"))*1))/(COUNTA(QM12:QR12)),"")</f>
        <v>2</v>
      </c>
      <c r="QT12" s="166" t="str">
        <f t="shared" si="111"/>
        <v>C</v>
      </c>
      <c r="QU12" s="165">
        <f>IF(COUNT(QE12,QK12,QS12)=0,"",SUM(QE12,QK12,QS12)/COUNT(QE12,QK12,QS12))</f>
        <v>3</v>
      </c>
      <c r="QV12" s="188" t="str">
        <f t="shared" si="112"/>
        <v>B</v>
      </c>
      <c r="QW12" s="110" t="s">
        <v>27</v>
      </c>
      <c r="QX12" s="111"/>
      <c r="QY12" s="112"/>
      <c r="QZ12" s="165">
        <f>IFERROR((((COUNTIF('Elève (3ème2)'!QW12:QY12,"A"))*4)+((COUNTIF('Elève (3ème2)'!QW12:QY12,"B"))*3)+((COUNTIF('Elève (3ème2)'!QW12:QY12,"C"))*2)+((COUNTIF('Elève (3ème2)'!QW12:QY12,"D"))*1))/(COUNTA(QW12:QY12)),"")</f>
        <v>4</v>
      </c>
      <c r="RA12" s="166" t="str">
        <f t="shared" si="113"/>
        <v>A</v>
      </c>
      <c r="RB12" s="110"/>
      <c r="RC12" s="111"/>
      <c r="RD12" s="112"/>
      <c r="RE12" s="112"/>
      <c r="RF12" s="165" t="str">
        <f>IFERROR((((COUNTIF('Elève (3ème2)'!RB12:RE12,"A"))*4)+((COUNTIF('Elève (3ème2)'!RB12:RE12,"B"))*3)+((COUNTIF('Elève (3ème2)'!RB12:RE12,"C"))*2)+((COUNTIF('Elève (3ème2)'!RB12:RE12,"D"))*1))/(COUNTA(RB12:RE12)),"")</f>
        <v/>
      </c>
      <c r="RG12" s="166" t="str">
        <f t="shared" si="114"/>
        <v/>
      </c>
      <c r="RH12" s="110"/>
      <c r="RI12" s="111"/>
      <c r="RJ12" s="112"/>
      <c r="RK12" s="112"/>
      <c r="RL12" s="112" t="s">
        <v>29</v>
      </c>
      <c r="RM12" s="116"/>
      <c r="RN12" s="165">
        <f>IFERROR((((COUNTIF('Elève (3ème2)'!RH12:RM12,"A"))*4)+((COUNTIF('Elève (3ème2)'!RH12:RM12,"B"))*3)+((COUNTIF('Elève (3ème2)'!RH12:RM12,"C"))*2)+((COUNTIF('Elève (3ème2)'!RH12:RM12,"D"))*1))/(COUNTA(RH12:RM12)),"")</f>
        <v>2</v>
      </c>
      <c r="RO12" s="166" t="str">
        <f t="shared" si="115"/>
        <v>C</v>
      </c>
      <c r="RP12" s="165">
        <f>IF(COUNT(QZ12,RF12,RN12)=0,"",SUM(QZ12,RF12,RN12)/COUNT(QZ12,RF12,RN12))</f>
        <v>3</v>
      </c>
      <c r="RQ12" s="188" t="str">
        <f t="shared" si="116"/>
        <v>B</v>
      </c>
      <c r="RR12" s="110" t="s">
        <v>29</v>
      </c>
      <c r="RS12" s="111"/>
      <c r="RT12" s="112"/>
      <c r="RU12" s="165">
        <f>IFERROR((((COUNTIF('Elève (3ème2)'!RR12:RT12,"A"))*4)+((COUNTIF('Elève (3ème2)'!RR12:RT12,"B"))*3)+((COUNTIF('Elève (3ème2)'!RR12:RT12,"C"))*2)+((COUNTIF('Elève (3ème2)'!RR12:RT12,"D"))*1))/(COUNTA(RR12:RT12)),"")</f>
        <v>2</v>
      </c>
      <c r="RV12" s="166" t="str">
        <f t="shared" si="117"/>
        <v>C</v>
      </c>
      <c r="RW12" s="110"/>
      <c r="RX12" s="111"/>
      <c r="RY12" s="112"/>
      <c r="RZ12" s="112"/>
      <c r="SA12" s="165" t="str">
        <f>IFERROR((((COUNTIF('Elève (3ème2)'!RW12:RZ12,"A"))*4)+((COUNTIF('Elève (3ème2)'!RW12:RZ12,"B"))*3)+((COUNTIF('Elève (3ème2)'!RW12:RZ12,"C"))*2)+((COUNTIF('Elève (3ème2)'!RW12:RZ12,"D"))*1))/(COUNTA(RW12:RZ12)),"")</f>
        <v/>
      </c>
      <c r="SB12" s="166" t="str">
        <f t="shared" si="118"/>
        <v/>
      </c>
      <c r="SC12" s="110"/>
      <c r="SD12" s="111"/>
      <c r="SE12" s="112"/>
      <c r="SF12" s="112"/>
      <c r="SG12" s="112" t="s">
        <v>28</v>
      </c>
      <c r="SH12" s="116"/>
      <c r="SI12" s="165">
        <f>IFERROR((((COUNTIF('Elève (3ème2)'!SC12:SH12,"A"))*4)+((COUNTIF('Elève (3ème2)'!SC12:SH12,"B"))*3)+((COUNTIF('Elève (3ème2)'!SC12:SH12,"C"))*2)+((COUNTIF('Elève (3ème2)'!SC12:SH12,"D"))*1))/(COUNTA(SC12:SH12)),"")</f>
        <v>3</v>
      </c>
      <c r="SJ12" s="166" t="str">
        <f t="shared" si="119"/>
        <v>B</v>
      </c>
      <c r="SK12" s="165">
        <f>IF(COUNT(RU12,SA12,SI12)=0,"",SUM(RU12,SA12,SI12)/COUNT(RU12,SA12,SI12))</f>
        <v>2.5</v>
      </c>
      <c r="SL12" s="188" t="str">
        <f t="shared" si="120"/>
        <v>C</v>
      </c>
      <c r="SM12" s="110" t="s">
        <v>28</v>
      </c>
      <c r="SN12" s="111"/>
      <c r="SO12" s="112"/>
      <c r="SP12" s="165">
        <f>IFERROR((((COUNTIF('Elève (3ème2)'!SM12:SO12,"A"))*4)+((COUNTIF('Elève (3ème2)'!SM12:SO12,"B"))*3)+((COUNTIF('Elève (3ème2)'!SM12:SO12,"C"))*2)+((COUNTIF('Elève (3ème2)'!SM12:SO12,"D"))*1))/(COUNTA(SM12:SO12)),"")</f>
        <v>3</v>
      </c>
      <c r="SQ12" s="166" t="str">
        <f t="shared" si="121"/>
        <v>B</v>
      </c>
      <c r="SR12" s="110"/>
      <c r="SS12" s="111"/>
      <c r="ST12" s="112"/>
      <c r="SU12" s="112"/>
      <c r="SV12" s="165" t="str">
        <f>IFERROR((((COUNTIF('Elève (3ème2)'!SR12:SU12,"A"))*4)+((COUNTIF('Elève (3ème2)'!SR12:SU12,"B"))*3)+((COUNTIF('Elève (3ème2)'!SR12:SU12,"C"))*2)+((COUNTIF('Elève (3ème2)'!SR12:SU12,"D"))*1))/(COUNTA(SR12:SU12)),"")</f>
        <v/>
      </c>
      <c r="SW12" s="166" t="str">
        <f t="shared" si="122"/>
        <v/>
      </c>
      <c r="SX12" s="110"/>
      <c r="SY12" s="111"/>
      <c r="SZ12" s="112"/>
      <c r="TA12" s="112"/>
      <c r="TB12" s="112" t="s">
        <v>28</v>
      </c>
      <c r="TC12" s="116"/>
      <c r="TD12" s="165">
        <f>IFERROR((((COUNTIF('Elève (3ème2)'!SX12:TC12,"A"))*4)+((COUNTIF('Elève (3ème2)'!SX12:TC12,"B"))*3)+((COUNTIF('Elève (3ème2)'!SX12:TC12,"C"))*2)+((COUNTIF('Elève (3ème2)'!SX12:TC12,"D"))*1))/(COUNTA(SX12:TC12)),"")</f>
        <v>3</v>
      </c>
      <c r="TE12" s="166" t="str">
        <f t="shared" si="123"/>
        <v>B</v>
      </c>
      <c r="TF12" s="165">
        <f>IF(COUNT(SP12,SV12,TD12)=0,"",SUM(SP12,SV12,TD12)/COUNT(SP12,SV12,TD12))</f>
        <v>3</v>
      </c>
      <c r="TG12" s="188" t="str">
        <f t="shared" si="124"/>
        <v>B</v>
      </c>
      <c r="TH12" s="110" t="s">
        <v>27</v>
      </c>
      <c r="TI12" s="111"/>
      <c r="TJ12" s="112"/>
      <c r="TK12" s="165">
        <f>IFERROR((((COUNTIF('Elève (3ème2)'!TH12:TJ12,"A"))*4)+((COUNTIF('Elève (3ème2)'!TH12:TJ12,"B"))*3)+((COUNTIF('Elève (3ème2)'!TH12:TJ12,"C"))*2)+((COUNTIF('Elève (3ème2)'!TH12:TJ12,"D"))*1))/(COUNTA(TH12:TJ12)),"")</f>
        <v>4</v>
      </c>
      <c r="TL12" s="166" t="str">
        <f t="shared" si="125"/>
        <v>A</v>
      </c>
      <c r="TM12" s="110"/>
      <c r="TN12" s="111"/>
      <c r="TO12" s="112"/>
      <c r="TP12" s="112"/>
      <c r="TQ12" s="165" t="str">
        <f>IFERROR((((COUNTIF('Elève (3ème2)'!TM12:TP12,"A"))*4)+((COUNTIF('Elève (3ème2)'!TM12:TP12,"B"))*3)+((COUNTIF('Elève (3ème2)'!TM12:TP12,"C"))*2)+((COUNTIF('Elève (3ème2)'!TM12:TP12,"D"))*1))/(COUNTA(TM12:TP12)),"")</f>
        <v/>
      </c>
      <c r="TR12" s="166" t="str">
        <f t="shared" si="126"/>
        <v/>
      </c>
      <c r="TS12" s="110"/>
      <c r="TT12" s="111"/>
      <c r="TU12" s="112"/>
      <c r="TV12" s="112"/>
      <c r="TW12" s="112" t="s">
        <v>29</v>
      </c>
      <c r="TX12" s="116"/>
      <c r="TY12" s="165">
        <f>IFERROR((((COUNTIF('Elève (3ème2)'!TS12:TX12,"A"))*4)+((COUNTIF('Elève (3ème2)'!TS12:TX12,"B"))*3)+((COUNTIF('Elève (3ème2)'!TS12:TX12,"C"))*2)+((COUNTIF('Elève (3ème2)'!TS12:TX12,"D"))*1))/(COUNTA(TS12:TX12)),"")</f>
        <v>2</v>
      </c>
      <c r="TZ12" s="166" t="str">
        <f t="shared" si="127"/>
        <v>C</v>
      </c>
      <c r="UA12" s="165">
        <f>IF(COUNT(TK12,TQ12,TY12)=0,"",SUM(TK12,TQ12,TY12)/COUNT(TK12,TQ12,TY12))</f>
        <v>3</v>
      </c>
      <c r="UB12" s="188" t="str">
        <f t="shared" si="128"/>
        <v>B</v>
      </c>
      <c r="UC12" s="110"/>
      <c r="UD12" s="111"/>
      <c r="UE12" s="112"/>
      <c r="UF12" s="113" t="str">
        <f>IFERROR((((COUNTIF('Elève (3ème2)'!UC12:UE12,"A"))*4)+((COUNTIF('Elève (3ème2)'!UC12:UE12,"B"))*3)+((COUNTIF('Elève (3ème2)'!UC12:UE12,"C"))*2)+((COUNTIF('Elève (3ème2)'!UC12:UE12,"D"))*1))/(COUNTA(UC12:UE12)),"")</f>
        <v/>
      </c>
      <c r="UG12" s="114" t="str">
        <f t="shared" si="129"/>
        <v/>
      </c>
      <c r="UH12" s="110"/>
      <c r="UI12" s="111"/>
      <c r="UJ12" s="112"/>
      <c r="UK12" s="113" t="str">
        <f>IFERROR((((COUNTIF('Elève (3ème2)'!UH12:UJ12,"A"))*4)+((COUNTIF('Elève (3ème2)'!UH12:UJ12,"B"))*3)+((COUNTIF('Elève (3ème2)'!UH12:UJ12,"C"))*2)+((COUNTIF('Elève (3ème2)'!UH12:UJ12,"D"))*1))/(COUNTA(UH12:UJ12)),"")</f>
        <v/>
      </c>
      <c r="UL12" s="114" t="str">
        <f t="shared" si="130"/>
        <v/>
      </c>
      <c r="UM12" s="110"/>
      <c r="UN12" s="111"/>
      <c r="UO12" s="116"/>
      <c r="UP12" s="113" t="str">
        <f>IFERROR((((COUNTIF('Elève (3ème2)'!UM12:UO12,"A"))*4)+((COUNTIF('Elève (3ème2)'!UM12:UO12,"B"))*3)+((COUNTIF('Elève (3ème2)'!UM12:UO12,"C"))*2)+((COUNTIF('Elève (3ème2)'!UM12:UO12,"D"))*1))/(COUNTA(UM12:UO12)),"")</f>
        <v/>
      </c>
      <c r="UQ12" s="114" t="str">
        <f t="shared" si="131"/>
        <v/>
      </c>
      <c r="UR12" s="113" t="str">
        <f>IF(COUNT(UF12,UK12,UP12)=0,"",SUM(UF12,UK12,UP12)/COUNT(UF12,UK12,UP12))</f>
        <v/>
      </c>
      <c r="US12" s="115" t="str">
        <f t="shared" si="132"/>
        <v/>
      </c>
      <c r="UT12" s="110"/>
      <c r="UU12" s="111"/>
      <c r="UV12" s="112"/>
      <c r="UW12" s="113" t="str">
        <f>IFERROR((((COUNTIF('Elève (3ème2)'!UT12:UV12,"A"))*4)+((COUNTIF('Elève (3ème2)'!UT12:UV12,"B"))*3)+((COUNTIF('Elève (3ème2)'!UT12:UV12,"C"))*2)+((COUNTIF('Elève (3ème2)'!UT12:UV12,"D"))*1))/(COUNTA(UT12:UV12)),"")</f>
        <v/>
      </c>
      <c r="UX12" s="114" t="str">
        <f t="shared" si="133"/>
        <v/>
      </c>
      <c r="UY12" s="110"/>
      <c r="UZ12" s="111"/>
      <c r="VA12" s="112"/>
      <c r="VB12" s="113" t="str">
        <f>IFERROR((((COUNTIF('Elève (3ème2)'!UY12:VA12,"A"))*4)+((COUNTIF('Elève (3ème2)'!UY12:VA12,"B"))*3)+((COUNTIF('Elève (3ème2)'!UY12:VA12,"C"))*2)+((COUNTIF('Elève (3ème2)'!UY12:VA12,"D"))*1))/(COUNTA(UY12:VA12)),"")</f>
        <v/>
      </c>
      <c r="VC12" s="114" t="str">
        <f t="shared" si="134"/>
        <v/>
      </c>
      <c r="VD12" s="110"/>
      <c r="VE12" s="111"/>
      <c r="VF12" s="116"/>
      <c r="VG12" s="113" t="str">
        <f>IFERROR((((COUNTIF('Elève (3ème2)'!VD12:VF12,"A"))*4)+((COUNTIF('Elève (3ème2)'!VD12:VF12,"B"))*3)+((COUNTIF('Elève (3ème2)'!VD12:VF12,"C"))*2)+((COUNTIF('Elève (3ème2)'!VD12:VF12,"D"))*1))/(COUNTA(VD12:VF12)),"")</f>
        <v/>
      </c>
      <c r="VH12" s="114" t="str">
        <f t="shared" si="135"/>
        <v/>
      </c>
      <c r="VI12" s="113" t="str">
        <f>IF(COUNT(UW12,VB12,VG12)=0,"",SUM(UW12,VB12,VG12)/COUNT(UW12,VB12,VG12))</f>
        <v/>
      </c>
      <c r="VJ12" s="115" t="str">
        <f t="shared" si="136"/>
        <v/>
      </c>
      <c r="VK12" s="110"/>
      <c r="VL12" s="111"/>
      <c r="VM12" s="112"/>
      <c r="VN12" s="113" t="str">
        <f>IFERROR((((COUNTIF('Elève (3ème2)'!VK12:VM12,"A"))*4)+((COUNTIF('Elève (3ème2)'!VK12:VM12,"B"))*3)+((COUNTIF('Elève (3ème2)'!VK12:VM12,"C"))*2)+((COUNTIF('Elève (3ème2)'!VK12:VM12,"D"))*1))/(COUNTA(VK12:VM12)),"")</f>
        <v/>
      </c>
      <c r="VO12" s="114" t="str">
        <f t="shared" si="137"/>
        <v/>
      </c>
      <c r="VP12" s="110"/>
      <c r="VQ12" s="111"/>
      <c r="VR12" s="112"/>
      <c r="VS12" s="113" t="str">
        <f>IFERROR((((COUNTIF('Elève (3ème2)'!VP12:VR12,"A"))*4)+((COUNTIF('Elève (3ème2)'!VP12:VR12,"B"))*3)+((COUNTIF('Elève (3ème2)'!VP12:VR12,"C"))*2)+((COUNTIF('Elève (3ème2)'!VP12:VR12,"D"))*1))/(COUNTA(VP12:VR12)),"")</f>
        <v/>
      </c>
      <c r="VT12" s="114" t="str">
        <f t="shared" si="138"/>
        <v/>
      </c>
      <c r="VU12" s="110"/>
      <c r="VV12" s="111"/>
      <c r="VW12" s="116"/>
      <c r="VX12" s="113" t="str">
        <f>IFERROR((((COUNTIF('Elève (3ème2)'!VU12:VW12,"A"))*4)+((COUNTIF('Elève (3ème2)'!VU12:VW12,"B"))*3)+((COUNTIF('Elève (3ème2)'!VU12:VW12,"C"))*2)+((COUNTIF('Elève (3ème2)'!VU12:VW12,"D"))*1))/(COUNTA(VU12:VW12)),"")</f>
        <v/>
      </c>
      <c r="VY12" s="114" t="str">
        <f t="shared" si="139"/>
        <v/>
      </c>
      <c r="VZ12" s="113" t="str">
        <f>IF(COUNT(VN12,VS12,VX12)=0,"",SUM(VN12,VS12,VX12)/COUNT(VN12,VS12,VX12))</f>
        <v/>
      </c>
      <c r="WA12" s="115" t="str">
        <f t="shared" si="140"/>
        <v/>
      </c>
      <c r="WB12" s="110"/>
      <c r="WC12" s="111"/>
      <c r="WD12" s="112"/>
      <c r="WE12" s="113" t="str">
        <f>IFERROR((((COUNTIF('Elève (3ème2)'!WB12:WD12,"A"))*4)+((COUNTIF('Elève (3ème2)'!WB12:WD12,"B"))*3)+((COUNTIF('Elève (3ème2)'!WB12:WD12,"C"))*2)+((COUNTIF('Elève (3ème2)'!WB12:WD12,"D"))*1))/(COUNTA(WB12:WD12)),"")</f>
        <v/>
      </c>
      <c r="WF12" s="114" t="str">
        <f t="shared" si="141"/>
        <v/>
      </c>
      <c r="WG12" s="110"/>
      <c r="WH12" s="111"/>
      <c r="WI12" s="112"/>
      <c r="WJ12" s="113" t="str">
        <f>IFERROR((((COUNTIF('Elève (3ème2)'!WG12:WI12,"A"))*4)+((COUNTIF('Elève (3ème2)'!WG12:WI12,"B"))*3)+((COUNTIF('Elève (3ème2)'!WG12:WI12,"C"))*2)+((COUNTIF('Elève (3ème2)'!WG12:WI12,"D"))*1))/(COUNTA(WG12:WI12)),"")</f>
        <v/>
      </c>
      <c r="WK12" s="114" t="str">
        <f t="shared" si="142"/>
        <v/>
      </c>
      <c r="WL12" s="110"/>
      <c r="WM12" s="111"/>
      <c r="WN12" s="116"/>
      <c r="WO12" s="113" t="str">
        <f>IFERROR((((COUNTIF('Elève (3ème2)'!WL12:WN12,"A"))*4)+((COUNTIF('Elève (3ème2)'!WL12:WN12,"B"))*3)+((COUNTIF('Elève (3ème2)'!WL12:WN12,"C"))*2)+((COUNTIF('Elève (3ème2)'!WL12:WN12,"D"))*1))/(COUNTA(WL12:WN12)),"")</f>
        <v/>
      </c>
      <c r="WP12" s="114" t="str">
        <f t="shared" si="143"/>
        <v/>
      </c>
      <c r="WQ12" s="113" t="str">
        <f>IF(COUNT(WE12,WJ12,WO12)=0,"",SUM(WE12,WJ12,WO12)/COUNT(WE12,WJ12,WO12))</f>
        <v/>
      </c>
      <c r="WR12" s="115" t="str">
        <f t="shared" si="144"/>
        <v/>
      </c>
    </row>
    <row r="13" spans="1:616" s="95" customFormat="1" ht="16.5" customHeight="1" thickBot="1" x14ac:dyDescent="0.6">
      <c r="A13" s="145" t="s">
        <v>18</v>
      </c>
      <c r="B13" s="120">
        <v>1</v>
      </c>
      <c r="C13" s="152"/>
      <c r="D13" s="65"/>
      <c r="E13" s="85"/>
      <c r="F13" s="159" t="str">
        <f>IF(COUNT(F14:F15)=0,"",SUM(F14:F15)/COUNT(F14:F15))</f>
        <v/>
      </c>
      <c r="G13" s="160" t="str">
        <f t="shared" si="25"/>
        <v/>
      </c>
      <c r="H13" s="152"/>
      <c r="I13" s="65"/>
      <c r="J13" s="65"/>
      <c r="K13" s="85"/>
      <c r="L13" s="159" t="str">
        <f>IF(COUNT(L14,L15)=0,"",SUM(L14:L15)/COUNT(L14,L15))</f>
        <v/>
      </c>
      <c r="M13" s="175" t="str">
        <f t="shared" si="26"/>
        <v/>
      </c>
      <c r="N13" s="153"/>
      <c r="O13" s="90"/>
      <c r="P13" s="90"/>
      <c r="Q13" s="90"/>
      <c r="R13" s="90"/>
      <c r="S13" s="91"/>
      <c r="T13" s="159">
        <f>IF(COUNT(T14,T15)=0,"",SUM(T14:T15)/COUNT(T14,T15))</f>
        <v>3</v>
      </c>
      <c r="U13" s="183" t="str">
        <f t="shared" si="27"/>
        <v>B</v>
      </c>
      <c r="V13" s="184">
        <f>IF(COUNT(V14:V15)=0,"",SUM(V14:V15)/COUNT(V14:V15))</f>
        <v>3</v>
      </c>
      <c r="W13" s="185" t="str">
        <f t="shared" si="28"/>
        <v>B</v>
      </c>
      <c r="X13" s="196"/>
      <c r="Y13" s="65"/>
      <c r="Z13" s="85"/>
      <c r="AA13" s="159" t="str">
        <f>IF(COUNT(AA14:AA15)=0,"",SUM(AA14:AA15)/COUNT(AA14:AA15))</f>
        <v/>
      </c>
      <c r="AB13" s="160" t="str">
        <f t="shared" si="29"/>
        <v/>
      </c>
      <c r="AC13" s="152"/>
      <c r="AD13" s="65"/>
      <c r="AE13" s="65"/>
      <c r="AF13" s="85"/>
      <c r="AG13" s="159" t="str">
        <f>IF(COUNT(AG14,AG15)=0,"",SUM(AG14:AG15)/COUNT(AG14,AG15))</f>
        <v/>
      </c>
      <c r="AH13" s="175" t="str">
        <f t="shared" si="30"/>
        <v/>
      </c>
      <c r="AI13" s="153"/>
      <c r="AJ13" s="90"/>
      <c r="AK13" s="90"/>
      <c r="AL13" s="90"/>
      <c r="AM13" s="90"/>
      <c r="AN13" s="91"/>
      <c r="AO13" s="159">
        <f>IF(COUNT(AO14,AO15)=0,"",SUM(AO14:AO15)/COUNT(AO14,AO15))</f>
        <v>3</v>
      </c>
      <c r="AP13" s="183" t="str">
        <f t="shared" si="31"/>
        <v>B</v>
      </c>
      <c r="AQ13" s="184">
        <f>IF(COUNT(AQ14:AQ15)=0,"",SUM(AQ14:AQ15)/COUNT(AQ14:AQ15))</f>
        <v>3</v>
      </c>
      <c r="AR13" s="185" t="str">
        <f t="shared" si="32"/>
        <v>B</v>
      </c>
      <c r="AS13" s="196"/>
      <c r="AT13" s="65"/>
      <c r="AU13" s="85"/>
      <c r="AV13" s="159" t="str">
        <f>IF(COUNT(AV14:AV15)=0,"",SUM(AV14:AV15)/COUNT(AV14:AV15))</f>
        <v/>
      </c>
      <c r="AW13" s="160" t="str">
        <f t="shared" si="33"/>
        <v/>
      </c>
      <c r="AX13" s="152"/>
      <c r="AY13" s="65"/>
      <c r="AZ13" s="65"/>
      <c r="BA13" s="85"/>
      <c r="BB13" s="159" t="str">
        <f>IF(COUNT(BB14,BB15)=0,"",SUM(BB14:BB15)/COUNT(BB14,BB15))</f>
        <v/>
      </c>
      <c r="BC13" s="175" t="str">
        <f t="shared" si="34"/>
        <v/>
      </c>
      <c r="BD13" s="153"/>
      <c r="BE13" s="90"/>
      <c r="BF13" s="90"/>
      <c r="BG13" s="90"/>
      <c r="BH13" s="90"/>
      <c r="BI13" s="91"/>
      <c r="BJ13" s="159">
        <f>IF(COUNT(BJ14,BJ15)=0,"",SUM(BJ14:BJ15)/COUNT(BJ14,BJ15))</f>
        <v>3</v>
      </c>
      <c r="BK13" s="183" t="str">
        <f t="shared" si="35"/>
        <v>B</v>
      </c>
      <c r="BL13" s="184">
        <f>IF(COUNT(BL14:BL15)=0,"",SUM(BL14:BL15)/COUNT(BL14:BL15))</f>
        <v>3</v>
      </c>
      <c r="BM13" s="185" t="str">
        <f t="shared" si="36"/>
        <v>B</v>
      </c>
      <c r="BN13" s="196"/>
      <c r="BO13" s="65"/>
      <c r="BP13" s="85"/>
      <c r="BQ13" s="159" t="str">
        <f>IF(COUNT(BQ14:BQ15)=0,"",SUM(BQ14:BQ15)/COUNT(BQ14:BQ15))</f>
        <v/>
      </c>
      <c r="BR13" s="160" t="str">
        <f t="shared" si="37"/>
        <v/>
      </c>
      <c r="BS13" s="152"/>
      <c r="BT13" s="65"/>
      <c r="BU13" s="65"/>
      <c r="BV13" s="85"/>
      <c r="BW13" s="159" t="str">
        <f>IF(COUNT(BW14,BW15)=0,"",SUM(BW14:BW15)/COUNT(BW14,BW15))</f>
        <v/>
      </c>
      <c r="BX13" s="175" t="str">
        <f t="shared" si="38"/>
        <v/>
      </c>
      <c r="BY13" s="153"/>
      <c r="BZ13" s="90"/>
      <c r="CA13" s="90"/>
      <c r="CB13" s="90"/>
      <c r="CC13" s="90"/>
      <c r="CD13" s="91"/>
      <c r="CE13" s="159">
        <f>IF(COUNT(CE14,CE15)=0,"",SUM(CE14:CE15)/COUNT(CE14,CE15))</f>
        <v>3</v>
      </c>
      <c r="CF13" s="183" t="str">
        <f t="shared" si="39"/>
        <v>B</v>
      </c>
      <c r="CG13" s="184">
        <f>IF(COUNT(CG14:CG15)=0,"",SUM(CG14:CG15)/COUNT(CG14:CG15))</f>
        <v>3</v>
      </c>
      <c r="CH13" s="185" t="str">
        <f t="shared" si="40"/>
        <v>B</v>
      </c>
      <c r="CI13" s="196"/>
      <c r="CJ13" s="65"/>
      <c r="CK13" s="85"/>
      <c r="CL13" s="159" t="str">
        <f>IF(COUNT(CL14:CL15)=0,"",SUM(CL14:CL15)/COUNT(CL14:CL15))</f>
        <v/>
      </c>
      <c r="CM13" s="160" t="str">
        <f t="shared" si="41"/>
        <v/>
      </c>
      <c r="CN13" s="152"/>
      <c r="CO13" s="65"/>
      <c r="CP13" s="65"/>
      <c r="CQ13" s="85"/>
      <c r="CR13" s="159" t="str">
        <f>IF(COUNT(CR14,CR15)=0,"",SUM(CR14:CR15)/COUNT(CR14,CR15))</f>
        <v/>
      </c>
      <c r="CS13" s="175" t="str">
        <f t="shared" si="42"/>
        <v/>
      </c>
      <c r="CT13" s="153"/>
      <c r="CU13" s="90"/>
      <c r="CV13" s="90"/>
      <c r="CW13" s="90"/>
      <c r="CX13" s="90"/>
      <c r="CY13" s="91"/>
      <c r="CZ13" s="159">
        <f>IF(COUNT(CZ14,CZ15)=0,"",SUM(CZ14:CZ15)/COUNT(CZ14,CZ15))</f>
        <v>3</v>
      </c>
      <c r="DA13" s="183" t="str">
        <f t="shared" si="43"/>
        <v>B</v>
      </c>
      <c r="DB13" s="184">
        <f>IF(COUNT(DB14:DB15)=0,"",SUM(DB14:DB15)/COUNT(DB14:DB15))</f>
        <v>3</v>
      </c>
      <c r="DC13" s="185" t="str">
        <f t="shared" si="44"/>
        <v>B</v>
      </c>
      <c r="DD13" s="196"/>
      <c r="DE13" s="65"/>
      <c r="DF13" s="85"/>
      <c r="DG13" s="159" t="str">
        <f>IF(COUNT(DG14:DG15)=0,"",SUM(DG14:DG15)/COUNT(DG14:DG15))</f>
        <v/>
      </c>
      <c r="DH13" s="160" t="str">
        <f t="shared" si="45"/>
        <v/>
      </c>
      <c r="DI13" s="152"/>
      <c r="DJ13" s="65"/>
      <c r="DK13" s="65"/>
      <c r="DL13" s="85"/>
      <c r="DM13" s="159" t="str">
        <f>IF(COUNT(DM14,DM15)=0,"",SUM(DM14:DM15)/COUNT(DM14,DM15))</f>
        <v/>
      </c>
      <c r="DN13" s="175" t="str">
        <f t="shared" si="46"/>
        <v/>
      </c>
      <c r="DO13" s="153"/>
      <c r="DP13" s="90"/>
      <c r="DQ13" s="90"/>
      <c r="DR13" s="90"/>
      <c r="DS13" s="90"/>
      <c r="DT13" s="91"/>
      <c r="DU13" s="159">
        <f>IF(COUNT(DU14,DU15)=0,"",SUM(DU14:DU15)/COUNT(DU14,DU15))</f>
        <v>3</v>
      </c>
      <c r="DV13" s="183" t="str">
        <f t="shared" si="47"/>
        <v>B</v>
      </c>
      <c r="DW13" s="184">
        <f>IF(COUNT(DW14:DW15)=0,"",SUM(DW14:DW15)/COUNT(DW14:DW15))</f>
        <v>3</v>
      </c>
      <c r="DX13" s="185" t="str">
        <f t="shared" si="48"/>
        <v>B</v>
      </c>
      <c r="DY13" s="196"/>
      <c r="DZ13" s="65"/>
      <c r="EA13" s="85"/>
      <c r="EB13" s="159" t="str">
        <f>IF(COUNT(EB14:EB15)=0,"",SUM(EB14:EB15)/COUNT(EB14:EB15))</f>
        <v/>
      </c>
      <c r="EC13" s="160" t="str">
        <f t="shared" si="49"/>
        <v/>
      </c>
      <c r="ED13" s="152"/>
      <c r="EE13" s="65"/>
      <c r="EF13" s="65"/>
      <c r="EG13" s="85"/>
      <c r="EH13" s="159" t="str">
        <f>IF(COUNT(EH14,EH15)=0,"",SUM(EH14:EH15)/COUNT(EH14,EH15))</f>
        <v/>
      </c>
      <c r="EI13" s="175" t="str">
        <f t="shared" si="50"/>
        <v/>
      </c>
      <c r="EJ13" s="153"/>
      <c r="EK13" s="90"/>
      <c r="EL13" s="90"/>
      <c r="EM13" s="90"/>
      <c r="EN13" s="90"/>
      <c r="EO13" s="91"/>
      <c r="EP13" s="159">
        <f>IF(COUNT(EP14,EP15)=0,"",SUM(EP14:EP15)/COUNT(EP14,EP15))</f>
        <v>3</v>
      </c>
      <c r="EQ13" s="183" t="str">
        <f t="shared" si="51"/>
        <v>B</v>
      </c>
      <c r="ER13" s="184">
        <f>IF(COUNT(ER14:ER15)=0,"",SUM(ER14:ER15)/COUNT(ER14:ER15))</f>
        <v>3</v>
      </c>
      <c r="ES13" s="185" t="str">
        <f t="shared" si="52"/>
        <v>B</v>
      </c>
      <c r="ET13" s="196"/>
      <c r="EU13" s="65"/>
      <c r="EV13" s="85"/>
      <c r="EW13" s="159" t="str">
        <f>IF(COUNT(EW14:EW15)=0,"",SUM(EW14:EW15)/COUNT(EW14:EW15))</f>
        <v/>
      </c>
      <c r="EX13" s="160" t="str">
        <f t="shared" si="53"/>
        <v/>
      </c>
      <c r="EY13" s="152"/>
      <c r="EZ13" s="65"/>
      <c r="FA13" s="65"/>
      <c r="FB13" s="85"/>
      <c r="FC13" s="159" t="str">
        <f>IF(COUNT(FC14,FC15)=0,"",SUM(FC14:FC15)/COUNT(FC14,FC15))</f>
        <v/>
      </c>
      <c r="FD13" s="175" t="str">
        <f t="shared" si="54"/>
        <v/>
      </c>
      <c r="FE13" s="153"/>
      <c r="FF13" s="90"/>
      <c r="FG13" s="90"/>
      <c r="FH13" s="90"/>
      <c r="FI13" s="90"/>
      <c r="FJ13" s="91"/>
      <c r="FK13" s="159">
        <f>IF(COUNT(FK14,FK15)=0,"",SUM(FK14:FK15)/COUNT(FK14,FK15))</f>
        <v>3.25</v>
      </c>
      <c r="FL13" s="183" t="str">
        <f t="shared" si="55"/>
        <v>B</v>
      </c>
      <c r="FM13" s="184">
        <f>IF(COUNT(FM14:FM15)=0,"",SUM(FM14:FM15)/COUNT(FM14:FM15))</f>
        <v>3.25</v>
      </c>
      <c r="FN13" s="185" t="str">
        <f t="shared" si="56"/>
        <v>B</v>
      </c>
      <c r="FO13" s="196"/>
      <c r="FP13" s="65"/>
      <c r="FQ13" s="85"/>
      <c r="FR13" s="159" t="str">
        <f>IF(COUNT(FR14:FR15)=0,"",SUM(FR14:FR15)/COUNT(FR14:FR15))</f>
        <v/>
      </c>
      <c r="FS13" s="160" t="str">
        <f t="shared" si="57"/>
        <v/>
      </c>
      <c r="FT13" s="152"/>
      <c r="FU13" s="65"/>
      <c r="FV13" s="65"/>
      <c r="FW13" s="85"/>
      <c r="FX13" s="159" t="str">
        <f>IF(COUNT(FX14,FX15)=0,"",SUM(FX14:FX15)/COUNT(FX14,FX15))</f>
        <v/>
      </c>
      <c r="FY13" s="175" t="str">
        <f t="shared" si="58"/>
        <v/>
      </c>
      <c r="FZ13" s="153"/>
      <c r="GA13" s="90"/>
      <c r="GB13" s="90"/>
      <c r="GC13" s="90"/>
      <c r="GD13" s="90"/>
      <c r="GE13" s="91"/>
      <c r="GF13" s="159">
        <f>IF(COUNT(GF14,GF15)=0,"",SUM(GF14:GF15)/COUNT(GF14,GF15))</f>
        <v>3.5</v>
      </c>
      <c r="GG13" s="183" t="str">
        <f t="shared" si="59"/>
        <v>B</v>
      </c>
      <c r="GH13" s="184">
        <f>IF(COUNT(GH14:GH15)=0,"",SUM(GH14:GH15)/COUNT(GH14:GH15))</f>
        <v>3.5</v>
      </c>
      <c r="GI13" s="185" t="str">
        <f t="shared" si="60"/>
        <v>B</v>
      </c>
      <c r="GJ13" s="196"/>
      <c r="GK13" s="65"/>
      <c r="GL13" s="85"/>
      <c r="GM13" s="159" t="str">
        <f>IF(COUNT(GM14:GM15)=0,"",SUM(GM14:GM15)/COUNT(GM14:GM15))</f>
        <v/>
      </c>
      <c r="GN13" s="160" t="str">
        <f t="shared" si="61"/>
        <v/>
      </c>
      <c r="GO13" s="152"/>
      <c r="GP13" s="65"/>
      <c r="GQ13" s="65"/>
      <c r="GR13" s="85"/>
      <c r="GS13" s="159" t="str">
        <f>IF(COUNT(GS14,GS15)=0,"",SUM(GS14:GS15)/COUNT(GS14,GS15))</f>
        <v/>
      </c>
      <c r="GT13" s="175" t="str">
        <f t="shared" si="62"/>
        <v/>
      </c>
      <c r="GU13" s="153"/>
      <c r="GV13" s="90"/>
      <c r="GW13" s="90"/>
      <c r="GX13" s="90"/>
      <c r="GY13" s="90"/>
      <c r="GZ13" s="91"/>
      <c r="HA13" s="159">
        <f>IF(COUNT(HA14,HA15)=0,"",SUM(HA14:HA15)/COUNT(HA14,HA15))</f>
        <v>3.5</v>
      </c>
      <c r="HB13" s="183" t="str">
        <f t="shared" si="63"/>
        <v>B</v>
      </c>
      <c r="HC13" s="184">
        <f>IF(COUNT(HC14:HC15)=0,"",SUM(HC14:HC15)/COUNT(HC14:HC15))</f>
        <v>3.5</v>
      </c>
      <c r="HD13" s="185" t="str">
        <f t="shared" si="64"/>
        <v>B</v>
      </c>
      <c r="HE13" s="196"/>
      <c r="HF13" s="65"/>
      <c r="HG13" s="85"/>
      <c r="HH13" s="159" t="str">
        <f>IF(COUNT(HH14:HH15)=0,"",SUM(HH14:HH15)/COUNT(HH14:HH15))</f>
        <v/>
      </c>
      <c r="HI13" s="160" t="str">
        <f t="shared" si="65"/>
        <v/>
      </c>
      <c r="HJ13" s="152"/>
      <c r="HK13" s="65"/>
      <c r="HL13" s="65"/>
      <c r="HM13" s="85"/>
      <c r="HN13" s="159" t="str">
        <f>IF(COUNT(HN14,HN15)=0,"",SUM(HN14:HN15)/COUNT(HN14,HN15))</f>
        <v/>
      </c>
      <c r="HO13" s="175" t="str">
        <f t="shared" si="66"/>
        <v/>
      </c>
      <c r="HP13" s="153"/>
      <c r="HQ13" s="90"/>
      <c r="HR13" s="90"/>
      <c r="HS13" s="90"/>
      <c r="HT13" s="90"/>
      <c r="HU13" s="91"/>
      <c r="HV13" s="159">
        <f>IF(COUNT(HV14,HV15)=0,"",SUM(HV14:HV15)/COUNT(HV14,HV15))</f>
        <v>3</v>
      </c>
      <c r="HW13" s="183" t="str">
        <f t="shared" si="67"/>
        <v>B</v>
      </c>
      <c r="HX13" s="184">
        <f>IF(COUNT(HX14:HX15)=0,"",SUM(HX14:HX15)/COUNT(HX14:HX15))</f>
        <v>3</v>
      </c>
      <c r="HY13" s="185" t="str">
        <f t="shared" si="68"/>
        <v>B</v>
      </c>
      <c r="HZ13" s="196"/>
      <c r="IA13" s="65"/>
      <c r="IB13" s="85"/>
      <c r="IC13" s="159" t="str">
        <f>IF(COUNT(IC14:IC15)=0,"",SUM(IC14:IC15)/COUNT(IC14:IC15))</f>
        <v/>
      </c>
      <c r="ID13" s="160" t="str">
        <f t="shared" si="69"/>
        <v/>
      </c>
      <c r="IE13" s="152"/>
      <c r="IF13" s="65"/>
      <c r="IG13" s="65"/>
      <c r="IH13" s="85"/>
      <c r="II13" s="159" t="str">
        <f>IF(COUNT(II14,II15)=0,"",SUM(II14:II15)/COUNT(II14,II15))</f>
        <v/>
      </c>
      <c r="IJ13" s="175" t="str">
        <f t="shared" si="70"/>
        <v/>
      </c>
      <c r="IK13" s="153"/>
      <c r="IL13" s="90"/>
      <c r="IM13" s="90"/>
      <c r="IN13" s="90"/>
      <c r="IO13" s="90"/>
      <c r="IP13" s="91"/>
      <c r="IQ13" s="159">
        <f>IF(COUNT(IQ14,IQ15)=0,"",SUM(IQ14:IQ15)/COUNT(IQ14,IQ15))</f>
        <v>3</v>
      </c>
      <c r="IR13" s="183" t="str">
        <f t="shared" si="71"/>
        <v>B</v>
      </c>
      <c r="IS13" s="184">
        <f>IF(COUNT(IS14:IS15)=0,"",SUM(IS14:IS15)/COUNT(IS14:IS15))</f>
        <v>3</v>
      </c>
      <c r="IT13" s="185" t="str">
        <f t="shared" si="72"/>
        <v>B</v>
      </c>
      <c r="IU13" s="196"/>
      <c r="IV13" s="65"/>
      <c r="IW13" s="85"/>
      <c r="IX13" s="159" t="str">
        <f>IF(COUNT(IX14:IX15)=0,"",SUM(IX14:IX15)/COUNT(IX14:IX15))</f>
        <v/>
      </c>
      <c r="IY13" s="160" t="str">
        <f t="shared" si="73"/>
        <v/>
      </c>
      <c r="IZ13" s="152"/>
      <c r="JA13" s="65"/>
      <c r="JB13" s="65"/>
      <c r="JC13" s="85"/>
      <c r="JD13" s="159" t="str">
        <f>IF(COUNT(JD14,JD15)=0,"",SUM(JD14:JD15)/COUNT(JD14,JD15))</f>
        <v/>
      </c>
      <c r="JE13" s="175" t="str">
        <f t="shared" si="74"/>
        <v/>
      </c>
      <c r="JF13" s="153"/>
      <c r="JG13" s="90"/>
      <c r="JH13" s="90"/>
      <c r="JI13" s="90"/>
      <c r="JJ13" s="90"/>
      <c r="JK13" s="91"/>
      <c r="JL13" s="159">
        <f>IF(COUNT(JL14,JL15)=0,"",SUM(JL14:JL15)/COUNT(JL14,JL15))</f>
        <v>3</v>
      </c>
      <c r="JM13" s="183" t="str">
        <f t="shared" si="75"/>
        <v>B</v>
      </c>
      <c r="JN13" s="184">
        <f>IF(COUNT(JN14:JN15)=0,"",SUM(JN14:JN15)/COUNT(JN14:JN15))</f>
        <v>3</v>
      </c>
      <c r="JO13" s="185" t="str">
        <f t="shared" si="76"/>
        <v>B</v>
      </c>
      <c r="JP13" s="196"/>
      <c r="JQ13" s="65"/>
      <c r="JR13" s="85"/>
      <c r="JS13" s="159" t="str">
        <f>IF(COUNT(JS14:JS15)=0,"",SUM(JS14:JS15)/COUNT(JS14:JS15))</f>
        <v/>
      </c>
      <c r="JT13" s="160" t="str">
        <f t="shared" si="77"/>
        <v/>
      </c>
      <c r="JU13" s="152"/>
      <c r="JV13" s="65"/>
      <c r="JW13" s="65"/>
      <c r="JX13" s="85"/>
      <c r="JY13" s="159" t="str">
        <f>IF(COUNT(JY14,JY15)=0,"",SUM(JY14:JY15)/COUNT(JY14,JY15))</f>
        <v/>
      </c>
      <c r="JZ13" s="175" t="str">
        <f t="shared" si="78"/>
        <v/>
      </c>
      <c r="KA13" s="153"/>
      <c r="KB13" s="90"/>
      <c r="KC13" s="90"/>
      <c r="KD13" s="90"/>
      <c r="KE13" s="90"/>
      <c r="KF13" s="91"/>
      <c r="KG13" s="159">
        <f>IF(COUNT(KG14,KG15)=0,"",SUM(KG14:KG15)/COUNT(KG14,KG15))</f>
        <v>2.75</v>
      </c>
      <c r="KH13" s="183" t="str">
        <f t="shared" si="79"/>
        <v>C</v>
      </c>
      <c r="KI13" s="184">
        <f>IF(COUNT(KI14:KI15)=0,"",SUM(KI14:KI15)/COUNT(KI14:KI15))</f>
        <v>2.75</v>
      </c>
      <c r="KJ13" s="185" t="str">
        <f t="shared" si="80"/>
        <v>C</v>
      </c>
      <c r="KK13" s="196"/>
      <c r="KL13" s="65"/>
      <c r="KM13" s="85"/>
      <c r="KN13" s="159" t="str">
        <f>IF(COUNT(KN14:KN15)=0,"",SUM(KN14:KN15)/COUNT(KN14:KN15))</f>
        <v/>
      </c>
      <c r="KO13" s="160" t="str">
        <f t="shared" si="81"/>
        <v/>
      </c>
      <c r="KP13" s="152"/>
      <c r="KQ13" s="65"/>
      <c r="KR13" s="65"/>
      <c r="KS13" s="85"/>
      <c r="KT13" s="159" t="str">
        <f>IF(COUNT(KT14,KT15)=0,"",SUM(KT14:KT15)/COUNT(KT14,KT15))</f>
        <v/>
      </c>
      <c r="KU13" s="175" t="str">
        <f t="shared" si="82"/>
        <v/>
      </c>
      <c r="KV13" s="153"/>
      <c r="KW13" s="90"/>
      <c r="KX13" s="90"/>
      <c r="KY13" s="90"/>
      <c r="KZ13" s="90"/>
      <c r="LA13" s="91"/>
      <c r="LB13" s="159">
        <f>IF(COUNT(LB14,LB15)=0,"",SUM(LB14:LB15)/COUNT(LB14,LB15))</f>
        <v>3</v>
      </c>
      <c r="LC13" s="183" t="str">
        <f t="shared" si="83"/>
        <v>B</v>
      </c>
      <c r="LD13" s="184">
        <f>IF(COUNT(LD14:LD15)=0,"",SUM(LD14:LD15)/COUNT(LD14:LD15))</f>
        <v>3</v>
      </c>
      <c r="LE13" s="185" t="str">
        <f t="shared" si="84"/>
        <v>B</v>
      </c>
      <c r="LF13" s="196"/>
      <c r="LG13" s="65"/>
      <c r="LH13" s="85"/>
      <c r="LI13" s="159" t="str">
        <f>IF(COUNT(LI14:LI15)=0,"",SUM(LI14:LI15)/COUNT(LI14:LI15))</f>
        <v/>
      </c>
      <c r="LJ13" s="160" t="str">
        <f t="shared" si="85"/>
        <v/>
      </c>
      <c r="LK13" s="152"/>
      <c r="LL13" s="65"/>
      <c r="LM13" s="65"/>
      <c r="LN13" s="85"/>
      <c r="LO13" s="159" t="str">
        <f>IF(COUNT(LO14,LO15)=0,"",SUM(LO14:LO15)/COUNT(LO14,LO15))</f>
        <v/>
      </c>
      <c r="LP13" s="175" t="str">
        <f t="shared" si="86"/>
        <v/>
      </c>
      <c r="LQ13" s="153"/>
      <c r="LR13" s="90"/>
      <c r="LS13" s="90"/>
      <c r="LT13" s="90"/>
      <c r="LU13" s="90"/>
      <c r="LV13" s="91"/>
      <c r="LW13" s="159">
        <f>IF(COUNT(LW14,LW15)=0,"",SUM(LW14:LW15)/COUNT(LW14,LW15))</f>
        <v>2.25</v>
      </c>
      <c r="LX13" s="183" t="str">
        <f t="shared" si="87"/>
        <v>C</v>
      </c>
      <c r="LY13" s="184">
        <f>IF(COUNT(LY14:LY15)=0,"",SUM(LY14:LY15)/COUNT(LY14:LY15))</f>
        <v>2.25</v>
      </c>
      <c r="LZ13" s="185" t="str">
        <f t="shared" si="88"/>
        <v>C</v>
      </c>
      <c r="MA13" s="196"/>
      <c r="MB13" s="65"/>
      <c r="MC13" s="85"/>
      <c r="MD13" s="159" t="str">
        <f>IF(COUNT(MD14:MD15)=0,"",SUM(MD14:MD15)/COUNT(MD14:MD15))</f>
        <v/>
      </c>
      <c r="ME13" s="160" t="str">
        <f t="shared" si="89"/>
        <v/>
      </c>
      <c r="MF13" s="152"/>
      <c r="MG13" s="65"/>
      <c r="MH13" s="65"/>
      <c r="MI13" s="85"/>
      <c r="MJ13" s="159" t="str">
        <f>IF(COUNT(MJ14,MJ15)=0,"",SUM(MJ14:MJ15)/COUNT(MJ14,MJ15))</f>
        <v/>
      </c>
      <c r="MK13" s="175" t="str">
        <f t="shared" si="90"/>
        <v/>
      </c>
      <c r="ML13" s="153"/>
      <c r="MM13" s="90"/>
      <c r="MN13" s="90"/>
      <c r="MO13" s="90"/>
      <c r="MP13" s="90"/>
      <c r="MQ13" s="91"/>
      <c r="MR13" s="159">
        <f>IF(COUNT(MR14,MR15)=0,"",SUM(MR14:MR15)/COUNT(MR14,MR15))</f>
        <v>3</v>
      </c>
      <c r="MS13" s="183" t="str">
        <f t="shared" si="91"/>
        <v>B</v>
      </c>
      <c r="MT13" s="184">
        <f>IF(COUNT(MT14:MT15)=0,"",SUM(MT14:MT15)/COUNT(MT14:MT15))</f>
        <v>3</v>
      </c>
      <c r="MU13" s="185" t="str">
        <f t="shared" si="92"/>
        <v>B</v>
      </c>
      <c r="MV13" s="196"/>
      <c r="MW13" s="65"/>
      <c r="MX13" s="85"/>
      <c r="MY13" s="159" t="str">
        <f>IF(COUNT(MY14:MY15)=0,"",SUM(MY14:MY15)/COUNT(MY14:MY15))</f>
        <v/>
      </c>
      <c r="MZ13" s="160" t="str">
        <f t="shared" si="93"/>
        <v/>
      </c>
      <c r="NA13" s="152"/>
      <c r="NB13" s="65"/>
      <c r="NC13" s="65"/>
      <c r="ND13" s="85"/>
      <c r="NE13" s="159" t="str">
        <f>IF(COUNT(NE14,NE15)=0,"",SUM(NE14:NE15)/COUNT(NE14,NE15))</f>
        <v/>
      </c>
      <c r="NF13" s="175" t="str">
        <f t="shared" si="94"/>
        <v/>
      </c>
      <c r="NG13" s="153"/>
      <c r="NH13" s="90"/>
      <c r="NI13" s="90"/>
      <c r="NJ13" s="90"/>
      <c r="NK13" s="90"/>
      <c r="NL13" s="91"/>
      <c r="NM13" s="159">
        <f>IF(COUNT(NM14,NM15)=0,"",SUM(NM14:NM15)/COUNT(NM14,NM15))</f>
        <v>4</v>
      </c>
      <c r="NN13" s="183" t="str">
        <f t="shared" si="95"/>
        <v>A</v>
      </c>
      <c r="NO13" s="184">
        <f>IF(COUNT(NO14:NO15)=0,"",SUM(NO14:NO15)/COUNT(NO14:NO15))</f>
        <v>4</v>
      </c>
      <c r="NP13" s="185" t="str">
        <f t="shared" si="96"/>
        <v>A</v>
      </c>
      <c r="NQ13" s="196"/>
      <c r="NR13" s="65"/>
      <c r="NS13" s="85"/>
      <c r="NT13" s="159" t="str">
        <f>IF(COUNT(NT14:NT15)=0,"",SUM(NT14:NT15)/COUNT(NT14:NT15))</f>
        <v/>
      </c>
      <c r="NU13" s="160" t="str">
        <f t="shared" si="97"/>
        <v/>
      </c>
      <c r="NV13" s="152"/>
      <c r="NW13" s="65"/>
      <c r="NX13" s="65"/>
      <c r="NY13" s="85"/>
      <c r="NZ13" s="159" t="str">
        <f>IF(COUNT(NZ14,NZ15)=0,"",SUM(NZ14:NZ15)/COUNT(NZ14,NZ15))</f>
        <v/>
      </c>
      <c r="OA13" s="175" t="str">
        <f t="shared" si="98"/>
        <v/>
      </c>
      <c r="OB13" s="153"/>
      <c r="OC13" s="90"/>
      <c r="OD13" s="90"/>
      <c r="OE13" s="90"/>
      <c r="OF13" s="90"/>
      <c r="OG13" s="91"/>
      <c r="OH13" s="159">
        <f>IF(COUNT(OH14,OH15)=0,"",SUM(OH14:OH15)/COUNT(OH14,OH15))</f>
        <v>3</v>
      </c>
      <c r="OI13" s="183" t="str">
        <f t="shared" si="99"/>
        <v>B</v>
      </c>
      <c r="OJ13" s="184">
        <f>IF(COUNT(OJ14:OJ15)=0,"",SUM(OJ14:OJ15)/COUNT(OJ14:OJ15))</f>
        <v>3</v>
      </c>
      <c r="OK13" s="185" t="str">
        <f t="shared" si="100"/>
        <v>B</v>
      </c>
      <c r="OL13" s="196"/>
      <c r="OM13" s="65"/>
      <c r="ON13" s="85"/>
      <c r="OO13" s="159" t="str">
        <f>IF(COUNT(OO14:OO15)=0,"",SUM(OO14:OO15)/COUNT(OO14:OO15))</f>
        <v/>
      </c>
      <c r="OP13" s="160" t="str">
        <f t="shared" si="101"/>
        <v/>
      </c>
      <c r="OQ13" s="152"/>
      <c r="OR13" s="65"/>
      <c r="OS13" s="65"/>
      <c r="OT13" s="85"/>
      <c r="OU13" s="159" t="str">
        <f>IF(COUNT(OU14,OU15)=0,"",SUM(OU14:OU15)/COUNT(OU14,OU15))</f>
        <v/>
      </c>
      <c r="OV13" s="175" t="str">
        <f t="shared" si="102"/>
        <v/>
      </c>
      <c r="OW13" s="153"/>
      <c r="OX13" s="90"/>
      <c r="OY13" s="90"/>
      <c r="OZ13" s="90"/>
      <c r="PA13" s="90"/>
      <c r="PB13" s="91"/>
      <c r="PC13" s="159">
        <f>IF(COUNT(PC14,PC15)=0,"",SUM(PC14:PC15)/COUNT(PC14,PC15))</f>
        <v>4</v>
      </c>
      <c r="PD13" s="183" t="str">
        <f t="shared" si="103"/>
        <v>A</v>
      </c>
      <c r="PE13" s="184">
        <f>IF(COUNT(PE14:PE15)=0,"",SUM(PE14:PE15)/COUNT(PE14:PE15))</f>
        <v>4</v>
      </c>
      <c r="PF13" s="185" t="str">
        <f t="shared" si="104"/>
        <v>A</v>
      </c>
      <c r="PG13" s="196"/>
      <c r="PH13" s="65"/>
      <c r="PI13" s="85"/>
      <c r="PJ13" s="159" t="str">
        <f>IF(COUNT(PJ14:PJ15)=0,"",SUM(PJ14:PJ15)/COUNT(PJ14:PJ15))</f>
        <v/>
      </c>
      <c r="PK13" s="160" t="str">
        <f t="shared" si="105"/>
        <v/>
      </c>
      <c r="PL13" s="152"/>
      <c r="PM13" s="65"/>
      <c r="PN13" s="65"/>
      <c r="PO13" s="85"/>
      <c r="PP13" s="159" t="str">
        <f>IF(COUNT(PP14,PP15)=0,"",SUM(PP14:PP15)/COUNT(PP14,PP15))</f>
        <v/>
      </c>
      <c r="PQ13" s="175" t="str">
        <f t="shared" si="106"/>
        <v/>
      </c>
      <c r="PR13" s="153"/>
      <c r="PS13" s="90"/>
      <c r="PT13" s="90"/>
      <c r="PU13" s="90"/>
      <c r="PV13" s="90"/>
      <c r="PW13" s="91"/>
      <c r="PX13" s="159">
        <f>IF(COUNT(PX14,PX15)=0,"",SUM(PX14:PX15)/COUNT(PX14,PX15))</f>
        <v>3.5</v>
      </c>
      <c r="PY13" s="183" t="str">
        <f t="shared" si="107"/>
        <v>B</v>
      </c>
      <c r="PZ13" s="184">
        <f>IF(COUNT(PZ14:PZ15)=0,"",SUM(PZ14:PZ15)/COUNT(PZ14:PZ15))</f>
        <v>3.5</v>
      </c>
      <c r="QA13" s="185" t="str">
        <f t="shared" si="108"/>
        <v>B</v>
      </c>
      <c r="QB13" s="196"/>
      <c r="QC13" s="65"/>
      <c r="QD13" s="85"/>
      <c r="QE13" s="159" t="str">
        <f>IF(COUNT(QE14:QE15)=0,"",SUM(QE14:QE15)/COUNT(QE14:QE15))</f>
        <v/>
      </c>
      <c r="QF13" s="160" t="str">
        <f t="shared" si="109"/>
        <v/>
      </c>
      <c r="QG13" s="152"/>
      <c r="QH13" s="65"/>
      <c r="QI13" s="65"/>
      <c r="QJ13" s="85"/>
      <c r="QK13" s="159" t="str">
        <f>IF(COUNT(QK14,QK15)=0,"",SUM(QK14:QK15)/COUNT(QK14,QK15))</f>
        <v/>
      </c>
      <c r="QL13" s="175" t="str">
        <f t="shared" si="110"/>
        <v/>
      </c>
      <c r="QM13" s="153"/>
      <c r="QN13" s="90"/>
      <c r="QO13" s="90"/>
      <c r="QP13" s="90"/>
      <c r="QQ13" s="90"/>
      <c r="QR13" s="91"/>
      <c r="QS13" s="159">
        <f>IF(COUNT(QS14,QS15)=0,"",SUM(QS14:QS15)/COUNT(QS14,QS15))</f>
        <v>3</v>
      </c>
      <c r="QT13" s="183" t="str">
        <f t="shared" si="111"/>
        <v>B</v>
      </c>
      <c r="QU13" s="184">
        <f>IF(COUNT(QU14:QU15)=0,"",SUM(QU14:QU15)/COUNT(QU14:QU15))</f>
        <v>3</v>
      </c>
      <c r="QV13" s="185" t="str">
        <f t="shared" si="112"/>
        <v>B</v>
      </c>
      <c r="QW13" s="196"/>
      <c r="QX13" s="65"/>
      <c r="QY13" s="85"/>
      <c r="QZ13" s="159" t="str">
        <f>IF(COUNT(QZ14:QZ15)=0,"",SUM(QZ14:QZ15)/COUNT(QZ14:QZ15))</f>
        <v/>
      </c>
      <c r="RA13" s="160" t="str">
        <f t="shared" si="113"/>
        <v/>
      </c>
      <c r="RB13" s="152"/>
      <c r="RC13" s="65"/>
      <c r="RD13" s="65"/>
      <c r="RE13" s="85"/>
      <c r="RF13" s="159" t="str">
        <f>IF(COUNT(RF14,RF15)=0,"",SUM(RF14:RF15)/COUNT(RF14,RF15))</f>
        <v/>
      </c>
      <c r="RG13" s="175" t="str">
        <f t="shared" si="114"/>
        <v/>
      </c>
      <c r="RH13" s="153"/>
      <c r="RI13" s="90"/>
      <c r="RJ13" s="90"/>
      <c r="RK13" s="90"/>
      <c r="RL13" s="90"/>
      <c r="RM13" s="91"/>
      <c r="RN13" s="159">
        <f>IF(COUNT(RN14,RN15)=0,"",SUM(RN14:RN15)/COUNT(RN14,RN15))</f>
        <v>3</v>
      </c>
      <c r="RO13" s="183" t="str">
        <f t="shared" si="115"/>
        <v>B</v>
      </c>
      <c r="RP13" s="184">
        <f>IF(COUNT(RP14:RP15)=0,"",SUM(RP14:RP15)/COUNT(RP14:RP15))</f>
        <v>3</v>
      </c>
      <c r="RQ13" s="185" t="str">
        <f t="shared" si="116"/>
        <v>B</v>
      </c>
      <c r="RR13" s="196"/>
      <c r="RS13" s="65"/>
      <c r="RT13" s="85"/>
      <c r="RU13" s="159" t="str">
        <f>IF(COUNT(RU14:RU15)=0,"",SUM(RU14:RU15)/COUNT(RU14:RU15))</f>
        <v/>
      </c>
      <c r="RV13" s="160" t="str">
        <f t="shared" si="117"/>
        <v/>
      </c>
      <c r="RW13" s="152"/>
      <c r="RX13" s="65"/>
      <c r="RY13" s="65"/>
      <c r="RZ13" s="85"/>
      <c r="SA13" s="159" t="str">
        <f>IF(COUNT(SA14,SA15)=0,"",SUM(SA14:SA15)/COUNT(SA14,SA15))</f>
        <v/>
      </c>
      <c r="SB13" s="175" t="str">
        <f t="shared" si="118"/>
        <v/>
      </c>
      <c r="SC13" s="153"/>
      <c r="SD13" s="90"/>
      <c r="SE13" s="90"/>
      <c r="SF13" s="90"/>
      <c r="SG13" s="90"/>
      <c r="SH13" s="91"/>
      <c r="SI13" s="159">
        <f>IF(COUNT(SI14,SI15)=0,"",SUM(SI14:SI15)/COUNT(SI14,SI15))</f>
        <v>3</v>
      </c>
      <c r="SJ13" s="183" t="str">
        <f t="shared" si="119"/>
        <v>B</v>
      </c>
      <c r="SK13" s="184">
        <f>IF(COUNT(SK14:SK15)=0,"",SUM(SK14:SK15)/COUNT(SK14:SK15))</f>
        <v>3</v>
      </c>
      <c r="SL13" s="185" t="str">
        <f t="shared" si="120"/>
        <v>B</v>
      </c>
      <c r="SM13" s="196"/>
      <c r="SN13" s="65"/>
      <c r="SO13" s="85"/>
      <c r="SP13" s="159" t="str">
        <f>IF(COUNT(SP14:SP15)=0,"",SUM(SP14:SP15)/COUNT(SP14:SP15))</f>
        <v/>
      </c>
      <c r="SQ13" s="160" t="str">
        <f t="shared" si="121"/>
        <v/>
      </c>
      <c r="SR13" s="152"/>
      <c r="SS13" s="65"/>
      <c r="ST13" s="65"/>
      <c r="SU13" s="85"/>
      <c r="SV13" s="159" t="str">
        <f>IF(COUNT(SV14,SV15)=0,"",SUM(SV14:SV15)/COUNT(SV14,SV15))</f>
        <v/>
      </c>
      <c r="SW13" s="175" t="str">
        <f t="shared" si="122"/>
        <v/>
      </c>
      <c r="SX13" s="153"/>
      <c r="SY13" s="90"/>
      <c r="SZ13" s="90"/>
      <c r="TA13" s="90"/>
      <c r="TB13" s="90"/>
      <c r="TC13" s="91"/>
      <c r="TD13" s="159">
        <f>IF(COUNT(TD14,TD15)=0,"",SUM(TD14:TD15)/COUNT(TD14,TD15))</f>
        <v>3.5</v>
      </c>
      <c r="TE13" s="183" t="str">
        <f t="shared" si="123"/>
        <v>B</v>
      </c>
      <c r="TF13" s="184">
        <f>IF(COUNT(TF14:TF15)=0,"",SUM(TF14:TF15)/COUNT(TF14:TF15))</f>
        <v>3.5</v>
      </c>
      <c r="TG13" s="185" t="str">
        <f t="shared" si="124"/>
        <v>B</v>
      </c>
      <c r="TH13" s="196"/>
      <c r="TI13" s="65"/>
      <c r="TJ13" s="85"/>
      <c r="TK13" s="159" t="str">
        <f>IF(COUNT(TK14:TK15)=0,"",SUM(TK14:TK15)/COUNT(TK14:TK15))</f>
        <v/>
      </c>
      <c r="TL13" s="160" t="str">
        <f t="shared" si="125"/>
        <v/>
      </c>
      <c r="TM13" s="152"/>
      <c r="TN13" s="65"/>
      <c r="TO13" s="65"/>
      <c r="TP13" s="85"/>
      <c r="TQ13" s="159" t="str">
        <f>IF(COUNT(TQ14,TQ15)=0,"",SUM(TQ14:TQ15)/COUNT(TQ14,TQ15))</f>
        <v/>
      </c>
      <c r="TR13" s="175" t="str">
        <f t="shared" si="126"/>
        <v/>
      </c>
      <c r="TS13" s="153"/>
      <c r="TT13" s="90"/>
      <c r="TU13" s="90"/>
      <c r="TV13" s="90"/>
      <c r="TW13" s="90"/>
      <c r="TX13" s="91"/>
      <c r="TY13" s="159">
        <f>IF(COUNT(TY14,TY15)=0,"",SUM(TY14:TY15)/COUNT(TY14,TY15))</f>
        <v>2.5</v>
      </c>
      <c r="TZ13" s="183" t="str">
        <f t="shared" si="127"/>
        <v>C</v>
      </c>
      <c r="UA13" s="184">
        <f>IF(COUNT(UA14:UA15)=0,"",SUM(UA14:UA15)/COUNT(UA14:UA15))</f>
        <v>2.5</v>
      </c>
      <c r="UB13" s="185" t="str">
        <f t="shared" si="128"/>
        <v>C</v>
      </c>
      <c r="UC13" s="121"/>
      <c r="UD13" s="65"/>
      <c r="UE13" s="85"/>
      <c r="UF13" s="86" t="str">
        <f>IF(COUNT(UF14:UF15)=0,"",SUM(UF14:UF15)/COUNT(UF14:UF15))</f>
        <v/>
      </c>
      <c r="UG13" s="87" t="str">
        <f t="shared" si="129"/>
        <v/>
      </c>
      <c r="UH13" s="84"/>
      <c r="UI13" s="65"/>
      <c r="UJ13" s="85"/>
      <c r="UK13" s="86" t="str">
        <f>IF(COUNT(UK14,UK15)=0,"",SUM(UK14:UK15)/COUNT(UK14,UK15))</f>
        <v/>
      </c>
      <c r="UL13" s="88" t="str">
        <f t="shared" si="130"/>
        <v/>
      </c>
      <c r="UM13" s="89"/>
      <c r="UN13" s="90"/>
      <c r="UO13" s="91"/>
      <c r="UP13" s="86" t="str">
        <f>IF(COUNT(UP14,UP15)=0,"",SUM(UP14:UP15)/COUNT(UP14,UP15))</f>
        <v/>
      </c>
      <c r="UQ13" s="92" t="str">
        <f t="shared" si="131"/>
        <v/>
      </c>
      <c r="UR13" s="93" t="str">
        <f>IF(COUNT(UR14:UR15)=0,"",SUM(UR14:UR15)/COUNT(UR14:UR15))</f>
        <v/>
      </c>
      <c r="US13" s="94" t="str">
        <f t="shared" si="132"/>
        <v/>
      </c>
      <c r="UT13" s="121"/>
      <c r="UU13" s="65"/>
      <c r="UV13" s="85"/>
      <c r="UW13" s="86" t="str">
        <f>IF(COUNT(UW14:UW15)=0,"",SUM(UW14:UW15)/COUNT(UW14:UW15))</f>
        <v/>
      </c>
      <c r="UX13" s="87" t="str">
        <f t="shared" si="133"/>
        <v/>
      </c>
      <c r="UY13" s="84"/>
      <c r="UZ13" s="65"/>
      <c r="VA13" s="85"/>
      <c r="VB13" s="86" t="str">
        <f>IF(COUNT(VB14,VB15)=0,"",SUM(VB14:VB15)/COUNT(VB14,VB15))</f>
        <v/>
      </c>
      <c r="VC13" s="88" t="str">
        <f t="shared" si="134"/>
        <v/>
      </c>
      <c r="VD13" s="89"/>
      <c r="VE13" s="90"/>
      <c r="VF13" s="91"/>
      <c r="VG13" s="86" t="str">
        <f>IF(COUNT(VG14,VG15)=0,"",SUM(VG14:VG15)/COUNT(VG14,VG15))</f>
        <v/>
      </c>
      <c r="VH13" s="92" t="str">
        <f t="shared" si="135"/>
        <v/>
      </c>
      <c r="VI13" s="93" t="str">
        <f>IF(COUNT(VI14:VI15)=0,"",SUM(VI14:VI15)/COUNT(VI14:VI15))</f>
        <v/>
      </c>
      <c r="VJ13" s="94" t="str">
        <f t="shared" si="136"/>
        <v/>
      </c>
      <c r="VK13" s="121"/>
      <c r="VL13" s="65"/>
      <c r="VM13" s="85"/>
      <c r="VN13" s="86" t="str">
        <f>IF(COUNT(VN14:VN15)=0,"",SUM(VN14:VN15)/COUNT(VN14:VN15))</f>
        <v/>
      </c>
      <c r="VO13" s="87" t="str">
        <f t="shared" si="137"/>
        <v/>
      </c>
      <c r="VP13" s="84"/>
      <c r="VQ13" s="65"/>
      <c r="VR13" s="85"/>
      <c r="VS13" s="86" t="str">
        <f>IF(COUNT(VS14,VS15)=0,"",SUM(VS14:VS15)/COUNT(VS14,VS15))</f>
        <v/>
      </c>
      <c r="VT13" s="88" t="str">
        <f t="shared" si="138"/>
        <v/>
      </c>
      <c r="VU13" s="89"/>
      <c r="VV13" s="90"/>
      <c r="VW13" s="91"/>
      <c r="VX13" s="86" t="str">
        <f>IF(COUNT(VX14,VX15)=0,"",SUM(VX14:VX15)/COUNT(VX14,VX15))</f>
        <v/>
      </c>
      <c r="VY13" s="92" t="str">
        <f t="shared" si="139"/>
        <v/>
      </c>
      <c r="VZ13" s="93" t="str">
        <f>IF(COUNT(VZ14:VZ15)=0,"",SUM(VZ14:VZ15)/COUNT(VZ14:VZ15))</f>
        <v/>
      </c>
      <c r="WA13" s="94" t="str">
        <f t="shared" si="140"/>
        <v/>
      </c>
      <c r="WB13" s="121"/>
      <c r="WC13" s="65"/>
      <c r="WD13" s="85"/>
      <c r="WE13" s="86" t="str">
        <f>IF(COUNT(WE14:WE15)=0,"",SUM(WE14:WE15)/COUNT(WE14:WE15))</f>
        <v/>
      </c>
      <c r="WF13" s="87" t="str">
        <f t="shared" si="141"/>
        <v/>
      </c>
      <c r="WG13" s="84"/>
      <c r="WH13" s="65"/>
      <c r="WI13" s="85"/>
      <c r="WJ13" s="86" t="str">
        <f>IF(COUNT(WJ14,WJ15)=0,"",SUM(WJ14:WJ15)/COUNT(WJ14,WJ15))</f>
        <v/>
      </c>
      <c r="WK13" s="88" t="str">
        <f t="shared" si="142"/>
        <v/>
      </c>
      <c r="WL13" s="89"/>
      <c r="WM13" s="90"/>
      <c r="WN13" s="91"/>
      <c r="WO13" s="86" t="str">
        <f>IF(COUNT(WO14,WO15)=0,"",SUM(WO14:WO15)/COUNT(WO14,WO15))</f>
        <v/>
      </c>
      <c r="WP13" s="92" t="str">
        <f t="shared" si="143"/>
        <v/>
      </c>
      <c r="WQ13" s="93" t="str">
        <f>IF(COUNT(WQ14:WQ15)=0,"",SUM(WQ14:WQ15)/COUNT(WQ14:WQ15))</f>
        <v/>
      </c>
      <c r="WR13" s="94" t="str">
        <f t="shared" si="144"/>
        <v/>
      </c>
    </row>
    <row r="14" spans="1:616" ht="18" customHeight="1" x14ac:dyDescent="0.55000000000000004">
      <c r="A14" s="217" t="s">
        <v>19</v>
      </c>
      <c r="B14" s="218"/>
      <c r="C14" s="103"/>
      <c r="D14" s="104"/>
      <c r="E14" s="105"/>
      <c r="F14" s="161" t="str">
        <f>IFERROR((((COUNTIF('Elève (3ème2)'!C14:E14,"A"))*4)+((COUNTIF('Elève (3ème2)'!C14:E14,"B"))*3)+((COUNTIF('Elève (3ème2)'!C14:E14,"C"))*2)+((COUNTIF('Elève (3ème2)'!C14:E14,"D"))*1))/(COUNTA(C14:E14)),"")</f>
        <v/>
      </c>
      <c r="G14" s="162" t="str">
        <f t="shared" si="25"/>
        <v/>
      </c>
      <c r="H14" s="103"/>
      <c r="I14" s="104"/>
      <c r="J14" s="105"/>
      <c r="K14" s="105"/>
      <c r="L14" s="161" t="str">
        <f>IFERROR((((COUNTIF('Elève (3ème2)'!H14:K14,"A"))*4)+((COUNTIF('Elève (3ème2)'!H14:K14,"B"))*3)+((COUNTIF('Elève (3ème2)'!H14:K14,"C"))*2)+((COUNTIF('Elève (3ème2)'!H14:K14,"D"))*1))/(COUNTA(H14:K14)),"")</f>
        <v/>
      </c>
      <c r="M14" s="162" t="str">
        <f t="shared" si="26"/>
        <v/>
      </c>
      <c r="N14" s="103"/>
      <c r="O14" s="104"/>
      <c r="P14" s="105"/>
      <c r="Q14" s="105"/>
      <c r="R14" s="105" t="s">
        <v>28</v>
      </c>
      <c r="S14" s="105"/>
      <c r="T14" s="161">
        <f>IFERROR((((COUNTIF('Elève (3ème2)'!N14:S14,"A"))*4)+((COUNTIF('Elève (3ème2)'!N14:S14,"B"))*3)+((COUNTIF('Elève (3ème2)'!N14:S14,"C"))*2)+((COUNTIF('Elève (3ème2)'!N14:S14,"D"))*1))/(COUNTA(N14:S14)),"")</f>
        <v>3</v>
      </c>
      <c r="U14" s="162" t="str">
        <f t="shared" si="27"/>
        <v>B</v>
      </c>
      <c r="V14" s="161">
        <f>IF(COUNT(F14,L14,T14)=0,"",SUM(F14,L14,T14)/COUNT(F14,L14,T14))</f>
        <v>3</v>
      </c>
      <c r="W14" s="186" t="str">
        <f t="shared" si="28"/>
        <v>B</v>
      </c>
      <c r="X14" s="103"/>
      <c r="Y14" s="104"/>
      <c r="Z14" s="105"/>
      <c r="AA14" s="161" t="str">
        <f>IFERROR((((COUNTIF('Elève (3ème2)'!X14:Z14,"A"))*4)+((COUNTIF('Elève (3ème2)'!X14:Z14,"B"))*3)+((COUNTIF('Elève (3ème2)'!X14:Z14,"C"))*2)+((COUNTIF('Elève (3ème2)'!X14:Z14,"D"))*1))/(COUNTA(X14:Z14)),"")</f>
        <v/>
      </c>
      <c r="AB14" s="162" t="str">
        <f t="shared" si="29"/>
        <v/>
      </c>
      <c r="AC14" s="103"/>
      <c r="AD14" s="104"/>
      <c r="AE14" s="105"/>
      <c r="AF14" s="105"/>
      <c r="AG14" s="161" t="str">
        <f>IFERROR((((COUNTIF('Elève (3ème2)'!AC14:AF14,"A"))*4)+((COUNTIF('Elève (3ème2)'!AC14:AF14,"B"))*3)+((COUNTIF('Elève (3ème2)'!AC14:AF14,"C"))*2)+((COUNTIF('Elève (3ème2)'!AC14:AF14,"D"))*1))/(COUNTA(AC14:AF14)),"")</f>
        <v/>
      </c>
      <c r="AH14" s="162" t="str">
        <f t="shared" si="30"/>
        <v/>
      </c>
      <c r="AI14" s="103"/>
      <c r="AJ14" s="104"/>
      <c r="AK14" s="105"/>
      <c r="AL14" s="105"/>
      <c r="AM14" s="105" t="s">
        <v>29</v>
      </c>
      <c r="AN14" s="109"/>
      <c r="AO14" s="161">
        <f>IFERROR((((COUNTIF('Elève (3ème2)'!AI14:AN14,"A"))*4)+((COUNTIF('Elève (3ème2)'!AI14:AN14,"B"))*3)+((COUNTIF('Elève (3ème2)'!AI14:AN14,"C"))*2)+((COUNTIF('Elève (3ème2)'!AI14:AN14,"D"))*1))/(COUNTA(AI14:AN14)),"")</f>
        <v>2</v>
      </c>
      <c r="AP14" s="162" t="str">
        <f t="shared" si="31"/>
        <v>C</v>
      </c>
      <c r="AQ14" s="161">
        <f>IF(COUNT(AA14,AG14,AO14)=0,"",SUM(AA14,AG14,AO14)/COUNT(AA14,AG14,AO14))</f>
        <v>2</v>
      </c>
      <c r="AR14" s="186" t="str">
        <f t="shared" si="32"/>
        <v>C</v>
      </c>
      <c r="AS14" s="103"/>
      <c r="AT14" s="104"/>
      <c r="AU14" s="105"/>
      <c r="AV14" s="161" t="str">
        <f>IFERROR((((COUNTIF('Elève (3ème2)'!AS14:AU14,"A"))*4)+((COUNTIF('Elève (3ème2)'!AS14:AU14,"B"))*3)+((COUNTIF('Elève (3ème2)'!AS14:AU14,"C"))*2)+((COUNTIF('Elève (3ème2)'!AS14:AU14,"D"))*1))/(COUNTA(AS14:AU14)),"")</f>
        <v/>
      </c>
      <c r="AW14" s="162" t="str">
        <f t="shared" si="33"/>
        <v/>
      </c>
      <c r="AX14" s="103"/>
      <c r="AY14" s="104"/>
      <c r="AZ14" s="105"/>
      <c r="BA14" s="105"/>
      <c r="BB14" s="161" t="str">
        <f>IFERROR((((COUNTIF('Elève (3ème2)'!AX14:BA14,"A"))*4)+((COUNTIF('Elève (3ème2)'!AX14:BA14,"B"))*3)+((COUNTIF('Elève (3ème2)'!AX14:BA14,"C"))*2)+((COUNTIF('Elève (3ème2)'!AX14:BA14,"D"))*1))/(COUNTA(AX14:BA14)),"")</f>
        <v/>
      </c>
      <c r="BC14" s="162" t="str">
        <f t="shared" si="34"/>
        <v/>
      </c>
      <c r="BD14" s="103"/>
      <c r="BE14" s="104"/>
      <c r="BF14" s="105"/>
      <c r="BG14" s="105"/>
      <c r="BH14" s="105" t="s">
        <v>29</v>
      </c>
      <c r="BI14" s="109"/>
      <c r="BJ14" s="161">
        <f>IFERROR((((COUNTIF('Elève (3ème2)'!BD14:BI14,"A"))*4)+((COUNTIF('Elève (3ème2)'!BD14:BI14,"B"))*3)+((COUNTIF('Elève (3ème2)'!BD14:BI14,"C"))*2)+((COUNTIF('Elève (3ème2)'!BD14:BI14,"D"))*1))/(COUNTA(BD14:BI14)),"")</f>
        <v>2</v>
      </c>
      <c r="BK14" s="162" t="str">
        <f t="shared" si="35"/>
        <v>C</v>
      </c>
      <c r="BL14" s="161">
        <f>IF(COUNT(AV14,BB14,BJ14)=0,"",SUM(AV14,BB14,BJ14)/COUNT(AV14,BB14,BJ14))</f>
        <v>2</v>
      </c>
      <c r="BM14" s="186" t="str">
        <f t="shared" si="36"/>
        <v>C</v>
      </c>
      <c r="BN14" s="103"/>
      <c r="BO14" s="104"/>
      <c r="BP14" s="105"/>
      <c r="BQ14" s="161" t="str">
        <f>IFERROR((((COUNTIF('Elève (3ème2)'!BN14:BP14,"A"))*4)+((COUNTIF('Elève (3ème2)'!BN14:BP14,"B"))*3)+((COUNTIF('Elève (3ème2)'!BN14:BP14,"C"))*2)+((COUNTIF('Elève (3ème2)'!BN14:BP14,"D"))*1))/(COUNTA(BN14:BP14)),"")</f>
        <v/>
      </c>
      <c r="BR14" s="162" t="str">
        <f t="shared" si="37"/>
        <v/>
      </c>
      <c r="BS14" s="103"/>
      <c r="BT14" s="104"/>
      <c r="BU14" s="105"/>
      <c r="BV14" s="105"/>
      <c r="BW14" s="161" t="str">
        <f>IFERROR((((COUNTIF('Elève (3ème2)'!BS14:BV14,"A"))*4)+((COUNTIF('Elève (3ème2)'!BS14:BV14,"B"))*3)+((COUNTIF('Elève (3ème2)'!BS14:BV14,"C"))*2)+((COUNTIF('Elève (3ème2)'!BS14:BV14,"D"))*1))/(COUNTA(BS14:BV14)),"")</f>
        <v/>
      </c>
      <c r="BX14" s="162" t="str">
        <f t="shared" si="38"/>
        <v/>
      </c>
      <c r="BY14" s="103"/>
      <c r="BZ14" s="104"/>
      <c r="CA14" s="105"/>
      <c r="CB14" s="105"/>
      <c r="CC14" s="105" t="s">
        <v>29</v>
      </c>
      <c r="CD14" s="109"/>
      <c r="CE14" s="161">
        <f>IFERROR((((COUNTIF('Elève (3ème2)'!BY14:CD14,"A"))*4)+((COUNTIF('Elève (3ème2)'!BY14:CD14,"B"))*3)+((COUNTIF('Elève (3ème2)'!BY14:CD14,"C"))*2)+((COUNTIF('Elève (3ème2)'!BY14:CD14,"D"))*1))/(COUNTA(BY14:CD14)),"")</f>
        <v>2</v>
      </c>
      <c r="CF14" s="162" t="str">
        <f t="shared" si="39"/>
        <v>C</v>
      </c>
      <c r="CG14" s="161">
        <f>IF(COUNT(BQ14,BW14,CE14)=0,"",SUM(BQ14,BW14,CE14)/COUNT(BQ14,BW14,CE14))</f>
        <v>2</v>
      </c>
      <c r="CH14" s="186" t="str">
        <f t="shared" si="40"/>
        <v>C</v>
      </c>
      <c r="CI14" s="103"/>
      <c r="CJ14" s="104"/>
      <c r="CK14" s="105"/>
      <c r="CL14" s="161" t="str">
        <f>IFERROR((((COUNTIF('Elève (3ème2)'!CI14:CK14,"A"))*4)+((COUNTIF('Elève (3ème2)'!CI14:CK14,"B"))*3)+((COUNTIF('Elève (3ème2)'!CI14:CK14,"C"))*2)+((COUNTIF('Elève (3ème2)'!CI14:CK14,"D"))*1))/(COUNTA(CI14:CK14)),"")</f>
        <v/>
      </c>
      <c r="CM14" s="162" t="str">
        <f t="shared" si="41"/>
        <v/>
      </c>
      <c r="CN14" s="103"/>
      <c r="CO14" s="104"/>
      <c r="CP14" s="105"/>
      <c r="CQ14" s="105"/>
      <c r="CR14" s="161" t="str">
        <f>IFERROR((((COUNTIF('Elève (3ème2)'!CN14:CQ14,"A"))*4)+((COUNTIF('Elève (3ème2)'!CN14:CQ14,"B"))*3)+((COUNTIF('Elève (3ème2)'!CN14:CQ14,"C"))*2)+((COUNTIF('Elève (3ème2)'!CN14:CQ14,"D"))*1))/(COUNTA(CN14:CQ14)),"")</f>
        <v/>
      </c>
      <c r="CS14" s="162" t="str">
        <f t="shared" si="42"/>
        <v/>
      </c>
      <c r="CT14" s="103"/>
      <c r="CU14" s="104"/>
      <c r="CV14" s="105"/>
      <c r="CW14" s="105"/>
      <c r="CX14" s="105" t="s">
        <v>29</v>
      </c>
      <c r="CY14" s="109"/>
      <c r="CZ14" s="161">
        <f>IFERROR((((COUNTIF('Elève (3ème2)'!CT14:CY14,"A"))*4)+((COUNTIF('Elève (3ème2)'!CT14:CY14,"B"))*3)+((COUNTIF('Elève (3ème2)'!CT14:CY14,"C"))*2)+((COUNTIF('Elève (3ème2)'!CT14:CY14,"D"))*1))/(COUNTA(CT14:CY14)),"")</f>
        <v>2</v>
      </c>
      <c r="DA14" s="162" t="str">
        <f t="shared" si="43"/>
        <v>C</v>
      </c>
      <c r="DB14" s="161">
        <f>IF(COUNT(CL14,CR14,CZ14)=0,"",SUM(CL14,CR14,CZ14)/COUNT(CL14,CR14,CZ14))</f>
        <v>2</v>
      </c>
      <c r="DC14" s="186" t="str">
        <f t="shared" si="44"/>
        <v>C</v>
      </c>
      <c r="DD14" s="103"/>
      <c r="DE14" s="104"/>
      <c r="DF14" s="105"/>
      <c r="DG14" s="161" t="str">
        <f>IFERROR((((COUNTIF('Elève (3ème2)'!DD14:DF14,"A"))*4)+((COUNTIF('Elève (3ème2)'!DD14:DF14,"B"))*3)+((COUNTIF('Elève (3ème2)'!DD14:DF14,"C"))*2)+((COUNTIF('Elève (3ème2)'!DD14:DF14,"D"))*1))/(COUNTA(DD14:DF14)),"")</f>
        <v/>
      </c>
      <c r="DH14" s="162" t="str">
        <f t="shared" si="45"/>
        <v/>
      </c>
      <c r="DI14" s="103"/>
      <c r="DJ14" s="104"/>
      <c r="DK14" s="105"/>
      <c r="DL14" s="105"/>
      <c r="DM14" s="161" t="str">
        <f>IFERROR((((COUNTIF('Elève (3ème2)'!DI14:DL14,"A"))*4)+((COUNTIF('Elève (3ème2)'!DI14:DL14,"B"))*3)+((COUNTIF('Elève (3ème2)'!DI14:DL14,"C"))*2)+((COUNTIF('Elève (3ème2)'!DI14:DL14,"D"))*1))/(COUNTA(DI14:DL14)),"")</f>
        <v/>
      </c>
      <c r="DN14" s="162" t="str">
        <f t="shared" si="46"/>
        <v/>
      </c>
      <c r="DO14" s="103"/>
      <c r="DP14" s="104"/>
      <c r="DQ14" s="105"/>
      <c r="DR14" s="105"/>
      <c r="DS14" s="105" t="s">
        <v>29</v>
      </c>
      <c r="DT14" s="109"/>
      <c r="DU14" s="161">
        <f>IFERROR((((COUNTIF('Elève (3ème2)'!DO14:DT14,"A"))*4)+((COUNTIF('Elève (3ème2)'!DO14:DT14,"B"))*3)+((COUNTIF('Elève (3ème2)'!DO14:DT14,"C"))*2)+((COUNTIF('Elève (3ème2)'!DO14:DT14,"D"))*1))/(COUNTA(DO14:DT14)),"")</f>
        <v>2</v>
      </c>
      <c r="DV14" s="162" t="str">
        <f t="shared" si="47"/>
        <v>C</v>
      </c>
      <c r="DW14" s="161">
        <f>IF(COUNT(DG14,DM14,DU14)=0,"",SUM(DG14,DM14,DU14)/COUNT(DG14,DM14,DU14))</f>
        <v>2</v>
      </c>
      <c r="DX14" s="186" t="str">
        <f t="shared" si="48"/>
        <v>C</v>
      </c>
      <c r="DY14" s="103"/>
      <c r="DZ14" s="104"/>
      <c r="EA14" s="105"/>
      <c r="EB14" s="161" t="str">
        <f>IFERROR((((COUNTIF('Elève (3ème2)'!DY14:EA14,"A"))*4)+((COUNTIF('Elève (3ème2)'!DY14:EA14,"B"))*3)+((COUNTIF('Elève (3ème2)'!DY14:EA14,"C"))*2)+((COUNTIF('Elève (3ème2)'!DY14:EA14,"D"))*1))/(COUNTA(DY14:EA14)),"")</f>
        <v/>
      </c>
      <c r="EC14" s="162" t="str">
        <f t="shared" si="49"/>
        <v/>
      </c>
      <c r="ED14" s="103"/>
      <c r="EE14" s="104"/>
      <c r="EF14" s="105"/>
      <c r="EG14" s="105"/>
      <c r="EH14" s="161" t="str">
        <f>IFERROR((((COUNTIF('Elève (3ème2)'!ED14:EG14,"A"))*4)+((COUNTIF('Elève (3ème2)'!ED14:EG14,"B"))*3)+((COUNTIF('Elève (3ème2)'!ED14:EG14,"C"))*2)+((COUNTIF('Elève (3ème2)'!ED14:EG14,"D"))*1))/(COUNTA(ED14:EG14)),"")</f>
        <v/>
      </c>
      <c r="EI14" s="162" t="str">
        <f t="shared" si="50"/>
        <v/>
      </c>
      <c r="EJ14" s="103"/>
      <c r="EK14" s="104"/>
      <c r="EL14" s="105"/>
      <c r="EM14" s="105"/>
      <c r="EN14" s="105" t="s">
        <v>29</v>
      </c>
      <c r="EO14" s="109"/>
      <c r="EP14" s="161">
        <f>IFERROR((((COUNTIF('Elève (3ème2)'!EJ14:EO14,"A"))*4)+((COUNTIF('Elève (3ème2)'!EJ14:EO14,"B"))*3)+((COUNTIF('Elève (3ème2)'!EJ14:EO14,"C"))*2)+((COUNTIF('Elève (3ème2)'!EJ14:EO14,"D"))*1))/(COUNTA(EJ14:EO14)),"")</f>
        <v>2</v>
      </c>
      <c r="EQ14" s="162" t="str">
        <f t="shared" si="51"/>
        <v>C</v>
      </c>
      <c r="ER14" s="161">
        <f>IF(COUNT(EB14,EH14,EP14)=0,"",SUM(EB14,EH14,EP14)/COUNT(EB14,EH14,EP14))</f>
        <v>2</v>
      </c>
      <c r="ES14" s="186" t="str">
        <f t="shared" si="52"/>
        <v>C</v>
      </c>
      <c r="ET14" s="103"/>
      <c r="EU14" s="104"/>
      <c r="EV14" s="105"/>
      <c r="EW14" s="161" t="str">
        <f>IFERROR((((COUNTIF('Elève (3ème2)'!ET14:EV14,"A"))*4)+((COUNTIF('Elève (3ème2)'!ET14:EV14,"B"))*3)+((COUNTIF('Elève (3ème2)'!ET14:EV14,"C"))*2)+((COUNTIF('Elève (3ème2)'!ET14:EV14,"D"))*1))/(COUNTA(ET14:EV14)),"")</f>
        <v/>
      </c>
      <c r="EX14" s="162" t="str">
        <f t="shared" si="53"/>
        <v/>
      </c>
      <c r="EY14" s="103"/>
      <c r="EZ14" s="104"/>
      <c r="FA14" s="105"/>
      <c r="FB14" s="105"/>
      <c r="FC14" s="161" t="str">
        <f>IFERROR((((COUNTIF('Elève (3ème2)'!EY14:FB14,"A"))*4)+((COUNTIF('Elève (3ème2)'!EY14:FB14,"B"))*3)+((COUNTIF('Elève (3ème2)'!EY14:FB14,"C"))*2)+((COUNTIF('Elève (3ème2)'!EY14:FB14,"D"))*1))/(COUNTA(EY14:FB14)),"")</f>
        <v/>
      </c>
      <c r="FD14" s="162" t="str">
        <f t="shared" si="54"/>
        <v/>
      </c>
      <c r="FE14" s="103"/>
      <c r="FF14" s="104"/>
      <c r="FG14" s="105"/>
      <c r="FH14" s="105"/>
      <c r="FI14" s="105" t="s">
        <v>28</v>
      </c>
      <c r="FJ14" s="109"/>
      <c r="FK14" s="161">
        <f>IFERROR((((COUNTIF('Elève (3ème2)'!FE14:FJ14,"A"))*4)+((COUNTIF('Elève (3ème2)'!FE14:FJ14,"B"))*3)+((COUNTIF('Elève (3ème2)'!FE14:FJ14,"C"))*2)+((COUNTIF('Elève (3ème2)'!FE14:FJ14,"D"))*1))/(COUNTA(FE14:FJ14)),"")</f>
        <v>3</v>
      </c>
      <c r="FL14" s="162" t="str">
        <f t="shared" si="55"/>
        <v>B</v>
      </c>
      <c r="FM14" s="161">
        <f>IF(COUNT(EW14,FC14,FK14)=0,"",SUM(EW14,FC14,FK14)/COUNT(EW14,FC14,FK14))</f>
        <v>3</v>
      </c>
      <c r="FN14" s="186" t="str">
        <f t="shared" si="56"/>
        <v>B</v>
      </c>
      <c r="FO14" s="103"/>
      <c r="FP14" s="104"/>
      <c r="FQ14" s="105"/>
      <c r="FR14" s="161" t="str">
        <f>IFERROR((((COUNTIF('Elève (3ème2)'!FO14:FQ14,"A"))*4)+((COUNTIF('Elève (3ème2)'!FO14:FQ14,"B"))*3)+((COUNTIF('Elève (3ème2)'!FO14:FQ14,"C"))*2)+((COUNTIF('Elève (3ème2)'!FO14:FQ14,"D"))*1))/(COUNTA(FO14:FQ14)),"")</f>
        <v/>
      </c>
      <c r="FS14" s="162" t="str">
        <f t="shared" si="57"/>
        <v/>
      </c>
      <c r="FT14" s="103"/>
      <c r="FU14" s="104"/>
      <c r="FV14" s="105"/>
      <c r="FW14" s="105"/>
      <c r="FX14" s="161" t="str">
        <f>IFERROR((((COUNTIF('Elève (3ème2)'!FT14:FW14,"A"))*4)+((COUNTIF('Elève (3ème2)'!FT14:FW14,"B"))*3)+((COUNTIF('Elève (3ème2)'!FT14:FW14,"C"))*2)+((COUNTIF('Elève (3ème2)'!FT14:FW14,"D"))*1))/(COUNTA(FT14:FW14)),"")</f>
        <v/>
      </c>
      <c r="FY14" s="162" t="str">
        <f t="shared" si="58"/>
        <v/>
      </c>
      <c r="FZ14" s="103"/>
      <c r="GA14" s="104"/>
      <c r="GB14" s="105"/>
      <c r="GC14" s="105"/>
      <c r="GD14" s="105" t="s">
        <v>28</v>
      </c>
      <c r="GE14" s="109"/>
      <c r="GF14" s="161">
        <f>IFERROR((((COUNTIF('Elève (3ème2)'!FZ14:GE14,"A"))*4)+((COUNTIF('Elève (3ème2)'!FZ14:GE14,"B"))*3)+((COUNTIF('Elève (3ème2)'!FZ14:GE14,"C"))*2)+((COUNTIF('Elève (3ème2)'!FZ14:GE14,"D"))*1))/(COUNTA(FZ14:GE14)),"")</f>
        <v>3</v>
      </c>
      <c r="GG14" s="162" t="str">
        <f t="shared" si="59"/>
        <v>B</v>
      </c>
      <c r="GH14" s="161">
        <f>IF(COUNT(FR14,FX14,GF14)=0,"",SUM(FR14,FX14,GF14)/COUNT(FR14,FX14,GF14))</f>
        <v>3</v>
      </c>
      <c r="GI14" s="186" t="str">
        <f t="shared" si="60"/>
        <v>B</v>
      </c>
      <c r="GJ14" s="103"/>
      <c r="GK14" s="104"/>
      <c r="GL14" s="105"/>
      <c r="GM14" s="161" t="str">
        <f>IFERROR((((COUNTIF('Elève (3ème2)'!GJ14:GL14,"A"))*4)+((COUNTIF('Elève (3ème2)'!GJ14:GL14,"B"))*3)+((COUNTIF('Elève (3ème2)'!GJ14:GL14,"C"))*2)+((COUNTIF('Elève (3ème2)'!GJ14:GL14,"D"))*1))/(COUNTA(GJ14:GL14)),"")</f>
        <v/>
      </c>
      <c r="GN14" s="162" t="str">
        <f t="shared" si="61"/>
        <v/>
      </c>
      <c r="GO14" s="103"/>
      <c r="GP14" s="104"/>
      <c r="GQ14" s="105"/>
      <c r="GR14" s="105"/>
      <c r="GS14" s="161" t="str">
        <f>IFERROR((((COUNTIF('Elève (3ème2)'!GO14:GR14,"A"))*4)+((COUNTIF('Elève (3ème2)'!GO14:GR14,"B"))*3)+((COUNTIF('Elève (3ème2)'!GO14:GR14,"C"))*2)+((COUNTIF('Elève (3ème2)'!GO14:GR14,"D"))*1))/(COUNTA(GO14:GR14)),"")</f>
        <v/>
      </c>
      <c r="GT14" s="162" t="str">
        <f t="shared" si="62"/>
        <v/>
      </c>
      <c r="GU14" s="103"/>
      <c r="GV14" s="104"/>
      <c r="GW14" s="105"/>
      <c r="GX14" s="105"/>
      <c r="GY14" s="105" t="s">
        <v>28</v>
      </c>
      <c r="GZ14" s="109"/>
      <c r="HA14" s="161">
        <f>IFERROR((((COUNTIF('Elève (3ème2)'!GU14:GZ14,"A"))*4)+((COUNTIF('Elève (3ème2)'!GU14:GZ14,"B"))*3)+((COUNTIF('Elève (3ème2)'!GU14:GZ14,"C"))*2)+((COUNTIF('Elève (3ème2)'!GU14:GZ14,"D"))*1))/(COUNTA(GU14:GZ14)),"")</f>
        <v>3</v>
      </c>
      <c r="HB14" s="162" t="str">
        <f t="shared" si="63"/>
        <v>B</v>
      </c>
      <c r="HC14" s="161">
        <f>IF(COUNT(GM14,GS14,HA14)=0,"",SUM(GM14,GS14,HA14)/COUNT(GM14,GS14,HA14))</f>
        <v>3</v>
      </c>
      <c r="HD14" s="186" t="str">
        <f t="shared" si="64"/>
        <v>B</v>
      </c>
      <c r="HE14" s="103"/>
      <c r="HF14" s="104"/>
      <c r="HG14" s="105"/>
      <c r="HH14" s="161" t="str">
        <f>IFERROR((((COUNTIF('Elève (3ème2)'!HE14:HG14,"A"))*4)+((COUNTIF('Elève (3ème2)'!HE14:HG14,"B"))*3)+((COUNTIF('Elève (3ème2)'!HE14:HG14,"C"))*2)+((COUNTIF('Elève (3ème2)'!HE14:HG14,"D"))*1))/(COUNTA(HE14:HG14)),"")</f>
        <v/>
      </c>
      <c r="HI14" s="162" t="str">
        <f t="shared" si="65"/>
        <v/>
      </c>
      <c r="HJ14" s="103"/>
      <c r="HK14" s="104"/>
      <c r="HL14" s="105"/>
      <c r="HM14" s="105"/>
      <c r="HN14" s="161" t="str">
        <f>IFERROR((((COUNTIF('Elève (3ème2)'!HJ14:HM14,"A"))*4)+((COUNTIF('Elève (3ème2)'!HJ14:HM14,"B"))*3)+((COUNTIF('Elève (3ème2)'!HJ14:HM14,"C"))*2)+((COUNTIF('Elève (3ème2)'!HJ14:HM14,"D"))*1))/(COUNTA(HJ14:HM14)),"")</f>
        <v/>
      </c>
      <c r="HO14" s="162" t="str">
        <f t="shared" si="66"/>
        <v/>
      </c>
      <c r="HP14" s="103"/>
      <c r="HQ14" s="104"/>
      <c r="HR14" s="105"/>
      <c r="HS14" s="105"/>
      <c r="HT14" s="105" t="s">
        <v>29</v>
      </c>
      <c r="HU14" s="109"/>
      <c r="HV14" s="161">
        <f>IFERROR((((COUNTIF('Elève (3ème2)'!HP14:HU14,"A"))*4)+((COUNTIF('Elève (3ème2)'!HP14:HU14,"B"))*3)+((COUNTIF('Elève (3ème2)'!HP14:HU14,"C"))*2)+((COUNTIF('Elève (3ème2)'!HP14:HU14,"D"))*1))/(COUNTA(HP14:HU14)),"")</f>
        <v>2</v>
      </c>
      <c r="HW14" s="162" t="str">
        <f t="shared" si="67"/>
        <v>C</v>
      </c>
      <c r="HX14" s="161">
        <f>IF(COUNT(HH14,HN14,HV14)=0,"",SUM(HH14,HN14,HV14)/COUNT(HH14,HN14,HV14))</f>
        <v>2</v>
      </c>
      <c r="HY14" s="186" t="str">
        <f t="shared" si="68"/>
        <v>C</v>
      </c>
      <c r="HZ14" s="103"/>
      <c r="IA14" s="104"/>
      <c r="IB14" s="105"/>
      <c r="IC14" s="161" t="str">
        <f>IFERROR((((COUNTIF('Elève (3ème2)'!HZ14:IB14,"A"))*4)+((COUNTIF('Elève (3ème2)'!HZ14:IB14,"B"))*3)+((COUNTIF('Elève (3ème2)'!HZ14:IB14,"C"))*2)+((COUNTIF('Elève (3ème2)'!HZ14:IB14,"D"))*1))/(COUNTA(HZ14:IB14)),"")</f>
        <v/>
      </c>
      <c r="ID14" s="162" t="str">
        <f t="shared" si="69"/>
        <v/>
      </c>
      <c r="IE14" s="103"/>
      <c r="IF14" s="104"/>
      <c r="IG14" s="105"/>
      <c r="IH14" s="105"/>
      <c r="II14" s="161" t="str">
        <f>IFERROR((((COUNTIF('Elève (3ème2)'!IE14:IH14,"A"))*4)+((COUNTIF('Elève (3ème2)'!IE14:IH14,"B"))*3)+((COUNTIF('Elève (3ème2)'!IE14:IH14,"C"))*2)+((COUNTIF('Elève (3ème2)'!IE14:IH14,"D"))*1))/(COUNTA(IE14:IH14)),"")</f>
        <v/>
      </c>
      <c r="IJ14" s="162" t="str">
        <f t="shared" si="70"/>
        <v/>
      </c>
      <c r="IK14" s="103"/>
      <c r="IL14" s="104"/>
      <c r="IM14" s="105"/>
      <c r="IN14" s="105"/>
      <c r="IO14" s="105" t="s">
        <v>29</v>
      </c>
      <c r="IP14" s="109"/>
      <c r="IQ14" s="161">
        <f>IFERROR((((COUNTIF('Elève (3ème2)'!IK14:IP14,"A"))*4)+((COUNTIF('Elève (3ème2)'!IK14:IP14,"B"))*3)+((COUNTIF('Elève (3ème2)'!IK14:IP14,"C"))*2)+((COUNTIF('Elève (3ème2)'!IK14:IP14,"D"))*1))/(COUNTA(IK14:IP14)),"")</f>
        <v>2</v>
      </c>
      <c r="IR14" s="162" t="str">
        <f t="shared" si="71"/>
        <v>C</v>
      </c>
      <c r="IS14" s="161">
        <f>IF(COUNT(IC14,II14,IQ14)=0,"",SUM(IC14,II14,IQ14)/COUNT(IC14,II14,IQ14))</f>
        <v>2</v>
      </c>
      <c r="IT14" s="186" t="str">
        <f t="shared" si="72"/>
        <v>C</v>
      </c>
      <c r="IU14" s="103"/>
      <c r="IV14" s="104"/>
      <c r="IW14" s="105"/>
      <c r="IX14" s="161" t="str">
        <f>IFERROR((((COUNTIF('Elève (3ème2)'!IU14:IW14,"A"))*4)+((COUNTIF('Elève (3ème2)'!IU14:IW14,"B"))*3)+((COUNTIF('Elève (3ème2)'!IU14:IW14,"C"))*2)+((COUNTIF('Elève (3ème2)'!IU14:IW14,"D"))*1))/(COUNTA(IU14:IW14)),"")</f>
        <v/>
      </c>
      <c r="IY14" s="162" t="str">
        <f t="shared" si="73"/>
        <v/>
      </c>
      <c r="IZ14" s="103"/>
      <c r="JA14" s="104"/>
      <c r="JB14" s="105"/>
      <c r="JC14" s="105"/>
      <c r="JD14" s="161" t="str">
        <f>IFERROR((((COUNTIF('Elève (3ème2)'!IZ14:JC14,"A"))*4)+((COUNTIF('Elève (3ème2)'!IZ14:JC14,"B"))*3)+((COUNTIF('Elève (3ème2)'!IZ14:JC14,"C"))*2)+((COUNTIF('Elève (3ème2)'!IZ14:JC14,"D"))*1))/(COUNTA(IZ14:JC14)),"")</f>
        <v/>
      </c>
      <c r="JE14" s="162" t="str">
        <f t="shared" si="74"/>
        <v/>
      </c>
      <c r="JF14" s="103"/>
      <c r="JG14" s="104"/>
      <c r="JH14" s="105"/>
      <c r="JI14" s="105"/>
      <c r="JJ14" s="105" t="s">
        <v>29</v>
      </c>
      <c r="JK14" s="109"/>
      <c r="JL14" s="161">
        <f>IFERROR((((COUNTIF('Elève (3ème2)'!JF14:JK14,"A"))*4)+((COUNTIF('Elève (3ème2)'!JF14:JK14,"B"))*3)+((COUNTIF('Elève (3ème2)'!JF14:JK14,"C"))*2)+((COUNTIF('Elève (3ème2)'!JF14:JK14,"D"))*1))/(COUNTA(JF14:JK14)),"")</f>
        <v>2</v>
      </c>
      <c r="JM14" s="162" t="str">
        <f t="shared" si="75"/>
        <v>C</v>
      </c>
      <c r="JN14" s="161">
        <f>IF(COUNT(IX14,JD14,JL14)=0,"",SUM(IX14,JD14,JL14)/COUNT(IX14,JD14,JL14))</f>
        <v>2</v>
      </c>
      <c r="JO14" s="186" t="str">
        <f t="shared" si="76"/>
        <v>C</v>
      </c>
      <c r="JP14" s="103"/>
      <c r="JQ14" s="104"/>
      <c r="JR14" s="105"/>
      <c r="JS14" s="161" t="str">
        <f>IFERROR((((COUNTIF('Elève (3ème2)'!JP14:JR14,"A"))*4)+((COUNTIF('Elève (3ème2)'!JP14:JR14,"B"))*3)+((COUNTIF('Elève (3ème2)'!JP14:JR14,"C"))*2)+((COUNTIF('Elève (3ème2)'!JP14:JR14,"D"))*1))/(COUNTA(JP14:JR14)),"")</f>
        <v/>
      </c>
      <c r="JT14" s="162" t="str">
        <f t="shared" si="77"/>
        <v/>
      </c>
      <c r="JU14" s="103"/>
      <c r="JV14" s="104"/>
      <c r="JW14" s="105"/>
      <c r="JX14" s="105"/>
      <c r="JY14" s="161" t="str">
        <f>IFERROR((((COUNTIF('Elève (3ème2)'!JU14:JX14,"A"))*4)+((COUNTIF('Elève (3ème2)'!JU14:JX14,"B"))*3)+((COUNTIF('Elève (3ème2)'!JU14:JX14,"C"))*2)+((COUNTIF('Elève (3ème2)'!JU14:JX14,"D"))*1))/(COUNTA(JU14:JX14)),"")</f>
        <v/>
      </c>
      <c r="JZ14" s="162" t="str">
        <f t="shared" si="78"/>
        <v/>
      </c>
      <c r="KA14" s="103"/>
      <c r="KB14" s="104"/>
      <c r="KC14" s="105"/>
      <c r="KD14" s="105"/>
      <c r="KE14" s="105" t="s">
        <v>29</v>
      </c>
      <c r="KF14" s="109"/>
      <c r="KG14" s="161">
        <f>IFERROR((((COUNTIF('Elève (3ème2)'!KA14:KF14,"A"))*4)+((COUNTIF('Elève (3ème2)'!KA14:KF14,"B"))*3)+((COUNTIF('Elève (3ème2)'!KA14:KF14,"C"))*2)+((COUNTIF('Elève (3ème2)'!KA14:KF14,"D"))*1))/(COUNTA(KA14:KF14)),"")</f>
        <v>2</v>
      </c>
      <c r="KH14" s="162" t="str">
        <f t="shared" si="79"/>
        <v>C</v>
      </c>
      <c r="KI14" s="161">
        <f>IF(COUNT(JS14,JY14,KG14)=0,"",SUM(JS14,JY14,KG14)/COUNT(JS14,JY14,KG14))</f>
        <v>2</v>
      </c>
      <c r="KJ14" s="186" t="str">
        <f t="shared" si="80"/>
        <v>C</v>
      </c>
      <c r="KK14" s="103"/>
      <c r="KL14" s="104"/>
      <c r="KM14" s="105"/>
      <c r="KN14" s="161" t="str">
        <f>IFERROR((((COUNTIF('Elève (3ème2)'!KK14:KM14,"A"))*4)+((COUNTIF('Elève (3ème2)'!KK14:KM14,"B"))*3)+((COUNTIF('Elève (3ème2)'!KK14:KM14,"C"))*2)+((COUNTIF('Elève (3ème2)'!KK14:KM14,"D"))*1))/(COUNTA(KK14:KM14)),"")</f>
        <v/>
      </c>
      <c r="KO14" s="162" t="str">
        <f t="shared" si="81"/>
        <v/>
      </c>
      <c r="KP14" s="103"/>
      <c r="KQ14" s="104"/>
      <c r="KR14" s="105"/>
      <c r="KS14" s="105"/>
      <c r="KT14" s="161" t="str">
        <f>IFERROR((((COUNTIF('Elève (3ème2)'!KP14:KS14,"A"))*4)+((COUNTIF('Elève (3ème2)'!KP14:KS14,"B"))*3)+((COUNTIF('Elève (3ème2)'!KP14:KS14,"C"))*2)+((COUNTIF('Elève (3ème2)'!KP14:KS14,"D"))*1))/(COUNTA(KP14:KS14)),"")</f>
        <v/>
      </c>
      <c r="KU14" s="162" t="str">
        <f t="shared" si="82"/>
        <v/>
      </c>
      <c r="KV14" s="103"/>
      <c r="KW14" s="104"/>
      <c r="KX14" s="105"/>
      <c r="KY14" s="105"/>
      <c r="KZ14" s="105" t="s">
        <v>29</v>
      </c>
      <c r="LA14" s="109"/>
      <c r="LB14" s="161">
        <f>IFERROR((((COUNTIF('Elève (3ème2)'!KV14:LA14,"A"))*4)+((COUNTIF('Elève (3ème2)'!KV14:LA14,"B"))*3)+((COUNTIF('Elève (3ème2)'!KV14:LA14,"C"))*2)+((COUNTIF('Elève (3ème2)'!KV14:LA14,"D"))*1))/(COUNTA(KV14:LA14)),"")</f>
        <v>2</v>
      </c>
      <c r="LC14" s="162" t="str">
        <f t="shared" si="83"/>
        <v>C</v>
      </c>
      <c r="LD14" s="161">
        <f>IF(COUNT(KN14,KT14,LB14)=0,"",SUM(KN14,KT14,LB14)/COUNT(KN14,KT14,LB14))</f>
        <v>2</v>
      </c>
      <c r="LE14" s="186" t="str">
        <f t="shared" si="84"/>
        <v>C</v>
      </c>
      <c r="LF14" s="103"/>
      <c r="LG14" s="104"/>
      <c r="LH14" s="105"/>
      <c r="LI14" s="161" t="str">
        <f>IFERROR((((COUNTIF('Elève (3ème2)'!LF14:LH14,"A"))*4)+((COUNTIF('Elève (3ème2)'!LF14:LH14,"B"))*3)+((COUNTIF('Elève (3ème2)'!LF14:LH14,"C"))*2)+((COUNTIF('Elève (3ème2)'!LF14:LH14,"D"))*1))/(COUNTA(LF14:LH14)),"")</f>
        <v/>
      </c>
      <c r="LJ14" s="162" t="str">
        <f t="shared" si="85"/>
        <v/>
      </c>
      <c r="LK14" s="103"/>
      <c r="LL14" s="104"/>
      <c r="LM14" s="105"/>
      <c r="LN14" s="105"/>
      <c r="LO14" s="161" t="str">
        <f>IFERROR((((COUNTIF('Elève (3ème2)'!LK14:LN14,"A"))*4)+((COUNTIF('Elève (3ème2)'!LK14:LN14,"B"))*3)+((COUNTIF('Elève (3ème2)'!LK14:LN14,"C"))*2)+((COUNTIF('Elève (3ème2)'!LK14:LN14,"D"))*1))/(COUNTA(LK14:LN14)),"")</f>
        <v/>
      </c>
      <c r="LP14" s="162" t="str">
        <f t="shared" si="86"/>
        <v/>
      </c>
      <c r="LQ14" s="103"/>
      <c r="LR14" s="104"/>
      <c r="LS14" s="105"/>
      <c r="LT14" s="105"/>
      <c r="LU14" s="105" t="s">
        <v>30</v>
      </c>
      <c r="LV14" s="109"/>
      <c r="LW14" s="161">
        <f>IFERROR((((COUNTIF('Elève (3ème2)'!LQ14:LV14,"A"))*4)+((COUNTIF('Elève (3ème2)'!LQ14:LV14,"B"))*3)+((COUNTIF('Elève (3ème2)'!LQ14:LV14,"C"))*2)+((COUNTIF('Elève (3ème2)'!LQ14:LV14,"D"))*1))/(COUNTA(LQ14:LV14)),"")</f>
        <v>1</v>
      </c>
      <c r="LX14" s="162" t="str">
        <f t="shared" si="87"/>
        <v>D</v>
      </c>
      <c r="LY14" s="161">
        <f>IF(COUNT(LI14,LO14,LW14)=0,"",SUM(LI14,LO14,LW14)/COUNT(LI14,LO14,LW14))</f>
        <v>1</v>
      </c>
      <c r="LZ14" s="186" t="str">
        <f t="shared" si="88"/>
        <v>D</v>
      </c>
      <c r="MA14" s="103"/>
      <c r="MB14" s="104"/>
      <c r="MC14" s="105"/>
      <c r="MD14" s="161" t="str">
        <f>IFERROR((((COUNTIF('Elève (3ème2)'!MA14:MC14,"A"))*4)+((COUNTIF('Elève (3ème2)'!MA14:MC14,"B"))*3)+((COUNTIF('Elève (3ème2)'!MA14:MC14,"C"))*2)+((COUNTIF('Elève (3ème2)'!MA14:MC14,"D"))*1))/(COUNTA(MA14:MC14)),"")</f>
        <v/>
      </c>
      <c r="ME14" s="162" t="str">
        <f t="shared" si="89"/>
        <v/>
      </c>
      <c r="MF14" s="103"/>
      <c r="MG14" s="104"/>
      <c r="MH14" s="105"/>
      <c r="MI14" s="105"/>
      <c r="MJ14" s="161" t="str">
        <f>IFERROR((((COUNTIF('Elève (3ème2)'!MF14:MI14,"A"))*4)+((COUNTIF('Elève (3ème2)'!MF14:MI14,"B"))*3)+((COUNTIF('Elève (3ème2)'!MF14:MI14,"C"))*2)+((COUNTIF('Elève (3ème2)'!MF14:MI14,"D"))*1))/(COUNTA(MF14:MI14)),"")</f>
        <v/>
      </c>
      <c r="MK14" s="162" t="str">
        <f t="shared" si="90"/>
        <v/>
      </c>
      <c r="ML14" s="103"/>
      <c r="MM14" s="104"/>
      <c r="MN14" s="105"/>
      <c r="MO14" s="105"/>
      <c r="MP14" s="105" t="s">
        <v>29</v>
      </c>
      <c r="MQ14" s="109"/>
      <c r="MR14" s="161">
        <f>IFERROR((((COUNTIF('Elève (3ème2)'!ML14:MQ14,"A"))*4)+((COUNTIF('Elève (3ème2)'!ML14:MQ14,"B"))*3)+((COUNTIF('Elève (3ème2)'!ML14:MQ14,"C"))*2)+((COUNTIF('Elève (3ème2)'!ML14:MQ14,"D"))*1))/(COUNTA(ML14:MQ14)),"")</f>
        <v>2</v>
      </c>
      <c r="MS14" s="162" t="str">
        <f t="shared" si="91"/>
        <v>C</v>
      </c>
      <c r="MT14" s="161">
        <f>IF(COUNT(MD14,MJ14,MR14)=0,"",SUM(MD14,MJ14,MR14)/COUNT(MD14,MJ14,MR14))</f>
        <v>2</v>
      </c>
      <c r="MU14" s="186" t="str">
        <f t="shared" si="92"/>
        <v>C</v>
      </c>
      <c r="MV14" s="103"/>
      <c r="MW14" s="104"/>
      <c r="MX14" s="105"/>
      <c r="MY14" s="161" t="str">
        <f>IFERROR((((COUNTIF('Elève (3ème2)'!MV14:MX14,"A"))*4)+((COUNTIF('Elève (3ème2)'!MV14:MX14,"B"))*3)+((COUNTIF('Elève (3ème2)'!MV14:MX14,"C"))*2)+((COUNTIF('Elève (3ème2)'!MV14:MX14,"D"))*1))/(COUNTA(MV14:MX14)),"")</f>
        <v/>
      </c>
      <c r="MZ14" s="162" t="str">
        <f t="shared" si="93"/>
        <v/>
      </c>
      <c r="NA14" s="103"/>
      <c r="NB14" s="104"/>
      <c r="NC14" s="105"/>
      <c r="ND14" s="105"/>
      <c r="NE14" s="161" t="str">
        <f>IFERROR((((COUNTIF('Elève (3ème2)'!NA14:ND14,"A"))*4)+((COUNTIF('Elève (3ème2)'!NA14:ND14,"B"))*3)+((COUNTIF('Elève (3ème2)'!NA14:ND14,"C"))*2)+((COUNTIF('Elève (3ème2)'!NA14:ND14,"D"))*1))/(COUNTA(NA14:ND14)),"")</f>
        <v/>
      </c>
      <c r="NF14" s="162" t="str">
        <f t="shared" si="94"/>
        <v/>
      </c>
      <c r="NG14" s="103"/>
      <c r="NH14" s="104"/>
      <c r="NI14" s="105"/>
      <c r="NJ14" s="105"/>
      <c r="NK14" s="105" t="s">
        <v>27</v>
      </c>
      <c r="NL14" s="109"/>
      <c r="NM14" s="161">
        <f>IFERROR((((COUNTIF('Elève (3ème2)'!NG14:NL14,"A"))*4)+((COUNTIF('Elève (3ème2)'!NG14:NL14,"B"))*3)+((COUNTIF('Elève (3ème2)'!NG14:NL14,"C"))*2)+((COUNTIF('Elève (3ème2)'!NG14:NL14,"D"))*1))/(COUNTA(NG14:NL14)),"")</f>
        <v>4</v>
      </c>
      <c r="NN14" s="162" t="str">
        <f t="shared" si="95"/>
        <v>A</v>
      </c>
      <c r="NO14" s="161">
        <f>IF(COUNT(MY14,NE14,NM14)=0,"",SUM(MY14,NE14,NM14)/COUNT(MY14,NE14,NM14))</f>
        <v>4</v>
      </c>
      <c r="NP14" s="186" t="str">
        <f t="shared" si="96"/>
        <v>A</v>
      </c>
      <c r="NQ14" s="103"/>
      <c r="NR14" s="104"/>
      <c r="NS14" s="105"/>
      <c r="NT14" s="161" t="str">
        <f>IFERROR((((COUNTIF('Elève (3ème2)'!NQ14:NS14,"A"))*4)+((COUNTIF('Elève (3ème2)'!NQ14:NS14,"B"))*3)+((COUNTIF('Elève (3ème2)'!NQ14:NS14,"C"))*2)+((COUNTIF('Elève (3ème2)'!NQ14:NS14,"D"))*1))/(COUNTA(NQ14:NS14)),"")</f>
        <v/>
      </c>
      <c r="NU14" s="162" t="str">
        <f t="shared" si="97"/>
        <v/>
      </c>
      <c r="NV14" s="103"/>
      <c r="NW14" s="104"/>
      <c r="NX14" s="105"/>
      <c r="NY14" s="105"/>
      <c r="NZ14" s="161" t="str">
        <f>IFERROR((((COUNTIF('Elève (3ème2)'!NV14:NY14,"A"))*4)+((COUNTIF('Elève (3ème2)'!NV14:NY14,"B"))*3)+((COUNTIF('Elève (3ème2)'!NV14:NY14,"C"))*2)+((COUNTIF('Elève (3ème2)'!NV14:NY14,"D"))*1))/(COUNTA(NV14:NY14)),"")</f>
        <v/>
      </c>
      <c r="OA14" s="162" t="str">
        <f t="shared" si="98"/>
        <v/>
      </c>
      <c r="OB14" s="103"/>
      <c r="OC14" s="104"/>
      <c r="OD14" s="105"/>
      <c r="OE14" s="105"/>
      <c r="OF14" s="105" t="s">
        <v>29</v>
      </c>
      <c r="OG14" s="109"/>
      <c r="OH14" s="161">
        <f>IFERROR((((COUNTIF('Elève (3ème2)'!OB14:OG14,"A"))*4)+((COUNTIF('Elève (3ème2)'!OB14:OG14,"B"))*3)+((COUNTIF('Elève (3ème2)'!OB14:OG14,"C"))*2)+((COUNTIF('Elève (3ème2)'!OB14:OG14,"D"))*1))/(COUNTA(OB14:OG14)),"")</f>
        <v>2</v>
      </c>
      <c r="OI14" s="162" t="str">
        <f t="shared" si="99"/>
        <v>C</v>
      </c>
      <c r="OJ14" s="161">
        <f>IF(COUNT(NT14,NZ14,OH14)=0,"",SUM(NT14,NZ14,OH14)/COUNT(NT14,NZ14,OH14))</f>
        <v>2</v>
      </c>
      <c r="OK14" s="186" t="str">
        <f t="shared" si="100"/>
        <v>C</v>
      </c>
      <c r="OL14" s="103"/>
      <c r="OM14" s="104"/>
      <c r="ON14" s="105"/>
      <c r="OO14" s="161" t="str">
        <f>IFERROR((((COUNTIF('Elève (3ème2)'!OL14:ON14,"A"))*4)+((COUNTIF('Elève (3ème2)'!OL14:ON14,"B"))*3)+((COUNTIF('Elève (3ème2)'!OL14:ON14,"C"))*2)+((COUNTIF('Elève (3ème2)'!OL14:ON14,"D"))*1))/(COUNTA(OL14:ON14)),"")</f>
        <v/>
      </c>
      <c r="OP14" s="162" t="str">
        <f t="shared" si="101"/>
        <v/>
      </c>
      <c r="OQ14" s="103"/>
      <c r="OR14" s="104"/>
      <c r="OS14" s="105"/>
      <c r="OT14" s="105"/>
      <c r="OU14" s="161" t="str">
        <f>IFERROR((((COUNTIF('Elève (3ème2)'!OQ14:OT14,"A"))*4)+((COUNTIF('Elève (3ème2)'!OQ14:OT14,"B"))*3)+((COUNTIF('Elève (3ème2)'!OQ14:OT14,"C"))*2)+((COUNTIF('Elève (3ème2)'!OQ14:OT14,"D"))*1))/(COUNTA(OQ14:OT14)),"")</f>
        <v/>
      </c>
      <c r="OV14" s="162" t="str">
        <f t="shared" si="102"/>
        <v/>
      </c>
      <c r="OW14" s="103"/>
      <c r="OX14" s="104"/>
      <c r="OY14" s="105"/>
      <c r="OZ14" s="105"/>
      <c r="PA14" s="105" t="s">
        <v>27</v>
      </c>
      <c r="PB14" s="109"/>
      <c r="PC14" s="161">
        <f>IFERROR((((COUNTIF('Elève (3ème2)'!OW14:PB14,"A"))*4)+((COUNTIF('Elève (3ème2)'!OW14:PB14,"B"))*3)+((COUNTIF('Elève (3ème2)'!OW14:PB14,"C"))*2)+((COUNTIF('Elève (3ème2)'!OW14:PB14,"D"))*1))/(COUNTA(OW14:PB14)),"")</f>
        <v>4</v>
      </c>
      <c r="PD14" s="162" t="str">
        <f t="shared" si="103"/>
        <v>A</v>
      </c>
      <c r="PE14" s="161">
        <f>IF(COUNT(OO14,OU14,PC14)=0,"",SUM(OO14,OU14,PC14)/COUNT(OO14,OU14,PC14))</f>
        <v>4</v>
      </c>
      <c r="PF14" s="186" t="str">
        <f t="shared" si="104"/>
        <v>A</v>
      </c>
      <c r="PG14" s="103"/>
      <c r="PH14" s="104"/>
      <c r="PI14" s="105"/>
      <c r="PJ14" s="161" t="str">
        <f>IFERROR((((COUNTIF('Elève (3ème2)'!PG14:PI14,"A"))*4)+((COUNTIF('Elève (3ème2)'!PG14:PI14,"B"))*3)+((COUNTIF('Elève (3ème2)'!PG14:PI14,"C"))*2)+((COUNTIF('Elève (3ème2)'!PG14:PI14,"D"))*1))/(COUNTA(PG14:PI14)),"")</f>
        <v/>
      </c>
      <c r="PK14" s="162" t="str">
        <f t="shared" si="105"/>
        <v/>
      </c>
      <c r="PL14" s="103"/>
      <c r="PM14" s="104"/>
      <c r="PN14" s="105"/>
      <c r="PO14" s="105"/>
      <c r="PP14" s="161" t="str">
        <f>IFERROR((((COUNTIF('Elève (3ème2)'!PL14:PO14,"A"))*4)+((COUNTIF('Elève (3ème2)'!PL14:PO14,"B"))*3)+((COUNTIF('Elève (3ème2)'!PL14:PO14,"C"))*2)+((COUNTIF('Elève (3ème2)'!PL14:PO14,"D"))*1))/(COUNTA(PL14:PO14)),"")</f>
        <v/>
      </c>
      <c r="PQ14" s="162" t="str">
        <f t="shared" si="106"/>
        <v/>
      </c>
      <c r="PR14" s="103"/>
      <c r="PS14" s="104"/>
      <c r="PT14" s="105"/>
      <c r="PU14" s="105"/>
      <c r="PV14" s="105" t="s">
        <v>28</v>
      </c>
      <c r="PW14" s="109"/>
      <c r="PX14" s="161">
        <f>IFERROR((((COUNTIF('Elève (3ème2)'!PR14:PW14,"A"))*4)+((COUNTIF('Elève (3ème2)'!PR14:PW14,"B"))*3)+((COUNTIF('Elève (3ème2)'!PR14:PW14,"C"))*2)+((COUNTIF('Elève (3ème2)'!PR14:PW14,"D"))*1))/(COUNTA(PR14:PW14)),"")</f>
        <v>3</v>
      </c>
      <c r="PY14" s="162" t="str">
        <f t="shared" si="107"/>
        <v>B</v>
      </c>
      <c r="PZ14" s="161">
        <f>IF(COUNT(PJ14,PP14,PX14)=0,"",SUM(PJ14,PP14,PX14)/COUNT(PJ14,PP14,PX14))</f>
        <v>3</v>
      </c>
      <c r="QA14" s="186" t="str">
        <f t="shared" si="108"/>
        <v>B</v>
      </c>
      <c r="QB14" s="103"/>
      <c r="QC14" s="104"/>
      <c r="QD14" s="105"/>
      <c r="QE14" s="161" t="str">
        <f>IFERROR((((COUNTIF('Elève (3ème2)'!QB14:QD14,"A"))*4)+((COUNTIF('Elève (3ème2)'!QB14:QD14,"B"))*3)+((COUNTIF('Elève (3ème2)'!QB14:QD14,"C"))*2)+((COUNTIF('Elève (3ème2)'!QB14:QD14,"D"))*1))/(COUNTA(QB14:QD14)),"")</f>
        <v/>
      </c>
      <c r="QF14" s="162" t="str">
        <f t="shared" si="109"/>
        <v/>
      </c>
      <c r="QG14" s="103"/>
      <c r="QH14" s="104"/>
      <c r="QI14" s="105"/>
      <c r="QJ14" s="105"/>
      <c r="QK14" s="161" t="str">
        <f>IFERROR((((COUNTIF('Elève (3ème2)'!QG14:QJ14,"A"))*4)+((COUNTIF('Elève (3ème2)'!QG14:QJ14,"B"))*3)+((COUNTIF('Elève (3ème2)'!QG14:QJ14,"C"))*2)+((COUNTIF('Elève (3ème2)'!QG14:QJ14,"D"))*1))/(COUNTA(QG14:QJ14)),"")</f>
        <v/>
      </c>
      <c r="QL14" s="162" t="str">
        <f t="shared" si="110"/>
        <v/>
      </c>
      <c r="QM14" s="103"/>
      <c r="QN14" s="104"/>
      <c r="QO14" s="105"/>
      <c r="QP14" s="105"/>
      <c r="QQ14" s="105" t="s">
        <v>29</v>
      </c>
      <c r="QR14" s="109"/>
      <c r="QS14" s="161">
        <f>IFERROR((((COUNTIF('Elève (3ème2)'!QM14:QR14,"A"))*4)+((COUNTIF('Elève (3ème2)'!QM14:QR14,"B"))*3)+((COUNTIF('Elève (3ème2)'!QM14:QR14,"C"))*2)+((COUNTIF('Elève (3ème2)'!QM14:QR14,"D"))*1))/(COUNTA(QM14:QR14)),"")</f>
        <v>2</v>
      </c>
      <c r="QT14" s="162" t="str">
        <f t="shared" si="111"/>
        <v>C</v>
      </c>
      <c r="QU14" s="161">
        <f>IF(COUNT(QE14,QK14,QS14)=0,"",SUM(QE14,QK14,QS14)/COUNT(QE14,QK14,QS14))</f>
        <v>2</v>
      </c>
      <c r="QV14" s="186" t="str">
        <f t="shared" si="112"/>
        <v>C</v>
      </c>
      <c r="QW14" s="103"/>
      <c r="QX14" s="104"/>
      <c r="QY14" s="105"/>
      <c r="QZ14" s="161" t="str">
        <f>IFERROR((((COUNTIF('Elève (3ème2)'!QW14:QY14,"A"))*4)+((COUNTIF('Elève (3ème2)'!QW14:QY14,"B"))*3)+((COUNTIF('Elève (3ème2)'!QW14:QY14,"C"))*2)+((COUNTIF('Elève (3ème2)'!QW14:QY14,"D"))*1))/(COUNTA(QW14:QY14)),"")</f>
        <v/>
      </c>
      <c r="RA14" s="162" t="str">
        <f t="shared" si="113"/>
        <v/>
      </c>
      <c r="RB14" s="103"/>
      <c r="RC14" s="104"/>
      <c r="RD14" s="105"/>
      <c r="RE14" s="105"/>
      <c r="RF14" s="161" t="str">
        <f>IFERROR((((COUNTIF('Elève (3ème2)'!RB14:RE14,"A"))*4)+((COUNTIF('Elève (3ème2)'!RB14:RE14,"B"))*3)+((COUNTIF('Elève (3ème2)'!RB14:RE14,"C"))*2)+((COUNTIF('Elève (3ème2)'!RB14:RE14,"D"))*1))/(COUNTA(RB14:RE14)),"")</f>
        <v/>
      </c>
      <c r="RG14" s="162" t="str">
        <f t="shared" si="114"/>
        <v/>
      </c>
      <c r="RH14" s="103"/>
      <c r="RI14" s="104"/>
      <c r="RJ14" s="105"/>
      <c r="RK14" s="105"/>
      <c r="RL14" s="105" t="s">
        <v>29</v>
      </c>
      <c r="RM14" s="109"/>
      <c r="RN14" s="161">
        <f>IFERROR((((COUNTIF('Elève (3ème2)'!RH14:RM14,"A"))*4)+((COUNTIF('Elève (3ème2)'!RH14:RM14,"B"))*3)+((COUNTIF('Elève (3ème2)'!RH14:RM14,"C"))*2)+((COUNTIF('Elève (3ème2)'!RH14:RM14,"D"))*1))/(COUNTA(RH14:RM14)),"")</f>
        <v>2</v>
      </c>
      <c r="RO14" s="162" t="str">
        <f t="shared" si="115"/>
        <v>C</v>
      </c>
      <c r="RP14" s="161">
        <f>IF(COUNT(QZ14,RF14,RN14)=0,"",SUM(QZ14,RF14,RN14)/COUNT(QZ14,RF14,RN14))</f>
        <v>2</v>
      </c>
      <c r="RQ14" s="186" t="str">
        <f t="shared" si="116"/>
        <v>C</v>
      </c>
      <c r="RR14" s="103"/>
      <c r="RS14" s="104"/>
      <c r="RT14" s="105"/>
      <c r="RU14" s="161" t="str">
        <f>IFERROR((((COUNTIF('Elève (3ème2)'!RR14:RT14,"A"))*4)+((COUNTIF('Elève (3ème2)'!RR14:RT14,"B"))*3)+((COUNTIF('Elève (3ème2)'!RR14:RT14,"C"))*2)+((COUNTIF('Elève (3ème2)'!RR14:RT14,"D"))*1))/(COUNTA(RR14:RT14)),"")</f>
        <v/>
      </c>
      <c r="RV14" s="162" t="str">
        <f t="shared" si="117"/>
        <v/>
      </c>
      <c r="RW14" s="103"/>
      <c r="RX14" s="104"/>
      <c r="RY14" s="105"/>
      <c r="RZ14" s="105"/>
      <c r="SA14" s="161" t="str">
        <f>IFERROR((((COUNTIF('Elève (3ème2)'!RW14:RZ14,"A"))*4)+((COUNTIF('Elève (3ème2)'!RW14:RZ14,"B"))*3)+((COUNTIF('Elève (3ème2)'!RW14:RZ14,"C"))*2)+((COUNTIF('Elève (3ème2)'!RW14:RZ14,"D"))*1))/(COUNTA(RW14:RZ14)),"")</f>
        <v/>
      </c>
      <c r="SB14" s="162" t="str">
        <f t="shared" si="118"/>
        <v/>
      </c>
      <c r="SC14" s="103"/>
      <c r="SD14" s="104"/>
      <c r="SE14" s="105"/>
      <c r="SF14" s="105"/>
      <c r="SG14" s="105" t="s">
        <v>29</v>
      </c>
      <c r="SH14" s="109"/>
      <c r="SI14" s="161">
        <f>IFERROR((((COUNTIF('Elève (3ème2)'!SC14:SH14,"A"))*4)+((COUNTIF('Elève (3ème2)'!SC14:SH14,"B"))*3)+((COUNTIF('Elève (3ème2)'!SC14:SH14,"C"))*2)+((COUNTIF('Elève (3ème2)'!SC14:SH14,"D"))*1))/(COUNTA(SC14:SH14)),"")</f>
        <v>2</v>
      </c>
      <c r="SJ14" s="162" t="str">
        <f t="shared" si="119"/>
        <v>C</v>
      </c>
      <c r="SK14" s="161">
        <f>IF(COUNT(RU14,SA14,SI14)=0,"",SUM(RU14,SA14,SI14)/COUNT(RU14,SA14,SI14))</f>
        <v>2</v>
      </c>
      <c r="SL14" s="186" t="str">
        <f t="shared" si="120"/>
        <v>C</v>
      </c>
      <c r="SM14" s="103"/>
      <c r="SN14" s="104"/>
      <c r="SO14" s="105"/>
      <c r="SP14" s="161" t="str">
        <f>IFERROR((((COUNTIF('Elève (3ème2)'!SM14:SO14,"A"))*4)+((COUNTIF('Elève (3ème2)'!SM14:SO14,"B"))*3)+((COUNTIF('Elève (3ème2)'!SM14:SO14,"C"))*2)+((COUNTIF('Elève (3ème2)'!SM14:SO14,"D"))*1))/(COUNTA(SM14:SO14)),"")</f>
        <v/>
      </c>
      <c r="SQ14" s="162" t="str">
        <f t="shared" si="121"/>
        <v/>
      </c>
      <c r="SR14" s="103"/>
      <c r="SS14" s="104"/>
      <c r="ST14" s="105"/>
      <c r="SU14" s="105"/>
      <c r="SV14" s="161" t="str">
        <f>IFERROR((((COUNTIF('Elève (3ème2)'!SR14:SU14,"A"))*4)+((COUNTIF('Elève (3ème2)'!SR14:SU14,"B"))*3)+((COUNTIF('Elève (3ème2)'!SR14:SU14,"C"))*2)+((COUNTIF('Elève (3ème2)'!SR14:SU14,"D"))*1))/(COUNTA(SR14:SU14)),"")</f>
        <v/>
      </c>
      <c r="SW14" s="162" t="str">
        <f t="shared" si="122"/>
        <v/>
      </c>
      <c r="SX14" s="103"/>
      <c r="SY14" s="104"/>
      <c r="SZ14" s="105"/>
      <c r="TA14" s="105"/>
      <c r="TB14" s="105" t="s">
        <v>28</v>
      </c>
      <c r="TC14" s="109"/>
      <c r="TD14" s="161">
        <f>IFERROR((((COUNTIF('Elève (3ème2)'!SX14:TC14,"A"))*4)+((COUNTIF('Elève (3ème2)'!SX14:TC14,"B"))*3)+((COUNTIF('Elève (3ème2)'!SX14:TC14,"C"))*2)+((COUNTIF('Elève (3ème2)'!SX14:TC14,"D"))*1))/(COUNTA(SX14:TC14)),"")</f>
        <v>3</v>
      </c>
      <c r="TE14" s="162" t="str">
        <f t="shared" si="123"/>
        <v>B</v>
      </c>
      <c r="TF14" s="161">
        <f>IF(COUNT(SP14,SV14,TD14)=0,"",SUM(SP14,SV14,TD14)/COUNT(SP14,SV14,TD14))</f>
        <v>3</v>
      </c>
      <c r="TG14" s="186" t="str">
        <f t="shared" si="124"/>
        <v>B</v>
      </c>
      <c r="TH14" s="103"/>
      <c r="TI14" s="104"/>
      <c r="TJ14" s="105"/>
      <c r="TK14" s="161" t="str">
        <f>IFERROR((((COUNTIF('Elève (3ème2)'!TH14:TJ14,"A"))*4)+((COUNTIF('Elève (3ème2)'!TH14:TJ14,"B"))*3)+((COUNTIF('Elève (3ème2)'!TH14:TJ14,"C"))*2)+((COUNTIF('Elève (3ème2)'!TH14:TJ14,"D"))*1))/(COUNTA(TH14:TJ14)),"")</f>
        <v/>
      </c>
      <c r="TL14" s="162" t="str">
        <f t="shared" si="125"/>
        <v/>
      </c>
      <c r="TM14" s="103"/>
      <c r="TN14" s="104"/>
      <c r="TO14" s="105"/>
      <c r="TP14" s="105"/>
      <c r="TQ14" s="161" t="str">
        <f>IFERROR((((COUNTIF('Elève (3ème2)'!TM14:TP14,"A"))*4)+((COUNTIF('Elève (3ème2)'!TM14:TP14,"B"))*3)+((COUNTIF('Elève (3ème2)'!TM14:TP14,"C"))*2)+((COUNTIF('Elève (3ème2)'!TM14:TP14,"D"))*1))/(COUNTA(TM14:TP14)),"")</f>
        <v/>
      </c>
      <c r="TR14" s="162" t="str">
        <f t="shared" si="126"/>
        <v/>
      </c>
      <c r="TS14" s="103"/>
      <c r="TT14" s="104"/>
      <c r="TU14" s="105"/>
      <c r="TV14" s="105"/>
      <c r="TW14" s="105" t="s">
        <v>30</v>
      </c>
      <c r="TX14" s="109"/>
      <c r="TY14" s="161">
        <f>IFERROR((((COUNTIF('Elève (3ème2)'!TS14:TX14,"A"))*4)+((COUNTIF('Elève (3ème2)'!TS14:TX14,"B"))*3)+((COUNTIF('Elève (3ème2)'!TS14:TX14,"C"))*2)+((COUNTIF('Elève (3ème2)'!TS14:TX14,"D"))*1))/(COUNTA(TS14:TX14)),"")</f>
        <v>1</v>
      </c>
      <c r="TZ14" s="162" t="str">
        <f t="shared" si="127"/>
        <v>D</v>
      </c>
      <c r="UA14" s="161">
        <f>IF(COUNT(TK14,TQ14,TY14)=0,"",SUM(TK14,TQ14,TY14)/COUNT(TK14,TQ14,TY14))</f>
        <v>1</v>
      </c>
      <c r="UB14" s="186" t="str">
        <f t="shared" si="128"/>
        <v>D</v>
      </c>
      <c r="UC14" s="103"/>
      <c r="UD14" s="104"/>
      <c r="UE14" s="105"/>
      <c r="UF14" s="99" t="str">
        <f>IFERROR((((COUNTIF('Elève (3ème2)'!UC14:UE14,"A"))*4)+((COUNTIF('Elève (3ème2)'!UC14:UE14,"B"))*3)+((COUNTIF('Elève (3ème2)'!UC14:UE14,"C"))*2)+((COUNTIF('Elève (3ème2)'!UC14:UE14,"D"))*1))/(COUNTA(UC14:UE14)),"")</f>
        <v/>
      </c>
      <c r="UG14" s="100" t="str">
        <f t="shared" si="129"/>
        <v/>
      </c>
      <c r="UH14" s="103"/>
      <c r="UI14" s="104"/>
      <c r="UJ14" s="105"/>
      <c r="UK14" s="99" t="str">
        <f>IFERROR((((COUNTIF('Elève (3ème2)'!UH14:UJ14,"A"))*4)+((COUNTIF('Elève (3ème2)'!UH14:UJ14,"B"))*3)+((COUNTIF('Elève (3ème2)'!UH14:UJ14,"C"))*2)+((COUNTIF('Elève (3ème2)'!UH14:UJ14,"D"))*1))/(COUNTA(UH14:UJ14)),"")</f>
        <v/>
      </c>
      <c r="UL14" s="100" t="str">
        <f t="shared" si="130"/>
        <v/>
      </c>
      <c r="UM14" s="103"/>
      <c r="UN14" s="104"/>
      <c r="UO14" s="109"/>
      <c r="UP14" s="99" t="str">
        <f>IFERROR((((COUNTIF('Elève (3ème2)'!UM14:UO14,"A"))*4)+((COUNTIF('Elève (3ème2)'!UM14:UO14,"B"))*3)+((COUNTIF('Elève (3ème2)'!UM14:UO14,"C"))*2)+((COUNTIF('Elève (3ème2)'!UM14:UO14,"D"))*1))/(COUNTA(UM14:UO14)),"")</f>
        <v/>
      </c>
      <c r="UQ14" s="100" t="str">
        <f t="shared" si="131"/>
        <v/>
      </c>
      <c r="UR14" s="99" t="str">
        <f>IF(COUNT(UF14,UK14,UP14)=0,"",SUM(UF14,UK14,UP14)/COUNT(UF14,UK14,UP14))</f>
        <v/>
      </c>
      <c r="US14" s="101" t="str">
        <f t="shared" si="132"/>
        <v/>
      </c>
      <c r="UT14" s="103"/>
      <c r="UU14" s="104"/>
      <c r="UV14" s="105"/>
      <c r="UW14" s="99" t="str">
        <f>IFERROR((((COUNTIF('Elève (3ème2)'!UT14:UV14,"A"))*4)+((COUNTIF('Elève (3ème2)'!UT14:UV14,"B"))*3)+((COUNTIF('Elève (3ème2)'!UT14:UV14,"C"))*2)+((COUNTIF('Elève (3ème2)'!UT14:UV14,"D"))*1))/(COUNTA(UT14:UV14)),"")</f>
        <v/>
      </c>
      <c r="UX14" s="100" t="str">
        <f t="shared" si="133"/>
        <v/>
      </c>
      <c r="UY14" s="103"/>
      <c r="UZ14" s="104"/>
      <c r="VA14" s="105"/>
      <c r="VB14" s="99" t="str">
        <f>IFERROR((((COUNTIF('Elève (3ème2)'!UY14:VA14,"A"))*4)+((COUNTIF('Elève (3ème2)'!UY14:VA14,"B"))*3)+((COUNTIF('Elève (3ème2)'!UY14:VA14,"C"))*2)+((COUNTIF('Elève (3ème2)'!UY14:VA14,"D"))*1))/(COUNTA(UY14:VA14)),"")</f>
        <v/>
      </c>
      <c r="VC14" s="100" t="str">
        <f t="shared" si="134"/>
        <v/>
      </c>
      <c r="VD14" s="103"/>
      <c r="VE14" s="104"/>
      <c r="VF14" s="109"/>
      <c r="VG14" s="99" t="str">
        <f>IFERROR((((COUNTIF('Elève (3ème2)'!VD14:VF14,"A"))*4)+((COUNTIF('Elève (3ème2)'!VD14:VF14,"B"))*3)+((COUNTIF('Elève (3ème2)'!VD14:VF14,"C"))*2)+((COUNTIF('Elève (3ème2)'!VD14:VF14,"D"))*1))/(COUNTA(VD14:VF14)),"")</f>
        <v/>
      </c>
      <c r="VH14" s="100" t="str">
        <f t="shared" si="135"/>
        <v/>
      </c>
      <c r="VI14" s="99" t="str">
        <f>IF(COUNT(UW14,VB14,VG14)=0,"",SUM(UW14,VB14,VG14)/COUNT(UW14,VB14,VG14))</f>
        <v/>
      </c>
      <c r="VJ14" s="101" t="str">
        <f t="shared" si="136"/>
        <v/>
      </c>
      <c r="VK14" s="103"/>
      <c r="VL14" s="104"/>
      <c r="VM14" s="105"/>
      <c r="VN14" s="99" t="str">
        <f>IFERROR((((COUNTIF('Elève (3ème2)'!VK14:VM14,"A"))*4)+((COUNTIF('Elève (3ème2)'!VK14:VM14,"B"))*3)+((COUNTIF('Elève (3ème2)'!VK14:VM14,"C"))*2)+((COUNTIF('Elève (3ème2)'!VK14:VM14,"D"))*1))/(COUNTA(VK14:VM14)),"")</f>
        <v/>
      </c>
      <c r="VO14" s="100" t="str">
        <f t="shared" si="137"/>
        <v/>
      </c>
      <c r="VP14" s="103"/>
      <c r="VQ14" s="104"/>
      <c r="VR14" s="105"/>
      <c r="VS14" s="99" t="str">
        <f>IFERROR((((COUNTIF('Elève (3ème2)'!VP14:VR14,"A"))*4)+((COUNTIF('Elève (3ème2)'!VP14:VR14,"B"))*3)+((COUNTIF('Elève (3ème2)'!VP14:VR14,"C"))*2)+((COUNTIF('Elève (3ème2)'!VP14:VR14,"D"))*1))/(COUNTA(VP14:VR14)),"")</f>
        <v/>
      </c>
      <c r="VT14" s="100" t="str">
        <f t="shared" si="138"/>
        <v/>
      </c>
      <c r="VU14" s="103"/>
      <c r="VV14" s="104"/>
      <c r="VW14" s="109"/>
      <c r="VX14" s="99" t="str">
        <f>IFERROR((((COUNTIF('Elève (3ème2)'!VU14:VW14,"A"))*4)+((COUNTIF('Elève (3ème2)'!VU14:VW14,"B"))*3)+((COUNTIF('Elève (3ème2)'!VU14:VW14,"C"))*2)+((COUNTIF('Elève (3ème2)'!VU14:VW14,"D"))*1))/(COUNTA(VU14:VW14)),"")</f>
        <v/>
      </c>
      <c r="VY14" s="100" t="str">
        <f t="shared" si="139"/>
        <v/>
      </c>
      <c r="VZ14" s="99" t="str">
        <f>IF(COUNT(VN14,VS14,VX14)=0,"",SUM(VN14,VS14,VX14)/COUNT(VN14,VS14,VX14))</f>
        <v/>
      </c>
      <c r="WA14" s="101" t="str">
        <f t="shared" si="140"/>
        <v/>
      </c>
      <c r="WB14" s="103"/>
      <c r="WC14" s="104"/>
      <c r="WD14" s="105"/>
      <c r="WE14" s="99" t="str">
        <f>IFERROR((((COUNTIF('Elève (3ème2)'!WB14:WD14,"A"))*4)+((COUNTIF('Elève (3ème2)'!WB14:WD14,"B"))*3)+((COUNTIF('Elève (3ème2)'!WB14:WD14,"C"))*2)+((COUNTIF('Elève (3ème2)'!WB14:WD14,"D"))*1))/(COUNTA(WB14:WD14)),"")</f>
        <v/>
      </c>
      <c r="WF14" s="100" t="str">
        <f t="shared" si="141"/>
        <v/>
      </c>
      <c r="WG14" s="103"/>
      <c r="WH14" s="104"/>
      <c r="WI14" s="105"/>
      <c r="WJ14" s="99" t="str">
        <f>IFERROR((((COUNTIF('Elève (3ème2)'!WG14:WI14,"A"))*4)+((COUNTIF('Elève (3ème2)'!WG14:WI14,"B"))*3)+((COUNTIF('Elève (3ème2)'!WG14:WI14,"C"))*2)+((COUNTIF('Elève (3ème2)'!WG14:WI14,"D"))*1))/(COUNTA(WG14:WI14)),"")</f>
        <v/>
      </c>
      <c r="WK14" s="100" t="str">
        <f t="shared" si="142"/>
        <v/>
      </c>
      <c r="WL14" s="103"/>
      <c r="WM14" s="104"/>
      <c r="WN14" s="109"/>
      <c r="WO14" s="99" t="str">
        <f>IFERROR((((COUNTIF('Elève (3ème2)'!WL14:WN14,"A"))*4)+((COUNTIF('Elève (3ème2)'!WL14:WN14,"B"))*3)+((COUNTIF('Elève (3ème2)'!WL14:WN14,"C"))*2)+((COUNTIF('Elève (3ème2)'!WL14:WN14,"D"))*1))/(COUNTA(WL14:WN14)),"")</f>
        <v/>
      </c>
      <c r="WP14" s="100" t="str">
        <f t="shared" si="143"/>
        <v/>
      </c>
      <c r="WQ14" s="99" t="str">
        <f>IF(COUNT(WE14,WJ14,WO14)=0,"",SUM(WE14,WJ14,WO14)/COUNT(WE14,WJ14,WO14))</f>
        <v/>
      </c>
      <c r="WR14" s="101" t="str">
        <f t="shared" si="144"/>
        <v/>
      </c>
    </row>
    <row r="15" spans="1:616" ht="18" customHeight="1" thickBot="1" x14ac:dyDescent="0.6">
      <c r="A15" s="215" t="s">
        <v>37</v>
      </c>
      <c r="B15" s="216"/>
      <c r="C15" s="110"/>
      <c r="D15" s="111"/>
      <c r="E15" s="112"/>
      <c r="F15" s="165" t="str">
        <f>IFERROR((((COUNTIF('Elève (3ème2)'!C15:E15,"A"))*4)+((COUNTIF('Elève (3ème2)'!C15:E15,"B"))*3)+((COUNTIF('Elève (3ème2)'!C15:E15,"C"))*2)+((COUNTIF('Elève (3ème2)'!C15:E15,"D"))*1))/(COUNTA(C15:E15)),"")</f>
        <v/>
      </c>
      <c r="G15" s="166" t="str">
        <f t="shared" si="25"/>
        <v/>
      </c>
      <c r="H15" s="110"/>
      <c r="I15" s="111"/>
      <c r="J15" s="112"/>
      <c r="K15" s="112"/>
      <c r="L15" s="165" t="str">
        <f>IFERROR((((COUNTIF('Elève (3ème2)'!H15:K15,"A"))*4)+((COUNTIF('Elève (3ème2)'!H15:K15,"B"))*3)+((COUNTIF('Elève (3ème2)'!H15:K15,"C"))*2)+((COUNTIF('Elève (3ème2)'!H15:K15,"D"))*1))/(COUNTA(H15:K15)),"")</f>
        <v/>
      </c>
      <c r="M15" s="166" t="str">
        <f t="shared" si="26"/>
        <v/>
      </c>
      <c r="N15" s="110"/>
      <c r="O15" s="111"/>
      <c r="P15" s="112"/>
      <c r="Q15" s="112"/>
      <c r="R15" s="112"/>
      <c r="S15" s="112"/>
      <c r="T15" s="165" t="str">
        <f>IFERROR((((COUNTIF('Elève (3ème2)'!N15:S15,"A"))*4)+((COUNTIF('Elève (3ème2)'!N15:S15,"B"))*3)+((COUNTIF('Elève (3ème2)'!N15:S15,"C"))*2)+((COUNTIF('Elève (3ème2)'!N15:S15,"D"))*1))/(COUNTA(N15:S15)),"")</f>
        <v/>
      </c>
      <c r="U15" s="166" t="str">
        <f t="shared" si="27"/>
        <v/>
      </c>
      <c r="V15" s="190" t="str">
        <f>IF(COUNT(F15,L15,T15)=0,"",SUM(F15,L15,T15)/COUNT(F15,L15,T15))</f>
        <v/>
      </c>
      <c r="W15" s="188" t="str">
        <f t="shared" si="28"/>
        <v/>
      </c>
      <c r="X15" s="110"/>
      <c r="Y15" s="111"/>
      <c r="Z15" s="112"/>
      <c r="AA15" s="165" t="str">
        <f>IFERROR((((COUNTIF('Elève (3ème2)'!X15:Z15,"A"))*4)+((COUNTIF('Elève (3ème2)'!X15:Z15,"B"))*3)+((COUNTIF('Elève (3ème2)'!X15:Z15,"C"))*2)+((COUNTIF('Elève (3ème2)'!X15:Z15,"D"))*1))/(COUNTA(X15:Z15)),"")</f>
        <v/>
      </c>
      <c r="AB15" s="166" t="str">
        <f t="shared" si="29"/>
        <v/>
      </c>
      <c r="AC15" s="110"/>
      <c r="AD15" s="111"/>
      <c r="AE15" s="112"/>
      <c r="AF15" s="112"/>
      <c r="AG15" s="165" t="str">
        <f>IFERROR((((COUNTIF('Elève (3ème2)'!AC15:AF15,"A"))*4)+((COUNTIF('Elève (3ème2)'!AC15:AF15,"B"))*3)+((COUNTIF('Elève (3ème2)'!AC15:AF15,"C"))*2)+((COUNTIF('Elève (3ème2)'!AC15:AF15,"D"))*1))/(COUNTA(AC15:AF15)),"")</f>
        <v/>
      </c>
      <c r="AH15" s="166" t="str">
        <f t="shared" si="30"/>
        <v/>
      </c>
      <c r="AI15" s="110"/>
      <c r="AJ15" s="111"/>
      <c r="AK15" s="112"/>
      <c r="AL15" s="112" t="s">
        <v>27</v>
      </c>
      <c r="AM15" s="112"/>
      <c r="AN15" s="116"/>
      <c r="AO15" s="165">
        <f>IFERROR((((COUNTIF('Elève (3ème2)'!AI15:AN15,"A"))*4)+((COUNTIF('Elève (3ème2)'!AI15:AN15,"B"))*3)+((COUNTIF('Elève (3ème2)'!AI15:AN15,"C"))*2)+((COUNTIF('Elève (3ème2)'!AI15:AN15,"D"))*1))/(COUNTA(AI15:AN15)),"")</f>
        <v>4</v>
      </c>
      <c r="AP15" s="166" t="str">
        <f t="shared" si="31"/>
        <v>A</v>
      </c>
      <c r="AQ15" s="190">
        <f>IF(COUNT(AA15,AG15,AO15)=0,"",SUM(AA15,AG15,AO15)/COUNT(AA15,AG15,AO15))</f>
        <v>4</v>
      </c>
      <c r="AR15" s="188" t="str">
        <f t="shared" si="32"/>
        <v>A</v>
      </c>
      <c r="AS15" s="110"/>
      <c r="AT15" s="111"/>
      <c r="AU15" s="112"/>
      <c r="AV15" s="165" t="str">
        <f>IFERROR((((COUNTIF('Elève (3ème2)'!AS15:AU15,"A"))*4)+((COUNTIF('Elève (3ème2)'!AS15:AU15,"B"))*3)+((COUNTIF('Elève (3ème2)'!AS15:AU15,"C"))*2)+((COUNTIF('Elève (3ème2)'!AS15:AU15,"D"))*1))/(COUNTA(AS15:AU15)),"")</f>
        <v/>
      </c>
      <c r="AW15" s="166" t="str">
        <f t="shared" si="33"/>
        <v/>
      </c>
      <c r="AX15" s="110"/>
      <c r="AY15" s="111"/>
      <c r="AZ15" s="112"/>
      <c r="BA15" s="112"/>
      <c r="BB15" s="165" t="str">
        <f>IFERROR((((COUNTIF('Elève (3ème2)'!AX15:BA15,"A"))*4)+((COUNTIF('Elève (3ème2)'!AX15:BA15,"B"))*3)+((COUNTIF('Elève (3ème2)'!AX15:BA15,"C"))*2)+((COUNTIF('Elève (3ème2)'!AX15:BA15,"D"))*1))/(COUNTA(AX15:BA15)),"")</f>
        <v/>
      </c>
      <c r="BC15" s="166" t="str">
        <f t="shared" si="34"/>
        <v/>
      </c>
      <c r="BD15" s="110"/>
      <c r="BE15" s="111"/>
      <c r="BF15" s="112" t="s">
        <v>27</v>
      </c>
      <c r="BG15" s="112" t="s">
        <v>27</v>
      </c>
      <c r="BH15" s="112"/>
      <c r="BI15" s="116"/>
      <c r="BJ15" s="165">
        <f>IFERROR((((COUNTIF('Elève (3ème2)'!BD15:BI15,"A"))*4)+((COUNTIF('Elève (3ème2)'!BD15:BI15,"B"))*3)+((COUNTIF('Elève (3ème2)'!BD15:BI15,"C"))*2)+((COUNTIF('Elève (3ème2)'!BD15:BI15,"D"))*1))/(COUNTA(BD15:BI15)),"")</f>
        <v>4</v>
      </c>
      <c r="BK15" s="166" t="str">
        <f t="shared" si="35"/>
        <v>A</v>
      </c>
      <c r="BL15" s="190">
        <f>IF(COUNT(AV15,BB15,BJ15)=0,"",SUM(AV15,BB15,BJ15)/COUNT(AV15,BB15,BJ15))</f>
        <v>4</v>
      </c>
      <c r="BM15" s="188" t="str">
        <f t="shared" si="36"/>
        <v>A</v>
      </c>
      <c r="BN15" s="110"/>
      <c r="BO15" s="111"/>
      <c r="BP15" s="112"/>
      <c r="BQ15" s="165" t="str">
        <f>IFERROR((((COUNTIF('Elève (3ème2)'!BN15:BP15,"A"))*4)+((COUNTIF('Elève (3ème2)'!BN15:BP15,"B"))*3)+((COUNTIF('Elève (3ème2)'!BN15:BP15,"C"))*2)+((COUNTIF('Elève (3ème2)'!BN15:BP15,"D"))*1))/(COUNTA(BN15:BP15)),"")</f>
        <v/>
      </c>
      <c r="BR15" s="166" t="str">
        <f t="shared" si="37"/>
        <v/>
      </c>
      <c r="BS15" s="110"/>
      <c r="BT15" s="111"/>
      <c r="BU15" s="112"/>
      <c r="BV15" s="112"/>
      <c r="BW15" s="165" t="str">
        <f>IFERROR((((COUNTIF('Elève (3ème2)'!BS15:BV15,"A"))*4)+((COUNTIF('Elève (3ème2)'!BS15:BV15,"B"))*3)+((COUNTIF('Elève (3ème2)'!BS15:BV15,"C"))*2)+((COUNTIF('Elève (3ème2)'!BS15:BV15,"D"))*1))/(COUNTA(BS15:BV15)),"")</f>
        <v/>
      </c>
      <c r="BX15" s="166" t="str">
        <f t="shared" si="38"/>
        <v/>
      </c>
      <c r="BY15" s="110"/>
      <c r="BZ15" s="111"/>
      <c r="CA15" s="112" t="s">
        <v>27</v>
      </c>
      <c r="CB15" s="112" t="s">
        <v>27</v>
      </c>
      <c r="CC15" s="112"/>
      <c r="CD15" s="116"/>
      <c r="CE15" s="165">
        <f>IFERROR((((COUNTIF('Elève (3ème2)'!BY15:CD15,"A"))*4)+((COUNTIF('Elève (3ème2)'!BY15:CD15,"B"))*3)+((COUNTIF('Elève (3ème2)'!BY15:CD15,"C"))*2)+((COUNTIF('Elève (3ème2)'!BY15:CD15,"D"))*1))/(COUNTA(BY15:CD15)),"")</f>
        <v>4</v>
      </c>
      <c r="CF15" s="166" t="str">
        <f t="shared" si="39"/>
        <v>A</v>
      </c>
      <c r="CG15" s="190">
        <f>IF(COUNT(BQ15,BW15,CE15)=0,"",SUM(BQ15,BW15,CE15)/COUNT(BQ15,BW15,CE15))</f>
        <v>4</v>
      </c>
      <c r="CH15" s="188" t="str">
        <f t="shared" si="40"/>
        <v>A</v>
      </c>
      <c r="CI15" s="110"/>
      <c r="CJ15" s="111"/>
      <c r="CK15" s="112"/>
      <c r="CL15" s="165" t="str">
        <f>IFERROR((((COUNTIF('Elève (3ème2)'!CI15:CK15,"A"))*4)+((COUNTIF('Elève (3ème2)'!CI15:CK15,"B"))*3)+((COUNTIF('Elève (3ème2)'!CI15:CK15,"C"))*2)+((COUNTIF('Elève (3ème2)'!CI15:CK15,"D"))*1))/(COUNTA(CI15:CK15)),"")</f>
        <v/>
      </c>
      <c r="CM15" s="166" t="str">
        <f t="shared" si="41"/>
        <v/>
      </c>
      <c r="CN15" s="110"/>
      <c r="CO15" s="111"/>
      <c r="CP15" s="112"/>
      <c r="CQ15" s="112"/>
      <c r="CR15" s="165" t="str">
        <f>IFERROR((((COUNTIF('Elève (3ème2)'!CN15:CQ15,"A"))*4)+((COUNTIF('Elève (3ème2)'!CN15:CQ15,"B"))*3)+((COUNTIF('Elève (3ème2)'!CN15:CQ15,"C"))*2)+((COUNTIF('Elève (3ème2)'!CN15:CQ15,"D"))*1))/(COUNTA(CN15:CQ15)),"")</f>
        <v/>
      </c>
      <c r="CS15" s="166" t="str">
        <f t="shared" si="42"/>
        <v/>
      </c>
      <c r="CT15" s="110"/>
      <c r="CU15" s="111"/>
      <c r="CV15" s="112" t="s">
        <v>27</v>
      </c>
      <c r="CW15" s="112" t="s">
        <v>27</v>
      </c>
      <c r="CX15" s="112"/>
      <c r="CY15" s="116"/>
      <c r="CZ15" s="165">
        <f>IFERROR((((COUNTIF('Elève (3ème2)'!CT15:CY15,"A"))*4)+((COUNTIF('Elève (3ème2)'!CT15:CY15,"B"))*3)+((COUNTIF('Elève (3ème2)'!CT15:CY15,"C"))*2)+((COUNTIF('Elève (3ème2)'!CT15:CY15,"D"))*1))/(COUNTA(CT15:CY15)),"")</f>
        <v>4</v>
      </c>
      <c r="DA15" s="166" t="str">
        <f t="shared" si="43"/>
        <v>A</v>
      </c>
      <c r="DB15" s="190">
        <f>IF(COUNT(CL15,CR15,CZ15)=0,"",SUM(CL15,CR15,CZ15)/COUNT(CL15,CR15,CZ15))</f>
        <v>4</v>
      </c>
      <c r="DC15" s="188" t="str">
        <f t="shared" si="44"/>
        <v>A</v>
      </c>
      <c r="DD15" s="110"/>
      <c r="DE15" s="111"/>
      <c r="DF15" s="112"/>
      <c r="DG15" s="165" t="str">
        <f>IFERROR((((COUNTIF('Elève (3ème2)'!DD15:DF15,"A"))*4)+((COUNTIF('Elève (3ème2)'!DD15:DF15,"B"))*3)+((COUNTIF('Elève (3ème2)'!DD15:DF15,"C"))*2)+((COUNTIF('Elève (3ème2)'!DD15:DF15,"D"))*1))/(COUNTA(DD15:DF15)),"")</f>
        <v/>
      </c>
      <c r="DH15" s="166" t="str">
        <f t="shared" si="45"/>
        <v/>
      </c>
      <c r="DI15" s="110"/>
      <c r="DJ15" s="111"/>
      <c r="DK15" s="112"/>
      <c r="DL15" s="112"/>
      <c r="DM15" s="165" t="str">
        <f>IFERROR((((COUNTIF('Elève (3ème2)'!DI15:DL15,"A"))*4)+((COUNTIF('Elève (3ème2)'!DI15:DL15,"B"))*3)+((COUNTIF('Elève (3ème2)'!DI15:DL15,"C"))*2)+((COUNTIF('Elève (3ème2)'!DI15:DL15,"D"))*1))/(COUNTA(DI15:DL15)),"")</f>
        <v/>
      </c>
      <c r="DN15" s="166" t="str">
        <f t="shared" si="46"/>
        <v/>
      </c>
      <c r="DO15" s="110"/>
      <c r="DP15" s="111"/>
      <c r="DQ15" s="112"/>
      <c r="DR15" s="112" t="s">
        <v>27</v>
      </c>
      <c r="DS15" s="112"/>
      <c r="DT15" s="116"/>
      <c r="DU15" s="165">
        <f>IFERROR((((COUNTIF('Elève (3ème2)'!DO15:DT15,"A"))*4)+((COUNTIF('Elève (3ème2)'!DO15:DT15,"B"))*3)+((COUNTIF('Elève (3ème2)'!DO15:DT15,"C"))*2)+((COUNTIF('Elève (3ème2)'!DO15:DT15,"D"))*1))/(COUNTA(DO15:DT15)),"")</f>
        <v>4</v>
      </c>
      <c r="DV15" s="166" t="str">
        <f t="shared" si="47"/>
        <v>A</v>
      </c>
      <c r="DW15" s="190">
        <f>IF(COUNT(DG15,DM15,DU15)=0,"",SUM(DG15,DM15,DU15)/COUNT(DG15,DM15,DU15))</f>
        <v>4</v>
      </c>
      <c r="DX15" s="188" t="str">
        <f t="shared" si="48"/>
        <v>A</v>
      </c>
      <c r="DY15" s="110"/>
      <c r="DZ15" s="111"/>
      <c r="EA15" s="112"/>
      <c r="EB15" s="165" t="str">
        <f>IFERROR((((COUNTIF('Elève (3ème2)'!DY15:EA15,"A"))*4)+((COUNTIF('Elève (3ème2)'!DY15:EA15,"B"))*3)+((COUNTIF('Elève (3ème2)'!DY15:EA15,"C"))*2)+((COUNTIF('Elève (3ème2)'!DY15:EA15,"D"))*1))/(COUNTA(DY15:EA15)),"")</f>
        <v/>
      </c>
      <c r="EC15" s="166" t="str">
        <f t="shared" si="49"/>
        <v/>
      </c>
      <c r="ED15" s="110"/>
      <c r="EE15" s="111"/>
      <c r="EF15" s="112"/>
      <c r="EG15" s="112"/>
      <c r="EH15" s="165" t="str">
        <f>IFERROR((((COUNTIF('Elève (3ème2)'!ED15:EG15,"A"))*4)+((COUNTIF('Elève (3ème2)'!ED15:EG15,"B"))*3)+((COUNTIF('Elève (3ème2)'!ED15:EG15,"C"))*2)+((COUNTIF('Elève (3ème2)'!ED15:EG15,"D"))*1))/(COUNTA(ED15:EG15)),"")</f>
        <v/>
      </c>
      <c r="EI15" s="166" t="str">
        <f t="shared" si="50"/>
        <v/>
      </c>
      <c r="EJ15" s="110"/>
      <c r="EK15" s="111"/>
      <c r="EL15" s="112" t="s">
        <v>27</v>
      </c>
      <c r="EM15" s="112" t="s">
        <v>27</v>
      </c>
      <c r="EN15" s="112"/>
      <c r="EO15" s="116"/>
      <c r="EP15" s="165">
        <f>IFERROR((((COUNTIF('Elève (3ème2)'!EJ15:EO15,"A"))*4)+((COUNTIF('Elève (3ème2)'!EJ15:EO15,"B"))*3)+((COUNTIF('Elève (3ème2)'!EJ15:EO15,"C"))*2)+((COUNTIF('Elève (3ème2)'!EJ15:EO15,"D"))*1))/(COUNTA(EJ15:EO15)),"")</f>
        <v>4</v>
      </c>
      <c r="EQ15" s="166" t="str">
        <f t="shared" si="51"/>
        <v>A</v>
      </c>
      <c r="ER15" s="190">
        <f>IF(COUNT(EB15,EH15,EP15)=0,"",SUM(EB15,EH15,EP15)/COUNT(EB15,EH15,EP15))</f>
        <v>4</v>
      </c>
      <c r="ES15" s="188" t="str">
        <f t="shared" si="52"/>
        <v>A</v>
      </c>
      <c r="ET15" s="110"/>
      <c r="EU15" s="111"/>
      <c r="EV15" s="112"/>
      <c r="EW15" s="165" t="str">
        <f>IFERROR((((COUNTIF('Elève (3ème2)'!ET15:EV15,"A"))*4)+((COUNTIF('Elève (3ème2)'!ET15:EV15,"B"))*3)+((COUNTIF('Elève (3ème2)'!ET15:EV15,"C"))*2)+((COUNTIF('Elève (3ème2)'!ET15:EV15,"D"))*1))/(COUNTA(ET15:EV15)),"")</f>
        <v/>
      </c>
      <c r="EX15" s="166" t="str">
        <f t="shared" si="53"/>
        <v/>
      </c>
      <c r="EY15" s="110"/>
      <c r="EZ15" s="111"/>
      <c r="FA15" s="112"/>
      <c r="FB15" s="112"/>
      <c r="FC15" s="165" t="str">
        <f>IFERROR((((COUNTIF('Elève (3ème2)'!EY15:FB15,"A"))*4)+((COUNTIF('Elève (3ème2)'!EY15:FB15,"B"))*3)+((COUNTIF('Elève (3ème2)'!EY15:FB15,"C"))*2)+((COUNTIF('Elève (3ème2)'!EY15:FB15,"D"))*1))/(COUNTA(EY15:FB15)),"")</f>
        <v/>
      </c>
      <c r="FD15" s="166" t="str">
        <f t="shared" si="54"/>
        <v/>
      </c>
      <c r="FE15" s="110"/>
      <c r="FF15" s="111"/>
      <c r="FG15" s="112" t="s">
        <v>28</v>
      </c>
      <c r="FH15" s="112" t="s">
        <v>27</v>
      </c>
      <c r="FI15" s="112"/>
      <c r="FJ15" s="116"/>
      <c r="FK15" s="165">
        <f>IFERROR((((COUNTIF('Elève (3ème2)'!FE15:FJ15,"A"))*4)+((COUNTIF('Elève (3ème2)'!FE15:FJ15,"B"))*3)+((COUNTIF('Elève (3ème2)'!FE15:FJ15,"C"))*2)+((COUNTIF('Elève (3ème2)'!FE15:FJ15,"D"))*1))/(COUNTA(FE15:FJ15)),"")</f>
        <v>3.5</v>
      </c>
      <c r="FL15" s="166" t="str">
        <f t="shared" si="55"/>
        <v>B</v>
      </c>
      <c r="FM15" s="190">
        <f>IF(COUNT(EW15,FC15,FK15)=0,"",SUM(EW15,FC15,FK15)/COUNT(EW15,FC15,FK15))</f>
        <v>3.5</v>
      </c>
      <c r="FN15" s="188" t="str">
        <f t="shared" si="56"/>
        <v>B</v>
      </c>
      <c r="FO15" s="110"/>
      <c r="FP15" s="111"/>
      <c r="FQ15" s="112"/>
      <c r="FR15" s="165" t="str">
        <f>IFERROR((((COUNTIF('Elève (3ème2)'!FO15:FQ15,"A"))*4)+((COUNTIF('Elève (3ème2)'!FO15:FQ15,"B"))*3)+((COUNTIF('Elève (3ème2)'!FO15:FQ15,"C"))*2)+((COUNTIF('Elève (3ème2)'!FO15:FQ15,"D"))*1))/(COUNTA(FO15:FQ15)),"")</f>
        <v/>
      </c>
      <c r="FS15" s="166" t="str">
        <f t="shared" si="57"/>
        <v/>
      </c>
      <c r="FT15" s="110"/>
      <c r="FU15" s="111"/>
      <c r="FV15" s="112"/>
      <c r="FW15" s="112"/>
      <c r="FX15" s="165" t="str">
        <f>IFERROR((((COUNTIF('Elève (3ème2)'!FT15:FW15,"A"))*4)+((COUNTIF('Elève (3ème2)'!FT15:FW15,"B"))*3)+((COUNTIF('Elève (3ème2)'!FT15:FW15,"C"))*2)+((COUNTIF('Elève (3ème2)'!FT15:FW15,"D"))*1))/(COUNTA(FT15:FW15)),"")</f>
        <v/>
      </c>
      <c r="FY15" s="166" t="str">
        <f t="shared" si="58"/>
        <v/>
      </c>
      <c r="FZ15" s="110"/>
      <c r="GA15" s="111"/>
      <c r="GB15" s="112" t="s">
        <v>27</v>
      </c>
      <c r="GC15" s="112"/>
      <c r="GD15" s="112"/>
      <c r="GE15" s="116"/>
      <c r="GF15" s="165">
        <f>IFERROR((((COUNTIF('Elève (3ème2)'!FZ15:GE15,"A"))*4)+((COUNTIF('Elève (3ème2)'!FZ15:GE15,"B"))*3)+((COUNTIF('Elève (3ème2)'!FZ15:GE15,"C"))*2)+((COUNTIF('Elève (3ème2)'!FZ15:GE15,"D"))*1))/(COUNTA(FZ15:GE15)),"")</f>
        <v>4</v>
      </c>
      <c r="GG15" s="166" t="str">
        <f t="shared" si="59"/>
        <v>A</v>
      </c>
      <c r="GH15" s="190">
        <f>IF(COUNT(FR15,FX15,GF15)=0,"",SUM(FR15,FX15,GF15)/COUNT(FR15,FX15,GF15))</f>
        <v>4</v>
      </c>
      <c r="GI15" s="188" t="str">
        <f t="shared" si="60"/>
        <v>A</v>
      </c>
      <c r="GJ15" s="110"/>
      <c r="GK15" s="111"/>
      <c r="GL15" s="112"/>
      <c r="GM15" s="165" t="str">
        <f>IFERROR((((COUNTIF('Elève (3ème2)'!GJ15:GL15,"A"))*4)+((COUNTIF('Elève (3ème2)'!GJ15:GL15,"B"))*3)+((COUNTIF('Elève (3ème2)'!GJ15:GL15,"C"))*2)+((COUNTIF('Elève (3ème2)'!GJ15:GL15,"D"))*1))/(COUNTA(GJ15:GL15)),"")</f>
        <v/>
      </c>
      <c r="GN15" s="166" t="str">
        <f t="shared" si="61"/>
        <v/>
      </c>
      <c r="GO15" s="110"/>
      <c r="GP15" s="111"/>
      <c r="GQ15" s="112"/>
      <c r="GR15" s="112"/>
      <c r="GS15" s="165" t="str">
        <f>IFERROR((((COUNTIF('Elève (3ème2)'!GO15:GR15,"A"))*4)+((COUNTIF('Elève (3ème2)'!GO15:GR15,"B"))*3)+((COUNTIF('Elève (3ème2)'!GO15:GR15,"C"))*2)+((COUNTIF('Elève (3ème2)'!GO15:GR15,"D"))*1))/(COUNTA(GO15:GR15)),"")</f>
        <v/>
      </c>
      <c r="GT15" s="166" t="str">
        <f t="shared" si="62"/>
        <v/>
      </c>
      <c r="GU15" s="110"/>
      <c r="GV15" s="111"/>
      <c r="GW15" s="112" t="s">
        <v>27</v>
      </c>
      <c r="GX15" s="112" t="s">
        <v>27</v>
      </c>
      <c r="GY15" s="112"/>
      <c r="GZ15" s="116"/>
      <c r="HA15" s="165">
        <f>IFERROR((((COUNTIF('Elève (3ème2)'!GU15:GZ15,"A"))*4)+((COUNTIF('Elève (3ème2)'!GU15:GZ15,"B"))*3)+((COUNTIF('Elève (3ème2)'!GU15:GZ15,"C"))*2)+((COUNTIF('Elève (3ème2)'!GU15:GZ15,"D"))*1))/(COUNTA(GU15:GZ15)),"")</f>
        <v>4</v>
      </c>
      <c r="HB15" s="166" t="str">
        <f t="shared" si="63"/>
        <v>A</v>
      </c>
      <c r="HC15" s="190">
        <f>IF(COUNT(GM15,GS15,HA15)=0,"",SUM(GM15,GS15,HA15)/COUNT(GM15,GS15,HA15))</f>
        <v>4</v>
      </c>
      <c r="HD15" s="188" t="str">
        <f t="shared" si="64"/>
        <v>A</v>
      </c>
      <c r="HE15" s="110"/>
      <c r="HF15" s="111"/>
      <c r="HG15" s="112"/>
      <c r="HH15" s="165" t="str">
        <f>IFERROR((((COUNTIF('Elève (3ème2)'!HE15:HG15,"A"))*4)+((COUNTIF('Elève (3ème2)'!HE15:HG15,"B"))*3)+((COUNTIF('Elève (3ème2)'!HE15:HG15,"C"))*2)+((COUNTIF('Elève (3ème2)'!HE15:HG15,"D"))*1))/(COUNTA(HE15:HG15)),"")</f>
        <v/>
      </c>
      <c r="HI15" s="166" t="str">
        <f t="shared" si="65"/>
        <v/>
      </c>
      <c r="HJ15" s="110"/>
      <c r="HK15" s="111"/>
      <c r="HL15" s="112"/>
      <c r="HM15" s="112"/>
      <c r="HN15" s="165" t="str">
        <f>IFERROR((((COUNTIF('Elève (3ème2)'!HJ15:HM15,"A"))*4)+((COUNTIF('Elève (3ème2)'!HJ15:HM15,"B"))*3)+((COUNTIF('Elève (3ème2)'!HJ15:HM15,"C"))*2)+((COUNTIF('Elève (3ème2)'!HJ15:HM15,"D"))*1))/(COUNTA(HJ15:HM15)),"")</f>
        <v/>
      </c>
      <c r="HO15" s="166" t="str">
        <f t="shared" si="66"/>
        <v/>
      </c>
      <c r="HP15" s="110"/>
      <c r="HQ15" s="111"/>
      <c r="HR15" s="112" t="s">
        <v>27</v>
      </c>
      <c r="HS15" s="112" t="s">
        <v>27</v>
      </c>
      <c r="HT15" s="112"/>
      <c r="HU15" s="116"/>
      <c r="HV15" s="165">
        <f>IFERROR((((COUNTIF('Elève (3ème2)'!HP15:HU15,"A"))*4)+((COUNTIF('Elève (3ème2)'!HP15:HU15,"B"))*3)+((COUNTIF('Elève (3ème2)'!HP15:HU15,"C"))*2)+((COUNTIF('Elève (3ème2)'!HP15:HU15,"D"))*1))/(COUNTA(HP15:HU15)),"")</f>
        <v>4</v>
      </c>
      <c r="HW15" s="166" t="str">
        <f t="shared" si="67"/>
        <v>A</v>
      </c>
      <c r="HX15" s="190">
        <f>IF(COUNT(HH15,HN15,HV15)=0,"",SUM(HH15,HN15,HV15)/COUNT(HH15,HN15,HV15))</f>
        <v>4</v>
      </c>
      <c r="HY15" s="188" t="str">
        <f t="shared" si="68"/>
        <v>A</v>
      </c>
      <c r="HZ15" s="110"/>
      <c r="IA15" s="111"/>
      <c r="IB15" s="112"/>
      <c r="IC15" s="165" t="str">
        <f>IFERROR((((COUNTIF('Elève (3ème2)'!HZ15:IB15,"A"))*4)+((COUNTIF('Elève (3ème2)'!HZ15:IB15,"B"))*3)+((COUNTIF('Elève (3ème2)'!HZ15:IB15,"C"))*2)+((COUNTIF('Elève (3ème2)'!HZ15:IB15,"D"))*1))/(COUNTA(HZ15:IB15)),"")</f>
        <v/>
      </c>
      <c r="ID15" s="166" t="str">
        <f t="shared" si="69"/>
        <v/>
      </c>
      <c r="IE15" s="110"/>
      <c r="IF15" s="111"/>
      <c r="IG15" s="112"/>
      <c r="IH15" s="112"/>
      <c r="II15" s="165" t="str">
        <f>IFERROR((((COUNTIF('Elève (3ème2)'!IE15:IH15,"A"))*4)+((COUNTIF('Elève (3ème2)'!IE15:IH15,"B"))*3)+((COUNTIF('Elève (3ème2)'!IE15:IH15,"C"))*2)+((COUNTIF('Elève (3ème2)'!IE15:IH15,"D"))*1))/(COUNTA(IE15:IH15)),"")</f>
        <v/>
      </c>
      <c r="IJ15" s="166" t="str">
        <f t="shared" si="70"/>
        <v/>
      </c>
      <c r="IK15" s="110"/>
      <c r="IL15" s="111"/>
      <c r="IM15" s="112"/>
      <c r="IN15" s="112" t="s">
        <v>27</v>
      </c>
      <c r="IO15" s="112"/>
      <c r="IP15" s="116"/>
      <c r="IQ15" s="165">
        <f>IFERROR((((COUNTIF('Elève (3ème2)'!IK15:IP15,"A"))*4)+((COUNTIF('Elève (3ème2)'!IK15:IP15,"B"))*3)+((COUNTIF('Elève (3ème2)'!IK15:IP15,"C"))*2)+((COUNTIF('Elève (3ème2)'!IK15:IP15,"D"))*1))/(COUNTA(IK15:IP15)),"")</f>
        <v>4</v>
      </c>
      <c r="IR15" s="166" t="str">
        <f t="shared" si="71"/>
        <v>A</v>
      </c>
      <c r="IS15" s="190">
        <f>IF(COUNT(IC15,II15,IQ15)=0,"",SUM(IC15,II15,IQ15)/COUNT(IC15,II15,IQ15))</f>
        <v>4</v>
      </c>
      <c r="IT15" s="188" t="str">
        <f t="shared" si="72"/>
        <v>A</v>
      </c>
      <c r="IU15" s="110"/>
      <c r="IV15" s="111"/>
      <c r="IW15" s="112"/>
      <c r="IX15" s="165" t="str">
        <f>IFERROR((((COUNTIF('Elève (3ème2)'!IU15:IW15,"A"))*4)+((COUNTIF('Elève (3ème2)'!IU15:IW15,"B"))*3)+((COUNTIF('Elève (3ème2)'!IU15:IW15,"C"))*2)+((COUNTIF('Elève (3ème2)'!IU15:IW15,"D"))*1))/(COUNTA(IU15:IW15)),"")</f>
        <v/>
      </c>
      <c r="IY15" s="166" t="str">
        <f t="shared" si="73"/>
        <v/>
      </c>
      <c r="IZ15" s="110"/>
      <c r="JA15" s="111"/>
      <c r="JB15" s="112"/>
      <c r="JC15" s="112"/>
      <c r="JD15" s="165" t="str">
        <f>IFERROR((((COUNTIF('Elève (3ème2)'!IZ15:JC15,"A"))*4)+((COUNTIF('Elève (3ème2)'!IZ15:JC15,"B"))*3)+((COUNTIF('Elève (3ème2)'!IZ15:JC15,"C"))*2)+((COUNTIF('Elève (3ème2)'!IZ15:JC15,"D"))*1))/(COUNTA(IZ15:JC15)),"")</f>
        <v/>
      </c>
      <c r="JE15" s="166" t="str">
        <f t="shared" si="74"/>
        <v/>
      </c>
      <c r="JF15" s="110"/>
      <c r="JG15" s="111"/>
      <c r="JH15" s="112"/>
      <c r="JI15" s="112" t="s">
        <v>27</v>
      </c>
      <c r="JJ15" s="112"/>
      <c r="JK15" s="116"/>
      <c r="JL15" s="165">
        <f>IFERROR((((COUNTIF('Elève (3ème2)'!JF15:JK15,"A"))*4)+((COUNTIF('Elève (3ème2)'!JF15:JK15,"B"))*3)+((COUNTIF('Elève (3ème2)'!JF15:JK15,"C"))*2)+((COUNTIF('Elève (3ème2)'!JF15:JK15,"D"))*1))/(COUNTA(JF15:JK15)),"")</f>
        <v>4</v>
      </c>
      <c r="JM15" s="166" t="str">
        <f t="shared" si="75"/>
        <v>A</v>
      </c>
      <c r="JN15" s="190">
        <f>IF(COUNT(IX15,JD15,JL15)=0,"",SUM(IX15,JD15,JL15)/COUNT(IX15,JD15,JL15))</f>
        <v>4</v>
      </c>
      <c r="JO15" s="188" t="str">
        <f t="shared" si="76"/>
        <v>A</v>
      </c>
      <c r="JP15" s="110"/>
      <c r="JQ15" s="111"/>
      <c r="JR15" s="112"/>
      <c r="JS15" s="165" t="str">
        <f>IFERROR((((COUNTIF('Elève (3ème2)'!JP15:JR15,"A"))*4)+((COUNTIF('Elève (3ème2)'!JP15:JR15,"B"))*3)+((COUNTIF('Elève (3ème2)'!JP15:JR15,"C"))*2)+((COUNTIF('Elève (3ème2)'!JP15:JR15,"D"))*1))/(COUNTA(JP15:JR15)),"")</f>
        <v/>
      </c>
      <c r="JT15" s="166" t="str">
        <f t="shared" si="77"/>
        <v/>
      </c>
      <c r="JU15" s="110"/>
      <c r="JV15" s="111"/>
      <c r="JW15" s="112"/>
      <c r="JX15" s="112"/>
      <c r="JY15" s="165" t="str">
        <f>IFERROR((((COUNTIF('Elève (3ème2)'!JU15:JX15,"A"))*4)+((COUNTIF('Elève (3ème2)'!JU15:JX15,"B"))*3)+((COUNTIF('Elève (3ème2)'!JU15:JX15,"C"))*2)+((COUNTIF('Elève (3ème2)'!JU15:JX15,"D"))*1))/(COUNTA(JU15:JX15)),"")</f>
        <v/>
      </c>
      <c r="JZ15" s="166" t="str">
        <f t="shared" si="78"/>
        <v/>
      </c>
      <c r="KA15" s="110"/>
      <c r="KB15" s="111"/>
      <c r="KC15" s="112" t="s">
        <v>28</v>
      </c>
      <c r="KD15" s="112" t="s">
        <v>27</v>
      </c>
      <c r="KE15" s="112"/>
      <c r="KF15" s="116"/>
      <c r="KG15" s="165">
        <f>IFERROR((((COUNTIF('Elève (3ème2)'!KA15:KF15,"A"))*4)+((COUNTIF('Elève (3ème2)'!KA15:KF15,"B"))*3)+((COUNTIF('Elève (3ème2)'!KA15:KF15,"C"))*2)+((COUNTIF('Elève (3ème2)'!KA15:KF15,"D"))*1))/(COUNTA(KA15:KF15)),"")</f>
        <v>3.5</v>
      </c>
      <c r="KH15" s="166" t="str">
        <f t="shared" si="79"/>
        <v>B</v>
      </c>
      <c r="KI15" s="190">
        <f>IF(COUNT(JS15,JY15,KG15)=0,"",SUM(JS15,JY15,KG15)/COUNT(JS15,JY15,KG15))</f>
        <v>3.5</v>
      </c>
      <c r="KJ15" s="188" t="str">
        <f t="shared" si="80"/>
        <v>B</v>
      </c>
      <c r="KK15" s="110"/>
      <c r="KL15" s="111"/>
      <c r="KM15" s="112"/>
      <c r="KN15" s="165" t="str">
        <f>IFERROR((((COUNTIF('Elève (3ème2)'!KK15:KM15,"A"))*4)+((COUNTIF('Elève (3ème2)'!KK15:KM15,"B"))*3)+((COUNTIF('Elève (3ème2)'!KK15:KM15,"C"))*2)+((COUNTIF('Elève (3ème2)'!KK15:KM15,"D"))*1))/(COUNTA(KK15:KM15)),"")</f>
        <v/>
      </c>
      <c r="KO15" s="166" t="str">
        <f t="shared" si="81"/>
        <v/>
      </c>
      <c r="KP15" s="110"/>
      <c r="KQ15" s="111"/>
      <c r="KR15" s="112"/>
      <c r="KS15" s="112"/>
      <c r="KT15" s="165" t="str">
        <f>IFERROR((((COUNTIF('Elève (3ème2)'!KP15:KS15,"A"))*4)+((COUNTIF('Elève (3ème2)'!KP15:KS15,"B"))*3)+((COUNTIF('Elève (3ème2)'!KP15:KS15,"C"))*2)+((COUNTIF('Elève (3ème2)'!KP15:KS15,"D"))*1))/(COUNTA(KP15:KS15)),"")</f>
        <v/>
      </c>
      <c r="KU15" s="166" t="str">
        <f t="shared" si="82"/>
        <v/>
      </c>
      <c r="KV15" s="110"/>
      <c r="KW15" s="111"/>
      <c r="KX15" s="112" t="s">
        <v>27</v>
      </c>
      <c r="KY15" s="112"/>
      <c r="KZ15" s="112"/>
      <c r="LA15" s="116"/>
      <c r="LB15" s="165">
        <f>IFERROR((((COUNTIF('Elève (3ème2)'!KV15:LA15,"A"))*4)+((COUNTIF('Elève (3ème2)'!KV15:LA15,"B"))*3)+((COUNTIF('Elève (3ème2)'!KV15:LA15,"C"))*2)+((COUNTIF('Elève (3ème2)'!KV15:LA15,"D"))*1))/(COUNTA(KV15:LA15)),"")</f>
        <v>4</v>
      </c>
      <c r="LC15" s="166" t="str">
        <f t="shared" si="83"/>
        <v>A</v>
      </c>
      <c r="LD15" s="190">
        <f>IF(COUNT(KN15,KT15,LB15)=0,"",SUM(KN15,KT15,LB15)/COUNT(KN15,KT15,LB15))</f>
        <v>4</v>
      </c>
      <c r="LE15" s="188" t="str">
        <f t="shared" si="84"/>
        <v>A</v>
      </c>
      <c r="LF15" s="110"/>
      <c r="LG15" s="111"/>
      <c r="LH15" s="112"/>
      <c r="LI15" s="165" t="str">
        <f>IFERROR((((COUNTIF('Elève (3ème2)'!LF15:LH15,"A"))*4)+((COUNTIF('Elève (3ème2)'!LF15:LH15,"B"))*3)+((COUNTIF('Elève (3ème2)'!LF15:LH15,"C"))*2)+((COUNTIF('Elève (3ème2)'!LF15:LH15,"D"))*1))/(COUNTA(LF15:LH15)),"")</f>
        <v/>
      </c>
      <c r="LJ15" s="166" t="str">
        <f t="shared" si="85"/>
        <v/>
      </c>
      <c r="LK15" s="110"/>
      <c r="LL15" s="111"/>
      <c r="LM15" s="112"/>
      <c r="LN15" s="112"/>
      <c r="LO15" s="165" t="str">
        <f>IFERROR((((COUNTIF('Elève (3ème2)'!LK15:LN15,"A"))*4)+((COUNTIF('Elève (3ème2)'!LK15:LN15,"B"))*3)+((COUNTIF('Elève (3ème2)'!LK15:LN15,"C"))*2)+((COUNTIF('Elève (3ème2)'!LK15:LN15,"D"))*1))/(COUNTA(LK15:LN15)),"")</f>
        <v/>
      </c>
      <c r="LP15" s="166" t="str">
        <f t="shared" si="86"/>
        <v/>
      </c>
      <c r="LQ15" s="110"/>
      <c r="LR15" s="111"/>
      <c r="LS15" s="112" t="s">
        <v>28</v>
      </c>
      <c r="LT15" s="112" t="s">
        <v>27</v>
      </c>
      <c r="LU15" s="112"/>
      <c r="LV15" s="116"/>
      <c r="LW15" s="165">
        <f>IFERROR((((COUNTIF('Elève (3ème2)'!LQ15:LV15,"A"))*4)+((COUNTIF('Elève (3ème2)'!LQ15:LV15,"B"))*3)+((COUNTIF('Elève (3ème2)'!LQ15:LV15,"C"))*2)+((COUNTIF('Elève (3ème2)'!LQ15:LV15,"D"))*1))/(COUNTA(LQ15:LV15)),"")</f>
        <v>3.5</v>
      </c>
      <c r="LX15" s="166" t="str">
        <f t="shared" si="87"/>
        <v>B</v>
      </c>
      <c r="LY15" s="190">
        <f>IF(COUNT(LI15,LO15,LW15)=0,"",SUM(LI15,LO15,LW15)/COUNT(LI15,LO15,LW15))</f>
        <v>3.5</v>
      </c>
      <c r="LZ15" s="188" t="str">
        <f t="shared" si="88"/>
        <v>B</v>
      </c>
      <c r="MA15" s="110"/>
      <c r="MB15" s="111"/>
      <c r="MC15" s="112"/>
      <c r="MD15" s="165" t="str">
        <f>IFERROR((((COUNTIF('Elève (3ème2)'!MA15:MC15,"A"))*4)+((COUNTIF('Elève (3ème2)'!MA15:MC15,"B"))*3)+((COUNTIF('Elève (3ème2)'!MA15:MC15,"C"))*2)+((COUNTIF('Elève (3ème2)'!MA15:MC15,"D"))*1))/(COUNTA(MA15:MC15)),"")</f>
        <v/>
      </c>
      <c r="ME15" s="166" t="str">
        <f t="shared" si="89"/>
        <v/>
      </c>
      <c r="MF15" s="110"/>
      <c r="MG15" s="111"/>
      <c r="MH15" s="112"/>
      <c r="MI15" s="112"/>
      <c r="MJ15" s="165" t="str">
        <f>IFERROR((((COUNTIF('Elève (3ème2)'!MF15:MI15,"A"))*4)+((COUNTIF('Elève (3ème2)'!MF15:MI15,"B"))*3)+((COUNTIF('Elève (3ème2)'!MF15:MI15,"C"))*2)+((COUNTIF('Elève (3ème2)'!MF15:MI15,"D"))*1))/(COUNTA(MF15:MI15)),"")</f>
        <v/>
      </c>
      <c r="MK15" s="166" t="str">
        <f t="shared" si="90"/>
        <v/>
      </c>
      <c r="ML15" s="110"/>
      <c r="MM15" s="111"/>
      <c r="MN15" s="112" t="s">
        <v>27</v>
      </c>
      <c r="MO15" s="112" t="s">
        <v>27</v>
      </c>
      <c r="MP15" s="112"/>
      <c r="MQ15" s="116"/>
      <c r="MR15" s="165">
        <f>IFERROR((((COUNTIF('Elève (3ème2)'!ML15:MQ15,"A"))*4)+((COUNTIF('Elève (3ème2)'!ML15:MQ15,"B"))*3)+((COUNTIF('Elève (3ème2)'!ML15:MQ15,"C"))*2)+((COUNTIF('Elève (3ème2)'!ML15:MQ15,"D"))*1))/(COUNTA(ML15:MQ15)),"")</f>
        <v>4</v>
      </c>
      <c r="MS15" s="166" t="str">
        <f t="shared" si="91"/>
        <v>A</v>
      </c>
      <c r="MT15" s="190">
        <f>IF(COUNT(MD15,MJ15,MR15)=0,"",SUM(MD15,MJ15,MR15)/COUNT(MD15,MJ15,MR15))</f>
        <v>4</v>
      </c>
      <c r="MU15" s="188" t="str">
        <f t="shared" si="92"/>
        <v>A</v>
      </c>
      <c r="MV15" s="110"/>
      <c r="MW15" s="111"/>
      <c r="MX15" s="112"/>
      <c r="MY15" s="165" t="str">
        <f>IFERROR((((COUNTIF('Elève (3ème2)'!MV15:MX15,"A"))*4)+((COUNTIF('Elève (3ème2)'!MV15:MX15,"B"))*3)+((COUNTIF('Elève (3ème2)'!MV15:MX15,"C"))*2)+((COUNTIF('Elève (3ème2)'!MV15:MX15,"D"))*1))/(COUNTA(MV15:MX15)),"")</f>
        <v/>
      </c>
      <c r="MZ15" s="166" t="str">
        <f t="shared" si="93"/>
        <v/>
      </c>
      <c r="NA15" s="110"/>
      <c r="NB15" s="111"/>
      <c r="NC15" s="112"/>
      <c r="ND15" s="112"/>
      <c r="NE15" s="165" t="str">
        <f>IFERROR((((COUNTIF('Elève (3ème2)'!NA15:ND15,"A"))*4)+((COUNTIF('Elève (3ème2)'!NA15:ND15,"B"))*3)+((COUNTIF('Elève (3ème2)'!NA15:ND15,"C"))*2)+((COUNTIF('Elève (3ème2)'!NA15:ND15,"D"))*1))/(COUNTA(NA15:ND15)),"")</f>
        <v/>
      </c>
      <c r="NF15" s="166" t="str">
        <f t="shared" si="94"/>
        <v/>
      </c>
      <c r="NG15" s="110"/>
      <c r="NH15" s="111"/>
      <c r="NI15" s="112" t="s">
        <v>27</v>
      </c>
      <c r="NJ15" s="112" t="s">
        <v>27</v>
      </c>
      <c r="NK15" s="112"/>
      <c r="NL15" s="116"/>
      <c r="NM15" s="165">
        <f>IFERROR((((COUNTIF('Elève (3ème2)'!NG15:NL15,"A"))*4)+((COUNTIF('Elève (3ème2)'!NG15:NL15,"B"))*3)+((COUNTIF('Elève (3ème2)'!NG15:NL15,"C"))*2)+((COUNTIF('Elève (3ème2)'!NG15:NL15,"D"))*1))/(COUNTA(NG15:NL15)),"")</f>
        <v>4</v>
      </c>
      <c r="NN15" s="166" t="str">
        <f t="shared" si="95"/>
        <v>A</v>
      </c>
      <c r="NO15" s="190">
        <f>IF(COUNT(MY15,NE15,NM15)=0,"",SUM(MY15,NE15,NM15)/COUNT(MY15,NE15,NM15))</f>
        <v>4</v>
      </c>
      <c r="NP15" s="188" t="str">
        <f t="shared" si="96"/>
        <v>A</v>
      </c>
      <c r="NQ15" s="110"/>
      <c r="NR15" s="111"/>
      <c r="NS15" s="112"/>
      <c r="NT15" s="165" t="str">
        <f>IFERROR((((COUNTIF('Elève (3ème2)'!NQ15:NS15,"A"))*4)+((COUNTIF('Elève (3ème2)'!NQ15:NS15,"B"))*3)+((COUNTIF('Elève (3ème2)'!NQ15:NS15,"C"))*2)+((COUNTIF('Elève (3ème2)'!NQ15:NS15,"D"))*1))/(COUNTA(NQ15:NS15)),"")</f>
        <v/>
      </c>
      <c r="NU15" s="166" t="str">
        <f t="shared" si="97"/>
        <v/>
      </c>
      <c r="NV15" s="110"/>
      <c r="NW15" s="111"/>
      <c r="NX15" s="112"/>
      <c r="NY15" s="112"/>
      <c r="NZ15" s="165" t="str">
        <f>IFERROR((((COUNTIF('Elève (3ème2)'!NV15:NY15,"A"))*4)+((COUNTIF('Elève (3ème2)'!NV15:NY15,"B"))*3)+((COUNTIF('Elève (3ème2)'!NV15:NY15,"C"))*2)+((COUNTIF('Elève (3ème2)'!NV15:NY15,"D"))*1))/(COUNTA(NV15:NY15)),"")</f>
        <v/>
      </c>
      <c r="OA15" s="166" t="str">
        <f t="shared" si="98"/>
        <v/>
      </c>
      <c r="OB15" s="110"/>
      <c r="OC15" s="111"/>
      <c r="OD15" s="112" t="s">
        <v>27</v>
      </c>
      <c r="OE15" s="112" t="s">
        <v>27</v>
      </c>
      <c r="OF15" s="112"/>
      <c r="OG15" s="116"/>
      <c r="OH15" s="165">
        <f>IFERROR((((COUNTIF('Elève (3ème2)'!OB15:OG15,"A"))*4)+((COUNTIF('Elève (3ème2)'!OB15:OG15,"B"))*3)+((COUNTIF('Elève (3ème2)'!OB15:OG15,"C"))*2)+((COUNTIF('Elève (3ème2)'!OB15:OG15,"D"))*1))/(COUNTA(OB15:OG15)),"")</f>
        <v>4</v>
      </c>
      <c r="OI15" s="166" t="str">
        <f t="shared" si="99"/>
        <v>A</v>
      </c>
      <c r="OJ15" s="190">
        <f>IF(COUNT(NT15,NZ15,OH15)=0,"",SUM(NT15,NZ15,OH15)/COUNT(NT15,NZ15,OH15))</f>
        <v>4</v>
      </c>
      <c r="OK15" s="188" t="str">
        <f t="shared" si="100"/>
        <v>A</v>
      </c>
      <c r="OL15" s="110"/>
      <c r="OM15" s="111"/>
      <c r="ON15" s="112"/>
      <c r="OO15" s="165" t="str">
        <f>IFERROR((((COUNTIF('Elève (3ème2)'!OL15:ON15,"A"))*4)+((COUNTIF('Elève (3ème2)'!OL15:ON15,"B"))*3)+((COUNTIF('Elève (3ème2)'!OL15:ON15,"C"))*2)+((COUNTIF('Elève (3ème2)'!OL15:ON15,"D"))*1))/(COUNTA(OL15:ON15)),"")</f>
        <v/>
      </c>
      <c r="OP15" s="166" t="str">
        <f t="shared" si="101"/>
        <v/>
      </c>
      <c r="OQ15" s="110"/>
      <c r="OR15" s="111"/>
      <c r="OS15" s="112"/>
      <c r="OT15" s="112"/>
      <c r="OU15" s="165" t="str">
        <f>IFERROR((((COUNTIF('Elève (3ème2)'!OQ15:OT15,"A"))*4)+((COUNTIF('Elève (3ème2)'!OQ15:OT15,"B"))*3)+((COUNTIF('Elève (3ème2)'!OQ15:OT15,"C"))*2)+((COUNTIF('Elève (3ème2)'!OQ15:OT15,"D"))*1))/(COUNTA(OQ15:OT15)),"")</f>
        <v/>
      </c>
      <c r="OV15" s="166" t="str">
        <f t="shared" si="102"/>
        <v/>
      </c>
      <c r="OW15" s="110"/>
      <c r="OX15" s="111"/>
      <c r="OY15" s="112" t="s">
        <v>27</v>
      </c>
      <c r="OZ15" s="112" t="s">
        <v>27</v>
      </c>
      <c r="PA15" s="112"/>
      <c r="PB15" s="116"/>
      <c r="PC15" s="165">
        <f>IFERROR((((COUNTIF('Elève (3ème2)'!OW15:PB15,"A"))*4)+((COUNTIF('Elève (3ème2)'!OW15:PB15,"B"))*3)+((COUNTIF('Elève (3ème2)'!OW15:PB15,"C"))*2)+((COUNTIF('Elève (3ème2)'!OW15:PB15,"D"))*1))/(COUNTA(OW15:PB15)),"")</f>
        <v>4</v>
      </c>
      <c r="PD15" s="166" t="str">
        <f t="shared" si="103"/>
        <v>A</v>
      </c>
      <c r="PE15" s="190">
        <f>IF(COUNT(OO15,OU15,PC15)=0,"",SUM(OO15,OU15,PC15)/COUNT(OO15,OU15,PC15))</f>
        <v>4</v>
      </c>
      <c r="PF15" s="188" t="str">
        <f t="shared" si="104"/>
        <v>A</v>
      </c>
      <c r="PG15" s="110"/>
      <c r="PH15" s="111"/>
      <c r="PI15" s="112"/>
      <c r="PJ15" s="165" t="str">
        <f>IFERROR((((COUNTIF('Elève (3ème2)'!PG15:PI15,"A"))*4)+((COUNTIF('Elève (3ème2)'!PG15:PI15,"B"))*3)+((COUNTIF('Elève (3ème2)'!PG15:PI15,"C"))*2)+((COUNTIF('Elève (3ème2)'!PG15:PI15,"D"))*1))/(COUNTA(PG15:PI15)),"")</f>
        <v/>
      </c>
      <c r="PK15" s="166" t="str">
        <f t="shared" si="105"/>
        <v/>
      </c>
      <c r="PL15" s="110"/>
      <c r="PM15" s="111"/>
      <c r="PN15" s="112"/>
      <c r="PO15" s="112"/>
      <c r="PP15" s="165" t="str">
        <f>IFERROR((((COUNTIF('Elève (3ème2)'!PL15:PO15,"A"))*4)+((COUNTIF('Elève (3ème2)'!PL15:PO15,"B"))*3)+((COUNTIF('Elève (3ème2)'!PL15:PO15,"C"))*2)+((COUNTIF('Elève (3ème2)'!PL15:PO15,"D"))*1))/(COUNTA(PL15:PO15)),"")</f>
        <v/>
      </c>
      <c r="PQ15" s="166" t="str">
        <f t="shared" si="106"/>
        <v/>
      </c>
      <c r="PR15" s="110"/>
      <c r="PS15" s="111"/>
      <c r="PT15" s="112"/>
      <c r="PU15" s="112" t="s">
        <v>27</v>
      </c>
      <c r="PV15" s="112"/>
      <c r="PW15" s="116"/>
      <c r="PX15" s="165">
        <f>IFERROR((((COUNTIF('Elève (3ème2)'!PR15:PW15,"A"))*4)+((COUNTIF('Elève (3ème2)'!PR15:PW15,"B"))*3)+((COUNTIF('Elève (3ème2)'!PR15:PW15,"C"))*2)+((COUNTIF('Elève (3ème2)'!PR15:PW15,"D"))*1))/(COUNTA(PR15:PW15)),"")</f>
        <v>4</v>
      </c>
      <c r="PY15" s="166" t="str">
        <f t="shared" si="107"/>
        <v>A</v>
      </c>
      <c r="PZ15" s="190">
        <f>IF(COUNT(PJ15,PP15,PX15)=0,"",SUM(PJ15,PP15,PX15)/COUNT(PJ15,PP15,PX15))</f>
        <v>4</v>
      </c>
      <c r="QA15" s="188" t="str">
        <f t="shared" si="108"/>
        <v>A</v>
      </c>
      <c r="QB15" s="110"/>
      <c r="QC15" s="111"/>
      <c r="QD15" s="112"/>
      <c r="QE15" s="165" t="str">
        <f>IFERROR((((COUNTIF('Elève (3ème2)'!QB15:QD15,"A"))*4)+((COUNTIF('Elève (3ème2)'!QB15:QD15,"B"))*3)+((COUNTIF('Elève (3ème2)'!QB15:QD15,"C"))*2)+((COUNTIF('Elève (3ème2)'!QB15:QD15,"D"))*1))/(COUNTA(QB15:QD15)),"")</f>
        <v/>
      </c>
      <c r="QF15" s="166" t="str">
        <f t="shared" si="109"/>
        <v/>
      </c>
      <c r="QG15" s="110"/>
      <c r="QH15" s="111"/>
      <c r="QI15" s="112"/>
      <c r="QJ15" s="112"/>
      <c r="QK15" s="165" t="str">
        <f>IFERROR((((COUNTIF('Elève (3ème2)'!QG15:QJ15,"A"))*4)+((COUNTIF('Elève (3ème2)'!QG15:QJ15,"B"))*3)+((COUNTIF('Elève (3ème2)'!QG15:QJ15,"C"))*2)+((COUNTIF('Elève (3ème2)'!QG15:QJ15,"D"))*1))/(COUNTA(QG15:QJ15)),"")</f>
        <v/>
      </c>
      <c r="QL15" s="166" t="str">
        <f t="shared" si="110"/>
        <v/>
      </c>
      <c r="QM15" s="110"/>
      <c r="QN15" s="111"/>
      <c r="QO15" s="112" t="s">
        <v>27</v>
      </c>
      <c r="QP15" s="112" t="s">
        <v>27</v>
      </c>
      <c r="QQ15" s="112"/>
      <c r="QR15" s="116"/>
      <c r="QS15" s="165">
        <f>IFERROR((((COUNTIF('Elève (3ème2)'!QM15:QR15,"A"))*4)+((COUNTIF('Elève (3ème2)'!QM15:QR15,"B"))*3)+((COUNTIF('Elève (3ème2)'!QM15:QR15,"C"))*2)+((COUNTIF('Elève (3ème2)'!QM15:QR15,"D"))*1))/(COUNTA(QM15:QR15)),"")</f>
        <v>4</v>
      </c>
      <c r="QT15" s="166" t="str">
        <f t="shared" si="111"/>
        <v>A</v>
      </c>
      <c r="QU15" s="190">
        <f>IF(COUNT(QE15,QK15,QS15)=0,"",SUM(QE15,QK15,QS15)/COUNT(QE15,QK15,QS15))</f>
        <v>4</v>
      </c>
      <c r="QV15" s="188" t="str">
        <f t="shared" si="112"/>
        <v>A</v>
      </c>
      <c r="QW15" s="110"/>
      <c r="QX15" s="111"/>
      <c r="QY15" s="112"/>
      <c r="QZ15" s="165" t="str">
        <f>IFERROR((((COUNTIF('Elève (3ème2)'!QW15:QY15,"A"))*4)+((COUNTIF('Elève (3ème2)'!QW15:QY15,"B"))*3)+((COUNTIF('Elève (3ème2)'!QW15:QY15,"C"))*2)+((COUNTIF('Elève (3ème2)'!QW15:QY15,"D"))*1))/(COUNTA(QW15:QY15)),"")</f>
        <v/>
      </c>
      <c r="RA15" s="166" t="str">
        <f t="shared" si="113"/>
        <v/>
      </c>
      <c r="RB15" s="110"/>
      <c r="RC15" s="111"/>
      <c r="RD15" s="112"/>
      <c r="RE15" s="112"/>
      <c r="RF15" s="165" t="str">
        <f>IFERROR((((COUNTIF('Elève (3ème2)'!RB15:RE15,"A"))*4)+((COUNTIF('Elève (3ème2)'!RB15:RE15,"B"))*3)+((COUNTIF('Elève (3ème2)'!RB15:RE15,"C"))*2)+((COUNTIF('Elève (3ème2)'!RB15:RE15,"D"))*1))/(COUNTA(RB15:RE15)),"")</f>
        <v/>
      </c>
      <c r="RG15" s="166" t="str">
        <f t="shared" si="114"/>
        <v/>
      </c>
      <c r="RH15" s="110"/>
      <c r="RI15" s="111"/>
      <c r="RJ15" s="112" t="s">
        <v>27</v>
      </c>
      <c r="RK15" s="112"/>
      <c r="RL15" s="112"/>
      <c r="RM15" s="116"/>
      <c r="RN15" s="165">
        <f>IFERROR((((COUNTIF('Elève (3ème2)'!RH15:RM15,"A"))*4)+((COUNTIF('Elève (3ème2)'!RH15:RM15,"B"))*3)+((COUNTIF('Elève (3ème2)'!RH15:RM15,"C"))*2)+((COUNTIF('Elève (3ème2)'!RH15:RM15,"D"))*1))/(COUNTA(RH15:RM15)),"")</f>
        <v>4</v>
      </c>
      <c r="RO15" s="166" t="str">
        <f t="shared" si="115"/>
        <v>A</v>
      </c>
      <c r="RP15" s="190">
        <f>IF(COUNT(QZ15,RF15,RN15)=0,"",SUM(QZ15,RF15,RN15)/COUNT(QZ15,RF15,RN15))</f>
        <v>4</v>
      </c>
      <c r="RQ15" s="188" t="str">
        <f t="shared" si="116"/>
        <v>A</v>
      </c>
      <c r="RR15" s="110"/>
      <c r="RS15" s="111"/>
      <c r="RT15" s="112"/>
      <c r="RU15" s="165" t="str">
        <f>IFERROR((((COUNTIF('Elève (3ème2)'!RR15:RT15,"A"))*4)+((COUNTIF('Elève (3ème2)'!RR15:RT15,"B"))*3)+((COUNTIF('Elève (3ème2)'!RR15:RT15,"C"))*2)+((COUNTIF('Elève (3ème2)'!RR15:RT15,"D"))*1))/(COUNTA(RR15:RT15)),"")</f>
        <v/>
      </c>
      <c r="RV15" s="166" t="str">
        <f t="shared" si="117"/>
        <v/>
      </c>
      <c r="RW15" s="110"/>
      <c r="RX15" s="111"/>
      <c r="RY15" s="112"/>
      <c r="RZ15" s="112"/>
      <c r="SA15" s="165" t="str">
        <f>IFERROR((((COUNTIF('Elève (3ème2)'!RW15:RZ15,"A"))*4)+((COUNTIF('Elève (3ème2)'!RW15:RZ15,"B"))*3)+((COUNTIF('Elève (3ème2)'!RW15:RZ15,"C"))*2)+((COUNTIF('Elève (3ème2)'!RW15:RZ15,"D"))*1))/(COUNTA(RW15:RZ15)),"")</f>
        <v/>
      </c>
      <c r="SB15" s="166" t="str">
        <f t="shared" si="118"/>
        <v/>
      </c>
      <c r="SC15" s="110"/>
      <c r="SD15" s="111"/>
      <c r="SE15" s="112" t="s">
        <v>27</v>
      </c>
      <c r="SF15" s="112" t="s">
        <v>27</v>
      </c>
      <c r="SG15" s="112"/>
      <c r="SH15" s="116"/>
      <c r="SI15" s="165">
        <f>IFERROR((((COUNTIF('Elève (3ème2)'!SC15:SH15,"A"))*4)+((COUNTIF('Elève (3ème2)'!SC15:SH15,"B"))*3)+((COUNTIF('Elève (3ème2)'!SC15:SH15,"C"))*2)+((COUNTIF('Elève (3ème2)'!SC15:SH15,"D"))*1))/(COUNTA(SC15:SH15)),"")</f>
        <v>4</v>
      </c>
      <c r="SJ15" s="166" t="str">
        <f t="shared" si="119"/>
        <v>A</v>
      </c>
      <c r="SK15" s="190">
        <f>IF(COUNT(RU15,SA15,SI15)=0,"",SUM(RU15,SA15,SI15)/COUNT(RU15,SA15,SI15))</f>
        <v>4</v>
      </c>
      <c r="SL15" s="188" t="str">
        <f t="shared" si="120"/>
        <v>A</v>
      </c>
      <c r="SM15" s="110"/>
      <c r="SN15" s="111"/>
      <c r="SO15" s="112"/>
      <c r="SP15" s="165" t="str">
        <f>IFERROR((((COUNTIF('Elève (3ème2)'!SM15:SO15,"A"))*4)+((COUNTIF('Elève (3ème2)'!SM15:SO15,"B"))*3)+((COUNTIF('Elève (3ème2)'!SM15:SO15,"C"))*2)+((COUNTIF('Elève (3ème2)'!SM15:SO15,"D"))*1))/(COUNTA(SM15:SO15)),"")</f>
        <v/>
      </c>
      <c r="SQ15" s="166" t="str">
        <f t="shared" si="121"/>
        <v/>
      </c>
      <c r="SR15" s="110"/>
      <c r="SS15" s="111"/>
      <c r="ST15" s="112"/>
      <c r="SU15" s="112"/>
      <c r="SV15" s="165" t="str">
        <f>IFERROR((((COUNTIF('Elève (3ème2)'!SR15:SU15,"A"))*4)+((COUNTIF('Elève (3ème2)'!SR15:SU15,"B"))*3)+((COUNTIF('Elève (3ème2)'!SR15:SU15,"C"))*2)+((COUNTIF('Elève (3ème2)'!SR15:SU15,"D"))*1))/(COUNTA(SR15:SU15)),"")</f>
        <v/>
      </c>
      <c r="SW15" s="166" t="str">
        <f t="shared" si="122"/>
        <v/>
      </c>
      <c r="SX15" s="110"/>
      <c r="SY15" s="111"/>
      <c r="SZ15" s="112" t="s">
        <v>27</v>
      </c>
      <c r="TA15" s="112" t="s">
        <v>27</v>
      </c>
      <c r="TB15" s="112"/>
      <c r="TC15" s="116"/>
      <c r="TD15" s="165">
        <f>IFERROR((((COUNTIF('Elève (3ème2)'!SX15:TC15,"A"))*4)+((COUNTIF('Elève (3ème2)'!SX15:TC15,"B"))*3)+((COUNTIF('Elève (3ème2)'!SX15:TC15,"C"))*2)+((COUNTIF('Elève (3ème2)'!SX15:TC15,"D"))*1))/(COUNTA(SX15:TC15)),"")</f>
        <v>4</v>
      </c>
      <c r="TE15" s="166" t="str">
        <f t="shared" si="123"/>
        <v>A</v>
      </c>
      <c r="TF15" s="190">
        <f>IF(COUNT(SP15,SV15,TD15)=0,"",SUM(SP15,SV15,TD15)/COUNT(SP15,SV15,TD15))</f>
        <v>4</v>
      </c>
      <c r="TG15" s="188" t="str">
        <f t="shared" si="124"/>
        <v>A</v>
      </c>
      <c r="TH15" s="110"/>
      <c r="TI15" s="111"/>
      <c r="TJ15" s="112"/>
      <c r="TK15" s="165" t="str">
        <f>IFERROR((((COUNTIF('Elève (3ème2)'!TH15:TJ15,"A"))*4)+((COUNTIF('Elève (3ème2)'!TH15:TJ15,"B"))*3)+((COUNTIF('Elève (3ème2)'!TH15:TJ15,"C"))*2)+((COUNTIF('Elève (3ème2)'!TH15:TJ15,"D"))*1))/(COUNTA(TH15:TJ15)),"")</f>
        <v/>
      </c>
      <c r="TL15" s="166" t="str">
        <f t="shared" si="125"/>
        <v/>
      </c>
      <c r="TM15" s="110"/>
      <c r="TN15" s="111"/>
      <c r="TO15" s="112"/>
      <c r="TP15" s="112"/>
      <c r="TQ15" s="165" t="str">
        <f>IFERROR((((COUNTIF('Elève (3ème2)'!TM15:TP15,"A"))*4)+((COUNTIF('Elève (3ème2)'!TM15:TP15,"B"))*3)+((COUNTIF('Elève (3ème2)'!TM15:TP15,"C"))*2)+((COUNTIF('Elève (3ème2)'!TM15:TP15,"D"))*1))/(COUNTA(TM15:TP15)),"")</f>
        <v/>
      </c>
      <c r="TR15" s="166" t="str">
        <f t="shared" si="126"/>
        <v/>
      </c>
      <c r="TS15" s="110"/>
      <c r="TT15" s="111"/>
      <c r="TU15" s="112" t="s">
        <v>27</v>
      </c>
      <c r="TV15" s="112"/>
      <c r="TW15" s="112"/>
      <c r="TX15" s="116"/>
      <c r="TY15" s="165">
        <f>IFERROR((((COUNTIF('Elève (3ème2)'!TS15:TX15,"A"))*4)+((COUNTIF('Elève (3ème2)'!TS15:TX15,"B"))*3)+((COUNTIF('Elève (3ème2)'!TS15:TX15,"C"))*2)+((COUNTIF('Elève (3ème2)'!TS15:TX15,"D"))*1))/(COUNTA(TS15:TX15)),"")</f>
        <v>4</v>
      </c>
      <c r="TZ15" s="166" t="str">
        <f t="shared" si="127"/>
        <v>A</v>
      </c>
      <c r="UA15" s="190">
        <f>IF(COUNT(TK15,TQ15,TY15)=0,"",SUM(TK15,TQ15,TY15)/COUNT(TK15,TQ15,TY15))</f>
        <v>4</v>
      </c>
      <c r="UB15" s="188" t="str">
        <f t="shared" si="128"/>
        <v>A</v>
      </c>
      <c r="UC15" s="110"/>
      <c r="UD15" s="111"/>
      <c r="UE15" s="112"/>
      <c r="UF15" s="113" t="str">
        <f>IFERROR((((COUNTIF('Elève (3ème2)'!UC15:UE15,"A"))*4)+((COUNTIF('Elève (3ème2)'!UC15:UE15,"B"))*3)+((COUNTIF('Elève (3ème2)'!UC15:UE15,"C"))*2)+((COUNTIF('Elève (3ème2)'!UC15:UE15,"D"))*1))/(COUNTA(UC15:UE15)),"")</f>
        <v/>
      </c>
      <c r="UG15" s="114" t="str">
        <f t="shared" si="129"/>
        <v/>
      </c>
      <c r="UH15" s="110"/>
      <c r="UI15" s="111"/>
      <c r="UJ15" s="112"/>
      <c r="UK15" s="113" t="str">
        <f>IFERROR((((COUNTIF('Elève (3ème2)'!UH15:UJ15,"A"))*4)+((COUNTIF('Elève (3ème2)'!UH15:UJ15,"B"))*3)+((COUNTIF('Elève (3ème2)'!UH15:UJ15,"C"))*2)+((COUNTIF('Elève (3ème2)'!UH15:UJ15,"D"))*1))/(COUNTA(UH15:UJ15)),"")</f>
        <v/>
      </c>
      <c r="UL15" s="114" t="str">
        <f t="shared" si="130"/>
        <v/>
      </c>
      <c r="UM15" s="110"/>
      <c r="UN15" s="111"/>
      <c r="UO15" s="116"/>
      <c r="UP15" s="113" t="str">
        <f>IFERROR((((COUNTIF('Elève (3ème2)'!UM15:UO15,"A"))*4)+((COUNTIF('Elève (3ème2)'!UM15:UO15,"B"))*3)+((COUNTIF('Elève (3ème2)'!UM15:UO15,"C"))*2)+((COUNTIF('Elève (3ème2)'!UM15:UO15,"D"))*1))/(COUNTA(UM15:UO15)),"")</f>
        <v/>
      </c>
      <c r="UQ15" s="114" t="str">
        <f t="shared" si="131"/>
        <v/>
      </c>
      <c r="UR15" s="122" t="str">
        <f>IF(COUNT(UF15,UK15,UP15)=0,"",SUM(UF15,UK15,UP15)/COUNT(UF15,UK15,UP15))</f>
        <v/>
      </c>
      <c r="US15" s="115" t="str">
        <f t="shared" si="132"/>
        <v/>
      </c>
      <c r="UT15" s="110"/>
      <c r="UU15" s="111"/>
      <c r="UV15" s="112"/>
      <c r="UW15" s="113" t="str">
        <f>IFERROR((((COUNTIF('Elève (3ème2)'!UT15:UV15,"A"))*4)+((COUNTIF('Elève (3ème2)'!UT15:UV15,"B"))*3)+((COUNTIF('Elève (3ème2)'!UT15:UV15,"C"))*2)+((COUNTIF('Elève (3ème2)'!UT15:UV15,"D"))*1))/(COUNTA(UT15:UV15)),"")</f>
        <v/>
      </c>
      <c r="UX15" s="114" t="str">
        <f t="shared" si="133"/>
        <v/>
      </c>
      <c r="UY15" s="110"/>
      <c r="UZ15" s="111"/>
      <c r="VA15" s="112"/>
      <c r="VB15" s="113" t="str">
        <f>IFERROR((((COUNTIF('Elève (3ème2)'!UY15:VA15,"A"))*4)+((COUNTIF('Elève (3ème2)'!UY15:VA15,"B"))*3)+((COUNTIF('Elève (3ème2)'!UY15:VA15,"C"))*2)+((COUNTIF('Elève (3ème2)'!UY15:VA15,"D"))*1))/(COUNTA(UY15:VA15)),"")</f>
        <v/>
      </c>
      <c r="VC15" s="114" t="str">
        <f t="shared" si="134"/>
        <v/>
      </c>
      <c r="VD15" s="110"/>
      <c r="VE15" s="111"/>
      <c r="VF15" s="116"/>
      <c r="VG15" s="113" t="str">
        <f>IFERROR((((COUNTIF('Elève (3ème2)'!VD15:VF15,"A"))*4)+((COUNTIF('Elève (3ème2)'!VD15:VF15,"B"))*3)+((COUNTIF('Elève (3ème2)'!VD15:VF15,"C"))*2)+((COUNTIF('Elève (3ème2)'!VD15:VF15,"D"))*1))/(COUNTA(VD15:VF15)),"")</f>
        <v/>
      </c>
      <c r="VH15" s="114" t="str">
        <f t="shared" si="135"/>
        <v/>
      </c>
      <c r="VI15" s="122" t="str">
        <f>IF(COUNT(UW15,VB15,VG15)=0,"",SUM(UW15,VB15,VG15)/COUNT(UW15,VB15,VG15))</f>
        <v/>
      </c>
      <c r="VJ15" s="115" t="str">
        <f t="shared" si="136"/>
        <v/>
      </c>
      <c r="VK15" s="110"/>
      <c r="VL15" s="111"/>
      <c r="VM15" s="112"/>
      <c r="VN15" s="113" t="str">
        <f>IFERROR((((COUNTIF('Elève (3ème2)'!VK15:VM15,"A"))*4)+((COUNTIF('Elève (3ème2)'!VK15:VM15,"B"))*3)+((COUNTIF('Elève (3ème2)'!VK15:VM15,"C"))*2)+((COUNTIF('Elève (3ème2)'!VK15:VM15,"D"))*1))/(COUNTA(VK15:VM15)),"")</f>
        <v/>
      </c>
      <c r="VO15" s="114" t="str">
        <f t="shared" si="137"/>
        <v/>
      </c>
      <c r="VP15" s="110"/>
      <c r="VQ15" s="111"/>
      <c r="VR15" s="112"/>
      <c r="VS15" s="113" t="str">
        <f>IFERROR((((COUNTIF('Elève (3ème2)'!VP15:VR15,"A"))*4)+((COUNTIF('Elève (3ème2)'!VP15:VR15,"B"))*3)+((COUNTIF('Elève (3ème2)'!VP15:VR15,"C"))*2)+((COUNTIF('Elève (3ème2)'!VP15:VR15,"D"))*1))/(COUNTA(VP15:VR15)),"")</f>
        <v/>
      </c>
      <c r="VT15" s="114" t="str">
        <f t="shared" si="138"/>
        <v/>
      </c>
      <c r="VU15" s="110"/>
      <c r="VV15" s="111"/>
      <c r="VW15" s="116"/>
      <c r="VX15" s="113" t="str">
        <f>IFERROR((((COUNTIF('Elève (3ème2)'!VU15:VW15,"A"))*4)+((COUNTIF('Elève (3ème2)'!VU15:VW15,"B"))*3)+((COUNTIF('Elève (3ème2)'!VU15:VW15,"C"))*2)+((COUNTIF('Elève (3ème2)'!VU15:VW15,"D"))*1))/(COUNTA(VU15:VW15)),"")</f>
        <v/>
      </c>
      <c r="VY15" s="114" t="str">
        <f t="shared" si="139"/>
        <v/>
      </c>
      <c r="VZ15" s="122" t="str">
        <f>IF(COUNT(VN15,VS15,VX15)=0,"",SUM(VN15,VS15,VX15)/COUNT(VN15,VS15,VX15))</f>
        <v/>
      </c>
      <c r="WA15" s="115" t="str">
        <f t="shared" si="140"/>
        <v/>
      </c>
      <c r="WB15" s="110"/>
      <c r="WC15" s="111"/>
      <c r="WD15" s="112"/>
      <c r="WE15" s="113" t="str">
        <f>IFERROR((((COUNTIF('Elève (3ème2)'!WB15:WD15,"A"))*4)+((COUNTIF('Elève (3ème2)'!WB15:WD15,"B"))*3)+((COUNTIF('Elève (3ème2)'!WB15:WD15,"C"))*2)+((COUNTIF('Elève (3ème2)'!WB15:WD15,"D"))*1))/(COUNTA(WB15:WD15)),"")</f>
        <v/>
      </c>
      <c r="WF15" s="114" t="str">
        <f t="shared" si="141"/>
        <v/>
      </c>
      <c r="WG15" s="110"/>
      <c r="WH15" s="111"/>
      <c r="WI15" s="112"/>
      <c r="WJ15" s="113" t="str">
        <f>IFERROR((((COUNTIF('Elève (3ème2)'!WG15:WI15,"A"))*4)+((COUNTIF('Elève (3ème2)'!WG15:WI15,"B"))*3)+((COUNTIF('Elève (3ème2)'!WG15:WI15,"C"))*2)+((COUNTIF('Elève (3ème2)'!WG15:WI15,"D"))*1))/(COUNTA(WG15:WI15)),"")</f>
        <v/>
      </c>
      <c r="WK15" s="114" t="str">
        <f t="shared" si="142"/>
        <v/>
      </c>
      <c r="WL15" s="110"/>
      <c r="WM15" s="111"/>
      <c r="WN15" s="116"/>
      <c r="WO15" s="113" t="str">
        <f>IFERROR((((COUNTIF('Elève (3ème2)'!WL15:WN15,"A"))*4)+((COUNTIF('Elève (3ème2)'!WL15:WN15,"B"))*3)+((COUNTIF('Elève (3ème2)'!WL15:WN15,"C"))*2)+((COUNTIF('Elève (3ème2)'!WL15:WN15,"D"))*1))/(COUNTA(WL15:WN15)),"")</f>
        <v/>
      </c>
      <c r="WP15" s="114" t="str">
        <f t="shared" si="143"/>
        <v/>
      </c>
      <c r="WQ15" s="122" t="str">
        <f>IF(COUNT(WE15,WJ15,WO15)=0,"",SUM(WE15,WJ15,WO15)/COUNT(WE15,WJ15,WO15))</f>
        <v/>
      </c>
      <c r="WR15" s="115" t="str">
        <f t="shared" si="144"/>
        <v/>
      </c>
    </row>
    <row r="16" spans="1:616" s="95" customFormat="1" ht="16.5" customHeight="1" thickBot="1" x14ac:dyDescent="0.6">
      <c r="A16" s="145" t="s">
        <v>20</v>
      </c>
      <c r="B16" s="120">
        <v>2</v>
      </c>
      <c r="C16" s="152"/>
      <c r="D16" s="65"/>
      <c r="E16" s="85"/>
      <c r="F16" s="159">
        <f>IF(COUNT(F17:F19)=0,"",SUM(F17:F19)/COUNT(F17:F19))</f>
        <v>3</v>
      </c>
      <c r="G16" s="160" t="str">
        <f t="shared" si="25"/>
        <v>B</v>
      </c>
      <c r="H16" s="152"/>
      <c r="I16" s="65"/>
      <c r="J16" s="65"/>
      <c r="K16" s="85"/>
      <c r="L16" s="159">
        <f>IF(COUNT(L17:L19)=0,"",SUM(L17:L19)/COUNT(L17:L19))</f>
        <v>2.5</v>
      </c>
      <c r="M16" s="175" t="str">
        <f t="shared" si="26"/>
        <v>C</v>
      </c>
      <c r="N16" s="153"/>
      <c r="O16" s="90"/>
      <c r="P16" s="90"/>
      <c r="Q16" s="90"/>
      <c r="R16" s="90"/>
      <c r="S16" s="91"/>
      <c r="T16" s="159">
        <f>IF(COUNT(T17:T19)=0,"",SUM(T17:T19)/COUNT(T17:T19))</f>
        <v>3.5</v>
      </c>
      <c r="U16" s="183" t="str">
        <f t="shared" si="27"/>
        <v>B</v>
      </c>
      <c r="V16" s="184">
        <f>IF(COUNT(V17:V19)=0,"",SUM(V17:V19)/COUNT(V17:V19))</f>
        <v>3.083333333333333</v>
      </c>
      <c r="W16" s="185" t="str">
        <f t="shared" si="28"/>
        <v>B</v>
      </c>
      <c r="X16" s="196"/>
      <c r="Y16" s="65"/>
      <c r="Z16" s="85"/>
      <c r="AA16" s="159">
        <f>IF(COUNT(AA17:AA19)=0,"",SUM(AA17:AA19)/COUNT(AA17:AA19))</f>
        <v>2</v>
      </c>
      <c r="AB16" s="160" t="str">
        <f t="shared" si="29"/>
        <v>C</v>
      </c>
      <c r="AC16" s="152"/>
      <c r="AD16" s="65"/>
      <c r="AE16" s="65"/>
      <c r="AF16" s="85"/>
      <c r="AG16" s="159">
        <f>IF(COUNT(AG17:AG19)=0,"",SUM(AG17:AG19)/COUNT(AG17:AG19))</f>
        <v>2</v>
      </c>
      <c r="AH16" s="175" t="str">
        <f t="shared" si="30"/>
        <v>C</v>
      </c>
      <c r="AI16" s="153"/>
      <c r="AJ16" s="90"/>
      <c r="AK16" s="90"/>
      <c r="AL16" s="90"/>
      <c r="AM16" s="90"/>
      <c r="AN16" s="91"/>
      <c r="AO16" s="159">
        <f>IF(COUNT(AO17:AO19)=0,"",SUM(AO17:AO19)/COUNT(AO17:AO19))</f>
        <v>2.166666666666667</v>
      </c>
      <c r="AP16" s="183" t="str">
        <f t="shared" si="31"/>
        <v>C</v>
      </c>
      <c r="AQ16" s="184">
        <f>IF(COUNT(AQ17:AQ19)=0,"",SUM(AQ17:AQ19)/COUNT(AQ17:AQ19))</f>
        <v>2.0555555555555554</v>
      </c>
      <c r="AR16" s="185" t="str">
        <f t="shared" si="32"/>
        <v>C</v>
      </c>
      <c r="AS16" s="196"/>
      <c r="AT16" s="65"/>
      <c r="AU16" s="85"/>
      <c r="AV16" s="159">
        <f>IF(COUNT(AV17:AV19)=0,"",SUM(AV17:AV19)/COUNT(AV17:AV19))</f>
        <v>1</v>
      </c>
      <c r="AW16" s="160" t="str">
        <f t="shared" si="33"/>
        <v>D</v>
      </c>
      <c r="AX16" s="152"/>
      <c r="AY16" s="65"/>
      <c r="AZ16" s="65"/>
      <c r="BA16" s="85"/>
      <c r="BB16" s="159">
        <f>IF(COUNT(BB17:BB19)=0,"",SUM(BB17:BB19)/COUNT(BB17:BB19))</f>
        <v>2</v>
      </c>
      <c r="BC16" s="175" t="str">
        <f t="shared" si="34"/>
        <v>C</v>
      </c>
      <c r="BD16" s="153"/>
      <c r="BE16" s="90"/>
      <c r="BF16" s="90"/>
      <c r="BG16" s="90"/>
      <c r="BH16" s="90"/>
      <c r="BI16" s="91"/>
      <c r="BJ16" s="159">
        <f>IF(COUNT(BJ17:BJ19)=0,"",SUM(BJ17:BJ19)/COUNT(BJ17:BJ19))</f>
        <v>2</v>
      </c>
      <c r="BK16" s="183" t="str">
        <f t="shared" si="35"/>
        <v>C</v>
      </c>
      <c r="BL16" s="184">
        <f>IF(COUNT(BL17:BL19)=0,"",SUM(BL17:BL19)/COUNT(BL17:BL19))</f>
        <v>1.8888888888888888</v>
      </c>
      <c r="BM16" s="185" t="str">
        <f t="shared" si="36"/>
        <v>C</v>
      </c>
      <c r="BN16" s="196"/>
      <c r="BO16" s="65"/>
      <c r="BP16" s="85"/>
      <c r="BQ16" s="159">
        <f>IF(COUNT(BQ17:BQ19)=0,"",SUM(BQ17:BQ19)/COUNT(BQ17:BQ19))</f>
        <v>2</v>
      </c>
      <c r="BR16" s="160" t="str">
        <f t="shared" si="37"/>
        <v>C</v>
      </c>
      <c r="BS16" s="152"/>
      <c r="BT16" s="65"/>
      <c r="BU16" s="65"/>
      <c r="BV16" s="85"/>
      <c r="BW16" s="159">
        <f>IF(COUNT(BW17:BW19)=0,"",SUM(BW17:BW19)/COUNT(BW17:BW19))</f>
        <v>3.5</v>
      </c>
      <c r="BX16" s="175" t="str">
        <f t="shared" si="38"/>
        <v>B</v>
      </c>
      <c r="BY16" s="153"/>
      <c r="BZ16" s="90"/>
      <c r="CA16" s="90"/>
      <c r="CB16" s="90"/>
      <c r="CC16" s="90"/>
      <c r="CD16" s="91"/>
      <c r="CE16" s="159">
        <f>IF(COUNT(CE17:CE19)=0,"",SUM(CE17:CE19)/COUNT(CE17:CE19))</f>
        <v>2.1666666666666665</v>
      </c>
      <c r="CF16" s="183" t="str">
        <f t="shared" si="39"/>
        <v>C</v>
      </c>
      <c r="CG16" s="184">
        <f>IF(COUNT(CG17:CG19)=0,"",SUM(CG17:CG19)/COUNT(CG17:CG19))</f>
        <v>2.6944444444444446</v>
      </c>
      <c r="CH16" s="185" t="str">
        <f t="shared" si="40"/>
        <v>C</v>
      </c>
      <c r="CI16" s="196"/>
      <c r="CJ16" s="65"/>
      <c r="CK16" s="85"/>
      <c r="CL16" s="159">
        <f>IF(COUNT(CL17:CL19)=0,"",SUM(CL17:CL19)/COUNT(CL17:CL19))</f>
        <v>3</v>
      </c>
      <c r="CM16" s="160" t="str">
        <f t="shared" si="41"/>
        <v>B</v>
      </c>
      <c r="CN16" s="152"/>
      <c r="CO16" s="65"/>
      <c r="CP16" s="65"/>
      <c r="CQ16" s="85"/>
      <c r="CR16" s="159">
        <f>IF(COUNT(CR17:CR19)=0,"",SUM(CR17:CR19)/COUNT(CR17:CR19))</f>
        <v>2.5</v>
      </c>
      <c r="CS16" s="175" t="str">
        <f t="shared" si="42"/>
        <v>C</v>
      </c>
      <c r="CT16" s="153"/>
      <c r="CU16" s="90"/>
      <c r="CV16" s="90"/>
      <c r="CW16" s="90"/>
      <c r="CX16" s="90"/>
      <c r="CY16" s="91"/>
      <c r="CZ16" s="159">
        <f>IF(COUNT(CZ17:CZ19)=0,"",SUM(CZ17:CZ19)/COUNT(CZ17:CZ19))</f>
        <v>3.3333333333333335</v>
      </c>
      <c r="DA16" s="183" t="str">
        <f t="shared" si="43"/>
        <v>B</v>
      </c>
      <c r="DB16" s="184">
        <f>IF(COUNT(DB17:DB19)=0,"",SUM(DB17:DB19)/COUNT(DB17:DB19))</f>
        <v>2.9722222222222223</v>
      </c>
      <c r="DC16" s="185" t="str">
        <f t="shared" si="44"/>
        <v>B</v>
      </c>
      <c r="DD16" s="196"/>
      <c r="DE16" s="65"/>
      <c r="DF16" s="85"/>
      <c r="DG16" s="159">
        <f>IF(COUNT(DG17:DG19)=0,"",SUM(DG17:DG19)/COUNT(DG17:DG19))</f>
        <v>2</v>
      </c>
      <c r="DH16" s="160" t="str">
        <f t="shared" si="45"/>
        <v>C</v>
      </c>
      <c r="DI16" s="152"/>
      <c r="DJ16" s="65"/>
      <c r="DK16" s="65"/>
      <c r="DL16" s="85"/>
      <c r="DM16" s="159">
        <f>IF(COUNT(DM17:DM19)=0,"",SUM(DM17:DM19)/COUNT(DM17:DM19))</f>
        <v>1.5</v>
      </c>
      <c r="DN16" s="175" t="str">
        <f t="shared" si="46"/>
        <v>D</v>
      </c>
      <c r="DO16" s="153"/>
      <c r="DP16" s="90"/>
      <c r="DQ16" s="90"/>
      <c r="DR16" s="90"/>
      <c r="DS16" s="90"/>
      <c r="DT16" s="91"/>
      <c r="DU16" s="159">
        <f>IF(COUNT(DU17:DU19)=0,"",SUM(DU17:DU19)/COUNT(DU17:DU19))</f>
        <v>2.666666666666667</v>
      </c>
      <c r="DV16" s="183" t="str">
        <f t="shared" si="47"/>
        <v>C</v>
      </c>
      <c r="DW16" s="184">
        <f>IF(COUNT(DW17:DW19)=0,"",SUM(DW17:DW19)/COUNT(DW17:DW19))</f>
        <v>2.1388888888888888</v>
      </c>
      <c r="DX16" s="185" t="str">
        <f t="shared" si="48"/>
        <v>C</v>
      </c>
      <c r="DY16" s="196"/>
      <c r="DZ16" s="65"/>
      <c r="EA16" s="85"/>
      <c r="EB16" s="159">
        <f>IF(COUNT(EB17:EB19)=0,"",SUM(EB17:EB19)/COUNT(EB17:EB19))</f>
        <v>3</v>
      </c>
      <c r="EC16" s="160" t="str">
        <f t="shared" si="49"/>
        <v>B</v>
      </c>
      <c r="ED16" s="152"/>
      <c r="EE16" s="65"/>
      <c r="EF16" s="65"/>
      <c r="EG16" s="85"/>
      <c r="EH16" s="159">
        <f>IF(COUNT(EH17:EH19)=0,"",SUM(EH17:EH19)/COUNT(EH17:EH19))</f>
        <v>2.5</v>
      </c>
      <c r="EI16" s="175" t="str">
        <f t="shared" si="50"/>
        <v>C</v>
      </c>
      <c r="EJ16" s="153"/>
      <c r="EK16" s="90"/>
      <c r="EL16" s="90"/>
      <c r="EM16" s="90"/>
      <c r="EN16" s="90"/>
      <c r="EO16" s="91"/>
      <c r="EP16" s="159">
        <f>IF(COUNT(EP17:EP19)=0,"",SUM(EP17:EP19)/COUNT(EP17:EP19))</f>
        <v>2.333333333333333</v>
      </c>
      <c r="EQ16" s="183" t="str">
        <f t="shared" si="51"/>
        <v>C</v>
      </c>
      <c r="ER16" s="184">
        <f>IF(COUNT(ER17:ER19)=0,"",SUM(ER17:ER19)/COUNT(ER17:ER19))</f>
        <v>2.583333333333333</v>
      </c>
      <c r="ES16" s="185" t="str">
        <f t="shared" si="52"/>
        <v>C</v>
      </c>
      <c r="ET16" s="196"/>
      <c r="EU16" s="65"/>
      <c r="EV16" s="85"/>
      <c r="EW16" s="159">
        <f>IF(COUNT(EW17:EW19)=0,"",SUM(EW17:EW19)/COUNT(EW17:EW19))</f>
        <v>2</v>
      </c>
      <c r="EX16" s="160" t="str">
        <f t="shared" si="53"/>
        <v>C</v>
      </c>
      <c r="EY16" s="152"/>
      <c r="EZ16" s="65"/>
      <c r="FA16" s="65"/>
      <c r="FB16" s="85"/>
      <c r="FC16" s="159">
        <f>IF(COUNT(FC17:FC19)=0,"",SUM(FC17:FC19)/COUNT(FC17:FC19))</f>
        <v>2</v>
      </c>
      <c r="FD16" s="175" t="str">
        <f t="shared" si="54"/>
        <v>C</v>
      </c>
      <c r="FE16" s="153"/>
      <c r="FF16" s="90"/>
      <c r="FG16" s="90"/>
      <c r="FH16" s="90"/>
      <c r="FI16" s="90"/>
      <c r="FJ16" s="91"/>
      <c r="FK16" s="159">
        <f>IF(COUNT(FK17:FK19)=0,"",SUM(FK17:FK19)/COUNT(FK17:FK19))</f>
        <v>2.3333333333333335</v>
      </c>
      <c r="FL16" s="183" t="str">
        <f t="shared" si="55"/>
        <v>C</v>
      </c>
      <c r="FM16" s="184">
        <f>IF(COUNT(FM17:FM19)=0,"",SUM(FM17:FM19)/COUNT(FM17:FM19))</f>
        <v>2.2222222222222223</v>
      </c>
      <c r="FN16" s="185" t="str">
        <f t="shared" si="56"/>
        <v>C</v>
      </c>
      <c r="FO16" s="196"/>
      <c r="FP16" s="65"/>
      <c r="FQ16" s="85"/>
      <c r="FR16" s="159">
        <f>IF(COUNT(FR17:FR19)=0,"",SUM(FR17:FR19)/COUNT(FR17:FR19))</f>
        <v>3</v>
      </c>
      <c r="FS16" s="160" t="str">
        <f t="shared" si="57"/>
        <v>B</v>
      </c>
      <c r="FT16" s="152"/>
      <c r="FU16" s="65"/>
      <c r="FV16" s="65"/>
      <c r="FW16" s="85"/>
      <c r="FX16" s="159">
        <f>IF(COUNT(FX17:FX19)=0,"",SUM(FX17:FX19)/COUNT(FX17:FX19))</f>
        <v>3.5</v>
      </c>
      <c r="FY16" s="175" t="str">
        <f t="shared" si="58"/>
        <v>B</v>
      </c>
      <c r="FZ16" s="153"/>
      <c r="GA16" s="90"/>
      <c r="GB16" s="90"/>
      <c r="GC16" s="90"/>
      <c r="GD16" s="90"/>
      <c r="GE16" s="91"/>
      <c r="GF16" s="159">
        <f>IF(COUNT(GF17:GF19)=0,"",SUM(GF17:GF19)/COUNT(GF17:GF19))</f>
        <v>2.75</v>
      </c>
      <c r="GG16" s="183" t="str">
        <f t="shared" si="59"/>
        <v>C</v>
      </c>
      <c r="GH16" s="184">
        <f>IF(COUNT(GH17:GH19)=0,"",SUM(GH17:GH19)/COUNT(GH17:GH19))</f>
        <v>3.208333333333333</v>
      </c>
      <c r="GI16" s="185" t="str">
        <f t="shared" si="60"/>
        <v>B</v>
      </c>
      <c r="GJ16" s="196"/>
      <c r="GK16" s="65"/>
      <c r="GL16" s="85"/>
      <c r="GM16" s="159">
        <f>IF(COUNT(GM17:GM19)=0,"",SUM(GM17:GM19)/COUNT(GM17:GM19))</f>
        <v>2</v>
      </c>
      <c r="GN16" s="160" t="str">
        <f t="shared" si="61"/>
        <v>C</v>
      </c>
      <c r="GO16" s="152"/>
      <c r="GP16" s="65"/>
      <c r="GQ16" s="65"/>
      <c r="GR16" s="85"/>
      <c r="GS16" s="159">
        <f>IF(COUNT(GS17:GS19)=0,"",SUM(GS17:GS19)/COUNT(GS17:GS19))</f>
        <v>1.5</v>
      </c>
      <c r="GT16" s="175" t="str">
        <f t="shared" si="62"/>
        <v>D</v>
      </c>
      <c r="GU16" s="153"/>
      <c r="GV16" s="90"/>
      <c r="GW16" s="90"/>
      <c r="GX16" s="90"/>
      <c r="GY16" s="90"/>
      <c r="GZ16" s="91"/>
      <c r="HA16" s="159">
        <f>IF(COUNT(HA17:HA19)=0,"",SUM(HA17:HA19)/COUNT(HA17:HA19))</f>
        <v>2.666666666666667</v>
      </c>
      <c r="HB16" s="183" t="str">
        <f t="shared" si="63"/>
        <v>C</v>
      </c>
      <c r="HC16" s="184">
        <f>IF(COUNT(HC17:HC19)=0,"",SUM(HC17:HC19)/COUNT(HC17:HC19))</f>
        <v>2.1388888888888888</v>
      </c>
      <c r="HD16" s="185" t="str">
        <f t="shared" si="64"/>
        <v>C</v>
      </c>
      <c r="HE16" s="196"/>
      <c r="HF16" s="65"/>
      <c r="HG16" s="85"/>
      <c r="HH16" s="159">
        <f>IF(COUNT(HH17:HH19)=0,"",SUM(HH17:HH19)/COUNT(HH17:HH19))</f>
        <v>3</v>
      </c>
      <c r="HI16" s="160" t="str">
        <f t="shared" si="65"/>
        <v>B</v>
      </c>
      <c r="HJ16" s="152"/>
      <c r="HK16" s="65"/>
      <c r="HL16" s="65"/>
      <c r="HM16" s="85"/>
      <c r="HN16" s="159">
        <f>IF(COUNT(HN17:HN19)=0,"",SUM(HN17:HN19)/COUNT(HN17:HN19))</f>
        <v>3</v>
      </c>
      <c r="HO16" s="175" t="str">
        <f t="shared" si="66"/>
        <v>B</v>
      </c>
      <c r="HP16" s="153"/>
      <c r="HQ16" s="90"/>
      <c r="HR16" s="90"/>
      <c r="HS16" s="90"/>
      <c r="HT16" s="90"/>
      <c r="HU16" s="91"/>
      <c r="HV16" s="159">
        <f>IF(COUNT(HV17:HV19)=0,"",SUM(HV17:HV19)/COUNT(HV17:HV19))</f>
        <v>3</v>
      </c>
      <c r="HW16" s="183" t="str">
        <f t="shared" si="67"/>
        <v>B</v>
      </c>
      <c r="HX16" s="184">
        <f>IF(COUNT(HX17:HX19)=0,"",SUM(HX17:HX19)/COUNT(HX17:HX19))</f>
        <v>2.9444444444444446</v>
      </c>
      <c r="HY16" s="185" t="str">
        <f t="shared" si="68"/>
        <v>B</v>
      </c>
      <c r="HZ16" s="196"/>
      <c r="IA16" s="65"/>
      <c r="IB16" s="85"/>
      <c r="IC16" s="159">
        <f>IF(COUNT(IC17:IC19)=0,"",SUM(IC17:IC19)/COUNT(IC17:IC19))</f>
        <v>4</v>
      </c>
      <c r="ID16" s="160" t="str">
        <f t="shared" si="69"/>
        <v>A</v>
      </c>
      <c r="IE16" s="152"/>
      <c r="IF16" s="65"/>
      <c r="IG16" s="65"/>
      <c r="IH16" s="85"/>
      <c r="II16" s="159">
        <f>IF(COUNT(II17:II19)=0,"",SUM(II17:II19)/COUNT(II17:II19))</f>
        <v>3</v>
      </c>
      <c r="IJ16" s="175" t="str">
        <f t="shared" si="70"/>
        <v>B</v>
      </c>
      <c r="IK16" s="153"/>
      <c r="IL16" s="90"/>
      <c r="IM16" s="90"/>
      <c r="IN16" s="90"/>
      <c r="IO16" s="90"/>
      <c r="IP16" s="91"/>
      <c r="IQ16" s="159">
        <f>IF(COUNT(IQ17:IQ19)=0,"",SUM(IQ17:IQ19)/COUNT(IQ17:IQ19))</f>
        <v>3</v>
      </c>
      <c r="IR16" s="183" t="str">
        <f t="shared" si="71"/>
        <v>B</v>
      </c>
      <c r="IS16" s="184">
        <f>IF(COUNT(IS17:IS19)=0,"",SUM(IS17:IS19)/COUNT(IS17:IS19))</f>
        <v>3.166666666666667</v>
      </c>
      <c r="IT16" s="185" t="str">
        <f t="shared" si="72"/>
        <v>B</v>
      </c>
      <c r="IU16" s="196"/>
      <c r="IV16" s="65"/>
      <c r="IW16" s="85"/>
      <c r="IX16" s="159">
        <f>IF(COUNT(IX17:IX19)=0,"",SUM(IX17:IX19)/COUNT(IX17:IX19))</f>
        <v>2</v>
      </c>
      <c r="IY16" s="160" t="str">
        <f t="shared" si="73"/>
        <v>C</v>
      </c>
      <c r="IZ16" s="152"/>
      <c r="JA16" s="65"/>
      <c r="JB16" s="65"/>
      <c r="JC16" s="85"/>
      <c r="JD16" s="159">
        <f>IF(COUNT(JD17:JD19)=0,"",SUM(JD17:JD19)/COUNT(JD17:JD19))</f>
        <v>2</v>
      </c>
      <c r="JE16" s="175" t="str">
        <f t="shared" si="74"/>
        <v>C</v>
      </c>
      <c r="JF16" s="153"/>
      <c r="JG16" s="90"/>
      <c r="JH16" s="90"/>
      <c r="JI16" s="90"/>
      <c r="JJ16" s="90"/>
      <c r="JK16" s="91"/>
      <c r="JL16" s="159">
        <f>IF(COUNT(JL17:JL19)=0,"",SUM(JL17:JL19)/COUNT(JL17:JL19))</f>
        <v>2.666666666666667</v>
      </c>
      <c r="JM16" s="183" t="str">
        <f t="shared" si="75"/>
        <v>C</v>
      </c>
      <c r="JN16" s="184">
        <f>IF(COUNT(JN17:JN19)=0,"",SUM(JN17:JN19)/COUNT(JN17:JN19))</f>
        <v>2.3888888888888888</v>
      </c>
      <c r="JO16" s="185" t="str">
        <f t="shared" si="76"/>
        <v>C</v>
      </c>
      <c r="JP16" s="196"/>
      <c r="JQ16" s="65"/>
      <c r="JR16" s="85"/>
      <c r="JS16" s="159">
        <f>IF(COUNT(JS17:JS19)=0,"",SUM(JS17:JS19)/COUNT(JS17:JS19))</f>
        <v>3</v>
      </c>
      <c r="JT16" s="160" t="str">
        <f t="shared" si="77"/>
        <v>B</v>
      </c>
      <c r="JU16" s="152"/>
      <c r="JV16" s="65"/>
      <c r="JW16" s="65"/>
      <c r="JX16" s="85"/>
      <c r="JY16" s="159">
        <f>IF(COUNT(JY17:JY19)=0,"",SUM(JY17:JY19)/COUNT(JY17:JY19))</f>
        <v>2.5</v>
      </c>
      <c r="JZ16" s="175" t="str">
        <f t="shared" si="78"/>
        <v>C</v>
      </c>
      <c r="KA16" s="153"/>
      <c r="KB16" s="90"/>
      <c r="KC16" s="90"/>
      <c r="KD16" s="90"/>
      <c r="KE16" s="90"/>
      <c r="KF16" s="91"/>
      <c r="KG16" s="159">
        <f>IF(COUNT(KG17:KG19)=0,"",SUM(KG17:KG19)/COUNT(KG17:KG19))</f>
        <v>3</v>
      </c>
      <c r="KH16" s="183" t="str">
        <f t="shared" si="79"/>
        <v>B</v>
      </c>
      <c r="KI16" s="184">
        <f>IF(COUNT(KI17:KI19)=0,"",SUM(KI17:KI19)/COUNT(KI17:KI19))</f>
        <v>2.8611111111111112</v>
      </c>
      <c r="KJ16" s="185" t="str">
        <f t="shared" si="80"/>
        <v>B</v>
      </c>
      <c r="KK16" s="196"/>
      <c r="KL16" s="65"/>
      <c r="KM16" s="85"/>
      <c r="KN16" s="159">
        <f>IF(COUNT(KN17:KN19)=0,"",SUM(KN17:KN19)/COUNT(KN17:KN19))</f>
        <v>3</v>
      </c>
      <c r="KO16" s="160" t="str">
        <f t="shared" si="81"/>
        <v>B</v>
      </c>
      <c r="KP16" s="152"/>
      <c r="KQ16" s="65"/>
      <c r="KR16" s="65"/>
      <c r="KS16" s="85"/>
      <c r="KT16" s="159">
        <f>IF(COUNT(KT17:KT19)=0,"",SUM(KT17:KT19)/COUNT(KT17:KT19))</f>
        <v>1.5</v>
      </c>
      <c r="KU16" s="175" t="str">
        <f t="shared" si="82"/>
        <v>D</v>
      </c>
      <c r="KV16" s="153"/>
      <c r="KW16" s="90"/>
      <c r="KX16" s="90"/>
      <c r="KY16" s="90"/>
      <c r="KZ16" s="90"/>
      <c r="LA16" s="91"/>
      <c r="LB16" s="159">
        <f>IF(COUNT(LB17:LB19)=0,"",SUM(LB17:LB19)/COUNT(LB17:LB19))</f>
        <v>3</v>
      </c>
      <c r="LC16" s="183" t="str">
        <f t="shared" si="83"/>
        <v>B</v>
      </c>
      <c r="LD16" s="184">
        <f>IF(COUNT(LD17:LD19)=0,"",SUM(LD17:LD19)/COUNT(LD17:LD19))</f>
        <v>2.416666666666667</v>
      </c>
      <c r="LE16" s="185" t="str">
        <f t="shared" si="84"/>
        <v>C</v>
      </c>
      <c r="LF16" s="196"/>
      <c r="LG16" s="65"/>
      <c r="LH16" s="85"/>
      <c r="LI16" s="159">
        <f>IF(COUNT(LI17:LI19)=0,"",SUM(LI17:LI19)/COUNT(LI17:LI19))</f>
        <v>3</v>
      </c>
      <c r="LJ16" s="160" t="str">
        <f t="shared" si="85"/>
        <v>B</v>
      </c>
      <c r="LK16" s="152"/>
      <c r="LL16" s="65"/>
      <c r="LM16" s="65"/>
      <c r="LN16" s="85"/>
      <c r="LO16" s="159">
        <f>IF(COUNT(LO17:LO19)=0,"",SUM(LO17:LO19)/COUNT(LO17:LO19))</f>
        <v>1</v>
      </c>
      <c r="LP16" s="175" t="str">
        <f t="shared" si="86"/>
        <v>D</v>
      </c>
      <c r="LQ16" s="153"/>
      <c r="LR16" s="90"/>
      <c r="LS16" s="90"/>
      <c r="LT16" s="90"/>
      <c r="LU16" s="90"/>
      <c r="LV16" s="91"/>
      <c r="LW16" s="159">
        <f>IF(COUNT(LW17:LW19)=0,"",SUM(LW17:LW19)/COUNT(LW17:LW19))</f>
        <v>2.166666666666667</v>
      </c>
      <c r="LX16" s="183" t="str">
        <f t="shared" si="87"/>
        <v>C</v>
      </c>
      <c r="LY16" s="184">
        <f>IF(COUNT(LY17:LY19)=0,"",SUM(LY17:LY19)/COUNT(LY17:LY19))</f>
        <v>1.8333333333333335</v>
      </c>
      <c r="LZ16" s="185" t="str">
        <f t="shared" si="88"/>
        <v>C</v>
      </c>
      <c r="MA16" s="196"/>
      <c r="MB16" s="65"/>
      <c r="MC16" s="85"/>
      <c r="MD16" s="159">
        <f>IF(COUNT(MD17:MD19)=0,"",SUM(MD17:MD19)/COUNT(MD17:MD19))</f>
        <v>4</v>
      </c>
      <c r="ME16" s="160" t="str">
        <f t="shared" si="89"/>
        <v>A</v>
      </c>
      <c r="MF16" s="152"/>
      <c r="MG16" s="65"/>
      <c r="MH16" s="65"/>
      <c r="MI16" s="85"/>
      <c r="MJ16" s="159">
        <f>IF(COUNT(MJ17:MJ19)=0,"",SUM(MJ17:MJ19)/COUNT(MJ17:MJ19))</f>
        <v>3.5</v>
      </c>
      <c r="MK16" s="175" t="str">
        <f t="shared" si="90"/>
        <v>B</v>
      </c>
      <c r="ML16" s="153"/>
      <c r="MM16" s="90"/>
      <c r="MN16" s="90"/>
      <c r="MO16" s="90"/>
      <c r="MP16" s="90"/>
      <c r="MQ16" s="91"/>
      <c r="MR16" s="159">
        <f>IF(COUNT(MR17:MR19)=0,"",SUM(MR17:MR19)/COUNT(MR17:MR19))</f>
        <v>2.166666666666667</v>
      </c>
      <c r="MS16" s="183" t="str">
        <f t="shared" si="91"/>
        <v>C</v>
      </c>
      <c r="MT16" s="184">
        <f>IF(COUNT(MT17:MT19)=0,"",SUM(MT17:MT19)/COUNT(MT17:MT19))</f>
        <v>3.0833333333333335</v>
      </c>
      <c r="MU16" s="185" t="str">
        <f t="shared" si="92"/>
        <v>B</v>
      </c>
      <c r="MV16" s="196"/>
      <c r="MW16" s="65"/>
      <c r="MX16" s="85"/>
      <c r="MY16" s="159">
        <f>IF(COUNT(MY17:MY19)=0,"",SUM(MY17:MY19)/COUNT(MY17:MY19))</f>
        <v>3</v>
      </c>
      <c r="MZ16" s="160" t="str">
        <f t="shared" si="93"/>
        <v>B</v>
      </c>
      <c r="NA16" s="152"/>
      <c r="NB16" s="65"/>
      <c r="NC16" s="65"/>
      <c r="ND16" s="85"/>
      <c r="NE16" s="159">
        <f>IF(COUNT(NE17:NE19)=0,"",SUM(NE17:NE19)/COUNT(NE17:NE19))</f>
        <v>2</v>
      </c>
      <c r="NF16" s="175" t="str">
        <f t="shared" si="94"/>
        <v>C</v>
      </c>
      <c r="NG16" s="153"/>
      <c r="NH16" s="90"/>
      <c r="NI16" s="90"/>
      <c r="NJ16" s="90"/>
      <c r="NK16" s="90"/>
      <c r="NL16" s="91"/>
      <c r="NM16" s="159">
        <f>IF(COUNT(NM17:NM19)=0,"",SUM(NM17:NM19)/COUNT(NM17:NM19))</f>
        <v>3.3333333333333335</v>
      </c>
      <c r="NN16" s="183" t="str">
        <f t="shared" si="95"/>
        <v>B</v>
      </c>
      <c r="NO16" s="184">
        <f>IF(COUNT(NO17:NO19)=0,"",SUM(NO17:NO19)/COUNT(NO17:NO19))</f>
        <v>2.7222222222222223</v>
      </c>
      <c r="NP16" s="185" t="str">
        <f t="shared" si="96"/>
        <v>C</v>
      </c>
      <c r="NQ16" s="196"/>
      <c r="NR16" s="65"/>
      <c r="NS16" s="85"/>
      <c r="NT16" s="159">
        <f>IF(COUNT(NT17:NT19)=0,"",SUM(NT17:NT19)/COUNT(NT17:NT19))</f>
        <v>3</v>
      </c>
      <c r="NU16" s="160" t="str">
        <f t="shared" si="97"/>
        <v>B</v>
      </c>
      <c r="NV16" s="152"/>
      <c r="NW16" s="65"/>
      <c r="NX16" s="65"/>
      <c r="NY16" s="85"/>
      <c r="NZ16" s="159">
        <f>IF(COUNT(NZ17:NZ19)=0,"",SUM(NZ17:NZ19)/COUNT(NZ17:NZ19))</f>
        <v>2</v>
      </c>
      <c r="OA16" s="175" t="str">
        <f t="shared" si="98"/>
        <v>C</v>
      </c>
      <c r="OB16" s="153"/>
      <c r="OC16" s="90"/>
      <c r="OD16" s="90"/>
      <c r="OE16" s="90"/>
      <c r="OF16" s="90"/>
      <c r="OG16" s="91"/>
      <c r="OH16" s="159">
        <f>IF(COUNT(OH17:OH19)=0,"",SUM(OH17:OH19)/COUNT(OH17:OH19))</f>
        <v>2.6666666666666665</v>
      </c>
      <c r="OI16" s="183" t="str">
        <f t="shared" si="99"/>
        <v>C</v>
      </c>
      <c r="OJ16" s="184">
        <f>IF(COUNT(OJ17:OJ19)=0,"",SUM(OJ17:OJ19)/COUNT(OJ17:OJ19))</f>
        <v>2.4444444444444442</v>
      </c>
      <c r="OK16" s="185" t="str">
        <f t="shared" si="100"/>
        <v>C</v>
      </c>
      <c r="OL16" s="196"/>
      <c r="OM16" s="65"/>
      <c r="ON16" s="85"/>
      <c r="OO16" s="159">
        <f>IF(COUNT(OO17:OO19)=0,"",SUM(OO17:OO19)/COUNT(OO17:OO19))</f>
        <v>3</v>
      </c>
      <c r="OP16" s="160" t="str">
        <f t="shared" si="101"/>
        <v>B</v>
      </c>
      <c r="OQ16" s="152"/>
      <c r="OR16" s="65"/>
      <c r="OS16" s="65"/>
      <c r="OT16" s="85"/>
      <c r="OU16" s="159">
        <f>IF(COUNT(OU17:OU19)=0,"",SUM(OU17:OU19)/COUNT(OU17:OU19))</f>
        <v>3.5</v>
      </c>
      <c r="OV16" s="175" t="str">
        <f t="shared" si="102"/>
        <v>B</v>
      </c>
      <c r="OW16" s="153"/>
      <c r="OX16" s="90"/>
      <c r="OY16" s="90"/>
      <c r="OZ16" s="90"/>
      <c r="PA16" s="90"/>
      <c r="PB16" s="91"/>
      <c r="PC16" s="159">
        <f>IF(COUNT(PC17:PC19)=0,"",SUM(PC17:PC19)/COUNT(PC17:PC19))</f>
        <v>3.666666666666667</v>
      </c>
      <c r="PD16" s="183" t="str">
        <f t="shared" si="103"/>
        <v>B</v>
      </c>
      <c r="PE16" s="184">
        <f>IF(COUNT(PE17:PE19)=0,"",SUM(PE17:PE19)/COUNT(PE17:PE19))</f>
        <v>3.416666666666667</v>
      </c>
      <c r="PF16" s="185" t="str">
        <f t="shared" si="104"/>
        <v>B</v>
      </c>
      <c r="PG16" s="196"/>
      <c r="PH16" s="65"/>
      <c r="PI16" s="85"/>
      <c r="PJ16" s="159">
        <f>IF(COUNT(PJ17:PJ19)=0,"",SUM(PJ17:PJ19)/COUNT(PJ17:PJ19))</f>
        <v>2</v>
      </c>
      <c r="PK16" s="160" t="str">
        <f t="shared" si="105"/>
        <v>C</v>
      </c>
      <c r="PL16" s="152"/>
      <c r="PM16" s="65"/>
      <c r="PN16" s="65"/>
      <c r="PO16" s="85"/>
      <c r="PP16" s="159">
        <f>IF(COUNT(PP17:PP19)=0,"",SUM(PP17:PP19)/COUNT(PP17:PP19))</f>
        <v>3.5</v>
      </c>
      <c r="PQ16" s="175" t="str">
        <f t="shared" si="106"/>
        <v>B</v>
      </c>
      <c r="PR16" s="153"/>
      <c r="PS16" s="90"/>
      <c r="PT16" s="90"/>
      <c r="PU16" s="90"/>
      <c r="PV16" s="90"/>
      <c r="PW16" s="91"/>
      <c r="PX16" s="159">
        <f>IF(COUNT(PX17:PX19)=0,"",SUM(PX17:PX19)/COUNT(PX17:PX19))</f>
        <v>3.083333333333333</v>
      </c>
      <c r="PY16" s="183" t="str">
        <f t="shared" si="107"/>
        <v>B</v>
      </c>
      <c r="PZ16" s="184">
        <f>IF(COUNT(PZ17:PZ19)=0,"",SUM(PZ17:PZ19)/COUNT(PZ17:PZ19))</f>
        <v>3.0694444444444446</v>
      </c>
      <c r="QA16" s="185" t="str">
        <f t="shared" si="108"/>
        <v>B</v>
      </c>
      <c r="QB16" s="196"/>
      <c r="QC16" s="65"/>
      <c r="QD16" s="85"/>
      <c r="QE16" s="159">
        <f>IF(COUNT(QE17:QE19)=0,"",SUM(QE17:QE19)/COUNT(QE17:QE19))</f>
        <v>2</v>
      </c>
      <c r="QF16" s="160" t="str">
        <f t="shared" si="109"/>
        <v>C</v>
      </c>
      <c r="QG16" s="152"/>
      <c r="QH16" s="65"/>
      <c r="QI16" s="65"/>
      <c r="QJ16" s="85"/>
      <c r="QK16" s="159">
        <f>IF(COUNT(QK17:QK19)=0,"",SUM(QK17:QK19)/COUNT(QK17:QK19))</f>
        <v>2.5</v>
      </c>
      <c r="QL16" s="175" t="str">
        <f t="shared" si="110"/>
        <v>C</v>
      </c>
      <c r="QM16" s="153"/>
      <c r="QN16" s="90"/>
      <c r="QO16" s="90"/>
      <c r="QP16" s="90"/>
      <c r="QQ16" s="90"/>
      <c r="QR16" s="91"/>
      <c r="QS16" s="159">
        <f>IF(COUNT(QS17:QS19)=0,"",SUM(QS17:QS19)/COUNT(QS17:QS19))</f>
        <v>2.666666666666667</v>
      </c>
      <c r="QT16" s="183" t="str">
        <f t="shared" si="111"/>
        <v>C</v>
      </c>
      <c r="QU16" s="184">
        <f>IF(COUNT(QU17:QU19)=0,"",SUM(QU17:QU19)/COUNT(QU17:QU19))</f>
        <v>2.5833333333333335</v>
      </c>
      <c r="QV16" s="185" t="str">
        <f t="shared" si="112"/>
        <v>C</v>
      </c>
      <c r="QW16" s="196"/>
      <c r="QX16" s="65"/>
      <c r="QY16" s="85"/>
      <c r="QZ16" s="159">
        <f>IF(COUNT(QZ17:QZ19)=0,"",SUM(QZ17:QZ19)/COUNT(QZ17:QZ19))</f>
        <v>1</v>
      </c>
      <c r="RA16" s="160" t="str">
        <f t="shared" si="113"/>
        <v>D</v>
      </c>
      <c r="RB16" s="152"/>
      <c r="RC16" s="65"/>
      <c r="RD16" s="65"/>
      <c r="RE16" s="85"/>
      <c r="RF16" s="159">
        <f>IF(COUNT(RF17:RF19)=0,"",SUM(RF17:RF19)/COUNT(RF17:RF19))</f>
        <v>2.5</v>
      </c>
      <c r="RG16" s="175" t="str">
        <f t="shared" si="114"/>
        <v>C</v>
      </c>
      <c r="RH16" s="153"/>
      <c r="RI16" s="90"/>
      <c r="RJ16" s="90"/>
      <c r="RK16" s="90"/>
      <c r="RL16" s="90"/>
      <c r="RM16" s="91"/>
      <c r="RN16" s="159">
        <f>IF(COUNT(RN17:RN19)=0,"",SUM(RN17:RN19)/COUNT(RN17:RN19))</f>
        <v>2.666666666666667</v>
      </c>
      <c r="RO16" s="183" t="str">
        <f t="shared" si="115"/>
        <v>C</v>
      </c>
      <c r="RP16" s="184">
        <f>IF(COUNT(RP17:RP19)=0,"",SUM(RP17:RP19)/COUNT(RP17:RP19))</f>
        <v>2.3055555555555554</v>
      </c>
      <c r="RQ16" s="185" t="str">
        <f t="shared" si="116"/>
        <v>C</v>
      </c>
      <c r="RR16" s="196"/>
      <c r="RS16" s="65"/>
      <c r="RT16" s="85"/>
      <c r="RU16" s="159">
        <f>IF(COUNT(RU17:RU19)=0,"",SUM(RU17:RU19)/COUNT(RU17:RU19))</f>
        <v>3</v>
      </c>
      <c r="RV16" s="160" t="str">
        <f t="shared" si="117"/>
        <v>B</v>
      </c>
      <c r="RW16" s="152"/>
      <c r="RX16" s="65"/>
      <c r="RY16" s="65"/>
      <c r="RZ16" s="85"/>
      <c r="SA16" s="159">
        <f>IF(COUNT(SA17:SA19)=0,"",SUM(SA17:SA19)/COUNT(SA17:SA19))</f>
        <v>3</v>
      </c>
      <c r="SB16" s="175" t="str">
        <f t="shared" si="118"/>
        <v>B</v>
      </c>
      <c r="SC16" s="153"/>
      <c r="SD16" s="90"/>
      <c r="SE16" s="90"/>
      <c r="SF16" s="90"/>
      <c r="SG16" s="90"/>
      <c r="SH16" s="91"/>
      <c r="SI16" s="159">
        <f>IF(COUNT(SI17:SI19)=0,"",SUM(SI17:SI19)/COUNT(SI17:SI19))</f>
        <v>3</v>
      </c>
      <c r="SJ16" s="183" t="str">
        <f t="shared" si="119"/>
        <v>B</v>
      </c>
      <c r="SK16" s="184">
        <f>IF(COUNT(SK17:SK19)=0,"",SUM(SK17:SK19)/COUNT(SK17:SK19))</f>
        <v>3</v>
      </c>
      <c r="SL16" s="185" t="str">
        <f t="shared" si="120"/>
        <v>B</v>
      </c>
      <c r="SM16" s="196"/>
      <c r="SN16" s="65"/>
      <c r="SO16" s="85"/>
      <c r="SP16" s="159">
        <f>IF(COUNT(SP17:SP19)=0,"",SUM(SP17:SP19)/COUNT(SP17:SP19))</f>
        <v>3</v>
      </c>
      <c r="SQ16" s="160" t="str">
        <f t="shared" si="121"/>
        <v>B</v>
      </c>
      <c r="SR16" s="152"/>
      <c r="SS16" s="65"/>
      <c r="ST16" s="65"/>
      <c r="SU16" s="85"/>
      <c r="SV16" s="159">
        <f>IF(COUNT(SV17:SV19)=0,"",SUM(SV17:SV19)/COUNT(SV17:SV19))</f>
        <v>2</v>
      </c>
      <c r="SW16" s="175" t="str">
        <f t="shared" si="122"/>
        <v>C</v>
      </c>
      <c r="SX16" s="153"/>
      <c r="SY16" s="90"/>
      <c r="SZ16" s="90"/>
      <c r="TA16" s="90"/>
      <c r="TB16" s="90"/>
      <c r="TC16" s="91"/>
      <c r="TD16" s="159">
        <f>IF(COUNT(TD17:TD19)=0,"",SUM(TD17:TD19)/COUNT(TD17:TD19))</f>
        <v>2.666666666666667</v>
      </c>
      <c r="TE16" s="183" t="str">
        <f t="shared" si="123"/>
        <v>C</v>
      </c>
      <c r="TF16" s="184">
        <f>IF(COUNT(TF17:TF19)=0,"",SUM(TF17:TF19)/COUNT(TF17:TF19))</f>
        <v>2.4722222222222223</v>
      </c>
      <c r="TG16" s="185" t="str">
        <f t="shared" si="124"/>
        <v>C</v>
      </c>
      <c r="TH16" s="196"/>
      <c r="TI16" s="65"/>
      <c r="TJ16" s="85"/>
      <c r="TK16" s="159">
        <f>IF(COUNT(TK17:TK19)=0,"",SUM(TK17:TK19)/COUNT(TK17:TK19))</f>
        <v>1</v>
      </c>
      <c r="TL16" s="160" t="str">
        <f t="shared" si="125"/>
        <v>D</v>
      </c>
      <c r="TM16" s="152"/>
      <c r="TN16" s="65"/>
      <c r="TO16" s="65"/>
      <c r="TP16" s="85"/>
      <c r="TQ16" s="159">
        <f>IF(COUNT(TQ17:TQ19)=0,"",SUM(TQ17:TQ19)/COUNT(TQ17:TQ19))</f>
        <v>2</v>
      </c>
      <c r="TR16" s="175" t="str">
        <f t="shared" si="126"/>
        <v>C</v>
      </c>
      <c r="TS16" s="153"/>
      <c r="TT16" s="90"/>
      <c r="TU16" s="90"/>
      <c r="TV16" s="90"/>
      <c r="TW16" s="90"/>
      <c r="TX16" s="91"/>
      <c r="TY16" s="159">
        <f>IF(COUNT(TY17:TY19)=0,"",SUM(TY17:TY19)/COUNT(TY17:TY19))</f>
        <v>1.9166666666666665</v>
      </c>
      <c r="TZ16" s="183" t="str">
        <f t="shared" si="127"/>
        <v>C</v>
      </c>
      <c r="UA16" s="184">
        <f>IF(COUNT(UA17:UA19)=0,"",SUM(UA17:UA19)/COUNT(UA17:UA19))</f>
        <v>1.8472222222222223</v>
      </c>
      <c r="UB16" s="185" t="str">
        <f t="shared" si="128"/>
        <v>C</v>
      </c>
      <c r="UC16" s="121"/>
      <c r="UD16" s="65"/>
      <c r="UE16" s="85"/>
      <c r="UF16" s="86" t="str">
        <f>IF(COUNT(UF17:UF19)=0,"",SUM(UF17:UF19)/COUNT(UF17:UF19))</f>
        <v/>
      </c>
      <c r="UG16" s="87" t="str">
        <f t="shared" si="129"/>
        <v/>
      </c>
      <c r="UH16" s="84"/>
      <c r="UI16" s="65"/>
      <c r="UJ16" s="85"/>
      <c r="UK16" s="86" t="str">
        <f>IF(COUNT(UK17:UK19)=0,"",SUM(UK17:UK19)/COUNT(UK17:UK19))</f>
        <v/>
      </c>
      <c r="UL16" s="88" t="str">
        <f t="shared" si="130"/>
        <v/>
      </c>
      <c r="UM16" s="89"/>
      <c r="UN16" s="90"/>
      <c r="UO16" s="91"/>
      <c r="UP16" s="86" t="str">
        <f>IF(COUNT(UP17:UP19)=0,"",SUM(UP17:UP19)/COUNT(UP17:UP19))</f>
        <v/>
      </c>
      <c r="UQ16" s="92" t="str">
        <f t="shared" si="131"/>
        <v/>
      </c>
      <c r="UR16" s="93" t="str">
        <f>IF(COUNT(UR17:UR19)=0,"",SUM(UR17:UR19)/COUNT(UR17:UR19))</f>
        <v/>
      </c>
      <c r="US16" s="94" t="str">
        <f t="shared" si="132"/>
        <v/>
      </c>
      <c r="UT16" s="121"/>
      <c r="UU16" s="65"/>
      <c r="UV16" s="85"/>
      <c r="UW16" s="86" t="str">
        <f>IF(COUNT(UW17:UW19)=0,"",SUM(UW17:UW19)/COUNT(UW17:UW19))</f>
        <v/>
      </c>
      <c r="UX16" s="87" t="str">
        <f t="shared" si="133"/>
        <v/>
      </c>
      <c r="UY16" s="84"/>
      <c r="UZ16" s="65"/>
      <c r="VA16" s="85"/>
      <c r="VB16" s="86" t="str">
        <f>IF(COUNT(VB17:VB19)=0,"",SUM(VB17:VB19)/COUNT(VB17:VB19))</f>
        <v/>
      </c>
      <c r="VC16" s="88" t="str">
        <f t="shared" si="134"/>
        <v/>
      </c>
      <c r="VD16" s="89"/>
      <c r="VE16" s="90"/>
      <c r="VF16" s="91"/>
      <c r="VG16" s="86" t="str">
        <f>IF(COUNT(VG17:VG19)=0,"",SUM(VG17:VG19)/COUNT(VG17:VG19))</f>
        <v/>
      </c>
      <c r="VH16" s="92" t="str">
        <f t="shared" si="135"/>
        <v/>
      </c>
      <c r="VI16" s="93" t="str">
        <f>IF(COUNT(VI17:VI19)=0,"",SUM(VI17:VI19)/COUNT(VI17:VI19))</f>
        <v/>
      </c>
      <c r="VJ16" s="94" t="str">
        <f t="shared" si="136"/>
        <v/>
      </c>
      <c r="VK16" s="121"/>
      <c r="VL16" s="65"/>
      <c r="VM16" s="85"/>
      <c r="VN16" s="86" t="str">
        <f>IF(COUNT(VN17:VN19)=0,"",SUM(VN17:VN19)/COUNT(VN17:VN19))</f>
        <v/>
      </c>
      <c r="VO16" s="87" t="str">
        <f t="shared" si="137"/>
        <v/>
      </c>
      <c r="VP16" s="84"/>
      <c r="VQ16" s="65"/>
      <c r="VR16" s="85"/>
      <c r="VS16" s="86" t="str">
        <f>IF(COUNT(VS17:VS19)=0,"",SUM(VS17:VS19)/COUNT(VS17:VS19))</f>
        <v/>
      </c>
      <c r="VT16" s="88" t="str">
        <f t="shared" si="138"/>
        <v/>
      </c>
      <c r="VU16" s="89"/>
      <c r="VV16" s="90"/>
      <c r="VW16" s="91"/>
      <c r="VX16" s="86" t="str">
        <f>IF(COUNT(VX17:VX19)=0,"",SUM(VX17:VX19)/COUNT(VX17:VX19))</f>
        <v/>
      </c>
      <c r="VY16" s="92" t="str">
        <f t="shared" si="139"/>
        <v/>
      </c>
      <c r="VZ16" s="93" t="str">
        <f>IF(COUNT(VZ17:VZ19)=0,"",SUM(VZ17:VZ19)/COUNT(VZ17:VZ19))</f>
        <v/>
      </c>
      <c r="WA16" s="94" t="str">
        <f t="shared" si="140"/>
        <v/>
      </c>
      <c r="WB16" s="121"/>
      <c r="WC16" s="65"/>
      <c r="WD16" s="85"/>
      <c r="WE16" s="86" t="str">
        <f>IF(COUNT(WE17:WE19)=0,"",SUM(WE17:WE19)/COUNT(WE17:WE19))</f>
        <v/>
      </c>
      <c r="WF16" s="87" t="str">
        <f t="shared" si="141"/>
        <v/>
      </c>
      <c r="WG16" s="84"/>
      <c r="WH16" s="65"/>
      <c r="WI16" s="85"/>
      <c r="WJ16" s="86" t="str">
        <f>IF(COUNT(WJ17:WJ19)=0,"",SUM(WJ17:WJ19)/COUNT(WJ17:WJ19))</f>
        <v/>
      </c>
      <c r="WK16" s="88" t="str">
        <f t="shared" si="142"/>
        <v/>
      </c>
      <c r="WL16" s="89"/>
      <c r="WM16" s="90"/>
      <c r="WN16" s="91"/>
      <c r="WO16" s="86" t="str">
        <f>IF(COUNT(WO17:WO19)=0,"",SUM(WO17:WO19)/COUNT(WO17:WO19))</f>
        <v/>
      </c>
      <c r="WP16" s="92" t="str">
        <f t="shared" si="143"/>
        <v/>
      </c>
      <c r="WQ16" s="93" t="str">
        <f>IF(COUNT(WQ17:WQ19)=0,"",SUM(WQ17:WQ19)/COUNT(WQ17:WQ19))</f>
        <v/>
      </c>
      <c r="WR16" s="94" t="str">
        <f t="shared" si="144"/>
        <v/>
      </c>
    </row>
    <row r="17" spans="1:616" ht="18" customHeight="1" x14ac:dyDescent="0.55000000000000004">
      <c r="A17" s="217" t="s">
        <v>21</v>
      </c>
      <c r="B17" s="218"/>
      <c r="C17" s="103"/>
      <c r="D17" s="104" t="s">
        <v>28</v>
      </c>
      <c r="E17" s="105"/>
      <c r="F17" s="161">
        <f>IFERROR((((COUNTIF('Elève (3ème2)'!C17:E17,"A"))*4)+((COUNTIF('Elève (3ème2)'!C17:E17,"B"))*3)+((COUNTIF('Elève (3ème2)'!C17:E17,"C"))*2)+((COUNTIF('Elève (3ème2)'!C17:E17,"D"))*1))/(COUNTA(C17:E17)),"")</f>
        <v>3</v>
      </c>
      <c r="G17" s="162" t="str">
        <f t="shared" si="25"/>
        <v>B</v>
      </c>
      <c r="H17" s="103" t="s">
        <v>29</v>
      </c>
      <c r="I17" s="104"/>
      <c r="J17" s="105"/>
      <c r="K17" s="105"/>
      <c r="L17" s="161">
        <f>IFERROR((((COUNTIF('Elève (3ème2)'!H17:K17,"A"))*4)+((COUNTIF('Elève (3ème2)'!H17:K17,"B"))*3)+((COUNTIF('Elève (3ème2)'!H17:K17,"C"))*2)+((COUNTIF('Elève (3ème2)'!H17:K17,"D"))*1))/(COUNTA(H17:K17)),"")</f>
        <v>2</v>
      </c>
      <c r="M17" s="162" t="str">
        <f t="shared" si="26"/>
        <v>C</v>
      </c>
      <c r="N17" s="103" t="s">
        <v>28</v>
      </c>
      <c r="O17" s="104" t="s">
        <v>27</v>
      </c>
      <c r="P17" s="105"/>
      <c r="Q17" s="105"/>
      <c r="R17" s="105" t="s">
        <v>29</v>
      </c>
      <c r="S17" s="105"/>
      <c r="T17" s="161">
        <f>IFERROR((((COUNTIF('Elève (3ème2)'!N17:S17,"A"))*4)+((COUNTIF('Elève (3ème2)'!N17:S17,"B"))*3)+((COUNTIF('Elève (3ème2)'!N17:S17,"C"))*2)+((COUNTIF('Elève (3ème2)'!N17:S17,"D"))*1))/(COUNTA(N17:S17)),"")</f>
        <v>3</v>
      </c>
      <c r="U17" s="162" t="str">
        <f t="shared" si="27"/>
        <v>B</v>
      </c>
      <c r="V17" s="161">
        <f>IF(COUNT(F17,L17,T17)=0,"",SUM(F17,L17,T17)/COUNT(F17,L17,T17))</f>
        <v>2.6666666666666665</v>
      </c>
      <c r="W17" s="191" t="str">
        <f t="shared" si="28"/>
        <v>C</v>
      </c>
      <c r="X17" s="103"/>
      <c r="Y17" s="104" t="s">
        <v>29</v>
      </c>
      <c r="Z17" s="105"/>
      <c r="AA17" s="161">
        <f>IFERROR((((COUNTIF('Elève (3ème2)'!X17:Z17,"A"))*4)+((COUNTIF('Elève (3ème2)'!X17:Z17,"B"))*3)+((COUNTIF('Elève (3ème2)'!X17:Z17,"C"))*2)+((COUNTIF('Elève (3ème2)'!X17:Z17,"D"))*1))/(COUNTA(X17:Z17)),"")</f>
        <v>2</v>
      </c>
      <c r="AB17" s="162" t="str">
        <f t="shared" si="29"/>
        <v>C</v>
      </c>
      <c r="AC17" s="103" t="s">
        <v>29</v>
      </c>
      <c r="AD17" s="104"/>
      <c r="AE17" s="105"/>
      <c r="AF17" s="105"/>
      <c r="AG17" s="161">
        <f>IFERROR((((COUNTIF('Elève (3ème2)'!AC17:AF17,"A"))*4)+((COUNTIF('Elève (3ème2)'!AC17:AF17,"B"))*3)+((COUNTIF('Elève (3ème2)'!AC17:AF17,"C"))*2)+((COUNTIF('Elève (3ème2)'!AC17:AF17,"D"))*1))/(COUNTA(AC17:AF17)),"")</f>
        <v>2</v>
      </c>
      <c r="AH17" s="162" t="str">
        <f t="shared" si="30"/>
        <v>C</v>
      </c>
      <c r="AI17" s="103" t="s">
        <v>29</v>
      </c>
      <c r="AJ17" s="104" t="s">
        <v>28</v>
      </c>
      <c r="AK17" s="105"/>
      <c r="AL17" s="105"/>
      <c r="AM17" s="105" t="s">
        <v>29</v>
      </c>
      <c r="AN17" s="109"/>
      <c r="AO17" s="161">
        <f>IFERROR((((COUNTIF('Elève (3ème2)'!AI17:AN17,"A"))*4)+((COUNTIF('Elève (3ème2)'!AI17:AN17,"B"))*3)+((COUNTIF('Elève (3ème2)'!AI17:AN17,"C"))*2)+((COUNTIF('Elève (3ème2)'!AI17:AN17,"D"))*1))/(COUNTA(AI17:AN17)),"")</f>
        <v>2.3333333333333335</v>
      </c>
      <c r="AP17" s="162" t="str">
        <f t="shared" si="31"/>
        <v>C</v>
      </c>
      <c r="AQ17" s="161">
        <f>IF(COUNT(AA17,AG17,AO17)=0,"",SUM(AA17,AG17,AO17)/COUNT(AA17,AG17,AO17))</f>
        <v>2.1111111111111112</v>
      </c>
      <c r="AR17" s="191" t="str">
        <f t="shared" si="32"/>
        <v>C</v>
      </c>
      <c r="AS17" s="103"/>
      <c r="AT17" s="104" t="s">
        <v>30</v>
      </c>
      <c r="AU17" s="105"/>
      <c r="AV17" s="161">
        <f>IFERROR((((COUNTIF('Elève (3ème2)'!AS17:AU17,"A"))*4)+((COUNTIF('Elève (3ème2)'!AS17:AU17,"B"))*3)+((COUNTIF('Elève (3ème2)'!AS17:AU17,"C"))*2)+((COUNTIF('Elève (3ème2)'!AS17:AU17,"D"))*1))/(COUNTA(AS17:AU17)),"")</f>
        <v>1</v>
      </c>
      <c r="AW17" s="162" t="str">
        <f t="shared" si="33"/>
        <v>D</v>
      </c>
      <c r="AX17" s="103" t="s">
        <v>29</v>
      </c>
      <c r="AY17" s="104"/>
      <c r="AZ17" s="105"/>
      <c r="BA17" s="105"/>
      <c r="BB17" s="161">
        <f>IFERROR((((COUNTIF('Elève (3ème2)'!AX17:BA17,"A"))*4)+((COUNTIF('Elève (3ème2)'!AX17:BA17,"B"))*3)+((COUNTIF('Elève (3ème2)'!AX17:BA17,"C"))*2)+((COUNTIF('Elève (3ème2)'!AX17:BA17,"D"))*1))/(COUNTA(AX17:BA17)),"")</f>
        <v>2</v>
      </c>
      <c r="BC17" s="162" t="str">
        <f t="shared" si="34"/>
        <v>C</v>
      </c>
      <c r="BD17" s="103" t="s">
        <v>29</v>
      </c>
      <c r="BE17" s="104" t="s">
        <v>30</v>
      </c>
      <c r="BF17" s="105"/>
      <c r="BG17" s="105"/>
      <c r="BH17" s="105" t="s">
        <v>30</v>
      </c>
      <c r="BI17" s="109"/>
      <c r="BJ17" s="161">
        <f>IFERROR((((COUNTIF('Elève (3ème2)'!BD17:BI17,"A"))*4)+((COUNTIF('Elève (3ème2)'!BD17:BI17,"B"))*3)+((COUNTIF('Elève (3ème2)'!BD17:BI17,"C"))*2)+((COUNTIF('Elève (3ème2)'!BD17:BI17,"D"))*1))/(COUNTA(BD17:BI17)),"")</f>
        <v>1.3333333333333333</v>
      </c>
      <c r="BK17" s="162" t="str">
        <f t="shared" si="35"/>
        <v>D</v>
      </c>
      <c r="BL17" s="161">
        <f>IF(COUNT(AV17,BB17,BJ17)=0,"",SUM(AV17,BB17,BJ17)/COUNT(AV17,BB17,BJ17))</f>
        <v>1.4444444444444444</v>
      </c>
      <c r="BM17" s="191" t="str">
        <f t="shared" si="36"/>
        <v>D</v>
      </c>
      <c r="BN17" s="103"/>
      <c r="BO17" s="104" t="s">
        <v>29</v>
      </c>
      <c r="BP17" s="105"/>
      <c r="BQ17" s="161">
        <f>IFERROR((((COUNTIF('Elève (3ème2)'!BN17:BP17,"A"))*4)+((COUNTIF('Elève (3ème2)'!BN17:BP17,"B"))*3)+((COUNTIF('Elève (3ème2)'!BN17:BP17,"C"))*2)+((COUNTIF('Elève (3ème2)'!BN17:BP17,"D"))*1))/(COUNTA(BN17:BP17)),"")</f>
        <v>2</v>
      </c>
      <c r="BR17" s="162" t="str">
        <f t="shared" si="37"/>
        <v>C</v>
      </c>
      <c r="BS17" s="103" t="s">
        <v>27</v>
      </c>
      <c r="BT17" s="104"/>
      <c r="BU17" s="105"/>
      <c r="BV17" s="105"/>
      <c r="BW17" s="161">
        <f>IFERROR((((COUNTIF('Elève (3ème2)'!BS17:BV17,"A"))*4)+((COUNTIF('Elève (3ème2)'!BS17:BV17,"B"))*3)+((COUNTIF('Elève (3ème2)'!BS17:BV17,"C"))*2)+((COUNTIF('Elève (3ème2)'!BS17:BV17,"D"))*1))/(COUNTA(BS17:BV17)),"")</f>
        <v>4</v>
      </c>
      <c r="BX17" s="162" t="str">
        <f t="shared" si="38"/>
        <v>A</v>
      </c>
      <c r="BY17" s="103" t="s">
        <v>29</v>
      </c>
      <c r="BZ17" s="104" t="s">
        <v>29</v>
      </c>
      <c r="CA17" s="105"/>
      <c r="CB17" s="105"/>
      <c r="CC17" s="105" t="s">
        <v>30</v>
      </c>
      <c r="CD17" s="109"/>
      <c r="CE17" s="161">
        <f>IFERROR((((COUNTIF('Elève (3ème2)'!BY17:CD17,"A"))*4)+((COUNTIF('Elève (3ème2)'!BY17:CD17,"B"))*3)+((COUNTIF('Elève (3ème2)'!BY17:CD17,"C"))*2)+((COUNTIF('Elève (3ème2)'!BY17:CD17,"D"))*1))/(COUNTA(BY17:CD17)),"")</f>
        <v>1.6666666666666667</v>
      </c>
      <c r="CF17" s="162" t="str">
        <f t="shared" si="39"/>
        <v>C</v>
      </c>
      <c r="CG17" s="161">
        <f>IF(COUNT(BQ17,BW17,CE17)=0,"",SUM(BQ17,BW17,CE17)/COUNT(BQ17,BW17,CE17))</f>
        <v>2.5555555555555558</v>
      </c>
      <c r="CH17" s="191" t="str">
        <f t="shared" si="40"/>
        <v>C</v>
      </c>
      <c r="CI17" s="103"/>
      <c r="CJ17" s="104" t="s">
        <v>28</v>
      </c>
      <c r="CK17" s="105"/>
      <c r="CL17" s="161">
        <f>IFERROR((((COUNTIF('Elève (3ème2)'!CI17:CK17,"A"))*4)+((COUNTIF('Elève (3ème2)'!CI17:CK17,"B"))*3)+((COUNTIF('Elève (3ème2)'!CI17:CK17,"C"))*2)+((COUNTIF('Elève (3ème2)'!CI17:CK17,"D"))*1))/(COUNTA(CI17:CK17)),"")</f>
        <v>3</v>
      </c>
      <c r="CM17" s="162" t="str">
        <f t="shared" si="41"/>
        <v>B</v>
      </c>
      <c r="CN17" s="103" t="s">
        <v>29</v>
      </c>
      <c r="CO17" s="104"/>
      <c r="CP17" s="105"/>
      <c r="CQ17" s="105"/>
      <c r="CR17" s="161">
        <f>IFERROR((((COUNTIF('Elève (3ème2)'!CN17:CQ17,"A"))*4)+((COUNTIF('Elève (3ème2)'!CN17:CQ17,"B"))*3)+((COUNTIF('Elève (3ème2)'!CN17:CQ17,"C"))*2)+((COUNTIF('Elève (3ème2)'!CN17:CQ17,"D"))*1))/(COUNTA(CN17:CQ17)),"")</f>
        <v>2</v>
      </c>
      <c r="CS17" s="162" t="str">
        <f t="shared" si="42"/>
        <v>C</v>
      </c>
      <c r="CT17" s="103" t="s">
        <v>28</v>
      </c>
      <c r="CU17" s="104" t="s">
        <v>28</v>
      </c>
      <c r="CV17" s="105"/>
      <c r="CW17" s="105"/>
      <c r="CX17" s="105" t="s">
        <v>27</v>
      </c>
      <c r="CY17" s="109"/>
      <c r="CZ17" s="161">
        <f>IFERROR((((COUNTIF('Elève (3ème2)'!CT17:CY17,"A"))*4)+((COUNTIF('Elève (3ème2)'!CT17:CY17,"B"))*3)+((COUNTIF('Elève (3ème2)'!CT17:CY17,"C"))*2)+((COUNTIF('Elève (3ème2)'!CT17:CY17,"D"))*1))/(COUNTA(CT17:CY17)),"")</f>
        <v>3.3333333333333335</v>
      </c>
      <c r="DA17" s="162" t="str">
        <f t="shared" si="43"/>
        <v>B</v>
      </c>
      <c r="DB17" s="161">
        <f>IF(COUNT(CL17,CR17,CZ17)=0,"",SUM(CL17,CR17,CZ17)/COUNT(CL17,CR17,CZ17))</f>
        <v>2.7777777777777781</v>
      </c>
      <c r="DC17" s="191" t="str">
        <f t="shared" si="44"/>
        <v>C</v>
      </c>
      <c r="DD17" s="103"/>
      <c r="DE17" s="104" t="s">
        <v>29</v>
      </c>
      <c r="DF17" s="105"/>
      <c r="DG17" s="161">
        <f>IFERROR((((COUNTIF('Elève (3ème2)'!DD17:DF17,"A"))*4)+((COUNTIF('Elève (3ème2)'!DD17:DF17,"B"))*3)+((COUNTIF('Elève (3ème2)'!DD17:DF17,"C"))*2)+((COUNTIF('Elève (3ème2)'!DD17:DF17,"D"))*1))/(COUNTA(DD17:DF17)),"")</f>
        <v>2</v>
      </c>
      <c r="DH17" s="162" t="str">
        <f t="shared" si="45"/>
        <v>C</v>
      </c>
      <c r="DI17" s="103" t="s">
        <v>30</v>
      </c>
      <c r="DJ17" s="104"/>
      <c r="DK17" s="105"/>
      <c r="DL17" s="105"/>
      <c r="DM17" s="161">
        <f>IFERROR((((COUNTIF('Elève (3ème2)'!DI17:DL17,"A"))*4)+((COUNTIF('Elève (3ème2)'!DI17:DL17,"B"))*3)+((COUNTIF('Elève (3ème2)'!DI17:DL17,"C"))*2)+((COUNTIF('Elève (3ème2)'!DI17:DL17,"D"))*1))/(COUNTA(DI17:DL17)),"")</f>
        <v>1</v>
      </c>
      <c r="DN17" s="162" t="str">
        <f t="shared" si="46"/>
        <v>D</v>
      </c>
      <c r="DO17" s="103" t="s">
        <v>29</v>
      </c>
      <c r="DP17" s="104" t="s">
        <v>28</v>
      </c>
      <c r="DQ17" s="105"/>
      <c r="DR17" s="105"/>
      <c r="DS17" s="105" t="s">
        <v>29</v>
      </c>
      <c r="DT17" s="109"/>
      <c r="DU17" s="161">
        <f>IFERROR((((COUNTIF('Elève (3ème2)'!DO17:DT17,"A"))*4)+((COUNTIF('Elève (3ème2)'!DO17:DT17,"B"))*3)+((COUNTIF('Elève (3ème2)'!DO17:DT17,"C"))*2)+((COUNTIF('Elève (3ème2)'!DO17:DT17,"D"))*1))/(COUNTA(DO17:DT17)),"")</f>
        <v>2.3333333333333335</v>
      </c>
      <c r="DV17" s="162" t="str">
        <f t="shared" si="47"/>
        <v>C</v>
      </c>
      <c r="DW17" s="161">
        <f>IF(COUNT(DG17,DM17,DU17)=0,"",SUM(DG17,DM17,DU17)/COUNT(DG17,DM17,DU17))</f>
        <v>1.7777777777777779</v>
      </c>
      <c r="DX17" s="191" t="str">
        <f t="shared" si="48"/>
        <v>C</v>
      </c>
      <c r="DY17" s="103"/>
      <c r="DZ17" s="104" t="s">
        <v>28</v>
      </c>
      <c r="EA17" s="105"/>
      <c r="EB17" s="161">
        <f>IFERROR((((COUNTIF('Elève (3ème2)'!DY17:EA17,"A"))*4)+((COUNTIF('Elève (3ème2)'!DY17:EA17,"B"))*3)+((COUNTIF('Elève (3ème2)'!DY17:EA17,"C"))*2)+((COUNTIF('Elève (3ème2)'!DY17:EA17,"D"))*1))/(COUNTA(DY17:EA17)),"")</f>
        <v>3</v>
      </c>
      <c r="EC17" s="162" t="str">
        <f t="shared" si="49"/>
        <v>B</v>
      </c>
      <c r="ED17" s="103" t="s">
        <v>29</v>
      </c>
      <c r="EE17" s="104"/>
      <c r="EF17" s="105"/>
      <c r="EG17" s="105"/>
      <c r="EH17" s="161">
        <f>IFERROR((((COUNTIF('Elève (3ème2)'!ED17:EG17,"A"))*4)+((COUNTIF('Elève (3ème2)'!ED17:EG17,"B"))*3)+((COUNTIF('Elève (3ème2)'!ED17:EG17,"C"))*2)+((COUNTIF('Elève (3ème2)'!ED17:EG17,"D"))*1))/(COUNTA(ED17:EG17)),"")</f>
        <v>2</v>
      </c>
      <c r="EI17" s="162" t="str">
        <f t="shared" si="50"/>
        <v>C</v>
      </c>
      <c r="EJ17" s="103" t="s">
        <v>29</v>
      </c>
      <c r="EK17" s="104" t="s">
        <v>29</v>
      </c>
      <c r="EL17" s="105"/>
      <c r="EM17" s="105"/>
      <c r="EN17" s="105" t="s">
        <v>29</v>
      </c>
      <c r="EO17" s="109"/>
      <c r="EP17" s="161">
        <f>IFERROR((((COUNTIF('Elève (3ème2)'!EJ17:EO17,"A"))*4)+((COUNTIF('Elève (3ème2)'!EJ17:EO17,"B"))*3)+((COUNTIF('Elève (3ème2)'!EJ17:EO17,"C"))*2)+((COUNTIF('Elève (3ème2)'!EJ17:EO17,"D"))*1))/(COUNTA(EJ17:EO17)),"")</f>
        <v>2</v>
      </c>
      <c r="EQ17" s="162" t="str">
        <f t="shared" si="51"/>
        <v>C</v>
      </c>
      <c r="ER17" s="161">
        <f>IF(COUNT(EB17,EH17,EP17)=0,"",SUM(EB17,EH17,EP17)/COUNT(EB17,EH17,EP17))</f>
        <v>2.3333333333333335</v>
      </c>
      <c r="ES17" s="191" t="str">
        <f t="shared" si="52"/>
        <v>C</v>
      </c>
      <c r="ET17" s="103"/>
      <c r="EU17" s="104" t="s">
        <v>29</v>
      </c>
      <c r="EV17" s="105"/>
      <c r="EW17" s="161">
        <f>IFERROR((((COUNTIF('Elève (3ème2)'!ET17:EV17,"A"))*4)+((COUNTIF('Elève (3ème2)'!ET17:EV17,"B"))*3)+((COUNTIF('Elève (3ème2)'!ET17:EV17,"C"))*2)+((COUNTIF('Elève (3ème2)'!ET17:EV17,"D"))*1))/(COUNTA(ET17:EV17)),"")</f>
        <v>2</v>
      </c>
      <c r="EX17" s="162" t="str">
        <f t="shared" si="53"/>
        <v>C</v>
      </c>
      <c r="EY17" s="103" t="s">
        <v>30</v>
      </c>
      <c r="EZ17" s="104"/>
      <c r="FA17" s="105"/>
      <c r="FB17" s="105"/>
      <c r="FC17" s="161">
        <f>IFERROR((((COUNTIF('Elève (3ème2)'!EY17:FB17,"A"))*4)+((COUNTIF('Elève (3ème2)'!EY17:FB17,"B"))*3)+((COUNTIF('Elève (3ème2)'!EY17:FB17,"C"))*2)+((COUNTIF('Elève (3ème2)'!EY17:FB17,"D"))*1))/(COUNTA(EY17:FB17)),"")</f>
        <v>1</v>
      </c>
      <c r="FD17" s="162" t="str">
        <f t="shared" si="54"/>
        <v>D</v>
      </c>
      <c r="FE17" s="103" t="s">
        <v>29</v>
      </c>
      <c r="FF17" s="104" t="s">
        <v>29</v>
      </c>
      <c r="FG17" s="105"/>
      <c r="FH17" s="105"/>
      <c r="FI17" s="105" t="s">
        <v>28</v>
      </c>
      <c r="FJ17" s="109"/>
      <c r="FK17" s="161">
        <f>IFERROR((((COUNTIF('Elève (3ème2)'!FE17:FJ17,"A"))*4)+((COUNTIF('Elève (3ème2)'!FE17:FJ17,"B"))*3)+((COUNTIF('Elève (3ème2)'!FE17:FJ17,"C"))*2)+((COUNTIF('Elève (3ème2)'!FE17:FJ17,"D"))*1))/(COUNTA(FE17:FJ17)),"")</f>
        <v>2.3333333333333335</v>
      </c>
      <c r="FL17" s="162" t="str">
        <f t="shared" si="55"/>
        <v>C</v>
      </c>
      <c r="FM17" s="161">
        <f>IF(COUNT(EW17,FC17,FK17)=0,"",SUM(EW17,FC17,FK17)/COUNT(EW17,FC17,FK17))</f>
        <v>1.7777777777777779</v>
      </c>
      <c r="FN17" s="191" t="str">
        <f t="shared" si="56"/>
        <v>C</v>
      </c>
      <c r="FO17" s="103"/>
      <c r="FP17" s="104" t="s">
        <v>28</v>
      </c>
      <c r="FQ17" s="105"/>
      <c r="FR17" s="161">
        <f>IFERROR((((COUNTIF('Elève (3ème2)'!FO17:FQ17,"A"))*4)+((COUNTIF('Elève (3ème2)'!FO17:FQ17,"B"))*3)+((COUNTIF('Elève (3ème2)'!FO17:FQ17,"C"))*2)+((COUNTIF('Elève (3ème2)'!FO17:FQ17,"D"))*1))/(COUNTA(FO17:FQ17)),"")</f>
        <v>3</v>
      </c>
      <c r="FS17" s="162" t="str">
        <f t="shared" si="57"/>
        <v>B</v>
      </c>
      <c r="FT17" s="103" t="s">
        <v>28</v>
      </c>
      <c r="FU17" s="104"/>
      <c r="FV17" s="105"/>
      <c r="FW17" s="105"/>
      <c r="FX17" s="161">
        <f>IFERROR((((COUNTIF('Elève (3ème2)'!FT17:FW17,"A"))*4)+((COUNTIF('Elève (3ème2)'!FT17:FW17,"B"))*3)+((COUNTIF('Elève (3ème2)'!FT17:FW17,"C"))*2)+((COUNTIF('Elève (3ème2)'!FT17:FW17,"D"))*1))/(COUNTA(FT17:FW17)),"")</f>
        <v>3</v>
      </c>
      <c r="FY17" s="162" t="str">
        <f t="shared" si="58"/>
        <v>B</v>
      </c>
      <c r="FZ17" s="103" t="s">
        <v>29</v>
      </c>
      <c r="GA17" s="104" t="s">
        <v>29</v>
      </c>
      <c r="GB17" s="105"/>
      <c r="GC17" s="105"/>
      <c r="GD17" s="105" t="s">
        <v>29</v>
      </c>
      <c r="GE17" s="109"/>
      <c r="GF17" s="161">
        <f>IFERROR((((COUNTIF('Elève (3ème2)'!FZ17:GE17,"A"))*4)+((COUNTIF('Elève (3ème2)'!FZ17:GE17,"B"))*3)+((COUNTIF('Elève (3ème2)'!FZ17:GE17,"C"))*2)+((COUNTIF('Elève (3ème2)'!FZ17:GE17,"D"))*1))/(COUNTA(FZ17:GE17)),"")</f>
        <v>2</v>
      </c>
      <c r="GG17" s="162" t="str">
        <f t="shared" si="59"/>
        <v>C</v>
      </c>
      <c r="GH17" s="161">
        <f>IF(COUNT(FR17,FX17,GF17)=0,"",SUM(FR17,FX17,GF17)/COUNT(FR17,FX17,GF17))</f>
        <v>2.6666666666666665</v>
      </c>
      <c r="GI17" s="191" t="str">
        <f t="shared" si="60"/>
        <v>C</v>
      </c>
      <c r="GJ17" s="103"/>
      <c r="GK17" s="104" t="s">
        <v>29</v>
      </c>
      <c r="GL17" s="105"/>
      <c r="GM17" s="161">
        <f>IFERROR((((COUNTIF('Elève (3ème2)'!GJ17:GL17,"A"))*4)+((COUNTIF('Elève (3ème2)'!GJ17:GL17,"B"))*3)+((COUNTIF('Elève (3ème2)'!GJ17:GL17,"C"))*2)+((COUNTIF('Elève (3ème2)'!GJ17:GL17,"D"))*1))/(COUNTA(GJ17:GL17)),"")</f>
        <v>2</v>
      </c>
      <c r="GN17" s="162" t="str">
        <f t="shared" si="61"/>
        <v>C</v>
      </c>
      <c r="GO17" s="103" t="s">
        <v>30</v>
      </c>
      <c r="GP17" s="104"/>
      <c r="GQ17" s="105"/>
      <c r="GR17" s="105"/>
      <c r="GS17" s="161">
        <f>IFERROR((((COUNTIF('Elève (3ème2)'!GO17:GR17,"A"))*4)+((COUNTIF('Elève (3ème2)'!GO17:GR17,"B"))*3)+((COUNTIF('Elève (3ème2)'!GO17:GR17,"C"))*2)+((COUNTIF('Elève (3ème2)'!GO17:GR17,"D"))*1))/(COUNTA(GO17:GR17)),"")</f>
        <v>1</v>
      </c>
      <c r="GT17" s="162" t="str">
        <f t="shared" si="62"/>
        <v>D</v>
      </c>
      <c r="GU17" s="103" t="s">
        <v>29</v>
      </c>
      <c r="GV17" s="104" t="s">
        <v>29</v>
      </c>
      <c r="GW17" s="105"/>
      <c r="GX17" s="105"/>
      <c r="GY17" s="105" t="s">
        <v>28</v>
      </c>
      <c r="GZ17" s="109"/>
      <c r="HA17" s="161">
        <f>IFERROR((((COUNTIF('Elève (3ème2)'!GU17:GZ17,"A"))*4)+((COUNTIF('Elève (3ème2)'!GU17:GZ17,"B"))*3)+((COUNTIF('Elève (3ème2)'!GU17:GZ17,"C"))*2)+((COUNTIF('Elève (3ème2)'!GU17:GZ17,"D"))*1))/(COUNTA(GU17:GZ17)),"")</f>
        <v>2.3333333333333335</v>
      </c>
      <c r="HB17" s="162" t="str">
        <f t="shared" si="63"/>
        <v>C</v>
      </c>
      <c r="HC17" s="161">
        <f>IF(COUNT(GM17,GS17,HA17)=0,"",SUM(GM17,GS17,HA17)/COUNT(GM17,GS17,HA17))</f>
        <v>1.7777777777777779</v>
      </c>
      <c r="HD17" s="191" t="str">
        <f t="shared" si="64"/>
        <v>C</v>
      </c>
      <c r="HE17" s="103"/>
      <c r="HF17" s="104" t="s">
        <v>28</v>
      </c>
      <c r="HG17" s="105"/>
      <c r="HH17" s="161">
        <f>IFERROR((((COUNTIF('Elève (3ème2)'!HE17:HG17,"A"))*4)+((COUNTIF('Elève (3ème2)'!HE17:HG17,"B"))*3)+((COUNTIF('Elève (3ème2)'!HE17:HG17,"C"))*2)+((COUNTIF('Elève (3ème2)'!HE17:HG17,"D"))*1))/(COUNTA(HE17:HG17)),"")</f>
        <v>3</v>
      </c>
      <c r="HI17" s="162" t="str">
        <f t="shared" si="65"/>
        <v>B</v>
      </c>
      <c r="HJ17" s="103" t="s">
        <v>27</v>
      </c>
      <c r="HK17" s="104"/>
      <c r="HL17" s="105"/>
      <c r="HM17" s="105"/>
      <c r="HN17" s="161">
        <f>IFERROR((((COUNTIF('Elève (3ème2)'!HJ17:HM17,"A"))*4)+((COUNTIF('Elève (3ème2)'!HJ17:HM17,"B"))*3)+((COUNTIF('Elève (3ème2)'!HJ17:HM17,"C"))*2)+((COUNTIF('Elève (3ème2)'!HJ17:HM17,"D"))*1))/(COUNTA(HJ17:HM17)),"")</f>
        <v>4</v>
      </c>
      <c r="HO17" s="162" t="str">
        <f t="shared" si="66"/>
        <v>A</v>
      </c>
      <c r="HP17" s="103" t="s">
        <v>29</v>
      </c>
      <c r="HQ17" s="104" t="s">
        <v>29</v>
      </c>
      <c r="HR17" s="105"/>
      <c r="HS17" s="105"/>
      <c r="HT17" s="105" t="s">
        <v>27</v>
      </c>
      <c r="HU17" s="109"/>
      <c r="HV17" s="161">
        <f>IFERROR((((COUNTIF('Elève (3ème2)'!HP17:HU17,"A"))*4)+((COUNTIF('Elève (3ème2)'!HP17:HU17,"B"))*3)+((COUNTIF('Elève (3ème2)'!HP17:HU17,"C"))*2)+((COUNTIF('Elève (3ème2)'!HP17:HU17,"D"))*1))/(COUNTA(HP17:HU17)),"")</f>
        <v>2.6666666666666665</v>
      </c>
      <c r="HW17" s="162" t="str">
        <f t="shared" si="67"/>
        <v>C</v>
      </c>
      <c r="HX17" s="161">
        <f>IF(COUNT(HH17,HN17,HV17)=0,"",SUM(HH17,HN17,HV17)/COUNT(HH17,HN17,HV17))</f>
        <v>3.2222222222222219</v>
      </c>
      <c r="HY17" s="191" t="str">
        <f t="shared" si="68"/>
        <v>B</v>
      </c>
      <c r="HZ17" s="103"/>
      <c r="IA17" s="104" t="s">
        <v>27</v>
      </c>
      <c r="IB17" s="105"/>
      <c r="IC17" s="161">
        <f>IFERROR((((COUNTIF('Elève (3ème2)'!HZ17:IB17,"A"))*4)+((COUNTIF('Elève (3ème2)'!HZ17:IB17,"B"))*3)+((COUNTIF('Elève (3ème2)'!HZ17:IB17,"C"))*2)+((COUNTIF('Elève (3ème2)'!HZ17:IB17,"D"))*1))/(COUNTA(HZ17:IB17)),"")</f>
        <v>4</v>
      </c>
      <c r="ID17" s="162" t="str">
        <f t="shared" si="69"/>
        <v>A</v>
      </c>
      <c r="IE17" s="103" t="s">
        <v>28</v>
      </c>
      <c r="IF17" s="104"/>
      <c r="IG17" s="105"/>
      <c r="IH17" s="105"/>
      <c r="II17" s="161">
        <f>IFERROR((((COUNTIF('Elève (3ème2)'!IE17:IH17,"A"))*4)+((COUNTIF('Elève (3ème2)'!IE17:IH17,"B"))*3)+((COUNTIF('Elève (3ème2)'!IE17:IH17,"C"))*2)+((COUNTIF('Elève (3ème2)'!IE17:IH17,"D"))*1))/(COUNTA(IE17:IH17)),"")</f>
        <v>3</v>
      </c>
      <c r="IJ17" s="162" t="str">
        <f t="shared" si="70"/>
        <v>B</v>
      </c>
      <c r="IK17" s="103" t="s">
        <v>29</v>
      </c>
      <c r="IL17" s="104" t="s">
        <v>27</v>
      </c>
      <c r="IM17" s="105"/>
      <c r="IN17" s="105"/>
      <c r="IO17" s="105" t="s">
        <v>28</v>
      </c>
      <c r="IP17" s="109"/>
      <c r="IQ17" s="161">
        <f>IFERROR((((COUNTIF('Elève (3ème2)'!IK17:IP17,"A"))*4)+((COUNTIF('Elève (3ème2)'!IK17:IP17,"B"))*3)+((COUNTIF('Elève (3ème2)'!IK17:IP17,"C"))*2)+((COUNTIF('Elève (3ème2)'!IK17:IP17,"D"))*1))/(COUNTA(IK17:IP17)),"")</f>
        <v>3</v>
      </c>
      <c r="IR17" s="162" t="str">
        <f t="shared" si="71"/>
        <v>B</v>
      </c>
      <c r="IS17" s="161">
        <f>IF(COUNT(IC17,II17,IQ17)=0,"",SUM(IC17,II17,IQ17)/COUNT(IC17,II17,IQ17))</f>
        <v>3.3333333333333335</v>
      </c>
      <c r="IT17" s="191" t="str">
        <f t="shared" si="72"/>
        <v>B</v>
      </c>
      <c r="IU17" s="103"/>
      <c r="IV17" s="104" t="s">
        <v>29</v>
      </c>
      <c r="IW17" s="105"/>
      <c r="IX17" s="161">
        <f>IFERROR((((COUNTIF('Elève (3ème2)'!IU17:IW17,"A"))*4)+((COUNTIF('Elève (3ème2)'!IU17:IW17,"B"))*3)+((COUNTIF('Elève (3ème2)'!IU17:IW17,"C"))*2)+((COUNTIF('Elève (3ème2)'!IU17:IW17,"D"))*1))/(COUNTA(IU17:IW17)),"")</f>
        <v>2</v>
      </c>
      <c r="IY17" s="162" t="str">
        <f t="shared" si="73"/>
        <v>C</v>
      </c>
      <c r="IZ17" s="103" t="s">
        <v>30</v>
      </c>
      <c r="JA17" s="104"/>
      <c r="JB17" s="105"/>
      <c r="JC17" s="105"/>
      <c r="JD17" s="161">
        <f>IFERROR((((COUNTIF('Elève (3ème2)'!IZ17:JC17,"A"))*4)+((COUNTIF('Elève (3ème2)'!IZ17:JC17,"B"))*3)+((COUNTIF('Elève (3ème2)'!IZ17:JC17,"C"))*2)+((COUNTIF('Elève (3ème2)'!IZ17:JC17,"D"))*1))/(COUNTA(IZ17:JC17)),"")</f>
        <v>1</v>
      </c>
      <c r="JE17" s="162" t="str">
        <f t="shared" si="74"/>
        <v>D</v>
      </c>
      <c r="JF17" s="103" t="s">
        <v>29</v>
      </c>
      <c r="JG17" s="104" t="s">
        <v>29</v>
      </c>
      <c r="JH17" s="105"/>
      <c r="JI17" s="105"/>
      <c r="JJ17" s="105" t="s">
        <v>28</v>
      </c>
      <c r="JK17" s="109"/>
      <c r="JL17" s="161">
        <f>IFERROR((((COUNTIF('Elève (3ème2)'!JF17:JK17,"A"))*4)+((COUNTIF('Elève (3ème2)'!JF17:JK17,"B"))*3)+((COUNTIF('Elève (3ème2)'!JF17:JK17,"C"))*2)+((COUNTIF('Elève (3ème2)'!JF17:JK17,"D"))*1))/(COUNTA(JF17:JK17)),"")</f>
        <v>2.3333333333333335</v>
      </c>
      <c r="JM17" s="162" t="str">
        <f t="shared" si="75"/>
        <v>C</v>
      </c>
      <c r="JN17" s="161">
        <f>IF(COUNT(IX17,JD17,JL17)=0,"",SUM(IX17,JD17,JL17)/COUNT(IX17,JD17,JL17))</f>
        <v>1.7777777777777779</v>
      </c>
      <c r="JO17" s="191" t="str">
        <f t="shared" si="76"/>
        <v>C</v>
      </c>
      <c r="JP17" s="103"/>
      <c r="JQ17" s="104" t="s">
        <v>28</v>
      </c>
      <c r="JR17" s="105"/>
      <c r="JS17" s="161">
        <f>IFERROR((((COUNTIF('Elève (3ème2)'!JP17:JR17,"A"))*4)+((COUNTIF('Elève (3ème2)'!JP17:JR17,"B"))*3)+((COUNTIF('Elève (3ème2)'!JP17:JR17,"C"))*2)+((COUNTIF('Elève (3ème2)'!JP17:JR17,"D"))*1))/(COUNTA(JP17:JR17)),"")</f>
        <v>3</v>
      </c>
      <c r="JT17" s="162" t="str">
        <f t="shared" si="77"/>
        <v>B</v>
      </c>
      <c r="JU17" s="103" t="s">
        <v>29</v>
      </c>
      <c r="JV17" s="104"/>
      <c r="JW17" s="105"/>
      <c r="JX17" s="105"/>
      <c r="JY17" s="161">
        <f>IFERROR((((COUNTIF('Elève (3ème2)'!JU17:JX17,"A"))*4)+((COUNTIF('Elève (3ème2)'!JU17:JX17,"B"))*3)+((COUNTIF('Elève (3ème2)'!JU17:JX17,"C"))*2)+((COUNTIF('Elève (3ème2)'!JU17:JX17,"D"))*1))/(COUNTA(JU17:JX17)),"")</f>
        <v>2</v>
      </c>
      <c r="JZ17" s="162" t="str">
        <f t="shared" si="78"/>
        <v>C</v>
      </c>
      <c r="KA17" s="103" t="s">
        <v>28</v>
      </c>
      <c r="KB17" s="104" t="s">
        <v>28</v>
      </c>
      <c r="KC17" s="105"/>
      <c r="KD17" s="105"/>
      <c r="KE17" s="105" t="s">
        <v>29</v>
      </c>
      <c r="KF17" s="109"/>
      <c r="KG17" s="161">
        <f>IFERROR((((COUNTIF('Elève (3ème2)'!KA17:KF17,"A"))*4)+((COUNTIF('Elève (3ème2)'!KA17:KF17,"B"))*3)+((COUNTIF('Elève (3ème2)'!KA17:KF17,"C"))*2)+((COUNTIF('Elève (3ème2)'!KA17:KF17,"D"))*1))/(COUNTA(KA17:KF17)),"")</f>
        <v>2.6666666666666665</v>
      </c>
      <c r="KH17" s="162" t="str">
        <f t="shared" si="79"/>
        <v>C</v>
      </c>
      <c r="KI17" s="161">
        <f>IF(COUNT(JS17,JY17,KG17)=0,"",SUM(JS17,JY17,KG17)/COUNT(JS17,JY17,KG17))</f>
        <v>2.5555555555555554</v>
      </c>
      <c r="KJ17" s="191" t="str">
        <f t="shared" si="80"/>
        <v>C</v>
      </c>
      <c r="KK17" s="103"/>
      <c r="KL17" s="104" t="s">
        <v>28</v>
      </c>
      <c r="KM17" s="105"/>
      <c r="KN17" s="161">
        <f>IFERROR((((COUNTIF('Elève (3ème2)'!KK17:KM17,"A"))*4)+((COUNTIF('Elève (3ème2)'!KK17:KM17,"B"))*3)+((COUNTIF('Elève (3ème2)'!KK17:KM17,"C"))*2)+((COUNTIF('Elève (3ème2)'!KK17:KM17,"D"))*1))/(COUNTA(KK17:KM17)),"")</f>
        <v>3</v>
      </c>
      <c r="KO17" s="162" t="str">
        <f t="shared" si="81"/>
        <v>B</v>
      </c>
      <c r="KP17" s="103" t="s">
        <v>30</v>
      </c>
      <c r="KQ17" s="104"/>
      <c r="KR17" s="105"/>
      <c r="KS17" s="105"/>
      <c r="KT17" s="161">
        <f>IFERROR((((COUNTIF('Elève (3ème2)'!KP17:KS17,"A"))*4)+((COUNTIF('Elève (3ème2)'!KP17:KS17,"B"))*3)+((COUNTIF('Elève (3ème2)'!KP17:KS17,"C"))*2)+((COUNTIF('Elève (3ème2)'!KP17:KS17,"D"))*1))/(COUNTA(KP17:KS17)),"")</f>
        <v>1</v>
      </c>
      <c r="KU17" s="162" t="str">
        <f t="shared" si="82"/>
        <v>D</v>
      </c>
      <c r="KV17" s="103" t="s">
        <v>27</v>
      </c>
      <c r="KW17" s="104" t="s">
        <v>27</v>
      </c>
      <c r="KX17" s="105"/>
      <c r="KY17" s="105"/>
      <c r="KZ17" s="105" t="s">
        <v>30</v>
      </c>
      <c r="LA17" s="109"/>
      <c r="LB17" s="161">
        <f>IFERROR((((COUNTIF('Elève (3ème2)'!KV17:LA17,"A"))*4)+((COUNTIF('Elève (3ème2)'!KV17:LA17,"B"))*3)+((COUNTIF('Elève (3ème2)'!KV17:LA17,"C"))*2)+((COUNTIF('Elève (3ème2)'!KV17:LA17,"D"))*1))/(COUNTA(KV17:LA17)),"")</f>
        <v>3</v>
      </c>
      <c r="LC17" s="162" t="str">
        <f t="shared" si="83"/>
        <v>B</v>
      </c>
      <c r="LD17" s="161">
        <f>IF(COUNT(KN17,KT17,LB17)=0,"",SUM(KN17,KT17,LB17)/COUNT(KN17,KT17,LB17))</f>
        <v>2.3333333333333335</v>
      </c>
      <c r="LE17" s="191" t="str">
        <f t="shared" si="84"/>
        <v>C</v>
      </c>
      <c r="LF17" s="103"/>
      <c r="LG17" s="104" t="s">
        <v>28</v>
      </c>
      <c r="LH17" s="105"/>
      <c r="LI17" s="161">
        <f>IFERROR((((COUNTIF('Elève (3ème2)'!LF17:LH17,"A"))*4)+((COUNTIF('Elève (3ème2)'!LF17:LH17,"B"))*3)+((COUNTIF('Elève (3ème2)'!LF17:LH17,"C"))*2)+((COUNTIF('Elève (3ème2)'!LF17:LH17,"D"))*1))/(COUNTA(LF17:LH17)),"")</f>
        <v>3</v>
      </c>
      <c r="LJ17" s="162" t="str">
        <f t="shared" si="85"/>
        <v>B</v>
      </c>
      <c r="LK17" s="103" t="s">
        <v>30</v>
      </c>
      <c r="LL17" s="104"/>
      <c r="LM17" s="105"/>
      <c r="LN17" s="105"/>
      <c r="LO17" s="161">
        <f>IFERROR((((COUNTIF('Elève (3ème2)'!LK17:LN17,"A"))*4)+((COUNTIF('Elève (3ème2)'!LK17:LN17,"B"))*3)+((COUNTIF('Elève (3ème2)'!LK17:LN17,"C"))*2)+((COUNTIF('Elève (3ème2)'!LK17:LN17,"D"))*1))/(COUNTA(LK17:LN17)),"")</f>
        <v>1</v>
      </c>
      <c r="LP17" s="162" t="str">
        <f t="shared" si="86"/>
        <v>D</v>
      </c>
      <c r="LQ17" s="103"/>
      <c r="LR17" s="104" t="s">
        <v>29</v>
      </c>
      <c r="LS17" s="105"/>
      <c r="LT17" s="105"/>
      <c r="LU17" s="105" t="s">
        <v>29</v>
      </c>
      <c r="LV17" s="109"/>
      <c r="LW17" s="161">
        <f>IFERROR((((COUNTIF('Elève (3ème2)'!LQ17:LV17,"A"))*4)+((COUNTIF('Elève (3ème2)'!LQ17:LV17,"B"))*3)+((COUNTIF('Elève (3ème2)'!LQ17:LV17,"C"))*2)+((COUNTIF('Elève (3ème2)'!LQ17:LV17,"D"))*1))/(COUNTA(LQ17:LV17)),"")</f>
        <v>2</v>
      </c>
      <c r="LX17" s="162" t="str">
        <f t="shared" si="87"/>
        <v>C</v>
      </c>
      <c r="LY17" s="161">
        <f>IF(COUNT(LI17,LO17,LW17)=0,"",SUM(LI17,LO17,LW17)/COUNT(LI17,LO17,LW17))</f>
        <v>2</v>
      </c>
      <c r="LZ17" s="191" t="str">
        <f t="shared" si="88"/>
        <v>C</v>
      </c>
      <c r="MA17" s="103"/>
      <c r="MB17" s="104" t="s">
        <v>27</v>
      </c>
      <c r="MC17" s="105"/>
      <c r="MD17" s="161">
        <f>IFERROR((((COUNTIF('Elève (3ème2)'!MA17:MC17,"A"))*4)+((COUNTIF('Elève (3ème2)'!MA17:MC17,"B"))*3)+((COUNTIF('Elève (3ème2)'!MA17:MC17,"C"))*2)+((COUNTIF('Elève (3ème2)'!MA17:MC17,"D"))*1))/(COUNTA(MA17:MC17)),"")</f>
        <v>4</v>
      </c>
      <c r="ME17" s="162" t="str">
        <f t="shared" si="89"/>
        <v>A</v>
      </c>
      <c r="MF17" s="103" t="s">
        <v>28</v>
      </c>
      <c r="MG17" s="104"/>
      <c r="MH17" s="105"/>
      <c r="MI17" s="105"/>
      <c r="MJ17" s="161">
        <f>IFERROR((((COUNTIF('Elève (3ème2)'!MF17:MI17,"A"))*4)+((COUNTIF('Elève (3ème2)'!MF17:MI17,"B"))*3)+((COUNTIF('Elève (3ème2)'!MF17:MI17,"C"))*2)+((COUNTIF('Elève (3ème2)'!MF17:MI17,"D"))*1))/(COUNTA(MF17:MI17)),"")</f>
        <v>3</v>
      </c>
      <c r="MK17" s="162" t="str">
        <f t="shared" si="90"/>
        <v>B</v>
      </c>
      <c r="ML17" s="103" t="s">
        <v>30</v>
      </c>
      <c r="MM17" s="104" t="s">
        <v>27</v>
      </c>
      <c r="MN17" s="105"/>
      <c r="MO17" s="105"/>
      <c r="MP17" s="105" t="s">
        <v>30</v>
      </c>
      <c r="MQ17" s="109"/>
      <c r="MR17" s="161">
        <f>IFERROR((((COUNTIF('Elève (3ème2)'!ML17:MQ17,"A"))*4)+((COUNTIF('Elève (3ème2)'!ML17:MQ17,"B"))*3)+((COUNTIF('Elève (3ème2)'!ML17:MQ17,"C"))*2)+((COUNTIF('Elève (3ème2)'!ML17:MQ17,"D"))*1))/(COUNTA(ML17:MQ17)),"")</f>
        <v>2</v>
      </c>
      <c r="MS17" s="162" t="str">
        <f t="shared" si="91"/>
        <v>C</v>
      </c>
      <c r="MT17" s="161">
        <f>IF(COUNT(MD17,MJ17,MR17)=0,"",SUM(MD17,MJ17,MR17)/COUNT(MD17,MJ17,MR17))</f>
        <v>3</v>
      </c>
      <c r="MU17" s="191" t="str">
        <f t="shared" si="92"/>
        <v>B</v>
      </c>
      <c r="MV17" s="103"/>
      <c r="MW17" s="104" t="s">
        <v>28</v>
      </c>
      <c r="MX17" s="105"/>
      <c r="MY17" s="161">
        <f>IFERROR((((COUNTIF('Elève (3ème2)'!MV17:MX17,"A"))*4)+((COUNTIF('Elève (3ème2)'!MV17:MX17,"B"))*3)+((COUNTIF('Elève (3ème2)'!MV17:MX17,"C"))*2)+((COUNTIF('Elève (3ème2)'!MV17:MX17,"D"))*1))/(COUNTA(MV17:MX17)),"")</f>
        <v>3</v>
      </c>
      <c r="MZ17" s="162" t="str">
        <f t="shared" si="93"/>
        <v>B</v>
      </c>
      <c r="NA17" s="103" t="s">
        <v>29</v>
      </c>
      <c r="NB17" s="104"/>
      <c r="NC17" s="105"/>
      <c r="ND17" s="105"/>
      <c r="NE17" s="161">
        <f>IFERROR((((COUNTIF('Elève (3ème2)'!NA17:ND17,"A"))*4)+((COUNTIF('Elève (3ème2)'!NA17:ND17,"B"))*3)+((COUNTIF('Elève (3ème2)'!NA17:ND17,"C"))*2)+((COUNTIF('Elève (3ème2)'!NA17:ND17,"D"))*1))/(COUNTA(NA17:ND17)),"")</f>
        <v>2</v>
      </c>
      <c r="NF17" s="162" t="str">
        <f t="shared" si="94"/>
        <v>C</v>
      </c>
      <c r="NG17" s="103" t="s">
        <v>29</v>
      </c>
      <c r="NH17" s="104" t="s">
        <v>27</v>
      </c>
      <c r="NI17" s="105"/>
      <c r="NJ17" s="105"/>
      <c r="NK17" s="105" t="s">
        <v>27</v>
      </c>
      <c r="NL17" s="109"/>
      <c r="NM17" s="161">
        <f>IFERROR((((COUNTIF('Elève (3ème2)'!NG17:NL17,"A"))*4)+((COUNTIF('Elève (3ème2)'!NG17:NL17,"B"))*3)+((COUNTIF('Elève (3ème2)'!NG17:NL17,"C"))*2)+((COUNTIF('Elève (3ème2)'!NG17:NL17,"D"))*1))/(COUNTA(NG17:NL17)),"")</f>
        <v>3.3333333333333335</v>
      </c>
      <c r="NN17" s="162" t="str">
        <f t="shared" si="95"/>
        <v>B</v>
      </c>
      <c r="NO17" s="161">
        <f>IF(COUNT(MY17,NE17,NM17)=0,"",SUM(MY17,NE17,NM17)/COUNT(MY17,NE17,NM17))</f>
        <v>2.7777777777777781</v>
      </c>
      <c r="NP17" s="191" t="str">
        <f t="shared" si="96"/>
        <v>C</v>
      </c>
      <c r="NQ17" s="103"/>
      <c r="NR17" s="104" t="s">
        <v>28</v>
      </c>
      <c r="NS17" s="105"/>
      <c r="NT17" s="161">
        <f>IFERROR((((COUNTIF('Elève (3ème2)'!NQ17:NS17,"A"))*4)+((COUNTIF('Elève (3ème2)'!NQ17:NS17,"B"))*3)+((COUNTIF('Elève (3ème2)'!NQ17:NS17,"C"))*2)+((COUNTIF('Elève (3ème2)'!NQ17:NS17,"D"))*1))/(COUNTA(NQ17:NS17)),"")</f>
        <v>3</v>
      </c>
      <c r="NU17" s="162" t="str">
        <f t="shared" si="97"/>
        <v>B</v>
      </c>
      <c r="NV17" s="103" t="s">
        <v>29</v>
      </c>
      <c r="NW17" s="104"/>
      <c r="NX17" s="105"/>
      <c r="NY17" s="105"/>
      <c r="NZ17" s="161">
        <f>IFERROR((((COUNTIF('Elève (3ème2)'!NV17:NY17,"A"))*4)+((COUNTIF('Elève (3ème2)'!NV17:NY17,"B"))*3)+((COUNTIF('Elève (3ème2)'!NV17:NY17,"C"))*2)+((COUNTIF('Elève (3ème2)'!NV17:NY17,"D"))*1))/(COUNTA(NV17:NY17)),"")</f>
        <v>2</v>
      </c>
      <c r="OA17" s="162" t="str">
        <f t="shared" si="98"/>
        <v>C</v>
      </c>
      <c r="OB17" s="103" t="s">
        <v>27</v>
      </c>
      <c r="OC17" s="104" t="s">
        <v>28</v>
      </c>
      <c r="OD17" s="105"/>
      <c r="OE17" s="105"/>
      <c r="OF17" s="105" t="s">
        <v>30</v>
      </c>
      <c r="OG17" s="109"/>
      <c r="OH17" s="161">
        <f>IFERROR((((COUNTIF('Elève (3ème2)'!OB17:OG17,"A"))*4)+((COUNTIF('Elève (3ème2)'!OB17:OG17,"B"))*3)+((COUNTIF('Elève (3ème2)'!OB17:OG17,"C"))*2)+((COUNTIF('Elève (3ème2)'!OB17:OG17,"D"))*1))/(COUNTA(OB17:OG17)),"")</f>
        <v>2.6666666666666665</v>
      </c>
      <c r="OI17" s="162" t="str">
        <f t="shared" si="99"/>
        <v>C</v>
      </c>
      <c r="OJ17" s="161">
        <f>IF(COUNT(NT17,NZ17,OH17)=0,"",SUM(NT17,NZ17,OH17)/COUNT(NT17,NZ17,OH17))</f>
        <v>2.5555555555555554</v>
      </c>
      <c r="OK17" s="191" t="str">
        <f t="shared" si="100"/>
        <v>C</v>
      </c>
      <c r="OL17" s="103"/>
      <c r="OM17" s="104" t="s">
        <v>28</v>
      </c>
      <c r="ON17" s="105"/>
      <c r="OO17" s="161">
        <f>IFERROR((((COUNTIF('Elève (3ème2)'!OL17:ON17,"A"))*4)+((COUNTIF('Elève (3ème2)'!OL17:ON17,"B"))*3)+((COUNTIF('Elève (3ème2)'!OL17:ON17,"C"))*2)+((COUNTIF('Elève (3ème2)'!OL17:ON17,"D"))*1))/(COUNTA(OL17:ON17)),"")</f>
        <v>3</v>
      </c>
      <c r="OP17" s="162" t="str">
        <f t="shared" si="101"/>
        <v>B</v>
      </c>
      <c r="OQ17" s="103" t="s">
        <v>27</v>
      </c>
      <c r="OR17" s="104"/>
      <c r="OS17" s="105"/>
      <c r="OT17" s="105"/>
      <c r="OU17" s="161">
        <f>IFERROR((((COUNTIF('Elève (3ème2)'!OQ17:OT17,"A"))*4)+((COUNTIF('Elève (3ème2)'!OQ17:OT17,"B"))*3)+((COUNTIF('Elève (3ème2)'!OQ17:OT17,"C"))*2)+((COUNTIF('Elève (3ème2)'!OQ17:OT17,"D"))*1))/(COUNTA(OQ17:OT17)),"")</f>
        <v>4</v>
      </c>
      <c r="OV17" s="162" t="str">
        <f t="shared" si="102"/>
        <v>A</v>
      </c>
      <c r="OW17" s="103" t="s">
        <v>27</v>
      </c>
      <c r="OX17" s="104" t="s">
        <v>27</v>
      </c>
      <c r="OY17" s="105"/>
      <c r="OZ17" s="105"/>
      <c r="PA17" s="105" t="s">
        <v>27</v>
      </c>
      <c r="PB17" s="109"/>
      <c r="PC17" s="161">
        <f>IFERROR((((COUNTIF('Elève (3ème2)'!OW17:PB17,"A"))*4)+((COUNTIF('Elève (3ème2)'!OW17:PB17,"B"))*3)+((COUNTIF('Elève (3ème2)'!OW17:PB17,"C"))*2)+((COUNTIF('Elève (3ème2)'!OW17:PB17,"D"))*1))/(COUNTA(OW17:PB17)),"")</f>
        <v>4</v>
      </c>
      <c r="PD17" s="162" t="str">
        <f t="shared" si="103"/>
        <v>A</v>
      </c>
      <c r="PE17" s="161">
        <f>IF(COUNT(OO17,OU17,PC17)=0,"",SUM(OO17,OU17,PC17)/COUNT(OO17,OU17,PC17))</f>
        <v>3.6666666666666665</v>
      </c>
      <c r="PF17" s="191" t="str">
        <f t="shared" si="104"/>
        <v>B</v>
      </c>
      <c r="PG17" s="103"/>
      <c r="PH17" s="104" t="s">
        <v>29</v>
      </c>
      <c r="PI17" s="105"/>
      <c r="PJ17" s="161">
        <f>IFERROR((((COUNTIF('Elève (3ème2)'!PG17:PI17,"A"))*4)+((COUNTIF('Elève (3ème2)'!PG17:PI17,"B"))*3)+((COUNTIF('Elève (3ème2)'!PG17:PI17,"C"))*2)+((COUNTIF('Elève (3ème2)'!PG17:PI17,"D"))*1))/(COUNTA(PG17:PI17)),"")</f>
        <v>2</v>
      </c>
      <c r="PK17" s="162" t="str">
        <f t="shared" si="105"/>
        <v>C</v>
      </c>
      <c r="PL17" s="103" t="s">
        <v>27</v>
      </c>
      <c r="PM17" s="104"/>
      <c r="PN17" s="105"/>
      <c r="PO17" s="105"/>
      <c r="PP17" s="161">
        <f>IFERROR((((COUNTIF('Elève (3ème2)'!PL17:PO17,"A"))*4)+((COUNTIF('Elève (3ème2)'!PL17:PO17,"B"))*3)+((COUNTIF('Elève (3ème2)'!PL17:PO17,"C"))*2)+((COUNTIF('Elève (3ème2)'!PL17:PO17,"D"))*1))/(COUNTA(PL17:PO17)),"")</f>
        <v>4</v>
      </c>
      <c r="PQ17" s="162" t="str">
        <f t="shared" si="106"/>
        <v>A</v>
      </c>
      <c r="PR17" s="103" t="s">
        <v>27</v>
      </c>
      <c r="PS17" s="104" t="s">
        <v>30</v>
      </c>
      <c r="PT17" s="105"/>
      <c r="PU17" s="105"/>
      <c r="PV17" s="105" t="s">
        <v>28</v>
      </c>
      <c r="PW17" s="109"/>
      <c r="PX17" s="161">
        <f>IFERROR((((COUNTIF('Elève (3ème2)'!PR17:PW17,"A"))*4)+((COUNTIF('Elève (3ème2)'!PR17:PW17,"B"))*3)+((COUNTIF('Elève (3ème2)'!PR17:PW17,"C"))*2)+((COUNTIF('Elève (3ème2)'!PR17:PW17,"D"))*1))/(COUNTA(PR17:PW17)),"")</f>
        <v>2.6666666666666665</v>
      </c>
      <c r="PY17" s="162" t="str">
        <f t="shared" si="107"/>
        <v>C</v>
      </c>
      <c r="PZ17" s="161">
        <f>IF(COUNT(PJ17,PP17,PX17)=0,"",SUM(PJ17,PP17,PX17)/COUNT(PJ17,PP17,PX17))</f>
        <v>2.8888888888888888</v>
      </c>
      <c r="QA17" s="191" t="str">
        <f t="shared" si="108"/>
        <v>B</v>
      </c>
      <c r="QB17" s="103"/>
      <c r="QC17" s="104" t="s">
        <v>29</v>
      </c>
      <c r="QD17" s="105"/>
      <c r="QE17" s="161">
        <f>IFERROR((((COUNTIF('Elève (3ème2)'!QB17:QD17,"A"))*4)+((COUNTIF('Elève (3ème2)'!QB17:QD17,"B"))*3)+((COUNTIF('Elève (3ème2)'!QB17:QD17,"C"))*2)+((COUNTIF('Elève (3ème2)'!QB17:QD17,"D"))*1))/(COUNTA(QB17:QD17)),"")</f>
        <v>2</v>
      </c>
      <c r="QF17" s="162" t="str">
        <f t="shared" si="109"/>
        <v>C</v>
      </c>
      <c r="QG17" s="103" t="s">
        <v>29</v>
      </c>
      <c r="QH17" s="104"/>
      <c r="QI17" s="105"/>
      <c r="QJ17" s="105"/>
      <c r="QK17" s="161">
        <f>IFERROR((((COUNTIF('Elève (3ème2)'!QG17:QJ17,"A"))*4)+((COUNTIF('Elève (3ème2)'!QG17:QJ17,"B"))*3)+((COUNTIF('Elève (3ème2)'!QG17:QJ17,"C"))*2)+((COUNTIF('Elève (3ème2)'!QG17:QJ17,"D"))*1))/(COUNTA(QG17:QJ17)),"")</f>
        <v>2</v>
      </c>
      <c r="QL17" s="162" t="str">
        <f t="shared" si="110"/>
        <v>C</v>
      </c>
      <c r="QM17" s="103" t="s">
        <v>29</v>
      </c>
      <c r="QN17" s="104" t="s">
        <v>28</v>
      </c>
      <c r="QO17" s="105"/>
      <c r="QP17" s="105"/>
      <c r="QQ17" s="105" t="s">
        <v>30</v>
      </c>
      <c r="QR17" s="109"/>
      <c r="QS17" s="161">
        <f>IFERROR((((COUNTIF('Elève (3ème2)'!QM17:QR17,"A"))*4)+((COUNTIF('Elève (3ème2)'!QM17:QR17,"B"))*3)+((COUNTIF('Elève (3ème2)'!QM17:QR17,"C"))*2)+((COUNTIF('Elève (3ème2)'!QM17:QR17,"D"))*1))/(COUNTA(QM17:QR17)),"")</f>
        <v>2</v>
      </c>
      <c r="QT17" s="162" t="str">
        <f t="shared" si="111"/>
        <v>C</v>
      </c>
      <c r="QU17" s="161">
        <f>IF(COUNT(QE17,QK17,QS17)=0,"",SUM(QE17,QK17,QS17)/COUNT(QE17,QK17,QS17))</f>
        <v>2</v>
      </c>
      <c r="QV17" s="191" t="str">
        <f t="shared" si="112"/>
        <v>C</v>
      </c>
      <c r="QW17" s="103"/>
      <c r="QX17" s="104" t="s">
        <v>30</v>
      </c>
      <c r="QY17" s="105"/>
      <c r="QZ17" s="161">
        <f>IFERROR((((COUNTIF('Elève (3ème2)'!QW17:QY17,"A"))*4)+((COUNTIF('Elève (3ème2)'!QW17:QY17,"B"))*3)+((COUNTIF('Elève (3ème2)'!QW17:QY17,"C"))*2)+((COUNTIF('Elève (3ème2)'!QW17:QY17,"D"))*1))/(COUNTA(QW17:QY17)),"")</f>
        <v>1</v>
      </c>
      <c r="RA17" s="162" t="str">
        <f t="shared" si="113"/>
        <v>D</v>
      </c>
      <c r="RB17" s="103" t="s">
        <v>28</v>
      </c>
      <c r="RC17" s="104"/>
      <c r="RD17" s="105"/>
      <c r="RE17" s="105"/>
      <c r="RF17" s="161">
        <f>IFERROR((((COUNTIF('Elève (3ème2)'!RB17:RE17,"A"))*4)+((COUNTIF('Elève (3ème2)'!RB17:RE17,"B"))*3)+((COUNTIF('Elève (3ème2)'!RB17:RE17,"C"))*2)+((COUNTIF('Elève (3ème2)'!RB17:RE17,"D"))*1))/(COUNTA(RB17:RE17)),"")</f>
        <v>3</v>
      </c>
      <c r="RG17" s="162" t="str">
        <f t="shared" si="114"/>
        <v>B</v>
      </c>
      <c r="RH17" s="103" t="s">
        <v>29</v>
      </c>
      <c r="RI17" s="104" t="s">
        <v>28</v>
      </c>
      <c r="RJ17" s="105"/>
      <c r="RK17" s="105"/>
      <c r="RL17" s="105" t="s">
        <v>29</v>
      </c>
      <c r="RM17" s="109"/>
      <c r="RN17" s="161">
        <f>IFERROR((((COUNTIF('Elève (3ème2)'!RH17:RM17,"A"))*4)+((COUNTIF('Elève (3ème2)'!RH17:RM17,"B"))*3)+((COUNTIF('Elève (3ème2)'!RH17:RM17,"C"))*2)+((COUNTIF('Elève (3ème2)'!RH17:RM17,"D"))*1))/(COUNTA(RH17:RM17)),"")</f>
        <v>2.3333333333333335</v>
      </c>
      <c r="RO17" s="162" t="str">
        <f t="shared" si="115"/>
        <v>C</v>
      </c>
      <c r="RP17" s="161">
        <f>IF(COUNT(QZ17,RF17,RN17)=0,"",SUM(QZ17,RF17,RN17)/COUNT(QZ17,RF17,RN17))</f>
        <v>2.1111111111111112</v>
      </c>
      <c r="RQ17" s="191" t="str">
        <f t="shared" si="116"/>
        <v>C</v>
      </c>
      <c r="RR17" s="103"/>
      <c r="RS17" s="104" t="s">
        <v>28</v>
      </c>
      <c r="RT17" s="105"/>
      <c r="RU17" s="161">
        <f>IFERROR((((COUNTIF('Elève (3ème2)'!RR17:RT17,"A"))*4)+((COUNTIF('Elève (3ème2)'!RR17:RT17,"B"))*3)+((COUNTIF('Elève (3ème2)'!RR17:RT17,"C"))*2)+((COUNTIF('Elève (3ème2)'!RR17:RT17,"D"))*1))/(COUNTA(RR17:RT17)),"")</f>
        <v>3</v>
      </c>
      <c r="RV17" s="162" t="str">
        <f t="shared" si="117"/>
        <v>B</v>
      </c>
      <c r="RW17" s="103" t="s">
        <v>28</v>
      </c>
      <c r="RX17" s="104"/>
      <c r="RY17" s="105"/>
      <c r="RZ17" s="105"/>
      <c r="SA17" s="161">
        <f>IFERROR((((COUNTIF('Elève (3ème2)'!RW17:RZ17,"A"))*4)+((COUNTIF('Elève (3ème2)'!RW17:RZ17,"B"))*3)+((COUNTIF('Elève (3ème2)'!RW17:RZ17,"C"))*2)+((COUNTIF('Elève (3ème2)'!RW17:RZ17,"D"))*1))/(COUNTA(RW17:RZ17)),"")</f>
        <v>3</v>
      </c>
      <c r="SB17" s="162" t="str">
        <f t="shared" si="118"/>
        <v>B</v>
      </c>
      <c r="SC17" s="103" t="s">
        <v>29</v>
      </c>
      <c r="SD17" s="104" t="s">
        <v>27</v>
      </c>
      <c r="SE17" s="105"/>
      <c r="SF17" s="105"/>
      <c r="SG17" s="105" t="s">
        <v>28</v>
      </c>
      <c r="SH17" s="109"/>
      <c r="SI17" s="161">
        <f>IFERROR((((COUNTIF('Elève (3ème2)'!SC17:SH17,"A"))*4)+((COUNTIF('Elève (3ème2)'!SC17:SH17,"B"))*3)+((COUNTIF('Elève (3ème2)'!SC17:SH17,"C"))*2)+((COUNTIF('Elève (3ème2)'!SC17:SH17,"D"))*1))/(COUNTA(SC17:SH17)),"")</f>
        <v>3</v>
      </c>
      <c r="SJ17" s="162" t="str">
        <f t="shared" si="119"/>
        <v>B</v>
      </c>
      <c r="SK17" s="161">
        <f>IF(COUNT(RU17,SA17,SI17)=0,"",SUM(RU17,SA17,SI17)/COUNT(RU17,SA17,SI17))</f>
        <v>3</v>
      </c>
      <c r="SL17" s="191" t="str">
        <f t="shared" si="120"/>
        <v>B</v>
      </c>
      <c r="SM17" s="103"/>
      <c r="SN17" s="104" t="s">
        <v>28</v>
      </c>
      <c r="SO17" s="105"/>
      <c r="SP17" s="161">
        <f>IFERROR((((COUNTIF('Elève (3ème2)'!SM17:SO17,"A"))*4)+((COUNTIF('Elève (3ème2)'!SM17:SO17,"B"))*3)+((COUNTIF('Elève (3ème2)'!SM17:SO17,"C"))*2)+((COUNTIF('Elève (3ème2)'!SM17:SO17,"D"))*1))/(COUNTA(SM17:SO17)),"")</f>
        <v>3</v>
      </c>
      <c r="SQ17" s="162" t="str">
        <f t="shared" si="121"/>
        <v>B</v>
      </c>
      <c r="SR17" s="103" t="s">
        <v>29</v>
      </c>
      <c r="SS17" s="104"/>
      <c r="ST17" s="105"/>
      <c r="SU17" s="105"/>
      <c r="SV17" s="161">
        <f>IFERROR((((COUNTIF('Elève (3ème2)'!SR17:SU17,"A"))*4)+((COUNTIF('Elève (3ème2)'!SR17:SU17,"B"))*3)+((COUNTIF('Elève (3ème2)'!SR17:SU17,"C"))*2)+((COUNTIF('Elève (3ème2)'!SR17:SU17,"D"))*1))/(COUNTA(SR17:SU17)),"")</f>
        <v>2</v>
      </c>
      <c r="SW17" s="162" t="str">
        <f t="shared" si="122"/>
        <v>C</v>
      </c>
      <c r="SX17" s="103" t="s">
        <v>28</v>
      </c>
      <c r="SY17" s="104" t="s">
        <v>29</v>
      </c>
      <c r="SZ17" s="105"/>
      <c r="TA17" s="105"/>
      <c r="TB17" s="105" t="s">
        <v>29</v>
      </c>
      <c r="TC17" s="109"/>
      <c r="TD17" s="161">
        <f>IFERROR((((COUNTIF('Elève (3ème2)'!SX17:TC17,"A"))*4)+((COUNTIF('Elève (3ème2)'!SX17:TC17,"B"))*3)+((COUNTIF('Elève (3ème2)'!SX17:TC17,"C"))*2)+((COUNTIF('Elève (3ème2)'!SX17:TC17,"D"))*1))/(COUNTA(SX17:TC17)),"")</f>
        <v>2.3333333333333335</v>
      </c>
      <c r="TE17" s="162" t="str">
        <f t="shared" si="123"/>
        <v>C</v>
      </c>
      <c r="TF17" s="161">
        <f>IF(COUNT(SP17,SV17,TD17)=0,"",SUM(SP17,SV17,TD17)/COUNT(SP17,SV17,TD17))</f>
        <v>2.4444444444444446</v>
      </c>
      <c r="TG17" s="191" t="str">
        <f t="shared" si="124"/>
        <v>C</v>
      </c>
      <c r="TH17" s="103"/>
      <c r="TI17" s="104" t="s">
        <v>30</v>
      </c>
      <c r="TJ17" s="105"/>
      <c r="TK17" s="161">
        <f>IFERROR((((COUNTIF('Elève (3ème2)'!TH17:TJ17,"A"))*4)+((COUNTIF('Elève (3ème2)'!TH17:TJ17,"B"))*3)+((COUNTIF('Elève (3ème2)'!TH17:TJ17,"C"))*2)+((COUNTIF('Elève (3ème2)'!TH17:TJ17,"D"))*1))/(COUNTA(TH17:TJ17)),"")</f>
        <v>1</v>
      </c>
      <c r="TL17" s="162" t="str">
        <f t="shared" si="125"/>
        <v>D</v>
      </c>
      <c r="TM17" s="103" t="s">
        <v>29</v>
      </c>
      <c r="TN17" s="104"/>
      <c r="TO17" s="105"/>
      <c r="TP17" s="105"/>
      <c r="TQ17" s="161">
        <f>IFERROR((((COUNTIF('Elève (3ème2)'!TM17:TP17,"A"))*4)+((COUNTIF('Elève (3ème2)'!TM17:TP17,"B"))*3)+((COUNTIF('Elève (3ème2)'!TM17:TP17,"C"))*2)+((COUNTIF('Elève (3ème2)'!TM17:TP17,"D"))*1))/(COUNTA(TM17:TP17)),"")</f>
        <v>2</v>
      </c>
      <c r="TR17" s="162" t="str">
        <f t="shared" si="126"/>
        <v>C</v>
      </c>
      <c r="TS17" s="103" t="s">
        <v>30</v>
      </c>
      <c r="TT17" s="104" t="s">
        <v>30</v>
      </c>
      <c r="TU17" s="105"/>
      <c r="TV17" s="105"/>
      <c r="TW17" s="105" t="s">
        <v>29</v>
      </c>
      <c r="TX17" s="109"/>
      <c r="TY17" s="161">
        <f>IFERROR((((COUNTIF('Elève (3ème2)'!TS17:TX17,"A"))*4)+((COUNTIF('Elève (3ème2)'!TS17:TX17,"B"))*3)+((COUNTIF('Elève (3ème2)'!TS17:TX17,"C"))*2)+((COUNTIF('Elève (3ème2)'!TS17:TX17,"D"))*1))/(COUNTA(TS17:TX17)),"")</f>
        <v>1.3333333333333333</v>
      </c>
      <c r="TZ17" s="162" t="str">
        <f t="shared" si="127"/>
        <v>D</v>
      </c>
      <c r="UA17" s="161">
        <f>IF(COUNT(TK17,TQ17,TY17)=0,"",SUM(TK17,TQ17,TY17)/COUNT(TK17,TQ17,TY17))</f>
        <v>1.4444444444444444</v>
      </c>
      <c r="UB17" s="191" t="str">
        <f t="shared" si="128"/>
        <v>D</v>
      </c>
      <c r="UC17" s="103"/>
      <c r="UD17" s="104"/>
      <c r="UE17" s="105"/>
      <c r="UF17" s="99" t="str">
        <f>IFERROR((((COUNTIF('Elève (3ème2)'!UC17:UE17,"A"))*4)+((COUNTIF('Elève (3ème2)'!UC17:UE17,"B"))*3)+((COUNTIF('Elève (3ème2)'!UC17:UE17,"C"))*2)+((COUNTIF('Elève (3ème2)'!UC17:UE17,"D"))*1))/(COUNTA(UC17:UE17)),"")</f>
        <v/>
      </c>
      <c r="UG17" s="100" t="str">
        <f t="shared" si="129"/>
        <v/>
      </c>
      <c r="UH17" s="103"/>
      <c r="UI17" s="104"/>
      <c r="UJ17" s="105"/>
      <c r="UK17" s="99" t="str">
        <f>IFERROR((((COUNTIF('Elève (3ème2)'!UH17:UJ17,"A"))*4)+((COUNTIF('Elève (3ème2)'!UH17:UJ17,"B"))*3)+((COUNTIF('Elève (3ème2)'!UH17:UJ17,"C"))*2)+((COUNTIF('Elève (3ème2)'!UH17:UJ17,"D"))*1))/(COUNTA(UH17:UJ17)),"")</f>
        <v/>
      </c>
      <c r="UL17" s="100" t="str">
        <f t="shared" si="130"/>
        <v/>
      </c>
      <c r="UM17" s="103"/>
      <c r="UN17" s="104"/>
      <c r="UO17" s="109"/>
      <c r="UP17" s="99" t="str">
        <f>IFERROR((((COUNTIF('Elève (3ème2)'!UM17:UO17,"A"))*4)+((COUNTIF('Elève (3ème2)'!UM17:UO17,"B"))*3)+((COUNTIF('Elève (3ème2)'!UM17:UO17,"C"))*2)+((COUNTIF('Elève (3ème2)'!UM17:UO17,"D"))*1))/(COUNTA(UM17:UO17)),"")</f>
        <v/>
      </c>
      <c r="UQ17" s="100" t="str">
        <f t="shared" si="131"/>
        <v/>
      </c>
      <c r="UR17" s="99" t="str">
        <f>IF(COUNT(UF17,UK17,UP17)=0,"",SUM(UF17,UK17,UP17)/COUNT(UF17,UK17,UP17))</f>
        <v/>
      </c>
      <c r="US17" s="123" t="str">
        <f t="shared" si="132"/>
        <v/>
      </c>
      <c r="UT17" s="103"/>
      <c r="UU17" s="104"/>
      <c r="UV17" s="105"/>
      <c r="UW17" s="99" t="str">
        <f>IFERROR((((COUNTIF('Elève (3ème2)'!UT17:UV17,"A"))*4)+((COUNTIF('Elève (3ème2)'!UT17:UV17,"B"))*3)+((COUNTIF('Elève (3ème2)'!UT17:UV17,"C"))*2)+((COUNTIF('Elève (3ème2)'!UT17:UV17,"D"))*1))/(COUNTA(UT17:UV17)),"")</f>
        <v/>
      </c>
      <c r="UX17" s="100" t="str">
        <f t="shared" si="133"/>
        <v/>
      </c>
      <c r="UY17" s="103"/>
      <c r="UZ17" s="104"/>
      <c r="VA17" s="105"/>
      <c r="VB17" s="99" t="str">
        <f>IFERROR((((COUNTIF('Elève (3ème2)'!UY17:VA17,"A"))*4)+((COUNTIF('Elève (3ème2)'!UY17:VA17,"B"))*3)+((COUNTIF('Elève (3ème2)'!UY17:VA17,"C"))*2)+((COUNTIF('Elève (3ème2)'!UY17:VA17,"D"))*1))/(COUNTA(UY17:VA17)),"")</f>
        <v/>
      </c>
      <c r="VC17" s="100" t="str">
        <f t="shared" si="134"/>
        <v/>
      </c>
      <c r="VD17" s="103"/>
      <c r="VE17" s="104"/>
      <c r="VF17" s="109"/>
      <c r="VG17" s="99" t="str">
        <f>IFERROR((((COUNTIF('Elève (3ème2)'!VD17:VF17,"A"))*4)+((COUNTIF('Elève (3ème2)'!VD17:VF17,"B"))*3)+((COUNTIF('Elève (3ème2)'!VD17:VF17,"C"))*2)+((COUNTIF('Elève (3ème2)'!VD17:VF17,"D"))*1))/(COUNTA(VD17:VF17)),"")</f>
        <v/>
      </c>
      <c r="VH17" s="100" t="str">
        <f t="shared" si="135"/>
        <v/>
      </c>
      <c r="VI17" s="99" t="str">
        <f>IF(COUNT(UW17,VB17,VG17)=0,"",SUM(UW17,VB17,VG17)/COUNT(UW17,VB17,VG17))</f>
        <v/>
      </c>
      <c r="VJ17" s="123" t="str">
        <f t="shared" si="136"/>
        <v/>
      </c>
      <c r="VK17" s="103"/>
      <c r="VL17" s="104"/>
      <c r="VM17" s="105"/>
      <c r="VN17" s="99" t="str">
        <f>IFERROR((((COUNTIF('Elève (3ème2)'!VK17:VM17,"A"))*4)+((COUNTIF('Elève (3ème2)'!VK17:VM17,"B"))*3)+((COUNTIF('Elève (3ème2)'!VK17:VM17,"C"))*2)+((COUNTIF('Elève (3ème2)'!VK17:VM17,"D"))*1))/(COUNTA(VK17:VM17)),"")</f>
        <v/>
      </c>
      <c r="VO17" s="100" t="str">
        <f t="shared" si="137"/>
        <v/>
      </c>
      <c r="VP17" s="103"/>
      <c r="VQ17" s="104"/>
      <c r="VR17" s="105"/>
      <c r="VS17" s="99" t="str">
        <f>IFERROR((((COUNTIF('Elève (3ème2)'!VP17:VR17,"A"))*4)+((COUNTIF('Elève (3ème2)'!VP17:VR17,"B"))*3)+((COUNTIF('Elève (3ème2)'!VP17:VR17,"C"))*2)+((COUNTIF('Elève (3ème2)'!VP17:VR17,"D"))*1))/(COUNTA(VP17:VR17)),"")</f>
        <v/>
      </c>
      <c r="VT17" s="100" t="str">
        <f t="shared" si="138"/>
        <v/>
      </c>
      <c r="VU17" s="103"/>
      <c r="VV17" s="104"/>
      <c r="VW17" s="109"/>
      <c r="VX17" s="99" t="str">
        <f>IFERROR((((COUNTIF('Elève (3ème2)'!VU17:VW17,"A"))*4)+((COUNTIF('Elève (3ème2)'!VU17:VW17,"B"))*3)+((COUNTIF('Elève (3ème2)'!VU17:VW17,"C"))*2)+((COUNTIF('Elève (3ème2)'!VU17:VW17,"D"))*1))/(COUNTA(VU17:VW17)),"")</f>
        <v/>
      </c>
      <c r="VY17" s="100" t="str">
        <f t="shared" si="139"/>
        <v/>
      </c>
      <c r="VZ17" s="99" t="str">
        <f>IF(COUNT(VN17,VS17,VX17)=0,"",SUM(VN17,VS17,VX17)/COUNT(VN17,VS17,VX17))</f>
        <v/>
      </c>
      <c r="WA17" s="123" t="str">
        <f t="shared" si="140"/>
        <v/>
      </c>
      <c r="WB17" s="103"/>
      <c r="WC17" s="104"/>
      <c r="WD17" s="105"/>
      <c r="WE17" s="99" t="str">
        <f>IFERROR((((COUNTIF('Elève (3ème2)'!WB17:WD17,"A"))*4)+((COUNTIF('Elève (3ème2)'!WB17:WD17,"B"))*3)+((COUNTIF('Elève (3ème2)'!WB17:WD17,"C"))*2)+((COUNTIF('Elève (3ème2)'!WB17:WD17,"D"))*1))/(COUNTA(WB17:WD17)),"")</f>
        <v/>
      </c>
      <c r="WF17" s="100" t="str">
        <f t="shared" si="141"/>
        <v/>
      </c>
      <c r="WG17" s="103"/>
      <c r="WH17" s="104"/>
      <c r="WI17" s="105"/>
      <c r="WJ17" s="99" t="str">
        <f>IFERROR((((COUNTIF('Elève (3ème2)'!WG17:WI17,"A"))*4)+((COUNTIF('Elève (3ème2)'!WG17:WI17,"B"))*3)+((COUNTIF('Elève (3ème2)'!WG17:WI17,"C"))*2)+((COUNTIF('Elève (3ème2)'!WG17:WI17,"D"))*1))/(COUNTA(WG17:WI17)),"")</f>
        <v/>
      </c>
      <c r="WK17" s="100" t="str">
        <f t="shared" si="142"/>
        <v/>
      </c>
      <c r="WL17" s="103"/>
      <c r="WM17" s="104"/>
      <c r="WN17" s="109"/>
      <c r="WO17" s="99" t="str">
        <f>IFERROR((((COUNTIF('Elève (3ème2)'!WL17:WN17,"A"))*4)+((COUNTIF('Elève (3ème2)'!WL17:WN17,"B"))*3)+((COUNTIF('Elève (3ème2)'!WL17:WN17,"C"))*2)+((COUNTIF('Elève (3ème2)'!WL17:WN17,"D"))*1))/(COUNTA(WL17:WN17)),"")</f>
        <v/>
      </c>
      <c r="WP17" s="100" t="str">
        <f t="shared" si="143"/>
        <v/>
      </c>
      <c r="WQ17" s="99" t="str">
        <f>IF(COUNT(WE17,WJ17,WO17)=0,"",SUM(WE17,WJ17,WO17)/COUNT(WE17,WJ17,WO17))</f>
        <v/>
      </c>
      <c r="WR17" s="123" t="str">
        <f t="shared" si="144"/>
        <v/>
      </c>
    </row>
    <row r="18" spans="1:616" ht="18" customHeight="1" x14ac:dyDescent="0.55000000000000004">
      <c r="A18" s="221" t="s">
        <v>22</v>
      </c>
      <c r="B18" s="222"/>
      <c r="C18" s="103"/>
      <c r="D18" s="104"/>
      <c r="E18" s="105"/>
      <c r="F18" s="163" t="str">
        <f>IFERROR((((COUNTIF('Elève (3ème2)'!C18:E18,"A"))*4)+((COUNTIF('Elève (3ème2)'!C18:E18,"B"))*3)+((COUNTIF('Elève (3ème2)'!C18:E18,"C"))*2)+((COUNTIF('Elève (3ème2)'!C18:E18,"D"))*1))/(COUNTA(C18:E18)),"")</f>
        <v/>
      </c>
      <c r="G18" s="164" t="str">
        <f t="shared" si="25"/>
        <v/>
      </c>
      <c r="H18" s="103"/>
      <c r="I18" s="104"/>
      <c r="J18" s="105"/>
      <c r="K18" s="105"/>
      <c r="L18" s="163" t="str">
        <f>IFERROR((((COUNTIF('Elève (3ème2)'!H18:K18,"A"))*4)+((COUNTIF('Elève (3ème2)'!H18:K18,"B"))*3)+((COUNTIF('Elève (3ème2)'!H18:K18,"C"))*2)+((COUNTIF('Elève (3ème2)'!H18:K18,"D"))*1))/(COUNTA(H18:K18)),"")</f>
        <v/>
      </c>
      <c r="M18" s="164" t="str">
        <f t="shared" si="26"/>
        <v/>
      </c>
      <c r="N18" s="103"/>
      <c r="O18" s="104"/>
      <c r="P18" s="105"/>
      <c r="Q18" s="105"/>
      <c r="R18" s="105"/>
      <c r="S18" s="105"/>
      <c r="T18" s="163" t="str">
        <f>IFERROR((((COUNTIF('Elève (3ème2)'!N18:S18,"A"))*4)+((COUNTIF('Elève (3ème2)'!N18:S18,"B"))*3)+((COUNTIF('Elève (3ème2)'!N18:S18,"C"))*2)+((COUNTIF('Elève (3ème2)'!N18:S18,"D"))*1))/(COUNTA(N18:S18)),"")</f>
        <v/>
      </c>
      <c r="U18" s="164" t="str">
        <f t="shared" si="27"/>
        <v/>
      </c>
      <c r="V18" s="163" t="str">
        <f>IF(COUNT(F18,L18,T18)=0,"",SUM(F18,L18,T18)/COUNT(F18,L18,T18))</f>
        <v/>
      </c>
      <c r="W18" s="187" t="str">
        <f t="shared" si="28"/>
        <v/>
      </c>
      <c r="X18" s="103"/>
      <c r="Y18" s="104"/>
      <c r="Z18" s="105"/>
      <c r="AA18" s="163" t="str">
        <f>IFERROR((((COUNTIF('Elève (3ème2)'!X18:Z18,"A"))*4)+((COUNTIF('Elève (3ème2)'!X18:Z18,"B"))*3)+((COUNTIF('Elève (3ème2)'!X18:Z18,"C"))*2)+((COUNTIF('Elève (3ème2)'!X18:Z18,"D"))*1))/(COUNTA(X18:Z18)),"")</f>
        <v/>
      </c>
      <c r="AB18" s="164" t="str">
        <f t="shared" si="29"/>
        <v/>
      </c>
      <c r="AC18" s="103"/>
      <c r="AD18" s="104"/>
      <c r="AE18" s="105"/>
      <c r="AF18" s="105"/>
      <c r="AG18" s="163" t="str">
        <f>IFERROR((((COUNTIF('Elève (3ème2)'!AC18:AF18,"A"))*4)+((COUNTIF('Elève (3ème2)'!AC18:AF18,"B"))*3)+((COUNTIF('Elève (3ème2)'!AC18:AF18,"C"))*2)+((COUNTIF('Elève (3ème2)'!AC18:AF18,"D"))*1))/(COUNTA(AC18:AF18)),"")</f>
        <v/>
      </c>
      <c r="AH18" s="164" t="str">
        <f t="shared" si="30"/>
        <v/>
      </c>
      <c r="AI18" s="103"/>
      <c r="AJ18" s="104"/>
      <c r="AK18" s="105"/>
      <c r="AL18" s="105"/>
      <c r="AM18" s="105"/>
      <c r="AN18" s="109"/>
      <c r="AO18" s="163" t="str">
        <f>IFERROR((((COUNTIF('Elève (3ème2)'!AI18:AN18,"A"))*4)+((COUNTIF('Elève (3ème2)'!AI18:AN18,"B"))*3)+((COUNTIF('Elève (3ème2)'!AI18:AN18,"C"))*2)+((COUNTIF('Elève (3ème2)'!AI18:AN18,"D"))*1))/(COUNTA(AI18:AN18)),"")</f>
        <v/>
      </c>
      <c r="AP18" s="164" t="str">
        <f t="shared" si="31"/>
        <v/>
      </c>
      <c r="AQ18" s="163" t="str">
        <f>IF(COUNT(AA18,AG18,AO18)=0,"",SUM(AA18,AG18,AO18)/COUNT(AA18,AG18,AO18))</f>
        <v/>
      </c>
      <c r="AR18" s="187" t="str">
        <f t="shared" si="32"/>
        <v/>
      </c>
      <c r="AS18" s="103"/>
      <c r="AT18" s="104"/>
      <c r="AU18" s="105"/>
      <c r="AV18" s="163" t="str">
        <f>IFERROR((((COUNTIF('Elève (3ème2)'!AS18:AU18,"A"))*4)+((COUNTIF('Elève (3ème2)'!AS18:AU18,"B"))*3)+((COUNTIF('Elève (3ème2)'!AS18:AU18,"C"))*2)+((COUNTIF('Elève (3ème2)'!AS18:AU18,"D"))*1))/(COUNTA(AS18:AU18)),"")</f>
        <v/>
      </c>
      <c r="AW18" s="164" t="str">
        <f t="shared" si="33"/>
        <v/>
      </c>
      <c r="AX18" s="103"/>
      <c r="AY18" s="104"/>
      <c r="AZ18" s="105"/>
      <c r="BA18" s="105"/>
      <c r="BB18" s="163" t="str">
        <f>IFERROR((((COUNTIF('Elève (3ème2)'!AX18:BA18,"A"))*4)+((COUNTIF('Elève (3ème2)'!AX18:BA18,"B"))*3)+((COUNTIF('Elève (3ème2)'!AX18:BA18,"C"))*2)+((COUNTIF('Elève (3ème2)'!AX18:BA18,"D"))*1))/(COUNTA(AX18:BA18)),"")</f>
        <v/>
      </c>
      <c r="BC18" s="164" t="str">
        <f t="shared" si="34"/>
        <v/>
      </c>
      <c r="BD18" s="103"/>
      <c r="BE18" s="104"/>
      <c r="BF18" s="105"/>
      <c r="BG18" s="105"/>
      <c r="BH18" s="105"/>
      <c r="BI18" s="109"/>
      <c r="BJ18" s="163" t="str">
        <f>IFERROR((((COUNTIF('Elève (3ème2)'!BD18:BI18,"A"))*4)+((COUNTIF('Elève (3ème2)'!BD18:BI18,"B"))*3)+((COUNTIF('Elève (3ème2)'!BD18:BI18,"C"))*2)+((COUNTIF('Elève (3ème2)'!BD18:BI18,"D"))*1))/(COUNTA(BD18:BI18)),"")</f>
        <v/>
      </c>
      <c r="BK18" s="164" t="str">
        <f t="shared" si="35"/>
        <v/>
      </c>
      <c r="BL18" s="163" t="str">
        <f>IF(COUNT(AV18,BB18,BJ18)=0,"",SUM(AV18,BB18,BJ18)/COUNT(AV18,BB18,BJ18))</f>
        <v/>
      </c>
      <c r="BM18" s="187" t="str">
        <f t="shared" si="36"/>
        <v/>
      </c>
      <c r="BN18" s="103"/>
      <c r="BO18" s="104"/>
      <c r="BP18" s="105"/>
      <c r="BQ18" s="163" t="str">
        <f>IFERROR((((COUNTIF('Elève (3ème2)'!BN18:BP18,"A"))*4)+((COUNTIF('Elève (3ème2)'!BN18:BP18,"B"))*3)+((COUNTIF('Elève (3ème2)'!BN18:BP18,"C"))*2)+((COUNTIF('Elève (3ème2)'!BN18:BP18,"D"))*1))/(COUNTA(BN18:BP18)),"")</f>
        <v/>
      </c>
      <c r="BR18" s="164" t="str">
        <f t="shared" si="37"/>
        <v/>
      </c>
      <c r="BS18" s="103"/>
      <c r="BT18" s="104"/>
      <c r="BU18" s="105"/>
      <c r="BV18" s="105"/>
      <c r="BW18" s="163" t="str">
        <f>IFERROR((((COUNTIF('Elève (3ème2)'!BS18:BV18,"A"))*4)+((COUNTIF('Elève (3ème2)'!BS18:BV18,"B"))*3)+((COUNTIF('Elève (3ème2)'!BS18:BV18,"C"))*2)+((COUNTIF('Elève (3ème2)'!BS18:BV18,"D"))*1))/(COUNTA(BS18:BV18)),"")</f>
        <v/>
      </c>
      <c r="BX18" s="164" t="str">
        <f t="shared" si="38"/>
        <v/>
      </c>
      <c r="BY18" s="103"/>
      <c r="BZ18" s="104"/>
      <c r="CA18" s="105"/>
      <c r="CB18" s="105"/>
      <c r="CC18" s="105"/>
      <c r="CD18" s="109"/>
      <c r="CE18" s="163" t="str">
        <f>IFERROR((((COUNTIF('Elève (3ème2)'!BY18:CD18,"A"))*4)+((COUNTIF('Elève (3ème2)'!BY18:CD18,"B"))*3)+((COUNTIF('Elève (3ème2)'!BY18:CD18,"C"))*2)+((COUNTIF('Elève (3ème2)'!BY18:CD18,"D"))*1))/(COUNTA(BY18:CD18)),"")</f>
        <v/>
      </c>
      <c r="CF18" s="164" t="str">
        <f t="shared" si="39"/>
        <v/>
      </c>
      <c r="CG18" s="163" t="str">
        <f>IF(COUNT(BQ18,BW18,CE18)=0,"",SUM(BQ18,BW18,CE18)/COUNT(BQ18,BW18,CE18))</f>
        <v/>
      </c>
      <c r="CH18" s="187" t="str">
        <f t="shared" si="40"/>
        <v/>
      </c>
      <c r="CI18" s="103"/>
      <c r="CJ18" s="104"/>
      <c r="CK18" s="105"/>
      <c r="CL18" s="163" t="str">
        <f>IFERROR((((COUNTIF('Elève (3ème2)'!CI18:CK18,"A"))*4)+((COUNTIF('Elève (3ème2)'!CI18:CK18,"B"))*3)+((COUNTIF('Elève (3ème2)'!CI18:CK18,"C"))*2)+((COUNTIF('Elève (3ème2)'!CI18:CK18,"D"))*1))/(COUNTA(CI18:CK18)),"")</f>
        <v/>
      </c>
      <c r="CM18" s="164" t="str">
        <f t="shared" si="41"/>
        <v/>
      </c>
      <c r="CN18" s="103"/>
      <c r="CO18" s="104"/>
      <c r="CP18" s="105"/>
      <c r="CQ18" s="105"/>
      <c r="CR18" s="163" t="str">
        <f>IFERROR((((COUNTIF('Elève (3ème2)'!CN18:CQ18,"A"))*4)+((COUNTIF('Elève (3ème2)'!CN18:CQ18,"B"))*3)+((COUNTIF('Elève (3ème2)'!CN18:CQ18,"C"))*2)+((COUNTIF('Elève (3ème2)'!CN18:CQ18,"D"))*1))/(COUNTA(CN18:CQ18)),"")</f>
        <v/>
      </c>
      <c r="CS18" s="164" t="str">
        <f t="shared" si="42"/>
        <v/>
      </c>
      <c r="CT18" s="103"/>
      <c r="CU18" s="104"/>
      <c r="CV18" s="105"/>
      <c r="CW18" s="105"/>
      <c r="CX18" s="105"/>
      <c r="CY18" s="109"/>
      <c r="CZ18" s="163" t="str">
        <f>IFERROR((((COUNTIF('Elève (3ème2)'!CT18:CY18,"A"))*4)+((COUNTIF('Elève (3ème2)'!CT18:CY18,"B"))*3)+((COUNTIF('Elève (3ème2)'!CT18:CY18,"C"))*2)+((COUNTIF('Elève (3ème2)'!CT18:CY18,"D"))*1))/(COUNTA(CT18:CY18)),"")</f>
        <v/>
      </c>
      <c r="DA18" s="164" t="str">
        <f t="shared" si="43"/>
        <v/>
      </c>
      <c r="DB18" s="163" t="str">
        <f>IF(COUNT(CL18,CR18,CZ18)=0,"",SUM(CL18,CR18,CZ18)/COUNT(CL18,CR18,CZ18))</f>
        <v/>
      </c>
      <c r="DC18" s="187" t="str">
        <f t="shared" si="44"/>
        <v/>
      </c>
      <c r="DD18" s="103"/>
      <c r="DE18" s="104"/>
      <c r="DF18" s="105"/>
      <c r="DG18" s="163" t="str">
        <f>IFERROR((((COUNTIF('Elève (3ème2)'!DD18:DF18,"A"))*4)+((COUNTIF('Elève (3ème2)'!DD18:DF18,"B"))*3)+((COUNTIF('Elève (3ème2)'!DD18:DF18,"C"))*2)+((COUNTIF('Elève (3ème2)'!DD18:DF18,"D"))*1))/(COUNTA(DD18:DF18)),"")</f>
        <v/>
      </c>
      <c r="DH18" s="164" t="str">
        <f t="shared" si="45"/>
        <v/>
      </c>
      <c r="DI18" s="103"/>
      <c r="DJ18" s="104"/>
      <c r="DK18" s="105"/>
      <c r="DL18" s="105"/>
      <c r="DM18" s="163" t="str">
        <f>IFERROR((((COUNTIF('Elève (3ème2)'!DI18:DL18,"A"))*4)+((COUNTIF('Elève (3ème2)'!DI18:DL18,"B"))*3)+((COUNTIF('Elève (3ème2)'!DI18:DL18,"C"))*2)+((COUNTIF('Elève (3ème2)'!DI18:DL18,"D"))*1))/(COUNTA(DI18:DL18)),"")</f>
        <v/>
      </c>
      <c r="DN18" s="164" t="str">
        <f t="shared" si="46"/>
        <v/>
      </c>
      <c r="DO18" s="103"/>
      <c r="DP18" s="104"/>
      <c r="DQ18" s="105"/>
      <c r="DR18" s="105"/>
      <c r="DS18" s="105"/>
      <c r="DT18" s="109"/>
      <c r="DU18" s="163" t="str">
        <f>IFERROR((((COUNTIF('Elève (3ème2)'!DO18:DT18,"A"))*4)+((COUNTIF('Elève (3ème2)'!DO18:DT18,"B"))*3)+((COUNTIF('Elève (3ème2)'!DO18:DT18,"C"))*2)+((COUNTIF('Elève (3ème2)'!DO18:DT18,"D"))*1))/(COUNTA(DO18:DT18)),"")</f>
        <v/>
      </c>
      <c r="DV18" s="164" t="str">
        <f t="shared" si="47"/>
        <v/>
      </c>
      <c r="DW18" s="163" t="str">
        <f>IF(COUNT(DG18,DM18,DU18)=0,"",SUM(DG18,DM18,DU18)/COUNT(DG18,DM18,DU18))</f>
        <v/>
      </c>
      <c r="DX18" s="187" t="str">
        <f t="shared" si="48"/>
        <v/>
      </c>
      <c r="DY18" s="103"/>
      <c r="DZ18" s="104"/>
      <c r="EA18" s="105"/>
      <c r="EB18" s="163" t="str">
        <f>IFERROR((((COUNTIF('Elève (3ème2)'!DY18:EA18,"A"))*4)+((COUNTIF('Elève (3ème2)'!DY18:EA18,"B"))*3)+((COUNTIF('Elève (3ème2)'!DY18:EA18,"C"))*2)+((COUNTIF('Elève (3ème2)'!DY18:EA18,"D"))*1))/(COUNTA(DY18:EA18)),"")</f>
        <v/>
      </c>
      <c r="EC18" s="164" t="str">
        <f t="shared" si="49"/>
        <v/>
      </c>
      <c r="ED18" s="103"/>
      <c r="EE18" s="104"/>
      <c r="EF18" s="105"/>
      <c r="EG18" s="105"/>
      <c r="EH18" s="163" t="str">
        <f>IFERROR((((COUNTIF('Elève (3ème2)'!ED18:EG18,"A"))*4)+((COUNTIF('Elève (3ème2)'!ED18:EG18,"B"))*3)+((COUNTIF('Elève (3ème2)'!ED18:EG18,"C"))*2)+((COUNTIF('Elève (3ème2)'!ED18:EG18,"D"))*1))/(COUNTA(ED18:EG18)),"")</f>
        <v/>
      </c>
      <c r="EI18" s="164" t="str">
        <f t="shared" si="50"/>
        <v/>
      </c>
      <c r="EJ18" s="103"/>
      <c r="EK18" s="104"/>
      <c r="EL18" s="105"/>
      <c r="EM18" s="105"/>
      <c r="EN18" s="105"/>
      <c r="EO18" s="109"/>
      <c r="EP18" s="163" t="str">
        <f>IFERROR((((COUNTIF('Elève (3ème2)'!EJ18:EO18,"A"))*4)+((COUNTIF('Elève (3ème2)'!EJ18:EO18,"B"))*3)+((COUNTIF('Elève (3ème2)'!EJ18:EO18,"C"))*2)+((COUNTIF('Elève (3ème2)'!EJ18:EO18,"D"))*1))/(COUNTA(EJ18:EO18)),"")</f>
        <v/>
      </c>
      <c r="EQ18" s="164" t="str">
        <f t="shared" si="51"/>
        <v/>
      </c>
      <c r="ER18" s="163" t="str">
        <f>IF(COUNT(EB18,EH18,EP18)=0,"",SUM(EB18,EH18,EP18)/COUNT(EB18,EH18,EP18))</f>
        <v/>
      </c>
      <c r="ES18" s="187" t="str">
        <f t="shared" si="52"/>
        <v/>
      </c>
      <c r="ET18" s="103"/>
      <c r="EU18" s="104"/>
      <c r="EV18" s="105"/>
      <c r="EW18" s="163" t="str">
        <f>IFERROR((((COUNTIF('Elève (3ème2)'!ET18:EV18,"A"))*4)+((COUNTIF('Elève (3ème2)'!ET18:EV18,"B"))*3)+((COUNTIF('Elève (3ème2)'!ET18:EV18,"C"))*2)+((COUNTIF('Elève (3ème2)'!ET18:EV18,"D"))*1))/(COUNTA(ET18:EV18)),"")</f>
        <v/>
      </c>
      <c r="EX18" s="164" t="str">
        <f t="shared" si="53"/>
        <v/>
      </c>
      <c r="EY18" s="103"/>
      <c r="EZ18" s="104"/>
      <c r="FA18" s="105"/>
      <c r="FB18" s="105"/>
      <c r="FC18" s="163" t="str">
        <f>IFERROR((((COUNTIF('Elève (3ème2)'!EY18:FB18,"A"))*4)+((COUNTIF('Elève (3ème2)'!EY18:FB18,"B"))*3)+((COUNTIF('Elève (3ème2)'!EY18:FB18,"C"))*2)+((COUNTIF('Elève (3ème2)'!EY18:FB18,"D"))*1))/(COUNTA(EY18:FB18)),"")</f>
        <v/>
      </c>
      <c r="FD18" s="164" t="str">
        <f t="shared" si="54"/>
        <v/>
      </c>
      <c r="FE18" s="103"/>
      <c r="FF18" s="104"/>
      <c r="FG18" s="105"/>
      <c r="FH18" s="105"/>
      <c r="FI18" s="105"/>
      <c r="FJ18" s="109"/>
      <c r="FK18" s="163" t="str">
        <f>IFERROR((((COUNTIF('Elève (3ème2)'!FE18:FJ18,"A"))*4)+((COUNTIF('Elève (3ème2)'!FE18:FJ18,"B"))*3)+((COUNTIF('Elève (3ème2)'!FE18:FJ18,"C"))*2)+((COUNTIF('Elève (3ème2)'!FE18:FJ18,"D"))*1))/(COUNTA(FE18:FJ18)),"")</f>
        <v/>
      </c>
      <c r="FL18" s="164" t="str">
        <f t="shared" si="55"/>
        <v/>
      </c>
      <c r="FM18" s="163" t="str">
        <f>IF(COUNT(EW18,FC18,FK18)=0,"",SUM(EW18,FC18,FK18)/COUNT(EW18,FC18,FK18))</f>
        <v/>
      </c>
      <c r="FN18" s="187" t="str">
        <f t="shared" si="56"/>
        <v/>
      </c>
      <c r="FO18" s="103"/>
      <c r="FP18" s="104"/>
      <c r="FQ18" s="105"/>
      <c r="FR18" s="163" t="str">
        <f>IFERROR((((COUNTIF('Elève (3ème2)'!FO18:FQ18,"A"))*4)+((COUNTIF('Elève (3ème2)'!FO18:FQ18,"B"))*3)+((COUNTIF('Elève (3ème2)'!FO18:FQ18,"C"))*2)+((COUNTIF('Elève (3ème2)'!FO18:FQ18,"D"))*1))/(COUNTA(FO18:FQ18)),"")</f>
        <v/>
      </c>
      <c r="FS18" s="164" t="str">
        <f t="shared" si="57"/>
        <v/>
      </c>
      <c r="FT18" s="103"/>
      <c r="FU18" s="104"/>
      <c r="FV18" s="105"/>
      <c r="FW18" s="105"/>
      <c r="FX18" s="163" t="str">
        <f>IFERROR((((COUNTIF('Elève (3ème2)'!FT18:FW18,"A"))*4)+((COUNTIF('Elève (3ème2)'!FT18:FW18,"B"))*3)+((COUNTIF('Elève (3ème2)'!FT18:FW18,"C"))*2)+((COUNTIF('Elève (3ème2)'!FT18:FW18,"D"))*1))/(COUNTA(FT18:FW18)),"")</f>
        <v/>
      </c>
      <c r="FY18" s="164" t="str">
        <f t="shared" si="58"/>
        <v/>
      </c>
      <c r="FZ18" s="103"/>
      <c r="GA18" s="104"/>
      <c r="GB18" s="105"/>
      <c r="GC18" s="105"/>
      <c r="GD18" s="105"/>
      <c r="GE18" s="109"/>
      <c r="GF18" s="163" t="str">
        <f>IFERROR((((COUNTIF('Elève (3ème2)'!FZ18:GE18,"A"))*4)+((COUNTIF('Elève (3ème2)'!FZ18:GE18,"B"))*3)+((COUNTIF('Elève (3ème2)'!FZ18:GE18,"C"))*2)+((COUNTIF('Elève (3ème2)'!FZ18:GE18,"D"))*1))/(COUNTA(FZ18:GE18)),"")</f>
        <v/>
      </c>
      <c r="GG18" s="164" t="str">
        <f t="shared" si="59"/>
        <v/>
      </c>
      <c r="GH18" s="163" t="str">
        <f>IF(COUNT(FR18,FX18,GF18)=0,"",SUM(FR18,FX18,GF18)/COUNT(FR18,FX18,GF18))</f>
        <v/>
      </c>
      <c r="GI18" s="187" t="str">
        <f t="shared" si="60"/>
        <v/>
      </c>
      <c r="GJ18" s="103"/>
      <c r="GK18" s="104"/>
      <c r="GL18" s="105"/>
      <c r="GM18" s="163" t="str">
        <f>IFERROR((((COUNTIF('Elève (3ème2)'!GJ18:GL18,"A"))*4)+((COUNTIF('Elève (3ème2)'!GJ18:GL18,"B"))*3)+((COUNTIF('Elève (3ème2)'!GJ18:GL18,"C"))*2)+((COUNTIF('Elève (3ème2)'!GJ18:GL18,"D"))*1))/(COUNTA(GJ18:GL18)),"")</f>
        <v/>
      </c>
      <c r="GN18" s="164" t="str">
        <f t="shared" si="61"/>
        <v/>
      </c>
      <c r="GO18" s="103"/>
      <c r="GP18" s="104"/>
      <c r="GQ18" s="105"/>
      <c r="GR18" s="105"/>
      <c r="GS18" s="163" t="str">
        <f>IFERROR((((COUNTIF('Elève (3ème2)'!GO18:GR18,"A"))*4)+((COUNTIF('Elève (3ème2)'!GO18:GR18,"B"))*3)+((COUNTIF('Elève (3ème2)'!GO18:GR18,"C"))*2)+((COUNTIF('Elève (3ème2)'!GO18:GR18,"D"))*1))/(COUNTA(GO18:GR18)),"")</f>
        <v/>
      </c>
      <c r="GT18" s="164" t="str">
        <f t="shared" si="62"/>
        <v/>
      </c>
      <c r="GU18" s="103"/>
      <c r="GV18" s="104"/>
      <c r="GW18" s="105"/>
      <c r="GX18" s="105"/>
      <c r="GY18" s="105"/>
      <c r="GZ18" s="109"/>
      <c r="HA18" s="163" t="str">
        <f>IFERROR((((COUNTIF('Elève (3ème2)'!GU18:GZ18,"A"))*4)+((COUNTIF('Elève (3ème2)'!GU18:GZ18,"B"))*3)+((COUNTIF('Elève (3ème2)'!GU18:GZ18,"C"))*2)+((COUNTIF('Elève (3ème2)'!GU18:GZ18,"D"))*1))/(COUNTA(GU18:GZ18)),"")</f>
        <v/>
      </c>
      <c r="HB18" s="164" t="str">
        <f t="shared" si="63"/>
        <v/>
      </c>
      <c r="HC18" s="163" t="str">
        <f>IF(COUNT(GM18,GS18,HA18)=0,"",SUM(GM18,GS18,HA18)/COUNT(GM18,GS18,HA18))</f>
        <v/>
      </c>
      <c r="HD18" s="187" t="str">
        <f t="shared" si="64"/>
        <v/>
      </c>
      <c r="HE18" s="103"/>
      <c r="HF18" s="104"/>
      <c r="HG18" s="105"/>
      <c r="HH18" s="163" t="str">
        <f>IFERROR((((COUNTIF('Elève (3ème2)'!HE18:HG18,"A"))*4)+((COUNTIF('Elève (3ème2)'!HE18:HG18,"B"))*3)+((COUNTIF('Elève (3ème2)'!HE18:HG18,"C"))*2)+((COUNTIF('Elève (3ème2)'!HE18:HG18,"D"))*1))/(COUNTA(HE18:HG18)),"")</f>
        <v/>
      </c>
      <c r="HI18" s="164" t="str">
        <f t="shared" si="65"/>
        <v/>
      </c>
      <c r="HJ18" s="103"/>
      <c r="HK18" s="104"/>
      <c r="HL18" s="105"/>
      <c r="HM18" s="105"/>
      <c r="HN18" s="163" t="str">
        <f>IFERROR((((COUNTIF('Elève (3ème2)'!HJ18:HM18,"A"))*4)+((COUNTIF('Elève (3ème2)'!HJ18:HM18,"B"))*3)+((COUNTIF('Elève (3ème2)'!HJ18:HM18,"C"))*2)+((COUNTIF('Elève (3ème2)'!HJ18:HM18,"D"))*1))/(COUNTA(HJ18:HM18)),"")</f>
        <v/>
      </c>
      <c r="HO18" s="164" t="str">
        <f t="shared" si="66"/>
        <v/>
      </c>
      <c r="HP18" s="103"/>
      <c r="HQ18" s="104"/>
      <c r="HR18" s="105"/>
      <c r="HS18" s="105"/>
      <c r="HT18" s="105"/>
      <c r="HU18" s="109"/>
      <c r="HV18" s="163" t="str">
        <f>IFERROR((((COUNTIF('Elève (3ème2)'!HP18:HU18,"A"))*4)+((COUNTIF('Elève (3ème2)'!HP18:HU18,"B"))*3)+((COUNTIF('Elève (3ème2)'!HP18:HU18,"C"))*2)+((COUNTIF('Elève (3ème2)'!HP18:HU18,"D"))*1))/(COUNTA(HP18:HU18)),"")</f>
        <v/>
      </c>
      <c r="HW18" s="164" t="str">
        <f t="shared" si="67"/>
        <v/>
      </c>
      <c r="HX18" s="163" t="str">
        <f>IF(COUNT(HH18,HN18,HV18)=0,"",SUM(HH18,HN18,HV18)/COUNT(HH18,HN18,HV18))</f>
        <v/>
      </c>
      <c r="HY18" s="187" t="str">
        <f t="shared" si="68"/>
        <v/>
      </c>
      <c r="HZ18" s="103"/>
      <c r="IA18" s="104"/>
      <c r="IB18" s="105"/>
      <c r="IC18" s="163" t="str">
        <f>IFERROR((((COUNTIF('Elève (3ème2)'!HZ18:IB18,"A"))*4)+((COUNTIF('Elève (3ème2)'!HZ18:IB18,"B"))*3)+((COUNTIF('Elève (3ème2)'!HZ18:IB18,"C"))*2)+((COUNTIF('Elève (3ème2)'!HZ18:IB18,"D"))*1))/(COUNTA(HZ18:IB18)),"")</f>
        <v/>
      </c>
      <c r="ID18" s="164" t="str">
        <f t="shared" si="69"/>
        <v/>
      </c>
      <c r="IE18" s="103"/>
      <c r="IF18" s="104"/>
      <c r="IG18" s="105"/>
      <c r="IH18" s="105"/>
      <c r="II18" s="163" t="str">
        <f>IFERROR((((COUNTIF('Elève (3ème2)'!IE18:IH18,"A"))*4)+((COUNTIF('Elève (3ème2)'!IE18:IH18,"B"))*3)+((COUNTIF('Elève (3ème2)'!IE18:IH18,"C"))*2)+((COUNTIF('Elève (3ème2)'!IE18:IH18,"D"))*1))/(COUNTA(IE18:IH18)),"")</f>
        <v/>
      </c>
      <c r="IJ18" s="164" t="str">
        <f t="shared" si="70"/>
        <v/>
      </c>
      <c r="IK18" s="103"/>
      <c r="IL18" s="104"/>
      <c r="IM18" s="105"/>
      <c r="IN18" s="105"/>
      <c r="IO18" s="105"/>
      <c r="IP18" s="109"/>
      <c r="IQ18" s="163" t="str">
        <f>IFERROR((((COUNTIF('Elève (3ème2)'!IK18:IP18,"A"))*4)+((COUNTIF('Elève (3ème2)'!IK18:IP18,"B"))*3)+((COUNTIF('Elève (3ème2)'!IK18:IP18,"C"))*2)+((COUNTIF('Elève (3ème2)'!IK18:IP18,"D"))*1))/(COUNTA(IK18:IP18)),"")</f>
        <v/>
      </c>
      <c r="IR18" s="164" t="str">
        <f t="shared" si="71"/>
        <v/>
      </c>
      <c r="IS18" s="163" t="str">
        <f>IF(COUNT(IC18,II18,IQ18)=0,"",SUM(IC18,II18,IQ18)/COUNT(IC18,II18,IQ18))</f>
        <v/>
      </c>
      <c r="IT18" s="187" t="str">
        <f t="shared" si="72"/>
        <v/>
      </c>
      <c r="IU18" s="103"/>
      <c r="IV18" s="104"/>
      <c r="IW18" s="105"/>
      <c r="IX18" s="163" t="str">
        <f>IFERROR((((COUNTIF('Elève (3ème2)'!IU18:IW18,"A"))*4)+((COUNTIF('Elève (3ème2)'!IU18:IW18,"B"))*3)+((COUNTIF('Elève (3ème2)'!IU18:IW18,"C"))*2)+((COUNTIF('Elève (3ème2)'!IU18:IW18,"D"))*1))/(COUNTA(IU18:IW18)),"")</f>
        <v/>
      </c>
      <c r="IY18" s="164" t="str">
        <f t="shared" si="73"/>
        <v/>
      </c>
      <c r="IZ18" s="103"/>
      <c r="JA18" s="104"/>
      <c r="JB18" s="105"/>
      <c r="JC18" s="105"/>
      <c r="JD18" s="163" t="str">
        <f>IFERROR((((COUNTIF('Elève (3ème2)'!IZ18:JC18,"A"))*4)+((COUNTIF('Elève (3ème2)'!IZ18:JC18,"B"))*3)+((COUNTIF('Elève (3ème2)'!IZ18:JC18,"C"))*2)+((COUNTIF('Elève (3ème2)'!IZ18:JC18,"D"))*1))/(COUNTA(IZ18:JC18)),"")</f>
        <v/>
      </c>
      <c r="JE18" s="164" t="str">
        <f t="shared" si="74"/>
        <v/>
      </c>
      <c r="JF18" s="103"/>
      <c r="JG18" s="104"/>
      <c r="JH18" s="105"/>
      <c r="JI18" s="105"/>
      <c r="JJ18" s="105"/>
      <c r="JK18" s="109"/>
      <c r="JL18" s="163" t="str">
        <f>IFERROR((((COUNTIF('Elève (3ème2)'!JF18:JK18,"A"))*4)+((COUNTIF('Elève (3ème2)'!JF18:JK18,"B"))*3)+((COUNTIF('Elève (3ème2)'!JF18:JK18,"C"))*2)+((COUNTIF('Elève (3ème2)'!JF18:JK18,"D"))*1))/(COUNTA(JF18:JK18)),"")</f>
        <v/>
      </c>
      <c r="JM18" s="164" t="str">
        <f t="shared" si="75"/>
        <v/>
      </c>
      <c r="JN18" s="163" t="str">
        <f>IF(COUNT(IX18,JD18,JL18)=0,"",SUM(IX18,JD18,JL18)/COUNT(IX18,JD18,JL18))</f>
        <v/>
      </c>
      <c r="JO18" s="187" t="str">
        <f t="shared" si="76"/>
        <v/>
      </c>
      <c r="JP18" s="103"/>
      <c r="JQ18" s="104"/>
      <c r="JR18" s="105"/>
      <c r="JS18" s="163" t="str">
        <f>IFERROR((((COUNTIF('Elève (3ème2)'!JP18:JR18,"A"))*4)+((COUNTIF('Elève (3ème2)'!JP18:JR18,"B"))*3)+((COUNTIF('Elève (3ème2)'!JP18:JR18,"C"))*2)+((COUNTIF('Elève (3ème2)'!JP18:JR18,"D"))*1))/(COUNTA(JP18:JR18)),"")</f>
        <v/>
      </c>
      <c r="JT18" s="164" t="str">
        <f t="shared" si="77"/>
        <v/>
      </c>
      <c r="JU18" s="103"/>
      <c r="JV18" s="104"/>
      <c r="JW18" s="105"/>
      <c r="JX18" s="105"/>
      <c r="JY18" s="163" t="str">
        <f>IFERROR((((COUNTIF('Elève (3ème2)'!JU18:JX18,"A"))*4)+((COUNTIF('Elève (3ème2)'!JU18:JX18,"B"))*3)+((COUNTIF('Elève (3ème2)'!JU18:JX18,"C"))*2)+((COUNTIF('Elève (3ème2)'!JU18:JX18,"D"))*1))/(COUNTA(JU18:JX18)),"")</f>
        <v/>
      </c>
      <c r="JZ18" s="164" t="str">
        <f t="shared" si="78"/>
        <v/>
      </c>
      <c r="KA18" s="103"/>
      <c r="KB18" s="104"/>
      <c r="KC18" s="105"/>
      <c r="KD18" s="105"/>
      <c r="KE18" s="105"/>
      <c r="KF18" s="109"/>
      <c r="KG18" s="163" t="str">
        <f>IFERROR((((COUNTIF('Elève (3ème2)'!KA18:KF18,"A"))*4)+((COUNTIF('Elève (3ème2)'!KA18:KF18,"B"))*3)+((COUNTIF('Elève (3ème2)'!KA18:KF18,"C"))*2)+((COUNTIF('Elève (3ème2)'!KA18:KF18,"D"))*1))/(COUNTA(KA18:KF18)),"")</f>
        <v/>
      </c>
      <c r="KH18" s="164" t="str">
        <f t="shared" si="79"/>
        <v/>
      </c>
      <c r="KI18" s="163" t="str">
        <f>IF(COUNT(JS18,JY18,KG18)=0,"",SUM(JS18,JY18,KG18)/COUNT(JS18,JY18,KG18))</f>
        <v/>
      </c>
      <c r="KJ18" s="187" t="str">
        <f t="shared" si="80"/>
        <v/>
      </c>
      <c r="KK18" s="103"/>
      <c r="KL18" s="104"/>
      <c r="KM18" s="105"/>
      <c r="KN18" s="163" t="str">
        <f>IFERROR((((COUNTIF('Elève (3ème2)'!KK18:KM18,"A"))*4)+((COUNTIF('Elève (3ème2)'!KK18:KM18,"B"))*3)+((COUNTIF('Elève (3ème2)'!KK18:KM18,"C"))*2)+((COUNTIF('Elève (3ème2)'!KK18:KM18,"D"))*1))/(COUNTA(KK18:KM18)),"")</f>
        <v/>
      </c>
      <c r="KO18" s="164" t="str">
        <f t="shared" si="81"/>
        <v/>
      </c>
      <c r="KP18" s="103"/>
      <c r="KQ18" s="104"/>
      <c r="KR18" s="105"/>
      <c r="KS18" s="105"/>
      <c r="KT18" s="163" t="str">
        <f>IFERROR((((COUNTIF('Elève (3ème2)'!KP18:KS18,"A"))*4)+((COUNTIF('Elève (3ème2)'!KP18:KS18,"B"))*3)+((COUNTIF('Elève (3ème2)'!KP18:KS18,"C"))*2)+((COUNTIF('Elève (3ème2)'!KP18:KS18,"D"))*1))/(COUNTA(KP18:KS18)),"")</f>
        <v/>
      </c>
      <c r="KU18" s="164" t="str">
        <f t="shared" si="82"/>
        <v/>
      </c>
      <c r="KV18" s="103"/>
      <c r="KW18" s="104"/>
      <c r="KX18" s="105"/>
      <c r="KY18" s="105"/>
      <c r="KZ18" s="105"/>
      <c r="LA18" s="109"/>
      <c r="LB18" s="163" t="str">
        <f>IFERROR((((COUNTIF('Elève (3ème2)'!KV18:LA18,"A"))*4)+((COUNTIF('Elève (3ème2)'!KV18:LA18,"B"))*3)+((COUNTIF('Elève (3ème2)'!KV18:LA18,"C"))*2)+((COUNTIF('Elève (3ème2)'!KV18:LA18,"D"))*1))/(COUNTA(KV18:LA18)),"")</f>
        <v/>
      </c>
      <c r="LC18" s="164" t="str">
        <f t="shared" si="83"/>
        <v/>
      </c>
      <c r="LD18" s="163" t="str">
        <f>IF(COUNT(KN18,KT18,LB18)=0,"",SUM(KN18,KT18,LB18)/COUNT(KN18,KT18,LB18))</f>
        <v/>
      </c>
      <c r="LE18" s="187" t="str">
        <f t="shared" si="84"/>
        <v/>
      </c>
      <c r="LF18" s="103"/>
      <c r="LG18" s="104"/>
      <c r="LH18" s="105"/>
      <c r="LI18" s="163" t="str">
        <f>IFERROR((((COUNTIF('Elève (3ème2)'!LF18:LH18,"A"))*4)+((COUNTIF('Elève (3ème2)'!LF18:LH18,"B"))*3)+((COUNTIF('Elève (3ème2)'!LF18:LH18,"C"))*2)+((COUNTIF('Elève (3ème2)'!LF18:LH18,"D"))*1))/(COUNTA(LF18:LH18)),"")</f>
        <v/>
      </c>
      <c r="LJ18" s="164" t="str">
        <f t="shared" si="85"/>
        <v/>
      </c>
      <c r="LK18" s="103"/>
      <c r="LL18" s="104"/>
      <c r="LM18" s="105"/>
      <c r="LN18" s="105"/>
      <c r="LO18" s="163" t="str">
        <f>IFERROR((((COUNTIF('Elève (3ème2)'!LK18:LN18,"A"))*4)+((COUNTIF('Elève (3ème2)'!LK18:LN18,"B"))*3)+((COUNTIF('Elève (3ème2)'!LK18:LN18,"C"))*2)+((COUNTIF('Elève (3ème2)'!LK18:LN18,"D"))*1))/(COUNTA(LK18:LN18)),"")</f>
        <v/>
      </c>
      <c r="LP18" s="164" t="str">
        <f t="shared" si="86"/>
        <v/>
      </c>
      <c r="LQ18" s="103"/>
      <c r="LR18" s="104"/>
      <c r="LS18" s="105"/>
      <c r="LT18" s="105"/>
      <c r="LU18" s="105"/>
      <c r="LV18" s="109"/>
      <c r="LW18" s="163" t="str">
        <f>IFERROR((((COUNTIF('Elève (3ème2)'!LQ18:LV18,"A"))*4)+((COUNTIF('Elève (3ème2)'!LQ18:LV18,"B"))*3)+((COUNTIF('Elève (3ème2)'!LQ18:LV18,"C"))*2)+((COUNTIF('Elève (3ème2)'!LQ18:LV18,"D"))*1))/(COUNTA(LQ18:LV18)),"")</f>
        <v/>
      </c>
      <c r="LX18" s="164" t="str">
        <f t="shared" si="87"/>
        <v/>
      </c>
      <c r="LY18" s="163" t="str">
        <f>IF(COUNT(LI18,LO18,LW18)=0,"",SUM(LI18,LO18,LW18)/COUNT(LI18,LO18,LW18))</f>
        <v/>
      </c>
      <c r="LZ18" s="187" t="str">
        <f t="shared" si="88"/>
        <v/>
      </c>
      <c r="MA18" s="103"/>
      <c r="MB18" s="104"/>
      <c r="MC18" s="105"/>
      <c r="MD18" s="163" t="str">
        <f>IFERROR((((COUNTIF('Elève (3ème2)'!MA18:MC18,"A"))*4)+((COUNTIF('Elève (3ème2)'!MA18:MC18,"B"))*3)+((COUNTIF('Elève (3ème2)'!MA18:MC18,"C"))*2)+((COUNTIF('Elève (3ème2)'!MA18:MC18,"D"))*1))/(COUNTA(MA18:MC18)),"")</f>
        <v/>
      </c>
      <c r="ME18" s="164" t="str">
        <f t="shared" si="89"/>
        <v/>
      </c>
      <c r="MF18" s="103"/>
      <c r="MG18" s="104"/>
      <c r="MH18" s="105"/>
      <c r="MI18" s="105"/>
      <c r="MJ18" s="163" t="str">
        <f>IFERROR((((COUNTIF('Elève (3ème2)'!MF18:MI18,"A"))*4)+((COUNTIF('Elève (3ème2)'!MF18:MI18,"B"))*3)+((COUNTIF('Elève (3ème2)'!MF18:MI18,"C"))*2)+((COUNTIF('Elève (3ème2)'!MF18:MI18,"D"))*1))/(COUNTA(MF18:MI18)),"")</f>
        <v/>
      </c>
      <c r="MK18" s="164" t="str">
        <f t="shared" si="90"/>
        <v/>
      </c>
      <c r="ML18" s="103"/>
      <c r="MM18" s="104"/>
      <c r="MN18" s="105"/>
      <c r="MO18" s="105"/>
      <c r="MP18" s="105"/>
      <c r="MQ18" s="109"/>
      <c r="MR18" s="163" t="str">
        <f>IFERROR((((COUNTIF('Elève (3ème2)'!ML18:MQ18,"A"))*4)+((COUNTIF('Elève (3ème2)'!ML18:MQ18,"B"))*3)+((COUNTIF('Elève (3ème2)'!ML18:MQ18,"C"))*2)+((COUNTIF('Elève (3ème2)'!ML18:MQ18,"D"))*1))/(COUNTA(ML18:MQ18)),"")</f>
        <v/>
      </c>
      <c r="MS18" s="164" t="str">
        <f t="shared" si="91"/>
        <v/>
      </c>
      <c r="MT18" s="163" t="str">
        <f>IF(COUNT(MD18,MJ18,MR18)=0,"",SUM(MD18,MJ18,MR18)/COUNT(MD18,MJ18,MR18))</f>
        <v/>
      </c>
      <c r="MU18" s="187" t="str">
        <f t="shared" si="92"/>
        <v/>
      </c>
      <c r="MV18" s="103"/>
      <c r="MW18" s="104"/>
      <c r="MX18" s="105"/>
      <c r="MY18" s="163" t="str">
        <f>IFERROR((((COUNTIF('Elève (3ème2)'!MV18:MX18,"A"))*4)+((COUNTIF('Elève (3ème2)'!MV18:MX18,"B"))*3)+((COUNTIF('Elève (3ème2)'!MV18:MX18,"C"))*2)+((COUNTIF('Elève (3ème2)'!MV18:MX18,"D"))*1))/(COUNTA(MV18:MX18)),"")</f>
        <v/>
      </c>
      <c r="MZ18" s="164" t="str">
        <f t="shared" si="93"/>
        <v/>
      </c>
      <c r="NA18" s="103"/>
      <c r="NB18" s="104"/>
      <c r="NC18" s="105"/>
      <c r="ND18" s="105"/>
      <c r="NE18" s="163" t="str">
        <f>IFERROR((((COUNTIF('Elève (3ème2)'!NA18:ND18,"A"))*4)+((COUNTIF('Elève (3ème2)'!NA18:ND18,"B"))*3)+((COUNTIF('Elève (3ème2)'!NA18:ND18,"C"))*2)+((COUNTIF('Elève (3ème2)'!NA18:ND18,"D"))*1))/(COUNTA(NA18:ND18)),"")</f>
        <v/>
      </c>
      <c r="NF18" s="164" t="str">
        <f t="shared" si="94"/>
        <v/>
      </c>
      <c r="NG18" s="103"/>
      <c r="NH18" s="104"/>
      <c r="NI18" s="105"/>
      <c r="NJ18" s="105"/>
      <c r="NK18" s="105"/>
      <c r="NL18" s="109"/>
      <c r="NM18" s="163" t="str">
        <f>IFERROR((((COUNTIF('Elève (3ème2)'!NG18:NL18,"A"))*4)+((COUNTIF('Elève (3ème2)'!NG18:NL18,"B"))*3)+((COUNTIF('Elève (3ème2)'!NG18:NL18,"C"))*2)+((COUNTIF('Elève (3ème2)'!NG18:NL18,"D"))*1))/(COUNTA(NG18:NL18)),"")</f>
        <v/>
      </c>
      <c r="NN18" s="164" t="str">
        <f t="shared" si="95"/>
        <v/>
      </c>
      <c r="NO18" s="163" t="str">
        <f>IF(COUNT(MY18,NE18,NM18)=0,"",SUM(MY18,NE18,NM18)/COUNT(MY18,NE18,NM18))</f>
        <v/>
      </c>
      <c r="NP18" s="187" t="str">
        <f t="shared" si="96"/>
        <v/>
      </c>
      <c r="NQ18" s="103"/>
      <c r="NR18" s="104"/>
      <c r="NS18" s="105"/>
      <c r="NT18" s="163" t="str">
        <f>IFERROR((((COUNTIF('Elève (3ème2)'!NQ18:NS18,"A"))*4)+((COUNTIF('Elève (3ème2)'!NQ18:NS18,"B"))*3)+((COUNTIF('Elève (3ème2)'!NQ18:NS18,"C"))*2)+((COUNTIF('Elève (3ème2)'!NQ18:NS18,"D"))*1))/(COUNTA(NQ18:NS18)),"")</f>
        <v/>
      </c>
      <c r="NU18" s="164" t="str">
        <f t="shared" si="97"/>
        <v/>
      </c>
      <c r="NV18" s="103"/>
      <c r="NW18" s="104"/>
      <c r="NX18" s="105"/>
      <c r="NY18" s="105"/>
      <c r="NZ18" s="163" t="str">
        <f>IFERROR((((COUNTIF('Elève (3ème2)'!NV18:NY18,"A"))*4)+((COUNTIF('Elève (3ème2)'!NV18:NY18,"B"))*3)+((COUNTIF('Elève (3ème2)'!NV18:NY18,"C"))*2)+((COUNTIF('Elève (3ème2)'!NV18:NY18,"D"))*1))/(COUNTA(NV18:NY18)),"")</f>
        <v/>
      </c>
      <c r="OA18" s="164" t="str">
        <f t="shared" si="98"/>
        <v/>
      </c>
      <c r="OB18" s="103"/>
      <c r="OC18" s="104"/>
      <c r="OD18" s="105"/>
      <c r="OE18" s="105"/>
      <c r="OF18" s="105"/>
      <c r="OG18" s="109"/>
      <c r="OH18" s="163" t="str">
        <f>IFERROR((((COUNTIF('Elève (3ème2)'!OB18:OG18,"A"))*4)+((COUNTIF('Elève (3ème2)'!OB18:OG18,"B"))*3)+((COUNTIF('Elève (3ème2)'!OB18:OG18,"C"))*2)+((COUNTIF('Elève (3ème2)'!OB18:OG18,"D"))*1))/(COUNTA(OB18:OG18)),"")</f>
        <v/>
      </c>
      <c r="OI18" s="164" t="str">
        <f t="shared" si="99"/>
        <v/>
      </c>
      <c r="OJ18" s="163" t="str">
        <f>IF(COUNT(NT18,NZ18,OH18)=0,"",SUM(NT18,NZ18,OH18)/COUNT(NT18,NZ18,OH18))</f>
        <v/>
      </c>
      <c r="OK18" s="187" t="str">
        <f t="shared" si="100"/>
        <v/>
      </c>
      <c r="OL18" s="103"/>
      <c r="OM18" s="104"/>
      <c r="ON18" s="105"/>
      <c r="OO18" s="163" t="str">
        <f>IFERROR((((COUNTIF('Elève (3ème2)'!OL18:ON18,"A"))*4)+((COUNTIF('Elève (3ème2)'!OL18:ON18,"B"))*3)+((COUNTIF('Elève (3ème2)'!OL18:ON18,"C"))*2)+((COUNTIF('Elève (3ème2)'!OL18:ON18,"D"))*1))/(COUNTA(OL18:ON18)),"")</f>
        <v/>
      </c>
      <c r="OP18" s="164" t="str">
        <f t="shared" si="101"/>
        <v/>
      </c>
      <c r="OQ18" s="103"/>
      <c r="OR18" s="104"/>
      <c r="OS18" s="105"/>
      <c r="OT18" s="105"/>
      <c r="OU18" s="163" t="str">
        <f>IFERROR((((COUNTIF('Elève (3ème2)'!OQ18:OT18,"A"))*4)+((COUNTIF('Elève (3ème2)'!OQ18:OT18,"B"))*3)+((COUNTIF('Elève (3ème2)'!OQ18:OT18,"C"))*2)+((COUNTIF('Elève (3ème2)'!OQ18:OT18,"D"))*1))/(COUNTA(OQ18:OT18)),"")</f>
        <v/>
      </c>
      <c r="OV18" s="164" t="str">
        <f t="shared" si="102"/>
        <v/>
      </c>
      <c r="OW18" s="103"/>
      <c r="OX18" s="104"/>
      <c r="OY18" s="105"/>
      <c r="OZ18" s="105"/>
      <c r="PA18" s="105"/>
      <c r="PB18" s="109"/>
      <c r="PC18" s="163" t="str">
        <f>IFERROR((((COUNTIF('Elève (3ème2)'!OW18:PB18,"A"))*4)+((COUNTIF('Elève (3ème2)'!OW18:PB18,"B"))*3)+((COUNTIF('Elève (3ème2)'!OW18:PB18,"C"))*2)+((COUNTIF('Elève (3ème2)'!OW18:PB18,"D"))*1))/(COUNTA(OW18:PB18)),"")</f>
        <v/>
      </c>
      <c r="PD18" s="164" t="str">
        <f t="shared" si="103"/>
        <v/>
      </c>
      <c r="PE18" s="163" t="str">
        <f>IF(COUNT(OO18,OU18,PC18)=0,"",SUM(OO18,OU18,PC18)/COUNT(OO18,OU18,PC18))</f>
        <v/>
      </c>
      <c r="PF18" s="187" t="str">
        <f t="shared" si="104"/>
        <v/>
      </c>
      <c r="PG18" s="103"/>
      <c r="PH18" s="104"/>
      <c r="PI18" s="105"/>
      <c r="PJ18" s="163" t="str">
        <f>IFERROR((((COUNTIF('Elève (3ème2)'!PG18:PI18,"A"))*4)+((COUNTIF('Elève (3ème2)'!PG18:PI18,"B"))*3)+((COUNTIF('Elève (3ème2)'!PG18:PI18,"C"))*2)+((COUNTIF('Elève (3ème2)'!PG18:PI18,"D"))*1))/(COUNTA(PG18:PI18)),"")</f>
        <v/>
      </c>
      <c r="PK18" s="164" t="str">
        <f t="shared" si="105"/>
        <v/>
      </c>
      <c r="PL18" s="103"/>
      <c r="PM18" s="104"/>
      <c r="PN18" s="105"/>
      <c r="PO18" s="105"/>
      <c r="PP18" s="163" t="str">
        <f>IFERROR((((COUNTIF('Elève (3ème2)'!PL18:PO18,"A"))*4)+((COUNTIF('Elève (3ème2)'!PL18:PO18,"B"))*3)+((COUNTIF('Elève (3ème2)'!PL18:PO18,"C"))*2)+((COUNTIF('Elève (3ème2)'!PL18:PO18,"D"))*1))/(COUNTA(PL18:PO18)),"")</f>
        <v/>
      </c>
      <c r="PQ18" s="164" t="str">
        <f t="shared" si="106"/>
        <v/>
      </c>
      <c r="PR18" s="103"/>
      <c r="PS18" s="104"/>
      <c r="PT18" s="105"/>
      <c r="PU18" s="105"/>
      <c r="PV18" s="105"/>
      <c r="PW18" s="109"/>
      <c r="PX18" s="163" t="str">
        <f>IFERROR((((COUNTIF('Elève (3ème2)'!PR18:PW18,"A"))*4)+((COUNTIF('Elève (3ème2)'!PR18:PW18,"B"))*3)+((COUNTIF('Elève (3ème2)'!PR18:PW18,"C"))*2)+((COUNTIF('Elève (3ème2)'!PR18:PW18,"D"))*1))/(COUNTA(PR18:PW18)),"")</f>
        <v/>
      </c>
      <c r="PY18" s="164" t="str">
        <f t="shared" si="107"/>
        <v/>
      </c>
      <c r="PZ18" s="163" t="str">
        <f>IF(COUNT(PJ18,PP18,PX18)=0,"",SUM(PJ18,PP18,PX18)/COUNT(PJ18,PP18,PX18))</f>
        <v/>
      </c>
      <c r="QA18" s="187" t="str">
        <f t="shared" si="108"/>
        <v/>
      </c>
      <c r="QB18" s="103"/>
      <c r="QC18" s="104"/>
      <c r="QD18" s="105"/>
      <c r="QE18" s="163" t="str">
        <f>IFERROR((((COUNTIF('Elève (3ème2)'!QB18:QD18,"A"))*4)+((COUNTIF('Elève (3ème2)'!QB18:QD18,"B"))*3)+((COUNTIF('Elève (3ème2)'!QB18:QD18,"C"))*2)+((COUNTIF('Elève (3ème2)'!QB18:QD18,"D"))*1))/(COUNTA(QB18:QD18)),"")</f>
        <v/>
      </c>
      <c r="QF18" s="164" t="str">
        <f t="shared" si="109"/>
        <v/>
      </c>
      <c r="QG18" s="103"/>
      <c r="QH18" s="104"/>
      <c r="QI18" s="105"/>
      <c r="QJ18" s="105"/>
      <c r="QK18" s="163" t="str">
        <f>IFERROR((((COUNTIF('Elève (3ème2)'!QG18:QJ18,"A"))*4)+((COUNTIF('Elève (3ème2)'!QG18:QJ18,"B"))*3)+((COUNTIF('Elève (3ème2)'!QG18:QJ18,"C"))*2)+((COUNTIF('Elève (3ème2)'!QG18:QJ18,"D"))*1))/(COUNTA(QG18:QJ18)),"")</f>
        <v/>
      </c>
      <c r="QL18" s="164" t="str">
        <f t="shared" si="110"/>
        <v/>
      </c>
      <c r="QM18" s="103"/>
      <c r="QN18" s="104"/>
      <c r="QO18" s="105"/>
      <c r="QP18" s="105"/>
      <c r="QQ18" s="105"/>
      <c r="QR18" s="109"/>
      <c r="QS18" s="163" t="str">
        <f>IFERROR((((COUNTIF('Elève (3ème2)'!QM18:QR18,"A"))*4)+((COUNTIF('Elève (3ème2)'!QM18:QR18,"B"))*3)+((COUNTIF('Elève (3ème2)'!QM18:QR18,"C"))*2)+((COUNTIF('Elève (3ème2)'!QM18:QR18,"D"))*1))/(COUNTA(QM18:QR18)),"")</f>
        <v/>
      </c>
      <c r="QT18" s="164" t="str">
        <f t="shared" si="111"/>
        <v/>
      </c>
      <c r="QU18" s="163" t="str">
        <f>IF(COUNT(QE18,QK18,QS18)=0,"",SUM(QE18,QK18,QS18)/COUNT(QE18,QK18,QS18))</f>
        <v/>
      </c>
      <c r="QV18" s="187" t="str">
        <f t="shared" si="112"/>
        <v/>
      </c>
      <c r="QW18" s="103"/>
      <c r="QX18" s="104"/>
      <c r="QY18" s="105"/>
      <c r="QZ18" s="163" t="str">
        <f>IFERROR((((COUNTIF('Elève (3ème2)'!QW18:QY18,"A"))*4)+((COUNTIF('Elève (3ème2)'!QW18:QY18,"B"))*3)+((COUNTIF('Elève (3ème2)'!QW18:QY18,"C"))*2)+((COUNTIF('Elève (3ème2)'!QW18:QY18,"D"))*1))/(COUNTA(QW18:QY18)),"")</f>
        <v/>
      </c>
      <c r="RA18" s="164" t="str">
        <f t="shared" si="113"/>
        <v/>
      </c>
      <c r="RB18" s="103"/>
      <c r="RC18" s="104"/>
      <c r="RD18" s="105"/>
      <c r="RE18" s="105"/>
      <c r="RF18" s="163" t="str">
        <f>IFERROR((((COUNTIF('Elève (3ème2)'!RB18:RE18,"A"))*4)+((COUNTIF('Elève (3ème2)'!RB18:RE18,"B"))*3)+((COUNTIF('Elève (3ème2)'!RB18:RE18,"C"))*2)+((COUNTIF('Elève (3ème2)'!RB18:RE18,"D"))*1))/(COUNTA(RB18:RE18)),"")</f>
        <v/>
      </c>
      <c r="RG18" s="164" t="str">
        <f t="shared" si="114"/>
        <v/>
      </c>
      <c r="RH18" s="103"/>
      <c r="RI18" s="104"/>
      <c r="RJ18" s="105"/>
      <c r="RK18" s="105"/>
      <c r="RL18" s="105"/>
      <c r="RM18" s="109"/>
      <c r="RN18" s="163" t="str">
        <f>IFERROR((((COUNTIF('Elève (3ème2)'!RH18:RM18,"A"))*4)+((COUNTIF('Elève (3ème2)'!RH18:RM18,"B"))*3)+((COUNTIF('Elève (3ème2)'!RH18:RM18,"C"))*2)+((COUNTIF('Elève (3ème2)'!RH18:RM18,"D"))*1))/(COUNTA(RH18:RM18)),"")</f>
        <v/>
      </c>
      <c r="RO18" s="164" t="str">
        <f t="shared" si="115"/>
        <v/>
      </c>
      <c r="RP18" s="163" t="str">
        <f>IF(COUNT(QZ18,RF18,RN18)=0,"",SUM(QZ18,RF18,RN18)/COUNT(QZ18,RF18,RN18))</f>
        <v/>
      </c>
      <c r="RQ18" s="187" t="str">
        <f t="shared" si="116"/>
        <v/>
      </c>
      <c r="RR18" s="103"/>
      <c r="RS18" s="104"/>
      <c r="RT18" s="105"/>
      <c r="RU18" s="163" t="str">
        <f>IFERROR((((COUNTIF('Elève (3ème2)'!RR18:RT18,"A"))*4)+((COUNTIF('Elève (3ème2)'!RR18:RT18,"B"))*3)+((COUNTIF('Elève (3ème2)'!RR18:RT18,"C"))*2)+((COUNTIF('Elève (3ème2)'!RR18:RT18,"D"))*1))/(COUNTA(RR18:RT18)),"")</f>
        <v/>
      </c>
      <c r="RV18" s="164" t="str">
        <f t="shared" si="117"/>
        <v/>
      </c>
      <c r="RW18" s="103"/>
      <c r="RX18" s="104"/>
      <c r="RY18" s="105"/>
      <c r="RZ18" s="105"/>
      <c r="SA18" s="163" t="str">
        <f>IFERROR((((COUNTIF('Elève (3ème2)'!RW18:RZ18,"A"))*4)+((COUNTIF('Elève (3ème2)'!RW18:RZ18,"B"))*3)+((COUNTIF('Elève (3ème2)'!RW18:RZ18,"C"))*2)+((COUNTIF('Elève (3ème2)'!RW18:RZ18,"D"))*1))/(COUNTA(RW18:RZ18)),"")</f>
        <v/>
      </c>
      <c r="SB18" s="164" t="str">
        <f t="shared" si="118"/>
        <v/>
      </c>
      <c r="SC18" s="103"/>
      <c r="SD18" s="104"/>
      <c r="SE18" s="105"/>
      <c r="SF18" s="105"/>
      <c r="SG18" s="105"/>
      <c r="SH18" s="109"/>
      <c r="SI18" s="163" t="str">
        <f>IFERROR((((COUNTIF('Elève (3ème2)'!SC18:SH18,"A"))*4)+((COUNTIF('Elève (3ème2)'!SC18:SH18,"B"))*3)+((COUNTIF('Elève (3ème2)'!SC18:SH18,"C"))*2)+((COUNTIF('Elève (3ème2)'!SC18:SH18,"D"))*1))/(COUNTA(SC18:SH18)),"")</f>
        <v/>
      </c>
      <c r="SJ18" s="164" t="str">
        <f t="shared" si="119"/>
        <v/>
      </c>
      <c r="SK18" s="163" t="str">
        <f>IF(COUNT(RU18,SA18,SI18)=0,"",SUM(RU18,SA18,SI18)/COUNT(RU18,SA18,SI18))</f>
        <v/>
      </c>
      <c r="SL18" s="187" t="str">
        <f t="shared" si="120"/>
        <v/>
      </c>
      <c r="SM18" s="103"/>
      <c r="SN18" s="104"/>
      <c r="SO18" s="105"/>
      <c r="SP18" s="163" t="str">
        <f>IFERROR((((COUNTIF('Elève (3ème2)'!SM18:SO18,"A"))*4)+((COUNTIF('Elève (3ème2)'!SM18:SO18,"B"))*3)+((COUNTIF('Elève (3ème2)'!SM18:SO18,"C"))*2)+((COUNTIF('Elève (3ème2)'!SM18:SO18,"D"))*1))/(COUNTA(SM18:SO18)),"")</f>
        <v/>
      </c>
      <c r="SQ18" s="164" t="str">
        <f t="shared" si="121"/>
        <v/>
      </c>
      <c r="SR18" s="103"/>
      <c r="SS18" s="104"/>
      <c r="ST18" s="105"/>
      <c r="SU18" s="105"/>
      <c r="SV18" s="163" t="str">
        <f>IFERROR((((COUNTIF('Elève (3ème2)'!SR18:SU18,"A"))*4)+((COUNTIF('Elève (3ème2)'!SR18:SU18,"B"))*3)+((COUNTIF('Elève (3ème2)'!SR18:SU18,"C"))*2)+((COUNTIF('Elève (3ème2)'!SR18:SU18,"D"))*1))/(COUNTA(SR18:SU18)),"")</f>
        <v/>
      </c>
      <c r="SW18" s="164" t="str">
        <f t="shared" si="122"/>
        <v/>
      </c>
      <c r="SX18" s="103"/>
      <c r="SY18" s="104"/>
      <c r="SZ18" s="105"/>
      <c r="TA18" s="105"/>
      <c r="TB18" s="105"/>
      <c r="TC18" s="109"/>
      <c r="TD18" s="163" t="str">
        <f>IFERROR((((COUNTIF('Elève (3ème2)'!SX18:TC18,"A"))*4)+((COUNTIF('Elève (3ème2)'!SX18:TC18,"B"))*3)+((COUNTIF('Elève (3ème2)'!SX18:TC18,"C"))*2)+((COUNTIF('Elève (3ème2)'!SX18:TC18,"D"))*1))/(COUNTA(SX18:TC18)),"")</f>
        <v/>
      </c>
      <c r="TE18" s="164" t="str">
        <f t="shared" si="123"/>
        <v/>
      </c>
      <c r="TF18" s="163" t="str">
        <f>IF(COUNT(SP18,SV18,TD18)=0,"",SUM(SP18,SV18,TD18)/COUNT(SP18,SV18,TD18))</f>
        <v/>
      </c>
      <c r="TG18" s="187" t="str">
        <f t="shared" si="124"/>
        <v/>
      </c>
      <c r="TH18" s="103"/>
      <c r="TI18" s="104"/>
      <c r="TJ18" s="105"/>
      <c r="TK18" s="163" t="str">
        <f>IFERROR((((COUNTIF('Elève (3ème2)'!TH18:TJ18,"A"))*4)+((COUNTIF('Elève (3ème2)'!TH18:TJ18,"B"))*3)+((COUNTIF('Elève (3ème2)'!TH18:TJ18,"C"))*2)+((COUNTIF('Elève (3ème2)'!TH18:TJ18,"D"))*1))/(COUNTA(TH18:TJ18)),"")</f>
        <v/>
      </c>
      <c r="TL18" s="164" t="str">
        <f t="shared" si="125"/>
        <v/>
      </c>
      <c r="TM18" s="103"/>
      <c r="TN18" s="104"/>
      <c r="TO18" s="105"/>
      <c r="TP18" s="105"/>
      <c r="TQ18" s="163" t="str">
        <f>IFERROR((((COUNTIF('Elève (3ème2)'!TM18:TP18,"A"))*4)+((COUNTIF('Elève (3ème2)'!TM18:TP18,"B"))*3)+((COUNTIF('Elève (3ème2)'!TM18:TP18,"C"))*2)+((COUNTIF('Elève (3ème2)'!TM18:TP18,"D"))*1))/(COUNTA(TM18:TP18)),"")</f>
        <v/>
      </c>
      <c r="TR18" s="164" t="str">
        <f t="shared" si="126"/>
        <v/>
      </c>
      <c r="TS18" s="103"/>
      <c r="TT18" s="104"/>
      <c r="TU18" s="105"/>
      <c r="TV18" s="105"/>
      <c r="TW18" s="105"/>
      <c r="TX18" s="109"/>
      <c r="TY18" s="163" t="str">
        <f>IFERROR((((COUNTIF('Elève (3ème2)'!TS18:TX18,"A"))*4)+((COUNTIF('Elève (3ème2)'!TS18:TX18,"B"))*3)+((COUNTIF('Elève (3ème2)'!TS18:TX18,"C"))*2)+((COUNTIF('Elève (3ème2)'!TS18:TX18,"D"))*1))/(COUNTA(TS18:TX18)),"")</f>
        <v/>
      </c>
      <c r="TZ18" s="164" t="str">
        <f t="shared" si="127"/>
        <v/>
      </c>
      <c r="UA18" s="163" t="str">
        <f>IF(COUNT(TK18,TQ18,TY18)=0,"",SUM(TK18,TQ18,TY18)/COUNT(TK18,TQ18,TY18))</f>
        <v/>
      </c>
      <c r="UB18" s="187" t="str">
        <f t="shared" si="128"/>
        <v/>
      </c>
      <c r="UC18" s="103"/>
      <c r="UD18" s="104"/>
      <c r="UE18" s="105"/>
      <c r="UF18" s="106" t="str">
        <f>IFERROR((((COUNTIF('Elève (3ème2)'!UC18:UE18,"A"))*4)+((COUNTIF('Elève (3ème2)'!UC18:UE18,"B"))*3)+((COUNTIF('Elève (3ème2)'!UC18:UE18,"C"))*2)+((COUNTIF('Elève (3ème2)'!UC18:UE18,"D"))*1))/(COUNTA(UC18:UE18)),"")</f>
        <v/>
      </c>
      <c r="UG18" s="107" t="str">
        <f t="shared" si="129"/>
        <v/>
      </c>
      <c r="UH18" s="103"/>
      <c r="UI18" s="104"/>
      <c r="UJ18" s="105"/>
      <c r="UK18" s="106" t="str">
        <f>IFERROR((((COUNTIF('Elève (3ème2)'!UH18:UJ18,"A"))*4)+((COUNTIF('Elève (3ème2)'!UH18:UJ18,"B"))*3)+((COUNTIF('Elève (3ème2)'!UH18:UJ18,"C"))*2)+((COUNTIF('Elève (3ème2)'!UH18:UJ18,"D"))*1))/(COUNTA(UH18:UJ18)),"")</f>
        <v/>
      </c>
      <c r="UL18" s="107" t="str">
        <f t="shared" si="130"/>
        <v/>
      </c>
      <c r="UM18" s="103"/>
      <c r="UN18" s="104"/>
      <c r="UO18" s="109"/>
      <c r="UP18" s="106" t="str">
        <f>IFERROR((((COUNTIF('Elève (3ème2)'!UM18:UO18,"A"))*4)+((COUNTIF('Elève (3ème2)'!UM18:UO18,"B"))*3)+((COUNTIF('Elève (3ème2)'!UM18:UO18,"C"))*2)+((COUNTIF('Elève (3ème2)'!UM18:UO18,"D"))*1))/(COUNTA(UM18:UO18)),"")</f>
        <v/>
      </c>
      <c r="UQ18" s="107" t="str">
        <f t="shared" si="131"/>
        <v/>
      </c>
      <c r="UR18" s="106" t="str">
        <f>IF(COUNT(UF18,UK18,UP18)=0,"",SUM(UF18,UK18,UP18)/COUNT(UF18,UK18,UP18))</f>
        <v/>
      </c>
      <c r="US18" s="108" t="str">
        <f t="shared" si="132"/>
        <v/>
      </c>
      <c r="UT18" s="103"/>
      <c r="UU18" s="104"/>
      <c r="UV18" s="105"/>
      <c r="UW18" s="106" t="str">
        <f>IFERROR((((COUNTIF('Elève (3ème2)'!UT18:UV18,"A"))*4)+((COUNTIF('Elève (3ème2)'!UT18:UV18,"B"))*3)+((COUNTIF('Elève (3ème2)'!UT18:UV18,"C"))*2)+((COUNTIF('Elève (3ème2)'!UT18:UV18,"D"))*1))/(COUNTA(UT18:UV18)),"")</f>
        <v/>
      </c>
      <c r="UX18" s="107" t="str">
        <f t="shared" si="133"/>
        <v/>
      </c>
      <c r="UY18" s="103"/>
      <c r="UZ18" s="104"/>
      <c r="VA18" s="105"/>
      <c r="VB18" s="106" t="str">
        <f>IFERROR((((COUNTIF('Elève (3ème2)'!UY18:VA18,"A"))*4)+((COUNTIF('Elève (3ème2)'!UY18:VA18,"B"))*3)+((COUNTIF('Elève (3ème2)'!UY18:VA18,"C"))*2)+((COUNTIF('Elève (3ème2)'!UY18:VA18,"D"))*1))/(COUNTA(UY18:VA18)),"")</f>
        <v/>
      </c>
      <c r="VC18" s="107" t="str">
        <f t="shared" si="134"/>
        <v/>
      </c>
      <c r="VD18" s="103"/>
      <c r="VE18" s="104"/>
      <c r="VF18" s="109"/>
      <c r="VG18" s="106" t="str">
        <f>IFERROR((((COUNTIF('Elève (3ème2)'!VD18:VF18,"A"))*4)+((COUNTIF('Elève (3ème2)'!VD18:VF18,"B"))*3)+((COUNTIF('Elève (3ème2)'!VD18:VF18,"C"))*2)+((COUNTIF('Elève (3ème2)'!VD18:VF18,"D"))*1))/(COUNTA(VD18:VF18)),"")</f>
        <v/>
      </c>
      <c r="VH18" s="107" t="str">
        <f t="shared" si="135"/>
        <v/>
      </c>
      <c r="VI18" s="106" t="str">
        <f>IF(COUNT(UW18,VB18,VG18)=0,"",SUM(UW18,VB18,VG18)/COUNT(UW18,VB18,VG18))</f>
        <v/>
      </c>
      <c r="VJ18" s="108" t="str">
        <f t="shared" si="136"/>
        <v/>
      </c>
      <c r="VK18" s="103"/>
      <c r="VL18" s="104"/>
      <c r="VM18" s="105"/>
      <c r="VN18" s="106" t="str">
        <f>IFERROR((((COUNTIF('Elève (3ème2)'!VK18:VM18,"A"))*4)+((COUNTIF('Elève (3ème2)'!VK18:VM18,"B"))*3)+((COUNTIF('Elève (3ème2)'!VK18:VM18,"C"))*2)+((COUNTIF('Elève (3ème2)'!VK18:VM18,"D"))*1))/(COUNTA(VK18:VM18)),"")</f>
        <v/>
      </c>
      <c r="VO18" s="107" t="str">
        <f t="shared" si="137"/>
        <v/>
      </c>
      <c r="VP18" s="103"/>
      <c r="VQ18" s="104"/>
      <c r="VR18" s="105"/>
      <c r="VS18" s="106" t="str">
        <f>IFERROR((((COUNTIF('Elève (3ème2)'!VP18:VR18,"A"))*4)+((COUNTIF('Elève (3ème2)'!VP18:VR18,"B"))*3)+((COUNTIF('Elève (3ème2)'!VP18:VR18,"C"))*2)+((COUNTIF('Elève (3ème2)'!VP18:VR18,"D"))*1))/(COUNTA(VP18:VR18)),"")</f>
        <v/>
      </c>
      <c r="VT18" s="107" t="str">
        <f t="shared" si="138"/>
        <v/>
      </c>
      <c r="VU18" s="103"/>
      <c r="VV18" s="104"/>
      <c r="VW18" s="109"/>
      <c r="VX18" s="106" t="str">
        <f>IFERROR((((COUNTIF('Elève (3ème2)'!VU18:VW18,"A"))*4)+((COUNTIF('Elève (3ème2)'!VU18:VW18,"B"))*3)+((COUNTIF('Elève (3ème2)'!VU18:VW18,"C"))*2)+((COUNTIF('Elève (3ème2)'!VU18:VW18,"D"))*1))/(COUNTA(VU18:VW18)),"")</f>
        <v/>
      </c>
      <c r="VY18" s="107" t="str">
        <f t="shared" si="139"/>
        <v/>
      </c>
      <c r="VZ18" s="106" t="str">
        <f>IF(COUNT(VN18,VS18,VX18)=0,"",SUM(VN18,VS18,VX18)/COUNT(VN18,VS18,VX18))</f>
        <v/>
      </c>
      <c r="WA18" s="108" t="str">
        <f t="shared" si="140"/>
        <v/>
      </c>
      <c r="WB18" s="103"/>
      <c r="WC18" s="104"/>
      <c r="WD18" s="105"/>
      <c r="WE18" s="106" t="str">
        <f>IFERROR((((COUNTIF('Elève (3ème2)'!WB18:WD18,"A"))*4)+((COUNTIF('Elève (3ème2)'!WB18:WD18,"B"))*3)+((COUNTIF('Elève (3ème2)'!WB18:WD18,"C"))*2)+((COUNTIF('Elève (3ème2)'!WB18:WD18,"D"))*1))/(COUNTA(WB18:WD18)),"")</f>
        <v/>
      </c>
      <c r="WF18" s="107" t="str">
        <f t="shared" si="141"/>
        <v/>
      </c>
      <c r="WG18" s="103"/>
      <c r="WH18" s="104"/>
      <c r="WI18" s="105"/>
      <c r="WJ18" s="106" t="str">
        <f>IFERROR((((COUNTIF('Elève (3ème2)'!WG18:WI18,"A"))*4)+((COUNTIF('Elève (3ème2)'!WG18:WI18,"B"))*3)+((COUNTIF('Elève (3ème2)'!WG18:WI18,"C"))*2)+((COUNTIF('Elève (3ème2)'!WG18:WI18,"D"))*1))/(COUNTA(WG18:WI18)),"")</f>
        <v/>
      </c>
      <c r="WK18" s="107" t="str">
        <f t="shared" si="142"/>
        <v/>
      </c>
      <c r="WL18" s="103"/>
      <c r="WM18" s="104"/>
      <c r="WN18" s="109"/>
      <c r="WO18" s="106" t="str">
        <f>IFERROR((((COUNTIF('Elève (3ème2)'!WL18:WN18,"A"))*4)+((COUNTIF('Elève (3ème2)'!WL18:WN18,"B"))*3)+((COUNTIF('Elève (3ème2)'!WL18:WN18,"C"))*2)+((COUNTIF('Elève (3ème2)'!WL18:WN18,"D"))*1))/(COUNTA(WL18:WN18)),"")</f>
        <v/>
      </c>
      <c r="WP18" s="107" t="str">
        <f t="shared" si="143"/>
        <v/>
      </c>
      <c r="WQ18" s="106" t="str">
        <f>IF(COUNT(WE18,WJ18,WO18)=0,"",SUM(WE18,WJ18,WO18)/COUNT(WE18,WJ18,WO18))</f>
        <v/>
      </c>
      <c r="WR18" s="108" t="str">
        <f t="shared" si="144"/>
        <v/>
      </c>
    </row>
    <row r="19" spans="1:616" ht="18" customHeight="1" thickBot="1" x14ac:dyDescent="0.6">
      <c r="A19" s="215" t="s">
        <v>23</v>
      </c>
      <c r="B19" s="216"/>
      <c r="C19" s="110"/>
      <c r="D19" s="111"/>
      <c r="E19" s="112"/>
      <c r="F19" s="165" t="str">
        <f>IFERROR((((COUNTIF('Elève (3ème2)'!C19:E19,"A"))*4)+((COUNTIF('Elève (3ème2)'!C19:E19,"B"))*3)+((COUNTIF('Elève (3ème2)'!C19:E19,"C"))*2)+((COUNTIF('Elève (3ème2)'!C19:E19,"D"))*1))/(COUNTA(C19:E19)),"")</f>
        <v/>
      </c>
      <c r="G19" s="166" t="str">
        <f t="shared" si="25"/>
        <v/>
      </c>
      <c r="H19" s="110" t="s">
        <v>28</v>
      </c>
      <c r="I19" s="111"/>
      <c r="J19" s="112"/>
      <c r="K19" s="112"/>
      <c r="L19" s="165">
        <f>IFERROR((((COUNTIF('Elève (3ème2)'!H19:K19,"A"))*4)+((COUNTIF('Elève (3ème2)'!H19:K19,"B"))*3)+((COUNTIF('Elève (3ème2)'!H19:K19,"C"))*2)+((COUNTIF('Elève (3ème2)'!H19:K19,"D"))*1))/(COUNTA(H19:K19)),"")</f>
        <v>3</v>
      </c>
      <c r="M19" s="166" t="str">
        <f t="shared" si="26"/>
        <v>B</v>
      </c>
      <c r="N19" s="110"/>
      <c r="O19" s="111"/>
      <c r="P19" s="112"/>
      <c r="Q19" s="112"/>
      <c r="R19" s="112" t="s">
        <v>27</v>
      </c>
      <c r="S19" s="112"/>
      <c r="T19" s="165">
        <f>IFERROR((((COUNTIF('Elève (3ème2)'!N19:S19,"A"))*4)+((COUNTIF('Elève (3ème2)'!N19:S19,"B"))*3)+((COUNTIF('Elève (3ème2)'!N19:S19,"C"))*2)+((COUNTIF('Elève (3ème2)'!N19:S19,"D"))*1))/(COUNTA(N19:S19)),"")</f>
        <v>4</v>
      </c>
      <c r="U19" s="166" t="str">
        <f t="shared" si="27"/>
        <v>A</v>
      </c>
      <c r="V19" s="165">
        <f>IF(COUNT(F19,L19,T19)=0,"",SUM(F19,L19,T19)/COUNT(F19,L19,T19))</f>
        <v>3.5</v>
      </c>
      <c r="W19" s="188" t="str">
        <f t="shared" si="28"/>
        <v>B</v>
      </c>
      <c r="X19" s="110"/>
      <c r="Y19" s="111"/>
      <c r="Z19" s="112"/>
      <c r="AA19" s="165" t="str">
        <f>IFERROR((((COUNTIF('Elève (3ème2)'!X19:Z19,"A"))*4)+((COUNTIF('Elève (3ème2)'!X19:Z19,"B"))*3)+((COUNTIF('Elève (3ème2)'!X19:Z19,"C"))*2)+((COUNTIF('Elève (3ème2)'!X19:Z19,"D"))*1))/(COUNTA(X19:Z19)),"")</f>
        <v/>
      </c>
      <c r="AB19" s="166" t="str">
        <f t="shared" si="29"/>
        <v/>
      </c>
      <c r="AC19" s="110" t="s">
        <v>29</v>
      </c>
      <c r="AD19" s="111"/>
      <c r="AE19" s="112"/>
      <c r="AF19" s="112"/>
      <c r="AG19" s="165">
        <f>IFERROR((((COUNTIF('Elève (3ème2)'!AC19:AF19,"A"))*4)+((COUNTIF('Elève (3ème2)'!AC19:AF19,"B"))*3)+((COUNTIF('Elève (3ème2)'!AC19:AF19,"C"))*2)+((COUNTIF('Elève (3ème2)'!AC19:AF19,"D"))*1))/(COUNTA(AC19:AF19)),"")</f>
        <v>2</v>
      </c>
      <c r="AH19" s="166" t="str">
        <f t="shared" si="30"/>
        <v>C</v>
      </c>
      <c r="AI19" s="110"/>
      <c r="AJ19" s="111"/>
      <c r="AK19" s="112"/>
      <c r="AL19" s="112" t="s">
        <v>29</v>
      </c>
      <c r="AM19" s="112" t="s">
        <v>29</v>
      </c>
      <c r="AN19" s="116"/>
      <c r="AO19" s="165">
        <f>IFERROR((((COUNTIF('Elève (3ème2)'!AI19:AN19,"A"))*4)+((COUNTIF('Elève (3ème2)'!AI19:AN19,"B"))*3)+((COUNTIF('Elève (3ème2)'!AI19:AN19,"C"))*2)+((COUNTIF('Elève (3ème2)'!AI19:AN19,"D"))*1))/(COUNTA(AI19:AN19)),"")</f>
        <v>2</v>
      </c>
      <c r="AP19" s="166" t="str">
        <f t="shared" si="31"/>
        <v>C</v>
      </c>
      <c r="AQ19" s="165">
        <f>IF(COUNT(AA19,AG19,AO19)=0,"",SUM(AA19,AG19,AO19)/COUNT(AA19,AG19,AO19))</f>
        <v>2</v>
      </c>
      <c r="AR19" s="188" t="str">
        <f t="shared" si="32"/>
        <v>C</v>
      </c>
      <c r="AS19" s="110"/>
      <c r="AT19" s="111"/>
      <c r="AU19" s="112"/>
      <c r="AV19" s="165" t="str">
        <f>IFERROR((((COUNTIF('Elève (3ème2)'!AS19:AU19,"A"))*4)+((COUNTIF('Elève (3ème2)'!AS19:AU19,"B"))*3)+((COUNTIF('Elève (3ème2)'!AS19:AU19,"C"))*2)+((COUNTIF('Elève (3ème2)'!AS19:AU19,"D"))*1))/(COUNTA(AS19:AU19)),"")</f>
        <v/>
      </c>
      <c r="AW19" s="166" t="str">
        <f t="shared" si="33"/>
        <v/>
      </c>
      <c r="AX19" s="110" t="s">
        <v>29</v>
      </c>
      <c r="AY19" s="111"/>
      <c r="AZ19" s="112"/>
      <c r="BA19" s="112"/>
      <c r="BB19" s="165">
        <f>IFERROR((((COUNTIF('Elève (3ème2)'!AX19:BA19,"A"))*4)+((COUNTIF('Elève (3ème2)'!AX19:BA19,"B"))*3)+((COUNTIF('Elève (3ème2)'!AX19:BA19,"C"))*2)+((COUNTIF('Elève (3ème2)'!AX19:BA19,"D"))*1))/(COUNTA(AX19:BA19)),"")</f>
        <v>2</v>
      </c>
      <c r="BC19" s="166" t="str">
        <f t="shared" si="34"/>
        <v>C</v>
      </c>
      <c r="BD19" s="110"/>
      <c r="BE19" s="111"/>
      <c r="BF19" s="112" t="s">
        <v>28</v>
      </c>
      <c r="BG19" s="112" t="s">
        <v>29</v>
      </c>
      <c r="BH19" s="112" t="s">
        <v>28</v>
      </c>
      <c r="BI19" s="116"/>
      <c r="BJ19" s="165">
        <f>IFERROR((((COUNTIF('Elève (3ème2)'!BD19:BI19,"A"))*4)+((COUNTIF('Elève (3ème2)'!BD19:BI19,"B"))*3)+((COUNTIF('Elève (3ème2)'!BD19:BI19,"C"))*2)+((COUNTIF('Elève (3ème2)'!BD19:BI19,"D"))*1))/(COUNTA(BD19:BI19)),"")</f>
        <v>2.6666666666666665</v>
      </c>
      <c r="BK19" s="166" t="str">
        <f t="shared" si="35"/>
        <v>C</v>
      </c>
      <c r="BL19" s="165">
        <f>IF(COUNT(AV19,BB19,BJ19)=0,"",SUM(AV19,BB19,BJ19)/COUNT(AV19,BB19,BJ19))</f>
        <v>2.333333333333333</v>
      </c>
      <c r="BM19" s="188" t="str">
        <f t="shared" si="36"/>
        <v>C</v>
      </c>
      <c r="BN19" s="110"/>
      <c r="BO19" s="111"/>
      <c r="BP19" s="112"/>
      <c r="BQ19" s="165" t="str">
        <f>IFERROR((((COUNTIF('Elève (3ème2)'!BN19:BP19,"A"))*4)+((COUNTIF('Elève (3ème2)'!BN19:BP19,"B"))*3)+((COUNTIF('Elève (3ème2)'!BN19:BP19,"C"))*2)+((COUNTIF('Elève (3ème2)'!BN19:BP19,"D"))*1))/(COUNTA(BN19:BP19)),"")</f>
        <v/>
      </c>
      <c r="BR19" s="166" t="str">
        <f t="shared" si="37"/>
        <v/>
      </c>
      <c r="BS19" s="110" t="s">
        <v>28</v>
      </c>
      <c r="BT19" s="111"/>
      <c r="BU19" s="112"/>
      <c r="BV19" s="112"/>
      <c r="BW19" s="165">
        <f>IFERROR((((COUNTIF('Elève (3ème2)'!BS19:BV19,"A"))*4)+((COUNTIF('Elève (3ème2)'!BS19:BV19,"B"))*3)+((COUNTIF('Elève (3ème2)'!BS19:BV19,"C"))*2)+((COUNTIF('Elève (3ème2)'!BS19:BV19,"D"))*1))/(COUNTA(BS19:BV19)),"")</f>
        <v>3</v>
      </c>
      <c r="BX19" s="166" t="str">
        <f t="shared" si="38"/>
        <v>B</v>
      </c>
      <c r="BY19" s="110"/>
      <c r="BZ19" s="111"/>
      <c r="CA19" s="112" t="s">
        <v>28</v>
      </c>
      <c r="CB19" s="112" t="s">
        <v>29</v>
      </c>
      <c r="CC19" s="112" t="s">
        <v>28</v>
      </c>
      <c r="CD19" s="116"/>
      <c r="CE19" s="165">
        <f>IFERROR((((COUNTIF('Elève (3ème2)'!BY19:CD19,"A"))*4)+((COUNTIF('Elève (3ème2)'!BY19:CD19,"B"))*3)+((COUNTIF('Elève (3ème2)'!BY19:CD19,"C"))*2)+((COUNTIF('Elève (3ème2)'!BY19:CD19,"D"))*1))/(COUNTA(BY19:CD19)),"")</f>
        <v>2.6666666666666665</v>
      </c>
      <c r="CF19" s="166" t="str">
        <f t="shared" si="39"/>
        <v>C</v>
      </c>
      <c r="CG19" s="165">
        <f>IF(COUNT(BQ19,BW19,CE19)=0,"",SUM(BQ19,BW19,CE19)/COUNT(BQ19,BW19,CE19))</f>
        <v>2.833333333333333</v>
      </c>
      <c r="CH19" s="188" t="str">
        <f t="shared" si="40"/>
        <v>B</v>
      </c>
      <c r="CI19" s="110"/>
      <c r="CJ19" s="111"/>
      <c r="CK19" s="112"/>
      <c r="CL19" s="165" t="str">
        <f>IFERROR((((COUNTIF('Elève (3ème2)'!CI19:CK19,"A"))*4)+((COUNTIF('Elève (3ème2)'!CI19:CK19,"B"))*3)+((COUNTIF('Elève (3ème2)'!CI19:CK19,"C"))*2)+((COUNTIF('Elève (3ème2)'!CI19:CK19,"D"))*1))/(COUNTA(CI19:CK19)),"")</f>
        <v/>
      </c>
      <c r="CM19" s="166" t="str">
        <f t="shared" si="41"/>
        <v/>
      </c>
      <c r="CN19" s="110" t="s">
        <v>28</v>
      </c>
      <c r="CO19" s="111"/>
      <c r="CP19" s="112"/>
      <c r="CQ19" s="112"/>
      <c r="CR19" s="165">
        <f>IFERROR((((COUNTIF('Elève (3ème2)'!CN19:CQ19,"A"))*4)+((COUNTIF('Elève (3ème2)'!CN19:CQ19,"B"))*3)+((COUNTIF('Elève (3ème2)'!CN19:CQ19,"C"))*2)+((COUNTIF('Elève (3ème2)'!CN19:CQ19,"D"))*1))/(COUNTA(CN19:CQ19)),"")</f>
        <v>3</v>
      </c>
      <c r="CS19" s="166" t="str">
        <f t="shared" si="42"/>
        <v>B</v>
      </c>
      <c r="CT19" s="110"/>
      <c r="CU19" s="111"/>
      <c r="CV19" s="112" t="s">
        <v>27</v>
      </c>
      <c r="CW19" s="112" t="s">
        <v>29</v>
      </c>
      <c r="CX19" s="112" t="s">
        <v>27</v>
      </c>
      <c r="CY19" s="116"/>
      <c r="CZ19" s="165">
        <f>IFERROR((((COUNTIF('Elève (3ème2)'!CT19:CY19,"A"))*4)+((COUNTIF('Elève (3ème2)'!CT19:CY19,"B"))*3)+((COUNTIF('Elève (3ème2)'!CT19:CY19,"C"))*2)+((COUNTIF('Elève (3ème2)'!CT19:CY19,"D"))*1))/(COUNTA(CT19:CY19)),"")</f>
        <v>3.3333333333333335</v>
      </c>
      <c r="DA19" s="166" t="str">
        <f t="shared" si="43"/>
        <v>B</v>
      </c>
      <c r="DB19" s="165">
        <f>IF(COUNT(CL19,CR19,CZ19)=0,"",SUM(CL19,CR19,CZ19)/COUNT(CL19,CR19,CZ19))</f>
        <v>3.166666666666667</v>
      </c>
      <c r="DC19" s="188" t="str">
        <f t="shared" si="44"/>
        <v>B</v>
      </c>
      <c r="DD19" s="110"/>
      <c r="DE19" s="111"/>
      <c r="DF19" s="112"/>
      <c r="DG19" s="165" t="str">
        <f>IFERROR((((COUNTIF('Elève (3ème2)'!DD19:DF19,"A"))*4)+((COUNTIF('Elève (3ème2)'!DD19:DF19,"B"))*3)+((COUNTIF('Elève (3ème2)'!DD19:DF19,"C"))*2)+((COUNTIF('Elève (3ème2)'!DD19:DF19,"D"))*1))/(COUNTA(DD19:DF19)),"")</f>
        <v/>
      </c>
      <c r="DH19" s="166" t="str">
        <f t="shared" si="45"/>
        <v/>
      </c>
      <c r="DI19" s="110" t="s">
        <v>29</v>
      </c>
      <c r="DJ19" s="111"/>
      <c r="DK19" s="112"/>
      <c r="DL19" s="112"/>
      <c r="DM19" s="165">
        <f>IFERROR((((COUNTIF('Elève (3ème2)'!DI19:DL19,"A"))*4)+((COUNTIF('Elève (3ème2)'!DI19:DL19,"B"))*3)+((COUNTIF('Elève (3ème2)'!DI19:DL19,"C"))*2)+((COUNTIF('Elève (3ème2)'!DI19:DL19,"D"))*1))/(COUNTA(DI19:DL19)),"")</f>
        <v>2</v>
      </c>
      <c r="DN19" s="166" t="str">
        <f t="shared" si="46"/>
        <v>C</v>
      </c>
      <c r="DO19" s="110"/>
      <c r="DP19" s="111"/>
      <c r="DQ19" s="112"/>
      <c r="DR19" s="112" t="s">
        <v>28</v>
      </c>
      <c r="DS19" s="112" t="s">
        <v>28</v>
      </c>
      <c r="DT19" s="116"/>
      <c r="DU19" s="165">
        <f>IFERROR((((COUNTIF('Elève (3ème2)'!DO19:DT19,"A"))*4)+((COUNTIF('Elève (3ème2)'!DO19:DT19,"B"))*3)+((COUNTIF('Elève (3ème2)'!DO19:DT19,"C"))*2)+((COUNTIF('Elève (3ème2)'!DO19:DT19,"D"))*1))/(COUNTA(DO19:DT19)),"")</f>
        <v>3</v>
      </c>
      <c r="DV19" s="166" t="str">
        <f t="shared" si="47"/>
        <v>B</v>
      </c>
      <c r="DW19" s="165">
        <f>IF(COUNT(DG19,DM19,DU19)=0,"",SUM(DG19,DM19,DU19)/COUNT(DG19,DM19,DU19))</f>
        <v>2.5</v>
      </c>
      <c r="DX19" s="188" t="str">
        <f t="shared" si="48"/>
        <v>C</v>
      </c>
      <c r="DY19" s="110"/>
      <c r="DZ19" s="111"/>
      <c r="EA19" s="112"/>
      <c r="EB19" s="165" t="str">
        <f>IFERROR((((COUNTIF('Elève (3ème2)'!DY19:EA19,"A"))*4)+((COUNTIF('Elève (3ème2)'!DY19:EA19,"B"))*3)+((COUNTIF('Elève (3ème2)'!DY19:EA19,"C"))*2)+((COUNTIF('Elève (3ème2)'!DY19:EA19,"D"))*1))/(COUNTA(DY19:EA19)),"")</f>
        <v/>
      </c>
      <c r="EC19" s="166" t="str">
        <f t="shared" si="49"/>
        <v/>
      </c>
      <c r="ED19" s="110" t="s">
        <v>28</v>
      </c>
      <c r="EE19" s="111"/>
      <c r="EF19" s="112"/>
      <c r="EG19" s="112"/>
      <c r="EH19" s="165">
        <f>IFERROR((((COUNTIF('Elève (3ème2)'!ED19:EG19,"A"))*4)+((COUNTIF('Elève (3ème2)'!ED19:EG19,"B"))*3)+((COUNTIF('Elève (3ème2)'!ED19:EG19,"C"))*2)+((COUNTIF('Elève (3ème2)'!ED19:EG19,"D"))*1))/(COUNTA(ED19:EG19)),"")</f>
        <v>3</v>
      </c>
      <c r="EI19" s="166" t="str">
        <f t="shared" si="50"/>
        <v>B</v>
      </c>
      <c r="EJ19" s="110"/>
      <c r="EK19" s="111"/>
      <c r="EL19" s="112" t="s">
        <v>29</v>
      </c>
      <c r="EM19" s="112" t="s">
        <v>28</v>
      </c>
      <c r="EN19" s="112" t="s">
        <v>28</v>
      </c>
      <c r="EO19" s="116"/>
      <c r="EP19" s="165">
        <f>IFERROR((((COUNTIF('Elève (3ème2)'!EJ19:EO19,"A"))*4)+((COUNTIF('Elève (3ème2)'!EJ19:EO19,"B"))*3)+((COUNTIF('Elève (3ème2)'!EJ19:EO19,"C"))*2)+((COUNTIF('Elève (3ème2)'!EJ19:EO19,"D"))*1))/(COUNTA(EJ19:EO19)),"")</f>
        <v>2.6666666666666665</v>
      </c>
      <c r="EQ19" s="166" t="str">
        <f t="shared" si="51"/>
        <v>C</v>
      </c>
      <c r="ER19" s="165">
        <f>IF(COUNT(EB19,EH19,EP19)=0,"",SUM(EB19,EH19,EP19)/COUNT(EB19,EH19,EP19))</f>
        <v>2.833333333333333</v>
      </c>
      <c r="ES19" s="188" t="str">
        <f t="shared" si="52"/>
        <v>B</v>
      </c>
      <c r="ET19" s="110"/>
      <c r="EU19" s="111"/>
      <c r="EV19" s="112"/>
      <c r="EW19" s="165" t="str">
        <f>IFERROR((((COUNTIF('Elève (3ème2)'!ET19:EV19,"A"))*4)+((COUNTIF('Elève (3ème2)'!ET19:EV19,"B"))*3)+((COUNTIF('Elève (3ème2)'!ET19:EV19,"C"))*2)+((COUNTIF('Elève (3ème2)'!ET19:EV19,"D"))*1))/(COUNTA(ET19:EV19)),"")</f>
        <v/>
      </c>
      <c r="EX19" s="166" t="str">
        <f t="shared" si="53"/>
        <v/>
      </c>
      <c r="EY19" s="110" t="s">
        <v>28</v>
      </c>
      <c r="EZ19" s="111"/>
      <c r="FA19" s="112"/>
      <c r="FB19" s="112"/>
      <c r="FC19" s="165">
        <f>IFERROR((((COUNTIF('Elève (3ème2)'!EY19:FB19,"A"))*4)+((COUNTIF('Elève (3ème2)'!EY19:FB19,"B"))*3)+((COUNTIF('Elève (3ème2)'!EY19:FB19,"C"))*2)+((COUNTIF('Elève (3ème2)'!EY19:FB19,"D"))*1))/(COUNTA(EY19:FB19)),"")</f>
        <v>3</v>
      </c>
      <c r="FD19" s="166" t="str">
        <f t="shared" si="54"/>
        <v>B</v>
      </c>
      <c r="FE19" s="110"/>
      <c r="FF19" s="111"/>
      <c r="FG19" s="112" t="s">
        <v>30</v>
      </c>
      <c r="FH19" s="112" t="s">
        <v>29</v>
      </c>
      <c r="FI19" s="112" t="s">
        <v>27</v>
      </c>
      <c r="FJ19" s="116"/>
      <c r="FK19" s="165">
        <f>IFERROR((((COUNTIF('Elève (3ème2)'!FE19:FJ19,"A"))*4)+((COUNTIF('Elève (3ème2)'!FE19:FJ19,"B"))*3)+((COUNTIF('Elève (3ème2)'!FE19:FJ19,"C"))*2)+((COUNTIF('Elève (3ème2)'!FE19:FJ19,"D"))*1))/(COUNTA(FE19:FJ19)),"")</f>
        <v>2.3333333333333335</v>
      </c>
      <c r="FL19" s="166" t="str">
        <f t="shared" si="55"/>
        <v>C</v>
      </c>
      <c r="FM19" s="165">
        <f>IF(COUNT(EW19,FC19,FK19)=0,"",SUM(EW19,FC19,FK19)/COUNT(EW19,FC19,FK19))</f>
        <v>2.666666666666667</v>
      </c>
      <c r="FN19" s="188" t="str">
        <f t="shared" si="56"/>
        <v>C</v>
      </c>
      <c r="FO19" s="110"/>
      <c r="FP19" s="111"/>
      <c r="FQ19" s="112"/>
      <c r="FR19" s="165" t="str">
        <f>IFERROR((((COUNTIF('Elève (3ème2)'!FO19:FQ19,"A"))*4)+((COUNTIF('Elève (3ème2)'!FO19:FQ19,"B"))*3)+((COUNTIF('Elève (3ème2)'!FO19:FQ19,"C"))*2)+((COUNTIF('Elève (3ème2)'!FO19:FQ19,"D"))*1))/(COUNTA(FO19:FQ19)),"")</f>
        <v/>
      </c>
      <c r="FS19" s="166" t="str">
        <f t="shared" si="57"/>
        <v/>
      </c>
      <c r="FT19" s="110" t="s">
        <v>27</v>
      </c>
      <c r="FU19" s="111"/>
      <c r="FV19" s="112"/>
      <c r="FW19" s="112"/>
      <c r="FX19" s="165">
        <f>IFERROR((((COUNTIF('Elève (3ème2)'!FT19:FW19,"A"))*4)+((COUNTIF('Elève (3ème2)'!FT19:FW19,"B"))*3)+((COUNTIF('Elève (3ème2)'!FT19:FW19,"C"))*2)+((COUNTIF('Elève (3ème2)'!FT19:FW19,"D"))*1))/(COUNTA(FT19:FW19)),"")</f>
        <v>4</v>
      </c>
      <c r="FY19" s="166" t="str">
        <f t="shared" si="58"/>
        <v>A</v>
      </c>
      <c r="FZ19" s="110"/>
      <c r="GA19" s="111"/>
      <c r="GB19" s="112" t="s">
        <v>28</v>
      </c>
      <c r="GC19" s="112"/>
      <c r="GD19" s="112" t="s">
        <v>27</v>
      </c>
      <c r="GE19" s="116"/>
      <c r="GF19" s="165">
        <f>IFERROR((((COUNTIF('Elève (3ème2)'!FZ19:GE19,"A"))*4)+((COUNTIF('Elève (3ème2)'!FZ19:GE19,"B"))*3)+((COUNTIF('Elève (3ème2)'!FZ19:GE19,"C"))*2)+((COUNTIF('Elève (3ème2)'!FZ19:GE19,"D"))*1))/(COUNTA(FZ19:GE19)),"")</f>
        <v>3.5</v>
      </c>
      <c r="GG19" s="166" t="str">
        <f t="shared" si="59"/>
        <v>B</v>
      </c>
      <c r="GH19" s="165">
        <f>IF(COUNT(FR19,FX19,GF19)=0,"",SUM(FR19,FX19,GF19)/COUNT(FR19,FX19,GF19))</f>
        <v>3.75</v>
      </c>
      <c r="GI19" s="188" t="str">
        <f t="shared" si="60"/>
        <v>A</v>
      </c>
      <c r="GJ19" s="110"/>
      <c r="GK19" s="111"/>
      <c r="GL19" s="112"/>
      <c r="GM19" s="165" t="str">
        <f>IFERROR((((COUNTIF('Elève (3ème2)'!GJ19:GL19,"A"))*4)+((COUNTIF('Elève (3ème2)'!GJ19:GL19,"B"))*3)+((COUNTIF('Elève (3ème2)'!GJ19:GL19,"C"))*2)+((COUNTIF('Elève (3ème2)'!GJ19:GL19,"D"))*1))/(COUNTA(GJ19:GL19)),"")</f>
        <v/>
      </c>
      <c r="GN19" s="166" t="str">
        <f t="shared" si="61"/>
        <v/>
      </c>
      <c r="GO19" s="110" t="s">
        <v>29</v>
      </c>
      <c r="GP19" s="111"/>
      <c r="GQ19" s="112"/>
      <c r="GR19" s="112"/>
      <c r="GS19" s="165">
        <f>IFERROR((((COUNTIF('Elève (3ème2)'!GO19:GR19,"A"))*4)+((COUNTIF('Elève (3ème2)'!GO19:GR19,"B"))*3)+((COUNTIF('Elève (3ème2)'!GO19:GR19,"C"))*2)+((COUNTIF('Elève (3ème2)'!GO19:GR19,"D"))*1))/(COUNTA(GO19:GR19)),"")</f>
        <v>2</v>
      </c>
      <c r="GT19" s="166" t="str">
        <f t="shared" si="62"/>
        <v>C</v>
      </c>
      <c r="GU19" s="110"/>
      <c r="GV19" s="111"/>
      <c r="GW19" s="112" t="s">
        <v>29</v>
      </c>
      <c r="GX19" s="112" t="s">
        <v>28</v>
      </c>
      <c r="GY19" s="112" t="s">
        <v>27</v>
      </c>
      <c r="GZ19" s="116"/>
      <c r="HA19" s="165">
        <f>IFERROR((((COUNTIF('Elève (3ème2)'!GU19:GZ19,"A"))*4)+((COUNTIF('Elève (3ème2)'!GU19:GZ19,"B"))*3)+((COUNTIF('Elève (3ème2)'!GU19:GZ19,"C"))*2)+((COUNTIF('Elève (3ème2)'!GU19:GZ19,"D"))*1))/(COUNTA(GU19:GZ19)),"")</f>
        <v>3</v>
      </c>
      <c r="HB19" s="166" t="str">
        <f t="shared" si="63"/>
        <v>B</v>
      </c>
      <c r="HC19" s="165">
        <f>IF(COUNT(GM19,GS19,HA19)=0,"",SUM(GM19,GS19,HA19)/COUNT(GM19,GS19,HA19))</f>
        <v>2.5</v>
      </c>
      <c r="HD19" s="188" t="str">
        <f t="shared" si="64"/>
        <v>C</v>
      </c>
      <c r="HE19" s="110"/>
      <c r="HF19" s="111"/>
      <c r="HG19" s="112"/>
      <c r="HH19" s="165" t="str">
        <f>IFERROR((((COUNTIF('Elève (3ème2)'!HE19:HG19,"A"))*4)+((COUNTIF('Elève (3ème2)'!HE19:HG19,"B"))*3)+((COUNTIF('Elève (3ème2)'!HE19:HG19,"C"))*2)+((COUNTIF('Elève (3ème2)'!HE19:HG19,"D"))*1))/(COUNTA(HE19:HG19)),"")</f>
        <v/>
      </c>
      <c r="HI19" s="166" t="str">
        <f t="shared" si="65"/>
        <v/>
      </c>
      <c r="HJ19" s="110" t="s">
        <v>29</v>
      </c>
      <c r="HK19" s="111"/>
      <c r="HL19" s="112"/>
      <c r="HM19" s="112"/>
      <c r="HN19" s="165">
        <f>IFERROR((((COUNTIF('Elève (3ème2)'!HJ19:HM19,"A"))*4)+((COUNTIF('Elève (3ème2)'!HJ19:HM19,"B"))*3)+((COUNTIF('Elève (3ème2)'!HJ19:HM19,"C"))*2)+((COUNTIF('Elève (3ème2)'!HJ19:HM19,"D"))*1))/(COUNTA(HJ19:HM19)),"")</f>
        <v>2</v>
      </c>
      <c r="HO19" s="166" t="str">
        <f t="shared" si="66"/>
        <v>C</v>
      </c>
      <c r="HP19" s="110"/>
      <c r="HQ19" s="111"/>
      <c r="HR19" s="112" t="s">
        <v>27</v>
      </c>
      <c r="HS19" s="112" t="s">
        <v>29</v>
      </c>
      <c r="HT19" s="112" t="s">
        <v>27</v>
      </c>
      <c r="HU19" s="116"/>
      <c r="HV19" s="165">
        <f>IFERROR((((COUNTIF('Elève (3ème2)'!HP19:HU19,"A"))*4)+((COUNTIF('Elève (3ème2)'!HP19:HU19,"B"))*3)+((COUNTIF('Elève (3ème2)'!HP19:HU19,"C"))*2)+((COUNTIF('Elève (3ème2)'!HP19:HU19,"D"))*1))/(COUNTA(HP19:HU19)),"")</f>
        <v>3.3333333333333335</v>
      </c>
      <c r="HW19" s="166" t="str">
        <f t="shared" si="67"/>
        <v>B</v>
      </c>
      <c r="HX19" s="165">
        <f>IF(COUNT(HH19,HN19,HV19)=0,"",SUM(HH19,HN19,HV19)/COUNT(HH19,HN19,HV19))</f>
        <v>2.666666666666667</v>
      </c>
      <c r="HY19" s="188" t="str">
        <f t="shared" si="68"/>
        <v>C</v>
      </c>
      <c r="HZ19" s="110"/>
      <c r="IA19" s="111"/>
      <c r="IB19" s="112"/>
      <c r="IC19" s="165" t="str">
        <f>IFERROR((((COUNTIF('Elève (3ème2)'!HZ19:IB19,"A"))*4)+((COUNTIF('Elève (3ème2)'!HZ19:IB19,"B"))*3)+((COUNTIF('Elève (3ème2)'!HZ19:IB19,"C"))*2)+((COUNTIF('Elève (3ème2)'!HZ19:IB19,"D"))*1))/(COUNTA(HZ19:IB19)),"")</f>
        <v/>
      </c>
      <c r="ID19" s="166" t="str">
        <f t="shared" si="69"/>
        <v/>
      </c>
      <c r="IE19" s="110" t="s">
        <v>28</v>
      </c>
      <c r="IF19" s="111"/>
      <c r="IG19" s="112"/>
      <c r="IH19" s="112"/>
      <c r="II19" s="165">
        <f>IFERROR((((COUNTIF('Elève (3ème2)'!IE19:IH19,"A"))*4)+((COUNTIF('Elève (3ème2)'!IE19:IH19,"B"))*3)+((COUNTIF('Elève (3ème2)'!IE19:IH19,"C"))*2)+((COUNTIF('Elève (3ème2)'!IE19:IH19,"D"))*1))/(COUNTA(IE19:IH19)),"")</f>
        <v>3</v>
      </c>
      <c r="IJ19" s="166" t="str">
        <f t="shared" si="70"/>
        <v>B</v>
      </c>
      <c r="IK19" s="110"/>
      <c r="IL19" s="111"/>
      <c r="IM19" s="112"/>
      <c r="IN19" s="112" t="s">
        <v>29</v>
      </c>
      <c r="IO19" s="112" t="s">
        <v>27</v>
      </c>
      <c r="IP19" s="116"/>
      <c r="IQ19" s="165">
        <f>IFERROR((((COUNTIF('Elève (3ème2)'!IK19:IP19,"A"))*4)+((COUNTIF('Elève (3ème2)'!IK19:IP19,"B"))*3)+((COUNTIF('Elève (3ème2)'!IK19:IP19,"C"))*2)+((COUNTIF('Elève (3ème2)'!IK19:IP19,"D"))*1))/(COUNTA(IK19:IP19)),"")</f>
        <v>3</v>
      </c>
      <c r="IR19" s="166" t="str">
        <f t="shared" si="71"/>
        <v>B</v>
      </c>
      <c r="IS19" s="165">
        <f>IF(COUNT(IC19,II19,IQ19)=0,"",SUM(IC19,II19,IQ19)/COUNT(IC19,II19,IQ19))</f>
        <v>3</v>
      </c>
      <c r="IT19" s="188" t="str">
        <f t="shared" si="72"/>
        <v>B</v>
      </c>
      <c r="IU19" s="110"/>
      <c r="IV19" s="111"/>
      <c r="IW19" s="112"/>
      <c r="IX19" s="165" t="str">
        <f>IFERROR((((COUNTIF('Elève (3ème2)'!IU19:IW19,"A"))*4)+((COUNTIF('Elève (3ème2)'!IU19:IW19,"B"))*3)+((COUNTIF('Elève (3ème2)'!IU19:IW19,"C"))*2)+((COUNTIF('Elève (3ème2)'!IU19:IW19,"D"))*1))/(COUNTA(IU19:IW19)),"")</f>
        <v/>
      </c>
      <c r="IY19" s="166" t="str">
        <f t="shared" si="73"/>
        <v/>
      </c>
      <c r="IZ19" s="110" t="s">
        <v>28</v>
      </c>
      <c r="JA19" s="111"/>
      <c r="JB19" s="112"/>
      <c r="JC19" s="112"/>
      <c r="JD19" s="165">
        <f>IFERROR((((COUNTIF('Elève (3ème2)'!IZ19:JC19,"A"))*4)+((COUNTIF('Elève (3ème2)'!IZ19:JC19,"B"))*3)+((COUNTIF('Elève (3ème2)'!IZ19:JC19,"C"))*2)+((COUNTIF('Elève (3ème2)'!IZ19:JC19,"D"))*1))/(COUNTA(IZ19:JC19)),"")</f>
        <v>3</v>
      </c>
      <c r="JE19" s="166" t="str">
        <f t="shared" si="74"/>
        <v>B</v>
      </c>
      <c r="JF19" s="110"/>
      <c r="JG19" s="111"/>
      <c r="JH19" s="112"/>
      <c r="JI19" s="112" t="s">
        <v>29</v>
      </c>
      <c r="JJ19" s="112" t="s">
        <v>27</v>
      </c>
      <c r="JK19" s="116"/>
      <c r="JL19" s="165">
        <f>IFERROR((((COUNTIF('Elève (3ème2)'!JF19:JK19,"A"))*4)+((COUNTIF('Elève (3ème2)'!JF19:JK19,"B"))*3)+((COUNTIF('Elève (3ème2)'!JF19:JK19,"C"))*2)+((COUNTIF('Elève (3ème2)'!JF19:JK19,"D"))*1))/(COUNTA(JF19:JK19)),"")</f>
        <v>3</v>
      </c>
      <c r="JM19" s="166" t="str">
        <f t="shared" si="75"/>
        <v>B</v>
      </c>
      <c r="JN19" s="165">
        <f>IF(COUNT(IX19,JD19,JL19)=0,"",SUM(IX19,JD19,JL19)/COUNT(IX19,JD19,JL19))</f>
        <v>3</v>
      </c>
      <c r="JO19" s="188" t="str">
        <f t="shared" si="76"/>
        <v>B</v>
      </c>
      <c r="JP19" s="110"/>
      <c r="JQ19" s="111"/>
      <c r="JR19" s="112"/>
      <c r="JS19" s="165" t="str">
        <f>IFERROR((((COUNTIF('Elève (3ème2)'!JP19:JR19,"A"))*4)+((COUNTIF('Elève (3ème2)'!JP19:JR19,"B"))*3)+((COUNTIF('Elève (3ème2)'!JP19:JR19,"C"))*2)+((COUNTIF('Elève (3ème2)'!JP19:JR19,"D"))*1))/(COUNTA(JP19:JR19)),"")</f>
        <v/>
      </c>
      <c r="JT19" s="166" t="str">
        <f t="shared" si="77"/>
        <v/>
      </c>
      <c r="JU19" s="110" t="s">
        <v>28</v>
      </c>
      <c r="JV19" s="111"/>
      <c r="JW19" s="112"/>
      <c r="JX19" s="112"/>
      <c r="JY19" s="165">
        <f>IFERROR((((COUNTIF('Elève (3ème2)'!JU19:JX19,"A"))*4)+((COUNTIF('Elève (3ème2)'!JU19:JX19,"B"))*3)+((COUNTIF('Elève (3ème2)'!JU19:JX19,"C"))*2)+((COUNTIF('Elève (3ème2)'!JU19:JX19,"D"))*1))/(COUNTA(JU19:JX19)),"")</f>
        <v>3</v>
      </c>
      <c r="JZ19" s="166" t="str">
        <f t="shared" si="78"/>
        <v>B</v>
      </c>
      <c r="KA19" s="110"/>
      <c r="KB19" s="111"/>
      <c r="KC19" s="112" t="s">
        <v>27</v>
      </c>
      <c r="KD19" s="112" t="s">
        <v>29</v>
      </c>
      <c r="KE19" s="112" t="s">
        <v>27</v>
      </c>
      <c r="KF19" s="116"/>
      <c r="KG19" s="165">
        <f>IFERROR((((COUNTIF('Elève (3ème2)'!KA19:KF19,"A"))*4)+((COUNTIF('Elève (3ème2)'!KA19:KF19,"B"))*3)+((COUNTIF('Elève (3ème2)'!KA19:KF19,"C"))*2)+((COUNTIF('Elève (3ème2)'!KA19:KF19,"D"))*1))/(COUNTA(KA19:KF19)),"")</f>
        <v>3.3333333333333335</v>
      </c>
      <c r="KH19" s="166" t="str">
        <f t="shared" si="79"/>
        <v>B</v>
      </c>
      <c r="KI19" s="165">
        <f>IF(COUNT(JS19,JY19,KG19)=0,"",SUM(JS19,JY19,KG19)/COUNT(JS19,JY19,KG19))</f>
        <v>3.166666666666667</v>
      </c>
      <c r="KJ19" s="188" t="str">
        <f t="shared" si="80"/>
        <v>B</v>
      </c>
      <c r="KK19" s="110"/>
      <c r="KL19" s="111"/>
      <c r="KM19" s="112"/>
      <c r="KN19" s="165" t="str">
        <f>IFERROR((((COUNTIF('Elève (3ème2)'!KK19:KM19,"A"))*4)+((COUNTIF('Elève (3ème2)'!KK19:KM19,"B"))*3)+((COUNTIF('Elève (3ème2)'!KK19:KM19,"C"))*2)+((COUNTIF('Elève (3ème2)'!KK19:KM19,"D"))*1))/(COUNTA(KK19:KM19)),"")</f>
        <v/>
      </c>
      <c r="KO19" s="166" t="str">
        <f t="shared" si="81"/>
        <v/>
      </c>
      <c r="KP19" s="110" t="s">
        <v>29</v>
      </c>
      <c r="KQ19" s="111"/>
      <c r="KR19" s="112"/>
      <c r="KS19" s="112"/>
      <c r="KT19" s="165">
        <f>IFERROR((((COUNTIF('Elève (3ème2)'!KP19:KS19,"A"))*4)+((COUNTIF('Elève (3ème2)'!KP19:KS19,"B"))*3)+((COUNTIF('Elève (3ème2)'!KP19:KS19,"C"))*2)+((COUNTIF('Elève (3ème2)'!KP19:KS19,"D"))*1))/(COUNTA(KP19:KS19)),"")</f>
        <v>2</v>
      </c>
      <c r="KU19" s="166" t="str">
        <f t="shared" si="82"/>
        <v>C</v>
      </c>
      <c r="KV19" s="110"/>
      <c r="KW19" s="111"/>
      <c r="KX19" s="112" t="s">
        <v>27</v>
      </c>
      <c r="KY19" s="112"/>
      <c r="KZ19" s="112" t="s">
        <v>29</v>
      </c>
      <c r="LA19" s="116"/>
      <c r="LB19" s="165">
        <f>IFERROR((((COUNTIF('Elève (3ème2)'!KV19:LA19,"A"))*4)+((COUNTIF('Elève (3ème2)'!KV19:LA19,"B"))*3)+((COUNTIF('Elève (3ème2)'!KV19:LA19,"C"))*2)+((COUNTIF('Elève (3ème2)'!KV19:LA19,"D"))*1))/(COUNTA(KV19:LA19)),"")</f>
        <v>3</v>
      </c>
      <c r="LC19" s="166" t="str">
        <f t="shared" si="83"/>
        <v>B</v>
      </c>
      <c r="LD19" s="165">
        <f>IF(COUNT(KN19,KT19,LB19)=0,"",SUM(KN19,KT19,LB19)/COUNT(KN19,KT19,LB19))</f>
        <v>2.5</v>
      </c>
      <c r="LE19" s="188" t="str">
        <f t="shared" si="84"/>
        <v>C</v>
      </c>
      <c r="LF19" s="110"/>
      <c r="LG19" s="111"/>
      <c r="LH19" s="112"/>
      <c r="LI19" s="165" t="str">
        <f>IFERROR((((COUNTIF('Elève (3ème2)'!LF19:LH19,"A"))*4)+((COUNTIF('Elève (3ème2)'!LF19:LH19,"B"))*3)+((COUNTIF('Elève (3ème2)'!LF19:LH19,"C"))*2)+((COUNTIF('Elève (3ème2)'!LF19:LH19,"D"))*1))/(COUNTA(LF19:LH19)),"")</f>
        <v/>
      </c>
      <c r="LJ19" s="166" t="str">
        <f t="shared" si="85"/>
        <v/>
      </c>
      <c r="LK19" s="110" t="s">
        <v>30</v>
      </c>
      <c r="LL19" s="111"/>
      <c r="LM19" s="112"/>
      <c r="LN19" s="112"/>
      <c r="LO19" s="165">
        <f>IFERROR((((COUNTIF('Elève (3ème2)'!LK19:LN19,"A"))*4)+((COUNTIF('Elève (3ème2)'!LK19:LN19,"B"))*3)+((COUNTIF('Elève (3ème2)'!LK19:LN19,"C"))*2)+((COUNTIF('Elève (3ème2)'!LK19:LN19,"D"))*1))/(COUNTA(LK19:LN19)),"")</f>
        <v>1</v>
      </c>
      <c r="LP19" s="166" t="str">
        <f t="shared" si="86"/>
        <v>D</v>
      </c>
      <c r="LQ19" s="110"/>
      <c r="LR19" s="111"/>
      <c r="LS19" s="112" t="s">
        <v>29</v>
      </c>
      <c r="LT19" s="112" t="s">
        <v>29</v>
      </c>
      <c r="LU19" s="112" t="s">
        <v>28</v>
      </c>
      <c r="LV19" s="116"/>
      <c r="LW19" s="165">
        <f>IFERROR((((COUNTIF('Elève (3ème2)'!LQ19:LV19,"A"))*4)+((COUNTIF('Elève (3ème2)'!LQ19:LV19,"B"))*3)+((COUNTIF('Elève (3ème2)'!LQ19:LV19,"C"))*2)+((COUNTIF('Elève (3ème2)'!LQ19:LV19,"D"))*1))/(COUNTA(LQ19:LV19)),"")</f>
        <v>2.3333333333333335</v>
      </c>
      <c r="LX19" s="166" t="str">
        <f t="shared" si="87"/>
        <v>C</v>
      </c>
      <c r="LY19" s="165">
        <f>IF(COUNT(LI19,LO19,LW19)=0,"",SUM(LI19,LO19,LW19)/COUNT(LI19,LO19,LW19))</f>
        <v>1.6666666666666667</v>
      </c>
      <c r="LZ19" s="188" t="str">
        <f t="shared" si="88"/>
        <v>C</v>
      </c>
      <c r="MA19" s="110"/>
      <c r="MB19" s="111"/>
      <c r="MC19" s="112"/>
      <c r="MD19" s="165" t="str">
        <f>IFERROR((((COUNTIF('Elève (3ème2)'!MA19:MC19,"A"))*4)+((COUNTIF('Elève (3ème2)'!MA19:MC19,"B"))*3)+((COUNTIF('Elève (3ème2)'!MA19:MC19,"C"))*2)+((COUNTIF('Elève (3ème2)'!MA19:MC19,"D"))*1))/(COUNTA(MA19:MC19)),"")</f>
        <v/>
      </c>
      <c r="ME19" s="166" t="str">
        <f t="shared" si="89"/>
        <v/>
      </c>
      <c r="MF19" s="110" t="s">
        <v>27</v>
      </c>
      <c r="MG19" s="111"/>
      <c r="MH19" s="112"/>
      <c r="MI19" s="112"/>
      <c r="MJ19" s="165">
        <f>IFERROR((((COUNTIF('Elève (3ème2)'!MF19:MI19,"A"))*4)+((COUNTIF('Elève (3ème2)'!MF19:MI19,"B"))*3)+((COUNTIF('Elève (3ème2)'!MF19:MI19,"C"))*2)+((COUNTIF('Elève (3ème2)'!MF19:MI19,"D"))*1))/(COUNTA(MF19:MI19)),"")</f>
        <v>4</v>
      </c>
      <c r="MK19" s="166" t="str">
        <f t="shared" si="90"/>
        <v>A</v>
      </c>
      <c r="ML19" s="110"/>
      <c r="MM19" s="111"/>
      <c r="MN19" s="112" t="s">
        <v>28</v>
      </c>
      <c r="MO19" s="112" t="s">
        <v>29</v>
      </c>
      <c r="MP19" s="112" t="s">
        <v>29</v>
      </c>
      <c r="MQ19" s="116"/>
      <c r="MR19" s="165">
        <f>IFERROR((((COUNTIF('Elève (3ème2)'!ML19:MQ19,"A"))*4)+((COUNTIF('Elève (3ème2)'!ML19:MQ19,"B"))*3)+((COUNTIF('Elève (3ème2)'!ML19:MQ19,"C"))*2)+((COUNTIF('Elève (3ème2)'!ML19:MQ19,"D"))*1))/(COUNTA(ML19:MQ19)),"")</f>
        <v>2.3333333333333335</v>
      </c>
      <c r="MS19" s="166" t="str">
        <f t="shared" si="91"/>
        <v>C</v>
      </c>
      <c r="MT19" s="165">
        <f>IF(COUNT(MD19,MJ19,MR19)=0,"",SUM(MD19,MJ19,MR19)/COUNT(MD19,MJ19,MR19))</f>
        <v>3.166666666666667</v>
      </c>
      <c r="MU19" s="188" t="str">
        <f t="shared" si="92"/>
        <v>B</v>
      </c>
      <c r="MV19" s="110"/>
      <c r="MW19" s="111"/>
      <c r="MX19" s="112"/>
      <c r="MY19" s="165" t="str">
        <f>IFERROR((((COUNTIF('Elève (3ème2)'!MV19:MX19,"A"))*4)+((COUNTIF('Elève (3ème2)'!MV19:MX19,"B"))*3)+((COUNTIF('Elève (3ème2)'!MV19:MX19,"C"))*2)+((COUNTIF('Elève (3ème2)'!MV19:MX19,"D"))*1))/(COUNTA(MV19:MX19)),"")</f>
        <v/>
      </c>
      <c r="MZ19" s="166" t="str">
        <f t="shared" si="93"/>
        <v/>
      </c>
      <c r="NA19" s="110" t="s">
        <v>29</v>
      </c>
      <c r="NB19" s="111"/>
      <c r="NC19" s="112"/>
      <c r="ND19" s="112"/>
      <c r="NE19" s="165">
        <f>IFERROR((((COUNTIF('Elève (3ème2)'!NA19:ND19,"A"))*4)+((COUNTIF('Elève (3ème2)'!NA19:ND19,"B"))*3)+((COUNTIF('Elève (3ème2)'!NA19:ND19,"C"))*2)+((COUNTIF('Elève (3ème2)'!NA19:ND19,"D"))*1))/(COUNTA(NA19:ND19)),"")</f>
        <v>2</v>
      </c>
      <c r="NF19" s="166" t="str">
        <f t="shared" si="94"/>
        <v>C</v>
      </c>
      <c r="NG19" s="110"/>
      <c r="NH19" s="111"/>
      <c r="NI19" s="112" t="s">
        <v>27</v>
      </c>
      <c r="NJ19" s="112" t="s">
        <v>29</v>
      </c>
      <c r="NK19" s="112" t="s">
        <v>27</v>
      </c>
      <c r="NL19" s="116"/>
      <c r="NM19" s="165">
        <f>IFERROR((((COUNTIF('Elève (3ème2)'!NG19:NL19,"A"))*4)+((COUNTIF('Elève (3ème2)'!NG19:NL19,"B"))*3)+((COUNTIF('Elève (3ème2)'!NG19:NL19,"C"))*2)+((COUNTIF('Elève (3ème2)'!NG19:NL19,"D"))*1))/(COUNTA(NG19:NL19)),"")</f>
        <v>3.3333333333333335</v>
      </c>
      <c r="NN19" s="166" t="str">
        <f t="shared" si="95"/>
        <v>B</v>
      </c>
      <c r="NO19" s="165">
        <f>IF(COUNT(MY19,NE19,NM19)=0,"",SUM(MY19,NE19,NM19)/COUNT(MY19,NE19,NM19))</f>
        <v>2.666666666666667</v>
      </c>
      <c r="NP19" s="188" t="str">
        <f t="shared" si="96"/>
        <v>C</v>
      </c>
      <c r="NQ19" s="110"/>
      <c r="NR19" s="111"/>
      <c r="NS19" s="112"/>
      <c r="NT19" s="165" t="str">
        <f>IFERROR((((COUNTIF('Elève (3ème2)'!NQ19:NS19,"A"))*4)+((COUNTIF('Elève (3ème2)'!NQ19:NS19,"B"))*3)+((COUNTIF('Elève (3ème2)'!NQ19:NS19,"C"))*2)+((COUNTIF('Elève (3ème2)'!NQ19:NS19,"D"))*1))/(COUNTA(NQ19:NS19)),"")</f>
        <v/>
      </c>
      <c r="NU19" s="166" t="str">
        <f t="shared" si="97"/>
        <v/>
      </c>
      <c r="NV19" s="110" t="s">
        <v>29</v>
      </c>
      <c r="NW19" s="111"/>
      <c r="NX19" s="112"/>
      <c r="NY19" s="112"/>
      <c r="NZ19" s="165">
        <f>IFERROR((((COUNTIF('Elève (3ème2)'!NV19:NY19,"A"))*4)+((COUNTIF('Elève (3ème2)'!NV19:NY19,"B"))*3)+((COUNTIF('Elève (3ème2)'!NV19:NY19,"C"))*2)+((COUNTIF('Elève (3ème2)'!NV19:NY19,"D"))*1))/(COUNTA(NV19:NY19)),"")</f>
        <v>2</v>
      </c>
      <c r="OA19" s="166" t="str">
        <f t="shared" si="98"/>
        <v>C</v>
      </c>
      <c r="OB19" s="110"/>
      <c r="OC19" s="111"/>
      <c r="OD19" s="112" t="s">
        <v>28</v>
      </c>
      <c r="OE19" s="112" t="s">
        <v>29</v>
      </c>
      <c r="OF19" s="112" t="s">
        <v>28</v>
      </c>
      <c r="OG19" s="116"/>
      <c r="OH19" s="165">
        <f>IFERROR((((COUNTIF('Elève (3ème2)'!OB19:OG19,"A"))*4)+((COUNTIF('Elève (3ème2)'!OB19:OG19,"B"))*3)+((COUNTIF('Elève (3ème2)'!OB19:OG19,"C"))*2)+((COUNTIF('Elève (3ème2)'!OB19:OG19,"D"))*1))/(COUNTA(OB19:OG19)),"")</f>
        <v>2.6666666666666665</v>
      </c>
      <c r="OI19" s="166" t="str">
        <f t="shared" si="99"/>
        <v>C</v>
      </c>
      <c r="OJ19" s="165">
        <f>IF(COUNT(NT19,NZ19,OH19)=0,"",SUM(NT19,NZ19,OH19)/COUNT(NT19,NZ19,OH19))</f>
        <v>2.333333333333333</v>
      </c>
      <c r="OK19" s="188" t="str">
        <f t="shared" si="100"/>
        <v>C</v>
      </c>
      <c r="OL19" s="110"/>
      <c r="OM19" s="111"/>
      <c r="ON19" s="112"/>
      <c r="OO19" s="165" t="str">
        <f>IFERROR((((COUNTIF('Elève (3ème2)'!OL19:ON19,"A"))*4)+((COUNTIF('Elève (3ème2)'!OL19:ON19,"B"))*3)+((COUNTIF('Elève (3ème2)'!OL19:ON19,"C"))*2)+((COUNTIF('Elève (3ème2)'!OL19:ON19,"D"))*1))/(COUNTA(OL19:ON19)),"")</f>
        <v/>
      </c>
      <c r="OP19" s="166" t="str">
        <f t="shared" si="101"/>
        <v/>
      </c>
      <c r="OQ19" s="110" t="s">
        <v>28</v>
      </c>
      <c r="OR19" s="111"/>
      <c r="OS19" s="112"/>
      <c r="OT19" s="112"/>
      <c r="OU19" s="165">
        <f>IFERROR((((COUNTIF('Elève (3ème2)'!OQ19:OT19,"A"))*4)+((COUNTIF('Elève (3ème2)'!OQ19:OT19,"B"))*3)+((COUNTIF('Elève (3ème2)'!OQ19:OT19,"C"))*2)+((COUNTIF('Elève (3ème2)'!OQ19:OT19,"D"))*1))/(COUNTA(OQ19:OT19)),"")</f>
        <v>3</v>
      </c>
      <c r="OV19" s="166" t="str">
        <f t="shared" si="102"/>
        <v>B</v>
      </c>
      <c r="OW19" s="110"/>
      <c r="OX19" s="111"/>
      <c r="OY19" s="112" t="s">
        <v>27</v>
      </c>
      <c r="OZ19" s="112" t="s">
        <v>29</v>
      </c>
      <c r="PA19" s="112" t="s">
        <v>27</v>
      </c>
      <c r="PB19" s="116"/>
      <c r="PC19" s="165">
        <f>IFERROR((((COUNTIF('Elève (3ème2)'!OW19:PB19,"A"))*4)+((COUNTIF('Elève (3ème2)'!OW19:PB19,"B"))*3)+((COUNTIF('Elève (3ème2)'!OW19:PB19,"C"))*2)+((COUNTIF('Elève (3ème2)'!OW19:PB19,"D"))*1))/(COUNTA(OW19:PB19)),"")</f>
        <v>3.3333333333333335</v>
      </c>
      <c r="PD19" s="166" t="str">
        <f t="shared" si="103"/>
        <v>B</v>
      </c>
      <c r="PE19" s="165">
        <f>IF(COUNT(OO19,OU19,PC19)=0,"",SUM(OO19,OU19,PC19)/COUNT(OO19,OU19,PC19))</f>
        <v>3.166666666666667</v>
      </c>
      <c r="PF19" s="188" t="str">
        <f t="shared" si="104"/>
        <v>B</v>
      </c>
      <c r="PG19" s="110"/>
      <c r="PH19" s="111"/>
      <c r="PI19" s="112"/>
      <c r="PJ19" s="165" t="str">
        <f>IFERROR((((COUNTIF('Elève (3ème2)'!PG19:PI19,"A"))*4)+((COUNTIF('Elève (3ème2)'!PG19:PI19,"B"))*3)+((COUNTIF('Elève (3ème2)'!PG19:PI19,"C"))*2)+((COUNTIF('Elève (3ème2)'!PG19:PI19,"D"))*1))/(COUNTA(PG19:PI19)),"")</f>
        <v/>
      </c>
      <c r="PK19" s="166" t="str">
        <f t="shared" si="105"/>
        <v/>
      </c>
      <c r="PL19" s="110" t="s">
        <v>28</v>
      </c>
      <c r="PM19" s="111"/>
      <c r="PN19" s="112"/>
      <c r="PO19" s="112"/>
      <c r="PP19" s="165">
        <f>IFERROR((((COUNTIF('Elève (3ème2)'!PL19:PO19,"A"))*4)+((COUNTIF('Elève (3ème2)'!PL19:PO19,"B"))*3)+((COUNTIF('Elève (3ème2)'!PL19:PO19,"C"))*2)+((COUNTIF('Elève (3ème2)'!PL19:PO19,"D"))*1))/(COUNTA(PL19:PO19)),"")</f>
        <v>3</v>
      </c>
      <c r="PQ19" s="166" t="str">
        <f t="shared" si="106"/>
        <v>B</v>
      </c>
      <c r="PR19" s="110"/>
      <c r="PS19" s="111"/>
      <c r="PT19" s="112"/>
      <c r="PU19" s="112" t="s">
        <v>28</v>
      </c>
      <c r="PV19" s="112" t="s">
        <v>27</v>
      </c>
      <c r="PW19" s="116"/>
      <c r="PX19" s="165">
        <f>IFERROR((((COUNTIF('Elève (3ème2)'!PR19:PW19,"A"))*4)+((COUNTIF('Elève (3ème2)'!PR19:PW19,"B"))*3)+((COUNTIF('Elève (3ème2)'!PR19:PW19,"C"))*2)+((COUNTIF('Elève (3ème2)'!PR19:PW19,"D"))*1))/(COUNTA(PR19:PW19)),"")</f>
        <v>3.5</v>
      </c>
      <c r="PY19" s="166" t="str">
        <f t="shared" si="107"/>
        <v>B</v>
      </c>
      <c r="PZ19" s="165">
        <f>IF(COUNT(PJ19,PP19,PX19)=0,"",SUM(PJ19,PP19,PX19)/COUNT(PJ19,PP19,PX19))</f>
        <v>3.25</v>
      </c>
      <c r="QA19" s="188" t="str">
        <f t="shared" si="108"/>
        <v>B</v>
      </c>
      <c r="QB19" s="110"/>
      <c r="QC19" s="111"/>
      <c r="QD19" s="112"/>
      <c r="QE19" s="165" t="str">
        <f>IFERROR((((COUNTIF('Elève (3ème2)'!QB19:QD19,"A"))*4)+((COUNTIF('Elève (3ème2)'!QB19:QD19,"B"))*3)+((COUNTIF('Elève (3ème2)'!QB19:QD19,"C"))*2)+((COUNTIF('Elève (3ème2)'!QB19:QD19,"D"))*1))/(COUNTA(QB19:QD19)),"")</f>
        <v/>
      </c>
      <c r="QF19" s="166" t="str">
        <f t="shared" si="109"/>
        <v/>
      </c>
      <c r="QG19" s="110" t="s">
        <v>28</v>
      </c>
      <c r="QH19" s="111"/>
      <c r="QI19" s="112"/>
      <c r="QJ19" s="112"/>
      <c r="QK19" s="165">
        <f>IFERROR((((COUNTIF('Elève (3ème2)'!QG19:QJ19,"A"))*4)+((COUNTIF('Elève (3ème2)'!QG19:QJ19,"B"))*3)+((COUNTIF('Elève (3ème2)'!QG19:QJ19,"C"))*2)+((COUNTIF('Elève (3ème2)'!QG19:QJ19,"D"))*1))/(COUNTA(QG19:QJ19)),"")</f>
        <v>3</v>
      </c>
      <c r="QL19" s="166" t="str">
        <f t="shared" si="110"/>
        <v>B</v>
      </c>
      <c r="QM19" s="110"/>
      <c r="QN19" s="111"/>
      <c r="QO19" s="112" t="s">
        <v>27</v>
      </c>
      <c r="QP19" s="112" t="s">
        <v>28</v>
      </c>
      <c r="QQ19" s="112" t="s">
        <v>28</v>
      </c>
      <c r="QR19" s="116"/>
      <c r="QS19" s="165">
        <f>IFERROR((((COUNTIF('Elève (3ème2)'!QM19:QR19,"A"))*4)+((COUNTIF('Elève (3ème2)'!QM19:QR19,"B"))*3)+((COUNTIF('Elève (3ème2)'!QM19:QR19,"C"))*2)+((COUNTIF('Elève (3ème2)'!QM19:QR19,"D"))*1))/(COUNTA(QM19:QR19)),"")</f>
        <v>3.3333333333333335</v>
      </c>
      <c r="QT19" s="166" t="str">
        <f t="shared" si="111"/>
        <v>B</v>
      </c>
      <c r="QU19" s="165">
        <f>IF(COUNT(QE19,QK19,QS19)=0,"",SUM(QE19,QK19,QS19)/COUNT(QE19,QK19,QS19))</f>
        <v>3.166666666666667</v>
      </c>
      <c r="QV19" s="188" t="str">
        <f t="shared" si="112"/>
        <v>B</v>
      </c>
      <c r="QW19" s="110"/>
      <c r="QX19" s="111"/>
      <c r="QY19" s="112"/>
      <c r="QZ19" s="165" t="str">
        <f>IFERROR((((COUNTIF('Elève (3ème2)'!QW19:QY19,"A"))*4)+((COUNTIF('Elève (3ème2)'!QW19:QY19,"B"))*3)+((COUNTIF('Elève (3ème2)'!QW19:QY19,"C"))*2)+((COUNTIF('Elève (3ème2)'!QW19:QY19,"D"))*1))/(COUNTA(QW19:QY19)),"")</f>
        <v/>
      </c>
      <c r="RA19" s="166" t="str">
        <f t="shared" si="113"/>
        <v/>
      </c>
      <c r="RB19" s="110" t="s">
        <v>29</v>
      </c>
      <c r="RC19" s="111"/>
      <c r="RD19" s="112"/>
      <c r="RE19" s="112"/>
      <c r="RF19" s="165">
        <f>IFERROR((((COUNTIF('Elève (3ème2)'!RB19:RE19,"A"))*4)+((COUNTIF('Elève (3ème2)'!RB19:RE19,"B"))*3)+((COUNTIF('Elève (3ème2)'!RB19:RE19,"C"))*2)+((COUNTIF('Elève (3ème2)'!RB19:RE19,"D"))*1))/(COUNTA(RB19:RE19)),"")</f>
        <v>2</v>
      </c>
      <c r="RG19" s="166" t="str">
        <f t="shared" si="114"/>
        <v>C</v>
      </c>
      <c r="RH19" s="110"/>
      <c r="RI19" s="111"/>
      <c r="RJ19" s="112" t="s">
        <v>28</v>
      </c>
      <c r="RK19" s="112"/>
      <c r="RL19" s="112" t="s">
        <v>28</v>
      </c>
      <c r="RM19" s="116"/>
      <c r="RN19" s="165">
        <f>IFERROR((((COUNTIF('Elève (3ème2)'!RH19:RM19,"A"))*4)+((COUNTIF('Elève (3ème2)'!RH19:RM19,"B"))*3)+((COUNTIF('Elève (3ème2)'!RH19:RM19,"C"))*2)+((COUNTIF('Elève (3ème2)'!RH19:RM19,"D"))*1))/(COUNTA(RH19:RM19)),"")</f>
        <v>3</v>
      </c>
      <c r="RO19" s="166" t="str">
        <f t="shared" si="115"/>
        <v>B</v>
      </c>
      <c r="RP19" s="165">
        <f>IF(COUNT(QZ19,RF19,RN19)=0,"",SUM(QZ19,RF19,RN19)/COUNT(QZ19,RF19,RN19))</f>
        <v>2.5</v>
      </c>
      <c r="RQ19" s="188" t="str">
        <f t="shared" si="116"/>
        <v>C</v>
      </c>
      <c r="RR19" s="110"/>
      <c r="RS19" s="111"/>
      <c r="RT19" s="112"/>
      <c r="RU19" s="165" t="str">
        <f>IFERROR((((COUNTIF('Elève (3ème2)'!RR19:RT19,"A"))*4)+((COUNTIF('Elève (3ème2)'!RR19:RT19,"B"))*3)+((COUNTIF('Elève (3ème2)'!RR19:RT19,"C"))*2)+((COUNTIF('Elève (3ème2)'!RR19:RT19,"D"))*1))/(COUNTA(RR19:RT19)),"")</f>
        <v/>
      </c>
      <c r="RV19" s="166" t="str">
        <f t="shared" si="117"/>
        <v/>
      </c>
      <c r="RW19" s="110" t="s">
        <v>28</v>
      </c>
      <c r="RX19" s="111"/>
      <c r="RY19" s="112"/>
      <c r="RZ19" s="112"/>
      <c r="SA19" s="165">
        <f>IFERROR((((COUNTIF('Elève (3ème2)'!RW19:RZ19,"A"))*4)+((COUNTIF('Elève (3ème2)'!RW19:RZ19,"B"))*3)+((COUNTIF('Elève (3ème2)'!RW19:RZ19,"C"))*2)+((COUNTIF('Elève (3ème2)'!RW19:RZ19,"D"))*1))/(COUNTA(RW19:RZ19)),"")</f>
        <v>3</v>
      </c>
      <c r="SB19" s="166" t="str">
        <f t="shared" si="118"/>
        <v>B</v>
      </c>
      <c r="SC19" s="110"/>
      <c r="SD19" s="111"/>
      <c r="SE19" s="112" t="s">
        <v>28</v>
      </c>
      <c r="SF19" s="112" t="s">
        <v>29</v>
      </c>
      <c r="SG19" s="112" t="s">
        <v>27</v>
      </c>
      <c r="SH19" s="116"/>
      <c r="SI19" s="165">
        <f>IFERROR((((COUNTIF('Elève (3ème2)'!SC19:SH19,"A"))*4)+((COUNTIF('Elève (3ème2)'!SC19:SH19,"B"))*3)+((COUNTIF('Elève (3ème2)'!SC19:SH19,"C"))*2)+((COUNTIF('Elève (3ème2)'!SC19:SH19,"D"))*1))/(COUNTA(SC19:SH19)),"")</f>
        <v>3</v>
      </c>
      <c r="SJ19" s="166" t="str">
        <f t="shared" si="119"/>
        <v>B</v>
      </c>
      <c r="SK19" s="165">
        <f>IF(COUNT(RU19,SA19,SI19)=0,"",SUM(RU19,SA19,SI19)/COUNT(RU19,SA19,SI19))</f>
        <v>3</v>
      </c>
      <c r="SL19" s="188" t="str">
        <f t="shared" si="120"/>
        <v>B</v>
      </c>
      <c r="SM19" s="110"/>
      <c r="SN19" s="111"/>
      <c r="SO19" s="112"/>
      <c r="SP19" s="165" t="str">
        <f>IFERROR((((COUNTIF('Elève (3ème2)'!SM19:SO19,"A"))*4)+((COUNTIF('Elève (3ème2)'!SM19:SO19,"B"))*3)+((COUNTIF('Elève (3ème2)'!SM19:SO19,"C"))*2)+((COUNTIF('Elève (3ème2)'!SM19:SO19,"D"))*1))/(COUNTA(SM19:SO19)),"")</f>
        <v/>
      </c>
      <c r="SQ19" s="166" t="str">
        <f t="shared" si="121"/>
        <v/>
      </c>
      <c r="SR19" s="110" t="s">
        <v>29</v>
      </c>
      <c r="SS19" s="111"/>
      <c r="ST19" s="112"/>
      <c r="SU19" s="112"/>
      <c r="SV19" s="165">
        <f>IFERROR((((COUNTIF('Elève (3ème2)'!SR19:SU19,"A"))*4)+((COUNTIF('Elève (3ème2)'!SR19:SU19,"B"))*3)+((COUNTIF('Elève (3ème2)'!SR19:SU19,"C"))*2)+((COUNTIF('Elève (3ème2)'!SR19:SU19,"D"))*1))/(COUNTA(SR19:SU19)),"")</f>
        <v>2</v>
      </c>
      <c r="SW19" s="166" t="str">
        <f t="shared" si="122"/>
        <v>C</v>
      </c>
      <c r="SX19" s="110"/>
      <c r="SY19" s="111"/>
      <c r="SZ19" s="112" t="s">
        <v>28</v>
      </c>
      <c r="TA19" s="112" t="s">
        <v>29</v>
      </c>
      <c r="TB19" s="112" t="s">
        <v>27</v>
      </c>
      <c r="TC19" s="116"/>
      <c r="TD19" s="165">
        <f>IFERROR((((COUNTIF('Elève (3ème2)'!SX19:TC19,"A"))*4)+((COUNTIF('Elève (3ème2)'!SX19:TC19,"B"))*3)+((COUNTIF('Elève (3ème2)'!SX19:TC19,"C"))*2)+((COUNTIF('Elève (3ème2)'!SX19:TC19,"D"))*1))/(COUNTA(SX19:TC19)),"")</f>
        <v>3</v>
      </c>
      <c r="TE19" s="166" t="str">
        <f t="shared" si="123"/>
        <v>B</v>
      </c>
      <c r="TF19" s="165">
        <f>IF(COUNT(SP19,SV19,TD19)=0,"",SUM(SP19,SV19,TD19)/COUNT(SP19,SV19,TD19))</f>
        <v>2.5</v>
      </c>
      <c r="TG19" s="188" t="str">
        <f t="shared" si="124"/>
        <v>C</v>
      </c>
      <c r="TH19" s="110"/>
      <c r="TI19" s="111"/>
      <c r="TJ19" s="112"/>
      <c r="TK19" s="165" t="str">
        <f>IFERROR((((COUNTIF('Elève (3ème2)'!TH19:TJ19,"A"))*4)+((COUNTIF('Elève (3ème2)'!TH19:TJ19,"B"))*3)+((COUNTIF('Elève (3ème2)'!TH19:TJ19,"C"))*2)+((COUNTIF('Elève (3ème2)'!TH19:TJ19,"D"))*1))/(COUNTA(TH19:TJ19)),"")</f>
        <v/>
      </c>
      <c r="TL19" s="166" t="str">
        <f t="shared" si="125"/>
        <v/>
      </c>
      <c r="TM19" s="110" t="s">
        <v>29</v>
      </c>
      <c r="TN19" s="111"/>
      <c r="TO19" s="112"/>
      <c r="TP19" s="112"/>
      <c r="TQ19" s="165">
        <f>IFERROR((((COUNTIF('Elève (3ème2)'!TM19:TP19,"A"))*4)+((COUNTIF('Elève (3ème2)'!TM19:TP19,"B"))*3)+((COUNTIF('Elève (3ème2)'!TM19:TP19,"C"))*2)+((COUNTIF('Elève (3ème2)'!TM19:TP19,"D"))*1))/(COUNTA(TM19:TP19)),"")</f>
        <v>2</v>
      </c>
      <c r="TR19" s="166" t="str">
        <f t="shared" si="126"/>
        <v>C</v>
      </c>
      <c r="TS19" s="110"/>
      <c r="TT19" s="111"/>
      <c r="TU19" s="112" t="s">
        <v>29</v>
      </c>
      <c r="TV19" s="112"/>
      <c r="TW19" s="112" t="s">
        <v>28</v>
      </c>
      <c r="TX19" s="116"/>
      <c r="TY19" s="165">
        <f>IFERROR((((COUNTIF('Elève (3ème2)'!TS19:TX19,"A"))*4)+((COUNTIF('Elève (3ème2)'!TS19:TX19,"B"))*3)+((COUNTIF('Elève (3ème2)'!TS19:TX19,"C"))*2)+((COUNTIF('Elève (3ème2)'!TS19:TX19,"D"))*1))/(COUNTA(TS19:TX19)),"")</f>
        <v>2.5</v>
      </c>
      <c r="TZ19" s="166" t="str">
        <f t="shared" si="127"/>
        <v>C</v>
      </c>
      <c r="UA19" s="165">
        <f>IF(COUNT(TK19,TQ19,TY19)=0,"",SUM(TK19,TQ19,TY19)/COUNT(TK19,TQ19,TY19))</f>
        <v>2.25</v>
      </c>
      <c r="UB19" s="188" t="str">
        <f t="shared" si="128"/>
        <v>C</v>
      </c>
      <c r="UC19" s="110"/>
      <c r="UD19" s="111"/>
      <c r="UE19" s="112"/>
      <c r="UF19" s="113" t="str">
        <f>IFERROR((((COUNTIF('Elève (3ème2)'!UC19:UE19,"A"))*4)+((COUNTIF('Elève (3ème2)'!UC19:UE19,"B"))*3)+((COUNTIF('Elève (3ème2)'!UC19:UE19,"C"))*2)+((COUNTIF('Elève (3ème2)'!UC19:UE19,"D"))*1))/(COUNTA(UC19:UE19)),"")</f>
        <v/>
      </c>
      <c r="UG19" s="114" t="str">
        <f t="shared" si="129"/>
        <v/>
      </c>
      <c r="UH19" s="110"/>
      <c r="UI19" s="111"/>
      <c r="UJ19" s="112"/>
      <c r="UK19" s="113" t="str">
        <f>IFERROR((((COUNTIF('Elève (3ème2)'!UH19:UJ19,"A"))*4)+((COUNTIF('Elève (3ème2)'!UH19:UJ19,"B"))*3)+((COUNTIF('Elève (3ème2)'!UH19:UJ19,"C"))*2)+((COUNTIF('Elève (3ème2)'!UH19:UJ19,"D"))*1))/(COUNTA(UH19:UJ19)),"")</f>
        <v/>
      </c>
      <c r="UL19" s="114" t="str">
        <f t="shared" si="130"/>
        <v/>
      </c>
      <c r="UM19" s="110"/>
      <c r="UN19" s="111"/>
      <c r="UO19" s="116"/>
      <c r="UP19" s="113" t="str">
        <f>IFERROR((((COUNTIF('Elève (3ème2)'!UM19:UO19,"A"))*4)+((COUNTIF('Elève (3ème2)'!UM19:UO19,"B"))*3)+((COUNTIF('Elève (3ème2)'!UM19:UO19,"C"))*2)+((COUNTIF('Elève (3ème2)'!UM19:UO19,"D"))*1))/(COUNTA(UM19:UO19)),"")</f>
        <v/>
      </c>
      <c r="UQ19" s="114" t="str">
        <f t="shared" si="131"/>
        <v/>
      </c>
      <c r="UR19" s="113" t="str">
        <f>IF(COUNT(UF19,UK19,UP19)=0,"",SUM(UF19,UK19,UP19)/COUNT(UF19,UK19,UP19))</f>
        <v/>
      </c>
      <c r="US19" s="115" t="str">
        <f t="shared" si="132"/>
        <v/>
      </c>
      <c r="UT19" s="110"/>
      <c r="UU19" s="111"/>
      <c r="UV19" s="112"/>
      <c r="UW19" s="113" t="str">
        <f>IFERROR((((COUNTIF('Elève (3ème2)'!UT19:UV19,"A"))*4)+((COUNTIF('Elève (3ème2)'!UT19:UV19,"B"))*3)+((COUNTIF('Elève (3ème2)'!UT19:UV19,"C"))*2)+((COUNTIF('Elève (3ème2)'!UT19:UV19,"D"))*1))/(COUNTA(UT19:UV19)),"")</f>
        <v/>
      </c>
      <c r="UX19" s="114" t="str">
        <f t="shared" si="133"/>
        <v/>
      </c>
      <c r="UY19" s="110"/>
      <c r="UZ19" s="111"/>
      <c r="VA19" s="112"/>
      <c r="VB19" s="113" t="str">
        <f>IFERROR((((COUNTIF('Elève (3ème2)'!UY19:VA19,"A"))*4)+((COUNTIF('Elève (3ème2)'!UY19:VA19,"B"))*3)+((COUNTIF('Elève (3ème2)'!UY19:VA19,"C"))*2)+((COUNTIF('Elève (3ème2)'!UY19:VA19,"D"))*1))/(COUNTA(UY19:VA19)),"")</f>
        <v/>
      </c>
      <c r="VC19" s="114" t="str">
        <f t="shared" si="134"/>
        <v/>
      </c>
      <c r="VD19" s="110"/>
      <c r="VE19" s="111"/>
      <c r="VF19" s="116"/>
      <c r="VG19" s="113" t="str">
        <f>IFERROR((((COUNTIF('Elève (3ème2)'!VD19:VF19,"A"))*4)+((COUNTIF('Elève (3ème2)'!VD19:VF19,"B"))*3)+((COUNTIF('Elève (3ème2)'!VD19:VF19,"C"))*2)+((COUNTIF('Elève (3ème2)'!VD19:VF19,"D"))*1))/(COUNTA(VD19:VF19)),"")</f>
        <v/>
      </c>
      <c r="VH19" s="114" t="str">
        <f t="shared" si="135"/>
        <v/>
      </c>
      <c r="VI19" s="113" t="str">
        <f>IF(COUNT(UW19,VB19,VG19)=0,"",SUM(UW19,VB19,VG19)/COUNT(UW19,VB19,VG19))</f>
        <v/>
      </c>
      <c r="VJ19" s="115" t="str">
        <f t="shared" si="136"/>
        <v/>
      </c>
      <c r="VK19" s="110"/>
      <c r="VL19" s="111"/>
      <c r="VM19" s="112"/>
      <c r="VN19" s="113" t="str">
        <f>IFERROR((((COUNTIF('Elève (3ème2)'!VK19:VM19,"A"))*4)+((COUNTIF('Elève (3ème2)'!VK19:VM19,"B"))*3)+((COUNTIF('Elève (3ème2)'!VK19:VM19,"C"))*2)+((COUNTIF('Elève (3ème2)'!VK19:VM19,"D"))*1))/(COUNTA(VK19:VM19)),"")</f>
        <v/>
      </c>
      <c r="VO19" s="114" t="str">
        <f t="shared" si="137"/>
        <v/>
      </c>
      <c r="VP19" s="110"/>
      <c r="VQ19" s="111"/>
      <c r="VR19" s="112"/>
      <c r="VS19" s="113" t="str">
        <f>IFERROR((((COUNTIF('Elève (3ème2)'!VP19:VR19,"A"))*4)+((COUNTIF('Elève (3ème2)'!VP19:VR19,"B"))*3)+((COUNTIF('Elève (3ème2)'!VP19:VR19,"C"))*2)+((COUNTIF('Elève (3ème2)'!VP19:VR19,"D"))*1))/(COUNTA(VP19:VR19)),"")</f>
        <v/>
      </c>
      <c r="VT19" s="114" t="str">
        <f t="shared" si="138"/>
        <v/>
      </c>
      <c r="VU19" s="110"/>
      <c r="VV19" s="111"/>
      <c r="VW19" s="116"/>
      <c r="VX19" s="113" t="str">
        <f>IFERROR((((COUNTIF('Elève (3ème2)'!VU19:VW19,"A"))*4)+((COUNTIF('Elève (3ème2)'!VU19:VW19,"B"))*3)+((COUNTIF('Elève (3ème2)'!VU19:VW19,"C"))*2)+((COUNTIF('Elève (3ème2)'!VU19:VW19,"D"))*1))/(COUNTA(VU19:VW19)),"")</f>
        <v/>
      </c>
      <c r="VY19" s="114" t="str">
        <f t="shared" si="139"/>
        <v/>
      </c>
      <c r="VZ19" s="113" t="str">
        <f>IF(COUNT(VN19,VS19,VX19)=0,"",SUM(VN19,VS19,VX19)/COUNT(VN19,VS19,VX19))</f>
        <v/>
      </c>
      <c r="WA19" s="115" t="str">
        <f t="shared" si="140"/>
        <v/>
      </c>
      <c r="WB19" s="110"/>
      <c r="WC19" s="111"/>
      <c r="WD19" s="112"/>
      <c r="WE19" s="113" t="str">
        <f>IFERROR((((COUNTIF('Elève (3ème2)'!WB19:WD19,"A"))*4)+((COUNTIF('Elève (3ème2)'!WB19:WD19,"B"))*3)+((COUNTIF('Elève (3ème2)'!WB19:WD19,"C"))*2)+((COUNTIF('Elève (3ème2)'!WB19:WD19,"D"))*1))/(COUNTA(WB19:WD19)),"")</f>
        <v/>
      </c>
      <c r="WF19" s="114" t="str">
        <f t="shared" si="141"/>
        <v/>
      </c>
      <c r="WG19" s="110"/>
      <c r="WH19" s="111"/>
      <c r="WI19" s="112"/>
      <c r="WJ19" s="113" t="str">
        <f>IFERROR((((COUNTIF('Elève (3ème2)'!WG19:WI19,"A"))*4)+((COUNTIF('Elève (3ème2)'!WG19:WI19,"B"))*3)+((COUNTIF('Elève (3ème2)'!WG19:WI19,"C"))*2)+((COUNTIF('Elève (3ème2)'!WG19:WI19,"D"))*1))/(COUNTA(WG19:WI19)),"")</f>
        <v/>
      </c>
      <c r="WK19" s="114" t="str">
        <f t="shared" si="142"/>
        <v/>
      </c>
      <c r="WL19" s="110"/>
      <c r="WM19" s="111"/>
      <c r="WN19" s="116"/>
      <c r="WO19" s="113" t="str">
        <f>IFERROR((((COUNTIF('Elève (3ème2)'!WL19:WN19,"A"))*4)+((COUNTIF('Elève (3ème2)'!WL19:WN19,"B"))*3)+((COUNTIF('Elève (3ème2)'!WL19:WN19,"C"))*2)+((COUNTIF('Elève (3ème2)'!WL19:WN19,"D"))*1))/(COUNTA(WL19:WN19)),"")</f>
        <v/>
      </c>
      <c r="WP19" s="114" t="str">
        <f t="shared" si="143"/>
        <v/>
      </c>
      <c r="WQ19" s="113" t="str">
        <f>IF(COUNT(WE19,WJ19,WO19)=0,"",SUM(WE19,WJ19,WO19)/COUNT(WE19,WJ19,WO19))</f>
        <v/>
      </c>
      <c r="WR19" s="115" t="str">
        <f t="shared" si="144"/>
        <v/>
      </c>
    </row>
    <row r="20" spans="1:616" s="95" customFormat="1" ht="16.5" customHeight="1" thickBot="1" x14ac:dyDescent="0.6">
      <c r="A20" s="145" t="s">
        <v>24</v>
      </c>
      <c r="B20" s="120">
        <v>1</v>
      </c>
      <c r="C20" s="152"/>
      <c r="D20" s="65"/>
      <c r="E20" s="85"/>
      <c r="F20" s="159">
        <f>IF(COUNT(F21)=0,"",SUM(F21)/COUNT(F21))</f>
        <v>3.5</v>
      </c>
      <c r="G20" s="160" t="str">
        <f t="shared" si="25"/>
        <v>B</v>
      </c>
      <c r="H20" s="152"/>
      <c r="I20" s="65"/>
      <c r="J20" s="65"/>
      <c r="K20" s="85"/>
      <c r="L20" s="159" t="str">
        <f>IF(COUNT(L21)=0,"",SUM(L21)/COUNT(L21))</f>
        <v/>
      </c>
      <c r="M20" s="175" t="str">
        <f t="shared" si="26"/>
        <v/>
      </c>
      <c r="N20" s="153"/>
      <c r="O20" s="90"/>
      <c r="P20" s="90"/>
      <c r="Q20" s="90"/>
      <c r="R20" s="90"/>
      <c r="S20" s="91"/>
      <c r="T20" s="159" t="str">
        <f>IF(COUNT(T21)=0,"",SUM(T21)/COUNT(T21))</f>
        <v/>
      </c>
      <c r="U20" s="183" t="str">
        <f t="shared" si="27"/>
        <v/>
      </c>
      <c r="V20" s="184">
        <f>IF(COUNT(V21)=0,"",SUM(V21)/COUNT(V21))</f>
        <v>3.5</v>
      </c>
      <c r="W20" s="185" t="str">
        <f t="shared" si="28"/>
        <v>B</v>
      </c>
      <c r="X20" s="196"/>
      <c r="Y20" s="65"/>
      <c r="Z20" s="85"/>
      <c r="AA20" s="159">
        <f>IF(COUNT(AA21)=0,"",SUM(AA21)/COUNT(AA21))</f>
        <v>2.5</v>
      </c>
      <c r="AB20" s="160" t="str">
        <f t="shared" si="29"/>
        <v>C</v>
      </c>
      <c r="AC20" s="152"/>
      <c r="AD20" s="65"/>
      <c r="AE20" s="65"/>
      <c r="AF20" s="85"/>
      <c r="AG20" s="159" t="str">
        <f>IF(COUNT(AG21)=0,"",SUM(AG21)/COUNT(AG21))</f>
        <v/>
      </c>
      <c r="AH20" s="175" t="str">
        <f t="shared" si="30"/>
        <v/>
      </c>
      <c r="AI20" s="153"/>
      <c r="AJ20" s="90"/>
      <c r="AK20" s="90"/>
      <c r="AL20" s="90"/>
      <c r="AM20" s="90"/>
      <c r="AN20" s="91"/>
      <c r="AO20" s="159" t="str">
        <f>IF(COUNT(AO21)=0,"",SUM(AO21)/COUNT(AO21))</f>
        <v/>
      </c>
      <c r="AP20" s="183" t="str">
        <f t="shared" si="31"/>
        <v/>
      </c>
      <c r="AQ20" s="184">
        <f>IF(COUNT(AQ21)=0,"",SUM(AQ21)/COUNT(AQ21))</f>
        <v>2.5</v>
      </c>
      <c r="AR20" s="185" t="str">
        <f t="shared" si="32"/>
        <v>C</v>
      </c>
      <c r="AS20" s="196"/>
      <c r="AT20" s="65"/>
      <c r="AU20" s="85"/>
      <c r="AV20" s="159">
        <f>IF(COUNT(AV21)=0,"",SUM(AV21)/COUNT(AV21))</f>
        <v>2.5</v>
      </c>
      <c r="AW20" s="160" t="str">
        <f t="shared" si="33"/>
        <v>C</v>
      </c>
      <c r="AX20" s="152"/>
      <c r="AY20" s="65"/>
      <c r="AZ20" s="65"/>
      <c r="BA20" s="85"/>
      <c r="BB20" s="159" t="str">
        <f>IF(COUNT(BB21)=0,"",SUM(BB21)/COUNT(BB21))</f>
        <v/>
      </c>
      <c r="BC20" s="175" t="str">
        <f t="shared" si="34"/>
        <v/>
      </c>
      <c r="BD20" s="153"/>
      <c r="BE20" s="90"/>
      <c r="BF20" s="90"/>
      <c r="BG20" s="90"/>
      <c r="BH20" s="90"/>
      <c r="BI20" s="91"/>
      <c r="BJ20" s="159" t="str">
        <f>IF(COUNT(BJ21)=0,"",SUM(BJ21)/COUNT(BJ21))</f>
        <v/>
      </c>
      <c r="BK20" s="183" t="str">
        <f t="shared" si="35"/>
        <v/>
      </c>
      <c r="BL20" s="184">
        <f>IF(COUNT(BL21)=0,"",SUM(BL21)/COUNT(BL21))</f>
        <v>2.5</v>
      </c>
      <c r="BM20" s="185" t="str">
        <f t="shared" si="36"/>
        <v>C</v>
      </c>
      <c r="BN20" s="196"/>
      <c r="BO20" s="65"/>
      <c r="BP20" s="85"/>
      <c r="BQ20" s="159">
        <f>IF(COUNT(BQ21)=0,"",SUM(BQ21)/COUNT(BQ21))</f>
        <v>3.5</v>
      </c>
      <c r="BR20" s="160" t="str">
        <f t="shared" si="37"/>
        <v>B</v>
      </c>
      <c r="BS20" s="152"/>
      <c r="BT20" s="65"/>
      <c r="BU20" s="65"/>
      <c r="BV20" s="85"/>
      <c r="BW20" s="159" t="str">
        <f>IF(COUNT(BW21)=0,"",SUM(BW21)/COUNT(BW21))</f>
        <v/>
      </c>
      <c r="BX20" s="175" t="str">
        <f t="shared" si="38"/>
        <v/>
      </c>
      <c r="BY20" s="153"/>
      <c r="BZ20" s="90"/>
      <c r="CA20" s="90"/>
      <c r="CB20" s="90"/>
      <c r="CC20" s="90"/>
      <c r="CD20" s="91"/>
      <c r="CE20" s="159" t="str">
        <f>IF(COUNT(CE21)=0,"",SUM(CE21)/COUNT(CE21))</f>
        <v/>
      </c>
      <c r="CF20" s="183" t="str">
        <f t="shared" si="39"/>
        <v/>
      </c>
      <c r="CG20" s="184">
        <f>IF(COUNT(CG21)=0,"",SUM(CG21)/COUNT(CG21))</f>
        <v>3.5</v>
      </c>
      <c r="CH20" s="185" t="str">
        <f t="shared" si="40"/>
        <v>B</v>
      </c>
      <c r="CI20" s="196"/>
      <c r="CJ20" s="65"/>
      <c r="CK20" s="85"/>
      <c r="CL20" s="159">
        <f>IF(COUNT(CL21)=0,"",SUM(CL21)/COUNT(CL21))</f>
        <v>2.5</v>
      </c>
      <c r="CM20" s="160" t="str">
        <f t="shared" si="41"/>
        <v>C</v>
      </c>
      <c r="CN20" s="152"/>
      <c r="CO20" s="65"/>
      <c r="CP20" s="65"/>
      <c r="CQ20" s="85"/>
      <c r="CR20" s="159" t="str">
        <f>IF(COUNT(CR21)=0,"",SUM(CR21)/COUNT(CR21))</f>
        <v/>
      </c>
      <c r="CS20" s="175" t="str">
        <f t="shared" si="42"/>
        <v/>
      </c>
      <c r="CT20" s="153"/>
      <c r="CU20" s="90"/>
      <c r="CV20" s="90"/>
      <c r="CW20" s="90"/>
      <c r="CX20" s="90"/>
      <c r="CY20" s="91"/>
      <c r="CZ20" s="159" t="str">
        <f>IF(COUNT(CZ21)=0,"",SUM(CZ21)/COUNT(CZ21))</f>
        <v/>
      </c>
      <c r="DA20" s="183" t="str">
        <f t="shared" si="43"/>
        <v/>
      </c>
      <c r="DB20" s="184">
        <f>IF(COUNT(DB21)=0,"",SUM(DB21)/COUNT(DB21))</f>
        <v>2.5</v>
      </c>
      <c r="DC20" s="185" t="str">
        <f t="shared" si="44"/>
        <v>C</v>
      </c>
      <c r="DD20" s="196"/>
      <c r="DE20" s="65"/>
      <c r="DF20" s="85"/>
      <c r="DG20" s="159">
        <f>IF(COUNT(DG21)=0,"",SUM(DG21)/COUNT(DG21))</f>
        <v>3</v>
      </c>
      <c r="DH20" s="160" t="str">
        <f t="shared" si="45"/>
        <v>B</v>
      </c>
      <c r="DI20" s="152"/>
      <c r="DJ20" s="65"/>
      <c r="DK20" s="65"/>
      <c r="DL20" s="85"/>
      <c r="DM20" s="159" t="str">
        <f>IF(COUNT(DM21)=0,"",SUM(DM21)/COUNT(DM21))</f>
        <v/>
      </c>
      <c r="DN20" s="175" t="str">
        <f t="shared" si="46"/>
        <v/>
      </c>
      <c r="DO20" s="153"/>
      <c r="DP20" s="90"/>
      <c r="DQ20" s="90"/>
      <c r="DR20" s="90"/>
      <c r="DS20" s="90"/>
      <c r="DT20" s="91"/>
      <c r="DU20" s="159" t="str">
        <f>IF(COUNT(DU21)=0,"",SUM(DU21)/COUNT(DU21))</f>
        <v/>
      </c>
      <c r="DV20" s="183" t="str">
        <f t="shared" si="47"/>
        <v/>
      </c>
      <c r="DW20" s="184">
        <f>IF(COUNT(DW21)=0,"",SUM(DW21)/COUNT(DW21))</f>
        <v>3</v>
      </c>
      <c r="DX20" s="185" t="str">
        <f t="shared" si="48"/>
        <v>B</v>
      </c>
      <c r="DY20" s="196"/>
      <c r="DZ20" s="65"/>
      <c r="EA20" s="85"/>
      <c r="EB20" s="159">
        <f>IF(COUNT(EB21)=0,"",SUM(EB21)/COUNT(EB21))</f>
        <v>3</v>
      </c>
      <c r="EC20" s="160" t="str">
        <f t="shared" si="49"/>
        <v>B</v>
      </c>
      <c r="ED20" s="152"/>
      <c r="EE20" s="65"/>
      <c r="EF20" s="65"/>
      <c r="EG20" s="85"/>
      <c r="EH20" s="159" t="str">
        <f>IF(COUNT(EH21)=0,"",SUM(EH21)/COUNT(EH21))</f>
        <v/>
      </c>
      <c r="EI20" s="175" t="str">
        <f t="shared" si="50"/>
        <v/>
      </c>
      <c r="EJ20" s="153"/>
      <c r="EK20" s="90"/>
      <c r="EL20" s="90"/>
      <c r="EM20" s="90"/>
      <c r="EN20" s="90"/>
      <c r="EO20" s="91"/>
      <c r="EP20" s="159" t="str">
        <f>IF(COUNT(EP21)=0,"",SUM(EP21)/COUNT(EP21))</f>
        <v/>
      </c>
      <c r="EQ20" s="183" t="str">
        <f t="shared" si="51"/>
        <v/>
      </c>
      <c r="ER20" s="184">
        <f>IF(COUNT(ER21)=0,"",SUM(ER21)/COUNT(ER21))</f>
        <v>3</v>
      </c>
      <c r="ES20" s="185" t="str">
        <f t="shared" si="52"/>
        <v>B</v>
      </c>
      <c r="ET20" s="196"/>
      <c r="EU20" s="65"/>
      <c r="EV20" s="85"/>
      <c r="EW20" s="159">
        <f>IF(COUNT(EW21)=0,"",SUM(EW21)/COUNT(EW21))</f>
        <v>2.5</v>
      </c>
      <c r="EX20" s="160" t="str">
        <f t="shared" si="53"/>
        <v>C</v>
      </c>
      <c r="EY20" s="152"/>
      <c r="EZ20" s="65"/>
      <c r="FA20" s="65"/>
      <c r="FB20" s="85"/>
      <c r="FC20" s="159" t="str">
        <f>IF(COUNT(FC21)=0,"",SUM(FC21)/COUNT(FC21))</f>
        <v/>
      </c>
      <c r="FD20" s="175" t="str">
        <f t="shared" si="54"/>
        <v/>
      </c>
      <c r="FE20" s="153"/>
      <c r="FF20" s="90"/>
      <c r="FG20" s="90"/>
      <c r="FH20" s="90"/>
      <c r="FI20" s="90"/>
      <c r="FJ20" s="91"/>
      <c r="FK20" s="159" t="str">
        <f>IF(COUNT(FK21)=0,"",SUM(FK21)/COUNT(FK21))</f>
        <v/>
      </c>
      <c r="FL20" s="183" t="str">
        <f t="shared" si="55"/>
        <v/>
      </c>
      <c r="FM20" s="184">
        <f>IF(COUNT(FM21)=0,"",SUM(FM21)/COUNT(FM21))</f>
        <v>2.5</v>
      </c>
      <c r="FN20" s="185" t="str">
        <f t="shared" si="56"/>
        <v>C</v>
      </c>
      <c r="FO20" s="196"/>
      <c r="FP20" s="65"/>
      <c r="FQ20" s="85"/>
      <c r="FR20" s="159">
        <f>IF(COUNT(FR21)=0,"",SUM(FR21)/COUNT(FR21))</f>
        <v>3</v>
      </c>
      <c r="FS20" s="160" t="str">
        <f t="shared" si="57"/>
        <v>B</v>
      </c>
      <c r="FT20" s="152"/>
      <c r="FU20" s="65"/>
      <c r="FV20" s="65"/>
      <c r="FW20" s="85"/>
      <c r="FX20" s="159" t="str">
        <f>IF(COUNT(FX21)=0,"",SUM(FX21)/COUNT(FX21))</f>
        <v/>
      </c>
      <c r="FY20" s="175" t="str">
        <f t="shared" si="58"/>
        <v/>
      </c>
      <c r="FZ20" s="153"/>
      <c r="GA20" s="90"/>
      <c r="GB20" s="90"/>
      <c r="GC20" s="90"/>
      <c r="GD20" s="90"/>
      <c r="GE20" s="91"/>
      <c r="GF20" s="159" t="str">
        <f>IF(COUNT(GF21)=0,"",SUM(GF21)/COUNT(GF21))</f>
        <v/>
      </c>
      <c r="GG20" s="183" t="str">
        <f t="shared" si="59"/>
        <v/>
      </c>
      <c r="GH20" s="184">
        <f>IF(COUNT(GH21)=0,"",SUM(GH21)/COUNT(GH21))</f>
        <v>3</v>
      </c>
      <c r="GI20" s="185" t="str">
        <f t="shared" si="60"/>
        <v>B</v>
      </c>
      <c r="GJ20" s="196"/>
      <c r="GK20" s="65"/>
      <c r="GL20" s="85"/>
      <c r="GM20" s="159">
        <f>IF(COUNT(GM21)=0,"",SUM(GM21)/COUNT(GM21))</f>
        <v>3</v>
      </c>
      <c r="GN20" s="160" t="str">
        <f t="shared" si="61"/>
        <v>B</v>
      </c>
      <c r="GO20" s="152"/>
      <c r="GP20" s="65"/>
      <c r="GQ20" s="65"/>
      <c r="GR20" s="85"/>
      <c r="GS20" s="159" t="str">
        <f>IF(COUNT(GS21)=0,"",SUM(GS21)/COUNT(GS21))</f>
        <v/>
      </c>
      <c r="GT20" s="175" t="str">
        <f t="shared" si="62"/>
        <v/>
      </c>
      <c r="GU20" s="153"/>
      <c r="GV20" s="90"/>
      <c r="GW20" s="90"/>
      <c r="GX20" s="90"/>
      <c r="GY20" s="90"/>
      <c r="GZ20" s="91"/>
      <c r="HA20" s="159" t="str">
        <f>IF(COUNT(HA21)=0,"",SUM(HA21)/COUNT(HA21))</f>
        <v/>
      </c>
      <c r="HB20" s="183" t="str">
        <f t="shared" si="63"/>
        <v/>
      </c>
      <c r="HC20" s="184">
        <f>IF(COUNT(HC21)=0,"",SUM(HC21)/COUNT(HC21))</f>
        <v>3</v>
      </c>
      <c r="HD20" s="185" t="str">
        <f t="shared" si="64"/>
        <v>B</v>
      </c>
      <c r="HE20" s="196"/>
      <c r="HF20" s="65"/>
      <c r="HG20" s="85"/>
      <c r="HH20" s="159">
        <f>IF(COUNT(HH21)=0,"",SUM(HH21)/COUNT(HH21))</f>
        <v>3</v>
      </c>
      <c r="HI20" s="160" t="str">
        <f t="shared" si="65"/>
        <v>B</v>
      </c>
      <c r="HJ20" s="152"/>
      <c r="HK20" s="65"/>
      <c r="HL20" s="65"/>
      <c r="HM20" s="85"/>
      <c r="HN20" s="159" t="str">
        <f>IF(COUNT(HN21)=0,"",SUM(HN21)/COUNT(HN21))</f>
        <v/>
      </c>
      <c r="HO20" s="175" t="str">
        <f t="shared" si="66"/>
        <v/>
      </c>
      <c r="HP20" s="153"/>
      <c r="HQ20" s="90"/>
      <c r="HR20" s="90"/>
      <c r="HS20" s="90"/>
      <c r="HT20" s="90"/>
      <c r="HU20" s="91"/>
      <c r="HV20" s="159" t="str">
        <f>IF(COUNT(HV21)=0,"",SUM(HV21)/COUNT(HV21))</f>
        <v/>
      </c>
      <c r="HW20" s="183" t="str">
        <f t="shared" si="67"/>
        <v/>
      </c>
      <c r="HX20" s="184">
        <f>IF(COUNT(HX21)=0,"",SUM(HX21)/COUNT(HX21))</f>
        <v>3</v>
      </c>
      <c r="HY20" s="185" t="str">
        <f t="shared" si="68"/>
        <v>B</v>
      </c>
      <c r="HZ20" s="196"/>
      <c r="IA20" s="65"/>
      <c r="IB20" s="85"/>
      <c r="IC20" s="159">
        <f>IF(COUNT(IC21)=0,"",SUM(IC21)/COUNT(IC21))</f>
        <v>3</v>
      </c>
      <c r="ID20" s="160" t="str">
        <f t="shared" si="69"/>
        <v>B</v>
      </c>
      <c r="IE20" s="152"/>
      <c r="IF20" s="65"/>
      <c r="IG20" s="65"/>
      <c r="IH20" s="85"/>
      <c r="II20" s="159" t="str">
        <f>IF(COUNT(II21)=0,"",SUM(II21)/COUNT(II21))</f>
        <v/>
      </c>
      <c r="IJ20" s="175" t="str">
        <f t="shared" si="70"/>
        <v/>
      </c>
      <c r="IK20" s="153"/>
      <c r="IL20" s="90"/>
      <c r="IM20" s="90"/>
      <c r="IN20" s="90"/>
      <c r="IO20" s="90"/>
      <c r="IP20" s="91"/>
      <c r="IQ20" s="159" t="str">
        <f>IF(COUNT(IQ21)=0,"",SUM(IQ21)/COUNT(IQ21))</f>
        <v/>
      </c>
      <c r="IR20" s="183" t="str">
        <f t="shared" si="71"/>
        <v/>
      </c>
      <c r="IS20" s="184">
        <f>IF(COUNT(IS21)=0,"",SUM(IS21)/COUNT(IS21))</f>
        <v>3</v>
      </c>
      <c r="IT20" s="185" t="str">
        <f t="shared" si="72"/>
        <v>B</v>
      </c>
      <c r="IU20" s="196"/>
      <c r="IV20" s="65"/>
      <c r="IW20" s="85"/>
      <c r="IX20" s="159">
        <f>IF(COUNT(IX21)=0,"",SUM(IX21)/COUNT(IX21))</f>
        <v>3</v>
      </c>
      <c r="IY20" s="160" t="str">
        <f t="shared" si="73"/>
        <v>B</v>
      </c>
      <c r="IZ20" s="152"/>
      <c r="JA20" s="65"/>
      <c r="JB20" s="65"/>
      <c r="JC20" s="85"/>
      <c r="JD20" s="159" t="str">
        <f>IF(COUNT(JD21)=0,"",SUM(JD21)/COUNT(JD21))</f>
        <v/>
      </c>
      <c r="JE20" s="175" t="str">
        <f t="shared" si="74"/>
        <v/>
      </c>
      <c r="JF20" s="153"/>
      <c r="JG20" s="90"/>
      <c r="JH20" s="90"/>
      <c r="JI20" s="90"/>
      <c r="JJ20" s="90"/>
      <c r="JK20" s="91"/>
      <c r="JL20" s="159" t="str">
        <f>IF(COUNT(JL21)=0,"",SUM(JL21)/COUNT(JL21))</f>
        <v/>
      </c>
      <c r="JM20" s="183" t="str">
        <f t="shared" si="75"/>
        <v/>
      </c>
      <c r="JN20" s="184">
        <f>IF(COUNT(JN21)=0,"",SUM(JN21)/COUNT(JN21))</f>
        <v>3</v>
      </c>
      <c r="JO20" s="185" t="str">
        <f t="shared" si="76"/>
        <v>B</v>
      </c>
      <c r="JP20" s="196"/>
      <c r="JQ20" s="65"/>
      <c r="JR20" s="85"/>
      <c r="JS20" s="159">
        <f>IF(COUNT(JS21)=0,"",SUM(JS21)/COUNT(JS21))</f>
        <v>3.5</v>
      </c>
      <c r="JT20" s="160" t="str">
        <f t="shared" si="77"/>
        <v>B</v>
      </c>
      <c r="JU20" s="152"/>
      <c r="JV20" s="65"/>
      <c r="JW20" s="65"/>
      <c r="JX20" s="85"/>
      <c r="JY20" s="159" t="str">
        <f>IF(COUNT(JY21)=0,"",SUM(JY21)/COUNT(JY21))</f>
        <v/>
      </c>
      <c r="JZ20" s="175" t="str">
        <f t="shared" si="78"/>
        <v/>
      </c>
      <c r="KA20" s="153"/>
      <c r="KB20" s="90"/>
      <c r="KC20" s="90"/>
      <c r="KD20" s="90"/>
      <c r="KE20" s="90"/>
      <c r="KF20" s="91"/>
      <c r="KG20" s="159" t="str">
        <f>IF(COUNT(KG21)=0,"",SUM(KG21)/COUNT(KG21))</f>
        <v/>
      </c>
      <c r="KH20" s="183" t="str">
        <f t="shared" si="79"/>
        <v/>
      </c>
      <c r="KI20" s="184">
        <f>IF(COUNT(KI21)=0,"",SUM(KI21)/COUNT(KI21))</f>
        <v>3.5</v>
      </c>
      <c r="KJ20" s="185" t="str">
        <f t="shared" si="80"/>
        <v>B</v>
      </c>
      <c r="KK20" s="196"/>
      <c r="KL20" s="65"/>
      <c r="KM20" s="85"/>
      <c r="KN20" s="159">
        <f>IF(COUNT(KN21)=0,"",SUM(KN21)/COUNT(KN21))</f>
        <v>2</v>
      </c>
      <c r="KO20" s="160" t="str">
        <f t="shared" si="81"/>
        <v>C</v>
      </c>
      <c r="KP20" s="152"/>
      <c r="KQ20" s="65"/>
      <c r="KR20" s="65"/>
      <c r="KS20" s="85"/>
      <c r="KT20" s="159" t="str">
        <f>IF(COUNT(KT21)=0,"",SUM(KT21)/COUNT(KT21))</f>
        <v/>
      </c>
      <c r="KU20" s="175" t="str">
        <f t="shared" si="82"/>
        <v/>
      </c>
      <c r="KV20" s="153"/>
      <c r="KW20" s="90"/>
      <c r="KX20" s="90"/>
      <c r="KY20" s="90"/>
      <c r="KZ20" s="90"/>
      <c r="LA20" s="91"/>
      <c r="LB20" s="159" t="str">
        <f>IF(COUNT(LB21)=0,"",SUM(LB21)/COUNT(LB21))</f>
        <v/>
      </c>
      <c r="LC20" s="183" t="str">
        <f t="shared" si="83"/>
        <v/>
      </c>
      <c r="LD20" s="184">
        <f>IF(COUNT(LD21)=0,"",SUM(LD21)/COUNT(LD21))</f>
        <v>2</v>
      </c>
      <c r="LE20" s="185" t="str">
        <f t="shared" si="84"/>
        <v>C</v>
      </c>
      <c r="LF20" s="196"/>
      <c r="LG20" s="65"/>
      <c r="LH20" s="85"/>
      <c r="LI20" s="159">
        <f>IF(COUNT(LI21)=0,"",SUM(LI21)/COUNT(LI21))</f>
        <v>3</v>
      </c>
      <c r="LJ20" s="160" t="str">
        <f t="shared" si="85"/>
        <v>B</v>
      </c>
      <c r="LK20" s="152"/>
      <c r="LL20" s="65"/>
      <c r="LM20" s="65"/>
      <c r="LN20" s="85"/>
      <c r="LO20" s="159" t="str">
        <f>IF(COUNT(LO21)=0,"",SUM(LO21)/COUNT(LO21))</f>
        <v/>
      </c>
      <c r="LP20" s="175" t="str">
        <f t="shared" si="86"/>
        <v/>
      </c>
      <c r="LQ20" s="153"/>
      <c r="LR20" s="90"/>
      <c r="LS20" s="90"/>
      <c r="LT20" s="90"/>
      <c r="LU20" s="90"/>
      <c r="LV20" s="91"/>
      <c r="LW20" s="159" t="str">
        <f>IF(COUNT(LW21)=0,"",SUM(LW21)/COUNT(LW21))</f>
        <v/>
      </c>
      <c r="LX20" s="183" t="str">
        <f t="shared" si="87"/>
        <v/>
      </c>
      <c r="LY20" s="184">
        <f>IF(COUNT(LY21)=0,"",SUM(LY21)/COUNT(LY21))</f>
        <v>3</v>
      </c>
      <c r="LZ20" s="185" t="str">
        <f t="shared" si="88"/>
        <v>B</v>
      </c>
      <c r="MA20" s="196"/>
      <c r="MB20" s="65"/>
      <c r="MC20" s="85"/>
      <c r="MD20" s="159">
        <f>IF(COUNT(MD21)=0,"",SUM(MD21)/COUNT(MD21))</f>
        <v>2.5</v>
      </c>
      <c r="ME20" s="160" t="str">
        <f t="shared" si="89"/>
        <v>C</v>
      </c>
      <c r="MF20" s="152"/>
      <c r="MG20" s="65"/>
      <c r="MH20" s="65"/>
      <c r="MI20" s="85"/>
      <c r="MJ20" s="159" t="str">
        <f>IF(COUNT(MJ21)=0,"",SUM(MJ21)/COUNT(MJ21))</f>
        <v/>
      </c>
      <c r="MK20" s="175" t="str">
        <f t="shared" si="90"/>
        <v/>
      </c>
      <c r="ML20" s="153"/>
      <c r="MM20" s="90"/>
      <c r="MN20" s="90"/>
      <c r="MO20" s="90"/>
      <c r="MP20" s="90"/>
      <c r="MQ20" s="91"/>
      <c r="MR20" s="159" t="str">
        <f>IF(COUNT(MR21)=0,"",SUM(MR21)/COUNT(MR21))</f>
        <v/>
      </c>
      <c r="MS20" s="183" t="str">
        <f t="shared" si="91"/>
        <v/>
      </c>
      <c r="MT20" s="184">
        <f>IF(COUNT(MT21)=0,"",SUM(MT21)/COUNT(MT21))</f>
        <v>2.5</v>
      </c>
      <c r="MU20" s="185" t="str">
        <f t="shared" si="92"/>
        <v>C</v>
      </c>
      <c r="MV20" s="196"/>
      <c r="MW20" s="65"/>
      <c r="MX20" s="85"/>
      <c r="MY20" s="159">
        <f>IF(COUNT(MY21)=0,"",SUM(MY21)/COUNT(MY21))</f>
        <v>1.5</v>
      </c>
      <c r="MZ20" s="160" t="str">
        <f t="shared" si="93"/>
        <v>D</v>
      </c>
      <c r="NA20" s="152"/>
      <c r="NB20" s="65"/>
      <c r="NC20" s="65"/>
      <c r="ND20" s="85"/>
      <c r="NE20" s="159" t="str">
        <f>IF(COUNT(NE21)=0,"",SUM(NE21)/COUNT(NE21))</f>
        <v/>
      </c>
      <c r="NF20" s="175" t="str">
        <f t="shared" si="94"/>
        <v/>
      </c>
      <c r="NG20" s="153"/>
      <c r="NH20" s="90"/>
      <c r="NI20" s="90"/>
      <c r="NJ20" s="90"/>
      <c r="NK20" s="90"/>
      <c r="NL20" s="91"/>
      <c r="NM20" s="159" t="str">
        <f>IF(COUNT(NM21)=0,"",SUM(NM21)/COUNT(NM21))</f>
        <v/>
      </c>
      <c r="NN20" s="183" t="str">
        <f t="shared" si="95"/>
        <v/>
      </c>
      <c r="NO20" s="184">
        <f>IF(COUNT(NO21)=0,"",SUM(NO21)/COUNT(NO21))</f>
        <v>1.5</v>
      </c>
      <c r="NP20" s="185" t="str">
        <f t="shared" si="96"/>
        <v>D</v>
      </c>
      <c r="NQ20" s="196"/>
      <c r="NR20" s="65"/>
      <c r="NS20" s="85"/>
      <c r="NT20" s="159">
        <f>IF(COUNT(NT21)=0,"",SUM(NT21)/COUNT(NT21))</f>
        <v>2.5</v>
      </c>
      <c r="NU20" s="160" t="str">
        <f t="shared" si="97"/>
        <v>C</v>
      </c>
      <c r="NV20" s="152"/>
      <c r="NW20" s="65"/>
      <c r="NX20" s="65"/>
      <c r="NY20" s="85"/>
      <c r="NZ20" s="159" t="str">
        <f>IF(COUNT(NZ21)=0,"",SUM(NZ21)/COUNT(NZ21))</f>
        <v/>
      </c>
      <c r="OA20" s="175" t="str">
        <f t="shared" si="98"/>
        <v/>
      </c>
      <c r="OB20" s="153"/>
      <c r="OC20" s="90"/>
      <c r="OD20" s="90"/>
      <c r="OE20" s="90"/>
      <c r="OF20" s="90"/>
      <c r="OG20" s="91"/>
      <c r="OH20" s="159" t="str">
        <f>IF(COUNT(OH21)=0,"",SUM(OH21)/COUNT(OH21))</f>
        <v/>
      </c>
      <c r="OI20" s="183" t="str">
        <f t="shared" si="99"/>
        <v/>
      </c>
      <c r="OJ20" s="184">
        <f>IF(COUNT(OJ21)=0,"",SUM(OJ21)/COUNT(OJ21))</f>
        <v>2.5</v>
      </c>
      <c r="OK20" s="185" t="str">
        <f t="shared" si="100"/>
        <v>C</v>
      </c>
      <c r="OL20" s="196"/>
      <c r="OM20" s="65"/>
      <c r="ON20" s="85"/>
      <c r="OO20" s="159">
        <f>IF(COUNT(OO21)=0,"",SUM(OO21)/COUNT(OO21))</f>
        <v>3.5</v>
      </c>
      <c r="OP20" s="160" t="str">
        <f t="shared" si="101"/>
        <v>B</v>
      </c>
      <c r="OQ20" s="152"/>
      <c r="OR20" s="65"/>
      <c r="OS20" s="65"/>
      <c r="OT20" s="85"/>
      <c r="OU20" s="159" t="str">
        <f>IF(COUNT(OU21)=0,"",SUM(OU21)/COUNT(OU21))</f>
        <v/>
      </c>
      <c r="OV20" s="175" t="str">
        <f t="shared" si="102"/>
        <v/>
      </c>
      <c r="OW20" s="153"/>
      <c r="OX20" s="90"/>
      <c r="OY20" s="90"/>
      <c r="OZ20" s="90"/>
      <c r="PA20" s="90"/>
      <c r="PB20" s="91"/>
      <c r="PC20" s="159" t="str">
        <f>IF(COUNT(PC21)=0,"",SUM(PC21)/COUNT(PC21))</f>
        <v/>
      </c>
      <c r="PD20" s="183" t="str">
        <f t="shared" si="103"/>
        <v/>
      </c>
      <c r="PE20" s="184">
        <f>IF(COUNT(PE21)=0,"",SUM(PE21)/COUNT(PE21))</f>
        <v>3.5</v>
      </c>
      <c r="PF20" s="185" t="str">
        <f t="shared" si="104"/>
        <v>B</v>
      </c>
      <c r="PG20" s="196"/>
      <c r="PH20" s="65"/>
      <c r="PI20" s="85"/>
      <c r="PJ20" s="159">
        <f>IF(COUNT(PJ21)=0,"",SUM(PJ21)/COUNT(PJ21))</f>
        <v>2.5</v>
      </c>
      <c r="PK20" s="160" t="str">
        <f t="shared" si="105"/>
        <v>C</v>
      </c>
      <c r="PL20" s="152"/>
      <c r="PM20" s="65"/>
      <c r="PN20" s="65"/>
      <c r="PO20" s="85"/>
      <c r="PP20" s="159" t="str">
        <f>IF(COUNT(PP21)=0,"",SUM(PP21)/COUNT(PP21))</f>
        <v/>
      </c>
      <c r="PQ20" s="175" t="str">
        <f t="shared" si="106"/>
        <v/>
      </c>
      <c r="PR20" s="153"/>
      <c r="PS20" s="90"/>
      <c r="PT20" s="90"/>
      <c r="PU20" s="90"/>
      <c r="PV20" s="90"/>
      <c r="PW20" s="91"/>
      <c r="PX20" s="159" t="str">
        <f>IF(COUNT(PX21)=0,"",SUM(PX21)/COUNT(PX21))</f>
        <v/>
      </c>
      <c r="PY20" s="183" t="str">
        <f t="shared" si="107"/>
        <v/>
      </c>
      <c r="PZ20" s="184">
        <f>IF(COUNT(PZ21)=0,"",SUM(PZ21)/COUNT(PZ21))</f>
        <v>2.5</v>
      </c>
      <c r="QA20" s="185" t="str">
        <f t="shared" si="108"/>
        <v>C</v>
      </c>
      <c r="QB20" s="196"/>
      <c r="QC20" s="65"/>
      <c r="QD20" s="85"/>
      <c r="QE20" s="159">
        <f>IF(COUNT(QE21)=0,"",SUM(QE21)/COUNT(QE21))</f>
        <v>2</v>
      </c>
      <c r="QF20" s="160" t="str">
        <f t="shared" si="109"/>
        <v>C</v>
      </c>
      <c r="QG20" s="152"/>
      <c r="QH20" s="65"/>
      <c r="QI20" s="65"/>
      <c r="QJ20" s="85"/>
      <c r="QK20" s="159" t="str">
        <f>IF(COUNT(QK21)=0,"",SUM(QK21)/COUNT(QK21))</f>
        <v/>
      </c>
      <c r="QL20" s="175" t="str">
        <f t="shared" si="110"/>
        <v/>
      </c>
      <c r="QM20" s="153"/>
      <c r="QN20" s="90"/>
      <c r="QO20" s="90"/>
      <c r="QP20" s="90"/>
      <c r="QQ20" s="90"/>
      <c r="QR20" s="91"/>
      <c r="QS20" s="159" t="str">
        <f>IF(COUNT(QS21)=0,"",SUM(QS21)/COUNT(QS21))</f>
        <v/>
      </c>
      <c r="QT20" s="183" t="str">
        <f t="shared" si="111"/>
        <v/>
      </c>
      <c r="QU20" s="184">
        <f>IF(COUNT(QU21)=0,"",SUM(QU21)/COUNT(QU21))</f>
        <v>2</v>
      </c>
      <c r="QV20" s="185" t="str">
        <f t="shared" si="112"/>
        <v>C</v>
      </c>
      <c r="QW20" s="196"/>
      <c r="QX20" s="65"/>
      <c r="QY20" s="85"/>
      <c r="QZ20" s="159">
        <f>IF(COUNT(QZ21)=0,"",SUM(QZ21)/COUNT(QZ21))</f>
        <v>3.5</v>
      </c>
      <c r="RA20" s="160" t="str">
        <f t="shared" si="113"/>
        <v>B</v>
      </c>
      <c r="RB20" s="152"/>
      <c r="RC20" s="65"/>
      <c r="RD20" s="65"/>
      <c r="RE20" s="85"/>
      <c r="RF20" s="159" t="str">
        <f>IF(COUNT(RF21)=0,"",SUM(RF21)/COUNT(RF21))</f>
        <v/>
      </c>
      <c r="RG20" s="175" t="str">
        <f t="shared" si="114"/>
        <v/>
      </c>
      <c r="RH20" s="153"/>
      <c r="RI20" s="90"/>
      <c r="RJ20" s="90"/>
      <c r="RK20" s="90"/>
      <c r="RL20" s="90"/>
      <c r="RM20" s="91"/>
      <c r="RN20" s="159" t="str">
        <f>IF(COUNT(RN21)=0,"",SUM(RN21)/COUNT(RN21))</f>
        <v/>
      </c>
      <c r="RO20" s="183" t="str">
        <f t="shared" si="115"/>
        <v/>
      </c>
      <c r="RP20" s="184">
        <f>IF(COUNT(RP21)=0,"",SUM(RP21)/COUNT(RP21))</f>
        <v>3.5</v>
      </c>
      <c r="RQ20" s="185" t="str">
        <f t="shared" si="116"/>
        <v>B</v>
      </c>
      <c r="RR20" s="196"/>
      <c r="RS20" s="65"/>
      <c r="RT20" s="85"/>
      <c r="RU20" s="159">
        <f>IF(COUNT(RU21)=0,"",SUM(RU21)/COUNT(RU21))</f>
        <v>1</v>
      </c>
      <c r="RV20" s="160" t="str">
        <f t="shared" si="117"/>
        <v>D</v>
      </c>
      <c r="RW20" s="152"/>
      <c r="RX20" s="65"/>
      <c r="RY20" s="65"/>
      <c r="RZ20" s="85"/>
      <c r="SA20" s="159" t="str">
        <f>IF(COUNT(SA21)=0,"",SUM(SA21)/COUNT(SA21))</f>
        <v/>
      </c>
      <c r="SB20" s="175" t="str">
        <f t="shared" si="118"/>
        <v/>
      </c>
      <c r="SC20" s="153"/>
      <c r="SD20" s="90"/>
      <c r="SE20" s="90"/>
      <c r="SF20" s="90"/>
      <c r="SG20" s="90"/>
      <c r="SH20" s="91"/>
      <c r="SI20" s="159" t="str">
        <f>IF(COUNT(SI21)=0,"",SUM(SI21)/COUNT(SI21))</f>
        <v/>
      </c>
      <c r="SJ20" s="183" t="str">
        <f t="shared" si="119"/>
        <v/>
      </c>
      <c r="SK20" s="184">
        <f>IF(COUNT(SK21)=0,"",SUM(SK21)/COUNT(SK21))</f>
        <v>1</v>
      </c>
      <c r="SL20" s="185" t="str">
        <f t="shared" si="120"/>
        <v>D</v>
      </c>
      <c r="SM20" s="196"/>
      <c r="SN20" s="65"/>
      <c r="SO20" s="85"/>
      <c r="SP20" s="159">
        <f>IF(COUNT(SP21)=0,"",SUM(SP21)/COUNT(SP21))</f>
        <v>3.5</v>
      </c>
      <c r="SQ20" s="160" t="str">
        <f t="shared" si="121"/>
        <v>B</v>
      </c>
      <c r="SR20" s="152"/>
      <c r="SS20" s="65"/>
      <c r="ST20" s="65"/>
      <c r="SU20" s="85"/>
      <c r="SV20" s="159" t="str">
        <f>IF(COUNT(SV21)=0,"",SUM(SV21)/COUNT(SV21))</f>
        <v/>
      </c>
      <c r="SW20" s="175" t="str">
        <f t="shared" si="122"/>
        <v/>
      </c>
      <c r="SX20" s="153"/>
      <c r="SY20" s="90"/>
      <c r="SZ20" s="90"/>
      <c r="TA20" s="90"/>
      <c r="TB20" s="90"/>
      <c r="TC20" s="91"/>
      <c r="TD20" s="159" t="str">
        <f>IF(COUNT(TD21)=0,"",SUM(TD21)/COUNT(TD21))</f>
        <v/>
      </c>
      <c r="TE20" s="183" t="str">
        <f t="shared" si="123"/>
        <v/>
      </c>
      <c r="TF20" s="184">
        <f>IF(COUNT(TF21)=0,"",SUM(TF21)/COUNT(TF21))</f>
        <v>3.5</v>
      </c>
      <c r="TG20" s="185" t="str">
        <f t="shared" si="124"/>
        <v>B</v>
      </c>
      <c r="TH20" s="196"/>
      <c r="TI20" s="65"/>
      <c r="TJ20" s="85"/>
      <c r="TK20" s="159">
        <f>IF(COUNT(TK21)=0,"",SUM(TK21)/COUNT(TK21))</f>
        <v>2.5</v>
      </c>
      <c r="TL20" s="160" t="str">
        <f t="shared" si="125"/>
        <v>C</v>
      </c>
      <c r="TM20" s="152"/>
      <c r="TN20" s="65"/>
      <c r="TO20" s="65"/>
      <c r="TP20" s="85"/>
      <c r="TQ20" s="159" t="str">
        <f>IF(COUNT(TQ21)=0,"",SUM(TQ21)/COUNT(TQ21))</f>
        <v/>
      </c>
      <c r="TR20" s="175" t="str">
        <f t="shared" si="126"/>
        <v/>
      </c>
      <c r="TS20" s="153"/>
      <c r="TT20" s="90"/>
      <c r="TU20" s="90"/>
      <c r="TV20" s="90"/>
      <c r="TW20" s="90"/>
      <c r="TX20" s="91"/>
      <c r="TY20" s="159" t="str">
        <f>IF(COUNT(TY21)=0,"",SUM(TY21)/COUNT(TY21))</f>
        <v/>
      </c>
      <c r="TZ20" s="183" t="str">
        <f t="shared" si="127"/>
        <v/>
      </c>
      <c r="UA20" s="184">
        <f>IF(COUNT(UA21)=0,"",SUM(UA21)/COUNT(UA21))</f>
        <v>2.5</v>
      </c>
      <c r="UB20" s="185" t="str">
        <f t="shared" si="128"/>
        <v>C</v>
      </c>
      <c r="UC20" s="121"/>
      <c r="UD20" s="65"/>
      <c r="UE20" s="85"/>
      <c r="UF20" s="86" t="str">
        <f>IF(COUNT(UF21)=0,"",SUM(UF21)/COUNT(UF21))</f>
        <v/>
      </c>
      <c r="UG20" s="87" t="str">
        <f t="shared" si="129"/>
        <v/>
      </c>
      <c r="UH20" s="84"/>
      <c r="UI20" s="65"/>
      <c r="UJ20" s="85"/>
      <c r="UK20" s="86" t="str">
        <f>IF(COUNT(UK21)=0,"",SUM(UK21)/COUNT(UK21))</f>
        <v/>
      </c>
      <c r="UL20" s="88" t="str">
        <f t="shared" si="130"/>
        <v/>
      </c>
      <c r="UM20" s="89"/>
      <c r="UN20" s="90"/>
      <c r="UO20" s="91"/>
      <c r="UP20" s="86" t="str">
        <f>IF(COUNT(UP21)=0,"",SUM(UP21)/COUNT(UP21))</f>
        <v/>
      </c>
      <c r="UQ20" s="92" t="str">
        <f t="shared" si="131"/>
        <v/>
      </c>
      <c r="UR20" s="93" t="str">
        <f>IF(COUNT(UR21)=0,"",SUM(UR21)/COUNT(UR21))</f>
        <v/>
      </c>
      <c r="US20" s="94" t="str">
        <f t="shared" si="132"/>
        <v/>
      </c>
      <c r="UT20" s="121"/>
      <c r="UU20" s="65"/>
      <c r="UV20" s="85"/>
      <c r="UW20" s="86" t="str">
        <f>IF(COUNT(UW21)=0,"",SUM(UW21)/COUNT(UW21))</f>
        <v/>
      </c>
      <c r="UX20" s="87" t="str">
        <f t="shared" si="133"/>
        <v/>
      </c>
      <c r="UY20" s="84"/>
      <c r="UZ20" s="65"/>
      <c r="VA20" s="85"/>
      <c r="VB20" s="86" t="str">
        <f>IF(COUNT(VB21)=0,"",SUM(VB21)/COUNT(VB21))</f>
        <v/>
      </c>
      <c r="VC20" s="88" t="str">
        <f t="shared" si="134"/>
        <v/>
      </c>
      <c r="VD20" s="89"/>
      <c r="VE20" s="90"/>
      <c r="VF20" s="91"/>
      <c r="VG20" s="86" t="str">
        <f>IF(COUNT(VG21)=0,"",SUM(VG21)/COUNT(VG21))</f>
        <v/>
      </c>
      <c r="VH20" s="92" t="str">
        <f t="shared" si="135"/>
        <v/>
      </c>
      <c r="VI20" s="93" t="str">
        <f>IF(COUNT(VI21)=0,"",SUM(VI21)/COUNT(VI21))</f>
        <v/>
      </c>
      <c r="VJ20" s="94" t="str">
        <f t="shared" si="136"/>
        <v/>
      </c>
      <c r="VK20" s="121"/>
      <c r="VL20" s="65"/>
      <c r="VM20" s="85"/>
      <c r="VN20" s="86" t="str">
        <f>IF(COUNT(VN21)=0,"",SUM(VN21)/COUNT(VN21))</f>
        <v/>
      </c>
      <c r="VO20" s="87" t="str">
        <f t="shared" si="137"/>
        <v/>
      </c>
      <c r="VP20" s="84"/>
      <c r="VQ20" s="65"/>
      <c r="VR20" s="85"/>
      <c r="VS20" s="86" t="str">
        <f>IF(COUNT(VS21)=0,"",SUM(VS21)/COUNT(VS21))</f>
        <v/>
      </c>
      <c r="VT20" s="88" t="str">
        <f t="shared" si="138"/>
        <v/>
      </c>
      <c r="VU20" s="89"/>
      <c r="VV20" s="90"/>
      <c r="VW20" s="91"/>
      <c r="VX20" s="86" t="str">
        <f>IF(COUNT(VX21)=0,"",SUM(VX21)/COUNT(VX21))</f>
        <v/>
      </c>
      <c r="VY20" s="92" t="str">
        <f t="shared" si="139"/>
        <v/>
      </c>
      <c r="VZ20" s="93" t="str">
        <f>IF(COUNT(VZ21)=0,"",SUM(VZ21)/COUNT(VZ21))</f>
        <v/>
      </c>
      <c r="WA20" s="94" t="str">
        <f t="shared" si="140"/>
        <v/>
      </c>
      <c r="WB20" s="121"/>
      <c r="WC20" s="65"/>
      <c r="WD20" s="85"/>
      <c r="WE20" s="86" t="str">
        <f>IF(COUNT(WE21)=0,"",SUM(WE21)/COUNT(WE21))</f>
        <v/>
      </c>
      <c r="WF20" s="87" t="str">
        <f t="shared" si="141"/>
        <v/>
      </c>
      <c r="WG20" s="84"/>
      <c r="WH20" s="65"/>
      <c r="WI20" s="85"/>
      <c r="WJ20" s="86" t="str">
        <f>IF(COUNT(WJ21)=0,"",SUM(WJ21)/COUNT(WJ21))</f>
        <v/>
      </c>
      <c r="WK20" s="88" t="str">
        <f t="shared" si="142"/>
        <v/>
      </c>
      <c r="WL20" s="89"/>
      <c r="WM20" s="90"/>
      <c r="WN20" s="91"/>
      <c r="WO20" s="86" t="str">
        <f>IF(COUNT(WO21)=0,"",SUM(WO21)/COUNT(WO21))</f>
        <v/>
      </c>
      <c r="WP20" s="92" t="str">
        <f t="shared" si="143"/>
        <v/>
      </c>
      <c r="WQ20" s="93" t="str">
        <f>IF(COUNT(WQ21)=0,"",SUM(WQ21)/COUNT(WQ21))</f>
        <v/>
      </c>
      <c r="WR20" s="94" t="str">
        <f t="shared" si="144"/>
        <v/>
      </c>
    </row>
    <row r="21" spans="1:616" ht="18" customHeight="1" thickBot="1" x14ac:dyDescent="0.6">
      <c r="A21" s="225" t="s">
        <v>25</v>
      </c>
      <c r="B21" s="226"/>
      <c r="C21" s="124" t="s">
        <v>28</v>
      </c>
      <c r="D21" s="125" t="s">
        <v>27</v>
      </c>
      <c r="E21" s="126"/>
      <c r="F21" s="167">
        <f>IFERROR((((COUNTIF('Elève (3ème2)'!C21:E21,"A"))*4)+((COUNTIF('Elève (3ème2)'!C21:E21,"B"))*3)+((COUNTIF('Elève (3ème2)'!C21:E21,"C"))*2)+((COUNTIF('Elève (3ème2)'!C21:E21,"D"))*1))/(COUNTA(C21:E21)),"")</f>
        <v>3.5</v>
      </c>
      <c r="G21" s="168" t="str">
        <f t="shared" si="25"/>
        <v>B</v>
      </c>
      <c r="H21" s="124"/>
      <c r="I21" s="125"/>
      <c r="J21" s="126"/>
      <c r="K21" s="126"/>
      <c r="L21" s="167" t="str">
        <f>IFERROR((((COUNTIF('Elève (3ème2)'!H21:K21,"A"))*4)+((COUNTIF('Elève (3ème2)'!H21:K21,"B"))*3)+((COUNTIF('Elève (3ème2)'!H21:K21,"C"))*2)+((COUNTIF('Elève (3ème2)'!H21:K21,"D"))*1))/(COUNTA(H21:K21)),"")</f>
        <v/>
      </c>
      <c r="M21" s="168" t="str">
        <f t="shared" si="26"/>
        <v/>
      </c>
      <c r="N21" s="124"/>
      <c r="O21" s="125"/>
      <c r="P21" s="126"/>
      <c r="Q21" s="126"/>
      <c r="R21" s="126"/>
      <c r="S21" s="126"/>
      <c r="T21" s="167" t="str">
        <f>IFERROR((((COUNTIF('Elève (3ème2)'!N21:S21,"A"))*4)+((COUNTIF('Elève (3ème2)'!N21:S21,"B"))*3)+((COUNTIF('Elève (3ème2)'!N21:S21,"C"))*2)+((COUNTIF('Elève (3ème2)'!N21:S21,"D"))*1))/(COUNTA(N21:S21)),"")</f>
        <v/>
      </c>
      <c r="U21" s="168" t="str">
        <f t="shared" si="27"/>
        <v/>
      </c>
      <c r="V21" s="167">
        <f>IF(COUNT(F21,L21,T21)=0,"",SUM(F21,L21,T21)/COUNT(F21,L21,T21))</f>
        <v>3.5</v>
      </c>
      <c r="W21" s="192" t="str">
        <f t="shared" si="28"/>
        <v>B</v>
      </c>
      <c r="X21" s="124" t="s">
        <v>29</v>
      </c>
      <c r="Y21" s="125" t="s">
        <v>28</v>
      </c>
      <c r="Z21" s="126"/>
      <c r="AA21" s="167">
        <f>IFERROR((((COUNTIF('Elève (3ème2)'!X21:Z21,"A"))*4)+((COUNTIF('Elève (3ème2)'!X21:Z21,"B"))*3)+((COUNTIF('Elève (3ème2)'!X21:Z21,"C"))*2)+((COUNTIF('Elève (3ème2)'!X21:Z21,"D"))*1))/(COUNTA(X21:Z21)),"")</f>
        <v>2.5</v>
      </c>
      <c r="AB21" s="168" t="str">
        <f t="shared" si="29"/>
        <v>C</v>
      </c>
      <c r="AC21" s="124"/>
      <c r="AD21" s="125"/>
      <c r="AE21" s="126"/>
      <c r="AF21" s="126"/>
      <c r="AG21" s="167" t="str">
        <f>IFERROR((((COUNTIF('Elève (3ème2)'!AC21:AF21,"A"))*4)+((COUNTIF('Elève (3ème2)'!AC21:AF21,"B"))*3)+((COUNTIF('Elève (3ème2)'!AC21:AF21,"C"))*2)+((COUNTIF('Elève (3ème2)'!AC21:AF21,"D"))*1))/(COUNTA(AC21:AF21)),"")</f>
        <v/>
      </c>
      <c r="AH21" s="168" t="str">
        <f t="shared" si="30"/>
        <v/>
      </c>
      <c r="AI21" s="124"/>
      <c r="AJ21" s="125"/>
      <c r="AK21" s="126"/>
      <c r="AL21" s="126"/>
      <c r="AM21" s="126"/>
      <c r="AN21" s="130"/>
      <c r="AO21" s="167" t="str">
        <f>IFERROR((((COUNTIF('Elève (3ème2)'!AI21:AN21,"A"))*4)+((COUNTIF('Elève (3ème2)'!AI21:AN21,"B"))*3)+((COUNTIF('Elève (3ème2)'!AI21:AN21,"C"))*2)+((COUNTIF('Elève (3ème2)'!AI21:AN21,"D"))*1))/(COUNTA(AI21:AN21)),"")</f>
        <v/>
      </c>
      <c r="AP21" s="168" t="str">
        <f t="shared" si="31"/>
        <v/>
      </c>
      <c r="AQ21" s="167">
        <f>IF(COUNT(AA21,AG21,AO21)=0,"",SUM(AA21,AG21,AO21)/COUNT(AA21,AG21,AO21))</f>
        <v>2.5</v>
      </c>
      <c r="AR21" s="192" t="str">
        <f t="shared" si="32"/>
        <v>C</v>
      </c>
      <c r="AS21" s="124" t="s">
        <v>29</v>
      </c>
      <c r="AT21" s="125" t="s">
        <v>28</v>
      </c>
      <c r="AU21" s="126"/>
      <c r="AV21" s="167">
        <f>IFERROR((((COUNTIF('Elève (3ème2)'!AS21:AU21,"A"))*4)+((COUNTIF('Elève (3ème2)'!AS21:AU21,"B"))*3)+((COUNTIF('Elève (3ème2)'!AS21:AU21,"C"))*2)+((COUNTIF('Elève (3ème2)'!AS21:AU21,"D"))*1))/(COUNTA(AS21:AU21)),"")</f>
        <v>2.5</v>
      </c>
      <c r="AW21" s="168" t="str">
        <f t="shared" si="33"/>
        <v>C</v>
      </c>
      <c r="AX21" s="124"/>
      <c r="AY21" s="125"/>
      <c r="AZ21" s="126"/>
      <c r="BA21" s="126"/>
      <c r="BB21" s="167" t="str">
        <f>IFERROR((((COUNTIF('Elève (3ème2)'!AX21:BA21,"A"))*4)+((COUNTIF('Elève (3ème2)'!AX21:BA21,"B"))*3)+((COUNTIF('Elève (3ème2)'!AX21:BA21,"C"))*2)+((COUNTIF('Elève (3ème2)'!AX21:BA21,"D"))*1))/(COUNTA(AX21:BA21)),"")</f>
        <v/>
      </c>
      <c r="BC21" s="168" t="str">
        <f t="shared" si="34"/>
        <v/>
      </c>
      <c r="BD21" s="124"/>
      <c r="BE21" s="125"/>
      <c r="BF21" s="126"/>
      <c r="BG21" s="126"/>
      <c r="BH21" s="126"/>
      <c r="BI21" s="130"/>
      <c r="BJ21" s="167" t="str">
        <f>IFERROR((((COUNTIF('Elève (3ème2)'!BD21:BI21,"A"))*4)+((COUNTIF('Elève (3ème2)'!BD21:BI21,"B"))*3)+((COUNTIF('Elève (3ème2)'!BD21:BI21,"C"))*2)+((COUNTIF('Elève (3ème2)'!BD21:BI21,"D"))*1))/(COUNTA(BD21:BI21)),"")</f>
        <v/>
      </c>
      <c r="BK21" s="168" t="str">
        <f t="shared" si="35"/>
        <v/>
      </c>
      <c r="BL21" s="167">
        <f>IF(COUNT(AV21,BB21,BJ21)=0,"",SUM(AV21,BB21,BJ21)/COUNT(AV21,BB21,BJ21))</f>
        <v>2.5</v>
      </c>
      <c r="BM21" s="192" t="str">
        <f t="shared" si="36"/>
        <v>C</v>
      </c>
      <c r="BN21" s="124" t="s">
        <v>27</v>
      </c>
      <c r="BO21" s="125" t="s">
        <v>28</v>
      </c>
      <c r="BP21" s="126"/>
      <c r="BQ21" s="167">
        <f>IFERROR((((COUNTIF('Elève (3ème2)'!BN21:BP21,"A"))*4)+((COUNTIF('Elève (3ème2)'!BN21:BP21,"B"))*3)+((COUNTIF('Elève (3ème2)'!BN21:BP21,"C"))*2)+((COUNTIF('Elève (3ème2)'!BN21:BP21,"D"))*1))/(COUNTA(BN21:BP21)),"")</f>
        <v>3.5</v>
      </c>
      <c r="BR21" s="168" t="str">
        <f t="shared" si="37"/>
        <v>B</v>
      </c>
      <c r="BS21" s="124"/>
      <c r="BT21" s="125"/>
      <c r="BU21" s="126"/>
      <c r="BV21" s="126"/>
      <c r="BW21" s="167" t="str">
        <f>IFERROR((((COUNTIF('Elève (3ème2)'!BS21:BV21,"A"))*4)+((COUNTIF('Elève (3ème2)'!BS21:BV21,"B"))*3)+((COUNTIF('Elève (3ème2)'!BS21:BV21,"C"))*2)+((COUNTIF('Elève (3ème2)'!BS21:BV21,"D"))*1))/(COUNTA(BS21:BV21)),"")</f>
        <v/>
      </c>
      <c r="BX21" s="168" t="str">
        <f t="shared" si="38"/>
        <v/>
      </c>
      <c r="BY21" s="124"/>
      <c r="BZ21" s="125"/>
      <c r="CA21" s="126"/>
      <c r="CB21" s="126"/>
      <c r="CC21" s="126"/>
      <c r="CD21" s="130"/>
      <c r="CE21" s="167" t="str">
        <f>IFERROR((((COUNTIF('Elève (3ème2)'!BY21:CD21,"A"))*4)+((COUNTIF('Elève (3ème2)'!BY21:CD21,"B"))*3)+((COUNTIF('Elève (3ème2)'!BY21:CD21,"C"))*2)+((COUNTIF('Elève (3ème2)'!BY21:CD21,"D"))*1))/(COUNTA(BY21:CD21)),"")</f>
        <v/>
      </c>
      <c r="CF21" s="168" t="str">
        <f t="shared" si="39"/>
        <v/>
      </c>
      <c r="CG21" s="167">
        <f>IF(COUNT(BQ21,BW21,CE21)=0,"",SUM(BQ21,BW21,CE21)/COUNT(BQ21,BW21,CE21))</f>
        <v>3.5</v>
      </c>
      <c r="CH21" s="192" t="str">
        <f t="shared" si="40"/>
        <v>B</v>
      </c>
      <c r="CI21" s="124" t="s">
        <v>28</v>
      </c>
      <c r="CJ21" s="125" t="s">
        <v>29</v>
      </c>
      <c r="CK21" s="126"/>
      <c r="CL21" s="167">
        <f>IFERROR((((COUNTIF('Elève (3ème2)'!CI21:CK21,"A"))*4)+((COUNTIF('Elève (3ème2)'!CI21:CK21,"B"))*3)+((COUNTIF('Elève (3ème2)'!CI21:CK21,"C"))*2)+((COUNTIF('Elève (3ème2)'!CI21:CK21,"D"))*1))/(COUNTA(CI21:CK21)),"")</f>
        <v>2.5</v>
      </c>
      <c r="CM21" s="168" t="str">
        <f t="shared" si="41"/>
        <v>C</v>
      </c>
      <c r="CN21" s="124"/>
      <c r="CO21" s="125"/>
      <c r="CP21" s="126"/>
      <c r="CQ21" s="126"/>
      <c r="CR21" s="167" t="str">
        <f>IFERROR((((COUNTIF('Elève (3ème2)'!CN21:CQ21,"A"))*4)+((COUNTIF('Elève (3ème2)'!CN21:CQ21,"B"))*3)+((COUNTIF('Elève (3ème2)'!CN21:CQ21,"C"))*2)+((COUNTIF('Elève (3ème2)'!CN21:CQ21,"D"))*1))/(COUNTA(CN21:CQ21)),"")</f>
        <v/>
      </c>
      <c r="CS21" s="168" t="str">
        <f t="shared" si="42"/>
        <v/>
      </c>
      <c r="CT21" s="124"/>
      <c r="CU21" s="125"/>
      <c r="CV21" s="126"/>
      <c r="CW21" s="126"/>
      <c r="CX21" s="126"/>
      <c r="CY21" s="130"/>
      <c r="CZ21" s="167" t="str">
        <f>IFERROR((((COUNTIF('Elève (3ème2)'!CT21:CY21,"A"))*4)+((COUNTIF('Elève (3ème2)'!CT21:CY21,"B"))*3)+((COUNTIF('Elève (3ème2)'!CT21:CY21,"C"))*2)+((COUNTIF('Elève (3ème2)'!CT21:CY21,"D"))*1))/(COUNTA(CT21:CY21)),"")</f>
        <v/>
      </c>
      <c r="DA21" s="168" t="str">
        <f t="shared" si="43"/>
        <v/>
      </c>
      <c r="DB21" s="167">
        <f>IF(COUNT(CL21,CR21,CZ21)=0,"",SUM(CL21,CR21,CZ21)/COUNT(CL21,CR21,CZ21))</f>
        <v>2.5</v>
      </c>
      <c r="DC21" s="192" t="str">
        <f t="shared" si="44"/>
        <v>C</v>
      </c>
      <c r="DD21" s="124" t="s">
        <v>27</v>
      </c>
      <c r="DE21" s="125" t="s">
        <v>29</v>
      </c>
      <c r="DF21" s="126"/>
      <c r="DG21" s="167">
        <f>IFERROR((((COUNTIF('Elève (3ème2)'!DD21:DF21,"A"))*4)+((COUNTIF('Elève (3ème2)'!DD21:DF21,"B"))*3)+((COUNTIF('Elève (3ème2)'!DD21:DF21,"C"))*2)+((COUNTIF('Elève (3ème2)'!DD21:DF21,"D"))*1))/(COUNTA(DD21:DF21)),"")</f>
        <v>3</v>
      </c>
      <c r="DH21" s="168" t="str">
        <f t="shared" si="45"/>
        <v>B</v>
      </c>
      <c r="DI21" s="124"/>
      <c r="DJ21" s="125"/>
      <c r="DK21" s="126"/>
      <c r="DL21" s="126"/>
      <c r="DM21" s="167" t="str">
        <f>IFERROR((((COUNTIF('Elève (3ème2)'!DI21:DL21,"A"))*4)+((COUNTIF('Elève (3ème2)'!DI21:DL21,"B"))*3)+((COUNTIF('Elève (3ème2)'!DI21:DL21,"C"))*2)+((COUNTIF('Elève (3ème2)'!DI21:DL21,"D"))*1))/(COUNTA(DI21:DL21)),"")</f>
        <v/>
      </c>
      <c r="DN21" s="168" t="str">
        <f t="shared" si="46"/>
        <v/>
      </c>
      <c r="DO21" s="124"/>
      <c r="DP21" s="125"/>
      <c r="DQ21" s="126"/>
      <c r="DR21" s="126"/>
      <c r="DS21" s="126"/>
      <c r="DT21" s="130"/>
      <c r="DU21" s="167" t="str">
        <f>IFERROR((((COUNTIF('Elève (3ème2)'!DO21:DT21,"A"))*4)+((COUNTIF('Elève (3ème2)'!DO21:DT21,"B"))*3)+((COUNTIF('Elève (3ème2)'!DO21:DT21,"C"))*2)+((COUNTIF('Elève (3ème2)'!DO21:DT21,"D"))*1))/(COUNTA(DO21:DT21)),"")</f>
        <v/>
      </c>
      <c r="DV21" s="168" t="str">
        <f t="shared" si="47"/>
        <v/>
      </c>
      <c r="DW21" s="167">
        <f>IF(COUNT(DG21,DM21,DU21)=0,"",SUM(DG21,DM21,DU21)/COUNT(DG21,DM21,DU21))</f>
        <v>3</v>
      </c>
      <c r="DX21" s="192" t="str">
        <f t="shared" si="48"/>
        <v>B</v>
      </c>
      <c r="DY21" s="124" t="s">
        <v>28</v>
      </c>
      <c r="DZ21" s="125" t="s">
        <v>28</v>
      </c>
      <c r="EA21" s="126"/>
      <c r="EB21" s="167">
        <f>IFERROR((((COUNTIF('Elève (3ème2)'!DY21:EA21,"A"))*4)+((COUNTIF('Elève (3ème2)'!DY21:EA21,"B"))*3)+((COUNTIF('Elève (3ème2)'!DY21:EA21,"C"))*2)+((COUNTIF('Elève (3ème2)'!DY21:EA21,"D"))*1))/(COUNTA(DY21:EA21)),"")</f>
        <v>3</v>
      </c>
      <c r="EC21" s="168" t="str">
        <f t="shared" si="49"/>
        <v>B</v>
      </c>
      <c r="ED21" s="124"/>
      <c r="EE21" s="125"/>
      <c r="EF21" s="126"/>
      <c r="EG21" s="126"/>
      <c r="EH21" s="167" t="str">
        <f>IFERROR((((COUNTIF('Elève (3ème2)'!ED21:EG21,"A"))*4)+((COUNTIF('Elève (3ème2)'!ED21:EG21,"B"))*3)+((COUNTIF('Elève (3ème2)'!ED21:EG21,"C"))*2)+((COUNTIF('Elève (3ème2)'!ED21:EG21,"D"))*1))/(COUNTA(ED21:EG21)),"")</f>
        <v/>
      </c>
      <c r="EI21" s="168" t="str">
        <f t="shared" si="50"/>
        <v/>
      </c>
      <c r="EJ21" s="124"/>
      <c r="EK21" s="125"/>
      <c r="EL21" s="126"/>
      <c r="EM21" s="126"/>
      <c r="EN21" s="126"/>
      <c r="EO21" s="130"/>
      <c r="EP21" s="167" t="str">
        <f>IFERROR((((COUNTIF('Elève (3ème2)'!EJ21:EO21,"A"))*4)+((COUNTIF('Elève (3ème2)'!EJ21:EO21,"B"))*3)+((COUNTIF('Elève (3ème2)'!EJ21:EO21,"C"))*2)+((COUNTIF('Elève (3ème2)'!EJ21:EO21,"D"))*1))/(COUNTA(EJ21:EO21)),"")</f>
        <v/>
      </c>
      <c r="EQ21" s="168" t="str">
        <f t="shared" si="51"/>
        <v/>
      </c>
      <c r="ER21" s="167">
        <f>IF(COUNT(EB21,EH21,EP21)=0,"",SUM(EB21,EH21,EP21)/COUNT(EB21,EH21,EP21))</f>
        <v>3</v>
      </c>
      <c r="ES21" s="192" t="str">
        <f t="shared" si="52"/>
        <v>B</v>
      </c>
      <c r="ET21" s="124" t="s">
        <v>28</v>
      </c>
      <c r="EU21" s="125" t="s">
        <v>29</v>
      </c>
      <c r="EV21" s="126"/>
      <c r="EW21" s="167">
        <f>IFERROR((((COUNTIF('Elève (3ème2)'!ET21:EV21,"A"))*4)+((COUNTIF('Elève (3ème2)'!ET21:EV21,"B"))*3)+((COUNTIF('Elève (3ème2)'!ET21:EV21,"C"))*2)+((COUNTIF('Elève (3ème2)'!ET21:EV21,"D"))*1))/(COUNTA(ET21:EV21)),"")</f>
        <v>2.5</v>
      </c>
      <c r="EX21" s="168" t="str">
        <f t="shared" si="53"/>
        <v>C</v>
      </c>
      <c r="EY21" s="124"/>
      <c r="EZ21" s="125"/>
      <c r="FA21" s="126"/>
      <c r="FB21" s="126"/>
      <c r="FC21" s="167" t="str">
        <f>IFERROR((((COUNTIF('Elève (3ème2)'!EY21:FB21,"A"))*4)+((COUNTIF('Elève (3ème2)'!EY21:FB21,"B"))*3)+((COUNTIF('Elève (3ème2)'!EY21:FB21,"C"))*2)+((COUNTIF('Elève (3ème2)'!EY21:FB21,"D"))*1))/(COUNTA(EY21:FB21)),"")</f>
        <v/>
      </c>
      <c r="FD21" s="168" t="str">
        <f t="shared" si="54"/>
        <v/>
      </c>
      <c r="FE21" s="124"/>
      <c r="FF21" s="125"/>
      <c r="FG21" s="126"/>
      <c r="FH21" s="126"/>
      <c r="FI21" s="126"/>
      <c r="FJ21" s="130"/>
      <c r="FK21" s="167" t="str">
        <f>IFERROR((((COUNTIF('Elève (3ème2)'!FE21:FJ21,"A"))*4)+((COUNTIF('Elève (3ème2)'!FE21:FJ21,"B"))*3)+((COUNTIF('Elève (3ème2)'!FE21:FJ21,"C"))*2)+((COUNTIF('Elève (3ème2)'!FE21:FJ21,"D"))*1))/(COUNTA(FE21:FJ21)),"")</f>
        <v/>
      </c>
      <c r="FL21" s="168" t="str">
        <f t="shared" si="55"/>
        <v/>
      </c>
      <c r="FM21" s="167">
        <f>IF(COUNT(EW21,FC21,FK21)=0,"",SUM(EW21,FC21,FK21)/COUNT(EW21,FC21,FK21))</f>
        <v>2.5</v>
      </c>
      <c r="FN21" s="192" t="str">
        <f t="shared" si="56"/>
        <v>C</v>
      </c>
      <c r="FO21" s="124" t="s">
        <v>28</v>
      </c>
      <c r="FP21" s="125" t="s">
        <v>28</v>
      </c>
      <c r="FQ21" s="126"/>
      <c r="FR21" s="167">
        <f>IFERROR((((COUNTIF('Elève (3ème2)'!FO21:FQ21,"A"))*4)+((COUNTIF('Elève (3ème2)'!FO21:FQ21,"B"))*3)+((COUNTIF('Elève (3ème2)'!FO21:FQ21,"C"))*2)+((COUNTIF('Elève (3ème2)'!FO21:FQ21,"D"))*1))/(COUNTA(FO21:FQ21)),"")</f>
        <v>3</v>
      </c>
      <c r="FS21" s="168" t="str">
        <f t="shared" si="57"/>
        <v>B</v>
      </c>
      <c r="FT21" s="124"/>
      <c r="FU21" s="125"/>
      <c r="FV21" s="126"/>
      <c r="FW21" s="126"/>
      <c r="FX21" s="167" t="str">
        <f>IFERROR((((COUNTIF('Elève (3ème2)'!FT21:FW21,"A"))*4)+((COUNTIF('Elève (3ème2)'!FT21:FW21,"B"))*3)+((COUNTIF('Elève (3ème2)'!FT21:FW21,"C"))*2)+((COUNTIF('Elève (3ème2)'!FT21:FW21,"D"))*1))/(COUNTA(FT21:FW21)),"")</f>
        <v/>
      </c>
      <c r="FY21" s="168" t="str">
        <f t="shared" si="58"/>
        <v/>
      </c>
      <c r="FZ21" s="124"/>
      <c r="GA21" s="125"/>
      <c r="GB21" s="126"/>
      <c r="GC21" s="126"/>
      <c r="GD21" s="126"/>
      <c r="GE21" s="130"/>
      <c r="GF21" s="167" t="str">
        <f>IFERROR((((COUNTIF('Elève (3ème2)'!FZ21:GE21,"A"))*4)+((COUNTIF('Elève (3ème2)'!FZ21:GE21,"B"))*3)+((COUNTIF('Elève (3ème2)'!FZ21:GE21,"C"))*2)+((COUNTIF('Elève (3ème2)'!FZ21:GE21,"D"))*1))/(COUNTA(FZ21:GE21)),"")</f>
        <v/>
      </c>
      <c r="GG21" s="168" t="str">
        <f t="shared" si="59"/>
        <v/>
      </c>
      <c r="GH21" s="167">
        <f>IF(COUNT(FR21,FX21,GF21)=0,"",SUM(FR21,FX21,GF21)/COUNT(FR21,FX21,GF21))</f>
        <v>3</v>
      </c>
      <c r="GI21" s="192" t="str">
        <f t="shared" si="60"/>
        <v>B</v>
      </c>
      <c r="GJ21" s="124" t="s">
        <v>29</v>
      </c>
      <c r="GK21" s="125" t="s">
        <v>27</v>
      </c>
      <c r="GL21" s="126"/>
      <c r="GM21" s="167">
        <f>IFERROR((((COUNTIF('Elève (3ème2)'!GJ21:GL21,"A"))*4)+((COUNTIF('Elève (3ème2)'!GJ21:GL21,"B"))*3)+((COUNTIF('Elève (3ème2)'!GJ21:GL21,"C"))*2)+((COUNTIF('Elève (3ème2)'!GJ21:GL21,"D"))*1))/(COUNTA(GJ21:GL21)),"")</f>
        <v>3</v>
      </c>
      <c r="GN21" s="168" t="str">
        <f t="shared" si="61"/>
        <v>B</v>
      </c>
      <c r="GO21" s="124"/>
      <c r="GP21" s="125"/>
      <c r="GQ21" s="126"/>
      <c r="GR21" s="126"/>
      <c r="GS21" s="167" t="str">
        <f>IFERROR((((COUNTIF('Elève (3ème2)'!GO21:GR21,"A"))*4)+((COUNTIF('Elève (3ème2)'!GO21:GR21,"B"))*3)+((COUNTIF('Elève (3ème2)'!GO21:GR21,"C"))*2)+((COUNTIF('Elève (3ème2)'!GO21:GR21,"D"))*1))/(COUNTA(GO21:GR21)),"")</f>
        <v/>
      </c>
      <c r="GT21" s="168" t="str">
        <f t="shared" si="62"/>
        <v/>
      </c>
      <c r="GU21" s="124"/>
      <c r="GV21" s="125"/>
      <c r="GW21" s="126"/>
      <c r="GX21" s="126"/>
      <c r="GY21" s="126"/>
      <c r="GZ21" s="130"/>
      <c r="HA21" s="167" t="str">
        <f>IFERROR((((COUNTIF('Elève (3ème2)'!GU21:GZ21,"A"))*4)+((COUNTIF('Elève (3ème2)'!GU21:GZ21,"B"))*3)+((COUNTIF('Elève (3ème2)'!GU21:GZ21,"C"))*2)+((COUNTIF('Elève (3ème2)'!GU21:GZ21,"D"))*1))/(COUNTA(GU21:GZ21)),"")</f>
        <v/>
      </c>
      <c r="HB21" s="168" t="str">
        <f t="shared" si="63"/>
        <v/>
      </c>
      <c r="HC21" s="167">
        <f>IF(COUNT(GM21,GS21,HA21)=0,"",SUM(GM21,GS21,HA21)/COUNT(GM21,GS21,HA21))</f>
        <v>3</v>
      </c>
      <c r="HD21" s="192" t="str">
        <f t="shared" si="64"/>
        <v>B</v>
      </c>
      <c r="HE21" s="124" t="s">
        <v>28</v>
      </c>
      <c r="HF21" s="125" t="s">
        <v>28</v>
      </c>
      <c r="HG21" s="126"/>
      <c r="HH21" s="167">
        <f>IFERROR((((COUNTIF('Elève (3ème2)'!HE21:HG21,"A"))*4)+((COUNTIF('Elève (3ème2)'!HE21:HG21,"B"))*3)+((COUNTIF('Elève (3ème2)'!HE21:HG21,"C"))*2)+((COUNTIF('Elève (3ème2)'!HE21:HG21,"D"))*1))/(COUNTA(HE21:HG21)),"")</f>
        <v>3</v>
      </c>
      <c r="HI21" s="168" t="str">
        <f t="shared" si="65"/>
        <v>B</v>
      </c>
      <c r="HJ21" s="124"/>
      <c r="HK21" s="125"/>
      <c r="HL21" s="126"/>
      <c r="HM21" s="126"/>
      <c r="HN21" s="167" t="str">
        <f>IFERROR((((COUNTIF('Elève (3ème2)'!HJ21:HM21,"A"))*4)+((COUNTIF('Elève (3ème2)'!HJ21:HM21,"B"))*3)+((COUNTIF('Elève (3ème2)'!HJ21:HM21,"C"))*2)+((COUNTIF('Elève (3ème2)'!HJ21:HM21,"D"))*1))/(COUNTA(HJ21:HM21)),"")</f>
        <v/>
      </c>
      <c r="HO21" s="168" t="str">
        <f t="shared" si="66"/>
        <v/>
      </c>
      <c r="HP21" s="124"/>
      <c r="HQ21" s="125"/>
      <c r="HR21" s="126"/>
      <c r="HS21" s="126"/>
      <c r="HT21" s="126"/>
      <c r="HU21" s="130"/>
      <c r="HV21" s="167" t="str">
        <f>IFERROR((((COUNTIF('Elève (3ème2)'!HP21:HU21,"A"))*4)+((COUNTIF('Elève (3ème2)'!HP21:HU21,"B"))*3)+((COUNTIF('Elève (3ème2)'!HP21:HU21,"C"))*2)+((COUNTIF('Elève (3ème2)'!HP21:HU21,"D"))*1))/(COUNTA(HP21:HU21)),"")</f>
        <v/>
      </c>
      <c r="HW21" s="168" t="str">
        <f t="shared" si="67"/>
        <v/>
      </c>
      <c r="HX21" s="167">
        <f>IF(COUNT(HH21,HN21,HV21)=0,"",SUM(HH21,HN21,HV21)/COUNT(HH21,HN21,HV21))</f>
        <v>3</v>
      </c>
      <c r="HY21" s="192" t="str">
        <f t="shared" si="68"/>
        <v>B</v>
      </c>
      <c r="HZ21" s="124" t="s">
        <v>27</v>
      </c>
      <c r="IA21" s="125" t="s">
        <v>29</v>
      </c>
      <c r="IB21" s="126"/>
      <c r="IC21" s="167">
        <f>IFERROR((((COUNTIF('Elève (3ème2)'!HZ21:IB21,"A"))*4)+((COUNTIF('Elève (3ème2)'!HZ21:IB21,"B"))*3)+((COUNTIF('Elève (3ème2)'!HZ21:IB21,"C"))*2)+((COUNTIF('Elève (3ème2)'!HZ21:IB21,"D"))*1))/(COUNTA(HZ21:IB21)),"")</f>
        <v>3</v>
      </c>
      <c r="ID21" s="168" t="str">
        <f t="shared" si="69"/>
        <v>B</v>
      </c>
      <c r="IE21" s="124"/>
      <c r="IF21" s="125"/>
      <c r="IG21" s="126"/>
      <c r="IH21" s="126"/>
      <c r="II21" s="167" t="str">
        <f>IFERROR((((COUNTIF('Elève (3ème2)'!IE21:IH21,"A"))*4)+((COUNTIF('Elève (3ème2)'!IE21:IH21,"B"))*3)+((COUNTIF('Elève (3ème2)'!IE21:IH21,"C"))*2)+((COUNTIF('Elève (3ème2)'!IE21:IH21,"D"))*1))/(COUNTA(IE21:IH21)),"")</f>
        <v/>
      </c>
      <c r="IJ21" s="168" t="str">
        <f t="shared" si="70"/>
        <v/>
      </c>
      <c r="IK21" s="124"/>
      <c r="IL21" s="125"/>
      <c r="IM21" s="126"/>
      <c r="IN21" s="126"/>
      <c r="IO21" s="126"/>
      <c r="IP21" s="130"/>
      <c r="IQ21" s="167" t="str">
        <f>IFERROR((((COUNTIF('Elève (3ème2)'!IK21:IP21,"A"))*4)+((COUNTIF('Elève (3ème2)'!IK21:IP21,"B"))*3)+((COUNTIF('Elève (3ème2)'!IK21:IP21,"C"))*2)+((COUNTIF('Elève (3ème2)'!IK21:IP21,"D"))*1))/(COUNTA(IK21:IP21)),"")</f>
        <v/>
      </c>
      <c r="IR21" s="168" t="str">
        <f t="shared" si="71"/>
        <v/>
      </c>
      <c r="IS21" s="167">
        <f>IF(COUNT(IC21,II21,IQ21)=0,"",SUM(IC21,II21,IQ21)/COUNT(IC21,II21,IQ21))</f>
        <v>3</v>
      </c>
      <c r="IT21" s="192" t="str">
        <f t="shared" si="72"/>
        <v>B</v>
      </c>
      <c r="IU21" s="124" t="s">
        <v>28</v>
      </c>
      <c r="IV21" s="125" t="s">
        <v>28</v>
      </c>
      <c r="IW21" s="126"/>
      <c r="IX21" s="167">
        <f>IFERROR((((COUNTIF('Elève (3ème2)'!IU21:IW21,"A"))*4)+((COUNTIF('Elève (3ème2)'!IU21:IW21,"B"))*3)+((COUNTIF('Elève (3ème2)'!IU21:IW21,"C"))*2)+((COUNTIF('Elève (3ème2)'!IU21:IW21,"D"))*1))/(COUNTA(IU21:IW21)),"")</f>
        <v>3</v>
      </c>
      <c r="IY21" s="168" t="str">
        <f t="shared" si="73"/>
        <v>B</v>
      </c>
      <c r="IZ21" s="124"/>
      <c r="JA21" s="125"/>
      <c r="JB21" s="126"/>
      <c r="JC21" s="126"/>
      <c r="JD21" s="167" t="str">
        <f>IFERROR((((COUNTIF('Elève (3ème2)'!IZ21:JC21,"A"))*4)+((COUNTIF('Elève (3ème2)'!IZ21:JC21,"B"))*3)+((COUNTIF('Elève (3ème2)'!IZ21:JC21,"C"))*2)+((COUNTIF('Elève (3ème2)'!IZ21:JC21,"D"))*1))/(COUNTA(IZ21:JC21)),"")</f>
        <v/>
      </c>
      <c r="JE21" s="168" t="str">
        <f t="shared" si="74"/>
        <v/>
      </c>
      <c r="JF21" s="124"/>
      <c r="JG21" s="125"/>
      <c r="JH21" s="126"/>
      <c r="JI21" s="126"/>
      <c r="JJ21" s="126"/>
      <c r="JK21" s="130"/>
      <c r="JL21" s="167" t="str">
        <f>IFERROR((((COUNTIF('Elève (3ème2)'!JF21:JK21,"A"))*4)+((COUNTIF('Elève (3ème2)'!JF21:JK21,"B"))*3)+((COUNTIF('Elève (3ème2)'!JF21:JK21,"C"))*2)+((COUNTIF('Elève (3ème2)'!JF21:JK21,"D"))*1))/(COUNTA(JF21:JK21)),"")</f>
        <v/>
      </c>
      <c r="JM21" s="168" t="str">
        <f t="shared" si="75"/>
        <v/>
      </c>
      <c r="JN21" s="167">
        <f>IF(COUNT(IX21,JD21,JL21)=0,"",SUM(IX21,JD21,JL21)/COUNT(IX21,JD21,JL21))</f>
        <v>3</v>
      </c>
      <c r="JO21" s="192" t="str">
        <f t="shared" si="76"/>
        <v>B</v>
      </c>
      <c r="JP21" s="124" t="s">
        <v>27</v>
      </c>
      <c r="JQ21" s="125" t="s">
        <v>28</v>
      </c>
      <c r="JR21" s="126"/>
      <c r="JS21" s="167">
        <f>IFERROR((((COUNTIF('Elève (3ème2)'!JP21:JR21,"A"))*4)+((COUNTIF('Elève (3ème2)'!JP21:JR21,"B"))*3)+((COUNTIF('Elève (3ème2)'!JP21:JR21,"C"))*2)+((COUNTIF('Elève (3ème2)'!JP21:JR21,"D"))*1))/(COUNTA(JP21:JR21)),"")</f>
        <v>3.5</v>
      </c>
      <c r="JT21" s="168" t="str">
        <f t="shared" si="77"/>
        <v>B</v>
      </c>
      <c r="JU21" s="124"/>
      <c r="JV21" s="125"/>
      <c r="JW21" s="126"/>
      <c r="JX21" s="126"/>
      <c r="JY21" s="167" t="str">
        <f>IFERROR((((COUNTIF('Elève (3ème2)'!JU21:JX21,"A"))*4)+((COUNTIF('Elève (3ème2)'!JU21:JX21,"B"))*3)+((COUNTIF('Elève (3ème2)'!JU21:JX21,"C"))*2)+((COUNTIF('Elève (3ème2)'!JU21:JX21,"D"))*1))/(COUNTA(JU21:JX21)),"")</f>
        <v/>
      </c>
      <c r="JZ21" s="168" t="str">
        <f t="shared" si="78"/>
        <v/>
      </c>
      <c r="KA21" s="124"/>
      <c r="KB21" s="125"/>
      <c r="KC21" s="126"/>
      <c r="KD21" s="126"/>
      <c r="KE21" s="126"/>
      <c r="KF21" s="130"/>
      <c r="KG21" s="167" t="str">
        <f>IFERROR((((COUNTIF('Elève (3ème2)'!KA21:KF21,"A"))*4)+((COUNTIF('Elève (3ème2)'!KA21:KF21,"B"))*3)+((COUNTIF('Elève (3ème2)'!KA21:KF21,"C"))*2)+((COUNTIF('Elève (3ème2)'!KA21:KF21,"D"))*1))/(COUNTA(KA21:KF21)),"")</f>
        <v/>
      </c>
      <c r="KH21" s="168" t="str">
        <f t="shared" si="79"/>
        <v/>
      </c>
      <c r="KI21" s="167">
        <f>IF(COUNT(JS21,JY21,KG21)=0,"",SUM(JS21,JY21,KG21)/COUNT(JS21,JY21,KG21))</f>
        <v>3.5</v>
      </c>
      <c r="KJ21" s="192" t="str">
        <f t="shared" si="80"/>
        <v>B</v>
      </c>
      <c r="KK21" s="124" t="s">
        <v>30</v>
      </c>
      <c r="KL21" s="125" t="s">
        <v>28</v>
      </c>
      <c r="KM21" s="126"/>
      <c r="KN21" s="167">
        <f>IFERROR((((COUNTIF('Elève (3ème2)'!KK21:KM21,"A"))*4)+((COUNTIF('Elève (3ème2)'!KK21:KM21,"B"))*3)+((COUNTIF('Elève (3ème2)'!KK21:KM21,"C"))*2)+((COUNTIF('Elève (3ème2)'!KK21:KM21,"D"))*1))/(COUNTA(KK21:KM21)),"")</f>
        <v>2</v>
      </c>
      <c r="KO21" s="168" t="str">
        <f t="shared" si="81"/>
        <v>C</v>
      </c>
      <c r="KP21" s="124"/>
      <c r="KQ21" s="125"/>
      <c r="KR21" s="126"/>
      <c r="KS21" s="126"/>
      <c r="KT21" s="167" t="str">
        <f>IFERROR((((COUNTIF('Elève (3ème2)'!KP21:KS21,"A"))*4)+((COUNTIF('Elève (3ème2)'!KP21:KS21,"B"))*3)+((COUNTIF('Elève (3ème2)'!KP21:KS21,"C"))*2)+((COUNTIF('Elève (3ème2)'!KP21:KS21,"D"))*1))/(COUNTA(KP21:KS21)),"")</f>
        <v/>
      </c>
      <c r="KU21" s="168" t="str">
        <f t="shared" si="82"/>
        <v/>
      </c>
      <c r="KV21" s="124"/>
      <c r="KW21" s="125"/>
      <c r="KX21" s="126"/>
      <c r="KY21" s="126"/>
      <c r="KZ21" s="126"/>
      <c r="LA21" s="130"/>
      <c r="LB21" s="167" t="str">
        <f>IFERROR((((COUNTIF('Elève (3ème2)'!KV21:LA21,"A"))*4)+((COUNTIF('Elève (3ème2)'!KV21:LA21,"B"))*3)+((COUNTIF('Elève (3ème2)'!KV21:LA21,"C"))*2)+((COUNTIF('Elève (3ème2)'!KV21:LA21,"D"))*1))/(COUNTA(KV21:LA21)),"")</f>
        <v/>
      </c>
      <c r="LC21" s="168" t="str">
        <f t="shared" si="83"/>
        <v/>
      </c>
      <c r="LD21" s="167">
        <f>IF(COUNT(KN21,KT21,LB21)=0,"",SUM(KN21,KT21,LB21)/COUNT(KN21,KT21,LB21))</f>
        <v>2</v>
      </c>
      <c r="LE21" s="192" t="str">
        <f t="shared" si="84"/>
        <v>C</v>
      </c>
      <c r="LF21" s="124" t="s">
        <v>27</v>
      </c>
      <c r="LG21" s="125" t="s">
        <v>29</v>
      </c>
      <c r="LH21" s="126"/>
      <c r="LI21" s="167">
        <f>IFERROR((((COUNTIF('Elève (3ème2)'!LF21:LH21,"A"))*4)+((COUNTIF('Elève (3ème2)'!LF21:LH21,"B"))*3)+((COUNTIF('Elève (3ème2)'!LF21:LH21,"C"))*2)+((COUNTIF('Elève (3ème2)'!LF21:LH21,"D"))*1))/(COUNTA(LF21:LH21)),"")</f>
        <v>3</v>
      </c>
      <c r="LJ21" s="168" t="str">
        <f t="shared" si="85"/>
        <v>B</v>
      </c>
      <c r="LK21" s="124"/>
      <c r="LL21" s="125"/>
      <c r="LM21" s="126"/>
      <c r="LN21" s="126"/>
      <c r="LO21" s="167" t="str">
        <f>IFERROR((((COUNTIF('Elève (3ème2)'!LK21:LN21,"A"))*4)+((COUNTIF('Elève (3ème2)'!LK21:LN21,"B"))*3)+((COUNTIF('Elève (3ème2)'!LK21:LN21,"C"))*2)+((COUNTIF('Elève (3ème2)'!LK21:LN21,"D"))*1))/(COUNTA(LK21:LN21)),"")</f>
        <v/>
      </c>
      <c r="LP21" s="168" t="str">
        <f t="shared" si="86"/>
        <v/>
      </c>
      <c r="LQ21" s="124"/>
      <c r="LR21" s="125"/>
      <c r="LS21" s="126"/>
      <c r="LT21" s="126"/>
      <c r="LU21" s="126"/>
      <c r="LV21" s="130"/>
      <c r="LW21" s="167" t="str">
        <f>IFERROR((((COUNTIF('Elève (3ème2)'!LQ21:LV21,"A"))*4)+((COUNTIF('Elève (3ème2)'!LQ21:LV21,"B"))*3)+((COUNTIF('Elève (3ème2)'!LQ21:LV21,"C"))*2)+((COUNTIF('Elève (3ème2)'!LQ21:LV21,"D"))*1))/(COUNTA(LQ21:LV21)),"")</f>
        <v/>
      </c>
      <c r="LX21" s="168" t="str">
        <f t="shared" si="87"/>
        <v/>
      </c>
      <c r="LY21" s="167">
        <f>IF(COUNT(LI21,LO21,LW21)=0,"",SUM(LI21,LO21,LW21)/COUNT(LI21,LO21,LW21))</f>
        <v>3</v>
      </c>
      <c r="LZ21" s="192" t="str">
        <f t="shared" si="88"/>
        <v>B</v>
      </c>
      <c r="MA21" s="124" t="s">
        <v>29</v>
      </c>
      <c r="MB21" s="125" t="s">
        <v>28</v>
      </c>
      <c r="MC21" s="126"/>
      <c r="MD21" s="167">
        <f>IFERROR((((COUNTIF('Elève (3ème2)'!MA21:MC21,"A"))*4)+((COUNTIF('Elève (3ème2)'!MA21:MC21,"B"))*3)+((COUNTIF('Elève (3ème2)'!MA21:MC21,"C"))*2)+((COUNTIF('Elève (3ème2)'!MA21:MC21,"D"))*1))/(COUNTA(MA21:MC21)),"")</f>
        <v>2.5</v>
      </c>
      <c r="ME21" s="168" t="str">
        <f t="shared" si="89"/>
        <v>C</v>
      </c>
      <c r="MF21" s="124"/>
      <c r="MG21" s="125"/>
      <c r="MH21" s="126"/>
      <c r="MI21" s="126"/>
      <c r="MJ21" s="167" t="str">
        <f>IFERROR((((COUNTIF('Elève (3ème2)'!MF21:MI21,"A"))*4)+((COUNTIF('Elève (3ème2)'!MF21:MI21,"B"))*3)+((COUNTIF('Elève (3ème2)'!MF21:MI21,"C"))*2)+((COUNTIF('Elève (3ème2)'!MF21:MI21,"D"))*1))/(COUNTA(MF21:MI21)),"")</f>
        <v/>
      </c>
      <c r="MK21" s="168" t="str">
        <f t="shared" si="90"/>
        <v/>
      </c>
      <c r="ML21" s="124"/>
      <c r="MM21" s="125"/>
      <c r="MN21" s="126"/>
      <c r="MO21" s="126"/>
      <c r="MP21" s="126"/>
      <c r="MQ21" s="130"/>
      <c r="MR21" s="167" t="str">
        <f>IFERROR((((COUNTIF('Elève (3ème2)'!ML21:MQ21,"A"))*4)+((COUNTIF('Elève (3ème2)'!ML21:MQ21,"B"))*3)+((COUNTIF('Elève (3ème2)'!ML21:MQ21,"C"))*2)+((COUNTIF('Elève (3ème2)'!ML21:MQ21,"D"))*1))/(COUNTA(ML21:MQ21)),"")</f>
        <v/>
      </c>
      <c r="MS21" s="168" t="str">
        <f t="shared" si="91"/>
        <v/>
      </c>
      <c r="MT21" s="167">
        <f>IF(COUNT(MD21,MJ21,MR21)=0,"",SUM(MD21,MJ21,MR21)/COUNT(MD21,MJ21,MR21))</f>
        <v>2.5</v>
      </c>
      <c r="MU21" s="192" t="str">
        <f t="shared" si="92"/>
        <v>C</v>
      </c>
      <c r="MV21" s="124" t="s">
        <v>29</v>
      </c>
      <c r="MW21" s="125" t="s">
        <v>30</v>
      </c>
      <c r="MX21" s="126"/>
      <c r="MY21" s="167">
        <f>IFERROR((((COUNTIF('Elève (3ème2)'!MV21:MX21,"A"))*4)+((COUNTIF('Elève (3ème2)'!MV21:MX21,"B"))*3)+((COUNTIF('Elève (3ème2)'!MV21:MX21,"C"))*2)+((COUNTIF('Elève (3ème2)'!MV21:MX21,"D"))*1))/(COUNTA(MV21:MX21)),"")</f>
        <v>1.5</v>
      </c>
      <c r="MZ21" s="168" t="str">
        <f t="shared" si="93"/>
        <v>D</v>
      </c>
      <c r="NA21" s="124"/>
      <c r="NB21" s="125"/>
      <c r="NC21" s="126"/>
      <c r="ND21" s="126"/>
      <c r="NE21" s="167" t="str">
        <f>IFERROR((((COUNTIF('Elève (3ème2)'!NA21:ND21,"A"))*4)+((COUNTIF('Elève (3ème2)'!NA21:ND21,"B"))*3)+((COUNTIF('Elève (3ème2)'!NA21:ND21,"C"))*2)+((COUNTIF('Elève (3ème2)'!NA21:ND21,"D"))*1))/(COUNTA(NA21:ND21)),"")</f>
        <v/>
      </c>
      <c r="NF21" s="168" t="str">
        <f t="shared" si="94"/>
        <v/>
      </c>
      <c r="NG21" s="124"/>
      <c r="NH21" s="125"/>
      <c r="NI21" s="126"/>
      <c r="NJ21" s="126"/>
      <c r="NK21" s="126"/>
      <c r="NL21" s="130"/>
      <c r="NM21" s="167" t="str">
        <f>IFERROR((((COUNTIF('Elève (3ème2)'!NG21:NL21,"A"))*4)+((COUNTIF('Elève (3ème2)'!NG21:NL21,"B"))*3)+((COUNTIF('Elève (3ème2)'!NG21:NL21,"C"))*2)+((COUNTIF('Elève (3ème2)'!NG21:NL21,"D"))*1))/(COUNTA(NG21:NL21)),"")</f>
        <v/>
      </c>
      <c r="NN21" s="168" t="str">
        <f t="shared" si="95"/>
        <v/>
      </c>
      <c r="NO21" s="167">
        <f>IF(COUNT(MY21,NE21,NM21)=0,"",SUM(MY21,NE21,NM21)/COUNT(MY21,NE21,NM21))</f>
        <v>1.5</v>
      </c>
      <c r="NP21" s="192" t="str">
        <f t="shared" si="96"/>
        <v>D</v>
      </c>
      <c r="NQ21" s="124" t="s">
        <v>29</v>
      </c>
      <c r="NR21" s="125" t="s">
        <v>28</v>
      </c>
      <c r="NS21" s="126"/>
      <c r="NT21" s="167">
        <f>IFERROR((((COUNTIF('Elève (3ème2)'!NQ21:NS21,"A"))*4)+((COUNTIF('Elève (3ème2)'!NQ21:NS21,"B"))*3)+((COUNTIF('Elève (3ème2)'!NQ21:NS21,"C"))*2)+((COUNTIF('Elève (3ème2)'!NQ21:NS21,"D"))*1))/(COUNTA(NQ21:NS21)),"")</f>
        <v>2.5</v>
      </c>
      <c r="NU21" s="168" t="str">
        <f t="shared" si="97"/>
        <v>C</v>
      </c>
      <c r="NV21" s="124"/>
      <c r="NW21" s="125"/>
      <c r="NX21" s="126"/>
      <c r="NY21" s="126"/>
      <c r="NZ21" s="167" t="str">
        <f>IFERROR((((COUNTIF('Elève (3ème2)'!NV21:NY21,"A"))*4)+((COUNTIF('Elève (3ème2)'!NV21:NY21,"B"))*3)+((COUNTIF('Elève (3ème2)'!NV21:NY21,"C"))*2)+((COUNTIF('Elève (3ème2)'!NV21:NY21,"D"))*1))/(COUNTA(NV21:NY21)),"")</f>
        <v/>
      </c>
      <c r="OA21" s="168" t="str">
        <f t="shared" si="98"/>
        <v/>
      </c>
      <c r="OB21" s="124"/>
      <c r="OC21" s="125"/>
      <c r="OD21" s="126"/>
      <c r="OE21" s="126"/>
      <c r="OF21" s="126"/>
      <c r="OG21" s="130"/>
      <c r="OH21" s="167" t="str">
        <f>IFERROR((((COUNTIF('Elève (3ème2)'!OB21:OG21,"A"))*4)+((COUNTIF('Elève (3ème2)'!OB21:OG21,"B"))*3)+((COUNTIF('Elève (3ème2)'!OB21:OG21,"C"))*2)+((COUNTIF('Elève (3ème2)'!OB21:OG21,"D"))*1))/(COUNTA(OB21:OG21)),"")</f>
        <v/>
      </c>
      <c r="OI21" s="168" t="str">
        <f t="shared" si="99"/>
        <v/>
      </c>
      <c r="OJ21" s="167">
        <f>IF(COUNT(NT21,NZ21,OH21)=0,"",SUM(NT21,NZ21,OH21)/COUNT(NT21,NZ21,OH21))</f>
        <v>2.5</v>
      </c>
      <c r="OK21" s="192" t="str">
        <f t="shared" si="100"/>
        <v>C</v>
      </c>
      <c r="OL21" s="124" t="s">
        <v>27</v>
      </c>
      <c r="OM21" s="125" t="s">
        <v>28</v>
      </c>
      <c r="ON21" s="126"/>
      <c r="OO21" s="167">
        <f>IFERROR((((COUNTIF('Elève (3ème2)'!OL21:ON21,"A"))*4)+((COUNTIF('Elève (3ème2)'!OL21:ON21,"B"))*3)+((COUNTIF('Elève (3ème2)'!OL21:ON21,"C"))*2)+((COUNTIF('Elève (3ème2)'!OL21:ON21,"D"))*1))/(COUNTA(OL21:ON21)),"")</f>
        <v>3.5</v>
      </c>
      <c r="OP21" s="168" t="str">
        <f t="shared" si="101"/>
        <v>B</v>
      </c>
      <c r="OQ21" s="124"/>
      <c r="OR21" s="125"/>
      <c r="OS21" s="126"/>
      <c r="OT21" s="126"/>
      <c r="OU21" s="167" t="str">
        <f>IFERROR((((COUNTIF('Elève (3ème2)'!OQ21:OT21,"A"))*4)+((COUNTIF('Elève (3ème2)'!OQ21:OT21,"B"))*3)+((COUNTIF('Elève (3ème2)'!OQ21:OT21,"C"))*2)+((COUNTIF('Elève (3ème2)'!OQ21:OT21,"D"))*1))/(COUNTA(OQ21:OT21)),"")</f>
        <v/>
      </c>
      <c r="OV21" s="168" t="str">
        <f t="shared" si="102"/>
        <v/>
      </c>
      <c r="OW21" s="124"/>
      <c r="OX21" s="125"/>
      <c r="OY21" s="126"/>
      <c r="OZ21" s="126"/>
      <c r="PA21" s="126"/>
      <c r="PB21" s="130"/>
      <c r="PC21" s="167" t="str">
        <f>IFERROR((((COUNTIF('Elève (3ème2)'!OW21:PB21,"A"))*4)+((COUNTIF('Elève (3ème2)'!OW21:PB21,"B"))*3)+((COUNTIF('Elève (3ème2)'!OW21:PB21,"C"))*2)+((COUNTIF('Elève (3ème2)'!OW21:PB21,"D"))*1))/(COUNTA(OW21:PB21)),"")</f>
        <v/>
      </c>
      <c r="PD21" s="168" t="str">
        <f t="shared" si="103"/>
        <v/>
      </c>
      <c r="PE21" s="167">
        <f>IF(COUNT(OO21,OU21,PC21)=0,"",SUM(OO21,OU21,PC21)/COUNT(OO21,OU21,PC21))</f>
        <v>3.5</v>
      </c>
      <c r="PF21" s="192" t="str">
        <f t="shared" si="104"/>
        <v>B</v>
      </c>
      <c r="PG21" s="124" t="s">
        <v>29</v>
      </c>
      <c r="PH21" s="125" t="s">
        <v>28</v>
      </c>
      <c r="PI21" s="126"/>
      <c r="PJ21" s="167">
        <f>IFERROR((((COUNTIF('Elève (3ème2)'!PG21:PI21,"A"))*4)+((COUNTIF('Elève (3ème2)'!PG21:PI21,"B"))*3)+((COUNTIF('Elève (3ème2)'!PG21:PI21,"C"))*2)+((COUNTIF('Elève (3ème2)'!PG21:PI21,"D"))*1))/(COUNTA(PG21:PI21)),"")</f>
        <v>2.5</v>
      </c>
      <c r="PK21" s="168" t="str">
        <f t="shared" si="105"/>
        <v>C</v>
      </c>
      <c r="PL21" s="124"/>
      <c r="PM21" s="125"/>
      <c r="PN21" s="126"/>
      <c r="PO21" s="126"/>
      <c r="PP21" s="167" t="str">
        <f>IFERROR((((COUNTIF('Elève (3ème2)'!PL21:PO21,"A"))*4)+((COUNTIF('Elève (3ème2)'!PL21:PO21,"B"))*3)+((COUNTIF('Elève (3ème2)'!PL21:PO21,"C"))*2)+((COUNTIF('Elève (3ème2)'!PL21:PO21,"D"))*1))/(COUNTA(PL21:PO21)),"")</f>
        <v/>
      </c>
      <c r="PQ21" s="168" t="str">
        <f t="shared" si="106"/>
        <v/>
      </c>
      <c r="PR21" s="124"/>
      <c r="PS21" s="125"/>
      <c r="PT21" s="126"/>
      <c r="PU21" s="126"/>
      <c r="PV21" s="126"/>
      <c r="PW21" s="130"/>
      <c r="PX21" s="167" t="str">
        <f>IFERROR((((COUNTIF('Elève (3ème2)'!PR21:PW21,"A"))*4)+((COUNTIF('Elève (3ème2)'!PR21:PW21,"B"))*3)+((COUNTIF('Elève (3ème2)'!PR21:PW21,"C"))*2)+((COUNTIF('Elève (3ème2)'!PR21:PW21,"D"))*1))/(COUNTA(PR21:PW21)),"")</f>
        <v/>
      </c>
      <c r="PY21" s="168" t="str">
        <f t="shared" si="107"/>
        <v/>
      </c>
      <c r="PZ21" s="167">
        <f>IF(COUNT(PJ21,PP21,PX21)=0,"",SUM(PJ21,PP21,PX21)/COUNT(PJ21,PP21,PX21))</f>
        <v>2.5</v>
      </c>
      <c r="QA21" s="192" t="str">
        <f t="shared" si="108"/>
        <v>C</v>
      </c>
      <c r="QB21" s="124" t="s">
        <v>29</v>
      </c>
      <c r="QC21" s="125" t="s">
        <v>29</v>
      </c>
      <c r="QD21" s="126"/>
      <c r="QE21" s="167">
        <f>IFERROR((((COUNTIF('Elève (3ème2)'!QB21:QD21,"A"))*4)+((COUNTIF('Elève (3ème2)'!QB21:QD21,"B"))*3)+((COUNTIF('Elève (3ème2)'!QB21:QD21,"C"))*2)+((COUNTIF('Elève (3ème2)'!QB21:QD21,"D"))*1))/(COUNTA(QB21:QD21)),"")</f>
        <v>2</v>
      </c>
      <c r="QF21" s="168" t="str">
        <f t="shared" si="109"/>
        <v>C</v>
      </c>
      <c r="QG21" s="124"/>
      <c r="QH21" s="125"/>
      <c r="QI21" s="126"/>
      <c r="QJ21" s="126"/>
      <c r="QK21" s="167" t="str">
        <f>IFERROR((((COUNTIF('Elève (3ème2)'!QG21:QJ21,"A"))*4)+((COUNTIF('Elève (3ème2)'!QG21:QJ21,"B"))*3)+((COUNTIF('Elève (3ème2)'!QG21:QJ21,"C"))*2)+((COUNTIF('Elève (3ème2)'!QG21:QJ21,"D"))*1))/(COUNTA(QG21:QJ21)),"")</f>
        <v/>
      </c>
      <c r="QL21" s="168" t="str">
        <f t="shared" si="110"/>
        <v/>
      </c>
      <c r="QM21" s="124"/>
      <c r="QN21" s="125"/>
      <c r="QO21" s="126"/>
      <c r="QP21" s="126"/>
      <c r="QQ21" s="126"/>
      <c r="QR21" s="130"/>
      <c r="QS21" s="167" t="str">
        <f>IFERROR((((COUNTIF('Elève (3ème2)'!QM21:QR21,"A"))*4)+((COUNTIF('Elève (3ème2)'!QM21:QR21,"B"))*3)+((COUNTIF('Elève (3ème2)'!QM21:QR21,"C"))*2)+((COUNTIF('Elève (3ème2)'!QM21:QR21,"D"))*1))/(COUNTA(QM21:QR21)),"")</f>
        <v/>
      </c>
      <c r="QT21" s="168" t="str">
        <f t="shared" si="111"/>
        <v/>
      </c>
      <c r="QU21" s="167">
        <f>IF(COUNT(QE21,QK21,QS21)=0,"",SUM(QE21,QK21,QS21)/COUNT(QE21,QK21,QS21))</f>
        <v>2</v>
      </c>
      <c r="QV21" s="192" t="str">
        <f t="shared" si="112"/>
        <v>C</v>
      </c>
      <c r="QW21" s="124" t="s">
        <v>27</v>
      </c>
      <c r="QX21" s="125" t="s">
        <v>28</v>
      </c>
      <c r="QY21" s="126"/>
      <c r="QZ21" s="167">
        <f>IFERROR((((COUNTIF('Elève (3ème2)'!QW21:QY21,"A"))*4)+((COUNTIF('Elève (3ème2)'!QW21:QY21,"B"))*3)+((COUNTIF('Elève (3ème2)'!QW21:QY21,"C"))*2)+((COUNTIF('Elève (3ème2)'!QW21:QY21,"D"))*1))/(COUNTA(QW21:QY21)),"")</f>
        <v>3.5</v>
      </c>
      <c r="RA21" s="168" t="str">
        <f t="shared" si="113"/>
        <v>B</v>
      </c>
      <c r="RB21" s="124"/>
      <c r="RC21" s="125"/>
      <c r="RD21" s="126"/>
      <c r="RE21" s="126"/>
      <c r="RF21" s="167" t="str">
        <f>IFERROR((((COUNTIF('Elève (3ème2)'!RB21:RE21,"A"))*4)+((COUNTIF('Elève (3ème2)'!RB21:RE21,"B"))*3)+((COUNTIF('Elève (3ème2)'!RB21:RE21,"C"))*2)+((COUNTIF('Elève (3ème2)'!RB21:RE21,"D"))*1))/(COUNTA(RB21:RE21)),"")</f>
        <v/>
      </c>
      <c r="RG21" s="168" t="str">
        <f t="shared" si="114"/>
        <v/>
      </c>
      <c r="RH21" s="124"/>
      <c r="RI21" s="125"/>
      <c r="RJ21" s="126"/>
      <c r="RK21" s="126"/>
      <c r="RL21" s="126"/>
      <c r="RM21" s="130"/>
      <c r="RN21" s="167" t="str">
        <f>IFERROR((((COUNTIF('Elève (3ème2)'!RH21:RM21,"A"))*4)+((COUNTIF('Elève (3ème2)'!RH21:RM21,"B"))*3)+((COUNTIF('Elève (3ème2)'!RH21:RM21,"C"))*2)+((COUNTIF('Elève (3ème2)'!RH21:RM21,"D"))*1))/(COUNTA(RH21:RM21)),"")</f>
        <v/>
      </c>
      <c r="RO21" s="168" t="str">
        <f t="shared" si="115"/>
        <v/>
      </c>
      <c r="RP21" s="167">
        <f>IF(COUNT(QZ21,RF21,RN21)=0,"",SUM(QZ21,RF21,RN21)/COUNT(QZ21,RF21,RN21))</f>
        <v>3.5</v>
      </c>
      <c r="RQ21" s="192" t="str">
        <f t="shared" si="116"/>
        <v>B</v>
      </c>
      <c r="RR21" s="124" t="s">
        <v>30</v>
      </c>
      <c r="RS21" s="125" t="s">
        <v>30</v>
      </c>
      <c r="RT21" s="126"/>
      <c r="RU21" s="167">
        <f>IFERROR((((COUNTIF('Elève (3ème2)'!RR21:RT21,"A"))*4)+((COUNTIF('Elève (3ème2)'!RR21:RT21,"B"))*3)+((COUNTIF('Elève (3ème2)'!RR21:RT21,"C"))*2)+((COUNTIF('Elève (3ème2)'!RR21:RT21,"D"))*1))/(COUNTA(RR21:RT21)),"")</f>
        <v>1</v>
      </c>
      <c r="RV21" s="168" t="str">
        <f t="shared" si="117"/>
        <v>D</v>
      </c>
      <c r="RW21" s="124"/>
      <c r="RX21" s="125"/>
      <c r="RY21" s="126"/>
      <c r="RZ21" s="126"/>
      <c r="SA21" s="167" t="str">
        <f>IFERROR((((COUNTIF('Elève (3ème2)'!RW21:RZ21,"A"))*4)+((COUNTIF('Elève (3ème2)'!RW21:RZ21,"B"))*3)+((COUNTIF('Elève (3ème2)'!RW21:RZ21,"C"))*2)+((COUNTIF('Elève (3ème2)'!RW21:RZ21,"D"))*1))/(COUNTA(RW21:RZ21)),"")</f>
        <v/>
      </c>
      <c r="SB21" s="168" t="str">
        <f t="shared" si="118"/>
        <v/>
      </c>
      <c r="SC21" s="124"/>
      <c r="SD21" s="125"/>
      <c r="SE21" s="126"/>
      <c r="SF21" s="126"/>
      <c r="SG21" s="126"/>
      <c r="SH21" s="130"/>
      <c r="SI21" s="167" t="str">
        <f>IFERROR((((COUNTIF('Elève (3ème2)'!SC21:SH21,"A"))*4)+((COUNTIF('Elève (3ème2)'!SC21:SH21,"B"))*3)+((COUNTIF('Elève (3ème2)'!SC21:SH21,"C"))*2)+((COUNTIF('Elève (3ème2)'!SC21:SH21,"D"))*1))/(COUNTA(SC21:SH21)),"")</f>
        <v/>
      </c>
      <c r="SJ21" s="168" t="str">
        <f t="shared" si="119"/>
        <v/>
      </c>
      <c r="SK21" s="167">
        <f>IF(COUNT(RU21,SA21,SI21)=0,"",SUM(RU21,SA21,SI21)/COUNT(RU21,SA21,SI21))</f>
        <v>1</v>
      </c>
      <c r="SL21" s="192" t="str">
        <f t="shared" si="120"/>
        <v>D</v>
      </c>
      <c r="SM21" s="124" t="s">
        <v>27</v>
      </c>
      <c r="SN21" s="125" t="s">
        <v>28</v>
      </c>
      <c r="SO21" s="126"/>
      <c r="SP21" s="167">
        <f>IFERROR((((COUNTIF('Elève (3ème2)'!SM21:SO21,"A"))*4)+((COUNTIF('Elève (3ème2)'!SM21:SO21,"B"))*3)+((COUNTIF('Elève (3ème2)'!SM21:SO21,"C"))*2)+((COUNTIF('Elève (3ème2)'!SM21:SO21,"D"))*1))/(COUNTA(SM21:SO21)),"")</f>
        <v>3.5</v>
      </c>
      <c r="SQ21" s="168" t="str">
        <f t="shared" si="121"/>
        <v>B</v>
      </c>
      <c r="SR21" s="124"/>
      <c r="SS21" s="125"/>
      <c r="ST21" s="126"/>
      <c r="SU21" s="126"/>
      <c r="SV21" s="167" t="str">
        <f>IFERROR((((COUNTIF('Elève (3ème2)'!SR21:SU21,"A"))*4)+((COUNTIF('Elève (3ème2)'!SR21:SU21,"B"))*3)+((COUNTIF('Elève (3ème2)'!SR21:SU21,"C"))*2)+((COUNTIF('Elève (3ème2)'!SR21:SU21,"D"))*1))/(COUNTA(SR21:SU21)),"")</f>
        <v/>
      </c>
      <c r="SW21" s="168" t="str">
        <f t="shared" si="122"/>
        <v/>
      </c>
      <c r="SX21" s="124"/>
      <c r="SY21" s="125"/>
      <c r="SZ21" s="126"/>
      <c r="TA21" s="126"/>
      <c r="TB21" s="126"/>
      <c r="TC21" s="130"/>
      <c r="TD21" s="167" t="str">
        <f>IFERROR((((COUNTIF('Elève (3ème2)'!SX21:TC21,"A"))*4)+((COUNTIF('Elève (3ème2)'!SX21:TC21,"B"))*3)+((COUNTIF('Elève (3ème2)'!SX21:TC21,"C"))*2)+((COUNTIF('Elève (3ème2)'!SX21:TC21,"D"))*1))/(COUNTA(SX21:TC21)),"")</f>
        <v/>
      </c>
      <c r="TE21" s="168" t="str">
        <f t="shared" si="123"/>
        <v/>
      </c>
      <c r="TF21" s="167">
        <f>IF(COUNT(SP21,SV21,TD21)=0,"",SUM(SP21,SV21,TD21)/COUNT(SP21,SV21,TD21))</f>
        <v>3.5</v>
      </c>
      <c r="TG21" s="192" t="str">
        <f t="shared" si="124"/>
        <v>B</v>
      </c>
      <c r="TH21" s="124" t="s">
        <v>28</v>
      </c>
      <c r="TI21" s="125" t="s">
        <v>29</v>
      </c>
      <c r="TJ21" s="126"/>
      <c r="TK21" s="167">
        <f>IFERROR((((COUNTIF('Elève (3ème2)'!TH21:TJ21,"A"))*4)+((COUNTIF('Elève (3ème2)'!TH21:TJ21,"B"))*3)+((COUNTIF('Elève (3ème2)'!TH21:TJ21,"C"))*2)+((COUNTIF('Elève (3ème2)'!TH21:TJ21,"D"))*1))/(COUNTA(TH21:TJ21)),"")</f>
        <v>2.5</v>
      </c>
      <c r="TL21" s="168" t="str">
        <f t="shared" si="125"/>
        <v>C</v>
      </c>
      <c r="TM21" s="124"/>
      <c r="TN21" s="125"/>
      <c r="TO21" s="126"/>
      <c r="TP21" s="126"/>
      <c r="TQ21" s="167" t="str">
        <f>IFERROR((((COUNTIF('Elève (3ème2)'!TM21:TP21,"A"))*4)+((COUNTIF('Elève (3ème2)'!TM21:TP21,"B"))*3)+((COUNTIF('Elève (3ème2)'!TM21:TP21,"C"))*2)+((COUNTIF('Elève (3ème2)'!TM21:TP21,"D"))*1))/(COUNTA(TM21:TP21)),"")</f>
        <v/>
      </c>
      <c r="TR21" s="168" t="str">
        <f t="shared" si="126"/>
        <v/>
      </c>
      <c r="TS21" s="124"/>
      <c r="TT21" s="125"/>
      <c r="TU21" s="126"/>
      <c r="TV21" s="126"/>
      <c r="TW21" s="126"/>
      <c r="TX21" s="130"/>
      <c r="TY21" s="167" t="str">
        <f>IFERROR((((COUNTIF('Elève (3ème2)'!TS21:TX21,"A"))*4)+((COUNTIF('Elève (3ème2)'!TS21:TX21,"B"))*3)+((COUNTIF('Elève (3ème2)'!TS21:TX21,"C"))*2)+((COUNTIF('Elève (3ème2)'!TS21:TX21,"D"))*1))/(COUNTA(TS21:TX21)),"")</f>
        <v/>
      </c>
      <c r="TZ21" s="168" t="str">
        <f t="shared" si="127"/>
        <v/>
      </c>
      <c r="UA21" s="167">
        <f>IF(COUNT(TK21,TQ21,TY21)=0,"",SUM(TK21,TQ21,TY21)/COUNT(TK21,TQ21,TY21))</f>
        <v>2.5</v>
      </c>
      <c r="UB21" s="192" t="str">
        <f t="shared" si="128"/>
        <v>C</v>
      </c>
      <c r="UC21" s="124"/>
      <c r="UD21" s="125"/>
      <c r="UE21" s="126"/>
      <c r="UF21" s="127" t="str">
        <f>IFERROR((((COUNTIF('Elève (3ème2)'!UC21:UE21,"A"))*4)+((COUNTIF('Elève (3ème2)'!UC21:UE21,"B"))*3)+((COUNTIF('Elève (3ème2)'!UC21:UE21,"C"))*2)+((COUNTIF('Elève (3ème2)'!UC21:UE21,"D"))*1))/(COUNTA(UC21:UE21)),"")</f>
        <v/>
      </c>
      <c r="UG21" s="128" t="str">
        <f t="shared" si="129"/>
        <v/>
      </c>
      <c r="UH21" s="124"/>
      <c r="UI21" s="125"/>
      <c r="UJ21" s="126"/>
      <c r="UK21" s="127" t="str">
        <f>IFERROR((((COUNTIF('Elève (3ème2)'!UH21:UJ21,"A"))*4)+((COUNTIF('Elève (3ème2)'!UH21:UJ21,"B"))*3)+((COUNTIF('Elève (3ème2)'!UH21:UJ21,"C"))*2)+((COUNTIF('Elève (3ème2)'!UH21:UJ21,"D"))*1))/(COUNTA(UH21:UJ21)),"")</f>
        <v/>
      </c>
      <c r="UL21" s="128" t="str">
        <f t="shared" si="130"/>
        <v/>
      </c>
      <c r="UM21" s="124"/>
      <c r="UN21" s="125"/>
      <c r="UO21" s="130"/>
      <c r="UP21" s="127" t="str">
        <f>IFERROR((((COUNTIF('Elève (3ème2)'!UM21:UO21,"A"))*4)+((COUNTIF('Elève (3ème2)'!UM21:UO21,"B"))*3)+((COUNTIF('Elève (3ème2)'!UM21:UO21,"C"))*2)+((COUNTIF('Elève (3ème2)'!UM21:UO21,"D"))*1))/(COUNTA(UM21:UO21)),"")</f>
        <v/>
      </c>
      <c r="UQ21" s="128" t="str">
        <f t="shared" si="131"/>
        <v/>
      </c>
      <c r="UR21" s="127" t="str">
        <f>IF(COUNT(UF21,UK21,UP21)=0,"",SUM(UF21,UK21,UP21)/COUNT(UF21,UK21,UP21))</f>
        <v/>
      </c>
      <c r="US21" s="129" t="str">
        <f t="shared" si="132"/>
        <v/>
      </c>
      <c r="UT21" s="124"/>
      <c r="UU21" s="125"/>
      <c r="UV21" s="126"/>
      <c r="UW21" s="127" t="str">
        <f>IFERROR((((COUNTIF('Elève (3ème2)'!UT21:UV21,"A"))*4)+((COUNTIF('Elève (3ème2)'!UT21:UV21,"B"))*3)+((COUNTIF('Elève (3ème2)'!UT21:UV21,"C"))*2)+((COUNTIF('Elève (3ème2)'!UT21:UV21,"D"))*1))/(COUNTA(UT21:UV21)),"")</f>
        <v/>
      </c>
      <c r="UX21" s="128" t="str">
        <f t="shared" si="133"/>
        <v/>
      </c>
      <c r="UY21" s="124"/>
      <c r="UZ21" s="125"/>
      <c r="VA21" s="126"/>
      <c r="VB21" s="127" t="str">
        <f>IFERROR((((COUNTIF('Elève (3ème2)'!UY21:VA21,"A"))*4)+((COUNTIF('Elève (3ème2)'!UY21:VA21,"B"))*3)+((COUNTIF('Elève (3ème2)'!UY21:VA21,"C"))*2)+((COUNTIF('Elève (3ème2)'!UY21:VA21,"D"))*1))/(COUNTA(UY21:VA21)),"")</f>
        <v/>
      </c>
      <c r="VC21" s="128" t="str">
        <f t="shared" si="134"/>
        <v/>
      </c>
      <c r="VD21" s="124"/>
      <c r="VE21" s="125"/>
      <c r="VF21" s="130"/>
      <c r="VG21" s="127" t="str">
        <f>IFERROR((((COUNTIF('Elève (3ème2)'!VD21:VF21,"A"))*4)+((COUNTIF('Elève (3ème2)'!VD21:VF21,"B"))*3)+((COUNTIF('Elève (3ème2)'!VD21:VF21,"C"))*2)+((COUNTIF('Elève (3ème2)'!VD21:VF21,"D"))*1))/(COUNTA(VD21:VF21)),"")</f>
        <v/>
      </c>
      <c r="VH21" s="128" t="str">
        <f t="shared" si="135"/>
        <v/>
      </c>
      <c r="VI21" s="127" t="str">
        <f>IF(COUNT(UW21,VB21,VG21)=0,"",SUM(UW21,VB21,VG21)/COUNT(UW21,VB21,VG21))</f>
        <v/>
      </c>
      <c r="VJ21" s="129" t="str">
        <f t="shared" si="136"/>
        <v/>
      </c>
      <c r="VK21" s="124"/>
      <c r="VL21" s="125"/>
      <c r="VM21" s="126"/>
      <c r="VN21" s="127" t="str">
        <f>IFERROR((((COUNTIF('Elève (3ème2)'!VK21:VM21,"A"))*4)+((COUNTIF('Elève (3ème2)'!VK21:VM21,"B"))*3)+((COUNTIF('Elève (3ème2)'!VK21:VM21,"C"))*2)+((COUNTIF('Elève (3ème2)'!VK21:VM21,"D"))*1))/(COUNTA(VK21:VM21)),"")</f>
        <v/>
      </c>
      <c r="VO21" s="128" t="str">
        <f t="shared" si="137"/>
        <v/>
      </c>
      <c r="VP21" s="124"/>
      <c r="VQ21" s="125"/>
      <c r="VR21" s="126"/>
      <c r="VS21" s="127" t="str">
        <f>IFERROR((((COUNTIF('Elève (3ème2)'!VP21:VR21,"A"))*4)+((COUNTIF('Elève (3ème2)'!VP21:VR21,"B"))*3)+((COUNTIF('Elève (3ème2)'!VP21:VR21,"C"))*2)+((COUNTIF('Elève (3ème2)'!VP21:VR21,"D"))*1))/(COUNTA(VP21:VR21)),"")</f>
        <v/>
      </c>
      <c r="VT21" s="128" t="str">
        <f t="shared" si="138"/>
        <v/>
      </c>
      <c r="VU21" s="124"/>
      <c r="VV21" s="125"/>
      <c r="VW21" s="130"/>
      <c r="VX21" s="127" t="str">
        <f>IFERROR((((COUNTIF('Elève (3ème2)'!VU21:VW21,"A"))*4)+((COUNTIF('Elève (3ème2)'!VU21:VW21,"B"))*3)+((COUNTIF('Elève (3ème2)'!VU21:VW21,"C"))*2)+((COUNTIF('Elève (3ème2)'!VU21:VW21,"D"))*1))/(COUNTA(VU21:VW21)),"")</f>
        <v/>
      </c>
      <c r="VY21" s="128" t="str">
        <f t="shared" si="139"/>
        <v/>
      </c>
      <c r="VZ21" s="127" t="str">
        <f>IF(COUNT(VN21,VS21,VX21)=0,"",SUM(VN21,VS21,VX21)/COUNT(VN21,VS21,VX21))</f>
        <v/>
      </c>
      <c r="WA21" s="129" t="str">
        <f t="shared" si="140"/>
        <v/>
      </c>
      <c r="WB21" s="124"/>
      <c r="WC21" s="125"/>
      <c r="WD21" s="126"/>
      <c r="WE21" s="127" t="str">
        <f>IFERROR((((COUNTIF('Elève (3ème2)'!WB21:WD21,"A"))*4)+((COUNTIF('Elève (3ème2)'!WB21:WD21,"B"))*3)+((COUNTIF('Elève (3ème2)'!WB21:WD21,"C"))*2)+((COUNTIF('Elève (3ème2)'!WB21:WD21,"D"))*1))/(COUNTA(WB21:WD21)),"")</f>
        <v/>
      </c>
      <c r="WF21" s="128" t="str">
        <f t="shared" si="141"/>
        <v/>
      </c>
      <c r="WG21" s="124"/>
      <c r="WH21" s="125"/>
      <c r="WI21" s="126"/>
      <c r="WJ21" s="127" t="str">
        <f>IFERROR((((COUNTIF('Elève (3ème2)'!WG21:WI21,"A"))*4)+((COUNTIF('Elève (3ème2)'!WG21:WI21,"B"))*3)+((COUNTIF('Elève (3ème2)'!WG21:WI21,"C"))*2)+((COUNTIF('Elève (3ème2)'!WG21:WI21,"D"))*1))/(COUNTA(WG21:WI21)),"")</f>
        <v/>
      </c>
      <c r="WK21" s="128" t="str">
        <f t="shared" si="142"/>
        <v/>
      </c>
      <c r="WL21" s="124"/>
      <c r="WM21" s="125"/>
      <c r="WN21" s="130"/>
      <c r="WO21" s="127" t="str">
        <f>IFERROR((((COUNTIF('Elève (3ème2)'!WL21:WN21,"A"))*4)+((COUNTIF('Elève (3ème2)'!WL21:WN21,"B"))*3)+((COUNTIF('Elève (3ème2)'!WL21:WN21,"C"))*2)+((COUNTIF('Elève (3ème2)'!WL21:WN21,"D"))*1))/(COUNTA(WL21:WN21)),"")</f>
        <v/>
      </c>
      <c r="WP21" s="128" t="str">
        <f t="shared" si="143"/>
        <v/>
      </c>
      <c r="WQ21" s="127" t="str">
        <f>IF(COUNT(WE21,WJ21,WO21)=0,"",SUM(WE21,WJ21,WO21)/COUNT(WE21,WJ21,WO21))</f>
        <v/>
      </c>
      <c r="WR21" s="129" t="str">
        <f t="shared" si="144"/>
        <v/>
      </c>
    </row>
    <row r="22" spans="1:616" ht="14.7" thickBot="1" x14ac:dyDescent="0.6">
      <c r="A22" s="223" t="s">
        <v>26</v>
      </c>
      <c r="B22" s="224"/>
      <c r="C22" s="131"/>
      <c r="D22" s="131"/>
      <c r="E22" s="131"/>
      <c r="F22" s="169">
        <f>IF(COUNT(F20,F16,F13,F10,F4)=0,"",SUM($B$4*IF(COUNT(F4)=0,0,F4),$B$10*IF(COUNT(F10)=0,0,F10),$B$13*IF(COUNT(F13)=0,0,F13),$B$16*IF(COUNT(F16)=0,0,F16),$B$20*IF(COUNT(F20)=0,0,F20))/SUM($B$4*COUNT(F4),$B$10*COUNT(F10),$B$13*COUNT(F13),$B$16*COUNT(F16),$B$20*COUNT(F20)))</f>
        <v>3.125</v>
      </c>
      <c r="G22" s="170">
        <f>IF(F22="","",F22*5)</f>
        <v>15.625</v>
      </c>
      <c r="H22" s="62"/>
      <c r="I22" s="62"/>
      <c r="J22" s="62"/>
      <c r="K22" s="62"/>
      <c r="L22" s="169">
        <f>IF(COUNT(L20,L16,L13,L10,L4)=0,"",SUM($B$4*IF(COUNT(L4)=0,0,L4),$B$10*IF(COUNT(L10)=0,0,L10),$B$13*IF(COUNT(L13)=0,0,L13),$B$16*IF(COUNT(L16)=0,0,L16),$B$20*IF(COUNT(L20)=0,0,L20))/SUM($B$4*COUNT(L4),$B$10*COUNT(L10),$B$13*COUNT(L13),$B$16*COUNT(L16),$B$20*COUNT(L20)))</f>
        <v>2.75</v>
      </c>
      <c r="M22" s="176">
        <f>IF(L22="","",L22*5)</f>
        <v>13.75</v>
      </c>
      <c r="N22" s="62"/>
      <c r="O22" s="62"/>
      <c r="P22" s="62"/>
      <c r="Q22" s="62"/>
      <c r="R22" s="62"/>
      <c r="S22" s="62"/>
      <c r="T22" s="169">
        <f>IF(COUNT(T20,T16,T13,T10,T4)=0,"",SUM($B$4*IF(COUNT(T4)=0,0,T4),$B$10*IF(COUNT(T10)=0,0,T10),$B$13*IF(COUNT(T13)=0,0,T13),$B$16*IF(COUNT(T16)=0,0,T16),$B$20*IF(COUNT(T20)=0,0,T20))/SUM($B$4*COUNT(T4),$B$10*COUNT(T10),$B$13*COUNT(T13),$B$16*COUNT(T16),$B$20*COUNT(T20)))</f>
        <v>3.375</v>
      </c>
      <c r="U22" s="193">
        <f>IF(T22="","",T22*5)</f>
        <v>16.875</v>
      </c>
      <c r="V22" s="156"/>
      <c r="W22" s="156"/>
      <c r="X22" s="131"/>
      <c r="Y22" s="131"/>
      <c r="Z22" s="131"/>
      <c r="AA22" s="169">
        <f>IF(COUNT(AA20,AA16,AA13,AA10,AA4)=0,"",SUM($B$4*IF(COUNT(AA4)=0,0,AA4),$B$10*IF(COUNT(AA10)=0,0,AA10),$B$13*IF(COUNT(AA13)=0,0,AA13),$B$16*IF(COUNT(AA16)=0,0,AA16),$B$20*IF(COUNT(AA20)=0,0,AA20))/SUM($B$4*COUNT(AA4),$B$10*COUNT(AA10),$B$13*COUNT(AA13),$B$16*COUNT(AA16),$B$20*COUNT(AA20)))</f>
        <v>2.3333333333333335</v>
      </c>
      <c r="AB22" s="170">
        <f>IF(AA22="","",AA22*5)</f>
        <v>11.666666666666668</v>
      </c>
      <c r="AC22" s="62"/>
      <c r="AD22" s="62"/>
      <c r="AE22" s="62"/>
      <c r="AF22" s="62"/>
      <c r="AG22" s="169">
        <f>IF(COUNT(AG20,AG16,AG13,AG10,AG4)=0,"",SUM($B$4*IF(COUNT(AG4)=0,0,AG4),$B$10*IF(COUNT(AG10)=0,0,AG10),$B$13*IF(COUNT(AG13)=0,0,AG13),$B$16*IF(COUNT(AG16)=0,0,AG16),$B$20*IF(COUNT(AG20)=0,0,AG20))/SUM($B$4*COUNT(AG4),$B$10*COUNT(AG10),$B$13*COUNT(AG13),$B$16*COUNT(AG16),$B$20*COUNT(AG20)))</f>
        <v>2.5</v>
      </c>
      <c r="AH22" s="176">
        <f>IF(AG22="","",AG22*5)</f>
        <v>12.5</v>
      </c>
      <c r="AI22" s="62"/>
      <c r="AJ22" s="62"/>
      <c r="AK22" s="62"/>
      <c r="AL22" s="62"/>
      <c r="AM22" s="62"/>
      <c r="AN22" s="62"/>
      <c r="AO22" s="169">
        <f>IF(COUNT(AO20,AO16,AO13,AO10,AO4)=0,"",SUM($B$4*IF(COUNT(AO4)=0,0,AO4),$B$10*IF(COUNT(AO10)=0,0,AO10),$B$13*IF(COUNT(AO13)=0,0,AO13),$B$16*IF(COUNT(AO16)=0,0,AO16),$B$20*IF(COUNT(AO20)=0,0,AO20))/SUM($B$4*COUNT(AO4),$B$10*COUNT(AO10),$B$13*COUNT(AO13),$B$16*COUNT(AO16),$B$20*COUNT(AO20)))</f>
        <v>2.3333333333333335</v>
      </c>
      <c r="AP22" s="193">
        <f>IF(AO22="","",AO22*5)</f>
        <v>11.666666666666668</v>
      </c>
      <c r="AQ22" s="156"/>
      <c r="AR22" s="156"/>
      <c r="AS22" s="131"/>
      <c r="AT22" s="131"/>
      <c r="AU22" s="131"/>
      <c r="AV22" s="169">
        <f>IF(COUNT(AV20,AV16,AV13,AV10,AV4)=0,"",SUM($B$4*IF(COUNT(AV4)=0,0,AV4),$B$10*IF(COUNT(AV10)=0,0,AV10),$B$13*IF(COUNT(AV13)=0,0,AV13),$B$16*IF(COUNT(AV16)=0,0,AV16),$B$20*IF(COUNT(AV20)=0,0,AV20))/SUM($B$4*COUNT(AV4),$B$10*COUNT(AV10),$B$13*COUNT(AV13),$B$16*COUNT(AV16),$B$20*COUNT(AV20)))</f>
        <v>1.7916666666666667</v>
      </c>
      <c r="AW22" s="170">
        <f>IF(AV22="","",AV22*5)</f>
        <v>8.9583333333333339</v>
      </c>
      <c r="AX22" s="62"/>
      <c r="AY22" s="62"/>
      <c r="AZ22" s="62"/>
      <c r="BA22" s="62"/>
      <c r="BB22" s="169">
        <f>IF(COUNT(BB20,BB16,BB13,BB10,BB4)=0,"",SUM($B$4*IF(COUNT(BB4)=0,0,BB4),$B$10*IF(COUNT(BB10)=0,0,BB10),$B$13*IF(COUNT(BB13)=0,0,BB13),$B$16*IF(COUNT(BB16)=0,0,BB16),$B$20*IF(COUNT(BB20)=0,0,BB20))/SUM($B$4*COUNT(BB4),$B$10*COUNT(BB10),$B$13*COUNT(BB13),$B$16*COUNT(BB16),$B$20*COUNT(BB20)))</f>
        <v>2</v>
      </c>
      <c r="BC22" s="176">
        <f>IF(BB22="","",BB22*5)</f>
        <v>10</v>
      </c>
      <c r="BD22" s="62"/>
      <c r="BE22" s="62"/>
      <c r="BF22" s="62"/>
      <c r="BG22" s="62"/>
      <c r="BH22" s="62"/>
      <c r="BI22" s="62"/>
      <c r="BJ22" s="169">
        <f>IF(COUNT(BJ20,BJ16,BJ13,BJ10,BJ4)=0,"",SUM($B$4*IF(COUNT(BJ4)=0,0,BJ4),$B$10*IF(COUNT(BJ10)=0,0,BJ10),$B$13*IF(COUNT(BJ13)=0,0,BJ13),$B$16*IF(COUNT(BJ16)=0,0,BJ16),$B$20*IF(COUNT(BJ20)=0,0,BJ20))/SUM($B$4*COUNT(BJ4),$B$10*COUNT(BJ10),$B$13*COUNT(BJ13),$B$16*COUNT(BJ16),$B$20*COUNT(BJ20)))</f>
        <v>2.5944444444444446</v>
      </c>
      <c r="BK22" s="193">
        <f>IF(BJ22="","",BJ22*5)</f>
        <v>12.972222222222223</v>
      </c>
      <c r="BL22" s="156"/>
      <c r="BM22" s="156"/>
      <c r="BN22" s="131"/>
      <c r="BO22" s="131"/>
      <c r="BP22" s="131"/>
      <c r="BQ22" s="169">
        <f>IF(COUNT(BQ20,BQ16,BQ13,BQ10,BQ4)=0,"",SUM($B$4*IF(COUNT(BQ4)=0,0,BQ4),$B$10*IF(COUNT(BQ10)=0,0,BQ10),$B$13*IF(COUNT(BQ13)=0,0,BQ13),$B$16*IF(COUNT(BQ16)=0,0,BQ16),$B$20*IF(COUNT(BQ20)=0,0,BQ20))/SUM($B$4*COUNT(BQ4),$B$10*COUNT(BQ10),$B$13*COUNT(BQ13),$B$16*COUNT(BQ16),$B$20*COUNT(BQ20)))</f>
        <v>2.1666666666666665</v>
      </c>
      <c r="BR22" s="170">
        <f>IF(BQ22="","",BQ22*5)</f>
        <v>10.833333333333332</v>
      </c>
      <c r="BS22" s="62"/>
      <c r="BT22" s="62"/>
      <c r="BU22" s="62"/>
      <c r="BV22" s="62"/>
      <c r="BW22" s="169">
        <f>IF(COUNT(BW20,BW16,BW13,BW10,BW4)=0,"",SUM($B$4*IF(COUNT(BW4)=0,0,BW4),$B$10*IF(COUNT(BW10)=0,0,BW10),$B$13*IF(COUNT(BW13)=0,0,BW13),$B$16*IF(COUNT(BW16)=0,0,BW16),$B$20*IF(COUNT(BW20)=0,0,BW20))/SUM($B$4*COUNT(BW4),$B$10*COUNT(BW10),$B$13*COUNT(BW13),$B$16*COUNT(BW16),$B$20*COUNT(BW20)))</f>
        <v>3.25</v>
      </c>
      <c r="BX22" s="176">
        <f>IF(BW22="","",BW22*5)</f>
        <v>16.25</v>
      </c>
      <c r="BY22" s="62"/>
      <c r="BZ22" s="62"/>
      <c r="CA22" s="62"/>
      <c r="CB22" s="62"/>
      <c r="CC22" s="62"/>
      <c r="CD22" s="62"/>
      <c r="CE22" s="169">
        <f>IF(COUNT(CE20,CE16,CE13,CE10,CE4)=0,"",SUM($B$4*IF(COUNT(CE4)=0,0,CE4),$B$10*IF(COUNT(CE10)=0,0,CE10),$B$13*IF(COUNT(CE13)=0,0,CE13),$B$16*IF(COUNT(CE16)=0,0,CE16),$B$20*IF(COUNT(CE20)=0,0,CE20))/SUM($B$4*COUNT(CE4),$B$10*COUNT(CE10),$B$13*COUNT(CE13),$B$16*COUNT(CE16),$B$20*COUNT(CE20)))</f>
        <v>2.3458333333333332</v>
      </c>
      <c r="CF22" s="193">
        <f>IF(CE22="","",CE22*5)</f>
        <v>11.729166666666666</v>
      </c>
      <c r="CG22" s="156"/>
      <c r="CH22" s="156"/>
      <c r="CI22" s="131"/>
      <c r="CJ22" s="131"/>
      <c r="CK22" s="131"/>
      <c r="CL22" s="169">
        <f>IF(COUNT(CL20,CL16,CL13,CL10,CL4)=0,"",SUM($B$4*IF(COUNT(CL4)=0,0,CL4),$B$10*IF(COUNT(CL10)=0,0,CL10),$B$13*IF(COUNT(CL13)=0,0,CL13),$B$16*IF(COUNT(CL16)=0,0,CL16),$B$20*IF(COUNT(CL20)=0,0,CL20))/SUM($B$4*COUNT(CL4),$B$10*COUNT(CL10),$B$13*COUNT(CL13),$B$16*COUNT(CL16),$B$20*COUNT(CL20)))</f>
        <v>2.625</v>
      </c>
      <c r="CM22" s="170">
        <f>IF(CL22="","",CL22*5)</f>
        <v>13.125</v>
      </c>
      <c r="CN22" s="62"/>
      <c r="CO22" s="62"/>
      <c r="CP22" s="62"/>
      <c r="CQ22" s="62"/>
      <c r="CR22" s="169">
        <f>IF(COUNT(CR20,CR16,CR13,CR10,CR4)=0,"",SUM($B$4*IF(COUNT(CR4)=0,0,CR4),$B$10*IF(COUNT(CR10)=0,0,CR10),$B$13*IF(COUNT(CR13)=0,0,CR13),$B$16*IF(COUNT(CR16)=0,0,CR16),$B$20*IF(COUNT(CR20)=0,0,CR20))/SUM($B$4*COUNT(CR4),$B$10*COUNT(CR10),$B$13*COUNT(CR13),$B$16*COUNT(CR16),$B$20*COUNT(CR20)))</f>
        <v>2.75</v>
      </c>
      <c r="CS22" s="176">
        <f>IF(CR22="","",CR22*5)</f>
        <v>13.75</v>
      </c>
      <c r="CT22" s="62"/>
      <c r="CU22" s="62"/>
      <c r="CV22" s="62"/>
      <c r="CW22" s="62"/>
      <c r="CX22" s="62"/>
      <c r="CY22" s="62"/>
      <c r="CZ22" s="169">
        <f>IF(COUNT(CZ20,CZ16,CZ13,CZ10,CZ4)=0,"",SUM($B$4*IF(COUNT(CZ4)=0,0,CZ4),$B$10*IF(COUNT(CZ10)=0,0,CZ10),$B$13*IF(COUNT(CZ13)=0,0,CZ13),$B$16*IF(COUNT(CZ16)=0,0,CZ16),$B$20*IF(COUNT(CZ20)=0,0,CZ20))/SUM($B$4*COUNT(CZ4),$B$10*COUNT(CZ10),$B$13*COUNT(CZ13),$B$16*COUNT(CZ16),$B$20*COUNT(CZ20)))</f>
        <v>3.0458333333333329</v>
      </c>
      <c r="DA22" s="193">
        <f>IF(CZ22="","",CZ22*5)</f>
        <v>15.229166666666664</v>
      </c>
      <c r="DB22" s="156"/>
      <c r="DC22" s="156"/>
      <c r="DD22" s="131"/>
      <c r="DE22" s="131"/>
      <c r="DF22" s="131"/>
      <c r="DG22" s="169">
        <f>IF(COUNT(DG20,DG16,DG13,DG10,DG4)=0,"",SUM($B$4*IF(COUNT(DG4)=0,0,DG4),$B$10*IF(COUNT(DG10)=0,0,DG10),$B$13*IF(COUNT(DG13)=0,0,DG13),$B$16*IF(COUNT(DG16)=0,0,DG16),$B$20*IF(COUNT(DG20)=0,0,DG20))/SUM($B$4*COUNT(DG4),$B$10*COUNT(DG10),$B$13*COUNT(DG13),$B$16*COUNT(DG16),$B$20*COUNT(DG20)))</f>
        <v>2.4166666666666665</v>
      </c>
      <c r="DH22" s="170">
        <f>IF(DG22="","",DG22*5)</f>
        <v>12.083333333333332</v>
      </c>
      <c r="DI22" s="62"/>
      <c r="DJ22" s="62"/>
      <c r="DK22" s="62"/>
      <c r="DL22" s="62"/>
      <c r="DM22" s="169">
        <f>IF(COUNT(DM20,DM16,DM13,DM10,DM4)=0,"",SUM($B$4*IF(COUNT(DM4)=0,0,DM4),$B$10*IF(COUNT(DM10)=0,0,DM10),$B$13*IF(COUNT(DM13)=0,0,DM13),$B$16*IF(COUNT(DM16)=0,0,DM16),$B$20*IF(COUNT(DM20)=0,0,DM20))/SUM($B$4*COUNT(DM4),$B$10*COUNT(DM10),$B$13*COUNT(DM13),$B$16*COUNT(DM16),$B$20*COUNT(DM20)))</f>
        <v>1.75</v>
      </c>
      <c r="DN22" s="176">
        <f>IF(DM22="","",DM22*5)</f>
        <v>8.75</v>
      </c>
      <c r="DO22" s="62"/>
      <c r="DP22" s="62"/>
      <c r="DQ22" s="62"/>
      <c r="DR22" s="62"/>
      <c r="DS22" s="62"/>
      <c r="DT22" s="62"/>
      <c r="DU22" s="169">
        <f>IF(COUNT(DU20,DU16,DU13,DU10,DU4)=0,"",SUM($B$4*IF(COUNT(DU4)=0,0,DU4),$B$10*IF(COUNT(DU10)=0,0,DU10),$B$13*IF(COUNT(DU13)=0,0,DU13),$B$16*IF(COUNT(DU16)=0,0,DU16),$B$20*IF(COUNT(DU20)=0,0,DU20))/SUM($B$4*COUNT(DU4),$B$10*COUNT(DU10),$B$13*COUNT(DU13),$B$16*COUNT(DU16),$B$20*COUNT(DU20)))</f>
        <v>2.4652777777777777</v>
      </c>
      <c r="DV22" s="193">
        <f>IF(DU22="","",DU22*5)</f>
        <v>12.326388888888889</v>
      </c>
      <c r="DW22" s="156"/>
      <c r="DX22" s="156"/>
      <c r="DY22" s="131"/>
      <c r="DZ22" s="131"/>
      <c r="EA22" s="131"/>
      <c r="EB22" s="169">
        <f>IF(COUNT(EB20,EB16,EB13,EB10,EB4)=0,"",SUM($B$4*IF(COUNT(EB4)=0,0,EB4),$B$10*IF(COUNT(EB10)=0,0,EB10),$B$13*IF(COUNT(EB13)=0,0,EB13),$B$16*IF(COUNT(EB16)=0,0,EB16),$B$20*IF(COUNT(EB20)=0,0,EB20))/SUM($B$4*COUNT(EB4),$B$10*COUNT(EB10),$B$13*COUNT(EB13),$B$16*COUNT(EB16),$B$20*COUNT(EB20)))</f>
        <v>2.4583333333333335</v>
      </c>
      <c r="EC22" s="170">
        <f>IF(EB22="","",EB22*5)</f>
        <v>12.291666666666668</v>
      </c>
      <c r="ED22" s="62"/>
      <c r="EE22" s="62"/>
      <c r="EF22" s="62"/>
      <c r="EG22" s="62"/>
      <c r="EH22" s="169">
        <f>IF(COUNT(EH20,EH16,EH13,EH10,EH4)=0,"",SUM($B$4*IF(COUNT(EH4)=0,0,EH4),$B$10*IF(COUNT(EH10)=0,0,EH10),$B$13*IF(COUNT(EH13)=0,0,EH13),$B$16*IF(COUNT(EH16)=0,0,EH16),$B$20*IF(COUNT(EH20)=0,0,EH20))/SUM($B$4*COUNT(EH4),$B$10*COUNT(EH10),$B$13*COUNT(EH13),$B$16*COUNT(EH16),$B$20*COUNT(EH20)))</f>
        <v>3.25</v>
      </c>
      <c r="EI22" s="176">
        <f>IF(EH22="","",EH22*5)</f>
        <v>16.25</v>
      </c>
      <c r="EJ22" s="62"/>
      <c r="EK22" s="62"/>
      <c r="EL22" s="62"/>
      <c r="EM22" s="62"/>
      <c r="EN22" s="62"/>
      <c r="EO22" s="62"/>
      <c r="EP22" s="169">
        <f>IF(COUNT(EP20,EP16,EP13,EP10,EP4)=0,"",SUM($B$4*IF(COUNT(EP4)=0,0,EP4),$B$10*IF(COUNT(EP10)=0,0,EP10),$B$13*IF(COUNT(EP13)=0,0,EP13),$B$16*IF(COUNT(EP16)=0,0,EP16),$B$20*IF(COUNT(EP20)=0,0,EP20))/SUM($B$4*COUNT(EP4),$B$10*COUNT(EP10),$B$13*COUNT(EP13),$B$16*COUNT(EP16),$B$20*COUNT(EP20)))</f>
        <v>2.7194444444444446</v>
      </c>
      <c r="EQ22" s="193">
        <f>IF(EP22="","",EP22*5)</f>
        <v>13.597222222222223</v>
      </c>
      <c r="ER22" s="156"/>
      <c r="ES22" s="156"/>
      <c r="ET22" s="131"/>
      <c r="EU22" s="131"/>
      <c r="EV22" s="131"/>
      <c r="EW22" s="169">
        <f>IF(COUNT(EW20,EW16,EW13,EW10,EW4)=0,"",SUM($B$4*IF(COUNT(EW4)=0,0,EW4),$B$10*IF(COUNT(EW10)=0,0,EW10),$B$13*IF(COUNT(EW13)=0,0,EW13),$B$16*IF(COUNT(EW16)=0,0,EW16),$B$20*IF(COUNT(EW20)=0,0,EW20))/SUM($B$4*COUNT(EW4),$B$10*COUNT(EW10),$B$13*COUNT(EW13),$B$16*COUNT(EW16),$B$20*COUNT(EW20)))</f>
        <v>2.0416666666666665</v>
      </c>
      <c r="EX22" s="170">
        <f>IF(EW22="","",EW22*5)</f>
        <v>10.208333333333332</v>
      </c>
      <c r="EY22" s="62"/>
      <c r="EZ22" s="62"/>
      <c r="FA22" s="62"/>
      <c r="FB22" s="62"/>
      <c r="FC22" s="169">
        <f>IF(COUNT(FC20,FC16,FC13,FC10,FC4)=0,"",SUM($B$4*IF(COUNT(FC4)=0,0,FC4),$B$10*IF(COUNT(FC10)=0,0,FC10),$B$13*IF(COUNT(FC13)=0,0,FC13),$B$16*IF(COUNT(FC16)=0,0,FC16),$B$20*IF(COUNT(FC20)=0,0,FC20))/SUM($B$4*COUNT(FC4),$B$10*COUNT(FC10),$B$13*COUNT(FC13),$B$16*COUNT(FC16),$B$20*COUNT(FC20)))</f>
        <v>2</v>
      </c>
      <c r="FD22" s="176">
        <f>IF(FC22="","",FC22*5)</f>
        <v>10</v>
      </c>
      <c r="FE22" s="62"/>
      <c r="FF22" s="62"/>
      <c r="FG22" s="62"/>
      <c r="FH22" s="62"/>
      <c r="FI22" s="62"/>
      <c r="FJ22" s="62"/>
      <c r="FK22" s="169">
        <f>IF(COUNT(FK20,FK16,FK13,FK10,FK4)=0,"",SUM($B$4*IF(COUNT(FK4)=0,0,FK4),$B$10*IF(COUNT(FK10)=0,0,FK10),$B$13*IF(COUNT(FK13)=0,0,FK13),$B$16*IF(COUNT(FK16)=0,0,FK16),$B$20*IF(COUNT(FK20)=0,0,FK20))/SUM($B$4*COUNT(FK4),$B$10*COUNT(FK10),$B$13*COUNT(FK13),$B$16*COUNT(FK16),$B$20*COUNT(FK20)))</f>
        <v>2.4972222222222222</v>
      </c>
      <c r="FL22" s="193">
        <f>IF(FK22="","",FK22*5)</f>
        <v>12.486111111111111</v>
      </c>
      <c r="FM22" s="156"/>
      <c r="FN22" s="156"/>
      <c r="FO22" s="131"/>
      <c r="FP22" s="131"/>
      <c r="FQ22" s="131"/>
      <c r="FR22" s="169">
        <f>IF(COUNT(FR20,FR16,FR13,FR10,FR4)=0,"",SUM($B$4*IF(COUNT(FR4)=0,0,FR4),$B$10*IF(COUNT(FR10)=0,0,FR10),$B$13*IF(COUNT(FR13)=0,0,FR13),$B$16*IF(COUNT(FR16)=0,0,FR16),$B$20*IF(COUNT(FR20)=0,0,FR20))/SUM($B$4*COUNT(FR4),$B$10*COUNT(FR10),$B$13*COUNT(FR13),$B$16*COUNT(FR16),$B$20*COUNT(FR20)))</f>
        <v>2.5833333333333335</v>
      </c>
      <c r="FS22" s="170">
        <f>IF(FR22="","",FR22*5)</f>
        <v>12.916666666666668</v>
      </c>
      <c r="FT22" s="62"/>
      <c r="FU22" s="62"/>
      <c r="FV22" s="62"/>
      <c r="FW22" s="62"/>
      <c r="FX22" s="169">
        <f>IF(COUNT(FX20,FX16,FX13,FX10,FX4)=0,"",SUM($B$4*IF(COUNT(FX4)=0,0,FX4),$B$10*IF(COUNT(FX10)=0,0,FX10),$B$13*IF(COUNT(FX13)=0,0,FX13),$B$16*IF(COUNT(FX16)=0,0,FX16),$B$20*IF(COUNT(FX20)=0,0,FX20))/SUM($B$4*COUNT(FX4),$B$10*COUNT(FX10),$B$13*COUNT(FX13),$B$16*COUNT(FX16),$B$20*COUNT(FX20)))</f>
        <v>3.25</v>
      </c>
      <c r="FY22" s="176">
        <f>IF(FX22="","",FX22*5)</f>
        <v>16.25</v>
      </c>
      <c r="FZ22" s="62"/>
      <c r="GA22" s="62"/>
      <c r="GB22" s="62"/>
      <c r="GC22" s="62"/>
      <c r="GD22" s="62"/>
      <c r="GE22" s="62"/>
      <c r="GF22" s="169">
        <f>IF(COUNT(GF20,GF16,GF13,GF10,GF4)=0,"",SUM($B$4*IF(COUNT(GF4)=0,0,GF4),$B$10*IF(COUNT(GF10)=0,0,GF10),$B$13*IF(COUNT(GF13)=0,0,GF13),$B$16*IF(COUNT(GF16)=0,0,GF16),$B$20*IF(COUNT(GF20)=0,0,GF20))/SUM($B$4*COUNT(GF4),$B$10*COUNT(GF10),$B$13*COUNT(GF13),$B$16*COUNT(GF16),$B$20*COUNT(GF20)))</f>
        <v>2.8333333333333335</v>
      </c>
      <c r="GG22" s="193">
        <f>IF(GF22="","",GF22*5)</f>
        <v>14.166666666666668</v>
      </c>
      <c r="GH22" s="156"/>
      <c r="GI22" s="156"/>
      <c r="GJ22" s="131"/>
      <c r="GK22" s="131"/>
      <c r="GL22" s="131"/>
      <c r="GM22" s="169">
        <f>IF(COUNT(GM20,GM16,GM13,GM10,GM4)=0,"",SUM($B$4*IF(COUNT(GM4)=0,0,GM4),$B$10*IF(COUNT(GM10)=0,0,GM10),$B$13*IF(COUNT(GM13)=0,0,GM13),$B$16*IF(COUNT(GM16)=0,0,GM16),$B$20*IF(COUNT(GM20)=0,0,GM20))/SUM($B$4*COUNT(GM4),$B$10*COUNT(GM10),$B$13*COUNT(GM13),$B$16*COUNT(GM16),$B$20*COUNT(GM20)))</f>
        <v>2.125</v>
      </c>
      <c r="GN22" s="170">
        <f>IF(GM22="","",GM22*5)</f>
        <v>10.625</v>
      </c>
      <c r="GO22" s="62"/>
      <c r="GP22" s="62"/>
      <c r="GQ22" s="62"/>
      <c r="GR22" s="62"/>
      <c r="GS22" s="169">
        <f>IF(COUNT(GS20,GS16,GS13,GS10,GS4)=0,"",SUM($B$4*IF(COUNT(GS4)=0,0,GS4),$B$10*IF(COUNT(GS10)=0,0,GS10),$B$13*IF(COUNT(GS13)=0,0,GS13),$B$16*IF(COUNT(GS16)=0,0,GS16),$B$20*IF(COUNT(GS20)=0,0,GS20))/SUM($B$4*COUNT(GS4),$B$10*COUNT(GS10),$B$13*COUNT(GS13),$B$16*COUNT(GS16),$B$20*COUNT(GS20)))</f>
        <v>1.25</v>
      </c>
      <c r="GT22" s="176">
        <f>IF(GS22="","",GS22*5)</f>
        <v>6.25</v>
      </c>
      <c r="GU22" s="62"/>
      <c r="GV22" s="62"/>
      <c r="GW22" s="62"/>
      <c r="GX22" s="62"/>
      <c r="GY22" s="62"/>
      <c r="GZ22" s="62"/>
      <c r="HA22" s="169">
        <f>IF(COUNT(HA20,HA16,HA13,HA10,HA4)=0,"",SUM($B$4*IF(COUNT(HA4)=0,0,HA4),$B$10*IF(COUNT(HA10)=0,0,HA10),$B$13*IF(COUNT(HA13)=0,0,HA13),$B$16*IF(COUNT(HA16)=0,0,HA16),$B$20*IF(COUNT(HA20)=0,0,HA20))/SUM($B$4*COUNT(HA4),$B$10*COUNT(HA10),$B$13*COUNT(HA13),$B$16*COUNT(HA16),$B$20*COUNT(HA20)))</f>
        <v>2.7388888888888889</v>
      </c>
      <c r="HB22" s="193">
        <f>IF(HA22="","",HA22*5)</f>
        <v>13.694444444444445</v>
      </c>
      <c r="HC22" s="156"/>
      <c r="HD22" s="156"/>
      <c r="HE22" s="131"/>
      <c r="HF22" s="131"/>
      <c r="HG22" s="131"/>
      <c r="HH22" s="169">
        <f>IF(COUNT(HH20,HH16,HH13,HH10,HH4)=0,"",SUM($B$4*IF(COUNT(HH4)=0,0,HH4),$B$10*IF(COUNT(HH10)=0,0,HH10),$B$13*IF(COUNT(HH13)=0,0,HH13),$B$16*IF(COUNT(HH16)=0,0,HH16),$B$20*IF(COUNT(HH20)=0,0,HH20))/SUM($B$4*COUNT(HH4),$B$10*COUNT(HH10),$B$13*COUNT(HH13),$B$16*COUNT(HH16),$B$20*COUNT(HH20)))</f>
        <v>2.5833333333333335</v>
      </c>
      <c r="HI22" s="170">
        <f>IF(HH22="","",HH22*5)</f>
        <v>12.916666666666668</v>
      </c>
      <c r="HJ22" s="62"/>
      <c r="HK22" s="62"/>
      <c r="HL22" s="62"/>
      <c r="HM22" s="62"/>
      <c r="HN22" s="169">
        <f>IF(COUNT(HN20,HN16,HN13,HN10,HN4)=0,"",SUM($B$4*IF(COUNT(HN4)=0,0,HN4),$B$10*IF(COUNT(HN10)=0,0,HN10),$B$13*IF(COUNT(HN13)=0,0,HN13),$B$16*IF(COUNT(HN16)=0,0,HN16),$B$20*IF(COUNT(HN20)=0,0,HN20))/SUM($B$4*COUNT(HN4),$B$10*COUNT(HN10),$B$13*COUNT(HN13),$B$16*COUNT(HN16),$B$20*COUNT(HN20)))</f>
        <v>3</v>
      </c>
      <c r="HO22" s="176">
        <f>IF(HN22="","",HN22*5)</f>
        <v>15</v>
      </c>
      <c r="HP22" s="62"/>
      <c r="HQ22" s="62"/>
      <c r="HR22" s="62"/>
      <c r="HS22" s="62"/>
      <c r="HT22" s="62"/>
      <c r="HU22" s="62"/>
      <c r="HV22" s="169">
        <f>IF(COUNT(HV20,HV16,HV13,HV10,HV4)=0,"",SUM($B$4*IF(COUNT(HV4)=0,0,HV4),$B$10*IF(COUNT(HV10)=0,0,HV10),$B$13*IF(COUNT(HV13)=0,0,HV13),$B$16*IF(COUNT(HV16)=0,0,HV16),$B$20*IF(COUNT(HV20)=0,0,HV20))/SUM($B$4*COUNT(HV4),$B$10*COUNT(HV10),$B$13*COUNT(HV13),$B$16*COUNT(HV16),$B$20*COUNT(HV20)))</f>
        <v>2.9555555555555557</v>
      </c>
      <c r="HW22" s="193">
        <f>IF(HV22="","",HV22*5)</f>
        <v>14.777777777777779</v>
      </c>
      <c r="HX22" s="156"/>
      <c r="HY22" s="156"/>
      <c r="HZ22" s="131"/>
      <c r="IA22" s="131"/>
      <c r="IB22" s="131"/>
      <c r="IC22" s="169">
        <f>IF(COUNT(IC20,IC16,IC13,IC10,IC4)=0,"",SUM($B$4*IF(COUNT(IC4)=0,0,IC4),$B$10*IF(COUNT(IC10)=0,0,IC10),$B$13*IF(COUNT(IC13)=0,0,IC13),$B$16*IF(COUNT(IC16)=0,0,IC16),$B$20*IF(COUNT(IC20)=0,0,IC20))/SUM($B$4*COUNT(IC4),$B$10*COUNT(IC10),$B$13*COUNT(IC13),$B$16*COUNT(IC16),$B$20*COUNT(IC20)))</f>
        <v>3.0416666666666665</v>
      </c>
      <c r="ID22" s="170">
        <f>IF(IC22="","",IC22*5)</f>
        <v>15.208333333333332</v>
      </c>
      <c r="IE22" s="62"/>
      <c r="IF22" s="62"/>
      <c r="IG22" s="62"/>
      <c r="IH22" s="62"/>
      <c r="II22" s="169">
        <f>IF(COUNT(II20,II16,II13,II10,II4)=0,"",SUM($B$4*IF(COUNT(II4)=0,0,II4),$B$10*IF(COUNT(II10)=0,0,II10),$B$13*IF(COUNT(II13)=0,0,II13),$B$16*IF(COUNT(II16)=0,0,II16),$B$20*IF(COUNT(II20)=0,0,II20))/SUM($B$4*COUNT(II4),$B$10*COUNT(II10),$B$13*COUNT(II13),$B$16*COUNT(II16),$B$20*COUNT(II20)))</f>
        <v>3</v>
      </c>
      <c r="IJ22" s="176">
        <f>IF(II22="","",II22*5)</f>
        <v>15</v>
      </c>
      <c r="IK22" s="62"/>
      <c r="IL22" s="62"/>
      <c r="IM22" s="62"/>
      <c r="IN22" s="62"/>
      <c r="IO22" s="62"/>
      <c r="IP22" s="62"/>
      <c r="IQ22" s="169">
        <f>IF(COUNT(IQ20,IQ16,IQ13,IQ10,IQ4)=0,"",SUM($B$4*IF(COUNT(IQ4)=0,0,IQ4),$B$10*IF(COUNT(IQ10)=0,0,IQ10),$B$13*IF(COUNT(IQ13)=0,0,IQ13),$B$16*IF(COUNT(IQ16)=0,0,IQ16),$B$20*IF(COUNT(IQ20)=0,0,IQ20))/SUM($B$4*COUNT(IQ4),$B$10*COUNT(IQ10),$B$13*COUNT(IQ13),$B$16*COUNT(IQ16),$B$20*COUNT(IQ20)))</f>
        <v>3.1805555555555554</v>
      </c>
      <c r="IR22" s="193">
        <f>IF(IQ22="","",IQ22*5)</f>
        <v>15.902777777777777</v>
      </c>
      <c r="IS22" s="156"/>
      <c r="IT22" s="156"/>
      <c r="IU22" s="131"/>
      <c r="IV22" s="131"/>
      <c r="IW22" s="131"/>
      <c r="IX22" s="169">
        <f>IF(COUNT(IX20,IX16,IX13,IX10,IX4)=0,"",SUM($B$4*IF(COUNT(IX4)=0,0,IX4),$B$10*IF(COUNT(IX10)=0,0,IX10),$B$13*IF(COUNT(IX13)=0,0,IX13),$B$16*IF(COUNT(IX16)=0,0,IX16),$B$20*IF(COUNT(IX20)=0,0,IX20))/SUM($B$4*COUNT(IX4),$B$10*COUNT(IX10),$B$13*COUNT(IX13),$B$16*COUNT(IX16),$B$20*COUNT(IX20)))</f>
        <v>2.5416666666666665</v>
      </c>
      <c r="IY22" s="170">
        <f>IF(IX22="","",IX22*5)</f>
        <v>12.708333333333332</v>
      </c>
      <c r="IZ22" s="62"/>
      <c r="JA22" s="62"/>
      <c r="JB22" s="62"/>
      <c r="JC22" s="62"/>
      <c r="JD22" s="169">
        <f>IF(COUNT(JD20,JD16,JD13,JD10,JD4)=0,"",SUM($B$4*IF(COUNT(JD4)=0,0,JD4),$B$10*IF(COUNT(JD10)=0,0,JD10),$B$13*IF(COUNT(JD13)=0,0,JD13),$B$16*IF(COUNT(JD16)=0,0,JD16),$B$20*IF(COUNT(JD20)=0,0,JD20))/SUM($B$4*COUNT(JD4),$B$10*COUNT(JD10),$B$13*COUNT(JD13),$B$16*COUNT(JD16),$B$20*COUNT(JD20)))</f>
        <v>2</v>
      </c>
      <c r="JE22" s="176">
        <f>IF(JD22="","",JD22*5)</f>
        <v>10</v>
      </c>
      <c r="JF22" s="62"/>
      <c r="JG22" s="62"/>
      <c r="JH22" s="62"/>
      <c r="JI22" s="62"/>
      <c r="JJ22" s="62"/>
      <c r="JK22" s="62"/>
      <c r="JL22" s="169">
        <f>IF(COUNT(JL20,JL16,JL13,JL10,JL4)=0,"",SUM($B$4*IF(COUNT(JL4)=0,0,JL4),$B$10*IF(COUNT(JL10)=0,0,JL10),$B$13*IF(COUNT(JL13)=0,0,JL13),$B$16*IF(COUNT(JL16)=0,0,JL16),$B$20*IF(COUNT(JL20)=0,0,JL20))/SUM($B$4*COUNT(JL4),$B$10*COUNT(JL10),$B$13*COUNT(JL13),$B$16*COUNT(JL16),$B$20*COUNT(JL20)))</f>
        <v>2.7638888888888893</v>
      </c>
      <c r="JM22" s="193">
        <f>IF(JL22="","",JL22*5)</f>
        <v>13.819444444444446</v>
      </c>
      <c r="JN22" s="156"/>
      <c r="JO22" s="156"/>
      <c r="JP22" s="131"/>
      <c r="JQ22" s="131"/>
      <c r="JR22" s="131"/>
      <c r="JS22" s="169">
        <f>IF(COUNT(JS20,JS16,JS13,JS10,JS4)=0,"",SUM($B$4*IF(COUNT(JS4)=0,0,JS4),$B$10*IF(COUNT(JS10)=0,0,JS10),$B$13*IF(COUNT(JS13)=0,0,JS13),$B$16*IF(COUNT(JS16)=0,0,JS16),$B$20*IF(COUNT(JS20)=0,0,JS20))/SUM($B$4*COUNT(JS4),$B$10*COUNT(JS10),$B$13*COUNT(JS13),$B$16*COUNT(JS16),$B$20*COUNT(JS20)))</f>
        <v>2.9583333333333335</v>
      </c>
      <c r="JT22" s="170">
        <f>IF(JS22="","",JS22*5)</f>
        <v>14.791666666666668</v>
      </c>
      <c r="JU22" s="62"/>
      <c r="JV22" s="62"/>
      <c r="JW22" s="62"/>
      <c r="JX22" s="62"/>
      <c r="JY22" s="169">
        <f>IF(COUNT(JY20,JY16,JY13,JY10,JY4)=0,"",SUM($B$4*IF(COUNT(JY4)=0,0,JY4),$B$10*IF(COUNT(JY10)=0,0,JY10),$B$13*IF(COUNT(JY13)=0,0,JY13),$B$16*IF(COUNT(JY16)=0,0,JY16),$B$20*IF(COUNT(JY20)=0,0,JY20))/SUM($B$4*COUNT(JY4),$B$10*COUNT(JY10),$B$13*COUNT(JY13),$B$16*COUNT(JY16),$B$20*COUNT(JY20)))</f>
        <v>3.25</v>
      </c>
      <c r="JZ22" s="176">
        <f>IF(JY22="","",JY22*5)</f>
        <v>16.25</v>
      </c>
      <c r="KA22" s="62"/>
      <c r="KB22" s="62"/>
      <c r="KC22" s="62"/>
      <c r="KD22" s="62"/>
      <c r="KE22" s="62"/>
      <c r="KF22" s="62"/>
      <c r="KG22" s="169">
        <f>IF(COUNT(KG20,KG16,KG13,KG10,KG4)=0,"",SUM($B$4*IF(COUNT(KG4)=0,0,KG4),$B$10*IF(COUNT(KG10)=0,0,KG10),$B$13*IF(COUNT(KG13)=0,0,KG13),$B$16*IF(COUNT(KG16)=0,0,KG16),$B$20*IF(COUNT(KG20)=0,0,KG20))/SUM($B$4*COUNT(KG4),$B$10*COUNT(KG10),$B$13*COUNT(KG13),$B$16*COUNT(KG16),$B$20*COUNT(KG20)))</f>
        <v>3.0291666666666668</v>
      </c>
      <c r="KH22" s="193">
        <f>IF(KG22="","",KG22*5)</f>
        <v>15.145833333333334</v>
      </c>
      <c r="KI22" s="156"/>
      <c r="KJ22" s="156"/>
      <c r="KK22" s="131"/>
      <c r="KL22" s="131"/>
      <c r="KM22" s="131"/>
      <c r="KN22" s="169">
        <f>IF(COUNT(KN20,KN16,KN13,KN10,KN4)=0,"",SUM($B$4*IF(COUNT(KN4)=0,0,KN4),$B$10*IF(COUNT(KN10)=0,0,KN10),$B$13*IF(COUNT(KN13)=0,0,KN13),$B$16*IF(COUNT(KN16)=0,0,KN16),$B$20*IF(COUNT(KN20)=0,0,KN20))/SUM($B$4*COUNT(KN4),$B$10*COUNT(KN10),$B$13*COUNT(KN13),$B$16*COUNT(KN16),$B$20*COUNT(KN20)))</f>
        <v>2.5</v>
      </c>
      <c r="KO22" s="170">
        <f>IF(KN22="","",KN22*5)</f>
        <v>12.5</v>
      </c>
      <c r="KP22" s="62"/>
      <c r="KQ22" s="62"/>
      <c r="KR22" s="62"/>
      <c r="KS22" s="62"/>
      <c r="KT22" s="169">
        <f>IF(COUNT(KT20,KT16,KT13,KT10,KT4)=0,"",SUM($B$4*IF(COUNT(KT4)=0,0,KT4),$B$10*IF(COUNT(KT10)=0,0,KT10),$B$13*IF(COUNT(KT13)=0,0,KT13),$B$16*IF(COUNT(KT16)=0,0,KT16),$B$20*IF(COUNT(KT20)=0,0,KT20))/SUM($B$4*COUNT(KT4),$B$10*COUNT(KT10),$B$13*COUNT(KT13),$B$16*COUNT(KT16),$B$20*COUNT(KT20)))</f>
        <v>1.75</v>
      </c>
      <c r="KU22" s="176">
        <f>IF(KT22="","",KT22*5)</f>
        <v>8.75</v>
      </c>
      <c r="KV22" s="62"/>
      <c r="KW22" s="62"/>
      <c r="KX22" s="62"/>
      <c r="KY22" s="62"/>
      <c r="KZ22" s="62"/>
      <c r="LA22" s="62"/>
      <c r="LB22" s="169">
        <f>IF(COUNT(LB20,LB16,LB13,LB10,LB4)=0,"",SUM($B$4*IF(COUNT(LB4)=0,0,LB4),$B$10*IF(COUNT(LB10)=0,0,LB10),$B$13*IF(COUNT(LB13)=0,0,LB13),$B$16*IF(COUNT(LB16)=0,0,LB16),$B$20*IF(COUNT(LB20)=0,0,LB20))/SUM($B$4*COUNT(LB4),$B$10*COUNT(LB10),$B$13*COUNT(LB13),$B$16*COUNT(LB16),$B$20*COUNT(LB20)))</f>
        <v>2.8194444444444442</v>
      </c>
      <c r="LC22" s="193">
        <f>IF(LB22="","",LB22*5)</f>
        <v>14.097222222222221</v>
      </c>
      <c r="LD22" s="156"/>
      <c r="LE22" s="156"/>
      <c r="LF22" s="131"/>
      <c r="LG22" s="131"/>
      <c r="LH22" s="131"/>
      <c r="LI22" s="169">
        <f>IF(COUNT(LI20,LI16,LI13,LI10,LI4)=0,"",SUM($B$4*IF(COUNT(LI4)=0,0,LI4),$B$10*IF(COUNT(LI10)=0,0,LI10),$B$13*IF(COUNT(LI13)=0,0,LI13),$B$16*IF(COUNT(LI16)=0,0,LI16),$B$20*IF(COUNT(LI20)=0,0,LI20))/SUM($B$4*COUNT(LI4),$B$10*COUNT(LI10),$B$13*COUNT(LI13),$B$16*COUNT(LI16),$B$20*COUNT(LI20)))</f>
        <v>2.5416666666666665</v>
      </c>
      <c r="LJ22" s="170">
        <f>IF(LI22="","",LI22*5)</f>
        <v>12.708333333333332</v>
      </c>
      <c r="LK22" s="62"/>
      <c r="LL22" s="62"/>
      <c r="LM22" s="62"/>
      <c r="LN22" s="62"/>
      <c r="LO22" s="169">
        <f>IF(COUNT(LO20,LO16,LO13,LO10,LO4)=0,"",SUM($B$4*IF(COUNT(LO4)=0,0,LO4),$B$10*IF(COUNT(LO10)=0,0,LO10),$B$13*IF(COUNT(LO13)=0,0,LO13),$B$16*IF(COUNT(LO16)=0,0,LO16),$B$20*IF(COUNT(LO20)=0,0,LO20))/SUM($B$4*COUNT(LO4),$B$10*COUNT(LO10),$B$13*COUNT(LO13),$B$16*COUNT(LO16),$B$20*COUNT(LO20)))</f>
        <v>1.5</v>
      </c>
      <c r="LP22" s="176">
        <f>IF(LO22="","",LO22*5)</f>
        <v>7.5</v>
      </c>
      <c r="LQ22" s="62"/>
      <c r="LR22" s="62"/>
      <c r="LS22" s="62"/>
      <c r="LT22" s="62"/>
      <c r="LU22" s="62"/>
      <c r="LV22" s="62"/>
      <c r="LW22" s="169">
        <f>IF(COUNT(LW20,LW16,LW13,LW10,LW4)=0,"",SUM($B$4*IF(COUNT(LW4)=0,0,LW4),$B$10*IF(COUNT(LW10)=0,0,LW10),$B$13*IF(COUNT(LW13)=0,0,LW13),$B$16*IF(COUNT(LW16)=0,0,LW16),$B$20*IF(COUNT(LW20)=0,0,LW20))/SUM($B$4*COUNT(LW4),$B$10*COUNT(LW10),$B$13*COUNT(LW13),$B$16*COUNT(LW16),$B$20*COUNT(LW20)))</f>
        <v>2.0208333333333335</v>
      </c>
      <c r="LX22" s="193">
        <f>IF(LW22="","",LW22*5)</f>
        <v>10.104166666666668</v>
      </c>
      <c r="LY22" s="156"/>
      <c r="LZ22" s="156"/>
      <c r="MA22" s="131"/>
      <c r="MB22" s="131"/>
      <c r="MC22" s="131"/>
      <c r="MD22" s="169">
        <f>IF(COUNT(MD20,MD16,MD13,MD10,MD4)=0,"",SUM($B$4*IF(COUNT(MD4)=0,0,MD4),$B$10*IF(COUNT(MD10)=0,0,MD10),$B$13*IF(COUNT(MD13)=0,0,MD13),$B$16*IF(COUNT(MD16)=0,0,MD16),$B$20*IF(COUNT(MD20)=0,0,MD20))/SUM($B$4*COUNT(MD4),$B$10*COUNT(MD10),$B$13*COUNT(MD13),$B$16*COUNT(MD16),$B$20*COUNT(MD20)))</f>
        <v>3.125</v>
      </c>
      <c r="ME22" s="170">
        <f>IF(MD22="","",MD22*5)</f>
        <v>15.625</v>
      </c>
      <c r="MF22" s="62"/>
      <c r="MG22" s="62"/>
      <c r="MH22" s="62"/>
      <c r="MI22" s="62"/>
      <c r="MJ22" s="169">
        <f>IF(COUNT(MJ20,MJ16,MJ13,MJ10,MJ4)=0,"",SUM($B$4*IF(COUNT(MJ4)=0,0,MJ4),$B$10*IF(COUNT(MJ10)=0,0,MJ10),$B$13*IF(COUNT(MJ13)=0,0,MJ13),$B$16*IF(COUNT(MJ16)=0,0,MJ16),$B$20*IF(COUNT(MJ20)=0,0,MJ20))/SUM($B$4*COUNT(MJ4),$B$10*COUNT(MJ10),$B$13*COUNT(MJ13),$B$16*COUNT(MJ16),$B$20*COUNT(MJ20)))</f>
        <v>3.25</v>
      </c>
      <c r="MK22" s="176">
        <f>IF(MJ22="","",MJ22*5)</f>
        <v>16.25</v>
      </c>
      <c r="ML22" s="62"/>
      <c r="MM22" s="62"/>
      <c r="MN22" s="62"/>
      <c r="MO22" s="62"/>
      <c r="MP22" s="62"/>
      <c r="MQ22" s="62"/>
      <c r="MR22" s="169">
        <f>IF(COUNT(MR20,MR16,MR13,MR10,MR4)=0,"",SUM($B$4*IF(COUNT(MR4)=0,0,MR4),$B$10*IF(COUNT(MR10)=0,0,MR10),$B$13*IF(COUNT(MR13)=0,0,MR13),$B$16*IF(COUNT(MR16)=0,0,MR16),$B$20*IF(COUNT(MR20)=0,0,MR20))/SUM($B$4*COUNT(MR4),$B$10*COUNT(MR10),$B$13*COUNT(MR13),$B$16*COUNT(MR16),$B$20*COUNT(MR20)))</f>
        <v>2.4097222222222223</v>
      </c>
      <c r="MS22" s="193">
        <f>IF(MR22="","",MR22*5)</f>
        <v>12.048611111111111</v>
      </c>
      <c r="MT22" s="156"/>
      <c r="MU22" s="156"/>
      <c r="MV22" s="131"/>
      <c r="MW22" s="131"/>
      <c r="MX22" s="131"/>
      <c r="MY22" s="169">
        <f>IF(COUNT(MY20,MY16,MY13,MY10,MY4)=0,"",SUM($B$4*IF(COUNT(MY4)=0,0,MY4),$B$10*IF(COUNT(MY10)=0,0,MY10),$B$13*IF(COUNT(MY13)=0,0,MY13),$B$16*IF(COUNT(MY16)=0,0,MY16),$B$20*IF(COUNT(MY20)=0,0,MY20))/SUM($B$4*COUNT(MY4),$B$10*COUNT(MY10),$B$13*COUNT(MY13),$B$16*COUNT(MY16),$B$20*COUNT(MY20)))</f>
        <v>2.625</v>
      </c>
      <c r="MZ22" s="170">
        <f>IF(MY22="","",MY22*5)</f>
        <v>13.125</v>
      </c>
      <c r="NA22" s="62"/>
      <c r="NB22" s="62"/>
      <c r="NC22" s="62"/>
      <c r="ND22" s="62"/>
      <c r="NE22" s="169">
        <f>IF(COUNT(NE20,NE16,NE13,NE10,NE4)=0,"",SUM($B$4*IF(COUNT(NE4)=0,0,NE4),$B$10*IF(COUNT(NE10)=0,0,NE10),$B$13*IF(COUNT(NE13)=0,0,NE13),$B$16*IF(COUNT(NE16)=0,0,NE16),$B$20*IF(COUNT(NE20)=0,0,NE20))/SUM($B$4*COUNT(NE4),$B$10*COUNT(NE10),$B$13*COUNT(NE13),$B$16*COUNT(NE16),$B$20*COUNT(NE20)))</f>
        <v>2.5</v>
      </c>
      <c r="NF22" s="176">
        <f>IF(NE22="","",NE22*5)</f>
        <v>12.5</v>
      </c>
      <c r="NG22" s="62"/>
      <c r="NH22" s="62"/>
      <c r="NI22" s="62"/>
      <c r="NJ22" s="62"/>
      <c r="NK22" s="62"/>
      <c r="NL22" s="62"/>
      <c r="NM22" s="169">
        <f>IF(COUNT(NM20,NM16,NM13,NM10,NM4)=0,"",SUM($B$4*IF(COUNT(NM4)=0,0,NM4),$B$10*IF(COUNT(NM10)=0,0,NM10),$B$13*IF(COUNT(NM13)=0,0,NM13),$B$16*IF(COUNT(NM16)=0,0,NM16),$B$20*IF(COUNT(NM20)=0,0,NM20))/SUM($B$4*COUNT(NM4),$B$10*COUNT(NM10),$B$13*COUNT(NM13),$B$16*COUNT(NM16),$B$20*COUNT(NM20)))</f>
        <v>3.4486111111111111</v>
      </c>
      <c r="NN22" s="193">
        <f>IF(NM22="","",NM22*5)</f>
        <v>17.243055555555557</v>
      </c>
      <c r="NO22" s="156"/>
      <c r="NP22" s="156"/>
      <c r="NQ22" s="131"/>
      <c r="NR22" s="131"/>
      <c r="NS22" s="131"/>
      <c r="NT22" s="169">
        <f>IF(COUNT(NT20,NT16,NT13,NT10,NT4)=0,"",SUM($B$4*IF(COUNT(NT4)=0,0,NT4),$B$10*IF(COUNT(NT10)=0,0,NT10),$B$13*IF(COUNT(NT13)=0,0,NT13),$B$16*IF(COUNT(NT16)=0,0,NT16),$B$20*IF(COUNT(NT20)=0,0,NT20))/SUM($B$4*COUNT(NT4),$B$10*COUNT(NT10),$B$13*COUNT(NT13),$B$16*COUNT(NT16),$B$20*COUNT(NT20)))</f>
        <v>2.7083333333333335</v>
      </c>
      <c r="NU22" s="170">
        <f>IF(NT22="","",NT22*5)</f>
        <v>13.541666666666668</v>
      </c>
      <c r="NV22" s="62"/>
      <c r="NW22" s="62"/>
      <c r="NX22" s="62"/>
      <c r="NY22" s="62"/>
      <c r="NZ22" s="169">
        <f>IF(COUNT(NZ20,NZ16,NZ13,NZ10,NZ4)=0,"",SUM($B$4*IF(COUNT(NZ4)=0,0,NZ4),$B$10*IF(COUNT(NZ10)=0,0,NZ10),$B$13*IF(COUNT(NZ13)=0,0,NZ13),$B$16*IF(COUNT(NZ16)=0,0,NZ16),$B$20*IF(COUNT(NZ20)=0,0,NZ20))/SUM($B$4*COUNT(NZ4),$B$10*COUNT(NZ10),$B$13*COUNT(NZ13),$B$16*COUNT(NZ16),$B$20*COUNT(NZ20)))</f>
        <v>2</v>
      </c>
      <c r="OA22" s="176">
        <f>IF(NZ22="","",NZ22*5)</f>
        <v>10</v>
      </c>
      <c r="OB22" s="62"/>
      <c r="OC22" s="62"/>
      <c r="OD22" s="62"/>
      <c r="OE22" s="62"/>
      <c r="OF22" s="62"/>
      <c r="OG22" s="62"/>
      <c r="OH22" s="169">
        <f>IF(COUNT(OH20,OH16,OH13,OH10,OH4)=0,"",SUM($B$4*IF(COUNT(OH4)=0,0,OH4),$B$10*IF(COUNT(OH10)=0,0,OH10),$B$13*IF(COUNT(OH13)=0,0,OH13),$B$16*IF(COUNT(OH16)=0,0,OH16),$B$20*IF(COUNT(OH20)=0,0,OH20))/SUM($B$4*COUNT(OH4),$B$10*COUNT(OH10),$B$13*COUNT(OH13),$B$16*COUNT(OH16),$B$20*COUNT(OH20)))</f>
        <v>2.5736111111111111</v>
      </c>
      <c r="OI22" s="193">
        <f>IF(OH22="","",OH22*5)</f>
        <v>12.868055555555555</v>
      </c>
      <c r="OJ22" s="156"/>
      <c r="OK22" s="156"/>
      <c r="OL22" s="131"/>
      <c r="OM22" s="131"/>
      <c r="ON22" s="131"/>
      <c r="OO22" s="169">
        <f>IF(COUNT(OO20,OO16,OO13,OO10,OO4)=0,"",SUM($B$4*IF(COUNT(OO4)=0,0,OO4),$B$10*IF(COUNT(OO10)=0,0,OO10),$B$13*IF(COUNT(OO13)=0,0,OO13),$B$16*IF(COUNT(OO16)=0,0,OO16),$B$20*IF(COUNT(OO20)=0,0,OO20))/SUM($B$4*COUNT(OO4),$B$10*COUNT(OO10),$B$13*COUNT(OO13),$B$16*COUNT(OO16),$B$20*COUNT(OO20)))</f>
        <v>3.2083333333333335</v>
      </c>
      <c r="OP22" s="170">
        <f>IF(OO22="","",OO22*5)</f>
        <v>16.041666666666668</v>
      </c>
      <c r="OQ22" s="62"/>
      <c r="OR22" s="62"/>
      <c r="OS22" s="62"/>
      <c r="OT22" s="62"/>
      <c r="OU22" s="169">
        <f>IF(COUNT(OU20,OU16,OU13,OU10,OU4)=0,"",SUM($B$4*IF(COUNT(OU4)=0,0,OU4),$B$10*IF(COUNT(OU10)=0,0,OU10),$B$13*IF(COUNT(OU13)=0,0,OU13),$B$16*IF(COUNT(OU16)=0,0,OU16),$B$20*IF(COUNT(OU20)=0,0,OU20))/SUM($B$4*COUNT(OU4),$B$10*COUNT(OU10),$B$13*COUNT(OU13),$B$16*COUNT(OU16),$B$20*COUNT(OU20)))</f>
        <v>3.75</v>
      </c>
      <c r="OV22" s="176">
        <f>IF(OU22="","",OU22*5)</f>
        <v>18.75</v>
      </c>
      <c r="OW22" s="62"/>
      <c r="OX22" s="62"/>
      <c r="OY22" s="62"/>
      <c r="OZ22" s="62"/>
      <c r="PA22" s="62"/>
      <c r="PB22" s="62"/>
      <c r="PC22" s="169">
        <f>IF(COUNT(PC20,PC16,PC13,PC10,PC4)=0,"",SUM($B$4*IF(COUNT(PC4)=0,0,PC4),$B$10*IF(COUNT(PC10)=0,0,PC10),$B$13*IF(COUNT(PC13)=0,0,PC13),$B$16*IF(COUNT(PC16)=0,0,PC16),$B$20*IF(COUNT(PC20)=0,0,PC20))/SUM($B$4*COUNT(PC4),$B$10*COUNT(PC10),$B$13*COUNT(PC13),$B$16*COUNT(PC16),$B$20*COUNT(PC20)))</f>
        <v>3.7861111111111114</v>
      </c>
      <c r="PD22" s="193">
        <f>IF(PC22="","",PC22*5)</f>
        <v>18.930555555555557</v>
      </c>
      <c r="PE22" s="156"/>
      <c r="PF22" s="156"/>
      <c r="PG22" s="131"/>
      <c r="PH22" s="131"/>
      <c r="PI22" s="131"/>
      <c r="PJ22" s="169">
        <f>IF(COUNT(PJ20,PJ16,PJ13,PJ10,PJ4)=0,"",SUM($B$4*IF(COUNT(PJ4)=0,0,PJ4),$B$10*IF(COUNT(PJ10)=0,0,PJ10),$B$13*IF(COUNT(PJ13)=0,0,PJ13),$B$16*IF(COUNT(PJ16)=0,0,PJ16),$B$20*IF(COUNT(PJ20)=0,0,PJ20))/SUM($B$4*COUNT(PJ4),$B$10*COUNT(PJ10),$B$13*COUNT(PJ13),$B$16*COUNT(PJ16),$B$20*COUNT(PJ20)))</f>
        <v>2.3333333333333335</v>
      </c>
      <c r="PK22" s="170">
        <f>IF(PJ22="","",PJ22*5)</f>
        <v>11.666666666666668</v>
      </c>
      <c r="PL22" s="62"/>
      <c r="PM22" s="62"/>
      <c r="PN22" s="62"/>
      <c r="PO22" s="62"/>
      <c r="PP22" s="169">
        <f>IF(COUNT(PP20,PP16,PP13,PP10,PP4)=0,"",SUM($B$4*IF(COUNT(PP4)=0,0,PP4),$B$10*IF(COUNT(PP10)=0,0,PP10),$B$13*IF(COUNT(PP13)=0,0,PP13),$B$16*IF(COUNT(PP16)=0,0,PP16),$B$20*IF(COUNT(PP20)=0,0,PP20))/SUM($B$4*COUNT(PP4),$B$10*COUNT(PP10),$B$13*COUNT(PP13),$B$16*COUNT(PP16),$B$20*COUNT(PP20)))</f>
        <v>3.75</v>
      </c>
      <c r="PQ22" s="176">
        <f>IF(PP22="","",PP22*5)</f>
        <v>18.75</v>
      </c>
      <c r="PR22" s="62"/>
      <c r="PS22" s="62"/>
      <c r="PT22" s="62"/>
      <c r="PU22" s="62"/>
      <c r="PV22" s="62"/>
      <c r="PW22" s="62"/>
      <c r="PX22" s="169">
        <f>IF(COUNT(PX20,PX16,PX13,PX10,PX4)=0,"",SUM($B$4*IF(COUNT(PX4)=0,0,PX4),$B$10*IF(COUNT(PX10)=0,0,PX10),$B$13*IF(COUNT(PX13)=0,0,PX13),$B$16*IF(COUNT(PX16)=0,0,PX16),$B$20*IF(COUNT(PX20)=0,0,PX20))/SUM($B$4*COUNT(PX4),$B$10*COUNT(PX10),$B$13*COUNT(PX13),$B$16*COUNT(PX16),$B$20*COUNT(PX20)))</f>
        <v>3.2291666666666665</v>
      </c>
      <c r="PY22" s="193">
        <f>IF(PX22="","",PX22*5)</f>
        <v>16.145833333333332</v>
      </c>
      <c r="PZ22" s="156"/>
      <c r="QA22" s="156"/>
      <c r="QB22" s="131"/>
      <c r="QC22" s="131"/>
      <c r="QD22" s="131"/>
      <c r="QE22" s="169">
        <f>IF(COUNT(QE20,QE16,QE13,QE10,QE4)=0,"",SUM($B$4*IF(COUNT(QE4)=0,0,QE4),$B$10*IF(COUNT(QE10)=0,0,QE10),$B$13*IF(COUNT(QE13)=0,0,QE13),$B$16*IF(COUNT(QE16)=0,0,QE16),$B$20*IF(COUNT(QE20)=0,0,QE20))/SUM($B$4*COUNT(QE4),$B$10*COUNT(QE10),$B$13*COUNT(QE13),$B$16*COUNT(QE16),$B$20*COUNT(QE20)))</f>
        <v>2.25</v>
      </c>
      <c r="QF22" s="170">
        <f>IF(QE22="","",QE22*5)</f>
        <v>11.25</v>
      </c>
      <c r="QG22" s="62"/>
      <c r="QH22" s="62"/>
      <c r="QI22" s="62"/>
      <c r="QJ22" s="62"/>
      <c r="QK22" s="169">
        <f>IF(COUNT(QK20,QK16,QK13,QK10,QK4)=0,"",SUM($B$4*IF(COUNT(QK4)=0,0,QK4),$B$10*IF(COUNT(QK10)=0,0,QK10),$B$13*IF(COUNT(QK13)=0,0,QK13),$B$16*IF(COUNT(QK16)=0,0,QK16),$B$20*IF(COUNT(QK20)=0,0,QK20))/SUM($B$4*COUNT(QK4),$B$10*COUNT(QK10),$B$13*COUNT(QK13),$B$16*COUNT(QK16),$B$20*COUNT(QK20)))</f>
        <v>2.75</v>
      </c>
      <c r="QL22" s="176">
        <f>IF(QK22="","",QK22*5)</f>
        <v>13.75</v>
      </c>
      <c r="QM22" s="62"/>
      <c r="QN22" s="62"/>
      <c r="QO22" s="62"/>
      <c r="QP22" s="62"/>
      <c r="QQ22" s="62"/>
      <c r="QR22" s="62"/>
      <c r="QS22" s="169">
        <f>IF(COUNT(QS20,QS16,QS13,QS10,QS4)=0,"",SUM($B$4*IF(COUNT(QS4)=0,0,QS4),$B$10*IF(COUNT(QS10)=0,0,QS10),$B$13*IF(COUNT(QS13)=0,0,QS13),$B$16*IF(COUNT(QS16)=0,0,QS16),$B$20*IF(COUNT(QS20)=0,0,QS20))/SUM($B$4*COUNT(QS4),$B$10*COUNT(QS10),$B$13*COUNT(QS13),$B$16*COUNT(QS16),$B$20*COUNT(QS20)))</f>
        <v>2.8305555555555557</v>
      </c>
      <c r="QT22" s="193">
        <f>IF(QS22="","",QS22*5)</f>
        <v>14.152777777777779</v>
      </c>
      <c r="QU22" s="156"/>
      <c r="QV22" s="156"/>
      <c r="QW22" s="131"/>
      <c r="QX22" s="131"/>
      <c r="QY22" s="131"/>
      <c r="QZ22" s="169">
        <f>IF(COUNT(QZ20,QZ16,QZ13,QZ10,QZ4)=0,"",SUM($B$4*IF(COUNT(QZ4)=0,0,QZ4),$B$10*IF(COUNT(QZ10)=0,0,QZ10),$B$13*IF(COUNT(QZ13)=0,0,QZ13),$B$16*IF(COUNT(QZ16)=0,0,QZ16),$B$20*IF(COUNT(QZ20)=0,0,QZ20))/SUM($B$4*COUNT(QZ4),$B$10*COUNT(QZ10),$B$13*COUNT(QZ13),$B$16*COUNT(QZ16),$B$20*COUNT(QZ20)))</f>
        <v>2.1666666666666665</v>
      </c>
      <c r="RA22" s="170">
        <f>IF(QZ22="","",QZ22*5)</f>
        <v>10.833333333333332</v>
      </c>
      <c r="RB22" s="62"/>
      <c r="RC22" s="62"/>
      <c r="RD22" s="62"/>
      <c r="RE22" s="62"/>
      <c r="RF22" s="169">
        <f>IF(COUNT(RF20,RF16,RF13,RF10,RF4)=0,"",SUM($B$4*IF(COUNT(RF4)=0,0,RF4),$B$10*IF(COUNT(RF10)=0,0,RF10),$B$13*IF(COUNT(RF13)=0,0,RF13),$B$16*IF(COUNT(RF16)=0,0,RF16),$B$20*IF(COUNT(RF20)=0,0,RF20))/SUM($B$4*COUNT(RF4),$B$10*COUNT(RF10),$B$13*COUNT(RF13),$B$16*COUNT(RF16),$B$20*COUNT(RF20)))</f>
        <v>2.75</v>
      </c>
      <c r="RG22" s="176">
        <f>IF(RF22="","",RF22*5)</f>
        <v>13.75</v>
      </c>
      <c r="RH22" s="62"/>
      <c r="RI22" s="62"/>
      <c r="RJ22" s="62"/>
      <c r="RK22" s="62"/>
      <c r="RL22" s="62"/>
      <c r="RM22" s="62"/>
      <c r="RN22" s="169">
        <f>IF(COUNT(RN20,RN16,RN13,RN10,RN4)=0,"",SUM($B$4*IF(COUNT(RN4)=0,0,RN4),$B$10*IF(COUNT(RN10)=0,0,RN10),$B$13*IF(COUNT(RN13)=0,0,RN13),$B$16*IF(COUNT(RN16)=0,0,RN16),$B$20*IF(COUNT(RN20)=0,0,RN20))/SUM($B$4*COUNT(RN4),$B$10*COUNT(RN10),$B$13*COUNT(RN13),$B$16*COUNT(RN16),$B$20*COUNT(RN20)))</f>
        <v>2.4930555555555558</v>
      </c>
      <c r="RO22" s="193">
        <f>IF(RN22="","",RN22*5)</f>
        <v>12.465277777777779</v>
      </c>
      <c r="RP22" s="156"/>
      <c r="RQ22" s="156"/>
      <c r="RR22" s="131"/>
      <c r="RS22" s="131"/>
      <c r="RT22" s="131"/>
      <c r="RU22" s="169">
        <f>IF(COUNT(RU20,RU16,RU13,RU10,RU4)=0,"",SUM($B$4*IF(COUNT(RU4)=0,0,RU4),$B$10*IF(COUNT(RU10)=0,0,RU10),$B$13*IF(COUNT(RU13)=0,0,RU13),$B$16*IF(COUNT(RU16)=0,0,RU16),$B$20*IF(COUNT(RU20)=0,0,RU20))/SUM($B$4*COUNT(RU4),$B$10*COUNT(RU10),$B$13*COUNT(RU13),$B$16*COUNT(RU16),$B$20*COUNT(RU20)))</f>
        <v>2.0416666666666665</v>
      </c>
      <c r="RV22" s="170">
        <f>IF(RU22="","",RU22*5)</f>
        <v>10.208333333333332</v>
      </c>
      <c r="RW22" s="62"/>
      <c r="RX22" s="62"/>
      <c r="RY22" s="62"/>
      <c r="RZ22" s="62"/>
      <c r="SA22" s="169">
        <f>IF(COUNT(SA20,SA16,SA13,SA10,SA4)=0,"",SUM($B$4*IF(COUNT(SA4)=0,0,SA4),$B$10*IF(COUNT(SA10)=0,0,SA10),$B$13*IF(COUNT(SA13)=0,0,SA13),$B$16*IF(COUNT(SA16)=0,0,SA16),$B$20*IF(COUNT(SA20)=0,0,SA20))/SUM($B$4*COUNT(SA4),$B$10*COUNT(SA10),$B$13*COUNT(SA13),$B$16*COUNT(SA16),$B$20*COUNT(SA20)))</f>
        <v>3</v>
      </c>
      <c r="SB22" s="176">
        <f>IF(SA22="","",SA22*5)</f>
        <v>15</v>
      </c>
      <c r="SC22" s="62"/>
      <c r="SD22" s="62"/>
      <c r="SE22" s="62"/>
      <c r="SF22" s="62"/>
      <c r="SG22" s="62"/>
      <c r="SH22" s="62"/>
      <c r="SI22" s="169">
        <f>IF(COUNT(SI20,SI16,SI13,SI10,SI4)=0,"",SUM($B$4*IF(COUNT(SI4)=0,0,SI4),$B$10*IF(COUNT(SI10)=0,0,SI10),$B$13*IF(COUNT(SI13)=0,0,SI13),$B$16*IF(COUNT(SI16)=0,0,SI16),$B$20*IF(COUNT(SI20)=0,0,SI20))/SUM($B$4*COUNT(SI4),$B$10*COUNT(SI10),$B$13*COUNT(SI13),$B$16*COUNT(SI16),$B$20*COUNT(SI20)))</f>
        <v>2.8694444444444449</v>
      </c>
      <c r="SJ22" s="193">
        <f>IF(SI22="","",SI22*5)</f>
        <v>14.347222222222225</v>
      </c>
      <c r="SK22" s="156"/>
      <c r="SL22" s="156"/>
      <c r="SM22" s="131"/>
      <c r="SN22" s="131"/>
      <c r="SO22" s="131"/>
      <c r="SP22" s="169">
        <f>IF(COUNT(SP20,SP16,SP13,SP10,SP4)=0,"",SUM($B$4*IF(COUNT(SP4)=0,0,SP4),$B$10*IF(COUNT(SP10)=0,0,SP10),$B$13*IF(COUNT(SP13)=0,0,SP13),$B$16*IF(COUNT(SP16)=0,0,SP16),$B$20*IF(COUNT(SP20)=0,0,SP20))/SUM($B$4*COUNT(SP4),$B$10*COUNT(SP10),$B$13*COUNT(SP13),$B$16*COUNT(SP16),$B$20*COUNT(SP20)))</f>
        <v>2.6666666666666665</v>
      </c>
      <c r="SQ22" s="170">
        <f>IF(SP22="","",SP22*5)</f>
        <v>13.333333333333332</v>
      </c>
      <c r="SR22" s="62"/>
      <c r="SS22" s="62"/>
      <c r="ST22" s="62"/>
      <c r="SU22" s="62"/>
      <c r="SV22" s="169">
        <f>IF(COUNT(SV20,SV16,SV13,SV10,SV4)=0,"",SUM($B$4*IF(COUNT(SV4)=0,0,SV4),$B$10*IF(COUNT(SV10)=0,0,SV10),$B$13*IF(COUNT(SV13)=0,0,SV13),$B$16*IF(COUNT(SV16)=0,0,SV16),$B$20*IF(COUNT(SV20)=0,0,SV20))/SUM($B$4*COUNT(SV4),$B$10*COUNT(SV10),$B$13*COUNT(SV13),$B$16*COUNT(SV16),$B$20*COUNT(SV20)))</f>
        <v>2.5</v>
      </c>
      <c r="SW22" s="176">
        <f>IF(SV22="","",SV22*5)</f>
        <v>12.5</v>
      </c>
      <c r="SX22" s="62"/>
      <c r="SY22" s="62"/>
      <c r="SZ22" s="62"/>
      <c r="TA22" s="62"/>
      <c r="TB22" s="62"/>
      <c r="TC22" s="62"/>
      <c r="TD22" s="169">
        <f>IF(COUNT(TD20,TD16,TD13,TD10,TD4)=0,"",SUM($B$4*IF(COUNT(TD4)=0,0,TD4),$B$10*IF(COUNT(TD10)=0,0,TD10),$B$13*IF(COUNT(TD13)=0,0,TD13),$B$16*IF(COUNT(TD16)=0,0,TD16),$B$20*IF(COUNT(TD20)=0,0,TD20))/SUM($B$4*COUNT(TD4),$B$10*COUNT(TD10),$B$13*COUNT(TD13),$B$16*COUNT(TD16),$B$20*COUNT(TD20)))</f>
        <v>2.6013888888888892</v>
      </c>
      <c r="TE22" s="193">
        <f>IF(TD22="","",TD22*5)</f>
        <v>13.006944444444446</v>
      </c>
      <c r="TF22" s="156"/>
      <c r="TG22" s="156"/>
      <c r="TH22" s="131"/>
      <c r="TI22" s="131"/>
      <c r="TJ22" s="131"/>
      <c r="TK22" s="169">
        <f>IF(COUNT(TK20,TK16,TK13,TK10,TK4)=0,"",SUM($B$4*IF(COUNT(TK4)=0,0,TK4),$B$10*IF(COUNT(TK10)=0,0,TK10),$B$13*IF(COUNT(TK13)=0,0,TK13),$B$16*IF(COUNT(TK16)=0,0,TK16),$B$20*IF(COUNT(TK20)=0,0,TK20))/SUM($B$4*COUNT(TK4),$B$10*COUNT(TK10),$B$13*COUNT(TK13),$B$16*COUNT(TK16),$B$20*COUNT(TK20)))</f>
        <v>1.875</v>
      </c>
      <c r="TL22" s="170">
        <f>IF(TK22="","",TK22*5)</f>
        <v>9.375</v>
      </c>
      <c r="TM22" s="62"/>
      <c r="TN22" s="62"/>
      <c r="TO22" s="62"/>
      <c r="TP22" s="62"/>
      <c r="TQ22" s="169">
        <f>IF(COUNT(TQ20,TQ16,TQ13,TQ10,TQ4)=0,"",SUM($B$4*IF(COUNT(TQ4)=0,0,TQ4),$B$10*IF(COUNT(TQ10)=0,0,TQ10),$B$13*IF(COUNT(TQ13)=0,0,TQ13),$B$16*IF(COUNT(TQ16)=0,0,TQ16),$B$20*IF(COUNT(TQ20)=0,0,TQ20))/SUM($B$4*COUNT(TQ4),$B$10*COUNT(TQ10),$B$13*COUNT(TQ13),$B$16*COUNT(TQ16),$B$20*COUNT(TQ20)))</f>
        <v>2</v>
      </c>
      <c r="TR22" s="176">
        <f>IF(TQ22="","",TQ22*5)</f>
        <v>10</v>
      </c>
      <c r="TS22" s="62"/>
      <c r="TT22" s="62"/>
      <c r="TU22" s="62"/>
      <c r="TV22" s="62"/>
      <c r="TW22" s="62"/>
      <c r="TX22" s="62"/>
      <c r="TY22" s="169">
        <f>IF(COUNT(TY20,TY16,TY13,TY10,TY4)=0,"",SUM($B$4*IF(COUNT(TY4)=0,0,TY4),$B$10*IF(COUNT(TY10)=0,0,TY10),$B$13*IF(COUNT(TY13)=0,0,TY13),$B$16*IF(COUNT(TY16)=0,0,TY16),$B$20*IF(COUNT(TY20)=0,0,TY20))/SUM($B$4*COUNT(TY4),$B$10*COUNT(TY10),$B$13*COUNT(TY13),$B$16*COUNT(TY16),$B$20*COUNT(TY20)))</f>
        <v>1.9166666666666667</v>
      </c>
      <c r="TZ22" s="193">
        <f>IF(TY22="","",TY22*5)</f>
        <v>9.5833333333333339</v>
      </c>
      <c r="UA22" s="156"/>
      <c r="UB22" s="156"/>
      <c r="UC22" s="131"/>
      <c r="UD22" s="131"/>
      <c r="UE22" s="131"/>
      <c r="UF22" s="132" t="str">
        <f>IF(COUNT(UF20,UF16,UF13,UF10,UF4)=0,"",SUM($B$4*IF(COUNT(UF4)=0,0,UF4),$B$10*IF(COUNT(UF10)=0,0,UF10),$B$13*IF(COUNT(UF13)=0,0,UF13),$B$16*IF(COUNT(UF16)=0,0,UF16),$B$20*IF(COUNT(UF20)=0,0,UF20))/SUM($B$4*COUNT(UF4),$B$10*COUNT(UF10),$B$13*COUNT(UF13),$B$16*COUNT(UF16),$B$20*COUNT(UF20)))</f>
        <v/>
      </c>
      <c r="UG22" s="133" t="str">
        <f>IF(UF22="","",UF22*5)</f>
        <v/>
      </c>
      <c r="UH22" s="62"/>
      <c r="UI22" s="62"/>
      <c r="UJ22" s="62"/>
      <c r="UK22" s="132" t="str">
        <f>IF(COUNT(UK20,UK16,UK13,UK10,UK4)=0,"",SUM($B$4*IF(COUNT(UK4)=0,0,UK4),$B$10*IF(COUNT(UK10)=0,0,UK10),$B$13*IF(COUNT(UK13)=0,0,UK13),$B$16*IF(COUNT(UK16)=0,0,UK16),$B$20*IF(COUNT(UK20)=0,0,UK20))/SUM($B$4*COUNT(UK4),$B$10*COUNT(UK10),$B$13*COUNT(UK13),$B$16*COUNT(UK16),$B$20*COUNT(UK20)))</f>
        <v/>
      </c>
      <c r="UL22" s="134" t="str">
        <f>IF(UK22="","",UK22*5)</f>
        <v/>
      </c>
      <c r="UM22" s="62"/>
      <c r="UN22" s="62"/>
      <c r="UO22" s="62"/>
      <c r="UP22" s="132" t="str">
        <f>IF(COUNT(UP20,UP16,UP13,UP10,UP4)=0,"",SUM($B$4*IF(COUNT(UP4)=0,0,UP4),$B$10*IF(COUNT(UP10)=0,0,UP10),$B$13*IF(COUNT(UP13)=0,0,UP13),$B$16*IF(COUNT(UP16)=0,0,UP16),$B$20*IF(COUNT(UP20)=0,0,UP20))/SUM($B$4*COUNT(UP4),$B$10*COUNT(UP10),$B$13*COUNT(UP13),$B$16*COUNT(UP16),$B$20*COUNT(UP20)))</f>
        <v/>
      </c>
      <c r="UQ22" s="135" t="str">
        <f>IF(UP22="","",UP22*5)</f>
        <v/>
      </c>
      <c r="UR22" s="61"/>
      <c r="US22" s="61"/>
      <c r="UT22" s="131"/>
      <c r="UU22" s="131"/>
      <c r="UV22" s="131"/>
      <c r="UW22" s="132" t="str">
        <f>IF(COUNT(UW20,UW16,UW13,UW10,UW4)=0,"",SUM($B$4*IF(COUNT(UW4)=0,0,UW4),$B$10*IF(COUNT(UW10)=0,0,UW10),$B$13*IF(COUNT(UW13)=0,0,UW13),$B$16*IF(COUNT(UW16)=0,0,UW16),$B$20*IF(COUNT(UW20)=0,0,UW20))/SUM($B$4*COUNT(UW4),$B$10*COUNT(UW10),$B$13*COUNT(UW13),$B$16*COUNT(UW16),$B$20*COUNT(UW20)))</f>
        <v/>
      </c>
      <c r="UX22" s="133" t="str">
        <f>IF(UW22="","",UW22*5)</f>
        <v/>
      </c>
      <c r="UY22" s="62"/>
      <c r="UZ22" s="62"/>
      <c r="VA22" s="62"/>
      <c r="VB22" s="132" t="str">
        <f>IF(COUNT(VB20,VB16,VB13,VB10,VB4)=0,"",SUM($B$4*IF(COUNT(VB4)=0,0,VB4),$B$10*IF(COUNT(VB10)=0,0,VB10),$B$13*IF(COUNT(VB13)=0,0,VB13),$B$16*IF(COUNT(VB16)=0,0,VB16),$B$20*IF(COUNT(VB20)=0,0,VB20))/SUM($B$4*COUNT(VB4),$B$10*COUNT(VB10),$B$13*COUNT(VB13),$B$16*COUNT(VB16),$B$20*COUNT(VB20)))</f>
        <v/>
      </c>
      <c r="VC22" s="134" t="str">
        <f>IF(VB22="","",VB22*5)</f>
        <v/>
      </c>
      <c r="VD22" s="62"/>
      <c r="VE22" s="62"/>
      <c r="VF22" s="62"/>
      <c r="VG22" s="132" t="str">
        <f>IF(COUNT(VG20,VG16,VG13,VG10,VG4)=0,"",SUM($B$4*IF(COUNT(VG4)=0,0,VG4),$B$10*IF(COUNT(VG10)=0,0,VG10),$B$13*IF(COUNT(VG13)=0,0,VG13),$B$16*IF(COUNT(VG16)=0,0,VG16),$B$20*IF(COUNT(VG20)=0,0,VG20))/SUM($B$4*COUNT(VG4),$B$10*COUNT(VG10),$B$13*COUNT(VG13),$B$16*COUNT(VG16),$B$20*COUNT(VG20)))</f>
        <v/>
      </c>
      <c r="VH22" s="135" t="str">
        <f>IF(VG22="","",VG22*5)</f>
        <v/>
      </c>
      <c r="VI22" s="61"/>
      <c r="VJ22" s="61"/>
      <c r="VK22" s="131"/>
      <c r="VL22" s="131"/>
      <c r="VM22" s="131"/>
      <c r="VN22" s="132" t="str">
        <f>IF(COUNT(VN20,VN16,VN13,VN10,VN4)=0,"",SUM($B$4*IF(COUNT(VN4)=0,0,VN4),$B$10*IF(COUNT(VN10)=0,0,VN10),$B$13*IF(COUNT(VN13)=0,0,VN13),$B$16*IF(COUNT(VN16)=0,0,VN16),$B$20*IF(COUNT(VN20)=0,0,VN20))/SUM($B$4*COUNT(VN4),$B$10*COUNT(VN10),$B$13*COUNT(VN13),$B$16*COUNT(VN16),$B$20*COUNT(VN20)))</f>
        <v/>
      </c>
      <c r="VO22" s="133" t="str">
        <f>IF(VN22="","",VN22*5)</f>
        <v/>
      </c>
      <c r="VP22" s="62"/>
      <c r="VQ22" s="62"/>
      <c r="VR22" s="62"/>
      <c r="VS22" s="132" t="str">
        <f>IF(COUNT(VS20,VS16,VS13,VS10,VS4)=0,"",SUM($B$4*IF(COUNT(VS4)=0,0,VS4),$B$10*IF(COUNT(VS10)=0,0,VS10),$B$13*IF(COUNT(VS13)=0,0,VS13),$B$16*IF(COUNT(VS16)=0,0,VS16),$B$20*IF(COUNT(VS20)=0,0,VS20))/SUM($B$4*COUNT(VS4),$B$10*COUNT(VS10),$B$13*COUNT(VS13),$B$16*COUNT(VS16),$B$20*COUNT(VS20)))</f>
        <v/>
      </c>
      <c r="VT22" s="134" t="str">
        <f>IF(VS22="","",VS22*5)</f>
        <v/>
      </c>
      <c r="VU22" s="62"/>
      <c r="VV22" s="62"/>
      <c r="VW22" s="62"/>
      <c r="VX22" s="132" t="str">
        <f>IF(COUNT(VX20,VX16,VX13,VX10,VX4)=0,"",SUM($B$4*IF(COUNT(VX4)=0,0,VX4),$B$10*IF(COUNT(VX10)=0,0,VX10),$B$13*IF(COUNT(VX13)=0,0,VX13),$B$16*IF(COUNT(VX16)=0,0,VX16),$B$20*IF(COUNT(VX20)=0,0,VX20))/SUM($B$4*COUNT(VX4),$B$10*COUNT(VX10),$B$13*COUNT(VX13),$B$16*COUNT(VX16),$B$20*COUNT(VX20)))</f>
        <v/>
      </c>
      <c r="VY22" s="135" t="str">
        <f>IF(VX22="","",VX22*5)</f>
        <v/>
      </c>
      <c r="VZ22" s="61"/>
      <c r="WA22" s="61"/>
      <c r="WB22" s="131"/>
      <c r="WC22" s="131"/>
      <c r="WD22" s="131"/>
      <c r="WE22" s="132" t="str">
        <f>IF(COUNT(WE20,WE16,WE13,WE10,WE4)=0,"",SUM($B$4*IF(COUNT(WE4)=0,0,WE4),$B$10*IF(COUNT(WE10)=0,0,WE10),$B$13*IF(COUNT(WE13)=0,0,WE13),$B$16*IF(COUNT(WE16)=0,0,WE16),$B$20*IF(COUNT(WE20)=0,0,WE20))/SUM($B$4*COUNT(WE4),$B$10*COUNT(WE10),$B$13*COUNT(WE13),$B$16*COUNT(WE16),$B$20*COUNT(WE20)))</f>
        <v/>
      </c>
      <c r="WF22" s="133" t="str">
        <f>IF(WE22="","",WE22*5)</f>
        <v/>
      </c>
      <c r="WG22" s="62"/>
      <c r="WH22" s="62"/>
      <c r="WI22" s="62"/>
      <c r="WJ22" s="132" t="str">
        <f>IF(COUNT(WJ20,WJ16,WJ13,WJ10,WJ4)=0,"",SUM($B$4*IF(COUNT(WJ4)=0,0,WJ4),$B$10*IF(COUNT(WJ10)=0,0,WJ10),$B$13*IF(COUNT(WJ13)=0,0,WJ13),$B$16*IF(COUNT(WJ16)=0,0,WJ16),$B$20*IF(COUNT(WJ20)=0,0,WJ20))/SUM($B$4*COUNT(WJ4),$B$10*COUNT(WJ10),$B$13*COUNT(WJ13),$B$16*COUNT(WJ16),$B$20*COUNT(WJ20)))</f>
        <v/>
      </c>
      <c r="WK22" s="134" t="str">
        <f>IF(WJ22="","",WJ22*5)</f>
        <v/>
      </c>
      <c r="WL22" s="62"/>
      <c r="WM22" s="62"/>
      <c r="WN22" s="62"/>
      <c r="WO22" s="132" t="str">
        <f>IF(COUNT(WO20,WO16,WO13,WO10,WO4)=0,"",SUM($B$4*IF(COUNT(WO4)=0,0,WO4),$B$10*IF(COUNT(WO10)=0,0,WO10),$B$13*IF(COUNT(WO13)=0,0,WO13),$B$16*IF(COUNT(WO16)=0,0,WO16),$B$20*IF(COUNT(WO20)=0,0,WO20))/SUM($B$4*COUNT(WO4),$B$10*COUNT(WO10),$B$13*COUNT(WO13),$B$16*COUNT(WO16),$B$20*COUNT(WO20)))</f>
        <v/>
      </c>
      <c r="WP22" s="135" t="str">
        <f>IF(WO22="","",WO22*5)</f>
        <v/>
      </c>
      <c r="WQ22" s="61"/>
      <c r="WR22" s="61"/>
    </row>
    <row r="23" spans="1:616" s="136" customFormat="1" ht="16.5" x14ac:dyDescent="0.75">
      <c r="A23" s="146"/>
      <c r="B23" s="146"/>
      <c r="F23" s="146"/>
      <c r="G23" s="146"/>
      <c r="L23" s="146"/>
      <c r="M23" s="146"/>
      <c r="T23" s="146"/>
      <c r="U23" s="146"/>
      <c r="V23" s="172"/>
      <c r="W23" s="172"/>
      <c r="AA23" s="146"/>
      <c r="AB23" s="146"/>
      <c r="AG23" s="146"/>
      <c r="AH23" s="146"/>
      <c r="AO23" s="146"/>
      <c r="AP23" s="146"/>
      <c r="AQ23" s="172"/>
      <c r="AR23" s="172"/>
      <c r="BL23" s="137"/>
      <c r="BM23" s="137"/>
      <c r="CG23" s="137"/>
      <c r="CH23" s="137"/>
      <c r="DB23" s="137"/>
      <c r="DC23" s="137"/>
      <c r="DW23" s="137"/>
      <c r="DX23" s="137"/>
      <c r="ER23" s="137"/>
      <c r="ES23" s="137"/>
      <c r="FM23" s="137"/>
      <c r="FN23" s="137"/>
      <c r="GH23" s="137"/>
      <c r="GI23" s="137"/>
      <c r="HC23" s="137"/>
      <c r="HD23" s="137"/>
      <c r="HX23" s="137"/>
      <c r="HY23" s="137"/>
      <c r="IS23" s="137"/>
      <c r="IT23" s="137"/>
      <c r="JN23" s="137"/>
      <c r="JO23" s="137"/>
      <c r="KI23" s="137"/>
      <c r="KJ23" s="137"/>
      <c r="LD23" s="137"/>
      <c r="LE23" s="137"/>
      <c r="LY23" s="137"/>
      <c r="LZ23" s="137"/>
      <c r="MT23" s="137"/>
      <c r="MU23" s="137"/>
      <c r="NO23" s="137"/>
      <c r="NP23" s="137"/>
      <c r="OJ23" s="137"/>
      <c r="OK23" s="137"/>
      <c r="PE23" s="137"/>
      <c r="PF23" s="137"/>
      <c r="PZ23" s="137"/>
      <c r="QA23" s="137"/>
      <c r="QU23" s="137"/>
      <c r="QV23" s="137"/>
      <c r="RP23" s="137"/>
      <c r="RQ23" s="137"/>
      <c r="SK23" s="137"/>
      <c r="SL23" s="137"/>
      <c r="TF23" s="137"/>
      <c r="TG23" s="137"/>
      <c r="UA23" s="137"/>
      <c r="UB23" s="137"/>
      <c r="UR23" s="137"/>
      <c r="US23" s="137"/>
      <c r="VI23" s="137"/>
      <c r="VJ23" s="137"/>
      <c r="VZ23" s="137"/>
      <c r="WA23" s="137"/>
      <c r="WQ23" s="137"/>
      <c r="WR23" s="137"/>
    </row>
    <row r="24" spans="1:616" ht="16.5" x14ac:dyDescent="0.55000000000000004">
      <c r="A24" s="147"/>
      <c r="B24" s="147"/>
      <c r="C24" s="138"/>
      <c r="D24" s="137"/>
      <c r="E24" s="137"/>
      <c r="F24" s="147"/>
      <c r="G24" s="147"/>
      <c r="I24" s="137"/>
      <c r="J24" s="137"/>
      <c r="K24" s="137"/>
      <c r="N24" s="139"/>
      <c r="O24" s="139"/>
      <c r="P24" s="139"/>
      <c r="Q24" s="139"/>
      <c r="R24" s="139"/>
      <c r="S24" s="139"/>
      <c r="T24" s="171"/>
      <c r="V24" s="147"/>
      <c r="W24" s="147"/>
      <c r="X24" s="138"/>
      <c r="Y24" s="137"/>
      <c r="Z24" s="137"/>
      <c r="AA24" s="147"/>
      <c r="AB24" s="147"/>
      <c r="AD24" s="137"/>
      <c r="AE24" s="137"/>
      <c r="AF24" s="137"/>
      <c r="AI24" s="139"/>
      <c r="AJ24" s="139"/>
      <c r="AK24" s="139"/>
      <c r="AL24" s="139"/>
      <c r="AM24" s="139"/>
      <c r="AN24" s="139"/>
      <c r="AO24" s="171"/>
      <c r="AQ24" s="147"/>
      <c r="AR24" s="147"/>
      <c r="AS24" s="138"/>
      <c r="AT24" s="137"/>
      <c r="AU24" s="137"/>
      <c r="AV24" s="138"/>
      <c r="AW24" s="138"/>
      <c r="AY24" s="137"/>
      <c r="AZ24" s="137"/>
      <c r="BA24" s="137"/>
      <c r="BD24" s="139"/>
      <c r="BE24" s="139"/>
      <c r="BF24" s="139"/>
      <c r="BG24" s="139"/>
      <c r="BH24" s="139"/>
      <c r="BI24" s="139"/>
      <c r="BJ24" s="139"/>
      <c r="BL24" s="138"/>
      <c r="BM24" s="138"/>
      <c r="BN24" s="138"/>
      <c r="BO24" s="137"/>
      <c r="BP24" s="137"/>
      <c r="BQ24" s="138"/>
      <c r="BR24" s="138"/>
      <c r="BT24" s="137"/>
      <c r="BU24" s="137"/>
      <c r="BV24" s="137"/>
      <c r="BY24" s="139"/>
      <c r="BZ24" s="139"/>
      <c r="CA24" s="139"/>
      <c r="CB24" s="139"/>
      <c r="CC24" s="139"/>
      <c r="CD24" s="139"/>
      <c r="CE24" s="139"/>
      <c r="CG24" s="138"/>
      <c r="CH24" s="138"/>
      <c r="CI24" s="138"/>
      <c r="CJ24" s="137"/>
      <c r="CK24" s="137"/>
      <c r="CL24" s="138"/>
      <c r="CM24" s="138"/>
      <c r="CO24" s="137"/>
      <c r="CP24" s="137"/>
      <c r="CQ24" s="137"/>
      <c r="CT24" s="139"/>
      <c r="CU24" s="139"/>
      <c r="CV24" s="139"/>
      <c r="CW24" s="139"/>
      <c r="CX24" s="139"/>
      <c r="CY24" s="139"/>
      <c r="CZ24" s="139"/>
      <c r="DB24" s="138"/>
      <c r="DC24" s="138"/>
      <c r="DD24" s="138"/>
      <c r="DE24" s="137"/>
      <c r="DF24" s="137"/>
      <c r="DG24" s="138"/>
      <c r="DH24" s="138"/>
      <c r="DJ24" s="137"/>
      <c r="DK24" s="137"/>
      <c r="DL24" s="137"/>
      <c r="DO24" s="139"/>
      <c r="DP24" s="139"/>
      <c r="DQ24" s="139"/>
      <c r="DR24" s="139"/>
      <c r="DS24" s="139"/>
      <c r="DT24" s="139"/>
      <c r="DU24" s="139"/>
      <c r="DW24" s="138"/>
      <c r="DX24" s="138"/>
      <c r="DY24" s="138"/>
      <c r="DZ24" s="137"/>
      <c r="EA24" s="137"/>
      <c r="EB24" s="138"/>
      <c r="EC24" s="138"/>
      <c r="EE24" s="137"/>
      <c r="EF24" s="137"/>
      <c r="EG24" s="137"/>
      <c r="EJ24" s="139"/>
      <c r="EK24" s="139"/>
      <c r="EL24" s="139"/>
      <c r="EM24" s="139"/>
      <c r="EN24" s="139"/>
      <c r="EO24" s="139"/>
      <c r="EP24" s="139"/>
      <c r="ER24" s="138"/>
      <c r="ES24" s="138"/>
      <c r="ET24" s="138"/>
      <c r="EU24" s="137"/>
      <c r="EV24" s="137"/>
      <c r="EW24" s="138"/>
      <c r="EX24" s="138"/>
      <c r="EZ24" s="137"/>
      <c r="FA24" s="137"/>
      <c r="FB24" s="137"/>
      <c r="FE24" s="139"/>
      <c r="FF24" s="139"/>
      <c r="FG24" s="139"/>
      <c r="FH24" s="139"/>
      <c r="FI24" s="139"/>
      <c r="FJ24" s="139"/>
      <c r="FK24" s="139"/>
      <c r="FM24" s="138"/>
      <c r="FN24" s="138"/>
      <c r="FO24" s="138"/>
      <c r="FP24" s="137"/>
      <c r="FQ24" s="137"/>
      <c r="FR24" s="138"/>
      <c r="FS24" s="138"/>
      <c r="FU24" s="137"/>
      <c r="FV24" s="137"/>
      <c r="FW24" s="137"/>
      <c r="FZ24" s="139"/>
      <c r="GA24" s="139"/>
      <c r="GB24" s="139"/>
      <c r="GC24" s="139"/>
      <c r="GD24" s="139"/>
      <c r="GE24" s="139"/>
      <c r="GF24" s="139"/>
      <c r="GH24" s="138"/>
      <c r="GI24" s="138"/>
      <c r="GJ24" s="138"/>
      <c r="GK24" s="137"/>
      <c r="GL24" s="137"/>
      <c r="GM24" s="138"/>
      <c r="GN24" s="138"/>
      <c r="GP24" s="137"/>
      <c r="GQ24" s="137"/>
      <c r="GR24" s="137"/>
      <c r="GU24" s="139"/>
      <c r="GV24" s="139"/>
      <c r="GW24" s="139"/>
      <c r="GX24" s="139"/>
      <c r="GY24" s="139"/>
      <c r="GZ24" s="139"/>
      <c r="HA24" s="139"/>
      <c r="HC24" s="138"/>
      <c r="HD24" s="138"/>
      <c r="HE24" s="138"/>
      <c r="HF24" s="137"/>
      <c r="HG24" s="137"/>
      <c r="HH24" s="138"/>
      <c r="HI24" s="138"/>
      <c r="HK24" s="137"/>
      <c r="HL24" s="137"/>
      <c r="HM24" s="137"/>
      <c r="HP24" s="139"/>
      <c r="HQ24" s="139"/>
      <c r="HR24" s="139"/>
      <c r="HS24" s="139"/>
      <c r="HT24" s="139"/>
      <c r="HU24" s="139"/>
      <c r="HV24" s="139"/>
      <c r="HX24" s="138"/>
      <c r="HY24" s="138"/>
      <c r="HZ24" s="138"/>
      <c r="IA24" s="137"/>
      <c r="IB24" s="137"/>
      <c r="IC24" s="138"/>
      <c r="ID24" s="138"/>
      <c r="IF24" s="137"/>
      <c r="IG24" s="137"/>
      <c r="IH24" s="137"/>
      <c r="IK24" s="139"/>
      <c r="IL24" s="139"/>
      <c r="IM24" s="139"/>
      <c r="IN24" s="139"/>
      <c r="IO24" s="139"/>
      <c r="IP24" s="139"/>
      <c r="IQ24" s="139"/>
      <c r="IS24" s="138"/>
      <c r="IT24" s="138"/>
      <c r="IU24" s="138"/>
      <c r="IV24" s="137"/>
      <c r="IW24" s="137"/>
      <c r="IX24" s="138"/>
      <c r="IY24" s="138"/>
      <c r="JA24" s="137"/>
      <c r="JB24" s="137"/>
      <c r="JC24" s="137"/>
      <c r="JF24" s="139"/>
      <c r="JG24" s="139"/>
      <c r="JH24" s="139"/>
      <c r="JI24" s="139"/>
      <c r="JJ24" s="139"/>
      <c r="JK24" s="139"/>
      <c r="JL24" s="139"/>
      <c r="JN24" s="138"/>
      <c r="JO24" s="138"/>
      <c r="JP24" s="138"/>
      <c r="JQ24" s="137"/>
      <c r="JR24" s="137"/>
      <c r="JS24" s="138"/>
      <c r="JT24" s="138"/>
      <c r="JV24" s="137"/>
      <c r="JW24" s="137"/>
      <c r="JX24" s="137"/>
      <c r="KA24" s="139"/>
      <c r="KB24" s="139"/>
      <c r="KC24" s="139"/>
      <c r="KD24" s="139"/>
      <c r="KE24" s="139"/>
      <c r="KF24" s="139"/>
      <c r="KG24" s="139"/>
      <c r="KI24" s="138"/>
      <c r="KJ24" s="138"/>
      <c r="KK24" s="138"/>
      <c r="KL24" s="137"/>
      <c r="KM24" s="137"/>
      <c r="KN24" s="138"/>
      <c r="KO24" s="138"/>
      <c r="KQ24" s="137"/>
      <c r="KR24" s="137"/>
      <c r="KS24" s="137"/>
      <c r="KV24" s="139"/>
      <c r="KW24" s="139"/>
      <c r="KX24" s="139"/>
      <c r="KY24" s="139"/>
      <c r="KZ24" s="139"/>
      <c r="LA24" s="139"/>
      <c r="LB24" s="139"/>
      <c r="LD24" s="138"/>
      <c r="LE24" s="138"/>
      <c r="LF24" s="138"/>
      <c r="LG24" s="137"/>
      <c r="LH24" s="137"/>
      <c r="LI24" s="138"/>
      <c r="LJ24" s="138"/>
      <c r="LL24" s="137"/>
      <c r="LM24" s="137"/>
      <c r="LN24" s="137"/>
      <c r="LQ24" s="139"/>
      <c r="LR24" s="139"/>
      <c r="LS24" s="139"/>
      <c r="LT24" s="139"/>
      <c r="LU24" s="139"/>
      <c r="LV24" s="139"/>
      <c r="LW24" s="139"/>
      <c r="LY24" s="138"/>
      <c r="LZ24" s="138"/>
      <c r="MA24" s="138"/>
      <c r="MB24" s="137"/>
      <c r="MC24" s="137"/>
      <c r="MD24" s="138"/>
      <c r="ME24" s="138"/>
      <c r="MG24" s="137"/>
      <c r="MH24" s="137"/>
      <c r="MI24" s="137"/>
      <c r="ML24" s="139"/>
      <c r="MM24" s="139"/>
      <c r="MN24" s="139"/>
      <c r="MO24" s="139"/>
      <c r="MP24" s="139"/>
      <c r="MQ24" s="139"/>
      <c r="MR24" s="139"/>
      <c r="MT24" s="138"/>
      <c r="MU24" s="138"/>
      <c r="MV24" s="138"/>
      <c r="MW24" s="137"/>
      <c r="MX24" s="137"/>
      <c r="MY24" s="138"/>
      <c r="MZ24" s="138"/>
      <c r="NB24" s="137"/>
      <c r="NC24" s="137"/>
      <c r="ND24" s="137"/>
      <c r="NG24" s="139"/>
      <c r="NH24" s="139"/>
      <c r="NI24" s="139"/>
      <c r="NJ24" s="139"/>
      <c r="NK24" s="139"/>
      <c r="NL24" s="139"/>
      <c r="NM24" s="139"/>
      <c r="NO24" s="138"/>
      <c r="NP24" s="138"/>
      <c r="NQ24" s="138"/>
      <c r="NR24" s="137"/>
      <c r="NS24" s="137"/>
      <c r="NT24" s="138"/>
      <c r="NU24" s="138"/>
      <c r="NW24" s="137"/>
      <c r="NX24" s="137"/>
      <c r="NY24" s="137"/>
      <c r="OB24" s="139"/>
      <c r="OC24" s="139"/>
      <c r="OD24" s="139"/>
      <c r="OE24" s="139"/>
      <c r="OF24" s="139"/>
      <c r="OG24" s="139"/>
      <c r="OH24" s="139"/>
      <c r="OJ24" s="138"/>
      <c r="OK24" s="138"/>
      <c r="OL24" s="138"/>
      <c r="OM24" s="137"/>
      <c r="ON24" s="137"/>
      <c r="OO24" s="138"/>
      <c r="OP24" s="138"/>
      <c r="OR24" s="137"/>
      <c r="OS24" s="137"/>
      <c r="OT24" s="137"/>
      <c r="OW24" s="139"/>
      <c r="OX24" s="139"/>
      <c r="OY24" s="139"/>
      <c r="OZ24" s="139"/>
      <c r="PA24" s="139"/>
      <c r="PB24" s="139"/>
      <c r="PC24" s="139"/>
      <c r="PE24" s="138"/>
      <c r="PF24" s="138"/>
      <c r="PG24" s="138"/>
      <c r="PH24" s="137"/>
      <c r="PI24" s="137"/>
      <c r="PJ24" s="138"/>
      <c r="PK24" s="138"/>
      <c r="PM24" s="137"/>
      <c r="PN24" s="137"/>
      <c r="PO24" s="137"/>
      <c r="PR24" s="139"/>
      <c r="PS24" s="139"/>
      <c r="PT24" s="139"/>
      <c r="PU24" s="139"/>
      <c r="PV24" s="139"/>
      <c r="PW24" s="139"/>
      <c r="PX24" s="139"/>
      <c r="PZ24" s="138"/>
      <c r="QA24" s="138"/>
      <c r="QB24" s="138"/>
      <c r="QC24" s="137"/>
      <c r="QD24" s="137"/>
      <c r="QE24" s="138"/>
      <c r="QF24" s="138"/>
      <c r="QH24" s="137"/>
      <c r="QI24" s="137"/>
      <c r="QJ24" s="137"/>
      <c r="QM24" s="139"/>
      <c r="QN24" s="139"/>
      <c r="QO24" s="139"/>
      <c r="QP24" s="139"/>
      <c r="QQ24" s="139"/>
      <c r="QR24" s="139"/>
      <c r="QS24" s="139"/>
      <c r="QU24" s="138"/>
      <c r="QV24" s="138"/>
      <c r="QW24" s="138"/>
      <c r="QX24" s="137"/>
      <c r="QY24" s="137"/>
      <c r="QZ24" s="138"/>
      <c r="RA24" s="138"/>
      <c r="RC24" s="137"/>
      <c r="RD24" s="137"/>
      <c r="RE24" s="137"/>
      <c r="RH24" s="139"/>
      <c r="RI24" s="139"/>
      <c r="RJ24" s="139"/>
      <c r="RK24" s="139"/>
      <c r="RL24" s="139"/>
      <c r="RM24" s="139"/>
      <c r="RN24" s="139"/>
      <c r="RP24" s="138"/>
      <c r="RQ24" s="138"/>
      <c r="RR24" s="138"/>
      <c r="RS24" s="137"/>
      <c r="RT24" s="137"/>
      <c r="RU24" s="138"/>
      <c r="RV24" s="138"/>
      <c r="RX24" s="137"/>
      <c r="RY24" s="137"/>
      <c r="RZ24" s="137"/>
      <c r="SC24" s="139"/>
      <c r="SD24" s="139"/>
      <c r="SE24" s="139"/>
      <c r="SF24" s="139"/>
      <c r="SG24" s="139"/>
      <c r="SH24" s="139"/>
      <c r="SI24" s="139"/>
      <c r="SK24" s="138"/>
      <c r="SL24" s="138"/>
      <c r="SM24" s="138"/>
      <c r="SN24" s="137"/>
      <c r="SO24" s="137"/>
      <c r="SP24" s="138"/>
      <c r="SQ24" s="138"/>
      <c r="SS24" s="137"/>
      <c r="ST24" s="137"/>
      <c r="SU24" s="137"/>
      <c r="SX24" s="139"/>
      <c r="SY24" s="139"/>
      <c r="SZ24" s="139"/>
      <c r="TA24" s="139"/>
      <c r="TB24" s="139"/>
      <c r="TC24" s="139"/>
      <c r="TD24" s="139"/>
      <c r="TF24" s="138"/>
      <c r="TG24" s="138"/>
      <c r="TH24" s="138"/>
      <c r="TI24" s="137"/>
      <c r="TJ24" s="137"/>
      <c r="TK24" s="138"/>
      <c r="TL24" s="138"/>
      <c r="TN24" s="137"/>
      <c r="TO24" s="137"/>
      <c r="TP24" s="137"/>
      <c r="TS24" s="139"/>
      <c r="TT24" s="139"/>
      <c r="TU24" s="139"/>
      <c r="TV24" s="139"/>
      <c r="TW24" s="139"/>
      <c r="TX24" s="139"/>
      <c r="TY24" s="139"/>
      <c r="UA24" s="138"/>
      <c r="UB24" s="138"/>
      <c r="UC24" s="138"/>
      <c r="UD24" s="137"/>
      <c r="UE24" s="137"/>
      <c r="UF24" s="138"/>
      <c r="UG24" s="138"/>
      <c r="UI24" s="137"/>
      <c r="UJ24" s="137"/>
      <c r="UM24" s="139"/>
      <c r="UN24" s="139"/>
      <c r="UO24" s="139"/>
      <c r="UP24" s="139"/>
      <c r="UR24" s="138"/>
      <c r="US24" s="138"/>
      <c r="UT24" s="138"/>
      <c r="UU24" s="137"/>
      <c r="UV24" s="137"/>
      <c r="UW24" s="138"/>
      <c r="UX24" s="138"/>
      <c r="UZ24" s="137"/>
      <c r="VA24" s="137"/>
      <c r="VD24" s="139"/>
      <c r="VE24" s="139"/>
      <c r="VF24" s="139"/>
      <c r="VG24" s="139"/>
      <c r="VI24" s="138"/>
      <c r="VJ24" s="138"/>
      <c r="VK24" s="138"/>
      <c r="VL24" s="137"/>
      <c r="VM24" s="137"/>
      <c r="VN24" s="138"/>
      <c r="VO24" s="138"/>
      <c r="VQ24" s="137"/>
      <c r="VR24" s="137"/>
      <c r="VU24" s="139"/>
      <c r="VV24" s="139"/>
      <c r="VW24" s="139"/>
      <c r="VX24" s="139"/>
      <c r="VZ24" s="138"/>
      <c r="WA24" s="138"/>
      <c r="WB24" s="138"/>
      <c r="WC24" s="137"/>
      <c r="WD24" s="137"/>
      <c r="WE24" s="138"/>
      <c r="WF24" s="138"/>
      <c r="WH24" s="137"/>
      <c r="WI24" s="137"/>
      <c r="WL24" s="64"/>
      <c r="WM24" s="64"/>
      <c r="WN24" s="64"/>
      <c r="WO24" s="64"/>
      <c r="WP24" s="64"/>
      <c r="WQ24" s="64"/>
      <c r="WR24" s="64"/>
    </row>
  </sheetData>
  <sheetProtection algorithmName="SHA-512" hashValue="dqAzR0heZcIK4aqNgeQgtdBO1lKU7MWlG98BQbiRhEsZDooUEmfiHrL+IQ+vXFGdD0A8qYYCBI+vnLnNPlQtLg==" saltValue="gZpY576L/trrX4pGmMMOGg==" spinCount="100000" sheet="1" insertColumns="0" deleteColumns="0" selectLockedCells="1"/>
  <dataConsolidate/>
  <mergeCells count="15">
    <mergeCell ref="A1:B1"/>
    <mergeCell ref="A5:B5"/>
    <mergeCell ref="A6:B6"/>
    <mergeCell ref="A7:B7"/>
    <mergeCell ref="A8:B8"/>
    <mergeCell ref="A9:B9"/>
    <mergeCell ref="A11:B11"/>
    <mergeCell ref="A12:B12"/>
    <mergeCell ref="A14:B14"/>
    <mergeCell ref="A15:B15"/>
    <mergeCell ref="A17:B17"/>
    <mergeCell ref="A18:B18"/>
    <mergeCell ref="A19:B19"/>
    <mergeCell ref="A21:B21"/>
    <mergeCell ref="A22:B22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ref!$B$3:$B$6</xm:f>
          </x14:formula1>
          <xm:sqref>H5:K9 C5:E9 N5:S9 X5:Z9 AC5:AF9 AI5:AN9 C11:E12 H11:K12 N11:S12 X11:Z12 AC11:AF12 AI11:AN12 C14:E15 H14:K15 N14:S15 X14:Z15 AC14:AF15 AI14:AN15 C17:E19 H17:K19 N17:S19 X17:Z19 AC17:AF19 AI17:AN19 C21:E21 H21:K21 N21:S21 X21:Z21 AC21:AF21 AI21:AN21 SM5:SO9 SR5:SU9 SX5:TC9 SM11:SO12 SR11:SU12 SX11:TC12 SM14:SO15 SR14:SU15 SX14:TC15 SM17:SO19 SR17:SU19 SX17:TC19 SM21:SO21 SR21:SU21 SX21:TC21 TH5:TJ9 TM5:TP9 TS5:TX9 TH11:TJ12 TM11:TP12 TS11:TX12 TH14:TJ15 TM14:TP15 TS14:TX15 TH17:TJ19 TM17:TP19 TS17:TX19 TH21:TJ21 TM21:TP21 TS21:TX21 UT5:UV9 UY5:VA9 VD5:VF9 UT11:UV12 UY11:VA12 VD11:VF12 UT14:UV15 UY14:VA15 VD14:VF15 UT17:UV19 UY17:VA19 VD17:VF19 UT21:UV21 UY21:VA21 VD21:VF21 UC5:UE9 UH5:UJ9 UM5:UO9 UC11:UE12 UH11:UJ12 UM11:UO12 UC14:UE15 UH14:UJ15 UM14:UO15 UC17:UE19 UH17:UJ19 UM17:UO19 UC21:UE21 UH21:UJ21 UM21:UO21 VK5:VM9 VP5:VR9 VU5:VW9 VK11:VM12 VP11:VR12 VU11:VW12 VK14:VM15 VP14:VR15 VU14:VW15 VK17:VM19 VP17:VR19 VU17:VW19 VK21:VM21 VP21:VR21 VU21:VW21 AS5:AU9 AX5:BA9 BD5:BI9 AS11:AU12 AX11:BA12 BD11:BI12 AS14:AU15 AX14:BA15 BD14:BI15 AS17:AU19 AX17:BA19 BD17:BI19 AS21:AU21 AX21:BA21 BD21:BI21 BN5:BP9 BS5:BV9 BY5:CD9 BN11:BP12 BS11:BV12 BY11:CD12 BN14:BP15 BS14:BV15 BY14:CD15 BN17:BP19 BS17:BV19 BY17:CD19 BN21:BP21 BS21:BV21 BY21:CD21 CI5:CK9 CN5:CQ9 CT5:CY9 CI11:CK12 CN11:CQ12 CT11:CY12 CI14:CK15 CN14:CQ15 CT14:CY15 CI17:CK19 CN17:CQ19 CT17:CY19 CI21:CK21 CN21:CQ21 CT21:CY21 DD5:DF9 DI5:DL9 DO5:DT9 DD11:DF12 DI11:DL12 DO11:DT12 DD14:DF15 DI14:DL15 DO14:DT15 DD17:DF19 DI17:DL19 DO17:DT19 DD21:DF21 DI21:DL21 DO21:DT21 DY5:EA9 ED5:EG9 EJ5:EO9 DY11:EA12 ED11:EG12 EJ11:EO12 DY14:EA15 ED14:EG15 EJ14:EO15 DY17:EA19 ED17:EG19 EJ17:EO19 DY21:EA21 ED21:EG21 EJ21:EO21 ET5:EV9 EY5:FB9 FE5:FJ9 ET11:EV12 EY11:FB12 FE11:FJ12 ET14:EV15 EY14:FB15 FE14:FJ15 ET17:EV19 EY17:FB19 FE17:FJ19 ET21:EV21 EY21:FB21 FE21:FJ21 FO5:FQ9 FT5:FW9 FZ5:GE9 FO11:FQ12 FT11:FW12 FZ11:GE12 FO14:FQ15 FT14:FW15 FZ14:GE15 FO17:FQ19 FT17:FW19 FZ17:GE19 FO21:FQ21 FT21:FW21 FZ21:GE21 GJ5:GL9 GO5:GR9 GU5:GZ9 GJ11:GL12 GO11:GR12 GU11:GZ12 GJ14:GL15 GO14:GR15 GU14:GZ15 GJ17:GL19 GO17:GR19 GU17:GZ19 GJ21:GL21 GO21:GR21 GU21:GZ21 HE5:HG9 HJ5:HM9 HP5:HU9 HE11:HG12 HJ11:HM12 HP11:HU12 HE14:HG15 HJ14:HM15 HP14:HU15 HE17:HG19 HJ17:HM19 HP17:HU19 HE21:HG21 HJ21:HM21 HP21:HU21 HZ5:IB9 IE5:IH9 IK5:IP9 HZ11:IB12 IE11:IH12 IK11:IP12 HZ14:IB15 IE14:IH15 IK14:IP15 HZ17:IB19 IE17:IH19 IK17:IP19 HZ21:IB21 IE21:IH21 IK21:IP21 IU5:IW9 IZ5:JC9 JF5:JK9 IU11:IW12 IZ11:JC12 JF11:JK12 IU14:IW15 IZ14:JC15 JF14:JK15 IU17:IW19 IZ17:JC19 JF17:JK19 IU21:IW21 IZ21:JC21 JF21:JK21 JP5:JR9 JU5:JX9 KA5:KF9 JP11:JR12 JU11:JX12 KA11:KF12 JP14:JR15 JU14:JX15 KA14:KF15 JP17:JR19 JU17:JX19 KA17:KF19 JP21:JR21 JU21:JX21 KA21:KF21 KK5:KM9 KP5:KS9 KV5:LA9 KK11:KM12 KP11:KS12 KV11:LA12 KK14:KM15 KP14:KS15 KV14:LA15 KK17:KM19 KP17:KS19 KV17:LA19 KK21:KM21 KP21:KS21 KV21:LA21 LF5:LH9 LK5:LN9 LQ5:LV9 LF11:LH12 LK11:LN12 LQ11:LV12 LF14:LH15 LK14:LN15 LQ14:LV15 LF17:LH19 LK17:LN19 LQ17:LV19 LF21:LH21 LK21:LN21 LQ21:LV21 MA5:MC9 MF5:MI9 ML5:MQ9 MA11:MC12 MF11:MI12 ML11:MQ12 MA14:MC15 MF14:MI15 ML14:MQ15 MA17:MC19 MF17:MI19 ML17:MQ19 MA21:MC21 MF21:MI21 ML21:MQ21 MV5:MX9 NA5:ND9 NG5:NL9 MV11:MX12 NA11:ND12 NG11:NL12 MV14:MX15 NA14:ND15 NG14:NL15 MV17:MX19 NA17:ND19 NG17:NL19 MV21:MX21 NA21:ND21 NG21:NL21 NQ5:NS9 NV5:NY9 OB5:OG9 NQ11:NS12 NV11:NY12 OB11:OG12 NQ14:NS15 NV14:NY15 OB14:OG15 NQ17:NS19 NV17:NY19 OB17:OG19 NQ21:NS21 NV21:NY21 OB21:OG21 OL5:ON9 OQ5:OT9 OW5:PB9 OL11:ON12 OQ11:OT12 OW11:PB12 OL14:ON15 OQ14:OT15 OW14:PB15 OL17:ON19 OQ17:OT19 OW17:PB19 OL21:ON21 OQ21:OT21 OW21:PB21 PG5:PI9 PL5:PO9 PR5:PW9 PG11:PI12 PL11:PO12 PR11:PW12 PG14:PI15 PL14:PO15 PR14:PW15 PG17:PI19 PL17:PO19 PR17:PW19 PG21:PI21 PL21:PO21 PR21:PW21 QB5:QD9 QG5:QJ9 QM5:QR9 QB11:QD12 QG11:QJ12 QM11:QR12 QB14:QD15 QG14:QJ15 QM14:QR15 QB17:QD19 QG17:QJ19 QM17:QR19 QB21:QD21 QG21:QJ21 QM21:QR21 QW5:QY9 RB5:RE9 RH5:RM9 QW11:QY12 RB11:RE12 RH11:RM12 QW14:QY15 RB14:RE15 RH14:RM15 QW17:QY19 RB17:RE19 RH17:RM19 QW21:QY21 RB21:RE21 RH21:RM21 RR5:RT9 RW5:RZ9 SC5:SH9 RR11:RT12 RW11:RZ12 SC11:SH12 RR14:RT15 RW14:RZ15 SC14:SH15 RR17:RT19 RW17:RZ19 SC17:SH19 RR21:RT21 RW21:RZ21 SC21:SH21 WB5:WD9 WG5:WI9 WL5:WN9 WB11:WD12 WG11:WI12 WL11:WN12 WB14:WD15 WG14:WI15 WL14:WN15 WB17:WD19 WG17:WI19 WL17:WN19 WB21:WD21 WG21:WI21 WL21:WN21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AB27"/>
  <sheetViews>
    <sheetView topLeftCell="A3" zoomScale="90" zoomScaleNormal="90" workbookViewId="0"/>
  </sheetViews>
  <sheetFormatPr baseColWidth="10" defaultColWidth="11.41796875" defaultRowHeight="14.4" x14ac:dyDescent="0.55000000000000004"/>
  <cols>
    <col min="1" max="1" width="30.68359375" style="9" customWidth="1"/>
    <col min="2" max="26" width="6.68359375" style="9" customWidth="1"/>
    <col min="27" max="27" width="3" style="9" customWidth="1"/>
    <col min="28" max="28" width="20.15625" style="9" customWidth="1"/>
    <col min="29" max="16384" width="11.41796875" style="9"/>
  </cols>
  <sheetData>
    <row r="1" spans="1:28" ht="31.5" customHeight="1" thickBot="1" x14ac:dyDescent="0.6">
      <c r="A1" s="47" t="s">
        <v>189</v>
      </c>
      <c r="B1" s="209" t="s">
        <v>0</v>
      </c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  <c r="O1" s="209"/>
      <c r="P1" s="209"/>
      <c r="Q1" s="209"/>
      <c r="R1" s="209"/>
      <c r="S1" s="209"/>
      <c r="T1" s="209"/>
      <c r="U1" s="209"/>
      <c r="V1" s="209"/>
      <c r="W1" s="209"/>
      <c r="X1" s="209"/>
      <c r="Y1" s="209"/>
      <c r="Z1" s="210"/>
      <c r="AB1" s="48" t="s">
        <v>41</v>
      </c>
    </row>
    <row r="2" spans="1:28" ht="25" customHeight="1" thickTop="1" x14ac:dyDescent="0.55000000000000004">
      <c r="A2" s="211" t="s">
        <v>1</v>
      </c>
      <c r="B2" s="213" t="s">
        <v>181</v>
      </c>
      <c r="C2" s="213"/>
      <c r="D2" s="213"/>
      <c r="E2" s="214"/>
      <c r="F2" s="201" t="s">
        <v>3</v>
      </c>
      <c r="G2" s="202"/>
      <c r="H2" s="202"/>
      <c r="I2" s="203"/>
      <c r="J2" s="201" t="s">
        <v>4</v>
      </c>
      <c r="K2" s="202"/>
      <c r="L2" s="202"/>
      <c r="M2" s="203"/>
      <c r="N2" s="201" t="s">
        <v>5</v>
      </c>
      <c r="O2" s="202"/>
      <c r="P2" s="202"/>
      <c r="Q2" s="203"/>
      <c r="R2" s="201" t="s">
        <v>6</v>
      </c>
      <c r="S2" s="202"/>
      <c r="T2" s="202"/>
      <c r="U2" s="203"/>
      <c r="V2" s="206" t="s">
        <v>38</v>
      </c>
      <c r="W2" s="207"/>
      <c r="X2" s="208"/>
      <c r="Y2" s="204" t="s">
        <v>36</v>
      </c>
      <c r="Z2" s="205"/>
      <c r="AB2" s="49" t="s">
        <v>190</v>
      </c>
    </row>
    <row r="3" spans="1:28" ht="25" customHeight="1" thickBot="1" x14ac:dyDescent="0.6">
      <c r="A3" s="212"/>
      <c r="B3" s="31" t="s">
        <v>31</v>
      </c>
      <c r="C3" s="32" t="s">
        <v>32</v>
      </c>
      <c r="D3" s="31" t="s">
        <v>33</v>
      </c>
      <c r="E3" s="33" t="s">
        <v>10</v>
      </c>
      <c r="F3" s="34" t="s">
        <v>31</v>
      </c>
      <c r="G3" s="35" t="s">
        <v>32</v>
      </c>
      <c r="H3" s="36" t="s">
        <v>33</v>
      </c>
      <c r="I3" s="37" t="s">
        <v>10</v>
      </c>
      <c r="J3" s="38" t="s">
        <v>31</v>
      </c>
      <c r="K3" s="39" t="s">
        <v>32</v>
      </c>
      <c r="L3" s="36" t="s">
        <v>33</v>
      </c>
      <c r="M3" s="37" t="s">
        <v>10</v>
      </c>
      <c r="N3" s="34" t="s">
        <v>31</v>
      </c>
      <c r="O3" s="40" t="s">
        <v>32</v>
      </c>
      <c r="P3" s="36" t="s">
        <v>33</v>
      </c>
      <c r="Q3" s="37" t="s">
        <v>10</v>
      </c>
      <c r="R3" s="34" t="s">
        <v>31</v>
      </c>
      <c r="S3" s="40" t="s">
        <v>32</v>
      </c>
      <c r="T3" s="36" t="s">
        <v>33</v>
      </c>
      <c r="U3" s="37" t="s">
        <v>10</v>
      </c>
      <c r="V3" s="28" t="s">
        <v>31</v>
      </c>
      <c r="W3" s="29" t="s">
        <v>32</v>
      </c>
      <c r="X3" s="29" t="s">
        <v>33</v>
      </c>
      <c r="Y3" s="30" t="s">
        <v>14</v>
      </c>
      <c r="Z3" s="50" t="s">
        <v>45</v>
      </c>
      <c r="AA3" s="51"/>
      <c r="AB3" s="52" t="s">
        <v>182</v>
      </c>
    </row>
    <row r="4" spans="1:28" ht="15.75" customHeight="1" thickTop="1" x14ac:dyDescent="0.55000000000000004">
      <c r="A4" s="53" t="str">
        <f ca="1">CELL("contenu",INDIRECT(ADDRESS(ROW()-2,5,1,,CELL("contenu",$AB$3))))</f>
        <v>AOUILLE Ethan</v>
      </c>
      <c r="B4" s="2" t="str">
        <f ca="1">CELL("contenu",INDIRECT(ADDRESS(ref!$K$3,ref!E3,1,,CELL("contenu",$AB$2))))</f>
        <v>C</v>
      </c>
      <c r="C4" s="3" t="str">
        <f ca="1">CELL("contenu",INDIRECT(ADDRESS(ref!$K$3,ref!F3,1,,CELL("contenu",$AB$2))))</f>
        <v>B</v>
      </c>
      <c r="D4" s="4" t="str">
        <f ca="1">CELL("contenu",INDIRECT(ADDRESS(ref!$K$3,ref!G3,1,,CELL("contenu",$AB$2))))</f>
        <v>C</v>
      </c>
      <c r="E4" s="5" t="str">
        <f ca="1">CELL("contenu",INDIRECT(ADDRESS(ref!$K$3,ref!H3,1,,CELL("contenu",$AB$2))))</f>
        <v>C</v>
      </c>
      <c r="F4" s="6" t="str">
        <f ca="1">CELL("contenu",INDIRECT(ADDRESS(ref!$K$4,ref!E3,1,,CELL("contenu",$AB$2))))</f>
        <v>B</v>
      </c>
      <c r="G4" s="3" t="str">
        <f ca="1">CELL("contenu",INDIRECT(ADDRESS(ref!$K$4,ref!F3,1,,CELL("contenu",$AB$2))))</f>
        <v/>
      </c>
      <c r="H4" s="4" t="str">
        <f ca="1">CELL("contenu",INDIRECT(ADDRESS(ref!$K$4,ref!G3,1,,CELL("contenu",$AB$2))))</f>
        <v>B</v>
      </c>
      <c r="I4" s="5" t="str">
        <f ca="1">CELL("contenu",INDIRECT(ADDRESS(ref!$K$4,ref!H3,1,,CELL("contenu",$AB$2))))</f>
        <v>B</v>
      </c>
      <c r="J4" s="6" t="str">
        <f ca="1">CELL("contenu",INDIRECT(ADDRESS(ref!$K$5,ref!E3,1,,CELL("contenu",$AB$2))))</f>
        <v/>
      </c>
      <c r="K4" s="3" t="str">
        <f ca="1">CELL("contenu",INDIRECT(ADDRESS(ref!$K$5,ref!F3,1,,CELL("contenu",$AB$2))))</f>
        <v/>
      </c>
      <c r="L4" s="4" t="str">
        <f ca="1">CELL("contenu",INDIRECT(ADDRESS(ref!$K$5,ref!G3,1,,CELL("contenu",$AB$2))))</f>
        <v>B</v>
      </c>
      <c r="M4" s="5" t="str">
        <f ca="1">CELL("contenu",INDIRECT(ADDRESS(ref!$K$5,ref!H3,1,,CELL("contenu",$AB$2))))</f>
        <v>B</v>
      </c>
      <c r="N4" s="6" t="str">
        <f ca="1">CELL("contenu",INDIRECT(ADDRESS(ref!$K$6,ref!E3,1,,CELL("contenu",$AB$2))))</f>
        <v>B</v>
      </c>
      <c r="O4" s="3" t="str">
        <f ca="1">CELL("contenu",INDIRECT(ADDRESS(ref!$K$6,ref!F3,1,,CELL("contenu",$AB$2))))</f>
        <v>C</v>
      </c>
      <c r="P4" s="4" t="str">
        <f ca="1">CELL("contenu",INDIRECT(ADDRESS(ref!$K$6,ref!G3,1,,CELL("contenu",$AB$2))))</f>
        <v>B</v>
      </c>
      <c r="Q4" s="5" t="str">
        <f ca="1">CELL("contenu",INDIRECT(ADDRESS(ref!$K$6,ref!H3,1,,CELL("contenu",$AB$2))))</f>
        <v>C</v>
      </c>
      <c r="R4" s="6" t="str">
        <f ca="1">CELL("contenu",INDIRECT(ADDRESS(ref!$K$7,ref!E3,1,,CELL("contenu",$AB$2))))</f>
        <v>B</v>
      </c>
      <c r="S4" s="3" t="str">
        <f ca="1">CELL("contenu",INDIRECT(ADDRESS(ref!$K$7,ref!F3,1,,CELL("contenu",$AB$2))))</f>
        <v/>
      </c>
      <c r="T4" s="4" t="str">
        <f ca="1">CELL("contenu",INDIRECT(ADDRESS(ref!$K$7,ref!G3,1,,CELL("contenu",$AB$2))))</f>
        <v/>
      </c>
      <c r="U4" s="5" t="str">
        <f ca="1">CELL("contenu",INDIRECT(ADDRESS(ref!$K$7,ref!H3,1,,CELL("contenu",$AB$2))))</f>
        <v>B</v>
      </c>
      <c r="V4" s="41">
        <f ca="1">CELL("contenu",INDIRECT(ADDRESS(ref!$K$8,ref!E3,1,,CELL("contenu",$AB$2))))</f>
        <v>15</v>
      </c>
      <c r="W4" s="42">
        <f ca="1">CELL("contenu",INDIRECT(ADDRESS(ref!$K$8,ref!F3,1,,CELL("contenu",$AB$2))))</f>
        <v>12.5</v>
      </c>
      <c r="X4" s="43">
        <f ca="1">CELL("contenu",INDIRECT(ADDRESS(ref!$K$8,ref!G3,1,,CELL("contenu",$AB$2))))</f>
        <v>15.3125</v>
      </c>
      <c r="Y4" s="7" t="str">
        <f ca="1">CELL("contenu",INDIRECT(ADDRESS(ref!$K$9,ref!H3,1,,CELL("contenu",$AB$2))))</f>
        <v/>
      </c>
      <c r="Z4" s="8" t="str">
        <f ca="1">CELL("contenu",INDIRECT(ADDRESS(ref!$K$10,ref!H3,1,,CELL("contenu",$AB$2))))</f>
        <v>B</v>
      </c>
    </row>
    <row r="5" spans="1:28" x14ac:dyDescent="0.55000000000000004">
      <c r="A5" s="53" t="str">
        <f ca="1">CELL("contenu",INDIRECT(ADDRESS(ROW()-2,5,1,,CELL("contenu",$AB$3))))</f>
        <v>BATTAGLINI Pauline</v>
      </c>
      <c r="B5" s="2" t="str">
        <f ca="1">CELL("contenu",INDIRECT(ADDRESS(ref!$K$3,ref!E4,1,,CELL("contenu",$AB$2))))</f>
        <v>C</v>
      </c>
      <c r="C5" s="3" t="str">
        <f ca="1">CELL("contenu",INDIRECT(ADDRESS(ref!$K$3,ref!F4,1,,CELL("contenu",$AB$2))))</f>
        <v>C</v>
      </c>
      <c r="D5" s="4" t="str">
        <f ca="1">CELL("contenu",INDIRECT(ADDRESS(ref!$K$3,ref!G4,1,,CELL("contenu",$AB$2))))</f>
        <v>C</v>
      </c>
      <c r="E5" s="5" t="str">
        <f ca="1">CELL("contenu",INDIRECT(ADDRESS(ref!$K$3,ref!H4,1,,CELL("contenu",$AB$2))))</f>
        <v>C</v>
      </c>
      <c r="F5" s="6" t="str">
        <f ca="1">CELL("contenu",INDIRECT(ADDRESS(ref!$K$4,ref!E4,1,,CELL("contenu",$AB$2))))</f>
        <v>D</v>
      </c>
      <c r="G5" s="3" t="str">
        <f ca="1">CELL("contenu",INDIRECT(ADDRESS(ref!$K$4,ref!F4,1,,CELL("contenu",$AB$2))))</f>
        <v/>
      </c>
      <c r="H5" s="4" t="str">
        <f ca="1">CELL("contenu",INDIRECT(ADDRESS(ref!$K$4,ref!G4,1,,CELL("contenu",$AB$2))))</f>
        <v>B</v>
      </c>
      <c r="I5" s="5" t="str">
        <f ca="1">CELL("contenu",INDIRECT(ADDRESS(ref!$K$4,ref!H4,1,,CELL("contenu",$AB$2))))</f>
        <v>C</v>
      </c>
      <c r="J5" s="6" t="str">
        <f ca="1">CELL("contenu",INDIRECT(ADDRESS(ref!$K$5,ref!E4,1,,CELL("contenu",$AB$2))))</f>
        <v/>
      </c>
      <c r="K5" s="3" t="str">
        <f ca="1">CELL("contenu",INDIRECT(ADDRESS(ref!$K$5,ref!F4,1,,CELL("contenu",$AB$2))))</f>
        <v/>
      </c>
      <c r="L5" s="4" t="str">
        <f ca="1">CELL("contenu",INDIRECT(ADDRESS(ref!$K$5,ref!G4,1,,CELL("contenu",$AB$2))))</f>
        <v>B</v>
      </c>
      <c r="M5" s="5" t="str">
        <f ca="1">CELL("contenu",INDIRECT(ADDRESS(ref!$K$5,ref!H4,1,,CELL("contenu",$AB$2))))</f>
        <v>B</v>
      </c>
      <c r="N5" s="6" t="str">
        <f ca="1">CELL("contenu",INDIRECT(ADDRESS(ref!$K$6,ref!E4,1,,CELL("contenu",$AB$2))))</f>
        <v>C</v>
      </c>
      <c r="O5" s="3" t="str">
        <f ca="1">CELL("contenu",INDIRECT(ADDRESS(ref!$K$6,ref!F4,1,,CELL("contenu",$AB$2))))</f>
        <v>D</v>
      </c>
      <c r="P5" s="4" t="str">
        <f ca="1">CELL("contenu",INDIRECT(ADDRESS(ref!$K$6,ref!G4,1,,CELL("contenu",$AB$2))))</f>
        <v>C</v>
      </c>
      <c r="Q5" s="5" t="str">
        <f ca="1">CELL("contenu",INDIRECT(ADDRESS(ref!$K$6,ref!H4,1,,CELL("contenu",$AB$2))))</f>
        <v>C</v>
      </c>
      <c r="R5" s="6" t="str">
        <f ca="1">CELL("contenu",INDIRECT(ADDRESS(ref!$K$7,ref!E4,1,,CELL("contenu",$AB$2))))</f>
        <v>B</v>
      </c>
      <c r="S5" s="3" t="str">
        <f ca="1">CELL("contenu",INDIRECT(ADDRESS(ref!$K$7,ref!F4,1,,CELL("contenu",$AB$2))))</f>
        <v/>
      </c>
      <c r="T5" s="4" t="str">
        <f ca="1">CELL("contenu",INDIRECT(ADDRESS(ref!$K$7,ref!G4,1,,CELL("contenu",$AB$2))))</f>
        <v/>
      </c>
      <c r="U5" s="5" t="str">
        <f ca="1">CELL("contenu",INDIRECT(ADDRESS(ref!$K$7,ref!H4,1,,CELL("contenu",$AB$2))))</f>
        <v>B</v>
      </c>
      <c r="V5" s="41">
        <f ca="1">CELL("contenu",INDIRECT(ADDRESS(ref!$K$8,ref!E4,1,,CELL("contenu",$AB$2))))</f>
        <v>10</v>
      </c>
      <c r="W5" s="42">
        <f ca="1">CELL("contenu",INDIRECT(ADDRESS(ref!$K$8,ref!F4,1,,CELL("contenu",$AB$2))))</f>
        <v>8.75</v>
      </c>
      <c r="X5" s="43">
        <f ca="1">CELL("contenu",INDIRECT(ADDRESS(ref!$K$8,ref!G4,1,,CELL("contenu",$AB$2))))</f>
        <v>12.222222222222221</v>
      </c>
      <c r="Y5" s="7" t="str">
        <f ca="1">CELL("contenu",INDIRECT(ADDRESS(ref!$K$9,ref!H4,1,,CELL("contenu",$AB$2))))</f>
        <v/>
      </c>
      <c r="Z5" s="8" t="str">
        <f ca="1">CELL("contenu",INDIRECT(ADDRESS(ref!$K$10,ref!H4,1,,CELL("contenu",$AB$2))))</f>
        <v>C</v>
      </c>
    </row>
    <row r="6" spans="1:28" x14ac:dyDescent="0.55000000000000004">
      <c r="A6" s="53" t="str">
        <f t="shared" ref="A6:A27" ca="1" si="0">CELL("contenu",INDIRECT(ADDRESS(ROW()-2,5,1,,CELL("contenu",$AB$3))))</f>
        <v>DAUDIER Balthazar</v>
      </c>
      <c r="B6" s="2" t="str">
        <f ca="1">CELL("contenu",INDIRECT(ADDRESS(ref!$K$3,ref!E5,1,,CELL("contenu",$AB$2))))</f>
        <v>C</v>
      </c>
      <c r="C6" s="3" t="str">
        <f ca="1">CELL("contenu",INDIRECT(ADDRESS(ref!$K$3,ref!F5,1,,CELL("contenu",$AB$2))))</f>
        <v>B</v>
      </c>
      <c r="D6" s="4" t="str">
        <f ca="1">CELL("contenu",INDIRECT(ADDRESS(ref!$K$3,ref!G5,1,,CELL("contenu",$AB$2))))</f>
        <v>C</v>
      </c>
      <c r="E6" s="5" t="str">
        <f ca="1">CELL("contenu",INDIRECT(ADDRESS(ref!$K$3,ref!H5,1,,CELL("contenu",$AB$2))))</f>
        <v>C</v>
      </c>
      <c r="F6" s="6" t="str">
        <f ca="1">CELL("contenu",INDIRECT(ADDRESS(ref!$K$4,ref!E5,1,,CELL("contenu",$AB$2))))</f>
        <v>C</v>
      </c>
      <c r="G6" s="3" t="str">
        <f ca="1">CELL("contenu",INDIRECT(ADDRESS(ref!$K$4,ref!F5,1,,CELL("contenu",$AB$2))))</f>
        <v/>
      </c>
      <c r="H6" s="4" t="str">
        <f ca="1">CELL("contenu",INDIRECT(ADDRESS(ref!$K$4,ref!G5,1,,CELL("contenu",$AB$2))))</f>
        <v>B</v>
      </c>
      <c r="I6" s="5" t="str">
        <f ca="1">CELL("contenu",INDIRECT(ADDRESS(ref!$K$4,ref!H5,1,,CELL("contenu",$AB$2))))</f>
        <v>C</v>
      </c>
      <c r="J6" s="6" t="str">
        <f ca="1">CELL("contenu",INDIRECT(ADDRESS(ref!$K$5,ref!E5,1,,CELL("contenu",$AB$2))))</f>
        <v/>
      </c>
      <c r="K6" s="3" t="str">
        <f ca="1">CELL("contenu",INDIRECT(ADDRESS(ref!$K$5,ref!F5,1,,CELL("contenu",$AB$2))))</f>
        <v/>
      </c>
      <c r="L6" s="4" t="str">
        <f ca="1">CELL("contenu",INDIRECT(ADDRESS(ref!$K$5,ref!G5,1,,CELL("contenu",$AB$2))))</f>
        <v>B</v>
      </c>
      <c r="M6" s="5" t="str">
        <f ca="1">CELL("contenu",INDIRECT(ADDRESS(ref!$K$5,ref!H5,1,,CELL("contenu",$AB$2))))</f>
        <v>B</v>
      </c>
      <c r="N6" s="6" t="str">
        <f ca="1">CELL("contenu",INDIRECT(ADDRESS(ref!$K$6,ref!E5,1,,CELL("contenu",$AB$2))))</f>
        <v>B</v>
      </c>
      <c r="O6" s="3" t="str">
        <f ca="1">CELL("contenu",INDIRECT(ADDRESS(ref!$K$6,ref!F5,1,,CELL("contenu",$AB$2))))</f>
        <v>C</v>
      </c>
      <c r="P6" s="4" t="str">
        <f ca="1">CELL("contenu",INDIRECT(ADDRESS(ref!$K$6,ref!G5,1,,CELL("contenu",$AB$2))))</f>
        <v>B</v>
      </c>
      <c r="Q6" s="5" t="str">
        <f ca="1">CELL("contenu",INDIRECT(ADDRESS(ref!$K$6,ref!H5,1,,CELL("contenu",$AB$2))))</f>
        <v>B</v>
      </c>
      <c r="R6" s="6" t="str">
        <f ca="1">CELL("contenu",INDIRECT(ADDRESS(ref!$K$7,ref!E5,1,,CELL("contenu",$AB$2))))</f>
        <v>D</v>
      </c>
      <c r="S6" s="3" t="str">
        <f ca="1">CELL("contenu",INDIRECT(ADDRESS(ref!$K$7,ref!F5,1,,CELL("contenu",$AB$2))))</f>
        <v/>
      </c>
      <c r="T6" s="4" t="str">
        <f ca="1">CELL("contenu",INDIRECT(ADDRESS(ref!$K$7,ref!G5,1,,CELL("contenu",$AB$2))))</f>
        <v/>
      </c>
      <c r="U6" s="5" t="str">
        <f ca="1">CELL("contenu",INDIRECT(ADDRESS(ref!$K$7,ref!H5,1,,CELL("contenu",$AB$2))))</f>
        <v>D</v>
      </c>
      <c r="V6" s="41">
        <f ca="1">CELL("contenu",INDIRECT(ADDRESS(ref!$K$8,ref!E5,1,,CELL("contenu",$AB$2))))</f>
        <v>10.625</v>
      </c>
      <c r="W6" s="42">
        <f ca="1">CELL("contenu",INDIRECT(ADDRESS(ref!$K$8,ref!F5,1,,CELL("contenu",$AB$2))))</f>
        <v>13.75</v>
      </c>
      <c r="X6" s="43">
        <f ca="1">CELL("contenu",INDIRECT(ADDRESS(ref!$K$8,ref!G5,1,,CELL("contenu",$AB$2))))</f>
        <v>14.861111111111114</v>
      </c>
      <c r="Y6" s="7" t="str">
        <f ca="1">CELL("contenu",INDIRECT(ADDRESS(ref!$K$9,ref!H5,1,,CELL("contenu",$AB$2))))</f>
        <v/>
      </c>
      <c r="Z6" s="8" t="str">
        <f ca="1">CELL("contenu",INDIRECT(ADDRESS(ref!$K$10,ref!H5,1,,CELL("contenu",$AB$2))))</f>
        <v>C</v>
      </c>
    </row>
    <row r="7" spans="1:28" x14ac:dyDescent="0.55000000000000004">
      <c r="A7" s="53" t="str">
        <f t="shared" ca="1" si="0"/>
        <v>DEMOCRATE Charlotte</v>
      </c>
      <c r="B7" s="2" t="str">
        <f ca="1">CELL("contenu",INDIRECT(ADDRESS(ref!$K$3,ref!E6,1,,CELL("contenu",$AB$2))))</f>
        <v>D</v>
      </c>
      <c r="C7" s="3" t="str">
        <f ca="1">CELL("contenu",INDIRECT(ADDRESS(ref!$K$3,ref!F6,1,,CELL("contenu",$AB$2))))</f>
        <v>C</v>
      </c>
      <c r="D7" s="4" t="str">
        <f ca="1">CELL("contenu",INDIRECT(ADDRESS(ref!$K$3,ref!G6,1,,CELL("contenu",$AB$2))))</f>
        <v>C</v>
      </c>
      <c r="E7" s="5" t="str">
        <f ca="1">CELL("contenu",INDIRECT(ADDRESS(ref!$K$3,ref!H6,1,,CELL("contenu",$AB$2))))</f>
        <v>C</v>
      </c>
      <c r="F7" s="6" t="str">
        <f ca="1">CELL("contenu",INDIRECT(ADDRESS(ref!$K$4,ref!E6,1,,CELL("contenu",$AB$2))))</f>
        <v>B</v>
      </c>
      <c r="G7" s="3" t="str">
        <f ca="1">CELL("contenu",INDIRECT(ADDRESS(ref!$K$4,ref!F6,1,,CELL("contenu",$AB$2))))</f>
        <v/>
      </c>
      <c r="H7" s="4" t="str">
        <f ca="1">CELL("contenu",INDIRECT(ADDRESS(ref!$K$4,ref!G6,1,,CELL("contenu",$AB$2))))</f>
        <v>B</v>
      </c>
      <c r="I7" s="5" t="str">
        <f ca="1">CELL("contenu",INDIRECT(ADDRESS(ref!$K$4,ref!H6,1,,CELL("contenu",$AB$2))))</f>
        <v>B</v>
      </c>
      <c r="J7" s="6" t="str">
        <f ca="1">CELL("contenu",INDIRECT(ADDRESS(ref!$K$5,ref!E6,1,,CELL("contenu",$AB$2))))</f>
        <v/>
      </c>
      <c r="K7" s="3" t="str">
        <f ca="1">CELL("contenu",INDIRECT(ADDRESS(ref!$K$5,ref!F6,1,,CELL("contenu",$AB$2))))</f>
        <v/>
      </c>
      <c r="L7" s="4" t="str">
        <f ca="1">CELL("contenu",INDIRECT(ADDRESS(ref!$K$5,ref!G6,1,,CELL("contenu",$AB$2))))</f>
        <v>B</v>
      </c>
      <c r="M7" s="5" t="str">
        <f ca="1">CELL("contenu",INDIRECT(ADDRESS(ref!$K$5,ref!H6,1,,CELL("contenu",$AB$2))))</f>
        <v>B</v>
      </c>
      <c r="N7" s="6" t="str">
        <f ca="1">CELL("contenu",INDIRECT(ADDRESS(ref!$K$6,ref!E6,1,,CELL("contenu",$AB$2))))</f>
        <v>D</v>
      </c>
      <c r="O7" s="3" t="str">
        <f ca="1">CELL("contenu",INDIRECT(ADDRESS(ref!$K$6,ref!F6,1,,CELL("contenu",$AB$2))))</f>
        <v>C</v>
      </c>
      <c r="P7" s="4" t="str">
        <f ca="1">CELL("contenu",INDIRECT(ADDRESS(ref!$K$6,ref!G6,1,,CELL("contenu",$AB$2))))</f>
        <v>C</v>
      </c>
      <c r="Q7" s="5" t="str">
        <f ca="1">CELL("contenu",INDIRECT(ADDRESS(ref!$K$6,ref!H6,1,,CELL("contenu",$AB$2))))</f>
        <v>C</v>
      </c>
      <c r="R7" s="6" t="str">
        <f ca="1">CELL("contenu",INDIRECT(ADDRESS(ref!$K$7,ref!E6,1,,CELL("contenu",$AB$2))))</f>
        <v>B</v>
      </c>
      <c r="S7" s="3" t="str">
        <f ca="1">CELL("contenu",INDIRECT(ADDRESS(ref!$K$7,ref!F6,1,,CELL("contenu",$AB$2))))</f>
        <v/>
      </c>
      <c r="T7" s="4" t="str">
        <f ca="1">CELL("contenu",INDIRECT(ADDRESS(ref!$K$7,ref!G6,1,,CELL("contenu",$AB$2))))</f>
        <v/>
      </c>
      <c r="U7" s="5" t="str">
        <f ca="1">CELL("contenu",INDIRECT(ADDRESS(ref!$K$7,ref!H6,1,,CELL("contenu",$AB$2))))</f>
        <v>B</v>
      </c>
      <c r="V7" s="41">
        <f ca="1">CELL("contenu",INDIRECT(ADDRESS(ref!$K$8,ref!E6,1,,CELL("contenu",$AB$2))))</f>
        <v>9.375</v>
      </c>
      <c r="W7" s="42">
        <f ca="1">CELL("contenu",INDIRECT(ADDRESS(ref!$K$8,ref!F6,1,,CELL("contenu",$AB$2))))</f>
        <v>10</v>
      </c>
      <c r="X7" s="43">
        <f ca="1">CELL("contenu",INDIRECT(ADDRESS(ref!$K$8,ref!G6,1,,CELL("contenu",$AB$2))))</f>
        <v>13.708333333333336</v>
      </c>
      <c r="Y7" s="7" t="str">
        <f ca="1">CELL("contenu",INDIRECT(ADDRESS(ref!$K$9,ref!H6,1,,CELL("contenu",$AB$2))))</f>
        <v/>
      </c>
      <c r="Z7" s="8" t="str">
        <f ca="1">CELL("contenu",INDIRECT(ADDRESS(ref!$K$10,ref!H6,1,,CELL("contenu",$AB$2))))</f>
        <v>B</v>
      </c>
    </row>
    <row r="8" spans="1:28" x14ac:dyDescent="0.55000000000000004">
      <c r="A8" s="53" t="str">
        <f t="shared" ca="1" si="0"/>
        <v>DEVIGNAC Vladimir</v>
      </c>
      <c r="B8" s="2" t="str">
        <f ca="1">CELL("contenu",INDIRECT(ADDRESS(ref!$K$3,ref!E7,1,,CELL("contenu",$AB$2))))</f>
        <v>D</v>
      </c>
      <c r="C8" s="3" t="str">
        <f ca="1">CELL("contenu",INDIRECT(ADDRESS(ref!$K$3,ref!F7,1,,CELL("contenu",$AB$2))))</f>
        <v>C</v>
      </c>
      <c r="D8" s="4" t="str">
        <f ca="1">CELL("contenu",INDIRECT(ADDRESS(ref!$K$3,ref!G7,1,,CELL("contenu",$AB$2))))</f>
        <v>C</v>
      </c>
      <c r="E8" s="5" t="str">
        <f ca="1">CELL("contenu",INDIRECT(ADDRESS(ref!$K$3,ref!H7,1,,CELL("contenu",$AB$2))))</f>
        <v>C</v>
      </c>
      <c r="F8" s="6" t="str">
        <f ca="1">CELL("contenu",INDIRECT(ADDRESS(ref!$K$4,ref!E7,1,,CELL("contenu",$AB$2))))</f>
        <v>C</v>
      </c>
      <c r="G8" s="3" t="str">
        <f ca="1">CELL("contenu",INDIRECT(ADDRESS(ref!$K$4,ref!F7,1,,CELL("contenu",$AB$2))))</f>
        <v/>
      </c>
      <c r="H8" s="4" t="str">
        <f ca="1">CELL("contenu",INDIRECT(ADDRESS(ref!$K$4,ref!G7,1,,CELL("contenu",$AB$2))))</f>
        <v>B</v>
      </c>
      <c r="I8" s="5" t="str">
        <f ca="1">CELL("contenu",INDIRECT(ADDRESS(ref!$K$4,ref!H7,1,,CELL("contenu",$AB$2))))</f>
        <v>B</v>
      </c>
      <c r="J8" s="6" t="str">
        <f ca="1">CELL("contenu",INDIRECT(ADDRESS(ref!$K$5,ref!E7,1,,CELL("contenu",$AB$2))))</f>
        <v/>
      </c>
      <c r="K8" s="3" t="str">
        <f ca="1">CELL("contenu",INDIRECT(ADDRESS(ref!$K$5,ref!F7,1,,CELL("contenu",$AB$2))))</f>
        <v/>
      </c>
      <c r="L8" s="4" t="str">
        <f ca="1">CELL("contenu",INDIRECT(ADDRESS(ref!$K$5,ref!G7,1,,CELL("contenu",$AB$2))))</f>
        <v>B</v>
      </c>
      <c r="M8" s="5" t="str">
        <f ca="1">CELL("contenu",INDIRECT(ADDRESS(ref!$K$5,ref!H7,1,,CELL("contenu",$AB$2))))</f>
        <v>B</v>
      </c>
      <c r="N8" s="6" t="str">
        <f ca="1">CELL("contenu",INDIRECT(ADDRESS(ref!$K$6,ref!E7,1,,CELL("contenu",$AB$2))))</f>
        <v>C</v>
      </c>
      <c r="O8" s="3" t="str">
        <f ca="1">CELL("contenu",INDIRECT(ADDRESS(ref!$K$6,ref!F7,1,,CELL("contenu",$AB$2))))</f>
        <v>C</v>
      </c>
      <c r="P8" s="4" t="str">
        <f ca="1">CELL("contenu",INDIRECT(ADDRESS(ref!$K$6,ref!G7,1,,CELL("contenu",$AB$2))))</f>
        <v>C</v>
      </c>
      <c r="Q8" s="5" t="str">
        <f ca="1">CELL("contenu",INDIRECT(ADDRESS(ref!$K$6,ref!H7,1,,CELL("contenu",$AB$2))))</f>
        <v>C</v>
      </c>
      <c r="R8" s="6" t="str">
        <f ca="1">CELL("contenu",INDIRECT(ADDRESS(ref!$K$7,ref!E7,1,,CELL("contenu",$AB$2))))</f>
        <v>C</v>
      </c>
      <c r="S8" s="3" t="str">
        <f ca="1">CELL("contenu",INDIRECT(ADDRESS(ref!$K$7,ref!F7,1,,CELL("contenu",$AB$2))))</f>
        <v/>
      </c>
      <c r="T8" s="4" t="str">
        <f ca="1">CELL("contenu",INDIRECT(ADDRESS(ref!$K$7,ref!G7,1,,CELL("contenu",$AB$2))))</f>
        <v/>
      </c>
      <c r="U8" s="5" t="str">
        <f ca="1">CELL("contenu",INDIRECT(ADDRESS(ref!$K$7,ref!H7,1,,CELL("contenu",$AB$2))))</f>
        <v>C</v>
      </c>
      <c r="V8" s="41">
        <f ca="1">CELL("contenu",INDIRECT(ADDRESS(ref!$K$8,ref!E7,1,,CELL("contenu",$AB$2))))</f>
        <v>9.5833333333333339</v>
      </c>
      <c r="W8" s="42">
        <f ca="1">CELL("contenu",INDIRECT(ADDRESS(ref!$K$8,ref!F7,1,,CELL("contenu",$AB$2))))</f>
        <v>10</v>
      </c>
      <c r="X8" s="43">
        <f ca="1">CELL("contenu",INDIRECT(ADDRESS(ref!$K$8,ref!G7,1,,CELL("contenu",$AB$2))))</f>
        <v>13.930555555555555</v>
      </c>
      <c r="Y8" s="7" t="str">
        <f ca="1">CELL("contenu",INDIRECT(ADDRESS(ref!$K$9,ref!H7,1,,CELL("contenu",$AB$2))))</f>
        <v/>
      </c>
      <c r="Z8" s="8" t="str">
        <f ca="1">CELL("contenu",INDIRECT(ADDRESS(ref!$K$10,ref!H7,1,,CELL("contenu",$AB$2))))</f>
        <v>B</v>
      </c>
    </row>
    <row r="9" spans="1:28" x14ac:dyDescent="0.55000000000000004">
      <c r="A9" s="53" t="str">
        <f t="shared" ca="1" si="0"/>
        <v>FITOUSSI Emma-Hanna</v>
      </c>
      <c r="B9" s="2" t="str">
        <f ca="1">CELL("contenu",INDIRECT(ADDRESS(ref!$K$3,ref!E8,1,,CELL("contenu",$AB$2))))</f>
        <v>D</v>
      </c>
      <c r="C9" s="3" t="str">
        <f ca="1">CELL("contenu",INDIRECT(ADDRESS(ref!$K$3,ref!F8,1,,CELL("contenu",$AB$2))))</f>
        <v>A</v>
      </c>
      <c r="D9" s="4" t="str">
        <f ca="1">CELL("contenu",INDIRECT(ADDRESS(ref!$K$3,ref!G8,1,,CELL("contenu",$AB$2))))</f>
        <v>D</v>
      </c>
      <c r="E9" s="5" t="str">
        <f ca="1">CELL("contenu",INDIRECT(ADDRESS(ref!$K$3,ref!H8,1,,CELL("contenu",$AB$2))))</f>
        <v>C</v>
      </c>
      <c r="F9" s="6" t="str">
        <f ca="1">CELL("contenu",INDIRECT(ADDRESS(ref!$K$4,ref!E8,1,,CELL("contenu",$AB$2))))</f>
        <v>C</v>
      </c>
      <c r="G9" s="3" t="str">
        <f ca="1">CELL("contenu",INDIRECT(ADDRESS(ref!$K$4,ref!F8,1,,CELL("contenu",$AB$2))))</f>
        <v/>
      </c>
      <c r="H9" s="4" t="str">
        <f ca="1">CELL("contenu",INDIRECT(ADDRESS(ref!$K$4,ref!G8,1,,CELL("contenu",$AB$2))))</f>
        <v>C</v>
      </c>
      <c r="I9" s="5" t="str">
        <f ca="1">CELL("contenu",INDIRECT(ADDRESS(ref!$K$4,ref!H8,1,,CELL("contenu",$AB$2))))</f>
        <v>C</v>
      </c>
      <c r="J9" s="6" t="str">
        <f ca="1">CELL("contenu",INDIRECT(ADDRESS(ref!$K$5,ref!E8,1,,CELL("contenu",$AB$2))))</f>
        <v/>
      </c>
      <c r="K9" s="3" t="str">
        <f ca="1">CELL("contenu",INDIRECT(ADDRESS(ref!$K$5,ref!F8,1,,CELL("contenu",$AB$2))))</f>
        <v/>
      </c>
      <c r="L9" s="4" t="str">
        <f ca="1">CELL("contenu",INDIRECT(ADDRESS(ref!$K$5,ref!G8,1,,CELL("contenu",$AB$2))))</f>
        <v>C</v>
      </c>
      <c r="M9" s="5" t="str">
        <f ca="1">CELL("contenu",INDIRECT(ADDRESS(ref!$K$5,ref!H8,1,,CELL("contenu",$AB$2))))</f>
        <v>C</v>
      </c>
      <c r="N9" s="6" t="str">
        <f ca="1">CELL("contenu",INDIRECT(ADDRESS(ref!$K$6,ref!E8,1,,CELL("contenu",$AB$2))))</f>
        <v>C</v>
      </c>
      <c r="O9" s="3" t="str">
        <f ca="1">CELL("contenu",INDIRECT(ADDRESS(ref!$K$6,ref!F8,1,,CELL("contenu",$AB$2))))</f>
        <v>C</v>
      </c>
      <c r="P9" s="4" t="str">
        <f ca="1">CELL("contenu",INDIRECT(ADDRESS(ref!$K$6,ref!G8,1,,CELL("contenu",$AB$2))))</f>
        <v>C</v>
      </c>
      <c r="Q9" s="5" t="str">
        <f ca="1">CELL("contenu",INDIRECT(ADDRESS(ref!$K$6,ref!H8,1,,CELL("contenu",$AB$2))))</f>
        <v>C</v>
      </c>
      <c r="R9" s="6" t="str">
        <f ca="1">CELL("contenu",INDIRECT(ADDRESS(ref!$K$7,ref!E8,1,,CELL("contenu",$AB$2))))</f>
        <v>B</v>
      </c>
      <c r="S9" s="3" t="str">
        <f ca="1">CELL("contenu",INDIRECT(ADDRESS(ref!$K$7,ref!F8,1,,CELL("contenu",$AB$2))))</f>
        <v/>
      </c>
      <c r="T9" s="4" t="str">
        <f ca="1">CELL("contenu",INDIRECT(ADDRESS(ref!$K$7,ref!G8,1,,CELL("contenu",$AB$2))))</f>
        <v/>
      </c>
      <c r="U9" s="5" t="str">
        <f ca="1">CELL("contenu",INDIRECT(ADDRESS(ref!$K$7,ref!H8,1,,CELL("contenu",$AB$2))))</f>
        <v>B</v>
      </c>
      <c r="V9" s="41">
        <f ca="1">CELL("contenu",INDIRECT(ADDRESS(ref!$K$8,ref!E8,1,,CELL("contenu",$AB$2))))</f>
        <v>9.7916666666666661</v>
      </c>
      <c r="W9" s="42">
        <f ca="1">CELL("contenu",INDIRECT(ADDRESS(ref!$K$8,ref!F8,1,,CELL("contenu",$AB$2))))</f>
        <v>15</v>
      </c>
      <c r="X9" s="43">
        <f ca="1">CELL("contenu",INDIRECT(ADDRESS(ref!$K$8,ref!G8,1,,CELL("contenu",$AB$2))))</f>
        <v>10.104166666666668</v>
      </c>
      <c r="Y9" s="7" t="str">
        <f ca="1">CELL("contenu",INDIRECT(ADDRESS(ref!$K$9,ref!H8,1,,CELL("contenu",$AB$2))))</f>
        <v/>
      </c>
      <c r="Z9" s="8" t="str">
        <f ca="1">CELL("contenu",INDIRECT(ADDRESS(ref!$K$10,ref!H8,1,,CELL("contenu",$AB$2))))</f>
        <v>C</v>
      </c>
    </row>
    <row r="10" spans="1:28" x14ac:dyDescent="0.55000000000000004">
      <c r="A10" s="53" t="str">
        <f t="shared" ca="1" si="0"/>
        <v>FONTAINE Adrien</v>
      </c>
      <c r="B10" s="2" t="str">
        <f ca="1">CELL("contenu",INDIRECT(ADDRESS(ref!$K$3,ref!E9,1,,CELL("contenu",$AB$2))))</f>
        <v>C</v>
      </c>
      <c r="C10" s="3" t="str">
        <f ca="1">CELL("contenu",INDIRECT(ADDRESS(ref!$K$3,ref!F9,1,,CELL("contenu",$AB$2))))</f>
        <v>D</v>
      </c>
      <c r="D10" s="4" t="str">
        <f ca="1">CELL("contenu",INDIRECT(ADDRESS(ref!$K$3,ref!G9,1,,CELL("contenu",$AB$2))))</f>
        <v>C</v>
      </c>
      <c r="E10" s="5" t="str">
        <f ca="1">CELL("contenu",INDIRECT(ADDRESS(ref!$K$3,ref!H9,1,,CELL("contenu",$AB$2))))</f>
        <v>C</v>
      </c>
      <c r="F10" s="6" t="str">
        <f ca="1">CELL("contenu",INDIRECT(ADDRESS(ref!$K$4,ref!E9,1,,CELL("contenu",$AB$2))))</f>
        <v>C</v>
      </c>
      <c r="G10" s="3" t="str">
        <f ca="1">CELL("contenu",INDIRECT(ADDRESS(ref!$K$4,ref!F9,1,,CELL("contenu",$AB$2))))</f>
        <v/>
      </c>
      <c r="H10" s="4" t="str">
        <f ca="1">CELL("contenu",INDIRECT(ADDRESS(ref!$K$4,ref!G9,1,,CELL("contenu",$AB$2))))</f>
        <v>B</v>
      </c>
      <c r="I10" s="5" t="str">
        <f ca="1">CELL("contenu",INDIRECT(ADDRESS(ref!$K$4,ref!H9,1,,CELL("contenu",$AB$2))))</f>
        <v>B</v>
      </c>
      <c r="J10" s="6" t="str">
        <f ca="1">CELL("contenu",INDIRECT(ADDRESS(ref!$K$5,ref!E9,1,,CELL("contenu",$AB$2))))</f>
        <v/>
      </c>
      <c r="K10" s="3" t="str">
        <f ca="1">CELL("contenu",INDIRECT(ADDRESS(ref!$K$5,ref!F9,1,,CELL("contenu",$AB$2))))</f>
        <v/>
      </c>
      <c r="L10" s="4" t="str">
        <f ca="1">CELL("contenu",INDIRECT(ADDRESS(ref!$K$5,ref!G9,1,,CELL("contenu",$AB$2))))</f>
        <v>C</v>
      </c>
      <c r="M10" s="5" t="str">
        <f ca="1">CELL("contenu",INDIRECT(ADDRESS(ref!$K$5,ref!H9,1,,CELL("contenu",$AB$2))))</f>
        <v>C</v>
      </c>
      <c r="N10" s="6" t="str">
        <f ca="1">CELL("contenu",INDIRECT(ADDRESS(ref!$K$6,ref!E9,1,,CELL("contenu",$AB$2))))</f>
        <v>C</v>
      </c>
      <c r="O10" s="3" t="str">
        <f ca="1">CELL("contenu",INDIRECT(ADDRESS(ref!$K$6,ref!F9,1,,CELL("contenu",$AB$2))))</f>
        <v>D</v>
      </c>
      <c r="P10" s="4" t="str">
        <f ca="1">CELL("contenu",INDIRECT(ADDRESS(ref!$K$6,ref!G9,1,,CELL("contenu",$AB$2))))</f>
        <v>C</v>
      </c>
      <c r="Q10" s="5" t="str">
        <f ca="1">CELL("contenu",INDIRECT(ADDRESS(ref!$K$6,ref!H9,1,,CELL("contenu",$AB$2))))</f>
        <v>C</v>
      </c>
      <c r="R10" s="6" t="str">
        <f ca="1">CELL("contenu",INDIRECT(ADDRESS(ref!$K$7,ref!E9,1,,CELL("contenu",$AB$2))))</f>
        <v>B</v>
      </c>
      <c r="S10" s="3" t="str">
        <f ca="1">CELL("contenu",INDIRECT(ADDRESS(ref!$K$7,ref!F9,1,,CELL("contenu",$AB$2))))</f>
        <v/>
      </c>
      <c r="T10" s="4" t="str">
        <f ca="1">CELL("contenu",INDIRECT(ADDRESS(ref!$K$7,ref!G9,1,,CELL("contenu",$AB$2))))</f>
        <v/>
      </c>
      <c r="U10" s="5" t="str">
        <f ca="1">CELL("contenu",INDIRECT(ADDRESS(ref!$K$7,ref!H9,1,,CELL("contenu",$AB$2))))</f>
        <v>B</v>
      </c>
      <c r="V10" s="41">
        <f ca="1">CELL("contenu",INDIRECT(ADDRESS(ref!$K$8,ref!E9,1,,CELL("contenu",$AB$2))))</f>
        <v>12.708333333333332</v>
      </c>
      <c r="W10" s="42">
        <f ca="1">CELL("contenu",INDIRECT(ADDRESS(ref!$K$8,ref!F9,1,,CELL("contenu",$AB$2))))</f>
        <v>5</v>
      </c>
      <c r="X10" s="43">
        <f ca="1">CELL("contenu",INDIRECT(ADDRESS(ref!$K$8,ref!G9,1,,CELL("contenu",$AB$2))))</f>
        <v>12.381944444444446</v>
      </c>
      <c r="Y10" s="7" t="str">
        <f ca="1">CELL("contenu",INDIRECT(ADDRESS(ref!$K$9,ref!H9,1,,CELL("contenu",$AB$2))))</f>
        <v/>
      </c>
      <c r="Z10" s="8" t="str">
        <f ca="1">CELL("contenu",INDIRECT(ADDRESS(ref!$K$10,ref!H9,1,,CELL("contenu",$AB$2))))</f>
        <v>B</v>
      </c>
    </row>
    <row r="11" spans="1:28" x14ac:dyDescent="0.55000000000000004">
      <c r="A11" s="53" t="str">
        <f t="shared" ca="1" si="0"/>
        <v>FRUGIER Manon</v>
      </c>
      <c r="B11" s="2" t="str">
        <f ca="1">CELL("contenu",INDIRECT(ADDRESS(ref!$K$3,ref!E10,1,,CELL("contenu",$AB$2))))</f>
        <v>B</v>
      </c>
      <c r="C11" s="3" t="str">
        <f ca="1">CELL("contenu",INDIRECT(ADDRESS(ref!$K$3,ref!F10,1,,CELL("contenu",$AB$2))))</f>
        <v>C</v>
      </c>
      <c r="D11" s="4" t="str">
        <f ca="1">CELL("contenu",INDIRECT(ADDRESS(ref!$K$3,ref!G10,1,,CELL("contenu",$AB$2))))</f>
        <v>B</v>
      </c>
      <c r="E11" s="5" t="str">
        <f ca="1">CELL("contenu",INDIRECT(ADDRESS(ref!$K$3,ref!H10,1,,CELL("contenu",$AB$2))))</f>
        <v>B</v>
      </c>
      <c r="F11" s="6" t="str">
        <f ca="1">CELL("contenu",INDIRECT(ADDRESS(ref!$K$4,ref!E10,1,,CELL("contenu",$AB$2))))</f>
        <v>A</v>
      </c>
      <c r="G11" s="3" t="str">
        <f ca="1">CELL("contenu",INDIRECT(ADDRESS(ref!$K$4,ref!F10,1,,CELL("contenu",$AB$2))))</f>
        <v/>
      </c>
      <c r="H11" s="4" t="str">
        <f ca="1">CELL("contenu",INDIRECT(ADDRESS(ref!$K$4,ref!G10,1,,CELL("contenu",$AB$2))))</f>
        <v>A</v>
      </c>
      <c r="I11" s="5" t="str">
        <f ca="1">CELL("contenu",INDIRECT(ADDRESS(ref!$K$4,ref!H10,1,,CELL("contenu",$AB$2))))</f>
        <v>A</v>
      </c>
      <c r="J11" s="6" t="str">
        <f ca="1">CELL("contenu",INDIRECT(ADDRESS(ref!$K$5,ref!E10,1,,CELL("contenu",$AB$2))))</f>
        <v/>
      </c>
      <c r="K11" s="3" t="str">
        <f ca="1">CELL("contenu",INDIRECT(ADDRESS(ref!$K$5,ref!F10,1,,CELL("contenu",$AB$2))))</f>
        <v/>
      </c>
      <c r="L11" s="4" t="str">
        <f ca="1">CELL("contenu",INDIRECT(ADDRESS(ref!$K$5,ref!G10,1,,CELL("contenu",$AB$2))))</f>
        <v>B</v>
      </c>
      <c r="M11" s="5" t="str">
        <f ca="1">CELL("contenu",INDIRECT(ADDRESS(ref!$K$5,ref!H10,1,,CELL("contenu",$AB$2))))</f>
        <v>B</v>
      </c>
      <c r="N11" s="6" t="str">
        <f ca="1">CELL("contenu",INDIRECT(ADDRESS(ref!$K$6,ref!E10,1,,CELL("contenu",$AB$2))))</f>
        <v>B</v>
      </c>
      <c r="O11" s="3" t="str">
        <f ca="1">CELL("contenu",INDIRECT(ADDRESS(ref!$K$6,ref!F10,1,,CELL("contenu",$AB$2))))</f>
        <v>C</v>
      </c>
      <c r="P11" s="4" t="str">
        <f ca="1">CELL("contenu",INDIRECT(ADDRESS(ref!$K$6,ref!G10,1,,CELL("contenu",$AB$2))))</f>
        <v>B</v>
      </c>
      <c r="Q11" s="5" t="str">
        <f ca="1">CELL("contenu",INDIRECT(ADDRESS(ref!$K$6,ref!H10,1,,CELL("contenu",$AB$2))))</f>
        <v>B</v>
      </c>
      <c r="R11" s="6" t="str">
        <f ca="1">CELL("contenu",INDIRECT(ADDRESS(ref!$K$7,ref!E10,1,,CELL("contenu",$AB$2))))</f>
        <v>C</v>
      </c>
      <c r="S11" s="3" t="str">
        <f ca="1">CELL("contenu",INDIRECT(ADDRESS(ref!$K$7,ref!F10,1,,CELL("contenu",$AB$2))))</f>
        <v/>
      </c>
      <c r="T11" s="4" t="str">
        <f ca="1">CELL("contenu",INDIRECT(ADDRESS(ref!$K$7,ref!G10,1,,CELL("contenu",$AB$2))))</f>
        <v/>
      </c>
      <c r="U11" s="5" t="str">
        <f ca="1">CELL("contenu",INDIRECT(ADDRESS(ref!$K$7,ref!H10,1,,CELL("contenu",$AB$2))))</f>
        <v>C</v>
      </c>
      <c r="V11" s="41">
        <f ca="1">CELL("contenu",INDIRECT(ADDRESS(ref!$K$8,ref!E10,1,,CELL("contenu",$AB$2))))</f>
        <v>15.208333333333332</v>
      </c>
      <c r="W11" s="42">
        <f ca="1">CELL("contenu",INDIRECT(ADDRESS(ref!$K$8,ref!F10,1,,CELL("contenu",$AB$2))))</f>
        <v>11.25</v>
      </c>
      <c r="X11" s="43">
        <f ca="1">CELL("contenu",INDIRECT(ADDRESS(ref!$K$8,ref!G10,1,,CELL("contenu",$AB$2))))</f>
        <v>16.722222222222221</v>
      </c>
      <c r="Y11" s="7" t="str">
        <f ca="1">CELL("contenu",INDIRECT(ADDRESS(ref!$K$9,ref!H10,1,,CELL("contenu",$AB$2))))</f>
        <v/>
      </c>
      <c r="Z11" s="8" t="str">
        <f ca="1">CELL("contenu",INDIRECT(ADDRESS(ref!$K$10,ref!H10,1,,CELL("contenu",$AB$2))))</f>
        <v>A</v>
      </c>
    </row>
    <row r="12" spans="1:28" x14ac:dyDescent="0.55000000000000004">
      <c r="A12" s="53" t="str">
        <f t="shared" ca="1" si="0"/>
        <v>GANCI Marie</v>
      </c>
      <c r="B12" s="2" t="str">
        <f ca="1">CELL("contenu",INDIRECT(ADDRESS(ref!$K$3,ref!E11,1,,CELL("contenu",$AB$2))))</f>
        <v>C</v>
      </c>
      <c r="C12" s="3" t="str">
        <f ca="1">CELL("contenu",INDIRECT(ADDRESS(ref!$K$3,ref!F11,1,,CELL("contenu",$AB$2))))</f>
        <v>C</v>
      </c>
      <c r="D12" s="4" t="str">
        <f ca="1">CELL("contenu",INDIRECT(ADDRESS(ref!$K$3,ref!G11,1,,CELL("contenu",$AB$2))))</f>
        <v>B</v>
      </c>
      <c r="E12" s="5" t="str">
        <f ca="1">CELL("contenu",INDIRECT(ADDRESS(ref!$K$3,ref!H11,1,,CELL("contenu",$AB$2))))</f>
        <v>C</v>
      </c>
      <c r="F12" s="6" t="str">
        <f ca="1">CELL("contenu",INDIRECT(ADDRESS(ref!$K$4,ref!E11,1,,CELL("contenu",$AB$2))))</f>
        <v>C</v>
      </c>
      <c r="G12" s="3" t="str">
        <f ca="1">CELL("contenu",INDIRECT(ADDRESS(ref!$K$4,ref!F11,1,,CELL("contenu",$AB$2))))</f>
        <v/>
      </c>
      <c r="H12" s="4" t="str">
        <f ca="1">CELL("contenu",INDIRECT(ADDRESS(ref!$K$4,ref!G11,1,,CELL("contenu",$AB$2))))</f>
        <v>B</v>
      </c>
      <c r="I12" s="5" t="str">
        <f ca="1">CELL("contenu",INDIRECT(ADDRESS(ref!$K$4,ref!H11,1,,CELL("contenu",$AB$2))))</f>
        <v>B</v>
      </c>
      <c r="J12" s="6" t="str">
        <f ca="1">CELL("contenu",INDIRECT(ADDRESS(ref!$K$5,ref!E11,1,,CELL("contenu",$AB$2))))</f>
        <v/>
      </c>
      <c r="K12" s="3" t="str">
        <f ca="1">CELL("contenu",INDIRECT(ADDRESS(ref!$K$5,ref!F11,1,,CELL("contenu",$AB$2))))</f>
        <v/>
      </c>
      <c r="L12" s="4" t="str">
        <f ca="1">CELL("contenu",INDIRECT(ADDRESS(ref!$K$5,ref!G11,1,,CELL("contenu",$AB$2))))</f>
        <v>C</v>
      </c>
      <c r="M12" s="5" t="str">
        <f ca="1">CELL("contenu",INDIRECT(ADDRESS(ref!$K$5,ref!H11,1,,CELL("contenu",$AB$2))))</f>
        <v>C</v>
      </c>
      <c r="N12" s="6" t="str">
        <f ca="1">CELL("contenu",INDIRECT(ADDRESS(ref!$K$6,ref!E11,1,,CELL("contenu",$AB$2))))</f>
        <v>C</v>
      </c>
      <c r="O12" s="3" t="str">
        <f ca="1">CELL("contenu",INDIRECT(ADDRESS(ref!$K$6,ref!F11,1,,CELL("contenu",$AB$2))))</f>
        <v>C</v>
      </c>
      <c r="P12" s="4" t="str">
        <f ca="1">CELL("contenu",INDIRECT(ADDRESS(ref!$K$6,ref!G11,1,,CELL("contenu",$AB$2))))</f>
        <v>C</v>
      </c>
      <c r="Q12" s="5" t="str">
        <f ca="1">CELL("contenu",INDIRECT(ADDRESS(ref!$K$6,ref!H11,1,,CELL("contenu",$AB$2))))</f>
        <v>C</v>
      </c>
      <c r="R12" s="6" t="str">
        <f ca="1">CELL("contenu",INDIRECT(ADDRESS(ref!$K$7,ref!E11,1,,CELL("contenu",$AB$2))))</f>
        <v>B</v>
      </c>
      <c r="S12" s="3" t="str">
        <f ca="1">CELL("contenu",INDIRECT(ADDRESS(ref!$K$7,ref!F11,1,,CELL("contenu",$AB$2))))</f>
        <v/>
      </c>
      <c r="T12" s="4" t="str">
        <f ca="1">CELL("contenu",INDIRECT(ADDRESS(ref!$K$7,ref!G11,1,,CELL("contenu",$AB$2))))</f>
        <v/>
      </c>
      <c r="U12" s="5" t="str">
        <f ca="1">CELL("contenu",INDIRECT(ADDRESS(ref!$K$7,ref!H11,1,,CELL("contenu",$AB$2))))</f>
        <v>B</v>
      </c>
      <c r="V12" s="41">
        <f ca="1">CELL("contenu",INDIRECT(ADDRESS(ref!$K$8,ref!E11,1,,CELL("contenu",$AB$2))))</f>
        <v>11.875</v>
      </c>
      <c r="W12" s="42">
        <f ca="1">CELL("contenu",INDIRECT(ADDRESS(ref!$K$8,ref!F11,1,,CELL("contenu",$AB$2))))</f>
        <v>10</v>
      </c>
      <c r="X12" s="43">
        <f ca="1">CELL("contenu",INDIRECT(ADDRESS(ref!$K$8,ref!G11,1,,CELL("contenu",$AB$2))))</f>
        <v>14.62962962962963</v>
      </c>
      <c r="Y12" s="7" t="str">
        <f ca="1">CELL("contenu",INDIRECT(ADDRESS(ref!$K$9,ref!H11,1,,CELL("contenu",$AB$2))))</f>
        <v/>
      </c>
      <c r="Z12" s="8" t="str">
        <f ca="1">CELL("contenu",INDIRECT(ADDRESS(ref!$K$10,ref!H11,1,,CELL("contenu",$AB$2))))</f>
        <v>B</v>
      </c>
    </row>
    <row r="13" spans="1:28" x14ac:dyDescent="0.55000000000000004">
      <c r="A13" s="53" t="str">
        <f t="shared" ca="1" si="0"/>
        <v>GILLES Camille</v>
      </c>
      <c r="B13" s="2" t="str">
        <f ca="1">CELL("contenu",INDIRECT(ADDRESS(ref!$K$3,ref!E12,1,,CELL("contenu",$AB$2))))</f>
        <v>C</v>
      </c>
      <c r="C13" s="3" t="str">
        <f ca="1">CELL("contenu",INDIRECT(ADDRESS(ref!$K$3,ref!F12,1,,CELL("contenu",$AB$2))))</f>
        <v>C</v>
      </c>
      <c r="D13" s="4" t="str">
        <f ca="1">CELL("contenu",INDIRECT(ADDRESS(ref!$K$3,ref!G12,1,,CELL("contenu",$AB$2))))</f>
        <v>C</v>
      </c>
      <c r="E13" s="5" t="str">
        <f ca="1">CELL("contenu",INDIRECT(ADDRESS(ref!$K$3,ref!H12,1,,CELL("contenu",$AB$2))))</f>
        <v>C</v>
      </c>
      <c r="F13" s="6" t="str">
        <f ca="1">CELL("contenu",INDIRECT(ADDRESS(ref!$K$4,ref!E12,1,,CELL("contenu",$AB$2))))</f>
        <v>B</v>
      </c>
      <c r="G13" s="3" t="str">
        <f ca="1">CELL("contenu",INDIRECT(ADDRESS(ref!$K$4,ref!F12,1,,CELL("contenu",$AB$2))))</f>
        <v/>
      </c>
      <c r="H13" s="4" t="str">
        <f ca="1">CELL("contenu",INDIRECT(ADDRESS(ref!$K$4,ref!G12,1,,CELL("contenu",$AB$2))))</f>
        <v>A</v>
      </c>
      <c r="I13" s="5" t="str">
        <f ca="1">CELL("contenu",INDIRECT(ADDRESS(ref!$K$4,ref!H12,1,,CELL("contenu",$AB$2))))</f>
        <v>B</v>
      </c>
      <c r="J13" s="6" t="str">
        <f ca="1">CELL("contenu",INDIRECT(ADDRESS(ref!$K$5,ref!E12,1,,CELL("contenu",$AB$2))))</f>
        <v/>
      </c>
      <c r="K13" s="3" t="str">
        <f ca="1">CELL("contenu",INDIRECT(ADDRESS(ref!$K$5,ref!F12,1,,CELL("contenu",$AB$2))))</f>
        <v/>
      </c>
      <c r="L13" s="4" t="str">
        <f ca="1">CELL("contenu",INDIRECT(ADDRESS(ref!$K$5,ref!G12,1,,CELL("contenu",$AB$2))))</f>
        <v>B</v>
      </c>
      <c r="M13" s="5" t="str">
        <f ca="1">CELL("contenu",INDIRECT(ADDRESS(ref!$K$5,ref!H12,1,,CELL("contenu",$AB$2))))</f>
        <v>B</v>
      </c>
      <c r="N13" s="6" t="str">
        <f ca="1">CELL("contenu",INDIRECT(ADDRESS(ref!$K$6,ref!E12,1,,CELL("contenu",$AB$2))))</f>
        <v>C</v>
      </c>
      <c r="O13" s="3" t="str">
        <f ca="1">CELL("contenu",INDIRECT(ADDRESS(ref!$K$6,ref!F12,1,,CELL("contenu",$AB$2))))</f>
        <v>C</v>
      </c>
      <c r="P13" s="4" t="str">
        <f ca="1">CELL("contenu",INDIRECT(ADDRESS(ref!$K$6,ref!G12,1,,CELL("contenu",$AB$2))))</f>
        <v>B</v>
      </c>
      <c r="Q13" s="5" t="str">
        <f ca="1">CELL("contenu",INDIRECT(ADDRESS(ref!$K$6,ref!H12,1,,CELL("contenu",$AB$2))))</f>
        <v>C</v>
      </c>
      <c r="R13" s="6" t="str">
        <f ca="1">CELL("contenu",INDIRECT(ADDRESS(ref!$K$7,ref!E12,1,,CELL("contenu",$AB$2))))</f>
        <v>C</v>
      </c>
      <c r="S13" s="3" t="str">
        <f ca="1">CELL("contenu",INDIRECT(ADDRESS(ref!$K$7,ref!F12,1,,CELL("contenu",$AB$2))))</f>
        <v/>
      </c>
      <c r="T13" s="4" t="str">
        <f ca="1">CELL("contenu",INDIRECT(ADDRESS(ref!$K$7,ref!G12,1,,CELL("contenu",$AB$2))))</f>
        <v/>
      </c>
      <c r="U13" s="5" t="str">
        <f ca="1">CELL("contenu",INDIRECT(ADDRESS(ref!$K$7,ref!H12,1,,CELL("contenu",$AB$2))))</f>
        <v>C</v>
      </c>
      <c r="V13" s="41">
        <f ca="1">CELL("contenu",INDIRECT(ADDRESS(ref!$K$8,ref!E12,1,,CELL("contenu",$AB$2))))</f>
        <v>10.833333333333332</v>
      </c>
      <c r="W13" s="42">
        <f ca="1">CELL("contenu",INDIRECT(ADDRESS(ref!$K$8,ref!F12,1,,CELL("contenu",$AB$2))))</f>
        <v>10</v>
      </c>
      <c r="X13" s="43">
        <f ca="1">CELL("contenu",INDIRECT(ADDRESS(ref!$K$8,ref!G12,1,,CELL("contenu",$AB$2))))</f>
        <v>15.263888888888888</v>
      </c>
      <c r="Y13" s="7" t="str">
        <f ca="1">CELL("contenu",INDIRECT(ADDRESS(ref!$K$9,ref!H12,1,,CELL("contenu",$AB$2))))</f>
        <v/>
      </c>
      <c r="Z13" s="8" t="str">
        <f ca="1">CELL("contenu",INDIRECT(ADDRESS(ref!$K$10,ref!H12,1,,CELL("contenu",$AB$2))))</f>
        <v>A</v>
      </c>
    </row>
    <row r="14" spans="1:28" x14ac:dyDescent="0.55000000000000004">
      <c r="A14" s="53" t="str">
        <f t="shared" ca="1" si="0"/>
        <v>HARAN Clemence</v>
      </c>
      <c r="B14" s="2" t="str">
        <f ca="1">CELL("contenu",INDIRECT(ADDRESS(ref!$K$3,ref!E13,1,,CELL("contenu",$AB$2))))</f>
        <v>C</v>
      </c>
      <c r="C14" s="3" t="str">
        <f ca="1">CELL("contenu",INDIRECT(ADDRESS(ref!$K$3,ref!F13,1,,CELL("contenu",$AB$2))))</f>
        <v>D</v>
      </c>
      <c r="D14" s="4" t="str">
        <f ca="1">CELL("contenu",INDIRECT(ADDRESS(ref!$K$3,ref!G13,1,,CELL("contenu",$AB$2))))</f>
        <v>C</v>
      </c>
      <c r="E14" s="5" t="str">
        <f ca="1">CELL("contenu",INDIRECT(ADDRESS(ref!$K$3,ref!H13,1,,CELL("contenu",$AB$2))))</f>
        <v>C</v>
      </c>
      <c r="F14" s="6" t="str">
        <f ca="1">CELL("contenu",INDIRECT(ADDRESS(ref!$K$4,ref!E13,1,,CELL("contenu",$AB$2))))</f>
        <v>B</v>
      </c>
      <c r="G14" s="3" t="str">
        <f ca="1">CELL("contenu",INDIRECT(ADDRESS(ref!$K$4,ref!F13,1,,CELL("contenu",$AB$2))))</f>
        <v/>
      </c>
      <c r="H14" s="4" t="str">
        <f ca="1">CELL("contenu",INDIRECT(ADDRESS(ref!$K$4,ref!G13,1,,CELL("contenu",$AB$2))))</f>
        <v>B</v>
      </c>
      <c r="I14" s="5" t="str">
        <f ca="1">CELL("contenu",INDIRECT(ADDRESS(ref!$K$4,ref!H13,1,,CELL("contenu",$AB$2))))</f>
        <v>B</v>
      </c>
      <c r="J14" s="6" t="str">
        <f ca="1">CELL("contenu",INDIRECT(ADDRESS(ref!$K$5,ref!E13,1,,CELL("contenu",$AB$2))))</f>
        <v/>
      </c>
      <c r="K14" s="3" t="str">
        <f ca="1">CELL("contenu",INDIRECT(ADDRESS(ref!$K$5,ref!F13,1,,CELL("contenu",$AB$2))))</f>
        <v/>
      </c>
      <c r="L14" s="4" t="str">
        <f ca="1">CELL("contenu",INDIRECT(ADDRESS(ref!$K$5,ref!G13,1,,CELL("contenu",$AB$2))))</f>
        <v>B</v>
      </c>
      <c r="M14" s="5" t="str">
        <f ca="1">CELL("contenu",INDIRECT(ADDRESS(ref!$K$5,ref!H13,1,,CELL("contenu",$AB$2))))</f>
        <v>B</v>
      </c>
      <c r="N14" s="6" t="str">
        <f ca="1">CELL("contenu",INDIRECT(ADDRESS(ref!$K$6,ref!E13,1,,CELL("contenu",$AB$2))))</f>
        <v>C</v>
      </c>
      <c r="O14" s="3" t="str">
        <f ca="1">CELL("contenu",INDIRECT(ADDRESS(ref!$K$6,ref!F13,1,,CELL("contenu",$AB$2))))</f>
        <v>C</v>
      </c>
      <c r="P14" s="4" t="str">
        <f ca="1">CELL("contenu",INDIRECT(ADDRESS(ref!$K$6,ref!G13,1,,CELL("contenu",$AB$2))))</f>
        <v>B</v>
      </c>
      <c r="Q14" s="5" t="str">
        <f ca="1">CELL("contenu",INDIRECT(ADDRESS(ref!$K$6,ref!H13,1,,CELL("contenu",$AB$2))))</f>
        <v>C</v>
      </c>
      <c r="R14" s="6" t="str">
        <f ca="1">CELL("contenu",INDIRECT(ADDRESS(ref!$K$7,ref!E13,1,,CELL("contenu",$AB$2))))</f>
        <v>B</v>
      </c>
      <c r="S14" s="3" t="str">
        <f ca="1">CELL("contenu",INDIRECT(ADDRESS(ref!$K$7,ref!F13,1,,CELL("contenu",$AB$2))))</f>
        <v/>
      </c>
      <c r="T14" s="4" t="str">
        <f ca="1">CELL("contenu",INDIRECT(ADDRESS(ref!$K$7,ref!G13,1,,CELL("contenu",$AB$2))))</f>
        <v/>
      </c>
      <c r="U14" s="5" t="str">
        <f ca="1">CELL("contenu",INDIRECT(ADDRESS(ref!$K$7,ref!H13,1,,CELL("contenu",$AB$2))))</f>
        <v>B</v>
      </c>
      <c r="V14" s="41">
        <f ca="1">CELL("contenu",INDIRECT(ADDRESS(ref!$K$8,ref!E13,1,,CELL("contenu",$AB$2))))</f>
        <v>12.083333333333332</v>
      </c>
      <c r="W14" s="42">
        <f ca="1">CELL("contenu",INDIRECT(ADDRESS(ref!$K$8,ref!F13,1,,CELL("contenu",$AB$2))))</f>
        <v>7.5</v>
      </c>
      <c r="X14" s="43">
        <f ca="1">CELL("contenu",INDIRECT(ADDRESS(ref!$K$8,ref!G13,1,,CELL("contenu",$AB$2))))</f>
        <v>14.888888888888889</v>
      </c>
      <c r="Y14" s="7" t="str">
        <f ca="1">CELL("contenu",INDIRECT(ADDRESS(ref!$K$9,ref!H13,1,,CELL("contenu",$AB$2))))</f>
        <v/>
      </c>
      <c r="Z14" s="8" t="str">
        <f ca="1">CELL("contenu",INDIRECT(ADDRESS(ref!$K$10,ref!H13,1,,CELL("contenu",$AB$2))))</f>
        <v>B</v>
      </c>
    </row>
    <row r="15" spans="1:28" x14ac:dyDescent="0.55000000000000004">
      <c r="A15" s="53" t="str">
        <f t="shared" ca="1" si="0"/>
        <v>HERTEAU Charles</v>
      </c>
      <c r="B15" s="2" t="str">
        <f ca="1">CELL("contenu",INDIRECT(ADDRESS(ref!$K$3,ref!E14,1,,CELL("contenu",$AB$2))))</f>
        <v>D</v>
      </c>
      <c r="C15" s="3" t="str">
        <f ca="1">CELL("contenu",INDIRECT(ADDRESS(ref!$K$3,ref!F14,1,,CELL("contenu",$AB$2))))</f>
        <v>B</v>
      </c>
      <c r="D15" s="4" t="str">
        <f ca="1">CELL("contenu",INDIRECT(ADDRESS(ref!$K$3,ref!G14,1,,CELL("contenu",$AB$2))))</f>
        <v>C</v>
      </c>
      <c r="E15" s="5" t="str">
        <f ca="1">CELL("contenu",INDIRECT(ADDRESS(ref!$K$3,ref!H14,1,,CELL("contenu",$AB$2))))</f>
        <v>C</v>
      </c>
      <c r="F15" s="6" t="str">
        <f ca="1">CELL("contenu",INDIRECT(ADDRESS(ref!$K$4,ref!E14,1,,CELL("contenu",$AB$2))))</f>
        <v>C</v>
      </c>
      <c r="G15" s="3" t="str">
        <f ca="1">CELL("contenu",INDIRECT(ADDRESS(ref!$K$4,ref!F14,1,,CELL("contenu",$AB$2))))</f>
        <v/>
      </c>
      <c r="H15" s="4" t="str">
        <f ca="1">CELL("contenu",INDIRECT(ADDRESS(ref!$K$4,ref!G14,1,,CELL("contenu",$AB$2))))</f>
        <v>C</v>
      </c>
      <c r="I15" s="5" t="str">
        <f ca="1">CELL("contenu",INDIRECT(ADDRESS(ref!$K$4,ref!H14,1,,CELL("contenu",$AB$2))))</f>
        <v>C</v>
      </c>
      <c r="J15" s="6" t="str">
        <f ca="1">CELL("contenu",INDIRECT(ADDRESS(ref!$K$5,ref!E14,1,,CELL("contenu",$AB$2))))</f>
        <v/>
      </c>
      <c r="K15" s="3" t="str">
        <f ca="1">CELL("contenu",INDIRECT(ADDRESS(ref!$K$5,ref!F14,1,,CELL("contenu",$AB$2))))</f>
        <v/>
      </c>
      <c r="L15" s="4" t="str">
        <f ca="1">CELL("contenu",INDIRECT(ADDRESS(ref!$K$5,ref!G14,1,,CELL("contenu",$AB$2))))</f>
        <v>B</v>
      </c>
      <c r="M15" s="5" t="str">
        <f ca="1">CELL("contenu",INDIRECT(ADDRESS(ref!$K$5,ref!H14,1,,CELL("contenu",$AB$2))))</f>
        <v>B</v>
      </c>
      <c r="N15" s="6" t="str">
        <f ca="1">CELL("contenu",INDIRECT(ADDRESS(ref!$K$6,ref!E14,1,,CELL("contenu",$AB$2))))</f>
        <v>D</v>
      </c>
      <c r="O15" s="3" t="str">
        <f ca="1">CELL("contenu",INDIRECT(ADDRESS(ref!$K$6,ref!F14,1,,CELL("contenu",$AB$2))))</f>
        <v>C</v>
      </c>
      <c r="P15" s="4" t="str">
        <f ca="1">CELL("contenu",INDIRECT(ADDRESS(ref!$K$6,ref!G14,1,,CELL("contenu",$AB$2))))</f>
        <v>C</v>
      </c>
      <c r="Q15" s="5" t="str">
        <f ca="1">CELL("contenu",INDIRECT(ADDRESS(ref!$K$6,ref!H14,1,,CELL("contenu",$AB$2))))</f>
        <v>C</v>
      </c>
      <c r="R15" s="6" t="str">
        <f ca="1">CELL("contenu",INDIRECT(ADDRESS(ref!$K$7,ref!E14,1,,CELL("contenu",$AB$2))))</f>
        <v>B</v>
      </c>
      <c r="S15" s="3" t="str">
        <f ca="1">CELL("contenu",INDIRECT(ADDRESS(ref!$K$7,ref!F14,1,,CELL("contenu",$AB$2))))</f>
        <v/>
      </c>
      <c r="T15" s="4" t="str">
        <f ca="1">CELL("contenu",INDIRECT(ADDRESS(ref!$K$7,ref!G14,1,,CELL("contenu",$AB$2))))</f>
        <v/>
      </c>
      <c r="U15" s="5" t="str">
        <f ca="1">CELL("contenu",INDIRECT(ADDRESS(ref!$K$7,ref!H14,1,,CELL("contenu",$AB$2))))</f>
        <v>B</v>
      </c>
      <c r="V15" s="41">
        <f ca="1">CELL("contenu",INDIRECT(ADDRESS(ref!$K$8,ref!E14,1,,CELL("contenu",$AB$2))))</f>
        <v>8.5416666666666661</v>
      </c>
      <c r="W15" s="42">
        <f ca="1">CELL("contenu",INDIRECT(ADDRESS(ref!$K$8,ref!F14,1,,CELL("contenu",$AB$2))))</f>
        <v>12.5</v>
      </c>
      <c r="X15" s="43">
        <f ca="1">CELL("contenu",INDIRECT(ADDRESS(ref!$K$8,ref!G14,1,,CELL("contenu",$AB$2))))</f>
        <v>12.270833333333332</v>
      </c>
      <c r="Y15" s="7" t="str">
        <f ca="1">CELL("contenu",INDIRECT(ADDRESS(ref!$K$9,ref!H14,1,,CELL("contenu",$AB$2))))</f>
        <v/>
      </c>
      <c r="Z15" s="8" t="str">
        <f ca="1">CELL("contenu",INDIRECT(ADDRESS(ref!$K$10,ref!H14,1,,CELL("contenu",$AB$2))))</f>
        <v>C</v>
      </c>
    </row>
    <row r="16" spans="1:28" x14ac:dyDescent="0.55000000000000004">
      <c r="A16" s="53" t="str">
        <f t="shared" ca="1" si="0"/>
        <v>JANVIER Axel</v>
      </c>
      <c r="B16" s="2" t="str">
        <f ca="1">CELL("contenu",INDIRECT(ADDRESS(ref!$K$3,ref!E15,1,,CELL("contenu",$AB$2))))</f>
        <v>D</v>
      </c>
      <c r="C16" s="3" t="str">
        <f ca="1">CELL("contenu",INDIRECT(ADDRESS(ref!$K$3,ref!F15,1,,CELL("contenu",$AB$2))))</f>
        <v>C</v>
      </c>
      <c r="D16" s="4" t="str">
        <f ca="1">CELL("contenu",INDIRECT(ADDRESS(ref!$K$3,ref!G15,1,,CELL("contenu",$AB$2))))</f>
        <v>C</v>
      </c>
      <c r="E16" s="5" t="str">
        <f ca="1">CELL("contenu",INDIRECT(ADDRESS(ref!$K$3,ref!H15,1,,CELL("contenu",$AB$2))))</f>
        <v>C</v>
      </c>
      <c r="F16" s="6" t="str">
        <f ca="1">CELL("contenu",INDIRECT(ADDRESS(ref!$K$4,ref!E15,1,,CELL("contenu",$AB$2))))</f>
        <v>C</v>
      </c>
      <c r="G16" s="3" t="str">
        <f ca="1">CELL("contenu",INDIRECT(ADDRESS(ref!$K$4,ref!F15,1,,CELL("contenu",$AB$2))))</f>
        <v/>
      </c>
      <c r="H16" s="4" t="str">
        <f ca="1">CELL("contenu",INDIRECT(ADDRESS(ref!$K$4,ref!G15,1,,CELL("contenu",$AB$2))))</f>
        <v>B</v>
      </c>
      <c r="I16" s="5" t="str">
        <f ca="1">CELL("contenu",INDIRECT(ADDRESS(ref!$K$4,ref!H15,1,,CELL("contenu",$AB$2))))</f>
        <v>B</v>
      </c>
      <c r="J16" s="6" t="str">
        <f ca="1">CELL("contenu",INDIRECT(ADDRESS(ref!$K$5,ref!E15,1,,CELL("contenu",$AB$2))))</f>
        <v/>
      </c>
      <c r="K16" s="3" t="str">
        <f ca="1">CELL("contenu",INDIRECT(ADDRESS(ref!$K$5,ref!F15,1,,CELL("contenu",$AB$2))))</f>
        <v/>
      </c>
      <c r="L16" s="4" t="str">
        <f ca="1">CELL("contenu",INDIRECT(ADDRESS(ref!$K$5,ref!G15,1,,CELL("contenu",$AB$2))))</f>
        <v>B</v>
      </c>
      <c r="M16" s="5" t="str">
        <f ca="1">CELL("contenu",INDIRECT(ADDRESS(ref!$K$5,ref!H15,1,,CELL("contenu",$AB$2))))</f>
        <v>B</v>
      </c>
      <c r="N16" s="6" t="str">
        <f ca="1">CELL("contenu",INDIRECT(ADDRESS(ref!$K$6,ref!E15,1,,CELL("contenu",$AB$2))))</f>
        <v>C</v>
      </c>
      <c r="O16" s="3" t="str">
        <f ca="1">CELL("contenu",INDIRECT(ADDRESS(ref!$K$6,ref!F15,1,,CELL("contenu",$AB$2))))</f>
        <v>D</v>
      </c>
      <c r="P16" s="4" t="str">
        <f ca="1">CELL("contenu",INDIRECT(ADDRESS(ref!$K$6,ref!G15,1,,CELL("contenu",$AB$2))))</f>
        <v>C</v>
      </c>
      <c r="Q16" s="5" t="str">
        <f ca="1">CELL("contenu",INDIRECT(ADDRESS(ref!$K$6,ref!H15,1,,CELL("contenu",$AB$2))))</f>
        <v>C</v>
      </c>
      <c r="R16" s="6" t="str">
        <f ca="1">CELL("contenu",INDIRECT(ADDRESS(ref!$K$7,ref!E15,1,,CELL("contenu",$AB$2))))</f>
        <v>C</v>
      </c>
      <c r="S16" s="3" t="str">
        <f ca="1">CELL("contenu",INDIRECT(ADDRESS(ref!$K$7,ref!F15,1,,CELL("contenu",$AB$2))))</f>
        <v/>
      </c>
      <c r="T16" s="4" t="str">
        <f ca="1">CELL("contenu",INDIRECT(ADDRESS(ref!$K$7,ref!G15,1,,CELL("contenu",$AB$2))))</f>
        <v/>
      </c>
      <c r="U16" s="5" t="str">
        <f ca="1">CELL("contenu",INDIRECT(ADDRESS(ref!$K$7,ref!H15,1,,CELL("contenu",$AB$2))))</f>
        <v>C</v>
      </c>
      <c r="V16" s="41">
        <f ca="1">CELL("contenu",INDIRECT(ADDRESS(ref!$K$8,ref!E15,1,,CELL("contenu",$AB$2))))</f>
        <v>10.208333333333332</v>
      </c>
      <c r="W16" s="42">
        <f ca="1">CELL("contenu",INDIRECT(ADDRESS(ref!$K$8,ref!F15,1,,CELL("contenu",$AB$2))))</f>
        <v>8.75</v>
      </c>
      <c r="X16" s="43">
        <f ca="1">CELL("contenu",INDIRECT(ADDRESS(ref!$K$8,ref!G15,1,,CELL("contenu",$AB$2))))</f>
        <v>13.361111111111111</v>
      </c>
      <c r="Y16" s="7" t="str">
        <f ca="1">CELL("contenu",INDIRECT(ADDRESS(ref!$K$9,ref!H15,1,,CELL("contenu",$AB$2))))</f>
        <v/>
      </c>
      <c r="Z16" s="8" t="str">
        <f ca="1">CELL("contenu",INDIRECT(ADDRESS(ref!$K$10,ref!H15,1,,CELL("contenu",$AB$2))))</f>
        <v>B</v>
      </c>
    </row>
    <row r="17" spans="1:26" x14ac:dyDescent="0.55000000000000004">
      <c r="A17" s="53" t="str">
        <f t="shared" ca="1" si="0"/>
        <v>KERMOAL Dorian</v>
      </c>
      <c r="B17" s="2" t="str">
        <f ca="1">CELL("contenu",INDIRECT(ADDRESS(ref!$K$3,ref!E16,1,,CELL("contenu",$AB$2))))</f>
        <v>C</v>
      </c>
      <c r="C17" s="3" t="str">
        <f ca="1">CELL("contenu",INDIRECT(ADDRESS(ref!$K$3,ref!F16,1,,CELL("contenu",$AB$2))))</f>
        <v>B</v>
      </c>
      <c r="D17" s="4" t="str">
        <f ca="1">CELL("contenu",INDIRECT(ADDRESS(ref!$K$3,ref!G16,1,,CELL("contenu",$AB$2))))</f>
        <v>C</v>
      </c>
      <c r="E17" s="5" t="str">
        <f ca="1">CELL("contenu",INDIRECT(ADDRESS(ref!$K$3,ref!H16,1,,CELL("contenu",$AB$2))))</f>
        <v>C</v>
      </c>
      <c r="F17" s="6" t="str">
        <f ca="1">CELL("contenu",INDIRECT(ADDRESS(ref!$K$4,ref!E16,1,,CELL("contenu",$AB$2))))</f>
        <v>C</v>
      </c>
      <c r="G17" s="3" t="str">
        <f ca="1">CELL("contenu",INDIRECT(ADDRESS(ref!$K$4,ref!F16,1,,CELL("contenu",$AB$2))))</f>
        <v/>
      </c>
      <c r="H17" s="4" t="str">
        <f ca="1">CELL("contenu",INDIRECT(ADDRESS(ref!$K$4,ref!G16,1,,CELL("contenu",$AB$2))))</f>
        <v>C</v>
      </c>
      <c r="I17" s="5" t="str">
        <f ca="1">CELL("contenu",INDIRECT(ADDRESS(ref!$K$4,ref!H16,1,,CELL("contenu",$AB$2))))</f>
        <v>C</v>
      </c>
      <c r="J17" s="6" t="str">
        <f ca="1">CELL("contenu",INDIRECT(ADDRESS(ref!$K$5,ref!E16,1,,CELL("contenu",$AB$2))))</f>
        <v/>
      </c>
      <c r="K17" s="3" t="str">
        <f ca="1">CELL("contenu",INDIRECT(ADDRESS(ref!$K$5,ref!F16,1,,CELL("contenu",$AB$2))))</f>
        <v/>
      </c>
      <c r="L17" s="4" t="str">
        <f ca="1">CELL("contenu",INDIRECT(ADDRESS(ref!$K$5,ref!G16,1,,CELL("contenu",$AB$2))))</f>
        <v>B</v>
      </c>
      <c r="M17" s="5" t="str">
        <f ca="1">CELL("contenu",INDIRECT(ADDRESS(ref!$K$5,ref!H16,1,,CELL("contenu",$AB$2))))</f>
        <v>B</v>
      </c>
      <c r="N17" s="6" t="str">
        <f ca="1">CELL("contenu",INDIRECT(ADDRESS(ref!$K$6,ref!E16,1,,CELL("contenu",$AB$2))))</f>
        <v>B</v>
      </c>
      <c r="O17" s="3" t="str">
        <f ca="1">CELL("contenu",INDIRECT(ADDRESS(ref!$K$6,ref!F16,1,,CELL("contenu",$AB$2))))</f>
        <v>C</v>
      </c>
      <c r="P17" s="4" t="str">
        <f ca="1">CELL("contenu",INDIRECT(ADDRESS(ref!$K$6,ref!G16,1,,CELL("contenu",$AB$2))))</f>
        <v>C</v>
      </c>
      <c r="Q17" s="5" t="str">
        <f ca="1">CELL("contenu",INDIRECT(ADDRESS(ref!$K$6,ref!H16,1,,CELL("contenu",$AB$2))))</f>
        <v>C</v>
      </c>
      <c r="R17" s="6" t="str">
        <f ca="1">CELL("contenu",INDIRECT(ADDRESS(ref!$K$7,ref!E16,1,,CELL("contenu",$AB$2))))</f>
        <v>D</v>
      </c>
      <c r="S17" s="3" t="str">
        <f ca="1">CELL("contenu",INDIRECT(ADDRESS(ref!$K$7,ref!F16,1,,CELL("contenu",$AB$2))))</f>
        <v/>
      </c>
      <c r="T17" s="4" t="str">
        <f ca="1">CELL("contenu",INDIRECT(ADDRESS(ref!$K$7,ref!G16,1,,CELL("contenu",$AB$2))))</f>
        <v/>
      </c>
      <c r="U17" s="5" t="str">
        <f ca="1">CELL("contenu",INDIRECT(ADDRESS(ref!$K$7,ref!H16,1,,CELL("contenu",$AB$2))))</f>
        <v>D</v>
      </c>
      <c r="V17" s="41">
        <f ca="1">CELL("contenu",INDIRECT(ADDRESS(ref!$K$8,ref!E16,1,,CELL("contenu",$AB$2))))</f>
        <v>11.875</v>
      </c>
      <c r="W17" s="42">
        <f ca="1">CELL("contenu",INDIRECT(ADDRESS(ref!$K$8,ref!F16,1,,CELL("contenu",$AB$2))))</f>
        <v>12.5</v>
      </c>
      <c r="X17" s="43">
        <f ca="1">CELL("contenu",INDIRECT(ADDRESS(ref!$K$8,ref!G16,1,,CELL("contenu",$AB$2))))</f>
        <v>11.993055555555554</v>
      </c>
      <c r="Y17" s="7" t="str">
        <f ca="1">CELL("contenu",INDIRECT(ADDRESS(ref!$K$9,ref!H16,1,,CELL("contenu",$AB$2))))</f>
        <v/>
      </c>
      <c r="Z17" s="8" t="str">
        <f ca="1">CELL("contenu",INDIRECT(ADDRESS(ref!$K$10,ref!H16,1,,CELL("contenu",$AB$2))))</f>
        <v>B</v>
      </c>
    </row>
    <row r="18" spans="1:26" x14ac:dyDescent="0.55000000000000004">
      <c r="A18" s="53" t="str">
        <f t="shared" ca="1" si="0"/>
        <v>LI Eloise</v>
      </c>
      <c r="B18" s="2" t="str">
        <f ca="1">CELL("contenu",INDIRECT(ADDRESS(ref!$K$3,ref!E17,1,,CELL("contenu",$AB$2))))</f>
        <v>D</v>
      </c>
      <c r="C18" s="3" t="str">
        <f ca="1">CELL("contenu",INDIRECT(ADDRESS(ref!$K$3,ref!F17,1,,CELL("contenu",$AB$2))))</f>
        <v>D</v>
      </c>
      <c r="D18" s="4" t="str">
        <f ca="1">CELL("contenu",INDIRECT(ADDRESS(ref!$K$3,ref!G17,1,,CELL("contenu",$AB$2))))</f>
        <v>C</v>
      </c>
      <c r="E18" s="5" t="str">
        <f ca="1">CELL("contenu",INDIRECT(ADDRESS(ref!$K$3,ref!H17,1,,CELL("contenu",$AB$2))))</f>
        <v>C</v>
      </c>
      <c r="F18" s="6" t="str">
        <f ca="1">CELL("contenu",INDIRECT(ADDRESS(ref!$K$4,ref!E17,1,,CELL("contenu",$AB$2))))</f>
        <v>B</v>
      </c>
      <c r="G18" s="3" t="str">
        <f ca="1">CELL("contenu",INDIRECT(ADDRESS(ref!$K$4,ref!F17,1,,CELL("contenu",$AB$2))))</f>
        <v/>
      </c>
      <c r="H18" s="4" t="str">
        <f ca="1">CELL("contenu",INDIRECT(ADDRESS(ref!$K$4,ref!G17,1,,CELL("contenu",$AB$2))))</f>
        <v>C</v>
      </c>
      <c r="I18" s="5" t="str">
        <f ca="1">CELL("contenu",INDIRECT(ADDRESS(ref!$K$4,ref!H17,1,,CELL("contenu",$AB$2))))</f>
        <v>B</v>
      </c>
      <c r="J18" s="6" t="str">
        <f ca="1">CELL("contenu",INDIRECT(ADDRESS(ref!$K$5,ref!E17,1,,CELL("contenu",$AB$2))))</f>
        <v/>
      </c>
      <c r="K18" s="3" t="str">
        <f ca="1">CELL("contenu",INDIRECT(ADDRESS(ref!$K$5,ref!F17,1,,CELL("contenu",$AB$2))))</f>
        <v/>
      </c>
      <c r="L18" s="4" t="str">
        <f ca="1">CELL("contenu",INDIRECT(ADDRESS(ref!$K$5,ref!G17,1,,CELL("contenu",$AB$2))))</f>
        <v>C</v>
      </c>
      <c r="M18" s="5" t="str">
        <f ca="1">CELL("contenu",INDIRECT(ADDRESS(ref!$K$5,ref!H17,1,,CELL("contenu",$AB$2))))</f>
        <v>C</v>
      </c>
      <c r="N18" s="6" t="str">
        <f ca="1">CELL("contenu",INDIRECT(ADDRESS(ref!$K$6,ref!E17,1,,CELL("contenu",$AB$2))))</f>
        <v>C</v>
      </c>
      <c r="O18" s="3" t="str">
        <f ca="1">CELL("contenu",INDIRECT(ADDRESS(ref!$K$6,ref!F17,1,,CELL("contenu",$AB$2))))</f>
        <v>C</v>
      </c>
      <c r="P18" s="4" t="str">
        <f ca="1">CELL("contenu",INDIRECT(ADDRESS(ref!$K$6,ref!G17,1,,CELL("contenu",$AB$2))))</f>
        <v>C</v>
      </c>
      <c r="Q18" s="5" t="str">
        <f ca="1">CELL("contenu",INDIRECT(ADDRESS(ref!$K$6,ref!H17,1,,CELL("contenu",$AB$2))))</f>
        <v>C</v>
      </c>
      <c r="R18" s="6" t="str">
        <f ca="1">CELL("contenu",INDIRECT(ADDRESS(ref!$K$7,ref!E17,1,,CELL("contenu",$AB$2))))</f>
        <v>C</v>
      </c>
      <c r="S18" s="3" t="str">
        <f ca="1">CELL("contenu",INDIRECT(ADDRESS(ref!$K$7,ref!F17,1,,CELL("contenu",$AB$2))))</f>
        <v/>
      </c>
      <c r="T18" s="4" t="str">
        <f ca="1">CELL("contenu",INDIRECT(ADDRESS(ref!$K$7,ref!G17,1,,CELL("contenu",$AB$2))))</f>
        <v/>
      </c>
      <c r="U18" s="5" t="str">
        <f ca="1">CELL("contenu",INDIRECT(ADDRESS(ref!$K$7,ref!H17,1,,CELL("contenu",$AB$2))))</f>
        <v>C</v>
      </c>
      <c r="V18" s="41">
        <f ca="1">CELL("contenu",INDIRECT(ADDRESS(ref!$K$8,ref!E17,1,,CELL("contenu",$AB$2))))</f>
        <v>10.416666666666668</v>
      </c>
      <c r="W18" s="42">
        <f ca="1">CELL("contenu",INDIRECT(ADDRESS(ref!$K$8,ref!F17,1,,CELL("contenu",$AB$2))))</f>
        <v>7.5</v>
      </c>
      <c r="X18" s="43">
        <f ca="1">CELL("contenu",INDIRECT(ADDRESS(ref!$K$8,ref!G17,1,,CELL("contenu",$AB$2))))</f>
        <v>10.625</v>
      </c>
      <c r="Y18" s="7" t="str">
        <f ca="1">CELL("contenu",INDIRECT(ADDRESS(ref!$K$9,ref!H17,1,,CELL("contenu",$AB$2))))</f>
        <v/>
      </c>
      <c r="Z18" s="8" t="str">
        <f ca="1">CELL("contenu",INDIRECT(ADDRESS(ref!$K$10,ref!H17,1,,CELL("contenu",$AB$2))))</f>
        <v>B</v>
      </c>
    </row>
    <row r="19" spans="1:26" x14ac:dyDescent="0.55000000000000004">
      <c r="A19" s="53" t="str">
        <f t="shared" ca="1" si="0"/>
        <v>LIOT DE NORTBECOURT Ines</v>
      </c>
      <c r="B19" s="2" t="str">
        <f ca="1">CELL("contenu",INDIRECT(ADDRESS(ref!$K$3,ref!E18,1,,CELL("contenu",$AB$2))))</f>
        <v>D</v>
      </c>
      <c r="C19" s="3" t="str">
        <f ca="1">CELL("contenu",INDIRECT(ADDRESS(ref!$K$3,ref!F18,1,,CELL("contenu",$AB$2))))</f>
        <v>C</v>
      </c>
      <c r="D19" s="4" t="str">
        <f ca="1">CELL("contenu",INDIRECT(ADDRESS(ref!$K$3,ref!G18,1,,CELL("contenu",$AB$2))))</f>
        <v>C</v>
      </c>
      <c r="E19" s="5" t="str">
        <f ca="1">CELL("contenu",INDIRECT(ADDRESS(ref!$K$3,ref!H18,1,,CELL("contenu",$AB$2))))</f>
        <v>C</v>
      </c>
      <c r="F19" s="6" t="str">
        <f ca="1">CELL("contenu",INDIRECT(ADDRESS(ref!$K$4,ref!E18,1,,CELL("contenu",$AB$2))))</f>
        <v>C</v>
      </c>
      <c r="G19" s="3" t="str">
        <f ca="1">CELL("contenu",INDIRECT(ADDRESS(ref!$K$4,ref!F18,1,,CELL("contenu",$AB$2))))</f>
        <v/>
      </c>
      <c r="H19" s="4" t="str">
        <f ca="1">CELL("contenu",INDIRECT(ADDRESS(ref!$K$4,ref!G18,1,,CELL("contenu",$AB$2))))</f>
        <v>B</v>
      </c>
      <c r="I19" s="5" t="str">
        <f ca="1">CELL("contenu",INDIRECT(ADDRESS(ref!$K$4,ref!H18,1,,CELL("contenu",$AB$2))))</f>
        <v>B</v>
      </c>
      <c r="J19" s="6" t="str">
        <f ca="1">CELL("contenu",INDIRECT(ADDRESS(ref!$K$5,ref!E18,1,,CELL("contenu",$AB$2))))</f>
        <v/>
      </c>
      <c r="K19" s="3" t="str">
        <f ca="1">CELL("contenu",INDIRECT(ADDRESS(ref!$K$5,ref!F18,1,,CELL("contenu",$AB$2))))</f>
        <v/>
      </c>
      <c r="L19" s="4" t="str">
        <f ca="1">CELL("contenu",INDIRECT(ADDRESS(ref!$K$5,ref!G18,1,,CELL("contenu",$AB$2))))</f>
        <v>B</v>
      </c>
      <c r="M19" s="5" t="str">
        <f ca="1">CELL("contenu",INDIRECT(ADDRESS(ref!$K$5,ref!H18,1,,CELL("contenu",$AB$2))))</f>
        <v>B</v>
      </c>
      <c r="N19" s="6" t="str">
        <f ca="1">CELL("contenu",INDIRECT(ADDRESS(ref!$K$6,ref!E18,1,,CELL("contenu",$AB$2))))</f>
        <v>C</v>
      </c>
      <c r="O19" s="3" t="str">
        <f ca="1">CELL("contenu",INDIRECT(ADDRESS(ref!$K$6,ref!F18,1,,CELL("contenu",$AB$2))))</f>
        <v>D</v>
      </c>
      <c r="P19" s="4" t="str">
        <f ca="1">CELL("contenu",INDIRECT(ADDRESS(ref!$K$6,ref!G18,1,,CELL("contenu",$AB$2))))</f>
        <v>C</v>
      </c>
      <c r="Q19" s="5" t="str">
        <f ca="1">CELL("contenu",INDIRECT(ADDRESS(ref!$K$6,ref!H18,1,,CELL("contenu",$AB$2))))</f>
        <v>C</v>
      </c>
      <c r="R19" s="6" t="str">
        <f ca="1">CELL("contenu",INDIRECT(ADDRESS(ref!$K$7,ref!E18,1,,CELL("contenu",$AB$2))))</f>
        <v>B</v>
      </c>
      <c r="S19" s="3" t="str">
        <f ca="1">CELL("contenu",INDIRECT(ADDRESS(ref!$K$7,ref!F18,1,,CELL("contenu",$AB$2))))</f>
        <v/>
      </c>
      <c r="T19" s="4" t="str">
        <f ca="1">CELL("contenu",INDIRECT(ADDRESS(ref!$K$7,ref!G18,1,,CELL("contenu",$AB$2))))</f>
        <v/>
      </c>
      <c r="U19" s="5" t="str">
        <f ca="1">CELL("contenu",INDIRECT(ADDRESS(ref!$K$7,ref!H18,1,,CELL("contenu",$AB$2))))</f>
        <v>B</v>
      </c>
      <c r="V19" s="41">
        <f ca="1">CELL("contenu",INDIRECT(ADDRESS(ref!$K$8,ref!E18,1,,CELL("contenu",$AB$2))))</f>
        <v>10.625</v>
      </c>
      <c r="W19" s="42">
        <f ca="1">CELL("contenu",INDIRECT(ADDRESS(ref!$K$8,ref!F18,1,,CELL("contenu",$AB$2))))</f>
        <v>8.75</v>
      </c>
      <c r="X19" s="43">
        <f ca="1">CELL("contenu",INDIRECT(ADDRESS(ref!$K$8,ref!G18,1,,CELL("contenu",$AB$2))))</f>
        <v>11.854166666666666</v>
      </c>
      <c r="Y19" s="7" t="str">
        <f ca="1">CELL("contenu",INDIRECT(ADDRESS(ref!$K$9,ref!H18,1,,CELL("contenu",$AB$2))))</f>
        <v/>
      </c>
      <c r="Z19" s="8" t="str">
        <f ca="1">CELL("contenu",INDIRECT(ADDRESS(ref!$K$10,ref!H18,1,,CELL("contenu",$AB$2))))</f>
        <v>B</v>
      </c>
    </row>
    <row r="20" spans="1:26" x14ac:dyDescent="0.55000000000000004">
      <c r="A20" s="53" t="str">
        <f t="shared" ca="1" si="0"/>
        <v>MAQUET Berengere</v>
      </c>
      <c r="B20" s="2" t="str">
        <f ca="1">CELL("contenu",INDIRECT(ADDRESS(ref!$K$3,ref!E19,1,,CELL("contenu",$AB$2))))</f>
        <v>D</v>
      </c>
      <c r="C20" s="3" t="str">
        <f ca="1">CELL("contenu",INDIRECT(ADDRESS(ref!$K$3,ref!F19,1,,CELL("contenu",$AB$2))))</f>
        <v>B</v>
      </c>
      <c r="D20" s="4" t="str">
        <f ca="1">CELL("contenu",INDIRECT(ADDRESS(ref!$K$3,ref!G19,1,,CELL("contenu",$AB$2))))</f>
        <v>D</v>
      </c>
      <c r="E20" s="5" t="str">
        <f ca="1">CELL("contenu",INDIRECT(ADDRESS(ref!$K$3,ref!H19,1,,CELL("contenu",$AB$2))))</f>
        <v>C</v>
      </c>
      <c r="F20" s="6" t="str">
        <f ca="1">CELL("contenu",INDIRECT(ADDRESS(ref!$K$4,ref!E19,1,,CELL("contenu",$AB$2))))</f>
        <v>B</v>
      </c>
      <c r="G20" s="3" t="str">
        <f ca="1">CELL("contenu",INDIRECT(ADDRESS(ref!$K$4,ref!F19,1,,CELL("contenu",$AB$2))))</f>
        <v/>
      </c>
      <c r="H20" s="4" t="str">
        <f ca="1">CELL("contenu",INDIRECT(ADDRESS(ref!$K$4,ref!G19,1,,CELL("contenu",$AB$2))))</f>
        <v>C</v>
      </c>
      <c r="I20" s="5" t="str">
        <f ca="1">CELL("contenu",INDIRECT(ADDRESS(ref!$K$4,ref!H19,1,,CELL("contenu",$AB$2))))</f>
        <v>C</v>
      </c>
      <c r="J20" s="6" t="str">
        <f ca="1">CELL("contenu",INDIRECT(ADDRESS(ref!$K$5,ref!E19,1,,CELL("contenu",$AB$2))))</f>
        <v/>
      </c>
      <c r="K20" s="3" t="str">
        <f ca="1">CELL("contenu",INDIRECT(ADDRESS(ref!$K$5,ref!F19,1,,CELL("contenu",$AB$2))))</f>
        <v/>
      </c>
      <c r="L20" s="4" t="str">
        <f ca="1">CELL("contenu",INDIRECT(ADDRESS(ref!$K$5,ref!G19,1,,CELL("contenu",$AB$2))))</f>
        <v>D</v>
      </c>
      <c r="M20" s="5" t="str">
        <f ca="1">CELL("contenu",INDIRECT(ADDRESS(ref!$K$5,ref!H19,1,,CELL("contenu",$AB$2))))</f>
        <v>D</v>
      </c>
      <c r="N20" s="6" t="str">
        <f ca="1">CELL("contenu",INDIRECT(ADDRESS(ref!$K$6,ref!E19,1,,CELL("contenu",$AB$2))))</f>
        <v>D</v>
      </c>
      <c r="O20" s="3" t="str">
        <f ca="1">CELL("contenu",INDIRECT(ADDRESS(ref!$K$6,ref!F19,1,,CELL("contenu",$AB$2))))</f>
        <v>C</v>
      </c>
      <c r="P20" s="4" t="str">
        <f ca="1">CELL("contenu",INDIRECT(ADDRESS(ref!$K$6,ref!G19,1,,CELL("contenu",$AB$2))))</f>
        <v>C</v>
      </c>
      <c r="Q20" s="5" t="str">
        <f ca="1">CELL("contenu",INDIRECT(ADDRESS(ref!$K$6,ref!H19,1,,CELL("contenu",$AB$2))))</f>
        <v>C</v>
      </c>
      <c r="R20" s="6" t="str">
        <f ca="1">CELL("contenu",INDIRECT(ADDRESS(ref!$K$7,ref!E19,1,,CELL("contenu",$AB$2))))</f>
        <v>D</v>
      </c>
      <c r="S20" s="3" t="str">
        <f ca="1">CELL("contenu",INDIRECT(ADDRESS(ref!$K$7,ref!F19,1,,CELL("contenu",$AB$2))))</f>
        <v/>
      </c>
      <c r="T20" s="4" t="str">
        <f ca="1">CELL("contenu",INDIRECT(ADDRESS(ref!$K$7,ref!G19,1,,CELL("contenu",$AB$2))))</f>
        <v/>
      </c>
      <c r="U20" s="5" t="str">
        <f ca="1">CELL("contenu",INDIRECT(ADDRESS(ref!$K$7,ref!H19,1,,CELL("contenu",$AB$2))))</f>
        <v>D</v>
      </c>
      <c r="V20" s="41">
        <f ca="1">CELL("contenu",INDIRECT(ADDRESS(ref!$K$8,ref!E19,1,,CELL("contenu",$AB$2))))</f>
        <v>7.0833333333333339</v>
      </c>
      <c r="W20" s="42">
        <f ca="1">CELL("contenu",INDIRECT(ADDRESS(ref!$K$8,ref!F19,1,,CELL("contenu",$AB$2))))</f>
        <v>12.5</v>
      </c>
      <c r="X20" s="43">
        <f ca="1">CELL("contenu",INDIRECT(ADDRESS(ref!$K$8,ref!G19,1,,CELL("contenu",$AB$2))))</f>
        <v>8.5763888888888893</v>
      </c>
      <c r="Y20" s="7" t="str">
        <f ca="1">CELL("contenu",INDIRECT(ADDRESS(ref!$K$9,ref!H19,1,,CELL("contenu",$AB$2))))</f>
        <v/>
      </c>
      <c r="Z20" s="8" t="str">
        <f ca="1">CELL("contenu",INDIRECT(ADDRESS(ref!$K$10,ref!H19,1,,CELL("contenu",$AB$2))))</f>
        <v>B</v>
      </c>
    </row>
    <row r="21" spans="1:26" x14ac:dyDescent="0.55000000000000004">
      <c r="A21" s="53" t="str">
        <f t="shared" ca="1" si="0"/>
        <v>MARIMOT Loic</v>
      </c>
      <c r="B21" s="2" t="str">
        <f ca="1">CELL("contenu",INDIRECT(ADDRESS(ref!$K$3,ref!E20,1,,CELL("contenu",$AB$2))))</f>
        <v>C</v>
      </c>
      <c r="C21" s="3" t="str">
        <f ca="1">CELL("contenu",INDIRECT(ADDRESS(ref!$K$3,ref!F20,1,,CELL("contenu",$AB$2))))</f>
        <v>A</v>
      </c>
      <c r="D21" s="4" t="str">
        <f ca="1">CELL("contenu",INDIRECT(ADDRESS(ref!$K$3,ref!G20,1,,CELL("contenu",$AB$2))))</f>
        <v>C</v>
      </c>
      <c r="E21" s="5" t="str">
        <f ca="1">CELL("contenu",INDIRECT(ADDRESS(ref!$K$3,ref!H20,1,,CELL("contenu",$AB$2))))</f>
        <v>C</v>
      </c>
      <c r="F21" s="6" t="str">
        <f ca="1">CELL("contenu",INDIRECT(ADDRESS(ref!$K$4,ref!E20,1,,CELL("contenu",$AB$2))))</f>
        <v>C</v>
      </c>
      <c r="G21" s="3" t="str">
        <f ca="1">CELL("contenu",INDIRECT(ADDRESS(ref!$K$4,ref!F20,1,,CELL("contenu",$AB$2))))</f>
        <v/>
      </c>
      <c r="H21" s="4" t="str">
        <f ca="1">CELL("contenu",INDIRECT(ADDRESS(ref!$K$4,ref!G20,1,,CELL("contenu",$AB$2))))</f>
        <v>C</v>
      </c>
      <c r="I21" s="5" t="str">
        <f ca="1">CELL("contenu",INDIRECT(ADDRESS(ref!$K$4,ref!H20,1,,CELL("contenu",$AB$2))))</f>
        <v>C</v>
      </c>
      <c r="J21" s="6" t="str">
        <f ca="1">CELL("contenu",INDIRECT(ADDRESS(ref!$K$5,ref!E20,1,,CELL("contenu",$AB$2))))</f>
        <v/>
      </c>
      <c r="K21" s="3" t="str">
        <f ca="1">CELL("contenu",INDIRECT(ADDRESS(ref!$K$5,ref!F20,1,,CELL("contenu",$AB$2))))</f>
        <v/>
      </c>
      <c r="L21" s="4" t="str">
        <f ca="1">CELL("contenu",INDIRECT(ADDRESS(ref!$K$5,ref!G20,1,,CELL("contenu",$AB$2))))</f>
        <v>B</v>
      </c>
      <c r="M21" s="5" t="str">
        <f ca="1">CELL("contenu",INDIRECT(ADDRESS(ref!$K$5,ref!H20,1,,CELL("contenu",$AB$2))))</f>
        <v>B</v>
      </c>
      <c r="N21" s="6" t="str">
        <f ca="1">CELL("contenu",INDIRECT(ADDRESS(ref!$K$6,ref!E20,1,,CELL("contenu",$AB$2))))</f>
        <v>C</v>
      </c>
      <c r="O21" s="3" t="str">
        <f ca="1">CELL("contenu",INDIRECT(ADDRESS(ref!$K$6,ref!F20,1,,CELL("contenu",$AB$2))))</f>
        <v>C</v>
      </c>
      <c r="P21" s="4" t="str">
        <f ca="1">CELL("contenu",INDIRECT(ADDRESS(ref!$K$6,ref!G20,1,,CELL("contenu",$AB$2))))</f>
        <v>C</v>
      </c>
      <c r="Q21" s="5" t="str">
        <f ca="1">CELL("contenu",INDIRECT(ADDRESS(ref!$K$6,ref!H20,1,,CELL("contenu",$AB$2))))</f>
        <v>C</v>
      </c>
      <c r="R21" s="6" t="str">
        <f ca="1">CELL("contenu",INDIRECT(ADDRESS(ref!$K$7,ref!E20,1,,CELL("contenu",$AB$2))))</f>
        <v>C</v>
      </c>
      <c r="S21" s="3" t="str">
        <f ca="1">CELL("contenu",INDIRECT(ADDRESS(ref!$K$7,ref!F20,1,,CELL("contenu",$AB$2))))</f>
        <v/>
      </c>
      <c r="T21" s="4" t="str">
        <f ca="1">CELL("contenu",INDIRECT(ADDRESS(ref!$K$7,ref!G20,1,,CELL("contenu",$AB$2))))</f>
        <v/>
      </c>
      <c r="U21" s="5" t="str">
        <f ca="1">CELL("contenu",INDIRECT(ADDRESS(ref!$K$7,ref!H20,1,,CELL("contenu",$AB$2))))</f>
        <v>C</v>
      </c>
      <c r="V21" s="41">
        <f ca="1">CELL("contenu",INDIRECT(ADDRESS(ref!$K$8,ref!E20,1,,CELL("contenu",$AB$2))))</f>
        <v>10.416666666666668</v>
      </c>
      <c r="W21" s="42">
        <f ca="1">CELL("contenu",INDIRECT(ADDRESS(ref!$K$8,ref!F20,1,,CELL("contenu",$AB$2))))</f>
        <v>15</v>
      </c>
      <c r="X21" s="43">
        <f ca="1">CELL("contenu",INDIRECT(ADDRESS(ref!$K$8,ref!G20,1,,CELL("contenu",$AB$2))))</f>
        <v>12.361111111111111</v>
      </c>
      <c r="Y21" s="7" t="str">
        <f ca="1">CELL("contenu",INDIRECT(ADDRESS(ref!$K$9,ref!H20,1,,CELL("contenu",$AB$2))))</f>
        <v/>
      </c>
      <c r="Z21" s="8" t="str">
        <f ca="1">CELL("contenu",INDIRECT(ADDRESS(ref!$K$10,ref!H20,1,,CELL("contenu",$AB$2))))</f>
        <v>C</v>
      </c>
    </row>
    <row r="22" spans="1:26" x14ac:dyDescent="0.55000000000000004">
      <c r="A22" s="53" t="str">
        <f t="shared" ca="1" si="0"/>
        <v>MATIGNON Quentin</v>
      </c>
      <c r="B22" s="2" t="str">
        <f ca="1">CELL("contenu",INDIRECT(ADDRESS(ref!$K$3,ref!E21,1,,CELL("contenu",$AB$2))))</f>
        <v>D</v>
      </c>
      <c r="C22" s="3" t="str">
        <f ca="1">CELL("contenu",INDIRECT(ADDRESS(ref!$K$3,ref!F21,1,,CELL("contenu",$AB$2))))</f>
        <v>C</v>
      </c>
      <c r="D22" s="4" t="str">
        <f ca="1">CELL("contenu",INDIRECT(ADDRESS(ref!$K$3,ref!G21,1,,CELL("contenu",$AB$2))))</f>
        <v>C</v>
      </c>
      <c r="E22" s="5" t="str">
        <f ca="1">CELL("contenu",INDIRECT(ADDRESS(ref!$K$3,ref!H21,1,,CELL("contenu",$AB$2))))</f>
        <v>C</v>
      </c>
      <c r="F22" s="6" t="str">
        <f ca="1">CELL("contenu",INDIRECT(ADDRESS(ref!$K$4,ref!E21,1,,CELL("contenu",$AB$2))))</f>
        <v>B</v>
      </c>
      <c r="G22" s="3" t="str">
        <f ca="1">CELL("contenu",INDIRECT(ADDRESS(ref!$K$4,ref!F21,1,,CELL("contenu",$AB$2))))</f>
        <v/>
      </c>
      <c r="H22" s="4" t="str">
        <f ca="1">CELL("contenu",INDIRECT(ADDRESS(ref!$K$4,ref!G21,1,,CELL("contenu",$AB$2))))</f>
        <v>B</v>
      </c>
      <c r="I22" s="5" t="str">
        <f ca="1">CELL("contenu",INDIRECT(ADDRESS(ref!$K$4,ref!H21,1,,CELL("contenu",$AB$2))))</f>
        <v>B</v>
      </c>
      <c r="J22" s="6" t="str">
        <f ca="1">CELL("contenu",INDIRECT(ADDRESS(ref!$K$5,ref!E21,1,,CELL("contenu",$AB$2))))</f>
        <v/>
      </c>
      <c r="K22" s="3" t="str">
        <f ca="1">CELL("contenu",INDIRECT(ADDRESS(ref!$K$5,ref!F21,1,,CELL("contenu",$AB$2))))</f>
        <v/>
      </c>
      <c r="L22" s="4" t="str">
        <f ca="1">CELL("contenu",INDIRECT(ADDRESS(ref!$K$5,ref!G21,1,,CELL("contenu",$AB$2))))</f>
        <v>B</v>
      </c>
      <c r="M22" s="5" t="str">
        <f ca="1">CELL("contenu",INDIRECT(ADDRESS(ref!$K$5,ref!H21,1,,CELL("contenu",$AB$2))))</f>
        <v>B</v>
      </c>
      <c r="N22" s="6" t="str">
        <f ca="1">CELL("contenu",INDIRECT(ADDRESS(ref!$K$6,ref!E21,1,,CELL("contenu",$AB$2))))</f>
        <v>C</v>
      </c>
      <c r="O22" s="3" t="str">
        <f ca="1">CELL("contenu",INDIRECT(ADDRESS(ref!$K$6,ref!F21,1,,CELL("contenu",$AB$2))))</f>
        <v>C</v>
      </c>
      <c r="P22" s="4" t="str">
        <f ca="1">CELL("contenu",INDIRECT(ADDRESS(ref!$K$6,ref!G21,1,,CELL("contenu",$AB$2))))</f>
        <v>C</v>
      </c>
      <c r="Q22" s="5" t="str">
        <f ca="1">CELL("contenu",INDIRECT(ADDRESS(ref!$K$6,ref!H21,1,,CELL("contenu",$AB$2))))</f>
        <v>C</v>
      </c>
      <c r="R22" s="6" t="str">
        <f ca="1">CELL("contenu",INDIRECT(ADDRESS(ref!$K$7,ref!E21,1,,CELL("contenu",$AB$2))))</f>
        <v>B</v>
      </c>
      <c r="S22" s="3" t="str">
        <f ca="1">CELL("contenu",INDIRECT(ADDRESS(ref!$K$7,ref!F21,1,,CELL("contenu",$AB$2))))</f>
        <v/>
      </c>
      <c r="T22" s="4" t="str">
        <f ca="1">CELL("contenu",INDIRECT(ADDRESS(ref!$K$7,ref!G21,1,,CELL("contenu",$AB$2))))</f>
        <v/>
      </c>
      <c r="U22" s="5" t="str">
        <f ca="1">CELL("contenu",INDIRECT(ADDRESS(ref!$K$7,ref!H21,1,,CELL("contenu",$AB$2))))</f>
        <v>B</v>
      </c>
      <c r="V22" s="41">
        <f ca="1">CELL("contenu",INDIRECT(ADDRESS(ref!$K$8,ref!E21,1,,CELL("contenu",$AB$2))))</f>
        <v>11.041666666666668</v>
      </c>
      <c r="W22" s="42">
        <f ca="1">CELL("contenu",INDIRECT(ADDRESS(ref!$K$8,ref!F21,1,,CELL("contenu",$AB$2))))</f>
        <v>11.25</v>
      </c>
      <c r="X22" s="43">
        <f ca="1">CELL("contenu",INDIRECT(ADDRESS(ref!$K$8,ref!G21,1,,CELL("contenu",$AB$2))))</f>
        <v>12.243055555555555</v>
      </c>
      <c r="Y22" s="7" t="str">
        <f ca="1">CELL("contenu",INDIRECT(ADDRESS(ref!$K$9,ref!H21,1,,CELL("contenu",$AB$2))))</f>
        <v/>
      </c>
      <c r="Z22" s="8" t="str">
        <f ca="1">CELL("contenu",INDIRECT(ADDRESS(ref!$K$10,ref!H21,1,,CELL("contenu",$AB$2))))</f>
        <v>B</v>
      </c>
    </row>
    <row r="23" spans="1:26" x14ac:dyDescent="0.55000000000000004">
      <c r="A23" s="53" t="str">
        <f t="shared" ca="1" si="0"/>
        <v>MORIAMEZ Anna</v>
      </c>
      <c r="B23" s="2" t="str">
        <f ca="1">CELL("contenu",INDIRECT(ADDRESS(ref!$K$3,ref!E22,1,,CELL("contenu",$AB$2))))</f>
        <v>D</v>
      </c>
      <c r="C23" s="3" t="str">
        <f ca="1">CELL("contenu",INDIRECT(ADDRESS(ref!$K$3,ref!F22,1,,CELL("contenu",$AB$2))))</f>
        <v>C</v>
      </c>
      <c r="D23" s="4" t="str">
        <f ca="1">CELL("contenu",INDIRECT(ADDRESS(ref!$K$3,ref!G22,1,,CELL("contenu",$AB$2))))</f>
        <v>C</v>
      </c>
      <c r="E23" s="5" t="str">
        <f ca="1">CELL("contenu",INDIRECT(ADDRESS(ref!$K$3,ref!H22,1,,CELL("contenu",$AB$2))))</f>
        <v>C</v>
      </c>
      <c r="F23" s="6" t="str">
        <f ca="1">CELL("contenu",INDIRECT(ADDRESS(ref!$K$4,ref!E22,1,,CELL("contenu",$AB$2))))</f>
        <v>C</v>
      </c>
      <c r="G23" s="3" t="str">
        <f ca="1">CELL("contenu",INDIRECT(ADDRESS(ref!$K$4,ref!F22,1,,CELL("contenu",$AB$2))))</f>
        <v/>
      </c>
      <c r="H23" s="4" t="str">
        <f ca="1">CELL("contenu",INDIRECT(ADDRESS(ref!$K$4,ref!G22,1,,CELL("contenu",$AB$2))))</f>
        <v>B</v>
      </c>
      <c r="I23" s="5" t="str">
        <f ca="1">CELL("contenu",INDIRECT(ADDRESS(ref!$K$4,ref!H22,1,,CELL("contenu",$AB$2))))</f>
        <v>C</v>
      </c>
      <c r="J23" s="6" t="str">
        <f ca="1">CELL("contenu",INDIRECT(ADDRESS(ref!$K$5,ref!E22,1,,CELL("contenu",$AB$2))))</f>
        <v/>
      </c>
      <c r="K23" s="3" t="str">
        <f ca="1">CELL("contenu",INDIRECT(ADDRESS(ref!$K$5,ref!F22,1,,CELL("contenu",$AB$2))))</f>
        <v/>
      </c>
      <c r="L23" s="4" t="str">
        <f ca="1">CELL("contenu",INDIRECT(ADDRESS(ref!$K$5,ref!G22,1,,CELL("contenu",$AB$2))))</f>
        <v>C</v>
      </c>
      <c r="M23" s="5" t="str">
        <f ca="1">CELL("contenu",INDIRECT(ADDRESS(ref!$K$5,ref!H22,1,,CELL("contenu",$AB$2))))</f>
        <v>C</v>
      </c>
      <c r="N23" s="6" t="str">
        <f ca="1">CELL("contenu",INDIRECT(ADDRESS(ref!$K$6,ref!E22,1,,CELL("contenu",$AB$2))))</f>
        <v>C</v>
      </c>
      <c r="O23" s="3" t="str">
        <f ca="1">CELL("contenu",INDIRECT(ADDRESS(ref!$K$6,ref!F22,1,,CELL("contenu",$AB$2))))</f>
        <v>D</v>
      </c>
      <c r="P23" s="4" t="str">
        <f ca="1">CELL("contenu",INDIRECT(ADDRESS(ref!$K$6,ref!G22,1,,CELL("contenu",$AB$2))))</f>
        <v>C</v>
      </c>
      <c r="Q23" s="5" t="str">
        <f ca="1">CELL("contenu",INDIRECT(ADDRESS(ref!$K$6,ref!H22,1,,CELL("contenu",$AB$2))))</f>
        <v>C</v>
      </c>
      <c r="R23" s="6" t="str">
        <f ca="1">CELL("contenu",INDIRECT(ADDRESS(ref!$K$7,ref!E22,1,,CELL("contenu",$AB$2))))</f>
        <v>C</v>
      </c>
      <c r="S23" s="3" t="str">
        <f ca="1">CELL("contenu",INDIRECT(ADDRESS(ref!$K$7,ref!F22,1,,CELL("contenu",$AB$2))))</f>
        <v/>
      </c>
      <c r="T23" s="4" t="str">
        <f ca="1">CELL("contenu",INDIRECT(ADDRESS(ref!$K$7,ref!G22,1,,CELL("contenu",$AB$2))))</f>
        <v/>
      </c>
      <c r="U23" s="5" t="str">
        <f ca="1">CELL("contenu",INDIRECT(ADDRESS(ref!$K$7,ref!H22,1,,CELL("contenu",$AB$2))))</f>
        <v>C</v>
      </c>
      <c r="V23" s="41">
        <f ca="1">CELL("contenu",INDIRECT(ADDRESS(ref!$K$8,ref!E22,1,,CELL("contenu",$AB$2))))</f>
        <v>8.9583333333333339</v>
      </c>
      <c r="W23" s="42">
        <f ca="1">CELL("contenu",INDIRECT(ADDRESS(ref!$K$8,ref!F22,1,,CELL("contenu",$AB$2))))</f>
        <v>8.75</v>
      </c>
      <c r="X23" s="43">
        <f ca="1">CELL("contenu",INDIRECT(ADDRESS(ref!$K$8,ref!G22,1,,CELL("contenu",$AB$2))))</f>
        <v>12.951388888888891</v>
      </c>
      <c r="Y23" s="7" t="str">
        <f ca="1">CELL("contenu",INDIRECT(ADDRESS(ref!$K$9,ref!H22,1,,CELL("contenu",$AB$2))))</f>
        <v/>
      </c>
      <c r="Z23" s="8" t="str">
        <f ca="1">CELL("contenu",INDIRECT(ADDRESS(ref!$K$10,ref!H22,1,,CELL("contenu",$AB$2))))</f>
        <v>C</v>
      </c>
    </row>
    <row r="24" spans="1:26" x14ac:dyDescent="0.55000000000000004">
      <c r="A24" s="53" t="str">
        <f t="shared" ca="1" si="0"/>
        <v>PERROUIN Maelys</v>
      </c>
      <c r="B24" s="2" t="str">
        <f ca="1">CELL("contenu",INDIRECT(ADDRESS(ref!$K$3,ref!E23,1,,CELL("contenu",$AB$2))))</f>
        <v>D</v>
      </c>
      <c r="C24" s="3" t="str">
        <f ca="1">CELL("contenu",INDIRECT(ADDRESS(ref!$K$3,ref!F23,1,,CELL("contenu",$AB$2))))</f>
        <v>C</v>
      </c>
      <c r="D24" s="4" t="str">
        <f ca="1">CELL("contenu",INDIRECT(ADDRESS(ref!$K$3,ref!G23,1,,CELL("contenu",$AB$2))))</f>
        <v>C</v>
      </c>
      <c r="E24" s="5" t="str">
        <f ca="1">CELL("contenu",INDIRECT(ADDRESS(ref!$K$3,ref!H23,1,,CELL("contenu",$AB$2))))</f>
        <v>C</v>
      </c>
      <c r="F24" s="6" t="str">
        <f ca="1">CELL("contenu",INDIRECT(ADDRESS(ref!$K$4,ref!E23,1,,CELL("contenu",$AB$2))))</f>
        <v>B</v>
      </c>
      <c r="G24" s="3" t="str">
        <f ca="1">CELL("contenu",INDIRECT(ADDRESS(ref!$K$4,ref!F23,1,,CELL("contenu",$AB$2))))</f>
        <v/>
      </c>
      <c r="H24" s="4" t="str">
        <f ca="1">CELL("contenu",INDIRECT(ADDRESS(ref!$K$4,ref!G23,1,,CELL("contenu",$AB$2))))</f>
        <v>A</v>
      </c>
      <c r="I24" s="5" t="str">
        <f ca="1">CELL("contenu",INDIRECT(ADDRESS(ref!$K$4,ref!H23,1,,CELL("contenu",$AB$2))))</f>
        <v>B</v>
      </c>
      <c r="J24" s="6" t="str">
        <f ca="1">CELL("contenu",INDIRECT(ADDRESS(ref!$K$5,ref!E23,1,,CELL("contenu",$AB$2))))</f>
        <v/>
      </c>
      <c r="K24" s="3" t="str">
        <f ca="1">CELL("contenu",INDIRECT(ADDRESS(ref!$K$5,ref!F23,1,,CELL("contenu",$AB$2))))</f>
        <v/>
      </c>
      <c r="L24" s="4" t="str">
        <f ca="1">CELL("contenu",INDIRECT(ADDRESS(ref!$K$5,ref!G23,1,,CELL("contenu",$AB$2))))</f>
        <v>B</v>
      </c>
      <c r="M24" s="5" t="str">
        <f ca="1">CELL("contenu",INDIRECT(ADDRESS(ref!$K$5,ref!H23,1,,CELL("contenu",$AB$2))))</f>
        <v>B</v>
      </c>
      <c r="N24" s="6" t="str">
        <f ca="1">CELL("contenu",INDIRECT(ADDRESS(ref!$K$6,ref!E23,1,,CELL("contenu",$AB$2))))</f>
        <v>B</v>
      </c>
      <c r="O24" s="3" t="str">
        <f ca="1">CELL("contenu",INDIRECT(ADDRESS(ref!$K$6,ref!F23,1,,CELL("contenu",$AB$2))))</f>
        <v>D</v>
      </c>
      <c r="P24" s="4" t="str">
        <f ca="1">CELL("contenu",INDIRECT(ADDRESS(ref!$K$6,ref!G23,1,,CELL("contenu",$AB$2))))</f>
        <v>B</v>
      </c>
      <c r="Q24" s="5" t="str">
        <f ca="1">CELL("contenu",INDIRECT(ADDRESS(ref!$K$6,ref!H23,1,,CELL("contenu",$AB$2))))</f>
        <v>C</v>
      </c>
      <c r="R24" s="6" t="str">
        <f ca="1">CELL("contenu",INDIRECT(ADDRESS(ref!$K$7,ref!E23,1,,CELL("contenu",$AB$2))))</f>
        <v>C</v>
      </c>
      <c r="S24" s="3" t="str">
        <f ca="1">CELL("contenu",INDIRECT(ADDRESS(ref!$K$7,ref!F23,1,,CELL("contenu",$AB$2))))</f>
        <v/>
      </c>
      <c r="T24" s="4" t="str">
        <f ca="1">CELL("contenu",INDIRECT(ADDRESS(ref!$K$7,ref!G23,1,,CELL("contenu",$AB$2))))</f>
        <v/>
      </c>
      <c r="U24" s="5" t="str">
        <f ca="1">CELL("contenu",INDIRECT(ADDRESS(ref!$K$7,ref!H23,1,,CELL("contenu",$AB$2))))</f>
        <v>C</v>
      </c>
      <c r="V24" s="41">
        <f ca="1">CELL("contenu",INDIRECT(ADDRESS(ref!$K$8,ref!E23,1,,CELL("contenu",$AB$2))))</f>
        <v>11.875</v>
      </c>
      <c r="W24" s="42">
        <f ca="1">CELL("contenu",INDIRECT(ADDRESS(ref!$K$8,ref!F23,1,,CELL("contenu",$AB$2))))</f>
        <v>8.75</v>
      </c>
      <c r="X24" s="43">
        <f ca="1">CELL("contenu",INDIRECT(ADDRESS(ref!$K$8,ref!G23,1,,CELL("contenu",$AB$2))))</f>
        <v>15.006944444444443</v>
      </c>
      <c r="Y24" s="7" t="str">
        <f ca="1">CELL("contenu",INDIRECT(ADDRESS(ref!$K$9,ref!H23,1,,CELL("contenu",$AB$2))))</f>
        <v/>
      </c>
      <c r="Z24" s="8" t="str">
        <f ca="1">CELL("contenu",INDIRECT(ADDRESS(ref!$K$10,ref!H23,1,,CELL("contenu",$AB$2))))</f>
        <v>A</v>
      </c>
    </row>
    <row r="25" spans="1:26" x14ac:dyDescent="0.55000000000000004">
      <c r="A25" s="53" t="str">
        <f t="shared" ca="1" si="0"/>
        <v>PETITJEAN Alix</v>
      </c>
      <c r="B25" s="2" t="str">
        <f ca="1">CELL("contenu",INDIRECT(ADDRESS(ref!$K$3,ref!E24,1,,CELL("contenu",$AB$2))))</f>
        <v>C</v>
      </c>
      <c r="C25" s="3" t="str">
        <f ca="1">CELL("contenu",INDIRECT(ADDRESS(ref!$K$3,ref!F24,1,,CELL("contenu",$AB$2))))</f>
        <v>C</v>
      </c>
      <c r="D25" s="4" t="str">
        <f ca="1">CELL("contenu",INDIRECT(ADDRESS(ref!$K$3,ref!G24,1,,CELL("contenu",$AB$2))))</f>
        <v>B</v>
      </c>
      <c r="E25" s="5" t="str">
        <f ca="1">CELL("contenu",INDIRECT(ADDRESS(ref!$K$3,ref!H24,1,,CELL("contenu",$AB$2))))</f>
        <v>C</v>
      </c>
      <c r="F25" s="6" t="str">
        <f ca="1">CELL("contenu",INDIRECT(ADDRESS(ref!$K$4,ref!E24,1,,CELL("contenu",$AB$2))))</f>
        <v>B</v>
      </c>
      <c r="G25" s="3" t="str">
        <f ca="1">CELL("contenu",INDIRECT(ADDRESS(ref!$K$4,ref!F24,1,,CELL("contenu",$AB$2))))</f>
        <v/>
      </c>
      <c r="H25" s="4" t="str">
        <f ca="1">CELL("contenu",INDIRECT(ADDRESS(ref!$K$4,ref!G24,1,,CELL("contenu",$AB$2))))</f>
        <v>B</v>
      </c>
      <c r="I25" s="5" t="str">
        <f ca="1">CELL("contenu",INDIRECT(ADDRESS(ref!$K$4,ref!H24,1,,CELL("contenu",$AB$2))))</f>
        <v>B</v>
      </c>
      <c r="J25" s="6" t="str">
        <f ca="1">CELL("contenu",INDIRECT(ADDRESS(ref!$K$5,ref!E24,1,,CELL("contenu",$AB$2))))</f>
        <v/>
      </c>
      <c r="K25" s="3" t="str">
        <f ca="1">CELL("contenu",INDIRECT(ADDRESS(ref!$K$5,ref!F24,1,,CELL("contenu",$AB$2))))</f>
        <v/>
      </c>
      <c r="L25" s="4" t="str">
        <f ca="1">CELL("contenu",INDIRECT(ADDRESS(ref!$K$5,ref!G24,1,,CELL("contenu",$AB$2))))</f>
        <v>B</v>
      </c>
      <c r="M25" s="5" t="str">
        <f ca="1">CELL("contenu",INDIRECT(ADDRESS(ref!$K$5,ref!H24,1,,CELL("contenu",$AB$2))))</f>
        <v>B</v>
      </c>
      <c r="N25" s="6" t="str">
        <f ca="1">CELL("contenu",INDIRECT(ADDRESS(ref!$K$6,ref!E24,1,,CELL("contenu",$AB$2))))</f>
        <v>B</v>
      </c>
      <c r="O25" s="3" t="str">
        <f ca="1">CELL("contenu",INDIRECT(ADDRESS(ref!$K$6,ref!F24,1,,CELL("contenu",$AB$2))))</f>
        <v>C</v>
      </c>
      <c r="P25" s="4" t="str">
        <f ca="1">CELL("contenu",INDIRECT(ADDRESS(ref!$K$6,ref!G24,1,,CELL("contenu",$AB$2))))</f>
        <v>C</v>
      </c>
      <c r="Q25" s="5" t="str">
        <f ca="1">CELL("contenu",INDIRECT(ADDRESS(ref!$K$6,ref!H24,1,,CELL("contenu",$AB$2))))</f>
        <v>C</v>
      </c>
      <c r="R25" s="6" t="str">
        <f ca="1">CELL("contenu",INDIRECT(ADDRESS(ref!$K$7,ref!E24,1,,CELL("contenu",$AB$2))))</f>
        <v>C</v>
      </c>
      <c r="S25" s="3" t="str">
        <f ca="1">CELL("contenu",INDIRECT(ADDRESS(ref!$K$7,ref!F24,1,,CELL("contenu",$AB$2))))</f>
        <v/>
      </c>
      <c r="T25" s="4" t="str">
        <f ca="1">CELL("contenu",INDIRECT(ADDRESS(ref!$K$7,ref!G24,1,,CELL("contenu",$AB$2))))</f>
        <v/>
      </c>
      <c r="U25" s="5" t="str">
        <f ca="1">CELL("contenu",INDIRECT(ADDRESS(ref!$K$7,ref!H24,1,,CELL("contenu",$AB$2))))</f>
        <v>C</v>
      </c>
      <c r="V25" s="41">
        <f ca="1">CELL("contenu",INDIRECT(ADDRESS(ref!$K$8,ref!E24,1,,CELL("contenu",$AB$2))))</f>
        <v>12.5</v>
      </c>
      <c r="W25" s="42">
        <f ca="1">CELL("contenu",INDIRECT(ADDRESS(ref!$K$8,ref!F24,1,,CELL("contenu",$AB$2))))</f>
        <v>10</v>
      </c>
      <c r="X25" s="43">
        <f ca="1">CELL("contenu",INDIRECT(ADDRESS(ref!$K$8,ref!G24,1,,CELL("contenu",$AB$2))))</f>
        <v>14.715277777777775</v>
      </c>
      <c r="Y25" s="7" t="str">
        <f ca="1">CELL("contenu",INDIRECT(ADDRESS(ref!$K$9,ref!H24,1,,CELL("contenu",$AB$2))))</f>
        <v/>
      </c>
      <c r="Z25" s="8" t="str">
        <f ca="1">CELL("contenu",INDIRECT(ADDRESS(ref!$K$10,ref!H24,1,,CELL("contenu",$AB$2))))</f>
        <v>B</v>
      </c>
    </row>
    <row r="26" spans="1:26" x14ac:dyDescent="0.55000000000000004">
      <c r="A26" s="53" t="str">
        <f t="shared" ca="1" si="0"/>
        <v>RATTIER Justine</v>
      </c>
      <c r="B26" s="2" t="str">
        <f ca="1">CELL("contenu",INDIRECT(ADDRESS(ref!$K$3,ref!E25,1,,CELL("contenu",$AB$2))))</f>
        <v>D</v>
      </c>
      <c r="C26" s="3" t="str">
        <f ca="1">CELL("contenu",INDIRECT(ADDRESS(ref!$K$3,ref!F25,1,,CELL("contenu",$AB$2))))</f>
        <v>C</v>
      </c>
      <c r="D26" s="4" t="str">
        <f ca="1">CELL("contenu",INDIRECT(ADDRESS(ref!$K$3,ref!G25,1,,CELL("contenu",$AB$2))))</f>
        <v>C</v>
      </c>
      <c r="E26" s="5" t="str">
        <f ca="1">CELL("contenu",INDIRECT(ADDRESS(ref!$K$3,ref!H25,1,,CELL("contenu",$AB$2))))</f>
        <v>C</v>
      </c>
      <c r="F26" s="6" t="str">
        <f ca="1">CELL("contenu",INDIRECT(ADDRESS(ref!$K$4,ref!E25,1,,CELL("contenu",$AB$2))))</f>
        <v>D</v>
      </c>
      <c r="G26" s="3" t="str">
        <f ca="1">CELL("contenu",INDIRECT(ADDRESS(ref!$K$4,ref!F25,1,,CELL("contenu",$AB$2))))</f>
        <v/>
      </c>
      <c r="H26" s="4" t="str">
        <f ca="1">CELL("contenu",INDIRECT(ADDRESS(ref!$K$4,ref!G25,1,,CELL("contenu",$AB$2))))</f>
        <v>C</v>
      </c>
      <c r="I26" s="5" t="str">
        <f ca="1">CELL("contenu",INDIRECT(ADDRESS(ref!$K$4,ref!H25,1,,CELL("contenu",$AB$2))))</f>
        <v>C</v>
      </c>
      <c r="J26" s="6" t="str">
        <f ca="1">CELL("contenu",INDIRECT(ADDRESS(ref!$K$5,ref!E25,1,,CELL("contenu",$AB$2))))</f>
        <v/>
      </c>
      <c r="K26" s="3" t="str">
        <f ca="1">CELL("contenu",INDIRECT(ADDRESS(ref!$K$5,ref!F25,1,,CELL("contenu",$AB$2))))</f>
        <v/>
      </c>
      <c r="L26" s="4" t="str">
        <f ca="1">CELL("contenu",INDIRECT(ADDRESS(ref!$K$5,ref!G25,1,,CELL("contenu",$AB$2))))</f>
        <v>D</v>
      </c>
      <c r="M26" s="5" t="str">
        <f ca="1">CELL("contenu",INDIRECT(ADDRESS(ref!$K$5,ref!H25,1,,CELL("contenu",$AB$2))))</f>
        <v>D</v>
      </c>
      <c r="N26" s="6" t="str">
        <f ca="1">CELL("contenu",INDIRECT(ADDRESS(ref!$K$6,ref!E25,1,,CELL("contenu",$AB$2))))</f>
        <v>D</v>
      </c>
      <c r="O26" s="3" t="str">
        <f ca="1">CELL("contenu",INDIRECT(ADDRESS(ref!$K$6,ref!F25,1,,CELL("contenu",$AB$2))))</f>
        <v>D</v>
      </c>
      <c r="P26" s="4" t="str">
        <f ca="1">CELL("contenu",INDIRECT(ADDRESS(ref!$K$6,ref!G25,1,,CELL("contenu",$AB$2))))</f>
        <v>C</v>
      </c>
      <c r="Q26" s="5" t="str">
        <f ca="1">CELL("contenu",INDIRECT(ADDRESS(ref!$K$6,ref!H25,1,,CELL("contenu",$AB$2))))</f>
        <v>C</v>
      </c>
      <c r="R26" s="6" t="str">
        <f ca="1">CELL("contenu",INDIRECT(ADDRESS(ref!$K$7,ref!E25,1,,CELL("contenu",$AB$2))))</f>
        <v>C</v>
      </c>
      <c r="S26" s="3" t="str">
        <f ca="1">CELL("contenu",INDIRECT(ADDRESS(ref!$K$7,ref!F25,1,,CELL("contenu",$AB$2))))</f>
        <v/>
      </c>
      <c r="T26" s="4" t="str">
        <f ca="1">CELL("contenu",INDIRECT(ADDRESS(ref!$K$7,ref!G25,1,,CELL("contenu",$AB$2))))</f>
        <v/>
      </c>
      <c r="U26" s="5" t="str">
        <f ca="1">CELL("contenu",INDIRECT(ADDRESS(ref!$K$7,ref!H25,1,,CELL("contenu",$AB$2))))</f>
        <v>C</v>
      </c>
      <c r="V26" s="41">
        <f ca="1">CELL("contenu",INDIRECT(ADDRESS(ref!$K$8,ref!E25,1,,CELL("contenu",$AB$2))))</f>
        <v>7.5</v>
      </c>
      <c r="W26" s="42">
        <f ca="1">CELL("contenu",INDIRECT(ADDRESS(ref!$K$8,ref!F25,1,,CELL("contenu",$AB$2))))</f>
        <v>8.75</v>
      </c>
      <c r="X26" s="43">
        <f ca="1">CELL("contenu",INDIRECT(ADDRESS(ref!$K$8,ref!G25,1,,CELL("contenu",$AB$2))))</f>
        <v>10.256944444444445</v>
      </c>
      <c r="Y26" s="7" t="str">
        <f ca="1">CELL("contenu",INDIRECT(ADDRESS(ref!$K$9,ref!H25,1,,CELL("contenu",$AB$2))))</f>
        <v/>
      </c>
      <c r="Z26" s="8" t="str">
        <f ca="1">CELL("contenu",INDIRECT(ADDRESS(ref!$K$10,ref!H25,1,,CELL("contenu",$AB$2))))</f>
        <v>C</v>
      </c>
    </row>
    <row r="27" spans="1:26" x14ac:dyDescent="0.55000000000000004">
      <c r="A27" s="53" t="str">
        <f t="shared" ca="1" si="0"/>
        <v>VERNA Anaelle</v>
      </c>
      <c r="B27" s="2" t="str">
        <f ca="1">CELL("contenu",INDIRECT(ADDRESS(ref!$K$3,ref!E26,1,,CELL("contenu",$AB$2))))</f>
        <v>D</v>
      </c>
      <c r="C27" s="3" t="str">
        <f ca="1">CELL("contenu",INDIRECT(ADDRESS(ref!$K$3,ref!F26,1,,CELL("contenu",$AB$2))))</f>
        <v>D</v>
      </c>
      <c r="D27" s="4" t="str">
        <f ca="1">CELL("contenu",INDIRECT(ADDRESS(ref!$K$3,ref!G26,1,,CELL("contenu",$AB$2))))</f>
        <v>C</v>
      </c>
      <c r="E27" s="5" t="str">
        <f ca="1">CELL("contenu",INDIRECT(ADDRESS(ref!$K$3,ref!H26,1,,CELL("contenu",$AB$2))))</f>
        <v>D</v>
      </c>
      <c r="F27" s="6" t="str">
        <f ca="1">CELL("contenu",INDIRECT(ADDRESS(ref!$K$4,ref!E26,1,,CELL("contenu",$AB$2))))</f>
        <v>C</v>
      </c>
      <c r="G27" s="3" t="str">
        <f ca="1">CELL("contenu",INDIRECT(ADDRESS(ref!$K$4,ref!F26,1,,CELL("contenu",$AB$2))))</f>
        <v/>
      </c>
      <c r="H27" s="4" t="str">
        <f ca="1">CELL("contenu",INDIRECT(ADDRESS(ref!$K$4,ref!G26,1,,CELL("contenu",$AB$2))))</f>
        <v>C</v>
      </c>
      <c r="I27" s="5" t="str">
        <f ca="1">CELL("contenu",INDIRECT(ADDRESS(ref!$K$4,ref!H26,1,,CELL("contenu",$AB$2))))</f>
        <v>C</v>
      </c>
      <c r="J27" s="6" t="str">
        <f ca="1">CELL("contenu",INDIRECT(ADDRESS(ref!$K$5,ref!E26,1,,CELL("contenu",$AB$2))))</f>
        <v/>
      </c>
      <c r="K27" s="3" t="str">
        <f ca="1">CELL("contenu",INDIRECT(ADDRESS(ref!$K$5,ref!F26,1,,CELL("contenu",$AB$2))))</f>
        <v/>
      </c>
      <c r="L27" s="4" t="str">
        <f ca="1">CELL("contenu",INDIRECT(ADDRESS(ref!$K$5,ref!G26,1,,CELL("contenu",$AB$2))))</f>
        <v>C</v>
      </c>
      <c r="M27" s="5" t="str">
        <f ca="1">CELL("contenu",INDIRECT(ADDRESS(ref!$K$5,ref!H26,1,,CELL("contenu",$AB$2))))</f>
        <v>C</v>
      </c>
      <c r="N27" s="6" t="str">
        <f ca="1">CELL("contenu",INDIRECT(ADDRESS(ref!$K$6,ref!E26,1,,CELL("contenu",$AB$2))))</f>
        <v>C</v>
      </c>
      <c r="O27" s="3" t="str">
        <f ca="1">CELL("contenu",INDIRECT(ADDRESS(ref!$K$6,ref!F26,1,,CELL("contenu",$AB$2))))</f>
        <v>C</v>
      </c>
      <c r="P27" s="4" t="str">
        <f ca="1">CELL("contenu",INDIRECT(ADDRESS(ref!$K$6,ref!G26,1,,CELL("contenu",$AB$2))))</f>
        <v>D</v>
      </c>
      <c r="Q27" s="5" t="str">
        <f ca="1">CELL("contenu",INDIRECT(ADDRESS(ref!$K$6,ref!H26,1,,CELL("contenu",$AB$2))))</f>
        <v>C</v>
      </c>
      <c r="R27" s="6" t="str">
        <f ca="1">CELL("contenu",INDIRECT(ADDRESS(ref!$K$7,ref!E26,1,,CELL("contenu",$AB$2))))</f>
        <v>C</v>
      </c>
      <c r="S27" s="3" t="str">
        <f ca="1">CELL("contenu",INDIRECT(ADDRESS(ref!$K$7,ref!F26,1,,CELL("contenu",$AB$2))))</f>
        <v/>
      </c>
      <c r="T27" s="4" t="str">
        <f ca="1">CELL("contenu",INDIRECT(ADDRESS(ref!$K$7,ref!G26,1,,CELL("contenu",$AB$2))))</f>
        <v/>
      </c>
      <c r="U27" s="5" t="str">
        <f ca="1">CELL("contenu",INDIRECT(ADDRESS(ref!$K$7,ref!H26,1,,CELL("contenu",$AB$2))))</f>
        <v>C</v>
      </c>
      <c r="V27" s="41">
        <f ca="1">CELL("contenu",INDIRECT(ADDRESS(ref!$K$8,ref!E26,1,,CELL("contenu",$AB$2))))</f>
        <v>9.7916666666666661</v>
      </c>
      <c r="W27" s="42">
        <f ca="1">CELL("contenu",INDIRECT(ADDRESS(ref!$K$8,ref!F26,1,,CELL("contenu",$AB$2))))</f>
        <v>7.5</v>
      </c>
      <c r="X27" s="43">
        <f ca="1">CELL("contenu",INDIRECT(ADDRESS(ref!$K$8,ref!G26,1,,CELL("contenu",$AB$2))))</f>
        <v>9.0625</v>
      </c>
      <c r="Y27" s="7" t="str">
        <f ca="1">CELL("contenu",INDIRECT(ADDRESS(ref!$K$9,ref!H26,1,,CELL("contenu",$AB$2))))</f>
        <v/>
      </c>
      <c r="Z27" s="8" t="str">
        <f ca="1">CELL("contenu",INDIRECT(ADDRESS(ref!$K$10,ref!H26,1,,CELL("contenu",$AB$2))))</f>
        <v>B</v>
      </c>
    </row>
  </sheetData>
  <sheetProtection algorithmName="SHA-512" hashValue="XBZwQTFVcEjWEhaX+njVYob7f8CHvdU3j+3Fr/vMbdDQNRJT6Kwm+pdqnKEZglA8NRXKDHvY0p9v+LglWV9XtA==" saltValue="mIF6vVefx0vJa6zReiEkIg==" spinCount="100000" sheet="1" selectLockedCells="1"/>
  <mergeCells count="9">
    <mergeCell ref="B1:Z1"/>
    <mergeCell ref="A2:A3"/>
    <mergeCell ref="B2:E2"/>
    <mergeCell ref="F2:I2"/>
    <mergeCell ref="J2:M2"/>
    <mergeCell ref="N2:Q2"/>
    <mergeCell ref="R2:U2"/>
    <mergeCell ref="V2:X2"/>
    <mergeCell ref="Y2:Z2"/>
  </mergeCells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WJ24"/>
  <sheetViews>
    <sheetView topLeftCell="A2" zoomScale="80" zoomScaleNormal="80" workbookViewId="0">
      <pane xSplit="2" topLeftCell="IZ1" activePane="topRight" state="frozen"/>
      <selection activeCell="A5" sqref="A5:B5"/>
      <selection pane="topRight" activeCell="HU19" sqref="HU19"/>
    </sheetView>
  </sheetViews>
  <sheetFormatPr baseColWidth="10" defaultColWidth="5.68359375" defaultRowHeight="14.4" x14ac:dyDescent="0.55000000000000004"/>
  <cols>
    <col min="1" max="1" width="17.68359375" style="148" customWidth="1"/>
    <col min="2" max="2" width="13.68359375" style="148" customWidth="1"/>
    <col min="3" max="5" width="4.68359375" style="139" customWidth="1"/>
    <col min="6" max="6" width="4.68359375" style="171" customWidth="1"/>
    <col min="7" max="7" width="8.68359375" style="172" customWidth="1"/>
    <col min="8" max="11" width="4.68359375" style="138" customWidth="1"/>
    <col min="12" max="12" width="4.68359375" style="172" customWidth="1"/>
    <col min="13" max="13" width="8.68359375" style="172" customWidth="1"/>
    <col min="14" max="19" width="4.68359375" style="138" customWidth="1"/>
    <col min="20" max="20" width="4.68359375" style="172" customWidth="1"/>
    <col min="21" max="21" width="8.68359375" style="172" customWidth="1"/>
    <col min="22" max="22" width="4.68359375" style="172" customWidth="1"/>
    <col min="23" max="23" width="8.68359375" style="172" customWidth="1"/>
    <col min="24" max="26" width="4.68359375" style="139" customWidth="1"/>
    <col min="27" max="27" width="4.68359375" style="171" customWidth="1"/>
    <col min="28" max="28" width="8.68359375" style="172" customWidth="1"/>
    <col min="29" max="32" width="4.68359375" style="138" customWidth="1"/>
    <col min="33" max="33" width="4.68359375" style="172" customWidth="1"/>
    <col min="34" max="34" width="8.68359375" style="172" customWidth="1"/>
    <col min="35" max="40" width="4.68359375" style="138" customWidth="1"/>
    <col min="41" max="41" width="4.68359375" style="172" customWidth="1"/>
    <col min="42" max="42" width="8.68359375" style="172" customWidth="1"/>
    <col min="43" max="43" width="4.68359375" style="172" customWidth="1"/>
    <col min="44" max="44" width="8.68359375" style="172" customWidth="1"/>
    <col min="45" max="48" width="4.68359375" style="139" customWidth="1"/>
    <col min="49" max="49" width="8.68359375" style="137" customWidth="1"/>
    <col min="50" max="53" width="4.68359375" style="138" customWidth="1"/>
    <col min="54" max="54" width="4.68359375" style="137" customWidth="1"/>
    <col min="55" max="55" width="8.68359375" style="137" customWidth="1"/>
    <col min="56" max="61" width="4.68359375" style="138" customWidth="1"/>
    <col min="62" max="62" width="4.68359375" style="137" customWidth="1"/>
    <col min="63" max="63" width="8.68359375" style="137" customWidth="1"/>
    <col min="64" max="64" width="4.68359375" style="137" customWidth="1"/>
    <col min="65" max="65" width="8.68359375" style="137" customWidth="1"/>
    <col min="66" max="69" width="4.68359375" style="139" customWidth="1"/>
    <col min="70" max="70" width="8.68359375" style="137" customWidth="1"/>
    <col min="71" max="74" width="4.68359375" style="138" customWidth="1"/>
    <col min="75" max="75" width="4.68359375" style="137" customWidth="1"/>
    <col min="76" max="76" width="8.68359375" style="137" customWidth="1"/>
    <col min="77" max="82" width="4.68359375" style="138" customWidth="1"/>
    <col min="83" max="83" width="4.68359375" style="137" customWidth="1"/>
    <col min="84" max="84" width="8.68359375" style="137" customWidth="1"/>
    <col min="85" max="85" width="4.68359375" style="137" customWidth="1"/>
    <col min="86" max="86" width="8.68359375" style="137" customWidth="1"/>
    <col min="87" max="90" width="4.68359375" style="139" customWidth="1"/>
    <col min="91" max="91" width="8.68359375" style="137" customWidth="1"/>
    <col min="92" max="95" width="4.68359375" style="138" customWidth="1"/>
    <col min="96" max="96" width="4.68359375" style="137" customWidth="1"/>
    <col min="97" max="97" width="8.68359375" style="137" customWidth="1"/>
    <col min="98" max="103" width="4.68359375" style="138" customWidth="1"/>
    <col min="104" max="104" width="4.68359375" style="137" customWidth="1"/>
    <col min="105" max="105" width="8.68359375" style="137" customWidth="1"/>
    <col min="106" max="106" width="4.68359375" style="137" customWidth="1"/>
    <col min="107" max="107" width="8.68359375" style="137" customWidth="1"/>
    <col min="108" max="111" width="4.68359375" style="139" customWidth="1"/>
    <col min="112" max="112" width="8.68359375" style="137" customWidth="1"/>
    <col min="113" max="116" width="4.68359375" style="138" customWidth="1"/>
    <col min="117" max="117" width="4.68359375" style="137" customWidth="1"/>
    <col min="118" max="118" width="8.68359375" style="137" customWidth="1"/>
    <col min="119" max="124" width="4.68359375" style="138" customWidth="1"/>
    <col min="125" max="125" width="4.68359375" style="137" customWidth="1"/>
    <col min="126" max="126" width="8.68359375" style="137" customWidth="1"/>
    <col min="127" max="127" width="4.68359375" style="137" customWidth="1"/>
    <col min="128" max="128" width="8.68359375" style="137" customWidth="1"/>
    <col min="129" max="132" width="4.68359375" style="139" customWidth="1"/>
    <col min="133" max="133" width="8.68359375" style="137" customWidth="1"/>
    <col min="134" max="137" width="4.68359375" style="138" customWidth="1"/>
    <col min="138" max="138" width="4.68359375" style="137" customWidth="1"/>
    <col min="139" max="139" width="8.68359375" style="137" customWidth="1"/>
    <col min="140" max="145" width="4.68359375" style="138" customWidth="1"/>
    <col min="146" max="146" width="4.68359375" style="137" customWidth="1"/>
    <col min="147" max="147" width="8.68359375" style="137" customWidth="1"/>
    <col min="148" max="148" width="4.68359375" style="137" customWidth="1"/>
    <col min="149" max="149" width="8.68359375" style="137" customWidth="1"/>
    <col min="150" max="153" width="4.68359375" style="139" customWidth="1"/>
    <col min="154" max="154" width="8.68359375" style="137" customWidth="1"/>
    <col min="155" max="158" width="4.68359375" style="138" customWidth="1"/>
    <col min="159" max="159" width="4.68359375" style="137" customWidth="1"/>
    <col min="160" max="160" width="8.68359375" style="137" customWidth="1"/>
    <col min="161" max="166" width="4.68359375" style="138" customWidth="1"/>
    <col min="167" max="167" width="4.68359375" style="137" customWidth="1"/>
    <col min="168" max="168" width="8.68359375" style="137" customWidth="1"/>
    <col min="169" max="169" width="4.68359375" style="137" customWidth="1"/>
    <col min="170" max="170" width="8.68359375" style="137" customWidth="1"/>
    <col min="171" max="174" width="4.68359375" style="139" customWidth="1"/>
    <col min="175" max="175" width="8.68359375" style="137" customWidth="1"/>
    <col min="176" max="179" width="4.68359375" style="138" customWidth="1"/>
    <col min="180" max="180" width="4.68359375" style="137" customWidth="1"/>
    <col min="181" max="181" width="8.68359375" style="137" customWidth="1"/>
    <col min="182" max="187" width="4.68359375" style="138" customWidth="1"/>
    <col min="188" max="188" width="4.68359375" style="137" customWidth="1"/>
    <col min="189" max="189" width="8.68359375" style="137" customWidth="1"/>
    <col min="190" max="190" width="4.68359375" style="137" customWidth="1"/>
    <col min="191" max="191" width="8.68359375" style="137" customWidth="1"/>
    <col min="192" max="195" width="4.68359375" style="139" customWidth="1"/>
    <col min="196" max="196" width="8.68359375" style="137" customWidth="1"/>
    <col min="197" max="200" width="4.68359375" style="138" customWidth="1"/>
    <col min="201" max="201" width="4.68359375" style="137" customWidth="1"/>
    <col min="202" max="202" width="8.68359375" style="137" customWidth="1"/>
    <col min="203" max="208" width="4.68359375" style="138" customWidth="1"/>
    <col min="209" max="209" width="4.68359375" style="137" customWidth="1"/>
    <col min="210" max="210" width="8.68359375" style="137" customWidth="1"/>
    <col min="211" max="211" width="4.68359375" style="137" customWidth="1"/>
    <col min="212" max="212" width="8.68359375" style="137" customWidth="1"/>
    <col min="213" max="216" width="4.68359375" style="139" customWidth="1"/>
    <col min="217" max="217" width="8.68359375" style="137" customWidth="1"/>
    <col min="218" max="221" width="4.68359375" style="138" customWidth="1"/>
    <col min="222" max="222" width="4.68359375" style="137" customWidth="1"/>
    <col min="223" max="223" width="8.68359375" style="137" customWidth="1"/>
    <col min="224" max="229" width="4.68359375" style="138" customWidth="1"/>
    <col min="230" max="230" width="4.68359375" style="137" customWidth="1"/>
    <col min="231" max="231" width="8.68359375" style="137" customWidth="1"/>
    <col min="232" max="232" width="4.68359375" style="137" customWidth="1"/>
    <col min="233" max="233" width="8.68359375" style="137" customWidth="1"/>
    <col min="234" max="237" width="4.68359375" style="139" customWidth="1"/>
    <col min="238" max="238" width="8.68359375" style="137" customWidth="1"/>
    <col min="239" max="242" width="4.68359375" style="138" customWidth="1"/>
    <col min="243" max="243" width="4.68359375" style="137" customWidth="1"/>
    <col min="244" max="244" width="8.68359375" style="137" customWidth="1"/>
    <col min="245" max="250" width="4.68359375" style="138" customWidth="1"/>
    <col min="251" max="251" width="4.68359375" style="137" customWidth="1"/>
    <col min="252" max="252" width="8.68359375" style="137" customWidth="1"/>
    <col min="253" max="253" width="4.68359375" style="137" customWidth="1"/>
    <col min="254" max="254" width="8.68359375" style="137" customWidth="1"/>
    <col min="255" max="258" width="4.68359375" style="139" customWidth="1"/>
    <col min="259" max="259" width="8.68359375" style="137" customWidth="1"/>
    <col min="260" max="263" width="4.68359375" style="138" customWidth="1"/>
    <col min="264" max="264" width="4.68359375" style="137" customWidth="1"/>
    <col min="265" max="265" width="8.68359375" style="137" customWidth="1"/>
    <col min="266" max="271" width="4.68359375" style="138" customWidth="1"/>
    <col min="272" max="272" width="4.68359375" style="137" customWidth="1"/>
    <col min="273" max="273" width="8.68359375" style="137" customWidth="1"/>
    <col min="274" max="274" width="4.68359375" style="137" customWidth="1"/>
    <col min="275" max="275" width="8.68359375" style="137" customWidth="1"/>
    <col min="276" max="279" width="4.68359375" style="139" customWidth="1"/>
    <col min="280" max="280" width="8.68359375" style="137" customWidth="1"/>
    <col min="281" max="284" width="4.68359375" style="138" customWidth="1"/>
    <col min="285" max="285" width="4.68359375" style="137" customWidth="1"/>
    <col min="286" max="286" width="8.68359375" style="137" customWidth="1"/>
    <col min="287" max="292" width="4.68359375" style="138" customWidth="1"/>
    <col min="293" max="293" width="4.68359375" style="137" customWidth="1"/>
    <col min="294" max="294" width="8.68359375" style="137" customWidth="1"/>
    <col min="295" max="295" width="4.68359375" style="137" customWidth="1"/>
    <col min="296" max="296" width="8.68359375" style="137" customWidth="1"/>
    <col min="297" max="300" width="4.68359375" style="139" customWidth="1"/>
    <col min="301" max="301" width="8.68359375" style="137" customWidth="1"/>
    <col min="302" max="305" width="4.68359375" style="138" customWidth="1"/>
    <col min="306" max="306" width="4.68359375" style="137" customWidth="1"/>
    <col min="307" max="307" width="8.68359375" style="137" customWidth="1"/>
    <col min="308" max="313" width="4.68359375" style="138" customWidth="1"/>
    <col min="314" max="314" width="4.68359375" style="137" customWidth="1"/>
    <col min="315" max="315" width="8.68359375" style="137" customWidth="1"/>
    <col min="316" max="316" width="4.68359375" style="137" customWidth="1"/>
    <col min="317" max="317" width="8.68359375" style="137" customWidth="1"/>
    <col min="318" max="321" width="4.68359375" style="139" customWidth="1"/>
    <col min="322" max="322" width="8.68359375" style="137" customWidth="1"/>
    <col min="323" max="326" width="4.68359375" style="138" customWidth="1"/>
    <col min="327" max="327" width="4.68359375" style="137" customWidth="1"/>
    <col min="328" max="328" width="8.68359375" style="137" customWidth="1"/>
    <col min="329" max="334" width="4.68359375" style="138" customWidth="1"/>
    <col min="335" max="335" width="4.68359375" style="137" customWidth="1"/>
    <col min="336" max="336" width="8.68359375" style="137" customWidth="1"/>
    <col min="337" max="337" width="4.68359375" style="137" customWidth="1"/>
    <col min="338" max="338" width="8.68359375" style="137" customWidth="1"/>
    <col min="339" max="342" width="4.68359375" style="139" customWidth="1"/>
    <col min="343" max="343" width="8.68359375" style="137" customWidth="1"/>
    <col min="344" max="347" width="4.68359375" style="138" customWidth="1"/>
    <col min="348" max="348" width="4.68359375" style="137" customWidth="1"/>
    <col min="349" max="349" width="8.68359375" style="137" customWidth="1"/>
    <col min="350" max="355" width="4.68359375" style="138" customWidth="1"/>
    <col min="356" max="356" width="4.68359375" style="137" customWidth="1"/>
    <col min="357" max="357" width="8.68359375" style="137" customWidth="1"/>
    <col min="358" max="358" width="4.68359375" style="137" customWidth="1"/>
    <col min="359" max="359" width="8.68359375" style="137" customWidth="1"/>
    <col min="360" max="363" width="4.68359375" style="139" customWidth="1"/>
    <col min="364" max="364" width="8.68359375" style="137" customWidth="1"/>
    <col min="365" max="368" width="4.68359375" style="138" customWidth="1"/>
    <col min="369" max="369" width="4.68359375" style="137" customWidth="1"/>
    <col min="370" max="370" width="8.68359375" style="137" customWidth="1"/>
    <col min="371" max="376" width="4.68359375" style="138" customWidth="1"/>
    <col min="377" max="377" width="4.68359375" style="137" customWidth="1"/>
    <col min="378" max="378" width="8.68359375" style="137" customWidth="1"/>
    <col min="379" max="379" width="4.68359375" style="137" customWidth="1"/>
    <col min="380" max="380" width="8.68359375" style="137" customWidth="1"/>
    <col min="381" max="384" width="4.68359375" style="139" customWidth="1"/>
    <col min="385" max="385" width="8.68359375" style="137" customWidth="1"/>
    <col min="386" max="389" width="4.68359375" style="138" customWidth="1"/>
    <col min="390" max="390" width="4.68359375" style="137" customWidth="1"/>
    <col min="391" max="391" width="8.68359375" style="137" customWidth="1"/>
    <col min="392" max="397" width="4.68359375" style="138" customWidth="1"/>
    <col min="398" max="398" width="4.68359375" style="137" customWidth="1"/>
    <col min="399" max="399" width="8.68359375" style="137" customWidth="1"/>
    <col min="400" max="400" width="4.68359375" style="137" customWidth="1"/>
    <col min="401" max="401" width="8.68359375" style="137" customWidth="1"/>
    <col min="402" max="405" width="4.68359375" style="139" customWidth="1"/>
    <col min="406" max="406" width="8.68359375" style="137" customWidth="1"/>
    <col min="407" max="410" width="4.68359375" style="138" customWidth="1"/>
    <col min="411" max="411" width="4.68359375" style="137" customWidth="1"/>
    <col min="412" max="412" width="8.68359375" style="137" customWidth="1"/>
    <col min="413" max="418" width="4.68359375" style="138" customWidth="1"/>
    <col min="419" max="419" width="4.68359375" style="137" customWidth="1"/>
    <col min="420" max="420" width="8.68359375" style="137" customWidth="1"/>
    <col min="421" max="421" width="4.68359375" style="137" customWidth="1"/>
    <col min="422" max="422" width="8.68359375" style="137" customWidth="1"/>
    <col min="423" max="426" width="4.68359375" style="139" customWidth="1"/>
    <col min="427" max="427" width="8.68359375" style="137" customWidth="1"/>
    <col min="428" max="431" width="4.68359375" style="138" customWidth="1"/>
    <col min="432" max="432" width="4.68359375" style="137" customWidth="1"/>
    <col min="433" max="433" width="8.68359375" style="137" customWidth="1"/>
    <col min="434" max="439" width="4.68359375" style="138" customWidth="1"/>
    <col min="440" max="440" width="4.68359375" style="137" customWidth="1"/>
    <col min="441" max="441" width="8.68359375" style="137" customWidth="1"/>
    <col min="442" max="442" width="4.68359375" style="137" customWidth="1"/>
    <col min="443" max="443" width="8.68359375" style="137" customWidth="1"/>
    <col min="444" max="447" width="4.68359375" style="139" customWidth="1"/>
    <col min="448" max="448" width="8.68359375" style="137" customWidth="1"/>
    <col min="449" max="452" width="4.68359375" style="138" customWidth="1"/>
    <col min="453" max="453" width="4.68359375" style="137" customWidth="1"/>
    <col min="454" max="454" width="8.68359375" style="137" customWidth="1"/>
    <col min="455" max="460" width="4.68359375" style="138" customWidth="1"/>
    <col min="461" max="461" width="4.68359375" style="137" customWidth="1"/>
    <col min="462" max="462" width="8.68359375" style="137" customWidth="1"/>
    <col min="463" max="463" width="4.68359375" style="137" customWidth="1"/>
    <col min="464" max="464" width="8.68359375" style="137" customWidth="1"/>
    <col min="465" max="468" width="4.68359375" style="139" customWidth="1"/>
    <col min="469" max="469" width="8.68359375" style="137" customWidth="1"/>
    <col min="470" max="473" width="4.68359375" style="138" customWidth="1"/>
    <col min="474" max="474" width="4.68359375" style="137" customWidth="1"/>
    <col min="475" max="475" width="8.68359375" style="137" customWidth="1"/>
    <col min="476" max="481" width="4.68359375" style="138" customWidth="1"/>
    <col min="482" max="482" width="4.68359375" style="137" customWidth="1"/>
    <col min="483" max="483" width="8.68359375" style="137" customWidth="1"/>
    <col min="484" max="484" width="4.68359375" style="137" customWidth="1"/>
    <col min="485" max="485" width="8.68359375" style="137" customWidth="1"/>
    <col min="486" max="489" width="4.68359375" style="139" customWidth="1"/>
    <col min="490" max="490" width="8.68359375" style="137" customWidth="1"/>
    <col min="491" max="494" width="4.68359375" style="138" customWidth="1"/>
    <col min="495" max="495" width="4.68359375" style="137" customWidth="1"/>
    <col min="496" max="496" width="8.68359375" style="137" customWidth="1"/>
    <col min="497" max="502" width="4.68359375" style="138" customWidth="1"/>
    <col min="503" max="503" width="4.68359375" style="137" customWidth="1"/>
    <col min="504" max="504" width="8.68359375" style="137" customWidth="1"/>
    <col min="505" max="505" width="4.68359375" style="137" customWidth="1"/>
    <col min="506" max="506" width="8.68359375" style="137" customWidth="1"/>
    <col min="507" max="510" width="4.68359375" style="139" customWidth="1"/>
    <col min="511" max="511" width="8.68359375" style="137" customWidth="1"/>
    <col min="512" max="514" width="4.68359375" style="138" customWidth="1"/>
    <col min="515" max="515" width="4.68359375" style="137" customWidth="1"/>
    <col min="516" max="516" width="8.68359375" style="137" customWidth="1"/>
    <col min="517" max="519" width="4.68359375" style="138" customWidth="1"/>
    <col min="520" max="520" width="4.68359375" style="137" customWidth="1"/>
    <col min="521" max="521" width="8.68359375" style="137" customWidth="1"/>
    <col min="522" max="522" width="4.68359375" style="137" customWidth="1"/>
    <col min="523" max="523" width="8.68359375" style="137" customWidth="1"/>
    <col min="524" max="527" width="4.68359375" style="139" customWidth="1"/>
    <col min="528" max="528" width="8.68359375" style="137" customWidth="1"/>
    <col min="529" max="531" width="4.68359375" style="138" customWidth="1"/>
    <col min="532" max="532" width="4.68359375" style="137" customWidth="1"/>
    <col min="533" max="533" width="8.68359375" style="137" customWidth="1"/>
    <col min="534" max="536" width="4.68359375" style="138" customWidth="1"/>
    <col min="537" max="537" width="4.68359375" style="137" customWidth="1"/>
    <col min="538" max="538" width="8.68359375" style="137" customWidth="1"/>
    <col min="539" max="539" width="4.68359375" style="137" customWidth="1"/>
    <col min="540" max="540" width="8.68359375" style="137" customWidth="1"/>
    <col min="541" max="544" width="4.68359375" style="139" customWidth="1"/>
    <col min="545" max="545" width="8.68359375" style="137" customWidth="1"/>
    <col min="546" max="548" width="4.68359375" style="138" customWidth="1"/>
    <col min="549" max="549" width="4.68359375" style="137" customWidth="1"/>
    <col min="550" max="550" width="8.68359375" style="137" customWidth="1"/>
    <col min="551" max="553" width="4.68359375" style="138" customWidth="1"/>
    <col min="554" max="554" width="4.68359375" style="137" customWidth="1"/>
    <col min="555" max="555" width="8.68359375" style="137" customWidth="1"/>
    <col min="556" max="556" width="4.68359375" style="137" customWidth="1"/>
    <col min="557" max="557" width="8.68359375" style="137" customWidth="1"/>
    <col min="558" max="561" width="4.68359375" style="139" customWidth="1"/>
    <col min="562" max="562" width="8.68359375" style="137" customWidth="1"/>
    <col min="563" max="565" width="4.68359375" style="138" customWidth="1"/>
    <col min="566" max="566" width="4.68359375" style="137" customWidth="1"/>
    <col min="567" max="567" width="8.68359375" style="137" customWidth="1"/>
    <col min="568" max="570" width="4.68359375" style="138" customWidth="1"/>
    <col min="571" max="571" width="4.68359375" style="137" customWidth="1"/>
    <col min="572" max="572" width="8.68359375" style="137" customWidth="1"/>
    <col min="573" max="573" width="4.68359375" style="137" customWidth="1"/>
    <col min="574" max="574" width="8.68359375" style="137" customWidth="1"/>
    <col min="575" max="578" width="4.68359375" style="139" customWidth="1"/>
    <col min="579" max="579" width="8.68359375" style="137" customWidth="1"/>
    <col min="580" max="582" width="4.68359375" style="138" customWidth="1"/>
    <col min="583" max="583" width="4.68359375" style="137" customWidth="1"/>
    <col min="584" max="584" width="8.68359375" style="137" customWidth="1"/>
    <col min="585" max="587" width="4.68359375" style="138" customWidth="1"/>
    <col min="588" max="588" width="4.68359375" style="137" customWidth="1"/>
    <col min="589" max="589" width="8.68359375" style="137" customWidth="1"/>
    <col min="590" max="590" width="4.68359375" style="137" customWidth="1"/>
    <col min="591" max="591" width="8.68359375" style="137" customWidth="1"/>
    <col min="592" max="595" width="4.68359375" style="139" customWidth="1"/>
    <col min="596" max="596" width="8.68359375" style="137" customWidth="1"/>
    <col min="597" max="599" width="4.68359375" style="138" customWidth="1"/>
    <col min="600" max="600" width="4.68359375" style="137" customWidth="1"/>
    <col min="601" max="601" width="8.68359375" style="137" customWidth="1"/>
    <col min="602" max="604" width="4.68359375" style="138" customWidth="1"/>
    <col min="605" max="605" width="4.68359375" style="137" customWidth="1"/>
    <col min="606" max="606" width="8.68359375" style="137" customWidth="1"/>
    <col min="607" max="607" width="4.68359375" style="137" customWidth="1"/>
    <col min="608" max="608" width="8.68359375" style="137" customWidth="1"/>
    <col min="609" max="16384" width="5.68359375" style="64"/>
  </cols>
  <sheetData>
    <row r="1" spans="1:608" ht="18" customHeight="1" thickBot="1" x14ac:dyDescent="0.6">
      <c r="A1" s="219" t="s">
        <v>42</v>
      </c>
      <c r="B1" s="220"/>
      <c r="C1" s="150">
        <v>4</v>
      </c>
      <c r="D1" s="60"/>
      <c r="E1" s="60"/>
      <c r="F1" s="155"/>
      <c r="G1" s="156"/>
      <c r="H1" s="154"/>
      <c r="I1" s="62"/>
      <c r="J1" s="62"/>
      <c r="K1" s="62"/>
      <c r="L1" s="156"/>
      <c r="M1" s="156"/>
      <c r="N1" s="154"/>
      <c r="O1" s="62"/>
      <c r="P1" s="62"/>
      <c r="Q1" s="62"/>
      <c r="R1" s="62"/>
      <c r="S1" s="62"/>
      <c r="T1" s="156"/>
      <c r="U1" s="156"/>
      <c r="V1" s="156"/>
      <c r="W1" s="177"/>
      <c r="X1" s="194">
        <f>C1+1</f>
        <v>5</v>
      </c>
      <c r="Y1" s="60"/>
      <c r="Z1" s="60"/>
      <c r="AA1" s="155"/>
      <c r="AB1" s="156"/>
      <c r="AC1" s="154"/>
      <c r="AD1" s="62"/>
      <c r="AE1" s="62"/>
      <c r="AF1" s="62"/>
      <c r="AG1" s="156"/>
      <c r="AH1" s="156"/>
      <c r="AI1" s="154"/>
      <c r="AJ1" s="62"/>
      <c r="AK1" s="62"/>
      <c r="AL1" s="62"/>
      <c r="AM1" s="62"/>
      <c r="AN1" s="62"/>
      <c r="AO1" s="156"/>
      <c r="AP1" s="156"/>
      <c r="AQ1" s="156"/>
      <c r="AR1" s="156"/>
      <c r="AS1" s="194">
        <f>X1+1</f>
        <v>6</v>
      </c>
      <c r="AT1" s="60"/>
      <c r="AU1" s="60"/>
      <c r="AV1" s="155"/>
      <c r="AW1" s="156"/>
      <c r="AX1" s="154"/>
      <c r="AY1" s="62"/>
      <c r="AZ1" s="62"/>
      <c r="BA1" s="62"/>
      <c r="BB1" s="156"/>
      <c r="BC1" s="156"/>
      <c r="BD1" s="154"/>
      <c r="BE1" s="62"/>
      <c r="BF1" s="62"/>
      <c r="BG1" s="62"/>
      <c r="BH1" s="62"/>
      <c r="BI1" s="62"/>
      <c r="BJ1" s="156"/>
      <c r="BK1" s="156"/>
      <c r="BL1" s="156"/>
      <c r="BM1" s="156"/>
      <c r="BN1" s="194">
        <f>AS1+1</f>
        <v>7</v>
      </c>
      <c r="BO1" s="60"/>
      <c r="BP1" s="60"/>
      <c r="BQ1" s="155"/>
      <c r="BR1" s="156"/>
      <c r="BS1" s="154"/>
      <c r="BT1" s="62"/>
      <c r="BU1" s="62"/>
      <c r="BV1" s="62"/>
      <c r="BW1" s="156"/>
      <c r="BX1" s="156"/>
      <c r="BY1" s="154"/>
      <c r="BZ1" s="62"/>
      <c r="CA1" s="62"/>
      <c r="CB1" s="62"/>
      <c r="CC1" s="62"/>
      <c r="CD1" s="62"/>
      <c r="CE1" s="156"/>
      <c r="CF1" s="156"/>
      <c r="CG1" s="156"/>
      <c r="CH1" s="156"/>
      <c r="CI1" s="194">
        <f>BN1+1</f>
        <v>8</v>
      </c>
      <c r="CJ1" s="60"/>
      <c r="CK1" s="60"/>
      <c r="CL1" s="155"/>
      <c r="CM1" s="156"/>
      <c r="CN1" s="154"/>
      <c r="CO1" s="62"/>
      <c r="CP1" s="62"/>
      <c r="CQ1" s="62"/>
      <c r="CR1" s="156"/>
      <c r="CS1" s="156"/>
      <c r="CT1" s="154"/>
      <c r="CU1" s="62"/>
      <c r="CV1" s="62"/>
      <c r="CW1" s="62"/>
      <c r="CX1" s="62"/>
      <c r="CY1" s="62"/>
      <c r="CZ1" s="156"/>
      <c r="DA1" s="156"/>
      <c r="DB1" s="156"/>
      <c r="DC1" s="156"/>
      <c r="DD1" s="194">
        <f>CI1+1</f>
        <v>9</v>
      </c>
      <c r="DE1" s="60"/>
      <c r="DF1" s="60"/>
      <c r="DG1" s="155"/>
      <c r="DH1" s="156"/>
      <c r="DI1" s="154"/>
      <c r="DJ1" s="62"/>
      <c r="DK1" s="62"/>
      <c r="DL1" s="62"/>
      <c r="DM1" s="156"/>
      <c r="DN1" s="156"/>
      <c r="DO1" s="154"/>
      <c r="DP1" s="62"/>
      <c r="DQ1" s="62"/>
      <c r="DR1" s="62"/>
      <c r="DS1" s="62"/>
      <c r="DT1" s="62"/>
      <c r="DU1" s="156"/>
      <c r="DV1" s="156"/>
      <c r="DW1" s="156"/>
      <c r="DX1" s="156"/>
      <c r="DY1" s="194">
        <f>DD1+1</f>
        <v>10</v>
      </c>
      <c r="DZ1" s="60"/>
      <c r="EA1" s="60"/>
      <c r="EB1" s="155"/>
      <c r="EC1" s="156"/>
      <c r="ED1" s="154"/>
      <c r="EE1" s="62"/>
      <c r="EF1" s="62"/>
      <c r="EG1" s="62"/>
      <c r="EH1" s="156"/>
      <c r="EI1" s="156"/>
      <c r="EJ1" s="154"/>
      <c r="EK1" s="62"/>
      <c r="EL1" s="62"/>
      <c r="EM1" s="62"/>
      <c r="EN1" s="62"/>
      <c r="EO1" s="62"/>
      <c r="EP1" s="156"/>
      <c r="EQ1" s="156"/>
      <c r="ER1" s="156"/>
      <c r="ES1" s="156"/>
      <c r="ET1" s="194">
        <f>DY1+1</f>
        <v>11</v>
      </c>
      <c r="EU1" s="60"/>
      <c r="EV1" s="60"/>
      <c r="EW1" s="155"/>
      <c r="EX1" s="156"/>
      <c r="EY1" s="154"/>
      <c r="EZ1" s="62"/>
      <c r="FA1" s="62"/>
      <c r="FB1" s="62"/>
      <c r="FC1" s="156"/>
      <c r="FD1" s="156"/>
      <c r="FE1" s="154"/>
      <c r="FF1" s="62"/>
      <c r="FG1" s="62"/>
      <c r="FH1" s="62"/>
      <c r="FI1" s="62"/>
      <c r="FJ1" s="62"/>
      <c r="FK1" s="156"/>
      <c r="FL1" s="156"/>
      <c r="FM1" s="156"/>
      <c r="FN1" s="156"/>
      <c r="FO1" s="194">
        <f>ET1+1</f>
        <v>12</v>
      </c>
      <c r="FP1" s="60"/>
      <c r="FQ1" s="60"/>
      <c r="FR1" s="155"/>
      <c r="FS1" s="156"/>
      <c r="FT1" s="154"/>
      <c r="FU1" s="62"/>
      <c r="FV1" s="62"/>
      <c r="FW1" s="62"/>
      <c r="FX1" s="156"/>
      <c r="FY1" s="156"/>
      <c r="FZ1" s="154"/>
      <c r="GA1" s="62"/>
      <c r="GB1" s="62"/>
      <c r="GC1" s="62"/>
      <c r="GD1" s="62"/>
      <c r="GE1" s="62"/>
      <c r="GF1" s="156"/>
      <c r="GG1" s="156"/>
      <c r="GH1" s="156"/>
      <c r="GI1" s="156"/>
      <c r="GJ1" s="194">
        <f>FO1+1</f>
        <v>13</v>
      </c>
      <c r="GK1" s="60"/>
      <c r="GL1" s="60"/>
      <c r="GM1" s="155"/>
      <c r="GN1" s="156"/>
      <c r="GO1" s="154"/>
      <c r="GP1" s="62"/>
      <c r="GQ1" s="62"/>
      <c r="GR1" s="62"/>
      <c r="GS1" s="156"/>
      <c r="GT1" s="156"/>
      <c r="GU1" s="154"/>
      <c r="GV1" s="62"/>
      <c r="GW1" s="62"/>
      <c r="GX1" s="62"/>
      <c r="GY1" s="62"/>
      <c r="GZ1" s="62"/>
      <c r="HA1" s="156"/>
      <c r="HB1" s="156"/>
      <c r="HC1" s="156"/>
      <c r="HD1" s="156"/>
      <c r="HE1" s="194">
        <f>GJ1+1</f>
        <v>14</v>
      </c>
      <c r="HF1" s="60"/>
      <c r="HG1" s="60"/>
      <c r="HH1" s="155"/>
      <c r="HI1" s="156"/>
      <c r="HJ1" s="154"/>
      <c r="HK1" s="62"/>
      <c r="HL1" s="62"/>
      <c r="HM1" s="62"/>
      <c r="HN1" s="156"/>
      <c r="HO1" s="156"/>
      <c r="HP1" s="154"/>
      <c r="HQ1" s="62"/>
      <c r="HR1" s="62"/>
      <c r="HS1" s="62"/>
      <c r="HT1" s="62"/>
      <c r="HU1" s="62"/>
      <c r="HV1" s="156"/>
      <c r="HW1" s="156"/>
      <c r="HX1" s="156"/>
      <c r="HY1" s="156"/>
      <c r="HZ1" s="194">
        <f>HE1+1</f>
        <v>15</v>
      </c>
      <c r="IA1" s="60"/>
      <c r="IB1" s="60"/>
      <c r="IC1" s="155"/>
      <c r="ID1" s="156"/>
      <c r="IE1" s="154"/>
      <c r="IF1" s="62"/>
      <c r="IG1" s="62"/>
      <c r="IH1" s="62"/>
      <c r="II1" s="156"/>
      <c r="IJ1" s="156"/>
      <c r="IK1" s="154"/>
      <c r="IL1" s="62"/>
      <c r="IM1" s="62"/>
      <c r="IN1" s="62"/>
      <c r="IO1" s="62"/>
      <c r="IP1" s="62"/>
      <c r="IQ1" s="156"/>
      <c r="IR1" s="156"/>
      <c r="IS1" s="156"/>
      <c r="IT1" s="156"/>
      <c r="IU1" s="194">
        <f>HZ1+1</f>
        <v>16</v>
      </c>
      <c r="IV1" s="60"/>
      <c r="IW1" s="60"/>
      <c r="IX1" s="155"/>
      <c r="IY1" s="156"/>
      <c r="IZ1" s="154"/>
      <c r="JA1" s="62"/>
      <c r="JB1" s="62"/>
      <c r="JC1" s="62"/>
      <c r="JD1" s="156"/>
      <c r="JE1" s="156"/>
      <c r="JF1" s="154"/>
      <c r="JG1" s="62"/>
      <c r="JH1" s="62"/>
      <c r="JI1" s="62"/>
      <c r="JJ1" s="62"/>
      <c r="JK1" s="62"/>
      <c r="JL1" s="156"/>
      <c r="JM1" s="156"/>
      <c r="JN1" s="156"/>
      <c r="JO1" s="156"/>
      <c r="JP1" s="194">
        <f>IU1+1</f>
        <v>17</v>
      </c>
      <c r="JQ1" s="60"/>
      <c r="JR1" s="60"/>
      <c r="JS1" s="155"/>
      <c r="JT1" s="156"/>
      <c r="JU1" s="154"/>
      <c r="JV1" s="62"/>
      <c r="JW1" s="62"/>
      <c r="JX1" s="62"/>
      <c r="JY1" s="156"/>
      <c r="JZ1" s="156"/>
      <c r="KA1" s="154"/>
      <c r="KB1" s="62"/>
      <c r="KC1" s="62"/>
      <c r="KD1" s="62"/>
      <c r="KE1" s="62"/>
      <c r="KF1" s="62"/>
      <c r="KG1" s="156"/>
      <c r="KH1" s="156"/>
      <c r="KI1" s="156"/>
      <c r="KJ1" s="156"/>
      <c r="KK1" s="194">
        <f>JP1+1</f>
        <v>18</v>
      </c>
      <c r="KL1" s="60"/>
      <c r="KM1" s="60"/>
      <c r="KN1" s="155"/>
      <c r="KO1" s="156"/>
      <c r="KP1" s="154"/>
      <c r="KQ1" s="62"/>
      <c r="KR1" s="62"/>
      <c r="KS1" s="62"/>
      <c r="KT1" s="156"/>
      <c r="KU1" s="156"/>
      <c r="KV1" s="154"/>
      <c r="KW1" s="62"/>
      <c r="KX1" s="62"/>
      <c r="KY1" s="62"/>
      <c r="KZ1" s="62"/>
      <c r="LA1" s="62"/>
      <c r="LB1" s="156"/>
      <c r="LC1" s="156"/>
      <c r="LD1" s="156"/>
      <c r="LE1" s="156"/>
      <c r="LF1" s="194">
        <f>KK1+1</f>
        <v>19</v>
      </c>
      <c r="LG1" s="60"/>
      <c r="LH1" s="60"/>
      <c r="LI1" s="155"/>
      <c r="LJ1" s="156"/>
      <c r="LK1" s="154"/>
      <c r="LL1" s="62"/>
      <c r="LM1" s="62"/>
      <c r="LN1" s="62"/>
      <c r="LO1" s="156"/>
      <c r="LP1" s="156"/>
      <c r="LQ1" s="154"/>
      <c r="LR1" s="62"/>
      <c r="LS1" s="62"/>
      <c r="LT1" s="62"/>
      <c r="LU1" s="62"/>
      <c r="LV1" s="62"/>
      <c r="LW1" s="156"/>
      <c r="LX1" s="156"/>
      <c r="LY1" s="156"/>
      <c r="LZ1" s="156"/>
      <c r="MA1" s="194">
        <f>LF1+1</f>
        <v>20</v>
      </c>
      <c r="MB1" s="60"/>
      <c r="MC1" s="60"/>
      <c r="MD1" s="155"/>
      <c r="ME1" s="156"/>
      <c r="MF1" s="154"/>
      <c r="MG1" s="62"/>
      <c r="MH1" s="62"/>
      <c r="MI1" s="62"/>
      <c r="MJ1" s="156"/>
      <c r="MK1" s="156"/>
      <c r="ML1" s="154"/>
      <c r="MM1" s="62"/>
      <c r="MN1" s="62"/>
      <c r="MO1" s="62"/>
      <c r="MP1" s="62"/>
      <c r="MQ1" s="62"/>
      <c r="MR1" s="156"/>
      <c r="MS1" s="156"/>
      <c r="MT1" s="156"/>
      <c r="MU1" s="156"/>
      <c r="MV1" s="194">
        <f>MA1+1</f>
        <v>21</v>
      </c>
      <c r="MW1" s="60"/>
      <c r="MX1" s="60"/>
      <c r="MY1" s="155"/>
      <c r="MZ1" s="156"/>
      <c r="NA1" s="154"/>
      <c r="NB1" s="62"/>
      <c r="NC1" s="62"/>
      <c r="ND1" s="62"/>
      <c r="NE1" s="156"/>
      <c r="NF1" s="156"/>
      <c r="NG1" s="154"/>
      <c r="NH1" s="62"/>
      <c r="NI1" s="62"/>
      <c r="NJ1" s="62"/>
      <c r="NK1" s="62"/>
      <c r="NL1" s="62"/>
      <c r="NM1" s="156"/>
      <c r="NN1" s="156"/>
      <c r="NO1" s="156"/>
      <c r="NP1" s="156"/>
      <c r="NQ1" s="194">
        <f>MV1+1</f>
        <v>22</v>
      </c>
      <c r="NR1" s="60"/>
      <c r="NS1" s="60"/>
      <c r="NT1" s="155"/>
      <c r="NU1" s="156"/>
      <c r="NV1" s="154"/>
      <c r="NW1" s="62"/>
      <c r="NX1" s="62"/>
      <c r="NY1" s="62"/>
      <c r="NZ1" s="156"/>
      <c r="OA1" s="156"/>
      <c r="OB1" s="154"/>
      <c r="OC1" s="62"/>
      <c r="OD1" s="62"/>
      <c r="OE1" s="62"/>
      <c r="OF1" s="62"/>
      <c r="OG1" s="62"/>
      <c r="OH1" s="156"/>
      <c r="OI1" s="156"/>
      <c r="OJ1" s="156"/>
      <c r="OK1" s="156"/>
      <c r="OL1" s="194">
        <f>NQ1+1</f>
        <v>23</v>
      </c>
      <c r="OM1" s="60"/>
      <c r="ON1" s="60"/>
      <c r="OO1" s="155"/>
      <c r="OP1" s="156"/>
      <c r="OQ1" s="154"/>
      <c r="OR1" s="62"/>
      <c r="OS1" s="62"/>
      <c r="OT1" s="62"/>
      <c r="OU1" s="156"/>
      <c r="OV1" s="156"/>
      <c r="OW1" s="154"/>
      <c r="OX1" s="62"/>
      <c r="OY1" s="62"/>
      <c r="OZ1" s="62"/>
      <c r="PA1" s="62"/>
      <c r="PB1" s="62"/>
      <c r="PC1" s="156"/>
      <c r="PD1" s="156"/>
      <c r="PE1" s="156"/>
      <c r="PF1" s="156"/>
      <c r="PG1" s="194">
        <f>OL1+1</f>
        <v>24</v>
      </c>
      <c r="PH1" s="60"/>
      <c r="PI1" s="60"/>
      <c r="PJ1" s="155"/>
      <c r="PK1" s="156"/>
      <c r="PL1" s="154"/>
      <c r="PM1" s="62"/>
      <c r="PN1" s="62"/>
      <c r="PO1" s="62"/>
      <c r="PP1" s="156"/>
      <c r="PQ1" s="156"/>
      <c r="PR1" s="154"/>
      <c r="PS1" s="62"/>
      <c r="PT1" s="62"/>
      <c r="PU1" s="62"/>
      <c r="PV1" s="62"/>
      <c r="PW1" s="62"/>
      <c r="PX1" s="156"/>
      <c r="PY1" s="156"/>
      <c r="PZ1" s="156"/>
      <c r="QA1" s="156"/>
      <c r="QB1" s="194">
        <f>PG1+1</f>
        <v>25</v>
      </c>
      <c r="QC1" s="60"/>
      <c r="QD1" s="60"/>
      <c r="QE1" s="155"/>
      <c r="QF1" s="156"/>
      <c r="QG1" s="154"/>
      <c r="QH1" s="62"/>
      <c r="QI1" s="62"/>
      <c r="QJ1" s="62"/>
      <c r="QK1" s="156"/>
      <c r="QL1" s="156"/>
      <c r="QM1" s="154"/>
      <c r="QN1" s="62"/>
      <c r="QO1" s="62"/>
      <c r="QP1" s="62"/>
      <c r="QQ1" s="62"/>
      <c r="QR1" s="62"/>
      <c r="QS1" s="156"/>
      <c r="QT1" s="156"/>
      <c r="QU1" s="156"/>
      <c r="QV1" s="156"/>
      <c r="QW1" s="194">
        <f>QB1+1</f>
        <v>26</v>
      </c>
      <c r="QX1" s="60"/>
      <c r="QY1" s="60"/>
      <c r="QZ1" s="155"/>
      <c r="RA1" s="156"/>
      <c r="RB1" s="154"/>
      <c r="RC1" s="62"/>
      <c r="RD1" s="62"/>
      <c r="RE1" s="62"/>
      <c r="RF1" s="156"/>
      <c r="RG1" s="156"/>
      <c r="RH1" s="154"/>
      <c r="RI1" s="62"/>
      <c r="RJ1" s="62"/>
      <c r="RK1" s="62"/>
      <c r="RL1" s="62"/>
      <c r="RM1" s="62"/>
      <c r="RN1" s="156"/>
      <c r="RO1" s="156"/>
      <c r="RP1" s="156"/>
      <c r="RQ1" s="156"/>
      <c r="RR1" s="194">
        <f>QW1+1</f>
        <v>27</v>
      </c>
      <c r="RS1" s="60"/>
      <c r="RT1" s="60"/>
      <c r="RU1" s="155"/>
      <c r="RV1" s="156"/>
      <c r="RW1" s="154"/>
      <c r="RX1" s="62"/>
      <c r="RY1" s="62"/>
      <c r="RZ1" s="62"/>
      <c r="SA1" s="156"/>
      <c r="SB1" s="156"/>
      <c r="SC1" s="154"/>
      <c r="SD1" s="62"/>
      <c r="SE1" s="62"/>
      <c r="SF1" s="62"/>
      <c r="SG1" s="62"/>
      <c r="SH1" s="62"/>
      <c r="SI1" s="156"/>
      <c r="SJ1" s="156"/>
      <c r="SK1" s="156"/>
      <c r="SL1" s="156"/>
      <c r="SM1" s="63">
        <f>RR1+1</f>
        <v>28</v>
      </c>
      <c r="SN1" s="60"/>
      <c r="SO1" s="60"/>
      <c r="SP1" s="60"/>
      <c r="SQ1" s="61"/>
      <c r="SR1" s="62"/>
      <c r="SS1" s="62"/>
      <c r="ST1" s="62"/>
      <c r="SU1" s="61"/>
      <c r="SV1" s="61"/>
      <c r="SW1" s="62"/>
      <c r="SX1" s="62"/>
      <c r="SY1" s="62"/>
      <c r="SZ1" s="61"/>
      <c r="TA1" s="61"/>
      <c r="TB1" s="61"/>
      <c r="TC1" s="61"/>
      <c r="TD1" s="63">
        <f>SM1+1</f>
        <v>29</v>
      </c>
      <c r="TE1" s="60"/>
      <c r="TF1" s="60"/>
      <c r="TG1" s="60"/>
      <c r="TH1" s="61"/>
      <c r="TI1" s="62"/>
      <c r="TJ1" s="62"/>
      <c r="TK1" s="62"/>
      <c r="TL1" s="61"/>
      <c r="TM1" s="61"/>
      <c r="TN1" s="62"/>
      <c r="TO1" s="62"/>
      <c r="TP1" s="62"/>
      <c r="TQ1" s="61"/>
      <c r="TR1" s="61"/>
      <c r="TS1" s="61"/>
      <c r="TT1" s="61"/>
      <c r="TU1" s="63">
        <f>TD1+1</f>
        <v>30</v>
      </c>
      <c r="TV1" s="60"/>
      <c r="TW1" s="60"/>
      <c r="TX1" s="60"/>
      <c r="TY1" s="61"/>
      <c r="TZ1" s="62"/>
      <c r="UA1" s="62"/>
      <c r="UB1" s="62"/>
      <c r="UC1" s="61"/>
      <c r="UD1" s="61"/>
      <c r="UE1" s="62"/>
      <c r="UF1" s="62"/>
      <c r="UG1" s="62"/>
      <c r="UH1" s="61"/>
      <c r="UI1" s="61"/>
      <c r="UJ1" s="61"/>
      <c r="UK1" s="61"/>
      <c r="UL1" s="63">
        <f>TU1+1</f>
        <v>31</v>
      </c>
      <c r="UM1" s="60"/>
      <c r="UN1" s="60"/>
      <c r="UO1" s="60"/>
      <c r="UP1" s="61"/>
      <c r="UQ1" s="62"/>
      <c r="UR1" s="62"/>
      <c r="US1" s="62"/>
      <c r="UT1" s="61"/>
      <c r="UU1" s="61"/>
      <c r="UV1" s="62"/>
      <c r="UW1" s="62"/>
      <c r="UX1" s="62"/>
      <c r="UY1" s="61"/>
      <c r="UZ1" s="61"/>
      <c r="VA1" s="61"/>
      <c r="VB1" s="61"/>
      <c r="VC1" s="63">
        <f>UL1+1</f>
        <v>32</v>
      </c>
      <c r="VD1" s="60"/>
      <c r="VE1" s="60"/>
      <c r="VF1" s="60"/>
      <c r="VG1" s="61"/>
      <c r="VH1" s="62"/>
      <c r="VI1" s="62"/>
      <c r="VJ1" s="62"/>
      <c r="VK1" s="61"/>
      <c r="VL1" s="61"/>
      <c r="VM1" s="62"/>
      <c r="VN1" s="62"/>
      <c r="VO1" s="62"/>
      <c r="VP1" s="61"/>
      <c r="VQ1" s="61"/>
      <c r="VR1" s="61"/>
      <c r="VS1" s="61"/>
      <c r="VT1" s="63">
        <f>VC1+1</f>
        <v>33</v>
      </c>
      <c r="VU1" s="60"/>
      <c r="VV1" s="60"/>
      <c r="VW1" s="60"/>
      <c r="VX1" s="61"/>
      <c r="VY1" s="62"/>
      <c r="VZ1" s="62"/>
      <c r="WA1" s="62"/>
      <c r="WB1" s="61"/>
      <c r="WC1" s="61"/>
      <c r="WD1" s="62"/>
      <c r="WE1" s="62"/>
      <c r="WF1" s="62"/>
      <c r="WG1" s="61"/>
      <c r="WH1" s="61"/>
      <c r="WI1" s="61"/>
      <c r="WJ1" s="61"/>
    </row>
    <row r="2" spans="1:608" ht="60" customHeight="1" thickBot="1" x14ac:dyDescent="0.6">
      <c r="A2" s="140" t="s">
        <v>41</v>
      </c>
      <c r="B2" s="141" t="s">
        <v>191</v>
      </c>
      <c r="C2" s="151" t="str">
        <f ca="1">IF(CELL("contenu",INDIRECT(ADDRESS(C1,1,1,1,CELL("contenu",$B$2))))="","----",CELL("contenu",INDIRECT(ADDRESS(C1,1,1,1,CELL("contenu",$B$2)))))</f>
        <v>AOUILLE Ethan</v>
      </c>
      <c r="D2" s="149"/>
      <c r="E2" s="149"/>
      <c r="F2" s="151"/>
      <c r="G2" s="151"/>
      <c r="H2" s="151"/>
      <c r="I2" s="149"/>
      <c r="J2" s="149"/>
      <c r="K2" s="149"/>
      <c r="L2" s="151"/>
      <c r="M2" s="151"/>
      <c r="N2" s="151"/>
      <c r="O2" s="149"/>
      <c r="P2" s="149"/>
      <c r="Q2" s="149"/>
      <c r="R2" s="149"/>
      <c r="S2" s="149"/>
      <c r="T2" s="151"/>
      <c r="U2" s="151"/>
      <c r="V2" s="151"/>
      <c r="W2" s="178"/>
      <c r="X2" s="151" t="str">
        <f ca="1">IF(CELL("contenu",INDIRECT(ADDRESS(X1,1,1,1,CELL("contenu",$B$2))))="","----",CELL("contenu",INDIRECT(ADDRESS(X1,1,1,1,CELL("contenu",$B$2)))))</f>
        <v>BATTAGLINI Pauline</v>
      </c>
      <c r="Y2" s="149"/>
      <c r="Z2" s="149"/>
      <c r="AA2" s="151"/>
      <c r="AB2" s="151"/>
      <c r="AC2" s="151"/>
      <c r="AD2" s="149"/>
      <c r="AE2" s="149"/>
      <c r="AF2" s="149"/>
      <c r="AG2" s="151"/>
      <c r="AH2" s="151"/>
      <c r="AI2" s="151"/>
      <c r="AJ2" s="149"/>
      <c r="AK2" s="149"/>
      <c r="AL2" s="149"/>
      <c r="AM2" s="149"/>
      <c r="AN2" s="149"/>
      <c r="AO2" s="151"/>
      <c r="AP2" s="151"/>
      <c r="AQ2" s="151"/>
      <c r="AR2" s="178"/>
      <c r="AS2" s="151" t="str">
        <f ca="1">IF(CELL("contenu",INDIRECT(ADDRESS(AS1,1,1,1,CELL("contenu",$B$2))))="","----",CELL("contenu",INDIRECT(ADDRESS(AS1,1,1,1,CELL("contenu",$B$2)))))</f>
        <v>DAUDIER Balthazar</v>
      </c>
      <c r="AT2" s="149"/>
      <c r="AU2" s="149"/>
      <c r="AV2" s="151"/>
      <c r="AW2" s="151"/>
      <c r="AX2" s="151"/>
      <c r="AY2" s="149"/>
      <c r="AZ2" s="149"/>
      <c r="BA2" s="149"/>
      <c r="BB2" s="151"/>
      <c r="BC2" s="151"/>
      <c r="BD2" s="151"/>
      <c r="BE2" s="149"/>
      <c r="BF2" s="149"/>
      <c r="BG2" s="149"/>
      <c r="BH2" s="149"/>
      <c r="BI2" s="149"/>
      <c r="BJ2" s="151"/>
      <c r="BK2" s="151"/>
      <c r="BL2" s="151"/>
      <c r="BM2" s="178"/>
      <c r="BN2" s="151" t="str">
        <f ca="1">IF(CELL("contenu",INDIRECT(ADDRESS(BN1,1,1,1,CELL("contenu",$B$2))))="","----",CELL("contenu",INDIRECT(ADDRESS(BN1,1,1,1,CELL("contenu",$B$2)))))</f>
        <v>DEMOCRATE Charlotte</v>
      </c>
      <c r="BO2" s="149"/>
      <c r="BP2" s="149"/>
      <c r="BQ2" s="151"/>
      <c r="BR2" s="151"/>
      <c r="BS2" s="151"/>
      <c r="BT2" s="149"/>
      <c r="BU2" s="149"/>
      <c r="BV2" s="149"/>
      <c r="BW2" s="151"/>
      <c r="BX2" s="151"/>
      <c r="BY2" s="151"/>
      <c r="BZ2" s="149"/>
      <c r="CA2" s="149"/>
      <c r="CB2" s="149"/>
      <c r="CC2" s="149"/>
      <c r="CD2" s="149"/>
      <c r="CE2" s="151"/>
      <c r="CF2" s="151"/>
      <c r="CG2" s="151"/>
      <c r="CH2" s="178"/>
      <c r="CI2" s="151" t="str">
        <f ca="1">IF(CELL("contenu",INDIRECT(ADDRESS(CI1,1,1,1,CELL("contenu",$B$2))))="","----",CELL("contenu",INDIRECT(ADDRESS(CI1,1,1,1,CELL("contenu",$B$2)))))</f>
        <v>DEVIGNAC Vladimir</v>
      </c>
      <c r="CJ2" s="149"/>
      <c r="CK2" s="149"/>
      <c r="CL2" s="151"/>
      <c r="CM2" s="151"/>
      <c r="CN2" s="151"/>
      <c r="CO2" s="149"/>
      <c r="CP2" s="149"/>
      <c r="CQ2" s="149"/>
      <c r="CR2" s="151"/>
      <c r="CS2" s="151"/>
      <c r="CT2" s="151"/>
      <c r="CU2" s="149"/>
      <c r="CV2" s="149"/>
      <c r="CW2" s="149"/>
      <c r="CX2" s="149"/>
      <c r="CY2" s="149"/>
      <c r="CZ2" s="151"/>
      <c r="DA2" s="151"/>
      <c r="DB2" s="151"/>
      <c r="DC2" s="178"/>
      <c r="DD2" s="151" t="str">
        <f ca="1">IF(CELL("contenu",INDIRECT(ADDRESS(DD1,1,1,1,CELL("contenu",$B$2))))="","----",CELL("contenu",INDIRECT(ADDRESS(DD1,1,1,1,CELL("contenu",$B$2)))))</f>
        <v>FITOUSSI Emma-Hanna</v>
      </c>
      <c r="DE2" s="149"/>
      <c r="DF2" s="149"/>
      <c r="DG2" s="151"/>
      <c r="DH2" s="151"/>
      <c r="DI2" s="151"/>
      <c r="DJ2" s="149"/>
      <c r="DK2" s="149"/>
      <c r="DL2" s="149"/>
      <c r="DM2" s="151"/>
      <c r="DN2" s="151"/>
      <c r="DO2" s="151"/>
      <c r="DP2" s="149"/>
      <c r="DQ2" s="149"/>
      <c r="DR2" s="149"/>
      <c r="DS2" s="149"/>
      <c r="DT2" s="149"/>
      <c r="DU2" s="151"/>
      <c r="DV2" s="151"/>
      <c r="DW2" s="151"/>
      <c r="DX2" s="178"/>
      <c r="DY2" s="151" t="str">
        <f ca="1">IF(CELL("contenu",INDIRECT(ADDRESS(DY1,1,1,1,CELL("contenu",$B$2))))="","----",CELL("contenu",INDIRECT(ADDRESS(DY1,1,1,1,CELL("contenu",$B$2)))))</f>
        <v>FONTAINE Adrien</v>
      </c>
      <c r="DZ2" s="149"/>
      <c r="EA2" s="149"/>
      <c r="EB2" s="151"/>
      <c r="EC2" s="151"/>
      <c r="ED2" s="151"/>
      <c r="EE2" s="149"/>
      <c r="EF2" s="149"/>
      <c r="EG2" s="149"/>
      <c r="EH2" s="151"/>
      <c r="EI2" s="151"/>
      <c r="EJ2" s="151"/>
      <c r="EK2" s="149"/>
      <c r="EL2" s="149"/>
      <c r="EM2" s="149"/>
      <c r="EN2" s="149"/>
      <c r="EO2" s="149"/>
      <c r="EP2" s="151"/>
      <c r="EQ2" s="151"/>
      <c r="ER2" s="151"/>
      <c r="ES2" s="178"/>
      <c r="ET2" s="151" t="str">
        <f ca="1">IF(CELL("contenu",INDIRECT(ADDRESS(ET1,1,1,1,CELL("contenu",$B$2))))="","----",CELL("contenu",INDIRECT(ADDRESS(ET1,1,1,1,CELL("contenu",$B$2)))))</f>
        <v>FRUGIER Manon</v>
      </c>
      <c r="EU2" s="149"/>
      <c r="EV2" s="149"/>
      <c r="EW2" s="151"/>
      <c r="EX2" s="151"/>
      <c r="EY2" s="151"/>
      <c r="EZ2" s="149"/>
      <c r="FA2" s="149"/>
      <c r="FB2" s="149"/>
      <c r="FC2" s="151"/>
      <c r="FD2" s="151"/>
      <c r="FE2" s="151"/>
      <c r="FF2" s="149"/>
      <c r="FG2" s="149"/>
      <c r="FH2" s="149"/>
      <c r="FI2" s="149"/>
      <c r="FJ2" s="149"/>
      <c r="FK2" s="151"/>
      <c r="FL2" s="151"/>
      <c r="FM2" s="151"/>
      <c r="FN2" s="178"/>
      <c r="FO2" s="151" t="str">
        <f ca="1">IF(CELL("contenu",INDIRECT(ADDRESS(FO1,1,1,1,CELL("contenu",$B$2))))="","----",CELL("contenu",INDIRECT(ADDRESS(FO1,1,1,1,CELL("contenu",$B$2)))))</f>
        <v>GANCI Marie</v>
      </c>
      <c r="FP2" s="149"/>
      <c r="FQ2" s="149"/>
      <c r="FR2" s="151"/>
      <c r="FS2" s="151"/>
      <c r="FT2" s="151"/>
      <c r="FU2" s="149"/>
      <c r="FV2" s="149"/>
      <c r="FW2" s="149"/>
      <c r="FX2" s="151"/>
      <c r="FY2" s="151"/>
      <c r="FZ2" s="151"/>
      <c r="GA2" s="149"/>
      <c r="GB2" s="149"/>
      <c r="GC2" s="149"/>
      <c r="GD2" s="149"/>
      <c r="GE2" s="149"/>
      <c r="GF2" s="151"/>
      <c r="GG2" s="151"/>
      <c r="GH2" s="151"/>
      <c r="GI2" s="178"/>
      <c r="GJ2" s="151" t="str">
        <f ca="1">IF(CELL("contenu",INDIRECT(ADDRESS(GJ1,1,1,1,CELL("contenu",$B$2))))="","----",CELL("contenu",INDIRECT(ADDRESS(GJ1,1,1,1,CELL("contenu",$B$2)))))</f>
        <v>GILLES Camille</v>
      </c>
      <c r="GK2" s="149"/>
      <c r="GL2" s="149"/>
      <c r="GM2" s="151"/>
      <c r="GN2" s="151"/>
      <c r="GO2" s="151"/>
      <c r="GP2" s="149"/>
      <c r="GQ2" s="149"/>
      <c r="GR2" s="149"/>
      <c r="GS2" s="151"/>
      <c r="GT2" s="151"/>
      <c r="GU2" s="151"/>
      <c r="GV2" s="149"/>
      <c r="GW2" s="149"/>
      <c r="GX2" s="149"/>
      <c r="GY2" s="149"/>
      <c r="GZ2" s="149"/>
      <c r="HA2" s="151"/>
      <c r="HB2" s="151"/>
      <c r="HC2" s="151"/>
      <c r="HD2" s="178"/>
      <c r="HE2" s="151" t="str">
        <f ca="1">IF(CELL("contenu",INDIRECT(ADDRESS(HE1,1,1,1,CELL("contenu",$B$2))))="","----",CELL("contenu",INDIRECT(ADDRESS(HE1,1,1,1,CELL("contenu",$B$2)))))</f>
        <v>HARAN Clemence</v>
      </c>
      <c r="HF2" s="149"/>
      <c r="HG2" s="149"/>
      <c r="HH2" s="151"/>
      <c r="HI2" s="151"/>
      <c r="HJ2" s="151"/>
      <c r="HK2" s="149"/>
      <c r="HL2" s="149"/>
      <c r="HM2" s="149"/>
      <c r="HN2" s="151"/>
      <c r="HO2" s="151"/>
      <c r="HP2" s="151"/>
      <c r="HQ2" s="149"/>
      <c r="HR2" s="149"/>
      <c r="HS2" s="149"/>
      <c r="HT2" s="149"/>
      <c r="HU2" s="149"/>
      <c r="HV2" s="151"/>
      <c r="HW2" s="151"/>
      <c r="HX2" s="151"/>
      <c r="HY2" s="178"/>
      <c r="HZ2" s="151" t="str">
        <f ca="1">IF(CELL("contenu",INDIRECT(ADDRESS(HZ1,1,1,1,CELL("contenu",$B$2))))="","----",CELL("contenu",INDIRECT(ADDRESS(HZ1,1,1,1,CELL("contenu",$B$2)))))</f>
        <v>HERTEAU Charles</v>
      </c>
      <c r="IA2" s="149"/>
      <c r="IB2" s="149"/>
      <c r="IC2" s="151"/>
      <c r="ID2" s="151"/>
      <c r="IE2" s="151"/>
      <c r="IF2" s="149"/>
      <c r="IG2" s="149"/>
      <c r="IH2" s="149"/>
      <c r="II2" s="151"/>
      <c r="IJ2" s="151"/>
      <c r="IK2" s="151"/>
      <c r="IL2" s="149"/>
      <c r="IM2" s="149"/>
      <c r="IN2" s="149"/>
      <c r="IO2" s="149"/>
      <c r="IP2" s="149"/>
      <c r="IQ2" s="151"/>
      <c r="IR2" s="151"/>
      <c r="IS2" s="151"/>
      <c r="IT2" s="178"/>
      <c r="IU2" s="151" t="str">
        <f ca="1">IF(CELL("contenu",INDIRECT(ADDRESS(IU1,1,1,1,CELL("contenu",$B$2))))="","----",CELL("contenu",INDIRECT(ADDRESS(IU1,1,1,1,CELL("contenu",$B$2)))))</f>
        <v>JANVIER Axel</v>
      </c>
      <c r="IV2" s="149"/>
      <c r="IW2" s="149"/>
      <c r="IX2" s="151"/>
      <c r="IY2" s="151"/>
      <c r="IZ2" s="151"/>
      <c r="JA2" s="149"/>
      <c r="JB2" s="149"/>
      <c r="JC2" s="149"/>
      <c r="JD2" s="151"/>
      <c r="JE2" s="151"/>
      <c r="JF2" s="151"/>
      <c r="JG2" s="149"/>
      <c r="JH2" s="149"/>
      <c r="JI2" s="149"/>
      <c r="JJ2" s="149"/>
      <c r="JK2" s="149"/>
      <c r="JL2" s="151"/>
      <c r="JM2" s="151"/>
      <c r="JN2" s="151"/>
      <c r="JO2" s="178"/>
      <c r="JP2" s="151" t="str">
        <f ca="1">IF(CELL("contenu",INDIRECT(ADDRESS(JP1,1,1,1,CELL("contenu",$B$2))))="","----",CELL("contenu",INDIRECT(ADDRESS(JP1,1,1,1,CELL("contenu",$B$2)))))</f>
        <v>KERMOAL Dorian</v>
      </c>
      <c r="JQ2" s="149"/>
      <c r="JR2" s="149"/>
      <c r="JS2" s="151"/>
      <c r="JT2" s="151"/>
      <c r="JU2" s="151"/>
      <c r="JV2" s="149"/>
      <c r="JW2" s="149"/>
      <c r="JX2" s="149"/>
      <c r="JY2" s="151"/>
      <c r="JZ2" s="151"/>
      <c r="KA2" s="151"/>
      <c r="KB2" s="149"/>
      <c r="KC2" s="149"/>
      <c r="KD2" s="149"/>
      <c r="KE2" s="149"/>
      <c r="KF2" s="149"/>
      <c r="KG2" s="151"/>
      <c r="KH2" s="151"/>
      <c r="KI2" s="151"/>
      <c r="KJ2" s="178"/>
      <c r="KK2" s="151" t="str">
        <f ca="1">IF(CELL("contenu",INDIRECT(ADDRESS(KK1,1,1,1,CELL("contenu",$B$2))))="","----",CELL("contenu",INDIRECT(ADDRESS(KK1,1,1,1,CELL("contenu",$B$2)))))</f>
        <v>LI Eloise</v>
      </c>
      <c r="KL2" s="149"/>
      <c r="KM2" s="149"/>
      <c r="KN2" s="151"/>
      <c r="KO2" s="151"/>
      <c r="KP2" s="151"/>
      <c r="KQ2" s="149"/>
      <c r="KR2" s="149"/>
      <c r="KS2" s="149"/>
      <c r="KT2" s="151"/>
      <c r="KU2" s="151"/>
      <c r="KV2" s="151"/>
      <c r="KW2" s="149"/>
      <c r="KX2" s="149"/>
      <c r="KY2" s="149"/>
      <c r="KZ2" s="149"/>
      <c r="LA2" s="149"/>
      <c r="LB2" s="151"/>
      <c r="LC2" s="151"/>
      <c r="LD2" s="151"/>
      <c r="LE2" s="178"/>
      <c r="LF2" s="151" t="str">
        <f ca="1">IF(CELL("contenu",INDIRECT(ADDRESS(LF1,1,1,1,CELL("contenu",$B$2))))="","----",CELL("contenu",INDIRECT(ADDRESS(LF1,1,1,1,CELL("contenu",$B$2)))))</f>
        <v>LIOT DE NORTBECOURT Ines</v>
      </c>
      <c r="LG2" s="149"/>
      <c r="LH2" s="149"/>
      <c r="LI2" s="151"/>
      <c r="LJ2" s="151"/>
      <c r="LK2" s="151"/>
      <c r="LL2" s="149"/>
      <c r="LM2" s="149"/>
      <c r="LN2" s="149"/>
      <c r="LO2" s="151"/>
      <c r="LP2" s="151"/>
      <c r="LQ2" s="151"/>
      <c r="LR2" s="149"/>
      <c r="LS2" s="149"/>
      <c r="LT2" s="149"/>
      <c r="LU2" s="149"/>
      <c r="LV2" s="149"/>
      <c r="LW2" s="151"/>
      <c r="LX2" s="151"/>
      <c r="LY2" s="151"/>
      <c r="LZ2" s="178"/>
      <c r="MA2" s="151" t="str">
        <f ca="1">IF(CELL("contenu",INDIRECT(ADDRESS(MA1,1,1,1,CELL("contenu",$B$2))))="","----",CELL("contenu",INDIRECT(ADDRESS(MA1,1,1,1,CELL("contenu",$B$2)))))</f>
        <v>MAQUET Berengere</v>
      </c>
      <c r="MB2" s="149"/>
      <c r="MC2" s="149"/>
      <c r="MD2" s="151"/>
      <c r="ME2" s="151"/>
      <c r="MF2" s="151"/>
      <c r="MG2" s="149"/>
      <c r="MH2" s="149"/>
      <c r="MI2" s="149"/>
      <c r="MJ2" s="151"/>
      <c r="MK2" s="151"/>
      <c r="ML2" s="151"/>
      <c r="MM2" s="149"/>
      <c r="MN2" s="149"/>
      <c r="MO2" s="149"/>
      <c r="MP2" s="149"/>
      <c r="MQ2" s="149"/>
      <c r="MR2" s="151"/>
      <c r="MS2" s="151"/>
      <c r="MT2" s="151"/>
      <c r="MU2" s="178"/>
      <c r="MV2" s="151" t="str">
        <f ca="1">IF(CELL("contenu",INDIRECT(ADDRESS(MV1,1,1,1,CELL("contenu",$B$2))))="","----",CELL("contenu",INDIRECT(ADDRESS(MV1,1,1,1,CELL("contenu",$B$2)))))</f>
        <v>MARIMOT Loic</v>
      </c>
      <c r="MW2" s="149"/>
      <c r="MX2" s="149"/>
      <c r="MY2" s="151"/>
      <c r="MZ2" s="151"/>
      <c r="NA2" s="151"/>
      <c r="NB2" s="149"/>
      <c r="NC2" s="149"/>
      <c r="ND2" s="149"/>
      <c r="NE2" s="151"/>
      <c r="NF2" s="151"/>
      <c r="NG2" s="151"/>
      <c r="NH2" s="149"/>
      <c r="NI2" s="149"/>
      <c r="NJ2" s="149"/>
      <c r="NK2" s="149"/>
      <c r="NL2" s="149"/>
      <c r="NM2" s="151"/>
      <c r="NN2" s="151"/>
      <c r="NO2" s="151"/>
      <c r="NP2" s="178"/>
      <c r="NQ2" s="151" t="str">
        <f ca="1">IF(CELL("contenu",INDIRECT(ADDRESS(NQ1,1,1,1,CELL("contenu",$B$2))))="","----",CELL("contenu",INDIRECT(ADDRESS(NQ1,1,1,1,CELL("contenu",$B$2)))))</f>
        <v>MATIGNON Quentin</v>
      </c>
      <c r="NR2" s="149"/>
      <c r="NS2" s="149"/>
      <c r="NT2" s="151"/>
      <c r="NU2" s="151"/>
      <c r="NV2" s="151"/>
      <c r="NW2" s="149"/>
      <c r="NX2" s="149"/>
      <c r="NY2" s="149"/>
      <c r="NZ2" s="151"/>
      <c r="OA2" s="151"/>
      <c r="OB2" s="151"/>
      <c r="OC2" s="149"/>
      <c r="OD2" s="149"/>
      <c r="OE2" s="149"/>
      <c r="OF2" s="149"/>
      <c r="OG2" s="149"/>
      <c r="OH2" s="151"/>
      <c r="OI2" s="151"/>
      <c r="OJ2" s="151"/>
      <c r="OK2" s="178"/>
      <c r="OL2" s="151" t="str">
        <f ca="1">IF(CELL("contenu",INDIRECT(ADDRESS(OL1,1,1,1,CELL("contenu",$B$2))))="","----",CELL("contenu",INDIRECT(ADDRESS(OL1,1,1,1,CELL("contenu",$B$2)))))</f>
        <v>MORIAMEZ Anna</v>
      </c>
      <c r="OM2" s="149"/>
      <c r="ON2" s="149"/>
      <c r="OO2" s="151"/>
      <c r="OP2" s="151"/>
      <c r="OQ2" s="151"/>
      <c r="OR2" s="149"/>
      <c r="OS2" s="149"/>
      <c r="OT2" s="149"/>
      <c r="OU2" s="151"/>
      <c r="OV2" s="151"/>
      <c r="OW2" s="151"/>
      <c r="OX2" s="149"/>
      <c r="OY2" s="149"/>
      <c r="OZ2" s="149"/>
      <c r="PA2" s="149"/>
      <c r="PB2" s="149"/>
      <c r="PC2" s="151"/>
      <c r="PD2" s="151"/>
      <c r="PE2" s="151"/>
      <c r="PF2" s="178"/>
      <c r="PG2" s="151" t="str">
        <f ca="1">IF(CELL("contenu",INDIRECT(ADDRESS(PG1,1,1,1,CELL("contenu",$B$2))))="","----",CELL("contenu",INDIRECT(ADDRESS(PG1,1,1,1,CELL("contenu",$B$2)))))</f>
        <v>PERROUIN Maelys</v>
      </c>
      <c r="PH2" s="149"/>
      <c r="PI2" s="149"/>
      <c r="PJ2" s="151"/>
      <c r="PK2" s="151"/>
      <c r="PL2" s="151"/>
      <c r="PM2" s="149"/>
      <c r="PN2" s="149"/>
      <c r="PO2" s="149"/>
      <c r="PP2" s="151"/>
      <c r="PQ2" s="151"/>
      <c r="PR2" s="151"/>
      <c r="PS2" s="149"/>
      <c r="PT2" s="149"/>
      <c r="PU2" s="149"/>
      <c r="PV2" s="149"/>
      <c r="PW2" s="149"/>
      <c r="PX2" s="151"/>
      <c r="PY2" s="151"/>
      <c r="PZ2" s="151"/>
      <c r="QA2" s="178"/>
      <c r="QB2" s="151" t="str">
        <f ca="1">IF(CELL("contenu",INDIRECT(ADDRESS(QB1,1,1,1,CELL("contenu",$B$2))))="","----",CELL("contenu",INDIRECT(ADDRESS(QB1,1,1,1,CELL("contenu",$B$2)))))</f>
        <v>PETITJEAN Alix</v>
      </c>
      <c r="QC2" s="149"/>
      <c r="QD2" s="149"/>
      <c r="QE2" s="151"/>
      <c r="QF2" s="151"/>
      <c r="QG2" s="151"/>
      <c r="QH2" s="149"/>
      <c r="QI2" s="149"/>
      <c r="QJ2" s="149"/>
      <c r="QK2" s="151"/>
      <c r="QL2" s="151"/>
      <c r="QM2" s="151"/>
      <c r="QN2" s="149"/>
      <c r="QO2" s="149"/>
      <c r="QP2" s="149"/>
      <c r="QQ2" s="149"/>
      <c r="QR2" s="149"/>
      <c r="QS2" s="151"/>
      <c r="QT2" s="151"/>
      <c r="QU2" s="151"/>
      <c r="QV2" s="178"/>
      <c r="QW2" s="151" t="str">
        <f ca="1">IF(CELL("contenu",INDIRECT(ADDRESS(QW1,1,1,1,CELL("contenu",$B$2))))="","----",CELL("contenu",INDIRECT(ADDRESS(QW1,1,1,1,CELL("contenu",$B$2)))))</f>
        <v>RATTIER Justine</v>
      </c>
      <c r="QX2" s="149"/>
      <c r="QY2" s="149"/>
      <c r="QZ2" s="151"/>
      <c r="RA2" s="151"/>
      <c r="RB2" s="151"/>
      <c r="RC2" s="149"/>
      <c r="RD2" s="149"/>
      <c r="RE2" s="149"/>
      <c r="RF2" s="151"/>
      <c r="RG2" s="151"/>
      <c r="RH2" s="151"/>
      <c r="RI2" s="149"/>
      <c r="RJ2" s="149"/>
      <c r="RK2" s="149"/>
      <c r="RL2" s="149"/>
      <c r="RM2" s="149"/>
      <c r="RN2" s="151"/>
      <c r="RO2" s="151"/>
      <c r="RP2" s="151"/>
      <c r="RQ2" s="178"/>
      <c r="RR2" s="151" t="str">
        <f ca="1">IF(CELL("contenu",INDIRECT(ADDRESS(RR1,1,1,1,CELL("contenu",$B$2))))="","----",CELL("contenu",INDIRECT(ADDRESS(RR1,1,1,1,CELL("contenu",$B$2)))))</f>
        <v>VERNA Anaelle</v>
      </c>
      <c r="RS2" s="149"/>
      <c r="RT2" s="149"/>
      <c r="RU2" s="151"/>
      <c r="RV2" s="151"/>
      <c r="RW2" s="151"/>
      <c r="RX2" s="149"/>
      <c r="RY2" s="149"/>
      <c r="RZ2" s="149"/>
      <c r="SA2" s="151"/>
      <c r="SB2" s="151"/>
      <c r="SC2" s="151"/>
      <c r="SD2" s="149"/>
      <c r="SE2" s="149"/>
      <c r="SF2" s="149"/>
      <c r="SG2" s="149"/>
      <c r="SH2" s="149"/>
      <c r="SI2" s="151"/>
      <c r="SJ2" s="151"/>
      <c r="SK2" s="151"/>
      <c r="SL2" s="178"/>
      <c r="SM2" s="65" t="str">
        <f ca="1">IF(CELL("contenu",INDIRECT(ADDRESS(SM1,1,1,1,CELL("contenu",$B$2))))="","----",CELL("contenu",INDIRECT(ADDRESS(SM1,1,1,1,CELL("contenu",$B$2)))))</f>
        <v>----</v>
      </c>
      <c r="SN2" s="65"/>
      <c r="SO2" s="65"/>
      <c r="SP2" s="65"/>
      <c r="SQ2" s="65"/>
      <c r="SR2" s="65"/>
      <c r="SS2" s="65"/>
      <c r="ST2" s="65"/>
      <c r="SU2" s="65"/>
      <c r="SV2" s="65"/>
      <c r="SW2" s="65"/>
      <c r="SX2" s="65"/>
      <c r="SY2" s="65"/>
      <c r="SZ2" s="65"/>
      <c r="TA2" s="65"/>
      <c r="TB2" s="65"/>
      <c r="TC2" s="66"/>
      <c r="TD2" s="65" t="str">
        <f ca="1">IF(CELL("contenu",INDIRECT(ADDRESS(TD1,1,1,1,CELL("contenu",$B$2))))="","----",CELL("contenu",INDIRECT(ADDRESS(TD1,1,1,1,CELL("contenu",$B$2)))))</f>
        <v>----</v>
      </c>
      <c r="TE2" s="65"/>
      <c r="TF2" s="65"/>
      <c r="TG2" s="65"/>
      <c r="TH2" s="65"/>
      <c r="TI2" s="65"/>
      <c r="TJ2" s="65"/>
      <c r="TK2" s="65"/>
      <c r="TL2" s="65"/>
      <c r="TM2" s="65"/>
      <c r="TN2" s="65"/>
      <c r="TO2" s="65"/>
      <c r="TP2" s="65"/>
      <c r="TQ2" s="65"/>
      <c r="TR2" s="65"/>
      <c r="TS2" s="65"/>
      <c r="TT2" s="66"/>
      <c r="TU2" s="65" t="str">
        <f ca="1">IF(CELL("contenu",INDIRECT(ADDRESS(TU1,1,1,1,CELL("contenu",$B$2))))="","----",CELL("contenu",INDIRECT(ADDRESS(TU1,1,1,1,CELL("contenu",$B$2)))))</f>
        <v>----</v>
      </c>
      <c r="TV2" s="65"/>
      <c r="TW2" s="65"/>
      <c r="TX2" s="65"/>
      <c r="TY2" s="65"/>
      <c r="TZ2" s="65"/>
      <c r="UA2" s="65"/>
      <c r="UB2" s="65"/>
      <c r="UC2" s="65"/>
      <c r="UD2" s="65"/>
      <c r="UE2" s="65"/>
      <c r="UF2" s="65"/>
      <c r="UG2" s="65"/>
      <c r="UH2" s="65"/>
      <c r="UI2" s="65"/>
      <c r="UJ2" s="65"/>
      <c r="UK2" s="66"/>
      <c r="UL2" s="65" t="str">
        <f ca="1">IF(CELL("contenu",INDIRECT(ADDRESS(UL1,1,1,1,CELL("contenu",$B$2))))="","----",CELL("contenu",INDIRECT(ADDRESS(UL1,1,1,1,CELL("contenu",$B$2)))))</f>
        <v>----</v>
      </c>
      <c r="UM2" s="65"/>
      <c r="UN2" s="65"/>
      <c r="UO2" s="65"/>
      <c r="UP2" s="65"/>
      <c r="UQ2" s="65"/>
      <c r="UR2" s="65"/>
      <c r="US2" s="65"/>
      <c r="UT2" s="65"/>
      <c r="UU2" s="65"/>
      <c r="UV2" s="65"/>
      <c r="UW2" s="65"/>
      <c r="UX2" s="65"/>
      <c r="UY2" s="65"/>
      <c r="UZ2" s="65"/>
      <c r="VA2" s="65"/>
      <c r="VB2" s="66"/>
      <c r="VC2" s="65" t="str">
        <f ca="1">IF(CELL("contenu",INDIRECT(ADDRESS(VC1,1,1,1,CELL("contenu",$B$2))))="","----",CELL("contenu",INDIRECT(ADDRESS(VC1,1,1,1,CELL("contenu",$B$2)))))</f>
        <v>----</v>
      </c>
      <c r="VD2" s="65"/>
      <c r="VE2" s="65"/>
      <c r="VF2" s="65"/>
      <c r="VG2" s="65"/>
      <c r="VH2" s="65"/>
      <c r="VI2" s="65"/>
      <c r="VJ2" s="65"/>
      <c r="VK2" s="65"/>
      <c r="VL2" s="65"/>
      <c r="VM2" s="65"/>
      <c r="VN2" s="65"/>
      <c r="VO2" s="65"/>
      <c r="VP2" s="65"/>
      <c r="VQ2" s="65"/>
      <c r="VR2" s="65"/>
      <c r="VS2" s="66"/>
      <c r="VT2" s="65" t="str">
        <f ca="1">IF(CELL("contenu",INDIRECT(ADDRESS(VT1,1,1,1,CELL("contenu",$B$2))))="","----",CELL("contenu",INDIRECT(ADDRESS(VT1,1,1,1,CELL("contenu",$B$2)))))</f>
        <v>----</v>
      </c>
      <c r="VU2" s="65"/>
      <c r="VV2" s="65"/>
      <c r="VW2" s="65"/>
      <c r="VX2" s="65"/>
      <c r="VY2" s="65"/>
      <c r="VZ2" s="65"/>
      <c r="WA2" s="65"/>
      <c r="WB2" s="65"/>
      <c r="WC2" s="65"/>
      <c r="WD2" s="65"/>
      <c r="WE2" s="65"/>
      <c r="WF2" s="65"/>
      <c r="WG2" s="65"/>
      <c r="WH2" s="65"/>
      <c r="WI2" s="65"/>
      <c r="WJ2" s="66"/>
    </row>
    <row r="3" spans="1:608" ht="60" customHeight="1" thickBot="1" x14ac:dyDescent="0.6">
      <c r="A3" s="142"/>
      <c r="B3" s="143" t="s">
        <v>34</v>
      </c>
      <c r="C3" s="67" t="s">
        <v>197</v>
      </c>
      <c r="D3" s="68" t="s">
        <v>199</v>
      </c>
      <c r="E3" s="69"/>
      <c r="F3" s="157" t="s">
        <v>7</v>
      </c>
      <c r="G3" s="158"/>
      <c r="H3" s="67" t="s">
        <v>202</v>
      </c>
      <c r="I3" s="72"/>
      <c r="J3" s="69"/>
      <c r="K3" s="69"/>
      <c r="L3" s="173" t="s">
        <v>8</v>
      </c>
      <c r="M3" s="174"/>
      <c r="N3" s="67" t="s">
        <v>203</v>
      </c>
      <c r="O3" s="72" t="s">
        <v>204</v>
      </c>
      <c r="P3" s="69" t="s">
        <v>205</v>
      </c>
      <c r="Q3" s="69" t="s">
        <v>206</v>
      </c>
      <c r="R3" s="69" t="s">
        <v>207</v>
      </c>
      <c r="S3" s="69"/>
      <c r="T3" s="179" t="s">
        <v>9</v>
      </c>
      <c r="U3" s="180"/>
      <c r="V3" s="181" t="s">
        <v>10</v>
      </c>
      <c r="W3" s="182"/>
      <c r="X3" s="79" t="str">
        <f>IF(C3="","",C3)</f>
        <v>Frise atome</v>
      </c>
      <c r="Y3" s="80" t="str">
        <f>IF(D3="","",D3)</f>
        <v>Evaluation CH1 CH2</v>
      </c>
      <c r="Z3" s="81" t="str">
        <f>IF(E3="","",E3)</f>
        <v/>
      </c>
      <c r="AA3" s="157" t="s">
        <v>7</v>
      </c>
      <c r="AB3" s="158"/>
      <c r="AC3" s="82" t="str">
        <f>IF(H3="","",H3)</f>
        <v>Fiche O1/1</v>
      </c>
      <c r="AD3" s="80" t="str">
        <f>IF(I3="","",I3)</f>
        <v/>
      </c>
      <c r="AE3" s="200" t="str">
        <f>IF(J3="","",J3)</f>
        <v/>
      </c>
      <c r="AF3" s="81" t="str">
        <f>IF(K3="","",K3)</f>
        <v/>
      </c>
      <c r="AG3" s="173" t="s">
        <v>8</v>
      </c>
      <c r="AH3" s="174"/>
      <c r="AI3" s="82" t="str">
        <f t="shared" ref="AI3:AN3" si="0">IF(N3="","",N3)</f>
        <v>Fiche O2/3</v>
      </c>
      <c r="AJ3" s="80" t="str">
        <f t="shared" si="0"/>
        <v>EC</v>
      </c>
      <c r="AK3" s="200" t="str">
        <f t="shared" si="0"/>
        <v>Fiche CH3/3</v>
      </c>
      <c r="AL3" s="200" t="str">
        <f t="shared" si="0"/>
        <v>Fiche CH3/4</v>
      </c>
      <c r="AM3" s="200" t="str">
        <f t="shared" si="0"/>
        <v>EPI</v>
      </c>
      <c r="AN3" s="81" t="str">
        <f t="shared" si="0"/>
        <v/>
      </c>
      <c r="AO3" s="179" t="s">
        <v>9</v>
      </c>
      <c r="AP3" s="180"/>
      <c r="AQ3" s="181" t="s">
        <v>10</v>
      </c>
      <c r="AR3" s="182"/>
      <c r="AS3" s="79" t="str">
        <f>IF(X3="","",X3)</f>
        <v>Frise atome</v>
      </c>
      <c r="AT3" s="80" t="str">
        <f>IF(Y3="","",Y3)</f>
        <v>Evaluation CH1 CH2</v>
      </c>
      <c r="AU3" s="81" t="str">
        <f>IF(Z3="","",Z3)</f>
        <v/>
      </c>
      <c r="AV3" s="157" t="s">
        <v>7</v>
      </c>
      <c r="AW3" s="158"/>
      <c r="AX3" s="82" t="str">
        <f>IF(AC3="","",AC3)</f>
        <v>Fiche O1/1</v>
      </c>
      <c r="AY3" s="80" t="str">
        <f>IF(AD3="","",AD3)</f>
        <v/>
      </c>
      <c r="AZ3" s="200" t="str">
        <f>IF(AE3="","",AE3)</f>
        <v/>
      </c>
      <c r="BA3" s="81" t="str">
        <f>IF(AF3="","",AF3)</f>
        <v/>
      </c>
      <c r="BB3" s="173" t="s">
        <v>8</v>
      </c>
      <c r="BC3" s="174"/>
      <c r="BD3" s="82" t="str">
        <f t="shared" ref="BD3:BI3" si="1">IF(AI3="","",AI3)</f>
        <v>Fiche O2/3</v>
      </c>
      <c r="BE3" s="80" t="str">
        <f t="shared" si="1"/>
        <v>EC</v>
      </c>
      <c r="BF3" s="200" t="str">
        <f t="shared" si="1"/>
        <v>Fiche CH3/3</v>
      </c>
      <c r="BG3" s="200" t="str">
        <f t="shared" si="1"/>
        <v>Fiche CH3/4</v>
      </c>
      <c r="BH3" s="200" t="str">
        <f t="shared" si="1"/>
        <v>EPI</v>
      </c>
      <c r="BI3" s="81" t="str">
        <f t="shared" si="1"/>
        <v/>
      </c>
      <c r="BJ3" s="179" t="s">
        <v>9</v>
      </c>
      <c r="BK3" s="180"/>
      <c r="BL3" s="181" t="s">
        <v>10</v>
      </c>
      <c r="BM3" s="182"/>
      <c r="BN3" s="79" t="str">
        <f>IF(AS3="","",AS3)</f>
        <v>Frise atome</v>
      </c>
      <c r="BO3" s="80" t="str">
        <f>IF(AT3="","",AT3)</f>
        <v>Evaluation CH1 CH2</v>
      </c>
      <c r="BP3" s="81" t="str">
        <f>IF(AU3="","",AU3)</f>
        <v/>
      </c>
      <c r="BQ3" s="157" t="s">
        <v>7</v>
      </c>
      <c r="BR3" s="158"/>
      <c r="BS3" s="82" t="str">
        <f>IF(AX3="","",AX3)</f>
        <v>Fiche O1/1</v>
      </c>
      <c r="BT3" s="80" t="str">
        <f>IF(AY3="","",AY3)</f>
        <v/>
      </c>
      <c r="BU3" s="200" t="str">
        <f>IF(AZ3="","",AZ3)</f>
        <v/>
      </c>
      <c r="BV3" s="81" t="str">
        <f>IF(BA3="","",BA3)</f>
        <v/>
      </c>
      <c r="BW3" s="173" t="s">
        <v>8</v>
      </c>
      <c r="BX3" s="174"/>
      <c r="BY3" s="82" t="str">
        <f t="shared" ref="BY3:CD3" si="2">IF(BD3="","",BD3)</f>
        <v>Fiche O2/3</v>
      </c>
      <c r="BZ3" s="80" t="str">
        <f t="shared" si="2"/>
        <v>EC</v>
      </c>
      <c r="CA3" s="200" t="str">
        <f t="shared" si="2"/>
        <v>Fiche CH3/3</v>
      </c>
      <c r="CB3" s="200" t="str">
        <f t="shared" si="2"/>
        <v>Fiche CH3/4</v>
      </c>
      <c r="CC3" s="200" t="str">
        <f t="shared" si="2"/>
        <v>EPI</v>
      </c>
      <c r="CD3" s="81" t="str">
        <f t="shared" si="2"/>
        <v/>
      </c>
      <c r="CE3" s="179" t="s">
        <v>9</v>
      </c>
      <c r="CF3" s="180"/>
      <c r="CG3" s="181" t="s">
        <v>10</v>
      </c>
      <c r="CH3" s="182"/>
      <c r="CI3" s="79" t="str">
        <f>IF(BN3="","",BN3)</f>
        <v>Frise atome</v>
      </c>
      <c r="CJ3" s="80" t="str">
        <f>IF(BO3="","",BO3)</f>
        <v>Evaluation CH1 CH2</v>
      </c>
      <c r="CK3" s="81" t="str">
        <f>IF(BP3="","",BP3)</f>
        <v/>
      </c>
      <c r="CL3" s="157" t="s">
        <v>7</v>
      </c>
      <c r="CM3" s="158"/>
      <c r="CN3" s="82" t="str">
        <f>IF(BS3="","",BS3)</f>
        <v>Fiche O1/1</v>
      </c>
      <c r="CO3" s="80" t="str">
        <f>IF(BT3="","",BT3)</f>
        <v/>
      </c>
      <c r="CP3" s="200" t="str">
        <f>IF(BU3="","",BU3)</f>
        <v/>
      </c>
      <c r="CQ3" s="81" t="str">
        <f>IF(BV3="","",BV3)</f>
        <v/>
      </c>
      <c r="CR3" s="173" t="s">
        <v>8</v>
      </c>
      <c r="CS3" s="174"/>
      <c r="CT3" s="82" t="str">
        <f t="shared" ref="CT3:CY3" si="3">IF(BY3="","",BY3)</f>
        <v>Fiche O2/3</v>
      </c>
      <c r="CU3" s="80" t="str">
        <f t="shared" si="3"/>
        <v>EC</v>
      </c>
      <c r="CV3" s="200" t="str">
        <f t="shared" si="3"/>
        <v>Fiche CH3/3</v>
      </c>
      <c r="CW3" s="200" t="str">
        <f t="shared" si="3"/>
        <v>Fiche CH3/4</v>
      </c>
      <c r="CX3" s="200" t="str">
        <f t="shared" si="3"/>
        <v>EPI</v>
      </c>
      <c r="CY3" s="81" t="str">
        <f t="shared" si="3"/>
        <v/>
      </c>
      <c r="CZ3" s="179" t="s">
        <v>9</v>
      </c>
      <c r="DA3" s="180"/>
      <c r="DB3" s="181" t="s">
        <v>10</v>
      </c>
      <c r="DC3" s="182"/>
      <c r="DD3" s="79" t="str">
        <f>IF(CI3="","",CI3)</f>
        <v>Frise atome</v>
      </c>
      <c r="DE3" s="80" t="str">
        <f>IF(CJ3="","",CJ3)</f>
        <v>Evaluation CH1 CH2</v>
      </c>
      <c r="DF3" s="81" t="str">
        <f>IF(CK3="","",CK3)</f>
        <v/>
      </c>
      <c r="DG3" s="157" t="s">
        <v>7</v>
      </c>
      <c r="DH3" s="158"/>
      <c r="DI3" s="82" t="str">
        <f>IF(CN3="","",CN3)</f>
        <v>Fiche O1/1</v>
      </c>
      <c r="DJ3" s="80" t="str">
        <f>IF(CO3="","",CO3)</f>
        <v/>
      </c>
      <c r="DK3" s="200" t="str">
        <f>IF(CP3="","",CP3)</f>
        <v/>
      </c>
      <c r="DL3" s="81" t="str">
        <f>IF(CQ3="","",CQ3)</f>
        <v/>
      </c>
      <c r="DM3" s="173" t="s">
        <v>8</v>
      </c>
      <c r="DN3" s="174"/>
      <c r="DO3" s="82" t="str">
        <f t="shared" ref="DO3:DT3" si="4">IF(CT3="","",CT3)</f>
        <v>Fiche O2/3</v>
      </c>
      <c r="DP3" s="80" t="str">
        <f t="shared" si="4"/>
        <v>EC</v>
      </c>
      <c r="DQ3" s="200" t="str">
        <f t="shared" si="4"/>
        <v>Fiche CH3/3</v>
      </c>
      <c r="DR3" s="200" t="str">
        <f t="shared" si="4"/>
        <v>Fiche CH3/4</v>
      </c>
      <c r="DS3" s="200" t="str">
        <f t="shared" si="4"/>
        <v>EPI</v>
      </c>
      <c r="DT3" s="81" t="str">
        <f t="shared" si="4"/>
        <v/>
      </c>
      <c r="DU3" s="179" t="s">
        <v>9</v>
      </c>
      <c r="DV3" s="180"/>
      <c r="DW3" s="181" t="s">
        <v>10</v>
      </c>
      <c r="DX3" s="182"/>
      <c r="DY3" s="79" t="str">
        <f>IF(DD3="","",DD3)</f>
        <v>Frise atome</v>
      </c>
      <c r="DZ3" s="80" t="str">
        <f>IF(DE3="","",DE3)</f>
        <v>Evaluation CH1 CH2</v>
      </c>
      <c r="EA3" s="81" t="str">
        <f>IF(DF3="","",DF3)</f>
        <v/>
      </c>
      <c r="EB3" s="157" t="s">
        <v>7</v>
      </c>
      <c r="EC3" s="158"/>
      <c r="ED3" s="82" t="str">
        <f>IF(DI3="","",DI3)</f>
        <v>Fiche O1/1</v>
      </c>
      <c r="EE3" s="80" t="str">
        <f>IF(DJ3="","",DJ3)</f>
        <v/>
      </c>
      <c r="EF3" s="200" t="str">
        <f>IF(DK3="","",DK3)</f>
        <v/>
      </c>
      <c r="EG3" s="81" t="str">
        <f>IF(DL3="","",DL3)</f>
        <v/>
      </c>
      <c r="EH3" s="173" t="s">
        <v>8</v>
      </c>
      <c r="EI3" s="174"/>
      <c r="EJ3" s="82" t="str">
        <f t="shared" ref="EJ3:EO3" si="5">IF(DO3="","",DO3)</f>
        <v>Fiche O2/3</v>
      </c>
      <c r="EK3" s="80" t="str">
        <f t="shared" si="5"/>
        <v>EC</v>
      </c>
      <c r="EL3" s="200" t="str">
        <f t="shared" si="5"/>
        <v>Fiche CH3/3</v>
      </c>
      <c r="EM3" s="200" t="str">
        <f t="shared" si="5"/>
        <v>Fiche CH3/4</v>
      </c>
      <c r="EN3" s="200" t="str">
        <f t="shared" si="5"/>
        <v>EPI</v>
      </c>
      <c r="EO3" s="81" t="str">
        <f t="shared" si="5"/>
        <v/>
      </c>
      <c r="EP3" s="179" t="s">
        <v>9</v>
      </c>
      <c r="EQ3" s="180"/>
      <c r="ER3" s="181" t="s">
        <v>10</v>
      </c>
      <c r="ES3" s="182"/>
      <c r="ET3" s="79" t="str">
        <f>IF(DY3="","",DY3)</f>
        <v>Frise atome</v>
      </c>
      <c r="EU3" s="80" t="str">
        <f>IF(DZ3="","",DZ3)</f>
        <v>Evaluation CH1 CH2</v>
      </c>
      <c r="EV3" s="81" t="str">
        <f>IF(EA3="","",EA3)</f>
        <v/>
      </c>
      <c r="EW3" s="157" t="s">
        <v>7</v>
      </c>
      <c r="EX3" s="158"/>
      <c r="EY3" s="82" t="str">
        <f>IF(ED3="","",ED3)</f>
        <v>Fiche O1/1</v>
      </c>
      <c r="EZ3" s="80" t="str">
        <f>IF(EE3="","",EE3)</f>
        <v/>
      </c>
      <c r="FA3" s="200" t="str">
        <f>IF(EF3="","",EF3)</f>
        <v/>
      </c>
      <c r="FB3" s="81" t="str">
        <f>IF(EG3="","",EG3)</f>
        <v/>
      </c>
      <c r="FC3" s="173" t="s">
        <v>8</v>
      </c>
      <c r="FD3" s="174"/>
      <c r="FE3" s="82" t="str">
        <f t="shared" ref="FE3:FJ3" si="6">IF(EJ3="","",EJ3)</f>
        <v>Fiche O2/3</v>
      </c>
      <c r="FF3" s="80" t="str">
        <f t="shared" si="6"/>
        <v>EC</v>
      </c>
      <c r="FG3" s="200" t="str">
        <f t="shared" si="6"/>
        <v>Fiche CH3/3</v>
      </c>
      <c r="FH3" s="200" t="str">
        <f t="shared" si="6"/>
        <v>Fiche CH3/4</v>
      </c>
      <c r="FI3" s="200" t="str">
        <f t="shared" si="6"/>
        <v>EPI</v>
      </c>
      <c r="FJ3" s="81" t="str">
        <f t="shared" si="6"/>
        <v/>
      </c>
      <c r="FK3" s="179" t="s">
        <v>9</v>
      </c>
      <c r="FL3" s="180"/>
      <c r="FM3" s="181" t="s">
        <v>10</v>
      </c>
      <c r="FN3" s="182"/>
      <c r="FO3" s="79" t="str">
        <f>IF(ET3="","",ET3)</f>
        <v>Frise atome</v>
      </c>
      <c r="FP3" s="80" t="str">
        <f>IF(EU3="","",EU3)</f>
        <v>Evaluation CH1 CH2</v>
      </c>
      <c r="FQ3" s="81" t="str">
        <f>IF(EV3="","",EV3)</f>
        <v/>
      </c>
      <c r="FR3" s="157" t="s">
        <v>7</v>
      </c>
      <c r="FS3" s="158"/>
      <c r="FT3" s="82" t="str">
        <f>IF(EY3="","",EY3)</f>
        <v>Fiche O1/1</v>
      </c>
      <c r="FU3" s="80" t="str">
        <f>IF(EZ3="","",EZ3)</f>
        <v/>
      </c>
      <c r="FV3" s="200" t="str">
        <f>IF(FA3="","",FA3)</f>
        <v/>
      </c>
      <c r="FW3" s="81" t="str">
        <f>IF(FB3="","",FB3)</f>
        <v/>
      </c>
      <c r="FX3" s="173" t="s">
        <v>8</v>
      </c>
      <c r="FY3" s="174"/>
      <c r="FZ3" s="82" t="str">
        <f t="shared" ref="FZ3:GE3" si="7">IF(FE3="","",FE3)</f>
        <v>Fiche O2/3</v>
      </c>
      <c r="GA3" s="80" t="str">
        <f t="shared" si="7"/>
        <v>EC</v>
      </c>
      <c r="GB3" s="200" t="str">
        <f t="shared" si="7"/>
        <v>Fiche CH3/3</v>
      </c>
      <c r="GC3" s="200" t="str">
        <f t="shared" si="7"/>
        <v>Fiche CH3/4</v>
      </c>
      <c r="GD3" s="200" t="str">
        <f t="shared" si="7"/>
        <v>EPI</v>
      </c>
      <c r="GE3" s="81" t="str">
        <f t="shared" si="7"/>
        <v/>
      </c>
      <c r="GF3" s="179" t="s">
        <v>9</v>
      </c>
      <c r="GG3" s="180"/>
      <c r="GH3" s="181" t="s">
        <v>10</v>
      </c>
      <c r="GI3" s="182"/>
      <c r="GJ3" s="79" t="str">
        <f>IF(FO3="","",FO3)</f>
        <v>Frise atome</v>
      </c>
      <c r="GK3" s="80" t="str">
        <f>IF(FP3="","",FP3)</f>
        <v>Evaluation CH1 CH2</v>
      </c>
      <c r="GL3" s="81" t="str">
        <f>IF(FQ3="","",FQ3)</f>
        <v/>
      </c>
      <c r="GM3" s="157" t="s">
        <v>7</v>
      </c>
      <c r="GN3" s="158"/>
      <c r="GO3" s="82" t="str">
        <f>IF(FT3="","",FT3)</f>
        <v>Fiche O1/1</v>
      </c>
      <c r="GP3" s="80" t="str">
        <f>IF(FU3="","",FU3)</f>
        <v/>
      </c>
      <c r="GQ3" s="200" t="str">
        <f>IF(FV3="","",FV3)</f>
        <v/>
      </c>
      <c r="GR3" s="81" t="str">
        <f>IF(FW3="","",FW3)</f>
        <v/>
      </c>
      <c r="GS3" s="173" t="s">
        <v>8</v>
      </c>
      <c r="GT3" s="174"/>
      <c r="GU3" s="82" t="str">
        <f t="shared" ref="GU3:GZ3" si="8">IF(FZ3="","",FZ3)</f>
        <v>Fiche O2/3</v>
      </c>
      <c r="GV3" s="80" t="str">
        <f t="shared" si="8"/>
        <v>EC</v>
      </c>
      <c r="GW3" s="200" t="str">
        <f t="shared" si="8"/>
        <v>Fiche CH3/3</v>
      </c>
      <c r="GX3" s="200" t="str">
        <f t="shared" si="8"/>
        <v>Fiche CH3/4</v>
      </c>
      <c r="GY3" s="200" t="str">
        <f t="shared" si="8"/>
        <v>EPI</v>
      </c>
      <c r="GZ3" s="81" t="str">
        <f t="shared" si="8"/>
        <v/>
      </c>
      <c r="HA3" s="179" t="s">
        <v>9</v>
      </c>
      <c r="HB3" s="180"/>
      <c r="HC3" s="181" t="s">
        <v>10</v>
      </c>
      <c r="HD3" s="182"/>
      <c r="HE3" s="79" t="str">
        <f>IF(GJ3="","",GJ3)</f>
        <v>Frise atome</v>
      </c>
      <c r="HF3" s="80" t="str">
        <f>IF(GK3="","",GK3)</f>
        <v>Evaluation CH1 CH2</v>
      </c>
      <c r="HG3" s="81" t="str">
        <f>IF(GL3="","",GL3)</f>
        <v/>
      </c>
      <c r="HH3" s="157" t="s">
        <v>7</v>
      </c>
      <c r="HI3" s="158"/>
      <c r="HJ3" s="82" t="str">
        <f>IF(GO3="","",GO3)</f>
        <v>Fiche O1/1</v>
      </c>
      <c r="HK3" s="80" t="str">
        <f>IF(GP3="","",GP3)</f>
        <v/>
      </c>
      <c r="HL3" s="200" t="str">
        <f>IF(GQ3="","",GQ3)</f>
        <v/>
      </c>
      <c r="HM3" s="81" t="str">
        <f>IF(GR3="","",GR3)</f>
        <v/>
      </c>
      <c r="HN3" s="173" t="s">
        <v>8</v>
      </c>
      <c r="HO3" s="174"/>
      <c r="HP3" s="82" t="str">
        <f t="shared" ref="HP3:HU3" si="9">IF(GU3="","",GU3)</f>
        <v>Fiche O2/3</v>
      </c>
      <c r="HQ3" s="80" t="str">
        <f t="shared" si="9"/>
        <v>EC</v>
      </c>
      <c r="HR3" s="200" t="str">
        <f t="shared" si="9"/>
        <v>Fiche CH3/3</v>
      </c>
      <c r="HS3" s="200" t="str">
        <f t="shared" si="9"/>
        <v>Fiche CH3/4</v>
      </c>
      <c r="HT3" s="200" t="str">
        <f t="shared" si="9"/>
        <v>EPI</v>
      </c>
      <c r="HU3" s="81" t="str">
        <f t="shared" si="9"/>
        <v/>
      </c>
      <c r="HV3" s="179" t="s">
        <v>9</v>
      </c>
      <c r="HW3" s="180"/>
      <c r="HX3" s="181" t="s">
        <v>10</v>
      </c>
      <c r="HY3" s="182"/>
      <c r="HZ3" s="79" t="str">
        <f>IF(HE3="","",HE3)</f>
        <v>Frise atome</v>
      </c>
      <c r="IA3" s="80" t="str">
        <f>IF(HF3="","",HF3)</f>
        <v>Evaluation CH1 CH2</v>
      </c>
      <c r="IB3" s="81" t="str">
        <f>IF(HG3="","",HG3)</f>
        <v/>
      </c>
      <c r="IC3" s="157" t="s">
        <v>7</v>
      </c>
      <c r="ID3" s="158"/>
      <c r="IE3" s="82" t="str">
        <f>IF(HJ3="","",HJ3)</f>
        <v>Fiche O1/1</v>
      </c>
      <c r="IF3" s="80" t="str">
        <f>IF(HK3="","",HK3)</f>
        <v/>
      </c>
      <c r="IG3" s="200" t="str">
        <f>IF(HL3="","",HL3)</f>
        <v/>
      </c>
      <c r="IH3" s="81" t="str">
        <f>IF(HM3="","",HM3)</f>
        <v/>
      </c>
      <c r="II3" s="173" t="s">
        <v>8</v>
      </c>
      <c r="IJ3" s="174"/>
      <c r="IK3" s="82" t="str">
        <f t="shared" ref="IK3:IP3" si="10">IF(HP3="","",HP3)</f>
        <v>Fiche O2/3</v>
      </c>
      <c r="IL3" s="80" t="str">
        <f t="shared" si="10"/>
        <v>EC</v>
      </c>
      <c r="IM3" s="200" t="str">
        <f t="shared" si="10"/>
        <v>Fiche CH3/3</v>
      </c>
      <c r="IN3" s="200" t="str">
        <f t="shared" si="10"/>
        <v>Fiche CH3/4</v>
      </c>
      <c r="IO3" s="200" t="str">
        <f t="shared" si="10"/>
        <v>EPI</v>
      </c>
      <c r="IP3" s="81" t="str">
        <f t="shared" si="10"/>
        <v/>
      </c>
      <c r="IQ3" s="179" t="s">
        <v>9</v>
      </c>
      <c r="IR3" s="180"/>
      <c r="IS3" s="181" t="s">
        <v>10</v>
      </c>
      <c r="IT3" s="182"/>
      <c r="IU3" s="79" t="str">
        <f>IF(HZ3="","",HZ3)</f>
        <v>Frise atome</v>
      </c>
      <c r="IV3" s="80" t="str">
        <f>IF(IA3="","",IA3)</f>
        <v>Evaluation CH1 CH2</v>
      </c>
      <c r="IW3" s="81" t="str">
        <f>IF(IB3="","",IB3)</f>
        <v/>
      </c>
      <c r="IX3" s="157" t="s">
        <v>7</v>
      </c>
      <c r="IY3" s="158"/>
      <c r="IZ3" s="82" t="str">
        <f>IF(IE3="","",IE3)</f>
        <v>Fiche O1/1</v>
      </c>
      <c r="JA3" s="80" t="str">
        <f>IF(IF3="","",IF3)</f>
        <v/>
      </c>
      <c r="JB3" s="200" t="str">
        <f>IF(IG3="","",IG3)</f>
        <v/>
      </c>
      <c r="JC3" s="81" t="str">
        <f>IF(IH3="","",IH3)</f>
        <v/>
      </c>
      <c r="JD3" s="173" t="s">
        <v>8</v>
      </c>
      <c r="JE3" s="174"/>
      <c r="JF3" s="82" t="str">
        <f t="shared" ref="JF3:JK3" si="11">IF(IK3="","",IK3)</f>
        <v>Fiche O2/3</v>
      </c>
      <c r="JG3" s="80" t="str">
        <f t="shared" si="11"/>
        <v>EC</v>
      </c>
      <c r="JH3" s="200" t="str">
        <f t="shared" si="11"/>
        <v>Fiche CH3/3</v>
      </c>
      <c r="JI3" s="200" t="str">
        <f t="shared" si="11"/>
        <v>Fiche CH3/4</v>
      </c>
      <c r="JJ3" s="200" t="str">
        <f t="shared" si="11"/>
        <v>EPI</v>
      </c>
      <c r="JK3" s="81" t="str">
        <f t="shared" si="11"/>
        <v/>
      </c>
      <c r="JL3" s="179" t="s">
        <v>9</v>
      </c>
      <c r="JM3" s="180"/>
      <c r="JN3" s="181" t="s">
        <v>10</v>
      </c>
      <c r="JO3" s="182"/>
      <c r="JP3" s="79" t="str">
        <f>IF(IU3="","",IU3)</f>
        <v>Frise atome</v>
      </c>
      <c r="JQ3" s="80" t="str">
        <f>IF(IV3="","",IV3)</f>
        <v>Evaluation CH1 CH2</v>
      </c>
      <c r="JR3" s="81" t="str">
        <f>IF(IW3="","",IW3)</f>
        <v/>
      </c>
      <c r="JS3" s="157" t="s">
        <v>7</v>
      </c>
      <c r="JT3" s="158"/>
      <c r="JU3" s="82" t="str">
        <f>IF(IZ3="","",IZ3)</f>
        <v>Fiche O1/1</v>
      </c>
      <c r="JV3" s="80" t="str">
        <f>IF(JA3="","",JA3)</f>
        <v/>
      </c>
      <c r="JW3" s="200" t="str">
        <f>IF(JB3="","",JB3)</f>
        <v/>
      </c>
      <c r="JX3" s="81" t="str">
        <f>IF(JC3="","",JC3)</f>
        <v/>
      </c>
      <c r="JY3" s="173" t="s">
        <v>8</v>
      </c>
      <c r="JZ3" s="174"/>
      <c r="KA3" s="82" t="str">
        <f t="shared" ref="KA3:KF3" si="12">IF(JF3="","",JF3)</f>
        <v>Fiche O2/3</v>
      </c>
      <c r="KB3" s="80" t="str">
        <f t="shared" si="12"/>
        <v>EC</v>
      </c>
      <c r="KC3" s="200" t="str">
        <f t="shared" si="12"/>
        <v>Fiche CH3/3</v>
      </c>
      <c r="KD3" s="200" t="str">
        <f t="shared" si="12"/>
        <v>Fiche CH3/4</v>
      </c>
      <c r="KE3" s="200" t="str">
        <f t="shared" si="12"/>
        <v>EPI</v>
      </c>
      <c r="KF3" s="81" t="str">
        <f t="shared" si="12"/>
        <v/>
      </c>
      <c r="KG3" s="179" t="s">
        <v>9</v>
      </c>
      <c r="KH3" s="180"/>
      <c r="KI3" s="181" t="s">
        <v>10</v>
      </c>
      <c r="KJ3" s="182"/>
      <c r="KK3" s="79" t="str">
        <f>IF(JP3="","",JP3)</f>
        <v>Frise atome</v>
      </c>
      <c r="KL3" s="80" t="str">
        <f>IF(JQ3="","",JQ3)</f>
        <v>Evaluation CH1 CH2</v>
      </c>
      <c r="KM3" s="81" t="str">
        <f>IF(JR3="","",JR3)</f>
        <v/>
      </c>
      <c r="KN3" s="157" t="s">
        <v>7</v>
      </c>
      <c r="KO3" s="158"/>
      <c r="KP3" s="82" t="str">
        <f>IF(JU3="","",JU3)</f>
        <v>Fiche O1/1</v>
      </c>
      <c r="KQ3" s="80" t="str">
        <f>IF(JV3="","",JV3)</f>
        <v/>
      </c>
      <c r="KR3" s="200" t="str">
        <f>IF(JW3="","",JW3)</f>
        <v/>
      </c>
      <c r="KS3" s="81" t="str">
        <f>IF(JX3="","",JX3)</f>
        <v/>
      </c>
      <c r="KT3" s="173" t="s">
        <v>8</v>
      </c>
      <c r="KU3" s="174"/>
      <c r="KV3" s="82" t="str">
        <f t="shared" ref="KV3:LA3" si="13">IF(KA3="","",KA3)</f>
        <v>Fiche O2/3</v>
      </c>
      <c r="KW3" s="80" t="str">
        <f t="shared" si="13"/>
        <v>EC</v>
      </c>
      <c r="KX3" s="200" t="str">
        <f t="shared" si="13"/>
        <v>Fiche CH3/3</v>
      </c>
      <c r="KY3" s="200" t="str">
        <f t="shared" si="13"/>
        <v>Fiche CH3/4</v>
      </c>
      <c r="KZ3" s="200" t="str">
        <f t="shared" si="13"/>
        <v>EPI</v>
      </c>
      <c r="LA3" s="81" t="str">
        <f t="shared" si="13"/>
        <v/>
      </c>
      <c r="LB3" s="179" t="s">
        <v>9</v>
      </c>
      <c r="LC3" s="180"/>
      <c r="LD3" s="181" t="s">
        <v>10</v>
      </c>
      <c r="LE3" s="182"/>
      <c r="LF3" s="79" t="str">
        <f>IF(KK3="","",KK3)</f>
        <v>Frise atome</v>
      </c>
      <c r="LG3" s="80" t="str">
        <f>IF(KL3="","",KL3)</f>
        <v>Evaluation CH1 CH2</v>
      </c>
      <c r="LH3" s="81" t="str">
        <f>IF(KM3="","",KM3)</f>
        <v/>
      </c>
      <c r="LI3" s="157" t="s">
        <v>7</v>
      </c>
      <c r="LJ3" s="158"/>
      <c r="LK3" s="82" t="str">
        <f>IF(KP3="","",KP3)</f>
        <v>Fiche O1/1</v>
      </c>
      <c r="LL3" s="80" t="str">
        <f>IF(KQ3="","",KQ3)</f>
        <v/>
      </c>
      <c r="LM3" s="200" t="str">
        <f>IF(KR3="","",KR3)</f>
        <v/>
      </c>
      <c r="LN3" s="81" t="str">
        <f>IF(KS3="","",KS3)</f>
        <v/>
      </c>
      <c r="LO3" s="173" t="s">
        <v>8</v>
      </c>
      <c r="LP3" s="174"/>
      <c r="LQ3" s="82" t="str">
        <f t="shared" ref="LQ3:LV3" si="14">IF(KV3="","",KV3)</f>
        <v>Fiche O2/3</v>
      </c>
      <c r="LR3" s="80" t="str">
        <f t="shared" si="14"/>
        <v>EC</v>
      </c>
      <c r="LS3" s="200" t="str">
        <f t="shared" si="14"/>
        <v>Fiche CH3/3</v>
      </c>
      <c r="LT3" s="200" t="str">
        <f t="shared" si="14"/>
        <v>Fiche CH3/4</v>
      </c>
      <c r="LU3" s="200" t="str">
        <f t="shared" si="14"/>
        <v>EPI</v>
      </c>
      <c r="LV3" s="81" t="str">
        <f t="shared" si="14"/>
        <v/>
      </c>
      <c r="LW3" s="179" t="s">
        <v>9</v>
      </c>
      <c r="LX3" s="180"/>
      <c r="LY3" s="181" t="s">
        <v>10</v>
      </c>
      <c r="LZ3" s="182"/>
      <c r="MA3" s="79" t="str">
        <f>IF(LF3="","",LF3)</f>
        <v>Frise atome</v>
      </c>
      <c r="MB3" s="80" t="str">
        <f>IF(LG3="","",LG3)</f>
        <v>Evaluation CH1 CH2</v>
      </c>
      <c r="MC3" s="81" t="str">
        <f>IF(LH3="","",LH3)</f>
        <v/>
      </c>
      <c r="MD3" s="157" t="s">
        <v>7</v>
      </c>
      <c r="ME3" s="158"/>
      <c r="MF3" s="82" t="str">
        <f>IF(LK3="","",LK3)</f>
        <v>Fiche O1/1</v>
      </c>
      <c r="MG3" s="80" t="str">
        <f>IF(LL3="","",LL3)</f>
        <v/>
      </c>
      <c r="MH3" s="200" t="str">
        <f>IF(LM3="","",LM3)</f>
        <v/>
      </c>
      <c r="MI3" s="81" t="str">
        <f>IF(LN3="","",LN3)</f>
        <v/>
      </c>
      <c r="MJ3" s="173" t="s">
        <v>8</v>
      </c>
      <c r="MK3" s="174"/>
      <c r="ML3" s="82" t="str">
        <f t="shared" ref="ML3:MQ3" si="15">IF(LQ3="","",LQ3)</f>
        <v>Fiche O2/3</v>
      </c>
      <c r="MM3" s="80" t="str">
        <f t="shared" si="15"/>
        <v>EC</v>
      </c>
      <c r="MN3" s="200" t="str">
        <f t="shared" si="15"/>
        <v>Fiche CH3/3</v>
      </c>
      <c r="MO3" s="200" t="str">
        <f t="shared" si="15"/>
        <v>Fiche CH3/4</v>
      </c>
      <c r="MP3" s="200" t="str">
        <f t="shared" si="15"/>
        <v>EPI</v>
      </c>
      <c r="MQ3" s="81" t="str">
        <f t="shared" si="15"/>
        <v/>
      </c>
      <c r="MR3" s="179" t="s">
        <v>9</v>
      </c>
      <c r="MS3" s="180"/>
      <c r="MT3" s="181" t="s">
        <v>10</v>
      </c>
      <c r="MU3" s="182"/>
      <c r="MV3" s="79" t="str">
        <f>IF(MA3="","",MA3)</f>
        <v>Frise atome</v>
      </c>
      <c r="MW3" s="80" t="str">
        <f>IF(MB3="","",MB3)</f>
        <v>Evaluation CH1 CH2</v>
      </c>
      <c r="MX3" s="81" t="str">
        <f>IF(MC3="","",MC3)</f>
        <v/>
      </c>
      <c r="MY3" s="157" t="s">
        <v>7</v>
      </c>
      <c r="MZ3" s="158"/>
      <c r="NA3" s="82" t="str">
        <f>IF(MF3="","",MF3)</f>
        <v>Fiche O1/1</v>
      </c>
      <c r="NB3" s="80" t="str">
        <f>IF(MG3="","",MG3)</f>
        <v/>
      </c>
      <c r="NC3" s="200" t="str">
        <f>IF(MH3="","",MH3)</f>
        <v/>
      </c>
      <c r="ND3" s="81" t="str">
        <f>IF(MI3="","",MI3)</f>
        <v/>
      </c>
      <c r="NE3" s="173" t="s">
        <v>8</v>
      </c>
      <c r="NF3" s="174"/>
      <c r="NG3" s="82" t="str">
        <f t="shared" ref="NG3:NL3" si="16">IF(ML3="","",ML3)</f>
        <v>Fiche O2/3</v>
      </c>
      <c r="NH3" s="80" t="str">
        <f t="shared" si="16"/>
        <v>EC</v>
      </c>
      <c r="NI3" s="200" t="str">
        <f t="shared" si="16"/>
        <v>Fiche CH3/3</v>
      </c>
      <c r="NJ3" s="200" t="str">
        <f t="shared" si="16"/>
        <v>Fiche CH3/4</v>
      </c>
      <c r="NK3" s="200" t="str">
        <f t="shared" si="16"/>
        <v>EPI</v>
      </c>
      <c r="NL3" s="81" t="str">
        <f t="shared" si="16"/>
        <v/>
      </c>
      <c r="NM3" s="179" t="s">
        <v>9</v>
      </c>
      <c r="NN3" s="180"/>
      <c r="NO3" s="181" t="s">
        <v>10</v>
      </c>
      <c r="NP3" s="182"/>
      <c r="NQ3" s="79" t="str">
        <f>IF(MV3="","",MV3)</f>
        <v>Frise atome</v>
      </c>
      <c r="NR3" s="80" t="str">
        <f>IF(MW3="","",MW3)</f>
        <v>Evaluation CH1 CH2</v>
      </c>
      <c r="NS3" s="81" t="str">
        <f>IF(MX3="","",MX3)</f>
        <v/>
      </c>
      <c r="NT3" s="157" t="s">
        <v>7</v>
      </c>
      <c r="NU3" s="158"/>
      <c r="NV3" s="82" t="str">
        <f>IF(NA3="","",NA3)</f>
        <v>Fiche O1/1</v>
      </c>
      <c r="NW3" s="80" t="str">
        <f>IF(NB3="","",NB3)</f>
        <v/>
      </c>
      <c r="NX3" s="200" t="str">
        <f>IF(NC3="","",NC3)</f>
        <v/>
      </c>
      <c r="NY3" s="81" t="str">
        <f>IF(ND3="","",ND3)</f>
        <v/>
      </c>
      <c r="NZ3" s="173" t="s">
        <v>8</v>
      </c>
      <c r="OA3" s="174"/>
      <c r="OB3" s="82" t="str">
        <f t="shared" ref="OB3:OG3" si="17">IF(NG3="","",NG3)</f>
        <v>Fiche O2/3</v>
      </c>
      <c r="OC3" s="80" t="str">
        <f t="shared" si="17"/>
        <v>EC</v>
      </c>
      <c r="OD3" s="200" t="str">
        <f t="shared" si="17"/>
        <v>Fiche CH3/3</v>
      </c>
      <c r="OE3" s="200" t="str">
        <f t="shared" si="17"/>
        <v>Fiche CH3/4</v>
      </c>
      <c r="OF3" s="200" t="str">
        <f t="shared" si="17"/>
        <v>EPI</v>
      </c>
      <c r="OG3" s="81" t="str">
        <f t="shared" si="17"/>
        <v/>
      </c>
      <c r="OH3" s="179" t="s">
        <v>9</v>
      </c>
      <c r="OI3" s="180"/>
      <c r="OJ3" s="181" t="s">
        <v>10</v>
      </c>
      <c r="OK3" s="182"/>
      <c r="OL3" s="79" t="str">
        <f>IF(NQ3="","",NQ3)</f>
        <v>Frise atome</v>
      </c>
      <c r="OM3" s="80" t="str">
        <f>IF(NR3="","",NR3)</f>
        <v>Evaluation CH1 CH2</v>
      </c>
      <c r="ON3" s="81" t="str">
        <f>IF(NS3="","",NS3)</f>
        <v/>
      </c>
      <c r="OO3" s="157" t="s">
        <v>7</v>
      </c>
      <c r="OP3" s="158"/>
      <c r="OQ3" s="82" t="str">
        <f>IF(NV3="","",NV3)</f>
        <v>Fiche O1/1</v>
      </c>
      <c r="OR3" s="80" t="str">
        <f>IF(NW3="","",NW3)</f>
        <v/>
      </c>
      <c r="OS3" s="200" t="str">
        <f>IF(NX3="","",NX3)</f>
        <v/>
      </c>
      <c r="OT3" s="81" t="str">
        <f>IF(NY3="","",NY3)</f>
        <v/>
      </c>
      <c r="OU3" s="173" t="s">
        <v>8</v>
      </c>
      <c r="OV3" s="174"/>
      <c r="OW3" s="82" t="str">
        <f t="shared" ref="OW3:PB3" si="18">IF(OB3="","",OB3)</f>
        <v>Fiche O2/3</v>
      </c>
      <c r="OX3" s="80" t="str">
        <f t="shared" si="18"/>
        <v>EC</v>
      </c>
      <c r="OY3" s="200" t="str">
        <f t="shared" si="18"/>
        <v>Fiche CH3/3</v>
      </c>
      <c r="OZ3" s="200" t="str">
        <f t="shared" si="18"/>
        <v>Fiche CH3/4</v>
      </c>
      <c r="PA3" s="200" t="str">
        <f t="shared" si="18"/>
        <v>EPI</v>
      </c>
      <c r="PB3" s="81" t="str">
        <f t="shared" si="18"/>
        <v/>
      </c>
      <c r="PC3" s="179" t="s">
        <v>9</v>
      </c>
      <c r="PD3" s="180"/>
      <c r="PE3" s="181" t="s">
        <v>10</v>
      </c>
      <c r="PF3" s="182"/>
      <c r="PG3" s="79" t="str">
        <f>IF(OL3="","",OL3)</f>
        <v>Frise atome</v>
      </c>
      <c r="PH3" s="80" t="str">
        <f>IF(OM3="","",OM3)</f>
        <v>Evaluation CH1 CH2</v>
      </c>
      <c r="PI3" s="81" t="str">
        <f>IF(ON3="","",ON3)</f>
        <v/>
      </c>
      <c r="PJ3" s="157" t="s">
        <v>7</v>
      </c>
      <c r="PK3" s="158"/>
      <c r="PL3" s="82" t="str">
        <f>IF(OQ3="","",OQ3)</f>
        <v>Fiche O1/1</v>
      </c>
      <c r="PM3" s="80" t="str">
        <f>IF(OR3="","",OR3)</f>
        <v/>
      </c>
      <c r="PN3" s="200" t="str">
        <f>IF(OS3="","",OS3)</f>
        <v/>
      </c>
      <c r="PO3" s="81" t="str">
        <f>IF(OT3="","",OT3)</f>
        <v/>
      </c>
      <c r="PP3" s="173" t="s">
        <v>8</v>
      </c>
      <c r="PQ3" s="174"/>
      <c r="PR3" s="82" t="str">
        <f t="shared" ref="PR3:PW3" si="19">IF(OW3="","",OW3)</f>
        <v>Fiche O2/3</v>
      </c>
      <c r="PS3" s="80" t="str">
        <f t="shared" si="19"/>
        <v>EC</v>
      </c>
      <c r="PT3" s="200" t="str">
        <f t="shared" si="19"/>
        <v>Fiche CH3/3</v>
      </c>
      <c r="PU3" s="200" t="str">
        <f t="shared" si="19"/>
        <v>Fiche CH3/4</v>
      </c>
      <c r="PV3" s="200" t="str">
        <f t="shared" si="19"/>
        <v>EPI</v>
      </c>
      <c r="PW3" s="81" t="str">
        <f t="shared" si="19"/>
        <v/>
      </c>
      <c r="PX3" s="179" t="s">
        <v>9</v>
      </c>
      <c r="PY3" s="180"/>
      <c r="PZ3" s="181" t="s">
        <v>10</v>
      </c>
      <c r="QA3" s="182"/>
      <c r="QB3" s="79" t="str">
        <f>IF(PG3="","",PG3)</f>
        <v>Frise atome</v>
      </c>
      <c r="QC3" s="80" t="str">
        <f>IF(PH3="","",PH3)</f>
        <v>Evaluation CH1 CH2</v>
      </c>
      <c r="QD3" s="81" t="str">
        <f>IF(PI3="","",PI3)</f>
        <v/>
      </c>
      <c r="QE3" s="157" t="s">
        <v>7</v>
      </c>
      <c r="QF3" s="158"/>
      <c r="QG3" s="82" t="str">
        <f>IF(PL3="","",PL3)</f>
        <v>Fiche O1/1</v>
      </c>
      <c r="QH3" s="80" t="str">
        <f>IF(PM3="","",PM3)</f>
        <v/>
      </c>
      <c r="QI3" s="200" t="str">
        <f>IF(PN3="","",PN3)</f>
        <v/>
      </c>
      <c r="QJ3" s="81" t="str">
        <f>IF(PO3="","",PO3)</f>
        <v/>
      </c>
      <c r="QK3" s="173" t="s">
        <v>8</v>
      </c>
      <c r="QL3" s="174"/>
      <c r="QM3" s="82" t="str">
        <f t="shared" ref="QM3:QR3" si="20">IF(PR3="","",PR3)</f>
        <v>Fiche O2/3</v>
      </c>
      <c r="QN3" s="80" t="str">
        <f t="shared" si="20"/>
        <v>EC</v>
      </c>
      <c r="QO3" s="200" t="str">
        <f t="shared" si="20"/>
        <v>Fiche CH3/3</v>
      </c>
      <c r="QP3" s="200" t="str">
        <f t="shared" si="20"/>
        <v>Fiche CH3/4</v>
      </c>
      <c r="QQ3" s="200" t="str">
        <f t="shared" si="20"/>
        <v>EPI</v>
      </c>
      <c r="QR3" s="81" t="str">
        <f t="shared" si="20"/>
        <v/>
      </c>
      <c r="QS3" s="179" t="s">
        <v>9</v>
      </c>
      <c r="QT3" s="180"/>
      <c r="QU3" s="181" t="s">
        <v>10</v>
      </c>
      <c r="QV3" s="182"/>
      <c r="QW3" s="79" t="str">
        <f>IF(QB3="","",QB3)</f>
        <v>Frise atome</v>
      </c>
      <c r="QX3" s="80" t="str">
        <f>IF(QC3="","",QC3)</f>
        <v>Evaluation CH1 CH2</v>
      </c>
      <c r="QY3" s="81" t="str">
        <f>IF(QD3="","",QD3)</f>
        <v/>
      </c>
      <c r="QZ3" s="157" t="s">
        <v>7</v>
      </c>
      <c r="RA3" s="158"/>
      <c r="RB3" s="82" t="str">
        <f>IF(QG3="","",QG3)</f>
        <v>Fiche O1/1</v>
      </c>
      <c r="RC3" s="80" t="str">
        <f>IF(QH3="","",QH3)</f>
        <v/>
      </c>
      <c r="RD3" s="200" t="str">
        <f>IF(QI3="","",QI3)</f>
        <v/>
      </c>
      <c r="RE3" s="81" t="str">
        <f>IF(QJ3="","",QJ3)</f>
        <v/>
      </c>
      <c r="RF3" s="173" t="s">
        <v>8</v>
      </c>
      <c r="RG3" s="174"/>
      <c r="RH3" s="82" t="str">
        <f t="shared" ref="RH3:RM3" si="21">IF(QM3="","",QM3)</f>
        <v>Fiche O2/3</v>
      </c>
      <c r="RI3" s="80" t="str">
        <f t="shared" si="21"/>
        <v>EC</v>
      </c>
      <c r="RJ3" s="200" t="str">
        <f t="shared" si="21"/>
        <v>Fiche CH3/3</v>
      </c>
      <c r="RK3" s="200" t="str">
        <f t="shared" si="21"/>
        <v>Fiche CH3/4</v>
      </c>
      <c r="RL3" s="200" t="str">
        <f t="shared" si="21"/>
        <v>EPI</v>
      </c>
      <c r="RM3" s="81" t="str">
        <f t="shared" si="21"/>
        <v/>
      </c>
      <c r="RN3" s="179" t="s">
        <v>9</v>
      </c>
      <c r="RO3" s="180"/>
      <c r="RP3" s="181" t="s">
        <v>10</v>
      </c>
      <c r="RQ3" s="182"/>
      <c r="RR3" s="79" t="str">
        <f>IF(QW3="","",QW3)</f>
        <v>Frise atome</v>
      </c>
      <c r="RS3" s="80" t="str">
        <f>IF(QX3="","",QX3)</f>
        <v>Evaluation CH1 CH2</v>
      </c>
      <c r="RT3" s="81" t="str">
        <f>IF(QY3="","",QY3)</f>
        <v/>
      </c>
      <c r="RU3" s="157" t="s">
        <v>7</v>
      </c>
      <c r="RV3" s="158"/>
      <c r="RW3" s="82" t="str">
        <f>IF(RB3="","",RB3)</f>
        <v>Fiche O1/1</v>
      </c>
      <c r="RX3" s="80" t="str">
        <f>IF(RC3="","",RC3)</f>
        <v/>
      </c>
      <c r="RY3" s="200" t="str">
        <f>IF(RD3="","",RD3)</f>
        <v/>
      </c>
      <c r="RZ3" s="81" t="str">
        <f>IF(RE3="","",RE3)</f>
        <v/>
      </c>
      <c r="SA3" s="173" t="s">
        <v>8</v>
      </c>
      <c r="SB3" s="174"/>
      <c r="SC3" s="82" t="str">
        <f t="shared" ref="SC3:SH3" si="22">IF(RH3="","",RH3)</f>
        <v>Fiche O2/3</v>
      </c>
      <c r="SD3" s="80" t="str">
        <f t="shared" si="22"/>
        <v>EC</v>
      </c>
      <c r="SE3" s="200" t="str">
        <f t="shared" si="22"/>
        <v>Fiche CH3/3</v>
      </c>
      <c r="SF3" s="200" t="str">
        <f t="shared" si="22"/>
        <v>Fiche CH3/4</v>
      </c>
      <c r="SG3" s="200" t="str">
        <f t="shared" si="22"/>
        <v>EPI</v>
      </c>
      <c r="SH3" s="81" t="str">
        <f t="shared" si="22"/>
        <v/>
      </c>
      <c r="SI3" s="179" t="s">
        <v>9</v>
      </c>
      <c r="SJ3" s="180"/>
      <c r="SK3" s="181" t="s">
        <v>10</v>
      </c>
      <c r="SL3" s="182"/>
      <c r="SM3" s="79" t="str">
        <f>IF(RR3="","",RR3)</f>
        <v>Frise atome</v>
      </c>
      <c r="SN3" s="80" t="str">
        <f>IF(RS3="","",RS3)</f>
        <v>Evaluation CH1 CH2</v>
      </c>
      <c r="SO3" s="81" t="str">
        <f>IF(RT3="","",RT3)</f>
        <v/>
      </c>
      <c r="SP3" s="70" t="s">
        <v>7</v>
      </c>
      <c r="SQ3" s="71"/>
      <c r="SR3" s="82" t="str">
        <f>IF(RW3="","",RW3)</f>
        <v>Fiche O1/1</v>
      </c>
      <c r="SS3" s="80" t="str">
        <f>IF(RX3="","",RX3)</f>
        <v/>
      </c>
      <c r="ST3" s="81" t="str">
        <f>IF(RZ3="","",RZ3)</f>
        <v/>
      </c>
      <c r="SU3" s="73" t="s">
        <v>8</v>
      </c>
      <c r="SV3" s="74"/>
      <c r="SW3" s="82" t="str">
        <f>IF(SC3="","",SC3)</f>
        <v>Fiche O2/3</v>
      </c>
      <c r="SX3" s="80" t="str">
        <f>IF(SD3="","",SD3)</f>
        <v>EC</v>
      </c>
      <c r="SY3" s="81" t="str">
        <f>IF(SH3="","",SH3)</f>
        <v/>
      </c>
      <c r="SZ3" s="75" t="s">
        <v>9</v>
      </c>
      <c r="TA3" s="76"/>
      <c r="TB3" s="77" t="s">
        <v>10</v>
      </c>
      <c r="TC3" s="78"/>
      <c r="TD3" s="79" t="str">
        <f>IF(SM3="","",SM3)</f>
        <v>Frise atome</v>
      </c>
      <c r="TE3" s="80" t="str">
        <f>IF(SN3="","",SN3)</f>
        <v>Evaluation CH1 CH2</v>
      </c>
      <c r="TF3" s="81" t="str">
        <f>IF(SO3="","",SO3)</f>
        <v/>
      </c>
      <c r="TG3" s="70" t="s">
        <v>7</v>
      </c>
      <c r="TH3" s="71"/>
      <c r="TI3" s="82" t="str">
        <f>IF(SR3="","",SR3)</f>
        <v>Fiche O1/1</v>
      </c>
      <c r="TJ3" s="80" t="str">
        <f>IF(SS3="","",SS3)</f>
        <v/>
      </c>
      <c r="TK3" s="81" t="str">
        <f>IF(ST3="","",ST3)</f>
        <v/>
      </c>
      <c r="TL3" s="73" t="s">
        <v>8</v>
      </c>
      <c r="TM3" s="74"/>
      <c r="TN3" s="82" t="str">
        <f>IF(SW3="","",SW3)</f>
        <v>Fiche O2/3</v>
      </c>
      <c r="TO3" s="80" t="str">
        <f>IF(SX3="","",SX3)</f>
        <v>EC</v>
      </c>
      <c r="TP3" s="81" t="str">
        <f>IF(SY3="","",SY3)</f>
        <v/>
      </c>
      <c r="TQ3" s="75" t="s">
        <v>9</v>
      </c>
      <c r="TR3" s="76"/>
      <c r="TS3" s="77" t="s">
        <v>10</v>
      </c>
      <c r="TT3" s="78"/>
      <c r="TU3" s="79" t="str">
        <f>IF(TD3="","",TD3)</f>
        <v>Frise atome</v>
      </c>
      <c r="TV3" s="80" t="str">
        <f>IF(TE3="","",TE3)</f>
        <v>Evaluation CH1 CH2</v>
      </c>
      <c r="TW3" s="81" t="str">
        <f>IF(TF3="","",TF3)</f>
        <v/>
      </c>
      <c r="TX3" s="70" t="s">
        <v>7</v>
      </c>
      <c r="TY3" s="71"/>
      <c r="TZ3" s="82" t="str">
        <f>IF(TI3="","",TI3)</f>
        <v>Fiche O1/1</v>
      </c>
      <c r="UA3" s="80" t="str">
        <f>IF(TJ3="","",TJ3)</f>
        <v/>
      </c>
      <c r="UB3" s="81" t="str">
        <f>IF(TK3="","",TK3)</f>
        <v/>
      </c>
      <c r="UC3" s="73" t="s">
        <v>8</v>
      </c>
      <c r="UD3" s="74"/>
      <c r="UE3" s="82" t="str">
        <f>IF(TN3="","",TN3)</f>
        <v>Fiche O2/3</v>
      </c>
      <c r="UF3" s="80" t="str">
        <f>IF(TO3="","",TO3)</f>
        <v>EC</v>
      </c>
      <c r="UG3" s="81" t="str">
        <f>IF(TP3="","",TP3)</f>
        <v/>
      </c>
      <c r="UH3" s="75" t="s">
        <v>9</v>
      </c>
      <c r="UI3" s="76"/>
      <c r="UJ3" s="77" t="s">
        <v>10</v>
      </c>
      <c r="UK3" s="78"/>
      <c r="UL3" s="79" t="str">
        <f>IF(TU3="","",TU3)</f>
        <v>Frise atome</v>
      </c>
      <c r="UM3" s="80" t="str">
        <f>IF(TV3="","",TV3)</f>
        <v>Evaluation CH1 CH2</v>
      </c>
      <c r="UN3" s="81" t="str">
        <f>IF(TW3="","",TW3)</f>
        <v/>
      </c>
      <c r="UO3" s="70" t="s">
        <v>7</v>
      </c>
      <c r="UP3" s="71"/>
      <c r="UQ3" s="82" t="str">
        <f>IF(TZ3="","",TZ3)</f>
        <v>Fiche O1/1</v>
      </c>
      <c r="UR3" s="80" t="str">
        <f>IF(UA3="","",UA3)</f>
        <v/>
      </c>
      <c r="US3" s="81" t="str">
        <f>IF(UB3="","",UB3)</f>
        <v/>
      </c>
      <c r="UT3" s="73" t="s">
        <v>8</v>
      </c>
      <c r="UU3" s="74"/>
      <c r="UV3" s="82" t="str">
        <f>IF(UE3="","",UE3)</f>
        <v>Fiche O2/3</v>
      </c>
      <c r="UW3" s="80" t="str">
        <f>IF(UF3="","",UF3)</f>
        <v>EC</v>
      </c>
      <c r="UX3" s="81" t="str">
        <f>IF(UG3="","",UG3)</f>
        <v/>
      </c>
      <c r="UY3" s="75" t="s">
        <v>9</v>
      </c>
      <c r="UZ3" s="76"/>
      <c r="VA3" s="77" t="s">
        <v>10</v>
      </c>
      <c r="VB3" s="78"/>
      <c r="VC3" s="79" t="str">
        <f>IF(UL3="","",UL3)</f>
        <v>Frise atome</v>
      </c>
      <c r="VD3" s="80" t="str">
        <f>IF(UM3="","",UM3)</f>
        <v>Evaluation CH1 CH2</v>
      </c>
      <c r="VE3" s="81" t="str">
        <f>IF(UN3="","",UN3)</f>
        <v/>
      </c>
      <c r="VF3" s="70" t="s">
        <v>7</v>
      </c>
      <c r="VG3" s="71"/>
      <c r="VH3" s="82" t="str">
        <f>IF(UQ3="","",UQ3)</f>
        <v>Fiche O1/1</v>
      </c>
      <c r="VI3" s="80" t="str">
        <f>IF(UR3="","",UR3)</f>
        <v/>
      </c>
      <c r="VJ3" s="81" t="str">
        <f>IF(US3="","",US3)</f>
        <v/>
      </c>
      <c r="VK3" s="73" t="s">
        <v>8</v>
      </c>
      <c r="VL3" s="74"/>
      <c r="VM3" s="82" t="str">
        <f>IF(UV3="","",UV3)</f>
        <v>Fiche O2/3</v>
      </c>
      <c r="VN3" s="80" t="str">
        <f>IF(UW3="","",UW3)</f>
        <v>EC</v>
      </c>
      <c r="VO3" s="81" t="str">
        <f>IF(UX3="","",UX3)</f>
        <v/>
      </c>
      <c r="VP3" s="75" t="s">
        <v>9</v>
      </c>
      <c r="VQ3" s="76"/>
      <c r="VR3" s="77" t="s">
        <v>10</v>
      </c>
      <c r="VS3" s="78"/>
      <c r="VT3" s="79" t="str">
        <f>IF(VC3="","",VC3)</f>
        <v>Frise atome</v>
      </c>
      <c r="VU3" s="80" t="str">
        <f>IF(VD3="","",VD3)</f>
        <v>Evaluation CH1 CH2</v>
      </c>
      <c r="VV3" s="81" t="str">
        <f>IF(VE3="","",VE3)</f>
        <v/>
      </c>
      <c r="VW3" s="70" t="s">
        <v>7</v>
      </c>
      <c r="VX3" s="71"/>
      <c r="VY3" s="82" t="str">
        <f>IF(VH3="","",VH3)</f>
        <v>Fiche O1/1</v>
      </c>
      <c r="VZ3" s="80" t="str">
        <f>IF(VI3="","",VI3)</f>
        <v/>
      </c>
      <c r="WA3" s="81" t="str">
        <f>IF(VJ3="","",VJ3)</f>
        <v/>
      </c>
      <c r="WB3" s="73" t="s">
        <v>8</v>
      </c>
      <c r="WC3" s="74"/>
      <c r="WD3" s="82" t="str">
        <f>IF(VM3="","",VM3)</f>
        <v>Fiche O2/3</v>
      </c>
      <c r="WE3" s="80" t="str">
        <f>IF(VN3="","",VN3)</f>
        <v>EC</v>
      </c>
      <c r="WF3" s="81" t="str">
        <f>IF(VO3="","",VO3)</f>
        <v/>
      </c>
      <c r="WG3" s="75" t="s">
        <v>9</v>
      </c>
      <c r="WH3" s="76"/>
      <c r="WI3" s="77" t="s">
        <v>10</v>
      </c>
      <c r="WJ3" s="78"/>
    </row>
    <row r="4" spans="1:608" s="95" customFormat="1" ht="30" customHeight="1" thickBot="1" x14ac:dyDescent="0.6">
      <c r="A4" s="144" t="s">
        <v>11</v>
      </c>
      <c r="B4" s="83">
        <v>2</v>
      </c>
      <c r="C4" s="152"/>
      <c r="D4" s="65"/>
      <c r="E4" s="85"/>
      <c r="F4" s="159">
        <f>IF(COUNT(F5:F9)=0,"",SUM(F5:F9)/COUNT(F5:F9))</f>
        <v>2.5</v>
      </c>
      <c r="G4" s="160" t="str">
        <f t="shared" ref="G4:G21" si="23">IF(F4="","",IF(F4&gt;3.7,"A",IF(F4&gt;2.8,"B",IF(F4&gt;1.5,"C",IF(F4&gt;0,"D",IF(F4=0,""))))))</f>
        <v>C</v>
      </c>
      <c r="H4" s="152"/>
      <c r="I4" s="65"/>
      <c r="J4" s="65"/>
      <c r="K4" s="85"/>
      <c r="L4" s="159">
        <f>IF(COUNT(L5:L9)=0,"",SUM(L5:L9)/COUNT(L5:L9))</f>
        <v>3</v>
      </c>
      <c r="M4" s="175" t="str">
        <f t="shared" ref="M4:M21" si="24">IF(L4="","",IF(L4&gt;3.7,"A",IF(L4&gt;2.8,"B",IF(L4&gt;1.5,"C",IF(L4&gt;0,"D",IF(L4=0,""))))))</f>
        <v>B</v>
      </c>
      <c r="N4" s="153"/>
      <c r="O4" s="90"/>
      <c r="P4" s="90"/>
      <c r="Q4" s="90"/>
      <c r="R4" s="90"/>
      <c r="S4" s="91"/>
      <c r="T4" s="159">
        <f>IF(COUNT(T5:T9)=0,"",SUM(T5:T9)/COUNT(T5:T9))</f>
        <v>2.5833333333333335</v>
      </c>
      <c r="U4" s="183" t="str">
        <f t="shared" ref="U4:U21" si="25">IF(T4="","",IF(T4&gt;3.7,"A",IF(T4&gt;2.8,"B",IF(T4&gt;1.5,"C",IF(T4&gt;0,"D",IF(T4=0,""))))))</f>
        <v>C</v>
      </c>
      <c r="V4" s="184">
        <f>IF(COUNT(V5:V9)=0,"",SUM(V5:V9)/COUNT(V5:V9))</f>
        <v>2.541666666666667</v>
      </c>
      <c r="W4" s="185" t="str">
        <f t="shared" ref="W4:W21" si="26">IF(V4="","",IF(V4&gt;3.7,"A",IF(V4&gt;2.8,"B",IF(V4&gt;1.5,"C",IF(V4&gt;0,"D",IF(V4=0,""))))))</f>
        <v>C</v>
      </c>
      <c r="X4" s="152"/>
      <c r="Y4" s="65"/>
      <c r="Z4" s="85"/>
      <c r="AA4" s="159">
        <f>IF(COUNT(AA5:AA9)=0,"",SUM(AA5:AA9)/COUNT(AA5:AA9))</f>
        <v>2</v>
      </c>
      <c r="AB4" s="160" t="str">
        <f t="shared" ref="AB4:AB21" si="27">IF(AA4="","",IF(AA4&gt;3.7,"A",IF(AA4&gt;2.8,"B",IF(AA4&gt;1.5,"C",IF(AA4&gt;0,"D",IF(AA4=0,""))))))</f>
        <v>C</v>
      </c>
      <c r="AC4" s="152"/>
      <c r="AD4" s="65"/>
      <c r="AE4" s="65"/>
      <c r="AF4" s="85"/>
      <c r="AG4" s="159">
        <f>IF(COUNT(AG5:AG9)=0,"",SUM(AG5:AG9)/COUNT(AG5:AG9))</f>
        <v>2</v>
      </c>
      <c r="AH4" s="175" t="str">
        <f t="shared" ref="AH4:AH21" si="28">IF(AG4="","",IF(AG4&gt;3.7,"A",IF(AG4&gt;2.8,"B",IF(AG4&gt;1.5,"C",IF(AG4&gt;0,"D",IF(AG4=0,""))))))</f>
        <v>C</v>
      </c>
      <c r="AI4" s="153"/>
      <c r="AJ4" s="90"/>
      <c r="AK4" s="90"/>
      <c r="AL4" s="90"/>
      <c r="AM4" s="90"/>
      <c r="AN4" s="91"/>
      <c r="AO4" s="159">
        <f>IF(COUNT(AO5:AO9)=0,"",SUM(AO5:AO9)/COUNT(AO5:AO9))</f>
        <v>2.083333333333333</v>
      </c>
      <c r="AP4" s="183" t="str">
        <f t="shared" ref="AP4:AP21" si="29">IF(AO4="","",IF(AO4&gt;3.7,"A",IF(AO4&gt;2.8,"B",IF(AO4&gt;1.5,"C",IF(AO4&gt;0,"D",IF(AO4=0,""))))))</f>
        <v>C</v>
      </c>
      <c r="AQ4" s="184">
        <f>IF(COUNT(AQ5:AQ9)=0,"",SUM(AQ5:AQ9)/COUNT(AQ5:AQ9))</f>
        <v>2.0416666666666665</v>
      </c>
      <c r="AR4" s="185" t="str">
        <f t="shared" ref="AR4:AR21" si="30">IF(AQ4="","",IF(AQ4&gt;3.7,"A",IF(AQ4&gt;2.8,"B",IF(AQ4&gt;1.5,"C",IF(AQ4&gt;0,"D",IF(AQ4=0,""))))))</f>
        <v>C</v>
      </c>
      <c r="AS4" s="152"/>
      <c r="AT4" s="65"/>
      <c r="AU4" s="85"/>
      <c r="AV4" s="159">
        <f>IF(COUNT(AV5:AV9)=0,"",SUM(AV5:AV9)/COUNT(AV5:AV9))</f>
        <v>1.75</v>
      </c>
      <c r="AW4" s="160" t="str">
        <f t="shared" ref="AW4:AW21" si="31">IF(AV4="","",IF(AV4&gt;3.7,"A",IF(AV4&gt;2.8,"B",IF(AV4&gt;1.5,"C",IF(AV4&gt;0,"D",IF(AV4=0,""))))))</f>
        <v>C</v>
      </c>
      <c r="AX4" s="152"/>
      <c r="AY4" s="65"/>
      <c r="AZ4" s="65"/>
      <c r="BA4" s="85"/>
      <c r="BB4" s="159">
        <f>IF(COUNT(BB5:BB9)=0,"",SUM(BB5:BB9)/COUNT(BB5:BB9))</f>
        <v>3</v>
      </c>
      <c r="BC4" s="175" t="str">
        <f t="shared" ref="BC4:BC21" si="32">IF(BB4="","",IF(BB4&gt;3.7,"A",IF(BB4&gt;2.8,"B",IF(BB4&gt;1.5,"C",IF(BB4&gt;0,"D",IF(BB4=0,""))))))</f>
        <v>B</v>
      </c>
      <c r="BD4" s="153"/>
      <c r="BE4" s="90"/>
      <c r="BF4" s="90"/>
      <c r="BG4" s="90"/>
      <c r="BH4" s="90"/>
      <c r="BI4" s="91"/>
      <c r="BJ4" s="159">
        <f>IF(COUNT(BJ5:BJ9)=0,"",SUM(BJ5:BJ9)/COUNT(BJ5:BJ9))</f>
        <v>2.5</v>
      </c>
      <c r="BK4" s="183" t="str">
        <f t="shared" ref="BK4:BK21" si="33">IF(BJ4="","",IF(BJ4&gt;3.7,"A",IF(BJ4&gt;2.8,"B",IF(BJ4&gt;1.5,"C",IF(BJ4&gt;0,"D",IF(BJ4=0,""))))))</f>
        <v>C</v>
      </c>
      <c r="BL4" s="184">
        <f>IF(COUNT(BL5:BL9)=0,"",SUM(BL5:BL9)/COUNT(BL5:BL9))</f>
        <v>2.3125</v>
      </c>
      <c r="BM4" s="185" t="str">
        <f t="shared" ref="BM4:BM21" si="34">IF(BL4="","",IF(BL4&gt;3.7,"A",IF(BL4&gt;2.8,"B",IF(BL4&gt;1.5,"C",IF(BL4&gt;0,"D",IF(BL4=0,""))))))</f>
        <v>C</v>
      </c>
      <c r="BN4" s="152"/>
      <c r="BO4" s="65"/>
      <c r="BP4" s="85"/>
      <c r="BQ4" s="159">
        <f>IF(COUNT(BQ5:BQ9)=0,"",SUM(BQ5:BQ9)/COUNT(BQ5:BQ9))</f>
        <v>1.25</v>
      </c>
      <c r="BR4" s="160" t="str">
        <f t="shared" ref="BR4:BR21" si="35">IF(BQ4="","",IF(BQ4&gt;3.7,"A",IF(BQ4&gt;2.8,"B",IF(BQ4&gt;1.5,"C",IF(BQ4&gt;0,"D",IF(BQ4=0,""))))))</f>
        <v>D</v>
      </c>
      <c r="BS4" s="152"/>
      <c r="BT4" s="65"/>
      <c r="BU4" s="65"/>
      <c r="BV4" s="85"/>
      <c r="BW4" s="159">
        <f>IF(COUNT(BW5:BW9)=0,"",SUM(BW5:BW9)/COUNT(BW5:BW9))</f>
        <v>2</v>
      </c>
      <c r="BX4" s="175" t="str">
        <f t="shared" ref="BX4:BX21" si="36">IF(BW4="","",IF(BW4&gt;3.7,"A",IF(BW4&gt;2.8,"B",IF(BW4&gt;1.5,"C",IF(BW4&gt;0,"D",IF(BW4=0,""))))))</f>
        <v>C</v>
      </c>
      <c r="BY4" s="153"/>
      <c r="BZ4" s="90"/>
      <c r="CA4" s="90"/>
      <c r="CB4" s="90"/>
      <c r="CC4" s="90"/>
      <c r="CD4" s="91"/>
      <c r="CE4" s="159">
        <f>IF(COUNT(CE5:CE9)=0,"",SUM(CE5:CE9)/COUNT(CE5:CE9))</f>
        <v>2.2083333333333335</v>
      </c>
      <c r="CF4" s="183" t="str">
        <f t="shared" ref="CF4:CF21" si="37">IF(CE4="","",IF(CE4&gt;3.7,"A",IF(CE4&gt;2.8,"B",IF(CE4&gt;1.5,"C",IF(CE4&gt;0,"D",IF(CE4=0,""))))))</f>
        <v>C</v>
      </c>
      <c r="CG4" s="184">
        <f>IF(COUNT(CG5:CG9)=0,"",SUM(CG5:CG9)/COUNT(CG5:CG9))</f>
        <v>1.8541666666666667</v>
      </c>
      <c r="CH4" s="185" t="str">
        <f t="shared" ref="CH4:CH21" si="38">IF(CG4="","",IF(CG4&gt;3.7,"A",IF(CG4&gt;2.8,"B",IF(CG4&gt;1.5,"C",IF(CG4&gt;0,"D",IF(CG4=0,""))))))</f>
        <v>C</v>
      </c>
      <c r="CI4" s="152"/>
      <c r="CJ4" s="65"/>
      <c r="CK4" s="85"/>
      <c r="CL4" s="159">
        <f>IF(COUNT(CL5:CL9)=0,"",SUM(CL5:CL9)/COUNT(CL5:CL9))</f>
        <v>1.5</v>
      </c>
      <c r="CM4" s="160" t="str">
        <f t="shared" ref="CM4:CM21" si="39">IF(CL4="","",IF(CL4&gt;3.7,"A",IF(CL4&gt;2.8,"B",IF(CL4&gt;1.5,"C",IF(CL4&gt;0,"D",IF(CL4=0,""))))))</f>
        <v>D</v>
      </c>
      <c r="CN4" s="152"/>
      <c r="CO4" s="65"/>
      <c r="CP4" s="65"/>
      <c r="CQ4" s="85"/>
      <c r="CR4" s="159">
        <f>IF(COUNT(CR5:CR9)=0,"",SUM(CR5:CR9)/COUNT(CR5:CR9))</f>
        <v>2</v>
      </c>
      <c r="CS4" s="175" t="str">
        <f t="shared" ref="CS4:CS21" si="40">IF(CR4="","",IF(CR4&gt;3.7,"A",IF(CR4&gt;2.8,"B",IF(CR4&gt;1.5,"C",IF(CR4&gt;0,"D",IF(CR4=0,""))))))</f>
        <v>C</v>
      </c>
      <c r="CT4" s="153"/>
      <c r="CU4" s="90"/>
      <c r="CV4" s="90"/>
      <c r="CW4" s="90"/>
      <c r="CX4" s="90"/>
      <c r="CY4" s="91"/>
      <c r="CZ4" s="159">
        <f>IF(COUNT(CZ5:CZ9)=0,"",SUM(CZ5:CZ9)/COUNT(CZ5:CZ9))</f>
        <v>2.2916666666666665</v>
      </c>
      <c r="DA4" s="183" t="str">
        <f t="shared" ref="DA4:DA21" si="41">IF(CZ4="","",IF(CZ4&gt;3.7,"A",IF(CZ4&gt;2.8,"B",IF(CZ4&gt;1.5,"C",IF(CZ4&gt;0,"D",IF(CZ4=0,""))))))</f>
        <v>C</v>
      </c>
      <c r="DB4" s="184">
        <f>IF(COUNT(DB5:DB9)=0,"",SUM(DB5:DB9)/COUNT(DB5:DB9))</f>
        <v>2.083333333333333</v>
      </c>
      <c r="DC4" s="185" t="str">
        <f t="shared" ref="DC4:DC21" si="42">IF(DB4="","",IF(DB4&gt;3.7,"A",IF(DB4&gt;2.8,"B",IF(DB4&gt;1.5,"C",IF(DB4&gt;0,"D",IF(DB4=0,""))))))</f>
        <v>C</v>
      </c>
      <c r="DD4" s="152"/>
      <c r="DE4" s="65"/>
      <c r="DF4" s="85"/>
      <c r="DG4" s="159">
        <f>IF(COUNT(DG5:DG9)=0,"",SUM(DG5:DG9)/COUNT(DG5:DG9))</f>
        <v>1</v>
      </c>
      <c r="DH4" s="160" t="str">
        <f t="shared" ref="DH4:DH21" si="43">IF(DG4="","",IF(DG4&gt;3.7,"A",IF(DG4&gt;2.8,"B",IF(DG4&gt;1.5,"C",IF(DG4&gt;0,"D",IF(DG4=0,""))))))</f>
        <v>D</v>
      </c>
      <c r="DI4" s="152"/>
      <c r="DJ4" s="65"/>
      <c r="DK4" s="65"/>
      <c r="DL4" s="85"/>
      <c r="DM4" s="159">
        <f>IF(COUNT(DM5:DM9)=0,"",SUM(DM5:DM9)/COUNT(DM5:DM9))</f>
        <v>4</v>
      </c>
      <c r="DN4" s="175" t="str">
        <f t="shared" ref="DN4:DN21" si="44">IF(DM4="","",IF(DM4&gt;3.7,"A",IF(DM4&gt;2.8,"B",IF(DM4&gt;1.5,"C",IF(DM4&gt;0,"D",IF(DM4=0,""))))))</f>
        <v>A</v>
      </c>
      <c r="DO4" s="153"/>
      <c r="DP4" s="90"/>
      <c r="DQ4" s="90"/>
      <c r="DR4" s="90"/>
      <c r="DS4" s="90"/>
      <c r="DT4" s="91"/>
      <c r="DU4" s="159">
        <f>IF(COUNT(DU5:DU9)=0,"",SUM(DU5:DU9)/COUNT(DU5:DU9))</f>
        <v>1.4375</v>
      </c>
      <c r="DV4" s="183" t="str">
        <f t="shared" ref="DV4:DV21" si="45">IF(DU4="","",IF(DU4&gt;3.7,"A",IF(DU4&gt;2.8,"B",IF(DU4&gt;1.5,"C",IF(DU4&gt;0,"D",IF(DU4=0,""))))))</f>
        <v>D</v>
      </c>
      <c r="DW4" s="184">
        <f>IF(COUNT(DW5:DW9)=0,"",SUM(DW5:DW9)/COUNT(DW5:DW9))</f>
        <v>1.59375</v>
      </c>
      <c r="DX4" s="185" t="str">
        <f t="shared" ref="DX4:DX21" si="46">IF(DW4="","",IF(DW4&gt;3.7,"A",IF(DW4&gt;2.8,"B",IF(DW4&gt;1.5,"C",IF(DW4&gt;0,"D",IF(DW4=0,""))))))</f>
        <v>C</v>
      </c>
      <c r="DY4" s="152"/>
      <c r="DZ4" s="65"/>
      <c r="EA4" s="85"/>
      <c r="EB4" s="159">
        <f>IF(COUNT(EB5:EB9)=0,"",SUM(EB5:EB9)/COUNT(EB5:EB9))</f>
        <v>2.5</v>
      </c>
      <c r="EC4" s="160" t="str">
        <f t="shared" ref="EC4:EC21" si="47">IF(EB4="","",IF(EB4&gt;3.7,"A",IF(EB4&gt;2.8,"B",IF(EB4&gt;1.5,"C",IF(EB4&gt;0,"D",IF(EB4=0,""))))))</f>
        <v>C</v>
      </c>
      <c r="ED4" s="152"/>
      <c r="EE4" s="65"/>
      <c r="EF4" s="65"/>
      <c r="EG4" s="85"/>
      <c r="EH4" s="159">
        <f>IF(COUNT(EH5:EH9)=0,"",SUM(EH5:EH9)/COUNT(EH5:EH9))</f>
        <v>1</v>
      </c>
      <c r="EI4" s="175" t="str">
        <f t="shared" ref="EI4:EI21" si="48">IF(EH4="","",IF(EH4&gt;3.7,"A",IF(EH4&gt;2.8,"B",IF(EH4&gt;1.5,"C",IF(EH4&gt;0,"D",IF(EH4=0,""))))))</f>
        <v>D</v>
      </c>
      <c r="EJ4" s="153"/>
      <c r="EK4" s="90"/>
      <c r="EL4" s="90"/>
      <c r="EM4" s="90"/>
      <c r="EN4" s="90"/>
      <c r="EO4" s="91"/>
      <c r="EP4" s="159">
        <f>IF(COUNT(EP5:EP9)=0,"",SUM(EP5:EP9)/COUNT(EP5:EP9))</f>
        <v>1.9375</v>
      </c>
      <c r="EQ4" s="183" t="str">
        <f t="shared" ref="EQ4:EQ21" si="49">IF(EP4="","",IF(EP4&gt;3.7,"A",IF(EP4&gt;2.8,"B",IF(EP4&gt;1.5,"C",IF(EP4&gt;0,"D",IF(EP4=0,""))))))</f>
        <v>C</v>
      </c>
      <c r="ER4" s="184">
        <f>IF(COUNT(ER5:ER9)=0,"",SUM(ER5:ER9)/COUNT(ER5:ER9))</f>
        <v>1.96875</v>
      </c>
      <c r="ES4" s="185" t="str">
        <f t="shared" ref="ES4:ES21" si="50">IF(ER4="","",IF(ER4&gt;3.7,"A",IF(ER4&gt;2.8,"B",IF(ER4&gt;1.5,"C",IF(ER4&gt;0,"D",IF(ER4=0,""))))))</f>
        <v>C</v>
      </c>
      <c r="ET4" s="152"/>
      <c r="EU4" s="65"/>
      <c r="EV4" s="85"/>
      <c r="EW4" s="159">
        <f>IF(COUNT(EW5:EW9)=0,"",SUM(EW5:EW9)/COUNT(EW5:EW9))</f>
        <v>3</v>
      </c>
      <c r="EX4" s="160" t="str">
        <f t="shared" ref="EX4:EX21" si="51">IF(EW4="","",IF(EW4&gt;3.7,"A",IF(EW4&gt;2.8,"B",IF(EW4&gt;1.5,"C",IF(EW4&gt;0,"D",IF(EW4=0,""))))))</f>
        <v>B</v>
      </c>
      <c r="EY4" s="152"/>
      <c r="EZ4" s="65"/>
      <c r="FA4" s="65"/>
      <c r="FB4" s="85"/>
      <c r="FC4" s="159">
        <f>IF(COUNT(FC5:FC9)=0,"",SUM(FC5:FC9)/COUNT(FC5:FC9))</f>
        <v>2</v>
      </c>
      <c r="FD4" s="175" t="str">
        <f t="shared" ref="FD4:FD21" si="52">IF(FC4="","",IF(FC4&gt;3.7,"A",IF(FC4&gt;2.8,"B",IF(FC4&gt;1.5,"C",IF(FC4&gt;0,"D",IF(FC4=0,""))))))</f>
        <v>C</v>
      </c>
      <c r="FE4" s="153"/>
      <c r="FF4" s="90"/>
      <c r="FG4" s="90"/>
      <c r="FH4" s="90"/>
      <c r="FI4" s="90"/>
      <c r="FJ4" s="91"/>
      <c r="FK4" s="159">
        <f>IF(COUNT(FK5:FK9)=0,"",SUM(FK5:FK9)/COUNT(FK5:FK9))</f>
        <v>3.1666666666666665</v>
      </c>
      <c r="FL4" s="183" t="str">
        <f t="shared" ref="FL4:FL21" si="53">IF(FK4="","",IF(FK4&gt;3.7,"A",IF(FK4&gt;2.8,"B",IF(FK4&gt;1.5,"C",IF(FK4&gt;0,"D",IF(FK4=0,""))))))</f>
        <v>B</v>
      </c>
      <c r="FM4" s="184">
        <f>IF(COUNT(FM5:FM9)=0,"",SUM(FM5:FM9)/COUNT(FM5:FM9))</f>
        <v>2.958333333333333</v>
      </c>
      <c r="FN4" s="185" t="str">
        <f t="shared" ref="FN4:FN21" si="54">IF(FM4="","",IF(FM4&gt;3.7,"A",IF(FM4&gt;2.8,"B",IF(FM4&gt;1.5,"C",IF(FM4&gt;0,"D",IF(FM4=0,""))))))</f>
        <v>B</v>
      </c>
      <c r="FO4" s="152"/>
      <c r="FP4" s="65"/>
      <c r="FQ4" s="85"/>
      <c r="FR4" s="159">
        <f>IF(COUNT(FR5:FR9)=0,"",SUM(FR5:FR9)/COUNT(FR5:FR9))</f>
        <v>2</v>
      </c>
      <c r="FS4" s="160" t="str">
        <f t="shared" ref="FS4:FS21" si="55">IF(FR4="","",IF(FR4&gt;3.7,"A",IF(FR4&gt;2.8,"B",IF(FR4&gt;1.5,"C",IF(FR4&gt;0,"D",IF(FR4=0,""))))))</f>
        <v>C</v>
      </c>
      <c r="FT4" s="152"/>
      <c r="FU4" s="65"/>
      <c r="FV4" s="65"/>
      <c r="FW4" s="85"/>
      <c r="FX4" s="159">
        <f>IF(COUNT(FX5:FX9)=0,"",SUM(FX5:FX9)/COUNT(FX5:FX9))</f>
        <v>2</v>
      </c>
      <c r="FY4" s="175" t="str">
        <f t="shared" ref="FY4:FY21" si="56">IF(FX4="","",IF(FX4&gt;3.7,"A",IF(FX4&gt;2.8,"B",IF(FX4&gt;1.5,"C",IF(FX4&gt;0,"D",IF(FX4=0,""))))))</f>
        <v>C</v>
      </c>
      <c r="FZ4" s="153"/>
      <c r="GA4" s="90"/>
      <c r="GB4" s="90"/>
      <c r="GC4" s="90"/>
      <c r="GD4" s="90"/>
      <c r="GE4" s="91"/>
      <c r="GF4" s="159">
        <f>IF(COUNT(GF5:GF9)=0,"",SUM(GF5:GF9)/COUNT(GF5:GF9))</f>
        <v>3.2777777777777781</v>
      </c>
      <c r="GG4" s="183" t="str">
        <f t="shared" ref="GG4:GG21" si="57">IF(GF4="","",IF(GF4&gt;3.7,"A",IF(GF4&gt;2.8,"B",IF(GF4&gt;1.5,"C",IF(GF4&gt;0,"D",IF(GF4=0,""))))))</f>
        <v>B</v>
      </c>
      <c r="GH4" s="184">
        <f>IF(COUNT(GH5:GH9)=0,"",SUM(GH5:GH9)/COUNT(GH5:GH9))</f>
        <v>2.604166666666667</v>
      </c>
      <c r="GI4" s="185" t="str">
        <f t="shared" ref="GI4:GI21" si="58">IF(GH4="","",IF(GH4&gt;3.7,"A",IF(GH4&gt;2.8,"B",IF(GH4&gt;1.5,"C",IF(GH4&gt;0,"D",IF(GH4=0,""))))))</f>
        <v>C</v>
      </c>
      <c r="GJ4" s="152"/>
      <c r="GK4" s="65"/>
      <c r="GL4" s="85"/>
      <c r="GM4" s="159">
        <f>IF(COUNT(GM5:GM9)=0,"",SUM(GM5:GM9)/COUNT(GM5:GM9))</f>
        <v>1.75</v>
      </c>
      <c r="GN4" s="160" t="str">
        <f t="shared" ref="GN4:GN21" si="59">IF(GM4="","",IF(GM4&gt;3.7,"A",IF(GM4&gt;2.8,"B",IF(GM4&gt;1.5,"C",IF(GM4&gt;0,"D",IF(GM4=0,""))))))</f>
        <v>C</v>
      </c>
      <c r="GO4" s="152"/>
      <c r="GP4" s="65"/>
      <c r="GQ4" s="65"/>
      <c r="GR4" s="85"/>
      <c r="GS4" s="159">
        <f>IF(COUNT(GS5:GS9)=0,"",SUM(GS5:GS9)/COUNT(GS5:GS9))</f>
        <v>2</v>
      </c>
      <c r="GT4" s="175" t="str">
        <f t="shared" ref="GT4:GT21" si="60">IF(GS4="","",IF(GS4&gt;3.7,"A",IF(GS4&gt;2.8,"B",IF(GS4&gt;1.5,"C",IF(GS4&gt;0,"D",IF(GS4=0,""))))))</f>
        <v>C</v>
      </c>
      <c r="GU4" s="153"/>
      <c r="GV4" s="90"/>
      <c r="GW4" s="90"/>
      <c r="GX4" s="90"/>
      <c r="GY4" s="90"/>
      <c r="GZ4" s="91"/>
      <c r="HA4" s="159">
        <f>IF(COUNT(HA5:HA9)=0,"",SUM(HA5:HA9)/COUNT(HA5:HA9))</f>
        <v>2.75</v>
      </c>
      <c r="HB4" s="183" t="str">
        <f t="shared" ref="HB4:HB21" si="61">IF(HA4="","",IF(HA4&gt;3.7,"A",IF(HA4&gt;2.8,"B",IF(HA4&gt;1.5,"C",IF(HA4&gt;0,"D",IF(HA4=0,""))))))</f>
        <v>C</v>
      </c>
      <c r="HC4" s="184">
        <f>IF(COUNT(HC5:HC9)=0,"",SUM(HC5:HC9)/COUNT(HC5:HC9))</f>
        <v>2.3125</v>
      </c>
      <c r="HD4" s="185" t="str">
        <f t="shared" ref="HD4:HD21" si="62">IF(HC4="","",IF(HC4&gt;3.7,"A",IF(HC4&gt;2.8,"B",IF(HC4&gt;1.5,"C",IF(HC4&gt;0,"D",IF(HC4=0,""))))))</f>
        <v>C</v>
      </c>
      <c r="HE4" s="152"/>
      <c r="HF4" s="65"/>
      <c r="HG4" s="85"/>
      <c r="HH4" s="159">
        <f>IF(COUNT(HH5:HH9)=0,"",SUM(HH5:HH9)/COUNT(HH5:HH9))</f>
        <v>2</v>
      </c>
      <c r="HI4" s="160" t="str">
        <f t="shared" ref="HI4:HI21" si="63">IF(HH4="","",IF(HH4&gt;3.7,"A",IF(HH4&gt;2.8,"B",IF(HH4&gt;1.5,"C",IF(HH4&gt;0,"D",IF(HH4=0,""))))))</f>
        <v>C</v>
      </c>
      <c r="HJ4" s="152"/>
      <c r="HK4" s="65"/>
      <c r="HL4" s="65"/>
      <c r="HM4" s="85"/>
      <c r="HN4" s="159">
        <f>IF(COUNT(HN5:HN9)=0,"",SUM(HN5:HN9)/COUNT(HN5:HN9))</f>
        <v>1</v>
      </c>
      <c r="HO4" s="175" t="str">
        <f t="shared" ref="HO4:HO21" si="64">IF(HN4="","",IF(HN4&gt;3.7,"A",IF(HN4&gt;2.8,"B",IF(HN4&gt;1.5,"C",IF(HN4&gt;0,"D",IF(HN4=0,""))))))</f>
        <v>D</v>
      </c>
      <c r="HP4" s="153"/>
      <c r="HQ4" s="90"/>
      <c r="HR4" s="90"/>
      <c r="HS4" s="90"/>
      <c r="HT4" s="90"/>
      <c r="HU4" s="91"/>
      <c r="HV4" s="159">
        <f>IF(COUNT(HV5:HV9)=0,"",SUM(HV5:HV9)/COUNT(HV5:HV9))</f>
        <v>2.5</v>
      </c>
      <c r="HW4" s="183" t="str">
        <f t="shared" ref="HW4:HW21" si="65">IF(HV4="","",IF(HV4&gt;3.7,"A",IF(HV4&gt;2.8,"B",IF(HV4&gt;1.5,"C",IF(HV4&gt;0,"D",IF(HV4=0,""))))))</f>
        <v>C</v>
      </c>
      <c r="HX4" s="184">
        <f>IF(COUNT(HX5:HX9)=0,"",SUM(HX5:HX9)/COUNT(HX5:HX9))</f>
        <v>2.125</v>
      </c>
      <c r="HY4" s="185" t="str">
        <f t="shared" ref="HY4:HY21" si="66">IF(HX4="","",IF(HX4&gt;3.7,"A",IF(HX4&gt;2.8,"B",IF(HX4&gt;1.5,"C",IF(HX4&gt;0,"D",IF(HX4=0,""))))))</f>
        <v>C</v>
      </c>
      <c r="HZ4" s="152"/>
      <c r="IA4" s="65"/>
      <c r="IB4" s="85"/>
      <c r="IC4" s="159">
        <f>IF(COUNT(IC5:IC9)=0,"",SUM(IC5:IC9)/COUNT(IC5:IC9))</f>
        <v>1.25</v>
      </c>
      <c r="ID4" s="160" t="str">
        <f t="shared" ref="ID4:ID21" si="67">IF(IC4="","",IF(IC4&gt;3.7,"A",IF(IC4&gt;2.8,"B",IF(IC4&gt;1.5,"C",IF(IC4&gt;0,"D",IF(IC4=0,""))))))</f>
        <v>D</v>
      </c>
      <c r="IE4" s="152"/>
      <c r="IF4" s="65"/>
      <c r="IG4" s="65"/>
      <c r="IH4" s="85"/>
      <c r="II4" s="159">
        <f>IF(COUNT(II5:II9)=0,"",SUM(II5:II9)/COUNT(II5:II9))</f>
        <v>3</v>
      </c>
      <c r="IJ4" s="175" t="str">
        <f t="shared" ref="IJ4:IJ21" si="68">IF(II4="","",IF(II4&gt;3.7,"A",IF(II4&gt;2.8,"B",IF(II4&gt;1.5,"C",IF(II4&gt;0,"D",IF(II4=0,""))))))</f>
        <v>B</v>
      </c>
      <c r="IK4" s="153"/>
      <c r="IL4" s="90"/>
      <c r="IM4" s="90"/>
      <c r="IN4" s="90"/>
      <c r="IO4" s="90"/>
      <c r="IP4" s="91"/>
      <c r="IQ4" s="159">
        <f>IF(COUNT(IQ5:IQ9)=0,"",SUM(IQ5:IQ9)/COUNT(IQ5:IQ9))</f>
        <v>2.0625</v>
      </c>
      <c r="IR4" s="183" t="str">
        <f t="shared" ref="IR4:IR21" si="69">IF(IQ4="","",IF(IQ4&gt;3.7,"A",IF(IQ4&gt;2.8,"B",IF(IQ4&gt;1.5,"C",IF(IQ4&gt;0,"D",IF(IQ4=0,""))))))</f>
        <v>C</v>
      </c>
      <c r="IS4" s="184">
        <f>IF(COUNT(IS5:IS9)=0,"",SUM(IS5:IS9)/COUNT(IS5:IS9))</f>
        <v>1.90625</v>
      </c>
      <c r="IT4" s="185" t="str">
        <f t="shared" ref="IT4:IT21" si="70">IF(IS4="","",IF(IS4&gt;3.7,"A",IF(IS4&gt;2.8,"B",IF(IS4&gt;1.5,"C",IF(IS4&gt;0,"D",IF(IS4=0,""))))))</f>
        <v>C</v>
      </c>
      <c r="IU4" s="152"/>
      <c r="IV4" s="65"/>
      <c r="IW4" s="85"/>
      <c r="IX4" s="159">
        <f>IF(COUNT(IX5:IX9)=0,"",SUM(IX5:IX9)/COUNT(IX5:IX9))</f>
        <v>1.5</v>
      </c>
      <c r="IY4" s="160" t="str">
        <f t="shared" ref="IY4:IY21" si="71">IF(IX4="","",IF(IX4&gt;3.7,"A",IF(IX4&gt;2.8,"B",IF(IX4&gt;1.5,"C",IF(IX4&gt;0,"D",IF(IX4=0,""))))))</f>
        <v>D</v>
      </c>
      <c r="IZ4" s="152"/>
      <c r="JA4" s="65"/>
      <c r="JB4" s="65"/>
      <c r="JC4" s="85"/>
      <c r="JD4" s="159">
        <f>IF(COUNT(JD5:JD9)=0,"",SUM(JD5:JD9)/COUNT(JD5:JD9))</f>
        <v>2</v>
      </c>
      <c r="JE4" s="175" t="str">
        <f t="shared" ref="JE4:JE21" si="72">IF(JD4="","",IF(JD4&gt;3.7,"A",IF(JD4&gt;2.8,"B",IF(JD4&gt;1.5,"C",IF(JD4&gt;0,"D",IF(JD4=0,""))))))</f>
        <v>C</v>
      </c>
      <c r="JF4" s="153"/>
      <c r="JG4" s="90"/>
      <c r="JH4" s="90"/>
      <c r="JI4" s="90"/>
      <c r="JJ4" s="90"/>
      <c r="JK4" s="91"/>
      <c r="JL4" s="159">
        <f>IF(COUNT(JL5:JL9)=0,"",SUM(JL5:JL9)/COUNT(JL5:JL9))</f>
        <v>2.25</v>
      </c>
      <c r="JM4" s="183" t="str">
        <f t="shared" ref="JM4:JM21" si="73">IF(JL4="","",IF(JL4&gt;3.7,"A",IF(JL4&gt;2.8,"B",IF(JL4&gt;1.5,"C",IF(JL4&gt;0,"D",IF(JL4=0,""))))))</f>
        <v>C</v>
      </c>
      <c r="JN4" s="184">
        <f>IF(COUNT(JN5:JN9)=0,"",SUM(JN5:JN9)/COUNT(JN5:JN9))</f>
        <v>2</v>
      </c>
      <c r="JO4" s="185" t="str">
        <f t="shared" ref="JO4:JO21" si="74">IF(JN4="","",IF(JN4&gt;3.7,"A",IF(JN4&gt;2.8,"B",IF(JN4&gt;1.5,"C",IF(JN4&gt;0,"D",IF(JN4=0,""))))))</f>
        <v>C</v>
      </c>
      <c r="JP4" s="152"/>
      <c r="JQ4" s="65"/>
      <c r="JR4" s="85"/>
      <c r="JS4" s="159">
        <f>IF(COUNT(JS5:JS9)=0,"",SUM(JS5:JS9)/COUNT(JS5:JS9))</f>
        <v>2</v>
      </c>
      <c r="JT4" s="160" t="str">
        <f t="shared" ref="JT4:JT21" si="75">IF(JS4="","",IF(JS4&gt;3.7,"A",IF(JS4&gt;2.8,"B",IF(JS4&gt;1.5,"C",IF(JS4&gt;0,"D",IF(JS4=0,""))))))</f>
        <v>C</v>
      </c>
      <c r="JU4" s="152"/>
      <c r="JV4" s="65"/>
      <c r="JW4" s="65"/>
      <c r="JX4" s="85"/>
      <c r="JY4" s="159">
        <f>IF(COUNT(JY5:JY9)=0,"",SUM(JY5:JY9)/COUNT(JY5:JY9))</f>
        <v>3</v>
      </c>
      <c r="JZ4" s="175" t="str">
        <f t="shared" ref="JZ4:JZ21" si="76">IF(JY4="","",IF(JY4&gt;3.7,"A",IF(JY4&gt;2.8,"B",IF(JY4&gt;1.5,"C",IF(JY4&gt;0,"D",IF(JY4=0,""))))))</f>
        <v>B</v>
      </c>
      <c r="KA4" s="153"/>
      <c r="KB4" s="90"/>
      <c r="KC4" s="90"/>
      <c r="KD4" s="90"/>
      <c r="KE4" s="90"/>
      <c r="KF4" s="91"/>
      <c r="KG4" s="159">
        <f>IF(COUNT(KG5:KG9)=0,"",SUM(KG5:KG9)/COUNT(KG5:KG9))</f>
        <v>2.0625</v>
      </c>
      <c r="KH4" s="183" t="str">
        <f t="shared" ref="KH4:KH21" si="77">IF(KG4="","",IF(KG4&gt;3.7,"A",IF(KG4&gt;2.8,"B",IF(KG4&gt;1.5,"C",IF(KG4&gt;0,"D",IF(KG4=0,""))))))</f>
        <v>C</v>
      </c>
      <c r="KI4" s="184">
        <f>IF(COUNT(KI5:KI9)=0,"",SUM(KI5:KI9)/COUNT(KI5:KI9))</f>
        <v>2.09375</v>
      </c>
      <c r="KJ4" s="185" t="str">
        <f t="shared" ref="KJ4:KJ21" si="78">IF(KI4="","",IF(KI4&gt;3.7,"A",IF(KI4&gt;2.8,"B",IF(KI4&gt;1.5,"C",IF(KI4&gt;0,"D",IF(KI4=0,""))))))</f>
        <v>C</v>
      </c>
      <c r="KK4" s="152"/>
      <c r="KL4" s="65"/>
      <c r="KM4" s="85"/>
      <c r="KN4" s="159">
        <f>IF(COUNT(KN5:KN9)=0,"",SUM(KN5:KN9)/COUNT(KN5:KN9))</f>
        <v>1.25</v>
      </c>
      <c r="KO4" s="160" t="str">
        <f t="shared" ref="KO4:KO21" si="79">IF(KN4="","",IF(KN4&gt;3.7,"A",IF(KN4&gt;2.8,"B",IF(KN4&gt;1.5,"C",IF(KN4&gt;0,"D",IF(KN4=0,""))))))</f>
        <v>D</v>
      </c>
      <c r="KP4" s="152"/>
      <c r="KQ4" s="65"/>
      <c r="KR4" s="65"/>
      <c r="KS4" s="85"/>
      <c r="KT4" s="159">
        <f>IF(COUNT(KT5:KT9)=0,"",SUM(KT5:KT9)/COUNT(KT5:KT9))</f>
        <v>1</v>
      </c>
      <c r="KU4" s="175" t="str">
        <f t="shared" ref="KU4:KU21" si="80">IF(KT4="","",IF(KT4&gt;3.7,"A",IF(KT4&gt;2.8,"B",IF(KT4&gt;1.5,"C",IF(KT4&gt;0,"D",IF(KT4=0,""))))))</f>
        <v>D</v>
      </c>
      <c r="KV4" s="153"/>
      <c r="KW4" s="90"/>
      <c r="KX4" s="90"/>
      <c r="KY4" s="90"/>
      <c r="KZ4" s="90"/>
      <c r="LA4" s="91"/>
      <c r="LB4" s="159">
        <f>IF(COUNT(LB5:LB9)=0,"",SUM(LB5:LB9)/COUNT(LB5:LB9))</f>
        <v>1.7916666666666667</v>
      </c>
      <c r="LC4" s="183" t="str">
        <f t="shared" ref="LC4:LC21" si="81">IF(LB4="","",IF(LB4&gt;3.7,"A",IF(LB4&gt;2.8,"B",IF(LB4&gt;1.5,"C",IF(LB4&gt;0,"D",IF(LB4=0,""))))))</f>
        <v>C</v>
      </c>
      <c r="LD4" s="184">
        <f>IF(COUNT(LD5:LD9)=0,"",SUM(LD5:LD9)/COUNT(LD5:LD9))</f>
        <v>1.5833333333333335</v>
      </c>
      <c r="LE4" s="185" t="str">
        <f t="shared" ref="LE4:LE21" si="82">IF(LD4="","",IF(LD4&gt;3.7,"A",IF(LD4&gt;2.8,"B",IF(LD4&gt;1.5,"C",IF(LD4&gt;0,"D",IF(LD4=0,""))))))</f>
        <v>C</v>
      </c>
      <c r="LF4" s="152"/>
      <c r="LG4" s="65"/>
      <c r="LH4" s="85"/>
      <c r="LI4" s="159">
        <f>IF(COUNT(LI5:LI9)=0,"",SUM(LI5:LI9)/COUNT(LI5:LI9))</f>
        <v>1.5</v>
      </c>
      <c r="LJ4" s="160" t="str">
        <f t="shared" ref="LJ4:LJ21" si="83">IF(LI4="","",IF(LI4&gt;3.7,"A",IF(LI4&gt;2.8,"B",IF(LI4&gt;1.5,"C",IF(LI4&gt;0,"D",IF(LI4=0,""))))))</f>
        <v>D</v>
      </c>
      <c r="LK4" s="152"/>
      <c r="LL4" s="65"/>
      <c r="LM4" s="65"/>
      <c r="LN4" s="85"/>
      <c r="LO4" s="159">
        <f>IF(COUNT(LO5:LO9)=0,"",SUM(LO5:LO9)/COUNT(LO5:LO9))</f>
        <v>2</v>
      </c>
      <c r="LP4" s="175" t="str">
        <f t="shared" ref="LP4:LP21" si="84">IF(LO4="","",IF(LO4&gt;3.7,"A",IF(LO4&gt;2.8,"B",IF(LO4&gt;1.5,"C",IF(LO4&gt;0,"D",IF(LO4=0,""))))))</f>
        <v>C</v>
      </c>
      <c r="LQ4" s="153"/>
      <c r="LR4" s="90"/>
      <c r="LS4" s="90"/>
      <c r="LT4" s="90"/>
      <c r="LU4" s="90"/>
      <c r="LV4" s="91"/>
      <c r="LW4" s="159">
        <f>IF(COUNT(LW5:LW9)=0,"",SUM(LW5:LW9)/COUNT(LW5:LW9))</f>
        <v>1.9375</v>
      </c>
      <c r="LX4" s="183" t="str">
        <f t="shared" ref="LX4:LX21" si="85">IF(LW4="","",IF(LW4&gt;3.7,"A",IF(LW4&gt;2.8,"B",IF(LW4&gt;1.5,"C",IF(LW4&gt;0,"D",IF(LW4=0,""))))))</f>
        <v>C</v>
      </c>
      <c r="LY4" s="184">
        <f>IF(COUNT(LY5:LY9)=0,"",SUM(LY5:LY9)/COUNT(LY5:LY9))</f>
        <v>1.84375</v>
      </c>
      <c r="LZ4" s="185" t="str">
        <f t="shared" ref="LZ4:LZ21" si="86">IF(LY4="","",IF(LY4&gt;3.7,"A",IF(LY4&gt;2.8,"B",IF(LY4&gt;1.5,"C",IF(LY4&gt;0,"D",IF(LY4=0,""))))))</f>
        <v>C</v>
      </c>
      <c r="MA4" s="152"/>
      <c r="MB4" s="65"/>
      <c r="MC4" s="85"/>
      <c r="MD4" s="159">
        <f>IF(COUNT(MD5:MD9)=0,"",SUM(MD5:MD9)/COUNT(MD5:MD9))</f>
        <v>1</v>
      </c>
      <c r="ME4" s="160" t="str">
        <f t="shared" ref="ME4:ME21" si="87">IF(MD4="","",IF(MD4&gt;3.7,"A",IF(MD4&gt;2.8,"B",IF(MD4&gt;1.5,"C",IF(MD4&gt;0,"D",IF(MD4=0,""))))))</f>
        <v>D</v>
      </c>
      <c r="MF4" s="152"/>
      <c r="MG4" s="65"/>
      <c r="MH4" s="65"/>
      <c r="MI4" s="85"/>
      <c r="MJ4" s="159">
        <f>IF(COUNT(MJ5:MJ9)=0,"",SUM(MJ5:MJ9)/COUNT(MJ5:MJ9))</f>
        <v>3</v>
      </c>
      <c r="MK4" s="175" t="str">
        <f t="shared" ref="MK4:MK21" si="88">IF(MJ4="","",IF(MJ4&gt;3.7,"A",IF(MJ4&gt;2.8,"B",IF(MJ4&gt;1.5,"C",IF(MJ4&gt;0,"D",IF(MJ4=0,""))))))</f>
        <v>B</v>
      </c>
      <c r="ML4" s="153"/>
      <c r="MM4" s="90"/>
      <c r="MN4" s="90"/>
      <c r="MO4" s="90"/>
      <c r="MP4" s="90"/>
      <c r="MQ4" s="91"/>
      <c r="MR4" s="159">
        <f>IF(COUNT(MR5:MR9)=0,"",SUM(MR5:MR9)/COUNT(MR5:MR9))</f>
        <v>1.4791666666666667</v>
      </c>
      <c r="MS4" s="183" t="str">
        <f t="shared" ref="MS4:MS21" si="89">IF(MR4="","",IF(MR4&gt;3.7,"A",IF(MR4&gt;2.8,"B",IF(MR4&gt;1.5,"C",IF(MR4&gt;0,"D",IF(MR4=0,""))))))</f>
        <v>D</v>
      </c>
      <c r="MT4" s="184">
        <f>IF(COUNT(MT5:MT9)=0,"",SUM(MT5:MT9)/COUNT(MT5:MT9))</f>
        <v>1.5520833333333335</v>
      </c>
      <c r="MU4" s="185" t="str">
        <f t="shared" ref="MU4:MU21" si="90">IF(MT4="","",IF(MT4&gt;3.7,"A",IF(MT4&gt;2.8,"B",IF(MT4&gt;1.5,"C",IF(MT4&gt;0,"D",IF(MT4=0,""))))))</f>
        <v>C</v>
      </c>
      <c r="MV4" s="152"/>
      <c r="MW4" s="65"/>
      <c r="MX4" s="85"/>
      <c r="MY4" s="159">
        <f>IF(COUNT(MY5:MY9)=0,"",SUM(MY5:MY9)/COUNT(MY5:MY9))</f>
        <v>1.75</v>
      </c>
      <c r="MZ4" s="160" t="str">
        <f t="shared" ref="MZ4:MZ21" si="91">IF(MY4="","",IF(MY4&gt;3.7,"A",IF(MY4&gt;2.8,"B",IF(MY4&gt;1.5,"C",IF(MY4&gt;0,"D",IF(MY4=0,""))))))</f>
        <v>C</v>
      </c>
      <c r="NA4" s="152"/>
      <c r="NB4" s="65"/>
      <c r="NC4" s="65"/>
      <c r="ND4" s="85"/>
      <c r="NE4" s="159">
        <f>IF(COUNT(NE5:NE9)=0,"",SUM(NE5:NE9)/COUNT(NE5:NE9))</f>
        <v>4</v>
      </c>
      <c r="NF4" s="175" t="str">
        <f t="shared" ref="NF4:NF21" si="92">IF(NE4="","",IF(NE4&gt;3.7,"A",IF(NE4&gt;2.8,"B",IF(NE4&gt;1.5,"C",IF(NE4&gt;0,"D",IF(NE4=0,""))))))</f>
        <v>A</v>
      </c>
      <c r="NG4" s="153"/>
      <c r="NH4" s="90"/>
      <c r="NI4" s="90"/>
      <c r="NJ4" s="90"/>
      <c r="NK4" s="90"/>
      <c r="NL4" s="91"/>
      <c r="NM4" s="159">
        <f>IF(COUNT(NM5:NM9)=0,"",SUM(NM5:NM9)/COUNT(NM5:NM9))</f>
        <v>2.3333333333333335</v>
      </c>
      <c r="NN4" s="183" t="str">
        <f t="shared" ref="NN4:NN21" si="93">IF(NM4="","",IF(NM4&gt;3.7,"A",IF(NM4&gt;2.8,"B",IF(NM4&gt;1.5,"C",IF(NM4&gt;0,"D",IF(NM4=0,""))))))</f>
        <v>C</v>
      </c>
      <c r="NO4" s="184">
        <f>IF(COUNT(NO5:NO9)=0,"",SUM(NO5:NO9)/COUNT(NO5:NO9))</f>
        <v>2.354166666666667</v>
      </c>
      <c r="NP4" s="185" t="str">
        <f t="shared" ref="NP4:NP21" si="94">IF(NO4="","",IF(NO4&gt;3.7,"A",IF(NO4&gt;2.8,"B",IF(NO4&gt;1.5,"C",IF(NO4&gt;0,"D",IF(NO4=0,""))))))</f>
        <v>C</v>
      </c>
      <c r="NQ4" s="152"/>
      <c r="NR4" s="65"/>
      <c r="NS4" s="85"/>
      <c r="NT4" s="159">
        <f>IF(COUNT(NT5:NT9)=0,"",SUM(NT5:NT9)/COUNT(NT5:NT9))</f>
        <v>1.5</v>
      </c>
      <c r="NU4" s="160" t="str">
        <f t="shared" ref="NU4:NU21" si="95">IF(NT4="","",IF(NT4&gt;3.7,"A",IF(NT4&gt;2.8,"B",IF(NT4&gt;1.5,"C",IF(NT4&gt;0,"D",IF(NT4=0,""))))))</f>
        <v>D</v>
      </c>
      <c r="NV4" s="152"/>
      <c r="NW4" s="65"/>
      <c r="NX4" s="65"/>
      <c r="NY4" s="85"/>
      <c r="NZ4" s="159">
        <f>IF(COUNT(NZ5:NZ9)=0,"",SUM(NZ5:NZ9)/COUNT(NZ5:NZ9))</f>
        <v>2</v>
      </c>
      <c r="OA4" s="175" t="str">
        <f t="shared" ref="OA4:OA21" si="96">IF(NZ4="","",IF(NZ4&gt;3.7,"A",IF(NZ4&gt;2.8,"B",IF(NZ4&gt;1.5,"C",IF(NZ4&gt;0,"D",IF(NZ4=0,""))))))</f>
        <v>C</v>
      </c>
      <c r="OB4" s="153"/>
      <c r="OC4" s="90"/>
      <c r="OD4" s="90"/>
      <c r="OE4" s="90"/>
      <c r="OF4" s="90"/>
      <c r="OG4" s="91"/>
      <c r="OH4" s="159">
        <f>IF(COUNT(OH5:OH9)=0,"",SUM(OH5:OH9)/COUNT(OH5:OH9))</f>
        <v>1.8958333333333335</v>
      </c>
      <c r="OI4" s="183" t="str">
        <f t="shared" ref="OI4:OI21" si="97">IF(OH4="","",IF(OH4&gt;3.7,"A",IF(OH4&gt;2.8,"B",IF(OH4&gt;1.5,"C",IF(OH4&gt;0,"D",IF(OH4=0,""))))))</f>
        <v>C</v>
      </c>
      <c r="OJ4" s="184">
        <f>IF(COUNT(OJ5:OJ9)=0,"",SUM(OJ5:OJ9)/COUNT(OJ5:OJ9))</f>
        <v>1.8229166666666667</v>
      </c>
      <c r="OK4" s="185" t="str">
        <f t="shared" ref="OK4:OK21" si="98">IF(OJ4="","",IF(OJ4&gt;3.7,"A",IF(OJ4&gt;2.8,"B",IF(OJ4&gt;1.5,"C",IF(OJ4&gt;0,"D",IF(OJ4=0,""))))))</f>
        <v>C</v>
      </c>
      <c r="OL4" s="152"/>
      <c r="OM4" s="65"/>
      <c r="ON4" s="85"/>
      <c r="OO4" s="159">
        <f>IF(COUNT(OO5:OO9)=0,"",SUM(OO5:OO9)/COUNT(OO5:OO9))</f>
        <v>1.5</v>
      </c>
      <c r="OP4" s="160" t="str">
        <f t="shared" ref="OP4:OP21" si="99">IF(OO4="","",IF(OO4&gt;3.7,"A",IF(OO4&gt;2.8,"B",IF(OO4&gt;1.5,"C",IF(OO4&gt;0,"D",IF(OO4=0,""))))))</f>
        <v>D</v>
      </c>
      <c r="OQ4" s="152"/>
      <c r="OR4" s="65"/>
      <c r="OS4" s="65"/>
      <c r="OT4" s="85"/>
      <c r="OU4" s="159">
        <f>IF(COUNT(OU5:OU9)=0,"",SUM(OU5:OU9)/COUNT(OU5:OU9))</f>
        <v>2</v>
      </c>
      <c r="OV4" s="175" t="str">
        <f t="shared" ref="OV4:OV21" si="100">IF(OU4="","",IF(OU4&gt;3.7,"A",IF(OU4&gt;2.8,"B",IF(OU4&gt;1.5,"C",IF(OU4&gt;0,"D",IF(OU4=0,""))))))</f>
        <v>C</v>
      </c>
      <c r="OW4" s="153"/>
      <c r="OX4" s="90"/>
      <c r="OY4" s="90"/>
      <c r="OZ4" s="90"/>
      <c r="PA4" s="90"/>
      <c r="PB4" s="91"/>
      <c r="PC4" s="159">
        <f>IF(COUNT(PC5:PC9)=0,"",SUM(PC5:PC9)/COUNT(PC5:PC9))</f>
        <v>2.666666666666667</v>
      </c>
      <c r="PD4" s="183" t="str">
        <f t="shared" ref="PD4:PD21" si="101">IF(PC4="","",IF(PC4&gt;3.7,"A",IF(PC4&gt;2.8,"B",IF(PC4&gt;1.5,"C",IF(PC4&gt;0,"D",IF(PC4=0,""))))))</f>
        <v>C</v>
      </c>
      <c r="PE4" s="184">
        <f>IF(COUNT(PE5:PE9)=0,"",SUM(PE5:PE9)/COUNT(PE5:PE9))</f>
        <v>2.3333333333333335</v>
      </c>
      <c r="PF4" s="185" t="str">
        <f t="shared" ref="PF4:PF21" si="102">IF(PE4="","",IF(PE4&gt;3.7,"A",IF(PE4&gt;2.8,"B",IF(PE4&gt;1.5,"C",IF(PE4&gt;0,"D",IF(PE4=0,""))))))</f>
        <v>C</v>
      </c>
      <c r="PG4" s="152"/>
      <c r="PH4" s="65"/>
      <c r="PI4" s="85"/>
      <c r="PJ4" s="159">
        <f>IF(COUNT(PJ5:PJ9)=0,"",SUM(PJ5:PJ9)/COUNT(PJ5:PJ9))</f>
        <v>1.25</v>
      </c>
      <c r="PK4" s="160" t="str">
        <f t="shared" ref="PK4:PK21" si="103">IF(PJ4="","",IF(PJ4&gt;3.7,"A",IF(PJ4&gt;2.8,"B",IF(PJ4&gt;1.5,"C",IF(PJ4&gt;0,"D",IF(PJ4=0,""))))))</f>
        <v>D</v>
      </c>
      <c r="PL4" s="152"/>
      <c r="PM4" s="65"/>
      <c r="PN4" s="65"/>
      <c r="PO4" s="85"/>
      <c r="PP4" s="159">
        <f>IF(COUNT(PP5:PP9)=0,"",SUM(PP5:PP9)/COUNT(PP5:PP9))</f>
        <v>2</v>
      </c>
      <c r="PQ4" s="175" t="str">
        <f t="shared" ref="PQ4:PQ21" si="104">IF(PP4="","",IF(PP4&gt;3.7,"A",IF(PP4&gt;2.8,"B",IF(PP4&gt;1.5,"C",IF(PP4&gt;0,"D",IF(PP4=0,""))))))</f>
        <v>C</v>
      </c>
      <c r="PR4" s="153"/>
      <c r="PS4" s="90"/>
      <c r="PT4" s="90"/>
      <c r="PU4" s="90"/>
      <c r="PV4" s="90"/>
      <c r="PW4" s="91"/>
      <c r="PX4" s="159">
        <f>IF(COUNT(PX5:PX9)=0,"",SUM(PX5:PX9)/COUNT(PX5:PX9))</f>
        <v>2.4791666666666665</v>
      </c>
      <c r="PY4" s="183" t="str">
        <f t="shared" ref="PY4:PY21" si="105">IF(PX4="","",IF(PX4&gt;3.7,"A",IF(PX4&gt;2.8,"B",IF(PX4&gt;1.5,"C",IF(PX4&gt;0,"D",IF(PX4=0,""))))))</f>
        <v>C</v>
      </c>
      <c r="PZ4" s="184">
        <f>IF(COUNT(PZ5:PZ9)=0,"",SUM(PZ5:PZ9)/COUNT(PZ5:PZ9))</f>
        <v>1.9895833333333333</v>
      </c>
      <c r="QA4" s="185" t="str">
        <f t="shared" ref="QA4:QA21" si="106">IF(PZ4="","",IF(PZ4&gt;3.7,"A",IF(PZ4&gt;2.8,"B",IF(PZ4&gt;1.5,"C",IF(PZ4&gt;0,"D",IF(PZ4=0,""))))))</f>
        <v>C</v>
      </c>
      <c r="QB4" s="152"/>
      <c r="QC4" s="65"/>
      <c r="QD4" s="85"/>
      <c r="QE4" s="159">
        <f>IF(COUNT(QE5:QE9)=0,"",SUM(QE5:QE9)/COUNT(QE5:QE9))</f>
        <v>1.75</v>
      </c>
      <c r="QF4" s="160" t="str">
        <f t="shared" ref="QF4:QF21" si="107">IF(QE4="","",IF(QE4&gt;3.7,"A",IF(QE4&gt;2.8,"B",IF(QE4&gt;1.5,"C",IF(QE4&gt;0,"D",IF(QE4=0,""))))))</f>
        <v>C</v>
      </c>
      <c r="QG4" s="152"/>
      <c r="QH4" s="65"/>
      <c r="QI4" s="65"/>
      <c r="QJ4" s="85"/>
      <c r="QK4" s="159">
        <f>IF(COUNT(QK5:QK9)=0,"",SUM(QK5:QK9)/COUNT(QK5:QK9))</f>
        <v>2</v>
      </c>
      <c r="QL4" s="175" t="str">
        <f t="shared" ref="QL4:QL21" si="108">IF(QK4="","",IF(QK4&gt;3.7,"A",IF(QK4&gt;2.8,"B",IF(QK4&gt;1.5,"C",IF(QK4&gt;0,"D",IF(QK4=0,""))))))</f>
        <v>C</v>
      </c>
      <c r="QM4" s="153"/>
      <c r="QN4" s="90"/>
      <c r="QO4" s="90"/>
      <c r="QP4" s="90"/>
      <c r="QQ4" s="90"/>
      <c r="QR4" s="91"/>
      <c r="QS4" s="159">
        <f>IF(COUNT(QS5:QS9)=0,"",SUM(QS5:QS9)/COUNT(QS5:QS9))</f>
        <v>2.8125</v>
      </c>
      <c r="QT4" s="183" t="str">
        <f t="shared" ref="QT4:QT21" si="109">IF(QS4="","",IF(QS4&gt;3.7,"A",IF(QS4&gt;2.8,"B",IF(QS4&gt;1.5,"C",IF(QS4&gt;0,"D",IF(QS4=0,""))))))</f>
        <v>B</v>
      </c>
      <c r="QU4" s="184">
        <f>IF(COUNT(QU5:QU9)=0,"",SUM(QU5:QU9)/COUNT(QU5:QU9))</f>
        <v>2.53125</v>
      </c>
      <c r="QV4" s="185" t="str">
        <f t="shared" ref="QV4:QV21" si="110">IF(QU4="","",IF(QU4&gt;3.7,"A",IF(QU4&gt;2.8,"B",IF(QU4&gt;1.5,"C",IF(QU4&gt;0,"D",IF(QU4=0,""))))))</f>
        <v>C</v>
      </c>
      <c r="QW4" s="152"/>
      <c r="QX4" s="65"/>
      <c r="QY4" s="85"/>
      <c r="QZ4" s="159">
        <f>IF(COUNT(QZ5:QZ9)=0,"",SUM(QZ5:QZ9)/COUNT(QZ5:QZ9))</f>
        <v>1.5</v>
      </c>
      <c r="RA4" s="160" t="str">
        <f t="shared" ref="RA4:RA21" si="111">IF(QZ4="","",IF(QZ4&gt;3.7,"A",IF(QZ4&gt;2.8,"B",IF(QZ4&gt;1.5,"C",IF(QZ4&gt;0,"D",IF(QZ4=0,""))))))</f>
        <v>D</v>
      </c>
      <c r="RB4" s="152"/>
      <c r="RC4" s="65"/>
      <c r="RD4" s="65"/>
      <c r="RE4" s="85"/>
      <c r="RF4" s="159">
        <f>IF(COUNT(RF5:RF9)=0,"",SUM(RF5:RF9)/COUNT(RF5:RF9))</f>
        <v>2</v>
      </c>
      <c r="RG4" s="175" t="str">
        <f t="shared" ref="RG4:RG21" si="112">IF(RF4="","",IF(RF4&gt;3.7,"A",IF(RF4&gt;2.8,"B",IF(RF4&gt;1.5,"C",IF(RF4&gt;0,"D",IF(RF4=0,""))))))</f>
        <v>C</v>
      </c>
      <c r="RH4" s="153"/>
      <c r="RI4" s="90"/>
      <c r="RJ4" s="90"/>
      <c r="RK4" s="90"/>
      <c r="RL4" s="90"/>
      <c r="RM4" s="91"/>
      <c r="RN4" s="159">
        <f>IF(COUNT(RN5:RN9)=0,"",SUM(RN5:RN9)/COUNT(RN5:RN9))</f>
        <v>2.104166666666667</v>
      </c>
      <c r="RO4" s="183" t="str">
        <f t="shared" ref="RO4:RO21" si="113">IF(RN4="","",IF(RN4&gt;3.7,"A",IF(RN4&gt;2.8,"B",IF(RN4&gt;1.5,"C",IF(RN4&gt;0,"D",IF(RN4=0,""))))))</f>
        <v>C</v>
      </c>
      <c r="RP4" s="184">
        <f>IF(COUNT(RP5:RP9)=0,"",SUM(RP5:RP9)/COUNT(RP5:RP9))</f>
        <v>1.9270833333333335</v>
      </c>
      <c r="RQ4" s="185" t="str">
        <f t="shared" ref="RQ4:RQ21" si="114">IF(RP4="","",IF(RP4&gt;3.7,"A",IF(RP4&gt;2.8,"B",IF(RP4&gt;1.5,"C",IF(RP4&gt;0,"D",IF(RP4=0,""))))))</f>
        <v>C</v>
      </c>
      <c r="RR4" s="152"/>
      <c r="RS4" s="65"/>
      <c r="RT4" s="85"/>
      <c r="RU4" s="159">
        <f>IF(COUNT(RU5:RU9)=0,"",SUM(RU5:RU9)/COUNT(RU5:RU9))</f>
        <v>1.5</v>
      </c>
      <c r="RV4" s="160" t="str">
        <f t="shared" ref="RV4:RV21" si="115">IF(RU4="","",IF(RU4&gt;3.7,"A",IF(RU4&gt;2.8,"B",IF(RU4&gt;1.5,"C",IF(RU4&gt;0,"D",IF(RU4=0,""))))))</f>
        <v>D</v>
      </c>
      <c r="RW4" s="152"/>
      <c r="RX4" s="65"/>
      <c r="RY4" s="65"/>
      <c r="RZ4" s="85"/>
      <c r="SA4" s="159">
        <f>IF(COUNT(SA5:SA9)=0,"",SUM(SA5:SA9)/COUNT(SA5:SA9))</f>
        <v>1</v>
      </c>
      <c r="SB4" s="175" t="str">
        <f t="shared" ref="SB4:SB21" si="116">IF(SA4="","",IF(SA4&gt;3.7,"A",IF(SA4&gt;2.8,"B",IF(SA4&gt;1.5,"C",IF(SA4&gt;0,"D",IF(SA4=0,""))))))</f>
        <v>D</v>
      </c>
      <c r="SC4" s="153"/>
      <c r="SD4" s="90"/>
      <c r="SE4" s="90"/>
      <c r="SF4" s="90"/>
      <c r="SG4" s="90"/>
      <c r="SH4" s="91"/>
      <c r="SI4" s="159">
        <f>IF(COUNT(SI5:SI9)=0,"",SUM(SI5:SI9)/COUNT(SI5:SI9))</f>
        <v>1.5625</v>
      </c>
      <c r="SJ4" s="183" t="str">
        <f t="shared" ref="SJ4:SJ21" si="117">IF(SI4="","",IF(SI4&gt;3.7,"A",IF(SI4&gt;2.8,"B",IF(SI4&gt;1.5,"C",IF(SI4&gt;0,"D",IF(SI4=0,""))))))</f>
        <v>C</v>
      </c>
      <c r="SK4" s="184">
        <f>IF(COUNT(SK5:SK9)=0,"",SUM(SK5:SK9)/COUNT(SK5:SK9))</f>
        <v>1.46875</v>
      </c>
      <c r="SL4" s="185" t="str">
        <f t="shared" ref="SL4:SL21" si="118">IF(SK4="","",IF(SK4&gt;3.7,"A",IF(SK4&gt;2.8,"B",IF(SK4&gt;1.5,"C",IF(SK4&gt;0,"D",IF(SK4=0,""))))))</f>
        <v>D</v>
      </c>
      <c r="SM4" s="84"/>
      <c r="SN4" s="65"/>
      <c r="SO4" s="85"/>
      <c r="SP4" s="86" t="str">
        <f>IF(COUNT(SP5:SP9)=0,"",SUM(SP5:SP9)/COUNT(SP5:SP9))</f>
        <v/>
      </c>
      <c r="SQ4" s="87" t="str">
        <f t="shared" ref="SQ4:SQ21" si="119">IF(SP4="","",IF(SP4&gt;3.7,"A",IF(SP4&gt;2.8,"B",IF(SP4&gt;1.5,"C",IF(SP4&gt;0,"D",IF(SP4=0,""))))))</f>
        <v/>
      </c>
      <c r="SR4" s="84"/>
      <c r="SS4" s="65"/>
      <c r="ST4" s="85"/>
      <c r="SU4" s="86" t="str">
        <f>IF(COUNT(SU5:SU9)=0,"",SUM(SU5:SU9)/COUNT(SU5:SU9))</f>
        <v/>
      </c>
      <c r="SV4" s="88" t="str">
        <f t="shared" ref="SV4:SV21" si="120">IF(SU4="","",IF(SU4&gt;3.7,"A",IF(SU4&gt;2.8,"B",IF(SU4&gt;1.5,"C",IF(SU4&gt;0,"D",IF(SU4=0,""))))))</f>
        <v/>
      </c>
      <c r="SW4" s="89"/>
      <c r="SX4" s="90"/>
      <c r="SY4" s="91"/>
      <c r="SZ4" s="86" t="str">
        <f>IF(COUNT(SZ5:SZ9)=0,"",SUM(SZ5:SZ9)/COUNT(SZ5:SZ9))</f>
        <v/>
      </c>
      <c r="TA4" s="92" t="str">
        <f t="shared" ref="TA4:TA21" si="121">IF(SZ4="","",IF(SZ4&gt;3.7,"A",IF(SZ4&gt;2.8,"B",IF(SZ4&gt;1.5,"C",IF(SZ4&gt;0,"D",IF(SZ4=0,""))))))</f>
        <v/>
      </c>
      <c r="TB4" s="93" t="str">
        <f>IF(COUNT(TB5:TB9)=0,"",SUM(TB5:TB9)/COUNT(TB5:TB9))</f>
        <v/>
      </c>
      <c r="TC4" s="94" t="str">
        <f t="shared" ref="TC4:TC21" si="122">IF(TB4="","",IF(TB4&gt;3.7,"A",IF(TB4&gt;2.8,"B",IF(TB4&gt;1.5,"C",IF(TB4&gt;0,"D",IF(TB4=0,""))))))</f>
        <v/>
      </c>
      <c r="TD4" s="84"/>
      <c r="TE4" s="65"/>
      <c r="TF4" s="85"/>
      <c r="TG4" s="86" t="str">
        <f>IF(COUNT(TG5:TG9)=0,"",SUM(TG5:TG9)/COUNT(TG5:TG9))</f>
        <v/>
      </c>
      <c r="TH4" s="87" t="str">
        <f t="shared" ref="TH4:TH21" si="123">IF(TG4="","",IF(TG4&gt;3.7,"A",IF(TG4&gt;2.8,"B",IF(TG4&gt;1.5,"C",IF(TG4&gt;0,"D",IF(TG4=0,""))))))</f>
        <v/>
      </c>
      <c r="TI4" s="84"/>
      <c r="TJ4" s="65"/>
      <c r="TK4" s="85"/>
      <c r="TL4" s="86" t="str">
        <f>IF(COUNT(TL5:TL9)=0,"",SUM(TL5:TL9)/COUNT(TL5:TL9))</f>
        <v/>
      </c>
      <c r="TM4" s="88" t="str">
        <f t="shared" ref="TM4:TM21" si="124">IF(TL4="","",IF(TL4&gt;3.7,"A",IF(TL4&gt;2.8,"B",IF(TL4&gt;1.5,"C",IF(TL4&gt;0,"D",IF(TL4=0,""))))))</f>
        <v/>
      </c>
      <c r="TN4" s="89"/>
      <c r="TO4" s="90"/>
      <c r="TP4" s="91"/>
      <c r="TQ4" s="86" t="str">
        <f>IF(COUNT(TQ5:TQ9)=0,"",SUM(TQ5:TQ9)/COUNT(TQ5:TQ9))</f>
        <v/>
      </c>
      <c r="TR4" s="92" t="str">
        <f t="shared" ref="TR4:TR21" si="125">IF(TQ4="","",IF(TQ4&gt;3.7,"A",IF(TQ4&gt;2.8,"B",IF(TQ4&gt;1.5,"C",IF(TQ4&gt;0,"D",IF(TQ4=0,""))))))</f>
        <v/>
      </c>
      <c r="TS4" s="93" t="str">
        <f>IF(COUNT(TS5:TS9)=0,"",SUM(TS5:TS9)/COUNT(TS5:TS9))</f>
        <v/>
      </c>
      <c r="TT4" s="94" t="str">
        <f t="shared" ref="TT4:TT21" si="126">IF(TS4="","",IF(TS4&gt;3.7,"A",IF(TS4&gt;2.8,"B",IF(TS4&gt;1.5,"C",IF(TS4&gt;0,"D",IF(TS4=0,""))))))</f>
        <v/>
      </c>
      <c r="TU4" s="84"/>
      <c r="TV4" s="65"/>
      <c r="TW4" s="85"/>
      <c r="TX4" s="86" t="str">
        <f>IF(COUNT(TX5:TX9)=0,"",SUM(TX5:TX9)/COUNT(TX5:TX9))</f>
        <v/>
      </c>
      <c r="TY4" s="87" t="str">
        <f t="shared" ref="TY4:TY21" si="127">IF(TX4="","",IF(TX4&gt;3.7,"A",IF(TX4&gt;2.8,"B",IF(TX4&gt;1.5,"C",IF(TX4&gt;0,"D",IF(TX4=0,""))))))</f>
        <v/>
      </c>
      <c r="TZ4" s="84"/>
      <c r="UA4" s="65"/>
      <c r="UB4" s="85"/>
      <c r="UC4" s="86" t="str">
        <f>IF(COUNT(UC5:UC9)=0,"",SUM(UC5:UC9)/COUNT(UC5:UC9))</f>
        <v/>
      </c>
      <c r="UD4" s="88" t="str">
        <f t="shared" ref="UD4:UD21" si="128">IF(UC4="","",IF(UC4&gt;3.7,"A",IF(UC4&gt;2.8,"B",IF(UC4&gt;1.5,"C",IF(UC4&gt;0,"D",IF(UC4=0,""))))))</f>
        <v/>
      </c>
      <c r="UE4" s="89"/>
      <c r="UF4" s="90"/>
      <c r="UG4" s="91"/>
      <c r="UH4" s="86" t="str">
        <f>IF(COUNT(UH5:UH9)=0,"",SUM(UH5:UH9)/COUNT(UH5:UH9))</f>
        <v/>
      </c>
      <c r="UI4" s="92" t="str">
        <f t="shared" ref="UI4:UI21" si="129">IF(UH4="","",IF(UH4&gt;3.7,"A",IF(UH4&gt;2.8,"B",IF(UH4&gt;1.5,"C",IF(UH4&gt;0,"D",IF(UH4=0,""))))))</f>
        <v/>
      </c>
      <c r="UJ4" s="93" t="str">
        <f>IF(COUNT(UJ5:UJ9)=0,"",SUM(UJ5:UJ9)/COUNT(UJ5:UJ9))</f>
        <v/>
      </c>
      <c r="UK4" s="94" t="str">
        <f t="shared" ref="UK4:UK21" si="130">IF(UJ4="","",IF(UJ4&gt;3.7,"A",IF(UJ4&gt;2.8,"B",IF(UJ4&gt;1.5,"C",IF(UJ4&gt;0,"D",IF(UJ4=0,""))))))</f>
        <v/>
      </c>
      <c r="UL4" s="84"/>
      <c r="UM4" s="65"/>
      <c r="UN4" s="85"/>
      <c r="UO4" s="86" t="str">
        <f>IF(COUNT(UO5:UO9)=0,"",SUM(UO5:UO9)/COUNT(UO5:UO9))</f>
        <v/>
      </c>
      <c r="UP4" s="87" t="str">
        <f t="shared" ref="UP4:UP21" si="131">IF(UO4="","",IF(UO4&gt;3.7,"A",IF(UO4&gt;2.8,"B",IF(UO4&gt;1.5,"C",IF(UO4&gt;0,"D",IF(UO4=0,""))))))</f>
        <v/>
      </c>
      <c r="UQ4" s="84"/>
      <c r="UR4" s="65"/>
      <c r="US4" s="85"/>
      <c r="UT4" s="86" t="str">
        <f>IF(COUNT(UT5:UT9)=0,"",SUM(UT5:UT9)/COUNT(UT5:UT9))</f>
        <v/>
      </c>
      <c r="UU4" s="88" t="str">
        <f t="shared" ref="UU4:UU21" si="132">IF(UT4="","",IF(UT4&gt;3.7,"A",IF(UT4&gt;2.8,"B",IF(UT4&gt;1.5,"C",IF(UT4&gt;0,"D",IF(UT4=0,""))))))</f>
        <v/>
      </c>
      <c r="UV4" s="89"/>
      <c r="UW4" s="90"/>
      <c r="UX4" s="91"/>
      <c r="UY4" s="86" t="str">
        <f>IF(COUNT(UY5:UY9)=0,"",SUM(UY5:UY9)/COUNT(UY5:UY9))</f>
        <v/>
      </c>
      <c r="UZ4" s="92" t="str">
        <f t="shared" ref="UZ4:UZ21" si="133">IF(UY4="","",IF(UY4&gt;3.7,"A",IF(UY4&gt;2.8,"B",IF(UY4&gt;1.5,"C",IF(UY4&gt;0,"D",IF(UY4=0,""))))))</f>
        <v/>
      </c>
      <c r="VA4" s="93" t="str">
        <f>IF(COUNT(VA5:VA9)=0,"",SUM(VA5:VA9)/COUNT(VA5:VA9))</f>
        <v/>
      </c>
      <c r="VB4" s="94" t="str">
        <f t="shared" ref="VB4:VB21" si="134">IF(VA4="","",IF(VA4&gt;3.7,"A",IF(VA4&gt;2.8,"B",IF(VA4&gt;1.5,"C",IF(VA4&gt;0,"D",IF(VA4=0,""))))))</f>
        <v/>
      </c>
      <c r="VC4" s="84"/>
      <c r="VD4" s="65"/>
      <c r="VE4" s="85"/>
      <c r="VF4" s="86" t="str">
        <f>IF(COUNT(VF5:VF9)=0,"",SUM(VF5:VF9)/COUNT(VF5:VF9))</f>
        <v/>
      </c>
      <c r="VG4" s="87" t="str">
        <f t="shared" ref="VG4:VG21" si="135">IF(VF4="","",IF(VF4&gt;3.7,"A",IF(VF4&gt;2.8,"B",IF(VF4&gt;1.5,"C",IF(VF4&gt;0,"D",IF(VF4=0,""))))))</f>
        <v/>
      </c>
      <c r="VH4" s="84"/>
      <c r="VI4" s="65"/>
      <c r="VJ4" s="85"/>
      <c r="VK4" s="86" t="str">
        <f>IF(COUNT(VK5:VK9)=0,"",SUM(VK5:VK9)/COUNT(VK5:VK9))</f>
        <v/>
      </c>
      <c r="VL4" s="88" t="str">
        <f t="shared" ref="VL4:VL21" si="136">IF(VK4="","",IF(VK4&gt;3.7,"A",IF(VK4&gt;2.8,"B",IF(VK4&gt;1.5,"C",IF(VK4&gt;0,"D",IF(VK4=0,""))))))</f>
        <v/>
      </c>
      <c r="VM4" s="89"/>
      <c r="VN4" s="90"/>
      <c r="VO4" s="91"/>
      <c r="VP4" s="86" t="str">
        <f>IF(COUNT(VP5:VP9)=0,"",SUM(VP5:VP9)/COUNT(VP5:VP9))</f>
        <v/>
      </c>
      <c r="VQ4" s="92" t="str">
        <f t="shared" ref="VQ4:VQ21" si="137">IF(VP4="","",IF(VP4&gt;3.7,"A",IF(VP4&gt;2.8,"B",IF(VP4&gt;1.5,"C",IF(VP4&gt;0,"D",IF(VP4=0,""))))))</f>
        <v/>
      </c>
      <c r="VR4" s="93" t="str">
        <f>IF(COUNT(VR5:VR9)=0,"",SUM(VR5:VR9)/COUNT(VR5:VR9))</f>
        <v/>
      </c>
      <c r="VS4" s="94" t="str">
        <f t="shared" ref="VS4:VS21" si="138">IF(VR4="","",IF(VR4&gt;3.7,"A",IF(VR4&gt;2.8,"B",IF(VR4&gt;1.5,"C",IF(VR4&gt;0,"D",IF(VR4=0,""))))))</f>
        <v/>
      </c>
      <c r="VT4" s="84"/>
      <c r="VU4" s="65"/>
      <c r="VV4" s="85"/>
      <c r="VW4" s="86" t="str">
        <f>IF(COUNT(VW5:VW9)=0,"",SUM(VW5:VW9)/COUNT(VW5:VW9))</f>
        <v/>
      </c>
      <c r="VX4" s="87" t="str">
        <f t="shared" ref="VX4:VX21" si="139">IF(VW4="","",IF(VW4&gt;3.7,"A",IF(VW4&gt;2.8,"B",IF(VW4&gt;1.5,"C",IF(VW4&gt;0,"D",IF(VW4=0,""))))))</f>
        <v/>
      </c>
      <c r="VY4" s="84"/>
      <c r="VZ4" s="65"/>
      <c r="WA4" s="85"/>
      <c r="WB4" s="86" t="str">
        <f>IF(COUNT(WB5:WB9)=0,"",SUM(WB5:WB9)/COUNT(WB5:WB9))</f>
        <v/>
      </c>
      <c r="WC4" s="88" t="str">
        <f t="shared" ref="WC4:WC21" si="140">IF(WB4="","",IF(WB4&gt;3.7,"A",IF(WB4&gt;2.8,"B",IF(WB4&gt;1.5,"C",IF(WB4&gt;0,"D",IF(WB4=0,""))))))</f>
        <v/>
      </c>
      <c r="WD4" s="89"/>
      <c r="WE4" s="90"/>
      <c r="WF4" s="91"/>
      <c r="WG4" s="86" t="str">
        <f>IF(COUNT(WG5:WG9)=0,"",SUM(WG5:WG9)/COUNT(WG5:WG9))</f>
        <v/>
      </c>
      <c r="WH4" s="92" t="str">
        <f t="shared" ref="WH4:WH21" si="141">IF(WG4="","",IF(WG4&gt;3.7,"A",IF(WG4&gt;2.8,"B",IF(WG4&gt;1.5,"C",IF(WG4&gt;0,"D",IF(WG4=0,""))))))</f>
        <v/>
      </c>
      <c r="WI4" s="93" t="str">
        <f>IF(COUNT(WI5:WI9)=0,"",SUM(WI5:WI9)/COUNT(WI5:WI9))</f>
        <v/>
      </c>
      <c r="WJ4" s="94" t="str">
        <f t="shared" ref="WJ4:WJ21" si="142">IF(WI4="","",IF(WI4&gt;3.7,"A",IF(WI4&gt;2.8,"B",IF(WI4&gt;1.5,"C",IF(WI4&gt;0,"D",IF(WI4=0,""))))))</f>
        <v/>
      </c>
    </row>
    <row r="5" spans="1:608" ht="18" customHeight="1" x14ac:dyDescent="0.55000000000000004">
      <c r="A5" s="217" t="s">
        <v>12</v>
      </c>
      <c r="B5" s="218"/>
      <c r="C5" s="96" t="s">
        <v>28</v>
      </c>
      <c r="D5" s="97" t="s">
        <v>28</v>
      </c>
      <c r="E5" s="98"/>
      <c r="F5" s="161">
        <f>IFERROR((((COUNTIF('Elève (3ème3)'!C5:E5,"A"))*4)+((COUNTIF('Elève (3ème3)'!C5:E5,"B"))*3)+((COUNTIF('Elève (3ème3)'!C5:E5,"C"))*2)+((COUNTIF('Elève (3ème3)'!C5:E5,"D"))*1))/(COUNTA(C5:E5)),"")</f>
        <v>3</v>
      </c>
      <c r="G5" s="162" t="str">
        <f t="shared" si="23"/>
        <v>B</v>
      </c>
      <c r="H5" s="96"/>
      <c r="I5" s="97"/>
      <c r="J5" s="98"/>
      <c r="K5" s="98"/>
      <c r="L5" s="161" t="str">
        <f>IFERROR((((COUNTIF('Elève (3ème3)'!H5:K5,"A"))*4)+((COUNTIF('Elève (3ème3)'!H5:K5,"B"))*3)+((COUNTIF('Elève (3ème3)'!H5:K5,"C"))*2)+((COUNTIF('Elève (3ème3)'!H5:K5,"D"))*1))/(COUNTA(H5:K5)),"")</f>
        <v/>
      </c>
      <c r="M5" s="162" t="str">
        <f t="shared" si="24"/>
        <v/>
      </c>
      <c r="N5" s="96" t="s">
        <v>28</v>
      </c>
      <c r="O5" s="97" t="s">
        <v>28</v>
      </c>
      <c r="P5" s="98"/>
      <c r="Q5" s="98"/>
      <c r="R5" s="98" t="s">
        <v>28</v>
      </c>
      <c r="S5" s="98"/>
      <c r="T5" s="161">
        <f>IFERROR((((COUNTIF('Elève (3ème3)'!N5:S5,"A"))*4)+((COUNTIF('Elève (3ème3)'!N5:S5,"B"))*3)+((COUNTIF('Elève (3ème3)'!N5:S5,"C"))*2)+((COUNTIF('Elève (3ème3)'!N5:S5,"D"))*1))/(COUNTA(N5:S5)),"")</f>
        <v>3</v>
      </c>
      <c r="U5" s="162" t="str">
        <f t="shared" si="25"/>
        <v>B</v>
      </c>
      <c r="V5" s="161">
        <f>IF(COUNT(F5,L5,T5)=0,"",SUM(F5,L5,T5)/COUNT(F5,L5,T5))</f>
        <v>3</v>
      </c>
      <c r="W5" s="186" t="str">
        <f t="shared" si="26"/>
        <v>B</v>
      </c>
      <c r="X5" s="96" t="s">
        <v>27</v>
      </c>
      <c r="Y5" s="97" t="s">
        <v>29</v>
      </c>
      <c r="Z5" s="98"/>
      <c r="AA5" s="161">
        <f>IFERROR((((COUNTIF('Elève (3ème3)'!X5:Z5,"A"))*4)+((COUNTIF('Elève (3ème3)'!X5:Z5,"B"))*3)+((COUNTIF('Elève (3ème3)'!X5:Z5,"C"))*2)+((COUNTIF('Elève (3ème3)'!X5:Z5,"D"))*1))/(COUNTA(X5:Z5)),"")</f>
        <v>3</v>
      </c>
      <c r="AB5" s="162" t="str">
        <f t="shared" si="27"/>
        <v>B</v>
      </c>
      <c r="AC5" s="96"/>
      <c r="AD5" s="97"/>
      <c r="AE5" s="98"/>
      <c r="AF5" s="98"/>
      <c r="AG5" s="161" t="str">
        <f>IFERROR((((COUNTIF('Elève (3ème3)'!AC5:AF5,"A"))*4)+((COUNTIF('Elève (3ème3)'!AC5:AF5,"B"))*3)+((COUNTIF('Elève (3ème3)'!AC5:AF5,"C"))*2)+((COUNTIF('Elève (3ème3)'!AC5:AF5,"D"))*1))/(COUNTA(AC5:AF5)),"")</f>
        <v/>
      </c>
      <c r="AH5" s="162" t="str">
        <f t="shared" si="28"/>
        <v/>
      </c>
      <c r="AI5" s="96" t="s">
        <v>28</v>
      </c>
      <c r="AJ5" s="97" t="s">
        <v>29</v>
      </c>
      <c r="AK5" s="98"/>
      <c r="AL5" s="98"/>
      <c r="AM5" s="98" t="s">
        <v>28</v>
      </c>
      <c r="AN5" s="102"/>
      <c r="AO5" s="161">
        <f>IFERROR((((COUNTIF('Elève (3ème3)'!AI5:AN5,"A"))*4)+((COUNTIF('Elève (3ème3)'!AI5:AN5,"B"))*3)+((COUNTIF('Elève (3ème3)'!AI5:AN5,"C"))*2)+((COUNTIF('Elève (3ème3)'!AI5:AN5,"D"))*1))/(COUNTA(AI5:AN5)),"")</f>
        <v>2.6666666666666665</v>
      </c>
      <c r="AP5" s="162" t="str">
        <f t="shared" si="29"/>
        <v>C</v>
      </c>
      <c r="AQ5" s="161">
        <f>IF(COUNT(AA5,AG5,AO5)=0,"",SUM(AA5,AG5,AO5)/COUNT(AA5,AG5,AO5))</f>
        <v>2.833333333333333</v>
      </c>
      <c r="AR5" s="186" t="str">
        <f t="shared" si="30"/>
        <v>B</v>
      </c>
      <c r="AS5" s="96" t="s">
        <v>30</v>
      </c>
      <c r="AT5" s="97" t="s">
        <v>27</v>
      </c>
      <c r="AU5" s="98"/>
      <c r="AV5" s="161">
        <f>IFERROR((((COUNTIF('Elève (3ème3)'!AS5:AU5,"A"))*4)+((COUNTIF('Elève (3ème3)'!AS5:AU5,"B"))*3)+((COUNTIF('Elève (3ème3)'!AS5:AU5,"C"))*2)+((COUNTIF('Elève (3ème3)'!AS5:AU5,"D"))*1))/(COUNTA(AS5:AU5)),"")</f>
        <v>2.5</v>
      </c>
      <c r="AW5" s="162" t="str">
        <f t="shared" si="31"/>
        <v>C</v>
      </c>
      <c r="AX5" s="96"/>
      <c r="AY5" s="97"/>
      <c r="AZ5" s="98"/>
      <c r="BA5" s="98"/>
      <c r="BB5" s="161" t="str">
        <f>IFERROR((((COUNTIF('Elève (3ème3)'!AX5:BA5,"A"))*4)+((COUNTIF('Elève (3ème3)'!AX5:BA5,"B"))*3)+((COUNTIF('Elève (3ème3)'!AX5:BA5,"C"))*2)+((COUNTIF('Elève (3ème3)'!AX5:BA5,"D"))*1))/(COUNTA(AX5:BA5)),"")</f>
        <v/>
      </c>
      <c r="BC5" s="162" t="str">
        <f t="shared" si="32"/>
        <v/>
      </c>
      <c r="BD5" s="96" t="s">
        <v>29</v>
      </c>
      <c r="BE5" s="97" t="s">
        <v>28</v>
      </c>
      <c r="BF5" s="98"/>
      <c r="BG5" s="98"/>
      <c r="BH5" s="98" t="s">
        <v>28</v>
      </c>
      <c r="BI5" s="102"/>
      <c r="BJ5" s="161">
        <f>IFERROR((((COUNTIF('Elève (3ème3)'!BD5:BI5,"A"))*4)+((COUNTIF('Elève (3ème3)'!BD5:BI5,"B"))*3)+((COUNTIF('Elève (3ème3)'!BD5:BI5,"C"))*2)+((COUNTIF('Elève (3ème3)'!BD5:BI5,"D"))*1))/(COUNTA(BD5:BI5)),"")</f>
        <v>2.6666666666666665</v>
      </c>
      <c r="BK5" s="162" t="str">
        <f t="shared" si="33"/>
        <v>C</v>
      </c>
      <c r="BL5" s="161">
        <f>IF(COUNT(AV5,BB5,BJ5)=0,"",SUM(AV5,BB5,BJ5)/COUNT(AV5,BB5,BJ5))</f>
        <v>2.583333333333333</v>
      </c>
      <c r="BM5" s="186" t="str">
        <f t="shared" si="34"/>
        <v>C</v>
      </c>
      <c r="BN5" s="96" t="s">
        <v>30</v>
      </c>
      <c r="BO5" s="97" t="s">
        <v>29</v>
      </c>
      <c r="BP5" s="98"/>
      <c r="BQ5" s="161">
        <f>IFERROR((((COUNTIF('Elève (3ème3)'!BN5:BP5,"A"))*4)+((COUNTIF('Elève (3ème3)'!BN5:BP5,"B"))*3)+((COUNTIF('Elève (3ème3)'!BN5:BP5,"C"))*2)+((COUNTIF('Elève (3ème3)'!BN5:BP5,"D"))*1))/(COUNTA(BN5:BP5)),"")</f>
        <v>1.5</v>
      </c>
      <c r="BR5" s="162" t="str">
        <f t="shared" si="35"/>
        <v>D</v>
      </c>
      <c r="BS5" s="96"/>
      <c r="BT5" s="97"/>
      <c r="BU5" s="98"/>
      <c r="BV5" s="98"/>
      <c r="BW5" s="161" t="str">
        <f>IFERROR((((COUNTIF('Elève (3ème3)'!BS5:BV5,"A"))*4)+((COUNTIF('Elève (3ème3)'!BS5:BV5,"B"))*3)+((COUNTIF('Elève (3ème3)'!BS5:BV5,"C"))*2)+((COUNTIF('Elève (3ème3)'!BS5:BV5,"D"))*1))/(COUNTA(BS5:BV5)),"")</f>
        <v/>
      </c>
      <c r="BX5" s="162" t="str">
        <f t="shared" si="36"/>
        <v/>
      </c>
      <c r="BY5" s="96" t="s">
        <v>28</v>
      </c>
      <c r="BZ5" s="97" t="s">
        <v>30</v>
      </c>
      <c r="CA5" s="98"/>
      <c r="CB5" s="98"/>
      <c r="CC5" s="98" t="s">
        <v>28</v>
      </c>
      <c r="CD5" s="102"/>
      <c r="CE5" s="161">
        <f>IFERROR((((COUNTIF('Elève (3ème3)'!BY5:CD5,"A"))*4)+((COUNTIF('Elève (3ème3)'!BY5:CD5,"B"))*3)+((COUNTIF('Elève (3ème3)'!BY5:CD5,"C"))*2)+((COUNTIF('Elève (3ème3)'!BY5:CD5,"D"))*1))/(COUNTA(BY5:CD5)),"")</f>
        <v>2.3333333333333335</v>
      </c>
      <c r="CF5" s="162" t="str">
        <f t="shared" si="37"/>
        <v>C</v>
      </c>
      <c r="CG5" s="161">
        <f>IF(COUNT(BQ5,BW5,CE5)=0,"",SUM(BQ5,BW5,CE5)/COUNT(BQ5,BW5,CE5))</f>
        <v>1.9166666666666667</v>
      </c>
      <c r="CH5" s="186" t="str">
        <f t="shared" si="38"/>
        <v>C</v>
      </c>
      <c r="CI5" s="96" t="s">
        <v>30</v>
      </c>
      <c r="CJ5" s="97" t="s">
        <v>28</v>
      </c>
      <c r="CK5" s="98"/>
      <c r="CL5" s="161">
        <f>IFERROR((((COUNTIF('Elève (3ème3)'!CI5:CK5,"A"))*4)+((COUNTIF('Elève (3ème3)'!CI5:CK5,"B"))*3)+((COUNTIF('Elève (3ème3)'!CI5:CK5,"C"))*2)+((COUNTIF('Elève (3ème3)'!CI5:CK5,"D"))*1))/(COUNTA(CI5:CK5)),"")</f>
        <v>2</v>
      </c>
      <c r="CM5" s="162" t="str">
        <f t="shared" si="39"/>
        <v>C</v>
      </c>
      <c r="CN5" s="96"/>
      <c r="CO5" s="97"/>
      <c r="CP5" s="98"/>
      <c r="CQ5" s="98"/>
      <c r="CR5" s="161" t="str">
        <f>IFERROR((((COUNTIF('Elève (3ème3)'!CN5:CQ5,"A"))*4)+((COUNTIF('Elève (3ème3)'!CN5:CQ5,"B"))*3)+((COUNTIF('Elève (3ème3)'!CN5:CQ5,"C"))*2)+((COUNTIF('Elève (3ème3)'!CN5:CQ5,"D"))*1))/(COUNTA(CN5:CQ5)),"")</f>
        <v/>
      </c>
      <c r="CS5" s="162" t="str">
        <f t="shared" si="40"/>
        <v/>
      </c>
      <c r="CT5" s="96" t="s">
        <v>28</v>
      </c>
      <c r="CU5" s="97" t="s">
        <v>29</v>
      </c>
      <c r="CV5" s="98"/>
      <c r="CW5" s="98"/>
      <c r="CX5" s="98" t="s">
        <v>28</v>
      </c>
      <c r="CY5" s="102"/>
      <c r="CZ5" s="161">
        <f>IFERROR((((COUNTIF('Elève (3ème3)'!CT5:CY5,"A"))*4)+((COUNTIF('Elève (3ème3)'!CT5:CY5,"B"))*3)+((COUNTIF('Elève (3ème3)'!CT5:CY5,"C"))*2)+((COUNTIF('Elève (3ème3)'!CT5:CY5,"D"))*1))/(COUNTA(CT5:CY5)),"")</f>
        <v>2.6666666666666665</v>
      </c>
      <c r="DA5" s="162" t="str">
        <f t="shared" si="41"/>
        <v>C</v>
      </c>
      <c r="DB5" s="161">
        <f>IF(COUNT(CL5,CR5,CZ5)=0,"",SUM(CL5,CR5,CZ5)/COUNT(CL5,CR5,CZ5))</f>
        <v>2.333333333333333</v>
      </c>
      <c r="DC5" s="186" t="str">
        <f t="shared" si="42"/>
        <v>C</v>
      </c>
      <c r="DD5" s="96" t="s">
        <v>30</v>
      </c>
      <c r="DE5" s="97" t="s">
        <v>30</v>
      </c>
      <c r="DF5" s="98"/>
      <c r="DG5" s="161">
        <f>IFERROR((((COUNTIF('Elève (3ème3)'!DD5:DF5,"A"))*4)+((COUNTIF('Elève (3ème3)'!DD5:DF5,"B"))*3)+((COUNTIF('Elève (3ème3)'!DD5:DF5,"C"))*2)+((COUNTIF('Elève (3ème3)'!DD5:DF5,"D"))*1))/(COUNTA(DD5:DF5)),"")</f>
        <v>1</v>
      </c>
      <c r="DH5" s="162" t="str">
        <f t="shared" si="43"/>
        <v>D</v>
      </c>
      <c r="DI5" s="96"/>
      <c r="DJ5" s="97"/>
      <c r="DK5" s="98"/>
      <c r="DL5" s="98"/>
      <c r="DM5" s="161" t="str">
        <f>IFERROR((((COUNTIF('Elève (3ème3)'!DI5:DL5,"A"))*4)+((COUNTIF('Elève (3ème3)'!DI5:DL5,"B"))*3)+((COUNTIF('Elève (3ème3)'!DI5:DL5,"C"))*2)+((COUNTIF('Elève (3ème3)'!DI5:DL5,"D"))*1))/(COUNTA(DI5:DL5)),"")</f>
        <v/>
      </c>
      <c r="DN5" s="162" t="str">
        <f t="shared" si="44"/>
        <v/>
      </c>
      <c r="DO5" s="96" t="s">
        <v>29</v>
      </c>
      <c r="DP5" s="97" t="s">
        <v>30</v>
      </c>
      <c r="DQ5" s="98"/>
      <c r="DR5" s="98"/>
      <c r="DS5" s="98" t="s">
        <v>28</v>
      </c>
      <c r="DT5" s="102"/>
      <c r="DU5" s="161">
        <f>IFERROR((((COUNTIF('Elève (3ème3)'!DO5:DT5,"A"))*4)+((COUNTIF('Elève (3ème3)'!DO5:DT5,"B"))*3)+((COUNTIF('Elève (3ème3)'!DO5:DT5,"C"))*2)+((COUNTIF('Elève (3ème3)'!DO5:DT5,"D"))*1))/(COUNTA(DO5:DT5)),"")</f>
        <v>2</v>
      </c>
      <c r="DV5" s="162" t="str">
        <f t="shared" si="45"/>
        <v>C</v>
      </c>
      <c r="DW5" s="161">
        <f>IF(COUNT(DG5,DM5,DU5)=0,"",SUM(DG5,DM5,DU5)/COUNT(DG5,DM5,DU5))</f>
        <v>1.5</v>
      </c>
      <c r="DX5" s="186" t="str">
        <f t="shared" si="46"/>
        <v>D</v>
      </c>
      <c r="DY5" s="96" t="s">
        <v>29</v>
      </c>
      <c r="DZ5" s="97" t="s">
        <v>27</v>
      </c>
      <c r="EA5" s="98"/>
      <c r="EB5" s="161">
        <f>IFERROR((((COUNTIF('Elève (3ème3)'!DY5:EA5,"A"))*4)+((COUNTIF('Elève (3ème3)'!DY5:EA5,"B"))*3)+((COUNTIF('Elève (3ème3)'!DY5:EA5,"C"))*2)+((COUNTIF('Elève (3ème3)'!DY5:EA5,"D"))*1))/(COUNTA(DY5:EA5)),"")</f>
        <v>3</v>
      </c>
      <c r="EC5" s="162" t="str">
        <f t="shared" si="47"/>
        <v>B</v>
      </c>
      <c r="ED5" s="96"/>
      <c r="EE5" s="97"/>
      <c r="EF5" s="98"/>
      <c r="EG5" s="98"/>
      <c r="EH5" s="161" t="str">
        <f>IFERROR((((COUNTIF('Elève (3ème3)'!ED5:EG5,"A"))*4)+((COUNTIF('Elève (3ème3)'!ED5:EG5,"B"))*3)+((COUNTIF('Elève (3ème3)'!ED5:EG5,"C"))*2)+((COUNTIF('Elève (3ème3)'!ED5:EG5,"D"))*1))/(COUNTA(ED5:EG5)),"")</f>
        <v/>
      </c>
      <c r="EI5" s="162" t="str">
        <f t="shared" si="48"/>
        <v/>
      </c>
      <c r="EJ5" s="96" t="s">
        <v>29</v>
      </c>
      <c r="EK5" s="97" t="s">
        <v>30</v>
      </c>
      <c r="EL5" s="98"/>
      <c r="EM5" s="98"/>
      <c r="EN5" s="98" t="s">
        <v>28</v>
      </c>
      <c r="EO5" s="102"/>
      <c r="EP5" s="161">
        <f>IFERROR((((COUNTIF('Elève (3ème3)'!EJ5:EO5,"A"))*4)+((COUNTIF('Elève (3ème3)'!EJ5:EO5,"B"))*3)+((COUNTIF('Elève (3ème3)'!EJ5:EO5,"C"))*2)+((COUNTIF('Elève (3ème3)'!EJ5:EO5,"D"))*1))/(COUNTA(EJ5:EO5)),"")</f>
        <v>2</v>
      </c>
      <c r="EQ5" s="162" t="str">
        <f t="shared" si="49"/>
        <v>C</v>
      </c>
      <c r="ER5" s="161">
        <f>IF(COUNT(EB5,EH5,EP5)=0,"",SUM(EB5,EH5,EP5)/COUNT(EB5,EH5,EP5))</f>
        <v>2.5</v>
      </c>
      <c r="ES5" s="186" t="str">
        <f t="shared" si="50"/>
        <v>C</v>
      </c>
      <c r="ET5" s="96" t="s">
        <v>28</v>
      </c>
      <c r="EU5" s="97" t="s">
        <v>28</v>
      </c>
      <c r="EV5" s="98"/>
      <c r="EW5" s="161">
        <f>IFERROR((((COUNTIF('Elève (3ème3)'!ET5:EV5,"A"))*4)+((COUNTIF('Elève (3ème3)'!ET5:EV5,"B"))*3)+((COUNTIF('Elève (3ème3)'!ET5:EV5,"C"))*2)+((COUNTIF('Elève (3ème3)'!ET5:EV5,"D"))*1))/(COUNTA(ET5:EV5)),"")</f>
        <v>3</v>
      </c>
      <c r="EX5" s="162" t="str">
        <f t="shared" si="51"/>
        <v>B</v>
      </c>
      <c r="EY5" s="96"/>
      <c r="EZ5" s="97"/>
      <c r="FA5" s="98"/>
      <c r="FB5" s="98"/>
      <c r="FC5" s="161" t="str">
        <f>IFERROR((((COUNTIF('Elève (3ème3)'!EY5:FB5,"A"))*4)+((COUNTIF('Elève (3ème3)'!EY5:FB5,"B"))*3)+((COUNTIF('Elève (3ème3)'!EY5:FB5,"C"))*2)+((COUNTIF('Elève (3ème3)'!EY5:FB5,"D"))*1))/(COUNTA(EY5:FB5)),"")</f>
        <v/>
      </c>
      <c r="FD5" s="162" t="str">
        <f t="shared" si="52"/>
        <v/>
      </c>
      <c r="FE5" s="96" t="s">
        <v>29</v>
      </c>
      <c r="FF5" s="97" t="s">
        <v>28</v>
      </c>
      <c r="FG5" s="98"/>
      <c r="FH5" s="98"/>
      <c r="FI5" s="98" t="s">
        <v>28</v>
      </c>
      <c r="FJ5" s="102"/>
      <c r="FK5" s="161">
        <f>IFERROR((((COUNTIF('Elève (3ème3)'!FE5:FJ5,"A"))*4)+((COUNTIF('Elève (3ème3)'!FE5:FJ5,"B"))*3)+((COUNTIF('Elève (3ème3)'!FE5:FJ5,"C"))*2)+((COUNTIF('Elève (3ème3)'!FE5:FJ5,"D"))*1))/(COUNTA(FE5:FJ5)),"")</f>
        <v>2.6666666666666665</v>
      </c>
      <c r="FL5" s="162" t="str">
        <f t="shared" si="53"/>
        <v>C</v>
      </c>
      <c r="FM5" s="161">
        <f>IF(COUNT(EW5,FC5,FK5)=0,"",SUM(EW5,FC5,FK5)/COUNT(EW5,FC5,FK5))</f>
        <v>2.833333333333333</v>
      </c>
      <c r="FN5" s="186" t="str">
        <f t="shared" si="54"/>
        <v>B</v>
      </c>
      <c r="FO5" s="96" t="s">
        <v>30</v>
      </c>
      <c r="FP5" s="97" t="s">
        <v>28</v>
      </c>
      <c r="FQ5" s="98"/>
      <c r="FR5" s="161">
        <f>IFERROR((((COUNTIF('Elève (3ème3)'!FO5:FQ5,"A"))*4)+((COUNTIF('Elève (3ème3)'!FO5:FQ5,"B"))*3)+((COUNTIF('Elève (3ème3)'!FO5:FQ5,"C"))*2)+((COUNTIF('Elève (3ème3)'!FO5:FQ5,"D"))*1))/(COUNTA(FO5:FQ5)),"")</f>
        <v>2</v>
      </c>
      <c r="FS5" s="162" t="str">
        <f t="shared" si="55"/>
        <v>C</v>
      </c>
      <c r="FT5" s="96"/>
      <c r="FU5" s="97"/>
      <c r="FV5" s="98"/>
      <c r="FW5" s="98"/>
      <c r="FX5" s="161" t="str">
        <f>IFERROR((((COUNTIF('Elève (3ème3)'!FT5:FW5,"A"))*4)+((COUNTIF('Elève (3ème3)'!FT5:FW5,"B"))*3)+((COUNTIF('Elève (3ème3)'!FT5:FW5,"C"))*2)+((COUNTIF('Elève (3ème3)'!FT5:FW5,"D"))*1))/(COUNTA(FT5:FW5)),"")</f>
        <v/>
      </c>
      <c r="FY5" s="162" t="str">
        <f t="shared" si="56"/>
        <v/>
      </c>
      <c r="FZ5" s="96" t="s">
        <v>27</v>
      </c>
      <c r="GA5" s="97"/>
      <c r="GB5" s="98"/>
      <c r="GC5" s="98"/>
      <c r="GD5" s="98" t="s">
        <v>28</v>
      </c>
      <c r="GE5" s="102"/>
      <c r="GF5" s="161">
        <f>IFERROR((((COUNTIF('Elève (3ème3)'!FZ5:GE5,"A"))*4)+((COUNTIF('Elève (3ème3)'!FZ5:GE5,"B"))*3)+((COUNTIF('Elève (3ème3)'!FZ5:GE5,"C"))*2)+((COUNTIF('Elève (3ème3)'!FZ5:GE5,"D"))*1))/(COUNTA(FZ5:GE5)),"")</f>
        <v>3.5</v>
      </c>
      <c r="GG5" s="162" t="str">
        <f t="shared" si="57"/>
        <v>B</v>
      </c>
      <c r="GH5" s="161">
        <f>IF(COUNT(FR5,FX5,GF5)=0,"",SUM(FR5,FX5,GF5)/COUNT(FR5,FX5,GF5))</f>
        <v>2.75</v>
      </c>
      <c r="GI5" s="186" t="str">
        <f t="shared" si="58"/>
        <v>C</v>
      </c>
      <c r="GJ5" s="96" t="s">
        <v>29</v>
      </c>
      <c r="GK5" s="97" t="s">
        <v>28</v>
      </c>
      <c r="GL5" s="98"/>
      <c r="GM5" s="161">
        <f>IFERROR((((COUNTIF('Elève (3ème3)'!GJ5:GL5,"A"))*4)+((COUNTIF('Elève (3ème3)'!GJ5:GL5,"B"))*3)+((COUNTIF('Elève (3ème3)'!GJ5:GL5,"C"))*2)+((COUNTIF('Elève (3ème3)'!GJ5:GL5,"D"))*1))/(COUNTA(GJ5:GL5)),"")</f>
        <v>2.5</v>
      </c>
      <c r="GN5" s="162" t="str">
        <f t="shared" si="59"/>
        <v>C</v>
      </c>
      <c r="GO5" s="96"/>
      <c r="GP5" s="97"/>
      <c r="GQ5" s="98"/>
      <c r="GR5" s="98"/>
      <c r="GS5" s="161" t="str">
        <f>IFERROR((((COUNTIF('Elève (3ème3)'!GO5:GR5,"A"))*4)+((COUNTIF('Elève (3ème3)'!GO5:GR5,"B"))*3)+((COUNTIF('Elève (3ème3)'!GO5:GR5,"C"))*2)+((COUNTIF('Elève (3ème3)'!GO5:GR5,"D"))*1))/(COUNTA(GO5:GR5)),"")</f>
        <v/>
      </c>
      <c r="GT5" s="162" t="str">
        <f t="shared" si="60"/>
        <v/>
      </c>
      <c r="GU5" s="96" t="s">
        <v>28</v>
      </c>
      <c r="GV5" s="97" t="s">
        <v>28</v>
      </c>
      <c r="GW5" s="98"/>
      <c r="GX5" s="98"/>
      <c r="GY5" s="98" t="s">
        <v>28</v>
      </c>
      <c r="GZ5" s="102"/>
      <c r="HA5" s="161">
        <f>IFERROR((((COUNTIF('Elève (3ème3)'!GU5:GZ5,"A"))*4)+((COUNTIF('Elève (3ème3)'!GU5:GZ5,"B"))*3)+((COUNTIF('Elève (3ème3)'!GU5:GZ5,"C"))*2)+((COUNTIF('Elève (3ème3)'!GU5:GZ5,"D"))*1))/(COUNTA(GU5:GZ5)),"")</f>
        <v>3</v>
      </c>
      <c r="HB5" s="162" t="str">
        <f t="shared" si="61"/>
        <v>B</v>
      </c>
      <c r="HC5" s="161">
        <f>IF(COUNT(GM5,GS5,HA5)=0,"",SUM(GM5,GS5,HA5)/COUNT(GM5,GS5,HA5))</f>
        <v>2.75</v>
      </c>
      <c r="HD5" s="186" t="str">
        <f t="shared" si="62"/>
        <v>C</v>
      </c>
      <c r="HE5" s="96" t="s">
        <v>28</v>
      </c>
      <c r="HF5" s="97" t="s">
        <v>28</v>
      </c>
      <c r="HG5" s="98"/>
      <c r="HH5" s="161">
        <f>IFERROR((((COUNTIF('Elève (3ème3)'!HE5:HG5,"A"))*4)+((COUNTIF('Elève (3ème3)'!HE5:HG5,"B"))*3)+((COUNTIF('Elève (3ème3)'!HE5:HG5,"C"))*2)+((COUNTIF('Elève (3ème3)'!HE5:HG5,"D"))*1))/(COUNTA(HE5:HG5)),"")</f>
        <v>3</v>
      </c>
      <c r="HI5" s="162" t="str">
        <f t="shared" si="63"/>
        <v>B</v>
      </c>
      <c r="HJ5" s="96"/>
      <c r="HK5" s="97"/>
      <c r="HL5" s="98"/>
      <c r="HM5" s="98"/>
      <c r="HN5" s="161" t="str">
        <f>IFERROR((((COUNTIF('Elève (3ème3)'!HJ5:HM5,"A"))*4)+((COUNTIF('Elève (3ème3)'!HJ5:HM5,"B"))*3)+((COUNTIF('Elève (3ème3)'!HJ5:HM5,"C"))*2)+((COUNTIF('Elève (3ème3)'!HJ5:HM5,"D"))*1))/(COUNTA(HJ5:HM5)),"")</f>
        <v/>
      </c>
      <c r="HO5" s="162" t="str">
        <f t="shared" si="64"/>
        <v/>
      </c>
      <c r="HP5" s="96" t="s">
        <v>28</v>
      </c>
      <c r="HQ5" s="97" t="s">
        <v>28</v>
      </c>
      <c r="HR5" s="98"/>
      <c r="HS5" s="98"/>
      <c r="HT5" s="98" t="s">
        <v>28</v>
      </c>
      <c r="HU5" s="102"/>
      <c r="HV5" s="161">
        <f>IFERROR((((COUNTIF('Elève (3ème3)'!HP5:HU5,"A"))*4)+((COUNTIF('Elève (3ème3)'!HP5:HU5,"B"))*3)+((COUNTIF('Elève (3ème3)'!HP5:HU5,"C"))*2)+((COUNTIF('Elève (3ème3)'!HP5:HU5,"D"))*1))/(COUNTA(HP5:HU5)),"")</f>
        <v>3</v>
      </c>
      <c r="HW5" s="162" t="str">
        <f t="shared" si="65"/>
        <v>B</v>
      </c>
      <c r="HX5" s="161">
        <f>IF(COUNT(HH5,HN5,HV5)=0,"",SUM(HH5,HN5,HV5)/COUNT(HH5,HN5,HV5))</f>
        <v>3</v>
      </c>
      <c r="HY5" s="186" t="str">
        <f t="shared" si="66"/>
        <v>B</v>
      </c>
      <c r="HZ5" s="96" t="s">
        <v>30</v>
      </c>
      <c r="IA5" s="97" t="s">
        <v>29</v>
      </c>
      <c r="IB5" s="98"/>
      <c r="IC5" s="161">
        <f>IFERROR((((COUNTIF('Elève (3ème3)'!HZ5:IB5,"A"))*4)+((COUNTIF('Elève (3ème3)'!HZ5:IB5,"B"))*3)+((COUNTIF('Elève (3ème3)'!HZ5:IB5,"C"))*2)+((COUNTIF('Elève (3ème3)'!HZ5:IB5,"D"))*1))/(COUNTA(HZ5:IB5)),"")</f>
        <v>1.5</v>
      </c>
      <c r="ID5" s="162" t="str">
        <f t="shared" si="67"/>
        <v>D</v>
      </c>
      <c r="IE5" s="96"/>
      <c r="IF5" s="97"/>
      <c r="IG5" s="98"/>
      <c r="IH5" s="98"/>
      <c r="II5" s="161" t="str">
        <f>IFERROR((((COUNTIF('Elève (3ème3)'!IE5:IH5,"A"))*4)+((COUNTIF('Elève (3ème3)'!IE5:IH5,"B"))*3)+((COUNTIF('Elève (3ème3)'!IE5:IH5,"C"))*2)+((COUNTIF('Elève (3ème3)'!IE5:IH5,"D"))*1))/(COUNTA(IE5:IH5)),"")</f>
        <v/>
      </c>
      <c r="IJ5" s="162" t="str">
        <f t="shared" si="68"/>
        <v/>
      </c>
      <c r="IK5" s="96" t="s">
        <v>28</v>
      </c>
      <c r="IL5" s="97" t="s">
        <v>30</v>
      </c>
      <c r="IM5" s="98"/>
      <c r="IN5" s="98"/>
      <c r="IO5" s="98" t="s">
        <v>29</v>
      </c>
      <c r="IP5" s="102"/>
      <c r="IQ5" s="161">
        <f>IFERROR((((COUNTIF('Elève (3ème3)'!IK5:IP5,"A"))*4)+((COUNTIF('Elève (3ème3)'!IK5:IP5,"B"))*3)+((COUNTIF('Elève (3ème3)'!IK5:IP5,"C"))*2)+((COUNTIF('Elève (3ème3)'!IK5:IP5,"D"))*1))/(COUNTA(IK5:IP5)),"")</f>
        <v>2</v>
      </c>
      <c r="IR5" s="162" t="str">
        <f t="shared" si="69"/>
        <v>C</v>
      </c>
      <c r="IS5" s="161">
        <f>IF(COUNT(IC5,II5,IQ5)=0,"",SUM(IC5,II5,IQ5)/COUNT(IC5,II5,IQ5))</f>
        <v>1.75</v>
      </c>
      <c r="IT5" s="186" t="str">
        <f t="shared" si="70"/>
        <v>C</v>
      </c>
      <c r="IU5" s="96" t="s">
        <v>29</v>
      </c>
      <c r="IV5" s="97" t="s">
        <v>29</v>
      </c>
      <c r="IW5" s="98"/>
      <c r="IX5" s="161">
        <f>IFERROR((((COUNTIF('Elève (3ème3)'!IU5:IW5,"A"))*4)+((COUNTIF('Elève (3ème3)'!IU5:IW5,"B"))*3)+((COUNTIF('Elève (3ème3)'!IU5:IW5,"C"))*2)+((COUNTIF('Elève (3ème3)'!IU5:IW5,"D"))*1))/(COUNTA(IU5:IW5)),"")</f>
        <v>2</v>
      </c>
      <c r="IY5" s="162" t="str">
        <f t="shared" si="71"/>
        <v>C</v>
      </c>
      <c r="IZ5" s="96"/>
      <c r="JA5" s="97"/>
      <c r="JB5" s="98"/>
      <c r="JC5" s="98"/>
      <c r="JD5" s="161" t="str">
        <f>IFERROR((((COUNTIF('Elève (3ème3)'!IZ5:JC5,"A"))*4)+((COUNTIF('Elève (3ème3)'!IZ5:JC5,"B"))*3)+((COUNTIF('Elève (3ème3)'!IZ5:JC5,"C"))*2)+((COUNTIF('Elève (3ème3)'!IZ5:JC5,"D"))*1))/(COUNTA(IZ5:JC5)),"")</f>
        <v/>
      </c>
      <c r="JE5" s="162" t="str">
        <f t="shared" si="72"/>
        <v/>
      </c>
      <c r="JF5" s="96" t="s">
        <v>28</v>
      </c>
      <c r="JG5" s="97" t="s">
        <v>28</v>
      </c>
      <c r="JH5" s="98"/>
      <c r="JI5" s="98"/>
      <c r="JJ5" s="98" t="s">
        <v>28</v>
      </c>
      <c r="JK5" s="102"/>
      <c r="JL5" s="161">
        <f>IFERROR((((COUNTIF('Elève (3ème3)'!JF5:JK5,"A"))*4)+((COUNTIF('Elève (3ème3)'!JF5:JK5,"B"))*3)+((COUNTIF('Elève (3ème3)'!JF5:JK5,"C"))*2)+((COUNTIF('Elève (3ème3)'!JF5:JK5,"D"))*1))/(COUNTA(JF5:JK5)),"")</f>
        <v>3</v>
      </c>
      <c r="JM5" s="162" t="str">
        <f t="shared" si="73"/>
        <v>B</v>
      </c>
      <c r="JN5" s="161">
        <f>IF(COUNT(IX5,JD5,JL5)=0,"",SUM(IX5,JD5,JL5)/COUNT(IX5,JD5,JL5))</f>
        <v>2.5</v>
      </c>
      <c r="JO5" s="186" t="str">
        <f t="shared" si="74"/>
        <v>C</v>
      </c>
      <c r="JP5" s="96" t="s">
        <v>27</v>
      </c>
      <c r="JQ5" s="97" t="s">
        <v>29</v>
      </c>
      <c r="JR5" s="98"/>
      <c r="JS5" s="161">
        <f>IFERROR((((COUNTIF('Elève (3ème3)'!JP5:JR5,"A"))*4)+((COUNTIF('Elève (3ème3)'!JP5:JR5,"B"))*3)+((COUNTIF('Elève (3ème3)'!JP5:JR5,"C"))*2)+((COUNTIF('Elève (3ème3)'!JP5:JR5,"D"))*1))/(COUNTA(JP5:JR5)),"")</f>
        <v>3</v>
      </c>
      <c r="JT5" s="162" t="str">
        <f t="shared" si="75"/>
        <v>B</v>
      </c>
      <c r="JU5" s="96"/>
      <c r="JV5" s="97"/>
      <c r="JW5" s="98"/>
      <c r="JX5" s="98"/>
      <c r="JY5" s="161" t="str">
        <f>IFERROR((((COUNTIF('Elève (3ème3)'!JU5:JX5,"A"))*4)+((COUNTIF('Elève (3ème3)'!JU5:JX5,"B"))*3)+((COUNTIF('Elève (3ème3)'!JU5:JX5,"C"))*2)+((COUNTIF('Elève (3ème3)'!JU5:JX5,"D"))*1))/(COUNTA(JU5:JX5)),"")</f>
        <v/>
      </c>
      <c r="JZ5" s="162" t="str">
        <f t="shared" si="76"/>
        <v/>
      </c>
      <c r="KA5" s="96" t="s">
        <v>28</v>
      </c>
      <c r="KB5" s="97" t="s">
        <v>28</v>
      </c>
      <c r="KC5" s="98"/>
      <c r="KD5" s="98"/>
      <c r="KE5" s="98" t="s">
        <v>28</v>
      </c>
      <c r="KF5" s="102"/>
      <c r="KG5" s="161">
        <f>IFERROR((((COUNTIF('Elève (3ème3)'!KA5:KF5,"A"))*4)+((COUNTIF('Elève (3ème3)'!KA5:KF5,"B"))*3)+((COUNTIF('Elève (3ème3)'!KA5:KF5,"C"))*2)+((COUNTIF('Elève (3ème3)'!KA5:KF5,"D"))*1))/(COUNTA(KA5:KF5)),"")</f>
        <v>3</v>
      </c>
      <c r="KH5" s="162" t="str">
        <f t="shared" si="77"/>
        <v>B</v>
      </c>
      <c r="KI5" s="161">
        <f>IF(COUNT(JS5,JY5,KG5)=0,"",SUM(JS5,JY5,KG5)/COUNT(JS5,JY5,KG5))</f>
        <v>3</v>
      </c>
      <c r="KJ5" s="186" t="str">
        <f t="shared" si="78"/>
        <v>B</v>
      </c>
      <c r="KK5" s="96" t="s">
        <v>30</v>
      </c>
      <c r="KL5" s="97" t="s">
        <v>29</v>
      </c>
      <c r="KM5" s="98"/>
      <c r="KN5" s="161">
        <f>IFERROR((((COUNTIF('Elève (3ème3)'!KK5:KM5,"A"))*4)+((COUNTIF('Elève (3ème3)'!KK5:KM5,"B"))*3)+((COUNTIF('Elève (3ème3)'!KK5:KM5,"C"))*2)+((COUNTIF('Elève (3ème3)'!KK5:KM5,"D"))*1))/(COUNTA(KK5:KM5)),"")</f>
        <v>1.5</v>
      </c>
      <c r="KO5" s="162" t="str">
        <f t="shared" si="79"/>
        <v>D</v>
      </c>
      <c r="KP5" s="96"/>
      <c r="KQ5" s="97"/>
      <c r="KR5" s="98"/>
      <c r="KS5" s="98"/>
      <c r="KT5" s="161" t="str">
        <f>IFERROR((((COUNTIF('Elève (3ème3)'!KP5:KS5,"A"))*4)+((COUNTIF('Elève (3ème3)'!KP5:KS5,"B"))*3)+((COUNTIF('Elève (3ème3)'!KP5:KS5,"C"))*2)+((COUNTIF('Elève (3ème3)'!KP5:KS5,"D"))*1))/(COUNTA(KP5:KS5)),"")</f>
        <v/>
      </c>
      <c r="KU5" s="162" t="str">
        <f t="shared" si="80"/>
        <v/>
      </c>
      <c r="KV5" s="96" t="s">
        <v>29</v>
      </c>
      <c r="KW5" s="97" t="s">
        <v>30</v>
      </c>
      <c r="KX5" s="98"/>
      <c r="KY5" s="98"/>
      <c r="KZ5" s="98" t="s">
        <v>29</v>
      </c>
      <c r="LA5" s="102"/>
      <c r="LB5" s="161">
        <f>IFERROR((((COUNTIF('Elève (3ème3)'!KV5:LA5,"A"))*4)+((COUNTIF('Elève (3ème3)'!KV5:LA5,"B"))*3)+((COUNTIF('Elève (3ème3)'!KV5:LA5,"C"))*2)+((COUNTIF('Elève (3ème3)'!KV5:LA5,"D"))*1))/(COUNTA(KV5:LA5)),"")</f>
        <v>1.6666666666666667</v>
      </c>
      <c r="LC5" s="162" t="str">
        <f t="shared" si="81"/>
        <v>C</v>
      </c>
      <c r="LD5" s="161">
        <f>IF(COUNT(KN5,KT5,LB5)=0,"",SUM(KN5,KT5,LB5)/COUNT(KN5,KT5,LB5))</f>
        <v>1.5833333333333335</v>
      </c>
      <c r="LE5" s="186" t="str">
        <f t="shared" si="82"/>
        <v>C</v>
      </c>
      <c r="LF5" s="96" t="s">
        <v>30</v>
      </c>
      <c r="LG5" s="97" t="s">
        <v>28</v>
      </c>
      <c r="LH5" s="98"/>
      <c r="LI5" s="161">
        <f>IFERROR((((COUNTIF('Elève (3ème3)'!LF5:LH5,"A"))*4)+((COUNTIF('Elève (3ème3)'!LF5:LH5,"B"))*3)+((COUNTIF('Elève (3ème3)'!LF5:LH5,"C"))*2)+((COUNTIF('Elève (3ème3)'!LF5:LH5,"D"))*1))/(COUNTA(LF5:LH5)),"")</f>
        <v>2</v>
      </c>
      <c r="LJ5" s="162" t="str">
        <f t="shared" si="83"/>
        <v>C</v>
      </c>
      <c r="LK5" s="96"/>
      <c r="LL5" s="97"/>
      <c r="LM5" s="98"/>
      <c r="LN5" s="98"/>
      <c r="LO5" s="161" t="str">
        <f>IFERROR((((COUNTIF('Elève (3ème3)'!LK5:LN5,"A"))*4)+((COUNTIF('Elève (3ème3)'!LK5:LN5,"B"))*3)+((COUNTIF('Elève (3ème3)'!LK5:LN5,"C"))*2)+((COUNTIF('Elève (3ème3)'!LK5:LN5,"D"))*1))/(COUNTA(LK5:LN5)),"")</f>
        <v/>
      </c>
      <c r="LP5" s="162" t="str">
        <f t="shared" si="84"/>
        <v/>
      </c>
      <c r="LQ5" s="96" t="s">
        <v>29</v>
      </c>
      <c r="LR5" s="97" t="s">
        <v>30</v>
      </c>
      <c r="LS5" s="98"/>
      <c r="LT5" s="98"/>
      <c r="LU5" s="98" t="s">
        <v>28</v>
      </c>
      <c r="LV5" s="102"/>
      <c r="LW5" s="161">
        <f>IFERROR((((COUNTIF('Elève (3ème3)'!LQ5:LV5,"A"))*4)+((COUNTIF('Elève (3ème3)'!LQ5:LV5,"B"))*3)+((COUNTIF('Elève (3ème3)'!LQ5:LV5,"C"))*2)+((COUNTIF('Elève (3ème3)'!LQ5:LV5,"D"))*1))/(COUNTA(LQ5:LV5)),"")</f>
        <v>2</v>
      </c>
      <c r="LX5" s="162" t="str">
        <f t="shared" si="85"/>
        <v>C</v>
      </c>
      <c r="LY5" s="161">
        <f>IF(COUNT(LI5,LO5,LW5)=0,"",SUM(LI5,LO5,LW5)/COUNT(LI5,LO5,LW5))</f>
        <v>2</v>
      </c>
      <c r="LZ5" s="186" t="str">
        <f t="shared" si="86"/>
        <v>C</v>
      </c>
      <c r="MA5" s="96" t="s">
        <v>30</v>
      </c>
      <c r="MB5" s="97" t="s">
        <v>30</v>
      </c>
      <c r="MC5" s="98"/>
      <c r="MD5" s="161">
        <f>IFERROR((((COUNTIF('Elève (3ème3)'!MA5:MC5,"A"))*4)+((COUNTIF('Elève (3ème3)'!MA5:MC5,"B"))*3)+((COUNTIF('Elève (3ème3)'!MA5:MC5,"C"))*2)+((COUNTIF('Elève (3ème3)'!MA5:MC5,"D"))*1))/(COUNTA(MA5:MC5)),"")</f>
        <v>1</v>
      </c>
      <c r="ME5" s="162" t="str">
        <f t="shared" si="87"/>
        <v>D</v>
      </c>
      <c r="MF5" s="96"/>
      <c r="MG5" s="97"/>
      <c r="MH5" s="98"/>
      <c r="MI5" s="98"/>
      <c r="MJ5" s="161" t="str">
        <f>IFERROR((((COUNTIF('Elève (3ème3)'!MF5:MI5,"A"))*4)+((COUNTIF('Elève (3ème3)'!MF5:MI5,"B"))*3)+((COUNTIF('Elève (3ème3)'!MF5:MI5,"C"))*2)+((COUNTIF('Elève (3ème3)'!MF5:MI5,"D"))*1))/(COUNTA(MF5:MI5)),"")</f>
        <v/>
      </c>
      <c r="MK5" s="162" t="str">
        <f t="shared" si="88"/>
        <v/>
      </c>
      <c r="ML5" s="96" t="s">
        <v>29</v>
      </c>
      <c r="MM5" s="97" t="s">
        <v>30</v>
      </c>
      <c r="MN5" s="98"/>
      <c r="MO5" s="98"/>
      <c r="MP5" s="98" t="s">
        <v>29</v>
      </c>
      <c r="MQ5" s="102"/>
      <c r="MR5" s="161">
        <f>IFERROR((((COUNTIF('Elève (3ème3)'!ML5:MQ5,"A"))*4)+((COUNTIF('Elève (3ème3)'!ML5:MQ5,"B"))*3)+((COUNTIF('Elève (3ème3)'!ML5:MQ5,"C"))*2)+((COUNTIF('Elève (3ème3)'!ML5:MQ5,"D"))*1))/(COUNTA(ML5:MQ5)),"")</f>
        <v>1.6666666666666667</v>
      </c>
      <c r="MS5" s="162" t="str">
        <f t="shared" si="89"/>
        <v>C</v>
      </c>
      <c r="MT5" s="161">
        <f>IF(COUNT(MD5,MJ5,MR5)=0,"",SUM(MD5,MJ5,MR5)/COUNT(MD5,MJ5,MR5))</f>
        <v>1.3333333333333335</v>
      </c>
      <c r="MU5" s="186" t="str">
        <f t="shared" si="90"/>
        <v>D</v>
      </c>
      <c r="MV5" s="96" t="s">
        <v>29</v>
      </c>
      <c r="MW5" s="97" t="s">
        <v>28</v>
      </c>
      <c r="MX5" s="98"/>
      <c r="MY5" s="161">
        <f>IFERROR((((COUNTIF('Elève (3ème3)'!MV5:MX5,"A"))*4)+((COUNTIF('Elève (3ème3)'!MV5:MX5,"B"))*3)+((COUNTIF('Elève (3ème3)'!MV5:MX5,"C"))*2)+((COUNTIF('Elève (3ème3)'!MV5:MX5,"D"))*1))/(COUNTA(MV5:MX5)),"")</f>
        <v>2.5</v>
      </c>
      <c r="MZ5" s="162" t="str">
        <f t="shared" si="91"/>
        <v>C</v>
      </c>
      <c r="NA5" s="96"/>
      <c r="NB5" s="97"/>
      <c r="NC5" s="98"/>
      <c r="ND5" s="98"/>
      <c r="NE5" s="161" t="str">
        <f>IFERROR((((COUNTIF('Elève (3ème3)'!NA5:ND5,"A"))*4)+((COUNTIF('Elève (3ème3)'!NA5:ND5,"B"))*3)+((COUNTIF('Elève (3ème3)'!NA5:ND5,"C"))*2)+((COUNTIF('Elève (3ème3)'!NA5:ND5,"D"))*1))/(COUNTA(NA5:ND5)),"")</f>
        <v/>
      </c>
      <c r="NF5" s="162" t="str">
        <f t="shared" si="92"/>
        <v/>
      </c>
      <c r="NG5" s="96" t="s">
        <v>29</v>
      </c>
      <c r="NH5" s="97" t="s">
        <v>28</v>
      </c>
      <c r="NI5" s="98"/>
      <c r="NJ5" s="98"/>
      <c r="NK5" s="98" t="s">
        <v>29</v>
      </c>
      <c r="NL5" s="102"/>
      <c r="NM5" s="161">
        <f>IFERROR((((COUNTIF('Elève (3ème3)'!NG5:NL5,"A"))*4)+((COUNTIF('Elève (3ème3)'!NG5:NL5,"B"))*3)+((COUNTIF('Elève (3ème3)'!NG5:NL5,"C"))*2)+((COUNTIF('Elève (3ème3)'!NG5:NL5,"D"))*1))/(COUNTA(NG5:NL5)),"")</f>
        <v>2.3333333333333335</v>
      </c>
      <c r="NN5" s="162" t="str">
        <f t="shared" si="93"/>
        <v>C</v>
      </c>
      <c r="NO5" s="161">
        <f>IF(COUNT(MY5,NE5,NM5)=0,"",SUM(MY5,NE5,NM5)/COUNT(MY5,NE5,NM5))</f>
        <v>2.416666666666667</v>
      </c>
      <c r="NP5" s="186" t="str">
        <f t="shared" si="94"/>
        <v>C</v>
      </c>
      <c r="NQ5" s="96" t="s">
        <v>30</v>
      </c>
      <c r="NR5" s="97" t="s">
        <v>28</v>
      </c>
      <c r="NS5" s="98"/>
      <c r="NT5" s="161">
        <f>IFERROR((((COUNTIF('Elève (3ème3)'!NQ5:NS5,"A"))*4)+((COUNTIF('Elève (3ème3)'!NQ5:NS5,"B"))*3)+((COUNTIF('Elève (3ème3)'!NQ5:NS5,"C"))*2)+((COUNTIF('Elève (3ème3)'!NQ5:NS5,"D"))*1))/(COUNTA(NQ5:NS5)),"")</f>
        <v>2</v>
      </c>
      <c r="NU5" s="162" t="str">
        <f t="shared" si="95"/>
        <v>C</v>
      </c>
      <c r="NV5" s="96"/>
      <c r="NW5" s="97"/>
      <c r="NX5" s="98"/>
      <c r="NY5" s="98"/>
      <c r="NZ5" s="161" t="str">
        <f>IFERROR((((COUNTIF('Elève (3ème3)'!NV5:NY5,"A"))*4)+((COUNTIF('Elève (3ème3)'!NV5:NY5,"B"))*3)+((COUNTIF('Elève (3ème3)'!NV5:NY5,"C"))*2)+((COUNTIF('Elève (3ème3)'!NV5:NY5,"D"))*1))/(COUNTA(NV5:NY5)),"")</f>
        <v/>
      </c>
      <c r="OA5" s="162" t="str">
        <f t="shared" si="96"/>
        <v/>
      </c>
      <c r="OB5" s="96" t="s">
        <v>29</v>
      </c>
      <c r="OC5" s="97" t="s">
        <v>29</v>
      </c>
      <c r="OD5" s="98"/>
      <c r="OE5" s="98"/>
      <c r="OF5" s="98" t="s">
        <v>28</v>
      </c>
      <c r="OG5" s="102"/>
      <c r="OH5" s="161">
        <f>IFERROR((((COUNTIF('Elève (3ème3)'!OB5:OG5,"A"))*4)+((COUNTIF('Elève (3ème3)'!OB5:OG5,"B"))*3)+((COUNTIF('Elève (3ème3)'!OB5:OG5,"C"))*2)+((COUNTIF('Elève (3ème3)'!OB5:OG5,"D"))*1))/(COUNTA(OB5:OG5)),"")</f>
        <v>2.3333333333333335</v>
      </c>
      <c r="OI5" s="162" t="str">
        <f t="shared" si="97"/>
        <v>C</v>
      </c>
      <c r="OJ5" s="161">
        <f>IF(COUNT(NT5,NZ5,OH5)=0,"",SUM(NT5,NZ5,OH5)/COUNT(NT5,NZ5,OH5))</f>
        <v>2.166666666666667</v>
      </c>
      <c r="OK5" s="186" t="str">
        <f t="shared" si="98"/>
        <v>C</v>
      </c>
      <c r="OL5" s="96" t="s">
        <v>30</v>
      </c>
      <c r="OM5" s="97" t="s">
        <v>28</v>
      </c>
      <c r="ON5" s="98"/>
      <c r="OO5" s="161">
        <f>IFERROR((((COUNTIF('Elève (3ème3)'!OL5:ON5,"A"))*4)+((COUNTIF('Elève (3ème3)'!OL5:ON5,"B"))*3)+((COUNTIF('Elève (3ème3)'!OL5:ON5,"C"))*2)+((COUNTIF('Elève (3ème3)'!OL5:ON5,"D"))*1))/(COUNTA(OL5:ON5)),"")</f>
        <v>2</v>
      </c>
      <c r="OP5" s="162" t="str">
        <f t="shared" si="99"/>
        <v>C</v>
      </c>
      <c r="OQ5" s="96"/>
      <c r="OR5" s="97"/>
      <c r="OS5" s="98"/>
      <c r="OT5" s="98"/>
      <c r="OU5" s="161" t="str">
        <f>IFERROR((((COUNTIF('Elève (3ème3)'!OQ5:OT5,"A"))*4)+((COUNTIF('Elève (3ème3)'!OQ5:OT5,"B"))*3)+((COUNTIF('Elève (3ème3)'!OQ5:OT5,"C"))*2)+((COUNTIF('Elève (3ème3)'!OQ5:OT5,"D"))*1))/(COUNTA(OQ5:OT5)),"")</f>
        <v/>
      </c>
      <c r="OV5" s="162" t="str">
        <f t="shared" si="100"/>
        <v/>
      </c>
      <c r="OW5" s="96"/>
      <c r="OX5" s="97" t="s">
        <v>28</v>
      </c>
      <c r="OY5" s="98"/>
      <c r="OZ5" s="98"/>
      <c r="PA5" s="98" t="s">
        <v>28</v>
      </c>
      <c r="PB5" s="102"/>
      <c r="PC5" s="161">
        <f>IFERROR((((COUNTIF('Elève (3ème3)'!OW5:PB5,"A"))*4)+((COUNTIF('Elève (3ème3)'!OW5:PB5,"B"))*3)+((COUNTIF('Elève (3ème3)'!OW5:PB5,"C"))*2)+((COUNTIF('Elève (3ème3)'!OW5:PB5,"D"))*1))/(COUNTA(OW5:PB5)),"")</f>
        <v>3</v>
      </c>
      <c r="PD5" s="162" t="str">
        <f t="shared" si="101"/>
        <v>B</v>
      </c>
      <c r="PE5" s="161">
        <f>IF(COUNT(OO5,OU5,PC5)=0,"",SUM(OO5,OU5,PC5)/COUNT(OO5,OU5,PC5))</f>
        <v>2.5</v>
      </c>
      <c r="PF5" s="186" t="str">
        <f t="shared" si="102"/>
        <v>C</v>
      </c>
      <c r="PG5" s="96" t="s">
        <v>30</v>
      </c>
      <c r="PH5" s="97" t="s">
        <v>29</v>
      </c>
      <c r="PI5" s="98"/>
      <c r="PJ5" s="161">
        <f>IFERROR((((COUNTIF('Elève (3ème3)'!PG5:PI5,"A"))*4)+((COUNTIF('Elève (3ème3)'!PG5:PI5,"B"))*3)+((COUNTIF('Elève (3ème3)'!PG5:PI5,"C"))*2)+((COUNTIF('Elève (3ème3)'!PG5:PI5,"D"))*1))/(COUNTA(PG5:PI5)),"")</f>
        <v>1.5</v>
      </c>
      <c r="PK5" s="162" t="str">
        <f t="shared" si="103"/>
        <v>D</v>
      </c>
      <c r="PL5" s="96"/>
      <c r="PM5" s="97"/>
      <c r="PN5" s="98"/>
      <c r="PO5" s="98"/>
      <c r="PP5" s="161" t="str">
        <f>IFERROR((((COUNTIF('Elève (3ème3)'!PL5:PO5,"A"))*4)+((COUNTIF('Elève (3ème3)'!PL5:PO5,"B"))*3)+((COUNTIF('Elève (3ème3)'!PL5:PO5,"C"))*2)+((COUNTIF('Elève (3ème3)'!PL5:PO5,"D"))*1))/(COUNTA(PL5:PO5)),"")</f>
        <v/>
      </c>
      <c r="PQ5" s="162" t="str">
        <f t="shared" si="104"/>
        <v/>
      </c>
      <c r="PR5" s="96" t="s">
        <v>29</v>
      </c>
      <c r="PS5" s="97" t="s">
        <v>28</v>
      </c>
      <c r="PT5" s="98"/>
      <c r="PU5" s="98"/>
      <c r="PV5" s="98" t="s">
        <v>28</v>
      </c>
      <c r="PW5" s="102"/>
      <c r="PX5" s="161">
        <f>IFERROR((((COUNTIF('Elève (3ème3)'!PR5:PW5,"A"))*4)+((COUNTIF('Elève (3ème3)'!PR5:PW5,"B"))*3)+((COUNTIF('Elève (3ème3)'!PR5:PW5,"C"))*2)+((COUNTIF('Elève (3ème3)'!PR5:PW5,"D"))*1))/(COUNTA(PR5:PW5)),"")</f>
        <v>2.6666666666666665</v>
      </c>
      <c r="PY5" s="162" t="str">
        <f t="shared" si="105"/>
        <v>C</v>
      </c>
      <c r="PZ5" s="161">
        <f>IF(COUNT(PJ5,PP5,PX5)=0,"",SUM(PJ5,PP5,PX5)/COUNT(PJ5,PP5,PX5))</f>
        <v>2.083333333333333</v>
      </c>
      <c r="QA5" s="186" t="str">
        <f t="shared" si="106"/>
        <v>C</v>
      </c>
      <c r="QB5" s="96" t="s">
        <v>28</v>
      </c>
      <c r="QC5" s="97" t="s">
        <v>29</v>
      </c>
      <c r="QD5" s="98"/>
      <c r="QE5" s="161">
        <f>IFERROR((((COUNTIF('Elève (3ème3)'!QB5:QD5,"A"))*4)+((COUNTIF('Elève (3ème3)'!QB5:QD5,"B"))*3)+((COUNTIF('Elève (3ème3)'!QB5:QD5,"C"))*2)+((COUNTIF('Elève (3ème3)'!QB5:QD5,"D"))*1))/(COUNTA(QB5:QD5)),"")</f>
        <v>2.5</v>
      </c>
      <c r="QF5" s="162" t="str">
        <f t="shared" si="107"/>
        <v>C</v>
      </c>
      <c r="QG5" s="96"/>
      <c r="QH5" s="97"/>
      <c r="QI5" s="98"/>
      <c r="QJ5" s="98"/>
      <c r="QK5" s="161" t="str">
        <f>IFERROR((((COUNTIF('Elève (3ème3)'!QG5:QJ5,"A"))*4)+((COUNTIF('Elève (3ème3)'!QG5:QJ5,"B"))*3)+((COUNTIF('Elève (3ème3)'!QG5:QJ5,"C"))*2)+((COUNTIF('Elève (3ème3)'!QG5:QJ5,"D"))*1))/(COUNTA(QG5:QJ5)),"")</f>
        <v/>
      </c>
      <c r="QL5" s="162" t="str">
        <f t="shared" si="108"/>
        <v/>
      </c>
      <c r="QM5" s="96" t="s">
        <v>27</v>
      </c>
      <c r="QN5" s="97" t="s">
        <v>29</v>
      </c>
      <c r="QO5" s="98"/>
      <c r="QP5" s="98"/>
      <c r="QQ5" s="98" t="s">
        <v>28</v>
      </c>
      <c r="QR5" s="102"/>
      <c r="QS5" s="161">
        <f>IFERROR((((COUNTIF('Elève (3ème3)'!QM5:QR5,"A"))*4)+((COUNTIF('Elève (3ème3)'!QM5:QR5,"B"))*3)+((COUNTIF('Elève (3ème3)'!QM5:QR5,"C"))*2)+((COUNTIF('Elève (3ème3)'!QM5:QR5,"D"))*1))/(COUNTA(QM5:QR5)),"")</f>
        <v>3</v>
      </c>
      <c r="QT5" s="162" t="str">
        <f t="shared" si="109"/>
        <v>B</v>
      </c>
      <c r="QU5" s="161">
        <f>IF(COUNT(QE5,QK5,QS5)=0,"",SUM(QE5,QK5,QS5)/COUNT(QE5,QK5,QS5))</f>
        <v>2.75</v>
      </c>
      <c r="QV5" s="186" t="str">
        <f t="shared" si="110"/>
        <v>C</v>
      </c>
      <c r="QW5" s="96" t="s">
        <v>30</v>
      </c>
      <c r="QX5" s="97" t="s">
        <v>28</v>
      </c>
      <c r="QY5" s="98"/>
      <c r="QZ5" s="161">
        <f>IFERROR((((COUNTIF('Elève (3ème3)'!QW5:QY5,"A"))*4)+((COUNTIF('Elève (3ème3)'!QW5:QY5,"B"))*3)+((COUNTIF('Elève (3ème3)'!QW5:QY5,"C"))*2)+((COUNTIF('Elève (3ème3)'!QW5:QY5,"D"))*1))/(COUNTA(QW5:QY5)),"")</f>
        <v>2</v>
      </c>
      <c r="RA5" s="162" t="str">
        <f t="shared" si="111"/>
        <v>C</v>
      </c>
      <c r="RB5" s="96"/>
      <c r="RC5" s="97"/>
      <c r="RD5" s="98"/>
      <c r="RE5" s="98"/>
      <c r="RF5" s="161" t="str">
        <f>IFERROR((((COUNTIF('Elève (3ème3)'!RB5:RE5,"A"))*4)+((COUNTIF('Elève (3ème3)'!RB5:RE5,"B"))*3)+((COUNTIF('Elève (3ème3)'!RB5:RE5,"C"))*2)+((COUNTIF('Elève (3ème3)'!RB5:RE5,"D"))*1))/(COUNTA(RB5:RE5)),"")</f>
        <v/>
      </c>
      <c r="RG5" s="162" t="str">
        <f t="shared" si="112"/>
        <v/>
      </c>
      <c r="RH5" s="96" t="s">
        <v>29</v>
      </c>
      <c r="RI5" s="97" t="s">
        <v>30</v>
      </c>
      <c r="RJ5" s="98"/>
      <c r="RK5" s="98"/>
      <c r="RL5" s="98" t="s">
        <v>29</v>
      </c>
      <c r="RM5" s="102"/>
      <c r="RN5" s="161">
        <f>IFERROR((((COUNTIF('Elève (3ème3)'!RH5:RM5,"A"))*4)+((COUNTIF('Elève (3ème3)'!RH5:RM5,"B"))*3)+((COUNTIF('Elève (3ème3)'!RH5:RM5,"C"))*2)+((COUNTIF('Elève (3ème3)'!RH5:RM5,"D"))*1))/(COUNTA(RH5:RM5)),"")</f>
        <v>1.6666666666666667</v>
      </c>
      <c r="RO5" s="162" t="str">
        <f t="shared" si="113"/>
        <v>C</v>
      </c>
      <c r="RP5" s="161">
        <f>IF(COUNT(QZ5,RF5,RN5)=0,"",SUM(QZ5,RF5,RN5)/COUNT(QZ5,RF5,RN5))</f>
        <v>1.8333333333333335</v>
      </c>
      <c r="RQ5" s="186" t="str">
        <f t="shared" si="114"/>
        <v>C</v>
      </c>
      <c r="RR5" s="96" t="s">
        <v>29</v>
      </c>
      <c r="RS5" s="97" t="s">
        <v>29</v>
      </c>
      <c r="RT5" s="98"/>
      <c r="RU5" s="161">
        <f>IFERROR((((COUNTIF('Elève (3ème3)'!RR5:RT5,"A"))*4)+((COUNTIF('Elève (3ème3)'!RR5:RT5,"B"))*3)+((COUNTIF('Elève (3ème3)'!RR5:RT5,"C"))*2)+((COUNTIF('Elève (3ème3)'!RR5:RT5,"D"))*1))/(COUNTA(RR5:RT5)),"")</f>
        <v>2</v>
      </c>
      <c r="RV5" s="162" t="str">
        <f t="shared" si="115"/>
        <v>C</v>
      </c>
      <c r="RW5" s="96"/>
      <c r="RX5" s="97"/>
      <c r="RY5" s="98"/>
      <c r="RZ5" s="98"/>
      <c r="SA5" s="161" t="str">
        <f>IFERROR((((COUNTIF('Elève (3ème3)'!RW5:RZ5,"A"))*4)+((COUNTIF('Elève (3ème3)'!RW5:RZ5,"B"))*3)+((COUNTIF('Elève (3ème3)'!RW5:RZ5,"C"))*2)+((COUNTIF('Elève (3ème3)'!RW5:RZ5,"D"))*1))/(COUNTA(RW5:RZ5)),"")</f>
        <v/>
      </c>
      <c r="SB5" s="162" t="str">
        <f t="shared" si="116"/>
        <v/>
      </c>
      <c r="SC5" s="96" t="s">
        <v>29</v>
      </c>
      <c r="SD5" s="97" t="s">
        <v>29</v>
      </c>
      <c r="SE5" s="98"/>
      <c r="SF5" s="98"/>
      <c r="SG5" s="98" t="s">
        <v>29</v>
      </c>
      <c r="SH5" s="102"/>
      <c r="SI5" s="161">
        <f>IFERROR((((COUNTIF('Elève (3ème3)'!SC5:SH5,"A"))*4)+((COUNTIF('Elève (3ème3)'!SC5:SH5,"B"))*3)+((COUNTIF('Elève (3ème3)'!SC5:SH5,"C"))*2)+((COUNTIF('Elève (3ème3)'!SC5:SH5,"D"))*1))/(COUNTA(SC5:SH5)),"")</f>
        <v>2</v>
      </c>
      <c r="SJ5" s="162" t="str">
        <f t="shared" si="117"/>
        <v>C</v>
      </c>
      <c r="SK5" s="161">
        <f>IF(COUNT(RU5,SA5,SI5)=0,"",SUM(RU5,SA5,SI5)/COUNT(RU5,SA5,SI5))</f>
        <v>2</v>
      </c>
      <c r="SL5" s="186" t="str">
        <f t="shared" si="118"/>
        <v>C</v>
      </c>
      <c r="SM5" s="96"/>
      <c r="SN5" s="97"/>
      <c r="SO5" s="98"/>
      <c r="SP5" s="99" t="str">
        <f>IFERROR((((COUNTIF('Elève (3ème3)'!SM5:SO5,"A"))*4)+((COUNTIF('Elève (3ème3)'!SM5:SO5,"B"))*3)+((COUNTIF('Elève (3ème3)'!SM5:SO5,"C"))*2)+((COUNTIF('Elève (3ème3)'!SM5:SO5,"D"))*1))/(COUNTA(SM5:SO5)),"")</f>
        <v/>
      </c>
      <c r="SQ5" s="100" t="str">
        <f t="shared" si="119"/>
        <v/>
      </c>
      <c r="SR5" s="96"/>
      <c r="SS5" s="97"/>
      <c r="ST5" s="98"/>
      <c r="SU5" s="99" t="str">
        <f>IFERROR((((COUNTIF('Elève (3ème3)'!SR5:ST5,"A"))*4)+((COUNTIF('Elève (3ème3)'!SR5:ST5,"B"))*3)+((COUNTIF('Elève (3ème3)'!SR5:ST5,"C"))*2)+((COUNTIF('Elève (3ème3)'!SR5:ST5,"D"))*1))/(COUNTA(SR5:ST5)),"")</f>
        <v/>
      </c>
      <c r="SV5" s="100" t="str">
        <f t="shared" si="120"/>
        <v/>
      </c>
      <c r="SW5" s="96"/>
      <c r="SX5" s="97"/>
      <c r="SY5" s="102"/>
      <c r="SZ5" s="99" t="str">
        <f>IFERROR((((COUNTIF('Elève (3ème3)'!SW5:SY5,"A"))*4)+((COUNTIF('Elève (3ème3)'!SW5:SY5,"B"))*3)+((COUNTIF('Elève (3ème3)'!SW5:SY5,"C"))*2)+((COUNTIF('Elève (3ème3)'!SW5:SY5,"D"))*1))/(COUNTA(SW5:SY5)),"")</f>
        <v/>
      </c>
      <c r="TA5" s="100" t="str">
        <f t="shared" si="121"/>
        <v/>
      </c>
      <c r="TB5" s="99" t="str">
        <f>IF(COUNT(SP5,SU5,SZ5)=0,"",SUM(SP5,SU5,SZ5)/COUNT(SP5,SU5,SZ5))</f>
        <v/>
      </c>
      <c r="TC5" s="101" t="str">
        <f t="shared" si="122"/>
        <v/>
      </c>
      <c r="TD5" s="96"/>
      <c r="TE5" s="97"/>
      <c r="TF5" s="98"/>
      <c r="TG5" s="99" t="str">
        <f>IFERROR((((COUNTIF('Elève (3ème3)'!TD5:TF5,"A"))*4)+((COUNTIF('Elève (3ème3)'!TD5:TF5,"B"))*3)+((COUNTIF('Elève (3ème3)'!TD5:TF5,"C"))*2)+((COUNTIF('Elève (3ème3)'!TD5:TF5,"D"))*1))/(COUNTA(TD5:TF5)),"")</f>
        <v/>
      </c>
      <c r="TH5" s="100" t="str">
        <f t="shared" si="123"/>
        <v/>
      </c>
      <c r="TI5" s="96"/>
      <c r="TJ5" s="97"/>
      <c r="TK5" s="98"/>
      <c r="TL5" s="99" t="str">
        <f>IFERROR((((COUNTIF('Elève (3ème3)'!TI5:TK5,"A"))*4)+((COUNTIF('Elève (3ème3)'!TI5:TK5,"B"))*3)+((COUNTIF('Elève (3ème3)'!TI5:TK5,"C"))*2)+((COUNTIF('Elève (3ème3)'!TI5:TK5,"D"))*1))/(COUNTA(TI5:TK5)),"")</f>
        <v/>
      </c>
      <c r="TM5" s="100" t="str">
        <f t="shared" si="124"/>
        <v/>
      </c>
      <c r="TN5" s="96"/>
      <c r="TO5" s="97"/>
      <c r="TP5" s="102"/>
      <c r="TQ5" s="99" t="str">
        <f>IFERROR((((COUNTIF('Elève (3ème3)'!TN5:TP5,"A"))*4)+((COUNTIF('Elève (3ème3)'!TN5:TP5,"B"))*3)+((COUNTIF('Elève (3ème3)'!TN5:TP5,"C"))*2)+((COUNTIF('Elève (3ème3)'!TN5:TP5,"D"))*1))/(COUNTA(TN5:TP5)),"")</f>
        <v/>
      </c>
      <c r="TR5" s="100" t="str">
        <f t="shared" si="125"/>
        <v/>
      </c>
      <c r="TS5" s="99" t="str">
        <f>IF(COUNT(TG5,TL5,TQ5)=0,"",SUM(TG5,TL5,TQ5)/COUNT(TG5,TL5,TQ5))</f>
        <v/>
      </c>
      <c r="TT5" s="101" t="str">
        <f t="shared" si="126"/>
        <v/>
      </c>
      <c r="TU5" s="96"/>
      <c r="TV5" s="97"/>
      <c r="TW5" s="98"/>
      <c r="TX5" s="99" t="str">
        <f>IFERROR((((COUNTIF('Elève (3ème3)'!TU5:TW5,"A"))*4)+((COUNTIF('Elève (3ème3)'!TU5:TW5,"B"))*3)+((COUNTIF('Elève (3ème3)'!TU5:TW5,"C"))*2)+((COUNTIF('Elève (3ème3)'!TU5:TW5,"D"))*1))/(COUNTA(TU5:TW5)),"")</f>
        <v/>
      </c>
      <c r="TY5" s="100" t="str">
        <f t="shared" si="127"/>
        <v/>
      </c>
      <c r="TZ5" s="96"/>
      <c r="UA5" s="97"/>
      <c r="UB5" s="98"/>
      <c r="UC5" s="99" t="str">
        <f>IFERROR((((COUNTIF('Elève (3ème3)'!TZ5:UB5,"A"))*4)+((COUNTIF('Elève (3ème3)'!TZ5:UB5,"B"))*3)+((COUNTIF('Elève (3ème3)'!TZ5:UB5,"C"))*2)+((COUNTIF('Elève (3ème3)'!TZ5:UB5,"D"))*1))/(COUNTA(TZ5:UB5)),"")</f>
        <v/>
      </c>
      <c r="UD5" s="100" t="str">
        <f t="shared" si="128"/>
        <v/>
      </c>
      <c r="UE5" s="96"/>
      <c r="UF5" s="97"/>
      <c r="UG5" s="102"/>
      <c r="UH5" s="99" t="str">
        <f>IFERROR((((COUNTIF('Elève (3ème3)'!UE5:UG5,"A"))*4)+((COUNTIF('Elève (3ème3)'!UE5:UG5,"B"))*3)+((COUNTIF('Elève (3ème3)'!UE5:UG5,"C"))*2)+((COUNTIF('Elève (3ème3)'!UE5:UG5,"D"))*1))/(COUNTA(UE5:UG5)),"")</f>
        <v/>
      </c>
      <c r="UI5" s="100" t="str">
        <f t="shared" si="129"/>
        <v/>
      </c>
      <c r="UJ5" s="99" t="str">
        <f>IF(COUNT(TX5,UC5,UH5)=0,"",SUM(TX5,UC5,UH5)/COUNT(TX5,UC5,UH5))</f>
        <v/>
      </c>
      <c r="UK5" s="101" t="str">
        <f t="shared" si="130"/>
        <v/>
      </c>
      <c r="UL5" s="96"/>
      <c r="UM5" s="97"/>
      <c r="UN5" s="98"/>
      <c r="UO5" s="99" t="str">
        <f>IFERROR((((COUNTIF('Elève (3ème3)'!UL5:UN5,"A"))*4)+((COUNTIF('Elève (3ème3)'!UL5:UN5,"B"))*3)+((COUNTIF('Elève (3ème3)'!UL5:UN5,"C"))*2)+((COUNTIF('Elève (3ème3)'!UL5:UN5,"D"))*1))/(COUNTA(UL5:UN5)),"")</f>
        <v/>
      </c>
      <c r="UP5" s="100" t="str">
        <f t="shared" si="131"/>
        <v/>
      </c>
      <c r="UQ5" s="96"/>
      <c r="UR5" s="97"/>
      <c r="US5" s="98"/>
      <c r="UT5" s="99" t="str">
        <f>IFERROR((((COUNTIF('Elève (3ème3)'!UQ5:US5,"A"))*4)+((COUNTIF('Elève (3ème3)'!UQ5:US5,"B"))*3)+((COUNTIF('Elève (3ème3)'!UQ5:US5,"C"))*2)+((COUNTIF('Elève (3ème3)'!UQ5:US5,"D"))*1))/(COUNTA(UQ5:US5)),"")</f>
        <v/>
      </c>
      <c r="UU5" s="100" t="str">
        <f t="shared" si="132"/>
        <v/>
      </c>
      <c r="UV5" s="96"/>
      <c r="UW5" s="97"/>
      <c r="UX5" s="102"/>
      <c r="UY5" s="99" t="str">
        <f>IFERROR((((COUNTIF('Elève (3ème3)'!UV5:UX5,"A"))*4)+((COUNTIF('Elève (3ème3)'!UV5:UX5,"B"))*3)+((COUNTIF('Elève (3ème3)'!UV5:UX5,"C"))*2)+((COUNTIF('Elève (3ème3)'!UV5:UX5,"D"))*1))/(COUNTA(UV5:UX5)),"")</f>
        <v/>
      </c>
      <c r="UZ5" s="100" t="str">
        <f t="shared" si="133"/>
        <v/>
      </c>
      <c r="VA5" s="99" t="str">
        <f>IF(COUNT(UO5,UT5,UY5)=0,"",SUM(UO5,UT5,UY5)/COUNT(UO5,UT5,UY5))</f>
        <v/>
      </c>
      <c r="VB5" s="101" t="str">
        <f t="shared" si="134"/>
        <v/>
      </c>
      <c r="VC5" s="96"/>
      <c r="VD5" s="97"/>
      <c r="VE5" s="98"/>
      <c r="VF5" s="99" t="str">
        <f>IFERROR((((COUNTIF('Elève (3ème3)'!VC5:VE5,"A"))*4)+((COUNTIF('Elève (3ème3)'!VC5:VE5,"B"))*3)+((COUNTIF('Elève (3ème3)'!VC5:VE5,"C"))*2)+((COUNTIF('Elève (3ème3)'!VC5:VE5,"D"))*1))/(COUNTA(VC5:VE5)),"")</f>
        <v/>
      </c>
      <c r="VG5" s="100" t="str">
        <f t="shared" si="135"/>
        <v/>
      </c>
      <c r="VH5" s="96"/>
      <c r="VI5" s="97"/>
      <c r="VJ5" s="98"/>
      <c r="VK5" s="99" t="str">
        <f>IFERROR((((COUNTIF('Elève (3ème3)'!VH5:VJ5,"A"))*4)+((COUNTIF('Elève (3ème3)'!VH5:VJ5,"B"))*3)+((COUNTIF('Elève (3ème3)'!VH5:VJ5,"C"))*2)+((COUNTIF('Elève (3ème3)'!VH5:VJ5,"D"))*1))/(COUNTA(VH5:VJ5)),"")</f>
        <v/>
      </c>
      <c r="VL5" s="100" t="str">
        <f t="shared" si="136"/>
        <v/>
      </c>
      <c r="VM5" s="96"/>
      <c r="VN5" s="97"/>
      <c r="VO5" s="102"/>
      <c r="VP5" s="99" t="str">
        <f>IFERROR((((COUNTIF('Elève (3ème3)'!VM5:VO5,"A"))*4)+((COUNTIF('Elève (3ème3)'!VM5:VO5,"B"))*3)+((COUNTIF('Elève (3ème3)'!VM5:VO5,"C"))*2)+((COUNTIF('Elève (3ème3)'!VM5:VO5,"D"))*1))/(COUNTA(VM5:VO5)),"")</f>
        <v/>
      </c>
      <c r="VQ5" s="100" t="str">
        <f t="shared" si="137"/>
        <v/>
      </c>
      <c r="VR5" s="99" t="str">
        <f>IF(COUNT(VF5,VK5,VP5)=0,"",SUM(VF5,VK5,VP5)/COUNT(VF5,VK5,VP5))</f>
        <v/>
      </c>
      <c r="VS5" s="101" t="str">
        <f t="shared" si="138"/>
        <v/>
      </c>
      <c r="VT5" s="96"/>
      <c r="VU5" s="97"/>
      <c r="VV5" s="98"/>
      <c r="VW5" s="99" t="str">
        <f>IFERROR((((COUNTIF('Elève (3ème3)'!VT5:VV5,"A"))*4)+((COUNTIF('Elève (3ème3)'!VT5:VV5,"B"))*3)+((COUNTIF('Elève (3ème3)'!VT5:VV5,"C"))*2)+((COUNTIF('Elève (3ème3)'!VT5:VV5,"D"))*1))/(COUNTA(VT5:VV5)),"")</f>
        <v/>
      </c>
      <c r="VX5" s="100" t="str">
        <f t="shared" si="139"/>
        <v/>
      </c>
      <c r="VY5" s="96"/>
      <c r="VZ5" s="97"/>
      <c r="WA5" s="98"/>
      <c r="WB5" s="99" t="str">
        <f>IFERROR((((COUNTIF('Elève (3ème3)'!VY5:WA5,"A"))*4)+((COUNTIF('Elève (3ème3)'!VY5:WA5,"B"))*3)+((COUNTIF('Elève (3ème3)'!VY5:WA5,"C"))*2)+((COUNTIF('Elève (3ème3)'!VY5:WA5,"D"))*1))/(COUNTA(VY5:WA5)),"")</f>
        <v/>
      </c>
      <c r="WC5" s="100" t="str">
        <f t="shared" si="140"/>
        <v/>
      </c>
      <c r="WD5" s="96"/>
      <c r="WE5" s="97"/>
      <c r="WF5" s="102"/>
      <c r="WG5" s="99" t="str">
        <f>IFERROR((((COUNTIF('Elève (3ème3)'!WD5:WF5,"A"))*4)+((COUNTIF('Elève (3ème3)'!WD5:WF5,"B"))*3)+((COUNTIF('Elève (3ème3)'!WD5:WF5,"C"))*2)+((COUNTIF('Elève (3ème3)'!WD5:WF5,"D"))*1))/(COUNTA(WD5:WF5)),"")</f>
        <v/>
      </c>
      <c r="WH5" s="100" t="str">
        <f t="shared" si="141"/>
        <v/>
      </c>
      <c r="WI5" s="99" t="str">
        <f>IF(COUNT(VW5,WB5,WG5)=0,"",SUM(VW5,WB5,WG5)/COUNT(VW5,WB5,WG5))</f>
        <v/>
      </c>
      <c r="WJ5" s="101" t="str">
        <f t="shared" si="142"/>
        <v/>
      </c>
    </row>
    <row r="6" spans="1:608" ht="18" customHeight="1" x14ac:dyDescent="0.55000000000000004">
      <c r="A6" s="221" t="s">
        <v>13</v>
      </c>
      <c r="B6" s="222"/>
      <c r="C6" s="103"/>
      <c r="D6" s="104"/>
      <c r="E6" s="105"/>
      <c r="F6" s="163" t="str">
        <f>IFERROR((((COUNTIF('Elève (3ème3)'!C6:E6,"A"))*4)+((COUNTIF('Elève (3ème3)'!C6:E6,"B"))*3)+((COUNTIF('Elève (3ème3)'!C6:E6,"C"))*2)+((COUNTIF('Elève (3ème3)'!C6:E6,"D"))*1))/(COUNTA(C6:E6)),"")</f>
        <v/>
      </c>
      <c r="G6" s="164" t="str">
        <f t="shared" si="23"/>
        <v/>
      </c>
      <c r="H6" s="103" t="s">
        <v>28</v>
      </c>
      <c r="I6" s="104"/>
      <c r="J6" s="105"/>
      <c r="K6" s="105"/>
      <c r="L6" s="163">
        <f>IFERROR((((COUNTIF('Elève (3ème3)'!H6:K6,"A"))*4)+((COUNTIF('Elève (3ème3)'!H6:K6,"B"))*3)+((COUNTIF('Elève (3ème3)'!H6:K6,"C"))*2)+((COUNTIF('Elève (3ème3)'!H6:K6,"D"))*1))/(COUNTA(H6:K6)),"")</f>
        <v>3</v>
      </c>
      <c r="M6" s="164" t="str">
        <f t="shared" si="24"/>
        <v>B</v>
      </c>
      <c r="N6" s="103" t="s">
        <v>27</v>
      </c>
      <c r="O6" s="104" t="s">
        <v>28</v>
      </c>
      <c r="P6" s="105"/>
      <c r="Q6" s="105" t="s">
        <v>28</v>
      </c>
      <c r="R6" s="105"/>
      <c r="S6" s="105"/>
      <c r="T6" s="163">
        <f>IFERROR((((COUNTIF('Elève (3ème3)'!N6:S6,"A"))*4)+((COUNTIF('Elève (3ème3)'!N6:S6,"B"))*3)+((COUNTIF('Elève (3ème3)'!N6:S6,"C"))*2)+((COUNTIF('Elève (3ème3)'!N6:S6,"D"))*1))/(COUNTA(N6:S6)),"")</f>
        <v>3.3333333333333335</v>
      </c>
      <c r="U6" s="164" t="str">
        <f t="shared" si="25"/>
        <v>B</v>
      </c>
      <c r="V6" s="163">
        <f>IF(COUNT(F6,L6,T6)=0,"",SUM(F6,L6,T6)/COUNT(F6,L6,T6))</f>
        <v>3.166666666666667</v>
      </c>
      <c r="W6" s="187" t="str">
        <f t="shared" si="26"/>
        <v>B</v>
      </c>
      <c r="X6" s="103"/>
      <c r="Y6" s="104"/>
      <c r="Z6" s="105"/>
      <c r="AA6" s="163" t="str">
        <f>IFERROR((((COUNTIF('Elève (3ème3)'!X6:Z6,"A"))*4)+((COUNTIF('Elève (3ème3)'!X6:Z6,"B"))*3)+((COUNTIF('Elève (3ème3)'!X6:Z6,"C"))*2)+((COUNTIF('Elève (3ème3)'!X6:Z6,"D"))*1))/(COUNTA(X6:Z6)),"")</f>
        <v/>
      </c>
      <c r="AB6" s="164" t="str">
        <f t="shared" si="27"/>
        <v/>
      </c>
      <c r="AC6" s="103" t="s">
        <v>29</v>
      </c>
      <c r="AD6" s="104"/>
      <c r="AE6" s="105"/>
      <c r="AF6" s="105"/>
      <c r="AG6" s="163">
        <f>IFERROR((((COUNTIF('Elève (3ème3)'!AC6:AF6,"A"))*4)+((COUNTIF('Elève (3ème3)'!AC6:AF6,"B"))*3)+((COUNTIF('Elève (3ème3)'!AC6:AF6,"C"))*2)+((COUNTIF('Elève (3ème3)'!AC6:AF6,"D"))*1))/(COUNTA(AC6:AF6)),"")</f>
        <v>2</v>
      </c>
      <c r="AH6" s="164" t="str">
        <f t="shared" si="28"/>
        <v>C</v>
      </c>
      <c r="AI6" s="103" t="s">
        <v>29</v>
      </c>
      <c r="AJ6" s="104" t="s">
        <v>28</v>
      </c>
      <c r="AK6" s="105"/>
      <c r="AL6" s="105" t="s">
        <v>28</v>
      </c>
      <c r="AM6" s="105"/>
      <c r="AN6" s="109"/>
      <c r="AO6" s="163">
        <f>IFERROR((((COUNTIF('Elève (3ème3)'!AI6:AN6,"A"))*4)+((COUNTIF('Elève (3ème3)'!AI6:AN6,"B"))*3)+((COUNTIF('Elève (3ème3)'!AI6:AN6,"C"))*2)+((COUNTIF('Elève (3ème3)'!AI6:AN6,"D"))*1))/(COUNTA(AI6:AN6)),"")</f>
        <v>2.6666666666666665</v>
      </c>
      <c r="AP6" s="164" t="str">
        <f t="shared" si="29"/>
        <v>C</v>
      </c>
      <c r="AQ6" s="163">
        <f>IF(COUNT(AA6,AG6,AO6)=0,"",SUM(AA6,AG6,AO6)/COUNT(AA6,AG6,AO6))</f>
        <v>2.333333333333333</v>
      </c>
      <c r="AR6" s="187" t="str">
        <f t="shared" si="30"/>
        <v>C</v>
      </c>
      <c r="AS6" s="103"/>
      <c r="AT6" s="104"/>
      <c r="AU6" s="105"/>
      <c r="AV6" s="163" t="str">
        <f>IFERROR((((COUNTIF('Elève (3ème3)'!AS6:AU6,"A"))*4)+((COUNTIF('Elève (3ème3)'!AS6:AU6,"B"))*3)+((COUNTIF('Elève (3ème3)'!AS6:AU6,"C"))*2)+((COUNTIF('Elève (3ème3)'!AS6:AU6,"D"))*1))/(COUNTA(AS6:AU6)),"")</f>
        <v/>
      </c>
      <c r="AW6" s="164" t="str">
        <f t="shared" si="31"/>
        <v/>
      </c>
      <c r="AX6" s="103" t="s">
        <v>28</v>
      </c>
      <c r="AY6" s="104"/>
      <c r="AZ6" s="105"/>
      <c r="BA6" s="105"/>
      <c r="BB6" s="163">
        <f>IFERROR((((COUNTIF('Elève (3ème3)'!AX6:BA6,"A"))*4)+((COUNTIF('Elève (3ème3)'!AX6:BA6,"B"))*3)+((COUNTIF('Elève (3ème3)'!AX6:BA6,"C"))*2)+((COUNTIF('Elève (3ème3)'!AX6:BA6,"D"))*1))/(COUNTA(AX6:BA6)),"")</f>
        <v>3</v>
      </c>
      <c r="BC6" s="164" t="str">
        <f t="shared" si="32"/>
        <v>B</v>
      </c>
      <c r="BD6" s="103" t="s">
        <v>27</v>
      </c>
      <c r="BE6" s="104" t="s">
        <v>28</v>
      </c>
      <c r="BF6" s="105"/>
      <c r="BG6" s="105" t="s">
        <v>28</v>
      </c>
      <c r="BH6" s="105"/>
      <c r="BI6" s="109"/>
      <c r="BJ6" s="163">
        <f>IFERROR((((COUNTIF('Elève (3ème3)'!BD6:BI6,"A"))*4)+((COUNTIF('Elève (3ème3)'!BD6:BI6,"B"))*3)+((COUNTIF('Elève (3ème3)'!BD6:BI6,"C"))*2)+((COUNTIF('Elève (3ème3)'!BD6:BI6,"D"))*1))/(COUNTA(BD6:BI6)),"")</f>
        <v>3.3333333333333335</v>
      </c>
      <c r="BK6" s="164" t="str">
        <f t="shared" si="33"/>
        <v>B</v>
      </c>
      <c r="BL6" s="163">
        <f>IF(COUNT(AV6,BB6,BJ6)=0,"",SUM(AV6,BB6,BJ6)/COUNT(AV6,BB6,BJ6))</f>
        <v>3.166666666666667</v>
      </c>
      <c r="BM6" s="187" t="str">
        <f t="shared" si="34"/>
        <v>B</v>
      </c>
      <c r="BN6" s="103"/>
      <c r="BO6" s="104"/>
      <c r="BP6" s="105"/>
      <c r="BQ6" s="163" t="str">
        <f>IFERROR((((COUNTIF('Elève (3ème3)'!BN6:BP6,"A"))*4)+((COUNTIF('Elève (3ème3)'!BN6:BP6,"B"))*3)+((COUNTIF('Elève (3ème3)'!BN6:BP6,"C"))*2)+((COUNTIF('Elève (3ème3)'!BN6:BP6,"D"))*1))/(COUNTA(BN6:BP6)),"")</f>
        <v/>
      </c>
      <c r="BR6" s="164" t="str">
        <f t="shared" si="35"/>
        <v/>
      </c>
      <c r="BS6" s="103" t="s">
        <v>29</v>
      </c>
      <c r="BT6" s="104"/>
      <c r="BU6" s="105"/>
      <c r="BV6" s="105"/>
      <c r="BW6" s="163">
        <f>IFERROR((((COUNTIF('Elève (3ème3)'!BS6:BV6,"A"))*4)+((COUNTIF('Elève (3ème3)'!BS6:BV6,"B"))*3)+((COUNTIF('Elève (3ème3)'!BS6:BV6,"C"))*2)+((COUNTIF('Elève (3ème3)'!BS6:BV6,"D"))*1))/(COUNTA(BS6:BV6)),"")</f>
        <v>2</v>
      </c>
      <c r="BX6" s="164" t="str">
        <f t="shared" si="36"/>
        <v>C</v>
      </c>
      <c r="BY6" s="103" t="s">
        <v>28</v>
      </c>
      <c r="BZ6" s="104" t="s">
        <v>27</v>
      </c>
      <c r="CA6" s="105" t="s">
        <v>29</v>
      </c>
      <c r="CB6" s="105" t="s">
        <v>28</v>
      </c>
      <c r="CC6" s="105"/>
      <c r="CD6" s="109"/>
      <c r="CE6" s="163">
        <f>IFERROR((((COUNTIF('Elève (3ème3)'!BY6:CD6,"A"))*4)+((COUNTIF('Elève (3ème3)'!BY6:CD6,"B"))*3)+((COUNTIF('Elève (3ème3)'!BY6:CD6,"C"))*2)+((COUNTIF('Elève (3ème3)'!BY6:CD6,"D"))*1))/(COUNTA(BY6:CD6)),"")</f>
        <v>3</v>
      </c>
      <c r="CF6" s="164" t="str">
        <f t="shared" si="37"/>
        <v>B</v>
      </c>
      <c r="CG6" s="163">
        <f>IF(COUNT(BQ6,BW6,CE6)=0,"",SUM(BQ6,BW6,CE6)/COUNT(BQ6,BW6,CE6))</f>
        <v>2.5</v>
      </c>
      <c r="CH6" s="187" t="str">
        <f t="shared" si="38"/>
        <v>C</v>
      </c>
      <c r="CI6" s="103"/>
      <c r="CJ6" s="104"/>
      <c r="CK6" s="105"/>
      <c r="CL6" s="163" t="str">
        <f>IFERROR((((COUNTIF('Elève (3ème3)'!CI6:CK6,"A"))*4)+((COUNTIF('Elève (3ème3)'!CI6:CK6,"B"))*3)+((COUNTIF('Elève (3ème3)'!CI6:CK6,"C"))*2)+((COUNTIF('Elève (3ème3)'!CI6:CK6,"D"))*1))/(COUNTA(CI6:CK6)),"")</f>
        <v/>
      </c>
      <c r="CM6" s="164" t="str">
        <f t="shared" si="39"/>
        <v/>
      </c>
      <c r="CN6" s="103" t="s">
        <v>29</v>
      </c>
      <c r="CO6" s="104"/>
      <c r="CP6" s="105"/>
      <c r="CQ6" s="105"/>
      <c r="CR6" s="163">
        <f>IFERROR((((COUNTIF('Elève (3ème3)'!CN6:CQ6,"A"))*4)+((COUNTIF('Elève (3ème3)'!CN6:CQ6,"B"))*3)+((COUNTIF('Elève (3ème3)'!CN6:CQ6,"C"))*2)+((COUNTIF('Elève (3ème3)'!CN6:CQ6,"D"))*1))/(COUNTA(CN6:CQ6)),"")</f>
        <v>2</v>
      </c>
      <c r="CS6" s="164" t="str">
        <f t="shared" si="40"/>
        <v>C</v>
      </c>
      <c r="CT6" s="103" t="s">
        <v>27</v>
      </c>
      <c r="CU6" s="104" t="s">
        <v>28</v>
      </c>
      <c r="CV6" s="105" t="s">
        <v>29</v>
      </c>
      <c r="CW6" s="105" t="s">
        <v>28</v>
      </c>
      <c r="CX6" s="105"/>
      <c r="CY6" s="109"/>
      <c r="CZ6" s="163">
        <f>IFERROR((((COUNTIF('Elève (3ème3)'!CT6:CY6,"A"))*4)+((COUNTIF('Elève (3ème3)'!CT6:CY6,"B"))*3)+((COUNTIF('Elève (3ème3)'!CT6:CY6,"C"))*2)+((COUNTIF('Elève (3ème3)'!CT6:CY6,"D"))*1))/(COUNTA(CT6:CY6)),"")</f>
        <v>3</v>
      </c>
      <c r="DA6" s="164" t="str">
        <f t="shared" si="41"/>
        <v>B</v>
      </c>
      <c r="DB6" s="163">
        <f>IF(COUNT(CL6,CR6,CZ6)=0,"",SUM(CL6,CR6,CZ6)/COUNT(CL6,CR6,CZ6))</f>
        <v>2.5</v>
      </c>
      <c r="DC6" s="187" t="str">
        <f t="shared" si="42"/>
        <v>C</v>
      </c>
      <c r="DD6" s="103"/>
      <c r="DE6" s="104"/>
      <c r="DF6" s="105"/>
      <c r="DG6" s="163" t="str">
        <f>IFERROR((((COUNTIF('Elève (3ème3)'!DD6:DF6,"A"))*4)+((COUNTIF('Elève (3ème3)'!DD6:DF6,"B"))*3)+((COUNTIF('Elève (3ème3)'!DD6:DF6,"C"))*2)+((COUNTIF('Elève (3ème3)'!DD6:DF6,"D"))*1))/(COUNTA(DD6:DF6)),"")</f>
        <v/>
      </c>
      <c r="DH6" s="164" t="str">
        <f t="shared" si="43"/>
        <v/>
      </c>
      <c r="DI6" s="103" t="s">
        <v>27</v>
      </c>
      <c r="DJ6" s="104"/>
      <c r="DK6" s="105"/>
      <c r="DL6" s="105"/>
      <c r="DM6" s="163">
        <f>IFERROR((((COUNTIF('Elève (3ème3)'!DI6:DL6,"A"))*4)+((COUNTIF('Elève (3ème3)'!DI6:DL6,"B"))*3)+((COUNTIF('Elève (3ème3)'!DI6:DL6,"C"))*2)+((COUNTIF('Elève (3ème3)'!DI6:DL6,"D"))*1))/(COUNTA(DI6:DL6)),"")</f>
        <v>4</v>
      </c>
      <c r="DN6" s="164" t="str">
        <f t="shared" si="44"/>
        <v>A</v>
      </c>
      <c r="DO6" s="103" t="s">
        <v>28</v>
      </c>
      <c r="DP6" s="104" t="s">
        <v>30</v>
      </c>
      <c r="DQ6" s="105" t="s">
        <v>30</v>
      </c>
      <c r="DR6" s="105" t="s">
        <v>29</v>
      </c>
      <c r="DS6" s="105"/>
      <c r="DT6" s="109"/>
      <c r="DU6" s="163">
        <f>IFERROR((((COUNTIF('Elève (3ème3)'!DO6:DT6,"A"))*4)+((COUNTIF('Elève (3ème3)'!DO6:DT6,"B"))*3)+((COUNTIF('Elève (3ème3)'!DO6:DT6,"C"))*2)+((COUNTIF('Elève (3ème3)'!DO6:DT6,"D"))*1))/(COUNTA(DO6:DT6)),"")</f>
        <v>1.75</v>
      </c>
      <c r="DV6" s="164" t="str">
        <f t="shared" si="45"/>
        <v>C</v>
      </c>
      <c r="DW6" s="163">
        <f>IF(COUNT(DG6,DM6,DU6)=0,"",SUM(DG6,DM6,DU6)/COUNT(DG6,DM6,DU6))</f>
        <v>2.875</v>
      </c>
      <c r="DX6" s="187" t="str">
        <f t="shared" si="46"/>
        <v>B</v>
      </c>
      <c r="DY6" s="103"/>
      <c r="DZ6" s="104"/>
      <c r="EA6" s="105"/>
      <c r="EB6" s="163" t="str">
        <f>IFERROR((((COUNTIF('Elève (3ème3)'!DY6:EA6,"A"))*4)+((COUNTIF('Elève (3ème3)'!DY6:EA6,"B"))*3)+((COUNTIF('Elève (3ème3)'!DY6:EA6,"C"))*2)+((COUNTIF('Elève (3ème3)'!DY6:EA6,"D"))*1))/(COUNTA(DY6:EA6)),"")</f>
        <v/>
      </c>
      <c r="EC6" s="164" t="str">
        <f t="shared" si="47"/>
        <v/>
      </c>
      <c r="ED6" s="103" t="s">
        <v>30</v>
      </c>
      <c r="EE6" s="104"/>
      <c r="EF6" s="105"/>
      <c r="EG6" s="105"/>
      <c r="EH6" s="163">
        <f>IFERROR((((COUNTIF('Elève (3ème3)'!ED6:EG6,"A"))*4)+((COUNTIF('Elève (3ème3)'!ED6:EG6,"B"))*3)+((COUNTIF('Elève (3ème3)'!ED6:EG6,"C"))*2)+((COUNTIF('Elève (3ème3)'!ED6:EG6,"D"))*1))/(COUNTA(ED6:EG6)),"")</f>
        <v>1</v>
      </c>
      <c r="EI6" s="164" t="str">
        <f t="shared" si="48"/>
        <v>D</v>
      </c>
      <c r="EJ6" s="103" t="s">
        <v>28</v>
      </c>
      <c r="EK6" s="104" t="s">
        <v>29</v>
      </c>
      <c r="EL6" s="105" t="s">
        <v>28</v>
      </c>
      <c r="EM6" s="105" t="s">
        <v>28</v>
      </c>
      <c r="EN6" s="105"/>
      <c r="EO6" s="109"/>
      <c r="EP6" s="163">
        <f>IFERROR((((COUNTIF('Elève (3ème3)'!EJ6:EO6,"A"))*4)+((COUNTIF('Elève (3ème3)'!EJ6:EO6,"B"))*3)+((COUNTIF('Elève (3ème3)'!EJ6:EO6,"C"))*2)+((COUNTIF('Elève (3ème3)'!EJ6:EO6,"D"))*1))/(COUNTA(EJ6:EO6)),"")</f>
        <v>2.75</v>
      </c>
      <c r="EQ6" s="164" t="str">
        <f t="shared" si="49"/>
        <v>C</v>
      </c>
      <c r="ER6" s="163">
        <f>IF(COUNT(EB6,EH6,EP6)=0,"",SUM(EB6,EH6,EP6)/COUNT(EB6,EH6,EP6))</f>
        <v>1.875</v>
      </c>
      <c r="ES6" s="187" t="str">
        <f t="shared" si="50"/>
        <v>C</v>
      </c>
      <c r="ET6" s="103"/>
      <c r="EU6" s="104"/>
      <c r="EV6" s="105"/>
      <c r="EW6" s="163" t="str">
        <f>IFERROR((((COUNTIF('Elève (3ème3)'!ET6:EV6,"A"))*4)+((COUNTIF('Elève (3ème3)'!ET6:EV6,"B"))*3)+((COUNTIF('Elève (3ème3)'!ET6:EV6,"C"))*2)+((COUNTIF('Elève (3ème3)'!ET6:EV6,"D"))*1))/(COUNTA(ET6:EV6)),"")</f>
        <v/>
      </c>
      <c r="EX6" s="164" t="str">
        <f t="shared" si="51"/>
        <v/>
      </c>
      <c r="EY6" s="103" t="s">
        <v>29</v>
      </c>
      <c r="EZ6" s="104"/>
      <c r="FA6" s="105"/>
      <c r="FB6" s="105"/>
      <c r="FC6" s="163">
        <f>IFERROR((((COUNTIF('Elève (3ème3)'!EY6:FB6,"A"))*4)+((COUNTIF('Elève (3ème3)'!EY6:FB6,"B"))*3)+((COUNTIF('Elève (3ème3)'!EY6:FB6,"C"))*2)+((COUNTIF('Elève (3ème3)'!EY6:FB6,"D"))*1))/(COUNTA(EY6:FB6)),"")</f>
        <v>2</v>
      </c>
      <c r="FD6" s="164" t="str">
        <f t="shared" si="52"/>
        <v>C</v>
      </c>
      <c r="FE6" s="103" t="s">
        <v>28</v>
      </c>
      <c r="FF6" s="104" t="s">
        <v>28</v>
      </c>
      <c r="FG6" s="105" t="s">
        <v>29</v>
      </c>
      <c r="FH6" s="105" t="s">
        <v>27</v>
      </c>
      <c r="FI6" s="105"/>
      <c r="FJ6" s="109"/>
      <c r="FK6" s="163">
        <f>IFERROR((((COUNTIF('Elève (3ème3)'!FE6:FJ6,"A"))*4)+((COUNTIF('Elève (3ème3)'!FE6:FJ6,"B"))*3)+((COUNTIF('Elève (3ème3)'!FE6:FJ6,"C"))*2)+((COUNTIF('Elève (3ème3)'!FE6:FJ6,"D"))*1))/(COUNTA(FE6:FJ6)),"")</f>
        <v>3</v>
      </c>
      <c r="FL6" s="164" t="str">
        <f t="shared" si="53"/>
        <v>B</v>
      </c>
      <c r="FM6" s="163">
        <f>IF(COUNT(EW6,FC6,FK6)=0,"",SUM(EW6,FC6,FK6)/COUNT(EW6,FC6,FK6))</f>
        <v>2.5</v>
      </c>
      <c r="FN6" s="187" t="str">
        <f t="shared" si="54"/>
        <v>C</v>
      </c>
      <c r="FO6" s="103"/>
      <c r="FP6" s="104"/>
      <c r="FQ6" s="105"/>
      <c r="FR6" s="163" t="str">
        <f>IFERROR((((COUNTIF('Elève (3ème3)'!FO6:FQ6,"A"))*4)+((COUNTIF('Elève (3ème3)'!FO6:FQ6,"B"))*3)+((COUNTIF('Elève (3ème3)'!FO6:FQ6,"C"))*2)+((COUNTIF('Elève (3ème3)'!FO6:FQ6,"D"))*1))/(COUNTA(FO6:FQ6)),"")</f>
        <v/>
      </c>
      <c r="FS6" s="164" t="str">
        <f t="shared" si="55"/>
        <v/>
      </c>
      <c r="FT6" s="103" t="s">
        <v>29</v>
      </c>
      <c r="FU6" s="104"/>
      <c r="FV6" s="105"/>
      <c r="FW6" s="105"/>
      <c r="FX6" s="163">
        <f>IFERROR((((COUNTIF('Elève (3ème3)'!FT6:FW6,"A"))*4)+((COUNTIF('Elève (3ème3)'!FT6:FW6,"B"))*3)+((COUNTIF('Elève (3ème3)'!FT6:FW6,"C"))*2)+((COUNTIF('Elève (3ème3)'!FT6:FW6,"D"))*1))/(COUNTA(FT6:FW6)),"")</f>
        <v>2</v>
      </c>
      <c r="FY6" s="164" t="str">
        <f t="shared" si="56"/>
        <v>C</v>
      </c>
      <c r="FZ6" s="103" t="s">
        <v>28</v>
      </c>
      <c r="GA6" s="104"/>
      <c r="GB6" s="105" t="s">
        <v>28</v>
      </c>
      <c r="GC6" s="105" t="s">
        <v>27</v>
      </c>
      <c r="GD6" s="105"/>
      <c r="GE6" s="109"/>
      <c r="GF6" s="163">
        <f>IFERROR((((COUNTIF('Elève (3ème3)'!FZ6:GE6,"A"))*4)+((COUNTIF('Elève (3ème3)'!FZ6:GE6,"B"))*3)+((COUNTIF('Elève (3ème3)'!FZ6:GE6,"C"))*2)+((COUNTIF('Elève (3ème3)'!FZ6:GE6,"D"))*1))/(COUNTA(FZ6:GE6)),"")</f>
        <v>3.3333333333333335</v>
      </c>
      <c r="GG6" s="164" t="str">
        <f t="shared" si="57"/>
        <v>B</v>
      </c>
      <c r="GH6" s="163">
        <f>IF(COUNT(FR6,FX6,GF6)=0,"",SUM(FR6,FX6,GF6)/COUNT(FR6,FX6,GF6))</f>
        <v>2.666666666666667</v>
      </c>
      <c r="GI6" s="187" t="str">
        <f t="shared" si="58"/>
        <v>C</v>
      </c>
      <c r="GJ6" s="103"/>
      <c r="GK6" s="104"/>
      <c r="GL6" s="105"/>
      <c r="GM6" s="163" t="str">
        <f>IFERROR((((COUNTIF('Elève (3ème3)'!GJ6:GL6,"A"))*4)+((COUNTIF('Elève (3ème3)'!GJ6:GL6,"B"))*3)+((COUNTIF('Elève (3ème3)'!GJ6:GL6,"C"))*2)+((COUNTIF('Elève (3ème3)'!GJ6:GL6,"D"))*1))/(COUNTA(GJ6:GL6)),"")</f>
        <v/>
      </c>
      <c r="GN6" s="164" t="str">
        <f t="shared" si="59"/>
        <v/>
      </c>
      <c r="GO6" s="103" t="s">
        <v>29</v>
      </c>
      <c r="GP6" s="104"/>
      <c r="GQ6" s="105"/>
      <c r="GR6" s="105"/>
      <c r="GS6" s="163">
        <f>IFERROR((((COUNTIF('Elève (3ème3)'!GO6:GR6,"A"))*4)+((COUNTIF('Elève (3ème3)'!GO6:GR6,"B"))*3)+((COUNTIF('Elève (3ème3)'!GO6:GR6,"C"))*2)+((COUNTIF('Elève (3ème3)'!GO6:GR6,"D"))*1))/(COUNTA(GO6:GR6)),"")</f>
        <v>2</v>
      </c>
      <c r="GT6" s="164" t="str">
        <f t="shared" si="60"/>
        <v>C</v>
      </c>
      <c r="GU6" s="103" t="s">
        <v>27</v>
      </c>
      <c r="GV6" s="104" t="s">
        <v>29</v>
      </c>
      <c r="GW6" s="105" t="s">
        <v>28</v>
      </c>
      <c r="GX6" s="105" t="s">
        <v>28</v>
      </c>
      <c r="GY6" s="105"/>
      <c r="GZ6" s="109"/>
      <c r="HA6" s="163">
        <f>IFERROR((((COUNTIF('Elève (3ème3)'!GU6:GZ6,"A"))*4)+((COUNTIF('Elève (3ème3)'!GU6:GZ6,"B"))*3)+((COUNTIF('Elève (3ème3)'!GU6:GZ6,"C"))*2)+((COUNTIF('Elève (3ème3)'!GU6:GZ6,"D"))*1))/(COUNTA(GU6:GZ6)),"")</f>
        <v>3</v>
      </c>
      <c r="HB6" s="164" t="str">
        <f t="shared" si="61"/>
        <v>B</v>
      </c>
      <c r="HC6" s="163">
        <f>IF(COUNT(GM6,GS6,HA6)=0,"",SUM(GM6,GS6,HA6)/COUNT(GM6,GS6,HA6))</f>
        <v>2.5</v>
      </c>
      <c r="HD6" s="187" t="str">
        <f t="shared" si="62"/>
        <v>C</v>
      </c>
      <c r="HE6" s="103"/>
      <c r="HF6" s="104"/>
      <c r="HG6" s="105"/>
      <c r="HH6" s="163" t="str">
        <f>IFERROR((((COUNTIF('Elève (3ème3)'!HE6:HG6,"A"))*4)+((COUNTIF('Elève (3ème3)'!HE6:HG6,"B"))*3)+((COUNTIF('Elève (3ème3)'!HE6:HG6,"C"))*2)+((COUNTIF('Elève (3ème3)'!HE6:HG6,"D"))*1))/(COUNTA(HE6:HG6)),"")</f>
        <v/>
      </c>
      <c r="HI6" s="164" t="str">
        <f t="shared" si="63"/>
        <v/>
      </c>
      <c r="HJ6" s="103" t="s">
        <v>30</v>
      </c>
      <c r="HK6" s="104"/>
      <c r="HL6" s="105"/>
      <c r="HM6" s="105"/>
      <c r="HN6" s="163">
        <f>IFERROR((((COUNTIF('Elève (3ème3)'!HJ6:HM6,"A"))*4)+((COUNTIF('Elève (3ème3)'!HJ6:HM6,"B"))*3)+((COUNTIF('Elève (3ème3)'!HJ6:HM6,"C"))*2)+((COUNTIF('Elève (3ème3)'!HJ6:HM6,"D"))*1))/(COUNTA(HJ6:HM6)),"")</f>
        <v>1</v>
      </c>
      <c r="HO6" s="164" t="str">
        <f t="shared" si="64"/>
        <v>D</v>
      </c>
      <c r="HP6" s="103" t="s">
        <v>27</v>
      </c>
      <c r="HQ6" s="104" t="s">
        <v>28</v>
      </c>
      <c r="HR6" s="105" t="s">
        <v>29</v>
      </c>
      <c r="HS6" s="105" t="s">
        <v>28</v>
      </c>
      <c r="HT6" s="105"/>
      <c r="HU6" s="109"/>
      <c r="HV6" s="163">
        <f>IFERROR((((COUNTIF('Elève (3ème3)'!HP6:HU6,"A"))*4)+((COUNTIF('Elève (3ème3)'!HP6:HU6,"B"))*3)+((COUNTIF('Elève (3ème3)'!HP6:HU6,"C"))*2)+((COUNTIF('Elève (3ème3)'!HP6:HU6,"D"))*1))/(COUNTA(HP6:HU6)),"")</f>
        <v>3</v>
      </c>
      <c r="HW6" s="164" t="str">
        <f t="shared" si="65"/>
        <v>B</v>
      </c>
      <c r="HX6" s="163">
        <f>IF(COUNT(HH6,HN6,HV6)=0,"",SUM(HH6,HN6,HV6)/COUNT(HH6,HN6,HV6))</f>
        <v>2</v>
      </c>
      <c r="HY6" s="187" t="str">
        <f t="shared" si="66"/>
        <v>C</v>
      </c>
      <c r="HZ6" s="103"/>
      <c r="IA6" s="104"/>
      <c r="IB6" s="105"/>
      <c r="IC6" s="163" t="str">
        <f>IFERROR((((COUNTIF('Elève (3ème3)'!HZ6:IB6,"A"))*4)+((COUNTIF('Elève (3ème3)'!HZ6:IB6,"B"))*3)+((COUNTIF('Elève (3ème3)'!HZ6:IB6,"C"))*2)+((COUNTIF('Elève (3ème3)'!HZ6:IB6,"D"))*1))/(COUNTA(HZ6:IB6)),"")</f>
        <v/>
      </c>
      <c r="ID6" s="164" t="str">
        <f t="shared" si="67"/>
        <v/>
      </c>
      <c r="IE6" s="103" t="s">
        <v>28</v>
      </c>
      <c r="IF6" s="104"/>
      <c r="IG6" s="105"/>
      <c r="IH6" s="105"/>
      <c r="II6" s="163">
        <f>IFERROR((((COUNTIF('Elève (3ème3)'!IE6:IH6,"A"))*4)+((COUNTIF('Elève (3ème3)'!IE6:IH6,"B"))*3)+((COUNTIF('Elève (3ème3)'!IE6:IH6,"C"))*2)+((COUNTIF('Elève (3ème3)'!IE6:IH6,"D"))*1))/(COUNTA(IE6:IH6)),"")</f>
        <v>3</v>
      </c>
      <c r="IJ6" s="164" t="str">
        <f t="shared" si="68"/>
        <v>B</v>
      </c>
      <c r="IK6" s="103" t="s">
        <v>27</v>
      </c>
      <c r="IL6" s="104" t="s">
        <v>29</v>
      </c>
      <c r="IM6" s="105" t="s">
        <v>29</v>
      </c>
      <c r="IN6" s="105" t="s">
        <v>28</v>
      </c>
      <c r="IO6" s="105"/>
      <c r="IP6" s="109"/>
      <c r="IQ6" s="163">
        <f>IFERROR((((COUNTIF('Elève (3ème3)'!IK6:IP6,"A"))*4)+((COUNTIF('Elève (3ème3)'!IK6:IP6,"B"))*3)+((COUNTIF('Elève (3ème3)'!IK6:IP6,"C"))*2)+((COUNTIF('Elève (3ème3)'!IK6:IP6,"D"))*1))/(COUNTA(IK6:IP6)),"")</f>
        <v>2.75</v>
      </c>
      <c r="IR6" s="164" t="str">
        <f t="shared" si="69"/>
        <v>C</v>
      </c>
      <c r="IS6" s="163">
        <f>IF(COUNT(IC6,II6,IQ6)=0,"",SUM(IC6,II6,IQ6)/COUNT(IC6,II6,IQ6))</f>
        <v>2.875</v>
      </c>
      <c r="IT6" s="187" t="str">
        <f t="shared" si="70"/>
        <v>B</v>
      </c>
      <c r="IU6" s="103"/>
      <c r="IV6" s="104"/>
      <c r="IW6" s="105"/>
      <c r="IX6" s="163" t="str">
        <f>IFERROR((((COUNTIF('Elève (3ème3)'!IU6:IW6,"A"))*4)+((COUNTIF('Elève (3ème3)'!IU6:IW6,"B"))*3)+((COUNTIF('Elève (3ème3)'!IU6:IW6,"C"))*2)+((COUNTIF('Elève (3ème3)'!IU6:IW6,"D"))*1))/(COUNTA(IU6:IW6)),"")</f>
        <v/>
      </c>
      <c r="IY6" s="164" t="str">
        <f t="shared" si="71"/>
        <v/>
      </c>
      <c r="IZ6" s="103" t="s">
        <v>29</v>
      </c>
      <c r="JA6" s="104"/>
      <c r="JB6" s="105"/>
      <c r="JC6" s="105"/>
      <c r="JD6" s="163">
        <f>IFERROR((((COUNTIF('Elève (3ème3)'!IZ6:JC6,"A"))*4)+((COUNTIF('Elève (3ème3)'!IZ6:JC6,"B"))*3)+((COUNTIF('Elève (3ème3)'!IZ6:JC6,"C"))*2)+((COUNTIF('Elève (3ème3)'!IZ6:JC6,"D"))*1))/(COUNTA(IZ6:JC6)),"")</f>
        <v>2</v>
      </c>
      <c r="JE6" s="164" t="str">
        <f t="shared" si="72"/>
        <v>C</v>
      </c>
      <c r="JF6" s="103" t="s">
        <v>28</v>
      </c>
      <c r="JG6" s="104" t="s">
        <v>28</v>
      </c>
      <c r="JH6" s="105" t="s">
        <v>29</v>
      </c>
      <c r="JI6" s="105" t="s">
        <v>27</v>
      </c>
      <c r="JJ6" s="105"/>
      <c r="JK6" s="109"/>
      <c r="JL6" s="163">
        <f>IFERROR((((COUNTIF('Elève (3ème3)'!JF6:JK6,"A"))*4)+((COUNTIF('Elève (3ème3)'!JF6:JK6,"B"))*3)+((COUNTIF('Elève (3ème3)'!JF6:JK6,"C"))*2)+((COUNTIF('Elève (3ème3)'!JF6:JK6,"D"))*1))/(COUNTA(JF6:JK6)),"")</f>
        <v>3</v>
      </c>
      <c r="JM6" s="164" t="str">
        <f t="shared" si="73"/>
        <v>B</v>
      </c>
      <c r="JN6" s="163">
        <f>IF(COUNT(IX6,JD6,JL6)=0,"",SUM(IX6,JD6,JL6)/COUNT(IX6,JD6,JL6))</f>
        <v>2.5</v>
      </c>
      <c r="JO6" s="187" t="str">
        <f t="shared" si="74"/>
        <v>C</v>
      </c>
      <c r="JP6" s="103"/>
      <c r="JQ6" s="104"/>
      <c r="JR6" s="105"/>
      <c r="JS6" s="163" t="str">
        <f>IFERROR((((COUNTIF('Elève (3ème3)'!JP6:JR6,"A"))*4)+((COUNTIF('Elève (3ème3)'!JP6:JR6,"B"))*3)+((COUNTIF('Elève (3ème3)'!JP6:JR6,"C"))*2)+((COUNTIF('Elève (3ème3)'!JP6:JR6,"D"))*1))/(COUNTA(JP6:JR6)),"")</f>
        <v/>
      </c>
      <c r="JT6" s="164" t="str">
        <f t="shared" si="75"/>
        <v/>
      </c>
      <c r="JU6" s="103" t="s">
        <v>28</v>
      </c>
      <c r="JV6" s="104"/>
      <c r="JW6" s="105"/>
      <c r="JX6" s="105"/>
      <c r="JY6" s="163">
        <f>IFERROR((((COUNTIF('Elève (3ème3)'!JU6:JX6,"A"))*4)+((COUNTIF('Elève (3ème3)'!JU6:JX6,"B"))*3)+((COUNTIF('Elève (3ème3)'!JU6:JX6,"C"))*2)+((COUNTIF('Elève (3ème3)'!JU6:JX6,"D"))*1))/(COUNTA(JU6:JX6)),"")</f>
        <v>3</v>
      </c>
      <c r="JZ6" s="164" t="str">
        <f t="shared" si="76"/>
        <v>B</v>
      </c>
      <c r="KA6" s="103" t="s">
        <v>29</v>
      </c>
      <c r="KB6" s="104" t="s">
        <v>28</v>
      </c>
      <c r="KC6" s="105" t="s">
        <v>29</v>
      </c>
      <c r="KD6" s="105" t="s">
        <v>27</v>
      </c>
      <c r="KE6" s="105"/>
      <c r="KF6" s="109"/>
      <c r="KG6" s="163">
        <f>IFERROR((((COUNTIF('Elève (3ème3)'!KA6:KF6,"A"))*4)+((COUNTIF('Elève (3ème3)'!KA6:KF6,"B"))*3)+((COUNTIF('Elève (3ème3)'!KA6:KF6,"C"))*2)+((COUNTIF('Elève (3ème3)'!KA6:KF6,"D"))*1))/(COUNTA(KA6:KF6)),"")</f>
        <v>2.75</v>
      </c>
      <c r="KH6" s="164" t="str">
        <f t="shared" si="77"/>
        <v>C</v>
      </c>
      <c r="KI6" s="163">
        <f>IF(COUNT(JS6,JY6,KG6)=0,"",SUM(JS6,JY6,KG6)/COUNT(JS6,JY6,KG6))</f>
        <v>2.875</v>
      </c>
      <c r="KJ6" s="187" t="str">
        <f t="shared" si="78"/>
        <v>B</v>
      </c>
      <c r="KK6" s="103"/>
      <c r="KL6" s="104"/>
      <c r="KM6" s="105"/>
      <c r="KN6" s="163" t="str">
        <f>IFERROR((((COUNTIF('Elève (3ème3)'!KK6:KM6,"A"))*4)+((COUNTIF('Elève (3ème3)'!KK6:KM6,"B"))*3)+((COUNTIF('Elève (3ème3)'!KK6:KM6,"C"))*2)+((COUNTIF('Elève (3ème3)'!KK6:KM6,"D"))*1))/(COUNTA(KK6:KM6)),"")</f>
        <v/>
      </c>
      <c r="KO6" s="164" t="str">
        <f t="shared" si="79"/>
        <v/>
      </c>
      <c r="KP6" s="103" t="s">
        <v>30</v>
      </c>
      <c r="KQ6" s="104"/>
      <c r="KR6" s="105"/>
      <c r="KS6" s="105"/>
      <c r="KT6" s="163">
        <f>IFERROR((((COUNTIF('Elève (3ème3)'!KP6:KS6,"A"))*4)+((COUNTIF('Elève (3ème3)'!KP6:KS6,"B"))*3)+((COUNTIF('Elève (3ème3)'!KP6:KS6,"C"))*2)+((COUNTIF('Elève (3ème3)'!KP6:KS6,"D"))*1))/(COUNTA(KP6:KS6)),"")</f>
        <v>1</v>
      </c>
      <c r="KU6" s="164" t="str">
        <f t="shared" si="80"/>
        <v>D</v>
      </c>
      <c r="KV6" s="103" t="s">
        <v>29</v>
      </c>
      <c r="KW6" s="104" t="s">
        <v>29</v>
      </c>
      <c r="KX6" s="105" t="s">
        <v>29</v>
      </c>
      <c r="KY6" s="105" t="s">
        <v>27</v>
      </c>
      <c r="KZ6" s="105"/>
      <c r="LA6" s="109"/>
      <c r="LB6" s="163">
        <f>IFERROR((((COUNTIF('Elève (3ème3)'!KV6:LA6,"A"))*4)+((COUNTIF('Elève (3ème3)'!KV6:LA6,"B"))*3)+((COUNTIF('Elève (3ème3)'!KV6:LA6,"C"))*2)+((COUNTIF('Elève (3ème3)'!KV6:LA6,"D"))*1))/(COUNTA(KV6:LA6)),"")</f>
        <v>2.5</v>
      </c>
      <c r="LC6" s="164" t="str">
        <f t="shared" si="81"/>
        <v>C</v>
      </c>
      <c r="LD6" s="163">
        <f>IF(COUNT(KN6,KT6,LB6)=0,"",SUM(KN6,KT6,LB6)/COUNT(KN6,KT6,LB6))</f>
        <v>1.75</v>
      </c>
      <c r="LE6" s="187" t="str">
        <f t="shared" si="82"/>
        <v>C</v>
      </c>
      <c r="LF6" s="103"/>
      <c r="LG6" s="104"/>
      <c r="LH6" s="105"/>
      <c r="LI6" s="163" t="str">
        <f>IFERROR((((COUNTIF('Elève (3ème3)'!LF6:LH6,"A"))*4)+((COUNTIF('Elève (3ème3)'!LF6:LH6,"B"))*3)+((COUNTIF('Elève (3ème3)'!LF6:LH6,"C"))*2)+((COUNTIF('Elève (3ème3)'!LF6:LH6,"D"))*1))/(COUNTA(LF6:LH6)),"")</f>
        <v/>
      </c>
      <c r="LJ6" s="164" t="str">
        <f t="shared" si="83"/>
        <v/>
      </c>
      <c r="LK6" s="103" t="s">
        <v>29</v>
      </c>
      <c r="LL6" s="104"/>
      <c r="LM6" s="105"/>
      <c r="LN6" s="105"/>
      <c r="LO6" s="163">
        <f>IFERROR((((COUNTIF('Elève (3ème3)'!LK6:LN6,"A"))*4)+((COUNTIF('Elève (3ème3)'!LK6:LN6,"B"))*3)+((COUNTIF('Elève (3ème3)'!LK6:LN6,"C"))*2)+((COUNTIF('Elève (3ème3)'!LK6:LN6,"D"))*1))/(COUNTA(LK6:LN6)),"")</f>
        <v>2</v>
      </c>
      <c r="LP6" s="164" t="str">
        <f t="shared" si="84"/>
        <v>C</v>
      </c>
      <c r="LQ6" s="103" t="s">
        <v>29</v>
      </c>
      <c r="LR6" s="104" t="s">
        <v>28</v>
      </c>
      <c r="LS6" s="105" t="s">
        <v>29</v>
      </c>
      <c r="LT6" s="105" t="s">
        <v>27</v>
      </c>
      <c r="LU6" s="105"/>
      <c r="LV6" s="109"/>
      <c r="LW6" s="163">
        <f>IFERROR((((COUNTIF('Elève (3ème3)'!LQ6:LV6,"A"))*4)+((COUNTIF('Elève (3ème3)'!LQ6:LV6,"B"))*3)+((COUNTIF('Elève (3ème3)'!LQ6:LV6,"C"))*2)+((COUNTIF('Elève (3ème3)'!LQ6:LV6,"D"))*1))/(COUNTA(LQ6:LV6)),"")</f>
        <v>2.75</v>
      </c>
      <c r="LX6" s="164" t="str">
        <f t="shared" si="85"/>
        <v>C</v>
      </c>
      <c r="LY6" s="163">
        <f>IF(COUNT(LI6,LO6,LW6)=0,"",SUM(LI6,LO6,LW6)/COUNT(LI6,LO6,LW6))</f>
        <v>2.375</v>
      </c>
      <c r="LZ6" s="187" t="str">
        <f t="shared" si="86"/>
        <v>C</v>
      </c>
      <c r="MA6" s="103"/>
      <c r="MB6" s="104"/>
      <c r="MC6" s="105"/>
      <c r="MD6" s="163" t="str">
        <f>IFERROR((((COUNTIF('Elève (3ème3)'!MA6:MC6,"A"))*4)+((COUNTIF('Elève (3ème3)'!MA6:MC6,"B"))*3)+((COUNTIF('Elève (3ème3)'!MA6:MC6,"C"))*2)+((COUNTIF('Elève (3ème3)'!MA6:MC6,"D"))*1))/(COUNTA(MA6:MC6)),"")</f>
        <v/>
      </c>
      <c r="ME6" s="164" t="str">
        <f t="shared" si="87"/>
        <v/>
      </c>
      <c r="MF6" s="103" t="s">
        <v>28</v>
      </c>
      <c r="MG6" s="104"/>
      <c r="MH6" s="105"/>
      <c r="MI6" s="105"/>
      <c r="MJ6" s="163">
        <f>IFERROR((((COUNTIF('Elève (3ème3)'!MF6:MI6,"A"))*4)+((COUNTIF('Elève (3ème3)'!MF6:MI6,"B"))*3)+((COUNTIF('Elève (3ème3)'!MF6:MI6,"C"))*2)+((COUNTIF('Elève (3ème3)'!MF6:MI6,"D"))*1))/(COUNTA(MF6:MI6)),"")</f>
        <v>3</v>
      </c>
      <c r="MK6" s="164" t="str">
        <f t="shared" si="88"/>
        <v>B</v>
      </c>
      <c r="ML6" s="103" t="s">
        <v>29</v>
      </c>
      <c r="MM6" s="104" t="s">
        <v>29</v>
      </c>
      <c r="MN6" s="105" t="s">
        <v>29</v>
      </c>
      <c r="MO6" s="105" t="s">
        <v>30</v>
      </c>
      <c r="MP6" s="105"/>
      <c r="MQ6" s="109"/>
      <c r="MR6" s="163">
        <f>IFERROR((((COUNTIF('Elève (3ème3)'!ML6:MQ6,"A"))*4)+((COUNTIF('Elève (3ème3)'!ML6:MQ6,"B"))*3)+((COUNTIF('Elève (3ème3)'!ML6:MQ6,"C"))*2)+((COUNTIF('Elève (3ème3)'!ML6:MQ6,"D"))*1))/(COUNTA(ML6:MQ6)),"")</f>
        <v>1.75</v>
      </c>
      <c r="MS6" s="164" t="str">
        <f t="shared" si="89"/>
        <v>C</v>
      </c>
      <c r="MT6" s="163">
        <f>IF(COUNT(MD6,MJ6,MR6)=0,"",SUM(MD6,MJ6,MR6)/COUNT(MD6,MJ6,MR6))</f>
        <v>2.375</v>
      </c>
      <c r="MU6" s="187" t="str">
        <f t="shared" si="90"/>
        <v>C</v>
      </c>
      <c r="MV6" s="103"/>
      <c r="MW6" s="104"/>
      <c r="MX6" s="105"/>
      <c r="MY6" s="163" t="str">
        <f>IFERROR((((COUNTIF('Elève (3ème3)'!MV6:MX6,"A"))*4)+((COUNTIF('Elève (3ème3)'!MV6:MX6,"B"))*3)+((COUNTIF('Elève (3ème3)'!MV6:MX6,"C"))*2)+((COUNTIF('Elève (3ème3)'!MV6:MX6,"D"))*1))/(COUNTA(MV6:MX6)),"")</f>
        <v/>
      </c>
      <c r="MZ6" s="164" t="str">
        <f t="shared" si="91"/>
        <v/>
      </c>
      <c r="NA6" s="103" t="s">
        <v>27</v>
      </c>
      <c r="NB6" s="104"/>
      <c r="NC6" s="105"/>
      <c r="ND6" s="105"/>
      <c r="NE6" s="163">
        <f>IFERROR((((COUNTIF('Elève (3ème3)'!NA6:ND6,"A"))*4)+((COUNTIF('Elève (3ème3)'!NA6:ND6,"B"))*3)+((COUNTIF('Elève (3ème3)'!NA6:ND6,"C"))*2)+((COUNTIF('Elève (3ème3)'!NA6:ND6,"D"))*1))/(COUNTA(NA6:ND6)),"")</f>
        <v>4</v>
      </c>
      <c r="NF6" s="164" t="str">
        <f t="shared" si="92"/>
        <v>A</v>
      </c>
      <c r="NG6" s="103" t="s">
        <v>27</v>
      </c>
      <c r="NH6" s="104" t="s">
        <v>29</v>
      </c>
      <c r="NI6" s="105" t="s">
        <v>28</v>
      </c>
      <c r="NJ6" s="105" t="s">
        <v>28</v>
      </c>
      <c r="NK6" s="105"/>
      <c r="NL6" s="109"/>
      <c r="NM6" s="163">
        <f>IFERROR((((COUNTIF('Elève (3ème3)'!NG6:NL6,"A"))*4)+((COUNTIF('Elève (3ème3)'!NG6:NL6,"B"))*3)+((COUNTIF('Elève (3ème3)'!NG6:NL6,"C"))*2)+((COUNTIF('Elève (3ème3)'!NG6:NL6,"D"))*1))/(COUNTA(NG6:NL6)),"")</f>
        <v>3</v>
      </c>
      <c r="NN6" s="164" t="str">
        <f t="shared" si="93"/>
        <v>B</v>
      </c>
      <c r="NO6" s="163">
        <f>IF(COUNT(MY6,NE6,NM6)=0,"",SUM(MY6,NE6,NM6)/COUNT(MY6,NE6,NM6))</f>
        <v>3.5</v>
      </c>
      <c r="NP6" s="187" t="str">
        <f t="shared" si="94"/>
        <v>B</v>
      </c>
      <c r="NQ6" s="103"/>
      <c r="NR6" s="104"/>
      <c r="NS6" s="105"/>
      <c r="NT6" s="163" t="str">
        <f>IFERROR((((COUNTIF('Elève (3ème3)'!NQ6:NS6,"A"))*4)+((COUNTIF('Elève (3ème3)'!NQ6:NS6,"B"))*3)+((COUNTIF('Elève (3ème3)'!NQ6:NS6,"C"))*2)+((COUNTIF('Elève (3ème3)'!NQ6:NS6,"D"))*1))/(COUNTA(NQ6:NS6)),"")</f>
        <v/>
      </c>
      <c r="NU6" s="164" t="str">
        <f t="shared" si="95"/>
        <v/>
      </c>
      <c r="NV6" s="103" t="s">
        <v>29</v>
      </c>
      <c r="NW6" s="104"/>
      <c r="NX6" s="105"/>
      <c r="NY6" s="105"/>
      <c r="NZ6" s="163">
        <f>IFERROR((((COUNTIF('Elève (3ème3)'!NV6:NY6,"A"))*4)+((COUNTIF('Elève (3ème3)'!NV6:NY6,"B"))*3)+((COUNTIF('Elève (3ème3)'!NV6:NY6,"C"))*2)+((COUNTIF('Elève (3ème3)'!NV6:NY6,"D"))*1))/(COUNTA(NV6:NY6)),"")</f>
        <v>2</v>
      </c>
      <c r="OA6" s="164" t="str">
        <f t="shared" si="96"/>
        <v>C</v>
      </c>
      <c r="OB6" s="103" t="s">
        <v>29</v>
      </c>
      <c r="OC6" s="104" t="s">
        <v>29</v>
      </c>
      <c r="OD6" s="105" t="s">
        <v>29</v>
      </c>
      <c r="OE6" s="105" t="s">
        <v>28</v>
      </c>
      <c r="OF6" s="105"/>
      <c r="OG6" s="109"/>
      <c r="OH6" s="163">
        <f>IFERROR((((COUNTIF('Elève (3ème3)'!OB6:OG6,"A"))*4)+((COUNTIF('Elève (3ème3)'!OB6:OG6,"B"))*3)+((COUNTIF('Elève (3ème3)'!OB6:OG6,"C"))*2)+((COUNTIF('Elève (3ème3)'!OB6:OG6,"D"))*1))/(COUNTA(OB6:OG6)),"")</f>
        <v>2.25</v>
      </c>
      <c r="OI6" s="164" t="str">
        <f t="shared" si="97"/>
        <v>C</v>
      </c>
      <c r="OJ6" s="163">
        <f>IF(COUNT(NT6,NZ6,OH6)=0,"",SUM(NT6,NZ6,OH6)/COUNT(NT6,NZ6,OH6))</f>
        <v>2.125</v>
      </c>
      <c r="OK6" s="187" t="str">
        <f t="shared" si="98"/>
        <v>C</v>
      </c>
      <c r="OL6" s="103"/>
      <c r="OM6" s="104"/>
      <c r="ON6" s="105"/>
      <c r="OO6" s="163" t="str">
        <f>IFERROR((((COUNTIF('Elève (3ème3)'!OL6:ON6,"A"))*4)+((COUNTIF('Elève (3ème3)'!OL6:ON6,"B"))*3)+((COUNTIF('Elève (3ème3)'!OL6:ON6,"C"))*2)+((COUNTIF('Elève (3ème3)'!OL6:ON6,"D"))*1))/(COUNTA(OL6:ON6)),"")</f>
        <v/>
      </c>
      <c r="OP6" s="164" t="str">
        <f t="shared" si="99"/>
        <v/>
      </c>
      <c r="OQ6" s="103" t="s">
        <v>29</v>
      </c>
      <c r="OR6" s="104"/>
      <c r="OS6" s="105"/>
      <c r="OT6" s="105"/>
      <c r="OU6" s="163">
        <f>IFERROR((((COUNTIF('Elève (3ème3)'!OQ6:OT6,"A"))*4)+((COUNTIF('Elève (3ème3)'!OQ6:OT6,"B"))*3)+((COUNTIF('Elève (3ème3)'!OQ6:OT6,"C"))*2)+((COUNTIF('Elève (3ème3)'!OQ6:OT6,"D"))*1))/(COUNTA(OQ6:OT6)),"")</f>
        <v>2</v>
      </c>
      <c r="OV6" s="164" t="str">
        <f t="shared" si="100"/>
        <v>C</v>
      </c>
      <c r="OW6" s="103"/>
      <c r="OX6" s="104" t="s">
        <v>29</v>
      </c>
      <c r="OY6" s="105" t="s">
        <v>29</v>
      </c>
      <c r="OZ6" s="105" t="s">
        <v>30</v>
      </c>
      <c r="PA6" s="105"/>
      <c r="PB6" s="109"/>
      <c r="PC6" s="163">
        <f>IFERROR((((COUNTIF('Elève (3ème3)'!OW6:PB6,"A"))*4)+((COUNTIF('Elève (3ème3)'!OW6:PB6,"B"))*3)+((COUNTIF('Elève (3ème3)'!OW6:PB6,"C"))*2)+((COUNTIF('Elève (3ème3)'!OW6:PB6,"D"))*1))/(COUNTA(OW6:PB6)),"")</f>
        <v>1.6666666666666667</v>
      </c>
      <c r="PD6" s="164" t="str">
        <f t="shared" si="101"/>
        <v>C</v>
      </c>
      <c r="PE6" s="163">
        <f>IF(COUNT(OO6,OU6,PC6)=0,"",SUM(OO6,OU6,PC6)/COUNT(OO6,OU6,PC6))</f>
        <v>1.8333333333333335</v>
      </c>
      <c r="PF6" s="187" t="str">
        <f t="shared" si="102"/>
        <v>C</v>
      </c>
      <c r="PG6" s="103"/>
      <c r="PH6" s="104"/>
      <c r="PI6" s="105"/>
      <c r="PJ6" s="163" t="str">
        <f>IFERROR((((COUNTIF('Elève (3ème3)'!PG6:PI6,"A"))*4)+((COUNTIF('Elève (3ème3)'!PG6:PI6,"B"))*3)+((COUNTIF('Elève (3ème3)'!PG6:PI6,"C"))*2)+((COUNTIF('Elève (3ème3)'!PG6:PI6,"D"))*1))/(COUNTA(PG6:PI6)),"")</f>
        <v/>
      </c>
      <c r="PK6" s="164" t="str">
        <f t="shared" si="103"/>
        <v/>
      </c>
      <c r="PL6" s="103" t="s">
        <v>29</v>
      </c>
      <c r="PM6" s="104"/>
      <c r="PN6" s="105"/>
      <c r="PO6" s="105"/>
      <c r="PP6" s="163">
        <f>IFERROR((((COUNTIF('Elève (3ème3)'!PL6:PO6,"A"))*4)+((COUNTIF('Elève (3ème3)'!PL6:PO6,"B"))*3)+((COUNTIF('Elève (3ème3)'!PL6:PO6,"C"))*2)+((COUNTIF('Elève (3ème3)'!PL6:PO6,"D"))*1))/(COUNTA(PL6:PO6)),"")</f>
        <v>2</v>
      </c>
      <c r="PQ6" s="164" t="str">
        <f t="shared" si="104"/>
        <v>C</v>
      </c>
      <c r="PR6" s="103" t="s">
        <v>27</v>
      </c>
      <c r="PS6" s="104" t="s">
        <v>29</v>
      </c>
      <c r="PT6" s="105" t="s">
        <v>29</v>
      </c>
      <c r="PU6" s="105" t="s">
        <v>28</v>
      </c>
      <c r="PV6" s="105"/>
      <c r="PW6" s="109"/>
      <c r="PX6" s="163">
        <f>IFERROR((((COUNTIF('Elève (3ème3)'!PR6:PW6,"A"))*4)+((COUNTIF('Elève (3ème3)'!PR6:PW6,"B"))*3)+((COUNTIF('Elève (3ème3)'!PR6:PW6,"C"))*2)+((COUNTIF('Elève (3ème3)'!PR6:PW6,"D"))*1))/(COUNTA(PR6:PW6)),"")</f>
        <v>2.75</v>
      </c>
      <c r="PY6" s="164" t="str">
        <f t="shared" si="105"/>
        <v>C</v>
      </c>
      <c r="PZ6" s="163">
        <f>IF(COUNT(PJ6,PP6,PX6)=0,"",SUM(PJ6,PP6,PX6)/COUNT(PJ6,PP6,PX6))</f>
        <v>2.375</v>
      </c>
      <c r="QA6" s="187" t="str">
        <f t="shared" si="106"/>
        <v>C</v>
      </c>
      <c r="QB6" s="103"/>
      <c r="QC6" s="104"/>
      <c r="QD6" s="105"/>
      <c r="QE6" s="163" t="str">
        <f>IFERROR((((COUNTIF('Elève (3ème3)'!QB6:QD6,"A"))*4)+((COUNTIF('Elève (3ème3)'!QB6:QD6,"B"))*3)+((COUNTIF('Elève (3ème3)'!QB6:QD6,"C"))*2)+((COUNTIF('Elève (3ème3)'!QB6:QD6,"D"))*1))/(COUNTA(QB6:QD6)),"")</f>
        <v/>
      </c>
      <c r="QF6" s="164" t="str">
        <f t="shared" si="107"/>
        <v/>
      </c>
      <c r="QG6" s="103" t="s">
        <v>29</v>
      </c>
      <c r="QH6" s="104"/>
      <c r="QI6" s="105"/>
      <c r="QJ6" s="105"/>
      <c r="QK6" s="163">
        <f>IFERROR((((COUNTIF('Elève (3ème3)'!QG6:QJ6,"A"))*4)+((COUNTIF('Elève (3ème3)'!QG6:QJ6,"B"))*3)+((COUNTIF('Elève (3ème3)'!QG6:QJ6,"C"))*2)+((COUNTIF('Elève (3ème3)'!QG6:QJ6,"D"))*1))/(COUNTA(QG6:QJ6)),"")</f>
        <v>2</v>
      </c>
      <c r="QL6" s="164" t="str">
        <f t="shared" si="108"/>
        <v>C</v>
      </c>
      <c r="QM6" s="103" t="s">
        <v>27</v>
      </c>
      <c r="QN6" s="104" t="s">
        <v>28</v>
      </c>
      <c r="QO6" s="105" t="s">
        <v>27</v>
      </c>
      <c r="QP6" s="105" t="s">
        <v>27</v>
      </c>
      <c r="QQ6" s="105"/>
      <c r="QR6" s="109"/>
      <c r="QS6" s="163">
        <f>IFERROR((((COUNTIF('Elève (3ème3)'!QM6:QR6,"A"))*4)+((COUNTIF('Elève (3ème3)'!QM6:QR6,"B"))*3)+((COUNTIF('Elève (3ème3)'!QM6:QR6,"C"))*2)+((COUNTIF('Elève (3ème3)'!QM6:QR6,"D"))*1))/(COUNTA(QM6:QR6)),"")</f>
        <v>3.75</v>
      </c>
      <c r="QT6" s="164" t="str">
        <f t="shared" si="109"/>
        <v>A</v>
      </c>
      <c r="QU6" s="163">
        <f>IF(COUNT(QE6,QK6,QS6)=0,"",SUM(QE6,QK6,QS6)/COUNT(QE6,QK6,QS6))</f>
        <v>2.875</v>
      </c>
      <c r="QV6" s="187" t="str">
        <f t="shared" si="110"/>
        <v>B</v>
      </c>
      <c r="QW6" s="103"/>
      <c r="QX6" s="104"/>
      <c r="QY6" s="105"/>
      <c r="QZ6" s="163" t="str">
        <f>IFERROR((((COUNTIF('Elève (3ème3)'!QW6:QY6,"A"))*4)+((COUNTIF('Elève (3ème3)'!QW6:QY6,"B"))*3)+((COUNTIF('Elève (3ème3)'!QW6:QY6,"C"))*2)+((COUNTIF('Elève (3ème3)'!QW6:QY6,"D"))*1))/(COUNTA(QW6:QY6)),"")</f>
        <v/>
      </c>
      <c r="RA6" s="164" t="str">
        <f t="shared" si="111"/>
        <v/>
      </c>
      <c r="RB6" s="103" t="s">
        <v>29</v>
      </c>
      <c r="RC6" s="104"/>
      <c r="RD6" s="105"/>
      <c r="RE6" s="105"/>
      <c r="RF6" s="163">
        <f>IFERROR((((COUNTIF('Elève (3ème3)'!RB6:RE6,"A"))*4)+((COUNTIF('Elève (3ème3)'!RB6:RE6,"B"))*3)+((COUNTIF('Elève (3ème3)'!RB6:RE6,"C"))*2)+((COUNTIF('Elève (3ème3)'!RB6:RE6,"D"))*1))/(COUNTA(RB6:RE6)),"")</f>
        <v>2</v>
      </c>
      <c r="RG6" s="164" t="str">
        <f t="shared" si="112"/>
        <v>C</v>
      </c>
      <c r="RH6" s="103" t="s">
        <v>29</v>
      </c>
      <c r="RI6" s="104" t="s">
        <v>29</v>
      </c>
      <c r="RJ6" s="105" t="s">
        <v>29</v>
      </c>
      <c r="RK6" s="105" t="s">
        <v>30</v>
      </c>
      <c r="RL6" s="105"/>
      <c r="RM6" s="109"/>
      <c r="RN6" s="163">
        <f>IFERROR((((COUNTIF('Elève (3ème3)'!RH6:RM6,"A"))*4)+((COUNTIF('Elève (3ème3)'!RH6:RM6,"B"))*3)+((COUNTIF('Elève (3ème3)'!RH6:RM6,"C"))*2)+((COUNTIF('Elève (3ème3)'!RH6:RM6,"D"))*1))/(COUNTA(RH6:RM6)),"")</f>
        <v>1.75</v>
      </c>
      <c r="RO6" s="164" t="str">
        <f t="shared" si="113"/>
        <v>C</v>
      </c>
      <c r="RP6" s="163">
        <f>IF(COUNT(QZ6,RF6,RN6)=0,"",SUM(QZ6,RF6,RN6)/COUNT(QZ6,RF6,RN6))</f>
        <v>1.875</v>
      </c>
      <c r="RQ6" s="187" t="str">
        <f t="shared" si="114"/>
        <v>C</v>
      </c>
      <c r="RR6" s="103"/>
      <c r="RS6" s="104"/>
      <c r="RT6" s="105"/>
      <c r="RU6" s="163" t="str">
        <f>IFERROR((((COUNTIF('Elève (3ème3)'!RR6:RT6,"A"))*4)+((COUNTIF('Elève (3ème3)'!RR6:RT6,"B"))*3)+((COUNTIF('Elève (3ème3)'!RR6:RT6,"C"))*2)+((COUNTIF('Elève (3ème3)'!RR6:RT6,"D"))*1))/(COUNTA(RR6:RT6)),"")</f>
        <v/>
      </c>
      <c r="RV6" s="164" t="str">
        <f t="shared" si="115"/>
        <v/>
      </c>
      <c r="RW6" s="103" t="s">
        <v>30</v>
      </c>
      <c r="RX6" s="104"/>
      <c r="RY6" s="105"/>
      <c r="RZ6" s="105"/>
      <c r="SA6" s="163">
        <f>IFERROR((((COUNTIF('Elève (3ème3)'!RW6:RZ6,"A"))*4)+((COUNTIF('Elève (3ème3)'!RW6:RZ6,"B"))*3)+((COUNTIF('Elève (3ème3)'!RW6:RZ6,"C"))*2)+((COUNTIF('Elève (3ème3)'!RW6:RZ6,"D"))*1))/(COUNTA(RW6:RZ6)),"")</f>
        <v>1</v>
      </c>
      <c r="SB6" s="164" t="str">
        <f t="shared" si="116"/>
        <v>D</v>
      </c>
      <c r="SC6" s="103" t="s">
        <v>29</v>
      </c>
      <c r="SD6" s="104" t="s">
        <v>29</v>
      </c>
      <c r="SE6" s="105" t="s">
        <v>29</v>
      </c>
      <c r="SF6" s="105" t="s">
        <v>30</v>
      </c>
      <c r="SG6" s="105"/>
      <c r="SH6" s="109"/>
      <c r="SI6" s="163">
        <f>IFERROR((((COUNTIF('Elève (3ème3)'!SC6:SH6,"A"))*4)+((COUNTIF('Elève (3ème3)'!SC6:SH6,"B"))*3)+((COUNTIF('Elève (3ème3)'!SC6:SH6,"C"))*2)+((COUNTIF('Elève (3ème3)'!SC6:SH6,"D"))*1))/(COUNTA(SC6:SH6)),"")</f>
        <v>1.75</v>
      </c>
      <c r="SJ6" s="164" t="str">
        <f t="shared" si="117"/>
        <v>C</v>
      </c>
      <c r="SK6" s="163">
        <f>IF(COUNT(RU6,SA6,SI6)=0,"",SUM(RU6,SA6,SI6)/COUNT(RU6,SA6,SI6))</f>
        <v>1.375</v>
      </c>
      <c r="SL6" s="187" t="str">
        <f t="shared" si="118"/>
        <v>D</v>
      </c>
      <c r="SM6" s="103"/>
      <c r="SN6" s="104"/>
      <c r="SO6" s="105"/>
      <c r="SP6" s="106" t="str">
        <f>IFERROR((((COUNTIF('Elève (3ème3)'!SM6:SO6,"A"))*4)+((COUNTIF('Elève (3ème3)'!SM6:SO6,"B"))*3)+((COUNTIF('Elève (3ème3)'!SM6:SO6,"C"))*2)+((COUNTIF('Elève (3ème3)'!SM6:SO6,"D"))*1))/(COUNTA(SM6:SO6)),"")</f>
        <v/>
      </c>
      <c r="SQ6" s="107" t="str">
        <f t="shared" si="119"/>
        <v/>
      </c>
      <c r="SR6" s="103"/>
      <c r="SS6" s="104"/>
      <c r="ST6" s="105"/>
      <c r="SU6" s="106" t="str">
        <f>IFERROR((((COUNTIF('Elève (3ème3)'!SR6:ST6,"A"))*4)+((COUNTIF('Elève (3ème3)'!SR6:ST6,"B"))*3)+((COUNTIF('Elève (3ème3)'!SR6:ST6,"C"))*2)+((COUNTIF('Elève (3ème3)'!SR6:ST6,"D"))*1))/(COUNTA(SR6:ST6)),"")</f>
        <v/>
      </c>
      <c r="SV6" s="107" t="str">
        <f t="shared" si="120"/>
        <v/>
      </c>
      <c r="SW6" s="103"/>
      <c r="SX6" s="104"/>
      <c r="SY6" s="109"/>
      <c r="SZ6" s="106" t="str">
        <f>IFERROR((((COUNTIF('Elève (3ème3)'!SW6:SY6,"A"))*4)+((COUNTIF('Elève (3ème3)'!SW6:SY6,"B"))*3)+((COUNTIF('Elève (3ème3)'!SW6:SY6,"C"))*2)+((COUNTIF('Elève (3ème3)'!SW6:SY6,"D"))*1))/(COUNTA(SW6:SY6)),"")</f>
        <v/>
      </c>
      <c r="TA6" s="107" t="str">
        <f t="shared" si="121"/>
        <v/>
      </c>
      <c r="TB6" s="106" t="str">
        <f>IF(COUNT(SP6,SU6,SZ6)=0,"",SUM(SP6,SU6,SZ6)/COUNT(SP6,SU6,SZ6))</f>
        <v/>
      </c>
      <c r="TC6" s="108" t="str">
        <f t="shared" si="122"/>
        <v/>
      </c>
      <c r="TD6" s="103"/>
      <c r="TE6" s="104"/>
      <c r="TF6" s="105"/>
      <c r="TG6" s="106" t="str">
        <f>IFERROR((((COUNTIF('Elève (3ème3)'!TD6:TF6,"A"))*4)+((COUNTIF('Elève (3ème3)'!TD6:TF6,"B"))*3)+((COUNTIF('Elève (3ème3)'!TD6:TF6,"C"))*2)+((COUNTIF('Elève (3ème3)'!TD6:TF6,"D"))*1))/(COUNTA(TD6:TF6)),"")</f>
        <v/>
      </c>
      <c r="TH6" s="107" t="str">
        <f t="shared" si="123"/>
        <v/>
      </c>
      <c r="TI6" s="103"/>
      <c r="TJ6" s="104"/>
      <c r="TK6" s="105"/>
      <c r="TL6" s="106" t="str">
        <f>IFERROR((((COUNTIF('Elève (3ème3)'!TI6:TK6,"A"))*4)+((COUNTIF('Elève (3ème3)'!TI6:TK6,"B"))*3)+((COUNTIF('Elève (3ème3)'!TI6:TK6,"C"))*2)+((COUNTIF('Elève (3ème3)'!TI6:TK6,"D"))*1))/(COUNTA(TI6:TK6)),"")</f>
        <v/>
      </c>
      <c r="TM6" s="107" t="str">
        <f t="shared" si="124"/>
        <v/>
      </c>
      <c r="TN6" s="103"/>
      <c r="TO6" s="104"/>
      <c r="TP6" s="109"/>
      <c r="TQ6" s="106" t="str">
        <f>IFERROR((((COUNTIF('Elève (3ème3)'!TN6:TP6,"A"))*4)+((COUNTIF('Elève (3ème3)'!TN6:TP6,"B"))*3)+((COUNTIF('Elève (3ème3)'!TN6:TP6,"C"))*2)+((COUNTIF('Elève (3ème3)'!TN6:TP6,"D"))*1))/(COUNTA(TN6:TP6)),"")</f>
        <v/>
      </c>
      <c r="TR6" s="107" t="str">
        <f t="shared" si="125"/>
        <v/>
      </c>
      <c r="TS6" s="106" t="str">
        <f>IF(COUNT(TG6,TL6,TQ6)=0,"",SUM(TG6,TL6,TQ6)/COUNT(TG6,TL6,TQ6))</f>
        <v/>
      </c>
      <c r="TT6" s="108" t="str">
        <f t="shared" si="126"/>
        <v/>
      </c>
      <c r="TU6" s="103"/>
      <c r="TV6" s="104"/>
      <c r="TW6" s="105"/>
      <c r="TX6" s="106" t="str">
        <f>IFERROR((((COUNTIF('Elève (3ème3)'!TU6:TW6,"A"))*4)+((COUNTIF('Elève (3ème3)'!TU6:TW6,"B"))*3)+((COUNTIF('Elève (3ème3)'!TU6:TW6,"C"))*2)+((COUNTIF('Elève (3ème3)'!TU6:TW6,"D"))*1))/(COUNTA(TU6:TW6)),"")</f>
        <v/>
      </c>
      <c r="TY6" s="107" t="str">
        <f t="shared" si="127"/>
        <v/>
      </c>
      <c r="TZ6" s="103"/>
      <c r="UA6" s="104"/>
      <c r="UB6" s="105"/>
      <c r="UC6" s="106" t="str">
        <f>IFERROR((((COUNTIF('Elève (3ème3)'!TZ6:UB6,"A"))*4)+((COUNTIF('Elève (3ème3)'!TZ6:UB6,"B"))*3)+((COUNTIF('Elève (3ème3)'!TZ6:UB6,"C"))*2)+((COUNTIF('Elève (3ème3)'!TZ6:UB6,"D"))*1))/(COUNTA(TZ6:UB6)),"")</f>
        <v/>
      </c>
      <c r="UD6" s="107" t="str">
        <f t="shared" si="128"/>
        <v/>
      </c>
      <c r="UE6" s="103"/>
      <c r="UF6" s="104"/>
      <c r="UG6" s="109"/>
      <c r="UH6" s="106" t="str">
        <f>IFERROR((((COUNTIF('Elève (3ème3)'!UE6:UG6,"A"))*4)+((COUNTIF('Elève (3ème3)'!UE6:UG6,"B"))*3)+((COUNTIF('Elève (3ème3)'!UE6:UG6,"C"))*2)+((COUNTIF('Elève (3ème3)'!UE6:UG6,"D"))*1))/(COUNTA(UE6:UG6)),"")</f>
        <v/>
      </c>
      <c r="UI6" s="107" t="str">
        <f t="shared" si="129"/>
        <v/>
      </c>
      <c r="UJ6" s="106" t="str">
        <f>IF(COUNT(TX6,UC6,UH6)=0,"",SUM(TX6,UC6,UH6)/COUNT(TX6,UC6,UH6))</f>
        <v/>
      </c>
      <c r="UK6" s="108" t="str">
        <f t="shared" si="130"/>
        <v/>
      </c>
      <c r="UL6" s="103"/>
      <c r="UM6" s="104"/>
      <c r="UN6" s="105"/>
      <c r="UO6" s="106" t="str">
        <f>IFERROR((((COUNTIF('Elève (3ème3)'!UL6:UN6,"A"))*4)+((COUNTIF('Elève (3ème3)'!UL6:UN6,"B"))*3)+((COUNTIF('Elève (3ème3)'!UL6:UN6,"C"))*2)+((COUNTIF('Elève (3ème3)'!UL6:UN6,"D"))*1))/(COUNTA(UL6:UN6)),"")</f>
        <v/>
      </c>
      <c r="UP6" s="107" t="str">
        <f t="shared" si="131"/>
        <v/>
      </c>
      <c r="UQ6" s="103"/>
      <c r="UR6" s="104"/>
      <c r="US6" s="105"/>
      <c r="UT6" s="106" t="str">
        <f>IFERROR((((COUNTIF('Elève (3ème3)'!UQ6:US6,"A"))*4)+((COUNTIF('Elève (3ème3)'!UQ6:US6,"B"))*3)+((COUNTIF('Elève (3ème3)'!UQ6:US6,"C"))*2)+((COUNTIF('Elève (3ème3)'!UQ6:US6,"D"))*1))/(COUNTA(UQ6:US6)),"")</f>
        <v/>
      </c>
      <c r="UU6" s="107" t="str">
        <f t="shared" si="132"/>
        <v/>
      </c>
      <c r="UV6" s="103"/>
      <c r="UW6" s="104"/>
      <c r="UX6" s="109"/>
      <c r="UY6" s="106" t="str">
        <f>IFERROR((((COUNTIF('Elève (3ème3)'!UV6:UX6,"A"))*4)+((COUNTIF('Elève (3ème3)'!UV6:UX6,"B"))*3)+((COUNTIF('Elève (3ème3)'!UV6:UX6,"C"))*2)+((COUNTIF('Elève (3ème3)'!UV6:UX6,"D"))*1))/(COUNTA(UV6:UX6)),"")</f>
        <v/>
      </c>
      <c r="UZ6" s="107" t="str">
        <f t="shared" si="133"/>
        <v/>
      </c>
      <c r="VA6" s="106" t="str">
        <f>IF(COUNT(UO6,UT6,UY6)=0,"",SUM(UO6,UT6,UY6)/COUNT(UO6,UT6,UY6))</f>
        <v/>
      </c>
      <c r="VB6" s="108" t="str">
        <f t="shared" si="134"/>
        <v/>
      </c>
      <c r="VC6" s="103"/>
      <c r="VD6" s="104"/>
      <c r="VE6" s="105"/>
      <c r="VF6" s="106" t="str">
        <f>IFERROR((((COUNTIF('Elève (3ème3)'!VC6:VE6,"A"))*4)+((COUNTIF('Elève (3ème3)'!VC6:VE6,"B"))*3)+((COUNTIF('Elève (3ème3)'!VC6:VE6,"C"))*2)+((COUNTIF('Elève (3ème3)'!VC6:VE6,"D"))*1))/(COUNTA(VC6:VE6)),"")</f>
        <v/>
      </c>
      <c r="VG6" s="107" t="str">
        <f t="shared" si="135"/>
        <v/>
      </c>
      <c r="VH6" s="103"/>
      <c r="VI6" s="104"/>
      <c r="VJ6" s="105"/>
      <c r="VK6" s="106" t="str">
        <f>IFERROR((((COUNTIF('Elève (3ème3)'!VH6:VJ6,"A"))*4)+((COUNTIF('Elève (3ème3)'!VH6:VJ6,"B"))*3)+((COUNTIF('Elève (3ème3)'!VH6:VJ6,"C"))*2)+((COUNTIF('Elève (3ème3)'!VH6:VJ6,"D"))*1))/(COUNTA(VH6:VJ6)),"")</f>
        <v/>
      </c>
      <c r="VL6" s="107" t="str">
        <f t="shared" si="136"/>
        <v/>
      </c>
      <c r="VM6" s="103"/>
      <c r="VN6" s="104"/>
      <c r="VO6" s="109"/>
      <c r="VP6" s="106" t="str">
        <f>IFERROR((((COUNTIF('Elève (3ème3)'!VM6:VO6,"A"))*4)+((COUNTIF('Elève (3ème3)'!VM6:VO6,"B"))*3)+((COUNTIF('Elève (3ème3)'!VM6:VO6,"C"))*2)+((COUNTIF('Elève (3ème3)'!VM6:VO6,"D"))*1))/(COUNTA(VM6:VO6)),"")</f>
        <v/>
      </c>
      <c r="VQ6" s="107" t="str">
        <f t="shared" si="137"/>
        <v/>
      </c>
      <c r="VR6" s="106" t="str">
        <f>IF(COUNT(VF6,VK6,VP6)=0,"",SUM(VF6,VK6,VP6)/COUNT(VF6,VK6,VP6))</f>
        <v/>
      </c>
      <c r="VS6" s="108" t="str">
        <f t="shared" si="138"/>
        <v/>
      </c>
      <c r="VT6" s="103"/>
      <c r="VU6" s="104"/>
      <c r="VV6" s="105"/>
      <c r="VW6" s="106" t="str">
        <f>IFERROR((((COUNTIF('Elève (3ème3)'!VT6:VV6,"A"))*4)+((COUNTIF('Elève (3ème3)'!VT6:VV6,"B"))*3)+((COUNTIF('Elève (3ème3)'!VT6:VV6,"C"))*2)+((COUNTIF('Elève (3ème3)'!VT6:VV6,"D"))*1))/(COUNTA(VT6:VV6)),"")</f>
        <v/>
      </c>
      <c r="VX6" s="107" t="str">
        <f t="shared" si="139"/>
        <v/>
      </c>
      <c r="VY6" s="103"/>
      <c r="VZ6" s="104"/>
      <c r="WA6" s="105"/>
      <c r="WB6" s="106" t="str">
        <f>IFERROR((((COUNTIF('Elève (3ème3)'!VY6:WA6,"A"))*4)+((COUNTIF('Elève (3ème3)'!VY6:WA6,"B"))*3)+((COUNTIF('Elève (3ème3)'!VY6:WA6,"C"))*2)+((COUNTIF('Elève (3ème3)'!VY6:WA6,"D"))*1))/(COUNTA(VY6:WA6)),"")</f>
        <v/>
      </c>
      <c r="WC6" s="107" t="str">
        <f t="shared" si="140"/>
        <v/>
      </c>
      <c r="WD6" s="103"/>
      <c r="WE6" s="104"/>
      <c r="WF6" s="109"/>
      <c r="WG6" s="106" t="str">
        <f>IFERROR((((COUNTIF('Elève (3ème3)'!WD6:WF6,"A"))*4)+((COUNTIF('Elève (3ème3)'!WD6:WF6,"B"))*3)+((COUNTIF('Elève (3ème3)'!WD6:WF6,"C"))*2)+((COUNTIF('Elève (3ème3)'!WD6:WF6,"D"))*1))/(COUNTA(WD6:WF6)),"")</f>
        <v/>
      </c>
      <c r="WH6" s="107" t="str">
        <f t="shared" si="141"/>
        <v/>
      </c>
      <c r="WI6" s="106" t="str">
        <f>IF(COUNT(VW6,WB6,WG6)=0,"",SUM(VW6,WB6,WG6)/COUNT(VW6,WB6,WG6))</f>
        <v/>
      </c>
      <c r="WJ6" s="108" t="str">
        <f t="shared" si="142"/>
        <v/>
      </c>
    </row>
    <row r="7" spans="1:608" ht="18" customHeight="1" x14ac:dyDescent="0.55000000000000004">
      <c r="A7" s="221" t="s">
        <v>46</v>
      </c>
      <c r="B7" s="222"/>
      <c r="C7" s="103"/>
      <c r="D7" s="104"/>
      <c r="E7" s="105"/>
      <c r="F7" s="163" t="str">
        <f>IFERROR((((COUNTIF('Elève (3ème3)'!C7:E7,"A"))*4)+((COUNTIF('Elève (3ème3)'!C7:E7,"B"))*3)+((COUNTIF('Elève (3ème3)'!C7:E7,"C"))*2)+((COUNTIF('Elève (3ème3)'!C7:E7,"D"))*1))/(COUNTA(C7:E7)),"")</f>
        <v/>
      </c>
      <c r="G7" s="164" t="str">
        <f t="shared" si="23"/>
        <v/>
      </c>
      <c r="H7" s="103"/>
      <c r="I7" s="104"/>
      <c r="J7" s="105"/>
      <c r="K7" s="105"/>
      <c r="L7" s="163" t="str">
        <f>IFERROR((((COUNTIF('Elève (3ème3)'!H7:K7,"A"))*4)+((COUNTIF('Elève (3ème3)'!H7:K7,"B"))*3)+((COUNTIF('Elève (3ème3)'!H7:K7,"C"))*2)+((COUNTIF('Elève (3ème3)'!H7:K7,"D"))*1))/(COUNTA(H7:K7)),"")</f>
        <v/>
      </c>
      <c r="M7" s="164" t="str">
        <f t="shared" si="24"/>
        <v/>
      </c>
      <c r="N7" s="103"/>
      <c r="O7" s="104"/>
      <c r="P7" s="105"/>
      <c r="Q7" s="105"/>
      <c r="R7" s="105"/>
      <c r="S7" s="105"/>
      <c r="T7" s="163" t="str">
        <f>IFERROR((((COUNTIF('Elève (3ème3)'!N7:S7,"A"))*4)+((COUNTIF('Elève (3ème3)'!N7:S7,"B"))*3)+((COUNTIF('Elève (3ème3)'!N7:S7,"C"))*2)+((COUNTIF('Elève (3ème3)'!N7:S7,"D"))*1))/(COUNTA(N7:S7)),"")</f>
        <v/>
      </c>
      <c r="U7" s="164" t="str">
        <f t="shared" si="25"/>
        <v/>
      </c>
      <c r="V7" s="163" t="str">
        <f>IF(COUNT(F7,L7,T7)=0,"",SUM(F7,L7,T7)/COUNT(F7,L7,T7))</f>
        <v/>
      </c>
      <c r="W7" s="187" t="str">
        <f t="shared" si="26"/>
        <v/>
      </c>
      <c r="X7" s="103"/>
      <c r="Y7" s="104"/>
      <c r="Z7" s="105"/>
      <c r="AA7" s="163" t="str">
        <f>IFERROR((((COUNTIF('Elève (3ème3)'!X7:Z7,"A"))*4)+((COUNTIF('Elève (3ème3)'!X7:Z7,"B"))*3)+((COUNTIF('Elève (3ème3)'!X7:Z7,"C"))*2)+((COUNTIF('Elève (3ème3)'!X7:Z7,"D"))*1))/(COUNTA(X7:Z7)),"")</f>
        <v/>
      </c>
      <c r="AB7" s="164" t="str">
        <f t="shared" si="27"/>
        <v/>
      </c>
      <c r="AC7" s="103"/>
      <c r="AD7" s="104"/>
      <c r="AE7" s="105"/>
      <c r="AF7" s="105"/>
      <c r="AG7" s="163" t="str">
        <f>IFERROR((((COUNTIF('Elève (3ème3)'!AC7:AF7,"A"))*4)+((COUNTIF('Elève (3ème3)'!AC7:AF7,"B"))*3)+((COUNTIF('Elève (3ème3)'!AC7:AF7,"C"))*2)+((COUNTIF('Elève (3ème3)'!AC7:AF7,"D"))*1))/(COUNTA(AC7:AF7)),"")</f>
        <v/>
      </c>
      <c r="AH7" s="164" t="str">
        <f t="shared" si="28"/>
        <v/>
      </c>
      <c r="AI7" s="103"/>
      <c r="AJ7" s="104"/>
      <c r="AK7" s="105"/>
      <c r="AL7" s="105"/>
      <c r="AM7" s="105"/>
      <c r="AN7" s="109"/>
      <c r="AO7" s="163" t="str">
        <f>IFERROR((((COUNTIF('Elève (3ème3)'!AI7:AN7,"A"))*4)+((COUNTIF('Elève (3ème3)'!AI7:AN7,"B"))*3)+((COUNTIF('Elève (3ème3)'!AI7:AN7,"C"))*2)+((COUNTIF('Elève (3ème3)'!AI7:AN7,"D"))*1))/(COUNTA(AI7:AN7)),"")</f>
        <v/>
      </c>
      <c r="AP7" s="164" t="str">
        <f t="shared" si="29"/>
        <v/>
      </c>
      <c r="AQ7" s="163" t="str">
        <f>IF(COUNT(AA7,AG7,AO7)=0,"",SUM(AA7,AG7,AO7)/COUNT(AA7,AG7,AO7))</f>
        <v/>
      </c>
      <c r="AR7" s="187" t="str">
        <f t="shared" si="30"/>
        <v/>
      </c>
      <c r="AS7" s="103"/>
      <c r="AT7" s="104"/>
      <c r="AU7" s="105"/>
      <c r="AV7" s="163" t="str">
        <f>IFERROR((((COUNTIF('Elève (3ème3)'!AS7:AU7,"A"))*4)+((COUNTIF('Elève (3ème3)'!AS7:AU7,"B"))*3)+((COUNTIF('Elève (3ème3)'!AS7:AU7,"C"))*2)+((COUNTIF('Elève (3ème3)'!AS7:AU7,"D"))*1))/(COUNTA(AS7:AU7)),"")</f>
        <v/>
      </c>
      <c r="AW7" s="164" t="str">
        <f t="shared" si="31"/>
        <v/>
      </c>
      <c r="AX7" s="103"/>
      <c r="AY7" s="104"/>
      <c r="AZ7" s="105"/>
      <c r="BA7" s="105"/>
      <c r="BB7" s="163" t="str">
        <f>IFERROR((((COUNTIF('Elève (3ème3)'!AX7:BA7,"A"))*4)+((COUNTIF('Elève (3ème3)'!AX7:BA7,"B"))*3)+((COUNTIF('Elève (3ème3)'!AX7:BA7,"C"))*2)+((COUNTIF('Elève (3ème3)'!AX7:BA7,"D"))*1))/(COUNTA(AX7:BA7)),"")</f>
        <v/>
      </c>
      <c r="BC7" s="164" t="str">
        <f t="shared" si="32"/>
        <v/>
      </c>
      <c r="BD7" s="103"/>
      <c r="BE7" s="104"/>
      <c r="BF7" s="105"/>
      <c r="BG7" s="105"/>
      <c r="BH7" s="105"/>
      <c r="BI7" s="109"/>
      <c r="BJ7" s="163" t="str">
        <f>IFERROR((((COUNTIF('Elève (3ème3)'!BD7:BI7,"A"))*4)+((COUNTIF('Elève (3ème3)'!BD7:BI7,"B"))*3)+((COUNTIF('Elève (3ème3)'!BD7:BI7,"C"))*2)+((COUNTIF('Elève (3ème3)'!BD7:BI7,"D"))*1))/(COUNTA(BD7:BI7)),"")</f>
        <v/>
      </c>
      <c r="BK7" s="164" t="str">
        <f t="shared" si="33"/>
        <v/>
      </c>
      <c r="BL7" s="163" t="str">
        <f>IF(COUNT(AV7,BB7,BJ7)=0,"",SUM(AV7,BB7,BJ7)/COUNT(AV7,BB7,BJ7))</f>
        <v/>
      </c>
      <c r="BM7" s="187" t="str">
        <f t="shared" si="34"/>
        <v/>
      </c>
      <c r="BN7" s="103"/>
      <c r="BO7" s="104"/>
      <c r="BP7" s="105"/>
      <c r="BQ7" s="163" t="str">
        <f>IFERROR((((COUNTIF('Elève (3ème3)'!BN7:BP7,"A"))*4)+((COUNTIF('Elève (3ème3)'!BN7:BP7,"B"))*3)+((COUNTIF('Elève (3ème3)'!BN7:BP7,"C"))*2)+((COUNTIF('Elève (3ème3)'!BN7:BP7,"D"))*1))/(COUNTA(BN7:BP7)),"")</f>
        <v/>
      </c>
      <c r="BR7" s="164" t="str">
        <f t="shared" si="35"/>
        <v/>
      </c>
      <c r="BS7" s="103"/>
      <c r="BT7" s="104"/>
      <c r="BU7" s="105"/>
      <c r="BV7" s="105"/>
      <c r="BW7" s="163" t="str">
        <f>IFERROR((((COUNTIF('Elève (3ème3)'!BS7:BV7,"A"))*4)+((COUNTIF('Elève (3ème3)'!BS7:BV7,"B"))*3)+((COUNTIF('Elève (3ème3)'!BS7:BV7,"C"))*2)+((COUNTIF('Elève (3ème3)'!BS7:BV7,"D"))*1))/(COUNTA(BS7:BV7)),"")</f>
        <v/>
      </c>
      <c r="BX7" s="164" t="str">
        <f t="shared" si="36"/>
        <v/>
      </c>
      <c r="BY7" s="103"/>
      <c r="BZ7" s="104"/>
      <c r="CA7" s="105"/>
      <c r="CB7" s="105"/>
      <c r="CC7" s="105"/>
      <c r="CD7" s="109"/>
      <c r="CE7" s="163" t="str">
        <f>IFERROR((((COUNTIF('Elève (3ème3)'!BY7:CD7,"A"))*4)+((COUNTIF('Elève (3ème3)'!BY7:CD7,"B"))*3)+((COUNTIF('Elève (3ème3)'!BY7:CD7,"C"))*2)+((COUNTIF('Elève (3ème3)'!BY7:CD7,"D"))*1))/(COUNTA(BY7:CD7)),"")</f>
        <v/>
      </c>
      <c r="CF7" s="164" t="str">
        <f t="shared" si="37"/>
        <v/>
      </c>
      <c r="CG7" s="163" t="str">
        <f>IF(COUNT(BQ7,BW7,CE7)=0,"",SUM(BQ7,BW7,CE7)/COUNT(BQ7,BW7,CE7))</f>
        <v/>
      </c>
      <c r="CH7" s="187" t="str">
        <f t="shared" si="38"/>
        <v/>
      </c>
      <c r="CI7" s="103"/>
      <c r="CJ7" s="104"/>
      <c r="CK7" s="105"/>
      <c r="CL7" s="163" t="str">
        <f>IFERROR((((COUNTIF('Elève (3ème3)'!CI7:CK7,"A"))*4)+((COUNTIF('Elève (3ème3)'!CI7:CK7,"B"))*3)+((COUNTIF('Elève (3ème3)'!CI7:CK7,"C"))*2)+((COUNTIF('Elève (3ème3)'!CI7:CK7,"D"))*1))/(COUNTA(CI7:CK7)),"")</f>
        <v/>
      </c>
      <c r="CM7" s="164" t="str">
        <f t="shared" si="39"/>
        <v/>
      </c>
      <c r="CN7" s="103"/>
      <c r="CO7" s="104"/>
      <c r="CP7" s="105"/>
      <c r="CQ7" s="105"/>
      <c r="CR7" s="163" t="str">
        <f>IFERROR((((COUNTIF('Elève (3ème3)'!CN7:CQ7,"A"))*4)+((COUNTIF('Elève (3ème3)'!CN7:CQ7,"B"))*3)+((COUNTIF('Elève (3ème3)'!CN7:CQ7,"C"))*2)+((COUNTIF('Elève (3ème3)'!CN7:CQ7,"D"))*1))/(COUNTA(CN7:CQ7)),"")</f>
        <v/>
      </c>
      <c r="CS7" s="164" t="str">
        <f t="shared" si="40"/>
        <v/>
      </c>
      <c r="CT7" s="103"/>
      <c r="CU7" s="104"/>
      <c r="CV7" s="105"/>
      <c r="CW7" s="105"/>
      <c r="CX7" s="105"/>
      <c r="CY7" s="109"/>
      <c r="CZ7" s="163" t="str">
        <f>IFERROR((((COUNTIF('Elève (3ème3)'!CT7:CY7,"A"))*4)+((COUNTIF('Elève (3ème3)'!CT7:CY7,"B"))*3)+((COUNTIF('Elève (3ème3)'!CT7:CY7,"C"))*2)+((COUNTIF('Elève (3ème3)'!CT7:CY7,"D"))*1))/(COUNTA(CT7:CY7)),"")</f>
        <v/>
      </c>
      <c r="DA7" s="164" t="str">
        <f t="shared" si="41"/>
        <v/>
      </c>
      <c r="DB7" s="163" t="str">
        <f>IF(COUNT(CL7,CR7,CZ7)=0,"",SUM(CL7,CR7,CZ7)/COUNT(CL7,CR7,CZ7))</f>
        <v/>
      </c>
      <c r="DC7" s="187" t="str">
        <f t="shared" si="42"/>
        <v/>
      </c>
      <c r="DD7" s="103"/>
      <c r="DE7" s="104"/>
      <c r="DF7" s="105"/>
      <c r="DG7" s="163" t="str">
        <f>IFERROR((((COUNTIF('Elève (3ème3)'!DD7:DF7,"A"))*4)+((COUNTIF('Elève (3ème3)'!DD7:DF7,"B"))*3)+((COUNTIF('Elève (3ème3)'!DD7:DF7,"C"))*2)+((COUNTIF('Elève (3ème3)'!DD7:DF7,"D"))*1))/(COUNTA(DD7:DF7)),"")</f>
        <v/>
      </c>
      <c r="DH7" s="164" t="str">
        <f t="shared" si="43"/>
        <v/>
      </c>
      <c r="DI7" s="103"/>
      <c r="DJ7" s="104"/>
      <c r="DK7" s="105"/>
      <c r="DL7" s="105"/>
      <c r="DM7" s="163" t="str">
        <f>IFERROR((((COUNTIF('Elève (3ème3)'!DI7:DL7,"A"))*4)+((COUNTIF('Elève (3ème3)'!DI7:DL7,"B"))*3)+((COUNTIF('Elève (3ème3)'!DI7:DL7,"C"))*2)+((COUNTIF('Elève (3ème3)'!DI7:DL7,"D"))*1))/(COUNTA(DI7:DL7)),"")</f>
        <v/>
      </c>
      <c r="DN7" s="164" t="str">
        <f t="shared" si="44"/>
        <v/>
      </c>
      <c r="DO7" s="103"/>
      <c r="DP7" s="104"/>
      <c r="DQ7" s="105"/>
      <c r="DR7" s="105"/>
      <c r="DS7" s="105"/>
      <c r="DT7" s="109"/>
      <c r="DU7" s="163" t="str">
        <f>IFERROR((((COUNTIF('Elève (3ème3)'!DO7:DT7,"A"))*4)+((COUNTIF('Elève (3ème3)'!DO7:DT7,"B"))*3)+((COUNTIF('Elève (3ème3)'!DO7:DT7,"C"))*2)+((COUNTIF('Elève (3ème3)'!DO7:DT7,"D"))*1))/(COUNTA(DO7:DT7)),"")</f>
        <v/>
      </c>
      <c r="DV7" s="164" t="str">
        <f t="shared" si="45"/>
        <v/>
      </c>
      <c r="DW7" s="163" t="str">
        <f>IF(COUNT(DG7,DM7,DU7)=0,"",SUM(DG7,DM7,DU7)/COUNT(DG7,DM7,DU7))</f>
        <v/>
      </c>
      <c r="DX7" s="187" t="str">
        <f t="shared" si="46"/>
        <v/>
      </c>
      <c r="DY7" s="103"/>
      <c r="DZ7" s="104"/>
      <c r="EA7" s="105"/>
      <c r="EB7" s="163" t="str">
        <f>IFERROR((((COUNTIF('Elève (3ème3)'!DY7:EA7,"A"))*4)+((COUNTIF('Elève (3ème3)'!DY7:EA7,"B"))*3)+((COUNTIF('Elève (3ème3)'!DY7:EA7,"C"))*2)+((COUNTIF('Elève (3ème3)'!DY7:EA7,"D"))*1))/(COUNTA(DY7:EA7)),"")</f>
        <v/>
      </c>
      <c r="EC7" s="164" t="str">
        <f t="shared" si="47"/>
        <v/>
      </c>
      <c r="ED7" s="103"/>
      <c r="EE7" s="104"/>
      <c r="EF7" s="105"/>
      <c r="EG7" s="105"/>
      <c r="EH7" s="163" t="str">
        <f>IFERROR((((COUNTIF('Elève (3ème3)'!ED7:EG7,"A"))*4)+((COUNTIF('Elève (3ème3)'!ED7:EG7,"B"))*3)+((COUNTIF('Elève (3ème3)'!ED7:EG7,"C"))*2)+((COUNTIF('Elève (3ème3)'!ED7:EG7,"D"))*1))/(COUNTA(ED7:EG7)),"")</f>
        <v/>
      </c>
      <c r="EI7" s="164" t="str">
        <f t="shared" si="48"/>
        <v/>
      </c>
      <c r="EJ7" s="103"/>
      <c r="EK7" s="104"/>
      <c r="EL7" s="105"/>
      <c r="EM7" s="105"/>
      <c r="EN7" s="105"/>
      <c r="EO7" s="109"/>
      <c r="EP7" s="163" t="str">
        <f>IFERROR((((COUNTIF('Elève (3ème3)'!EJ7:EO7,"A"))*4)+((COUNTIF('Elève (3ème3)'!EJ7:EO7,"B"))*3)+((COUNTIF('Elève (3ème3)'!EJ7:EO7,"C"))*2)+((COUNTIF('Elève (3ème3)'!EJ7:EO7,"D"))*1))/(COUNTA(EJ7:EO7)),"")</f>
        <v/>
      </c>
      <c r="EQ7" s="164" t="str">
        <f t="shared" si="49"/>
        <v/>
      </c>
      <c r="ER7" s="163" t="str">
        <f>IF(COUNT(EB7,EH7,EP7)=0,"",SUM(EB7,EH7,EP7)/COUNT(EB7,EH7,EP7))</f>
        <v/>
      </c>
      <c r="ES7" s="187" t="str">
        <f t="shared" si="50"/>
        <v/>
      </c>
      <c r="ET7" s="103"/>
      <c r="EU7" s="104"/>
      <c r="EV7" s="105"/>
      <c r="EW7" s="163" t="str">
        <f>IFERROR((((COUNTIF('Elève (3ème3)'!ET7:EV7,"A"))*4)+((COUNTIF('Elève (3ème3)'!ET7:EV7,"B"))*3)+((COUNTIF('Elève (3ème3)'!ET7:EV7,"C"))*2)+((COUNTIF('Elève (3ème3)'!ET7:EV7,"D"))*1))/(COUNTA(ET7:EV7)),"")</f>
        <v/>
      </c>
      <c r="EX7" s="164" t="str">
        <f t="shared" si="51"/>
        <v/>
      </c>
      <c r="EY7" s="103"/>
      <c r="EZ7" s="104"/>
      <c r="FA7" s="105"/>
      <c r="FB7" s="105"/>
      <c r="FC7" s="163" t="str">
        <f>IFERROR((((COUNTIF('Elève (3ème3)'!EY7:FB7,"A"))*4)+((COUNTIF('Elève (3ème3)'!EY7:FB7,"B"))*3)+((COUNTIF('Elève (3ème3)'!EY7:FB7,"C"))*2)+((COUNTIF('Elève (3ème3)'!EY7:FB7,"D"))*1))/(COUNTA(EY7:FB7)),"")</f>
        <v/>
      </c>
      <c r="FD7" s="164" t="str">
        <f t="shared" si="52"/>
        <v/>
      </c>
      <c r="FE7" s="103"/>
      <c r="FF7" s="104"/>
      <c r="FG7" s="105"/>
      <c r="FH7" s="105"/>
      <c r="FI7" s="105"/>
      <c r="FJ7" s="109"/>
      <c r="FK7" s="163" t="str">
        <f>IFERROR((((COUNTIF('Elève (3ème3)'!FE7:FJ7,"A"))*4)+((COUNTIF('Elève (3ème3)'!FE7:FJ7,"B"))*3)+((COUNTIF('Elève (3ème3)'!FE7:FJ7,"C"))*2)+((COUNTIF('Elève (3ème3)'!FE7:FJ7,"D"))*1))/(COUNTA(FE7:FJ7)),"")</f>
        <v/>
      </c>
      <c r="FL7" s="164" t="str">
        <f t="shared" si="53"/>
        <v/>
      </c>
      <c r="FM7" s="163" t="str">
        <f>IF(COUNT(EW7,FC7,FK7)=0,"",SUM(EW7,FC7,FK7)/COUNT(EW7,FC7,FK7))</f>
        <v/>
      </c>
      <c r="FN7" s="187" t="str">
        <f t="shared" si="54"/>
        <v/>
      </c>
      <c r="FO7" s="103"/>
      <c r="FP7" s="104"/>
      <c r="FQ7" s="105"/>
      <c r="FR7" s="163" t="str">
        <f>IFERROR((((COUNTIF('Elève (3ème3)'!FO7:FQ7,"A"))*4)+((COUNTIF('Elève (3ème3)'!FO7:FQ7,"B"))*3)+((COUNTIF('Elève (3ème3)'!FO7:FQ7,"C"))*2)+((COUNTIF('Elève (3ème3)'!FO7:FQ7,"D"))*1))/(COUNTA(FO7:FQ7)),"")</f>
        <v/>
      </c>
      <c r="FS7" s="164" t="str">
        <f t="shared" si="55"/>
        <v/>
      </c>
      <c r="FT7" s="103"/>
      <c r="FU7" s="104"/>
      <c r="FV7" s="105"/>
      <c r="FW7" s="105"/>
      <c r="FX7" s="163" t="str">
        <f>IFERROR((((COUNTIF('Elève (3ème3)'!FT7:FW7,"A"))*4)+((COUNTIF('Elève (3ème3)'!FT7:FW7,"B"))*3)+((COUNTIF('Elève (3ème3)'!FT7:FW7,"C"))*2)+((COUNTIF('Elève (3ème3)'!FT7:FW7,"D"))*1))/(COUNTA(FT7:FW7)),"")</f>
        <v/>
      </c>
      <c r="FY7" s="164" t="str">
        <f t="shared" si="56"/>
        <v/>
      </c>
      <c r="FZ7" s="103"/>
      <c r="GA7" s="104"/>
      <c r="GB7" s="105"/>
      <c r="GC7" s="105"/>
      <c r="GD7" s="105"/>
      <c r="GE7" s="109"/>
      <c r="GF7" s="163" t="str">
        <f>IFERROR((((COUNTIF('Elève (3ème3)'!FZ7:GE7,"A"))*4)+((COUNTIF('Elève (3ème3)'!FZ7:GE7,"B"))*3)+((COUNTIF('Elève (3ème3)'!FZ7:GE7,"C"))*2)+((COUNTIF('Elève (3ème3)'!FZ7:GE7,"D"))*1))/(COUNTA(FZ7:GE7)),"")</f>
        <v/>
      </c>
      <c r="GG7" s="164" t="str">
        <f t="shared" si="57"/>
        <v/>
      </c>
      <c r="GH7" s="163" t="str">
        <f>IF(COUNT(FR7,FX7,GF7)=0,"",SUM(FR7,FX7,GF7)/COUNT(FR7,FX7,GF7))</f>
        <v/>
      </c>
      <c r="GI7" s="187" t="str">
        <f t="shared" si="58"/>
        <v/>
      </c>
      <c r="GJ7" s="103"/>
      <c r="GK7" s="104"/>
      <c r="GL7" s="105"/>
      <c r="GM7" s="163" t="str">
        <f>IFERROR((((COUNTIF('Elève (3ème3)'!GJ7:GL7,"A"))*4)+((COUNTIF('Elève (3ème3)'!GJ7:GL7,"B"))*3)+((COUNTIF('Elève (3ème3)'!GJ7:GL7,"C"))*2)+((COUNTIF('Elève (3ème3)'!GJ7:GL7,"D"))*1))/(COUNTA(GJ7:GL7)),"")</f>
        <v/>
      </c>
      <c r="GN7" s="164" t="str">
        <f t="shared" si="59"/>
        <v/>
      </c>
      <c r="GO7" s="103"/>
      <c r="GP7" s="104"/>
      <c r="GQ7" s="105"/>
      <c r="GR7" s="105"/>
      <c r="GS7" s="163" t="str">
        <f>IFERROR((((COUNTIF('Elève (3ème3)'!GO7:GR7,"A"))*4)+((COUNTIF('Elève (3ème3)'!GO7:GR7,"B"))*3)+((COUNTIF('Elève (3ème3)'!GO7:GR7,"C"))*2)+((COUNTIF('Elève (3ème3)'!GO7:GR7,"D"))*1))/(COUNTA(GO7:GR7)),"")</f>
        <v/>
      </c>
      <c r="GT7" s="164" t="str">
        <f t="shared" si="60"/>
        <v/>
      </c>
      <c r="GU7" s="103"/>
      <c r="GV7" s="104"/>
      <c r="GW7" s="105"/>
      <c r="GX7" s="105"/>
      <c r="GY7" s="105"/>
      <c r="GZ7" s="109"/>
      <c r="HA7" s="163" t="str">
        <f>IFERROR((((COUNTIF('Elève (3ème3)'!GU7:GZ7,"A"))*4)+((COUNTIF('Elève (3ème3)'!GU7:GZ7,"B"))*3)+((COUNTIF('Elève (3ème3)'!GU7:GZ7,"C"))*2)+((COUNTIF('Elève (3ème3)'!GU7:GZ7,"D"))*1))/(COUNTA(GU7:GZ7)),"")</f>
        <v/>
      </c>
      <c r="HB7" s="164" t="str">
        <f t="shared" si="61"/>
        <v/>
      </c>
      <c r="HC7" s="163" t="str">
        <f>IF(COUNT(GM7,GS7,HA7)=0,"",SUM(GM7,GS7,HA7)/COUNT(GM7,GS7,HA7))</f>
        <v/>
      </c>
      <c r="HD7" s="187" t="str">
        <f t="shared" si="62"/>
        <v/>
      </c>
      <c r="HE7" s="103"/>
      <c r="HF7" s="104"/>
      <c r="HG7" s="105"/>
      <c r="HH7" s="163" t="str">
        <f>IFERROR((((COUNTIF('Elève (3ème3)'!HE7:HG7,"A"))*4)+((COUNTIF('Elève (3ème3)'!HE7:HG7,"B"))*3)+((COUNTIF('Elève (3ème3)'!HE7:HG7,"C"))*2)+((COUNTIF('Elève (3ème3)'!HE7:HG7,"D"))*1))/(COUNTA(HE7:HG7)),"")</f>
        <v/>
      </c>
      <c r="HI7" s="164" t="str">
        <f t="shared" si="63"/>
        <v/>
      </c>
      <c r="HJ7" s="103"/>
      <c r="HK7" s="104"/>
      <c r="HL7" s="105"/>
      <c r="HM7" s="105"/>
      <c r="HN7" s="163" t="str">
        <f>IFERROR((((COUNTIF('Elève (3ème3)'!HJ7:HM7,"A"))*4)+((COUNTIF('Elève (3ème3)'!HJ7:HM7,"B"))*3)+((COUNTIF('Elève (3ème3)'!HJ7:HM7,"C"))*2)+((COUNTIF('Elève (3ème3)'!HJ7:HM7,"D"))*1))/(COUNTA(HJ7:HM7)),"")</f>
        <v/>
      </c>
      <c r="HO7" s="164" t="str">
        <f t="shared" si="64"/>
        <v/>
      </c>
      <c r="HP7" s="103"/>
      <c r="HQ7" s="104"/>
      <c r="HR7" s="105"/>
      <c r="HS7" s="105"/>
      <c r="HT7" s="105"/>
      <c r="HU7" s="109"/>
      <c r="HV7" s="163" t="str">
        <f>IFERROR((((COUNTIF('Elève (3ème3)'!HP7:HU7,"A"))*4)+((COUNTIF('Elève (3ème3)'!HP7:HU7,"B"))*3)+((COUNTIF('Elève (3ème3)'!HP7:HU7,"C"))*2)+((COUNTIF('Elève (3ème3)'!HP7:HU7,"D"))*1))/(COUNTA(HP7:HU7)),"")</f>
        <v/>
      </c>
      <c r="HW7" s="164" t="str">
        <f t="shared" si="65"/>
        <v/>
      </c>
      <c r="HX7" s="163" t="str">
        <f>IF(COUNT(HH7,HN7,HV7)=0,"",SUM(HH7,HN7,HV7)/COUNT(HH7,HN7,HV7))</f>
        <v/>
      </c>
      <c r="HY7" s="187" t="str">
        <f t="shared" si="66"/>
        <v/>
      </c>
      <c r="HZ7" s="103"/>
      <c r="IA7" s="104"/>
      <c r="IB7" s="105"/>
      <c r="IC7" s="163" t="str">
        <f>IFERROR((((COUNTIF('Elève (3ème3)'!HZ7:IB7,"A"))*4)+((COUNTIF('Elève (3ème3)'!HZ7:IB7,"B"))*3)+((COUNTIF('Elève (3ème3)'!HZ7:IB7,"C"))*2)+((COUNTIF('Elève (3ème3)'!HZ7:IB7,"D"))*1))/(COUNTA(HZ7:IB7)),"")</f>
        <v/>
      </c>
      <c r="ID7" s="164" t="str">
        <f t="shared" si="67"/>
        <v/>
      </c>
      <c r="IE7" s="103"/>
      <c r="IF7" s="104"/>
      <c r="IG7" s="105"/>
      <c r="IH7" s="105"/>
      <c r="II7" s="163" t="str">
        <f>IFERROR((((COUNTIF('Elève (3ème3)'!IE7:IH7,"A"))*4)+((COUNTIF('Elève (3ème3)'!IE7:IH7,"B"))*3)+((COUNTIF('Elève (3ème3)'!IE7:IH7,"C"))*2)+((COUNTIF('Elève (3ème3)'!IE7:IH7,"D"))*1))/(COUNTA(IE7:IH7)),"")</f>
        <v/>
      </c>
      <c r="IJ7" s="164" t="str">
        <f t="shared" si="68"/>
        <v/>
      </c>
      <c r="IK7" s="103"/>
      <c r="IL7" s="104"/>
      <c r="IM7" s="105"/>
      <c r="IN7" s="105"/>
      <c r="IO7" s="105"/>
      <c r="IP7" s="109"/>
      <c r="IQ7" s="163" t="str">
        <f>IFERROR((((COUNTIF('Elève (3ème3)'!IK7:IP7,"A"))*4)+((COUNTIF('Elève (3ème3)'!IK7:IP7,"B"))*3)+((COUNTIF('Elève (3ème3)'!IK7:IP7,"C"))*2)+((COUNTIF('Elève (3ème3)'!IK7:IP7,"D"))*1))/(COUNTA(IK7:IP7)),"")</f>
        <v/>
      </c>
      <c r="IR7" s="164" t="str">
        <f t="shared" si="69"/>
        <v/>
      </c>
      <c r="IS7" s="163" t="str">
        <f>IF(COUNT(IC7,II7,IQ7)=0,"",SUM(IC7,II7,IQ7)/COUNT(IC7,II7,IQ7))</f>
        <v/>
      </c>
      <c r="IT7" s="187" t="str">
        <f t="shared" si="70"/>
        <v/>
      </c>
      <c r="IU7" s="103"/>
      <c r="IV7" s="104"/>
      <c r="IW7" s="105"/>
      <c r="IX7" s="163" t="str">
        <f>IFERROR((((COUNTIF('Elève (3ème3)'!IU7:IW7,"A"))*4)+((COUNTIF('Elève (3ème3)'!IU7:IW7,"B"))*3)+((COUNTIF('Elève (3ème3)'!IU7:IW7,"C"))*2)+((COUNTIF('Elève (3ème3)'!IU7:IW7,"D"))*1))/(COUNTA(IU7:IW7)),"")</f>
        <v/>
      </c>
      <c r="IY7" s="164" t="str">
        <f t="shared" si="71"/>
        <v/>
      </c>
      <c r="IZ7" s="103"/>
      <c r="JA7" s="104"/>
      <c r="JB7" s="105"/>
      <c r="JC7" s="105"/>
      <c r="JD7" s="163" t="str">
        <f>IFERROR((((COUNTIF('Elève (3ème3)'!IZ7:JC7,"A"))*4)+((COUNTIF('Elève (3ème3)'!IZ7:JC7,"B"))*3)+((COUNTIF('Elève (3ème3)'!IZ7:JC7,"C"))*2)+((COUNTIF('Elève (3ème3)'!IZ7:JC7,"D"))*1))/(COUNTA(IZ7:JC7)),"")</f>
        <v/>
      </c>
      <c r="JE7" s="164" t="str">
        <f t="shared" si="72"/>
        <v/>
      </c>
      <c r="JF7" s="103"/>
      <c r="JG7" s="104"/>
      <c r="JH7" s="105"/>
      <c r="JI7" s="105"/>
      <c r="JJ7" s="105"/>
      <c r="JK7" s="109"/>
      <c r="JL7" s="163" t="str">
        <f>IFERROR((((COUNTIF('Elève (3ème3)'!JF7:JK7,"A"))*4)+((COUNTIF('Elève (3ème3)'!JF7:JK7,"B"))*3)+((COUNTIF('Elève (3ème3)'!JF7:JK7,"C"))*2)+((COUNTIF('Elève (3ème3)'!JF7:JK7,"D"))*1))/(COUNTA(JF7:JK7)),"")</f>
        <v/>
      </c>
      <c r="JM7" s="164" t="str">
        <f t="shared" si="73"/>
        <v/>
      </c>
      <c r="JN7" s="163" t="str">
        <f>IF(COUNT(IX7,JD7,JL7)=0,"",SUM(IX7,JD7,JL7)/COUNT(IX7,JD7,JL7))</f>
        <v/>
      </c>
      <c r="JO7" s="187" t="str">
        <f t="shared" si="74"/>
        <v/>
      </c>
      <c r="JP7" s="103"/>
      <c r="JQ7" s="104"/>
      <c r="JR7" s="105"/>
      <c r="JS7" s="163" t="str">
        <f>IFERROR((((COUNTIF('Elève (3ème3)'!JP7:JR7,"A"))*4)+((COUNTIF('Elève (3ème3)'!JP7:JR7,"B"))*3)+((COUNTIF('Elève (3ème3)'!JP7:JR7,"C"))*2)+((COUNTIF('Elève (3ème3)'!JP7:JR7,"D"))*1))/(COUNTA(JP7:JR7)),"")</f>
        <v/>
      </c>
      <c r="JT7" s="164" t="str">
        <f t="shared" si="75"/>
        <v/>
      </c>
      <c r="JU7" s="103"/>
      <c r="JV7" s="104"/>
      <c r="JW7" s="105"/>
      <c r="JX7" s="105"/>
      <c r="JY7" s="163" t="str">
        <f>IFERROR((((COUNTIF('Elève (3ème3)'!JU7:JX7,"A"))*4)+((COUNTIF('Elève (3ème3)'!JU7:JX7,"B"))*3)+((COUNTIF('Elève (3ème3)'!JU7:JX7,"C"))*2)+((COUNTIF('Elève (3ème3)'!JU7:JX7,"D"))*1))/(COUNTA(JU7:JX7)),"")</f>
        <v/>
      </c>
      <c r="JZ7" s="164" t="str">
        <f t="shared" si="76"/>
        <v/>
      </c>
      <c r="KA7" s="103"/>
      <c r="KB7" s="104"/>
      <c r="KC7" s="105"/>
      <c r="KD7" s="105"/>
      <c r="KE7" s="105"/>
      <c r="KF7" s="109"/>
      <c r="KG7" s="163" t="str">
        <f>IFERROR((((COUNTIF('Elève (3ème3)'!KA7:KF7,"A"))*4)+((COUNTIF('Elève (3ème3)'!KA7:KF7,"B"))*3)+((COUNTIF('Elève (3ème3)'!KA7:KF7,"C"))*2)+((COUNTIF('Elève (3ème3)'!KA7:KF7,"D"))*1))/(COUNTA(KA7:KF7)),"")</f>
        <v/>
      </c>
      <c r="KH7" s="164" t="str">
        <f t="shared" si="77"/>
        <v/>
      </c>
      <c r="KI7" s="163" t="str">
        <f>IF(COUNT(JS7,JY7,KG7)=0,"",SUM(JS7,JY7,KG7)/COUNT(JS7,JY7,KG7))</f>
        <v/>
      </c>
      <c r="KJ7" s="187" t="str">
        <f t="shared" si="78"/>
        <v/>
      </c>
      <c r="KK7" s="103"/>
      <c r="KL7" s="104"/>
      <c r="KM7" s="105"/>
      <c r="KN7" s="163" t="str">
        <f>IFERROR((((COUNTIF('Elève (3ème3)'!KK7:KM7,"A"))*4)+((COUNTIF('Elève (3ème3)'!KK7:KM7,"B"))*3)+((COUNTIF('Elève (3ème3)'!KK7:KM7,"C"))*2)+((COUNTIF('Elève (3ème3)'!KK7:KM7,"D"))*1))/(COUNTA(KK7:KM7)),"")</f>
        <v/>
      </c>
      <c r="KO7" s="164" t="str">
        <f t="shared" si="79"/>
        <v/>
      </c>
      <c r="KP7" s="103"/>
      <c r="KQ7" s="104"/>
      <c r="KR7" s="105"/>
      <c r="KS7" s="105"/>
      <c r="KT7" s="163" t="str">
        <f>IFERROR((((COUNTIF('Elève (3ème3)'!KP7:KS7,"A"))*4)+((COUNTIF('Elève (3ème3)'!KP7:KS7,"B"))*3)+((COUNTIF('Elève (3ème3)'!KP7:KS7,"C"))*2)+((COUNTIF('Elève (3ème3)'!KP7:KS7,"D"))*1))/(COUNTA(KP7:KS7)),"")</f>
        <v/>
      </c>
      <c r="KU7" s="164" t="str">
        <f t="shared" si="80"/>
        <v/>
      </c>
      <c r="KV7" s="103"/>
      <c r="KW7" s="104"/>
      <c r="KX7" s="105"/>
      <c r="KY7" s="105"/>
      <c r="KZ7" s="105"/>
      <c r="LA7" s="109"/>
      <c r="LB7" s="163" t="str">
        <f>IFERROR((((COUNTIF('Elève (3ème3)'!KV7:LA7,"A"))*4)+((COUNTIF('Elève (3ème3)'!KV7:LA7,"B"))*3)+((COUNTIF('Elève (3ème3)'!KV7:LA7,"C"))*2)+((COUNTIF('Elève (3ème3)'!KV7:LA7,"D"))*1))/(COUNTA(KV7:LA7)),"")</f>
        <v/>
      </c>
      <c r="LC7" s="164" t="str">
        <f t="shared" si="81"/>
        <v/>
      </c>
      <c r="LD7" s="163" t="str">
        <f>IF(COUNT(KN7,KT7,LB7)=0,"",SUM(KN7,KT7,LB7)/COUNT(KN7,KT7,LB7))</f>
        <v/>
      </c>
      <c r="LE7" s="187" t="str">
        <f t="shared" si="82"/>
        <v/>
      </c>
      <c r="LF7" s="103"/>
      <c r="LG7" s="104"/>
      <c r="LH7" s="105"/>
      <c r="LI7" s="163" t="str">
        <f>IFERROR((((COUNTIF('Elève (3ème3)'!LF7:LH7,"A"))*4)+((COUNTIF('Elève (3ème3)'!LF7:LH7,"B"))*3)+((COUNTIF('Elève (3ème3)'!LF7:LH7,"C"))*2)+((COUNTIF('Elève (3ème3)'!LF7:LH7,"D"))*1))/(COUNTA(LF7:LH7)),"")</f>
        <v/>
      </c>
      <c r="LJ7" s="164" t="str">
        <f t="shared" si="83"/>
        <v/>
      </c>
      <c r="LK7" s="103"/>
      <c r="LL7" s="104"/>
      <c r="LM7" s="105"/>
      <c r="LN7" s="105"/>
      <c r="LO7" s="163" t="str">
        <f>IFERROR((((COUNTIF('Elève (3ème3)'!LK7:LN7,"A"))*4)+((COUNTIF('Elève (3ème3)'!LK7:LN7,"B"))*3)+((COUNTIF('Elève (3ème3)'!LK7:LN7,"C"))*2)+((COUNTIF('Elève (3ème3)'!LK7:LN7,"D"))*1))/(COUNTA(LK7:LN7)),"")</f>
        <v/>
      </c>
      <c r="LP7" s="164" t="str">
        <f t="shared" si="84"/>
        <v/>
      </c>
      <c r="LQ7" s="103"/>
      <c r="LR7" s="104"/>
      <c r="LS7" s="105"/>
      <c r="LT7" s="105"/>
      <c r="LU7" s="105"/>
      <c r="LV7" s="109"/>
      <c r="LW7" s="163" t="str">
        <f>IFERROR((((COUNTIF('Elève (3ème3)'!LQ7:LV7,"A"))*4)+((COUNTIF('Elève (3ème3)'!LQ7:LV7,"B"))*3)+((COUNTIF('Elève (3ème3)'!LQ7:LV7,"C"))*2)+((COUNTIF('Elève (3ème3)'!LQ7:LV7,"D"))*1))/(COUNTA(LQ7:LV7)),"")</f>
        <v/>
      </c>
      <c r="LX7" s="164" t="str">
        <f t="shared" si="85"/>
        <v/>
      </c>
      <c r="LY7" s="163" t="str">
        <f>IF(COUNT(LI7,LO7,LW7)=0,"",SUM(LI7,LO7,LW7)/COUNT(LI7,LO7,LW7))</f>
        <v/>
      </c>
      <c r="LZ7" s="187" t="str">
        <f t="shared" si="86"/>
        <v/>
      </c>
      <c r="MA7" s="103"/>
      <c r="MB7" s="104"/>
      <c r="MC7" s="105"/>
      <c r="MD7" s="163" t="str">
        <f>IFERROR((((COUNTIF('Elève (3ème3)'!MA7:MC7,"A"))*4)+((COUNTIF('Elève (3ème3)'!MA7:MC7,"B"))*3)+((COUNTIF('Elève (3ème3)'!MA7:MC7,"C"))*2)+((COUNTIF('Elève (3ème3)'!MA7:MC7,"D"))*1))/(COUNTA(MA7:MC7)),"")</f>
        <v/>
      </c>
      <c r="ME7" s="164" t="str">
        <f t="shared" si="87"/>
        <v/>
      </c>
      <c r="MF7" s="103"/>
      <c r="MG7" s="104"/>
      <c r="MH7" s="105"/>
      <c r="MI7" s="105"/>
      <c r="MJ7" s="163" t="str">
        <f>IFERROR((((COUNTIF('Elève (3ème3)'!MF7:MI7,"A"))*4)+((COUNTIF('Elève (3ème3)'!MF7:MI7,"B"))*3)+((COUNTIF('Elève (3ème3)'!MF7:MI7,"C"))*2)+((COUNTIF('Elève (3ème3)'!MF7:MI7,"D"))*1))/(COUNTA(MF7:MI7)),"")</f>
        <v/>
      </c>
      <c r="MK7" s="164" t="str">
        <f t="shared" si="88"/>
        <v/>
      </c>
      <c r="ML7" s="103"/>
      <c r="MM7" s="104"/>
      <c r="MN7" s="105"/>
      <c r="MO7" s="105"/>
      <c r="MP7" s="105"/>
      <c r="MQ7" s="109"/>
      <c r="MR7" s="163" t="str">
        <f>IFERROR((((COUNTIF('Elève (3ème3)'!ML7:MQ7,"A"))*4)+((COUNTIF('Elève (3ème3)'!ML7:MQ7,"B"))*3)+((COUNTIF('Elève (3ème3)'!ML7:MQ7,"C"))*2)+((COUNTIF('Elève (3ème3)'!ML7:MQ7,"D"))*1))/(COUNTA(ML7:MQ7)),"")</f>
        <v/>
      </c>
      <c r="MS7" s="164" t="str">
        <f t="shared" si="89"/>
        <v/>
      </c>
      <c r="MT7" s="163" t="str">
        <f>IF(COUNT(MD7,MJ7,MR7)=0,"",SUM(MD7,MJ7,MR7)/COUNT(MD7,MJ7,MR7))</f>
        <v/>
      </c>
      <c r="MU7" s="187" t="str">
        <f t="shared" si="90"/>
        <v/>
      </c>
      <c r="MV7" s="103"/>
      <c r="MW7" s="104"/>
      <c r="MX7" s="105"/>
      <c r="MY7" s="163" t="str">
        <f>IFERROR((((COUNTIF('Elève (3ème3)'!MV7:MX7,"A"))*4)+((COUNTIF('Elève (3ème3)'!MV7:MX7,"B"))*3)+((COUNTIF('Elève (3ème3)'!MV7:MX7,"C"))*2)+((COUNTIF('Elève (3ème3)'!MV7:MX7,"D"))*1))/(COUNTA(MV7:MX7)),"")</f>
        <v/>
      </c>
      <c r="MZ7" s="164" t="str">
        <f t="shared" si="91"/>
        <v/>
      </c>
      <c r="NA7" s="103"/>
      <c r="NB7" s="104"/>
      <c r="NC7" s="105"/>
      <c r="ND7" s="105"/>
      <c r="NE7" s="163" t="str">
        <f>IFERROR((((COUNTIF('Elève (3ème3)'!NA7:ND7,"A"))*4)+((COUNTIF('Elève (3ème3)'!NA7:ND7,"B"))*3)+((COUNTIF('Elève (3ème3)'!NA7:ND7,"C"))*2)+((COUNTIF('Elève (3ème3)'!NA7:ND7,"D"))*1))/(COUNTA(NA7:ND7)),"")</f>
        <v/>
      </c>
      <c r="NF7" s="164" t="str">
        <f t="shared" si="92"/>
        <v/>
      </c>
      <c r="NG7" s="103"/>
      <c r="NH7" s="104"/>
      <c r="NI7" s="105"/>
      <c r="NJ7" s="105"/>
      <c r="NK7" s="105"/>
      <c r="NL7" s="109"/>
      <c r="NM7" s="163" t="str">
        <f>IFERROR((((COUNTIF('Elève (3ème3)'!NG7:NL7,"A"))*4)+((COUNTIF('Elève (3ème3)'!NG7:NL7,"B"))*3)+((COUNTIF('Elève (3ème3)'!NG7:NL7,"C"))*2)+((COUNTIF('Elève (3ème3)'!NG7:NL7,"D"))*1))/(COUNTA(NG7:NL7)),"")</f>
        <v/>
      </c>
      <c r="NN7" s="164" t="str">
        <f t="shared" si="93"/>
        <v/>
      </c>
      <c r="NO7" s="163" t="str">
        <f>IF(COUNT(MY7,NE7,NM7)=0,"",SUM(MY7,NE7,NM7)/COUNT(MY7,NE7,NM7))</f>
        <v/>
      </c>
      <c r="NP7" s="187" t="str">
        <f t="shared" si="94"/>
        <v/>
      </c>
      <c r="NQ7" s="103"/>
      <c r="NR7" s="104"/>
      <c r="NS7" s="105"/>
      <c r="NT7" s="163" t="str">
        <f>IFERROR((((COUNTIF('Elève (3ème3)'!NQ7:NS7,"A"))*4)+((COUNTIF('Elève (3ème3)'!NQ7:NS7,"B"))*3)+((COUNTIF('Elève (3ème3)'!NQ7:NS7,"C"))*2)+((COUNTIF('Elève (3ème3)'!NQ7:NS7,"D"))*1))/(COUNTA(NQ7:NS7)),"")</f>
        <v/>
      </c>
      <c r="NU7" s="164" t="str">
        <f t="shared" si="95"/>
        <v/>
      </c>
      <c r="NV7" s="103"/>
      <c r="NW7" s="104"/>
      <c r="NX7" s="105"/>
      <c r="NY7" s="105"/>
      <c r="NZ7" s="163" t="str">
        <f>IFERROR((((COUNTIF('Elève (3ème3)'!NV7:NY7,"A"))*4)+((COUNTIF('Elève (3ème3)'!NV7:NY7,"B"))*3)+((COUNTIF('Elève (3ème3)'!NV7:NY7,"C"))*2)+((COUNTIF('Elève (3ème3)'!NV7:NY7,"D"))*1))/(COUNTA(NV7:NY7)),"")</f>
        <v/>
      </c>
      <c r="OA7" s="164" t="str">
        <f t="shared" si="96"/>
        <v/>
      </c>
      <c r="OB7" s="103"/>
      <c r="OC7" s="104"/>
      <c r="OD7" s="105"/>
      <c r="OE7" s="105"/>
      <c r="OF7" s="105"/>
      <c r="OG7" s="109"/>
      <c r="OH7" s="163" t="str">
        <f>IFERROR((((COUNTIF('Elève (3ème3)'!OB7:OG7,"A"))*4)+((COUNTIF('Elève (3ème3)'!OB7:OG7,"B"))*3)+((COUNTIF('Elève (3ème3)'!OB7:OG7,"C"))*2)+((COUNTIF('Elève (3ème3)'!OB7:OG7,"D"))*1))/(COUNTA(OB7:OG7)),"")</f>
        <v/>
      </c>
      <c r="OI7" s="164" t="str">
        <f t="shared" si="97"/>
        <v/>
      </c>
      <c r="OJ7" s="163" t="str">
        <f>IF(COUNT(NT7,NZ7,OH7)=0,"",SUM(NT7,NZ7,OH7)/COUNT(NT7,NZ7,OH7))</f>
        <v/>
      </c>
      <c r="OK7" s="187" t="str">
        <f t="shared" si="98"/>
        <v/>
      </c>
      <c r="OL7" s="103"/>
      <c r="OM7" s="104"/>
      <c r="ON7" s="105"/>
      <c r="OO7" s="163" t="str">
        <f>IFERROR((((COUNTIF('Elève (3ème3)'!OL7:ON7,"A"))*4)+((COUNTIF('Elève (3ème3)'!OL7:ON7,"B"))*3)+((COUNTIF('Elève (3ème3)'!OL7:ON7,"C"))*2)+((COUNTIF('Elève (3ème3)'!OL7:ON7,"D"))*1))/(COUNTA(OL7:ON7)),"")</f>
        <v/>
      </c>
      <c r="OP7" s="164" t="str">
        <f t="shared" si="99"/>
        <v/>
      </c>
      <c r="OQ7" s="103"/>
      <c r="OR7" s="104"/>
      <c r="OS7" s="105"/>
      <c r="OT7" s="105"/>
      <c r="OU7" s="163" t="str">
        <f>IFERROR((((COUNTIF('Elève (3ème3)'!OQ7:OT7,"A"))*4)+((COUNTIF('Elève (3ème3)'!OQ7:OT7,"B"))*3)+((COUNTIF('Elève (3ème3)'!OQ7:OT7,"C"))*2)+((COUNTIF('Elève (3ème3)'!OQ7:OT7,"D"))*1))/(COUNTA(OQ7:OT7)),"")</f>
        <v/>
      </c>
      <c r="OV7" s="164" t="str">
        <f t="shared" si="100"/>
        <v/>
      </c>
      <c r="OW7" s="103"/>
      <c r="OX7" s="104"/>
      <c r="OY7" s="105"/>
      <c r="OZ7" s="105"/>
      <c r="PA7" s="105"/>
      <c r="PB7" s="109"/>
      <c r="PC7" s="163" t="str">
        <f>IFERROR((((COUNTIF('Elève (3ème3)'!OW7:PB7,"A"))*4)+((COUNTIF('Elève (3ème3)'!OW7:PB7,"B"))*3)+((COUNTIF('Elève (3ème3)'!OW7:PB7,"C"))*2)+((COUNTIF('Elève (3ème3)'!OW7:PB7,"D"))*1))/(COUNTA(OW7:PB7)),"")</f>
        <v/>
      </c>
      <c r="PD7" s="164" t="str">
        <f t="shared" si="101"/>
        <v/>
      </c>
      <c r="PE7" s="163" t="str">
        <f>IF(COUNT(OO7,OU7,PC7)=0,"",SUM(OO7,OU7,PC7)/COUNT(OO7,OU7,PC7))</f>
        <v/>
      </c>
      <c r="PF7" s="187" t="str">
        <f t="shared" si="102"/>
        <v/>
      </c>
      <c r="PG7" s="103"/>
      <c r="PH7" s="104"/>
      <c r="PI7" s="105"/>
      <c r="PJ7" s="163" t="str">
        <f>IFERROR((((COUNTIF('Elève (3ème3)'!PG7:PI7,"A"))*4)+((COUNTIF('Elève (3ème3)'!PG7:PI7,"B"))*3)+((COUNTIF('Elève (3ème3)'!PG7:PI7,"C"))*2)+((COUNTIF('Elève (3ème3)'!PG7:PI7,"D"))*1))/(COUNTA(PG7:PI7)),"")</f>
        <v/>
      </c>
      <c r="PK7" s="164" t="str">
        <f t="shared" si="103"/>
        <v/>
      </c>
      <c r="PL7" s="103"/>
      <c r="PM7" s="104"/>
      <c r="PN7" s="105"/>
      <c r="PO7" s="105"/>
      <c r="PP7" s="163" t="str">
        <f>IFERROR((((COUNTIF('Elève (3ème3)'!PL7:PO7,"A"))*4)+((COUNTIF('Elève (3ème3)'!PL7:PO7,"B"))*3)+((COUNTIF('Elève (3ème3)'!PL7:PO7,"C"))*2)+((COUNTIF('Elève (3ème3)'!PL7:PO7,"D"))*1))/(COUNTA(PL7:PO7)),"")</f>
        <v/>
      </c>
      <c r="PQ7" s="164" t="str">
        <f t="shared" si="104"/>
        <v/>
      </c>
      <c r="PR7" s="103"/>
      <c r="PS7" s="104"/>
      <c r="PT7" s="105"/>
      <c r="PU7" s="105"/>
      <c r="PV7" s="105"/>
      <c r="PW7" s="109"/>
      <c r="PX7" s="163" t="str">
        <f>IFERROR((((COUNTIF('Elève (3ème3)'!PR7:PW7,"A"))*4)+((COUNTIF('Elève (3ème3)'!PR7:PW7,"B"))*3)+((COUNTIF('Elève (3ème3)'!PR7:PW7,"C"))*2)+((COUNTIF('Elève (3ème3)'!PR7:PW7,"D"))*1))/(COUNTA(PR7:PW7)),"")</f>
        <v/>
      </c>
      <c r="PY7" s="164" t="str">
        <f t="shared" si="105"/>
        <v/>
      </c>
      <c r="PZ7" s="163" t="str">
        <f>IF(COUNT(PJ7,PP7,PX7)=0,"",SUM(PJ7,PP7,PX7)/COUNT(PJ7,PP7,PX7))</f>
        <v/>
      </c>
      <c r="QA7" s="187" t="str">
        <f t="shared" si="106"/>
        <v/>
      </c>
      <c r="QB7" s="103"/>
      <c r="QC7" s="104"/>
      <c r="QD7" s="105"/>
      <c r="QE7" s="163" t="str">
        <f>IFERROR((((COUNTIF('Elève (3ème3)'!QB7:QD7,"A"))*4)+((COUNTIF('Elève (3ème3)'!QB7:QD7,"B"))*3)+((COUNTIF('Elève (3ème3)'!QB7:QD7,"C"))*2)+((COUNTIF('Elève (3ème3)'!QB7:QD7,"D"))*1))/(COUNTA(QB7:QD7)),"")</f>
        <v/>
      </c>
      <c r="QF7" s="164" t="str">
        <f t="shared" si="107"/>
        <v/>
      </c>
      <c r="QG7" s="103"/>
      <c r="QH7" s="104"/>
      <c r="QI7" s="105"/>
      <c r="QJ7" s="105"/>
      <c r="QK7" s="163" t="str">
        <f>IFERROR((((COUNTIF('Elève (3ème3)'!QG7:QJ7,"A"))*4)+((COUNTIF('Elève (3ème3)'!QG7:QJ7,"B"))*3)+((COUNTIF('Elève (3ème3)'!QG7:QJ7,"C"))*2)+((COUNTIF('Elève (3ème3)'!QG7:QJ7,"D"))*1))/(COUNTA(QG7:QJ7)),"")</f>
        <v/>
      </c>
      <c r="QL7" s="164" t="str">
        <f t="shared" si="108"/>
        <v/>
      </c>
      <c r="QM7" s="103"/>
      <c r="QN7" s="104"/>
      <c r="QO7" s="105"/>
      <c r="QP7" s="105"/>
      <c r="QQ7" s="105"/>
      <c r="QR7" s="109"/>
      <c r="QS7" s="163" t="str">
        <f>IFERROR((((COUNTIF('Elève (3ème3)'!QM7:QR7,"A"))*4)+((COUNTIF('Elève (3ème3)'!QM7:QR7,"B"))*3)+((COUNTIF('Elève (3ème3)'!QM7:QR7,"C"))*2)+((COUNTIF('Elève (3ème3)'!QM7:QR7,"D"))*1))/(COUNTA(QM7:QR7)),"")</f>
        <v/>
      </c>
      <c r="QT7" s="164" t="str">
        <f t="shared" si="109"/>
        <v/>
      </c>
      <c r="QU7" s="163" t="str">
        <f>IF(COUNT(QE7,QK7,QS7)=0,"",SUM(QE7,QK7,QS7)/COUNT(QE7,QK7,QS7))</f>
        <v/>
      </c>
      <c r="QV7" s="187" t="str">
        <f t="shared" si="110"/>
        <v/>
      </c>
      <c r="QW7" s="103"/>
      <c r="QX7" s="104"/>
      <c r="QY7" s="105"/>
      <c r="QZ7" s="163" t="str">
        <f>IFERROR((((COUNTIF('Elève (3ème3)'!QW7:QY7,"A"))*4)+((COUNTIF('Elève (3ème3)'!QW7:QY7,"B"))*3)+((COUNTIF('Elève (3ème3)'!QW7:QY7,"C"))*2)+((COUNTIF('Elève (3ème3)'!QW7:QY7,"D"))*1))/(COUNTA(QW7:QY7)),"")</f>
        <v/>
      </c>
      <c r="RA7" s="164" t="str">
        <f t="shared" si="111"/>
        <v/>
      </c>
      <c r="RB7" s="103"/>
      <c r="RC7" s="104"/>
      <c r="RD7" s="105"/>
      <c r="RE7" s="105"/>
      <c r="RF7" s="163" t="str">
        <f>IFERROR((((COUNTIF('Elève (3ème3)'!RB7:RE7,"A"))*4)+((COUNTIF('Elève (3ème3)'!RB7:RE7,"B"))*3)+((COUNTIF('Elève (3ème3)'!RB7:RE7,"C"))*2)+((COUNTIF('Elève (3ème3)'!RB7:RE7,"D"))*1))/(COUNTA(RB7:RE7)),"")</f>
        <v/>
      </c>
      <c r="RG7" s="164" t="str">
        <f t="shared" si="112"/>
        <v/>
      </c>
      <c r="RH7" s="103"/>
      <c r="RI7" s="104"/>
      <c r="RJ7" s="105"/>
      <c r="RK7" s="105"/>
      <c r="RL7" s="105"/>
      <c r="RM7" s="109"/>
      <c r="RN7" s="163" t="str">
        <f>IFERROR((((COUNTIF('Elève (3ème3)'!RH7:RM7,"A"))*4)+((COUNTIF('Elève (3ème3)'!RH7:RM7,"B"))*3)+((COUNTIF('Elève (3ème3)'!RH7:RM7,"C"))*2)+((COUNTIF('Elève (3ème3)'!RH7:RM7,"D"))*1))/(COUNTA(RH7:RM7)),"")</f>
        <v/>
      </c>
      <c r="RO7" s="164" t="str">
        <f t="shared" si="113"/>
        <v/>
      </c>
      <c r="RP7" s="163" t="str">
        <f>IF(COUNT(QZ7,RF7,RN7)=0,"",SUM(QZ7,RF7,RN7)/COUNT(QZ7,RF7,RN7))</f>
        <v/>
      </c>
      <c r="RQ7" s="187" t="str">
        <f t="shared" si="114"/>
        <v/>
      </c>
      <c r="RR7" s="103"/>
      <c r="RS7" s="104"/>
      <c r="RT7" s="105"/>
      <c r="RU7" s="163" t="str">
        <f>IFERROR((((COUNTIF('Elève (3ème3)'!RR7:RT7,"A"))*4)+((COUNTIF('Elève (3ème3)'!RR7:RT7,"B"))*3)+((COUNTIF('Elève (3ème3)'!RR7:RT7,"C"))*2)+((COUNTIF('Elève (3ème3)'!RR7:RT7,"D"))*1))/(COUNTA(RR7:RT7)),"")</f>
        <v/>
      </c>
      <c r="RV7" s="164" t="str">
        <f t="shared" si="115"/>
        <v/>
      </c>
      <c r="RW7" s="103"/>
      <c r="RX7" s="104"/>
      <c r="RY7" s="105"/>
      <c r="RZ7" s="105"/>
      <c r="SA7" s="163" t="str">
        <f>IFERROR((((COUNTIF('Elève (3ème3)'!RW7:RZ7,"A"))*4)+((COUNTIF('Elève (3ème3)'!RW7:RZ7,"B"))*3)+((COUNTIF('Elève (3ème3)'!RW7:RZ7,"C"))*2)+((COUNTIF('Elève (3ème3)'!RW7:RZ7,"D"))*1))/(COUNTA(RW7:RZ7)),"")</f>
        <v/>
      </c>
      <c r="SB7" s="164" t="str">
        <f t="shared" si="116"/>
        <v/>
      </c>
      <c r="SC7" s="103"/>
      <c r="SD7" s="104"/>
      <c r="SE7" s="105"/>
      <c r="SF7" s="105"/>
      <c r="SG7" s="105"/>
      <c r="SH7" s="109"/>
      <c r="SI7" s="163" t="str">
        <f>IFERROR((((COUNTIF('Elève (3ème3)'!SC7:SH7,"A"))*4)+((COUNTIF('Elève (3ème3)'!SC7:SH7,"B"))*3)+((COUNTIF('Elève (3ème3)'!SC7:SH7,"C"))*2)+((COUNTIF('Elève (3ème3)'!SC7:SH7,"D"))*1))/(COUNTA(SC7:SH7)),"")</f>
        <v/>
      </c>
      <c r="SJ7" s="164" t="str">
        <f t="shared" si="117"/>
        <v/>
      </c>
      <c r="SK7" s="163" t="str">
        <f>IF(COUNT(RU7,SA7,SI7)=0,"",SUM(RU7,SA7,SI7)/COUNT(RU7,SA7,SI7))</f>
        <v/>
      </c>
      <c r="SL7" s="187" t="str">
        <f t="shared" si="118"/>
        <v/>
      </c>
      <c r="SM7" s="103"/>
      <c r="SN7" s="104"/>
      <c r="SO7" s="105"/>
      <c r="SP7" s="106" t="str">
        <f>IFERROR((((COUNTIF('Elève (3ème3)'!SM7:SO7,"A"))*4)+((COUNTIF('Elève (3ème3)'!SM7:SO7,"B"))*3)+((COUNTIF('Elève (3ème3)'!SM7:SO7,"C"))*2)+((COUNTIF('Elève (3ème3)'!SM7:SO7,"D"))*1))/(COUNTA(SM7:SO7)),"")</f>
        <v/>
      </c>
      <c r="SQ7" s="107" t="str">
        <f t="shared" si="119"/>
        <v/>
      </c>
      <c r="SR7" s="103"/>
      <c r="SS7" s="104"/>
      <c r="ST7" s="105"/>
      <c r="SU7" s="106" t="str">
        <f>IFERROR((((COUNTIF('Elève (3ème3)'!SR7:ST7,"A"))*4)+((COUNTIF('Elève (3ème3)'!SR7:ST7,"B"))*3)+((COUNTIF('Elève (3ème3)'!SR7:ST7,"C"))*2)+((COUNTIF('Elève (3ème3)'!SR7:ST7,"D"))*1))/(COUNTA(SR7:ST7)),"")</f>
        <v/>
      </c>
      <c r="SV7" s="107" t="str">
        <f t="shared" si="120"/>
        <v/>
      </c>
      <c r="SW7" s="103"/>
      <c r="SX7" s="104"/>
      <c r="SY7" s="109"/>
      <c r="SZ7" s="106" t="str">
        <f>IFERROR((((COUNTIF('Elève (3ème3)'!SW7:SY7,"A"))*4)+((COUNTIF('Elève (3ème3)'!SW7:SY7,"B"))*3)+((COUNTIF('Elève (3ème3)'!SW7:SY7,"C"))*2)+((COUNTIF('Elève (3ème3)'!SW7:SY7,"D"))*1))/(COUNTA(SW7:SY7)),"")</f>
        <v/>
      </c>
      <c r="TA7" s="107" t="str">
        <f t="shared" si="121"/>
        <v/>
      </c>
      <c r="TB7" s="106" t="str">
        <f>IF(COUNT(SP7,SU7,SZ7)=0,"",SUM(SP7,SU7,SZ7)/COUNT(SP7,SU7,SZ7))</f>
        <v/>
      </c>
      <c r="TC7" s="108" t="str">
        <f t="shared" si="122"/>
        <v/>
      </c>
      <c r="TD7" s="103"/>
      <c r="TE7" s="104"/>
      <c r="TF7" s="105"/>
      <c r="TG7" s="106" t="str">
        <f>IFERROR((((COUNTIF('Elève (3ème3)'!TD7:TF7,"A"))*4)+((COUNTIF('Elève (3ème3)'!TD7:TF7,"B"))*3)+((COUNTIF('Elève (3ème3)'!TD7:TF7,"C"))*2)+((COUNTIF('Elève (3ème3)'!TD7:TF7,"D"))*1))/(COUNTA(TD7:TF7)),"")</f>
        <v/>
      </c>
      <c r="TH7" s="107" t="str">
        <f t="shared" si="123"/>
        <v/>
      </c>
      <c r="TI7" s="103"/>
      <c r="TJ7" s="104"/>
      <c r="TK7" s="105"/>
      <c r="TL7" s="106" t="str">
        <f>IFERROR((((COUNTIF('Elève (3ème3)'!TI7:TK7,"A"))*4)+((COUNTIF('Elève (3ème3)'!TI7:TK7,"B"))*3)+((COUNTIF('Elève (3ème3)'!TI7:TK7,"C"))*2)+((COUNTIF('Elève (3ème3)'!TI7:TK7,"D"))*1))/(COUNTA(TI7:TK7)),"")</f>
        <v/>
      </c>
      <c r="TM7" s="107" t="str">
        <f t="shared" si="124"/>
        <v/>
      </c>
      <c r="TN7" s="103"/>
      <c r="TO7" s="104"/>
      <c r="TP7" s="109"/>
      <c r="TQ7" s="106" t="str">
        <f>IFERROR((((COUNTIF('Elève (3ème3)'!TN7:TP7,"A"))*4)+((COUNTIF('Elève (3ème3)'!TN7:TP7,"B"))*3)+((COUNTIF('Elève (3ème3)'!TN7:TP7,"C"))*2)+((COUNTIF('Elève (3ème3)'!TN7:TP7,"D"))*1))/(COUNTA(TN7:TP7)),"")</f>
        <v/>
      </c>
      <c r="TR7" s="107" t="str">
        <f t="shared" si="125"/>
        <v/>
      </c>
      <c r="TS7" s="106" t="str">
        <f>IF(COUNT(TG7,TL7,TQ7)=0,"",SUM(TG7,TL7,TQ7)/COUNT(TG7,TL7,TQ7))</f>
        <v/>
      </c>
      <c r="TT7" s="108" t="str">
        <f t="shared" si="126"/>
        <v/>
      </c>
      <c r="TU7" s="103"/>
      <c r="TV7" s="104"/>
      <c r="TW7" s="105"/>
      <c r="TX7" s="106" t="str">
        <f>IFERROR((((COUNTIF('Elève (3ème3)'!TU7:TW7,"A"))*4)+((COUNTIF('Elève (3ème3)'!TU7:TW7,"B"))*3)+((COUNTIF('Elève (3ème3)'!TU7:TW7,"C"))*2)+((COUNTIF('Elève (3ème3)'!TU7:TW7,"D"))*1))/(COUNTA(TU7:TW7)),"")</f>
        <v/>
      </c>
      <c r="TY7" s="107" t="str">
        <f t="shared" si="127"/>
        <v/>
      </c>
      <c r="TZ7" s="103"/>
      <c r="UA7" s="104"/>
      <c r="UB7" s="105"/>
      <c r="UC7" s="106" t="str">
        <f>IFERROR((((COUNTIF('Elève (3ème3)'!TZ7:UB7,"A"))*4)+((COUNTIF('Elève (3ème3)'!TZ7:UB7,"B"))*3)+((COUNTIF('Elève (3ème3)'!TZ7:UB7,"C"))*2)+((COUNTIF('Elève (3ème3)'!TZ7:UB7,"D"))*1))/(COUNTA(TZ7:UB7)),"")</f>
        <v/>
      </c>
      <c r="UD7" s="107" t="str">
        <f t="shared" si="128"/>
        <v/>
      </c>
      <c r="UE7" s="103"/>
      <c r="UF7" s="104"/>
      <c r="UG7" s="109"/>
      <c r="UH7" s="106" t="str">
        <f>IFERROR((((COUNTIF('Elève (3ème3)'!UE7:UG7,"A"))*4)+((COUNTIF('Elève (3ème3)'!UE7:UG7,"B"))*3)+((COUNTIF('Elève (3ème3)'!UE7:UG7,"C"))*2)+((COUNTIF('Elève (3ème3)'!UE7:UG7,"D"))*1))/(COUNTA(UE7:UG7)),"")</f>
        <v/>
      </c>
      <c r="UI7" s="107" t="str">
        <f t="shared" si="129"/>
        <v/>
      </c>
      <c r="UJ7" s="106" t="str">
        <f>IF(COUNT(TX7,UC7,UH7)=0,"",SUM(TX7,UC7,UH7)/COUNT(TX7,UC7,UH7))</f>
        <v/>
      </c>
      <c r="UK7" s="108" t="str">
        <f t="shared" si="130"/>
        <v/>
      </c>
      <c r="UL7" s="103"/>
      <c r="UM7" s="104"/>
      <c r="UN7" s="105"/>
      <c r="UO7" s="106" t="str">
        <f>IFERROR((((COUNTIF('Elève (3ème3)'!UL7:UN7,"A"))*4)+((COUNTIF('Elève (3ème3)'!UL7:UN7,"B"))*3)+((COUNTIF('Elève (3ème3)'!UL7:UN7,"C"))*2)+((COUNTIF('Elève (3ème3)'!UL7:UN7,"D"))*1))/(COUNTA(UL7:UN7)),"")</f>
        <v/>
      </c>
      <c r="UP7" s="107" t="str">
        <f t="shared" si="131"/>
        <v/>
      </c>
      <c r="UQ7" s="103"/>
      <c r="UR7" s="104"/>
      <c r="US7" s="105"/>
      <c r="UT7" s="106" t="str">
        <f>IFERROR((((COUNTIF('Elève (3ème3)'!UQ7:US7,"A"))*4)+((COUNTIF('Elève (3ème3)'!UQ7:US7,"B"))*3)+((COUNTIF('Elève (3ème3)'!UQ7:US7,"C"))*2)+((COUNTIF('Elève (3ème3)'!UQ7:US7,"D"))*1))/(COUNTA(UQ7:US7)),"")</f>
        <v/>
      </c>
      <c r="UU7" s="107" t="str">
        <f t="shared" si="132"/>
        <v/>
      </c>
      <c r="UV7" s="103"/>
      <c r="UW7" s="104"/>
      <c r="UX7" s="109"/>
      <c r="UY7" s="106" t="str">
        <f>IFERROR((((COUNTIF('Elève (3ème3)'!UV7:UX7,"A"))*4)+((COUNTIF('Elève (3ème3)'!UV7:UX7,"B"))*3)+((COUNTIF('Elève (3ème3)'!UV7:UX7,"C"))*2)+((COUNTIF('Elève (3ème3)'!UV7:UX7,"D"))*1))/(COUNTA(UV7:UX7)),"")</f>
        <v/>
      </c>
      <c r="UZ7" s="107" t="str">
        <f t="shared" si="133"/>
        <v/>
      </c>
      <c r="VA7" s="106" t="str">
        <f>IF(COUNT(UO7,UT7,UY7)=0,"",SUM(UO7,UT7,UY7)/COUNT(UO7,UT7,UY7))</f>
        <v/>
      </c>
      <c r="VB7" s="108" t="str">
        <f t="shared" si="134"/>
        <v/>
      </c>
      <c r="VC7" s="103"/>
      <c r="VD7" s="104"/>
      <c r="VE7" s="105"/>
      <c r="VF7" s="106" t="str">
        <f>IFERROR((((COUNTIF('Elève (3ème3)'!VC7:VE7,"A"))*4)+((COUNTIF('Elève (3ème3)'!VC7:VE7,"B"))*3)+((COUNTIF('Elève (3ème3)'!VC7:VE7,"C"))*2)+((COUNTIF('Elève (3ème3)'!VC7:VE7,"D"))*1))/(COUNTA(VC7:VE7)),"")</f>
        <v/>
      </c>
      <c r="VG7" s="107" t="str">
        <f t="shared" si="135"/>
        <v/>
      </c>
      <c r="VH7" s="103"/>
      <c r="VI7" s="104"/>
      <c r="VJ7" s="105"/>
      <c r="VK7" s="106" t="str">
        <f>IFERROR((((COUNTIF('Elève (3ème3)'!VH7:VJ7,"A"))*4)+((COUNTIF('Elève (3ème3)'!VH7:VJ7,"B"))*3)+((COUNTIF('Elève (3ème3)'!VH7:VJ7,"C"))*2)+((COUNTIF('Elève (3ème3)'!VH7:VJ7,"D"))*1))/(COUNTA(VH7:VJ7)),"")</f>
        <v/>
      </c>
      <c r="VL7" s="107" t="str">
        <f t="shared" si="136"/>
        <v/>
      </c>
      <c r="VM7" s="103"/>
      <c r="VN7" s="104"/>
      <c r="VO7" s="109"/>
      <c r="VP7" s="106" t="str">
        <f>IFERROR((((COUNTIF('Elève (3ème3)'!VM7:VO7,"A"))*4)+((COUNTIF('Elève (3ème3)'!VM7:VO7,"B"))*3)+((COUNTIF('Elève (3ème3)'!VM7:VO7,"C"))*2)+((COUNTIF('Elève (3ème3)'!VM7:VO7,"D"))*1))/(COUNTA(VM7:VO7)),"")</f>
        <v/>
      </c>
      <c r="VQ7" s="107" t="str">
        <f t="shared" si="137"/>
        <v/>
      </c>
      <c r="VR7" s="106" t="str">
        <f>IF(COUNT(VF7,VK7,VP7)=0,"",SUM(VF7,VK7,VP7)/COUNT(VF7,VK7,VP7))</f>
        <v/>
      </c>
      <c r="VS7" s="108" t="str">
        <f t="shared" si="138"/>
        <v/>
      </c>
      <c r="VT7" s="103"/>
      <c r="VU7" s="104"/>
      <c r="VV7" s="105"/>
      <c r="VW7" s="106" t="str">
        <f>IFERROR((((COUNTIF('Elève (3ème3)'!VT7:VV7,"A"))*4)+((COUNTIF('Elève (3ème3)'!VT7:VV7,"B"))*3)+((COUNTIF('Elève (3ème3)'!VT7:VV7,"C"))*2)+((COUNTIF('Elève (3ème3)'!VT7:VV7,"D"))*1))/(COUNTA(VT7:VV7)),"")</f>
        <v/>
      </c>
      <c r="VX7" s="107" t="str">
        <f t="shared" si="139"/>
        <v/>
      </c>
      <c r="VY7" s="103"/>
      <c r="VZ7" s="104"/>
      <c r="WA7" s="105"/>
      <c r="WB7" s="106" t="str">
        <f>IFERROR((((COUNTIF('Elève (3ème3)'!VY7:WA7,"A"))*4)+((COUNTIF('Elève (3ème3)'!VY7:WA7,"B"))*3)+((COUNTIF('Elève (3ème3)'!VY7:WA7,"C"))*2)+((COUNTIF('Elève (3ème3)'!VY7:WA7,"D"))*1))/(COUNTA(VY7:WA7)),"")</f>
        <v/>
      </c>
      <c r="WC7" s="107" t="str">
        <f t="shared" si="140"/>
        <v/>
      </c>
      <c r="WD7" s="103"/>
      <c r="WE7" s="104"/>
      <c r="WF7" s="109"/>
      <c r="WG7" s="106" t="str">
        <f>IFERROR((((COUNTIF('Elève (3ème3)'!WD7:WF7,"A"))*4)+((COUNTIF('Elève (3ème3)'!WD7:WF7,"B"))*3)+((COUNTIF('Elève (3ème3)'!WD7:WF7,"C"))*2)+((COUNTIF('Elève (3ème3)'!WD7:WF7,"D"))*1))/(COUNTA(WD7:WF7)),"")</f>
        <v/>
      </c>
      <c r="WH7" s="107" t="str">
        <f t="shared" si="141"/>
        <v/>
      </c>
      <c r="WI7" s="106" t="str">
        <f>IF(COUNT(VW7,WB7,WG7)=0,"",SUM(VW7,WB7,WG7)/COUNT(VW7,WB7,WG7))</f>
        <v/>
      </c>
      <c r="WJ7" s="108" t="str">
        <f t="shared" si="142"/>
        <v/>
      </c>
    </row>
    <row r="8" spans="1:608" ht="18" customHeight="1" x14ac:dyDescent="0.55000000000000004">
      <c r="A8" s="221" t="s">
        <v>15</v>
      </c>
      <c r="B8" s="222"/>
      <c r="C8" s="103"/>
      <c r="D8" s="104"/>
      <c r="E8" s="105"/>
      <c r="F8" s="163" t="str">
        <f>IFERROR((((COUNTIF('Elève (3ème3)'!C8:E8,"A"))*4)+((COUNTIF('Elève (3ème3)'!C8:E8,"B"))*3)+((COUNTIF('Elève (3ème3)'!C8:E8,"C"))*2)+((COUNTIF('Elève (3ème3)'!C8:E8,"D"))*1))/(COUNTA(C8:E8)),"")</f>
        <v/>
      </c>
      <c r="G8" s="164" t="str">
        <f t="shared" si="23"/>
        <v/>
      </c>
      <c r="H8" s="103"/>
      <c r="I8" s="104"/>
      <c r="J8" s="105"/>
      <c r="K8" s="105"/>
      <c r="L8" s="163" t="str">
        <f>IFERROR((((COUNTIF('Elève (3ème3)'!H8:K8,"A"))*4)+((COUNTIF('Elève (3ème3)'!H8:K8,"B"))*3)+((COUNTIF('Elève (3ème3)'!H8:K8,"C"))*2)+((COUNTIF('Elève (3ème3)'!H8:K8,"D"))*1))/(COUNTA(H8:K8)),"")</f>
        <v/>
      </c>
      <c r="M8" s="164" t="str">
        <f t="shared" si="24"/>
        <v/>
      </c>
      <c r="N8" s="103"/>
      <c r="O8" s="104" t="s">
        <v>29</v>
      </c>
      <c r="P8" s="105"/>
      <c r="Q8" s="105"/>
      <c r="R8" s="105"/>
      <c r="S8" s="105"/>
      <c r="T8" s="163">
        <f>IFERROR((((COUNTIF('Elève (3ème3)'!N8:S8,"A"))*4)+((COUNTIF('Elève (3ème3)'!N8:S8,"B"))*3)+((COUNTIF('Elève (3ème3)'!N8:S8,"C"))*2)+((COUNTIF('Elève (3ème3)'!N8:S8,"D"))*1))/(COUNTA(N8:S8)),"")</f>
        <v>2</v>
      </c>
      <c r="U8" s="164" t="str">
        <f t="shared" si="25"/>
        <v>C</v>
      </c>
      <c r="V8" s="163">
        <f>IF(COUNT(F8,L8,T8)=0,"",SUM(F8,L8,T8)/COUNT(F8,L8,T8))</f>
        <v>2</v>
      </c>
      <c r="W8" s="187" t="str">
        <f t="shared" si="26"/>
        <v>C</v>
      </c>
      <c r="X8" s="103"/>
      <c r="Y8" s="104"/>
      <c r="Z8" s="105"/>
      <c r="AA8" s="163" t="str">
        <f>IFERROR((((COUNTIF('Elève (3ème3)'!X8:Z8,"A"))*4)+((COUNTIF('Elève (3ème3)'!X8:Z8,"B"))*3)+((COUNTIF('Elève (3ème3)'!X8:Z8,"C"))*2)+((COUNTIF('Elève (3ème3)'!X8:Z8,"D"))*1))/(COUNTA(X8:Z8)),"")</f>
        <v/>
      </c>
      <c r="AB8" s="164" t="str">
        <f t="shared" si="27"/>
        <v/>
      </c>
      <c r="AC8" s="103"/>
      <c r="AD8" s="104"/>
      <c r="AE8" s="105"/>
      <c r="AF8" s="105"/>
      <c r="AG8" s="163" t="str">
        <f>IFERROR((((COUNTIF('Elève (3ème3)'!AC8:AF8,"A"))*4)+((COUNTIF('Elève (3ème3)'!AC8:AF8,"B"))*3)+((COUNTIF('Elève (3ème3)'!AC8:AF8,"C"))*2)+((COUNTIF('Elève (3ème3)'!AC8:AF8,"D"))*1))/(COUNTA(AC8:AF8)),"")</f>
        <v/>
      </c>
      <c r="AH8" s="164" t="str">
        <f t="shared" si="28"/>
        <v/>
      </c>
      <c r="AI8" s="103"/>
      <c r="AJ8" s="104" t="s">
        <v>29</v>
      </c>
      <c r="AK8" s="105"/>
      <c r="AL8" s="105"/>
      <c r="AM8" s="105"/>
      <c r="AN8" s="109"/>
      <c r="AO8" s="163">
        <f>IFERROR((((COUNTIF('Elève (3ème3)'!AI8:AN8,"A"))*4)+((COUNTIF('Elève (3ème3)'!AI8:AN8,"B"))*3)+((COUNTIF('Elève (3ème3)'!AI8:AN8,"C"))*2)+((COUNTIF('Elève (3ème3)'!AI8:AN8,"D"))*1))/(COUNTA(AI8:AN8)),"")</f>
        <v>2</v>
      </c>
      <c r="AP8" s="164" t="str">
        <f t="shared" si="29"/>
        <v>C</v>
      </c>
      <c r="AQ8" s="163">
        <f>IF(COUNT(AA8,AG8,AO8)=0,"",SUM(AA8,AG8,AO8)/COUNT(AA8,AG8,AO8))</f>
        <v>2</v>
      </c>
      <c r="AR8" s="187" t="str">
        <f t="shared" si="30"/>
        <v>C</v>
      </c>
      <c r="AS8" s="103"/>
      <c r="AT8" s="104"/>
      <c r="AU8" s="105"/>
      <c r="AV8" s="163" t="str">
        <f>IFERROR((((COUNTIF('Elève (3ème3)'!AS8:AU8,"A"))*4)+((COUNTIF('Elève (3ème3)'!AS8:AU8,"B"))*3)+((COUNTIF('Elève (3ème3)'!AS8:AU8,"C"))*2)+((COUNTIF('Elève (3ème3)'!AS8:AU8,"D"))*1))/(COUNTA(AS8:AU8)),"")</f>
        <v/>
      </c>
      <c r="AW8" s="164" t="str">
        <f t="shared" si="31"/>
        <v/>
      </c>
      <c r="AX8" s="103"/>
      <c r="AY8" s="104"/>
      <c r="AZ8" s="105"/>
      <c r="BA8" s="105"/>
      <c r="BB8" s="163" t="str">
        <f>IFERROR((((COUNTIF('Elève (3ème3)'!AX8:BA8,"A"))*4)+((COUNTIF('Elève (3ème3)'!AX8:BA8,"B"))*3)+((COUNTIF('Elève (3ème3)'!AX8:BA8,"C"))*2)+((COUNTIF('Elève (3ème3)'!AX8:BA8,"D"))*1))/(COUNTA(AX8:BA8)),"")</f>
        <v/>
      </c>
      <c r="BC8" s="164" t="str">
        <f t="shared" si="32"/>
        <v/>
      </c>
      <c r="BD8" s="103"/>
      <c r="BE8" s="104" t="s">
        <v>29</v>
      </c>
      <c r="BF8" s="105"/>
      <c r="BG8" s="105"/>
      <c r="BH8" s="105"/>
      <c r="BI8" s="109"/>
      <c r="BJ8" s="163">
        <f>IFERROR((((COUNTIF('Elève (3ème3)'!BD8:BI8,"A"))*4)+((COUNTIF('Elève (3ème3)'!BD8:BI8,"B"))*3)+((COUNTIF('Elève (3ème3)'!BD8:BI8,"C"))*2)+((COUNTIF('Elève (3ème3)'!BD8:BI8,"D"))*1))/(COUNTA(BD8:BI8)),"")</f>
        <v>2</v>
      </c>
      <c r="BK8" s="164" t="str">
        <f t="shared" si="33"/>
        <v>C</v>
      </c>
      <c r="BL8" s="163">
        <f>IF(COUNT(AV8,BB8,BJ8)=0,"",SUM(AV8,BB8,BJ8)/COUNT(AV8,BB8,BJ8))</f>
        <v>2</v>
      </c>
      <c r="BM8" s="187" t="str">
        <f t="shared" si="34"/>
        <v>C</v>
      </c>
      <c r="BN8" s="103"/>
      <c r="BO8" s="104"/>
      <c r="BP8" s="105"/>
      <c r="BQ8" s="163" t="str">
        <f>IFERROR((((COUNTIF('Elève (3ème3)'!BN8:BP8,"A"))*4)+((COUNTIF('Elève (3ème3)'!BN8:BP8,"B"))*3)+((COUNTIF('Elève (3ème3)'!BN8:BP8,"C"))*2)+((COUNTIF('Elève (3ème3)'!BN8:BP8,"D"))*1))/(COUNTA(BN8:BP8)),"")</f>
        <v/>
      </c>
      <c r="BR8" s="164" t="str">
        <f t="shared" si="35"/>
        <v/>
      </c>
      <c r="BS8" s="103"/>
      <c r="BT8" s="104"/>
      <c r="BU8" s="105"/>
      <c r="BV8" s="105"/>
      <c r="BW8" s="163" t="str">
        <f>IFERROR((((COUNTIF('Elève (3ème3)'!BS8:BV8,"A"))*4)+((COUNTIF('Elève (3ème3)'!BS8:BV8,"B"))*3)+((COUNTIF('Elève (3ème3)'!BS8:BV8,"C"))*2)+((COUNTIF('Elève (3ème3)'!BS8:BV8,"D"))*1))/(COUNTA(BS8:BV8)),"")</f>
        <v/>
      </c>
      <c r="BX8" s="164" t="str">
        <f t="shared" si="36"/>
        <v/>
      </c>
      <c r="BY8" s="103"/>
      <c r="BZ8" s="104" t="s">
        <v>30</v>
      </c>
      <c r="CA8" s="105" t="s">
        <v>29</v>
      </c>
      <c r="CB8" s="105"/>
      <c r="CC8" s="105"/>
      <c r="CD8" s="109"/>
      <c r="CE8" s="163">
        <f>IFERROR((((COUNTIF('Elève (3ème3)'!BY8:CD8,"A"))*4)+((COUNTIF('Elève (3ème3)'!BY8:CD8,"B"))*3)+((COUNTIF('Elève (3ème3)'!BY8:CD8,"C"))*2)+((COUNTIF('Elève (3ème3)'!BY8:CD8,"D"))*1))/(COUNTA(BY8:CD8)),"")</f>
        <v>1.5</v>
      </c>
      <c r="CF8" s="164" t="str">
        <f t="shared" si="37"/>
        <v>D</v>
      </c>
      <c r="CG8" s="163">
        <f>IF(COUNT(BQ8,BW8,CE8)=0,"",SUM(BQ8,BW8,CE8)/COUNT(BQ8,BW8,CE8))</f>
        <v>1.5</v>
      </c>
      <c r="CH8" s="187" t="str">
        <f t="shared" si="38"/>
        <v>D</v>
      </c>
      <c r="CI8" s="103"/>
      <c r="CJ8" s="104"/>
      <c r="CK8" s="105"/>
      <c r="CL8" s="163" t="str">
        <f>IFERROR((((COUNTIF('Elève (3ème3)'!CI8:CK8,"A"))*4)+((COUNTIF('Elève (3ème3)'!CI8:CK8,"B"))*3)+((COUNTIF('Elève (3ème3)'!CI8:CK8,"C"))*2)+((COUNTIF('Elève (3ème3)'!CI8:CK8,"D"))*1))/(COUNTA(CI8:CK8)),"")</f>
        <v/>
      </c>
      <c r="CM8" s="164" t="str">
        <f t="shared" si="39"/>
        <v/>
      </c>
      <c r="CN8" s="103"/>
      <c r="CO8" s="104"/>
      <c r="CP8" s="105"/>
      <c r="CQ8" s="105"/>
      <c r="CR8" s="163" t="str">
        <f>IFERROR((((COUNTIF('Elève (3ème3)'!CN8:CQ8,"A"))*4)+((COUNTIF('Elève (3ème3)'!CN8:CQ8,"B"))*3)+((COUNTIF('Elève (3ème3)'!CN8:CQ8,"C"))*2)+((COUNTIF('Elève (3ème3)'!CN8:CQ8,"D"))*1))/(COUNTA(CN8:CQ8)),"")</f>
        <v/>
      </c>
      <c r="CS8" s="164" t="str">
        <f t="shared" si="40"/>
        <v/>
      </c>
      <c r="CT8" s="103"/>
      <c r="CU8" s="104" t="s">
        <v>29</v>
      </c>
      <c r="CV8" s="105" t="s">
        <v>28</v>
      </c>
      <c r="CW8" s="105"/>
      <c r="CX8" s="105"/>
      <c r="CY8" s="109"/>
      <c r="CZ8" s="163">
        <f>IFERROR((((COUNTIF('Elève (3ème3)'!CT8:CY8,"A"))*4)+((COUNTIF('Elève (3ème3)'!CT8:CY8,"B"))*3)+((COUNTIF('Elève (3ème3)'!CT8:CY8,"C"))*2)+((COUNTIF('Elève (3ème3)'!CT8:CY8,"D"))*1))/(COUNTA(CT8:CY8)),"")</f>
        <v>2.5</v>
      </c>
      <c r="DA8" s="164" t="str">
        <f t="shared" si="41"/>
        <v>C</v>
      </c>
      <c r="DB8" s="163">
        <f>IF(COUNT(CL8,CR8,CZ8)=0,"",SUM(CL8,CR8,CZ8)/COUNT(CL8,CR8,CZ8))</f>
        <v>2.5</v>
      </c>
      <c r="DC8" s="187" t="str">
        <f t="shared" si="42"/>
        <v>C</v>
      </c>
      <c r="DD8" s="103"/>
      <c r="DE8" s="104"/>
      <c r="DF8" s="105"/>
      <c r="DG8" s="163" t="str">
        <f>IFERROR((((COUNTIF('Elève (3ème3)'!DD8:DF8,"A"))*4)+((COUNTIF('Elève (3ème3)'!DD8:DF8,"B"))*3)+((COUNTIF('Elève (3ème3)'!DD8:DF8,"C"))*2)+((COUNTIF('Elève (3ème3)'!DD8:DF8,"D"))*1))/(COUNTA(DD8:DF8)),"")</f>
        <v/>
      </c>
      <c r="DH8" s="164" t="str">
        <f t="shared" si="43"/>
        <v/>
      </c>
      <c r="DI8" s="103"/>
      <c r="DJ8" s="104"/>
      <c r="DK8" s="105"/>
      <c r="DL8" s="105"/>
      <c r="DM8" s="163" t="str">
        <f>IFERROR((((COUNTIF('Elève (3ème3)'!DI8:DL8,"A"))*4)+((COUNTIF('Elève (3ème3)'!DI8:DL8,"B"))*3)+((COUNTIF('Elève (3ème3)'!DI8:DL8,"C"))*2)+((COUNTIF('Elève (3ème3)'!DI8:DL8,"D"))*1))/(COUNTA(DI8:DL8)),"")</f>
        <v/>
      </c>
      <c r="DN8" s="164" t="str">
        <f t="shared" si="44"/>
        <v/>
      </c>
      <c r="DO8" s="103"/>
      <c r="DP8" s="104" t="s">
        <v>30</v>
      </c>
      <c r="DQ8" s="105" t="s">
        <v>30</v>
      </c>
      <c r="DR8" s="105"/>
      <c r="DS8" s="105"/>
      <c r="DT8" s="109"/>
      <c r="DU8" s="163">
        <f>IFERROR((((COUNTIF('Elève (3ème3)'!DO8:DT8,"A"))*4)+((COUNTIF('Elève (3ème3)'!DO8:DT8,"B"))*3)+((COUNTIF('Elève (3ème3)'!DO8:DT8,"C"))*2)+((COUNTIF('Elève (3ème3)'!DO8:DT8,"D"))*1))/(COUNTA(DO8:DT8)),"")</f>
        <v>1</v>
      </c>
      <c r="DV8" s="164" t="str">
        <f t="shared" si="45"/>
        <v>D</v>
      </c>
      <c r="DW8" s="163">
        <f>IF(COUNT(DG8,DM8,DU8)=0,"",SUM(DG8,DM8,DU8)/COUNT(DG8,DM8,DU8))</f>
        <v>1</v>
      </c>
      <c r="DX8" s="187" t="str">
        <f t="shared" si="46"/>
        <v>D</v>
      </c>
      <c r="DY8" s="103"/>
      <c r="DZ8" s="104"/>
      <c r="EA8" s="105"/>
      <c r="EB8" s="163" t="str">
        <f>IFERROR((((COUNTIF('Elève (3ème3)'!DY8:EA8,"A"))*4)+((COUNTIF('Elève (3ème3)'!DY8:EA8,"B"))*3)+((COUNTIF('Elève (3ème3)'!DY8:EA8,"C"))*2)+((COUNTIF('Elève (3ème3)'!DY8:EA8,"D"))*1))/(COUNTA(DY8:EA8)),"")</f>
        <v/>
      </c>
      <c r="EC8" s="164" t="str">
        <f t="shared" si="47"/>
        <v/>
      </c>
      <c r="ED8" s="103"/>
      <c r="EE8" s="104"/>
      <c r="EF8" s="105"/>
      <c r="EG8" s="105"/>
      <c r="EH8" s="163" t="str">
        <f>IFERROR((((COUNTIF('Elève (3ème3)'!ED8:EG8,"A"))*4)+((COUNTIF('Elève (3ème3)'!ED8:EG8,"B"))*3)+((COUNTIF('Elève (3ème3)'!ED8:EG8,"C"))*2)+((COUNTIF('Elève (3ème3)'!ED8:EG8,"D"))*1))/(COUNTA(ED8:EG8)),"")</f>
        <v/>
      </c>
      <c r="EI8" s="164" t="str">
        <f t="shared" si="48"/>
        <v/>
      </c>
      <c r="EJ8" s="103"/>
      <c r="EK8" s="104" t="s">
        <v>30</v>
      </c>
      <c r="EL8" s="105" t="s">
        <v>28</v>
      </c>
      <c r="EM8" s="105"/>
      <c r="EN8" s="105"/>
      <c r="EO8" s="109"/>
      <c r="EP8" s="163">
        <f>IFERROR((((COUNTIF('Elève (3ème3)'!EJ8:EO8,"A"))*4)+((COUNTIF('Elève (3ème3)'!EJ8:EO8,"B"))*3)+((COUNTIF('Elève (3ème3)'!EJ8:EO8,"C"))*2)+((COUNTIF('Elève (3ème3)'!EJ8:EO8,"D"))*1))/(COUNTA(EJ8:EO8)),"")</f>
        <v>2</v>
      </c>
      <c r="EQ8" s="164" t="str">
        <f t="shared" si="49"/>
        <v>C</v>
      </c>
      <c r="ER8" s="163">
        <f>IF(COUNT(EB8,EH8,EP8)=0,"",SUM(EB8,EH8,EP8)/COUNT(EB8,EH8,EP8))</f>
        <v>2</v>
      </c>
      <c r="ES8" s="187" t="str">
        <f t="shared" si="50"/>
        <v>C</v>
      </c>
      <c r="ET8" s="103"/>
      <c r="EU8" s="104"/>
      <c r="EV8" s="105"/>
      <c r="EW8" s="163" t="str">
        <f>IFERROR((((COUNTIF('Elève (3ème3)'!ET8:EV8,"A"))*4)+((COUNTIF('Elève (3ème3)'!ET8:EV8,"B"))*3)+((COUNTIF('Elève (3ème3)'!ET8:EV8,"C"))*2)+((COUNTIF('Elève (3ème3)'!ET8:EV8,"D"))*1))/(COUNTA(ET8:EV8)),"")</f>
        <v/>
      </c>
      <c r="EX8" s="164" t="str">
        <f t="shared" si="51"/>
        <v/>
      </c>
      <c r="EY8" s="103"/>
      <c r="EZ8" s="104"/>
      <c r="FA8" s="105"/>
      <c r="FB8" s="105"/>
      <c r="FC8" s="163" t="str">
        <f>IFERROR((((COUNTIF('Elève (3ème3)'!EY8:FB8,"A"))*4)+((COUNTIF('Elève (3ème3)'!EY8:FB8,"B"))*3)+((COUNTIF('Elève (3ème3)'!EY8:FB8,"C"))*2)+((COUNTIF('Elève (3ème3)'!EY8:FB8,"D"))*1))/(COUNTA(EY8:FB8)),"")</f>
        <v/>
      </c>
      <c r="FD8" s="164" t="str">
        <f t="shared" si="52"/>
        <v/>
      </c>
      <c r="FE8" s="103"/>
      <c r="FF8" s="104" t="s">
        <v>27</v>
      </c>
      <c r="FG8" s="105" t="s">
        <v>29</v>
      </c>
      <c r="FH8" s="105"/>
      <c r="FI8" s="105"/>
      <c r="FJ8" s="109"/>
      <c r="FK8" s="163">
        <f>IFERROR((((COUNTIF('Elève (3ème3)'!FE8:FJ8,"A"))*4)+((COUNTIF('Elève (3ème3)'!FE8:FJ8,"B"))*3)+((COUNTIF('Elève (3ème3)'!FE8:FJ8,"C"))*2)+((COUNTIF('Elève (3ème3)'!FE8:FJ8,"D"))*1))/(COUNTA(FE8:FJ8)),"")</f>
        <v>3</v>
      </c>
      <c r="FL8" s="164" t="str">
        <f t="shared" si="53"/>
        <v>B</v>
      </c>
      <c r="FM8" s="163">
        <f>IF(COUNT(EW8,FC8,FK8)=0,"",SUM(EW8,FC8,FK8)/COUNT(EW8,FC8,FK8))</f>
        <v>3</v>
      </c>
      <c r="FN8" s="187" t="str">
        <f t="shared" si="54"/>
        <v>B</v>
      </c>
      <c r="FO8" s="103"/>
      <c r="FP8" s="104"/>
      <c r="FQ8" s="105"/>
      <c r="FR8" s="163" t="str">
        <f>IFERROR((((COUNTIF('Elève (3ème3)'!FO8:FQ8,"A"))*4)+((COUNTIF('Elève (3ème3)'!FO8:FQ8,"B"))*3)+((COUNTIF('Elève (3ème3)'!FO8:FQ8,"C"))*2)+((COUNTIF('Elève (3ème3)'!FO8:FQ8,"D"))*1))/(COUNTA(FO8:FQ8)),"")</f>
        <v/>
      </c>
      <c r="FS8" s="164" t="str">
        <f t="shared" si="55"/>
        <v/>
      </c>
      <c r="FT8" s="103"/>
      <c r="FU8" s="104"/>
      <c r="FV8" s="105"/>
      <c r="FW8" s="105"/>
      <c r="FX8" s="163" t="str">
        <f>IFERROR((((COUNTIF('Elève (3ème3)'!FT8:FW8,"A"))*4)+((COUNTIF('Elève (3ème3)'!FT8:FW8,"B"))*3)+((COUNTIF('Elève (3ème3)'!FT8:FW8,"C"))*2)+((COUNTIF('Elève (3ème3)'!FT8:FW8,"D"))*1))/(COUNTA(FT8:FW8)),"")</f>
        <v/>
      </c>
      <c r="FY8" s="164" t="str">
        <f t="shared" si="56"/>
        <v/>
      </c>
      <c r="FZ8" s="103"/>
      <c r="GA8" s="104"/>
      <c r="GB8" s="105" t="s">
        <v>28</v>
      </c>
      <c r="GC8" s="105"/>
      <c r="GD8" s="105"/>
      <c r="GE8" s="109"/>
      <c r="GF8" s="163">
        <f>IFERROR((((COUNTIF('Elève (3ème3)'!FZ8:GE8,"A"))*4)+((COUNTIF('Elève (3ème3)'!FZ8:GE8,"B"))*3)+((COUNTIF('Elève (3ème3)'!FZ8:GE8,"C"))*2)+((COUNTIF('Elève (3ème3)'!FZ8:GE8,"D"))*1))/(COUNTA(FZ8:GE8)),"")</f>
        <v>3</v>
      </c>
      <c r="GG8" s="164" t="str">
        <f t="shared" si="57"/>
        <v>B</v>
      </c>
      <c r="GH8" s="163">
        <f>IF(COUNT(FR8,FX8,GF8)=0,"",SUM(FR8,FX8,GF8)/COUNT(FR8,FX8,GF8))</f>
        <v>3</v>
      </c>
      <c r="GI8" s="187" t="str">
        <f t="shared" si="58"/>
        <v>B</v>
      </c>
      <c r="GJ8" s="103"/>
      <c r="GK8" s="104"/>
      <c r="GL8" s="105"/>
      <c r="GM8" s="163" t="str">
        <f>IFERROR((((COUNTIF('Elève (3ème3)'!GJ8:GL8,"A"))*4)+((COUNTIF('Elève (3ème3)'!GJ8:GL8,"B"))*3)+((COUNTIF('Elève (3ème3)'!GJ8:GL8,"C"))*2)+((COUNTIF('Elève (3ème3)'!GJ8:GL8,"D"))*1))/(COUNTA(GJ8:GL8)),"")</f>
        <v/>
      </c>
      <c r="GN8" s="164" t="str">
        <f t="shared" si="59"/>
        <v/>
      </c>
      <c r="GO8" s="103"/>
      <c r="GP8" s="104"/>
      <c r="GQ8" s="105"/>
      <c r="GR8" s="105"/>
      <c r="GS8" s="163" t="str">
        <f>IFERROR((((COUNTIF('Elève (3ème3)'!GO8:GR8,"A"))*4)+((COUNTIF('Elève (3ème3)'!GO8:GR8,"B"))*3)+((COUNTIF('Elève (3ème3)'!GO8:GR8,"C"))*2)+((COUNTIF('Elève (3ème3)'!GO8:GR8,"D"))*1))/(COUNTA(GO8:GR8)),"")</f>
        <v/>
      </c>
      <c r="GT8" s="164" t="str">
        <f t="shared" si="60"/>
        <v/>
      </c>
      <c r="GU8" s="103"/>
      <c r="GV8" s="104" t="s">
        <v>29</v>
      </c>
      <c r="GW8" s="105" t="s">
        <v>29</v>
      </c>
      <c r="GX8" s="105"/>
      <c r="GY8" s="105"/>
      <c r="GZ8" s="109"/>
      <c r="HA8" s="163">
        <f>IFERROR((((COUNTIF('Elève (3ème3)'!GU8:GZ8,"A"))*4)+((COUNTIF('Elève (3ème3)'!GU8:GZ8,"B"))*3)+((COUNTIF('Elève (3ème3)'!GU8:GZ8,"C"))*2)+((COUNTIF('Elève (3ème3)'!GU8:GZ8,"D"))*1))/(COUNTA(GU8:GZ8)),"")</f>
        <v>2</v>
      </c>
      <c r="HB8" s="164" t="str">
        <f t="shared" si="61"/>
        <v>C</v>
      </c>
      <c r="HC8" s="163">
        <f>IF(COUNT(GM8,GS8,HA8)=0,"",SUM(GM8,GS8,HA8)/COUNT(GM8,GS8,HA8))</f>
        <v>2</v>
      </c>
      <c r="HD8" s="187" t="str">
        <f t="shared" si="62"/>
        <v>C</v>
      </c>
      <c r="HE8" s="103"/>
      <c r="HF8" s="104"/>
      <c r="HG8" s="105"/>
      <c r="HH8" s="163" t="str">
        <f>IFERROR((((COUNTIF('Elève (3ème3)'!HE8:HG8,"A"))*4)+((COUNTIF('Elève (3ème3)'!HE8:HG8,"B"))*3)+((COUNTIF('Elève (3ème3)'!HE8:HG8,"C"))*2)+((COUNTIF('Elève (3ème3)'!HE8:HG8,"D"))*1))/(COUNTA(HE8:HG8)),"")</f>
        <v/>
      </c>
      <c r="HI8" s="164" t="str">
        <f t="shared" si="63"/>
        <v/>
      </c>
      <c r="HJ8" s="103"/>
      <c r="HK8" s="104"/>
      <c r="HL8" s="105"/>
      <c r="HM8" s="105"/>
      <c r="HN8" s="163" t="str">
        <f>IFERROR((((COUNTIF('Elève (3ème3)'!HJ8:HM8,"A"))*4)+((COUNTIF('Elève (3ème3)'!HJ8:HM8,"B"))*3)+((COUNTIF('Elève (3ème3)'!HJ8:HM8,"C"))*2)+((COUNTIF('Elève (3ème3)'!HJ8:HM8,"D"))*1))/(COUNTA(HJ8:HM8)),"")</f>
        <v/>
      </c>
      <c r="HO8" s="164" t="str">
        <f t="shared" si="64"/>
        <v/>
      </c>
      <c r="HP8" s="103"/>
      <c r="HQ8" s="104" t="s">
        <v>29</v>
      </c>
      <c r="HR8" s="105" t="s">
        <v>29</v>
      </c>
      <c r="HS8" s="105"/>
      <c r="HT8" s="105"/>
      <c r="HU8" s="109"/>
      <c r="HV8" s="163">
        <f>IFERROR((((COUNTIF('Elève (3ème3)'!HP8:HU8,"A"))*4)+((COUNTIF('Elève (3ème3)'!HP8:HU8,"B"))*3)+((COUNTIF('Elève (3ème3)'!HP8:HU8,"C"))*2)+((COUNTIF('Elève (3ème3)'!HP8:HU8,"D"))*1))/(COUNTA(HP8:HU8)),"")</f>
        <v>2</v>
      </c>
      <c r="HW8" s="164" t="str">
        <f t="shared" si="65"/>
        <v>C</v>
      </c>
      <c r="HX8" s="163">
        <f>IF(COUNT(HH8,HN8,HV8)=0,"",SUM(HH8,HN8,HV8)/COUNT(HH8,HN8,HV8))</f>
        <v>2</v>
      </c>
      <c r="HY8" s="187" t="str">
        <f t="shared" si="66"/>
        <v>C</v>
      </c>
      <c r="HZ8" s="103"/>
      <c r="IA8" s="104"/>
      <c r="IB8" s="105"/>
      <c r="IC8" s="163" t="str">
        <f>IFERROR((((COUNTIF('Elève (3ème3)'!HZ8:IB8,"A"))*4)+((COUNTIF('Elève (3ème3)'!HZ8:IB8,"B"))*3)+((COUNTIF('Elève (3ème3)'!HZ8:IB8,"C"))*2)+((COUNTIF('Elève (3ème3)'!HZ8:IB8,"D"))*1))/(COUNTA(HZ8:IB8)),"")</f>
        <v/>
      </c>
      <c r="ID8" s="164" t="str">
        <f t="shared" si="67"/>
        <v/>
      </c>
      <c r="IE8" s="103"/>
      <c r="IF8" s="104"/>
      <c r="IG8" s="105"/>
      <c r="IH8" s="105"/>
      <c r="II8" s="163" t="str">
        <f>IFERROR((((COUNTIF('Elève (3ème3)'!IE8:IH8,"A"))*4)+((COUNTIF('Elève (3ème3)'!IE8:IH8,"B"))*3)+((COUNTIF('Elève (3ème3)'!IE8:IH8,"C"))*2)+((COUNTIF('Elève (3ème3)'!IE8:IH8,"D"))*1))/(COUNTA(IE8:IH8)),"")</f>
        <v/>
      </c>
      <c r="IJ8" s="164" t="str">
        <f t="shared" si="68"/>
        <v/>
      </c>
      <c r="IK8" s="103"/>
      <c r="IL8" s="104" t="s">
        <v>30</v>
      </c>
      <c r="IM8" s="105" t="s">
        <v>29</v>
      </c>
      <c r="IN8" s="105"/>
      <c r="IO8" s="105"/>
      <c r="IP8" s="109"/>
      <c r="IQ8" s="163">
        <f>IFERROR((((COUNTIF('Elève (3ème3)'!IK8:IP8,"A"))*4)+((COUNTIF('Elève (3ème3)'!IK8:IP8,"B"))*3)+((COUNTIF('Elève (3ème3)'!IK8:IP8,"C"))*2)+((COUNTIF('Elève (3ème3)'!IK8:IP8,"D"))*1))/(COUNTA(IK8:IP8)),"")</f>
        <v>1.5</v>
      </c>
      <c r="IR8" s="164" t="str">
        <f t="shared" si="69"/>
        <v>D</v>
      </c>
      <c r="IS8" s="163">
        <f>IF(COUNT(IC8,II8,IQ8)=0,"",SUM(IC8,II8,IQ8)/COUNT(IC8,II8,IQ8))</f>
        <v>1.5</v>
      </c>
      <c r="IT8" s="187" t="str">
        <f t="shared" si="70"/>
        <v>D</v>
      </c>
      <c r="IU8" s="103"/>
      <c r="IV8" s="104"/>
      <c r="IW8" s="105"/>
      <c r="IX8" s="163" t="str">
        <f>IFERROR((((COUNTIF('Elève (3ème3)'!IU8:IW8,"A"))*4)+((COUNTIF('Elève (3ème3)'!IU8:IW8,"B"))*3)+((COUNTIF('Elève (3ème3)'!IU8:IW8,"C"))*2)+((COUNTIF('Elève (3ème3)'!IU8:IW8,"D"))*1))/(COUNTA(IU8:IW8)),"")</f>
        <v/>
      </c>
      <c r="IY8" s="164" t="str">
        <f t="shared" si="71"/>
        <v/>
      </c>
      <c r="IZ8" s="103"/>
      <c r="JA8" s="104"/>
      <c r="JB8" s="105"/>
      <c r="JC8" s="105"/>
      <c r="JD8" s="163" t="str">
        <f>IFERROR((((COUNTIF('Elève (3ème3)'!IZ8:JC8,"A"))*4)+((COUNTIF('Elève (3ème3)'!IZ8:JC8,"B"))*3)+((COUNTIF('Elève (3ème3)'!IZ8:JC8,"C"))*2)+((COUNTIF('Elève (3ème3)'!IZ8:JC8,"D"))*1))/(COUNTA(IZ8:JC8)),"")</f>
        <v/>
      </c>
      <c r="JE8" s="164" t="str">
        <f t="shared" si="72"/>
        <v/>
      </c>
      <c r="JF8" s="103"/>
      <c r="JG8" s="104" t="s">
        <v>29</v>
      </c>
      <c r="JH8" s="105" t="s">
        <v>29</v>
      </c>
      <c r="JI8" s="105"/>
      <c r="JJ8" s="105"/>
      <c r="JK8" s="109"/>
      <c r="JL8" s="163">
        <f>IFERROR((((COUNTIF('Elève (3ème3)'!JF8:JK8,"A"))*4)+((COUNTIF('Elève (3ème3)'!JF8:JK8,"B"))*3)+((COUNTIF('Elève (3ème3)'!JF8:JK8,"C"))*2)+((COUNTIF('Elève (3ème3)'!JF8:JK8,"D"))*1))/(COUNTA(JF8:JK8)),"")</f>
        <v>2</v>
      </c>
      <c r="JM8" s="164" t="str">
        <f t="shared" si="73"/>
        <v>C</v>
      </c>
      <c r="JN8" s="163">
        <f>IF(COUNT(IX8,JD8,JL8)=0,"",SUM(IX8,JD8,JL8)/COUNT(IX8,JD8,JL8))</f>
        <v>2</v>
      </c>
      <c r="JO8" s="187" t="str">
        <f t="shared" si="74"/>
        <v>C</v>
      </c>
      <c r="JP8" s="103"/>
      <c r="JQ8" s="104"/>
      <c r="JR8" s="105"/>
      <c r="JS8" s="163" t="str">
        <f>IFERROR((((COUNTIF('Elève (3ème3)'!JP8:JR8,"A"))*4)+((COUNTIF('Elève (3ème3)'!JP8:JR8,"B"))*3)+((COUNTIF('Elève (3ème3)'!JP8:JR8,"C"))*2)+((COUNTIF('Elève (3ème3)'!JP8:JR8,"D"))*1))/(COUNTA(JP8:JR8)),"")</f>
        <v/>
      </c>
      <c r="JT8" s="164" t="str">
        <f t="shared" si="75"/>
        <v/>
      </c>
      <c r="JU8" s="103"/>
      <c r="JV8" s="104"/>
      <c r="JW8" s="105"/>
      <c r="JX8" s="105"/>
      <c r="JY8" s="163" t="str">
        <f>IFERROR((((COUNTIF('Elève (3ème3)'!JU8:JX8,"A"))*4)+((COUNTIF('Elève (3ème3)'!JU8:JX8,"B"))*3)+((COUNTIF('Elève (3ème3)'!JU8:JX8,"C"))*2)+((COUNTIF('Elève (3ème3)'!JU8:JX8,"D"))*1))/(COUNTA(JU8:JX8)),"")</f>
        <v/>
      </c>
      <c r="JZ8" s="164" t="str">
        <f t="shared" si="76"/>
        <v/>
      </c>
      <c r="KA8" s="103"/>
      <c r="KB8" s="104" t="s">
        <v>29</v>
      </c>
      <c r="KC8" s="105" t="s">
        <v>30</v>
      </c>
      <c r="KD8" s="105"/>
      <c r="KE8" s="105"/>
      <c r="KF8" s="109"/>
      <c r="KG8" s="163">
        <f>IFERROR((((COUNTIF('Elève (3ème3)'!KA8:KF8,"A"))*4)+((COUNTIF('Elève (3ème3)'!KA8:KF8,"B"))*3)+((COUNTIF('Elève (3ème3)'!KA8:KF8,"C"))*2)+((COUNTIF('Elève (3ème3)'!KA8:KF8,"D"))*1))/(COUNTA(KA8:KF8)),"")</f>
        <v>1.5</v>
      </c>
      <c r="KH8" s="164" t="str">
        <f t="shared" si="77"/>
        <v>D</v>
      </c>
      <c r="KI8" s="163">
        <f>IF(COUNT(JS8,JY8,KG8)=0,"",SUM(JS8,JY8,KG8)/COUNT(JS8,JY8,KG8))</f>
        <v>1.5</v>
      </c>
      <c r="KJ8" s="187" t="str">
        <f t="shared" si="78"/>
        <v>D</v>
      </c>
      <c r="KK8" s="103"/>
      <c r="KL8" s="104"/>
      <c r="KM8" s="105"/>
      <c r="KN8" s="163" t="str">
        <f>IFERROR((((COUNTIF('Elève (3ème3)'!KK8:KM8,"A"))*4)+((COUNTIF('Elève (3ème3)'!KK8:KM8,"B"))*3)+((COUNTIF('Elève (3ème3)'!KK8:KM8,"C"))*2)+((COUNTIF('Elève (3ème3)'!KK8:KM8,"D"))*1))/(COUNTA(KK8:KM8)),"")</f>
        <v/>
      </c>
      <c r="KO8" s="164" t="str">
        <f t="shared" si="79"/>
        <v/>
      </c>
      <c r="KP8" s="103"/>
      <c r="KQ8" s="104"/>
      <c r="KR8" s="105"/>
      <c r="KS8" s="105"/>
      <c r="KT8" s="163" t="str">
        <f>IFERROR((((COUNTIF('Elève (3ème3)'!KP8:KS8,"A"))*4)+((COUNTIF('Elève (3ème3)'!KP8:KS8,"B"))*3)+((COUNTIF('Elève (3ème3)'!KP8:KS8,"C"))*2)+((COUNTIF('Elève (3ème3)'!KP8:KS8,"D"))*1))/(COUNTA(KP8:KS8)),"")</f>
        <v/>
      </c>
      <c r="KU8" s="164" t="str">
        <f t="shared" si="80"/>
        <v/>
      </c>
      <c r="KV8" s="103"/>
      <c r="KW8" s="104" t="s">
        <v>30</v>
      </c>
      <c r="KX8" s="105" t="s">
        <v>28</v>
      </c>
      <c r="KY8" s="105"/>
      <c r="KZ8" s="105"/>
      <c r="LA8" s="109"/>
      <c r="LB8" s="163">
        <f>IFERROR((((COUNTIF('Elève (3ème3)'!KV8:LA8,"A"))*4)+((COUNTIF('Elève (3ème3)'!KV8:LA8,"B"))*3)+((COUNTIF('Elève (3ème3)'!KV8:LA8,"C"))*2)+((COUNTIF('Elève (3ème3)'!KV8:LA8,"D"))*1))/(COUNTA(KV8:LA8)),"")</f>
        <v>2</v>
      </c>
      <c r="LC8" s="164" t="str">
        <f t="shared" si="81"/>
        <v>C</v>
      </c>
      <c r="LD8" s="163">
        <f>IF(COUNT(KN8,KT8,LB8)=0,"",SUM(KN8,KT8,LB8)/COUNT(KN8,KT8,LB8))</f>
        <v>2</v>
      </c>
      <c r="LE8" s="187" t="str">
        <f t="shared" si="82"/>
        <v>C</v>
      </c>
      <c r="LF8" s="103"/>
      <c r="LG8" s="104"/>
      <c r="LH8" s="105"/>
      <c r="LI8" s="163" t="str">
        <f>IFERROR((((COUNTIF('Elève (3ème3)'!LF8:LH8,"A"))*4)+((COUNTIF('Elève (3ème3)'!LF8:LH8,"B"))*3)+((COUNTIF('Elève (3ème3)'!LF8:LH8,"C"))*2)+((COUNTIF('Elève (3ème3)'!LF8:LH8,"D"))*1))/(COUNTA(LF8:LH8)),"")</f>
        <v/>
      </c>
      <c r="LJ8" s="164" t="str">
        <f t="shared" si="83"/>
        <v/>
      </c>
      <c r="LK8" s="103"/>
      <c r="LL8" s="104"/>
      <c r="LM8" s="105"/>
      <c r="LN8" s="105"/>
      <c r="LO8" s="163" t="str">
        <f>IFERROR((((COUNTIF('Elève (3ème3)'!LK8:LN8,"A"))*4)+((COUNTIF('Elève (3ème3)'!LK8:LN8,"B"))*3)+((COUNTIF('Elève (3ème3)'!LK8:LN8,"C"))*2)+((COUNTIF('Elève (3ème3)'!LK8:LN8,"D"))*1))/(COUNTA(LK8:LN8)),"")</f>
        <v/>
      </c>
      <c r="LP8" s="164" t="str">
        <f t="shared" si="84"/>
        <v/>
      </c>
      <c r="LQ8" s="103"/>
      <c r="LR8" s="104" t="s">
        <v>30</v>
      </c>
      <c r="LS8" s="105" t="s">
        <v>28</v>
      </c>
      <c r="LT8" s="105"/>
      <c r="LU8" s="105"/>
      <c r="LV8" s="109"/>
      <c r="LW8" s="163">
        <f>IFERROR((((COUNTIF('Elève (3ème3)'!LQ8:LV8,"A"))*4)+((COUNTIF('Elève (3ème3)'!LQ8:LV8,"B"))*3)+((COUNTIF('Elève (3ème3)'!LQ8:LV8,"C"))*2)+((COUNTIF('Elève (3ème3)'!LQ8:LV8,"D"))*1))/(COUNTA(LQ8:LV8)),"")</f>
        <v>2</v>
      </c>
      <c r="LX8" s="164" t="str">
        <f t="shared" si="85"/>
        <v>C</v>
      </c>
      <c r="LY8" s="163">
        <f>IF(COUNT(LI8,LO8,LW8)=0,"",SUM(LI8,LO8,LW8)/COUNT(LI8,LO8,LW8))</f>
        <v>2</v>
      </c>
      <c r="LZ8" s="187" t="str">
        <f t="shared" si="86"/>
        <v>C</v>
      </c>
      <c r="MA8" s="103"/>
      <c r="MB8" s="104"/>
      <c r="MC8" s="105"/>
      <c r="MD8" s="163" t="str">
        <f>IFERROR((((COUNTIF('Elève (3ème3)'!MA8:MC8,"A"))*4)+((COUNTIF('Elève (3ème3)'!MA8:MC8,"B"))*3)+((COUNTIF('Elève (3ème3)'!MA8:MC8,"C"))*2)+((COUNTIF('Elève (3ème3)'!MA8:MC8,"D"))*1))/(COUNTA(MA8:MC8)),"")</f>
        <v/>
      </c>
      <c r="ME8" s="164" t="str">
        <f t="shared" si="87"/>
        <v/>
      </c>
      <c r="MF8" s="103"/>
      <c r="MG8" s="104"/>
      <c r="MH8" s="105"/>
      <c r="MI8" s="105"/>
      <c r="MJ8" s="163" t="str">
        <f>IFERROR((((COUNTIF('Elève (3ème3)'!MF8:MI8,"A"))*4)+((COUNTIF('Elève (3ème3)'!MF8:MI8,"B"))*3)+((COUNTIF('Elève (3ème3)'!MF8:MI8,"C"))*2)+((COUNTIF('Elève (3ème3)'!MF8:MI8,"D"))*1))/(COUNTA(MF8:MI8)),"")</f>
        <v/>
      </c>
      <c r="MK8" s="164" t="str">
        <f t="shared" si="88"/>
        <v/>
      </c>
      <c r="ML8" s="103"/>
      <c r="MM8" s="104" t="s">
        <v>30</v>
      </c>
      <c r="MN8" s="105" t="s">
        <v>29</v>
      </c>
      <c r="MO8" s="105"/>
      <c r="MP8" s="105"/>
      <c r="MQ8" s="109"/>
      <c r="MR8" s="163">
        <f>IFERROR((((COUNTIF('Elève (3ème3)'!ML8:MQ8,"A"))*4)+((COUNTIF('Elève (3ème3)'!ML8:MQ8,"B"))*3)+((COUNTIF('Elève (3ème3)'!ML8:MQ8,"C"))*2)+((COUNTIF('Elève (3ème3)'!ML8:MQ8,"D"))*1))/(COUNTA(ML8:MQ8)),"")</f>
        <v>1.5</v>
      </c>
      <c r="MS8" s="164" t="str">
        <f t="shared" si="89"/>
        <v>D</v>
      </c>
      <c r="MT8" s="163">
        <f>IF(COUNT(MD8,MJ8,MR8)=0,"",SUM(MD8,MJ8,MR8)/COUNT(MD8,MJ8,MR8))</f>
        <v>1.5</v>
      </c>
      <c r="MU8" s="187" t="str">
        <f t="shared" si="90"/>
        <v>D</v>
      </c>
      <c r="MV8" s="103"/>
      <c r="MW8" s="104"/>
      <c r="MX8" s="105"/>
      <c r="MY8" s="163" t="str">
        <f>IFERROR((((COUNTIF('Elève (3ème3)'!MV8:MX8,"A"))*4)+((COUNTIF('Elève (3ème3)'!MV8:MX8,"B"))*3)+((COUNTIF('Elève (3ème3)'!MV8:MX8,"C"))*2)+((COUNTIF('Elève (3ème3)'!MV8:MX8,"D"))*1))/(COUNTA(MV8:MX8)),"")</f>
        <v/>
      </c>
      <c r="MZ8" s="164" t="str">
        <f t="shared" si="91"/>
        <v/>
      </c>
      <c r="NA8" s="103"/>
      <c r="NB8" s="104"/>
      <c r="NC8" s="105"/>
      <c r="ND8" s="105"/>
      <c r="NE8" s="163" t="str">
        <f>IFERROR((((COUNTIF('Elève (3ème3)'!NA8:ND8,"A"))*4)+((COUNTIF('Elève (3ème3)'!NA8:ND8,"B"))*3)+((COUNTIF('Elève (3ème3)'!NA8:ND8,"C"))*2)+((COUNTIF('Elève (3ème3)'!NA8:ND8,"D"))*1))/(COUNTA(NA8:ND8)),"")</f>
        <v/>
      </c>
      <c r="NF8" s="164" t="str">
        <f t="shared" si="92"/>
        <v/>
      </c>
      <c r="NG8" s="103"/>
      <c r="NH8" s="104" t="s">
        <v>29</v>
      </c>
      <c r="NI8" s="105" t="s">
        <v>29</v>
      </c>
      <c r="NJ8" s="105"/>
      <c r="NK8" s="105"/>
      <c r="NL8" s="109"/>
      <c r="NM8" s="163">
        <f>IFERROR((((COUNTIF('Elève (3ème3)'!NG8:NL8,"A"))*4)+((COUNTIF('Elève (3ème3)'!NG8:NL8,"B"))*3)+((COUNTIF('Elève (3ème3)'!NG8:NL8,"C"))*2)+((COUNTIF('Elève (3ème3)'!NG8:NL8,"D"))*1))/(COUNTA(NG8:NL8)),"")</f>
        <v>2</v>
      </c>
      <c r="NN8" s="164" t="str">
        <f t="shared" si="93"/>
        <v>C</v>
      </c>
      <c r="NO8" s="163">
        <f>IF(COUNT(MY8,NE8,NM8)=0,"",SUM(MY8,NE8,NM8)/COUNT(MY8,NE8,NM8))</f>
        <v>2</v>
      </c>
      <c r="NP8" s="187" t="str">
        <f t="shared" si="94"/>
        <v>C</v>
      </c>
      <c r="NQ8" s="103"/>
      <c r="NR8" s="104"/>
      <c r="NS8" s="105"/>
      <c r="NT8" s="163" t="str">
        <f>IFERROR((((COUNTIF('Elève (3ème3)'!NQ8:NS8,"A"))*4)+((COUNTIF('Elève (3ème3)'!NQ8:NS8,"B"))*3)+((COUNTIF('Elève (3ème3)'!NQ8:NS8,"C"))*2)+((COUNTIF('Elève (3ème3)'!NQ8:NS8,"D"))*1))/(COUNTA(NQ8:NS8)),"")</f>
        <v/>
      </c>
      <c r="NU8" s="164" t="str">
        <f t="shared" si="95"/>
        <v/>
      </c>
      <c r="NV8" s="103"/>
      <c r="NW8" s="104"/>
      <c r="NX8" s="105"/>
      <c r="NY8" s="105"/>
      <c r="NZ8" s="163" t="str">
        <f>IFERROR((((COUNTIF('Elève (3ème3)'!NV8:NY8,"A"))*4)+((COUNTIF('Elève (3ème3)'!NV8:NY8,"B"))*3)+((COUNTIF('Elève (3ème3)'!NV8:NY8,"C"))*2)+((COUNTIF('Elève (3ème3)'!NV8:NY8,"D"))*1))/(COUNTA(NV8:NY8)),"")</f>
        <v/>
      </c>
      <c r="OA8" s="164" t="str">
        <f t="shared" si="96"/>
        <v/>
      </c>
      <c r="OB8" s="103"/>
      <c r="OC8" s="104" t="s">
        <v>30</v>
      </c>
      <c r="OD8" s="105" t="s">
        <v>28</v>
      </c>
      <c r="OE8" s="105"/>
      <c r="OF8" s="105"/>
      <c r="OG8" s="109"/>
      <c r="OH8" s="163">
        <f>IFERROR((((COUNTIF('Elève (3ème3)'!OB8:OG8,"A"))*4)+((COUNTIF('Elève (3ème3)'!OB8:OG8,"B"))*3)+((COUNTIF('Elève (3ème3)'!OB8:OG8,"C"))*2)+((COUNTIF('Elève (3ème3)'!OB8:OG8,"D"))*1))/(COUNTA(OB8:OG8)),"")</f>
        <v>2</v>
      </c>
      <c r="OI8" s="164" t="str">
        <f t="shared" si="97"/>
        <v>C</v>
      </c>
      <c r="OJ8" s="163">
        <f>IF(COUNT(NT8,NZ8,OH8)=0,"",SUM(NT8,NZ8,OH8)/COUNT(NT8,NZ8,OH8))</f>
        <v>2</v>
      </c>
      <c r="OK8" s="187" t="str">
        <f t="shared" si="98"/>
        <v>C</v>
      </c>
      <c r="OL8" s="103"/>
      <c r="OM8" s="104"/>
      <c r="ON8" s="105"/>
      <c r="OO8" s="163" t="str">
        <f>IFERROR((((COUNTIF('Elève (3ème3)'!OL8:ON8,"A"))*4)+((COUNTIF('Elève (3ème3)'!OL8:ON8,"B"))*3)+((COUNTIF('Elève (3ème3)'!OL8:ON8,"C"))*2)+((COUNTIF('Elève (3ème3)'!OL8:ON8,"D"))*1))/(COUNTA(OL8:ON8)),"")</f>
        <v/>
      </c>
      <c r="OP8" s="164" t="str">
        <f t="shared" si="99"/>
        <v/>
      </c>
      <c r="OQ8" s="103"/>
      <c r="OR8" s="104"/>
      <c r="OS8" s="105"/>
      <c r="OT8" s="105"/>
      <c r="OU8" s="163" t="str">
        <f>IFERROR((((COUNTIF('Elève (3ème3)'!OQ8:OT8,"A"))*4)+((COUNTIF('Elève (3ème3)'!OQ8:OT8,"B"))*3)+((COUNTIF('Elève (3ème3)'!OQ8:OT8,"C"))*2)+((COUNTIF('Elève (3ème3)'!OQ8:OT8,"D"))*1))/(COUNTA(OQ8:OT8)),"")</f>
        <v/>
      </c>
      <c r="OV8" s="164" t="str">
        <f t="shared" si="100"/>
        <v/>
      </c>
      <c r="OW8" s="103"/>
      <c r="OX8" s="104" t="s">
        <v>28</v>
      </c>
      <c r="OY8" s="105" t="s">
        <v>28</v>
      </c>
      <c r="OZ8" s="105"/>
      <c r="PA8" s="105"/>
      <c r="PB8" s="109"/>
      <c r="PC8" s="163">
        <f>IFERROR((((COUNTIF('Elève (3ème3)'!OW8:PB8,"A"))*4)+((COUNTIF('Elève (3ème3)'!OW8:PB8,"B"))*3)+((COUNTIF('Elève (3ème3)'!OW8:PB8,"C"))*2)+((COUNTIF('Elève (3ème3)'!OW8:PB8,"D"))*1))/(COUNTA(OW8:PB8)),"")</f>
        <v>3</v>
      </c>
      <c r="PD8" s="164" t="str">
        <f t="shared" si="101"/>
        <v>B</v>
      </c>
      <c r="PE8" s="163">
        <f>IF(COUNT(OO8,OU8,PC8)=0,"",SUM(OO8,OU8,PC8)/COUNT(OO8,OU8,PC8))</f>
        <v>3</v>
      </c>
      <c r="PF8" s="187" t="str">
        <f t="shared" si="102"/>
        <v>B</v>
      </c>
      <c r="PG8" s="103"/>
      <c r="PH8" s="104"/>
      <c r="PI8" s="105"/>
      <c r="PJ8" s="163" t="str">
        <f>IFERROR((((COUNTIF('Elève (3ème3)'!PG8:PI8,"A"))*4)+((COUNTIF('Elève (3ème3)'!PG8:PI8,"B"))*3)+((COUNTIF('Elève (3ème3)'!PG8:PI8,"C"))*2)+((COUNTIF('Elève (3ème3)'!PG8:PI8,"D"))*1))/(COUNTA(PG8:PI8)),"")</f>
        <v/>
      </c>
      <c r="PK8" s="164" t="str">
        <f t="shared" si="103"/>
        <v/>
      </c>
      <c r="PL8" s="103"/>
      <c r="PM8" s="104"/>
      <c r="PN8" s="105"/>
      <c r="PO8" s="105"/>
      <c r="PP8" s="163" t="str">
        <f>IFERROR((((COUNTIF('Elève (3ème3)'!PL8:PO8,"A"))*4)+((COUNTIF('Elève (3ème3)'!PL8:PO8,"B"))*3)+((COUNTIF('Elève (3ème3)'!PL8:PO8,"C"))*2)+((COUNTIF('Elève (3ème3)'!PL8:PO8,"D"))*1))/(COUNTA(PL8:PO8)),"")</f>
        <v/>
      </c>
      <c r="PQ8" s="164" t="str">
        <f t="shared" si="104"/>
        <v/>
      </c>
      <c r="PR8" s="103"/>
      <c r="PS8" s="104" t="s">
        <v>30</v>
      </c>
      <c r="PT8" s="105" t="s">
        <v>29</v>
      </c>
      <c r="PU8" s="105"/>
      <c r="PV8" s="105"/>
      <c r="PW8" s="109"/>
      <c r="PX8" s="163">
        <f>IFERROR((((COUNTIF('Elève (3ème3)'!PR8:PW8,"A"))*4)+((COUNTIF('Elève (3ème3)'!PR8:PW8,"B"))*3)+((COUNTIF('Elève (3ème3)'!PR8:PW8,"C"))*2)+((COUNTIF('Elève (3ème3)'!PR8:PW8,"D"))*1))/(COUNTA(PR8:PW8)),"")</f>
        <v>1.5</v>
      </c>
      <c r="PY8" s="164" t="str">
        <f t="shared" si="105"/>
        <v>D</v>
      </c>
      <c r="PZ8" s="163">
        <f>IF(COUNT(PJ8,PP8,PX8)=0,"",SUM(PJ8,PP8,PX8)/COUNT(PJ8,PP8,PX8))</f>
        <v>1.5</v>
      </c>
      <c r="QA8" s="187" t="str">
        <f t="shared" si="106"/>
        <v>D</v>
      </c>
      <c r="QB8" s="103"/>
      <c r="QC8" s="104"/>
      <c r="QD8" s="105"/>
      <c r="QE8" s="163" t="str">
        <f>IFERROR((((COUNTIF('Elève (3ème3)'!QB8:QD8,"A"))*4)+((COUNTIF('Elève (3ème3)'!QB8:QD8,"B"))*3)+((COUNTIF('Elève (3ème3)'!QB8:QD8,"C"))*2)+((COUNTIF('Elève (3ème3)'!QB8:QD8,"D"))*1))/(COUNTA(QB8:QD8)),"")</f>
        <v/>
      </c>
      <c r="QF8" s="164" t="str">
        <f t="shared" si="107"/>
        <v/>
      </c>
      <c r="QG8" s="103"/>
      <c r="QH8" s="104"/>
      <c r="QI8" s="105"/>
      <c r="QJ8" s="105"/>
      <c r="QK8" s="163" t="str">
        <f>IFERROR((((COUNTIF('Elève (3ème3)'!QG8:QJ8,"A"))*4)+((COUNTIF('Elève (3ème3)'!QG8:QJ8,"B"))*3)+((COUNTIF('Elève (3ème3)'!QG8:QJ8,"C"))*2)+((COUNTIF('Elève (3ème3)'!QG8:QJ8,"D"))*1))/(COUNTA(QG8:QJ8)),"")</f>
        <v/>
      </c>
      <c r="QL8" s="164" t="str">
        <f t="shared" si="108"/>
        <v/>
      </c>
      <c r="QM8" s="103"/>
      <c r="QN8" s="104" t="s">
        <v>27</v>
      </c>
      <c r="QO8" s="105" t="s">
        <v>28</v>
      </c>
      <c r="QP8" s="105"/>
      <c r="QQ8" s="105"/>
      <c r="QR8" s="109"/>
      <c r="QS8" s="163">
        <f>IFERROR((((COUNTIF('Elève (3ème3)'!QM8:QR8,"A"))*4)+((COUNTIF('Elève (3ème3)'!QM8:QR8,"B"))*3)+((COUNTIF('Elève (3ème3)'!QM8:QR8,"C"))*2)+((COUNTIF('Elève (3ème3)'!QM8:QR8,"D"))*1))/(COUNTA(QM8:QR8)),"")</f>
        <v>3.5</v>
      </c>
      <c r="QT8" s="164" t="str">
        <f t="shared" si="109"/>
        <v>B</v>
      </c>
      <c r="QU8" s="163">
        <f>IF(COUNT(QE8,QK8,QS8)=0,"",SUM(QE8,QK8,QS8)/COUNT(QE8,QK8,QS8))</f>
        <v>3.5</v>
      </c>
      <c r="QV8" s="187" t="str">
        <f t="shared" si="110"/>
        <v>B</v>
      </c>
      <c r="QW8" s="103"/>
      <c r="QX8" s="104"/>
      <c r="QY8" s="105"/>
      <c r="QZ8" s="163" t="str">
        <f>IFERROR((((COUNTIF('Elève (3ème3)'!QW8:QY8,"A"))*4)+((COUNTIF('Elève (3ème3)'!QW8:QY8,"B"))*3)+((COUNTIF('Elève (3ème3)'!QW8:QY8,"C"))*2)+((COUNTIF('Elève (3ème3)'!QW8:QY8,"D"))*1))/(COUNTA(QW8:QY8)),"")</f>
        <v/>
      </c>
      <c r="RA8" s="164" t="str">
        <f t="shared" si="111"/>
        <v/>
      </c>
      <c r="RB8" s="103"/>
      <c r="RC8" s="104"/>
      <c r="RD8" s="105"/>
      <c r="RE8" s="105"/>
      <c r="RF8" s="163" t="str">
        <f>IFERROR((((COUNTIF('Elève (3ème3)'!RB8:RE8,"A"))*4)+((COUNTIF('Elève (3ème3)'!RB8:RE8,"B"))*3)+((COUNTIF('Elève (3ème3)'!RB8:RE8,"C"))*2)+((COUNTIF('Elève (3ème3)'!RB8:RE8,"D"))*1))/(COUNTA(RB8:RE8)),"")</f>
        <v/>
      </c>
      <c r="RG8" s="164" t="str">
        <f t="shared" si="112"/>
        <v/>
      </c>
      <c r="RH8" s="103"/>
      <c r="RI8" s="104" t="s">
        <v>30</v>
      </c>
      <c r="RJ8" s="105" t="s">
        <v>28</v>
      </c>
      <c r="RK8" s="105"/>
      <c r="RL8" s="105"/>
      <c r="RM8" s="109"/>
      <c r="RN8" s="163">
        <f>IFERROR((((COUNTIF('Elève (3ème3)'!RH8:RM8,"A"))*4)+((COUNTIF('Elève (3ème3)'!RH8:RM8,"B"))*3)+((COUNTIF('Elève (3ème3)'!RH8:RM8,"C"))*2)+((COUNTIF('Elève (3ème3)'!RH8:RM8,"D"))*1))/(COUNTA(RH8:RM8)),"")</f>
        <v>2</v>
      </c>
      <c r="RO8" s="164" t="str">
        <f t="shared" si="113"/>
        <v>C</v>
      </c>
      <c r="RP8" s="163">
        <f>IF(COUNT(QZ8,RF8,RN8)=0,"",SUM(QZ8,RF8,RN8)/COUNT(QZ8,RF8,RN8))</f>
        <v>2</v>
      </c>
      <c r="RQ8" s="187" t="str">
        <f t="shared" si="114"/>
        <v>C</v>
      </c>
      <c r="RR8" s="103"/>
      <c r="RS8" s="104"/>
      <c r="RT8" s="105"/>
      <c r="RU8" s="163" t="str">
        <f>IFERROR((((COUNTIF('Elève (3ème3)'!RR8:RT8,"A"))*4)+((COUNTIF('Elève (3ème3)'!RR8:RT8,"B"))*3)+((COUNTIF('Elève (3ème3)'!RR8:RT8,"C"))*2)+((COUNTIF('Elève (3ème3)'!RR8:RT8,"D"))*1))/(COUNTA(RR8:RT8)),"")</f>
        <v/>
      </c>
      <c r="RV8" s="164" t="str">
        <f t="shared" si="115"/>
        <v/>
      </c>
      <c r="RW8" s="103"/>
      <c r="RX8" s="104"/>
      <c r="RY8" s="105"/>
      <c r="RZ8" s="105"/>
      <c r="SA8" s="163" t="str">
        <f>IFERROR((((COUNTIF('Elève (3ème3)'!RW8:RZ8,"A"))*4)+((COUNTIF('Elève (3ème3)'!RW8:RZ8,"B"))*3)+((COUNTIF('Elève (3ème3)'!RW8:RZ8,"C"))*2)+((COUNTIF('Elève (3ème3)'!RW8:RZ8,"D"))*1))/(COUNTA(RW8:RZ8)),"")</f>
        <v/>
      </c>
      <c r="SB8" s="164" t="str">
        <f t="shared" si="116"/>
        <v/>
      </c>
      <c r="SC8" s="103"/>
      <c r="SD8" s="104" t="s">
        <v>29</v>
      </c>
      <c r="SE8" s="105" t="s">
        <v>30</v>
      </c>
      <c r="SF8" s="105"/>
      <c r="SG8" s="105"/>
      <c r="SH8" s="109"/>
      <c r="SI8" s="163">
        <f>IFERROR((((COUNTIF('Elève (3ème3)'!SC8:SH8,"A"))*4)+((COUNTIF('Elève (3ème3)'!SC8:SH8,"B"))*3)+((COUNTIF('Elève (3ème3)'!SC8:SH8,"C"))*2)+((COUNTIF('Elève (3ème3)'!SC8:SH8,"D"))*1))/(COUNTA(SC8:SH8)),"")</f>
        <v>1.5</v>
      </c>
      <c r="SJ8" s="164" t="str">
        <f t="shared" si="117"/>
        <v>D</v>
      </c>
      <c r="SK8" s="163">
        <f>IF(COUNT(RU8,SA8,SI8)=0,"",SUM(RU8,SA8,SI8)/COUNT(RU8,SA8,SI8))</f>
        <v>1.5</v>
      </c>
      <c r="SL8" s="187" t="str">
        <f t="shared" si="118"/>
        <v>D</v>
      </c>
      <c r="SM8" s="103"/>
      <c r="SN8" s="104"/>
      <c r="SO8" s="105"/>
      <c r="SP8" s="106" t="str">
        <f>IFERROR((((COUNTIF('Elève (3ème3)'!SM8:SO8,"A"))*4)+((COUNTIF('Elève (3ème3)'!SM8:SO8,"B"))*3)+((COUNTIF('Elève (3ème3)'!SM8:SO8,"C"))*2)+((COUNTIF('Elève (3ème3)'!SM8:SO8,"D"))*1))/(COUNTA(SM8:SO8)),"")</f>
        <v/>
      </c>
      <c r="SQ8" s="107" t="str">
        <f t="shared" si="119"/>
        <v/>
      </c>
      <c r="SR8" s="103"/>
      <c r="SS8" s="104"/>
      <c r="ST8" s="105"/>
      <c r="SU8" s="106" t="str">
        <f>IFERROR((((COUNTIF('Elève (3ème3)'!SR8:ST8,"A"))*4)+((COUNTIF('Elève (3ème3)'!SR8:ST8,"B"))*3)+((COUNTIF('Elève (3ème3)'!SR8:ST8,"C"))*2)+((COUNTIF('Elève (3ème3)'!SR8:ST8,"D"))*1))/(COUNTA(SR8:ST8)),"")</f>
        <v/>
      </c>
      <c r="SV8" s="107" t="str">
        <f t="shared" si="120"/>
        <v/>
      </c>
      <c r="SW8" s="103"/>
      <c r="SX8" s="104"/>
      <c r="SY8" s="109"/>
      <c r="SZ8" s="106" t="str">
        <f>IFERROR((((COUNTIF('Elève (3ème3)'!SW8:SY8,"A"))*4)+((COUNTIF('Elève (3ème3)'!SW8:SY8,"B"))*3)+((COUNTIF('Elève (3ème3)'!SW8:SY8,"C"))*2)+((COUNTIF('Elève (3ème3)'!SW8:SY8,"D"))*1))/(COUNTA(SW8:SY8)),"")</f>
        <v/>
      </c>
      <c r="TA8" s="107" t="str">
        <f t="shared" si="121"/>
        <v/>
      </c>
      <c r="TB8" s="106" t="str">
        <f>IF(COUNT(SP8,SU8,SZ8)=0,"",SUM(SP8,SU8,SZ8)/COUNT(SP8,SU8,SZ8))</f>
        <v/>
      </c>
      <c r="TC8" s="108" t="str">
        <f t="shared" si="122"/>
        <v/>
      </c>
      <c r="TD8" s="103"/>
      <c r="TE8" s="104"/>
      <c r="TF8" s="105"/>
      <c r="TG8" s="106" t="str">
        <f>IFERROR((((COUNTIF('Elève (3ème3)'!TD8:TF8,"A"))*4)+((COUNTIF('Elève (3ème3)'!TD8:TF8,"B"))*3)+((COUNTIF('Elève (3ème3)'!TD8:TF8,"C"))*2)+((COUNTIF('Elève (3ème3)'!TD8:TF8,"D"))*1))/(COUNTA(TD8:TF8)),"")</f>
        <v/>
      </c>
      <c r="TH8" s="107" t="str">
        <f t="shared" si="123"/>
        <v/>
      </c>
      <c r="TI8" s="103"/>
      <c r="TJ8" s="104"/>
      <c r="TK8" s="105"/>
      <c r="TL8" s="106" t="str">
        <f>IFERROR((((COUNTIF('Elève (3ème3)'!TI8:TK8,"A"))*4)+((COUNTIF('Elève (3ème3)'!TI8:TK8,"B"))*3)+((COUNTIF('Elève (3ème3)'!TI8:TK8,"C"))*2)+((COUNTIF('Elève (3ème3)'!TI8:TK8,"D"))*1))/(COUNTA(TI8:TK8)),"")</f>
        <v/>
      </c>
      <c r="TM8" s="107" t="str">
        <f t="shared" si="124"/>
        <v/>
      </c>
      <c r="TN8" s="103"/>
      <c r="TO8" s="104"/>
      <c r="TP8" s="109"/>
      <c r="TQ8" s="106" t="str">
        <f>IFERROR((((COUNTIF('Elève (3ème3)'!TN8:TP8,"A"))*4)+((COUNTIF('Elève (3ème3)'!TN8:TP8,"B"))*3)+((COUNTIF('Elève (3ème3)'!TN8:TP8,"C"))*2)+((COUNTIF('Elève (3ème3)'!TN8:TP8,"D"))*1))/(COUNTA(TN8:TP8)),"")</f>
        <v/>
      </c>
      <c r="TR8" s="107" t="str">
        <f t="shared" si="125"/>
        <v/>
      </c>
      <c r="TS8" s="106" t="str">
        <f>IF(COUNT(TG8,TL8,TQ8)=0,"",SUM(TG8,TL8,TQ8)/COUNT(TG8,TL8,TQ8))</f>
        <v/>
      </c>
      <c r="TT8" s="108" t="str">
        <f t="shared" si="126"/>
        <v/>
      </c>
      <c r="TU8" s="103"/>
      <c r="TV8" s="104"/>
      <c r="TW8" s="105"/>
      <c r="TX8" s="106" t="str">
        <f>IFERROR((((COUNTIF('Elève (3ème3)'!TU8:TW8,"A"))*4)+((COUNTIF('Elève (3ème3)'!TU8:TW8,"B"))*3)+((COUNTIF('Elève (3ème3)'!TU8:TW8,"C"))*2)+((COUNTIF('Elève (3ème3)'!TU8:TW8,"D"))*1))/(COUNTA(TU8:TW8)),"")</f>
        <v/>
      </c>
      <c r="TY8" s="107" t="str">
        <f t="shared" si="127"/>
        <v/>
      </c>
      <c r="TZ8" s="103"/>
      <c r="UA8" s="104"/>
      <c r="UB8" s="105"/>
      <c r="UC8" s="106" t="str">
        <f>IFERROR((((COUNTIF('Elève (3ème3)'!TZ8:UB8,"A"))*4)+((COUNTIF('Elève (3ème3)'!TZ8:UB8,"B"))*3)+((COUNTIF('Elève (3ème3)'!TZ8:UB8,"C"))*2)+((COUNTIF('Elève (3ème3)'!TZ8:UB8,"D"))*1))/(COUNTA(TZ8:UB8)),"")</f>
        <v/>
      </c>
      <c r="UD8" s="107" t="str">
        <f t="shared" si="128"/>
        <v/>
      </c>
      <c r="UE8" s="103"/>
      <c r="UF8" s="104"/>
      <c r="UG8" s="109"/>
      <c r="UH8" s="106" t="str">
        <f>IFERROR((((COUNTIF('Elève (3ème3)'!UE8:UG8,"A"))*4)+((COUNTIF('Elève (3ème3)'!UE8:UG8,"B"))*3)+((COUNTIF('Elève (3ème3)'!UE8:UG8,"C"))*2)+((COUNTIF('Elève (3ème3)'!UE8:UG8,"D"))*1))/(COUNTA(UE8:UG8)),"")</f>
        <v/>
      </c>
      <c r="UI8" s="107" t="str">
        <f t="shared" si="129"/>
        <v/>
      </c>
      <c r="UJ8" s="106" t="str">
        <f>IF(COUNT(TX8,UC8,UH8)=0,"",SUM(TX8,UC8,UH8)/COUNT(TX8,UC8,UH8))</f>
        <v/>
      </c>
      <c r="UK8" s="108" t="str">
        <f t="shared" si="130"/>
        <v/>
      </c>
      <c r="UL8" s="103"/>
      <c r="UM8" s="104"/>
      <c r="UN8" s="105"/>
      <c r="UO8" s="106" t="str">
        <f>IFERROR((((COUNTIF('Elève (3ème3)'!UL8:UN8,"A"))*4)+((COUNTIF('Elève (3ème3)'!UL8:UN8,"B"))*3)+((COUNTIF('Elève (3ème3)'!UL8:UN8,"C"))*2)+((COUNTIF('Elève (3ème3)'!UL8:UN8,"D"))*1))/(COUNTA(UL8:UN8)),"")</f>
        <v/>
      </c>
      <c r="UP8" s="107" t="str">
        <f t="shared" si="131"/>
        <v/>
      </c>
      <c r="UQ8" s="103"/>
      <c r="UR8" s="104"/>
      <c r="US8" s="105"/>
      <c r="UT8" s="106" t="str">
        <f>IFERROR((((COUNTIF('Elève (3ème3)'!UQ8:US8,"A"))*4)+((COUNTIF('Elève (3ème3)'!UQ8:US8,"B"))*3)+((COUNTIF('Elève (3ème3)'!UQ8:US8,"C"))*2)+((COUNTIF('Elève (3ème3)'!UQ8:US8,"D"))*1))/(COUNTA(UQ8:US8)),"")</f>
        <v/>
      </c>
      <c r="UU8" s="107" t="str">
        <f t="shared" si="132"/>
        <v/>
      </c>
      <c r="UV8" s="103"/>
      <c r="UW8" s="104"/>
      <c r="UX8" s="109"/>
      <c r="UY8" s="106" t="str">
        <f>IFERROR((((COUNTIF('Elève (3ème3)'!UV8:UX8,"A"))*4)+((COUNTIF('Elève (3ème3)'!UV8:UX8,"B"))*3)+((COUNTIF('Elève (3ème3)'!UV8:UX8,"C"))*2)+((COUNTIF('Elève (3ème3)'!UV8:UX8,"D"))*1))/(COUNTA(UV8:UX8)),"")</f>
        <v/>
      </c>
      <c r="UZ8" s="107" t="str">
        <f t="shared" si="133"/>
        <v/>
      </c>
      <c r="VA8" s="106" t="str">
        <f>IF(COUNT(UO8,UT8,UY8)=0,"",SUM(UO8,UT8,UY8)/COUNT(UO8,UT8,UY8))</f>
        <v/>
      </c>
      <c r="VB8" s="108" t="str">
        <f t="shared" si="134"/>
        <v/>
      </c>
      <c r="VC8" s="103"/>
      <c r="VD8" s="104"/>
      <c r="VE8" s="105"/>
      <c r="VF8" s="106" t="str">
        <f>IFERROR((((COUNTIF('Elève (3ème3)'!VC8:VE8,"A"))*4)+((COUNTIF('Elève (3ème3)'!VC8:VE8,"B"))*3)+((COUNTIF('Elève (3ème3)'!VC8:VE8,"C"))*2)+((COUNTIF('Elève (3ème3)'!VC8:VE8,"D"))*1))/(COUNTA(VC8:VE8)),"")</f>
        <v/>
      </c>
      <c r="VG8" s="107" t="str">
        <f t="shared" si="135"/>
        <v/>
      </c>
      <c r="VH8" s="103"/>
      <c r="VI8" s="104"/>
      <c r="VJ8" s="105"/>
      <c r="VK8" s="106" t="str">
        <f>IFERROR((((COUNTIF('Elève (3ème3)'!VH8:VJ8,"A"))*4)+((COUNTIF('Elève (3ème3)'!VH8:VJ8,"B"))*3)+((COUNTIF('Elève (3ème3)'!VH8:VJ8,"C"))*2)+((COUNTIF('Elève (3ème3)'!VH8:VJ8,"D"))*1))/(COUNTA(VH8:VJ8)),"")</f>
        <v/>
      </c>
      <c r="VL8" s="107" t="str">
        <f t="shared" si="136"/>
        <v/>
      </c>
      <c r="VM8" s="103"/>
      <c r="VN8" s="104"/>
      <c r="VO8" s="109"/>
      <c r="VP8" s="106" t="str">
        <f>IFERROR((((COUNTIF('Elève (3ème3)'!VM8:VO8,"A"))*4)+((COUNTIF('Elève (3ème3)'!VM8:VO8,"B"))*3)+((COUNTIF('Elève (3ème3)'!VM8:VO8,"C"))*2)+((COUNTIF('Elève (3ème3)'!VM8:VO8,"D"))*1))/(COUNTA(VM8:VO8)),"")</f>
        <v/>
      </c>
      <c r="VQ8" s="107" t="str">
        <f t="shared" si="137"/>
        <v/>
      </c>
      <c r="VR8" s="106" t="str">
        <f>IF(COUNT(VF8,VK8,VP8)=0,"",SUM(VF8,VK8,VP8)/COUNT(VF8,VK8,VP8))</f>
        <v/>
      </c>
      <c r="VS8" s="108" t="str">
        <f t="shared" si="138"/>
        <v/>
      </c>
      <c r="VT8" s="103"/>
      <c r="VU8" s="104"/>
      <c r="VV8" s="105"/>
      <c r="VW8" s="106" t="str">
        <f>IFERROR((((COUNTIF('Elève (3ème3)'!VT8:VV8,"A"))*4)+((COUNTIF('Elève (3ème3)'!VT8:VV8,"B"))*3)+((COUNTIF('Elève (3ème3)'!VT8:VV8,"C"))*2)+((COUNTIF('Elève (3ème3)'!VT8:VV8,"D"))*1))/(COUNTA(VT8:VV8)),"")</f>
        <v/>
      </c>
      <c r="VX8" s="107" t="str">
        <f t="shared" si="139"/>
        <v/>
      </c>
      <c r="VY8" s="103"/>
      <c r="VZ8" s="104"/>
      <c r="WA8" s="105"/>
      <c r="WB8" s="106" t="str">
        <f>IFERROR((((COUNTIF('Elève (3ème3)'!VY8:WA8,"A"))*4)+((COUNTIF('Elève (3ème3)'!VY8:WA8,"B"))*3)+((COUNTIF('Elève (3ème3)'!VY8:WA8,"C"))*2)+((COUNTIF('Elève (3ème3)'!VY8:WA8,"D"))*1))/(COUNTA(VY8:WA8)),"")</f>
        <v/>
      </c>
      <c r="WC8" s="107" t="str">
        <f t="shared" si="140"/>
        <v/>
      </c>
      <c r="WD8" s="103"/>
      <c r="WE8" s="104"/>
      <c r="WF8" s="109"/>
      <c r="WG8" s="106" t="str">
        <f>IFERROR((((COUNTIF('Elève (3ème3)'!WD8:WF8,"A"))*4)+((COUNTIF('Elève (3ème3)'!WD8:WF8,"B"))*3)+((COUNTIF('Elève (3ème3)'!WD8:WF8,"C"))*2)+((COUNTIF('Elève (3ème3)'!WD8:WF8,"D"))*1))/(COUNTA(WD8:WF8)),"")</f>
        <v/>
      </c>
      <c r="WH8" s="107" t="str">
        <f t="shared" si="141"/>
        <v/>
      </c>
      <c r="WI8" s="106" t="str">
        <f>IF(COUNT(VW8,WB8,WG8)=0,"",SUM(VW8,WB8,WG8)/COUNT(VW8,WB8,WG8))</f>
        <v/>
      </c>
      <c r="WJ8" s="108" t="str">
        <f t="shared" si="142"/>
        <v/>
      </c>
    </row>
    <row r="9" spans="1:608" ht="18" customHeight="1" thickBot="1" x14ac:dyDescent="0.6">
      <c r="A9" s="215" t="s">
        <v>16</v>
      </c>
      <c r="B9" s="216"/>
      <c r="C9" s="110"/>
      <c r="D9" s="111" t="s">
        <v>29</v>
      </c>
      <c r="E9" s="112"/>
      <c r="F9" s="165">
        <f>IFERROR((((COUNTIF('Elève (3ème3)'!C9:E9,"A"))*4)+((COUNTIF('Elève (3ème3)'!C9:E9,"B"))*3)+((COUNTIF('Elève (3ème3)'!C9:E9,"C"))*2)+((COUNTIF('Elève (3ème3)'!C9:E9,"D"))*1))/(COUNTA(C9:E9)),"")</f>
        <v>2</v>
      </c>
      <c r="G9" s="166" t="str">
        <f t="shared" si="23"/>
        <v>C</v>
      </c>
      <c r="H9" s="110"/>
      <c r="I9" s="111"/>
      <c r="J9" s="112"/>
      <c r="K9" s="112"/>
      <c r="L9" s="165" t="str">
        <f>IFERROR((((COUNTIF('Elève (3ème3)'!H9:K9,"A"))*4)+((COUNTIF('Elève (3ème3)'!H9:K9,"B"))*3)+((COUNTIF('Elève (3ème3)'!H9:K9,"C"))*2)+((COUNTIF('Elève (3ème3)'!H9:K9,"D"))*1))/(COUNTA(H9:K9)),"")</f>
        <v/>
      </c>
      <c r="M9" s="166" t="str">
        <f t="shared" si="24"/>
        <v/>
      </c>
      <c r="N9" s="110"/>
      <c r="O9" s="111" t="s">
        <v>29</v>
      </c>
      <c r="P9" s="112"/>
      <c r="Q9" s="112"/>
      <c r="R9" s="112"/>
      <c r="S9" s="112"/>
      <c r="T9" s="165">
        <f>IFERROR((((COUNTIF('Elève (3ème3)'!N9:S9,"A"))*4)+((COUNTIF('Elève (3ème3)'!N9:S9,"B"))*3)+((COUNTIF('Elève (3ème3)'!N9:S9,"C"))*2)+((COUNTIF('Elève (3ème3)'!N9:S9,"D"))*1))/(COUNTA(N9:S9)),"")</f>
        <v>2</v>
      </c>
      <c r="U9" s="166" t="str">
        <f t="shared" si="25"/>
        <v>C</v>
      </c>
      <c r="V9" s="165">
        <f>IF(COUNT(F9,L9,T9)=0,"",SUM(F9,L9,T9)/COUNT(F9,L9,T9))</f>
        <v>2</v>
      </c>
      <c r="W9" s="188" t="str">
        <f t="shared" si="26"/>
        <v>C</v>
      </c>
      <c r="X9" s="110"/>
      <c r="Y9" s="111" t="s">
        <v>30</v>
      </c>
      <c r="Z9" s="112"/>
      <c r="AA9" s="165">
        <f>IFERROR((((COUNTIF('Elève (3ème3)'!X9:Z9,"A"))*4)+((COUNTIF('Elève (3ème3)'!X9:Z9,"B"))*3)+((COUNTIF('Elève (3ème3)'!X9:Z9,"C"))*2)+((COUNTIF('Elève (3ème3)'!X9:Z9,"D"))*1))/(COUNTA(X9:Z9)),"")</f>
        <v>1</v>
      </c>
      <c r="AB9" s="166" t="str">
        <f t="shared" si="27"/>
        <v>D</v>
      </c>
      <c r="AC9" s="110"/>
      <c r="AD9" s="111"/>
      <c r="AE9" s="112"/>
      <c r="AF9" s="112"/>
      <c r="AG9" s="165" t="str">
        <f>IFERROR((((COUNTIF('Elève (3ème3)'!AC9:AF9,"A"))*4)+((COUNTIF('Elève (3ème3)'!AC9:AF9,"B"))*3)+((COUNTIF('Elève (3ème3)'!AC9:AF9,"C"))*2)+((COUNTIF('Elève (3ème3)'!AC9:AF9,"D"))*1))/(COUNTA(AC9:AF9)),"")</f>
        <v/>
      </c>
      <c r="AH9" s="166" t="str">
        <f t="shared" si="28"/>
        <v/>
      </c>
      <c r="AI9" s="110"/>
      <c r="AJ9" s="111" t="s">
        <v>30</v>
      </c>
      <c r="AK9" s="112"/>
      <c r="AL9" s="112"/>
      <c r="AM9" s="112"/>
      <c r="AN9" s="116"/>
      <c r="AO9" s="165">
        <f>IFERROR((((COUNTIF('Elève (3ème3)'!AI9:AN9,"A"))*4)+((COUNTIF('Elève (3ème3)'!AI9:AN9,"B"))*3)+((COUNTIF('Elève (3ème3)'!AI9:AN9,"C"))*2)+((COUNTIF('Elève (3ème3)'!AI9:AN9,"D"))*1))/(COUNTA(AI9:AN9)),"")</f>
        <v>1</v>
      </c>
      <c r="AP9" s="166" t="str">
        <f t="shared" si="29"/>
        <v>D</v>
      </c>
      <c r="AQ9" s="165">
        <f>IF(COUNT(AA9,AG9,AO9)=0,"",SUM(AA9,AG9,AO9)/COUNT(AA9,AG9,AO9))</f>
        <v>1</v>
      </c>
      <c r="AR9" s="188" t="str">
        <f t="shared" si="30"/>
        <v>D</v>
      </c>
      <c r="AS9" s="110"/>
      <c r="AT9" s="111" t="s">
        <v>30</v>
      </c>
      <c r="AU9" s="112"/>
      <c r="AV9" s="165">
        <f>IFERROR((((COUNTIF('Elève (3ème3)'!AS9:AU9,"A"))*4)+((COUNTIF('Elève (3ème3)'!AS9:AU9,"B"))*3)+((COUNTIF('Elève (3ème3)'!AS9:AU9,"C"))*2)+((COUNTIF('Elève (3ème3)'!AS9:AU9,"D"))*1))/(COUNTA(AS9:AU9)),"")</f>
        <v>1</v>
      </c>
      <c r="AW9" s="166" t="str">
        <f t="shared" si="31"/>
        <v>D</v>
      </c>
      <c r="AX9" s="110"/>
      <c r="AY9" s="111"/>
      <c r="AZ9" s="112"/>
      <c r="BA9" s="112"/>
      <c r="BB9" s="165" t="str">
        <f>IFERROR((((COUNTIF('Elève (3ème3)'!AX9:BA9,"A"))*4)+((COUNTIF('Elève (3ème3)'!AX9:BA9,"B"))*3)+((COUNTIF('Elève (3ème3)'!AX9:BA9,"C"))*2)+((COUNTIF('Elève (3ème3)'!AX9:BA9,"D"))*1))/(COUNTA(AX9:BA9)),"")</f>
        <v/>
      </c>
      <c r="BC9" s="166" t="str">
        <f t="shared" si="32"/>
        <v/>
      </c>
      <c r="BD9" s="110"/>
      <c r="BE9" s="111" t="s">
        <v>29</v>
      </c>
      <c r="BF9" s="112"/>
      <c r="BG9" s="112"/>
      <c r="BH9" s="112"/>
      <c r="BI9" s="116"/>
      <c r="BJ9" s="165">
        <f>IFERROR((((COUNTIF('Elève (3ème3)'!BD9:BI9,"A"))*4)+((COUNTIF('Elève (3ème3)'!BD9:BI9,"B"))*3)+((COUNTIF('Elève (3ème3)'!BD9:BI9,"C"))*2)+((COUNTIF('Elève (3ème3)'!BD9:BI9,"D"))*1))/(COUNTA(BD9:BI9)),"")</f>
        <v>2</v>
      </c>
      <c r="BK9" s="166" t="str">
        <f t="shared" si="33"/>
        <v>C</v>
      </c>
      <c r="BL9" s="165">
        <f>IF(COUNT(AV9,BB9,BJ9)=0,"",SUM(AV9,BB9,BJ9)/COUNT(AV9,BB9,BJ9))</f>
        <v>1.5</v>
      </c>
      <c r="BM9" s="188" t="str">
        <f t="shared" si="34"/>
        <v>D</v>
      </c>
      <c r="BN9" s="110"/>
      <c r="BO9" s="111" t="s">
        <v>30</v>
      </c>
      <c r="BP9" s="112"/>
      <c r="BQ9" s="165">
        <f>IFERROR((((COUNTIF('Elève (3ème3)'!BN9:BP9,"A"))*4)+((COUNTIF('Elève (3ème3)'!BN9:BP9,"B"))*3)+((COUNTIF('Elève (3ème3)'!BN9:BP9,"C"))*2)+((COUNTIF('Elève (3ème3)'!BN9:BP9,"D"))*1))/(COUNTA(BN9:BP9)),"")</f>
        <v>1</v>
      </c>
      <c r="BR9" s="166" t="str">
        <f t="shared" si="35"/>
        <v>D</v>
      </c>
      <c r="BS9" s="110"/>
      <c r="BT9" s="111"/>
      <c r="BU9" s="112"/>
      <c r="BV9" s="112"/>
      <c r="BW9" s="165" t="str">
        <f>IFERROR((((COUNTIF('Elève (3ème3)'!BS9:BV9,"A"))*4)+((COUNTIF('Elève (3ème3)'!BS9:BV9,"B"))*3)+((COUNTIF('Elève (3ème3)'!BS9:BV9,"C"))*2)+((COUNTIF('Elève (3ème3)'!BS9:BV9,"D"))*1))/(COUNTA(BS9:BV9)),"")</f>
        <v/>
      </c>
      <c r="BX9" s="166" t="str">
        <f t="shared" si="36"/>
        <v/>
      </c>
      <c r="BY9" s="110"/>
      <c r="BZ9" s="111" t="s">
        <v>29</v>
      </c>
      <c r="CA9" s="112"/>
      <c r="CB9" s="112"/>
      <c r="CC9" s="112"/>
      <c r="CD9" s="116"/>
      <c r="CE9" s="165">
        <f>IFERROR((((COUNTIF('Elève (3ème3)'!BY9:CD9,"A"))*4)+((COUNTIF('Elève (3ème3)'!BY9:CD9,"B"))*3)+((COUNTIF('Elève (3ème3)'!BY9:CD9,"C"))*2)+((COUNTIF('Elève (3ème3)'!BY9:CD9,"D"))*1))/(COUNTA(BY9:CD9)),"")</f>
        <v>2</v>
      </c>
      <c r="CF9" s="166" t="str">
        <f t="shared" si="37"/>
        <v>C</v>
      </c>
      <c r="CG9" s="165">
        <f>IF(COUNT(BQ9,BW9,CE9)=0,"",SUM(BQ9,BW9,CE9)/COUNT(BQ9,BW9,CE9))</f>
        <v>1.5</v>
      </c>
      <c r="CH9" s="188" t="str">
        <f t="shared" si="38"/>
        <v>D</v>
      </c>
      <c r="CI9" s="110"/>
      <c r="CJ9" s="111" t="s">
        <v>30</v>
      </c>
      <c r="CK9" s="112"/>
      <c r="CL9" s="165">
        <f>IFERROR((((COUNTIF('Elève (3ème3)'!CI9:CK9,"A"))*4)+((COUNTIF('Elève (3ème3)'!CI9:CK9,"B"))*3)+((COUNTIF('Elève (3ème3)'!CI9:CK9,"C"))*2)+((COUNTIF('Elève (3ème3)'!CI9:CK9,"D"))*1))/(COUNTA(CI9:CK9)),"")</f>
        <v>1</v>
      </c>
      <c r="CM9" s="166" t="str">
        <f t="shared" si="39"/>
        <v>D</v>
      </c>
      <c r="CN9" s="110"/>
      <c r="CO9" s="111"/>
      <c r="CP9" s="112"/>
      <c r="CQ9" s="112"/>
      <c r="CR9" s="165" t="str">
        <f>IFERROR((((COUNTIF('Elève (3ème3)'!CN9:CQ9,"A"))*4)+((COUNTIF('Elève (3ème3)'!CN9:CQ9,"B"))*3)+((COUNTIF('Elève (3ème3)'!CN9:CQ9,"C"))*2)+((COUNTIF('Elève (3ème3)'!CN9:CQ9,"D"))*1))/(COUNTA(CN9:CQ9)),"")</f>
        <v/>
      </c>
      <c r="CS9" s="166" t="str">
        <f t="shared" si="40"/>
        <v/>
      </c>
      <c r="CT9" s="110"/>
      <c r="CU9" s="111" t="s">
        <v>30</v>
      </c>
      <c r="CV9" s="112"/>
      <c r="CW9" s="112"/>
      <c r="CX9" s="112"/>
      <c r="CY9" s="116"/>
      <c r="CZ9" s="165">
        <f>IFERROR((((COUNTIF('Elève (3ème3)'!CT9:CY9,"A"))*4)+((COUNTIF('Elève (3ème3)'!CT9:CY9,"B"))*3)+((COUNTIF('Elève (3ème3)'!CT9:CY9,"C"))*2)+((COUNTIF('Elève (3ème3)'!CT9:CY9,"D"))*1))/(COUNTA(CT9:CY9)),"")</f>
        <v>1</v>
      </c>
      <c r="DA9" s="166" t="str">
        <f t="shared" si="41"/>
        <v>D</v>
      </c>
      <c r="DB9" s="165">
        <f>IF(COUNT(CL9,CR9,CZ9)=0,"",SUM(CL9,CR9,CZ9)/COUNT(CL9,CR9,CZ9))</f>
        <v>1</v>
      </c>
      <c r="DC9" s="188" t="str">
        <f t="shared" si="42"/>
        <v>D</v>
      </c>
      <c r="DD9" s="110"/>
      <c r="DE9" s="111" t="s">
        <v>30</v>
      </c>
      <c r="DF9" s="112"/>
      <c r="DG9" s="165">
        <f>IFERROR((((COUNTIF('Elève (3ème3)'!DD9:DF9,"A"))*4)+((COUNTIF('Elève (3ème3)'!DD9:DF9,"B"))*3)+((COUNTIF('Elève (3ème3)'!DD9:DF9,"C"))*2)+((COUNTIF('Elève (3ème3)'!DD9:DF9,"D"))*1))/(COUNTA(DD9:DF9)),"")</f>
        <v>1</v>
      </c>
      <c r="DH9" s="166" t="str">
        <f t="shared" si="43"/>
        <v>D</v>
      </c>
      <c r="DI9" s="110"/>
      <c r="DJ9" s="111"/>
      <c r="DK9" s="112"/>
      <c r="DL9" s="112"/>
      <c r="DM9" s="165" t="str">
        <f>IFERROR((((COUNTIF('Elève (3ème3)'!DI9:DL9,"A"))*4)+((COUNTIF('Elève (3ème3)'!DI9:DL9,"B"))*3)+((COUNTIF('Elève (3ème3)'!DI9:DL9,"C"))*2)+((COUNTIF('Elève (3ème3)'!DI9:DL9,"D"))*1))/(COUNTA(DI9:DL9)),"")</f>
        <v/>
      </c>
      <c r="DN9" s="166" t="str">
        <f t="shared" si="44"/>
        <v/>
      </c>
      <c r="DO9" s="110"/>
      <c r="DP9" s="111" t="s">
        <v>30</v>
      </c>
      <c r="DQ9" s="112"/>
      <c r="DR9" s="112"/>
      <c r="DS9" s="112"/>
      <c r="DT9" s="116"/>
      <c r="DU9" s="165">
        <f>IFERROR((((COUNTIF('Elève (3ème3)'!DO9:DT9,"A"))*4)+((COUNTIF('Elève (3ème3)'!DO9:DT9,"B"))*3)+((COUNTIF('Elève (3ème3)'!DO9:DT9,"C"))*2)+((COUNTIF('Elève (3ème3)'!DO9:DT9,"D"))*1))/(COUNTA(DO9:DT9)),"")</f>
        <v>1</v>
      </c>
      <c r="DV9" s="166" t="str">
        <f t="shared" si="45"/>
        <v>D</v>
      </c>
      <c r="DW9" s="165">
        <f>IF(COUNT(DG9,DM9,DU9)=0,"",SUM(DG9,DM9,DU9)/COUNT(DG9,DM9,DU9))</f>
        <v>1</v>
      </c>
      <c r="DX9" s="188" t="str">
        <f t="shared" si="46"/>
        <v>D</v>
      </c>
      <c r="DY9" s="110"/>
      <c r="DZ9" s="111" t="s">
        <v>29</v>
      </c>
      <c r="EA9" s="112"/>
      <c r="EB9" s="165">
        <f>IFERROR((((COUNTIF('Elève (3ème3)'!DY9:EA9,"A"))*4)+((COUNTIF('Elève (3ème3)'!DY9:EA9,"B"))*3)+((COUNTIF('Elève (3ème3)'!DY9:EA9,"C"))*2)+((COUNTIF('Elève (3ème3)'!DY9:EA9,"D"))*1))/(COUNTA(DY9:EA9)),"")</f>
        <v>2</v>
      </c>
      <c r="EC9" s="166" t="str">
        <f t="shared" si="47"/>
        <v>C</v>
      </c>
      <c r="ED9" s="110"/>
      <c r="EE9" s="111"/>
      <c r="EF9" s="112"/>
      <c r="EG9" s="112"/>
      <c r="EH9" s="165" t="str">
        <f>IFERROR((((COUNTIF('Elève (3ème3)'!ED9:EG9,"A"))*4)+((COUNTIF('Elève (3ème3)'!ED9:EG9,"B"))*3)+((COUNTIF('Elève (3ème3)'!ED9:EG9,"C"))*2)+((COUNTIF('Elève (3ème3)'!ED9:EG9,"D"))*1))/(COUNTA(ED9:EG9)),"")</f>
        <v/>
      </c>
      <c r="EI9" s="166" t="str">
        <f t="shared" si="48"/>
        <v/>
      </c>
      <c r="EJ9" s="110"/>
      <c r="EK9" s="111" t="s">
        <v>30</v>
      </c>
      <c r="EL9" s="112"/>
      <c r="EM9" s="112"/>
      <c r="EN9" s="112"/>
      <c r="EO9" s="116"/>
      <c r="EP9" s="165">
        <f>IFERROR((((COUNTIF('Elève (3ème3)'!EJ9:EO9,"A"))*4)+((COUNTIF('Elève (3ème3)'!EJ9:EO9,"B"))*3)+((COUNTIF('Elève (3ème3)'!EJ9:EO9,"C"))*2)+((COUNTIF('Elève (3ème3)'!EJ9:EO9,"D"))*1))/(COUNTA(EJ9:EO9)),"")</f>
        <v>1</v>
      </c>
      <c r="EQ9" s="166" t="str">
        <f t="shared" si="49"/>
        <v>D</v>
      </c>
      <c r="ER9" s="165">
        <f>IF(COUNT(EB9,EH9,EP9)=0,"",SUM(EB9,EH9,EP9)/COUNT(EB9,EH9,EP9))</f>
        <v>1.5</v>
      </c>
      <c r="ES9" s="188" t="str">
        <f t="shared" si="50"/>
        <v>D</v>
      </c>
      <c r="ET9" s="110"/>
      <c r="EU9" s="111" t="s">
        <v>28</v>
      </c>
      <c r="EV9" s="112"/>
      <c r="EW9" s="165">
        <f>IFERROR((((COUNTIF('Elève (3ème3)'!ET9:EV9,"A"))*4)+((COUNTIF('Elève (3ème3)'!ET9:EV9,"B"))*3)+((COUNTIF('Elève (3ème3)'!ET9:EV9,"C"))*2)+((COUNTIF('Elève (3ème3)'!ET9:EV9,"D"))*1))/(COUNTA(ET9:EV9)),"")</f>
        <v>3</v>
      </c>
      <c r="EX9" s="166" t="str">
        <f t="shared" si="51"/>
        <v>B</v>
      </c>
      <c r="EY9" s="110"/>
      <c r="EZ9" s="111"/>
      <c r="FA9" s="112"/>
      <c r="FB9" s="112"/>
      <c r="FC9" s="165" t="str">
        <f>IFERROR((((COUNTIF('Elève (3ème3)'!EY9:FB9,"A"))*4)+((COUNTIF('Elève (3ème3)'!EY9:FB9,"B"))*3)+((COUNTIF('Elève (3ème3)'!EY9:FB9,"C"))*2)+((COUNTIF('Elève (3ème3)'!EY9:FB9,"D"))*1))/(COUNTA(EY9:FB9)),"")</f>
        <v/>
      </c>
      <c r="FD9" s="166" t="str">
        <f t="shared" si="52"/>
        <v/>
      </c>
      <c r="FE9" s="110"/>
      <c r="FF9" s="111" t="s">
        <v>27</v>
      </c>
      <c r="FG9" s="112"/>
      <c r="FH9" s="112"/>
      <c r="FI9" s="112"/>
      <c r="FJ9" s="116"/>
      <c r="FK9" s="165">
        <f>IFERROR((((COUNTIF('Elève (3ème3)'!FE9:FJ9,"A"))*4)+((COUNTIF('Elève (3ème3)'!FE9:FJ9,"B"))*3)+((COUNTIF('Elève (3ème3)'!FE9:FJ9,"C"))*2)+((COUNTIF('Elève (3ème3)'!FE9:FJ9,"D"))*1))/(COUNTA(FE9:FJ9)),"")</f>
        <v>4</v>
      </c>
      <c r="FL9" s="166" t="str">
        <f t="shared" si="53"/>
        <v>A</v>
      </c>
      <c r="FM9" s="165">
        <f>IF(COUNT(EW9,FC9,FK9)=0,"",SUM(EW9,FC9,FK9)/COUNT(EW9,FC9,FK9))</f>
        <v>3.5</v>
      </c>
      <c r="FN9" s="188" t="str">
        <f t="shared" si="54"/>
        <v>B</v>
      </c>
      <c r="FO9" s="110"/>
      <c r="FP9" s="111" t="s">
        <v>29</v>
      </c>
      <c r="FQ9" s="112"/>
      <c r="FR9" s="165">
        <f>IFERROR((((COUNTIF('Elève (3ème3)'!FO9:FQ9,"A"))*4)+((COUNTIF('Elève (3ème3)'!FO9:FQ9,"B"))*3)+((COUNTIF('Elève (3ème3)'!FO9:FQ9,"C"))*2)+((COUNTIF('Elève (3ème3)'!FO9:FQ9,"D"))*1))/(COUNTA(FO9:FQ9)),"")</f>
        <v>2</v>
      </c>
      <c r="FS9" s="166" t="str">
        <f t="shared" si="55"/>
        <v>C</v>
      </c>
      <c r="FT9" s="110"/>
      <c r="FU9" s="111"/>
      <c r="FV9" s="112"/>
      <c r="FW9" s="112"/>
      <c r="FX9" s="165" t="str">
        <f>IFERROR((((COUNTIF('Elève (3ème3)'!FT9:FW9,"A"))*4)+((COUNTIF('Elève (3ème3)'!FT9:FW9,"B"))*3)+((COUNTIF('Elève (3ème3)'!FT9:FW9,"C"))*2)+((COUNTIF('Elève (3ème3)'!FT9:FW9,"D"))*1))/(COUNTA(FT9:FW9)),"")</f>
        <v/>
      </c>
      <c r="FY9" s="166" t="str">
        <f t="shared" si="56"/>
        <v/>
      </c>
      <c r="FZ9" s="110"/>
      <c r="GA9" s="111"/>
      <c r="GB9" s="112"/>
      <c r="GC9" s="112"/>
      <c r="GD9" s="112"/>
      <c r="GE9" s="116"/>
      <c r="GF9" s="165" t="str">
        <f>IFERROR((((COUNTIF('Elève (3ème3)'!FZ9:GE9,"A"))*4)+((COUNTIF('Elève (3ème3)'!FZ9:GE9,"B"))*3)+((COUNTIF('Elève (3ème3)'!FZ9:GE9,"C"))*2)+((COUNTIF('Elève (3ème3)'!FZ9:GE9,"D"))*1))/(COUNTA(FZ9:GE9)),"")</f>
        <v/>
      </c>
      <c r="GG9" s="166" t="str">
        <f t="shared" si="57"/>
        <v/>
      </c>
      <c r="GH9" s="165">
        <f>IF(COUNT(FR9,FX9,GF9)=0,"",SUM(FR9,FX9,GF9)/COUNT(FR9,FX9,GF9))</f>
        <v>2</v>
      </c>
      <c r="GI9" s="188" t="str">
        <f t="shared" si="58"/>
        <v>C</v>
      </c>
      <c r="GJ9" s="110"/>
      <c r="GK9" s="111" t="s">
        <v>30</v>
      </c>
      <c r="GL9" s="112"/>
      <c r="GM9" s="165">
        <f>IFERROR((((COUNTIF('Elève (3ème3)'!GJ9:GL9,"A"))*4)+((COUNTIF('Elève (3ème3)'!GJ9:GL9,"B"))*3)+((COUNTIF('Elève (3ème3)'!GJ9:GL9,"C"))*2)+((COUNTIF('Elève (3ème3)'!GJ9:GL9,"D"))*1))/(COUNTA(GJ9:GL9)),"")</f>
        <v>1</v>
      </c>
      <c r="GN9" s="166" t="str">
        <f t="shared" si="59"/>
        <v>D</v>
      </c>
      <c r="GO9" s="110"/>
      <c r="GP9" s="111"/>
      <c r="GQ9" s="112"/>
      <c r="GR9" s="112"/>
      <c r="GS9" s="165" t="str">
        <f>IFERROR((((COUNTIF('Elève (3ème3)'!GO9:GR9,"A"))*4)+((COUNTIF('Elève (3ème3)'!GO9:GR9,"B"))*3)+((COUNTIF('Elève (3ème3)'!GO9:GR9,"C"))*2)+((COUNTIF('Elève (3ème3)'!GO9:GR9,"D"))*1))/(COUNTA(GO9:GR9)),"")</f>
        <v/>
      </c>
      <c r="GT9" s="166" t="str">
        <f t="shared" si="60"/>
        <v/>
      </c>
      <c r="GU9" s="110"/>
      <c r="GV9" s="111" t="s">
        <v>28</v>
      </c>
      <c r="GW9" s="112"/>
      <c r="GX9" s="112"/>
      <c r="GY9" s="112"/>
      <c r="GZ9" s="116"/>
      <c r="HA9" s="165">
        <f>IFERROR((((COUNTIF('Elève (3ème3)'!GU9:GZ9,"A"))*4)+((COUNTIF('Elève (3ème3)'!GU9:GZ9,"B"))*3)+((COUNTIF('Elève (3ème3)'!GU9:GZ9,"C"))*2)+((COUNTIF('Elève (3ème3)'!GU9:GZ9,"D"))*1))/(COUNTA(GU9:GZ9)),"")</f>
        <v>3</v>
      </c>
      <c r="HB9" s="166" t="str">
        <f t="shared" si="61"/>
        <v>B</v>
      </c>
      <c r="HC9" s="165">
        <f>IF(COUNT(GM9,GS9,HA9)=0,"",SUM(GM9,GS9,HA9)/COUNT(GM9,GS9,HA9))</f>
        <v>2</v>
      </c>
      <c r="HD9" s="188" t="str">
        <f t="shared" si="62"/>
        <v>C</v>
      </c>
      <c r="HE9" s="110"/>
      <c r="HF9" s="111" t="s">
        <v>30</v>
      </c>
      <c r="HG9" s="112"/>
      <c r="HH9" s="165">
        <f>IFERROR((((COUNTIF('Elève (3ème3)'!HE9:HG9,"A"))*4)+((COUNTIF('Elève (3ème3)'!HE9:HG9,"B"))*3)+((COUNTIF('Elève (3ème3)'!HE9:HG9,"C"))*2)+((COUNTIF('Elève (3ème3)'!HE9:HG9,"D"))*1))/(COUNTA(HE9:HG9)),"")</f>
        <v>1</v>
      </c>
      <c r="HI9" s="166" t="str">
        <f t="shared" si="63"/>
        <v>D</v>
      </c>
      <c r="HJ9" s="110"/>
      <c r="HK9" s="111"/>
      <c r="HL9" s="112"/>
      <c r="HM9" s="112"/>
      <c r="HN9" s="165" t="str">
        <f>IFERROR((((COUNTIF('Elève (3ème3)'!HJ9:HM9,"A"))*4)+((COUNTIF('Elève (3ème3)'!HJ9:HM9,"B"))*3)+((COUNTIF('Elève (3ème3)'!HJ9:HM9,"C"))*2)+((COUNTIF('Elève (3ème3)'!HJ9:HM9,"D"))*1))/(COUNTA(HJ9:HM9)),"")</f>
        <v/>
      </c>
      <c r="HO9" s="166" t="str">
        <f t="shared" si="64"/>
        <v/>
      </c>
      <c r="HP9" s="110"/>
      <c r="HQ9" s="111" t="s">
        <v>29</v>
      </c>
      <c r="HR9" s="112"/>
      <c r="HS9" s="112"/>
      <c r="HT9" s="112"/>
      <c r="HU9" s="116"/>
      <c r="HV9" s="165">
        <f>IFERROR((((COUNTIF('Elève (3ème3)'!HP9:HU9,"A"))*4)+((COUNTIF('Elève (3ème3)'!HP9:HU9,"B"))*3)+((COUNTIF('Elève (3ème3)'!HP9:HU9,"C"))*2)+((COUNTIF('Elève (3ème3)'!HP9:HU9,"D"))*1))/(COUNTA(HP9:HU9)),"")</f>
        <v>2</v>
      </c>
      <c r="HW9" s="166" t="str">
        <f t="shared" si="65"/>
        <v>C</v>
      </c>
      <c r="HX9" s="165">
        <f>IF(COUNT(HH9,HN9,HV9)=0,"",SUM(HH9,HN9,HV9)/COUNT(HH9,HN9,HV9))</f>
        <v>1.5</v>
      </c>
      <c r="HY9" s="188" t="str">
        <f t="shared" si="66"/>
        <v>D</v>
      </c>
      <c r="HZ9" s="110"/>
      <c r="IA9" s="111" t="s">
        <v>30</v>
      </c>
      <c r="IB9" s="112"/>
      <c r="IC9" s="165">
        <f>IFERROR((((COUNTIF('Elève (3ème3)'!HZ9:IB9,"A"))*4)+((COUNTIF('Elève (3ème3)'!HZ9:IB9,"B"))*3)+((COUNTIF('Elève (3ème3)'!HZ9:IB9,"C"))*2)+((COUNTIF('Elève (3ème3)'!HZ9:IB9,"D"))*1))/(COUNTA(HZ9:IB9)),"")</f>
        <v>1</v>
      </c>
      <c r="ID9" s="166" t="str">
        <f t="shared" si="67"/>
        <v>D</v>
      </c>
      <c r="IE9" s="110"/>
      <c r="IF9" s="111"/>
      <c r="IG9" s="112"/>
      <c r="IH9" s="112"/>
      <c r="II9" s="165" t="str">
        <f>IFERROR((((COUNTIF('Elève (3ème3)'!IE9:IH9,"A"))*4)+((COUNTIF('Elève (3ème3)'!IE9:IH9,"B"))*3)+((COUNTIF('Elève (3ème3)'!IE9:IH9,"C"))*2)+((COUNTIF('Elève (3ème3)'!IE9:IH9,"D"))*1))/(COUNTA(IE9:IH9)),"")</f>
        <v/>
      </c>
      <c r="IJ9" s="166" t="str">
        <f t="shared" si="68"/>
        <v/>
      </c>
      <c r="IK9" s="110"/>
      <c r="IL9" s="111" t="s">
        <v>29</v>
      </c>
      <c r="IM9" s="112"/>
      <c r="IN9" s="112"/>
      <c r="IO9" s="112"/>
      <c r="IP9" s="116"/>
      <c r="IQ9" s="165">
        <f>IFERROR((((COUNTIF('Elève (3ème3)'!IK9:IP9,"A"))*4)+((COUNTIF('Elève (3ème3)'!IK9:IP9,"B"))*3)+((COUNTIF('Elève (3ème3)'!IK9:IP9,"C"))*2)+((COUNTIF('Elève (3ème3)'!IK9:IP9,"D"))*1))/(COUNTA(IK9:IP9)),"")</f>
        <v>2</v>
      </c>
      <c r="IR9" s="166" t="str">
        <f t="shared" si="69"/>
        <v>C</v>
      </c>
      <c r="IS9" s="165">
        <f>IF(COUNT(IC9,II9,IQ9)=0,"",SUM(IC9,II9,IQ9)/COUNT(IC9,II9,IQ9))</f>
        <v>1.5</v>
      </c>
      <c r="IT9" s="188" t="str">
        <f t="shared" si="70"/>
        <v>D</v>
      </c>
      <c r="IU9" s="110"/>
      <c r="IV9" s="111" t="s">
        <v>30</v>
      </c>
      <c r="IW9" s="112"/>
      <c r="IX9" s="165">
        <f>IFERROR((((COUNTIF('Elève (3ème3)'!IU9:IW9,"A"))*4)+((COUNTIF('Elève (3ème3)'!IU9:IW9,"B"))*3)+((COUNTIF('Elève (3ème3)'!IU9:IW9,"C"))*2)+((COUNTIF('Elève (3ème3)'!IU9:IW9,"D"))*1))/(COUNTA(IU9:IW9)),"")</f>
        <v>1</v>
      </c>
      <c r="IY9" s="166" t="str">
        <f t="shared" si="71"/>
        <v>D</v>
      </c>
      <c r="IZ9" s="110"/>
      <c r="JA9" s="111"/>
      <c r="JB9" s="112"/>
      <c r="JC9" s="112"/>
      <c r="JD9" s="165" t="str">
        <f>IFERROR((((COUNTIF('Elève (3ème3)'!IZ9:JC9,"A"))*4)+((COUNTIF('Elève (3ème3)'!IZ9:JC9,"B"))*3)+((COUNTIF('Elève (3ème3)'!IZ9:JC9,"C"))*2)+((COUNTIF('Elève (3ème3)'!IZ9:JC9,"D"))*1))/(COUNTA(IZ9:JC9)),"")</f>
        <v/>
      </c>
      <c r="JE9" s="166" t="str">
        <f t="shared" si="72"/>
        <v/>
      </c>
      <c r="JF9" s="110"/>
      <c r="JG9" s="111" t="s">
        <v>30</v>
      </c>
      <c r="JH9" s="112"/>
      <c r="JI9" s="112"/>
      <c r="JJ9" s="112"/>
      <c r="JK9" s="116"/>
      <c r="JL9" s="165">
        <f>IFERROR((((COUNTIF('Elève (3ème3)'!JF9:JK9,"A"))*4)+((COUNTIF('Elève (3ème3)'!JF9:JK9,"B"))*3)+((COUNTIF('Elève (3ème3)'!JF9:JK9,"C"))*2)+((COUNTIF('Elève (3ème3)'!JF9:JK9,"D"))*1))/(COUNTA(JF9:JK9)),"")</f>
        <v>1</v>
      </c>
      <c r="JM9" s="166" t="str">
        <f t="shared" si="73"/>
        <v>D</v>
      </c>
      <c r="JN9" s="165">
        <f>IF(COUNT(IX9,JD9,JL9)=0,"",SUM(IX9,JD9,JL9)/COUNT(IX9,JD9,JL9))</f>
        <v>1</v>
      </c>
      <c r="JO9" s="188" t="str">
        <f t="shared" si="74"/>
        <v>D</v>
      </c>
      <c r="JP9" s="110"/>
      <c r="JQ9" s="111" t="s">
        <v>30</v>
      </c>
      <c r="JR9" s="112"/>
      <c r="JS9" s="165">
        <f>IFERROR((((COUNTIF('Elève (3ème3)'!JP9:JR9,"A"))*4)+((COUNTIF('Elève (3ème3)'!JP9:JR9,"B"))*3)+((COUNTIF('Elève (3ème3)'!JP9:JR9,"C"))*2)+((COUNTIF('Elève (3ème3)'!JP9:JR9,"D"))*1))/(COUNTA(JP9:JR9)),"")</f>
        <v>1</v>
      </c>
      <c r="JT9" s="166" t="str">
        <f t="shared" si="75"/>
        <v>D</v>
      </c>
      <c r="JU9" s="110"/>
      <c r="JV9" s="111"/>
      <c r="JW9" s="112"/>
      <c r="JX9" s="112"/>
      <c r="JY9" s="165" t="str">
        <f>IFERROR((((COUNTIF('Elève (3ème3)'!JU9:JX9,"A"))*4)+((COUNTIF('Elève (3ème3)'!JU9:JX9,"B"))*3)+((COUNTIF('Elève (3ème3)'!JU9:JX9,"C"))*2)+((COUNTIF('Elève (3ème3)'!JU9:JX9,"D"))*1))/(COUNTA(JU9:JX9)),"")</f>
        <v/>
      </c>
      <c r="JZ9" s="166" t="str">
        <f t="shared" si="76"/>
        <v/>
      </c>
      <c r="KA9" s="110"/>
      <c r="KB9" s="111" t="s">
        <v>30</v>
      </c>
      <c r="KC9" s="112"/>
      <c r="KD9" s="112"/>
      <c r="KE9" s="112"/>
      <c r="KF9" s="116"/>
      <c r="KG9" s="165">
        <f>IFERROR((((COUNTIF('Elève (3ème3)'!KA9:KF9,"A"))*4)+((COUNTIF('Elève (3ème3)'!KA9:KF9,"B"))*3)+((COUNTIF('Elève (3ème3)'!KA9:KF9,"C"))*2)+((COUNTIF('Elève (3ème3)'!KA9:KF9,"D"))*1))/(COUNTA(KA9:KF9)),"")</f>
        <v>1</v>
      </c>
      <c r="KH9" s="166" t="str">
        <f t="shared" si="77"/>
        <v>D</v>
      </c>
      <c r="KI9" s="165">
        <f>IF(COUNT(JS9,JY9,KG9)=0,"",SUM(JS9,JY9,KG9)/COUNT(JS9,JY9,KG9))</f>
        <v>1</v>
      </c>
      <c r="KJ9" s="188" t="str">
        <f t="shared" si="78"/>
        <v>D</v>
      </c>
      <c r="KK9" s="110"/>
      <c r="KL9" s="111" t="s">
        <v>30</v>
      </c>
      <c r="KM9" s="112"/>
      <c r="KN9" s="165">
        <f>IFERROR((((COUNTIF('Elève (3ème3)'!KK9:KM9,"A"))*4)+((COUNTIF('Elève (3ème3)'!KK9:KM9,"B"))*3)+((COUNTIF('Elève (3ème3)'!KK9:KM9,"C"))*2)+((COUNTIF('Elève (3ème3)'!KK9:KM9,"D"))*1))/(COUNTA(KK9:KM9)),"")</f>
        <v>1</v>
      </c>
      <c r="KO9" s="166" t="str">
        <f t="shared" si="79"/>
        <v>D</v>
      </c>
      <c r="KP9" s="110"/>
      <c r="KQ9" s="111"/>
      <c r="KR9" s="112"/>
      <c r="KS9" s="112"/>
      <c r="KT9" s="165" t="str">
        <f>IFERROR((((COUNTIF('Elève (3ème3)'!KP9:KS9,"A"))*4)+((COUNTIF('Elève (3ème3)'!KP9:KS9,"B"))*3)+((COUNTIF('Elève (3ème3)'!KP9:KS9,"C"))*2)+((COUNTIF('Elève (3ème3)'!KP9:KS9,"D"))*1))/(COUNTA(KP9:KS9)),"")</f>
        <v/>
      </c>
      <c r="KU9" s="166" t="str">
        <f t="shared" si="80"/>
        <v/>
      </c>
      <c r="KV9" s="110"/>
      <c r="KW9" s="111" t="s">
        <v>30</v>
      </c>
      <c r="KX9" s="112"/>
      <c r="KY9" s="112"/>
      <c r="KZ9" s="112"/>
      <c r="LA9" s="116"/>
      <c r="LB9" s="165">
        <f>IFERROR((((COUNTIF('Elève (3ème3)'!KV9:LA9,"A"))*4)+((COUNTIF('Elève (3ème3)'!KV9:LA9,"B"))*3)+((COUNTIF('Elève (3ème3)'!KV9:LA9,"C"))*2)+((COUNTIF('Elève (3ème3)'!KV9:LA9,"D"))*1))/(COUNTA(KV9:LA9)),"")</f>
        <v>1</v>
      </c>
      <c r="LC9" s="166" t="str">
        <f t="shared" si="81"/>
        <v>D</v>
      </c>
      <c r="LD9" s="165">
        <f>IF(COUNT(KN9,KT9,LB9)=0,"",SUM(KN9,KT9,LB9)/COUNT(KN9,KT9,LB9))</f>
        <v>1</v>
      </c>
      <c r="LE9" s="188" t="str">
        <f t="shared" si="82"/>
        <v>D</v>
      </c>
      <c r="LF9" s="110"/>
      <c r="LG9" s="111" t="s">
        <v>30</v>
      </c>
      <c r="LH9" s="112"/>
      <c r="LI9" s="165">
        <f>IFERROR((((COUNTIF('Elève (3ème3)'!LF9:LH9,"A"))*4)+((COUNTIF('Elève (3ème3)'!LF9:LH9,"B"))*3)+((COUNTIF('Elève (3ème3)'!LF9:LH9,"C"))*2)+((COUNTIF('Elève (3ème3)'!LF9:LH9,"D"))*1))/(COUNTA(LF9:LH9)),"")</f>
        <v>1</v>
      </c>
      <c r="LJ9" s="166" t="str">
        <f t="shared" si="83"/>
        <v>D</v>
      </c>
      <c r="LK9" s="110"/>
      <c r="LL9" s="111"/>
      <c r="LM9" s="112"/>
      <c r="LN9" s="112"/>
      <c r="LO9" s="165" t="str">
        <f>IFERROR((((COUNTIF('Elève (3ème3)'!LK9:LN9,"A"))*4)+((COUNTIF('Elève (3ème3)'!LK9:LN9,"B"))*3)+((COUNTIF('Elève (3ème3)'!LK9:LN9,"C"))*2)+((COUNTIF('Elève (3ème3)'!LK9:LN9,"D"))*1))/(COUNTA(LK9:LN9)),"")</f>
        <v/>
      </c>
      <c r="LP9" s="166" t="str">
        <f t="shared" si="84"/>
        <v/>
      </c>
      <c r="LQ9" s="110"/>
      <c r="LR9" s="111" t="s">
        <v>30</v>
      </c>
      <c r="LS9" s="112"/>
      <c r="LT9" s="112"/>
      <c r="LU9" s="112"/>
      <c r="LV9" s="116"/>
      <c r="LW9" s="165">
        <f>IFERROR((((COUNTIF('Elève (3ème3)'!LQ9:LV9,"A"))*4)+((COUNTIF('Elève (3ème3)'!LQ9:LV9,"B"))*3)+((COUNTIF('Elève (3ème3)'!LQ9:LV9,"C"))*2)+((COUNTIF('Elève (3ème3)'!LQ9:LV9,"D"))*1))/(COUNTA(LQ9:LV9)),"")</f>
        <v>1</v>
      </c>
      <c r="LX9" s="166" t="str">
        <f t="shared" si="85"/>
        <v>D</v>
      </c>
      <c r="LY9" s="165">
        <f>IF(COUNT(LI9,LO9,LW9)=0,"",SUM(LI9,LO9,LW9)/COUNT(LI9,LO9,LW9))</f>
        <v>1</v>
      </c>
      <c r="LZ9" s="188" t="str">
        <f t="shared" si="86"/>
        <v>D</v>
      </c>
      <c r="MA9" s="110"/>
      <c r="MB9" s="111" t="s">
        <v>30</v>
      </c>
      <c r="MC9" s="112"/>
      <c r="MD9" s="165">
        <f>IFERROR((((COUNTIF('Elève (3ème3)'!MA9:MC9,"A"))*4)+((COUNTIF('Elève (3ème3)'!MA9:MC9,"B"))*3)+((COUNTIF('Elève (3ème3)'!MA9:MC9,"C"))*2)+((COUNTIF('Elève (3ème3)'!MA9:MC9,"D"))*1))/(COUNTA(MA9:MC9)),"")</f>
        <v>1</v>
      </c>
      <c r="ME9" s="166" t="str">
        <f t="shared" si="87"/>
        <v>D</v>
      </c>
      <c r="MF9" s="110"/>
      <c r="MG9" s="111"/>
      <c r="MH9" s="112"/>
      <c r="MI9" s="112"/>
      <c r="MJ9" s="165" t="str">
        <f>IFERROR((((COUNTIF('Elève (3ème3)'!MF9:MI9,"A"))*4)+((COUNTIF('Elève (3ème3)'!MF9:MI9,"B"))*3)+((COUNTIF('Elève (3ème3)'!MF9:MI9,"C"))*2)+((COUNTIF('Elève (3ème3)'!MF9:MI9,"D"))*1))/(COUNTA(MF9:MI9)),"")</f>
        <v/>
      </c>
      <c r="MK9" s="166" t="str">
        <f t="shared" si="88"/>
        <v/>
      </c>
      <c r="ML9" s="110"/>
      <c r="MM9" s="111" t="s">
        <v>30</v>
      </c>
      <c r="MN9" s="112"/>
      <c r="MO9" s="112"/>
      <c r="MP9" s="112"/>
      <c r="MQ9" s="116"/>
      <c r="MR9" s="165">
        <f>IFERROR((((COUNTIF('Elève (3ème3)'!ML9:MQ9,"A"))*4)+((COUNTIF('Elève (3ème3)'!ML9:MQ9,"B"))*3)+((COUNTIF('Elève (3ème3)'!ML9:MQ9,"C"))*2)+((COUNTIF('Elève (3ème3)'!ML9:MQ9,"D"))*1))/(COUNTA(ML9:MQ9)),"")</f>
        <v>1</v>
      </c>
      <c r="MS9" s="166" t="str">
        <f t="shared" si="89"/>
        <v>D</v>
      </c>
      <c r="MT9" s="165">
        <f>IF(COUNT(MD9,MJ9,MR9)=0,"",SUM(MD9,MJ9,MR9)/COUNT(MD9,MJ9,MR9))</f>
        <v>1</v>
      </c>
      <c r="MU9" s="188" t="str">
        <f t="shared" si="90"/>
        <v>D</v>
      </c>
      <c r="MV9" s="110"/>
      <c r="MW9" s="111" t="s">
        <v>30</v>
      </c>
      <c r="MX9" s="112"/>
      <c r="MY9" s="165">
        <f>IFERROR((((COUNTIF('Elève (3ème3)'!MV9:MX9,"A"))*4)+((COUNTIF('Elève (3ème3)'!MV9:MX9,"B"))*3)+((COUNTIF('Elève (3ème3)'!MV9:MX9,"C"))*2)+((COUNTIF('Elève (3ème3)'!MV9:MX9,"D"))*1))/(COUNTA(MV9:MX9)),"")</f>
        <v>1</v>
      </c>
      <c r="MZ9" s="166" t="str">
        <f t="shared" si="91"/>
        <v>D</v>
      </c>
      <c r="NA9" s="110"/>
      <c r="NB9" s="111"/>
      <c r="NC9" s="112"/>
      <c r="ND9" s="112"/>
      <c r="NE9" s="165" t="str">
        <f>IFERROR((((COUNTIF('Elève (3ème3)'!NA9:ND9,"A"))*4)+((COUNTIF('Elève (3ème3)'!NA9:ND9,"B"))*3)+((COUNTIF('Elève (3ème3)'!NA9:ND9,"C"))*2)+((COUNTIF('Elève (3ème3)'!NA9:ND9,"D"))*1))/(COUNTA(NA9:ND9)),"")</f>
        <v/>
      </c>
      <c r="NF9" s="166" t="str">
        <f t="shared" si="92"/>
        <v/>
      </c>
      <c r="NG9" s="110"/>
      <c r="NH9" s="111" t="s">
        <v>29</v>
      </c>
      <c r="NI9" s="112"/>
      <c r="NJ9" s="112"/>
      <c r="NK9" s="112"/>
      <c r="NL9" s="116"/>
      <c r="NM9" s="165">
        <f>IFERROR((((COUNTIF('Elève (3ème3)'!NG9:NL9,"A"))*4)+((COUNTIF('Elève (3ème3)'!NG9:NL9,"B"))*3)+((COUNTIF('Elève (3ème3)'!NG9:NL9,"C"))*2)+((COUNTIF('Elève (3ème3)'!NG9:NL9,"D"))*1))/(COUNTA(NG9:NL9)),"")</f>
        <v>2</v>
      </c>
      <c r="NN9" s="166" t="str">
        <f t="shared" si="93"/>
        <v>C</v>
      </c>
      <c r="NO9" s="165">
        <f>IF(COUNT(MY9,NE9,NM9)=0,"",SUM(MY9,NE9,NM9)/COUNT(MY9,NE9,NM9))</f>
        <v>1.5</v>
      </c>
      <c r="NP9" s="188" t="str">
        <f t="shared" si="94"/>
        <v>D</v>
      </c>
      <c r="NQ9" s="110"/>
      <c r="NR9" s="111" t="s">
        <v>30</v>
      </c>
      <c r="NS9" s="112"/>
      <c r="NT9" s="165">
        <f>IFERROR((((COUNTIF('Elève (3ème3)'!NQ9:NS9,"A"))*4)+((COUNTIF('Elève (3ème3)'!NQ9:NS9,"B"))*3)+((COUNTIF('Elève (3ème3)'!NQ9:NS9,"C"))*2)+((COUNTIF('Elève (3ème3)'!NQ9:NS9,"D"))*1))/(COUNTA(NQ9:NS9)),"")</f>
        <v>1</v>
      </c>
      <c r="NU9" s="166" t="str">
        <f t="shared" si="95"/>
        <v>D</v>
      </c>
      <c r="NV9" s="110"/>
      <c r="NW9" s="111"/>
      <c r="NX9" s="112"/>
      <c r="NY9" s="112"/>
      <c r="NZ9" s="165" t="str">
        <f>IFERROR((((COUNTIF('Elève (3ème3)'!NV9:NY9,"A"))*4)+((COUNTIF('Elève (3ème3)'!NV9:NY9,"B"))*3)+((COUNTIF('Elève (3ème3)'!NV9:NY9,"C"))*2)+((COUNTIF('Elève (3ème3)'!NV9:NY9,"D"))*1))/(COUNTA(NV9:NY9)),"")</f>
        <v/>
      </c>
      <c r="OA9" s="166" t="str">
        <f t="shared" si="96"/>
        <v/>
      </c>
      <c r="OB9" s="110"/>
      <c r="OC9" s="111" t="s">
        <v>30</v>
      </c>
      <c r="OD9" s="112"/>
      <c r="OE9" s="112"/>
      <c r="OF9" s="112"/>
      <c r="OG9" s="116"/>
      <c r="OH9" s="165">
        <f>IFERROR((((COUNTIF('Elève (3ème3)'!OB9:OG9,"A"))*4)+((COUNTIF('Elève (3ème3)'!OB9:OG9,"B"))*3)+((COUNTIF('Elève (3ème3)'!OB9:OG9,"C"))*2)+((COUNTIF('Elève (3ème3)'!OB9:OG9,"D"))*1))/(COUNTA(OB9:OG9)),"")</f>
        <v>1</v>
      </c>
      <c r="OI9" s="166" t="str">
        <f t="shared" si="97"/>
        <v>D</v>
      </c>
      <c r="OJ9" s="165">
        <f>IF(COUNT(NT9,NZ9,OH9)=0,"",SUM(NT9,NZ9,OH9)/COUNT(NT9,NZ9,OH9))</f>
        <v>1</v>
      </c>
      <c r="OK9" s="188" t="str">
        <f t="shared" si="98"/>
        <v>D</v>
      </c>
      <c r="OL9" s="110"/>
      <c r="OM9" s="111" t="s">
        <v>30</v>
      </c>
      <c r="ON9" s="112"/>
      <c r="OO9" s="165">
        <f>IFERROR((((COUNTIF('Elève (3ème3)'!OL9:ON9,"A"))*4)+((COUNTIF('Elève (3ème3)'!OL9:ON9,"B"))*3)+((COUNTIF('Elève (3ème3)'!OL9:ON9,"C"))*2)+((COUNTIF('Elève (3ème3)'!OL9:ON9,"D"))*1))/(COUNTA(OL9:ON9)),"")</f>
        <v>1</v>
      </c>
      <c r="OP9" s="166" t="str">
        <f t="shared" si="99"/>
        <v>D</v>
      </c>
      <c r="OQ9" s="110"/>
      <c r="OR9" s="111"/>
      <c r="OS9" s="112"/>
      <c r="OT9" s="112"/>
      <c r="OU9" s="165" t="str">
        <f>IFERROR((((COUNTIF('Elève (3ème3)'!OQ9:OT9,"A"))*4)+((COUNTIF('Elève (3ème3)'!OQ9:OT9,"B"))*3)+((COUNTIF('Elève (3ème3)'!OQ9:OT9,"C"))*2)+((COUNTIF('Elève (3ème3)'!OQ9:OT9,"D"))*1))/(COUNTA(OQ9:OT9)),"")</f>
        <v/>
      </c>
      <c r="OV9" s="166" t="str">
        <f t="shared" si="100"/>
        <v/>
      </c>
      <c r="OW9" s="110"/>
      <c r="OX9" s="111" t="s">
        <v>28</v>
      </c>
      <c r="OY9" s="112"/>
      <c r="OZ9" s="112"/>
      <c r="PA9" s="112"/>
      <c r="PB9" s="116"/>
      <c r="PC9" s="165">
        <f>IFERROR((((COUNTIF('Elève (3ème3)'!OW9:PB9,"A"))*4)+((COUNTIF('Elève (3ème3)'!OW9:PB9,"B"))*3)+((COUNTIF('Elève (3ème3)'!OW9:PB9,"C"))*2)+((COUNTIF('Elève (3ème3)'!OW9:PB9,"D"))*1))/(COUNTA(OW9:PB9)),"")</f>
        <v>3</v>
      </c>
      <c r="PD9" s="166" t="str">
        <f t="shared" si="101"/>
        <v>B</v>
      </c>
      <c r="PE9" s="165">
        <f>IF(COUNT(OO9,OU9,PC9)=0,"",SUM(OO9,OU9,PC9)/COUNT(OO9,OU9,PC9))</f>
        <v>2</v>
      </c>
      <c r="PF9" s="188" t="str">
        <f t="shared" si="102"/>
        <v>C</v>
      </c>
      <c r="PG9" s="110"/>
      <c r="PH9" s="111" t="s">
        <v>30</v>
      </c>
      <c r="PI9" s="112"/>
      <c r="PJ9" s="165">
        <f>IFERROR((((COUNTIF('Elève (3ème3)'!PG9:PI9,"A"))*4)+((COUNTIF('Elève (3ème3)'!PG9:PI9,"B"))*3)+((COUNTIF('Elève (3ème3)'!PG9:PI9,"C"))*2)+((COUNTIF('Elève (3ème3)'!PG9:PI9,"D"))*1))/(COUNTA(PG9:PI9)),"")</f>
        <v>1</v>
      </c>
      <c r="PK9" s="166" t="str">
        <f t="shared" si="103"/>
        <v>D</v>
      </c>
      <c r="PL9" s="110"/>
      <c r="PM9" s="111"/>
      <c r="PN9" s="112"/>
      <c r="PO9" s="112"/>
      <c r="PP9" s="165" t="str">
        <f>IFERROR((((COUNTIF('Elève (3ème3)'!PL9:PO9,"A"))*4)+((COUNTIF('Elève (3ème3)'!PL9:PO9,"B"))*3)+((COUNTIF('Elève (3ème3)'!PL9:PO9,"C"))*2)+((COUNTIF('Elève (3ème3)'!PL9:PO9,"D"))*1))/(COUNTA(PL9:PO9)),"")</f>
        <v/>
      </c>
      <c r="PQ9" s="166" t="str">
        <f t="shared" si="104"/>
        <v/>
      </c>
      <c r="PR9" s="110"/>
      <c r="PS9" s="111" t="s">
        <v>28</v>
      </c>
      <c r="PT9" s="112"/>
      <c r="PU9" s="112"/>
      <c r="PV9" s="112"/>
      <c r="PW9" s="116"/>
      <c r="PX9" s="165">
        <f>IFERROR((((COUNTIF('Elève (3ème3)'!PR9:PW9,"A"))*4)+((COUNTIF('Elève (3ème3)'!PR9:PW9,"B"))*3)+((COUNTIF('Elève (3ème3)'!PR9:PW9,"C"))*2)+((COUNTIF('Elève (3ème3)'!PR9:PW9,"D"))*1))/(COUNTA(PR9:PW9)),"")</f>
        <v>3</v>
      </c>
      <c r="PY9" s="166" t="str">
        <f t="shared" si="105"/>
        <v>B</v>
      </c>
      <c r="PZ9" s="165">
        <f>IF(COUNT(PJ9,PP9,PX9)=0,"",SUM(PJ9,PP9,PX9)/COUNT(PJ9,PP9,PX9))</f>
        <v>2</v>
      </c>
      <c r="QA9" s="188" t="str">
        <f t="shared" si="106"/>
        <v>C</v>
      </c>
      <c r="QB9" s="110"/>
      <c r="QC9" s="111" t="s">
        <v>30</v>
      </c>
      <c r="QD9" s="112"/>
      <c r="QE9" s="165">
        <f>IFERROR((((COUNTIF('Elève (3ème3)'!QB9:QD9,"A"))*4)+((COUNTIF('Elève (3ème3)'!QB9:QD9,"B"))*3)+((COUNTIF('Elève (3ème3)'!QB9:QD9,"C"))*2)+((COUNTIF('Elève (3ème3)'!QB9:QD9,"D"))*1))/(COUNTA(QB9:QD9)),"")</f>
        <v>1</v>
      </c>
      <c r="QF9" s="166" t="str">
        <f t="shared" si="107"/>
        <v>D</v>
      </c>
      <c r="QG9" s="110"/>
      <c r="QH9" s="111"/>
      <c r="QI9" s="112"/>
      <c r="QJ9" s="112"/>
      <c r="QK9" s="165" t="str">
        <f>IFERROR((((COUNTIF('Elève (3ème3)'!QG9:QJ9,"A"))*4)+((COUNTIF('Elève (3ème3)'!QG9:QJ9,"B"))*3)+((COUNTIF('Elève (3ème3)'!QG9:QJ9,"C"))*2)+((COUNTIF('Elève (3ème3)'!QG9:QJ9,"D"))*1))/(COUNTA(QG9:QJ9)),"")</f>
        <v/>
      </c>
      <c r="QL9" s="166" t="str">
        <f t="shared" si="108"/>
        <v/>
      </c>
      <c r="QM9" s="110"/>
      <c r="QN9" s="111" t="s">
        <v>30</v>
      </c>
      <c r="QO9" s="112"/>
      <c r="QP9" s="112"/>
      <c r="QQ9" s="112"/>
      <c r="QR9" s="116"/>
      <c r="QS9" s="165">
        <f>IFERROR((((COUNTIF('Elève (3ème3)'!QM9:QR9,"A"))*4)+((COUNTIF('Elève (3ème3)'!QM9:QR9,"B"))*3)+((COUNTIF('Elève (3ème3)'!QM9:QR9,"C"))*2)+((COUNTIF('Elève (3ème3)'!QM9:QR9,"D"))*1))/(COUNTA(QM9:QR9)),"")</f>
        <v>1</v>
      </c>
      <c r="QT9" s="166" t="str">
        <f t="shared" si="109"/>
        <v>D</v>
      </c>
      <c r="QU9" s="165">
        <f>IF(COUNT(QE9,QK9,QS9)=0,"",SUM(QE9,QK9,QS9)/COUNT(QE9,QK9,QS9))</f>
        <v>1</v>
      </c>
      <c r="QV9" s="188" t="str">
        <f t="shared" si="110"/>
        <v>D</v>
      </c>
      <c r="QW9" s="110"/>
      <c r="QX9" s="111" t="s">
        <v>30</v>
      </c>
      <c r="QY9" s="112"/>
      <c r="QZ9" s="165">
        <f>IFERROR((((COUNTIF('Elève (3ème3)'!QW9:QY9,"A"))*4)+((COUNTIF('Elève (3ème3)'!QW9:QY9,"B"))*3)+((COUNTIF('Elève (3ème3)'!QW9:QY9,"C"))*2)+((COUNTIF('Elève (3ème3)'!QW9:QY9,"D"))*1))/(COUNTA(QW9:QY9)),"")</f>
        <v>1</v>
      </c>
      <c r="RA9" s="166" t="str">
        <f t="shared" si="111"/>
        <v>D</v>
      </c>
      <c r="RB9" s="110"/>
      <c r="RC9" s="111"/>
      <c r="RD9" s="112"/>
      <c r="RE9" s="112"/>
      <c r="RF9" s="165" t="str">
        <f>IFERROR((((COUNTIF('Elève (3ème3)'!RB9:RE9,"A"))*4)+((COUNTIF('Elève (3ème3)'!RB9:RE9,"B"))*3)+((COUNTIF('Elève (3ème3)'!RB9:RE9,"C"))*2)+((COUNTIF('Elève (3ème3)'!RB9:RE9,"D"))*1))/(COUNTA(RB9:RE9)),"")</f>
        <v/>
      </c>
      <c r="RG9" s="166" t="str">
        <f t="shared" si="112"/>
        <v/>
      </c>
      <c r="RH9" s="110"/>
      <c r="RI9" s="111" t="s">
        <v>28</v>
      </c>
      <c r="RJ9" s="112"/>
      <c r="RK9" s="112"/>
      <c r="RL9" s="112"/>
      <c r="RM9" s="116"/>
      <c r="RN9" s="165">
        <f>IFERROR((((COUNTIF('Elève (3ème3)'!RH9:RM9,"A"))*4)+((COUNTIF('Elève (3ème3)'!RH9:RM9,"B"))*3)+((COUNTIF('Elève (3ème3)'!RH9:RM9,"C"))*2)+((COUNTIF('Elève (3ème3)'!RH9:RM9,"D"))*1))/(COUNTA(RH9:RM9)),"")</f>
        <v>3</v>
      </c>
      <c r="RO9" s="166" t="str">
        <f t="shared" si="113"/>
        <v>B</v>
      </c>
      <c r="RP9" s="165">
        <f>IF(COUNT(QZ9,RF9,RN9)=0,"",SUM(QZ9,RF9,RN9)/COUNT(QZ9,RF9,RN9))</f>
        <v>2</v>
      </c>
      <c r="RQ9" s="188" t="str">
        <f t="shared" si="114"/>
        <v>C</v>
      </c>
      <c r="RR9" s="110"/>
      <c r="RS9" s="111" t="s">
        <v>30</v>
      </c>
      <c r="RT9" s="112"/>
      <c r="RU9" s="165">
        <f>IFERROR((((COUNTIF('Elève (3ème3)'!RR9:RT9,"A"))*4)+((COUNTIF('Elève (3ème3)'!RR9:RT9,"B"))*3)+((COUNTIF('Elève (3ème3)'!RR9:RT9,"C"))*2)+((COUNTIF('Elève (3ème3)'!RR9:RT9,"D"))*1))/(COUNTA(RR9:RT9)),"")</f>
        <v>1</v>
      </c>
      <c r="RV9" s="166" t="str">
        <f t="shared" si="115"/>
        <v>D</v>
      </c>
      <c r="RW9" s="110"/>
      <c r="RX9" s="111"/>
      <c r="RY9" s="112"/>
      <c r="RZ9" s="112"/>
      <c r="SA9" s="165" t="str">
        <f>IFERROR((((COUNTIF('Elève (3ème3)'!RW9:RZ9,"A"))*4)+((COUNTIF('Elève (3ème3)'!RW9:RZ9,"B"))*3)+((COUNTIF('Elève (3ème3)'!RW9:RZ9,"C"))*2)+((COUNTIF('Elève (3ème3)'!RW9:RZ9,"D"))*1))/(COUNTA(RW9:RZ9)),"")</f>
        <v/>
      </c>
      <c r="SB9" s="166" t="str">
        <f t="shared" si="116"/>
        <v/>
      </c>
      <c r="SC9" s="110"/>
      <c r="SD9" s="111" t="s">
        <v>30</v>
      </c>
      <c r="SE9" s="112"/>
      <c r="SF9" s="112"/>
      <c r="SG9" s="112"/>
      <c r="SH9" s="116"/>
      <c r="SI9" s="165">
        <f>IFERROR((((COUNTIF('Elève (3ème3)'!SC9:SH9,"A"))*4)+((COUNTIF('Elève (3ème3)'!SC9:SH9,"B"))*3)+((COUNTIF('Elève (3ème3)'!SC9:SH9,"C"))*2)+((COUNTIF('Elève (3ème3)'!SC9:SH9,"D"))*1))/(COUNTA(SC9:SH9)),"")</f>
        <v>1</v>
      </c>
      <c r="SJ9" s="166" t="str">
        <f t="shared" si="117"/>
        <v>D</v>
      </c>
      <c r="SK9" s="165">
        <f>IF(COUNT(RU9,SA9,SI9)=0,"",SUM(RU9,SA9,SI9)/COUNT(RU9,SA9,SI9))</f>
        <v>1</v>
      </c>
      <c r="SL9" s="188" t="str">
        <f t="shared" si="118"/>
        <v>D</v>
      </c>
      <c r="SM9" s="110"/>
      <c r="SN9" s="111"/>
      <c r="SO9" s="112"/>
      <c r="SP9" s="113" t="str">
        <f>IFERROR((((COUNTIF('Elève (3ème3)'!SM9:SO9,"A"))*4)+((COUNTIF('Elève (3ème3)'!SM9:SO9,"B"))*3)+((COUNTIF('Elève (3ème3)'!SM9:SO9,"C"))*2)+((COUNTIF('Elève (3ème3)'!SM9:SO9,"D"))*1))/(COUNTA(SM9:SO9)),"")</f>
        <v/>
      </c>
      <c r="SQ9" s="114" t="str">
        <f t="shared" si="119"/>
        <v/>
      </c>
      <c r="SR9" s="110"/>
      <c r="SS9" s="111"/>
      <c r="ST9" s="112"/>
      <c r="SU9" s="113" t="str">
        <f>IFERROR((((COUNTIF('Elève (3ème3)'!SR9:ST9,"A"))*4)+((COUNTIF('Elève (3ème3)'!SR9:ST9,"B"))*3)+((COUNTIF('Elève (3ème3)'!SR9:ST9,"C"))*2)+((COUNTIF('Elève (3ème3)'!SR9:ST9,"D"))*1))/(COUNTA(SR9:ST9)),"")</f>
        <v/>
      </c>
      <c r="SV9" s="114" t="str">
        <f t="shared" si="120"/>
        <v/>
      </c>
      <c r="SW9" s="110"/>
      <c r="SX9" s="111"/>
      <c r="SY9" s="116"/>
      <c r="SZ9" s="113" t="str">
        <f>IFERROR((((COUNTIF('Elève (3ème3)'!SW9:SY9,"A"))*4)+((COUNTIF('Elève (3ème3)'!SW9:SY9,"B"))*3)+((COUNTIF('Elève (3ème3)'!SW9:SY9,"C"))*2)+((COUNTIF('Elève (3ème3)'!SW9:SY9,"D"))*1))/(COUNTA(SW9:SY9)),"")</f>
        <v/>
      </c>
      <c r="TA9" s="114" t="str">
        <f t="shared" si="121"/>
        <v/>
      </c>
      <c r="TB9" s="113" t="str">
        <f>IF(COUNT(SP9,SU9,SZ9)=0,"",SUM(SP9,SU9,SZ9)/COUNT(SP9,SU9,SZ9))</f>
        <v/>
      </c>
      <c r="TC9" s="115" t="str">
        <f t="shared" si="122"/>
        <v/>
      </c>
      <c r="TD9" s="110"/>
      <c r="TE9" s="111"/>
      <c r="TF9" s="112"/>
      <c r="TG9" s="113" t="str">
        <f>IFERROR((((COUNTIF('Elève (3ème3)'!TD9:TF9,"A"))*4)+((COUNTIF('Elève (3ème3)'!TD9:TF9,"B"))*3)+((COUNTIF('Elève (3ème3)'!TD9:TF9,"C"))*2)+((COUNTIF('Elève (3ème3)'!TD9:TF9,"D"))*1))/(COUNTA(TD9:TF9)),"")</f>
        <v/>
      </c>
      <c r="TH9" s="114" t="str">
        <f t="shared" si="123"/>
        <v/>
      </c>
      <c r="TI9" s="110"/>
      <c r="TJ9" s="111"/>
      <c r="TK9" s="112"/>
      <c r="TL9" s="113" t="str">
        <f>IFERROR((((COUNTIF('Elève (3ème3)'!TI9:TK9,"A"))*4)+((COUNTIF('Elève (3ème3)'!TI9:TK9,"B"))*3)+((COUNTIF('Elève (3ème3)'!TI9:TK9,"C"))*2)+((COUNTIF('Elève (3ème3)'!TI9:TK9,"D"))*1))/(COUNTA(TI9:TK9)),"")</f>
        <v/>
      </c>
      <c r="TM9" s="114" t="str">
        <f t="shared" si="124"/>
        <v/>
      </c>
      <c r="TN9" s="110"/>
      <c r="TO9" s="111"/>
      <c r="TP9" s="116"/>
      <c r="TQ9" s="113" t="str">
        <f>IFERROR((((COUNTIF('Elève (3ème3)'!TN9:TP9,"A"))*4)+((COUNTIF('Elève (3ème3)'!TN9:TP9,"B"))*3)+((COUNTIF('Elève (3ème3)'!TN9:TP9,"C"))*2)+((COUNTIF('Elève (3ème3)'!TN9:TP9,"D"))*1))/(COUNTA(TN9:TP9)),"")</f>
        <v/>
      </c>
      <c r="TR9" s="114" t="str">
        <f t="shared" si="125"/>
        <v/>
      </c>
      <c r="TS9" s="113" t="str">
        <f>IF(COUNT(TG9,TL9,TQ9)=0,"",SUM(TG9,TL9,TQ9)/COUNT(TG9,TL9,TQ9))</f>
        <v/>
      </c>
      <c r="TT9" s="115" t="str">
        <f t="shared" si="126"/>
        <v/>
      </c>
      <c r="TU9" s="110"/>
      <c r="TV9" s="111"/>
      <c r="TW9" s="112"/>
      <c r="TX9" s="113" t="str">
        <f>IFERROR((((COUNTIF('Elève (3ème3)'!TU9:TW9,"A"))*4)+((COUNTIF('Elève (3ème3)'!TU9:TW9,"B"))*3)+((COUNTIF('Elève (3ème3)'!TU9:TW9,"C"))*2)+((COUNTIF('Elève (3ème3)'!TU9:TW9,"D"))*1))/(COUNTA(TU9:TW9)),"")</f>
        <v/>
      </c>
      <c r="TY9" s="114" t="str">
        <f t="shared" si="127"/>
        <v/>
      </c>
      <c r="TZ9" s="110"/>
      <c r="UA9" s="111"/>
      <c r="UB9" s="112"/>
      <c r="UC9" s="113" t="str">
        <f>IFERROR((((COUNTIF('Elève (3ème3)'!TZ9:UB9,"A"))*4)+((COUNTIF('Elève (3ème3)'!TZ9:UB9,"B"))*3)+((COUNTIF('Elève (3ème3)'!TZ9:UB9,"C"))*2)+((COUNTIF('Elève (3ème3)'!TZ9:UB9,"D"))*1))/(COUNTA(TZ9:UB9)),"")</f>
        <v/>
      </c>
      <c r="UD9" s="114" t="str">
        <f t="shared" si="128"/>
        <v/>
      </c>
      <c r="UE9" s="110"/>
      <c r="UF9" s="111"/>
      <c r="UG9" s="116"/>
      <c r="UH9" s="113" t="str">
        <f>IFERROR((((COUNTIF('Elève (3ème3)'!UE9:UG9,"A"))*4)+((COUNTIF('Elève (3ème3)'!UE9:UG9,"B"))*3)+((COUNTIF('Elève (3ème3)'!UE9:UG9,"C"))*2)+((COUNTIF('Elève (3ème3)'!UE9:UG9,"D"))*1))/(COUNTA(UE9:UG9)),"")</f>
        <v/>
      </c>
      <c r="UI9" s="114" t="str">
        <f t="shared" si="129"/>
        <v/>
      </c>
      <c r="UJ9" s="113" t="str">
        <f>IF(COUNT(TX9,UC9,UH9)=0,"",SUM(TX9,UC9,UH9)/COUNT(TX9,UC9,UH9))</f>
        <v/>
      </c>
      <c r="UK9" s="115" t="str">
        <f t="shared" si="130"/>
        <v/>
      </c>
      <c r="UL9" s="110"/>
      <c r="UM9" s="111"/>
      <c r="UN9" s="112"/>
      <c r="UO9" s="113" t="str">
        <f>IFERROR((((COUNTIF('Elève (3ème3)'!UL9:UN9,"A"))*4)+((COUNTIF('Elève (3ème3)'!UL9:UN9,"B"))*3)+((COUNTIF('Elève (3ème3)'!UL9:UN9,"C"))*2)+((COUNTIF('Elève (3ème3)'!UL9:UN9,"D"))*1))/(COUNTA(UL9:UN9)),"")</f>
        <v/>
      </c>
      <c r="UP9" s="114" t="str">
        <f t="shared" si="131"/>
        <v/>
      </c>
      <c r="UQ9" s="110"/>
      <c r="UR9" s="111"/>
      <c r="US9" s="112"/>
      <c r="UT9" s="113" t="str">
        <f>IFERROR((((COUNTIF('Elève (3ème3)'!UQ9:US9,"A"))*4)+((COUNTIF('Elève (3ème3)'!UQ9:US9,"B"))*3)+((COUNTIF('Elève (3ème3)'!UQ9:US9,"C"))*2)+((COUNTIF('Elève (3ème3)'!UQ9:US9,"D"))*1))/(COUNTA(UQ9:US9)),"")</f>
        <v/>
      </c>
      <c r="UU9" s="114" t="str">
        <f t="shared" si="132"/>
        <v/>
      </c>
      <c r="UV9" s="110"/>
      <c r="UW9" s="111"/>
      <c r="UX9" s="116"/>
      <c r="UY9" s="113" t="str">
        <f>IFERROR((((COUNTIF('Elève (3ème3)'!UV9:UX9,"A"))*4)+((COUNTIF('Elève (3ème3)'!UV9:UX9,"B"))*3)+((COUNTIF('Elève (3ème3)'!UV9:UX9,"C"))*2)+((COUNTIF('Elève (3ème3)'!UV9:UX9,"D"))*1))/(COUNTA(UV9:UX9)),"")</f>
        <v/>
      </c>
      <c r="UZ9" s="114" t="str">
        <f t="shared" si="133"/>
        <v/>
      </c>
      <c r="VA9" s="113" t="str">
        <f>IF(COUNT(UO9,UT9,UY9)=0,"",SUM(UO9,UT9,UY9)/COUNT(UO9,UT9,UY9))</f>
        <v/>
      </c>
      <c r="VB9" s="115" t="str">
        <f t="shared" si="134"/>
        <v/>
      </c>
      <c r="VC9" s="110"/>
      <c r="VD9" s="111"/>
      <c r="VE9" s="112"/>
      <c r="VF9" s="113" t="str">
        <f>IFERROR((((COUNTIF('Elève (3ème3)'!VC9:VE9,"A"))*4)+((COUNTIF('Elève (3ème3)'!VC9:VE9,"B"))*3)+((COUNTIF('Elève (3ème3)'!VC9:VE9,"C"))*2)+((COUNTIF('Elève (3ème3)'!VC9:VE9,"D"))*1))/(COUNTA(VC9:VE9)),"")</f>
        <v/>
      </c>
      <c r="VG9" s="114" t="str">
        <f t="shared" si="135"/>
        <v/>
      </c>
      <c r="VH9" s="110"/>
      <c r="VI9" s="111"/>
      <c r="VJ9" s="112"/>
      <c r="VK9" s="113" t="str">
        <f>IFERROR((((COUNTIF('Elève (3ème3)'!VH9:VJ9,"A"))*4)+((COUNTIF('Elève (3ème3)'!VH9:VJ9,"B"))*3)+((COUNTIF('Elève (3ème3)'!VH9:VJ9,"C"))*2)+((COUNTIF('Elève (3ème3)'!VH9:VJ9,"D"))*1))/(COUNTA(VH9:VJ9)),"")</f>
        <v/>
      </c>
      <c r="VL9" s="114" t="str">
        <f t="shared" si="136"/>
        <v/>
      </c>
      <c r="VM9" s="110"/>
      <c r="VN9" s="111"/>
      <c r="VO9" s="116"/>
      <c r="VP9" s="113" t="str">
        <f>IFERROR((((COUNTIF('Elève (3ème3)'!VM9:VO9,"A"))*4)+((COUNTIF('Elève (3ème3)'!VM9:VO9,"B"))*3)+((COUNTIF('Elève (3ème3)'!VM9:VO9,"C"))*2)+((COUNTIF('Elève (3ème3)'!VM9:VO9,"D"))*1))/(COUNTA(VM9:VO9)),"")</f>
        <v/>
      </c>
      <c r="VQ9" s="114" t="str">
        <f t="shared" si="137"/>
        <v/>
      </c>
      <c r="VR9" s="113" t="str">
        <f>IF(COUNT(VF9,VK9,VP9)=0,"",SUM(VF9,VK9,VP9)/COUNT(VF9,VK9,VP9))</f>
        <v/>
      </c>
      <c r="VS9" s="115" t="str">
        <f t="shared" si="138"/>
        <v/>
      </c>
      <c r="VT9" s="110"/>
      <c r="VU9" s="111"/>
      <c r="VV9" s="112"/>
      <c r="VW9" s="113" t="str">
        <f>IFERROR((((COUNTIF('Elève (3ème3)'!VT9:VV9,"A"))*4)+((COUNTIF('Elève (3ème3)'!VT9:VV9,"B"))*3)+((COUNTIF('Elève (3ème3)'!VT9:VV9,"C"))*2)+((COUNTIF('Elève (3ème3)'!VT9:VV9,"D"))*1))/(COUNTA(VT9:VV9)),"")</f>
        <v/>
      </c>
      <c r="VX9" s="114" t="str">
        <f t="shared" si="139"/>
        <v/>
      </c>
      <c r="VY9" s="110"/>
      <c r="VZ9" s="111"/>
      <c r="WA9" s="112"/>
      <c r="WB9" s="113" t="str">
        <f>IFERROR((((COUNTIF('Elève (3ème3)'!VY9:WA9,"A"))*4)+((COUNTIF('Elève (3ème3)'!VY9:WA9,"B"))*3)+((COUNTIF('Elève (3ème3)'!VY9:WA9,"C"))*2)+((COUNTIF('Elève (3ème3)'!VY9:WA9,"D"))*1))/(COUNTA(VY9:WA9)),"")</f>
        <v/>
      </c>
      <c r="WC9" s="114" t="str">
        <f t="shared" si="140"/>
        <v/>
      </c>
      <c r="WD9" s="110"/>
      <c r="WE9" s="111"/>
      <c r="WF9" s="116"/>
      <c r="WG9" s="113" t="str">
        <f>IFERROR((((COUNTIF('Elève (3ème3)'!WD9:WF9,"A"))*4)+((COUNTIF('Elève (3ème3)'!WD9:WF9,"B"))*3)+((COUNTIF('Elève (3ème3)'!WD9:WF9,"C"))*2)+((COUNTIF('Elève (3ème3)'!WD9:WF9,"D"))*1))/(COUNTA(WD9:WF9)),"")</f>
        <v/>
      </c>
      <c r="WH9" s="114" t="str">
        <f t="shared" si="141"/>
        <v/>
      </c>
      <c r="WI9" s="113" t="str">
        <f>IF(COUNT(VW9,WB9,WG9)=0,"",SUM(VW9,WB9,WG9)/COUNT(VW9,WB9,WG9))</f>
        <v/>
      </c>
      <c r="WJ9" s="115" t="str">
        <f t="shared" si="142"/>
        <v/>
      </c>
    </row>
    <row r="10" spans="1:608" s="118" customFormat="1" ht="17.25" customHeight="1" thickBot="1" x14ac:dyDescent="0.6">
      <c r="A10" s="144" t="s">
        <v>17</v>
      </c>
      <c r="B10" s="83">
        <v>1</v>
      </c>
      <c r="C10" s="153"/>
      <c r="D10" s="90"/>
      <c r="E10" s="91"/>
      <c r="F10" s="159">
        <f>IF(COUNT(F11:F12)=0,"",SUM(F11:F12)/COUNT(F11:F12))</f>
        <v>3.5</v>
      </c>
      <c r="G10" s="160" t="str">
        <f t="shared" si="23"/>
        <v>B</v>
      </c>
      <c r="H10" s="153"/>
      <c r="I10" s="90"/>
      <c r="J10" s="90"/>
      <c r="K10" s="91"/>
      <c r="L10" s="159" t="str">
        <f>IF(COUNT(L11,L12)=0,"",SUM(L11:L12)/COUNT(L11,L12))</f>
        <v/>
      </c>
      <c r="M10" s="175" t="str">
        <f t="shared" si="24"/>
        <v/>
      </c>
      <c r="N10" s="153"/>
      <c r="O10" s="90"/>
      <c r="P10" s="90"/>
      <c r="Q10" s="90"/>
      <c r="R10" s="90"/>
      <c r="S10" s="91"/>
      <c r="T10" s="159">
        <f>IF(COUNT(T11,T12)=0,"",SUM(T11:T12)/COUNT(T11,T12))</f>
        <v>3.375</v>
      </c>
      <c r="U10" s="183" t="str">
        <f t="shared" si="25"/>
        <v>B</v>
      </c>
      <c r="V10" s="184">
        <f>IF(COUNT(V11:V12)=0,"",SUM(V11:V12)/COUNT(V11:V12))</f>
        <v>3.4375</v>
      </c>
      <c r="W10" s="185" t="str">
        <f t="shared" si="26"/>
        <v>B</v>
      </c>
      <c r="X10" s="195"/>
      <c r="Y10" s="90"/>
      <c r="Z10" s="91"/>
      <c r="AA10" s="159">
        <f>IF(COUNT(AA11:AA12)=0,"",SUM(AA11:AA12)/COUNT(AA11:AA12))</f>
        <v>1</v>
      </c>
      <c r="AB10" s="160" t="str">
        <f t="shared" si="27"/>
        <v>D</v>
      </c>
      <c r="AC10" s="153"/>
      <c r="AD10" s="90"/>
      <c r="AE10" s="90"/>
      <c r="AF10" s="91"/>
      <c r="AG10" s="159" t="str">
        <f>IF(COUNT(AG11,AG12)=0,"",SUM(AG11:AG12)/COUNT(AG11,AG12))</f>
        <v/>
      </c>
      <c r="AH10" s="175" t="str">
        <f t="shared" si="28"/>
        <v/>
      </c>
      <c r="AI10" s="153"/>
      <c r="AJ10" s="90"/>
      <c r="AK10" s="90"/>
      <c r="AL10" s="90"/>
      <c r="AM10" s="90"/>
      <c r="AN10" s="91"/>
      <c r="AO10" s="159">
        <f>IF(COUNT(AO11,AO12)=0,"",SUM(AO11:AO12)/COUNT(AO11,AO12))</f>
        <v>3</v>
      </c>
      <c r="AP10" s="183" t="str">
        <f t="shared" si="29"/>
        <v>B</v>
      </c>
      <c r="AQ10" s="184">
        <f>IF(COUNT(AQ11:AQ12)=0,"",SUM(AQ11:AQ12)/COUNT(AQ11:AQ12))</f>
        <v>2</v>
      </c>
      <c r="AR10" s="185" t="str">
        <f t="shared" si="30"/>
        <v>C</v>
      </c>
      <c r="AS10" s="195"/>
      <c r="AT10" s="90"/>
      <c r="AU10" s="91"/>
      <c r="AV10" s="159">
        <f>IF(COUNT(AV11:AV12)=0,"",SUM(AV11:AV12)/COUNT(AV11:AV12))</f>
        <v>1.75</v>
      </c>
      <c r="AW10" s="160" t="str">
        <f t="shared" si="31"/>
        <v>C</v>
      </c>
      <c r="AX10" s="153"/>
      <c r="AY10" s="90"/>
      <c r="AZ10" s="90"/>
      <c r="BA10" s="91"/>
      <c r="BB10" s="159" t="str">
        <f>IF(COUNT(BB11,BB12)=0,"",SUM(BB11:BB12)/COUNT(BB11,BB12))</f>
        <v/>
      </c>
      <c r="BC10" s="175" t="str">
        <f t="shared" si="32"/>
        <v/>
      </c>
      <c r="BD10" s="153"/>
      <c r="BE10" s="90"/>
      <c r="BF10" s="90"/>
      <c r="BG10" s="90"/>
      <c r="BH10" s="90"/>
      <c r="BI10" s="91"/>
      <c r="BJ10" s="159">
        <f>IF(COUNT(BJ11,BJ12)=0,"",SUM(BJ11:BJ12)/COUNT(BJ11,BJ12))</f>
        <v>3</v>
      </c>
      <c r="BK10" s="183" t="str">
        <f t="shared" si="33"/>
        <v>B</v>
      </c>
      <c r="BL10" s="184">
        <f>IF(COUNT(BL11:BL12)=0,"",SUM(BL11:BL12)/COUNT(BL11:BL12))</f>
        <v>2.375</v>
      </c>
      <c r="BM10" s="185" t="str">
        <f t="shared" si="34"/>
        <v>C</v>
      </c>
      <c r="BN10" s="195"/>
      <c r="BO10" s="90"/>
      <c r="BP10" s="91"/>
      <c r="BQ10" s="159">
        <f>IF(COUNT(BQ11:BQ12)=0,"",SUM(BQ11:BQ12)/COUNT(BQ11:BQ12))</f>
        <v>3.25</v>
      </c>
      <c r="BR10" s="160" t="str">
        <f t="shared" si="35"/>
        <v>B</v>
      </c>
      <c r="BS10" s="153"/>
      <c r="BT10" s="90"/>
      <c r="BU10" s="90"/>
      <c r="BV10" s="91"/>
      <c r="BW10" s="159" t="str">
        <f>IF(COUNT(BW11,BW12)=0,"",SUM(BW11:BW12)/COUNT(BW11,BW12))</f>
        <v/>
      </c>
      <c r="BX10" s="175" t="str">
        <f t="shared" si="36"/>
        <v/>
      </c>
      <c r="BY10" s="153"/>
      <c r="BZ10" s="90"/>
      <c r="CA10" s="90"/>
      <c r="CB10" s="90"/>
      <c r="CC10" s="90"/>
      <c r="CD10" s="91"/>
      <c r="CE10" s="159">
        <f>IF(COUNT(CE11,CE12)=0,"",SUM(CE11:CE12)/COUNT(CE11,CE12))</f>
        <v>3.2</v>
      </c>
      <c r="CF10" s="183" t="str">
        <f t="shared" si="37"/>
        <v>B</v>
      </c>
      <c r="CG10" s="184">
        <f>IF(COUNT(CG11:CG12)=0,"",SUM(CG11:CG12)/COUNT(CG11:CG12))</f>
        <v>3.2250000000000001</v>
      </c>
      <c r="CH10" s="185" t="str">
        <f t="shared" si="38"/>
        <v>B</v>
      </c>
      <c r="CI10" s="195"/>
      <c r="CJ10" s="90"/>
      <c r="CK10" s="91"/>
      <c r="CL10" s="159">
        <f>IF(COUNT(CL11:CL12)=0,"",SUM(CL11:CL12)/COUNT(CL11:CL12))</f>
        <v>2.5</v>
      </c>
      <c r="CM10" s="160" t="str">
        <f t="shared" si="39"/>
        <v>C</v>
      </c>
      <c r="CN10" s="153"/>
      <c r="CO10" s="90"/>
      <c r="CP10" s="90"/>
      <c r="CQ10" s="91"/>
      <c r="CR10" s="159" t="str">
        <f>IF(COUNT(CR11,CR12)=0,"",SUM(CR11:CR12)/COUNT(CR11,CR12))</f>
        <v/>
      </c>
      <c r="CS10" s="175" t="str">
        <f t="shared" si="40"/>
        <v/>
      </c>
      <c r="CT10" s="153"/>
      <c r="CU10" s="90"/>
      <c r="CV10" s="90"/>
      <c r="CW10" s="90"/>
      <c r="CX10" s="90"/>
      <c r="CY10" s="91"/>
      <c r="CZ10" s="159">
        <f>IF(COUNT(CZ11,CZ12)=0,"",SUM(CZ11:CZ12)/COUNT(CZ11,CZ12))</f>
        <v>3.3</v>
      </c>
      <c r="DA10" s="183" t="str">
        <f t="shared" si="41"/>
        <v>B</v>
      </c>
      <c r="DB10" s="184">
        <f>IF(COUNT(DB11:DB12)=0,"",SUM(DB11:DB12)/COUNT(DB11:DB12))</f>
        <v>2.9</v>
      </c>
      <c r="DC10" s="185" t="str">
        <f t="shared" si="42"/>
        <v>B</v>
      </c>
      <c r="DD10" s="195"/>
      <c r="DE10" s="90"/>
      <c r="DF10" s="91"/>
      <c r="DG10" s="159">
        <f>IF(COUNT(DG11:DG12)=0,"",SUM(DG11:DG12)/COUNT(DG11:DG12))</f>
        <v>2.75</v>
      </c>
      <c r="DH10" s="160" t="str">
        <f t="shared" si="43"/>
        <v>C</v>
      </c>
      <c r="DI10" s="153"/>
      <c r="DJ10" s="90"/>
      <c r="DK10" s="90"/>
      <c r="DL10" s="91"/>
      <c r="DM10" s="159" t="str">
        <f>IF(COUNT(DM11,DM12)=0,"",SUM(DM11:DM12)/COUNT(DM11,DM12))</f>
        <v/>
      </c>
      <c r="DN10" s="175" t="str">
        <f t="shared" si="44"/>
        <v/>
      </c>
      <c r="DO10" s="153"/>
      <c r="DP10" s="90"/>
      <c r="DQ10" s="90"/>
      <c r="DR10" s="90"/>
      <c r="DS10" s="90"/>
      <c r="DT10" s="91"/>
      <c r="DU10" s="159">
        <f>IF(COUNT(DU11,DU12)=0,"",SUM(DU11:DU12)/COUNT(DU11,DU12))</f>
        <v>2.5</v>
      </c>
      <c r="DV10" s="183" t="str">
        <f t="shared" si="45"/>
        <v>C</v>
      </c>
      <c r="DW10" s="184">
        <f>IF(COUNT(DW11:DW12)=0,"",SUM(DW11:DW12)/COUNT(DW11:DW12))</f>
        <v>2.625</v>
      </c>
      <c r="DX10" s="185" t="str">
        <f t="shared" si="46"/>
        <v>C</v>
      </c>
      <c r="DY10" s="195"/>
      <c r="DZ10" s="90"/>
      <c r="EA10" s="91"/>
      <c r="EB10" s="159">
        <f>IF(COUNT(EB11:EB12)=0,"",SUM(EB11:EB12)/COUNT(EB11:EB12))</f>
        <v>2.75</v>
      </c>
      <c r="EC10" s="160" t="str">
        <f t="shared" si="47"/>
        <v>C</v>
      </c>
      <c r="ED10" s="153"/>
      <c r="EE10" s="90"/>
      <c r="EF10" s="90"/>
      <c r="EG10" s="91"/>
      <c r="EH10" s="159" t="str">
        <f>IF(COUNT(EH11,EH12)=0,"",SUM(EH11:EH12)/COUNT(EH11,EH12))</f>
        <v/>
      </c>
      <c r="EI10" s="175" t="str">
        <f t="shared" si="48"/>
        <v/>
      </c>
      <c r="EJ10" s="153"/>
      <c r="EK10" s="90"/>
      <c r="EL10" s="90"/>
      <c r="EM10" s="90"/>
      <c r="EN10" s="90"/>
      <c r="EO10" s="91"/>
      <c r="EP10" s="159">
        <f>IF(COUNT(EP11,EP12)=0,"",SUM(EP11:EP12)/COUNT(EP11,EP12))</f>
        <v>2.9</v>
      </c>
      <c r="EQ10" s="183" t="str">
        <f t="shared" si="49"/>
        <v>B</v>
      </c>
      <c r="ER10" s="184">
        <f>IF(COUNT(ER11:ER12)=0,"",SUM(ER11:ER12)/COUNT(ER11:ER12))</f>
        <v>2.8250000000000002</v>
      </c>
      <c r="ES10" s="185" t="str">
        <f t="shared" si="50"/>
        <v>B</v>
      </c>
      <c r="ET10" s="195"/>
      <c r="EU10" s="90"/>
      <c r="EV10" s="91"/>
      <c r="EW10" s="159">
        <f>IF(COUNT(EW11:EW12)=0,"",SUM(EW11:EW12)/COUNT(EW11:EW12))</f>
        <v>3.75</v>
      </c>
      <c r="EX10" s="160" t="str">
        <f t="shared" si="51"/>
        <v>A</v>
      </c>
      <c r="EY10" s="153"/>
      <c r="EZ10" s="90"/>
      <c r="FA10" s="90"/>
      <c r="FB10" s="91"/>
      <c r="FC10" s="159" t="str">
        <f>IF(COUNT(FC11,FC12)=0,"",SUM(FC11:FC12)/COUNT(FC11,FC12))</f>
        <v/>
      </c>
      <c r="FD10" s="175" t="str">
        <f t="shared" si="52"/>
        <v/>
      </c>
      <c r="FE10" s="153"/>
      <c r="FF10" s="90"/>
      <c r="FG10" s="90"/>
      <c r="FH10" s="90"/>
      <c r="FI10" s="90"/>
      <c r="FJ10" s="91"/>
      <c r="FK10" s="159">
        <f>IF(COUNT(FK11,FK12)=0,"",SUM(FK11:FK12)/COUNT(FK11,FK12))</f>
        <v>3.9</v>
      </c>
      <c r="FL10" s="183" t="str">
        <f t="shared" si="53"/>
        <v>A</v>
      </c>
      <c r="FM10" s="184">
        <f>IF(COUNT(FM11:FM12)=0,"",SUM(FM11:FM12)/COUNT(FM11:FM12))</f>
        <v>3.8250000000000002</v>
      </c>
      <c r="FN10" s="185" t="str">
        <f t="shared" si="54"/>
        <v>A</v>
      </c>
      <c r="FO10" s="195"/>
      <c r="FP10" s="90"/>
      <c r="FQ10" s="91"/>
      <c r="FR10" s="159">
        <f>IF(COUNT(FR11:FR12)=0,"",SUM(FR11:FR12)/COUNT(FR11:FR12))</f>
        <v>2.75</v>
      </c>
      <c r="FS10" s="160" t="str">
        <f t="shared" si="55"/>
        <v>C</v>
      </c>
      <c r="FT10" s="153"/>
      <c r="FU10" s="90"/>
      <c r="FV10" s="90"/>
      <c r="FW10" s="91"/>
      <c r="FX10" s="159" t="str">
        <f>IF(COUNT(FX11,FX12)=0,"",SUM(FX11:FX12)/COUNT(FX11,FX12))</f>
        <v/>
      </c>
      <c r="FY10" s="175" t="str">
        <f t="shared" si="56"/>
        <v/>
      </c>
      <c r="FZ10" s="153"/>
      <c r="GA10" s="90"/>
      <c r="GB10" s="90"/>
      <c r="GC10" s="90"/>
      <c r="GD10" s="90"/>
      <c r="GE10" s="91"/>
      <c r="GF10" s="159">
        <f>IF(COUNT(GF11,GF12)=0,"",SUM(GF11:GF12)/COUNT(GF11,GF12))</f>
        <v>3.25</v>
      </c>
      <c r="GG10" s="183" t="str">
        <f t="shared" si="57"/>
        <v>B</v>
      </c>
      <c r="GH10" s="184">
        <f>IF(COUNT(GH11:GH12)=0,"",SUM(GH11:GH12)/COUNT(GH11:GH12))</f>
        <v>3</v>
      </c>
      <c r="GI10" s="185" t="str">
        <f t="shared" si="58"/>
        <v>B</v>
      </c>
      <c r="GJ10" s="195"/>
      <c r="GK10" s="90"/>
      <c r="GL10" s="91"/>
      <c r="GM10" s="159">
        <f>IF(COUNT(GM11:GM12)=0,"",SUM(GM11:GM12)/COUNT(GM11:GM12))</f>
        <v>3</v>
      </c>
      <c r="GN10" s="160" t="str">
        <f t="shared" si="59"/>
        <v>B</v>
      </c>
      <c r="GO10" s="153"/>
      <c r="GP10" s="90"/>
      <c r="GQ10" s="90"/>
      <c r="GR10" s="91"/>
      <c r="GS10" s="159" t="str">
        <f>IF(COUNT(GS11,GS12)=0,"",SUM(GS11:GS12)/COUNT(GS11,GS12))</f>
        <v/>
      </c>
      <c r="GT10" s="175" t="str">
        <f t="shared" si="60"/>
        <v/>
      </c>
      <c r="GU10" s="153"/>
      <c r="GV10" s="90"/>
      <c r="GW10" s="90"/>
      <c r="GX10" s="90"/>
      <c r="GY10" s="90"/>
      <c r="GZ10" s="91"/>
      <c r="HA10" s="159">
        <f>IF(COUNT(HA11,HA12)=0,"",SUM(HA11:HA12)/COUNT(HA11,HA12))</f>
        <v>3.9</v>
      </c>
      <c r="HB10" s="183" t="str">
        <f t="shared" si="61"/>
        <v>A</v>
      </c>
      <c r="HC10" s="184">
        <f>IF(COUNT(HC11:HC12)=0,"",SUM(HC11:HC12)/COUNT(HC11:HC12))</f>
        <v>3.45</v>
      </c>
      <c r="HD10" s="185" t="str">
        <f t="shared" si="62"/>
        <v>B</v>
      </c>
      <c r="HE10" s="195"/>
      <c r="HF10" s="90"/>
      <c r="HG10" s="91"/>
      <c r="HH10" s="159">
        <f>IF(COUNT(HH11:HH12)=0,"",SUM(HH11:HH12)/COUNT(HH11:HH12))</f>
        <v>3</v>
      </c>
      <c r="HI10" s="160" t="str">
        <f t="shared" si="63"/>
        <v>B</v>
      </c>
      <c r="HJ10" s="153"/>
      <c r="HK10" s="90"/>
      <c r="HL10" s="90"/>
      <c r="HM10" s="91"/>
      <c r="HN10" s="159" t="str">
        <f>IF(COUNT(HN11,HN12)=0,"",SUM(HN11:HN12)/COUNT(HN11,HN12))</f>
        <v/>
      </c>
      <c r="HO10" s="175" t="str">
        <f t="shared" si="64"/>
        <v/>
      </c>
      <c r="HP10" s="153"/>
      <c r="HQ10" s="90"/>
      <c r="HR10" s="90"/>
      <c r="HS10" s="90"/>
      <c r="HT10" s="90"/>
      <c r="HU10" s="91"/>
      <c r="HV10" s="159">
        <f>IF(COUNT(HV11,HV12)=0,"",SUM(HV11:HV12)/COUNT(HV11,HV12))</f>
        <v>3.7</v>
      </c>
      <c r="HW10" s="183" t="str">
        <f t="shared" si="65"/>
        <v>B</v>
      </c>
      <c r="HX10" s="184">
        <f>IF(COUNT(HX11:HX12)=0,"",SUM(HX11:HX12)/COUNT(HX11:HX12))</f>
        <v>3.35</v>
      </c>
      <c r="HY10" s="185" t="str">
        <f t="shared" si="66"/>
        <v>B</v>
      </c>
      <c r="HZ10" s="195"/>
      <c r="IA10" s="90"/>
      <c r="IB10" s="91"/>
      <c r="IC10" s="159">
        <f>IF(COUNT(IC11:IC12)=0,"",SUM(IC11:IC12)/COUNT(IC11:IC12))</f>
        <v>2.25</v>
      </c>
      <c r="ID10" s="160" t="str">
        <f t="shared" si="67"/>
        <v>C</v>
      </c>
      <c r="IE10" s="153"/>
      <c r="IF10" s="90"/>
      <c r="IG10" s="90"/>
      <c r="IH10" s="91"/>
      <c r="II10" s="159" t="str">
        <f>IF(COUNT(II11,II12)=0,"",SUM(II11:II12)/COUNT(II11,II12))</f>
        <v/>
      </c>
      <c r="IJ10" s="175" t="str">
        <f t="shared" si="68"/>
        <v/>
      </c>
      <c r="IK10" s="153"/>
      <c r="IL10" s="90"/>
      <c r="IM10" s="90"/>
      <c r="IN10" s="90"/>
      <c r="IO10" s="90"/>
      <c r="IP10" s="91"/>
      <c r="IQ10" s="159">
        <f>IF(COUNT(IQ11,IQ12)=0,"",SUM(IQ11:IQ12)/COUNT(IQ11,IQ12))</f>
        <v>2.6</v>
      </c>
      <c r="IR10" s="183" t="str">
        <f t="shared" si="69"/>
        <v>C</v>
      </c>
      <c r="IS10" s="184">
        <f>IF(COUNT(IS11:IS12)=0,"",SUM(IS11:IS12)/COUNT(IS11:IS12))</f>
        <v>2.4249999999999998</v>
      </c>
      <c r="IT10" s="185" t="str">
        <f t="shared" si="70"/>
        <v>C</v>
      </c>
      <c r="IU10" s="195"/>
      <c r="IV10" s="90"/>
      <c r="IW10" s="91"/>
      <c r="IX10" s="159">
        <f>IF(COUNT(IX11:IX12)=0,"",SUM(IX11:IX12)/COUNT(IX11:IX12))</f>
        <v>2.75</v>
      </c>
      <c r="IY10" s="160" t="str">
        <f t="shared" si="71"/>
        <v>C</v>
      </c>
      <c r="IZ10" s="153"/>
      <c r="JA10" s="90"/>
      <c r="JB10" s="90"/>
      <c r="JC10" s="91"/>
      <c r="JD10" s="159" t="str">
        <f>IF(COUNT(JD11,JD12)=0,"",SUM(JD11:JD12)/COUNT(JD11,JD12))</f>
        <v/>
      </c>
      <c r="JE10" s="175" t="str">
        <f t="shared" si="72"/>
        <v/>
      </c>
      <c r="JF10" s="153"/>
      <c r="JG10" s="90"/>
      <c r="JH10" s="90"/>
      <c r="JI10" s="90"/>
      <c r="JJ10" s="90"/>
      <c r="JK10" s="91"/>
      <c r="JL10" s="159">
        <f>IF(COUNT(JL11,JL12)=0,"",SUM(JL11:JL12)/COUNT(JL11,JL12))</f>
        <v>3.2</v>
      </c>
      <c r="JM10" s="183" t="str">
        <f t="shared" si="73"/>
        <v>B</v>
      </c>
      <c r="JN10" s="184">
        <f>IF(COUNT(JN11:JN12)=0,"",SUM(JN11:JN12)/COUNT(JN11:JN12))</f>
        <v>2.9750000000000001</v>
      </c>
      <c r="JO10" s="185" t="str">
        <f t="shared" si="74"/>
        <v>B</v>
      </c>
      <c r="JP10" s="195"/>
      <c r="JQ10" s="90"/>
      <c r="JR10" s="91"/>
      <c r="JS10" s="159">
        <f>IF(COUNT(JS11:JS12)=0,"",SUM(JS11:JS12)/COUNT(JS11:JS12))</f>
        <v>2.75</v>
      </c>
      <c r="JT10" s="160" t="str">
        <f t="shared" si="75"/>
        <v>C</v>
      </c>
      <c r="JU10" s="153"/>
      <c r="JV10" s="90"/>
      <c r="JW10" s="90"/>
      <c r="JX10" s="91"/>
      <c r="JY10" s="159" t="str">
        <f>IF(COUNT(JY11,JY12)=0,"",SUM(JY11:JY12)/COUNT(JY11,JY12))</f>
        <v/>
      </c>
      <c r="JZ10" s="175" t="str">
        <f t="shared" si="76"/>
        <v/>
      </c>
      <c r="KA10" s="153"/>
      <c r="KB10" s="90"/>
      <c r="KC10" s="90"/>
      <c r="KD10" s="90"/>
      <c r="KE10" s="90"/>
      <c r="KF10" s="91"/>
      <c r="KG10" s="159">
        <f>IF(COUNT(KG11,KG12)=0,"",SUM(KG11:KG12)/COUNT(KG11,KG12))</f>
        <v>2.6</v>
      </c>
      <c r="KH10" s="183" t="str">
        <f t="shared" si="77"/>
        <v>C</v>
      </c>
      <c r="KI10" s="184">
        <f>IF(COUNT(KI11:KI12)=0,"",SUM(KI11:KI12)/COUNT(KI11:KI12))</f>
        <v>2.6749999999999998</v>
      </c>
      <c r="KJ10" s="185" t="str">
        <f t="shared" si="78"/>
        <v>C</v>
      </c>
      <c r="KK10" s="195"/>
      <c r="KL10" s="90"/>
      <c r="KM10" s="91"/>
      <c r="KN10" s="159">
        <f>IF(COUNT(KN11:KN12)=0,"",SUM(KN11:KN12)/COUNT(KN11:KN12))</f>
        <v>3.5</v>
      </c>
      <c r="KO10" s="160" t="str">
        <f t="shared" si="79"/>
        <v>B</v>
      </c>
      <c r="KP10" s="153"/>
      <c r="KQ10" s="90"/>
      <c r="KR10" s="90"/>
      <c r="KS10" s="91"/>
      <c r="KT10" s="159" t="str">
        <f>IF(COUNT(KT11,KT12)=0,"",SUM(KT11:KT12)/COUNT(KT11,KT12))</f>
        <v/>
      </c>
      <c r="KU10" s="175" t="str">
        <f t="shared" si="80"/>
        <v/>
      </c>
      <c r="KV10" s="153"/>
      <c r="KW10" s="90"/>
      <c r="KX10" s="90"/>
      <c r="KY10" s="90"/>
      <c r="KZ10" s="90"/>
      <c r="LA10" s="91"/>
      <c r="LB10" s="159">
        <f>IF(COUNT(LB11,LB12)=0,"",SUM(LB11:LB12)/COUNT(LB11,LB12))</f>
        <v>2.5</v>
      </c>
      <c r="LC10" s="183" t="str">
        <f t="shared" si="81"/>
        <v>C</v>
      </c>
      <c r="LD10" s="184">
        <f>IF(COUNT(LD11:LD12)=0,"",SUM(LD11:LD12)/COUNT(LD11:LD12))</f>
        <v>3</v>
      </c>
      <c r="LE10" s="185" t="str">
        <f t="shared" si="82"/>
        <v>B</v>
      </c>
      <c r="LF10" s="195"/>
      <c r="LG10" s="90"/>
      <c r="LH10" s="91"/>
      <c r="LI10" s="159">
        <f>IF(COUNT(LI11:LI12)=0,"",SUM(LI11:LI12)/COUNT(LI11:LI12))</f>
        <v>2.75</v>
      </c>
      <c r="LJ10" s="160" t="str">
        <f t="shared" si="83"/>
        <v>C</v>
      </c>
      <c r="LK10" s="153"/>
      <c r="LL10" s="90"/>
      <c r="LM10" s="90"/>
      <c r="LN10" s="91"/>
      <c r="LO10" s="159" t="str">
        <f>IF(COUNT(LO11,LO12)=0,"",SUM(LO11:LO12)/COUNT(LO11,LO12))</f>
        <v/>
      </c>
      <c r="LP10" s="175" t="str">
        <f t="shared" si="84"/>
        <v/>
      </c>
      <c r="LQ10" s="153"/>
      <c r="LR10" s="90"/>
      <c r="LS10" s="90"/>
      <c r="LT10" s="90"/>
      <c r="LU10" s="90"/>
      <c r="LV10" s="91"/>
      <c r="LW10" s="159">
        <f>IF(COUNT(LW11,LW12)=0,"",SUM(LW11:LW12)/COUNT(LW11,LW12))</f>
        <v>3.1</v>
      </c>
      <c r="LX10" s="183" t="str">
        <f t="shared" si="85"/>
        <v>B</v>
      </c>
      <c r="LY10" s="184">
        <f>IF(COUNT(LY11:LY12)=0,"",SUM(LY11:LY12)/COUNT(LY11:LY12))</f>
        <v>2.9249999999999998</v>
      </c>
      <c r="LZ10" s="185" t="str">
        <f t="shared" si="86"/>
        <v>B</v>
      </c>
      <c r="MA10" s="195"/>
      <c r="MB10" s="90"/>
      <c r="MC10" s="91"/>
      <c r="MD10" s="159">
        <f>IF(COUNT(MD11:MD12)=0,"",SUM(MD11:MD12)/COUNT(MD11:MD12))</f>
        <v>3</v>
      </c>
      <c r="ME10" s="160" t="str">
        <f t="shared" si="87"/>
        <v>B</v>
      </c>
      <c r="MF10" s="153"/>
      <c r="MG10" s="90"/>
      <c r="MH10" s="90"/>
      <c r="MI10" s="91"/>
      <c r="MJ10" s="159" t="str">
        <f>IF(COUNT(MJ11,MJ12)=0,"",SUM(MJ11:MJ12)/COUNT(MJ11,MJ12))</f>
        <v/>
      </c>
      <c r="MK10" s="175" t="str">
        <f t="shared" si="88"/>
        <v/>
      </c>
      <c r="ML10" s="153"/>
      <c r="MM10" s="90"/>
      <c r="MN10" s="90"/>
      <c r="MO10" s="90"/>
      <c r="MP10" s="90"/>
      <c r="MQ10" s="91"/>
      <c r="MR10" s="159">
        <f>IF(COUNT(MR11,MR12)=0,"",SUM(MR11:MR12)/COUNT(MR11,MR12))</f>
        <v>2.5</v>
      </c>
      <c r="MS10" s="183" t="str">
        <f t="shared" si="89"/>
        <v>C</v>
      </c>
      <c r="MT10" s="184">
        <f>IF(COUNT(MT11:MT12)=0,"",SUM(MT11:MT12)/COUNT(MT11:MT12))</f>
        <v>2.75</v>
      </c>
      <c r="MU10" s="185" t="str">
        <f t="shared" si="90"/>
        <v>C</v>
      </c>
      <c r="MV10" s="195"/>
      <c r="MW10" s="90"/>
      <c r="MX10" s="91"/>
      <c r="MY10" s="159">
        <f>IF(COUNT(MY11:MY12)=0,"",SUM(MY11:MY12)/COUNT(MY11:MY12))</f>
        <v>2.5</v>
      </c>
      <c r="MZ10" s="160" t="str">
        <f t="shared" si="91"/>
        <v>C</v>
      </c>
      <c r="NA10" s="153"/>
      <c r="NB10" s="90"/>
      <c r="NC10" s="90"/>
      <c r="ND10" s="91"/>
      <c r="NE10" s="159" t="str">
        <f>IF(COUNT(NE11,NE12)=0,"",SUM(NE11:NE12)/COUNT(NE11,NE12))</f>
        <v/>
      </c>
      <c r="NF10" s="175" t="str">
        <f t="shared" si="92"/>
        <v/>
      </c>
      <c r="NG10" s="153"/>
      <c r="NH10" s="90"/>
      <c r="NI10" s="90"/>
      <c r="NJ10" s="90"/>
      <c r="NK10" s="90"/>
      <c r="NL10" s="91"/>
      <c r="NM10" s="159">
        <f>IF(COUNT(NM11,NM12)=0,"",SUM(NM11:NM12)/COUNT(NM11,NM12))</f>
        <v>2.5</v>
      </c>
      <c r="NN10" s="183" t="str">
        <f t="shared" si="93"/>
        <v>C</v>
      </c>
      <c r="NO10" s="184">
        <f>IF(COUNT(NO11:NO12)=0,"",SUM(NO11:NO12)/COUNT(NO11:NO12))</f>
        <v>2.5</v>
      </c>
      <c r="NP10" s="185" t="str">
        <f t="shared" si="94"/>
        <v>C</v>
      </c>
      <c r="NQ10" s="195"/>
      <c r="NR10" s="90"/>
      <c r="NS10" s="91"/>
      <c r="NT10" s="159">
        <f>IF(COUNT(NT11:NT12)=0,"",SUM(NT11:NT12)/COUNT(NT11:NT12))</f>
        <v>3.25</v>
      </c>
      <c r="NU10" s="160" t="str">
        <f t="shared" si="95"/>
        <v>B</v>
      </c>
      <c r="NV10" s="153"/>
      <c r="NW10" s="90"/>
      <c r="NX10" s="90"/>
      <c r="NY10" s="91"/>
      <c r="NZ10" s="159" t="str">
        <f>IF(COUNT(NZ11,NZ12)=0,"",SUM(NZ11:NZ12)/COUNT(NZ11,NZ12))</f>
        <v/>
      </c>
      <c r="OA10" s="175" t="str">
        <f t="shared" si="96"/>
        <v/>
      </c>
      <c r="OB10" s="153"/>
      <c r="OC10" s="90"/>
      <c r="OD10" s="90"/>
      <c r="OE10" s="90"/>
      <c r="OF10" s="90"/>
      <c r="OG10" s="91"/>
      <c r="OH10" s="159">
        <f>IF(COUNT(OH11,OH12)=0,"",SUM(OH11:OH12)/COUNT(OH11,OH12))</f>
        <v>2.9</v>
      </c>
      <c r="OI10" s="183" t="str">
        <f t="shared" si="97"/>
        <v>B</v>
      </c>
      <c r="OJ10" s="184">
        <f>IF(COUNT(OJ11:OJ12)=0,"",SUM(OJ11:OJ12)/COUNT(OJ11:OJ12))</f>
        <v>3.0750000000000002</v>
      </c>
      <c r="OK10" s="185" t="str">
        <f t="shared" si="98"/>
        <v>B</v>
      </c>
      <c r="OL10" s="195"/>
      <c r="OM10" s="90"/>
      <c r="ON10" s="91"/>
      <c r="OO10" s="159">
        <f>IF(COUNT(OO11:OO12)=0,"",SUM(OO11:OO12)/COUNT(OO11:OO12))</f>
        <v>1.75</v>
      </c>
      <c r="OP10" s="160" t="str">
        <f t="shared" si="99"/>
        <v>C</v>
      </c>
      <c r="OQ10" s="153"/>
      <c r="OR10" s="90"/>
      <c r="OS10" s="90"/>
      <c r="OT10" s="91"/>
      <c r="OU10" s="159" t="str">
        <f>IF(COUNT(OU11,OU12)=0,"",SUM(OU11:OU12)/COUNT(OU11,OU12))</f>
        <v/>
      </c>
      <c r="OV10" s="175" t="str">
        <f t="shared" si="100"/>
        <v/>
      </c>
      <c r="OW10" s="153"/>
      <c r="OX10" s="90"/>
      <c r="OY10" s="90"/>
      <c r="OZ10" s="90"/>
      <c r="PA10" s="90"/>
      <c r="PB10" s="91"/>
      <c r="PC10" s="159">
        <f>IF(COUNT(PC11,PC12)=0,"",SUM(PC11:PC12)/COUNT(PC11,PC12))</f>
        <v>3.125</v>
      </c>
      <c r="PD10" s="183" t="str">
        <f t="shared" si="101"/>
        <v>B</v>
      </c>
      <c r="PE10" s="184">
        <f>IF(COUNT(PE11:PE12)=0,"",SUM(PE11:PE12)/COUNT(PE11:PE12))</f>
        <v>2.4375</v>
      </c>
      <c r="PF10" s="185" t="str">
        <f t="shared" si="102"/>
        <v>C</v>
      </c>
      <c r="PG10" s="195"/>
      <c r="PH10" s="90"/>
      <c r="PI10" s="91"/>
      <c r="PJ10" s="159">
        <f>IF(COUNT(PJ11:PJ12)=0,"",SUM(PJ11:PJ12)/COUNT(PJ11:PJ12))</f>
        <v>3.25</v>
      </c>
      <c r="PK10" s="160" t="str">
        <f t="shared" si="103"/>
        <v>B</v>
      </c>
      <c r="PL10" s="153"/>
      <c r="PM10" s="90"/>
      <c r="PN10" s="90"/>
      <c r="PO10" s="91"/>
      <c r="PP10" s="159" t="str">
        <f>IF(COUNT(PP11,PP12)=0,"",SUM(PP11:PP12)/COUNT(PP11,PP12))</f>
        <v/>
      </c>
      <c r="PQ10" s="175" t="str">
        <f t="shared" si="104"/>
        <v/>
      </c>
      <c r="PR10" s="153"/>
      <c r="PS10" s="90"/>
      <c r="PT10" s="90"/>
      <c r="PU10" s="90"/>
      <c r="PV10" s="90"/>
      <c r="PW10" s="91"/>
      <c r="PX10" s="159">
        <f>IF(COUNT(PX11,PX12)=0,"",SUM(PX11:PX12)/COUNT(PX11,PX12))</f>
        <v>3.8</v>
      </c>
      <c r="PY10" s="183" t="str">
        <f t="shared" si="105"/>
        <v>A</v>
      </c>
      <c r="PZ10" s="184">
        <f>IF(COUNT(PZ11:PZ12)=0,"",SUM(PZ11:PZ12)/COUNT(PZ11:PZ12))</f>
        <v>3.5249999999999999</v>
      </c>
      <c r="QA10" s="185" t="str">
        <f t="shared" si="106"/>
        <v>B</v>
      </c>
      <c r="QB10" s="195"/>
      <c r="QC10" s="90"/>
      <c r="QD10" s="91"/>
      <c r="QE10" s="159">
        <f>IF(COUNT(QE11:QE12)=0,"",SUM(QE11:QE12)/COUNT(QE11:QE12))</f>
        <v>3</v>
      </c>
      <c r="QF10" s="160" t="str">
        <f t="shared" si="107"/>
        <v>B</v>
      </c>
      <c r="QG10" s="153"/>
      <c r="QH10" s="90"/>
      <c r="QI10" s="90"/>
      <c r="QJ10" s="91"/>
      <c r="QK10" s="159" t="str">
        <f>IF(COUNT(QK11,QK12)=0,"",SUM(QK11:QK12)/COUNT(QK11,QK12))</f>
        <v/>
      </c>
      <c r="QL10" s="175" t="str">
        <f t="shared" si="108"/>
        <v/>
      </c>
      <c r="QM10" s="153"/>
      <c r="QN10" s="90"/>
      <c r="QO10" s="90"/>
      <c r="QP10" s="90"/>
      <c r="QQ10" s="90"/>
      <c r="QR10" s="91"/>
      <c r="QS10" s="159">
        <f>IF(COUNT(QS11,QS12)=0,"",SUM(QS11:QS12)/COUNT(QS11,QS12))</f>
        <v>3.2</v>
      </c>
      <c r="QT10" s="183" t="str">
        <f t="shared" si="109"/>
        <v>B</v>
      </c>
      <c r="QU10" s="184">
        <f>IF(COUNT(QU11:QU12)=0,"",SUM(QU11:QU12)/COUNT(QU11:QU12))</f>
        <v>3.1</v>
      </c>
      <c r="QV10" s="185" t="str">
        <f t="shared" si="110"/>
        <v>B</v>
      </c>
      <c r="QW10" s="195"/>
      <c r="QX10" s="90"/>
      <c r="QY10" s="91"/>
      <c r="QZ10" s="159">
        <f>IF(COUNT(QZ11:QZ12)=0,"",SUM(QZ11:QZ12)/COUNT(QZ11:QZ12))</f>
        <v>1.5</v>
      </c>
      <c r="RA10" s="160" t="str">
        <f t="shared" si="111"/>
        <v>D</v>
      </c>
      <c r="RB10" s="153"/>
      <c r="RC10" s="90"/>
      <c r="RD10" s="90"/>
      <c r="RE10" s="91"/>
      <c r="RF10" s="159" t="str">
        <f>IF(COUNT(RF11,RF12)=0,"",SUM(RF11:RF12)/COUNT(RF11,RF12))</f>
        <v/>
      </c>
      <c r="RG10" s="175" t="str">
        <f t="shared" si="112"/>
        <v/>
      </c>
      <c r="RH10" s="153"/>
      <c r="RI10" s="90"/>
      <c r="RJ10" s="90"/>
      <c r="RK10" s="90"/>
      <c r="RL10" s="90"/>
      <c r="RM10" s="91"/>
      <c r="RN10" s="159">
        <f>IF(COUNT(RN11,RN12)=0,"",SUM(RN11:RN12)/COUNT(RN11,RN12))</f>
        <v>2.6</v>
      </c>
      <c r="RO10" s="183" t="str">
        <f t="shared" si="113"/>
        <v>C</v>
      </c>
      <c r="RP10" s="184">
        <f>IF(COUNT(RP11:RP12)=0,"",SUM(RP11:RP12)/COUNT(RP11:RP12))</f>
        <v>2.0499999999999998</v>
      </c>
      <c r="RQ10" s="185" t="str">
        <f t="shared" si="114"/>
        <v>C</v>
      </c>
      <c r="RR10" s="195"/>
      <c r="RS10" s="90"/>
      <c r="RT10" s="91"/>
      <c r="RU10" s="159">
        <f>IF(COUNT(RU11:RU12)=0,"",SUM(RU11:RU12)/COUNT(RU11:RU12))</f>
        <v>2.75</v>
      </c>
      <c r="RV10" s="160" t="str">
        <f t="shared" si="115"/>
        <v>C</v>
      </c>
      <c r="RW10" s="153"/>
      <c r="RX10" s="90"/>
      <c r="RY10" s="90"/>
      <c r="RZ10" s="91"/>
      <c r="SA10" s="159" t="str">
        <f>IF(COUNT(SA11,SA12)=0,"",SUM(SA11:SA12)/COUNT(SA11,SA12))</f>
        <v/>
      </c>
      <c r="SB10" s="175" t="str">
        <f t="shared" si="116"/>
        <v/>
      </c>
      <c r="SC10" s="153"/>
      <c r="SD10" s="90"/>
      <c r="SE10" s="90"/>
      <c r="SF10" s="90"/>
      <c r="SG10" s="90"/>
      <c r="SH10" s="91"/>
      <c r="SI10" s="159">
        <f>IF(COUNT(SI11,SI12)=0,"",SUM(SI11:SI12)/COUNT(SI11,SI12))</f>
        <v>2.5</v>
      </c>
      <c r="SJ10" s="183" t="str">
        <f t="shared" si="117"/>
        <v>C</v>
      </c>
      <c r="SK10" s="184">
        <f>IF(COUNT(SK11:SK12)=0,"",SUM(SK11:SK12)/COUNT(SK11:SK12))</f>
        <v>2.625</v>
      </c>
      <c r="SL10" s="185" t="str">
        <f t="shared" si="118"/>
        <v>C</v>
      </c>
      <c r="SM10" s="117"/>
      <c r="SN10" s="90"/>
      <c r="SO10" s="91"/>
      <c r="SP10" s="86" t="str">
        <f>IF(COUNT(SP11:SP12)=0,"",SUM(SP11:SP12)/COUNT(SP11:SP12))</f>
        <v/>
      </c>
      <c r="SQ10" s="87" t="str">
        <f t="shared" si="119"/>
        <v/>
      </c>
      <c r="SR10" s="89"/>
      <c r="SS10" s="90"/>
      <c r="ST10" s="91"/>
      <c r="SU10" s="86" t="str">
        <f>IF(COUNT(SU11,SU12)=0,"",SUM(SU11:SU12)/COUNT(SU11,SU12))</f>
        <v/>
      </c>
      <c r="SV10" s="88" t="str">
        <f t="shared" si="120"/>
        <v/>
      </c>
      <c r="SW10" s="89"/>
      <c r="SX10" s="90"/>
      <c r="SY10" s="91"/>
      <c r="SZ10" s="86" t="str">
        <f>IF(COUNT(SZ11,SZ12)=0,"",SUM(SZ11:SZ12)/COUNT(SZ11,SZ12))</f>
        <v/>
      </c>
      <c r="TA10" s="92" t="str">
        <f t="shared" si="121"/>
        <v/>
      </c>
      <c r="TB10" s="93" t="str">
        <f>IF(COUNT(TB11:TB12)=0,"",SUM(TB11:TB12)/COUNT(TB11:TB12))</f>
        <v/>
      </c>
      <c r="TC10" s="94" t="str">
        <f t="shared" si="122"/>
        <v/>
      </c>
      <c r="TD10" s="117"/>
      <c r="TE10" s="90"/>
      <c r="TF10" s="91"/>
      <c r="TG10" s="86" t="str">
        <f>IF(COUNT(TG11:TG12)=0,"",SUM(TG11:TG12)/COUNT(TG11:TG12))</f>
        <v/>
      </c>
      <c r="TH10" s="87" t="str">
        <f t="shared" si="123"/>
        <v/>
      </c>
      <c r="TI10" s="89"/>
      <c r="TJ10" s="90"/>
      <c r="TK10" s="91"/>
      <c r="TL10" s="86" t="str">
        <f>IF(COUNT(TL11,TL12)=0,"",SUM(TL11:TL12)/COUNT(TL11,TL12))</f>
        <v/>
      </c>
      <c r="TM10" s="88" t="str">
        <f t="shared" si="124"/>
        <v/>
      </c>
      <c r="TN10" s="89"/>
      <c r="TO10" s="90"/>
      <c r="TP10" s="91"/>
      <c r="TQ10" s="86" t="str">
        <f>IF(COUNT(TQ11,TQ12)=0,"",SUM(TQ11:TQ12)/COUNT(TQ11,TQ12))</f>
        <v/>
      </c>
      <c r="TR10" s="92" t="str">
        <f t="shared" si="125"/>
        <v/>
      </c>
      <c r="TS10" s="93" t="str">
        <f>IF(COUNT(TS11:TS12)=0,"",SUM(TS11:TS12)/COUNT(TS11:TS12))</f>
        <v/>
      </c>
      <c r="TT10" s="94" t="str">
        <f t="shared" si="126"/>
        <v/>
      </c>
      <c r="TU10" s="117"/>
      <c r="TV10" s="90"/>
      <c r="TW10" s="91"/>
      <c r="TX10" s="86" t="str">
        <f>IF(COUNT(TX11:TX12)=0,"",SUM(TX11:TX12)/COUNT(TX11:TX12))</f>
        <v/>
      </c>
      <c r="TY10" s="87" t="str">
        <f t="shared" si="127"/>
        <v/>
      </c>
      <c r="TZ10" s="89"/>
      <c r="UA10" s="90"/>
      <c r="UB10" s="91"/>
      <c r="UC10" s="86" t="str">
        <f>IF(COUNT(UC11,UC12)=0,"",SUM(UC11:UC12)/COUNT(UC11,UC12))</f>
        <v/>
      </c>
      <c r="UD10" s="88" t="str">
        <f t="shared" si="128"/>
        <v/>
      </c>
      <c r="UE10" s="89"/>
      <c r="UF10" s="90"/>
      <c r="UG10" s="91"/>
      <c r="UH10" s="86" t="str">
        <f>IF(COUNT(UH11,UH12)=0,"",SUM(UH11:UH12)/COUNT(UH11,UH12))</f>
        <v/>
      </c>
      <c r="UI10" s="92" t="str">
        <f t="shared" si="129"/>
        <v/>
      </c>
      <c r="UJ10" s="93" t="str">
        <f>IF(COUNT(UJ11:UJ12)=0,"",SUM(UJ11:UJ12)/COUNT(UJ11:UJ12))</f>
        <v/>
      </c>
      <c r="UK10" s="94" t="str">
        <f t="shared" si="130"/>
        <v/>
      </c>
      <c r="UL10" s="117"/>
      <c r="UM10" s="90"/>
      <c r="UN10" s="91"/>
      <c r="UO10" s="86" t="str">
        <f>IF(COUNT(UO11:UO12)=0,"",SUM(UO11:UO12)/COUNT(UO11:UO12))</f>
        <v/>
      </c>
      <c r="UP10" s="87" t="str">
        <f t="shared" si="131"/>
        <v/>
      </c>
      <c r="UQ10" s="89"/>
      <c r="UR10" s="90"/>
      <c r="US10" s="91"/>
      <c r="UT10" s="86" t="str">
        <f>IF(COUNT(UT11,UT12)=0,"",SUM(UT11:UT12)/COUNT(UT11,UT12))</f>
        <v/>
      </c>
      <c r="UU10" s="88" t="str">
        <f t="shared" si="132"/>
        <v/>
      </c>
      <c r="UV10" s="89"/>
      <c r="UW10" s="90"/>
      <c r="UX10" s="91"/>
      <c r="UY10" s="86" t="str">
        <f>IF(COUNT(UY11,UY12)=0,"",SUM(UY11:UY12)/COUNT(UY11,UY12))</f>
        <v/>
      </c>
      <c r="UZ10" s="92" t="str">
        <f t="shared" si="133"/>
        <v/>
      </c>
      <c r="VA10" s="93" t="str">
        <f>IF(COUNT(VA11:VA12)=0,"",SUM(VA11:VA12)/COUNT(VA11:VA12))</f>
        <v/>
      </c>
      <c r="VB10" s="94" t="str">
        <f t="shared" si="134"/>
        <v/>
      </c>
      <c r="VC10" s="117"/>
      <c r="VD10" s="90"/>
      <c r="VE10" s="91"/>
      <c r="VF10" s="86" t="str">
        <f>IF(COUNT(VF11:VF12)=0,"",SUM(VF11:VF12)/COUNT(VF11:VF12))</f>
        <v/>
      </c>
      <c r="VG10" s="87" t="str">
        <f t="shared" si="135"/>
        <v/>
      </c>
      <c r="VH10" s="89"/>
      <c r="VI10" s="90"/>
      <c r="VJ10" s="91"/>
      <c r="VK10" s="86" t="str">
        <f>IF(COUNT(VK11,VK12)=0,"",SUM(VK11:VK12)/COUNT(VK11,VK12))</f>
        <v/>
      </c>
      <c r="VL10" s="88" t="str">
        <f t="shared" si="136"/>
        <v/>
      </c>
      <c r="VM10" s="89"/>
      <c r="VN10" s="90"/>
      <c r="VO10" s="91"/>
      <c r="VP10" s="86" t="str">
        <f>IF(COUNT(VP11,VP12)=0,"",SUM(VP11:VP12)/COUNT(VP11,VP12))</f>
        <v/>
      </c>
      <c r="VQ10" s="92" t="str">
        <f t="shared" si="137"/>
        <v/>
      </c>
      <c r="VR10" s="93" t="str">
        <f>IF(COUNT(VR11:VR12)=0,"",SUM(VR11:VR12)/COUNT(VR11:VR12))</f>
        <v/>
      </c>
      <c r="VS10" s="94" t="str">
        <f t="shared" si="138"/>
        <v/>
      </c>
      <c r="VT10" s="117"/>
      <c r="VU10" s="90"/>
      <c r="VV10" s="91"/>
      <c r="VW10" s="86" t="str">
        <f>IF(COUNT(VW11:VW12)=0,"",SUM(VW11:VW12)/COUNT(VW11:VW12))</f>
        <v/>
      </c>
      <c r="VX10" s="87" t="str">
        <f t="shared" si="139"/>
        <v/>
      </c>
      <c r="VY10" s="89"/>
      <c r="VZ10" s="90"/>
      <c r="WA10" s="91"/>
      <c r="WB10" s="86" t="str">
        <f>IF(COUNT(WB11,WB12)=0,"",SUM(WB11:WB12)/COUNT(WB11,WB12))</f>
        <v/>
      </c>
      <c r="WC10" s="88" t="str">
        <f t="shared" si="140"/>
        <v/>
      </c>
      <c r="WD10" s="89"/>
      <c r="WE10" s="90"/>
      <c r="WF10" s="91"/>
      <c r="WG10" s="86" t="str">
        <f>IF(COUNT(WG11,WG12)=0,"",SUM(WG11:WG12)/COUNT(WG11,WG12))</f>
        <v/>
      </c>
      <c r="WH10" s="92" t="str">
        <f t="shared" si="141"/>
        <v/>
      </c>
      <c r="WI10" s="93" t="str">
        <f>IF(COUNT(WI11:WI12)=0,"",SUM(WI11:WI12)/COUNT(WI11:WI12))</f>
        <v/>
      </c>
      <c r="WJ10" s="94" t="str">
        <f t="shared" si="142"/>
        <v/>
      </c>
    </row>
    <row r="11" spans="1:608" ht="18" customHeight="1" x14ac:dyDescent="0.55000000000000004">
      <c r="A11" s="217" t="s">
        <v>47</v>
      </c>
      <c r="B11" s="218"/>
      <c r="C11" s="103" t="s">
        <v>27</v>
      </c>
      <c r="D11" s="104" t="s">
        <v>29</v>
      </c>
      <c r="E11" s="105"/>
      <c r="F11" s="161">
        <f>IFERROR((((COUNTIF('Elève (3ème3)'!C11:E11,"A"))*4)+((COUNTIF('Elève (3ème3)'!C11:E11,"B"))*3)+((COUNTIF('Elève (3ème3)'!C11:E11,"C"))*2)+((COUNTIF('Elève (3ème3)'!C11:E11,"D"))*1))/(COUNTA(C11:E11)),"")</f>
        <v>3</v>
      </c>
      <c r="G11" s="162" t="str">
        <f t="shared" si="23"/>
        <v>B</v>
      </c>
      <c r="H11" s="103"/>
      <c r="I11" s="104"/>
      <c r="J11" s="105"/>
      <c r="K11" s="105"/>
      <c r="L11" s="161" t="str">
        <f>IFERROR((((COUNTIF('Elève (3ème3)'!H11:K11,"A"))*4)+((COUNTIF('Elève (3ème3)'!H11:K11,"B"))*3)+((COUNTIF('Elève (3ème3)'!H11:K11,"C"))*2)+((COUNTIF('Elève (3ème3)'!H11:K11,"D"))*1))/(COUNTA(H11:K11)),"")</f>
        <v/>
      </c>
      <c r="M11" s="162" t="str">
        <f t="shared" si="24"/>
        <v/>
      </c>
      <c r="N11" s="103" t="s">
        <v>27</v>
      </c>
      <c r="O11" s="104" t="s">
        <v>28</v>
      </c>
      <c r="P11" s="105"/>
      <c r="Q11" s="105" t="s">
        <v>27</v>
      </c>
      <c r="R11" s="105" t="s">
        <v>27</v>
      </c>
      <c r="S11" s="105"/>
      <c r="T11" s="161">
        <f>IFERROR((((COUNTIF('Elève (3ème3)'!N11:S11,"A"))*4)+((COUNTIF('Elève (3ème3)'!N11:S11,"B"))*3)+((COUNTIF('Elève (3ème3)'!N11:S11,"C"))*2)+((COUNTIF('Elève (3ème3)'!N11:S11,"D"))*1))/(COUNTA(N11:S11)),"")</f>
        <v>3.75</v>
      </c>
      <c r="U11" s="162" t="str">
        <f t="shared" si="25"/>
        <v>A</v>
      </c>
      <c r="V11" s="189">
        <f>IF(COUNT(F11,L11,T11)=0,"",SUM(F11,L11,T11)/COUNT(F11,L11,T11))</f>
        <v>3.375</v>
      </c>
      <c r="W11" s="186" t="str">
        <f t="shared" si="26"/>
        <v>B</v>
      </c>
      <c r="X11" s="103" t="s">
        <v>30</v>
      </c>
      <c r="Y11" s="104" t="s">
        <v>30</v>
      </c>
      <c r="Z11" s="105"/>
      <c r="AA11" s="161">
        <f>IFERROR((((COUNTIF('Elève (3ème3)'!X11:Z11,"A"))*4)+((COUNTIF('Elève (3ème3)'!X11:Z11,"B"))*3)+((COUNTIF('Elève (3ème3)'!X11:Z11,"C"))*2)+((COUNTIF('Elève (3ème3)'!X11:Z11,"D"))*1))/(COUNTA(X11:Z11)),"")</f>
        <v>1</v>
      </c>
      <c r="AB11" s="162" t="str">
        <f t="shared" si="27"/>
        <v>D</v>
      </c>
      <c r="AC11" s="103"/>
      <c r="AD11" s="104"/>
      <c r="AE11" s="105"/>
      <c r="AF11" s="105"/>
      <c r="AG11" s="161" t="str">
        <f>IFERROR((((COUNTIF('Elève (3ème3)'!AC11:AF11,"A"))*4)+((COUNTIF('Elève (3ème3)'!AC11:AF11,"B"))*3)+((COUNTIF('Elève (3ème3)'!AC11:AF11,"C"))*2)+((COUNTIF('Elève (3ème3)'!AC11:AF11,"D"))*1))/(COUNTA(AC11:AF11)),"")</f>
        <v/>
      </c>
      <c r="AH11" s="162" t="str">
        <f t="shared" si="28"/>
        <v/>
      </c>
      <c r="AI11" s="103" t="s">
        <v>27</v>
      </c>
      <c r="AJ11" s="104" t="s">
        <v>29</v>
      </c>
      <c r="AK11" s="105"/>
      <c r="AL11" s="105" t="s">
        <v>27</v>
      </c>
      <c r="AM11" s="105" t="s">
        <v>29</v>
      </c>
      <c r="AN11" s="109"/>
      <c r="AO11" s="161">
        <f>IFERROR((((COUNTIF('Elève (3ème3)'!AI11:AN11,"A"))*4)+((COUNTIF('Elève (3ème3)'!AI11:AN11,"B"))*3)+((COUNTIF('Elève (3ème3)'!AI11:AN11,"C"))*2)+((COUNTIF('Elève (3ème3)'!AI11:AN11,"D"))*1))/(COUNTA(AI11:AN11)),"")</f>
        <v>3</v>
      </c>
      <c r="AP11" s="162" t="str">
        <f t="shared" si="29"/>
        <v>B</v>
      </c>
      <c r="AQ11" s="189">
        <f>IF(COUNT(AA11,AG11,AO11)=0,"",SUM(AA11,AG11,AO11)/COUNT(AA11,AG11,AO11))</f>
        <v>2</v>
      </c>
      <c r="AR11" s="186" t="str">
        <f t="shared" si="30"/>
        <v>C</v>
      </c>
      <c r="AS11" s="103" t="s">
        <v>29</v>
      </c>
      <c r="AT11" s="104" t="s">
        <v>30</v>
      </c>
      <c r="AU11" s="105"/>
      <c r="AV11" s="161">
        <f>IFERROR((((COUNTIF('Elève (3ème3)'!AS11:AU11,"A"))*4)+((COUNTIF('Elève (3ème3)'!AS11:AU11,"B"))*3)+((COUNTIF('Elève (3ème3)'!AS11:AU11,"C"))*2)+((COUNTIF('Elève (3ème3)'!AS11:AU11,"D"))*1))/(COUNTA(AS11:AU11)),"")</f>
        <v>1.5</v>
      </c>
      <c r="AW11" s="162" t="str">
        <f t="shared" si="31"/>
        <v>D</v>
      </c>
      <c r="AX11" s="103"/>
      <c r="AY11" s="104"/>
      <c r="AZ11" s="105"/>
      <c r="BA11" s="105"/>
      <c r="BB11" s="161" t="str">
        <f>IFERROR((((COUNTIF('Elève (3ème3)'!AX11:BA11,"A"))*4)+((COUNTIF('Elève (3ème3)'!AX11:BA11,"B"))*3)+((COUNTIF('Elève (3ème3)'!AX11:BA11,"C"))*2)+((COUNTIF('Elève (3ème3)'!AX11:BA11,"D"))*1))/(COUNTA(AX11:BA11)),"")</f>
        <v/>
      </c>
      <c r="BC11" s="162" t="str">
        <f t="shared" si="32"/>
        <v/>
      </c>
      <c r="BD11" s="103" t="s">
        <v>28</v>
      </c>
      <c r="BE11" s="104" t="s">
        <v>28</v>
      </c>
      <c r="BF11" s="105"/>
      <c r="BG11" s="105" t="s">
        <v>28</v>
      </c>
      <c r="BH11" s="105" t="s">
        <v>28</v>
      </c>
      <c r="BI11" s="109"/>
      <c r="BJ11" s="161">
        <f>IFERROR((((COUNTIF('Elève (3ème3)'!BD11:BI11,"A"))*4)+((COUNTIF('Elève (3ème3)'!BD11:BI11,"B"))*3)+((COUNTIF('Elève (3ème3)'!BD11:BI11,"C"))*2)+((COUNTIF('Elève (3ème3)'!BD11:BI11,"D"))*1))/(COUNTA(BD11:BI11)),"")</f>
        <v>3</v>
      </c>
      <c r="BK11" s="162" t="str">
        <f t="shared" si="33"/>
        <v>B</v>
      </c>
      <c r="BL11" s="189">
        <f>IF(COUNT(AV11,BB11,BJ11)=0,"",SUM(AV11,BB11,BJ11)/COUNT(AV11,BB11,BJ11))</f>
        <v>2.25</v>
      </c>
      <c r="BM11" s="186" t="str">
        <f t="shared" si="34"/>
        <v>C</v>
      </c>
      <c r="BN11" s="103" t="s">
        <v>27</v>
      </c>
      <c r="BO11" s="104" t="s">
        <v>30</v>
      </c>
      <c r="BP11" s="105"/>
      <c r="BQ11" s="161">
        <f>IFERROR((((COUNTIF('Elève (3ème3)'!BN11:BP11,"A"))*4)+((COUNTIF('Elève (3ème3)'!BN11:BP11,"B"))*3)+((COUNTIF('Elève (3ème3)'!BN11:BP11,"C"))*2)+((COUNTIF('Elève (3ème3)'!BN11:BP11,"D"))*1))/(COUNTA(BN11:BP11)),"")</f>
        <v>2.5</v>
      </c>
      <c r="BR11" s="162" t="str">
        <f t="shared" si="35"/>
        <v>C</v>
      </c>
      <c r="BS11" s="103"/>
      <c r="BT11" s="104"/>
      <c r="BU11" s="105"/>
      <c r="BV11" s="105"/>
      <c r="BW11" s="161" t="str">
        <f>IFERROR((((COUNTIF('Elève (3ème3)'!BS11:BV11,"A"))*4)+((COUNTIF('Elève (3ème3)'!BS11:BV11,"B"))*3)+((COUNTIF('Elève (3ème3)'!BS11:BV11,"C"))*2)+((COUNTIF('Elève (3ème3)'!BS11:BV11,"D"))*1))/(COUNTA(BS11:BV11)),"")</f>
        <v/>
      </c>
      <c r="BX11" s="162" t="str">
        <f t="shared" si="36"/>
        <v/>
      </c>
      <c r="BY11" s="103" t="s">
        <v>27</v>
      </c>
      <c r="BZ11" s="104" t="s">
        <v>28</v>
      </c>
      <c r="CA11" s="105" t="s">
        <v>27</v>
      </c>
      <c r="CB11" s="105" t="s">
        <v>28</v>
      </c>
      <c r="CC11" s="105" t="s">
        <v>28</v>
      </c>
      <c r="CD11" s="109"/>
      <c r="CE11" s="161">
        <f>IFERROR((((COUNTIF('Elève (3ème3)'!BY11:CD11,"A"))*4)+((COUNTIF('Elève (3ème3)'!BY11:CD11,"B"))*3)+((COUNTIF('Elève (3ème3)'!BY11:CD11,"C"))*2)+((COUNTIF('Elève (3ème3)'!BY11:CD11,"D"))*1))/(COUNTA(BY11:CD11)),"")</f>
        <v>3.4</v>
      </c>
      <c r="CF11" s="162" t="str">
        <f t="shared" si="37"/>
        <v>B</v>
      </c>
      <c r="CG11" s="189">
        <f>IF(COUNT(BQ11,BW11,CE11)=0,"",SUM(BQ11,BW11,CE11)/COUNT(BQ11,BW11,CE11))</f>
        <v>2.95</v>
      </c>
      <c r="CH11" s="186" t="str">
        <f t="shared" si="38"/>
        <v>B</v>
      </c>
      <c r="CI11" s="103" t="s">
        <v>29</v>
      </c>
      <c r="CJ11" s="104" t="s">
        <v>29</v>
      </c>
      <c r="CK11" s="105"/>
      <c r="CL11" s="161">
        <f>IFERROR((((COUNTIF('Elève (3ème3)'!CI11:CK11,"A"))*4)+((COUNTIF('Elève (3ème3)'!CI11:CK11,"B"))*3)+((COUNTIF('Elève (3ème3)'!CI11:CK11,"C"))*2)+((COUNTIF('Elève (3ème3)'!CI11:CK11,"D"))*1))/(COUNTA(CI11:CK11)),"")</f>
        <v>2</v>
      </c>
      <c r="CM11" s="162" t="str">
        <f t="shared" si="39"/>
        <v>C</v>
      </c>
      <c r="CN11" s="103"/>
      <c r="CO11" s="104"/>
      <c r="CP11" s="105"/>
      <c r="CQ11" s="105"/>
      <c r="CR11" s="161" t="str">
        <f>IFERROR((((COUNTIF('Elève (3ème3)'!CN11:CQ11,"A"))*4)+((COUNTIF('Elève (3ème3)'!CN11:CQ11,"B"))*3)+((COUNTIF('Elève (3ème3)'!CN11:CQ11,"C"))*2)+((COUNTIF('Elève (3ème3)'!CN11:CQ11,"D"))*1))/(COUNTA(CN11:CQ11)),"")</f>
        <v/>
      </c>
      <c r="CS11" s="162" t="str">
        <f t="shared" si="40"/>
        <v/>
      </c>
      <c r="CT11" s="103" t="s">
        <v>27</v>
      </c>
      <c r="CU11" s="104" t="s">
        <v>28</v>
      </c>
      <c r="CV11" s="105" t="s">
        <v>27</v>
      </c>
      <c r="CW11" s="105" t="s">
        <v>27</v>
      </c>
      <c r="CX11" s="105" t="s">
        <v>28</v>
      </c>
      <c r="CY11" s="109"/>
      <c r="CZ11" s="161">
        <f>IFERROR((((COUNTIF('Elève (3ème3)'!CT11:CY11,"A"))*4)+((COUNTIF('Elève (3ème3)'!CT11:CY11,"B"))*3)+((COUNTIF('Elève (3ème3)'!CT11:CY11,"C"))*2)+((COUNTIF('Elève (3ème3)'!CT11:CY11,"D"))*1))/(COUNTA(CT11:CY11)),"")</f>
        <v>3.6</v>
      </c>
      <c r="DA11" s="162" t="str">
        <f t="shared" si="41"/>
        <v>B</v>
      </c>
      <c r="DB11" s="189">
        <f>IF(COUNT(CL11,CR11,CZ11)=0,"",SUM(CL11,CR11,CZ11)/COUNT(CL11,CR11,CZ11))</f>
        <v>2.8</v>
      </c>
      <c r="DC11" s="186" t="str">
        <f t="shared" si="42"/>
        <v>C</v>
      </c>
      <c r="DD11" s="103" t="s">
        <v>27</v>
      </c>
      <c r="DE11" s="104" t="s">
        <v>30</v>
      </c>
      <c r="DF11" s="105"/>
      <c r="DG11" s="161">
        <f>IFERROR((((COUNTIF('Elève (3ème3)'!DD11:DF11,"A"))*4)+((COUNTIF('Elève (3ème3)'!DD11:DF11,"B"))*3)+((COUNTIF('Elève (3ème3)'!DD11:DF11,"C"))*2)+((COUNTIF('Elève (3ème3)'!DD11:DF11,"D"))*1))/(COUNTA(DD11:DF11)),"")</f>
        <v>2.5</v>
      </c>
      <c r="DH11" s="162" t="str">
        <f t="shared" si="43"/>
        <v>C</v>
      </c>
      <c r="DI11" s="103"/>
      <c r="DJ11" s="104"/>
      <c r="DK11" s="105"/>
      <c r="DL11" s="105"/>
      <c r="DM11" s="161" t="str">
        <f>IFERROR((((COUNTIF('Elève (3ème3)'!DI11:DL11,"A"))*4)+((COUNTIF('Elève (3ème3)'!DI11:DL11,"B"))*3)+((COUNTIF('Elève (3ème3)'!DI11:DL11,"C"))*2)+((COUNTIF('Elève (3ème3)'!DI11:DL11,"D"))*1))/(COUNTA(DI11:DL11)),"")</f>
        <v/>
      </c>
      <c r="DN11" s="162" t="str">
        <f t="shared" si="44"/>
        <v/>
      </c>
      <c r="DO11" s="103" t="s">
        <v>27</v>
      </c>
      <c r="DP11" s="104" t="s">
        <v>29</v>
      </c>
      <c r="DQ11" s="105" t="s">
        <v>28</v>
      </c>
      <c r="DR11" s="105" t="s">
        <v>27</v>
      </c>
      <c r="DS11" s="105" t="s">
        <v>29</v>
      </c>
      <c r="DT11" s="109"/>
      <c r="DU11" s="161">
        <f>IFERROR((((COUNTIF('Elève (3ème3)'!DO11:DT11,"A"))*4)+((COUNTIF('Elève (3ème3)'!DO11:DT11,"B"))*3)+((COUNTIF('Elève (3ème3)'!DO11:DT11,"C"))*2)+((COUNTIF('Elève (3ème3)'!DO11:DT11,"D"))*1))/(COUNTA(DO11:DT11)),"")</f>
        <v>3</v>
      </c>
      <c r="DV11" s="162" t="str">
        <f t="shared" si="45"/>
        <v>B</v>
      </c>
      <c r="DW11" s="189">
        <f>IF(COUNT(DG11,DM11,DU11)=0,"",SUM(DG11,DM11,DU11)/COUNT(DG11,DM11,DU11))</f>
        <v>2.75</v>
      </c>
      <c r="DX11" s="186" t="str">
        <f t="shared" si="46"/>
        <v>C</v>
      </c>
      <c r="DY11" s="103" t="s">
        <v>29</v>
      </c>
      <c r="DZ11" s="104" t="s">
        <v>28</v>
      </c>
      <c r="EA11" s="105"/>
      <c r="EB11" s="161">
        <f>IFERROR((((COUNTIF('Elève (3ème3)'!DY11:EA11,"A"))*4)+((COUNTIF('Elève (3ème3)'!DY11:EA11,"B"))*3)+((COUNTIF('Elève (3ème3)'!DY11:EA11,"C"))*2)+((COUNTIF('Elève (3ème3)'!DY11:EA11,"D"))*1))/(COUNTA(DY11:EA11)),"")</f>
        <v>2.5</v>
      </c>
      <c r="EC11" s="162" t="str">
        <f t="shared" si="47"/>
        <v>C</v>
      </c>
      <c r="ED11" s="103"/>
      <c r="EE11" s="104"/>
      <c r="EF11" s="105"/>
      <c r="EG11" s="105"/>
      <c r="EH11" s="161" t="str">
        <f>IFERROR((((COUNTIF('Elève (3ème3)'!ED11:EG11,"A"))*4)+((COUNTIF('Elève (3ème3)'!ED11:EG11,"B"))*3)+((COUNTIF('Elève (3ème3)'!ED11:EG11,"C"))*2)+((COUNTIF('Elève (3ème3)'!ED11:EG11,"D"))*1))/(COUNTA(ED11:EG11)),"")</f>
        <v/>
      </c>
      <c r="EI11" s="162" t="str">
        <f t="shared" si="48"/>
        <v/>
      </c>
      <c r="EJ11" s="103" t="s">
        <v>28</v>
      </c>
      <c r="EK11" s="104" t="s">
        <v>29</v>
      </c>
      <c r="EL11" s="105" t="s">
        <v>27</v>
      </c>
      <c r="EM11" s="105" t="s">
        <v>28</v>
      </c>
      <c r="EN11" s="105" t="s">
        <v>29</v>
      </c>
      <c r="EO11" s="109"/>
      <c r="EP11" s="161">
        <f>IFERROR((((COUNTIF('Elève (3ème3)'!EJ11:EO11,"A"))*4)+((COUNTIF('Elève (3ème3)'!EJ11:EO11,"B"))*3)+((COUNTIF('Elève (3ème3)'!EJ11:EO11,"C"))*2)+((COUNTIF('Elève (3ème3)'!EJ11:EO11,"D"))*1))/(COUNTA(EJ11:EO11)),"")</f>
        <v>2.8</v>
      </c>
      <c r="EQ11" s="162" t="str">
        <f t="shared" si="49"/>
        <v>C</v>
      </c>
      <c r="ER11" s="189">
        <f>IF(COUNT(EB11,EH11,EP11)=0,"",SUM(EB11,EH11,EP11)/COUNT(EB11,EH11,EP11))</f>
        <v>2.65</v>
      </c>
      <c r="ES11" s="186" t="str">
        <f t="shared" si="50"/>
        <v>C</v>
      </c>
      <c r="ET11" s="103" t="s">
        <v>28</v>
      </c>
      <c r="EU11" s="104" t="s">
        <v>27</v>
      </c>
      <c r="EV11" s="105"/>
      <c r="EW11" s="161">
        <f>IFERROR((((COUNTIF('Elève (3ème3)'!ET11:EV11,"A"))*4)+((COUNTIF('Elève (3ème3)'!ET11:EV11,"B"))*3)+((COUNTIF('Elève (3ème3)'!ET11:EV11,"C"))*2)+((COUNTIF('Elève (3ème3)'!ET11:EV11,"D"))*1))/(COUNTA(ET11:EV11)),"")</f>
        <v>3.5</v>
      </c>
      <c r="EX11" s="162" t="str">
        <f t="shared" si="51"/>
        <v>B</v>
      </c>
      <c r="EY11" s="103"/>
      <c r="EZ11" s="104"/>
      <c r="FA11" s="105"/>
      <c r="FB11" s="105"/>
      <c r="FC11" s="161" t="str">
        <f>IFERROR((((COUNTIF('Elève (3ème3)'!EY11:FB11,"A"))*4)+((COUNTIF('Elève (3ème3)'!EY11:FB11,"B"))*3)+((COUNTIF('Elève (3ème3)'!EY11:FB11,"C"))*2)+((COUNTIF('Elève (3ème3)'!EY11:FB11,"D"))*1))/(COUNTA(EY11:FB11)),"")</f>
        <v/>
      </c>
      <c r="FD11" s="162" t="str">
        <f t="shared" si="52"/>
        <v/>
      </c>
      <c r="FE11" s="103" t="s">
        <v>27</v>
      </c>
      <c r="FF11" s="104" t="s">
        <v>28</v>
      </c>
      <c r="FG11" s="105" t="s">
        <v>27</v>
      </c>
      <c r="FH11" s="105" t="s">
        <v>27</v>
      </c>
      <c r="FI11" s="105" t="s">
        <v>27</v>
      </c>
      <c r="FJ11" s="109"/>
      <c r="FK11" s="161">
        <f>IFERROR((((COUNTIF('Elève (3ème3)'!FE11:FJ11,"A"))*4)+((COUNTIF('Elève (3ème3)'!FE11:FJ11,"B"))*3)+((COUNTIF('Elève (3ème3)'!FE11:FJ11,"C"))*2)+((COUNTIF('Elève (3ème3)'!FE11:FJ11,"D"))*1))/(COUNTA(FE11:FJ11)),"")</f>
        <v>3.8</v>
      </c>
      <c r="FL11" s="162" t="str">
        <f t="shared" si="53"/>
        <v>A</v>
      </c>
      <c r="FM11" s="189">
        <f>IF(COUNT(EW11,FC11,FK11)=0,"",SUM(EW11,FC11,FK11)/COUNT(EW11,FC11,FK11))</f>
        <v>3.65</v>
      </c>
      <c r="FN11" s="186" t="str">
        <f t="shared" si="54"/>
        <v>B</v>
      </c>
      <c r="FO11" s="103" t="s">
        <v>29</v>
      </c>
      <c r="FP11" s="104" t="s">
        <v>28</v>
      </c>
      <c r="FQ11" s="105"/>
      <c r="FR11" s="161">
        <f>IFERROR((((COUNTIF('Elève (3ème3)'!FO11:FQ11,"A"))*4)+((COUNTIF('Elève (3ème3)'!FO11:FQ11,"B"))*3)+((COUNTIF('Elève (3ème3)'!FO11:FQ11,"C"))*2)+((COUNTIF('Elève (3ème3)'!FO11:FQ11,"D"))*1))/(COUNTA(FO11:FQ11)),"")</f>
        <v>2.5</v>
      </c>
      <c r="FS11" s="162" t="str">
        <f t="shared" si="55"/>
        <v>C</v>
      </c>
      <c r="FT11" s="103"/>
      <c r="FU11" s="104"/>
      <c r="FV11" s="105"/>
      <c r="FW11" s="105"/>
      <c r="FX11" s="161" t="str">
        <f>IFERROR((((COUNTIF('Elève (3ème3)'!FT11:FW11,"A"))*4)+((COUNTIF('Elève (3ème3)'!FT11:FW11,"B"))*3)+((COUNTIF('Elève (3ème3)'!FT11:FW11,"C"))*2)+((COUNTIF('Elève (3ème3)'!FT11:FW11,"D"))*1))/(COUNTA(FT11:FW11)),"")</f>
        <v/>
      </c>
      <c r="FY11" s="162" t="str">
        <f t="shared" si="56"/>
        <v/>
      </c>
      <c r="FZ11" s="103" t="s">
        <v>27</v>
      </c>
      <c r="GA11" s="104"/>
      <c r="GB11" s="105" t="s">
        <v>27</v>
      </c>
      <c r="GC11" s="105" t="s">
        <v>27</v>
      </c>
      <c r="GD11" s="105" t="s">
        <v>29</v>
      </c>
      <c r="GE11" s="109"/>
      <c r="GF11" s="161">
        <f>IFERROR((((COUNTIF('Elève (3ème3)'!FZ11:GE11,"A"))*4)+((COUNTIF('Elève (3ème3)'!FZ11:GE11,"B"))*3)+((COUNTIF('Elève (3ème3)'!FZ11:GE11,"C"))*2)+((COUNTIF('Elève (3ème3)'!FZ11:GE11,"D"))*1))/(COUNTA(FZ11:GE11)),"")</f>
        <v>3.5</v>
      </c>
      <c r="GG11" s="162" t="str">
        <f t="shared" si="57"/>
        <v>B</v>
      </c>
      <c r="GH11" s="189">
        <f>IF(COUNT(FR11,FX11,GF11)=0,"",SUM(FR11,FX11,GF11)/COUNT(FR11,FX11,GF11))</f>
        <v>3</v>
      </c>
      <c r="GI11" s="186" t="str">
        <f t="shared" si="58"/>
        <v>B</v>
      </c>
      <c r="GJ11" s="103" t="s">
        <v>28</v>
      </c>
      <c r="GK11" s="104" t="s">
        <v>30</v>
      </c>
      <c r="GL11" s="105"/>
      <c r="GM11" s="161">
        <f>IFERROR((((COUNTIF('Elève (3ème3)'!GJ11:GL11,"A"))*4)+((COUNTIF('Elève (3ème3)'!GJ11:GL11,"B"))*3)+((COUNTIF('Elève (3ème3)'!GJ11:GL11,"C"))*2)+((COUNTIF('Elève (3ème3)'!GJ11:GL11,"D"))*1))/(COUNTA(GJ11:GL11)),"")</f>
        <v>2</v>
      </c>
      <c r="GN11" s="162" t="str">
        <f t="shared" si="59"/>
        <v>C</v>
      </c>
      <c r="GO11" s="103"/>
      <c r="GP11" s="104"/>
      <c r="GQ11" s="105"/>
      <c r="GR11" s="105"/>
      <c r="GS11" s="161" t="str">
        <f>IFERROR((((COUNTIF('Elève (3ème3)'!GO11:GR11,"A"))*4)+((COUNTIF('Elève (3ème3)'!GO11:GR11,"B"))*3)+((COUNTIF('Elève (3ème3)'!GO11:GR11,"C"))*2)+((COUNTIF('Elève (3ème3)'!GO11:GR11,"D"))*1))/(COUNTA(GO11:GR11)),"")</f>
        <v/>
      </c>
      <c r="GT11" s="162" t="str">
        <f t="shared" si="60"/>
        <v/>
      </c>
      <c r="GU11" s="103" t="s">
        <v>28</v>
      </c>
      <c r="GV11" s="104" t="s">
        <v>27</v>
      </c>
      <c r="GW11" s="105" t="s">
        <v>27</v>
      </c>
      <c r="GX11" s="105" t="s">
        <v>27</v>
      </c>
      <c r="GY11" s="105" t="s">
        <v>27</v>
      </c>
      <c r="GZ11" s="109"/>
      <c r="HA11" s="161">
        <f>IFERROR((((COUNTIF('Elève (3ème3)'!GU11:GZ11,"A"))*4)+((COUNTIF('Elève (3ème3)'!GU11:GZ11,"B"))*3)+((COUNTIF('Elève (3ème3)'!GU11:GZ11,"C"))*2)+((COUNTIF('Elève (3ème3)'!GU11:GZ11,"D"))*1))/(COUNTA(GU11:GZ11)),"")</f>
        <v>3.8</v>
      </c>
      <c r="HB11" s="162" t="str">
        <f t="shared" si="61"/>
        <v>A</v>
      </c>
      <c r="HC11" s="189">
        <f>IF(COUNT(GM11,GS11,HA11)=0,"",SUM(GM11,GS11,HA11)/COUNT(GM11,GS11,HA11))</f>
        <v>2.9</v>
      </c>
      <c r="HD11" s="186" t="str">
        <f t="shared" si="62"/>
        <v>B</v>
      </c>
      <c r="HE11" s="103" t="s">
        <v>27</v>
      </c>
      <c r="HF11" s="104" t="s">
        <v>29</v>
      </c>
      <c r="HG11" s="105"/>
      <c r="HH11" s="161">
        <f>IFERROR((((COUNTIF('Elève (3ème3)'!HE11:HG11,"A"))*4)+((COUNTIF('Elève (3ème3)'!HE11:HG11,"B"))*3)+((COUNTIF('Elève (3ème3)'!HE11:HG11,"C"))*2)+((COUNTIF('Elève (3ème3)'!HE11:HG11,"D"))*1))/(COUNTA(HE11:HG11)),"")</f>
        <v>3</v>
      </c>
      <c r="HI11" s="162" t="str">
        <f t="shared" si="63"/>
        <v>B</v>
      </c>
      <c r="HJ11" s="103"/>
      <c r="HK11" s="104"/>
      <c r="HL11" s="105"/>
      <c r="HM11" s="105"/>
      <c r="HN11" s="161" t="str">
        <f>IFERROR((((COUNTIF('Elève (3ème3)'!HJ11:HM11,"A"))*4)+((COUNTIF('Elève (3ème3)'!HJ11:HM11,"B"))*3)+((COUNTIF('Elève (3ème3)'!HJ11:HM11,"C"))*2)+((COUNTIF('Elève (3ème3)'!HJ11:HM11,"D"))*1))/(COUNTA(HJ11:HM11)),"")</f>
        <v/>
      </c>
      <c r="HO11" s="162" t="str">
        <f t="shared" si="64"/>
        <v/>
      </c>
      <c r="HP11" s="103" t="s">
        <v>27</v>
      </c>
      <c r="HQ11" s="104" t="s">
        <v>29</v>
      </c>
      <c r="HR11" s="105" t="s">
        <v>27</v>
      </c>
      <c r="HS11" s="105" t="s">
        <v>28</v>
      </c>
      <c r="HT11" s="105" t="s">
        <v>27</v>
      </c>
      <c r="HU11" s="109"/>
      <c r="HV11" s="161">
        <f>IFERROR((((COUNTIF('Elève (3ème3)'!HP11:HU11,"A"))*4)+((COUNTIF('Elève (3ème3)'!HP11:HU11,"B"))*3)+((COUNTIF('Elève (3ème3)'!HP11:HU11,"C"))*2)+((COUNTIF('Elève (3ème3)'!HP11:HU11,"D"))*1))/(COUNTA(HP11:HU11)),"")</f>
        <v>3.4</v>
      </c>
      <c r="HW11" s="162" t="str">
        <f t="shared" si="65"/>
        <v>B</v>
      </c>
      <c r="HX11" s="189">
        <f>IF(COUNT(HH11,HN11,HV11)=0,"",SUM(HH11,HN11,HV11)/COUNT(HH11,HN11,HV11))</f>
        <v>3.2</v>
      </c>
      <c r="HY11" s="186" t="str">
        <f t="shared" si="66"/>
        <v>B</v>
      </c>
      <c r="HZ11" s="103" t="s">
        <v>29</v>
      </c>
      <c r="IA11" s="104" t="s">
        <v>30</v>
      </c>
      <c r="IB11" s="105"/>
      <c r="IC11" s="161">
        <f>IFERROR((((COUNTIF('Elève (3ème3)'!HZ11:IB11,"A"))*4)+((COUNTIF('Elève (3ème3)'!HZ11:IB11,"B"))*3)+((COUNTIF('Elève (3ème3)'!HZ11:IB11,"C"))*2)+((COUNTIF('Elève (3ème3)'!HZ11:IB11,"D"))*1))/(COUNTA(HZ11:IB11)),"")</f>
        <v>1.5</v>
      </c>
      <c r="ID11" s="162" t="str">
        <f t="shared" si="67"/>
        <v>D</v>
      </c>
      <c r="IE11" s="103"/>
      <c r="IF11" s="104"/>
      <c r="IG11" s="105"/>
      <c r="IH11" s="105"/>
      <c r="II11" s="161" t="str">
        <f>IFERROR((((COUNTIF('Elève (3ème3)'!IE11:IH11,"A"))*4)+((COUNTIF('Elève (3ème3)'!IE11:IH11,"B"))*3)+((COUNTIF('Elève (3ème3)'!IE11:IH11,"C"))*2)+((COUNTIF('Elève (3ème3)'!IE11:IH11,"D"))*1))/(COUNTA(IE11:IH11)),"")</f>
        <v/>
      </c>
      <c r="IJ11" s="162" t="str">
        <f t="shared" si="68"/>
        <v/>
      </c>
      <c r="IK11" s="103" t="s">
        <v>28</v>
      </c>
      <c r="IL11" s="104" t="s">
        <v>28</v>
      </c>
      <c r="IM11" s="105" t="s">
        <v>27</v>
      </c>
      <c r="IN11" s="105" t="s">
        <v>27</v>
      </c>
      <c r="IO11" s="105" t="s">
        <v>29</v>
      </c>
      <c r="IP11" s="109"/>
      <c r="IQ11" s="161">
        <f>IFERROR((((COUNTIF('Elève (3ème3)'!IK11:IP11,"A"))*4)+((COUNTIF('Elève (3ème3)'!IK11:IP11,"B"))*3)+((COUNTIF('Elève (3ème3)'!IK11:IP11,"C"))*2)+((COUNTIF('Elève (3ème3)'!IK11:IP11,"D"))*1))/(COUNTA(IK11:IP11)),"")</f>
        <v>3.2</v>
      </c>
      <c r="IR11" s="162" t="str">
        <f t="shared" si="69"/>
        <v>B</v>
      </c>
      <c r="IS11" s="189">
        <f>IF(COUNT(IC11,II11,IQ11)=0,"",SUM(IC11,II11,IQ11)/COUNT(IC11,II11,IQ11))</f>
        <v>2.35</v>
      </c>
      <c r="IT11" s="186" t="str">
        <f t="shared" si="70"/>
        <v>C</v>
      </c>
      <c r="IU11" s="103" t="s">
        <v>29</v>
      </c>
      <c r="IV11" s="104" t="s">
        <v>30</v>
      </c>
      <c r="IW11" s="105"/>
      <c r="IX11" s="161">
        <f>IFERROR((((COUNTIF('Elève (3ème3)'!IU11:IW11,"A"))*4)+((COUNTIF('Elève (3ème3)'!IU11:IW11,"B"))*3)+((COUNTIF('Elève (3ème3)'!IU11:IW11,"C"))*2)+((COUNTIF('Elève (3ème3)'!IU11:IW11,"D"))*1))/(COUNTA(IU11:IW11)),"")</f>
        <v>1.5</v>
      </c>
      <c r="IY11" s="162" t="str">
        <f t="shared" si="71"/>
        <v>D</v>
      </c>
      <c r="IZ11" s="103"/>
      <c r="JA11" s="104"/>
      <c r="JB11" s="105"/>
      <c r="JC11" s="105"/>
      <c r="JD11" s="161" t="str">
        <f>IFERROR((((COUNTIF('Elève (3ème3)'!IZ11:JC11,"A"))*4)+((COUNTIF('Elève (3ème3)'!IZ11:JC11,"B"))*3)+((COUNTIF('Elève (3ème3)'!IZ11:JC11,"C"))*2)+((COUNTIF('Elève (3ème3)'!IZ11:JC11,"D"))*1))/(COUNTA(IZ11:JC11)),"")</f>
        <v/>
      </c>
      <c r="JE11" s="162" t="str">
        <f t="shared" si="72"/>
        <v/>
      </c>
      <c r="JF11" s="103" t="s">
        <v>27</v>
      </c>
      <c r="JG11" s="104" t="s">
        <v>29</v>
      </c>
      <c r="JH11" s="105" t="s">
        <v>27</v>
      </c>
      <c r="JI11" s="105" t="s">
        <v>27</v>
      </c>
      <c r="JJ11" s="105" t="s">
        <v>28</v>
      </c>
      <c r="JK11" s="109"/>
      <c r="JL11" s="161">
        <f>IFERROR((((COUNTIF('Elève (3ème3)'!JF11:JK11,"A"))*4)+((COUNTIF('Elève (3ème3)'!JF11:JK11,"B"))*3)+((COUNTIF('Elève (3ème3)'!JF11:JK11,"C"))*2)+((COUNTIF('Elève (3ème3)'!JF11:JK11,"D"))*1))/(COUNTA(JF11:JK11)),"")</f>
        <v>3.4</v>
      </c>
      <c r="JM11" s="162" t="str">
        <f t="shared" si="73"/>
        <v>B</v>
      </c>
      <c r="JN11" s="189">
        <f>IF(COUNT(IX11,JD11,JL11)=0,"",SUM(IX11,JD11,JL11)/COUNT(IX11,JD11,JL11))</f>
        <v>2.4500000000000002</v>
      </c>
      <c r="JO11" s="186" t="str">
        <f t="shared" si="74"/>
        <v>C</v>
      </c>
      <c r="JP11" s="103" t="s">
        <v>29</v>
      </c>
      <c r="JQ11" s="104" t="s">
        <v>30</v>
      </c>
      <c r="JR11" s="105"/>
      <c r="JS11" s="161">
        <f>IFERROR((((COUNTIF('Elève (3ème3)'!JP11:JR11,"A"))*4)+((COUNTIF('Elève (3ème3)'!JP11:JR11,"B"))*3)+((COUNTIF('Elève (3ème3)'!JP11:JR11,"C"))*2)+((COUNTIF('Elève (3ème3)'!JP11:JR11,"D"))*1))/(COUNTA(JP11:JR11)),"")</f>
        <v>1.5</v>
      </c>
      <c r="JT11" s="162" t="str">
        <f t="shared" si="75"/>
        <v>D</v>
      </c>
      <c r="JU11" s="103"/>
      <c r="JV11" s="104"/>
      <c r="JW11" s="105"/>
      <c r="JX11" s="105"/>
      <c r="JY11" s="161" t="str">
        <f>IFERROR((((COUNTIF('Elève (3ème3)'!JU11:JX11,"A"))*4)+((COUNTIF('Elève (3ème3)'!JU11:JX11,"B"))*3)+((COUNTIF('Elève (3ème3)'!JU11:JX11,"C"))*2)+((COUNTIF('Elève (3ème3)'!JU11:JX11,"D"))*1))/(COUNTA(JU11:JX11)),"")</f>
        <v/>
      </c>
      <c r="JZ11" s="162" t="str">
        <f t="shared" si="76"/>
        <v/>
      </c>
      <c r="KA11" s="103" t="s">
        <v>28</v>
      </c>
      <c r="KB11" s="104" t="s">
        <v>29</v>
      </c>
      <c r="KC11" s="105" t="s">
        <v>27</v>
      </c>
      <c r="KD11" s="105" t="s">
        <v>27</v>
      </c>
      <c r="KE11" s="105" t="s">
        <v>28</v>
      </c>
      <c r="KF11" s="109"/>
      <c r="KG11" s="161">
        <f>IFERROR((((COUNTIF('Elève (3ème3)'!KA11:KF11,"A"))*4)+((COUNTIF('Elève (3ème3)'!KA11:KF11,"B"))*3)+((COUNTIF('Elève (3ème3)'!KA11:KF11,"C"))*2)+((COUNTIF('Elève (3ème3)'!KA11:KF11,"D"))*1))/(COUNTA(KA11:KF11)),"")</f>
        <v>3.2</v>
      </c>
      <c r="KH11" s="162" t="str">
        <f t="shared" si="77"/>
        <v>B</v>
      </c>
      <c r="KI11" s="189">
        <f>IF(COUNT(JS11,JY11,KG11)=0,"",SUM(JS11,JY11,KG11)/COUNT(JS11,JY11,KG11))</f>
        <v>2.35</v>
      </c>
      <c r="KJ11" s="186" t="str">
        <f t="shared" si="78"/>
        <v>C</v>
      </c>
      <c r="KK11" s="103" t="s">
        <v>27</v>
      </c>
      <c r="KL11" s="104" t="s">
        <v>29</v>
      </c>
      <c r="KM11" s="105"/>
      <c r="KN11" s="161">
        <f>IFERROR((((COUNTIF('Elève (3ème3)'!KK11:KM11,"A"))*4)+((COUNTIF('Elève (3ème3)'!KK11:KM11,"B"))*3)+((COUNTIF('Elève (3ème3)'!KK11:KM11,"C"))*2)+((COUNTIF('Elève (3ème3)'!KK11:KM11,"D"))*1))/(COUNTA(KK11:KM11)),"")</f>
        <v>3</v>
      </c>
      <c r="KO11" s="162" t="str">
        <f t="shared" si="79"/>
        <v>B</v>
      </c>
      <c r="KP11" s="103"/>
      <c r="KQ11" s="104"/>
      <c r="KR11" s="105"/>
      <c r="KS11" s="105"/>
      <c r="KT11" s="161" t="str">
        <f>IFERROR((((COUNTIF('Elève (3ème3)'!KP11:KS11,"A"))*4)+((COUNTIF('Elève (3ème3)'!KP11:KS11,"B"))*3)+((COUNTIF('Elève (3ème3)'!KP11:KS11,"C"))*2)+((COUNTIF('Elève (3ème3)'!KP11:KS11,"D"))*1))/(COUNTA(KP11:KS11)),"")</f>
        <v/>
      </c>
      <c r="KU11" s="162" t="str">
        <f t="shared" si="80"/>
        <v/>
      </c>
      <c r="KV11" s="103" t="s">
        <v>28</v>
      </c>
      <c r="KW11" s="104" t="s">
        <v>29</v>
      </c>
      <c r="KX11" s="105" t="s">
        <v>27</v>
      </c>
      <c r="KY11" s="105" t="s">
        <v>27</v>
      </c>
      <c r="KZ11" s="105" t="s">
        <v>29</v>
      </c>
      <c r="LA11" s="109"/>
      <c r="LB11" s="161">
        <f>IFERROR((((COUNTIF('Elève (3ème3)'!KV11:LA11,"A"))*4)+((COUNTIF('Elève (3ème3)'!KV11:LA11,"B"))*3)+((COUNTIF('Elève (3ème3)'!KV11:LA11,"C"))*2)+((COUNTIF('Elève (3ème3)'!KV11:LA11,"D"))*1))/(COUNTA(KV11:LA11)),"")</f>
        <v>3</v>
      </c>
      <c r="LC11" s="162" t="str">
        <f t="shared" si="81"/>
        <v>B</v>
      </c>
      <c r="LD11" s="189">
        <f>IF(COUNT(KN11,KT11,LB11)=0,"",SUM(KN11,KT11,LB11)/COUNT(KN11,KT11,LB11))</f>
        <v>3</v>
      </c>
      <c r="LE11" s="186" t="str">
        <f t="shared" si="82"/>
        <v>B</v>
      </c>
      <c r="LF11" s="103" t="s">
        <v>27</v>
      </c>
      <c r="LG11" s="104" t="s">
        <v>30</v>
      </c>
      <c r="LH11" s="105"/>
      <c r="LI11" s="161">
        <f>IFERROR((((COUNTIF('Elève (3ème3)'!LF11:LH11,"A"))*4)+((COUNTIF('Elève (3ème3)'!LF11:LH11,"B"))*3)+((COUNTIF('Elève (3ème3)'!LF11:LH11,"C"))*2)+((COUNTIF('Elève (3ème3)'!LF11:LH11,"D"))*1))/(COUNTA(LF11:LH11)),"")</f>
        <v>2.5</v>
      </c>
      <c r="LJ11" s="162" t="str">
        <f t="shared" si="83"/>
        <v>C</v>
      </c>
      <c r="LK11" s="103"/>
      <c r="LL11" s="104"/>
      <c r="LM11" s="105"/>
      <c r="LN11" s="105"/>
      <c r="LO11" s="161" t="str">
        <f>IFERROR((((COUNTIF('Elève (3ème3)'!LK11:LN11,"A"))*4)+((COUNTIF('Elève (3ème3)'!LK11:LN11,"B"))*3)+((COUNTIF('Elève (3ème3)'!LK11:LN11,"C"))*2)+((COUNTIF('Elève (3ème3)'!LK11:LN11,"D"))*1))/(COUNTA(LK11:LN11)),"")</f>
        <v/>
      </c>
      <c r="LP11" s="162" t="str">
        <f t="shared" si="84"/>
        <v/>
      </c>
      <c r="LQ11" s="103" t="s">
        <v>27</v>
      </c>
      <c r="LR11" s="104" t="s">
        <v>29</v>
      </c>
      <c r="LS11" s="105" t="s">
        <v>27</v>
      </c>
      <c r="LT11" s="105" t="s">
        <v>27</v>
      </c>
      <c r="LU11" s="105" t="s">
        <v>29</v>
      </c>
      <c r="LV11" s="109"/>
      <c r="LW11" s="161">
        <f>IFERROR((((COUNTIF('Elève (3ème3)'!LQ11:LV11,"A"))*4)+((COUNTIF('Elève (3ème3)'!LQ11:LV11,"B"))*3)+((COUNTIF('Elève (3ème3)'!LQ11:LV11,"C"))*2)+((COUNTIF('Elève (3ème3)'!LQ11:LV11,"D"))*1))/(COUNTA(LQ11:LV11)),"")</f>
        <v>3.2</v>
      </c>
      <c r="LX11" s="162" t="str">
        <f t="shared" si="85"/>
        <v>B</v>
      </c>
      <c r="LY11" s="189">
        <f>IF(COUNT(LI11,LO11,LW11)=0,"",SUM(LI11,LO11,LW11)/COUNT(LI11,LO11,LW11))</f>
        <v>2.85</v>
      </c>
      <c r="LZ11" s="186" t="str">
        <f t="shared" si="86"/>
        <v>B</v>
      </c>
      <c r="MA11" s="103" t="s">
        <v>28</v>
      </c>
      <c r="MB11" s="104" t="s">
        <v>30</v>
      </c>
      <c r="MC11" s="105"/>
      <c r="MD11" s="161">
        <f>IFERROR((((COUNTIF('Elève (3ème3)'!MA11:MC11,"A"))*4)+((COUNTIF('Elève (3ème3)'!MA11:MC11,"B"))*3)+((COUNTIF('Elève (3ème3)'!MA11:MC11,"C"))*2)+((COUNTIF('Elève (3ème3)'!MA11:MC11,"D"))*1))/(COUNTA(MA11:MC11)),"")</f>
        <v>2</v>
      </c>
      <c r="ME11" s="162" t="str">
        <f t="shared" si="87"/>
        <v>C</v>
      </c>
      <c r="MF11" s="103"/>
      <c r="MG11" s="104"/>
      <c r="MH11" s="105"/>
      <c r="MI11" s="105"/>
      <c r="MJ11" s="161" t="str">
        <f>IFERROR((((COUNTIF('Elève (3ème3)'!MF11:MI11,"A"))*4)+((COUNTIF('Elève (3ème3)'!MF11:MI11,"B"))*3)+((COUNTIF('Elève (3ème3)'!MF11:MI11,"C"))*2)+((COUNTIF('Elève (3ème3)'!MF11:MI11,"D"))*1))/(COUNTA(MF11:MI11)),"")</f>
        <v/>
      </c>
      <c r="MK11" s="162" t="str">
        <f t="shared" si="88"/>
        <v/>
      </c>
      <c r="ML11" s="103" t="s">
        <v>28</v>
      </c>
      <c r="MM11" s="104" t="s">
        <v>29</v>
      </c>
      <c r="MN11" s="105" t="s">
        <v>27</v>
      </c>
      <c r="MO11" s="105" t="s">
        <v>27</v>
      </c>
      <c r="MP11" s="105" t="s">
        <v>29</v>
      </c>
      <c r="MQ11" s="109"/>
      <c r="MR11" s="161">
        <f>IFERROR((((COUNTIF('Elève (3ème3)'!ML11:MQ11,"A"))*4)+((COUNTIF('Elève (3ème3)'!ML11:MQ11,"B"))*3)+((COUNTIF('Elève (3ème3)'!ML11:MQ11,"C"))*2)+((COUNTIF('Elève (3ème3)'!ML11:MQ11,"D"))*1))/(COUNTA(ML11:MQ11)),"")</f>
        <v>3</v>
      </c>
      <c r="MS11" s="162" t="str">
        <f t="shared" si="89"/>
        <v>B</v>
      </c>
      <c r="MT11" s="189">
        <f>IF(COUNT(MD11,MJ11,MR11)=0,"",SUM(MD11,MJ11,MR11)/COUNT(MD11,MJ11,MR11))</f>
        <v>2.5</v>
      </c>
      <c r="MU11" s="186" t="str">
        <f t="shared" si="90"/>
        <v>C</v>
      </c>
      <c r="MV11" s="103" t="s">
        <v>27</v>
      </c>
      <c r="MW11" s="104" t="s">
        <v>29</v>
      </c>
      <c r="MX11" s="105"/>
      <c r="MY11" s="161">
        <f>IFERROR((((COUNTIF('Elève (3ème3)'!MV11:MX11,"A"))*4)+((COUNTIF('Elève (3ème3)'!MV11:MX11,"B"))*3)+((COUNTIF('Elève (3ème3)'!MV11:MX11,"C"))*2)+((COUNTIF('Elève (3ème3)'!MV11:MX11,"D"))*1))/(COUNTA(MV11:MX11)),"")</f>
        <v>3</v>
      </c>
      <c r="MZ11" s="162" t="str">
        <f t="shared" si="91"/>
        <v>B</v>
      </c>
      <c r="NA11" s="103"/>
      <c r="NB11" s="104"/>
      <c r="NC11" s="105"/>
      <c r="ND11" s="105"/>
      <c r="NE11" s="161" t="str">
        <f>IFERROR((((COUNTIF('Elève (3ème3)'!NA11:ND11,"A"))*4)+((COUNTIF('Elève (3ème3)'!NA11:ND11,"B"))*3)+((COUNTIF('Elève (3ème3)'!NA11:ND11,"C"))*2)+((COUNTIF('Elève (3ème3)'!NA11:ND11,"D"))*1))/(COUNTA(NA11:ND11)),"")</f>
        <v/>
      </c>
      <c r="NF11" s="162" t="str">
        <f t="shared" si="92"/>
        <v/>
      </c>
      <c r="NG11" s="103" t="s">
        <v>28</v>
      </c>
      <c r="NH11" s="104" t="s">
        <v>29</v>
      </c>
      <c r="NI11" s="105" t="s">
        <v>27</v>
      </c>
      <c r="NJ11" s="105" t="s">
        <v>27</v>
      </c>
      <c r="NK11" s="105" t="s">
        <v>29</v>
      </c>
      <c r="NL11" s="109"/>
      <c r="NM11" s="161">
        <f>IFERROR((((COUNTIF('Elève (3ème3)'!NG11:NL11,"A"))*4)+((COUNTIF('Elève (3ème3)'!NG11:NL11,"B"))*3)+((COUNTIF('Elève (3ème3)'!NG11:NL11,"C"))*2)+((COUNTIF('Elève (3ème3)'!NG11:NL11,"D"))*1))/(COUNTA(NG11:NL11)),"")</f>
        <v>3</v>
      </c>
      <c r="NN11" s="162" t="str">
        <f t="shared" si="93"/>
        <v>B</v>
      </c>
      <c r="NO11" s="189">
        <f>IF(COUNT(MY11,NE11,NM11)=0,"",SUM(MY11,NE11,NM11)/COUNT(MY11,NE11,NM11))</f>
        <v>3</v>
      </c>
      <c r="NP11" s="186" t="str">
        <f t="shared" si="94"/>
        <v>B</v>
      </c>
      <c r="NQ11" s="103" t="s">
        <v>27</v>
      </c>
      <c r="NR11" s="104" t="s">
        <v>30</v>
      </c>
      <c r="NS11" s="105"/>
      <c r="NT11" s="161">
        <f>IFERROR((((COUNTIF('Elève (3ème3)'!NQ11:NS11,"A"))*4)+((COUNTIF('Elève (3ème3)'!NQ11:NS11,"B"))*3)+((COUNTIF('Elève (3ème3)'!NQ11:NS11,"C"))*2)+((COUNTIF('Elève (3ème3)'!NQ11:NS11,"D"))*1))/(COUNTA(NQ11:NS11)),"")</f>
        <v>2.5</v>
      </c>
      <c r="NU11" s="162" t="str">
        <f t="shared" si="95"/>
        <v>C</v>
      </c>
      <c r="NV11" s="103"/>
      <c r="NW11" s="104"/>
      <c r="NX11" s="105"/>
      <c r="NY11" s="105"/>
      <c r="NZ11" s="161" t="str">
        <f>IFERROR((((COUNTIF('Elève (3ème3)'!NV11:NY11,"A"))*4)+((COUNTIF('Elève (3ème3)'!NV11:NY11,"B"))*3)+((COUNTIF('Elève (3ème3)'!NV11:NY11,"C"))*2)+((COUNTIF('Elève (3ème3)'!NV11:NY11,"D"))*1))/(COUNTA(NV11:NY11)),"")</f>
        <v/>
      </c>
      <c r="OA11" s="162" t="str">
        <f t="shared" si="96"/>
        <v/>
      </c>
      <c r="OB11" s="103" t="s">
        <v>28</v>
      </c>
      <c r="OC11" s="104" t="s">
        <v>29</v>
      </c>
      <c r="OD11" s="105" t="s">
        <v>27</v>
      </c>
      <c r="OE11" s="105" t="s">
        <v>28</v>
      </c>
      <c r="OF11" s="105" t="s">
        <v>29</v>
      </c>
      <c r="OG11" s="109"/>
      <c r="OH11" s="161">
        <f>IFERROR((((COUNTIF('Elève (3ème3)'!OB11:OG11,"A"))*4)+((COUNTIF('Elève (3ème3)'!OB11:OG11,"B"))*3)+((COUNTIF('Elève (3ème3)'!OB11:OG11,"C"))*2)+((COUNTIF('Elève (3ème3)'!OB11:OG11,"D"))*1))/(COUNTA(OB11:OG11)),"")</f>
        <v>2.8</v>
      </c>
      <c r="OI11" s="162" t="str">
        <f t="shared" si="97"/>
        <v>C</v>
      </c>
      <c r="OJ11" s="189">
        <f>IF(COUNT(NT11,NZ11,OH11)=0,"",SUM(NT11,NZ11,OH11)/COUNT(NT11,NZ11,OH11))</f>
        <v>2.65</v>
      </c>
      <c r="OK11" s="186" t="str">
        <f t="shared" si="98"/>
        <v>C</v>
      </c>
      <c r="OL11" s="103" t="s">
        <v>29</v>
      </c>
      <c r="OM11" s="104" t="s">
        <v>30</v>
      </c>
      <c r="ON11" s="105"/>
      <c r="OO11" s="161">
        <f>IFERROR((((COUNTIF('Elève (3ème3)'!OL11:ON11,"A"))*4)+((COUNTIF('Elève (3ème3)'!OL11:ON11,"B"))*3)+((COUNTIF('Elève (3ème3)'!OL11:ON11,"C"))*2)+((COUNTIF('Elève (3ème3)'!OL11:ON11,"D"))*1))/(COUNTA(OL11:ON11)),"")</f>
        <v>1.5</v>
      </c>
      <c r="OP11" s="162" t="str">
        <f t="shared" si="99"/>
        <v>D</v>
      </c>
      <c r="OQ11" s="103"/>
      <c r="OR11" s="104"/>
      <c r="OS11" s="105"/>
      <c r="OT11" s="105"/>
      <c r="OU11" s="161" t="str">
        <f>IFERROR((((COUNTIF('Elève (3ème3)'!OQ11:OT11,"A"))*4)+((COUNTIF('Elève (3ème3)'!OQ11:OT11,"B"))*3)+((COUNTIF('Elève (3ème3)'!OQ11:OT11,"C"))*2)+((COUNTIF('Elève (3ème3)'!OQ11:OT11,"D"))*1))/(COUNTA(OQ11:OT11)),"")</f>
        <v/>
      </c>
      <c r="OV11" s="162" t="str">
        <f t="shared" si="100"/>
        <v/>
      </c>
      <c r="OW11" s="103"/>
      <c r="OX11" s="104" t="s">
        <v>28</v>
      </c>
      <c r="OY11" s="105" t="s">
        <v>27</v>
      </c>
      <c r="OZ11" s="105" t="s">
        <v>27</v>
      </c>
      <c r="PA11" s="105" t="s">
        <v>29</v>
      </c>
      <c r="PB11" s="109"/>
      <c r="PC11" s="161">
        <f>IFERROR((((COUNTIF('Elève (3ème3)'!OW11:PB11,"A"))*4)+((COUNTIF('Elève (3ème3)'!OW11:PB11,"B"))*3)+((COUNTIF('Elève (3ème3)'!OW11:PB11,"C"))*2)+((COUNTIF('Elève (3ème3)'!OW11:PB11,"D"))*1))/(COUNTA(OW11:PB11)),"")</f>
        <v>3.25</v>
      </c>
      <c r="PD11" s="162" t="str">
        <f t="shared" si="101"/>
        <v>B</v>
      </c>
      <c r="PE11" s="189">
        <f>IF(COUNT(OO11,OU11,PC11)=0,"",SUM(OO11,OU11,PC11)/COUNT(OO11,OU11,PC11))</f>
        <v>2.375</v>
      </c>
      <c r="PF11" s="186" t="str">
        <f t="shared" si="102"/>
        <v>C</v>
      </c>
      <c r="PG11" s="103" t="s">
        <v>28</v>
      </c>
      <c r="PH11" s="104" t="s">
        <v>29</v>
      </c>
      <c r="PI11" s="105"/>
      <c r="PJ11" s="161">
        <f>IFERROR((((COUNTIF('Elève (3ème3)'!PG11:PI11,"A"))*4)+((COUNTIF('Elève (3ème3)'!PG11:PI11,"B"))*3)+((COUNTIF('Elève (3ème3)'!PG11:PI11,"C"))*2)+((COUNTIF('Elève (3ème3)'!PG11:PI11,"D"))*1))/(COUNTA(PG11:PI11)),"")</f>
        <v>2.5</v>
      </c>
      <c r="PK11" s="162" t="str">
        <f t="shared" si="103"/>
        <v>C</v>
      </c>
      <c r="PL11" s="103"/>
      <c r="PM11" s="104"/>
      <c r="PN11" s="105"/>
      <c r="PO11" s="105"/>
      <c r="PP11" s="161" t="str">
        <f>IFERROR((((COUNTIF('Elève (3ème3)'!PL11:PO11,"A"))*4)+((COUNTIF('Elève (3ème3)'!PL11:PO11,"B"))*3)+((COUNTIF('Elève (3ème3)'!PL11:PO11,"C"))*2)+((COUNTIF('Elève (3ème3)'!PL11:PO11,"D"))*1))/(COUNTA(PL11:PO11)),"")</f>
        <v/>
      </c>
      <c r="PQ11" s="162" t="str">
        <f t="shared" si="104"/>
        <v/>
      </c>
      <c r="PR11" s="103" t="s">
        <v>27</v>
      </c>
      <c r="PS11" s="104" t="s">
        <v>28</v>
      </c>
      <c r="PT11" s="105" t="s">
        <v>27</v>
      </c>
      <c r="PU11" s="105" t="s">
        <v>28</v>
      </c>
      <c r="PV11" s="105" t="s">
        <v>27</v>
      </c>
      <c r="PW11" s="109"/>
      <c r="PX11" s="161">
        <f>IFERROR((((COUNTIF('Elève (3ème3)'!PR11:PW11,"A"))*4)+((COUNTIF('Elève (3ème3)'!PR11:PW11,"B"))*3)+((COUNTIF('Elève (3ème3)'!PR11:PW11,"C"))*2)+((COUNTIF('Elève (3ème3)'!PR11:PW11,"D"))*1))/(COUNTA(PR11:PW11)),"")</f>
        <v>3.6</v>
      </c>
      <c r="PY11" s="162" t="str">
        <f t="shared" si="105"/>
        <v>B</v>
      </c>
      <c r="PZ11" s="189">
        <f>IF(COUNT(PJ11,PP11,PX11)=0,"",SUM(PJ11,PP11,PX11)/COUNT(PJ11,PP11,PX11))</f>
        <v>3.05</v>
      </c>
      <c r="QA11" s="186" t="str">
        <f t="shared" si="106"/>
        <v>B</v>
      </c>
      <c r="QB11" s="103" t="s">
        <v>28</v>
      </c>
      <c r="QC11" s="104" t="s">
        <v>28</v>
      </c>
      <c r="QD11" s="105"/>
      <c r="QE11" s="161">
        <f>IFERROR((((COUNTIF('Elève (3ème3)'!QB11:QD11,"A"))*4)+((COUNTIF('Elève (3ème3)'!QB11:QD11,"B"))*3)+((COUNTIF('Elève (3ème3)'!QB11:QD11,"C"))*2)+((COUNTIF('Elève (3ème3)'!QB11:QD11,"D"))*1))/(COUNTA(QB11:QD11)),"")</f>
        <v>3</v>
      </c>
      <c r="QF11" s="162" t="str">
        <f t="shared" si="107"/>
        <v>B</v>
      </c>
      <c r="QG11" s="103"/>
      <c r="QH11" s="104"/>
      <c r="QI11" s="105"/>
      <c r="QJ11" s="105"/>
      <c r="QK11" s="161" t="str">
        <f>IFERROR((((COUNTIF('Elève (3ème3)'!QG11:QJ11,"A"))*4)+((COUNTIF('Elève (3ème3)'!QG11:QJ11,"B"))*3)+((COUNTIF('Elève (3ème3)'!QG11:QJ11,"C"))*2)+((COUNTIF('Elève (3ème3)'!QG11:QJ11,"D"))*1))/(COUNTA(QG11:QJ11)),"")</f>
        <v/>
      </c>
      <c r="QL11" s="162" t="str">
        <f t="shared" si="108"/>
        <v/>
      </c>
      <c r="QM11" s="103" t="s">
        <v>27</v>
      </c>
      <c r="QN11" s="104" t="s">
        <v>28</v>
      </c>
      <c r="QO11" s="105" t="s">
        <v>28</v>
      </c>
      <c r="QP11" s="105" t="s">
        <v>27</v>
      </c>
      <c r="QQ11" s="105" t="s">
        <v>28</v>
      </c>
      <c r="QR11" s="109"/>
      <c r="QS11" s="161">
        <f>IFERROR((((COUNTIF('Elève (3ème3)'!QM11:QR11,"A"))*4)+((COUNTIF('Elève (3ème3)'!QM11:QR11,"B"))*3)+((COUNTIF('Elève (3ème3)'!QM11:QR11,"C"))*2)+((COUNTIF('Elève (3ème3)'!QM11:QR11,"D"))*1))/(COUNTA(QM11:QR11)),"")</f>
        <v>3.4</v>
      </c>
      <c r="QT11" s="162" t="str">
        <f t="shared" si="109"/>
        <v>B</v>
      </c>
      <c r="QU11" s="189">
        <f>IF(COUNT(QE11,QK11,QS11)=0,"",SUM(QE11,QK11,QS11)/COUNT(QE11,QK11,QS11))</f>
        <v>3.2</v>
      </c>
      <c r="QV11" s="186" t="str">
        <f t="shared" si="110"/>
        <v>B</v>
      </c>
      <c r="QW11" s="103" t="s">
        <v>30</v>
      </c>
      <c r="QX11" s="104" t="s">
        <v>30</v>
      </c>
      <c r="QY11" s="105"/>
      <c r="QZ11" s="161">
        <f>IFERROR((((COUNTIF('Elève (3ème3)'!QW11:QY11,"A"))*4)+((COUNTIF('Elève (3ème3)'!QW11:QY11,"B"))*3)+((COUNTIF('Elève (3ème3)'!QW11:QY11,"C"))*2)+((COUNTIF('Elève (3ème3)'!QW11:QY11,"D"))*1))/(COUNTA(QW11:QY11)),"")</f>
        <v>1</v>
      </c>
      <c r="RA11" s="162" t="str">
        <f t="shared" si="111"/>
        <v>D</v>
      </c>
      <c r="RB11" s="103"/>
      <c r="RC11" s="104"/>
      <c r="RD11" s="105"/>
      <c r="RE11" s="105"/>
      <c r="RF11" s="161" t="str">
        <f>IFERROR((((COUNTIF('Elève (3ème3)'!RB11:RE11,"A"))*4)+((COUNTIF('Elève (3ème3)'!RB11:RE11,"B"))*3)+((COUNTIF('Elève (3ème3)'!RB11:RE11,"C"))*2)+((COUNTIF('Elève (3ème3)'!RB11:RE11,"D"))*1))/(COUNTA(RB11:RE11)),"")</f>
        <v/>
      </c>
      <c r="RG11" s="162" t="str">
        <f t="shared" si="112"/>
        <v/>
      </c>
      <c r="RH11" s="103" t="s">
        <v>28</v>
      </c>
      <c r="RI11" s="104" t="s">
        <v>28</v>
      </c>
      <c r="RJ11" s="105" t="s">
        <v>27</v>
      </c>
      <c r="RK11" s="105" t="s">
        <v>27</v>
      </c>
      <c r="RL11" s="105" t="s">
        <v>29</v>
      </c>
      <c r="RM11" s="109"/>
      <c r="RN11" s="161">
        <f>IFERROR((((COUNTIF('Elève (3ème3)'!RH11:RM11,"A"))*4)+((COUNTIF('Elève (3ème3)'!RH11:RM11,"B"))*3)+((COUNTIF('Elève (3ème3)'!RH11:RM11,"C"))*2)+((COUNTIF('Elève (3ème3)'!RH11:RM11,"D"))*1))/(COUNTA(RH11:RM11)),"")</f>
        <v>3.2</v>
      </c>
      <c r="RO11" s="162" t="str">
        <f t="shared" si="113"/>
        <v>B</v>
      </c>
      <c r="RP11" s="189">
        <f>IF(COUNT(QZ11,RF11,RN11)=0,"",SUM(QZ11,RF11,RN11)/COUNT(QZ11,RF11,RN11))</f>
        <v>2.1</v>
      </c>
      <c r="RQ11" s="186" t="str">
        <f t="shared" si="114"/>
        <v>C</v>
      </c>
      <c r="RR11" s="103" t="s">
        <v>29</v>
      </c>
      <c r="RS11" s="104" t="s">
        <v>30</v>
      </c>
      <c r="RT11" s="105"/>
      <c r="RU11" s="161">
        <f>IFERROR((((COUNTIF('Elève (3ème3)'!RR11:RT11,"A"))*4)+((COUNTIF('Elève (3ème3)'!RR11:RT11,"B"))*3)+((COUNTIF('Elève (3ème3)'!RR11:RT11,"C"))*2)+((COUNTIF('Elève (3ème3)'!RR11:RT11,"D"))*1))/(COUNTA(RR11:RT11)),"")</f>
        <v>1.5</v>
      </c>
      <c r="RV11" s="162" t="str">
        <f t="shared" si="115"/>
        <v>D</v>
      </c>
      <c r="RW11" s="103"/>
      <c r="RX11" s="104"/>
      <c r="RY11" s="105"/>
      <c r="RZ11" s="105"/>
      <c r="SA11" s="161" t="str">
        <f>IFERROR((((COUNTIF('Elève (3ème3)'!RW11:RZ11,"A"))*4)+((COUNTIF('Elève (3ème3)'!RW11:RZ11,"B"))*3)+((COUNTIF('Elève (3ème3)'!RW11:RZ11,"C"))*2)+((COUNTIF('Elève (3ème3)'!RW11:RZ11,"D"))*1))/(COUNTA(RW11:RZ11)),"")</f>
        <v/>
      </c>
      <c r="SB11" s="162" t="str">
        <f t="shared" si="116"/>
        <v/>
      </c>
      <c r="SC11" s="103" t="s">
        <v>27</v>
      </c>
      <c r="SD11" s="104" t="s">
        <v>29</v>
      </c>
      <c r="SE11" s="105" t="s">
        <v>27</v>
      </c>
      <c r="SF11" s="105" t="s">
        <v>27</v>
      </c>
      <c r="SG11" s="105" t="s">
        <v>30</v>
      </c>
      <c r="SH11" s="109"/>
      <c r="SI11" s="161">
        <f>IFERROR((((COUNTIF('Elève (3ème3)'!SC11:SH11,"A"))*4)+((COUNTIF('Elève (3ème3)'!SC11:SH11,"B"))*3)+((COUNTIF('Elève (3ème3)'!SC11:SH11,"C"))*2)+((COUNTIF('Elève (3ème3)'!SC11:SH11,"D"))*1))/(COUNTA(SC11:SH11)),"")</f>
        <v>3</v>
      </c>
      <c r="SJ11" s="162" t="str">
        <f t="shared" si="117"/>
        <v>B</v>
      </c>
      <c r="SK11" s="189">
        <f>IF(COUNT(RU11,SA11,SI11)=0,"",SUM(RU11,SA11,SI11)/COUNT(RU11,SA11,SI11))</f>
        <v>2.25</v>
      </c>
      <c r="SL11" s="186" t="str">
        <f t="shared" si="118"/>
        <v>C</v>
      </c>
      <c r="SM11" s="103"/>
      <c r="SN11" s="104"/>
      <c r="SO11" s="105"/>
      <c r="SP11" s="99" t="str">
        <f>IFERROR((((COUNTIF('Elève (3ème3)'!SM11:SO11,"A"))*4)+((COUNTIF('Elève (3ème3)'!SM11:SO11,"B"))*3)+((COUNTIF('Elève (3ème3)'!SM11:SO11,"C"))*2)+((COUNTIF('Elève (3ème3)'!SM11:SO11,"D"))*1))/(COUNTA(SM11:SO11)),"")</f>
        <v/>
      </c>
      <c r="SQ11" s="100" t="str">
        <f t="shared" si="119"/>
        <v/>
      </c>
      <c r="SR11" s="103"/>
      <c r="SS11" s="104"/>
      <c r="ST11" s="105"/>
      <c r="SU11" s="99" t="str">
        <f>IFERROR((((COUNTIF('Elève (3ème3)'!SR11:ST11,"A"))*4)+((COUNTIF('Elève (3ème3)'!SR11:ST11,"B"))*3)+((COUNTIF('Elève (3ème3)'!SR11:ST11,"C"))*2)+((COUNTIF('Elève (3ème3)'!SR11:ST11,"D"))*1))/(COUNTA(SR11:ST11)),"")</f>
        <v/>
      </c>
      <c r="SV11" s="100" t="str">
        <f t="shared" si="120"/>
        <v/>
      </c>
      <c r="SW11" s="103"/>
      <c r="SX11" s="104"/>
      <c r="SY11" s="109"/>
      <c r="SZ11" s="99" t="str">
        <f>IFERROR((((COUNTIF('Elève (3ème3)'!SW11:SY11,"A"))*4)+((COUNTIF('Elève (3ème3)'!SW11:SY11,"B"))*3)+((COUNTIF('Elève (3ème3)'!SW11:SY11,"C"))*2)+((COUNTIF('Elève (3ème3)'!SW11:SY11,"D"))*1))/(COUNTA(SW11:SY11)),"")</f>
        <v/>
      </c>
      <c r="TA11" s="100" t="str">
        <f t="shared" si="121"/>
        <v/>
      </c>
      <c r="TB11" s="119" t="str">
        <f>IF(COUNT(SP11,SU11,SZ11)=0,"",SUM(SP11,SU11,SZ11)/COUNT(SP11,SU11,SZ11))</f>
        <v/>
      </c>
      <c r="TC11" s="101" t="str">
        <f t="shared" si="122"/>
        <v/>
      </c>
      <c r="TD11" s="103"/>
      <c r="TE11" s="104"/>
      <c r="TF11" s="105"/>
      <c r="TG11" s="99" t="str">
        <f>IFERROR((((COUNTIF('Elève (3ème3)'!TD11:TF11,"A"))*4)+((COUNTIF('Elève (3ème3)'!TD11:TF11,"B"))*3)+((COUNTIF('Elève (3ème3)'!TD11:TF11,"C"))*2)+((COUNTIF('Elève (3ème3)'!TD11:TF11,"D"))*1))/(COUNTA(TD11:TF11)),"")</f>
        <v/>
      </c>
      <c r="TH11" s="100" t="str">
        <f t="shared" si="123"/>
        <v/>
      </c>
      <c r="TI11" s="103"/>
      <c r="TJ11" s="104"/>
      <c r="TK11" s="105"/>
      <c r="TL11" s="99" t="str">
        <f>IFERROR((((COUNTIF('Elève (3ème3)'!TI11:TK11,"A"))*4)+((COUNTIF('Elève (3ème3)'!TI11:TK11,"B"))*3)+((COUNTIF('Elève (3ème3)'!TI11:TK11,"C"))*2)+((COUNTIF('Elève (3ème3)'!TI11:TK11,"D"))*1))/(COUNTA(TI11:TK11)),"")</f>
        <v/>
      </c>
      <c r="TM11" s="100" t="str">
        <f t="shared" si="124"/>
        <v/>
      </c>
      <c r="TN11" s="103"/>
      <c r="TO11" s="104"/>
      <c r="TP11" s="109"/>
      <c r="TQ11" s="99" t="str">
        <f>IFERROR((((COUNTIF('Elève (3ème3)'!TN11:TP11,"A"))*4)+((COUNTIF('Elève (3ème3)'!TN11:TP11,"B"))*3)+((COUNTIF('Elève (3ème3)'!TN11:TP11,"C"))*2)+((COUNTIF('Elève (3ème3)'!TN11:TP11,"D"))*1))/(COUNTA(TN11:TP11)),"")</f>
        <v/>
      </c>
      <c r="TR11" s="100" t="str">
        <f t="shared" si="125"/>
        <v/>
      </c>
      <c r="TS11" s="119" t="str">
        <f>IF(COUNT(TG11,TL11,TQ11)=0,"",SUM(TG11,TL11,TQ11)/COUNT(TG11,TL11,TQ11))</f>
        <v/>
      </c>
      <c r="TT11" s="101" t="str">
        <f t="shared" si="126"/>
        <v/>
      </c>
      <c r="TU11" s="103"/>
      <c r="TV11" s="104"/>
      <c r="TW11" s="105"/>
      <c r="TX11" s="99" t="str">
        <f>IFERROR((((COUNTIF('Elève (3ème3)'!TU11:TW11,"A"))*4)+((COUNTIF('Elève (3ème3)'!TU11:TW11,"B"))*3)+((COUNTIF('Elève (3ème3)'!TU11:TW11,"C"))*2)+((COUNTIF('Elève (3ème3)'!TU11:TW11,"D"))*1))/(COUNTA(TU11:TW11)),"")</f>
        <v/>
      </c>
      <c r="TY11" s="100" t="str">
        <f t="shared" si="127"/>
        <v/>
      </c>
      <c r="TZ11" s="103"/>
      <c r="UA11" s="104"/>
      <c r="UB11" s="105"/>
      <c r="UC11" s="99" t="str">
        <f>IFERROR((((COUNTIF('Elève (3ème3)'!TZ11:UB11,"A"))*4)+((COUNTIF('Elève (3ème3)'!TZ11:UB11,"B"))*3)+((COUNTIF('Elève (3ème3)'!TZ11:UB11,"C"))*2)+((COUNTIF('Elève (3ème3)'!TZ11:UB11,"D"))*1))/(COUNTA(TZ11:UB11)),"")</f>
        <v/>
      </c>
      <c r="UD11" s="100" t="str">
        <f t="shared" si="128"/>
        <v/>
      </c>
      <c r="UE11" s="103"/>
      <c r="UF11" s="104"/>
      <c r="UG11" s="109"/>
      <c r="UH11" s="99" t="str">
        <f>IFERROR((((COUNTIF('Elève (3ème3)'!UE11:UG11,"A"))*4)+((COUNTIF('Elève (3ème3)'!UE11:UG11,"B"))*3)+((COUNTIF('Elève (3ème3)'!UE11:UG11,"C"))*2)+((COUNTIF('Elève (3ème3)'!UE11:UG11,"D"))*1))/(COUNTA(UE11:UG11)),"")</f>
        <v/>
      </c>
      <c r="UI11" s="100" t="str">
        <f t="shared" si="129"/>
        <v/>
      </c>
      <c r="UJ11" s="119" t="str">
        <f>IF(COUNT(TX11,UC11,UH11)=0,"",SUM(TX11,UC11,UH11)/COUNT(TX11,UC11,UH11))</f>
        <v/>
      </c>
      <c r="UK11" s="101" t="str">
        <f t="shared" si="130"/>
        <v/>
      </c>
      <c r="UL11" s="103"/>
      <c r="UM11" s="104"/>
      <c r="UN11" s="105"/>
      <c r="UO11" s="99" t="str">
        <f>IFERROR((((COUNTIF('Elève (3ème3)'!UL11:UN11,"A"))*4)+((COUNTIF('Elève (3ème3)'!UL11:UN11,"B"))*3)+((COUNTIF('Elève (3ème3)'!UL11:UN11,"C"))*2)+((COUNTIF('Elève (3ème3)'!UL11:UN11,"D"))*1))/(COUNTA(UL11:UN11)),"")</f>
        <v/>
      </c>
      <c r="UP11" s="100" t="str">
        <f t="shared" si="131"/>
        <v/>
      </c>
      <c r="UQ11" s="103"/>
      <c r="UR11" s="104"/>
      <c r="US11" s="105"/>
      <c r="UT11" s="99" t="str">
        <f>IFERROR((((COUNTIF('Elève (3ème3)'!UQ11:US11,"A"))*4)+((COUNTIF('Elève (3ème3)'!UQ11:US11,"B"))*3)+((COUNTIF('Elève (3ème3)'!UQ11:US11,"C"))*2)+((COUNTIF('Elève (3ème3)'!UQ11:US11,"D"))*1))/(COUNTA(UQ11:US11)),"")</f>
        <v/>
      </c>
      <c r="UU11" s="100" t="str">
        <f t="shared" si="132"/>
        <v/>
      </c>
      <c r="UV11" s="103"/>
      <c r="UW11" s="104"/>
      <c r="UX11" s="109"/>
      <c r="UY11" s="99" t="str">
        <f>IFERROR((((COUNTIF('Elève (3ème3)'!UV11:UX11,"A"))*4)+((COUNTIF('Elève (3ème3)'!UV11:UX11,"B"))*3)+((COUNTIF('Elève (3ème3)'!UV11:UX11,"C"))*2)+((COUNTIF('Elève (3ème3)'!UV11:UX11,"D"))*1))/(COUNTA(UV11:UX11)),"")</f>
        <v/>
      </c>
      <c r="UZ11" s="100" t="str">
        <f t="shared" si="133"/>
        <v/>
      </c>
      <c r="VA11" s="119" t="str">
        <f>IF(COUNT(UO11,UT11,UY11)=0,"",SUM(UO11,UT11,UY11)/COUNT(UO11,UT11,UY11))</f>
        <v/>
      </c>
      <c r="VB11" s="101" t="str">
        <f t="shared" si="134"/>
        <v/>
      </c>
      <c r="VC11" s="103"/>
      <c r="VD11" s="104"/>
      <c r="VE11" s="105"/>
      <c r="VF11" s="99" t="str">
        <f>IFERROR((((COUNTIF('Elève (3ème3)'!VC11:VE11,"A"))*4)+((COUNTIF('Elève (3ème3)'!VC11:VE11,"B"))*3)+((COUNTIF('Elève (3ème3)'!VC11:VE11,"C"))*2)+((COUNTIF('Elève (3ème3)'!VC11:VE11,"D"))*1))/(COUNTA(VC11:VE11)),"")</f>
        <v/>
      </c>
      <c r="VG11" s="100" t="str">
        <f t="shared" si="135"/>
        <v/>
      </c>
      <c r="VH11" s="103"/>
      <c r="VI11" s="104"/>
      <c r="VJ11" s="105"/>
      <c r="VK11" s="99" t="str">
        <f>IFERROR((((COUNTIF('Elève (3ème3)'!VH11:VJ11,"A"))*4)+((COUNTIF('Elève (3ème3)'!VH11:VJ11,"B"))*3)+((COUNTIF('Elève (3ème3)'!VH11:VJ11,"C"))*2)+((COUNTIF('Elève (3ème3)'!VH11:VJ11,"D"))*1))/(COUNTA(VH11:VJ11)),"")</f>
        <v/>
      </c>
      <c r="VL11" s="100" t="str">
        <f t="shared" si="136"/>
        <v/>
      </c>
      <c r="VM11" s="103"/>
      <c r="VN11" s="104"/>
      <c r="VO11" s="109"/>
      <c r="VP11" s="99" t="str">
        <f>IFERROR((((COUNTIF('Elève (3ème3)'!VM11:VO11,"A"))*4)+((COUNTIF('Elève (3ème3)'!VM11:VO11,"B"))*3)+((COUNTIF('Elève (3ème3)'!VM11:VO11,"C"))*2)+((COUNTIF('Elève (3ème3)'!VM11:VO11,"D"))*1))/(COUNTA(VM11:VO11)),"")</f>
        <v/>
      </c>
      <c r="VQ11" s="100" t="str">
        <f t="shared" si="137"/>
        <v/>
      </c>
      <c r="VR11" s="119" t="str">
        <f>IF(COUNT(VF11,VK11,VP11)=0,"",SUM(VF11,VK11,VP11)/COUNT(VF11,VK11,VP11))</f>
        <v/>
      </c>
      <c r="VS11" s="101" t="str">
        <f t="shared" si="138"/>
        <v/>
      </c>
      <c r="VT11" s="103"/>
      <c r="VU11" s="104"/>
      <c r="VV11" s="105"/>
      <c r="VW11" s="99" t="str">
        <f>IFERROR((((COUNTIF('Elève (3ème3)'!VT11:VV11,"A"))*4)+((COUNTIF('Elève (3ème3)'!VT11:VV11,"B"))*3)+((COUNTIF('Elève (3ème3)'!VT11:VV11,"C"))*2)+((COUNTIF('Elève (3ème3)'!VT11:VV11,"D"))*1))/(COUNTA(VT11:VV11)),"")</f>
        <v/>
      </c>
      <c r="VX11" s="100" t="str">
        <f t="shared" si="139"/>
        <v/>
      </c>
      <c r="VY11" s="103"/>
      <c r="VZ11" s="104"/>
      <c r="WA11" s="105"/>
      <c r="WB11" s="99" t="str">
        <f>IFERROR((((COUNTIF('Elève (3ème3)'!VY11:WA11,"A"))*4)+((COUNTIF('Elève (3ème3)'!VY11:WA11,"B"))*3)+((COUNTIF('Elève (3ème3)'!VY11:WA11,"C"))*2)+((COUNTIF('Elève (3ème3)'!VY11:WA11,"D"))*1))/(COUNTA(VY11:WA11)),"")</f>
        <v/>
      </c>
      <c r="WC11" s="100" t="str">
        <f t="shared" si="140"/>
        <v/>
      </c>
      <c r="WD11" s="103"/>
      <c r="WE11" s="104"/>
      <c r="WF11" s="109"/>
      <c r="WG11" s="99" t="str">
        <f>IFERROR((((COUNTIF('Elève (3ème3)'!WD11:WF11,"A"))*4)+((COUNTIF('Elève (3ème3)'!WD11:WF11,"B"))*3)+((COUNTIF('Elève (3ème3)'!WD11:WF11,"C"))*2)+((COUNTIF('Elève (3ème3)'!WD11:WF11,"D"))*1))/(COUNTA(WD11:WF11)),"")</f>
        <v/>
      </c>
      <c r="WH11" s="100" t="str">
        <f t="shared" si="141"/>
        <v/>
      </c>
      <c r="WI11" s="119" t="str">
        <f>IF(COUNT(VW11,WB11,WG11)=0,"",SUM(VW11,WB11,WG11)/COUNT(VW11,WB11,WG11))</f>
        <v/>
      </c>
      <c r="WJ11" s="101" t="str">
        <f t="shared" si="142"/>
        <v/>
      </c>
    </row>
    <row r="12" spans="1:608" ht="18" customHeight="1" thickBot="1" x14ac:dyDescent="0.6">
      <c r="A12" s="215" t="s">
        <v>48</v>
      </c>
      <c r="B12" s="216"/>
      <c r="C12" s="110" t="s">
        <v>27</v>
      </c>
      <c r="D12" s="111"/>
      <c r="E12" s="112"/>
      <c r="F12" s="165">
        <f>IFERROR((((COUNTIF('Elève (3ème3)'!C12:E12,"A"))*4)+((COUNTIF('Elève (3ème3)'!C12:E12,"B"))*3)+((COUNTIF('Elève (3ème3)'!C12:E12,"C"))*2)+((COUNTIF('Elève (3ème3)'!C12:E12,"D"))*1))/(COUNTA(C12:E12)),"")</f>
        <v>4</v>
      </c>
      <c r="G12" s="166" t="str">
        <f t="shared" si="23"/>
        <v>A</v>
      </c>
      <c r="H12" s="110"/>
      <c r="I12" s="111"/>
      <c r="J12" s="112"/>
      <c r="K12" s="112"/>
      <c r="L12" s="165" t="str">
        <f>IFERROR((((COUNTIF('Elève (3ème3)'!H12:K12,"A"))*4)+((COUNTIF('Elève (3ème3)'!H12:K12,"B"))*3)+((COUNTIF('Elève (3ème3)'!H12:K12,"C"))*2)+((COUNTIF('Elève (3ème3)'!H12:K12,"D"))*1))/(COUNTA(H12:K12)),"")</f>
        <v/>
      </c>
      <c r="M12" s="166" t="str">
        <f t="shared" si="24"/>
        <v/>
      </c>
      <c r="N12" s="110"/>
      <c r="O12" s="111"/>
      <c r="P12" s="112"/>
      <c r="Q12" s="112"/>
      <c r="R12" s="112" t="s">
        <v>28</v>
      </c>
      <c r="S12" s="112"/>
      <c r="T12" s="165">
        <f>IFERROR((((COUNTIF('Elève (3ème3)'!N12:S12,"A"))*4)+((COUNTIF('Elève (3ème3)'!N12:S12,"B"))*3)+((COUNTIF('Elève (3ème3)'!N12:S12,"C"))*2)+((COUNTIF('Elève (3ème3)'!N12:S12,"D"))*1))/(COUNTA(N12:S12)),"")</f>
        <v>3</v>
      </c>
      <c r="U12" s="166" t="str">
        <f t="shared" si="25"/>
        <v>B</v>
      </c>
      <c r="V12" s="165">
        <f>IF(COUNT(F12,L12,T12)=0,"",SUM(F12,L12,T12)/COUNT(F12,L12,T12))</f>
        <v>3.5</v>
      </c>
      <c r="W12" s="188" t="str">
        <f t="shared" si="26"/>
        <v>B</v>
      </c>
      <c r="X12" s="110" t="s">
        <v>30</v>
      </c>
      <c r="Y12" s="111"/>
      <c r="Z12" s="112"/>
      <c r="AA12" s="165">
        <f>IFERROR((((COUNTIF('Elève (3ème3)'!X12:Z12,"A"))*4)+((COUNTIF('Elève (3ème3)'!X12:Z12,"B"))*3)+((COUNTIF('Elève (3ème3)'!X12:Z12,"C"))*2)+((COUNTIF('Elève (3ème3)'!X12:Z12,"D"))*1))/(COUNTA(X12:Z12)),"")</f>
        <v>1</v>
      </c>
      <c r="AB12" s="166" t="str">
        <f t="shared" si="27"/>
        <v>D</v>
      </c>
      <c r="AC12" s="110"/>
      <c r="AD12" s="111"/>
      <c r="AE12" s="112"/>
      <c r="AF12" s="112"/>
      <c r="AG12" s="165" t="str">
        <f>IFERROR((((COUNTIF('Elève (3ème3)'!AC12:AF12,"A"))*4)+((COUNTIF('Elève (3ème3)'!AC12:AF12,"B"))*3)+((COUNTIF('Elève (3ème3)'!AC12:AF12,"C"))*2)+((COUNTIF('Elève (3ème3)'!AC12:AF12,"D"))*1))/(COUNTA(AC12:AF12)),"")</f>
        <v/>
      </c>
      <c r="AH12" s="166" t="str">
        <f t="shared" si="28"/>
        <v/>
      </c>
      <c r="AI12" s="110"/>
      <c r="AJ12" s="111"/>
      <c r="AK12" s="112"/>
      <c r="AL12" s="112"/>
      <c r="AM12" s="112" t="s">
        <v>28</v>
      </c>
      <c r="AN12" s="116"/>
      <c r="AO12" s="165">
        <f>IFERROR((((COUNTIF('Elève (3ème3)'!AI12:AN12,"A"))*4)+((COUNTIF('Elève (3ème3)'!AI12:AN12,"B"))*3)+((COUNTIF('Elève (3ème3)'!AI12:AN12,"C"))*2)+((COUNTIF('Elève (3ème3)'!AI12:AN12,"D"))*1))/(COUNTA(AI12:AN12)),"")</f>
        <v>3</v>
      </c>
      <c r="AP12" s="166" t="str">
        <f t="shared" si="29"/>
        <v>B</v>
      </c>
      <c r="AQ12" s="165">
        <f>IF(COUNT(AA12,AG12,AO12)=0,"",SUM(AA12,AG12,AO12)/COUNT(AA12,AG12,AO12))</f>
        <v>2</v>
      </c>
      <c r="AR12" s="188" t="str">
        <f t="shared" si="30"/>
        <v>C</v>
      </c>
      <c r="AS12" s="110" t="s">
        <v>29</v>
      </c>
      <c r="AT12" s="111"/>
      <c r="AU12" s="112"/>
      <c r="AV12" s="165">
        <f>IFERROR((((COUNTIF('Elève (3ème3)'!AS12:AU12,"A"))*4)+((COUNTIF('Elève (3ème3)'!AS12:AU12,"B"))*3)+((COUNTIF('Elève (3ème3)'!AS12:AU12,"C"))*2)+((COUNTIF('Elève (3ème3)'!AS12:AU12,"D"))*1))/(COUNTA(AS12:AU12)),"")</f>
        <v>2</v>
      </c>
      <c r="AW12" s="166" t="str">
        <f t="shared" si="31"/>
        <v>C</v>
      </c>
      <c r="AX12" s="110"/>
      <c r="AY12" s="111"/>
      <c r="AZ12" s="112"/>
      <c r="BA12" s="112"/>
      <c r="BB12" s="165" t="str">
        <f>IFERROR((((COUNTIF('Elève (3ème3)'!AX12:BA12,"A"))*4)+((COUNTIF('Elève (3ème3)'!AX12:BA12,"B"))*3)+((COUNTIF('Elève (3ème3)'!AX12:BA12,"C"))*2)+((COUNTIF('Elève (3ème3)'!AX12:BA12,"D"))*1))/(COUNTA(AX12:BA12)),"")</f>
        <v/>
      </c>
      <c r="BC12" s="166" t="str">
        <f t="shared" si="32"/>
        <v/>
      </c>
      <c r="BD12" s="110"/>
      <c r="BE12" s="111"/>
      <c r="BF12" s="112"/>
      <c r="BG12" s="112"/>
      <c r="BH12" s="112" t="s">
        <v>28</v>
      </c>
      <c r="BI12" s="116"/>
      <c r="BJ12" s="165">
        <f>IFERROR((((COUNTIF('Elève (3ème3)'!BD12:BI12,"A"))*4)+((COUNTIF('Elève (3ème3)'!BD12:BI12,"B"))*3)+((COUNTIF('Elève (3ème3)'!BD12:BI12,"C"))*2)+((COUNTIF('Elève (3ème3)'!BD12:BI12,"D"))*1))/(COUNTA(BD12:BI12)),"")</f>
        <v>3</v>
      </c>
      <c r="BK12" s="166" t="str">
        <f t="shared" si="33"/>
        <v>B</v>
      </c>
      <c r="BL12" s="165">
        <f>IF(COUNT(AV12,BB12,BJ12)=0,"",SUM(AV12,BB12,BJ12)/COUNT(AV12,BB12,BJ12))</f>
        <v>2.5</v>
      </c>
      <c r="BM12" s="188" t="str">
        <f t="shared" si="34"/>
        <v>C</v>
      </c>
      <c r="BN12" s="110" t="s">
        <v>27</v>
      </c>
      <c r="BO12" s="111"/>
      <c r="BP12" s="112"/>
      <c r="BQ12" s="165">
        <f>IFERROR((((COUNTIF('Elève (3ème3)'!BN12:BP12,"A"))*4)+((COUNTIF('Elève (3ème3)'!BN12:BP12,"B"))*3)+((COUNTIF('Elève (3ème3)'!BN12:BP12,"C"))*2)+((COUNTIF('Elève (3ème3)'!BN12:BP12,"D"))*1))/(COUNTA(BN12:BP12)),"")</f>
        <v>4</v>
      </c>
      <c r="BR12" s="166" t="str">
        <f t="shared" si="35"/>
        <v>A</v>
      </c>
      <c r="BS12" s="110"/>
      <c r="BT12" s="111"/>
      <c r="BU12" s="112"/>
      <c r="BV12" s="112"/>
      <c r="BW12" s="165" t="str">
        <f>IFERROR((((COUNTIF('Elève (3ème3)'!BS12:BV12,"A"))*4)+((COUNTIF('Elève (3ème3)'!BS12:BV12,"B"))*3)+((COUNTIF('Elève (3ème3)'!BS12:BV12,"C"))*2)+((COUNTIF('Elève (3ème3)'!BS12:BV12,"D"))*1))/(COUNTA(BS12:BV12)),"")</f>
        <v/>
      </c>
      <c r="BX12" s="166" t="str">
        <f t="shared" si="36"/>
        <v/>
      </c>
      <c r="BY12" s="110"/>
      <c r="BZ12" s="111"/>
      <c r="CA12" s="112"/>
      <c r="CB12" s="112"/>
      <c r="CC12" s="112" t="s">
        <v>28</v>
      </c>
      <c r="CD12" s="116"/>
      <c r="CE12" s="165">
        <f>IFERROR((((COUNTIF('Elève (3ème3)'!BY12:CD12,"A"))*4)+((COUNTIF('Elève (3ème3)'!BY12:CD12,"B"))*3)+((COUNTIF('Elève (3ème3)'!BY12:CD12,"C"))*2)+((COUNTIF('Elève (3ème3)'!BY12:CD12,"D"))*1))/(COUNTA(BY12:CD12)),"")</f>
        <v>3</v>
      </c>
      <c r="CF12" s="166" t="str">
        <f t="shared" si="37"/>
        <v>B</v>
      </c>
      <c r="CG12" s="165">
        <f>IF(COUNT(BQ12,BW12,CE12)=0,"",SUM(BQ12,BW12,CE12)/COUNT(BQ12,BW12,CE12))</f>
        <v>3.5</v>
      </c>
      <c r="CH12" s="188" t="str">
        <f t="shared" si="38"/>
        <v>B</v>
      </c>
      <c r="CI12" s="110" t="s">
        <v>28</v>
      </c>
      <c r="CJ12" s="111"/>
      <c r="CK12" s="112"/>
      <c r="CL12" s="165">
        <f>IFERROR((((COUNTIF('Elève (3ème3)'!CI12:CK12,"A"))*4)+((COUNTIF('Elève (3ème3)'!CI12:CK12,"B"))*3)+((COUNTIF('Elève (3ème3)'!CI12:CK12,"C"))*2)+((COUNTIF('Elève (3ème3)'!CI12:CK12,"D"))*1))/(COUNTA(CI12:CK12)),"")</f>
        <v>3</v>
      </c>
      <c r="CM12" s="166" t="str">
        <f t="shared" si="39"/>
        <v>B</v>
      </c>
      <c r="CN12" s="110"/>
      <c r="CO12" s="111"/>
      <c r="CP12" s="112"/>
      <c r="CQ12" s="112"/>
      <c r="CR12" s="165" t="str">
        <f>IFERROR((((COUNTIF('Elève (3ème3)'!CN12:CQ12,"A"))*4)+((COUNTIF('Elève (3ème3)'!CN12:CQ12,"B"))*3)+((COUNTIF('Elève (3ème3)'!CN12:CQ12,"C"))*2)+((COUNTIF('Elève (3ème3)'!CN12:CQ12,"D"))*1))/(COUNTA(CN12:CQ12)),"")</f>
        <v/>
      </c>
      <c r="CS12" s="166" t="str">
        <f t="shared" si="40"/>
        <v/>
      </c>
      <c r="CT12" s="110"/>
      <c r="CU12" s="111"/>
      <c r="CV12" s="112"/>
      <c r="CW12" s="112"/>
      <c r="CX12" s="112" t="s">
        <v>28</v>
      </c>
      <c r="CY12" s="116"/>
      <c r="CZ12" s="165">
        <f>IFERROR((((COUNTIF('Elève (3ème3)'!CT12:CY12,"A"))*4)+((COUNTIF('Elève (3ème3)'!CT12:CY12,"B"))*3)+((COUNTIF('Elève (3ème3)'!CT12:CY12,"C"))*2)+((COUNTIF('Elève (3ème3)'!CT12:CY12,"D"))*1))/(COUNTA(CT12:CY12)),"")</f>
        <v>3</v>
      </c>
      <c r="DA12" s="166" t="str">
        <f t="shared" si="41"/>
        <v>B</v>
      </c>
      <c r="DB12" s="165">
        <f>IF(COUNT(CL12,CR12,CZ12)=0,"",SUM(CL12,CR12,CZ12)/COUNT(CL12,CR12,CZ12))</f>
        <v>3</v>
      </c>
      <c r="DC12" s="188" t="str">
        <f t="shared" si="42"/>
        <v>B</v>
      </c>
      <c r="DD12" s="110" t="s">
        <v>28</v>
      </c>
      <c r="DE12" s="111"/>
      <c r="DF12" s="112"/>
      <c r="DG12" s="165">
        <f>IFERROR((((COUNTIF('Elève (3ème3)'!DD12:DF12,"A"))*4)+((COUNTIF('Elève (3ème3)'!DD12:DF12,"B"))*3)+((COUNTIF('Elève (3ème3)'!DD12:DF12,"C"))*2)+((COUNTIF('Elève (3ème3)'!DD12:DF12,"D"))*1))/(COUNTA(DD12:DF12)),"")</f>
        <v>3</v>
      </c>
      <c r="DH12" s="166" t="str">
        <f t="shared" si="43"/>
        <v>B</v>
      </c>
      <c r="DI12" s="110"/>
      <c r="DJ12" s="111"/>
      <c r="DK12" s="112"/>
      <c r="DL12" s="112"/>
      <c r="DM12" s="165" t="str">
        <f>IFERROR((((COUNTIF('Elève (3ème3)'!DI12:DL12,"A"))*4)+((COUNTIF('Elève (3ème3)'!DI12:DL12,"B"))*3)+((COUNTIF('Elève (3ème3)'!DI12:DL12,"C"))*2)+((COUNTIF('Elève (3ème3)'!DI12:DL12,"D"))*1))/(COUNTA(DI12:DL12)),"")</f>
        <v/>
      </c>
      <c r="DN12" s="166" t="str">
        <f t="shared" si="44"/>
        <v/>
      </c>
      <c r="DO12" s="110"/>
      <c r="DP12" s="111"/>
      <c r="DQ12" s="112"/>
      <c r="DR12" s="112"/>
      <c r="DS12" s="112" t="s">
        <v>29</v>
      </c>
      <c r="DT12" s="116"/>
      <c r="DU12" s="165">
        <f>IFERROR((((COUNTIF('Elève (3ème3)'!DO12:DT12,"A"))*4)+((COUNTIF('Elève (3ème3)'!DO12:DT12,"B"))*3)+((COUNTIF('Elève (3ème3)'!DO12:DT12,"C"))*2)+((COUNTIF('Elève (3ème3)'!DO12:DT12,"D"))*1))/(COUNTA(DO12:DT12)),"")</f>
        <v>2</v>
      </c>
      <c r="DV12" s="166" t="str">
        <f t="shared" si="45"/>
        <v>C</v>
      </c>
      <c r="DW12" s="165">
        <f>IF(COUNT(DG12,DM12,DU12)=0,"",SUM(DG12,DM12,DU12)/COUNT(DG12,DM12,DU12))</f>
        <v>2.5</v>
      </c>
      <c r="DX12" s="188" t="str">
        <f t="shared" si="46"/>
        <v>C</v>
      </c>
      <c r="DY12" s="110" t="s">
        <v>28</v>
      </c>
      <c r="DZ12" s="111"/>
      <c r="EA12" s="112"/>
      <c r="EB12" s="165">
        <f>IFERROR((((COUNTIF('Elève (3ème3)'!DY12:EA12,"A"))*4)+((COUNTIF('Elève (3ème3)'!DY12:EA12,"B"))*3)+((COUNTIF('Elève (3ème3)'!DY12:EA12,"C"))*2)+((COUNTIF('Elève (3ème3)'!DY12:EA12,"D"))*1))/(COUNTA(DY12:EA12)),"")</f>
        <v>3</v>
      </c>
      <c r="EC12" s="166" t="str">
        <f t="shared" si="47"/>
        <v>B</v>
      </c>
      <c r="ED12" s="110"/>
      <c r="EE12" s="111"/>
      <c r="EF12" s="112"/>
      <c r="EG12" s="112"/>
      <c r="EH12" s="165" t="str">
        <f>IFERROR((((COUNTIF('Elève (3ème3)'!ED12:EG12,"A"))*4)+((COUNTIF('Elève (3ème3)'!ED12:EG12,"B"))*3)+((COUNTIF('Elève (3ème3)'!ED12:EG12,"C"))*2)+((COUNTIF('Elève (3ème3)'!ED12:EG12,"D"))*1))/(COUNTA(ED12:EG12)),"")</f>
        <v/>
      </c>
      <c r="EI12" s="166" t="str">
        <f t="shared" si="48"/>
        <v/>
      </c>
      <c r="EJ12" s="110"/>
      <c r="EK12" s="111"/>
      <c r="EL12" s="112"/>
      <c r="EM12" s="112"/>
      <c r="EN12" s="112" t="s">
        <v>28</v>
      </c>
      <c r="EO12" s="116"/>
      <c r="EP12" s="165">
        <f>IFERROR((((COUNTIF('Elève (3ème3)'!EJ12:EO12,"A"))*4)+((COUNTIF('Elève (3ème3)'!EJ12:EO12,"B"))*3)+((COUNTIF('Elève (3ème3)'!EJ12:EO12,"C"))*2)+((COUNTIF('Elève (3ème3)'!EJ12:EO12,"D"))*1))/(COUNTA(EJ12:EO12)),"")</f>
        <v>3</v>
      </c>
      <c r="EQ12" s="166" t="str">
        <f t="shared" si="49"/>
        <v>B</v>
      </c>
      <c r="ER12" s="165">
        <f>IF(COUNT(EB12,EH12,EP12)=0,"",SUM(EB12,EH12,EP12)/COUNT(EB12,EH12,EP12))</f>
        <v>3</v>
      </c>
      <c r="ES12" s="188" t="str">
        <f t="shared" si="50"/>
        <v>B</v>
      </c>
      <c r="ET12" s="110" t="s">
        <v>27</v>
      </c>
      <c r="EU12" s="111"/>
      <c r="EV12" s="112"/>
      <c r="EW12" s="165">
        <f>IFERROR((((COUNTIF('Elève (3ème3)'!ET12:EV12,"A"))*4)+((COUNTIF('Elève (3ème3)'!ET12:EV12,"B"))*3)+((COUNTIF('Elève (3ème3)'!ET12:EV12,"C"))*2)+((COUNTIF('Elève (3ème3)'!ET12:EV12,"D"))*1))/(COUNTA(ET12:EV12)),"")</f>
        <v>4</v>
      </c>
      <c r="EX12" s="166" t="str">
        <f t="shared" si="51"/>
        <v>A</v>
      </c>
      <c r="EY12" s="110"/>
      <c r="EZ12" s="111"/>
      <c r="FA12" s="112"/>
      <c r="FB12" s="112"/>
      <c r="FC12" s="165" t="str">
        <f>IFERROR((((COUNTIF('Elève (3ème3)'!EY12:FB12,"A"))*4)+((COUNTIF('Elève (3ème3)'!EY12:FB12,"B"))*3)+((COUNTIF('Elève (3ème3)'!EY12:FB12,"C"))*2)+((COUNTIF('Elève (3ème3)'!EY12:FB12,"D"))*1))/(COUNTA(EY12:FB12)),"")</f>
        <v/>
      </c>
      <c r="FD12" s="166" t="str">
        <f t="shared" si="52"/>
        <v/>
      </c>
      <c r="FE12" s="110"/>
      <c r="FF12" s="111"/>
      <c r="FG12" s="112"/>
      <c r="FH12" s="112"/>
      <c r="FI12" s="112" t="s">
        <v>27</v>
      </c>
      <c r="FJ12" s="116"/>
      <c r="FK12" s="165">
        <f>IFERROR((((COUNTIF('Elève (3ème3)'!FE12:FJ12,"A"))*4)+((COUNTIF('Elève (3ème3)'!FE12:FJ12,"B"))*3)+((COUNTIF('Elève (3ème3)'!FE12:FJ12,"C"))*2)+((COUNTIF('Elève (3ème3)'!FE12:FJ12,"D"))*1))/(COUNTA(FE12:FJ12)),"")</f>
        <v>4</v>
      </c>
      <c r="FL12" s="166" t="str">
        <f t="shared" si="53"/>
        <v>A</v>
      </c>
      <c r="FM12" s="165">
        <f>IF(COUNT(EW12,FC12,FK12)=0,"",SUM(EW12,FC12,FK12)/COUNT(EW12,FC12,FK12))</f>
        <v>4</v>
      </c>
      <c r="FN12" s="188" t="str">
        <f t="shared" si="54"/>
        <v>A</v>
      </c>
      <c r="FO12" s="110" t="s">
        <v>28</v>
      </c>
      <c r="FP12" s="111"/>
      <c r="FQ12" s="112"/>
      <c r="FR12" s="165">
        <f>IFERROR((((COUNTIF('Elève (3ème3)'!FO12:FQ12,"A"))*4)+((COUNTIF('Elève (3ème3)'!FO12:FQ12,"B"))*3)+((COUNTIF('Elève (3ème3)'!FO12:FQ12,"C"))*2)+((COUNTIF('Elève (3ème3)'!FO12:FQ12,"D"))*1))/(COUNTA(FO12:FQ12)),"")</f>
        <v>3</v>
      </c>
      <c r="FS12" s="166" t="str">
        <f t="shared" si="55"/>
        <v>B</v>
      </c>
      <c r="FT12" s="110"/>
      <c r="FU12" s="111"/>
      <c r="FV12" s="112"/>
      <c r="FW12" s="112"/>
      <c r="FX12" s="165" t="str">
        <f>IFERROR((((COUNTIF('Elève (3ème3)'!FT12:FW12,"A"))*4)+((COUNTIF('Elève (3ème3)'!FT12:FW12,"B"))*3)+((COUNTIF('Elève (3ème3)'!FT12:FW12,"C"))*2)+((COUNTIF('Elève (3ème3)'!FT12:FW12,"D"))*1))/(COUNTA(FT12:FW12)),"")</f>
        <v/>
      </c>
      <c r="FY12" s="166" t="str">
        <f t="shared" si="56"/>
        <v/>
      </c>
      <c r="FZ12" s="110"/>
      <c r="GA12" s="111"/>
      <c r="GB12" s="112"/>
      <c r="GC12" s="112"/>
      <c r="GD12" s="112" t="s">
        <v>28</v>
      </c>
      <c r="GE12" s="116"/>
      <c r="GF12" s="165">
        <f>IFERROR((((COUNTIF('Elève (3ème3)'!FZ12:GE12,"A"))*4)+((COUNTIF('Elève (3ème3)'!FZ12:GE12,"B"))*3)+((COUNTIF('Elève (3ème3)'!FZ12:GE12,"C"))*2)+((COUNTIF('Elève (3ème3)'!FZ12:GE12,"D"))*1))/(COUNTA(FZ12:GE12)),"")</f>
        <v>3</v>
      </c>
      <c r="GG12" s="166" t="str">
        <f t="shared" si="57"/>
        <v>B</v>
      </c>
      <c r="GH12" s="165">
        <f>IF(COUNT(FR12,FX12,GF12)=0,"",SUM(FR12,FX12,GF12)/COUNT(FR12,FX12,GF12))</f>
        <v>3</v>
      </c>
      <c r="GI12" s="188" t="str">
        <f t="shared" si="58"/>
        <v>B</v>
      </c>
      <c r="GJ12" s="110" t="s">
        <v>27</v>
      </c>
      <c r="GK12" s="111"/>
      <c r="GL12" s="112"/>
      <c r="GM12" s="165">
        <f>IFERROR((((COUNTIF('Elève (3ème3)'!GJ12:GL12,"A"))*4)+((COUNTIF('Elève (3ème3)'!GJ12:GL12,"B"))*3)+((COUNTIF('Elève (3ème3)'!GJ12:GL12,"C"))*2)+((COUNTIF('Elève (3ème3)'!GJ12:GL12,"D"))*1))/(COUNTA(GJ12:GL12)),"")</f>
        <v>4</v>
      </c>
      <c r="GN12" s="166" t="str">
        <f t="shared" si="59"/>
        <v>A</v>
      </c>
      <c r="GO12" s="110"/>
      <c r="GP12" s="111"/>
      <c r="GQ12" s="112"/>
      <c r="GR12" s="112"/>
      <c r="GS12" s="165" t="str">
        <f>IFERROR((((COUNTIF('Elève (3ème3)'!GO12:GR12,"A"))*4)+((COUNTIF('Elève (3ème3)'!GO12:GR12,"B"))*3)+((COUNTIF('Elève (3ème3)'!GO12:GR12,"C"))*2)+((COUNTIF('Elève (3ème3)'!GO12:GR12,"D"))*1))/(COUNTA(GO12:GR12)),"")</f>
        <v/>
      </c>
      <c r="GT12" s="166" t="str">
        <f t="shared" si="60"/>
        <v/>
      </c>
      <c r="GU12" s="110"/>
      <c r="GV12" s="111"/>
      <c r="GW12" s="112"/>
      <c r="GX12" s="112"/>
      <c r="GY12" s="112" t="s">
        <v>27</v>
      </c>
      <c r="GZ12" s="116"/>
      <c r="HA12" s="165">
        <f>IFERROR((((COUNTIF('Elève (3ème3)'!GU12:GZ12,"A"))*4)+((COUNTIF('Elève (3ème3)'!GU12:GZ12,"B"))*3)+((COUNTIF('Elève (3ème3)'!GU12:GZ12,"C"))*2)+((COUNTIF('Elève (3ème3)'!GU12:GZ12,"D"))*1))/(COUNTA(GU12:GZ12)),"")</f>
        <v>4</v>
      </c>
      <c r="HB12" s="166" t="str">
        <f t="shared" si="61"/>
        <v>A</v>
      </c>
      <c r="HC12" s="165">
        <f>IF(COUNT(GM12,GS12,HA12)=0,"",SUM(GM12,GS12,HA12)/COUNT(GM12,GS12,HA12))</f>
        <v>4</v>
      </c>
      <c r="HD12" s="188" t="str">
        <f t="shared" si="62"/>
        <v>A</v>
      </c>
      <c r="HE12" s="110" t="s">
        <v>28</v>
      </c>
      <c r="HF12" s="111"/>
      <c r="HG12" s="112"/>
      <c r="HH12" s="165">
        <f>IFERROR((((COUNTIF('Elève (3ème3)'!HE12:HG12,"A"))*4)+((COUNTIF('Elève (3ème3)'!HE12:HG12,"B"))*3)+((COUNTIF('Elève (3ème3)'!HE12:HG12,"C"))*2)+((COUNTIF('Elève (3ème3)'!HE12:HG12,"D"))*1))/(COUNTA(HE12:HG12)),"")</f>
        <v>3</v>
      </c>
      <c r="HI12" s="166" t="str">
        <f t="shared" si="63"/>
        <v>B</v>
      </c>
      <c r="HJ12" s="110"/>
      <c r="HK12" s="111"/>
      <c r="HL12" s="112"/>
      <c r="HM12" s="112"/>
      <c r="HN12" s="165" t="str">
        <f>IFERROR((((COUNTIF('Elève (3ème3)'!HJ12:HM12,"A"))*4)+((COUNTIF('Elève (3ème3)'!HJ12:HM12,"B"))*3)+((COUNTIF('Elève (3ème3)'!HJ12:HM12,"C"))*2)+((COUNTIF('Elève (3ème3)'!HJ12:HM12,"D"))*1))/(COUNTA(HJ12:HM12)),"")</f>
        <v/>
      </c>
      <c r="HO12" s="166" t="str">
        <f t="shared" si="64"/>
        <v/>
      </c>
      <c r="HP12" s="110"/>
      <c r="HQ12" s="111"/>
      <c r="HR12" s="112"/>
      <c r="HS12" s="112"/>
      <c r="HT12" s="112" t="s">
        <v>27</v>
      </c>
      <c r="HU12" s="116"/>
      <c r="HV12" s="165">
        <f>IFERROR((((COUNTIF('Elève (3ème3)'!HP12:HU12,"A"))*4)+((COUNTIF('Elève (3ème3)'!HP12:HU12,"B"))*3)+((COUNTIF('Elève (3ème3)'!HP12:HU12,"C"))*2)+((COUNTIF('Elève (3ème3)'!HP12:HU12,"D"))*1))/(COUNTA(HP12:HU12)),"")</f>
        <v>4</v>
      </c>
      <c r="HW12" s="166" t="str">
        <f t="shared" si="65"/>
        <v>A</v>
      </c>
      <c r="HX12" s="165">
        <f>IF(COUNT(HH12,HN12,HV12)=0,"",SUM(HH12,HN12,HV12)/COUNT(HH12,HN12,HV12))</f>
        <v>3.5</v>
      </c>
      <c r="HY12" s="188" t="str">
        <f t="shared" si="66"/>
        <v>B</v>
      </c>
      <c r="HZ12" s="110" t="s">
        <v>28</v>
      </c>
      <c r="IA12" s="111"/>
      <c r="IB12" s="112"/>
      <c r="IC12" s="165">
        <f>IFERROR((((COUNTIF('Elève (3ème3)'!HZ12:IB12,"A"))*4)+((COUNTIF('Elève (3ème3)'!HZ12:IB12,"B"))*3)+((COUNTIF('Elève (3ème3)'!HZ12:IB12,"C"))*2)+((COUNTIF('Elève (3ème3)'!HZ12:IB12,"D"))*1))/(COUNTA(HZ12:IB12)),"")</f>
        <v>3</v>
      </c>
      <c r="ID12" s="166" t="str">
        <f t="shared" si="67"/>
        <v>B</v>
      </c>
      <c r="IE12" s="110"/>
      <c r="IF12" s="111"/>
      <c r="IG12" s="112"/>
      <c r="IH12" s="112"/>
      <c r="II12" s="165" t="str">
        <f>IFERROR((((COUNTIF('Elève (3ème3)'!IE12:IH12,"A"))*4)+((COUNTIF('Elève (3ème3)'!IE12:IH12,"B"))*3)+((COUNTIF('Elève (3ème3)'!IE12:IH12,"C"))*2)+((COUNTIF('Elève (3ème3)'!IE12:IH12,"D"))*1))/(COUNTA(IE12:IH12)),"")</f>
        <v/>
      </c>
      <c r="IJ12" s="166" t="str">
        <f t="shared" si="68"/>
        <v/>
      </c>
      <c r="IK12" s="110"/>
      <c r="IL12" s="111"/>
      <c r="IM12" s="112"/>
      <c r="IN12" s="112"/>
      <c r="IO12" s="112" t="s">
        <v>29</v>
      </c>
      <c r="IP12" s="116"/>
      <c r="IQ12" s="165">
        <f>IFERROR((((COUNTIF('Elève (3ème3)'!IK12:IP12,"A"))*4)+((COUNTIF('Elève (3ème3)'!IK12:IP12,"B"))*3)+((COUNTIF('Elève (3ème3)'!IK12:IP12,"C"))*2)+((COUNTIF('Elève (3ème3)'!IK12:IP12,"D"))*1))/(COUNTA(IK12:IP12)),"")</f>
        <v>2</v>
      </c>
      <c r="IR12" s="166" t="str">
        <f t="shared" si="69"/>
        <v>C</v>
      </c>
      <c r="IS12" s="165">
        <f>IF(COUNT(IC12,II12,IQ12)=0,"",SUM(IC12,II12,IQ12)/COUNT(IC12,II12,IQ12))</f>
        <v>2.5</v>
      </c>
      <c r="IT12" s="188" t="str">
        <f t="shared" si="70"/>
        <v>C</v>
      </c>
      <c r="IU12" s="110" t="s">
        <v>27</v>
      </c>
      <c r="IV12" s="111"/>
      <c r="IW12" s="112"/>
      <c r="IX12" s="165">
        <f>IFERROR((((COUNTIF('Elève (3ème3)'!IU12:IW12,"A"))*4)+((COUNTIF('Elève (3ème3)'!IU12:IW12,"B"))*3)+((COUNTIF('Elève (3ème3)'!IU12:IW12,"C"))*2)+((COUNTIF('Elève (3ème3)'!IU12:IW12,"D"))*1))/(COUNTA(IU12:IW12)),"")</f>
        <v>4</v>
      </c>
      <c r="IY12" s="166" t="str">
        <f t="shared" si="71"/>
        <v>A</v>
      </c>
      <c r="IZ12" s="110"/>
      <c r="JA12" s="111"/>
      <c r="JB12" s="112"/>
      <c r="JC12" s="112"/>
      <c r="JD12" s="165" t="str">
        <f>IFERROR((((COUNTIF('Elève (3ème3)'!IZ12:JC12,"A"))*4)+((COUNTIF('Elève (3ème3)'!IZ12:JC12,"B"))*3)+((COUNTIF('Elève (3ème3)'!IZ12:JC12,"C"))*2)+((COUNTIF('Elève (3ème3)'!IZ12:JC12,"D"))*1))/(COUNTA(IZ12:JC12)),"")</f>
        <v/>
      </c>
      <c r="JE12" s="166" t="str">
        <f t="shared" si="72"/>
        <v/>
      </c>
      <c r="JF12" s="110"/>
      <c r="JG12" s="111"/>
      <c r="JH12" s="112"/>
      <c r="JI12" s="112"/>
      <c r="JJ12" s="112" t="s">
        <v>28</v>
      </c>
      <c r="JK12" s="116"/>
      <c r="JL12" s="165">
        <f>IFERROR((((COUNTIF('Elève (3ème3)'!JF12:JK12,"A"))*4)+((COUNTIF('Elève (3ème3)'!JF12:JK12,"B"))*3)+((COUNTIF('Elève (3ème3)'!JF12:JK12,"C"))*2)+((COUNTIF('Elève (3ème3)'!JF12:JK12,"D"))*1))/(COUNTA(JF12:JK12)),"")</f>
        <v>3</v>
      </c>
      <c r="JM12" s="166" t="str">
        <f t="shared" si="73"/>
        <v>B</v>
      </c>
      <c r="JN12" s="165">
        <f>IF(COUNT(IX12,JD12,JL12)=0,"",SUM(IX12,JD12,JL12)/COUNT(IX12,JD12,JL12))</f>
        <v>3.5</v>
      </c>
      <c r="JO12" s="188" t="str">
        <f t="shared" si="74"/>
        <v>B</v>
      </c>
      <c r="JP12" s="110" t="s">
        <v>27</v>
      </c>
      <c r="JQ12" s="111"/>
      <c r="JR12" s="112"/>
      <c r="JS12" s="165">
        <f>IFERROR((((COUNTIF('Elève (3ème3)'!JP12:JR12,"A"))*4)+((COUNTIF('Elève (3ème3)'!JP12:JR12,"B"))*3)+((COUNTIF('Elève (3ème3)'!JP12:JR12,"C"))*2)+((COUNTIF('Elève (3ème3)'!JP12:JR12,"D"))*1))/(COUNTA(JP12:JR12)),"")</f>
        <v>4</v>
      </c>
      <c r="JT12" s="166" t="str">
        <f t="shared" si="75"/>
        <v>A</v>
      </c>
      <c r="JU12" s="110"/>
      <c r="JV12" s="111"/>
      <c r="JW12" s="112"/>
      <c r="JX12" s="112"/>
      <c r="JY12" s="165" t="str">
        <f>IFERROR((((COUNTIF('Elève (3ème3)'!JU12:JX12,"A"))*4)+((COUNTIF('Elève (3ème3)'!JU12:JX12,"B"))*3)+((COUNTIF('Elève (3ème3)'!JU12:JX12,"C"))*2)+((COUNTIF('Elève (3ème3)'!JU12:JX12,"D"))*1))/(COUNTA(JU12:JX12)),"")</f>
        <v/>
      </c>
      <c r="JZ12" s="166" t="str">
        <f t="shared" si="76"/>
        <v/>
      </c>
      <c r="KA12" s="110"/>
      <c r="KB12" s="111"/>
      <c r="KC12" s="112"/>
      <c r="KD12" s="112"/>
      <c r="KE12" s="112" t="s">
        <v>29</v>
      </c>
      <c r="KF12" s="116"/>
      <c r="KG12" s="165">
        <f>IFERROR((((COUNTIF('Elève (3ème3)'!KA12:KF12,"A"))*4)+((COUNTIF('Elève (3ème3)'!KA12:KF12,"B"))*3)+((COUNTIF('Elève (3ème3)'!KA12:KF12,"C"))*2)+((COUNTIF('Elève (3ème3)'!KA12:KF12,"D"))*1))/(COUNTA(KA12:KF12)),"")</f>
        <v>2</v>
      </c>
      <c r="KH12" s="166" t="str">
        <f t="shared" si="77"/>
        <v>C</v>
      </c>
      <c r="KI12" s="165">
        <f>IF(COUNT(JS12,JY12,KG12)=0,"",SUM(JS12,JY12,KG12)/COUNT(JS12,JY12,KG12))</f>
        <v>3</v>
      </c>
      <c r="KJ12" s="188" t="str">
        <f t="shared" si="78"/>
        <v>B</v>
      </c>
      <c r="KK12" s="110" t="s">
        <v>27</v>
      </c>
      <c r="KL12" s="111"/>
      <c r="KM12" s="112"/>
      <c r="KN12" s="165">
        <f>IFERROR((((COUNTIF('Elève (3ème3)'!KK12:KM12,"A"))*4)+((COUNTIF('Elève (3ème3)'!KK12:KM12,"B"))*3)+((COUNTIF('Elève (3ème3)'!KK12:KM12,"C"))*2)+((COUNTIF('Elève (3ème3)'!KK12:KM12,"D"))*1))/(COUNTA(KK12:KM12)),"")</f>
        <v>4</v>
      </c>
      <c r="KO12" s="166" t="str">
        <f t="shared" si="79"/>
        <v>A</v>
      </c>
      <c r="KP12" s="110"/>
      <c r="KQ12" s="111"/>
      <c r="KR12" s="112"/>
      <c r="KS12" s="112"/>
      <c r="KT12" s="165" t="str">
        <f>IFERROR((((COUNTIF('Elève (3ème3)'!KP12:KS12,"A"))*4)+((COUNTIF('Elève (3ème3)'!KP12:KS12,"B"))*3)+((COUNTIF('Elève (3ème3)'!KP12:KS12,"C"))*2)+((COUNTIF('Elève (3ème3)'!KP12:KS12,"D"))*1))/(COUNTA(KP12:KS12)),"")</f>
        <v/>
      </c>
      <c r="KU12" s="166" t="str">
        <f t="shared" si="80"/>
        <v/>
      </c>
      <c r="KV12" s="110"/>
      <c r="KW12" s="111"/>
      <c r="KX12" s="112"/>
      <c r="KY12" s="112"/>
      <c r="KZ12" s="112" t="s">
        <v>29</v>
      </c>
      <c r="LA12" s="116"/>
      <c r="LB12" s="165">
        <f>IFERROR((((COUNTIF('Elève (3ème3)'!KV12:LA12,"A"))*4)+((COUNTIF('Elève (3ème3)'!KV12:LA12,"B"))*3)+((COUNTIF('Elève (3ème3)'!KV12:LA12,"C"))*2)+((COUNTIF('Elève (3ème3)'!KV12:LA12,"D"))*1))/(COUNTA(KV12:LA12)),"")</f>
        <v>2</v>
      </c>
      <c r="LC12" s="166" t="str">
        <f t="shared" si="81"/>
        <v>C</v>
      </c>
      <c r="LD12" s="165">
        <f>IF(COUNT(KN12,KT12,LB12)=0,"",SUM(KN12,KT12,LB12)/COUNT(KN12,KT12,LB12))</f>
        <v>3</v>
      </c>
      <c r="LE12" s="188" t="str">
        <f t="shared" si="82"/>
        <v>B</v>
      </c>
      <c r="LF12" s="110" t="s">
        <v>28</v>
      </c>
      <c r="LG12" s="111"/>
      <c r="LH12" s="112"/>
      <c r="LI12" s="165">
        <f>IFERROR((((COUNTIF('Elève (3ème3)'!LF12:LH12,"A"))*4)+((COUNTIF('Elève (3ème3)'!LF12:LH12,"B"))*3)+((COUNTIF('Elève (3ème3)'!LF12:LH12,"C"))*2)+((COUNTIF('Elève (3ème3)'!LF12:LH12,"D"))*1))/(COUNTA(LF12:LH12)),"")</f>
        <v>3</v>
      </c>
      <c r="LJ12" s="166" t="str">
        <f t="shared" si="83"/>
        <v>B</v>
      </c>
      <c r="LK12" s="110"/>
      <c r="LL12" s="111"/>
      <c r="LM12" s="112"/>
      <c r="LN12" s="112"/>
      <c r="LO12" s="165" t="str">
        <f>IFERROR((((COUNTIF('Elève (3ème3)'!LK12:LN12,"A"))*4)+((COUNTIF('Elève (3ème3)'!LK12:LN12,"B"))*3)+((COUNTIF('Elève (3ème3)'!LK12:LN12,"C"))*2)+((COUNTIF('Elève (3ème3)'!LK12:LN12,"D"))*1))/(COUNTA(LK12:LN12)),"")</f>
        <v/>
      </c>
      <c r="LP12" s="166" t="str">
        <f t="shared" si="84"/>
        <v/>
      </c>
      <c r="LQ12" s="110"/>
      <c r="LR12" s="111"/>
      <c r="LS12" s="112"/>
      <c r="LT12" s="112"/>
      <c r="LU12" s="112" t="s">
        <v>28</v>
      </c>
      <c r="LV12" s="116"/>
      <c r="LW12" s="165">
        <f>IFERROR((((COUNTIF('Elève (3ème3)'!LQ12:LV12,"A"))*4)+((COUNTIF('Elève (3ème3)'!LQ12:LV12,"B"))*3)+((COUNTIF('Elève (3ème3)'!LQ12:LV12,"C"))*2)+((COUNTIF('Elève (3ème3)'!LQ12:LV12,"D"))*1))/(COUNTA(LQ12:LV12)),"")</f>
        <v>3</v>
      </c>
      <c r="LX12" s="166" t="str">
        <f t="shared" si="85"/>
        <v>B</v>
      </c>
      <c r="LY12" s="165">
        <f>IF(COUNT(LI12,LO12,LW12)=0,"",SUM(LI12,LO12,LW12)/COUNT(LI12,LO12,LW12))</f>
        <v>3</v>
      </c>
      <c r="LZ12" s="188" t="str">
        <f t="shared" si="86"/>
        <v>B</v>
      </c>
      <c r="MA12" s="110" t="s">
        <v>27</v>
      </c>
      <c r="MB12" s="111"/>
      <c r="MC12" s="112"/>
      <c r="MD12" s="165">
        <f>IFERROR((((COUNTIF('Elève (3ème3)'!MA12:MC12,"A"))*4)+((COUNTIF('Elève (3ème3)'!MA12:MC12,"B"))*3)+((COUNTIF('Elève (3ème3)'!MA12:MC12,"C"))*2)+((COUNTIF('Elève (3ème3)'!MA12:MC12,"D"))*1))/(COUNTA(MA12:MC12)),"")</f>
        <v>4</v>
      </c>
      <c r="ME12" s="166" t="str">
        <f t="shared" si="87"/>
        <v>A</v>
      </c>
      <c r="MF12" s="110"/>
      <c r="MG12" s="111"/>
      <c r="MH12" s="112"/>
      <c r="MI12" s="112"/>
      <c r="MJ12" s="165" t="str">
        <f>IFERROR((((COUNTIF('Elève (3ème3)'!MF12:MI12,"A"))*4)+((COUNTIF('Elève (3ème3)'!MF12:MI12,"B"))*3)+((COUNTIF('Elève (3ème3)'!MF12:MI12,"C"))*2)+((COUNTIF('Elève (3ème3)'!MF12:MI12,"D"))*1))/(COUNTA(MF12:MI12)),"")</f>
        <v/>
      </c>
      <c r="MK12" s="166" t="str">
        <f t="shared" si="88"/>
        <v/>
      </c>
      <c r="ML12" s="110"/>
      <c r="MM12" s="111"/>
      <c r="MN12" s="112"/>
      <c r="MO12" s="112"/>
      <c r="MP12" s="112" t="s">
        <v>29</v>
      </c>
      <c r="MQ12" s="116"/>
      <c r="MR12" s="165">
        <f>IFERROR((((COUNTIF('Elève (3ème3)'!ML12:MQ12,"A"))*4)+((COUNTIF('Elève (3ème3)'!ML12:MQ12,"B"))*3)+((COUNTIF('Elève (3ème3)'!ML12:MQ12,"C"))*2)+((COUNTIF('Elève (3ème3)'!ML12:MQ12,"D"))*1))/(COUNTA(ML12:MQ12)),"")</f>
        <v>2</v>
      </c>
      <c r="MS12" s="166" t="str">
        <f t="shared" si="89"/>
        <v>C</v>
      </c>
      <c r="MT12" s="165">
        <f>IF(COUNT(MD12,MJ12,MR12)=0,"",SUM(MD12,MJ12,MR12)/COUNT(MD12,MJ12,MR12))</f>
        <v>3</v>
      </c>
      <c r="MU12" s="188" t="str">
        <f t="shared" si="90"/>
        <v>B</v>
      </c>
      <c r="MV12" s="110" t="s">
        <v>29</v>
      </c>
      <c r="MW12" s="111"/>
      <c r="MX12" s="112"/>
      <c r="MY12" s="165">
        <f>IFERROR((((COUNTIF('Elève (3ème3)'!MV12:MX12,"A"))*4)+((COUNTIF('Elève (3ème3)'!MV12:MX12,"B"))*3)+((COUNTIF('Elève (3ème3)'!MV12:MX12,"C"))*2)+((COUNTIF('Elève (3ème3)'!MV12:MX12,"D"))*1))/(COUNTA(MV12:MX12)),"")</f>
        <v>2</v>
      </c>
      <c r="MZ12" s="166" t="str">
        <f t="shared" si="91"/>
        <v>C</v>
      </c>
      <c r="NA12" s="110"/>
      <c r="NB12" s="111"/>
      <c r="NC12" s="112"/>
      <c r="ND12" s="112"/>
      <c r="NE12" s="165" t="str">
        <f>IFERROR((((COUNTIF('Elève (3ème3)'!NA12:ND12,"A"))*4)+((COUNTIF('Elève (3ème3)'!NA12:ND12,"B"))*3)+((COUNTIF('Elève (3ème3)'!NA12:ND12,"C"))*2)+((COUNTIF('Elève (3ème3)'!NA12:ND12,"D"))*1))/(COUNTA(NA12:ND12)),"")</f>
        <v/>
      </c>
      <c r="NF12" s="166" t="str">
        <f t="shared" si="92"/>
        <v/>
      </c>
      <c r="NG12" s="110"/>
      <c r="NH12" s="111"/>
      <c r="NI12" s="112"/>
      <c r="NJ12" s="112"/>
      <c r="NK12" s="112" t="s">
        <v>29</v>
      </c>
      <c r="NL12" s="116"/>
      <c r="NM12" s="165">
        <f>IFERROR((((COUNTIF('Elève (3ème3)'!NG12:NL12,"A"))*4)+((COUNTIF('Elève (3ème3)'!NG12:NL12,"B"))*3)+((COUNTIF('Elève (3ème3)'!NG12:NL12,"C"))*2)+((COUNTIF('Elève (3ème3)'!NG12:NL12,"D"))*1))/(COUNTA(NG12:NL12)),"")</f>
        <v>2</v>
      </c>
      <c r="NN12" s="166" t="str">
        <f t="shared" si="93"/>
        <v>C</v>
      </c>
      <c r="NO12" s="165">
        <f>IF(COUNT(MY12,NE12,NM12)=0,"",SUM(MY12,NE12,NM12)/COUNT(MY12,NE12,NM12))</f>
        <v>2</v>
      </c>
      <c r="NP12" s="188" t="str">
        <f t="shared" si="94"/>
        <v>C</v>
      </c>
      <c r="NQ12" s="110" t="s">
        <v>27</v>
      </c>
      <c r="NR12" s="111"/>
      <c r="NS12" s="112"/>
      <c r="NT12" s="165">
        <f>IFERROR((((COUNTIF('Elève (3ème3)'!NQ12:NS12,"A"))*4)+((COUNTIF('Elève (3ème3)'!NQ12:NS12,"B"))*3)+((COUNTIF('Elève (3ème3)'!NQ12:NS12,"C"))*2)+((COUNTIF('Elève (3ème3)'!NQ12:NS12,"D"))*1))/(COUNTA(NQ12:NS12)),"")</f>
        <v>4</v>
      </c>
      <c r="NU12" s="166" t="str">
        <f t="shared" si="95"/>
        <v>A</v>
      </c>
      <c r="NV12" s="110"/>
      <c r="NW12" s="111"/>
      <c r="NX12" s="112"/>
      <c r="NY12" s="112"/>
      <c r="NZ12" s="165" t="str">
        <f>IFERROR((((COUNTIF('Elève (3ème3)'!NV12:NY12,"A"))*4)+((COUNTIF('Elève (3ème3)'!NV12:NY12,"B"))*3)+((COUNTIF('Elève (3ème3)'!NV12:NY12,"C"))*2)+((COUNTIF('Elève (3ème3)'!NV12:NY12,"D"))*1))/(COUNTA(NV12:NY12)),"")</f>
        <v/>
      </c>
      <c r="OA12" s="166" t="str">
        <f t="shared" si="96"/>
        <v/>
      </c>
      <c r="OB12" s="110"/>
      <c r="OC12" s="111"/>
      <c r="OD12" s="112"/>
      <c r="OE12" s="112"/>
      <c r="OF12" s="112" t="s">
        <v>28</v>
      </c>
      <c r="OG12" s="116"/>
      <c r="OH12" s="165">
        <f>IFERROR((((COUNTIF('Elève (3ème3)'!OB12:OG12,"A"))*4)+((COUNTIF('Elève (3ème3)'!OB12:OG12,"B"))*3)+((COUNTIF('Elève (3ème3)'!OB12:OG12,"C"))*2)+((COUNTIF('Elève (3ème3)'!OB12:OG12,"D"))*1))/(COUNTA(OB12:OG12)),"")</f>
        <v>3</v>
      </c>
      <c r="OI12" s="166" t="str">
        <f t="shared" si="97"/>
        <v>B</v>
      </c>
      <c r="OJ12" s="165">
        <f>IF(COUNT(NT12,NZ12,OH12)=0,"",SUM(NT12,NZ12,OH12)/COUNT(NT12,NZ12,OH12))</f>
        <v>3.5</v>
      </c>
      <c r="OK12" s="188" t="str">
        <f t="shared" si="98"/>
        <v>B</v>
      </c>
      <c r="OL12" s="110" t="s">
        <v>29</v>
      </c>
      <c r="OM12" s="111"/>
      <c r="ON12" s="112"/>
      <c r="OO12" s="165">
        <f>IFERROR((((COUNTIF('Elève (3ème3)'!OL12:ON12,"A"))*4)+((COUNTIF('Elève (3ème3)'!OL12:ON12,"B"))*3)+((COUNTIF('Elève (3ème3)'!OL12:ON12,"C"))*2)+((COUNTIF('Elève (3ème3)'!OL12:ON12,"D"))*1))/(COUNTA(OL12:ON12)),"")</f>
        <v>2</v>
      </c>
      <c r="OP12" s="166" t="str">
        <f t="shared" si="99"/>
        <v>C</v>
      </c>
      <c r="OQ12" s="110"/>
      <c r="OR12" s="111"/>
      <c r="OS12" s="112"/>
      <c r="OT12" s="112"/>
      <c r="OU12" s="165" t="str">
        <f>IFERROR((((COUNTIF('Elève (3ème3)'!OQ12:OT12,"A"))*4)+((COUNTIF('Elève (3ème3)'!OQ12:OT12,"B"))*3)+((COUNTIF('Elève (3ème3)'!OQ12:OT12,"C"))*2)+((COUNTIF('Elève (3ème3)'!OQ12:OT12,"D"))*1))/(COUNTA(OQ12:OT12)),"")</f>
        <v/>
      </c>
      <c r="OV12" s="166" t="str">
        <f t="shared" si="100"/>
        <v/>
      </c>
      <c r="OW12" s="110"/>
      <c r="OX12" s="111"/>
      <c r="OY12" s="112"/>
      <c r="OZ12" s="112"/>
      <c r="PA12" s="112" t="s">
        <v>28</v>
      </c>
      <c r="PB12" s="116"/>
      <c r="PC12" s="165">
        <f>IFERROR((((COUNTIF('Elève (3ème3)'!OW12:PB12,"A"))*4)+((COUNTIF('Elève (3ème3)'!OW12:PB12,"B"))*3)+((COUNTIF('Elève (3ème3)'!OW12:PB12,"C"))*2)+((COUNTIF('Elève (3ème3)'!OW12:PB12,"D"))*1))/(COUNTA(OW12:PB12)),"")</f>
        <v>3</v>
      </c>
      <c r="PD12" s="166" t="str">
        <f t="shared" si="101"/>
        <v>B</v>
      </c>
      <c r="PE12" s="165">
        <f>IF(COUNT(OO12,OU12,PC12)=0,"",SUM(OO12,OU12,PC12)/COUNT(OO12,OU12,PC12))</f>
        <v>2.5</v>
      </c>
      <c r="PF12" s="188" t="str">
        <f t="shared" si="102"/>
        <v>C</v>
      </c>
      <c r="PG12" s="110" t="s">
        <v>27</v>
      </c>
      <c r="PH12" s="111"/>
      <c r="PI12" s="112"/>
      <c r="PJ12" s="165">
        <f>IFERROR((((COUNTIF('Elève (3ème3)'!PG12:PI12,"A"))*4)+((COUNTIF('Elève (3ème3)'!PG12:PI12,"B"))*3)+((COUNTIF('Elève (3ème3)'!PG12:PI12,"C"))*2)+((COUNTIF('Elève (3ème3)'!PG12:PI12,"D"))*1))/(COUNTA(PG12:PI12)),"")</f>
        <v>4</v>
      </c>
      <c r="PK12" s="166" t="str">
        <f t="shared" si="103"/>
        <v>A</v>
      </c>
      <c r="PL12" s="110"/>
      <c r="PM12" s="111"/>
      <c r="PN12" s="112"/>
      <c r="PO12" s="112"/>
      <c r="PP12" s="165" t="str">
        <f>IFERROR((((COUNTIF('Elève (3ème3)'!PL12:PO12,"A"))*4)+((COUNTIF('Elève (3ème3)'!PL12:PO12,"B"))*3)+((COUNTIF('Elève (3ème3)'!PL12:PO12,"C"))*2)+((COUNTIF('Elève (3ème3)'!PL12:PO12,"D"))*1))/(COUNTA(PL12:PO12)),"")</f>
        <v/>
      </c>
      <c r="PQ12" s="166" t="str">
        <f t="shared" si="104"/>
        <v/>
      </c>
      <c r="PR12" s="110"/>
      <c r="PS12" s="111"/>
      <c r="PT12" s="112"/>
      <c r="PU12" s="112"/>
      <c r="PV12" s="112" t="s">
        <v>27</v>
      </c>
      <c r="PW12" s="116"/>
      <c r="PX12" s="165">
        <f>IFERROR((((COUNTIF('Elève (3ème3)'!PR12:PW12,"A"))*4)+((COUNTIF('Elève (3ème3)'!PR12:PW12,"B"))*3)+((COUNTIF('Elève (3ème3)'!PR12:PW12,"C"))*2)+((COUNTIF('Elève (3ème3)'!PR12:PW12,"D"))*1))/(COUNTA(PR12:PW12)),"")</f>
        <v>4</v>
      </c>
      <c r="PY12" s="166" t="str">
        <f t="shared" si="105"/>
        <v>A</v>
      </c>
      <c r="PZ12" s="165">
        <f>IF(COUNT(PJ12,PP12,PX12)=0,"",SUM(PJ12,PP12,PX12)/COUNT(PJ12,PP12,PX12))</f>
        <v>4</v>
      </c>
      <c r="QA12" s="188" t="str">
        <f t="shared" si="106"/>
        <v>A</v>
      </c>
      <c r="QB12" s="110" t="s">
        <v>28</v>
      </c>
      <c r="QC12" s="111"/>
      <c r="QD12" s="112"/>
      <c r="QE12" s="165">
        <f>IFERROR((((COUNTIF('Elève (3ème3)'!QB12:QD12,"A"))*4)+((COUNTIF('Elève (3ème3)'!QB12:QD12,"B"))*3)+((COUNTIF('Elève (3ème3)'!QB12:QD12,"C"))*2)+((COUNTIF('Elève (3ème3)'!QB12:QD12,"D"))*1))/(COUNTA(QB12:QD12)),"")</f>
        <v>3</v>
      </c>
      <c r="QF12" s="166" t="str">
        <f t="shared" si="107"/>
        <v>B</v>
      </c>
      <c r="QG12" s="110"/>
      <c r="QH12" s="111"/>
      <c r="QI12" s="112"/>
      <c r="QJ12" s="112"/>
      <c r="QK12" s="165" t="str">
        <f>IFERROR((((COUNTIF('Elève (3ème3)'!QG12:QJ12,"A"))*4)+((COUNTIF('Elève (3ème3)'!QG12:QJ12,"B"))*3)+((COUNTIF('Elève (3ème3)'!QG12:QJ12,"C"))*2)+((COUNTIF('Elève (3ème3)'!QG12:QJ12,"D"))*1))/(COUNTA(QG12:QJ12)),"")</f>
        <v/>
      </c>
      <c r="QL12" s="166" t="str">
        <f t="shared" si="108"/>
        <v/>
      </c>
      <c r="QM12" s="110"/>
      <c r="QN12" s="111"/>
      <c r="QO12" s="112"/>
      <c r="QP12" s="112"/>
      <c r="QQ12" s="112" t="s">
        <v>28</v>
      </c>
      <c r="QR12" s="116"/>
      <c r="QS12" s="165">
        <f>IFERROR((((COUNTIF('Elève (3ème3)'!QM12:QR12,"A"))*4)+((COUNTIF('Elève (3ème3)'!QM12:QR12,"B"))*3)+((COUNTIF('Elève (3ème3)'!QM12:QR12,"C"))*2)+((COUNTIF('Elève (3ème3)'!QM12:QR12,"D"))*1))/(COUNTA(QM12:QR12)),"")</f>
        <v>3</v>
      </c>
      <c r="QT12" s="166" t="str">
        <f t="shared" si="109"/>
        <v>B</v>
      </c>
      <c r="QU12" s="165">
        <f>IF(COUNT(QE12,QK12,QS12)=0,"",SUM(QE12,QK12,QS12)/COUNT(QE12,QK12,QS12))</f>
        <v>3</v>
      </c>
      <c r="QV12" s="188" t="str">
        <f t="shared" si="110"/>
        <v>B</v>
      </c>
      <c r="QW12" s="110" t="s">
        <v>29</v>
      </c>
      <c r="QX12" s="111"/>
      <c r="QY12" s="112"/>
      <c r="QZ12" s="165">
        <f>IFERROR((((COUNTIF('Elève (3ème3)'!QW12:QY12,"A"))*4)+((COUNTIF('Elève (3ème3)'!QW12:QY12,"B"))*3)+((COUNTIF('Elève (3ème3)'!QW12:QY12,"C"))*2)+((COUNTIF('Elève (3ème3)'!QW12:QY12,"D"))*1))/(COUNTA(QW12:QY12)),"")</f>
        <v>2</v>
      </c>
      <c r="RA12" s="166" t="str">
        <f t="shared" si="111"/>
        <v>C</v>
      </c>
      <c r="RB12" s="110"/>
      <c r="RC12" s="111"/>
      <c r="RD12" s="112"/>
      <c r="RE12" s="112"/>
      <c r="RF12" s="165" t="str">
        <f>IFERROR((((COUNTIF('Elève (3ème3)'!RB12:RE12,"A"))*4)+((COUNTIF('Elève (3ème3)'!RB12:RE12,"B"))*3)+((COUNTIF('Elève (3ème3)'!RB12:RE12,"C"))*2)+((COUNTIF('Elève (3ème3)'!RB12:RE12,"D"))*1))/(COUNTA(RB12:RE12)),"")</f>
        <v/>
      </c>
      <c r="RG12" s="166" t="str">
        <f t="shared" si="112"/>
        <v/>
      </c>
      <c r="RH12" s="110"/>
      <c r="RI12" s="111"/>
      <c r="RJ12" s="112"/>
      <c r="RK12" s="112"/>
      <c r="RL12" s="112" t="s">
        <v>29</v>
      </c>
      <c r="RM12" s="116"/>
      <c r="RN12" s="165">
        <f>IFERROR((((COUNTIF('Elève (3ème3)'!RH12:RM12,"A"))*4)+((COUNTIF('Elève (3ème3)'!RH12:RM12,"B"))*3)+((COUNTIF('Elève (3ème3)'!RH12:RM12,"C"))*2)+((COUNTIF('Elève (3ème3)'!RH12:RM12,"D"))*1))/(COUNTA(RH12:RM12)),"")</f>
        <v>2</v>
      </c>
      <c r="RO12" s="166" t="str">
        <f t="shared" si="113"/>
        <v>C</v>
      </c>
      <c r="RP12" s="165">
        <f>IF(COUNT(QZ12,RF12,RN12)=0,"",SUM(QZ12,RF12,RN12)/COUNT(QZ12,RF12,RN12))</f>
        <v>2</v>
      </c>
      <c r="RQ12" s="188" t="str">
        <f t="shared" si="114"/>
        <v>C</v>
      </c>
      <c r="RR12" s="110" t="s">
        <v>27</v>
      </c>
      <c r="RS12" s="111"/>
      <c r="RT12" s="112"/>
      <c r="RU12" s="165">
        <f>IFERROR((((COUNTIF('Elève (3ème3)'!RR12:RT12,"A"))*4)+((COUNTIF('Elève (3ème3)'!RR12:RT12,"B"))*3)+((COUNTIF('Elève (3ème3)'!RR12:RT12,"C"))*2)+((COUNTIF('Elève (3ème3)'!RR12:RT12,"D"))*1))/(COUNTA(RR12:RT12)),"")</f>
        <v>4</v>
      </c>
      <c r="RV12" s="166" t="str">
        <f t="shared" si="115"/>
        <v>A</v>
      </c>
      <c r="RW12" s="110"/>
      <c r="RX12" s="111"/>
      <c r="RY12" s="112"/>
      <c r="RZ12" s="112"/>
      <c r="SA12" s="165" t="str">
        <f>IFERROR((((COUNTIF('Elève (3ème3)'!RW12:RZ12,"A"))*4)+((COUNTIF('Elève (3ème3)'!RW12:RZ12,"B"))*3)+((COUNTIF('Elève (3ème3)'!RW12:RZ12,"C"))*2)+((COUNTIF('Elève (3ème3)'!RW12:RZ12,"D"))*1))/(COUNTA(RW12:RZ12)),"")</f>
        <v/>
      </c>
      <c r="SB12" s="166" t="str">
        <f t="shared" si="116"/>
        <v/>
      </c>
      <c r="SC12" s="110"/>
      <c r="SD12" s="111"/>
      <c r="SE12" s="112"/>
      <c r="SF12" s="112"/>
      <c r="SG12" s="112" t="s">
        <v>29</v>
      </c>
      <c r="SH12" s="116"/>
      <c r="SI12" s="165">
        <f>IFERROR((((COUNTIF('Elève (3ème3)'!SC12:SH12,"A"))*4)+((COUNTIF('Elève (3ème3)'!SC12:SH12,"B"))*3)+((COUNTIF('Elève (3ème3)'!SC12:SH12,"C"))*2)+((COUNTIF('Elève (3ème3)'!SC12:SH12,"D"))*1))/(COUNTA(SC12:SH12)),"")</f>
        <v>2</v>
      </c>
      <c r="SJ12" s="166" t="str">
        <f t="shared" si="117"/>
        <v>C</v>
      </c>
      <c r="SK12" s="165">
        <f>IF(COUNT(RU12,SA12,SI12)=0,"",SUM(RU12,SA12,SI12)/COUNT(RU12,SA12,SI12))</f>
        <v>3</v>
      </c>
      <c r="SL12" s="188" t="str">
        <f t="shared" si="118"/>
        <v>B</v>
      </c>
      <c r="SM12" s="110"/>
      <c r="SN12" s="111"/>
      <c r="SO12" s="112"/>
      <c r="SP12" s="113" t="str">
        <f>IFERROR((((COUNTIF('Elève (3ème3)'!SM12:SO12,"A"))*4)+((COUNTIF('Elève (3ème3)'!SM12:SO12,"B"))*3)+((COUNTIF('Elève (3ème3)'!SM12:SO12,"C"))*2)+((COUNTIF('Elève (3ème3)'!SM12:SO12,"D"))*1))/(COUNTA(SM12:SO12)),"")</f>
        <v/>
      </c>
      <c r="SQ12" s="114" t="str">
        <f t="shared" si="119"/>
        <v/>
      </c>
      <c r="SR12" s="110"/>
      <c r="SS12" s="111"/>
      <c r="ST12" s="112"/>
      <c r="SU12" s="113" t="str">
        <f>IFERROR((((COUNTIF('Elève (3ème3)'!SR12:ST12,"A"))*4)+((COUNTIF('Elève (3ème3)'!SR12:ST12,"B"))*3)+((COUNTIF('Elève (3ème3)'!SR12:ST12,"C"))*2)+((COUNTIF('Elève (3ème3)'!SR12:ST12,"D"))*1))/(COUNTA(SR12:ST12)),"")</f>
        <v/>
      </c>
      <c r="SV12" s="114" t="str">
        <f t="shared" si="120"/>
        <v/>
      </c>
      <c r="SW12" s="110"/>
      <c r="SX12" s="111"/>
      <c r="SY12" s="116"/>
      <c r="SZ12" s="113" t="str">
        <f>IFERROR((((COUNTIF('Elève (3ème3)'!SW12:SY12,"A"))*4)+((COUNTIF('Elève (3ème3)'!SW12:SY12,"B"))*3)+((COUNTIF('Elève (3ème3)'!SW12:SY12,"C"))*2)+((COUNTIF('Elève (3ème3)'!SW12:SY12,"D"))*1))/(COUNTA(SW12:SY12)),"")</f>
        <v/>
      </c>
      <c r="TA12" s="114" t="str">
        <f t="shared" si="121"/>
        <v/>
      </c>
      <c r="TB12" s="113" t="str">
        <f>IF(COUNT(SP12,SU12,SZ12)=0,"",SUM(SP12,SU12,SZ12)/COUNT(SP12,SU12,SZ12))</f>
        <v/>
      </c>
      <c r="TC12" s="115" t="str">
        <f t="shared" si="122"/>
        <v/>
      </c>
      <c r="TD12" s="110"/>
      <c r="TE12" s="111"/>
      <c r="TF12" s="112"/>
      <c r="TG12" s="113" t="str">
        <f>IFERROR((((COUNTIF('Elève (3ème3)'!TD12:TF12,"A"))*4)+((COUNTIF('Elève (3ème3)'!TD12:TF12,"B"))*3)+((COUNTIF('Elève (3ème3)'!TD12:TF12,"C"))*2)+((COUNTIF('Elève (3ème3)'!TD12:TF12,"D"))*1))/(COUNTA(TD12:TF12)),"")</f>
        <v/>
      </c>
      <c r="TH12" s="114" t="str">
        <f t="shared" si="123"/>
        <v/>
      </c>
      <c r="TI12" s="110"/>
      <c r="TJ12" s="111"/>
      <c r="TK12" s="112"/>
      <c r="TL12" s="113" t="str">
        <f>IFERROR((((COUNTIF('Elève (3ème3)'!TI12:TK12,"A"))*4)+((COUNTIF('Elève (3ème3)'!TI12:TK12,"B"))*3)+((COUNTIF('Elève (3ème3)'!TI12:TK12,"C"))*2)+((COUNTIF('Elève (3ème3)'!TI12:TK12,"D"))*1))/(COUNTA(TI12:TK12)),"")</f>
        <v/>
      </c>
      <c r="TM12" s="114" t="str">
        <f t="shared" si="124"/>
        <v/>
      </c>
      <c r="TN12" s="110"/>
      <c r="TO12" s="111"/>
      <c r="TP12" s="116"/>
      <c r="TQ12" s="113" t="str">
        <f>IFERROR((((COUNTIF('Elève (3ème3)'!TN12:TP12,"A"))*4)+((COUNTIF('Elève (3ème3)'!TN12:TP12,"B"))*3)+((COUNTIF('Elève (3ème3)'!TN12:TP12,"C"))*2)+((COUNTIF('Elève (3ème3)'!TN12:TP12,"D"))*1))/(COUNTA(TN12:TP12)),"")</f>
        <v/>
      </c>
      <c r="TR12" s="114" t="str">
        <f t="shared" si="125"/>
        <v/>
      </c>
      <c r="TS12" s="113" t="str">
        <f>IF(COUNT(TG12,TL12,TQ12)=0,"",SUM(TG12,TL12,TQ12)/COUNT(TG12,TL12,TQ12))</f>
        <v/>
      </c>
      <c r="TT12" s="115" t="str">
        <f t="shared" si="126"/>
        <v/>
      </c>
      <c r="TU12" s="110"/>
      <c r="TV12" s="111"/>
      <c r="TW12" s="112"/>
      <c r="TX12" s="113" t="str">
        <f>IFERROR((((COUNTIF('Elève (3ème3)'!TU12:TW12,"A"))*4)+((COUNTIF('Elève (3ème3)'!TU12:TW12,"B"))*3)+((COUNTIF('Elève (3ème3)'!TU12:TW12,"C"))*2)+((COUNTIF('Elève (3ème3)'!TU12:TW12,"D"))*1))/(COUNTA(TU12:TW12)),"")</f>
        <v/>
      </c>
      <c r="TY12" s="114" t="str">
        <f t="shared" si="127"/>
        <v/>
      </c>
      <c r="TZ12" s="110"/>
      <c r="UA12" s="111"/>
      <c r="UB12" s="112"/>
      <c r="UC12" s="113" t="str">
        <f>IFERROR((((COUNTIF('Elève (3ème3)'!TZ12:UB12,"A"))*4)+((COUNTIF('Elève (3ème3)'!TZ12:UB12,"B"))*3)+((COUNTIF('Elève (3ème3)'!TZ12:UB12,"C"))*2)+((COUNTIF('Elève (3ème3)'!TZ12:UB12,"D"))*1))/(COUNTA(TZ12:UB12)),"")</f>
        <v/>
      </c>
      <c r="UD12" s="114" t="str">
        <f t="shared" si="128"/>
        <v/>
      </c>
      <c r="UE12" s="110"/>
      <c r="UF12" s="111"/>
      <c r="UG12" s="116"/>
      <c r="UH12" s="113" t="str">
        <f>IFERROR((((COUNTIF('Elève (3ème3)'!UE12:UG12,"A"))*4)+((COUNTIF('Elève (3ème3)'!UE12:UG12,"B"))*3)+((COUNTIF('Elève (3ème3)'!UE12:UG12,"C"))*2)+((COUNTIF('Elève (3ème3)'!UE12:UG12,"D"))*1))/(COUNTA(UE12:UG12)),"")</f>
        <v/>
      </c>
      <c r="UI12" s="114" t="str">
        <f t="shared" si="129"/>
        <v/>
      </c>
      <c r="UJ12" s="113" t="str">
        <f>IF(COUNT(TX12,UC12,UH12)=0,"",SUM(TX12,UC12,UH12)/COUNT(TX12,UC12,UH12))</f>
        <v/>
      </c>
      <c r="UK12" s="115" t="str">
        <f t="shared" si="130"/>
        <v/>
      </c>
      <c r="UL12" s="110"/>
      <c r="UM12" s="111"/>
      <c r="UN12" s="112"/>
      <c r="UO12" s="113" t="str">
        <f>IFERROR((((COUNTIF('Elève (3ème3)'!UL12:UN12,"A"))*4)+((COUNTIF('Elève (3ème3)'!UL12:UN12,"B"))*3)+((COUNTIF('Elève (3ème3)'!UL12:UN12,"C"))*2)+((COUNTIF('Elève (3ème3)'!UL12:UN12,"D"))*1))/(COUNTA(UL12:UN12)),"")</f>
        <v/>
      </c>
      <c r="UP12" s="114" t="str">
        <f t="shared" si="131"/>
        <v/>
      </c>
      <c r="UQ12" s="110"/>
      <c r="UR12" s="111"/>
      <c r="US12" s="112"/>
      <c r="UT12" s="113" t="str">
        <f>IFERROR((((COUNTIF('Elève (3ème3)'!UQ12:US12,"A"))*4)+((COUNTIF('Elève (3ème3)'!UQ12:US12,"B"))*3)+((COUNTIF('Elève (3ème3)'!UQ12:US12,"C"))*2)+((COUNTIF('Elève (3ème3)'!UQ12:US12,"D"))*1))/(COUNTA(UQ12:US12)),"")</f>
        <v/>
      </c>
      <c r="UU12" s="114" t="str">
        <f t="shared" si="132"/>
        <v/>
      </c>
      <c r="UV12" s="110"/>
      <c r="UW12" s="111"/>
      <c r="UX12" s="116"/>
      <c r="UY12" s="113" t="str">
        <f>IFERROR((((COUNTIF('Elève (3ème3)'!UV12:UX12,"A"))*4)+((COUNTIF('Elève (3ème3)'!UV12:UX12,"B"))*3)+((COUNTIF('Elève (3ème3)'!UV12:UX12,"C"))*2)+((COUNTIF('Elève (3ème3)'!UV12:UX12,"D"))*1))/(COUNTA(UV12:UX12)),"")</f>
        <v/>
      </c>
      <c r="UZ12" s="114" t="str">
        <f t="shared" si="133"/>
        <v/>
      </c>
      <c r="VA12" s="113" t="str">
        <f>IF(COUNT(UO12,UT12,UY12)=0,"",SUM(UO12,UT12,UY12)/COUNT(UO12,UT12,UY12))</f>
        <v/>
      </c>
      <c r="VB12" s="115" t="str">
        <f t="shared" si="134"/>
        <v/>
      </c>
      <c r="VC12" s="110"/>
      <c r="VD12" s="111"/>
      <c r="VE12" s="112"/>
      <c r="VF12" s="113" t="str">
        <f>IFERROR((((COUNTIF('Elève (3ème3)'!VC12:VE12,"A"))*4)+((COUNTIF('Elève (3ème3)'!VC12:VE12,"B"))*3)+((COUNTIF('Elève (3ème3)'!VC12:VE12,"C"))*2)+((COUNTIF('Elève (3ème3)'!VC12:VE12,"D"))*1))/(COUNTA(VC12:VE12)),"")</f>
        <v/>
      </c>
      <c r="VG12" s="114" t="str">
        <f t="shared" si="135"/>
        <v/>
      </c>
      <c r="VH12" s="110"/>
      <c r="VI12" s="111"/>
      <c r="VJ12" s="112"/>
      <c r="VK12" s="113" t="str">
        <f>IFERROR((((COUNTIF('Elève (3ème3)'!VH12:VJ12,"A"))*4)+((COUNTIF('Elève (3ème3)'!VH12:VJ12,"B"))*3)+((COUNTIF('Elève (3ème3)'!VH12:VJ12,"C"))*2)+((COUNTIF('Elève (3ème3)'!VH12:VJ12,"D"))*1))/(COUNTA(VH12:VJ12)),"")</f>
        <v/>
      </c>
      <c r="VL12" s="114" t="str">
        <f t="shared" si="136"/>
        <v/>
      </c>
      <c r="VM12" s="110"/>
      <c r="VN12" s="111"/>
      <c r="VO12" s="116"/>
      <c r="VP12" s="113" t="str">
        <f>IFERROR((((COUNTIF('Elève (3ème3)'!VM12:VO12,"A"))*4)+((COUNTIF('Elève (3ème3)'!VM12:VO12,"B"))*3)+((COUNTIF('Elève (3ème3)'!VM12:VO12,"C"))*2)+((COUNTIF('Elève (3ème3)'!VM12:VO12,"D"))*1))/(COUNTA(VM12:VO12)),"")</f>
        <v/>
      </c>
      <c r="VQ12" s="114" t="str">
        <f t="shared" si="137"/>
        <v/>
      </c>
      <c r="VR12" s="113" t="str">
        <f>IF(COUNT(VF12,VK12,VP12)=0,"",SUM(VF12,VK12,VP12)/COUNT(VF12,VK12,VP12))</f>
        <v/>
      </c>
      <c r="VS12" s="115" t="str">
        <f t="shared" si="138"/>
        <v/>
      </c>
      <c r="VT12" s="110"/>
      <c r="VU12" s="111"/>
      <c r="VV12" s="112"/>
      <c r="VW12" s="113" t="str">
        <f>IFERROR((((COUNTIF('Elève (3ème3)'!VT12:VV12,"A"))*4)+((COUNTIF('Elève (3ème3)'!VT12:VV12,"B"))*3)+((COUNTIF('Elève (3ème3)'!VT12:VV12,"C"))*2)+((COUNTIF('Elève (3ème3)'!VT12:VV12,"D"))*1))/(COUNTA(VT12:VV12)),"")</f>
        <v/>
      </c>
      <c r="VX12" s="114" t="str">
        <f t="shared" si="139"/>
        <v/>
      </c>
      <c r="VY12" s="110"/>
      <c r="VZ12" s="111"/>
      <c r="WA12" s="112"/>
      <c r="WB12" s="113" t="str">
        <f>IFERROR((((COUNTIF('Elève (3ème3)'!VY12:WA12,"A"))*4)+((COUNTIF('Elève (3ème3)'!VY12:WA12,"B"))*3)+((COUNTIF('Elève (3ème3)'!VY12:WA12,"C"))*2)+((COUNTIF('Elève (3ème3)'!VY12:WA12,"D"))*1))/(COUNTA(VY12:WA12)),"")</f>
        <v/>
      </c>
      <c r="WC12" s="114" t="str">
        <f t="shared" si="140"/>
        <v/>
      </c>
      <c r="WD12" s="110"/>
      <c r="WE12" s="111"/>
      <c r="WF12" s="116"/>
      <c r="WG12" s="113" t="str">
        <f>IFERROR((((COUNTIF('Elève (3ème3)'!WD12:WF12,"A"))*4)+((COUNTIF('Elève (3ème3)'!WD12:WF12,"B"))*3)+((COUNTIF('Elève (3ème3)'!WD12:WF12,"C"))*2)+((COUNTIF('Elève (3ème3)'!WD12:WF12,"D"))*1))/(COUNTA(WD12:WF12)),"")</f>
        <v/>
      </c>
      <c r="WH12" s="114" t="str">
        <f t="shared" si="141"/>
        <v/>
      </c>
      <c r="WI12" s="113" t="str">
        <f>IF(COUNT(VW12,WB12,WG12)=0,"",SUM(VW12,WB12,WG12)/COUNT(VW12,WB12,WG12))</f>
        <v/>
      </c>
      <c r="WJ12" s="115" t="str">
        <f t="shared" si="142"/>
        <v/>
      </c>
    </row>
    <row r="13" spans="1:608" s="95" customFormat="1" ht="16.5" customHeight="1" thickBot="1" x14ac:dyDescent="0.6">
      <c r="A13" s="145" t="s">
        <v>18</v>
      </c>
      <c r="B13" s="120">
        <v>1</v>
      </c>
      <c r="C13" s="152"/>
      <c r="D13" s="65"/>
      <c r="E13" s="85"/>
      <c r="F13" s="159" t="str">
        <f>IF(COUNT(F14:F15)=0,"",SUM(F14:F15)/COUNT(F14:F15))</f>
        <v/>
      </c>
      <c r="G13" s="160" t="str">
        <f t="shared" si="23"/>
        <v/>
      </c>
      <c r="H13" s="152"/>
      <c r="I13" s="65"/>
      <c r="J13" s="65"/>
      <c r="K13" s="85"/>
      <c r="L13" s="159" t="str">
        <f>IF(COUNT(L14,L15)=0,"",SUM(L14:L15)/COUNT(L14,L15))</f>
        <v/>
      </c>
      <c r="M13" s="175" t="str">
        <f t="shared" si="24"/>
        <v/>
      </c>
      <c r="N13" s="153"/>
      <c r="O13" s="90"/>
      <c r="P13" s="90"/>
      <c r="Q13" s="90"/>
      <c r="R13" s="90"/>
      <c r="S13" s="91"/>
      <c r="T13" s="159">
        <f>IF(COUNT(T14,T15)=0,"",SUM(T14:T15)/COUNT(T14,T15))</f>
        <v>3.5</v>
      </c>
      <c r="U13" s="183" t="str">
        <f t="shared" si="25"/>
        <v>B</v>
      </c>
      <c r="V13" s="184">
        <f>IF(COUNT(V14:V15)=0,"",SUM(V14:V15)/COUNT(V14:V15))</f>
        <v>3.5</v>
      </c>
      <c r="W13" s="185" t="str">
        <f t="shared" si="26"/>
        <v>B</v>
      </c>
      <c r="X13" s="196"/>
      <c r="Y13" s="65"/>
      <c r="Z13" s="85"/>
      <c r="AA13" s="159" t="str">
        <f>IF(COUNT(AA14:AA15)=0,"",SUM(AA14:AA15)/COUNT(AA14:AA15))</f>
        <v/>
      </c>
      <c r="AB13" s="160" t="str">
        <f t="shared" si="27"/>
        <v/>
      </c>
      <c r="AC13" s="152"/>
      <c r="AD13" s="65"/>
      <c r="AE13" s="65"/>
      <c r="AF13" s="85"/>
      <c r="AG13" s="159" t="str">
        <f>IF(COUNT(AG14,AG15)=0,"",SUM(AG14:AG15)/COUNT(AG14,AG15))</f>
        <v/>
      </c>
      <c r="AH13" s="175" t="str">
        <f t="shared" si="28"/>
        <v/>
      </c>
      <c r="AI13" s="153"/>
      <c r="AJ13" s="90"/>
      <c r="AK13" s="90"/>
      <c r="AL13" s="90"/>
      <c r="AM13" s="90"/>
      <c r="AN13" s="91"/>
      <c r="AO13" s="159">
        <f>IF(COUNT(AO14,AO15)=0,"",SUM(AO14:AO15)/COUNT(AO14,AO15))</f>
        <v>3</v>
      </c>
      <c r="AP13" s="183" t="str">
        <f t="shared" si="29"/>
        <v>B</v>
      </c>
      <c r="AQ13" s="184">
        <f>IF(COUNT(AQ14:AQ15)=0,"",SUM(AQ14:AQ15)/COUNT(AQ14:AQ15))</f>
        <v>3</v>
      </c>
      <c r="AR13" s="185" t="str">
        <f t="shared" si="30"/>
        <v>B</v>
      </c>
      <c r="AS13" s="196"/>
      <c r="AT13" s="65"/>
      <c r="AU13" s="85"/>
      <c r="AV13" s="159" t="str">
        <f>IF(COUNT(AV14:AV15)=0,"",SUM(AV14:AV15)/COUNT(AV14:AV15))</f>
        <v/>
      </c>
      <c r="AW13" s="160" t="str">
        <f t="shared" si="31"/>
        <v/>
      </c>
      <c r="AX13" s="152"/>
      <c r="AY13" s="65"/>
      <c r="AZ13" s="65"/>
      <c r="BA13" s="85"/>
      <c r="BB13" s="159" t="str">
        <f>IF(COUNT(BB14,BB15)=0,"",SUM(BB14:BB15)/COUNT(BB14,BB15))</f>
        <v/>
      </c>
      <c r="BC13" s="175" t="str">
        <f t="shared" si="32"/>
        <v/>
      </c>
      <c r="BD13" s="153"/>
      <c r="BE13" s="90"/>
      <c r="BF13" s="90"/>
      <c r="BG13" s="90"/>
      <c r="BH13" s="90"/>
      <c r="BI13" s="91"/>
      <c r="BJ13" s="159">
        <f>IF(COUNT(BJ14,BJ15)=0,"",SUM(BJ14:BJ15)/COUNT(BJ14,BJ15))</f>
        <v>3.5</v>
      </c>
      <c r="BK13" s="183" t="str">
        <f t="shared" si="33"/>
        <v>B</v>
      </c>
      <c r="BL13" s="184">
        <f>IF(COUNT(BL14:BL15)=0,"",SUM(BL14:BL15)/COUNT(BL14:BL15))</f>
        <v>3.5</v>
      </c>
      <c r="BM13" s="185" t="str">
        <f t="shared" si="34"/>
        <v>B</v>
      </c>
      <c r="BN13" s="196"/>
      <c r="BO13" s="65"/>
      <c r="BP13" s="85"/>
      <c r="BQ13" s="159" t="str">
        <f>IF(COUNT(BQ14:BQ15)=0,"",SUM(BQ14:BQ15)/COUNT(BQ14:BQ15))</f>
        <v/>
      </c>
      <c r="BR13" s="160" t="str">
        <f t="shared" si="35"/>
        <v/>
      </c>
      <c r="BS13" s="152"/>
      <c r="BT13" s="65"/>
      <c r="BU13" s="65"/>
      <c r="BV13" s="85"/>
      <c r="BW13" s="159" t="str">
        <f>IF(COUNT(BW14,BW15)=0,"",SUM(BW14:BW15)/COUNT(BW14,BW15))</f>
        <v/>
      </c>
      <c r="BX13" s="175" t="str">
        <f t="shared" si="36"/>
        <v/>
      </c>
      <c r="BY13" s="153"/>
      <c r="BZ13" s="90"/>
      <c r="CA13" s="90"/>
      <c r="CB13" s="90"/>
      <c r="CC13" s="90"/>
      <c r="CD13" s="91"/>
      <c r="CE13" s="159">
        <f>IF(COUNT(CE14,CE15)=0,"",SUM(CE14:CE15)/COUNT(CE14,CE15))</f>
        <v>3.5</v>
      </c>
      <c r="CF13" s="183" t="str">
        <f t="shared" si="37"/>
        <v>B</v>
      </c>
      <c r="CG13" s="184">
        <f>IF(COUNT(CG14:CG15)=0,"",SUM(CG14:CG15)/COUNT(CG14:CG15))</f>
        <v>3.5</v>
      </c>
      <c r="CH13" s="185" t="str">
        <f t="shared" si="38"/>
        <v>B</v>
      </c>
      <c r="CI13" s="196"/>
      <c r="CJ13" s="65"/>
      <c r="CK13" s="85"/>
      <c r="CL13" s="159" t="str">
        <f>IF(COUNT(CL14:CL15)=0,"",SUM(CL14:CL15)/COUNT(CL14:CL15))</f>
        <v/>
      </c>
      <c r="CM13" s="160" t="str">
        <f t="shared" si="39"/>
        <v/>
      </c>
      <c r="CN13" s="152"/>
      <c r="CO13" s="65"/>
      <c r="CP13" s="65"/>
      <c r="CQ13" s="85"/>
      <c r="CR13" s="159" t="str">
        <f>IF(COUNT(CR14,CR15)=0,"",SUM(CR14:CR15)/COUNT(CR14,CR15))</f>
        <v/>
      </c>
      <c r="CS13" s="175" t="str">
        <f t="shared" si="40"/>
        <v/>
      </c>
      <c r="CT13" s="153"/>
      <c r="CU13" s="90"/>
      <c r="CV13" s="90"/>
      <c r="CW13" s="90"/>
      <c r="CX13" s="90"/>
      <c r="CY13" s="91"/>
      <c r="CZ13" s="159">
        <f>IF(COUNT(CZ14,CZ15)=0,"",SUM(CZ14:CZ15)/COUNT(CZ14,CZ15))</f>
        <v>3.5</v>
      </c>
      <c r="DA13" s="183" t="str">
        <f t="shared" si="41"/>
        <v>B</v>
      </c>
      <c r="DB13" s="184">
        <f>IF(COUNT(DB14:DB15)=0,"",SUM(DB14:DB15)/COUNT(DB14:DB15))</f>
        <v>3.5</v>
      </c>
      <c r="DC13" s="185" t="str">
        <f t="shared" si="42"/>
        <v>B</v>
      </c>
      <c r="DD13" s="196"/>
      <c r="DE13" s="65"/>
      <c r="DF13" s="85"/>
      <c r="DG13" s="159" t="str">
        <f>IF(COUNT(DG14:DG15)=0,"",SUM(DG14:DG15)/COUNT(DG14:DG15))</f>
        <v/>
      </c>
      <c r="DH13" s="160" t="str">
        <f t="shared" si="43"/>
        <v/>
      </c>
      <c r="DI13" s="152"/>
      <c r="DJ13" s="65"/>
      <c r="DK13" s="65"/>
      <c r="DL13" s="85"/>
      <c r="DM13" s="159" t="str">
        <f>IF(COUNT(DM14,DM15)=0,"",SUM(DM14:DM15)/COUNT(DM14,DM15))</f>
        <v/>
      </c>
      <c r="DN13" s="175" t="str">
        <f t="shared" si="44"/>
        <v/>
      </c>
      <c r="DO13" s="153"/>
      <c r="DP13" s="90"/>
      <c r="DQ13" s="90"/>
      <c r="DR13" s="90"/>
      <c r="DS13" s="90"/>
      <c r="DT13" s="91"/>
      <c r="DU13" s="159">
        <f>IF(COUNT(DU14,DU15)=0,"",SUM(DU14:DU15)/COUNT(DU14,DU15))</f>
        <v>2.75</v>
      </c>
      <c r="DV13" s="183" t="str">
        <f t="shared" si="45"/>
        <v>C</v>
      </c>
      <c r="DW13" s="184">
        <f>IF(COUNT(DW14:DW15)=0,"",SUM(DW14:DW15)/COUNT(DW14:DW15))</f>
        <v>2.75</v>
      </c>
      <c r="DX13" s="185" t="str">
        <f t="shared" si="46"/>
        <v>C</v>
      </c>
      <c r="DY13" s="196"/>
      <c r="DZ13" s="65"/>
      <c r="EA13" s="85"/>
      <c r="EB13" s="159" t="str">
        <f>IF(COUNT(EB14:EB15)=0,"",SUM(EB14:EB15)/COUNT(EB14:EB15))</f>
        <v/>
      </c>
      <c r="EC13" s="160" t="str">
        <f t="shared" si="47"/>
        <v/>
      </c>
      <c r="ED13" s="152"/>
      <c r="EE13" s="65"/>
      <c r="EF13" s="65"/>
      <c r="EG13" s="85"/>
      <c r="EH13" s="159" t="str">
        <f>IF(COUNT(EH14,EH15)=0,"",SUM(EH14:EH15)/COUNT(EH14,EH15))</f>
        <v/>
      </c>
      <c r="EI13" s="175" t="str">
        <f t="shared" si="48"/>
        <v/>
      </c>
      <c r="EJ13" s="153"/>
      <c r="EK13" s="90"/>
      <c r="EL13" s="90"/>
      <c r="EM13" s="90"/>
      <c r="EN13" s="90"/>
      <c r="EO13" s="91"/>
      <c r="EP13" s="159">
        <f>IF(COUNT(EP14,EP15)=0,"",SUM(EP14:EP15)/COUNT(EP14,EP15))</f>
        <v>2.75</v>
      </c>
      <c r="EQ13" s="183" t="str">
        <f t="shared" si="49"/>
        <v>C</v>
      </c>
      <c r="ER13" s="184">
        <f>IF(COUNT(ER14:ER15)=0,"",SUM(ER14:ER15)/COUNT(ER14:ER15))</f>
        <v>2.75</v>
      </c>
      <c r="ES13" s="185" t="str">
        <f t="shared" si="50"/>
        <v>C</v>
      </c>
      <c r="ET13" s="196"/>
      <c r="EU13" s="65"/>
      <c r="EV13" s="85"/>
      <c r="EW13" s="159" t="str">
        <f>IF(COUNT(EW14:EW15)=0,"",SUM(EW14:EW15)/COUNT(EW14:EW15))</f>
        <v/>
      </c>
      <c r="EX13" s="160" t="str">
        <f t="shared" si="51"/>
        <v/>
      </c>
      <c r="EY13" s="152"/>
      <c r="EZ13" s="65"/>
      <c r="FA13" s="65"/>
      <c r="FB13" s="85"/>
      <c r="FC13" s="159" t="str">
        <f>IF(COUNT(FC14,FC15)=0,"",SUM(FC14:FC15)/COUNT(FC14,FC15))</f>
        <v/>
      </c>
      <c r="FD13" s="175" t="str">
        <f t="shared" si="52"/>
        <v/>
      </c>
      <c r="FE13" s="153"/>
      <c r="FF13" s="90"/>
      <c r="FG13" s="90"/>
      <c r="FH13" s="90"/>
      <c r="FI13" s="90"/>
      <c r="FJ13" s="91"/>
      <c r="FK13" s="159">
        <f>IF(COUNT(FK14,FK15)=0,"",SUM(FK14:FK15)/COUNT(FK14,FK15))</f>
        <v>3.5</v>
      </c>
      <c r="FL13" s="183" t="str">
        <f t="shared" si="53"/>
        <v>B</v>
      </c>
      <c r="FM13" s="184">
        <f>IF(COUNT(FM14:FM15)=0,"",SUM(FM14:FM15)/COUNT(FM14:FM15))</f>
        <v>3.5</v>
      </c>
      <c r="FN13" s="185" t="str">
        <f t="shared" si="54"/>
        <v>B</v>
      </c>
      <c r="FO13" s="196"/>
      <c r="FP13" s="65"/>
      <c r="FQ13" s="85"/>
      <c r="FR13" s="159" t="str">
        <f>IF(COUNT(FR14:FR15)=0,"",SUM(FR14:FR15)/COUNT(FR14:FR15))</f>
        <v/>
      </c>
      <c r="FS13" s="160" t="str">
        <f t="shared" si="55"/>
        <v/>
      </c>
      <c r="FT13" s="152"/>
      <c r="FU13" s="65"/>
      <c r="FV13" s="65"/>
      <c r="FW13" s="85"/>
      <c r="FX13" s="159" t="str">
        <f>IF(COUNT(FX14,FX15)=0,"",SUM(FX14:FX15)/COUNT(FX14,FX15))</f>
        <v/>
      </c>
      <c r="FY13" s="175" t="str">
        <f t="shared" si="56"/>
        <v/>
      </c>
      <c r="FZ13" s="153"/>
      <c r="GA13" s="90"/>
      <c r="GB13" s="90"/>
      <c r="GC13" s="90"/>
      <c r="GD13" s="90"/>
      <c r="GE13" s="91"/>
      <c r="GF13" s="159">
        <f>IF(COUNT(GF14,GF15)=0,"",SUM(GF14:GF15)/COUNT(GF14,GF15))</f>
        <v>2.75</v>
      </c>
      <c r="GG13" s="183" t="str">
        <f t="shared" si="57"/>
        <v>C</v>
      </c>
      <c r="GH13" s="184">
        <f>IF(COUNT(GH14:GH15)=0,"",SUM(GH14:GH15)/COUNT(GH14:GH15))</f>
        <v>2.75</v>
      </c>
      <c r="GI13" s="185" t="str">
        <f t="shared" si="58"/>
        <v>C</v>
      </c>
      <c r="GJ13" s="196"/>
      <c r="GK13" s="65"/>
      <c r="GL13" s="85"/>
      <c r="GM13" s="159" t="str">
        <f>IF(COUNT(GM14:GM15)=0,"",SUM(GM14:GM15)/COUNT(GM14:GM15))</f>
        <v/>
      </c>
      <c r="GN13" s="160" t="str">
        <f t="shared" si="59"/>
        <v/>
      </c>
      <c r="GO13" s="152"/>
      <c r="GP13" s="65"/>
      <c r="GQ13" s="65"/>
      <c r="GR13" s="85"/>
      <c r="GS13" s="159" t="str">
        <f>IF(COUNT(GS14,GS15)=0,"",SUM(GS14:GS15)/COUNT(GS14,GS15))</f>
        <v/>
      </c>
      <c r="GT13" s="175" t="str">
        <f t="shared" si="60"/>
        <v/>
      </c>
      <c r="GU13" s="153"/>
      <c r="GV13" s="90"/>
      <c r="GW13" s="90"/>
      <c r="GX13" s="90"/>
      <c r="GY13" s="90"/>
      <c r="GZ13" s="91"/>
      <c r="HA13" s="159">
        <f>IF(COUNT(HA14,HA15)=0,"",SUM(HA14:HA15)/COUNT(HA14,HA15))</f>
        <v>3.25</v>
      </c>
      <c r="HB13" s="183" t="str">
        <f t="shared" si="61"/>
        <v>B</v>
      </c>
      <c r="HC13" s="184">
        <f>IF(COUNT(HC14:HC15)=0,"",SUM(HC14:HC15)/COUNT(HC14:HC15))</f>
        <v>3.25</v>
      </c>
      <c r="HD13" s="185" t="str">
        <f t="shared" si="62"/>
        <v>B</v>
      </c>
      <c r="HE13" s="196"/>
      <c r="HF13" s="65"/>
      <c r="HG13" s="85"/>
      <c r="HH13" s="159" t="str">
        <f>IF(COUNT(HH14:HH15)=0,"",SUM(HH14:HH15)/COUNT(HH14:HH15))</f>
        <v/>
      </c>
      <c r="HI13" s="160" t="str">
        <f t="shared" si="63"/>
        <v/>
      </c>
      <c r="HJ13" s="152"/>
      <c r="HK13" s="65"/>
      <c r="HL13" s="65"/>
      <c r="HM13" s="85"/>
      <c r="HN13" s="159" t="str">
        <f>IF(COUNT(HN14,HN15)=0,"",SUM(HN14:HN15)/COUNT(HN14,HN15))</f>
        <v/>
      </c>
      <c r="HO13" s="175" t="str">
        <f t="shared" si="64"/>
        <v/>
      </c>
      <c r="HP13" s="153"/>
      <c r="HQ13" s="90"/>
      <c r="HR13" s="90"/>
      <c r="HS13" s="90"/>
      <c r="HT13" s="90"/>
      <c r="HU13" s="91"/>
      <c r="HV13" s="159">
        <f>IF(COUNT(HV14,HV15)=0,"",SUM(HV14:HV15)/COUNT(HV14,HV15))</f>
        <v>3.5</v>
      </c>
      <c r="HW13" s="183" t="str">
        <f t="shared" si="65"/>
        <v>B</v>
      </c>
      <c r="HX13" s="184">
        <f>IF(COUNT(HX14:HX15)=0,"",SUM(HX14:HX15)/COUNT(HX14:HX15))</f>
        <v>3.5</v>
      </c>
      <c r="HY13" s="185" t="str">
        <f t="shared" si="66"/>
        <v>B</v>
      </c>
      <c r="HZ13" s="196"/>
      <c r="IA13" s="65"/>
      <c r="IB13" s="85"/>
      <c r="IC13" s="159" t="str">
        <f>IF(COUNT(IC14:IC15)=0,"",SUM(IC14:IC15)/COUNT(IC14:IC15))</f>
        <v/>
      </c>
      <c r="ID13" s="160" t="str">
        <f t="shared" si="67"/>
        <v/>
      </c>
      <c r="IE13" s="152"/>
      <c r="IF13" s="65"/>
      <c r="IG13" s="65"/>
      <c r="IH13" s="85"/>
      <c r="II13" s="159" t="str">
        <f>IF(COUNT(II14,II15)=0,"",SUM(II14:II15)/COUNT(II14,II15))</f>
        <v/>
      </c>
      <c r="IJ13" s="175" t="str">
        <f t="shared" si="68"/>
        <v/>
      </c>
      <c r="IK13" s="153"/>
      <c r="IL13" s="90"/>
      <c r="IM13" s="90"/>
      <c r="IN13" s="90"/>
      <c r="IO13" s="90"/>
      <c r="IP13" s="91"/>
      <c r="IQ13" s="159">
        <f>IF(COUNT(IQ14,IQ15)=0,"",SUM(IQ14:IQ15)/COUNT(IQ14,IQ15))</f>
        <v>3</v>
      </c>
      <c r="IR13" s="183" t="str">
        <f t="shared" si="69"/>
        <v>B</v>
      </c>
      <c r="IS13" s="184">
        <f>IF(COUNT(IS14:IS15)=0,"",SUM(IS14:IS15)/COUNT(IS14:IS15))</f>
        <v>3</v>
      </c>
      <c r="IT13" s="185" t="str">
        <f t="shared" si="70"/>
        <v>B</v>
      </c>
      <c r="IU13" s="196"/>
      <c r="IV13" s="65"/>
      <c r="IW13" s="85"/>
      <c r="IX13" s="159" t="str">
        <f>IF(COUNT(IX14:IX15)=0,"",SUM(IX14:IX15)/COUNT(IX14:IX15))</f>
        <v/>
      </c>
      <c r="IY13" s="160" t="str">
        <f t="shared" si="71"/>
        <v/>
      </c>
      <c r="IZ13" s="152"/>
      <c r="JA13" s="65"/>
      <c r="JB13" s="65"/>
      <c r="JC13" s="85"/>
      <c r="JD13" s="159" t="str">
        <f>IF(COUNT(JD14,JD15)=0,"",SUM(JD14:JD15)/COUNT(JD14,JD15))</f>
        <v/>
      </c>
      <c r="JE13" s="175" t="str">
        <f t="shared" si="72"/>
        <v/>
      </c>
      <c r="JF13" s="153"/>
      <c r="JG13" s="90"/>
      <c r="JH13" s="90"/>
      <c r="JI13" s="90"/>
      <c r="JJ13" s="90"/>
      <c r="JK13" s="91"/>
      <c r="JL13" s="159">
        <f>IF(COUNT(JL14,JL15)=0,"",SUM(JL14:JL15)/COUNT(JL14,JL15))</f>
        <v>3</v>
      </c>
      <c r="JM13" s="183" t="str">
        <f t="shared" si="73"/>
        <v>B</v>
      </c>
      <c r="JN13" s="184">
        <f>IF(COUNT(JN14:JN15)=0,"",SUM(JN14:JN15)/COUNT(JN14:JN15))</f>
        <v>3</v>
      </c>
      <c r="JO13" s="185" t="str">
        <f t="shared" si="74"/>
        <v>B</v>
      </c>
      <c r="JP13" s="196"/>
      <c r="JQ13" s="65"/>
      <c r="JR13" s="85"/>
      <c r="JS13" s="159" t="str">
        <f>IF(COUNT(JS14:JS15)=0,"",SUM(JS14:JS15)/COUNT(JS14:JS15))</f>
        <v/>
      </c>
      <c r="JT13" s="160" t="str">
        <f t="shared" si="75"/>
        <v/>
      </c>
      <c r="JU13" s="152"/>
      <c r="JV13" s="65"/>
      <c r="JW13" s="65"/>
      <c r="JX13" s="85"/>
      <c r="JY13" s="159" t="str">
        <f>IF(COUNT(JY14,JY15)=0,"",SUM(JY14:JY15)/COUNT(JY14,JY15))</f>
        <v/>
      </c>
      <c r="JZ13" s="175" t="str">
        <f t="shared" si="76"/>
        <v/>
      </c>
      <c r="KA13" s="153"/>
      <c r="KB13" s="90"/>
      <c r="KC13" s="90"/>
      <c r="KD13" s="90"/>
      <c r="KE13" s="90"/>
      <c r="KF13" s="91"/>
      <c r="KG13" s="159">
        <f>IF(COUNT(KG14,KG15)=0,"",SUM(KG14:KG15)/COUNT(KG14,KG15))</f>
        <v>3</v>
      </c>
      <c r="KH13" s="183" t="str">
        <f t="shared" si="77"/>
        <v>B</v>
      </c>
      <c r="KI13" s="184">
        <f>IF(COUNT(KI14:KI15)=0,"",SUM(KI14:KI15)/COUNT(KI14:KI15))</f>
        <v>3</v>
      </c>
      <c r="KJ13" s="185" t="str">
        <f t="shared" si="78"/>
        <v>B</v>
      </c>
      <c r="KK13" s="196"/>
      <c r="KL13" s="65"/>
      <c r="KM13" s="85"/>
      <c r="KN13" s="159" t="str">
        <f>IF(COUNT(KN14:KN15)=0,"",SUM(KN14:KN15)/COUNT(KN14:KN15))</f>
        <v/>
      </c>
      <c r="KO13" s="160" t="str">
        <f t="shared" si="79"/>
        <v/>
      </c>
      <c r="KP13" s="152"/>
      <c r="KQ13" s="65"/>
      <c r="KR13" s="65"/>
      <c r="KS13" s="85"/>
      <c r="KT13" s="159" t="str">
        <f>IF(COUNT(KT14,KT15)=0,"",SUM(KT14:KT15)/COUNT(KT14,KT15))</f>
        <v/>
      </c>
      <c r="KU13" s="175" t="str">
        <f t="shared" si="80"/>
        <v/>
      </c>
      <c r="KV13" s="153"/>
      <c r="KW13" s="90"/>
      <c r="KX13" s="90"/>
      <c r="KY13" s="90"/>
      <c r="KZ13" s="90"/>
      <c r="LA13" s="91"/>
      <c r="LB13" s="159">
        <f>IF(COUNT(LB14,LB15)=0,"",SUM(LB14:LB15)/COUNT(LB14,LB15))</f>
        <v>2.75</v>
      </c>
      <c r="LC13" s="183" t="str">
        <f t="shared" si="81"/>
        <v>C</v>
      </c>
      <c r="LD13" s="184">
        <f>IF(COUNT(LD14:LD15)=0,"",SUM(LD14:LD15)/COUNT(LD14:LD15))</f>
        <v>2.75</v>
      </c>
      <c r="LE13" s="185" t="str">
        <f t="shared" si="82"/>
        <v>C</v>
      </c>
      <c r="LF13" s="196"/>
      <c r="LG13" s="65"/>
      <c r="LH13" s="85"/>
      <c r="LI13" s="159" t="str">
        <f>IF(COUNT(LI14:LI15)=0,"",SUM(LI14:LI15)/COUNT(LI14:LI15))</f>
        <v/>
      </c>
      <c r="LJ13" s="160" t="str">
        <f t="shared" si="83"/>
        <v/>
      </c>
      <c r="LK13" s="152"/>
      <c r="LL13" s="65"/>
      <c r="LM13" s="65"/>
      <c r="LN13" s="85"/>
      <c r="LO13" s="159" t="str">
        <f>IF(COUNT(LO14,LO15)=0,"",SUM(LO14:LO15)/COUNT(LO14,LO15))</f>
        <v/>
      </c>
      <c r="LP13" s="175" t="str">
        <f t="shared" si="84"/>
        <v/>
      </c>
      <c r="LQ13" s="153"/>
      <c r="LR13" s="90"/>
      <c r="LS13" s="90"/>
      <c r="LT13" s="90"/>
      <c r="LU13" s="90"/>
      <c r="LV13" s="91"/>
      <c r="LW13" s="159">
        <f>IF(COUNT(LW14,LW15)=0,"",SUM(LW14:LW15)/COUNT(LW14,LW15))</f>
        <v>3.25</v>
      </c>
      <c r="LX13" s="183" t="str">
        <f t="shared" si="85"/>
        <v>B</v>
      </c>
      <c r="LY13" s="184">
        <f>IF(COUNT(LY14:LY15)=0,"",SUM(LY14:LY15)/COUNT(LY14:LY15))</f>
        <v>3.25</v>
      </c>
      <c r="LZ13" s="185" t="str">
        <f t="shared" si="86"/>
        <v>B</v>
      </c>
      <c r="MA13" s="196"/>
      <c r="MB13" s="65"/>
      <c r="MC13" s="85"/>
      <c r="MD13" s="159" t="str">
        <f>IF(COUNT(MD14:MD15)=0,"",SUM(MD14:MD15)/COUNT(MD14:MD15))</f>
        <v/>
      </c>
      <c r="ME13" s="160" t="str">
        <f t="shared" si="87"/>
        <v/>
      </c>
      <c r="MF13" s="152"/>
      <c r="MG13" s="65"/>
      <c r="MH13" s="65"/>
      <c r="MI13" s="85"/>
      <c r="MJ13" s="159" t="str">
        <f>IF(COUNT(MJ14,MJ15)=0,"",SUM(MJ14:MJ15)/COUNT(MJ14,MJ15))</f>
        <v/>
      </c>
      <c r="MK13" s="175" t="str">
        <f t="shared" si="88"/>
        <v/>
      </c>
      <c r="ML13" s="153"/>
      <c r="MM13" s="90"/>
      <c r="MN13" s="90"/>
      <c r="MO13" s="90"/>
      <c r="MP13" s="90"/>
      <c r="MQ13" s="91"/>
      <c r="MR13" s="159">
        <f>IF(COUNT(MR14,MR15)=0,"",SUM(MR14:MR15)/COUNT(MR14,MR15))</f>
        <v>1.5</v>
      </c>
      <c r="MS13" s="183" t="str">
        <f t="shared" si="89"/>
        <v>D</v>
      </c>
      <c r="MT13" s="184">
        <f>IF(COUNT(MT14:MT15)=0,"",SUM(MT14:MT15)/COUNT(MT14:MT15))</f>
        <v>1.5</v>
      </c>
      <c r="MU13" s="185" t="str">
        <f t="shared" si="90"/>
        <v>D</v>
      </c>
      <c r="MV13" s="196"/>
      <c r="MW13" s="65"/>
      <c r="MX13" s="85"/>
      <c r="MY13" s="159" t="str">
        <f>IF(COUNT(MY14:MY15)=0,"",SUM(MY14:MY15)/COUNT(MY14:MY15))</f>
        <v/>
      </c>
      <c r="MZ13" s="160" t="str">
        <f t="shared" si="91"/>
        <v/>
      </c>
      <c r="NA13" s="152"/>
      <c r="NB13" s="65"/>
      <c r="NC13" s="65"/>
      <c r="ND13" s="85"/>
      <c r="NE13" s="159" t="str">
        <f>IF(COUNT(NE14,NE15)=0,"",SUM(NE14:NE15)/COUNT(NE14,NE15))</f>
        <v/>
      </c>
      <c r="NF13" s="175" t="str">
        <f t="shared" si="92"/>
        <v/>
      </c>
      <c r="NG13" s="153"/>
      <c r="NH13" s="90"/>
      <c r="NI13" s="90"/>
      <c r="NJ13" s="90"/>
      <c r="NK13" s="90"/>
      <c r="NL13" s="91"/>
      <c r="NM13" s="159">
        <f>IF(COUNT(NM14,NM15)=0,"",SUM(NM14:NM15)/COUNT(NM14,NM15))</f>
        <v>3</v>
      </c>
      <c r="NN13" s="183" t="str">
        <f t="shared" si="93"/>
        <v>B</v>
      </c>
      <c r="NO13" s="184">
        <f>IF(COUNT(NO14:NO15)=0,"",SUM(NO14:NO15)/COUNT(NO14:NO15))</f>
        <v>3</v>
      </c>
      <c r="NP13" s="185" t="str">
        <f t="shared" si="94"/>
        <v>B</v>
      </c>
      <c r="NQ13" s="196"/>
      <c r="NR13" s="65"/>
      <c r="NS13" s="85"/>
      <c r="NT13" s="159" t="str">
        <f>IF(COUNT(NT14:NT15)=0,"",SUM(NT14:NT15)/COUNT(NT14:NT15))</f>
        <v/>
      </c>
      <c r="NU13" s="160" t="str">
        <f t="shared" si="95"/>
        <v/>
      </c>
      <c r="NV13" s="152"/>
      <c r="NW13" s="65"/>
      <c r="NX13" s="65"/>
      <c r="NY13" s="85"/>
      <c r="NZ13" s="159" t="str">
        <f>IF(COUNT(NZ14,NZ15)=0,"",SUM(NZ14:NZ15)/COUNT(NZ14,NZ15))</f>
        <v/>
      </c>
      <c r="OA13" s="175" t="str">
        <f t="shared" si="96"/>
        <v/>
      </c>
      <c r="OB13" s="153"/>
      <c r="OC13" s="90"/>
      <c r="OD13" s="90"/>
      <c r="OE13" s="90"/>
      <c r="OF13" s="90"/>
      <c r="OG13" s="91"/>
      <c r="OH13" s="159">
        <f>IF(COUNT(OH14,OH15)=0,"",SUM(OH14:OH15)/COUNT(OH14,OH15))</f>
        <v>3</v>
      </c>
      <c r="OI13" s="183" t="str">
        <f t="shared" si="97"/>
        <v>B</v>
      </c>
      <c r="OJ13" s="184">
        <f>IF(COUNT(OJ14:OJ15)=0,"",SUM(OJ14:OJ15)/COUNT(OJ14:OJ15))</f>
        <v>3</v>
      </c>
      <c r="OK13" s="185" t="str">
        <f t="shared" si="98"/>
        <v>B</v>
      </c>
      <c r="OL13" s="196"/>
      <c r="OM13" s="65"/>
      <c r="ON13" s="85"/>
      <c r="OO13" s="159" t="str">
        <f>IF(COUNT(OO14:OO15)=0,"",SUM(OO14:OO15)/COUNT(OO14:OO15))</f>
        <v/>
      </c>
      <c r="OP13" s="160" t="str">
        <f t="shared" si="99"/>
        <v/>
      </c>
      <c r="OQ13" s="152"/>
      <c r="OR13" s="65"/>
      <c r="OS13" s="65"/>
      <c r="OT13" s="85"/>
      <c r="OU13" s="159" t="str">
        <f>IF(COUNT(OU14,OU15)=0,"",SUM(OU14:OU15)/COUNT(OU14,OU15))</f>
        <v/>
      </c>
      <c r="OV13" s="175" t="str">
        <f t="shared" si="100"/>
        <v/>
      </c>
      <c r="OW13" s="153"/>
      <c r="OX13" s="90"/>
      <c r="OY13" s="90"/>
      <c r="OZ13" s="90"/>
      <c r="PA13" s="90"/>
      <c r="PB13" s="91"/>
      <c r="PC13" s="159">
        <f>IF(COUNT(PC14,PC15)=0,"",SUM(PC14:PC15)/COUNT(PC14,PC15))</f>
        <v>2.25</v>
      </c>
      <c r="PD13" s="183" t="str">
        <f t="shared" si="101"/>
        <v>C</v>
      </c>
      <c r="PE13" s="184">
        <f>IF(COUNT(PE14:PE15)=0,"",SUM(PE14:PE15)/COUNT(PE14:PE15))</f>
        <v>2.25</v>
      </c>
      <c r="PF13" s="185" t="str">
        <f t="shared" si="102"/>
        <v>C</v>
      </c>
      <c r="PG13" s="196"/>
      <c r="PH13" s="65"/>
      <c r="PI13" s="85"/>
      <c r="PJ13" s="159" t="str">
        <f>IF(COUNT(PJ14:PJ15)=0,"",SUM(PJ14:PJ15)/COUNT(PJ14:PJ15))</f>
        <v/>
      </c>
      <c r="PK13" s="160" t="str">
        <f t="shared" si="103"/>
        <v/>
      </c>
      <c r="PL13" s="152"/>
      <c r="PM13" s="65"/>
      <c r="PN13" s="65"/>
      <c r="PO13" s="85"/>
      <c r="PP13" s="159" t="str">
        <f>IF(COUNT(PP14,PP15)=0,"",SUM(PP14:PP15)/COUNT(PP14,PP15))</f>
        <v/>
      </c>
      <c r="PQ13" s="175" t="str">
        <f t="shared" si="104"/>
        <v/>
      </c>
      <c r="PR13" s="153"/>
      <c r="PS13" s="90"/>
      <c r="PT13" s="90"/>
      <c r="PU13" s="90"/>
      <c r="PV13" s="90"/>
      <c r="PW13" s="91"/>
      <c r="PX13" s="159">
        <f>IF(COUNT(PX14,PX15)=0,"",SUM(PX14:PX15)/COUNT(PX14,PX15))</f>
        <v>3.25</v>
      </c>
      <c r="PY13" s="183" t="str">
        <f t="shared" si="105"/>
        <v>B</v>
      </c>
      <c r="PZ13" s="184">
        <f>IF(COUNT(PZ14:PZ15)=0,"",SUM(PZ14:PZ15)/COUNT(PZ14:PZ15))</f>
        <v>3.25</v>
      </c>
      <c r="QA13" s="185" t="str">
        <f t="shared" si="106"/>
        <v>B</v>
      </c>
      <c r="QB13" s="196"/>
      <c r="QC13" s="65"/>
      <c r="QD13" s="85"/>
      <c r="QE13" s="159" t="str">
        <f>IF(COUNT(QE14:QE15)=0,"",SUM(QE14:QE15)/COUNT(QE14:QE15))</f>
        <v/>
      </c>
      <c r="QF13" s="160" t="str">
        <f t="shared" si="107"/>
        <v/>
      </c>
      <c r="QG13" s="152"/>
      <c r="QH13" s="65"/>
      <c r="QI13" s="65"/>
      <c r="QJ13" s="85"/>
      <c r="QK13" s="159" t="str">
        <f>IF(COUNT(QK14,QK15)=0,"",SUM(QK14:QK15)/COUNT(QK14,QK15))</f>
        <v/>
      </c>
      <c r="QL13" s="175" t="str">
        <f t="shared" si="108"/>
        <v/>
      </c>
      <c r="QM13" s="153"/>
      <c r="QN13" s="90"/>
      <c r="QO13" s="90"/>
      <c r="QP13" s="90"/>
      <c r="QQ13" s="90"/>
      <c r="QR13" s="91"/>
      <c r="QS13" s="159">
        <f>IF(COUNT(QS14,QS15)=0,"",SUM(QS14:QS15)/COUNT(QS14,QS15))</f>
        <v>3.5</v>
      </c>
      <c r="QT13" s="183" t="str">
        <f t="shared" si="109"/>
        <v>B</v>
      </c>
      <c r="QU13" s="184">
        <f>IF(COUNT(QU14:QU15)=0,"",SUM(QU14:QU15)/COUNT(QU14:QU15))</f>
        <v>3.5</v>
      </c>
      <c r="QV13" s="185" t="str">
        <f t="shared" si="110"/>
        <v>B</v>
      </c>
      <c r="QW13" s="196"/>
      <c r="QX13" s="65"/>
      <c r="QY13" s="85"/>
      <c r="QZ13" s="159" t="str">
        <f>IF(COUNT(QZ14:QZ15)=0,"",SUM(QZ14:QZ15)/COUNT(QZ14:QZ15))</f>
        <v/>
      </c>
      <c r="RA13" s="160" t="str">
        <f t="shared" si="111"/>
        <v/>
      </c>
      <c r="RB13" s="152"/>
      <c r="RC13" s="65"/>
      <c r="RD13" s="65"/>
      <c r="RE13" s="85"/>
      <c r="RF13" s="159" t="str">
        <f>IF(COUNT(RF14,RF15)=0,"",SUM(RF14:RF15)/COUNT(RF14,RF15))</f>
        <v/>
      </c>
      <c r="RG13" s="175" t="str">
        <f t="shared" si="112"/>
        <v/>
      </c>
      <c r="RH13" s="153"/>
      <c r="RI13" s="90"/>
      <c r="RJ13" s="90"/>
      <c r="RK13" s="90"/>
      <c r="RL13" s="90"/>
      <c r="RM13" s="91"/>
      <c r="RN13" s="159">
        <f>IF(COUNT(RN14,RN15)=0,"",SUM(RN14:RN15)/COUNT(RN14,RN15))</f>
        <v>1.5</v>
      </c>
      <c r="RO13" s="183" t="str">
        <f t="shared" si="113"/>
        <v>D</v>
      </c>
      <c r="RP13" s="184">
        <f>IF(COUNT(RP14:RP15)=0,"",SUM(RP14:RP15)/COUNT(RP14:RP15))</f>
        <v>1.5</v>
      </c>
      <c r="RQ13" s="185" t="str">
        <f t="shared" si="114"/>
        <v>D</v>
      </c>
      <c r="RR13" s="196"/>
      <c r="RS13" s="65"/>
      <c r="RT13" s="85"/>
      <c r="RU13" s="159" t="str">
        <f>IF(COUNT(RU14:RU15)=0,"",SUM(RU14:RU15)/COUNT(RU14:RU15))</f>
        <v/>
      </c>
      <c r="RV13" s="160" t="str">
        <f t="shared" si="115"/>
        <v/>
      </c>
      <c r="RW13" s="152"/>
      <c r="RX13" s="65"/>
      <c r="RY13" s="65"/>
      <c r="RZ13" s="85"/>
      <c r="SA13" s="159" t="str">
        <f>IF(COUNT(SA14,SA15)=0,"",SUM(SA14:SA15)/COUNT(SA14,SA15))</f>
        <v/>
      </c>
      <c r="SB13" s="175" t="str">
        <f t="shared" si="116"/>
        <v/>
      </c>
      <c r="SC13" s="153"/>
      <c r="SD13" s="90"/>
      <c r="SE13" s="90"/>
      <c r="SF13" s="90"/>
      <c r="SG13" s="90"/>
      <c r="SH13" s="91"/>
      <c r="SI13" s="159">
        <f>IF(COUNT(SI14,SI15)=0,"",SUM(SI14:SI15)/COUNT(SI14,SI15))</f>
        <v>2.25</v>
      </c>
      <c r="SJ13" s="183" t="str">
        <f t="shared" si="117"/>
        <v>C</v>
      </c>
      <c r="SK13" s="184">
        <f>IF(COUNT(SK14:SK15)=0,"",SUM(SK14:SK15)/COUNT(SK14:SK15))</f>
        <v>2.25</v>
      </c>
      <c r="SL13" s="185" t="str">
        <f t="shared" si="118"/>
        <v>C</v>
      </c>
      <c r="SM13" s="121"/>
      <c r="SN13" s="65"/>
      <c r="SO13" s="85"/>
      <c r="SP13" s="86" t="str">
        <f>IF(COUNT(SP14:SP15)=0,"",SUM(SP14:SP15)/COUNT(SP14:SP15))</f>
        <v/>
      </c>
      <c r="SQ13" s="87" t="str">
        <f t="shared" si="119"/>
        <v/>
      </c>
      <c r="SR13" s="84"/>
      <c r="SS13" s="65"/>
      <c r="ST13" s="85"/>
      <c r="SU13" s="86" t="str">
        <f>IF(COUNT(SU14,SU15)=0,"",SUM(SU14:SU15)/COUNT(SU14,SU15))</f>
        <v/>
      </c>
      <c r="SV13" s="88" t="str">
        <f t="shared" si="120"/>
        <v/>
      </c>
      <c r="SW13" s="89"/>
      <c r="SX13" s="90"/>
      <c r="SY13" s="91"/>
      <c r="SZ13" s="86" t="str">
        <f>IF(COUNT(SZ14,SZ15)=0,"",SUM(SZ14:SZ15)/COUNT(SZ14,SZ15))</f>
        <v/>
      </c>
      <c r="TA13" s="92" t="str">
        <f t="shared" si="121"/>
        <v/>
      </c>
      <c r="TB13" s="93" t="str">
        <f>IF(COUNT(TB14:TB15)=0,"",SUM(TB14:TB15)/COUNT(TB14:TB15))</f>
        <v/>
      </c>
      <c r="TC13" s="94" t="str">
        <f t="shared" si="122"/>
        <v/>
      </c>
      <c r="TD13" s="121"/>
      <c r="TE13" s="65"/>
      <c r="TF13" s="85"/>
      <c r="TG13" s="86" t="str">
        <f>IF(COUNT(TG14:TG15)=0,"",SUM(TG14:TG15)/COUNT(TG14:TG15))</f>
        <v/>
      </c>
      <c r="TH13" s="87" t="str">
        <f t="shared" si="123"/>
        <v/>
      </c>
      <c r="TI13" s="84"/>
      <c r="TJ13" s="65"/>
      <c r="TK13" s="85"/>
      <c r="TL13" s="86" t="str">
        <f>IF(COUNT(TL14,TL15)=0,"",SUM(TL14:TL15)/COUNT(TL14,TL15))</f>
        <v/>
      </c>
      <c r="TM13" s="88" t="str">
        <f t="shared" si="124"/>
        <v/>
      </c>
      <c r="TN13" s="89"/>
      <c r="TO13" s="90"/>
      <c r="TP13" s="91"/>
      <c r="TQ13" s="86" t="str">
        <f>IF(COUNT(TQ14,TQ15)=0,"",SUM(TQ14:TQ15)/COUNT(TQ14,TQ15))</f>
        <v/>
      </c>
      <c r="TR13" s="92" t="str">
        <f t="shared" si="125"/>
        <v/>
      </c>
      <c r="TS13" s="93" t="str">
        <f>IF(COUNT(TS14:TS15)=0,"",SUM(TS14:TS15)/COUNT(TS14:TS15))</f>
        <v/>
      </c>
      <c r="TT13" s="94" t="str">
        <f t="shared" si="126"/>
        <v/>
      </c>
      <c r="TU13" s="121"/>
      <c r="TV13" s="65"/>
      <c r="TW13" s="85"/>
      <c r="TX13" s="86" t="str">
        <f>IF(COUNT(TX14:TX15)=0,"",SUM(TX14:TX15)/COUNT(TX14:TX15))</f>
        <v/>
      </c>
      <c r="TY13" s="87" t="str">
        <f t="shared" si="127"/>
        <v/>
      </c>
      <c r="TZ13" s="84"/>
      <c r="UA13" s="65"/>
      <c r="UB13" s="85"/>
      <c r="UC13" s="86" t="str">
        <f>IF(COUNT(UC14,UC15)=0,"",SUM(UC14:UC15)/COUNT(UC14,UC15))</f>
        <v/>
      </c>
      <c r="UD13" s="88" t="str">
        <f t="shared" si="128"/>
        <v/>
      </c>
      <c r="UE13" s="89"/>
      <c r="UF13" s="90"/>
      <c r="UG13" s="91"/>
      <c r="UH13" s="86" t="str">
        <f>IF(COUNT(UH14,UH15)=0,"",SUM(UH14:UH15)/COUNT(UH14,UH15))</f>
        <v/>
      </c>
      <c r="UI13" s="92" t="str">
        <f t="shared" si="129"/>
        <v/>
      </c>
      <c r="UJ13" s="93" t="str">
        <f>IF(COUNT(UJ14:UJ15)=0,"",SUM(UJ14:UJ15)/COUNT(UJ14:UJ15))</f>
        <v/>
      </c>
      <c r="UK13" s="94" t="str">
        <f t="shared" si="130"/>
        <v/>
      </c>
      <c r="UL13" s="121"/>
      <c r="UM13" s="65"/>
      <c r="UN13" s="85"/>
      <c r="UO13" s="86" t="str">
        <f>IF(COUNT(UO14:UO15)=0,"",SUM(UO14:UO15)/COUNT(UO14:UO15))</f>
        <v/>
      </c>
      <c r="UP13" s="87" t="str">
        <f t="shared" si="131"/>
        <v/>
      </c>
      <c r="UQ13" s="84"/>
      <c r="UR13" s="65"/>
      <c r="US13" s="85"/>
      <c r="UT13" s="86" t="str">
        <f>IF(COUNT(UT14,UT15)=0,"",SUM(UT14:UT15)/COUNT(UT14,UT15))</f>
        <v/>
      </c>
      <c r="UU13" s="88" t="str">
        <f t="shared" si="132"/>
        <v/>
      </c>
      <c r="UV13" s="89"/>
      <c r="UW13" s="90"/>
      <c r="UX13" s="91"/>
      <c r="UY13" s="86" t="str">
        <f>IF(COUNT(UY14,UY15)=0,"",SUM(UY14:UY15)/COUNT(UY14,UY15))</f>
        <v/>
      </c>
      <c r="UZ13" s="92" t="str">
        <f t="shared" si="133"/>
        <v/>
      </c>
      <c r="VA13" s="93" t="str">
        <f>IF(COUNT(VA14:VA15)=0,"",SUM(VA14:VA15)/COUNT(VA14:VA15))</f>
        <v/>
      </c>
      <c r="VB13" s="94" t="str">
        <f t="shared" si="134"/>
        <v/>
      </c>
      <c r="VC13" s="121"/>
      <c r="VD13" s="65"/>
      <c r="VE13" s="85"/>
      <c r="VF13" s="86" t="str">
        <f>IF(COUNT(VF14:VF15)=0,"",SUM(VF14:VF15)/COUNT(VF14:VF15))</f>
        <v/>
      </c>
      <c r="VG13" s="87" t="str">
        <f t="shared" si="135"/>
        <v/>
      </c>
      <c r="VH13" s="84"/>
      <c r="VI13" s="65"/>
      <c r="VJ13" s="85"/>
      <c r="VK13" s="86" t="str">
        <f>IF(COUNT(VK14,VK15)=0,"",SUM(VK14:VK15)/COUNT(VK14,VK15))</f>
        <v/>
      </c>
      <c r="VL13" s="88" t="str">
        <f t="shared" si="136"/>
        <v/>
      </c>
      <c r="VM13" s="89"/>
      <c r="VN13" s="90"/>
      <c r="VO13" s="91"/>
      <c r="VP13" s="86" t="str">
        <f>IF(COUNT(VP14,VP15)=0,"",SUM(VP14:VP15)/COUNT(VP14,VP15))</f>
        <v/>
      </c>
      <c r="VQ13" s="92" t="str">
        <f t="shared" si="137"/>
        <v/>
      </c>
      <c r="VR13" s="93" t="str">
        <f>IF(COUNT(VR14:VR15)=0,"",SUM(VR14:VR15)/COUNT(VR14:VR15))</f>
        <v/>
      </c>
      <c r="VS13" s="94" t="str">
        <f t="shared" si="138"/>
        <v/>
      </c>
      <c r="VT13" s="121"/>
      <c r="VU13" s="65"/>
      <c r="VV13" s="85"/>
      <c r="VW13" s="86" t="str">
        <f>IF(COUNT(VW14:VW15)=0,"",SUM(VW14:VW15)/COUNT(VW14:VW15))</f>
        <v/>
      </c>
      <c r="VX13" s="87" t="str">
        <f t="shared" si="139"/>
        <v/>
      </c>
      <c r="VY13" s="84"/>
      <c r="VZ13" s="65"/>
      <c r="WA13" s="85"/>
      <c r="WB13" s="86" t="str">
        <f>IF(COUNT(WB14,WB15)=0,"",SUM(WB14:WB15)/COUNT(WB14,WB15))</f>
        <v/>
      </c>
      <c r="WC13" s="88" t="str">
        <f t="shared" si="140"/>
        <v/>
      </c>
      <c r="WD13" s="89"/>
      <c r="WE13" s="90"/>
      <c r="WF13" s="91"/>
      <c r="WG13" s="86" t="str">
        <f>IF(COUNT(WG14,WG15)=0,"",SUM(WG14:WG15)/COUNT(WG14,WG15))</f>
        <v/>
      </c>
      <c r="WH13" s="92" t="str">
        <f t="shared" si="141"/>
        <v/>
      </c>
      <c r="WI13" s="93" t="str">
        <f>IF(COUNT(WI14:WI15)=0,"",SUM(WI14:WI15)/COUNT(WI14:WI15))</f>
        <v/>
      </c>
      <c r="WJ13" s="94" t="str">
        <f t="shared" si="142"/>
        <v/>
      </c>
    </row>
    <row r="14" spans="1:608" ht="18" customHeight="1" x14ac:dyDescent="0.55000000000000004">
      <c r="A14" s="217" t="s">
        <v>19</v>
      </c>
      <c r="B14" s="218"/>
      <c r="C14" s="103"/>
      <c r="D14" s="104"/>
      <c r="E14" s="105"/>
      <c r="F14" s="161" t="str">
        <f>IFERROR((((COUNTIF('Elève (3ème3)'!C14:E14,"A"))*4)+((COUNTIF('Elève (3ème3)'!C14:E14,"B"))*3)+((COUNTIF('Elève (3ème3)'!C14:E14,"C"))*2)+((COUNTIF('Elève (3ème3)'!C14:E14,"D"))*1))/(COUNTA(C14:E14)),"")</f>
        <v/>
      </c>
      <c r="G14" s="162" t="str">
        <f t="shared" si="23"/>
        <v/>
      </c>
      <c r="H14" s="103"/>
      <c r="I14" s="104"/>
      <c r="J14" s="105"/>
      <c r="K14" s="105"/>
      <c r="L14" s="161" t="str">
        <f>IFERROR((((COUNTIF('Elève (3ème3)'!H14:K14,"A"))*4)+((COUNTIF('Elève (3ème3)'!H14:K14,"B"))*3)+((COUNTIF('Elève (3ème3)'!H14:K14,"C"))*2)+((COUNTIF('Elève (3ème3)'!H14:K14,"D"))*1))/(COUNTA(H14:K14)),"")</f>
        <v/>
      </c>
      <c r="M14" s="162" t="str">
        <f t="shared" si="24"/>
        <v/>
      </c>
      <c r="N14" s="103"/>
      <c r="O14" s="104"/>
      <c r="P14" s="105"/>
      <c r="Q14" s="105"/>
      <c r="R14" s="105" t="s">
        <v>28</v>
      </c>
      <c r="S14" s="105"/>
      <c r="T14" s="161">
        <f>IFERROR((((COUNTIF('Elève (3ème3)'!N14:S14,"A"))*4)+((COUNTIF('Elève (3ème3)'!N14:S14,"B"))*3)+((COUNTIF('Elève (3ème3)'!N14:S14,"C"))*2)+((COUNTIF('Elève (3ème3)'!N14:S14,"D"))*1))/(COUNTA(N14:S14)),"")</f>
        <v>3</v>
      </c>
      <c r="U14" s="162" t="str">
        <f t="shared" si="25"/>
        <v>B</v>
      </c>
      <c r="V14" s="161">
        <f>IF(COUNT(F14,L14,T14)=0,"",SUM(F14,L14,T14)/COUNT(F14,L14,T14))</f>
        <v>3</v>
      </c>
      <c r="W14" s="186" t="str">
        <f t="shared" si="26"/>
        <v>B</v>
      </c>
      <c r="X14" s="103"/>
      <c r="Y14" s="104"/>
      <c r="Z14" s="105"/>
      <c r="AA14" s="161" t="str">
        <f>IFERROR((((COUNTIF('Elève (3ème3)'!X14:Z14,"A"))*4)+((COUNTIF('Elève (3ème3)'!X14:Z14,"B"))*3)+((COUNTIF('Elève (3ème3)'!X14:Z14,"C"))*2)+((COUNTIF('Elève (3ème3)'!X14:Z14,"D"))*1))/(COUNTA(X14:Z14)),"")</f>
        <v/>
      </c>
      <c r="AB14" s="162" t="str">
        <f t="shared" si="27"/>
        <v/>
      </c>
      <c r="AC14" s="103"/>
      <c r="AD14" s="104"/>
      <c r="AE14" s="105"/>
      <c r="AF14" s="105"/>
      <c r="AG14" s="161" t="str">
        <f>IFERROR((((COUNTIF('Elève (3ème3)'!AC14:AF14,"A"))*4)+((COUNTIF('Elève (3ème3)'!AC14:AF14,"B"))*3)+((COUNTIF('Elève (3ème3)'!AC14:AF14,"C"))*2)+((COUNTIF('Elève (3ème3)'!AC14:AF14,"D"))*1))/(COUNTA(AC14:AF14)),"")</f>
        <v/>
      </c>
      <c r="AH14" s="162" t="str">
        <f t="shared" si="28"/>
        <v/>
      </c>
      <c r="AI14" s="103"/>
      <c r="AJ14" s="104"/>
      <c r="AK14" s="105"/>
      <c r="AL14" s="105"/>
      <c r="AM14" s="105" t="s">
        <v>29</v>
      </c>
      <c r="AN14" s="109"/>
      <c r="AO14" s="161">
        <f>IFERROR((((COUNTIF('Elève (3ème3)'!AI14:AN14,"A"))*4)+((COUNTIF('Elève (3ème3)'!AI14:AN14,"B"))*3)+((COUNTIF('Elève (3ème3)'!AI14:AN14,"C"))*2)+((COUNTIF('Elève (3ème3)'!AI14:AN14,"D"))*1))/(COUNTA(AI14:AN14)),"")</f>
        <v>2</v>
      </c>
      <c r="AP14" s="162" t="str">
        <f t="shared" si="29"/>
        <v>C</v>
      </c>
      <c r="AQ14" s="161">
        <f>IF(COUNT(AA14,AG14,AO14)=0,"",SUM(AA14,AG14,AO14)/COUNT(AA14,AG14,AO14))</f>
        <v>2</v>
      </c>
      <c r="AR14" s="186" t="str">
        <f t="shared" si="30"/>
        <v>C</v>
      </c>
      <c r="AS14" s="103"/>
      <c r="AT14" s="104"/>
      <c r="AU14" s="105"/>
      <c r="AV14" s="161" t="str">
        <f>IFERROR((((COUNTIF('Elève (3ème3)'!AS14:AU14,"A"))*4)+((COUNTIF('Elève (3ème3)'!AS14:AU14,"B"))*3)+((COUNTIF('Elève (3ème3)'!AS14:AU14,"C"))*2)+((COUNTIF('Elève (3ème3)'!AS14:AU14,"D"))*1))/(COUNTA(AS14:AU14)),"")</f>
        <v/>
      </c>
      <c r="AW14" s="162" t="str">
        <f t="shared" si="31"/>
        <v/>
      </c>
      <c r="AX14" s="103"/>
      <c r="AY14" s="104"/>
      <c r="AZ14" s="105"/>
      <c r="BA14" s="105"/>
      <c r="BB14" s="161" t="str">
        <f>IFERROR((((COUNTIF('Elève (3ème3)'!AX14:BA14,"A"))*4)+((COUNTIF('Elève (3ème3)'!AX14:BA14,"B"))*3)+((COUNTIF('Elève (3ème3)'!AX14:BA14,"C"))*2)+((COUNTIF('Elève (3ème3)'!AX14:BA14,"D"))*1))/(COUNTA(AX14:BA14)),"")</f>
        <v/>
      </c>
      <c r="BC14" s="162" t="str">
        <f t="shared" si="32"/>
        <v/>
      </c>
      <c r="BD14" s="103"/>
      <c r="BE14" s="104"/>
      <c r="BF14" s="105"/>
      <c r="BG14" s="105"/>
      <c r="BH14" s="105" t="s">
        <v>28</v>
      </c>
      <c r="BI14" s="109"/>
      <c r="BJ14" s="161">
        <f>IFERROR((((COUNTIF('Elève (3ème3)'!BD14:BI14,"A"))*4)+((COUNTIF('Elève (3ème3)'!BD14:BI14,"B"))*3)+((COUNTIF('Elève (3ème3)'!BD14:BI14,"C"))*2)+((COUNTIF('Elève (3ème3)'!BD14:BI14,"D"))*1))/(COUNTA(BD14:BI14)),"")</f>
        <v>3</v>
      </c>
      <c r="BK14" s="162" t="str">
        <f t="shared" si="33"/>
        <v>B</v>
      </c>
      <c r="BL14" s="161">
        <f>IF(COUNT(AV14,BB14,BJ14)=0,"",SUM(AV14,BB14,BJ14)/COUNT(AV14,BB14,BJ14))</f>
        <v>3</v>
      </c>
      <c r="BM14" s="186" t="str">
        <f t="shared" si="34"/>
        <v>B</v>
      </c>
      <c r="BN14" s="103"/>
      <c r="BO14" s="104"/>
      <c r="BP14" s="105"/>
      <c r="BQ14" s="161" t="str">
        <f>IFERROR((((COUNTIF('Elève (3ème3)'!BN14:BP14,"A"))*4)+((COUNTIF('Elève (3ème3)'!BN14:BP14,"B"))*3)+((COUNTIF('Elève (3ème3)'!BN14:BP14,"C"))*2)+((COUNTIF('Elève (3ème3)'!BN14:BP14,"D"))*1))/(COUNTA(BN14:BP14)),"")</f>
        <v/>
      </c>
      <c r="BR14" s="162" t="str">
        <f t="shared" si="35"/>
        <v/>
      </c>
      <c r="BS14" s="103"/>
      <c r="BT14" s="104"/>
      <c r="BU14" s="105"/>
      <c r="BV14" s="105"/>
      <c r="BW14" s="161" t="str">
        <f>IFERROR((((COUNTIF('Elève (3ème3)'!BS14:BV14,"A"))*4)+((COUNTIF('Elève (3ème3)'!BS14:BV14,"B"))*3)+((COUNTIF('Elève (3ème3)'!BS14:BV14,"C"))*2)+((COUNTIF('Elève (3ème3)'!BS14:BV14,"D"))*1))/(COUNTA(BS14:BV14)),"")</f>
        <v/>
      </c>
      <c r="BX14" s="162" t="str">
        <f t="shared" si="36"/>
        <v/>
      </c>
      <c r="BY14" s="103"/>
      <c r="BZ14" s="104"/>
      <c r="CA14" s="105"/>
      <c r="CB14" s="105"/>
      <c r="CC14" s="105" t="s">
        <v>28</v>
      </c>
      <c r="CD14" s="109"/>
      <c r="CE14" s="161">
        <f>IFERROR((((COUNTIF('Elève (3ème3)'!BY14:CD14,"A"))*4)+((COUNTIF('Elève (3ème3)'!BY14:CD14,"B"))*3)+((COUNTIF('Elève (3ème3)'!BY14:CD14,"C"))*2)+((COUNTIF('Elève (3ème3)'!BY14:CD14,"D"))*1))/(COUNTA(BY14:CD14)),"")</f>
        <v>3</v>
      </c>
      <c r="CF14" s="162" t="str">
        <f t="shared" si="37"/>
        <v>B</v>
      </c>
      <c r="CG14" s="161">
        <f>IF(COUNT(BQ14,BW14,CE14)=0,"",SUM(BQ14,BW14,CE14)/COUNT(BQ14,BW14,CE14))</f>
        <v>3</v>
      </c>
      <c r="CH14" s="186" t="str">
        <f t="shared" si="38"/>
        <v>B</v>
      </c>
      <c r="CI14" s="103"/>
      <c r="CJ14" s="104"/>
      <c r="CK14" s="105"/>
      <c r="CL14" s="161" t="str">
        <f>IFERROR((((COUNTIF('Elève (3ème3)'!CI14:CK14,"A"))*4)+((COUNTIF('Elève (3ème3)'!CI14:CK14,"B"))*3)+((COUNTIF('Elève (3ème3)'!CI14:CK14,"C"))*2)+((COUNTIF('Elève (3ème3)'!CI14:CK14,"D"))*1))/(COUNTA(CI14:CK14)),"")</f>
        <v/>
      </c>
      <c r="CM14" s="162" t="str">
        <f t="shared" si="39"/>
        <v/>
      </c>
      <c r="CN14" s="103"/>
      <c r="CO14" s="104"/>
      <c r="CP14" s="105"/>
      <c r="CQ14" s="105"/>
      <c r="CR14" s="161" t="str">
        <f>IFERROR((((COUNTIF('Elève (3ème3)'!CN14:CQ14,"A"))*4)+((COUNTIF('Elève (3ème3)'!CN14:CQ14,"B"))*3)+((COUNTIF('Elève (3ème3)'!CN14:CQ14,"C"))*2)+((COUNTIF('Elève (3ème3)'!CN14:CQ14,"D"))*1))/(COUNTA(CN14:CQ14)),"")</f>
        <v/>
      </c>
      <c r="CS14" s="162" t="str">
        <f t="shared" si="40"/>
        <v/>
      </c>
      <c r="CT14" s="103"/>
      <c r="CU14" s="104"/>
      <c r="CV14" s="105"/>
      <c r="CW14" s="105"/>
      <c r="CX14" s="105" t="s">
        <v>28</v>
      </c>
      <c r="CY14" s="109"/>
      <c r="CZ14" s="161">
        <f>IFERROR((((COUNTIF('Elève (3ème3)'!CT14:CY14,"A"))*4)+((COUNTIF('Elève (3ème3)'!CT14:CY14,"B"))*3)+((COUNTIF('Elève (3ème3)'!CT14:CY14,"C"))*2)+((COUNTIF('Elève (3ème3)'!CT14:CY14,"D"))*1))/(COUNTA(CT14:CY14)),"")</f>
        <v>3</v>
      </c>
      <c r="DA14" s="162" t="str">
        <f t="shared" si="41"/>
        <v>B</v>
      </c>
      <c r="DB14" s="161">
        <f>IF(COUNT(CL14,CR14,CZ14)=0,"",SUM(CL14,CR14,CZ14)/COUNT(CL14,CR14,CZ14))</f>
        <v>3</v>
      </c>
      <c r="DC14" s="186" t="str">
        <f t="shared" si="42"/>
        <v>B</v>
      </c>
      <c r="DD14" s="103"/>
      <c r="DE14" s="104"/>
      <c r="DF14" s="105"/>
      <c r="DG14" s="161" t="str">
        <f>IFERROR((((COUNTIF('Elève (3ème3)'!DD14:DF14,"A"))*4)+((COUNTIF('Elève (3ème3)'!DD14:DF14,"B"))*3)+((COUNTIF('Elève (3ème3)'!DD14:DF14,"C"))*2)+((COUNTIF('Elève (3ème3)'!DD14:DF14,"D"))*1))/(COUNTA(DD14:DF14)),"")</f>
        <v/>
      </c>
      <c r="DH14" s="162" t="str">
        <f t="shared" si="43"/>
        <v/>
      </c>
      <c r="DI14" s="103"/>
      <c r="DJ14" s="104"/>
      <c r="DK14" s="105"/>
      <c r="DL14" s="105"/>
      <c r="DM14" s="161" t="str">
        <f>IFERROR((((COUNTIF('Elève (3ème3)'!DI14:DL14,"A"))*4)+((COUNTIF('Elève (3ème3)'!DI14:DL14,"B"))*3)+((COUNTIF('Elève (3ème3)'!DI14:DL14,"C"))*2)+((COUNTIF('Elève (3ème3)'!DI14:DL14,"D"))*1))/(COUNTA(DI14:DL14)),"")</f>
        <v/>
      </c>
      <c r="DN14" s="162" t="str">
        <f t="shared" si="44"/>
        <v/>
      </c>
      <c r="DO14" s="103"/>
      <c r="DP14" s="104"/>
      <c r="DQ14" s="105"/>
      <c r="DR14" s="105"/>
      <c r="DS14" s="105" t="s">
        <v>29</v>
      </c>
      <c r="DT14" s="109"/>
      <c r="DU14" s="161">
        <f>IFERROR((((COUNTIF('Elève (3ème3)'!DO14:DT14,"A"))*4)+((COUNTIF('Elève (3ème3)'!DO14:DT14,"B"))*3)+((COUNTIF('Elève (3ème3)'!DO14:DT14,"C"))*2)+((COUNTIF('Elève (3ème3)'!DO14:DT14,"D"))*1))/(COUNTA(DO14:DT14)),"")</f>
        <v>2</v>
      </c>
      <c r="DV14" s="162" t="str">
        <f t="shared" si="45"/>
        <v>C</v>
      </c>
      <c r="DW14" s="161">
        <f>IF(COUNT(DG14,DM14,DU14)=0,"",SUM(DG14,DM14,DU14)/COUNT(DG14,DM14,DU14))</f>
        <v>2</v>
      </c>
      <c r="DX14" s="186" t="str">
        <f t="shared" si="46"/>
        <v>C</v>
      </c>
      <c r="DY14" s="103"/>
      <c r="DZ14" s="104"/>
      <c r="EA14" s="105"/>
      <c r="EB14" s="161" t="str">
        <f>IFERROR((((COUNTIF('Elève (3ème3)'!DY14:EA14,"A"))*4)+((COUNTIF('Elève (3ème3)'!DY14:EA14,"B"))*3)+((COUNTIF('Elève (3ème3)'!DY14:EA14,"C"))*2)+((COUNTIF('Elève (3ème3)'!DY14:EA14,"D"))*1))/(COUNTA(DY14:EA14)),"")</f>
        <v/>
      </c>
      <c r="EC14" s="162" t="str">
        <f t="shared" si="47"/>
        <v/>
      </c>
      <c r="ED14" s="103"/>
      <c r="EE14" s="104"/>
      <c r="EF14" s="105"/>
      <c r="EG14" s="105"/>
      <c r="EH14" s="161" t="str">
        <f>IFERROR((((COUNTIF('Elève (3ème3)'!ED14:EG14,"A"))*4)+((COUNTIF('Elève (3ème3)'!ED14:EG14,"B"))*3)+((COUNTIF('Elève (3ème3)'!ED14:EG14,"C"))*2)+((COUNTIF('Elève (3ème3)'!ED14:EG14,"D"))*1))/(COUNTA(ED14:EG14)),"")</f>
        <v/>
      </c>
      <c r="EI14" s="162" t="str">
        <f t="shared" si="48"/>
        <v/>
      </c>
      <c r="EJ14" s="103"/>
      <c r="EK14" s="104"/>
      <c r="EL14" s="105"/>
      <c r="EM14" s="105"/>
      <c r="EN14" s="105" t="s">
        <v>29</v>
      </c>
      <c r="EO14" s="109"/>
      <c r="EP14" s="161">
        <f>IFERROR((((COUNTIF('Elève (3ème3)'!EJ14:EO14,"A"))*4)+((COUNTIF('Elève (3ème3)'!EJ14:EO14,"B"))*3)+((COUNTIF('Elève (3ème3)'!EJ14:EO14,"C"))*2)+((COUNTIF('Elève (3ème3)'!EJ14:EO14,"D"))*1))/(COUNTA(EJ14:EO14)),"")</f>
        <v>2</v>
      </c>
      <c r="EQ14" s="162" t="str">
        <f t="shared" si="49"/>
        <v>C</v>
      </c>
      <c r="ER14" s="161">
        <f>IF(COUNT(EB14,EH14,EP14)=0,"",SUM(EB14,EH14,EP14)/COUNT(EB14,EH14,EP14))</f>
        <v>2</v>
      </c>
      <c r="ES14" s="186" t="str">
        <f t="shared" si="50"/>
        <v>C</v>
      </c>
      <c r="ET14" s="103"/>
      <c r="EU14" s="104"/>
      <c r="EV14" s="105"/>
      <c r="EW14" s="161" t="str">
        <f>IFERROR((((COUNTIF('Elève (3ème3)'!ET14:EV14,"A"))*4)+((COUNTIF('Elève (3ème3)'!ET14:EV14,"B"))*3)+((COUNTIF('Elève (3ème3)'!ET14:EV14,"C"))*2)+((COUNTIF('Elève (3ème3)'!ET14:EV14,"D"))*1))/(COUNTA(ET14:EV14)),"")</f>
        <v/>
      </c>
      <c r="EX14" s="162" t="str">
        <f t="shared" si="51"/>
        <v/>
      </c>
      <c r="EY14" s="103"/>
      <c r="EZ14" s="104"/>
      <c r="FA14" s="105"/>
      <c r="FB14" s="105"/>
      <c r="FC14" s="161" t="str">
        <f>IFERROR((((COUNTIF('Elève (3ème3)'!EY14:FB14,"A"))*4)+((COUNTIF('Elève (3ème3)'!EY14:FB14,"B"))*3)+((COUNTIF('Elève (3ème3)'!EY14:FB14,"C"))*2)+((COUNTIF('Elève (3ème3)'!EY14:FB14,"D"))*1))/(COUNTA(EY14:FB14)),"")</f>
        <v/>
      </c>
      <c r="FD14" s="162" t="str">
        <f t="shared" si="52"/>
        <v/>
      </c>
      <c r="FE14" s="103"/>
      <c r="FF14" s="104"/>
      <c r="FG14" s="105"/>
      <c r="FH14" s="105"/>
      <c r="FI14" s="105" t="s">
        <v>28</v>
      </c>
      <c r="FJ14" s="109"/>
      <c r="FK14" s="161">
        <f>IFERROR((((COUNTIF('Elève (3ème3)'!FE14:FJ14,"A"))*4)+((COUNTIF('Elève (3ème3)'!FE14:FJ14,"B"))*3)+((COUNTIF('Elève (3ème3)'!FE14:FJ14,"C"))*2)+((COUNTIF('Elève (3ème3)'!FE14:FJ14,"D"))*1))/(COUNTA(FE14:FJ14)),"")</f>
        <v>3</v>
      </c>
      <c r="FL14" s="162" t="str">
        <f t="shared" si="53"/>
        <v>B</v>
      </c>
      <c r="FM14" s="161">
        <f>IF(COUNT(EW14,FC14,FK14)=0,"",SUM(EW14,FC14,FK14)/COUNT(EW14,FC14,FK14))</f>
        <v>3</v>
      </c>
      <c r="FN14" s="186" t="str">
        <f t="shared" si="54"/>
        <v>B</v>
      </c>
      <c r="FO14" s="103"/>
      <c r="FP14" s="104"/>
      <c r="FQ14" s="105"/>
      <c r="FR14" s="161" t="str">
        <f>IFERROR((((COUNTIF('Elève (3ème3)'!FO14:FQ14,"A"))*4)+((COUNTIF('Elève (3ème3)'!FO14:FQ14,"B"))*3)+((COUNTIF('Elève (3ème3)'!FO14:FQ14,"C"))*2)+((COUNTIF('Elève (3ème3)'!FO14:FQ14,"D"))*1))/(COUNTA(FO14:FQ14)),"")</f>
        <v/>
      </c>
      <c r="FS14" s="162" t="str">
        <f t="shared" si="55"/>
        <v/>
      </c>
      <c r="FT14" s="103"/>
      <c r="FU14" s="104"/>
      <c r="FV14" s="105"/>
      <c r="FW14" s="105"/>
      <c r="FX14" s="161" t="str">
        <f>IFERROR((((COUNTIF('Elève (3ème3)'!FT14:FW14,"A"))*4)+((COUNTIF('Elève (3ème3)'!FT14:FW14,"B"))*3)+((COUNTIF('Elève (3ème3)'!FT14:FW14,"C"))*2)+((COUNTIF('Elève (3ème3)'!FT14:FW14,"D"))*1))/(COUNTA(FT14:FW14)),"")</f>
        <v/>
      </c>
      <c r="FY14" s="162" t="str">
        <f t="shared" si="56"/>
        <v/>
      </c>
      <c r="FZ14" s="103"/>
      <c r="GA14" s="104"/>
      <c r="GB14" s="105"/>
      <c r="GC14" s="105"/>
      <c r="GD14" s="105" t="s">
        <v>29</v>
      </c>
      <c r="GE14" s="109"/>
      <c r="GF14" s="161">
        <f>IFERROR((((COUNTIF('Elève (3ème3)'!FZ14:GE14,"A"))*4)+((COUNTIF('Elève (3ème3)'!FZ14:GE14,"B"))*3)+((COUNTIF('Elève (3ème3)'!FZ14:GE14,"C"))*2)+((COUNTIF('Elève (3ème3)'!FZ14:GE14,"D"))*1))/(COUNTA(FZ14:GE14)),"")</f>
        <v>2</v>
      </c>
      <c r="GG14" s="162" t="str">
        <f t="shared" si="57"/>
        <v>C</v>
      </c>
      <c r="GH14" s="161">
        <f>IF(COUNT(FR14,FX14,GF14)=0,"",SUM(FR14,FX14,GF14)/COUNT(FR14,FX14,GF14))</f>
        <v>2</v>
      </c>
      <c r="GI14" s="186" t="str">
        <f t="shared" si="58"/>
        <v>C</v>
      </c>
      <c r="GJ14" s="103"/>
      <c r="GK14" s="104"/>
      <c r="GL14" s="105"/>
      <c r="GM14" s="161" t="str">
        <f>IFERROR((((COUNTIF('Elève (3ème3)'!GJ14:GL14,"A"))*4)+((COUNTIF('Elève (3ème3)'!GJ14:GL14,"B"))*3)+((COUNTIF('Elève (3ème3)'!GJ14:GL14,"C"))*2)+((COUNTIF('Elève (3ème3)'!GJ14:GL14,"D"))*1))/(COUNTA(GJ14:GL14)),"")</f>
        <v/>
      </c>
      <c r="GN14" s="162" t="str">
        <f t="shared" si="59"/>
        <v/>
      </c>
      <c r="GO14" s="103"/>
      <c r="GP14" s="104"/>
      <c r="GQ14" s="105"/>
      <c r="GR14" s="105"/>
      <c r="GS14" s="161" t="str">
        <f>IFERROR((((COUNTIF('Elève (3ème3)'!GO14:GR14,"A"))*4)+((COUNTIF('Elève (3ème3)'!GO14:GR14,"B"))*3)+((COUNTIF('Elève (3ème3)'!GO14:GR14,"C"))*2)+((COUNTIF('Elève (3ème3)'!GO14:GR14,"D"))*1))/(COUNTA(GO14:GR14)),"")</f>
        <v/>
      </c>
      <c r="GT14" s="162" t="str">
        <f t="shared" si="60"/>
        <v/>
      </c>
      <c r="GU14" s="103"/>
      <c r="GV14" s="104"/>
      <c r="GW14" s="105"/>
      <c r="GX14" s="105"/>
      <c r="GY14" s="105" t="s">
        <v>28</v>
      </c>
      <c r="GZ14" s="109"/>
      <c r="HA14" s="161">
        <f>IFERROR((((COUNTIF('Elève (3ème3)'!GU14:GZ14,"A"))*4)+((COUNTIF('Elève (3ème3)'!GU14:GZ14,"B"))*3)+((COUNTIF('Elève (3ème3)'!GU14:GZ14,"C"))*2)+((COUNTIF('Elève (3ème3)'!GU14:GZ14,"D"))*1))/(COUNTA(GU14:GZ14)),"")</f>
        <v>3</v>
      </c>
      <c r="HB14" s="162" t="str">
        <f t="shared" si="61"/>
        <v>B</v>
      </c>
      <c r="HC14" s="161">
        <f>IF(COUNT(GM14,GS14,HA14)=0,"",SUM(GM14,GS14,HA14)/COUNT(GM14,GS14,HA14))</f>
        <v>3</v>
      </c>
      <c r="HD14" s="186" t="str">
        <f t="shared" si="62"/>
        <v>B</v>
      </c>
      <c r="HE14" s="103"/>
      <c r="HF14" s="104"/>
      <c r="HG14" s="105"/>
      <c r="HH14" s="161" t="str">
        <f>IFERROR((((COUNTIF('Elève (3ème3)'!HE14:HG14,"A"))*4)+((COUNTIF('Elève (3ème3)'!HE14:HG14,"B"))*3)+((COUNTIF('Elève (3ème3)'!HE14:HG14,"C"))*2)+((COUNTIF('Elève (3ème3)'!HE14:HG14,"D"))*1))/(COUNTA(HE14:HG14)),"")</f>
        <v/>
      </c>
      <c r="HI14" s="162" t="str">
        <f t="shared" si="63"/>
        <v/>
      </c>
      <c r="HJ14" s="103"/>
      <c r="HK14" s="104"/>
      <c r="HL14" s="105"/>
      <c r="HM14" s="105"/>
      <c r="HN14" s="161" t="str">
        <f>IFERROR((((COUNTIF('Elève (3ème3)'!HJ14:HM14,"A"))*4)+((COUNTIF('Elève (3ème3)'!HJ14:HM14,"B"))*3)+((COUNTIF('Elève (3ème3)'!HJ14:HM14,"C"))*2)+((COUNTIF('Elève (3ème3)'!HJ14:HM14,"D"))*1))/(COUNTA(HJ14:HM14)),"")</f>
        <v/>
      </c>
      <c r="HO14" s="162" t="str">
        <f t="shared" si="64"/>
        <v/>
      </c>
      <c r="HP14" s="103"/>
      <c r="HQ14" s="104"/>
      <c r="HR14" s="105"/>
      <c r="HS14" s="105"/>
      <c r="HT14" s="105"/>
      <c r="HU14" s="109"/>
      <c r="HV14" s="161" t="str">
        <f>IFERROR((((COUNTIF('Elève (3ème3)'!HP14:HU14,"A"))*4)+((COUNTIF('Elève (3ème3)'!HP14:HU14,"B"))*3)+((COUNTIF('Elève (3ème3)'!HP14:HU14,"C"))*2)+((COUNTIF('Elève (3ème3)'!HP14:HU14,"D"))*1))/(COUNTA(HP14:HU14)),"")</f>
        <v/>
      </c>
      <c r="HW14" s="162" t="str">
        <f t="shared" si="65"/>
        <v/>
      </c>
      <c r="HX14" s="161" t="str">
        <f>IF(COUNT(HH14,HN14,HV14)=0,"",SUM(HH14,HN14,HV14)/COUNT(HH14,HN14,HV14))</f>
        <v/>
      </c>
      <c r="HY14" s="186" t="str">
        <f t="shared" si="66"/>
        <v/>
      </c>
      <c r="HZ14" s="103"/>
      <c r="IA14" s="104"/>
      <c r="IB14" s="105"/>
      <c r="IC14" s="161" t="str">
        <f>IFERROR((((COUNTIF('Elève (3ème3)'!HZ14:IB14,"A"))*4)+((COUNTIF('Elève (3ème3)'!HZ14:IB14,"B"))*3)+((COUNTIF('Elève (3ème3)'!HZ14:IB14,"C"))*2)+((COUNTIF('Elève (3ème3)'!HZ14:IB14,"D"))*1))/(COUNTA(HZ14:IB14)),"")</f>
        <v/>
      </c>
      <c r="ID14" s="162" t="str">
        <f t="shared" si="67"/>
        <v/>
      </c>
      <c r="IE14" s="103"/>
      <c r="IF14" s="104"/>
      <c r="IG14" s="105"/>
      <c r="IH14" s="105"/>
      <c r="II14" s="161" t="str">
        <f>IFERROR((((COUNTIF('Elève (3ème3)'!IE14:IH14,"A"))*4)+((COUNTIF('Elève (3ème3)'!IE14:IH14,"B"))*3)+((COUNTIF('Elève (3ème3)'!IE14:IH14,"C"))*2)+((COUNTIF('Elève (3ème3)'!IE14:IH14,"D"))*1))/(COUNTA(IE14:IH14)),"")</f>
        <v/>
      </c>
      <c r="IJ14" s="162" t="str">
        <f t="shared" si="68"/>
        <v/>
      </c>
      <c r="IK14" s="103"/>
      <c r="IL14" s="104"/>
      <c r="IM14" s="105"/>
      <c r="IN14" s="105"/>
      <c r="IO14" s="105" t="s">
        <v>29</v>
      </c>
      <c r="IP14" s="109"/>
      <c r="IQ14" s="161">
        <f>IFERROR((((COUNTIF('Elève (3ème3)'!IK14:IP14,"A"))*4)+((COUNTIF('Elève (3ème3)'!IK14:IP14,"B"))*3)+((COUNTIF('Elève (3ème3)'!IK14:IP14,"C"))*2)+((COUNTIF('Elève (3ème3)'!IK14:IP14,"D"))*1))/(COUNTA(IK14:IP14)),"")</f>
        <v>2</v>
      </c>
      <c r="IR14" s="162" t="str">
        <f t="shared" si="69"/>
        <v>C</v>
      </c>
      <c r="IS14" s="161">
        <f>IF(COUNT(IC14,II14,IQ14)=0,"",SUM(IC14,II14,IQ14)/COUNT(IC14,II14,IQ14))</f>
        <v>2</v>
      </c>
      <c r="IT14" s="186" t="str">
        <f t="shared" si="70"/>
        <v>C</v>
      </c>
      <c r="IU14" s="103"/>
      <c r="IV14" s="104"/>
      <c r="IW14" s="105"/>
      <c r="IX14" s="161" t="str">
        <f>IFERROR((((COUNTIF('Elève (3ème3)'!IU14:IW14,"A"))*4)+((COUNTIF('Elève (3ème3)'!IU14:IW14,"B"))*3)+((COUNTIF('Elève (3ème3)'!IU14:IW14,"C"))*2)+((COUNTIF('Elève (3ème3)'!IU14:IW14,"D"))*1))/(COUNTA(IU14:IW14)),"")</f>
        <v/>
      </c>
      <c r="IY14" s="162" t="str">
        <f t="shared" si="71"/>
        <v/>
      </c>
      <c r="IZ14" s="103"/>
      <c r="JA14" s="104"/>
      <c r="JB14" s="105"/>
      <c r="JC14" s="105"/>
      <c r="JD14" s="161" t="str">
        <f>IFERROR((((COUNTIF('Elève (3ème3)'!IZ14:JC14,"A"))*4)+((COUNTIF('Elève (3ème3)'!IZ14:JC14,"B"))*3)+((COUNTIF('Elève (3ème3)'!IZ14:JC14,"C"))*2)+((COUNTIF('Elève (3ème3)'!IZ14:JC14,"D"))*1))/(COUNTA(IZ14:JC14)),"")</f>
        <v/>
      </c>
      <c r="JE14" s="162" t="str">
        <f t="shared" si="72"/>
        <v/>
      </c>
      <c r="JF14" s="103"/>
      <c r="JG14" s="104"/>
      <c r="JH14" s="105"/>
      <c r="JI14" s="105"/>
      <c r="JJ14" s="105" t="s">
        <v>29</v>
      </c>
      <c r="JK14" s="109"/>
      <c r="JL14" s="161">
        <f>IFERROR((((COUNTIF('Elève (3ème3)'!JF14:JK14,"A"))*4)+((COUNTIF('Elève (3ème3)'!JF14:JK14,"B"))*3)+((COUNTIF('Elève (3ème3)'!JF14:JK14,"C"))*2)+((COUNTIF('Elève (3ème3)'!JF14:JK14,"D"))*1))/(COUNTA(JF14:JK14)),"")</f>
        <v>2</v>
      </c>
      <c r="JM14" s="162" t="str">
        <f t="shared" si="73"/>
        <v>C</v>
      </c>
      <c r="JN14" s="161">
        <f>IF(COUNT(IX14,JD14,JL14)=0,"",SUM(IX14,JD14,JL14)/COUNT(IX14,JD14,JL14))</f>
        <v>2</v>
      </c>
      <c r="JO14" s="186" t="str">
        <f t="shared" si="74"/>
        <v>C</v>
      </c>
      <c r="JP14" s="103"/>
      <c r="JQ14" s="104"/>
      <c r="JR14" s="105"/>
      <c r="JS14" s="161" t="str">
        <f>IFERROR((((COUNTIF('Elève (3ème3)'!JP14:JR14,"A"))*4)+((COUNTIF('Elève (3ème3)'!JP14:JR14,"B"))*3)+((COUNTIF('Elève (3ème3)'!JP14:JR14,"C"))*2)+((COUNTIF('Elève (3ème3)'!JP14:JR14,"D"))*1))/(COUNTA(JP14:JR14)),"")</f>
        <v/>
      </c>
      <c r="JT14" s="162" t="str">
        <f t="shared" si="75"/>
        <v/>
      </c>
      <c r="JU14" s="103"/>
      <c r="JV14" s="104"/>
      <c r="JW14" s="105"/>
      <c r="JX14" s="105"/>
      <c r="JY14" s="161" t="str">
        <f>IFERROR((((COUNTIF('Elève (3ème3)'!JU14:JX14,"A"))*4)+((COUNTIF('Elève (3ème3)'!JU14:JX14,"B"))*3)+((COUNTIF('Elève (3ème3)'!JU14:JX14,"C"))*2)+((COUNTIF('Elève (3ème3)'!JU14:JX14,"D"))*1))/(COUNTA(JU14:JX14)),"")</f>
        <v/>
      </c>
      <c r="JZ14" s="162" t="str">
        <f t="shared" si="76"/>
        <v/>
      </c>
      <c r="KA14" s="103"/>
      <c r="KB14" s="104"/>
      <c r="KC14" s="105"/>
      <c r="KD14" s="105"/>
      <c r="KE14" s="105" t="s">
        <v>29</v>
      </c>
      <c r="KF14" s="109"/>
      <c r="KG14" s="161">
        <f>IFERROR((((COUNTIF('Elève (3ème3)'!KA14:KF14,"A"))*4)+((COUNTIF('Elève (3ème3)'!KA14:KF14,"B"))*3)+((COUNTIF('Elève (3ème3)'!KA14:KF14,"C"))*2)+((COUNTIF('Elève (3ème3)'!KA14:KF14,"D"))*1))/(COUNTA(KA14:KF14)),"")</f>
        <v>2</v>
      </c>
      <c r="KH14" s="162" t="str">
        <f t="shared" si="77"/>
        <v>C</v>
      </c>
      <c r="KI14" s="161">
        <f>IF(COUNT(JS14,JY14,KG14)=0,"",SUM(JS14,JY14,KG14)/COUNT(JS14,JY14,KG14))</f>
        <v>2</v>
      </c>
      <c r="KJ14" s="186" t="str">
        <f t="shared" si="78"/>
        <v>C</v>
      </c>
      <c r="KK14" s="103"/>
      <c r="KL14" s="104"/>
      <c r="KM14" s="105"/>
      <c r="KN14" s="161" t="str">
        <f>IFERROR((((COUNTIF('Elève (3ème3)'!KK14:KM14,"A"))*4)+((COUNTIF('Elève (3ème3)'!KK14:KM14,"B"))*3)+((COUNTIF('Elève (3ème3)'!KK14:KM14,"C"))*2)+((COUNTIF('Elève (3ème3)'!KK14:KM14,"D"))*1))/(COUNTA(KK14:KM14)),"")</f>
        <v/>
      </c>
      <c r="KO14" s="162" t="str">
        <f t="shared" si="79"/>
        <v/>
      </c>
      <c r="KP14" s="103"/>
      <c r="KQ14" s="104"/>
      <c r="KR14" s="105"/>
      <c r="KS14" s="105"/>
      <c r="KT14" s="161" t="str">
        <f>IFERROR((((COUNTIF('Elève (3ème3)'!KP14:KS14,"A"))*4)+((COUNTIF('Elève (3ème3)'!KP14:KS14,"B"))*3)+((COUNTIF('Elève (3ème3)'!KP14:KS14,"C"))*2)+((COUNTIF('Elève (3ème3)'!KP14:KS14,"D"))*1))/(COUNTA(KP14:KS14)),"")</f>
        <v/>
      </c>
      <c r="KU14" s="162" t="str">
        <f t="shared" si="80"/>
        <v/>
      </c>
      <c r="KV14" s="103"/>
      <c r="KW14" s="104"/>
      <c r="KX14" s="105"/>
      <c r="KY14" s="105"/>
      <c r="KZ14" s="105" t="s">
        <v>29</v>
      </c>
      <c r="LA14" s="109"/>
      <c r="LB14" s="161">
        <f>IFERROR((((COUNTIF('Elève (3ème3)'!KV14:LA14,"A"))*4)+((COUNTIF('Elève (3ème3)'!KV14:LA14,"B"))*3)+((COUNTIF('Elève (3ème3)'!KV14:LA14,"C"))*2)+((COUNTIF('Elève (3ème3)'!KV14:LA14,"D"))*1))/(COUNTA(KV14:LA14)),"")</f>
        <v>2</v>
      </c>
      <c r="LC14" s="162" t="str">
        <f t="shared" si="81"/>
        <v>C</v>
      </c>
      <c r="LD14" s="161">
        <f>IF(COUNT(KN14,KT14,LB14)=0,"",SUM(KN14,KT14,LB14)/COUNT(KN14,KT14,LB14))</f>
        <v>2</v>
      </c>
      <c r="LE14" s="186" t="str">
        <f t="shared" si="82"/>
        <v>C</v>
      </c>
      <c r="LF14" s="103"/>
      <c r="LG14" s="104"/>
      <c r="LH14" s="105"/>
      <c r="LI14" s="161" t="str">
        <f>IFERROR((((COUNTIF('Elève (3ème3)'!LF14:LH14,"A"))*4)+((COUNTIF('Elève (3ème3)'!LF14:LH14,"B"))*3)+((COUNTIF('Elève (3ème3)'!LF14:LH14,"C"))*2)+((COUNTIF('Elève (3ème3)'!LF14:LH14,"D"))*1))/(COUNTA(LF14:LH14)),"")</f>
        <v/>
      </c>
      <c r="LJ14" s="162" t="str">
        <f t="shared" si="83"/>
        <v/>
      </c>
      <c r="LK14" s="103"/>
      <c r="LL14" s="104"/>
      <c r="LM14" s="105"/>
      <c r="LN14" s="105"/>
      <c r="LO14" s="161" t="str">
        <f>IFERROR((((COUNTIF('Elève (3ème3)'!LK14:LN14,"A"))*4)+((COUNTIF('Elève (3ème3)'!LK14:LN14,"B"))*3)+((COUNTIF('Elève (3ème3)'!LK14:LN14,"C"))*2)+((COUNTIF('Elève (3ème3)'!LK14:LN14,"D"))*1))/(COUNTA(LK14:LN14)),"")</f>
        <v/>
      </c>
      <c r="LP14" s="162" t="str">
        <f t="shared" si="84"/>
        <v/>
      </c>
      <c r="LQ14" s="103"/>
      <c r="LR14" s="104"/>
      <c r="LS14" s="105"/>
      <c r="LT14" s="105"/>
      <c r="LU14" s="105" t="s">
        <v>28</v>
      </c>
      <c r="LV14" s="109"/>
      <c r="LW14" s="161">
        <f>IFERROR((((COUNTIF('Elève (3ème3)'!LQ14:LV14,"A"))*4)+((COUNTIF('Elève (3ème3)'!LQ14:LV14,"B"))*3)+((COUNTIF('Elève (3ème3)'!LQ14:LV14,"C"))*2)+((COUNTIF('Elève (3ème3)'!LQ14:LV14,"D"))*1))/(COUNTA(LQ14:LV14)),"")</f>
        <v>3</v>
      </c>
      <c r="LX14" s="162" t="str">
        <f t="shared" si="85"/>
        <v>B</v>
      </c>
      <c r="LY14" s="161">
        <f>IF(COUNT(LI14,LO14,LW14)=0,"",SUM(LI14,LO14,LW14)/COUNT(LI14,LO14,LW14))</f>
        <v>3</v>
      </c>
      <c r="LZ14" s="186" t="str">
        <f t="shared" si="86"/>
        <v>B</v>
      </c>
      <c r="MA14" s="103"/>
      <c r="MB14" s="104"/>
      <c r="MC14" s="105"/>
      <c r="MD14" s="161" t="str">
        <f>IFERROR((((COUNTIF('Elève (3ème3)'!MA14:MC14,"A"))*4)+((COUNTIF('Elève (3ème3)'!MA14:MC14,"B"))*3)+((COUNTIF('Elève (3ème3)'!MA14:MC14,"C"))*2)+((COUNTIF('Elève (3ème3)'!MA14:MC14,"D"))*1))/(COUNTA(MA14:MC14)),"")</f>
        <v/>
      </c>
      <c r="ME14" s="162" t="str">
        <f t="shared" si="87"/>
        <v/>
      </c>
      <c r="MF14" s="103"/>
      <c r="MG14" s="104"/>
      <c r="MH14" s="105"/>
      <c r="MI14" s="105"/>
      <c r="MJ14" s="161" t="str">
        <f>IFERROR((((COUNTIF('Elève (3ème3)'!MF14:MI14,"A"))*4)+((COUNTIF('Elève (3ème3)'!MF14:MI14,"B"))*3)+((COUNTIF('Elève (3ème3)'!MF14:MI14,"C"))*2)+((COUNTIF('Elève (3ème3)'!MF14:MI14,"D"))*1))/(COUNTA(MF14:MI14)),"")</f>
        <v/>
      </c>
      <c r="MK14" s="162" t="str">
        <f t="shared" si="88"/>
        <v/>
      </c>
      <c r="ML14" s="103"/>
      <c r="MM14" s="104"/>
      <c r="MN14" s="105"/>
      <c r="MO14" s="105"/>
      <c r="MP14" s="105" t="s">
        <v>30</v>
      </c>
      <c r="MQ14" s="109"/>
      <c r="MR14" s="161">
        <f>IFERROR((((COUNTIF('Elève (3ème3)'!ML14:MQ14,"A"))*4)+((COUNTIF('Elève (3ème3)'!ML14:MQ14,"B"))*3)+((COUNTIF('Elève (3ème3)'!ML14:MQ14,"C"))*2)+((COUNTIF('Elève (3ème3)'!ML14:MQ14,"D"))*1))/(COUNTA(ML14:MQ14)),"")</f>
        <v>1</v>
      </c>
      <c r="MS14" s="162" t="str">
        <f t="shared" si="89"/>
        <v>D</v>
      </c>
      <c r="MT14" s="161">
        <f>IF(COUNT(MD14,MJ14,MR14)=0,"",SUM(MD14,MJ14,MR14)/COUNT(MD14,MJ14,MR14))</f>
        <v>1</v>
      </c>
      <c r="MU14" s="186" t="str">
        <f t="shared" si="90"/>
        <v>D</v>
      </c>
      <c r="MV14" s="103"/>
      <c r="MW14" s="104"/>
      <c r="MX14" s="105"/>
      <c r="MY14" s="161" t="str">
        <f>IFERROR((((COUNTIF('Elève (3ème3)'!MV14:MX14,"A"))*4)+((COUNTIF('Elève (3ème3)'!MV14:MX14,"B"))*3)+((COUNTIF('Elève (3ème3)'!MV14:MX14,"C"))*2)+((COUNTIF('Elève (3ème3)'!MV14:MX14,"D"))*1))/(COUNTA(MV14:MX14)),"")</f>
        <v/>
      </c>
      <c r="MZ14" s="162" t="str">
        <f t="shared" si="91"/>
        <v/>
      </c>
      <c r="NA14" s="103"/>
      <c r="NB14" s="104"/>
      <c r="NC14" s="105"/>
      <c r="ND14" s="105"/>
      <c r="NE14" s="161" t="str">
        <f>IFERROR((((COUNTIF('Elève (3ème3)'!NA14:ND14,"A"))*4)+((COUNTIF('Elève (3ème3)'!NA14:ND14,"B"))*3)+((COUNTIF('Elève (3ème3)'!NA14:ND14,"C"))*2)+((COUNTIF('Elève (3ème3)'!NA14:ND14,"D"))*1))/(COUNTA(NA14:ND14)),"")</f>
        <v/>
      </c>
      <c r="NF14" s="162" t="str">
        <f t="shared" si="92"/>
        <v/>
      </c>
      <c r="NG14" s="103"/>
      <c r="NH14" s="104"/>
      <c r="NI14" s="105"/>
      <c r="NJ14" s="105"/>
      <c r="NK14" s="105" t="s">
        <v>29</v>
      </c>
      <c r="NL14" s="109"/>
      <c r="NM14" s="161">
        <f>IFERROR((((COUNTIF('Elève (3ème3)'!NG14:NL14,"A"))*4)+((COUNTIF('Elève (3ème3)'!NG14:NL14,"B"))*3)+((COUNTIF('Elève (3ème3)'!NG14:NL14,"C"))*2)+((COUNTIF('Elève (3ème3)'!NG14:NL14,"D"))*1))/(COUNTA(NG14:NL14)),"")</f>
        <v>2</v>
      </c>
      <c r="NN14" s="162" t="str">
        <f t="shared" si="93"/>
        <v>C</v>
      </c>
      <c r="NO14" s="161">
        <f>IF(COUNT(MY14,NE14,NM14)=0,"",SUM(MY14,NE14,NM14)/COUNT(MY14,NE14,NM14))</f>
        <v>2</v>
      </c>
      <c r="NP14" s="186" t="str">
        <f t="shared" si="94"/>
        <v>C</v>
      </c>
      <c r="NQ14" s="103"/>
      <c r="NR14" s="104"/>
      <c r="NS14" s="105"/>
      <c r="NT14" s="161" t="str">
        <f>IFERROR((((COUNTIF('Elève (3ème3)'!NQ14:NS14,"A"))*4)+((COUNTIF('Elève (3ème3)'!NQ14:NS14,"B"))*3)+((COUNTIF('Elève (3ème3)'!NQ14:NS14,"C"))*2)+((COUNTIF('Elève (3ème3)'!NQ14:NS14,"D"))*1))/(COUNTA(NQ14:NS14)),"")</f>
        <v/>
      </c>
      <c r="NU14" s="162" t="str">
        <f t="shared" si="95"/>
        <v/>
      </c>
      <c r="NV14" s="103"/>
      <c r="NW14" s="104"/>
      <c r="NX14" s="105"/>
      <c r="NY14" s="105"/>
      <c r="NZ14" s="161" t="str">
        <f>IFERROR((((COUNTIF('Elève (3ème3)'!NV14:NY14,"A"))*4)+((COUNTIF('Elève (3ème3)'!NV14:NY14,"B"))*3)+((COUNTIF('Elève (3ème3)'!NV14:NY14,"C"))*2)+((COUNTIF('Elève (3ème3)'!NV14:NY14,"D"))*1))/(COUNTA(NV14:NY14)),"")</f>
        <v/>
      </c>
      <c r="OA14" s="162" t="str">
        <f t="shared" si="96"/>
        <v/>
      </c>
      <c r="OB14" s="103"/>
      <c r="OC14" s="104"/>
      <c r="OD14" s="105"/>
      <c r="OE14" s="105"/>
      <c r="OF14" s="105" t="s">
        <v>29</v>
      </c>
      <c r="OG14" s="109"/>
      <c r="OH14" s="161">
        <f>IFERROR((((COUNTIF('Elève (3ème3)'!OB14:OG14,"A"))*4)+((COUNTIF('Elève (3ème3)'!OB14:OG14,"B"))*3)+((COUNTIF('Elève (3ème3)'!OB14:OG14,"C"))*2)+((COUNTIF('Elève (3ème3)'!OB14:OG14,"D"))*1))/(COUNTA(OB14:OG14)),"")</f>
        <v>2</v>
      </c>
      <c r="OI14" s="162" t="str">
        <f t="shared" si="97"/>
        <v>C</v>
      </c>
      <c r="OJ14" s="161">
        <f>IF(COUNT(NT14,NZ14,OH14)=0,"",SUM(NT14,NZ14,OH14)/COUNT(NT14,NZ14,OH14))</f>
        <v>2</v>
      </c>
      <c r="OK14" s="186" t="str">
        <f t="shared" si="98"/>
        <v>C</v>
      </c>
      <c r="OL14" s="103"/>
      <c r="OM14" s="104"/>
      <c r="ON14" s="105"/>
      <c r="OO14" s="161" t="str">
        <f>IFERROR((((COUNTIF('Elève (3ème3)'!OL14:ON14,"A"))*4)+((COUNTIF('Elève (3ème3)'!OL14:ON14,"B"))*3)+((COUNTIF('Elève (3ème3)'!OL14:ON14,"C"))*2)+((COUNTIF('Elève (3ème3)'!OL14:ON14,"D"))*1))/(COUNTA(OL14:ON14)),"")</f>
        <v/>
      </c>
      <c r="OP14" s="162" t="str">
        <f t="shared" si="99"/>
        <v/>
      </c>
      <c r="OQ14" s="103"/>
      <c r="OR14" s="104"/>
      <c r="OS14" s="105"/>
      <c r="OT14" s="105"/>
      <c r="OU14" s="161" t="str">
        <f>IFERROR((((COUNTIF('Elève (3ème3)'!OQ14:OT14,"A"))*4)+((COUNTIF('Elève (3ème3)'!OQ14:OT14,"B"))*3)+((COUNTIF('Elève (3ème3)'!OQ14:OT14,"C"))*2)+((COUNTIF('Elève (3ème3)'!OQ14:OT14,"D"))*1))/(COUNTA(OQ14:OT14)),"")</f>
        <v/>
      </c>
      <c r="OV14" s="162" t="str">
        <f t="shared" si="100"/>
        <v/>
      </c>
      <c r="OW14" s="103"/>
      <c r="OX14" s="104"/>
      <c r="OY14" s="105"/>
      <c r="OZ14" s="105"/>
      <c r="PA14" s="105" t="s">
        <v>29</v>
      </c>
      <c r="PB14" s="109"/>
      <c r="PC14" s="161">
        <f>IFERROR((((COUNTIF('Elève (3ème3)'!OW14:PB14,"A"))*4)+((COUNTIF('Elève (3ème3)'!OW14:PB14,"B"))*3)+((COUNTIF('Elève (3ème3)'!OW14:PB14,"C"))*2)+((COUNTIF('Elève (3ème3)'!OW14:PB14,"D"))*1))/(COUNTA(OW14:PB14)),"")</f>
        <v>2</v>
      </c>
      <c r="PD14" s="162" t="str">
        <f t="shared" si="101"/>
        <v>C</v>
      </c>
      <c r="PE14" s="161">
        <f>IF(COUNT(OO14,OU14,PC14)=0,"",SUM(OO14,OU14,PC14)/COUNT(OO14,OU14,PC14))</f>
        <v>2</v>
      </c>
      <c r="PF14" s="186" t="str">
        <f t="shared" si="102"/>
        <v>C</v>
      </c>
      <c r="PG14" s="103"/>
      <c r="PH14" s="104"/>
      <c r="PI14" s="105"/>
      <c r="PJ14" s="161" t="str">
        <f>IFERROR((((COUNTIF('Elève (3ème3)'!PG14:PI14,"A"))*4)+((COUNTIF('Elève (3ème3)'!PG14:PI14,"B"))*3)+((COUNTIF('Elève (3ème3)'!PG14:PI14,"C"))*2)+((COUNTIF('Elève (3ème3)'!PG14:PI14,"D"))*1))/(COUNTA(PG14:PI14)),"")</f>
        <v/>
      </c>
      <c r="PK14" s="162" t="str">
        <f t="shared" si="103"/>
        <v/>
      </c>
      <c r="PL14" s="103"/>
      <c r="PM14" s="104"/>
      <c r="PN14" s="105"/>
      <c r="PO14" s="105"/>
      <c r="PP14" s="161" t="str">
        <f>IFERROR((((COUNTIF('Elève (3ème3)'!PL14:PO14,"A"))*4)+((COUNTIF('Elève (3ème3)'!PL14:PO14,"B"))*3)+((COUNTIF('Elève (3ème3)'!PL14:PO14,"C"))*2)+((COUNTIF('Elève (3ème3)'!PL14:PO14,"D"))*1))/(COUNTA(PL14:PO14)),"")</f>
        <v/>
      </c>
      <c r="PQ14" s="162" t="str">
        <f t="shared" si="104"/>
        <v/>
      </c>
      <c r="PR14" s="103"/>
      <c r="PS14" s="104"/>
      <c r="PT14" s="105"/>
      <c r="PU14" s="105"/>
      <c r="PV14" s="105" t="s">
        <v>28</v>
      </c>
      <c r="PW14" s="109"/>
      <c r="PX14" s="161">
        <f>IFERROR((((COUNTIF('Elève (3ème3)'!PR14:PW14,"A"))*4)+((COUNTIF('Elève (3ème3)'!PR14:PW14,"B"))*3)+((COUNTIF('Elève (3ème3)'!PR14:PW14,"C"))*2)+((COUNTIF('Elève (3ème3)'!PR14:PW14,"D"))*1))/(COUNTA(PR14:PW14)),"")</f>
        <v>3</v>
      </c>
      <c r="PY14" s="162" t="str">
        <f t="shared" si="105"/>
        <v>B</v>
      </c>
      <c r="PZ14" s="161">
        <f>IF(COUNT(PJ14,PP14,PX14)=0,"",SUM(PJ14,PP14,PX14)/COUNT(PJ14,PP14,PX14))</f>
        <v>3</v>
      </c>
      <c r="QA14" s="186" t="str">
        <f t="shared" si="106"/>
        <v>B</v>
      </c>
      <c r="QB14" s="103"/>
      <c r="QC14" s="104"/>
      <c r="QD14" s="105"/>
      <c r="QE14" s="161" t="str">
        <f>IFERROR((((COUNTIF('Elève (3ème3)'!QB14:QD14,"A"))*4)+((COUNTIF('Elève (3ème3)'!QB14:QD14,"B"))*3)+((COUNTIF('Elève (3ème3)'!QB14:QD14,"C"))*2)+((COUNTIF('Elève (3ème3)'!QB14:QD14,"D"))*1))/(COUNTA(QB14:QD14)),"")</f>
        <v/>
      </c>
      <c r="QF14" s="162" t="str">
        <f t="shared" si="107"/>
        <v/>
      </c>
      <c r="QG14" s="103"/>
      <c r="QH14" s="104"/>
      <c r="QI14" s="105"/>
      <c r="QJ14" s="105"/>
      <c r="QK14" s="161" t="str">
        <f>IFERROR((((COUNTIF('Elève (3ème3)'!QG14:QJ14,"A"))*4)+((COUNTIF('Elève (3ème3)'!QG14:QJ14,"B"))*3)+((COUNTIF('Elève (3ème3)'!QG14:QJ14,"C"))*2)+((COUNTIF('Elève (3ème3)'!QG14:QJ14,"D"))*1))/(COUNTA(QG14:QJ14)),"")</f>
        <v/>
      </c>
      <c r="QL14" s="162" t="str">
        <f t="shared" si="108"/>
        <v/>
      </c>
      <c r="QM14" s="103"/>
      <c r="QN14" s="104"/>
      <c r="QO14" s="105"/>
      <c r="QP14" s="105"/>
      <c r="QQ14" s="105" t="s">
        <v>28</v>
      </c>
      <c r="QR14" s="109"/>
      <c r="QS14" s="161">
        <f>IFERROR((((COUNTIF('Elève (3ème3)'!QM14:QR14,"A"))*4)+((COUNTIF('Elève (3ème3)'!QM14:QR14,"B"))*3)+((COUNTIF('Elève (3ème3)'!QM14:QR14,"C"))*2)+((COUNTIF('Elève (3ème3)'!QM14:QR14,"D"))*1))/(COUNTA(QM14:QR14)),"")</f>
        <v>3</v>
      </c>
      <c r="QT14" s="162" t="str">
        <f t="shared" si="109"/>
        <v>B</v>
      </c>
      <c r="QU14" s="161">
        <f>IF(COUNT(QE14,QK14,QS14)=0,"",SUM(QE14,QK14,QS14)/COUNT(QE14,QK14,QS14))</f>
        <v>3</v>
      </c>
      <c r="QV14" s="186" t="str">
        <f t="shared" si="110"/>
        <v>B</v>
      </c>
      <c r="QW14" s="103"/>
      <c r="QX14" s="104"/>
      <c r="QY14" s="105"/>
      <c r="QZ14" s="161" t="str">
        <f>IFERROR((((COUNTIF('Elève (3ème3)'!QW14:QY14,"A"))*4)+((COUNTIF('Elève (3ème3)'!QW14:QY14,"B"))*3)+((COUNTIF('Elève (3ème3)'!QW14:QY14,"C"))*2)+((COUNTIF('Elève (3ème3)'!QW14:QY14,"D"))*1))/(COUNTA(QW14:QY14)),"")</f>
        <v/>
      </c>
      <c r="RA14" s="162" t="str">
        <f t="shared" si="111"/>
        <v/>
      </c>
      <c r="RB14" s="103"/>
      <c r="RC14" s="104"/>
      <c r="RD14" s="105"/>
      <c r="RE14" s="105"/>
      <c r="RF14" s="161" t="str">
        <f>IFERROR((((COUNTIF('Elève (3ème3)'!RB14:RE14,"A"))*4)+((COUNTIF('Elève (3ème3)'!RB14:RE14,"B"))*3)+((COUNTIF('Elève (3ème3)'!RB14:RE14,"C"))*2)+((COUNTIF('Elève (3ème3)'!RB14:RE14,"D"))*1))/(COUNTA(RB14:RE14)),"")</f>
        <v/>
      </c>
      <c r="RG14" s="162" t="str">
        <f t="shared" si="112"/>
        <v/>
      </c>
      <c r="RH14" s="103"/>
      <c r="RI14" s="104"/>
      <c r="RJ14" s="105"/>
      <c r="RK14" s="105"/>
      <c r="RL14" s="105" t="s">
        <v>30</v>
      </c>
      <c r="RM14" s="109"/>
      <c r="RN14" s="161">
        <f>IFERROR((((COUNTIF('Elève (3ème3)'!RH14:RM14,"A"))*4)+((COUNTIF('Elève (3ème3)'!RH14:RM14,"B"))*3)+((COUNTIF('Elève (3ème3)'!RH14:RM14,"C"))*2)+((COUNTIF('Elève (3ème3)'!RH14:RM14,"D"))*1))/(COUNTA(RH14:RM14)),"")</f>
        <v>1</v>
      </c>
      <c r="RO14" s="162" t="str">
        <f t="shared" si="113"/>
        <v>D</v>
      </c>
      <c r="RP14" s="161">
        <f>IF(COUNT(QZ14,RF14,RN14)=0,"",SUM(QZ14,RF14,RN14)/COUNT(QZ14,RF14,RN14))</f>
        <v>1</v>
      </c>
      <c r="RQ14" s="186" t="str">
        <f t="shared" si="114"/>
        <v>D</v>
      </c>
      <c r="RR14" s="103"/>
      <c r="RS14" s="104"/>
      <c r="RT14" s="105"/>
      <c r="RU14" s="161" t="str">
        <f>IFERROR((((COUNTIF('Elève (3ème3)'!RR14:RT14,"A"))*4)+((COUNTIF('Elève (3ème3)'!RR14:RT14,"B"))*3)+((COUNTIF('Elève (3ème3)'!RR14:RT14,"C"))*2)+((COUNTIF('Elève (3ème3)'!RR14:RT14,"D"))*1))/(COUNTA(RR14:RT14)),"")</f>
        <v/>
      </c>
      <c r="RV14" s="162" t="str">
        <f t="shared" si="115"/>
        <v/>
      </c>
      <c r="RW14" s="103"/>
      <c r="RX14" s="104"/>
      <c r="RY14" s="105"/>
      <c r="RZ14" s="105"/>
      <c r="SA14" s="161" t="str">
        <f>IFERROR((((COUNTIF('Elève (3ème3)'!RW14:RZ14,"A"))*4)+((COUNTIF('Elève (3ème3)'!RW14:RZ14,"B"))*3)+((COUNTIF('Elève (3ème3)'!RW14:RZ14,"C"))*2)+((COUNTIF('Elève (3ème3)'!RW14:RZ14,"D"))*1))/(COUNTA(RW14:RZ14)),"")</f>
        <v/>
      </c>
      <c r="SB14" s="162" t="str">
        <f t="shared" si="116"/>
        <v/>
      </c>
      <c r="SC14" s="103"/>
      <c r="SD14" s="104"/>
      <c r="SE14" s="105"/>
      <c r="SF14" s="105"/>
      <c r="SG14" s="105" t="s">
        <v>29</v>
      </c>
      <c r="SH14" s="109"/>
      <c r="SI14" s="161">
        <f>IFERROR((((COUNTIF('Elève (3ème3)'!SC14:SH14,"A"))*4)+((COUNTIF('Elève (3ème3)'!SC14:SH14,"B"))*3)+((COUNTIF('Elève (3ème3)'!SC14:SH14,"C"))*2)+((COUNTIF('Elève (3ème3)'!SC14:SH14,"D"))*1))/(COUNTA(SC14:SH14)),"")</f>
        <v>2</v>
      </c>
      <c r="SJ14" s="162" t="str">
        <f t="shared" si="117"/>
        <v>C</v>
      </c>
      <c r="SK14" s="161">
        <f>IF(COUNT(RU14,SA14,SI14)=0,"",SUM(RU14,SA14,SI14)/COUNT(RU14,SA14,SI14))</f>
        <v>2</v>
      </c>
      <c r="SL14" s="186" t="str">
        <f t="shared" si="118"/>
        <v>C</v>
      </c>
      <c r="SM14" s="103"/>
      <c r="SN14" s="104"/>
      <c r="SO14" s="105"/>
      <c r="SP14" s="99" t="str">
        <f>IFERROR((((COUNTIF('Elève (3ème3)'!SM14:SO14,"A"))*4)+((COUNTIF('Elève (3ème3)'!SM14:SO14,"B"))*3)+((COUNTIF('Elève (3ème3)'!SM14:SO14,"C"))*2)+((COUNTIF('Elève (3ème3)'!SM14:SO14,"D"))*1))/(COUNTA(SM14:SO14)),"")</f>
        <v/>
      </c>
      <c r="SQ14" s="100" t="str">
        <f t="shared" si="119"/>
        <v/>
      </c>
      <c r="SR14" s="103"/>
      <c r="SS14" s="104"/>
      <c r="ST14" s="105"/>
      <c r="SU14" s="99" t="str">
        <f>IFERROR((((COUNTIF('Elève (3ème3)'!SR14:ST14,"A"))*4)+((COUNTIF('Elève (3ème3)'!SR14:ST14,"B"))*3)+((COUNTIF('Elève (3ème3)'!SR14:ST14,"C"))*2)+((COUNTIF('Elève (3ème3)'!SR14:ST14,"D"))*1))/(COUNTA(SR14:ST14)),"")</f>
        <v/>
      </c>
      <c r="SV14" s="100" t="str">
        <f t="shared" si="120"/>
        <v/>
      </c>
      <c r="SW14" s="103"/>
      <c r="SX14" s="104"/>
      <c r="SY14" s="109"/>
      <c r="SZ14" s="99" t="str">
        <f>IFERROR((((COUNTIF('Elève (3ème3)'!SW14:SY14,"A"))*4)+((COUNTIF('Elève (3ème3)'!SW14:SY14,"B"))*3)+((COUNTIF('Elève (3ème3)'!SW14:SY14,"C"))*2)+((COUNTIF('Elève (3ème3)'!SW14:SY14,"D"))*1))/(COUNTA(SW14:SY14)),"")</f>
        <v/>
      </c>
      <c r="TA14" s="100" t="str">
        <f t="shared" si="121"/>
        <v/>
      </c>
      <c r="TB14" s="99" t="str">
        <f>IF(COUNT(SP14,SU14,SZ14)=0,"",SUM(SP14,SU14,SZ14)/COUNT(SP14,SU14,SZ14))</f>
        <v/>
      </c>
      <c r="TC14" s="101" t="str">
        <f t="shared" si="122"/>
        <v/>
      </c>
      <c r="TD14" s="103"/>
      <c r="TE14" s="104"/>
      <c r="TF14" s="105"/>
      <c r="TG14" s="99" t="str">
        <f>IFERROR((((COUNTIF('Elève (3ème3)'!TD14:TF14,"A"))*4)+((COUNTIF('Elève (3ème3)'!TD14:TF14,"B"))*3)+((COUNTIF('Elève (3ème3)'!TD14:TF14,"C"))*2)+((COUNTIF('Elève (3ème3)'!TD14:TF14,"D"))*1))/(COUNTA(TD14:TF14)),"")</f>
        <v/>
      </c>
      <c r="TH14" s="100" t="str">
        <f t="shared" si="123"/>
        <v/>
      </c>
      <c r="TI14" s="103"/>
      <c r="TJ14" s="104"/>
      <c r="TK14" s="105"/>
      <c r="TL14" s="99" t="str">
        <f>IFERROR((((COUNTIF('Elève (3ème3)'!TI14:TK14,"A"))*4)+((COUNTIF('Elève (3ème3)'!TI14:TK14,"B"))*3)+((COUNTIF('Elève (3ème3)'!TI14:TK14,"C"))*2)+((COUNTIF('Elève (3ème3)'!TI14:TK14,"D"))*1))/(COUNTA(TI14:TK14)),"")</f>
        <v/>
      </c>
      <c r="TM14" s="100" t="str">
        <f t="shared" si="124"/>
        <v/>
      </c>
      <c r="TN14" s="103"/>
      <c r="TO14" s="104"/>
      <c r="TP14" s="109"/>
      <c r="TQ14" s="99" t="str">
        <f>IFERROR((((COUNTIF('Elève (3ème3)'!TN14:TP14,"A"))*4)+((COUNTIF('Elève (3ème3)'!TN14:TP14,"B"))*3)+((COUNTIF('Elève (3ème3)'!TN14:TP14,"C"))*2)+((COUNTIF('Elève (3ème3)'!TN14:TP14,"D"))*1))/(COUNTA(TN14:TP14)),"")</f>
        <v/>
      </c>
      <c r="TR14" s="100" t="str">
        <f t="shared" si="125"/>
        <v/>
      </c>
      <c r="TS14" s="99" t="str">
        <f>IF(COUNT(TG14,TL14,TQ14)=0,"",SUM(TG14,TL14,TQ14)/COUNT(TG14,TL14,TQ14))</f>
        <v/>
      </c>
      <c r="TT14" s="101" t="str">
        <f t="shared" si="126"/>
        <v/>
      </c>
      <c r="TU14" s="103"/>
      <c r="TV14" s="104"/>
      <c r="TW14" s="105"/>
      <c r="TX14" s="99" t="str">
        <f>IFERROR((((COUNTIF('Elève (3ème3)'!TU14:TW14,"A"))*4)+((COUNTIF('Elève (3ème3)'!TU14:TW14,"B"))*3)+((COUNTIF('Elève (3ème3)'!TU14:TW14,"C"))*2)+((COUNTIF('Elève (3ème3)'!TU14:TW14,"D"))*1))/(COUNTA(TU14:TW14)),"")</f>
        <v/>
      </c>
      <c r="TY14" s="100" t="str">
        <f t="shared" si="127"/>
        <v/>
      </c>
      <c r="TZ14" s="103"/>
      <c r="UA14" s="104"/>
      <c r="UB14" s="105"/>
      <c r="UC14" s="99" t="str">
        <f>IFERROR((((COUNTIF('Elève (3ème3)'!TZ14:UB14,"A"))*4)+((COUNTIF('Elève (3ème3)'!TZ14:UB14,"B"))*3)+((COUNTIF('Elève (3ème3)'!TZ14:UB14,"C"))*2)+((COUNTIF('Elève (3ème3)'!TZ14:UB14,"D"))*1))/(COUNTA(TZ14:UB14)),"")</f>
        <v/>
      </c>
      <c r="UD14" s="100" t="str">
        <f t="shared" si="128"/>
        <v/>
      </c>
      <c r="UE14" s="103"/>
      <c r="UF14" s="104"/>
      <c r="UG14" s="109"/>
      <c r="UH14" s="99" t="str">
        <f>IFERROR((((COUNTIF('Elève (3ème3)'!UE14:UG14,"A"))*4)+((COUNTIF('Elève (3ème3)'!UE14:UG14,"B"))*3)+((COUNTIF('Elève (3ème3)'!UE14:UG14,"C"))*2)+((COUNTIF('Elève (3ème3)'!UE14:UG14,"D"))*1))/(COUNTA(UE14:UG14)),"")</f>
        <v/>
      </c>
      <c r="UI14" s="100" t="str">
        <f t="shared" si="129"/>
        <v/>
      </c>
      <c r="UJ14" s="99" t="str">
        <f>IF(COUNT(TX14,UC14,UH14)=0,"",SUM(TX14,UC14,UH14)/COUNT(TX14,UC14,UH14))</f>
        <v/>
      </c>
      <c r="UK14" s="101" t="str">
        <f t="shared" si="130"/>
        <v/>
      </c>
      <c r="UL14" s="103"/>
      <c r="UM14" s="104"/>
      <c r="UN14" s="105"/>
      <c r="UO14" s="99" t="str">
        <f>IFERROR((((COUNTIF('Elève (3ème3)'!UL14:UN14,"A"))*4)+((COUNTIF('Elève (3ème3)'!UL14:UN14,"B"))*3)+((COUNTIF('Elève (3ème3)'!UL14:UN14,"C"))*2)+((COUNTIF('Elève (3ème3)'!UL14:UN14,"D"))*1))/(COUNTA(UL14:UN14)),"")</f>
        <v/>
      </c>
      <c r="UP14" s="100" t="str">
        <f t="shared" si="131"/>
        <v/>
      </c>
      <c r="UQ14" s="103"/>
      <c r="UR14" s="104"/>
      <c r="US14" s="105"/>
      <c r="UT14" s="99" t="str">
        <f>IFERROR((((COUNTIF('Elève (3ème3)'!UQ14:US14,"A"))*4)+((COUNTIF('Elève (3ème3)'!UQ14:US14,"B"))*3)+((COUNTIF('Elève (3ème3)'!UQ14:US14,"C"))*2)+((COUNTIF('Elève (3ème3)'!UQ14:US14,"D"))*1))/(COUNTA(UQ14:US14)),"")</f>
        <v/>
      </c>
      <c r="UU14" s="100" t="str">
        <f t="shared" si="132"/>
        <v/>
      </c>
      <c r="UV14" s="103"/>
      <c r="UW14" s="104"/>
      <c r="UX14" s="109"/>
      <c r="UY14" s="99" t="str">
        <f>IFERROR((((COUNTIF('Elève (3ème3)'!UV14:UX14,"A"))*4)+((COUNTIF('Elève (3ème3)'!UV14:UX14,"B"))*3)+((COUNTIF('Elève (3ème3)'!UV14:UX14,"C"))*2)+((COUNTIF('Elève (3ème3)'!UV14:UX14,"D"))*1))/(COUNTA(UV14:UX14)),"")</f>
        <v/>
      </c>
      <c r="UZ14" s="100" t="str">
        <f t="shared" si="133"/>
        <v/>
      </c>
      <c r="VA14" s="99" t="str">
        <f>IF(COUNT(UO14,UT14,UY14)=0,"",SUM(UO14,UT14,UY14)/COUNT(UO14,UT14,UY14))</f>
        <v/>
      </c>
      <c r="VB14" s="101" t="str">
        <f t="shared" si="134"/>
        <v/>
      </c>
      <c r="VC14" s="103"/>
      <c r="VD14" s="104"/>
      <c r="VE14" s="105"/>
      <c r="VF14" s="99" t="str">
        <f>IFERROR((((COUNTIF('Elève (3ème3)'!VC14:VE14,"A"))*4)+((COUNTIF('Elève (3ème3)'!VC14:VE14,"B"))*3)+((COUNTIF('Elève (3ème3)'!VC14:VE14,"C"))*2)+((COUNTIF('Elève (3ème3)'!VC14:VE14,"D"))*1))/(COUNTA(VC14:VE14)),"")</f>
        <v/>
      </c>
      <c r="VG14" s="100" t="str">
        <f t="shared" si="135"/>
        <v/>
      </c>
      <c r="VH14" s="103"/>
      <c r="VI14" s="104"/>
      <c r="VJ14" s="105"/>
      <c r="VK14" s="99" t="str">
        <f>IFERROR((((COUNTIF('Elève (3ème3)'!VH14:VJ14,"A"))*4)+((COUNTIF('Elève (3ème3)'!VH14:VJ14,"B"))*3)+((COUNTIF('Elève (3ème3)'!VH14:VJ14,"C"))*2)+((COUNTIF('Elève (3ème3)'!VH14:VJ14,"D"))*1))/(COUNTA(VH14:VJ14)),"")</f>
        <v/>
      </c>
      <c r="VL14" s="100" t="str">
        <f t="shared" si="136"/>
        <v/>
      </c>
      <c r="VM14" s="103"/>
      <c r="VN14" s="104"/>
      <c r="VO14" s="109"/>
      <c r="VP14" s="99" t="str">
        <f>IFERROR((((COUNTIF('Elève (3ème3)'!VM14:VO14,"A"))*4)+((COUNTIF('Elève (3ème3)'!VM14:VO14,"B"))*3)+((COUNTIF('Elève (3ème3)'!VM14:VO14,"C"))*2)+((COUNTIF('Elève (3ème3)'!VM14:VO14,"D"))*1))/(COUNTA(VM14:VO14)),"")</f>
        <v/>
      </c>
      <c r="VQ14" s="100" t="str">
        <f t="shared" si="137"/>
        <v/>
      </c>
      <c r="VR14" s="99" t="str">
        <f>IF(COUNT(VF14,VK14,VP14)=0,"",SUM(VF14,VK14,VP14)/COUNT(VF14,VK14,VP14))</f>
        <v/>
      </c>
      <c r="VS14" s="101" t="str">
        <f t="shared" si="138"/>
        <v/>
      </c>
      <c r="VT14" s="103"/>
      <c r="VU14" s="104"/>
      <c r="VV14" s="105"/>
      <c r="VW14" s="99" t="str">
        <f>IFERROR((((COUNTIF('Elève (3ème3)'!VT14:VV14,"A"))*4)+((COUNTIF('Elève (3ème3)'!VT14:VV14,"B"))*3)+((COUNTIF('Elève (3ème3)'!VT14:VV14,"C"))*2)+((COUNTIF('Elève (3ème3)'!VT14:VV14,"D"))*1))/(COUNTA(VT14:VV14)),"")</f>
        <v/>
      </c>
      <c r="VX14" s="100" t="str">
        <f t="shared" si="139"/>
        <v/>
      </c>
      <c r="VY14" s="103"/>
      <c r="VZ14" s="104"/>
      <c r="WA14" s="105"/>
      <c r="WB14" s="99" t="str">
        <f>IFERROR((((COUNTIF('Elève (3ème3)'!VY14:WA14,"A"))*4)+((COUNTIF('Elève (3ème3)'!VY14:WA14,"B"))*3)+((COUNTIF('Elève (3ème3)'!VY14:WA14,"C"))*2)+((COUNTIF('Elève (3ème3)'!VY14:WA14,"D"))*1))/(COUNTA(VY14:WA14)),"")</f>
        <v/>
      </c>
      <c r="WC14" s="100" t="str">
        <f t="shared" si="140"/>
        <v/>
      </c>
      <c r="WD14" s="103"/>
      <c r="WE14" s="104"/>
      <c r="WF14" s="109"/>
      <c r="WG14" s="99" t="str">
        <f>IFERROR((((COUNTIF('Elève (3ème3)'!WD14:WF14,"A"))*4)+((COUNTIF('Elève (3ème3)'!WD14:WF14,"B"))*3)+((COUNTIF('Elève (3ème3)'!WD14:WF14,"C"))*2)+((COUNTIF('Elève (3ème3)'!WD14:WF14,"D"))*1))/(COUNTA(WD14:WF14)),"")</f>
        <v/>
      </c>
      <c r="WH14" s="100" t="str">
        <f t="shared" si="141"/>
        <v/>
      </c>
      <c r="WI14" s="99" t="str">
        <f>IF(COUNT(VW14,WB14,WG14)=0,"",SUM(VW14,WB14,WG14)/COUNT(VW14,WB14,WG14))</f>
        <v/>
      </c>
      <c r="WJ14" s="101" t="str">
        <f t="shared" si="142"/>
        <v/>
      </c>
    </row>
    <row r="15" spans="1:608" ht="18" customHeight="1" thickBot="1" x14ac:dyDescent="0.6">
      <c r="A15" s="215" t="s">
        <v>37</v>
      </c>
      <c r="B15" s="216"/>
      <c r="C15" s="110"/>
      <c r="D15" s="111"/>
      <c r="E15" s="112"/>
      <c r="F15" s="165" t="str">
        <f>IFERROR((((COUNTIF('Elève (3ème3)'!C15:E15,"A"))*4)+((COUNTIF('Elève (3ème3)'!C15:E15,"B"))*3)+((COUNTIF('Elève (3ème3)'!C15:E15,"C"))*2)+((COUNTIF('Elève (3ème3)'!C15:E15,"D"))*1))/(COUNTA(C15:E15)),"")</f>
        <v/>
      </c>
      <c r="G15" s="166" t="str">
        <f t="shared" si="23"/>
        <v/>
      </c>
      <c r="H15" s="110"/>
      <c r="I15" s="111"/>
      <c r="J15" s="112"/>
      <c r="K15" s="112"/>
      <c r="L15" s="165" t="str">
        <f>IFERROR((((COUNTIF('Elève (3ème3)'!H15:K15,"A"))*4)+((COUNTIF('Elève (3ème3)'!H15:K15,"B"))*3)+((COUNTIF('Elève (3ème3)'!H15:K15,"C"))*2)+((COUNTIF('Elève (3ème3)'!H15:K15,"D"))*1))/(COUNTA(H15:K15)),"")</f>
        <v/>
      </c>
      <c r="M15" s="166" t="str">
        <f t="shared" si="24"/>
        <v/>
      </c>
      <c r="N15" s="110"/>
      <c r="O15" s="111"/>
      <c r="P15" s="112"/>
      <c r="Q15" s="112" t="s">
        <v>27</v>
      </c>
      <c r="R15" s="112"/>
      <c r="S15" s="112"/>
      <c r="T15" s="165">
        <f>IFERROR((((COUNTIF('Elève (3ème3)'!N15:S15,"A"))*4)+((COUNTIF('Elève (3ème3)'!N15:S15,"B"))*3)+((COUNTIF('Elève (3ème3)'!N15:S15,"C"))*2)+((COUNTIF('Elève (3ème3)'!N15:S15,"D"))*1))/(COUNTA(N15:S15)),"")</f>
        <v>4</v>
      </c>
      <c r="U15" s="166" t="str">
        <f t="shared" si="25"/>
        <v>A</v>
      </c>
      <c r="V15" s="190">
        <f>IF(COUNT(F15,L15,T15)=0,"",SUM(F15,L15,T15)/COUNT(F15,L15,T15))</f>
        <v>4</v>
      </c>
      <c r="W15" s="188" t="str">
        <f t="shared" si="26"/>
        <v>A</v>
      </c>
      <c r="X15" s="110"/>
      <c r="Y15" s="111"/>
      <c r="Z15" s="112"/>
      <c r="AA15" s="165" t="str">
        <f>IFERROR((((COUNTIF('Elève (3ème3)'!X15:Z15,"A"))*4)+((COUNTIF('Elève (3ème3)'!X15:Z15,"B"))*3)+((COUNTIF('Elève (3ème3)'!X15:Z15,"C"))*2)+((COUNTIF('Elève (3ème3)'!X15:Z15,"D"))*1))/(COUNTA(X15:Z15)),"")</f>
        <v/>
      </c>
      <c r="AB15" s="166" t="str">
        <f t="shared" si="27"/>
        <v/>
      </c>
      <c r="AC15" s="110"/>
      <c r="AD15" s="111"/>
      <c r="AE15" s="112"/>
      <c r="AF15" s="112"/>
      <c r="AG15" s="165" t="str">
        <f>IFERROR((((COUNTIF('Elève (3ème3)'!AC15:AF15,"A"))*4)+((COUNTIF('Elève (3ème3)'!AC15:AF15,"B"))*3)+((COUNTIF('Elève (3ème3)'!AC15:AF15,"C"))*2)+((COUNTIF('Elève (3ème3)'!AC15:AF15,"D"))*1))/(COUNTA(AC15:AF15)),"")</f>
        <v/>
      </c>
      <c r="AH15" s="166" t="str">
        <f t="shared" si="28"/>
        <v/>
      </c>
      <c r="AI15" s="110"/>
      <c r="AJ15" s="111"/>
      <c r="AK15" s="112"/>
      <c r="AL15" s="112" t="s">
        <v>27</v>
      </c>
      <c r="AM15" s="112"/>
      <c r="AN15" s="116"/>
      <c r="AO15" s="165">
        <f>IFERROR((((COUNTIF('Elève (3ème3)'!AI15:AN15,"A"))*4)+((COUNTIF('Elève (3ème3)'!AI15:AN15,"B"))*3)+((COUNTIF('Elève (3ème3)'!AI15:AN15,"C"))*2)+((COUNTIF('Elève (3ème3)'!AI15:AN15,"D"))*1))/(COUNTA(AI15:AN15)),"")</f>
        <v>4</v>
      </c>
      <c r="AP15" s="166" t="str">
        <f t="shared" si="29"/>
        <v>A</v>
      </c>
      <c r="AQ15" s="190">
        <f>IF(COUNT(AA15,AG15,AO15)=0,"",SUM(AA15,AG15,AO15)/COUNT(AA15,AG15,AO15))</f>
        <v>4</v>
      </c>
      <c r="AR15" s="188" t="str">
        <f t="shared" si="30"/>
        <v>A</v>
      </c>
      <c r="AS15" s="110"/>
      <c r="AT15" s="111"/>
      <c r="AU15" s="112"/>
      <c r="AV15" s="165" t="str">
        <f>IFERROR((((COUNTIF('Elève (3ème3)'!AS15:AU15,"A"))*4)+((COUNTIF('Elève (3ème3)'!AS15:AU15,"B"))*3)+((COUNTIF('Elève (3ème3)'!AS15:AU15,"C"))*2)+((COUNTIF('Elève (3ème3)'!AS15:AU15,"D"))*1))/(COUNTA(AS15:AU15)),"")</f>
        <v/>
      </c>
      <c r="AW15" s="166" t="str">
        <f t="shared" si="31"/>
        <v/>
      </c>
      <c r="AX15" s="110"/>
      <c r="AY15" s="111"/>
      <c r="AZ15" s="112"/>
      <c r="BA15" s="112"/>
      <c r="BB15" s="165" t="str">
        <f>IFERROR((((COUNTIF('Elève (3ème3)'!AX15:BA15,"A"))*4)+((COUNTIF('Elève (3ème3)'!AX15:BA15,"B"))*3)+((COUNTIF('Elève (3ème3)'!AX15:BA15,"C"))*2)+((COUNTIF('Elève (3ème3)'!AX15:BA15,"D"))*1))/(COUNTA(AX15:BA15)),"")</f>
        <v/>
      </c>
      <c r="BC15" s="166" t="str">
        <f t="shared" si="32"/>
        <v/>
      </c>
      <c r="BD15" s="110"/>
      <c r="BE15" s="111"/>
      <c r="BF15" s="112"/>
      <c r="BG15" s="112" t="s">
        <v>27</v>
      </c>
      <c r="BH15" s="112"/>
      <c r="BI15" s="116"/>
      <c r="BJ15" s="165">
        <f>IFERROR((((COUNTIF('Elève (3ème3)'!BD15:BI15,"A"))*4)+((COUNTIF('Elève (3ème3)'!BD15:BI15,"B"))*3)+((COUNTIF('Elève (3ème3)'!BD15:BI15,"C"))*2)+((COUNTIF('Elève (3ème3)'!BD15:BI15,"D"))*1))/(COUNTA(BD15:BI15)),"")</f>
        <v>4</v>
      </c>
      <c r="BK15" s="166" t="str">
        <f t="shared" si="33"/>
        <v>A</v>
      </c>
      <c r="BL15" s="190">
        <f>IF(COUNT(AV15,BB15,BJ15)=0,"",SUM(AV15,BB15,BJ15)/COUNT(AV15,BB15,BJ15))</f>
        <v>4</v>
      </c>
      <c r="BM15" s="188" t="str">
        <f t="shared" si="34"/>
        <v>A</v>
      </c>
      <c r="BN15" s="110"/>
      <c r="BO15" s="111"/>
      <c r="BP15" s="112"/>
      <c r="BQ15" s="165" t="str">
        <f>IFERROR((((COUNTIF('Elève (3ème3)'!BN15:BP15,"A"))*4)+((COUNTIF('Elève (3ème3)'!BN15:BP15,"B"))*3)+((COUNTIF('Elève (3ème3)'!BN15:BP15,"C"))*2)+((COUNTIF('Elève (3ème3)'!BN15:BP15,"D"))*1))/(COUNTA(BN15:BP15)),"")</f>
        <v/>
      </c>
      <c r="BR15" s="166" t="str">
        <f t="shared" si="35"/>
        <v/>
      </c>
      <c r="BS15" s="110"/>
      <c r="BT15" s="111"/>
      <c r="BU15" s="112"/>
      <c r="BV15" s="112"/>
      <c r="BW15" s="165" t="str">
        <f>IFERROR((((COUNTIF('Elève (3ème3)'!BS15:BV15,"A"))*4)+((COUNTIF('Elève (3ème3)'!BS15:BV15,"B"))*3)+((COUNTIF('Elève (3ème3)'!BS15:BV15,"C"))*2)+((COUNTIF('Elève (3ème3)'!BS15:BV15,"D"))*1))/(COUNTA(BS15:BV15)),"")</f>
        <v/>
      </c>
      <c r="BX15" s="166" t="str">
        <f t="shared" si="36"/>
        <v/>
      </c>
      <c r="BY15" s="110"/>
      <c r="BZ15" s="111"/>
      <c r="CA15" s="112" t="s">
        <v>27</v>
      </c>
      <c r="CB15" s="112" t="s">
        <v>27</v>
      </c>
      <c r="CC15" s="112"/>
      <c r="CD15" s="116"/>
      <c r="CE15" s="165">
        <f>IFERROR((((COUNTIF('Elève (3ème3)'!BY15:CD15,"A"))*4)+((COUNTIF('Elève (3ème3)'!BY15:CD15,"B"))*3)+((COUNTIF('Elève (3ème3)'!BY15:CD15,"C"))*2)+((COUNTIF('Elève (3ème3)'!BY15:CD15,"D"))*1))/(COUNTA(BY15:CD15)),"")</f>
        <v>4</v>
      </c>
      <c r="CF15" s="166" t="str">
        <f t="shared" si="37"/>
        <v>A</v>
      </c>
      <c r="CG15" s="190">
        <f>IF(COUNT(BQ15,BW15,CE15)=0,"",SUM(BQ15,BW15,CE15)/COUNT(BQ15,BW15,CE15))</f>
        <v>4</v>
      </c>
      <c r="CH15" s="188" t="str">
        <f t="shared" si="38"/>
        <v>A</v>
      </c>
      <c r="CI15" s="110"/>
      <c r="CJ15" s="111"/>
      <c r="CK15" s="112"/>
      <c r="CL15" s="165" t="str">
        <f>IFERROR((((COUNTIF('Elève (3ème3)'!CI15:CK15,"A"))*4)+((COUNTIF('Elève (3ème3)'!CI15:CK15,"B"))*3)+((COUNTIF('Elève (3ème3)'!CI15:CK15,"C"))*2)+((COUNTIF('Elève (3ème3)'!CI15:CK15,"D"))*1))/(COUNTA(CI15:CK15)),"")</f>
        <v/>
      </c>
      <c r="CM15" s="166" t="str">
        <f t="shared" si="39"/>
        <v/>
      </c>
      <c r="CN15" s="110"/>
      <c r="CO15" s="111"/>
      <c r="CP15" s="112"/>
      <c r="CQ15" s="112"/>
      <c r="CR15" s="165" t="str">
        <f>IFERROR((((COUNTIF('Elève (3ème3)'!CN15:CQ15,"A"))*4)+((COUNTIF('Elève (3ème3)'!CN15:CQ15,"B"))*3)+((COUNTIF('Elève (3ème3)'!CN15:CQ15,"C"))*2)+((COUNTIF('Elève (3ème3)'!CN15:CQ15,"D"))*1))/(COUNTA(CN15:CQ15)),"")</f>
        <v/>
      </c>
      <c r="CS15" s="166" t="str">
        <f t="shared" si="40"/>
        <v/>
      </c>
      <c r="CT15" s="110"/>
      <c r="CU15" s="111"/>
      <c r="CV15" s="112" t="s">
        <v>27</v>
      </c>
      <c r="CW15" s="112" t="s">
        <v>27</v>
      </c>
      <c r="CX15" s="112"/>
      <c r="CY15" s="116"/>
      <c r="CZ15" s="165">
        <f>IFERROR((((COUNTIF('Elève (3ème3)'!CT15:CY15,"A"))*4)+((COUNTIF('Elève (3ème3)'!CT15:CY15,"B"))*3)+((COUNTIF('Elève (3ème3)'!CT15:CY15,"C"))*2)+((COUNTIF('Elève (3ème3)'!CT15:CY15,"D"))*1))/(COUNTA(CT15:CY15)),"")</f>
        <v>4</v>
      </c>
      <c r="DA15" s="166" t="str">
        <f t="shared" si="41"/>
        <v>A</v>
      </c>
      <c r="DB15" s="190">
        <f>IF(COUNT(CL15,CR15,CZ15)=0,"",SUM(CL15,CR15,CZ15)/COUNT(CL15,CR15,CZ15))</f>
        <v>4</v>
      </c>
      <c r="DC15" s="188" t="str">
        <f t="shared" si="42"/>
        <v>A</v>
      </c>
      <c r="DD15" s="110"/>
      <c r="DE15" s="111"/>
      <c r="DF15" s="112"/>
      <c r="DG15" s="165" t="str">
        <f>IFERROR((((COUNTIF('Elève (3ème3)'!DD15:DF15,"A"))*4)+((COUNTIF('Elève (3ème3)'!DD15:DF15,"B"))*3)+((COUNTIF('Elève (3ème3)'!DD15:DF15,"C"))*2)+((COUNTIF('Elève (3ème3)'!DD15:DF15,"D"))*1))/(COUNTA(DD15:DF15)),"")</f>
        <v/>
      </c>
      <c r="DH15" s="166" t="str">
        <f t="shared" si="43"/>
        <v/>
      </c>
      <c r="DI15" s="110"/>
      <c r="DJ15" s="111"/>
      <c r="DK15" s="112"/>
      <c r="DL15" s="112"/>
      <c r="DM15" s="165" t="str">
        <f>IFERROR((((COUNTIF('Elève (3ème3)'!DI15:DL15,"A"))*4)+((COUNTIF('Elève (3ème3)'!DI15:DL15,"B"))*3)+((COUNTIF('Elève (3ème3)'!DI15:DL15,"C"))*2)+((COUNTIF('Elève (3ème3)'!DI15:DL15,"D"))*1))/(COUNTA(DI15:DL15)),"")</f>
        <v/>
      </c>
      <c r="DN15" s="166" t="str">
        <f t="shared" si="44"/>
        <v/>
      </c>
      <c r="DO15" s="110"/>
      <c r="DP15" s="111"/>
      <c r="DQ15" s="112" t="s">
        <v>28</v>
      </c>
      <c r="DR15" s="112" t="s">
        <v>27</v>
      </c>
      <c r="DS15" s="112"/>
      <c r="DT15" s="116"/>
      <c r="DU15" s="165">
        <f>IFERROR((((COUNTIF('Elève (3ème3)'!DO15:DT15,"A"))*4)+((COUNTIF('Elève (3ème3)'!DO15:DT15,"B"))*3)+((COUNTIF('Elève (3ème3)'!DO15:DT15,"C"))*2)+((COUNTIF('Elève (3ème3)'!DO15:DT15,"D"))*1))/(COUNTA(DO15:DT15)),"")</f>
        <v>3.5</v>
      </c>
      <c r="DV15" s="166" t="str">
        <f t="shared" si="45"/>
        <v>B</v>
      </c>
      <c r="DW15" s="190">
        <f>IF(COUNT(DG15,DM15,DU15)=0,"",SUM(DG15,DM15,DU15)/COUNT(DG15,DM15,DU15))</f>
        <v>3.5</v>
      </c>
      <c r="DX15" s="188" t="str">
        <f t="shared" si="46"/>
        <v>B</v>
      </c>
      <c r="DY15" s="110"/>
      <c r="DZ15" s="111"/>
      <c r="EA15" s="112"/>
      <c r="EB15" s="165" t="str">
        <f>IFERROR((((COUNTIF('Elève (3ème3)'!DY15:EA15,"A"))*4)+((COUNTIF('Elève (3ème3)'!DY15:EA15,"B"))*3)+((COUNTIF('Elève (3ème3)'!DY15:EA15,"C"))*2)+((COUNTIF('Elève (3ème3)'!DY15:EA15,"D"))*1))/(COUNTA(DY15:EA15)),"")</f>
        <v/>
      </c>
      <c r="EC15" s="166" t="str">
        <f t="shared" si="47"/>
        <v/>
      </c>
      <c r="ED15" s="110"/>
      <c r="EE15" s="111"/>
      <c r="EF15" s="112"/>
      <c r="EG15" s="112"/>
      <c r="EH15" s="165" t="str">
        <f>IFERROR((((COUNTIF('Elève (3ème3)'!ED15:EG15,"A"))*4)+((COUNTIF('Elève (3ème3)'!ED15:EG15,"B"))*3)+((COUNTIF('Elève (3ème3)'!ED15:EG15,"C"))*2)+((COUNTIF('Elève (3ème3)'!ED15:EG15,"D"))*1))/(COUNTA(ED15:EG15)),"")</f>
        <v/>
      </c>
      <c r="EI15" s="166" t="str">
        <f t="shared" si="48"/>
        <v/>
      </c>
      <c r="EJ15" s="110"/>
      <c r="EK15" s="111"/>
      <c r="EL15" s="112" t="s">
        <v>28</v>
      </c>
      <c r="EM15" s="112" t="s">
        <v>27</v>
      </c>
      <c r="EN15" s="112"/>
      <c r="EO15" s="116"/>
      <c r="EP15" s="165">
        <f>IFERROR((((COUNTIF('Elève (3ème3)'!EJ15:EO15,"A"))*4)+((COUNTIF('Elève (3ème3)'!EJ15:EO15,"B"))*3)+((COUNTIF('Elève (3ème3)'!EJ15:EO15,"C"))*2)+((COUNTIF('Elève (3ème3)'!EJ15:EO15,"D"))*1))/(COUNTA(EJ15:EO15)),"")</f>
        <v>3.5</v>
      </c>
      <c r="EQ15" s="166" t="str">
        <f t="shared" si="49"/>
        <v>B</v>
      </c>
      <c r="ER15" s="190">
        <f>IF(COUNT(EB15,EH15,EP15)=0,"",SUM(EB15,EH15,EP15)/COUNT(EB15,EH15,EP15))</f>
        <v>3.5</v>
      </c>
      <c r="ES15" s="188" t="str">
        <f t="shared" si="50"/>
        <v>B</v>
      </c>
      <c r="ET15" s="110"/>
      <c r="EU15" s="111"/>
      <c r="EV15" s="112"/>
      <c r="EW15" s="165" t="str">
        <f>IFERROR((((COUNTIF('Elève (3ème3)'!ET15:EV15,"A"))*4)+((COUNTIF('Elève (3ème3)'!ET15:EV15,"B"))*3)+((COUNTIF('Elève (3ème3)'!ET15:EV15,"C"))*2)+((COUNTIF('Elève (3ème3)'!ET15:EV15,"D"))*1))/(COUNTA(ET15:EV15)),"")</f>
        <v/>
      </c>
      <c r="EX15" s="166" t="str">
        <f t="shared" si="51"/>
        <v/>
      </c>
      <c r="EY15" s="110"/>
      <c r="EZ15" s="111"/>
      <c r="FA15" s="112"/>
      <c r="FB15" s="112"/>
      <c r="FC15" s="165" t="str">
        <f>IFERROR((((COUNTIF('Elève (3ème3)'!EY15:FB15,"A"))*4)+((COUNTIF('Elève (3ème3)'!EY15:FB15,"B"))*3)+((COUNTIF('Elève (3ème3)'!EY15:FB15,"C"))*2)+((COUNTIF('Elève (3ème3)'!EY15:FB15,"D"))*1))/(COUNTA(EY15:FB15)),"")</f>
        <v/>
      </c>
      <c r="FD15" s="166" t="str">
        <f t="shared" si="52"/>
        <v/>
      </c>
      <c r="FE15" s="110"/>
      <c r="FF15" s="111"/>
      <c r="FG15" s="112" t="s">
        <v>27</v>
      </c>
      <c r="FH15" s="112" t="s">
        <v>27</v>
      </c>
      <c r="FI15" s="112"/>
      <c r="FJ15" s="116"/>
      <c r="FK15" s="165">
        <f>IFERROR((((COUNTIF('Elève (3ème3)'!FE15:FJ15,"A"))*4)+((COUNTIF('Elève (3ème3)'!FE15:FJ15,"B"))*3)+((COUNTIF('Elève (3ème3)'!FE15:FJ15,"C"))*2)+((COUNTIF('Elève (3ème3)'!FE15:FJ15,"D"))*1))/(COUNTA(FE15:FJ15)),"")</f>
        <v>4</v>
      </c>
      <c r="FL15" s="166" t="str">
        <f t="shared" si="53"/>
        <v>A</v>
      </c>
      <c r="FM15" s="190">
        <f>IF(COUNT(EW15,FC15,FK15)=0,"",SUM(EW15,FC15,FK15)/COUNT(EW15,FC15,FK15))</f>
        <v>4</v>
      </c>
      <c r="FN15" s="188" t="str">
        <f t="shared" si="54"/>
        <v>A</v>
      </c>
      <c r="FO15" s="110"/>
      <c r="FP15" s="111"/>
      <c r="FQ15" s="112"/>
      <c r="FR15" s="165" t="str">
        <f>IFERROR((((COUNTIF('Elève (3ème3)'!FO15:FQ15,"A"))*4)+((COUNTIF('Elève (3ème3)'!FO15:FQ15,"B"))*3)+((COUNTIF('Elève (3ème3)'!FO15:FQ15,"C"))*2)+((COUNTIF('Elève (3ème3)'!FO15:FQ15,"D"))*1))/(COUNTA(FO15:FQ15)),"")</f>
        <v/>
      </c>
      <c r="FS15" s="166" t="str">
        <f t="shared" si="55"/>
        <v/>
      </c>
      <c r="FT15" s="110"/>
      <c r="FU15" s="111"/>
      <c r="FV15" s="112"/>
      <c r="FW15" s="112"/>
      <c r="FX15" s="165" t="str">
        <f>IFERROR((((COUNTIF('Elève (3ème3)'!FT15:FW15,"A"))*4)+((COUNTIF('Elève (3ème3)'!FT15:FW15,"B"))*3)+((COUNTIF('Elève (3ème3)'!FT15:FW15,"C"))*2)+((COUNTIF('Elève (3ème3)'!FT15:FW15,"D"))*1))/(COUNTA(FT15:FW15)),"")</f>
        <v/>
      </c>
      <c r="FY15" s="166" t="str">
        <f t="shared" si="56"/>
        <v/>
      </c>
      <c r="FZ15" s="110"/>
      <c r="GA15" s="111"/>
      <c r="GB15" s="112" t="s">
        <v>28</v>
      </c>
      <c r="GC15" s="112" t="s">
        <v>27</v>
      </c>
      <c r="GD15" s="112"/>
      <c r="GE15" s="116"/>
      <c r="GF15" s="165">
        <f>IFERROR((((COUNTIF('Elève (3ème3)'!FZ15:GE15,"A"))*4)+((COUNTIF('Elève (3ème3)'!FZ15:GE15,"B"))*3)+((COUNTIF('Elève (3ème3)'!FZ15:GE15,"C"))*2)+((COUNTIF('Elève (3ème3)'!FZ15:GE15,"D"))*1))/(COUNTA(FZ15:GE15)),"")</f>
        <v>3.5</v>
      </c>
      <c r="GG15" s="166" t="str">
        <f t="shared" si="57"/>
        <v>B</v>
      </c>
      <c r="GH15" s="190">
        <f>IF(COUNT(FR15,FX15,GF15)=0,"",SUM(FR15,FX15,GF15)/COUNT(FR15,FX15,GF15))</f>
        <v>3.5</v>
      </c>
      <c r="GI15" s="188" t="str">
        <f t="shared" si="58"/>
        <v>B</v>
      </c>
      <c r="GJ15" s="110"/>
      <c r="GK15" s="111"/>
      <c r="GL15" s="112"/>
      <c r="GM15" s="165" t="str">
        <f>IFERROR((((COUNTIF('Elève (3ème3)'!GJ15:GL15,"A"))*4)+((COUNTIF('Elève (3ème3)'!GJ15:GL15,"B"))*3)+((COUNTIF('Elève (3ème3)'!GJ15:GL15,"C"))*2)+((COUNTIF('Elève (3ème3)'!GJ15:GL15,"D"))*1))/(COUNTA(GJ15:GL15)),"")</f>
        <v/>
      </c>
      <c r="GN15" s="166" t="str">
        <f t="shared" si="59"/>
        <v/>
      </c>
      <c r="GO15" s="110"/>
      <c r="GP15" s="111"/>
      <c r="GQ15" s="112"/>
      <c r="GR15" s="112"/>
      <c r="GS15" s="165" t="str">
        <f>IFERROR((((COUNTIF('Elève (3ème3)'!GO15:GR15,"A"))*4)+((COUNTIF('Elève (3ème3)'!GO15:GR15,"B"))*3)+((COUNTIF('Elève (3ème3)'!GO15:GR15,"C"))*2)+((COUNTIF('Elève (3ème3)'!GO15:GR15,"D"))*1))/(COUNTA(GO15:GR15)),"")</f>
        <v/>
      </c>
      <c r="GT15" s="166" t="str">
        <f t="shared" si="60"/>
        <v/>
      </c>
      <c r="GU15" s="110"/>
      <c r="GV15" s="111"/>
      <c r="GW15" s="112" t="s">
        <v>28</v>
      </c>
      <c r="GX15" s="112" t="s">
        <v>27</v>
      </c>
      <c r="GY15" s="112"/>
      <c r="GZ15" s="116"/>
      <c r="HA15" s="165">
        <f>IFERROR((((COUNTIF('Elève (3ème3)'!GU15:GZ15,"A"))*4)+((COUNTIF('Elève (3ème3)'!GU15:GZ15,"B"))*3)+((COUNTIF('Elève (3ème3)'!GU15:GZ15,"C"))*2)+((COUNTIF('Elève (3ème3)'!GU15:GZ15,"D"))*1))/(COUNTA(GU15:GZ15)),"")</f>
        <v>3.5</v>
      </c>
      <c r="HB15" s="166" t="str">
        <f t="shared" si="61"/>
        <v>B</v>
      </c>
      <c r="HC15" s="190">
        <f>IF(COUNT(GM15,GS15,HA15)=0,"",SUM(GM15,GS15,HA15)/COUNT(GM15,GS15,HA15))</f>
        <v>3.5</v>
      </c>
      <c r="HD15" s="188" t="str">
        <f t="shared" si="62"/>
        <v>B</v>
      </c>
      <c r="HE15" s="110"/>
      <c r="HF15" s="111"/>
      <c r="HG15" s="112"/>
      <c r="HH15" s="165" t="str">
        <f>IFERROR((((COUNTIF('Elève (3ème3)'!HE15:HG15,"A"))*4)+((COUNTIF('Elève (3ème3)'!HE15:HG15,"B"))*3)+((COUNTIF('Elève (3ème3)'!HE15:HG15,"C"))*2)+((COUNTIF('Elève (3ème3)'!HE15:HG15,"D"))*1))/(COUNTA(HE15:HG15)),"")</f>
        <v/>
      </c>
      <c r="HI15" s="166" t="str">
        <f t="shared" si="63"/>
        <v/>
      </c>
      <c r="HJ15" s="110"/>
      <c r="HK15" s="111"/>
      <c r="HL15" s="112"/>
      <c r="HM15" s="112"/>
      <c r="HN15" s="165" t="str">
        <f>IFERROR((((COUNTIF('Elève (3ème3)'!HJ15:HM15,"A"))*4)+((COUNTIF('Elève (3ème3)'!HJ15:HM15,"B"))*3)+((COUNTIF('Elève (3ème3)'!HJ15:HM15,"C"))*2)+((COUNTIF('Elève (3ème3)'!HJ15:HM15,"D"))*1))/(COUNTA(HJ15:HM15)),"")</f>
        <v/>
      </c>
      <c r="HO15" s="166" t="str">
        <f t="shared" si="64"/>
        <v/>
      </c>
      <c r="HP15" s="110"/>
      <c r="HQ15" s="111"/>
      <c r="HR15" s="112" t="s">
        <v>28</v>
      </c>
      <c r="HS15" s="112" t="s">
        <v>27</v>
      </c>
      <c r="HT15" s="112"/>
      <c r="HU15" s="116"/>
      <c r="HV15" s="165">
        <f>IFERROR((((COUNTIF('Elève (3ème3)'!HP15:HU15,"A"))*4)+((COUNTIF('Elève (3ème3)'!HP15:HU15,"B"))*3)+((COUNTIF('Elève (3ème3)'!HP15:HU15,"C"))*2)+((COUNTIF('Elève (3ème3)'!HP15:HU15,"D"))*1))/(COUNTA(HP15:HU15)),"")</f>
        <v>3.5</v>
      </c>
      <c r="HW15" s="166" t="str">
        <f t="shared" si="65"/>
        <v>B</v>
      </c>
      <c r="HX15" s="190">
        <f>IF(COUNT(HH15,HN15,HV15)=0,"",SUM(HH15,HN15,HV15)/COUNT(HH15,HN15,HV15))</f>
        <v>3.5</v>
      </c>
      <c r="HY15" s="188" t="str">
        <f t="shared" si="66"/>
        <v>B</v>
      </c>
      <c r="HZ15" s="110"/>
      <c r="IA15" s="111"/>
      <c r="IB15" s="112"/>
      <c r="IC15" s="165" t="str">
        <f>IFERROR((((COUNTIF('Elève (3ème3)'!HZ15:IB15,"A"))*4)+((COUNTIF('Elève (3ème3)'!HZ15:IB15,"B"))*3)+((COUNTIF('Elève (3ème3)'!HZ15:IB15,"C"))*2)+((COUNTIF('Elève (3ème3)'!HZ15:IB15,"D"))*1))/(COUNTA(HZ15:IB15)),"")</f>
        <v/>
      </c>
      <c r="ID15" s="166" t="str">
        <f t="shared" si="67"/>
        <v/>
      </c>
      <c r="IE15" s="110"/>
      <c r="IF15" s="111"/>
      <c r="IG15" s="112"/>
      <c r="IH15" s="112"/>
      <c r="II15" s="165" t="str">
        <f>IFERROR((((COUNTIF('Elève (3ème3)'!IE15:IH15,"A"))*4)+((COUNTIF('Elève (3ème3)'!IE15:IH15,"B"))*3)+((COUNTIF('Elève (3ème3)'!IE15:IH15,"C"))*2)+((COUNTIF('Elève (3ème3)'!IE15:IH15,"D"))*1))/(COUNTA(IE15:IH15)),"")</f>
        <v/>
      </c>
      <c r="IJ15" s="166" t="str">
        <f t="shared" si="68"/>
        <v/>
      </c>
      <c r="IK15" s="110"/>
      <c r="IL15" s="111"/>
      <c r="IM15" s="112" t="s">
        <v>27</v>
      </c>
      <c r="IN15" s="112" t="s">
        <v>27</v>
      </c>
      <c r="IO15" s="112"/>
      <c r="IP15" s="116"/>
      <c r="IQ15" s="165">
        <f>IFERROR((((COUNTIF('Elève (3ème3)'!IK15:IP15,"A"))*4)+((COUNTIF('Elève (3ème3)'!IK15:IP15,"B"))*3)+((COUNTIF('Elève (3ème3)'!IK15:IP15,"C"))*2)+((COUNTIF('Elève (3ème3)'!IK15:IP15,"D"))*1))/(COUNTA(IK15:IP15)),"")</f>
        <v>4</v>
      </c>
      <c r="IR15" s="166" t="str">
        <f t="shared" si="69"/>
        <v>A</v>
      </c>
      <c r="IS15" s="190">
        <f>IF(COUNT(IC15,II15,IQ15)=0,"",SUM(IC15,II15,IQ15)/COUNT(IC15,II15,IQ15))</f>
        <v>4</v>
      </c>
      <c r="IT15" s="188" t="str">
        <f t="shared" si="70"/>
        <v>A</v>
      </c>
      <c r="IU15" s="110"/>
      <c r="IV15" s="111"/>
      <c r="IW15" s="112"/>
      <c r="IX15" s="165" t="str">
        <f>IFERROR((((COUNTIF('Elève (3ème3)'!IU15:IW15,"A"))*4)+((COUNTIF('Elève (3ème3)'!IU15:IW15,"B"))*3)+((COUNTIF('Elève (3ème3)'!IU15:IW15,"C"))*2)+((COUNTIF('Elève (3ème3)'!IU15:IW15,"D"))*1))/(COUNTA(IU15:IW15)),"")</f>
        <v/>
      </c>
      <c r="IY15" s="166" t="str">
        <f t="shared" si="71"/>
        <v/>
      </c>
      <c r="IZ15" s="110"/>
      <c r="JA15" s="111"/>
      <c r="JB15" s="112"/>
      <c r="JC15" s="112"/>
      <c r="JD15" s="165" t="str">
        <f>IFERROR((((COUNTIF('Elève (3ème3)'!IZ15:JC15,"A"))*4)+((COUNTIF('Elève (3ème3)'!IZ15:JC15,"B"))*3)+((COUNTIF('Elève (3ème3)'!IZ15:JC15,"C"))*2)+((COUNTIF('Elève (3ème3)'!IZ15:JC15,"D"))*1))/(COUNTA(IZ15:JC15)),"")</f>
        <v/>
      </c>
      <c r="JE15" s="166" t="str">
        <f t="shared" si="72"/>
        <v/>
      </c>
      <c r="JF15" s="110"/>
      <c r="JG15" s="111"/>
      <c r="JH15" s="112" t="s">
        <v>27</v>
      </c>
      <c r="JI15" s="112" t="s">
        <v>27</v>
      </c>
      <c r="JJ15" s="112"/>
      <c r="JK15" s="116"/>
      <c r="JL15" s="165">
        <f>IFERROR((((COUNTIF('Elève (3ème3)'!JF15:JK15,"A"))*4)+((COUNTIF('Elève (3ème3)'!JF15:JK15,"B"))*3)+((COUNTIF('Elève (3ème3)'!JF15:JK15,"C"))*2)+((COUNTIF('Elève (3ème3)'!JF15:JK15,"D"))*1))/(COUNTA(JF15:JK15)),"")</f>
        <v>4</v>
      </c>
      <c r="JM15" s="166" t="str">
        <f t="shared" si="73"/>
        <v>A</v>
      </c>
      <c r="JN15" s="190">
        <f>IF(COUNT(IX15,JD15,JL15)=0,"",SUM(IX15,JD15,JL15)/COUNT(IX15,JD15,JL15))</f>
        <v>4</v>
      </c>
      <c r="JO15" s="188" t="str">
        <f t="shared" si="74"/>
        <v>A</v>
      </c>
      <c r="JP15" s="110"/>
      <c r="JQ15" s="111"/>
      <c r="JR15" s="112"/>
      <c r="JS15" s="165" t="str">
        <f>IFERROR((((COUNTIF('Elève (3ème3)'!JP15:JR15,"A"))*4)+((COUNTIF('Elève (3ème3)'!JP15:JR15,"B"))*3)+((COUNTIF('Elève (3ème3)'!JP15:JR15,"C"))*2)+((COUNTIF('Elève (3ème3)'!JP15:JR15,"D"))*1))/(COUNTA(JP15:JR15)),"")</f>
        <v/>
      </c>
      <c r="JT15" s="166" t="str">
        <f t="shared" si="75"/>
        <v/>
      </c>
      <c r="JU15" s="110"/>
      <c r="JV15" s="111"/>
      <c r="JW15" s="112"/>
      <c r="JX15" s="112"/>
      <c r="JY15" s="165" t="str">
        <f>IFERROR((((COUNTIF('Elève (3ème3)'!JU15:JX15,"A"))*4)+((COUNTIF('Elève (3ème3)'!JU15:JX15,"B"))*3)+((COUNTIF('Elève (3ème3)'!JU15:JX15,"C"))*2)+((COUNTIF('Elève (3ème3)'!JU15:JX15,"D"))*1))/(COUNTA(JU15:JX15)),"")</f>
        <v/>
      </c>
      <c r="JZ15" s="166" t="str">
        <f t="shared" si="76"/>
        <v/>
      </c>
      <c r="KA15" s="110"/>
      <c r="KB15" s="111"/>
      <c r="KC15" s="112" t="s">
        <v>27</v>
      </c>
      <c r="KD15" s="112" t="s">
        <v>27</v>
      </c>
      <c r="KE15" s="112"/>
      <c r="KF15" s="116"/>
      <c r="KG15" s="165">
        <f>IFERROR((((COUNTIF('Elève (3ème3)'!KA15:KF15,"A"))*4)+((COUNTIF('Elève (3ème3)'!KA15:KF15,"B"))*3)+((COUNTIF('Elève (3ème3)'!KA15:KF15,"C"))*2)+((COUNTIF('Elève (3ème3)'!KA15:KF15,"D"))*1))/(COUNTA(KA15:KF15)),"")</f>
        <v>4</v>
      </c>
      <c r="KH15" s="166" t="str">
        <f t="shared" si="77"/>
        <v>A</v>
      </c>
      <c r="KI15" s="190">
        <f>IF(COUNT(JS15,JY15,KG15)=0,"",SUM(JS15,JY15,KG15)/COUNT(JS15,JY15,KG15))</f>
        <v>4</v>
      </c>
      <c r="KJ15" s="188" t="str">
        <f t="shared" si="78"/>
        <v>A</v>
      </c>
      <c r="KK15" s="110"/>
      <c r="KL15" s="111"/>
      <c r="KM15" s="112"/>
      <c r="KN15" s="165" t="str">
        <f>IFERROR((((COUNTIF('Elève (3ème3)'!KK15:KM15,"A"))*4)+((COUNTIF('Elève (3ème3)'!KK15:KM15,"B"))*3)+((COUNTIF('Elève (3ème3)'!KK15:KM15,"C"))*2)+((COUNTIF('Elève (3ème3)'!KK15:KM15,"D"))*1))/(COUNTA(KK15:KM15)),"")</f>
        <v/>
      </c>
      <c r="KO15" s="166" t="str">
        <f t="shared" si="79"/>
        <v/>
      </c>
      <c r="KP15" s="110"/>
      <c r="KQ15" s="111"/>
      <c r="KR15" s="112"/>
      <c r="KS15" s="112"/>
      <c r="KT15" s="165" t="str">
        <f>IFERROR((((COUNTIF('Elève (3ème3)'!KP15:KS15,"A"))*4)+((COUNTIF('Elève (3ème3)'!KP15:KS15,"B"))*3)+((COUNTIF('Elève (3ème3)'!KP15:KS15,"C"))*2)+((COUNTIF('Elève (3ème3)'!KP15:KS15,"D"))*1))/(COUNTA(KP15:KS15)),"")</f>
        <v/>
      </c>
      <c r="KU15" s="166" t="str">
        <f t="shared" si="80"/>
        <v/>
      </c>
      <c r="KV15" s="110"/>
      <c r="KW15" s="111"/>
      <c r="KX15" s="112" t="s">
        <v>28</v>
      </c>
      <c r="KY15" s="112" t="s">
        <v>27</v>
      </c>
      <c r="KZ15" s="112"/>
      <c r="LA15" s="116"/>
      <c r="LB15" s="165">
        <f>IFERROR((((COUNTIF('Elève (3ème3)'!KV15:LA15,"A"))*4)+((COUNTIF('Elève (3ème3)'!KV15:LA15,"B"))*3)+((COUNTIF('Elève (3ème3)'!KV15:LA15,"C"))*2)+((COUNTIF('Elève (3ème3)'!KV15:LA15,"D"))*1))/(COUNTA(KV15:LA15)),"")</f>
        <v>3.5</v>
      </c>
      <c r="LC15" s="166" t="str">
        <f t="shared" si="81"/>
        <v>B</v>
      </c>
      <c r="LD15" s="190">
        <f>IF(COUNT(KN15,KT15,LB15)=0,"",SUM(KN15,KT15,LB15)/COUNT(KN15,KT15,LB15))</f>
        <v>3.5</v>
      </c>
      <c r="LE15" s="188" t="str">
        <f t="shared" si="82"/>
        <v>B</v>
      </c>
      <c r="LF15" s="110"/>
      <c r="LG15" s="111"/>
      <c r="LH15" s="112"/>
      <c r="LI15" s="165" t="str">
        <f>IFERROR((((COUNTIF('Elève (3ème3)'!LF15:LH15,"A"))*4)+((COUNTIF('Elève (3ème3)'!LF15:LH15,"B"))*3)+((COUNTIF('Elève (3ème3)'!LF15:LH15,"C"))*2)+((COUNTIF('Elève (3ème3)'!LF15:LH15,"D"))*1))/(COUNTA(LF15:LH15)),"")</f>
        <v/>
      </c>
      <c r="LJ15" s="166" t="str">
        <f t="shared" si="83"/>
        <v/>
      </c>
      <c r="LK15" s="110"/>
      <c r="LL15" s="111"/>
      <c r="LM15" s="112"/>
      <c r="LN15" s="112"/>
      <c r="LO15" s="165" t="str">
        <f>IFERROR((((COUNTIF('Elève (3ème3)'!LK15:LN15,"A"))*4)+((COUNTIF('Elève (3ème3)'!LK15:LN15,"B"))*3)+((COUNTIF('Elève (3ème3)'!LK15:LN15,"C"))*2)+((COUNTIF('Elève (3ème3)'!LK15:LN15,"D"))*1))/(COUNTA(LK15:LN15)),"")</f>
        <v/>
      </c>
      <c r="LP15" s="166" t="str">
        <f t="shared" si="84"/>
        <v/>
      </c>
      <c r="LQ15" s="110"/>
      <c r="LR15" s="111"/>
      <c r="LS15" s="112" t="s">
        <v>28</v>
      </c>
      <c r="LT15" s="112" t="s">
        <v>27</v>
      </c>
      <c r="LU15" s="112"/>
      <c r="LV15" s="116"/>
      <c r="LW15" s="165">
        <f>IFERROR((((COUNTIF('Elève (3ème3)'!LQ15:LV15,"A"))*4)+((COUNTIF('Elève (3ème3)'!LQ15:LV15,"B"))*3)+((COUNTIF('Elève (3ème3)'!LQ15:LV15,"C"))*2)+((COUNTIF('Elève (3ème3)'!LQ15:LV15,"D"))*1))/(COUNTA(LQ15:LV15)),"")</f>
        <v>3.5</v>
      </c>
      <c r="LX15" s="166" t="str">
        <f t="shared" si="85"/>
        <v>B</v>
      </c>
      <c r="LY15" s="190">
        <f>IF(COUNT(LI15,LO15,LW15)=0,"",SUM(LI15,LO15,LW15)/COUNT(LI15,LO15,LW15))</f>
        <v>3.5</v>
      </c>
      <c r="LZ15" s="188" t="str">
        <f t="shared" si="86"/>
        <v>B</v>
      </c>
      <c r="MA15" s="110"/>
      <c r="MB15" s="111"/>
      <c r="MC15" s="112"/>
      <c r="MD15" s="165" t="str">
        <f>IFERROR((((COUNTIF('Elève (3ème3)'!MA15:MC15,"A"))*4)+((COUNTIF('Elève (3ème3)'!MA15:MC15,"B"))*3)+((COUNTIF('Elève (3ème3)'!MA15:MC15,"C"))*2)+((COUNTIF('Elève (3ème3)'!MA15:MC15,"D"))*1))/(COUNTA(MA15:MC15)),"")</f>
        <v/>
      </c>
      <c r="ME15" s="166" t="str">
        <f t="shared" si="87"/>
        <v/>
      </c>
      <c r="MF15" s="110"/>
      <c r="MG15" s="111"/>
      <c r="MH15" s="112"/>
      <c r="MI15" s="112"/>
      <c r="MJ15" s="165" t="str">
        <f>IFERROR((((COUNTIF('Elève (3ème3)'!MF15:MI15,"A"))*4)+((COUNTIF('Elève (3ème3)'!MF15:MI15,"B"))*3)+((COUNTIF('Elève (3ème3)'!MF15:MI15,"C"))*2)+((COUNTIF('Elève (3ème3)'!MF15:MI15,"D"))*1))/(COUNTA(MF15:MI15)),"")</f>
        <v/>
      </c>
      <c r="MK15" s="166" t="str">
        <f t="shared" si="88"/>
        <v/>
      </c>
      <c r="ML15" s="110"/>
      <c r="MM15" s="111"/>
      <c r="MN15" s="112" t="s">
        <v>28</v>
      </c>
      <c r="MO15" s="112" t="s">
        <v>30</v>
      </c>
      <c r="MP15" s="112"/>
      <c r="MQ15" s="116"/>
      <c r="MR15" s="165">
        <f>IFERROR((((COUNTIF('Elève (3ème3)'!ML15:MQ15,"A"))*4)+((COUNTIF('Elève (3ème3)'!ML15:MQ15,"B"))*3)+((COUNTIF('Elève (3ème3)'!ML15:MQ15,"C"))*2)+((COUNTIF('Elève (3ème3)'!ML15:MQ15,"D"))*1))/(COUNTA(ML15:MQ15)),"")</f>
        <v>2</v>
      </c>
      <c r="MS15" s="166" t="str">
        <f t="shared" si="89"/>
        <v>C</v>
      </c>
      <c r="MT15" s="190">
        <f>IF(COUNT(MD15,MJ15,MR15)=0,"",SUM(MD15,MJ15,MR15)/COUNT(MD15,MJ15,MR15))</f>
        <v>2</v>
      </c>
      <c r="MU15" s="188" t="str">
        <f t="shared" si="90"/>
        <v>C</v>
      </c>
      <c r="MV15" s="110"/>
      <c r="MW15" s="111"/>
      <c r="MX15" s="112"/>
      <c r="MY15" s="165" t="str">
        <f>IFERROR((((COUNTIF('Elève (3ème3)'!MV15:MX15,"A"))*4)+((COUNTIF('Elève (3ème3)'!MV15:MX15,"B"))*3)+((COUNTIF('Elève (3ème3)'!MV15:MX15,"C"))*2)+((COUNTIF('Elève (3ème3)'!MV15:MX15,"D"))*1))/(COUNTA(MV15:MX15)),"")</f>
        <v/>
      </c>
      <c r="MZ15" s="166" t="str">
        <f t="shared" si="91"/>
        <v/>
      </c>
      <c r="NA15" s="110"/>
      <c r="NB15" s="111"/>
      <c r="NC15" s="112"/>
      <c r="ND15" s="112"/>
      <c r="NE15" s="165" t="str">
        <f>IFERROR((((COUNTIF('Elève (3ème3)'!NA15:ND15,"A"))*4)+((COUNTIF('Elève (3ème3)'!NA15:ND15,"B"))*3)+((COUNTIF('Elève (3ème3)'!NA15:ND15,"C"))*2)+((COUNTIF('Elève (3ème3)'!NA15:ND15,"D"))*1))/(COUNTA(NA15:ND15)),"")</f>
        <v/>
      </c>
      <c r="NF15" s="166" t="str">
        <f t="shared" si="92"/>
        <v/>
      </c>
      <c r="NG15" s="110"/>
      <c r="NH15" s="111"/>
      <c r="NI15" s="112" t="s">
        <v>27</v>
      </c>
      <c r="NJ15" s="112" t="s">
        <v>27</v>
      </c>
      <c r="NK15" s="112"/>
      <c r="NL15" s="116"/>
      <c r="NM15" s="165">
        <f>IFERROR((((COUNTIF('Elève (3ème3)'!NG15:NL15,"A"))*4)+((COUNTIF('Elève (3ème3)'!NG15:NL15,"B"))*3)+((COUNTIF('Elève (3ème3)'!NG15:NL15,"C"))*2)+((COUNTIF('Elève (3ème3)'!NG15:NL15,"D"))*1))/(COUNTA(NG15:NL15)),"")</f>
        <v>4</v>
      </c>
      <c r="NN15" s="166" t="str">
        <f t="shared" si="93"/>
        <v>A</v>
      </c>
      <c r="NO15" s="190">
        <f>IF(COUNT(MY15,NE15,NM15)=0,"",SUM(MY15,NE15,NM15)/COUNT(MY15,NE15,NM15))</f>
        <v>4</v>
      </c>
      <c r="NP15" s="188" t="str">
        <f t="shared" si="94"/>
        <v>A</v>
      </c>
      <c r="NQ15" s="110"/>
      <c r="NR15" s="111"/>
      <c r="NS15" s="112"/>
      <c r="NT15" s="165" t="str">
        <f>IFERROR((((COUNTIF('Elève (3ème3)'!NQ15:NS15,"A"))*4)+((COUNTIF('Elève (3ème3)'!NQ15:NS15,"B"))*3)+((COUNTIF('Elève (3ème3)'!NQ15:NS15,"C"))*2)+((COUNTIF('Elève (3ème3)'!NQ15:NS15,"D"))*1))/(COUNTA(NQ15:NS15)),"")</f>
        <v/>
      </c>
      <c r="NU15" s="166" t="str">
        <f t="shared" si="95"/>
        <v/>
      </c>
      <c r="NV15" s="110"/>
      <c r="NW15" s="111"/>
      <c r="NX15" s="112"/>
      <c r="NY15" s="112"/>
      <c r="NZ15" s="165" t="str">
        <f>IFERROR((((COUNTIF('Elève (3ème3)'!NV15:NY15,"A"))*4)+((COUNTIF('Elève (3ème3)'!NV15:NY15,"B"))*3)+((COUNTIF('Elève (3ème3)'!NV15:NY15,"C"))*2)+((COUNTIF('Elève (3ème3)'!NV15:NY15,"D"))*1))/(COUNTA(NV15:NY15)),"")</f>
        <v/>
      </c>
      <c r="OA15" s="166" t="str">
        <f t="shared" si="96"/>
        <v/>
      </c>
      <c r="OB15" s="110"/>
      <c r="OC15" s="111"/>
      <c r="OD15" s="112" t="s">
        <v>27</v>
      </c>
      <c r="OE15" s="112" t="s">
        <v>27</v>
      </c>
      <c r="OF15" s="112"/>
      <c r="OG15" s="116"/>
      <c r="OH15" s="165">
        <f>IFERROR((((COUNTIF('Elève (3ème3)'!OB15:OG15,"A"))*4)+((COUNTIF('Elève (3ème3)'!OB15:OG15,"B"))*3)+((COUNTIF('Elève (3ème3)'!OB15:OG15,"C"))*2)+((COUNTIF('Elève (3ème3)'!OB15:OG15,"D"))*1))/(COUNTA(OB15:OG15)),"")</f>
        <v>4</v>
      </c>
      <c r="OI15" s="166" t="str">
        <f t="shared" si="97"/>
        <v>A</v>
      </c>
      <c r="OJ15" s="190">
        <f>IF(COUNT(NT15,NZ15,OH15)=0,"",SUM(NT15,NZ15,OH15)/COUNT(NT15,NZ15,OH15))</f>
        <v>4</v>
      </c>
      <c r="OK15" s="188" t="str">
        <f t="shared" si="98"/>
        <v>A</v>
      </c>
      <c r="OL15" s="110"/>
      <c r="OM15" s="111"/>
      <c r="ON15" s="112"/>
      <c r="OO15" s="165" t="str">
        <f>IFERROR((((COUNTIF('Elève (3ème3)'!OL15:ON15,"A"))*4)+((COUNTIF('Elève (3ème3)'!OL15:ON15,"B"))*3)+((COUNTIF('Elève (3ème3)'!OL15:ON15,"C"))*2)+((COUNTIF('Elève (3ème3)'!OL15:ON15,"D"))*1))/(COUNTA(OL15:ON15)),"")</f>
        <v/>
      </c>
      <c r="OP15" s="166" t="str">
        <f t="shared" si="99"/>
        <v/>
      </c>
      <c r="OQ15" s="110"/>
      <c r="OR15" s="111"/>
      <c r="OS15" s="112"/>
      <c r="OT15" s="112"/>
      <c r="OU15" s="165" t="str">
        <f>IFERROR((((COUNTIF('Elève (3ème3)'!OQ15:OT15,"A"))*4)+((COUNTIF('Elève (3ème3)'!OQ15:OT15,"B"))*3)+((COUNTIF('Elève (3ème3)'!OQ15:OT15,"C"))*2)+((COUNTIF('Elève (3ème3)'!OQ15:OT15,"D"))*1))/(COUNTA(OQ15:OT15)),"")</f>
        <v/>
      </c>
      <c r="OV15" s="166" t="str">
        <f t="shared" si="100"/>
        <v/>
      </c>
      <c r="OW15" s="110"/>
      <c r="OX15" s="111"/>
      <c r="OY15" s="112" t="s">
        <v>27</v>
      </c>
      <c r="OZ15" s="112" t="s">
        <v>30</v>
      </c>
      <c r="PA15" s="112"/>
      <c r="PB15" s="116"/>
      <c r="PC15" s="165">
        <f>IFERROR((((COUNTIF('Elève (3ème3)'!OW15:PB15,"A"))*4)+((COUNTIF('Elève (3ème3)'!OW15:PB15,"B"))*3)+((COUNTIF('Elève (3ème3)'!OW15:PB15,"C"))*2)+((COUNTIF('Elève (3ème3)'!OW15:PB15,"D"))*1))/(COUNTA(OW15:PB15)),"")</f>
        <v>2.5</v>
      </c>
      <c r="PD15" s="166" t="str">
        <f t="shared" si="101"/>
        <v>C</v>
      </c>
      <c r="PE15" s="190">
        <f>IF(COUNT(OO15,OU15,PC15)=0,"",SUM(OO15,OU15,PC15)/COUNT(OO15,OU15,PC15))</f>
        <v>2.5</v>
      </c>
      <c r="PF15" s="188" t="str">
        <f t="shared" si="102"/>
        <v>C</v>
      </c>
      <c r="PG15" s="110"/>
      <c r="PH15" s="111"/>
      <c r="PI15" s="112"/>
      <c r="PJ15" s="165" t="str">
        <f>IFERROR((((COUNTIF('Elève (3ème3)'!PG15:PI15,"A"))*4)+((COUNTIF('Elève (3ème3)'!PG15:PI15,"B"))*3)+((COUNTIF('Elève (3ème3)'!PG15:PI15,"C"))*2)+((COUNTIF('Elève (3ème3)'!PG15:PI15,"D"))*1))/(COUNTA(PG15:PI15)),"")</f>
        <v/>
      </c>
      <c r="PK15" s="166" t="str">
        <f t="shared" si="103"/>
        <v/>
      </c>
      <c r="PL15" s="110"/>
      <c r="PM15" s="111"/>
      <c r="PN15" s="112"/>
      <c r="PO15" s="112"/>
      <c r="PP15" s="165" t="str">
        <f>IFERROR((((COUNTIF('Elève (3ème3)'!PL15:PO15,"A"))*4)+((COUNTIF('Elève (3ème3)'!PL15:PO15,"B"))*3)+((COUNTIF('Elève (3ème3)'!PL15:PO15,"C"))*2)+((COUNTIF('Elève (3ème3)'!PL15:PO15,"D"))*1))/(COUNTA(PL15:PO15)),"")</f>
        <v/>
      </c>
      <c r="PQ15" s="166" t="str">
        <f t="shared" si="104"/>
        <v/>
      </c>
      <c r="PR15" s="110"/>
      <c r="PS15" s="111"/>
      <c r="PT15" s="112" t="s">
        <v>28</v>
      </c>
      <c r="PU15" s="112" t="s">
        <v>27</v>
      </c>
      <c r="PV15" s="112"/>
      <c r="PW15" s="116"/>
      <c r="PX15" s="165">
        <f>IFERROR((((COUNTIF('Elève (3ème3)'!PR15:PW15,"A"))*4)+((COUNTIF('Elève (3ème3)'!PR15:PW15,"B"))*3)+((COUNTIF('Elève (3ème3)'!PR15:PW15,"C"))*2)+((COUNTIF('Elève (3ème3)'!PR15:PW15,"D"))*1))/(COUNTA(PR15:PW15)),"")</f>
        <v>3.5</v>
      </c>
      <c r="PY15" s="166" t="str">
        <f t="shared" si="105"/>
        <v>B</v>
      </c>
      <c r="PZ15" s="190">
        <f>IF(COUNT(PJ15,PP15,PX15)=0,"",SUM(PJ15,PP15,PX15)/COUNT(PJ15,PP15,PX15))</f>
        <v>3.5</v>
      </c>
      <c r="QA15" s="188" t="str">
        <f t="shared" si="106"/>
        <v>B</v>
      </c>
      <c r="QB15" s="110"/>
      <c r="QC15" s="111"/>
      <c r="QD15" s="112"/>
      <c r="QE15" s="165" t="str">
        <f>IFERROR((((COUNTIF('Elève (3ème3)'!QB15:QD15,"A"))*4)+((COUNTIF('Elève (3ème3)'!QB15:QD15,"B"))*3)+((COUNTIF('Elève (3ème3)'!QB15:QD15,"C"))*2)+((COUNTIF('Elève (3ème3)'!QB15:QD15,"D"))*1))/(COUNTA(QB15:QD15)),"")</f>
        <v/>
      </c>
      <c r="QF15" s="166" t="str">
        <f t="shared" si="107"/>
        <v/>
      </c>
      <c r="QG15" s="110"/>
      <c r="QH15" s="111"/>
      <c r="QI15" s="112"/>
      <c r="QJ15" s="112"/>
      <c r="QK15" s="165" t="str">
        <f>IFERROR((((COUNTIF('Elève (3ème3)'!QG15:QJ15,"A"))*4)+((COUNTIF('Elève (3ème3)'!QG15:QJ15,"B"))*3)+((COUNTIF('Elève (3ème3)'!QG15:QJ15,"C"))*2)+((COUNTIF('Elève (3ème3)'!QG15:QJ15,"D"))*1))/(COUNTA(QG15:QJ15)),"")</f>
        <v/>
      </c>
      <c r="QL15" s="166" t="str">
        <f t="shared" si="108"/>
        <v/>
      </c>
      <c r="QM15" s="110"/>
      <c r="QN15" s="111"/>
      <c r="QO15" s="112" t="s">
        <v>27</v>
      </c>
      <c r="QP15" s="112" t="s">
        <v>27</v>
      </c>
      <c r="QQ15" s="112"/>
      <c r="QR15" s="116"/>
      <c r="QS15" s="165">
        <f>IFERROR((((COUNTIF('Elève (3ème3)'!QM15:QR15,"A"))*4)+((COUNTIF('Elève (3ème3)'!QM15:QR15,"B"))*3)+((COUNTIF('Elève (3ème3)'!QM15:QR15,"C"))*2)+((COUNTIF('Elève (3ème3)'!QM15:QR15,"D"))*1))/(COUNTA(QM15:QR15)),"")</f>
        <v>4</v>
      </c>
      <c r="QT15" s="166" t="str">
        <f t="shared" si="109"/>
        <v>A</v>
      </c>
      <c r="QU15" s="190">
        <f>IF(COUNT(QE15,QK15,QS15)=0,"",SUM(QE15,QK15,QS15)/COUNT(QE15,QK15,QS15))</f>
        <v>4</v>
      </c>
      <c r="QV15" s="188" t="str">
        <f t="shared" si="110"/>
        <v>A</v>
      </c>
      <c r="QW15" s="110"/>
      <c r="QX15" s="111"/>
      <c r="QY15" s="112"/>
      <c r="QZ15" s="165" t="str">
        <f>IFERROR((((COUNTIF('Elève (3ème3)'!QW15:QY15,"A"))*4)+((COUNTIF('Elève (3ème3)'!QW15:QY15,"B"))*3)+((COUNTIF('Elève (3ème3)'!QW15:QY15,"C"))*2)+((COUNTIF('Elève (3ème3)'!QW15:QY15,"D"))*1))/(COUNTA(QW15:QY15)),"")</f>
        <v/>
      </c>
      <c r="RA15" s="166" t="str">
        <f t="shared" si="111"/>
        <v/>
      </c>
      <c r="RB15" s="110"/>
      <c r="RC15" s="111"/>
      <c r="RD15" s="112"/>
      <c r="RE15" s="112"/>
      <c r="RF15" s="165" t="str">
        <f>IFERROR((((COUNTIF('Elève (3ème3)'!RB15:RE15,"A"))*4)+((COUNTIF('Elève (3ème3)'!RB15:RE15,"B"))*3)+((COUNTIF('Elève (3ème3)'!RB15:RE15,"C"))*2)+((COUNTIF('Elève (3ème3)'!RB15:RE15,"D"))*1))/(COUNTA(RB15:RE15)),"")</f>
        <v/>
      </c>
      <c r="RG15" s="166" t="str">
        <f t="shared" si="112"/>
        <v/>
      </c>
      <c r="RH15" s="110"/>
      <c r="RI15" s="111"/>
      <c r="RJ15" s="112" t="s">
        <v>28</v>
      </c>
      <c r="RK15" s="112" t="s">
        <v>30</v>
      </c>
      <c r="RL15" s="112"/>
      <c r="RM15" s="116"/>
      <c r="RN15" s="165">
        <f>IFERROR((((COUNTIF('Elève (3ème3)'!RH15:RM15,"A"))*4)+((COUNTIF('Elève (3ème3)'!RH15:RM15,"B"))*3)+((COUNTIF('Elève (3ème3)'!RH15:RM15,"C"))*2)+((COUNTIF('Elève (3ème3)'!RH15:RM15,"D"))*1))/(COUNTA(RH15:RM15)),"")</f>
        <v>2</v>
      </c>
      <c r="RO15" s="166" t="str">
        <f t="shared" si="113"/>
        <v>C</v>
      </c>
      <c r="RP15" s="190">
        <f>IF(COUNT(QZ15,RF15,RN15)=0,"",SUM(QZ15,RF15,RN15)/COUNT(QZ15,RF15,RN15))</f>
        <v>2</v>
      </c>
      <c r="RQ15" s="188" t="str">
        <f t="shared" si="114"/>
        <v>C</v>
      </c>
      <c r="RR15" s="110"/>
      <c r="RS15" s="111"/>
      <c r="RT15" s="112"/>
      <c r="RU15" s="165" t="str">
        <f>IFERROR((((COUNTIF('Elève (3ème3)'!RR15:RT15,"A"))*4)+((COUNTIF('Elève (3ème3)'!RR15:RT15,"B"))*3)+((COUNTIF('Elève (3ème3)'!RR15:RT15,"C"))*2)+((COUNTIF('Elève (3ème3)'!RR15:RT15,"D"))*1))/(COUNTA(RR15:RT15)),"")</f>
        <v/>
      </c>
      <c r="RV15" s="166" t="str">
        <f t="shared" si="115"/>
        <v/>
      </c>
      <c r="RW15" s="110"/>
      <c r="RX15" s="111"/>
      <c r="RY15" s="112"/>
      <c r="RZ15" s="112"/>
      <c r="SA15" s="165" t="str">
        <f>IFERROR((((COUNTIF('Elève (3ème3)'!RW15:RZ15,"A"))*4)+((COUNTIF('Elève (3ème3)'!RW15:RZ15,"B"))*3)+((COUNTIF('Elève (3ème3)'!RW15:RZ15,"C"))*2)+((COUNTIF('Elève (3ème3)'!RW15:RZ15,"D"))*1))/(COUNTA(RW15:RZ15)),"")</f>
        <v/>
      </c>
      <c r="SB15" s="166" t="str">
        <f t="shared" si="116"/>
        <v/>
      </c>
      <c r="SC15" s="110"/>
      <c r="SD15" s="111"/>
      <c r="SE15" s="112" t="s">
        <v>27</v>
      </c>
      <c r="SF15" s="112" t="s">
        <v>30</v>
      </c>
      <c r="SG15" s="112"/>
      <c r="SH15" s="116"/>
      <c r="SI15" s="165">
        <f>IFERROR((((COUNTIF('Elève (3ème3)'!SC15:SH15,"A"))*4)+((COUNTIF('Elève (3ème3)'!SC15:SH15,"B"))*3)+((COUNTIF('Elève (3ème3)'!SC15:SH15,"C"))*2)+((COUNTIF('Elève (3ème3)'!SC15:SH15,"D"))*1))/(COUNTA(SC15:SH15)),"")</f>
        <v>2.5</v>
      </c>
      <c r="SJ15" s="166" t="str">
        <f t="shared" si="117"/>
        <v>C</v>
      </c>
      <c r="SK15" s="190">
        <f>IF(COUNT(RU15,SA15,SI15)=0,"",SUM(RU15,SA15,SI15)/COUNT(RU15,SA15,SI15))</f>
        <v>2.5</v>
      </c>
      <c r="SL15" s="188" t="str">
        <f t="shared" si="118"/>
        <v>C</v>
      </c>
      <c r="SM15" s="110"/>
      <c r="SN15" s="111"/>
      <c r="SO15" s="112"/>
      <c r="SP15" s="113" t="str">
        <f>IFERROR((((COUNTIF('Elève (3ème3)'!SM15:SO15,"A"))*4)+((COUNTIF('Elève (3ème3)'!SM15:SO15,"B"))*3)+((COUNTIF('Elève (3ème3)'!SM15:SO15,"C"))*2)+((COUNTIF('Elève (3ème3)'!SM15:SO15,"D"))*1))/(COUNTA(SM15:SO15)),"")</f>
        <v/>
      </c>
      <c r="SQ15" s="114" t="str">
        <f t="shared" si="119"/>
        <v/>
      </c>
      <c r="SR15" s="110"/>
      <c r="SS15" s="111"/>
      <c r="ST15" s="112"/>
      <c r="SU15" s="113" t="str">
        <f>IFERROR((((COUNTIF('Elève (3ème3)'!SR15:ST15,"A"))*4)+((COUNTIF('Elève (3ème3)'!SR15:ST15,"B"))*3)+((COUNTIF('Elève (3ème3)'!SR15:ST15,"C"))*2)+((COUNTIF('Elève (3ème3)'!SR15:ST15,"D"))*1))/(COUNTA(SR15:ST15)),"")</f>
        <v/>
      </c>
      <c r="SV15" s="114" t="str">
        <f t="shared" si="120"/>
        <v/>
      </c>
      <c r="SW15" s="110"/>
      <c r="SX15" s="111"/>
      <c r="SY15" s="116"/>
      <c r="SZ15" s="113" t="str">
        <f>IFERROR((((COUNTIF('Elève (3ème3)'!SW15:SY15,"A"))*4)+((COUNTIF('Elève (3ème3)'!SW15:SY15,"B"))*3)+((COUNTIF('Elève (3ème3)'!SW15:SY15,"C"))*2)+((COUNTIF('Elève (3ème3)'!SW15:SY15,"D"))*1))/(COUNTA(SW15:SY15)),"")</f>
        <v/>
      </c>
      <c r="TA15" s="114" t="str">
        <f t="shared" si="121"/>
        <v/>
      </c>
      <c r="TB15" s="122" t="str">
        <f>IF(COUNT(SP15,SU15,SZ15)=0,"",SUM(SP15,SU15,SZ15)/COUNT(SP15,SU15,SZ15))</f>
        <v/>
      </c>
      <c r="TC15" s="115" t="str">
        <f t="shared" si="122"/>
        <v/>
      </c>
      <c r="TD15" s="110"/>
      <c r="TE15" s="111"/>
      <c r="TF15" s="112"/>
      <c r="TG15" s="113" t="str">
        <f>IFERROR((((COUNTIF('Elève (3ème3)'!TD15:TF15,"A"))*4)+((COUNTIF('Elève (3ème3)'!TD15:TF15,"B"))*3)+((COUNTIF('Elève (3ème3)'!TD15:TF15,"C"))*2)+((COUNTIF('Elève (3ème3)'!TD15:TF15,"D"))*1))/(COUNTA(TD15:TF15)),"")</f>
        <v/>
      </c>
      <c r="TH15" s="114" t="str">
        <f t="shared" si="123"/>
        <v/>
      </c>
      <c r="TI15" s="110"/>
      <c r="TJ15" s="111"/>
      <c r="TK15" s="112"/>
      <c r="TL15" s="113" t="str">
        <f>IFERROR((((COUNTIF('Elève (3ème3)'!TI15:TK15,"A"))*4)+((COUNTIF('Elève (3ème3)'!TI15:TK15,"B"))*3)+((COUNTIF('Elève (3ème3)'!TI15:TK15,"C"))*2)+((COUNTIF('Elève (3ème3)'!TI15:TK15,"D"))*1))/(COUNTA(TI15:TK15)),"")</f>
        <v/>
      </c>
      <c r="TM15" s="114" t="str">
        <f t="shared" si="124"/>
        <v/>
      </c>
      <c r="TN15" s="110"/>
      <c r="TO15" s="111"/>
      <c r="TP15" s="116"/>
      <c r="TQ15" s="113" t="str">
        <f>IFERROR((((COUNTIF('Elève (3ème3)'!TN15:TP15,"A"))*4)+((COUNTIF('Elève (3ème3)'!TN15:TP15,"B"))*3)+((COUNTIF('Elève (3ème3)'!TN15:TP15,"C"))*2)+((COUNTIF('Elève (3ème3)'!TN15:TP15,"D"))*1))/(COUNTA(TN15:TP15)),"")</f>
        <v/>
      </c>
      <c r="TR15" s="114" t="str">
        <f t="shared" si="125"/>
        <v/>
      </c>
      <c r="TS15" s="122" t="str">
        <f>IF(COUNT(TG15,TL15,TQ15)=0,"",SUM(TG15,TL15,TQ15)/COUNT(TG15,TL15,TQ15))</f>
        <v/>
      </c>
      <c r="TT15" s="115" t="str">
        <f t="shared" si="126"/>
        <v/>
      </c>
      <c r="TU15" s="110"/>
      <c r="TV15" s="111"/>
      <c r="TW15" s="112"/>
      <c r="TX15" s="113" t="str">
        <f>IFERROR((((COUNTIF('Elève (3ème3)'!TU15:TW15,"A"))*4)+((COUNTIF('Elève (3ème3)'!TU15:TW15,"B"))*3)+((COUNTIF('Elève (3ème3)'!TU15:TW15,"C"))*2)+((COUNTIF('Elève (3ème3)'!TU15:TW15,"D"))*1))/(COUNTA(TU15:TW15)),"")</f>
        <v/>
      </c>
      <c r="TY15" s="114" t="str">
        <f t="shared" si="127"/>
        <v/>
      </c>
      <c r="TZ15" s="110"/>
      <c r="UA15" s="111"/>
      <c r="UB15" s="112"/>
      <c r="UC15" s="113" t="str">
        <f>IFERROR((((COUNTIF('Elève (3ème3)'!TZ15:UB15,"A"))*4)+((COUNTIF('Elève (3ème3)'!TZ15:UB15,"B"))*3)+((COUNTIF('Elève (3ème3)'!TZ15:UB15,"C"))*2)+((COUNTIF('Elève (3ème3)'!TZ15:UB15,"D"))*1))/(COUNTA(TZ15:UB15)),"")</f>
        <v/>
      </c>
      <c r="UD15" s="114" t="str">
        <f t="shared" si="128"/>
        <v/>
      </c>
      <c r="UE15" s="110"/>
      <c r="UF15" s="111"/>
      <c r="UG15" s="116"/>
      <c r="UH15" s="113" t="str">
        <f>IFERROR((((COUNTIF('Elève (3ème3)'!UE15:UG15,"A"))*4)+((COUNTIF('Elève (3ème3)'!UE15:UG15,"B"))*3)+((COUNTIF('Elève (3ème3)'!UE15:UG15,"C"))*2)+((COUNTIF('Elève (3ème3)'!UE15:UG15,"D"))*1))/(COUNTA(UE15:UG15)),"")</f>
        <v/>
      </c>
      <c r="UI15" s="114" t="str">
        <f t="shared" si="129"/>
        <v/>
      </c>
      <c r="UJ15" s="122" t="str">
        <f>IF(COUNT(TX15,UC15,UH15)=0,"",SUM(TX15,UC15,UH15)/COUNT(TX15,UC15,UH15))</f>
        <v/>
      </c>
      <c r="UK15" s="115" t="str">
        <f t="shared" si="130"/>
        <v/>
      </c>
      <c r="UL15" s="110"/>
      <c r="UM15" s="111"/>
      <c r="UN15" s="112"/>
      <c r="UO15" s="113" t="str">
        <f>IFERROR((((COUNTIF('Elève (3ème3)'!UL15:UN15,"A"))*4)+((COUNTIF('Elève (3ème3)'!UL15:UN15,"B"))*3)+((COUNTIF('Elève (3ème3)'!UL15:UN15,"C"))*2)+((COUNTIF('Elève (3ème3)'!UL15:UN15,"D"))*1))/(COUNTA(UL15:UN15)),"")</f>
        <v/>
      </c>
      <c r="UP15" s="114" t="str">
        <f t="shared" si="131"/>
        <v/>
      </c>
      <c r="UQ15" s="110"/>
      <c r="UR15" s="111"/>
      <c r="US15" s="112"/>
      <c r="UT15" s="113" t="str">
        <f>IFERROR((((COUNTIF('Elève (3ème3)'!UQ15:US15,"A"))*4)+((COUNTIF('Elève (3ème3)'!UQ15:US15,"B"))*3)+((COUNTIF('Elève (3ème3)'!UQ15:US15,"C"))*2)+((COUNTIF('Elève (3ème3)'!UQ15:US15,"D"))*1))/(COUNTA(UQ15:US15)),"")</f>
        <v/>
      </c>
      <c r="UU15" s="114" t="str">
        <f t="shared" si="132"/>
        <v/>
      </c>
      <c r="UV15" s="110"/>
      <c r="UW15" s="111"/>
      <c r="UX15" s="116"/>
      <c r="UY15" s="113" t="str">
        <f>IFERROR((((COUNTIF('Elève (3ème3)'!UV15:UX15,"A"))*4)+((COUNTIF('Elève (3ème3)'!UV15:UX15,"B"))*3)+((COUNTIF('Elève (3ème3)'!UV15:UX15,"C"))*2)+((COUNTIF('Elève (3ème3)'!UV15:UX15,"D"))*1))/(COUNTA(UV15:UX15)),"")</f>
        <v/>
      </c>
      <c r="UZ15" s="114" t="str">
        <f t="shared" si="133"/>
        <v/>
      </c>
      <c r="VA15" s="122" t="str">
        <f>IF(COUNT(UO15,UT15,UY15)=0,"",SUM(UO15,UT15,UY15)/COUNT(UO15,UT15,UY15))</f>
        <v/>
      </c>
      <c r="VB15" s="115" t="str">
        <f t="shared" si="134"/>
        <v/>
      </c>
      <c r="VC15" s="110"/>
      <c r="VD15" s="111"/>
      <c r="VE15" s="112"/>
      <c r="VF15" s="113" t="str">
        <f>IFERROR((((COUNTIF('Elève (3ème3)'!VC15:VE15,"A"))*4)+((COUNTIF('Elève (3ème3)'!VC15:VE15,"B"))*3)+((COUNTIF('Elève (3ème3)'!VC15:VE15,"C"))*2)+((COUNTIF('Elève (3ème3)'!VC15:VE15,"D"))*1))/(COUNTA(VC15:VE15)),"")</f>
        <v/>
      </c>
      <c r="VG15" s="114" t="str">
        <f t="shared" si="135"/>
        <v/>
      </c>
      <c r="VH15" s="110"/>
      <c r="VI15" s="111"/>
      <c r="VJ15" s="112"/>
      <c r="VK15" s="113" t="str">
        <f>IFERROR((((COUNTIF('Elève (3ème3)'!VH15:VJ15,"A"))*4)+((COUNTIF('Elève (3ème3)'!VH15:VJ15,"B"))*3)+((COUNTIF('Elève (3ème3)'!VH15:VJ15,"C"))*2)+((COUNTIF('Elève (3ème3)'!VH15:VJ15,"D"))*1))/(COUNTA(VH15:VJ15)),"")</f>
        <v/>
      </c>
      <c r="VL15" s="114" t="str">
        <f t="shared" si="136"/>
        <v/>
      </c>
      <c r="VM15" s="110"/>
      <c r="VN15" s="111"/>
      <c r="VO15" s="116"/>
      <c r="VP15" s="113" t="str">
        <f>IFERROR((((COUNTIF('Elève (3ème3)'!VM15:VO15,"A"))*4)+((COUNTIF('Elève (3ème3)'!VM15:VO15,"B"))*3)+((COUNTIF('Elève (3ème3)'!VM15:VO15,"C"))*2)+((COUNTIF('Elève (3ème3)'!VM15:VO15,"D"))*1))/(COUNTA(VM15:VO15)),"")</f>
        <v/>
      </c>
      <c r="VQ15" s="114" t="str">
        <f t="shared" si="137"/>
        <v/>
      </c>
      <c r="VR15" s="122" t="str">
        <f>IF(COUNT(VF15,VK15,VP15)=0,"",SUM(VF15,VK15,VP15)/COUNT(VF15,VK15,VP15))</f>
        <v/>
      </c>
      <c r="VS15" s="115" t="str">
        <f t="shared" si="138"/>
        <v/>
      </c>
      <c r="VT15" s="110"/>
      <c r="VU15" s="111"/>
      <c r="VV15" s="112"/>
      <c r="VW15" s="113" t="str">
        <f>IFERROR((((COUNTIF('Elève (3ème3)'!VT15:VV15,"A"))*4)+((COUNTIF('Elève (3ème3)'!VT15:VV15,"B"))*3)+((COUNTIF('Elève (3ème3)'!VT15:VV15,"C"))*2)+((COUNTIF('Elève (3ème3)'!VT15:VV15,"D"))*1))/(COUNTA(VT15:VV15)),"")</f>
        <v/>
      </c>
      <c r="VX15" s="114" t="str">
        <f t="shared" si="139"/>
        <v/>
      </c>
      <c r="VY15" s="110"/>
      <c r="VZ15" s="111"/>
      <c r="WA15" s="112"/>
      <c r="WB15" s="113" t="str">
        <f>IFERROR((((COUNTIF('Elève (3ème3)'!VY15:WA15,"A"))*4)+((COUNTIF('Elève (3ème3)'!VY15:WA15,"B"))*3)+((COUNTIF('Elève (3ème3)'!VY15:WA15,"C"))*2)+((COUNTIF('Elève (3ème3)'!VY15:WA15,"D"))*1))/(COUNTA(VY15:WA15)),"")</f>
        <v/>
      </c>
      <c r="WC15" s="114" t="str">
        <f t="shared" si="140"/>
        <v/>
      </c>
      <c r="WD15" s="110"/>
      <c r="WE15" s="111"/>
      <c r="WF15" s="116"/>
      <c r="WG15" s="113" t="str">
        <f>IFERROR((((COUNTIF('Elève (3ème3)'!WD15:WF15,"A"))*4)+((COUNTIF('Elève (3ème3)'!WD15:WF15,"B"))*3)+((COUNTIF('Elève (3ème3)'!WD15:WF15,"C"))*2)+((COUNTIF('Elève (3ème3)'!WD15:WF15,"D"))*1))/(COUNTA(WD15:WF15)),"")</f>
        <v/>
      </c>
      <c r="WH15" s="114" t="str">
        <f t="shared" si="141"/>
        <v/>
      </c>
      <c r="WI15" s="122" t="str">
        <f>IF(COUNT(VW15,WB15,WG15)=0,"",SUM(VW15,WB15,WG15)/COUNT(VW15,WB15,WG15))</f>
        <v/>
      </c>
      <c r="WJ15" s="115" t="str">
        <f t="shared" si="142"/>
        <v/>
      </c>
    </row>
    <row r="16" spans="1:608" s="95" customFormat="1" ht="16.5" customHeight="1" thickBot="1" x14ac:dyDescent="0.6">
      <c r="A16" s="145" t="s">
        <v>20</v>
      </c>
      <c r="B16" s="120">
        <v>2</v>
      </c>
      <c r="C16" s="152"/>
      <c r="D16" s="65"/>
      <c r="E16" s="85"/>
      <c r="F16" s="159">
        <f>IF(COUNT(F17:F19)=0,"",SUM(F17:F19)/COUNT(F17:F19))</f>
        <v>3</v>
      </c>
      <c r="G16" s="160" t="str">
        <f t="shared" si="23"/>
        <v>B</v>
      </c>
      <c r="H16" s="152"/>
      <c r="I16" s="65"/>
      <c r="J16" s="65"/>
      <c r="K16" s="85"/>
      <c r="L16" s="159">
        <f>IF(COUNT(L17:L19)=0,"",SUM(L17:L19)/COUNT(L17:L19))</f>
        <v>2</v>
      </c>
      <c r="M16" s="175" t="str">
        <f t="shared" si="24"/>
        <v>C</v>
      </c>
      <c r="N16" s="153"/>
      <c r="O16" s="90"/>
      <c r="P16" s="90"/>
      <c r="Q16" s="90"/>
      <c r="R16" s="90"/>
      <c r="S16" s="91"/>
      <c r="T16" s="159">
        <f>IF(COUNT(T17:T19)=0,"",SUM(T17:T19)/COUNT(T17:T19))</f>
        <v>3.166666666666667</v>
      </c>
      <c r="U16" s="183" t="str">
        <f t="shared" si="25"/>
        <v>B</v>
      </c>
      <c r="V16" s="184">
        <f>IF(COUNT(V17:V19)=0,"",SUM(V17:V19)/COUNT(V17:V19))</f>
        <v>2.6388888888888893</v>
      </c>
      <c r="W16" s="185" t="str">
        <f t="shared" si="26"/>
        <v>C</v>
      </c>
      <c r="X16" s="196"/>
      <c r="Y16" s="65"/>
      <c r="Z16" s="85"/>
      <c r="AA16" s="159">
        <f>IF(COUNT(AA17:AA19)=0,"",SUM(AA17:AA19)/COUNT(AA17:AA19))</f>
        <v>2</v>
      </c>
      <c r="AB16" s="160" t="str">
        <f t="shared" si="27"/>
        <v>C</v>
      </c>
      <c r="AC16" s="152"/>
      <c r="AD16" s="65"/>
      <c r="AE16" s="65"/>
      <c r="AF16" s="85"/>
      <c r="AG16" s="159">
        <f>IF(COUNT(AG17:AG19)=0,"",SUM(AG17:AG19)/COUNT(AG17:AG19))</f>
        <v>1.5</v>
      </c>
      <c r="AH16" s="175" t="str">
        <f t="shared" si="28"/>
        <v>D</v>
      </c>
      <c r="AI16" s="153"/>
      <c r="AJ16" s="90"/>
      <c r="AK16" s="90"/>
      <c r="AL16" s="90"/>
      <c r="AM16" s="90"/>
      <c r="AN16" s="91"/>
      <c r="AO16" s="159">
        <f>IF(COUNT(AO17:AO19)=0,"",SUM(AO17:AO19)/COUNT(AO17:AO19))</f>
        <v>2.25</v>
      </c>
      <c r="AP16" s="183" t="str">
        <f t="shared" si="29"/>
        <v>C</v>
      </c>
      <c r="AQ16" s="184">
        <f>IF(COUNT(AQ17:AQ19)=0,"",SUM(AQ17:AQ19)/COUNT(AQ17:AQ19))</f>
        <v>1.9583333333333335</v>
      </c>
      <c r="AR16" s="185" t="str">
        <f t="shared" si="30"/>
        <v>C</v>
      </c>
      <c r="AS16" s="196"/>
      <c r="AT16" s="65"/>
      <c r="AU16" s="85"/>
      <c r="AV16" s="159">
        <f>IF(COUNT(AV17:AV19)=0,"",SUM(AV17:AV19)/COUNT(AV17:AV19))</f>
        <v>3</v>
      </c>
      <c r="AW16" s="160" t="str">
        <f t="shared" si="31"/>
        <v>B</v>
      </c>
      <c r="AX16" s="152"/>
      <c r="AY16" s="65"/>
      <c r="AZ16" s="65"/>
      <c r="BA16" s="85"/>
      <c r="BB16" s="159">
        <f>IF(COUNT(BB17:BB19)=0,"",SUM(BB17:BB19)/COUNT(BB17:BB19))</f>
        <v>2.5</v>
      </c>
      <c r="BC16" s="175" t="str">
        <f t="shared" si="32"/>
        <v>C</v>
      </c>
      <c r="BD16" s="153"/>
      <c r="BE16" s="90"/>
      <c r="BF16" s="90"/>
      <c r="BG16" s="90"/>
      <c r="BH16" s="90"/>
      <c r="BI16" s="91"/>
      <c r="BJ16" s="159">
        <f>IF(COUNT(BJ17:BJ19)=0,"",SUM(BJ17:BJ19)/COUNT(BJ17:BJ19))</f>
        <v>3.166666666666667</v>
      </c>
      <c r="BK16" s="183" t="str">
        <f t="shared" si="33"/>
        <v>B</v>
      </c>
      <c r="BL16" s="184">
        <f>IF(COUNT(BL17:BL19)=0,"",SUM(BL17:BL19)/COUNT(BL17:BL19))</f>
        <v>2.8888888888888893</v>
      </c>
      <c r="BM16" s="185" t="str">
        <f t="shared" si="34"/>
        <v>B</v>
      </c>
      <c r="BN16" s="196"/>
      <c r="BO16" s="65"/>
      <c r="BP16" s="85"/>
      <c r="BQ16" s="159">
        <f>IF(COUNT(BQ17:BQ19)=0,"",SUM(BQ17:BQ19)/COUNT(BQ17:BQ19))</f>
        <v>1</v>
      </c>
      <c r="BR16" s="160" t="str">
        <f t="shared" si="35"/>
        <v>D</v>
      </c>
      <c r="BS16" s="152"/>
      <c r="BT16" s="65"/>
      <c r="BU16" s="65"/>
      <c r="BV16" s="85"/>
      <c r="BW16" s="159">
        <f>IF(COUNT(BW17:BW19)=0,"",SUM(BW17:BW19)/COUNT(BW17:BW19))</f>
        <v>2</v>
      </c>
      <c r="BX16" s="175" t="str">
        <f t="shared" si="36"/>
        <v>C</v>
      </c>
      <c r="BY16" s="153"/>
      <c r="BZ16" s="90"/>
      <c r="CA16" s="90"/>
      <c r="CB16" s="90"/>
      <c r="CC16" s="90"/>
      <c r="CD16" s="91"/>
      <c r="CE16" s="159">
        <f>IF(COUNT(CE17:CE19)=0,"",SUM(CE17:CE19)/COUNT(CE17:CE19))</f>
        <v>2.666666666666667</v>
      </c>
      <c r="CF16" s="183" t="str">
        <f t="shared" si="37"/>
        <v>C</v>
      </c>
      <c r="CG16" s="184">
        <f>IF(COUNT(CG17:CG19)=0,"",SUM(CG17:CG19)/COUNT(CG17:CG19))</f>
        <v>2.1388888888888888</v>
      </c>
      <c r="CH16" s="185" t="str">
        <f t="shared" si="38"/>
        <v>C</v>
      </c>
      <c r="CI16" s="196"/>
      <c r="CJ16" s="65"/>
      <c r="CK16" s="85"/>
      <c r="CL16" s="159">
        <f>IF(COUNT(CL17:CL19)=0,"",SUM(CL17:CL19)/COUNT(CL17:CL19))</f>
        <v>2</v>
      </c>
      <c r="CM16" s="160" t="str">
        <f t="shared" si="39"/>
        <v>C</v>
      </c>
      <c r="CN16" s="152"/>
      <c r="CO16" s="65"/>
      <c r="CP16" s="65"/>
      <c r="CQ16" s="85"/>
      <c r="CR16" s="159">
        <f>IF(COUNT(CR17:CR19)=0,"",SUM(CR17:CR19)/COUNT(CR17:CR19))</f>
        <v>2</v>
      </c>
      <c r="CS16" s="175" t="str">
        <f t="shared" si="40"/>
        <v>C</v>
      </c>
      <c r="CT16" s="153"/>
      <c r="CU16" s="90"/>
      <c r="CV16" s="90"/>
      <c r="CW16" s="90"/>
      <c r="CX16" s="90"/>
      <c r="CY16" s="91"/>
      <c r="CZ16" s="159">
        <f>IF(COUNT(CZ17:CZ19)=0,"",SUM(CZ17:CZ19)/COUNT(CZ17:CZ19))</f>
        <v>2.6666666666666665</v>
      </c>
      <c r="DA16" s="183" t="str">
        <f t="shared" si="41"/>
        <v>C</v>
      </c>
      <c r="DB16" s="184">
        <f>IF(COUNT(DB17:DB19)=0,"",SUM(DB17:DB19)/COUNT(DB17:DB19))</f>
        <v>2.2777777777777777</v>
      </c>
      <c r="DC16" s="185" t="str">
        <f t="shared" si="42"/>
        <v>C</v>
      </c>
      <c r="DD16" s="196"/>
      <c r="DE16" s="65"/>
      <c r="DF16" s="85"/>
      <c r="DG16" s="159">
        <f>IF(COUNT(DG17:DG19)=0,"",SUM(DG17:DG19)/COUNT(DG17:DG19))</f>
        <v>2</v>
      </c>
      <c r="DH16" s="160" t="str">
        <f t="shared" si="43"/>
        <v>C</v>
      </c>
      <c r="DI16" s="152"/>
      <c r="DJ16" s="65"/>
      <c r="DK16" s="65"/>
      <c r="DL16" s="85"/>
      <c r="DM16" s="159">
        <f>IF(COUNT(DM17:DM19)=0,"",SUM(DM17:DM19)/COUNT(DM17:DM19))</f>
        <v>2</v>
      </c>
      <c r="DN16" s="175" t="str">
        <f t="shared" si="44"/>
        <v>C</v>
      </c>
      <c r="DO16" s="153"/>
      <c r="DP16" s="90"/>
      <c r="DQ16" s="90"/>
      <c r="DR16" s="90"/>
      <c r="DS16" s="90"/>
      <c r="DT16" s="91"/>
      <c r="DU16" s="159">
        <f>IF(COUNT(DU17:DU19)=0,"",SUM(DU17:DU19)/COUNT(DU17:DU19))</f>
        <v>2</v>
      </c>
      <c r="DV16" s="183" t="str">
        <f t="shared" si="45"/>
        <v>C</v>
      </c>
      <c r="DW16" s="184">
        <f>IF(COUNT(DW17:DW19)=0,"",SUM(DW17:DW19)/COUNT(DW17:DW19))</f>
        <v>2</v>
      </c>
      <c r="DX16" s="185" t="str">
        <f t="shared" si="46"/>
        <v>C</v>
      </c>
      <c r="DY16" s="196"/>
      <c r="DZ16" s="65"/>
      <c r="EA16" s="85"/>
      <c r="EB16" s="159">
        <f>IF(COUNT(EB17:EB19)=0,"",SUM(EB17:EB19)/COUNT(EB17:EB19))</f>
        <v>2</v>
      </c>
      <c r="EC16" s="160" t="str">
        <f t="shared" si="47"/>
        <v>C</v>
      </c>
      <c r="ED16" s="152"/>
      <c r="EE16" s="65"/>
      <c r="EF16" s="65"/>
      <c r="EG16" s="85"/>
      <c r="EH16" s="159">
        <f>IF(COUNT(EH17:EH19)=0,"",SUM(EH17:EH19)/COUNT(EH17:EH19))</f>
        <v>1</v>
      </c>
      <c r="EI16" s="175" t="str">
        <f t="shared" si="48"/>
        <v>D</v>
      </c>
      <c r="EJ16" s="153"/>
      <c r="EK16" s="90"/>
      <c r="EL16" s="90"/>
      <c r="EM16" s="90"/>
      <c r="EN16" s="90"/>
      <c r="EO16" s="91"/>
      <c r="EP16" s="159">
        <f>IF(COUNT(EP17:EP19)=0,"",SUM(EP17:EP19)/COUNT(EP17:EP19))</f>
        <v>2.666666666666667</v>
      </c>
      <c r="EQ16" s="183" t="str">
        <f t="shared" si="49"/>
        <v>C</v>
      </c>
      <c r="ER16" s="184">
        <f>IF(COUNT(ER17:ER19)=0,"",SUM(ER17:ER19)/COUNT(ER17:ER19))</f>
        <v>1.8888888888888888</v>
      </c>
      <c r="ES16" s="185" t="str">
        <f t="shared" si="50"/>
        <v>C</v>
      </c>
      <c r="ET16" s="196"/>
      <c r="EU16" s="65"/>
      <c r="EV16" s="85"/>
      <c r="EW16" s="159">
        <f>IF(COUNT(EW17:EW19)=0,"",SUM(EW17:EW19)/COUNT(EW17:EW19))</f>
        <v>3</v>
      </c>
      <c r="EX16" s="160" t="str">
        <f t="shared" si="51"/>
        <v>B</v>
      </c>
      <c r="EY16" s="152"/>
      <c r="EZ16" s="65"/>
      <c r="FA16" s="65"/>
      <c r="FB16" s="85"/>
      <c r="FC16" s="159">
        <f>IF(COUNT(FC17:FC19)=0,"",SUM(FC17:FC19)/COUNT(FC17:FC19))</f>
        <v>2.5</v>
      </c>
      <c r="FD16" s="175" t="str">
        <f t="shared" si="52"/>
        <v>C</v>
      </c>
      <c r="FE16" s="153"/>
      <c r="FF16" s="90"/>
      <c r="FG16" s="90"/>
      <c r="FH16" s="90"/>
      <c r="FI16" s="90"/>
      <c r="FJ16" s="91"/>
      <c r="FK16" s="159">
        <f>IF(COUNT(FK17:FK19)=0,"",SUM(FK17:FK19)/COUNT(FK17:FK19))</f>
        <v>3.166666666666667</v>
      </c>
      <c r="FL16" s="183" t="str">
        <f t="shared" si="53"/>
        <v>B</v>
      </c>
      <c r="FM16" s="184">
        <f>IF(COUNT(FM17:FM19)=0,"",SUM(FM17:FM19)/COUNT(FM17:FM19))</f>
        <v>2.916666666666667</v>
      </c>
      <c r="FN16" s="185" t="str">
        <f t="shared" si="54"/>
        <v>B</v>
      </c>
      <c r="FO16" s="196"/>
      <c r="FP16" s="65"/>
      <c r="FQ16" s="85"/>
      <c r="FR16" s="159">
        <f>IF(COUNT(FR17:FR19)=0,"",SUM(FR17:FR19)/COUNT(FR17:FR19))</f>
        <v>2</v>
      </c>
      <c r="FS16" s="160" t="str">
        <f t="shared" si="55"/>
        <v>C</v>
      </c>
      <c r="FT16" s="152"/>
      <c r="FU16" s="65"/>
      <c r="FV16" s="65"/>
      <c r="FW16" s="85"/>
      <c r="FX16" s="159">
        <f>IF(COUNT(FX17:FX19)=0,"",SUM(FX17:FX19)/COUNT(FX17:FX19))</f>
        <v>2</v>
      </c>
      <c r="FY16" s="175" t="str">
        <f t="shared" si="56"/>
        <v>C</v>
      </c>
      <c r="FZ16" s="153"/>
      <c r="GA16" s="90"/>
      <c r="GB16" s="90"/>
      <c r="GC16" s="90"/>
      <c r="GD16" s="90"/>
      <c r="GE16" s="91"/>
      <c r="GF16" s="159">
        <f>IF(COUNT(GF17:GF19)=0,"",SUM(GF17:GF19)/COUNT(GF17:GF19))</f>
        <v>2.5</v>
      </c>
      <c r="GG16" s="183" t="str">
        <f t="shared" si="57"/>
        <v>C</v>
      </c>
      <c r="GH16" s="184">
        <f>IF(COUNT(GH17:GH19)=0,"",SUM(GH17:GH19)/COUNT(GH17:GH19))</f>
        <v>2.25</v>
      </c>
      <c r="GI16" s="185" t="str">
        <f t="shared" si="58"/>
        <v>C</v>
      </c>
      <c r="GJ16" s="196"/>
      <c r="GK16" s="65"/>
      <c r="GL16" s="85"/>
      <c r="GM16" s="159">
        <f>IF(COUNT(GM17:GM19)=0,"",SUM(GM17:GM19)/COUNT(GM17:GM19))</f>
        <v>2</v>
      </c>
      <c r="GN16" s="160" t="str">
        <f t="shared" si="59"/>
        <v>C</v>
      </c>
      <c r="GO16" s="152"/>
      <c r="GP16" s="65"/>
      <c r="GQ16" s="65"/>
      <c r="GR16" s="85"/>
      <c r="GS16" s="159">
        <f>IF(COUNT(GS17:GS19)=0,"",SUM(GS17:GS19)/COUNT(GS17:GS19))</f>
        <v>2</v>
      </c>
      <c r="GT16" s="175" t="str">
        <f t="shared" si="60"/>
        <v>C</v>
      </c>
      <c r="GU16" s="153"/>
      <c r="GV16" s="90"/>
      <c r="GW16" s="90"/>
      <c r="GX16" s="90"/>
      <c r="GY16" s="90"/>
      <c r="GZ16" s="91"/>
      <c r="HA16" s="159">
        <f>IF(COUNT(HA17:HA19)=0,"",SUM(HA17:HA19)/COUNT(HA17:HA19))</f>
        <v>2.8333333333333335</v>
      </c>
      <c r="HB16" s="183" t="str">
        <f t="shared" si="61"/>
        <v>B</v>
      </c>
      <c r="HC16" s="184">
        <f>IF(COUNT(HC17:HC19)=0,"",SUM(HC17:HC19)/COUNT(HC17:HC19))</f>
        <v>2.3888888888888893</v>
      </c>
      <c r="HD16" s="185" t="str">
        <f t="shared" si="62"/>
        <v>C</v>
      </c>
      <c r="HE16" s="196"/>
      <c r="HF16" s="65"/>
      <c r="HG16" s="85"/>
      <c r="HH16" s="159">
        <f>IF(COUNT(HH17:HH19)=0,"",SUM(HH17:HH19)/COUNT(HH17:HH19))</f>
        <v>2</v>
      </c>
      <c r="HI16" s="160" t="str">
        <f t="shared" si="63"/>
        <v>C</v>
      </c>
      <c r="HJ16" s="152"/>
      <c r="HK16" s="65"/>
      <c r="HL16" s="65"/>
      <c r="HM16" s="85"/>
      <c r="HN16" s="159">
        <f>IF(COUNT(HN17:HN19)=0,"",SUM(HN17:HN19)/COUNT(HN17:HN19))</f>
        <v>2</v>
      </c>
      <c r="HO16" s="175" t="str">
        <f t="shared" si="64"/>
        <v>C</v>
      </c>
      <c r="HP16" s="153"/>
      <c r="HQ16" s="90"/>
      <c r="HR16" s="90"/>
      <c r="HS16" s="90"/>
      <c r="HT16" s="90"/>
      <c r="HU16" s="91"/>
      <c r="HV16" s="159">
        <f>IF(COUNT(HV17:HV19)=0,"",SUM(HV17:HV19)/COUNT(HV17:HV19))</f>
        <v>2.833333333333333</v>
      </c>
      <c r="HW16" s="183" t="str">
        <f t="shared" si="65"/>
        <v>B</v>
      </c>
      <c r="HX16" s="184">
        <f>IF(COUNT(HX17:HX19)=0,"",SUM(HX17:HX19)/COUNT(HX17:HX19))</f>
        <v>2.3611111111111107</v>
      </c>
      <c r="HY16" s="185" t="str">
        <f t="shared" si="66"/>
        <v>C</v>
      </c>
      <c r="HZ16" s="196"/>
      <c r="IA16" s="65"/>
      <c r="IB16" s="85"/>
      <c r="IC16" s="159">
        <f>IF(COUNT(IC17:IC19)=0,"",SUM(IC17:IC19)/COUNT(IC17:IC19))</f>
        <v>1</v>
      </c>
      <c r="ID16" s="160" t="str">
        <f t="shared" si="67"/>
        <v>D</v>
      </c>
      <c r="IE16" s="152"/>
      <c r="IF16" s="65"/>
      <c r="IG16" s="65"/>
      <c r="IH16" s="85"/>
      <c r="II16" s="159">
        <f>IF(COUNT(II17:II19)=0,"",SUM(II17:II19)/COUNT(II17:II19))</f>
        <v>2</v>
      </c>
      <c r="IJ16" s="175" t="str">
        <f t="shared" si="68"/>
        <v>C</v>
      </c>
      <c r="IK16" s="153"/>
      <c r="IL16" s="90"/>
      <c r="IM16" s="90"/>
      <c r="IN16" s="90"/>
      <c r="IO16" s="90"/>
      <c r="IP16" s="91"/>
      <c r="IQ16" s="159">
        <f>IF(COUNT(IQ17:IQ19)=0,"",SUM(IQ17:IQ19)/COUNT(IQ17:IQ19))</f>
        <v>2.5</v>
      </c>
      <c r="IR16" s="183" t="str">
        <f t="shared" si="69"/>
        <v>C</v>
      </c>
      <c r="IS16" s="184">
        <f>IF(COUNT(IS17:IS19)=0,"",SUM(IS17:IS19)/COUNT(IS17:IS19))</f>
        <v>2.0555555555555554</v>
      </c>
      <c r="IT16" s="185" t="str">
        <f t="shared" si="70"/>
        <v>C</v>
      </c>
      <c r="IU16" s="196"/>
      <c r="IV16" s="65"/>
      <c r="IW16" s="85"/>
      <c r="IX16" s="159">
        <f>IF(COUNT(IX17:IX19)=0,"",SUM(IX17:IX19)/COUNT(IX17:IX19))</f>
        <v>2</v>
      </c>
      <c r="IY16" s="160" t="str">
        <f t="shared" si="71"/>
        <v>C</v>
      </c>
      <c r="IZ16" s="152"/>
      <c r="JA16" s="65"/>
      <c r="JB16" s="65"/>
      <c r="JC16" s="85"/>
      <c r="JD16" s="159">
        <f>IF(COUNT(JD17:JD19)=0,"",SUM(JD17:JD19)/COUNT(JD17:JD19))</f>
        <v>1.5</v>
      </c>
      <c r="JE16" s="175" t="str">
        <f t="shared" si="72"/>
        <v>D</v>
      </c>
      <c r="JF16" s="153"/>
      <c r="JG16" s="90"/>
      <c r="JH16" s="90"/>
      <c r="JI16" s="90"/>
      <c r="JJ16" s="90"/>
      <c r="JK16" s="91"/>
      <c r="JL16" s="159">
        <f>IF(COUNT(JL17:JL19)=0,"",SUM(JL17:JL19)/COUNT(JL17:JL19))</f>
        <v>2.6666666666666665</v>
      </c>
      <c r="JM16" s="183" t="str">
        <f t="shared" si="73"/>
        <v>C</v>
      </c>
      <c r="JN16" s="184">
        <f>IF(COUNT(JN17:JN19)=0,"",SUM(JN17:JN19)/COUNT(JN17:JN19))</f>
        <v>2.1111111111111107</v>
      </c>
      <c r="JO16" s="185" t="str">
        <f t="shared" si="74"/>
        <v>C</v>
      </c>
      <c r="JP16" s="196"/>
      <c r="JQ16" s="65"/>
      <c r="JR16" s="85"/>
      <c r="JS16" s="159">
        <f>IF(COUNT(JS17:JS19)=0,"",SUM(JS17:JS19)/COUNT(JS17:JS19))</f>
        <v>3</v>
      </c>
      <c r="JT16" s="160" t="str">
        <f t="shared" si="75"/>
        <v>B</v>
      </c>
      <c r="JU16" s="152"/>
      <c r="JV16" s="65"/>
      <c r="JW16" s="65"/>
      <c r="JX16" s="85"/>
      <c r="JY16" s="159">
        <f>IF(COUNT(JY17:JY19)=0,"",SUM(JY17:JY19)/COUNT(JY17:JY19))</f>
        <v>2</v>
      </c>
      <c r="JZ16" s="175" t="str">
        <f t="shared" si="76"/>
        <v>C</v>
      </c>
      <c r="KA16" s="153"/>
      <c r="KB16" s="90"/>
      <c r="KC16" s="90"/>
      <c r="KD16" s="90"/>
      <c r="KE16" s="90"/>
      <c r="KF16" s="91"/>
      <c r="KG16" s="159">
        <f>IF(COUNT(KG17:KG19)=0,"",SUM(KG17:KG19)/COUNT(KG17:KG19))</f>
        <v>2.333333333333333</v>
      </c>
      <c r="KH16" s="183" t="str">
        <f t="shared" si="77"/>
        <v>C</v>
      </c>
      <c r="KI16" s="184">
        <f>IF(COUNT(KI17:KI19)=0,"",SUM(KI17:KI19)/COUNT(KI17:KI19))</f>
        <v>2.333333333333333</v>
      </c>
      <c r="KJ16" s="185" t="str">
        <f t="shared" si="78"/>
        <v>C</v>
      </c>
      <c r="KK16" s="196"/>
      <c r="KL16" s="65"/>
      <c r="KM16" s="85"/>
      <c r="KN16" s="159">
        <f>IF(COUNT(KN17:KN19)=0,"",SUM(KN17:KN19)/COUNT(KN17:KN19))</f>
        <v>2</v>
      </c>
      <c r="KO16" s="160" t="str">
        <f t="shared" si="79"/>
        <v>C</v>
      </c>
      <c r="KP16" s="152"/>
      <c r="KQ16" s="65"/>
      <c r="KR16" s="65"/>
      <c r="KS16" s="85"/>
      <c r="KT16" s="159">
        <f>IF(COUNT(KT17:KT19)=0,"",SUM(KT17:KT19)/COUNT(KT17:KT19))</f>
        <v>2</v>
      </c>
      <c r="KU16" s="175" t="str">
        <f t="shared" si="80"/>
        <v>C</v>
      </c>
      <c r="KV16" s="153"/>
      <c r="KW16" s="90"/>
      <c r="KX16" s="90"/>
      <c r="KY16" s="90"/>
      <c r="KZ16" s="90"/>
      <c r="LA16" s="91"/>
      <c r="LB16" s="159">
        <f>IF(COUNT(LB17:LB19)=0,"",SUM(LB17:LB19)/COUNT(LB17:LB19))</f>
        <v>1.9583333333333335</v>
      </c>
      <c r="LC16" s="183" t="str">
        <f t="shared" si="81"/>
        <v>C</v>
      </c>
      <c r="LD16" s="184">
        <f>IF(COUNT(LD17:LD19)=0,"",SUM(LD17:LD19)/COUNT(LD17:LD19))</f>
        <v>2.0069444444444446</v>
      </c>
      <c r="LE16" s="185" t="str">
        <f t="shared" si="82"/>
        <v>C</v>
      </c>
      <c r="LF16" s="196"/>
      <c r="LG16" s="65"/>
      <c r="LH16" s="85"/>
      <c r="LI16" s="159">
        <f>IF(COUNT(LI17:LI19)=0,"",SUM(LI17:LI19)/COUNT(LI17:LI19))</f>
        <v>2</v>
      </c>
      <c r="LJ16" s="160" t="str">
        <f t="shared" si="83"/>
        <v>C</v>
      </c>
      <c r="LK16" s="152"/>
      <c r="LL16" s="65"/>
      <c r="LM16" s="65"/>
      <c r="LN16" s="85"/>
      <c r="LO16" s="159">
        <f>IF(COUNT(LO17:LO19)=0,"",SUM(LO17:LO19)/COUNT(LO17:LO19))</f>
        <v>1.5</v>
      </c>
      <c r="LP16" s="175" t="str">
        <f t="shared" si="84"/>
        <v>D</v>
      </c>
      <c r="LQ16" s="153"/>
      <c r="LR16" s="90"/>
      <c r="LS16" s="90"/>
      <c r="LT16" s="90"/>
      <c r="LU16" s="90"/>
      <c r="LV16" s="91"/>
      <c r="LW16" s="159">
        <f>IF(COUNT(LW17:LW19)=0,"",SUM(LW17:LW19)/COUNT(LW17:LW19))</f>
        <v>2</v>
      </c>
      <c r="LX16" s="183" t="str">
        <f t="shared" si="85"/>
        <v>C</v>
      </c>
      <c r="LY16" s="184">
        <f>IF(COUNT(LY17:LY19)=0,"",SUM(LY17:LY19)/COUNT(LY17:LY19))</f>
        <v>1.8333333333333335</v>
      </c>
      <c r="LZ16" s="185" t="str">
        <f t="shared" si="86"/>
        <v>C</v>
      </c>
      <c r="MA16" s="196"/>
      <c r="MB16" s="65"/>
      <c r="MC16" s="85"/>
      <c r="MD16" s="159">
        <f>IF(COUNT(MD17:MD19)=0,"",SUM(MD17:MD19)/COUNT(MD17:MD19))</f>
        <v>1</v>
      </c>
      <c r="ME16" s="160" t="str">
        <f t="shared" si="87"/>
        <v>D</v>
      </c>
      <c r="MF16" s="152"/>
      <c r="MG16" s="65"/>
      <c r="MH16" s="65"/>
      <c r="MI16" s="85"/>
      <c r="MJ16" s="159">
        <f>IF(COUNT(MJ17:MJ19)=0,"",SUM(MJ17:MJ19)/COUNT(MJ17:MJ19))</f>
        <v>2</v>
      </c>
      <c r="MK16" s="175" t="str">
        <f t="shared" si="88"/>
        <v>C</v>
      </c>
      <c r="ML16" s="153"/>
      <c r="MM16" s="90"/>
      <c r="MN16" s="90"/>
      <c r="MO16" s="90"/>
      <c r="MP16" s="90"/>
      <c r="MQ16" s="91"/>
      <c r="MR16" s="159">
        <f>IF(COUNT(MR17:MR19)=0,"",SUM(MR17:MR19)/COUNT(MR17:MR19))</f>
        <v>1.6666666666666665</v>
      </c>
      <c r="MS16" s="183" t="str">
        <f t="shared" si="89"/>
        <v>C</v>
      </c>
      <c r="MT16" s="184">
        <f>IF(COUNT(MT17:MT19)=0,"",SUM(MT17:MT19)/COUNT(MT17:MT19))</f>
        <v>1.6666666666666665</v>
      </c>
      <c r="MU16" s="185" t="str">
        <f t="shared" si="90"/>
        <v>C</v>
      </c>
      <c r="MV16" s="196"/>
      <c r="MW16" s="65"/>
      <c r="MX16" s="85"/>
      <c r="MY16" s="159">
        <f>IF(COUNT(MY17:MY19)=0,"",SUM(MY17:MY19)/COUNT(MY17:MY19))</f>
        <v>2</v>
      </c>
      <c r="MZ16" s="160" t="str">
        <f t="shared" si="91"/>
        <v>C</v>
      </c>
      <c r="NA16" s="152"/>
      <c r="NB16" s="65"/>
      <c r="NC16" s="65"/>
      <c r="ND16" s="85"/>
      <c r="NE16" s="159">
        <f>IF(COUNT(NE17:NE19)=0,"",SUM(NE17:NE19)/COUNT(NE17:NE19))</f>
        <v>2</v>
      </c>
      <c r="NF16" s="175" t="str">
        <f t="shared" si="92"/>
        <v>C</v>
      </c>
      <c r="NG16" s="153"/>
      <c r="NH16" s="90"/>
      <c r="NI16" s="90"/>
      <c r="NJ16" s="90"/>
      <c r="NK16" s="90"/>
      <c r="NL16" s="91"/>
      <c r="NM16" s="159">
        <f>IF(COUNT(NM17:NM19)=0,"",SUM(NM17:NM19)/COUNT(NM17:NM19))</f>
        <v>2.333333333333333</v>
      </c>
      <c r="NN16" s="183" t="str">
        <f t="shared" si="93"/>
        <v>C</v>
      </c>
      <c r="NO16" s="184">
        <f>IF(COUNT(NO17:NO19)=0,"",SUM(NO17:NO19)/COUNT(NO17:NO19))</f>
        <v>2.1111111111111107</v>
      </c>
      <c r="NP16" s="185" t="str">
        <f t="shared" si="94"/>
        <v>C</v>
      </c>
      <c r="NQ16" s="196"/>
      <c r="NR16" s="65"/>
      <c r="NS16" s="85"/>
      <c r="NT16" s="159">
        <f>IF(COUNT(NT17:NT19)=0,"",SUM(NT17:NT19)/COUNT(NT17:NT19))</f>
        <v>2</v>
      </c>
      <c r="NU16" s="160" t="str">
        <f t="shared" si="95"/>
        <v>C</v>
      </c>
      <c r="NV16" s="152"/>
      <c r="NW16" s="65"/>
      <c r="NX16" s="65"/>
      <c r="NY16" s="85"/>
      <c r="NZ16" s="159">
        <f>IF(COUNT(NZ17:NZ19)=0,"",SUM(NZ17:NZ19)/COUNT(NZ17:NZ19))</f>
        <v>2.5</v>
      </c>
      <c r="OA16" s="175" t="str">
        <f t="shared" si="96"/>
        <v>C</v>
      </c>
      <c r="OB16" s="153"/>
      <c r="OC16" s="90"/>
      <c r="OD16" s="90"/>
      <c r="OE16" s="90"/>
      <c r="OF16" s="90"/>
      <c r="OG16" s="91"/>
      <c r="OH16" s="159">
        <f>IF(COUNT(OH17:OH19)=0,"",SUM(OH17:OH19)/COUNT(OH17:OH19))</f>
        <v>2.5</v>
      </c>
      <c r="OI16" s="183" t="str">
        <f t="shared" si="97"/>
        <v>C</v>
      </c>
      <c r="OJ16" s="184">
        <f>IF(COUNT(OJ17:OJ19)=0,"",SUM(OJ17:OJ19)/COUNT(OJ17:OJ19))</f>
        <v>2.5</v>
      </c>
      <c r="OK16" s="185" t="str">
        <f t="shared" si="98"/>
        <v>C</v>
      </c>
      <c r="OL16" s="196"/>
      <c r="OM16" s="65"/>
      <c r="ON16" s="85"/>
      <c r="OO16" s="159">
        <f>IF(COUNT(OO17:OO19)=0,"",SUM(OO17:OO19)/COUNT(OO17:OO19))</f>
        <v>2</v>
      </c>
      <c r="OP16" s="160" t="str">
        <f t="shared" si="99"/>
        <v>C</v>
      </c>
      <c r="OQ16" s="152"/>
      <c r="OR16" s="65"/>
      <c r="OS16" s="65"/>
      <c r="OT16" s="85"/>
      <c r="OU16" s="159">
        <f>IF(COUNT(OU17:OU19)=0,"",SUM(OU17:OU19)/COUNT(OU17:OU19))</f>
        <v>1.5</v>
      </c>
      <c r="OV16" s="175" t="str">
        <f t="shared" si="100"/>
        <v>D</v>
      </c>
      <c r="OW16" s="153"/>
      <c r="OX16" s="90"/>
      <c r="OY16" s="90"/>
      <c r="OZ16" s="90"/>
      <c r="PA16" s="90"/>
      <c r="PB16" s="91"/>
      <c r="PC16" s="159">
        <f>IF(COUNT(PC17:PC19)=0,"",SUM(PC17:PC19)/COUNT(PC17:PC19))</f>
        <v>2.416666666666667</v>
      </c>
      <c r="PD16" s="183" t="str">
        <f t="shared" si="101"/>
        <v>C</v>
      </c>
      <c r="PE16" s="184">
        <f>IF(COUNT(PE17:PE19)=0,"",SUM(PE17:PE19)/COUNT(PE17:PE19))</f>
        <v>2</v>
      </c>
      <c r="PF16" s="185" t="str">
        <f t="shared" si="102"/>
        <v>C</v>
      </c>
      <c r="PG16" s="196"/>
      <c r="PH16" s="65"/>
      <c r="PI16" s="85"/>
      <c r="PJ16" s="159">
        <f>IF(COUNT(PJ17:PJ19)=0,"",SUM(PJ17:PJ19)/COUNT(PJ17:PJ19))</f>
        <v>3</v>
      </c>
      <c r="PK16" s="160" t="str">
        <f t="shared" si="103"/>
        <v>B</v>
      </c>
      <c r="PL16" s="152"/>
      <c r="PM16" s="65"/>
      <c r="PN16" s="65"/>
      <c r="PO16" s="85"/>
      <c r="PP16" s="159">
        <f>IF(COUNT(PP17:PP19)=0,"",SUM(PP17:PP19)/COUNT(PP17:PP19))</f>
        <v>1.5</v>
      </c>
      <c r="PQ16" s="175" t="str">
        <f t="shared" si="104"/>
        <v>D</v>
      </c>
      <c r="PR16" s="153"/>
      <c r="PS16" s="90"/>
      <c r="PT16" s="90"/>
      <c r="PU16" s="90"/>
      <c r="PV16" s="90"/>
      <c r="PW16" s="91"/>
      <c r="PX16" s="159">
        <f>IF(COUNT(PX17:PX19)=0,"",SUM(PX17:PX19)/COUNT(PX17:PX19))</f>
        <v>3</v>
      </c>
      <c r="PY16" s="183" t="str">
        <f t="shared" si="105"/>
        <v>B</v>
      </c>
      <c r="PZ16" s="184">
        <f>IF(COUNT(PZ17:PZ19)=0,"",SUM(PZ17:PZ19)/COUNT(PZ17:PZ19))</f>
        <v>2.416666666666667</v>
      </c>
      <c r="QA16" s="185" t="str">
        <f t="shared" si="106"/>
        <v>C</v>
      </c>
      <c r="QB16" s="196"/>
      <c r="QC16" s="65"/>
      <c r="QD16" s="85"/>
      <c r="QE16" s="159">
        <f>IF(COUNT(QE17:QE19)=0,"",SUM(QE17:QE19)/COUNT(QE17:QE19))</f>
        <v>3</v>
      </c>
      <c r="QF16" s="160" t="str">
        <f t="shared" si="107"/>
        <v>B</v>
      </c>
      <c r="QG16" s="152"/>
      <c r="QH16" s="65"/>
      <c r="QI16" s="65"/>
      <c r="QJ16" s="85"/>
      <c r="QK16" s="159">
        <f>IF(COUNT(QK17:QK19)=0,"",SUM(QK17:QK19)/COUNT(QK17:QK19))</f>
        <v>2</v>
      </c>
      <c r="QL16" s="175" t="str">
        <f t="shared" si="108"/>
        <v>C</v>
      </c>
      <c r="QM16" s="153"/>
      <c r="QN16" s="90"/>
      <c r="QO16" s="90"/>
      <c r="QP16" s="90"/>
      <c r="QQ16" s="90"/>
      <c r="QR16" s="91"/>
      <c r="QS16" s="159">
        <f>IF(COUNT(QS17:QS19)=0,"",SUM(QS17:QS19)/COUNT(QS17:QS19))</f>
        <v>2.6666666666666665</v>
      </c>
      <c r="QT16" s="183" t="str">
        <f t="shared" si="109"/>
        <v>C</v>
      </c>
      <c r="QU16" s="184">
        <f>IF(COUNT(QU17:QU19)=0,"",SUM(QU17:QU19)/COUNT(QU17:QU19))</f>
        <v>2.4444444444444442</v>
      </c>
      <c r="QV16" s="185" t="str">
        <f t="shared" si="110"/>
        <v>C</v>
      </c>
      <c r="QW16" s="196"/>
      <c r="QX16" s="65"/>
      <c r="QY16" s="85"/>
      <c r="QZ16" s="159">
        <f>IF(COUNT(QZ17:QZ19)=0,"",SUM(QZ17:QZ19)/COUNT(QZ17:QZ19))</f>
        <v>1</v>
      </c>
      <c r="RA16" s="160" t="str">
        <f t="shared" si="111"/>
        <v>D</v>
      </c>
      <c r="RB16" s="152"/>
      <c r="RC16" s="65"/>
      <c r="RD16" s="65"/>
      <c r="RE16" s="85"/>
      <c r="RF16" s="159">
        <f>IF(COUNT(RF17:RF19)=0,"",SUM(RF17:RF19)/COUNT(RF17:RF19))</f>
        <v>1.5</v>
      </c>
      <c r="RG16" s="175" t="str">
        <f t="shared" si="112"/>
        <v>D</v>
      </c>
      <c r="RH16" s="153"/>
      <c r="RI16" s="90"/>
      <c r="RJ16" s="90"/>
      <c r="RK16" s="90"/>
      <c r="RL16" s="90"/>
      <c r="RM16" s="91"/>
      <c r="RN16" s="159">
        <f>IF(COUNT(RN17:RN19)=0,"",SUM(RN17:RN19)/COUNT(RN17:RN19))</f>
        <v>2</v>
      </c>
      <c r="RO16" s="183" t="str">
        <f t="shared" si="113"/>
        <v>C</v>
      </c>
      <c r="RP16" s="184">
        <f>IF(COUNT(RP17:RP19)=0,"",SUM(RP17:RP19)/COUNT(RP17:RP19))</f>
        <v>1.6666666666666665</v>
      </c>
      <c r="RQ16" s="185" t="str">
        <f t="shared" si="114"/>
        <v>C</v>
      </c>
      <c r="RR16" s="196"/>
      <c r="RS16" s="65"/>
      <c r="RT16" s="85"/>
      <c r="RU16" s="159">
        <f>IF(COUNT(RU17:RU19)=0,"",SUM(RU17:RU19)/COUNT(RU17:RU19))</f>
        <v>2</v>
      </c>
      <c r="RV16" s="160" t="str">
        <f t="shared" si="115"/>
        <v>C</v>
      </c>
      <c r="RW16" s="152"/>
      <c r="RX16" s="65"/>
      <c r="RY16" s="65"/>
      <c r="RZ16" s="85"/>
      <c r="SA16" s="159">
        <f>IF(COUNT(SA17:SA19)=0,"",SUM(SA17:SA19)/COUNT(SA17:SA19))</f>
        <v>2</v>
      </c>
      <c r="SB16" s="175" t="str">
        <f t="shared" si="116"/>
        <v>C</v>
      </c>
      <c r="SC16" s="153"/>
      <c r="SD16" s="90"/>
      <c r="SE16" s="90"/>
      <c r="SF16" s="90"/>
      <c r="SG16" s="90"/>
      <c r="SH16" s="91"/>
      <c r="SI16" s="159">
        <f>IF(COUNT(SI17:SI19)=0,"",SUM(SI17:SI19)/COUNT(SI17:SI19))</f>
        <v>1.5</v>
      </c>
      <c r="SJ16" s="183" t="str">
        <f t="shared" si="117"/>
        <v>D</v>
      </c>
      <c r="SK16" s="184">
        <f>IF(COUNT(SK17:SK19)=0,"",SUM(SK17:SK19)/COUNT(SK17:SK19))</f>
        <v>1.7777777777777777</v>
      </c>
      <c r="SL16" s="185" t="str">
        <f t="shared" si="118"/>
        <v>C</v>
      </c>
      <c r="SM16" s="121"/>
      <c r="SN16" s="65"/>
      <c r="SO16" s="85"/>
      <c r="SP16" s="86" t="str">
        <f>IF(COUNT(SP17:SP19)=0,"",SUM(SP17:SP19)/COUNT(SP17:SP19))</f>
        <v/>
      </c>
      <c r="SQ16" s="87" t="str">
        <f t="shared" si="119"/>
        <v/>
      </c>
      <c r="SR16" s="84"/>
      <c r="SS16" s="65"/>
      <c r="ST16" s="85"/>
      <c r="SU16" s="86" t="str">
        <f>IF(COUNT(SU17:SU19)=0,"",SUM(SU17:SU19)/COUNT(SU17:SU19))</f>
        <v/>
      </c>
      <c r="SV16" s="88" t="str">
        <f t="shared" si="120"/>
        <v/>
      </c>
      <c r="SW16" s="89"/>
      <c r="SX16" s="90"/>
      <c r="SY16" s="91"/>
      <c r="SZ16" s="86" t="str">
        <f>IF(COUNT(SZ17:SZ19)=0,"",SUM(SZ17:SZ19)/COUNT(SZ17:SZ19))</f>
        <v/>
      </c>
      <c r="TA16" s="92" t="str">
        <f t="shared" si="121"/>
        <v/>
      </c>
      <c r="TB16" s="93" t="str">
        <f>IF(COUNT(TB17:TB19)=0,"",SUM(TB17:TB19)/COUNT(TB17:TB19))</f>
        <v/>
      </c>
      <c r="TC16" s="94" t="str">
        <f t="shared" si="122"/>
        <v/>
      </c>
      <c r="TD16" s="121"/>
      <c r="TE16" s="65"/>
      <c r="TF16" s="85"/>
      <c r="TG16" s="86" t="str">
        <f>IF(COUNT(TG17:TG19)=0,"",SUM(TG17:TG19)/COUNT(TG17:TG19))</f>
        <v/>
      </c>
      <c r="TH16" s="87" t="str">
        <f t="shared" si="123"/>
        <v/>
      </c>
      <c r="TI16" s="84"/>
      <c r="TJ16" s="65"/>
      <c r="TK16" s="85"/>
      <c r="TL16" s="86" t="str">
        <f>IF(COUNT(TL17:TL19)=0,"",SUM(TL17:TL19)/COUNT(TL17:TL19))</f>
        <v/>
      </c>
      <c r="TM16" s="88" t="str">
        <f t="shared" si="124"/>
        <v/>
      </c>
      <c r="TN16" s="89"/>
      <c r="TO16" s="90"/>
      <c r="TP16" s="91"/>
      <c r="TQ16" s="86" t="str">
        <f>IF(COUNT(TQ17:TQ19)=0,"",SUM(TQ17:TQ19)/COUNT(TQ17:TQ19))</f>
        <v/>
      </c>
      <c r="TR16" s="92" t="str">
        <f t="shared" si="125"/>
        <v/>
      </c>
      <c r="TS16" s="93" t="str">
        <f>IF(COUNT(TS17:TS19)=0,"",SUM(TS17:TS19)/COUNT(TS17:TS19))</f>
        <v/>
      </c>
      <c r="TT16" s="94" t="str">
        <f t="shared" si="126"/>
        <v/>
      </c>
      <c r="TU16" s="121"/>
      <c r="TV16" s="65"/>
      <c r="TW16" s="85"/>
      <c r="TX16" s="86" t="str">
        <f>IF(COUNT(TX17:TX19)=0,"",SUM(TX17:TX19)/COUNT(TX17:TX19))</f>
        <v/>
      </c>
      <c r="TY16" s="87" t="str">
        <f t="shared" si="127"/>
        <v/>
      </c>
      <c r="TZ16" s="84"/>
      <c r="UA16" s="65"/>
      <c r="UB16" s="85"/>
      <c r="UC16" s="86" t="str">
        <f>IF(COUNT(UC17:UC19)=0,"",SUM(UC17:UC19)/COUNT(UC17:UC19))</f>
        <v/>
      </c>
      <c r="UD16" s="88" t="str">
        <f t="shared" si="128"/>
        <v/>
      </c>
      <c r="UE16" s="89"/>
      <c r="UF16" s="90"/>
      <c r="UG16" s="91"/>
      <c r="UH16" s="86" t="str">
        <f>IF(COUNT(UH17:UH19)=0,"",SUM(UH17:UH19)/COUNT(UH17:UH19))</f>
        <v/>
      </c>
      <c r="UI16" s="92" t="str">
        <f t="shared" si="129"/>
        <v/>
      </c>
      <c r="UJ16" s="93" t="str">
        <f>IF(COUNT(UJ17:UJ19)=0,"",SUM(UJ17:UJ19)/COUNT(UJ17:UJ19))</f>
        <v/>
      </c>
      <c r="UK16" s="94" t="str">
        <f t="shared" si="130"/>
        <v/>
      </c>
      <c r="UL16" s="121"/>
      <c r="UM16" s="65"/>
      <c r="UN16" s="85"/>
      <c r="UO16" s="86" t="str">
        <f>IF(COUNT(UO17:UO19)=0,"",SUM(UO17:UO19)/COUNT(UO17:UO19))</f>
        <v/>
      </c>
      <c r="UP16" s="87" t="str">
        <f t="shared" si="131"/>
        <v/>
      </c>
      <c r="UQ16" s="84"/>
      <c r="UR16" s="65"/>
      <c r="US16" s="85"/>
      <c r="UT16" s="86" t="str">
        <f>IF(COUNT(UT17:UT19)=0,"",SUM(UT17:UT19)/COUNT(UT17:UT19))</f>
        <v/>
      </c>
      <c r="UU16" s="88" t="str">
        <f t="shared" si="132"/>
        <v/>
      </c>
      <c r="UV16" s="89"/>
      <c r="UW16" s="90"/>
      <c r="UX16" s="91"/>
      <c r="UY16" s="86" t="str">
        <f>IF(COUNT(UY17:UY19)=0,"",SUM(UY17:UY19)/COUNT(UY17:UY19))</f>
        <v/>
      </c>
      <c r="UZ16" s="92" t="str">
        <f t="shared" si="133"/>
        <v/>
      </c>
      <c r="VA16" s="93" t="str">
        <f>IF(COUNT(VA17:VA19)=0,"",SUM(VA17:VA19)/COUNT(VA17:VA19))</f>
        <v/>
      </c>
      <c r="VB16" s="94" t="str">
        <f t="shared" si="134"/>
        <v/>
      </c>
      <c r="VC16" s="121"/>
      <c r="VD16" s="65"/>
      <c r="VE16" s="85"/>
      <c r="VF16" s="86" t="str">
        <f>IF(COUNT(VF17:VF19)=0,"",SUM(VF17:VF19)/COUNT(VF17:VF19))</f>
        <v/>
      </c>
      <c r="VG16" s="87" t="str">
        <f t="shared" si="135"/>
        <v/>
      </c>
      <c r="VH16" s="84"/>
      <c r="VI16" s="65"/>
      <c r="VJ16" s="85"/>
      <c r="VK16" s="86" t="str">
        <f>IF(COUNT(VK17:VK19)=0,"",SUM(VK17:VK19)/COUNT(VK17:VK19))</f>
        <v/>
      </c>
      <c r="VL16" s="88" t="str">
        <f t="shared" si="136"/>
        <v/>
      </c>
      <c r="VM16" s="89"/>
      <c r="VN16" s="90"/>
      <c r="VO16" s="91"/>
      <c r="VP16" s="86" t="str">
        <f>IF(COUNT(VP17:VP19)=0,"",SUM(VP17:VP19)/COUNT(VP17:VP19))</f>
        <v/>
      </c>
      <c r="VQ16" s="92" t="str">
        <f t="shared" si="137"/>
        <v/>
      </c>
      <c r="VR16" s="93" t="str">
        <f>IF(COUNT(VR17:VR19)=0,"",SUM(VR17:VR19)/COUNT(VR17:VR19))</f>
        <v/>
      </c>
      <c r="VS16" s="94" t="str">
        <f t="shared" si="138"/>
        <v/>
      </c>
      <c r="VT16" s="121"/>
      <c r="VU16" s="65"/>
      <c r="VV16" s="85"/>
      <c r="VW16" s="86" t="str">
        <f>IF(COUNT(VW17:VW19)=0,"",SUM(VW17:VW19)/COUNT(VW17:VW19))</f>
        <v/>
      </c>
      <c r="VX16" s="87" t="str">
        <f t="shared" si="139"/>
        <v/>
      </c>
      <c r="VY16" s="84"/>
      <c r="VZ16" s="65"/>
      <c r="WA16" s="85"/>
      <c r="WB16" s="86" t="str">
        <f>IF(COUNT(WB17:WB19)=0,"",SUM(WB17:WB19)/COUNT(WB17:WB19))</f>
        <v/>
      </c>
      <c r="WC16" s="88" t="str">
        <f t="shared" si="140"/>
        <v/>
      </c>
      <c r="WD16" s="89"/>
      <c r="WE16" s="90"/>
      <c r="WF16" s="91"/>
      <c r="WG16" s="86" t="str">
        <f>IF(COUNT(WG17:WG19)=0,"",SUM(WG17:WG19)/COUNT(WG17:WG19))</f>
        <v/>
      </c>
      <c r="WH16" s="92" t="str">
        <f t="shared" si="141"/>
        <v/>
      </c>
      <c r="WI16" s="93" t="str">
        <f>IF(COUNT(WI17:WI19)=0,"",SUM(WI17:WI19)/COUNT(WI17:WI19))</f>
        <v/>
      </c>
      <c r="WJ16" s="94" t="str">
        <f t="shared" si="142"/>
        <v/>
      </c>
    </row>
    <row r="17" spans="1:608" ht="18" customHeight="1" x14ac:dyDescent="0.55000000000000004">
      <c r="A17" s="217" t="s">
        <v>21</v>
      </c>
      <c r="B17" s="218"/>
      <c r="C17" s="103"/>
      <c r="D17" s="104" t="s">
        <v>28</v>
      </c>
      <c r="E17" s="105"/>
      <c r="F17" s="161">
        <f>IFERROR((((COUNTIF('Elève (3ème3)'!C17:E17,"A"))*4)+((COUNTIF('Elève (3ème3)'!C17:E17,"B"))*3)+((COUNTIF('Elève (3ème3)'!C17:E17,"C"))*2)+((COUNTIF('Elève (3ème3)'!C17:E17,"D"))*1))/(COUNTA(C17:E17)),"")</f>
        <v>3</v>
      </c>
      <c r="G17" s="162" t="str">
        <f t="shared" si="23"/>
        <v>B</v>
      </c>
      <c r="H17" s="103" t="s">
        <v>29</v>
      </c>
      <c r="I17" s="104"/>
      <c r="J17" s="105"/>
      <c r="K17" s="105"/>
      <c r="L17" s="161">
        <f>IFERROR((((COUNTIF('Elève (3ème3)'!H17:K17,"A"))*4)+((COUNTIF('Elève (3ème3)'!H17:K17,"B"))*3)+((COUNTIF('Elève (3ème3)'!H17:K17,"C"))*2)+((COUNTIF('Elève (3ème3)'!H17:K17,"D"))*1))/(COUNTA(H17:K17)),"")</f>
        <v>2</v>
      </c>
      <c r="M17" s="162" t="str">
        <f t="shared" si="24"/>
        <v>C</v>
      </c>
      <c r="N17" s="103" t="s">
        <v>28</v>
      </c>
      <c r="O17" s="104" t="s">
        <v>27</v>
      </c>
      <c r="P17" s="105"/>
      <c r="Q17" s="105"/>
      <c r="R17" s="105" t="s">
        <v>28</v>
      </c>
      <c r="S17" s="105"/>
      <c r="T17" s="161">
        <f>IFERROR((((COUNTIF('Elève (3ème3)'!N17:S17,"A"))*4)+((COUNTIF('Elève (3ème3)'!N17:S17,"B"))*3)+((COUNTIF('Elève (3ème3)'!N17:S17,"C"))*2)+((COUNTIF('Elève (3ème3)'!N17:S17,"D"))*1))/(COUNTA(N17:S17)),"")</f>
        <v>3.3333333333333335</v>
      </c>
      <c r="U17" s="162" t="str">
        <f t="shared" si="25"/>
        <v>B</v>
      </c>
      <c r="V17" s="161">
        <f>IF(COUNT(F17,L17,T17)=0,"",SUM(F17,L17,T17)/COUNT(F17,L17,T17))</f>
        <v>2.7777777777777781</v>
      </c>
      <c r="W17" s="191" t="str">
        <f t="shared" si="26"/>
        <v>C</v>
      </c>
      <c r="X17" s="103"/>
      <c r="Y17" s="104" t="s">
        <v>29</v>
      </c>
      <c r="Z17" s="105"/>
      <c r="AA17" s="161">
        <f>IFERROR((((COUNTIF('Elève (3ème3)'!X17:Z17,"A"))*4)+((COUNTIF('Elève (3ème3)'!X17:Z17,"B"))*3)+((COUNTIF('Elève (3ème3)'!X17:Z17,"C"))*2)+((COUNTIF('Elève (3ème3)'!X17:Z17,"D"))*1))/(COUNTA(X17:Z17)),"")</f>
        <v>2</v>
      </c>
      <c r="AB17" s="162" t="str">
        <f t="shared" si="27"/>
        <v>C</v>
      </c>
      <c r="AC17" s="103" t="s">
        <v>30</v>
      </c>
      <c r="AD17" s="104"/>
      <c r="AE17" s="105"/>
      <c r="AF17" s="105"/>
      <c r="AG17" s="161">
        <f>IFERROR((((COUNTIF('Elève (3ème3)'!AC17:AF17,"A"))*4)+((COUNTIF('Elève (3ème3)'!AC17:AF17,"B"))*3)+((COUNTIF('Elève (3ème3)'!AC17:AF17,"C"))*2)+((COUNTIF('Elève (3ème3)'!AC17:AF17,"D"))*1))/(COUNTA(AC17:AF17)),"")</f>
        <v>1</v>
      </c>
      <c r="AH17" s="162" t="str">
        <f t="shared" si="28"/>
        <v>D</v>
      </c>
      <c r="AI17" s="103" t="s">
        <v>29</v>
      </c>
      <c r="AJ17" s="104" t="s">
        <v>29</v>
      </c>
      <c r="AK17" s="105"/>
      <c r="AL17" s="105"/>
      <c r="AM17" s="105" t="s">
        <v>29</v>
      </c>
      <c r="AN17" s="109"/>
      <c r="AO17" s="161">
        <f>IFERROR((((COUNTIF('Elève (3ème3)'!AI17:AN17,"A"))*4)+((COUNTIF('Elève (3ème3)'!AI17:AN17,"B"))*3)+((COUNTIF('Elève (3ème3)'!AI17:AN17,"C"))*2)+((COUNTIF('Elève (3ème3)'!AI17:AN17,"D"))*1))/(COUNTA(AI17:AN17)),"")</f>
        <v>2</v>
      </c>
      <c r="AP17" s="162" t="str">
        <f t="shared" si="29"/>
        <v>C</v>
      </c>
      <c r="AQ17" s="161">
        <f>IF(COUNT(AA17,AG17,AO17)=0,"",SUM(AA17,AG17,AO17)/COUNT(AA17,AG17,AO17))</f>
        <v>1.6666666666666667</v>
      </c>
      <c r="AR17" s="191" t="str">
        <f t="shared" si="30"/>
        <v>C</v>
      </c>
      <c r="AS17" s="103"/>
      <c r="AT17" s="104" t="s">
        <v>28</v>
      </c>
      <c r="AU17" s="105"/>
      <c r="AV17" s="161">
        <f>IFERROR((((COUNTIF('Elève (3ème3)'!AS17:AU17,"A"))*4)+((COUNTIF('Elève (3ème3)'!AS17:AU17,"B"))*3)+((COUNTIF('Elève (3ème3)'!AS17:AU17,"C"))*2)+((COUNTIF('Elève (3ème3)'!AS17:AU17,"D"))*1))/(COUNTA(AS17:AU17)),"")</f>
        <v>3</v>
      </c>
      <c r="AW17" s="162" t="str">
        <f t="shared" si="31"/>
        <v>B</v>
      </c>
      <c r="AX17" s="103" t="s">
        <v>29</v>
      </c>
      <c r="AY17" s="104"/>
      <c r="AZ17" s="105"/>
      <c r="BA17" s="105"/>
      <c r="BB17" s="161">
        <f>IFERROR((((COUNTIF('Elève (3ème3)'!AX17:BA17,"A"))*4)+((COUNTIF('Elève (3ème3)'!AX17:BA17,"B"))*3)+((COUNTIF('Elève (3ème3)'!AX17:BA17,"C"))*2)+((COUNTIF('Elève (3ème3)'!AX17:BA17,"D"))*1))/(COUNTA(AX17:BA17)),"")</f>
        <v>2</v>
      </c>
      <c r="BC17" s="162" t="str">
        <f t="shared" si="32"/>
        <v>C</v>
      </c>
      <c r="BD17" s="103" t="s">
        <v>28</v>
      </c>
      <c r="BE17" s="104" t="s">
        <v>27</v>
      </c>
      <c r="BF17" s="105"/>
      <c r="BG17" s="105"/>
      <c r="BH17" s="105" t="s">
        <v>28</v>
      </c>
      <c r="BI17" s="109"/>
      <c r="BJ17" s="161">
        <f>IFERROR((((COUNTIF('Elève (3ème3)'!BD17:BI17,"A"))*4)+((COUNTIF('Elève (3ème3)'!BD17:BI17,"B"))*3)+((COUNTIF('Elève (3ème3)'!BD17:BI17,"C"))*2)+((COUNTIF('Elève (3ème3)'!BD17:BI17,"D"))*1))/(COUNTA(BD17:BI17)),"")</f>
        <v>3.3333333333333335</v>
      </c>
      <c r="BK17" s="162" t="str">
        <f t="shared" si="33"/>
        <v>B</v>
      </c>
      <c r="BL17" s="161">
        <f>IF(COUNT(AV17,BB17,BJ17)=0,"",SUM(AV17,BB17,BJ17)/COUNT(AV17,BB17,BJ17))</f>
        <v>2.7777777777777781</v>
      </c>
      <c r="BM17" s="191" t="str">
        <f t="shared" si="34"/>
        <v>C</v>
      </c>
      <c r="BN17" s="103"/>
      <c r="BO17" s="104" t="s">
        <v>30</v>
      </c>
      <c r="BP17" s="105"/>
      <c r="BQ17" s="161">
        <f>IFERROR((((COUNTIF('Elève (3ème3)'!BN17:BP17,"A"))*4)+((COUNTIF('Elève (3ème3)'!BN17:BP17,"B"))*3)+((COUNTIF('Elève (3ème3)'!BN17:BP17,"C"))*2)+((COUNTIF('Elève (3ème3)'!BN17:BP17,"D"))*1))/(COUNTA(BN17:BP17)),"")</f>
        <v>1</v>
      </c>
      <c r="BR17" s="162" t="str">
        <f t="shared" si="35"/>
        <v>D</v>
      </c>
      <c r="BS17" s="103" t="s">
        <v>29</v>
      </c>
      <c r="BT17" s="104"/>
      <c r="BU17" s="105"/>
      <c r="BV17" s="105"/>
      <c r="BW17" s="161">
        <f>IFERROR((((COUNTIF('Elève (3ème3)'!BS17:BV17,"A"))*4)+((COUNTIF('Elève (3ème3)'!BS17:BV17,"B"))*3)+((COUNTIF('Elève (3ème3)'!BS17:BV17,"C"))*2)+((COUNTIF('Elève (3ème3)'!BS17:BV17,"D"))*1))/(COUNTA(BS17:BV17)),"")</f>
        <v>2</v>
      </c>
      <c r="BX17" s="162" t="str">
        <f t="shared" si="36"/>
        <v>C</v>
      </c>
      <c r="BY17" s="103" t="s">
        <v>29</v>
      </c>
      <c r="BZ17" s="104" t="s">
        <v>29</v>
      </c>
      <c r="CA17" s="105"/>
      <c r="CB17" s="105"/>
      <c r="CC17" s="105" t="s">
        <v>28</v>
      </c>
      <c r="CD17" s="109"/>
      <c r="CE17" s="161">
        <f>IFERROR((((COUNTIF('Elève (3ème3)'!BY17:CD17,"A"))*4)+((COUNTIF('Elève (3ème3)'!BY17:CD17,"B"))*3)+((COUNTIF('Elève (3ème3)'!BY17:CD17,"C"))*2)+((COUNTIF('Elève (3ème3)'!BY17:CD17,"D"))*1))/(COUNTA(BY17:CD17)),"")</f>
        <v>2.3333333333333335</v>
      </c>
      <c r="CF17" s="162" t="str">
        <f t="shared" si="37"/>
        <v>C</v>
      </c>
      <c r="CG17" s="161">
        <f>IF(COUNT(BQ17,BW17,CE17)=0,"",SUM(BQ17,BW17,CE17)/COUNT(BQ17,BW17,CE17))</f>
        <v>1.7777777777777779</v>
      </c>
      <c r="CH17" s="191" t="str">
        <f t="shared" si="38"/>
        <v>C</v>
      </c>
      <c r="CI17" s="103"/>
      <c r="CJ17" s="104" t="s">
        <v>29</v>
      </c>
      <c r="CK17" s="105"/>
      <c r="CL17" s="161">
        <f>IFERROR((((COUNTIF('Elève (3ème3)'!CI17:CK17,"A"))*4)+((COUNTIF('Elève (3ème3)'!CI17:CK17,"B"))*3)+((COUNTIF('Elève (3ème3)'!CI17:CK17,"C"))*2)+((COUNTIF('Elève (3ème3)'!CI17:CK17,"D"))*1))/(COUNTA(CI17:CK17)),"")</f>
        <v>2</v>
      </c>
      <c r="CM17" s="162" t="str">
        <f t="shared" si="39"/>
        <v>C</v>
      </c>
      <c r="CN17" s="103" t="s">
        <v>29</v>
      </c>
      <c r="CO17" s="104"/>
      <c r="CP17" s="105"/>
      <c r="CQ17" s="105"/>
      <c r="CR17" s="161">
        <f>IFERROR((((COUNTIF('Elève (3ème3)'!CN17:CQ17,"A"))*4)+((COUNTIF('Elève (3ème3)'!CN17:CQ17,"B"))*3)+((COUNTIF('Elève (3ème3)'!CN17:CQ17,"C"))*2)+((COUNTIF('Elève (3ème3)'!CN17:CQ17,"D"))*1))/(COUNTA(CN17:CQ17)),"")</f>
        <v>2</v>
      </c>
      <c r="CS17" s="162" t="str">
        <f t="shared" si="40"/>
        <v>C</v>
      </c>
      <c r="CT17" s="103" t="s">
        <v>29</v>
      </c>
      <c r="CU17" s="104" t="s">
        <v>28</v>
      </c>
      <c r="CV17" s="105"/>
      <c r="CW17" s="105"/>
      <c r="CX17" s="105" t="s">
        <v>28</v>
      </c>
      <c r="CY17" s="109"/>
      <c r="CZ17" s="161">
        <f>IFERROR((((COUNTIF('Elève (3ème3)'!CT17:CY17,"A"))*4)+((COUNTIF('Elève (3ème3)'!CT17:CY17,"B"))*3)+((COUNTIF('Elève (3ème3)'!CT17:CY17,"C"))*2)+((COUNTIF('Elève (3ème3)'!CT17:CY17,"D"))*1))/(COUNTA(CT17:CY17)),"")</f>
        <v>2.6666666666666665</v>
      </c>
      <c r="DA17" s="162" t="str">
        <f t="shared" si="41"/>
        <v>C</v>
      </c>
      <c r="DB17" s="161">
        <f>IF(COUNT(CL17,CR17,CZ17)=0,"",SUM(CL17,CR17,CZ17)/COUNT(CL17,CR17,CZ17))</f>
        <v>2.2222222222222219</v>
      </c>
      <c r="DC17" s="191" t="str">
        <f t="shared" si="42"/>
        <v>C</v>
      </c>
      <c r="DD17" s="103"/>
      <c r="DE17" s="104" t="s">
        <v>29</v>
      </c>
      <c r="DF17" s="105"/>
      <c r="DG17" s="161">
        <f>IFERROR((((COUNTIF('Elève (3ème3)'!DD17:DF17,"A"))*4)+((COUNTIF('Elève (3ème3)'!DD17:DF17,"B"))*3)+((COUNTIF('Elève (3ème3)'!DD17:DF17,"C"))*2)+((COUNTIF('Elève (3ème3)'!DD17:DF17,"D"))*1))/(COUNTA(DD17:DF17)),"")</f>
        <v>2</v>
      </c>
      <c r="DH17" s="162" t="str">
        <f t="shared" si="43"/>
        <v>C</v>
      </c>
      <c r="DI17" s="103" t="s">
        <v>29</v>
      </c>
      <c r="DJ17" s="104"/>
      <c r="DK17" s="105"/>
      <c r="DL17" s="105"/>
      <c r="DM17" s="161">
        <f>IFERROR((((COUNTIF('Elève (3ème3)'!DI17:DL17,"A"))*4)+((COUNTIF('Elève (3ème3)'!DI17:DL17,"B"))*3)+((COUNTIF('Elève (3ème3)'!DI17:DL17,"C"))*2)+((COUNTIF('Elève (3ème3)'!DI17:DL17,"D"))*1))/(COUNTA(DI17:DL17)),"")</f>
        <v>2</v>
      </c>
      <c r="DN17" s="162" t="str">
        <f t="shared" si="44"/>
        <v>C</v>
      </c>
      <c r="DO17" s="103" t="s">
        <v>29</v>
      </c>
      <c r="DP17" s="104" t="s">
        <v>29</v>
      </c>
      <c r="DQ17" s="105"/>
      <c r="DR17" s="105"/>
      <c r="DS17" s="105" t="s">
        <v>29</v>
      </c>
      <c r="DT17" s="109"/>
      <c r="DU17" s="161">
        <f>IFERROR((((COUNTIF('Elève (3ème3)'!DO17:DT17,"A"))*4)+((COUNTIF('Elève (3ème3)'!DO17:DT17,"B"))*3)+((COUNTIF('Elève (3ème3)'!DO17:DT17,"C"))*2)+((COUNTIF('Elève (3ème3)'!DO17:DT17,"D"))*1))/(COUNTA(DO17:DT17)),"")</f>
        <v>2</v>
      </c>
      <c r="DV17" s="162" t="str">
        <f t="shared" si="45"/>
        <v>C</v>
      </c>
      <c r="DW17" s="161">
        <f>IF(COUNT(DG17,DM17,DU17)=0,"",SUM(DG17,DM17,DU17)/COUNT(DG17,DM17,DU17))</f>
        <v>2</v>
      </c>
      <c r="DX17" s="191" t="str">
        <f t="shared" si="46"/>
        <v>C</v>
      </c>
      <c r="DY17" s="103"/>
      <c r="DZ17" s="104" t="s">
        <v>29</v>
      </c>
      <c r="EA17" s="105"/>
      <c r="EB17" s="161">
        <f>IFERROR((((COUNTIF('Elève (3ème3)'!DY17:EA17,"A"))*4)+((COUNTIF('Elève (3ème3)'!DY17:EA17,"B"))*3)+((COUNTIF('Elève (3ème3)'!DY17:EA17,"C"))*2)+((COUNTIF('Elève (3ème3)'!DY17:EA17,"D"))*1))/(COUNTA(DY17:EA17)),"")</f>
        <v>2</v>
      </c>
      <c r="EC17" s="162" t="str">
        <f t="shared" si="47"/>
        <v>C</v>
      </c>
      <c r="ED17" s="103" t="s">
        <v>30</v>
      </c>
      <c r="EE17" s="104"/>
      <c r="EF17" s="105"/>
      <c r="EG17" s="105"/>
      <c r="EH17" s="161">
        <f>IFERROR((((COUNTIF('Elève (3ème3)'!ED17:EG17,"A"))*4)+((COUNTIF('Elève (3ème3)'!ED17:EG17,"B"))*3)+((COUNTIF('Elève (3ème3)'!ED17:EG17,"C"))*2)+((COUNTIF('Elève (3ème3)'!ED17:EG17,"D"))*1))/(COUNTA(ED17:EG17)),"")</f>
        <v>1</v>
      </c>
      <c r="EI17" s="162" t="str">
        <f t="shared" si="48"/>
        <v>D</v>
      </c>
      <c r="EJ17" s="103" t="s">
        <v>28</v>
      </c>
      <c r="EK17" s="104" t="s">
        <v>29</v>
      </c>
      <c r="EL17" s="105"/>
      <c r="EM17" s="105"/>
      <c r="EN17" s="105" t="s">
        <v>29</v>
      </c>
      <c r="EO17" s="109"/>
      <c r="EP17" s="161">
        <f>IFERROR((((COUNTIF('Elève (3ème3)'!EJ17:EO17,"A"))*4)+((COUNTIF('Elève (3ème3)'!EJ17:EO17,"B"))*3)+((COUNTIF('Elève (3ème3)'!EJ17:EO17,"C"))*2)+((COUNTIF('Elève (3ème3)'!EJ17:EO17,"D"))*1))/(COUNTA(EJ17:EO17)),"")</f>
        <v>2.3333333333333335</v>
      </c>
      <c r="EQ17" s="162" t="str">
        <f t="shared" si="49"/>
        <v>C</v>
      </c>
      <c r="ER17" s="161">
        <f>IF(COUNT(EB17,EH17,EP17)=0,"",SUM(EB17,EH17,EP17)/COUNT(EB17,EH17,EP17))</f>
        <v>1.7777777777777779</v>
      </c>
      <c r="ES17" s="191" t="str">
        <f t="shared" si="50"/>
        <v>C</v>
      </c>
      <c r="ET17" s="103"/>
      <c r="EU17" s="104" t="s">
        <v>28</v>
      </c>
      <c r="EV17" s="105"/>
      <c r="EW17" s="161">
        <f>IFERROR((((COUNTIF('Elève (3ème3)'!ET17:EV17,"A"))*4)+((COUNTIF('Elève (3ème3)'!ET17:EV17,"B"))*3)+((COUNTIF('Elève (3ème3)'!ET17:EV17,"C"))*2)+((COUNTIF('Elève (3ème3)'!ET17:EV17,"D"))*1))/(COUNTA(ET17:EV17)),"")</f>
        <v>3</v>
      </c>
      <c r="EX17" s="162" t="str">
        <f t="shared" si="51"/>
        <v>B</v>
      </c>
      <c r="EY17" s="103" t="s">
        <v>29</v>
      </c>
      <c r="EZ17" s="104"/>
      <c r="FA17" s="105"/>
      <c r="FB17" s="105"/>
      <c r="FC17" s="161">
        <f>IFERROR((((COUNTIF('Elève (3ème3)'!EY17:FB17,"A"))*4)+((COUNTIF('Elève (3ème3)'!EY17:FB17,"B"))*3)+((COUNTIF('Elève (3ème3)'!EY17:FB17,"C"))*2)+((COUNTIF('Elève (3ème3)'!EY17:FB17,"D"))*1))/(COUNTA(EY17:FB17)),"")</f>
        <v>2</v>
      </c>
      <c r="FD17" s="162" t="str">
        <f t="shared" si="52"/>
        <v>C</v>
      </c>
      <c r="FE17" s="103" t="s">
        <v>29</v>
      </c>
      <c r="FF17" s="104" t="s">
        <v>27</v>
      </c>
      <c r="FG17" s="105"/>
      <c r="FH17" s="105"/>
      <c r="FI17" s="105" t="s">
        <v>28</v>
      </c>
      <c r="FJ17" s="109"/>
      <c r="FK17" s="161">
        <f>IFERROR((((COUNTIF('Elève (3ème3)'!FE17:FJ17,"A"))*4)+((COUNTIF('Elève (3ème3)'!FE17:FJ17,"B"))*3)+((COUNTIF('Elève (3ème3)'!FE17:FJ17,"C"))*2)+((COUNTIF('Elève (3ème3)'!FE17:FJ17,"D"))*1))/(COUNTA(FE17:FJ17)),"")</f>
        <v>3</v>
      </c>
      <c r="FL17" s="162" t="str">
        <f t="shared" si="53"/>
        <v>B</v>
      </c>
      <c r="FM17" s="161">
        <f>IF(COUNT(EW17,FC17,FK17)=0,"",SUM(EW17,FC17,FK17)/COUNT(EW17,FC17,FK17))</f>
        <v>2.6666666666666665</v>
      </c>
      <c r="FN17" s="191" t="str">
        <f t="shared" si="54"/>
        <v>C</v>
      </c>
      <c r="FO17" s="103"/>
      <c r="FP17" s="104" t="s">
        <v>29</v>
      </c>
      <c r="FQ17" s="105"/>
      <c r="FR17" s="161">
        <f>IFERROR((((COUNTIF('Elève (3ème3)'!FO17:FQ17,"A"))*4)+((COUNTIF('Elève (3ème3)'!FO17:FQ17,"B"))*3)+((COUNTIF('Elève (3ème3)'!FO17:FQ17,"C"))*2)+((COUNTIF('Elève (3ème3)'!FO17:FQ17,"D"))*1))/(COUNTA(FO17:FQ17)),"")</f>
        <v>2</v>
      </c>
      <c r="FS17" s="162" t="str">
        <f t="shared" si="55"/>
        <v>C</v>
      </c>
      <c r="FT17" s="103" t="s">
        <v>29</v>
      </c>
      <c r="FU17" s="104"/>
      <c r="FV17" s="105"/>
      <c r="FW17" s="105"/>
      <c r="FX17" s="161">
        <f>IFERROR((((COUNTIF('Elève (3ème3)'!FT17:FW17,"A"))*4)+((COUNTIF('Elève (3ème3)'!FT17:FW17,"B"))*3)+((COUNTIF('Elève (3ème3)'!FT17:FW17,"C"))*2)+((COUNTIF('Elève (3ème3)'!FT17:FW17,"D"))*1))/(COUNTA(FT17:FW17)),"")</f>
        <v>2</v>
      </c>
      <c r="FY17" s="162" t="str">
        <f t="shared" si="56"/>
        <v>C</v>
      </c>
      <c r="FZ17" s="103" t="s">
        <v>29</v>
      </c>
      <c r="GA17" s="104"/>
      <c r="GB17" s="105"/>
      <c r="GC17" s="105"/>
      <c r="GD17" s="105" t="s">
        <v>29</v>
      </c>
      <c r="GE17" s="109"/>
      <c r="GF17" s="161">
        <f>IFERROR((((COUNTIF('Elève (3ème3)'!FZ17:GE17,"A"))*4)+((COUNTIF('Elève (3ème3)'!FZ17:GE17,"B"))*3)+((COUNTIF('Elève (3ème3)'!FZ17:GE17,"C"))*2)+((COUNTIF('Elève (3ème3)'!FZ17:GE17,"D"))*1))/(COUNTA(FZ17:GE17)),"")</f>
        <v>2</v>
      </c>
      <c r="GG17" s="162" t="str">
        <f t="shared" si="57"/>
        <v>C</v>
      </c>
      <c r="GH17" s="161">
        <f>IF(COUNT(FR17,FX17,GF17)=0,"",SUM(FR17,FX17,GF17)/COUNT(FR17,FX17,GF17))</f>
        <v>2</v>
      </c>
      <c r="GI17" s="191" t="str">
        <f t="shared" si="58"/>
        <v>C</v>
      </c>
      <c r="GJ17" s="103"/>
      <c r="GK17" s="104" t="s">
        <v>29</v>
      </c>
      <c r="GL17" s="105"/>
      <c r="GM17" s="161">
        <f>IFERROR((((COUNTIF('Elève (3ème3)'!GJ17:GL17,"A"))*4)+((COUNTIF('Elève (3ème3)'!GJ17:GL17,"B"))*3)+((COUNTIF('Elève (3ème3)'!GJ17:GL17,"C"))*2)+((COUNTIF('Elève (3ème3)'!GJ17:GL17,"D"))*1))/(COUNTA(GJ17:GL17)),"")</f>
        <v>2</v>
      </c>
      <c r="GN17" s="162" t="str">
        <f t="shared" si="59"/>
        <v>C</v>
      </c>
      <c r="GO17" s="103" t="s">
        <v>29</v>
      </c>
      <c r="GP17" s="104"/>
      <c r="GQ17" s="105"/>
      <c r="GR17" s="105"/>
      <c r="GS17" s="161">
        <f>IFERROR((((COUNTIF('Elève (3ème3)'!GO17:GR17,"A"))*4)+((COUNTIF('Elève (3ème3)'!GO17:GR17,"B"))*3)+((COUNTIF('Elève (3ème3)'!GO17:GR17,"C"))*2)+((COUNTIF('Elève (3ème3)'!GO17:GR17,"D"))*1))/(COUNTA(GO17:GR17)),"")</f>
        <v>2</v>
      </c>
      <c r="GT17" s="162" t="str">
        <f t="shared" si="60"/>
        <v>C</v>
      </c>
      <c r="GU17" s="103" t="s">
        <v>28</v>
      </c>
      <c r="GV17" s="104" t="s">
        <v>29</v>
      </c>
      <c r="GW17" s="105"/>
      <c r="GX17" s="105"/>
      <c r="GY17" s="105" t="s">
        <v>29</v>
      </c>
      <c r="GZ17" s="109"/>
      <c r="HA17" s="161">
        <f>IFERROR((((COUNTIF('Elève (3ème3)'!GU17:GZ17,"A"))*4)+((COUNTIF('Elève (3ème3)'!GU17:GZ17,"B"))*3)+((COUNTIF('Elève (3ème3)'!GU17:GZ17,"C"))*2)+((COUNTIF('Elève (3ème3)'!GU17:GZ17,"D"))*1))/(COUNTA(GU17:GZ17)),"")</f>
        <v>2.3333333333333335</v>
      </c>
      <c r="HB17" s="162" t="str">
        <f t="shared" si="61"/>
        <v>C</v>
      </c>
      <c r="HC17" s="161">
        <f>IF(COUNT(GM17,GS17,HA17)=0,"",SUM(GM17,GS17,HA17)/COUNT(GM17,GS17,HA17))</f>
        <v>2.1111111111111112</v>
      </c>
      <c r="HD17" s="191" t="str">
        <f t="shared" si="62"/>
        <v>C</v>
      </c>
      <c r="HE17" s="103"/>
      <c r="HF17" s="104" t="s">
        <v>29</v>
      </c>
      <c r="HG17" s="105"/>
      <c r="HH17" s="161">
        <f>IFERROR((((COUNTIF('Elève (3ème3)'!HE17:HG17,"A"))*4)+((COUNTIF('Elève (3ème3)'!HE17:HG17,"B"))*3)+((COUNTIF('Elève (3ème3)'!HE17:HG17,"C"))*2)+((COUNTIF('Elève (3ème3)'!HE17:HG17,"D"))*1))/(COUNTA(HE17:HG17)),"")</f>
        <v>2</v>
      </c>
      <c r="HI17" s="162" t="str">
        <f t="shared" si="63"/>
        <v>C</v>
      </c>
      <c r="HJ17" s="103" t="s">
        <v>29</v>
      </c>
      <c r="HK17" s="104"/>
      <c r="HL17" s="105"/>
      <c r="HM17" s="105"/>
      <c r="HN17" s="161">
        <f>IFERROR((((COUNTIF('Elève (3ème3)'!HJ17:HM17,"A"))*4)+((COUNTIF('Elève (3ème3)'!HJ17:HM17,"B"))*3)+((COUNTIF('Elève (3ème3)'!HJ17:HM17,"C"))*2)+((COUNTIF('Elève (3ème3)'!HJ17:HM17,"D"))*1))/(COUNTA(HJ17:HM17)),"")</f>
        <v>2</v>
      </c>
      <c r="HO17" s="162" t="str">
        <f t="shared" si="64"/>
        <v>C</v>
      </c>
      <c r="HP17" s="103" t="s">
        <v>28</v>
      </c>
      <c r="HQ17" s="104" t="s">
        <v>28</v>
      </c>
      <c r="HR17" s="105"/>
      <c r="HS17" s="105"/>
      <c r="HT17" s="105" t="s">
        <v>29</v>
      </c>
      <c r="HU17" s="109"/>
      <c r="HV17" s="161">
        <f>IFERROR((((COUNTIF('Elève (3ème3)'!HP17:HU17,"A"))*4)+((COUNTIF('Elève (3ème3)'!HP17:HU17,"B"))*3)+((COUNTIF('Elève (3ème3)'!HP17:HU17,"C"))*2)+((COUNTIF('Elève (3ème3)'!HP17:HU17,"D"))*1))/(COUNTA(HP17:HU17)),"")</f>
        <v>2.6666666666666665</v>
      </c>
      <c r="HW17" s="162" t="str">
        <f t="shared" si="65"/>
        <v>C</v>
      </c>
      <c r="HX17" s="161">
        <f>IF(COUNT(HH17,HN17,HV17)=0,"",SUM(HH17,HN17,HV17)/COUNT(HH17,HN17,HV17))</f>
        <v>2.2222222222222219</v>
      </c>
      <c r="HY17" s="191" t="str">
        <f t="shared" si="66"/>
        <v>C</v>
      </c>
      <c r="HZ17" s="103"/>
      <c r="IA17" s="104" t="s">
        <v>30</v>
      </c>
      <c r="IB17" s="105"/>
      <c r="IC17" s="161">
        <f>IFERROR((((COUNTIF('Elève (3ème3)'!HZ17:IB17,"A"))*4)+((COUNTIF('Elève (3ème3)'!HZ17:IB17,"B"))*3)+((COUNTIF('Elève (3ème3)'!HZ17:IB17,"C"))*2)+((COUNTIF('Elève (3ème3)'!HZ17:IB17,"D"))*1))/(COUNTA(HZ17:IB17)),"")</f>
        <v>1</v>
      </c>
      <c r="ID17" s="162" t="str">
        <f t="shared" si="67"/>
        <v>D</v>
      </c>
      <c r="IE17" s="103" t="s">
        <v>29</v>
      </c>
      <c r="IF17" s="104"/>
      <c r="IG17" s="105"/>
      <c r="IH17" s="105"/>
      <c r="II17" s="161">
        <f>IFERROR((((COUNTIF('Elève (3ème3)'!IE17:IH17,"A"))*4)+((COUNTIF('Elève (3ème3)'!IE17:IH17,"B"))*3)+((COUNTIF('Elève (3ème3)'!IE17:IH17,"C"))*2)+((COUNTIF('Elève (3ème3)'!IE17:IH17,"D"))*1))/(COUNTA(IE17:IH17)),"")</f>
        <v>2</v>
      </c>
      <c r="IJ17" s="162" t="str">
        <f t="shared" si="68"/>
        <v>C</v>
      </c>
      <c r="IK17" s="103" t="s">
        <v>28</v>
      </c>
      <c r="IL17" s="104" t="s">
        <v>29</v>
      </c>
      <c r="IM17" s="105"/>
      <c r="IN17" s="105"/>
      <c r="IO17" s="105" t="s">
        <v>29</v>
      </c>
      <c r="IP17" s="109"/>
      <c r="IQ17" s="161">
        <f>IFERROR((((COUNTIF('Elève (3ème3)'!IK17:IP17,"A"))*4)+((COUNTIF('Elève (3ème3)'!IK17:IP17,"B"))*3)+((COUNTIF('Elève (3ème3)'!IK17:IP17,"C"))*2)+((COUNTIF('Elève (3ème3)'!IK17:IP17,"D"))*1))/(COUNTA(IK17:IP17)),"")</f>
        <v>2.3333333333333335</v>
      </c>
      <c r="IR17" s="162" t="str">
        <f t="shared" si="69"/>
        <v>C</v>
      </c>
      <c r="IS17" s="161">
        <f>IF(COUNT(IC17,II17,IQ17)=0,"",SUM(IC17,II17,IQ17)/COUNT(IC17,II17,IQ17))</f>
        <v>1.7777777777777779</v>
      </c>
      <c r="IT17" s="191" t="str">
        <f t="shared" si="70"/>
        <v>C</v>
      </c>
      <c r="IU17" s="103"/>
      <c r="IV17" s="104" t="s">
        <v>29</v>
      </c>
      <c r="IW17" s="105"/>
      <c r="IX17" s="161">
        <f>IFERROR((((COUNTIF('Elève (3ème3)'!IU17:IW17,"A"))*4)+((COUNTIF('Elève (3ème3)'!IU17:IW17,"B"))*3)+((COUNTIF('Elève (3ème3)'!IU17:IW17,"C"))*2)+((COUNTIF('Elève (3ème3)'!IU17:IW17,"D"))*1))/(COUNTA(IU17:IW17)),"")</f>
        <v>2</v>
      </c>
      <c r="IY17" s="162" t="str">
        <f t="shared" si="71"/>
        <v>C</v>
      </c>
      <c r="IZ17" s="103" t="s">
        <v>30</v>
      </c>
      <c r="JA17" s="104"/>
      <c r="JB17" s="105"/>
      <c r="JC17" s="105"/>
      <c r="JD17" s="161">
        <f>IFERROR((((COUNTIF('Elève (3ème3)'!IZ17:JC17,"A"))*4)+((COUNTIF('Elève (3ème3)'!IZ17:JC17,"B"))*3)+((COUNTIF('Elève (3ème3)'!IZ17:JC17,"C"))*2)+((COUNTIF('Elève (3ème3)'!IZ17:JC17,"D"))*1))/(COUNTA(IZ17:JC17)),"")</f>
        <v>1</v>
      </c>
      <c r="JE17" s="162" t="str">
        <f t="shared" si="72"/>
        <v>D</v>
      </c>
      <c r="JF17" s="103" t="s">
        <v>29</v>
      </c>
      <c r="JG17" s="104" t="s">
        <v>28</v>
      </c>
      <c r="JH17" s="105"/>
      <c r="JI17" s="105"/>
      <c r="JJ17" s="105" t="s">
        <v>28</v>
      </c>
      <c r="JK17" s="109"/>
      <c r="JL17" s="161">
        <f>IFERROR((((COUNTIF('Elève (3ème3)'!JF17:JK17,"A"))*4)+((COUNTIF('Elève (3ème3)'!JF17:JK17,"B"))*3)+((COUNTIF('Elève (3ème3)'!JF17:JK17,"C"))*2)+((COUNTIF('Elève (3ème3)'!JF17:JK17,"D"))*1))/(COUNTA(JF17:JK17)),"")</f>
        <v>2.6666666666666665</v>
      </c>
      <c r="JM17" s="162" t="str">
        <f t="shared" si="73"/>
        <v>C</v>
      </c>
      <c r="JN17" s="161">
        <f>IF(COUNT(IX17,JD17,JL17)=0,"",SUM(IX17,JD17,JL17)/COUNT(IX17,JD17,JL17))</f>
        <v>1.8888888888888886</v>
      </c>
      <c r="JO17" s="191" t="str">
        <f t="shared" si="74"/>
        <v>C</v>
      </c>
      <c r="JP17" s="103"/>
      <c r="JQ17" s="104" t="s">
        <v>28</v>
      </c>
      <c r="JR17" s="105"/>
      <c r="JS17" s="161">
        <f>IFERROR((((COUNTIF('Elève (3ème3)'!JP17:JR17,"A"))*4)+((COUNTIF('Elève (3ème3)'!JP17:JR17,"B"))*3)+((COUNTIF('Elève (3ème3)'!JP17:JR17,"C"))*2)+((COUNTIF('Elève (3ème3)'!JP17:JR17,"D"))*1))/(COUNTA(JP17:JR17)),"")</f>
        <v>3</v>
      </c>
      <c r="JT17" s="162" t="str">
        <f t="shared" si="75"/>
        <v>B</v>
      </c>
      <c r="JU17" s="103" t="s">
        <v>29</v>
      </c>
      <c r="JV17" s="104"/>
      <c r="JW17" s="105"/>
      <c r="JX17" s="105"/>
      <c r="JY17" s="161">
        <f>IFERROR((((COUNTIF('Elève (3ème3)'!JU17:JX17,"A"))*4)+((COUNTIF('Elève (3ème3)'!JU17:JX17,"B"))*3)+((COUNTIF('Elève (3ème3)'!JU17:JX17,"C"))*2)+((COUNTIF('Elève (3ème3)'!JU17:JX17,"D"))*1))/(COUNTA(JU17:JX17)),"")</f>
        <v>2</v>
      </c>
      <c r="JZ17" s="162" t="str">
        <f t="shared" si="76"/>
        <v>C</v>
      </c>
      <c r="KA17" s="103" t="s">
        <v>29</v>
      </c>
      <c r="KB17" s="104" t="s">
        <v>29</v>
      </c>
      <c r="KC17" s="105"/>
      <c r="KD17" s="105"/>
      <c r="KE17" s="105" t="s">
        <v>29</v>
      </c>
      <c r="KF17" s="109"/>
      <c r="KG17" s="161">
        <f>IFERROR((((COUNTIF('Elève (3ème3)'!KA17:KF17,"A"))*4)+((COUNTIF('Elève (3ème3)'!KA17:KF17,"B"))*3)+((COUNTIF('Elève (3ème3)'!KA17:KF17,"C"))*2)+((COUNTIF('Elève (3ème3)'!KA17:KF17,"D"))*1))/(COUNTA(KA17:KF17)),"")</f>
        <v>2</v>
      </c>
      <c r="KH17" s="162" t="str">
        <f t="shared" si="77"/>
        <v>C</v>
      </c>
      <c r="KI17" s="161">
        <f>IF(COUNT(JS17,JY17,KG17)=0,"",SUM(JS17,JY17,KG17)/COUNT(JS17,JY17,KG17))</f>
        <v>2.3333333333333335</v>
      </c>
      <c r="KJ17" s="191" t="str">
        <f t="shared" si="78"/>
        <v>C</v>
      </c>
      <c r="KK17" s="103"/>
      <c r="KL17" s="104" t="s">
        <v>29</v>
      </c>
      <c r="KM17" s="105"/>
      <c r="KN17" s="161">
        <f>IFERROR((((COUNTIF('Elève (3ème3)'!KK17:KM17,"A"))*4)+((COUNTIF('Elève (3ème3)'!KK17:KM17,"B"))*3)+((COUNTIF('Elève (3ème3)'!KK17:KM17,"C"))*2)+((COUNTIF('Elève (3ème3)'!KK17:KM17,"D"))*1))/(COUNTA(KK17:KM17)),"")</f>
        <v>2</v>
      </c>
      <c r="KO17" s="162" t="str">
        <f t="shared" si="79"/>
        <v>C</v>
      </c>
      <c r="KP17" s="103" t="s">
        <v>29</v>
      </c>
      <c r="KQ17" s="104"/>
      <c r="KR17" s="105"/>
      <c r="KS17" s="105"/>
      <c r="KT17" s="161">
        <f>IFERROR((((COUNTIF('Elève (3ème3)'!KP17:KS17,"A"))*4)+((COUNTIF('Elève (3ème3)'!KP17:KS17,"B"))*3)+((COUNTIF('Elève (3ème3)'!KP17:KS17,"C"))*2)+((COUNTIF('Elève (3ème3)'!KP17:KS17,"D"))*1))/(COUNTA(KP17:KS17)),"")</f>
        <v>2</v>
      </c>
      <c r="KU17" s="162" t="str">
        <f t="shared" si="80"/>
        <v>C</v>
      </c>
      <c r="KV17" s="103" t="s">
        <v>29</v>
      </c>
      <c r="KW17" s="104" t="s">
        <v>30</v>
      </c>
      <c r="KX17" s="105"/>
      <c r="KY17" s="105"/>
      <c r="KZ17" s="105" t="s">
        <v>29</v>
      </c>
      <c r="LA17" s="109"/>
      <c r="LB17" s="161">
        <f>IFERROR((((COUNTIF('Elève (3ème3)'!KV17:LA17,"A"))*4)+((COUNTIF('Elève (3ème3)'!KV17:LA17,"B"))*3)+((COUNTIF('Elève (3ème3)'!KV17:LA17,"C"))*2)+((COUNTIF('Elève (3ème3)'!KV17:LA17,"D"))*1))/(COUNTA(KV17:LA17)),"")</f>
        <v>1.6666666666666667</v>
      </c>
      <c r="LC17" s="162" t="str">
        <f t="shared" si="81"/>
        <v>C</v>
      </c>
      <c r="LD17" s="161">
        <f>IF(COUNT(KN17,KT17,LB17)=0,"",SUM(KN17,KT17,LB17)/COUNT(KN17,KT17,LB17))</f>
        <v>1.8888888888888891</v>
      </c>
      <c r="LE17" s="191" t="str">
        <f t="shared" si="82"/>
        <v>C</v>
      </c>
      <c r="LF17" s="103"/>
      <c r="LG17" s="104" t="s">
        <v>29</v>
      </c>
      <c r="LH17" s="105"/>
      <c r="LI17" s="161">
        <f>IFERROR((((COUNTIF('Elève (3ème3)'!LF17:LH17,"A"))*4)+((COUNTIF('Elève (3ème3)'!LF17:LH17,"B"))*3)+((COUNTIF('Elève (3ème3)'!LF17:LH17,"C"))*2)+((COUNTIF('Elève (3ème3)'!LF17:LH17,"D"))*1))/(COUNTA(LF17:LH17)),"")</f>
        <v>2</v>
      </c>
      <c r="LJ17" s="162" t="str">
        <f t="shared" si="83"/>
        <v>C</v>
      </c>
      <c r="LK17" s="103" t="s">
        <v>30</v>
      </c>
      <c r="LL17" s="104"/>
      <c r="LM17" s="105"/>
      <c r="LN17" s="105"/>
      <c r="LO17" s="161">
        <f>IFERROR((((COUNTIF('Elève (3ème3)'!LK17:LN17,"A"))*4)+((COUNTIF('Elève (3ème3)'!LK17:LN17,"B"))*3)+((COUNTIF('Elève (3ème3)'!LK17:LN17,"C"))*2)+((COUNTIF('Elève (3ème3)'!LK17:LN17,"D"))*1))/(COUNTA(LK17:LN17)),"")</f>
        <v>1</v>
      </c>
      <c r="LP17" s="162" t="str">
        <f t="shared" si="84"/>
        <v>D</v>
      </c>
      <c r="LQ17" s="103" t="s">
        <v>29</v>
      </c>
      <c r="LR17" s="104" t="s">
        <v>30</v>
      </c>
      <c r="LS17" s="105"/>
      <c r="LT17" s="105"/>
      <c r="LU17" s="105" t="s">
        <v>28</v>
      </c>
      <c r="LV17" s="109"/>
      <c r="LW17" s="161">
        <f>IFERROR((((COUNTIF('Elève (3ème3)'!LQ17:LV17,"A"))*4)+((COUNTIF('Elève (3ème3)'!LQ17:LV17,"B"))*3)+((COUNTIF('Elève (3ème3)'!LQ17:LV17,"C"))*2)+((COUNTIF('Elève (3ème3)'!LQ17:LV17,"D"))*1))/(COUNTA(LQ17:LV17)),"")</f>
        <v>2</v>
      </c>
      <c r="LX17" s="162" t="str">
        <f t="shared" si="85"/>
        <v>C</v>
      </c>
      <c r="LY17" s="161">
        <f>IF(COUNT(LI17,LO17,LW17)=0,"",SUM(LI17,LO17,LW17)/COUNT(LI17,LO17,LW17))</f>
        <v>1.6666666666666667</v>
      </c>
      <c r="LZ17" s="191" t="str">
        <f t="shared" si="86"/>
        <v>C</v>
      </c>
      <c r="MA17" s="103"/>
      <c r="MB17" s="104" t="s">
        <v>30</v>
      </c>
      <c r="MC17" s="105"/>
      <c r="MD17" s="161">
        <f>IFERROR((((COUNTIF('Elève (3ème3)'!MA17:MC17,"A"))*4)+((COUNTIF('Elève (3ème3)'!MA17:MC17,"B"))*3)+((COUNTIF('Elève (3ème3)'!MA17:MC17,"C"))*2)+((COUNTIF('Elève (3ème3)'!MA17:MC17,"D"))*1))/(COUNTA(MA17:MC17)),"")</f>
        <v>1</v>
      </c>
      <c r="ME17" s="162" t="str">
        <f t="shared" si="87"/>
        <v>D</v>
      </c>
      <c r="MF17" s="103" t="s">
        <v>29</v>
      </c>
      <c r="MG17" s="104"/>
      <c r="MH17" s="105"/>
      <c r="MI17" s="105"/>
      <c r="MJ17" s="161">
        <f>IFERROR((((COUNTIF('Elève (3ème3)'!MF17:MI17,"A"))*4)+((COUNTIF('Elève (3ème3)'!MF17:MI17,"B"))*3)+((COUNTIF('Elève (3ème3)'!MF17:MI17,"C"))*2)+((COUNTIF('Elève (3ème3)'!MF17:MI17,"D"))*1))/(COUNTA(MF17:MI17)),"")</f>
        <v>2</v>
      </c>
      <c r="MK17" s="162" t="str">
        <f t="shared" si="88"/>
        <v>C</v>
      </c>
      <c r="ML17" s="103" t="s">
        <v>29</v>
      </c>
      <c r="MM17" s="104" t="s">
        <v>30</v>
      </c>
      <c r="MN17" s="105"/>
      <c r="MO17" s="105"/>
      <c r="MP17" s="105" t="s">
        <v>28</v>
      </c>
      <c r="MQ17" s="109"/>
      <c r="MR17" s="161">
        <f>IFERROR((((COUNTIF('Elève (3ème3)'!ML17:MQ17,"A"))*4)+((COUNTIF('Elève (3ème3)'!ML17:MQ17,"B"))*3)+((COUNTIF('Elève (3ème3)'!ML17:MQ17,"C"))*2)+((COUNTIF('Elève (3ème3)'!ML17:MQ17,"D"))*1))/(COUNTA(ML17:MQ17)),"")</f>
        <v>2</v>
      </c>
      <c r="MS17" s="162" t="str">
        <f t="shared" si="89"/>
        <v>C</v>
      </c>
      <c r="MT17" s="161">
        <f>IF(COUNT(MD17,MJ17,MR17)=0,"",SUM(MD17,MJ17,MR17)/COUNT(MD17,MJ17,MR17))</f>
        <v>1.6666666666666667</v>
      </c>
      <c r="MU17" s="191" t="str">
        <f t="shared" si="90"/>
        <v>C</v>
      </c>
      <c r="MV17" s="103"/>
      <c r="MW17" s="104" t="s">
        <v>29</v>
      </c>
      <c r="MX17" s="105"/>
      <c r="MY17" s="161">
        <f>IFERROR((((COUNTIF('Elève (3ème3)'!MV17:MX17,"A"))*4)+((COUNTIF('Elève (3ème3)'!MV17:MX17,"B"))*3)+((COUNTIF('Elève (3ème3)'!MV17:MX17,"C"))*2)+((COUNTIF('Elève (3ème3)'!MV17:MX17,"D"))*1))/(COUNTA(MV17:MX17)),"")</f>
        <v>2</v>
      </c>
      <c r="MZ17" s="162" t="str">
        <f t="shared" si="91"/>
        <v>C</v>
      </c>
      <c r="NA17" s="103" t="s">
        <v>29</v>
      </c>
      <c r="NB17" s="104"/>
      <c r="NC17" s="105"/>
      <c r="ND17" s="105"/>
      <c r="NE17" s="161">
        <f>IFERROR((((COUNTIF('Elève (3ème3)'!NA17:ND17,"A"))*4)+((COUNTIF('Elève (3ème3)'!NA17:ND17,"B"))*3)+((COUNTIF('Elève (3ème3)'!NA17:ND17,"C"))*2)+((COUNTIF('Elève (3ème3)'!NA17:ND17,"D"))*1))/(COUNTA(NA17:ND17)),"")</f>
        <v>2</v>
      </c>
      <c r="NF17" s="162" t="str">
        <f t="shared" si="92"/>
        <v>C</v>
      </c>
      <c r="NG17" s="103" t="s">
        <v>28</v>
      </c>
      <c r="NH17" s="104" t="s">
        <v>28</v>
      </c>
      <c r="NI17" s="105"/>
      <c r="NJ17" s="105"/>
      <c r="NK17" s="105" t="s">
        <v>29</v>
      </c>
      <c r="NL17" s="109"/>
      <c r="NM17" s="161">
        <f>IFERROR((((COUNTIF('Elève (3ème3)'!NG17:NL17,"A"))*4)+((COUNTIF('Elève (3ème3)'!NG17:NL17,"B"))*3)+((COUNTIF('Elève (3ème3)'!NG17:NL17,"C"))*2)+((COUNTIF('Elève (3ème3)'!NG17:NL17,"D"))*1))/(COUNTA(NG17:NL17)),"")</f>
        <v>2.6666666666666665</v>
      </c>
      <c r="NN17" s="162" t="str">
        <f t="shared" si="93"/>
        <v>C</v>
      </c>
      <c r="NO17" s="161">
        <f>IF(COUNT(MY17,NE17,NM17)=0,"",SUM(MY17,NE17,NM17)/COUNT(MY17,NE17,NM17))</f>
        <v>2.2222222222222219</v>
      </c>
      <c r="NP17" s="191" t="str">
        <f t="shared" si="94"/>
        <v>C</v>
      </c>
      <c r="NQ17" s="103"/>
      <c r="NR17" s="104" t="s">
        <v>29</v>
      </c>
      <c r="NS17" s="105"/>
      <c r="NT17" s="161">
        <f>IFERROR((((COUNTIF('Elève (3ème3)'!NQ17:NS17,"A"))*4)+((COUNTIF('Elève (3ème3)'!NQ17:NS17,"B"))*3)+((COUNTIF('Elève (3ème3)'!NQ17:NS17,"C"))*2)+((COUNTIF('Elève (3ème3)'!NQ17:NS17,"D"))*1))/(COUNTA(NQ17:NS17)),"")</f>
        <v>2</v>
      </c>
      <c r="NU17" s="162" t="str">
        <f t="shared" si="95"/>
        <v>C</v>
      </c>
      <c r="NV17" s="103" t="s">
        <v>29</v>
      </c>
      <c r="NW17" s="104"/>
      <c r="NX17" s="105"/>
      <c r="NY17" s="105"/>
      <c r="NZ17" s="161">
        <f>IFERROR((((COUNTIF('Elève (3ème3)'!NV17:NY17,"A"))*4)+((COUNTIF('Elève (3ème3)'!NV17:NY17,"B"))*3)+((COUNTIF('Elève (3ème3)'!NV17:NY17,"C"))*2)+((COUNTIF('Elève (3ème3)'!NV17:NY17,"D"))*1))/(COUNTA(NV17:NY17)),"")</f>
        <v>2</v>
      </c>
      <c r="OA17" s="162" t="str">
        <f t="shared" si="96"/>
        <v>C</v>
      </c>
      <c r="OB17" s="103" t="s">
        <v>30</v>
      </c>
      <c r="OC17" s="104" t="s">
        <v>28</v>
      </c>
      <c r="OD17" s="105"/>
      <c r="OE17" s="105"/>
      <c r="OF17" s="105" t="s">
        <v>29</v>
      </c>
      <c r="OG17" s="109"/>
      <c r="OH17" s="161">
        <f>IFERROR((((COUNTIF('Elève (3ème3)'!OB17:OG17,"A"))*4)+((COUNTIF('Elève (3ème3)'!OB17:OG17,"B"))*3)+((COUNTIF('Elève (3ème3)'!OB17:OG17,"C"))*2)+((COUNTIF('Elève (3ème3)'!OB17:OG17,"D"))*1))/(COUNTA(OB17:OG17)),"")</f>
        <v>2</v>
      </c>
      <c r="OI17" s="162" t="str">
        <f t="shared" si="97"/>
        <v>C</v>
      </c>
      <c r="OJ17" s="161">
        <f>IF(COUNT(NT17,NZ17,OH17)=0,"",SUM(NT17,NZ17,OH17)/COUNT(NT17,NZ17,OH17))</f>
        <v>2</v>
      </c>
      <c r="OK17" s="191" t="str">
        <f t="shared" si="98"/>
        <v>C</v>
      </c>
      <c r="OL17" s="103"/>
      <c r="OM17" s="104" t="s">
        <v>29</v>
      </c>
      <c r="ON17" s="105"/>
      <c r="OO17" s="161">
        <f>IFERROR((((COUNTIF('Elève (3ème3)'!OL17:ON17,"A"))*4)+((COUNTIF('Elève (3ème3)'!OL17:ON17,"B"))*3)+((COUNTIF('Elève (3ème3)'!OL17:ON17,"C"))*2)+((COUNTIF('Elève (3ème3)'!OL17:ON17,"D"))*1))/(COUNTA(OL17:ON17)),"")</f>
        <v>2</v>
      </c>
      <c r="OP17" s="162" t="str">
        <f t="shared" si="99"/>
        <v>C</v>
      </c>
      <c r="OQ17" s="103" t="s">
        <v>30</v>
      </c>
      <c r="OR17" s="104"/>
      <c r="OS17" s="105"/>
      <c r="OT17" s="105"/>
      <c r="OU17" s="161">
        <f>IFERROR((((COUNTIF('Elève (3ème3)'!OQ17:OT17,"A"))*4)+((COUNTIF('Elève (3ème3)'!OQ17:OT17,"B"))*3)+((COUNTIF('Elève (3ème3)'!OQ17:OT17,"C"))*2)+((COUNTIF('Elève (3ème3)'!OQ17:OT17,"D"))*1))/(COUNTA(OQ17:OT17)),"")</f>
        <v>1</v>
      </c>
      <c r="OV17" s="162" t="str">
        <f t="shared" si="100"/>
        <v>D</v>
      </c>
      <c r="OW17" s="103"/>
      <c r="OX17" s="104" t="s">
        <v>28</v>
      </c>
      <c r="OY17" s="105"/>
      <c r="OZ17" s="105"/>
      <c r="PA17" s="105" t="s">
        <v>29</v>
      </c>
      <c r="PB17" s="109"/>
      <c r="PC17" s="161">
        <f>IFERROR((((COUNTIF('Elève (3ème3)'!OW17:PB17,"A"))*4)+((COUNTIF('Elève (3ème3)'!OW17:PB17,"B"))*3)+((COUNTIF('Elève (3ème3)'!OW17:PB17,"C"))*2)+((COUNTIF('Elève (3ème3)'!OW17:PB17,"D"))*1))/(COUNTA(OW17:PB17)),"")</f>
        <v>2.5</v>
      </c>
      <c r="PD17" s="162" t="str">
        <f t="shared" si="101"/>
        <v>C</v>
      </c>
      <c r="PE17" s="161">
        <f>IF(COUNT(OO17,OU17,PC17)=0,"",SUM(OO17,OU17,PC17)/COUNT(OO17,OU17,PC17))</f>
        <v>1.8333333333333333</v>
      </c>
      <c r="PF17" s="191" t="str">
        <f t="shared" si="102"/>
        <v>C</v>
      </c>
      <c r="PG17" s="103"/>
      <c r="PH17" s="104" t="s">
        <v>28</v>
      </c>
      <c r="PI17" s="105"/>
      <c r="PJ17" s="161">
        <f>IFERROR((((COUNTIF('Elève (3ème3)'!PG17:PI17,"A"))*4)+((COUNTIF('Elève (3ème3)'!PG17:PI17,"B"))*3)+((COUNTIF('Elève (3ème3)'!PG17:PI17,"C"))*2)+((COUNTIF('Elève (3ème3)'!PG17:PI17,"D"))*1))/(COUNTA(PG17:PI17)),"")</f>
        <v>3</v>
      </c>
      <c r="PK17" s="162" t="str">
        <f t="shared" si="103"/>
        <v>B</v>
      </c>
      <c r="PL17" s="103" t="s">
        <v>30</v>
      </c>
      <c r="PM17" s="104"/>
      <c r="PN17" s="105"/>
      <c r="PO17" s="105"/>
      <c r="PP17" s="161">
        <f>IFERROR((((COUNTIF('Elève (3ème3)'!PL17:PO17,"A"))*4)+((COUNTIF('Elève (3ème3)'!PL17:PO17,"B"))*3)+((COUNTIF('Elève (3ème3)'!PL17:PO17,"C"))*2)+((COUNTIF('Elève (3ème3)'!PL17:PO17,"D"))*1))/(COUNTA(PL17:PO17)),"")</f>
        <v>1</v>
      </c>
      <c r="PQ17" s="162" t="str">
        <f t="shared" si="104"/>
        <v>D</v>
      </c>
      <c r="PR17" s="103" t="s">
        <v>28</v>
      </c>
      <c r="PS17" s="104" t="s">
        <v>28</v>
      </c>
      <c r="PT17" s="105"/>
      <c r="PU17" s="105"/>
      <c r="PV17" s="105" t="s">
        <v>28</v>
      </c>
      <c r="PW17" s="109"/>
      <c r="PX17" s="161">
        <f>IFERROR((((COUNTIF('Elève (3ème3)'!PR17:PW17,"A"))*4)+((COUNTIF('Elève (3ème3)'!PR17:PW17,"B"))*3)+((COUNTIF('Elève (3ème3)'!PR17:PW17,"C"))*2)+((COUNTIF('Elève (3ème3)'!PR17:PW17,"D"))*1))/(COUNTA(PR17:PW17)),"")</f>
        <v>3</v>
      </c>
      <c r="PY17" s="162" t="str">
        <f t="shared" si="105"/>
        <v>B</v>
      </c>
      <c r="PZ17" s="161">
        <f>IF(COUNT(PJ17,PP17,PX17)=0,"",SUM(PJ17,PP17,PX17)/COUNT(PJ17,PP17,PX17))</f>
        <v>2.3333333333333335</v>
      </c>
      <c r="QA17" s="191" t="str">
        <f t="shared" si="106"/>
        <v>C</v>
      </c>
      <c r="QB17" s="103"/>
      <c r="QC17" s="104" t="s">
        <v>28</v>
      </c>
      <c r="QD17" s="105"/>
      <c r="QE17" s="161">
        <f>IFERROR((((COUNTIF('Elève (3ème3)'!QB17:QD17,"A"))*4)+((COUNTIF('Elève (3ème3)'!QB17:QD17,"B"))*3)+((COUNTIF('Elève (3ème3)'!QB17:QD17,"C"))*2)+((COUNTIF('Elève (3ème3)'!QB17:QD17,"D"))*1))/(COUNTA(QB17:QD17)),"")</f>
        <v>3</v>
      </c>
      <c r="QF17" s="162" t="str">
        <f t="shared" si="107"/>
        <v>B</v>
      </c>
      <c r="QG17" s="103" t="s">
        <v>29</v>
      </c>
      <c r="QH17" s="104"/>
      <c r="QI17" s="105"/>
      <c r="QJ17" s="105"/>
      <c r="QK17" s="161">
        <f>IFERROR((((COUNTIF('Elève (3ème3)'!QG17:QJ17,"A"))*4)+((COUNTIF('Elève (3ème3)'!QG17:QJ17,"B"))*3)+((COUNTIF('Elève (3ème3)'!QG17:QJ17,"C"))*2)+((COUNTIF('Elève (3ème3)'!QG17:QJ17,"D"))*1))/(COUNTA(QG17:QJ17)),"")</f>
        <v>2</v>
      </c>
      <c r="QL17" s="162" t="str">
        <f t="shared" si="108"/>
        <v>C</v>
      </c>
      <c r="QM17" s="103" t="s">
        <v>28</v>
      </c>
      <c r="QN17" s="104" t="s">
        <v>28</v>
      </c>
      <c r="QO17" s="105"/>
      <c r="QP17" s="105"/>
      <c r="QQ17" s="105" t="s">
        <v>29</v>
      </c>
      <c r="QR17" s="109"/>
      <c r="QS17" s="161">
        <f>IFERROR((((COUNTIF('Elève (3ème3)'!QM17:QR17,"A"))*4)+((COUNTIF('Elève (3ème3)'!QM17:QR17,"B"))*3)+((COUNTIF('Elève (3ème3)'!QM17:QR17,"C"))*2)+((COUNTIF('Elève (3ème3)'!QM17:QR17,"D"))*1))/(COUNTA(QM17:QR17)),"")</f>
        <v>2.6666666666666665</v>
      </c>
      <c r="QT17" s="162" t="str">
        <f t="shared" si="109"/>
        <v>C</v>
      </c>
      <c r="QU17" s="161">
        <f>IF(COUNT(QE17,QK17,QS17)=0,"",SUM(QE17,QK17,QS17)/COUNT(QE17,QK17,QS17))</f>
        <v>2.5555555555555554</v>
      </c>
      <c r="QV17" s="191" t="str">
        <f t="shared" si="110"/>
        <v>C</v>
      </c>
      <c r="QW17" s="103"/>
      <c r="QX17" s="104" t="s">
        <v>30</v>
      </c>
      <c r="QY17" s="105"/>
      <c r="QZ17" s="161">
        <f>IFERROR((((COUNTIF('Elève (3ème3)'!QW17:QY17,"A"))*4)+((COUNTIF('Elève (3ème3)'!QW17:QY17,"B"))*3)+((COUNTIF('Elève (3ème3)'!QW17:QY17,"C"))*2)+((COUNTIF('Elève (3ème3)'!QW17:QY17,"D"))*1))/(COUNTA(QW17:QY17)),"")</f>
        <v>1</v>
      </c>
      <c r="RA17" s="162" t="str">
        <f t="shared" si="111"/>
        <v>D</v>
      </c>
      <c r="RB17" s="103" t="s">
        <v>30</v>
      </c>
      <c r="RC17" s="104"/>
      <c r="RD17" s="105"/>
      <c r="RE17" s="105"/>
      <c r="RF17" s="161">
        <f>IFERROR((((COUNTIF('Elève (3ème3)'!RB17:RE17,"A"))*4)+((COUNTIF('Elève (3ème3)'!RB17:RE17,"B"))*3)+((COUNTIF('Elève (3ème3)'!RB17:RE17,"C"))*2)+((COUNTIF('Elève (3ème3)'!RB17:RE17,"D"))*1))/(COUNTA(RB17:RE17)),"")</f>
        <v>1</v>
      </c>
      <c r="RG17" s="162" t="str">
        <f t="shared" si="112"/>
        <v>D</v>
      </c>
      <c r="RH17" s="103" t="s">
        <v>29</v>
      </c>
      <c r="RI17" s="104" t="s">
        <v>30</v>
      </c>
      <c r="RJ17" s="105"/>
      <c r="RK17" s="105"/>
      <c r="RL17" s="105" t="s">
        <v>28</v>
      </c>
      <c r="RM17" s="109"/>
      <c r="RN17" s="161">
        <f>IFERROR((((COUNTIF('Elève (3ème3)'!RH17:RM17,"A"))*4)+((COUNTIF('Elève (3ème3)'!RH17:RM17,"B"))*3)+((COUNTIF('Elève (3ème3)'!RH17:RM17,"C"))*2)+((COUNTIF('Elève (3ème3)'!RH17:RM17,"D"))*1))/(COUNTA(RH17:RM17)),"")</f>
        <v>2</v>
      </c>
      <c r="RO17" s="162" t="str">
        <f t="shared" si="113"/>
        <v>C</v>
      </c>
      <c r="RP17" s="161">
        <f>IF(COUNT(QZ17,RF17,RN17)=0,"",SUM(QZ17,RF17,RN17)/COUNT(QZ17,RF17,RN17))</f>
        <v>1.3333333333333333</v>
      </c>
      <c r="RQ17" s="191" t="str">
        <f t="shared" si="114"/>
        <v>D</v>
      </c>
      <c r="RR17" s="103"/>
      <c r="RS17" s="104" t="s">
        <v>29</v>
      </c>
      <c r="RT17" s="105"/>
      <c r="RU17" s="161">
        <f>IFERROR((((COUNTIF('Elève (3ème3)'!RR17:RT17,"A"))*4)+((COUNTIF('Elève (3ème3)'!RR17:RT17,"B"))*3)+((COUNTIF('Elève (3ème3)'!RR17:RT17,"C"))*2)+((COUNTIF('Elève (3ème3)'!RR17:RT17,"D"))*1))/(COUNTA(RR17:RT17)),"")</f>
        <v>2</v>
      </c>
      <c r="RV17" s="162" t="str">
        <f t="shared" si="115"/>
        <v>C</v>
      </c>
      <c r="RW17" s="103" t="s">
        <v>29</v>
      </c>
      <c r="RX17" s="104"/>
      <c r="RY17" s="105"/>
      <c r="RZ17" s="105"/>
      <c r="SA17" s="161">
        <f>IFERROR((((COUNTIF('Elève (3ème3)'!RW17:RZ17,"A"))*4)+((COUNTIF('Elève (3ème3)'!RW17:RZ17,"B"))*3)+((COUNTIF('Elève (3ème3)'!RW17:RZ17,"C"))*2)+((COUNTIF('Elève (3ème3)'!RW17:RZ17,"D"))*1))/(COUNTA(RW17:RZ17)),"")</f>
        <v>2</v>
      </c>
      <c r="SB17" s="162" t="str">
        <f t="shared" si="116"/>
        <v>C</v>
      </c>
      <c r="SC17" s="103" t="s">
        <v>29</v>
      </c>
      <c r="SD17" s="104" t="s">
        <v>30</v>
      </c>
      <c r="SE17" s="105"/>
      <c r="SF17" s="105"/>
      <c r="SG17" s="105" t="s">
        <v>29</v>
      </c>
      <c r="SH17" s="109"/>
      <c r="SI17" s="161">
        <f>IFERROR((((COUNTIF('Elève (3ème3)'!SC17:SH17,"A"))*4)+((COUNTIF('Elève (3ème3)'!SC17:SH17,"B"))*3)+((COUNTIF('Elève (3ème3)'!SC17:SH17,"C"))*2)+((COUNTIF('Elève (3ème3)'!SC17:SH17,"D"))*1))/(COUNTA(SC17:SH17)),"")</f>
        <v>1.6666666666666667</v>
      </c>
      <c r="SJ17" s="162" t="str">
        <f t="shared" si="117"/>
        <v>C</v>
      </c>
      <c r="SK17" s="161">
        <f>IF(COUNT(RU17,SA17,SI17)=0,"",SUM(RU17,SA17,SI17)/COUNT(RU17,SA17,SI17))</f>
        <v>1.8888888888888891</v>
      </c>
      <c r="SL17" s="191" t="str">
        <f t="shared" si="118"/>
        <v>C</v>
      </c>
      <c r="SM17" s="103"/>
      <c r="SN17" s="104"/>
      <c r="SO17" s="105"/>
      <c r="SP17" s="99" t="str">
        <f>IFERROR((((COUNTIF('Elève (3ème3)'!SM17:SO17,"A"))*4)+((COUNTIF('Elève (3ème3)'!SM17:SO17,"B"))*3)+((COUNTIF('Elève (3ème3)'!SM17:SO17,"C"))*2)+((COUNTIF('Elève (3ème3)'!SM17:SO17,"D"))*1))/(COUNTA(SM17:SO17)),"")</f>
        <v/>
      </c>
      <c r="SQ17" s="100" t="str">
        <f t="shared" si="119"/>
        <v/>
      </c>
      <c r="SR17" s="103"/>
      <c r="SS17" s="104"/>
      <c r="ST17" s="105"/>
      <c r="SU17" s="99" t="str">
        <f>IFERROR((((COUNTIF('Elève (3ème3)'!SR17:ST17,"A"))*4)+((COUNTIF('Elève (3ème3)'!SR17:ST17,"B"))*3)+((COUNTIF('Elève (3ème3)'!SR17:ST17,"C"))*2)+((COUNTIF('Elève (3ème3)'!SR17:ST17,"D"))*1))/(COUNTA(SR17:ST17)),"")</f>
        <v/>
      </c>
      <c r="SV17" s="100" t="str">
        <f t="shared" si="120"/>
        <v/>
      </c>
      <c r="SW17" s="103"/>
      <c r="SX17" s="104"/>
      <c r="SY17" s="109"/>
      <c r="SZ17" s="99" t="str">
        <f>IFERROR((((COUNTIF('Elève (3ème3)'!SW17:SY17,"A"))*4)+((COUNTIF('Elève (3ème3)'!SW17:SY17,"B"))*3)+((COUNTIF('Elève (3ème3)'!SW17:SY17,"C"))*2)+((COUNTIF('Elève (3ème3)'!SW17:SY17,"D"))*1))/(COUNTA(SW17:SY17)),"")</f>
        <v/>
      </c>
      <c r="TA17" s="100" t="str">
        <f t="shared" si="121"/>
        <v/>
      </c>
      <c r="TB17" s="99" t="str">
        <f>IF(COUNT(SP17,SU17,SZ17)=0,"",SUM(SP17,SU17,SZ17)/COUNT(SP17,SU17,SZ17))</f>
        <v/>
      </c>
      <c r="TC17" s="123" t="str">
        <f t="shared" si="122"/>
        <v/>
      </c>
      <c r="TD17" s="103"/>
      <c r="TE17" s="104"/>
      <c r="TF17" s="105"/>
      <c r="TG17" s="99" t="str">
        <f>IFERROR((((COUNTIF('Elève (3ème3)'!TD17:TF17,"A"))*4)+((COUNTIF('Elève (3ème3)'!TD17:TF17,"B"))*3)+((COUNTIF('Elève (3ème3)'!TD17:TF17,"C"))*2)+((COUNTIF('Elève (3ème3)'!TD17:TF17,"D"))*1))/(COUNTA(TD17:TF17)),"")</f>
        <v/>
      </c>
      <c r="TH17" s="100" t="str">
        <f t="shared" si="123"/>
        <v/>
      </c>
      <c r="TI17" s="103"/>
      <c r="TJ17" s="104"/>
      <c r="TK17" s="105"/>
      <c r="TL17" s="99" t="str">
        <f>IFERROR((((COUNTIF('Elève (3ème3)'!TI17:TK17,"A"))*4)+((COUNTIF('Elève (3ème3)'!TI17:TK17,"B"))*3)+((COUNTIF('Elève (3ème3)'!TI17:TK17,"C"))*2)+((COUNTIF('Elève (3ème3)'!TI17:TK17,"D"))*1))/(COUNTA(TI17:TK17)),"")</f>
        <v/>
      </c>
      <c r="TM17" s="100" t="str">
        <f t="shared" si="124"/>
        <v/>
      </c>
      <c r="TN17" s="103"/>
      <c r="TO17" s="104"/>
      <c r="TP17" s="109"/>
      <c r="TQ17" s="99" t="str">
        <f>IFERROR((((COUNTIF('Elève (3ème3)'!TN17:TP17,"A"))*4)+((COUNTIF('Elève (3ème3)'!TN17:TP17,"B"))*3)+((COUNTIF('Elève (3ème3)'!TN17:TP17,"C"))*2)+((COUNTIF('Elève (3ème3)'!TN17:TP17,"D"))*1))/(COUNTA(TN17:TP17)),"")</f>
        <v/>
      </c>
      <c r="TR17" s="100" t="str">
        <f t="shared" si="125"/>
        <v/>
      </c>
      <c r="TS17" s="99" t="str">
        <f>IF(COUNT(TG17,TL17,TQ17)=0,"",SUM(TG17,TL17,TQ17)/COUNT(TG17,TL17,TQ17))</f>
        <v/>
      </c>
      <c r="TT17" s="123" t="str">
        <f t="shared" si="126"/>
        <v/>
      </c>
      <c r="TU17" s="103"/>
      <c r="TV17" s="104"/>
      <c r="TW17" s="105"/>
      <c r="TX17" s="99" t="str">
        <f>IFERROR((((COUNTIF('Elève (3ème3)'!TU17:TW17,"A"))*4)+((COUNTIF('Elève (3ème3)'!TU17:TW17,"B"))*3)+((COUNTIF('Elève (3ème3)'!TU17:TW17,"C"))*2)+((COUNTIF('Elève (3ème3)'!TU17:TW17,"D"))*1))/(COUNTA(TU17:TW17)),"")</f>
        <v/>
      </c>
      <c r="TY17" s="100" t="str">
        <f t="shared" si="127"/>
        <v/>
      </c>
      <c r="TZ17" s="103"/>
      <c r="UA17" s="104"/>
      <c r="UB17" s="105"/>
      <c r="UC17" s="99" t="str">
        <f>IFERROR((((COUNTIF('Elève (3ème3)'!TZ17:UB17,"A"))*4)+((COUNTIF('Elève (3ème3)'!TZ17:UB17,"B"))*3)+((COUNTIF('Elève (3ème3)'!TZ17:UB17,"C"))*2)+((COUNTIF('Elève (3ème3)'!TZ17:UB17,"D"))*1))/(COUNTA(TZ17:UB17)),"")</f>
        <v/>
      </c>
      <c r="UD17" s="100" t="str">
        <f t="shared" si="128"/>
        <v/>
      </c>
      <c r="UE17" s="103"/>
      <c r="UF17" s="104"/>
      <c r="UG17" s="109"/>
      <c r="UH17" s="99" t="str">
        <f>IFERROR((((COUNTIF('Elève (3ème3)'!UE17:UG17,"A"))*4)+((COUNTIF('Elève (3ème3)'!UE17:UG17,"B"))*3)+((COUNTIF('Elève (3ème3)'!UE17:UG17,"C"))*2)+((COUNTIF('Elève (3ème3)'!UE17:UG17,"D"))*1))/(COUNTA(UE17:UG17)),"")</f>
        <v/>
      </c>
      <c r="UI17" s="100" t="str">
        <f t="shared" si="129"/>
        <v/>
      </c>
      <c r="UJ17" s="99" t="str">
        <f>IF(COUNT(TX17,UC17,UH17)=0,"",SUM(TX17,UC17,UH17)/COUNT(TX17,UC17,UH17))</f>
        <v/>
      </c>
      <c r="UK17" s="123" t="str">
        <f t="shared" si="130"/>
        <v/>
      </c>
      <c r="UL17" s="103"/>
      <c r="UM17" s="104"/>
      <c r="UN17" s="105"/>
      <c r="UO17" s="99" t="str">
        <f>IFERROR((((COUNTIF('Elève (3ème3)'!UL17:UN17,"A"))*4)+((COUNTIF('Elève (3ème3)'!UL17:UN17,"B"))*3)+((COUNTIF('Elève (3ème3)'!UL17:UN17,"C"))*2)+((COUNTIF('Elève (3ème3)'!UL17:UN17,"D"))*1))/(COUNTA(UL17:UN17)),"")</f>
        <v/>
      </c>
      <c r="UP17" s="100" t="str">
        <f t="shared" si="131"/>
        <v/>
      </c>
      <c r="UQ17" s="103"/>
      <c r="UR17" s="104"/>
      <c r="US17" s="105"/>
      <c r="UT17" s="99" t="str">
        <f>IFERROR((((COUNTIF('Elève (3ème3)'!UQ17:US17,"A"))*4)+((COUNTIF('Elève (3ème3)'!UQ17:US17,"B"))*3)+((COUNTIF('Elève (3ème3)'!UQ17:US17,"C"))*2)+((COUNTIF('Elève (3ème3)'!UQ17:US17,"D"))*1))/(COUNTA(UQ17:US17)),"")</f>
        <v/>
      </c>
      <c r="UU17" s="100" t="str">
        <f t="shared" si="132"/>
        <v/>
      </c>
      <c r="UV17" s="103"/>
      <c r="UW17" s="104"/>
      <c r="UX17" s="109"/>
      <c r="UY17" s="99" t="str">
        <f>IFERROR((((COUNTIF('Elève (3ème3)'!UV17:UX17,"A"))*4)+((COUNTIF('Elève (3ème3)'!UV17:UX17,"B"))*3)+((COUNTIF('Elève (3ème3)'!UV17:UX17,"C"))*2)+((COUNTIF('Elève (3ème3)'!UV17:UX17,"D"))*1))/(COUNTA(UV17:UX17)),"")</f>
        <v/>
      </c>
      <c r="UZ17" s="100" t="str">
        <f t="shared" si="133"/>
        <v/>
      </c>
      <c r="VA17" s="99" t="str">
        <f>IF(COUNT(UO17,UT17,UY17)=0,"",SUM(UO17,UT17,UY17)/COUNT(UO17,UT17,UY17))</f>
        <v/>
      </c>
      <c r="VB17" s="123" t="str">
        <f t="shared" si="134"/>
        <v/>
      </c>
      <c r="VC17" s="103"/>
      <c r="VD17" s="104"/>
      <c r="VE17" s="105"/>
      <c r="VF17" s="99" t="str">
        <f>IFERROR((((COUNTIF('Elève (3ème3)'!VC17:VE17,"A"))*4)+((COUNTIF('Elève (3ème3)'!VC17:VE17,"B"))*3)+((COUNTIF('Elève (3ème3)'!VC17:VE17,"C"))*2)+((COUNTIF('Elève (3ème3)'!VC17:VE17,"D"))*1))/(COUNTA(VC17:VE17)),"")</f>
        <v/>
      </c>
      <c r="VG17" s="100" t="str">
        <f t="shared" si="135"/>
        <v/>
      </c>
      <c r="VH17" s="103"/>
      <c r="VI17" s="104"/>
      <c r="VJ17" s="105"/>
      <c r="VK17" s="99" t="str">
        <f>IFERROR((((COUNTIF('Elève (3ème3)'!VH17:VJ17,"A"))*4)+((COUNTIF('Elève (3ème3)'!VH17:VJ17,"B"))*3)+((COUNTIF('Elève (3ème3)'!VH17:VJ17,"C"))*2)+((COUNTIF('Elève (3ème3)'!VH17:VJ17,"D"))*1))/(COUNTA(VH17:VJ17)),"")</f>
        <v/>
      </c>
      <c r="VL17" s="100" t="str">
        <f t="shared" si="136"/>
        <v/>
      </c>
      <c r="VM17" s="103"/>
      <c r="VN17" s="104"/>
      <c r="VO17" s="109"/>
      <c r="VP17" s="99" t="str">
        <f>IFERROR((((COUNTIF('Elève (3ème3)'!VM17:VO17,"A"))*4)+((COUNTIF('Elève (3ème3)'!VM17:VO17,"B"))*3)+((COUNTIF('Elève (3ème3)'!VM17:VO17,"C"))*2)+((COUNTIF('Elève (3ème3)'!VM17:VO17,"D"))*1))/(COUNTA(VM17:VO17)),"")</f>
        <v/>
      </c>
      <c r="VQ17" s="100" t="str">
        <f t="shared" si="137"/>
        <v/>
      </c>
      <c r="VR17" s="99" t="str">
        <f>IF(COUNT(VF17,VK17,VP17)=0,"",SUM(VF17,VK17,VP17)/COUNT(VF17,VK17,VP17))</f>
        <v/>
      </c>
      <c r="VS17" s="123" t="str">
        <f t="shared" si="138"/>
        <v/>
      </c>
      <c r="VT17" s="103"/>
      <c r="VU17" s="104"/>
      <c r="VV17" s="105"/>
      <c r="VW17" s="99" t="str">
        <f>IFERROR((((COUNTIF('Elève (3ème3)'!VT17:VV17,"A"))*4)+((COUNTIF('Elève (3ème3)'!VT17:VV17,"B"))*3)+((COUNTIF('Elève (3ème3)'!VT17:VV17,"C"))*2)+((COUNTIF('Elève (3ème3)'!VT17:VV17,"D"))*1))/(COUNTA(VT17:VV17)),"")</f>
        <v/>
      </c>
      <c r="VX17" s="100" t="str">
        <f t="shared" si="139"/>
        <v/>
      </c>
      <c r="VY17" s="103"/>
      <c r="VZ17" s="104"/>
      <c r="WA17" s="105"/>
      <c r="WB17" s="99" t="str">
        <f>IFERROR((((COUNTIF('Elève (3ème3)'!VY17:WA17,"A"))*4)+((COUNTIF('Elève (3ème3)'!VY17:WA17,"B"))*3)+((COUNTIF('Elève (3ème3)'!VY17:WA17,"C"))*2)+((COUNTIF('Elève (3ème3)'!VY17:WA17,"D"))*1))/(COUNTA(VY17:WA17)),"")</f>
        <v/>
      </c>
      <c r="WC17" s="100" t="str">
        <f t="shared" si="140"/>
        <v/>
      </c>
      <c r="WD17" s="103"/>
      <c r="WE17" s="104"/>
      <c r="WF17" s="109"/>
      <c r="WG17" s="99" t="str">
        <f>IFERROR((((COUNTIF('Elève (3ème3)'!WD17:WF17,"A"))*4)+((COUNTIF('Elève (3ème3)'!WD17:WF17,"B"))*3)+((COUNTIF('Elève (3ème3)'!WD17:WF17,"C"))*2)+((COUNTIF('Elève (3ème3)'!WD17:WF17,"D"))*1))/(COUNTA(WD17:WF17)),"")</f>
        <v/>
      </c>
      <c r="WH17" s="100" t="str">
        <f t="shared" si="141"/>
        <v/>
      </c>
      <c r="WI17" s="99" t="str">
        <f>IF(COUNT(VW17,WB17,WG17)=0,"",SUM(VW17,WB17,WG17)/COUNT(VW17,WB17,WG17))</f>
        <v/>
      </c>
      <c r="WJ17" s="123" t="str">
        <f t="shared" si="142"/>
        <v/>
      </c>
    </row>
    <row r="18" spans="1:608" ht="18" customHeight="1" x14ac:dyDescent="0.55000000000000004">
      <c r="A18" s="221" t="s">
        <v>22</v>
      </c>
      <c r="B18" s="222"/>
      <c r="C18" s="103"/>
      <c r="D18" s="104"/>
      <c r="E18" s="105"/>
      <c r="F18" s="163" t="str">
        <f>IFERROR((((COUNTIF('Elève (3ème3)'!C18:E18,"A"))*4)+((COUNTIF('Elève (3ème3)'!C18:E18,"B"))*3)+((COUNTIF('Elève (3ème3)'!C18:E18,"C"))*2)+((COUNTIF('Elève (3ème3)'!C18:E18,"D"))*1))/(COUNTA(C18:E18)),"")</f>
        <v/>
      </c>
      <c r="G18" s="164" t="str">
        <f t="shared" si="23"/>
        <v/>
      </c>
      <c r="H18" s="103"/>
      <c r="I18" s="104"/>
      <c r="J18" s="105"/>
      <c r="K18" s="105"/>
      <c r="L18" s="163" t="str">
        <f>IFERROR((((COUNTIF('Elève (3ème3)'!H18:K18,"A"))*4)+((COUNTIF('Elève (3ème3)'!H18:K18,"B"))*3)+((COUNTIF('Elève (3ème3)'!H18:K18,"C"))*2)+((COUNTIF('Elève (3ème3)'!H18:K18,"D"))*1))/(COUNTA(H18:K18)),"")</f>
        <v/>
      </c>
      <c r="M18" s="164" t="str">
        <f t="shared" si="24"/>
        <v/>
      </c>
      <c r="N18" s="103"/>
      <c r="O18" s="104"/>
      <c r="P18" s="105"/>
      <c r="Q18" s="105"/>
      <c r="R18" s="105"/>
      <c r="S18" s="105"/>
      <c r="T18" s="163" t="str">
        <f>IFERROR((((COUNTIF('Elève (3ème3)'!N18:S18,"A"))*4)+((COUNTIF('Elève (3ème3)'!N18:S18,"B"))*3)+((COUNTIF('Elève (3ème3)'!N18:S18,"C"))*2)+((COUNTIF('Elève (3ème3)'!N18:S18,"D"))*1))/(COUNTA(N18:S18)),"")</f>
        <v/>
      </c>
      <c r="U18" s="164" t="str">
        <f t="shared" si="25"/>
        <v/>
      </c>
      <c r="V18" s="163" t="str">
        <f>IF(COUNT(F18,L18,T18)=0,"",SUM(F18,L18,T18)/COUNT(F18,L18,T18))</f>
        <v/>
      </c>
      <c r="W18" s="187" t="str">
        <f t="shared" si="26"/>
        <v/>
      </c>
      <c r="X18" s="103"/>
      <c r="Y18" s="104"/>
      <c r="Z18" s="105"/>
      <c r="AA18" s="163" t="str">
        <f>IFERROR((((COUNTIF('Elève (3ème3)'!X18:Z18,"A"))*4)+((COUNTIF('Elève (3ème3)'!X18:Z18,"B"))*3)+((COUNTIF('Elève (3ème3)'!X18:Z18,"C"))*2)+((COUNTIF('Elève (3ème3)'!X18:Z18,"D"))*1))/(COUNTA(X18:Z18)),"")</f>
        <v/>
      </c>
      <c r="AB18" s="164" t="str">
        <f t="shared" si="27"/>
        <v/>
      </c>
      <c r="AC18" s="103"/>
      <c r="AD18" s="104"/>
      <c r="AE18" s="105"/>
      <c r="AF18" s="105"/>
      <c r="AG18" s="163" t="str">
        <f>IFERROR((((COUNTIF('Elève (3ème3)'!AC18:AF18,"A"))*4)+((COUNTIF('Elève (3ème3)'!AC18:AF18,"B"))*3)+((COUNTIF('Elève (3ème3)'!AC18:AF18,"C"))*2)+((COUNTIF('Elève (3ème3)'!AC18:AF18,"D"))*1))/(COUNTA(AC18:AF18)),"")</f>
        <v/>
      </c>
      <c r="AH18" s="164" t="str">
        <f t="shared" si="28"/>
        <v/>
      </c>
      <c r="AI18" s="103"/>
      <c r="AJ18" s="104"/>
      <c r="AK18" s="105"/>
      <c r="AL18" s="105"/>
      <c r="AM18" s="105"/>
      <c r="AN18" s="109"/>
      <c r="AO18" s="163" t="str">
        <f>IFERROR((((COUNTIF('Elève (3ème3)'!AI18:AN18,"A"))*4)+((COUNTIF('Elève (3ème3)'!AI18:AN18,"B"))*3)+((COUNTIF('Elève (3ème3)'!AI18:AN18,"C"))*2)+((COUNTIF('Elève (3ème3)'!AI18:AN18,"D"))*1))/(COUNTA(AI18:AN18)),"")</f>
        <v/>
      </c>
      <c r="AP18" s="164" t="str">
        <f t="shared" si="29"/>
        <v/>
      </c>
      <c r="AQ18" s="163" t="str">
        <f>IF(COUNT(AA18,AG18,AO18)=0,"",SUM(AA18,AG18,AO18)/COUNT(AA18,AG18,AO18))</f>
        <v/>
      </c>
      <c r="AR18" s="187" t="str">
        <f t="shared" si="30"/>
        <v/>
      </c>
      <c r="AS18" s="103"/>
      <c r="AT18" s="104"/>
      <c r="AU18" s="105"/>
      <c r="AV18" s="163" t="str">
        <f>IFERROR((((COUNTIF('Elève (3ème3)'!AS18:AU18,"A"))*4)+((COUNTIF('Elève (3ème3)'!AS18:AU18,"B"))*3)+((COUNTIF('Elève (3ème3)'!AS18:AU18,"C"))*2)+((COUNTIF('Elève (3ème3)'!AS18:AU18,"D"))*1))/(COUNTA(AS18:AU18)),"")</f>
        <v/>
      </c>
      <c r="AW18" s="164" t="str">
        <f t="shared" si="31"/>
        <v/>
      </c>
      <c r="AX18" s="103"/>
      <c r="AY18" s="104"/>
      <c r="AZ18" s="105"/>
      <c r="BA18" s="105"/>
      <c r="BB18" s="163" t="str">
        <f>IFERROR((((COUNTIF('Elève (3ème3)'!AX18:BA18,"A"))*4)+((COUNTIF('Elève (3ème3)'!AX18:BA18,"B"))*3)+((COUNTIF('Elève (3ème3)'!AX18:BA18,"C"))*2)+((COUNTIF('Elève (3ème3)'!AX18:BA18,"D"))*1))/(COUNTA(AX18:BA18)),"")</f>
        <v/>
      </c>
      <c r="BC18" s="164" t="str">
        <f t="shared" si="32"/>
        <v/>
      </c>
      <c r="BD18" s="103"/>
      <c r="BE18" s="104"/>
      <c r="BF18" s="105"/>
      <c r="BG18" s="105"/>
      <c r="BH18" s="105"/>
      <c r="BI18" s="109"/>
      <c r="BJ18" s="163" t="str">
        <f>IFERROR((((COUNTIF('Elève (3ème3)'!BD18:BI18,"A"))*4)+((COUNTIF('Elève (3ème3)'!BD18:BI18,"B"))*3)+((COUNTIF('Elève (3ème3)'!BD18:BI18,"C"))*2)+((COUNTIF('Elève (3ème3)'!BD18:BI18,"D"))*1))/(COUNTA(BD18:BI18)),"")</f>
        <v/>
      </c>
      <c r="BK18" s="164" t="str">
        <f t="shared" si="33"/>
        <v/>
      </c>
      <c r="BL18" s="163" t="str">
        <f>IF(COUNT(AV18,BB18,BJ18)=0,"",SUM(AV18,BB18,BJ18)/COUNT(AV18,BB18,BJ18))</f>
        <v/>
      </c>
      <c r="BM18" s="187" t="str">
        <f t="shared" si="34"/>
        <v/>
      </c>
      <c r="BN18" s="103"/>
      <c r="BO18" s="104"/>
      <c r="BP18" s="105"/>
      <c r="BQ18" s="163" t="str">
        <f>IFERROR((((COUNTIF('Elève (3ème3)'!BN18:BP18,"A"))*4)+((COUNTIF('Elève (3ème3)'!BN18:BP18,"B"))*3)+((COUNTIF('Elève (3ème3)'!BN18:BP18,"C"))*2)+((COUNTIF('Elève (3ème3)'!BN18:BP18,"D"))*1))/(COUNTA(BN18:BP18)),"")</f>
        <v/>
      </c>
      <c r="BR18" s="164" t="str">
        <f t="shared" si="35"/>
        <v/>
      </c>
      <c r="BS18" s="103"/>
      <c r="BT18" s="104"/>
      <c r="BU18" s="105"/>
      <c r="BV18" s="105"/>
      <c r="BW18" s="163" t="str">
        <f>IFERROR((((COUNTIF('Elève (3ème3)'!BS18:BV18,"A"))*4)+((COUNTIF('Elève (3ème3)'!BS18:BV18,"B"))*3)+((COUNTIF('Elève (3ème3)'!BS18:BV18,"C"))*2)+((COUNTIF('Elève (3ème3)'!BS18:BV18,"D"))*1))/(COUNTA(BS18:BV18)),"")</f>
        <v/>
      </c>
      <c r="BX18" s="164" t="str">
        <f t="shared" si="36"/>
        <v/>
      </c>
      <c r="BY18" s="103"/>
      <c r="BZ18" s="104"/>
      <c r="CA18" s="105"/>
      <c r="CB18" s="105"/>
      <c r="CC18" s="105"/>
      <c r="CD18" s="109"/>
      <c r="CE18" s="163" t="str">
        <f>IFERROR((((COUNTIF('Elève (3ème3)'!BY18:CD18,"A"))*4)+((COUNTIF('Elève (3ème3)'!BY18:CD18,"B"))*3)+((COUNTIF('Elève (3ème3)'!BY18:CD18,"C"))*2)+((COUNTIF('Elève (3ème3)'!BY18:CD18,"D"))*1))/(COUNTA(BY18:CD18)),"")</f>
        <v/>
      </c>
      <c r="CF18" s="164" t="str">
        <f t="shared" si="37"/>
        <v/>
      </c>
      <c r="CG18" s="163" t="str">
        <f>IF(COUNT(BQ18,BW18,CE18)=0,"",SUM(BQ18,BW18,CE18)/COUNT(BQ18,BW18,CE18))</f>
        <v/>
      </c>
      <c r="CH18" s="187" t="str">
        <f t="shared" si="38"/>
        <v/>
      </c>
      <c r="CI18" s="103"/>
      <c r="CJ18" s="104"/>
      <c r="CK18" s="105"/>
      <c r="CL18" s="163" t="str">
        <f>IFERROR((((COUNTIF('Elève (3ème3)'!CI18:CK18,"A"))*4)+((COUNTIF('Elève (3ème3)'!CI18:CK18,"B"))*3)+((COUNTIF('Elève (3ème3)'!CI18:CK18,"C"))*2)+((COUNTIF('Elève (3ème3)'!CI18:CK18,"D"))*1))/(COUNTA(CI18:CK18)),"")</f>
        <v/>
      </c>
      <c r="CM18" s="164" t="str">
        <f t="shared" si="39"/>
        <v/>
      </c>
      <c r="CN18" s="103"/>
      <c r="CO18" s="104"/>
      <c r="CP18" s="105"/>
      <c r="CQ18" s="105"/>
      <c r="CR18" s="163" t="str">
        <f>IFERROR((((COUNTIF('Elève (3ème3)'!CN18:CQ18,"A"))*4)+((COUNTIF('Elève (3ème3)'!CN18:CQ18,"B"))*3)+((COUNTIF('Elève (3ème3)'!CN18:CQ18,"C"))*2)+((COUNTIF('Elève (3ème3)'!CN18:CQ18,"D"))*1))/(COUNTA(CN18:CQ18)),"")</f>
        <v/>
      </c>
      <c r="CS18" s="164" t="str">
        <f t="shared" si="40"/>
        <v/>
      </c>
      <c r="CT18" s="103"/>
      <c r="CU18" s="104"/>
      <c r="CV18" s="105"/>
      <c r="CW18" s="105"/>
      <c r="CX18" s="105"/>
      <c r="CY18" s="109"/>
      <c r="CZ18" s="163" t="str">
        <f>IFERROR((((COUNTIF('Elève (3ème3)'!CT18:CY18,"A"))*4)+((COUNTIF('Elève (3ème3)'!CT18:CY18,"B"))*3)+((COUNTIF('Elève (3ème3)'!CT18:CY18,"C"))*2)+((COUNTIF('Elève (3ème3)'!CT18:CY18,"D"))*1))/(COUNTA(CT18:CY18)),"")</f>
        <v/>
      </c>
      <c r="DA18" s="164" t="str">
        <f t="shared" si="41"/>
        <v/>
      </c>
      <c r="DB18" s="163" t="str">
        <f>IF(COUNT(CL18,CR18,CZ18)=0,"",SUM(CL18,CR18,CZ18)/COUNT(CL18,CR18,CZ18))</f>
        <v/>
      </c>
      <c r="DC18" s="187" t="str">
        <f t="shared" si="42"/>
        <v/>
      </c>
      <c r="DD18" s="103"/>
      <c r="DE18" s="104"/>
      <c r="DF18" s="105"/>
      <c r="DG18" s="163" t="str">
        <f>IFERROR((((COUNTIF('Elève (3ème3)'!DD18:DF18,"A"))*4)+((COUNTIF('Elève (3ème3)'!DD18:DF18,"B"))*3)+((COUNTIF('Elève (3ème3)'!DD18:DF18,"C"))*2)+((COUNTIF('Elève (3ème3)'!DD18:DF18,"D"))*1))/(COUNTA(DD18:DF18)),"")</f>
        <v/>
      </c>
      <c r="DH18" s="164" t="str">
        <f t="shared" si="43"/>
        <v/>
      </c>
      <c r="DI18" s="103"/>
      <c r="DJ18" s="104"/>
      <c r="DK18" s="105"/>
      <c r="DL18" s="105"/>
      <c r="DM18" s="163" t="str">
        <f>IFERROR((((COUNTIF('Elève (3ème3)'!DI18:DL18,"A"))*4)+((COUNTIF('Elève (3ème3)'!DI18:DL18,"B"))*3)+((COUNTIF('Elève (3ème3)'!DI18:DL18,"C"))*2)+((COUNTIF('Elève (3ème3)'!DI18:DL18,"D"))*1))/(COUNTA(DI18:DL18)),"")</f>
        <v/>
      </c>
      <c r="DN18" s="164" t="str">
        <f t="shared" si="44"/>
        <v/>
      </c>
      <c r="DO18" s="103"/>
      <c r="DP18" s="104"/>
      <c r="DQ18" s="105"/>
      <c r="DR18" s="105"/>
      <c r="DS18" s="105"/>
      <c r="DT18" s="109"/>
      <c r="DU18" s="163" t="str">
        <f>IFERROR((((COUNTIF('Elève (3ème3)'!DO18:DT18,"A"))*4)+((COUNTIF('Elève (3ème3)'!DO18:DT18,"B"))*3)+((COUNTIF('Elève (3ème3)'!DO18:DT18,"C"))*2)+((COUNTIF('Elève (3ème3)'!DO18:DT18,"D"))*1))/(COUNTA(DO18:DT18)),"")</f>
        <v/>
      </c>
      <c r="DV18" s="164" t="str">
        <f t="shared" si="45"/>
        <v/>
      </c>
      <c r="DW18" s="163" t="str">
        <f>IF(COUNT(DG18,DM18,DU18)=0,"",SUM(DG18,DM18,DU18)/COUNT(DG18,DM18,DU18))</f>
        <v/>
      </c>
      <c r="DX18" s="187" t="str">
        <f t="shared" si="46"/>
        <v/>
      </c>
      <c r="DY18" s="103"/>
      <c r="DZ18" s="104"/>
      <c r="EA18" s="105"/>
      <c r="EB18" s="163" t="str">
        <f>IFERROR((((COUNTIF('Elève (3ème3)'!DY18:EA18,"A"))*4)+((COUNTIF('Elève (3ème3)'!DY18:EA18,"B"))*3)+((COUNTIF('Elève (3ème3)'!DY18:EA18,"C"))*2)+((COUNTIF('Elève (3ème3)'!DY18:EA18,"D"))*1))/(COUNTA(DY18:EA18)),"")</f>
        <v/>
      </c>
      <c r="EC18" s="164" t="str">
        <f t="shared" si="47"/>
        <v/>
      </c>
      <c r="ED18" s="103"/>
      <c r="EE18" s="104"/>
      <c r="EF18" s="105"/>
      <c r="EG18" s="105"/>
      <c r="EH18" s="163" t="str">
        <f>IFERROR((((COUNTIF('Elève (3ème3)'!ED18:EG18,"A"))*4)+((COUNTIF('Elève (3ème3)'!ED18:EG18,"B"))*3)+((COUNTIF('Elève (3ème3)'!ED18:EG18,"C"))*2)+((COUNTIF('Elève (3ème3)'!ED18:EG18,"D"))*1))/(COUNTA(ED18:EG18)),"")</f>
        <v/>
      </c>
      <c r="EI18" s="164" t="str">
        <f t="shared" si="48"/>
        <v/>
      </c>
      <c r="EJ18" s="103"/>
      <c r="EK18" s="104"/>
      <c r="EL18" s="105"/>
      <c r="EM18" s="105"/>
      <c r="EN18" s="105"/>
      <c r="EO18" s="109"/>
      <c r="EP18" s="163" t="str">
        <f>IFERROR((((COUNTIF('Elève (3ème3)'!EJ18:EO18,"A"))*4)+((COUNTIF('Elève (3ème3)'!EJ18:EO18,"B"))*3)+((COUNTIF('Elève (3ème3)'!EJ18:EO18,"C"))*2)+((COUNTIF('Elève (3ème3)'!EJ18:EO18,"D"))*1))/(COUNTA(EJ18:EO18)),"")</f>
        <v/>
      </c>
      <c r="EQ18" s="164" t="str">
        <f t="shared" si="49"/>
        <v/>
      </c>
      <c r="ER18" s="163" t="str">
        <f>IF(COUNT(EB18,EH18,EP18)=0,"",SUM(EB18,EH18,EP18)/COUNT(EB18,EH18,EP18))</f>
        <v/>
      </c>
      <c r="ES18" s="187" t="str">
        <f t="shared" si="50"/>
        <v/>
      </c>
      <c r="ET18" s="103"/>
      <c r="EU18" s="104"/>
      <c r="EV18" s="105"/>
      <c r="EW18" s="163" t="str">
        <f>IFERROR((((COUNTIF('Elève (3ème3)'!ET18:EV18,"A"))*4)+((COUNTIF('Elève (3ème3)'!ET18:EV18,"B"))*3)+((COUNTIF('Elève (3ème3)'!ET18:EV18,"C"))*2)+((COUNTIF('Elève (3ème3)'!ET18:EV18,"D"))*1))/(COUNTA(ET18:EV18)),"")</f>
        <v/>
      </c>
      <c r="EX18" s="164" t="str">
        <f t="shared" si="51"/>
        <v/>
      </c>
      <c r="EY18" s="103"/>
      <c r="EZ18" s="104"/>
      <c r="FA18" s="105"/>
      <c r="FB18" s="105"/>
      <c r="FC18" s="163" t="str">
        <f>IFERROR((((COUNTIF('Elève (3ème3)'!EY18:FB18,"A"))*4)+((COUNTIF('Elève (3ème3)'!EY18:FB18,"B"))*3)+((COUNTIF('Elève (3ème3)'!EY18:FB18,"C"))*2)+((COUNTIF('Elève (3ème3)'!EY18:FB18,"D"))*1))/(COUNTA(EY18:FB18)),"")</f>
        <v/>
      </c>
      <c r="FD18" s="164" t="str">
        <f t="shared" si="52"/>
        <v/>
      </c>
      <c r="FE18" s="103"/>
      <c r="FF18" s="104"/>
      <c r="FG18" s="105"/>
      <c r="FH18" s="105"/>
      <c r="FI18" s="105"/>
      <c r="FJ18" s="109"/>
      <c r="FK18" s="163" t="str">
        <f>IFERROR((((COUNTIF('Elève (3ème3)'!FE18:FJ18,"A"))*4)+((COUNTIF('Elève (3ème3)'!FE18:FJ18,"B"))*3)+((COUNTIF('Elève (3ème3)'!FE18:FJ18,"C"))*2)+((COUNTIF('Elève (3ème3)'!FE18:FJ18,"D"))*1))/(COUNTA(FE18:FJ18)),"")</f>
        <v/>
      </c>
      <c r="FL18" s="164" t="str">
        <f t="shared" si="53"/>
        <v/>
      </c>
      <c r="FM18" s="163" t="str">
        <f>IF(COUNT(EW18,FC18,FK18)=0,"",SUM(EW18,FC18,FK18)/COUNT(EW18,FC18,FK18))</f>
        <v/>
      </c>
      <c r="FN18" s="187" t="str">
        <f t="shared" si="54"/>
        <v/>
      </c>
      <c r="FO18" s="103"/>
      <c r="FP18" s="104"/>
      <c r="FQ18" s="105"/>
      <c r="FR18" s="163" t="str">
        <f>IFERROR((((COUNTIF('Elève (3ème3)'!FO18:FQ18,"A"))*4)+((COUNTIF('Elève (3ème3)'!FO18:FQ18,"B"))*3)+((COUNTIF('Elève (3ème3)'!FO18:FQ18,"C"))*2)+((COUNTIF('Elève (3ème3)'!FO18:FQ18,"D"))*1))/(COUNTA(FO18:FQ18)),"")</f>
        <v/>
      </c>
      <c r="FS18" s="164" t="str">
        <f t="shared" si="55"/>
        <v/>
      </c>
      <c r="FT18" s="103"/>
      <c r="FU18" s="104"/>
      <c r="FV18" s="105"/>
      <c r="FW18" s="105"/>
      <c r="FX18" s="163" t="str">
        <f>IFERROR((((COUNTIF('Elève (3ème3)'!FT18:FW18,"A"))*4)+((COUNTIF('Elève (3ème3)'!FT18:FW18,"B"))*3)+((COUNTIF('Elève (3ème3)'!FT18:FW18,"C"))*2)+((COUNTIF('Elève (3ème3)'!FT18:FW18,"D"))*1))/(COUNTA(FT18:FW18)),"")</f>
        <v/>
      </c>
      <c r="FY18" s="164" t="str">
        <f t="shared" si="56"/>
        <v/>
      </c>
      <c r="FZ18" s="103"/>
      <c r="GA18" s="104"/>
      <c r="GB18" s="105"/>
      <c r="GC18" s="105"/>
      <c r="GD18" s="105"/>
      <c r="GE18" s="109"/>
      <c r="GF18" s="163" t="str">
        <f>IFERROR((((COUNTIF('Elève (3ème3)'!FZ18:GE18,"A"))*4)+((COUNTIF('Elève (3ème3)'!FZ18:GE18,"B"))*3)+((COUNTIF('Elève (3ème3)'!FZ18:GE18,"C"))*2)+((COUNTIF('Elève (3ème3)'!FZ18:GE18,"D"))*1))/(COUNTA(FZ18:GE18)),"")</f>
        <v/>
      </c>
      <c r="GG18" s="164" t="str">
        <f t="shared" si="57"/>
        <v/>
      </c>
      <c r="GH18" s="163" t="str">
        <f>IF(COUNT(FR18,FX18,GF18)=0,"",SUM(FR18,FX18,GF18)/COUNT(FR18,FX18,GF18))</f>
        <v/>
      </c>
      <c r="GI18" s="187" t="str">
        <f t="shared" si="58"/>
        <v/>
      </c>
      <c r="GJ18" s="103"/>
      <c r="GK18" s="104"/>
      <c r="GL18" s="105"/>
      <c r="GM18" s="163" t="str">
        <f>IFERROR((((COUNTIF('Elève (3ème3)'!GJ18:GL18,"A"))*4)+((COUNTIF('Elève (3ème3)'!GJ18:GL18,"B"))*3)+((COUNTIF('Elève (3ème3)'!GJ18:GL18,"C"))*2)+((COUNTIF('Elève (3ème3)'!GJ18:GL18,"D"))*1))/(COUNTA(GJ18:GL18)),"")</f>
        <v/>
      </c>
      <c r="GN18" s="164" t="str">
        <f t="shared" si="59"/>
        <v/>
      </c>
      <c r="GO18" s="103"/>
      <c r="GP18" s="104"/>
      <c r="GQ18" s="105"/>
      <c r="GR18" s="105"/>
      <c r="GS18" s="163" t="str">
        <f>IFERROR((((COUNTIF('Elève (3ème3)'!GO18:GR18,"A"))*4)+((COUNTIF('Elève (3ème3)'!GO18:GR18,"B"))*3)+((COUNTIF('Elève (3ème3)'!GO18:GR18,"C"))*2)+((COUNTIF('Elève (3ème3)'!GO18:GR18,"D"))*1))/(COUNTA(GO18:GR18)),"")</f>
        <v/>
      </c>
      <c r="GT18" s="164" t="str">
        <f t="shared" si="60"/>
        <v/>
      </c>
      <c r="GU18" s="103"/>
      <c r="GV18" s="104"/>
      <c r="GW18" s="105"/>
      <c r="GX18" s="105"/>
      <c r="GY18" s="105"/>
      <c r="GZ18" s="109"/>
      <c r="HA18" s="163" t="str">
        <f>IFERROR((((COUNTIF('Elève (3ème3)'!GU18:GZ18,"A"))*4)+((COUNTIF('Elève (3ème3)'!GU18:GZ18,"B"))*3)+((COUNTIF('Elève (3ème3)'!GU18:GZ18,"C"))*2)+((COUNTIF('Elève (3ème3)'!GU18:GZ18,"D"))*1))/(COUNTA(GU18:GZ18)),"")</f>
        <v/>
      </c>
      <c r="HB18" s="164" t="str">
        <f t="shared" si="61"/>
        <v/>
      </c>
      <c r="HC18" s="163" t="str">
        <f>IF(COUNT(GM18,GS18,HA18)=0,"",SUM(GM18,GS18,HA18)/COUNT(GM18,GS18,HA18))</f>
        <v/>
      </c>
      <c r="HD18" s="187" t="str">
        <f t="shared" si="62"/>
        <v/>
      </c>
      <c r="HE18" s="103"/>
      <c r="HF18" s="104"/>
      <c r="HG18" s="105"/>
      <c r="HH18" s="163" t="str">
        <f>IFERROR((((COUNTIF('Elève (3ème3)'!HE18:HG18,"A"))*4)+((COUNTIF('Elève (3ème3)'!HE18:HG18,"B"))*3)+((COUNTIF('Elève (3ème3)'!HE18:HG18,"C"))*2)+((COUNTIF('Elève (3ème3)'!HE18:HG18,"D"))*1))/(COUNTA(HE18:HG18)),"")</f>
        <v/>
      </c>
      <c r="HI18" s="164" t="str">
        <f t="shared" si="63"/>
        <v/>
      </c>
      <c r="HJ18" s="103"/>
      <c r="HK18" s="104"/>
      <c r="HL18" s="105"/>
      <c r="HM18" s="105"/>
      <c r="HN18" s="163" t="str">
        <f>IFERROR((((COUNTIF('Elève (3ème3)'!HJ18:HM18,"A"))*4)+((COUNTIF('Elève (3ème3)'!HJ18:HM18,"B"))*3)+((COUNTIF('Elève (3ème3)'!HJ18:HM18,"C"))*2)+((COUNTIF('Elève (3ème3)'!HJ18:HM18,"D"))*1))/(COUNTA(HJ18:HM18)),"")</f>
        <v/>
      </c>
      <c r="HO18" s="164" t="str">
        <f t="shared" si="64"/>
        <v/>
      </c>
      <c r="HP18" s="103"/>
      <c r="HQ18" s="104"/>
      <c r="HR18" s="105"/>
      <c r="HS18" s="105"/>
      <c r="HT18" s="105"/>
      <c r="HU18" s="109"/>
      <c r="HV18" s="163" t="str">
        <f>IFERROR((((COUNTIF('Elève (3ème3)'!HP18:HU18,"A"))*4)+((COUNTIF('Elève (3ème3)'!HP18:HU18,"B"))*3)+((COUNTIF('Elève (3ème3)'!HP18:HU18,"C"))*2)+((COUNTIF('Elève (3ème3)'!HP18:HU18,"D"))*1))/(COUNTA(HP18:HU18)),"")</f>
        <v/>
      </c>
      <c r="HW18" s="164" t="str">
        <f t="shared" si="65"/>
        <v/>
      </c>
      <c r="HX18" s="163" t="str">
        <f>IF(COUNT(HH18,HN18,HV18)=0,"",SUM(HH18,HN18,HV18)/COUNT(HH18,HN18,HV18))</f>
        <v/>
      </c>
      <c r="HY18" s="187" t="str">
        <f t="shared" si="66"/>
        <v/>
      </c>
      <c r="HZ18" s="103"/>
      <c r="IA18" s="104"/>
      <c r="IB18" s="105"/>
      <c r="IC18" s="163" t="str">
        <f>IFERROR((((COUNTIF('Elève (3ème3)'!HZ18:IB18,"A"))*4)+((COUNTIF('Elève (3ème3)'!HZ18:IB18,"B"))*3)+((COUNTIF('Elève (3ème3)'!HZ18:IB18,"C"))*2)+((COUNTIF('Elève (3ème3)'!HZ18:IB18,"D"))*1))/(COUNTA(HZ18:IB18)),"")</f>
        <v/>
      </c>
      <c r="ID18" s="164" t="str">
        <f t="shared" si="67"/>
        <v/>
      </c>
      <c r="IE18" s="103"/>
      <c r="IF18" s="104"/>
      <c r="IG18" s="105"/>
      <c r="IH18" s="105"/>
      <c r="II18" s="163" t="str">
        <f>IFERROR((((COUNTIF('Elève (3ème3)'!IE18:IH18,"A"))*4)+((COUNTIF('Elève (3ème3)'!IE18:IH18,"B"))*3)+((COUNTIF('Elève (3ème3)'!IE18:IH18,"C"))*2)+((COUNTIF('Elève (3ème3)'!IE18:IH18,"D"))*1))/(COUNTA(IE18:IH18)),"")</f>
        <v/>
      </c>
      <c r="IJ18" s="164" t="str">
        <f t="shared" si="68"/>
        <v/>
      </c>
      <c r="IK18" s="103"/>
      <c r="IL18" s="104"/>
      <c r="IM18" s="105"/>
      <c r="IN18" s="105"/>
      <c r="IO18" s="105"/>
      <c r="IP18" s="109"/>
      <c r="IQ18" s="163" t="str">
        <f>IFERROR((((COUNTIF('Elève (3ème3)'!IK18:IP18,"A"))*4)+((COUNTIF('Elève (3ème3)'!IK18:IP18,"B"))*3)+((COUNTIF('Elève (3ème3)'!IK18:IP18,"C"))*2)+((COUNTIF('Elève (3ème3)'!IK18:IP18,"D"))*1))/(COUNTA(IK18:IP18)),"")</f>
        <v/>
      </c>
      <c r="IR18" s="164" t="str">
        <f t="shared" si="69"/>
        <v/>
      </c>
      <c r="IS18" s="163" t="str">
        <f>IF(COUNT(IC18,II18,IQ18)=0,"",SUM(IC18,II18,IQ18)/COUNT(IC18,II18,IQ18))</f>
        <v/>
      </c>
      <c r="IT18" s="187" t="str">
        <f t="shared" si="70"/>
        <v/>
      </c>
      <c r="IU18" s="103"/>
      <c r="IV18" s="104"/>
      <c r="IW18" s="105"/>
      <c r="IX18" s="163" t="str">
        <f>IFERROR((((COUNTIF('Elève (3ème3)'!IU18:IW18,"A"))*4)+((COUNTIF('Elève (3ème3)'!IU18:IW18,"B"))*3)+((COUNTIF('Elève (3ème3)'!IU18:IW18,"C"))*2)+((COUNTIF('Elève (3ème3)'!IU18:IW18,"D"))*1))/(COUNTA(IU18:IW18)),"")</f>
        <v/>
      </c>
      <c r="IY18" s="164" t="str">
        <f t="shared" si="71"/>
        <v/>
      </c>
      <c r="IZ18" s="103"/>
      <c r="JA18" s="104"/>
      <c r="JB18" s="105"/>
      <c r="JC18" s="105"/>
      <c r="JD18" s="163" t="str">
        <f>IFERROR((((COUNTIF('Elève (3ème3)'!IZ18:JC18,"A"))*4)+((COUNTIF('Elève (3ème3)'!IZ18:JC18,"B"))*3)+((COUNTIF('Elève (3ème3)'!IZ18:JC18,"C"))*2)+((COUNTIF('Elève (3ème3)'!IZ18:JC18,"D"))*1))/(COUNTA(IZ18:JC18)),"")</f>
        <v/>
      </c>
      <c r="JE18" s="164" t="str">
        <f t="shared" si="72"/>
        <v/>
      </c>
      <c r="JF18" s="103"/>
      <c r="JG18" s="104"/>
      <c r="JH18" s="105"/>
      <c r="JI18" s="105"/>
      <c r="JJ18" s="105"/>
      <c r="JK18" s="109"/>
      <c r="JL18" s="163" t="str">
        <f>IFERROR((((COUNTIF('Elève (3ème3)'!JF18:JK18,"A"))*4)+((COUNTIF('Elève (3ème3)'!JF18:JK18,"B"))*3)+((COUNTIF('Elève (3ème3)'!JF18:JK18,"C"))*2)+((COUNTIF('Elève (3ème3)'!JF18:JK18,"D"))*1))/(COUNTA(JF18:JK18)),"")</f>
        <v/>
      </c>
      <c r="JM18" s="164" t="str">
        <f t="shared" si="73"/>
        <v/>
      </c>
      <c r="JN18" s="163" t="str">
        <f>IF(COUNT(IX18,JD18,JL18)=0,"",SUM(IX18,JD18,JL18)/COUNT(IX18,JD18,JL18))</f>
        <v/>
      </c>
      <c r="JO18" s="187" t="str">
        <f t="shared" si="74"/>
        <v/>
      </c>
      <c r="JP18" s="103"/>
      <c r="JQ18" s="104"/>
      <c r="JR18" s="105"/>
      <c r="JS18" s="163" t="str">
        <f>IFERROR((((COUNTIF('Elève (3ème3)'!JP18:JR18,"A"))*4)+((COUNTIF('Elève (3ème3)'!JP18:JR18,"B"))*3)+((COUNTIF('Elève (3ème3)'!JP18:JR18,"C"))*2)+((COUNTIF('Elève (3ème3)'!JP18:JR18,"D"))*1))/(COUNTA(JP18:JR18)),"")</f>
        <v/>
      </c>
      <c r="JT18" s="164" t="str">
        <f t="shared" si="75"/>
        <v/>
      </c>
      <c r="JU18" s="103"/>
      <c r="JV18" s="104"/>
      <c r="JW18" s="105"/>
      <c r="JX18" s="105"/>
      <c r="JY18" s="163" t="str">
        <f>IFERROR((((COUNTIF('Elève (3ème3)'!JU18:JX18,"A"))*4)+((COUNTIF('Elève (3ème3)'!JU18:JX18,"B"))*3)+((COUNTIF('Elève (3ème3)'!JU18:JX18,"C"))*2)+((COUNTIF('Elève (3ème3)'!JU18:JX18,"D"))*1))/(COUNTA(JU18:JX18)),"")</f>
        <v/>
      </c>
      <c r="JZ18" s="164" t="str">
        <f t="shared" si="76"/>
        <v/>
      </c>
      <c r="KA18" s="103"/>
      <c r="KB18" s="104"/>
      <c r="KC18" s="105"/>
      <c r="KD18" s="105"/>
      <c r="KE18" s="105"/>
      <c r="KF18" s="109"/>
      <c r="KG18" s="163" t="str">
        <f>IFERROR((((COUNTIF('Elève (3ème3)'!KA18:KF18,"A"))*4)+((COUNTIF('Elève (3ème3)'!KA18:KF18,"B"))*3)+((COUNTIF('Elève (3ème3)'!KA18:KF18,"C"))*2)+((COUNTIF('Elève (3ème3)'!KA18:KF18,"D"))*1))/(COUNTA(KA18:KF18)),"")</f>
        <v/>
      </c>
      <c r="KH18" s="164" t="str">
        <f t="shared" si="77"/>
        <v/>
      </c>
      <c r="KI18" s="163" t="str">
        <f>IF(COUNT(JS18,JY18,KG18)=0,"",SUM(JS18,JY18,KG18)/COUNT(JS18,JY18,KG18))</f>
        <v/>
      </c>
      <c r="KJ18" s="187" t="str">
        <f t="shared" si="78"/>
        <v/>
      </c>
      <c r="KK18" s="103"/>
      <c r="KL18" s="104"/>
      <c r="KM18" s="105"/>
      <c r="KN18" s="163" t="str">
        <f>IFERROR((((COUNTIF('Elève (3ème3)'!KK18:KM18,"A"))*4)+((COUNTIF('Elève (3ème3)'!KK18:KM18,"B"))*3)+((COUNTIF('Elève (3ème3)'!KK18:KM18,"C"))*2)+((COUNTIF('Elève (3ème3)'!KK18:KM18,"D"))*1))/(COUNTA(KK18:KM18)),"")</f>
        <v/>
      </c>
      <c r="KO18" s="164" t="str">
        <f t="shared" si="79"/>
        <v/>
      </c>
      <c r="KP18" s="103"/>
      <c r="KQ18" s="104"/>
      <c r="KR18" s="105"/>
      <c r="KS18" s="105"/>
      <c r="KT18" s="163" t="str">
        <f>IFERROR((((COUNTIF('Elève (3ème3)'!KP18:KS18,"A"))*4)+((COUNTIF('Elève (3ème3)'!KP18:KS18,"B"))*3)+((COUNTIF('Elève (3ème3)'!KP18:KS18,"C"))*2)+((COUNTIF('Elève (3ème3)'!KP18:KS18,"D"))*1))/(COUNTA(KP18:KS18)),"")</f>
        <v/>
      </c>
      <c r="KU18" s="164" t="str">
        <f t="shared" si="80"/>
        <v/>
      </c>
      <c r="KV18" s="103"/>
      <c r="KW18" s="104"/>
      <c r="KX18" s="105"/>
      <c r="KY18" s="105"/>
      <c r="KZ18" s="105"/>
      <c r="LA18" s="109"/>
      <c r="LB18" s="163" t="str">
        <f>IFERROR((((COUNTIF('Elève (3ème3)'!KV18:LA18,"A"))*4)+((COUNTIF('Elève (3ème3)'!KV18:LA18,"B"))*3)+((COUNTIF('Elève (3ème3)'!KV18:LA18,"C"))*2)+((COUNTIF('Elève (3ème3)'!KV18:LA18,"D"))*1))/(COUNTA(KV18:LA18)),"")</f>
        <v/>
      </c>
      <c r="LC18" s="164" t="str">
        <f t="shared" si="81"/>
        <v/>
      </c>
      <c r="LD18" s="163" t="str">
        <f>IF(COUNT(KN18,KT18,LB18)=0,"",SUM(KN18,KT18,LB18)/COUNT(KN18,KT18,LB18))</f>
        <v/>
      </c>
      <c r="LE18" s="187" t="str">
        <f t="shared" si="82"/>
        <v/>
      </c>
      <c r="LF18" s="103"/>
      <c r="LG18" s="104"/>
      <c r="LH18" s="105"/>
      <c r="LI18" s="163" t="str">
        <f>IFERROR((((COUNTIF('Elève (3ème3)'!LF18:LH18,"A"))*4)+((COUNTIF('Elève (3ème3)'!LF18:LH18,"B"))*3)+((COUNTIF('Elève (3ème3)'!LF18:LH18,"C"))*2)+((COUNTIF('Elève (3ème3)'!LF18:LH18,"D"))*1))/(COUNTA(LF18:LH18)),"")</f>
        <v/>
      </c>
      <c r="LJ18" s="164" t="str">
        <f t="shared" si="83"/>
        <v/>
      </c>
      <c r="LK18" s="103"/>
      <c r="LL18" s="104"/>
      <c r="LM18" s="105"/>
      <c r="LN18" s="105"/>
      <c r="LO18" s="163" t="str">
        <f>IFERROR((((COUNTIF('Elève (3ème3)'!LK18:LN18,"A"))*4)+((COUNTIF('Elève (3ème3)'!LK18:LN18,"B"))*3)+((COUNTIF('Elève (3ème3)'!LK18:LN18,"C"))*2)+((COUNTIF('Elève (3ème3)'!LK18:LN18,"D"))*1))/(COUNTA(LK18:LN18)),"")</f>
        <v/>
      </c>
      <c r="LP18" s="164" t="str">
        <f t="shared" si="84"/>
        <v/>
      </c>
      <c r="LQ18" s="103"/>
      <c r="LR18" s="104"/>
      <c r="LS18" s="105"/>
      <c r="LT18" s="105"/>
      <c r="LU18" s="105"/>
      <c r="LV18" s="109"/>
      <c r="LW18" s="163" t="str">
        <f>IFERROR((((COUNTIF('Elève (3ème3)'!LQ18:LV18,"A"))*4)+((COUNTIF('Elève (3ème3)'!LQ18:LV18,"B"))*3)+((COUNTIF('Elève (3ème3)'!LQ18:LV18,"C"))*2)+((COUNTIF('Elève (3ème3)'!LQ18:LV18,"D"))*1))/(COUNTA(LQ18:LV18)),"")</f>
        <v/>
      </c>
      <c r="LX18" s="164" t="str">
        <f t="shared" si="85"/>
        <v/>
      </c>
      <c r="LY18" s="163" t="str">
        <f>IF(COUNT(LI18,LO18,LW18)=0,"",SUM(LI18,LO18,LW18)/COUNT(LI18,LO18,LW18))</f>
        <v/>
      </c>
      <c r="LZ18" s="187" t="str">
        <f t="shared" si="86"/>
        <v/>
      </c>
      <c r="MA18" s="103"/>
      <c r="MB18" s="104"/>
      <c r="MC18" s="105"/>
      <c r="MD18" s="163" t="str">
        <f>IFERROR((((COUNTIF('Elève (3ème3)'!MA18:MC18,"A"))*4)+((COUNTIF('Elève (3ème3)'!MA18:MC18,"B"))*3)+((COUNTIF('Elève (3ème3)'!MA18:MC18,"C"))*2)+((COUNTIF('Elève (3ème3)'!MA18:MC18,"D"))*1))/(COUNTA(MA18:MC18)),"")</f>
        <v/>
      </c>
      <c r="ME18" s="164" t="str">
        <f t="shared" si="87"/>
        <v/>
      </c>
      <c r="MF18" s="103"/>
      <c r="MG18" s="104"/>
      <c r="MH18" s="105"/>
      <c r="MI18" s="105"/>
      <c r="MJ18" s="163" t="str">
        <f>IFERROR((((COUNTIF('Elève (3ème3)'!MF18:MI18,"A"))*4)+((COUNTIF('Elève (3ème3)'!MF18:MI18,"B"))*3)+((COUNTIF('Elève (3ème3)'!MF18:MI18,"C"))*2)+((COUNTIF('Elève (3ème3)'!MF18:MI18,"D"))*1))/(COUNTA(MF18:MI18)),"")</f>
        <v/>
      </c>
      <c r="MK18" s="164" t="str">
        <f t="shared" si="88"/>
        <v/>
      </c>
      <c r="ML18" s="103"/>
      <c r="MM18" s="104"/>
      <c r="MN18" s="105"/>
      <c r="MO18" s="105"/>
      <c r="MP18" s="105"/>
      <c r="MQ18" s="109"/>
      <c r="MR18" s="163" t="str">
        <f>IFERROR((((COUNTIF('Elève (3ème3)'!ML18:MQ18,"A"))*4)+((COUNTIF('Elève (3ème3)'!ML18:MQ18,"B"))*3)+((COUNTIF('Elève (3ème3)'!ML18:MQ18,"C"))*2)+((COUNTIF('Elève (3ème3)'!ML18:MQ18,"D"))*1))/(COUNTA(ML18:MQ18)),"")</f>
        <v/>
      </c>
      <c r="MS18" s="164" t="str">
        <f t="shared" si="89"/>
        <v/>
      </c>
      <c r="MT18" s="163" t="str">
        <f>IF(COUNT(MD18,MJ18,MR18)=0,"",SUM(MD18,MJ18,MR18)/COUNT(MD18,MJ18,MR18))</f>
        <v/>
      </c>
      <c r="MU18" s="187" t="str">
        <f t="shared" si="90"/>
        <v/>
      </c>
      <c r="MV18" s="103"/>
      <c r="MW18" s="104"/>
      <c r="MX18" s="105"/>
      <c r="MY18" s="163" t="str">
        <f>IFERROR((((COUNTIF('Elève (3ème3)'!MV18:MX18,"A"))*4)+((COUNTIF('Elève (3ème3)'!MV18:MX18,"B"))*3)+((COUNTIF('Elève (3ème3)'!MV18:MX18,"C"))*2)+((COUNTIF('Elève (3ème3)'!MV18:MX18,"D"))*1))/(COUNTA(MV18:MX18)),"")</f>
        <v/>
      </c>
      <c r="MZ18" s="164" t="str">
        <f t="shared" si="91"/>
        <v/>
      </c>
      <c r="NA18" s="103"/>
      <c r="NB18" s="104"/>
      <c r="NC18" s="105"/>
      <c r="ND18" s="105"/>
      <c r="NE18" s="163" t="str">
        <f>IFERROR((((COUNTIF('Elève (3ème3)'!NA18:ND18,"A"))*4)+((COUNTIF('Elève (3ème3)'!NA18:ND18,"B"))*3)+((COUNTIF('Elève (3ème3)'!NA18:ND18,"C"))*2)+((COUNTIF('Elève (3ème3)'!NA18:ND18,"D"))*1))/(COUNTA(NA18:ND18)),"")</f>
        <v/>
      </c>
      <c r="NF18" s="164" t="str">
        <f t="shared" si="92"/>
        <v/>
      </c>
      <c r="NG18" s="103"/>
      <c r="NH18" s="104"/>
      <c r="NI18" s="105"/>
      <c r="NJ18" s="105"/>
      <c r="NK18" s="105"/>
      <c r="NL18" s="109"/>
      <c r="NM18" s="163" t="str">
        <f>IFERROR((((COUNTIF('Elève (3ème3)'!NG18:NL18,"A"))*4)+((COUNTIF('Elève (3ème3)'!NG18:NL18,"B"))*3)+((COUNTIF('Elève (3ème3)'!NG18:NL18,"C"))*2)+((COUNTIF('Elève (3ème3)'!NG18:NL18,"D"))*1))/(COUNTA(NG18:NL18)),"")</f>
        <v/>
      </c>
      <c r="NN18" s="164" t="str">
        <f t="shared" si="93"/>
        <v/>
      </c>
      <c r="NO18" s="163" t="str">
        <f>IF(COUNT(MY18,NE18,NM18)=0,"",SUM(MY18,NE18,NM18)/COUNT(MY18,NE18,NM18))</f>
        <v/>
      </c>
      <c r="NP18" s="187" t="str">
        <f t="shared" si="94"/>
        <v/>
      </c>
      <c r="NQ18" s="103"/>
      <c r="NR18" s="104"/>
      <c r="NS18" s="105"/>
      <c r="NT18" s="163" t="str">
        <f>IFERROR((((COUNTIF('Elève (3ème3)'!NQ18:NS18,"A"))*4)+((COUNTIF('Elève (3ème3)'!NQ18:NS18,"B"))*3)+((COUNTIF('Elève (3ème3)'!NQ18:NS18,"C"))*2)+((COUNTIF('Elève (3ème3)'!NQ18:NS18,"D"))*1))/(COUNTA(NQ18:NS18)),"")</f>
        <v/>
      </c>
      <c r="NU18" s="164" t="str">
        <f t="shared" si="95"/>
        <v/>
      </c>
      <c r="NV18" s="103"/>
      <c r="NW18" s="104"/>
      <c r="NX18" s="105"/>
      <c r="NY18" s="105"/>
      <c r="NZ18" s="163" t="str">
        <f>IFERROR((((COUNTIF('Elève (3ème3)'!NV18:NY18,"A"))*4)+((COUNTIF('Elève (3ème3)'!NV18:NY18,"B"))*3)+((COUNTIF('Elève (3ème3)'!NV18:NY18,"C"))*2)+((COUNTIF('Elève (3ème3)'!NV18:NY18,"D"))*1))/(COUNTA(NV18:NY18)),"")</f>
        <v/>
      </c>
      <c r="OA18" s="164" t="str">
        <f t="shared" si="96"/>
        <v/>
      </c>
      <c r="OB18" s="103"/>
      <c r="OC18" s="104"/>
      <c r="OD18" s="105"/>
      <c r="OE18" s="105"/>
      <c r="OF18" s="105"/>
      <c r="OG18" s="109"/>
      <c r="OH18" s="163" t="str">
        <f>IFERROR((((COUNTIF('Elève (3ème3)'!OB18:OG18,"A"))*4)+((COUNTIF('Elève (3ème3)'!OB18:OG18,"B"))*3)+((COUNTIF('Elève (3ème3)'!OB18:OG18,"C"))*2)+((COUNTIF('Elève (3ème3)'!OB18:OG18,"D"))*1))/(COUNTA(OB18:OG18)),"")</f>
        <v/>
      </c>
      <c r="OI18" s="164" t="str">
        <f t="shared" si="97"/>
        <v/>
      </c>
      <c r="OJ18" s="163" t="str">
        <f>IF(COUNT(NT18,NZ18,OH18)=0,"",SUM(NT18,NZ18,OH18)/COUNT(NT18,NZ18,OH18))</f>
        <v/>
      </c>
      <c r="OK18" s="187" t="str">
        <f t="shared" si="98"/>
        <v/>
      </c>
      <c r="OL18" s="103"/>
      <c r="OM18" s="104"/>
      <c r="ON18" s="105"/>
      <c r="OO18" s="163" t="str">
        <f>IFERROR((((COUNTIF('Elève (3ème3)'!OL18:ON18,"A"))*4)+((COUNTIF('Elève (3ème3)'!OL18:ON18,"B"))*3)+((COUNTIF('Elève (3ème3)'!OL18:ON18,"C"))*2)+((COUNTIF('Elève (3ème3)'!OL18:ON18,"D"))*1))/(COUNTA(OL18:ON18)),"")</f>
        <v/>
      </c>
      <c r="OP18" s="164" t="str">
        <f t="shared" si="99"/>
        <v/>
      </c>
      <c r="OQ18" s="103"/>
      <c r="OR18" s="104"/>
      <c r="OS18" s="105"/>
      <c r="OT18" s="105"/>
      <c r="OU18" s="163" t="str">
        <f>IFERROR((((COUNTIF('Elève (3ème3)'!OQ18:OT18,"A"))*4)+((COUNTIF('Elève (3ème3)'!OQ18:OT18,"B"))*3)+((COUNTIF('Elève (3ème3)'!OQ18:OT18,"C"))*2)+((COUNTIF('Elève (3ème3)'!OQ18:OT18,"D"))*1))/(COUNTA(OQ18:OT18)),"")</f>
        <v/>
      </c>
      <c r="OV18" s="164" t="str">
        <f t="shared" si="100"/>
        <v/>
      </c>
      <c r="OW18" s="103"/>
      <c r="OX18" s="104"/>
      <c r="OY18" s="105"/>
      <c r="OZ18" s="105"/>
      <c r="PA18" s="105"/>
      <c r="PB18" s="109"/>
      <c r="PC18" s="163" t="str">
        <f>IFERROR((((COUNTIF('Elève (3ème3)'!OW18:PB18,"A"))*4)+((COUNTIF('Elève (3ème3)'!OW18:PB18,"B"))*3)+((COUNTIF('Elève (3ème3)'!OW18:PB18,"C"))*2)+((COUNTIF('Elève (3ème3)'!OW18:PB18,"D"))*1))/(COUNTA(OW18:PB18)),"")</f>
        <v/>
      </c>
      <c r="PD18" s="164" t="str">
        <f t="shared" si="101"/>
        <v/>
      </c>
      <c r="PE18" s="163" t="str">
        <f>IF(COUNT(OO18,OU18,PC18)=0,"",SUM(OO18,OU18,PC18)/COUNT(OO18,OU18,PC18))</f>
        <v/>
      </c>
      <c r="PF18" s="187" t="str">
        <f t="shared" si="102"/>
        <v/>
      </c>
      <c r="PG18" s="103"/>
      <c r="PH18" s="104"/>
      <c r="PI18" s="105"/>
      <c r="PJ18" s="163" t="str">
        <f>IFERROR((((COUNTIF('Elève (3ème3)'!PG18:PI18,"A"))*4)+((COUNTIF('Elève (3ème3)'!PG18:PI18,"B"))*3)+((COUNTIF('Elève (3ème3)'!PG18:PI18,"C"))*2)+((COUNTIF('Elève (3ème3)'!PG18:PI18,"D"))*1))/(COUNTA(PG18:PI18)),"")</f>
        <v/>
      </c>
      <c r="PK18" s="164" t="str">
        <f t="shared" si="103"/>
        <v/>
      </c>
      <c r="PL18" s="103"/>
      <c r="PM18" s="104"/>
      <c r="PN18" s="105"/>
      <c r="PO18" s="105"/>
      <c r="PP18" s="163" t="str">
        <f>IFERROR((((COUNTIF('Elève (3ème3)'!PL18:PO18,"A"))*4)+((COUNTIF('Elève (3ème3)'!PL18:PO18,"B"))*3)+((COUNTIF('Elève (3ème3)'!PL18:PO18,"C"))*2)+((COUNTIF('Elève (3ème3)'!PL18:PO18,"D"))*1))/(COUNTA(PL18:PO18)),"")</f>
        <v/>
      </c>
      <c r="PQ18" s="164" t="str">
        <f t="shared" si="104"/>
        <v/>
      </c>
      <c r="PR18" s="103"/>
      <c r="PS18" s="104"/>
      <c r="PT18" s="105"/>
      <c r="PU18" s="105"/>
      <c r="PV18" s="105"/>
      <c r="PW18" s="109"/>
      <c r="PX18" s="163" t="str">
        <f>IFERROR((((COUNTIF('Elève (3ème3)'!PR18:PW18,"A"))*4)+((COUNTIF('Elève (3ème3)'!PR18:PW18,"B"))*3)+((COUNTIF('Elève (3ème3)'!PR18:PW18,"C"))*2)+((COUNTIF('Elève (3ème3)'!PR18:PW18,"D"))*1))/(COUNTA(PR18:PW18)),"")</f>
        <v/>
      </c>
      <c r="PY18" s="164" t="str">
        <f t="shared" si="105"/>
        <v/>
      </c>
      <c r="PZ18" s="163" t="str">
        <f>IF(COUNT(PJ18,PP18,PX18)=0,"",SUM(PJ18,PP18,PX18)/COUNT(PJ18,PP18,PX18))</f>
        <v/>
      </c>
      <c r="QA18" s="187" t="str">
        <f t="shared" si="106"/>
        <v/>
      </c>
      <c r="QB18" s="103"/>
      <c r="QC18" s="104"/>
      <c r="QD18" s="105"/>
      <c r="QE18" s="163" t="str">
        <f>IFERROR((((COUNTIF('Elève (3ème3)'!QB18:QD18,"A"))*4)+((COUNTIF('Elève (3ème3)'!QB18:QD18,"B"))*3)+((COUNTIF('Elève (3ème3)'!QB18:QD18,"C"))*2)+((COUNTIF('Elève (3ème3)'!QB18:QD18,"D"))*1))/(COUNTA(QB18:QD18)),"")</f>
        <v/>
      </c>
      <c r="QF18" s="164" t="str">
        <f t="shared" si="107"/>
        <v/>
      </c>
      <c r="QG18" s="103"/>
      <c r="QH18" s="104"/>
      <c r="QI18" s="105"/>
      <c r="QJ18" s="105"/>
      <c r="QK18" s="163" t="str">
        <f>IFERROR((((COUNTIF('Elève (3ème3)'!QG18:QJ18,"A"))*4)+((COUNTIF('Elève (3ème3)'!QG18:QJ18,"B"))*3)+((COUNTIF('Elève (3ème3)'!QG18:QJ18,"C"))*2)+((COUNTIF('Elève (3ème3)'!QG18:QJ18,"D"))*1))/(COUNTA(QG18:QJ18)),"")</f>
        <v/>
      </c>
      <c r="QL18" s="164" t="str">
        <f t="shared" si="108"/>
        <v/>
      </c>
      <c r="QM18" s="103"/>
      <c r="QN18" s="104"/>
      <c r="QO18" s="105"/>
      <c r="QP18" s="105"/>
      <c r="QQ18" s="105"/>
      <c r="QR18" s="109"/>
      <c r="QS18" s="163" t="str">
        <f>IFERROR((((COUNTIF('Elève (3ème3)'!QM18:QR18,"A"))*4)+((COUNTIF('Elève (3ème3)'!QM18:QR18,"B"))*3)+((COUNTIF('Elève (3ème3)'!QM18:QR18,"C"))*2)+((COUNTIF('Elève (3ème3)'!QM18:QR18,"D"))*1))/(COUNTA(QM18:QR18)),"")</f>
        <v/>
      </c>
      <c r="QT18" s="164" t="str">
        <f t="shared" si="109"/>
        <v/>
      </c>
      <c r="QU18" s="163" t="str">
        <f>IF(COUNT(QE18,QK18,QS18)=0,"",SUM(QE18,QK18,QS18)/COUNT(QE18,QK18,QS18))</f>
        <v/>
      </c>
      <c r="QV18" s="187" t="str">
        <f t="shared" si="110"/>
        <v/>
      </c>
      <c r="QW18" s="103"/>
      <c r="QX18" s="104"/>
      <c r="QY18" s="105"/>
      <c r="QZ18" s="163" t="str">
        <f>IFERROR((((COUNTIF('Elève (3ème3)'!QW18:QY18,"A"))*4)+((COUNTIF('Elève (3ème3)'!QW18:QY18,"B"))*3)+((COUNTIF('Elève (3ème3)'!QW18:QY18,"C"))*2)+((COUNTIF('Elève (3ème3)'!QW18:QY18,"D"))*1))/(COUNTA(QW18:QY18)),"")</f>
        <v/>
      </c>
      <c r="RA18" s="164" t="str">
        <f t="shared" si="111"/>
        <v/>
      </c>
      <c r="RB18" s="103"/>
      <c r="RC18" s="104"/>
      <c r="RD18" s="105"/>
      <c r="RE18" s="105"/>
      <c r="RF18" s="163" t="str">
        <f>IFERROR((((COUNTIF('Elève (3ème3)'!RB18:RE18,"A"))*4)+((COUNTIF('Elève (3ème3)'!RB18:RE18,"B"))*3)+((COUNTIF('Elève (3ème3)'!RB18:RE18,"C"))*2)+((COUNTIF('Elève (3ème3)'!RB18:RE18,"D"))*1))/(COUNTA(RB18:RE18)),"")</f>
        <v/>
      </c>
      <c r="RG18" s="164" t="str">
        <f t="shared" si="112"/>
        <v/>
      </c>
      <c r="RH18" s="103"/>
      <c r="RI18" s="104"/>
      <c r="RJ18" s="105"/>
      <c r="RK18" s="105"/>
      <c r="RL18" s="105"/>
      <c r="RM18" s="109"/>
      <c r="RN18" s="163" t="str">
        <f>IFERROR((((COUNTIF('Elève (3ème3)'!RH18:RM18,"A"))*4)+((COUNTIF('Elève (3ème3)'!RH18:RM18,"B"))*3)+((COUNTIF('Elève (3ème3)'!RH18:RM18,"C"))*2)+((COUNTIF('Elève (3ème3)'!RH18:RM18,"D"))*1))/(COUNTA(RH18:RM18)),"")</f>
        <v/>
      </c>
      <c r="RO18" s="164" t="str">
        <f t="shared" si="113"/>
        <v/>
      </c>
      <c r="RP18" s="163" t="str">
        <f>IF(COUNT(QZ18,RF18,RN18)=0,"",SUM(QZ18,RF18,RN18)/COUNT(QZ18,RF18,RN18))</f>
        <v/>
      </c>
      <c r="RQ18" s="187" t="str">
        <f t="shared" si="114"/>
        <v/>
      </c>
      <c r="RR18" s="103"/>
      <c r="RS18" s="104"/>
      <c r="RT18" s="105"/>
      <c r="RU18" s="163" t="str">
        <f>IFERROR((((COUNTIF('Elève (3ème3)'!RR18:RT18,"A"))*4)+((COUNTIF('Elève (3ème3)'!RR18:RT18,"B"))*3)+((COUNTIF('Elève (3ème3)'!RR18:RT18,"C"))*2)+((COUNTIF('Elève (3ème3)'!RR18:RT18,"D"))*1))/(COUNTA(RR18:RT18)),"")</f>
        <v/>
      </c>
      <c r="RV18" s="164" t="str">
        <f t="shared" si="115"/>
        <v/>
      </c>
      <c r="RW18" s="103"/>
      <c r="RX18" s="104"/>
      <c r="RY18" s="105"/>
      <c r="RZ18" s="105"/>
      <c r="SA18" s="163" t="str">
        <f>IFERROR((((COUNTIF('Elève (3ème3)'!RW18:RZ18,"A"))*4)+((COUNTIF('Elève (3ème3)'!RW18:RZ18,"B"))*3)+((COUNTIF('Elève (3ème3)'!RW18:RZ18,"C"))*2)+((COUNTIF('Elève (3ème3)'!RW18:RZ18,"D"))*1))/(COUNTA(RW18:RZ18)),"")</f>
        <v/>
      </c>
      <c r="SB18" s="164" t="str">
        <f t="shared" si="116"/>
        <v/>
      </c>
      <c r="SC18" s="103"/>
      <c r="SD18" s="104"/>
      <c r="SE18" s="105"/>
      <c r="SF18" s="105"/>
      <c r="SG18" s="105"/>
      <c r="SH18" s="109"/>
      <c r="SI18" s="163" t="str">
        <f>IFERROR((((COUNTIF('Elève (3ème3)'!SC18:SH18,"A"))*4)+((COUNTIF('Elève (3ème3)'!SC18:SH18,"B"))*3)+((COUNTIF('Elève (3ème3)'!SC18:SH18,"C"))*2)+((COUNTIF('Elève (3ème3)'!SC18:SH18,"D"))*1))/(COUNTA(SC18:SH18)),"")</f>
        <v/>
      </c>
      <c r="SJ18" s="164" t="str">
        <f t="shared" si="117"/>
        <v/>
      </c>
      <c r="SK18" s="163" t="str">
        <f>IF(COUNT(RU18,SA18,SI18)=0,"",SUM(RU18,SA18,SI18)/COUNT(RU18,SA18,SI18))</f>
        <v/>
      </c>
      <c r="SL18" s="187" t="str">
        <f t="shared" si="118"/>
        <v/>
      </c>
      <c r="SM18" s="103"/>
      <c r="SN18" s="104"/>
      <c r="SO18" s="105"/>
      <c r="SP18" s="106" t="str">
        <f>IFERROR((((COUNTIF('Elève (3ème3)'!SM18:SO18,"A"))*4)+((COUNTIF('Elève (3ème3)'!SM18:SO18,"B"))*3)+((COUNTIF('Elève (3ème3)'!SM18:SO18,"C"))*2)+((COUNTIF('Elève (3ème3)'!SM18:SO18,"D"))*1))/(COUNTA(SM18:SO18)),"")</f>
        <v/>
      </c>
      <c r="SQ18" s="107" t="str">
        <f t="shared" si="119"/>
        <v/>
      </c>
      <c r="SR18" s="103"/>
      <c r="SS18" s="104"/>
      <c r="ST18" s="105"/>
      <c r="SU18" s="106" t="str">
        <f>IFERROR((((COUNTIF('Elève (3ème3)'!SR18:ST18,"A"))*4)+((COUNTIF('Elève (3ème3)'!SR18:ST18,"B"))*3)+((COUNTIF('Elève (3ème3)'!SR18:ST18,"C"))*2)+((COUNTIF('Elève (3ème3)'!SR18:ST18,"D"))*1))/(COUNTA(SR18:ST18)),"")</f>
        <v/>
      </c>
      <c r="SV18" s="107" t="str">
        <f t="shared" si="120"/>
        <v/>
      </c>
      <c r="SW18" s="103"/>
      <c r="SX18" s="104"/>
      <c r="SY18" s="109"/>
      <c r="SZ18" s="106" t="str">
        <f>IFERROR((((COUNTIF('Elève (3ème3)'!SW18:SY18,"A"))*4)+((COUNTIF('Elève (3ème3)'!SW18:SY18,"B"))*3)+((COUNTIF('Elève (3ème3)'!SW18:SY18,"C"))*2)+((COUNTIF('Elève (3ème3)'!SW18:SY18,"D"))*1))/(COUNTA(SW18:SY18)),"")</f>
        <v/>
      </c>
      <c r="TA18" s="107" t="str">
        <f t="shared" si="121"/>
        <v/>
      </c>
      <c r="TB18" s="106" t="str">
        <f>IF(COUNT(SP18,SU18,SZ18)=0,"",SUM(SP18,SU18,SZ18)/COUNT(SP18,SU18,SZ18))</f>
        <v/>
      </c>
      <c r="TC18" s="108" t="str">
        <f t="shared" si="122"/>
        <v/>
      </c>
      <c r="TD18" s="103"/>
      <c r="TE18" s="104"/>
      <c r="TF18" s="105"/>
      <c r="TG18" s="106" t="str">
        <f>IFERROR((((COUNTIF('Elève (3ème3)'!TD18:TF18,"A"))*4)+((COUNTIF('Elève (3ème3)'!TD18:TF18,"B"))*3)+((COUNTIF('Elève (3ème3)'!TD18:TF18,"C"))*2)+((COUNTIF('Elève (3ème3)'!TD18:TF18,"D"))*1))/(COUNTA(TD18:TF18)),"")</f>
        <v/>
      </c>
      <c r="TH18" s="107" t="str">
        <f t="shared" si="123"/>
        <v/>
      </c>
      <c r="TI18" s="103"/>
      <c r="TJ18" s="104"/>
      <c r="TK18" s="105"/>
      <c r="TL18" s="106" t="str">
        <f>IFERROR((((COUNTIF('Elève (3ème3)'!TI18:TK18,"A"))*4)+((COUNTIF('Elève (3ème3)'!TI18:TK18,"B"))*3)+((COUNTIF('Elève (3ème3)'!TI18:TK18,"C"))*2)+((COUNTIF('Elève (3ème3)'!TI18:TK18,"D"))*1))/(COUNTA(TI18:TK18)),"")</f>
        <v/>
      </c>
      <c r="TM18" s="107" t="str">
        <f t="shared" si="124"/>
        <v/>
      </c>
      <c r="TN18" s="103"/>
      <c r="TO18" s="104"/>
      <c r="TP18" s="109"/>
      <c r="TQ18" s="106" t="str">
        <f>IFERROR((((COUNTIF('Elève (3ème3)'!TN18:TP18,"A"))*4)+((COUNTIF('Elève (3ème3)'!TN18:TP18,"B"))*3)+((COUNTIF('Elève (3ème3)'!TN18:TP18,"C"))*2)+((COUNTIF('Elève (3ème3)'!TN18:TP18,"D"))*1))/(COUNTA(TN18:TP18)),"")</f>
        <v/>
      </c>
      <c r="TR18" s="107" t="str">
        <f t="shared" si="125"/>
        <v/>
      </c>
      <c r="TS18" s="106" t="str">
        <f>IF(COUNT(TG18,TL18,TQ18)=0,"",SUM(TG18,TL18,TQ18)/COUNT(TG18,TL18,TQ18))</f>
        <v/>
      </c>
      <c r="TT18" s="108" t="str">
        <f t="shared" si="126"/>
        <v/>
      </c>
      <c r="TU18" s="103"/>
      <c r="TV18" s="104"/>
      <c r="TW18" s="105"/>
      <c r="TX18" s="106" t="str">
        <f>IFERROR((((COUNTIF('Elève (3ème3)'!TU18:TW18,"A"))*4)+((COUNTIF('Elève (3ème3)'!TU18:TW18,"B"))*3)+((COUNTIF('Elève (3ème3)'!TU18:TW18,"C"))*2)+((COUNTIF('Elève (3ème3)'!TU18:TW18,"D"))*1))/(COUNTA(TU18:TW18)),"")</f>
        <v/>
      </c>
      <c r="TY18" s="107" t="str">
        <f t="shared" si="127"/>
        <v/>
      </c>
      <c r="TZ18" s="103"/>
      <c r="UA18" s="104"/>
      <c r="UB18" s="105"/>
      <c r="UC18" s="106" t="str">
        <f>IFERROR((((COUNTIF('Elève (3ème3)'!TZ18:UB18,"A"))*4)+((COUNTIF('Elève (3ème3)'!TZ18:UB18,"B"))*3)+((COUNTIF('Elève (3ème3)'!TZ18:UB18,"C"))*2)+((COUNTIF('Elève (3ème3)'!TZ18:UB18,"D"))*1))/(COUNTA(TZ18:UB18)),"")</f>
        <v/>
      </c>
      <c r="UD18" s="107" t="str">
        <f t="shared" si="128"/>
        <v/>
      </c>
      <c r="UE18" s="103"/>
      <c r="UF18" s="104"/>
      <c r="UG18" s="109"/>
      <c r="UH18" s="106" t="str">
        <f>IFERROR((((COUNTIF('Elève (3ème3)'!UE18:UG18,"A"))*4)+((COUNTIF('Elève (3ème3)'!UE18:UG18,"B"))*3)+((COUNTIF('Elève (3ème3)'!UE18:UG18,"C"))*2)+((COUNTIF('Elève (3ème3)'!UE18:UG18,"D"))*1))/(COUNTA(UE18:UG18)),"")</f>
        <v/>
      </c>
      <c r="UI18" s="107" t="str">
        <f t="shared" si="129"/>
        <v/>
      </c>
      <c r="UJ18" s="106" t="str">
        <f>IF(COUNT(TX18,UC18,UH18)=0,"",SUM(TX18,UC18,UH18)/COUNT(TX18,UC18,UH18))</f>
        <v/>
      </c>
      <c r="UK18" s="108" t="str">
        <f t="shared" si="130"/>
        <v/>
      </c>
      <c r="UL18" s="103"/>
      <c r="UM18" s="104"/>
      <c r="UN18" s="105"/>
      <c r="UO18" s="106" t="str">
        <f>IFERROR((((COUNTIF('Elève (3ème3)'!UL18:UN18,"A"))*4)+((COUNTIF('Elève (3ème3)'!UL18:UN18,"B"))*3)+((COUNTIF('Elève (3ème3)'!UL18:UN18,"C"))*2)+((COUNTIF('Elève (3ème3)'!UL18:UN18,"D"))*1))/(COUNTA(UL18:UN18)),"")</f>
        <v/>
      </c>
      <c r="UP18" s="107" t="str">
        <f t="shared" si="131"/>
        <v/>
      </c>
      <c r="UQ18" s="103"/>
      <c r="UR18" s="104"/>
      <c r="US18" s="105"/>
      <c r="UT18" s="106" t="str">
        <f>IFERROR((((COUNTIF('Elève (3ème3)'!UQ18:US18,"A"))*4)+((COUNTIF('Elève (3ème3)'!UQ18:US18,"B"))*3)+((COUNTIF('Elève (3ème3)'!UQ18:US18,"C"))*2)+((COUNTIF('Elève (3ème3)'!UQ18:US18,"D"))*1))/(COUNTA(UQ18:US18)),"")</f>
        <v/>
      </c>
      <c r="UU18" s="107" t="str">
        <f t="shared" si="132"/>
        <v/>
      </c>
      <c r="UV18" s="103"/>
      <c r="UW18" s="104"/>
      <c r="UX18" s="109"/>
      <c r="UY18" s="106" t="str">
        <f>IFERROR((((COUNTIF('Elève (3ème3)'!UV18:UX18,"A"))*4)+((COUNTIF('Elève (3ème3)'!UV18:UX18,"B"))*3)+((COUNTIF('Elève (3ème3)'!UV18:UX18,"C"))*2)+((COUNTIF('Elève (3ème3)'!UV18:UX18,"D"))*1))/(COUNTA(UV18:UX18)),"")</f>
        <v/>
      </c>
      <c r="UZ18" s="107" t="str">
        <f t="shared" si="133"/>
        <v/>
      </c>
      <c r="VA18" s="106" t="str">
        <f>IF(COUNT(UO18,UT18,UY18)=0,"",SUM(UO18,UT18,UY18)/COUNT(UO18,UT18,UY18))</f>
        <v/>
      </c>
      <c r="VB18" s="108" t="str">
        <f t="shared" si="134"/>
        <v/>
      </c>
      <c r="VC18" s="103"/>
      <c r="VD18" s="104"/>
      <c r="VE18" s="105"/>
      <c r="VF18" s="106" t="str">
        <f>IFERROR((((COUNTIF('Elève (3ème3)'!VC18:VE18,"A"))*4)+((COUNTIF('Elève (3ème3)'!VC18:VE18,"B"))*3)+((COUNTIF('Elève (3ème3)'!VC18:VE18,"C"))*2)+((COUNTIF('Elève (3ème3)'!VC18:VE18,"D"))*1))/(COUNTA(VC18:VE18)),"")</f>
        <v/>
      </c>
      <c r="VG18" s="107" t="str">
        <f t="shared" si="135"/>
        <v/>
      </c>
      <c r="VH18" s="103"/>
      <c r="VI18" s="104"/>
      <c r="VJ18" s="105"/>
      <c r="VK18" s="106" t="str">
        <f>IFERROR((((COUNTIF('Elève (3ème3)'!VH18:VJ18,"A"))*4)+((COUNTIF('Elève (3ème3)'!VH18:VJ18,"B"))*3)+((COUNTIF('Elève (3ème3)'!VH18:VJ18,"C"))*2)+((COUNTIF('Elève (3ème3)'!VH18:VJ18,"D"))*1))/(COUNTA(VH18:VJ18)),"")</f>
        <v/>
      </c>
      <c r="VL18" s="107" t="str">
        <f t="shared" si="136"/>
        <v/>
      </c>
      <c r="VM18" s="103"/>
      <c r="VN18" s="104"/>
      <c r="VO18" s="109"/>
      <c r="VP18" s="106" t="str">
        <f>IFERROR((((COUNTIF('Elève (3ème3)'!VM18:VO18,"A"))*4)+((COUNTIF('Elève (3ème3)'!VM18:VO18,"B"))*3)+((COUNTIF('Elève (3ème3)'!VM18:VO18,"C"))*2)+((COUNTIF('Elève (3ème3)'!VM18:VO18,"D"))*1))/(COUNTA(VM18:VO18)),"")</f>
        <v/>
      </c>
      <c r="VQ18" s="107" t="str">
        <f t="shared" si="137"/>
        <v/>
      </c>
      <c r="VR18" s="106" t="str">
        <f>IF(COUNT(VF18,VK18,VP18)=0,"",SUM(VF18,VK18,VP18)/COUNT(VF18,VK18,VP18))</f>
        <v/>
      </c>
      <c r="VS18" s="108" t="str">
        <f t="shared" si="138"/>
        <v/>
      </c>
      <c r="VT18" s="103"/>
      <c r="VU18" s="104"/>
      <c r="VV18" s="105"/>
      <c r="VW18" s="106" t="str">
        <f>IFERROR((((COUNTIF('Elève (3ème3)'!VT18:VV18,"A"))*4)+((COUNTIF('Elève (3ème3)'!VT18:VV18,"B"))*3)+((COUNTIF('Elève (3ème3)'!VT18:VV18,"C"))*2)+((COUNTIF('Elève (3ème3)'!VT18:VV18,"D"))*1))/(COUNTA(VT18:VV18)),"")</f>
        <v/>
      </c>
      <c r="VX18" s="107" t="str">
        <f t="shared" si="139"/>
        <v/>
      </c>
      <c r="VY18" s="103"/>
      <c r="VZ18" s="104"/>
      <c r="WA18" s="105"/>
      <c r="WB18" s="106" t="str">
        <f>IFERROR((((COUNTIF('Elève (3ème3)'!VY18:WA18,"A"))*4)+((COUNTIF('Elève (3ème3)'!VY18:WA18,"B"))*3)+((COUNTIF('Elève (3ème3)'!VY18:WA18,"C"))*2)+((COUNTIF('Elève (3ème3)'!VY18:WA18,"D"))*1))/(COUNTA(VY18:WA18)),"")</f>
        <v/>
      </c>
      <c r="WC18" s="107" t="str">
        <f t="shared" si="140"/>
        <v/>
      </c>
      <c r="WD18" s="103"/>
      <c r="WE18" s="104"/>
      <c r="WF18" s="109"/>
      <c r="WG18" s="106" t="str">
        <f>IFERROR((((COUNTIF('Elève (3ème3)'!WD18:WF18,"A"))*4)+((COUNTIF('Elève (3ème3)'!WD18:WF18,"B"))*3)+((COUNTIF('Elève (3ème3)'!WD18:WF18,"C"))*2)+((COUNTIF('Elève (3ème3)'!WD18:WF18,"D"))*1))/(COUNTA(WD18:WF18)),"")</f>
        <v/>
      </c>
      <c r="WH18" s="107" t="str">
        <f t="shared" si="141"/>
        <v/>
      </c>
      <c r="WI18" s="106" t="str">
        <f>IF(COUNT(VW18,WB18,WG18)=0,"",SUM(VW18,WB18,WG18)/COUNT(VW18,WB18,WG18))</f>
        <v/>
      </c>
      <c r="WJ18" s="108" t="str">
        <f t="shared" si="142"/>
        <v/>
      </c>
    </row>
    <row r="19" spans="1:608" ht="18" customHeight="1" thickBot="1" x14ac:dyDescent="0.6">
      <c r="A19" s="215" t="s">
        <v>23</v>
      </c>
      <c r="B19" s="216"/>
      <c r="C19" s="110"/>
      <c r="D19" s="111"/>
      <c r="E19" s="112"/>
      <c r="F19" s="165" t="str">
        <f>IFERROR((((COUNTIF('Elève (3ème3)'!C19:E19,"A"))*4)+((COUNTIF('Elève (3ème3)'!C19:E19,"B"))*3)+((COUNTIF('Elève (3ème3)'!C19:E19,"C"))*2)+((COUNTIF('Elève (3ème3)'!C19:E19,"D"))*1))/(COUNTA(C19:E19)),"")</f>
        <v/>
      </c>
      <c r="G19" s="166" t="str">
        <f t="shared" si="23"/>
        <v/>
      </c>
      <c r="H19" s="110" t="s">
        <v>29</v>
      </c>
      <c r="I19" s="111"/>
      <c r="J19" s="112"/>
      <c r="K19" s="112"/>
      <c r="L19" s="165">
        <f>IFERROR((((COUNTIF('Elève (3ème3)'!H19:K19,"A"))*4)+((COUNTIF('Elève (3ème3)'!H19:K19,"B"))*3)+((COUNTIF('Elève (3ème3)'!H19:K19,"C"))*2)+((COUNTIF('Elève (3ème3)'!H19:K19,"D"))*1))/(COUNTA(H19:K19)),"")</f>
        <v>2</v>
      </c>
      <c r="M19" s="166" t="str">
        <f t="shared" si="24"/>
        <v>C</v>
      </c>
      <c r="N19" s="110"/>
      <c r="O19" s="111"/>
      <c r="P19" s="112"/>
      <c r="Q19" s="112" t="s">
        <v>28</v>
      </c>
      <c r="R19" s="112" t="s">
        <v>28</v>
      </c>
      <c r="S19" s="112"/>
      <c r="T19" s="165">
        <f>IFERROR((((COUNTIF('Elève (3ème3)'!N19:S19,"A"))*4)+((COUNTIF('Elève (3ème3)'!N19:S19,"B"))*3)+((COUNTIF('Elève (3ème3)'!N19:S19,"C"))*2)+((COUNTIF('Elève (3ème3)'!N19:S19,"D"))*1))/(COUNTA(N19:S19)),"")</f>
        <v>3</v>
      </c>
      <c r="U19" s="166" t="str">
        <f t="shared" si="25"/>
        <v>B</v>
      </c>
      <c r="V19" s="165">
        <f>IF(COUNT(F19,L19,T19)=0,"",SUM(F19,L19,T19)/COUNT(F19,L19,T19))</f>
        <v>2.5</v>
      </c>
      <c r="W19" s="188" t="str">
        <f t="shared" si="26"/>
        <v>C</v>
      </c>
      <c r="X19" s="110"/>
      <c r="Y19" s="111"/>
      <c r="Z19" s="112"/>
      <c r="AA19" s="165" t="str">
        <f>IFERROR((((COUNTIF('Elève (3ème3)'!X19:Z19,"A"))*4)+((COUNTIF('Elève (3ème3)'!X19:Z19,"B"))*3)+((COUNTIF('Elève (3ème3)'!X19:Z19,"C"))*2)+((COUNTIF('Elève (3ème3)'!X19:Z19,"D"))*1))/(COUNTA(X19:Z19)),"")</f>
        <v/>
      </c>
      <c r="AB19" s="166" t="str">
        <f t="shared" si="27"/>
        <v/>
      </c>
      <c r="AC19" s="110" t="s">
        <v>29</v>
      </c>
      <c r="AD19" s="111"/>
      <c r="AE19" s="112"/>
      <c r="AF19" s="112"/>
      <c r="AG19" s="165">
        <f>IFERROR((((COUNTIF('Elève (3ème3)'!AC19:AF19,"A"))*4)+((COUNTIF('Elève (3ème3)'!AC19:AF19,"B"))*3)+((COUNTIF('Elève (3ème3)'!AC19:AF19,"C"))*2)+((COUNTIF('Elève (3ème3)'!AC19:AF19,"D"))*1))/(COUNTA(AC19:AF19)),"")</f>
        <v>2</v>
      </c>
      <c r="AH19" s="166" t="str">
        <f t="shared" si="28"/>
        <v>C</v>
      </c>
      <c r="AI19" s="110"/>
      <c r="AJ19" s="111"/>
      <c r="AK19" s="112"/>
      <c r="AL19" s="112" t="s">
        <v>29</v>
      </c>
      <c r="AM19" s="112" t="s">
        <v>28</v>
      </c>
      <c r="AN19" s="116"/>
      <c r="AO19" s="165">
        <f>IFERROR((((COUNTIF('Elève (3ème3)'!AI19:AN19,"A"))*4)+((COUNTIF('Elève (3ème3)'!AI19:AN19,"B"))*3)+((COUNTIF('Elève (3ème3)'!AI19:AN19,"C"))*2)+((COUNTIF('Elève (3ème3)'!AI19:AN19,"D"))*1))/(COUNTA(AI19:AN19)),"")</f>
        <v>2.5</v>
      </c>
      <c r="AP19" s="166" t="str">
        <f t="shared" si="29"/>
        <v>C</v>
      </c>
      <c r="AQ19" s="165">
        <f>IF(COUNT(AA19,AG19,AO19)=0,"",SUM(AA19,AG19,AO19)/COUNT(AA19,AG19,AO19))</f>
        <v>2.25</v>
      </c>
      <c r="AR19" s="188" t="str">
        <f t="shared" si="30"/>
        <v>C</v>
      </c>
      <c r="AS19" s="110"/>
      <c r="AT19" s="111"/>
      <c r="AU19" s="112"/>
      <c r="AV19" s="165" t="str">
        <f>IFERROR((((COUNTIF('Elève (3ème3)'!AS19:AU19,"A"))*4)+((COUNTIF('Elève (3ème3)'!AS19:AU19,"B"))*3)+((COUNTIF('Elève (3ème3)'!AS19:AU19,"C"))*2)+((COUNTIF('Elève (3ème3)'!AS19:AU19,"D"))*1))/(COUNTA(AS19:AU19)),"")</f>
        <v/>
      </c>
      <c r="AW19" s="166" t="str">
        <f t="shared" si="31"/>
        <v/>
      </c>
      <c r="AX19" s="110" t="s">
        <v>28</v>
      </c>
      <c r="AY19" s="111"/>
      <c r="AZ19" s="112"/>
      <c r="BA19" s="112"/>
      <c r="BB19" s="165">
        <f>IFERROR((((COUNTIF('Elève (3ème3)'!AX19:BA19,"A"))*4)+((COUNTIF('Elève (3ème3)'!AX19:BA19,"B"))*3)+((COUNTIF('Elève (3ème3)'!AX19:BA19,"C"))*2)+((COUNTIF('Elève (3ème3)'!AX19:BA19,"D"))*1))/(COUNTA(AX19:BA19)),"")</f>
        <v>3</v>
      </c>
      <c r="BC19" s="166" t="str">
        <f t="shared" si="32"/>
        <v>B</v>
      </c>
      <c r="BD19" s="110"/>
      <c r="BE19" s="111"/>
      <c r="BF19" s="112"/>
      <c r="BG19" s="112" t="s">
        <v>28</v>
      </c>
      <c r="BH19" s="112" t="s">
        <v>28</v>
      </c>
      <c r="BI19" s="116"/>
      <c r="BJ19" s="165">
        <f>IFERROR((((COUNTIF('Elève (3ème3)'!BD19:BI19,"A"))*4)+((COUNTIF('Elève (3ème3)'!BD19:BI19,"B"))*3)+((COUNTIF('Elève (3ème3)'!BD19:BI19,"C"))*2)+((COUNTIF('Elève (3ème3)'!BD19:BI19,"D"))*1))/(COUNTA(BD19:BI19)),"")</f>
        <v>3</v>
      </c>
      <c r="BK19" s="166" t="str">
        <f t="shared" si="33"/>
        <v>B</v>
      </c>
      <c r="BL19" s="165">
        <f>IF(COUNT(AV19,BB19,BJ19)=0,"",SUM(AV19,BB19,BJ19)/COUNT(AV19,BB19,BJ19))</f>
        <v>3</v>
      </c>
      <c r="BM19" s="188" t="str">
        <f t="shared" si="34"/>
        <v>B</v>
      </c>
      <c r="BN19" s="110"/>
      <c r="BO19" s="111"/>
      <c r="BP19" s="112"/>
      <c r="BQ19" s="165" t="str">
        <f>IFERROR((((COUNTIF('Elève (3ème3)'!BN19:BP19,"A"))*4)+((COUNTIF('Elève (3ème3)'!BN19:BP19,"B"))*3)+((COUNTIF('Elève (3ème3)'!BN19:BP19,"C"))*2)+((COUNTIF('Elève (3ème3)'!BN19:BP19,"D"))*1))/(COUNTA(BN19:BP19)),"")</f>
        <v/>
      </c>
      <c r="BR19" s="166" t="str">
        <f t="shared" si="35"/>
        <v/>
      </c>
      <c r="BS19" s="110" t="s">
        <v>29</v>
      </c>
      <c r="BT19" s="111"/>
      <c r="BU19" s="112"/>
      <c r="BV19" s="112"/>
      <c r="BW19" s="165">
        <f>IFERROR((((COUNTIF('Elève (3ème3)'!BS19:BV19,"A"))*4)+((COUNTIF('Elève (3ème3)'!BS19:BV19,"B"))*3)+((COUNTIF('Elève (3ème3)'!BS19:BV19,"C"))*2)+((COUNTIF('Elève (3ème3)'!BS19:BV19,"D"))*1))/(COUNTA(BS19:BV19)),"")</f>
        <v>2</v>
      </c>
      <c r="BX19" s="166" t="str">
        <f t="shared" si="36"/>
        <v>C</v>
      </c>
      <c r="BY19" s="110"/>
      <c r="BZ19" s="111"/>
      <c r="CA19" s="112" t="s">
        <v>29</v>
      </c>
      <c r="CB19" s="112" t="s">
        <v>28</v>
      </c>
      <c r="CC19" s="112" t="s">
        <v>27</v>
      </c>
      <c r="CD19" s="116"/>
      <c r="CE19" s="165">
        <f>IFERROR((((COUNTIF('Elève (3ème3)'!BY19:CD19,"A"))*4)+((COUNTIF('Elève (3ème3)'!BY19:CD19,"B"))*3)+((COUNTIF('Elève (3ème3)'!BY19:CD19,"C"))*2)+((COUNTIF('Elève (3ème3)'!BY19:CD19,"D"))*1))/(COUNTA(BY19:CD19)),"")</f>
        <v>3</v>
      </c>
      <c r="CF19" s="166" t="str">
        <f t="shared" si="37"/>
        <v>B</v>
      </c>
      <c r="CG19" s="165">
        <f>IF(COUNT(BQ19,BW19,CE19)=0,"",SUM(BQ19,BW19,CE19)/COUNT(BQ19,BW19,CE19))</f>
        <v>2.5</v>
      </c>
      <c r="CH19" s="188" t="str">
        <f t="shared" si="38"/>
        <v>C</v>
      </c>
      <c r="CI19" s="110"/>
      <c r="CJ19" s="111"/>
      <c r="CK19" s="112"/>
      <c r="CL19" s="165" t="str">
        <f>IFERROR((((COUNTIF('Elève (3ème3)'!CI19:CK19,"A"))*4)+((COUNTIF('Elève (3ème3)'!CI19:CK19,"B"))*3)+((COUNTIF('Elève (3ème3)'!CI19:CK19,"C"))*2)+((COUNTIF('Elève (3ème3)'!CI19:CK19,"D"))*1))/(COUNTA(CI19:CK19)),"")</f>
        <v/>
      </c>
      <c r="CM19" s="166" t="str">
        <f t="shared" si="39"/>
        <v/>
      </c>
      <c r="CN19" s="110" t="s">
        <v>29</v>
      </c>
      <c r="CO19" s="111"/>
      <c r="CP19" s="112"/>
      <c r="CQ19" s="112"/>
      <c r="CR19" s="165">
        <f>IFERROR((((COUNTIF('Elève (3ème3)'!CN19:CQ19,"A"))*4)+((COUNTIF('Elève (3ème3)'!CN19:CQ19,"B"))*3)+((COUNTIF('Elève (3ème3)'!CN19:CQ19,"C"))*2)+((COUNTIF('Elève (3ème3)'!CN19:CQ19,"D"))*1))/(COUNTA(CN19:CQ19)),"")</f>
        <v>2</v>
      </c>
      <c r="CS19" s="166" t="str">
        <f t="shared" si="40"/>
        <v>C</v>
      </c>
      <c r="CT19" s="110"/>
      <c r="CU19" s="111"/>
      <c r="CV19" s="112" t="s">
        <v>28</v>
      </c>
      <c r="CW19" s="112" t="s">
        <v>29</v>
      </c>
      <c r="CX19" s="112" t="s">
        <v>28</v>
      </c>
      <c r="CY19" s="116"/>
      <c r="CZ19" s="165">
        <f>IFERROR((((COUNTIF('Elève (3ème3)'!CT19:CY19,"A"))*4)+((COUNTIF('Elève (3ème3)'!CT19:CY19,"B"))*3)+((COUNTIF('Elève (3ème3)'!CT19:CY19,"C"))*2)+((COUNTIF('Elève (3ème3)'!CT19:CY19,"D"))*1))/(COUNTA(CT19:CY19)),"")</f>
        <v>2.6666666666666665</v>
      </c>
      <c r="DA19" s="166" t="str">
        <f t="shared" si="41"/>
        <v>C</v>
      </c>
      <c r="DB19" s="165">
        <f>IF(COUNT(CL19,CR19,CZ19)=0,"",SUM(CL19,CR19,CZ19)/COUNT(CL19,CR19,CZ19))</f>
        <v>2.333333333333333</v>
      </c>
      <c r="DC19" s="188" t="str">
        <f t="shared" si="42"/>
        <v>C</v>
      </c>
      <c r="DD19" s="110"/>
      <c r="DE19" s="111"/>
      <c r="DF19" s="112"/>
      <c r="DG19" s="165" t="str">
        <f>IFERROR((((COUNTIF('Elève (3ème3)'!DD19:DF19,"A"))*4)+((COUNTIF('Elève (3ème3)'!DD19:DF19,"B"))*3)+((COUNTIF('Elève (3ème3)'!DD19:DF19,"C"))*2)+((COUNTIF('Elève (3ème3)'!DD19:DF19,"D"))*1))/(COUNTA(DD19:DF19)),"")</f>
        <v/>
      </c>
      <c r="DH19" s="166" t="str">
        <f t="shared" si="43"/>
        <v/>
      </c>
      <c r="DI19" s="110" t="s">
        <v>29</v>
      </c>
      <c r="DJ19" s="111"/>
      <c r="DK19" s="112"/>
      <c r="DL19" s="112"/>
      <c r="DM19" s="165">
        <f>IFERROR((((COUNTIF('Elève (3ème3)'!DI19:DL19,"A"))*4)+((COUNTIF('Elève (3ème3)'!DI19:DL19,"B"))*3)+((COUNTIF('Elève (3ème3)'!DI19:DL19,"C"))*2)+((COUNTIF('Elève (3ème3)'!DI19:DL19,"D"))*1))/(COUNTA(DI19:DL19)),"")</f>
        <v>2</v>
      </c>
      <c r="DN19" s="166" t="str">
        <f t="shared" si="44"/>
        <v>C</v>
      </c>
      <c r="DO19" s="110"/>
      <c r="DP19" s="111"/>
      <c r="DQ19" s="112" t="s">
        <v>30</v>
      </c>
      <c r="DR19" s="112" t="s">
        <v>29</v>
      </c>
      <c r="DS19" s="112" t="s">
        <v>28</v>
      </c>
      <c r="DT19" s="116"/>
      <c r="DU19" s="165">
        <f>IFERROR((((COUNTIF('Elève (3ème3)'!DO19:DT19,"A"))*4)+((COUNTIF('Elève (3ème3)'!DO19:DT19,"B"))*3)+((COUNTIF('Elève (3ème3)'!DO19:DT19,"C"))*2)+((COUNTIF('Elève (3ème3)'!DO19:DT19,"D"))*1))/(COUNTA(DO19:DT19)),"")</f>
        <v>2</v>
      </c>
      <c r="DV19" s="166" t="str">
        <f t="shared" si="45"/>
        <v>C</v>
      </c>
      <c r="DW19" s="165">
        <f>IF(COUNT(DG19,DM19,DU19)=0,"",SUM(DG19,DM19,DU19)/COUNT(DG19,DM19,DU19))</f>
        <v>2</v>
      </c>
      <c r="DX19" s="188" t="str">
        <f t="shared" si="46"/>
        <v>C</v>
      </c>
      <c r="DY19" s="110"/>
      <c r="DZ19" s="111"/>
      <c r="EA19" s="112"/>
      <c r="EB19" s="165" t="str">
        <f>IFERROR((((COUNTIF('Elève (3ème3)'!DY19:EA19,"A"))*4)+((COUNTIF('Elève (3ème3)'!DY19:EA19,"B"))*3)+((COUNTIF('Elève (3ème3)'!DY19:EA19,"C"))*2)+((COUNTIF('Elève (3ème3)'!DY19:EA19,"D"))*1))/(COUNTA(DY19:EA19)),"")</f>
        <v/>
      </c>
      <c r="EC19" s="166" t="str">
        <f t="shared" si="47"/>
        <v/>
      </c>
      <c r="ED19" s="110" t="s">
        <v>30</v>
      </c>
      <c r="EE19" s="111"/>
      <c r="EF19" s="112"/>
      <c r="EG19" s="112"/>
      <c r="EH19" s="165">
        <f>IFERROR((((COUNTIF('Elève (3ème3)'!ED19:EG19,"A"))*4)+((COUNTIF('Elève (3ème3)'!ED19:EG19,"B"))*3)+((COUNTIF('Elève (3ème3)'!ED19:EG19,"C"))*2)+((COUNTIF('Elève (3ème3)'!ED19:EG19,"D"))*1))/(COUNTA(ED19:EG19)),"")</f>
        <v>1</v>
      </c>
      <c r="EI19" s="166" t="str">
        <f t="shared" si="48"/>
        <v>D</v>
      </c>
      <c r="EJ19" s="110"/>
      <c r="EK19" s="111"/>
      <c r="EL19" s="112" t="s">
        <v>28</v>
      </c>
      <c r="EM19" s="112" t="s">
        <v>28</v>
      </c>
      <c r="EN19" s="112" t="s">
        <v>28</v>
      </c>
      <c r="EO19" s="116"/>
      <c r="EP19" s="165">
        <f>IFERROR((((COUNTIF('Elève (3ème3)'!EJ19:EO19,"A"))*4)+((COUNTIF('Elève (3ème3)'!EJ19:EO19,"B"))*3)+((COUNTIF('Elève (3ème3)'!EJ19:EO19,"C"))*2)+((COUNTIF('Elève (3ème3)'!EJ19:EO19,"D"))*1))/(COUNTA(EJ19:EO19)),"")</f>
        <v>3</v>
      </c>
      <c r="EQ19" s="166" t="str">
        <f t="shared" si="49"/>
        <v>B</v>
      </c>
      <c r="ER19" s="165">
        <f>IF(COUNT(EB19,EH19,EP19)=0,"",SUM(EB19,EH19,EP19)/COUNT(EB19,EH19,EP19))</f>
        <v>2</v>
      </c>
      <c r="ES19" s="188" t="str">
        <f t="shared" si="50"/>
        <v>C</v>
      </c>
      <c r="ET19" s="110"/>
      <c r="EU19" s="111"/>
      <c r="EV19" s="112"/>
      <c r="EW19" s="165" t="str">
        <f>IFERROR((((COUNTIF('Elève (3ème3)'!ET19:EV19,"A"))*4)+((COUNTIF('Elève (3ème3)'!ET19:EV19,"B"))*3)+((COUNTIF('Elève (3ème3)'!ET19:EV19,"C"))*2)+((COUNTIF('Elève (3ème3)'!ET19:EV19,"D"))*1))/(COUNTA(ET19:EV19)),"")</f>
        <v/>
      </c>
      <c r="EX19" s="166" t="str">
        <f t="shared" si="51"/>
        <v/>
      </c>
      <c r="EY19" s="110" t="s">
        <v>28</v>
      </c>
      <c r="EZ19" s="111"/>
      <c r="FA19" s="112"/>
      <c r="FB19" s="112"/>
      <c r="FC19" s="165">
        <f>IFERROR((((COUNTIF('Elève (3ème3)'!EY19:FB19,"A"))*4)+((COUNTIF('Elève (3ème3)'!EY19:FB19,"B"))*3)+((COUNTIF('Elève (3ème3)'!EY19:FB19,"C"))*2)+((COUNTIF('Elève (3ème3)'!EY19:FB19,"D"))*1))/(COUNTA(EY19:FB19)),"")</f>
        <v>3</v>
      </c>
      <c r="FD19" s="166" t="str">
        <f t="shared" si="52"/>
        <v>B</v>
      </c>
      <c r="FE19" s="110"/>
      <c r="FF19" s="111"/>
      <c r="FG19" s="112" t="s">
        <v>28</v>
      </c>
      <c r="FH19" s="112" t="s">
        <v>28</v>
      </c>
      <c r="FI19" s="112" t="s">
        <v>27</v>
      </c>
      <c r="FJ19" s="116"/>
      <c r="FK19" s="165">
        <f>IFERROR((((COUNTIF('Elève (3ème3)'!FE19:FJ19,"A"))*4)+((COUNTIF('Elève (3ème3)'!FE19:FJ19,"B"))*3)+((COUNTIF('Elève (3ème3)'!FE19:FJ19,"C"))*2)+((COUNTIF('Elève (3ème3)'!FE19:FJ19,"D"))*1))/(COUNTA(FE19:FJ19)),"")</f>
        <v>3.3333333333333335</v>
      </c>
      <c r="FL19" s="166" t="str">
        <f t="shared" si="53"/>
        <v>B</v>
      </c>
      <c r="FM19" s="165">
        <f>IF(COUNT(EW19,FC19,FK19)=0,"",SUM(EW19,FC19,FK19)/COUNT(EW19,FC19,FK19))</f>
        <v>3.166666666666667</v>
      </c>
      <c r="FN19" s="188" t="str">
        <f t="shared" si="54"/>
        <v>B</v>
      </c>
      <c r="FO19" s="110"/>
      <c r="FP19" s="111"/>
      <c r="FQ19" s="112"/>
      <c r="FR19" s="165" t="str">
        <f>IFERROR((((COUNTIF('Elève (3ème3)'!FO19:FQ19,"A"))*4)+((COUNTIF('Elève (3ème3)'!FO19:FQ19,"B"))*3)+((COUNTIF('Elève (3ème3)'!FO19:FQ19,"C"))*2)+((COUNTIF('Elève (3ème3)'!FO19:FQ19,"D"))*1))/(COUNTA(FO19:FQ19)),"")</f>
        <v/>
      </c>
      <c r="FS19" s="166" t="str">
        <f t="shared" si="55"/>
        <v/>
      </c>
      <c r="FT19" s="110" t="s">
        <v>29</v>
      </c>
      <c r="FU19" s="111"/>
      <c r="FV19" s="112"/>
      <c r="FW19" s="112"/>
      <c r="FX19" s="165">
        <f>IFERROR((((COUNTIF('Elève (3ème3)'!FT19:FW19,"A"))*4)+((COUNTIF('Elève (3ème3)'!FT19:FW19,"B"))*3)+((COUNTIF('Elève (3ème3)'!FT19:FW19,"C"))*2)+((COUNTIF('Elève (3ème3)'!FT19:FW19,"D"))*1))/(COUNTA(FT19:FW19)),"")</f>
        <v>2</v>
      </c>
      <c r="FY19" s="166" t="str">
        <f t="shared" si="56"/>
        <v>C</v>
      </c>
      <c r="FZ19" s="110"/>
      <c r="GA19" s="111"/>
      <c r="GB19" s="112" t="s">
        <v>28</v>
      </c>
      <c r="GC19" s="112" t="s">
        <v>28</v>
      </c>
      <c r="GD19" s="112" t="s">
        <v>28</v>
      </c>
      <c r="GE19" s="116"/>
      <c r="GF19" s="165">
        <f>IFERROR((((COUNTIF('Elève (3ème3)'!FZ19:GE19,"A"))*4)+((COUNTIF('Elève (3ème3)'!FZ19:GE19,"B"))*3)+((COUNTIF('Elève (3ème3)'!FZ19:GE19,"C"))*2)+((COUNTIF('Elève (3ème3)'!FZ19:GE19,"D"))*1))/(COUNTA(FZ19:GE19)),"")</f>
        <v>3</v>
      </c>
      <c r="GG19" s="166" t="str">
        <f t="shared" si="57"/>
        <v>B</v>
      </c>
      <c r="GH19" s="165">
        <f>IF(COUNT(FR19,FX19,GF19)=0,"",SUM(FR19,FX19,GF19)/COUNT(FR19,FX19,GF19))</f>
        <v>2.5</v>
      </c>
      <c r="GI19" s="188" t="str">
        <f t="shared" si="58"/>
        <v>C</v>
      </c>
      <c r="GJ19" s="110"/>
      <c r="GK19" s="111"/>
      <c r="GL19" s="112"/>
      <c r="GM19" s="165" t="str">
        <f>IFERROR((((COUNTIF('Elève (3ème3)'!GJ19:GL19,"A"))*4)+((COUNTIF('Elève (3ème3)'!GJ19:GL19,"B"))*3)+((COUNTIF('Elève (3ème3)'!GJ19:GL19,"C"))*2)+((COUNTIF('Elève (3ème3)'!GJ19:GL19,"D"))*1))/(COUNTA(GJ19:GL19)),"")</f>
        <v/>
      </c>
      <c r="GN19" s="166" t="str">
        <f t="shared" si="59"/>
        <v/>
      </c>
      <c r="GO19" s="110" t="s">
        <v>29</v>
      </c>
      <c r="GP19" s="111"/>
      <c r="GQ19" s="112"/>
      <c r="GR19" s="112"/>
      <c r="GS19" s="165">
        <f>IFERROR((((COUNTIF('Elève (3ème3)'!GO19:GR19,"A"))*4)+((COUNTIF('Elève (3ème3)'!GO19:GR19,"B"))*3)+((COUNTIF('Elève (3ème3)'!GO19:GR19,"C"))*2)+((COUNTIF('Elève (3ème3)'!GO19:GR19,"D"))*1))/(COUNTA(GO19:GR19)),"")</f>
        <v>2</v>
      </c>
      <c r="GT19" s="166" t="str">
        <f t="shared" si="60"/>
        <v>C</v>
      </c>
      <c r="GU19" s="110"/>
      <c r="GV19" s="111"/>
      <c r="GW19" s="112" t="s">
        <v>28</v>
      </c>
      <c r="GX19" s="112" t="s">
        <v>28</v>
      </c>
      <c r="GY19" s="112" t="s">
        <v>27</v>
      </c>
      <c r="GZ19" s="116"/>
      <c r="HA19" s="165">
        <f>IFERROR((((COUNTIF('Elève (3ème3)'!GU19:GZ19,"A"))*4)+((COUNTIF('Elève (3ème3)'!GU19:GZ19,"B"))*3)+((COUNTIF('Elève (3ème3)'!GU19:GZ19,"C"))*2)+((COUNTIF('Elève (3ème3)'!GU19:GZ19,"D"))*1))/(COUNTA(GU19:GZ19)),"")</f>
        <v>3.3333333333333335</v>
      </c>
      <c r="HB19" s="166" t="str">
        <f t="shared" si="61"/>
        <v>B</v>
      </c>
      <c r="HC19" s="165">
        <f>IF(COUNT(GM19,GS19,HA19)=0,"",SUM(GM19,GS19,HA19)/COUNT(GM19,GS19,HA19))</f>
        <v>2.666666666666667</v>
      </c>
      <c r="HD19" s="188" t="str">
        <f t="shared" si="62"/>
        <v>C</v>
      </c>
      <c r="HE19" s="110"/>
      <c r="HF19" s="111"/>
      <c r="HG19" s="112"/>
      <c r="HH19" s="165" t="str">
        <f>IFERROR((((COUNTIF('Elève (3ème3)'!HE19:HG19,"A"))*4)+((COUNTIF('Elève (3ème3)'!HE19:HG19,"B"))*3)+((COUNTIF('Elève (3ème3)'!HE19:HG19,"C"))*2)+((COUNTIF('Elève (3ème3)'!HE19:HG19,"D"))*1))/(COUNTA(HE19:HG19)),"")</f>
        <v/>
      </c>
      <c r="HI19" s="166" t="str">
        <f t="shared" si="63"/>
        <v/>
      </c>
      <c r="HJ19" s="110" t="s">
        <v>29</v>
      </c>
      <c r="HK19" s="111"/>
      <c r="HL19" s="112"/>
      <c r="HM19" s="112"/>
      <c r="HN19" s="165">
        <f>IFERROR((((COUNTIF('Elève (3ème3)'!HJ19:HM19,"A"))*4)+((COUNTIF('Elève (3ème3)'!HJ19:HM19,"B"))*3)+((COUNTIF('Elève (3ème3)'!HJ19:HM19,"C"))*2)+((COUNTIF('Elève (3ème3)'!HJ19:HM19,"D"))*1))/(COUNTA(HJ19:HM19)),"")</f>
        <v>2</v>
      </c>
      <c r="HO19" s="166" t="str">
        <f t="shared" si="64"/>
        <v>C</v>
      </c>
      <c r="HP19" s="110"/>
      <c r="HQ19" s="111"/>
      <c r="HR19" s="112" t="s">
        <v>29</v>
      </c>
      <c r="HS19" s="112" t="s">
        <v>28</v>
      </c>
      <c r="HT19" s="112" t="s">
        <v>27</v>
      </c>
      <c r="HU19" s="116"/>
      <c r="HV19" s="165">
        <f>IFERROR((((COUNTIF('Elève (3ème3)'!HP19:HU19,"A"))*4)+((COUNTIF('Elève (3ème3)'!HP19:HU19,"B"))*3)+((COUNTIF('Elève (3ème3)'!HP19:HU19,"C"))*2)+((COUNTIF('Elève (3ème3)'!HP19:HU19,"D"))*1))/(COUNTA(HP19:HU19)),"")</f>
        <v>3</v>
      </c>
      <c r="HW19" s="166" t="str">
        <f t="shared" si="65"/>
        <v>B</v>
      </c>
      <c r="HX19" s="165">
        <f>IF(COUNT(HH19,HN19,HV19)=0,"",SUM(HH19,HN19,HV19)/COUNT(HH19,HN19,HV19))</f>
        <v>2.5</v>
      </c>
      <c r="HY19" s="188" t="str">
        <f t="shared" si="66"/>
        <v>C</v>
      </c>
      <c r="HZ19" s="110"/>
      <c r="IA19" s="111"/>
      <c r="IB19" s="112"/>
      <c r="IC19" s="165" t="str">
        <f>IFERROR((((COUNTIF('Elève (3ème3)'!HZ19:IB19,"A"))*4)+((COUNTIF('Elève (3ème3)'!HZ19:IB19,"B"))*3)+((COUNTIF('Elève (3ème3)'!HZ19:IB19,"C"))*2)+((COUNTIF('Elève (3ème3)'!HZ19:IB19,"D"))*1))/(COUNTA(HZ19:IB19)),"")</f>
        <v/>
      </c>
      <c r="ID19" s="166" t="str">
        <f t="shared" si="67"/>
        <v/>
      </c>
      <c r="IE19" s="110" t="s">
        <v>29</v>
      </c>
      <c r="IF19" s="111"/>
      <c r="IG19" s="112"/>
      <c r="IH19" s="112"/>
      <c r="II19" s="165">
        <f>IFERROR((((COUNTIF('Elève (3ème3)'!IE19:IH19,"A"))*4)+((COUNTIF('Elève (3ème3)'!IE19:IH19,"B"))*3)+((COUNTIF('Elève (3ème3)'!IE19:IH19,"C"))*2)+((COUNTIF('Elève (3ème3)'!IE19:IH19,"D"))*1))/(COUNTA(IE19:IH19)),"")</f>
        <v>2</v>
      </c>
      <c r="IJ19" s="166" t="str">
        <f t="shared" si="68"/>
        <v>C</v>
      </c>
      <c r="IK19" s="110"/>
      <c r="IL19" s="111"/>
      <c r="IM19" s="112" t="s">
        <v>28</v>
      </c>
      <c r="IN19" s="112" t="s">
        <v>29</v>
      </c>
      <c r="IO19" s="112" t="s">
        <v>28</v>
      </c>
      <c r="IP19" s="116"/>
      <c r="IQ19" s="165">
        <f>IFERROR((((COUNTIF('Elève (3ème3)'!IK19:IP19,"A"))*4)+((COUNTIF('Elève (3ème3)'!IK19:IP19,"B"))*3)+((COUNTIF('Elève (3ème3)'!IK19:IP19,"C"))*2)+((COUNTIF('Elève (3ème3)'!IK19:IP19,"D"))*1))/(COUNTA(IK19:IP19)),"")</f>
        <v>2.6666666666666665</v>
      </c>
      <c r="IR19" s="166" t="str">
        <f t="shared" si="69"/>
        <v>C</v>
      </c>
      <c r="IS19" s="165">
        <f>IF(COUNT(IC19,II19,IQ19)=0,"",SUM(IC19,II19,IQ19)/COUNT(IC19,II19,IQ19))</f>
        <v>2.333333333333333</v>
      </c>
      <c r="IT19" s="188" t="str">
        <f t="shared" si="70"/>
        <v>C</v>
      </c>
      <c r="IU19" s="110"/>
      <c r="IV19" s="111"/>
      <c r="IW19" s="112"/>
      <c r="IX19" s="165" t="str">
        <f>IFERROR((((COUNTIF('Elève (3ème3)'!IU19:IW19,"A"))*4)+((COUNTIF('Elève (3ème3)'!IU19:IW19,"B"))*3)+((COUNTIF('Elève (3ème3)'!IU19:IW19,"C"))*2)+((COUNTIF('Elève (3ème3)'!IU19:IW19,"D"))*1))/(COUNTA(IU19:IW19)),"")</f>
        <v/>
      </c>
      <c r="IY19" s="166" t="str">
        <f t="shared" si="71"/>
        <v/>
      </c>
      <c r="IZ19" s="110" t="s">
        <v>29</v>
      </c>
      <c r="JA19" s="111"/>
      <c r="JB19" s="112"/>
      <c r="JC19" s="112"/>
      <c r="JD19" s="165">
        <f>IFERROR((((COUNTIF('Elève (3ème3)'!IZ19:JC19,"A"))*4)+((COUNTIF('Elève (3ème3)'!IZ19:JC19,"B"))*3)+((COUNTIF('Elève (3ème3)'!IZ19:JC19,"C"))*2)+((COUNTIF('Elève (3ème3)'!IZ19:JC19,"D"))*1))/(COUNTA(IZ19:JC19)),"")</f>
        <v>2</v>
      </c>
      <c r="JE19" s="166" t="str">
        <f t="shared" si="72"/>
        <v>C</v>
      </c>
      <c r="JF19" s="110"/>
      <c r="JG19" s="111"/>
      <c r="JH19" s="112" t="s">
        <v>29</v>
      </c>
      <c r="JI19" s="112" t="s">
        <v>28</v>
      </c>
      <c r="JJ19" s="112" t="s">
        <v>28</v>
      </c>
      <c r="JK19" s="116"/>
      <c r="JL19" s="165">
        <f>IFERROR((((COUNTIF('Elève (3ème3)'!JF19:JK19,"A"))*4)+((COUNTIF('Elève (3ème3)'!JF19:JK19,"B"))*3)+((COUNTIF('Elève (3ème3)'!JF19:JK19,"C"))*2)+((COUNTIF('Elève (3ème3)'!JF19:JK19,"D"))*1))/(COUNTA(JF19:JK19)),"")</f>
        <v>2.6666666666666665</v>
      </c>
      <c r="JM19" s="166" t="str">
        <f t="shared" si="73"/>
        <v>C</v>
      </c>
      <c r="JN19" s="165">
        <f>IF(COUNT(IX19,JD19,JL19)=0,"",SUM(IX19,JD19,JL19)/COUNT(IX19,JD19,JL19))</f>
        <v>2.333333333333333</v>
      </c>
      <c r="JO19" s="188" t="str">
        <f t="shared" si="74"/>
        <v>C</v>
      </c>
      <c r="JP19" s="110"/>
      <c r="JQ19" s="111"/>
      <c r="JR19" s="112"/>
      <c r="JS19" s="165" t="str">
        <f>IFERROR((((COUNTIF('Elève (3ème3)'!JP19:JR19,"A"))*4)+((COUNTIF('Elève (3ème3)'!JP19:JR19,"B"))*3)+((COUNTIF('Elève (3ème3)'!JP19:JR19,"C"))*2)+((COUNTIF('Elève (3ème3)'!JP19:JR19,"D"))*1))/(COUNTA(JP19:JR19)),"")</f>
        <v/>
      </c>
      <c r="JT19" s="166" t="str">
        <f t="shared" si="75"/>
        <v/>
      </c>
      <c r="JU19" s="110" t="s">
        <v>29</v>
      </c>
      <c r="JV19" s="111"/>
      <c r="JW19" s="112"/>
      <c r="JX19" s="112"/>
      <c r="JY19" s="165">
        <f>IFERROR((((COUNTIF('Elève (3ème3)'!JU19:JX19,"A"))*4)+((COUNTIF('Elève (3ème3)'!JU19:JX19,"B"))*3)+((COUNTIF('Elève (3ème3)'!JU19:JX19,"C"))*2)+((COUNTIF('Elève (3ème3)'!JU19:JX19,"D"))*1))/(COUNTA(JU19:JX19)),"")</f>
        <v>2</v>
      </c>
      <c r="JZ19" s="166" t="str">
        <f t="shared" si="76"/>
        <v>C</v>
      </c>
      <c r="KA19" s="110"/>
      <c r="KB19" s="111"/>
      <c r="KC19" s="112" t="s">
        <v>28</v>
      </c>
      <c r="KD19" s="112" t="s">
        <v>28</v>
      </c>
      <c r="KE19" s="112" t="s">
        <v>29</v>
      </c>
      <c r="KF19" s="116"/>
      <c r="KG19" s="165">
        <f>IFERROR((((COUNTIF('Elève (3ème3)'!KA19:KF19,"A"))*4)+((COUNTIF('Elève (3ème3)'!KA19:KF19,"B"))*3)+((COUNTIF('Elève (3ème3)'!KA19:KF19,"C"))*2)+((COUNTIF('Elève (3ème3)'!KA19:KF19,"D"))*1))/(COUNTA(KA19:KF19)),"")</f>
        <v>2.6666666666666665</v>
      </c>
      <c r="KH19" s="166" t="str">
        <f t="shared" si="77"/>
        <v>C</v>
      </c>
      <c r="KI19" s="165">
        <f>IF(COUNT(JS19,JY19,KG19)=0,"",SUM(JS19,JY19,KG19)/COUNT(JS19,JY19,KG19))</f>
        <v>2.333333333333333</v>
      </c>
      <c r="KJ19" s="188" t="str">
        <f t="shared" si="78"/>
        <v>C</v>
      </c>
      <c r="KK19" s="110"/>
      <c r="KL19" s="111"/>
      <c r="KM19" s="112"/>
      <c r="KN19" s="165" t="str">
        <f>IFERROR((((COUNTIF('Elève (3ème3)'!KK19:KM19,"A"))*4)+((COUNTIF('Elève (3ème3)'!KK19:KM19,"B"))*3)+((COUNTIF('Elève (3ème3)'!KK19:KM19,"C"))*2)+((COUNTIF('Elève (3ème3)'!KK19:KM19,"D"))*1))/(COUNTA(KK19:KM19)),"")</f>
        <v/>
      </c>
      <c r="KO19" s="166" t="str">
        <f t="shared" si="79"/>
        <v/>
      </c>
      <c r="KP19" s="110" t="s">
        <v>29</v>
      </c>
      <c r="KQ19" s="111"/>
      <c r="KR19" s="112"/>
      <c r="KS19" s="112"/>
      <c r="KT19" s="165">
        <f>IFERROR((((COUNTIF('Elève (3ème3)'!KP19:KS19,"A"))*4)+((COUNTIF('Elève (3ème3)'!KP19:KS19,"B"))*3)+((COUNTIF('Elève (3ème3)'!KP19:KS19,"C"))*2)+((COUNTIF('Elève (3ème3)'!KP19:KS19,"D"))*1))/(COUNTA(KP19:KS19)),"")</f>
        <v>2</v>
      </c>
      <c r="KU19" s="166" t="str">
        <f t="shared" si="80"/>
        <v>C</v>
      </c>
      <c r="KV19" s="110" t="s">
        <v>27</v>
      </c>
      <c r="KW19" s="111"/>
      <c r="KX19" s="112" t="s">
        <v>29</v>
      </c>
      <c r="KY19" s="112" t="s">
        <v>29</v>
      </c>
      <c r="KZ19" s="112" t="s">
        <v>30</v>
      </c>
      <c r="LA19" s="116"/>
      <c r="LB19" s="165">
        <f>IFERROR((((COUNTIF('Elève (3ème3)'!KV19:LA19,"A"))*4)+((COUNTIF('Elève (3ème3)'!KV19:LA19,"B"))*3)+((COUNTIF('Elève (3ème3)'!KV19:LA19,"C"))*2)+((COUNTIF('Elève (3ème3)'!KV19:LA19,"D"))*1))/(COUNTA(KV19:LA19)),"")</f>
        <v>2.25</v>
      </c>
      <c r="LC19" s="166" t="str">
        <f t="shared" si="81"/>
        <v>C</v>
      </c>
      <c r="LD19" s="165">
        <f>IF(COUNT(KN19,KT19,LB19)=0,"",SUM(KN19,KT19,LB19)/COUNT(KN19,KT19,LB19))</f>
        <v>2.125</v>
      </c>
      <c r="LE19" s="188" t="str">
        <f t="shared" si="82"/>
        <v>C</v>
      </c>
      <c r="LF19" s="110"/>
      <c r="LG19" s="111"/>
      <c r="LH19" s="112"/>
      <c r="LI19" s="165" t="str">
        <f>IFERROR((((COUNTIF('Elève (3ème3)'!LF19:LH19,"A"))*4)+((COUNTIF('Elève (3ème3)'!LF19:LH19,"B"))*3)+((COUNTIF('Elève (3ème3)'!LF19:LH19,"C"))*2)+((COUNTIF('Elève (3ème3)'!LF19:LH19,"D"))*1))/(COUNTA(LF19:LH19)),"")</f>
        <v/>
      </c>
      <c r="LJ19" s="166" t="str">
        <f t="shared" si="83"/>
        <v/>
      </c>
      <c r="LK19" s="110" t="s">
        <v>29</v>
      </c>
      <c r="LL19" s="111"/>
      <c r="LM19" s="112"/>
      <c r="LN19" s="112"/>
      <c r="LO19" s="165">
        <f>IFERROR((((COUNTIF('Elève (3ème3)'!LK19:LN19,"A"))*4)+((COUNTIF('Elève (3ème3)'!LK19:LN19,"B"))*3)+((COUNTIF('Elève (3ème3)'!LK19:LN19,"C"))*2)+((COUNTIF('Elève (3ème3)'!LK19:LN19,"D"))*1))/(COUNTA(LK19:LN19)),"")</f>
        <v>2</v>
      </c>
      <c r="LP19" s="166" t="str">
        <f t="shared" si="84"/>
        <v>C</v>
      </c>
      <c r="LQ19" s="110"/>
      <c r="LR19" s="111"/>
      <c r="LS19" s="112" t="s">
        <v>29</v>
      </c>
      <c r="LT19" s="112" t="s">
        <v>29</v>
      </c>
      <c r="LU19" s="112" t="s">
        <v>29</v>
      </c>
      <c r="LV19" s="116"/>
      <c r="LW19" s="165">
        <f>IFERROR((((COUNTIF('Elève (3ème3)'!LQ19:LV19,"A"))*4)+((COUNTIF('Elève (3ème3)'!LQ19:LV19,"B"))*3)+((COUNTIF('Elève (3ème3)'!LQ19:LV19,"C"))*2)+((COUNTIF('Elève (3ème3)'!LQ19:LV19,"D"))*1))/(COUNTA(LQ19:LV19)),"")</f>
        <v>2</v>
      </c>
      <c r="LX19" s="166" t="str">
        <f t="shared" si="85"/>
        <v>C</v>
      </c>
      <c r="LY19" s="165">
        <f>IF(COUNT(LI19,LO19,LW19)=0,"",SUM(LI19,LO19,LW19)/COUNT(LI19,LO19,LW19))</f>
        <v>2</v>
      </c>
      <c r="LZ19" s="188" t="str">
        <f t="shared" si="86"/>
        <v>C</v>
      </c>
      <c r="MA19" s="110"/>
      <c r="MB19" s="111"/>
      <c r="MC19" s="112"/>
      <c r="MD19" s="165" t="str">
        <f>IFERROR((((COUNTIF('Elève (3ème3)'!MA19:MC19,"A"))*4)+((COUNTIF('Elève (3ème3)'!MA19:MC19,"B"))*3)+((COUNTIF('Elève (3ème3)'!MA19:MC19,"C"))*2)+((COUNTIF('Elève (3ème3)'!MA19:MC19,"D"))*1))/(COUNTA(MA19:MC19)),"")</f>
        <v/>
      </c>
      <c r="ME19" s="166" t="str">
        <f t="shared" si="87"/>
        <v/>
      </c>
      <c r="MF19" s="110" t="s">
        <v>29</v>
      </c>
      <c r="MG19" s="111"/>
      <c r="MH19" s="112"/>
      <c r="MI19" s="112"/>
      <c r="MJ19" s="165">
        <f>IFERROR((((COUNTIF('Elève (3ème3)'!MF19:MI19,"A"))*4)+((COUNTIF('Elève (3ème3)'!MF19:MI19,"B"))*3)+((COUNTIF('Elève (3ème3)'!MF19:MI19,"C"))*2)+((COUNTIF('Elève (3ème3)'!MF19:MI19,"D"))*1))/(COUNTA(MF19:MI19)),"")</f>
        <v>2</v>
      </c>
      <c r="MK19" s="166" t="str">
        <f t="shared" si="88"/>
        <v>C</v>
      </c>
      <c r="ML19" s="110"/>
      <c r="MM19" s="111"/>
      <c r="MN19" s="112" t="s">
        <v>29</v>
      </c>
      <c r="MO19" s="112" t="s">
        <v>30</v>
      </c>
      <c r="MP19" s="112" t="s">
        <v>30</v>
      </c>
      <c r="MQ19" s="116"/>
      <c r="MR19" s="165">
        <f>IFERROR((((COUNTIF('Elève (3ème3)'!ML19:MQ19,"A"))*4)+((COUNTIF('Elève (3ème3)'!ML19:MQ19,"B"))*3)+((COUNTIF('Elève (3ème3)'!ML19:MQ19,"C"))*2)+((COUNTIF('Elève (3ème3)'!ML19:MQ19,"D"))*1))/(COUNTA(ML19:MQ19)),"")</f>
        <v>1.3333333333333333</v>
      </c>
      <c r="MS19" s="166" t="str">
        <f t="shared" si="89"/>
        <v>D</v>
      </c>
      <c r="MT19" s="165">
        <f>IF(COUNT(MD19,MJ19,MR19)=0,"",SUM(MD19,MJ19,MR19)/COUNT(MD19,MJ19,MR19))</f>
        <v>1.6666666666666665</v>
      </c>
      <c r="MU19" s="188" t="str">
        <f t="shared" si="90"/>
        <v>C</v>
      </c>
      <c r="MV19" s="110"/>
      <c r="MW19" s="111"/>
      <c r="MX19" s="112"/>
      <c r="MY19" s="165" t="str">
        <f>IFERROR((((COUNTIF('Elève (3ème3)'!MV19:MX19,"A"))*4)+((COUNTIF('Elève (3ème3)'!MV19:MX19,"B"))*3)+((COUNTIF('Elève (3ème3)'!MV19:MX19,"C"))*2)+((COUNTIF('Elève (3ème3)'!MV19:MX19,"D"))*1))/(COUNTA(MV19:MX19)),"")</f>
        <v/>
      </c>
      <c r="MZ19" s="166" t="str">
        <f t="shared" si="91"/>
        <v/>
      </c>
      <c r="NA19" s="110" t="s">
        <v>29</v>
      </c>
      <c r="NB19" s="111"/>
      <c r="NC19" s="112"/>
      <c r="ND19" s="112"/>
      <c r="NE19" s="165">
        <f>IFERROR((((COUNTIF('Elève (3ème3)'!NA19:ND19,"A"))*4)+((COUNTIF('Elève (3ème3)'!NA19:ND19,"B"))*3)+((COUNTIF('Elève (3ème3)'!NA19:ND19,"C"))*2)+((COUNTIF('Elève (3ème3)'!NA19:ND19,"D"))*1))/(COUNTA(NA19:ND19)),"")</f>
        <v>2</v>
      </c>
      <c r="NF19" s="166" t="str">
        <f t="shared" si="92"/>
        <v>C</v>
      </c>
      <c r="NG19" s="110"/>
      <c r="NH19" s="111"/>
      <c r="NI19" s="112" t="s">
        <v>29</v>
      </c>
      <c r="NJ19" s="112" t="s">
        <v>29</v>
      </c>
      <c r="NK19" s="112" t="s">
        <v>29</v>
      </c>
      <c r="NL19" s="116"/>
      <c r="NM19" s="165">
        <f>IFERROR((((COUNTIF('Elève (3ème3)'!NG19:NL19,"A"))*4)+((COUNTIF('Elève (3ème3)'!NG19:NL19,"B"))*3)+((COUNTIF('Elève (3ème3)'!NG19:NL19,"C"))*2)+((COUNTIF('Elève (3ème3)'!NG19:NL19,"D"))*1))/(COUNTA(NG19:NL19)),"")</f>
        <v>2</v>
      </c>
      <c r="NN19" s="166" t="str">
        <f t="shared" si="93"/>
        <v>C</v>
      </c>
      <c r="NO19" s="165">
        <f>IF(COUNT(MY19,NE19,NM19)=0,"",SUM(MY19,NE19,NM19)/COUNT(MY19,NE19,NM19))</f>
        <v>2</v>
      </c>
      <c r="NP19" s="188" t="str">
        <f t="shared" si="94"/>
        <v>C</v>
      </c>
      <c r="NQ19" s="110"/>
      <c r="NR19" s="111"/>
      <c r="NS19" s="112"/>
      <c r="NT19" s="165" t="str">
        <f>IFERROR((((COUNTIF('Elève (3ème3)'!NQ19:NS19,"A"))*4)+((COUNTIF('Elève (3ème3)'!NQ19:NS19,"B"))*3)+((COUNTIF('Elève (3ème3)'!NQ19:NS19,"C"))*2)+((COUNTIF('Elève (3ème3)'!NQ19:NS19,"D"))*1))/(COUNTA(NQ19:NS19)),"")</f>
        <v/>
      </c>
      <c r="NU19" s="166" t="str">
        <f t="shared" si="95"/>
        <v/>
      </c>
      <c r="NV19" s="110" t="s">
        <v>28</v>
      </c>
      <c r="NW19" s="111"/>
      <c r="NX19" s="112"/>
      <c r="NY19" s="112"/>
      <c r="NZ19" s="165">
        <f>IFERROR((((COUNTIF('Elève (3ème3)'!NV19:NY19,"A"))*4)+((COUNTIF('Elève (3ème3)'!NV19:NY19,"B"))*3)+((COUNTIF('Elève (3ème3)'!NV19:NY19,"C"))*2)+((COUNTIF('Elève (3ème3)'!NV19:NY19,"D"))*1))/(COUNTA(NV19:NY19)),"")</f>
        <v>3</v>
      </c>
      <c r="OA19" s="166" t="str">
        <f t="shared" si="96"/>
        <v>B</v>
      </c>
      <c r="OB19" s="110"/>
      <c r="OC19" s="111"/>
      <c r="OD19" s="112" t="s">
        <v>28</v>
      </c>
      <c r="OE19" s="112" t="s">
        <v>28</v>
      </c>
      <c r="OF19" s="112" t="s">
        <v>28</v>
      </c>
      <c r="OG19" s="116"/>
      <c r="OH19" s="165">
        <f>IFERROR((((COUNTIF('Elève (3ème3)'!OB19:OG19,"A"))*4)+((COUNTIF('Elève (3ème3)'!OB19:OG19,"B"))*3)+((COUNTIF('Elève (3ème3)'!OB19:OG19,"C"))*2)+((COUNTIF('Elève (3ème3)'!OB19:OG19,"D"))*1))/(COUNTA(OB19:OG19)),"")</f>
        <v>3</v>
      </c>
      <c r="OI19" s="166" t="str">
        <f t="shared" si="97"/>
        <v>B</v>
      </c>
      <c r="OJ19" s="165">
        <f>IF(COUNT(NT19,NZ19,OH19)=0,"",SUM(NT19,NZ19,OH19)/COUNT(NT19,NZ19,OH19))</f>
        <v>3</v>
      </c>
      <c r="OK19" s="188" t="str">
        <f t="shared" si="98"/>
        <v>B</v>
      </c>
      <c r="OL19" s="110"/>
      <c r="OM19" s="111"/>
      <c r="ON19" s="112"/>
      <c r="OO19" s="165" t="str">
        <f>IFERROR((((COUNTIF('Elève (3ème3)'!OL19:ON19,"A"))*4)+((COUNTIF('Elève (3ème3)'!OL19:ON19,"B"))*3)+((COUNTIF('Elève (3ème3)'!OL19:ON19,"C"))*2)+((COUNTIF('Elève (3ème3)'!OL19:ON19,"D"))*1))/(COUNTA(OL19:ON19)),"")</f>
        <v/>
      </c>
      <c r="OP19" s="166" t="str">
        <f t="shared" si="99"/>
        <v/>
      </c>
      <c r="OQ19" s="110" t="s">
        <v>29</v>
      </c>
      <c r="OR19" s="111"/>
      <c r="OS19" s="112"/>
      <c r="OT19" s="112"/>
      <c r="OU19" s="165">
        <f>IFERROR((((COUNTIF('Elève (3ème3)'!OQ19:OT19,"A"))*4)+((COUNTIF('Elève (3ème3)'!OQ19:OT19,"B"))*3)+((COUNTIF('Elève (3ème3)'!OQ19:OT19,"C"))*2)+((COUNTIF('Elève (3ème3)'!OQ19:OT19,"D"))*1))/(COUNTA(OQ19:OT19)),"")</f>
        <v>2</v>
      </c>
      <c r="OV19" s="166" t="str">
        <f t="shared" si="100"/>
        <v>C</v>
      </c>
      <c r="OW19" s="110"/>
      <c r="OX19" s="111"/>
      <c r="OY19" s="112" t="s">
        <v>28</v>
      </c>
      <c r="OZ19" s="112" t="s">
        <v>30</v>
      </c>
      <c r="PA19" s="112" t="s">
        <v>28</v>
      </c>
      <c r="PB19" s="116"/>
      <c r="PC19" s="165">
        <f>IFERROR((((COUNTIF('Elève (3ème3)'!OW19:PB19,"A"))*4)+((COUNTIF('Elève (3ème3)'!OW19:PB19,"B"))*3)+((COUNTIF('Elève (3ème3)'!OW19:PB19,"C"))*2)+((COUNTIF('Elève (3ème3)'!OW19:PB19,"D"))*1))/(COUNTA(OW19:PB19)),"")</f>
        <v>2.3333333333333335</v>
      </c>
      <c r="PD19" s="166" t="str">
        <f t="shared" si="101"/>
        <v>C</v>
      </c>
      <c r="PE19" s="165">
        <f>IF(COUNT(OO19,OU19,PC19)=0,"",SUM(OO19,OU19,PC19)/COUNT(OO19,OU19,PC19))</f>
        <v>2.166666666666667</v>
      </c>
      <c r="PF19" s="188" t="str">
        <f t="shared" si="102"/>
        <v>C</v>
      </c>
      <c r="PG19" s="110"/>
      <c r="PH19" s="111"/>
      <c r="PI19" s="112"/>
      <c r="PJ19" s="165" t="str">
        <f>IFERROR((((COUNTIF('Elève (3ème3)'!PG19:PI19,"A"))*4)+((COUNTIF('Elève (3ème3)'!PG19:PI19,"B"))*3)+((COUNTIF('Elève (3ème3)'!PG19:PI19,"C"))*2)+((COUNTIF('Elève (3ème3)'!PG19:PI19,"D"))*1))/(COUNTA(PG19:PI19)),"")</f>
        <v/>
      </c>
      <c r="PK19" s="166" t="str">
        <f t="shared" si="103"/>
        <v/>
      </c>
      <c r="PL19" s="110" t="s">
        <v>29</v>
      </c>
      <c r="PM19" s="111"/>
      <c r="PN19" s="112"/>
      <c r="PO19" s="112"/>
      <c r="PP19" s="165">
        <f>IFERROR((((COUNTIF('Elève (3ème3)'!PL19:PO19,"A"))*4)+((COUNTIF('Elève (3ème3)'!PL19:PO19,"B"))*3)+((COUNTIF('Elève (3ème3)'!PL19:PO19,"C"))*2)+((COUNTIF('Elève (3ème3)'!PL19:PO19,"D"))*1))/(COUNTA(PL19:PO19)),"")</f>
        <v>2</v>
      </c>
      <c r="PQ19" s="166" t="str">
        <f t="shared" si="104"/>
        <v>C</v>
      </c>
      <c r="PR19" s="110"/>
      <c r="PS19" s="111"/>
      <c r="PT19" s="112" t="s">
        <v>29</v>
      </c>
      <c r="PU19" s="112" t="s">
        <v>28</v>
      </c>
      <c r="PV19" s="112" t="s">
        <v>27</v>
      </c>
      <c r="PW19" s="116"/>
      <c r="PX19" s="165">
        <f>IFERROR((((COUNTIF('Elève (3ème3)'!PR19:PW19,"A"))*4)+((COUNTIF('Elève (3ème3)'!PR19:PW19,"B"))*3)+((COUNTIF('Elève (3ème3)'!PR19:PW19,"C"))*2)+((COUNTIF('Elève (3ème3)'!PR19:PW19,"D"))*1))/(COUNTA(PR19:PW19)),"")</f>
        <v>3</v>
      </c>
      <c r="PY19" s="166" t="str">
        <f t="shared" si="105"/>
        <v>B</v>
      </c>
      <c r="PZ19" s="165">
        <f>IF(COUNT(PJ19,PP19,PX19)=0,"",SUM(PJ19,PP19,PX19)/COUNT(PJ19,PP19,PX19))</f>
        <v>2.5</v>
      </c>
      <c r="QA19" s="188" t="str">
        <f t="shared" si="106"/>
        <v>C</v>
      </c>
      <c r="QB19" s="110"/>
      <c r="QC19" s="111"/>
      <c r="QD19" s="112"/>
      <c r="QE19" s="165" t="str">
        <f>IFERROR((((COUNTIF('Elève (3ème3)'!QB19:QD19,"A"))*4)+((COUNTIF('Elève (3ème3)'!QB19:QD19,"B"))*3)+((COUNTIF('Elève (3ème3)'!QB19:QD19,"C"))*2)+((COUNTIF('Elève (3ème3)'!QB19:QD19,"D"))*1))/(COUNTA(QB19:QD19)),"")</f>
        <v/>
      </c>
      <c r="QF19" s="166" t="str">
        <f t="shared" si="107"/>
        <v/>
      </c>
      <c r="QG19" s="110" t="s">
        <v>29</v>
      </c>
      <c r="QH19" s="111"/>
      <c r="QI19" s="112"/>
      <c r="QJ19" s="112"/>
      <c r="QK19" s="165">
        <f>IFERROR((((COUNTIF('Elève (3ème3)'!QG19:QJ19,"A"))*4)+((COUNTIF('Elève (3ème3)'!QG19:QJ19,"B"))*3)+((COUNTIF('Elève (3ème3)'!QG19:QJ19,"C"))*2)+((COUNTIF('Elève (3ème3)'!QG19:QJ19,"D"))*1))/(COUNTA(QG19:QJ19)),"")</f>
        <v>2</v>
      </c>
      <c r="QL19" s="166" t="str">
        <f t="shared" si="108"/>
        <v>C</v>
      </c>
      <c r="QM19" s="110"/>
      <c r="QN19" s="111"/>
      <c r="QO19" s="112" t="s">
        <v>28</v>
      </c>
      <c r="QP19" s="112" t="s">
        <v>29</v>
      </c>
      <c r="QQ19" s="112" t="s">
        <v>28</v>
      </c>
      <c r="QR19" s="116"/>
      <c r="QS19" s="165">
        <f>IFERROR((((COUNTIF('Elève (3ème3)'!QM19:QR19,"A"))*4)+((COUNTIF('Elève (3ème3)'!QM19:QR19,"B"))*3)+((COUNTIF('Elève (3ème3)'!QM19:QR19,"C"))*2)+((COUNTIF('Elève (3ème3)'!QM19:QR19,"D"))*1))/(COUNTA(QM19:QR19)),"")</f>
        <v>2.6666666666666665</v>
      </c>
      <c r="QT19" s="166" t="str">
        <f t="shared" si="109"/>
        <v>C</v>
      </c>
      <c r="QU19" s="165">
        <f>IF(COUNT(QE19,QK19,QS19)=0,"",SUM(QE19,QK19,QS19)/COUNT(QE19,QK19,QS19))</f>
        <v>2.333333333333333</v>
      </c>
      <c r="QV19" s="188" t="str">
        <f t="shared" si="110"/>
        <v>C</v>
      </c>
      <c r="QW19" s="110"/>
      <c r="QX19" s="111"/>
      <c r="QY19" s="112"/>
      <c r="QZ19" s="165" t="str">
        <f>IFERROR((((COUNTIF('Elève (3ème3)'!QW19:QY19,"A"))*4)+((COUNTIF('Elève (3ème3)'!QW19:QY19,"B"))*3)+((COUNTIF('Elève (3ème3)'!QW19:QY19,"C"))*2)+((COUNTIF('Elève (3ème3)'!QW19:QY19,"D"))*1))/(COUNTA(QW19:QY19)),"")</f>
        <v/>
      </c>
      <c r="RA19" s="166" t="str">
        <f t="shared" si="111"/>
        <v/>
      </c>
      <c r="RB19" s="110" t="s">
        <v>29</v>
      </c>
      <c r="RC19" s="111"/>
      <c r="RD19" s="112"/>
      <c r="RE19" s="112"/>
      <c r="RF19" s="165">
        <f>IFERROR((((COUNTIF('Elève (3ème3)'!RB19:RE19,"A"))*4)+((COUNTIF('Elève (3ème3)'!RB19:RE19,"B"))*3)+((COUNTIF('Elève (3ème3)'!RB19:RE19,"C"))*2)+((COUNTIF('Elève (3ème3)'!RB19:RE19,"D"))*1))/(COUNTA(RB19:RE19)),"")</f>
        <v>2</v>
      </c>
      <c r="RG19" s="166" t="str">
        <f t="shared" si="112"/>
        <v>C</v>
      </c>
      <c r="RH19" s="110"/>
      <c r="RI19" s="111"/>
      <c r="RJ19" s="112" t="s">
        <v>28</v>
      </c>
      <c r="RK19" s="112" t="s">
        <v>30</v>
      </c>
      <c r="RL19" s="112" t="s">
        <v>29</v>
      </c>
      <c r="RM19" s="116"/>
      <c r="RN19" s="165">
        <f>IFERROR((((COUNTIF('Elève (3ème3)'!RH19:RM19,"A"))*4)+((COUNTIF('Elève (3ème3)'!RH19:RM19,"B"))*3)+((COUNTIF('Elève (3ème3)'!RH19:RM19,"C"))*2)+((COUNTIF('Elève (3ème3)'!RH19:RM19,"D"))*1))/(COUNTA(RH19:RM19)),"")</f>
        <v>2</v>
      </c>
      <c r="RO19" s="166" t="str">
        <f t="shared" si="113"/>
        <v>C</v>
      </c>
      <c r="RP19" s="165">
        <f>IF(COUNT(QZ19,RF19,RN19)=0,"",SUM(QZ19,RF19,RN19)/COUNT(QZ19,RF19,RN19))</f>
        <v>2</v>
      </c>
      <c r="RQ19" s="188" t="str">
        <f t="shared" si="114"/>
        <v>C</v>
      </c>
      <c r="RR19" s="110"/>
      <c r="RS19" s="111"/>
      <c r="RT19" s="112"/>
      <c r="RU19" s="165" t="str">
        <f>IFERROR((((COUNTIF('Elève (3ème3)'!RR19:RT19,"A"))*4)+((COUNTIF('Elève (3ème3)'!RR19:RT19,"B"))*3)+((COUNTIF('Elève (3ème3)'!RR19:RT19,"C"))*2)+((COUNTIF('Elève (3ème3)'!RR19:RT19,"D"))*1))/(COUNTA(RR19:RT19)),"")</f>
        <v/>
      </c>
      <c r="RV19" s="166" t="str">
        <f t="shared" si="115"/>
        <v/>
      </c>
      <c r="RW19" s="110" t="s">
        <v>29</v>
      </c>
      <c r="RX19" s="111"/>
      <c r="RY19" s="112"/>
      <c r="RZ19" s="112"/>
      <c r="SA19" s="165">
        <f>IFERROR((((COUNTIF('Elève (3ème3)'!RW19:RZ19,"A"))*4)+((COUNTIF('Elève (3ème3)'!RW19:RZ19,"B"))*3)+((COUNTIF('Elève (3ème3)'!RW19:RZ19,"C"))*2)+((COUNTIF('Elève (3ème3)'!RW19:RZ19,"D"))*1))/(COUNTA(RW19:RZ19)),"")</f>
        <v>2</v>
      </c>
      <c r="SB19" s="166" t="str">
        <f t="shared" si="116"/>
        <v>C</v>
      </c>
      <c r="SC19" s="110"/>
      <c r="SD19" s="111"/>
      <c r="SE19" s="112" t="s">
        <v>29</v>
      </c>
      <c r="SF19" s="112" t="s">
        <v>30</v>
      </c>
      <c r="SG19" s="112" t="s">
        <v>30</v>
      </c>
      <c r="SH19" s="116"/>
      <c r="SI19" s="165">
        <f>IFERROR((((COUNTIF('Elève (3ème3)'!SC19:SH19,"A"))*4)+((COUNTIF('Elève (3ème3)'!SC19:SH19,"B"))*3)+((COUNTIF('Elève (3ème3)'!SC19:SH19,"C"))*2)+((COUNTIF('Elève (3ème3)'!SC19:SH19,"D"))*1))/(COUNTA(SC19:SH19)),"")</f>
        <v>1.3333333333333333</v>
      </c>
      <c r="SJ19" s="166" t="str">
        <f t="shared" si="117"/>
        <v>D</v>
      </c>
      <c r="SK19" s="165">
        <f>IF(COUNT(RU19,SA19,SI19)=0,"",SUM(RU19,SA19,SI19)/COUNT(RU19,SA19,SI19))</f>
        <v>1.6666666666666665</v>
      </c>
      <c r="SL19" s="188" t="str">
        <f t="shared" si="118"/>
        <v>C</v>
      </c>
      <c r="SM19" s="110"/>
      <c r="SN19" s="111"/>
      <c r="SO19" s="112"/>
      <c r="SP19" s="113" t="str">
        <f>IFERROR((((COUNTIF('Elève (3ème3)'!SM19:SO19,"A"))*4)+((COUNTIF('Elève (3ème3)'!SM19:SO19,"B"))*3)+((COUNTIF('Elève (3ème3)'!SM19:SO19,"C"))*2)+((COUNTIF('Elève (3ème3)'!SM19:SO19,"D"))*1))/(COUNTA(SM19:SO19)),"")</f>
        <v/>
      </c>
      <c r="SQ19" s="114" t="str">
        <f t="shared" si="119"/>
        <v/>
      </c>
      <c r="SR19" s="110"/>
      <c r="SS19" s="111"/>
      <c r="ST19" s="112"/>
      <c r="SU19" s="113" t="str">
        <f>IFERROR((((COUNTIF('Elève (3ème3)'!SR19:ST19,"A"))*4)+((COUNTIF('Elève (3ème3)'!SR19:ST19,"B"))*3)+((COUNTIF('Elève (3ème3)'!SR19:ST19,"C"))*2)+((COUNTIF('Elève (3ème3)'!SR19:ST19,"D"))*1))/(COUNTA(SR19:ST19)),"")</f>
        <v/>
      </c>
      <c r="SV19" s="114" t="str">
        <f t="shared" si="120"/>
        <v/>
      </c>
      <c r="SW19" s="110"/>
      <c r="SX19" s="111"/>
      <c r="SY19" s="116"/>
      <c r="SZ19" s="113" t="str">
        <f>IFERROR((((COUNTIF('Elève (3ème3)'!SW19:SY19,"A"))*4)+((COUNTIF('Elève (3ème3)'!SW19:SY19,"B"))*3)+((COUNTIF('Elève (3ème3)'!SW19:SY19,"C"))*2)+((COUNTIF('Elève (3ème3)'!SW19:SY19,"D"))*1))/(COUNTA(SW19:SY19)),"")</f>
        <v/>
      </c>
      <c r="TA19" s="114" t="str">
        <f t="shared" si="121"/>
        <v/>
      </c>
      <c r="TB19" s="113" t="str">
        <f>IF(COUNT(SP19,SU19,SZ19)=0,"",SUM(SP19,SU19,SZ19)/COUNT(SP19,SU19,SZ19))</f>
        <v/>
      </c>
      <c r="TC19" s="115" t="str">
        <f t="shared" si="122"/>
        <v/>
      </c>
      <c r="TD19" s="110"/>
      <c r="TE19" s="111"/>
      <c r="TF19" s="112"/>
      <c r="TG19" s="113" t="str">
        <f>IFERROR((((COUNTIF('Elève (3ème3)'!TD19:TF19,"A"))*4)+((COUNTIF('Elève (3ème3)'!TD19:TF19,"B"))*3)+((COUNTIF('Elève (3ème3)'!TD19:TF19,"C"))*2)+((COUNTIF('Elève (3ème3)'!TD19:TF19,"D"))*1))/(COUNTA(TD19:TF19)),"")</f>
        <v/>
      </c>
      <c r="TH19" s="114" t="str">
        <f t="shared" si="123"/>
        <v/>
      </c>
      <c r="TI19" s="110"/>
      <c r="TJ19" s="111"/>
      <c r="TK19" s="112"/>
      <c r="TL19" s="113" t="str">
        <f>IFERROR((((COUNTIF('Elève (3ème3)'!TI19:TK19,"A"))*4)+((COUNTIF('Elève (3ème3)'!TI19:TK19,"B"))*3)+((COUNTIF('Elève (3ème3)'!TI19:TK19,"C"))*2)+((COUNTIF('Elève (3ème3)'!TI19:TK19,"D"))*1))/(COUNTA(TI19:TK19)),"")</f>
        <v/>
      </c>
      <c r="TM19" s="114" t="str">
        <f t="shared" si="124"/>
        <v/>
      </c>
      <c r="TN19" s="110"/>
      <c r="TO19" s="111"/>
      <c r="TP19" s="116"/>
      <c r="TQ19" s="113" t="str">
        <f>IFERROR((((COUNTIF('Elève (3ème3)'!TN19:TP19,"A"))*4)+((COUNTIF('Elève (3ème3)'!TN19:TP19,"B"))*3)+((COUNTIF('Elève (3ème3)'!TN19:TP19,"C"))*2)+((COUNTIF('Elève (3ème3)'!TN19:TP19,"D"))*1))/(COUNTA(TN19:TP19)),"")</f>
        <v/>
      </c>
      <c r="TR19" s="114" t="str">
        <f t="shared" si="125"/>
        <v/>
      </c>
      <c r="TS19" s="113" t="str">
        <f>IF(COUNT(TG19,TL19,TQ19)=0,"",SUM(TG19,TL19,TQ19)/COUNT(TG19,TL19,TQ19))</f>
        <v/>
      </c>
      <c r="TT19" s="115" t="str">
        <f t="shared" si="126"/>
        <v/>
      </c>
      <c r="TU19" s="110"/>
      <c r="TV19" s="111"/>
      <c r="TW19" s="112"/>
      <c r="TX19" s="113" t="str">
        <f>IFERROR((((COUNTIF('Elève (3ème3)'!TU19:TW19,"A"))*4)+((COUNTIF('Elève (3ème3)'!TU19:TW19,"B"))*3)+((COUNTIF('Elève (3ème3)'!TU19:TW19,"C"))*2)+((COUNTIF('Elève (3ème3)'!TU19:TW19,"D"))*1))/(COUNTA(TU19:TW19)),"")</f>
        <v/>
      </c>
      <c r="TY19" s="114" t="str">
        <f t="shared" si="127"/>
        <v/>
      </c>
      <c r="TZ19" s="110"/>
      <c r="UA19" s="111"/>
      <c r="UB19" s="112"/>
      <c r="UC19" s="113" t="str">
        <f>IFERROR((((COUNTIF('Elève (3ème3)'!TZ19:UB19,"A"))*4)+((COUNTIF('Elève (3ème3)'!TZ19:UB19,"B"))*3)+((COUNTIF('Elève (3ème3)'!TZ19:UB19,"C"))*2)+((COUNTIF('Elève (3ème3)'!TZ19:UB19,"D"))*1))/(COUNTA(TZ19:UB19)),"")</f>
        <v/>
      </c>
      <c r="UD19" s="114" t="str">
        <f t="shared" si="128"/>
        <v/>
      </c>
      <c r="UE19" s="110"/>
      <c r="UF19" s="111"/>
      <c r="UG19" s="116"/>
      <c r="UH19" s="113" t="str">
        <f>IFERROR((((COUNTIF('Elève (3ème3)'!UE19:UG19,"A"))*4)+((COUNTIF('Elève (3ème3)'!UE19:UG19,"B"))*3)+((COUNTIF('Elève (3ème3)'!UE19:UG19,"C"))*2)+((COUNTIF('Elève (3ème3)'!UE19:UG19,"D"))*1))/(COUNTA(UE19:UG19)),"")</f>
        <v/>
      </c>
      <c r="UI19" s="114" t="str">
        <f t="shared" si="129"/>
        <v/>
      </c>
      <c r="UJ19" s="113" t="str">
        <f>IF(COUNT(TX19,UC19,UH19)=0,"",SUM(TX19,UC19,UH19)/COUNT(TX19,UC19,UH19))</f>
        <v/>
      </c>
      <c r="UK19" s="115" t="str">
        <f t="shared" si="130"/>
        <v/>
      </c>
      <c r="UL19" s="110"/>
      <c r="UM19" s="111"/>
      <c r="UN19" s="112"/>
      <c r="UO19" s="113" t="str">
        <f>IFERROR((((COUNTIF('Elève (3ème3)'!UL19:UN19,"A"))*4)+((COUNTIF('Elève (3ème3)'!UL19:UN19,"B"))*3)+((COUNTIF('Elève (3ème3)'!UL19:UN19,"C"))*2)+((COUNTIF('Elève (3ème3)'!UL19:UN19,"D"))*1))/(COUNTA(UL19:UN19)),"")</f>
        <v/>
      </c>
      <c r="UP19" s="114" t="str">
        <f t="shared" si="131"/>
        <v/>
      </c>
      <c r="UQ19" s="110"/>
      <c r="UR19" s="111"/>
      <c r="US19" s="112"/>
      <c r="UT19" s="113" t="str">
        <f>IFERROR((((COUNTIF('Elève (3ème3)'!UQ19:US19,"A"))*4)+((COUNTIF('Elève (3ème3)'!UQ19:US19,"B"))*3)+((COUNTIF('Elève (3ème3)'!UQ19:US19,"C"))*2)+((COUNTIF('Elève (3ème3)'!UQ19:US19,"D"))*1))/(COUNTA(UQ19:US19)),"")</f>
        <v/>
      </c>
      <c r="UU19" s="114" t="str">
        <f t="shared" si="132"/>
        <v/>
      </c>
      <c r="UV19" s="110"/>
      <c r="UW19" s="111"/>
      <c r="UX19" s="116"/>
      <c r="UY19" s="113" t="str">
        <f>IFERROR((((COUNTIF('Elève (3ème3)'!UV19:UX19,"A"))*4)+((COUNTIF('Elève (3ème3)'!UV19:UX19,"B"))*3)+((COUNTIF('Elève (3ème3)'!UV19:UX19,"C"))*2)+((COUNTIF('Elève (3ème3)'!UV19:UX19,"D"))*1))/(COUNTA(UV19:UX19)),"")</f>
        <v/>
      </c>
      <c r="UZ19" s="114" t="str">
        <f t="shared" si="133"/>
        <v/>
      </c>
      <c r="VA19" s="113" t="str">
        <f>IF(COUNT(UO19,UT19,UY19)=0,"",SUM(UO19,UT19,UY19)/COUNT(UO19,UT19,UY19))</f>
        <v/>
      </c>
      <c r="VB19" s="115" t="str">
        <f t="shared" si="134"/>
        <v/>
      </c>
      <c r="VC19" s="110"/>
      <c r="VD19" s="111"/>
      <c r="VE19" s="112"/>
      <c r="VF19" s="113" t="str">
        <f>IFERROR((((COUNTIF('Elève (3ème3)'!VC19:VE19,"A"))*4)+((COUNTIF('Elève (3ème3)'!VC19:VE19,"B"))*3)+((COUNTIF('Elève (3ème3)'!VC19:VE19,"C"))*2)+((COUNTIF('Elève (3ème3)'!VC19:VE19,"D"))*1))/(COUNTA(VC19:VE19)),"")</f>
        <v/>
      </c>
      <c r="VG19" s="114" t="str">
        <f t="shared" si="135"/>
        <v/>
      </c>
      <c r="VH19" s="110"/>
      <c r="VI19" s="111"/>
      <c r="VJ19" s="112"/>
      <c r="VK19" s="113" t="str">
        <f>IFERROR((((COUNTIF('Elève (3ème3)'!VH19:VJ19,"A"))*4)+((COUNTIF('Elève (3ème3)'!VH19:VJ19,"B"))*3)+((COUNTIF('Elève (3ème3)'!VH19:VJ19,"C"))*2)+((COUNTIF('Elève (3ème3)'!VH19:VJ19,"D"))*1))/(COUNTA(VH19:VJ19)),"")</f>
        <v/>
      </c>
      <c r="VL19" s="114" t="str">
        <f t="shared" si="136"/>
        <v/>
      </c>
      <c r="VM19" s="110"/>
      <c r="VN19" s="111"/>
      <c r="VO19" s="116"/>
      <c r="VP19" s="113" t="str">
        <f>IFERROR((((COUNTIF('Elève (3ème3)'!VM19:VO19,"A"))*4)+((COUNTIF('Elève (3ème3)'!VM19:VO19,"B"))*3)+((COUNTIF('Elève (3ème3)'!VM19:VO19,"C"))*2)+((COUNTIF('Elève (3ème3)'!VM19:VO19,"D"))*1))/(COUNTA(VM19:VO19)),"")</f>
        <v/>
      </c>
      <c r="VQ19" s="114" t="str">
        <f t="shared" si="137"/>
        <v/>
      </c>
      <c r="VR19" s="113" t="str">
        <f>IF(COUNT(VF19,VK19,VP19)=0,"",SUM(VF19,VK19,VP19)/COUNT(VF19,VK19,VP19))</f>
        <v/>
      </c>
      <c r="VS19" s="115" t="str">
        <f t="shared" si="138"/>
        <v/>
      </c>
      <c r="VT19" s="110"/>
      <c r="VU19" s="111"/>
      <c r="VV19" s="112"/>
      <c r="VW19" s="113" t="str">
        <f>IFERROR((((COUNTIF('Elève (3ème3)'!VT19:VV19,"A"))*4)+((COUNTIF('Elève (3ème3)'!VT19:VV19,"B"))*3)+((COUNTIF('Elève (3ème3)'!VT19:VV19,"C"))*2)+((COUNTIF('Elève (3ème3)'!VT19:VV19,"D"))*1))/(COUNTA(VT19:VV19)),"")</f>
        <v/>
      </c>
      <c r="VX19" s="114" t="str">
        <f t="shared" si="139"/>
        <v/>
      </c>
      <c r="VY19" s="110"/>
      <c r="VZ19" s="111"/>
      <c r="WA19" s="112"/>
      <c r="WB19" s="113" t="str">
        <f>IFERROR((((COUNTIF('Elève (3ème3)'!VY19:WA19,"A"))*4)+((COUNTIF('Elève (3ème3)'!VY19:WA19,"B"))*3)+((COUNTIF('Elève (3ème3)'!VY19:WA19,"C"))*2)+((COUNTIF('Elève (3ème3)'!VY19:WA19,"D"))*1))/(COUNTA(VY19:WA19)),"")</f>
        <v/>
      </c>
      <c r="WC19" s="114" t="str">
        <f t="shared" si="140"/>
        <v/>
      </c>
      <c r="WD19" s="110"/>
      <c r="WE19" s="111"/>
      <c r="WF19" s="116"/>
      <c r="WG19" s="113" t="str">
        <f>IFERROR((((COUNTIF('Elève (3ème3)'!WD19:WF19,"A"))*4)+((COUNTIF('Elève (3ème3)'!WD19:WF19,"B"))*3)+((COUNTIF('Elève (3ème3)'!WD19:WF19,"C"))*2)+((COUNTIF('Elève (3ème3)'!WD19:WF19,"D"))*1))/(COUNTA(WD19:WF19)),"")</f>
        <v/>
      </c>
      <c r="WH19" s="114" t="str">
        <f t="shared" si="141"/>
        <v/>
      </c>
      <c r="WI19" s="113" t="str">
        <f>IF(COUNT(VW19,WB19,WG19)=0,"",SUM(VW19,WB19,WG19)/COUNT(VW19,WB19,WG19))</f>
        <v/>
      </c>
      <c r="WJ19" s="115" t="str">
        <f t="shared" si="142"/>
        <v/>
      </c>
    </row>
    <row r="20" spans="1:608" s="95" customFormat="1" ht="16.5" customHeight="1" thickBot="1" x14ac:dyDescent="0.6">
      <c r="A20" s="145" t="s">
        <v>24</v>
      </c>
      <c r="B20" s="120">
        <v>1</v>
      </c>
      <c r="C20" s="152"/>
      <c r="D20" s="65"/>
      <c r="E20" s="85"/>
      <c r="F20" s="159">
        <f>IF(COUNT(F21)=0,"",SUM(F21)/COUNT(F21))</f>
        <v>3.5</v>
      </c>
      <c r="G20" s="160" t="str">
        <f t="shared" si="23"/>
        <v>B</v>
      </c>
      <c r="H20" s="152"/>
      <c r="I20" s="65"/>
      <c r="J20" s="65"/>
      <c r="K20" s="85"/>
      <c r="L20" s="159" t="str">
        <f>IF(COUNT(L21)=0,"",SUM(L21)/COUNT(L21))</f>
        <v/>
      </c>
      <c r="M20" s="175" t="str">
        <f t="shared" si="24"/>
        <v/>
      </c>
      <c r="N20" s="153"/>
      <c r="O20" s="90"/>
      <c r="P20" s="90"/>
      <c r="Q20" s="90"/>
      <c r="R20" s="90"/>
      <c r="S20" s="91"/>
      <c r="T20" s="159" t="str">
        <f>IF(COUNT(T21)=0,"",SUM(T21)/COUNT(T21))</f>
        <v/>
      </c>
      <c r="U20" s="183" t="str">
        <f t="shared" si="25"/>
        <v/>
      </c>
      <c r="V20" s="184">
        <f>IF(COUNT(V21)=0,"",SUM(V21)/COUNT(V21))</f>
        <v>3.5</v>
      </c>
      <c r="W20" s="185" t="str">
        <f t="shared" si="26"/>
        <v>B</v>
      </c>
      <c r="X20" s="196"/>
      <c r="Y20" s="65"/>
      <c r="Z20" s="85"/>
      <c r="AA20" s="159">
        <f>IF(COUNT(AA21)=0,"",SUM(AA21)/COUNT(AA21))</f>
        <v>3</v>
      </c>
      <c r="AB20" s="160" t="str">
        <f t="shared" si="27"/>
        <v>B</v>
      </c>
      <c r="AC20" s="152"/>
      <c r="AD20" s="65"/>
      <c r="AE20" s="65"/>
      <c r="AF20" s="85"/>
      <c r="AG20" s="159" t="str">
        <f>IF(COUNT(AG21)=0,"",SUM(AG21)/COUNT(AG21))</f>
        <v/>
      </c>
      <c r="AH20" s="175" t="str">
        <f t="shared" si="28"/>
        <v/>
      </c>
      <c r="AI20" s="153"/>
      <c r="AJ20" s="90"/>
      <c r="AK20" s="90"/>
      <c r="AL20" s="90"/>
      <c r="AM20" s="90"/>
      <c r="AN20" s="91"/>
      <c r="AO20" s="159" t="str">
        <f>IF(COUNT(AO21)=0,"",SUM(AO21)/COUNT(AO21))</f>
        <v/>
      </c>
      <c r="AP20" s="183" t="str">
        <f t="shared" si="29"/>
        <v/>
      </c>
      <c r="AQ20" s="184">
        <f>IF(COUNT(AQ21)=0,"",SUM(AQ21)/COUNT(AQ21))</f>
        <v>3</v>
      </c>
      <c r="AR20" s="185" t="str">
        <f t="shared" si="30"/>
        <v>B</v>
      </c>
      <c r="AS20" s="196"/>
      <c r="AT20" s="65"/>
      <c r="AU20" s="85"/>
      <c r="AV20" s="159">
        <f>IF(COUNT(AV21)=0,"",SUM(AV21)/COUNT(AV21))</f>
        <v>1.5</v>
      </c>
      <c r="AW20" s="160" t="str">
        <f t="shared" si="31"/>
        <v>D</v>
      </c>
      <c r="AX20" s="152"/>
      <c r="AY20" s="65"/>
      <c r="AZ20" s="65"/>
      <c r="BA20" s="85"/>
      <c r="BB20" s="159" t="str">
        <f>IF(COUNT(BB21)=0,"",SUM(BB21)/COUNT(BB21))</f>
        <v/>
      </c>
      <c r="BC20" s="175" t="str">
        <f t="shared" si="32"/>
        <v/>
      </c>
      <c r="BD20" s="153"/>
      <c r="BE20" s="90"/>
      <c r="BF20" s="90"/>
      <c r="BG20" s="90"/>
      <c r="BH20" s="90"/>
      <c r="BI20" s="91"/>
      <c r="BJ20" s="159" t="str">
        <f>IF(COUNT(BJ21)=0,"",SUM(BJ21)/COUNT(BJ21))</f>
        <v/>
      </c>
      <c r="BK20" s="183" t="str">
        <f t="shared" si="33"/>
        <v/>
      </c>
      <c r="BL20" s="184">
        <f>IF(COUNT(BL21)=0,"",SUM(BL21)/COUNT(BL21))</f>
        <v>1.5</v>
      </c>
      <c r="BM20" s="185" t="str">
        <f t="shared" si="34"/>
        <v>D</v>
      </c>
      <c r="BN20" s="196"/>
      <c r="BO20" s="65"/>
      <c r="BP20" s="85"/>
      <c r="BQ20" s="159">
        <f>IF(COUNT(BQ21)=0,"",SUM(BQ21)/COUNT(BQ21))</f>
        <v>3.5</v>
      </c>
      <c r="BR20" s="160" t="str">
        <f t="shared" si="35"/>
        <v>B</v>
      </c>
      <c r="BS20" s="152"/>
      <c r="BT20" s="65"/>
      <c r="BU20" s="65"/>
      <c r="BV20" s="85"/>
      <c r="BW20" s="159" t="str">
        <f>IF(COUNT(BW21)=0,"",SUM(BW21)/COUNT(BW21))</f>
        <v/>
      </c>
      <c r="BX20" s="175" t="str">
        <f t="shared" si="36"/>
        <v/>
      </c>
      <c r="BY20" s="153"/>
      <c r="BZ20" s="90"/>
      <c r="CA20" s="90"/>
      <c r="CB20" s="90"/>
      <c r="CC20" s="90"/>
      <c r="CD20" s="91"/>
      <c r="CE20" s="159" t="str">
        <f>IF(COUNT(CE21)=0,"",SUM(CE21)/COUNT(CE21))</f>
        <v/>
      </c>
      <c r="CF20" s="183" t="str">
        <f t="shared" si="37"/>
        <v/>
      </c>
      <c r="CG20" s="184">
        <f>IF(COUNT(CG21)=0,"",SUM(CG21)/COUNT(CG21))</f>
        <v>3.5</v>
      </c>
      <c r="CH20" s="185" t="str">
        <f t="shared" si="38"/>
        <v>B</v>
      </c>
      <c r="CI20" s="196"/>
      <c r="CJ20" s="65"/>
      <c r="CK20" s="85"/>
      <c r="CL20" s="159">
        <f>IF(COUNT(CL21)=0,"",SUM(CL21)/COUNT(CL21))</f>
        <v>2</v>
      </c>
      <c r="CM20" s="160" t="str">
        <f t="shared" si="39"/>
        <v>C</v>
      </c>
      <c r="CN20" s="152"/>
      <c r="CO20" s="65"/>
      <c r="CP20" s="65"/>
      <c r="CQ20" s="85"/>
      <c r="CR20" s="159" t="str">
        <f>IF(COUNT(CR21)=0,"",SUM(CR21)/COUNT(CR21))</f>
        <v/>
      </c>
      <c r="CS20" s="175" t="str">
        <f t="shared" si="40"/>
        <v/>
      </c>
      <c r="CT20" s="153"/>
      <c r="CU20" s="90"/>
      <c r="CV20" s="90"/>
      <c r="CW20" s="90"/>
      <c r="CX20" s="90"/>
      <c r="CY20" s="91"/>
      <c r="CZ20" s="159" t="str">
        <f>IF(COUNT(CZ21)=0,"",SUM(CZ21)/COUNT(CZ21))</f>
        <v/>
      </c>
      <c r="DA20" s="183" t="str">
        <f t="shared" si="41"/>
        <v/>
      </c>
      <c r="DB20" s="184">
        <f>IF(COUNT(DB21)=0,"",SUM(DB21)/COUNT(DB21))</f>
        <v>2</v>
      </c>
      <c r="DC20" s="185" t="str">
        <f t="shared" si="42"/>
        <v>C</v>
      </c>
      <c r="DD20" s="196"/>
      <c r="DE20" s="65"/>
      <c r="DF20" s="85"/>
      <c r="DG20" s="159">
        <f>IF(COUNT(DG21)=0,"",SUM(DG21)/COUNT(DG21))</f>
        <v>3</v>
      </c>
      <c r="DH20" s="160" t="str">
        <f t="shared" si="43"/>
        <v>B</v>
      </c>
      <c r="DI20" s="152"/>
      <c r="DJ20" s="65"/>
      <c r="DK20" s="65"/>
      <c r="DL20" s="85"/>
      <c r="DM20" s="159" t="str">
        <f>IF(COUNT(DM21)=0,"",SUM(DM21)/COUNT(DM21))</f>
        <v/>
      </c>
      <c r="DN20" s="175" t="str">
        <f t="shared" si="44"/>
        <v/>
      </c>
      <c r="DO20" s="153"/>
      <c r="DP20" s="90"/>
      <c r="DQ20" s="90"/>
      <c r="DR20" s="90"/>
      <c r="DS20" s="90"/>
      <c r="DT20" s="91"/>
      <c r="DU20" s="159" t="str">
        <f>IF(COUNT(DU21)=0,"",SUM(DU21)/COUNT(DU21))</f>
        <v/>
      </c>
      <c r="DV20" s="183" t="str">
        <f t="shared" si="45"/>
        <v/>
      </c>
      <c r="DW20" s="184">
        <f>IF(COUNT(DW21)=0,"",SUM(DW21)/COUNT(DW21))</f>
        <v>3</v>
      </c>
      <c r="DX20" s="185" t="str">
        <f t="shared" si="46"/>
        <v>B</v>
      </c>
      <c r="DY20" s="196"/>
      <c r="DZ20" s="65"/>
      <c r="EA20" s="85"/>
      <c r="EB20" s="159">
        <f>IF(COUNT(EB21)=0,"",SUM(EB21)/COUNT(EB21))</f>
        <v>3.5</v>
      </c>
      <c r="EC20" s="160" t="str">
        <f t="shared" si="47"/>
        <v>B</v>
      </c>
      <c r="ED20" s="152"/>
      <c r="EE20" s="65"/>
      <c r="EF20" s="65"/>
      <c r="EG20" s="85"/>
      <c r="EH20" s="159" t="str">
        <f>IF(COUNT(EH21)=0,"",SUM(EH21)/COUNT(EH21))</f>
        <v/>
      </c>
      <c r="EI20" s="175" t="str">
        <f t="shared" si="48"/>
        <v/>
      </c>
      <c r="EJ20" s="153"/>
      <c r="EK20" s="90"/>
      <c r="EL20" s="90"/>
      <c r="EM20" s="90"/>
      <c r="EN20" s="90"/>
      <c r="EO20" s="91"/>
      <c r="EP20" s="159" t="str">
        <f>IF(COUNT(EP21)=0,"",SUM(EP21)/COUNT(EP21))</f>
        <v/>
      </c>
      <c r="EQ20" s="183" t="str">
        <f t="shared" si="49"/>
        <v/>
      </c>
      <c r="ER20" s="184">
        <f>IF(COUNT(ER21)=0,"",SUM(ER21)/COUNT(ER21))</f>
        <v>3.5</v>
      </c>
      <c r="ES20" s="185" t="str">
        <f t="shared" si="50"/>
        <v>B</v>
      </c>
      <c r="ET20" s="196"/>
      <c r="EU20" s="65"/>
      <c r="EV20" s="85"/>
      <c r="EW20" s="159">
        <f>IF(COUNT(EW21)=0,"",SUM(EW21)/COUNT(EW21))</f>
        <v>2.5</v>
      </c>
      <c r="EX20" s="160" t="str">
        <f t="shared" si="51"/>
        <v>C</v>
      </c>
      <c r="EY20" s="152"/>
      <c r="EZ20" s="65"/>
      <c r="FA20" s="65"/>
      <c r="FB20" s="85"/>
      <c r="FC20" s="159" t="str">
        <f>IF(COUNT(FC21)=0,"",SUM(FC21)/COUNT(FC21))</f>
        <v/>
      </c>
      <c r="FD20" s="175" t="str">
        <f t="shared" si="52"/>
        <v/>
      </c>
      <c r="FE20" s="153"/>
      <c r="FF20" s="90"/>
      <c r="FG20" s="90"/>
      <c r="FH20" s="90"/>
      <c r="FI20" s="90"/>
      <c r="FJ20" s="91"/>
      <c r="FK20" s="159" t="str">
        <f>IF(COUNT(FK21)=0,"",SUM(FK21)/COUNT(FK21))</f>
        <v/>
      </c>
      <c r="FL20" s="183" t="str">
        <f t="shared" si="53"/>
        <v/>
      </c>
      <c r="FM20" s="184">
        <f>IF(COUNT(FM21)=0,"",SUM(FM21)/COUNT(FM21))</f>
        <v>2.5</v>
      </c>
      <c r="FN20" s="185" t="str">
        <f t="shared" si="54"/>
        <v>C</v>
      </c>
      <c r="FO20" s="196"/>
      <c r="FP20" s="65"/>
      <c r="FQ20" s="85"/>
      <c r="FR20" s="159">
        <f>IF(COUNT(FR21)=0,"",SUM(FR21)/COUNT(FR21))</f>
        <v>3.5</v>
      </c>
      <c r="FS20" s="160" t="str">
        <f t="shared" si="55"/>
        <v>B</v>
      </c>
      <c r="FT20" s="152"/>
      <c r="FU20" s="65"/>
      <c r="FV20" s="65"/>
      <c r="FW20" s="85"/>
      <c r="FX20" s="159" t="str">
        <f>IF(COUNT(FX21)=0,"",SUM(FX21)/COUNT(FX21))</f>
        <v/>
      </c>
      <c r="FY20" s="175" t="str">
        <f t="shared" si="56"/>
        <v/>
      </c>
      <c r="FZ20" s="153"/>
      <c r="GA20" s="90"/>
      <c r="GB20" s="90"/>
      <c r="GC20" s="90"/>
      <c r="GD20" s="90"/>
      <c r="GE20" s="91"/>
      <c r="GF20" s="159" t="str">
        <f>IF(COUNT(GF21)=0,"",SUM(GF21)/COUNT(GF21))</f>
        <v/>
      </c>
      <c r="GG20" s="183" t="str">
        <f t="shared" si="57"/>
        <v/>
      </c>
      <c r="GH20" s="184">
        <f>IF(COUNT(GH21)=0,"",SUM(GH21)/COUNT(GH21))</f>
        <v>3.5</v>
      </c>
      <c r="GI20" s="185" t="str">
        <f t="shared" si="58"/>
        <v>B</v>
      </c>
      <c r="GJ20" s="196"/>
      <c r="GK20" s="65"/>
      <c r="GL20" s="85"/>
      <c r="GM20" s="159">
        <f>IF(COUNT(GM21)=0,"",SUM(GM21)/COUNT(GM21))</f>
        <v>2.5</v>
      </c>
      <c r="GN20" s="160" t="str">
        <f t="shared" si="59"/>
        <v>C</v>
      </c>
      <c r="GO20" s="152"/>
      <c r="GP20" s="65"/>
      <c r="GQ20" s="65"/>
      <c r="GR20" s="85"/>
      <c r="GS20" s="159" t="str">
        <f>IF(COUNT(GS21)=0,"",SUM(GS21)/COUNT(GS21))</f>
        <v/>
      </c>
      <c r="GT20" s="175" t="str">
        <f t="shared" si="60"/>
        <v/>
      </c>
      <c r="GU20" s="153"/>
      <c r="GV20" s="90"/>
      <c r="GW20" s="90"/>
      <c r="GX20" s="90"/>
      <c r="GY20" s="90"/>
      <c r="GZ20" s="91"/>
      <c r="HA20" s="159" t="str">
        <f>IF(COUNT(HA21)=0,"",SUM(HA21)/COUNT(HA21))</f>
        <v/>
      </c>
      <c r="HB20" s="183" t="str">
        <f t="shared" si="61"/>
        <v/>
      </c>
      <c r="HC20" s="184">
        <f>IF(COUNT(HC21)=0,"",SUM(HC21)/COUNT(HC21))</f>
        <v>2.5</v>
      </c>
      <c r="HD20" s="185" t="str">
        <f t="shared" si="62"/>
        <v>C</v>
      </c>
      <c r="HE20" s="196"/>
      <c r="HF20" s="65"/>
      <c r="HG20" s="85"/>
      <c r="HH20" s="159">
        <f>IF(COUNT(HH21)=0,"",SUM(HH21)/COUNT(HH21))</f>
        <v>3.5</v>
      </c>
      <c r="HI20" s="160" t="str">
        <f t="shared" si="63"/>
        <v>B</v>
      </c>
      <c r="HJ20" s="152"/>
      <c r="HK20" s="65"/>
      <c r="HL20" s="65"/>
      <c r="HM20" s="85"/>
      <c r="HN20" s="159" t="str">
        <f>IF(COUNT(HN21)=0,"",SUM(HN21)/COUNT(HN21))</f>
        <v/>
      </c>
      <c r="HO20" s="175" t="str">
        <f t="shared" si="64"/>
        <v/>
      </c>
      <c r="HP20" s="153"/>
      <c r="HQ20" s="90"/>
      <c r="HR20" s="90"/>
      <c r="HS20" s="90"/>
      <c r="HT20" s="90"/>
      <c r="HU20" s="91"/>
      <c r="HV20" s="159" t="str">
        <f>IF(COUNT(HV21)=0,"",SUM(HV21)/COUNT(HV21))</f>
        <v/>
      </c>
      <c r="HW20" s="183" t="str">
        <f t="shared" si="65"/>
        <v/>
      </c>
      <c r="HX20" s="184">
        <f>IF(COUNT(HX21)=0,"",SUM(HX21)/COUNT(HX21))</f>
        <v>3.5</v>
      </c>
      <c r="HY20" s="185" t="str">
        <f t="shared" si="66"/>
        <v>B</v>
      </c>
      <c r="HZ20" s="196"/>
      <c r="IA20" s="65"/>
      <c r="IB20" s="85"/>
      <c r="IC20" s="159">
        <f>IF(COUNT(IC21)=0,"",SUM(IC21)/COUNT(IC21))</f>
        <v>3.5</v>
      </c>
      <c r="ID20" s="160" t="str">
        <f t="shared" si="67"/>
        <v>B</v>
      </c>
      <c r="IE20" s="152"/>
      <c r="IF20" s="65"/>
      <c r="IG20" s="65"/>
      <c r="IH20" s="85"/>
      <c r="II20" s="159" t="str">
        <f>IF(COUNT(II21)=0,"",SUM(II21)/COUNT(II21))</f>
        <v/>
      </c>
      <c r="IJ20" s="175" t="str">
        <f t="shared" si="68"/>
        <v/>
      </c>
      <c r="IK20" s="153"/>
      <c r="IL20" s="90"/>
      <c r="IM20" s="90"/>
      <c r="IN20" s="90"/>
      <c r="IO20" s="90"/>
      <c r="IP20" s="91"/>
      <c r="IQ20" s="159" t="str">
        <f>IF(COUNT(IQ21)=0,"",SUM(IQ21)/COUNT(IQ21))</f>
        <v/>
      </c>
      <c r="IR20" s="183" t="str">
        <f t="shared" si="69"/>
        <v/>
      </c>
      <c r="IS20" s="184">
        <f>IF(COUNT(IS21)=0,"",SUM(IS21)/COUNT(IS21))</f>
        <v>3.5</v>
      </c>
      <c r="IT20" s="185" t="str">
        <f t="shared" si="70"/>
        <v>B</v>
      </c>
      <c r="IU20" s="196"/>
      <c r="IV20" s="65"/>
      <c r="IW20" s="85"/>
      <c r="IX20" s="159">
        <f>IF(COUNT(IX21)=0,"",SUM(IX21)/COUNT(IX21))</f>
        <v>2.5</v>
      </c>
      <c r="IY20" s="160" t="str">
        <f t="shared" si="71"/>
        <v>C</v>
      </c>
      <c r="IZ20" s="152"/>
      <c r="JA20" s="65"/>
      <c r="JB20" s="65"/>
      <c r="JC20" s="85"/>
      <c r="JD20" s="159" t="str">
        <f>IF(COUNT(JD21)=0,"",SUM(JD21)/COUNT(JD21))</f>
        <v/>
      </c>
      <c r="JE20" s="175" t="str">
        <f t="shared" si="72"/>
        <v/>
      </c>
      <c r="JF20" s="153"/>
      <c r="JG20" s="90"/>
      <c r="JH20" s="90"/>
      <c r="JI20" s="90"/>
      <c r="JJ20" s="90"/>
      <c r="JK20" s="91"/>
      <c r="JL20" s="159" t="str">
        <f>IF(COUNT(JL21)=0,"",SUM(JL21)/COUNT(JL21))</f>
        <v/>
      </c>
      <c r="JM20" s="183" t="str">
        <f t="shared" si="73"/>
        <v/>
      </c>
      <c r="JN20" s="184">
        <f>IF(COUNT(JN21)=0,"",SUM(JN21)/COUNT(JN21))</f>
        <v>2.5</v>
      </c>
      <c r="JO20" s="185" t="str">
        <f t="shared" si="74"/>
        <v>C</v>
      </c>
      <c r="JP20" s="196"/>
      <c r="JQ20" s="65"/>
      <c r="JR20" s="85"/>
      <c r="JS20" s="159">
        <f>IF(COUNT(JS21)=0,"",SUM(JS21)/COUNT(JS21))</f>
        <v>1.5</v>
      </c>
      <c r="JT20" s="160" t="str">
        <f t="shared" si="75"/>
        <v>D</v>
      </c>
      <c r="JU20" s="152"/>
      <c r="JV20" s="65"/>
      <c r="JW20" s="65"/>
      <c r="JX20" s="85"/>
      <c r="JY20" s="159" t="str">
        <f>IF(COUNT(JY21)=0,"",SUM(JY21)/COUNT(JY21))</f>
        <v/>
      </c>
      <c r="JZ20" s="175" t="str">
        <f t="shared" si="76"/>
        <v/>
      </c>
      <c r="KA20" s="153"/>
      <c r="KB20" s="90"/>
      <c r="KC20" s="90"/>
      <c r="KD20" s="90"/>
      <c r="KE20" s="90"/>
      <c r="KF20" s="91"/>
      <c r="KG20" s="159" t="str">
        <f>IF(COUNT(KG21)=0,"",SUM(KG21)/COUNT(KG21))</f>
        <v/>
      </c>
      <c r="KH20" s="183" t="str">
        <f t="shared" si="77"/>
        <v/>
      </c>
      <c r="KI20" s="184">
        <f>IF(COUNT(KI21)=0,"",SUM(KI21)/COUNT(KI21))</f>
        <v>1.5</v>
      </c>
      <c r="KJ20" s="185" t="str">
        <f t="shared" si="78"/>
        <v>D</v>
      </c>
      <c r="KK20" s="196"/>
      <c r="KL20" s="65"/>
      <c r="KM20" s="85"/>
      <c r="KN20" s="159">
        <f>IF(COUNT(KN21)=0,"",SUM(KN21)/COUNT(KN21))</f>
        <v>2.5</v>
      </c>
      <c r="KO20" s="160" t="str">
        <f t="shared" si="79"/>
        <v>C</v>
      </c>
      <c r="KP20" s="152"/>
      <c r="KQ20" s="65"/>
      <c r="KR20" s="65"/>
      <c r="KS20" s="85"/>
      <c r="KT20" s="159" t="str">
        <f>IF(COUNT(KT21)=0,"",SUM(KT21)/COUNT(KT21))</f>
        <v/>
      </c>
      <c r="KU20" s="175" t="str">
        <f t="shared" si="80"/>
        <v/>
      </c>
      <c r="KV20" s="153"/>
      <c r="KW20" s="90"/>
      <c r="KX20" s="90"/>
      <c r="KY20" s="90"/>
      <c r="KZ20" s="90"/>
      <c r="LA20" s="91"/>
      <c r="LB20" s="159" t="str">
        <f>IF(COUNT(LB21)=0,"",SUM(LB21)/COUNT(LB21))</f>
        <v/>
      </c>
      <c r="LC20" s="183" t="str">
        <f t="shared" si="81"/>
        <v/>
      </c>
      <c r="LD20" s="184">
        <f>IF(COUNT(LD21)=0,"",SUM(LD21)/COUNT(LD21))</f>
        <v>2.5</v>
      </c>
      <c r="LE20" s="185" t="str">
        <f t="shared" si="82"/>
        <v>C</v>
      </c>
      <c r="LF20" s="196"/>
      <c r="LG20" s="65"/>
      <c r="LH20" s="85"/>
      <c r="LI20" s="159">
        <f>IF(COUNT(LI21)=0,"",SUM(LI21)/COUNT(LI21))</f>
        <v>3</v>
      </c>
      <c r="LJ20" s="160" t="str">
        <f t="shared" si="83"/>
        <v>B</v>
      </c>
      <c r="LK20" s="152"/>
      <c r="LL20" s="65"/>
      <c r="LM20" s="65"/>
      <c r="LN20" s="85"/>
      <c r="LO20" s="159" t="str">
        <f>IF(COUNT(LO21)=0,"",SUM(LO21)/COUNT(LO21))</f>
        <v/>
      </c>
      <c r="LP20" s="175" t="str">
        <f t="shared" si="84"/>
        <v/>
      </c>
      <c r="LQ20" s="153"/>
      <c r="LR20" s="90"/>
      <c r="LS20" s="90"/>
      <c r="LT20" s="90"/>
      <c r="LU20" s="90"/>
      <c r="LV20" s="91"/>
      <c r="LW20" s="159" t="str">
        <f>IF(COUNT(LW21)=0,"",SUM(LW21)/COUNT(LW21))</f>
        <v/>
      </c>
      <c r="LX20" s="183" t="str">
        <f t="shared" si="85"/>
        <v/>
      </c>
      <c r="LY20" s="184">
        <f>IF(COUNT(LY21)=0,"",SUM(LY21)/COUNT(LY21))</f>
        <v>3</v>
      </c>
      <c r="LZ20" s="185" t="str">
        <f t="shared" si="86"/>
        <v>B</v>
      </c>
      <c r="MA20" s="196"/>
      <c r="MB20" s="65"/>
      <c r="MC20" s="85"/>
      <c r="MD20" s="159">
        <f>IF(COUNT(MD21)=0,"",SUM(MD21)/COUNT(MD21))</f>
        <v>1.5</v>
      </c>
      <c r="ME20" s="160" t="str">
        <f t="shared" si="87"/>
        <v>D</v>
      </c>
      <c r="MF20" s="152"/>
      <c r="MG20" s="65"/>
      <c r="MH20" s="65"/>
      <c r="MI20" s="85"/>
      <c r="MJ20" s="159" t="str">
        <f>IF(COUNT(MJ21)=0,"",SUM(MJ21)/COUNT(MJ21))</f>
        <v/>
      </c>
      <c r="MK20" s="175" t="str">
        <f t="shared" si="88"/>
        <v/>
      </c>
      <c r="ML20" s="153"/>
      <c r="MM20" s="90"/>
      <c r="MN20" s="90"/>
      <c r="MO20" s="90"/>
      <c r="MP20" s="90"/>
      <c r="MQ20" s="91"/>
      <c r="MR20" s="159" t="str">
        <f>IF(COUNT(MR21)=0,"",SUM(MR21)/COUNT(MR21))</f>
        <v/>
      </c>
      <c r="MS20" s="183" t="str">
        <f t="shared" si="89"/>
        <v/>
      </c>
      <c r="MT20" s="184">
        <f>IF(COUNT(MT21)=0,"",SUM(MT21)/COUNT(MT21))</f>
        <v>1.5</v>
      </c>
      <c r="MU20" s="185" t="str">
        <f t="shared" si="90"/>
        <v>D</v>
      </c>
      <c r="MV20" s="196"/>
      <c r="MW20" s="65"/>
      <c r="MX20" s="85"/>
      <c r="MY20" s="159">
        <f>IF(COUNT(MY21)=0,"",SUM(MY21)/COUNT(MY21))</f>
        <v>2.5</v>
      </c>
      <c r="MZ20" s="160" t="str">
        <f t="shared" si="91"/>
        <v>C</v>
      </c>
      <c r="NA20" s="152"/>
      <c r="NB20" s="65"/>
      <c r="NC20" s="65"/>
      <c r="ND20" s="85"/>
      <c r="NE20" s="159" t="str">
        <f>IF(COUNT(NE21)=0,"",SUM(NE21)/COUNT(NE21))</f>
        <v/>
      </c>
      <c r="NF20" s="175" t="str">
        <f t="shared" si="92"/>
        <v/>
      </c>
      <c r="NG20" s="153"/>
      <c r="NH20" s="90"/>
      <c r="NI20" s="90"/>
      <c r="NJ20" s="90"/>
      <c r="NK20" s="90"/>
      <c r="NL20" s="91"/>
      <c r="NM20" s="159" t="str">
        <f>IF(COUNT(NM21)=0,"",SUM(NM21)/COUNT(NM21))</f>
        <v/>
      </c>
      <c r="NN20" s="183" t="str">
        <f t="shared" si="93"/>
        <v/>
      </c>
      <c r="NO20" s="184">
        <f>IF(COUNT(NO21)=0,"",SUM(NO21)/COUNT(NO21))</f>
        <v>2.5</v>
      </c>
      <c r="NP20" s="185" t="str">
        <f t="shared" si="94"/>
        <v>C</v>
      </c>
      <c r="NQ20" s="196"/>
      <c r="NR20" s="65"/>
      <c r="NS20" s="85"/>
      <c r="NT20" s="159">
        <f>IF(COUNT(NT21)=0,"",SUM(NT21)/COUNT(NT21))</f>
        <v>3</v>
      </c>
      <c r="NU20" s="160" t="str">
        <f t="shared" si="95"/>
        <v>B</v>
      </c>
      <c r="NV20" s="152"/>
      <c r="NW20" s="65"/>
      <c r="NX20" s="65"/>
      <c r="NY20" s="85"/>
      <c r="NZ20" s="159" t="str">
        <f>IF(COUNT(NZ21)=0,"",SUM(NZ21)/COUNT(NZ21))</f>
        <v/>
      </c>
      <c r="OA20" s="175" t="str">
        <f t="shared" si="96"/>
        <v/>
      </c>
      <c r="OB20" s="153"/>
      <c r="OC20" s="90"/>
      <c r="OD20" s="90"/>
      <c r="OE20" s="90"/>
      <c r="OF20" s="90"/>
      <c r="OG20" s="91"/>
      <c r="OH20" s="159" t="str">
        <f>IF(COUNT(OH21)=0,"",SUM(OH21)/COUNT(OH21))</f>
        <v/>
      </c>
      <c r="OI20" s="183" t="str">
        <f t="shared" si="97"/>
        <v/>
      </c>
      <c r="OJ20" s="184">
        <f>IF(COUNT(OJ21)=0,"",SUM(OJ21)/COUNT(OJ21))</f>
        <v>3</v>
      </c>
      <c r="OK20" s="185" t="str">
        <f t="shared" si="98"/>
        <v>B</v>
      </c>
      <c r="OL20" s="196"/>
      <c r="OM20" s="65"/>
      <c r="ON20" s="85"/>
      <c r="OO20" s="159">
        <f>IF(COUNT(OO21)=0,"",SUM(OO21)/COUNT(OO21))</f>
        <v>2</v>
      </c>
      <c r="OP20" s="160" t="str">
        <f t="shared" si="99"/>
        <v>C</v>
      </c>
      <c r="OQ20" s="152"/>
      <c r="OR20" s="65"/>
      <c r="OS20" s="65"/>
      <c r="OT20" s="85"/>
      <c r="OU20" s="159" t="str">
        <f>IF(COUNT(OU21)=0,"",SUM(OU21)/COUNT(OU21))</f>
        <v/>
      </c>
      <c r="OV20" s="175" t="str">
        <f t="shared" si="100"/>
        <v/>
      </c>
      <c r="OW20" s="153"/>
      <c r="OX20" s="90"/>
      <c r="OY20" s="90"/>
      <c r="OZ20" s="90"/>
      <c r="PA20" s="90"/>
      <c r="PB20" s="91"/>
      <c r="PC20" s="159" t="str">
        <f>IF(COUNT(PC21)=0,"",SUM(PC21)/COUNT(PC21))</f>
        <v/>
      </c>
      <c r="PD20" s="183" t="str">
        <f t="shared" si="101"/>
        <v/>
      </c>
      <c r="PE20" s="184">
        <f>IF(COUNT(PE21)=0,"",SUM(PE21)/COUNT(PE21))</f>
        <v>2</v>
      </c>
      <c r="PF20" s="185" t="str">
        <f t="shared" si="102"/>
        <v>C</v>
      </c>
      <c r="PG20" s="196"/>
      <c r="PH20" s="65"/>
      <c r="PI20" s="85"/>
      <c r="PJ20" s="159">
        <f>IF(COUNT(PJ21)=0,"",SUM(PJ21)/COUNT(PJ21))</f>
        <v>2.5</v>
      </c>
      <c r="PK20" s="160" t="str">
        <f t="shared" si="103"/>
        <v>C</v>
      </c>
      <c r="PL20" s="152"/>
      <c r="PM20" s="65"/>
      <c r="PN20" s="65"/>
      <c r="PO20" s="85"/>
      <c r="PP20" s="159" t="str">
        <f>IF(COUNT(PP21)=0,"",SUM(PP21)/COUNT(PP21))</f>
        <v/>
      </c>
      <c r="PQ20" s="175" t="str">
        <f t="shared" si="104"/>
        <v/>
      </c>
      <c r="PR20" s="153"/>
      <c r="PS20" s="90"/>
      <c r="PT20" s="90"/>
      <c r="PU20" s="90"/>
      <c r="PV20" s="90"/>
      <c r="PW20" s="91"/>
      <c r="PX20" s="159" t="str">
        <f>IF(COUNT(PX21)=0,"",SUM(PX21)/COUNT(PX21))</f>
        <v/>
      </c>
      <c r="PY20" s="183" t="str">
        <f t="shared" si="105"/>
        <v/>
      </c>
      <c r="PZ20" s="184">
        <f>IF(COUNT(PZ21)=0,"",SUM(PZ21)/COUNT(PZ21))</f>
        <v>2.5</v>
      </c>
      <c r="QA20" s="185" t="str">
        <f t="shared" si="106"/>
        <v>C</v>
      </c>
      <c r="QB20" s="196"/>
      <c r="QC20" s="65"/>
      <c r="QD20" s="85"/>
      <c r="QE20" s="159">
        <f>IF(COUNT(QE21)=0,"",SUM(QE21)/COUNT(QE21))</f>
        <v>2.5</v>
      </c>
      <c r="QF20" s="160" t="str">
        <f t="shared" si="107"/>
        <v>C</v>
      </c>
      <c r="QG20" s="152"/>
      <c r="QH20" s="65"/>
      <c r="QI20" s="65"/>
      <c r="QJ20" s="85"/>
      <c r="QK20" s="159" t="str">
        <f>IF(COUNT(QK21)=0,"",SUM(QK21)/COUNT(QK21))</f>
        <v/>
      </c>
      <c r="QL20" s="175" t="str">
        <f t="shared" si="108"/>
        <v/>
      </c>
      <c r="QM20" s="153"/>
      <c r="QN20" s="90"/>
      <c r="QO20" s="90"/>
      <c r="QP20" s="90"/>
      <c r="QQ20" s="90"/>
      <c r="QR20" s="91"/>
      <c r="QS20" s="159" t="str">
        <f>IF(COUNT(QS21)=0,"",SUM(QS21)/COUNT(QS21))</f>
        <v/>
      </c>
      <c r="QT20" s="183" t="str">
        <f t="shared" si="109"/>
        <v/>
      </c>
      <c r="QU20" s="184">
        <f>IF(COUNT(QU21)=0,"",SUM(QU21)/COUNT(QU21))</f>
        <v>2.5</v>
      </c>
      <c r="QV20" s="185" t="str">
        <f t="shared" si="110"/>
        <v>C</v>
      </c>
      <c r="QW20" s="196"/>
      <c r="QX20" s="65"/>
      <c r="QY20" s="85"/>
      <c r="QZ20" s="159">
        <f>IF(COUNT(QZ21)=0,"",SUM(QZ21)/COUNT(QZ21))</f>
        <v>2.5</v>
      </c>
      <c r="RA20" s="160" t="str">
        <f t="shared" si="111"/>
        <v>C</v>
      </c>
      <c r="RB20" s="152"/>
      <c r="RC20" s="65"/>
      <c r="RD20" s="65"/>
      <c r="RE20" s="85"/>
      <c r="RF20" s="159" t="str">
        <f>IF(COUNT(RF21)=0,"",SUM(RF21)/COUNT(RF21))</f>
        <v/>
      </c>
      <c r="RG20" s="175" t="str">
        <f t="shared" si="112"/>
        <v/>
      </c>
      <c r="RH20" s="153"/>
      <c r="RI20" s="90"/>
      <c r="RJ20" s="90"/>
      <c r="RK20" s="90"/>
      <c r="RL20" s="90"/>
      <c r="RM20" s="91"/>
      <c r="RN20" s="159" t="str">
        <f>IF(COUNT(RN21)=0,"",SUM(RN21)/COUNT(RN21))</f>
        <v/>
      </c>
      <c r="RO20" s="183" t="str">
        <f t="shared" si="113"/>
        <v/>
      </c>
      <c r="RP20" s="184">
        <f>IF(COUNT(RP21)=0,"",SUM(RP21)/COUNT(RP21))</f>
        <v>2.5</v>
      </c>
      <c r="RQ20" s="185" t="str">
        <f t="shared" si="114"/>
        <v>C</v>
      </c>
      <c r="RR20" s="196"/>
      <c r="RS20" s="65"/>
      <c r="RT20" s="85"/>
      <c r="RU20" s="159">
        <f>IF(COUNT(RU21)=0,"",SUM(RU21)/COUNT(RU21))</f>
        <v>2</v>
      </c>
      <c r="RV20" s="160" t="str">
        <f t="shared" si="115"/>
        <v>C</v>
      </c>
      <c r="RW20" s="152"/>
      <c r="RX20" s="65"/>
      <c r="RY20" s="65"/>
      <c r="RZ20" s="85"/>
      <c r="SA20" s="159" t="str">
        <f>IF(COUNT(SA21)=0,"",SUM(SA21)/COUNT(SA21))</f>
        <v/>
      </c>
      <c r="SB20" s="175" t="str">
        <f t="shared" si="116"/>
        <v/>
      </c>
      <c r="SC20" s="153"/>
      <c r="SD20" s="90"/>
      <c r="SE20" s="90"/>
      <c r="SF20" s="90"/>
      <c r="SG20" s="90"/>
      <c r="SH20" s="91"/>
      <c r="SI20" s="159" t="str">
        <f>IF(COUNT(SI21)=0,"",SUM(SI21)/COUNT(SI21))</f>
        <v/>
      </c>
      <c r="SJ20" s="183" t="str">
        <f t="shared" si="117"/>
        <v/>
      </c>
      <c r="SK20" s="184">
        <f>IF(COUNT(SK21)=0,"",SUM(SK21)/COUNT(SK21))</f>
        <v>2</v>
      </c>
      <c r="SL20" s="185" t="str">
        <f t="shared" si="118"/>
        <v>C</v>
      </c>
      <c r="SM20" s="121"/>
      <c r="SN20" s="65"/>
      <c r="SO20" s="85"/>
      <c r="SP20" s="86" t="str">
        <f>IF(COUNT(SP21)=0,"",SUM(SP21)/COUNT(SP21))</f>
        <v/>
      </c>
      <c r="SQ20" s="87" t="str">
        <f t="shared" si="119"/>
        <v/>
      </c>
      <c r="SR20" s="84"/>
      <c r="SS20" s="65"/>
      <c r="ST20" s="85"/>
      <c r="SU20" s="86" t="str">
        <f>IF(COUNT(SU21)=0,"",SUM(SU21)/COUNT(SU21))</f>
        <v/>
      </c>
      <c r="SV20" s="88" t="str">
        <f t="shared" si="120"/>
        <v/>
      </c>
      <c r="SW20" s="89"/>
      <c r="SX20" s="90"/>
      <c r="SY20" s="91"/>
      <c r="SZ20" s="86" t="str">
        <f>IF(COUNT(SZ21)=0,"",SUM(SZ21)/COUNT(SZ21))</f>
        <v/>
      </c>
      <c r="TA20" s="92" t="str">
        <f t="shared" si="121"/>
        <v/>
      </c>
      <c r="TB20" s="93" t="str">
        <f>IF(COUNT(TB21)=0,"",SUM(TB21)/COUNT(TB21))</f>
        <v/>
      </c>
      <c r="TC20" s="94" t="str">
        <f t="shared" si="122"/>
        <v/>
      </c>
      <c r="TD20" s="121"/>
      <c r="TE20" s="65"/>
      <c r="TF20" s="85"/>
      <c r="TG20" s="86" t="str">
        <f>IF(COUNT(TG21)=0,"",SUM(TG21)/COUNT(TG21))</f>
        <v/>
      </c>
      <c r="TH20" s="87" t="str">
        <f t="shared" si="123"/>
        <v/>
      </c>
      <c r="TI20" s="84"/>
      <c r="TJ20" s="65"/>
      <c r="TK20" s="85"/>
      <c r="TL20" s="86" t="str">
        <f>IF(COUNT(TL21)=0,"",SUM(TL21)/COUNT(TL21))</f>
        <v/>
      </c>
      <c r="TM20" s="88" t="str">
        <f t="shared" si="124"/>
        <v/>
      </c>
      <c r="TN20" s="89"/>
      <c r="TO20" s="90"/>
      <c r="TP20" s="91"/>
      <c r="TQ20" s="86" t="str">
        <f>IF(COUNT(TQ21)=0,"",SUM(TQ21)/COUNT(TQ21))</f>
        <v/>
      </c>
      <c r="TR20" s="92" t="str">
        <f t="shared" si="125"/>
        <v/>
      </c>
      <c r="TS20" s="93" t="str">
        <f>IF(COUNT(TS21)=0,"",SUM(TS21)/COUNT(TS21))</f>
        <v/>
      </c>
      <c r="TT20" s="94" t="str">
        <f t="shared" si="126"/>
        <v/>
      </c>
      <c r="TU20" s="121"/>
      <c r="TV20" s="65"/>
      <c r="TW20" s="85"/>
      <c r="TX20" s="86" t="str">
        <f>IF(COUNT(TX21)=0,"",SUM(TX21)/COUNT(TX21))</f>
        <v/>
      </c>
      <c r="TY20" s="87" t="str">
        <f t="shared" si="127"/>
        <v/>
      </c>
      <c r="TZ20" s="84"/>
      <c r="UA20" s="65"/>
      <c r="UB20" s="85"/>
      <c r="UC20" s="86" t="str">
        <f>IF(COUNT(UC21)=0,"",SUM(UC21)/COUNT(UC21))</f>
        <v/>
      </c>
      <c r="UD20" s="88" t="str">
        <f t="shared" si="128"/>
        <v/>
      </c>
      <c r="UE20" s="89"/>
      <c r="UF20" s="90"/>
      <c r="UG20" s="91"/>
      <c r="UH20" s="86" t="str">
        <f>IF(COUNT(UH21)=0,"",SUM(UH21)/COUNT(UH21))</f>
        <v/>
      </c>
      <c r="UI20" s="92" t="str">
        <f t="shared" si="129"/>
        <v/>
      </c>
      <c r="UJ20" s="93" t="str">
        <f>IF(COUNT(UJ21)=0,"",SUM(UJ21)/COUNT(UJ21))</f>
        <v/>
      </c>
      <c r="UK20" s="94" t="str">
        <f t="shared" si="130"/>
        <v/>
      </c>
      <c r="UL20" s="121"/>
      <c r="UM20" s="65"/>
      <c r="UN20" s="85"/>
      <c r="UO20" s="86" t="str">
        <f>IF(COUNT(UO21)=0,"",SUM(UO21)/COUNT(UO21))</f>
        <v/>
      </c>
      <c r="UP20" s="87" t="str">
        <f t="shared" si="131"/>
        <v/>
      </c>
      <c r="UQ20" s="84"/>
      <c r="UR20" s="65"/>
      <c r="US20" s="85"/>
      <c r="UT20" s="86" t="str">
        <f>IF(COUNT(UT21)=0,"",SUM(UT21)/COUNT(UT21))</f>
        <v/>
      </c>
      <c r="UU20" s="88" t="str">
        <f t="shared" si="132"/>
        <v/>
      </c>
      <c r="UV20" s="89"/>
      <c r="UW20" s="90"/>
      <c r="UX20" s="91"/>
      <c r="UY20" s="86" t="str">
        <f>IF(COUNT(UY21)=0,"",SUM(UY21)/COUNT(UY21))</f>
        <v/>
      </c>
      <c r="UZ20" s="92" t="str">
        <f t="shared" si="133"/>
        <v/>
      </c>
      <c r="VA20" s="93" t="str">
        <f>IF(COUNT(VA21)=0,"",SUM(VA21)/COUNT(VA21))</f>
        <v/>
      </c>
      <c r="VB20" s="94" t="str">
        <f t="shared" si="134"/>
        <v/>
      </c>
      <c r="VC20" s="121"/>
      <c r="VD20" s="65"/>
      <c r="VE20" s="85"/>
      <c r="VF20" s="86" t="str">
        <f>IF(COUNT(VF21)=0,"",SUM(VF21)/COUNT(VF21))</f>
        <v/>
      </c>
      <c r="VG20" s="87" t="str">
        <f t="shared" si="135"/>
        <v/>
      </c>
      <c r="VH20" s="84"/>
      <c r="VI20" s="65"/>
      <c r="VJ20" s="85"/>
      <c r="VK20" s="86" t="str">
        <f>IF(COUNT(VK21)=0,"",SUM(VK21)/COUNT(VK21))</f>
        <v/>
      </c>
      <c r="VL20" s="88" t="str">
        <f t="shared" si="136"/>
        <v/>
      </c>
      <c r="VM20" s="89"/>
      <c r="VN20" s="90"/>
      <c r="VO20" s="91"/>
      <c r="VP20" s="86" t="str">
        <f>IF(COUNT(VP21)=0,"",SUM(VP21)/COUNT(VP21))</f>
        <v/>
      </c>
      <c r="VQ20" s="92" t="str">
        <f t="shared" si="137"/>
        <v/>
      </c>
      <c r="VR20" s="93" t="str">
        <f>IF(COUNT(VR21)=0,"",SUM(VR21)/COUNT(VR21))</f>
        <v/>
      </c>
      <c r="VS20" s="94" t="str">
        <f t="shared" si="138"/>
        <v/>
      </c>
      <c r="VT20" s="121"/>
      <c r="VU20" s="65"/>
      <c r="VV20" s="85"/>
      <c r="VW20" s="86" t="str">
        <f>IF(COUNT(VW21)=0,"",SUM(VW21)/COUNT(VW21))</f>
        <v/>
      </c>
      <c r="VX20" s="87" t="str">
        <f t="shared" si="139"/>
        <v/>
      </c>
      <c r="VY20" s="84"/>
      <c r="VZ20" s="65"/>
      <c r="WA20" s="85"/>
      <c r="WB20" s="86" t="str">
        <f>IF(COUNT(WB21)=0,"",SUM(WB21)/COUNT(WB21))</f>
        <v/>
      </c>
      <c r="WC20" s="88" t="str">
        <f t="shared" si="140"/>
        <v/>
      </c>
      <c r="WD20" s="89"/>
      <c r="WE20" s="90"/>
      <c r="WF20" s="91"/>
      <c r="WG20" s="86" t="str">
        <f>IF(COUNT(WG21)=0,"",SUM(WG21)/COUNT(WG21))</f>
        <v/>
      </c>
      <c r="WH20" s="92" t="str">
        <f t="shared" si="141"/>
        <v/>
      </c>
      <c r="WI20" s="93" t="str">
        <f>IF(COUNT(WI21)=0,"",SUM(WI21)/COUNT(WI21))</f>
        <v/>
      </c>
      <c r="WJ20" s="94" t="str">
        <f t="shared" si="142"/>
        <v/>
      </c>
    </row>
    <row r="21" spans="1:608" ht="18" customHeight="1" thickBot="1" x14ac:dyDescent="0.6">
      <c r="A21" s="225" t="s">
        <v>25</v>
      </c>
      <c r="B21" s="226"/>
      <c r="C21" s="124" t="s">
        <v>27</v>
      </c>
      <c r="D21" s="125" t="s">
        <v>28</v>
      </c>
      <c r="E21" s="126"/>
      <c r="F21" s="167">
        <f>IFERROR((((COUNTIF('Elève (3ème3)'!C21:E21,"A"))*4)+((COUNTIF('Elève (3ème3)'!C21:E21,"B"))*3)+((COUNTIF('Elève (3ème3)'!C21:E21,"C"))*2)+((COUNTIF('Elève (3ème3)'!C21:E21,"D"))*1))/(COUNTA(C21:E21)),"")</f>
        <v>3.5</v>
      </c>
      <c r="G21" s="168" t="str">
        <f t="shared" si="23"/>
        <v>B</v>
      </c>
      <c r="H21" s="124"/>
      <c r="I21" s="125"/>
      <c r="J21" s="126"/>
      <c r="K21" s="126"/>
      <c r="L21" s="167" t="str">
        <f>IFERROR((((COUNTIF('Elève (3ème3)'!H21:K21,"A"))*4)+((COUNTIF('Elève (3ème3)'!H21:K21,"B"))*3)+((COUNTIF('Elève (3ème3)'!H21:K21,"C"))*2)+((COUNTIF('Elève (3ème3)'!H21:K21,"D"))*1))/(COUNTA(H21:K21)),"")</f>
        <v/>
      </c>
      <c r="M21" s="168" t="str">
        <f t="shared" si="24"/>
        <v/>
      </c>
      <c r="N21" s="124"/>
      <c r="O21" s="125"/>
      <c r="P21" s="126"/>
      <c r="Q21" s="126"/>
      <c r="R21" s="126"/>
      <c r="S21" s="126"/>
      <c r="T21" s="167" t="str">
        <f>IFERROR((((COUNTIF('Elève (3ème3)'!N21:S21,"A"))*4)+((COUNTIF('Elève (3ème3)'!N21:S21,"B"))*3)+((COUNTIF('Elève (3ème3)'!N21:S21,"C"))*2)+((COUNTIF('Elève (3ème3)'!N21:S21,"D"))*1))/(COUNTA(N21:S21)),"")</f>
        <v/>
      </c>
      <c r="U21" s="168" t="str">
        <f t="shared" si="25"/>
        <v/>
      </c>
      <c r="V21" s="167">
        <f>IF(COUNT(F21,L21,T21)=0,"",SUM(F21,L21,T21)/COUNT(F21,L21,T21))</f>
        <v>3.5</v>
      </c>
      <c r="W21" s="192" t="str">
        <f t="shared" si="26"/>
        <v>B</v>
      </c>
      <c r="X21" s="124" t="s">
        <v>27</v>
      </c>
      <c r="Y21" s="125" t="s">
        <v>29</v>
      </c>
      <c r="Z21" s="126"/>
      <c r="AA21" s="167">
        <f>IFERROR((((COUNTIF('Elève (3ème3)'!X21:Z21,"A"))*4)+((COUNTIF('Elève (3ème3)'!X21:Z21,"B"))*3)+((COUNTIF('Elève (3ème3)'!X21:Z21,"C"))*2)+((COUNTIF('Elève (3ème3)'!X21:Z21,"D"))*1))/(COUNTA(X21:Z21)),"")</f>
        <v>3</v>
      </c>
      <c r="AB21" s="168" t="str">
        <f t="shared" si="27"/>
        <v>B</v>
      </c>
      <c r="AC21" s="124"/>
      <c r="AD21" s="125"/>
      <c r="AE21" s="126"/>
      <c r="AF21" s="126"/>
      <c r="AG21" s="167" t="str">
        <f>IFERROR((((COUNTIF('Elève (3ème3)'!AC21:AF21,"A"))*4)+((COUNTIF('Elève (3ème3)'!AC21:AF21,"B"))*3)+((COUNTIF('Elève (3ème3)'!AC21:AF21,"C"))*2)+((COUNTIF('Elève (3ème3)'!AC21:AF21,"D"))*1))/(COUNTA(AC21:AF21)),"")</f>
        <v/>
      </c>
      <c r="AH21" s="168" t="str">
        <f t="shared" si="28"/>
        <v/>
      </c>
      <c r="AI21" s="124"/>
      <c r="AJ21" s="125"/>
      <c r="AK21" s="126"/>
      <c r="AL21" s="126"/>
      <c r="AM21" s="126"/>
      <c r="AN21" s="130"/>
      <c r="AO21" s="167" t="str">
        <f>IFERROR((((COUNTIF('Elève (3ème3)'!AI21:AN21,"A"))*4)+((COUNTIF('Elève (3ème3)'!AI21:AN21,"B"))*3)+((COUNTIF('Elève (3ème3)'!AI21:AN21,"C"))*2)+((COUNTIF('Elève (3ème3)'!AI21:AN21,"D"))*1))/(COUNTA(AI21:AN21)),"")</f>
        <v/>
      </c>
      <c r="AP21" s="168" t="str">
        <f t="shared" si="29"/>
        <v/>
      </c>
      <c r="AQ21" s="167">
        <f>IF(COUNT(AA21,AG21,AO21)=0,"",SUM(AA21,AG21,AO21)/COUNT(AA21,AG21,AO21))</f>
        <v>3</v>
      </c>
      <c r="AR21" s="192" t="str">
        <f t="shared" si="30"/>
        <v>B</v>
      </c>
      <c r="AS21" s="124" t="s">
        <v>30</v>
      </c>
      <c r="AT21" s="125" t="s">
        <v>29</v>
      </c>
      <c r="AU21" s="126"/>
      <c r="AV21" s="167">
        <f>IFERROR((((COUNTIF('Elève (3ème3)'!AS21:AU21,"A"))*4)+((COUNTIF('Elève (3ème3)'!AS21:AU21,"B"))*3)+((COUNTIF('Elève (3ème3)'!AS21:AU21,"C"))*2)+((COUNTIF('Elève (3ème3)'!AS21:AU21,"D"))*1))/(COUNTA(AS21:AU21)),"")</f>
        <v>1.5</v>
      </c>
      <c r="AW21" s="168" t="str">
        <f t="shared" si="31"/>
        <v>D</v>
      </c>
      <c r="AX21" s="124"/>
      <c r="AY21" s="125"/>
      <c r="AZ21" s="126"/>
      <c r="BA21" s="126"/>
      <c r="BB21" s="167" t="str">
        <f>IFERROR((((COUNTIF('Elève (3ème3)'!AX21:BA21,"A"))*4)+((COUNTIF('Elève (3ème3)'!AX21:BA21,"B"))*3)+((COUNTIF('Elève (3ème3)'!AX21:BA21,"C"))*2)+((COUNTIF('Elève (3ème3)'!AX21:BA21,"D"))*1))/(COUNTA(AX21:BA21)),"")</f>
        <v/>
      </c>
      <c r="BC21" s="168" t="str">
        <f t="shared" si="32"/>
        <v/>
      </c>
      <c r="BD21" s="124"/>
      <c r="BE21" s="125"/>
      <c r="BF21" s="126"/>
      <c r="BG21" s="126"/>
      <c r="BH21" s="126"/>
      <c r="BI21" s="130"/>
      <c r="BJ21" s="167" t="str">
        <f>IFERROR((((COUNTIF('Elève (3ème3)'!BD21:BI21,"A"))*4)+((COUNTIF('Elève (3ème3)'!BD21:BI21,"B"))*3)+((COUNTIF('Elève (3ème3)'!BD21:BI21,"C"))*2)+((COUNTIF('Elève (3ème3)'!BD21:BI21,"D"))*1))/(COUNTA(BD21:BI21)),"")</f>
        <v/>
      </c>
      <c r="BK21" s="168" t="str">
        <f t="shared" si="33"/>
        <v/>
      </c>
      <c r="BL21" s="167">
        <f>IF(COUNT(AV21,BB21,BJ21)=0,"",SUM(AV21,BB21,BJ21)/COUNT(AV21,BB21,BJ21))</f>
        <v>1.5</v>
      </c>
      <c r="BM21" s="192" t="str">
        <f t="shared" si="34"/>
        <v>D</v>
      </c>
      <c r="BN21" s="124" t="s">
        <v>27</v>
      </c>
      <c r="BO21" s="125" t="s">
        <v>28</v>
      </c>
      <c r="BP21" s="126"/>
      <c r="BQ21" s="167">
        <f>IFERROR((((COUNTIF('Elève (3ème3)'!BN21:BP21,"A"))*4)+((COUNTIF('Elève (3ème3)'!BN21:BP21,"B"))*3)+((COUNTIF('Elève (3ème3)'!BN21:BP21,"C"))*2)+((COUNTIF('Elève (3ème3)'!BN21:BP21,"D"))*1))/(COUNTA(BN21:BP21)),"")</f>
        <v>3.5</v>
      </c>
      <c r="BR21" s="168" t="str">
        <f t="shared" si="35"/>
        <v>B</v>
      </c>
      <c r="BS21" s="124"/>
      <c r="BT21" s="125"/>
      <c r="BU21" s="126"/>
      <c r="BV21" s="126"/>
      <c r="BW21" s="167" t="str">
        <f>IFERROR((((COUNTIF('Elève (3ème3)'!BS21:BV21,"A"))*4)+((COUNTIF('Elève (3ème3)'!BS21:BV21,"B"))*3)+((COUNTIF('Elève (3ème3)'!BS21:BV21,"C"))*2)+((COUNTIF('Elève (3ème3)'!BS21:BV21,"D"))*1))/(COUNTA(BS21:BV21)),"")</f>
        <v/>
      </c>
      <c r="BX21" s="168" t="str">
        <f t="shared" si="36"/>
        <v/>
      </c>
      <c r="BY21" s="124"/>
      <c r="BZ21" s="125"/>
      <c r="CA21" s="126"/>
      <c r="CB21" s="126"/>
      <c r="CC21" s="126"/>
      <c r="CD21" s="130"/>
      <c r="CE21" s="167" t="str">
        <f>IFERROR((((COUNTIF('Elève (3ème3)'!BY21:CD21,"A"))*4)+((COUNTIF('Elève (3ème3)'!BY21:CD21,"B"))*3)+((COUNTIF('Elève (3ème3)'!BY21:CD21,"C"))*2)+((COUNTIF('Elève (3ème3)'!BY21:CD21,"D"))*1))/(COUNTA(BY21:CD21)),"")</f>
        <v/>
      </c>
      <c r="CF21" s="168" t="str">
        <f t="shared" si="37"/>
        <v/>
      </c>
      <c r="CG21" s="167">
        <f>IF(COUNT(BQ21,BW21,CE21)=0,"",SUM(BQ21,BW21,CE21)/COUNT(BQ21,BW21,CE21))</f>
        <v>3.5</v>
      </c>
      <c r="CH21" s="192" t="str">
        <f t="shared" si="38"/>
        <v>B</v>
      </c>
      <c r="CI21" s="124" t="s">
        <v>30</v>
      </c>
      <c r="CJ21" s="125" t="s">
        <v>28</v>
      </c>
      <c r="CK21" s="126"/>
      <c r="CL21" s="167">
        <f>IFERROR((((COUNTIF('Elève (3ème3)'!CI21:CK21,"A"))*4)+((COUNTIF('Elève (3ème3)'!CI21:CK21,"B"))*3)+((COUNTIF('Elève (3ème3)'!CI21:CK21,"C"))*2)+((COUNTIF('Elève (3ème3)'!CI21:CK21,"D"))*1))/(COUNTA(CI21:CK21)),"")</f>
        <v>2</v>
      </c>
      <c r="CM21" s="168" t="str">
        <f t="shared" si="39"/>
        <v>C</v>
      </c>
      <c r="CN21" s="124"/>
      <c r="CO21" s="125"/>
      <c r="CP21" s="126"/>
      <c r="CQ21" s="126"/>
      <c r="CR21" s="167" t="str">
        <f>IFERROR((((COUNTIF('Elève (3ème3)'!CN21:CQ21,"A"))*4)+((COUNTIF('Elève (3ème3)'!CN21:CQ21,"B"))*3)+((COUNTIF('Elève (3ème3)'!CN21:CQ21,"C"))*2)+((COUNTIF('Elève (3ème3)'!CN21:CQ21,"D"))*1))/(COUNTA(CN21:CQ21)),"")</f>
        <v/>
      </c>
      <c r="CS21" s="168" t="str">
        <f t="shared" si="40"/>
        <v/>
      </c>
      <c r="CT21" s="124"/>
      <c r="CU21" s="125"/>
      <c r="CV21" s="126"/>
      <c r="CW21" s="126"/>
      <c r="CX21" s="126"/>
      <c r="CY21" s="130"/>
      <c r="CZ21" s="167" t="str">
        <f>IFERROR((((COUNTIF('Elève (3ème3)'!CT21:CY21,"A"))*4)+((COUNTIF('Elève (3ème3)'!CT21:CY21,"B"))*3)+((COUNTIF('Elève (3ème3)'!CT21:CY21,"C"))*2)+((COUNTIF('Elève (3ème3)'!CT21:CY21,"D"))*1))/(COUNTA(CT21:CY21)),"")</f>
        <v/>
      </c>
      <c r="DA21" s="168" t="str">
        <f t="shared" si="41"/>
        <v/>
      </c>
      <c r="DB21" s="167">
        <f>IF(COUNT(CL21,CR21,CZ21)=0,"",SUM(CL21,CR21,CZ21)/COUNT(CL21,CR21,CZ21))</f>
        <v>2</v>
      </c>
      <c r="DC21" s="192" t="str">
        <f t="shared" si="42"/>
        <v>C</v>
      </c>
      <c r="DD21" s="124" t="s">
        <v>27</v>
      </c>
      <c r="DE21" s="125" t="s">
        <v>29</v>
      </c>
      <c r="DF21" s="126"/>
      <c r="DG21" s="167">
        <f>IFERROR((((COUNTIF('Elève (3ème3)'!DD21:DF21,"A"))*4)+((COUNTIF('Elève (3ème3)'!DD21:DF21,"B"))*3)+((COUNTIF('Elève (3ème3)'!DD21:DF21,"C"))*2)+((COUNTIF('Elève (3ème3)'!DD21:DF21,"D"))*1))/(COUNTA(DD21:DF21)),"")</f>
        <v>3</v>
      </c>
      <c r="DH21" s="168" t="str">
        <f t="shared" si="43"/>
        <v>B</v>
      </c>
      <c r="DI21" s="124"/>
      <c r="DJ21" s="125"/>
      <c r="DK21" s="126"/>
      <c r="DL21" s="126"/>
      <c r="DM21" s="167" t="str">
        <f>IFERROR((((COUNTIF('Elève (3ème3)'!DI21:DL21,"A"))*4)+((COUNTIF('Elève (3ème3)'!DI21:DL21,"B"))*3)+((COUNTIF('Elève (3ème3)'!DI21:DL21,"C"))*2)+((COUNTIF('Elève (3ème3)'!DI21:DL21,"D"))*1))/(COUNTA(DI21:DL21)),"")</f>
        <v/>
      </c>
      <c r="DN21" s="168" t="str">
        <f t="shared" si="44"/>
        <v/>
      </c>
      <c r="DO21" s="124"/>
      <c r="DP21" s="125"/>
      <c r="DQ21" s="126"/>
      <c r="DR21" s="126"/>
      <c r="DS21" s="126"/>
      <c r="DT21" s="130"/>
      <c r="DU21" s="167" t="str">
        <f>IFERROR((((COUNTIF('Elève (3ème3)'!DO21:DT21,"A"))*4)+((COUNTIF('Elève (3ème3)'!DO21:DT21,"B"))*3)+((COUNTIF('Elève (3ème3)'!DO21:DT21,"C"))*2)+((COUNTIF('Elève (3ème3)'!DO21:DT21,"D"))*1))/(COUNTA(DO21:DT21)),"")</f>
        <v/>
      </c>
      <c r="DV21" s="168" t="str">
        <f t="shared" si="45"/>
        <v/>
      </c>
      <c r="DW21" s="167">
        <f>IF(COUNT(DG21,DM21,DU21)=0,"",SUM(DG21,DM21,DU21)/COUNT(DG21,DM21,DU21))</f>
        <v>3</v>
      </c>
      <c r="DX21" s="192" t="str">
        <f t="shared" si="46"/>
        <v>B</v>
      </c>
      <c r="DY21" s="124" t="s">
        <v>27</v>
      </c>
      <c r="DZ21" s="125" t="s">
        <v>28</v>
      </c>
      <c r="EA21" s="126"/>
      <c r="EB21" s="167">
        <f>IFERROR((((COUNTIF('Elève (3ème3)'!DY21:EA21,"A"))*4)+((COUNTIF('Elève (3ème3)'!DY21:EA21,"B"))*3)+((COUNTIF('Elève (3ème3)'!DY21:EA21,"C"))*2)+((COUNTIF('Elève (3ème3)'!DY21:EA21,"D"))*1))/(COUNTA(DY21:EA21)),"")</f>
        <v>3.5</v>
      </c>
      <c r="EC21" s="168" t="str">
        <f t="shared" si="47"/>
        <v>B</v>
      </c>
      <c r="ED21" s="124"/>
      <c r="EE21" s="125"/>
      <c r="EF21" s="126"/>
      <c r="EG21" s="126"/>
      <c r="EH21" s="167" t="str">
        <f>IFERROR((((COUNTIF('Elève (3ème3)'!ED21:EG21,"A"))*4)+((COUNTIF('Elève (3ème3)'!ED21:EG21,"B"))*3)+((COUNTIF('Elève (3ème3)'!ED21:EG21,"C"))*2)+((COUNTIF('Elève (3ème3)'!ED21:EG21,"D"))*1))/(COUNTA(ED21:EG21)),"")</f>
        <v/>
      </c>
      <c r="EI21" s="168" t="str">
        <f t="shared" si="48"/>
        <v/>
      </c>
      <c r="EJ21" s="124"/>
      <c r="EK21" s="125"/>
      <c r="EL21" s="126"/>
      <c r="EM21" s="126"/>
      <c r="EN21" s="126"/>
      <c r="EO21" s="130"/>
      <c r="EP21" s="167" t="str">
        <f>IFERROR((((COUNTIF('Elève (3ème3)'!EJ21:EO21,"A"))*4)+((COUNTIF('Elève (3ème3)'!EJ21:EO21,"B"))*3)+((COUNTIF('Elève (3ème3)'!EJ21:EO21,"C"))*2)+((COUNTIF('Elève (3ème3)'!EJ21:EO21,"D"))*1))/(COUNTA(EJ21:EO21)),"")</f>
        <v/>
      </c>
      <c r="EQ21" s="168" t="str">
        <f t="shared" si="49"/>
        <v/>
      </c>
      <c r="ER21" s="167">
        <f>IF(COUNT(EB21,EH21,EP21)=0,"",SUM(EB21,EH21,EP21)/COUNT(EB21,EH21,EP21))</f>
        <v>3.5</v>
      </c>
      <c r="ES21" s="192" t="str">
        <f t="shared" si="50"/>
        <v>B</v>
      </c>
      <c r="ET21" s="124" t="s">
        <v>29</v>
      </c>
      <c r="EU21" s="125" t="s">
        <v>28</v>
      </c>
      <c r="EV21" s="126"/>
      <c r="EW21" s="167">
        <f>IFERROR((((COUNTIF('Elève (3ème3)'!ET21:EV21,"A"))*4)+((COUNTIF('Elève (3ème3)'!ET21:EV21,"B"))*3)+((COUNTIF('Elève (3ème3)'!ET21:EV21,"C"))*2)+((COUNTIF('Elève (3ème3)'!ET21:EV21,"D"))*1))/(COUNTA(ET21:EV21)),"")</f>
        <v>2.5</v>
      </c>
      <c r="EX21" s="168" t="str">
        <f t="shared" si="51"/>
        <v>C</v>
      </c>
      <c r="EY21" s="124"/>
      <c r="EZ21" s="125"/>
      <c r="FA21" s="126"/>
      <c r="FB21" s="126"/>
      <c r="FC21" s="167" t="str">
        <f>IFERROR((((COUNTIF('Elève (3ème3)'!EY21:FB21,"A"))*4)+((COUNTIF('Elève (3ème3)'!EY21:FB21,"B"))*3)+((COUNTIF('Elève (3ème3)'!EY21:FB21,"C"))*2)+((COUNTIF('Elève (3ème3)'!EY21:FB21,"D"))*1))/(COUNTA(EY21:FB21)),"")</f>
        <v/>
      </c>
      <c r="FD21" s="168" t="str">
        <f t="shared" si="52"/>
        <v/>
      </c>
      <c r="FE21" s="124"/>
      <c r="FF21" s="125"/>
      <c r="FG21" s="126"/>
      <c r="FH21" s="126"/>
      <c r="FI21" s="126"/>
      <c r="FJ21" s="130"/>
      <c r="FK21" s="167" t="str">
        <f>IFERROR((((COUNTIF('Elève (3ème3)'!FE21:FJ21,"A"))*4)+((COUNTIF('Elève (3ème3)'!FE21:FJ21,"B"))*3)+((COUNTIF('Elève (3ème3)'!FE21:FJ21,"C"))*2)+((COUNTIF('Elève (3ème3)'!FE21:FJ21,"D"))*1))/(COUNTA(FE21:FJ21)),"")</f>
        <v/>
      </c>
      <c r="FL21" s="168" t="str">
        <f t="shared" si="53"/>
        <v/>
      </c>
      <c r="FM21" s="167">
        <f>IF(COUNT(EW21,FC21,FK21)=0,"",SUM(EW21,FC21,FK21)/COUNT(EW21,FC21,FK21))</f>
        <v>2.5</v>
      </c>
      <c r="FN21" s="192" t="str">
        <f t="shared" si="54"/>
        <v>C</v>
      </c>
      <c r="FO21" s="124" t="s">
        <v>27</v>
      </c>
      <c r="FP21" s="125" t="s">
        <v>28</v>
      </c>
      <c r="FQ21" s="126"/>
      <c r="FR21" s="167">
        <f>IFERROR((((COUNTIF('Elève (3ème3)'!FO21:FQ21,"A"))*4)+((COUNTIF('Elève (3ème3)'!FO21:FQ21,"B"))*3)+((COUNTIF('Elève (3ème3)'!FO21:FQ21,"C"))*2)+((COUNTIF('Elève (3ème3)'!FO21:FQ21,"D"))*1))/(COUNTA(FO21:FQ21)),"")</f>
        <v>3.5</v>
      </c>
      <c r="FS21" s="168" t="str">
        <f t="shared" si="55"/>
        <v>B</v>
      </c>
      <c r="FT21" s="124"/>
      <c r="FU21" s="125"/>
      <c r="FV21" s="126"/>
      <c r="FW21" s="126"/>
      <c r="FX21" s="167" t="str">
        <f>IFERROR((((COUNTIF('Elève (3ème3)'!FT21:FW21,"A"))*4)+((COUNTIF('Elève (3ème3)'!FT21:FW21,"B"))*3)+((COUNTIF('Elève (3ème3)'!FT21:FW21,"C"))*2)+((COUNTIF('Elève (3ème3)'!FT21:FW21,"D"))*1))/(COUNTA(FT21:FW21)),"")</f>
        <v/>
      </c>
      <c r="FY21" s="168" t="str">
        <f t="shared" si="56"/>
        <v/>
      </c>
      <c r="FZ21" s="124"/>
      <c r="GA21" s="125"/>
      <c r="GB21" s="126"/>
      <c r="GC21" s="126"/>
      <c r="GD21" s="126"/>
      <c r="GE21" s="130"/>
      <c r="GF21" s="167" t="str">
        <f>IFERROR((((COUNTIF('Elève (3ème3)'!FZ21:GE21,"A"))*4)+((COUNTIF('Elève (3ème3)'!FZ21:GE21,"B"))*3)+((COUNTIF('Elève (3ème3)'!FZ21:GE21,"C"))*2)+((COUNTIF('Elève (3ème3)'!FZ21:GE21,"D"))*1))/(COUNTA(FZ21:GE21)),"")</f>
        <v/>
      </c>
      <c r="GG21" s="168" t="str">
        <f t="shared" si="57"/>
        <v/>
      </c>
      <c r="GH21" s="167">
        <f>IF(COUNT(FR21,FX21,GF21)=0,"",SUM(FR21,FX21,GF21)/COUNT(FR21,FX21,GF21))</f>
        <v>3.5</v>
      </c>
      <c r="GI21" s="192" t="str">
        <f t="shared" si="58"/>
        <v>B</v>
      </c>
      <c r="GJ21" s="124" t="s">
        <v>29</v>
      </c>
      <c r="GK21" s="125" t="s">
        <v>28</v>
      </c>
      <c r="GL21" s="126"/>
      <c r="GM21" s="167">
        <f>IFERROR((((COUNTIF('Elève (3ème3)'!GJ21:GL21,"A"))*4)+((COUNTIF('Elève (3ème3)'!GJ21:GL21,"B"))*3)+((COUNTIF('Elève (3ème3)'!GJ21:GL21,"C"))*2)+((COUNTIF('Elève (3ème3)'!GJ21:GL21,"D"))*1))/(COUNTA(GJ21:GL21)),"")</f>
        <v>2.5</v>
      </c>
      <c r="GN21" s="168" t="str">
        <f t="shared" si="59"/>
        <v>C</v>
      </c>
      <c r="GO21" s="124"/>
      <c r="GP21" s="125"/>
      <c r="GQ21" s="126"/>
      <c r="GR21" s="126"/>
      <c r="GS21" s="167" t="str">
        <f>IFERROR((((COUNTIF('Elève (3ème3)'!GO21:GR21,"A"))*4)+((COUNTIF('Elève (3ème3)'!GO21:GR21,"B"))*3)+((COUNTIF('Elève (3ème3)'!GO21:GR21,"C"))*2)+((COUNTIF('Elève (3ème3)'!GO21:GR21,"D"))*1))/(COUNTA(GO21:GR21)),"")</f>
        <v/>
      </c>
      <c r="GT21" s="168" t="str">
        <f t="shared" si="60"/>
        <v/>
      </c>
      <c r="GU21" s="124"/>
      <c r="GV21" s="125"/>
      <c r="GW21" s="126"/>
      <c r="GX21" s="126"/>
      <c r="GY21" s="126"/>
      <c r="GZ21" s="130"/>
      <c r="HA21" s="167" t="str">
        <f>IFERROR((((COUNTIF('Elève (3ème3)'!GU21:GZ21,"A"))*4)+((COUNTIF('Elève (3ème3)'!GU21:GZ21,"B"))*3)+((COUNTIF('Elève (3ème3)'!GU21:GZ21,"C"))*2)+((COUNTIF('Elève (3ème3)'!GU21:GZ21,"D"))*1))/(COUNTA(GU21:GZ21)),"")</f>
        <v/>
      </c>
      <c r="HB21" s="168" t="str">
        <f t="shared" si="61"/>
        <v/>
      </c>
      <c r="HC21" s="167">
        <f>IF(COUNT(GM21,GS21,HA21)=0,"",SUM(GM21,GS21,HA21)/COUNT(GM21,GS21,HA21))</f>
        <v>2.5</v>
      </c>
      <c r="HD21" s="192" t="str">
        <f t="shared" si="62"/>
        <v>C</v>
      </c>
      <c r="HE21" s="124" t="s">
        <v>28</v>
      </c>
      <c r="HF21" s="125" t="s">
        <v>27</v>
      </c>
      <c r="HG21" s="126"/>
      <c r="HH21" s="167">
        <f>IFERROR((((COUNTIF('Elève (3ème3)'!HE21:HG21,"A"))*4)+((COUNTIF('Elève (3ème3)'!HE21:HG21,"B"))*3)+((COUNTIF('Elève (3ème3)'!HE21:HG21,"C"))*2)+((COUNTIF('Elève (3ème3)'!HE21:HG21,"D"))*1))/(COUNTA(HE21:HG21)),"")</f>
        <v>3.5</v>
      </c>
      <c r="HI21" s="168" t="str">
        <f t="shared" si="63"/>
        <v>B</v>
      </c>
      <c r="HJ21" s="124"/>
      <c r="HK21" s="125"/>
      <c r="HL21" s="126"/>
      <c r="HM21" s="126"/>
      <c r="HN21" s="167" t="str">
        <f>IFERROR((((COUNTIF('Elève (3ème3)'!HJ21:HM21,"A"))*4)+((COUNTIF('Elève (3ème3)'!HJ21:HM21,"B"))*3)+((COUNTIF('Elève (3ème3)'!HJ21:HM21,"C"))*2)+((COUNTIF('Elève (3ème3)'!HJ21:HM21,"D"))*1))/(COUNTA(HJ21:HM21)),"")</f>
        <v/>
      </c>
      <c r="HO21" s="168" t="str">
        <f t="shared" si="64"/>
        <v/>
      </c>
      <c r="HP21" s="124"/>
      <c r="HQ21" s="125"/>
      <c r="HR21" s="126"/>
      <c r="HS21" s="126"/>
      <c r="HT21" s="126"/>
      <c r="HU21" s="130"/>
      <c r="HV21" s="167" t="str">
        <f>IFERROR((((COUNTIF('Elève (3ème3)'!HP21:HU21,"A"))*4)+((COUNTIF('Elève (3ème3)'!HP21:HU21,"B"))*3)+((COUNTIF('Elève (3ème3)'!HP21:HU21,"C"))*2)+((COUNTIF('Elève (3ème3)'!HP21:HU21,"D"))*1))/(COUNTA(HP21:HU21)),"")</f>
        <v/>
      </c>
      <c r="HW21" s="168" t="str">
        <f t="shared" si="65"/>
        <v/>
      </c>
      <c r="HX21" s="167">
        <f>IF(COUNT(HH21,HN21,HV21)=0,"",SUM(HH21,HN21,HV21)/COUNT(HH21,HN21,HV21))</f>
        <v>3.5</v>
      </c>
      <c r="HY21" s="192" t="str">
        <f t="shared" si="66"/>
        <v>B</v>
      </c>
      <c r="HZ21" s="124" t="s">
        <v>27</v>
      </c>
      <c r="IA21" s="125" t="s">
        <v>28</v>
      </c>
      <c r="IB21" s="126"/>
      <c r="IC21" s="167">
        <f>IFERROR((((COUNTIF('Elève (3ème3)'!HZ21:IB21,"A"))*4)+((COUNTIF('Elève (3ème3)'!HZ21:IB21,"B"))*3)+((COUNTIF('Elève (3ème3)'!HZ21:IB21,"C"))*2)+((COUNTIF('Elève (3ème3)'!HZ21:IB21,"D"))*1))/(COUNTA(HZ21:IB21)),"")</f>
        <v>3.5</v>
      </c>
      <c r="ID21" s="168" t="str">
        <f t="shared" si="67"/>
        <v>B</v>
      </c>
      <c r="IE21" s="124"/>
      <c r="IF21" s="125"/>
      <c r="IG21" s="126"/>
      <c r="IH21" s="126"/>
      <c r="II21" s="167" t="str">
        <f>IFERROR((((COUNTIF('Elève (3ème3)'!IE21:IH21,"A"))*4)+((COUNTIF('Elève (3ème3)'!IE21:IH21,"B"))*3)+((COUNTIF('Elève (3ème3)'!IE21:IH21,"C"))*2)+((COUNTIF('Elève (3ème3)'!IE21:IH21,"D"))*1))/(COUNTA(IE21:IH21)),"")</f>
        <v/>
      </c>
      <c r="IJ21" s="168" t="str">
        <f t="shared" si="68"/>
        <v/>
      </c>
      <c r="IK21" s="124"/>
      <c r="IL21" s="125"/>
      <c r="IM21" s="126"/>
      <c r="IN21" s="126"/>
      <c r="IO21" s="126"/>
      <c r="IP21" s="130"/>
      <c r="IQ21" s="167" t="str">
        <f>IFERROR((((COUNTIF('Elève (3ème3)'!IK21:IP21,"A"))*4)+((COUNTIF('Elève (3ème3)'!IK21:IP21,"B"))*3)+((COUNTIF('Elève (3ème3)'!IK21:IP21,"C"))*2)+((COUNTIF('Elève (3ème3)'!IK21:IP21,"D"))*1))/(COUNTA(IK21:IP21)),"")</f>
        <v/>
      </c>
      <c r="IR21" s="168" t="str">
        <f t="shared" si="69"/>
        <v/>
      </c>
      <c r="IS21" s="167">
        <f>IF(COUNT(IC21,II21,IQ21)=0,"",SUM(IC21,II21,IQ21)/COUNT(IC21,II21,IQ21))</f>
        <v>3.5</v>
      </c>
      <c r="IT21" s="192" t="str">
        <f t="shared" si="70"/>
        <v>B</v>
      </c>
      <c r="IU21" s="124" t="s">
        <v>28</v>
      </c>
      <c r="IV21" s="125" t="s">
        <v>29</v>
      </c>
      <c r="IW21" s="126"/>
      <c r="IX21" s="167">
        <f>IFERROR((((COUNTIF('Elève (3ème3)'!IU21:IW21,"A"))*4)+((COUNTIF('Elève (3ème3)'!IU21:IW21,"B"))*3)+((COUNTIF('Elève (3ème3)'!IU21:IW21,"C"))*2)+((COUNTIF('Elève (3ème3)'!IU21:IW21,"D"))*1))/(COUNTA(IU21:IW21)),"")</f>
        <v>2.5</v>
      </c>
      <c r="IY21" s="168" t="str">
        <f t="shared" si="71"/>
        <v>C</v>
      </c>
      <c r="IZ21" s="124"/>
      <c r="JA21" s="125"/>
      <c r="JB21" s="126"/>
      <c r="JC21" s="126"/>
      <c r="JD21" s="167" t="str">
        <f>IFERROR((((COUNTIF('Elève (3ème3)'!IZ21:JC21,"A"))*4)+((COUNTIF('Elève (3ème3)'!IZ21:JC21,"B"))*3)+((COUNTIF('Elève (3ème3)'!IZ21:JC21,"C"))*2)+((COUNTIF('Elève (3ème3)'!IZ21:JC21,"D"))*1))/(COUNTA(IZ21:JC21)),"")</f>
        <v/>
      </c>
      <c r="JE21" s="168" t="str">
        <f t="shared" si="72"/>
        <v/>
      </c>
      <c r="JF21" s="124"/>
      <c r="JG21" s="125"/>
      <c r="JH21" s="126"/>
      <c r="JI21" s="126"/>
      <c r="JJ21" s="126"/>
      <c r="JK21" s="130"/>
      <c r="JL21" s="167" t="str">
        <f>IFERROR((((COUNTIF('Elève (3ème3)'!JF21:JK21,"A"))*4)+((COUNTIF('Elève (3ème3)'!JF21:JK21,"B"))*3)+((COUNTIF('Elève (3ème3)'!JF21:JK21,"C"))*2)+((COUNTIF('Elève (3ème3)'!JF21:JK21,"D"))*1))/(COUNTA(JF21:JK21)),"")</f>
        <v/>
      </c>
      <c r="JM21" s="168" t="str">
        <f t="shared" si="73"/>
        <v/>
      </c>
      <c r="JN21" s="167">
        <f>IF(COUNT(IX21,JD21,JL21)=0,"",SUM(IX21,JD21,JL21)/COUNT(IX21,JD21,JL21))</f>
        <v>2.5</v>
      </c>
      <c r="JO21" s="192" t="str">
        <f t="shared" si="74"/>
        <v>C</v>
      </c>
      <c r="JP21" s="124" t="s">
        <v>30</v>
      </c>
      <c r="JQ21" s="125" t="s">
        <v>29</v>
      </c>
      <c r="JR21" s="126"/>
      <c r="JS21" s="167">
        <f>IFERROR((((COUNTIF('Elève (3ème3)'!JP21:JR21,"A"))*4)+((COUNTIF('Elève (3ème3)'!JP21:JR21,"B"))*3)+((COUNTIF('Elève (3ème3)'!JP21:JR21,"C"))*2)+((COUNTIF('Elève (3ème3)'!JP21:JR21,"D"))*1))/(COUNTA(JP21:JR21)),"")</f>
        <v>1.5</v>
      </c>
      <c r="JT21" s="168" t="str">
        <f t="shared" si="75"/>
        <v>D</v>
      </c>
      <c r="JU21" s="124"/>
      <c r="JV21" s="125"/>
      <c r="JW21" s="126"/>
      <c r="JX21" s="126"/>
      <c r="JY21" s="167" t="str">
        <f>IFERROR((((COUNTIF('Elève (3ème3)'!JU21:JX21,"A"))*4)+((COUNTIF('Elève (3ème3)'!JU21:JX21,"B"))*3)+((COUNTIF('Elève (3ème3)'!JU21:JX21,"C"))*2)+((COUNTIF('Elève (3ème3)'!JU21:JX21,"D"))*1))/(COUNTA(JU21:JX21)),"")</f>
        <v/>
      </c>
      <c r="JZ21" s="168" t="str">
        <f t="shared" si="76"/>
        <v/>
      </c>
      <c r="KA21" s="124"/>
      <c r="KB21" s="125"/>
      <c r="KC21" s="126"/>
      <c r="KD21" s="126"/>
      <c r="KE21" s="126"/>
      <c r="KF21" s="130"/>
      <c r="KG21" s="167" t="str">
        <f>IFERROR((((COUNTIF('Elève (3ème3)'!KA21:KF21,"A"))*4)+((COUNTIF('Elève (3ème3)'!KA21:KF21,"B"))*3)+((COUNTIF('Elève (3ème3)'!KA21:KF21,"C"))*2)+((COUNTIF('Elève (3ème3)'!KA21:KF21,"D"))*1))/(COUNTA(KA21:KF21)),"")</f>
        <v/>
      </c>
      <c r="KH21" s="168" t="str">
        <f t="shared" si="77"/>
        <v/>
      </c>
      <c r="KI21" s="167">
        <f>IF(COUNT(JS21,JY21,KG21)=0,"",SUM(JS21,JY21,KG21)/COUNT(JS21,JY21,KG21))</f>
        <v>1.5</v>
      </c>
      <c r="KJ21" s="192" t="str">
        <f t="shared" si="78"/>
        <v>D</v>
      </c>
      <c r="KK21" s="124" t="s">
        <v>29</v>
      </c>
      <c r="KL21" s="125" t="s">
        <v>28</v>
      </c>
      <c r="KM21" s="126"/>
      <c r="KN21" s="167">
        <f>IFERROR((((COUNTIF('Elève (3ème3)'!KK21:KM21,"A"))*4)+((COUNTIF('Elève (3ème3)'!KK21:KM21,"B"))*3)+((COUNTIF('Elève (3ème3)'!KK21:KM21,"C"))*2)+((COUNTIF('Elève (3ème3)'!KK21:KM21,"D"))*1))/(COUNTA(KK21:KM21)),"")</f>
        <v>2.5</v>
      </c>
      <c r="KO21" s="168" t="str">
        <f t="shared" si="79"/>
        <v>C</v>
      </c>
      <c r="KP21" s="124"/>
      <c r="KQ21" s="125"/>
      <c r="KR21" s="126"/>
      <c r="KS21" s="126"/>
      <c r="KT21" s="167" t="str">
        <f>IFERROR((((COUNTIF('Elève (3ème3)'!KP21:KS21,"A"))*4)+((COUNTIF('Elève (3ème3)'!KP21:KS21,"B"))*3)+((COUNTIF('Elève (3ème3)'!KP21:KS21,"C"))*2)+((COUNTIF('Elève (3ème3)'!KP21:KS21,"D"))*1))/(COUNTA(KP21:KS21)),"")</f>
        <v/>
      </c>
      <c r="KU21" s="168" t="str">
        <f t="shared" si="80"/>
        <v/>
      </c>
      <c r="KV21" s="124"/>
      <c r="KW21" s="125"/>
      <c r="KX21" s="126"/>
      <c r="KY21" s="126"/>
      <c r="KZ21" s="126"/>
      <c r="LA21" s="130"/>
      <c r="LB21" s="167" t="str">
        <f>IFERROR((((COUNTIF('Elève (3ème3)'!KV21:LA21,"A"))*4)+((COUNTIF('Elève (3ème3)'!KV21:LA21,"B"))*3)+((COUNTIF('Elève (3ème3)'!KV21:LA21,"C"))*2)+((COUNTIF('Elève (3ème3)'!KV21:LA21,"D"))*1))/(COUNTA(KV21:LA21)),"")</f>
        <v/>
      </c>
      <c r="LC21" s="168" t="str">
        <f t="shared" si="81"/>
        <v/>
      </c>
      <c r="LD21" s="167">
        <f>IF(COUNT(KN21,KT21,LB21)=0,"",SUM(KN21,KT21,LB21)/COUNT(KN21,KT21,LB21))</f>
        <v>2.5</v>
      </c>
      <c r="LE21" s="192" t="str">
        <f t="shared" si="82"/>
        <v>C</v>
      </c>
      <c r="LF21" s="124" t="s">
        <v>28</v>
      </c>
      <c r="LG21" s="125" t="s">
        <v>28</v>
      </c>
      <c r="LH21" s="126"/>
      <c r="LI21" s="167">
        <f>IFERROR((((COUNTIF('Elève (3ème3)'!LF21:LH21,"A"))*4)+((COUNTIF('Elève (3ème3)'!LF21:LH21,"B"))*3)+((COUNTIF('Elève (3ème3)'!LF21:LH21,"C"))*2)+((COUNTIF('Elève (3ème3)'!LF21:LH21,"D"))*1))/(COUNTA(LF21:LH21)),"")</f>
        <v>3</v>
      </c>
      <c r="LJ21" s="168" t="str">
        <f t="shared" si="83"/>
        <v>B</v>
      </c>
      <c r="LK21" s="124"/>
      <c r="LL21" s="125"/>
      <c r="LM21" s="126"/>
      <c r="LN21" s="126"/>
      <c r="LO21" s="167" t="str">
        <f>IFERROR((((COUNTIF('Elève (3ème3)'!LK21:LN21,"A"))*4)+((COUNTIF('Elève (3ème3)'!LK21:LN21,"B"))*3)+((COUNTIF('Elève (3ème3)'!LK21:LN21,"C"))*2)+((COUNTIF('Elève (3ème3)'!LK21:LN21,"D"))*1))/(COUNTA(LK21:LN21)),"")</f>
        <v/>
      </c>
      <c r="LP21" s="168" t="str">
        <f t="shared" si="84"/>
        <v/>
      </c>
      <c r="LQ21" s="124"/>
      <c r="LR21" s="125"/>
      <c r="LS21" s="126"/>
      <c r="LT21" s="126"/>
      <c r="LU21" s="126"/>
      <c r="LV21" s="130"/>
      <c r="LW21" s="167" t="str">
        <f>IFERROR((((COUNTIF('Elève (3ème3)'!LQ21:LV21,"A"))*4)+((COUNTIF('Elève (3ème3)'!LQ21:LV21,"B"))*3)+((COUNTIF('Elève (3ème3)'!LQ21:LV21,"C"))*2)+((COUNTIF('Elève (3ème3)'!LQ21:LV21,"D"))*1))/(COUNTA(LQ21:LV21)),"")</f>
        <v/>
      </c>
      <c r="LX21" s="168" t="str">
        <f t="shared" si="85"/>
        <v/>
      </c>
      <c r="LY21" s="167">
        <f>IF(COUNT(LI21,LO21,LW21)=0,"",SUM(LI21,LO21,LW21)/COUNT(LI21,LO21,LW21))</f>
        <v>3</v>
      </c>
      <c r="LZ21" s="192" t="str">
        <f t="shared" si="86"/>
        <v>B</v>
      </c>
      <c r="MA21" s="124" t="s">
        <v>30</v>
      </c>
      <c r="MB21" s="125" t="s">
        <v>29</v>
      </c>
      <c r="MC21" s="126"/>
      <c r="MD21" s="167">
        <f>IFERROR((((COUNTIF('Elève (3ème3)'!MA21:MC21,"A"))*4)+((COUNTIF('Elève (3ème3)'!MA21:MC21,"B"))*3)+((COUNTIF('Elève (3ème3)'!MA21:MC21,"C"))*2)+((COUNTIF('Elève (3ème3)'!MA21:MC21,"D"))*1))/(COUNTA(MA21:MC21)),"")</f>
        <v>1.5</v>
      </c>
      <c r="ME21" s="168" t="str">
        <f t="shared" si="87"/>
        <v>D</v>
      </c>
      <c r="MF21" s="124"/>
      <c r="MG21" s="125"/>
      <c r="MH21" s="126"/>
      <c r="MI21" s="126"/>
      <c r="MJ21" s="167" t="str">
        <f>IFERROR((((COUNTIF('Elève (3ème3)'!MF21:MI21,"A"))*4)+((COUNTIF('Elève (3ème3)'!MF21:MI21,"B"))*3)+((COUNTIF('Elève (3ème3)'!MF21:MI21,"C"))*2)+((COUNTIF('Elève (3ème3)'!MF21:MI21,"D"))*1))/(COUNTA(MF21:MI21)),"")</f>
        <v/>
      </c>
      <c r="MK21" s="168" t="str">
        <f t="shared" si="88"/>
        <v/>
      </c>
      <c r="ML21" s="124"/>
      <c r="MM21" s="125"/>
      <c r="MN21" s="126"/>
      <c r="MO21" s="126"/>
      <c r="MP21" s="126"/>
      <c r="MQ21" s="130"/>
      <c r="MR21" s="167" t="str">
        <f>IFERROR((((COUNTIF('Elève (3ème3)'!ML21:MQ21,"A"))*4)+((COUNTIF('Elève (3ème3)'!ML21:MQ21,"B"))*3)+((COUNTIF('Elève (3ème3)'!ML21:MQ21,"C"))*2)+((COUNTIF('Elève (3ème3)'!ML21:MQ21,"D"))*1))/(COUNTA(ML21:MQ21)),"")</f>
        <v/>
      </c>
      <c r="MS21" s="168" t="str">
        <f t="shared" si="89"/>
        <v/>
      </c>
      <c r="MT21" s="167">
        <f>IF(COUNT(MD21,MJ21,MR21)=0,"",SUM(MD21,MJ21,MR21)/COUNT(MD21,MJ21,MR21))</f>
        <v>1.5</v>
      </c>
      <c r="MU21" s="192" t="str">
        <f t="shared" si="90"/>
        <v>D</v>
      </c>
      <c r="MV21" s="124" t="s">
        <v>29</v>
      </c>
      <c r="MW21" s="125" t="s">
        <v>28</v>
      </c>
      <c r="MX21" s="126"/>
      <c r="MY21" s="167">
        <f>IFERROR((((COUNTIF('Elève (3ème3)'!MV21:MX21,"A"))*4)+((COUNTIF('Elève (3ème3)'!MV21:MX21,"B"))*3)+((COUNTIF('Elève (3ème3)'!MV21:MX21,"C"))*2)+((COUNTIF('Elève (3ème3)'!MV21:MX21,"D"))*1))/(COUNTA(MV21:MX21)),"")</f>
        <v>2.5</v>
      </c>
      <c r="MZ21" s="168" t="str">
        <f t="shared" si="91"/>
        <v>C</v>
      </c>
      <c r="NA21" s="124"/>
      <c r="NB21" s="125"/>
      <c r="NC21" s="126"/>
      <c r="ND21" s="126"/>
      <c r="NE21" s="167" t="str">
        <f>IFERROR((((COUNTIF('Elève (3ème3)'!NA21:ND21,"A"))*4)+((COUNTIF('Elève (3ème3)'!NA21:ND21,"B"))*3)+((COUNTIF('Elève (3ème3)'!NA21:ND21,"C"))*2)+((COUNTIF('Elève (3ème3)'!NA21:ND21,"D"))*1))/(COUNTA(NA21:ND21)),"")</f>
        <v/>
      </c>
      <c r="NF21" s="168" t="str">
        <f t="shared" si="92"/>
        <v/>
      </c>
      <c r="NG21" s="124"/>
      <c r="NH21" s="125"/>
      <c r="NI21" s="126"/>
      <c r="NJ21" s="126"/>
      <c r="NK21" s="126"/>
      <c r="NL21" s="130"/>
      <c r="NM21" s="167" t="str">
        <f>IFERROR((((COUNTIF('Elève (3ème3)'!NG21:NL21,"A"))*4)+((COUNTIF('Elève (3ème3)'!NG21:NL21,"B"))*3)+((COUNTIF('Elève (3ème3)'!NG21:NL21,"C"))*2)+((COUNTIF('Elève (3ème3)'!NG21:NL21,"D"))*1))/(COUNTA(NG21:NL21)),"")</f>
        <v/>
      </c>
      <c r="NN21" s="168" t="str">
        <f t="shared" si="93"/>
        <v/>
      </c>
      <c r="NO21" s="167">
        <f>IF(COUNT(MY21,NE21,NM21)=0,"",SUM(MY21,NE21,NM21)/COUNT(MY21,NE21,NM21))</f>
        <v>2.5</v>
      </c>
      <c r="NP21" s="192" t="str">
        <f t="shared" si="94"/>
        <v>C</v>
      </c>
      <c r="NQ21" s="124" t="s">
        <v>28</v>
      </c>
      <c r="NR21" s="125" t="s">
        <v>28</v>
      </c>
      <c r="NS21" s="126"/>
      <c r="NT21" s="167">
        <f>IFERROR((((COUNTIF('Elève (3ème3)'!NQ21:NS21,"A"))*4)+((COUNTIF('Elève (3ème3)'!NQ21:NS21,"B"))*3)+((COUNTIF('Elève (3ème3)'!NQ21:NS21,"C"))*2)+((COUNTIF('Elève (3ème3)'!NQ21:NS21,"D"))*1))/(COUNTA(NQ21:NS21)),"")</f>
        <v>3</v>
      </c>
      <c r="NU21" s="168" t="str">
        <f t="shared" si="95"/>
        <v>B</v>
      </c>
      <c r="NV21" s="124"/>
      <c r="NW21" s="125"/>
      <c r="NX21" s="126"/>
      <c r="NY21" s="126"/>
      <c r="NZ21" s="167" t="str">
        <f>IFERROR((((COUNTIF('Elève (3ème3)'!NV21:NY21,"A"))*4)+((COUNTIF('Elève (3ème3)'!NV21:NY21,"B"))*3)+((COUNTIF('Elève (3ème3)'!NV21:NY21,"C"))*2)+((COUNTIF('Elève (3ème3)'!NV21:NY21,"D"))*1))/(COUNTA(NV21:NY21)),"")</f>
        <v/>
      </c>
      <c r="OA21" s="168" t="str">
        <f t="shared" si="96"/>
        <v/>
      </c>
      <c r="OB21" s="124"/>
      <c r="OC21" s="125"/>
      <c r="OD21" s="126"/>
      <c r="OE21" s="126"/>
      <c r="OF21" s="126"/>
      <c r="OG21" s="130"/>
      <c r="OH21" s="167" t="str">
        <f>IFERROR((((COUNTIF('Elève (3ème3)'!OB21:OG21,"A"))*4)+((COUNTIF('Elève (3ème3)'!OB21:OG21,"B"))*3)+((COUNTIF('Elève (3ème3)'!OB21:OG21,"C"))*2)+((COUNTIF('Elève (3ème3)'!OB21:OG21,"D"))*1))/(COUNTA(OB21:OG21)),"")</f>
        <v/>
      </c>
      <c r="OI21" s="168" t="str">
        <f t="shared" si="97"/>
        <v/>
      </c>
      <c r="OJ21" s="167">
        <f>IF(COUNT(NT21,NZ21,OH21)=0,"",SUM(NT21,NZ21,OH21)/COUNT(NT21,NZ21,OH21))</f>
        <v>3</v>
      </c>
      <c r="OK21" s="192" t="str">
        <f t="shared" si="98"/>
        <v>B</v>
      </c>
      <c r="OL21" s="124" t="s">
        <v>29</v>
      </c>
      <c r="OM21" s="125" t="s">
        <v>29</v>
      </c>
      <c r="ON21" s="126"/>
      <c r="OO21" s="167">
        <f>IFERROR((((COUNTIF('Elève (3ème3)'!OL21:ON21,"A"))*4)+((COUNTIF('Elève (3ème3)'!OL21:ON21,"B"))*3)+((COUNTIF('Elève (3ème3)'!OL21:ON21,"C"))*2)+((COUNTIF('Elève (3ème3)'!OL21:ON21,"D"))*1))/(COUNTA(OL21:ON21)),"")</f>
        <v>2</v>
      </c>
      <c r="OP21" s="168" t="str">
        <f t="shared" si="99"/>
        <v>C</v>
      </c>
      <c r="OQ21" s="124"/>
      <c r="OR21" s="125"/>
      <c r="OS21" s="126"/>
      <c r="OT21" s="126"/>
      <c r="OU21" s="167" t="str">
        <f>IFERROR((((COUNTIF('Elève (3ème3)'!OQ21:OT21,"A"))*4)+((COUNTIF('Elève (3ème3)'!OQ21:OT21,"B"))*3)+((COUNTIF('Elève (3ème3)'!OQ21:OT21,"C"))*2)+((COUNTIF('Elève (3ème3)'!OQ21:OT21,"D"))*1))/(COUNTA(OQ21:OT21)),"")</f>
        <v/>
      </c>
      <c r="OV21" s="168" t="str">
        <f t="shared" si="100"/>
        <v/>
      </c>
      <c r="OW21" s="124"/>
      <c r="OX21" s="125"/>
      <c r="OY21" s="126"/>
      <c r="OZ21" s="126"/>
      <c r="PA21" s="126"/>
      <c r="PB21" s="130"/>
      <c r="PC21" s="167" t="str">
        <f>IFERROR((((COUNTIF('Elève (3ème3)'!OW21:PB21,"A"))*4)+((COUNTIF('Elève (3ème3)'!OW21:PB21,"B"))*3)+((COUNTIF('Elève (3ème3)'!OW21:PB21,"C"))*2)+((COUNTIF('Elève (3ème3)'!OW21:PB21,"D"))*1))/(COUNTA(OW21:PB21)),"")</f>
        <v/>
      </c>
      <c r="PD21" s="168" t="str">
        <f t="shared" si="101"/>
        <v/>
      </c>
      <c r="PE21" s="167">
        <f>IF(COUNT(OO21,OU21,PC21)=0,"",SUM(OO21,OU21,PC21)/COUNT(OO21,OU21,PC21))</f>
        <v>2</v>
      </c>
      <c r="PF21" s="192" t="str">
        <f t="shared" si="102"/>
        <v>C</v>
      </c>
      <c r="PG21" s="124" t="s">
        <v>29</v>
      </c>
      <c r="PH21" s="125" t="s">
        <v>28</v>
      </c>
      <c r="PI21" s="126"/>
      <c r="PJ21" s="167">
        <f>IFERROR((((COUNTIF('Elève (3ème3)'!PG21:PI21,"A"))*4)+((COUNTIF('Elève (3ème3)'!PG21:PI21,"B"))*3)+((COUNTIF('Elève (3ème3)'!PG21:PI21,"C"))*2)+((COUNTIF('Elève (3ème3)'!PG21:PI21,"D"))*1))/(COUNTA(PG21:PI21)),"")</f>
        <v>2.5</v>
      </c>
      <c r="PK21" s="168" t="str">
        <f t="shared" si="103"/>
        <v>C</v>
      </c>
      <c r="PL21" s="124"/>
      <c r="PM21" s="125"/>
      <c r="PN21" s="126"/>
      <c r="PO21" s="126"/>
      <c r="PP21" s="167" t="str">
        <f>IFERROR((((COUNTIF('Elève (3ème3)'!PL21:PO21,"A"))*4)+((COUNTIF('Elève (3ème3)'!PL21:PO21,"B"))*3)+((COUNTIF('Elève (3ème3)'!PL21:PO21,"C"))*2)+((COUNTIF('Elève (3ème3)'!PL21:PO21,"D"))*1))/(COUNTA(PL21:PO21)),"")</f>
        <v/>
      </c>
      <c r="PQ21" s="168" t="str">
        <f t="shared" si="104"/>
        <v/>
      </c>
      <c r="PR21" s="124"/>
      <c r="PS21" s="125"/>
      <c r="PT21" s="126"/>
      <c r="PU21" s="126"/>
      <c r="PV21" s="126"/>
      <c r="PW21" s="130"/>
      <c r="PX21" s="167" t="str">
        <f>IFERROR((((COUNTIF('Elève (3ème3)'!PR21:PW21,"A"))*4)+((COUNTIF('Elève (3ème3)'!PR21:PW21,"B"))*3)+((COUNTIF('Elève (3ème3)'!PR21:PW21,"C"))*2)+((COUNTIF('Elève (3ème3)'!PR21:PW21,"D"))*1))/(COUNTA(PR21:PW21)),"")</f>
        <v/>
      </c>
      <c r="PY21" s="168" t="str">
        <f t="shared" si="105"/>
        <v/>
      </c>
      <c r="PZ21" s="167">
        <f>IF(COUNT(PJ21,PP21,PX21)=0,"",SUM(PJ21,PP21,PX21)/COUNT(PJ21,PP21,PX21))</f>
        <v>2.5</v>
      </c>
      <c r="QA21" s="192" t="str">
        <f t="shared" si="106"/>
        <v>C</v>
      </c>
      <c r="QB21" s="124" t="s">
        <v>29</v>
      </c>
      <c r="QC21" s="125" t="s">
        <v>28</v>
      </c>
      <c r="QD21" s="126"/>
      <c r="QE21" s="167">
        <f>IFERROR((((COUNTIF('Elève (3ème3)'!QB21:QD21,"A"))*4)+((COUNTIF('Elève (3ème3)'!QB21:QD21,"B"))*3)+((COUNTIF('Elève (3ème3)'!QB21:QD21,"C"))*2)+((COUNTIF('Elève (3ème3)'!QB21:QD21,"D"))*1))/(COUNTA(QB21:QD21)),"")</f>
        <v>2.5</v>
      </c>
      <c r="QF21" s="168" t="str">
        <f t="shared" si="107"/>
        <v>C</v>
      </c>
      <c r="QG21" s="124"/>
      <c r="QH21" s="125"/>
      <c r="QI21" s="126"/>
      <c r="QJ21" s="126"/>
      <c r="QK21" s="167" t="str">
        <f>IFERROR((((COUNTIF('Elève (3ème3)'!QG21:QJ21,"A"))*4)+((COUNTIF('Elève (3ème3)'!QG21:QJ21,"B"))*3)+((COUNTIF('Elève (3ème3)'!QG21:QJ21,"C"))*2)+((COUNTIF('Elève (3ème3)'!QG21:QJ21,"D"))*1))/(COUNTA(QG21:QJ21)),"")</f>
        <v/>
      </c>
      <c r="QL21" s="168" t="str">
        <f t="shared" si="108"/>
        <v/>
      </c>
      <c r="QM21" s="124"/>
      <c r="QN21" s="125"/>
      <c r="QO21" s="126"/>
      <c r="QP21" s="126"/>
      <c r="QQ21" s="126"/>
      <c r="QR21" s="130"/>
      <c r="QS21" s="167" t="str">
        <f>IFERROR((((COUNTIF('Elève (3ème3)'!QM21:QR21,"A"))*4)+((COUNTIF('Elève (3ème3)'!QM21:QR21,"B"))*3)+((COUNTIF('Elève (3ème3)'!QM21:QR21,"C"))*2)+((COUNTIF('Elève (3ème3)'!QM21:QR21,"D"))*1))/(COUNTA(QM21:QR21)),"")</f>
        <v/>
      </c>
      <c r="QT21" s="168" t="str">
        <f t="shared" si="109"/>
        <v/>
      </c>
      <c r="QU21" s="167">
        <f>IF(COUNT(QE21,QK21,QS21)=0,"",SUM(QE21,QK21,QS21)/COUNT(QE21,QK21,QS21))</f>
        <v>2.5</v>
      </c>
      <c r="QV21" s="192" t="str">
        <f t="shared" si="110"/>
        <v>C</v>
      </c>
      <c r="QW21" s="124" t="s">
        <v>28</v>
      </c>
      <c r="QX21" s="125" t="s">
        <v>29</v>
      </c>
      <c r="QY21" s="126"/>
      <c r="QZ21" s="167">
        <f>IFERROR((((COUNTIF('Elève (3ème3)'!QW21:QY21,"A"))*4)+((COUNTIF('Elève (3ème3)'!QW21:QY21,"B"))*3)+((COUNTIF('Elève (3ème3)'!QW21:QY21,"C"))*2)+((COUNTIF('Elève (3ème3)'!QW21:QY21,"D"))*1))/(COUNTA(QW21:QY21)),"")</f>
        <v>2.5</v>
      </c>
      <c r="RA21" s="168" t="str">
        <f t="shared" si="111"/>
        <v>C</v>
      </c>
      <c r="RB21" s="124"/>
      <c r="RC21" s="125"/>
      <c r="RD21" s="126"/>
      <c r="RE21" s="126"/>
      <c r="RF21" s="167" t="str">
        <f>IFERROR((((COUNTIF('Elève (3ème3)'!RB21:RE21,"A"))*4)+((COUNTIF('Elève (3ème3)'!RB21:RE21,"B"))*3)+((COUNTIF('Elève (3ème3)'!RB21:RE21,"C"))*2)+((COUNTIF('Elève (3ème3)'!RB21:RE21,"D"))*1))/(COUNTA(RB21:RE21)),"")</f>
        <v/>
      </c>
      <c r="RG21" s="168" t="str">
        <f t="shared" si="112"/>
        <v/>
      </c>
      <c r="RH21" s="124"/>
      <c r="RI21" s="125"/>
      <c r="RJ21" s="126"/>
      <c r="RK21" s="126"/>
      <c r="RL21" s="126"/>
      <c r="RM21" s="130"/>
      <c r="RN21" s="167" t="str">
        <f>IFERROR((((COUNTIF('Elève (3ème3)'!RH21:RM21,"A"))*4)+((COUNTIF('Elève (3ème3)'!RH21:RM21,"B"))*3)+((COUNTIF('Elève (3ème3)'!RH21:RM21,"C"))*2)+((COUNTIF('Elève (3ème3)'!RH21:RM21,"D"))*1))/(COUNTA(RH21:RM21)),"")</f>
        <v/>
      </c>
      <c r="RO21" s="168" t="str">
        <f t="shared" si="113"/>
        <v/>
      </c>
      <c r="RP21" s="167">
        <f>IF(COUNT(QZ21,RF21,RN21)=0,"",SUM(QZ21,RF21,RN21)/COUNT(QZ21,RF21,RN21))</f>
        <v>2.5</v>
      </c>
      <c r="RQ21" s="192" t="str">
        <f t="shared" si="114"/>
        <v>C</v>
      </c>
      <c r="RR21" s="124" t="s">
        <v>29</v>
      </c>
      <c r="RS21" s="125" t="s">
        <v>29</v>
      </c>
      <c r="RT21" s="126"/>
      <c r="RU21" s="167">
        <f>IFERROR((((COUNTIF('Elève (3ème3)'!RR21:RT21,"A"))*4)+((COUNTIF('Elève (3ème3)'!RR21:RT21,"B"))*3)+((COUNTIF('Elève (3ème3)'!RR21:RT21,"C"))*2)+((COUNTIF('Elève (3ème3)'!RR21:RT21,"D"))*1))/(COUNTA(RR21:RT21)),"")</f>
        <v>2</v>
      </c>
      <c r="RV21" s="168" t="str">
        <f t="shared" si="115"/>
        <v>C</v>
      </c>
      <c r="RW21" s="124"/>
      <c r="RX21" s="125"/>
      <c r="RY21" s="126"/>
      <c r="RZ21" s="126"/>
      <c r="SA21" s="167" t="str">
        <f>IFERROR((((COUNTIF('Elève (3ème3)'!RW21:RZ21,"A"))*4)+((COUNTIF('Elève (3ème3)'!RW21:RZ21,"B"))*3)+((COUNTIF('Elève (3ème3)'!RW21:RZ21,"C"))*2)+((COUNTIF('Elève (3ème3)'!RW21:RZ21,"D"))*1))/(COUNTA(RW21:RZ21)),"")</f>
        <v/>
      </c>
      <c r="SB21" s="168" t="str">
        <f t="shared" si="116"/>
        <v/>
      </c>
      <c r="SC21" s="124"/>
      <c r="SD21" s="125"/>
      <c r="SE21" s="126"/>
      <c r="SF21" s="126"/>
      <c r="SG21" s="126"/>
      <c r="SH21" s="130"/>
      <c r="SI21" s="167" t="str">
        <f>IFERROR((((COUNTIF('Elève (3ème3)'!SC21:SH21,"A"))*4)+((COUNTIF('Elève (3ème3)'!SC21:SH21,"B"))*3)+((COUNTIF('Elève (3ème3)'!SC21:SH21,"C"))*2)+((COUNTIF('Elève (3ème3)'!SC21:SH21,"D"))*1))/(COUNTA(SC21:SH21)),"")</f>
        <v/>
      </c>
      <c r="SJ21" s="168" t="str">
        <f t="shared" si="117"/>
        <v/>
      </c>
      <c r="SK21" s="167">
        <f>IF(COUNT(RU21,SA21,SI21)=0,"",SUM(RU21,SA21,SI21)/COUNT(RU21,SA21,SI21))</f>
        <v>2</v>
      </c>
      <c r="SL21" s="192" t="str">
        <f t="shared" si="118"/>
        <v>C</v>
      </c>
      <c r="SM21" s="124"/>
      <c r="SN21" s="125"/>
      <c r="SO21" s="126"/>
      <c r="SP21" s="127" t="str">
        <f>IFERROR((((COUNTIF('Elève (3ème3)'!SM21:SO21,"A"))*4)+((COUNTIF('Elève (3ème3)'!SM21:SO21,"B"))*3)+((COUNTIF('Elève (3ème3)'!SM21:SO21,"C"))*2)+((COUNTIF('Elève (3ème3)'!SM21:SO21,"D"))*1))/(COUNTA(SM21:SO21)),"")</f>
        <v/>
      </c>
      <c r="SQ21" s="128" t="str">
        <f t="shared" si="119"/>
        <v/>
      </c>
      <c r="SR21" s="124"/>
      <c r="SS21" s="125"/>
      <c r="ST21" s="126"/>
      <c r="SU21" s="127" t="str">
        <f>IFERROR((((COUNTIF('Elève (3ème3)'!SR21:ST21,"A"))*4)+((COUNTIF('Elève (3ème3)'!SR21:ST21,"B"))*3)+((COUNTIF('Elève (3ème3)'!SR21:ST21,"C"))*2)+((COUNTIF('Elève (3ème3)'!SR21:ST21,"D"))*1))/(COUNTA(SR21:ST21)),"")</f>
        <v/>
      </c>
      <c r="SV21" s="128" t="str">
        <f t="shared" si="120"/>
        <v/>
      </c>
      <c r="SW21" s="124"/>
      <c r="SX21" s="125"/>
      <c r="SY21" s="130"/>
      <c r="SZ21" s="127" t="str">
        <f>IFERROR((((COUNTIF('Elève (3ème3)'!SW21:SY21,"A"))*4)+((COUNTIF('Elève (3ème3)'!SW21:SY21,"B"))*3)+((COUNTIF('Elève (3ème3)'!SW21:SY21,"C"))*2)+((COUNTIF('Elève (3ème3)'!SW21:SY21,"D"))*1))/(COUNTA(SW21:SY21)),"")</f>
        <v/>
      </c>
      <c r="TA21" s="128" t="str">
        <f t="shared" si="121"/>
        <v/>
      </c>
      <c r="TB21" s="127" t="str">
        <f>IF(COUNT(SP21,SU21,SZ21)=0,"",SUM(SP21,SU21,SZ21)/COUNT(SP21,SU21,SZ21))</f>
        <v/>
      </c>
      <c r="TC21" s="129" t="str">
        <f t="shared" si="122"/>
        <v/>
      </c>
      <c r="TD21" s="124"/>
      <c r="TE21" s="125"/>
      <c r="TF21" s="126"/>
      <c r="TG21" s="127" t="str">
        <f>IFERROR((((COUNTIF('Elève (3ème3)'!TD21:TF21,"A"))*4)+((COUNTIF('Elève (3ème3)'!TD21:TF21,"B"))*3)+((COUNTIF('Elève (3ème3)'!TD21:TF21,"C"))*2)+((COUNTIF('Elève (3ème3)'!TD21:TF21,"D"))*1))/(COUNTA(TD21:TF21)),"")</f>
        <v/>
      </c>
      <c r="TH21" s="128" t="str">
        <f t="shared" si="123"/>
        <v/>
      </c>
      <c r="TI21" s="124"/>
      <c r="TJ21" s="125"/>
      <c r="TK21" s="126"/>
      <c r="TL21" s="127" t="str">
        <f>IFERROR((((COUNTIF('Elève (3ème3)'!TI21:TK21,"A"))*4)+((COUNTIF('Elève (3ème3)'!TI21:TK21,"B"))*3)+((COUNTIF('Elève (3ème3)'!TI21:TK21,"C"))*2)+((COUNTIF('Elève (3ème3)'!TI21:TK21,"D"))*1))/(COUNTA(TI21:TK21)),"")</f>
        <v/>
      </c>
      <c r="TM21" s="128" t="str">
        <f t="shared" si="124"/>
        <v/>
      </c>
      <c r="TN21" s="124"/>
      <c r="TO21" s="125"/>
      <c r="TP21" s="130"/>
      <c r="TQ21" s="127" t="str">
        <f>IFERROR((((COUNTIF('Elève (3ème3)'!TN21:TP21,"A"))*4)+((COUNTIF('Elève (3ème3)'!TN21:TP21,"B"))*3)+((COUNTIF('Elève (3ème3)'!TN21:TP21,"C"))*2)+((COUNTIF('Elève (3ème3)'!TN21:TP21,"D"))*1))/(COUNTA(TN21:TP21)),"")</f>
        <v/>
      </c>
      <c r="TR21" s="128" t="str">
        <f t="shared" si="125"/>
        <v/>
      </c>
      <c r="TS21" s="127" t="str">
        <f>IF(COUNT(TG21,TL21,TQ21)=0,"",SUM(TG21,TL21,TQ21)/COUNT(TG21,TL21,TQ21))</f>
        <v/>
      </c>
      <c r="TT21" s="129" t="str">
        <f t="shared" si="126"/>
        <v/>
      </c>
      <c r="TU21" s="124"/>
      <c r="TV21" s="125"/>
      <c r="TW21" s="126"/>
      <c r="TX21" s="127" t="str">
        <f>IFERROR((((COUNTIF('Elève (3ème3)'!TU21:TW21,"A"))*4)+((COUNTIF('Elève (3ème3)'!TU21:TW21,"B"))*3)+((COUNTIF('Elève (3ème3)'!TU21:TW21,"C"))*2)+((COUNTIF('Elève (3ème3)'!TU21:TW21,"D"))*1))/(COUNTA(TU21:TW21)),"")</f>
        <v/>
      </c>
      <c r="TY21" s="128" t="str">
        <f t="shared" si="127"/>
        <v/>
      </c>
      <c r="TZ21" s="124"/>
      <c r="UA21" s="125"/>
      <c r="UB21" s="126"/>
      <c r="UC21" s="127" t="str">
        <f>IFERROR((((COUNTIF('Elève (3ème3)'!TZ21:UB21,"A"))*4)+((COUNTIF('Elève (3ème3)'!TZ21:UB21,"B"))*3)+((COUNTIF('Elève (3ème3)'!TZ21:UB21,"C"))*2)+((COUNTIF('Elève (3ème3)'!TZ21:UB21,"D"))*1))/(COUNTA(TZ21:UB21)),"")</f>
        <v/>
      </c>
      <c r="UD21" s="128" t="str">
        <f t="shared" si="128"/>
        <v/>
      </c>
      <c r="UE21" s="124"/>
      <c r="UF21" s="125"/>
      <c r="UG21" s="130"/>
      <c r="UH21" s="127" t="str">
        <f>IFERROR((((COUNTIF('Elève (3ème3)'!UE21:UG21,"A"))*4)+((COUNTIF('Elève (3ème3)'!UE21:UG21,"B"))*3)+((COUNTIF('Elève (3ème3)'!UE21:UG21,"C"))*2)+((COUNTIF('Elève (3ème3)'!UE21:UG21,"D"))*1))/(COUNTA(UE21:UG21)),"")</f>
        <v/>
      </c>
      <c r="UI21" s="128" t="str">
        <f t="shared" si="129"/>
        <v/>
      </c>
      <c r="UJ21" s="127" t="str">
        <f>IF(COUNT(TX21,UC21,UH21)=0,"",SUM(TX21,UC21,UH21)/COUNT(TX21,UC21,UH21))</f>
        <v/>
      </c>
      <c r="UK21" s="129" t="str">
        <f t="shared" si="130"/>
        <v/>
      </c>
      <c r="UL21" s="124"/>
      <c r="UM21" s="125"/>
      <c r="UN21" s="126"/>
      <c r="UO21" s="127" t="str">
        <f>IFERROR((((COUNTIF('Elève (3ème3)'!UL21:UN21,"A"))*4)+((COUNTIF('Elève (3ème3)'!UL21:UN21,"B"))*3)+((COUNTIF('Elève (3ème3)'!UL21:UN21,"C"))*2)+((COUNTIF('Elève (3ème3)'!UL21:UN21,"D"))*1))/(COUNTA(UL21:UN21)),"")</f>
        <v/>
      </c>
      <c r="UP21" s="128" t="str">
        <f t="shared" si="131"/>
        <v/>
      </c>
      <c r="UQ21" s="124"/>
      <c r="UR21" s="125"/>
      <c r="US21" s="126"/>
      <c r="UT21" s="127" t="str">
        <f>IFERROR((((COUNTIF('Elève (3ème3)'!UQ21:US21,"A"))*4)+((COUNTIF('Elève (3ème3)'!UQ21:US21,"B"))*3)+((COUNTIF('Elève (3ème3)'!UQ21:US21,"C"))*2)+((COUNTIF('Elève (3ème3)'!UQ21:US21,"D"))*1))/(COUNTA(UQ21:US21)),"")</f>
        <v/>
      </c>
      <c r="UU21" s="128" t="str">
        <f t="shared" si="132"/>
        <v/>
      </c>
      <c r="UV21" s="124"/>
      <c r="UW21" s="125"/>
      <c r="UX21" s="130"/>
      <c r="UY21" s="127" t="str">
        <f>IFERROR((((COUNTIF('Elève (3ème3)'!UV21:UX21,"A"))*4)+((COUNTIF('Elève (3ème3)'!UV21:UX21,"B"))*3)+((COUNTIF('Elève (3ème3)'!UV21:UX21,"C"))*2)+((COUNTIF('Elève (3ème3)'!UV21:UX21,"D"))*1))/(COUNTA(UV21:UX21)),"")</f>
        <v/>
      </c>
      <c r="UZ21" s="128" t="str">
        <f t="shared" si="133"/>
        <v/>
      </c>
      <c r="VA21" s="127" t="str">
        <f>IF(COUNT(UO21,UT21,UY21)=0,"",SUM(UO21,UT21,UY21)/COUNT(UO21,UT21,UY21))</f>
        <v/>
      </c>
      <c r="VB21" s="129" t="str">
        <f t="shared" si="134"/>
        <v/>
      </c>
      <c r="VC21" s="124"/>
      <c r="VD21" s="125"/>
      <c r="VE21" s="126"/>
      <c r="VF21" s="127" t="str">
        <f>IFERROR((((COUNTIF('Elève (3ème3)'!VC21:VE21,"A"))*4)+((COUNTIF('Elève (3ème3)'!VC21:VE21,"B"))*3)+((COUNTIF('Elève (3ème3)'!VC21:VE21,"C"))*2)+((COUNTIF('Elève (3ème3)'!VC21:VE21,"D"))*1))/(COUNTA(VC21:VE21)),"")</f>
        <v/>
      </c>
      <c r="VG21" s="128" t="str">
        <f t="shared" si="135"/>
        <v/>
      </c>
      <c r="VH21" s="124"/>
      <c r="VI21" s="125"/>
      <c r="VJ21" s="126"/>
      <c r="VK21" s="127" t="str">
        <f>IFERROR((((COUNTIF('Elève (3ème3)'!VH21:VJ21,"A"))*4)+((COUNTIF('Elève (3ème3)'!VH21:VJ21,"B"))*3)+((COUNTIF('Elève (3ème3)'!VH21:VJ21,"C"))*2)+((COUNTIF('Elève (3ème3)'!VH21:VJ21,"D"))*1))/(COUNTA(VH21:VJ21)),"")</f>
        <v/>
      </c>
      <c r="VL21" s="128" t="str">
        <f t="shared" si="136"/>
        <v/>
      </c>
      <c r="VM21" s="124"/>
      <c r="VN21" s="125"/>
      <c r="VO21" s="130"/>
      <c r="VP21" s="127" t="str">
        <f>IFERROR((((COUNTIF('Elève (3ème3)'!VM21:VO21,"A"))*4)+((COUNTIF('Elève (3ème3)'!VM21:VO21,"B"))*3)+((COUNTIF('Elève (3ème3)'!VM21:VO21,"C"))*2)+((COUNTIF('Elève (3ème3)'!VM21:VO21,"D"))*1))/(COUNTA(VM21:VO21)),"")</f>
        <v/>
      </c>
      <c r="VQ21" s="128" t="str">
        <f t="shared" si="137"/>
        <v/>
      </c>
      <c r="VR21" s="127" t="str">
        <f>IF(COUNT(VF21,VK21,VP21)=0,"",SUM(VF21,VK21,VP21)/COUNT(VF21,VK21,VP21))</f>
        <v/>
      </c>
      <c r="VS21" s="129" t="str">
        <f t="shared" si="138"/>
        <v/>
      </c>
      <c r="VT21" s="124"/>
      <c r="VU21" s="125"/>
      <c r="VV21" s="126"/>
      <c r="VW21" s="127" t="str">
        <f>IFERROR((((COUNTIF('Elève (3ème3)'!VT21:VV21,"A"))*4)+((COUNTIF('Elève (3ème3)'!VT21:VV21,"B"))*3)+((COUNTIF('Elève (3ème3)'!VT21:VV21,"C"))*2)+((COUNTIF('Elève (3ème3)'!VT21:VV21,"D"))*1))/(COUNTA(VT21:VV21)),"")</f>
        <v/>
      </c>
      <c r="VX21" s="128" t="str">
        <f t="shared" si="139"/>
        <v/>
      </c>
      <c r="VY21" s="124"/>
      <c r="VZ21" s="125"/>
      <c r="WA21" s="126"/>
      <c r="WB21" s="127" t="str">
        <f>IFERROR((((COUNTIF('Elève (3ème3)'!VY21:WA21,"A"))*4)+((COUNTIF('Elève (3ème3)'!VY21:WA21,"B"))*3)+((COUNTIF('Elève (3ème3)'!VY21:WA21,"C"))*2)+((COUNTIF('Elève (3ème3)'!VY21:WA21,"D"))*1))/(COUNTA(VY21:WA21)),"")</f>
        <v/>
      </c>
      <c r="WC21" s="128" t="str">
        <f t="shared" si="140"/>
        <v/>
      </c>
      <c r="WD21" s="124"/>
      <c r="WE21" s="125"/>
      <c r="WF21" s="130"/>
      <c r="WG21" s="127" t="str">
        <f>IFERROR((((COUNTIF('Elève (3ème3)'!WD21:WF21,"A"))*4)+((COUNTIF('Elève (3ème3)'!WD21:WF21,"B"))*3)+((COUNTIF('Elève (3ème3)'!WD21:WF21,"C"))*2)+((COUNTIF('Elève (3ème3)'!WD21:WF21,"D"))*1))/(COUNTA(WD21:WF21)),"")</f>
        <v/>
      </c>
      <c r="WH21" s="128" t="str">
        <f t="shared" si="141"/>
        <v/>
      </c>
      <c r="WI21" s="127" t="str">
        <f>IF(COUNT(VW21,WB21,WG21)=0,"",SUM(VW21,WB21,WG21)/COUNT(VW21,WB21,WG21))</f>
        <v/>
      </c>
      <c r="WJ21" s="129" t="str">
        <f t="shared" si="142"/>
        <v/>
      </c>
    </row>
    <row r="22" spans="1:608" ht="14.7" thickBot="1" x14ac:dyDescent="0.6">
      <c r="A22" s="223" t="s">
        <v>26</v>
      </c>
      <c r="B22" s="224"/>
      <c r="C22" s="131"/>
      <c r="D22" s="131"/>
      <c r="E22" s="131"/>
      <c r="F22" s="169">
        <f>IF(COUNT(F20,F16,F13,F10,F4)=0,"",SUM($B$4*IF(COUNT(F4)=0,0,F4),$B$10*IF(COUNT(F10)=0,0,F10),$B$13*IF(COUNT(F13)=0,0,F13),$B$16*IF(COUNT(F16)=0,0,F16),$B$20*IF(COUNT(F20)=0,0,F20))/SUM($B$4*COUNT(F4),$B$10*COUNT(F10),$B$13*COUNT(F13),$B$16*COUNT(F16),$B$20*COUNT(F20)))</f>
        <v>3</v>
      </c>
      <c r="G22" s="170">
        <f>IF(F22="","",F22*5)</f>
        <v>15</v>
      </c>
      <c r="H22" s="62"/>
      <c r="I22" s="62"/>
      <c r="J22" s="62"/>
      <c r="K22" s="62"/>
      <c r="L22" s="169">
        <f>IF(COUNT(L20,L16,L13,L10,L4)=0,"",SUM($B$4*IF(COUNT(L4)=0,0,L4),$B$10*IF(COUNT(L10)=0,0,L10),$B$13*IF(COUNT(L13)=0,0,L13),$B$16*IF(COUNT(L16)=0,0,L16),$B$20*IF(COUNT(L20)=0,0,L20))/SUM($B$4*COUNT(L4),$B$10*COUNT(L10),$B$13*COUNT(L13),$B$16*COUNT(L16),$B$20*COUNT(L20)))</f>
        <v>2.5</v>
      </c>
      <c r="M22" s="176">
        <f>IF(L22="","",L22*5)</f>
        <v>12.5</v>
      </c>
      <c r="N22" s="62"/>
      <c r="O22" s="62"/>
      <c r="P22" s="62"/>
      <c r="Q22" s="62"/>
      <c r="R22" s="62"/>
      <c r="S22" s="62"/>
      <c r="T22" s="169">
        <f>IF(COUNT(T20,T16,T13,T10,T4)=0,"",SUM($B$4*IF(COUNT(T4)=0,0,T4),$B$10*IF(COUNT(T10)=0,0,T10),$B$13*IF(COUNT(T13)=0,0,T13),$B$16*IF(COUNT(T16)=0,0,T16),$B$20*IF(COUNT(T20)=0,0,T20))/SUM($B$4*COUNT(T4),$B$10*COUNT(T10),$B$13*COUNT(T13),$B$16*COUNT(T16),$B$20*COUNT(T20)))</f>
        <v>3.0625</v>
      </c>
      <c r="U22" s="193">
        <f>IF(T22="","",T22*5)</f>
        <v>15.3125</v>
      </c>
      <c r="V22" s="156"/>
      <c r="W22" s="156"/>
      <c r="X22" s="131"/>
      <c r="Y22" s="131"/>
      <c r="Z22" s="131"/>
      <c r="AA22" s="169">
        <f>IF(COUNT(AA20,AA16,AA13,AA10,AA4)=0,"",SUM($B$4*IF(COUNT(AA4)=0,0,AA4),$B$10*IF(COUNT(AA10)=0,0,AA10),$B$13*IF(COUNT(AA13)=0,0,AA13),$B$16*IF(COUNT(AA16)=0,0,AA16),$B$20*IF(COUNT(AA20)=0,0,AA20))/SUM($B$4*COUNT(AA4),$B$10*COUNT(AA10),$B$13*COUNT(AA13),$B$16*COUNT(AA16),$B$20*COUNT(AA20)))</f>
        <v>2</v>
      </c>
      <c r="AB22" s="170">
        <f>IF(AA22="","",AA22*5)</f>
        <v>10</v>
      </c>
      <c r="AC22" s="62"/>
      <c r="AD22" s="62"/>
      <c r="AE22" s="62"/>
      <c r="AF22" s="62"/>
      <c r="AG22" s="169">
        <f>IF(COUNT(AG20,AG16,AG13,AG10,AG4)=0,"",SUM($B$4*IF(COUNT(AG4)=0,0,AG4),$B$10*IF(COUNT(AG10)=0,0,AG10),$B$13*IF(COUNT(AG13)=0,0,AG13),$B$16*IF(COUNT(AG16)=0,0,AG16),$B$20*IF(COUNT(AG20)=0,0,AG20))/SUM($B$4*COUNT(AG4),$B$10*COUNT(AG10),$B$13*COUNT(AG13),$B$16*COUNT(AG16),$B$20*COUNT(AG20)))</f>
        <v>1.75</v>
      </c>
      <c r="AH22" s="176">
        <f>IF(AG22="","",AG22*5)</f>
        <v>8.75</v>
      </c>
      <c r="AI22" s="62"/>
      <c r="AJ22" s="62"/>
      <c r="AK22" s="62"/>
      <c r="AL22" s="62"/>
      <c r="AM22" s="62"/>
      <c r="AN22" s="62"/>
      <c r="AO22" s="169">
        <f>IF(COUNT(AO20,AO16,AO13,AO10,AO4)=0,"",SUM($B$4*IF(COUNT(AO4)=0,0,AO4),$B$10*IF(COUNT(AO10)=0,0,AO10),$B$13*IF(COUNT(AO13)=0,0,AO13),$B$16*IF(COUNT(AO16)=0,0,AO16),$B$20*IF(COUNT(AO20)=0,0,AO20))/SUM($B$4*COUNT(AO4),$B$10*COUNT(AO10),$B$13*COUNT(AO13),$B$16*COUNT(AO16),$B$20*COUNT(AO20)))</f>
        <v>2.4444444444444442</v>
      </c>
      <c r="AP22" s="193">
        <f>IF(AO22="","",AO22*5)</f>
        <v>12.222222222222221</v>
      </c>
      <c r="AQ22" s="156"/>
      <c r="AR22" s="156"/>
      <c r="AS22" s="131"/>
      <c r="AT22" s="131"/>
      <c r="AU22" s="131"/>
      <c r="AV22" s="169">
        <f>IF(COUNT(AV20,AV16,AV13,AV10,AV4)=0,"",SUM($B$4*IF(COUNT(AV4)=0,0,AV4),$B$10*IF(COUNT(AV10)=0,0,AV10),$B$13*IF(COUNT(AV13)=0,0,AV13),$B$16*IF(COUNT(AV16)=0,0,AV16),$B$20*IF(COUNT(AV20)=0,0,AV20))/SUM($B$4*COUNT(AV4),$B$10*COUNT(AV10),$B$13*COUNT(AV13),$B$16*COUNT(AV16),$B$20*COUNT(AV20)))</f>
        <v>2.125</v>
      </c>
      <c r="AW22" s="170">
        <f>IF(AV22="","",AV22*5)</f>
        <v>10.625</v>
      </c>
      <c r="AX22" s="62"/>
      <c r="AY22" s="62"/>
      <c r="AZ22" s="62"/>
      <c r="BA22" s="62"/>
      <c r="BB22" s="169">
        <f>IF(COUNT(BB20,BB16,BB13,BB10,BB4)=0,"",SUM($B$4*IF(COUNT(BB4)=0,0,BB4),$B$10*IF(COUNT(BB10)=0,0,BB10),$B$13*IF(COUNT(BB13)=0,0,BB13),$B$16*IF(COUNT(BB16)=0,0,BB16),$B$20*IF(COUNT(BB20)=0,0,BB20))/SUM($B$4*COUNT(BB4),$B$10*COUNT(BB10),$B$13*COUNT(BB13),$B$16*COUNT(BB16),$B$20*COUNT(BB20)))</f>
        <v>2.75</v>
      </c>
      <c r="BC22" s="176">
        <f>IF(BB22="","",BB22*5)</f>
        <v>13.75</v>
      </c>
      <c r="BD22" s="62"/>
      <c r="BE22" s="62"/>
      <c r="BF22" s="62"/>
      <c r="BG22" s="62"/>
      <c r="BH22" s="62"/>
      <c r="BI22" s="62"/>
      <c r="BJ22" s="169">
        <f>IF(COUNT(BJ20,BJ16,BJ13,BJ10,BJ4)=0,"",SUM($B$4*IF(COUNT(BJ4)=0,0,BJ4),$B$10*IF(COUNT(BJ10)=0,0,BJ10),$B$13*IF(COUNT(BJ13)=0,0,BJ13),$B$16*IF(COUNT(BJ16)=0,0,BJ16),$B$20*IF(COUNT(BJ20)=0,0,BJ20))/SUM($B$4*COUNT(BJ4),$B$10*COUNT(BJ10),$B$13*COUNT(BJ13),$B$16*COUNT(BJ16),$B$20*COUNT(BJ20)))</f>
        <v>2.9722222222222228</v>
      </c>
      <c r="BK22" s="193">
        <f>IF(BJ22="","",BJ22*5)</f>
        <v>14.861111111111114</v>
      </c>
      <c r="BL22" s="156"/>
      <c r="BM22" s="156"/>
      <c r="BN22" s="131"/>
      <c r="BO22" s="131"/>
      <c r="BP22" s="131"/>
      <c r="BQ22" s="169">
        <f>IF(COUNT(BQ20,BQ16,BQ13,BQ10,BQ4)=0,"",SUM($B$4*IF(COUNT(BQ4)=0,0,BQ4),$B$10*IF(COUNT(BQ10)=0,0,BQ10),$B$13*IF(COUNT(BQ13)=0,0,BQ13),$B$16*IF(COUNT(BQ16)=0,0,BQ16),$B$20*IF(COUNT(BQ20)=0,0,BQ20))/SUM($B$4*COUNT(BQ4),$B$10*COUNT(BQ10),$B$13*COUNT(BQ13),$B$16*COUNT(BQ16),$B$20*COUNT(BQ20)))</f>
        <v>1.875</v>
      </c>
      <c r="BR22" s="170">
        <f>IF(BQ22="","",BQ22*5)</f>
        <v>9.375</v>
      </c>
      <c r="BS22" s="62"/>
      <c r="BT22" s="62"/>
      <c r="BU22" s="62"/>
      <c r="BV22" s="62"/>
      <c r="BW22" s="169">
        <f>IF(COUNT(BW20,BW16,BW13,BW10,BW4)=0,"",SUM($B$4*IF(COUNT(BW4)=0,0,BW4),$B$10*IF(COUNT(BW10)=0,0,BW10),$B$13*IF(COUNT(BW13)=0,0,BW13),$B$16*IF(COUNT(BW16)=0,0,BW16),$B$20*IF(COUNT(BW20)=0,0,BW20))/SUM($B$4*COUNT(BW4),$B$10*COUNT(BW10),$B$13*COUNT(BW13),$B$16*COUNT(BW16),$B$20*COUNT(BW20)))</f>
        <v>2</v>
      </c>
      <c r="BX22" s="176">
        <f>IF(BW22="","",BW22*5)</f>
        <v>10</v>
      </c>
      <c r="BY22" s="62"/>
      <c r="BZ22" s="62"/>
      <c r="CA22" s="62"/>
      <c r="CB22" s="62"/>
      <c r="CC22" s="62"/>
      <c r="CD22" s="62"/>
      <c r="CE22" s="169">
        <f>IF(COUNT(CE20,CE16,CE13,CE10,CE4)=0,"",SUM($B$4*IF(COUNT(CE4)=0,0,CE4),$B$10*IF(COUNT(CE10)=0,0,CE10),$B$13*IF(COUNT(CE13)=0,0,CE13),$B$16*IF(COUNT(CE16)=0,0,CE16),$B$20*IF(COUNT(CE20)=0,0,CE20))/SUM($B$4*COUNT(CE4),$B$10*COUNT(CE10),$B$13*COUNT(CE13),$B$16*COUNT(CE16),$B$20*COUNT(CE20)))</f>
        <v>2.7416666666666671</v>
      </c>
      <c r="CF22" s="193">
        <f>IF(CE22="","",CE22*5)</f>
        <v>13.708333333333336</v>
      </c>
      <c r="CG22" s="156"/>
      <c r="CH22" s="156"/>
      <c r="CI22" s="131"/>
      <c r="CJ22" s="131"/>
      <c r="CK22" s="131"/>
      <c r="CL22" s="169">
        <f>IF(COUNT(CL20,CL16,CL13,CL10,CL4)=0,"",SUM($B$4*IF(COUNT(CL4)=0,0,CL4),$B$10*IF(COUNT(CL10)=0,0,CL10),$B$13*IF(COUNT(CL13)=0,0,CL13),$B$16*IF(COUNT(CL16)=0,0,CL16),$B$20*IF(COUNT(CL20)=0,0,CL20))/SUM($B$4*COUNT(CL4),$B$10*COUNT(CL10),$B$13*COUNT(CL13),$B$16*COUNT(CL16),$B$20*COUNT(CL20)))</f>
        <v>1.9166666666666667</v>
      </c>
      <c r="CM22" s="170">
        <f>IF(CL22="","",CL22*5)</f>
        <v>9.5833333333333339</v>
      </c>
      <c r="CN22" s="62"/>
      <c r="CO22" s="62"/>
      <c r="CP22" s="62"/>
      <c r="CQ22" s="62"/>
      <c r="CR22" s="169">
        <f>IF(COUNT(CR20,CR16,CR13,CR10,CR4)=0,"",SUM($B$4*IF(COUNT(CR4)=0,0,CR4),$B$10*IF(COUNT(CR10)=0,0,CR10),$B$13*IF(COUNT(CR13)=0,0,CR13),$B$16*IF(COUNT(CR16)=0,0,CR16),$B$20*IF(COUNT(CR20)=0,0,CR20))/SUM($B$4*COUNT(CR4),$B$10*COUNT(CR10),$B$13*COUNT(CR13),$B$16*COUNT(CR16),$B$20*COUNT(CR20)))</f>
        <v>2</v>
      </c>
      <c r="CS22" s="176">
        <f>IF(CR22="","",CR22*5)</f>
        <v>10</v>
      </c>
      <c r="CT22" s="62"/>
      <c r="CU22" s="62"/>
      <c r="CV22" s="62"/>
      <c r="CW22" s="62"/>
      <c r="CX22" s="62"/>
      <c r="CY22" s="62"/>
      <c r="CZ22" s="169">
        <f>IF(COUNT(CZ20,CZ16,CZ13,CZ10,CZ4)=0,"",SUM($B$4*IF(COUNT(CZ4)=0,0,CZ4),$B$10*IF(COUNT(CZ10)=0,0,CZ10),$B$13*IF(COUNT(CZ13)=0,0,CZ13),$B$16*IF(COUNT(CZ16)=0,0,CZ16),$B$20*IF(COUNT(CZ20)=0,0,CZ20))/SUM($B$4*COUNT(CZ4),$B$10*COUNT(CZ10),$B$13*COUNT(CZ13),$B$16*COUNT(CZ16),$B$20*COUNT(CZ20)))</f>
        <v>2.786111111111111</v>
      </c>
      <c r="DA22" s="193">
        <f>IF(CZ22="","",CZ22*5)</f>
        <v>13.930555555555555</v>
      </c>
      <c r="DB22" s="156"/>
      <c r="DC22" s="156"/>
      <c r="DD22" s="131"/>
      <c r="DE22" s="131"/>
      <c r="DF22" s="131"/>
      <c r="DG22" s="169">
        <f>IF(COUNT(DG20,DG16,DG13,DG10,DG4)=0,"",SUM($B$4*IF(COUNT(DG4)=0,0,DG4),$B$10*IF(COUNT(DG10)=0,0,DG10),$B$13*IF(COUNT(DG13)=0,0,DG13),$B$16*IF(COUNT(DG16)=0,0,DG16),$B$20*IF(COUNT(DG20)=0,0,DG20))/SUM($B$4*COUNT(DG4),$B$10*COUNT(DG10),$B$13*COUNT(DG13),$B$16*COUNT(DG16),$B$20*COUNT(DG20)))</f>
        <v>1.9583333333333333</v>
      </c>
      <c r="DH22" s="170">
        <f>IF(DG22="","",DG22*5)</f>
        <v>9.7916666666666661</v>
      </c>
      <c r="DI22" s="62"/>
      <c r="DJ22" s="62"/>
      <c r="DK22" s="62"/>
      <c r="DL22" s="62"/>
      <c r="DM22" s="169">
        <f>IF(COUNT(DM20,DM16,DM13,DM10,DM4)=0,"",SUM($B$4*IF(COUNT(DM4)=0,0,DM4),$B$10*IF(COUNT(DM10)=0,0,DM10),$B$13*IF(COUNT(DM13)=0,0,DM13),$B$16*IF(COUNT(DM16)=0,0,DM16),$B$20*IF(COUNT(DM20)=0,0,DM20))/SUM($B$4*COUNT(DM4),$B$10*COUNT(DM10),$B$13*COUNT(DM13),$B$16*COUNT(DM16),$B$20*COUNT(DM20)))</f>
        <v>3</v>
      </c>
      <c r="DN22" s="176">
        <f>IF(DM22="","",DM22*5)</f>
        <v>15</v>
      </c>
      <c r="DO22" s="62"/>
      <c r="DP22" s="62"/>
      <c r="DQ22" s="62"/>
      <c r="DR22" s="62"/>
      <c r="DS22" s="62"/>
      <c r="DT22" s="62"/>
      <c r="DU22" s="169">
        <f>IF(COUNT(DU20,DU16,DU13,DU10,DU4)=0,"",SUM($B$4*IF(COUNT(DU4)=0,0,DU4),$B$10*IF(COUNT(DU10)=0,0,DU10),$B$13*IF(COUNT(DU13)=0,0,DU13),$B$16*IF(COUNT(DU16)=0,0,DU16),$B$20*IF(COUNT(DU20)=0,0,DU20))/SUM($B$4*COUNT(DU4),$B$10*COUNT(DU10),$B$13*COUNT(DU13),$B$16*COUNT(DU16),$B$20*COUNT(DU20)))</f>
        <v>2.0208333333333335</v>
      </c>
      <c r="DV22" s="193">
        <f>IF(DU22="","",DU22*5)</f>
        <v>10.104166666666668</v>
      </c>
      <c r="DW22" s="156"/>
      <c r="DX22" s="156"/>
      <c r="DY22" s="131"/>
      <c r="DZ22" s="131"/>
      <c r="EA22" s="131"/>
      <c r="EB22" s="169">
        <f>IF(COUNT(EB20,EB16,EB13,EB10,EB4)=0,"",SUM($B$4*IF(COUNT(EB4)=0,0,EB4),$B$10*IF(COUNT(EB10)=0,0,EB10),$B$13*IF(COUNT(EB13)=0,0,EB13),$B$16*IF(COUNT(EB16)=0,0,EB16),$B$20*IF(COUNT(EB20)=0,0,EB20))/SUM($B$4*COUNT(EB4),$B$10*COUNT(EB10),$B$13*COUNT(EB13),$B$16*COUNT(EB16),$B$20*COUNT(EB20)))</f>
        <v>2.5416666666666665</v>
      </c>
      <c r="EC22" s="170">
        <f>IF(EB22="","",EB22*5)</f>
        <v>12.708333333333332</v>
      </c>
      <c r="ED22" s="62"/>
      <c r="EE22" s="62"/>
      <c r="EF22" s="62"/>
      <c r="EG22" s="62"/>
      <c r="EH22" s="169">
        <f>IF(COUNT(EH20,EH16,EH13,EH10,EH4)=0,"",SUM($B$4*IF(COUNT(EH4)=0,0,EH4),$B$10*IF(COUNT(EH10)=0,0,EH10),$B$13*IF(COUNT(EH13)=0,0,EH13),$B$16*IF(COUNT(EH16)=0,0,EH16),$B$20*IF(COUNT(EH20)=0,0,EH20))/SUM($B$4*COUNT(EH4),$B$10*COUNT(EH10),$B$13*COUNT(EH13),$B$16*COUNT(EH16),$B$20*COUNT(EH20)))</f>
        <v>1</v>
      </c>
      <c r="EI22" s="176">
        <f>IF(EH22="","",EH22*5)</f>
        <v>5</v>
      </c>
      <c r="EJ22" s="62"/>
      <c r="EK22" s="62"/>
      <c r="EL22" s="62"/>
      <c r="EM22" s="62"/>
      <c r="EN22" s="62"/>
      <c r="EO22" s="62"/>
      <c r="EP22" s="169">
        <f>IF(COUNT(EP20,EP16,EP13,EP10,EP4)=0,"",SUM($B$4*IF(COUNT(EP4)=0,0,EP4),$B$10*IF(COUNT(EP10)=0,0,EP10),$B$13*IF(COUNT(EP13)=0,0,EP13),$B$16*IF(COUNT(EP16)=0,0,EP16),$B$20*IF(COUNT(EP20)=0,0,EP20))/SUM($B$4*COUNT(EP4),$B$10*COUNT(EP10),$B$13*COUNT(EP13),$B$16*COUNT(EP16),$B$20*COUNT(EP20)))</f>
        <v>2.4763888888888892</v>
      </c>
      <c r="EQ22" s="193">
        <f>IF(EP22="","",EP22*5)</f>
        <v>12.381944444444446</v>
      </c>
      <c r="ER22" s="156"/>
      <c r="ES22" s="156"/>
      <c r="ET22" s="131"/>
      <c r="EU22" s="131"/>
      <c r="EV22" s="131"/>
      <c r="EW22" s="169">
        <f>IF(COUNT(EW20,EW16,EW13,EW10,EW4)=0,"",SUM($B$4*IF(COUNT(EW4)=0,0,EW4),$B$10*IF(COUNT(EW10)=0,0,EW10),$B$13*IF(COUNT(EW13)=0,0,EW13),$B$16*IF(COUNT(EW16)=0,0,EW16),$B$20*IF(COUNT(EW20)=0,0,EW20))/SUM($B$4*COUNT(EW4),$B$10*COUNT(EW10),$B$13*COUNT(EW13),$B$16*COUNT(EW16),$B$20*COUNT(EW20)))</f>
        <v>3.0416666666666665</v>
      </c>
      <c r="EX22" s="170">
        <f>IF(EW22="","",EW22*5)</f>
        <v>15.208333333333332</v>
      </c>
      <c r="EY22" s="62"/>
      <c r="EZ22" s="62"/>
      <c r="FA22" s="62"/>
      <c r="FB22" s="62"/>
      <c r="FC22" s="169">
        <f>IF(COUNT(FC20,FC16,FC13,FC10,FC4)=0,"",SUM($B$4*IF(COUNT(FC4)=0,0,FC4),$B$10*IF(COUNT(FC10)=0,0,FC10),$B$13*IF(COUNT(FC13)=0,0,FC13),$B$16*IF(COUNT(FC16)=0,0,FC16),$B$20*IF(COUNT(FC20)=0,0,FC20))/SUM($B$4*COUNT(FC4),$B$10*COUNT(FC10),$B$13*COUNT(FC13),$B$16*COUNT(FC16),$B$20*COUNT(FC20)))</f>
        <v>2.25</v>
      </c>
      <c r="FD22" s="176">
        <f>IF(FC22="","",FC22*5)</f>
        <v>11.25</v>
      </c>
      <c r="FE22" s="62"/>
      <c r="FF22" s="62"/>
      <c r="FG22" s="62"/>
      <c r="FH22" s="62"/>
      <c r="FI22" s="62"/>
      <c r="FJ22" s="62"/>
      <c r="FK22" s="169">
        <f>IF(COUNT(FK20,FK16,FK13,FK10,FK4)=0,"",SUM($B$4*IF(COUNT(FK4)=0,0,FK4),$B$10*IF(COUNT(FK10)=0,0,FK10),$B$13*IF(COUNT(FK13)=0,0,FK13),$B$16*IF(COUNT(FK16)=0,0,FK16),$B$20*IF(COUNT(FK20)=0,0,FK20))/SUM($B$4*COUNT(FK4),$B$10*COUNT(FK10),$B$13*COUNT(FK13),$B$16*COUNT(FK16),$B$20*COUNT(FK20)))</f>
        <v>3.3444444444444446</v>
      </c>
      <c r="FL22" s="193">
        <f>IF(FK22="","",FK22*5)</f>
        <v>16.722222222222221</v>
      </c>
      <c r="FM22" s="156"/>
      <c r="FN22" s="156"/>
      <c r="FO22" s="131"/>
      <c r="FP22" s="131"/>
      <c r="FQ22" s="131"/>
      <c r="FR22" s="169">
        <f>IF(COUNT(FR20,FR16,FR13,FR10,FR4)=0,"",SUM($B$4*IF(COUNT(FR4)=0,0,FR4),$B$10*IF(COUNT(FR10)=0,0,FR10),$B$13*IF(COUNT(FR13)=0,0,FR13),$B$16*IF(COUNT(FR16)=0,0,FR16),$B$20*IF(COUNT(FR20)=0,0,FR20))/SUM($B$4*COUNT(FR4),$B$10*COUNT(FR10),$B$13*COUNT(FR13),$B$16*COUNT(FR16),$B$20*COUNT(FR20)))</f>
        <v>2.375</v>
      </c>
      <c r="FS22" s="170">
        <f>IF(FR22="","",FR22*5)</f>
        <v>11.875</v>
      </c>
      <c r="FT22" s="62"/>
      <c r="FU22" s="62"/>
      <c r="FV22" s="62"/>
      <c r="FW22" s="62"/>
      <c r="FX22" s="169">
        <f>IF(COUNT(FX20,FX16,FX13,FX10,FX4)=0,"",SUM($B$4*IF(COUNT(FX4)=0,0,FX4),$B$10*IF(COUNT(FX10)=0,0,FX10),$B$13*IF(COUNT(FX13)=0,0,FX13),$B$16*IF(COUNT(FX16)=0,0,FX16),$B$20*IF(COUNT(FX20)=0,0,FX20))/SUM($B$4*COUNT(FX4),$B$10*COUNT(FX10),$B$13*COUNT(FX13),$B$16*COUNT(FX16),$B$20*COUNT(FX20)))</f>
        <v>2</v>
      </c>
      <c r="FY22" s="176">
        <f>IF(FX22="","",FX22*5)</f>
        <v>10</v>
      </c>
      <c r="FZ22" s="62"/>
      <c r="GA22" s="62"/>
      <c r="GB22" s="62"/>
      <c r="GC22" s="62"/>
      <c r="GD22" s="62"/>
      <c r="GE22" s="62"/>
      <c r="GF22" s="169">
        <f>IF(COUNT(GF20,GF16,GF13,GF10,GF4)=0,"",SUM($B$4*IF(COUNT(GF4)=0,0,GF4),$B$10*IF(COUNT(GF10)=0,0,GF10),$B$13*IF(COUNT(GF13)=0,0,GF13),$B$16*IF(COUNT(GF16)=0,0,GF16),$B$20*IF(COUNT(GF20)=0,0,GF20))/SUM($B$4*COUNT(GF4),$B$10*COUNT(GF10),$B$13*COUNT(GF13),$B$16*COUNT(GF16),$B$20*COUNT(GF20)))</f>
        <v>2.925925925925926</v>
      </c>
      <c r="GG22" s="193">
        <f>IF(GF22="","",GF22*5)</f>
        <v>14.62962962962963</v>
      </c>
      <c r="GH22" s="156"/>
      <c r="GI22" s="156"/>
      <c r="GJ22" s="131"/>
      <c r="GK22" s="131"/>
      <c r="GL22" s="131"/>
      <c r="GM22" s="169">
        <f>IF(COUNT(GM20,GM16,GM13,GM10,GM4)=0,"",SUM($B$4*IF(COUNT(GM4)=0,0,GM4),$B$10*IF(COUNT(GM10)=0,0,GM10),$B$13*IF(COUNT(GM13)=0,0,GM13),$B$16*IF(COUNT(GM16)=0,0,GM16),$B$20*IF(COUNT(GM20)=0,0,GM20))/SUM($B$4*COUNT(GM4),$B$10*COUNT(GM10),$B$13*COUNT(GM13),$B$16*COUNT(GM16),$B$20*COUNT(GM20)))</f>
        <v>2.1666666666666665</v>
      </c>
      <c r="GN22" s="170">
        <f>IF(GM22="","",GM22*5)</f>
        <v>10.833333333333332</v>
      </c>
      <c r="GO22" s="62"/>
      <c r="GP22" s="62"/>
      <c r="GQ22" s="62"/>
      <c r="GR22" s="62"/>
      <c r="GS22" s="169">
        <f>IF(COUNT(GS20,GS16,GS13,GS10,GS4)=0,"",SUM($B$4*IF(COUNT(GS4)=0,0,GS4),$B$10*IF(COUNT(GS10)=0,0,GS10),$B$13*IF(COUNT(GS13)=0,0,GS13),$B$16*IF(COUNT(GS16)=0,0,GS16),$B$20*IF(COUNT(GS20)=0,0,GS20))/SUM($B$4*COUNT(GS4),$B$10*COUNT(GS10),$B$13*COUNT(GS13),$B$16*COUNT(GS16),$B$20*COUNT(GS20)))</f>
        <v>2</v>
      </c>
      <c r="GT22" s="176">
        <f>IF(GS22="","",GS22*5)</f>
        <v>10</v>
      </c>
      <c r="GU22" s="62"/>
      <c r="GV22" s="62"/>
      <c r="GW22" s="62"/>
      <c r="GX22" s="62"/>
      <c r="GY22" s="62"/>
      <c r="GZ22" s="62"/>
      <c r="HA22" s="169">
        <f>IF(COUNT(HA20,HA16,HA13,HA10,HA4)=0,"",SUM($B$4*IF(COUNT(HA4)=0,0,HA4),$B$10*IF(COUNT(HA10)=0,0,HA10),$B$13*IF(COUNT(HA13)=0,0,HA13),$B$16*IF(COUNT(HA16)=0,0,HA16),$B$20*IF(COUNT(HA20)=0,0,HA20))/SUM($B$4*COUNT(HA4),$B$10*COUNT(HA10),$B$13*COUNT(HA13),$B$16*COUNT(HA16),$B$20*COUNT(HA20)))</f>
        <v>3.0527777777777776</v>
      </c>
      <c r="HB22" s="193">
        <f>IF(HA22="","",HA22*5)</f>
        <v>15.263888888888888</v>
      </c>
      <c r="HC22" s="156"/>
      <c r="HD22" s="156"/>
      <c r="HE22" s="131"/>
      <c r="HF22" s="131"/>
      <c r="HG22" s="131"/>
      <c r="HH22" s="169">
        <f>IF(COUNT(HH20,HH16,HH13,HH10,HH4)=0,"",SUM($B$4*IF(COUNT(HH4)=0,0,HH4),$B$10*IF(COUNT(HH10)=0,0,HH10),$B$13*IF(COUNT(HH13)=0,0,HH13),$B$16*IF(COUNT(HH16)=0,0,HH16),$B$20*IF(COUNT(HH20)=0,0,HH20))/SUM($B$4*COUNT(HH4),$B$10*COUNT(HH10),$B$13*COUNT(HH13),$B$16*COUNT(HH16),$B$20*COUNT(HH20)))</f>
        <v>2.4166666666666665</v>
      </c>
      <c r="HI22" s="170">
        <f>IF(HH22="","",HH22*5)</f>
        <v>12.083333333333332</v>
      </c>
      <c r="HJ22" s="62"/>
      <c r="HK22" s="62"/>
      <c r="HL22" s="62"/>
      <c r="HM22" s="62"/>
      <c r="HN22" s="169">
        <f>IF(COUNT(HN20,HN16,HN13,HN10,HN4)=0,"",SUM($B$4*IF(COUNT(HN4)=0,0,HN4),$B$10*IF(COUNT(HN10)=0,0,HN10),$B$13*IF(COUNT(HN13)=0,0,HN13),$B$16*IF(COUNT(HN16)=0,0,HN16),$B$20*IF(COUNT(HN20)=0,0,HN20))/SUM($B$4*COUNT(HN4),$B$10*COUNT(HN10),$B$13*COUNT(HN13),$B$16*COUNT(HN16),$B$20*COUNT(HN20)))</f>
        <v>1.5</v>
      </c>
      <c r="HO22" s="176">
        <f>IF(HN22="","",HN22*5)</f>
        <v>7.5</v>
      </c>
      <c r="HP22" s="62"/>
      <c r="HQ22" s="62"/>
      <c r="HR22" s="62"/>
      <c r="HS22" s="62"/>
      <c r="HT22" s="62"/>
      <c r="HU22" s="62"/>
      <c r="HV22" s="169">
        <f>IF(COUNT(HV20,HV16,HV13,HV10,HV4)=0,"",SUM($B$4*IF(COUNT(HV4)=0,0,HV4),$B$10*IF(COUNT(HV10)=0,0,HV10),$B$13*IF(COUNT(HV13)=0,0,HV13),$B$16*IF(COUNT(HV16)=0,0,HV16),$B$20*IF(COUNT(HV20)=0,0,HV20))/SUM($B$4*COUNT(HV4),$B$10*COUNT(HV10),$B$13*COUNT(HV13),$B$16*COUNT(HV16),$B$20*COUNT(HV20)))</f>
        <v>2.9777777777777779</v>
      </c>
      <c r="HW22" s="193">
        <f>IF(HV22="","",HV22*5)</f>
        <v>14.888888888888889</v>
      </c>
      <c r="HX22" s="156"/>
      <c r="HY22" s="156"/>
      <c r="HZ22" s="131"/>
      <c r="IA22" s="131"/>
      <c r="IB22" s="131"/>
      <c r="IC22" s="169">
        <f>IF(COUNT(IC20,IC16,IC13,IC10,IC4)=0,"",SUM($B$4*IF(COUNT(IC4)=0,0,IC4),$B$10*IF(COUNT(IC10)=0,0,IC10),$B$13*IF(COUNT(IC13)=0,0,IC13),$B$16*IF(COUNT(IC16)=0,0,IC16),$B$20*IF(COUNT(IC20)=0,0,IC20))/SUM($B$4*COUNT(IC4),$B$10*COUNT(IC10),$B$13*COUNT(IC13),$B$16*COUNT(IC16),$B$20*COUNT(IC20)))</f>
        <v>1.7083333333333333</v>
      </c>
      <c r="ID22" s="170">
        <f>IF(IC22="","",IC22*5)</f>
        <v>8.5416666666666661</v>
      </c>
      <c r="IE22" s="62"/>
      <c r="IF22" s="62"/>
      <c r="IG22" s="62"/>
      <c r="IH22" s="62"/>
      <c r="II22" s="169">
        <f>IF(COUNT(II20,II16,II13,II10,II4)=0,"",SUM($B$4*IF(COUNT(II4)=0,0,II4),$B$10*IF(COUNT(II10)=0,0,II10),$B$13*IF(COUNT(II13)=0,0,II13),$B$16*IF(COUNT(II16)=0,0,II16),$B$20*IF(COUNT(II20)=0,0,II20))/SUM($B$4*COUNT(II4),$B$10*COUNT(II10),$B$13*COUNT(II13),$B$16*COUNT(II16),$B$20*COUNT(II20)))</f>
        <v>2.5</v>
      </c>
      <c r="IJ22" s="176">
        <f>IF(II22="","",II22*5)</f>
        <v>12.5</v>
      </c>
      <c r="IK22" s="62"/>
      <c r="IL22" s="62"/>
      <c r="IM22" s="62"/>
      <c r="IN22" s="62"/>
      <c r="IO22" s="62"/>
      <c r="IP22" s="62"/>
      <c r="IQ22" s="169">
        <f>IF(COUNT(IQ20,IQ16,IQ13,IQ10,IQ4)=0,"",SUM($B$4*IF(COUNT(IQ4)=0,0,IQ4),$B$10*IF(COUNT(IQ10)=0,0,IQ10),$B$13*IF(COUNT(IQ13)=0,0,IQ13),$B$16*IF(COUNT(IQ16)=0,0,IQ16),$B$20*IF(COUNT(IQ20)=0,0,IQ20))/SUM($B$4*COUNT(IQ4),$B$10*COUNT(IQ10),$B$13*COUNT(IQ13),$B$16*COUNT(IQ16),$B$20*COUNT(IQ20)))</f>
        <v>2.4541666666666666</v>
      </c>
      <c r="IR22" s="193">
        <f>IF(IQ22="","",IQ22*5)</f>
        <v>12.270833333333332</v>
      </c>
      <c r="IS22" s="156"/>
      <c r="IT22" s="156"/>
      <c r="IU22" s="131"/>
      <c r="IV22" s="131"/>
      <c r="IW22" s="131"/>
      <c r="IX22" s="169">
        <f>IF(COUNT(IX20,IX16,IX13,IX10,IX4)=0,"",SUM($B$4*IF(COUNT(IX4)=0,0,IX4),$B$10*IF(COUNT(IX10)=0,0,IX10),$B$13*IF(COUNT(IX13)=0,0,IX13),$B$16*IF(COUNT(IX16)=0,0,IX16),$B$20*IF(COUNT(IX20)=0,0,IX20))/SUM($B$4*COUNT(IX4),$B$10*COUNT(IX10),$B$13*COUNT(IX13),$B$16*COUNT(IX16),$B$20*COUNT(IX20)))</f>
        <v>2.0416666666666665</v>
      </c>
      <c r="IY22" s="170">
        <f>IF(IX22="","",IX22*5)</f>
        <v>10.208333333333332</v>
      </c>
      <c r="IZ22" s="62"/>
      <c r="JA22" s="62"/>
      <c r="JB22" s="62"/>
      <c r="JC22" s="62"/>
      <c r="JD22" s="169">
        <f>IF(COUNT(JD20,JD16,JD13,JD10,JD4)=0,"",SUM($B$4*IF(COUNT(JD4)=0,0,JD4),$B$10*IF(COUNT(JD10)=0,0,JD10),$B$13*IF(COUNT(JD13)=0,0,JD13),$B$16*IF(COUNT(JD16)=0,0,JD16),$B$20*IF(COUNT(JD20)=0,0,JD20))/SUM($B$4*COUNT(JD4),$B$10*COUNT(JD10),$B$13*COUNT(JD13),$B$16*COUNT(JD16),$B$20*COUNT(JD20)))</f>
        <v>1.75</v>
      </c>
      <c r="JE22" s="176">
        <f>IF(JD22="","",JD22*5)</f>
        <v>8.75</v>
      </c>
      <c r="JF22" s="62"/>
      <c r="JG22" s="62"/>
      <c r="JH22" s="62"/>
      <c r="JI22" s="62"/>
      <c r="JJ22" s="62"/>
      <c r="JK22" s="62"/>
      <c r="JL22" s="169">
        <f>IF(COUNT(JL20,JL16,JL13,JL10,JL4)=0,"",SUM($B$4*IF(COUNT(JL4)=0,0,JL4),$B$10*IF(COUNT(JL10)=0,0,JL10),$B$13*IF(COUNT(JL13)=0,0,JL13),$B$16*IF(COUNT(JL16)=0,0,JL16),$B$20*IF(COUNT(JL20)=0,0,JL20))/SUM($B$4*COUNT(JL4),$B$10*COUNT(JL10),$B$13*COUNT(JL13),$B$16*COUNT(JL16),$B$20*COUNT(JL20)))</f>
        <v>2.6722222222222221</v>
      </c>
      <c r="JM22" s="193">
        <f>IF(JL22="","",JL22*5)</f>
        <v>13.361111111111111</v>
      </c>
      <c r="JN22" s="156"/>
      <c r="JO22" s="156"/>
      <c r="JP22" s="131"/>
      <c r="JQ22" s="131"/>
      <c r="JR22" s="131"/>
      <c r="JS22" s="169">
        <f>IF(COUNT(JS20,JS16,JS13,JS10,JS4)=0,"",SUM($B$4*IF(COUNT(JS4)=0,0,JS4),$B$10*IF(COUNT(JS10)=0,0,JS10),$B$13*IF(COUNT(JS13)=0,0,JS13),$B$16*IF(COUNT(JS16)=0,0,JS16),$B$20*IF(COUNT(JS20)=0,0,JS20))/SUM($B$4*COUNT(JS4),$B$10*COUNT(JS10),$B$13*COUNT(JS13),$B$16*COUNT(JS16),$B$20*COUNT(JS20)))</f>
        <v>2.375</v>
      </c>
      <c r="JT22" s="170">
        <f>IF(JS22="","",JS22*5)</f>
        <v>11.875</v>
      </c>
      <c r="JU22" s="62"/>
      <c r="JV22" s="62"/>
      <c r="JW22" s="62"/>
      <c r="JX22" s="62"/>
      <c r="JY22" s="169">
        <f>IF(COUNT(JY20,JY16,JY13,JY10,JY4)=0,"",SUM($B$4*IF(COUNT(JY4)=0,0,JY4),$B$10*IF(COUNT(JY10)=0,0,JY10),$B$13*IF(COUNT(JY13)=0,0,JY13),$B$16*IF(COUNT(JY16)=0,0,JY16),$B$20*IF(COUNT(JY20)=0,0,JY20))/SUM($B$4*COUNT(JY4),$B$10*COUNT(JY10),$B$13*COUNT(JY13),$B$16*COUNT(JY16),$B$20*COUNT(JY20)))</f>
        <v>2.5</v>
      </c>
      <c r="JZ22" s="176">
        <f>IF(JY22="","",JY22*5)</f>
        <v>12.5</v>
      </c>
      <c r="KA22" s="62"/>
      <c r="KB22" s="62"/>
      <c r="KC22" s="62"/>
      <c r="KD22" s="62"/>
      <c r="KE22" s="62"/>
      <c r="KF22" s="62"/>
      <c r="KG22" s="169">
        <f>IF(COUNT(KG20,KG16,KG13,KG10,KG4)=0,"",SUM($B$4*IF(COUNT(KG4)=0,0,KG4),$B$10*IF(COUNT(KG10)=0,0,KG10),$B$13*IF(COUNT(KG13)=0,0,KG13),$B$16*IF(COUNT(KG16)=0,0,KG16),$B$20*IF(COUNT(KG20)=0,0,KG20))/SUM($B$4*COUNT(KG4),$B$10*COUNT(KG10),$B$13*COUNT(KG13),$B$16*COUNT(KG16),$B$20*COUNT(KG20)))</f>
        <v>2.3986111111111108</v>
      </c>
      <c r="KH22" s="193">
        <f>IF(KG22="","",KG22*5)</f>
        <v>11.993055555555554</v>
      </c>
      <c r="KI22" s="156"/>
      <c r="KJ22" s="156"/>
      <c r="KK22" s="131"/>
      <c r="KL22" s="131"/>
      <c r="KM22" s="131"/>
      <c r="KN22" s="169">
        <f>IF(COUNT(KN20,KN16,KN13,KN10,KN4)=0,"",SUM($B$4*IF(COUNT(KN4)=0,0,KN4),$B$10*IF(COUNT(KN10)=0,0,KN10),$B$13*IF(COUNT(KN13)=0,0,KN13),$B$16*IF(COUNT(KN16)=0,0,KN16),$B$20*IF(COUNT(KN20)=0,0,KN20))/SUM($B$4*COUNT(KN4),$B$10*COUNT(KN10),$B$13*COUNT(KN13),$B$16*COUNT(KN16),$B$20*COUNT(KN20)))</f>
        <v>2.0833333333333335</v>
      </c>
      <c r="KO22" s="170">
        <f>IF(KN22="","",KN22*5)</f>
        <v>10.416666666666668</v>
      </c>
      <c r="KP22" s="62"/>
      <c r="KQ22" s="62"/>
      <c r="KR22" s="62"/>
      <c r="KS22" s="62"/>
      <c r="KT22" s="169">
        <f>IF(COUNT(KT20,KT16,KT13,KT10,KT4)=0,"",SUM($B$4*IF(COUNT(KT4)=0,0,KT4),$B$10*IF(COUNT(KT10)=0,0,KT10),$B$13*IF(COUNT(KT13)=0,0,KT13),$B$16*IF(COUNT(KT16)=0,0,KT16),$B$20*IF(COUNT(KT20)=0,0,KT20))/SUM($B$4*COUNT(KT4),$B$10*COUNT(KT10),$B$13*COUNT(KT13),$B$16*COUNT(KT16),$B$20*COUNT(KT20)))</f>
        <v>1.5</v>
      </c>
      <c r="KU22" s="176">
        <f>IF(KT22="","",KT22*5)</f>
        <v>7.5</v>
      </c>
      <c r="KV22" s="62"/>
      <c r="KW22" s="62"/>
      <c r="KX22" s="62"/>
      <c r="KY22" s="62"/>
      <c r="KZ22" s="62"/>
      <c r="LA22" s="62"/>
      <c r="LB22" s="169">
        <f>IF(COUNT(LB20,LB16,LB13,LB10,LB4)=0,"",SUM($B$4*IF(COUNT(LB4)=0,0,LB4),$B$10*IF(COUNT(LB10)=0,0,LB10),$B$13*IF(COUNT(LB13)=0,0,LB13),$B$16*IF(COUNT(LB16)=0,0,LB16),$B$20*IF(COUNT(LB20)=0,0,LB20))/SUM($B$4*COUNT(LB4),$B$10*COUNT(LB10),$B$13*COUNT(LB13),$B$16*COUNT(LB16),$B$20*COUNT(LB20)))</f>
        <v>2.125</v>
      </c>
      <c r="LC22" s="193">
        <f>IF(LB22="","",LB22*5)</f>
        <v>10.625</v>
      </c>
      <c r="LD22" s="156"/>
      <c r="LE22" s="156"/>
      <c r="LF22" s="131"/>
      <c r="LG22" s="131"/>
      <c r="LH22" s="131"/>
      <c r="LI22" s="169">
        <f>IF(COUNT(LI20,LI16,LI13,LI10,LI4)=0,"",SUM($B$4*IF(COUNT(LI4)=0,0,LI4),$B$10*IF(COUNT(LI10)=0,0,LI10),$B$13*IF(COUNT(LI13)=0,0,LI13),$B$16*IF(COUNT(LI16)=0,0,LI16),$B$20*IF(COUNT(LI20)=0,0,LI20))/SUM($B$4*COUNT(LI4),$B$10*COUNT(LI10),$B$13*COUNT(LI13),$B$16*COUNT(LI16),$B$20*COUNT(LI20)))</f>
        <v>2.125</v>
      </c>
      <c r="LJ22" s="170">
        <f>IF(LI22="","",LI22*5)</f>
        <v>10.625</v>
      </c>
      <c r="LK22" s="62"/>
      <c r="LL22" s="62"/>
      <c r="LM22" s="62"/>
      <c r="LN22" s="62"/>
      <c r="LO22" s="169">
        <f>IF(COUNT(LO20,LO16,LO13,LO10,LO4)=0,"",SUM($B$4*IF(COUNT(LO4)=0,0,LO4),$B$10*IF(COUNT(LO10)=0,0,LO10),$B$13*IF(COUNT(LO13)=0,0,LO13),$B$16*IF(COUNT(LO16)=0,0,LO16),$B$20*IF(COUNT(LO20)=0,0,LO20))/SUM($B$4*COUNT(LO4),$B$10*COUNT(LO10),$B$13*COUNT(LO13),$B$16*COUNT(LO16),$B$20*COUNT(LO20)))</f>
        <v>1.75</v>
      </c>
      <c r="LP22" s="176">
        <f>IF(LO22="","",LO22*5)</f>
        <v>8.75</v>
      </c>
      <c r="LQ22" s="62"/>
      <c r="LR22" s="62"/>
      <c r="LS22" s="62"/>
      <c r="LT22" s="62"/>
      <c r="LU22" s="62"/>
      <c r="LV22" s="62"/>
      <c r="LW22" s="169">
        <f>IF(COUNT(LW20,LW16,LW13,LW10,LW4)=0,"",SUM($B$4*IF(COUNT(LW4)=0,0,LW4),$B$10*IF(COUNT(LW10)=0,0,LW10),$B$13*IF(COUNT(LW13)=0,0,LW13),$B$16*IF(COUNT(LW16)=0,0,LW16),$B$20*IF(COUNT(LW20)=0,0,LW20))/SUM($B$4*COUNT(LW4),$B$10*COUNT(LW10),$B$13*COUNT(LW13),$B$16*COUNT(LW16),$B$20*COUNT(LW20)))</f>
        <v>2.3708333333333331</v>
      </c>
      <c r="LX22" s="193">
        <f>IF(LW22="","",LW22*5)</f>
        <v>11.854166666666666</v>
      </c>
      <c r="LY22" s="156"/>
      <c r="LZ22" s="156"/>
      <c r="MA22" s="131"/>
      <c r="MB22" s="131"/>
      <c r="MC22" s="131"/>
      <c r="MD22" s="169">
        <f>IF(COUNT(MD20,MD16,MD13,MD10,MD4)=0,"",SUM($B$4*IF(COUNT(MD4)=0,0,MD4),$B$10*IF(COUNT(MD10)=0,0,MD10),$B$13*IF(COUNT(MD13)=0,0,MD13),$B$16*IF(COUNT(MD16)=0,0,MD16),$B$20*IF(COUNT(MD20)=0,0,MD20))/SUM($B$4*COUNT(MD4),$B$10*COUNT(MD10),$B$13*COUNT(MD13),$B$16*COUNT(MD16),$B$20*COUNT(MD20)))</f>
        <v>1.4166666666666667</v>
      </c>
      <c r="ME22" s="170">
        <f>IF(MD22="","",MD22*5)</f>
        <v>7.0833333333333339</v>
      </c>
      <c r="MF22" s="62"/>
      <c r="MG22" s="62"/>
      <c r="MH22" s="62"/>
      <c r="MI22" s="62"/>
      <c r="MJ22" s="169">
        <f>IF(COUNT(MJ20,MJ16,MJ13,MJ10,MJ4)=0,"",SUM($B$4*IF(COUNT(MJ4)=0,0,MJ4),$B$10*IF(COUNT(MJ10)=0,0,MJ10),$B$13*IF(COUNT(MJ13)=0,0,MJ13),$B$16*IF(COUNT(MJ16)=0,0,MJ16),$B$20*IF(COUNT(MJ20)=0,0,MJ20))/SUM($B$4*COUNT(MJ4),$B$10*COUNT(MJ10),$B$13*COUNT(MJ13),$B$16*COUNT(MJ16),$B$20*COUNT(MJ20)))</f>
        <v>2.5</v>
      </c>
      <c r="MK22" s="176">
        <f>IF(MJ22="","",MJ22*5)</f>
        <v>12.5</v>
      </c>
      <c r="ML22" s="62"/>
      <c r="MM22" s="62"/>
      <c r="MN22" s="62"/>
      <c r="MO22" s="62"/>
      <c r="MP22" s="62"/>
      <c r="MQ22" s="62"/>
      <c r="MR22" s="169">
        <f>IF(COUNT(MR20,MR16,MR13,MR10,MR4)=0,"",SUM($B$4*IF(COUNT(MR4)=0,0,MR4),$B$10*IF(COUNT(MR10)=0,0,MR10),$B$13*IF(COUNT(MR13)=0,0,MR13),$B$16*IF(COUNT(MR16)=0,0,MR16),$B$20*IF(COUNT(MR20)=0,0,MR20))/SUM($B$4*COUNT(MR4),$B$10*COUNT(MR10),$B$13*COUNT(MR13),$B$16*COUNT(MR16),$B$20*COUNT(MR20)))</f>
        <v>1.7152777777777779</v>
      </c>
      <c r="MS22" s="193">
        <f>IF(MR22="","",MR22*5)</f>
        <v>8.5763888888888893</v>
      </c>
      <c r="MT22" s="156"/>
      <c r="MU22" s="156"/>
      <c r="MV22" s="131"/>
      <c r="MW22" s="131"/>
      <c r="MX22" s="131"/>
      <c r="MY22" s="169">
        <f>IF(COUNT(MY20,MY16,MY13,MY10,MY4)=0,"",SUM($B$4*IF(COUNT(MY4)=0,0,MY4),$B$10*IF(COUNT(MY10)=0,0,MY10),$B$13*IF(COUNT(MY13)=0,0,MY13),$B$16*IF(COUNT(MY16)=0,0,MY16),$B$20*IF(COUNT(MY20)=0,0,MY20))/SUM($B$4*COUNT(MY4),$B$10*COUNT(MY10),$B$13*COUNT(MY13),$B$16*COUNT(MY16),$B$20*COUNT(MY20)))</f>
        <v>2.0833333333333335</v>
      </c>
      <c r="MZ22" s="170">
        <f>IF(MY22="","",MY22*5)</f>
        <v>10.416666666666668</v>
      </c>
      <c r="NA22" s="62"/>
      <c r="NB22" s="62"/>
      <c r="NC22" s="62"/>
      <c r="ND22" s="62"/>
      <c r="NE22" s="169">
        <f>IF(COUNT(NE20,NE16,NE13,NE10,NE4)=0,"",SUM($B$4*IF(COUNT(NE4)=0,0,NE4),$B$10*IF(COUNT(NE10)=0,0,NE10),$B$13*IF(COUNT(NE13)=0,0,NE13),$B$16*IF(COUNT(NE16)=0,0,NE16),$B$20*IF(COUNT(NE20)=0,0,NE20))/SUM($B$4*COUNT(NE4),$B$10*COUNT(NE10),$B$13*COUNT(NE13),$B$16*COUNT(NE16),$B$20*COUNT(NE20)))</f>
        <v>3</v>
      </c>
      <c r="NF22" s="176">
        <f>IF(NE22="","",NE22*5)</f>
        <v>15</v>
      </c>
      <c r="NG22" s="62"/>
      <c r="NH22" s="62"/>
      <c r="NI22" s="62"/>
      <c r="NJ22" s="62"/>
      <c r="NK22" s="62"/>
      <c r="NL22" s="62"/>
      <c r="NM22" s="169">
        <f>IF(COUNT(NM20,NM16,NM13,NM10,NM4)=0,"",SUM($B$4*IF(COUNT(NM4)=0,0,NM4),$B$10*IF(COUNT(NM10)=0,0,NM10),$B$13*IF(COUNT(NM13)=0,0,NM13),$B$16*IF(COUNT(NM16)=0,0,NM16),$B$20*IF(COUNT(NM20)=0,0,NM20))/SUM($B$4*COUNT(NM4),$B$10*COUNT(NM10),$B$13*COUNT(NM13),$B$16*COUNT(NM16),$B$20*COUNT(NM20)))</f>
        <v>2.4722222222222223</v>
      </c>
      <c r="NN22" s="193">
        <f>IF(NM22="","",NM22*5)</f>
        <v>12.361111111111111</v>
      </c>
      <c r="NO22" s="156"/>
      <c r="NP22" s="156"/>
      <c r="NQ22" s="131"/>
      <c r="NR22" s="131"/>
      <c r="NS22" s="131"/>
      <c r="NT22" s="169">
        <f>IF(COUNT(NT20,NT16,NT13,NT10,NT4)=0,"",SUM($B$4*IF(COUNT(NT4)=0,0,NT4),$B$10*IF(COUNT(NT10)=0,0,NT10),$B$13*IF(COUNT(NT13)=0,0,NT13),$B$16*IF(COUNT(NT16)=0,0,NT16),$B$20*IF(COUNT(NT20)=0,0,NT20))/SUM($B$4*COUNT(NT4),$B$10*COUNT(NT10),$B$13*COUNT(NT13),$B$16*COUNT(NT16),$B$20*COUNT(NT20)))</f>
        <v>2.2083333333333335</v>
      </c>
      <c r="NU22" s="170">
        <f>IF(NT22="","",NT22*5)</f>
        <v>11.041666666666668</v>
      </c>
      <c r="NV22" s="62"/>
      <c r="NW22" s="62"/>
      <c r="NX22" s="62"/>
      <c r="NY22" s="62"/>
      <c r="NZ22" s="169">
        <f>IF(COUNT(NZ20,NZ16,NZ13,NZ10,NZ4)=0,"",SUM($B$4*IF(COUNT(NZ4)=0,0,NZ4),$B$10*IF(COUNT(NZ10)=0,0,NZ10),$B$13*IF(COUNT(NZ13)=0,0,NZ13),$B$16*IF(COUNT(NZ16)=0,0,NZ16),$B$20*IF(COUNT(NZ20)=0,0,NZ20))/SUM($B$4*COUNT(NZ4),$B$10*COUNT(NZ10),$B$13*COUNT(NZ13),$B$16*COUNT(NZ16),$B$20*COUNT(NZ20)))</f>
        <v>2.25</v>
      </c>
      <c r="OA22" s="176">
        <f>IF(NZ22="","",NZ22*5)</f>
        <v>11.25</v>
      </c>
      <c r="OB22" s="62"/>
      <c r="OC22" s="62"/>
      <c r="OD22" s="62"/>
      <c r="OE22" s="62"/>
      <c r="OF22" s="62"/>
      <c r="OG22" s="62"/>
      <c r="OH22" s="169">
        <f>IF(COUNT(OH20,OH16,OH13,OH10,OH4)=0,"",SUM($B$4*IF(COUNT(OH4)=0,0,OH4),$B$10*IF(COUNT(OH10)=0,0,OH10),$B$13*IF(COUNT(OH13)=0,0,OH13),$B$16*IF(COUNT(OH16)=0,0,OH16),$B$20*IF(COUNT(OH20)=0,0,OH20))/SUM($B$4*COUNT(OH4),$B$10*COUNT(OH10),$B$13*COUNT(OH13),$B$16*COUNT(OH16),$B$20*COUNT(OH20)))</f>
        <v>2.4486111111111111</v>
      </c>
      <c r="OI22" s="193">
        <f>IF(OH22="","",OH22*5)</f>
        <v>12.243055555555555</v>
      </c>
      <c r="OJ22" s="156"/>
      <c r="OK22" s="156"/>
      <c r="OL22" s="131"/>
      <c r="OM22" s="131"/>
      <c r="ON22" s="131"/>
      <c r="OO22" s="169">
        <f>IF(COUNT(OO20,OO16,OO13,OO10,OO4)=0,"",SUM($B$4*IF(COUNT(OO4)=0,0,OO4),$B$10*IF(COUNT(OO10)=0,0,OO10),$B$13*IF(COUNT(OO13)=0,0,OO13),$B$16*IF(COUNT(OO16)=0,0,OO16),$B$20*IF(COUNT(OO20)=0,0,OO20))/SUM($B$4*COUNT(OO4),$B$10*COUNT(OO10),$B$13*COUNT(OO13),$B$16*COUNT(OO16),$B$20*COUNT(OO20)))</f>
        <v>1.7916666666666667</v>
      </c>
      <c r="OP22" s="170">
        <f>IF(OO22="","",OO22*5)</f>
        <v>8.9583333333333339</v>
      </c>
      <c r="OQ22" s="62"/>
      <c r="OR22" s="62"/>
      <c r="OS22" s="62"/>
      <c r="OT22" s="62"/>
      <c r="OU22" s="169">
        <f>IF(COUNT(OU20,OU16,OU13,OU10,OU4)=0,"",SUM($B$4*IF(COUNT(OU4)=0,0,OU4),$B$10*IF(COUNT(OU10)=0,0,OU10),$B$13*IF(COUNT(OU13)=0,0,OU13),$B$16*IF(COUNT(OU16)=0,0,OU16),$B$20*IF(COUNT(OU20)=0,0,OU20))/SUM($B$4*COUNT(OU4),$B$10*COUNT(OU10),$B$13*COUNT(OU13),$B$16*COUNT(OU16),$B$20*COUNT(OU20)))</f>
        <v>1.75</v>
      </c>
      <c r="OV22" s="176">
        <f>IF(OU22="","",OU22*5)</f>
        <v>8.75</v>
      </c>
      <c r="OW22" s="62"/>
      <c r="OX22" s="62"/>
      <c r="OY22" s="62"/>
      <c r="OZ22" s="62"/>
      <c r="PA22" s="62"/>
      <c r="PB22" s="62"/>
      <c r="PC22" s="169">
        <f>IF(COUNT(PC20,PC16,PC13,PC10,PC4)=0,"",SUM($B$4*IF(COUNT(PC4)=0,0,PC4),$B$10*IF(COUNT(PC10)=0,0,PC10),$B$13*IF(COUNT(PC13)=0,0,PC13),$B$16*IF(COUNT(PC16)=0,0,PC16),$B$20*IF(COUNT(PC20)=0,0,PC20))/SUM($B$4*COUNT(PC4),$B$10*COUNT(PC10),$B$13*COUNT(PC13),$B$16*COUNT(PC16),$B$20*COUNT(PC20)))</f>
        <v>2.5902777777777781</v>
      </c>
      <c r="PD22" s="193">
        <f>IF(PC22="","",PC22*5)</f>
        <v>12.951388888888891</v>
      </c>
      <c r="PE22" s="156"/>
      <c r="PF22" s="156"/>
      <c r="PG22" s="131"/>
      <c r="PH22" s="131"/>
      <c r="PI22" s="131"/>
      <c r="PJ22" s="169">
        <f>IF(COUNT(PJ20,PJ16,PJ13,PJ10,PJ4)=0,"",SUM($B$4*IF(COUNT(PJ4)=0,0,PJ4),$B$10*IF(COUNT(PJ10)=0,0,PJ10),$B$13*IF(COUNT(PJ13)=0,0,PJ13),$B$16*IF(COUNT(PJ16)=0,0,PJ16),$B$20*IF(COUNT(PJ20)=0,0,PJ20))/SUM($B$4*COUNT(PJ4),$B$10*COUNT(PJ10),$B$13*COUNT(PJ13),$B$16*COUNT(PJ16),$B$20*COUNT(PJ20)))</f>
        <v>2.375</v>
      </c>
      <c r="PK22" s="170">
        <f>IF(PJ22="","",PJ22*5)</f>
        <v>11.875</v>
      </c>
      <c r="PL22" s="62"/>
      <c r="PM22" s="62"/>
      <c r="PN22" s="62"/>
      <c r="PO22" s="62"/>
      <c r="PP22" s="169">
        <f>IF(COUNT(PP20,PP16,PP13,PP10,PP4)=0,"",SUM($B$4*IF(COUNT(PP4)=0,0,PP4),$B$10*IF(COUNT(PP10)=0,0,PP10),$B$13*IF(COUNT(PP13)=0,0,PP13),$B$16*IF(COUNT(PP16)=0,0,PP16),$B$20*IF(COUNT(PP20)=0,0,PP20))/SUM($B$4*COUNT(PP4),$B$10*COUNT(PP10),$B$13*COUNT(PP13),$B$16*COUNT(PP16),$B$20*COUNT(PP20)))</f>
        <v>1.75</v>
      </c>
      <c r="PQ22" s="176">
        <f>IF(PP22="","",PP22*5)</f>
        <v>8.75</v>
      </c>
      <c r="PR22" s="62"/>
      <c r="PS22" s="62"/>
      <c r="PT22" s="62"/>
      <c r="PU22" s="62"/>
      <c r="PV22" s="62"/>
      <c r="PW22" s="62"/>
      <c r="PX22" s="169">
        <f>IF(COUNT(PX20,PX16,PX13,PX10,PX4)=0,"",SUM($B$4*IF(COUNT(PX4)=0,0,PX4),$B$10*IF(COUNT(PX10)=0,0,PX10),$B$13*IF(COUNT(PX13)=0,0,PX13),$B$16*IF(COUNT(PX16)=0,0,PX16),$B$20*IF(COUNT(PX20)=0,0,PX20))/SUM($B$4*COUNT(PX4),$B$10*COUNT(PX10),$B$13*COUNT(PX13),$B$16*COUNT(PX16),$B$20*COUNT(PX20)))</f>
        <v>3.0013888888888887</v>
      </c>
      <c r="PY22" s="193">
        <f>IF(PX22="","",PX22*5)</f>
        <v>15.006944444444443</v>
      </c>
      <c r="PZ22" s="156"/>
      <c r="QA22" s="156"/>
      <c r="QB22" s="131"/>
      <c r="QC22" s="131"/>
      <c r="QD22" s="131"/>
      <c r="QE22" s="169">
        <f>IF(COUNT(QE20,QE16,QE13,QE10,QE4)=0,"",SUM($B$4*IF(COUNT(QE4)=0,0,QE4),$B$10*IF(COUNT(QE10)=0,0,QE10),$B$13*IF(COUNT(QE13)=0,0,QE13),$B$16*IF(COUNT(QE16)=0,0,QE16),$B$20*IF(COUNT(QE20)=0,0,QE20))/SUM($B$4*COUNT(QE4),$B$10*COUNT(QE10),$B$13*COUNT(QE13),$B$16*COUNT(QE16),$B$20*COUNT(QE20)))</f>
        <v>2.5</v>
      </c>
      <c r="QF22" s="170">
        <f>IF(QE22="","",QE22*5)</f>
        <v>12.5</v>
      </c>
      <c r="QG22" s="62"/>
      <c r="QH22" s="62"/>
      <c r="QI22" s="62"/>
      <c r="QJ22" s="62"/>
      <c r="QK22" s="169">
        <f>IF(COUNT(QK20,QK16,QK13,QK10,QK4)=0,"",SUM($B$4*IF(COUNT(QK4)=0,0,QK4),$B$10*IF(COUNT(QK10)=0,0,QK10),$B$13*IF(COUNT(QK13)=0,0,QK13),$B$16*IF(COUNT(QK16)=0,0,QK16),$B$20*IF(COUNT(QK20)=0,0,QK20))/SUM($B$4*COUNT(QK4),$B$10*COUNT(QK10),$B$13*COUNT(QK13),$B$16*COUNT(QK16),$B$20*COUNT(QK20)))</f>
        <v>2</v>
      </c>
      <c r="QL22" s="176">
        <f>IF(QK22="","",QK22*5)</f>
        <v>10</v>
      </c>
      <c r="QM22" s="62"/>
      <c r="QN22" s="62"/>
      <c r="QO22" s="62"/>
      <c r="QP22" s="62"/>
      <c r="QQ22" s="62"/>
      <c r="QR22" s="62"/>
      <c r="QS22" s="169">
        <f>IF(COUNT(QS20,QS16,QS13,QS10,QS4)=0,"",SUM($B$4*IF(COUNT(QS4)=0,0,QS4),$B$10*IF(COUNT(QS10)=0,0,QS10),$B$13*IF(COUNT(QS13)=0,0,QS13),$B$16*IF(COUNT(QS16)=0,0,QS16),$B$20*IF(COUNT(QS20)=0,0,QS20))/SUM($B$4*COUNT(QS4),$B$10*COUNT(QS10),$B$13*COUNT(QS13),$B$16*COUNT(QS16),$B$20*COUNT(QS20)))</f>
        <v>2.9430555555555551</v>
      </c>
      <c r="QT22" s="193">
        <f>IF(QS22="","",QS22*5)</f>
        <v>14.715277777777775</v>
      </c>
      <c r="QU22" s="156"/>
      <c r="QV22" s="156"/>
      <c r="QW22" s="131"/>
      <c r="QX22" s="131"/>
      <c r="QY22" s="131"/>
      <c r="QZ22" s="169">
        <f>IF(COUNT(QZ20,QZ16,QZ13,QZ10,QZ4)=0,"",SUM($B$4*IF(COUNT(QZ4)=0,0,QZ4),$B$10*IF(COUNT(QZ10)=0,0,QZ10),$B$13*IF(COUNT(QZ13)=0,0,QZ13),$B$16*IF(COUNT(QZ16)=0,0,QZ16),$B$20*IF(COUNT(QZ20)=0,0,QZ20))/SUM($B$4*COUNT(QZ4),$B$10*COUNT(QZ10),$B$13*COUNT(QZ13),$B$16*COUNT(QZ16),$B$20*COUNT(QZ20)))</f>
        <v>1.5</v>
      </c>
      <c r="RA22" s="170">
        <f>IF(QZ22="","",QZ22*5)</f>
        <v>7.5</v>
      </c>
      <c r="RB22" s="62"/>
      <c r="RC22" s="62"/>
      <c r="RD22" s="62"/>
      <c r="RE22" s="62"/>
      <c r="RF22" s="169">
        <f>IF(COUNT(RF20,RF16,RF13,RF10,RF4)=0,"",SUM($B$4*IF(COUNT(RF4)=0,0,RF4),$B$10*IF(COUNT(RF10)=0,0,RF10),$B$13*IF(COUNT(RF13)=0,0,RF13),$B$16*IF(COUNT(RF16)=0,0,RF16),$B$20*IF(COUNT(RF20)=0,0,RF20))/SUM($B$4*COUNT(RF4),$B$10*COUNT(RF10),$B$13*COUNT(RF13),$B$16*COUNT(RF16),$B$20*COUNT(RF20)))</f>
        <v>1.75</v>
      </c>
      <c r="RG22" s="176">
        <f>IF(RF22="","",RF22*5)</f>
        <v>8.75</v>
      </c>
      <c r="RH22" s="62"/>
      <c r="RI22" s="62"/>
      <c r="RJ22" s="62"/>
      <c r="RK22" s="62"/>
      <c r="RL22" s="62"/>
      <c r="RM22" s="62"/>
      <c r="RN22" s="169">
        <f>IF(COUNT(RN20,RN16,RN13,RN10,RN4)=0,"",SUM($B$4*IF(COUNT(RN4)=0,0,RN4),$B$10*IF(COUNT(RN10)=0,0,RN10),$B$13*IF(COUNT(RN13)=0,0,RN13),$B$16*IF(COUNT(RN16)=0,0,RN16),$B$20*IF(COUNT(RN20)=0,0,RN20))/SUM($B$4*COUNT(RN4),$B$10*COUNT(RN10),$B$13*COUNT(RN13),$B$16*COUNT(RN16),$B$20*COUNT(RN20)))</f>
        <v>2.0513888888888889</v>
      </c>
      <c r="RO22" s="193">
        <f>IF(RN22="","",RN22*5)</f>
        <v>10.256944444444445</v>
      </c>
      <c r="RP22" s="156"/>
      <c r="RQ22" s="156"/>
      <c r="RR22" s="131"/>
      <c r="RS22" s="131"/>
      <c r="RT22" s="131"/>
      <c r="RU22" s="169">
        <f>IF(COUNT(RU20,RU16,RU13,RU10,RU4)=0,"",SUM($B$4*IF(COUNT(RU4)=0,0,RU4),$B$10*IF(COUNT(RU10)=0,0,RU10),$B$13*IF(COUNT(RU13)=0,0,RU13),$B$16*IF(COUNT(RU16)=0,0,RU16),$B$20*IF(COUNT(RU20)=0,0,RU20))/SUM($B$4*COUNT(RU4),$B$10*COUNT(RU10),$B$13*COUNT(RU13),$B$16*COUNT(RU16),$B$20*COUNT(RU20)))</f>
        <v>1.9583333333333333</v>
      </c>
      <c r="RV22" s="170">
        <f>IF(RU22="","",RU22*5)</f>
        <v>9.7916666666666661</v>
      </c>
      <c r="RW22" s="62"/>
      <c r="RX22" s="62"/>
      <c r="RY22" s="62"/>
      <c r="RZ22" s="62"/>
      <c r="SA22" s="169">
        <f>IF(COUNT(SA20,SA16,SA13,SA10,SA4)=0,"",SUM($B$4*IF(COUNT(SA4)=0,0,SA4),$B$10*IF(COUNT(SA10)=0,0,SA10),$B$13*IF(COUNT(SA13)=0,0,SA13),$B$16*IF(COUNT(SA16)=0,0,SA16),$B$20*IF(COUNT(SA20)=0,0,SA20))/SUM($B$4*COUNT(SA4),$B$10*COUNT(SA10),$B$13*COUNT(SA13),$B$16*COUNT(SA16),$B$20*COUNT(SA20)))</f>
        <v>1.5</v>
      </c>
      <c r="SB22" s="176">
        <f>IF(SA22="","",SA22*5)</f>
        <v>7.5</v>
      </c>
      <c r="SC22" s="62"/>
      <c r="SD22" s="62"/>
      <c r="SE22" s="62"/>
      <c r="SF22" s="62"/>
      <c r="SG22" s="62"/>
      <c r="SH22" s="62"/>
      <c r="SI22" s="169">
        <f>IF(COUNT(SI20,SI16,SI13,SI10,SI4)=0,"",SUM($B$4*IF(COUNT(SI4)=0,0,SI4),$B$10*IF(COUNT(SI10)=0,0,SI10),$B$13*IF(COUNT(SI13)=0,0,SI13),$B$16*IF(COUNT(SI16)=0,0,SI16),$B$20*IF(COUNT(SI20)=0,0,SI20))/SUM($B$4*COUNT(SI4),$B$10*COUNT(SI10),$B$13*COUNT(SI13),$B$16*COUNT(SI16),$B$20*COUNT(SI20)))</f>
        <v>1.8125</v>
      </c>
      <c r="SJ22" s="193">
        <f>IF(SI22="","",SI22*5)</f>
        <v>9.0625</v>
      </c>
      <c r="SK22" s="156"/>
      <c r="SL22" s="156"/>
      <c r="SM22" s="131"/>
      <c r="SN22" s="131"/>
      <c r="SO22" s="131"/>
      <c r="SP22" s="132" t="str">
        <f>IF(COUNT(SP20,SP16,SP13,SP10,SP4)=0,"",SUM($B$4*IF(COUNT(SP4)=0,0,SP4),$B$10*IF(COUNT(SP10)=0,0,SP10),$B$13*IF(COUNT(SP13)=0,0,SP13),$B$16*IF(COUNT(SP16)=0,0,SP16),$B$20*IF(COUNT(SP20)=0,0,SP20))/SUM($B$4*COUNT(SP4),$B$10*COUNT(SP10),$B$13*COUNT(SP13),$B$16*COUNT(SP16),$B$20*COUNT(SP20)))</f>
        <v/>
      </c>
      <c r="SQ22" s="133" t="str">
        <f>IF(SP22="","",SP22*5)</f>
        <v/>
      </c>
      <c r="SR22" s="62"/>
      <c r="SS22" s="62"/>
      <c r="ST22" s="62"/>
      <c r="SU22" s="132" t="str">
        <f>IF(COUNT(SU20,SU16,SU13,SU10,SU4)=0,"",SUM($B$4*IF(COUNT(SU4)=0,0,SU4),$B$10*IF(COUNT(SU10)=0,0,SU10),$B$13*IF(COUNT(SU13)=0,0,SU13),$B$16*IF(COUNT(SU16)=0,0,SU16),$B$20*IF(COUNT(SU20)=0,0,SU20))/SUM($B$4*COUNT(SU4),$B$10*COUNT(SU10),$B$13*COUNT(SU13),$B$16*COUNT(SU16),$B$20*COUNT(SU20)))</f>
        <v/>
      </c>
      <c r="SV22" s="134" t="str">
        <f>IF(SU22="","",SU22*5)</f>
        <v/>
      </c>
      <c r="SW22" s="62"/>
      <c r="SX22" s="62"/>
      <c r="SY22" s="62"/>
      <c r="SZ22" s="132" t="str">
        <f>IF(COUNT(SZ20,SZ16,SZ13,SZ10,SZ4)=0,"",SUM($B$4*IF(COUNT(SZ4)=0,0,SZ4),$B$10*IF(COUNT(SZ10)=0,0,SZ10),$B$13*IF(COUNT(SZ13)=0,0,SZ13),$B$16*IF(COUNT(SZ16)=0,0,SZ16),$B$20*IF(COUNT(SZ20)=0,0,SZ20))/SUM($B$4*COUNT(SZ4),$B$10*COUNT(SZ10),$B$13*COUNT(SZ13),$B$16*COUNT(SZ16),$B$20*COUNT(SZ20)))</f>
        <v/>
      </c>
      <c r="TA22" s="135" t="str">
        <f>IF(SZ22="","",SZ22*5)</f>
        <v/>
      </c>
      <c r="TB22" s="61"/>
      <c r="TC22" s="61"/>
      <c r="TD22" s="131"/>
      <c r="TE22" s="131"/>
      <c r="TF22" s="131"/>
      <c r="TG22" s="132" t="str">
        <f>IF(COUNT(TG20,TG16,TG13,TG10,TG4)=0,"",SUM($B$4*IF(COUNT(TG4)=0,0,TG4),$B$10*IF(COUNT(TG10)=0,0,TG10),$B$13*IF(COUNT(TG13)=0,0,TG13),$B$16*IF(COUNT(TG16)=0,0,TG16),$B$20*IF(COUNT(TG20)=0,0,TG20))/SUM($B$4*COUNT(TG4),$B$10*COUNT(TG10),$B$13*COUNT(TG13),$B$16*COUNT(TG16),$B$20*COUNT(TG20)))</f>
        <v/>
      </c>
      <c r="TH22" s="133" t="str">
        <f>IF(TG22="","",TG22*5)</f>
        <v/>
      </c>
      <c r="TI22" s="62"/>
      <c r="TJ22" s="62"/>
      <c r="TK22" s="62"/>
      <c r="TL22" s="132" t="str">
        <f>IF(COUNT(TL20,TL16,TL13,TL10,TL4)=0,"",SUM($B$4*IF(COUNT(TL4)=0,0,TL4),$B$10*IF(COUNT(TL10)=0,0,TL10),$B$13*IF(COUNT(TL13)=0,0,TL13),$B$16*IF(COUNT(TL16)=0,0,TL16),$B$20*IF(COUNT(TL20)=0,0,TL20))/SUM($B$4*COUNT(TL4),$B$10*COUNT(TL10),$B$13*COUNT(TL13),$B$16*COUNT(TL16),$B$20*COUNT(TL20)))</f>
        <v/>
      </c>
      <c r="TM22" s="134" t="str">
        <f>IF(TL22="","",TL22*5)</f>
        <v/>
      </c>
      <c r="TN22" s="62"/>
      <c r="TO22" s="62"/>
      <c r="TP22" s="62"/>
      <c r="TQ22" s="132" t="str">
        <f>IF(COUNT(TQ20,TQ16,TQ13,TQ10,TQ4)=0,"",SUM($B$4*IF(COUNT(TQ4)=0,0,TQ4),$B$10*IF(COUNT(TQ10)=0,0,TQ10),$B$13*IF(COUNT(TQ13)=0,0,TQ13),$B$16*IF(COUNT(TQ16)=0,0,TQ16),$B$20*IF(COUNT(TQ20)=0,0,TQ20))/SUM($B$4*COUNT(TQ4),$B$10*COUNT(TQ10),$B$13*COUNT(TQ13),$B$16*COUNT(TQ16),$B$20*COUNT(TQ20)))</f>
        <v/>
      </c>
      <c r="TR22" s="135" t="str">
        <f>IF(TQ22="","",TQ22*5)</f>
        <v/>
      </c>
      <c r="TS22" s="61"/>
      <c r="TT22" s="61"/>
      <c r="TU22" s="131"/>
      <c r="TV22" s="131"/>
      <c r="TW22" s="131"/>
      <c r="TX22" s="132" t="str">
        <f>IF(COUNT(TX20,TX16,TX13,TX10,TX4)=0,"",SUM($B$4*IF(COUNT(TX4)=0,0,TX4),$B$10*IF(COUNT(TX10)=0,0,TX10),$B$13*IF(COUNT(TX13)=0,0,TX13),$B$16*IF(COUNT(TX16)=0,0,TX16),$B$20*IF(COUNT(TX20)=0,0,TX20))/SUM($B$4*COUNT(TX4),$B$10*COUNT(TX10),$B$13*COUNT(TX13),$B$16*COUNT(TX16),$B$20*COUNT(TX20)))</f>
        <v/>
      </c>
      <c r="TY22" s="133" t="str">
        <f>IF(TX22="","",TX22*5)</f>
        <v/>
      </c>
      <c r="TZ22" s="62"/>
      <c r="UA22" s="62"/>
      <c r="UB22" s="62"/>
      <c r="UC22" s="132" t="str">
        <f>IF(COUNT(UC20,UC16,UC13,UC10,UC4)=0,"",SUM($B$4*IF(COUNT(UC4)=0,0,UC4),$B$10*IF(COUNT(UC10)=0,0,UC10),$B$13*IF(COUNT(UC13)=0,0,UC13),$B$16*IF(COUNT(UC16)=0,0,UC16),$B$20*IF(COUNT(UC20)=0,0,UC20))/SUM($B$4*COUNT(UC4),$B$10*COUNT(UC10),$B$13*COUNT(UC13),$B$16*COUNT(UC16),$B$20*COUNT(UC20)))</f>
        <v/>
      </c>
      <c r="UD22" s="134" t="str">
        <f>IF(UC22="","",UC22*5)</f>
        <v/>
      </c>
      <c r="UE22" s="62"/>
      <c r="UF22" s="62"/>
      <c r="UG22" s="62"/>
      <c r="UH22" s="132" t="str">
        <f>IF(COUNT(UH20,UH16,UH13,UH10,UH4)=0,"",SUM($B$4*IF(COUNT(UH4)=0,0,UH4),$B$10*IF(COUNT(UH10)=0,0,UH10),$B$13*IF(COUNT(UH13)=0,0,UH13),$B$16*IF(COUNT(UH16)=0,0,UH16),$B$20*IF(COUNT(UH20)=0,0,UH20))/SUM($B$4*COUNT(UH4),$B$10*COUNT(UH10),$B$13*COUNT(UH13),$B$16*COUNT(UH16),$B$20*COUNT(UH20)))</f>
        <v/>
      </c>
      <c r="UI22" s="135" t="str">
        <f>IF(UH22="","",UH22*5)</f>
        <v/>
      </c>
      <c r="UJ22" s="61"/>
      <c r="UK22" s="61"/>
      <c r="UL22" s="131"/>
      <c r="UM22" s="131"/>
      <c r="UN22" s="131"/>
      <c r="UO22" s="132" t="str">
        <f>IF(COUNT(UO20,UO16,UO13,UO10,UO4)=0,"",SUM($B$4*IF(COUNT(UO4)=0,0,UO4),$B$10*IF(COUNT(UO10)=0,0,UO10),$B$13*IF(COUNT(UO13)=0,0,UO13),$B$16*IF(COUNT(UO16)=0,0,UO16),$B$20*IF(COUNT(UO20)=0,0,UO20))/SUM($B$4*COUNT(UO4),$B$10*COUNT(UO10),$B$13*COUNT(UO13),$B$16*COUNT(UO16),$B$20*COUNT(UO20)))</f>
        <v/>
      </c>
      <c r="UP22" s="133" t="str">
        <f>IF(UO22="","",UO22*5)</f>
        <v/>
      </c>
      <c r="UQ22" s="62"/>
      <c r="UR22" s="62"/>
      <c r="US22" s="62"/>
      <c r="UT22" s="132" t="str">
        <f>IF(COUNT(UT20,UT16,UT13,UT10,UT4)=0,"",SUM($B$4*IF(COUNT(UT4)=0,0,UT4),$B$10*IF(COUNT(UT10)=0,0,UT10),$B$13*IF(COUNT(UT13)=0,0,UT13),$B$16*IF(COUNT(UT16)=0,0,UT16),$B$20*IF(COUNT(UT20)=0,0,UT20))/SUM($B$4*COUNT(UT4),$B$10*COUNT(UT10),$B$13*COUNT(UT13),$B$16*COUNT(UT16),$B$20*COUNT(UT20)))</f>
        <v/>
      </c>
      <c r="UU22" s="134" t="str">
        <f>IF(UT22="","",UT22*5)</f>
        <v/>
      </c>
      <c r="UV22" s="62"/>
      <c r="UW22" s="62"/>
      <c r="UX22" s="62"/>
      <c r="UY22" s="132" t="str">
        <f>IF(COUNT(UY20,UY16,UY13,UY10,UY4)=0,"",SUM($B$4*IF(COUNT(UY4)=0,0,UY4),$B$10*IF(COUNT(UY10)=0,0,UY10),$B$13*IF(COUNT(UY13)=0,0,UY13),$B$16*IF(COUNT(UY16)=0,0,UY16),$B$20*IF(COUNT(UY20)=0,0,UY20))/SUM($B$4*COUNT(UY4),$B$10*COUNT(UY10),$B$13*COUNT(UY13),$B$16*COUNT(UY16),$B$20*COUNT(UY20)))</f>
        <v/>
      </c>
      <c r="UZ22" s="135" t="str">
        <f>IF(UY22="","",UY22*5)</f>
        <v/>
      </c>
      <c r="VA22" s="61"/>
      <c r="VB22" s="61"/>
      <c r="VC22" s="131"/>
      <c r="VD22" s="131"/>
      <c r="VE22" s="131"/>
      <c r="VF22" s="132" t="str">
        <f>IF(COUNT(VF20,VF16,VF13,VF10,VF4)=0,"",SUM($B$4*IF(COUNT(VF4)=0,0,VF4),$B$10*IF(COUNT(VF10)=0,0,VF10),$B$13*IF(COUNT(VF13)=0,0,VF13),$B$16*IF(COUNT(VF16)=0,0,VF16),$B$20*IF(COUNT(VF20)=0,0,VF20))/SUM($B$4*COUNT(VF4),$B$10*COUNT(VF10),$B$13*COUNT(VF13),$B$16*COUNT(VF16),$B$20*COUNT(VF20)))</f>
        <v/>
      </c>
      <c r="VG22" s="133" t="str">
        <f>IF(VF22="","",VF22*5)</f>
        <v/>
      </c>
      <c r="VH22" s="62"/>
      <c r="VI22" s="62"/>
      <c r="VJ22" s="62"/>
      <c r="VK22" s="132" t="str">
        <f>IF(COUNT(VK20,VK16,VK13,VK10,VK4)=0,"",SUM($B$4*IF(COUNT(VK4)=0,0,VK4),$B$10*IF(COUNT(VK10)=0,0,VK10),$B$13*IF(COUNT(VK13)=0,0,VK13),$B$16*IF(COUNT(VK16)=0,0,VK16),$B$20*IF(COUNT(VK20)=0,0,VK20))/SUM($B$4*COUNT(VK4),$B$10*COUNT(VK10),$B$13*COUNT(VK13),$B$16*COUNT(VK16),$B$20*COUNT(VK20)))</f>
        <v/>
      </c>
      <c r="VL22" s="134" t="str">
        <f>IF(VK22="","",VK22*5)</f>
        <v/>
      </c>
      <c r="VM22" s="62"/>
      <c r="VN22" s="62"/>
      <c r="VO22" s="62"/>
      <c r="VP22" s="132" t="str">
        <f>IF(COUNT(VP20,VP16,VP13,VP10,VP4)=0,"",SUM($B$4*IF(COUNT(VP4)=0,0,VP4),$B$10*IF(COUNT(VP10)=0,0,VP10),$B$13*IF(COUNT(VP13)=0,0,VP13),$B$16*IF(COUNT(VP16)=0,0,VP16),$B$20*IF(COUNT(VP20)=0,0,VP20))/SUM($B$4*COUNT(VP4),$B$10*COUNT(VP10),$B$13*COUNT(VP13),$B$16*COUNT(VP16),$B$20*COUNT(VP20)))</f>
        <v/>
      </c>
      <c r="VQ22" s="135" t="str">
        <f>IF(VP22="","",VP22*5)</f>
        <v/>
      </c>
      <c r="VR22" s="61"/>
      <c r="VS22" s="61"/>
      <c r="VT22" s="131"/>
      <c r="VU22" s="131"/>
      <c r="VV22" s="131"/>
      <c r="VW22" s="132" t="str">
        <f>IF(COUNT(VW20,VW16,VW13,VW10,VW4)=0,"",SUM($B$4*IF(COUNT(VW4)=0,0,VW4),$B$10*IF(COUNT(VW10)=0,0,VW10),$B$13*IF(COUNT(VW13)=0,0,VW13),$B$16*IF(COUNT(VW16)=0,0,VW16),$B$20*IF(COUNT(VW20)=0,0,VW20))/SUM($B$4*COUNT(VW4),$B$10*COUNT(VW10),$B$13*COUNT(VW13),$B$16*COUNT(VW16),$B$20*COUNT(VW20)))</f>
        <v/>
      </c>
      <c r="VX22" s="133" t="str">
        <f>IF(VW22="","",VW22*5)</f>
        <v/>
      </c>
      <c r="VY22" s="62"/>
      <c r="VZ22" s="62"/>
      <c r="WA22" s="62"/>
      <c r="WB22" s="132" t="str">
        <f>IF(COUNT(WB20,WB16,WB13,WB10,WB4)=0,"",SUM($B$4*IF(COUNT(WB4)=0,0,WB4),$B$10*IF(COUNT(WB10)=0,0,WB10),$B$13*IF(COUNT(WB13)=0,0,WB13),$B$16*IF(COUNT(WB16)=0,0,WB16),$B$20*IF(COUNT(WB20)=0,0,WB20))/SUM($B$4*COUNT(WB4),$B$10*COUNT(WB10),$B$13*COUNT(WB13),$B$16*COUNT(WB16),$B$20*COUNT(WB20)))</f>
        <v/>
      </c>
      <c r="WC22" s="134" t="str">
        <f>IF(WB22="","",WB22*5)</f>
        <v/>
      </c>
      <c r="WD22" s="62"/>
      <c r="WE22" s="62"/>
      <c r="WF22" s="62"/>
      <c r="WG22" s="132" t="str">
        <f>IF(COUNT(WG20,WG16,WG13,WG10,WG4)=0,"",SUM($B$4*IF(COUNT(WG4)=0,0,WG4),$B$10*IF(COUNT(WG10)=0,0,WG10),$B$13*IF(COUNT(WG13)=0,0,WG13),$B$16*IF(COUNT(WG16)=0,0,WG16),$B$20*IF(COUNT(WG20)=0,0,WG20))/SUM($B$4*COUNT(WG4),$B$10*COUNT(WG10),$B$13*COUNT(WG13),$B$16*COUNT(WG16),$B$20*COUNT(WG20)))</f>
        <v/>
      </c>
      <c r="WH22" s="135" t="str">
        <f>IF(WG22="","",WG22*5)</f>
        <v/>
      </c>
      <c r="WI22" s="61"/>
      <c r="WJ22" s="61"/>
    </row>
    <row r="23" spans="1:608" s="136" customFormat="1" ht="16.5" x14ac:dyDescent="0.75">
      <c r="A23" s="146"/>
      <c r="B23" s="146"/>
      <c r="F23" s="146"/>
      <c r="G23" s="146"/>
      <c r="L23" s="146"/>
      <c r="M23" s="146"/>
      <c r="T23" s="146"/>
      <c r="U23" s="146"/>
      <c r="V23" s="172"/>
      <c r="W23" s="172"/>
      <c r="AA23" s="146"/>
      <c r="AB23" s="146"/>
      <c r="AG23" s="146"/>
      <c r="AH23" s="146"/>
      <c r="AO23" s="146"/>
      <c r="AP23" s="146"/>
      <c r="AQ23" s="172"/>
      <c r="AR23" s="172"/>
      <c r="BL23" s="137"/>
      <c r="BM23" s="137"/>
      <c r="CG23" s="137"/>
      <c r="CH23" s="137"/>
      <c r="DB23" s="137"/>
      <c r="DC23" s="137"/>
      <c r="DW23" s="137"/>
      <c r="DX23" s="137"/>
      <c r="ER23" s="137"/>
      <c r="ES23" s="137"/>
      <c r="FM23" s="137"/>
      <c r="FN23" s="137"/>
      <c r="GH23" s="137"/>
      <c r="GI23" s="137"/>
      <c r="HC23" s="137"/>
      <c r="HD23" s="137"/>
      <c r="HX23" s="137"/>
      <c r="HY23" s="137"/>
      <c r="IS23" s="137"/>
      <c r="IT23" s="137"/>
      <c r="JN23" s="137"/>
      <c r="JO23" s="137"/>
      <c r="KI23" s="137"/>
      <c r="KJ23" s="137"/>
      <c r="LD23" s="137"/>
      <c r="LE23" s="137"/>
      <c r="LY23" s="137"/>
      <c r="LZ23" s="137"/>
      <c r="MT23" s="137"/>
      <c r="MU23" s="137"/>
      <c r="NO23" s="137"/>
      <c r="NP23" s="137"/>
      <c r="OJ23" s="137"/>
      <c r="OK23" s="137"/>
      <c r="PE23" s="137"/>
      <c r="PF23" s="137"/>
      <c r="PZ23" s="137"/>
      <c r="QA23" s="137"/>
      <c r="QU23" s="137"/>
      <c r="QV23" s="137"/>
      <c r="RP23" s="137"/>
      <c r="RQ23" s="137"/>
      <c r="SK23" s="137"/>
      <c r="SL23" s="137"/>
      <c r="TB23" s="137"/>
      <c r="TC23" s="137"/>
      <c r="TS23" s="137"/>
      <c r="TT23" s="137"/>
      <c r="UJ23" s="137"/>
      <c r="UK23" s="137"/>
      <c r="VA23" s="137"/>
      <c r="VB23" s="137"/>
      <c r="VR23" s="137"/>
      <c r="VS23" s="137"/>
      <c r="WI23" s="137"/>
      <c r="WJ23" s="137"/>
    </row>
    <row r="24" spans="1:608" ht="16.5" x14ac:dyDescent="0.55000000000000004">
      <c r="A24" s="147"/>
      <c r="B24" s="147"/>
      <c r="C24" s="138"/>
      <c r="D24" s="137"/>
      <c r="E24" s="137"/>
      <c r="F24" s="147"/>
      <c r="G24" s="147"/>
      <c r="I24" s="137"/>
      <c r="J24" s="137"/>
      <c r="K24" s="137"/>
      <c r="N24" s="139"/>
      <c r="O24" s="139"/>
      <c r="P24" s="139"/>
      <c r="Q24" s="139"/>
      <c r="R24" s="139"/>
      <c r="S24" s="139"/>
      <c r="T24" s="171"/>
      <c r="V24" s="147"/>
      <c r="W24" s="147"/>
      <c r="X24" s="138"/>
      <c r="Y24" s="137"/>
      <c r="Z24" s="137"/>
      <c r="AA24" s="147"/>
      <c r="AB24" s="147"/>
      <c r="AD24" s="137"/>
      <c r="AE24" s="137"/>
      <c r="AF24" s="137"/>
      <c r="AI24" s="139"/>
      <c r="AJ24" s="139"/>
      <c r="AK24" s="139"/>
      <c r="AL24" s="139"/>
      <c r="AM24" s="139"/>
      <c r="AN24" s="139"/>
      <c r="AO24" s="171"/>
      <c r="AQ24" s="147"/>
      <c r="AR24" s="147"/>
      <c r="AS24" s="138"/>
      <c r="AT24" s="137"/>
      <c r="AU24" s="137"/>
      <c r="AV24" s="138"/>
      <c r="AW24" s="138"/>
      <c r="AY24" s="137"/>
      <c r="AZ24" s="137"/>
      <c r="BA24" s="137"/>
      <c r="BD24" s="139"/>
      <c r="BE24" s="139"/>
      <c r="BF24" s="139"/>
      <c r="BG24" s="139"/>
      <c r="BH24" s="139"/>
      <c r="BI24" s="139"/>
      <c r="BJ24" s="139"/>
      <c r="BL24" s="138"/>
      <c r="BM24" s="138"/>
      <c r="BN24" s="138"/>
      <c r="BO24" s="137"/>
      <c r="BP24" s="137"/>
      <c r="BQ24" s="138"/>
      <c r="BR24" s="138"/>
      <c r="BT24" s="137"/>
      <c r="BU24" s="137"/>
      <c r="BV24" s="137"/>
      <c r="BY24" s="139"/>
      <c r="BZ24" s="139"/>
      <c r="CA24" s="139"/>
      <c r="CB24" s="139"/>
      <c r="CC24" s="139"/>
      <c r="CD24" s="139"/>
      <c r="CE24" s="139"/>
      <c r="CG24" s="138"/>
      <c r="CH24" s="138"/>
      <c r="CI24" s="138"/>
      <c r="CJ24" s="137"/>
      <c r="CK24" s="137"/>
      <c r="CL24" s="138"/>
      <c r="CM24" s="138"/>
      <c r="CO24" s="137"/>
      <c r="CP24" s="137"/>
      <c r="CQ24" s="137"/>
      <c r="CT24" s="139"/>
      <c r="CU24" s="139"/>
      <c r="CV24" s="139"/>
      <c r="CW24" s="139"/>
      <c r="CX24" s="139"/>
      <c r="CY24" s="139"/>
      <c r="CZ24" s="139"/>
      <c r="DB24" s="138"/>
      <c r="DC24" s="138"/>
      <c r="DD24" s="138"/>
      <c r="DE24" s="137"/>
      <c r="DF24" s="137"/>
      <c r="DG24" s="138"/>
      <c r="DH24" s="138"/>
      <c r="DJ24" s="137"/>
      <c r="DK24" s="137"/>
      <c r="DL24" s="137"/>
      <c r="DO24" s="139"/>
      <c r="DP24" s="139"/>
      <c r="DQ24" s="139"/>
      <c r="DR24" s="139"/>
      <c r="DS24" s="139"/>
      <c r="DT24" s="139"/>
      <c r="DU24" s="139"/>
      <c r="DW24" s="138"/>
      <c r="DX24" s="138"/>
      <c r="DY24" s="138"/>
      <c r="DZ24" s="137"/>
      <c r="EA24" s="137"/>
      <c r="EB24" s="138"/>
      <c r="EC24" s="138"/>
      <c r="EE24" s="137"/>
      <c r="EF24" s="137"/>
      <c r="EG24" s="137"/>
      <c r="EJ24" s="139"/>
      <c r="EK24" s="139"/>
      <c r="EL24" s="139"/>
      <c r="EM24" s="139"/>
      <c r="EN24" s="139"/>
      <c r="EO24" s="139"/>
      <c r="EP24" s="139"/>
      <c r="ER24" s="138"/>
      <c r="ES24" s="138"/>
      <c r="ET24" s="138"/>
      <c r="EU24" s="137"/>
      <c r="EV24" s="137"/>
      <c r="EW24" s="138"/>
      <c r="EX24" s="138"/>
      <c r="EZ24" s="137"/>
      <c r="FA24" s="137"/>
      <c r="FB24" s="137"/>
      <c r="FE24" s="139"/>
      <c r="FF24" s="139"/>
      <c r="FG24" s="139"/>
      <c r="FH24" s="139"/>
      <c r="FI24" s="139"/>
      <c r="FJ24" s="139"/>
      <c r="FK24" s="139"/>
      <c r="FM24" s="138"/>
      <c r="FN24" s="138"/>
      <c r="FO24" s="138"/>
      <c r="FP24" s="137"/>
      <c r="FQ24" s="137"/>
      <c r="FR24" s="138"/>
      <c r="FS24" s="138"/>
      <c r="FU24" s="137"/>
      <c r="FV24" s="137"/>
      <c r="FW24" s="137"/>
      <c r="FZ24" s="139"/>
      <c r="GA24" s="139"/>
      <c r="GB24" s="139"/>
      <c r="GC24" s="139"/>
      <c r="GD24" s="139"/>
      <c r="GE24" s="139"/>
      <c r="GF24" s="139"/>
      <c r="GH24" s="138"/>
      <c r="GI24" s="138"/>
      <c r="GJ24" s="138"/>
      <c r="GK24" s="137"/>
      <c r="GL24" s="137"/>
      <c r="GM24" s="138"/>
      <c r="GN24" s="138"/>
      <c r="GP24" s="137"/>
      <c r="GQ24" s="137"/>
      <c r="GR24" s="137"/>
      <c r="GU24" s="139"/>
      <c r="GV24" s="139"/>
      <c r="GW24" s="139"/>
      <c r="GX24" s="139"/>
      <c r="GY24" s="139"/>
      <c r="GZ24" s="139"/>
      <c r="HA24" s="139"/>
      <c r="HC24" s="138"/>
      <c r="HD24" s="138"/>
      <c r="HE24" s="138"/>
      <c r="HF24" s="137"/>
      <c r="HG24" s="137"/>
      <c r="HH24" s="138"/>
      <c r="HI24" s="138"/>
      <c r="HK24" s="137"/>
      <c r="HL24" s="137"/>
      <c r="HM24" s="137"/>
      <c r="HP24" s="139"/>
      <c r="HQ24" s="139"/>
      <c r="HR24" s="139"/>
      <c r="HS24" s="139"/>
      <c r="HT24" s="139"/>
      <c r="HU24" s="139"/>
      <c r="HV24" s="139"/>
      <c r="HX24" s="138"/>
      <c r="HY24" s="138"/>
      <c r="HZ24" s="138"/>
      <c r="IA24" s="137"/>
      <c r="IB24" s="137"/>
      <c r="IC24" s="138"/>
      <c r="ID24" s="138"/>
      <c r="IF24" s="137"/>
      <c r="IG24" s="137"/>
      <c r="IH24" s="137"/>
      <c r="IK24" s="139"/>
      <c r="IL24" s="139"/>
      <c r="IM24" s="139"/>
      <c r="IN24" s="139"/>
      <c r="IO24" s="139"/>
      <c r="IP24" s="139"/>
      <c r="IQ24" s="139"/>
      <c r="IS24" s="138"/>
      <c r="IT24" s="138"/>
      <c r="IU24" s="138"/>
      <c r="IV24" s="137"/>
      <c r="IW24" s="137"/>
      <c r="IX24" s="138"/>
      <c r="IY24" s="138"/>
      <c r="JA24" s="137"/>
      <c r="JB24" s="137"/>
      <c r="JC24" s="137"/>
      <c r="JF24" s="139"/>
      <c r="JG24" s="139"/>
      <c r="JH24" s="139"/>
      <c r="JI24" s="139"/>
      <c r="JJ24" s="139"/>
      <c r="JK24" s="139"/>
      <c r="JL24" s="139"/>
      <c r="JN24" s="138"/>
      <c r="JO24" s="138"/>
      <c r="JP24" s="138"/>
      <c r="JQ24" s="137"/>
      <c r="JR24" s="137"/>
      <c r="JS24" s="138"/>
      <c r="JT24" s="138"/>
      <c r="JV24" s="137"/>
      <c r="JW24" s="137"/>
      <c r="JX24" s="137"/>
      <c r="KA24" s="139"/>
      <c r="KB24" s="139"/>
      <c r="KC24" s="139"/>
      <c r="KD24" s="139"/>
      <c r="KE24" s="139"/>
      <c r="KF24" s="139"/>
      <c r="KG24" s="139"/>
      <c r="KI24" s="138"/>
      <c r="KJ24" s="138"/>
      <c r="KK24" s="138"/>
      <c r="KL24" s="137"/>
      <c r="KM24" s="137"/>
      <c r="KN24" s="138"/>
      <c r="KO24" s="138"/>
      <c r="KQ24" s="137"/>
      <c r="KR24" s="137"/>
      <c r="KS24" s="137"/>
      <c r="KV24" s="139"/>
      <c r="KW24" s="139"/>
      <c r="KX24" s="139"/>
      <c r="KY24" s="139"/>
      <c r="KZ24" s="139"/>
      <c r="LA24" s="139"/>
      <c r="LB24" s="139"/>
      <c r="LD24" s="138"/>
      <c r="LE24" s="138"/>
      <c r="LF24" s="138"/>
      <c r="LG24" s="137"/>
      <c r="LH24" s="137"/>
      <c r="LI24" s="138"/>
      <c r="LJ24" s="138"/>
      <c r="LL24" s="137"/>
      <c r="LM24" s="137"/>
      <c r="LN24" s="137"/>
      <c r="LQ24" s="139"/>
      <c r="LR24" s="139"/>
      <c r="LS24" s="139"/>
      <c r="LT24" s="139"/>
      <c r="LU24" s="139"/>
      <c r="LV24" s="139"/>
      <c r="LW24" s="139"/>
      <c r="LY24" s="138"/>
      <c r="LZ24" s="138"/>
      <c r="MA24" s="138"/>
      <c r="MB24" s="137"/>
      <c r="MC24" s="137"/>
      <c r="MD24" s="138"/>
      <c r="ME24" s="138"/>
      <c r="MG24" s="137"/>
      <c r="MH24" s="137"/>
      <c r="MI24" s="137"/>
      <c r="ML24" s="139"/>
      <c r="MM24" s="139"/>
      <c r="MN24" s="139"/>
      <c r="MO24" s="139"/>
      <c r="MP24" s="139"/>
      <c r="MQ24" s="139"/>
      <c r="MR24" s="139"/>
      <c r="MT24" s="138"/>
      <c r="MU24" s="138"/>
      <c r="MV24" s="138"/>
      <c r="MW24" s="137"/>
      <c r="MX24" s="137"/>
      <c r="MY24" s="138"/>
      <c r="MZ24" s="138"/>
      <c r="NB24" s="137"/>
      <c r="NC24" s="137"/>
      <c r="ND24" s="137"/>
      <c r="NG24" s="139"/>
      <c r="NH24" s="139"/>
      <c r="NI24" s="139"/>
      <c r="NJ24" s="139"/>
      <c r="NK24" s="139"/>
      <c r="NL24" s="139"/>
      <c r="NM24" s="139"/>
      <c r="NO24" s="138"/>
      <c r="NP24" s="138"/>
      <c r="NQ24" s="138"/>
      <c r="NR24" s="137"/>
      <c r="NS24" s="137"/>
      <c r="NT24" s="138"/>
      <c r="NU24" s="138"/>
      <c r="NW24" s="137"/>
      <c r="NX24" s="137"/>
      <c r="NY24" s="137"/>
      <c r="OB24" s="139"/>
      <c r="OC24" s="139"/>
      <c r="OD24" s="139"/>
      <c r="OE24" s="139"/>
      <c r="OF24" s="139"/>
      <c r="OG24" s="139"/>
      <c r="OH24" s="139"/>
      <c r="OJ24" s="138"/>
      <c r="OK24" s="138"/>
      <c r="OL24" s="138"/>
      <c r="OM24" s="137"/>
      <c r="ON24" s="137"/>
      <c r="OO24" s="138"/>
      <c r="OP24" s="138"/>
      <c r="OR24" s="137"/>
      <c r="OS24" s="137"/>
      <c r="OT24" s="137"/>
      <c r="OW24" s="139"/>
      <c r="OX24" s="139"/>
      <c r="OY24" s="139"/>
      <c r="OZ24" s="139"/>
      <c r="PA24" s="139"/>
      <c r="PB24" s="139"/>
      <c r="PC24" s="139"/>
      <c r="PE24" s="138"/>
      <c r="PF24" s="138"/>
      <c r="PG24" s="138"/>
      <c r="PH24" s="137"/>
      <c r="PI24" s="137"/>
      <c r="PJ24" s="138"/>
      <c r="PK24" s="138"/>
      <c r="PM24" s="137"/>
      <c r="PN24" s="137"/>
      <c r="PO24" s="137"/>
      <c r="PR24" s="139"/>
      <c r="PS24" s="139"/>
      <c r="PT24" s="139"/>
      <c r="PU24" s="139"/>
      <c r="PV24" s="139"/>
      <c r="PW24" s="139"/>
      <c r="PX24" s="139"/>
      <c r="PZ24" s="138"/>
      <c r="QA24" s="138"/>
      <c r="QB24" s="138"/>
      <c r="QC24" s="137"/>
      <c r="QD24" s="137"/>
      <c r="QE24" s="138"/>
      <c r="QF24" s="138"/>
      <c r="QH24" s="137"/>
      <c r="QI24" s="137"/>
      <c r="QJ24" s="137"/>
      <c r="QM24" s="139"/>
      <c r="QN24" s="139"/>
      <c r="QO24" s="139"/>
      <c r="QP24" s="139"/>
      <c r="QQ24" s="139"/>
      <c r="QR24" s="139"/>
      <c r="QS24" s="139"/>
      <c r="QU24" s="138"/>
      <c r="QV24" s="138"/>
      <c r="QW24" s="138"/>
      <c r="QX24" s="137"/>
      <c r="QY24" s="137"/>
      <c r="QZ24" s="138"/>
      <c r="RA24" s="138"/>
      <c r="RC24" s="137"/>
      <c r="RD24" s="137"/>
      <c r="RE24" s="137"/>
      <c r="RH24" s="139"/>
      <c r="RI24" s="139"/>
      <c r="RJ24" s="139"/>
      <c r="RK24" s="139"/>
      <c r="RL24" s="139"/>
      <c r="RM24" s="139"/>
      <c r="RN24" s="139"/>
      <c r="RP24" s="138"/>
      <c r="RQ24" s="138"/>
      <c r="RR24" s="138"/>
      <c r="RS24" s="137"/>
      <c r="RT24" s="137"/>
      <c r="RU24" s="138"/>
      <c r="RV24" s="138"/>
      <c r="RX24" s="137"/>
      <c r="RY24" s="137"/>
      <c r="RZ24" s="137"/>
      <c r="SC24" s="139"/>
      <c r="SD24" s="139"/>
      <c r="SE24" s="139"/>
      <c r="SF24" s="139"/>
      <c r="SG24" s="139"/>
      <c r="SH24" s="139"/>
      <c r="SI24" s="139"/>
      <c r="SK24" s="138"/>
      <c r="SL24" s="138"/>
      <c r="SM24" s="138"/>
      <c r="SN24" s="137"/>
      <c r="SO24" s="137"/>
      <c r="SP24" s="138"/>
      <c r="SQ24" s="138"/>
      <c r="SS24" s="137"/>
      <c r="ST24" s="137"/>
      <c r="SW24" s="139"/>
      <c r="SX24" s="139"/>
      <c r="SY24" s="139"/>
      <c r="SZ24" s="139"/>
      <c r="TB24" s="138"/>
      <c r="TC24" s="138"/>
      <c r="TD24" s="138"/>
      <c r="TE24" s="137"/>
      <c r="TF24" s="137"/>
      <c r="TG24" s="138"/>
      <c r="TH24" s="138"/>
      <c r="TJ24" s="137"/>
      <c r="TK24" s="137"/>
      <c r="TN24" s="139"/>
      <c r="TO24" s="139"/>
      <c r="TP24" s="139"/>
      <c r="TQ24" s="139"/>
      <c r="TS24" s="138"/>
      <c r="TT24" s="138"/>
      <c r="TU24" s="138"/>
      <c r="TV24" s="137"/>
      <c r="TW24" s="137"/>
      <c r="TX24" s="138"/>
      <c r="TY24" s="138"/>
      <c r="UA24" s="137"/>
      <c r="UB24" s="137"/>
      <c r="UE24" s="139"/>
      <c r="UF24" s="139"/>
      <c r="UG24" s="139"/>
      <c r="UH24" s="139"/>
      <c r="UJ24" s="138"/>
      <c r="UK24" s="138"/>
      <c r="UL24" s="138"/>
      <c r="UM24" s="137"/>
      <c r="UN24" s="137"/>
      <c r="UO24" s="138"/>
      <c r="UP24" s="138"/>
      <c r="UR24" s="137"/>
      <c r="US24" s="137"/>
      <c r="UV24" s="139"/>
      <c r="UW24" s="139"/>
      <c r="UX24" s="139"/>
      <c r="UY24" s="139"/>
      <c r="VA24" s="138"/>
      <c r="VB24" s="138"/>
      <c r="VC24" s="138"/>
      <c r="VD24" s="137"/>
      <c r="VE24" s="137"/>
      <c r="VF24" s="138"/>
      <c r="VG24" s="138"/>
      <c r="VI24" s="137"/>
      <c r="VJ24" s="137"/>
      <c r="VM24" s="139"/>
      <c r="VN24" s="139"/>
      <c r="VO24" s="139"/>
      <c r="VP24" s="139"/>
      <c r="VR24" s="138"/>
      <c r="VS24" s="138"/>
      <c r="VT24" s="138"/>
      <c r="VU24" s="137"/>
      <c r="VV24" s="137"/>
      <c r="VW24" s="138"/>
      <c r="VX24" s="138"/>
      <c r="VZ24" s="137"/>
      <c r="WA24" s="137"/>
      <c r="WD24" s="64"/>
      <c r="WE24" s="64"/>
      <c r="WF24" s="64"/>
      <c r="WG24" s="64"/>
      <c r="WH24" s="64"/>
      <c r="WI24" s="64"/>
      <c r="WJ24" s="64"/>
    </row>
  </sheetData>
  <sheetProtection algorithmName="SHA-512" hashValue="HOIKTIOu9iTLo2x7sRo2YKs5Tsput3pVGZmUgqyqG5sobZz4PZR4UnRfmU9BkyM5M0/wiQ4zdI5VTedjuFCTUg==" saltValue="jkkAcC8Na2WaowryZ/KyFg==" spinCount="100000" sheet="1" insertColumns="0" deleteColumns="0" selectLockedCells="1"/>
  <dataConsolidate/>
  <mergeCells count="15">
    <mergeCell ref="A1:B1"/>
    <mergeCell ref="A5:B5"/>
    <mergeCell ref="A6:B6"/>
    <mergeCell ref="A7:B7"/>
    <mergeCell ref="A8:B8"/>
    <mergeCell ref="A9:B9"/>
    <mergeCell ref="A11:B11"/>
    <mergeCell ref="A12:B12"/>
    <mergeCell ref="A14:B14"/>
    <mergeCell ref="A15:B15"/>
    <mergeCell ref="A17:B17"/>
    <mergeCell ref="A18:B18"/>
    <mergeCell ref="A19:B19"/>
    <mergeCell ref="A21:B21"/>
    <mergeCell ref="A22:B22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ref!$B$3:$B$6</xm:f>
          </x14:formula1>
          <xm:sqref>H5:K9 C5:E9 N5:S9 X5:Z9 AC5:AF9 AI5:AN9 C11:E12 H11:K12 N11:S12 X11:Z12 AC11:AF12 AI11:AN12 C14:E15 H14:K15 N14:S15 X14:Z15 AC14:AF15 AI14:AN15 C17:E19 H17:K19 N17:S19 X17:Z19 AC17:AF19 AI17:AN19 C21:E21 H21:K21 N21:S21 X21:Z21 AC21:AF21 AI21:AN21 SM5:SO9 SR5:ST9 SW5:SY9 SM11:SO12 SR11:ST12 SW11:SY12 SM14:SO15 SR14:ST15 SW14:SY15 SM17:SO19 SR17:ST19 SW17:SY19 SM21:SO21 SR21:ST21 SW21:SY21 TD5:TF9 TI5:TK9 TN5:TP9 TD11:TF12 TI11:TK12 TN11:TP12 TD14:TF15 TI14:TK15 TN14:TP15 TD17:TF19 TI17:TK19 TN17:TP19 TD21:TF21 TI21:TK21 TN21:TP21 UL5:UN9 UQ5:US9 UV5:UX9 UL11:UN12 UQ11:US12 UV11:UX12 UL14:UN15 UQ14:US15 UV14:UX15 UL17:UN19 UQ17:US19 UV17:UX19 UL21:UN21 UQ21:US21 UV21:UX21 TU5:TW9 TZ5:UB9 UE5:UG9 TU11:TW12 TZ11:UB12 UE11:UG12 TU14:TW15 TZ14:UB15 UE14:UG15 TU17:TW19 TZ17:UB19 UE17:UG19 TU21:TW21 TZ21:UB21 UE21:UG21 VC5:VE9 VH5:VJ9 VM5:VO9 VC11:VE12 VH11:VJ12 VM11:VO12 VC14:VE15 VH14:VJ15 VM14:VO15 VC17:VE19 VH17:VJ19 VM17:VO19 VC21:VE21 VH21:VJ21 VM21:VO21 AS5:AU9 AX5:BA9 BD5:BI9 AS11:AU12 AX11:BA12 BD11:BI12 AS14:AU15 AX14:BA15 BD14:BI15 AS17:AU19 AX17:BA19 BD17:BI19 AS21:AU21 AX21:BA21 BD21:BI21 BN5:BP9 BS5:BV9 BY5:CD9 BN11:BP12 BS11:BV12 BY11:CD12 BN14:BP15 BS14:BV15 BY14:CD15 BN17:BP19 BS17:BV19 BY17:CD19 BN21:BP21 BS21:BV21 BY21:CD21 CI5:CK9 CN5:CQ9 CT5:CY9 CI11:CK12 CN11:CQ12 CT11:CY12 CI14:CK15 CN14:CQ15 CT14:CY15 CI17:CK19 CN17:CQ19 CT17:CY19 CI21:CK21 CN21:CQ21 CT21:CY21 DD5:DF9 DI5:DL9 DO5:DT9 DD11:DF12 DI11:DL12 DO11:DT12 DD14:DF15 DI14:DL15 DO14:DT15 DD17:DF19 DI17:DL19 DO17:DT19 DD21:DF21 DI21:DL21 DO21:DT21 DY5:EA9 ED5:EG9 EJ5:EO9 DY11:EA12 ED11:EG12 EJ11:EO12 DY14:EA15 ED14:EG15 EJ14:EO15 DY17:EA19 ED17:EG19 EJ17:EO19 DY21:EA21 ED21:EG21 EJ21:EO21 ET5:EV9 EY5:FB9 FE5:FJ9 ET11:EV12 EY11:FB12 FE11:FJ12 ET14:EV15 EY14:FB15 FE14:FJ15 ET17:EV19 EY17:FB19 FE17:FJ19 ET21:EV21 EY21:FB21 FE21:FJ21 FO5:FQ9 FT5:FW9 FZ5:GE9 FO11:FQ12 FT11:FW12 FZ11:GE12 FO14:FQ15 FT14:FW15 FZ14:GE15 FO17:FQ19 FT17:FW19 FZ17:GE19 FO21:FQ21 FT21:FW21 FZ21:GE21 GJ5:GL9 GO5:GR9 GU5:GZ9 GJ11:GL12 GO11:GR12 GU11:GZ12 GJ14:GL15 GO14:GR15 GU14:GZ15 GJ17:GL19 GO17:GR19 GU17:GZ19 GJ21:GL21 GO21:GR21 GU21:GZ21 HE5:HG9 HJ5:HM9 HP5:HU9 HE11:HG12 HJ11:HM12 HP11:HU12 HE14:HG15 HJ14:HM15 HP14:HU15 HE17:HG19 HJ17:HM19 HP17:HU19 HE21:HG21 HJ21:HM21 HP21:HU21 HZ5:IB9 IE5:IH9 IK5:IP9 HZ11:IB12 IE11:IH12 IK11:IP12 HZ14:IB15 IE14:IH15 IK14:IP15 HZ17:IB19 IE17:IH19 IK17:IP19 HZ21:IB21 IE21:IH21 IK21:IP21 IU5:IW9 IZ5:JC9 JF5:JK9 IU11:IW12 IZ11:JC12 JF11:JK12 IU14:IW15 IZ14:JC15 JF14:JK15 IU17:IW19 IZ17:JC19 JF17:JK19 IU21:IW21 IZ21:JC21 JF21:JK21 JP5:JR9 JU5:JX9 KA5:KF9 JP11:JR12 JU11:JX12 KA11:KF12 JP14:JR15 JU14:JX15 KA14:KF15 JP17:JR19 JU17:JX19 KA17:KF19 JP21:JR21 JU21:JX21 KA21:KF21 KK5:KM9 KP5:KS9 KV5:LA9 KK11:KM12 KP11:KS12 KV11:LA12 KK14:KM15 KP14:KS15 KV14:LA15 KK17:KM19 KP17:KS19 KV17:LA19 KK21:KM21 KP21:KS21 KV21:LA21 LF5:LH9 LK5:LN9 LQ5:LV9 LF11:LH12 LK11:LN12 LQ11:LV12 LF14:LH15 LK14:LN15 LQ14:LV15 LF17:LH19 LK17:LN19 LQ17:LV19 LF21:LH21 LK21:LN21 LQ21:LV21 MA5:MC9 MF5:MI9 ML5:MQ9 MA11:MC12 MF11:MI12 ML11:MQ12 MA14:MC15 MF14:MI15 ML14:MQ15 MA17:MC19 MF17:MI19 ML17:MQ19 MA21:MC21 MF21:MI21 ML21:MQ21 MV5:MX9 NA5:ND9 NG5:NL9 MV11:MX12 NA11:ND12 NG11:NL12 MV14:MX15 NA14:ND15 NG14:NL15 MV17:MX19 NA17:ND19 NG17:NL19 MV21:MX21 NA21:ND21 NG21:NL21 NQ5:NS9 NV5:NY9 OB5:OG9 NQ11:NS12 NV11:NY12 OB11:OG12 NQ14:NS15 NV14:NY15 OB14:OG15 NQ17:NS19 NV17:NY19 OB17:OG19 NQ21:NS21 NV21:NY21 OB21:OG21 OL5:ON9 OQ5:OT9 OW5:PB9 OL11:ON12 OQ11:OT12 OW11:PB12 OL14:ON15 OQ14:OT15 OW14:PB15 OL17:ON19 OQ17:OT19 OW17:PB19 OL21:ON21 OQ21:OT21 OW21:PB21 PG5:PI9 PL5:PO9 PR5:PW9 PG11:PI12 PL11:PO12 PR11:PW12 PG14:PI15 PL14:PO15 PR14:PW15 PG17:PI19 PL17:PO19 PR17:PW19 PG21:PI21 PL21:PO21 PR21:PW21 QB5:QD9 QG5:QJ9 QM5:QR9 QB11:QD12 QG11:QJ12 QM11:QR12 QB14:QD15 QG14:QJ15 QM14:QR15 QB17:QD19 QG17:QJ19 QM17:QR19 QB21:QD21 QG21:QJ21 QM21:QR21 QW5:QY9 RB5:RE9 RH5:RM9 QW11:QY12 RB11:RE12 RH11:RM12 QW14:QY15 RB14:RE15 RH14:RM15 QW17:QY19 RB17:RE19 RH17:RM19 QW21:QY21 RB21:RE21 RH21:RM21 RR5:RT9 RW5:RZ9 SC5:SH9 RR11:RT12 RW11:RZ12 SC11:SH12 RR14:RT15 RW14:RZ15 SC14:SH15 RR17:RT19 RW17:RZ19 SC17:SH19 RR21:RT21 RW21:RZ21 SC21:SH21 VT5:VV9 VY5:WA9 WD5:WF9 VT11:VV12 VY11:WA12 WD11:WF12 VT14:VV15 VY14:WA15 WD14:WF15 VT17:VV19 VY17:WA19 WD17:WF19 VT21:VV21 VY21:WA21 WD21:WF21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AB27"/>
  <sheetViews>
    <sheetView topLeftCell="A3" zoomScale="90" zoomScaleNormal="90" workbookViewId="0"/>
  </sheetViews>
  <sheetFormatPr baseColWidth="10" defaultColWidth="11.41796875" defaultRowHeight="14.4" x14ac:dyDescent="0.55000000000000004"/>
  <cols>
    <col min="1" max="1" width="30.68359375" style="9" customWidth="1"/>
    <col min="2" max="26" width="6.68359375" style="9" customWidth="1"/>
    <col min="27" max="27" width="3" style="9" customWidth="1"/>
    <col min="28" max="28" width="20.15625" style="9" customWidth="1"/>
    <col min="29" max="16384" width="11.41796875" style="9"/>
  </cols>
  <sheetData>
    <row r="1" spans="1:28" ht="31.5" customHeight="1" thickBot="1" x14ac:dyDescent="0.6">
      <c r="A1" s="47" t="s">
        <v>40</v>
      </c>
      <c r="B1" s="209" t="s">
        <v>0</v>
      </c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  <c r="O1" s="209"/>
      <c r="P1" s="209"/>
      <c r="Q1" s="209"/>
      <c r="R1" s="209"/>
      <c r="S1" s="209"/>
      <c r="T1" s="209"/>
      <c r="U1" s="209"/>
      <c r="V1" s="209"/>
      <c r="W1" s="209"/>
      <c r="X1" s="209"/>
      <c r="Y1" s="209"/>
      <c r="Z1" s="210"/>
      <c r="AB1" s="48" t="s">
        <v>41</v>
      </c>
    </row>
    <row r="2" spans="1:28" ht="25" customHeight="1" thickTop="1" x14ac:dyDescent="0.55000000000000004">
      <c r="A2" s="211" t="s">
        <v>1</v>
      </c>
      <c r="B2" s="213" t="s">
        <v>181</v>
      </c>
      <c r="C2" s="213"/>
      <c r="D2" s="213"/>
      <c r="E2" s="214"/>
      <c r="F2" s="201" t="s">
        <v>3</v>
      </c>
      <c r="G2" s="202"/>
      <c r="H2" s="202"/>
      <c r="I2" s="203"/>
      <c r="J2" s="201" t="s">
        <v>4</v>
      </c>
      <c r="K2" s="202"/>
      <c r="L2" s="202"/>
      <c r="M2" s="203"/>
      <c r="N2" s="201" t="s">
        <v>5</v>
      </c>
      <c r="O2" s="202"/>
      <c r="P2" s="202"/>
      <c r="Q2" s="203"/>
      <c r="R2" s="201" t="s">
        <v>6</v>
      </c>
      <c r="S2" s="202"/>
      <c r="T2" s="202"/>
      <c r="U2" s="203"/>
      <c r="V2" s="206" t="s">
        <v>38</v>
      </c>
      <c r="W2" s="207"/>
      <c r="X2" s="208"/>
      <c r="Y2" s="204" t="s">
        <v>36</v>
      </c>
      <c r="Z2" s="205"/>
      <c r="AB2" s="49" t="s">
        <v>192</v>
      </c>
    </row>
    <row r="3" spans="1:28" ht="25" customHeight="1" thickBot="1" x14ac:dyDescent="0.6">
      <c r="A3" s="212"/>
      <c r="B3" s="31" t="s">
        <v>31</v>
      </c>
      <c r="C3" s="32" t="s">
        <v>32</v>
      </c>
      <c r="D3" s="31" t="s">
        <v>33</v>
      </c>
      <c r="E3" s="33" t="s">
        <v>10</v>
      </c>
      <c r="F3" s="34" t="s">
        <v>31</v>
      </c>
      <c r="G3" s="35" t="s">
        <v>32</v>
      </c>
      <c r="H3" s="36" t="s">
        <v>33</v>
      </c>
      <c r="I3" s="37" t="s">
        <v>10</v>
      </c>
      <c r="J3" s="38" t="s">
        <v>31</v>
      </c>
      <c r="K3" s="39" t="s">
        <v>32</v>
      </c>
      <c r="L3" s="36" t="s">
        <v>33</v>
      </c>
      <c r="M3" s="37" t="s">
        <v>10</v>
      </c>
      <c r="N3" s="34" t="s">
        <v>31</v>
      </c>
      <c r="O3" s="40" t="s">
        <v>32</v>
      </c>
      <c r="P3" s="36" t="s">
        <v>33</v>
      </c>
      <c r="Q3" s="37" t="s">
        <v>10</v>
      </c>
      <c r="R3" s="34" t="s">
        <v>31</v>
      </c>
      <c r="S3" s="40" t="s">
        <v>32</v>
      </c>
      <c r="T3" s="36" t="s">
        <v>33</v>
      </c>
      <c r="U3" s="37" t="s">
        <v>10</v>
      </c>
      <c r="V3" s="28" t="s">
        <v>31</v>
      </c>
      <c r="W3" s="29" t="s">
        <v>32</v>
      </c>
      <c r="X3" s="29" t="s">
        <v>33</v>
      </c>
      <c r="Y3" s="30" t="s">
        <v>14</v>
      </c>
      <c r="Z3" s="50" t="s">
        <v>45</v>
      </c>
      <c r="AA3" s="51"/>
      <c r="AB3" s="52" t="s">
        <v>182</v>
      </c>
    </row>
    <row r="4" spans="1:28" ht="15.75" customHeight="1" thickTop="1" x14ac:dyDescent="0.55000000000000004">
      <c r="A4" s="53" t="str">
        <f ca="1">CELL("contenu",INDIRECT(ADDRESS(ROW()-2,7,1,,CELL("contenu",$AB$3))))</f>
        <v>BESSON Laura</v>
      </c>
      <c r="B4" s="2" t="str">
        <f ca="1">CELL("contenu",INDIRECT(ADDRESS(ref!$K$3,ref!E3,1,,CELL("contenu",$AB$2))))</f>
        <v>B</v>
      </c>
      <c r="C4" s="3" t="str">
        <f ca="1">CELL("contenu",INDIRECT(ADDRESS(ref!$K$3,ref!F3,1,,CELL("contenu",$AB$2))))</f>
        <v>B</v>
      </c>
      <c r="D4" s="4" t="str">
        <f ca="1">CELL("contenu",INDIRECT(ADDRESS(ref!$K$3,ref!G3,1,,CELL("contenu",$AB$2))))</f>
        <v>B</v>
      </c>
      <c r="E4" s="5" t="str">
        <f ca="1">CELL("contenu",INDIRECT(ADDRESS(ref!$K$3,ref!H3,1,,CELL("contenu",$AB$2))))</f>
        <v>B</v>
      </c>
      <c r="F4" s="6" t="str">
        <f ca="1">CELL("contenu",INDIRECT(ADDRESS(ref!$K$4,ref!E3,1,,CELL("contenu",$AB$2))))</f>
        <v>A</v>
      </c>
      <c r="G4" s="3" t="str">
        <f ca="1">CELL("contenu",INDIRECT(ADDRESS(ref!$K$4,ref!F3,1,,CELL("contenu",$AB$2))))</f>
        <v/>
      </c>
      <c r="H4" s="4" t="str">
        <f ca="1">CELL("contenu",INDIRECT(ADDRESS(ref!$K$4,ref!G3,1,,CELL("contenu",$AB$2))))</f>
        <v>A</v>
      </c>
      <c r="I4" s="5" t="str">
        <f ca="1">CELL("contenu",INDIRECT(ADDRESS(ref!$K$4,ref!H3,1,,CELL("contenu",$AB$2))))</f>
        <v>A</v>
      </c>
      <c r="J4" s="6" t="str">
        <f ca="1">CELL("contenu",INDIRECT(ADDRESS(ref!$K$5,ref!E3,1,,CELL("contenu",$AB$2))))</f>
        <v/>
      </c>
      <c r="K4" s="3" t="str">
        <f ca="1">CELL("contenu",INDIRECT(ADDRESS(ref!$K$5,ref!F3,1,,CELL("contenu",$AB$2))))</f>
        <v/>
      </c>
      <c r="L4" s="4" t="str">
        <f ca="1">CELL("contenu",INDIRECT(ADDRESS(ref!$K$5,ref!G3,1,,CELL("contenu",$AB$2))))</f>
        <v>B</v>
      </c>
      <c r="M4" s="5" t="str">
        <f ca="1">CELL("contenu",INDIRECT(ADDRESS(ref!$K$5,ref!H3,1,,CELL("contenu",$AB$2))))</f>
        <v>B</v>
      </c>
      <c r="N4" s="6" t="str">
        <f ca="1">CELL("contenu",INDIRECT(ADDRESS(ref!$K$6,ref!E3,1,,CELL("contenu",$AB$2))))</f>
        <v>B</v>
      </c>
      <c r="O4" s="3" t="str">
        <f ca="1">CELL("contenu",INDIRECT(ADDRESS(ref!$K$6,ref!F3,1,,CELL("contenu",$AB$2))))</f>
        <v>C</v>
      </c>
      <c r="P4" s="4" t="str">
        <f ca="1">CELL("contenu",INDIRECT(ADDRESS(ref!$K$6,ref!G3,1,,CELL("contenu",$AB$2))))</f>
        <v>C</v>
      </c>
      <c r="Q4" s="5" t="str">
        <f ca="1">CELL("contenu",INDIRECT(ADDRESS(ref!$K$6,ref!H3,1,,CELL("contenu",$AB$2))))</f>
        <v>C</v>
      </c>
      <c r="R4" s="6" t="str">
        <f ca="1">CELL("contenu",INDIRECT(ADDRESS(ref!$K$7,ref!E3,1,,CELL("contenu",$AB$2))))</f>
        <v>A</v>
      </c>
      <c r="S4" s="3" t="str">
        <f ca="1">CELL("contenu",INDIRECT(ADDRESS(ref!$K$7,ref!F3,1,,CELL("contenu",$AB$2))))</f>
        <v/>
      </c>
      <c r="T4" s="4" t="str">
        <f ca="1">CELL("contenu",INDIRECT(ADDRESS(ref!$K$7,ref!G3,1,,CELL("contenu",$AB$2))))</f>
        <v/>
      </c>
      <c r="U4" s="5" t="str">
        <f ca="1">CELL("contenu",INDIRECT(ADDRESS(ref!$K$7,ref!H3,1,,CELL("contenu",$AB$2))))</f>
        <v>A</v>
      </c>
      <c r="V4" s="41">
        <f ca="1">CELL("contenu",INDIRECT(ADDRESS(ref!$K$8,ref!E3,1,,CELL("contenu",$AB$2))))</f>
        <v>16.875</v>
      </c>
      <c r="W4" s="42">
        <f ca="1">CELL("contenu",INDIRECT(ADDRESS(ref!$K$8,ref!F3,1,,CELL("contenu",$AB$2))))</f>
        <v>13.75</v>
      </c>
      <c r="X4" s="43">
        <f ca="1">CELL("contenu",INDIRECT(ADDRESS(ref!$K$8,ref!G3,1,,CELL("contenu",$AB$2))))</f>
        <v>16.25</v>
      </c>
      <c r="Y4" s="7" t="str">
        <f ca="1">CELL("contenu",INDIRECT(ADDRESS(ref!$K$9,ref!H3,1,,CELL("contenu",$AB$2))))</f>
        <v/>
      </c>
      <c r="Z4" s="8" t="str">
        <f ca="1">CELL("contenu",INDIRECT(ADDRESS(ref!$K$10,ref!H3,1,,CELL("contenu",$AB$2))))</f>
        <v>A</v>
      </c>
    </row>
    <row r="5" spans="1:28" x14ac:dyDescent="0.55000000000000004">
      <c r="A5" s="53" t="str">
        <f ca="1">CELL("contenu",INDIRECT(ADDRESS(ROW()-2,7,1,,CELL("contenu",$AB$3))))</f>
        <v>BRILLON Lison</v>
      </c>
      <c r="B5" s="2" t="str">
        <f ca="1">CELL("contenu",INDIRECT(ADDRESS(ref!$K$3,ref!E4,1,,CELL("contenu",$AB$2))))</f>
        <v>D</v>
      </c>
      <c r="C5" s="3" t="str">
        <f ca="1">CELL("contenu",INDIRECT(ADDRESS(ref!$K$3,ref!F4,1,,CELL("contenu",$AB$2))))</f>
        <v/>
      </c>
      <c r="D5" s="4" t="str">
        <f ca="1">CELL("contenu",INDIRECT(ADDRESS(ref!$K$3,ref!G4,1,,CELL("contenu",$AB$2))))</f>
        <v/>
      </c>
      <c r="E5" s="5" t="str">
        <f ca="1">CELL("contenu",INDIRECT(ADDRESS(ref!$K$3,ref!H4,1,,CELL("contenu",$AB$2))))</f>
        <v>D</v>
      </c>
      <c r="F5" s="6" t="str">
        <f ca="1">CELL("contenu",INDIRECT(ADDRESS(ref!$K$4,ref!E4,1,,CELL("contenu",$AB$2))))</f>
        <v>C</v>
      </c>
      <c r="G5" s="3" t="str">
        <f ca="1">CELL("contenu",INDIRECT(ADDRESS(ref!$K$4,ref!F4,1,,CELL("contenu",$AB$2))))</f>
        <v/>
      </c>
      <c r="H5" s="4" t="str">
        <f ca="1">CELL("contenu",INDIRECT(ADDRESS(ref!$K$4,ref!G4,1,,CELL("contenu",$AB$2))))</f>
        <v/>
      </c>
      <c r="I5" s="5" t="str">
        <f ca="1">CELL("contenu",INDIRECT(ADDRESS(ref!$K$4,ref!H4,1,,CELL("contenu",$AB$2))))</f>
        <v>C</v>
      </c>
      <c r="J5" s="6" t="str">
        <f ca="1">CELL("contenu",INDIRECT(ADDRESS(ref!$K$5,ref!E4,1,,CELL("contenu",$AB$2))))</f>
        <v/>
      </c>
      <c r="K5" s="3" t="str">
        <f ca="1">CELL("contenu",INDIRECT(ADDRESS(ref!$K$5,ref!F4,1,,CELL("contenu",$AB$2))))</f>
        <v/>
      </c>
      <c r="L5" s="4" t="str">
        <f ca="1">CELL("contenu",INDIRECT(ADDRESS(ref!$K$5,ref!G4,1,,CELL("contenu",$AB$2))))</f>
        <v/>
      </c>
      <c r="M5" s="5" t="str">
        <f ca="1">CELL("contenu",INDIRECT(ADDRESS(ref!$K$5,ref!H4,1,,CELL("contenu",$AB$2))))</f>
        <v/>
      </c>
      <c r="N5" s="6" t="str">
        <f ca="1">CELL("contenu",INDIRECT(ADDRESS(ref!$K$6,ref!E4,1,,CELL("contenu",$AB$2))))</f>
        <v>D</v>
      </c>
      <c r="O5" s="3" t="str">
        <f ca="1">CELL("contenu",INDIRECT(ADDRESS(ref!$K$6,ref!F4,1,,CELL("contenu",$AB$2))))</f>
        <v/>
      </c>
      <c r="P5" s="4" t="str">
        <f ca="1">CELL("contenu",INDIRECT(ADDRESS(ref!$K$6,ref!G4,1,,CELL("contenu",$AB$2))))</f>
        <v/>
      </c>
      <c r="Q5" s="5" t="str">
        <f ca="1">CELL("contenu",INDIRECT(ADDRESS(ref!$K$6,ref!H4,1,,CELL("contenu",$AB$2))))</f>
        <v>D</v>
      </c>
      <c r="R5" s="6" t="str">
        <f ca="1">CELL("contenu",INDIRECT(ADDRESS(ref!$K$7,ref!E4,1,,CELL("contenu",$AB$2))))</f>
        <v>C</v>
      </c>
      <c r="S5" s="3" t="str">
        <f ca="1">CELL("contenu",INDIRECT(ADDRESS(ref!$K$7,ref!F4,1,,CELL("contenu",$AB$2))))</f>
        <v/>
      </c>
      <c r="T5" s="4" t="str">
        <f ca="1">CELL("contenu",INDIRECT(ADDRESS(ref!$K$7,ref!G4,1,,CELL("contenu",$AB$2))))</f>
        <v/>
      </c>
      <c r="U5" s="5" t="str">
        <f ca="1">CELL("contenu",INDIRECT(ADDRESS(ref!$K$7,ref!H4,1,,CELL("contenu",$AB$2))))</f>
        <v>C</v>
      </c>
      <c r="V5" s="41">
        <f ca="1">CELL("contenu",INDIRECT(ADDRESS(ref!$K$8,ref!E4,1,,CELL("contenu",$AB$2))))</f>
        <v>7.5</v>
      </c>
      <c r="W5" s="42" t="str">
        <f ca="1">CELL("contenu",INDIRECT(ADDRESS(ref!$K$8,ref!F4,1,,CELL("contenu",$AB$2))))</f>
        <v/>
      </c>
      <c r="X5" s="43" t="str">
        <f ca="1">CELL("contenu",INDIRECT(ADDRESS(ref!$K$8,ref!G4,1,,CELL("contenu",$AB$2))))</f>
        <v/>
      </c>
      <c r="Y5" s="7" t="str">
        <f ca="1">CELL("contenu",INDIRECT(ADDRESS(ref!$K$9,ref!H4,1,,CELL("contenu",$AB$2))))</f>
        <v/>
      </c>
      <c r="Z5" s="8" t="str">
        <f ca="1">CELL("contenu",INDIRECT(ADDRESS(ref!$K$10,ref!H4,1,,CELL("contenu",$AB$2))))</f>
        <v>A</v>
      </c>
    </row>
    <row r="6" spans="1:28" x14ac:dyDescent="0.55000000000000004">
      <c r="A6" s="53" t="str">
        <f t="shared" ref="A6:A27" ca="1" si="0">CELL("contenu",INDIRECT(ADDRESS(ROW()-2,7,1,,CELL("contenu",$AB$3))))</f>
        <v>CARLES Therese</v>
      </c>
      <c r="B6" s="2" t="str">
        <f ca="1">CELL("contenu",INDIRECT(ADDRESS(ref!$K$3,ref!E5,1,,CELL("contenu",$AB$2))))</f>
        <v>D</v>
      </c>
      <c r="C6" s="3" t="str">
        <f ca="1">CELL("contenu",INDIRECT(ADDRESS(ref!$K$3,ref!F5,1,,CELL("contenu",$AB$2))))</f>
        <v>C</v>
      </c>
      <c r="D6" s="4" t="str">
        <f ca="1">CELL("contenu",INDIRECT(ADDRESS(ref!$K$3,ref!G5,1,,CELL("contenu",$AB$2))))</f>
        <v>C</v>
      </c>
      <c r="E6" s="5" t="str">
        <f ca="1">CELL("contenu",INDIRECT(ADDRESS(ref!$K$3,ref!H5,1,,CELL("contenu",$AB$2))))</f>
        <v>D</v>
      </c>
      <c r="F6" s="6" t="str">
        <f ca="1">CELL("contenu",INDIRECT(ADDRESS(ref!$K$4,ref!E5,1,,CELL("contenu",$AB$2))))</f>
        <v>B</v>
      </c>
      <c r="G6" s="3" t="str">
        <f ca="1">CELL("contenu",INDIRECT(ADDRESS(ref!$K$4,ref!F5,1,,CELL("contenu",$AB$2))))</f>
        <v/>
      </c>
      <c r="H6" s="4" t="str">
        <f ca="1">CELL("contenu",INDIRECT(ADDRESS(ref!$K$4,ref!G5,1,,CELL("contenu",$AB$2))))</f>
        <v>B</v>
      </c>
      <c r="I6" s="5" t="str">
        <f ca="1">CELL("contenu",INDIRECT(ADDRESS(ref!$K$4,ref!H5,1,,CELL("contenu",$AB$2))))</f>
        <v>B</v>
      </c>
      <c r="J6" s="6" t="str">
        <f ca="1">CELL("contenu",INDIRECT(ADDRESS(ref!$K$5,ref!E5,1,,CELL("contenu",$AB$2))))</f>
        <v/>
      </c>
      <c r="K6" s="3" t="str">
        <f ca="1">CELL("contenu",INDIRECT(ADDRESS(ref!$K$5,ref!F5,1,,CELL("contenu",$AB$2))))</f>
        <v/>
      </c>
      <c r="L6" s="4" t="str">
        <f ca="1">CELL("contenu",INDIRECT(ADDRESS(ref!$K$5,ref!G5,1,,CELL("contenu",$AB$2))))</f>
        <v>A</v>
      </c>
      <c r="M6" s="5" t="str">
        <f ca="1">CELL("contenu",INDIRECT(ADDRESS(ref!$K$5,ref!H5,1,,CELL("contenu",$AB$2))))</f>
        <v>A</v>
      </c>
      <c r="N6" s="6" t="str">
        <f ca="1">CELL("contenu",INDIRECT(ADDRESS(ref!$K$6,ref!E5,1,,CELL("contenu",$AB$2))))</f>
        <v>B</v>
      </c>
      <c r="O6" s="3" t="str">
        <f ca="1">CELL("contenu",INDIRECT(ADDRESS(ref!$K$6,ref!F5,1,,CELL("contenu",$AB$2))))</f>
        <v>C</v>
      </c>
      <c r="P6" s="4" t="str">
        <f ca="1">CELL("contenu",INDIRECT(ADDRESS(ref!$K$6,ref!G5,1,,CELL("contenu",$AB$2))))</f>
        <v>C</v>
      </c>
      <c r="Q6" s="5" t="str">
        <f ca="1">CELL("contenu",INDIRECT(ADDRESS(ref!$K$6,ref!H5,1,,CELL("contenu",$AB$2))))</f>
        <v>C</v>
      </c>
      <c r="R6" s="6" t="str">
        <f ca="1">CELL("contenu",INDIRECT(ADDRESS(ref!$K$7,ref!E5,1,,CELL("contenu",$AB$2))))</f>
        <v>B</v>
      </c>
      <c r="S6" s="3" t="str">
        <f ca="1">CELL("contenu",INDIRECT(ADDRESS(ref!$K$7,ref!F5,1,,CELL("contenu",$AB$2))))</f>
        <v/>
      </c>
      <c r="T6" s="4" t="str">
        <f ca="1">CELL("contenu",INDIRECT(ADDRESS(ref!$K$7,ref!G5,1,,CELL("contenu",$AB$2))))</f>
        <v/>
      </c>
      <c r="U6" s="5" t="str">
        <f ca="1">CELL("contenu",INDIRECT(ADDRESS(ref!$K$7,ref!H5,1,,CELL("contenu",$AB$2))))</f>
        <v>B</v>
      </c>
      <c r="V6" s="41">
        <f ca="1">CELL("contenu",INDIRECT(ADDRESS(ref!$K$8,ref!E5,1,,CELL("contenu",$AB$2))))</f>
        <v>12.708333333333332</v>
      </c>
      <c r="W6" s="42">
        <f ca="1">CELL("contenu",INDIRECT(ADDRESS(ref!$K$8,ref!F5,1,,CELL("contenu",$AB$2))))</f>
        <v>10</v>
      </c>
      <c r="X6" s="43">
        <f ca="1">CELL("contenu",INDIRECT(ADDRESS(ref!$K$8,ref!G5,1,,CELL("contenu",$AB$2))))</f>
        <v>12.291666666666668</v>
      </c>
      <c r="Y6" s="7" t="str">
        <f ca="1">CELL("contenu",INDIRECT(ADDRESS(ref!$K$9,ref!H5,1,,CELL("contenu",$AB$2))))</f>
        <v/>
      </c>
      <c r="Z6" s="8" t="str">
        <f ca="1">CELL("contenu",INDIRECT(ADDRESS(ref!$K$10,ref!H5,1,,CELL("contenu",$AB$2))))</f>
        <v>A</v>
      </c>
    </row>
    <row r="7" spans="1:28" x14ac:dyDescent="0.55000000000000004">
      <c r="A7" s="53" t="str">
        <f t="shared" ca="1" si="0"/>
        <v>COSTA Louise</v>
      </c>
      <c r="B7" s="2" t="str">
        <f ca="1">CELL("contenu",INDIRECT(ADDRESS(ref!$K$3,ref!E6,1,,CELL("contenu",$AB$2))))</f>
        <v>D</v>
      </c>
      <c r="C7" s="3" t="str">
        <f ca="1">CELL("contenu",INDIRECT(ADDRESS(ref!$K$3,ref!F6,1,,CELL("contenu",$AB$2))))</f>
        <v>C</v>
      </c>
      <c r="D7" s="4" t="str">
        <f ca="1">CELL("contenu",INDIRECT(ADDRESS(ref!$K$3,ref!G6,1,,CELL("contenu",$AB$2))))</f>
        <v>D</v>
      </c>
      <c r="E7" s="5" t="str">
        <f ca="1">CELL("contenu",INDIRECT(ADDRESS(ref!$K$3,ref!H6,1,,CELL("contenu",$AB$2))))</f>
        <v>D</v>
      </c>
      <c r="F7" s="6" t="str">
        <f ca="1">CELL("contenu",INDIRECT(ADDRESS(ref!$K$4,ref!E6,1,,CELL("contenu",$AB$2))))</f>
        <v>C</v>
      </c>
      <c r="G7" s="3" t="str">
        <f ca="1">CELL("contenu",INDIRECT(ADDRESS(ref!$K$4,ref!F6,1,,CELL("contenu",$AB$2))))</f>
        <v/>
      </c>
      <c r="H7" s="4" t="str">
        <f ca="1">CELL("contenu",INDIRECT(ADDRESS(ref!$K$4,ref!G6,1,,CELL("contenu",$AB$2))))</f>
        <v>B</v>
      </c>
      <c r="I7" s="5" t="str">
        <f ca="1">CELL("contenu",INDIRECT(ADDRESS(ref!$K$4,ref!H6,1,,CELL("contenu",$AB$2))))</f>
        <v>C</v>
      </c>
      <c r="J7" s="6" t="str">
        <f ca="1">CELL("contenu",INDIRECT(ADDRESS(ref!$K$5,ref!E6,1,,CELL("contenu",$AB$2))))</f>
        <v/>
      </c>
      <c r="K7" s="3" t="str">
        <f ca="1">CELL("contenu",INDIRECT(ADDRESS(ref!$K$5,ref!F6,1,,CELL("contenu",$AB$2))))</f>
        <v/>
      </c>
      <c r="L7" s="4" t="str">
        <f ca="1">CELL("contenu",INDIRECT(ADDRESS(ref!$K$5,ref!G6,1,,CELL("contenu",$AB$2))))</f>
        <v>A</v>
      </c>
      <c r="M7" s="5" t="str">
        <f ca="1">CELL("contenu",INDIRECT(ADDRESS(ref!$K$5,ref!H6,1,,CELL("contenu",$AB$2))))</f>
        <v>A</v>
      </c>
      <c r="N7" s="6" t="str">
        <f ca="1">CELL("contenu",INDIRECT(ADDRESS(ref!$K$6,ref!E6,1,,CELL("contenu",$AB$2))))</f>
        <v>C</v>
      </c>
      <c r="O7" s="3" t="str">
        <f ca="1">CELL("contenu",INDIRECT(ADDRESS(ref!$K$6,ref!F6,1,,CELL("contenu",$AB$2))))</f>
        <v>C</v>
      </c>
      <c r="P7" s="4" t="str">
        <f ca="1">CELL("contenu",INDIRECT(ADDRESS(ref!$K$6,ref!G6,1,,CELL("contenu",$AB$2))))</f>
        <v>C</v>
      </c>
      <c r="Q7" s="5" t="str">
        <f ca="1">CELL("contenu",INDIRECT(ADDRESS(ref!$K$6,ref!H6,1,,CELL("contenu",$AB$2))))</f>
        <v>C</v>
      </c>
      <c r="R7" s="6" t="str">
        <f ca="1">CELL("contenu",INDIRECT(ADDRESS(ref!$K$7,ref!E6,1,,CELL("contenu",$AB$2))))</f>
        <v>C</v>
      </c>
      <c r="S7" s="3" t="str">
        <f ca="1">CELL("contenu",INDIRECT(ADDRESS(ref!$K$7,ref!F6,1,,CELL("contenu",$AB$2))))</f>
        <v/>
      </c>
      <c r="T7" s="4" t="str">
        <f ca="1">CELL("contenu",INDIRECT(ADDRESS(ref!$K$7,ref!G6,1,,CELL("contenu",$AB$2))))</f>
        <v/>
      </c>
      <c r="U7" s="5" t="str">
        <f ca="1">CELL("contenu",INDIRECT(ADDRESS(ref!$K$7,ref!H6,1,,CELL("contenu",$AB$2))))</f>
        <v>C</v>
      </c>
      <c r="V7" s="41">
        <f ca="1">CELL("contenu",INDIRECT(ADDRESS(ref!$K$8,ref!E6,1,,CELL("contenu",$AB$2))))</f>
        <v>10</v>
      </c>
      <c r="W7" s="42">
        <f ca="1">CELL("contenu",INDIRECT(ADDRESS(ref!$K$8,ref!F6,1,,CELL("contenu",$AB$2))))</f>
        <v>10</v>
      </c>
      <c r="X7" s="43">
        <f ca="1">CELL("contenu",INDIRECT(ADDRESS(ref!$K$8,ref!G6,1,,CELL("contenu",$AB$2))))</f>
        <v>12.013888888888891</v>
      </c>
      <c r="Y7" s="7" t="str">
        <f ca="1">CELL("contenu",INDIRECT(ADDRESS(ref!$K$9,ref!H6,1,,CELL("contenu",$AB$2))))</f>
        <v/>
      </c>
      <c r="Z7" s="8" t="str">
        <f ca="1">CELL("contenu",INDIRECT(ADDRESS(ref!$K$10,ref!H6,1,,CELL("contenu",$AB$2))))</f>
        <v>B</v>
      </c>
    </row>
    <row r="8" spans="1:28" x14ac:dyDescent="0.55000000000000004">
      <c r="A8" s="53" t="str">
        <f t="shared" ca="1" si="0"/>
        <v>DOUCET Leopold</v>
      </c>
      <c r="B8" s="2" t="str">
        <f ca="1">CELL("contenu",INDIRECT(ADDRESS(ref!$K$3,ref!E7,1,,CELL("contenu",$AB$2))))</f>
        <v>D</v>
      </c>
      <c r="C8" s="3" t="str">
        <f ca="1">CELL("contenu",INDIRECT(ADDRESS(ref!$K$3,ref!F7,1,,CELL("contenu",$AB$2))))</f>
        <v/>
      </c>
      <c r="D8" s="4" t="str">
        <f ca="1">CELL("contenu",INDIRECT(ADDRESS(ref!$K$3,ref!G7,1,,CELL("contenu",$AB$2))))</f>
        <v>C</v>
      </c>
      <c r="E8" s="5" t="str">
        <f ca="1">CELL("contenu",INDIRECT(ADDRESS(ref!$K$3,ref!H7,1,,CELL("contenu",$AB$2))))</f>
        <v>C</v>
      </c>
      <c r="F8" s="6" t="str">
        <f ca="1">CELL("contenu",INDIRECT(ADDRESS(ref!$K$4,ref!E7,1,,CELL("contenu",$AB$2))))</f>
        <v>D</v>
      </c>
      <c r="G8" s="3" t="str">
        <f ca="1">CELL("contenu",INDIRECT(ADDRESS(ref!$K$4,ref!F7,1,,CELL("contenu",$AB$2))))</f>
        <v/>
      </c>
      <c r="H8" s="4" t="str">
        <f ca="1">CELL("contenu",INDIRECT(ADDRESS(ref!$K$4,ref!G7,1,,CELL("contenu",$AB$2))))</f>
        <v>B</v>
      </c>
      <c r="I8" s="5" t="str">
        <f ca="1">CELL("contenu",INDIRECT(ADDRESS(ref!$K$4,ref!H7,1,,CELL("contenu",$AB$2))))</f>
        <v>C</v>
      </c>
      <c r="J8" s="6" t="str">
        <f ca="1">CELL("contenu",INDIRECT(ADDRESS(ref!$K$5,ref!E7,1,,CELL("contenu",$AB$2))))</f>
        <v/>
      </c>
      <c r="K8" s="3" t="str">
        <f ca="1">CELL("contenu",INDIRECT(ADDRESS(ref!$K$5,ref!F7,1,,CELL("contenu",$AB$2))))</f>
        <v/>
      </c>
      <c r="L8" s="4" t="str">
        <f ca="1">CELL("contenu",INDIRECT(ADDRESS(ref!$K$5,ref!G7,1,,CELL("contenu",$AB$2))))</f>
        <v>B</v>
      </c>
      <c r="M8" s="5" t="str">
        <f ca="1">CELL("contenu",INDIRECT(ADDRESS(ref!$K$5,ref!H7,1,,CELL("contenu",$AB$2))))</f>
        <v>B</v>
      </c>
      <c r="N8" s="6" t="str">
        <f ca="1">CELL("contenu",INDIRECT(ADDRESS(ref!$K$6,ref!E7,1,,CELL("contenu",$AB$2))))</f>
        <v>C</v>
      </c>
      <c r="O8" s="3" t="str">
        <f ca="1">CELL("contenu",INDIRECT(ADDRESS(ref!$K$6,ref!F7,1,,CELL("contenu",$AB$2))))</f>
        <v/>
      </c>
      <c r="P8" s="4" t="str">
        <f ca="1">CELL("contenu",INDIRECT(ADDRESS(ref!$K$6,ref!G7,1,,CELL("contenu",$AB$2))))</f>
        <v>C</v>
      </c>
      <c r="Q8" s="5" t="str">
        <f ca="1">CELL("contenu",INDIRECT(ADDRESS(ref!$K$6,ref!H7,1,,CELL("contenu",$AB$2))))</f>
        <v>C</v>
      </c>
      <c r="R8" s="6" t="str">
        <f ca="1">CELL("contenu",INDIRECT(ADDRESS(ref!$K$7,ref!E7,1,,CELL("contenu",$AB$2))))</f>
        <v>B</v>
      </c>
      <c r="S8" s="3" t="str">
        <f ca="1">CELL("contenu",INDIRECT(ADDRESS(ref!$K$7,ref!F7,1,,CELL("contenu",$AB$2))))</f>
        <v/>
      </c>
      <c r="T8" s="4" t="str">
        <f ca="1">CELL("contenu",INDIRECT(ADDRESS(ref!$K$7,ref!G7,1,,CELL("contenu",$AB$2))))</f>
        <v/>
      </c>
      <c r="U8" s="5" t="str">
        <f ca="1">CELL("contenu",INDIRECT(ADDRESS(ref!$K$7,ref!H7,1,,CELL("contenu",$AB$2))))</f>
        <v>B</v>
      </c>
      <c r="V8" s="41">
        <f ca="1">CELL("contenu",INDIRECT(ADDRESS(ref!$K$8,ref!E7,1,,CELL("contenu",$AB$2))))</f>
        <v>9.1666666666666661</v>
      </c>
      <c r="W8" s="42" t="str">
        <f ca="1">CELL("contenu",INDIRECT(ADDRESS(ref!$K$8,ref!F7,1,,CELL("contenu",$AB$2))))</f>
        <v/>
      </c>
      <c r="X8" s="43">
        <f ca="1">CELL("contenu",INDIRECT(ADDRESS(ref!$K$8,ref!G7,1,,CELL("contenu",$AB$2))))</f>
        <v>13.75</v>
      </c>
      <c r="Y8" s="7" t="str">
        <f ca="1">CELL("contenu",INDIRECT(ADDRESS(ref!$K$9,ref!H7,1,,CELL("contenu",$AB$2))))</f>
        <v/>
      </c>
      <c r="Z8" s="8" t="str">
        <f ca="1">CELL("contenu",INDIRECT(ADDRESS(ref!$K$10,ref!H7,1,,CELL("contenu",$AB$2))))</f>
        <v>D</v>
      </c>
    </row>
    <row r="9" spans="1:28" x14ac:dyDescent="0.55000000000000004">
      <c r="A9" s="53" t="str">
        <f t="shared" ca="1" si="0"/>
        <v>DU PEYROUX Zelie</v>
      </c>
      <c r="B9" s="2" t="str">
        <f ca="1">CELL("contenu",INDIRECT(ADDRESS(ref!$K$3,ref!E8,1,,CELL("contenu",$AB$2))))</f>
        <v>D</v>
      </c>
      <c r="C9" s="3" t="str">
        <f ca="1">CELL("contenu",INDIRECT(ADDRESS(ref!$K$3,ref!F8,1,,CELL("contenu",$AB$2))))</f>
        <v>B</v>
      </c>
      <c r="D9" s="4" t="str">
        <f ca="1">CELL("contenu",INDIRECT(ADDRESS(ref!$K$3,ref!G8,1,,CELL("contenu",$AB$2))))</f>
        <v>C</v>
      </c>
      <c r="E9" s="5" t="str">
        <f ca="1">CELL("contenu",INDIRECT(ADDRESS(ref!$K$3,ref!H8,1,,CELL("contenu",$AB$2))))</f>
        <v>C</v>
      </c>
      <c r="F9" s="6" t="str">
        <f ca="1">CELL("contenu",INDIRECT(ADDRESS(ref!$K$4,ref!E8,1,,CELL("contenu",$AB$2))))</f>
        <v>C</v>
      </c>
      <c r="G9" s="3" t="str">
        <f ca="1">CELL("contenu",INDIRECT(ADDRESS(ref!$K$4,ref!F8,1,,CELL("contenu",$AB$2))))</f>
        <v/>
      </c>
      <c r="H9" s="4" t="str">
        <f ca="1">CELL("contenu",INDIRECT(ADDRESS(ref!$K$4,ref!G8,1,,CELL("contenu",$AB$2))))</f>
        <v>B</v>
      </c>
      <c r="I9" s="5" t="str">
        <f ca="1">CELL("contenu",INDIRECT(ADDRESS(ref!$K$4,ref!H8,1,,CELL("contenu",$AB$2))))</f>
        <v>B</v>
      </c>
      <c r="J9" s="6" t="str">
        <f ca="1">CELL("contenu",INDIRECT(ADDRESS(ref!$K$5,ref!E8,1,,CELL("contenu",$AB$2))))</f>
        <v/>
      </c>
      <c r="K9" s="3" t="str">
        <f ca="1">CELL("contenu",INDIRECT(ADDRESS(ref!$K$5,ref!F8,1,,CELL("contenu",$AB$2))))</f>
        <v/>
      </c>
      <c r="L9" s="4" t="str">
        <f ca="1">CELL("contenu",INDIRECT(ADDRESS(ref!$K$5,ref!G8,1,,CELL("contenu",$AB$2))))</f>
        <v>A</v>
      </c>
      <c r="M9" s="5" t="str">
        <f ca="1">CELL("contenu",INDIRECT(ADDRESS(ref!$K$5,ref!H8,1,,CELL("contenu",$AB$2))))</f>
        <v>A</v>
      </c>
      <c r="N9" s="6" t="str">
        <f ca="1">CELL("contenu",INDIRECT(ADDRESS(ref!$K$6,ref!E8,1,,CELL("contenu",$AB$2))))</f>
        <v>B</v>
      </c>
      <c r="O9" s="3" t="str">
        <f ca="1">CELL("contenu",INDIRECT(ADDRESS(ref!$K$6,ref!F8,1,,CELL("contenu",$AB$2))))</f>
        <v>C</v>
      </c>
      <c r="P9" s="4" t="str">
        <f ca="1">CELL("contenu",INDIRECT(ADDRESS(ref!$K$6,ref!G8,1,,CELL("contenu",$AB$2))))</f>
        <v>C</v>
      </c>
      <c r="Q9" s="5" t="str">
        <f ca="1">CELL("contenu",INDIRECT(ADDRESS(ref!$K$6,ref!H8,1,,CELL("contenu",$AB$2))))</f>
        <v>C</v>
      </c>
      <c r="R9" s="6" t="str">
        <f ca="1">CELL("contenu",INDIRECT(ADDRESS(ref!$K$7,ref!E8,1,,CELL("contenu",$AB$2))))</f>
        <v>B</v>
      </c>
      <c r="S9" s="3" t="str">
        <f ca="1">CELL("contenu",INDIRECT(ADDRESS(ref!$K$7,ref!F8,1,,CELL("contenu",$AB$2))))</f>
        <v/>
      </c>
      <c r="T9" s="4" t="str">
        <f ca="1">CELL("contenu",INDIRECT(ADDRESS(ref!$K$7,ref!G8,1,,CELL("contenu",$AB$2))))</f>
        <v/>
      </c>
      <c r="U9" s="5" t="str">
        <f ca="1">CELL("contenu",INDIRECT(ADDRESS(ref!$K$7,ref!H8,1,,CELL("contenu",$AB$2))))</f>
        <v>B</v>
      </c>
      <c r="V9" s="41">
        <f ca="1">CELL("contenu",INDIRECT(ADDRESS(ref!$K$8,ref!E8,1,,CELL("contenu",$AB$2))))</f>
        <v>11.875</v>
      </c>
      <c r="W9" s="42">
        <f ca="1">CELL("contenu",INDIRECT(ADDRESS(ref!$K$8,ref!F8,1,,CELL("contenu",$AB$2))))</f>
        <v>13.75</v>
      </c>
      <c r="X9" s="43">
        <f ca="1">CELL("contenu",INDIRECT(ADDRESS(ref!$K$8,ref!G8,1,,CELL("contenu",$AB$2))))</f>
        <v>14.791666666666668</v>
      </c>
      <c r="Y9" s="7" t="str">
        <f ca="1">CELL("contenu",INDIRECT(ADDRESS(ref!$K$9,ref!H8,1,,CELL("contenu",$AB$2))))</f>
        <v/>
      </c>
      <c r="Z9" s="8" t="str">
        <f ca="1">CELL("contenu",INDIRECT(ADDRESS(ref!$K$10,ref!H8,1,,CELL("contenu",$AB$2))))</f>
        <v>B</v>
      </c>
    </row>
    <row r="10" spans="1:28" x14ac:dyDescent="0.55000000000000004">
      <c r="A10" s="53" t="str">
        <f t="shared" ca="1" si="0"/>
        <v>DUMONT Hector</v>
      </c>
      <c r="B10" s="2" t="str">
        <f ca="1">CELL("contenu",INDIRECT(ADDRESS(ref!$K$3,ref!E9,1,,CELL("contenu",$AB$2))))</f>
        <v>D</v>
      </c>
      <c r="C10" s="3" t="str">
        <f ca="1">CELL("contenu",INDIRECT(ADDRESS(ref!$K$3,ref!F9,1,,CELL("contenu",$AB$2))))</f>
        <v>C</v>
      </c>
      <c r="D10" s="4" t="str">
        <f ca="1">CELL("contenu",INDIRECT(ADDRESS(ref!$K$3,ref!G9,1,,CELL("contenu",$AB$2))))</f>
        <v>B</v>
      </c>
      <c r="E10" s="5" t="str">
        <f ca="1">CELL("contenu",INDIRECT(ADDRESS(ref!$K$3,ref!H9,1,,CELL("contenu",$AB$2))))</f>
        <v>C</v>
      </c>
      <c r="F10" s="6" t="str">
        <f ca="1">CELL("contenu",INDIRECT(ADDRESS(ref!$K$4,ref!E9,1,,CELL("contenu",$AB$2))))</f>
        <v>C</v>
      </c>
      <c r="G10" s="3" t="str">
        <f ca="1">CELL("contenu",INDIRECT(ADDRESS(ref!$K$4,ref!F9,1,,CELL("contenu",$AB$2))))</f>
        <v/>
      </c>
      <c r="H10" s="4" t="str">
        <f ca="1">CELL("contenu",INDIRECT(ADDRESS(ref!$K$4,ref!G9,1,,CELL("contenu",$AB$2))))</f>
        <v>A</v>
      </c>
      <c r="I10" s="5" t="str">
        <f ca="1">CELL("contenu",INDIRECT(ADDRESS(ref!$K$4,ref!H9,1,,CELL("contenu",$AB$2))))</f>
        <v>B</v>
      </c>
      <c r="J10" s="6" t="str">
        <f ca="1">CELL("contenu",INDIRECT(ADDRESS(ref!$K$5,ref!E9,1,,CELL("contenu",$AB$2))))</f>
        <v/>
      </c>
      <c r="K10" s="3" t="str">
        <f ca="1">CELL("contenu",INDIRECT(ADDRESS(ref!$K$5,ref!F9,1,,CELL("contenu",$AB$2))))</f>
        <v/>
      </c>
      <c r="L10" s="4" t="str">
        <f ca="1">CELL("contenu",INDIRECT(ADDRESS(ref!$K$5,ref!G9,1,,CELL("contenu",$AB$2))))</f>
        <v>C</v>
      </c>
      <c r="M10" s="5" t="str">
        <f ca="1">CELL("contenu",INDIRECT(ADDRESS(ref!$K$5,ref!H9,1,,CELL("contenu",$AB$2))))</f>
        <v>C</v>
      </c>
      <c r="N10" s="6" t="str">
        <f ca="1">CELL("contenu",INDIRECT(ADDRESS(ref!$K$6,ref!E9,1,,CELL("contenu",$AB$2))))</f>
        <v>C</v>
      </c>
      <c r="O10" s="3" t="str">
        <f ca="1">CELL("contenu",INDIRECT(ADDRESS(ref!$K$6,ref!F9,1,,CELL("contenu",$AB$2))))</f>
        <v>C</v>
      </c>
      <c r="P10" s="4" t="str">
        <f ca="1">CELL("contenu",INDIRECT(ADDRESS(ref!$K$6,ref!G9,1,,CELL("contenu",$AB$2))))</f>
        <v>C</v>
      </c>
      <c r="Q10" s="5" t="str">
        <f ca="1">CELL("contenu",INDIRECT(ADDRESS(ref!$K$6,ref!H9,1,,CELL("contenu",$AB$2))))</f>
        <v>C</v>
      </c>
      <c r="R10" s="6" t="str">
        <f ca="1">CELL("contenu",INDIRECT(ADDRESS(ref!$K$7,ref!E9,1,,CELL("contenu",$AB$2))))</f>
        <v>C</v>
      </c>
      <c r="S10" s="3" t="str">
        <f ca="1">CELL("contenu",INDIRECT(ADDRESS(ref!$K$7,ref!F9,1,,CELL("contenu",$AB$2))))</f>
        <v/>
      </c>
      <c r="T10" s="4" t="str">
        <f ca="1">CELL("contenu",INDIRECT(ADDRESS(ref!$K$7,ref!G9,1,,CELL("contenu",$AB$2))))</f>
        <v/>
      </c>
      <c r="U10" s="5" t="str">
        <f ca="1">CELL("contenu",INDIRECT(ADDRESS(ref!$K$7,ref!H9,1,,CELL("contenu",$AB$2))))</f>
        <v>C</v>
      </c>
      <c r="V10" s="41">
        <f ca="1">CELL("contenu",INDIRECT(ADDRESS(ref!$K$8,ref!E9,1,,CELL("contenu",$AB$2))))</f>
        <v>9.7916666666666661</v>
      </c>
      <c r="W10" s="42">
        <f ca="1">CELL("contenu",INDIRECT(ADDRESS(ref!$K$8,ref!F9,1,,CELL("contenu",$AB$2))))</f>
        <v>10</v>
      </c>
      <c r="X10" s="43">
        <f ca="1">CELL("contenu",INDIRECT(ADDRESS(ref!$K$8,ref!G9,1,,CELL("contenu",$AB$2))))</f>
        <v>14.270833333333332</v>
      </c>
      <c r="Y10" s="7" t="str">
        <f ca="1">CELL("contenu",INDIRECT(ADDRESS(ref!$K$9,ref!H9,1,,CELL("contenu",$AB$2))))</f>
        <v/>
      </c>
      <c r="Z10" s="8" t="str">
        <f ca="1">CELL("contenu",INDIRECT(ADDRESS(ref!$K$10,ref!H9,1,,CELL("contenu",$AB$2))))</f>
        <v>A</v>
      </c>
    </row>
    <row r="11" spans="1:28" x14ac:dyDescent="0.55000000000000004">
      <c r="A11" s="53" t="str">
        <f t="shared" ca="1" si="0"/>
        <v>GRAINDORGE Thomas</v>
      </c>
      <c r="B11" s="2" t="str">
        <f ca="1">CELL("contenu",INDIRECT(ADDRESS(ref!$K$3,ref!E10,1,,CELL("contenu",$AB$2))))</f>
        <v>C</v>
      </c>
      <c r="C11" s="3" t="str">
        <f ca="1">CELL("contenu",INDIRECT(ADDRESS(ref!$K$3,ref!F10,1,,CELL("contenu",$AB$2))))</f>
        <v>D</v>
      </c>
      <c r="D11" s="4" t="str">
        <f ca="1">CELL("contenu",INDIRECT(ADDRESS(ref!$K$3,ref!G10,1,,CELL("contenu",$AB$2))))</f>
        <v>C</v>
      </c>
      <c r="E11" s="5" t="str">
        <f ca="1">CELL("contenu",INDIRECT(ADDRESS(ref!$K$3,ref!H10,1,,CELL("contenu",$AB$2))))</f>
        <v>C</v>
      </c>
      <c r="F11" s="6" t="str">
        <f ca="1">CELL("contenu",INDIRECT(ADDRESS(ref!$K$4,ref!E10,1,,CELL("contenu",$AB$2))))</f>
        <v>B</v>
      </c>
      <c r="G11" s="3" t="str">
        <f ca="1">CELL("contenu",INDIRECT(ADDRESS(ref!$K$4,ref!F10,1,,CELL("contenu",$AB$2))))</f>
        <v/>
      </c>
      <c r="H11" s="4" t="str">
        <f ca="1">CELL("contenu",INDIRECT(ADDRESS(ref!$K$4,ref!G10,1,,CELL("contenu",$AB$2))))</f>
        <v>B</v>
      </c>
      <c r="I11" s="5" t="str">
        <f ca="1">CELL("contenu",INDIRECT(ADDRESS(ref!$K$4,ref!H10,1,,CELL("contenu",$AB$2))))</f>
        <v>B</v>
      </c>
      <c r="J11" s="6" t="str">
        <f ca="1">CELL("contenu",INDIRECT(ADDRESS(ref!$K$5,ref!E10,1,,CELL("contenu",$AB$2))))</f>
        <v/>
      </c>
      <c r="K11" s="3" t="str">
        <f ca="1">CELL("contenu",INDIRECT(ADDRESS(ref!$K$5,ref!F10,1,,CELL("contenu",$AB$2))))</f>
        <v/>
      </c>
      <c r="L11" s="4" t="str">
        <f ca="1">CELL("contenu",INDIRECT(ADDRESS(ref!$K$5,ref!G10,1,,CELL("contenu",$AB$2))))</f>
        <v>B</v>
      </c>
      <c r="M11" s="5" t="str">
        <f ca="1">CELL("contenu",INDIRECT(ADDRESS(ref!$K$5,ref!H10,1,,CELL("contenu",$AB$2))))</f>
        <v>B</v>
      </c>
      <c r="N11" s="6" t="str">
        <f ca="1">CELL("contenu",INDIRECT(ADDRESS(ref!$K$6,ref!E10,1,,CELL("contenu",$AB$2))))</f>
        <v>C</v>
      </c>
      <c r="O11" s="3" t="str">
        <f ca="1">CELL("contenu",INDIRECT(ADDRESS(ref!$K$6,ref!F10,1,,CELL("contenu",$AB$2))))</f>
        <v>C</v>
      </c>
      <c r="P11" s="4" t="str">
        <f ca="1">CELL("contenu",INDIRECT(ADDRESS(ref!$K$6,ref!G10,1,,CELL("contenu",$AB$2))))</f>
        <v>C</v>
      </c>
      <c r="Q11" s="5" t="str">
        <f ca="1">CELL("contenu",INDIRECT(ADDRESS(ref!$K$6,ref!H10,1,,CELL("contenu",$AB$2))))</f>
        <v>C</v>
      </c>
      <c r="R11" s="6" t="str">
        <f ca="1">CELL("contenu",INDIRECT(ADDRESS(ref!$K$7,ref!E10,1,,CELL("contenu",$AB$2))))</f>
        <v>C</v>
      </c>
      <c r="S11" s="3" t="str">
        <f ca="1">CELL("contenu",INDIRECT(ADDRESS(ref!$K$7,ref!F10,1,,CELL("contenu",$AB$2))))</f>
        <v/>
      </c>
      <c r="T11" s="4" t="str">
        <f ca="1">CELL("contenu",INDIRECT(ADDRESS(ref!$K$7,ref!G10,1,,CELL("contenu",$AB$2))))</f>
        <v/>
      </c>
      <c r="U11" s="5" t="str">
        <f ca="1">CELL("contenu",INDIRECT(ADDRESS(ref!$K$7,ref!H10,1,,CELL("contenu",$AB$2))))</f>
        <v>C</v>
      </c>
      <c r="V11" s="41">
        <f ca="1">CELL("contenu",INDIRECT(ADDRESS(ref!$K$8,ref!E10,1,,CELL("contenu",$AB$2))))</f>
        <v>12.291666666666668</v>
      </c>
      <c r="W11" s="42">
        <f ca="1">CELL("contenu",INDIRECT(ADDRESS(ref!$K$8,ref!F10,1,,CELL("contenu",$AB$2))))</f>
        <v>7.5</v>
      </c>
      <c r="X11" s="43">
        <f ca="1">CELL("contenu",INDIRECT(ADDRESS(ref!$K$8,ref!G10,1,,CELL("contenu",$AB$2))))</f>
        <v>13.958333333333332</v>
      </c>
      <c r="Y11" s="7" t="str">
        <f ca="1">CELL("contenu",INDIRECT(ADDRESS(ref!$K$9,ref!H10,1,,CELL("contenu",$AB$2))))</f>
        <v/>
      </c>
      <c r="Z11" s="8" t="str">
        <f ca="1">CELL("contenu",INDIRECT(ADDRESS(ref!$K$10,ref!H10,1,,CELL("contenu",$AB$2))))</f>
        <v>A</v>
      </c>
    </row>
    <row r="12" spans="1:28" x14ac:dyDescent="0.55000000000000004">
      <c r="A12" s="53" t="str">
        <f t="shared" ca="1" si="0"/>
        <v>HIRTZ Capucine</v>
      </c>
      <c r="B12" s="2" t="str">
        <f ca="1">CELL("contenu",INDIRECT(ADDRESS(ref!$K$3,ref!E11,1,,CELL("contenu",$AB$2))))</f>
        <v>C</v>
      </c>
      <c r="C12" s="3" t="str">
        <f ca="1">CELL("contenu",INDIRECT(ADDRESS(ref!$K$3,ref!F11,1,,CELL("contenu",$AB$2))))</f>
        <v>D</v>
      </c>
      <c r="D12" s="4" t="str">
        <f ca="1">CELL("contenu",INDIRECT(ADDRESS(ref!$K$3,ref!G11,1,,CELL("contenu",$AB$2))))</f>
        <v>C</v>
      </c>
      <c r="E12" s="5" t="str">
        <f ca="1">CELL("contenu",INDIRECT(ADDRESS(ref!$K$3,ref!H11,1,,CELL("contenu",$AB$2))))</f>
        <v>C</v>
      </c>
      <c r="F12" s="6" t="str">
        <f ca="1">CELL("contenu",INDIRECT(ADDRESS(ref!$K$4,ref!E11,1,,CELL("contenu",$AB$2))))</f>
        <v>C</v>
      </c>
      <c r="G12" s="3" t="str">
        <f ca="1">CELL("contenu",INDIRECT(ADDRESS(ref!$K$4,ref!F11,1,,CELL("contenu",$AB$2))))</f>
        <v/>
      </c>
      <c r="H12" s="4" t="str">
        <f ca="1">CELL("contenu",INDIRECT(ADDRESS(ref!$K$4,ref!G11,1,,CELL("contenu",$AB$2))))</f>
        <v>B</v>
      </c>
      <c r="I12" s="5" t="str">
        <f ca="1">CELL("contenu",INDIRECT(ADDRESS(ref!$K$4,ref!H11,1,,CELL("contenu",$AB$2))))</f>
        <v>B</v>
      </c>
      <c r="J12" s="6" t="str">
        <f ca="1">CELL("contenu",INDIRECT(ADDRESS(ref!$K$5,ref!E11,1,,CELL("contenu",$AB$2))))</f>
        <v/>
      </c>
      <c r="K12" s="3" t="str">
        <f ca="1">CELL("contenu",INDIRECT(ADDRESS(ref!$K$5,ref!F11,1,,CELL("contenu",$AB$2))))</f>
        <v/>
      </c>
      <c r="L12" s="4" t="str">
        <f ca="1">CELL("contenu",INDIRECT(ADDRESS(ref!$K$5,ref!G11,1,,CELL("contenu",$AB$2))))</f>
        <v>B</v>
      </c>
      <c r="M12" s="5" t="str">
        <f ca="1">CELL("contenu",INDIRECT(ADDRESS(ref!$K$5,ref!H11,1,,CELL("contenu",$AB$2))))</f>
        <v>B</v>
      </c>
      <c r="N12" s="6" t="str">
        <f ca="1">CELL("contenu",INDIRECT(ADDRESS(ref!$K$6,ref!E11,1,,CELL("contenu",$AB$2))))</f>
        <v>B</v>
      </c>
      <c r="O12" s="3" t="str">
        <f ca="1">CELL("contenu",INDIRECT(ADDRESS(ref!$K$6,ref!F11,1,,CELL("contenu",$AB$2))))</f>
        <v>C</v>
      </c>
      <c r="P12" s="4" t="str">
        <f ca="1">CELL("contenu",INDIRECT(ADDRESS(ref!$K$6,ref!G11,1,,CELL("contenu",$AB$2))))</f>
        <v>C</v>
      </c>
      <c r="Q12" s="5" t="str">
        <f ca="1">CELL("contenu",INDIRECT(ADDRESS(ref!$K$6,ref!H11,1,,CELL("contenu",$AB$2))))</f>
        <v>C</v>
      </c>
      <c r="R12" s="6" t="str">
        <f ca="1">CELL("contenu",INDIRECT(ADDRESS(ref!$K$7,ref!E11,1,,CELL("contenu",$AB$2))))</f>
        <v>C</v>
      </c>
      <c r="S12" s="3" t="str">
        <f ca="1">CELL("contenu",INDIRECT(ADDRESS(ref!$K$7,ref!F11,1,,CELL("contenu",$AB$2))))</f>
        <v/>
      </c>
      <c r="T12" s="4" t="str">
        <f ca="1">CELL("contenu",INDIRECT(ADDRESS(ref!$K$7,ref!G11,1,,CELL("contenu",$AB$2))))</f>
        <v/>
      </c>
      <c r="U12" s="5" t="str">
        <f ca="1">CELL("contenu",INDIRECT(ADDRESS(ref!$K$7,ref!H11,1,,CELL("contenu",$AB$2))))</f>
        <v>C</v>
      </c>
      <c r="V12" s="41">
        <f ca="1">CELL("contenu",INDIRECT(ADDRESS(ref!$K$8,ref!E11,1,,CELL("contenu",$AB$2))))</f>
        <v>12.708333333333332</v>
      </c>
      <c r="W12" s="42">
        <f ca="1">CELL("contenu",INDIRECT(ADDRESS(ref!$K$8,ref!F11,1,,CELL("contenu",$AB$2))))</f>
        <v>7.5</v>
      </c>
      <c r="X12" s="43">
        <f ca="1">CELL("contenu",INDIRECT(ADDRESS(ref!$K$8,ref!G11,1,,CELL("contenu",$AB$2))))</f>
        <v>14.0625</v>
      </c>
      <c r="Y12" s="7" t="str">
        <f ca="1">CELL("contenu",INDIRECT(ADDRESS(ref!$K$9,ref!H11,1,,CELL("contenu",$AB$2))))</f>
        <v/>
      </c>
      <c r="Z12" s="8" t="str">
        <f ca="1">CELL("contenu",INDIRECT(ADDRESS(ref!$K$10,ref!H11,1,,CELL("contenu",$AB$2))))</f>
        <v>B</v>
      </c>
    </row>
    <row r="13" spans="1:28" x14ac:dyDescent="0.55000000000000004">
      <c r="A13" s="53" t="str">
        <f t="shared" ca="1" si="0"/>
        <v>INACIO Agathe</v>
      </c>
      <c r="B13" s="2" t="str">
        <f ca="1">CELL("contenu",INDIRECT(ADDRESS(ref!$K$3,ref!E12,1,,CELL("contenu",$AB$2))))</f>
        <v>D</v>
      </c>
      <c r="C13" s="3" t="str">
        <f ca="1">CELL("contenu",INDIRECT(ADDRESS(ref!$K$3,ref!F12,1,,CELL("contenu",$AB$2))))</f>
        <v>C</v>
      </c>
      <c r="D13" s="4" t="str">
        <f ca="1">CELL("contenu",INDIRECT(ADDRESS(ref!$K$3,ref!G12,1,,CELL("contenu",$AB$2))))</f>
        <v>B</v>
      </c>
      <c r="E13" s="5" t="str">
        <f ca="1">CELL("contenu",INDIRECT(ADDRESS(ref!$K$3,ref!H12,1,,CELL("contenu",$AB$2))))</f>
        <v>C</v>
      </c>
      <c r="F13" s="6" t="str">
        <f ca="1">CELL("contenu",INDIRECT(ADDRESS(ref!$K$4,ref!E12,1,,CELL("contenu",$AB$2))))</f>
        <v>C</v>
      </c>
      <c r="G13" s="3" t="str">
        <f ca="1">CELL("contenu",INDIRECT(ADDRESS(ref!$K$4,ref!F12,1,,CELL("contenu",$AB$2))))</f>
        <v/>
      </c>
      <c r="H13" s="4" t="str">
        <f ca="1">CELL("contenu",INDIRECT(ADDRESS(ref!$K$4,ref!G12,1,,CELL("contenu",$AB$2))))</f>
        <v>A</v>
      </c>
      <c r="I13" s="5" t="str">
        <f ca="1">CELL("contenu",INDIRECT(ADDRESS(ref!$K$4,ref!H12,1,,CELL("contenu",$AB$2))))</f>
        <v>B</v>
      </c>
      <c r="J13" s="6" t="str">
        <f ca="1">CELL("contenu",INDIRECT(ADDRESS(ref!$K$5,ref!E12,1,,CELL("contenu",$AB$2))))</f>
        <v/>
      </c>
      <c r="K13" s="3" t="str">
        <f ca="1">CELL("contenu",INDIRECT(ADDRESS(ref!$K$5,ref!F12,1,,CELL("contenu",$AB$2))))</f>
        <v/>
      </c>
      <c r="L13" s="4" t="str">
        <f ca="1">CELL("contenu",INDIRECT(ADDRESS(ref!$K$5,ref!G12,1,,CELL("contenu",$AB$2))))</f>
        <v>A</v>
      </c>
      <c r="M13" s="5" t="str">
        <f ca="1">CELL("contenu",INDIRECT(ADDRESS(ref!$K$5,ref!H12,1,,CELL("contenu",$AB$2))))</f>
        <v>A</v>
      </c>
      <c r="N13" s="6" t="str">
        <f ca="1">CELL("contenu",INDIRECT(ADDRESS(ref!$K$6,ref!E12,1,,CELL("contenu",$AB$2))))</f>
        <v>C</v>
      </c>
      <c r="O13" s="3" t="str">
        <f ca="1">CELL("contenu",INDIRECT(ADDRESS(ref!$K$6,ref!F12,1,,CELL("contenu",$AB$2))))</f>
        <v>D</v>
      </c>
      <c r="P13" s="4" t="str">
        <f ca="1">CELL("contenu",INDIRECT(ADDRESS(ref!$K$6,ref!G12,1,,CELL("contenu",$AB$2))))</f>
        <v>C</v>
      </c>
      <c r="Q13" s="5" t="str">
        <f ca="1">CELL("contenu",INDIRECT(ADDRESS(ref!$K$6,ref!H12,1,,CELL("contenu",$AB$2))))</f>
        <v>C</v>
      </c>
      <c r="R13" s="6" t="str">
        <f ca="1">CELL("contenu",INDIRECT(ADDRESS(ref!$K$7,ref!E12,1,,CELL("contenu",$AB$2))))</f>
        <v>B</v>
      </c>
      <c r="S13" s="3" t="str">
        <f ca="1">CELL("contenu",INDIRECT(ADDRESS(ref!$K$7,ref!F12,1,,CELL("contenu",$AB$2))))</f>
        <v/>
      </c>
      <c r="T13" s="4" t="str">
        <f ca="1">CELL("contenu",INDIRECT(ADDRESS(ref!$K$7,ref!G12,1,,CELL("contenu",$AB$2))))</f>
        <v/>
      </c>
      <c r="U13" s="5" t="str">
        <f ca="1">CELL("contenu",INDIRECT(ADDRESS(ref!$K$7,ref!H12,1,,CELL("contenu",$AB$2))))</f>
        <v>B</v>
      </c>
      <c r="V13" s="41">
        <f ca="1">CELL("contenu",INDIRECT(ADDRESS(ref!$K$8,ref!E12,1,,CELL("contenu",$AB$2))))</f>
        <v>10.416666666666668</v>
      </c>
      <c r="W13" s="42">
        <f ca="1">CELL("contenu",INDIRECT(ADDRESS(ref!$K$8,ref!F12,1,,CELL("contenu",$AB$2))))</f>
        <v>8.75</v>
      </c>
      <c r="X13" s="43">
        <f ca="1">CELL("contenu",INDIRECT(ADDRESS(ref!$K$8,ref!G12,1,,CELL("contenu",$AB$2))))</f>
        <v>15.625</v>
      </c>
      <c r="Y13" s="7" t="str">
        <f ca="1">CELL("contenu",INDIRECT(ADDRESS(ref!$K$9,ref!H12,1,,CELL("contenu",$AB$2))))</f>
        <v/>
      </c>
      <c r="Z13" s="8" t="str">
        <f ca="1">CELL("contenu",INDIRECT(ADDRESS(ref!$K$10,ref!H12,1,,CELL("contenu",$AB$2))))</f>
        <v>B</v>
      </c>
    </row>
    <row r="14" spans="1:28" x14ac:dyDescent="0.55000000000000004">
      <c r="A14" s="53" t="str">
        <f t="shared" ca="1" si="0"/>
        <v>LE BORGNE Arthur</v>
      </c>
      <c r="B14" s="2" t="str">
        <f ca="1">CELL("contenu",INDIRECT(ADDRESS(ref!$K$3,ref!E13,1,,CELL("contenu",$AB$2))))</f>
        <v>D</v>
      </c>
      <c r="C14" s="3" t="str">
        <f ca="1">CELL("contenu",INDIRECT(ADDRESS(ref!$K$3,ref!F13,1,,CELL("contenu",$AB$2))))</f>
        <v>B</v>
      </c>
      <c r="D14" s="4" t="str">
        <f ca="1">CELL("contenu",INDIRECT(ADDRESS(ref!$K$3,ref!G13,1,,CELL("contenu",$AB$2))))</f>
        <v>C</v>
      </c>
      <c r="E14" s="5" t="str">
        <f ca="1">CELL("contenu",INDIRECT(ADDRESS(ref!$K$3,ref!H13,1,,CELL("contenu",$AB$2))))</f>
        <v>C</v>
      </c>
      <c r="F14" s="6" t="str">
        <f ca="1">CELL("contenu",INDIRECT(ADDRESS(ref!$K$4,ref!E13,1,,CELL("contenu",$AB$2))))</f>
        <v>D</v>
      </c>
      <c r="G14" s="3" t="str">
        <f ca="1">CELL("contenu",INDIRECT(ADDRESS(ref!$K$4,ref!F13,1,,CELL("contenu",$AB$2))))</f>
        <v/>
      </c>
      <c r="H14" s="4" t="str">
        <f ca="1">CELL("contenu",INDIRECT(ADDRESS(ref!$K$4,ref!G13,1,,CELL("contenu",$AB$2))))</f>
        <v>C</v>
      </c>
      <c r="I14" s="5" t="str">
        <f ca="1">CELL("contenu",INDIRECT(ADDRESS(ref!$K$4,ref!H13,1,,CELL("contenu",$AB$2))))</f>
        <v>D</v>
      </c>
      <c r="J14" s="6" t="str">
        <f ca="1">CELL("contenu",INDIRECT(ADDRESS(ref!$K$5,ref!E13,1,,CELL("contenu",$AB$2))))</f>
        <v/>
      </c>
      <c r="K14" s="3" t="str">
        <f ca="1">CELL("contenu",INDIRECT(ADDRESS(ref!$K$5,ref!F13,1,,CELL("contenu",$AB$2))))</f>
        <v/>
      </c>
      <c r="L14" s="4" t="str">
        <f ca="1">CELL("contenu",INDIRECT(ADDRESS(ref!$K$5,ref!G13,1,,CELL("contenu",$AB$2))))</f>
        <v>A</v>
      </c>
      <c r="M14" s="5" t="str">
        <f ca="1">CELL("contenu",INDIRECT(ADDRESS(ref!$K$5,ref!H13,1,,CELL("contenu",$AB$2))))</f>
        <v>A</v>
      </c>
      <c r="N14" s="6" t="str">
        <f ca="1">CELL("contenu",INDIRECT(ADDRESS(ref!$K$6,ref!E13,1,,CELL("contenu",$AB$2))))</f>
        <v>D</v>
      </c>
      <c r="O14" s="3" t="str">
        <f ca="1">CELL("contenu",INDIRECT(ADDRESS(ref!$K$6,ref!F13,1,,CELL("contenu",$AB$2))))</f>
        <v>D</v>
      </c>
      <c r="P14" s="4" t="str">
        <f ca="1">CELL("contenu",INDIRECT(ADDRESS(ref!$K$6,ref!G13,1,,CELL("contenu",$AB$2))))</f>
        <v>C</v>
      </c>
      <c r="Q14" s="5" t="str">
        <f ca="1">CELL("contenu",INDIRECT(ADDRESS(ref!$K$6,ref!H13,1,,CELL("contenu",$AB$2))))</f>
        <v>C</v>
      </c>
      <c r="R14" s="6" t="str">
        <f ca="1">CELL("contenu",INDIRECT(ADDRESS(ref!$K$7,ref!E13,1,,CELL("contenu",$AB$2))))</f>
        <v>D</v>
      </c>
      <c r="S14" s="3" t="str">
        <f ca="1">CELL("contenu",INDIRECT(ADDRESS(ref!$K$7,ref!F13,1,,CELL("contenu",$AB$2))))</f>
        <v/>
      </c>
      <c r="T14" s="4" t="str">
        <f ca="1">CELL("contenu",INDIRECT(ADDRESS(ref!$K$7,ref!G13,1,,CELL("contenu",$AB$2))))</f>
        <v/>
      </c>
      <c r="U14" s="5" t="str">
        <f ca="1">CELL("contenu",INDIRECT(ADDRESS(ref!$K$7,ref!H13,1,,CELL("contenu",$AB$2))))</f>
        <v>D</v>
      </c>
      <c r="V14" s="41">
        <f ca="1">CELL("contenu",INDIRECT(ADDRESS(ref!$K$8,ref!E13,1,,CELL("contenu",$AB$2))))</f>
        <v>5</v>
      </c>
      <c r="W14" s="42">
        <f ca="1">CELL("contenu",INDIRECT(ADDRESS(ref!$K$8,ref!F13,1,,CELL("contenu",$AB$2))))</f>
        <v>11.25</v>
      </c>
      <c r="X14" s="43">
        <f ca="1">CELL("contenu",INDIRECT(ADDRESS(ref!$K$8,ref!G13,1,,CELL("contenu",$AB$2))))</f>
        <v>11.736111111111111</v>
      </c>
      <c r="Y14" s="7" t="str">
        <f ca="1">CELL("contenu",INDIRECT(ADDRESS(ref!$K$9,ref!H13,1,,CELL("contenu",$AB$2))))</f>
        <v/>
      </c>
      <c r="Z14" s="8" t="str">
        <f ca="1">CELL("contenu",INDIRECT(ADDRESS(ref!$K$10,ref!H13,1,,CELL("contenu",$AB$2))))</f>
        <v>D</v>
      </c>
    </row>
    <row r="15" spans="1:28" x14ac:dyDescent="0.55000000000000004">
      <c r="A15" s="53" t="str">
        <f t="shared" ca="1" si="0"/>
        <v>MAGNANT Josephine</v>
      </c>
      <c r="B15" s="2" t="str">
        <f ca="1">CELL("contenu",INDIRECT(ADDRESS(ref!$K$3,ref!E14,1,,CELL("contenu",$AB$2))))</f>
        <v>C</v>
      </c>
      <c r="C15" s="3" t="str">
        <f ca="1">CELL("contenu",INDIRECT(ADDRESS(ref!$K$3,ref!F14,1,,CELL("contenu",$AB$2))))</f>
        <v>D</v>
      </c>
      <c r="D15" s="4" t="str">
        <f ca="1">CELL("contenu",INDIRECT(ADDRESS(ref!$K$3,ref!G14,1,,CELL("contenu",$AB$2))))</f>
        <v>C</v>
      </c>
      <c r="E15" s="5" t="str">
        <f ca="1">CELL("contenu",INDIRECT(ADDRESS(ref!$K$3,ref!H14,1,,CELL("contenu",$AB$2))))</f>
        <v>C</v>
      </c>
      <c r="F15" s="6" t="str">
        <f ca="1">CELL("contenu",INDIRECT(ADDRESS(ref!$K$4,ref!E14,1,,CELL("contenu",$AB$2))))</f>
        <v>B</v>
      </c>
      <c r="G15" s="3" t="str">
        <f ca="1">CELL("contenu",INDIRECT(ADDRESS(ref!$K$4,ref!F14,1,,CELL("contenu",$AB$2))))</f>
        <v/>
      </c>
      <c r="H15" s="4" t="str">
        <f ca="1">CELL("contenu",INDIRECT(ADDRESS(ref!$K$4,ref!G14,1,,CELL("contenu",$AB$2))))</f>
        <v>B</v>
      </c>
      <c r="I15" s="5" t="str">
        <f ca="1">CELL("contenu",INDIRECT(ADDRESS(ref!$K$4,ref!H14,1,,CELL("contenu",$AB$2))))</f>
        <v>B</v>
      </c>
      <c r="J15" s="6" t="str">
        <f ca="1">CELL("contenu",INDIRECT(ADDRESS(ref!$K$5,ref!E14,1,,CELL("contenu",$AB$2))))</f>
        <v/>
      </c>
      <c r="K15" s="3" t="str">
        <f ca="1">CELL("contenu",INDIRECT(ADDRESS(ref!$K$5,ref!F14,1,,CELL("contenu",$AB$2))))</f>
        <v/>
      </c>
      <c r="L15" s="4" t="str">
        <f ca="1">CELL("contenu",INDIRECT(ADDRESS(ref!$K$5,ref!G14,1,,CELL("contenu",$AB$2))))</f>
        <v>B</v>
      </c>
      <c r="M15" s="5" t="str">
        <f ca="1">CELL("contenu",INDIRECT(ADDRESS(ref!$K$5,ref!H14,1,,CELL("contenu",$AB$2))))</f>
        <v>B</v>
      </c>
      <c r="N15" s="6" t="str">
        <f ca="1">CELL("contenu",INDIRECT(ADDRESS(ref!$K$6,ref!E14,1,,CELL("contenu",$AB$2))))</f>
        <v>B</v>
      </c>
      <c r="O15" s="3" t="str">
        <f ca="1">CELL("contenu",INDIRECT(ADDRESS(ref!$K$6,ref!F14,1,,CELL("contenu",$AB$2))))</f>
        <v>C</v>
      </c>
      <c r="P15" s="4" t="str">
        <f ca="1">CELL("contenu",INDIRECT(ADDRESS(ref!$K$6,ref!G14,1,,CELL("contenu",$AB$2))))</f>
        <v>C</v>
      </c>
      <c r="Q15" s="5" t="str">
        <f ca="1">CELL("contenu",INDIRECT(ADDRESS(ref!$K$6,ref!H14,1,,CELL("contenu",$AB$2))))</f>
        <v>C</v>
      </c>
      <c r="R15" s="6" t="str">
        <f ca="1">CELL("contenu",INDIRECT(ADDRESS(ref!$K$7,ref!E14,1,,CELL("contenu",$AB$2))))</f>
        <v>C</v>
      </c>
      <c r="S15" s="3" t="str">
        <f ca="1">CELL("contenu",INDIRECT(ADDRESS(ref!$K$7,ref!F14,1,,CELL("contenu",$AB$2))))</f>
        <v/>
      </c>
      <c r="T15" s="4" t="str">
        <f ca="1">CELL("contenu",INDIRECT(ADDRESS(ref!$K$7,ref!G14,1,,CELL("contenu",$AB$2))))</f>
        <v/>
      </c>
      <c r="U15" s="5" t="str">
        <f ca="1">CELL("contenu",INDIRECT(ADDRESS(ref!$K$7,ref!H14,1,,CELL("contenu",$AB$2))))</f>
        <v>C</v>
      </c>
      <c r="V15" s="41">
        <f ca="1">CELL("contenu",INDIRECT(ADDRESS(ref!$K$8,ref!E14,1,,CELL("contenu",$AB$2))))</f>
        <v>13.75</v>
      </c>
      <c r="W15" s="42">
        <f ca="1">CELL("contenu",INDIRECT(ADDRESS(ref!$K$8,ref!F14,1,,CELL("contenu",$AB$2))))</f>
        <v>7.5</v>
      </c>
      <c r="X15" s="43">
        <f ca="1">CELL("contenu",INDIRECT(ADDRESS(ref!$K$8,ref!G14,1,,CELL("contenu",$AB$2))))</f>
        <v>13.333333333333332</v>
      </c>
      <c r="Y15" s="7" t="str">
        <f ca="1">CELL("contenu",INDIRECT(ADDRESS(ref!$K$9,ref!H14,1,,CELL("contenu",$AB$2))))</f>
        <v/>
      </c>
      <c r="Z15" s="8" t="str">
        <f ca="1">CELL("contenu",INDIRECT(ADDRESS(ref!$K$10,ref!H14,1,,CELL("contenu",$AB$2))))</f>
        <v>A</v>
      </c>
    </row>
    <row r="16" spans="1:28" x14ac:dyDescent="0.55000000000000004">
      <c r="A16" s="53" t="str">
        <f t="shared" ca="1" si="0"/>
        <v>METTIER Fabian</v>
      </c>
      <c r="B16" s="2" t="str">
        <f ca="1">CELL("contenu",INDIRECT(ADDRESS(ref!$K$3,ref!E15,1,,CELL("contenu",$AB$2))))</f>
        <v>D</v>
      </c>
      <c r="C16" s="3" t="str">
        <f ca="1">CELL("contenu",INDIRECT(ADDRESS(ref!$K$3,ref!F15,1,,CELL("contenu",$AB$2))))</f>
        <v>C</v>
      </c>
      <c r="D16" s="4" t="str">
        <f ca="1">CELL("contenu",INDIRECT(ADDRESS(ref!$K$3,ref!G15,1,,CELL("contenu",$AB$2))))</f>
        <v>C</v>
      </c>
      <c r="E16" s="5" t="str">
        <f ca="1">CELL("contenu",INDIRECT(ADDRESS(ref!$K$3,ref!H15,1,,CELL("contenu",$AB$2))))</f>
        <v>C</v>
      </c>
      <c r="F16" s="6" t="str">
        <f ca="1">CELL("contenu",INDIRECT(ADDRESS(ref!$K$4,ref!E15,1,,CELL("contenu",$AB$2))))</f>
        <v>D</v>
      </c>
      <c r="G16" s="3" t="str">
        <f ca="1">CELL("contenu",INDIRECT(ADDRESS(ref!$K$4,ref!F15,1,,CELL("contenu",$AB$2))))</f>
        <v/>
      </c>
      <c r="H16" s="4" t="str">
        <f ca="1">CELL("contenu",INDIRECT(ADDRESS(ref!$K$4,ref!G15,1,,CELL("contenu",$AB$2))))</f>
        <v>B</v>
      </c>
      <c r="I16" s="5" t="str">
        <f ca="1">CELL("contenu",INDIRECT(ADDRESS(ref!$K$4,ref!H15,1,,CELL("contenu",$AB$2))))</f>
        <v>C</v>
      </c>
      <c r="J16" s="6" t="str">
        <f ca="1">CELL("contenu",INDIRECT(ADDRESS(ref!$K$5,ref!E15,1,,CELL("contenu",$AB$2))))</f>
        <v/>
      </c>
      <c r="K16" s="3" t="str">
        <f ca="1">CELL("contenu",INDIRECT(ADDRESS(ref!$K$5,ref!F15,1,,CELL("contenu",$AB$2))))</f>
        <v/>
      </c>
      <c r="L16" s="4" t="str">
        <f ca="1">CELL("contenu",INDIRECT(ADDRESS(ref!$K$5,ref!G15,1,,CELL("contenu",$AB$2))))</f>
        <v>B</v>
      </c>
      <c r="M16" s="5" t="str">
        <f ca="1">CELL("contenu",INDIRECT(ADDRESS(ref!$K$5,ref!H15,1,,CELL("contenu",$AB$2))))</f>
        <v>B</v>
      </c>
      <c r="N16" s="6" t="str">
        <f ca="1">CELL("contenu",INDIRECT(ADDRESS(ref!$K$6,ref!E15,1,,CELL("contenu",$AB$2))))</f>
        <v>D</v>
      </c>
      <c r="O16" s="3" t="str">
        <f ca="1">CELL("contenu",INDIRECT(ADDRESS(ref!$K$6,ref!F15,1,,CELL("contenu",$AB$2))))</f>
        <v>C</v>
      </c>
      <c r="P16" s="4" t="str">
        <f ca="1">CELL("contenu",INDIRECT(ADDRESS(ref!$K$6,ref!G15,1,,CELL("contenu",$AB$2))))</f>
        <v>C</v>
      </c>
      <c r="Q16" s="5" t="str">
        <f ca="1">CELL("contenu",INDIRECT(ADDRESS(ref!$K$6,ref!H15,1,,CELL("contenu",$AB$2))))</f>
        <v>C</v>
      </c>
      <c r="R16" s="6" t="str">
        <f ca="1">CELL("contenu",INDIRECT(ADDRESS(ref!$K$7,ref!E15,1,,CELL("contenu",$AB$2))))</f>
        <v>D</v>
      </c>
      <c r="S16" s="3" t="str">
        <f ca="1">CELL("contenu",INDIRECT(ADDRESS(ref!$K$7,ref!F15,1,,CELL("contenu",$AB$2))))</f>
        <v/>
      </c>
      <c r="T16" s="4" t="str">
        <f ca="1">CELL("contenu",INDIRECT(ADDRESS(ref!$K$7,ref!G15,1,,CELL("contenu",$AB$2))))</f>
        <v/>
      </c>
      <c r="U16" s="5" t="str">
        <f ca="1">CELL("contenu",INDIRECT(ADDRESS(ref!$K$7,ref!H15,1,,CELL("contenu",$AB$2))))</f>
        <v>D</v>
      </c>
      <c r="V16" s="41">
        <f ca="1">CELL("contenu",INDIRECT(ADDRESS(ref!$K$8,ref!E15,1,,CELL("contenu",$AB$2))))</f>
        <v>5.4166666666666661</v>
      </c>
      <c r="W16" s="42">
        <f ca="1">CELL("contenu",INDIRECT(ADDRESS(ref!$K$8,ref!F15,1,,CELL("contenu",$AB$2))))</f>
        <v>10</v>
      </c>
      <c r="X16" s="43">
        <f ca="1">CELL("contenu",INDIRECT(ADDRESS(ref!$K$8,ref!G15,1,,CELL("contenu",$AB$2))))</f>
        <v>11.875</v>
      </c>
      <c r="Y16" s="7" t="str">
        <f ca="1">CELL("contenu",INDIRECT(ADDRESS(ref!$K$9,ref!H15,1,,CELL("contenu",$AB$2))))</f>
        <v/>
      </c>
      <c r="Z16" s="8" t="str">
        <f ca="1">CELL("contenu",INDIRECT(ADDRESS(ref!$K$10,ref!H15,1,,CELL("contenu",$AB$2))))</f>
        <v>D</v>
      </c>
    </row>
    <row r="17" spans="1:26" x14ac:dyDescent="0.55000000000000004">
      <c r="A17" s="53" t="str">
        <f t="shared" ca="1" si="0"/>
        <v>MONIN Justine</v>
      </c>
      <c r="B17" s="2" t="str">
        <f ca="1">CELL("contenu",INDIRECT(ADDRESS(ref!$K$3,ref!E16,1,,CELL("contenu",$AB$2))))</f>
        <v>C</v>
      </c>
      <c r="C17" s="3" t="str">
        <f ca="1">CELL("contenu",INDIRECT(ADDRESS(ref!$K$3,ref!F16,1,,CELL("contenu",$AB$2))))</f>
        <v>D</v>
      </c>
      <c r="D17" s="4" t="str">
        <f ca="1">CELL("contenu",INDIRECT(ADDRESS(ref!$K$3,ref!G16,1,,CELL("contenu",$AB$2))))</f>
        <v>C</v>
      </c>
      <c r="E17" s="5" t="str">
        <f ca="1">CELL("contenu",INDIRECT(ADDRESS(ref!$K$3,ref!H16,1,,CELL("contenu",$AB$2))))</f>
        <v>C</v>
      </c>
      <c r="F17" s="6" t="str">
        <f ca="1">CELL("contenu",INDIRECT(ADDRESS(ref!$K$4,ref!E16,1,,CELL("contenu",$AB$2))))</f>
        <v>B</v>
      </c>
      <c r="G17" s="3" t="str">
        <f ca="1">CELL("contenu",INDIRECT(ADDRESS(ref!$K$4,ref!F16,1,,CELL("contenu",$AB$2))))</f>
        <v/>
      </c>
      <c r="H17" s="4" t="str">
        <f ca="1">CELL("contenu",INDIRECT(ADDRESS(ref!$K$4,ref!G16,1,,CELL("contenu",$AB$2))))</f>
        <v>B</v>
      </c>
      <c r="I17" s="5" t="str">
        <f ca="1">CELL("contenu",INDIRECT(ADDRESS(ref!$K$4,ref!H16,1,,CELL("contenu",$AB$2))))</f>
        <v>B</v>
      </c>
      <c r="J17" s="6" t="str">
        <f ca="1">CELL("contenu",INDIRECT(ADDRESS(ref!$K$5,ref!E16,1,,CELL("contenu",$AB$2))))</f>
        <v/>
      </c>
      <c r="K17" s="3" t="str">
        <f ca="1">CELL("contenu",INDIRECT(ADDRESS(ref!$K$5,ref!F16,1,,CELL("contenu",$AB$2))))</f>
        <v/>
      </c>
      <c r="L17" s="4" t="str">
        <f ca="1">CELL("contenu",INDIRECT(ADDRESS(ref!$K$5,ref!G16,1,,CELL("contenu",$AB$2))))</f>
        <v>B</v>
      </c>
      <c r="M17" s="5" t="str">
        <f ca="1">CELL("contenu",INDIRECT(ADDRESS(ref!$K$5,ref!H16,1,,CELL("contenu",$AB$2))))</f>
        <v>B</v>
      </c>
      <c r="N17" s="6" t="str">
        <f ca="1">CELL("contenu",INDIRECT(ADDRESS(ref!$K$6,ref!E16,1,,CELL("contenu",$AB$2))))</f>
        <v>C</v>
      </c>
      <c r="O17" s="3" t="str">
        <f ca="1">CELL("contenu",INDIRECT(ADDRESS(ref!$K$6,ref!F16,1,,CELL("contenu",$AB$2))))</f>
        <v>C</v>
      </c>
      <c r="P17" s="4" t="str">
        <f ca="1">CELL("contenu",INDIRECT(ADDRESS(ref!$K$6,ref!G16,1,,CELL("contenu",$AB$2))))</f>
        <v>C</v>
      </c>
      <c r="Q17" s="5" t="str">
        <f ca="1">CELL("contenu",INDIRECT(ADDRESS(ref!$K$6,ref!H16,1,,CELL("contenu",$AB$2))))</f>
        <v>C</v>
      </c>
      <c r="R17" s="6" t="str">
        <f ca="1">CELL("contenu",INDIRECT(ADDRESS(ref!$K$7,ref!E16,1,,CELL("contenu",$AB$2))))</f>
        <v>C</v>
      </c>
      <c r="S17" s="3" t="str">
        <f ca="1">CELL("contenu",INDIRECT(ADDRESS(ref!$K$7,ref!F16,1,,CELL("contenu",$AB$2))))</f>
        <v/>
      </c>
      <c r="T17" s="4" t="str">
        <f ca="1">CELL("contenu",INDIRECT(ADDRESS(ref!$K$7,ref!G16,1,,CELL("contenu",$AB$2))))</f>
        <v/>
      </c>
      <c r="U17" s="5" t="str">
        <f ca="1">CELL("contenu",INDIRECT(ADDRESS(ref!$K$7,ref!H16,1,,CELL("contenu",$AB$2))))</f>
        <v>C</v>
      </c>
      <c r="V17" s="41">
        <f ca="1">CELL("contenu",INDIRECT(ADDRESS(ref!$K$8,ref!E16,1,,CELL("contenu",$AB$2))))</f>
        <v>10.833333333333332</v>
      </c>
      <c r="W17" s="42">
        <f ca="1">CELL("contenu",INDIRECT(ADDRESS(ref!$K$8,ref!F16,1,,CELL("contenu",$AB$2))))</f>
        <v>7.5</v>
      </c>
      <c r="X17" s="43">
        <f ca="1">CELL("contenu",INDIRECT(ADDRESS(ref!$K$8,ref!G16,1,,CELL("contenu",$AB$2))))</f>
        <v>11.805555555555555</v>
      </c>
      <c r="Y17" s="7" t="str">
        <f ca="1">CELL("contenu",INDIRECT(ADDRESS(ref!$K$9,ref!H16,1,,CELL("contenu",$AB$2))))</f>
        <v/>
      </c>
      <c r="Z17" s="8" t="str">
        <f ca="1">CELL("contenu",INDIRECT(ADDRESS(ref!$K$10,ref!H16,1,,CELL("contenu",$AB$2))))</f>
        <v>A</v>
      </c>
    </row>
    <row r="18" spans="1:26" x14ac:dyDescent="0.55000000000000004">
      <c r="A18" s="53" t="str">
        <f t="shared" ca="1" si="0"/>
        <v>MONNIER Charlotte</v>
      </c>
      <c r="B18" s="2" t="str">
        <f ca="1">CELL("contenu",INDIRECT(ADDRESS(ref!$K$3,ref!E17,1,,CELL("contenu",$AB$2))))</f>
        <v>D</v>
      </c>
      <c r="C18" s="3" t="str">
        <f ca="1">CELL("contenu",INDIRECT(ADDRESS(ref!$K$3,ref!F17,1,,CELL("contenu",$AB$2))))</f>
        <v>C</v>
      </c>
      <c r="D18" s="4" t="str">
        <f ca="1">CELL("contenu",INDIRECT(ADDRESS(ref!$K$3,ref!G17,1,,CELL("contenu",$AB$2))))</f>
        <v>B</v>
      </c>
      <c r="E18" s="5" t="str">
        <f ca="1">CELL("contenu",INDIRECT(ADDRESS(ref!$K$3,ref!H17,1,,CELL("contenu",$AB$2))))</f>
        <v>C</v>
      </c>
      <c r="F18" s="6" t="str">
        <f ca="1">CELL("contenu",INDIRECT(ADDRESS(ref!$K$4,ref!E17,1,,CELL("contenu",$AB$2))))</f>
        <v>C</v>
      </c>
      <c r="G18" s="3" t="str">
        <f ca="1">CELL("contenu",INDIRECT(ADDRESS(ref!$K$4,ref!F17,1,,CELL("contenu",$AB$2))))</f>
        <v/>
      </c>
      <c r="H18" s="4" t="str">
        <f ca="1">CELL("contenu",INDIRECT(ADDRESS(ref!$K$4,ref!G17,1,,CELL("contenu",$AB$2))))</f>
        <v>B</v>
      </c>
      <c r="I18" s="5" t="str">
        <f ca="1">CELL("contenu",INDIRECT(ADDRESS(ref!$K$4,ref!H17,1,,CELL("contenu",$AB$2))))</f>
        <v>B</v>
      </c>
      <c r="J18" s="6" t="str">
        <f ca="1">CELL("contenu",INDIRECT(ADDRESS(ref!$K$5,ref!E17,1,,CELL("contenu",$AB$2))))</f>
        <v/>
      </c>
      <c r="K18" s="3" t="str">
        <f ca="1">CELL("contenu",INDIRECT(ADDRESS(ref!$K$5,ref!F17,1,,CELL("contenu",$AB$2))))</f>
        <v/>
      </c>
      <c r="L18" s="4" t="str">
        <f ca="1">CELL("contenu",INDIRECT(ADDRESS(ref!$K$5,ref!G17,1,,CELL("contenu",$AB$2))))</f>
        <v>A</v>
      </c>
      <c r="M18" s="5" t="str">
        <f ca="1">CELL("contenu",INDIRECT(ADDRESS(ref!$K$5,ref!H17,1,,CELL("contenu",$AB$2))))</f>
        <v>A</v>
      </c>
      <c r="N18" s="6" t="str">
        <f ca="1">CELL("contenu",INDIRECT(ADDRESS(ref!$K$6,ref!E17,1,,CELL("contenu",$AB$2))))</f>
        <v>C</v>
      </c>
      <c r="O18" s="3" t="str">
        <f ca="1">CELL("contenu",INDIRECT(ADDRESS(ref!$K$6,ref!F17,1,,CELL("contenu",$AB$2))))</f>
        <v>D</v>
      </c>
      <c r="P18" s="4" t="str">
        <f ca="1">CELL("contenu",INDIRECT(ADDRESS(ref!$K$6,ref!G17,1,,CELL("contenu",$AB$2))))</f>
        <v>B</v>
      </c>
      <c r="Q18" s="5" t="str">
        <f ca="1">CELL("contenu",INDIRECT(ADDRESS(ref!$K$6,ref!H17,1,,CELL("contenu",$AB$2))))</f>
        <v>C</v>
      </c>
      <c r="R18" s="6" t="str">
        <f ca="1">CELL("contenu",INDIRECT(ADDRESS(ref!$K$7,ref!E17,1,,CELL("contenu",$AB$2))))</f>
        <v>B</v>
      </c>
      <c r="S18" s="3" t="str">
        <f ca="1">CELL("contenu",INDIRECT(ADDRESS(ref!$K$7,ref!F17,1,,CELL("contenu",$AB$2))))</f>
        <v/>
      </c>
      <c r="T18" s="4" t="str">
        <f ca="1">CELL("contenu",INDIRECT(ADDRESS(ref!$K$7,ref!G17,1,,CELL("contenu",$AB$2))))</f>
        <v/>
      </c>
      <c r="U18" s="5" t="str">
        <f ca="1">CELL("contenu",INDIRECT(ADDRESS(ref!$K$7,ref!H17,1,,CELL("contenu",$AB$2))))</f>
        <v>B</v>
      </c>
      <c r="V18" s="41">
        <f ca="1">CELL("contenu",INDIRECT(ADDRESS(ref!$K$8,ref!E17,1,,CELL("contenu",$AB$2))))</f>
        <v>10.625</v>
      </c>
      <c r="W18" s="42">
        <f ca="1">CELL("contenu",INDIRECT(ADDRESS(ref!$K$8,ref!F17,1,,CELL("contenu",$AB$2))))</f>
        <v>8.75</v>
      </c>
      <c r="X18" s="43">
        <f ca="1">CELL("contenu",INDIRECT(ADDRESS(ref!$K$8,ref!G17,1,,CELL("contenu",$AB$2))))</f>
        <v>16.527777777777779</v>
      </c>
      <c r="Y18" s="7" t="str">
        <f ca="1">CELL("contenu",INDIRECT(ADDRESS(ref!$K$9,ref!H17,1,,CELL("contenu",$AB$2))))</f>
        <v/>
      </c>
      <c r="Z18" s="8" t="str">
        <f ca="1">CELL("contenu",INDIRECT(ADDRESS(ref!$K$10,ref!H17,1,,CELL("contenu",$AB$2))))</f>
        <v>A</v>
      </c>
    </row>
    <row r="19" spans="1:26" x14ac:dyDescent="0.55000000000000004">
      <c r="A19" s="53" t="str">
        <f t="shared" ca="1" si="0"/>
        <v>MORIOU Henri</v>
      </c>
      <c r="B19" s="2" t="str">
        <f ca="1">CELL("contenu",INDIRECT(ADDRESS(ref!$K$3,ref!E18,1,,CELL("contenu",$AB$2))))</f>
        <v>D</v>
      </c>
      <c r="C19" s="3" t="str">
        <f ca="1">CELL("contenu",INDIRECT(ADDRESS(ref!$K$3,ref!F18,1,,CELL("contenu",$AB$2))))</f>
        <v>C</v>
      </c>
      <c r="D19" s="4" t="str">
        <f ca="1">CELL("contenu",INDIRECT(ADDRESS(ref!$K$3,ref!G18,1,,CELL("contenu",$AB$2))))</f>
        <v>C</v>
      </c>
      <c r="E19" s="5" t="str">
        <f ca="1">CELL("contenu",INDIRECT(ADDRESS(ref!$K$3,ref!H18,1,,CELL("contenu",$AB$2))))</f>
        <v>C</v>
      </c>
      <c r="F19" s="6" t="str">
        <f ca="1">CELL("contenu",INDIRECT(ADDRESS(ref!$K$4,ref!E18,1,,CELL("contenu",$AB$2))))</f>
        <v>D</v>
      </c>
      <c r="G19" s="3" t="str">
        <f ca="1">CELL("contenu",INDIRECT(ADDRESS(ref!$K$4,ref!F18,1,,CELL("contenu",$AB$2))))</f>
        <v/>
      </c>
      <c r="H19" s="4" t="str">
        <f ca="1">CELL("contenu",INDIRECT(ADDRESS(ref!$K$4,ref!G18,1,,CELL("contenu",$AB$2))))</f>
        <v>B</v>
      </c>
      <c r="I19" s="5" t="str">
        <f ca="1">CELL("contenu",INDIRECT(ADDRESS(ref!$K$4,ref!H18,1,,CELL("contenu",$AB$2))))</f>
        <v>D</v>
      </c>
      <c r="J19" s="6" t="str">
        <f ca="1">CELL("contenu",INDIRECT(ADDRESS(ref!$K$5,ref!E18,1,,CELL("contenu",$AB$2))))</f>
        <v/>
      </c>
      <c r="K19" s="3" t="str">
        <f ca="1">CELL("contenu",INDIRECT(ADDRESS(ref!$K$5,ref!F18,1,,CELL("contenu",$AB$2))))</f>
        <v/>
      </c>
      <c r="L19" s="4" t="str">
        <f ca="1">CELL("contenu",INDIRECT(ADDRESS(ref!$K$5,ref!G18,1,,CELL("contenu",$AB$2))))</f>
        <v>B</v>
      </c>
      <c r="M19" s="5" t="str">
        <f ca="1">CELL("contenu",INDIRECT(ADDRESS(ref!$K$5,ref!H18,1,,CELL("contenu",$AB$2))))</f>
        <v>B</v>
      </c>
      <c r="N19" s="6" t="str">
        <f ca="1">CELL("contenu",INDIRECT(ADDRESS(ref!$K$6,ref!E18,1,,CELL("contenu",$AB$2))))</f>
        <v>D</v>
      </c>
      <c r="O19" s="3" t="str">
        <f ca="1">CELL("contenu",INDIRECT(ADDRESS(ref!$K$6,ref!F18,1,,CELL("contenu",$AB$2))))</f>
        <v>D</v>
      </c>
      <c r="P19" s="4" t="str">
        <f ca="1">CELL("contenu",INDIRECT(ADDRESS(ref!$K$6,ref!G18,1,,CELL("contenu",$AB$2))))</f>
        <v>C</v>
      </c>
      <c r="Q19" s="5" t="str">
        <f ca="1">CELL("contenu",INDIRECT(ADDRESS(ref!$K$6,ref!H18,1,,CELL("contenu",$AB$2))))</f>
        <v>C</v>
      </c>
      <c r="R19" s="6" t="str">
        <f ca="1">CELL("contenu",INDIRECT(ADDRESS(ref!$K$7,ref!E18,1,,CELL("contenu",$AB$2))))</f>
        <v>D</v>
      </c>
      <c r="S19" s="3" t="str">
        <f ca="1">CELL("contenu",INDIRECT(ADDRESS(ref!$K$7,ref!F18,1,,CELL("contenu",$AB$2))))</f>
        <v/>
      </c>
      <c r="T19" s="4" t="str">
        <f ca="1">CELL("contenu",INDIRECT(ADDRESS(ref!$K$7,ref!G18,1,,CELL("contenu",$AB$2))))</f>
        <v/>
      </c>
      <c r="U19" s="5" t="str">
        <f ca="1">CELL("contenu",INDIRECT(ADDRESS(ref!$K$7,ref!H18,1,,CELL("contenu",$AB$2))))</f>
        <v>D</v>
      </c>
      <c r="V19" s="41">
        <f ca="1">CELL("contenu",INDIRECT(ADDRESS(ref!$K$8,ref!E18,1,,CELL("contenu",$AB$2))))</f>
        <v>6.25</v>
      </c>
      <c r="W19" s="42">
        <f ca="1">CELL("contenu",INDIRECT(ADDRESS(ref!$K$8,ref!F18,1,,CELL("contenu",$AB$2))))</f>
        <v>8.75</v>
      </c>
      <c r="X19" s="43">
        <f ca="1">CELL("contenu",INDIRECT(ADDRESS(ref!$K$8,ref!G18,1,,CELL("contenu",$AB$2))))</f>
        <v>12.083333333333332</v>
      </c>
      <c r="Y19" s="7" t="str">
        <f ca="1">CELL("contenu",INDIRECT(ADDRESS(ref!$K$9,ref!H18,1,,CELL("contenu",$AB$2))))</f>
        <v/>
      </c>
      <c r="Z19" s="8" t="str">
        <f ca="1">CELL("contenu",INDIRECT(ADDRESS(ref!$K$10,ref!H18,1,,CELL("contenu",$AB$2))))</f>
        <v>D</v>
      </c>
    </row>
    <row r="20" spans="1:26" x14ac:dyDescent="0.55000000000000004">
      <c r="A20" s="53" t="str">
        <f t="shared" ca="1" si="0"/>
        <v>NGO NGII Marie-Yaelle</v>
      </c>
      <c r="B20" s="2" t="str">
        <f ca="1">CELL("contenu",INDIRECT(ADDRESS(ref!$K$3,ref!E19,1,,CELL("contenu",$AB$2))))</f>
        <v>C</v>
      </c>
      <c r="C20" s="3" t="str">
        <f ca="1">CELL("contenu",INDIRECT(ADDRESS(ref!$K$3,ref!F19,1,,CELL("contenu",$AB$2))))</f>
        <v>B</v>
      </c>
      <c r="D20" s="4" t="str">
        <f ca="1">CELL("contenu",INDIRECT(ADDRESS(ref!$K$3,ref!G19,1,,CELL("contenu",$AB$2))))</f>
        <v>B</v>
      </c>
      <c r="E20" s="5" t="str">
        <f ca="1">CELL("contenu",INDIRECT(ADDRESS(ref!$K$3,ref!H19,1,,CELL("contenu",$AB$2))))</f>
        <v>B</v>
      </c>
      <c r="F20" s="6" t="str">
        <f ca="1">CELL("contenu",INDIRECT(ADDRESS(ref!$K$4,ref!E19,1,,CELL("contenu",$AB$2))))</f>
        <v>C</v>
      </c>
      <c r="G20" s="3" t="str">
        <f ca="1">CELL("contenu",INDIRECT(ADDRESS(ref!$K$4,ref!F19,1,,CELL("contenu",$AB$2))))</f>
        <v/>
      </c>
      <c r="H20" s="4" t="str">
        <f ca="1">CELL("contenu",INDIRECT(ADDRESS(ref!$K$4,ref!G19,1,,CELL("contenu",$AB$2))))</f>
        <v>B</v>
      </c>
      <c r="I20" s="5" t="str">
        <f ca="1">CELL("contenu",INDIRECT(ADDRESS(ref!$K$4,ref!H19,1,,CELL("contenu",$AB$2))))</f>
        <v>C</v>
      </c>
      <c r="J20" s="6" t="str">
        <f ca="1">CELL("contenu",INDIRECT(ADDRESS(ref!$K$5,ref!E19,1,,CELL("contenu",$AB$2))))</f>
        <v/>
      </c>
      <c r="K20" s="3" t="str">
        <f ca="1">CELL("contenu",INDIRECT(ADDRESS(ref!$K$5,ref!F19,1,,CELL("contenu",$AB$2))))</f>
        <v/>
      </c>
      <c r="L20" s="4" t="str">
        <f ca="1">CELL("contenu",INDIRECT(ADDRESS(ref!$K$5,ref!G19,1,,CELL("contenu",$AB$2))))</f>
        <v>B</v>
      </c>
      <c r="M20" s="5" t="str">
        <f ca="1">CELL("contenu",INDIRECT(ADDRESS(ref!$K$5,ref!H19,1,,CELL("contenu",$AB$2))))</f>
        <v>B</v>
      </c>
      <c r="N20" s="6" t="str">
        <f ca="1">CELL("contenu",INDIRECT(ADDRESS(ref!$K$6,ref!E19,1,,CELL("contenu",$AB$2))))</f>
        <v>B</v>
      </c>
      <c r="O20" s="3" t="str">
        <f ca="1">CELL("contenu",INDIRECT(ADDRESS(ref!$K$6,ref!F19,1,,CELL("contenu",$AB$2))))</f>
        <v>C</v>
      </c>
      <c r="P20" s="4" t="str">
        <f ca="1">CELL("contenu",INDIRECT(ADDRESS(ref!$K$6,ref!G19,1,,CELL("contenu",$AB$2))))</f>
        <v>B</v>
      </c>
      <c r="Q20" s="5" t="str">
        <f ca="1">CELL("contenu",INDIRECT(ADDRESS(ref!$K$6,ref!H19,1,,CELL("contenu",$AB$2))))</f>
        <v>B</v>
      </c>
      <c r="R20" s="6" t="str">
        <f ca="1">CELL("contenu",INDIRECT(ADDRESS(ref!$K$7,ref!E19,1,,CELL("contenu",$AB$2))))</f>
        <v>C</v>
      </c>
      <c r="S20" s="3" t="str">
        <f ca="1">CELL("contenu",INDIRECT(ADDRESS(ref!$K$7,ref!F19,1,,CELL("contenu",$AB$2))))</f>
        <v/>
      </c>
      <c r="T20" s="4" t="str">
        <f ca="1">CELL("contenu",INDIRECT(ADDRESS(ref!$K$7,ref!G19,1,,CELL("contenu",$AB$2))))</f>
        <v/>
      </c>
      <c r="U20" s="5" t="str">
        <f ca="1">CELL("contenu",INDIRECT(ADDRESS(ref!$K$7,ref!H19,1,,CELL("contenu",$AB$2))))</f>
        <v>C</v>
      </c>
      <c r="V20" s="41">
        <f ca="1">CELL("contenu",INDIRECT(ADDRESS(ref!$K$8,ref!E19,1,,CELL("contenu",$AB$2))))</f>
        <v>13.541666666666668</v>
      </c>
      <c r="W20" s="42">
        <f ca="1">CELL("contenu",INDIRECT(ADDRESS(ref!$K$8,ref!F19,1,,CELL("contenu",$AB$2))))</f>
        <v>13.75</v>
      </c>
      <c r="X20" s="43">
        <f ca="1">CELL("contenu",INDIRECT(ADDRESS(ref!$K$8,ref!G19,1,,CELL("contenu",$AB$2))))</f>
        <v>15.763888888888886</v>
      </c>
      <c r="Y20" s="7" t="str">
        <f ca="1">CELL("contenu",INDIRECT(ADDRESS(ref!$K$9,ref!H19,1,,CELL("contenu",$AB$2))))</f>
        <v/>
      </c>
      <c r="Z20" s="8" t="str">
        <f ca="1">CELL("contenu",INDIRECT(ADDRESS(ref!$K$10,ref!H19,1,,CELL("contenu",$AB$2))))</f>
        <v>C</v>
      </c>
    </row>
    <row r="21" spans="1:26" x14ac:dyDescent="0.55000000000000004">
      <c r="A21" s="53" t="str">
        <f t="shared" ca="1" si="0"/>
        <v>POTIN Mayeul</v>
      </c>
      <c r="B21" s="2" t="str">
        <f ca="1">CELL("contenu",INDIRECT(ADDRESS(ref!$K$3,ref!E20,1,,CELL("contenu",$AB$2))))</f>
        <v>D</v>
      </c>
      <c r="C21" s="3" t="str">
        <f ca="1">CELL("contenu",INDIRECT(ADDRESS(ref!$K$3,ref!F20,1,,CELL("contenu",$AB$2))))</f>
        <v>C</v>
      </c>
      <c r="D21" s="4" t="str">
        <f ca="1">CELL("contenu",INDIRECT(ADDRESS(ref!$K$3,ref!G20,1,,CELL("contenu",$AB$2))))</f>
        <v>C</v>
      </c>
      <c r="E21" s="5" t="str">
        <f ca="1">CELL("contenu",INDIRECT(ADDRESS(ref!$K$3,ref!H20,1,,CELL("contenu",$AB$2))))</f>
        <v>C</v>
      </c>
      <c r="F21" s="6" t="str">
        <f ca="1">CELL("contenu",INDIRECT(ADDRESS(ref!$K$4,ref!E20,1,,CELL("contenu",$AB$2))))</f>
        <v>D</v>
      </c>
      <c r="G21" s="3" t="str">
        <f ca="1">CELL("contenu",INDIRECT(ADDRESS(ref!$K$4,ref!F20,1,,CELL("contenu",$AB$2))))</f>
        <v/>
      </c>
      <c r="H21" s="4" t="str">
        <f ca="1">CELL("contenu",INDIRECT(ADDRESS(ref!$K$4,ref!G20,1,,CELL("contenu",$AB$2))))</f>
        <v>B</v>
      </c>
      <c r="I21" s="5" t="str">
        <f ca="1">CELL("contenu",INDIRECT(ADDRESS(ref!$K$4,ref!H20,1,,CELL("contenu",$AB$2))))</f>
        <v>C</v>
      </c>
      <c r="J21" s="6" t="str">
        <f ca="1">CELL("contenu",INDIRECT(ADDRESS(ref!$K$5,ref!E20,1,,CELL("contenu",$AB$2))))</f>
        <v/>
      </c>
      <c r="K21" s="3" t="str">
        <f ca="1">CELL("contenu",INDIRECT(ADDRESS(ref!$K$5,ref!F20,1,,CELL("contenu",$AB$2))))</f>
        <v/>
      </c>
      <c r="L21" s="4" t="str">
        <f ca="1">CELL("contenu",INDIRECT(ADDRESS(ref!$K$5,ref!G20,1,,CELL("contenu",$AB$2))))</f>
        <v>B</v>
      </c>
      <c r="M21" s="5" t="str">
        <f ca="1">CELL("contenu",INDIRECT(ADDRESS(ref!$K$5,ref!H20,1,,CELL("contenu",$AB$2))))</f>
        <v>B</v>
      </c>
      <c r="N21" s="6" t="str">
        <f ca="1">CELL("contenu",INDIRECT(ADDRESS(ref!$K$6,ref!E20,1,,CELL("contenu",$AB$2))))</f>
        <v>D</v>
      </c>
      <c r="O21" s="3" t="str">
        <f ca="1">CELL("contenu",INDIRECT(ADDRESS(ref!$K$6,ref!F20,1,,CELL("contenu",$AB$2))))</f>
        <v>D</v>
      </c>
      <c r="P21" s="4" t="str">
        <f ca="1">CELL("contenu",INDIRECT(ADDRESS(ref!$K$6,ref!G20,1,,CELL("contenu",$AB$2))))</f>
        <v>C</v>
      </c>
      <c r="Q21" s="5" t="str">
        <f ca="1">CELL("contenu",INDIRECT(ADDRESS(ref!$K$6,ref!H20,1,,CELL("contenu",$AB$2))))</f>
        <v>C</v>
      </c>
      <c r="R21" s="6" t="str">
        <f ca="1">CELL("contenu",INDIRECT(ADDRESS(ref!$K$7,ref!E20,1,,CELL("contenu",$AB$2))))</f>
        <v>D</v>
      </c>
      <c r="S21" s="3" t="str">
        <f ca="1">CELL("contenu",INDIRECT(ADDRESS(ref!$K$7,ref!F20,1,,CELL("contenu",$AB$2))))</f>
        <v/>
      </c>
      <c r="T21" s="4" t="str">
        <f ca="1">CELL("contenu",INDIRECT(ADDRESS(ref!$K$7,ref!G20,1,,CELL("contenu",$AB$2))))</f>
        <v/>
      </c>
      <c r="U21" s="5" t="str">
        <f ca="1">CELL("contenu",INDIRECT(ADDRESS(ref!$K$7,ref!H20,1,,CELL("contenu",$AB$2))))</f>
        <v>D</v>
      </c>
      <c r="V21" s="41">
        <f ca="1">CELL("contenu",INDIRECT(ADDRESS(ref!$K$8,ref!E20,1,,CELL("contenu",$AB$2))))</f>
        <v>5.625</v>
      </c>
      <c r="W21" s="42">
        <f ca="1">CELL("contenu",INDIRECT(ADDRESS(ref!$K$8,ref!F20,1,,CELL("contenu",$AB$2))))</f>
        <v>8.75</v>
      </c>
      <c r="X21" s="43">
        <f ca="1">CELL("contenu",INDIRECT(ADDRESS(ref!$K$8,ref!G20,1,,CELL("contenu",$AB$2))))</f>
        <v>12.291666666666668</v>
      </c>
      <c r="Y21" s="7" t="str">
        <f ca="1">CELL("contenu",INDIRECT(ADDRESS(ref!$K$9,ref!H20,1,,CELL("contenu",$AB$2))))</f>
        <v/>
      </c>
      <c r="Z21" s="8" t="str">
        <f ca="1">CELL("contenu",INDIRECT(ADDRESS(ref!$K$10,ref!H20,1,,CELL("contenu",$AB$2))))</f>
        <v>D</v>
      </c>
    </row>
    <row r="22" spans="1:26" x14ac:dyDescent="0.55000000000000004">
      <c r="A22" s="53" t="str">
        <f t="shared" ca="1" si="0"/>
        <v>RICHARD Callixte</v>
      </c>
      <c r="B22" s="2" t="str">
        <f ca="1">CELL("contenu",INDIRECT(ADDRESS(ref!$K$3,ref!E21,1,,CELL("contenu",$AB$2))))</f>
        <v>C</v>
      </c>
      <c r="C22" s="3" t="str">
        <f ca="1">CELL("contenu",INDIRECT(ADDRESS(ref!$K$3,ref!F21,1,,CELL("contenu",$AB$2))))</f>
        <v>B</v>
      </c>
      <c r="D22" s="4" t="str">
        <f ca="1">CELL("contenu",INDIRECT(ADDRESS(ref!$K$3,ref!G21,1,,CELL("contenu",$AB$2))))</f>
        <v>C</v>
      </c>
      <c r="E22" s="5" t="str">
        <f ca="1">CELL("contenu",INDIRECT(ADDRESS(ref!$K$3,ref!H21,1,,CELL("contenu",$AB$2))))</f>
        <v>C</v>
      </c>
      <c r="F22" s="6" t="str">
        <f ca="1">CELL("contenu",INDIRECT(ADDRESS(ref!$K$4,ref!E21,1,,CELL("contenu",$AB$2))))</f>
        <v>D</v>
      </c>
      <c r="G22" s="3" t="str">
        <f ca="1">CELL("contenu",INDIRECT(ADDRESS(ref!$K$4,ref!F21,1,,CELL("contenu",$AB$2))))</f>
        <v/>
      </c>
      <c r="H22" s="4" t="str">
        <f ca="1">CELL("contenu",INDIRECT(ADDRESS(ref!$K$4,ref!G21,1,,CELL("contenu",$AB$2))))</f>
        <v>B</v>
      </c>
      <c r="I22" s="5" t="str">
        <f ca="1">CELL("contenu",INDIRECT(ADDRESS(ref!$K$4,ref!H21,1,,CELL("contenu",$AB$2))))</f>
        <v>C</v>
      </c>
      <c r="J22" s="6" t="str">
        <f ca="1">CELL("contenu",INDIRECT(ADDRESS(ref!$K$5,ref!E21,1,,CELL("contenu",$AB$2))))</f>
        <v/>
      </c>
      <c r="K22" s="3" t="str">
        <f ca="1">CELL("contenu",INDIRECT(ADDRESS(ref!$K$5,ref!F21,1,,CELL("contenu",$AB$2))))</f>
        <v/>
      </c>
      <c r="L22" s="4" t="str">
        <f ca="1">CELL("contenu",INDIRECT(ADDRESS(ref!$K$5,ref!G21,1,,CELL("contenu",$AB$2))))</f>
        <v>A</v>
      </c>
      <c r="M22" s="5" t="str">
        <f ca="1">CELL("contenu",INDIRECT(ADDRESS(ref!$K$5,ref!H21,1,,CELL("contenu",$AB$2))))</f>
        <v>A</v>
      </c>
      <c r="N22" s="6" t="str">
        <f ca="1">CELL("contenu",INDIRECT(ADDRESS(ref!$K$6,ref!E21,1,,CELL("contenu",$AB$2))))</f>
        <v>C</v>
      </c>
      <c r="O22" s="3" t="str">
        <f ca="1">CELL("contenu",INDIRECT(ADDRESS(ref!$K$6,ref!F21,1,,CELL("contenu",$AB$2))))</f>
        <v>D</v>
      </c>
      <c r="P22" s="4" t="str">
        <f ca="1">CELL("contenu",INDIRECT(ADDRESS(ref!$K$6,ref!G21,1,,CELL("contenu",$AB$2))))</f>
        <v>C</v>
      </c>
      <c r="Q22" s="5" t="str">
        <f ca="1">CELL("contenu",INDIRECT(ADDRESS(ref!$K$6,ref!H21,1,,CELL("contenu",$AB$2))))</f>
        <v>C</v>
      </c>
      <c r="R22" s="6" t="str">
        <f ca="1">CELL("contenu",INDIRECT(ADDRESS(ref!$K$7,ref!E21,1,,CELL("contenu",$AB$2))))</f>
        <v>B</v>
      </c>
      <c r="S22" s="3" t="str">
        <f ca="1">CELL("contenu",INDIRECT(ADDRESS(ref!$K$7,ref!F21,1,,CELL("contenu",$AB$2))))</f>
        <v/>
      </c>
      <c r="T22" s="4" t="str">
        <f ca="1">CELL("contenu",INDIRECT(ADDRESS(ref!$K$7,ref!G21,1,,CELL("contenu",$AB$2))))</f>
        <v/>
      </c>
      <c r="U22" s="5" t="str">
        <f ca="1">CELL("contenu",INDIRECT(ADDRESS(ref!$K$7,ref!H21,1,,CELL("contenu",$AB$2))))</f>
        <v>B</v>
      </c>
      <c r="V22" s="41">
        <f ca="1">CELL("contenu",INDIRECT(ADDRESS(ref!$K$8,ref!E21,1,,CELL("contenu",$AB$2))))</f>
        <v>11.041666666666668</v>
      </c>
      <c r="W22" s="42">
        <f ca="1">CELL("contenu",INDIRECT(ADDRESS(ref!$K$8,ref!F21,1,,CELL("contenu",$AB$2))))</f>
        <v>11.25</v>
      </c>
      <c r="X22" s="43">
        <f ca="1">CELL("contenu",INDIRECT(ADDRESS(ref!$K$8,ref!G21,1,,CELL("contenu",$AB$2))))</f>
        <v>13.229166666666668</v>
      </c>
      <c r="Y22" s="7" t="str">
        <f ca="1">CELL("contenu",INDIRECT(ADDRESS(ref!$K$9,ref!H21,1,,CELL("contenu",$AB$2))))</f>
        <v/>
      </c>
      <c r="Z22" s="8" t="str">
        <f ca="1">CELL("contenu",INDIRECT(ADDRESS(ref!$K$10,ref!H21,1,,CELL("contenu",$AB$2))))</f>
        <v>D</v>
      </c>
    </row>
    <row r="23" spans="1:26" x14ac:dyDescent="0.55000000000000004">
      <c r="A23" s="53" t="str">
        <f t="shared" ca="1" si="0"/>
        <v>ROGER Theo</v>
      </c>
      <c r="B23" s="2" t="str">
        <f ca="1">CELL("contenu",INDIRECT(ADDRESS(ref!$K$3,ref!E22,1,,CELL("contenu",$AB$2))))</f>
        <v>D</v>
      </c>
      <c r="C23" s="3" t="str">
        <f ca="1">CELL("contenu",INDIRECT(ADDRESS(ref!$K$3,ref!F22,1,,CELL("contenu",$AB$2))))</f>
        <v/>
      </c>
      <c r="D23" s="4" t="str">
        <f ca="1">CELL("contenu",INDIRECT(ADDRESS(ref!$K$3,ref!G22,1,,CELL("contenu",$AB$2))))</f>
        <v>C</v>
      </c>
      <c r="E23" s="5" t="str">
        <f ca="1">CELL("contenu",INDIRECT(ADDRESS(ref!$K$3,ref!H22,1,,CELL("contenu",$AB$2))))</f>
        <v>C</v>
      </c>
      <c r="F23" s="6" t="str">
        <f ca="1">CELL("contenu",INDIRECT(ADDRESS(ref!$K$4,ref!E22,1,,CELL("contenu",$AB$2))))</f>
        <v>D</v>
      </c>
      <c r="G23" s="3" t="str">
        <f ca="1">CELL("contenu",INDIRECT(ADDRESS(ref!$K$4,ref!F22,1,,CELL("contenu",$AB$2))))</f>
        <v/>
      </c>
      <c r="H23" s="4" t="str">
        <f ca="1">CELL("contenu",INDIRECT(ADDRESS(ref!$K$4,ref!G22,1,,CELL("contenu",$AB$2))))</f>
        <v>B</v>
      </c>
      <c r="I23" s="5" t="str">
        <f ca="1">CELL("contenu",INDIRECT(ADDRESS(ref!$K$4,ref!H22,1,,CELL("contenu",$AB$2))))</f>
        <v>C</v>
      </c>
      <c r="J23" s="6" t="str">
        <f ca="1">CELL("contenu",INDIRECT(ADDRESS(ref!$K$5,ref!E22,1,,CELL("contenu",$AB$2))))</f>
        <v/>
      </c>
      <c r="K23" s="3" t="str">
        <f ca="1">CELL("contenu",INDIRECT(ADDRESS(ref!$K$5,ref!F22,1,,CELL("contenu",$AB$2))))</f>
        <v/>
      </c>
      <c r="L23" s="4" t="str">
        <f ca="1">CELL("contenu",INDIRECT(ADDRESS(ref!$K$5,ref!G22,1,,CELL("contenu",$AB$2))))</f>
        <v>B</v>
      </c>
      <c r="M23" s="5" t="str">
        <f ca="1">CELL("contenu",INDIRECT(ADDRESS(ref!$K$5,ref!H22,1,,CELL("contenu",$AB$2))))</f>
        <v>B</v>
      </c>
      <c r="N23" s="6" t="str">
        <f ca="1">CELL("contenu",INDIRECT(ADDRESS(ref!$K$6,ref!E22,1,,CELL("contenu",$AB$2))))</f>
        <v>D</v>
      </c>
      <c r="O23" s="3" t="str">
        <f ca="1">CELL("contenu",INDIRECT(ADDRESS(ref!$K$6,ref!F22,1,,CELL("contenu",$AB$2))))</f>
        <v/>
      </c>
      <c r="P23" s="4" t="str">
        <f ca="1">CELL("contenu",INDIRECT(ADDRESS(ref!$K$6,ref!G22,1,,CELL("contenu",$AB$2))))</f>
        <v>C</v>
      </c>
      <c r="Q23" s="5" t="str">
        <f ca="1">CELL("contenu",INDIRECT(ADDRESS(ref!$K$6,ref!H22,1,,CELL("contenu",$AB$2))))</f>
        <v>C</v>
      </c>
      <c r="R23" s="6" t="str">
        <f ca="1">CELL("contenu",INDIRECT(ADDRESS(ref!$K$7,ref!E22,1,,CELL("contenu",$AB$2))))</f>
        <v>C</v>
      </c>
      <c r="S23" s="3" t="str">
        <f ca="1">CELL("contenu",INDIRECT(ADDRESS(ref!$K$7,ref!F22,1,,CELL("contenu",$AB$2))))</f>
        <v/>
      </c>
      <c r="T23" s="4" t="str">
        <f ca="1">CELL("contenu",INDIRECT(ADDRESS(ref!$K$7,ref!G22,1,,CELL("contenu",$AB$2))))</f>
        <v/>
      </c>
      <c r="U23" s="5" t="str">
        <f ca="1">CELL("contenu",INDIRECT(ADDRESS(ref!$K$7,ref!H22,1,,CELL("contenu",$AB$2))))</f>
        <v>C</v>
      </c>
      <c r="V23" s="41">
        <f ca="1">CELL("contenu",INDIRECT(ADDRESS(ref!$K$8,ref!E22,1,,CELL("contenu",$AB$2))))</f>
        <v>7.0833333333333339</v>
      </c>
      <c r="W23" s="42" t="str">
        <f ca="1">CELL("contenu",INDIRECT(ADDRESS(ref!$K$8,ref!F22,1,,CELL("contenu",$AB$2))))</f>
        <v/>
      </c>
      <c r="X23" s="43">
        <f ca="1">CELL("contenu",INDIRECT(ADDRESS(ref!$K$8,ref!G22,1,,CELL("contenu",$AB$2))))</f>
        <v>12.430555555555555</v>
      </c>
      <c r="Y23" s="7" t="str">
        <f ca="1">CELL("contenu",INDIRECT(ADDRESS(ref!$K$9,ref!H22,1,,CELL("contenu",$AB$2))))</f>
        <v/>
      </c>
      <c r="Z23" s="8" t="str">
        <f ca="1">CELL("contenu",INDIRECT(ADDRESS(ref!$K$10,ref!H22,1,,CELL("contenu",$AB$2))))</f>
        <v>C</v>
      </c>
    </row>
    <row r="24" spans="1:26" x14ac:dyDescent="0.55000000000000004">
      <c r="A24" s="53" t="str">
        <f t="shared" ca="1" si="0"/>
        <v>ROUSSEAU Deo-Gracias</v>
      </c>
      <c r="B24" s="2" t="str">
        <f ca="1">CELL("contenu",INDIRECT(ADDRESS(ref!$K$3,ref!E23,1,,CELL("contenu",$AB$2))))</f>
        <v>D</v>
      </c>
      <c r="C24" s="3" t="str">
        <f ca="1">CELL("contenu",INDIRECT(ADDRESS(ref!$K$3,ref!F23,1,,CELL("contenu",$AB$2))))</f>
        <v>C</v>
      </c>
      <c r="D24" s="4" t="str">
        <f ca="1">CELL("contenu",INDIRECT(ADDRESS(ref!$K$3,ref!G23,1,,CELL("contenu",$AB$2))))</f>
        <v>C</v>
      </c>
      <c r="E24" s="5" t="str">
        <f ca="1">CELL("contenu",INDIRECT(ADDRESS(ref!$K$3,ref!H23,1,,CELL("contenu",$AB$2))))</f>
        <v>C</v>
      </c>
      <c r="F24" s="6" t="str">
        <f ca="1">CELL("contenu",INDIRECT(ADDRESS(ref!$K$4,ref!E23,1,,CELL("contenu",$AB$2))))</f>
        <v>C</v>
      </c>
      <c r="G24" s="3" t="str">
        <f ca="1">CELL("contenu",INDIRECT(ADDRESS(ref!$K$4,ref!F23,1,,CELL("contenu",$AB$2))))</f>
        <v/>
      </c>
      <c r="H24" s="4" t="str">
        <f ca="1">CELL("contenu",INDIRECT(ADDRESS(ref!$K$4,ref!G23,1,,CELL("contenu",$AB$2))))</f>
        <v>B</v>
      </c>
      <c r="I24" s="5" t="str">
        <f ca="1">CELL("contenu",INDIRECT(ADDRESS(ref!$K$4,ref!H23,1,,CELL("contenu",$AB$2))))</f>
        <v>C</v>
      </c>
      <c r="J24" s="6" t="str">
        <f ca="1">CELL("contenu",INDIRECT(ADDRESS(ref!$K$5,ref!E23,1,,CELL("contenu",$AB$2))))</f>
        <v/>
      </c>
      <c r="K24" s="3" t="str">
        <f ca="1">CELL("contenu",INDIRECT(ADDRESS(ref!$K$5,ref!F23,1,,CELL("contenu",$AB$2))))</f>
        <v/>
      </c>
      <c r="L24" s="4" t="str">
        <f ca="1">CELL("contenu",INDIRECT(ADDRESS(ref!$K$5,ref!G23,1,,CELL("contenu",$AB$2))))</f>
        <v>A</v>
      </c>
      <c r="M24" s="5" t="str">
        <f ca="1">CELL("contenu",INDIRECT(ADDRESS(ref!$K$5,ref!H23,1,,CELL("contenu",$AB$2))))</f>
        <v>A</v>
      </c>
      <c r="N24" s="6" t="str">
        <f ca="1">CELL("contenu",INDIRECT(ADDRESS(ref!$K$6,ref!E23,1,,CELL("contenu",$AB$2))))</f>
        <v>C</v>
      </c>
      <c r="O24" s="3" t="str">
        <f ca="1">CELL("contenu",INDIRECT(ADDRESS(ref!$K$6,ref!F23,1,,CELL("contenu",$AB$2))))</f>
        <v>C</v>
      </c>
      <c r="P24" s="4" t="str">
        <f ca="1">CELL("contenu",INDIRECT(ADDRESS(ref!$K$6,ref!G23,1,,CELL("contenu",$AB$2))))</f>
        <v>C</v>
      </c>
      <c r="Q24" s="5" t="str">
        <f ca="1">CELL("contenu",INDIRECT(ADDRESS(ref!$K$6,ref!H23,1,,CELL("contenu",$AB$2))))</f>
        <v>C</v>
      </c>
      <c r="R24" s="6" t="str">
        <f ca="1">CELL("contenu",INDIRECT(ADDRESS(ref!$K$7,ref!E23,1,,CELL("contenu",$AB$2))))</f>
        <v>C</v>
      </c>
      <c r="S24" s="3" t="str">
        <f ca="1">CELL("contenu",INDIRECT(ADDRESS(ref!$K$7,ref!F23,1,,CELL("contenu",$AB$2))))</f>
        <v/>
      </c>
      <c r="T24" s="4" t="str">
        <f ca="1">CELL("contenu",INDIRECT(ADDRESS(ref!$K$7,ref!G23,1,,CELL("contenu",$AB$2))))</f>
        <v/>
      </c>
      <c r="U24" s="5" t="str">
        <f ca="1">CELL("contenu",INDIRECT(ADDRESS(ref!$K$7,ref!H23,1,,CELL("contenu",$AB$2))))</f>
        <v>C</v>
      </c>
      <c r="V24" s="41">
        <f ca="1">CELL("contenu",INDIRECT(ADDRESS(ref!$K$8,ref!E23,1,,CELL("contenu",$AB$2))))</f>
        <v>9.5833333333333339</v>
      </c>
      <c r="W24" s="42">
        <f ca="1">CELL("contenu",INDIRECT(ADDRESS(ref!$K$8,ref!F23,1,,CELL("contenu",$AB$2))))</f>
        <v>10</v>
      </c>
      <c r="X24" s="43">
        <f ca="1">CELL("contenu",INDIRECT(ADDRESS(ref!$K$8,ref!G23,1,,CELL("contenu",$AB$2))))</f>
        <v>12.708333333333332</v>
      </c>
      <c r="Y24" s="7" t="str">
        <f ca="1">CELL("contenu",INDIRECT(ADDRESS(ref!$K$9,ref!H23,1,,CELL("contenu",$AB$2))))</f>
        <v/>
      </c>
      <c r="Z24" s="8" t="str">
        <f ca="1">CELL("contenu",INDIRECT(ADDRESS(ref!$K$10,ref!H23,1,,CELL("contenu",$AB$2))))</f>
        <v>C</v>
      </c>
    </row>
    <row r="25" spans="1:26" x14ac:dyDescent="0.55000000000000004">
      <c r="A25" s="53" t="str">
        <f t="shared" ca="1" si="0"/>
        <v>SAUVAGE Alexis</v>
      </c>
      <c r="B25" s="2" t="str">
        <f ca="1">CELL("contenu",INDIRECT(ADDRESS(ref!$K$3,ref!E24,1,,CELL("contenu",$AB$2))))</f>
        <v>D</v>
      </c>
      <c r="C25" s="3" t="str">
        <f ca="1">CELL("contenu",INDIRECT(ADDRESS(ref!$K$3,ref!F24,1,,CELL("contenu",$AB$2))))</f>
        <v>B</v>
      </c>
      <c r="D25" s="4" t="str">
        <f ca="1">CELL("contenu",INDIRECT(ADDRESS(ref!$K$3,ref!G24,1,,CELL("contenu",$AB$2))))</f>
        <v>D</v>
      </c>
      <c r="E25" s="5" t="str">
        <f ca="1">CELL("contenu",INDIRECT(ADDRESS(ref!$K$3,ref!H24,1,,CELL("contenu",$AB$2))))</f>
        <v>D</v>
      </c>
      <c r="F25" s="6" t="str">
        <f ca="1">CELL("contenu",INDIRECT(ADDRESS(ref!$K$4,ref!E24,1,,CELL("contenu",$AB$2))))</f>
        <v>C</v>
      </c>
      <c r="G25" s="3" t="str">
        <f ca="1">CELL("contenu",INDIRECT(ADDRESS(ref!$K$4,ref!F24,1,,CELL("contenu",$AB$2))))</f>
        <v/>
      </c>
      <c r="H25" s="4" t="str">
        <f ca="1">CELL("contenu",INDIRECT(ADDRESS(ref!$K$4,ref!G24,1,,CELL("contenu",$AB$2))))</f>
        <v>B</v>
      </c>
      <c r="I25" s="5" t="str">
        <f ca="1">CELL("contenu",INDIRECT(ADDRESS(ref!$K$4,ref!H24,1,,CELL("contenu",$AB$2))))</f>
        <v>C</v>
      </c>
      <c r="J25" s="6" t="str">
        <f ca="1">CELL("contenu",INDIRECT(ADDRESS(ref!$K$5,ref!E24,1,,CELL("contenu",$AB$2))))</f>
        <v/>
      </c>
      <c r="K25" s="3" t="str">
        <f ca="1">CELL("contenu",INDIRECT(ADDRESS(ref!$K$5,ref!F24,1,,CELL("contenu",$AB$2))))</f>
        <v/>
      </c>
      <c r="L25" s="4" t="str">
        <f ca="1">CELL("contenu",INDIRECT(ADDRESS(ref!$K$5,ref!G24,1,,CELL("contenu",$AB$2))))</f>
        <v>B</v>
      </c>
      <c r="M25" s="5" t="str">
        <f ca="1">CELL("contenu",INDIRECT(ADDRESS(ref!$K$5,ref!H24,1,,CELL("contenu",$AB$2))))</f>
        <v>B</v>
      </c>
      <c r="N25" s="6" t="str">
        <f ca="1">CELL("contenu",INDIRECT(ADDRESS(ref!$K$6,ref!E24,1,,CELL("contenu",$AB$2))))</f>
        <v>C</v>
      </c>
      <c r="O25" s="3" t="str">
        <f ca="1">CELL("contenu",INDIRECT(ADDRESS(ref!$K$6,ref!F24,1,,CELL("contenu",$AB$2))))</f>
        <v>C</v>
      </c>
      <c r="P25" s="4" t="str">
        <f ca="1">CELL("contenu",INDIRECT(ADDRESS(ref!$K$6,ref!G24,1,,CELL("contenu",$AB$2))))</f>
        <v>C</v>
      </c>
      <c r="Q25" s="5" t="str">
        <f ca="1">CELL("contenu",INDIRECT(ADDRESS(ref!$K$6,ref!H24,1,,CELL("contenu",$AB$2))))</f>
        <v>C</v>
      </c>
      <c r="R25" s="6" t="str">
        <f ca="1">CELL("contenu",INDIRECT(ADDRESS(ref!$K$7,ref!E24,1,,CELL("contenu",$AB$2))))</f>
        <v>C</v>
      </c>
      <c r="S25" s="3" t="str">
        <f ca="1">CELL("contenu",INDIRECT(ADDRESS(ref!$K$7,ref!F24,1,,CELL("contenu",$AB$2))))</f>
        <v/>
      </c>
      <c r="T25" s="4" t="str">
        <f ca="1">CELL("contenu",INDIRECT(ADDRESS(ref!$K$7,ref!G24,1,,CELL("contenu",$AB$2))))</f>
        <v/>
      </c>
      <c r="U25" s="5" t="str">
        <f ca="1">CELL("contenu",INDIRECT(ADDRESS(ref!$K$7,ref!H24,1,,CELL("contenu",$AB$2))))</f>
        <v>C</v>
      </c>
      <c r="V25" s="41">
        <f ca="1">CELL("contenu",INDIRECT(ADDRESS(ref!$K$8,ref!E24,1,,CELL("contenu",$AB$2))))</f>
        <v>8.5416666666666661</v>
      </c>
      <c r="W25" s="42">
        <f ca="1">CELL("contenu",INDIRECT(ADDRESS(ref!$K$8,ref!F24,1,,CELL("contenu",$AB$2))))</f>
        <v>12.5</v>
      </c>
      <c r="X25" s="43">
        <f ca="1">CELL("contenu",INDIRECT(ADDRESS(ref!$K$8,ref!G24,1,,CELL("contenu",$AB$2))))</f>
        <v>11.111111111111111</v>
      </c>
      <c r="Y25" s="7" t="str">
        <f ca="1">CELL("contenu",INDIRECT(ADDRESS(ref!$K$9,ref!H24,1,,CELL("contenu",$AB$2))))</f>
        <v/>
      </c>
      <c r="Z25" s="8" t="str">
        <f ca="1">CELL("contenu",INDIRECT(ADDRESS(ref!$K$10,ref!H24,1,,CELL("contenu",$AB$2))))</f>
        <v>C</v>
      </c>
    </row>
    <row r="26" spans="1:26" x14ac:dyDescent="0.55000000000000004">
      <c r="A26" s="53" t="str">
        <f t="shared" ca="1" si="0"/>
        <v>THIOU Esther</v>
      </c>
      <c r="B26" s="2" t="str">
        <f ca="1">CELL("contenu",INDIRECT(ADDRESS(ref!$K$3,ref!E25,1,,CELL("contenu",$AB$2))))</f>
        <v>C</v>
      </c>
      <c r="C26" s="3" t="str">
        <f ca="1">CELL("contenu",INDIRECT(ADDRESS(ref!$K$3,ref!F25,1,,CELL("contenu",$AB$2))))</f>
        <v>C</v>
      </c>
      <c r="D26" s="4" t="str">
        <f ca="1">CELL("contenu",INDIRECT(ADDRESS(ref!$K$3,ref!G25,1,,CELL("contenu",$AB$2))))</f>
        <v>C</v>
      </c>
      <c r="E26" s="5" t="str">
        <f ca="1">CELL("contenu",INDIRECT(ADDRESS(ref!$K$3,ref!H25,1,,CELL("contenu",$AB$2))))</f>
        <v>C</v>
      </c>
      <c r="F26" s="6" t="str">
        <f ca="1">CELL("contenu",INDIRECT(ADDRESS(ref!$K$4,ref!E25,1,,CELL("contenu",$AB$2))))</f>
        <v>C</v>
      </c>
      <c r="G26" s="3" t="str">
        <f ca="1">CELL("contenu",INDIRECT(ADDRESS(ref!$K$4,ref!F25,1,,CELL("contenu",$AB$2))))</f>
        <v/>
      </c>
      <c r="H26" s="4" t="str">
        <f ca="1">CELL("contenu",INDIRECT(ADDRESS(ref!$K$4,ref!G25,1,,CELL("contenu",$AB$2))))</f>
        <v>B</v>
      </c>
      <c r="I26" s="5" t="str">
        <f ca="1">CELL("contenu",INDIRECT(ADDRESS(ref!$K$4,ref!H25,1,,CELL("contenu",$AB$2))))</f>
        <v>C</v>
      </c>
      <c r="J26" s="6" t="str">
        <f ca="1">CELL("contenu",INDIRECT(ADDRESS(ref!$K$5,ref!E25,1,,CELL("contenu",$AB$2))))</f>
        <v/>
      </c>
      <c r="K26" s="3" t="str">
        <f ca="1">CELL("contenu",INDIRECT(ADDRESS(ref!$K$5,ref!F25,1,,CELL("contenu",$AB$2))))</f>
        <v/>
      </c>
      <c r="L26" s="4" t="str">
        <f ca="1">CELL("contenu",INDIRECT(ADDRESS(ref!$K$5,ref!G25,1,,CELL("contenu",$AB$2))))</f>
        <v>A</v>
      </c>
      <c r="M26" s="5" t="str">
        <f ca="1">CELL("contenu",INDIRECT(ADDRESS(ref!$K$5,ref!H25,1,,CELL("contenu",$AB$2))))</f>
        <v>A</v>
      </c>
      <c r="N26" s="6" t="str">
        <f ca="1">CELL("contenu",INDIRECT(ADDRESS(ref!$K$6,ref!E25,1,,CELL("contenu",$AB$2))))</f>
        <v>D</v>
      </c>
      <c r="O26" s="3" t="str">
        <f ca="1">CELL("contenu",INDIRECT(ADDRESS(ref!$K$6,ref!F25,1,,CELL("contenu",$AB$2))))</f>
        <v>C</v>
      </c>
      <c r="P26" s="4" t="str">
        <f ca="1">CELL("contenu",INDIRECT(ADDRESS(ref!$K$6,ref!G25,1,,CELL("contenu",$AB$2))))</f>
        <v>C</v>
      </c>
      <c r="Q26" s="5" t="str">
        <f ca="1">CELL("contenu",INDIRECT(ADDRESS(ref!$K$6,ref!H25,1,,CELL("contenu",$AB$2))))</f>
        <v>C</v>
      </c>
      <c r="R26" s="6" t="str">
        <f ca="1">CELL("contenu",INDIRECT(ADDRESS(ref!$K$7,ref!E25,1,,CELL("contenu",$AB$2))))</f>
        <v>C</v>
      </c>
      <c r="S26" s="3" t="str">
        <f ca="1">CELL("contenu",INDIRECT(ADDRESS(ref!$K$7,ref!F25,1,,CELL("contenu",$AB$2))))</f>
        <v/>
      </c>
      <c r="T26" s="4" t="str">
        <f ca="1">CELL("contenu",INDIRECT(ADDRESS(ref!$K$7,ref!G25,1,,CELL("contenu",$AB$2))))</f>
        <v/>
      </c>
      <c r="U26" s="5" t="str">
        <f ca="1">CELL("contenu",INDIRECT(ADDRESS(ref!$K$7,ref!H25,1,,CELL("contenu",$AB$2))))</f>
        <v>C</v>
      </c>
      <c r="V26" s="41">
        <f ca="1">CELL("contenu",INDIRECT(ADDRESS(ref!$K$8,ref!E25,1,,CELL("contenu",$AB$2))))</f>
        <v>9.1666666666666661</v>
      </c>
      <c r="W26" s="42">
        <f ca="1">CELL("contenu",INDIRECT(ADDRESS(ref!$K$8,ref!F25,1,,CELL("contenu",$AB$2))))</f>
        <v>10</v>
      </c>
      <c r="X26" s="43">
        <f ca="1">CELL("contenu",INDIRECT(ADDRESS(ref!$K$8,ref!G25,1,,CELL("contenu",$AB$2))))</f>
        <v>13.194444444444445</v>
      </c>
      <c r="Y26" s="7" t="str">
        <f ca="1">CELL("contenu",INDIRECT(ADDRESS(ref!$K$9,ref!H25,1,,CELL("contenu",$AB$2))))</f>
        <v/>
      </c>
      <c r="Z26" s="8" t="str">
        <f ca="1">CELL("contenu",INDIRECT(ADDRESS(ref!$K$10,ref!H25,1,,CELL("contenu",$AB$2))))</f>
        <v>C</v>
      </c>
    </row>
    <row r="27" spans="1:26" x14ac:dyDescent="0.55000000000000004">
      <c r="A27" s="53" t="str">
        <f t="shared" ca="1" si="0"/>
        <v>WENZEL Marie</v>
      </c>
      <c r="B27" s="2" t="str">
        <f ca="1">CELL("contenu",INDIRECT(ADDRESS(ref!$K$3,ref!E26,1,,CELL("contenu",$AB$2))))</f>
        <v>C</v>
      </c>
      <c r="C27" s="3" t="str">
        <f ca="1">CELL("contenu",INDIRECT(ADDRESS(ref!$K$3,ref!F26,1,,CELL("contenu",$AB$2))))</f>
        <v>C</v>
      </c>
      <c r="D27" s="4" t="str">
        <f ca="1">CELL("contenu",INDIRECT(ADDRESS(ref!$K$3,ref!G26,1,,CELL("contenu",$AB$2))))</f>
        <v>C</v>
      </c>
      <c r="E27" s="5" t="str">
        <f ca="1">CELL("contenu",INDIRECT(ADDRESS(ref!$K$3,ref!H26,1,,CELL("contenu",$AB$2))))</f>
        <v>C</v>
      </c>
      <c r="F27" s="6" t="str">
        <f ca="1">CELL("contenu",INDIRECT(ADDRESS(ref!$K$4,ref!E26,1,,CELL("contenu",$AB$2))))</f>
        <v>B</v>
      </c>
      <c r="G27" s="3" t="str">
        <f ca="1">CELL("contenu",INDIRECT(ADDRESS(ref!$K$4,ref!F26,1,,CELL("contenu",$AB$2))))</f>
        <v/>
      </c>
      <c r="H27" s="4" t="str">
        <f ca="1">CELL("contenu",INDIRECT(ADDRESS(ref!$K$4,ref!G26,1,,CELL("contenu",$AB$2))))</f>
        <v>B</v>
      </c>
      <c r="I27" s="5" t="str">
        <f ca="1">CELL("contenu",INDIRECT(ADDRESS(ref!$K$4,ref!H26,1,,CELL("contenu",$AB$2))))</f>
        <v>B</v>
      </c>
      <c r="J27" s="6" t="str">
        <f ca="1">CELL("contenu",INDIRECT(ADDRESS(ref!$K$5,ref!E26,1,,CELL("contenu",$AB$2))))</f>
        <v/>
      </c>
      <c r="K27" s="3" t="str">
        <f ca="1">CELL("contenu",INDIRECT(ADDRESS(ref!$K$5,ref!F26,1,,CELL("contenu",$AB$2))))</f>
        <v/>
      </c>
      <c r="L27" s="4" t="str">
        <f ca="1">CELL("contenu",INDIRECT(ADDRESS(ref!$K$5,ref!G26,1,,CELL("contenu",$AB$2))))</f>
        <v>B</v>
      </c>
      <c r="M27" s="5" t="str">
        <f ca="1">CELL("contenu",INDIRECT(ADDRESS(ref!$K$5,ref!H26,1,,CELL("contenu",$AB$2))))</f>
        <v>B</v>
      </c>
      <c r="N27" s="6" t="str">
        <f ca="1">CELL("contenu",INDIRECT(ADDRESS(ref!$K$6,ref!E26,1,,CELL("contenu",$AB$2))))</f>
        <v>D</v>
      </c>
      <c r="O27" s="3" t="str">
        <f ca="1">CELL("contenu",INDIRECT(ADDRESS(ref!$K$6,ref!F26,1,,CELL("contenu",$AB$2))))</f>
        <v>C</v>
      </c>
      <c r="P27" s="4" t="str">
        <f ca="1">CELL("contenu",INDIRECT(ADDRESS(ref!$K$6,ref!G26,1,,CELL("contenu",$AB$2))))</f>
        <v>C</v>
      </c>
      <c r="Q27" s="5" t="str">
        <f ca="1">CELL("contenu",INDIRECT(ADDRESS(ref!$K$6,ref!H26,1,,CELL("contenu",$AB$2))))</f>
        <v>C</v>
      </c>
      <c r="R27" s="6" t="str">
        <f ca="1">CELL("contenu",INDIRECT(ADDRESS(ref!$K$7,ref!E26,1,,CELL("contenu",$AB$2))))</f>
        <v>C</v>
      </c>
      <c r="S27" s="3" t="str">
        <f ca="1">CELL("contenu",INDIRECT(ADDRESS(ref!$K$7,ref!F26,1,,CELL("contenu",$AB$2))))</f>
        <v/>
      </c>
      <c r="T27" s="4" t="str">
        <f ca="1">CELL("contenu",INDIRECT(ADDRESS(ref!$K$7,ref!G26,1,,CELL("contenu",$AB$2))))</f>
        <v/>
      </c>
      <c r="U27" s="5" t="str">
        <f ca="1">CELL("contenu",INDIRECT(ADDRESS(ref!$K$7,ref!H26,1,,CELL("contenu",$AB$2))))</f>
        <v>C</v>
      </c>
      <c r="V27" s="41">
        <f ca="1">CELL("contenu",INDIRECT(ADDRESS(ref!$K$8,ref!E26,1,,CELL("contenu",$AB$2))))</f>
        <v>10.208333333333332</v>
      </c>
      <c r="W27" s="42">
        <f ca="1">CELL("contenu",INDIRECT(ADDRESS(ref!$K$8,ref!F26,1,,CELL("contenu",$AB$2))))</f>
        <v>10</v>
      </c>
      <c r="X27" s="43">
        <f ca="1">CELL("contenu",INDIRECT(ADDRESS(ref!$K$8,ref!G26,1,,CELL("contenu",$AB$2))))</f>
        <v>11.388888888888889</v>
      </c>
      <c r="Y27" s="7" t="str">
        <f ca="1">CELL("contenu",INDIRECT(ADDRESS(ref!$K$9,ref!H26,1,,CELL("contenu",$AB$2))))</f>
        <v/>
      </c>
      <c r="Z27" s="8" t="str">
        <f ca="1">CELL("contenu",INDIRECT(ADDRESS(ref!$K$10,ref!H26,1,,CELL("contenu",$AB$2))))</f>
        <v>A</v>
      </c>
    </row>
  </sheetData>
  <sheetProtection algorithmName="SHA-512" hashValue="+K58nWxytLMwg+7BfkHt4wymYXbGlvO9Zwny8gOJ+xAtXCpFs7ncG4WhqT+7FZ5Qu855HpOX31VO1M8RODQgjA==" saltValue="dzrm5egWhzueLRF+H366mA==" spinCount="100000" sheet="1" selectLockedCells="1"/>
  <mergeCells count="9">
    <mergeCell ref="B1:Z1"/>
    <mergeCell ref="A2:A3"/>
    <mergeCell ref="B2:E2"/>
    <mergeCell ref="F2:I2"/>
    <mergeCell ref="J2:M2"/>
    <mergeCell ref="N2:Q2"/>
    <mergeCell ref="R2:U2"/>
    <mergeCell ref="V2:X2"/>
    <mergeCell ref="Y2:Z2"/>
  </mergeCells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WJ24"/>
  <sheetViews>
    <sheetView topLeftCell="A2" zoomScale="80" zoomScaleNormal="80" workbookViewId="0">
      <pane xSplit="2" topLeftCell="RS1" activePane="topRight" state="frozen"/>
      <selection activeCell="A5" sqref="A5:B5"/>
      <selection pane="topRight" activeCell="SD17" sqref="SD17"/>
    </sheetView>
  </sheetViews>
  <sheetFormatPr baseColWidth="10" defaultColWidth="5.68359375" defaultRowHeight="14.4" x14ac:dyDescent="0.55000000000000004"/>
  <cols>
    <col min="1" max="1" width="17.68359375" style="148" customWidth="1"/>
    <col min="2" max="2" width="13.68359375" style="148" customWidth="1"/>
    <col min="3" max="5" width="4.68359375" style="139" customWidth="1"/>
    <col min="6" max="6" width="4.68359375" style="171" customWidth="1"/>
    <col min="7" max="7" width="8.68359375" style="172" customWidth="1"/>
    <col min="8" max="11" width="4.68359375" style="138" customWidth="1"/>
    <col min="12" max="12" width="4.68359375" style="172" customWidth="1"/>
    <col min="13" max="13" width="8.68359375" style="172" customWidth="1"/>
    <col min="14" max="19" width="4.68359375" style="138" customWidth="1"/>
    <col min="20" max="20" width="4.68359375" style="172" customWidth="1"/>
    <col min="21" max="21" width="8.68359375" style="172" customWidth="1"/>
    <col min="22" max="22" width="4.68359375" style="172" customWidth="1"/>
    <col min="23" max="23" width="8.68359375" style="172" customWidth="1"/>
    <col min="24" max="26" width="4.68359375" style="139" customWidth="1"/>
    <col min="27" max="27" width="4.68359375" style="171" customWidth="1"/>
    <col min="28" max="28" width="8.68359375" style="172" customWidth="1"/>
    <col min="29" max="32" width="4.68359375" style="138" customWidth="1"/>
    <col min="33" max="33" width="4.68359375" style="172" customWidth="1"/>
    <col min="34" max="34" width="8.68359375" style="172" customWidth="1"/>
    <col min="35" max="40" width="4.68359375" style="138" customWidth="1"/>
    <col min="41" max="41" width="4.68359375" style="172" customWidth="1"/>
    <col min="42" max="42" width="8.68359375" style="172" customWidth="1"/>
    <col min="43" max="43" width="4.68359375" style="172" customWidth="1"/>
    <col min="44" max="44" width="8.68359375" style="172" customWidth="1"/>
    <col min="45" max="48" width="4.68359375" style="139" customWidth="1"/>
    <col min="49" max="49" width="8.68359375" style="137" customWidth="1"/>
    <col min="50" max="53" width="4.68359375" style="138" customWidth="1"/>
    <col min="54" max="54" width="4.68359375" style="137" customWidth="1"/>
    <col min="55" max="55" width="8.68359375" style="137" customWidth="1"/>
    <col min="56" max="61" width="4.68359375" style="138" customWidth="1"/>
    <col min="62" max="62" width="4.68359375" style="137" customWidth="1"/>
    <col min="63" max="63" width="8.68359375" style="137" customWidth="1"/>
    <col min="64" max="64" width="4.68359375" style="137" customWidth="1"/>
    <col min="65" max="65" width="8.68359375" style="137" customWidth="1"/>
    <col min="66" max="69" width="4.68359375" style="139" customWidth="1"/>
    <col min="70" max="70" width="8.68359375" style="137" customWidth="1"/>
    <col min="71" max="74" width="4.68359375" style="138" customWidth="1"/>
    <col min="75" max="75" width="4.68359375" style="137" customWidth="1"/>
    <col min="76" max="76" width="8.68359375" style="137" customWidth="1"/>
    <col min="77" max="82" width="4.68359375" style="138" customWidth="1"/>
    <col min="83" max="83" width="4.68359375" style="137" customWidth="1"/>
    <col min="84" max="84" width="8.68359375" style="137" customWidth="1"/>
    <col min="85" max="85" width="4.68359375" style="137" customWidth="1"/>
    <col min="86" max="86" width="8.68359375" style="137" customWidth="1"/>
    <col min="87" max="90" width="4.68359375" style="139" customWidth="1"/>
    <col min="91" max="91" width="8.68359375" style="137" customWidth="1"/>
    <col min="92" max="95" width="4.68359375" style="138" customWidth="1"/>
    <col min="96" max="96" width="4.68359375" style="137" customWidth="1"/>
    <col min="97" max="97" width="8.68359375" style="137" customWidth="1"/>
    <col min="98" max="103" width="4.68359375" style="138" customWidth="1"/>
    <col min="104" max="104" width="4.68359375" style="137" customWidth="1"/>
    <col min="105" max="105" width="8.68359375" style="137" customWidth="1"/>
    <col min="106" max="106" width="4.68359375" style="137" customWidth="1"/>
    <col min="107" max="107" width="8.68359375" style="137" customWidth="1"/>
    <col min="108" max="111" width="4.68359375" style="139" customWidth="1"/>
    <col min="112" max="112" width="8.68359375" style="137" customWidth="1"/>
    <col min="113" max="116" width="4.68359375" style="138" customWidth="1"/>
    <col min="117" max="117" width="4.68359375" style="137" customWidth="1"/>
    <col min="118" max="118" width="8.68359375" style="137" customWidth="1"/>
    <col min="119" max="124" width="4.68359375" style="138" customWidth="1"/>
    <col min="125" max="125" width="4.68359375" style="137" customWidth="1"/>
    <col min="126" max="126" width="8.68359375" style="137" customWidth="1"/>
    <col min="127" max="127" width="4.68359375" style="137" customWidth="1"/>
    <col min="128" max="128" width="8.68359375" style="137" customWidth="1"/>
    <col min="129" max="132" width="4.68359375" style="139" customWidth="1"/>
    <col min="133" max="133" width="8.68359375" style="137" customWidth="1"/>
    <col min="134" max="137" width="4.68359375" style="138" customWidth="1"/>
    <col min="138" max="138" width="4.68359375" style="137" customWidth="1"/>
    <col min="139" max="139" width="8.68359375" style="137" customWidth="1"/>
    <col min="140" max="145" width="4.68359375" style="138" customWidth="1"/>
    <col min="146" max="146" width="4.68359375" style="137" customWidth="1"/>
    <col min="147" max="147" width="8.68359375" style="137" customWidth="1"/>
    <col min="148" max="148" width="4.68359375" style="137" customWidth="1"/>
    <col min="149" max="149" width="8.68359375" style="137" customWidth="1"/>
    <col min="150" max="153" width="4.68359375" style="139" customWidth="1"/>
    <col min="154" max="154" width="8.68359375" style="137" customWidth="1"/>
    <col min="155" max="158" width="4.68359375" style="138" customWidth="1"/>
    <col min="159" max="159" width="4.68359375" style="137" customWidth="1"/>
    <col min="160" max="160" width="8.68359375" style="137" customWidth="1"/>
    <col min="161" max="166" width="4.68359375" style="138" customWidth="1"/>
    <col min="167" max="167" width="4.68359375" style="137" customWidth="1"/>
    <col min="168" max="168" width="8.68359375" style="137" customWidth="1"/>
    <col min="169" max="169" width="4.68359375" style="137" customWidth="1"/>
    <col min="170" max="170" width="8.68359375" style="137" customWidth="1"/>
    <col min="171" max="174" width="4.68359375" style="139" customWidth="1"/>
    <col min="175" max="175" width="8.68359375" style="137" customWidth="1"/>
    <col min="176" max="179" width="4.68359375" style="138" customWidth="1"/>
    <col min="180" max="180" width="4.68359375" style="137" customWidth="1"/>
    <col min="181" max="181" width="8.68359375" style="137" customWidth="1"/>
    <col min="182" max="187" width="4.68359375" style="138" customWidth="1"/>
    <col min="188" max="188" width="4.68359375" style="137" customWidth="1"/>
    <col min="189" max="189" width="8.68359375" style="137" customWidth="1"/>
    <col min="190" max="190" width="4.68359375" style="137" customWidth="1"/>
    <col min="191" max="191" width="8.68359375" style="137" customWidth="1"/>
    <col min="192" max="195" width="4.68359375" style="139" customWidth="1"/>
    <col min="196" max="196" width="8.68359375" style="137" customWidth="1"/>
    <col min="197" max="200" width="4.68359375" style="138" customWidth="1"/>
    <col min="201" max="201" width="4.68359375" style="137" customWidth="1"/>
    <col min="202" max="202" width="8.68359375" style="137" customWidth="1"/>
    <col min="203" max="208" width="4.68359375" style="138" customWidth="1"/>
    <col min="209" max="209" width="4.68359375" style="137" customWidth="1"/>
    <col min="210" max="210" width="8.68359375" style="137" customWidth="1"/>
    <col min="211" max="211" width="4.68359375" style="137" customWidth="1"/>
    <col min="212" max="212" width="8.68359375" style="137" customWidth="1"/>
    <col min="213" max="216" width="4.68359375" style="139" customWidth="1"/>
    <col min="217" max="217" width="8.68359375" style="137" customWidth="1"/>
    <col min="218" max="221" width="4.68359375" style="138" customWidth="1"/>
    <col min="222" max="222" width="4.68359375" style="137" customWidth="1"/>
    <col min="223" max="223" width="8.68359375" style="137" customWidth="1"/>
    <col min="224" max="229" width="4.68359375" style="138" customWidth="1"/>
    <col min="230" max="230" width="4.68359375" style="137" customWidth="1"/>
    <col min="231" max="231" width="8.68359375" style="137" customWidth="1"/>
    <col min="232" max="232" width="4.68359375" style="137" customWidth="1"/>
    <col min="233" max="233" width="8.68359375" style="137" customWidth="1"/>
    <col min="234" max="237" width="4.68359375" style="139" customWidth="1"/>
    <col min="238" max="238" width="8.68359375" style="137" customWidth="1"/>
    <col min="239" max="242" width="4.68359375" style="138" customWidth="1"/>
    <col min="243" max="243" width="4.68359375" style="137" customWidth="1"/>
    <col min="244" max="244" width="8.68359375" style="137" customWidth="1"/>
    <col min="245" max="250" width="4.68359375" style="138" customWidth="1"/>
    <col min="251" max="251" width="4.68359375" style="137" customWidth="1"/>
    <col min="252" max="252" width="8.68359375" style="137" customWidth="1"/>
    <col min="253" max="253" width="4.68359375" style="137" customWidth="1"/>
    <col min="254" max="254" width="8.68359375" style="137" customWidth="1"/>
    <col min="255" max="258" width="4.68359375" style="139" customWidth="1"/>
    <col min="259" max="259" width="8.68359375" style="137" customWidth="1"/>
    <col min="260" max="263" width="4.68359375" style="138" customWidth="1"/>
    <col min="264" max="264" width="4.68359375" style="137" customWidth="1"/>
    <col min="265" max="265" width="8.68359375" style="137" customWidth="1"/>
    <col min="266" max="271" width="4.68359375" style="138" customWidth="1"/>
    <col min="272" max="272" width="4.68359375" style="137" customWidth="1"/>
    <col min="273" max="273" width="8.68359375" style="137" customWidth="1"/>
    <col min="274" max="274" width="4.68359375" style="137" customWidth="1"/>
    <col min="275" max="275" width="8.68359375" style="137" customWidth="1"/>
    <col min="276" max="279" width="4.68359375" style="139" customWidth="1"/>
    <col min="280" max="280" width="8.68359375" style="137" customWidth="1"/>
    <col min="281" max="284" width="4.68359375" style="138" customWidth="1"/>
    <col min="285" max="285" width="4.68359375" style="137" customWidth="1"/>
    <col min="286" max="286" width="8.68359375" style="137" customWidth="1"/>
    <col min="287" max="292" width="4.68359375" style="138" customWidth="1"/>
    <col min="293" max="293" width="4.68359375" style="137" customWidth="1"/>
    <col min="294" max="294" width="8.68359375" style="137" customWidth="1"/>
    <col min="295" max="295" width="4.68359375" style="137" customWidth="1"/>
    <col min="296" max="296" width="8.68359375" style="137" customWidth="1"/>
    <col min="297" max="300" width="4.68359375" style="139" customWidth="1"/>
    <col min="301" max="301" width="8.68359375" style="137" customWidth="1"/>
    <col min="302" max="305" width="4.68359375" style="138" customWidth="1"/>
    <col min="306" max="306" width="4.68359375" style="137" customWidth="1"/>
    <col min="307" max="307" width="8.68359375" style="137" customWidth="1"/>
    <col min="308" max="313" width="4.68359375" style="138" customWidth="1"/>
    <col min="314" max="314" width="4.68359375" style="137" customWidth="1"/>
    <col min="315" max="315" width="8.68359375" style="137" customWidth="1"/>
    <col min="316" max="316" width="4.68359375" style="137" customWidth="1"/>
    <col min="317" max="317" width="8.68359375" style="137" customWidth="1"/>
    <col min="318" max="321" width="4.68359375" style="139" customWidth="1"/>
    <col min="322" max="322" width="8.68359375" style="137" customWidth="1"/>
    <col min="323" max="326" width="4.68359375" style="138" customWidth="1"/>
    <col min="327" max="327" width="4.68359375" style="137" customWidth="1"/>
    <col min="328" max="328" width="8.68359375" style="137" customWidth="1"/>
    <col min="329" max="334" width="4.68359375" style="138" customWidth="1"/>
    <col min="335" max="335" width="4.68359375" style="137" customWidth="1"/>
    <col min="336" max="336" width="8.68359375" style="137" customWidth="1"/>
    <col min="337" max="337" width="4.68359375" style="137" customWidth="1"/>
    <col min="338" max="338" width="8.68359375" style="137" customWidth="1"/>
    <col min="339" max="342" width="4.68359375" style="139" customWidth="1"/>
    <col min="343" max="343" width="8.68359375" style="137" customWidth="1"/>
    <col min="344" max="347" width="4.68359375" style="138" customWidth="1"/>
    <col min="348" max="348" width="4.68359375" style="137" customWidth="1"/>
    <col min="349" max="349" width="8.68359375" style="137" customWidth="1"/>
    <col min="350" max="355" width="4.68359375" style="138" customWidth="1"/>
    <col min="356" max="356" width="4.68359375" style="137" customWidth="1"/>
    <col min="357" max="357" width="8.68359375" style="137" customWidth="1"/>
    <col min="358" max="358" width="4.68359375" style="137" customWidth="1"/>
    <col min="359" max="359" width="8.68359375" style="137" customWidth="1"/>
    <col min="360" max="363" width="4.68359375" style="139" customWidth="1"/>
    <col min="364" max="364" width="8.68359375" style="137" customWidth="1"/>
    <col min="365" max="368" width="4.68359375" style="138" customWidth="1"/>
    <col min="369" max="369" width="4.68359375" style="137" customWidth="1"/>
    <col min="370" max="370" width="8.68359375" style="137" customWidth="1"/>
    <col min="371" max="376" width="4.68359375" style="138" customWidth="1"/>
    <col min="377" max="377" width="4.68359375" style="137" customWidth="1"/>
    <col min="378" max="378" width="8.68359375" style="137" customWidth="1"/>
    <col min="379" max="379" width="4.68359375" style="137" customWidth="1"/>
    <col min="380" max="380" width="8.68359375" style="137" customWidth="1"/>
    <col min="381" max="384" width="4.68359375" style="139" customWidth="1"/>
    <col min="385" max="385" width="8.68359375" style="137" customWidth="1"/>
    <col min="386" max="389" width="4.68359375" style="138" customWidth="1"/>
    <col min="390" max="390" width="4.68359375" style="137" customWidth="1"/>
    <col min="391" max="391" width="8.68359375" style="137" customWidth="1"/>
    <col min="392" max="397" width="4.68359375" style="138" customWidth="1"/>
    <col min="398" max="398" width="4.68359375" style="137" customWidth="1"/>
    <col min="399" max="399" width="8.68359375" style="137" customWidth="1"/>
    <col min="400" max="400" width="4.68359375" style="137" customWidth="1"/>
    <col min="401" max="401" width="8.68359375" style="137" customWidth="1"/>
    <col min="402" max="405" width="4.68359375" style="139" customWidth="1"/>
    <col min="406" max="406" width="8.68359375" style="137" customWidth="1"/>
    <col min="407" max="410" width="4.68359375" style="138" customWidth="1"/>
    <col min="411" max="411" width="4.68359375" style="137" customWidth="1"/>
    <col min="412" max="412" width="8.68359375" style="137" customWidth="1"/>
    <col min="413" max="418" width="4.68359375" style="138" customWidth="1"/>
    <col min="419" max="419" width="4.68359375" style="137" customWidth="1"/>
    <col min="420" max="420" width="8.68359375" style="137" customWidth="1"/>
    <col min="421" max="421" width="4.68359375" style="137" customWidth="1"/>
    <col min="422" max="422" width="8.68359375" style="137" customWidth="1"/>
    <col min="423" max="426" width="4.68359375" style="139" customWidth="1"/>
    <col min="427" max="427" width="8.68359375" style="137" customWidth="1"/>
    <col min="428" max="431" width="4.68359375" style="138" customWidth="1"/>
    <col min="432" max="432" width="4.68359375" style="137" customWidth="1"/>
    <col min="433" max="433" width="8.68359375" style="137" customWidth="1"/>
    <col min="434" max="439" width="4.68359375" style="138" customWidth="1"/>
    <col min="440" max="440" width="4.68359375" style="137" customWidth="1"/>
    <col min="441" max="441" width="8.68359375" style="137" customWidth="1"/>
    <col min="442" max="442" width="4.68359375" style="137" customWidth="1"/>
    <col min="443" max="443" width="8.68359375" style="137" customWidth="1"/>
    <col min="444" max="447" width="4.68359375" style="139" customWidth="1"/>
    <col min="448" max="448" width="8.68359375" style="137" customWidth="1"/>
    <col min="449" max="452" width="4.68359375" style="138" customWidth="1"/>
    <col min="453" max="453" width="4.68359375" style="137" customWidth="1"/>
    <col min="454" max="454" width="8.68359375" style="137" customWidth="1"/>
    <col min="455" max="460" width="4.68359375" style="138" customWidth="1"/>
    <col min="461" max="461" width="4.68359375" style="137" customWidth="1"/>
    <col min="462" max="462" width="8.68359375" style="137" customWidth="1"/>
    <col min="463" max="463" width="4.68359375" style="137" customWidth="1"/>
    <col min="464" max="464" width="8.68359375" style="137" customWidth="1"/>
    <col min="465" max="468" width="4.68359375" style="139" customWidth="1"/>
    <col min="469" max="469" width="8.68359375" style="137" customWidth="1"/>
    <col min="470" max="473" width="4.68359375" style="138" customWidth="1"/>
    <col min="474" max="474" width="4.68359375" style="137" customWidth="1"/>
    <col min="475" max="475" width="8.68359375" style="137" customWidth="1"/>
    <col min="476" max="481" width="4.68359375" style="138" customWidth="1"/>
    <col min="482" max="482" width="4.68359375" style="137" customWidth="1"/>
    <col min="483" max="483" width="8.68359375" style="137" customWidth="1"/>
    <col min="484" max="484" width="4.68359375" style="137" customWidth="1"/>
    <col min="485" max="485" width="8.68359375" style="137" customWidth="1"/>
    <col min="486" max="489" width="4.68359375" style="139" customWidth="1"/>
    <col min="490" max="490" width="8.68359375" style="137" customWidth="1"/>
    <col min="491" max="494" width="4.68359375" style="138" customWidth="1"/>
    <col min="495" max="495" width="4.68359375" style="137" customWidth="1"/>
    <col min="496" max="496" width="8.68359375" style="137" customWidth="1"/>
    <col min="497" max="502" width="4.68359375" style="138" customWidth="1"/>
    <col min="503" max="503" width="4.68359375" style="137" customWidth="1"/>
    <col min="504" max="504" width="8.68359375" style="137" customWidth="1"/>
    <col min="505" max="505" width="4.68359375" style="137" customWidth="1"/>
    <col min="506" max="506" width="8.68359375" style="137" customWidth="1"/>
    <col min="507" max="510" width="4.68359375" style="139" customWidth="1"/>
    <col min="511" max="511" width="8.68359375" style="137" customWidth="1"/>
    <col min="512" max="514" width="4.68359375" style="138" customWidth="1"/>
    <col min="515" max="515" width="4.68359375" style="137" customWidth="1"/>
    <col min="516" max="516" width="8.68359375" style="137" customWidth="1"/>
    <col min="517" max="519" width="4.68359375" style="138" customWidth="1"/>
    <col min="520" max="520" width="4.68359375" style="137" customWidth="1"/>
    <col min="521" max="521" width="8.68359375" style="137" customWidth="1"/>
    <col min="522" max="522" width="4.68359375" style="137" customWidth="1"/>
    <col min="523" max="523" width="8.68359375" style="137" customWidth="1"/>
    <col min="524" max="527" width="4.68359375" style="139" customWidth="1"/>
    <col min="528" max="528" width="8.68359375" style="137" customWidth="1"/>
    <col min="529" max="531" width="4.68359375" style="138" customWidth="1"/>
    <col min="532" max="532" width="4.68359375" style="137" customWidth="1"/>
    <col min="533" max="533" width="8.68359375" style="137" customWidth="1"/>
    <col min="534" max="536" width="4.68359375" style="138" customWidth="1"/>
    <col min="537" max="537" width="4.68359375" style="137" customWidth="1"/>
    <col min="538" max="538" width="8.68359375" style="137" customWidth="1"/>
    <col min="539" max="539" width="4.68359375" style="137" customWidth="1"/>
    <col min="540" max="540" width="8.68359375" style="137" customWidth="1"/>
    <col min="541" max="544" width="4.68359375" style="139" customWidth="1"/>
    <col min="545" max="545" width="8.68359375" style="137" customWidth="1"/>
    <col min="546" max="548" width="4.68359375" style="138" customWidth="1"/>
    <col min="549" max="549" width="4.68359375" style="137" customWidth="1"/>
    <col min="550" max="550" width="8.68359375" style="137" customWidth="1"/>
    <col min="551" max="553" width="4.68359375" style="138" customWidth="1"/>
    <col min="554" max="554" width="4.68359375" style="137" customWidth="1"/>
    <col min="555" max="555" width="8.68359375" style="137" customWidth="1"/>
    <col min="556" max="556" width="4.68359375" style="137" customWidth="1"/>
    <col min="557" max="557" width="8.68359375" style="137" customWidth="1"/>
    <col min="558" max="561" width="4.68359375" style="139" customWidth="1"/>
    <col min="562" max="562" width="8.68359375" style="137" customWidth="1"/>
    <col min="563" max="565" width="4.68359375" style="138" customWidth="1"/>
    <col min="566" max="566" width="4.68359375" style="137" customWidth="1"/>
    <col min="567" max="567" width="8.68359375" style="137" customWidth="1"/>
    <col min="568" max="570" width="4.68359375" style="138" customWidth="1"/>
    <col min="571" max="571" width="4.68359375" style="137" customWidth="1"/>
    <col min="572" max="572" width="8.68359375" style="137" customWidth="1"/>
    <col min="573" max="573" width="4.68359375" style="137" customWidth="1"/>
    <col min="574" max="574" width="8.68359375" style="137" customWidth="1"/>
    <col min="575" max="578" width="4.68359375" style="139" customWidth="1"/>
    <col min="579" max="579" width="8.68359375" style="137" customWidth="1"/>
    <col min="580" max="582" width="4.68359375" style="138" customWidth="1"/>
    <col min="583" max="583" width="4.68359375" style="137" customWidth="1"/>
    <col min="584" max="584" width="8.68359375" style="137" customWidth="1"/>
    <col min="585" max="587" width="4.68359375" style="138" customWidth="1"/>
    <col min="588" max="588" width="4.68359375" style="137" customWidth="1"/>
    <col min="589" max="589" width="8.68359375" style="137" customWidth="1"/>
    <col min="590" max="590" width="4.68359375" style="137" customWidth="1"/>
    <col min="591" max="591" width="8.68359375" style="137" customWidth="1"/>
    <col min="592" max="595" width="4.68359375" style="139" customWidth="1"/>
    <col min="596" max="596" width="8.68359375" style="137" customWidth="1"/>
    <col min="597" max="599" width="4.68359375" style="138" customWidth="1"/>
    <col min="600" max="600" width="4.68359375" style="137" customWidth="1"/>
    <col min="601" max="601" width="8.68359375" style="137" customWidth="1"/>
    <col min="602" max="604" width="4.68359375" style="138" customWidth="1"/>
    <col min="605" max="605" width="4.68359375" style="137" customWidth="1"/>
    <col min="606" max="606" width="8.68359375" style="137" customWidth="1"/>
    <col min="607" max="607" width="4.68359375" style="137" customWidth="1"/>
    <col min="608" max="608" width="8.68359375" style="137" customWidth="1"/>
    <col min="609" max="16384" width="5.68359375" style="64"/>
  </cols>
  <sheetData>
    <row r="1" spans="1:608" ht="18" customHeight="1" thickBot="1" x14ac:dyDescent="0.6">
      <c r="A1" s="219" t="s">
        <v>42</v>
      </c>
      <c r="B1" s="220"/>
      <c r="C1" s="150">
        <v>4</v>
      </c>
      <c r="D1" s="60"/>
      <c r="E1" s="60"/>
      <c r="F1" s="155"/>
      <c r="G1" s="156"/>
      <c r="H1" s="154"/>
      <c r="I1" s="62"/>
      <c r="J1" s="62"/>
      <c r="K1" s="62"/>
      <c r="L1" s="156"/>
      <c r="M1" s="156"/>
      <c r="N1" s="154"/>
      <c r="O1" s="62"/>
      <c r="P1" s="62"/>
      <c r="Q1" s="62"/>
      <c r="R1" s="62"/>
      <c r="S1" s="62"/>
      <c r="T1" s="156"/>
      <c r="U1" s="156"/>
      <c r="V1" s="156"/>
      <c r="W1" s="177"/>
      <c r="X1" s="194">
        <f>C1+1</f>
        <v>5</v>
      </c>
      <c r="Y1" s="60"/>
      <c r="Z1" s="60"/>
      <c r="AA1" s="155"/>
      <c r="AB1" s="156"/>
      <c r="AC1" s="154"/>
      <c r="AD1" s="62"/>
      <c r="AE1" s="62"/>
      <c r="AF1" s="62"/>
      <c r="AG1" s="156"/>
      <c r="AH1" s="156"/>
      <c r="AI1" s="154"/>
      <c r="AJ1" s="62"/>
      <c r="AK1" s="62"/>
      <c r="AL1" s="62"/>
      <c r="AM1" s="62"/>
      <c r="AN1" s="62"/>
      <c r="AO1" s="156"/>
      <c r="AP1" s="156"/>
      <c r="AQ1" s="156"/>
      <c r="AR1" s="156"/>
      <c r="AS1" s="194">
        <f>X1+1</f>
        <v>6</v>
      </c>
      <c r="AT1" s="60"/>
      <c r="AU1" s="60"/>
      <c r="AV1" s="155"/>
      <c r="AW1" s="156"/>
      <c r="AX1" s="154"/>
      <c r="AY1" s="62"/>
      <c r="AZ1" s="62"/>
      <c r="BA1" s="62"/>
      <c r="BB1" s="156"/>
      <c r="BC1" s="156"/>
      <c r="BD1" s="154"/>
      <c r="BE1" s="62"/>
      <c r="BF1" s="62"/>
      <c r="BG1" s="62"/>
      <c r="BH1" s="62"/>
      <c r="BI1" s="62"/>
      <c r="BJ1" s="156"/>
      <c r="BK1" s="156"/>
      <c r="BL1" s="156"/>
      <c r="BM1" s="156"/>
      <c r="BN1" s="194">
        <f>AS1+1</f>
        <v>7</v>
      </c>
      <c r="BO1" s="60"/>
      <c r="BP1" s="60"/>
      <c r="BQ1" s="155"/>
      <c r="BR1" s="156"/>
      <c r="BS1" s="154"/>
      <c r="BT1" s="62"/>
      <c r="BU1" s="62"/>
      <c r="BV1" s="62"/>
      <c r="BW1" s="156"/>
      <c r="BX1" s="156"/>
      <c r="BY1" s="154"/>
      <c r="BZ1" s="62"/>
      <c r="CA1" s="62"/>
      <c r="CB1" s="62"/>
      <c r="CC1" s="62"/>
      <c r="CD1" s="62"/>
      <c r="CE1" s="156"/>
      <c r="CF1" s="156"/>
      <c r="CG1" s="156"/>
      <c r="CH1" s="156"/>
      <c r="CI1" s="194">
        <f>BN1+1</f>
        <v>8</v>
      </c>
      <c r="CJ1" s="60"/>
      <c r="CK1" s="60"/>
      <c r="CL1" s="155"/>
      <c r="CM1" s="156"/>
      <c r="CN1" s="154"/>
      <c r="CO1" s="62"/>
      <c r="CP1" s="62"/>
      <c r="CQ1" s="62"/>
      <c r="CR1" s="156"/>
      <c r="CS1" s="156"/>
      <c r="CT1" s="154"/>
      <c r="CU1" s="62"/>
      <c r="CV1" s="62"/>
      <c r="CW1" s="62"/>
      <c r="CX1" s="62"/>
      <c r="CY1" s="62"/>
      <c r="CZ1" s="156"/>
      <c r="DA1" s="156"/>
      <c r="DB1" s="156"/>
      <c r="DC1" s="156"/>
      <c r="DD1" s="194">
        <f>CI1+1</f>
        <v>9</v>
      </c>
      <c r="DE1" s="60"/>
      <c r="DF1" s="60"/>
      <c r="DG1" s="155"/>
      <c r="DH1" s="156"/>
      <c r="DI1" s="154"/>
      <c r="DJ1" s="62"/>
      <c r="DK1" s="62"/>
      <c r="DL1" s="62"/>
      <c r="DM1" s="156"/>
      <c r="DN1" s="156"/>
      <c r="DO1" s="154"/>
      <c r="DP1" s="62"/>
      <c r="DQ1" s="62"/>
      <c r="DR1" s="62"/>
      <c r="DS1" s="62"/>
      <c r="DT1" s="62"/>
      <c r="DU1" s="156"/>
      <c r="DV1" s="156"/>
      <c r="DW1" s="156"/>
      <c r="DX1" s="156"/>
      <c r="DY1" s="194">
        <f>DD1+1</f>
        <v>10</v>
      </c>
      <c r="DZ1" s="60"/>
      <c r="EA1" s="60"/>
      <c r="EB1" s="155"/>
      <c r="EC1" s="156"/>
      <c r="ED1" s="154"/>
      <c r="EE1" s="62"/>
      <c r="EF1" s="62"/>
      <c r="EG1" s="62"/>
      <c r="EH1" s="156"/>
      <c r="EI1" s="156"/>
      <c r="EJ1" s="154"/>
      <c r="EK1" s="62"/>
      <c r="EL1" s="62"/>
      <c r="EM1" s="62"/>
      <c r="EN1" s="62"/>
      <c r="EO1" s="62"/>
      <c r="EP1" s="156"/>
      <c r="EQ1" s="156"/>
      <c r="ER1" s="156"/>
      <c r="ES1" s="156"/>
      <c r="ET1" s="194">
        <f>DY1+1</f>
        <v>11</v>
      </c>
      <c r="EU1" s="60"/>
      <c r="EV1" s="60"/>
      <c r="EW1" s="155"/>
      <c r="EX1" s="156"/>
      <c r="EY1" s="154"/>
      <c r="EZ1" s="62"/>
      <c r="FA1" s="62"/>
      <c r="FB1" s="62"/>
      <c r="FC1" s="156"/>
      <c r="FD1" s="156"/>
      <c r="FE1" s="154"/>
      <c r="FF1" s="62"/>
      <c r="FG1" s="62"/>
      <c r="FH1" s="62"/>
      <c r="FI1" s="62"/>
      <c r="FJ1" s="62"/>
      <c r="FK1" s="156"/>
      <c r="FL1" s="156"/>
      <c r="FM1" s="156"/>
      <c r="FN1" s="156"/>
      <c r="FO1" s="194">
        <f>ET1+1</f>
        <v>12</v>
      </c>
      <c r="FP1" s="60"/>
      <c r="FQ1" s="60"/>
      <c r="FR1" s="155"/>
      <c r="FS1" s="156"/>
      <c r="FT1" s="154"/>
      <c r="FU1" s="62"/>
      <c r="FV1" s="62"/>
      <c r="FW1" s="62"/>
      <c r="FX1" s="156"/>
      <c r="FY1" s="156"/>
      <c r="FZ1" s="154"/>
      <c r="GA1" s="62"/>
      <c r="GB1" s="62"/>
      <c r="GC1" s="62"/>
      <c r="GD1" s="62"/>
      <c r="GE1" s="62"/>
      <c r="GF1" s="156"/>
      <c r="GG1" s="156"/>
      <c r="GH1" s="156"/>
      <c r="GI1" s="156"/>
      <c r="GJ1" s="194">
        <f>FO1+1</f>
        <v>13</v>
      </c>
      <c r="GK1" s="60"/>
      <c r="GL1" s="60"/>
      <c r="GM1" s="155"/>
      <c r="GN1" s="156"/>
      <c r="GO1" s="154"/>
      <c r="GP1" s="62"/>
      <c r="GQ1" s="62"/>
      <c r="GR1" s="62"/>
      <c r="GS1" s="156"/>
      <c r="GT1" s="156"/>
      <c r="GU1" s="154"/>
      <c r="GV1" s="62"/>
      <c r="GW1" s="62"/>
      <c r="GX1" s="62"/>
      <c r="GY1" s="62"/>
      <c r="GZ1" s="62"/>
      <c r="HA1" s="156"/>
      <c r="HB1" s="156"/>
      <c r="HC1" s="156"/>
      <c r="HD1" s="156"/>
      <c r="HE1" s="194">
        <f>GJ1+1</f>
        <v>14</v>
      </c>
      <c r="HF1" s="60"/>
      <c r="HG1" s="60"/>
      <c r="HH1" s="155"/>
      <c r="HI1" s="156"/>
      <c r="HJ1" s="154"/>
      <c r="HK1" s="62"/>
      <c r="HL1" s="62"/>
      <c r="HM1" s="62"/>
      <c r="HN1" s="156"/>
      <c r="HO1" s="156"/>
      <c r="HP1" s="154"/>
      <c r="HQ1" s="62"/>
      <c r="HR1" s="62"/>
      <c r="HS1" s="62"/>
      <c r="HT1" s="62"/>
      <c r="HU1" s="62"/>
      <c r="HV1" s="156"/>
      <c r="HW1" s="156"/>
      <c r="HX1" s="156"/>
      <c r="HY1" s="156"/>
      <c r="HZ1" s="194">
        <f>HE1+1</f>
        <v>15</v>
      </c>
      <c r="IA1" s="60"/>
      <c r="IB1" s="60"/>
      <c r="IC1" s="155"/>
      <c r="ID1" s="156"/>
      <c r="IE1" s="154"/>
      <c r="IF1" s="62"/>
      <c r="IG1" s="62"/>
      <c r="IH1" s="62"/>
      <c r="II1" s="156"/>
      <c r="IJ1" s="156"/>
      <c r="IK1" s="154"/>
      <c r="IL1" s="62"/>
      <c r="IM1" s="62"/>
      <c r="IN1" s="62"/>
      <c r="IO1" s="62"/>
      <c r="IP1" s="62"/>
      <c r="IQ1" s="156"/>
      <c r="IR1" s="156"/>
      <c r="IS1" s="156"/>
      <c r="IT1" s="156"/>
      <c r="IU1" s="194">
        <f>HZ1+1</f>
        <v>16</v>
      </c>
      <c r="IV1" s="60"/>
      <c r="IW1" s="60"/>
      <c r="IX1" s="155"/>
      <c r="IY1" s="156"/>
      <c r="IZ1" s="154"/>
      <c r="JA1" s="62"/>
      <c r="JB1" s="62"/>
      <c r="JC1" s="62"/>
      <c r="JD1" s="156"/>
      <c r="JE1" s="156"/>
      <c r="JF1" s="154"/>
      <c r="JG1" s="62"/>
      <c r="JH1" s="62"/>
      <c r="JI1" s="62"/>
      <c r="JJ1" s="62"/>
      <c r="JK1" s="62"/>
      <c r="JL1" s="156"/>
      <c r="JM1" s="156"/>
      <c r="JN1" s="156"/>
      <c r="JO1" s="156"/>
      <c r="JP1" s="194">
        <f>IU1+1</f>
        <v>17</v>
      </c>
      <c r="JQ1" s="60"/>
      <c r="JR1" s="60"/>
      <c r="JS1" s="155"/>
      <c r="JT1" s="156"/>
      <c r="JU1" s="154"/>
      <c r="JV1" s="62"/>
      <c r="JW1" s="62"/>
      <c r="JX1" s="62"/>
      <c r="JY1" s="156"/>
      <c r="JZ1" s="156"/>
      <c r="KA1" s="154"/>
      <c r="KB1" s="62"/>
      <c r="KC1" s="62"/>
      <c r="KD1" s="62"/>
      <c r="KE1" s="62"/>
      <c r="KF1" s="62"/>
      <c r="KG1" s="156"/>
      <c r="KH1" s="156"/>
      <c r="KI1" s="156"/>
      <c r="KJ1" s="156"/>
      <c r="KK1" s="194">
        <f>JP1+1</f>
        <v>18</v>
      </c>
      <c r="KL1" s="60"/>
      <c r="KM1" s="60"/>
      <c r="KN1" s="155"/>
      <c r="KO1" s="156"/>
      <c r="KP1" s="154"/>
      <c r="KQ1" s="62"/>
      <c r="KR1" s="62"/>
      <c r="KS1" s="62"/>
      <c r="KT1" s="156"/>
      <c r="KU1" s="156"/>
      <c r="KV1" s="154"/>
      <c r="KW1" s="62"/>
      <c r="KX1" s="62"/>
      <c r="KY1" s="62"/>
      <c r="KZ1" s="62"/>
      <c r="LA1" s="62"/>
      <c r="LB1" s="156"/>
      <c r="LC1" s="156"/>
      <c r="LD1" s="156"/>
      <c r="LE1" s="156"/>
      <c r="LF1" s="194">
        <f>KK1+1</f>
        <v>19</v>
      </c>
      <c r="LG1" s="60"/>
      <c r="LH1" s="60"/>
      <c r="LI1" s="155"/>
      <c r="LJ1" s="156"/>
      <c r="LK1" s="154"/>
      <c r="LL1" s="62"/>
      <c r="LM1" s="62"/>
      <c r="LN1" s="62"/>
      <c r="LO1" s="156"/>
      <c r="LP1" s="156"/>
      <c r="LQ1" s="154"/>
      <c r="LR1" s="62"/>
      <c r="LS1" s="62"/>
      <c r="LT1" s="62"/>
      <c r="LU1" s="62"/>
      <c r="LV1" s="62"/>
      <c r="LW1" s="156"/>
      <c r="LX1" s="156"/>
      <c r="LY1" s="156"/>
      <c r="LZ1" s="156"/>
      <c r="MA1" s="194">
        <f>LF1+1</f>
        <v>20</v>
      </c>
      <c r="MB1" s="60"/>
      <c r="MC1" s="60"/>
      <c r="MD1" s="155"/>
      <c r="ME1" s="156"/>
      <c r="MF1" s="154"/>
      <c r="MG1" s="62"/>
      <c r="MH1" s="62"/>
      <c r="MI1" s="62"/>
      <c r="MJ1" s="156"/>
      <c r="MK1" s="156"/>
      <c r="ML1" s="154"/>
      <c r="MM1" s="62"/>
      <c r="MN1" s="62"/>
      <c r="MO1" s="62"/>
      <c r="MP1" s="62"/>
      <c r="MQ1" s="62"/>
      <c r="MR1" s="156"/>
      <c r="MS1" s="156"/>
      <c r="MT1" s="156"/>
      <c r="MU1" s="156"/>
      <c r="MV1" s="194">
        <f>MA1+1</f>
        <v>21</v>
      </c>
      <c r="MW1" s="60"/>
      <c r="MX1" s="60"/>
      <c r="MY1" s="155"/>
      <c r="MZ1" s="156"/>
      <c r="NA1" s="154"/>
      <c r="NB1" s="62"/>
      <c r="NC1" s="62"/>
      <c r="ND1" s="62"/>
      <c r="NE1" s="156"/>
      <c r="NF1" s="156"/>
      <c r="NG1" s="154"/>
      <c r="NH1" s="62"/>
      <c r="NI1" s="62"/>
      <c r="NJ1" s="62"/>
      <c r="NK1" s="62"/>
      <c r="NL1" s="62"/>
      <c r="NM1" s="156"/>
      <c r="NN1" s="156"/>
      <c r="NO1" s="156"/>
      <c r="NP1" s="156"/>
      <c r="NQ1" s="194">
        <f>MV1+1</f>
        <v>22</v>
      </c>
      <c r="NR1" s="60"/>
      <c r="NS1" s="60"/>
      <c r="NT1" s="155"/>
      <c r="NU1" s="156"/>
      <c r="NV1" s="154"/>
      <c r="NW1" s="62"/>
      <c r="NX1" s="62"/>
      <c r="NY1" s="62"/>
      <c r="NZ1" s="156"/>
      <c r="OA1" s="156"/>
      <c r="OB1" s="154"/>
      <c r="OC1" s="62"/>
      <c r="OD1" s="62"/>
      <c r="OE1" s="62"/>
      <c r="OF1" s="62"/>
      <c r="OG1" s="62"/>
      <c r="OH1" s="156"/>
      <c r="OI1" s="156"/>
      <c r="OJ1" s="156"/>
      <c r="OK1" s="156"/>
      <c r="OL1" s="194">
        <f>NQ1+1</f>
        <v>23</v>
      </c>
      <c r="OM1" s="60"/>
      <c r="ON1" s="60"/>
      <c r="OO1" s="155"/>
      <c r="OP1" s="156"/>
      <c r="OQ1" s="154"/>
      <c r="OR1" s="62"/>
      <c r="OS1" s="62"/>
      <c r="OT1" s="62"/>
      <c r="OU1" s="156"/>
      <c r="OV1" s="156"/>
      <c r="OW1" s="154"/>
      <c r="OX1" s="62"/>
      <c r="OY1" s="62"/>
      <c r="OZ1" s="62"/>
      <c r="PA1" s="62"/>
      <c r="PB1" s="62"/>
      <c r="PC1" s="156"/>
      <c r="PD1" s="156"/>
      <c r="PE1" s="156"/>
      <c r="PF1" s="156"/>
      <c r="PG1" s="194">
        <f>OL1+1</f>
        <v>24</v>
      </c>
      <c r="PH1" s="60"/>
      <c r="PI1" s="60"/>
      <c r="PJ1" s="155"/>
      <c r="PK1" s="156"/>
      <c r="PL1" s="154"/>
      <c r="PM1" s="62"/>
      <c r="PN1" s="62"/>
      <c r="PO1" s="62"/>
      <c r="PP1" s="156"/>
      <c r="PQ1" s="156"/>
      <c r="PR1" s="154"/>
      <c r="PS1" s="62"/>
      <c r="PT1" s="62"/>
      <c r="PU1" s="62"/>
      <c r="PV1" s="62"/>
      <c r="PW1" s="62"/>
      <c r="PX1" s="156"/>
      <c r="PY1" s="156"/>
      <c r="PZ1" s="156"/>
      <c r="QA1" s="156"/>
      <c r="QB1" s="194">
        <f>PG1+1</f>
        <v>25</v>
      </c>
      <c r="QC1" s="60"/>
      <c r="QD1" s="60"/>
      <c r="QE1" s="155"/>
      <c r="QF1" s="156"/>
      <c r="QG1" s="154"/>
      <c r="QH1" s="62"/>
      <c r="QI1" s="62"/>
      <c r="QJ1" s="62"/>
      <c r="QK1" s="156"/>
      <c r="QL1" s="156"/>
      <c r="QM1" s="154"/>
      <c r="QN1" s="62"/>
      <c r="QO1" s="62"/>
      <c r="QP1" s="62"/>
      <c r="QQ1" s="62"/>
      <c r="QR1" s="62"/>
      <c r="QS1" s="156"/>
      <c r="QT1" s="156"/>
      <c r="QU1" s="156"/>
      <c r="QV1" s="156"/>
      <c r="QW1" s="194">
        <f>QB1+1</f>
        <v>26</v>
      </c>
      <c r="QX1" s="60"/>
      <c r="QY1" s="60"/>
      <c r="QZ1" s="155"/>
      <c r="RA1" s="156"/>
      <c r="RB1" s="154"/>
      <c r="RC1" s="62"/>
      <c r="RD1" s="62"/>
      <c r="RE1" s="62"/>
      <c r="RF1" s="156"/>
      <c r="RG1" s="156"/>
      <c r="RH1" s="154"/>
      <c r="RI1" s="62"/>
      <c r="RJ1" s="62"/>
      <c r="RK1" s="62"/>
      <c r="RL1" s="62"/>
      <c r="RM1" s="62"/>
      <c r="RN1" s="156"/>
      <c r="RO1" s="156"/>
      <c r="RP1" s="156"/>
      <c r="RQ1" s="156"/>
      <c r="RR1" s="194">
        <f>QW1+1</f>
        <v>27</v>
      </c>
      <c r="RS1" s="60"/>
      <c r="RT1" s="60"/>
      <c r="RU1" s="155"/>
      <c r="RV1" s="156"/>
      <c r="RW1" s="154"/>
      <c r="RX1" s="62"/>
      <c r="RY1" s="62"/>
      <c r="RZ1" s="62"/>
      <c r="SA1" s="156"/>
      <c r="SB1" s="156"/>
      <c r="SC1" s="154"/>
      <c r="SD1" s="62"/>
      <c r="SE1" s="62"/>
      <c r="SF1" s="62"/>
      <c r="SG1" s="62"/>
      <c r="SH1" s="62"/>
      <c r="SI1" s="156"/>
      <c r="SJ1" s="156"/>
      <c r="SK1" s="156"/>
      <c r="SL1" s="156"/>
      <c r="SM1" s="63">
        <f>RR1+1</f>
        <v>28</v>
      </c>
      <c r="SN1" s="60"/>
      <c r="SO1" s="60"/>
      <c r="SP1" s="60"/>
      <c r="SQ1" s="61"/>
      <c r="SR1" s="62"/>
      <c r="SS1" s="62"/>
      <c r="ST1" s="62"/>
      <c r="SU1" s="61"/>
      <c r="SV1" s="61"/>
      <c r="SW1" s="62"/>
      <c r="SX1" s="62"/>
      <c r="SY1" s="62"/>
      <c r="SZ1" s="61"/>
      <c r="TA1" s="61"/>
      <c r="TB1" s="61"/>
      <c r="TC1" s="61"/>
      <c r="TD1" s="63">
        <f>SM1+1</f>
        <v>29</v>
      </c>
      <c r="TE1" s="60"/>
      <c r="TF1" s="60"/>
      <c r="TG1" s="60"/>
      <c r="TH1" s="61"/>
      <c r="TI1" s="62"/>
      <c r="TJ1" s="62"/>
      <c r="TK1" s="62"/>
      <c r="TL1" s="61"/>
      <c r="TM1" s="61"/>
      <c r="TN1" s="62"/>
      <c r="TO1" s="62"/>
      <c r="TP1" s="62"/>
      <c r="TQ1" s="61"/>
      <c r="TR1" s="61"/>
      <c r="TS1" s="61"/>
      <c r="TT1" s="61"/>
      <c r="TU1" s="63">
        <f>TD1+1</f>
        <v>30</v>
      </c>
      <c r="TV1" s="60"/>
      <c r="TW1" s="60"/>
      <c r="TX1" s="60"/>
      <c r="TY1" s="61"/>
      <c r="TZ1" s="62"/>
      <c r="UA1" s="62"/>
      <c r="UB1" s="62"/>
      <c r="UC1" s="61"/>
      <c r="UD1" s="61"/>
      <c r="UE1" s="62"/>
      <c r="UF1" s="62"/>
      <c r="UG1" s="62"/>
      <c r="UH1" s="61"/>
      <c r="UI1" s="61"/>
      <c r="UJ1" s="61"/>
      <c r="UK1" s="61"/>
      <c r="UL1" s="63">
        <f>TU1+1</f>
        <v>31</v>
      </c>
      <c r="UM1" s="60"/>
      <c r="UN1" s="60"/>
      <c r="UO1" s="60"/>
      <c r="UP1" s="61"/>
      <c r="UQ1" s="62"/>
      <c r="UR1" s="62"/>
      <c r="US1" s="62"/>
      <c r="UT1" s="61"/>
      <c r="UU1" s="61"/>
      <c r="UV1" s="62"/>
      <c r="UW1" s="62"/>
      <c r="UX1" s="62"/>
      <c r="UY1" s="61"/>
      <c r="UZ1" s="61"/>
      <c r="VA1" s="61"/>
      <c r="VB1" s="61"/>
      <c r="VC1" s="63">
        <f>UL1+1</f>
        <v>32</v>
      </c>
      <c r="VD1" s="60"/>
      <c r="VE1" s="60"/>
      <c r="VF1" s="60"/>
      <c r="VG1" s="61"/>
      <c r="VH1" s="62"/>
      <c r="VI1" s="62"/>
      <c r="VJ1" s="62"/>
      <c r="VK1" s="61"/>
      <c r="VL1" s="61"/>
      <c r="VM1" s="62"/>
      <c r="VN1" s="62"/>
      <c r="VO1" s="62"/>
      <c r="VP1" s="61"/>
      <c r="VQ1" s="61"/>
      <c r="VR1" s="61"/>
      <c r="VS1" s="61"/>
      <c r="VT1" s="63">
        <f>VC1+1</f>
        <v>33</v>
      </c>
      <c r="VU1" s="60"/>
      <c r="VV1" s="60"/>
      <c r="VW1" s="60"/>
      <c r="VX1" s="61"/>
      <c r="VY1" s="62"/>
      <c r="VZ1" s="62"/>
      <c r="WA1" s="62"/>
      <c r="WB1" s="61"/>
      <c r="WC1" s="61"/>
      <c r="WD1" s="62"/>
      <c r="WE1" s="62"/>
      <c r="WF1" s="62"/>
      <c r="WG1" s="61"/>
      <c r="WH1" s="61"/>
      <c r="WI1" s="61"/>
      <c r="WJ1" s="61"/>
    </row>
    <row r="2" spans="1:608" ht="60" customHeight="1" thickBot="1" x14ac:dyDescent="0.6">
      <c r="A2" s="140" t="s">
        <v>41</v>
      </c>
      <c r="B2" s="141" t="s">
        <v>193</v>
      </c>
      <c r="C2" s="151" t="str">
        <f ca="1">IF(CELL("contenu",INDIRECT(ADDRESS(C1,1,1,1,CELL("contenu",$B$2))))="","----",CELL("contenu",INDIRECT(ADDRESS(C1,1,1,1,CELL("contenu",$B$2)))))</f>
        <v>BESSON Laura</v>
      </c>
      <c r="D2" s="149"/>
      <c r="E2" s="149"/>
      <c r="F2" s="151"/>
      <c r="G2" s="151"/>
      <c r="H2" s="151"/>
      <c r="I2" s="149"/>
      <c r="J2" s="149"/>
      <c r="K2" s="149"/>
      <c r="L2" s="151"/>
      <c r="M2" s="151"/>
      <c r="N2" s="151"/>
      <c r="O2" s="149"/>
      <c r="P2" s="149"/>
      <c r="Q2" s="149"/>
      <c r="R2" s="149"/>
      <c r="S2" s="149"/>
      <c r="T2" s="151"/>
      <c r="U2" s="151"/>
      <c r="V2" s="151"/>
      <c r="W2" s="178"/>
      <c r="X2" s="151" t="str">
        <f ca="1">IF(CELL("contenu",INDIRECT(ADDRESS(X1,1,1,1,CELL("contenu",$B$2))))="","----",CELL("contenu",INDIRECT(ADDRESS(X1,1,1,1,CELL("contenu",$B$2)))))</f>
        <v>BRILLON Lison</v>
      </c>
      <c r="Y2" s="149"/>
      <c r="Z2" s="149"/>
      <c r="AA2" s="151"/>
      <c r="AB2" s="151"/>
      <c r="AC2" s="151"/>
      <c r="AD2" s="149"/>
      <c r="AE2" s="149"/>
      <c r="AF2" s="149"/>
      <c r="AG2" s="151"/>
      <c r="AH2" s="151"/>
      <c r="AI2" s="151"/>
      <c r="AJ2" s="149"/>
      <c r="AK2" s="149"/>
      <c r="AL2" s="149"/>
      <c r="AM2" s="149"/>
      <c r="AN2" s="149"/>
      <c r="AO2" s="151"/>
      <c r="AP2" s="151"/>
      <c r="AQ2" s="151"/>
      <c r="AR2" s="178"/>
      <c r="AS2" s="151" t="str">
        <f ca="1">IF(CELL("contenu",INDIRECT(ADDRESS(AS1,1,1,1,CELL("contenu",$B$2))))="","----",CELL("contenu",INDIRECT(ADDRESS(AS1,1,1,1,CELL("contenu",$B$2)))))</f>
        <v>CARLES Therese</v>
      </c>
      <c r="AT2" s="149"/>
      <c r="AU2" s="149"/>
      <c r="AV2" s="151"/>
      <c r="AW2" s="151"/>
      <c r="AX2" s="151"/>
      <c r="AY2" s="149"/>
      <c r="AZ2" s="149"/>
      <c r="BA2" s="149"/>
      <c r="BB2" s="151"/>
      <c r="BC2" s="151"/>
      <c r="BD2" s="151"/>
      <c r="BE2" s="149"/>
      <c r="BF2" s="149"/>
      <c r="BG2" s="149"/>
      <c r="BH2" s="149"/>
      <c r="BI2" s="149"/>
      <c r="BJ2" s="151"/>
      <c r="BK2" s="151"/>
      <c r="BL2" s="151"/>
      <c r="BM2" s="178"/>
      <c r="BN2" s="151" t="str">
        <f ca="1">IF(CELL("contenu",INDIRECT(ADDRESS(BN1,1,1,1,CELL("contenu",$B$2))))="","----",CELL("contenu",INDIRECT(ADDRESS(BN1,1,1,1,CELL("contenu",$B$2)))))</f>
        <v>COSTA Louise</v>
      </c>
      <c r="BO2" s="149"/>
      <c r="BP2" s="149"/>
      <c r="BQ2" s="151"/>
      <c r="BR2" s="151"/>
      <c r="BS2" s="151"/>
      <c r="BT2" s="149"/>
      <c r="BU2" s="149"/>
      <c r="BV2" s="149"/>
      <c r="BW2" s="151"/>
      <c r="BX2" s="151"/>
      <c r="BY2" s="151"/>
      <c r="BZ2" s="149"/>
      <c r="CA2" s="149"/>
      <c r="CB2" s="149"/>
      <c r="CC2" s="149"/>
      <c r="CD2" s="149"/>
      <c r="CE2" s="151"/>
      <c r="CF2" s="151"/>
      <c r="CG2" s="151"/>
      <c r="CH2" s="178"/>
      <c r="CI2" s="151" t="str">
        <f ca="1">IF(CELL("contenu",INDIRECT(ADDRESS(CI1,1,1,1,CELL("contenu",$B$2))))="","----",CELL("contenu",INDIRECT(ADDRESS(CI1,1,1,1,CELL("contenu",$B$2)))))</f>
        <v>DOUCET Leopold</v>
      </c>
      <c r="CJ2" s="149"/>
      <c r="CK2" s="149"/>
      <c r="CL2" s="151"/>
      <c r="CM2" s="151"/>
      <c r="CN2" s="151"/>
      <c r="CO2" s="149"/>
      <c r="CP2" s="149"/>
      <c r="CQ2" s="149"/>
      <c r="CR2" s="151"/>
      <c r="CS2" s="151"/>
      <c r="CT2" s="151"/>
      <c r="CU2" s="149"/>
      <c r="CV2" s="149"/>
      <c r="CW2" s="149"/>
      <c r="CX2" s="149"/>
      <c r="CY2" s="149"/>
      <c r="CZ2" s="151"/>
      <c r="DA2" s="151"/>
      <c r="DB2" s="151"/>
      <c r="DC2" s="178"/>
      <c r="DD2" s="151" t="str">
        <f ca="1">IF(CELL("contenu",INDIRECT(ADDRESS(DD1,1,1,1,CELL("contenu",$B$2))))="","----",CELL("contenu",INDIRECT(ADDRESS(DD1,1,1,1,CELL("contenu",$B$2)))))</f>
        <v>DU PEYROUX Zelie</v>
      </c>
      <c r="DE2" s="149"/>
      <c r="DF2" s="149"/>
      <c r="DG2" s="151"/>
      <c r="DH2" s="151"/>
      <c r="DI2" s="151"/>
      <c r="DJ2" s="149"/>
      <c r="DK2" s="149"/>
      <c r="DL2" s="149"/>
      <c r="DM2" s="151"/>
      <c r="DN2" s="151"/>
      <c r="DO2" s="151"/>
      <c r="DP2" s="149"/>
      <c r="DQ2" s="149"/>
      <c r="DR2" s="149"/>
      <c r="DS2" s="149"/>
      <c r="DT2" s="149"/>
      <c r="DU2" s="151"/>
      <c r="DV2" s="151"/>
      <c r="DW2" s="151"/>
      <c r="DX2" s="178"/>
      <c r="DY2" s="151" t="str">
        <f ca="1">IF(CELL("contenu",INDIRECT(ADDRESS(DY1,1,1,1,CELL("contenu",$B$2))))="","----",CELL("contenu",INDIRECT(ADDRESS(DY1,1,1,1,CELL("contenu",$B$2)))))</f>
        <v>DUMONT Hector</v>
      </c>
      <c r="DZ2" s="149"/>
      <c r="EA2" s="149"/>
      <c r="EB2" s="151"/>
      <c r="EC2" s="151"/>
      <c r="ED2" s="151"/>
      <c r="EE2" s="149"/>
      <c r="EF2" s="149"/>
      <c r="EG2" s="149"/>
      <c r="EH2" s="151"/>
      <c r="EI2" s="151"/>
      <c r="EJ2" s="151"/>
      <c r="EK2" s="149"/>
      <c r="EL2" s="149"/>
      <c r="EM2" s="149"/>
      <c r="EN2" s="149"/>
      <c r="EO2" s="149"/>
      <c r="EP2" s="151"/>
      <c r="EQ2" s="151"/>
      <c r="ER2" s="151"/>
      <c r="ES2" s="178"/>
      <c r="ET2" s="151" t="str">
        <f ca="1">IF(CELL("contenu",INDIRECT(ADDRESS(ET1,1,1,1,CELL("contenu",$B$2))))="","----",CELL("contenu",INDIRECT(ADDRESS(ET1,1,1,1,CELL("contenu",$B$2)))))</f>
        <v>GRAINDORGE Thomas</v>
      </c>
      <c r="EU2" s="149"/>
      <c r="EV2" s="149"/>
      <c r="EW2" s="151"/>
      <c r="EX2" s="151"/>
      <c r="EY2" s="151"/>
      <c r="EZ2" s="149"/>
      <c r="FA2" s="149"/>
      <c r="FB2" s="149"/>
      <c r="FC2" s="151"/>
      <c r="FD2" s="151"/>
      <c r="FE2" s="151"/>
      <c r="FF2" s="149"/>
      <c r="FG2" s="149"/>
      <c r="FH2" s="149"/>
      <c r="FI2" s="149"/>
      <c r="FJ2" s="149"/>
      <c r="FK2" s="151"/>
      <c r="FL2" s="151"/>
      <c r="FM2" s="151"/>
      <c r="FN2" s="178"/>
      <c r="FO2" s="151" t="str">
        <f ca="1">IF(CELL("contenu",INDIRECT(ADDRESS(FO1,1,1,1,CELL("contenu",$B$2))))="","----",CELL("contenu",INDIRECT(ADDRESS(FO1,1,1,1,CELL("contenu",$B$2)))))</f>
        <v>HIRTZ Capucine</v>
      </c>
      <c r="FP2" s="149"/>
      <c r="FQ2" s="149"/>
      <c r="FR2" s="151"/>
      <c r="FS2" s="151"/>
      <c r="FT2" s="151"/>
      <c r="FU2" s="149"/>
      <c r="FV2" s="149"/>
      <c r="FW2" s="149"/>
      <c r="FX2" s="151"/>
      <c r="FY2" s="151"/>
      <c r="FZ2" s="151"/>
      <c r="GA2" s="149"/>
      <c r="GB2" s="149"/>
      <c r="GC2" s="149"/>
      <c r="GD2" s="149"/>
      <c r="GE2" s="149"/>
      <c r="GF2" s="151"/>
      <c r="GG2" s="151"/>
      <c r="GH2" s="151"/>
      <c r="GI2" s="178"/>
      <c r="GJ2" s="151" t="str">
        <f ca="1">IF(CELL("contenu",INDIRECT(ADDRESS(GJ1,1,1,1,CELL("contenu",$B$2))))="","----",CELL("contenu",INDIRECT(ADDRESS(GJ1,1,1,1,CELL("contenu",$B$2)))))</f>
        <v>INACIO Agathe</v>
      </c>
      <c r="GK2" s="149"/>
      <c r="GL2" s="149"/>
      <c r="GM2" s="151"/>
      <c r="GN2" s="151"/>
      <c r="GO2" s="151"/>
      <c r="GP2" s="149"/>
      <c r="GQ2" s="149"/>
      <c r="GR2" s="149"/>
      <c r="GS2" s="151"/>
      <c r="GT2" s="151"/>
      <c r="GU2" s="151"/>
      <c r="GV2" s="149"/>
      <c r="GW2" s="149"/>
      <c r="GX2" s="149"/>
      <c r="GY2" s="149"/>
      <c r="GZ2" s="149"/>
      <c r="HA2" s="151"/>
      <c r="HB2" s="151"/>
      <c r="HC2" s="151"/>
      <c r="HD2" s="178"/>
      <c r="HE2" s="151" t="str">
        <f ca="1">IF(CELL("contenu",INDIRECT(ADDRESS(HE1,1,1,1,CELL("contenu",$B$2))))="","----",CELL("contenu",INDIRECT(ADDRESS(HE1,1,1,1,CELL("contenu",$B$2)))))</f>
        <v>LE BORGNE Arthur</v>
      </c>
      <c r="HF2" s="149"/>
      <c r="HG2" s="149"/>
      <c r="HH2" s="151"/>
      <c r="HI2" s="151"/>
      <c r="HJ2" s="151"/>
      <c r="HK2" s="149"/>
      <c r="HL2" s="149"/>
      <c r="HM2" s="149"/>
      <c r="HN2" s="151"/>
      <c r="HO2" s="151"/>
      <c r="HP2" s="151"/>
      <c r="HQ2" s="149"/>
      <c r="HR2" s="149"/>
      <c r="HS2" s="149"/>
      <c r="HT2" s="149"/>
      <c r="HU2" s="149"/>
      <c r="HV2" s="151"/>
      <c r="HW2" s="151"/>
      <c r="HX2" s="151"/>
      <c r="HY2" s="178"/>
      <c r="HZ2" s="151" t="str">
        <f ca="1">IF(CELL("contenu",INDIRECT(ADDRESS(HZ1,1,1,1,CELL("contenu",$B$2))))="","----",CELL("contenu",INDIRECT(ADDRESS(HZ1,1,1,1,CELL("contenu",$B$2)))))</f>
        <v>MAGNANT Josephine</v>
      </c>
      <c r="IA2" s="149"/>
      <c r="IB2" s="149"/>
      <c r="IC2" s="151"/>
      <c r="ID2" s="151"/>
      <c r="IE2" s="151"/>
      <c r="IF2" s="149"/>
      <c r="IG2" s="149"/>
      <c r="IH2" s="149"/>
      <c r="II2" s="151"/>
      <c r="IJ2" s="151"/>
      <c r="IK2" s="151"/>
      <c r="IL2" s="149"/>
      <c r="IM2" s="149"/>
      <c r="IN2" s="149"/>
      <c r="IO2" s="149"/>
      <c r="IP2" s="149"/>
      <c r="IQ2" s="151"/>
      <c r="IR2" s="151"/>
      <c r="IS2" s="151"/>
      <c r="IT2" s="178"/>
      <c r="IU2" s="151" t="str">
        <f ca="1">IF(CELL("contenu",INDIRECT(ADDRESS(IU1,1,1,1,CELL("contenu",$B$2))))="","----",CELL("contenu",INDIRECT(ADDRESS(IU1,1,1,1,CELL("contenu",$B$2)))))</f>
        <v>METTIER Fabian</v>
      </c>
      <c r="IV2" s="149"/>
      <c r="IW2" s="149"/>
      <c r="IX2" s="151"/>
      <c r="IY2" s="151"/>
      <c r="IZ2" s="151"/>
      <c r="JA2" s="149"/>
      <c r="JB2" s="149"/>
      <c r="JC2" s="149"/>
      <c r="JD2" s="151"/>
      <c r="JE2" s="151"/>
      <c r="JF2" s="151"/>
      <c r="JG2" s="149"/>
      <c r="JH2" s="149"/>
      <c r="JI2" s="149"/>
      <c r="JJ2" s="149"/>
      <c r="JK2" s="149"/>
      <c r="JL2" s="151"/>
      <c r="JM2" s="151"/>
      <c r="JN2" s="151"/>
      <c r="JO2" s="178"/>
      <c r="JP2" s="151" t="str">
        <f ca="1">IF(CELL("contenu",INDIRECT(ADDRESS(JP1,1,1,1,CELL("contenu",$B$2))))="","----",CELL("contenu",INDIRECT(ADDRESS(JP1,1,1,1,CELL("contenu",$B$2)))))</f>
        <v>MONIN Justine</v>
      </c>
      <c r="JQ2" s="149"/>
      <c r="JR2" s="149"/>
      <c r="JS2" s="151"/>
      <c r="JT2" s="151"/>
      <c r="JU2" s="151"/>
      <c r="JV2" s="149"/>
      <c r="JW2" s="149"/>
      <c r="JX2" s="149"/>
      <c r="JY2" s="151"/>
      <c r="JZ2" s="151"/>
      <c r="KA2" s="151"/>
      <c r="KB2" s="149"/>
      <c r="KC2" s="149"/>
      <c r="KD2" s="149"/>
      <c r="KE2" s="149"/>
      <c r="KF2" s="149"/>
      <c r="KG2" s="151"/>
      <c r="KH2" s="151"/>
      <c r="KI2" s="151"/>
      <c r="KJ2" s="178"/>
      <c r="KK2" s="151" t="str">
        <f ca="1">IF(CELL("contenu",INDIRECT(ADDRESS(KK1,1,1,1,CELL("contenu",$B$2))))="","----",CELL("contenu",INDIRECT(ADDRESS(KK1,1,1,1,CELL("contenu",$B$2)))))</f>
        <v>MONNIER Charlotte</v>
      </c>
      <c r="KL2" s="149"/>
      <c r="KM2" s="149"/>
      <c r="KN2" s="151"/>
      <c r="KO2" s="151"/>
      <c r="KP2" s="151"/>
      <c r="KQ2" s="149"/>
      <c r="KR2" s="149"/>
      <c r="KS2" s="149"/>
      <c r="KT2" s="151"/>
      <c r="KU2" s="151"/>
      <c r="KV2" s="151"/>
      <c r="KW2" s="149"/>
      <c r="KX2" s="149"/>
      <c r="KY2" s="149"/>
      <c r="KZ2" s="149"/>
      <c r="LA2" s="149"/>
      <c r="LB2" s="151"/>
      <c r="LC2" s="151"/>
      <c r="LD2" s="151"/>
      <c r="LE2" s="178"/>
      <c r="LF2" s="151" t="str">
        <f ca="1">IF(CELL("contenu",INDIRECT(ADDRESS(LF1,1,1,1,CELL("contenu",$B$2))))="","----",CELL("contenu",INDIRECT(ADDRESS(LF1,1,1,1,CELL("contenu",$B$2)))))</f>
        <v>MORIOU Henri</v>
      </c>
      <c r="LG2" s="149"/>
      <c r="LH2" s="149"/>
      <c r="LI2" s="151"/>
      <c r="LJ2" s="151"/>
      <c r="LK2" s="151"/>
      <c r="LL2" s="149"/>
      <c r="LM2" s="149"/>
      <c r="LN2" s="149"/>
      <c r="LO2" s="151"/>
      <c r="LP2" s="151"/>
      <c r="LQ2" s="151"/>
      <c r="LR2" s="149"/>
      <c r="LS2" s="149"/>
      <c r="LT2" s="149"/>
      <c r="LU2" s="149"/>
      <c r="LV2" s="149"/>
      <c r="LW2" s="151"/>
      <c r="LX2" s="151"/>
      <c r="LY2" s="151"/>
      <c r="LZ2" s="178"/>
      <c r="MA2" s="151" t="str">
        <f ca="1">IF(CELL("contenu",INDIRECT(ADDRESS(MA1,1,1,1,CELL("contenu",$B$2))))="","----",CELL("contenu",INDIRECT(ADDRESS(MA1,1,1,1,CELL("contenu",$B$2)))))</f>
        <v>NGO NGII Marie-Yaelle</v>
      </c>
      <c r="MB2" s="149"/>
      <c r="MC2" s="149"/>
      <c r="MD2" s="151"/>
      <c r="ME2" s="151"/>
      <c r="MF2" s="151"/>
      <c r="MG2" s="149"/>
      <c r="MH2" s="149"/>
      <c r="MI2" s="149"/>
      <c r="MJ2" s="151"/>
      <c r="MK2" s="151"/>
      <c r="ML2" s="151"/>
      <c r="MM2" s="149"/>
      <c r="MN2" s="149"/>
      <c r="MO2" s="149"/>
      <c r="MP2" s="149"/>
      <c r="MQ2" s="149"/>
      <c r="MR2" s="151"/>
      <c r="MS2" s="151"/>
      <c r="MT2" s="151"/>
      <c r="MU2" s="178"/>
      <c r="MV2" s="151" t="str">
        <f ca="1">IF(CELL("contenu",INDIRECT(ADDRESS(MV1,1,1,1,CELL("contenu",$B$2))))="","----",CELL("contenu",INDIRECT(ADDRESS(MV1,1,1,1,CELL("contenu",$B$2)))))</f>
        <v>POTIN Mayeul</v>
      </c>
      <c r="MW2" s="149"/>
      <c r="MX2" s="149"/>
      <c r="MY2" s="151"/>
      <c r="MZ2" s="151"/>
      <c r="NA2" s="151"/>
      <c r="NB2" s="149"/>
      <c r="NC2" s="149"/>
      <c r="ND2" s="149"/>
      <c r="NE2" s="151"/>
      <c r="NF2" s="151"/>
      <c r="NG2" s="151"/>
      <c r="NH2" s="149"/>
      <c r="NI2" s="149"/>
      <c r="NJ2" s="149"/>
      <c r="NK2" s="149"/>
      <c r="NL2" s="149"/>
      <c r="NM2" s="151"/>
      <c r="NN2" s="151"/>
      <c r="NO2" s="151"/>
      <c r="NP2" s="178"/>
      <c r="NQ2" s="151" t="str">
        <f ca="1">IF(CELL("contenu",INDIRECT(ADDRESS(NQ1,1,1,1,CELL("contenu",$B$2))))="","----",CELL("contenu",INDIRECT(ADDRESS(NQ1,1,1,1,CELL("contenu",$B$2)))))</f>
        <v>RICHARD Callixte</v>
      </c>
      <c r="NR2" s="149"/>
      <c r="NS2" s="149"/>
      <c r="NT2" s="151"/>
      <c r="NU2" s="151"/>
      <c r="NV2" s="151"/>
      <c r="NW2" s="149"/>
      <c r="NX2" s="149"/>
      <c r="NY2" s="149"/>
      <c r="NZ2" s="151"/>
      <c r="OA2" s="151"/>
      <c r="OB2" s="151"/>
      <c r="OC2" s="149"/>
      <c r="OD2" s="149"/>
      <c r="OE2" s="149"/>
      <c r="OF2" s="149"/>
      <c r="OG2" s="149"/>
      <c r="OH2" s="151"/>
      <c r="OI2" s="151"/>
      <c r="OJ2" s="151"/>
      <c r="OK2" s="178"/>
      <c r="OL2" s="151" t="str">
        <f ca="1">IF(CELL("contenu",INDIRECT(ADDRESS(OL1,1,1,1,CELL("contenu",$B$2))))="","----",CELL("contenu",INDIRECT(ADDRESS(OL1,1,1,1,CELL("contenu",$B$2)))))</f>
        <v>ROGER Theo</v>
      </c>
      <c r="OM2" s="149"/>
      <c r="ON2" s="149"/>
      <c r="OO2" s="151"/>
      <c r="OP2" s="151"/>
      <c r="OQ2" s="151"/>
      <c r="OR2" s="149"/>
      <c r="OS2" s="149"/>
      <c r="OT2" s="149"/>
      <c r="OU2" s="151"/>
      <c r="OV2" s="151"/>
      <c r="OW2" s="151"/>
      <c r="OX2" s="149"/>
      <c r="OY2" s="149"/>
      <c r="OZ2" s="149"/>
      <c r="PA2" s="149"/>
      <c r="PB2" s="149"/>
      <c r="PC2" s="151"/>
      <c r="PD2" s="151"/>
      <c r="PE2" s="151"/>
      <c r="PF2" s="178"/>
      <c r="PG2" s="151" t="str">
        <f ca="1">IF(CELL("contenu",INDIRECT(ADDRESS(PG1,1,1,1,CELL("contenu",$B$2))))="","----",CELL("contenu",INDIRECT(ADDRESS(PG1,1,1,1,CELL("contenu",$B$2)))))</f>
        <v>ROUSSEAU Deo-Gracias</v>
      </c>
      <c r="PH2" s="149"/>
      <c r="PI2" s="149"/>
      <c r="PJ2" s="151"/>
      <c r="PK2" s="151"/>
      <c r="PL2" s="151"/>
      <c r="PM2" s="149"/>
      <c r="PN2" s="149"/>
      <c r="PO2" s="149"/>
      <c r="PP2" s="151"/>
      <c r="PQ2" s="151"/>
      <c r="PR2" s="151"/>
      <c r="PS2" s="149"/>
      <c r="PT2" s="149"/>
      <c r="PU2" s="149"/>
      <c r="PV2" s="149"/>
      <c r="PW2" s="149"/>
      <c r="PX2" s="151"/>
      <c r="PY2" s="151"/>
      <c r="PZ2" s="151"/>
      <c r="QA2" s="178"/>
      <c r="QB2" s="151" t="str">
        <f ca="1">IF(CELL("contenu",INDIRECT(ADDRESS(QB1,1,1,1,CELL("contenu",$B$2))))="","----",CELL("contenu",INDIRECT(ADDRESS(QB1,1,1,1,CELL("contenu",$B$2)))))</f>
        <v>SAUVAGE Alexis</v>
      </c>
      <c r="QC2" s="149"/>
      <c r="QD2" s="149"/>
      <c r="QE2" s="151"/>
      <c r="QF2" s="151"/>
      <c r="QG2" s="151"/>
      <c r="QH2" s="149"/>
      <c r="QI2" s="149"/>
      <c r="QJ2" s="149"/>
      <c r="QK2" s="151"/>
      <c r="QL2" s="151"/>
      <c r="QM2" s="151"/>
      <c r="QN2" s="149"/>
      <c r="QO2" s="149"/>
      <c r="QP2" s="149"/>
      <c r="QQ2" s="149"/>
      <c r="QR2" s="149"/>
      <c r="QS2" s="151"/>
      <c r="QT2" s="151"/>
      <c r="QU2" s="151"/>
      <c r="QV2" s="178"/>
      <c r="QW2" s="151" t="str">
        <f ca="1">IF(CELL("contenu",INDIRECT(ADDRESS(QW1,1,1,1,CELL("contenu",$B$2))))="","----",CELL("contenu",INDIRECT(ADDRESS(QW1,1,1,1,CELL("contenu",$B$2)))))</f>
        <v>THIOU Esther</v>
      </c>
      <c r="QX2" s="149"/>
      <c r="QY2" s="149"/>
      <c r="QZ2" s="151"/>
      <c r="RA2" s="151"/>
      <c r="RB2" s="151"/>
      <c r="RC2" s="149"/>
      <c r="RD2" s="149"/>
      <c r="RE2" s="149"/>
      <c r="RF2" s="151"/>
      <c r="RG2" s="151"/>
      <c r="RH2" s="151"/>
      <c r="RI2" s="149"/>
      <c r="RJ2" s="149"/>
      <c r="RK2" s="149"/>
      <c r="RL2" s="149"/>
      <c r="RM2" s="149"/>
      <c r="RN2" s="151"/>
      <c r="RO2" s="151"/>
      <c r="RP2" s="151"/>
      <c r="RQ2" s="178"/>
      <c r="RR2" s="151" t="str">
        <f ca="1">IF(CELL("contenu",INDIRECT(ADDRESS(RR1,1,1,1,CELL("contenu",$B$2))))="","----",CELL("contenu",INDIRECT(ADDRESS(RR1,1,1,1,CELL("contenu",$B$2)))))</f>
        <v>WENZEL Marie</v>
      </c>
      <c r="RS2" s="149"/>
      <c r="RT2" s="149"/>
      <c r="RU2" s="151"/>
      <c r="RV2" s="151"/>
      <c r="RW2" s="151"/>
      <c r="RX2" s="149"/>
      <c r="RY2" s="149"/>
      <c r="RZ2" s="149"/>
      <c r="SA2" s="151"/>
      <c r="SB2" s="151"/>
      <c r="SC2" s="151"/>
      <c r="SD2" s="149"/>
      <c r="SE2" s="149"/>
      <c r="SF2" s="149"/>
      <c r="SG2" s="149"/>
      <c r="SH2" s="149"/>
      <c r="SI2" s="151"/>
      <c r="SJ2" s="151"/>
      <c r="SK2" s="151"/>
      <c r="SL2" s="178"/>
      <c r="SM2" s="65" t="str">
        <f ca="1">IF(CELL("contenu",INDIRECT(ADDRESS(SM1,1,1,1,CELL("contenu",$B$2))))="","----",CELL("contenu",INDIRECT(ADDRESS(SM1,1,1,1,CELL("contenu",$B$2)))))</f>
        <v>----</v>
      </c>
      <c r="SN2" s="65"/>
      <c r="SO2" s="65"/>
      <c r="SP2" s="65"/>
      <c r="SQ2" s="65"/>
      <c r="SR2" s="65"/>
      <c r="SS2" s="65"/>
      <c r="ST2" s="65"/>
      <c r="SU2" s="65"/>
      <c r="SV2" s="65"/>
      <c r="SW2" s="65"/>
      <c r="SX2" s="65"/>
      <c r="SY2" s="65"/>
      <c r="SZ2" s="65"/>
      <c r="TA2" s="65"/>
      <c r="TB2" s="65"/>
      <c r="TC2" s="66"/>
      <c r="TD2" s="65" t="str">
        <f ca="1">IF(CELL("contenu",INDIRECT(ADDRESS(TD1,1,1,1,CELL("contenu",$B$2))))="","----",CELL("contenu",INDIRECT(ADDRESS(TD1,1,1,1,CELL("contenu",$B$2)))))</f>
        <v>----</v>
      </c>
      <c r="TE2" s="65"/>
      <c r="TF2" s="65"/>
      <c r="TG2" s="65"/>
      <c r="TH2" s="65"/>
      <c r="TI2" s="65"/>
      <c r="TJ2" s="65"/>
      <c r="TK2" s="65"/>
      <c r="TL2" s="65"/>
      <c r="TM2" s="65"/>
      <c r="TN2" s="65"/>
      <c r="TO2" s="65"/>
      <c r="TP2" s="65"/>
      <c r="TQ2" s="65"/>
      <c r="TR2" s="65"/>
      <c r="TS2" s="65"/>
      <c r="TT2" s="66"/>
      <c r="TU2" s="65" t="str">
        <f ca="1">IF(CELL("contenu",INDIRECT(ADDRESS(TU1,1,1,1,CELL("contenu",$B$2))))="","----",CELL("contenu",INDIRECT(ADDRESS(TU1,1,1,1,CELL("contenu",$B$2)))))</f>
        <v>----</v>
      </c>
      <c r="TV2" s="65"/>
      <c r="TW2" s="65"/>
      <c r="TX2" s="65"/>
      <c r="TY2" s="65"/>
      <c r="TZ2" s="65"/>
      <c r="UA2" s="65"/>
      <c r="UB2" s="65"/>
      <c r="UC2" s="65"/>
      <c r="UD2" s="65"/>
      <c r="UE2" s="65"/>
      <c r="UF2" s="65"/>
      <c r="UG2" s="65"/>
      <c r="UH2" s="65"/>
      <c r="UI2" s="65"/>
      <c r="UJ2" s="65"/>
      <c r="UK2" s="66"/>
      <c r="UL2" s="65" t="str">
        <f ca="1">IF(CELL("contenu",INDIRECT(ADDRESS(UL1,1,1,1,CELL("contenu",$B$2))))="","----",CELL("contenu",INDIRECT(ADDRESS(UL1,1,1,1,CELL("contenu",$B$2)))))</f>
        <v>----</v>
      </c>
      <c r="UM2" s="65"/>
      <c r="UN2" s="65"/>
      <c r="UO2" s="65"/>
      <c r="UP2" s="65"/>
      <c r="UQ2" s="65"/>
      <c r="UR2" s="65"/>
      <c r="US2" s="65"/>
      <c r="UT2" s="65"/>
      <c r="UU2" s="65"/>
      <c r="UV2" s="65"/>
      <c r="UW2" s="65"/>
      <c r="UX2" s="65"/>
      <c r="UY2" s="65"/>
      <c r="UZ2" s="65"/>
      <c r="VA2" s="65"/>
      <c r="VB2" s="66"/>
      <c r="VC2" s="65" t="str">
        <f ca="1">IF(CELL("contenu",INDIRECT(ADDRESS(VC1,1,1,1,CELL("contenu",$B$2))))="","----",CELL("contenu",INDIRECT(ADDRESS(VC1,1,1,1,CELL("contenu",$B$2)))))</f>
        <v>----</v>
      </c>
      <c r="VD2" s="65"/>
      <c r="VE2" s="65"/>
      <c r="VF2" s="65"/>
      <c r="VG2" s="65"/>
      <c r="VH2" s="65"/>
      <c r="VI2" s="65"/>
      <c r="VJ2" s="65"/>
      <c r="VK2" s="65"/>
      <c r="VL2" s="65"/>
      <c r="VM2" s="65"/>
      <c r="VN2" s="65"/>
      <c r="VO2" s="65"/>
      <c r="VP2" s="65"/>
      <c r="VQ2" s="65"/>
      <c r="VR2" s="65"/>
      <c r="VS2" s="66"/>
      <c r="VT2" s="65" t="str">
        <f ca="1">IF(CELL("contenu",INDIRECT(ADDRESS(VT1,1,1,1,CELL("contenu",$B$2))))="","----",CELL("contenu",INDIRECT(ADDRESS(VT1,1,1,1,CELL("contenu",$B$2)))))</f>
        <v>----</v>
      </c>
      <c r="VU2" s="65"/>
      <c r="VV2" s="65"/>
      <c r="VW2" s="65"/>
      <c r="VX2" s="65"/>
      <c r="VY2" s="65"/>
      <c r="VZ2" s="65"/>
      <c r="WA2" s="65"/>
      <c r="WB2" s="65"/>
      <c r="WC2" s="65"/>
      <c r="WD2" s="65"/>
      <c r="WE2" s="65"/>
      <c r="WF2" s="65"/>
      <c r="WG2" s="65"/>
      <c r="WH2" s="65"/>
      <c r="WI2" s="65"/>
      <c r="WJ2" s="66"/>
    </row>
    <row r="3" spans="1:608" ht="60" customHeight="1" thickBot="1" x14ac:dyDescent="0.6">
      <c r="A3" s="142"/>
      <c r="B3" s="143" t="s">
        <v>34</v>
      </c>
      <c r="C3" s="67" t="s">
        <v>197</v>
      </c>
      <c r="D3" s="68" t="s">
        <v>199</v>
      </c>
      <c r="E3" s="69"/>
      <c r="F3" s="157" t="s">
        <v>7</v>
      </c>
      <c r="G3" s="158"/>
      <c r="H3" s="67" t="s">
        <v>202</v>
      </c>
      <c r="I3" s="72"/>
      <c r="J3" s="69"/>
      <c r="K3" s="69"/>
      <c r="L3" s="173" t="s">
        <v>8</v>
      </c>
      <c r="M3" s="174"/>
      <c r="N3" s="67" t="s">
        <v>203</v>
      </c>
      <c r="O3" s="72" t="s">
        <v>204</v>
      </c>
      <c r="P3" s="69" t="s">
        <v>205</v>
      </c>
      <c r="Q3" s="69" t="s">
        <v>206</v>
      </c>
      <c r="R3" s="69"/>
      <c r="S3" s="69"/>
      <c r="T3" s="179" t="s">
        <v>9</v>
      </c>
      <c r="U3" s="180"/>
      <c r="V3" s="181" t="s">
        <v>10</v>
      </c>
      <c r="W3" s="182"/>
      <c r="X3" s="79" t="str">
        <f>IF(C3="","",C3)</f>
        <v>Frise atome</v>
      </c>
      <c r="Y3" s="80" t="str">
        <f>IF(D3="","",D3)</f>
        <v>Evaluation CH1 CH2</v>
      </c>
      <c r="Z3" s="81" t="str">
        <f>IF(E3="","",E3)</f>
        <v/>
      </c>
      <c r="AA3" s="157" t="s">
        <v>7</v>
      </c>
      <c r="AB3" s="158"/>
      <c r="AC3" s="82" t="str">
        <f>IF(H3="","",H3)</f>
        <v>Fiche O1/1</v>
      </c>
      <c r="AD3" s="80" t="str">
        <f>IF(I3="","",I3)</f>
        <v/>
      </c>
      <c r="AE3" s="200" t="str">
        <f>IF(J3="","",J3)</f>
        <v/>
      </c>
      <c r="AF3" s="81" t="str">
        <f>IF(K3="","",K3)</f>
        <v/>
      </c>
      <c r="AG3" s="173" t="s">
        <v>8</v>
      </c>
      <c r="AH3" s="174"/>
      <c r="AI3" s="82" t="str">
        <f t="shared" ref="AI3:AN3" si="0">IF(N3="","",N3)</f>
        <v>Fiche O2/3</v>
      </c>
      <c r="AJ3" s="80" t="str">
        <f t="shared" si="0"/>
        <v>EC</v>
      </c>
      <c r="AK3" s="200" t="str">
        <f t="shared" si="0"/>
        <v>Fiche CH3/3</v>
      </c>
      <c r="AL3" s="200" t="str">
        <f t="shared" si="0"/>
        <v>Fiche CH3/4</v>
      </c>
      <c r="AM3" s="200" t="str">
        <f t="shared" si="0"/>
        <v/>
      </c>
      <c r="AN3" s="81" t="str">
        <f t="shared" si="0"/>
        <v/>
      </c>
      <c r="AO3" s="179" t="s">
        <v>9</v>
      </c>
      <c r="AP3" s="180"/>
      <c r="AQ3" s="181" t="s">
        <v>10</v>
      </c>
      <c r="AR3" s="182"/>
      <c r="AS3" s="79" t="str">
        <f>IF(X3="","",X3)</f>
        <v>Frise atome</v>
      </c>
      <c r="AT3" s="80" t="str">
        <f>IF(Y3="","",Y3)</f>
        <v>Evaluation CH1 CH2</v>
      </c>
      <c r="AU3" s="81" t="str">
        <f>IF(Z3="","",Z3)</f>
        <v/>
      </c>
      <c r="AV3" s="157" t="s">
        <v>7</v>
      </c>
      <c r="AW3" s="158"/>
      <c r="AX3" s="82" t="str">
        <f>IF(AC3="","",AC3)</f>
        <v>Fiche O1/1</v>
      </c>
      <c r="AY3" s="80" t="str">
        <f>IF(AD3="","",AD3)</f>
        <v/>
      </c>
      <c r="AZ3" s="200" t="str">
        <f>IF(AE3="","",AE3)</f>
        <v/>
      </c>
      <c r="BA3" s="81" t="str">
        <f>IF(AF3="","",AF3)</f>
        <v/>
      </c>
      <c r="BB3" s="173" t="s">
        <v>8</v>
      </c>
      <c r="BC3" s="174"/>
      <c r="BD3" s="82" t="str">
        <f t="shared" ref="BD3:BI3" si="1">IF(AI3="","",AI3)</f>
        <v>Fiche O2/3</v>
      </c>
      <c r="BE3" s="80" t="str">
        <f t="shared" si="1"/>
        <v>EC</v>
      </c>
      <c r="BF3" s="200" t="str">
        <f t="shared" si="1"/>
        <v>Fiche CH3/3</v>
      </c>
      <c r="BG3" s="200" t="str">
        <f t="shared" si="1"/>
        <v>Fiche CH3/4</v>
      </c>
      <c r="BH3" s="200" t="str">
        <f t="shared" si="1"/>
        <v/>
      </c>
      <c r="BI3" s="81" t="str">
        <f t="shared" si="1"/>
        <v/>
      </c>
      <c r="BJ3" s="179" t="s">
        <v>9</v>
      </c>
      <c r="BK3" s="180"/>
      <c r="BL3" s="181" t="s">
        <v>10</v>
      </c>
      <c r="BM3" s="182"/>
      <c r="BN3" s="79" t="str">
        <f>IF(AS3="","",AS3)</f>
        <v>Frise atome</v>
      </c>
      <c r="BO3" s="80" t="str">
        <f>IF(AT3="","",AT3)</f>
        <v>Evaluation CH1 CH2</v>
      </c>
      <c r="BP3" s="81" t="str">
        <f>IF(AU3="","",AU3)</f>
        <v/>
      </c>
      <c r="BQ3" s="157" t="s">
        <v>7</v>
      </c>
      <c r="BR3" s="158"/>
      <c r="BS3" s="82" t="str">
        <f>IF(AX3="","",AX3)</f>
        <v>Fiche O1/1</v>
      </c>
      <c r="BT3" s="80" t="str">
        <f>IF(AY3="","",AY3)</f>
        <v/>
      </c>
      <c r="BU3" s="200" t="str">
        <f>IF(AZ3="","",AZ3)</f>
        <v/>
      </c>
      <c r="BV3" s="81" t="str">
        <f>IF(BA3="","",BA3)</f>
        <v/>
      </c>
      <c r="BW3" s="173" t="s">
        <v>8</v>
      </c>
      <c r="BX3" s="174"/>
      <c r="BY3" s="82" t="str">
        <f t="shared" ref="BY3:CD3" si="2">IF(BD3="","",BD3)</f>
        <v>Fiche O2/3</v>
      </c>
      <c r="BZ3" s="80" t="str">
        <f t="shared" si="2"/>
        <v>EC</v>
      </c>
      <c r="CA3" s="200" t="str">
        <f t="shared" si="2"/>
        <v>Fiche CH3/3</v>
      </c>
      <c r="CB3" s="200" t="str">
        <f t="shared" si="2"/>
        <v>Fiche CH3/4</v>
      </c>
      <c r="CC3" s="200" t="str">
        <f t="shared" si="2"/>
        <v/>
      </c>
      <c r="CD3" s="81" t="str">
        <f t="shared" si="2"/>
        <v/>
      </c>
      <c r="CE3" s="179" t="s">
        <v>9</v>
      </c>
      <c r="CF3" s="180"/>
      <c r="CG3" s="181" t="s">
        <v>10</v>
      </c>
      <c r="CH3" s="182"/>
      <c r="CI3" s="79" t="str">
        <f>IF(BN3="","",BN3)</f>
        <v>Frise atome</v>
      </c>
      <c r="CJ3" s="80" t="str">
        <f>IF(BO3="","",BO3)</f>
        <v>Evaluation CH1 CH2</v>
      </c>
      <c r="CK3" s="81" t="str">
        <f>IF(BP3="","",BP3)</f>
        <v/>
      </c>
      <c r="CL3" s="157" t="s">
        <v>7</v>
      </c>
      <c r="CM3" s="158"/>
      <c r="CN3" s="82" t="str">
        <f>IF(BS3="","",BS3)</f>
        <v>Fiche O1/1</v>
      </c>
      <c r="CO3" s="80" t="str">
        <f>IF(BT3="","",BT3)</f>
        <v/>
      </c>
      <c r="CP3" s="200" t="str">
        <f>IF(BU3="","",BU3)</f>
        <v/>
      </c>
      <c r="CQ3" s="81" t="str">
        <f>IF(BV3="","",BV3)</f>
        <v/>
      </c>
      <c r="CR3" s="173" t="s">
        <v>8</v>
      </c>
      <c r="CS3" s="174"/>
      <c r="CT3" s="82" t="str">
        <f t="shared" ref="CT3:CY3" si="3">IF(BY3="","",BY3)</f>
        <v>Fiche O2/3</v>
      </c>
      <c r="CU3" s="80" t="str">
        <f t="shared" si="3"/>
        <v>EC</v>
      </c>
      <c r="CV3" s="200" t="str">
        <f t="shared" si="3"/>
        <v>Fiche CH3/3</v>
      </c>
      <c r="CW3" s="200" t="str">
        <f t="shared" si="3"/>
        <v>Fiche CH3/4</v>
      </c>
      <c r="CX3" s="200" t="str">
        <f t="shared" si="3"/>
        <v/>
      </c>
      <c r="CY3" s="81" t="str">
        <f t="shared" si="3"/>
        <v/>
      </c>
      <c r="CZ3" s="179" t="s">
        <v>9</v>
      </c>
      <c r="DA3" s="180"/>
      <c r="DB3" s="181" t="s">
        <v>10</v>
      </c>
      <c r="DC3" s="182"/>
      <c r="DD3" s="79" t="str">
        <f>IF(CI3="","",CI3)</f>
        <v>Frise atome</v>
      </c>
      <c r="DE3" s="80" t="str">
        <f>IF(CJ3="","",CJ3)</f>
        <v>Evaluation CH1 CH2</v>
      </c>
      <c r="DF3" s="81" t="str">
        <f>IF(CK3="","",CK3)</f>
        <v/>
      </c>
      <c r="DG3" s="157" t="s">
        <v>7</v>
      </c>
      <c r="DH3" s="158"/>
      <c r="DI3" s="82" t="str">
        <f>IF(CN3="","",CN3)</f>
        <v>Fiche O1/1</v>
      </c>
      <c r="DJ3" s="80" t="str">
        <f>IF(CO3="","",CO3)</f>
        <v/>
      </c>
      <c r="DK3" s="200" t="str">
        <f>IF(CP3="","",CP3)</f>
        <v/>
      </c>
      <c r="DL3" s="81" t="str">
        <f>IF(CQ3="","",CQ3)</f>
        <v/>
      </c>
      <c r="DM3" s="173" t="s">
        <v>8</v>
      </c>
      <c r="DN3" s="174"/>
      <c r="DO3" s="82" t="str">
        <f t="shared" ref="DO3:DT3" si="4">IF(CT3="","",CT3)</f>
        <v>Fiche O2/3</v>
      </c>
      <c r="DP3" s="80" t="str">
        <f t="shared" si="4"/>
        <v>EC</v>
      </c>
      <c r="DQ3" s="200" t="str">
        <f t="shared" si="4"/>
        <v>Fiche CH3/3</v>
      </c>
      <c r="DR3" s="200" t="str">
        <f t="shared" si="4"/>
        <v>Fiche CH3/4</v>
      </c>
      <c r="DS3" s="200" t="str">
        <f t="shared" si="4"/>
        <v/>
      </c>
      <c r="DT3" s="81" t="str">
        <f t="shared" si="4"/>
        <v/>
      </c>
      <c r="DU3" s="179" t="s">
        <v>9</v>
      </c>
      <c r="DV3" s="180"/>
      <c r="DW3" s="181" t="s">
        <v>10</v>
      </c>
      <c r="DX3" s="182"/>
      <c r="DY3" s="79" t="str">
        <f>IF(DD3="","",DD3)</f>
        <v>Frise atome</v>
      </c>
      <c r="DZ3" s="80" t="str">
        <f>IF(DE3="","",DE3)</f>
        <v>Evaluation CH1 CH2</v>
      </c>
      <c r="EA3" s="81" t="str">
        <f>IF(DF3="","",DF3)</f>
        <v/>
      </c>
      <c r="EB3" s="157" t="s">
        <v>7</v>
      </c>
      <c r="EC3" s="158"/>
      <c r="ED3" s="82" t="str">
        <f>IF(DI3="","",DI3)</f>
        <v>Fiche O1/1</v>
      </c>
      <c r="EE3" s="80" t="str">
        <f>IF(DJ3="","",DJ3)</f>
        <v/>
      </c>
      <c r="EF3" s="200" t="str">
        <f>IF(DK3="","",DK3)</f>
        <v/>
      </c>
      <c r="EG3" s="81" t="str">
        <f>IF(DL3="","",DL3)</f>
        <v/>
      </c>
      <c r="EH3" s="173" t="s">
        <v>8</v>
      </c>
      <c r="EI3" s="174"/>
      <c r="EJ3" s="82" t="str">
        <f t="shared" ref="EJ3:EO3" si="5">IF(DO3="","",DO3)</f>
        <v>Fiche O2/3</v>
      </c>
      <c r="EK3" s="80" t="str">
        <f t="shared" si="5"/>
        <v>EC</v>
      </c>
      <c r="EL3" s="200" t="str">
        <f t="shared" si="5"/>
        <v>Fiche CH3/3</v>
      </c>
      <c r="EM3" s="200" t="str">
        <f t="shared" si="5"/>
        <v>Fiche CH3/4</v>
      </c>
      <c r="EN3" s="200" t="str">
        <f t="shared" si="5"/>
        <v/>
      </c>
      <c r="EO3" s="81" t="str">
        <f t="shared" si="5"/>
        <v/>
      </c>
      <c r="EP3" s="179" t="s">
        <v>9</v>
      </c>
      <c r="EQ3" s="180"/>
      <c r="ER3" s="181" t="s">
        <v>10</v>
      </c>
      <c r="ES3" s="182"/>
      <c r="ET3" s="79" t="str">
        <f>IF(DY3="","",DY3)</f>
        <v>Frise atome</v>
      </c>
      <c r="EU3" s="80" t="str">
        <f>IF(DZ3="","",DZ3)</f>
        <v>Evaluation CH1 CH2</v>
      </c>
      <c r="EV3" s="81" t="str">
        <f>IF(EA3="","",EA3)</f>
        <v/>
      </c>
      <c r="EW3" s="157" t="s">
        <v>7</v>
      </c>
      <c r="EX3" s="158"/>
      <c r="EY3" s="82" t="str">
        <f>IF(ED3="","",ED3)</f>
        <v>Fiche O1/1</v>
      </c>
      <c r="EZ3" s="80" t="str">
        <f>IF(EE3="","",EE3)</f>
        <v/>
      </c>
      <c r="FA3" s="200" t="str">
        <f>IF(EF3="","",EF3)</f>
        <v/>
      </c>
      <c r="FB3" s="81" t="str">
        <f>IF(EG3="","",EG3)</f>
        <v/>
      </c>
      <c r="FC3" s="173" t="s">
        <v>8</v>
      </c>
      <c r="FD3" s="174"/>
      <c r="FE3" s="82" t="str">
        <f t="shared" ref="FE3:FJ3" si="6">IF(EJ3="","",EJ3)</f>
        <v>Fiche O2/3</v>
      </c>
      <c r="FF3" s="80" t="str">
        <f t="shared" si="6"/>
        <v>EC</v>
      </c>
      <c r="FG3" s="200" t="str">
        <f t="shared" si="6"/>
        <v>Fiche CH3/3</v>
      </c>
      <c r="FH3" s="200" t="str">
        <f t="shared" si="6"/>
        <v>Fiche CH3/4</v>
      </c>
      <c r="FI3" s="200" t="str">
        <f t="shared" si="6"/>
        <v/>
      </c>
      <c r="FJ3" s="81" t="str">
        <f t="shared" si="6"/>
        <v/>
      </c>
      <c r="FK3" s="179" t="s">
        <v>9</v>
      </c>
      <c r="FL3" s="180"/>
      <c r="FM3" s="181" t="s">
        <v>10</v>
      </c>
      <c r="FN3" s="182"/>
      <c r="FO3" s="79" t="str">
        <f>IF(ET3="","",ET3)</f>
        <v>Frise atome</v>
      </c>
      <c r="FP3" s="80" t="str">
        <f>IF(EU3="","",EU3)</f>
        <v>Evaluation CH1 CH2</v>
      </c>
      <c r="FQ3" s="81" t="str">
        <f>IF(EV3="","",EV3)</f>
        <v/>
      </c>
      <c r="FR3" s="157" t="s">
        <v>7</v>
      </c>
      <c r="FS3" s="158"/>
      <c r="FT3" s="82" t="str">
        <f>IF(EY3="","",EY3)</f>
        <v>Fiche O1/1</v>
      </c>
      <c r="FU3" s="80" t="str">
        <f>IF(EZ3="","",EZ3)</f>
        <v/>
      </c>
      <c r="FV3" s="200" t="str">
        <f>IF(FA3="","",FA3)</f>
        <v/>
      </c>
      <c r="FW3" s="81" t="str">
        <f>IF(FB3="","",FB3)</f>
        <v/>
      </c>
      <c r="FX3" s="173" t="s">
        <v>8</v>
      </c>
      <c r="FY3" s="174"/>
      <c r="FZ3" s="82" t="str">
        <f t="shared" ref="FZ3:GE3" si="7">IF(FE3="","",FE3)</f>
        <v>Fiche O2/3</v>
      </c>
      <c r="GA3" s="80" t="str">
        <f t="shared" si="7"/>
        <v>EC</v>
      </c>
      <c r="GB3" s="200" t="str">
        <f t="shared" si="7"/>
        <v>Fiche CH3/3</v>
      </c>
      <c r="GC3" s="200" t="str">
        <f t="shared" si="7"/>
        <v>Fiche CH3/4</v>
      </c>
      <c r="GD3" s="200" t="str">
        <f t="shared" si="7"/>
        <v/>
      </c>
      <c r="GE3" s="81" t="str">
        <f t="shared" si="7"/>
        <v/>
      </c>
      <c r="GF3" s="179" t="s">
        <v>9</v>
      </c>
      <c r="GG3" s="180"/>
      <c r="GH3" s="181" t="s">
        <v>10</v>
      </c>
      <c r="GI3" s="182"/>
      <c r="GJ3" s="79" t="str">
        <f>IF(FO3="","",FO3)</f>
        <v>Frise atome</v>
      </c>
      <c r="GK3" s="80" t="str">
        <f>IF(FP3="","",FP3)</f>
        <v>Evaluation CH1 CH2</v>
      </c>
      <c r="GL3" s="81" t="str">
        <f>IF(FQ3="","",FQ3)</f>
        <v/>
      </c>
      <c r="GM3" s="157" t="s">
        <v>7</v>
      </c>
      <c r="GN3" s="158"/>
      <c r="GO3" s="82" t="str">
        <f>IF(FT3="","",FT3)</f>
        <v>Fiche O1/1</v>
      </c>
      <c r="GP3" s="80" t="str">
        <f>IF(FU3="","",FU3)</f>
        <v/>
      </c>
      <c r="GQ3" s="200" t="str">
        <f>IF(FV3="","",FV3)</f>
        <v/>
      </c>
      <c r="GR3" s="81" t="str">
        <f>IF(FW3="","",FW3)</f>
        <v/>
      </c>
      <c r="GS3" s="173" t="s">
        <v>8</v>
      </c>
      <c r="GT3" s="174"/>
      <c r="GU3" s="82" t="str">
        <f t="shared" ref="GU3:GZ3" si="8">IF(FZ3="","",FZ3)</f>
        <v>Fiche O2/3</v>
      </c>
      <c r="GV3" s="80" t="str">
        <f t="shared" si="8"/>
        <v>EC</v>
      </c>
      <c r="GW3" s="200" t="str">
        <f t="shared" si="8"/>
        <v>Fiche CH3/3</v>
      </c>
      <c r="GX3" s="200" t="str">
        <f t="shared" si="8"/>
        <v>Fiche CH3/4</v>
      </c>
      <c r="GY3" s="200" t="str">
        <f t="shared" si="8"/>
        <v/>
      </c>
      <c r="GZ3" s="81" t="str">
        <f t="shared" si="8"/>
        <v/>
      </c>
      <c r="HA3" s="179" t="s">
        <v>9</v>
      </c>
      <c r="HB3" s="180"/>
      <c r="HC3" s="181" t="s">
        <v>10</v>
      </c>
      <c r="HD3" s="182"/>
      <c r="HE3" s="79" t="str">
        <f>IF(GJ3="","",GJ3)</f>
        <v>Frise atome</v>
      </c>
      <c r="HF3" s="80" t="str">
        <f>IF(GK3="","",GK3)</f>
        <v>Evaluation CH1 CH2</v>
      </c>
      <c r="HG3" s="81" t="str">
        <f>IF(GL3="","",GL3)</f>
        <v/>
      </c>
      <c r="HH3" s="157" t="s">
        <v>7</v>
      </c>
      <c r="HI3" s="158"/>
      <c r="HJ3" s="82" t="str">
        <f>IF(GO3="","",GO3)</f>
        <v>Fiche O1/1</v>
      </c>
      <c r="HK3" s="80" t="str">
        <f>IF(GP3="","",GP3)</f>
        <v/>
      </c>
      <c r="HL3" s="200" t="str">
        <f>IF(GQ3="","",GQ3)</f>
        <v/>
      </c>
      <c r="HM3" s="81" t="str">
        <f>IF(GR3="","",GR3)</f>
        <v/>
      </c>
      <c r="HN3" s="173" t="s">
        <v>8</v>
      </c>
      <c r="HO3" s="174"/>
      <c r="HP3" s="82" t="str">
        <f t="shared" ref="HP3:HU3" si="9">IF(GU3="","",GU3)</f>
        <v>Fiche O2/3</v>
      </c>
      <c r="HQ3" s="80" t="str">
        <f t="shared" si="9"/>
        <v>EC</v>
      </c>
      <c r="HR3" s="200" t="str">
        <f t="shared" si="9"/>
        <v>Fiche CH3/3</v>
      </c>
      <c r="HS3" s="200" t="str">
        <f t="shared" si="9"/>
        <v>Fiche CH3/4</v>
      </c>
      <c r="HT3" s="200" t="str">
        <f t="shared" si="9"/>
        <v/>
      </c>
      <c r="HU3" s="81" t="str">
        <f t="shared" si="9"/>
        <v/>
      </c>
      <c r="HV3" s="179" t="s">
        <v>9</v>
      </c>
      <c r="HW3" s="180"/>
      <c r="HX3" s="181" t="s">
        <v>10</v>
      </c>
      <c r="HY3" s="182"/>
      <c r="HZ3" s="79" t="str">
        <f>IF(HE3="","",HE3)</f>
        <v>Frise atome</v>
      </c>
      <c r="IA3" s="80" t="str">
        <f>IF(HF3="","",HF3)</f>
        <v>Evaluation CH1 CH2</v>
      </c>
      <c r="IB3" s="81" t="str">
        <f>IF(HG3="","",HG3)</f>
        <v/>
      </c>
      <c r="IC3" s="157" t="s">
        <v>7</v>
      </c>
      <c r="ID3" s="158"/>
      <c r="IE3" s="82" t="str">
        <f>IF(HJ3="","",HJ3)</f>
        <v>Fiche O1/1</v>
      </c>
      <c r="IF3" s="80" t="str">
        <f>IF(HK3="","",HK3)</f>
        <v/>
      </c>
      <c r="IG3" s="200" t="str">
        <f>IF(HL3="","",HL3)</f>
        <v/>
      </c>
      <c r="IH3" s="81" t="str">
        <f>IF(HM3="","",HM3)</f>
        <v/>
      </c>
      <c r="II3" s="173" t="s">
        <v>8</v>
      </c>
      <c r="IJ3" s="174"/>
      <c r="IK3" s="82" t="str">
        <f t="shared" ref="IK3:IP3" si="10">IF(HP3="","",HP3)</f>
        <v>Fiche O2/3</v>
      </c>
      <c r="IL3" s="80" t="str">
        <f t="shared" si="10"/>
        <v>EC</v>
      </c>
      <c r="IM3" s="200" t="str">
        <f t="shared" si="10"/>
        <v>Fiche CH3/3</v>
      </c>
      <c r="IN3" s="200" t="str">
        <f t="shared" si="10"/>
        <v>Fiche CH3/4</v>
      </c>
      <c r="IO3" s="200" t="str">
        <f t="shared" si="10"/>
        <v/>
      </c>
      <c r="IP3" s="81" t="str">
        <f t="shared" si="10"/>
        <v/>
      </c>
      <c r="IQ3" s="179" t="s">
        <v>9</v>
      </c>
      <c r="IR3" s="180"/>
      <c r="IS3" s="181" t="s">
        <v>10</v>
      </c>
      <c r="IT3" s="182"/>
      <c r="IU3" s="79" t="str">
        <f>IF(HZ3="","",HZ3)</f>
        <v>Frise atome</v>
      </c>
      <c r="IV3" s="80" t="str">
        <f>IF(IA3="","",IA3)</f>
        <v>Evaluation CH1 CH2</v>
      </c>
      <c r="IW3" s="81" t="str">
        <f>IF(IB3="","",IB3)</f>
        <v/>
      </c>
      <c r="IX3" s="157" t="s">
        <v>7</v>
      </c>
      <c r="IY3" s="158"/>
      <c r="IZ3" s="82" t="str">
        <f>IF(IE3="","",IE3)</f>
        <v>Fiche O1/1</v>
      </c>
      <c r="JA3" s="80" t="str">
        <f>IF(IF3="","",IF3)</f>
        <v/>
      </c>
      <c r="JB3" s="200" t="str">
        <f>IF(IG3="","",IG3)</f>
        <v/>
      </c>
      <c r="JC3" s="81" t="str">
        <f>IF(IH3="","",IH3)</f>
        <v/>
      </c>
      <c r="JD3" s="173" t="s">
        <v>8</v>
      </c>
      <c r="JE3" s="174"/>
      <c r="JF3" s="82" t="str">
        <f t="shared" ref="JF3:JK3" si="11">IF(IK3="","",IK3)</f>
        <v>Fiche O2/3</v>
      </c>
      <c r="JG3" s="80" t="str">
        <f t="shared" si="11"/>
        <v>EC</v>
      </c>
      <c r="JH3" s="200" t="str">
        <f t="shared" si="11"/>
        <v>Fiche CH3/3</v>
      </c>
      <c r="JI3" s="200" t="str">
        <f t="shared" si="11"/>
        <v>Fiche CH3/4</v>
      </c>
      <c r="JJ3" s="200" t="str">
        <f t="shared" si="11"/>
        <v/>
      </c>
      <c r="JK3" s="81" t="str">
        <f t="shared" si="11"/>
        <v/>
      </c>
      <c r="JL3" s="179" t="s">
        <v>9</v>
      </c>
      <c r="JM3" s="180"/>
      <c r="JN3" s="181" t="s">
        <v>10</v>
      </c>
      <c r="JO3" s="182"/>
      <c r="JP3" s="79" t="str">
        <f>IF(IU3="","",IU3)</f>
        <v>Frise atome</v>
      </c>
      <c r="JQ3" s="80" t="str">
        <f>IF(IV3="","",IV3)</f>
        <v>Evaluation CH1 CH2</v>
      </c>
      <c r="JR3" s="81" t="str">
        <f>IF(IW3="","",IW3)</f>
        <v/>
      </c>
      <c r="JS3" s="157" t="s">
        <v>7</v>
      </c>
      <c r="JT3" s="158"/>
      <c r="JU3" s="82" t="str">
        <f>IF(IZ3="","",IZ3)</f>
        <v>Fiche O1/1</v>
      </c>
      <c r="JV3" s="80" t="str">
        <f>IF(JA3="","",JA3)</f>
        <v/>
      </c>
      <c r="JW3" s="200" t="str">
        <f>IF(JB3="","",JB3)</f>
        <v/>
      </c>
      <c r="JX3" s="81" t="str">
        <f>IF(JC3="","",JC3)</f>
        <v/>
      </c>
      <c r="JY3" s="173" t="s">
        <v>8</v>
      </c>
      <c r="JZ3" s="174"/>
      <c r="KA3" s="82" t="str">
        <f t="shared" ref="KA3:KF3" si="12">IF(JF3="","",JF3)</f>
        <v>Fiche O2/3</v>
      </c>
      <c r="KB3" s="80" t="str">
        <f t="shared" si="12"/>
        <v>EC</v>
      </c>
      <c r="KC3" s="200" t="str">
        <f t="shared" si="12"/>
        <v>Fiche CH3/3</v>
      </c>
      <c r="KD3" s="200" t="str">
        <f t="shared" si="12"/>
        <v>Fiche CH3/4</v>
      </c>
      <c r="KE3" s="200" t="str">
        <f t="shared" si="12"/>
        <v/>
      </c>
      <c r="KF3" s="81" t="str">
        <f t="shared" si="12"/>
        <v/>
      </c>
      <c r="KG3" s="179" t="s">
        <v>9</v>
      </c>
      <c r="KH3" s="180"/>
      <c r="KI3" s="181" t="s">
        <v>10</v>
      </c>
      <c r="KJ3" s="182"/>
      <c r="KK3" s="79" t="str">
        <f>IF(JP3="","",JP3)</f>
        <v>Frise atome</v>
      </c>
      <c r="KL3" s="80" t="str">
        <f>IF(JQ3="","",JQ3)</f>
        <v>Evaluation CH1 CH2</v>
      </c>
      <c r="KM3" s="81" t="str">
        <f>IF(JR3="","",JR3)</f>
        <v/>
      </c>
      <c r="KN3" s="157" t="s">
        <v>7</v>
      </c>
      <c r="KO3" s="158"/>
      <c r="KP3" s="82" t="str">
        <f>IF(JU3="","",JU3)</f>
        <v>Fiche O1/1</v>
      </c>
      <c r="KQ3" s="80" t="str">
        <f>IF(JV3="","",JV3)</f>
        <v/>
      </c>
      <c r="KR3" s="200" t="str">
        <f>IF(JW3="","",JW3)</f>
        <v/>
      </c>
      <c r="KS3" s="81" t="str">
        <f>IF(JX3="","",JX3)</f>
        <v/>
      </c>
      <c r="KT3" s="173" t="s">
        <v>8</v>
      </c>
      <c r="KU3" s="174"/>
      <c r="KV3" s="82" t="str">
        <f t="shared" ref="KV3:LA3" si="13">IF(KA3="","",KA3)</f>
        <v>Fiche O2/3</v>
      </c>
      <c r="KW3" s="80" t="str">
        <f t="shared" si="13"/>
        <v>EC</v>
      </c>
      <c r="KX3" s="200" t="str">
        <f t="shared" si="13"/>
        <v>Fiche CH3/3</v>
      </c>
      <c r="KY3" s="200" t="str">
        <f t="shared" si="13"/>
        <v>Fiche CH3/4</v>
      </c>
      <c r="KZ3" s="200" t="str">
        <f t="shared" si="13"/>
        <v/>
      </c>
      <c r="LA3" s="81" t="str">
        <f t="shared" si="13"/>
        <v/>
      </c>
      <c r="LB3" s="179" t="s">
        <v>9</v>
      </c>
      <c r="LC3" s="180"/>
      <c r="LD3" s="181" t="s">
        <v>10</v>
      </c>
      <c r="LE3" s="182"/>
      <c r="LF3" s="79" t="str">
        <f>IF(KK3="","",KK3)</f>
        <v>Frise atome</v>
      </c>
      <c r="LG3" s="80" t="str">
        <f>IF(KL3="","",KL3)</f>
        <v>Evaluation CH1 CH2</v>
      </c>
      <c r="LH3" s="81" t="str">
        <f>IF(KM3="","",KM3)</f>
        <v/>
      </c>
      <c r="LI3" s="157" t="s">
        <v>7</v>
      </c>
      <c r="LJ3" s="158"/>
      <c r="LK3" s="82" t="str">
        <f>IF(KP3="","",KP3)</f>
        <v>Fiche O1/1</v>
      </c>
      <c r="LL3" s="80" t="str">
        <f>IF(KQ3="","",KQ3)</f>
        <v/>
      </c>
      <c r="LM3" s="200" t="str">
        <f>IF(KR3="","",KR3)</f>
        <v/>
      </c>
      <c r="LN3" s="81" t="str">
        <f>IF(KS3="","",KS3)</f>
        <v/>
      </c>
      <c r="LO3" s="173" t="s">
        <v>8</v>
      </c>
      <c r="LP3" s="174"/>
      <c r="LQ3" s="82" t="str">
        <f t="shared" ref="LQ3:LV3" si="14">IF(KV3="","",KV3)</f>
        <v>Fiche O2/3</v>
      </c>
      <c r="LR3" s="80" t="str">
        <f t="shared" si="14"/>
        <v>EC</v>
      </c>
      <c r="LS3" s="200" t="str">
        <f t="shared" si="14"/>
        <v>Fiche CH3/3</v>
      </c>
      <c r="LT3" s="200" t="str">
        <f t="shared" si="14"/>
        <v>Fiche CH3/4</v>
      </c>
      <c r="LU3" s="200" t="str">
        <f t="shared" si="14"/>
        <v/>
      </c>
      <c r="LV3" s="81" t="str">
        <f t="shared" si="14"/>
        <v/>
      </c>
      <c r="LW3" s="179" t="s">
        <v>9</v>
      </c>
      <c r="LX3" s="180"/>
      <c r="LY3" s="181" t="s">
        <v>10</v>
      </c>
      <c r="LZ3" s="182"/>
      <c r="MA3" s="79" t="str">
        <f>IF(LF3="","",LF3)</f>
        <v>Frise atome</v>
      </c>
      <c r="MB3" s="80" t="str">
        <f>IF(LG3="","",LG3)</f>
        <v>Evaluation CH1 CH2</v>
      </c>
      <c r="MC3" s="81" t="str">
        <f>IF(LH3="","",LH3)</f>
        <v/>
      </c>
      <c r="MD3" s="157" t="s">
        <v>7</v>
      </c>
      <c r="ME3" s="158"/>
      <c r="MF3" s="82" t="str">
        <f>IF(LK3="","",LK3)</f>
        <v>Fiche O1/1</v>
      </c>
      <c r="MG3" s="80" t="str">
        <f>IF(LL3="","",LL3)</f>
        <v/>
      </c>
      <c r="MH3" s="200" t="str">
        <f>IF(LM3="","",LM3)</f>
        <v/>
      </c>
      <c r="MI3" s="81" t="str">
        <f>IF(LN3="","",LN3)</f>
        <v/>
      </c>
      <c r="MJ3" s="173" t="s">
        <v>8</v>
      </c>
      <c r="MK3" s="174"/>
      <c r="ML3" s="82" t="str">
        <f t="shared" ref="ML3:MQ3" si="15">IF(LQ3="","",LQ3)</f>
        <v>Fiche O2/3</v>
      </c>
      <c r="MM3" s="80" t="str">
        <f t="shared" si="15"/>
        <v>EC</v>
      </c>
      <c r="MN3" s="200" t="str">
        <f t="shared" si="15"/>
        <v>Fiche CH3/3</v>
      </c>
      <c r="MO3" s="200" t="str">
        <f t="shared" si="15"/>
        <v>Fiche CH3/4</v>
      </c>
      <c r="MP3" s="200" t="str">
        <f t="shared" si="15"/>
        <v/>
      </c>
      <c r="MQ3" s="81" t="str">
        <f t="shared" si="15"/>
        <v/>
      </c>
      <c r="MR3" s="179" t="s">
        <v>9</v>
      </c>
      <c r="MS3" s="180"/>
      <c r="MT3" s="181" t="s">
        <v>10</v>
      </c>
      <c r="MU3" s="182"/>
      <c r="MV3" s="79" t="str">
        <f>IF(MA3="","",MA3)</f>
        <v>Frise atome</v>
      </c>
      <c r="MW3" s="80" t="str">
        <f>IF(MB3="","",MB3)</f>
        <v>Evaluation CH1 CH2</v>
      </c>
      <c r="MX3" s="81" t="str">
        <f>IF(MC3="","",MC3)</f>
        <v/>
      </c>
      <c r="MY3" s="157" t="s">
        <v>7</v>
      </c>
      <c r="MZ3" s="158"/>
      <c r="NA3" s="82" t="str">
        <f>IF(MF3="","",MF3)</f>
        <v>Fiche O1/1</v>
      </c>
      <c r="NB3" s="80" t="str">
        <f>IF(MG3="","",MG3)</f>
        <v/>
      </c>
      <c r="NC3" s="200" t="str">
        <f>IF(MH3="","",MH3)</f>
        <v/>
      </c>
      <c r="ND3" s="81" t="str">
        <f>IF(MI3="","",MI3)</f>
        <v/>
      </c>
      <c r="NE3" s="173" t="s">
        <v>8</v>
      </c>
      <c r="NF3" s="174"/>
      <c r="NG3" s="82" t="str">
        <f t="shared" ref="NG3:NL3" si="16">IF(ML3="","",ML3)</f>
        <v>Fiche O2/3</v>
      </c>
      <c r="NH3" s="80" t="str">
        <f t="shared" si="16"/>
        <v>EC</v>
      </c>
      <c r="NI3" s="200" t="str">
        <f t="shared" si="16"/>
        <v>Fiche CH3/3</v>
      </c>
      <c r="NJ3" s="200" t="str">
        <f t="shared" si="16"/>
        <v>Fiche CH3/4</v>
      </c>
      <c r="NK3" s="200" t="str">
        <f t="shared" si="16"/>
        <v/>
      </c>
      <c r="NL3" s="81" t="str">
        <f t="shared" si="16"/>
        <v/>
      </c>
      <c r="NM3" s="179" t="s">
        <v>9</v>
      </c>
      <c r="NN3" s="180"/>
      <c r="NO3" s="181" t="s">
        <v>10</v>
      </c>
      <c r="NP3" s="182"/>
      <c r="NQ3" s="79" t="str">
        <f>IF(MV3="","",MV3)</f>
        <v>Frise atome</v>
      </c>
      <c r="NR3" s="80" t="str">
        <f>IF(MW3="","",MW3)</f>
        <v>Evaluation CH1 CH2</v>
      </c>
      <c r="NS3" s="81" t="str">
        <f>IF(MX3="","",MX3)</f>
        <v/>
      </c>
      <c r="NT3" s="157" t="s">
        <v>7</v>
      </c>
      <c r="NU3" s="158"/>
      <c r="NV3" s="82" t="str">
        <f>IF(NA3="","",NA3)</f>
        <v>Fiche O1/1</v>
      </c>
      <c r="NW3" s="80" t="str">
        <f>IF(NB3="","",NB3)</f>
        <v/>
      </c>
      <c r="NX3" s="200" t="str">
        <f>IF(NC3="","",NC3)</f>
        <v/>
      </c>
      <c r="NY3" s="81" t="str">
        <f>IF(ND3="","",ND3)</f>
        <v/>
      </c>
      <c r="NZ3" s="173" t="s">
        <v>8</v>
      </c>
      <c r="OA3" s="174"/>
      <c r="OB3" s="82" t="str">
        <f t="shared" ref="OB3:OG3" si="17">IF(NG3="","",NG3)</f>
        <v>Fiche O2/3</v>
      </c>
      <c r="OC3" s="80" t="str">
        <f t="shared" si="17"/>
        <v>EC</v>
      </c>
      <c r="OD3" s="200" t="str">
        <f t="shared" si="17"/>
        <v>Fiche CH3/3</v>
      </c>
      <c r="OE3" s="200" t="str">
        <f t="shared" si="17"/>
        <v>Fiche CH3/4</v>
      </c>
      <c r="OF3" s="200" t="str">
        <f t="shared" si="17"/>
        <v/>
      </c>
      <c r="OG3" s="81" t="str">
        <f t="shared" si="17"/>
        <v/>
      </c>
      <c r="OH3" s="179" t="s">
        <v>9</v>
      </c>
      <c r="OI3" s="180"/>
      <c r="OJ3" s="181" t="s">
        <v>10</v>
      </c>
      <c r="OK3" s="182"/>
      <c r="OL3" s="79" t="str">
        <f>IF(NQ3="","",NQ3)</f>
        <v>Frise atome</v>
      </c>
      <c r="OM3" s="80" t="str">
        <f>IF(NR3="","",NR3)</f>
        <v>Evaluation CH1 CH2</v>
      </c>
      <c r="ON3" s="81" t="str">
        <f>IF(NS3="","",NS3)</f>
        <v/>
      </c>
      <c r="OO3" s="157" t="s">
        <v>7</v>
      </c>
      <c r="OP3" s="158"/>
      <c r="OQ3" s="82" t="str">
        <f>IF(NV3="","",NV3)</f>
        <v>Fiche O1/1</v>
      </c>
      <c r="OR3" s="80" t="str">
        <f>IF(NW3="","",NW3)</f>
        <v/>
      </c>
      <c r="OS3" s="200" t="str">
        <f>IF(NX3="","",NX3)</f>
        <v/>
      </c>
      <c r="OT3" s="81" t="str">
        <f>IF(NY3="","",NY3)</f>
        <v/>
      </c>
      <c r="OU3" s="173" t="s">
        <v>8</v>
      </c>
      <c r="OV3" s="174"/>
      <c r="OW3" s="82" t="str">
        <f t="shared" ref="OW3:PB3" si="18">IF(OB3="","",OB3)</f>
        <v>Fiche O2/3</v>
      </c>
      <c r="OX3" s="80" t="str">
        <f t="shared" si="18"/>
        <v>EC</v>
      </c>
      <c r="OY3" s="200" t="str">
        <f t="shared" si="18"/>
        <v>Fiche CH3/3</v>
      </c>
      <c r="OZ3" s="200" t="str">
        <f t="shared" si="18"/>
        <v>Fiche CH3/4</v>
      </c>
      <c r="PA3" s="200" t="str">
        <f t="shared" si="18"/>
        <v/>
      </c>
      <c r="PB3" s="81" t="str">
        <f t="shared" si="18"/>
        <v/>
      </c>
      <c r="PC3" s="179" t="s">
        <v>9</v>
      </c>
      <c r="PD3" s="180"/>
      <c r="PE3" s="181" t="s">
        <v>10</v>
      </c>
      <c r="PF3" s="182"/>
      <c r="PG3" s="79" t="str">
        <f>IF(OL3="","",OL3)</f>
        <v>Frise atome</v>
      </c>
      <c r="PH3" s="80" t="str">
        <f>IF(OM3="","",OM3)</f>
        <v>Evaluation CH1 CH2</v>
      </c>
      <c r="PI3" s="81" t="str">
        <f>IF(ON3="","",ON3)</f>
        <v/>
      </c>
      <c r="PJ3" s="157" t="s">
        <v>7</v>
      </c>
      <c r="PK3" s="158"/>
      <c r="PL3" s="82" t="str">
        <f>IF(OQ3="","",OQ3)</f>
        <v>Fiche O1/1</v>
      </c>
      <c r="PM3" s="80" t="str">
        <f>IF(OR3="","",OR3)</f>
        <v/>
      </c>
      <c r="PN3" s="200" t="str">
        <f>IF(OS3="","",OS3)</f>
        <v/>
      </c>
      <c r="PO3" s="81" t="str">
        <f>IF(OT3="","",OT3)</f>
        <v/>
      </c>
      <c r="PP3" s="173" t="s">
        <v>8</v>
      </c>
      <c r="PQ3" s="174"/>
      <c r="PR3" s="82" t="str">
        <f t="shared" ref="PR3:PW3" si="19">IF(OW3="","",OW3)</f>
        <v>Fiche O2/3</v>
      </c>
      <c r="PS3" s="80" t="str">
        <f t="shared" si="19"/>
        <v>EC</v>
      </c>
      <c r="PT3" s="200" t="str">
        <f t="shared" si="19"/>
        <v>Fiche CH3/3</v>
      </c>
      <c r="PU3" s="200" t="str">
        <f t="shared" si="19"/>
        <v>Fiche CH3/4</v>
      </c>
      <c r="PV3" s="200" t="str">
        <f t="shared" si="19"/>
        <v/>
      </c>
      <c r="PW3" s="81" t="str">
        <f t="shared" si="19"/>
        <v/>
      </c>
      <c r="PX3" s="179" t="s">
        <v>9</v>
      </c>
      <c r="PY3" s="180"/>
      <c r="PZ3" s="181" t="s">
        <v>10</v>
      </c>
      <c r="QA3" s="182"/>
      <c r="QB3" s="79" t="str">
        <f>IF(PG3="","",PG3)</f>
        <v>Frise atome</v>
      </c>
      <c r="QC3" s="80" t="str">
        <f>IF(PH3="","",PH3)</f>
        <v>Evaluation CH1 CH2</v>
      </c>
      <c r="QD3" s="81" t="str">
        <f>IF(PI3="","",PI3)</f>
        <v/>
      </c>
      <c r="QE3" s="157" t="s">
        <v>7</v>
      </c>
      <c r="QF3" s="158"/>
      <c r="QG3" s="82" t="str">
        <f>IF(PL3="","",PL3)</f>
        <v>Fiche O1/1</v>
      </c>
      <c r="QH3" s="80" t="str">
        <f>IF(PM3="","",PM3)</f>
        <v/>
      </c>
      <c r="QI3" s="200" t="str">
        <f>IF(PN3="","",PN3)</f>
        <v/>
      </c>
      <c r="QJ3" s="81" t="str">
        <f>IF(PO3="","",PO3)</f>
        <v/>
      </c>
      <c r="QK3" s="173" t="s">
        <v>8</v>
      </c>
      <c r="QL3" s="174"/>
      <c r="QM3" s="82" t="str">
        <f t="shared" ref="QM3:QR3" si="20">IF(PR3="","",PR3)</f>
        <v>Fiche O2/3</v>
      </c>
      <c r="QN3" s="80" t="str">
        <f t="shared" si="20"/>
        <v>EC</v>
      </c>
      <c r="QO3" s="200" t="str">
        <f t="shared" si="20"/>
        <v>Fiche CH3/3</v>
      </c>
      <c r="QP3" s="200" t="str">
        <f t="shared" si="20"/>
        <v>Fiche CH3/4</v>
      </c>
      <c r="QQ3" s="200" t="str">
        <f t="shared" si="20"/>
        <v/>
      </c>
      <c r="QR3" s="81" t="str">
        <f t="shared" si="20"/>
        <v/>
      </c>
      <c r="QS3" s="179" t="s">
        <v>9</v>
      </c>
      <c r="QT3" s="180"/>
      <c r="QU3" s="181" t="s">
        <v>10</v>
      </c>
      <c r="QV3" s="182"/>
      <c r="QW3" s="79" t="str">
        <f>IF(QB3="","",QB3)</f>
        <v>Frise atome</v>
      </c>
      <c r="QX3" s="80" t="str">
        <f>IF(QC3="","",QC3)</f>
        <v>Evaluation CH1 CH2</v>
      </c>
      <c r="QY3" s="81" t="str">
        <f>IF(QD3="","",QD3)</f>
        <v/>
      </c>
      <c r="QZ3" s="157" t="s">
        <v>7</v>
      </c>
      <c r="RA3" s="158"/>
      <c r="RB3" s="82" t="str">
        <f>IF(QG3="","",QG3)</f>
        <v>Fiche O1/1</v>
      </c>
      <c r="RC3" s="80" t="str">
        <f>IF(QH3="","",QH3)</f>
        <v/>
      </c>
      <c r="RD3" s="200" t="str">
        <f>IF(QI3="","",QI3)</f>
        <v/>
      </c>
      <c r="RE3" s="81" t="str">
        <f>IF(QJ3="","",QJ3)</f>
        <v/>
      </c>
      <c r="RF3" s="173" t="s">
        <v>8</v>
      </c>
      <c r="RG3" s="174"/>
      <c r="RH3" s="82" t="str">
        <f t="shared" ref="RH3:RM3" si="21">IF(QM3="","",QM3)</f>
        <v>Fiche O2/3</v>
      </c>
      <c r="RI3" s="80" t="str">
        <f t="shared" si="21"/>
        <v>EC</v>
      </c>
      <c r="RJ3" s="200" t="str">
        <f t="shared" si="21"/>
        <v>Fiche CH3/3</v>
      </c>
      <c r="RK3" s="200" t="str">
        <f t="shared" si="21"/>
        <v>Fiche CH3/4</v>
      </c>
      <c r="RL3" s="200" t="str">
        <f t="shared" si="21"/>
        <v/>
      </c>
      <c r="RM3" s="81" t="str">
        <f t="shared" si="21"/>
        <v/>
      </c>
      <c r="RN3" s="179" t="s">
        <v>9</v>
      </c>
      <c r="RO3" s="180"/>
      <c r="RP3" s="181" t="s">
        <v>10</v>
      </c>
      <c r="RQ3" s="182"/>
      <c r="RR3" s="79" t="str">
        <f>IF(QW3="","",QW3)</f>
        <v>Frise atome</v>
      </c>
      <c r="RS3" s="80" t="str">
        <f>IF(QX3="","",QX3)</f>
        <v>Evaluation CH1 CH2</v>
      </c>
      <c r="RT3" s="81" t="str">
        <f>IF(QY3="","",QY3)</f>
        <v/>
      </c>
      <c r="RU3" s="157" t="s">
        <v>7</v>
      </c>
      <c r="RV3" s="158"/>
      <c r="RW3" s="82" t="str">
        <f>IF(RB3="","",RB3)</f>
        <v>Fiche O1/1</v>
      </c>
      <c r="RX3" s="80" t="str">
        <f>IF(RC3="","",RC3)</f>
        <v/>
      </c>
      <c r="RY3" s="200" t="str">
        <f>IF(RD3="","",RD3)</f>
        <v/>
      </c>
      <c r="RZ3" s="81" t="str">
        <f>IF(RE3="","",RE3)</f>
        <v/>
      </c>
      <c r="SA3" s="173" t="s">
        <v>8</v>
      </c>
      <c r="SB3" s="174"/>
      <c r="SC3" s="82" t="s">
        <v>203</v>
      </c>
      <c r="SD3" s="80" t="str">
        <f>IF(RI3="","",RI3)</f>
        <v>EC</v>
      </c>
      <c r="SE3" s="200" t="str">
        <f>IF(RJ3="","",RJ3)</f>
        <v>Fiche CH3/3</v>
      </c>
      <c r="SF3" s="200" t="str">
        <f>IF(RK3="","",RK3)</f>
        <v>Fiche CH3/4</v>
      </c>
      <c r="SG3" s="200" t="str">
        <f>IF(RL3="","",RL3)</f>
        <v/>
      </c>
      <c r="SH3" s="81" t="str">
        <f>IF(RM3="","",RM3)</f>
        <v/>
      </c>
      <c r="SI3" s="179" t="s">
        <v>9</v>
      </c>
      <c r="SJ3" s="180"/>
      <c r="SK3" s="181" t="s">
        <v>10</v>
      </c>
      <c r="SL3" s="182"/>
      <c r="SM3" s="79" t="str">
        <f>IF(RR3="","",RR3)</f>
        <v>Frise atome</v>
      </c>
      <c r="SN3" s="80" t="str">
        <f>IF(RS3="","",RS3)</f>
        <v>Evaluation CH1 CH2</v>
      </c>
      <c r="SO3" s="81" t="str">
        <f>IF(RT3="","",RT3)</f>
        <v/>
      </c>
      <c r="SP3" s="70" t="s">
        <v>7</v>
      </c>
      <c r="SQ3" s="71"/>
      <c r="SR3" s="82" t="str">
        <f>IF(RW3="","",RW3)</f>
        <v>Fiche O1/1</v>
      </c>
      <c r="SS3" s="80" t="str">
        <f>IF(RX3="","",RX3)</f>
        <v/>
      </c>
      <c r="ST3" s="81" t="str">
        <f>IF(RZ3="","",RZ3)</f>
        <v/>
      </c>
      <c r="SU3" s="73" t="s">
        <v>8</v>
      </c>
      <c r="SV3" s="74"/>
      <c r="SW3" s="82" t="str">
        <f>IF(SC3="","",SC3)</f>
        <v>Fiche O2/3</v>
      </c>
      <c r="SX3" s="80" t="str">
        <f>IF(SD3="","",SD3)</f>
        <v>EC</v>
      </c>
      <c r="SY3" s="81" t="str">
        <f>IF(SH3="","",SH3)</f>
        <v/>
      </c>
      <c r="SZ3" s="75" t="s">
        <v>9</v>
      </c>
      <c r="TA3" s="76"/>
      <c r="TB3" s="77" t="s">
        <v>10</v>
      </c>
      <c r="TC3" s="78"/>
      <c r="TD3" s="79" t="str">
        <f>IF(SM3="","",SM3)</f>
        <v>Frise atome</v>
      </c>
      <c r="TE3" s="80" t="str">
        <f>IF(SN3="","",SN3)</f>
        <v>Evaluation CH1 CH2</v>
      </c>
      <c r="TF3" s="81" t="str">
        <f>IF(SO3="","",SO3)</f>
        <v/>
      </c>
      <c r="TG3" s="70" t="s">
        <v>7</v>
      </c>
      <c r="TH3" s="71"/>
      <c r="TI3" s="82" t="str">
        <f>IF(SR3="","",SR3)</f>
        <v>Fiche O1/1</v>
      </c>
      <c r="TJ3" s="80" t="str">
        <f>IF(SS3="","",SS3)</f>
        <v/>
      </c>
      <c r="TK3" s="81" t="str">
        <f>IF(ST3="","",ST3)</f>
        <v/>
      </c>
      <c r="TL3" s="73" t="s">
        <v>8</v>
      </c>
      <c r="TM3" s="74"/>
      <c r="TN3" s="82" t="str">
        <f>IF(SW3="","",SW3)</f>
        <v>Fiche O2/3</v>
      </c>
      <c r="TO3" s="80" t="str">
        <f>IF(SX3="","",SX3)</f>
        <v>EC</v>
      </c>
      <c r="TP3" s="81" t="str">
        <f>IF(SY3="","",SY3)</f>
        <v/>
      </c>
      <c r="TQ3" s="75" t="s">
        <v>9</v>
      </c>
      <c r="TR3" s="76"/>
      <c r="TS3" s="77" t="s">
        <v>10</v>
      </c>
      <c r="TT3" s="78"/>
      <c r="TU3" s="79" t="str">
        <f>IF(TD3="","",TD3)</f>
        <v>Frise atome</v>
      </c>
      <c r="TV3" s="80" t="str">
        <f>IF(TE3="","",TE3)</f>
        <v>Evaluation CH1 CH2</v>
      </c>
      <c r="TW3" s="81" t="str">
        <f>IF(TF3="","",TF3)</f>
        <v/>
      </c>
      <c r="TX3" s="70" t="s">
        <v>7</v>
      </c>
      <c r="TY3" s="71"/>
      <c r="TZ3" s="82" t="str">
        <f>IF(TI3="","",TI3)</f>
        <v>Fiche O1/1</v>
      </c>
      <c r="UA3" s="80" t="str">
        <f>IF(TJ3="","",TJ3)</f>
        <v/>
      </c>
      <c r="UB3" s="81" t="str">
        <f>IF(TK3="","",TK3)</f>
        <v/>
      </c>
      <c r="UC3" s="73" t="s">
        <v>8</v>
      </c>
      <c r="UD3" s="74"/>
      <c r="UE3" s="82" t="str">
        <f>IF(TN3="","",TN3)</f>
        <v>Fiche O2/3</v>
      </c>
      <c r="UF3" s="80" t="str">
        <f>IF(TO3="","",TO3)</f>
        <v>EC</v>
      </c>
      <c r="UG3" s="81" t="str">
        <f>IF(TP3="","",TP3)</f>
        <v/>
      </c>
      <c r="UH3" s="75" t="s">
        <v>9</v>
      </c>
      <c r="UI3" s="76"/>
      <c r="UJ3" s="77" t="s">
        <v>10</v>
      </c>
      <c r="UK3" s="78"/>
      <c r="UL3" s="79" t="str">
        <f>IF(TU3="","",TU3)</f>
        <v>Frise atome</v>
      </c>
      <c r="UM3" s="80" t="str">
        <f>IF(TV3="","",TV3)</f>
        <v>Evaluation CH1 CH2</v>
      </c>
      <c r="UN3" s="81" t="str">
        <f>IF(TW3="","",TW3)</f>
        <v/>
      </c>
      <c r="UO3" s="70" t="s">
        <v>7</v>
      </c>
      <c r="UP3" s="71"/>
      <c r="UQ3" s="82" t="str">
        <f>IF(TZ3="","",TZ3)</f>
        <v>Fiche O1/1</v>
      </c>
      <c r="UR3" s="80" t="str">
        <f>IF(UA3="","",UA3)</f>
        <v/>
      </c>
      <c r="US3" s="81" t="str">
        <f>IF(UB3="","",UB3)</f>
        <v/>
      </c>
      <c r="UT3" s="73" t="s">
        <v>8</v>
      </c>
      <c r="UU3" s="74"/>
      <c r="UV3" s="82" t="str">
        <f>IF(UE3="","",UE3)</f>
        <v>Fiche O2/3</v>
      </c>
      <c r="UW3" s="80" t="str">
        <f>IF(UF3="","",UF3)</f>
        <v>EC</v>
      </c>
      <c r="UX3" s="81" t="str">
        <f>IF(UG3="","",UG3)</f>
        <v/>
      </c>
      <c r="UY3" s="75" t="s">
        <v>9</v>
      </c>
      <c r="UZ3" s="76"/>
      <c r="VA3" s="77" t="s">
        <v>10</v>
      </c>
      <c r="VB3" s="78"/>
      <c r="VC3" s="79" t="str">
        <f>IF(UL3="","",UL3)</f>
        <v>Frise atome</v>
      </c>
      <c r="VD3" s="80" t="str">
        <f>IF(UM3="","",UM3)</f>
        <v>Evaluation CH1 CH2</v>
      </c>
      <c r="VE3" s="81" t="str">
        <f>IF(UN3="","",UN3)</f>
        <v/>
      </c>
      <c r="VF3" s="70" t="s">
        <v>7</v>
      </c>
      <c r="VG3" s="71"/>
      <c r="VH3" s="82" t="str">
        <f>IF(UQ3="","",UQ3)</f>
        <v>Fiche O1/1</v>
      </c>
      <c r="VI3" s="80" t="str">
        <f>IF(UR3="","",UR3)</f>
        <v/>
      </c>
      <c r="VJ3" s="81" t="str">
        <f>IF(US3="","",US3)</f>
        <v/>
      </c>
      <c r="VK3" s="73" t="s">
        <v>8</v>
      </c>
      <c r="VL3" s="74"/>
      <c r="VM3" s="82" t="str">
        <f>IF(UV3="","",UV3)</f>
        <v>Fiche O2/3</v>
      </c>
      <c r="VN3" s="80" t="str">
        <f>IF(UW3="","",UW3)</f>
        <v>EC</v>
      </c>
      <c r="VO3" s="81" t="str">
        <f>IF(UX3="","",UX3)</f>
        <v/>
      </c>
      <c r="VP3" s="75" t="s">
        <v>9</v>
      </c>
      <c r="VQ3" s="76"/>
      <c r="VR3" s="77" t="s">
        <v>10</v>
      </c>
      <c r="VS3" s="78"/>
      <c r="VT3" s="79" t="str">
        <f>IF(VC3="","",VC3)</f>
        <v>Frise atome</v>
      </c>
      <c r="VU3" s="80" t="str">
        <f>IF(VD3="","",VD3)</f>
        <v>Evaluation CH1 CH2</v>
      </c>
      <c r="VV3" s="81" t="str">
        <f>IF(VE3="","",VE3)</f>
        <v/>
      </c>
      <c r="VW3" s="70" t="s">
        <v>7</v>
      </c>
      <c r="VX3" s="71"/>
      <c r="VY3" s="82" t="str">
        <f>IF(VH3="","",VH3)</f>
        <v>Fiche O1/1</v>
      </c>
      <c r="VZ3" s="80" t="str">
        <f>IF(VI3="","",VI3)</f>
        <v/>
      </c>
      <c r="WA3" s="81" t="str">
        <f>IF(VJ3="","",VJ3)</f>
        <v/>
      </c>
      <c r="WB3" s="73" t="s">
        <v>8</v>
      </c>
      <c r="WC3" s="74"/>
      <c r="WD3" s="82" t="str">
        <f>IF(VM3="","",VM3)</f>
        <v>Fiche O2/3</v>
      </c>
      <c r="WE3" s="80" t="str">
        <f>IF(VN3="","",VN3)</f>
        <v>EC</v>
      </c>
      <c r="WF3" s="81" t="str">
        <f>IF(VO3="","",VO3)</f>
        <v/>
      </c>
      <c r="WG3" s="75" t="s">
        <v>9</v>
      </c>
      <c r="WH3" s="76"/>
      <c r="WI3" s="77" t="s">
        <v>10</v>
      </c>
      <c r="WJ3" s="78"/>
    </row>
    <row r="4" spans="1:608" s="95" customFormat="1" ht="30" customHeight="1" thickBot="1" x14ac:dyDescent="0.6">
      <c r="A4" s="144" t="s">
        <v>11</v>
      </c>
      <c r="B4" s="83">
        <v>2</v>
      </c>
      <c r="C4" s="152"/>
      <c r="D4" s="65"/>
      <c r="E4" s="85"/>
      <c r="F4" s="159">
        <f>IF(COUNT(F5:F9)=0,"",SUM(F5:F9)/COUNT(F5:F9))</f>
        <v>3.25</v>
      </c>
      <c r="G4" s="160" t="str">
        <f t="shared" ref="G4:G21" si="22">IF(F4="","",IF(F4&gt;3.7,"A",IF(F4&gt;2.8,"B",IF(F4&gt;1.5,"C",IF(F4&gt;0,"D",IF(F4=0,""))))))</f>
        <v>B</v>
      </c>
      <c r="H4" s="152"/>
      <c r="I4" s="65"/>
      <c r="J4" s="65"/>
      <c r="K4" s="85"/>
      <c r="L4" s="159">
        <f>IF(COUNT(L5:L9)=0,"",SUM(L5:L9)/COUNT(L5:L9))</f>
        <v>3</v>
      </c>
      <c r="M4" s="175" t="str">
        <f t="shared" ref="M4:M21" si="23">IF(L4="","",IF(L4&gt;3.7,"A",IF(L4&gt;2.8,"B",IF(L4&gt;1.5,"C",IF(L4&gt;0,"D",IF(L4=0,""))))))</f>
        <v>B</v>
      </c>
      <c r="N4" s="153"/>
      <c r="O4" s="90"/>
      <c r="P4" s="90"/>
      <c r="Q4" s="90"/>
      <c r="R4" s="90"/>
      <c r="S4" s="91"/>
      <c r="T4" s="159">
        <f>IF(COUNT(T5:T9)=0,"",SUM(T5:T9)/COUNT(T5:T9))</f>
        <v>3.25</v>
      </c>
      <c r="U4" s="183" t="str">
        <f t="shared" ref="U4:U21" si="24">IF(T4="","",IF(T4&gt;3.7,"A",IF(T4&gt;2.8,"B",IF(T4&gt;1.5,"C",IF(T4&gt;0,"D",IF(T4=0,""))))))</f>
        <v>B</v>
      </c>
      <c r="V4" s="184">
        <f>IF(COUNT(V5:V9)=0,"",SUM(V5:V9)/COUNT(V5:V9))</f>
        <v>3.1875</v>
      </c>
      <c r="W4" s="185" t="str">
        <f t="shared" ref="W4:W21" si="25">IF(V4="","",IF(V4&gt;3.7,"A",IF(V4&gt;2.8,"B",IF(V4&gt;1.5,"C",IF(V4&gt;0,"D",IF(V4=0,""))))))</f>
        <v>B</v>
      </c>
      <c r="X4" s="152"/>
      <c r="Y4" s="65"/>
      <c r="Z4" s="85"/>
      <c r="AA4" s="159">
        <f>IF(COUNT(AA5:AA9)=0,"",SUM(AA5:AA9)/COUNT(AA5:AA9))</f>
        <v>1.25</v>
      </c>
      <c r="AB4" s="160" t="str">
        <f t="shared" ref="AB4:AB21" si="26">IF(AA4="","",IF(AA4&gt;3.7,"A",IF(AA4&gt;2.8,"B",IF(AA4&gt;1.5,"C",IF(AA4&gt;0,"D",IF(AA4=0,""))))))</f>
        <v>D</v>
      </c>
      <c r="AC4" s="152"/>
      <c r="AD4" s="65"/>
      <c r="AE4" s="65"/>
      <c r="AF4" s="85"/>
      <c r="AG4" s="159" t="str">
        <f>IF(COUNT(AG5:AG9)=0,"",SUM(AG5:AG9)/COUNT(AG5:AG9))</f>
        <v/>
      </c>
      <c r="AH4" s="175" t="str">
        <f t="shared" ref="AH4:AH21" si="27">IF(AG4="","",IF(AG4&gt;3.7,"A",IF(AG4&gt;2.8,"B",IF(AG4&gt;1.5,"C",IF(AG4&gt;0,"D",IF(AG4=0,""))))))</f>
        <v/>
      </c>
      <c r="AI4" s="153"/>
      <c r="AJ4" s="90"/>
      <c r="AK4" s="90"/>
      <c r="AL4" s="90"/>
      <c r="AM4" s="90"/>
      <c r="AN4" s="91"/>
      <c r="AO4" s="159" t="str">
        <f>IF(COUNT(AO5:AO9)=0,"",SUM(AO5:AO9)/COUNT(AO5:AO9))</f>
        <v/>
      </c>
      <c r="AP4" s="183" t="str">
        <f t="shared" ref="AP4:AP21" si="28">IF(AO4="","",IF(AO4&gt;3.7,"A",IF(AO4&gt;2.8,"B",IF(AO4&gt;1.5,"C",IF(AO4&gt;0,"D",IF(AO4=0,""))))))</f>
        <v/>
      </c>
      <c r="AQ4" s="184">
        <f>IF(COUNT(AQ5:AQ9)=0,"",SUM(AQ5:AQ9)/COUNT(AQ5:AQ9))</f>
        <v>1.25</v>
      </c>
      <c r="AR4" s="185" t="str">
        <f t="shared" ref="AR4:AR21" si="29">IF(AQ4="","",IF(AQ4&gt;3.7,"A",IF(AQ4&gt;2.8,"B",IF(AQ4&gt;1.5,"C",IF(AQ4&gt;0,"D",IF(AQ4=0,""))))))</f>
        <v>D</v>
      </c>
      <c r="AS4" s="152"/>
      <c r="AT4" s="65"/>
      <c r="AU4" s="85"/>
      <c r="AV4" s="159">
        <f>IF(COUNT(AV5:AV9)=0,"",SUM(AV5:AV9)/COUNT(AV5:AV9))</f>
        <v>1.25</v>
      </c>
      <c r="AW4" s="160" t="str">
        <f t="shared" ref="AW4:AW21" si="30">IF(AV4="","",IF(AV4&gt;3.7,"A",IF(AV4&gt;2.8,"B",IF(AV4&gt;1.5,"C",IF(AV4&gt;0,"D",IF(AV4=0,""))))))</f>
        <v>D</v>
      </c>
      <c r="AX4" s="152"/>
      <c r="AY4" s="65"/>
      <c r="AZ4" s="65"/>
      <c r="BA4" s="85"/>
      <c r="BB4" s="159">
        <f>IF(COUNT(BB5:BB9)=0,"",SUM(BB5:BB9)/COUNT(BB5:BB9))</f>
        <v>2</v>
      </c>
      <c r="BC4" s="175" t="str">
        <f t="shared" ref="BC4:BC21" si="31">IF(BB4="","",IF(BB4&gt;3.7,"A",IF(BB4&gt;2.8,"B",IF(BB4&gt;1.5,"C",IF(BB4&gt;0,"D",IF(BB4=0,""))))))</f>
        <v>C</v>
      </c>
      <c r="BD4" s="153"/>
      <c r="BE4" s="90"/>
      <c r="BF4" s="90"/>
      <c r="BG4" s="90"/>
      <c r="BH4" s="90"/>
      <c r="BI4" s="91"/>
      <c r="BJ4" s="159">
        <f>IF(COUNT(BJ5:BJ9)=0,"",SUM(BJ5:BJ9)/COUNT(BJ5:BJ9))</f>
        <v>1.5416666666666665</v>
      </c>
      <c r="BK4" s="183" t="str">
        <f t="shared" ref="BK4:BK21" si="32">IF(BJ4="","",IF(BJ4&gt;3.7,"A",IF(BJ4&gt;2.8,"B",IF(BJ4&gt;1.5,"C",IF(BJ4&gt;0,"D",IF(BJ4=0,""))))))</f>
        <v>C</v>
      </c>
      <c r="BL4" s="184">
        <f>IF(COUNT(BL5:BL9)=0,"",SUM(BL5:BL9)/COUNT(BL5:BL9))</f>
        <v>1.4583333333333333</v>
      </c>
      <c r="BM4" s="185" t="str">
        <f t="shared" ref="BM4:BM21" si="33">IF(BL4="","",IF(BL4&gt;3.7,"A",IF(BL4&gt;2.8,"B",IF(BL4&gt;1.5,"C",IF(BL4&gt;0,"D",IF(BL4=0,""))))))</f>
        <v>D</v>
      </c>
      <c r="BN4" s="152"/>
      <c r="BO4" s="65"/>
      <c r="BP4" s="85"/>
      <c r="BQ4" s="159">
        <f>IF(COUNT(BQ5:BQ9)=0,"",SUM(BQ5:BQ9)/COUNT(BQ5:BQ9))</f>
        <v>1.5</v>
      </c>
      <c r="BR4" s="160" t="str">
        <f t="shared" ref="BR4:BR21" si="34">IF(BQ4="","",IF(BQ4&gt;3.7,"A",IF(BQ4&gt;2.8,"B",IF(BQ4&gt;1.5,"C",IF(BQ4&gt;0,"D",IF(BQ4=0,""))))))</f>
        <v>D</v>
      </c>
      <c r="BS4" s="152"/>
      <c r="BT4" s="65"/>
      <c r="BU4" s="65"/>
      <c r="BV4" s="85"/>
      <c r="BW4" s="159">
        <f>IF(COUNT(BW5:BW9)=0,"",SUM(BW5:BW9)/COUNT(BW5:BW9))</f>
        <v>2</v>
      </c>
      <c r="BX4" s="175" t="str">
        <f t="shared" ref="BX4:BX21" si="35">IF(BW4="","",IF(BW4&gt;3.7,"A",IF(BW4&gt;2.8,"B",IF(BW4&gt;1.5,"C",IF(BW4&gt;0,"D",IF(BW4=0,""))))))</f>
        <v>C</v>
      </c>
      <c r="BY4" s="153"/>
      <c r="BZ4" s="90"/>
      <c r="CA4" s="90"/>
      <c r="CB4" s="90"/>
      <c r="CC4" s="90"/>
      <c r="CD4" s="91"/>
      <c r="CE4" s="159">
        <f>IF(COUNT(CE5:CE9)=0,"",SUM(CE5:CE9)/COUNT(CE5:CE9))</f>
        <v>1.4583333333333335</v>
      </c>
      <c r="CF4" s="183" t="str">
        <f t="shared" ref="CF4:CF21" si="36">IF(CE4="","",IF(CE4&gt;3.7,"A",IF(CE4&gt;2.8,"B",IF(CE4&gt;1.5,"C",IF(CE4&gt;0,"D",IF(CE4=0,""))))))</f>
        <v>D</v>
      </c>
      <c r="CG4" s="184">
        <f>IF(COUNT(CG5:CG9)=0,"",SUM(CG5:CG9)/COUNT(CG5:CG9))</f>
        <v>1.4791666666666667</v>
      </c>
      <c r="CH4" s="185" t="str">
        <f t="shared" ref="CH4:CH21" si="37">IF(CG4="","",IF(CG4&gt;3.7,"A",IF(CG4&gt;2.8,"B",IF(CG4&gt;1.5,"C",IF(CG4&gt;0,"D",IF(CG4=0,""))))))</f>
        <v>D</v>
      </c>
      <c r="CI4" s="152"/>
      <c r="CJ4" s="65"/>
      <c r="CK4" s="85"/>
      <c r="CL4" s="159">
        <f>IF(COUNT(CL5:CL9)=0,"",SUM(CL5:CL9)/COUNT(CL5:CL9))</f>
        <v>1.5</v>
      </c>
      <c r="CM4" s="160" t="str">
        <f t="shared" ref="CM4:CM21" si="38">IF(CL4="","",IF(CL4&gt;3.7,"A",IF(CL4&gt;2.8,"B",IF(CL4&gt;1.5,"C",IF(CL4&gt;0,"D",IF(CL4=0,""))))))</f>
        <v>D</v>
      </c>
      <c r="CN4" s="152"/>
      <c r="CO4" s="65"/>
      <c r="CP4" s="65"/>
      <c r="CQ4" s="85"/>
      <c r="CR4" s="159" t="str">
        <f>IF(COUNT(CR5:CR9)=0,"",SUM(CR5:CR9)/COUNT(CR5:CR9))</f>
        <v/>
      </c>
      <c r="CS4" s="175" t="str">
        <f t="shared" ref="CS4:CS21" si="39">IF(CR4="","",IF(CR4&gt;3.7,"A",IF(CR4&gt;2.8,"B",IF(CR4&gt;1.5,"C",IF(CR4&gt;0,"D",IF(CR4=0,""))))))</f>
        <v/>
      </c>
      <c r="CT4" s="153"/>
      <c r="CU4" s="90"/>
      <c r="CV4" s="90"/>
      <c r="CW4" s="90"/>
      <c r="CX4" s="90"/>
      <c r="CY4" s="91"/>
      <c r="CZ4" s="159">
        <f>IF(COUNT(CZ5:CZ9)=0,"",SUM(CZ5:CZ9)/COUNT(CZ5:CZ9))</f>
        <v>1.9166666666666665</v>
      </c>
      <c r="DA4" s="183" t="str">
        <f t="shared" ref="DA4:DA21" si="40">IF(CZ4="","",IF(CZ4&gt;3.7,"A",IF(CZ4&gt;2.8,"B",IF(CZ4&gt;1.5,"C",IF(CZ4&gt;0,"D",IF(CZ4=0,""))))))</f>
        <v>C</v>
      </c>
      <c r="DB4" s="184">
        <f>IF(COUNT(DB5:DB9)=0,"",SUM(DB5:DB9)/COUNT(DB5:DB9))</f>
        <v>1.9166666666666665</v>
      </c>
      <c r="DC4" s="185" t="str">
        <f t="shared" ref="DC4:DC21" si="41">IF(DB4="","",IF(DB4&gt;3.7,"A",IF(DB4&gt;2.8,"B",IF(DB4&gt;1.5,"C",IF(DB4&gt;0,"D",IF(DB4=0,""))))))</f>
        <v>C</v>
      </c>
      <c r="DD4" s="152"/>
      <c r="DE4" s="65"/>
      <c r="DF4" s="85"/>
      <c r="DG4" s="159">
        <f>IF(COUNT(DG5:DG9)=0,"",SUM(DG5:DG9)/COUNT(DG5:DG9))</f>
        <v>1.25</v>
      </c>
      <c r="DH4" s="160" t="str">
        <f t="shared" ref="DH4:DH21" si="42">IF(DG4="","",IF(DG4&gt;3.7,"A",IF(DG4&gt;2.8,"B",IF(DG4&gt;1.5,"C",IF(DG4&gt;0,"D",IF(DG4=0,""))))))</f>
        <v>D</v>
      </c>
      <c r="DI4" s="152"/>
      <c r="DJ4" s="65"/>
      <c r="DK4" s="65"/>
      <c r="DL4" s="85"/>
      <c r="DM4" s="159">
        <f>IF(COUNT(DM5:DM9)=0,"",SUM(DM5:DM9)/COUNT(DM5:DM9))</f>
        <v>3</v>
      </c>
      <c r="DN4" s="175" t="str">
        <f t="shared" ref="DN4:DN21" si="43">IF(DM4="","",IF(DM4&gt;3.7,"A",IF(DM4&gt;2.8,"B",IF(DM4&gt;1.5,"C",IF(DM4&gt;0,"D",IF(DM4=0,""))))))</f>
        <v>B</v>
      </c>
      <c r="DO4" s="153"/>
      <c r="DP4" s="90"/>
      <c r="DQ4" s="90"/>
      <c r="DR4" s="90"/>
      <c r="DS4" s="90"/>
      <c r="DT4" s="91"/>
      <c r="DU4" s="159">
        <f>IF(COUNT(DU5:DU9)=0,"",SUM(DU5:DU9)/COUNT(DU5:DU9))</f>
        <v>2.5416666666666665</v>
      </c>
      <c r="DV4" s="183" t="str">
        <f t="shared" ref="DV4:DV21" si="44">IF(DU4="","",IF(DU4&gt;3.7,"A",IF(DU4&gt;2.8,"B",IF(DU4&gt;1.5,"C",IF(DU4&gt;0,"D",IF(DU4=0,""))))))</f>
        <v>C</v>
      </c>
      <c r="DW4" s="184">
        <f>IF(COUNT(DW5:DW9)=0,"",SUM(DW5:DW9)/COUNT(DW5:DW9))</f>
        <v>2.208333333333333</v>
      </c>
      <c r="DX4" s="185" t="str">
        <f t="shared" ref="DX4:DX21" si="45">IF(DW4="","",IF(DW4&gt;3.7,"A",IF(DW4&gt;2.8,"B",IF(DW4&gt;1.5,"C",IF(DW4&gt;0,"D",IF(DW4=0,""))))))</f>
        <v>C</v>
      </c>
      <c r="DY4" s="152"/>
      <c r="DZ4" s="65"/>
      <c r="EA4" s="85"/>
      <c r="EB4" s="159">
        <f>IF(COUNT(EB5:EB9)=0,"",SUM(EB5:EB9)/COUNT(EB5:EB9))</f>
        <v>1.5</v>
      </c>
      <c r="EC4" s="160" t="str">
        <f t="shared" ref="EC4:EC21" si="46">IF(EB4="","",IF(EB4&gt;3.7,"A",IF(EB4&gt;2.8,"B",IF(EB4&gt;1.5,"C",IF(EB4&gt;0,"D",IF(EB4=0,""))))))</f>
        <v>D</v>
      </c>
      <c r="ED4" s="152"/>
      <c r="EE4" s="65"/>
      <c r="EF4" s="65"/>
      <c r="EG4" s="85"/>
      <c r="EH4" s="159">
        <f>IF(COUNT(EH5:EH9)=0,"",SUM(EH5:EH9)/COUNT(EH5:EH9))</f>
        <v>2</v>
      </c>
      <c r="EI4" s="175" t="str">
        <f t="shared" ref="EI4:EI21" si="47">IF(EH4="","",IF(EH4&gt;3.7,"A",IF(EH4&gt;2.8,"B",IF(EH4&gt;1.5,"C",IF(EH4&gt;0,"D",IF(EH4=0,""))))))</f>
        <v>C</v>
      </c>
      <c r="EJ4" s="153"/>
      <c r="EK4" s="90"/>
      <c r="EL4" s="90"/>
      <c r="EM4" s="90"/>
      <c r="EN4" s="90"/>
      <c r="EO4" s="91"/>
      <c r="EP4" s="159">
        <f>IF(COUNT(EP5:EP9)=0,"",SUM(EP5:EP9)/COUNT(EP5:EP9))</f>
        <v>2.9375</v>
      </c>
      <c r="EQ4" s="183" t="str">
        <f t="shared" ref="EQ4:EQ21" si="48">IF(EP4="","",IF(EP4&gt;3.7,"A",IF(EP4&gt;2.8,"B",IF(EP4&gt;1.5,"C",IF(EP4&gt;0,"D",IF(EP4=0,""))))))</f>
        <v>B</v>
      </c>
      <c r="ER4" s="184">
        <f>IF(COUNT(ER5:ER9)=0,"",SUM(ER5:ER9)/COUNT(ER5:ER9))</f>
        <v>2.40625</v>
      </c>
      <c r="ES4" s="185" t="str">
        <f t="shared" ref="ES4:ES21" si="49">IF(ER4="","",IF(ER4&gt;3.7,"A",IF(ER4&gt;2.8,"B",IF(ER4&gt;1.5,"C",IF(ER4&gt;0,"D",IF(ER4=0,""))))))</f>
        <v>C</v>
      </c>
      <c r="ET4" s="152"/>
      <c r="EU4" s="65"/>
      <c r="EV4" s="85"/>
      <c r="EW4" s="159">
        <f>IF(COUNT(EW5:EW9)=0,"",SUM(EW5:EW9)/COUNT(EW5:EW9))</f>
        <v>2.5</v>
      </c>
      <c r="EX4" s="160" t="str">
        <f t="shared" ref="EX4:EX21" si="50">IF(EW4="","",IF(EW4&gt;3.7,"A",IF(EW4&gt;2.8,"B",IF(EW4&gt;1.5,"C",IF(EW4&gt;0,"D",IF(EW4=0,""))))))</f>
        <v>C</v>
      </c>
      <c r="EY4" s="152"/>
      <c r="EZ4" s="65"/>
      <c r="FA4" s="65"/>
      <c r="FB4" s="85"/>
      <c r="FC4" s="159">
        <f>IF(COUNT(FC5:FC9)=0,"",SUM(FC5:FC9)/COUNT(FC5:FC9))</f>
        <v>1</v>
      </c>
      <c r="FD4" s="175" t="str">
        <f t="shared" ref="FD4:FD21" si="51">IF(FC4="","",IF(FC4&gt;3.7,"A",IF(FC4&gt;2.8,"B",IF(FC4&gt;1.5,"C",IF(FC4&gt;0,"D",IF(FC4=0,""))))))</f>
        <v>D</v>
      </c>
      <c r="FE4" s="153"/>
      <c r="FF4" s="90"/>
      <c r="FG4" s="90"/>
      <c r="FH4" s="90"/>
      <c r="FI4" s="90"/>
      <c r="FJ4" s="91"/>
      <c r="FK4" s="159">
        <f>IF(COUNT(FK5:FK9)=0,"",SUM(FK5:FK9)/COUNT(FK5:FK9))</f>
        <v>2.5416666666666665</v>
      </c>
      <c r="FL4" s="183" t="str">
        <f t="shared" ref="FL4:FL21" si="52">IF(FK4="","",IF(FK4&gt;3.7,"A",IF(FK4&gt;2.8,"B",IF(FK4&gt;1.5,"C",IF(FK4&gt;0,"D",IF(FK4=0,""))))))</f>
        <v>C</v>
      </c>
      <c r="FM4" s="184">
        <f>IF(COUNT(FM5:FM9)=0,"",SUM(FM5:FM9)/COUNT(FM5:FM9))</f>
        <v>2.270833333333333</v>
      </c>
      <c r="FN4" s="185" t="str">
        <f t="shared" ref="FN4:FN21" si="53">IF(FM4="","",IF(FM4&gt;3.7,"A",IF(FM4&gt;2.8,"B",IF(FM4&gt;1.5,"C",IF(FM4&gt;0,"D",IF(FM4=0,""))))))</f>
        <v>C</v>
      </c>
      <c r="FO4" s="152"/>
      <c r="FP4" s="65"/>
      <c r="FQ4" s="85"/>
      <c r="FR4" s="159">
        <f>IF(COUNT(FR5:FR9)=0,"",SUM(FR5:FR9)/COUNT(FR5:FR9))</f>
        <v>2</v>
      </c>
      <c r="FS4" s="160" t="str">
        <f t="shared" ref="FS4:FS21" si="54">IF(FR4="","",IF(FR4&gt;3.7,"A",IF(FR4&gt;2.8,"B",IF(FR4&gt;1.5,"C",IF(FR4&gt;0,"D",IF(FR4=0,""))))))</f>
        <v>C</v>
      </c>
      <c r="FT4" s="152"/>
      <c r="FU4" s="65"/>
      <c r="FV4" s="65"/>
      <c r="FW4" s="85"/>
      <c r="FX4" s="159">
        <f>IF(COUNT(FX5:FX9)=0,"",SUM(FX5:FX9)/COUNT(FX5:FX9))</f>
        <v>1</v>
      </c>
      <c r="FY4" s="175" t="str">
        <f t="shared" ref="FY4:FY21" si="55">IF(FX4="","",IF(FX4&gt;3.7,"A",IF(FX4&gt;2.8,"B",IF(FX4&gt;1.5,"C",IF(FX4&gt;0,"D",IF(FX4=0,""))))))</f>
        <v>D</v>
      </c>
      <c r="FZ4" s="153"/>
      <c r="GA4" s="90"/>
      <c r="GB4" s="90"/>
      <c r="GC4" s="90"/>
      <c r="GD4" s="90"/>
      <c r="GE4" s="91"/>
      <c r="GF4" s="159">
        <f>IF(COUNT(GF5:GF9)=0,"",SUM(GF5:GF9)/COUNT(GF5:GF9))</f>
        <v>2.1875</v>
      </c>
      <c r="GG4" s="183" t="str">
        <f t="shared" ref="GG4:GG21" si="56">IF(GF4="","",IF(GF4&gt;3.7,"A",IF(GF4&gt;2.8,"B",IF(GF4&gt;1.5,"C",IF(GF4&gt;0,"D",IF(GF4=0,""))))))</f>
        <v>C</v>
      </c>
      <c r="GH4" s="184">
        <f>IF(COUNT(GH5:GH9)=0,"",SUM(GH5:GH9)/COUNT(GH5:GH9))</f>
        <v>1.96875</v>
      </c>
      <c r="GI4" s="185" t="str">
        <f t="shared" ref="GI4:GI21" si="57">IF(GH4="","",IF(GH4&gt;3.7,"A",IF(GH4&gt;2.8,"B",IF(GH4&gt;1.5,"C",IF(GH4&gt;0,"D",IF(GH4=0,""))))))</f>
        <v>C</v>
      </c>
      <c r="GJ4" s="152"/>
      <c r="GK4" s="65"/>
      <c r="GL4" s="85"/>
      <c r="GM4" s="159">
        <f>IF(COUNT(GM5:GM9)=0,"",SUM(GM5:GM9)/COUNT(GM5:GM9))</f>
        <v>1.25</v>
      </c>
      <c r="GN4" s="160" t="str">
        <f t="shared" ref="GN4:GN21" si="58">IF(GM4="","",IF(GM4&gt;3.7,"A",IF(GM4&gt;2.8,"B",IF(GM4&gt;1.5,"C",IF(GM4&gt;0,"D",IF(GM4=0,""))))))</f>
        <v>D</v>
      </c>
      <c r="GO4" s="152"/>
      <c r="GP4" s="65"/>
      <c r="GQ4" s="65"/>
      <c r="GR4" s="85"/>
      <c r="GS4" s="159">
        <f>IF(COUNT(GS5:GS9)=0,"",SUM(GS5:GS9)/COUNT(GS5:GS9))</f>
        <v>2</v>
      </c>
      <c r="GT4" s="175" t="str">
        <f t="shared" ref="GT4:GT21" si="59">IF(GS4="","",IF(GS4&gt;3.7,"A",IF(GS4&gt;2.8,"B",IF(GS4&gt;1.5,"C",IF(GS4&gt;0,"D",IF(GS4=0,""))))))</f>
        <v>C</v>
      </c>
      <c r="GU4" s="153"/>
      <c r="GV4" s="90"/>
      <c r="GW4" s="90"/>
      <c r="GX4" s="90"/>
      <c r="GY4" s="90"/>
      <c r="GZ4" s="91"/>
      <c r="HA4" s="159">
        <f>IF(COUNT(HA5:HA9)=0,"",SUM(HA5:HA9)/COUNT(HA5:HA9))</f>
        <v>3</v>
      </c>
      <c r="HB4" s="183" t="str">
        <f t="shared" ref="HB4:HB21" si="60">IF(HA4="","",IF(HA4&gt;3.7,"A",IF(HA4&gt;2.8,"B",IF(HA4&gt;1.5,"C",IF(HA4&gt;0,"D",IF(HA4=0,""))))))</f>
        <v>B</v>
      </c>
      <c r="HC4" s="184">
        <f>IF(COUNT(HC5:HC9)=0,"",SUM(HC5:HC9)/COUNT(HC5:HC9))</f>
        <v>2.25</v>
      </c>
      <c r="HD4" s="185" t="str">
        <f t="shared" ref="HD4:HD21" si="61">IF(HC4="","",IF(HC4&gt;3.7,"A",IF(HC4&gt;2.8,"B",IF(HC4&gt;1.5,"C",IF(HC4&gt;0,"D",IF(HC4=0,""))))))</f>
        <v>C</v>
      </c>
      <c r="HE4" s="152"/>
      <c r="HF4" s="65"/>
      <c r="HG4" s="85"/>
      <c r="HH4" s="159">
        <f>IF(COUNT(HH5:HH9)=0,"",SUM(HH5:HH9)/COUNT(HH5:HH9))</f>
        <v>1</v>
      </c>
      <c r="HI4" s="160" t="str">
        <f t="shared" ref="HI4:HI21" si="62">IF(HH4="","",IF(HH4&gt;3.7,"A",IF(HH4&gt;2.8,"B",IF(HH4&gt;1.5,"C",IF(HH4&gt;0,"D",IF(HH4=0,""))))))</f>
        <v>D</v>
      </c>
      <c r="HJ4" s="152"/>
      <c r="HK4" s="65"/>
      <c r="HL4" s="65"/>
      <c r="HM4" s="85"/>
      <c r="HN4" s="159">
        <f>IF(COUNT(HN5:HN9)=0,"",SUM(HN5:HN9)/COUNT(HN5:HN9))</f>
        <v>3</v>
      </c>
      <c r="HO4" s="175" t="str">
        <f t="shared" ref="HO4:HO21" si="63">IF(HN4="","",IF(HN4&gt;3.7,"A",IF(HN4&gt;2.8,"B",IF(HN4&gt;1.5,"C",IF(HN4&gt;0,"D",IF(HN4=0,""))))))</f>
        <v>B</v>
      </c>
      <c r="HP4" s="153"/>
      <c r="HQ4" s="90"/>
      <c r="HR4" s="90"/>
      <c r="HS4" s="90"/>
      <c r="HT4" s="90"/>
      <c r="HU4" s="91"/>
      <c r="HV4" s="159">
        <f>IF(COUNT(HV5:HV9)=0,"",SUM(HV5:HV9)/COUNT(HV5:HV9))</f>
        <v>1.7083333333333335</v>
      </c>
      <c r="HW4" s="183" t="str">
        <f t="shared" ref="HW4:HW21" si="64">IF(HV4="","",IF(HV4&gt;3.7,"A",IF(HV4&gt;2.8,"B",IF(HV4&gt;1.5,"C",IF(HV4&gt;0,"D",IF(HV4=0,""))))))</f>
        <v>C</v>
      </c>
      <c r="HX4" s="184">
        <f>IF(COUNT(HX5:HX9)=0,"",SUM(HX5:HX9)/COUNT(HX5:HX9))</f>
        <v>1.6041666666666667</v>
      </c>
      <c r="HY4" s="185" t="str">
        <f t="shared" ref="HY4:HY21" si="65">IF(HX4="","",IF(HX4&gt;3.7,"A",IF(HX4&gt;2.8,"B",IF(HX4&gt;1.5,"C",IF(HX4&gt;0,"D",IF(HX4=0,""))))))</f>
        <v>C</v>
      </c>
      <c r="HZ4" s="152"/>
      <c r="IA4" s="65"/>
      <c r="IB4" s="85"/>
      <c r="IC4" s="159">
        <f>IF(COUNT(IC5:IC9)=0,"",SUM(IC5:IC9)/COUNT(IC5:IC9))</f>
        <v>2.5</v>
      </c>
      <c r="ID4" s="160" t="str">
        <f t="shared" ref="ID4:ID21" si="66">IF(IC4="","",IF(IC4&gt;3.7,"A",IF(IC4&gt;2.8,"B",IF(IC4&gt;1.5,"C",IF(IC4&gt;0,"D",IF(IC4=0,""))))))</f>
        <v>C</v>
      </c>
      <c r="IE4" s="152"/>
      <c r="IF4" s="65"/>
      <c r="IG4" s="65"/>
      <c r="IH4" s="85"/>
      <c r="II4" s="159">
        <f>IF(COUNT(II5:II9)=0,"",SUM(II5:II9)/COUNT(II5:II9))</f>
        <v>1</v>
      </c>
      <c r="IJ4" s="175" t="str">
        <f t="shared" ref="IJ4:IJ21" si="67">IF(II4="","",IF(II4&gt;3.7,"A",IF(II4&gt;2.8,"B",IF(II4&gt;1.5,"C",IF(II4&gt;0,"D",IF(II4=0,""))))))</f>
        <v>D</v>
      </c>
      <c r="IK4" s="153"/>
      <c r="IL4" s="90"/>
      <c r="IM4" s="90"/>
      <c r="IN4" s="90"/>
      <c r="IO4" s="90"/>
      <c r="IP4" s="91"/>
      <c r="IQ4" s="159">
        <f>IF(COUNT(IQ5:IQ9)=0,"",SUM(IQ5:IQ9)/COUNT(IQ5:IQ9))</f>
        <v>2.4166666666666665</v>
      </c>
      <c r="IR4" s="183" t="str">
        <f t="shared" ref="IR4:IR21" si="68">IF(IQ4="","",IF(IQ4&gt;3.7,"A",IF(IQ4&gt;2.8,"B",IF(IQ4&gt;1.5,"C",IF(IQ4&gt;0,"D",IF(IQ4=0,""))))))</f>
        <v>C</v>
      </c>
      <c r="IS4" s="184">
        <f>IF(COUNT(IS5:IS9)=0,"",SUM(IS5:IS9)/COUNT(IS5:IS9))</f>
        <v>2.083333333333333</v>
      </c>
      <c r="IT4" s="185" t="str">
        <f t="shared" ref="IT4:IT21" si="69">IF(IS4="","",IF(IS4&gt;3.7,"A",IF(IS4&gt;2.8,"B",IF(IS4&gt;1.5,"C",IF(IS4&gt;0,"D",IF(IS4=0,""))))))</f>
        <v>C</v>
      </c>
      <c r="IU4" s="152"/>
      <c r="IV4" s="65"/>
      <c r="IW4" s="85"/>
      <c r="IX4" s="159">
        <f>IF(COUNT(IX5:IX9)=0,"",SUM(IX5:IX9)/COUNT(IX5:IX9))</f>
        <v>1</v>
      </c>
      <c r="IY4" s="160" t="str">
        <f t="shared" ref="IY4:IY21" si="70">IF(IX4="","",IF(IX4&gt;3.7,"A",IF(IX4&gt;2.8,"B",IF(IX4&gt;1.5,"C",IF(IX4&gt;0,"D",IF(IX4=0,""))))))</f>
        <v>D</v>
      </c>
      <c r="IZ4" s="152"/>
      <c r="JA4" s="65"/>
      <c r="JB4" s="65"/>
      <c r="JC4" s="85"/>
      <c r="JD4" s="159">
        <f>IF(COUNT(JD5:JD9)=0,"",SUM(JD5:JD9)/COUNT(JD5:JD9))</f>
        <v>2</v>
      </c>
      <c r="JE4" s="175" t="str">
        <f t="shared" ref="JE4:JE21" si="71">IF(JD4="","",IF(JD4&gt;3.7,"A",IF(JD4&gt;2.8,"B",IF(JD4&gt;1.5,"C",IF(JD4&gt;0,"D",IF(JD4=0,""))))))</f>
        <v>C</v>
      </c>
      <c r="JF4" s="153"/>
      <c r="JG4" s="90"/>
      <c r="JH4" s="90"/>
      <c r="JI4" s="90"/>
      <c r="JJ4" s="90"/>
      <c r="JK4" s="91"/>
      <c r="JL4" s="159">
        <f>IF(COUNT(JL5:JL9)=0,"",SUM(JL5:JL9)/COUNT(JL5:JL9))</f>
        <v>1.875</v>
      </c>
      <c r="JM4" s="183" t="str">
        <f t="shared" ref="JM4:JM21" si="72">IF(JL4="","",IF(JL4&gt;3.7,"A",IF(JL4&gt;2.8,"B",IF(JL4&gt;1.5,"C",IF(JL4&gt;0,"D",IF(JL4=0,""))))))</f>
        <v>C</v>
      </c>
      <c r="JN4" s="184">
        <f>IF(COUNT(JN5:JN9)=0,"",SUM(JN5:JN9)/COUNT(JN5:JN9))</f>
        <v>1.625</v>
      </c>
      <c r="JO4" s="185" t="str">
        <f t="shared" ref="JO4:JO21" si="73">IF(JN4="","",IF(JN4&gt;3.7,"A",IF(JN4&gt;2.8,"B",IF(JN4&gt;1.5,"C",IF(JN4&gt;0,"D",IF(JN4=0,""))))))</f>
        <v>C</v>
      </c>
      <c r="JP4" s="152"/>
      <c r="JQ4" s="65"/>
      <c r="JR4" s="85"/>
      <c r="JS4" s="159">
        <f>IF(COUNT(JS5:JS9)=0,"",SUM(JS5:JS9)/COUNT(JS5:JS9))</f>
        <v>1.75</v>
      </c>
      <c r="JT4" s="160" t="str">
        <f t="shared" ref="JT4:JT21" si="74">IF(JS4="","",IF(JS4&gt;3.7,"A",IF(JS4&gt;2.8,"B",IF(JS4&gt;1.5,"C",IF(JS4&gt;0,"D",IF(JS4=0,""))))))</f>
        <v>C</v>
      </c>
      <c r="JU4" s="152"/>
      <c r="JV4" s="65"/>
      <c r="JW4" s="65"/>
      <c r="JX4" s="85"/>
      <c r="JY4" s="159">
        <f>IF(COUNT(JY5:JY9)=0,"",SUM(JY5:JY9)/COUNT(JY5:JY9))</f>
        <v>1</v>
      </c>
      <c r="JZ4" s="175" t="str">
        <f t="shared" ref="JZ4:JZ21" si="75">IF(JY4="","",IF(JY4&gt;3.7,"A",IF(JY4&gt;2.8,"B",IF(JY4&gt;1.5,"C",IF(JY4&gt;0,"D",IF(JY4=0,""))))))</f>
        <v>D</v>
      </c>
      <c r="KA4" s="153"/>
      <c r="KB4" s="90"/>
      <c r="KC4" s="90"/>
      <c r="KD4" s="90"/>
      <c r="KE4" s="90"/>
      <c r="KF4" s="91"/>
      <c r="KG4" s="159">
        <f>IF(COUNT(KG5:KG9)=0,"",SUM(KG5:KG9)/COUNT(KG5:KG9))</f>
        <v>2</v>
      </c>
      <c r="KH4" s="183" t="str">
        <f t="shared" ref="KH4:KH21" si="76">IF(KG4="","",IF(KG4&gt;3.7,"A",IF(KG4&gt;2.8,"B",IF(KG4&gt;1.5,"C",IF(KG4&gt;0,"D",IF(KG4=0,""))))))</f>
        <v>C</v>
      </c>
      <c r="KI4" s="184">
        <f>IF(COUNT(KI5:KI9)=0,"",SUM(KI5:KI9)/COUNT(KI5:KI9))</f>
        <v>1.6875</v>
      </c>
      <c r="KJ4" s="185" t="str">
        <f t="shared" ref="KJ4:KJ21" si="77">IF(KI4="","",IF(KI4&gt;3.7,"A",IF(KI4&gt;2.8,"B",IF(KI4&gt;1.5,"C",IF(KI4&gt;0,"D",IF(KI4=0,""))))))</f>
        <v>C</v>
      </c>
      <c r="KK4" s="152"/>
      <c r="KL4" s="65"/>
      <c r="KM4" s="85"/>
      <c r="KN4" s="159">
        <f>IF(COUNT(KN5:KN9)=0,"",SUM(KN5:KN9)/COUNT(KN5:KN9))</f>
        <v>1.5</v>
      </c>
      <c r="KO4" s="160" t="str">
        <f t="shared" ref="KO4:KO21" si="78">IF(KN4="","",IF(KN4&gt;3.7,"A",IF(KN4&gt;2.8,"B",IF(KN4&gt;1.5,"C",IF(KN4&gt;0,"D",IF(KN4=0,""))))))</f>
        <v>D</v>
      </c>
      <c r="KP4" s="152"/>
      <c r="KQ4" s="65"/>
      <c r="KR4" s="65"/>
      <c r="KS4" s="85"/>
      <c r="KT4" s="159">
        <f>IF(COUNT(KT5:KT9)=0,"",SUM(KT5:KT9)/COUNT(KT5:KT9))</f>
        <v>2</v>
      </c>
      <c r="KU4" s="175" t="str">
        <f t="shared" ref="KU4:KU21" si="79">IF(KT4="","",IF(KT4&gt;3.7,"A",IF(KT4&gt;2.8,"B",IF(KT4&gt;1.5,"C",IF(KT4&gt;0,"D",IF(KT4=0,""))))))</f>
        <v>C</v>
      </c>
      <c r="KV4" s="153"/>
      <c r="KW4" s="90"/>
      <c r="KX4" s="90"/>
      <c r="KY4" s="90"/>
      <c r="KZ4" s="90"/>
      <c r="LA4" s="91"/>
      <c r="LB4" s="159">
        <f>IF(COUNT(LB5:LB9)=0,"",SUM(LB5:LB9)/COUNT(LB5:LB9))</f>
        <v>3.0833333333333335</v>
      </c>
      <c r="LC4" s="183" t="str">
        <f t="shared" ref="LC4:LC21" si="80">IF(LB4="","",IF(LB4&gt;3.7,"A",IF(LB4&gt;2.8,"B",IF(LB4&gt;1.5,"C",IF(LB4&gt;0,"D",IF(LB4=0,""))))))</f>
        <v>B</v>
      </c>
      <c r="LD4" s="184">
        <f>IF(COUNT(LD5:LD9)=0,"",SUM(LD5:LD9)/COUNT(LD5:LD9))</f>
        <v>2.666666666666667</v>
      </c>
      <c r="LE4" s="185" t="str">
        <f t="shared" ref="LE4:LE21" si="81">IF(LD4="","",IF(LD4&gt;3.7,"A",IF(LD4&gt;2.8,"B",IF(LD4&gt;1.5,"C",IF(LD4&gt;0,"D",IF(LD4=0,""))))))</f>
        <v>C</v>
      </c>
      <c r="LF4" s="152"/>
      <c r="LG4" s="65"/>
      <c r="LH4" s="85"/>
      <c r="LI4" s="159">
        <f>IF(COUNT(LI5:LI9)=0,"",SUM(LI5:LI9)/COUNT(LI5:LI9))</f>
        <v>1.5</v>
      </c>
      <c r="LJ4" s="160" t="str">
        <f t="shared" ref="LJ4:LJ21" si="82">IF(LI4="","",IF(LI4&gt;3.7,"A",IF(LI4&gt;2.8,"B",IF(LI4&gt;1.5,"C",IF(LI4&gt;0,"D",IF(LI4=0,""))))))</f>
        <v>D</v>
      </c>
      <c r="LK4" s="152"/>
      <c r="LL4" s="65"/>
      <c r="LM4" s="65"/>
      <c r="LN4" s="85"/>
      <c r="LO4" s="159">
        <f>IF(COUNT(LO5:LO9)=0,"",SUM(LO5:LO9)/COUNT(LO5:LO9))</f>
        <v>2</v>
      </c>
      <c r="LP4" s="175" t="str">
        <f t="shared" ref="LP4:LP21" si="83">IF(LO4="","",IF(LO4&gt;3.7,"A",IF(LO4&gt;2.8,"B",IF(LO4&gt;1.5,"C",IF(LO4&gt;0,"D",IF(LO4=0,""))))))</f>
        <v>C</v>
      </c>
      <c r="LQ4" s="153"/>
      <c r="LR4" s="90"/>
      <c r="LS4" s="90"/>
      <c r="LT4" s="90"/>
      <c r="LU4" s="90"/>
      <c r="LV4" s="91"/>
      <c r="LW4" s="159">
        <f>IF(COUNT(LW5:LW9)=0,"",SUM(LW5:LW9)/COUNT(LW5:LW9))</f>
        <v>1.75</v>
      </c>
      <c r="LX4" s="183" t="str">
        <f t="shared" ref="LX4:LX21" si="84">IF(LW4="","",IF(LW4&gt;3.7,"A",IF(LW4&gt;2.8,"B",IF(LW4&gt;1.5,"C",IF(LW4&gt;0,"D",IF(LW4=0,""))))))</f>
        <v>C</v>
      </c>
      <c r="LY4" s="184">
        <f>IF(COUNT(LY5:LY9)=0,"",SUM(LY5:LY9)/COUNT(LY5:LY9))</f>
        <v>1.75</v>
      </c>
      <c r="LZ4" s="185" t="str">
        <f t="shared" ref="LZ4:LZ21" si="85">IF(LY4="","",IF(LY4&gt;3.7,"A",IF(LY4&gt;2.8,"B",IF(LY4&gt;1.5,"C",IF(LY4&gt;0,"D",IF(LY4=0,""))))))</f>
        <v>C</v>
      </c>
      <c r="MA4" s="152"/>
      <c r="MB4" s="65"/>
      <c r="MC4" s="85"/>
      <c r="MD4" s="159">
        <f>IF(COUNT(MD5:MD9)=0,"",SUM(MD5:MD9)/COUNT(MD5:MD9))</f>
        <v>2.5</v>
      </c>
      <c r="ME4" s="160" t="str">
        <f t="shared" ref="ME4:ME21" si="86">IF(MD4="","",IF(MD4&gt;3.7,"A",IF(MD4&gt;2.8,"B",IF(MD4&gt;1.5,"C",IF(MD4&gt;0,"D",IF(MD4=0,""))))))</f>
        <v>C</v>
      </c>
      <c r="MF4" s="152"/>
      <c r="MG4" s="65"/>
      <c r="MH4" s="65"/>
      <c r="MI4" s="85"/>
      <c r="MJ4" s="159">
        <f>IF(COUNT(MJ5:MJ9)=0,"",SUM(MJ5:MJ9)/COUNT(MJ5:MJ9))</f>
        <v>3</v>
      </c>
      <c r="MK4" s="175" t="str">
        <f t="shared" ref="MK4:MK21" si="87">IF(MJ4="","",IF(MJ4&gt;3.7,"A",IF(MJ4&gt;2.8,"B",IF(MJ4&gt;1.5,"C",IF(MJ4&gt;0,"D",IF(MJ4=0,""))))))</f>
        <v>B</v>
      </c>
      <c r="ML4" s="153"/>
      <c r="MM4" s="90"/>
      <c r="MN4" s="90"/>
      <c r="MO4" s="90"/>
      <c r="MP4" s="90"/>
      <c r="MQ4" s="91"/>
      <c r="MR4" s="159">
        <f>IF(COUNT(MR5:MR9)=0,"",SUM(MR5:MR9)/COUNT(MR5:MR9))</f>
        <v>3.2916666666666665</v>
      </c>
      <c r="MS4" s="183" t="str">
        <f t="shared" ref="MS4:MS21" si="88">IF(MR4="","",IF(MR4&gt;3.7,"A",IF(MR4&gt;2.8,"B",IF(MR4&gt;1.5,"C",IF(MR4&gt;0,"D",IF(MR4=0,""))))))</f>
        <v>B</v>
      </c>
      <c r="MT4" s="184">
        <f>IF(COUNT(MT5:MT9)=0,"",SUM(MT5:MT9)/COUNT(MT5:MT9))</f>
        <v>3.020833333333333</v>
      </c>
      <c r="MU4" s="185" t="str">
        <f t="shared" ref="MU4:MU21" si="89">IF(MT4="","",IF(MT4&gt;3.7,"A",IF(MT4&gt;2.8,"B",IF(MT4&gt;1.5,"C",IF(MT4&gt;0,"D",IF(MT4=0,""))))))</f>
        <v>B</v>
      </c>
      <c r="MV4" s="152"/>
      <c r="MW4" s="65"/>
      <c r="MX4" s="85"/>
      <c r="MY4" s="159">
        <f>IF(COUNT(MY5:MY9)=0,"",SUM(MY5:MY9)/COUNT(MY5:MY9))</f>
        <v>1</v>
      </c>
      <c r="MZ4" s="160" t="str">
        <f t="shared" ref="MZ4:MZ21" si="90">IF(MY4="","",IF(MY4&gt;3.7,"A",IF(MY4&gt;2.8,"B",IF(MY4&gt;1.5,"C",IF(MY4&gt;0,"D",IF(MY4=0,""))))))</f>
        <v>D</v>
      </c>
      <c r="NA4" s="152"/>
      <c r="NB4" s="65"/>
      <c r="NC4" s="65"/>
      <c r="ND4" s="85"/>
      <c r="NE4" s="159">
        <f>IF(COUNT(NE5:NE9)=0,"",SUM(NE5:NE9)/COUNT(NE5:NE9))</f>
        <v>2</v>
      </c>
      <c r="NF4" s="175" t="str">
        <f t="shared" ref="NF4:NF21" si="91">IF(NE4="","",IF(NE4&gt;3.7,"A",IF(NE4&gt;2.8,"B",IF(NE4&gt;1.5,"C",IF(NE4&gt;0,"D",IF(NE4=0,""))))))</f>
        <v>C</v>
      </c>
      <c r="NG4" s="153"/>
      <c r="NH4" s="90"/>
      <c r="NI4" s="90"/>
      <c r="NJ4" s="90"/>
      <c r="NK4" s="90"/>
      <c r="NL4" s="91"/>
      <c r="NM4" s="159">
        <f>IF(COUNT(NM5:NM9)=0,"",SUM(NM5:NM9)/COUNT(NM5:NM9))</f>
        <v>2.125</v>
      </c>
      <c r="NN4" s="183" t="str">
        <f t="shared" ref="NN4:NN21" si="92">IF(NM4="","",IF(NM4&gt;3.7,"A",IF(NM4&gt;2.8,"B",IF(NM4&gt;1.5,"C",IF(NM4&gt;0,"D",IF(NM4=0,""))))))</f>
        <v>C</v>
      </c>
      <c r="NO4" s="184">
        <f>IF(COUNT(NO5:NO9)=0,"",SUM(NO5:NO9)/COUNT(NO5:NO9))</f>
        <v>1.8125</v>
      </c>
      <c r="NP4" s="185" t="str">
        <f t="shared" ref="NP4:NP21" si="93">IF(NO4="","",IF(NO4&gt;3.7,"A",IF(NO4&gt;2.8,"B",IF(NO4&gt;1.5,"C",IF(NO4&gt;0,"D",IF(NO4=0,""))))))</f>
        <v>C</v>
      </c>
      <c r="NQ4" s="152"/>
      <c r="NR4" s="65"/>
      <c r="NS4" s="85"/>
      <c r="NT4" s="159">
        <f>IF(COUNT(NT5:NT9)=0,"",SUM(NT5:NT9)/COUNT(NT5:NT9))</f>
        <v>2.25</v>
      </c>
      <c r="NU4" s="160" t="str">
        <f t="shared" ref="NU4:NU21" si="94">IF(NT4="","",IF(NT4&gt;3.7,"A",IF(NT4&gt;2.8,"B",IF(NT4&gt;1.5,"C",IF(NT4&gt;0,"D",IF(NT4=0,""))))))</f>
        <v>C</v>
      </c>
      <c r="NV4" s="152"/>
      <c r="NW4" s="65"/>
      <c r="NX4" s="65"/>
      <c r="NY4" s="85"/>
      <c r="NZ4" s="159">
        <f>IF(COUNT(NZ5:NZ9)=0,"",SUM(NZ5:NZ9)/COUNT(NZ5:NZ9))</f>
        <v>3</v>
      </c>
      <c r="OA4" s="175" t="str">
        <f t="shared" ref="OA4:OA21" si="95">IF(NZ4="","",IF(NZ4&gt;3.7,"A",IF(NZ4&gt;2.8,"B",IF(NZ4&gt;1.5,"C",IF(NZ4&gt;0,"D",IF(NZ4=0,""))))))</f>
        <v>B</v>
      </c>
      <c r="OB4" s="153"/>
      <c r="OC4" s="90"/>
      <c r="OD4" s="90"/>
      <c r="OE4" s="90"/>
      <c r="OF4" s="90"/>
      <c r="OG4" s="91"/>
      <c r="OH4" s="159">
        <f>IF(COUNT(OH5:OH9)=0,"",SUM(OH5:OH9)/COUNT(OH5:OH9))</f>
        <v>2.1875</v>
      </c>
      <c r="OI4" s="183" t="str">
        <f t="shared" ref="OI4:OI21" si="96">IF(OH4="","",IF(OH4&gt;3.7,"A",IF(OH4&gt;2.8,"B",IF(OH4&gt;1.5,"C",IF(OH4&gt;0,"D",IF(OH4=0,""))))))</f>
        <v>C</v>
      </c>
      <c r="OJ4" s="184">
        <f>IF(COUNT(OJ5:OJ9)=0,"",SUM(OJ5:OJ9)/COUNT(OJ5:OJ9))</f>
        <v>2.28125</v>
      </c>
      <c r="OK4" s="185" t="str">
        <f t="shared" ref="OK4:OK21" si="97">IF(OJ4="","",IF(OJ4&gt;3.7,"A",IF(OJ4&gt;2.8,"B",IF(OJ4&gt;1.5,"C",IF(OJ4&gt;0,"D",IF(OJ4=0,""))))))</f>
        <v>C</v>
      </c>
      <c r="OL4" s="152"/>
      <c r="OM4" s="65"/>
      <c r="ON4" s="85"/>
      <c r="OO4" s="159">
        <f>IF(COUNT(OO5:OO9)=0,"",SUM(OO5:OO9)/COUNT(OO5:OO9))</f>
        <v>1.5</v>
      </c>
      <c r="OP4" s="160" t="str">
        <f t="shared" ref="OP4:OP21" si="98">IF(OO4="","",IF(OO4&gt;3.7,"A",IF(OO4&gt;2.8,"B",IF(OO4&gt;1.5,"C",IF(OO4&gt;0,"D",IF(OO4=0,""))))))</f>
        <v>D</v>
      </c>
      <c r="OQ4" s="152"/>
      <c r="OR4" s="65"/>
      <c r="OS4" s="65"/>
      <c r="OT4" s="85"/>
      <c r="OU4" s="159" t="str">
        <f>IF(COUNT(OU5:OU9)=0,"",SUM(OU5:OU9)/COUNT(OU5:OU9))</f>
        <v/>
      </c>
      <c r="OV4" s="175" t="str">
        <f t="shared" ref="OV4:OV21" si="99">IF(OU4="","",IF(OU4&gt;3.7,"A",IF(OU4&gt;2.8,"B",IF(OU4&gt;1.5,"C",IF(OU4&gt;0,"D",IF(OU4=0,""))))))</f>
        <v/>
      </c>
      <c r="OW4" s="153"/>
      <c r="OX4" s="90"/>
      <c r="OY4" s="90"/>
      <c r="OZ4" s="90"/>
      <c r="PA4" s="90"/>
      <c r="PB4" s="91"/>
      <c r="PC4" s="159">
        <f>IF(COUNT(PC5:PC9)=0,"",SUM(PC5:PC9)/COUNT(PC5:PC9))</f>
        <v>1.625</v>
      </c>
      <c r="PD4" s="183" t="str">
        <f t="shared" ref="PD4:PD21" si="100">IF(PC4="","",IF(PC4&gt;3.7,"A",IF(PC4&gt;2.8,"B",IF(PC4&gt;1.5,"C",IF(PC4&gt;0,"D",IF(PC4=0,""))))))</f>
        <v>C</v>
      </c>
      <c r="PE4" s="184">
        <f>IF(COUNT(PE5:PE9)=0,"",SUM(PE5:PE9)/COUNT(PE5:PE9))</f>
        <v>1.625</v>
      </c>
      <c r="PF4" s="185" t="str">
        <f t="shared" ref="PF4:PF21" si="101">IF(PE4="","",IF(PE4&gt;3.7,"A",IF(PE4&gt;2.8,"B",IF(PE4&gt;1.5,"C",IF(PE4&gt;0,"D",IF(PE4=0,""))))))</f>
        <v>C</v>
      </c>
      <c r="PG4" s="152"/>
      <c r="PH4" s="65"/>
      <c r="PI4" s="85"/>
      <c r="PJ4" s="159">
        <f>IF(COUNT(PJ5:PJ9)=0,"",SUM(PJ5:PJ9)/COUNT(PJ5:PJ9))</f>
        <v>1.5</v>
      </c>
      <c r="PK4" s="160" t="str">
        <f t="shared" ref="PK4:PK21" si="102">IF(PJ4="","",IF(PJ4&gt;3.7,"A",IF(PJ4&gt;2.8,"B",IF(PJ4&gt;1.5,"C",IF(PJ4&gt;0,"D",IF(PJ4=0,""))))))</f>
        <v>D</v>
      </c>
      <c r="PL4" s="152"/>
      <c r="PM4" s="65"/>
      <c r="PN4" s="65"/>
      <c r="PO4" s="85"/>
      <c r="PP4" s="159">
        <f>IF(COUNT(PP5:PP9)=0,"",SUM(PP5:PP9)/COUNT(PP5:PP9))</f>
        <v>2</v>
      </c>
      <c r="PQ4" s="175" t="str">
        <f t="shared" ref="PQ4:PQ21" si="103">IF(PP4="","",IF(PP4&gt;3.7,"A",IF(PP4&gt;2.8,"B",IF(PP4&gt;1.5,"C",IF(PP4&gt;0,"D",IF(PP4=0,""))))))</f>
        <v>C</v>
      </c>
      <c r="PR4" s="153"/>
      <c r="PS4" s="90"/>
      <c r="PT4" s="90"/>
      <c r="PU4" s="90"/>
      <c r="PV4" s="90"/>
      <c r="PW4" s="91"/>
      <c r="PX4" s="159">
        <f>IF(COUNT(PX5:PX9)=0,"",SUM(PX5:PX9)/COUNT(PX5:PX9))</f>
        <v>1.875</v>
      </c>
      <c r="PY4" s="183" t="str">
        <f t="shared" ref="PY4:PY21" si="104">IF(PX4="","",IF(PX4&gt;3.7,"A",IF(PX4&gt;2.8,"B",IF(PX4&gt;1.5,"C",IF(PX4&gt;0,"D",IF(PX4=0,""))))))</f>
        <v>C</v>
      </c>
      <c r="PZ4" s="184">
        <f>IF(COUNT(PZ5:PZ9)=0,"",SUM(PZ5:PZ9)/COUNT(PZ5:PZ9))</f>
        <v>1.75</v>
      </c>
      <c r="QA4" s="185" t="str">
        <f t="shared" ref="QA4:QA21" si="105">IF(PZ4="","",IF(PZ4&gt;3.7,"A",IF(PZ4&gt;2.8,"B",IF(PZ4&gt;1.5,"C",IF(PZ4&gt;0,"D",IF(PZ4=0,""))))))</f>
        <v>C</v>
      </c>
      <c r="QB4" s="152"/>
      <c r="QC4" s="65"/>
      <c r="QD4" s="85"/>
      <c r="QE4" s="159">
        <f>IF(COUNT(QE5:QE9)=0,"",SUM(QE5:QE9)/COUNT(QE5:QE9))</f>
        <v>1</v>
      </c>
      <c r="QF4" s="160" t="str">
        <f t="shared" ref="QF4:QF21" si="106">IF(QE4="","",IF(QE4&gt;3.7,"A",IF(QE4&gt;2.8,"B",IF(QE4&gt;1.5,"C",IF(QE4&gt;0,"D",IF(QE4=0,""))))))</f>
        <v>D</v>
      </c>
      <c r="QG4" s="152"/>
      <c r="QH4" s="65"/>
      <c r="QI4" s="65"/>
      <c r="QJ4" s="85"/>
      <c r="QK4" s="159">
        <f>IF(COUNT(QK5:QK9)=0,"",SUM(QK5:QK9)/COUNT(QK5:QK9))</f>
        <v>3</v>
      </c>
      <c r="QL4" s="175" t="str">
        <f t="shared" ref="QL4:QL21" si="107">IF(QK4="","",IF(QK4&gt;3.7,"A",IF(QK4&gt;2.8,"B",IF(QK4&gt;1.5,"C",IF(QK4&gt;0,"D",IF(QK4=0,""))))))</f>
        <v>B</v>
      </c>
      <c r="QM4" s="153"/>
      <c r="QN4" s="90"/>
      <c r="QO4" s="90"/>
      <c r="QP4" s="90"/>
      <c r="QQ4" s="90"/>
      <c r="QR4" s="91"/>
      <c r="QS4" s="159">
        <f>IF(COUNT(QS5:QS9)=0,"",SUM(QS5:QS9)/COUNT(QS5:QS9))</f>
        <v>1.5</v>
      </c>
      <c r="QT4" s="183" t="str">
        <f t="shared" ref="QT4:QT21" si="108">IF(QS4="","",IF(QS4&gt;3.7,"A",IF(QS4&gt;2.8,"B",IF(QS4&gt;1.5,"C",IF(QS4&gt;0,"D",IF(QS4=0,""))))))</f>
        <v>D</v>
      </c>
      <c r="QU4" s="184">
        <f>IF(COUNT(QU5:QU9)=0,"",SUM(QU5:QU9)/COUNT(QU5:QU9))</f>
        <v>1.5</v>
      </c>
      <c r="QV4" s="185" t="str">
        <f t="shared" ref="QV4:QV21" si="109">IF(QU4="","",IF(QU4&gt;3.7,"A",IF(QU4&gt;2.8,"B",IF(QU4&gt;1.5,"C",IF(QU4&gt;0,"D",IF(QU4=0,""))))))</f>
        <v>D</v>
      </c>
      <c r="QW4" s="152"/>
      <c r="QX4" s="65"/>
      <c r="QY4" s="85"/>
      <c r="QZ4" s="159">
        <f>IF(COUNT(QZ5:QZ9)=0,"",SUM(QZ5:QZ9)/COUNT(QZ5:QZ9))</f>
        <v>2</v>
      </c>
      <c r="RA4" s="160" t="str">
        <f t="shared" ref="RA4:RA21" si="110">IF(QZ4="","",IF(QZ4&gt;3.7,"A",IF(QZ4&gt;2.8,"B",IF(QZ4&gt;1.5,"C",IF(QZ4&gt;0,"D",IF(QZ4=0,""))))))</f>
        <v>C</v>
      </c>
      <c r="RB4" s="152"/>
      <c r="RC4" s="65"/>
      <c r="RD4" s="65"/>
      <c r="RE4" s="85"/>
      <c r="RF4" s="159">
        <f>IF(COUNT(RF5:RF9)=0,"",SUM(RF5:RF9)/COUNT(RF5:RF9))</f>
        <v>2</v>
      </c>
      <c r="RG4" s="175" t="str">
        <f t="shared" ref="RG4:RG21" si="111">IF(RF4="","",IF(RF4&gt;3.7,"A",IF(RF4&gt;2.8,"B",IF(RF4&gt;1.5,"C",IF(RF4&gt;0,"D",IF(RF4=0,""))))))</f>
        <v>C</v>
      </c>
      <c r="RH4" s="153"/>
      <c r="RI4" s="90"/>
      <c r="RJ4" s="90"/>
      <c r="RK4" s="90"/>
      <c r="RL4" s="90"/>
      <c r="RM4" s="91"/>
      <c r="RN4" s="159">
        <f>IF(COUNT(RN5:RN9)=0,"",SUM(RN5:RN9)/COUNT(RN5:RN9))</f>
        <v>2.25</v>
      </c>
      <c r="RO4" s="183" t="str">
        <f t="shared" ref="RO4:RO21" si="112">IF(RN4="","",IF(RN4&gt;3.7,"A",IF(RN4&gt;2.8,"B",IF(RN4&gt;1.5,"C",IF(RN4&gt;0,"D",IF(RN4=0,""))))))</f>
        <v>C</v>
      </c>
      <c r="RP4" s="184">
        <f>IF(COUNT(RP5:RP9)=0,"",SUM(RP5:RP9)/COUNT(RP5:RP9))</f>
        <v>2.125</v>
      </c>
      <c r="RQ4" s="185" t="str">
        <f t="shared" ref="RQ4:RQ21" si="113">IF(RP4="","",IF(RP4&gt;3.7,"A",IF(RP4&gt;2.8,"B",IF(RP4&gt;1.5,"C",IF(RP4&gt;0,"D",IF(RP4=0,""))))))</f>
        <v>C</v>
      </c>
      <c r="RR4" s="152"/>
      <c r="RS4" s="65"/>
      <c r="RT4" s="85"/>
      <c r="RU4" s="159">
        <f>IF(COUNT(RU5:RU9)=0,"",SUM(RU5:RU9)/COUNT(RU5:RU9))</f>
        <v>2.25</v>
      </c>
      <c r="RV4" s="160" t="str">
        <f t="shared" ref="RV4:RV21" si="114">IF(RU4="","",IF(RU4&gt;3.7,"A",IF(RU4&gt;2.8,"B",IF(RU4&gt;1.5,"C",IF(RU4&gt;0,"D",IF(RU4=0,""))))))</f>
        <v>C</v>
      </c>
      <c r="RW4" s="152"/>
      <c r="RX4" s="65"/>
      <c r="RY4" s="65"/>
      <c r="RZ4" s="85"/>
      <c r="SA4" s="159">
        <f>IF(COUNT(SA5:SA9)=0,"",SUM(SA5:SA9)/COUNT(SA5:SA9))</f>
        <v>2</v>
      </c>
      <c r="SB4" s="175" t="str">
        <f t="shared" ref="SB4:SB21" si="115">IF(SA4="","",IF(SA4&gt;3.7,"A",IF(SA4&gt;2.8,"B",IF(SA4&gt;1.5,"C",IF(SA4&gt;0,"D",IF(SA4=0,""))))))</f>
        <v>C</v>
      </c>
      <c r="SC4" s="153"/>
      <c r="SD4" s="90"/>
      <c r="SE4" s="90"/>
      <c r="SF4" s="90"/>
      <c r="SG4" s="90"/>
      <c r="SH4" s="91"/>
      <c r="SI4" s="159">
        <f>IF(COUNT(SI5:SI9)=0,"",SUM(SI5:SI9)/COUNT(SI5:SI9))</f>
        <v>1.6666666666666665</v>
      </c>
      <c r="SJ4" s="183" t="str">
        <f t="shared" ref="SJ4:SJ21" si="116">IF(SI4="","",IF(SI4&gt;3.7,"A",IF(SI4&gt;2.8,"B",IF(SI4&gt;1.5,"C",IF(SI4&gt;0,"D",IF(SI4=0,""))))))</f>
        <v>C</v>
      </c>
      <c r="SK4" s="184">
        <f>IF(COUNT(SK5:SK9)=0,"",SUM(SK5:SK9)/COUNT(SK5:SK9))</f>
        <v>1.7708333333333333</v>
      </c>
      <c r="SL4" s="185" t="str">
        <f t="shared" ref="SL4:SL21" si="117">IF(SK4="","",IF(SK4&gt;3.7,"A",IF(SK4&gt;2.8,"B",IF(SK4&gt;1.5,"C",IF(SK4&gt;0,"D",IF(SK4=0,""))))))</f>
        <v>C</v>
      </c>
      <c r="SM4" s="84"/>
      <c r="SN4" s="65"/>
      <c r="SO4" s="85"/>
      <c r="SP4" s="86" t="str">
        <f>IF(COUNT(SP5:SP9)=0,"",SUM(SP5:SP9)/COUNT(SP5:SP9))</f>
        <v/>
      </c>
      <c r="SQ4" s="87" t="str">
        <f t="shared" ref="SQ4:SQ21" si="118">IF(SP4="","",IF(SP4&gt;3.7,"A",IF(SP4&gt;2.8,"B",IF(SP4&gt;1.5,"C",IF(SP4&gt;0,"D",IF(SP4=0,""))))))</f>
        <v/>
      </c>
      <c r="SR4" s="84"/>
      <c r="SS4" s="65"/>
      <c r="ST4" s="85"/>
      <c r="SU4" s="86" t="str">
        <f>IF(COUNT(SU5:SU9)=0,"",SUM(SU5:SU9)/COUNT(SU5:SU9))</f>
        <v/>
      </c>
      <c r="SV4" s="88" t="str">
        <f t="shared" ref="SV4:SV21" si="119">IF(SU4="","",IF(SU4&gt;3.7,"A",IF(SU4&gt;2.8,"B",IF(SU4&gt;1.5,"C",IF(SU4&gt;0,"D",IF(SU4=0,""))))))</f>
        <v/>
      </c>
      <c r="SW4" s="89"/>
      <c r="SX4" s="90"/>
      <c r="SY4" s="91"/>
      <c r="SZ4" s="86" t="str">
        <f>IF(COUNT(SZ5:SZ9)=0,"",SUM(SZ5:SZ9)/COUNT(SZ5:SZ9))</f>
        <v/>
      </c>
      <c r="TA4" s="92" t="str">
        <f t="shared" ref="TA4:TA21" si="120">IF(SZ4="","",IF(SZ4&gt;3.7,"A",IF(SZ4&gt;2.8,"B",IF(SZ4&gt;1.5,"C",IF(SZ4&gt;0,"D",IF(SZ4=0,""))))))</f>
        <v/>
      </c>
      <c r="TB4" s="93" t="str">
        <f>IF(COUNT(TB5:TB9)=0,"",SUM(TB5:TB9)/COUNT(TB5:TB9))</f>
        <v/>
      </c>
      <c r="TC4" s="94" t="str">
        <f t="shared" ref="TC4:TC21" si="121">IF(TB4="","",IF(TB4&gt;3.7,"A",IF(TB4&gt;2.8,"B",IF(TB4&gt;1.5,"C",IF(TB4&gt;0,"D",IF(TB4=0,""))))))</f>
        <v/>
      </c>
      <c r="TD4" s="84"/>
      <c r="TE4" s="65"/>
      <c r="TF4" s="85"/>
      <c r="TG4" s="86" t="str">
        <f>IF(COUNT(TG5:TG9)=0,"",SUM(TG5:TG9)/COUNT(TG5:TG9))</f>
        <v/>
      </c>
      <c r="TH4" s="87" t="str">
        <f t="shared" ref="TH4:TH21" si="122">IF(TG4="","",IF(TG4&gt;3.7,"A",IF(TG4&gt;2.8,"B",IF(TG4&gt;1.5,"C",IF(TG4&gt;0,"D",IF(TG4=0,""))))))</f>
        <v/>
      </c>
      <c r="TI4" s="84"/>
      <c r="TJ4" s="65"/>
      <c r="TK4" s="85"/>
      <c r="TL4" s="86" t="str">
        <f>IF(COUNT(TL5:TL9)=0,"",SUM(TL5:TL9)/COUNT(TL5:TL9))</f>
        <v/>
      </c>
      <c r="TM4" s="88" t="str">
        <f t="shared" ref="TM4:TM21" si="123">IF(TL4="","",IF(TL4&gt;3.7,"A",IF(TL4&gt;2.8,"B",IF(TL4&gt;1.5,"C",IF(TL4&gt;0,"D",IF(TL4=0,""))))))</f>
        <v/>
      </c>
      <c r="TN4" s="89"/>
      <c r="TO4" s="90"/>
      <c r="TP4" s="91"/>
      <c r="TQ4" s="86" t="str">
        <f>IF(COUNT(TQ5:TQ9)=0,"",SUM(TQ5:TQ9)/COUNT(TQ5:TQ9))</f>
        <v/>
      </c>
      <c r="TR4" s="92" t="str">
        <f t="shared" ref="TR4:TR21" si="124">IF(TQ4="","",IF(TQ4&gt;3.7,"A",IF(TQ4&gt;2.8,"B",IF(TQ4&gt;1.5,"C",IF(TQ4&gt;0,"D",IF(TQ4=0,""))))))</f>
        <v/>
      </c>
      <c r="TS4" s="93" t="str">
        <f>IF(COUNT(TS5:TS9)=0,"",SUM(TS5:TS9)/COUNT(TS5:TS9))</f>
        <v/>
      </c>
      <c r="TT4" s="94" t="str">
        <f t="shared" ref="TT4:TT21" si="125">IF(TS4="","",IF(TS4&gt;3.7,"A",IF(TS4&gt;2.8,"B",IF(TS4&gt;1.5,"C",IF(TS4&gt;0,"D",IF(TS4=0,""))))))</f>
        <v/>
      </c>
      <c r="TU4" s="84"/>
      <c r="TV4" s="65"/>
      <c r="TW4" s="85"/>
      <c r="TX4" s="86" t="str">
        <f>IF(COUNT(TX5:TX9)=0,"",SUM(TX5:TX9)/COUNT(TX5:TX9))</f>
        <v/>
      </c>
      <c r="TY4" s="87" t="str">
        <f t="shared" ref="TY4:TY21" si="126">IF(TX4="","",IF(TX4&gt;3.7,"A",IF(TX4&gt;2.8,"B",IF(TX4&gt;1.5,"C",IF(TX4&gt;0,"D",IF(TX4=0,""))))))</f>
        <v/>
      </c>
      <c r="TZ4" s="84"/>
      <c r="UA4" s="65"/>
      <c r="UB4" s="85"/>
      <c r="UC4" s="86" t="str">
        <f>IF(COUNT(UC5:UC9)=0,"",SUM(UC5:UC9)/COUNT(UC5:UC9))</f>
        <v/>
      </c>
      <c r="UD4" s="88" t="str">
        <f t="shared" ref="UD4:UD21" si="127">IF(UC4="","",IF(UC4&gt;3.7,"A",IF(UC4&gt;2.8,"B",IF(UC4&gt;1.5,"C",IF(UC4&gt;0,"D",IF(UC4=0,""))))))</f>
        <v/>
      </c>
      <c r="UE4" s="89"/>
      <c r="UF4" s="90"/>
      <c r="UG4" s="91"/>
      <c r="UH4" s="86" t="str">
        <f>IF(COUNT(UH5:UH9)=0,"",SUM(UH5:UH9)/COUNT(UH5:UH9))</f>
        <v/>
      </c>
      <c r="UI4" s="92" t="str">
        <f t="shared" ref="UI4:UI21" si="128">IF(UH4="","",IF(UH4&gt;3.7,"A",IF(UH4&gt;2.8,"B",IF(UH4&gt;1.5,"C",IF(UH4&gt;0,"D",IF(UH4=0,""))))))</f>
        <v/>
      </c>
      <c r="UJ4" s="93" t="str">
        <f>IF(COUNT(UJ5:UJ9)=0,"",SUM(UJ5:UJ9)/COUNT(UJ5:UJ9))</f>
        <v/>
      </c>
      <c r="UK4" s="94" t="str">
        <f t="shared" ref="UK4:UK21" si="129">IF(UJ4="","",IF(UJ4&gt;3.7,"A",IF(UJ4&gt;2.8,"B",IF(UJ4&gt;1.5,"C",IF(UJ4&gt;0,"D",IF(UJ4=0,""))))))</f>
        <v/>
      </c>
      <c r="UL4" s="84"/>
      <c r="UM4" s="65"/>
      <c r="UN4" s="85"/>
      <c r="UO4" s="86" t="str">
        <f>IF(COUNT(UO5:UO9)=0,"",SUM(UO5:UO9)/COUNT(UO5:UO9))</f>
        <v/>
      </c>
      <c r="UP4" s="87" t="str">
        <f t="shared" ref="UP4:UP21" si="130">IF(UO4="","",IF(UO4&gt;3.7,"A",IF(UO4&gt;2.8,"B",IF(UO4&gt;1.5,"C",IF(UO4&gt;0,"D",IF(UO4=0,""))))))</f>
        <v/>
      </c>
      <c r="UQ4" s="84"/>
      <c r="UR4" s="65"/>
      <c r="US4" s="85"/>
      <c r="UT4" s="86" t="str">
        <f>IF(COUNT(UT5:UT9)=0,"",SUM(UT5:UT9)/COUNT(UT5:UT9))</f>
        <v/>
      </c>
      <c r="UU4" s="88" t="str">
        <f t="shared" ref="UU4:UU21" si="131">IF(UT4="","",IF(UT4&gt;3.7,"A",IF(UT4&gt;2.8,"B",IF(UT4&gt;1.5,"C",IF(UT4&gt;0,"D",IF(UT4=0,""))))))</f>
        <v/>
      </c>
      <c r="UV4" s="89"/>
      <c r="UW4" s="90"/>
      <c r="UX4" s="91"/>
      <c r="UY4" s="86" t="str">
        <f>IF(COUNT(UY5:UY9)=0,"",SUM(UY5:UY9)/COUNT(UY5:UY9))</f>
        <v/>
      </c>
      <c r="UZ4" s="92" t="str">
        <f t="shared" ref="UZ4:UZ21" si="132">IF(UY4="","",IF(UY4&gt;3.7,"A",IF(UY4&gt;2.8,"B",IF(UY4&gt;1.5,"C",IF(UY4&gt;0,"D",IF(UY4=0,""))))))</f>
        <v/>
      </c>
      <c r="VA4" s="93" t="str">
        <f>IF(COUNT(VA5:VA9)=0,"",SUM(VA5:VA9)/COUNT(VA5:VA9))</f>
        <v/>
      </c>
      <c r="VB4" s="94" t="str">
        <f t="shared" ref="VB4:VB21" si="133">IF(VA4="","",IF(VA4&gt;3.7,"A",IF(VA4&gt;2.8,"B",IF(VA4&gt;1.5,"C",IF(VA4&gt;0,"D",IF(VA4=0,""))))))</f>
        <v/>
      </c>
      <c r="VC4" s="84"/>
      <c r="VD4" s="65"/>
      <c r="VE4" s="85"/>
      <c r="VF4" s="86" t="str">
        <f>IF(COUNT(VF5:VF9)=0,"",SUM(VF5:VF9)/COUNT(VF5:VF9))</f>
        <v/>
      </c>
      <c r="VG4" s="87" t="str">
        <f t="shared" ref="VG4:VG21" si="134">IF(VF4="","",IF(VF4&gt;3.7,"A",IF(VF4&gt;2.8,"B",IF(VF4&gt;1.5,"C",IF(VF4&gt;0,"D",IF(VF4=0,""))))))</f>
        <v/>
      </c>
      <c r="VH4" s="84"/>
      <c r="VI4" s="65"/>
      <c r="VJ4" s="85"/>
      <c r="VK4" s="86" t="str">
        <f>IF(COUNT(VK5:VK9)=0,"",SUM(VK5:VK9)/COUNT(VK5:VK9))</f>
        <v/>
      </c>
      <c r="VL4" s="88" t="str">
        <f t="shared" ref="VL4:VL21" si="135">IF(VK4="","",IF(VK4&gt;3.7,"A",IF(VK4&gt;2.8,"B",IF(VK4&gt;1.5,"C",IF(VK4&gt;0,"D",IF(VK4=0,""))))))</f>
        <v/>
      </c>
      <c r="VM4" s="89"/>
      <c r="VN4" s="90"/>
      <c r="VO4" s="91"/>
      <c r="VP4" s="86" t="str">
        <f>IF(COUNT(VP5:VP9)=0,"",SUM(VP5:VP9)/COUNT(VP5:VP9))</f>
        <v/>
      </c>
      <c r="VQ4" s="92" t="str">
        <f t="shared" ref="VQ4:VQ21" si="136">IF(VP4="","",IF(VP4&gt;3.7,"A",IF(VP4&gt;2.8,"B",IF(VP4&gt;1.5,"C",IF(VP4&gt;0,"D",IF(VP4=0,""))))))</f>
        <v/>
      </c>
      <c r="VR4" s="93" t="str">
        <f>IF(COUNT(VR5:VR9)=0,"",SUM(VR5:VR9)/COUNT(VR5:VR9))</f>
        <v/>
      </c>
      <c r="VS4" s="94" t="str">
        <f t="shared" ref="VS4:VS21" si="137">IF(VR4="","",IF(VR4&gt;3.7,"A",IF(VR4&gt;2.8,"B",IF(VR4&gt;1.5,"C",IF(VR4&gt;0,"D",IF(VR4=0,""))))))</f>
        <v/>
      </c>
      <c r="VT4" s="84"/>
      <c r="VU4" s="65"/>
      <c r="VV4" s="85"/>
      <c r="VW4" s="86" t="str">
        <f>IF(COUNT(VW5:VW9)=0,"",SUM(VW5:VW9)/COUNT(VW5:VW9))</f>
        <v/>
      </c>
      <c r="VX4" s="87" t="str">
        <f t="shared" ref="VX4:VX21" si="138">IF(VW4="","",IF(VW4&gt;3.7,"A",IF(VW4&gt;2.8,"B",IF(VW4&gt;1.5,"C",IF(VW4&gt;0,"D",IF(VW4=0,""))))))</f>
        <v/>
      </c>
      <c r="VY4" s="84"/>
      <c r="VZ4" s="65"/>
      <c r="WA4" s="85"/>
      <c r="WB4" s="86" t="str">
        <f>IF(COUNT(WB5:WB9)=0,"",SUM(WB5:WB9)/COUNT(WB5:WB9))</f>
        <v/>
      </c>
      <c r="WC4" s="88" t="str">
        <f t="shared" ref="WC4:WC21" si="139">IF(WB4="","",IF(WB4&gt;3.7,"A",IF(WB4&gt;2.8,"B",IF(WB4&gt;1.5,"C",IF(WB4&gt;0,"D",IF(WB4=0,""))))))</f>
        <v/>
      </c>
      <c r="WD4" s="89"/>
      <c r="WE4" s="90"/>
      <c r="WF4" s="91"/>
      <c r="WG4" s="86" t="str">
        <f>IF(COUNT(WG5:WG9)=0,"",SUM(WG5:WG9)/COUNT(WG5:WG9))</f>
        <v/>
      </c>
      <c r="WH4" s="92" t="str">
        <f t="shared" ref="WH4:WH21" si="140">IF(WG4="","",IF(WG4&gt;3.7,"A",IF(WG4&gt;2.8,"B",IF(WG4&gt;1.5,"C",IF(WG4&gt;0,"D",IF(WG4=0,""))))))</f>
        <v/>
      </c>
      <c r="WI4" s="93" t="str">
        <f>IF(COUNT(WI5:WI9)=0,"",SUM(WI5:WI9)/COUNT(WI5:WI9))</f>
        <v/>
      </c>
      <c r="WJ4" s="94" t="str">
        <f t="shared" ref="WJ4:WJ21" si="141">IF(WI4="","",IF(WI4&gt;3.7,"A",IF(WI4&gt;2.8,"B",IF(WI4&gt;1.5,"C",IF(WI4&gt;0,"D",IF(WI4=0,""))))))</f>
        <v/>
      </c>
    </row>
    <row r="5" spans="1:608" ht="18" customHeight="1" x14ac:dyDescent="0.55000000000000004">
      <c r="A5" s="217" t="s">
        <v>12</v>
      </c>
      <c r="B5" s="218"/>
      <c r="C5" s="96" t="s">
        <v>27</v>
      </c>
      <c r="D5" s="97" t="s">
        <v>28</v>
      </c>
      <c r="E5" s="98"/>
      <c r="F5" s="161">
        <f>IFERROR((((COUNTIF('Elève (3ème4)'!C5:E5,"A"))*4)+((COUNTIF('Elève (3ème4)'!C5:E5,"B"))*3)+((COUNTIF('Elève (3ème4)'!C5:E5,"C"))*2)+((COUNTIF('Elève (3ème4)'!C5:E5,"D"))*1))/(COUNTA(C5:E5)),"")</f>
        <v>3.5</v>
      </c>
      <c r="G5" s="162" t="str">
        <f t="shared" si="22"/>
        <v>B</v>
      </c>
      <c r="H5" s="96"/>
      <c r="I5" s="97"/>
      <c r="J5" s="98"/>
      <c r="K5" s="98"/>
      <c r="L5" s="161" t="str">
        <f>IFERROR((((COUNTIF('Elève (3ème4)'!H5:K5,"A"))*4)+((COUNTIF('Elève (3ème4)'!H5:K5,"B"))*3)+((COUNTIF('Elève (3ème4)'!H5:K5,"C"))*2)+((COUNTIF('Elève (3ème4)'!H5:K5,"D"))*1))/(COUNTA(H5:K5)),"")</f>
        <v/>
      </c>
      <c r="M5" s="162" t="str">
        <f t="shared" si="23"/>
        <v/>
      </c>
      <c r="N5" s="96" t="s">
        <v>27</v>
      </c>
      <c r="O5" s="97" t="s">
        <v>29</v>
      </c>
      <c r="P5" s="98"/>
      <c r="Q5" s="98"/>
      <c r="R5" s="98"/>
      <c r="S5" s="98"/>
      <c r="T5" s="161">
        <f>IFERROR((((COUNTIF('Elève (3ème4)'!N5:S5,"A"))*4)+((COUNTIF('Elève (3ème4)'!N5:S5,"B"))*3)+((COUNTIF('Elève (3ème4)'!N5:S5,"C"))*2)+((COUNTIF('Elève (3ème4)'!N5:S5,"D"))*1))/(COUNTA(N5:S5)),"")</f>
        <v>3</v>
      </c>
      <c r="U5" s="162" t="str">
        <f t="shared" si="24"/>
        <v>B</v>
      </c>
      <c r="V5" s="161">
        <f>IF(COUNT(F5,L5,T5)=0,"",SUM(F5,L5,T5)/COUNT(F5,L5,T5))</f>
        <v>3.25</v>
      </c>
      <c r="W5" s="186" t="str">
        <f t="shared" si="25"/>
        <v>B</v>
      </c>
      <c r="X5" s="96" t="s">
        <v>30</v>
      </c>
      <c r="Y5" s="97" t="s">
        <v>29</v>
      </c>
      <c r="Z5" s="98"/>
      <c r="AA5" s="161">
        <f>IFERROR((((COUNTIF('Elève (3ème4)'!X5:Z5,"A"))*4)+((COUNTIF('Elève (3ème4)'!X5:Z5,"B"))*3)+((COUNTIF('Elève (3ème4)'!X5:Z5,"C"))*2)+((COUNTIF('Elève (3ème4)'!X5:Z5,"D"))*1))/(COUNTA(X5:Z5)),"")</f>
        <v>1.5</v>
      </c>
      <c r="AB5" s="162" t="str">
        <f t="shared" si="26"/>
        <v>D</v>
      </c>
      <c r="AC5" s="96"/>
      <c r="AD5" s="97"/>
      <c r="AE5" s="98"/>
      <c r="AF5" s="98"/>
      <c r="AG5" s="161" t="str">
        <f>IFERROR((((COUNTIF('Elève (3ème4)'!AC5:AF5,"A"))*4)+((COUNTIF('Elève (3ème4)'!AC5:AF5,"B"))*3)+((COUNTIF('Elève (3ème4)'!AC5:AF5,"C"))*2)+((COUNTIF('Elève (3ème4)'!AC5:AF5,"D"))*1))/(COUNTA(AC5:AF5)),"")</f>
        <v/>
      </c>
      <c r="AH5" s="162" t="str">
        <f t="shared" si="27"/>
        <v/>
      </c>
      <c r="AI5" s="96"/>
      <c r="AJ5" s="97"/>
      <c r="AK5" s="98"/>
      <c r="AL5" s="98"/>
      <c r="AM5" s="98"/>
      <c r="AN5" s="102"/>
      <c r="AO5" s="161" t="str">
        <f>IFERROR((((COUNTIF('Elève (3ème4)'!AI5:AN5,"A"))*4)+((COUNTIF('Elève (3ème4)'!AI5:AN5,"B"))*3)+((COUNTIF('Elève (3ème4)'!AI5:AN5,"C"))*2)+((COUNTIF('Elève (3ème4)'!AI5:AN5,"D"))*1))/(COUNTA(AI5:AN5)),"")</f>
        <v/>
      </c>
      <c r="AP5" s="162" t="str">
        <f t="shared" si="28"/>
        <v/>
      </c>
      <c r="AQ5" s="161">
        <f>IF(COUNT(AA5,AG5,AO5)=0,"",SUM(AA5,AG5,AO5)/COUNT(AA5,AG5,AO5))</f>
        <v>1.5</v>
      </c>
      <c r="AR5" s="186" t="str">
        <f t="shared" si="29"/>
        <v>D</v>
      </c>
      <c r="AS5" s="96" t="s">
        <v>29</v>
      </c>
      <c r="AT5" s="97" t="s">
        <v>30</v>
      </c>
      <c r="AU5" s="98"/>
      <c r="AV5" s="161">
        <f>IFERROR((((COUNTIF('Elève (3ème4)'!AS5:AU5,"A"))*4)+((COUNTIF('Elève (3ème4)'!AS5:AU5,"B"))*3)+((COUNTIF('Elève (3ème4)'!AS5:AU5,"C"))*2)+((COUNTIF('Elève (3ème4)'!AS5:AU5,"D"))*1))/(COUNTA(AS5:AU5)),"")</f>
        <v>1.5</v>
      </c>
      <c r="AW5" s="162" t="str">
        <f t="shared" si="30"/>
        <v>D</v>
      </c>
      <c r="AX5" s="96"/>
      <c r="AY5" s="97"/>
      <c r="AZ5" s="98"/>
      <c r="BA5" s="98"/>
      <c r="BB5" s="161" t="str">
        <f>IFERROR((((COUNTIF('Elève (3ème4)'!AX5:BA5,"A"))*4)+((COUNTIF('Elève (3ème4)'!AX5:BA5,"B"))*3)+((COUNTIF('Elève (3ème4)'!AX5:BA5,"C"))*2)+((COUNTIF('Elève (3ème4)'!AX5:BA5,"D"))*1))/(COUNTA(AX5:BA5)),"")</f>
        <v/>
      </c>
      <c r="BC5" s="162" t="str">
        <f t="shared" si="31"/>
        <v/>
      </c>
      <c r="BD5" s="96" t="s">
        <v>29</v>
      </c>
      <c r="BE5" s="97" t="s">
        <v>30</v>
      </c>
      <c r="BF5" s="98"/>
      <c r="BG5" s="98"/>
      <c r="BH5" s="98"/>
      <c r="BI5" s="102"/>
      <c r="BJ5" s="161">
        <f>IFERROR((((COUNTIF('Elève (3ème4)'!BD5:BI5,"A"))*4)+((COUNTIF('Elève (3ème4)'!BD5:BI5,"B"))*3)+((COUNTIF('Elève (3ème4)'!BD5:BI5,"C"))*2)+((COUNTIF('Elève (3ème4)'!BD5:BI5,"D"))*1))/(COUNTA(BD5:BI5)),"")</f>
        <v>1.5</v>
      </c>
      <c r="BK5" s="162" t="str">
        <f t="shared" si="32"/>
        <v>D</v>
      </c>
      <c r="BL5" s="161">
        <f>IF(COUNT(AV5,BB5,BJ5)=0,"",SUM(AV5,BB5,BJ5)/COUNT(AV5,BB5,BJ5))</f>
        <v>1.5</v>
      </c>
      <c r="BM5" s="186" t="str">
        <f t="shared" si="33"/>
        <v>D</v>
      </c>
      <c r="BN5" s="96" t="s">
        <v>28</v>
      </c>
      <c r="BO5" s="97" t="s">
        <v>30</v>
      </c>
      <c r="BP5" s="98"/>
      <c r="BQ5" s="161">
        <f>IFERROR((((COUNTIF('Elève (3ème4)'!BN5:BP5,"A"))*4)+((COUNTIF('Elève (3ème4)'!BN5:BP5,"B"))*3)+((COUNTIF('Elève (3ème4)'!BN5:BP5,"C"))*2)+((COUNTIF('Elève (3ème4)'!BN5:BP5,"D"))*1))/(COUNTA(BN5:BP5)),"")</f>
        <v>2</v>
      </c>
      <c r="BR5" s="162" t="str">
        <f t="shared" si="34"/>
        <v>C</v>
      </c>
      <c r="BS5" s="96"/>
      <c r="BT5" s="97"/>
      <c r="BU5" s="98"/>
      <c r="BV5" s="98"/>
      <c r="BW5" s="161" t="str">
        <f>IFERROR((((COUNTIF('Elève (3ème4)'!BS5:BV5,"A"))*4)+((COUNTIF('Elève (3ème4)'!BS5:BV5,"B"))*3)+((COUNTIF('Elève (3ème4)'!BS5:BV5,"C"))*2)+((COUNTIF('Elève (3ème4)'!BS5:BV5,"D"))*1))/(COUNTA(BS5:BV5)),"")</f>
        <v/>
      </c>
      <c r="BX5" s="162" t="str">
        <f t="shared" si="35"/>
        <v/>
      </c>
      <c r="BY5" s="96" t="s">
        <v>29</v>
      </c>
      <c r="BZ5" s="97" t="s">
        <v>30</v>
      </c>
      <c r="CA5" s="98"/>
      <c r="CB5" s="98"/>
      <c r="CC5" s="98"/>
      <c r="CD5" s="102"/>
      <c r="CE5" s="161">
        <f>IFERROR((((COUNTIF('Elève (3ème4)'!BY5:CD5,"A"))*4)+((COUNTIF('Elève (3ème4)'!BY5:CD5,"B"))*3)+((COUNTIF('Elève (3ème4)'!BY5:CD5,"C"))*2)+((COUNTIF('Elève (3ème4)'!BY5:CD5,"D"))*1))/(COUNTA(BY5:CD5)),"")</f>
        <v>1.5</v>
      </c>
      <c r="CF5" s="162" t="str">
        <f t="shared" si="36"/>
        <v>D</v>
      </c>
      <c r="CG5" s="161">
        <f>IF(COUNT(BQ5,BW5,CE5)=0,"",SUM(BQ5,BW5,CE5)/COUNT(BQ5,BW5,CE5))</f>
        <v>1.75</v>
      </c>
      <c r="CH5" s="186" t="str">
        <f t="shared" si="37"/>
        <v>C</v>
      </c>
      <c r="CI5" s="96" t="s">
        <v>30</v>
      </c>
      <c r="CJ5" s="97" t="s">
        <v>28</v>
      </c>
      <c r="CK5" s="98"/>
      <c r="CL5" s="161">
        <f>IFERROR((((COUNTIF('Elève (3ème4)'!CI5:CK5,"A"))*4)+((COUNTIF('Elève (3ème4)'!CI5:CK5,"B"))*3)+((COUNTIF('Elève (3ème4)'!CI5:CK5,"C"))*2)+((COUNTIF('Elève (3ème4)'!CI5:CK5,"D"))*1))/(COUNTA(CI5:CK5)),"")</f>
        <v>2</v>
      </c>
      <c r="CM5" s="162" t="str">
        <f t="shared" si="38"/>
        <v>C</v>
      </c>
      <c r="CN5" s="96"/>
      <c r="CO5" s="97"/>
      <c r="CP5" s="98"/>
      <c r="CQ5" s="98"/>
      <c r="CR5" s="161" t="str">
        <f>IFERROR((((COUNTIF('Elève (3ème4)'!CN5:CQ5,"A"))*4)+((COUNTIF('Elève (3ème4)'!CN5:CQ5,"B"))*3)+((COUNTIF('Elève (3ème4)'!CN5:CQ5,"C"))*2)+((COUNTIF('Elève (3ème4)'!CN5:CQ5,"D"))*1))/(COUNTA(CN5:CQ5)),"")</f>
        <v/>
      </c>
      <c r="CS5" s="162" t="str">
        <f t="shared" si="39"/>
        <v/>
      </c>
      <c r="CT5" s="96"/>
      <c r="CU5" s="97" t="s">
        <v>29</v>
      </c>
      <c r="CV5" s="98"/>
      <c r="CW5" s="98"/>
      <c r="CX5" s="98"/>
      <c r="CY5" s="102"/>
      <c r="CZ5" s="161">
        <f>IFERROR((((COUNTIF('Elève (3ème4)'!CT5:CY5,"A"))*4)+((COUNTIF('Elève (3ème4)'!CT5:CY5,"B"))*3)+((COUNTIF('Elève (3ème4)'!CT5:CY5,"C"))*2)+((COUNTIF('Elève (3ème4)'!CT5:CY5,"D"))*1))/(COUNTA(CT5:CY5)),"")</f>
        <v>2</v>
      </c>
      <c r="DA5" s="162" t="str">
        <f t="shared" si="40"/>
        <v>C</v>
      </c>
      <c r="DB5" s="161">
        <f>IF(COUNT(CL5,CR5,CZ5)=0,"",SUM(CL5,CR5,CZ5)/COUNT(CL5,CR5,CZ5))</f>
        <v>2</v>
      </c>
      <c r="DC5" s="186" t="str">
        <f t="shared" si="41"/>
        <v>C</v>
      </c>
      <c r="DD5" s="96" t="s">
        <v>30</v>
      </c>
      <c r="DE5" s="97" t="s">
        <v>29</v>
      </c>
      <c r="DF5" s="98"/>
      <c r="DG5" s="161">
        <f>IFERROR((((COUNTIF('Elève (3ème4)'!DD5:DF5,"A"))*4)+((COUNTIF('Elève (3ème4)'!DD5:DF5,"B"))*3)+((COUNTIF('Elève (3ème4)'!DD5:DF5,"C"))*2)+((COUNTIF('Elève (3ème4)'!DD5:DF5,"D"))*1))/(COUNTA(DD5:DF5)),"")</f>
        <v>1.5</v>
      </c>
      <c r="DH5" s="162" t="str">
        <f t="shared" si="42"/>
        <v>D</v>
      </c>
      <c r="DI5" s="96"/>
      <c r="DJ5" s="97"/>
      <c r="DK5" s="98"/>
      <c r="DL5" s="98"/>
      <c r="DM5" s="161" t="str">
        <f>IFERROR((((COUNTIF('Elève (3ème4)'!DI5:DL5,"A"))*4)+((COUNTIF('Elève (3ème4)'!DI5:DL5,"B"))*3)+((COUNTIF('Elève (3ème4)'!DI5:DL5,"C"))*2)+((COUNTIF('Elève (3ème4)'!DI5:DL5,"D"))*1))/(COUNTA(DI5:DL5)),"")</f>
        <v/>
      </c>
      <c r="DN5" s="162" t="str">
        <f t="shared" si="43"/>
        <v/>
      </c>
      <c r="DO5" s="96" t="s">
        <v>28</v>
      </c>
      <c r="DP5" s="97" t="s">
        <v>29</v>
      </c>
      <c r="DQ5" s="98"/>
      <c r="DR5" s="98"/>
      <c r="DS5" s="98"/>
      <c r="DT5" s="102"/>
      <c r="DU5" s="161">
        <f>IFERROR((((COUNTIF('Elève (3ème4)'!DO5:DT5,"A"))*4)+((COUNTIF('Elève (3ème4)'!DO5:DT5,"B"))*3)+((COUNTIF('Elève (3ème4)'!DO5:DT5,"C"))*2)+((COUNTIF('Elève (3ème4)'!DO5:DT5,"D"))*1))/(COUNTA(DO5:DT5)),"")</f>
        <v>2.5</v>
      </c>
      <c r="DV5" s="162" t="str">
        <f t="shared" si="44"/>
        <v>C</v>
      </c>
      <c r="DW5" s="161">
        <f>IF(COUNT(DG5,DM5,DU5)=0,"",SUM(DG5,DM5,DU5)/COUNT(DG5,DM5,DU5))</f>
        <v>2</v>
      </c>
      <c r="DX5" s="186" t="str">
        <f t="shared" si="45"/>
        <v>C</v>
      </c>
      <c r="DY5" s="96" t="s">
        <v>30</v>
      </c>
      <c r="DZ5" s="97" t="s">
        <v>28</v>
      </c>
      <c r="EA5" s="98"/>
      <c r="EB5" s="161">
        <f>IFERROR((((COUNTIF('Elève (3ème4)'!DY5:EA5,"A"))*4)+((COUNTIF('Elève (3ème4)'!DY5:EA5,"B"))*3)+((COUNTIF('Elève (3ème4)'!DY5:EA5,"C"))*2)+((COUNTIF('Elève (3ème4)'!DY5:EA5,"D"))*1))/(COUNTA(DY5:EA5)),"")</f>
        <v>2</v>
      </c>
      <c r="EC5" s="162" t="str">
        <f t="shared" si="46"/>
        <v>C</v>
      </c>
      <c r="ED5" s="96"/>
      <c r="EE5" s="97"/>
      <c r="EF5" s="98"/>
      <c r="EG5" s="98"/>
      <c r="EH5" s="161" t="str">
        <f>IFERROR((((COUNTIF('Elève (3ème4)'!ED5:EG5,"A"))*4)+((COUNTIF('Elève (3ème4)'!ED5:EG5,"B"))*3)+((COUNTIF('Elève (3ème4)'!ED5:EG5,"C"))*2)+((COUNTIF('Elève (3ème4)'!ED5:EG5,"D"))*1))/(COUNTA(ED5:EG5)),"")</f>
        <v/>
      </c>
      <c r="EI5" s="162" t="str">
        <f t="shared" si="47"/>
        <v/>
      </c>
      <c r="EJ5" s="96" t="s">
        <v>29</v>
      </c>
      <c r="EK5" s="97" t="s">
        <v>28</v>
      </c>
      <c r="EL5" s="98"/>
      <c r="EM5" s="98"/>
      <c r="EN5" s="98"/>
      <c r="EO5" s="102"/>
      <c r="EP5" s="161">
        <f>IFERROR((((COUNTIF('Elève (3ème4)'!EJ5:EO5,"A"))*4)+((COUNTIF('Elève (3ème4)'!EJ5:EO5,"B"))*3)+((COUNTIF('Elève (3ème4)'!EJ5:EO5,"C"))*2)+((COUNTIF('Elève (3ème4)'!EJ5:EO5,"D"))*1))/(COUNTA(EJ5:EO5)),"")</f>
        <v>2.5</v>
      </c>
      <c r="EQ5" s="162" t="str">
        <f t="shared" si="48"/>
        <v>C</v>
      </c>
      <c r="ER5" s="161">
        <f>IF(COUNT(EB5,EH5,EP5)=0,"",SUM(EB5,EH5,EP5)/COUNT(EB5,EH5,EP5))</f>
        <v>2.25</v>
      </c>
      <c r="ES5" s="186" t="str">
        <f t="shared" si="49"/>
        <v>C</v>
      </c>
      <c r="ET5" s="96" t="s">
        <v>28</v>
      </c>
      <c r="EU5" s="97" t="s">
        <v>28</v>
      </c>
      <c r="EV5" s="98"/>
      <c r="EW5" s="161">
        <f>IFERROR((((COUNTIF('Elève (3ème4)'!ET5:EV5,"A"))*4)+((COUNTIF('Elève (3ème4)'!ET5:EV5,"B"))*3)+((COUNTIF('Elève (3ème4)'!ET5:EV5,"C"))*2)+((COUNTIF('Elève (3ème4)'!ET5:EV5,"D"))*1))/(COUNTA(ET5:EV5)),"")</f>
        <v>3</v>
      </c>
      <c r="EX5" s="162" t="str">
        <f t="shared" si="50"/>
        <v>B</v>
      </c>
      <c r="EY5" s="96"/>
      <c r="EZ5" s="97"/>
      <c r="FA5" s="98"/>
      <c r="FB5" s="98"/>
      <c r="FC5" s="161" t="str">
        <f>IFERROR((((COUNTIF('Elève (3ème4)'!EY5:FB5,"A"))*4)+((COUNTIF('Elève (3ème4)'!EY5:FB5,"B"))*3)+((COUNTIF('Elève (3ème4)'!EY5:FB5,"C"))*2)+((COUNTIF('Elève (3ème4)'!EY5:FB5,"D"))*1))/(COUNTA(EY5:FB5)),"")</f>
        <v/>
      </c>
      <c r="FD5" s="162" t="str">
        <f t="shared" si="51"/>
        <v/>
      </c>
      <c r="FE5" s="96" t="s">
        <v>27</v>
      </c>
      <c r="FF5" s="97" t="s">
        <v>28</v>
      </c>
      <c r="FG5" s="98"/>
      <c r="FH5" s="98"/>
      <c r="FI5" s="98"/>
      <c r="FJ5" s="102"/>
      <c r="FK5" s="161">
        <f>IFERROR((((COUNTIF('Elève (3ème4)'!FE5:FJ5,"A"))*4)+((COUNTIF('Elève (3ème4)'!FE5:FJ5,"B"))*3)+((COUNTIF('Elève (3ème4)'!FE5:FJ5,"C"))*2)+((COUNTIF('Elève (3ème4)'!FE5:FJ5,"D"))*1))/(COUNTA(FE5:FJ5)),"")</f>
        <v>3.5</v>
      </c>
      <c r="FL5" s="162" t="str">
        <f t="shared" si="52"/>
        <v>B</v>
      </c>
      <c r="FM5" s="161">
        <f>IF(COUNT(EW5,FC5,FK5)=0,"",SUM(EW5,FC5,FK5)/COUNT(EW5,FC5,FK5))</f>
        <v>3.25</v>
      </c>
      <c r="FN5" s="186" t="str">
        <f t="shared" si="53"/>
        <v>B</v>
      </c>
      <c r="FO5" s="96" t="s">
        <v>28</v>
      </c>
      <c r="FP5" s="97" t="s">
        <v>28</v>
      </c>
      <c r="FQ5" s="98"/>
      <c r="FR5" s="161">
        <f>IFERROR((((COUNTIF('Elève (3ème4)'!FO5:FQ5,"A"))*4)+((COUNTIF('Elève (3ème4)'!FO5:FQ5,"B"))*3)+((COUNTIF('Elève (3ème4)'!FO5:FQ5,"C"))*2)+((COUNTIF('Elève (3ème4)'!FO5:FQ5,"D"))*1))/(COUNTA(FO5:FQ5)),"")</f>
        <v>3</v>
      </c>
      <c r="FS5" s="162" t="str">
        <f t="shared" si="54"/>
        <v>B</v>
      </c>
      <c r="FT5" s="96"/>
      <c r="FU5" s="97"/>
      <c r="FV5" s="98"/>
      <c r="FW5" s="98"/>
      <c r="FX5" s="161" t="str">
        <f>IFERROR((((COUNTIF('Elève (3ème4)'!FT5:FW5,"A"))*4)+((COUNTIF('Elève (3ème4)'!FT5:FW5,"B"))*3)+((COUNTIF('Elève (3ème4)'!FT5:FW5,"C"))*2)+((COUNTIF('Elève (3ème4)'!FT5:FW5,"D"))*1))/(COUNTA(FT5:FW5)),"")</f>
        <v/>
      </c>
      <c r="FY5" s="162" t="str">
        <f t="shared" si="55"/>
        <v/>
      </c>
      <c r="FZ5" s="96" t="s">
        <v>28</v>
      </c>
      <c r="GA5" s="97" t="s">
        <v>29</v>
      </c>
      <c r="GB5" s="98"/>
      <c r="GC5" s="98"/>
      <c r="GD5" s="98"/>
      <c r="GE5" s="102"/>
      <c r="GF5" s="161">
        <f>IFERROR((((COUNTIF('Elève (3ème4)'!FZ5:GE5,"A"))*4)+((COUNTIF('Elève (3ème4)'!FZ5:GE5,"B"))*3)+((COUNTIF('Elève (3ème4)'!FZ5:GE5,"C"))*2)+((COUNTIF('Elève (3ème4)'!FZ5:GE5,"D"))*1))/(COUNTA(FZ5:GE5)),"")</f>
        <v>2.5</v>
      </c>
      <c r="GG5" s="162" t="str">
        <f t="shared" si="56"/>
        <v>C</v>
      </c>
      <c r="GH5" s="161">
        <f>IF(COUNT(FR5,FX5,GF5)=0,"",SUM(FR5,FX5,GF5)/COUNT(FR5,FX5,GF5))</f>
        <v>2.75</v>
      </c>
      <c r="GI5" s="186" t="str">
        <f t="shared" si="57"/>
        <v>C</v>
      </c>
      <c r="GJ5" s="96" t="s">
        <v>30</v>
      </c>
      <c r="GK5" s="97" t="s">
        <v>29</v>
      </c>
      <c r="GL5" s="98"/>
      <c r="GM5" s="161">
        <f>IFERROR((((COUNTIF('Elève (3ème4)'!GJ5:GL5,"A"))*4)+((COUNTIF('Elève (3ème4)'!GJ5:GL5,"B"))*3)+((COUNTIF('Elève (3ème4)'!GJ5:GL5,"C"))*2)+((COUNTIF('Elève (3ème4)'!GJ5:GL5,"D"))*1))/(COUNTA(GJ5:GL5)),"")</f>
        <v>1.5</v>
      </c>
      <c r="GN5" s="162" t="str">
        <f t="shared" si="58"/>
        <v>D</v>
      </c>
      <c r="GO5" s="96"/>
      <c r="GP5" s="97"/>
      <c r="GQ5" s="98"/>
      <c r="GR5" s="98"/>
      <c r="GS5" s="161" t="str">
        <f>IFERROR((((COUNTIF('Elève (3ème4)'!GO5:GR5,"A"))*4)+((COUNTIF('Elève (3ème4)'!GO5:GR5,"B"))*3)+((COUNTIF('Elève (3ème4)'!GO5:GR5,"C"))*2)+((COUNTIF('Elève (3ème4)'!GO5:GR5,"D"))*1))/(COUNTA(GO5:GR5)),"")</f>
        <v/>
      </c>
      <c r="GT5" s="162" t="str">
        <f t="shared" si="59"/>
        <v/>
      </c>
      <c r="GU5" s="96" t="s">
        <v>27</v>
      </c>
      <c r="GV5" s="97" t="s">
        <v>28</v>
      </c>
      <c r="GW5" s="98"/>
      <c r="GX5" s="98"/>
      <c r="GY5" s="98"/>
      <c r="GZ5" s="102"/>
      <c r="HA5" s="161">
        <f>IFERROR((((COUNTIF('Elève (3ème4)'!GU5:GZ5,"A"))*4)+((COUNTIF('Elève (3ème4)'!GU5:GZ5,"B"))*3)+((COUNTIF('Elève (3ème4)'!GU5:GZ5,"C"))*2)+((COUNTIF('Elève (3ème4)'!GU5:GZ5,"D"))*1))/(COUNTA(GU5:GZ5)),"")</f>
        <v>3.5</v>
      </c>
      <c r="HB5" s="162" t="str">
        <f t="shared" si="60"/>
        <v>B</v>
      </c>
      <c r="HC5" s="161">
        <f>IF(COUNT(GM5,GS5,HA5)=0,"",SUM(GM5,GS5,HA5)/COUNT(GM5,GS5,HA5))</f>
        <v>2.5</v>
      </c>
      <c r="HD5" s="186" t="str">
        <f t="shared" si="61"/>
        <v>C</v>
      </c>
      <c r="HE5" s="96" t="s">
        <v>30</v>
      </c>
      <c r="HF5" s="97" t="s">
        <v>30</v>
      </c>
      <c r="HG5" s="98"/>
      <c r="HH5" s="161">
        <f>IFERROR((((COUNTIF('Elève (3ème4)'!HE5:HG5,"A"))*4)+((COUNTIF('Elève (3ème4)'!HE5:HG5,"B"))*3)+((COUNTIF('Elève (3ème4)'!HE5:HG5,"C"))*2)+((COUNTIF('Elève (3ème4)'!HE5:HG5,"D"))*1))/(COUNTA(HE5:HG5)),"")</f>
        <v>1</v>
      </c>
      <c r="HI5" s="162" t="str">
        <f t="shared" si="62"/>
        <v>D</v>
      </c>
      <c r="HJ5" s="96"/>
      <c r="HK5" s="97"/>
      <c r="HL5" s="98"/>
      <c r="HM5" s="98"/>
      <c r="HN5" s="161" t="str">
        <f>IFERROR((((COUNTIF('Elève (3ème4)'!HJ5:HM5,"A"))*4)+((COUNTIF('Elève (3ème4)'!HJ5:HM5,"B"))*3)+((COUNTIF('Elève (3ème4)'!HJ5:HM5,"C"))*2)+((COUNTIF('Elève (3ème4)'!HJ5:HM5,"D"))*1))/(COUNTA(HJ5:HM5)),"")</f>
        <v/>
      </c>
      <c r="HO5" s="162" t="str">
        <f t="shared" si="63"/>
        <v/>
      </c>
      <c r="HP5" s="96" t="s">
        <v>28</v>
      </c>
      <c r="HQ5" s="97" t="s">
        <v>29</v>
      </c>
      <c r="HR5" s="98"/>
      <c r="HS5" s="98"/>
      <c r="HT5" s="98"/>
      <c r="HU5" s="102"/>
      <c r="HV5" s="161">
        <f>IFERROR((((COUNTIF('Elève (3ème4)'!HP5:HU5,"A"))*4)+((COUNTIF('Elève (3ème4)'!HP5:HU5,"B"))*3)+((COUNTIF('Elève (3ème4)'!HP5:HU5,"C"))*2)+((COUNTIF('Elève (3ème4)'!HP5:HU5,"D"))*1))/(COUNTA(HP5:HU5)),"")</f>
        <v>2.5</v>
      </c>
      <c r="HW5" s="162" t="str">
        <f t="shared" si="64"/>
        <v>C</v>
      </c>
      <c r="HX5" s="161">
        <f>IF(COUNT(HH5,HN5,HV5)=0,"",SUM(HH5,HN5,HV5)/COUNT(HH5,HN5,HV5))</f>
        <v>1.75</v>
      </c>
      <c r="HY5" s="186" t="str">
        <f t="shared" si="65"/>
        <v>C</v>
      </c>
      <c r="HZ5" s="96" t="s">
        <v>28</v>
      </c>
      <c r="IA5" s="97" t="s">
        <v>28</v>
      </c>
      <c r="IB5" s="98"/>
      <c r="IC5" s="161">
        <f>IFERROR((((COUNTIF('Elève (3ème4)'!HZ5:IB5,"A"))*4)+((COUNTIF('Elève (3ème4)'!HZ5:IB5,"B"))*3)+((COUNTIF('Elève (3ème4)'!HZ5:IB5,"C"))*2)+((COUNTIF('Elève (3ème4)'!HZ5:IB5,"D"))*1))/(COUNTA(HZ5:IB5)),"")</f>
        <v>3</v>
      </c>
      <c r="ID5" s="162" t="str">
        <f t="shared" si="66"/>
        <v>B</v>
      </c>
      <c r="IE5" s="96"/>
      <c r="IF5" s="97"/>
      <c r="IG5" s="98"/>
      <c r="IH5" s="98"/>
      <c r="II5" s="161" t="str">
        <f>IFERROR((((COUNTIF('Elève (3ème4)'!IE5:IH5,"A"))*4)+((COUNTIF('Elève (3ème4)'!IE5:IH5,"B"))*3)+((COUNTIF('Elève (3ème4)'!IE5:IH5,"C"))*2)+((COUNTIF('Elève (3ème4)'!IE5:IH5,"D"))*1))/(COUNTA(IE5:IH5)),"")</f>
        <v/>
      </c>
      <c r="IJ5" s="162" t="str">
        <f t="shared" si="67"/>
        <v/>
      </c>
      <c r="IK5" s="96" t="s">
        <v>27</v>
      </c>
      <c r="IL5" s="97" t="s">
        <v>29</v>
      </c>
      <c r="IM5" s="98"/>
      <c r="IN5" s="98"/>
      <c r="IO5" s="98"/>
      <c r="IP5" s="102"/>
      <c r="IQ5" s="161">
        <f>IFERROR((((COUNTIF('Elève (3ème4)'!IK5:IP5,"A"))*4)+((COUNTIF('Elève (3ème4)'!IK5:IP5,"B"))*3)+((COUNTIF('Elève (3ème4)'!IK5:IP5,"C"))*2)+((COUNTIF('Elève (3ème4)'!IK5:IP5,"D"))*1))/(COUNTA(IK5:IP5)),"")</f>
        <v>3</v>
      </c>
      <c r="IR5" s="162" t="str">
        <f t="shared" si="68"/>
        <v>B</v>
      </c>
      <c r="IS5" s="161">
        <f>IF(COUNT(IC5,II5,IQ5)=0,"",SUM(IC5,II5,IQ5)/COUNT(IC5,II5,IQ5))</f>
        <v>3</v>
      </c>
      <c r="IT5" s="186" t="str">
        <f t="shared" si="69"/>
        <v>B</v>
      </c>
      <c r="IU5" s="96" t="s">
        <v>30</v>
      </c>
      <c r="IV5" s="97" t="s">
        <v>30</v>
      </c>
      <c r="IW5" s="98"/>
      <c r="IX5" s="161">
        <f>IFERROR((((COUNTIF('Elève (3ème4)'!IU5:IW5,"A"))*4)+((COUNTIF('Elève (3ème4)'!IU5:IW5,"B"))*3)+((COUNTIF('Elève (3ème4)'!IU5:IW5,"C"))*2)+((COUNTIF('Elève (3ème4)'!IU5:IW5,"D"))*1))/(COUNTA(IU5:IW5)),"")</f>
        <v>1</v>
      </c>
      <c r="IY5" s="162" t="str">
        <f t="shared" si="70"/>
        <v>D</v>
      </c>
      <c r="IZ5" s="96"/>
      <c r="JA5" s="97"/>
      <c r="JB5" s="98"/>
      <c r="JC5" s="98"/>
      <c r="JD5" s="161" t="str">
        <f>IFERROR((((COUNTIF('Elève (3ème4)'!IZ5:JC5,"A"))*4)+((COUNTIF('Elève (3ème4)'!IZ5:JC5,"B"))*3)+((COUNTIF('Elève (3ème4)'!IZ5:JC5,"C"))*2)+((COUNTIF('Elève (3ème4)'!IZ5:JC5,"D"))*1))/(COUNTA(IZ5:JC5)),"")</f>
        <v/>
      </c>
      <c r="JE5" s="162" t="str">
        <f t="shared" si="71"/>
        <v/>
      </c>
      <c r="JF5" s="96" t="s">
        <v>29</v>
      </c>
      <c r="JG5" s="97" t="s">
        <v>28</v>
      </c>
      <c r="JH5" s="98"/>
      <c r="JI5" s="98"/>
      <c r="JJ5" s="98"/>
      <c r="JK5" s="102"/>
      <c r="JL5" s="161">
        <f>IFERROR((((COUNTIF('Elève (3ème4)'!JF5:JK5,"A"))*4)+((COUNTIF('Elève (3ème4)'!JF5:JK5,"B"))*3)+((COUNTIF('Elève (3ème4)'!JF5:JK5,"C"))*2)+((COUNTIF('Elève (3ème4)'!JF5:JK5,"D"))*1))/(COUNTA(JF5:JK5)),"")</f>
        <v>2.5</v>
      </c>
      <c r="JM5" s="162" t="str">
        <f t="shared" si="72"/>
        <v>C</v>
      </c>
      <c r="JN5" s="161">
        <f>IF(COUNT(IX5,JD5,JL5)=0,"",SUM(IX5,JD5,JL5)/COUNT(IX5,JD5,JL5))</f>
        <v>1.75</v>
      </c>
      <c r="JO5" s="186" t="str">
        <f t="shared" si="73"/>
        <v>C</v>
      </c>
      <c r="JP5" s="96" t="s">
        <v>29</v>
      </c>
      <c r="JQ5" s="97" t="s">
        <v>28</v>
      </c>
      <c r="JR5" s="98"/>
      <c r="JS5" s="161">
        <f>IFERROR((((COUNTIF('Elève (3ème4)'!JP5:JR5,"A"))*4)+((COUNTIF('Elève (3ème4)'!JP5:JR5,"B"))*3)+((COUNTIF('Elève (3ème4)'!JP5:JR5,"C"))*2)+((COUNTIF('Elève (3ème4)'!JP5:JR5,"D"))*1))/(COUNTA(JP5:JR5)),"")</f>
        <v>2.5</v>
      </c>
      <c r="JT5" s="162" t="str">
        <f t="shared" si="74"/>
        <v>C</v>
      </c>
      <c r="JU5" s="96"/>
      <c r="JV5" s="97"/>
      <c r="JW5" s="98"/>
      <c r="JX5" s="98"/>
      <c r="JY5" s="161" t="str">
        <f>IFERROR((((COUNTIF('Elève (3ème4)'!JU5:JX5,"A"))*4)+((COUNTIF('Elève (3ème4)'!JU5:JX5,"B"))*3)+((COUNTIF('Elève (3ème4)'!JU5:JX5,"C"))*2)+((COUNTIF('Elève (3ème4)'!JU5:JX5,"D"))*1))/(COUNTA(JU5:JX5)),"")</f>
        <v/>
      </c>
      <c r="JZ5" s="162" t="str">
        <f t="shared" si="75"/>
        <v/>
      </c>
      <c r="KA5" s="96" t="s">
        <v>29</v>
      </c>
      <c r="KB5" s="97" t="s">
        <v>29</v>
      </c>
      <c r="KC5" s="98"/>
      <c r="KD5" s="98"/>
      <c r="KE5" s="98"/>
      <c r="KF5" s="102"/>
      <c r="KG5" s="161">
        <f>IFERROR((((COUNTIF('Elève (3ème4)'!KA5:KF5,"A"))*4)+((COUNTIF('Elève (3ème4)'!KA5:KF5,"B"))*3)+((COUNTIF('Elève (3ème4)'!KA5:KF5,"C"))*2)+((COUNTIF('Elève (3ème4)'!KA5:KF5,"D"))*1))/(COUNTA(KA5:KF5)),"")</f>
        <v>2</v>
      </c>
      <c r="KH5" s="162" t="str">
        <f t="shared" si="76"/>
        <v>C</v>
      </c>
      <c r="KI5" s="161">
        <f>IF(COUNT(JS5,JY5,KG5)=0,"",SUM(JS5,JY5,KG5)/COUNT(JS5,JY5,KG5))</f>
        <v>2.25</v>
      </c>
      <c r="KJ5" s="186" t="str">
        <f t="shared" si="77"/>
        <v>C</v>
      </c>
      <c r="KK5" s="96" t="s">
        <v>30</v>
      </c>
      <c r="KL5" s="97" t="s">
        <v>28</v>
      </c>
      <c r="KM5" s="98"/>
      <c r="KN5" s="161">
        <f>IFERROR((((COUNTIF('Elève (3ème4)'!KK5:KM5,"A"))*4)+((COUNTIF('Elève (3ème4)'!KK5:KM5,"B"))*3)+((COUNTIF('Elève (3ème4)'!KK5:KM5,"C"))*2)+((COUNTIF('Elève (3ème4)'!KK5:KM5,"D"))*1))/(COUNTA(KK5:KM5)),"")</f>
        <v>2</v>
      </c>
      <c r="KO5" s="162" t="str">
        <f t="shared" si="78"/>
        <v>C</v>
      </c>
      <c r="KP5" s="96"/>
      <c r="KQ5" s="97"/>
      <c r="KR5" s="98"/>
      <c r="KS5" s="98"/>
      <c r="KT5" s="161" t="str">
        <f>IFERROR((((COUNTIF('Elève (3ème4)'!KP5:KS5,"A"))*4)+((COUNTIF('Elève (3ème4)'!KP5:KS5,"B"))*3)+((COUNTIF('Elève (3ème4)'!KP5:KS5,"C"))*2)+((COUNTIF('Elève (3ème4)'!KP5:KS5,"D"))*1))/(COUNTA(KP5:KS5)),"")</f>
        <v/>
      </c>
      <c r="KU5" s="162" t="str">
        <f t="shared" si="79"/>
        <v/>
      </c>
      <c r="KV5" s="96" t="s">
        <v>27</v>
      </c>
      <c r="KW5" s="97" t="s">
        <v>29</v>
      </c>
      <c r="KX5" s="98"/>
      <c r="KY5" s="98"/>
      <c r="KZ5" s="98"/>
      <c r="LA5" s="102"/>
      <c r="LB5" s="161">
        <f>IFERROR((((COUNTIF('Elève (3ème4)'!KV5:LA5,"A"))*4)+((COUNTIF('Elève (3ème4)'!KV5:LA5,"B"))*3)+((COUNTIF('Elève (3ème4)'!KV5:LA5,"C"))*2)+((COUNTIF('Elève (3ème4)'!KV5:LA5,"D"))*1))/(COUNTA(KV5:LA5)),"")</f>
        <v>3</v>
      </c>
      <c r="LC5" s="162" t="str">
        <f t="shared" si="80"/>
        <v>B</v>
      </c>
      <c r="LD5" s="161">
        <f>IF(COUNT(KN5,KT5,LB5)=0,"",SUM(KN5,KT5,LB5)/COUNT(KN5,KT5,LB5))</f>
        <v>2.5</v>
      </c>
      <c r="LE5" s="186" t="str">
        <f t="shared" si="81"/>
        <v>C</v>
      </c>
      <c r="LF5" s="96" t="s">
        <v>30</v>
      </c>
      <c r="LG5" s="97" t="s">
        <v>28</v>
      </c>
      <c r="LH5" s="98"/>
      <c r="LI5" s="161">
        <f>IFERROR((((COUNTIF('Elève (3ème4)'!LF5:LH5,"A"))*4)+((COUNTIF('Elève (3ème4)'!LF5:LH5,"B"))*3)+((COUNTIF('Elève (3ème4)'!LF5:LH5,"C"))*2)+((COUNTIF('Elève (3ème4)'!LF5:LH5,"D"))*1))/(COUNTA(LF5:LH5)),"")</f>
        <v>2</v>
      </c>
      <c r="LJ5" s="162" t="str">
        <f t="shared" si="82"/>
        <v>C</v>
      </c>
      <c r="LK5" s="96"/>
      <c r="LL5" s="97"/>
      <c r="LM5" s="98"/>
      <c r="LN5" s="98"/>
      <c r="LO5" s="161" t="str">
        <f>IFERROR((((COUNTIF('Elève (3ème4)'!LK5:LN5,"A"))*4)+((COUNTIF('Elève (3ème4)'!LK5:LN5,"B"))*3)+((COUNTIF('Elève (3ème4)'!LK5:LN5,"C"))*2)+((COUNTIF('Elève (3ème4)'!LK5:LN5,"D"))*1))/(COUNTA(LK5:LN5)),"")</f>
        <v/>
      </c>
      <c r="LP5" s="162" t="str">
        <f t="shared" si="83"/>
        <v/>
      </c>
      <c r="LQ5" s="96"/>
      <c r="LR5" s="97" t="s">
        <v>29</v>
      </c>
      <c r="LS5" s="98"/>
      <c r="LT5" s="98"/>
      <c r="LU5" s="98"/>
      <c r="LV5" s="102"/>
      <c r="LW5" s="161">
        <f>IFERROR((((COUNTIF('Elève (3ème4)'!LQ5:LV5,"A"))*4)+((COUNTIF('Elève (3ème4)'!LQ5:LV5,"B"))*3)+((COUNTIF('Elève (3ème4)'!LQ5:LV5,"C"))*2)+((COUNTIF('Elève (3ème4)'!LQ5:LV5,"D"))*1))/(COUNTA(LQ5:LV5)),"")</f>
        <v>2</v>
      </c>
      <c r="LX5" s="162" t="str">
        <f t="shared" si="84"/>
        <v>C</v>
      </c>
      <c r="LY5" s="161">
        <f>IF(COUNT(LI5,LO5,LW5)=0,"",SUM(LI5,LO5,LW5)/COUNT(LI5,LO5,LW5))</f>
        <v>2</v>
      </c>
      <c r="LZ5" s="186" t="str">
        <f t="shared" si="85"/>
        <v>C</v>
      </c>
      <c r="MA5" s="96" t="s">
        <v>28</v>
      </c>
      <c r="MB5" s="97" t="s">
        <v>28</v>
      </c>
      <c r="MC5" s="98"/>
      <c r="MD5" s="161">
        <f>IFERROR((((COUNTIF('Elève (3ème4)'!MA5:MC5,"A"))*4)+((COUNTIF('Elève (3ème4)'!MA5:MC5,"B"))*3)+((COUNTIF('Elève (3ème4)'!MA5:MC5,"C"))*2)+((COUNTIF('Elève (3ème4)'!MA5:MC5,"D"))*1))/(COUNTA(MA5:MC5)),"")</f>
        <v>3</v>
      </c>
      <c r="ME5" s="162" t="str">
        <f t="shared" si="86"/>
        <v>B</v>
      </c>
      <c r="MF5" s="96"/>
      <c r="MG5" s="97"/>
      <c r="MH5" s="98"/>
      <c r="MI5" s="98"/>
      <c r="MJ5" s="161" t="str">
        <f>IFERROR((((COUNTIF('Elève (3ème4)'!MF5:MI5,"A"))*4)+((COUNTIF('Elève (3ème4)'!MF5:MI5,"B"))*3)+((COUNTIF('Elève (3ème4)'!MF5:MI5,"C"))*2)+((COUNTIF('Elève (3ème4)'!MF5:MI5,"D"))*1))/(COUNTA(MF5:MI5)),"")</f>
        <v/>
      </c>
      <c r="MK5" s="162" t="str">
        <f t="shared" si="87"/>
        <v/>
      </c>
      <c r="ML5" s="96" t="s">
        <v>27</v>
      </c>
      <c r="MM5" s="97" t="s">
        <v>28</v>
      </c>
      <c r="MN5" s="98"/>
      <c r="MO5" s="98"/>
      <c r="MP5" s="98"/>
      <c r="MQ5" s="102"/>
      <c r="MR5" s="161">
        <f>IFERROR((((COUNTIF('Elève (3ème4)'!ML5:MQ5,"A"))*4)+((COUNTIF('Elève (3ème4)'!ML5:MQ5,"B"))*3)+((COUNTIF('Elève (3ème4)'!ML5:MQ5,"C"))*2)+((COUNTIF('Elève (3ème4)'!ML5:MQ5,"D"))*1))/(COUNTA(ML5:MQ5)),"")</f>
        <v>3.5</v>
      </c>
      <c r="MS5" s="162" t="str">
        <f t="shared" si="88"/>
        <v>B</v>
      </c>
      <c r="MT5" s="161">
        <f>IF(COUNT(MD5,MJ5,MR5)=0,"",SUM(MD5,MJ5,MR5)/COUNT(MD5,MJ5,MR5))</f>
        <v>3.25</v>
      </c>
      <c r="MU5" s="186" t="str">
        <f t="shared" si="89"/>
        <v>B</v>
      </c>
      <c r="MV5" s="96" t="s">
        <v>30</v>
      </c>
      <c r="MW5" s="97" t="s">
        <v>30</v>
      </c>
      <c r="MX5" s="98"/>
      <c r="MY5" s="161">
        <f>IFERROR((((COUNTIF('Elève (3ème4)'!MV5:MX5,"A"))*4)+((COUNTIF('Elève (3ème4)'!MV5:MX5,"B"))*3)+((COUNTIF('Elève (3ème4)'!MV5:MX5,"C"))*2)+((COUNTIF('Elève (3ème4)'!MV5:MX5,"D"))*1))/(COUNTA(MV5:MX5)),"")</f>
        <v>1</v>
      </c>
      <c r="MZ5" s="162" t="str">
        <f t="shared" si="90"/>
        <v>D</v>
      </c>
      <c r="NA5" s="96"/>
      <c r="NB5" s="97"/>
      <c r="NC5" s="98"/>
      <c r="ND5" s="98"/>
      <c r="NE5" s="161" t="str">
        <f>IFERROR((((COUNTIF('Elève (3ème4)'!NA5:ND5,"A"))*4)+((COUNTIF('Elève (3ème4)'!NA5:ND5,"B"))*3)+((COUNTIF('Elève (3ème4)'!NA5:ND5,"C"))*2)+((COUNTIF('Elève (3ème4)'!NA5:ND5,"D"))*1))/(COUNTA(NA5:ND5)),"")</f>
        <v/>
      </c>
      <c r="NF5" s="162" t="str">
        <f t="shared" si="91"/>
        <v/>
      </c>
      <c r="NG5" s="96" t="s">
        <v>29</v>
      </c>
      <c r="NH5" s="97" t="s">
        <v>29</v>
      </c>
      <c r="NI5" s="98"/>
      <c r="NJ5" s="98"/>
      <c r="NK5" s="98"/>
      <c r="NL5" s="102"/>
      <c r="NM5" s="161">
        <f>IFERROR((((COUNTIF('Elève (3ème4)'!NG5:NL5,"A"))*4)+((COUNTIF('Elève (3ème4)'!NG5:NL5,"B"))*3)+((COUNTIF('Elève (3ème4)'!NG5:NL5,"C"))*2)+((COUNTIF('Elève (3ème4)'!NG5:NL5,"D"))*1))/(COUNTA(NG5:NL5)),"")</f>
        <v>2</v>
      </c>
      <c r="NN5" s="162" t="str">
        <f t="shared" si="92"/>
        <v>C</v>
      </c>
      <c r="NO5" s="161">
        <f>IF(COUNT(MY5,NE5,NM5)=0,"",SUM(MY5,NE5,NM5)/COUNT(MY5,NE5,NM5))</f>
        <v>1.5</v>
      </c>
      <c r="NP5" s="186" t="str">
        <f t="shared" si="93"/>
        <v>D</v>
      </c>
      <c r="NQ5" s="96" t="s">
        <v>27</v>
      </c>
      <c r="NR5" s="97" t="s">
        <v>30</v>
      </c>
      <c r="NS5" s="98"/>
      <c r="NT5" s="161">
        <f>IFERROR((((COUNTIF('Elève (3ème4)'!NQ5:NS5,"A"))*4)+((COUNTIF('Elève (3ème4)'!NQ5:NS5,"B"))*3)+((COUNTIF('Elève (3ème4)'!NQ5:NS5,"C"))*2)+((COUNTIF('Elève (3ème4)'!NQ5:NS5,"D"))*1))/(COUNTA(NQ5:NS5)),"")</f>
        <v>2.5</v>
      </c>
      <c r="NU5" s="162" t="str">
        <f t="shared" si="94"/>
        <v>C</v>
      </c>
      <c r="NV5" s="96"/>
      <c r="NW5" s="97"/>
      <c r="NX5" s="98"/>
      <c r="NY5" s="98"/>
      <c r="NZ5" s="161" t="str">
        <f>IFERROR((((COUNTIF('Elève (3ème4)'!NV5:NY5,"A"))*4)+((COUNTIF('Elève (3ème4)'!NV5:NY5,"B"))*3)+((COUNTIF('Elève (3ème4)'!NV5:NY5,"C"))*2)+((COUNTIF('Elève (3ème4)'!NV5:NY5,"D"))*1))/(COUNTA(NV5:NY5)),"")</f>
        <v/>
      </c>
      <c r="OA5" s="162" t="str">
        <f t="shared" si="95"/>
        <v/>
      </c>
      <c r="OB5" s="96" t="s">
        <v>29</v>
      </c>
      <c r="OC5" s="97" t="s">
        <v>28</v>
      </c>
      <c r="OD5" s="98"/>
      <c r="OE5" s="98"/>
      <c r="OF5" s="98"/>
      <c r="OG5" s="102"/>
      <c r="OH5" s="161">
        <f>IFERROR((((COUNTIF('Elève (3ème4)'!OB5:OG5,"A"))*4)+((COUNTIF('Elève (3ème4)'!OB5:OG5,"B"))*3)+((COUNTIF('Elève (3ème4)'!OB5:OG5,"C"))*2)+((COUNTIF('Elève (3ème4)'!OB5:OG5,"D"))*1))/(COUNTA(OB5:OG5)),"")</f>
        <v>2.5</v>
      </c>
      <c r="OI5" s="162" t="str">
        <f t="shared" si="96"/>
        <v>C</v>
      </c>
      <c r="OJ5" s="161">
        <f>IF(COUNT(NT5,NZ5,OH5)=0,"",SUM(NT5,NZ5,OH5)/COUNT(NT5,NZ5,OH5))</f>
        <v>2.5</v>
      </c>
      <c r="OK5" s="186" t="str">
        <f t="shared" si="97"/>
        <v>C</v>
      </c>
      <c r="OL5" s="96" t="s">
        <v>30</v>
      </c>
      <c r="OM5" s="97" t="s">
        <v>28</v>
      </c>
      <c r="ON5" s="98"/>
      <c r="OO5" s="161">
        <f>IFERROR((((COUNTIF('Elève (3ème4)'!OL5:ON5,"A"))*4)+((COUNTIF('Elève (3ème4)'!OL5:ON5,"B"))*3)+((COUNTIF('Elève (3ème4)'!OL5:ON5,"C"))*2)+((COUNTIF('Elève (3ème4)'!OL5:ON5,"D"))*1))/(COUNTA(OL5:ON5)),"")</f>
        <v>2</v>
      </c>
      <c r="OP5" s="162" t="str">
        <f t="shared" si="98"/>
        <v>C</v>
      </c>
      <c r="OQ5" s="96"/>
      <c r="OR5" s="97"/>
      <c r="OS5" s="98"/>
      <c r="OT5" s="98"/>
      <c r="OU5" s="161" t="str">
        <f>IFERROR((((COUNTIF('Elève (3ème4)'!OQ5:OT5,"A"))*4)+((COUNTIF('Elève (3ème4)'!OQ5:OT5,"B"))*3)+((COUNTIF('Elève (3ème4)'!OQ5:OT5,"C"))*2)+((COUNTIF('Elève (3ème4)'!OQ5:OT5,"D"))*1))/(COUNTA(OQ5:OT5)),"")</f>
        <v/>
      </c>
      <c r="OV5" s="162" t="str">
        <f t="shared" si="99"/>
        <v/>
      </c>
      <c r="OW5" s="96"/>
      <c r="OX5" s="97" t="s">
        <v>29</v>
      </c>
      <c r="OY5" s="98"/>
      <c r="OZ5" s="98"/>
      <c r="PA5" s="98"/>
      <c r="PB5" s="102"/>
      <c r="PC5" s="161">
        <f>IFERROR((((COUNTIF('Elève (3ème4)'!OW5:PB5,"A"))*4)+((COUNTIF('Elève (3ème4)'!OW5:PB5,"B"))*3)+((COUNTIF('Elève (3ème4)'!OW5:PB5,"C"))*2)+((COUNTIF('Elève (3ème4)'!OW5:PB5,"D"))*1))/(COUNTA(OW5:PB5)),"")</f>
        <v>2</v>
      </c>
      <c r="PD5" s="162" t="str">
        <f t="shared" si="100"/>
        <v>C</v>
      </c>
      <c r="PE5" s="161">
        <f>IF(COUNT(OO5,OU5,PC5)=0,"",SUM(OO5,OU5,PC5)/COUNT(OO5,OU5,PC5))</f>
        <v>2</v>
      </c>
      <c r="PF5" s="186" t="str">
        <f t="shared" si="101"/>
        <v>C</v>
      </c>
      <c r="PG5" s="96" t="s">
        <v>30</v>
      </c>
      <c r="PH5" s="97" t="s">
        <v>28</v>
      </c>
      <c r="PI5" s="98"/>
      <c r="PJ5" s="161">
        <f>IFERROR((((COUNTIF('Elève (3ème4)'!PG5:PI5,"A"))*4)+((COUNTIF('Elève (3ème4)'!PG5:PI5,"B"))*3)+((COUNTIF('Elève (3ème4)'!PG5:PI5,"C"))*2)+((COUNTIF('Elève (3ème4)'!PG5:PI5,"D"))*1))/(COUNTA(PG5:PI5)),"")</f>
        <v>2</v>
      </c>
      <c r="PK5" s="162" t="str">
        <f t="shared" si="102"/>
        <v>C</v>
      </c>
      <c r="PL5" s="96"/>
      <c r="PM5" s="97"/>
      <c r="PN5" s="98"/>
      <c r="PO5" s="98"/>
      <c r="PP5" s="161" t="str">
        <f>IFERROR((((COUNTIF('Elève (3ème4)'!PL5:PO5,"A"))*4)+((COUNTIF('Elève (3ème4)'!PL5:PO5,"B"))*3)+((COUNTIF('Elève (3ème4)'!PL5:PO5,"C"))*2)+((COUNTIF('Elève (3ème4)'!PL5:PO5,"D"))*1))/(COUNTA(PL5:PO5)),"")</f>
        <v/>
      </c>
      <c r="PQ5" s="162" t="str">
        <f t="shared" si="103"/>
        <v/>
      </c>
      <c r="PR5" s="96" t="s">
        <v>28</v>
      </c>
      <c r="PS5" s="97" t="s">
        <v>29</v>
      </c>
      <c r="PT5" s="98"/>
      <c r="PU5" s="98"/>
      <c r="PV5" s="98"/>
      <c r="PW5" s="102"/>
      <c r="PX5" s="161">
        <f>IFERROR((((COUNTIF('Elève (3ème4)'!PR5:PW5,"A"))*4)+((COUNTIF('Elève (3ème4)'!PR5:PW5,"B"))*3)+((COUNTIF('Elève (3ème4)'!PR5:PW5,"C"))*2)+((COUNTIF('Elève (3ème4)'!PR5:PW5,"D"))*1))/(COUNTA(PR5:PW5)),"")</f>
        <v>2.5</v>
      </c>
      <c r="PY5" s="162" t="str">
        <f t="shared" si="104"/>
        <v>C</v>
      </c>
      <c r="PZ5" s="161">
        <f>IF(COUNT(PJ5,PP5,PX5)=0,"",SUM(PJ5,PP5,PX5)/COUNT(PJ5,PP5,PX5))</f>
        <v>2.25</v>
      </c>
      <c r="QA5" s="186" t="str">
        <f t="shared" si="105"/>
        <v>C</v>
      </c>
      <c r="QB5" s="96" t="s">
        <v>30</v>
      </c>
      <c r="QC5" s="97" t="s">
        <v>30</v>
      </c>
      <c r="QD5" s="98"/>
      <c r="QE5" s="161">
        <f>IFERROR((((COUNTIF('Elève (3ème4)'!QB5:QD5,"A"))*4)+((COUNTIF('Elève (3ème4)'!QB5:QD5,"B"))*3)+((COUNTIF('Elève (3ème4)'!QB5:QD5,"C"))*2)+((COUNTIF('Elève (3ème4)'!QB5:QD5,"D"))*1))/(COUNTA(QB5:QD5)),"")</f>
        <v>1</v>
      </c>
      <c r="QF5" s="162" t="str">
        <f t="shared" si="106"/>
        <v>D</v>
      </c>
      <c r="QG5" s="96"/>
      <c r="QH5" s="97"/>
      <c r="QI5" s="98"/>
      <c r="QJ5" s="98"/>
      <c r="QK5" s="161" t="str">
        <f>IFERROR((((COUNTIF('Elève (3ème4)'!QG5:QJ5,"A"))*4)+((COUNTIF('Elève (3ème4)'!QG5:QJ5,"B"))*3)+((COUNTIF('Elève (3ème4)'!QG5:QJ5,"C"))*2)+((COUNTIF('Elève (3ème4)'!QG5:QJ5,"D"))*1))/(COUNTA(QG5:QJ5)),"")</f>
        <v/>
      </c>
      <c r="QL5" s="162" t="str">
        <f t="shared" si="107"/>
        <v/>
      </c>
      <c r="QM5" s="96"/>
      <c r="QN5" s="97" t="s">
        <v>29</v>
      </c>
      <c r="QO5" s="98"/>
      <c r="QP5" s="98"/>
      <c r="QQ5" s="98"/>
      <c r="QR5" s="102"/>
      <c r="QS5" s="161">
        <f>IFERROR((((COUNTIF('Elève (3ème4)'!QM5:QR5,"A"))*4)+((COUNTIF('Elève (3ème4)'!QM5:QR5,"B"))*3)+((COUNTIF('Elève (3ème4)'!QM5:QR5,"C"))*2)+((COUNTIF('Elève (3ème4)'!QM5:QR5,"D"))*1))/(COUNTA(QM5:QR5)),"")</f>
        <v>2</v>
      </c>
      <c r="QT5" s="162" t="str">
        <f t="shared" si="108"/>
        <v>C</v>
      </c>
      <c r="QU5" s="161">
        <f>IF(COUNT(QE5,QK5,QS5)=0,"",SUM(QE5,QK5,QS5)/COUNT(QE5,QK5,QS5))</f>
        <v>1.5</v>
      </c>
      <c r="QV5" s="186" t="str">
        <f t="shared" si="109"/>
        <v>D</v>
      </c>
      <c r="QW5" s="96" t="s">
        <v>28</v>
      </c>
      <c r="QX5" s="97" t="s">
        <v>28</v>
      </c>
      <c r="QY5" s="98"/>
      <c r="QZ5" s="161">
        <f>IFERROR((((COUNTIF('Elève (3ème4)'!QW5:QY5,"A"))*4)+((COUNTIF('Elève (3ème4)'!QW5:QY5,"B"))*3)+((COUNTIF('Elève (3ème4)'!QW5:QY5,"C"))*2)+((COUNTIF('Elève (3ème4)'!QW5:QY5,"D"))*1))/(COUNTA(QW5:QY5)),"")</f>
        <v>3</v>
      </c>
      <c r="RA5" s="162" t="str">
        <f t="shared" si="110"/>
        <v>B</v>
      </c>
      <c r="RB5" s="96"/>
      <c r="RC5" s="97"/>
      <c r="RD5" s="98"/>
      <c r="RE5" s="98"/>
      <c r="RF5" s="161" t="str">
        <f>IFERROR((((COUNTIF('Elève (3ème4)'!RB5:RE5,"A"))*4)+((COUNTIF('Elève (3ème4)'!RB5:RE5,"B"))*3)+((COUNTIF('Elève (3ème4)'!RB5:RE5,"C"))*2)+((COUNTIF('Elève (3ème4)'!RB5:RE5,"D"))*1))/(COUNTA(RB5:RE5)),"")</f>
        <v/>
      </c>
      <c r="RG5" s="162" t="str">
        <f t="shared" si="111"/>
        <v/>
      </c>
      <c r="RH5" s="96" t="s">
        <v>27</v>
      </c>
      <c r="RI5" s="97" t="s">
        <v>29</v>
      </c>
      <c r="RJ5" s="98"/>
      <c r="RK5" s="98"/>
      <c r="RL5" s="98"/>
      <c r="RM5" s="102"/>
      <c r="RN5" s="161">
        <f>IFERROR((((COUNTIF('Elève (3ème4)'!RH5:RM5,"A"))*4)+((COUNTIF('Elève (3ème4)'!RH5:RM5,"B"))*3)+((COUNTIF('Elève (3ème4)'!RH5:RM5,"C"))*2)+((COUNTIF('Elève (3ème4)'!RH5:RM5,"D"))*1))/(COUNTA(RH5:RM5)),"")</f>
        <v>3</v>
      </c>
      <c r="RO5" s="162" t="str">
        <f t="shared" si="112"/>
        <v>B</v>
      </c>
      <c r="RP5" s="161">
        <f>IF(COUNT(QZ5,RF5,RN5)=0,"",SUM(QZ5,RF5,RN5)/COUNT(QZ5,RF5,RN5))</f>
        <v>3</v>
      </c>
      <c r="RQ5" s="186" t="str">
        <f t="shared" si="113"/>
        <v>B</v>
      </c>
      <c r="RR5" s="96" t="s">
        <v>29</v>
      </c>
      <c r="RS5" s="97" t="s">
        <v>28</v>
      </c>
      <c r="RT5" s="98"/>
      <c r="RU5" s="161">
        <f>IFERROR((((COUNTIF('Elève (3ème4)'!RR5:RT5,"A"))*4)+((COUNTIF('Elève (3ème4)'!RR5:RT5,"B"))*3)+((COUNTIF('Elève (3ème4)'!RR5:RT5,"C"))*2)+((COUNTIF('Elève (3ème4)'!RR5:RT5,"D"))*1))/(COUNTA(RR5:RT5)),"")</f>
        <v>2.5</v>
      </c>
      <c r="RV5" s="162" t="str">
        <f t="shared" si="114"/>
        <v>C</v>
      </c>
      <c r="RW5" s="96"/>
      <c r="RX5" s="97"/>
      <c r="RY5" s="98"/>
      <c r="RZ5" s="98"/>
      <c r="SA5" s="161" t="str">
        <f>IFERROR((((COUNTIF('Elève (3ème4)'!RW5:RZ5,"A"))*4)+((COUNTIF('Elève (3ème4)'!RW5:RZ5,"B"))*3)+((COUNTIF('Elève (3ème4)'!RW5:RZ5,"C"))*2)+((COUNTIF('Elève (3ème4)'!RW5:RZ5,"D"))*1))/(COUNTA(RW5:RZ5)),"")</f>
        <v/>
      </c>
      <c r="SB5" s="162" t="str">
        <f t="shared" si="115"/>
        <v/>
      </c>
      <c r="SC5" s="96" t="s">
        <v>29</v>
      </c>
      <c r="SD5" s="97" t="s">
        <v>29</v>
      </c>
      <c r="SE5" s="98"/>
      <c r="SF5" s="98"/>
      <c r="SG5" s="98"/>
      <c r="SH5" s="102"/>
      <c r="SI5" s="161">
        <f>IFERROR((((COUNTIF('Elève (3ème4)'!SC5:SH5,"A"))*4)+((COUNTIF('Elève (3ème4)'!SC5:SH5,"B"))*3)+((COUNTIF('Elève (3ème4)'!SC5:SH5,"C"))*2)+((COUNTIF('Elève (3ème4)'!SC5:SH5,"D"))*1))/(COUNTA(SC5:SH5)),"")</f>
        <v>2</v>
      </c>
      <c r="SJ5" s="162" t="str">
        <f t="shared" si="116"/>
        <v>C</v>
      </c>
      <c r="SK5" s="161">
        <f>IF(COUNT(RU5,SA5,SI5)=0,"",SUM(RU5,SA5,SI5)/COUNT(RU5,SA5,SI5))</f>
        <v>2.25</v>
      </c>
      <c r="SL5" s="186" t="str">
        <f t="shared" si="117"/>
        <v>C</v>
      </c>
      <c r="SM5" s="96"/>
      <c r="SN5" s="97"/>
      <c r="SO5" s="98"/>
      <c r="SP5" s="99" t="str">
        <f>IFERROR((((COUNTIF('Elève (3ème4)'!SM5:SO5,"A"))*4)+((COUNTIF('Elève (3ème4)'!SM5:SO5,"B"))*3)+((COUNTIF('Elève (3ème4)'!SM5:SO5,"C"))*2)+((COUNTIF('Elève (3ème4)'!SM5:SO5,"D"))*1))/(COUNTA(SM5:SO5)),"")</f>
        <v/>
      </c>
      <c r="SQ5" s="100" t="str">
        <f t="shared" si="118"/>
        <v/>
      </c>
      <c r="SR5" s="96"/>
      <c r="SS5" s="97"/>
      <c r="ST5" s="98"/>
      <c r="SU5" s="99" t="str">
        <f>IFERROR((((COUNTIF('Elève (3ème4)'!SR5:ST5,"A"))*4)+((COUNTIF('Elève (3ème4)'!SR5:ST5,"B"))*3)+((COUNTIF('Elève (3ème4)'!SR5:ST5,"C"))*2)+((COUNTIF('Elève (3ème4)'!SR5:ST5,"D"))*1))/(COUNTA(SR5:ST5)),"")</f>
        <v/>
      </c>
      <c r="SV5" s="100" t="str">
        <f t="shared" si="119"/>
        <v/>
      </c>
      <c r="SW5" s="96"/>
      <c r="SX5" s="97"/>
      <c r="SY5" s="102"/>
      <c r="SZ5" s="99" t="str">
        <f>IFERROR((((COUNTIF('Elève (3ème4)'!SW5:SY5,"A"))*4)+((COUNTIF('Elève (3ème4)'!SW5:SY5,"B"))*3)+((COUNTIF('Elève (3ème4)'!SW5:SY5,"C"))*2)+((COUNTIF('Elève (3ème4)'!SW5:SY5,"D"))*1))/(COUNTA(SW5:SY5)),"")</f>
        <v/>
      </c>
      <c r="TA5" s="100" t="str">
        <f t="shared" si="120"/>
        <v/>
      </c>
      <c r="TB5" s="99" t="str">
        <f>IF(COUNT(SP5,SU5,SZ5)=0,"",SUM(SP5,SU5,SZ5)/COUNT(SP5,SU5,SZ5))</f>
        <v/>
      </c>
      <c r="TC5" s="101" t="str">
        <f t="shared" si="121"/>
        <v/>
      </c>
      <c r="TD5" s="96"/>
      <c r="TE5" s="97"/>
      <c r="TF5" s="98"/>
      <c r="TG5" s="99" t="str">
        <f>IFERROR((((COUNTIF('Elève (3ème4)'!TD5:TF5,"A"))*4)+((COUNTIF('Elève (3ème4)'!TD5:TF5,"B"))*3)+((COUNTIF('Elève (3ème4)'!TD5:TF5,"C"))*2)+((COUNTIF('Elève (3ème4)'!TD5:TF5,"D"))*1))/(COUNTA(TD5:TF5)),"")</f>
        <v/>
      </c>
      <c r="TH5" s="100" t="str">
        <f t="shared" si="122"/>
        <v/>
      </c>
      <c r="TI5" s="96"/>
      <c r="TJ5" s="97"/>
      <c r="TK5" s="98"/>
      <c r="TL5" s="99" t="str">
        <f>IFERROR((((COUNTIF('Elève (3ème4)'!TI5:TK5,"A"))*4)+((COUNTIF('Elève (3ème4)'!TI5:TK5,"B"))*3)+((COUNTIF('Elève (3ème4)'!TI5:TK5,"C"))*2)+((COUNTIF('Elève (3ème4)'!TI5:TK5,"D"))*1))/(COUNTA(TI5:TK5)),"")</f>
        <v/>
      </c>
      <c r="TM5" s="100" t="str">
        <f t="shared" si="123"/>
        <v/>
      </c>
      <c r="TN5" s="96"/>
      <c r="TO5" s="97"/>
      <c r="TP5" s="102"/>
      <c r="TQ5" s="99" t="str">
        <f>IFERROR((((COUNTIF('Elève (3ème4)'!TN5:TP5,"A"))*4)+((COUNTIF('Elève (3ème4)'!TN5:TP5,"B"))*3)+((COUNTIF('Elève (3ème4)'!TN5:TP5,"C"))*2)+((COUNTIF('Elève (3ème4)'!TN5:TP5,"D"))*1))/(COUNTA(TN5:TP5)),"")</f>
        <v/>
      </c>
      <c r="TR5" s="100" t="str">
        <f t="shared" si="124"/>
        <v/>
      </c>
      <c r="TS5" s="99" t="str">
        <f>IF(COUNT(TG5,TL5,TQ5)=0,"",SUM(TG5,TL5,TQ5)/COUNT(TG5,TL5,TQ5))</f>
        <v/>
      </c>
      <c r="TT5" s="101" t="str">
        <f t="shared" si="125"/>
        <v/>
      </c>
      <c r="TU5" s="96"/>
      <c r="TV5" s="97"/>
      <c r="TW5" s="98"/>
      <c r="TX5" s="99" t="str">
        <f>IFERROR((((COUNTIF('Elève (3ème4)'!TU5:TW5,"A"))*4)+((COUNTIF('Elève (3ème4)'!TU5:TW5,"B"))*3)+((COUNTIF('Elève (3ème4)'!TU5:TW5,"C"))*2)+((COUNTIF('Elève (3ème4)'!TU5:TW5,"D"))*1))/(COUNTA(TU5:TW5)),"")</f>
        <v/>
      </c>
      <c r="TY5" s="100" t="str">
        <f t="shared" si="126"/>
        <v/>
      </c>
      <c r="TZ5" s="96"/>
      <c r="UA5" s="97"/>
      <c r="UB5" s="98"/>
      <c r="UC5" s="99" t="str">
        <f>IFERROR((((COUNTIF('Elève (3ème4)'!TZ5:UB5,"A"))*4)+((COUNTIF('Elève (3ème4)'!TZ5:UB5,"B"))*3)+((COUNTIF('Elève (3ème4)'!TZ5:UB5,"C"))*2)+((COUNTIF('Elève (3ème4)'!TZ5:UB5,"D"))*1))/(COUNTA(TZ5:UB5)),"")</f>
        <v/>
      </c>
      <c r="UD5" s="100" t="str">
        <f t="shared" si="127"/>
        <v/>
      </c>
      <c r="UE5" s="96"/>
      <c r="UF5" s="97"/>
      <c r="UG5" s="102"/>
      <c r="UH5" s="99" t="str">
        <f>IFERROR((((COUNTIF('Elève (3ème4)'!UE5:UG5,"A"))*4)+((COUNTIF('Elève (3ème4)'!UE5:UG5,"B"))*3)+((COUNTIF('Elève (3ème4)'!UE5:UG5,"C"))*2)+((COUNTIF('Elève (3ème4)'!UE5:UG5,"D"))*1))/(COUNTA(UE5:UG5)),"")</f>
        <v/>
      </c>
      <c r="UI5" s="100" t="str">
        <f t="shared" si="128"/>
        <v/>
      </c>
      <c r="UJ5" s="99" t="str">
        <f>IF(COUNT(TX5,UC5,UH5)=0,"",SUM(TX5,UC5,UH5)/COUNT(TX5,UC5,UH5))</f>
        <v/>
      </c>
      <c r="UK5" s="101" t="str">
        <f t="shared" si="129"/>
        <v/>
      </c>
      <c r="UL5" s="96"/>
      <c r="UM5" s="97"/>
      <c r="UN5" s="98"/>
      <c r="UO5" s="99" t="str">
        <f>IFERROR((((COUNTIF('Elève (3ème4)'!UL5:UN5,"A"))*4)+((COUNTIF('Elève (3ème4)'!UL5:UN5,"B"))*3)+((COUNTIF('Elève (3ème4)'!UL5:UN5,"C"))*2)+((COUNTIF('Elève (3ème4)'!UL5:UN5,"D"))*1))/(COUNTA(UL5:UN5)),"")</f>
        <v/>
      </c>
      <c r="UP5" s="100" t="str">
        <f t="shared" si="130"/>
        <v/>
      </c>
      <c r="UQ5" s="96"/>
      <c r="UR5" s="97"/>
      <c r="US5" s="98"/>
      <c r="UT5" s="99" t="str">
        <f>IFERROR((((COUNTIF('Elève (3ème4)'!UQ5:US5,"A"))*4)+((COUNTIF('Elève (3ème4)'!UQ5:US5,"B"))*3)+((COUNTIF('Elève (3ème4)'!UQ5:US5,"C"))*2)+((COUNTIF('Elève (3ème4)'!UQ5:US5,"D"))*1))/(COUNTA(UQ5:US5)),"")</f>
        <v/>
      </c>
      <c r="UU5" s="100" t="str">
        <f t="shared" si="131"/>
        <v/>
      </c>
      <c r="UV5" s="96"/>
      <c r="UW5" s="97"/>
      <c r="UX5" s="102"/>
      <c r="UY5" s="99" t="str">
        <f>IFERROR((((COUNTIF('Elève (3ème4)'!UV5:UX5,"A"))*4)+((COUNTIF('Elève (3ème4)'!UV5:UX5,"B"))*3)+((COUNTIF('Elève (3ème4)'!UV5:UX5,"C"))*2)+((COUNTIF('Elève (3ème4)'!UV5:UX5,"D"))*1))/(COUNTA(UV5:UX5)),"")</f>
        <v/>
      </c>
      <c r="UZ5" s="100" t="str">
        <f t="shared" si="132"/>
        <v/>
      </c>
      <c r="VA5" s="99" t="str">
        <f>IF(COUNT(UO5,UT5,UY5)=0,"",SUM(UO5,UT5,UY5)/COUNT(UO5,UT5,UY5))</f>
        <v/>
      </c>
      <c r="VB5" s="101" t="str">
        <f t="shared" si="133"/>
        <v/>
      </c>
      <c r="VC5" s="96"/>
      <c r="VD5" s="97"/>
      <c r="VE5" s="98"/>
      <c r="VF5" s="99" t="str">
        <f>IFERROR((((COUNTIF('Elève (3ème4)'!VC5:VE5,"A"))*4)+((COUNTIF('Elève (3ème4)'!VC5:VE5,"B"))*3)+((COUNTIF('Elève (3ème4)'!VC5:VE5,"C"))*2)+((COUNTIF('Elève (3ème4)'!VC5:VE5,"D"))*1))/(COUNTA(VC5:VE5)),"")</f>
        <v/>
      </c>
      <c r="VG5" s="100" t="str">
        <f t="shared" si="134"/>
        <v/>
      </c>
      <c r="VH5" s="96"/>
      <c r="VI5" s="97"/>
      <c r="VJ5" s="98"/>
      <c r="VK5" s="99" t="str">
        <f>IFERROR((((COUNTIF('Elève (3ème4)'!VH5:VJ5,"A"))*4)+((COUNTIF('Elève (3ème4)'!VH5:VJ5,"B"))*3)+((COUNTIF('Elève (3ème4)'!VH5:VJ5,"C"))*2)+((COUNTIF('Elève (3ème4)'!VH5:VJ5,"D"))*1))/(COUNTA(VH5:VJ5)),"")</f>
        <v/>
      </c>
      <c r="VL5" s="100" t="str">
        <f t="shared" si="135"/>
        <v/>
      </c>
      <c r="VM5" s="96"/>
      <c r="VN5" s="97"/>
      <c r="VO5" s="102"/>
      <c r="VP5" s="99" t="str">
        <f>IFERROR((((COUNTIF('Elève (3ème4)'!VM5:VO5,"A"))*4)+((COUNTIF('Elève (3ème4)'!VM5:VO5,"B"))*3)+((COUNTIF('Elève (3ème4)'!VM5:VO5,"C"))*2)+((COUNTIF('Elève (3ème4)'!VM5:VO5,"D"))*1))/(COUNTA(VM5:VO5)),"")</f>
        <v/>
      </c>
      <c r="VQ5" s="100" t="str">
        <f t="shared" si="136"/>
        <v/>
      </c>
      <c r="VR5" s="99" t="str">
        <f>IF(COUNT(VF5,VK5,VP5)=0,"",SUM(VF5,VK5,VP5)/COUNT(VF5,VK5,VP5))</f>
        <v/>
      </c>
      <c r="VS5" s="101" t="str">
        <f t="shared" si="137"/>
        <v/>
      </c>
      <c r="VT5" s="96"/>
      <c r="VU5" s="97"/>
      <c r="VV5" s="98"/>
      <c r="VW5" s="99" t="str">
        <f>IFERROR((((COUNTIF('Elève (3ème4)'!VT5:VV5,"A"))*4)+((COUNTIF('Elève (3ème4)'!VT5:VV5,"B"))*3)+((COUNTIF('Elève (3ème4)'!VT5:VV5,"C"))*2)+((COUNTIF('Elève (3ème4)'!VT5:VV5,"D"))*1))/(COUNTA(VT5:VV5)),"")</f>
        <v/>
      </c>
      <c r="VX5" s="100" t="str">
        <f t="shared" si="138"/>
        <v/>
      </c>
      <c r="VY5" s="96"/>
      <c r="VZ5" s="97"/>
      <c r="WA5" s="98"/>
      <c r="WB5" s="99" t="str">
        <f>IFERROR((((COUNTIF('Elève (3ème4)'!VY5:WA5,"A"))*4)+((COUNTIF('Elève (3ème4)'!VY5:WA5,"B"))*3)+((COUNTIF('Elève (3ème4)'!VY5:WA5,"C"))*2)+((COUNTIF('Elève (3ème4)'!VY5:WA5,"D"))*1))/(COUNTA(VY5:WA5)),"")</f>
        <v/>
      </c>
      <c r="WC5" s="100" t="str">
        <f t="shared" si="139"/>
        <v/>
      </c>
      <c r="WD5" s="96"/>
      <c r="WE5" s="97"/>
      <c r="WF5" s="102"/>
      <c r="WG5" s="99" t="str">
        <f>IFERROR((((COUNTIF('Elève (3ème4)'!WD5:WF5,"A"))*4)+((COUNTIF('Elève (3ème4)'!WD5:WF5,"B"))*3)+((COUNTIF('Elève (3ème4)'!WD5:WF5,"C"))*2)+((COUNTIF('Elève (3ème4)'!WD5:WF5,"D"))*1))/(COUNTA(WD5:WF5)),"")</f>
        <v/>
      </c>
      <c r="WH5" s="100" t="str">
        <f t="shared" si="140"/>
        <v/>
      </c>
      <c r="WI5" s="99" t="str">
        <f>IF(COUNT(VW5,WB5,WG5)=0,"",SUM(VW5,WB5,WG5)/COUNT(VW5,WB5,WG5))</f>
        <v/>
      </c>
      <c r="WJ5" s="101" t="str">
        <f t="shared" si="141"/>
        <v/>
      </c>
    </row>
    <row r="6" spans="1:608" ht="18" customHeight="1" x14ac:dyDescent="0.55000000000000004">
      <c r="A6" s="221" t="s">
        <v>13</v>
      </c>
      <c r="B6" s="222"/>
      <c r="C6" s="103"/>
      <c r="D6" s="104"/>
      <c r="E6" s="105"/>
      <c r="F6" s="163" t="str">
        <f>IFERROR((((COUNTIF('Elève (3ème4)'!C6:E6,"A"))*4)+((COUNTIF('Elève (3ème4)'!C6:E6,"B"))*3)+((COUNTIF('Elève (3ème4)'!C6:E6,"C"))*2)+((COUNTIF('Elève (3ème4)'!C6:E6,"D"))*1))/(COUNTA(C6:E6)),"")</f>
        <v/>
      </c>
      <c r="G6" s="164" t="str">
        <f t="shared" si="22"/>
        <v/>
      </c>
      <c r="H6" s="103" t="s">
        <v>28</v>
      </c>
      <c r="I6" s="104"/>
      <c r="J6" s="105"/>
      <c r="K6" s="105"/>
      <c r="L6" s="163">
        <f>IFERROR((((COUNTIF('Elève (3ème4)'!H6:K6,"A"))*4)+((COUNTIF('Elève (3ème4)'!H6:K6,"B"))*3)+((COUNTIF('Elève (3ème4)'!H6:K6,"C"))*2)+((COUNTIF('Elève (3ème4)'!H6:K6,"D"))*1))/(COUNTA(H6:K6)),"")</f>
        <v>3</v>
      </c>
      <c r="M6" s="164" t="str">
        <f t="shared" si="23"/>
        <v>B</v>
      </c>
      <c r="N6" s="103" t="s">
        <v>27</v>
      </c>
      <c r="O6" s="104" t="s">
        <v>28</v>
      </c>
      <c r="P6" s="105" t="s">
        <v>29</v>
      </c>
      <c r="Q6" s="105" t="s">
        <v>28</v>
      </c>
      <c r="R6" s="105"/>
      <c r="S6" s="105"/>
      <c r="T6" s="163">
        <f>IFERROR((((COUNTIF('Elève (3ème4)'!N6:S6,"A"))*4)+((COUNTIF('Elève (3ème4)'!N6:S6,"B"))*3)+((COUNTIF('Elève (3ème4)'!N6:S6,"C"))*2)+((COUNTIF('Elève (3ème4)'!N6:S6,"D"))*1))/(COUNTA(N6:S6)),"")</f>
        <v>3</v>
      </c>
      <c r="U6" s="164" t="str">
        <f t="shared" si="24"/>
        <v>B</v>
      </c>
      <c r="V6" s="163">
        <f>IF(COUNT(F6,L6,T6)=0,"",SUM(F6,L6,T6)/COUNT(F6,L6,T6))</f>
        <v>3</v>
      </c>
      <c r="W6" s="187" t="str">
        <f t="shared" si="25"/>
        <v>B</v>
      </c>
      <c r="X6" s="103"/>
      <c r="Y6" s="104"/>
      <c r="Z6" s="105"/>
      <c r="AA6" s="163" t="str">
        <f>IFERROR((((COUNTIF('Elève (3ème4)'!X6:Z6,"A"))*4)+((COUNTIF('Elève (3ème4)'!X6:Z6,"B"))*3)+((COUNTIF('Elève (3ème4)'!X6:Z6,"C"))*2)+((COUNTIF('Elève (3ème4)'!X6:Z6,"D"))*1))/(COUNTA(X6:Z6)),"")</f>
        <v/>
      </c>
      <c r="AB6" s="164" t="str">
        <f t="shared" si="26"/>
        <v/>
      </c>
      <c r="AC6" s="103"/>
      <c r="AD6" s="104"/>
      <c r="AE6" s="105"/>
      <c r="AF6" s="105"/>
      <c r="AG6" s="163" t="str">
        <f>IFERROR((((COUNTIF('Elève (3ème4)'!AC6:AF6,"A"))*4)+((COUNTIF('Elève (3ème4)'!AC6:AF6,"B"))*3)+((COUNTIF('Elève (3ème4)'!AC6:AF6,"C"))*2)+((COUNTIF('Elève (3ème4)'!AC6:AF6,"D"))*1))/(COUNTA(AC6:AF6)),"")</f>
        <v/>
      </c>
      <c r="AH6" s="164" t="str">
        <f t="shared" si="27"/>
        <v/>
      </c>
      <c r="AI6" s="103"/>
      <c r="AJ6" s="104"/>
      <c r="AK6" s="105"/>
      <c r="AL6" s="105"/>
      <c r="AM6" s="105"/>
      <c r="AN6" s="109"/>
      <c r="AO6" s="163" t="str">
        <f>IFERROR((((COUNTIF('Elève (3ème4)'!AI6:AN6,"A"))*4)+((COUNTIF('Elève (3ème4)'!AI6:AN6,"B"))*3)+((COUNTIF('Elève (3ème4)'!AI6:AN6,"C"))*2)+((COUNTIF('Elève (3ème4)'!AI6:AN6,"D"))*1))/(COUNTA(AI6:AN6)),"")</f>
        <v/>
      </c>
      <c r="AP6" s="164" t="str">
        <f t="shared" si="28"/>
        <v/>
      </c>
      <c r="AQ6" s="163" t="str">
        <f>IF(COUNT(AA6,AG6,AO6)=0,"",SUM(AA6,AG6,AO6)/COUNT(AA6,AG6,AO6))</f>
        <v/>
      </c>
      <c r="AR6" s="187" t="str">
        <f t="shared" si="29"/>
        <v/>
      </c>
      <c r="AS6" s="103"/>
      <c r="AT6" s="104"/>
      <c r="AU6" s="105"/>
      <c r="AV6" s="163" t="str">
        <f>IFERROR((((COUNTIF('Elève (3ème4)'!AS6:AU6,"A"))*4)+((COUNTIF('Elève (3ème4)'!AS6:AU6,"B"))*3)+((COUNTIF('Elève (3ème4)'!AS6:AU6,"C"))*2)+((COUNTIF('Elève (3ème4)'!AS6:AU6,"D"))*1))/(COUNTA(AS6:AU6)),"")</f>
        <v/>
      </c>
      <c r="AW6" s="164" t="str">
        <f t="shared" si="30"/>
        <v/>
      </c>
      <c r="AX6" s="103" t="s">
        <v>29</v>
      </c>
      <c r="AY6" s="104"/>
      <c r="AZ6" s="105"/>
      <c r="BA6" s="105"/>
      <c r="BB6" s="163">
        <f>IFERROR((((COUNTIF('Elève (3ème4)'!AX6:BA6,"A"))*4)+((COUNTIF('Elève (3ème4)'!AX6:BA6,"B"))*3)+((COUNTIF('Elève (3ème4)'!AX6:BA6,"C"))*2)+((COUNTIF('Elève (3ème4)'!AX6:BA6,"D"))*1))/(COUNTA(AX6:BA6)),"")</f>
        <v>2</v>
      </c>
      <c r="BC6" s="164" t="str">
        <f t="shared" si="31"/>
        <v>C</v>
      </c>
      <c r="BD6" s="103" t="s">
        <v>28</v>
      </c>
      <c r="BE6" s="104" t="s">
        <v>28</v>
      </c>
      <c r="BF6" s="105"/>
      <c r="BG6" s="105" t="s">
        <v>29</v>
      </c>
      <c r="BH6" s="105"/>
      <c r="BI6" s="109"/>
      <c r="BJ6" s="163">
        <f>IFERROR((((COUNTIF('Elève (3ème4)'!BD6:BI6,"A"))*4)+((COUNTIF('Elève (3ème4)'!BD6:BI6,"B"))*3)+((COUNTIF('Elève (3ème4)'!BD6:BI6,"C"))*2)+((COUNTIF('Elève (3ème4)'!BD6:BI6,"D"))*1))/(COUNTA(BD6:BI6)),"")</f>
        <v>2.6666666666666665</v>
      </c>
      <c r="BK6" s="164" t="str">
        <f t="shared" si="32"/>
        <v>C</v>
      </c>
      <c r="BL6" s="163">
        <f>IF(COUNT(AV6,BB6,BJ6)=0,"",SUM(AV6,BB6,BJ6)/COUNT(AV6,BB6,BJ6))</f>
        <v>2.333333333333333</v>
      </c>
      <c r="BM6" s="187" t="str">
        <f t="shared" si="33"/>
        <v>C</v>
      </c>
      <c r="BN6" s="103"/>
      <c r="BO6" s="104"/>
      <c r="BP6" s="105"/>
      <c r="BQ6" s="163" t="str">
        <f>IFERROR((((COUNTIF('Elève (3ème4)'!BN6:BP6,"A"))*4)+((COUNTIF('Elève (3ème4)'!BN6:BP6,"B"))*3)+((COUNTIF('Elève (3ème4)'!BN6:BP6,"C"))*2)+((COUNTIF('Elève (3ème4)'!BN6:BP6,"D"))*1))/(COUNTA(BN6:BP6)),"")</f>
        <v/>
      </c>
      <c r="BR6" s="164" t="str">
        <f t="shared" si="34"/>
        <v/>
      </c>
      <c r="BS6" s="103" t="s">
        <v>29</v>
      </c>
      <c r="BT6" s="104"/>
      <c r="BU6" s="105"/>
      <c r="BV6" s="105"/>
      <c r="BW6" s="163">
        <f>IFERROR((((COUNTIF('Elève (3ème4)'!BS6:BV6,"A"))*4)+((COUNTIF('Elève (3ème4)'!BS6:BV6,"B"))*3)+((COUNTIF('Elève (3ème4)'!BS6:BV6,"C"))*2)+((COUNTIF('Elève (3ème4)'!BS6:BV6,"D"))*1))/(COUNTA(BS6:BV6)),"")</f>
        <v>2</v>
      </c>
      <c r="BX6" s="164" t="str">
        <f t="shared" si="35"/>
        <v>C</v>
      </c>
      <c r="BY6" s="103" t="s">
        <v>29</v>
      </c>
      <c r="BZ6" s="104" t="s">
        <v>29</v>
      </c>
      <c r="CA6" s="105"/>
      <c r="CB6" s="105" t="s">
        <v>28</v>
      </c>
      <c r="CC6" s="105"/>
      <c r="CD6" s="109"/>
      <c r="CE6" s="163">
        <f>IFERROR((((COUNTIF('Elève (3ème4)'!BY6:CD6,"A"))*4)+((COUNTIF('Elève (3ème4)'!BY6:CD6,"B"))*3)+((COUNTIF('Elève (3ème4)'!BY6:CD6,"C"))*2)+((COUNTIF('Elève (3ème4)'!BY6:CD6,"D"))*1))/(COUNTA(BY6:CD6)),"")</f>
        <v>2.3333333333333335</v>
      </c>
      <c r="CF6" s="164" t="str">
        <f t="shared" si="36"/>
        <v>C</v>
      </c>
      <c r="CG6" s="163">
        <f>IF(COUNT(BQ6,BW6,CE6)=0,"",SUM(BQ6,BW6,CE6)/COUNT(BQ6,BW6,CE6))</f>
        <v>2.166666666666667</v>
      </c>
      <c r="CH6" s="187" t="str">
        <f t="shared" si="37"/>
        <v>C</v>
      </c>
      <c r="CI6" s="103"/>
      <c r="CJ6" s="104"/>
      <c r="CK6" s="105"/>
      <c r="CL6" s="163" t="str">
        <f>IFERROR((((COUNTIF('Elève (3ème4)'!CI6:CK6,"A"))*4)+((COUNTIF('Elève (3ème4)'!CI6:CK6,"B"))*3)+((COUNTIF('Elève (3ème4)'!CI6:CK6,"C"))*2)+((COUNTIF('Elève (3ème4)'!CI6:CK6,"D"))*1))/(COUNTA(CI6:CK6)),"")</f>
        <v/>
      </c>
      <c r="CM6" s="164" t="str">
        <f t="shared" si="38"/>
        <v/>
      </c>
      <c r="CN6" s="103"/>
      <c r="CO6" s="104"/>
      <c r="CP6" s="105"/>
      <c r="CQ6" s="105"/>
      <c r="CR6" s="163" t="str">
        <f>IFERROR((((COUNTIF('Elève (3ème4)'!CN6:CQ6,"A"))*4)+((COUNTIF('Elève (3ème4)'!CN6:CQ6,"B"))*3)+((COUNTIF('Elève (3ème4)'!CN6:CQ6,"C"))*2)+((COUNTIF('Elève (3ème4)'!CN6:CQ6,"D"))*1))/(COUNTA(CN6:CQ6)),"")</f>
        <v/>
      </c>
      <c r="CS6" s="164" t="str">
        <f t="shared" si="39"/>
        <v/>
      </c>
      <c r="CT6" s="103"/>
      <c r="CU6" s="104" t="s">
        <v>29</v>
      </c>
      <c r="CV6" s="105" t="s">
        <v>28</v>
      </c>
      <c r="CW6" s="105" t="s">
        <v>28</v>
      </c>
      <c r="CX6" s="105"/>
      <c r="CY6" s="109"/>
      <c r="CZ6" s="163">
        <f>IFERROR((((COUNTIF('Elève (3ème4)'!CT6:CY6,"A"))*4)+((COUNTIF('Elève (3ème4)'!CT6:CY6,"B"))*3)+((COUNTIF('Elève (3ème4)'!CT6:CY6,"C"))*2)+((COUNTIF('Elève (3ème4)'!CT6:CY6,"D"))*1))/(COUNTA(CT6:CY6)),"")</f>
        <v>2.6666666666666665</v>
      </c>
      <c r="DA6" s="164" t="str">
        <f t="shared" si="40"/>
        <v>C</v>
      </c>
      <c r="DB6" s="163">
        <f>IF(COUNT(CL6,CR6,CZ6)=0,"",SUM(CL6,CR6,CZ6)/COUNT(CL6,CR6,CZ6))</f>
        <v>2.6666666666666665</v>
      </c>
      <c r="DC6" s="187" t="str">
        <f t="shared" si="41"/>
        <v>C</v>
      </c>
      <c r="DD6" s="103"/>
      <c r="DE6" s="104"/>
      <c r="DF6" s="105"/>
      <c r="DG6" s="163" t="str">
        <f>IFERROR((((COUNTIF('Elève (3ème4)'!DD6:DF6,"A"))*4)+((COUNTIF('Elève (3ème4)'!DD6:DF6,"B"))*3)+((COUNTIF('Elève (3ème4)'!DD6:DF6,"C"))*2)+((COUNTIF('Elève (3ème4)'!DD6:DF6,"D"))*1))/(COUNTA(DD6:DF6)),"")</f>
        <v/>
      </c>
      <c r="DH6" s="164" t="str">
        <f t="shared" si="42"/>
        <v/>
      </c>
      <c r="DI6" s="103" t="s">
        <v>28</v>
      </c>
      <c r="DJ6" s="104"/>
      <c r="DK6" s="105"/>
      <c r="DL6" s="105"/>
      <c r="DM6" s="163">
        <f>IFERROR((((COUNTIF('Elève (3ème4)'!DI6:DL6,"A"))*4)+((COUNTIF('Elève (3ème4)'!DI6:DL6,"B"))*3)+((COUNTIF('Elève (3ème4)'!DI6:DL6,"C"))*2)+((COUNTIF('Elève (3ème4)'!DI6:DL6,"D"))*1))/(COUNTA(DI6:DL6)),"")</f>
        <v>3</v>
      </c>
      <c r="DN6" s="164" t="str">
        <f t="shared" si="43"/>
        <v>B</v>
      </c>
      <c r="DO6" s="103" t="s">
        <v>27</v>
      </c>
      <c r="DP6" s="104" t="s">
        <v>29</v>
      </c>
      <c r="DQ6" s="105" t="s">
        <v>29</v>
      </c>
      <c r="DR6" s="105"/>
      <c r="DS6" s="105"/>
      <c r="DT6" s="109"/>
      <c r="DU6" s="163">
        <f>IFERROR((((COUNTIF('Elève (3ème4)'!DO6:DT6,"A"))*4)+((COUNTIF('Elève (3ème4)'!DO6:DT6,"B"))*3)+((COUNTIF('Elève (3ème4)'!DO6:DT6,"C"))*2)+((COUNTIF('Elève (3ème4)'!DO6:DT6,"D"))*1))/(COUNTA(DO6:DT6)),"")</f>
        <v>2.6666666666666665</v>
      </c>
      <c r="DV6" s="164" t="str">
        <f t="shared" si="44"/>
        <v>C</v>
      </c>
      <c r="DW6" s="163">
        <f>IF(COUNT(DG6,DM6,DU6)=0,"",SUM(DG6,DM6,DU6)/COUNT(DG6,DM6,DU6))</f>
        <v>2.833333333333333</v>
      </c>
      <c r="DX6" s="187" t="str">
        <f t="shared" si="45"/>
        <v>B</v>
      </c>
      <c r="DY6" s="103"/>
      <c r="DZ6" s="104"/>
      <c r="EA6" s="105"/>
      <c r="EB6" s="163" t="str">
        <f>IFERROR((((COUNTIF('Elève (3ème4)'!DY6:EA6,"A"))*4)+((COUNTIF('Elève (3ème4)'!DY6:EA6,"B"))*3)+((COUNTIF('Elève (3ème4)'!DY6:EA6,"C"))*2)+((COUNTIF('Elève (3ème4)'!DY6:EA6,"D"))*1))/(COUNTA(DY6:EA6)),"")</f>
        <v/>
      </c>
      <c r="EC6" s="164" t="str">
        <f t="shared" si="46"/>
        <v/>
      </c>
      <c r="ED6" s="103" t="s">
        <v>29</v>
      </c>
      <c r="EE6" s="104"/>
      <c r="EF6" s="105"/>
      <c r="EG6" s="105"/>
      <c r="EH6" s="163">
        <f>IFERROR((((COUNTIF('Elève (3ème4)'!ED6:EG6,"A"))*4)+((COUNTIF('Elève (3ème4)'!ED6:EG6,"B"))*3)+((COUNTIF('Elève (3ème4)'!ED6:EG6,"C"))*2)+((COUNTIF('Elève (3ème4)'!ED6:EG6,"D"))*1))/(COUNTA(ED6:EG6)),"")</f>
        <v>2</v>
      </c>
      <c r="EI6" s="164" t="str">
        <f t="shared" si="47"/>
        <v>C</v>
      </c>
      <c r="EJ6" s="103" t="s">
        <v>27</v>
      </c>
      <c r="EK6" s="104" t="s">
        <v>28</v>
      </c>
      <c r="EL6" s="105" t="s">
        <v>29</v>
      </c>
      <c r="EM6" s="105" t="s">
        <v>29</v>
      </c>
      <c r="EN6" s="105"/>
      <c r="EO6" s="109"/>
      <c r="EP6" s="163">
        <f>IFERROR((((COUNTIF('Elève (3ème4)'!EJ6:EO6,"A"))*4)+((COUNTIF('Elève (3ème4)'!EJ6:EO6,"B"))*3)+((COUNTIF('Elève (3ème4)'!EJ6:EO6,"C"))*2)+((COUNTIF('Elève (3ème4)'!EJ6:EO6,"D"))*1))/(COUNTA(EJ6:EO6)),"")</f>
        <v>2.75</v>
      </c>
      <c r="EQ6" s="164" t="str">
        <f t="shared" si="48"/>
        <v>C</v>
      </c>
      <c r="ER6" s="163">
        <f>IF(COUNT(EB6,EH6,EP6)=0,"",SUM(EB6,EH6,EP6)/COUNT(EB6,EH6,EP6))</f>
        <v>2.375</v>
      </c>
      <c r="ES6" s="187" t="str">
        <f t="shared" si="49"/>
        <v>C</v>
      </c>
      <c r="ET6" s="103"/>
      <c r="EU6" s="104"/>
      <c r="EV6" s="105"/>
      <c r="EW6" s="163" t="str">
        <f>IFERROR((((COUNTIF('Elève (3ème4)'!ET6:EV6,"A"))*4)+((COUNTIF('Elève (3ème4)'!ET6:EV6,"B"))*3)+((COUNTIF('Elève (3ème4)'!ET6:EV6,"C"))*2)+((COUNTIF('Elève (3ème4)'!ET6:EV6,"D"))*1))/(COUNTA(ET6:EV6)),"")</f>
        <v/>
      </c>
      <c r="EX6" s="164" t="str">
        <f t="shared" si="50"/>
        <v/>
      </c>
      <c r="EY6" s="103" t="s">
        <v>30</v>
      </c>
      <c r="EZ6" s="104"/>
      <c r="FA6" s="105"/>
      <c r="FB6" s="105"/>
      <c r="FC6" s="163">
        <f>IFERROR((((COUNTIF('Elève (3ème4)'!EY6:FB6,"A"))*4)+((COUNTIF('Elève (3ème4)'!EY6:FB6,"B"))*3)+((COUNTIF('Elève (3ème4)'!EY6:FB6,"C"))*2)+((COUNTIF('Elève (3ème4)'!EY6:FB6,"D"))*1))/(COUNTA(EY6:FB6)),"")</f>
        <v>1</v>
      </c>
      <c r="FD6" s="164" t="str">
        <f t="shared" si="51"/>
        <v>D</v>
      </c>
      <c r="FE6" s="103" t="s">
        <v>27</v>
      </c>
      <c r="FF6" s="104" t="s">
        <v>29</v>
      </c>
      <c r="FG6" s="105"/>
      <c r="FH6" s="105" t="s">
        <v>29</v>
      </c>
      <c r="FI6" s="105"/>
      <c r="FJ6" s="109"/>
      <c r="FK6" s="163">
        <f>IFERROR((((COUNTIF('Elève (3ème4)'!FE6:FJ6,"A"))*4)+((COUNTIF('Elève (3ème4)'!FE6:FJ6,"B"))*3)+((COUNTIF('Elève (3ème4)'!FE6:FJ6,"C"))*2)+((COUNTIF('Elève (3ème4)'!FE6:FJ6,"D"))*1))/(COUNTA(FE6:FJ6)),"")</f>
        <v>2.6666666666666665</v>
      </c>
      <c r="FL6" s="164" t="str">
        <f t="shared" si="52"/>
        <v>C</v>
      </c>
      <c r="FM6" s="163">
        <f>IF(COUNT(EW6,FC6,FK6)=0,"",SUM(EW6,FC6,FK6)/COUNT(EW6,FC6,FK6))</f>
        <v>1.8333333333333333</v>
      </c>
      <c r="FN6" s="187" t="str">
        <f t="shared" si="53"/>
        <v>C</v>
      </c>
      <c r="FO6" s="103"/>
      <c r="FP6" s="104"/>
      <c r="FQ6" s="105"/>
      <c r="FR6" s="163" t="str">
        <f>IFERROR((((COUNTIF('Elève (3ème4)'!FO6:FQ6,"A"))*4)+((COUNTIF('Elève (3ème4)'!FO6:FQ6,"B"))*3)+((COUNTIF('Elève (3ème4)'!FO6:FQ6,"C"))*2)+((COUNTIF('Elève (3ème4)'!FO6:FQ6,"D"))*1))/(COUNTA(FO6:FQ6)),"")</f>
        <v/>
      </c>
      <c r="FS6" s="164" t="str">
        <f t="shared" si="54"/>
        <v/>
      </c>
      <c r="FT6" s="103" t="s">
        <v>30</v>
      </c>
      <c r="FU6" s="104"/>
      <c r="FV6" s="105"/>
      <c r="FW6" s="105"/>
      <c r="FX6" s="163">
        <f>IFERROR((((COUNTIF('Elève (3ème4)'!FT6:FW6,"A"))*4)+((COUNTIF('Elève (3ème4)'!FT6:FW6,"B"))*3)+((COUNTIF('Elève (3ème4)'!FT6:FW6,"C"))*2)+((COUNTIF('Elève (3ème4)'!FT6:FW6,"D"))*1))/(COUNTA(FT6:FW6)),"")</f>
        <v>1</v>
      </c>
      <c r="FY6" s="164" t="str">
        <f t="shared" si="55"/>
        <v>D</v>
      </c>
      <c r="FZ6" s="103" t="s">
        <v>29</v>
      </c>
      <c r="GA6" s="104" t="s">
        <v>29</v>
      </c>
      <c r="GB6" s="105" t="s">
        <v>29</v>
      </c>
      <c r="GC6" s="105" t="s">
        <v>28</v>
      </c>
      <c r="GD6" s="105"/>
      <c r="GE6" s="109"/>
      <c r="GF6" s="163">
        <f>IFERROR((((COUNTIF('Elève (3ème4)'!FZ6:GE6,"A"))*4)+((COUNTIF('Elève (3ème4)'!FZ6:GE6,"B"))*3)+((COUNTIF('Elève (3ème4)'!FZ6:GE6,"C"))*2)+((COUNTIF('Elève (3ème4)'!FZ6:GE6,"D"))*1))/(COUNTA(FZ6:GE6)),"")</f>
        <v>2.25</v>
      </c>
      <c r="GG6" s="164" t="str">
        <f t="shared" si="56"/>
        <v>C</v>
      </c>
      <c r="GH6" s="163">
        <f>IF(COUNT(FR6,FX6,GF6)=0,"",SUM(FR6,FX6,GF6)/COUNT(FR6,FX6,GF6))</f>
        <v>1.625</v>
      </c>
      <c r="GI6" s="187" t="str">
        <f t="shared" si="57"/>
        <v>C</v>
      </c>
      <c r="GJ6" s="103"/>
      <c r="GK6" s="104"/>
      <c r="GL6" s="105"/>
      <c r="GM6" s="163" t="str">
        <f>IFERROR((((COUNTIF('Elève (3ème4)'!GJ6:GL6,"A"))*4)+((COUNTIF('Elève (3ème4)'!GJ6:GL6,"B"))*3)+((COUNTIF('Elève (3ème4)'!GJ6:GL6,"C"))*2)+((COUNTIF('Elève (3ème4)'!GJ6:GL6,"D"))*1))/(COUNTA(GJ6:GL6)),"")</f>
        <v/>
      </c>
      <c r="GN6" s="164" t="str">
        <f t="shared" si="58"/>
        <v/>
      </c>
      <c r="GO6" s="103" t="s">
        <v>29</v>
      </c>
      <c r="GP6" s="104"/>
      <c r="GQ6" s="105"/>
      <c r="GR6" s="105"/>
      <c r="GS6" s="163">
        <f>IFERROR((((COUNTIF('Elève (3ème4)'!GO6:GR6,"A"))*4)+((COUNTIF('Elève (3ème4)'!GO6:GR6,"B"))*3)+((COUNTIF('Elève (3ème4)'!GO6:GR6,"C"))*2)+((COUNTIF('Elève (3ème4)'!GO6:GR6,"D"))*1))/(COUNTA(GO6:GR6)),"")</f>
        <v>2</v>
      </c>
      <c r="GT6" s="164" t="str">
        <f t="shared" si="59"/>
        <v>C</v>
      </c>
      <c r="GU6" s="103" t="s">
        <v>28</v>
      </c>
      <c r="GV6" s="104" t="s">
        <v>28</v>
      </c>
      <c r="GW6" s="105" t="s">
        <v>28</v>
      </c>
      <c r="GX6" s="105" t="s">
        <v>28</v>
      </c>
      <c r="GY6" s="105"/>
      <c r="GZ6" s="109"/>
      <c r="HA6" s="163">
        <f>IFERROR((((COUNTIF('Elève (3ème4)'!GU6:GZ6,"A"))*4)+((COUNTIF('Elève (3ème4)'!GU6:GZ6,"B"))*3)+((COUNTIF('Elève (3ème4)'!GU6:GZ6,"C"))*2)+((COUNTIF('Elève (3ème4)'!GU6:GZ6,"D"))*1))/(COUNTA(GU6:GZ6)),"")</f>
        <v>3</v>
      </c>
      <c r="HB6" s="164" t="str">
        <f t="shared" si="60"/>
        <v>B</v>
      </c>
      <c r="HC6" s="163">
        <f>IF(COUNT(GM6,GS6,HA6)=0,"",SUM(GM6,GS6,HA6)/COUNT(GM6,GS6,HA6))</f>
        <v>2.5</v>
      </c>
      <c r="HD6" s="187" t="str">
        <f t="shared" si="61"/>
        <v>C</v>
      </c>
      <c r="HE6" s="103"/>
      <c r="HF6" s="104"/>
      <c r="HG6" s="105"/>
      <c r="HH6" s="163" t="str">
        <f>IFERROR((((COUNTIF('Elève (3ème4)'!HE6:HG6,"A"))*4)+((COUNTIF('Elève (3ème4)'!HE6:HG6,"B"))*3)+((COUNTIF('Elève (3ème4)'!HE6:HG6,"C"))*2)+((COUNTIF('Elève (3ème4)'!HE6:HG6,"D"))*1))/(COUNTA(HE6:HG6)),"")</f>
        <v/>
      </c>
      <c r="HI6" s="164" t="str">
        <f t="shared" si="62"/>
        <v/>
      </c>
      <c r="HJ6" s="103" t="s">
        <v>28</v>
      </c>
      <c r="HK6" s="104"/>
      <c r="HL6" s="105"/>
      <c r="HM6" s="105"/>
      <c r="HN6" s="163">
        <f>IFERROR((((COUNTIF('Elève (3ème4)'!HJ6:HM6,"A"))*4)+((COUNTIF('Elève (3ème4)'!HJ6:HM6,"B"))*3)+((COUNTIF('Elève (3ème4)'!HJ6:HM6,"C"))*2)+((COUNTIF('Elève (3ème4)'!HJ6:HM6,"D"))*1))/(COUNTA(HJ6:HM6)),"")</f>
        <v>3</v>
      </c>
      <c r="HO6" s="164" t="str">
        <f t="shared" si="63"/>
        <v>B</v>
      </c>
      <c r="HP6" s="103" t="s">
        <v>29</v>
      </c>
      <c r="HQ6" s="104" t="s">
        <v>29</v>
      </c>
      <c r="HR6" s="105"/>
      <c r="HS6" s="105" t="s">
        <v>28</v>
      </c>
      <c r="HT6" s="105"/>
      <c r="HU6" s="109"/>
      <c r="HV6" s="163">
        <f>IFERROR((((COUNTIF('Elève (3ème4)'!HP6:HU6,"A"))*4)+((COUNTIF('Elève (3ème4)'!HP6:HU6,"B"))*3)+((COUNTIF('Elève (3ème4)'!HP6:HU6,"C"))*2)+((COUNTIF('Elève (3ème4)'!HP6:HU6,"D"))*1))/(COUNTA(HP6:HU6)),"")</f>
        <v>2.3333333333333335</v>
      </c>
      <c r="HW6" s="164" t="str">
        <f t="shared" si="64"/>
        <v>C</v>
      </c>
      <c r="HX6" s="163">
        <f>IF(COUNT(HH6,HN6,HV6)=0,"",SUM(HH6,HN6,HV6)/COUNT(HH6,HN6,HV6))</f>
        <v>2.666666666666667</v>
      </c>
      <c r="HY6" s="187" t="str">
        <f t="shared" si="65"/>
        <v>C</v>
      </c>
      <c r="HZ6" s="103"/>
      <c r="IA6" s="104"/>
      <c r="IB6" s="105"/>
      <c r="IC6" s="163" t="str">
        <f>IFERROR((((COUNTIF('Elève (3ème4)'!HZ6:IB6,"A"))*4)+((COUNTIF('Elève (3ème4)'!HZ6:IB6,"B"))*3)+((COUNTIF('Elève (3ème4)'!HZ6:IB6,"C"))*2)+((COUNTIF('Elève (3ème4)'!HZ6:IB6,"D"))*1))/(COUNTA(HZ6:IB6)),"")</f>
        <v/>
      </c>
      <c r="ID6" s="164" t="str">
        <f t="shared" si="66"/>
        <v/>
      </c>
      <c r="IE6" s="103" t="s">
        <v>30</v>
      </c>
      <c r="IF6" s="104"/>
      <c r="IG6" s="105"/>
      <c r="IH6" s="105"/>
      <c r="II6" s="163">
        <f>IFERROR((((COUNTIF('Elève (3ème4)'!IE6:IH6,"A"))*4)+((COUNTIF('Elève (3ème4)'!IE6:IH6,"B"))*3)+((COUNTIF('Elève (3ème4)'!IE6:IH6,"C"))*2)+((COUNTIF('Elève (3ème4)'!IE6:IH6,"D"))*1))/(COUNTA(IE6:IH6)),"")</f>
        <v>1</v>
      </c>
      <c r="IJ6" s="164" t="str">
        <f t="shared" si="67"/>
        <v>D</v>
      </c>
      <c r="IK6" s="103" t="s">
        <v>29</v>
      </c>
      <c r="IL6" s="104" t="s">
        <v>29</v>
      </c>
      <c r="IM6" s="105"/>
      <c r="IN6" s="105" t="s">
        <v>27</v>
      </c>
      <c r="IO6" s="105"/>
      <c r="IP6" s="109"/>
      <c r="IQ6" s="163">
        <f>IFERROR((((COUNTIF('Elève (3ème4)'!IK6:IP6,"A"))*4)+((COUNTIF('Elève (3ème4)'!IK6:IP6,"B"))*3)+((COUNTIF('Elève (3ème4)'!IK6:IP6,"C"))*2)+((COUNTIF('Elève (3ème4)'!IK6:IP6,"D"))*1))/(COUNTA(IK6:IP6)),"")</f>
        <v>2.6666666666666665</v>
      </c>
      <c r="IR6" s="164" t="str">
        <f t="shared" si="68"/>
        <v>C</v>
      </c>
      <c r="IS6" s="163">
        <f>IF(COUNT(IC6,II6,IQ6)=0,"",SUM(IC6,II6,IQ6)/COUNT(IC6,II6,IQ6))</f>
        <v>1.8333333333333333</v>
      </c>
      <c r="IT6" s="187" t="str">
        <f t="shared" si="69"/>
        <v>C</v>
      </c>
      <c r="IU6" s="103"/>
      <c r="IV6" s="104"/>
      <c r="IW6" s="105"/>
      <c r="IX6" s="163" t="str">
        <f>IFERROR((((COUNTIF('Elève (3ème4)'!IU6:IW6,"A"))*4)+((COUNTIF('Elève (3ème4)'!IU6:IW6,"B"))*3)+((COUNTIF('Elève (3ème4)'!IU6:IW6,"C"))*2)+((COUNTIF('Elève (3ème4)'!IU6:IW6,"D"))*1))/(COUNTA(IU6:IW6)),"")</f>
        <v/>
      </c>
      <c r="IY6" s="164" t="str">
        <f t="shared" si="70"/>
        <v/>
      </c>
      <c r="IZ6" s="103" t="s">
        <v>29</v>
      </c>
      <c r="JA6" s="104"/>
      <c r="JB6" s="105"/>
      <c r="JC6" s="105"/>
      <c r="JD6" s="163">
        <f>IFERROR((((COUNTIF('Elève (3ème4)'!IZ6:JC6,"A"))*4)+((COUNTIF('Elève (3ème4)'!IZ6:JC6,"B"))*3)+((COUNTIF('Elève (3ème4)'!IZ6:JC6,"C"))*2)+((COUNTIF('Elève (3ème4)'!IZ6:JC6,"D"))*1))/(COUNTA(IZ6:JC6)),"")</f>
        <v>2</v>
      </c>
      <c r="JE6" s="164" t="str">
        <f t="shared" si="71"/>
        <v>C</v>
      </c>
      <c r="JF6" s="103" t="s">
        <v>29</v>
      </c>
      <c r="JG6" s="104" t="s">
        <v>29</v>
      </c>
      <c r="JH6" s="105" t="s">
        <v>29</v>
      </c>
      <c r="JI6" s="105" t="s">
        <v>27</v>
      </c>
      <c r="JJ6" s="105"/>
      <c r="JK6" s="109"/>
      <c r="JL6" s="163">
        <f>IFERROR((((COUNTIF('Elève (3ème4)'!JF6:JK6,"A"))*4)+((COUNTIF('Elève (3ème4)'!JF6:JK6,"B"))*3)+((COUNTIF('Elève (3ème4)'!JF6:JK6,"C"))*2)+((COUNTIF('Elève (3ème4)'!JF6:JK6,"D"))*1))/(COUNTA(JF6:JK6)),"")</f>
        <v>2.5</v>
      </c>
      <c r="JM6" s="164" t="str">
        <f t="shared" si="72"/>
        <v>C</v>
      </c>
      <c r="JN6" s="163">
        <f>IF(COUNT(IX6,JD6,JL6)=0,"",SUM(IX6,JD6,JL6)/COUNT(IX6,JD6,JL6))</f>
        <v>2.25</v>
      </c>
      <c r="JO6" s="187" t="str">
        <f t="shared" si="73"/>
        <v>C</v>
      </c>
      <c r="JP6" s="103"/>
      <c r="JQ6" s="104"/>
      <c r="JR6" s="105"/>
      <c r="JS6" s="163" t="str">
        <f>IFERROR((((COUNTIF('Elève (3ème4)'!JP6:JR6,"A"))*4)+((COUNTIF('Elève (3ème4)'!JP6:JR6,"B"))*3)+((COUNTIF('Elève (3ème4)'!JP6:JR6,"C"))*2)+((COUNTIF('Elève (3ème4)'!JP6:JR6,"D"))*1))/(COUNTA(JP6:JR6)),"")</f>
        <v/>
      </c>
      <c r="JT6" s="164" t="str">
        <f t="shared" si="74"/>
        <v/>
      </c>
      <c r="JU6" s="103" t="s">
        <v>30</v>
      </c>
      <c r="JV6" s="104"/>
      <c r="JW6" s="105"/>
      <c r="JX6" s="105"/>
      <c r="JY6" s="163">
        <f>IFERROR((((COUNTIF('Elève (3ème4)'!JU6:JX6,"A"))*4)+((COUNTIF('Elève (3ème4)'!JU6:JX6,"B"))*3)+((COUNTIF('Elève (3ème4)'!JU6:JX6,"C"))*2)+((COUNTIF('Elève (3ème4)'!JU6:JX6,"D"))*1))/(COUNTA(JU6:JX6)),"")</f>
        <v>1</v>
      </c>
      <c r="JZ6" s="164" t="str">
        <f t="shared" si="75"/>
        <v>D</v>
      </c>
      <c r="KA6" s="103" t="s">
        <v>29</v>
      </c>
      <c r="KB6" s="104" t="s">
        <v>29</v>
      </c>
      <c r="KC6" s="105"/>
      <c r="KD6" s="105" t="s">
        <v>29</v>
      </c>
      <c r="KE6" s="105"/>
      <c r="KF6" s="109"/>
      <c r="KG6" s="163">
        <f>IFERROR((((COUNTIF('Elève (3ème4)'!KA6:KF6,"A"))*4)+((COUNTIF('Elève (3ème4)'!KA6:KF6,"B"))*3)+((COUNTIF('Elève (3ème4)'!KA6:KF6,"C"))*2)+((COUNTIF('Elève (3ème4)'!KA6:KF6,"D"))*1))/(COUNTA(KA6:KF6)),"")</f>
        <v>2</v>
      </c>
      <c r="KH6" s="164" t="str">
        <f t="shared" si="76"/>
        <v>C</v>
      </c>
      <c r="KI6" s="163">
        <f>IF(COUNT(JS6,JY6,KG6)=0,"",SUM(JS6,JY6,KG6)/COUNT(JS6,JY6,KG6))</f>
        <v>1.5</v>
      </c>
      <c r="KJ6" s="187" t="str">
        <f t="shared" si="77"/>
        <v>D</v>
      </c>
      <c r="KK6" s="103"/>
      <c r="KL6" s="104"/>
      <c r="KM6" s="105"/>
      <c r="KN6" s="163" t="str">
        <f>IFERROR((((COUNTIF('Elève (3ème4)'!KK6:KM6,"A"))*4)+((COUNTIF('Elève (3ème4)'!KK6:KM6,"B"))*3)+((COUNTIF('Elève (3ème4)'!KK6:KM6,"C"))*2)+((COUNTIF('Elève (3ème4)'!KK6:KM6,"D"))*1))/(COUNTA(KK6:KM6)),"")</f>
        <v/>
      </c>
      <c r="KO6" s="164" t="str">
        <f t="shared" si="78"/>
        <v/>
      </c>
      <c r="KP6" s="103" t="s">
        <v>29</v>
      </c>
      <c r="KQ6" s="104"/>
      <c r="KR6" s="105"/>
      <c r="KS6" s="105"/>
      <c r="KT6" s="163">
        <f>IFERROR((((COUNTIF('Elève (3ème4)'!KP6:KS6,"A"))*4)+((COUNTIF('Elève (3ème4)'!KP6:KS6,"B"))*3)+((COUNTIF('Elève (3ème4)'!KP6:KS6,"C"))*2)+((COUNTIF('Elève (3ème4)'!KP6:KS6,"D"))*1))/(COUNTA(KP6:KS6)),"")</f>
        <v>2</v>
      </c>
      <c r="KU6" s="164" t="str">
        <f t="shared" si="79"/>
        <v>C</v>
      </c>
      <c r="KV6" s="103" t="s">
        <v>27</v>
      </c>
      <c r="KW6" s="104" t="s">
        <v>28</v>
      </c>
      <c r="KX6" s="105"/>
      <c r="KY6" s="105" t="s">
        <v>28</v>
      </c>
      <c r="KZ6" s="105"/>
      <c r="LA6" s="109"/>
      <c r="LB6" s="163">
        <f>IFERROR((((COUNTIF('Elève (3ème4)'!KV6:LA6,"A"))*4)+((COUNTIF('Elève (3ème4)'!KV6:LA6,"B"))*3)+((COUNTIF('Elève (3ème4)'!KV6:LA6,"C"))*2)+((COUNTIF('Elève (3ème4)'!KV6:LA6,"D"))*1))/(COUNTA(KV6:LA6)),"")</f>
        <v>3.3333333333333335</v>
      </c>
      <c r="LC6" s="164" t="str">
        <f t="shared" si="80"/>
        <v>B</v>
      </c>
      <c r="LD6" s="163">
        <f>IF(COUNT(KN6,KT6,LB6)=0,"",SUM(KN6,KT6,LB6)/COUNT(KN6,KT6,LB6))</f>
        <v>2.666666666666667</v>
      </c>
      <c r="LE6" s="187" t="str">
        <f t="shared" si="81"/>
        <v>C</v>
      </c>
      <c r="LF6" s="103"/>
      <c r="LG6" s="104"/>
      <c r="LH6" s="105"/>
      <c r="LI6" s="163" t="str">
        <f>IFERROR((((COUNTIF('Elève (3ème4)'!LF6:LH6,"A"))*4)+((COUNTIF('Elève (3ème4)'!LF6:LH6,"B"))*3)+((COUNTIF('Elève (3ème4)'!LF6:LH6,"C"))*2)+((COUNTIF('Elève (3ème4)'!LF6:LH6,"D"))*1))/(COUNTA(LF6:LH6)),"")</f>
        <v/>
      </c>
      <c r="LJ6" s="164" t="str">
        <f t="shared" si="82"/>
        <v/>
      </c>
      <c r="LK6" s="103" t="s">
        <v>29</v>
      </c>
      <c r="LL6" s="104"/>
      <c r="LM6" s="105"/>
      <c r="LN6" s="105"/>
      <c r="LO6" s="163">
        <f>IFERROR((((COUNTIF('Elève (3ème4)'!LK6:LN6,"A"))*4)+((COUNTIF('Elève (3ème4)'!LK6:LN6,"B"))*3)+((COUNTIF('Elève (3ème4)'!LK6:LN6,"C"))*2)+((COUNTIF('Elève (3ème4)'!LK6:LN6,"D"))*1))/(COUNTA(LK6:LN6)),"")</f>
        <v>2</v>
      </c>
      <c r="LP6" s="164" t="str">
        <f t="shared" si="83"/>
        <v>C</v>
      </c>
      <c r="LQ6" s="103"/>
      <c r="LR6" s="104" t="s">
        <v>29</v>
      </c>
      <c r="LS6" s="105"/>
      <c r="LT6" s="105" t="s">
        <v>29</v>
      </c>
      <c r="LU6" s="105"/>
      <c r="LV6" s="109"/>
      <c r="LW6" s="163">
        <f>IFERROR((((COUNTIF('Elève (3ème4)'!LQ6:LV6,"A"))*4)+((COUNTIF('Elève (3ème4)'!LQ6:LV6,"B"))*3)+((COUNTIF('Elève (3ème4)'!LQ6:LV6,"C"))*2)+((COUNTIF('Elève (3ème4)'!LQ6:LV6,"D"))*1))/(COUNTA(LQ6:LV6)),"")</f>
        <v>2</v>
      </c>
      <c r="LX6" s="164" t="str">
        <f t="shared" si="84"/>
        <v>C</v>
      </c>
      <c r="LY6" s="163">
        <f>IF(COUNT(LI6,LO6,LW6)=0,"",SUM(LI6,LO6,LW6)/COUNT(LI6,LO6,LW6))</f>
        <v>2</v>
      </c>
      <c r="LZ6" s="187" t="str">
        <f t="shared" si="85"/>
        <v>C</v>
      </c>
      <c r="MA6" s="103"/>
      <c r="MB6" s="104"/>
      <c r="MC6" s="105"/>
      <c r="MD6" s="163" t="str">
        <f>IFERROR((((COUNTIF('Elève (3ème4)'!MA6:MC6,"A"))*4)+((COUNTIF('Elève (3ème4)'!MA6:MC6,"B"))*3)+((COUNTIF('Elève (3ème4)'!MA6:MC6,"C"))*2)+((COUNTIF('Elève (3ème4)'!MA6:MC6,"D"))*1))/(COUNTA(MA6:MC6)),"")</f>
        <v/>
      </c>
      <c r="ME6" s="164" t="str">
        <f t="shared" si="86"/>
        <v/>
      </c>
      <c r="MF6" s="103" t="s">
        <v>28</v>
      </c>
      <c r="MG6" s="104"/>
      <c r="MH6" s="105"/>
      <c r="MI6" s="105"/>
      <c r="MJ6" s="163">
        <f>IFERROR((((COUNTIF('Elève (3ème4)'!MF6:MI6,"A"))*4)+((COUNTIF('Elève (3ème4)'!MF6:MI6,"B"))*3)+((COUNTIF('Elève (3ème4)'!MF6:MI6,"C"))*2)+((COUNTIF('Elève (3ème4)'!MF6:MI6,"D"))*1))/(COUNTA(MF6:MI6)),"")</f>
        <v>3</v>
      </c>
      <c r="MK6" s="164" t="str">
        <f t="shared" si="87"/>
        <v>B</v>
      </c>
      <c r="ML6" s="103" t="s">
        <v>27</v>
      </c>
      <c r="MM6" s="104" t="s">
        <v>28</v>
      </c>
      <c r="MN6" s="105"/>
      <c r="MO6" s="105" t="s">
        <v>27</v>
      </c>
      <c r="MP6" s="105"/>
      <c r="MQ6" s="109"/>
      <c r="MR6" s="163">
        <f>IFERROR((((COUNTIF('Elève (3ème4)'!ML6:MQ6,"A"))*4)+((COUNTIF('Elève (3ème4)'!ML6:MQ6,"B"))*3)+((COUNTIF('Elève (3ème4)'!ML6:MQ6,"C"))*2)+((COUNTIF('Elève (3ème4)'!ML6:MQ6,"D"))*1))/(COUNTA(ML6:MQ6)),"")</f>
        <v>3.6666666666666665</v>
      </c>
      <c r="MS6" s="164" t="str">
        <f t="shared" si="88"/>
        <v>B</v>
      </c>
      <c r="MT6" s="163">
        <f>IF(COUNT(MD6,MJ6,MR6)=0,"",SUM(MD6,MJ6,MR6)/COUNT(MD6,MJ6,MR6))</f>
        <v>3.333333333333333</v>
      </c>
      <c r="MU6" s="187" t="str">
        <f t="shared" si="89"/>
        <v>B</v>
      </c>
      <c r="MV6" s="103"/>
      <c r="MW6" s="104"/>
      <c r="MX6" s="105"/>
      <c r="MY6" s="163" t="str">
        <f>IFERROR((((COUNTIF('Elève (3ème4)'!MV6:MX6,"A"))*4)+((COUNTIF('Elève (3ème4)'!MV6:MX6,"B"))*3)+((COUNTIF('Elève (3ème4)'!MV6:MX6,"C"))*2)+((COUNTIF('Elève (3ème4)'!MV6:MX6,"D"))*1))/(COUNTA(MV6:MX6)),"")</f>
        <v/>
      </c>
      <c r="MZ6" s="164" t="str">
        <f t="shared" si="90"/>
        <v/>
      </c>
      <c r="NA6" s="103" t="s">
        <v>29</v>
      </c>
      <c r="NB6" s="104"/>
      <c r="NC6" s="105"/>
      <c r="ND6" s="105"/>
      <c r="NE6" s="163">
        <f>IFERROR((((COUNTIF('Elève (3ème4)'!NA6:ND6,"A"))*4)+((COUNTIF('Elève (3ème4)'!NA6:ND6,"B"))*3)+((COUNTIF('Elève (3ème4)'!NA6:ND6,"C"))*2)+((COUNTIF('Elève (3ème4)'!NA6:ND6,"D"))*1))/(COUNTA(NA6:ND6)),"")</f>
        <v>2</v>
      </c>
      <c r="NF6" s="164" t="str">
        <f t="shared" si="91"/>
        <v>C</v>
      </c>
      <c r="NG6" s="103" t="s">
        <v>29</v>
      </c>
      <c r="NH6" s="104" t="s">
        <v>28</v>
      </c>
      <c r="NI6" s="105" t="s">
        <v>29</v>
      </c>
      <c r="NJ6" s="105" t="s">
        <v>28</v>
      </c>
      <c r="NK6" s="105"/>
      <c r="NL6" s="109"/>
      <c r="NM6" s="163">
        <f>IFERROR((((COUNTIF('Elève (3ème4)'!NG6:NL6,"A"))*4)+((COUNTIF('Elève (3ème4)'!NG6:NL6,"B"))*3)+((COUNTIF('Elève (3ème4)'!NG6:NL6,"C"))*2)+((COUNTIF('Elève (3ème4)'!NG6:NL6,"D"))*1))/(COUNTA(NG6:NL6)),"")</f>
        <v>2.5</v>
      </c>
      <c r="NN6" s="164" t="str">
        <f t="shared" si="92"/>
        <v>C</v>
      </c>
      <c r="NO6" s="163">
        <f>IF(COUNT(MY6,NE6,NM6)=0,"",SUM(MY6,NE6,NM6)/COUNT(MY6,NE6,NM6))</f>
        <v>2.25</v>
      </c>
      <c r="NP6" s="187" t="str">
        <f t="shared" si="93"/>
        <v>C</v>
      </c>
      <c r="NQ6" s="103"/>
      <c r="NR6" s="104"/>
      <c r="NS6" s="105"/>
      <c r="NT6" s="163" t="str">
        <f>IFERROR((((COUNTIF('Elève (3ème4)'!NQ6:NS6,"A"))*4)+((COUNTIF('Elève (3ème4)'!NQ6:NS6,"B"))*3)+((COUNTIF('Elève (3ème4)'!NQ6:NS6,"C"))*2)+((COUNTIF('Elève (3ème4)'!NQ6:NS6,"D"))*1))/(COUNTA(NQ6:NS6)),"")</f>
        <v/>
      </c>
      <c r="NU6" s="164" t="str">
        <f t="shared" si="94"/>
        <v/>
      </c>
      <c r="NV6" s="103" t="s">
        <v>28</v>
      </c>
      <c r="NW6" s="104"/>
      <c r="NX6" s="105"/>
      <c r="NY6" s="105"/>
      <c r="NZ6" s="163">
        <f>IFERROR((((COUNTIF('Elève (3ème4)'!NV6:NY6,"A"))*4)+((COUNTIF('Elève (3ème4)'!NV6:NY6,"B"))*3)+((COUNTIF('Elève (3ème4)'!NV6:NY6,"C"))*2)+((COUNTIF('Elève (3ème4)'!NV6:NY6,"D"))*1))/(COUNTA(NV6:NY6)),"")</f>
        <v>3</v>
      </c>
      <c r="OA6" s="164" t="str">
        <f t="shared" si="95"/>
        <v>B</v>
      </c>
      <c r="OB6" s="103" t="s">
        <v>28</v>
      </c>
      <c r="OC6" s="104" t="s">
        <v>29</v>
      </c>
      <c r="OD6" s="105" t="s">
        <v>29</v>
      </c>
      <c r="OE6" s="105" t="s">
        <v>29</v>
      </c>
      <c r="OF6" s="105"/>
      <c r="OG6" s="109"/>
      <c r="OH6" s="163">
        <f>IFERROR((((COUNTIF('Elève (3ème4)'!OB6:OG6,"A"))*4)+((COUNTIF('Elève (3ème4)'!OB6:OG6,"B"))*3)+((COUNTIF('Elève (3ème4)'!OB6:OG6,"C"))*2)+((COUNTIF('Elève (3ème4)'!OB6:OG6,"D"))*1))/(COUNTA(OB6:OG6)),"")</f>
        <v>2.25</v>
      </c>
      <c r="OI6" s="164" t="str">
        <f t="shared" si="96"/>
        <v>C</v>
      </c>
      <c r="OJ6" s="163">
        <f>IF(COUNT(NT6,NZ6,OH6)=0,"",SUM(NT6,NZ6,OH6)/COUNT(NT6,NZ6,OH6))</f>
        <v>2.625</v>
      </c>
      <c r="OK6" s="187" t="str">
        <f t="shared" si="97"/>
        <v>C</v>
      </c>
      <c r="OL6" s="103"/>
      <c r="OM6" s="104"/>
      <c r="ON6" s="105"/>
      <c r="OO6" s="163" t="str">
        <f>IFERROR((((COUNTIF('Elève (3ème4)'!OL6:ON6,"A"))*4)+((COUNTIF('Elève (3ème4)'!OL6:ON6,"B"))*3)+((COUNTIF('Elève (3ème4)'!OL6:ON6,"C"))*2)+((COUNTIF('Elève (3ème4)'!OL6:ON6,"D"))*1))/(COUNTA(OL6:ON6)),"")</f>
        <v/>
      </c>
      <c r="OP6" s="164" t="str">
        <f t="shared" si="98"/>
        <v/>
      </c>
      <c r="OQ6" s="103"/>
      <c r="OR6" s="104"/>
      <c r="OS6" s="105"/>
      <c r="OT6" s="105"/>
      <c r="OU6" s="163" t="str">
        <f>IFERROR((((COUNTIF('Elève (3ème4)'!OQ6:OT6,"A"))*4)+((COUNTIF('Elève (3ème4)'!OQ6:OT6,"B"))*3)+((COUNTIF('Elève (3ème4)'!OQ6:OT6,"C"))*2)+((COUNTIF('Elève (3ème4)'!OQ6:OT6,"D"))*1))/(COUNTA(OQ6:OT6)),"")</f>
        <v/>
      </c>
      <c r="OV6" s="164" t="str">
        <f t="shared" si="99"/>
        <v/>
      </c>
      <c r="OW6" s="103"/>
      <c r="OX6" s="104" t="s">
        <v>28</v>
      </c>
      <c r="OY6" s="105" t="s">
        <v>30</v>
      </c>
      <c r="OZ6" s="105" t="s">
        <v>29</v>
      </c>
      <c r="PA6" s="105"/>
      <c r="PB6" s="109"/>
      <c r="PC6" s="163">
        <f>IFERROR((((COUNTIF('Elève (3ème4)'!OW6:PB6,"A"))*4)+((COUNTIF('Elève (3ème4)'!OW6:PB6,"B"))*3)+((COUNTIF('Elève (3ème4)'!OW6:PB6,"C"))*2)+((COUNTIF('Elève (3ème4)'!OW6:PB6,"D"))*1))/(COUNTA(OW6:PB6)),"")</f>
        <v>2</v>
      </c>
      <c r="PD6" s="164" t="str">
        <f t="shared" si="100"/>
        <v>C</v>
      </c>
      <c r="PE6" s="163">
        <f>IF(COUNT(OO6,OU6,PC6)=0,"",SUM(OO6,OU6,PC6)/COUNT(OO6,OU6,PC6))</f>
        <v>2</v>
      </c>
      <c r="PF6" s="187" t="str">
        <f t="shared" si="101"/>
        <v>C</v>
      </c>
      <c r="PG6" s="103"/>
      <c r="PH6" s="104"/>
      <c r="PI6" s="105"/>
      <c r="PJ6" s="163" t="str">
        <f>IFERROR((((COUNTIF('Elève (3ème4)'!PG6:PI6,"A"))*4)+((COUNTIF('Elève (3ème4)'!PG6:PI6,"B"))*3)+((COUNTIF('Elève (3ème4)'!PG6:PI6,"C"))*2)+((COUNTIF('Elève (3ème4)'!PG6:PI6,"D"))*1))/(COUNTA(PG6:PI6)),"")</f>
        <v/>
      </c>
      <c r="PK6" s="164" t="str">
        <f t="shared" si="102"/>
        <v/>
      </c>
      <c r="PL6" s="103" t="s">
        <v>29</v>
      </c>
      <c r="PM6" s="104"/>
      <c r="PN6" s="105"/>
      <c r="PO6" s="105"/>
      <c r="PP6" s="163">
        <f>IFERROR((((COUNTIF('Elève (3ème4)'!PL6:PO6,"A"))*4)+((COUNTIF('Elève (3ème4)'!PL6:PO6,"B"))*3)+((COUNTIF('Elève (3ème4)'!PL6:PO6,"C"))*2)+((COUNTIF('Elève (3ème4)'!PL6:PO6,"D"))*1))/(COUNTA(PL6:PO6)),"")</f>
        <v>2</v>
      </c>
      <c r="PQ6" s="164" t="str">
        <f t="shared" si="103"/>
        <v>C</v>
      </c>
      <c r="PR6" s="103" t="s">
        <v>29</v>
      </c>
      <c r="PS6" s="104" t="s">
        <v>29</v>
      </c>
      <c r="PT6" s="105" t="s">
        <v>28</v>
      </c>
      <c r="PU6" s="105" t="s">
        <v>28</v>
      </c>
      <c r="PV6" s="105"/>
      <c r="PW6" s="109"/>
      <c r="PX6" s="163">
        <f>IFERROR((((COUNTIF('Elève (3ème4)'!PR6:PW6,"A"))*4)+((COUNTIF('Elève (3ème4)'!PR6:PW6,"B"))*3)+((COUNTIF('Elève (3ème4)'!PR6:PW6,"C"))*2)+((COUNTIF('Elève (3ème4)'!PR6:PW6,"D"))*1))/(COUNTA(PR6:PW6)),"")</f>
        <v>2.5</v>
      </c>
      <c r="PY6" s="164" t="str">
        <f t="shared" si="104"/>
        <v>C</v>
      </c>
      <c r="PZ6" s="163">
        <f>IF(COUNT(PJ6,PP6,PX6)=0,"",SUM(PJ6,PP6,PX6)/COUNT(PJ6,PP6,PX6))</f>
        <v>2.25</v>
      </c>
      <c r="QA6" s="187" t="str">
        <f t="shared" si="105"/>
        <v>C</v>
      </c>
      <c r="QB6" s="103"/>
      <c r="QC6" s="104"/>
      <c r="QD6" s="105"/>
      <c r="QE6" s="163" t="str">
        <f>IFERROR((((COUNTIF('Elève (3ème4)'!QB6:QD6,"A"))*4)+((COUNTIF('Elève (3ème4)'!QB6:QD6,"B"))*3)+((COUNTIF('Elève (3ème4)'!QB6:QD6,"C"))*2)+((COUNTIF('Elève (3ème4)'!QB6:QD6,"D"))*1))/(COUNTA(QB6:QD6)),"")</f>
        <v/>
      </c>
      <c r="QF6" s="164" t="str">
        <f t="shared" si="106"/>
        <v/>
      </c>
      <c r="QG6" s="103" t="s">
        <v>28</v>
      </c>
      <c r="QH6" s="104"/>
      <c r="QI6" s="105"/>
      <c r="QJ6" s="105"/>
      <c r="QK6" s="163">
        <f>IFERROR((((COUNTIF('Elève (3ème4)'!QG6:QJ6,"A"))*4)+((COUNTIF('Elève (3ème4)'!QG6:QJ6,"B"))*3)+((COUNTIF('Elève (3ème4)'!QG6:QJ6,"C"))*2)+((COUNTIF('Elève (3ème4)'!QG6:QJ6,"D"))*1))/(COUNTA(QG6:QJ6)),"")</f>
        <v>3</v>
      </c>
      <c r="QL6" s="164" t="str">
        <f t="shared" si="107"/>
        <v>B</v>
      </c>
      <c r="QM6" s="103"/>
      <c r="QN6" s="104" t="s">
        <v>29</v>
      </c>
      <c r="QO6" s="105" t="s">
        <v>29</v>
      </c>
      <c r="QP6" s="105" t="s">
        <v>29</v>
      </c>
      <c r="QQ6" s="105"/>
      <c r="QR6" s="109"/>
      <c r="QS6" s="163">
        <f>IFERROR((((COUNTIF('Elève (3ème4)'!QM6:QR6,"A"))*4)+((COUNTIF('Elève (3ème4)'!QM6:QR6,"B"))*3)+((COUNTIF('Elève (3ème4)'!QM6:QR6,"C"))*2)+((COUNTIF('Elève (3ème4)'!QM6:QR6,"D"))*1))/(COUNTA(QM6:QR6)),"")</f>
        <v>2</v>
      </c>
      <c r="QT6" s="164" t="str">
        <f t="shared" si="108"/>
        <v>C</v>
      </c>
      <c r="QU6" s="163">
        <f>IF(COUNT(QE6,QK6,QS6)=0,"",SUM(QE6,QK6,QS6)/COUNT(QE6,QK6,QS6))</f>
        <v>2.5</v>
      </c>
      <c r="QV6" s="187" t="str">
        <f t="shared" si="109"/>
        <v>C</v>
      </c>
      <c r="QW6" s="103"/>
      <c r="QX6" s="104"/>
      <c r="QY6" s="105"/>
      <c r="QZ6" s="163" t="str">
        <f>IFERROR((((COUNTIF('Elève (3ème4)'!QW6:QY6,"A"))*4)+((COUNTIF('Elève (3ème4)'!QW6:QY6,"B"))*3)+((COUNTIF('Elève (3ème4)'!QW6:QY6,"C"))*2)+((COUNTIF('Elève (3ème4)'!QW6:QY6,"D"))*1))/(COUNTA(QW6:QY6)),"")</f>
        <v/>
      </c>
      <c r="RA6" s="164" t="str">
        <f t="shared" si="110"/>
        <v/>
      </c>
      <c r="RB6" s="103" t="s">
        <v>29</v>
      </c>
      <c r="RC6" s="104"/>
      <c r="RD6" s="105"/>
      <c r="RE6" s="105"/>
      <c r="RF6" s="163">
        <f>IFERROR((((COUNTIF('Elève (3ème4)'!RB6:RE6,"A"))*4)+((COUNTIF('Elève (3ème4)'!RB6:RE6,"B"))*3)+((COUNTIF('Elève (3ème4)'!RB6:RE6,"C"))*2)+((COUNTIF('Elève (3ème4)'!RB6:RE6,"D"))*1))/(COUNTA(RB6:RE6)),"")</f>
        <v>2</v>
      </c>
      <c r="RG6" s="164" t="str">
        <f t="shared" si="111"/>
        <v>C</v>
      </c>
      <c r="RH6" s="103" t="s">
        <v>28</v>
      </c>
      <c r="RI6" s="104" t="s">
        <v>28</v>
      </c>
      <c r="RJ6" s="105"/>
      <c r="RK6" s="105" t="s">
        <v>28</v>
      </c>
      <c r="RL6" s="105"/>
      <c r="RM6" s="109"/>
      <c r="RN6" s="163">
        <f>IFERROR((((COUNTIF('Elève (3ème4)'!RH6:RM6,"A"))*4)+((COUNTIF('Elève (3ème4)'!RH6:RM6,"B"))*3)+((COUNTIF('Elève (3ème4)'!RH6:RM6,"C"))*2)+((COUNTIF('Elève (3ème4)'!RH6:RM6,"D"))*1))/(COUNTA(RH6:RM6)),"")</f>
        <v>3</v>
      </c>
      <c r="RO6" s="164" t="str">
        <f t="shared" si="112"/>
        <v>B</v>
      </c>
      <c r="RP6" s="163">
        <f>IF(COUNT(QZ6,RF6,RN6)=0,"",SUM(QZ6,RF6,RN6)/COUNT(QZ6,RF6,RN6))</f>
        <v>2.5</v>
      </c>
      <c r="RQ6" s="187" t="str">
        <f t="shared" si="113"/>
        <v>C</v>
      </c>
      <c r="RR6" s="103"/>
      <c r="RS6" s="104"/>
      <c r="RT6" s="105"/>
      <c r="RU6" s="163" t="str">
        <f>IFERROR((((COUNTIF('Elève (3ème4)'!RR6:RT6,"A"))*4)+((COUNTIF('Elève (3ème4)'!RR6:RT6,"B"))*3)+((COUNTIF('Elève (3ème4)'!RR6:RT6,"C"))*2)+((COUNTIF('Elève (3ème4)'!RR6:RT6,"D"))*1))/(COUNTA(RR6:RT6)),"")</f>
        <v/>
      </c>
      <c r="RV6" s="164" t="str">
        <f t="shared" si="114"/>
        <v/>
      </c>
      <c r="RW6" s="103" t="s">
        <v>29</v>
      </c>
      <c r="RX6" s="104"/>
      <c r="RY6" s="105"/>
      <c r="RZ6" s="105"/>
      <c r="SA6" s="163">
        <f>IFERROR((((COUNTIF('Elève (3ème4)'!RW6:RZ6,"A"))*4)+((COUNTIF('Elève (3ème4)'!RW6:RZ6,"B"))*3)+((COUNTIF('Elève (3ème4)'!RW6:RZ6,"C"))*2)+((COUNTIF('Elève (3ème4)'!RW6:RZ6,"D"))*1))/(COUNTA(RW6:RZ6)),"")</f>
        <v>2</v>
      </c>
      <c r="SB6" s="164" t="str">
        <f t="shared" si="115"/>
        <v>C</v>
      </c>
      <c r="SC6" s="103" t="s">
        <v>28</v>
      </c>
      <c r="SD6" s="104" t="s">
        <v>28</v>
      </c>
      <c r="SE6" s="105"/>
      <c r="SF6" s="105" t="s">
        <v>29</v>
      </c>
      <c r="SG6" s="105"/>
      <c r="SH6" s="109"/>
      <c r="SI6" s="163">
        <f>IFERROR((((COUNTIF('Elève (3ème4)'!SC6:SH6,"A"))*4)+((COUNTIF('Elève (3ème4)'!SC6:SH6,"B"))*3)+((COUNTIF('Elève (3ème4)'!SC6:SH6,"C"))*2)+((COUNTIF('Elève (3ème4)'!SC6:SH6,"D"))*1))/(COUNTA(SC6:SH6)),"")</f>
        <v>2.6666666666666665</v>
      </c>
      <c r="SJ6" s="164" t="str">
        <f t="shared" si="116"/>
        <v>C</v>
      </c>
      <c r="SK6" s="163">
        <f>IF(COUNT(RU6,SA6,SI6)=0,"",SUM(RU6,SA6,SI6)/COUNT(RU6,SA6,SI6))</f>
        <v>2.333333333333333</v>
      </c>
      <c r="SL6" s="187" t="str">
        <f t="shared" si="117"/>
        <v>C</v>
      </c>
      <c r="SM6" s="103"/>
      <c r="SN6" s="104"/>
      <c r="SO6" s="105"/>
      <c r="SP6" s="106" t="str">
        <f>IFERROR((((COUNTIF('Elève (3ème4)'!SM6:SO6,"A"))*4)+((COUNTIF('Elève (3ème4)'!SM6:SO6,"B"))*3)+((COUNTIF('Elève (3ème4)'!SM6:SO6,"C"))*2)+((COUNTIF('Elève (3ème4)'!SM6:SO6,"D"))*1))/(COUNTA(SM6:SO6)),"")</f>
        <v/>
      </c>
      <c r="SQ6" s="107" t="str">
        <f t="shared" si="118"/>
        <v/>
      </c>
      <c r="SR6" s="103"/>
      <c r="SS6" s="104"/>
      <c r="ST6" s="105"/>
      <c r="SU6" s="106" t="str">
        <f>IFERROR((((COUNTIF('Elève (3ème4)'!SR6:ST6,"A"))*4)+((COUNTIF('Elève (3ème4)'!SR6:ST6,"B"))*3)+((COUNTIF('Elève (3ème4)'!SR6:ST6,"C"))*2)+((COUNTIF('Elève (3ème4)'!SR6:ST6,"D"))*1))/(COUNTA(SR6:ST6)),"")</f>
        <v/>
      </c>
      <c r="SV6" s="107" t="str">
        <f t="shared" si="119"/>
        <v/>
      </c>
      <c r="SW6" s="103"/>
      <c r="SX6" s="104"/>
      <c r="SY6" s="109"/>
      <c r="SZ6" s="106" t="str">
        <f>IFERROR((((COUNTIF('Elève (3ème4)'!SW6:SY6,"A"))*4)+((COUNTIF('Elève (3ème4)'!SW6:SY6,"B"))*3)+((COUNTIF('Elève (3ème4)'!SW6:SY6,"C"))*2)+((COUNTIF('Elève (3ème4)'!SW6:SY6,"D"))*1))/(COUNTA(SW6:SY6)),"")</f>
        <v/>
      </c>
      <c r="TA6" s="107" t="str">
        <f t="shared" si="120"/>
        <v/>
      </c>
      <c r="TB6" s="106" t="str">
        <f>IF(COUNT(SP6,SU6,SZ6)=0,"",SUM(SP6,SU6,SZ6)/COUNT(SP6,SU6,SZ6))</f>
        <v/>
      </c>
      <c r="TC6" s="108" t="str">
        <f t="shared" si="121"/>
        <v/>
      </c>
      <c r="TD6" s="103"/>
      <c r="TE6" s="104"/>
      <c r="TF6" s="105"/>
      <c r="TG6" s="106" t="str">
        <f>IFERROR((((COUNTIF('Elève (3ème4)'!TD6:TF6,"A"))*4)+((COUNTIF('Elève (3ème4)'!TD6:TF6,"B"))*3)+((COUNTIF('Elève (3ème4)'!TD6:TF6,"C"))*2)+((COUNTIF('Elève (3ème4)'!TD6:TF6,"D"))*1))/(COUNTA(TD6:TF6)),"")</f>
        <v/>
      </c>
      <c r="TH6" s="107" t="str">
        <f t="shared" si="122"/>
        <v/>
      </c>
      <c r="TI6" s="103"/>
      <c r="TJ6" s="104"/>
      <c r="TK6" s="105"/>
      <c r="TL6" s="106" t="str">
        <f>IFERROR((((COUNTIF('Elève (3ème4)'!TI6:TK6,"A"))*4)+((COUNTIF('Elève (3ème4)'!TI6:TK6,"B"))*3)+((COUNTIF('Elève (3ème4)'!TI6:TK6,"C"))*2)+((COUNTIF('Elève (3ème4)'!TI6:TK6,"D"))*1))/(COUNTA(TI6:TK6)),"")</f>
        <v/>
      </c>
      <c r="TM6" s="107" t="str">
        <f t="shared" si="123"/>
        <v/>
      </c>
      <c r="TN6" s="103"/>
      <c r="TO6" s="104"/>
      <c r="TP6" s="109"/>
      <c r="TQ6" s="106" t="str">
        <f>IFERROR((((COUNTIF('Elève (3ème4)'!TN6:TP6,"A"))*4)+((COUNTIF('Elève (3ème4)'!TN6:TP6,"B"))*3)+((COUNTIF('Elève (3ème4)'!TN6:TP6,"C"))*2)+((COUNTIF('Elève (3ème4)'!TN6:TP6,"D"))*1))/(COUNTA(TN6:TP6)),"")</f>
        <v/>
      </c>
      <c r="TR6" s="107" t="str">
        <f t="shared" si="124"/>
        <v/>
      </c>
      <c r="TS6" s="106" t="str">
        <f>IF(COUNT(TG6,TL6,TQ6)=0,"",SUM(TG6,TL6,TQ6)/COUNT(TG6,TL6,TQ6))</f>
        <v/>
      </c>
      <c r="TT6" s="108" t="str">
        <f t="shared" si="125"/>
        <v/>
      </c>
      <c r="TU6" s="103"/>
      <c r="TV6" s="104"/>
      <c r="TW6" s="105"/>
      <c r="TX6" s="106" t="str">
        <f>IFERROR((((COUNTIF('Elève (3ème4)'!TU6:TW6,"A"))*4)+((COUNTIF('Elève (3ème4)'!TU6:TW6,"B"))*3)+((COUNTIF('Elève (3ème4)'!TU6:TW6,"C"))*2)+((COUNTIF('Elève (3ème4)'!TU6:TW6,"D"))*1))/(COUNTA(TU6:TW6)),"")</f>
        <v/>
      </c>
      <c r="TY6" s="107" t="str">
        <f t="shared" si="126"/>
        <v/>
      </c>
      <c r="TZ6" s="103"/>
      <c r="UA6" s="104"/>
      <c r="UB6" s="105"/>
      <c r="UC6" s="106" t="str">
        <f>IFERROR((((COUNTIF('Elève (3ème4)'!TZ6:UB6,"A"))*4)+((COUNTIF('Elève (3ème4)'!TZ6:UB6,"B"))*3)+((COUNTIF('Elève (3ème4)'!TZ6:UB6,"C"))*2)+((COUNTIF('Elève (3ème4)'!TZ6:UB6,"D"))*1))/(COUNTA(TZ6:UB6)),"")</f>
        <v/>
      </c>
      <c r="UD6" s="107" t="str">
        <f t="shared" si="127"/>
        <v/>
      </c>
      <c r="UE6" s="103"/>
      <c r="UF6" s="104"/>
      <c r="UG6" s="109"/>
      <c r="UH6" s="106" t="str">
        <f>IFERROR((((COUNTIF('Elève (3ème4)'!UE6:UG6,"A"))*4)+((COUNTIF('Elève (3ème4)'!UE6:UG6,"B"))*3)+((COUNTIF('Elève (3ème4)'!UE6:UG6,"C"))*2)+((COUNTIF('Elève (3ème4)'!UE6:UG6,"D"))*1))/(COUNTA(UE6:UG6)),"")</f>
        <v/>
      </c>
      <c r="UI6" s="107" t="str">
        <f t="shared" si="128"/>
        <v/>
      </c>
      <c r="UJ6" s="106" t="str">
        <f>IF(COUNT(TX6,UC6,UH6)=0,"",SUM(TX6,UC6,UH6)/COUNT(TX6,UC6,UH6))</f>
        <v/>
      </c>
      <c r="UK6" s="108" t="str">
        <f t="shared" si="129"/>
        <v/>
      </c>
      <c r="UL6" s="103"/>
      <c r="UM6" s="104"/>
      <c r="UN6" s="105"/>
      <c r="UO6" s="106" t="str">
        <f>IFERROR((((COUNTIF('Elève (3ème4)'!UL6:UN6,"A"))*4)+((COUNTIF('Elève (3ème4)'!UL6:UN6,"B"))*3)+((COUNTIF('Elève (3ème4)'!UL6:UN6,"C"))*2)+((COUNTIF('Elève (3ème4)'!UL6:UN6,"D"))*1))/(COUNTA(UL6:UN6)),"")</f>
        <v/>
      </c>
      <c r="UP6" s="107" t="str">
        <f t="shared" si="130"/>
        <v/>
      </c>
      <c r="UQ6" s="103"/>
      <c r="UR6" s="104"/>
      <c r="US6" s="105"/>
      <c r="UT6" s="106" t="str">
        <f>IFERROR((((COUNTIF('Elève (3ème4)'!UQ6:US6,"A"))*4)+((COUNTIF('Elève (3ème4)'!UQ6:US6,"B"))*3)+((COUNTIF('Elève (3ème4)'!UQ6:US6,"C"))*2)+((COUNTIF('Elève (3ème4)'!UQ6:US6,"D"))*1))/(COUNTA(UQ6:US6)),"")</f>
        <v/>
      </c>
      <c r="UU6" s="107" t="str">
        <f t="shared" si="131"/>
        <v/>
      </c>
      <c r="UV6" s="103"/>
      <c r="UW6" s="104"/>
      <c r="UX6" s="109"/>
      <c r="UY6" s="106" t="str">
        <f>IFERROR((((COUNTIF('Elève (3ème4)'!UV6:UX6,"A"))*4)+((COUNTIF('Elève (3ème4)'!UV6:UX6,"B"))*3)+((COUNTIF('Elève (3ème4)'!UV6:UX6,"C"))*2)+((COUNTIF('Elève (3ème4)'!UV6:UX6,"D"))*1))/(COUNTA(UV6:UX6)),"")</f>
        <v/>
      </c>
      <c r="UZ6" s="107" t="str">
        <f t="shared" si="132"/>
        <v/>
      </c>
      <c r="VA6" s="106" t="str">
        <f>IF(COUNT(UO6,UT6,UY6)=0,"",SUM(UO6,UT6,UY6)/COUNT(UO6,UT6,UY6))</f>
        <v/>
      </c>
      <c r="VB6" s="108" t="str">
        <f t="shared" si="133"/>
        <v/>
      </c>
      <c r="VC6" s="103"/>
      <c r="VD6" s="104"/>
      <c r="VE6" s="105"/>
      <c r="VF6" s="106" t="str">
        <f>IFERROR((((COUNTIF('Elève (3ème4)'!VC6:VE6,"A"))*4)+((COUNTIF('Elève (3ème4)'!VC6:VE6,"B"))*3)+((COUNTIF('Elève (3ème4)'!VC6:VE6,"C"))*2)+((COUNTIF('Elève (3ème4)'!VC6:VE6,"D"))*1))/(COUNTA(VC6:VE6)),"")</f>
        <v/>
      </c>
      <c r="VG6" s="107" t="str">
        <f t="shared" si="134"/>
        <v/>
      </c>
      <c r="VH6" s="103"/>
      <c r="VI6" s="104"/>
      <c r="VJ6" s="105"/>
      <c r="VK6" s="106" t="str">
        <f>IFERROR((((COUNTIF('Elève (3ème4)'!VH6:VJ6,"A"))*4)+((COUNTIF('Elève (3ème4)'!VH6:VJ6,"B"))*3)+((COUNTIF('Elève (3ème4)'!VH6:VJ6,"C"))*2)+((COUNTIF('Elève (3ème4)'!VH6:VJ6,"D"))*1))/(COUNTA(VH6:VJ6)),"")</f>
        <v/>
      </c>
      <c r="VL6" s="107" t="str">
        <f t="shared" si="135"/>
        <v/>
      </c>
      <c r="VM6" s="103"/>
      <c r="VN6" s="104"/>
      <c r="VO6" s="109"/>
      <c r="VP6" s="106" t="str">
        <f>IFERROR((((COUNTIF('Elève (3ème4)'!VM6:VO6,"A"))*4)+((COUNTIF('Elève (3ème4)'!VM6:VO6,"B"))*3)+((COUNTIF('Elève (3ème4)'!VM6:VO6,"C"))*2)+((COUNTIF('Elève (3ème4)'!VM6:VO6,"D"))*1))/(COUNTA(VM6:VO6)),"")</f>
        <v/>
      </c>
      <c r="VQ6" s="107" t="str">
        <f t="shared" si="136"/>
        <v/>
      </c>
      <c r="VR6" s="106" t="str">
        <f>IF(COUNT(VF6,VK6,VP6)=0,"",SUM(VF6,VK6,VP6)/COUNT(VF6,VK6,VP6))</f>
        <v/>
      </c>
      <c r="VS6" s="108" t="str">
        <f t="shared" si="137"/>
        <v/>
      </c>
      <c r="VT6" s="103"/>
      <c r="VU6" s="104"/>
      <c r="VV6" s="105"/>
      <c r="VW6" s="106" t="str">
        <f>IFERROR((((COUNTIF('Elève (3ème4)'!VT6:VV6,"A"))*4)+((COUNTIF('Elève (3ème4)'!VT6:VV6,"B"))*3)+((COUNTIF('Elève (3ème4)'!VT6:VV6,"C"))*2)+((COUNTIF('Elève (3ème4)'!VT6:VV6,"D"))*1))/(COUNTA(VT6:VV6)),"")</f>
        <v/>
      </c>
      <c r="VX6" s="107" t="str">
        <f t="shared" si="138"/>
        <v/>
      </c>
      <c r="VY6" s="103"/>
      <c r="VZ6" s="104"/>
      <c r="WA6" s="105"/>
      <c r="WB6" s="106" t="str">
        <f>IFERROR((((COUNTIF('Elève (3ème4)'!VY6:WA6,"A"))*4)+((COUNTIF('Elève (3ème4)'!VY6:WA6,"B"))*3)+((COUNTIF('Elève (3ème4)'!VY6:WA6,"C"))*2)+((COUNTIF('Elève (3ème4)'!VY6:WA6,"D"))*1))/(COUNTA(VY6:WA6)),"")</f>
        <v/>
      </c>
      <c r="WC6" s="107" t="str">
        <f t="shared" si="139"/>
        <v/>
      </c>
      <c r="WD6" s="103"/>
      <c r="WE6" s="104"/>
      <c r="WF6" s="109"/>
      <c r="WG6" s="106" t="str">
        <f>IFERROR((((COUNTIF('Elève (3ème4)'!WD6:WF6,"A"))*4)+((COUNTIF('Elève (3ème4)'!WD6:WF6,"B"))*3)+((COUNTIF('Elève (3ème4)'!WD6:WF6,"C"))*2)+((COUNTIF('Elève (3ème4)'!WD6:WF6,"D"))*1))/(COUNTA(WD6:WF6)),"")</f>
        <v/>
      </c>
      <c r="WH6" s="107" t="str">
        <f t="shared" si="140"/>
        <v/>
      </c>
      <c r="WI6" s="106" t="str">
        <f>IF(COUNT(VW6,WB6,WG6)=0,"",SUM(VW6,WB6,WG6)/COUNT(VW6,WB6,WG6))</f>
        <v/>
      </c>
      <c r="WJ6" s="108" t="str">
        <f t="shared" si="141"/>
        <v/>
      </c>
    </row>
    <row r="7" spans="1:608" ht="18" customHeight="1" x14ac:dyDescent="0.55000000000000004">
      <c r="A7" s="221" t="s">
        <v>46</v>
      </c>
      <c r="B7" s="222"/>
      <c r="C7" s="103"/>
      <c r="D7" s="104"/>
      <c r="E7" s="105"/>
      <c r="F7" s="163" t="str">
        <f>IFERROR((((COUNTIF('Elève (3ème4)'!C7:E7,"A"))*4)+((COUNTIF('Elève (3ème4)'!C7:E7,"B"))*3)+((COUNTIF('Elève (3ème4)'!C7:E7,"C"))*2)+((COUNTIF('Elève (3ème4)'!C7:E7,"D"))*1))/(COUNTA(C7:E7)),"")</f>
        <v/>
      </c>
      <c r="G7" s="164" t="str">
        <f t="shared" si="22"/>
        <v/>
      </c>
      <c r="H7" s="103"/>
      <c r="I7" s="104"/>
      <c r="J7" s="105"/>
      <c r="K7" s="105"/>
      <c r="L7" s="163" t="str">
        <f>IFERROR((((COUNTIF('Elève (3ème4)'!H7:K7,"A"))*4)+((COUNTIF('Elève (3ème4)'!H7:K7,"B"))*3)+((COUNTIF('Elève (3ème4)'!H7:K7,"C"))*2)+((COUNTIF('Elève (3ème4)'!H7:K7,"D"))*1))/(COUNTA(H7:K7)),"")</f>
        <v/>
      </c>
      <c r="M7" s="164" t="str">
        <f t="shared" si="23"/>
        <v/>
      </c>
      <c r="N7" s="103"/>
      <c r="O7" s="104"/>
      <c r="P7" s="105"/>
      <c r="Q7" s="105"/>
      <c r="R7" s="105"/>
      <c r="S7" s="105"/>
      <c r="T7" s="163" t="str">
        <f>IFERROR((((COUNTIF('Elève (3ème4)'!N7:S7,"A"))*4)+((COUNTIF('Elève (3ème4)'!N7:S7,"B"))*3)+((COUNTIF('Elève (3ème4)'!N7:S7,"C"))*2)+((COUNTIF('Elève (3ème4)'!N7:S7,"D"))*1))/(COUNTA(N7:S7)),"")</f>
        <v/>
      </c>
      <c r="U7" s="164" t="str">
        <f t="shared" si="24"/>
        <v/>
      </c>
      <c r="V7" s="163" t="str">
        <f>IF(COUNT(F7,L7,T7)=0,"",SUM(F7,L7,T7)/COUNT(F7,L7,T7))</f>
        <v/>
      </c>
      <c r="W7" s="187" t="str">
        <f t="shared" si="25"/>
        <v/>
      </c>
      <c r="X7" s="103"/>
      <c r="Y7" s="104"/>
      <c r="Z7" s="105"/>
      <c r="AA7" s="163" t="str">
        <f>IFERROR((((COUNTIF('Elève (3ème4)'!X7:Z7,"A"))*4)+((COUNTIF('Elève (3ème4)'!X7:Z7,"B"))*3)+((COUNTIF('Elève (3ème4)'!X7:Z7,"C"))*2)+((COUNTIF('Elève (3ème4)'!X7:Z7,"D"))*1))/(COUNTA(X7:Z7)),"")</f>
        <v/>
      </c>
      <c r="AB7" s="164" t="str">
        <f t="shared" si="26"/>
        <v/>
      </c>
      <c r="AC7" s="103"/>
      <c r="AD7" s="104"/>
      <c r="AE7" s="105"/>
      <c r="AF7" s="105"/>
      <c r="AG7" s="163" t="str">
        <f>IFERROR((((COUNTIF('Elève (3ème4)'!AC7:AF7,"A"))*4)+((COUNTIF('Elève (3ème4)'!AC7:AF7,"B"))*3)+((COUNTIF('Elève (3ème4)'!AC7:AF7,"C"))*2)+((COUNTIF('Elève (3ème4)'!AC7:AF7,"D"))*1))/(COUNTA(AC7:AF7)),"")</f>
        <v/>
      </c>
      <c r="AH7" s="164" t="str">
        <f t="shared" si="27"/>
        <v/>
      </c>
      <c r="AI7" s="103"/>
      <c r="AJ7" s="104"/>
      <c r="AK7" s="105"/>
      <c r="AL7" s="105"/>
      <c r="AM7" s="105"/>
      <c r="AN7" s="109"/>
      <c r="AO7" s="163" t="str">
        <f>IFERROR((((COUNTIF('Elève (3ème4)'!AI7:AN7,"A"))*4)+((COUNTIF('Elève (3ème4)'!AI7:AN7,"B"))*3)+((COUNTIF('Elève (3ème4)'!AI7:AN7,"C"))*2)+((COUNTIF('Elève (3ème4)'!AI7:AN7,"D"))*1))/(COUNTA(AI7:AN7)),"")</f>
        <v/>
      </c>
      <c r="AP7" s="164" t="str">
        <f t="shared" si="28"/>
        <v/>
      </c>
      <c r="AQ7" s="163" t="str">
        <f>IF(COUNT(AA7,AG7,AO7)=0,"",SUM(AA7,AG7,AO7)/COUNT(AA7,AG7,AO7))</f>
        <v/>
      </c>
      <c r="AR7" s="187" t="str">
        <f t="shared" si="29"/>
        <v/>
      </c>
      <c r="AS7" s="103"/>
      <c r="AT7" s="104"/>
      <c r="AU7" s="105"/>
      <c r="AV7" s="163" t="str">
        <f>IFERROR((((COUNTIF('Elève (3ème4)'!AS7:AU7,"A"))*4)+((COUNTIF('Elève (3ème4)'!AS7:AU7,"B"))*3)+((COUNTIF('Elève (3ème4)'!AS7:AU7,"C"))*2)+((COUNTIF('Elève (3ème4)'!AS7:AU7,"D"))*1))/(COUNTA(AS7:AU7)),"")</f>
        <v/>
      </c>
      <c r="AW7" s="164" t="str">
        <f t="shared" si="30"/>
        <v/>
      </c>
      <c r="AX7" s="103"/>
      <c r="AY7" s="104"/>
      <c r="AZ7" s="105"/>
      <c r="BA7" s="105"/>
      <c r="BB7" s="163" t="str">
        <f>IFERROR((((COUNTIF('Elève (3ème4)'!AX7:BA7,"A"))*4)+((COUNTIF('Elève (3ème4)'!AX7:BA7,"B"))*3)+((COUNTIF('Elève (3ème4)'!AX7:BA7,"C"))*2)+((COUNTIF('Elève (3ème4)'!AX7:BA7,"D"))*1))/(COUNTA(AX7:BA7)),"")</f>
        <v/>
      </c>
      <c r="BC7" s="164" t="str">
        <f t="shared" si="31"/>
        <v/>
      </c>
      <c r="BD7" s="103"/>
      <c r="BE7" s="104"/>
      <c r="BF7" s="105"/>
      <c r="BG7" s="105"/>
      <c r="BH7" s="105"/>
      <c r="BI7" s="109"/>
      <c r="BJ7" s="163" t="str">
        <f>IFERROR((((COUNTIF('Elève (3ème4)'!BD7:BI7,"A"))*4)+((COUNTIF('Elève (3ème4)'!BD7:BI7,"B"))*3)+((COUNTIF('Elève (3ème4)'!BD7:BI7,"C"))*2)+((COUNTIF('Elève (3ème4)'!BD7:BI7,"D"))*1))/(COUNTA(BD7:BI7)),"")</f>
        <v/>
      </c>
      <c r="BK7" s="164" t="str">
        <f t="shared" si="32"/>
        <v/>
      </c>
      <c r="BL7" s="163" t="str">
        <f>IF(COUNT(AV7,BB7,BJ7)=0,"",SUM(AV7,BB7,BJ7)/COUNT(AV7,BB7,BJ7))</f>
        <v/>
      </c>
      <c r="BM7" s="187" t="str">
        <f t="shared" si="33"/>
        <v/>
      </c>
      <c r="BN7" s="103"/>
      <c r="BO7" s="104"/>
      <c r="BP7" s="105"/>
      <c r="BQ7" s="163" t="str">
        <f>IFERROR((((COUNTIF('Elève (3ème4)'!BN7:BP7,"A"))*4)+((COUNTIF('Elève (3ème4)'!BN7:BP7,"B"))*3)+((COUNTIF('Elève (3ème4)'!BN7:BP7,"C"))*2)+((COUNTIF('Elève (3ème4)'!BN7:BP7,"D"))*1))/(COUNTA(BN7:BP7)),"")</f>
        <v/>
      </c>
      <c r="BR7" s="164" t="str">
        <f t="shared" si="34"/>
        <v/>
      </c>
      <c r="BS7" s="103"/>
      <c r="BT7" s="104"/>
      <c r="BU7" s="105"/>
      <c r="BV7" s="105"/>
      <c r="BW7" s="163" t="str">
        <f>IFERROR((((COUNTIF('Elève (3ème4)'!BS7:BV7,"A"))*4)+((COUNTIF('Elève (3ème4)'!BS7:BV7,"B"))*3)+((COUNTIF('Elève (3ème4)'!BS7:BV7,"C"))*2)+((COUNTIF('Elève (3ème4)'!BS7:BV7,"D"))*1))/(COUNTA(BS7:BV7)),"")</f>
        <v/>
      </c>
      <c r="BX7" s="164" t="str">
        <f t="shared" si="35"/>
        <v/>
      </c>
      <c r="BY7" s="103"/>
      <c r="BZ7" s="104"/>
      <c r="CA7" s="105"/>
      <c r="CB7" s="105"/>
      <c r="CC7" s="105"/>
      <c r="CD7" s="109"/>
      <c r="CE7" s="163" t="str">
        <f>IFERROR((((COUNTIF('Elève (3ème4)'!BY7:CD7,"A"))*4)+((COUNTIF('Elève (3ème4)'!BY7:CD7,"B"))*3)+((COUNTIF('Elève (3ème4)'!BY7:CD7,"C"))*2)+((COUNTIF('Elève (3ème4)'!BY7:CD7,"D"))*1))/(COUNTA(BY7:CD7)),"")</f>
        <v/>
      </c>
      <c r="CF7" s="164" t="str">
        <f t="shared" si="36"/>
        <v/>
      </c>
      <c r="CG7" s="163" t="str">
        <f>IF(COUNT(BQ7,BW7,CE7)=0,"",SUM(BQ7,BW7,CE7)/COUNT(BQ7,BW7,CE7))</f>
        <v/>
      </c>
      <c r="CH7" s="187" t="str">
        <f t="shared" si="37"/>
        <v/>
      </c>
      <c r="CI7" s="103"/>
      <c r="CJ7" s="104"/>
      <c r="CK7" s="105"/>
      <c r="CL7" s="163" t="str">
        <f>IFERROR((((COUNTIF('Elève (3ème4)'!CI7:CK7,"A"))*4)+((COUNTIF('Elève (3ème4)'!CI7:CK7,"B"))*3)+((COUNTIF('Elève (3ème4)'!CI7:CK7,"C"))*2)+((COUNTIF('Elève (3ème4)'!CI7:CK7,"D"))*1))/(COUNTA(CI7:CK7)),"")</f>
        <v/>
      </c>
      <c r="CM7" s="164" t="str">
        <f t="shared" si="38"/>
        <v/>
      </c>
      <c r="CN7" s="103"/>
      <c r="CO7" s="104"/>
      <c r="CP7" s="105"/>
      <c r="CQ7" s="105"/>
      <c r="CR7" s="163" t="str">
        <f>IFERROR((((COUNTIF('Elève (3ème4)'!CN7:CQ7,"A"))*4)+((COUNTIF('Elève (3ème4)'!CN7:CQ7,"B"))*3)+((COUNTIF('Elève (3ème4)'!CN7:CQ7,"C"))*2)+((COUNTIF('Elève (3ème4)'!CN7:CQ7,"D"))*1))/(COUNTA(CN7:CQ7)),"")</f>
        <v/>
      </c>
      <c r="CS7" s="164" t="str">
        <f t="shared" si="39"/>
        <v/>
      </c>
      <c r="CT7" s="103"/>
      <c r="CU7" s="104"/>
      <c r="CV7" s="105"/>
      <c r="CW7" s="105"/>
      <c r="CX7" s="105"/>
      <c r="CY7" s="109"/>
      <c r="CZ7" s="163" t="str">
        <f>IFERROR((((COUNTIF('Elève (3ème4)'!CT7:CY7,"A"))*4)+((COUNTIF('Elève (3ème4)'!CT7:CY7,"B"))*3)+((COUNTIF('Elève (3ème4)'!CT7:CY7,"C"))*2)+((COUNTIF('Elève (3ème4)'!CT7:CY7,"D"))*1))/(COUNTA(CT7:CY7)),"")</f>
        <v/>
      </c>
      <c r="DA7" s="164" t="str">
        <f t="shared" si="40"/>
        <v/>
      </c>
      <c r="DB7" s="163" t="str">
        <f>IF(COUNT(CL7,CR7,CZ7)=0,"",SUM(CL7,CR7,CZ7)/COUNT(CL7,CR7,CZ7))</f>
        <v/>
      </c>
      <c r="DC7" s="187" t="str">
        <f t="shared" si="41"/>
        <v/>
      </c>
      <c r="DD7" s="103"/>
      <c r="DE7" s="104"/>
      <c r="DF7" s="105"/>
      <c r="DG7" s="163" t="str">
        <f>IFERROR((((COUNTIF('Elève (3ème4)'!DD7:DF7,"A"))*4)+((COUNTIF('Elève (3ème4)'!DD7:DF7,"B"))*3)+((COUNTIF('Elève (3ème4)'!DD7:DF7,"C"))*2)+((COUNTIF('Elève (3ème4)'!DD7:DF7,"D"))*1))/(COUNTA(DD7:DF7)),"")</f>
        <v/>
      </c>
      <c r="DH7" s="164" t="str">
        <f t="shared" si="42"/>
        <v/>
      </c>
      <c r="DI7" s="103"/>
      <c r="DJ7" s="104"/>
      <c r="DK7" s="105"/>
      <c r="DL7" s="105"/>
      <c r="DM7" s="163" t="str">
        <f>IFERROR((((COUNTIF('Elève (3ème4)'!DI7:DL7,"A"))*4)+((COUNTIF('Elève (3ème4)'!DI7:DL7,"B"))*3)+((COUNTIF('Elève (3ème4)'!DI7:DL7,"C"))*2)+((COUNTIF('Elève (3ème4)'!DI7:DL7,"D"))*1))/(COUNTA(DI7:DL7)),"")</f>
        <v/>
      </c>
      <c r="DN7" s="164" t="str">
        <f t="shared" si="43"/>
        <v/>
      </c>
      <c r="DO7" s="103"/>
      <c r="DP7" s="104"/>
      <c r="DQ7" s="105"/>
      <c r="DR7" s="105"/>
      <c r="DS7" s="105"/>
      <c r="DT7" s="109"/>
      <c r="DU7" s="163" t="str">
        <f>IFERROR((((COUNTIF('Elève (3ème4)'!DO7:DT7,"A"))*4)+((COUNTIF('Elève (3ème4)'!DO7:DT7,"B"))*3)+((COUNTIF('Elève (3ème4)'!DO7:DT7,"C"))*2)+((COUNTIF('Elève (3ème4)'!DO7:DT7,"D"))*1))/(COUNTA(DO7:DT7)),"")</f>
        <v/>
      </c>
      <c r="DV7" s="164" t="str">
        <f t="shared" si="44"/>
        <v/>
      </c>
      <c r="DW7" s="163" t="str">
        <f>IF(COUNT(DG7,DM7,DU7)=0,"",SUM(DG7,DM7,DU7)/COUNT(DG7,DM7,DU7))</f>
        <v/>
      </c>
      <c r="DX7" s="187" t="str">
        <f t="shared" si="45"/>
        <v/>
      </c>
      <c r="DY7" s="103"/>
      <c r="DZ7" s="104"/>
      <c r="EA7" s="105"/>
      <c r="EB7" s="163" t="str">
        <f>IFERROR((((COUNTIF('Elève (3ème4)'!DY7:EA7,"A"))*4)+((COUNTIF('Elève (3ème4)'!DY7:EA7,"B"))*3)+((COUNTIF('Elève (3ème4)'!DY7:EA7,"C"))*2)+((COUNTIF('Elève (3ème4)'!DY7:EA7,"D"))*1))/(COUNTA(DY7:EA7)),"")</f>
        <v/>
      </c>
      <c r="EC7" s="164" t="str">
        <f t="shared" si="46"/>
        <v/>
      </c>
      <c r="ED7" s="103"/>
      <c r="EE7" s="104"/>
      <c r="EF7" s="105"/>
      <c r="EG7" s="105"/>
      <c r="EH7" s="163" t="str">
        <f>IFERROR((((COUNTIF('Elève (3ème4)'!ED7:EG7,"A"))*4)+((COUNTIF('Elève (3ème4)'!ED7:EG7,"B"))*3)+((COUNTIF('Elève (3ème4)'!ED7:EG7,"C"))*2)+((COUNTIF('Elève (3ème4)'!ED7:EG7,"D"))*1))/(COUNTA(ED7:EG7)),"")</f>
        <v/>
      </c>
      <c r="EI7" s="164" t="str">
        <f t="shared" si="47"/>
        <v/>
      </c>
      <c r="EJ7" s="103"/>
      <c r="EK7" s="104"/>
      <c r="EL7" s="105"/>
      <c r="EM7" s="105"/>
      <c r="EN7" s="105"/>
      <c r="EO7" s="109"/>
      <c r="EP7" s="163" t="str">
        <f>IFERROR((((COUNTIF('Elève (3ème4)'!EJ7:EO7,"A"))*4)+((COUNTIF('Elève (3ème4)'!EJ7:EO7,"B"))*3)+((COUNTIF('Elève (3ème4)'!EJ7:EO7,"C"))*2)+((COUNTIF('Elève (3ème4)'!EJ7:EO7,"D"))*1))/(COUNTA(EJ7:EO7)),"")</f>
        <v/>
      </c>
      <c r="EQ7" s="164" t="str">
        <f t="shared" si="48"/>
        <v/>
      </c>
      <c r="ER7" s="163" t="str">
        <f>IF(COUNT(EB7,EH7,EP7)=0,"",SUM(EB7,EH7,EP7)/COUNT(EB7,EH7,EP7))</f>
        <v/>
      </c>
      <c r="ES7" s="187" t="str">
        <f t="shared" si="49"/>
        <v/>
      </c>
      <c r="ET7" s="103"/>
      <c r="EU7" s="104"/>
      <c r="EV7" s="105"/>
      <c r="EW7" s="163" t="str">
        <f>IFERROR((((COUNTIF('Elève (3ème4)'!ET7:EV7,"A"))*4)+((COUNTIF('Elève (3ème4)'!ET7:EV7,"B"))*3)+((COUNTIF('Elève (3ème4)'!ET7:EV7,"C"))*2)+((COUNTIF('Elève (3ème4)'!ET7:EV7,"D"))*1))/(COUNTA(ET7:EV7)),"")</f>
        <v/>
      </c>
      <c r="EX7" s="164" t="str">
        <f t="shared" si="50"/>
        <v/>
      </c>
      <c r="EY7" s="103"/>
      <c r="EZ7" s="104"/>
      <c r="FA7" s="105"/>
      <c r="FB7" s="105"/>
      <c r="FC7" s="163" t="str">
        <f>IFERROR((((COUNTIF('Elève (3ème4)'!EY7:FB7,"A"))*4)+((COUNTIF('Elève (3ème4)'!EY7:FB7,"B"))*3)+((COUNTIF('Elève (3ème4)'!EY7:FB7,"C"))*2)+((COUNTIF('Elève (3ème4)'!EY7:FB7,"D"))*1))/(COUNTA(EY7:FB7)),"")</f>
        <v/>
      </c>
      <c r="FD7" s="164" t="str">
        <f t="shared" si="51"/>
        <v/>
      </c>
      <c r="FE7" s="103"/>
      <c r="FF7" s="104"/>
      <c r="FG7" s="105"/>
      <c r="FH7" s="105"/>
      <c r="FI7" s="105"/>
      <c r="FJ7" s="109"/>
      <c r="FK7" s="163" t="str">
        <f>IFERROR((((COUNTIF('Elève (3ème4)'!FE7:FJ7,"A"))*4)+((COUNTIF('Elève (3ème4)'!FE7:FJ7,"B"))*3)+((COUNTIF('Elève (3ème4)'!FE7:FJ7,"C"))*2)+((COUNTIF('Elève (3ème4)'!FE7:FJ7,"D"))*1))/(COUNTA(FE7:FJ7)),"")</f>
        <v/>
      </c>
      <c r="FL7" s="164" t="str">
        <f t="shared" si="52"/>
        <v/>
      </c>
      <c r="FM7" s="163" t="str">
        <f>IF(COUNT(EW7,FC7,FK7)=0,"",SUM(EW7,FC7,FK7)/COUNT(EW7,FC7,FK7))</f>
        <v/>
      </c>
      <c r="FN7" s="187" t="str">
        <f t="shared" si="53"/>
        <v/>
      </c>
      <c r="FO7" s="103"/>
      <c r="FP7" s="104"/>
      <c r="FQ7" s="105"/>
      <c r="FR7" s="163" t="str">
        <f>IFERROR((((COUNTIF('Elève (3ème4)'!FO7:FQ7,"A"))*4)+((COUNTIF('Elève (3ème4)'!FO7:FQ7,"B"))*3)+((COUNTIF('Elève (3ème4)'!FO7:FQ7,"C"))*2)+((COUNTIF('Elève (3ème4)'!FO7:FQ7,"D"))*1))/(COUNTA(FO7:FQ7)),"")</f>
        <v/>
      </c>
      <c r="FS7" s="164" t="str">
        <f t="shared" si="54"/>
        <v/>
      </c>
      <c r="FT7" s="103"/>
      <c r="FU7" s="104"/>
      <c r="FV7" s="105"/>
      <c r="FW7" s="105"/>
      <c r="FX7" s="163" t="str">
        <f>IFERROR((((COUNTIF('Elève (3ème4)'!FT7:FW7,"A"))*4)+((COUNTIF('Elève (3ème4)'!FT7:FW7,"B"))*3)+((COUNTIF('Elève (3ème4)'!FT7:FW7,"C"))*2)+((COUNTIF('Elève (3ème4)'!FT7:FW7,"D"))*1))/(COUNTA(FT7:FW7)),"")</f>
        <v/>
      </c>
      <c r="FY7" s="164" t="str">
        <f t="shared" si="55"/>
        <v/>
      </c>
      <c r="FZ7" s="103"/>
      <c r="GA7" s="104"/>
      <c r="GB7" s="105"/>
      <c r="GC7" s="105"/>
      <c r="GD7" s="105"/>
      <c r="GE7" s="109"/>
      <c r="GF7" s="163" t="str">
        <f>IFERROR((((COUNTIF('Elève (3ème4)'!FZ7:GE7,"A"))*4)+((COUNTIF('Elève (3ème4)'!FZ7:GE7,"B"))*3)+((COUNTIF('Elève (3ème4)'!FZ7:GE7,"C"))*2)+((COUNTIF('Elève (3ème4)'!FZ7:GE7,"D"))*1))/(COUNTA(FZ7:GE7)),"")</f>
        <v/>
      </c>
      <c r="GG7" s="164" t="str">
        <f t="shared" si="56"/>
        <v/>
      </c>
      <c r="GH7" s="163" t="str">
        <f>IF(COUNT(FR7,FX7,GF7)=0,"",SUM(FR7,FX7,GF7)/COUNT(FR7,FX7,GF7))</f>
        <v/>
      </c>
      <c r="GI7" s="187" t="str">
        <f t="shared" si="57"/>
        <v/>
      </c>
      <c r="GJ7" s="103"/>
      <c r="GK7" s="104"/>
      <c r="GL7" s="105"/>
      <c r="GM7" s="163" t="str">
        <f>IFERROR((((COUNTIF('Elève (3ème4)'!GJ7:GL7,"A"))*4)+((COUNTIF('Elève (3ème4)'!GJ7:GL7,"B"))*3)+((COUNTIF('Elève (3ème4)'!GJ7:GL7,"C"))*2)+((COUNTIF('Elève (3ème4)'!GJ7:GL7,"D"))*1))/(COUNTA(GJ7:GL7)),"")</f>
        <v/>
      </c>
      <c r="GN7" s="164" t="str">
        <f t="shared" si="58"/>
        <v/>
      </c>
      <c r="GO7" s="103"/>
      <c r="GP7" s="104"/>
      <c r="GQ7" s="105"/>
      <c r="GR7" s="105"/>
      <c r="GS7" s="163" t="str">
        <f>IFERROR((((COUNTIF('Elève (3ème4)'!GO7:GR7,"A"))*4)+((COUNTIF('Elève (3ème4)'!GO7:GR7,"B"))*3)+((COUNTIF('Elève (3ème4)'!GO7:GR7,"C"))*2)+((COUNTIF('Elève (3ème4)'!GO7:GR7,"D"))*1))/(COUNTA(GO7:GR7)),"")</f>
        <v/>
      </c>
      <c r="GT7" s="164" t="str">
        <f t="shared" si="59"/>
        <v/>
      </c>
      <c r="GU7" s="103"/>
      <c r="GV7" s="104"/>
      <c r="GW7" s="105"/>
      <c r="GX7" s="105"/>
      <c r="GY7" s="105"/>
      <c r="GZ7" s="109"/>
      <c r="HA7" s="163" t="str">
        <f>IFERROR((((COUNTIF('Elève (3ème4)'!GU7:GZ7,"A"))*4)+((COUNTIF('Elève (3ème4)'!GU7:GZ7,"B"))*3)+((COUNTIF('Elève (3ème4)'!GU7:GZ7,"C"))*2)+((COUNTIF('Elève (3ème4)'!GU7:GZ7,"D"))*1))/(COUNTA(GU7:GZ7)),"")</f>
        <v/>
      </c>
      <c r="HB7" s="164" t="str">
        <f t="shared" si="60"/>
        <v/>
      </c>
      <c r="HC7" s="163" t="str">
        <f>IF(COUNT(GM7,GS7,HA7)=0,"",SUM(GM7,GS7,HA7)/COUNT(GM7,GS7,HA7))</f>
        <v/>
      </c>
      <c r="HD7" s="187" t="str">
        <f t="shared" si="61"/>
        <v/>
      </c>
      <c r="HE7" s="103"/>
      <c r="HF7" s="104"/>
      <c r="HG7" s="105"/>
      <c r="HH7" s="163" t="str">
        <f>IFERROR((((COUNTIF('Elève (3ème4)'!HE7:HG7,"A"))*4)+((COUNTIF('Elève (3ème4)'!HE7:HG7,"B"))*3)+((COUNTIF('Elève (3ème4)'!HE7:HG7,"C"))*2)+((COUNTIF('Elève (3ème4)'!HE7:HG7,"D"))*1))/(COUNTA(HE7:HG7)),"")</f>
        <v/>
      </c>
      <c r="HI7" s="164" t="str">
        <f t="shared" si="62"/>
        <v/>
      </c>
      <c r="HJ7" s="103"/>
      <c r="HK7" s="104"/>
      <c r="HL7" s="105"/>
      <c r="HM7" s="105"/>
      <c r="HN7" s="163" t="str">
        <f>IFERROR((((COUNTIF('Elève (3ème4)'!HJ7:HM7,"A"))*4)+((COUNTIF('Elève (3ème4)'!HJ7:HM7,"B"))*3)+((COUNTIF('Elève (3ème4)'!HJ7:HM7,"C"))*2)+((COUNTIF('Elève (3ème4)'!HJ7:HM7,"D"))*1))/(COUNTA(HJ7:HM7)),"")</f>
        <v/>
      </c>
      <c r="HO7" s="164" t="str">
        <f t="shared" si="63"/>
        <v/>
      </c>
      <c r="HP7" s="103"/>
      <c r="HQ7" s="104"/>
      <c r="HR7" s="105"/>
      <c r="HS7" s="105"/>
      <c r="HT7" s="105"/>
      <c r="HU7" s="109"/>
      <c r="HV7" s="163" t="str">
        <f>IFERROR((((COUNTIF('Elève (3ème4)'!HP7:HU7,"A"))*4)+((COUNTIF('Elève (3ème4)'!HP7:HU7,"B"))*3)+((COUNTIF('Elève (3ème4)'!HP7:HU7,"C"))*2)+((COUNTIF('Elève (3ème4)'!HP7:HU7,"D"))*1))/(COUNTA(HP7:HU7)),"")</f>
        <v/>
      </c>
      <c r="HW7" s="164" t="str">
        <f t="shared" si="64"/>
        <v/>
      </c>
      <c r="HX7" s="163" t="str">
        <f>IF(COUNT(HH7,HN7,HV7)=0,"",SUM(HH7,HN7,HV7)/COUNT(HH7,HN7,HV7))</f>
        <v/>
      </c>
      <c r="HY7" s="187" t="str">
        <f t="shared" si="65"/>
        <v/>
      </c>
      <c r="HZ7" s="103"/>
      <c r="IA7" s="104"/>
      <c r="IB7" s="105"/>
      <c r="IC7" s="163" t="str">
        <f>IFERROR((((COUNTIF('Elève (3ème4)'!HZ7:IB7,"A"))*4)+((COUNTIF('Elève (3ème4)'!HZ7:IB7,"B"))*3)+((COUNTIF('Elève (3ème4)'!HZ7:IB7,"C"))*2)+((COUNTIF('Elève (3ème4)'!HZ7:IB7,"D"))*1))/(COUNTA(HZ7:IB7)),"")</f>
        <v/>
      </c>
      <c r="ID7" s="164" t="str">
        <f t="shared" si="66"/>
        <v/>
      </c>
      <c r="IE7" s="103"/>
      <c r="IF7" s="104"/>
      <c r="IG7" s="105"/>
      <c r="IH7" s="105"/>
      <c r="II7" s="163" t="str">
        <f>IFERROR((((COUNTIF('Elève (3ème4)'!IE7:IH7,"A"))*4)+((COUNTIF('Elève (3ème4)'!IE7:IH7,"B"))*3)+((COUNTIF('Elève (3ème4)'!IE7:IH7,"C"))*2)+((COUNTIF('Elève (3ème4)'!IE7:IH7,"D"))*1))/(COUNTA(IE7:IH7)),"")</f>
        <v/>
      </c>
      <c r="IJ7" s="164" t="str">
        <f t="shared" si="67"/>
        <v/>
      </c>
      <c r="IK7" s="103"/>
      <c r="IL7" s="104"/>
      <c r="IM7" s="105"/>
      <c r="IN7" s="105"/>
      <c r="IO7" s="105"/>
      <c r="IP7" s="109"/>
      <c r="IQ7" s="163" t="str">
        <f>IFERROR((((COUNTIF('Elève (3ème4)'!IK7:IP7,"A"))*4)+((COUNTIF('Elève (3ème4)'!IK7:IP7,"B"))*3)+((COUNTIF('Elève (3ème4)'!IK7:IP7,"C"))*2)+((COUNTIF('Elève (3ème4)'!IK7:IP7,"D"))*1))/(COUNTA(IK7:IP7)),"")</f>
        <v/>
      </c>
      <c r="IR7" s="164" t="str">
        <f t="shared" si="68"/>
        <v/>
      </c>
      <c r="IS7" s="163" t="str">
        <f>IF(COUNT(IC7,II7,IQ7)=0,"",SUM(IC7,II7,IQ7)/COUNT(IC7,II7,IQ7))</f>
        <v/>
      </c>
      <c r="IT7" s="187" t="str">
        <f t="shared" si="69"/>
        <v/>
      </c>
      <c r="IU7" s="103"/>
      <c r="IV7" s="104"/>
      <c r="IW7" s="105"/>
      <c r="IX7" s="163" t="str">
        <f>IFERROR((((COUNTIF('Elève (3ème4)'!IU7:IW7,"A"))*4)+((COUNTIF('Elève (3ème4)'!IU7:IW7,"B"))*3)+((COUNTIF('Elève (3ème4)'!IU7:IW7,"C"))*2)+((COUNTIF('Elève (3ème4)'!IU7:IW7,"D"))*1))/(COUNTA(IU7:IW7)),"")</f>
        <v/>
      </c>
      <c r="IY7" s="164" t="str">
        <f t="shared" si="70"/>
        <v/>
      </c>
      <c r="IZ7" s="103"/>
      <c r="JA7" s="104"/>
      <c r="JB7" s="105"/>
      <c r="JC7" s="105"/>
      <c r="JD7" s="163" t="str">
        <f>IFERROR((((COUNTIF('Elève (3ème4)'!IZ7:JC7,"A"))*4)+((COUNTIF('Elève (3ème4)'!IZ7:JC7,"B"))*3)+((COUNTIF('Elève (3ème4)'!IZ7:JC7,"C"))*2)+((COUNTIF('Elève (3ème4)'!IZ7:JC7,"D"))*1))/(COUNTA(IZ7:JC7)),"")</f>
        <v/>
      </c>
      <c r="JE7" s="164" t="str">
        <f t="shared" si="71"/>
        <v/>
      </c>
      <c r="JF7" s="103"/>
      <c r="JG7" s="104"/>
      <c r="JH7" s="105"/>
      <c r="JI7" s="105"/>
      <c r="JJ7" s="105"/>
      <c r="JK7" s="109"/>
      <c r="JL7" s="163" t="str">
        <f>IFERROR((((COUNTIF('Elève (3ème4)'!JF7:JK7,"A"))*4)+((COUNTIF('Elève (3ème4)'!JF7:JK7,"B"))*3)+((COUNTIF('Elève (3ème4)'!JF7:JK7,"C"))*2)+((COUNTIF('Elève (3ème4)'!JF7:JK7,"D"))*1))/(COUNTA(JF7:JK7)),"")</f>
        <v/>
      </c>
      <c r="JM7" s="164" t="str">
        <f t="shared" si="72"/>
        <v/>
      </c>
      <c r="JN7" s="163" t="str">
        <f>IF(COUNT(IX7,JD7,JL7)=0,"",SUM(IX7,JD7,JL7)/COUNT(IX7,JD7,JL7))</f>
        <v/>
      </c>
      <c r="JO7" s="187" t="str">
        <f t="shared" si="73"/>
        <v/>
      </c>
      <c r="JP7" s="103"/>
      <c r="JQ7" s="104"/>
      <c r="JR7" s="105"/>
      <c r="JS7" s="163" t="str">
        <f>IFERROR((((COUNTIF('Elève (3ème4)'!JP7:JR7,"A"))*4)+((COUNTIF('Elève (3ème4)'!JP7:JR7,"B"))*3)+((COUNTIF('Elève (3ème4)'!JP7:JR7,"C"))*2)+((COUNTIF('Elève (3ème4)'!JP7:JR7,"D"))*1))/(COUNTA(JP7:JR7)),"")</f>
        <v/>
      </c>
      <c r="JT7" s="164" t="str">
        <f t="shared" si="74"/>
        <v/>
      </c>
      <c r="JU7" s="103"/>
      <c r="JV7" s="104"/>
      <c r="JW7" s="105"/>
      <c r="JX7" s="105"/>
      <c r="JY7" s="163" t="str">
        <f>IFERROR((((COUNTIF('Elève (3ème4)'!JU7:JX7,"A"))*4)+((COUNTIF('Elève (3ème4)'!JU7:JX7,"B"))*3)+((COUNTIF('Elève (3ème4)'!JU7:JX7,"C"))*2)+((COUNTIF('Elève (3ème4)'!JU7:JX7,"D"))*1))/(COUNTA(JU7:JX7)),"")</f>
        <v/>
      </c>
      <c r="JZ7" s="164" t="str">
        <f t="shared" si="75"/>
        <v/>
      </c>
      <c r="KA7" s="103"/>
      <c r="KB7" s="104"/>
      <c r="KC7" s="105"/>
      <c r="KD7" s="105"/>
      <c r="KE7" s="105"/>
      <c r="KF7" s="109"/>
      <c r="KG7" s="163" t="str">
        <f>IFERROR((((COUNTIF('Elève (3ème4)'!KA7:KF7,"A"))*4)+((COUNTIF('Elève (3ème4)'!KA7:KF7,"B"))*3)+((COUNTIF('Elève (3ème4)'!KA7:KF7,"C"))*2)+((COUNTIF('Elève (3ème4)'!KA7:KF7,"D"))*1))/(COUNTA(KA7:KF7)),"")</f>
        <v/>
      </c>
      <c r="KH7" s="164" t="str">
        <f t="shared" si="76"/>
        <v/>
      </c>
      <c r="KI7" s="163" t="str">
        <f>IF(COUNT(JS7,JY7,KG7)=0,"",SUM(JS7,JY7,KG7)/COUNT(JS7,JY7,KG7))</f>
        <v/>
      </c>
      <c r="KJ7" s="187" t="str">
        <f t="shared" si="77"/>
        <v/>
      </c>
      <c r="KK7" s="103"/>
      <c r="KL7" s="104"/>
      <c r="KM7" s="105"/>
      <c r="KN7" s="163" t="str">
        <f>IFERROR((((COUNTIF('Elève (3ème4)'!KK7:KM7,"A"))*4)+((COUNTIF('Elève (3ème4)'!KK7:KM7,"B"))*3)+((COUNTIF('Elève (3ème4)'!KK7:KM7,"C"))*2)+((COUNTIF('Elève (3ème4)'!KK7:KM7,"D"))*1))/(COUNTA(KK7:KM7)),"")</f>
        <v/>
      </c>
      <c r="KO7" s="164" t="str">
        <f t="shared" si="78"/>
        <v/>
      </c>
      <c r="KP7" s="103"/>
      <c r="KQ7" s="104"/>
      <c r="KR7" s="105"/>
      <c r="KS7" s="105"/>
      <c r="KT7" s="163" t="str">
        <f>IFERROR((((COUNTIF('Elève (3ème4)'!KP7:KS7,"A"))*4)+((COUNTIF('Elève (3ème4)'!KP7:KS7,"B"))*3)+((COUNTIF('Elève (3ème4)'!KP7:KS7,"C"))*2)+((COUNTIF('Elève (3ème4)'!KP7:KS7,"D"))*1))/(COUNTA(KP7:KS7)),"")</f>
        <v/>
      </c>
      <c r="KU7" s="164" t="str">
        <f t="shared" si="79"/>
        <v/>
      </c>
      <c r="KV7" s="103"/>
      <c r="KW7" s="104"/>
      <c r="KX7" s="105"/>
      <c r="KY7" s="105"/>
      <c r="KZ7" s="105"/>
      <c r="LA7" s="109"/>
      <c r="LB7" s="163" t="str">
        <f>IFERROR((((COUNTIF('Elève (3ème4)'!KV7:LA7,"A"))*4)+((COUNTIF('Elève (3ème4)'!KV7:LA7,"B"))*3)+((COUNTIF('Elève (3ème4)'!KV7:LA7,"C"))*2)+((COUNTIF('Elève (3ème4)'!KV7:LA7,"D"))*1))/(COUNTA(KV7:LA7)),"")</f>
        <v/>
      </c>
      <c r="LC7" s="164" t="str">
        <f t="shared" si="80"/>
        <v/>
      </c>
      <c r="LD7" s="163" t="str">
        <f>IF(COUNT(KN7,KT7,LB7)=0,"",SUM(KN7,KT7,LB7)/COUNT(KN7,KT7,LB7))</f>
        <v/>
      </c>
      <c r="LE7" s="187" t="str">
        <f t="shared" si="81"/>
        <v/>
      </c>
      <c r="LF7" s="103"/>
      <c r="LG7" s="104"/>
      <c r="LH7" s="105"/>
      <c r="LI7" s="163" t="str">
        <f>IFERROR((((COUNTIF('Elève (3ème4)'!LF7:LH7,"A"))*4)+((COUNTIF('Elève (3ème4)'!LF7:LH7,"B"))*3)+((COUNTIF('Elève (3ème4)'!LF7:LH7,"C"))*2)+((COUNTIF('Elève (3ème4)'!LF7:LH7,"D"))*1))/(COUNTA(LF7:LH7)),"")</f>
        <v/>
      </c>
      <c r="LJ7" s="164" t="str">
        <f t="shared" si="82"/>
        <v/>
      </c>
      <c r="LK7" s="103"/>
      <c r="LL7" s="104"/>
      <c r="LM7" s="105"/>
      <c r="LN7" s="105"/>
      <c r="LO7" s="163" t="str">
        <f>IFERROR((((COUNTIF('Elève (3ème4)'!LK7:LN7,"A"))*4)+((COUNTIF('Elève (3ème4)'!LK7:LN7,"B"))*3)+((COUNTIF('Elève (3ème4)'!LK7:LN7,"C"))*2)+((COUNTIF('Elève (3ème4)'!LK7:LN7,"D"))*1))/(COUNTA(LK7:LN7)),"")</f>
        <v/>
      </c>
      <c r="LP7" s="164" t="str">
        <f t="shared" si="83"/>
        <v/>
      </c>
      <c r="LQ7" s="103"/>
      <c r="LR7" s="104"/>
      <c r="LS7" s="105"/>
      <c r="LT7" s="105"/>
      <c r="LU7" s="105"/>
      <c r="LV7" s="109"/>
      <c r="LW7" s="163" t="str">
        <f>IFERROR((((COUNTIF('Elève (3ème4)'!LQ7:LV7,"A"))*4)+((COUNTIF('Elève (3ème4)'!LQ7:LV7,"B"))*3)+((COUNTIF('Elève (3ème4)'!LQ7:LV7,"C"))*2)+((COUNTIF('Elève (3ème4)'!LQ7:LV7,"D"))*1))/(COUNTA(LQ7:LV7)),"")</f>
        <v/>
      </c>
      <c r="LX7" s="164" t="str">
        <f t="shared" si="84"/>
        <v/>
      </c>
      <c r="LY7" s="163" t="str">
        <f>IF(COUNT(LI7,LO7,LW7)=0,"",SUM(LI7,LO7,LW7)/COUNT(LI7,LO7,LW7))</f>
        <v/>
      </c>
      <c r="LZ7" s="187" t="str">
        <f t="shared" si="85"/>
        <v/>
      </c>
      <c r="MA7" s="103"/>
      <c r="MB7" s="104"/>
      <c r="MC7" s="105"/>
      <c r="MD7" s="163" t="str">
        <f>IFERROR((((COUNTIF('Elève (3ème4)'!MA7:MC7,"A"))*4)+((COUNTIF('Elève (3ème4)'!MA7:MC7,"B"))*3)+((COUNTIF('Elève (3ème4)'!MA7:MC7,"C"))*2)+((COUNTIF('Elève (3ème4)'!MA7:MC7,"D"))*1))/(COUNTA(MA7:MC7)),"")</f>
        <v/>
      </c>
      <c r="ME7" s="164" t="str">
        <f t="shared" si="86"/>
        <v/>
      </c>
      <c r="MF7" s="103"/>
      <c r="MG7" s="104"/>
      <c r="MH7" s="105"/>
      <c r="MI7" s="105"/>
      <c r="MJ7" s="163" t="str">
        <f>IFERROR((((COUNTIF('Elève (3ème4)'!MF7:MI7,"A"))*4)+((COUNTIF('Elève (3ème4)'!MF7:MI7,"B"))*3)+((COUNTIF('Elève (3ème4)'!MF7:MI7,"C"))*2)+((COUNTIF('Elève (3ème4)'!MF7:MI7,"D"))*1))/(COUNTA(MF7:MI7)),"")</f>
        <v/>
      </c>
      <c r="MK7" s="164" t="str">
        <f t="shared" si="87"/>
        <v/>
      </c>
      <c r="ML7" s="103"/>
      <c r="MM7" s="104"/>
      <c r="MN7" s="105"/>
      <c r="MO7" s="105"/>
      <c r="MP7" s="105"/>
      <c r="MQ7" s="109"/>
      <c r="MR7" s="163" t="str">
        <f>IFERROR((((COUNTIF('Elève (3ème4)'!ML7:MQ7,"A"))*4)+((COUNTIF('Elève (3ème4)'!ML7:MQ7,"B"))*3)+((COUNTIF('Elève (3ème4)'!ML7:MQ7,"C"))*2)+((COUNTIF('Elève (3ème4)'!ML7:MQ7,"D"))*1))/(COUNTA(ML7:MQ7)),"")</f>
        <v/>
      </c>
      <c r="MS7" s="164" t="str">
        <f t="shared" si="88"/>
        <v/>
      </c>
      <c r="MT7" s="163" t="str">
        <f>IF(COUNT(MD7,MJ7,MR7)=0,"",SUM(MD7,MJ7,MR7)/COUNT(MD7,MJ7,MR7))</f>
        <v/>
      </c>
      <c r="MU7" s="187" t="str">
        <f t="shared" si="89"/>
        <v/>
      </c>
      <c r="MV7" s="103"/>
      <c r="MW7" s="104"/>
      <c r="MX7" s="105"/>
      <c r="MY7" s="163" t="str">
        <f>IFERROR((((COUNTIF('Elève (3ème4)'!MV7:MX7,"A"))*4)+((COUNTIF('Elève (3ème4)'!MV7:MX7,"B"))*3)+((COUNTIF('Elève (3ème4)'!MV7:MX7,"C"))*2)+((COUNTIF('Elève (3ème4)'!MV7:MX7,"D"))*1))/(COUNTA(MV7:MX7)),"")</f>
        <v/>
      </c>
      <c r="MZ7" s="164" t="str">
        <f t="shared" si="90"/>
        <v/>
      </c>
      <c r="NA7" s="103"/>
      <c r="NB7" s="104"/>
      <c r="NC7" s="105"/>
      <c r="ND7" s="105"/>
      <c r="NE7" s="163" t="str">
        <f>IFERROR((((COUNTIF('Elève (3ème4)'!NA7:ND7,"A"))*4)+((COUNTIF('Elève (3ème4)'!NA7:ND7,"B"))*3)+((COUNTIF('Elève (3ème4)'!NA7:ND7,"C"))*2)+((COUNTIF('Elève (3ème4)'!NA7:ND7,"D"))*1))/(COUNTA(NA7:ND7)),"")</f>
        <v/>
      </c>
      <c r="NF7" s="164" t="str">
        <f t="shared" si="91"/>
        <v/>
      </c>
      <c r="NG7" s="103"/>
      <c r="NH7" s="104"/>
      <c r="NI7" s="105"/>
      <c r="NJ7" s="105"/>
      <c r="NK7" s="105"/>
      <c r="NL7" s="109"/>
      <c r="NM7" s="163" t="str">
        <f>IFERROR((((COUNTIF('Elève (3ème4)'!NG7:NL7,"A"))*4)+((COUNTIF('Elève (3ème4)'!NG7:NL7,"B"))*3)+((COUNTIF('Elève (3ème4)'!NG7:NL7,"C"))*2)+((COUNTIF('Elève (3ème4)'!NG7:NL7,"D"))*1))/(COUNTA(NG7:NL7)),"")</f>
        <v/>
      </c>
      <c r="NN7" s="164" t="str">
        <f t="shared" si="92"/>
        <v/>
      </c>
      <c r="NO7" s="163" t="str">
        <f>IF(COUNT(MY7,NE7,NM7)=0,"",SUM(MY7,NE7,NM7)/COUNT(MY7,NE7,NM7))</f>
        <v/>
      </c>
      <c r="NP7" s="187" t="str">
        <f t="shared" si="93"/>
        <v/>
      </c>
      <c r="NQ7" s="103"/>
      <c r="NR7" s="104"/>
      <c r="NS7" s="105"/>
      <c r="NT7" s="163" t="str">
        <f>IFERROR((((COUNTIF('Elève (3ème4)'!NQ7:NS7,"A"))*4)+((COUNTIF('Elève (3ème4)'!NQ7:NS7,"B"))*3)+((COUNTIF('Elève (3ème4)'!NQ7:NS7,"C"))*2)+((COUNTIF('Elève (3ème4)'!NQ7:NS7,"D"))*1))/(COUNTA(NQ7:NS7)),"")</f>
        <v/>
      </c>
      <c r="NU7" s="164" t="str">
        <f t="shared" si="94"/>
        <v/>
      </c>
      <c r="NV7" s="103"/>
      <c r="NW7" s="104"/>
      <c r="NX7" s="105"/>
      <c r="NY7" s="105"/>
      <c r="NZ7" s="163" t="str">
        <f>IFERROR((((COUNTIF('Elève (3ème4)'!NV7:NY7,"A"))*4)+((COUNTIF('Elève (3ème4)'!NV7:NY7,"B"))*3)+((COUNTIF('Elève (3ème4)'!NV7:NY7,"C"))*2)+((COUNTIF('Elève (3ème4)'!NV7:NY7,"D"))*1))/(COUNTA(NV7:NY7)),"")</f>
        <v/>
      </c>
      <c r="OA7" s="164" t="str">
        <f t="shared" si="95"/>
        <v/>
      </c>
      <c r="OB7" s="103"/>
      <c r="OC7" s="104"/>
      <c r="OD7" s="105"/>
      <c r="OE7" s="105"/>
      <c r="OF7" s="105"/>
      <c r="OG7" s="109"/>
      <c r="OH7" s="163" t="str">
        <f>IFERROR((((COUNTIF('Elève (3ème4)'!OB7:OG7,"A"))*4)+((COUNTIF('Elève (3ème4)'!OB7:OG7,"B"))*3)+((COUNTIF('Elève (3ème4)'!OB7:OG7,"C"))*2)+((COUNTIF('Elève (3ème4)'!OB7:OG7,"D"))*1))/(COUNTA(OB7:OG7)),"")</f>
        <v/>
      </c>
      <c r="OI7" s="164" t="str">
        <f t="shared" si="96"/>
        <v/>
      </c>
      <c r="OJ7" s="163" t="str">
        <f>IF(COUNT(NT7,NZ7,OH7)=0,"",SUM(NT7,NZ7,OH7)/COUNT(NT7,NZ7,OH7))</f>
        <v/>
      </c>
      <c r="OK7" s="187" t="str">
        <f t="shared" si="97"/>
        <v/>
      </c>
      <c r="OL7" s="103"/>
      <c r="OM7" s="104"/>
      <c r="ON7" s="105"/>
      <c r="OO7" s="163" t="str">
        <f>IFERROR((((COUNTIF('Elève (3ème4)'!OL7:ON7,"A"))*4)+((COUNTIF('Elève (3ème4)'!OL7:ON7,"B"))*3)+((COUNTIF('Elève (3ème4)'!OL7:ON7,"C"))*2)+((COUNTIF('Elève (3ème4)'!OL7:ON7,"D"))*1))/(COUNTA(OL7:ON7)),"")</f>
        <v/>
      </c>
      <c r="OP7" s="164" t="str">
        <f t="shared" si="98"/>
        <v/>
      </c>
      <c r="OQ7" s="103"/>
      <c r="OR7" s="104"/>
      <c r="OS7" s="105"/>
      <c r="OT7" s="105"/>
      <c r="OU7" s="163" t="str">
        <f>IFERROR((((COUNTIF('Elève (3ème4)'!OQ7:OT7,"A"))*4)+((COUNTIF('Elève (3ème4)'!OQ7:OT7,"B"))*3)+((COUNTIF('Elève (3ème4)'!OQ7:OT7,"C"))*2)+((COUNTIF('Elève (3ème4)'!OQ7:OT7,"D"))*1))/(COUNTA(OQ7:OT7)),"")</f>
        <v/>
      </c>
      <c r="OV7" s="164" t="str">
        <f t="shared" si="99"/>
        <v/>
      </c>
      <c r="OW7" s="103"/>
      <c r="OX7" s="104"/>
      <c r="OY7" s="105"/>
      <c r="OZ7" s="105"/>
      <c r="PA7" s="105"/>
      <c r="PB7" s="109"/>
      <c r="PC7" s="163" t="str">
        <f>IFERROR((((COUNTIF('Elève (3ème4)'!OW7:PB7,"A"))*4)+((COUNTIF('Elève (3ème4)'!OW7:PB7,"B"))*3)+((COUNTIF('Elève (3ème4)'!OW7:PB7,"C"))*2)+((COUNTIF('Elève (3ème4)'!OW7:PB7,"D"))*1))/(COUNTA(OW7:PB7)),"")</f>
        <v/>
      </c>
      <c r="PD7" s="164" t="str">
        <f t="shared" si="100"/>
        <v/>
      </c>
      <c r="PE7" s="163" t="str">
        <f>IF(COUNT(OO7,OU7,PC7)=0,"",SUM(OO7,OU7,PC7)/COUNT(OO7,OU7,PC7))</f>
        <v/>
      </c>
      <c r="PF7" s="187" t="str">
        <f t="shared" si="101"/>
        <v/>
      </c>
      <c r="PG7" s="103"/>
      <c r="PH7" s="104"/>
      <c r="PI7" s="105"/>
      <c r="PJ7" s="163" t="str">
        <f>IFERROR((((COUNTIF('Elève (3ème4)'!PG7:PI7,"A"))*4)+((COUNTIF('Elève (3ème4)'!PG7:PI7,"B"))*3)+((COUNTIF('Elève (3ème4)'!PG7:PI7,"C"))*2)+((COUNTIF('Elève (3ème4)'!PG7:PI7,"D"))*1))/(COUNTA(PG7:PI7)),"")</f>
        <v/>
      </c>
      <c r="PK7" s="164" t="str">
        <f t="shared" si="102"/>
        <v/>
      </c>
      <c r="PL7" s="103"/>
      <c r="PM7" s="104"/>
      <c r="PN7" s="105"/>
      <c r="PO7" s="105"/>
      <c r="PP7" s="163" t="str">
        <f>IFERROR((((COUNTIF('Elève (3ème4)'!PL7:PO7,"A"))*4)+((COUNTIF('Elève (3ème4)'!PL7:PO7,"B"))*3)+((COUNTIF('Elève (3ème4)'!PL7:PO7,"C"))*2)+((COUNTIF('Elève (3ème4)'!PL7:PO7,"D"))*1))/(COUNTA(PL7:PO7)),"")</f>
        <v/>
      </c>
      <c r="PQ7" s="164" t="str">
        <f t="shared" si="103"/>
        <v/>
      </c>
      <c r="PR7" s="103"/>
      <c r="PS7" s="104"/>
      <c r="PT7" s="105"/>
      <c r="PU7" s="105"/>
      <c r="PV7" s="105"/>
      <c r="PW7" s="109"/>
      <c r="PX7" s="163" t="str">
        <f>IFERROR((((COUNTIF('Elève (3ème4)'!PR7:PW7,"A"))*4)+((COUNTIF('Elève (3ème4)'!PR7:PW7,"B"))*3)+((COUNTIF('Elève (3ème4)'!PR7:PW7,"C"))*2)+((COUNTIF('Elève (3ème4)'!PR7:PW7,"D"))*1))/(COUNTA(PR7:PW7)),"")</f>
        <v/>
      </c>
      <c r="PY7" s="164" t="str">
        <f t="shared" si="104"/>
        <v/>
      </c>
      <c r="PZ7" s="163" t="str">
        <f>IF(COUNT(PJ7,PP7,PX7)=0,"",SUM(PJ7,PP7,PX7)/COUNT(PJ7,PP7,PX7))</f>
        <v/>
      </c>
      <c r="QA7" s="187" t="str">
        <f t="shared" si="105"/>
        <v/>
      </c>
      <c r="QB7" s="103"/>
      <c r="QC7" s="104"/>
      <c r="QD7" s="105"/>
      <c r="QE7" s="163" t="str">
        <f>IFERROR((((COUNTIF('Elève (3ème4)'!QB7:QD7,"A"))*4)+((COUNTIF('Elève (3ème4)'!QB7:QD7,"B"))*3)+((COUNTIF('Elève (3ème4)'!QB7:QD7,"C"))*2)+((COUNTIF('Elève (3ème4)'!QB7:QD7,"D"))*1))/(COUNTA(QB7:QD7)),"")</f>
        <v/>
      </c>
      <c r="QF7" s="164" t="str">
        <f t="shared" si="106"/>
        <v/>
      </c>
      <c r="QG7" s="103"/>
      <c r="QH7" s="104"/>
      <c r="QI7" s="105"/>
      <c r="QJ7" s="105"/>
      <c r="QK7" s="163" t="str">
        <f>IFERROR((((COUNTIF('Elève (3ème4)'!QG7:QJ7,"A"))*4)+((COUNTIF('Elève (3ème4)'!QG7:QJ7,"B"))*3)+((COUNTIF('Elève (3ème4)'!QG7:QJ7,"C"))*2)+((COUNTIF('Elève (3ème4)'!QG7:QJ7,"D"))*1))/(COUNTA(QG7:QJ7)),"")</f>
        <v/>
      </c>
      <c r="QL7" s="164" t="str">
        <f t="shared" si="107"/>
        <v/>
      </c>
      <c r="QM7" s="103"/>
      <c r="QN7" s="104"/>
      <c r="QO7" s="105"/>
      <c r="QP7" s="105"/>
      <c r="QQ7" s="105"/>
      <c r="QR7" s="109"/>
      <c r="QS7" s="163" t="str">
        <f>IFERROR((((COUNTIF('Elève (3ème4)'!QM7:QR7,"A"))*4)+((COUNTIF('Elève (3ème4)'!QM7:QR7,"B"))*3)+((COUNTIF('Elève (3ème4)'!QM7:QR7,"C"))*2)+((COUNTIF('Elève (3ème4)'!QM7:QR7,"D"))*1))/(COUNTA(QM7:QR7)),"")</f>
        <v/>
      </c>
      <c r="QT7" s="164" t="str">
        <f t="shared" si="108"/>
        <v/>
      </c>
      <c r="QU7" s="163" t="str">
        <f>IF(COUNT(QE7,QK7,QS7)=0,"",SUM(QE7,QK7,QS7)/COUNT(QE7,QK7,QS7))</f>
        <v/>
      </c>
      <c r="QV7" s="187" t="str">
        <f t="shared" si="109"/>
        <v/>
      </c>
      <c r="QW7" s="103"/>
      <c r="QX7" s="104"/>
      <c r="QY7" s="105"/>
      <c r="QZ7" s="163" t="str">
        <f>IFERROR((((COUNTIF('Elève (3ème4)'!QW7:QY7,"A"))*4)+((COUNTIF('Elève (3ème4)'!QW7:QY7,"B"))*3)+((COUNTIF('Elève (3ème4)'!QW7:QY7,"C"))*2)+((COUNTIF('Elève (3ème4)'!QW7:QY7,"D"))*1))/(COUNTA(QW7:QY7)),"")</f>
        <v/>
      </c>
      <c r="RA7" s="164" t="str">
        <f t="shared" si="110"/>
        <v/>
      </c>
      <c r="RB7" s="103"/>
      <c r="RC7" s="104"/>
      <c r="RD7" s="105"/>
      <c r="RE7" s="105"/>
      <c r="RF7" s="163" t="str">
        <f>IFERROR((((COUNTIF('Elève (3ème4)'!RB7:RE7,"A"))*4)+((COUNTIF('Elève (3ème4)'!RB7:RE7,"B"))*3)+((COUNTIF('Elève (3ème4)'!RB7:RE7,"C"))*2)+((COUNTIF('Elève (3ème4)'!RB7:RE7,"D"))*1))/(COUNTA(RB7:RE7)),"")</f>
        <v/>
      </c>
      <c r="RG7" s="164" t="str">
        <f t="shared" si="111"/>
        <v/>
      </c>
      <c r="RH7" s="103"/>
      <c r="RI7" s="104"/>
      <c r="RJ7" s="105"/>
      <c r="RK7" s="105"/>
      <c r="RL7" s="105"/>
      <c r="RM7" s="109"/>
      <c r="RN7" s="163" t="str">
        <f>IFERROR((((COUNTIF('Elève (3ème4)'!RH7:RM7,"A"))*4)+((COUNTIF('Elève (3ème4)'!RH7:RM7,"B"))*3)+((COUNTIF('Elève (3ème4)'!RH7:RM7,"C"))*2)+((COUNTIF('Elève (3ème4)'!RH7:RM7,"D"))*1))/(COUNTA(RH7:RM7)),"")</f>
        <v/>
      </c>
      <c r="RO7" s="164" t="str">
        <f t="shared" si="112"/>
        <v/>
      </c>
      <c r="RP7" s="163" t="str">
        <f>IF(COUNT(QZ7,RF7,RN7)=0,"",SUM(QZ7,RF7,RN7)/COUNT(QZ7,RF7,RN7))</f>
        <v/>
      </c>
      <c r="RQ7" s="187" t="str">
        <f t="shared" si="113"/>
        <v/>
      </c>
      <c r="RR7" s="103"/>
      <c r="RS7" s="104"/>
      <c r="RT7" s="105"/>
      <c r="RU7" s="163" t="str">
        <f>IFERROR((((COUNTIF('Elève (3ème4)'!RR7:RT7,"A"))*4)+((COUNTIF('Elève (3ème4)'!RR7:RT7,"B"))*3)+((COUNTIF('Elève (3ème4)'!RR7:RT7,"C"))*2)+((COUNTIF('Elève (3ème4)'!RR7:RT7,"D"))*1))/(COUNTA(RR7:RT7)),"")</f>
        <v/>
      </c>
      <c r="RV7" s="164" t="str">
        <f t="shared" si="114"/>
        <v/>
      </c>
      <c r="RW7" s="103"/>
      <c r="RX7" s="104"/>
      <c r="RY7" s="105"/>
      <c r="RZ7" s="105"/>
      <c r="SA7" s="163" t="str">
        <f>IFERROR((((COUNTIF('Elève (3ème4)'!RW7:RZ7,"A"))*4)+((COUNTIF('Elève (3ème4)'!RW7:RZ7,"B"))*3)+((COUNTIF('Elève (3ème4)'!RW7:RZ7,"C"))*2)+((COUNTIF('Elève (3ème4)'!RW7:RZ7,"D"))*1))/(COUNTA(RW7:RZ7)),"")</f>
        <v/>
      </c>
      <c r="SB7" s="164" t="str">
        <f t="shared" si="115"/>
        <v/>
      </c>
      <c r="SC7" s="103"/>
      <c r="SD7" s="104"/>
      <c r="SE7" s="105"/>
      <c r="SF7" s="105"/>
      <c r="SG7" s="105"/>
      <c r="SH7" s="109"/>
      <c r="SI7" s="163" t="str">
        <f>IFERROR((((COUNTIF('Elève (3ème4)'!SC7:SH7,"A"))*4)+((COUNTIF('Elève (3ème4)'!SC7:SH7,"B"))*3)+((COUNTIF('Elève (3ème4)'!SC7:SH7,"C"))*2)+((COUNTIF('Elève (3ème4)'!SC7:SH7,"D"))*1))/(COUNTA(SC7:SH7)),"")</f>
        <v/>
      </c>
      <c r="SJ7" s="164" t="str">
        <f t="shared" si="116"/>
        <v/>
      </c>
      <c r="SK7" s="163" t="str">
        <f>IF(COUNT(RU7,SA7,SI7)=0,"",SUM(RU7,SA7,SI7)/COUNT(RU7,SA7,SI7))</f>
        <v/>
      </c>
      <c r="SL7" s="187" t="str">
        <f t="shared" si="117"/>
        <v/>
      </c>
      <c r="SM7" s="103"/>
      <c r="SN7" s="104"/>
      <c r="SO7" s="105"/>
      <c r="SP7" s="106" t="str">
        <f>IFERROR((((COUNTIF('Elève (3ème4)'!SM7:SO7,"A"))*4)+((COUNTIF('Elève (3ème4)'!SM7:SO7,"B"))*3)+((COUNTIF('Elève (3ème4)'!SM7:SO7,"C"))*2)+((COUNTIF('Elève (3ème4)'!SM7:SO7,"D"))*1))/(COUNTA(SM7:SO7)),"")</f>
        <v/>
      </c>
      <c r="SQ7" s="107" t="str">
        <f t="shared" si="118"/>
        <v/>
      </c>
      <c r="SR7" s="103"/>
      <c r="SS7" s="104"/>
      <c r="ST7" s="105"/>
      <c r="SU7" s="106" t="str">
        <f>IFERROR((((COUNTIF('Elève (3ème4)'!SR7:ST7,"A"))*4)+((COUNTIF('Elève (3ème4)'!SR7:ST7,"B"))*3)+((COUNTIF('Elève (3ème4)'!SR7:ST7,"C"))*2)+((COUNTIF('Elève (3ème4)'!SR7:ST7,"D"))*1))/(COUNTA(SR7:ST7)),"")</f>
        <v/>
      </c>
      <c r="SV7" s="107" t="str">
        <f t="shared" si="119"/>
        <v/>
      </c>
      <c r="SW7" s="103"/>
      <c r="SX7" s="104"/>
      <c r="SY7" s="109"/>
      <c r="SZ7" s="106" t="str">
        <f>IFERROR((((COUNTIF('Elève (3ème4)'!SW7:SY7,"A"))*4)+((COUNTIF('Elève (3ème4)'!SW7:SY7,"B"))*3)+((COUNTIF('Elève (3ème4)'!SW7:SY7,"C"))*2)+((COUNTIF('Elève (3ème4)'!SW7:SY7,"D"))*1))/(COUNTA(SW7:SY7)),"")</f>
        <v/>
      </c>
      <c r="TA7" s="107" t="str">
        <f t="shared" si="120"/>
        <v/>
      </c>
      <c r="TB7" s="106" t="str">
        <f>IF(COUNT(SP7,SU7,SZ7)=0,"",SUM(SP7,SU7,SZ7)/COUNT(SP7,SU7,SZ7))</f>
        <v/>
      </c>
      <c r="TC7" s="108" t="str">
        <f t="shared" si="121"/>
        <v/>
      </c>
      <c r="TD7" s="103"/>
      <c r="TE7" s="104"/>
      <c r="TF7" s="105"/>
      <c r="TG7" s="106" t="str">
        <f>IFERROR((((COUNTIF('Elève (3ème4)'!TD7:TF7,"A"))*4)+((COUNTIF('Elève (3ème4)'!TD7:TF7,"B"))*3)+((COUNTIF('Elève (3ème4)'!TD7:TF7,"C"))*2)+((COUNTIF('Elève (3ème4)'!TD7:TF7,"D"))*1))/(COUNTA(TD7:TF7)),"")</f>
        <v/>
      </c>
      <c r="TH7" s="107" t="str">
        <f t="shared" si="122"/>
        <v/>
      </c>
      <c r="TI7" s="103"/>
      <c r="TJ7" s="104"/>
      <c r="TK7" s="105"/>
      <c r="TL7" s="106" t="str">
        <f>IFERROR((((COUNTIF('Elève (3ème4)'!TI7:TK7,"A"))*4)+((COUNTIF('Elève (3ème4)'!TI7:TK7,"B"))*3)+((COUNTIF('Elève (3ème4)'!TI7:TK7,"C"))*2)+((COUNTIF('Elève (3ème4)'!TI7:TK7,"D"))*1))/(COUNTA(TI7:TK7)),"")</f>
        <v/>
      </c>
      <c r="TM7" s="107" t="str">
        <f t="shared" si="123"/>
        <v/>
      </c>
      <c r="TN7" s="103"/>
      <c r="TO7" s="104"/>
      <c r="TP7" s="109"/>
      <c r="TQ7" s="106" t="str">
        <f>IFERROR((((COUNTIF('Elève (3ème4)'!TN7:TP7,"A"))*4)+((COUNTIF('Elève (3ème4)'!TN7:TP7,"B"))*3)+((COUNTIF('Elève (3ème4)'!TN7:TP7,"C"))*2)+((COUNTIF('Elève (3ème4)'!TN7:TP7,"D"))*1))/(COUNTA(TN7:TP7)),"")</f>
        <v/>
      </c>
      <c r="TR7" s="107" t="str">
        <f t="shared" si="124"/>
        <v/>
      </c>
      <c r="TS7" s="106" t="str">
        <f>IF(COUNT(TG7,TL7,TQ7)=0,"",SUM(TG7,TL7,TQ7)/COUNT(TG7,TL7,TQ7))</f>
        <v/>
      </c>
      <c r="TT7" s="108" t="str">
        <f t="shared" si="125"/>
        <v/>
      </c>
      <c r="TU7" s="103"/>
      <c r="TV7" s="104"/>
      <c r="TW7" s="105"/>
      <c r="TX7" s="106" t="str">
        <f>IFERROR((((COUNTIF('Elève (3ème4)'!TU7:TW7,"A"))*4)+((COUNTIF('Elève (3ème4)'!TU7:TW7,"B"))*3)+((COUNTIF('Elève (3ème4)'!TU7:TW7,"C"))*2)+((COUNTIF('Elève (3ème4)'!TU7:TW7,"D"))*1))/(COUNTA(TU7:TW7)),"")</f>
        <v/>
      </c>
      <c r="TY7" s="107" t="str">
        <f t="shared" si="126"/>
        <v/>
      </c>
      <c r="TZ7" s="103"/>
      <c r="UA7" s="104"/>
      <c r="UB7" s="105"/>
      <c r="UC7" s="106" t="str">
        <f>IFERROR((((COUNTIF('Elève (3ème4)'!TZ7:UB7,"A"))*4)+((COUNTIF('Elève (3ème4)'!TZ7:UB7,"B"))*3)+((COUNTIF('Elève (3ème4)'!TZ7:UB7,"C"))*2)+((COUNTIF('Elève (3ème4)'!TZ7:UB7,"D"))*1))/(COUNTA(TZ7:UB7)),"")</f>
        <v/>
      </c>
      <c r="UD7" s="107" t="str">
        <f t="shared" si="127"/>
        <v/>
      </c>
      <c r="UE7" s="103"/>
      <c r="UF7" s="104"/>
      <c r="UG7" s="109"/>
      <c r="UH7" s="106" t="str">
        <f>IFERROR((((COUNTIF('Elève (3ème4)'!UE7:UG7,"A"))*4)+((COUNTIF('Elève (3ème4)'!UE7:UG7,"B"))*3)+((COUNTIF('Elève (3ème4)'!UE7:UG7,"C"))*2)+((COUNTIF('Elève (3ème4)'!UE7:UG7,"D"))*1))/(COUNTA(UE7:UG7)),"")</f>
        <v/>
      </c>
      <c r="UI7" s="107" t="str">
        <f t="shared" si="128"/>
        <v/>
      </c>
      <c r="UJ7" s="106" t="str">
        <f>IF(COUNT(TX7,UC7,UH7)=0,"",SUM(TX7,UC7,UH7)/COUNT(TX7,UC7,UH7))</f>
        <v/>
      </c>
      <c r="UK7" s="108" t="str">
        <f t="shared" si="129"/>
        <v/>
      </c>
      <c r="UL7" s="103"/>
      <c r="UM7" s="104"/>
      <c r="UN7" s="105"/>
      <c r="UO7" s="106" t="str">
        <f>IFERROR((((COUNTIF('Elève (3ème4)'!UL7:UN7,"A"))*4)+((COUNTIF('Elève (3ème4)'!UL7:UN7,"B"))*3)+((COUNTIF('Elève (3ème4)'!UL7:UN7,"C"))*2)+((COUNTIF('Elève (3ème4)'!UL7:UN7,"D"))*1))/(COUNTA(UL7:UN7)),"")</f>
        <v/>
      </c>
      <c r="UP7" s="107" t="str">
        <f t="shared" si="130"/>
        <v/>
      </c>
      <c r="UQ7" s="103"/>
      <c r="UR7" s="104"/>
      <c r="US7" s="105"/>
      <c r="UT7" s="106" t="str">
        <f>IFERROR((((COUNTIF('Elève (3ème4)'!UQ7:US7,"A"))*4)+((COUNTIF('Elève (3ème4)'!UQ7:US7,"B"))*3)+((COUNTIF('Elève (3ème4)'!UQ7:US7,"C"))*2)+((COUNTIF('Elève (3ème4)'!UQ7:US7,"D"))*1))/(COUNTA(UQ7:US7)),"")</f>
        <v/>
      </c>
      <c r="UU7" s="107" t="str">
        <f t="shared" si="131"/>
        <v/>
      </c>
      <c r="UV7" s="103"/>
      <c r="UW7" s="104"/>
      <c r="UX7" s="109"/>
      <c r="UY7" s="106" t="str">
        <f>IFERROR((((COUNTIF('Elève (3ème4)'!UV7:UX7,"A"))*4)+((COUNTIF('Elève (3ème4)'!UV7:UX7,"B"))*3)+((COUNTIF('Elève (3ème4)'!UV7:UX7,"C"))*2)+((COUNTIF('Elève (3ème4)'!UV7:UX7,"D"))*1))/(COUNTA(UV7:UX7)),"")</f>
        <v/>
      </c>
      <c r="UZ7" s="107" t="str">
        <f t="shared" si="132"/>
        <v/>
      </c>
      <c r="VA7" s="106" t="str">
        <f>IF(COUNT(UO7,UT7,UY7)=0,"",SUM(UO7,UT7,UY7)/COUNT(UO7,UT7,UY7))</f>
        <v/>
      </c>
      <c r="VB7" s="108" t="str">
        <f t="shared" si="133"/>
        <v/>
      </c>
      <c r="VC7" s="103"/>
      <c r="VD7" s="104"/>
      <c r="VE7" s="105"/>
      <c r="VF7" s="106" t="str">
        <f>IFERROR((((COUNTIF('Elève (3ème4)'!VC7:VE7,"A"))*4)+((COUNTIF('Elève (3ème4)'!VC7:VE7,"B"))*3)+((COUNTIF('Elève (3ème4)'!VC7:VE7,"C"))*2)+((COUNTIF('Elève (3ème4)'!VC7:VE7,"D"))*1))/(COUNTA(VC7:VE7)),"")</f>
        <v/>
      </c>
      <c r="VG7" s="107" t="str">
        <f t="shared" si="134"/>
        <v/>
      </c>
      <c r="VH7" s="103"/>
      <c r="VI7" s="104"/>
      <c r="VJ7" s="105"/>
      <c r="VK7" s="106" t="str">
        <f>IFERROR((((COUNTIF('Elève (3ème4)'!VH7:VJ7,"A"))*4)+((COUNTIF('Elève (3ème4)'!VH7:VJ7,"B"))*3)+((COUNTIF('Elève (3ème4)'!VH7:VJ7,"C"))*2)+((COUNTIF('Elève (3ème4)'!VH7:VJ7,"D"))*1))/(COUNTA(VH7:VJ7)),"")</f>
        <v/>
      </c>
      <c r="VL7" s="107" t="str">
        <f t="shared" si="135"/>
        <v/>
      </c>
      <c r="VM7" s="103"/>
      <c r="VN7" s="104"/>
      <c r="VO7" s="109"/>
      <c r="VP7" s="106" t="str">
        <f>IFERROR((((COUNTIF('Elève (3ème4)'!VM7:VO7,"A"))*4)+((COUNTIF('Elève (3ème4)'!VM7:VO7,"B"))*3)+((COUNTIF('Elève (3ème4)'!VM7:VO7,"C"))*2)+((COUNTIF('Elève (3ème4)'!VM7:VO7,"D"))*1))/(COUNTA(VM7:VO7)),"")</f>
        <v/>
      </c>
      <c r="VQ7" s="107" t="str">
        <f t="shared" si="136"/>
        <v/>
      </c>
      <c r="VR7" s="106" t="str">
        <f>IF(COUNT(VF7,VK7,VP7)=0,"",SUM(VF7,VK7,VP7)/COUNT(VF7,VK7,VP7))</f>
        <v/>
      </c>
      <c r="VS7" s="108" t="str">
        <f t="shared" si="137"/>
        <v/>
      </c>
      <c r="VT7" s="103"/>
      <c r="VU7" s="104"/>
      <c r="VV7" s="105"/>
      <c r="VW7" s="106" t="str">
        <f>IFERROR((((COUNTIF('Elève (3ème4)'!VT7:VV7,"A"))*4)+((COUNTIF('Elève (3ème4)'!VT7:VV7,"B"))*3)+((COUNTIF('Elève (3ème4)'!VT7:VV7,"C"))*2)+((COUNTIF('Elève (3ème4)'!VT7:VV7,"D"))*1))/(COUNTA(VT7:VV7)),"")</f>
        <v/>
      </c>
      <c r="VX7" s="107" t="str">
        <f t="shared" si="138"/>
        <v/>
      </c>
      <c r="VY7" s="103"/>
      <c r="VZ7" s="104"/>
      <c r="WA7" s="105"/>
      <c r="WB7" s="106" t="str">
        <f>IFERROR((((COUNTIF('Elève (3ème4)'!VY7:WA7,"A"))*4)+((COUNTIF('Elève (3ème4)'!VY7:WA7,"B"))*3)+((COUNTIF('Elève (3ème4)'!VY7:WA7,"C"))*2)+((COUNTIF('Elève (3ème4)'!VY7:WA7,"D"))*1))/(COUNTA(VY7:WA7)),"")</f>
        <v/>
      </c>
      <c r="WC7" s="107" t="str">
        <f t="shared" si="139"/>
        <v/>
      </c>
      <c r="WD7" s="103"/>
      <c r="WE7" s="104"/>
      <c r="WF7" s="109"/>
      <c r="WG7" s="106" t="str">
        <f>IFERROR((((COUNTIF('Elève (3ème4)'!WD7:WF7,"A"))*4)+((COUNTIF('Elève (3ème4)'!WD7:WF7,"B"))*3)+((COUNTIF('Elève (3ème4)'!WD7:WF7,"C"))*2)+((COUNTIF('Elève (3ème4)'!WD7:WF7,"D"))*1))/(COUNTA(WD7:WF7)),"")</f>
        <v/>
      </c>
      <c r="WH7" s="107" t="str">
        <f t="shared" si="140"/>
        <v/>
      </c>
      <c r="WI7" s="106" t="str">
        <f>IF(COUNT(VW7,WB7,WG7)=0,"",SUM(VW7,WB7,WG7)/COUNT(VW7,WB7,WG7))</f>
        <v/>
      </c>
      <c r="WJ7" s="108" t="str">
        <f t="shared" si="141"/>
        <v/>
      </c>
    </row>
    <row r="8" spans="1:608" ht="18" customHeight="1" x14ac:dyDescent="0.55000000000000004">
      <c r="A8" s="221" t="s">
        <v>15</v>
      </c>
      <c r="B8" s="222"/>
      <c r="C8" s="103"/>
      <c r="D8" s="104"/>
      <c r="E8" s="105"/>
      <c r="F8" s="163" t="str">
        <f>IFERROR((((COUNTIF('Elève (3ème4)'!C8:E8,"A"))*4)+((COUNTIF('Elève (3ème4)'!C8:E8,"B"))*3)+((COUNTIF('Elève (3ème4)'!C8:E8,"C"))*2)+((COUNTIF('Elève (3ème4)'!C8:E8,"D"))*1))/(COUNTA(C8:E8)),"")</f>
        <v/>
      </c>
      <c r="G8" s="164" t="str">
        <f t="shared" si="22"/>
        <v/>
      </c>
      <c r="H8" s="103"/>
      <c r="I8" s="104"/>
      <c r="J8" s="105"/>
      <c r="K8" s="105"/>
      <c r="L8" s="163" t="str">
        <f>IFERROR((((COUNTIF('Elève (3ème4)'!H8:K8,"A"))*4)+((COUNTIF('Elève (3ème4)'!H8:K8,"B"))*3)+((COUNTIF('Elève (3ème4)'!H8:K8,"C"))*2)+((COUNTIF('Elève (3ème4)'!H8:K8,"D"))*1))/(COUNTA(H8:K8)),"")</f>
        <v/>
      </c>
      <c r="M8" s="164" t="str">
        <f t="shared" si="23"/>
        <v/>
      </c>
      <c r="N8" s="103"/>
      <c r="O8" s="104" t="s">
        <v>27</v>
      </c>
      <c r="P8" s="105" t="s">
        <v>29</v>
      </c>
      <c r="Q8" s="105"/>
      <c r="R8" s="105"/>
      <c r="S8" s="105"/>
      <c r="T8" s="163">
        <f>IFERROR((((COUNTIF('Elève (3ème4)'!N8:S8,"A"))*4)+((COUNTIF('Elève (3ème4)'!N8:S8,"B"))*3)+((COUNTIF('Elève (3ème4)'!N8:S8,"C"))*2)+((COUNTIF('Elève (3ème4)'!N8:S8,"D"))*1))/(COUNTA(N8:S8)),"")</f>
        <v>3</v>
      </c>
      <c r="U8" s="164" t="str">
        <f t="shared" si="24"/>
        <v>B</v>
      </c>
      <c r="V8" s="163">
        <f>IF(COUNT(F8,L8,T8)=0,"",SUM(F8,L8,T8)/COUNT(F8,L8,T8))</f>
        <v>3</v>
      </c>
      <c r="W8" s="187" t="str">
        <f t="shared" si="25"/>
        <v>B</v>
      </c>
      <c r="X8" s="103"/>
      <c r="Y8" s="104"/>
      <c r="Z8" s="105"/>
      <c r="AA8" s="163" t="str">
        <f>IFERROR((((COUNTIF('Elève (3ème4)'!X8:Z8,"A"))*4)+((COUNTIF('Elève (3ème4)'!X8:Z8,"B"))*3)+((COUNTIF('Elève (3ème4)'!X8:Z8,"C"))*2)+((COUNTIF('Elève (3ème4)'!X8:Z8,"D"))*1))/(COUNTA(X8:Z8)),"")</f>
        <v/>
      </c>
      <c r="AB8" s="164" t="str">
        <f t="shared" si="26"/>
        <v/>
      </c>
      <c r="AC8" s="103"/>
      <c r="AD8" s="104"/>
      <c r="AE8" s="105"/>
      <c r="AF8" s="105"/>
      <c r="AG8" s="163" t="str">
        <f>IFERROR((((COUNTIF('Elève (3ème4)'!AC8:AF8,"A"))*4)+((COUNTIF('Elève (3ème4)'!AC8:AF8,"B"))*3)+((COUNTIF('Elève (3ème4)'!AC8:AF8,"C"))*2)+((COUNTIF('Elève (3ème4)'!AC8:AF8,"D"))*1))/(COUNTA(AC8:AF8)),"")</f>
        <v/>
      </c>
      <c r="AH8" s="164" t="str">
        <f t="shared" si="27"/>
        <v/>
      </c>
      <c r="AI8" s="103"/>
      <c r="AJ8" s="104"/>
      <c r="AK8" s="105"/>
      <c r="AL8" s="105"/>
      <c r="AM8" s="105"/>
      <c r="AN8" s="109"/>
      <c r="AO8" s="163" t="str">
        <f>IFERROR((((COUNTIF('Elève (3ème4)'!AI8:AN8,"A"))*4)+((COUNTIF('Elève (3ème4)'!AI8:AN8,"B"))*3)+((COUNTIF('Elève (3ème4)'!AI8:AN8,"C"))*2)+((COUNTIF('Elève (3ème4)'!AI8:AN8,"D"))*1))/(COUNTA(AI8:AN8)),"")</f>
        <v/>
      </c>
      <c r="AP8" s="164" t="str">
        <f t="shared" si="28"/>
        <v/>
      </c>
      <c r="AQ8" s="163" t="str">
        <f>IF(COUNT(AA8,AG8,AO8)=0,"",SUM(AA8,AG8,AO8)/COUNT(AA8,AG8,AO8))</f>
        <v/>
      </c>
      <c r="AR8" s="187" t="str">
        <f t="shared" si="29"/>
        <v/>
      </c>
      <c r="AS8" s="103"/>
      <c r="AT8" s="104"/>
      <c r="AU8" s="105"/>
      <c r="AV8" s="163" t="str">
        <f>IFERROR((((COUNTIF('Elève (3ème4)'!AS8:AU8,"A"))*4)+((COUNTIF('Elève (3ème4)'!AS8:AU8,"B"))*3)+((COUNTIF('Elève (3ème4)'!AS8:AU8,"C"))*2)+((COUNTIF('Elève (3ème4)'!AS8:AU8,"D"))*1))/(COUNTA(AS8:AU8)),"")</f>
        <v/>
      </c>
      <c r="AW8" s="164" t="str">
        <f t="shared" si="30"/>
        <v/>
      </c>
      <c r="AX8" s="103"/>
      <c r="AY8" s="104"/>
      <c r="AZ8" s="105"/>
      <c r="BA8" s="105"/>
      <c r="BB8" s="163" t="str">
        <f>IFERROR((((COUNTIF('Elève (3ème4)'!AX8:BA8,"A"))*4)+((COUNTIF('Elève (3ème4)'!AX8:BA8,"B"))*3)+((COUNTIF('Elève (3ème4)'!AX8:BA8,"C"))*2)+((COUNTIF('Elève (3ème4)'!AX8:BA8,"D"))*1))/(COUNTA(AX8:BA8)),"")</f>
        <v/>
      </c>
      <c r="BC8" s="164" t="str">
        <f t="shared" si="31"/>
        <v/>
      </c>
      <c r="BD8" s="103"/>
      <c r="BE8" s="104" t="s">
        <v>30</v>
      </c>
      <c r="BF8" s="105"/>
      <c r="BG8" s="105"/>
      <c r="BH8" s="105"/>
      <c r="BI8" s="109"/>
      <c r="BJ8" s="163">
        <f>IFERROR((((COUNTIF('Elève (3ème4)'!BD8:BI8,"A"))*4)+((COUNTIF('Elève (3ème4)'!BD8:BI8,"B"))*3)+((COUNTIF('Elève (3ème4)'!BD8:BI8,"C"))*2)+((COUNTIF('Elève (3ème4)'!BD8:BI8,"D"))*1))/(COUNTA(BD8:BI8)),"")</f>
        <v>1</v>
      </c>
      <c r="BK8" s="164" t="str">
        <f t="shared" si="32"/>
        <v>D</v>
      </c>
      <c r="BL8" s="163">
        <f>IF(COUNT(AV8,BB8,BJ8)=0,"",SUM(AV8,BB8,BJ8)/COUNT(AV8,BB8,BJ8))</f>
        <v>1</v>
      </c>
      <c r="BM8" s="187" t="str">
        <f t="shared" si="33"/>
        <v>D</v>
      </c>
      <c r="BN8" s="103"/>
      <c r="BO8" s="104"/>
      <c r="BP8" s="105"/>
      <c r="BQ8" s="163" t="str">
        <f>IFERROR((((COUNTIF('Elève (3ème4)'!BN8:BP8,"A"))*4)+((COUNTIF('Elève (3ème4)'!BN8:BP8,"B"))*3)+((COUNTIF('Elève (3ème4)'!BN8:BP8,"C"))*2)+((COUNTIF('Elève (3ème4)'!BN8:BP8,"D"))*1))/(COUNTA(BN8:BP8)),"")</f>
        <v/>
      </c>
      <c r="BR8" s="164" t="str">
        <f t="shared" si="34"/>
        <v/>
      </c>
      <c r="BS8" s="103"/>
      <c r="BT8" s="104"/>
      <c r="BU8" s="105"/>
      <c r="BV8" s="105"/>
      <c r="BW8" s="163" t="str">
        <f>IFERROR((((COUNTIF('Elève (3ème4)'!BS8:BV8,"A"))*4)+((COUNTIF('Elève (3ème4)'!BS8:BV8,"B"))*3)+((COUNTIF('Elève (3ème4)'!BS8:BV8,"C"))*2)+((COUNTIF('Elève (3ème4)'!BS8:BV8,"D"))*1))/(COUNTA(BS8:BV8)),"")</f>
        <v/>
      </c>
      <c r="BX8" s="164" t="str">
        <f t="shared" si="35"/>
        <v/>
      </c>
      <c r="BY8" s="103"/>
      <c r="BZ8" s="104" t="s">
        <v>30</v>
      </c>
      <c r="CA8" s="105"/>
      <c r="CB8" s="105"/>
      <c r="CC8" s="105"/>
      <c r="CD8" s="109"/>
      <c r="CE8" s="163">
        <f>IFERROR((((COUNTIF('Elève (3ème4)'!BY8:CD8,"A"))*4)+((COUNTIF('Elève (3ème4)'!BY8:CD8,"B"))*3)+((COUNTIF('Elève (3ème4)'!BY8:CD8,"C"))*2)+((COUNTIF('Elève (3ème4)'!BY8:CD8,"D"))*1))/(COUNTA(BY8:CD8)),"")</f>
        <v>1</v>
      </c>
      <c r="CF8" s="164" t="str">
        <f t="shared" si="36"/>
        <v>D</v>
      </c>
      <c r="CG8" s="163">
        <f>IF(COUNT(BQ8,BW8,CE8)=0,"",SUM(BQ8,BW8,CE8)/COUNT(BQ8,BW8,CE8))</f>
        <v>1</v>
      </c>
      <c r="CH8" s="187" t="str">
        <f t="shared" si="37"/>
        <v>D</v>
      </c>
      <c r="CI8" s="103"/>
      <c r="CJ8" s="104"/>
      <c r="CK8" s="105"/>
      <c r="CL8" s="163" t="str">
        <f>IFERROR((((COUNTIF('Elève (3ème4)'!CI8:CK8,"A"))*4)+((COUNTIF('Elève (3ème4)'!CI8:CK8,"B"))*3)+((COUNTIF('Elève (3ème4)'!CI8:CK8,"C"))*2)+((COUNTIF('Elève (3ème4)'!CI8:CK8,"D"))*1))/(COUNTA(CI8:CK8)),"")</f>
        <v/>
      </c>
      <c r="CM8" s="164" t="str">
        <f t="shared" si="38"/>
        <v/>
      </c>
      <c r="CN8" s="103"/>
      <c r="CO8" s="104"/>
      <c r="CP8" s="105"/>
      <c r="CQ8" s="105"/>
      <c r="CR8" s="163" t="str">
        <f>IFERROR((((COUNTIF('Elève (3ème4)'!CN8:CQ8,"A"))*4)+((COUNTIF('Elève (3ème4)'!CN8:CQ8,"B"))*3)+((COUNTIF('Elève (3ème4)'!CN8:CQ8,"C"))*2)+((COUNTIF('Elève (3ème4)'!CN8:CQ8,"D"))*1))/(COUNTA(CN8:CQ8)),"")</f>
        <v/>
      </c>
      <c r="CS8" s="164" t="str">
        <f t="shared" si="39"/>
        <v/>
      </c>
      <c r="CT8" s="103"/>
      <c r="CU8" s="104" t="s">
        <v>30</v>
      </c>
      <c r="CV8" s="105" t="s">
        <v>28</v>
      </c>
      <c r="CW8" s="105"/>
      <c r="CX8" s="105"/>
      <c r="CY8" s="109"/>
      <c r="CZ8" s="163">
        <f>IFERROR((((COUNTIF('Elève (3ème4)'!CT8:CY8,"A"))*4)+((COUNTIF('Elève (3ème4)'!CT8:CY8,"B"))*3)+((COUNTIF('Elève (3ème4)'!CT8:CY8,"C"))*2)+((COUNTIF('Elève (3ème4)'!CT8:CY8,"D"))*1))/(COUNTA(CT8:CY8)),"")</f>
        <v>2</v>
      </c>
      <c r="DA8" s="164" t="str">
        <f t="shared" si="40"/>
        <v>C</v>
      </c>
      <c r="DB8" s="163">
        <f>IF(COUNT(CL8,CR8,CZ8)=0,"",SUM(CL8,CR8,CZ8)/COUNT(CL8,CR8,CZ8))</f>
        <v>2</v>
      </c>
      <c r="DC8" s="187" t="str">
        <f t="shared" si="41"/>
        <v>C</v>
      </c>
      <c r="DD8" s="103"/>
      <c r="DE8" s="104"/>
      <c r="DF8" s="105"/>
      <c r="DG8" s="163" t="str">
        <f>IFERROR((((COUNTIF('Elève (3ème4)'!DD8:DF8,"A"))*4)+((COUNTIF('Elève (3ème4)'!DD8:DF8,"B"))*3)+((COUNTIF('Elève (3ème4)'!DD8:DF8,"C"))*2)+((COUNTIF('Elève (3ème4)'!DD8:DF8,"D"))*1))/(COUNTA(DD8:DF8)),"")</f>
        <v/>
      </c>
      <c r="DH8" s="164" t="str">
        <f t="shared" si="42"/>
        <v/>
      </c>
      <c r="DI8" s="103"/>
      <c r="DJ8" s="104"/>
      <c r="DK8" s="105"/>
      <c r="DL8" s="105"/>
      <c r="DM8" s="163" t="str">
        <f>IFERROR((((COUNTIF('Elève (3ème4)'!DI8:DL8,"A"))*4)+((COUNTIF('Elève (3ème4)'!DI8:DL8,"B"))*3)+((COUNTIF('Elève (3ème4)'!DI8:DL8,"C"))*2)+((COUNTIF('Elève (3ème4)'!DI8:DL8,"D"))*1))/(COUNTA(DI8:DL8)),"")</f>
        <v/>
      </c>
      <c r="DN8" s="164" t="str">
        <f t="shared" si="43"/>
        <v/>
      </c>
      <c r="DO8" s="103"/>
      <c r="DP8" s="104" t="s">
        <v>30</v>
      </c>
      <c r="DQ8" s="105" t="s">
        <v>28</v>
      </c>
      <c r="DR8" s="105"/>
      <c r="DS8" s="105"/>
      <c r="DT8" s="109"/>
      <c r="DU8" s="163">
        <f>IFERROR((((COUNTIF('Elève (3ème4)'!DO8:DT8,"A"))*4)+((COUNTIF('Elève (3ème4)'!DO8:DT8,"B"))*3)+((COUNTIF('Elève (3ème4)'!DO8:DT8,"C"))*2)+((COUNTIF('Elève (3ème4)'!DO8:DT8,"D"))*1))/(COUNTA(DO8:DT8)),"")</f>
        <v>2</v>
      </c>
      <c r="DV8" s="164" t="str">
        <f t="shared" si="44"/>
        <v>C</v>
      </c>
      <c r="DW8" s="163">
        <f>IF(COUNT(DG8,DM8,DU8)=0,"",SUM(DG8,DM8,DU8)/COUNT(DG8,DM8,DU8))</f>
        <v>2</v>
      </c>
      <c r="DX8" s="187" t="str">
        <f t="shared" si="45"/>
        <v>C</v>
      </c>
      <c r="DY8" s="103"/>
      <c r="DZ8" s="104"/>
      <c r="EA8" s="105"/>
      <c r="EB8" s="163" t="str">
        <f>IFERROR((((COUNTIF('Elève (3ème4)'!DY8:EA8,"A"))*4)+((COUNTIF('Elève (3ème4)'!DY8:EA8,"B"))*3)+((COUNTIF('Elève (3ème4)'!DY8:EA8,"C"))*2)+((COUNTIF('Elève (3ème4)'!DY8:EA8,"D"))*1))/(COUNTA(DY8:EA8)),"")</f>
        <v/>
      </c>
      <c r="EC8" s="164" t="str">
        <f t="shared" si="46"/>
        <v/>
      </c>
      <c r="ED8" s="103"/>
      <c r="EE8" s="104"/>
      <c r="EF8" s="105"/>
      <c r="EG8" s="105"/>
      <c r="EH8" s="163" t="str">
        <f>IFERROR((((COUNTIF('Elève (3ème4)'!ED8:EG8,"A"))*4)+((COUNTIF('Elève (3ème4)'!ED8:EG8,"B"))*3)+((COUNTIF('Elève (3ème4)'!ED8:EG8,"C"))*2)+((COUNTIF('Elève (3ème4)'!ED8:EG8,"D"))*1))/(COUNTA(ED8:EG8)),"")</f>
        <v/>
      </c>
      <c r="EI8" s="164" t="str">
        <f t="shared" si="47"/>
        <v/>
      </c>
      <c r="EJ8" s="103"/>
      <c r="EK8" s="104" t="s">
        <v>28</v>
      </c>
      <c r="EL8" s="105" t="s">
        <v>29</v>
      </c>
      <c r="EM8" s="105"/>
      <c r="EN8" s="105"/>
      <c r="EO8" s="109"/>
      <c r="EP8" s="163">
        <f>IFERROR((((COUNTIF('Elève (3ème4)'!EJ8:EO8,"A"))*4)+((COUNTIF('Elève (3ème4)'!EJ8:EO8,"B"))*3)+((COUNTIF('Elève (3ème4)'!EJ8:EO8,"C"))*2)+((COUNTIF('Elève (3ème4)'!EJ8:EO8,"D"))*1))/(COUNTA(EJ8:EO8)),"")</f>
        <v>2.5</v>
      </c>
      <c r="EQ8" s="164" t="str">
        <f t="shared" si="48"/>
        <v>C</v>
      </c>
      <c r="ER8" s="163">
        <f>IF(COUNT(EB8,EH8,EP8)=0,"",SUM(EB8,EH8,EP8)/COUNT(EB8,EH8,EP8))</f>
        <v>2.5</v>
      </c>
      <c r="ES8" s="187" t="str">
        <f t="shared" si="49"/>
        <v>C</v>
      </c>
      <c r="ET8" s="103"/>
      <c r="EU8" s="104"/>
      <c r="EV8" s="105"/>
      <c r="EW8" s="163" t="str">
        <f>IFERROR((((COUNTIF('Elève (3ème4)'!ET8:EV8,"A"))*4)+((COUNTIF('Elève (3ème4)'!ET8:EV8,"B"))*3)+((COUNTIF('Elève (3ème4)'!ET8:EV8,"C"))*2)+((COUNTIF('Elève (3ème4)'!ET8:EV8,"D"))*1))/(COUNTA(ET8:EV8)),"")</f>
        <v/>
      </c>
      <c r="EX8" s="164" t="str">
        <f t="shared" si="50"/>
        <v/>
      </c>
      <c r="EY8" s="103"/>
      <c r="EZ8" s="104"/>
      <c r="FA8" s="105"/>
      <c r="FB8" s="105"/>
      <c r="FC8" s="163" t="str">
        <f>IFERROR((((COUNTIF('Elève (3ème4)'!EY8:FB8,"A"))*4)+((COUNTIF('Elève (3ème4)'!EY8:FB8,"B"))*3)+((COUNTIF('Elève (3ème4)'!EY8:FB8,"C"))*2)+((COUNTIF('Elève (3ème4)'!EY8:FB8,"D"))*1))/(COUNTA(EY8:FB8)),"")</f>
        <v/>
      </c>
      <c r="FD8" s="164" t="str">
        <f t="shared" si="51"/>
        <v/>
      </c>
      <c r="FE8" s="103"/>
      <c r="FF8" s="104" t="s">
        <v>29</v>
      </c>
      <c r="FG8" s="105"/>
      <c r="FH8" s="105"/>
      <c r="FI8" s="105"/>
      <c r="FJ8" s="109"/>
      <c r="FK8" s="163">
        <f>IFERROR((((COUNTIF('Elève (3ème4)'!FE8:FJ8,"A"))*4)+((COUNTIF('Elève (3ème4)'!FE8:FJ8,"B"))*3)+((COUNTIF('Elève (3ème4)'!FE8:FJ8,"C"))*2)+((COUNTIF('Elève (3ème4)'!FE8:FJ8,"D"))*1))/(COUNTA(FE8:FJ8)),"")</f>
        <v>2</v>
      </c>
      <c r="FL8" s="164" t="str">
        <f t="shared" si="52"/>
        <v>C</v>
      </c>
      <c r="FM8" s="163">
        <f>IF(COUNT(EW8,FC8,FK8)=0,"",SUM(EW8,FC8,FK8)/COUNT(EW8,FC8,FK8))</f>
        <v>2</v>
      </c>
      <c r="FN8" s="187" t="str">
        <f t="shared" si="53"/>
        <v>C</v>
      </c>
      <c r="FO8" s="103"/>
      <c r="FP8" s="104"/>
      <c r="FQ8" s="105"/>
      <c r="FR8" s="163" t="str">
        <f>IFERROR((((COUNTIF('Elève (3ème4)'!FO8:FQ8,"A"))*4)+((COUNTIF('Elève (3ème4)'!FO8:FQ8,"B"))*3)+((COUNTIF('Elève (3ème4)'!FO8:FQ8,"C"))*2)+((COUNTIF('Elève (3ème4)'!FO8:FQ8,"D"))*1))/(COUNTA(FO8:FQ8)),"")</f>
        <v/>
      </c>
      <c r="FS8" s="164" t="str">
        <f t="shared" si="54"/>
        <v/>
      </c>
      <c r="FT8" s="103"/>
      <c r="FU8" s="104"/>
      <c r="FV8" s="105"/>
      <c r="FW8" s="105"/>
      <c r="FX8" s="163" t="str">
        <f>IFERROR((((COUNTIF('Elève (3ème4)'!FT8:FW8,"A"))*4)+((COUNTIF('Elève (3ème4)'!FT8:FW8,"B"))*3)+((COUNTIF('Elève (3ème4)'!FT8:FW8,"C"))*2)+((COUNTIF('Elève (3ème4)'!FT8:FW8,"D"))*1))/(COUNTA(FT8:FW8)),"")</f>
        <v/>
      </c>
      <c r="FY8" s="164" t="str">
        <f t="shared" si="55"/>
        <v/>
      </c>
      <c r="FZ8" s="103"/>
      <c r="GA8" s="104" t="s">
        <v>30</v>
      </c>
      <c r="GB8" s="105" t="s">
        <v>28</v>
      </c>
      <c r="GC8" s="105"/>
      <c r="GD8" s="105"/>
      <c r="GE8" s="109"/>
      <c r="GF8" s="163">
        <f>IFERROR((((COUNTIF('Elève (3ème4)'!FZ8:GE8,"A"))*4)+((COUNTIF('Elève (3ème4)'!FZ8:GE8,"B"))*3)+((COUNTIF('Elève (3ème4)'!FZ8:GE8,"C"))*2)+((COUNTIF('Elève (3ème4)'!FZ8:GE8,"D"))*1))/(COUNTA(FZ8:GE8)),"")</f>
        <v>2</v>
      </c>
      <c r="GG8" s="164" t="str">
        <f t="shared" si="56"/>
        <v>C</v>
      </c>
      <c r="GH8" s="163">
        <f>IF(COUNT(FR8,FX8,GF8)=0,"",SUM(FR8,FX8,GF8)/COUNT(FR8,FX8,GF8))</f>
        <v>2</v>
      </c>
      <c r="GI8" s="187" t="str">
        <f t="shared" si="57"/>
        <v>C</v>
      </c>
      <c r="GJ8" s="103"/>
      <c r="GK8" s="104"/>
      <c r="GL8" s="105"/>
      <c r="GM8" s="163" t="str">
        <f>IFERROR((((COUNTIF('Elève (3ème4)'!GJ8:GL8,"A"))*4)+((COUNTIF('Elève (3ème4)'!GJ8:GL8,"B"))*3)+((COUNTIF('Elève (3ème4)'!GJ8:GL8,"C"))*2)+((COUNTIF('Elève (3ème4)'!GJ8:GL8,"D"))*1))/(COUNTA(GJ8:GL8)),"")</f>
        <v/>
      </c>
      <c r="GN8" s="164" t="str">
        <f t="shared" si="58"/>
        <v/>
      </c>
      <c r="GO8" s="103"/>
      <c r="GP8" s="104"/>
      <c r="GQ8" s="105"/>
      <c r="GR8" s="105"/>
      <c r="GS8" s="163" t="str">
        <f>IFERROR((((COUNTIF('Elève (3ème4)'!GO8:GR8,"A"))*4)+((COUNTIF('Elève (3ème4)'!GO8:GR8,"B"))*3)+((COUNTIF('Elève (3ème4)'!GO8:GR8,"C"))*2)+((COUNTIF('Elève (3ème4)'!GO8:GR8,"D"))*1))/(COUNTA(GO8:GR8)),"")</f>
        <v/>
      </c>
      <c r="GT8" s="164" t="str">
        <f t="shared" si="59"/>
        <v/>
      </c>
      <c r="GU8" s="103"/>
      <c r="GV8" s="104" t="s">
        <v>30</v>
      </c>
      <c r="GW8" s="105" t="s">
        <v>29</v>
      </c>
      <c r="GX8" s="105"/>
      <c r="GY8" s="105"/>
      <c r="GZ8" s="109"/>
      <c r="HA8" s="163">
        <f>IFERROR((((COUNTIF('Elève (3ème4)'!GU8:GZ8,"A"))*4)+((COUNTIF('Elève (3ème4)'!GU8:GZ8,"B"))*3)+((COUNTIF('Elève (3ème4)'!GU8:GZ8,"C"))*2)+((COUNTIF('Elève (3ème4)'!GU8:GZ8,"D"))*1))/(COUNTA(GU8:GZ8)),"")</f>
        <v>1.5</v>
      </c>
      <c r="HB8" s="164" t="str">
        <f t="shared" si="60"/>
        <v>D</v>
      </c>
      <c r="HC8" s="163">
        <f>IF(COUNT(GM8,GS8,HA8)=0,"",SUM(GM8,GS8,HA8)/COUNT(GM8,GS8,HA8))</f>
        <v>1.5</v>
      </c>
      <c r="HD8" s="187" t="str">
        <f t="shared" si="61"/>
        <v>D</v>
      </c>
      <c r="HE8" s="103"/>
      <c r="HF8" s="104"/>
      <c r="HG8" s="105"/>
      <c r="HH8" s="163" t="str">
        <f>IFERROR((((COUNTIF('Elève (3ème4)'!HE8:HG8,"A"))*4)+((COUNTIF('Elève (3ème4)'!HE8:HG8,"B"))*3)+((COUNTIF('Elève (3ème4)'!HE8:HG8,"C"))*2)+((COUNTIF('Elève (3ème4)'!HE8:HG8,"D"))*1))/(COUNTA(HE8:HG8)),"")</f>
        <v/>
      </c>
      <c r="HI8" s="164" t="str">
        <f t="shared" si="62"/>
        <v/>
      </c>
      <c r="HJ8" s="103"/>
      <c r="HK8" s="104"/>
      <c r="HL8" s="105"/>
      <c r="HM8" s="105"/>
      <c r="HN8" s="163" t="str">
        <f>IFERROR((((COUNTIF('Elève (3ème4)'!HJ8:HM8,"A"))*4)+((COUNTIF('Elève (3ème4)'!HJ8:HM8,"B"))*3)+((COUNTIF('Elève (3ème4)'!HJ8:HM8,"C"))*2)+((COUNTIF('Elève (3ème4)'!HJ8:HM8,"D"))*1))/(COUNTA(HJ8:HM8)),"")</f>
        <v/>
      </c>
      <c r="HO8" s="164" t="str">
        <f t="shared" si="63"/>
        <v/>
      </c>
      <c r="HP8" s="103"/>
      <c r="HQ8" s="104" t="s">
        <v>30</v>
      </c>
      <c r="HR8" s="105"/>
      <c r="HS8" s="105"/>
      <c r="HT8" s="105"/>
      <c r="HU8" s="109"/>
      <c r="HV8" s="163">
        <f>IFERROR((((COUNTIF('Elève (3ème4)'!HP8:HU8,"A"))*4)+((COUNTIF('Elève (3ème4)'!HP8:HU8,"B"))*3)+((COUNTIF('Elève (3ème4)'!HP8:HU8,"C"))*2)+((COUNTIF('Elève (3ème4)'!HP8:HU8,"D"))*1))/(COUNTA(HP8:HU8)),"")</f>
        <v>1</v>
      </c>
      <c r="HW8" s="164" t="str">
        <f t="shared" si="64"/>
        <v>D</v>
      </c>
      <c r="HX8" s="163">
        <f>IF(COUNT(HH8,HN8,HV8)=0,"",SUM(HH8,HN8,HV8)/COUNT(HH8,HN8,HV8))</f>
        <v>1</v>
      </c>
      <c r="HY8" s="187" t="str">
        <f t="shared" si="65"/>
        <v>D</v>
      </c>
      <c r="HZ8" s="103"/>
      <c r="IA8" s="104"/>
      <c r="IB8" s="105"/>
      <c r="IC8" s="163" t="str">
        <f>IFERROR((((COUNTIF('Elève (3ème4)'!HZ8:IB8,"A"))*4)+((COUNTIF('Elève (3ème4)'!HZ8:IB8,"B"))*3)+((COUNTIF('Elève (3ème4)'!HZ8:IB8,"C"))*2)+((COUNTIF('Elève (3ème4)'!HZ8:IB8,"D"))*1))/(COUNTA(HZ8:IB8)),"")</f>
        <v/>
      </c>
      <c r="ID8" s="164" t="str">
        <f t="shared" si="66"/>
        <v/>
      </c>
      <c r="IE8" s="103"/>
      <c r="IF8" s="104"/>
      <c r="IG8" s="105"/>
      <c r="IH8" s="105"/>
      <c r="II8" s="163" t="str">
        <f>IFERROR((((COUNTIF('Elève (3ème4)'!IE8:IH8,"A"))*4)+((COUNTIF('Elève (3ème4)'!IE8:IH8,"B"))*3)+((COUNTIF('Elève (3ème4)'!IE8:IH8,"C"))*2)+((COUNTIF('Elève (3ème4)'!IE8:IH8,"D"))*1))/(COUNTA(IE8:IH8)),"")</f>
        <v/>
      </c>
      <c r="IJ8" s="164" t="str">
        <f t="shared" si="67"/>
        <v/>
      </c>
      <c r="IK8" s="103"/>
      <c r="IL8" s="104" t="s">
        <v>30</v>
      </c>
      <c r="IM8" s="105"/>
      <c r="IN8" s="105"/>
      <c r="IO8" s="105"/>
      <c r="IP8" s="109"/>
      <c r="IQ8" s="163">
        <f>IFERROR((((COUNTIF('Elève (3ème4)'!IK8:IP8,"A"))*4)+((COUNTIF('Elève (3ème4)'!IK8:IP8,"B"))*3)+((COUNTIF('Elève (3ème4)'!IK8:IP8,"C"))*2)+((COUNTIF('Elève (3ème4)'!IK8:IP8,"D"))*1))/(COUNTA(IK8:IP8)),"")</f>
        <v>1</v>
      </c>
      <c r="IR8" s="164" t="str">
        <f t="shared" si="68"/>
        <v>D</v>
      </c>
      <c r="IS8" s="163">
        <f>IF(COUNT(IC8,II8,IQ8)=0,"",SUM(IC8,II8,IQ8)/COUNT(IC8,II8,IQ8))</f>
        <v>1</v>
      </c>
      <c r="IT8" s="187" t="str">
        <f t="shared" si="69"/>
        <v>D</v>
      </c>
      <c r="IU8" s="103"/>
      <c r="IV8" s="104"/>
      <c r="IW8" s="105"/>
      <c r="IX8" s="163" t="str">
        <f>IFERROR((((COUNTIF('Elève (3ème4)'!IU8:IW8,"A"))*4)+((COUNTIF('Elève (3ème4)'!IU8:IW8,"B"))*3)+((COUNTIF('Elève (3ème4)'!IU8:IW8,"C"))*2)+((COUNTIF('Elève (3ème4)'!IU8:IW8,"D"))*1))/(COUNTA(IU8:IW8)),"")</f>
        <v/>
      </c>
      <c r="IY8" s="164" t="str">
        <f t="shared" si="70"/>
        <v/>
      </c>
      <c r="IZ8" s="103"/>
      <c r="JA8" s="104"/>
      <c r="JB8" s="105"/>
      <c r="JC8" s="105"/>
      <c r="JD8" s="163" t="str">
        <f>IFERROR((((COUNTIF('Elève (3ème4)'!IZ8:JC8,"A"))*4)+((COUNTIF('Elève (3ème4)'!IZ8:JC8,"B"))*3)+((COUNTIF('Elève (3ème4)'!IZ8:JC8,"C"))*2)+((COUNTIF('Elève (3ème4)'!IZ8:JC8,"D"))*1))/(COUNTA(IZ8:JC8)),"")</f>
        <v/>
      </c>
      <c r="JE8" s="164" t="str">
        <f t="shared" si="71"/>
        <v/>
      </c>
      <c r="JF8" s="103"/>
      <c r="JG8" s="104" t="s">
        <v>30</v>
      </c>
      <c r="JH8" s="105" t="s">
        <v>29</v>
      </c>
      <c r="JI8" s="105"/>
      <c r="JJ8" s="105"/>
      <c r="JK8" s="109"/>
      <c r="JL8" s="163">
        <f>IFERROR((((COUNTIF('Elève (3ème4)'!JF8:JK8,"A"))*4)+((COUNTIF('Elève (3ème4)'!JF8:JK8,"B"))*3)+((COUNTIF('Elève (3ème4)'!JF8:JK8,"C"))*2)+((COUNTIF('Elève (3ème4)'!JF8:JK8,"D"))*1))/(COUNTA(JF8:JK8)),"")</f>
        <v>1.5</v>
      </c>
      <c r="JM8" s="164" t="str">
        <f t="shared" si="72"/>
        <v>D</v>
      </c>
      <c r="JN8" s="163">
        <f>IF(COUNT(IX8,JD8,JL8)=0,"",SUM(IX8,JD8,JL8)/COUNT(IX8,JD8,JL8))</f>
        <v>1.5</v>
      </c>
      <c r="JO8" s="187" t="str">
        <f t="shared" si="73"/>
        <v>D</v>
      </c>
      <c r="JP8" s="103"/>
      <c r="JQ8" s="104"/>
      <c r="JR8" s="105"/>
      <c r="JS8" s="163" t="str">
        <f>IFERROR((((COUNTIF('Elève (3ème4)'!JP8:JR8,"A"))*4)+((COUNTIF('Elève (3ème4)'!JP8:JR8,"B"))*3)+((COUNTIF('Elève (3ème4)'!JP8:JR8,"C"))*2)+((COUNTIF('Elève (3ème4)'!JP8:JR8,"D"))*1))/(COUNTA(JP8:JR8)),"")</f>
        <v/>
      </c>
      <c r="JT8" s="164" t="str">
        <f t="shared" si="74"/>
        <v/>
      </c>
      <c r="JU8" s="103"/>
      <c r="JV8" s="104"/>
      <c r="JW8" s="105"/>
      <c r="JX8" s="105"/>
      <c r="JY8" s="163" t="str">
        <f>IFERROR((((COUNTIF('Elève (3ème4)'!JU8:JX8,"A"))*4)+((COUNTIF('Elève (3ème4)'!JU8:JX8,"B"))*3)+((COUNTIF('Elève (3ème4)'!JU8:JX8,"C"))*2)+((COUNTIF('Elève (3ème4)'!JU8:JX8,"D"))*1))/(COUNTA(JU8:JX8)),"")</f>
        <v/>
      </c>
      <c r="JZ8" s="164" t="str">
        <f t="shared" si="75"/>
        <v/>
      </c>
      <c r="KA8" s="103"/>
      <c r="KB8" s="104" t="s">
        <v>30</v>
      </c>
      <c r="KC8" s="105"/>
      <c r="KD8" s="105"/>
      <c r="KE8" s="105"/>
      <c r="KF8" s="109"/>
      <c r="KG8" s="163">
        <f>IFERROR((((COUNTIF('Elève (3ème4)'!KA8:KF8,"A"))*4)+((COUNTIF('Elève (3ème4)'!KA8:KF8,"B"))*3)+((COUNTIF('Elève (3ème4)'!KA8:KF8,"C"))*2)+((COUNTIF('Elève (3ème4)'!KA8:KF8,"D"))*1))/(COUNTA(KA8:KF8)),"")</f>
        <v>1</v>
      </c>
      <c r="KH8" s="164" t="str">
        <f t="shared" si="76"/>
        <v>D</v>
      </c>
      <c r="KI8" s="163">
        <f>IF(COUNT(JS8,JY8,KG8)=0,"",SUM(JS8,JY8,KG8)/COUNT(JS8,JY8,KG8))</f>
        <v>1</v>
      </c>
      <c r="KJ8" s="187" t="str">
        <f t="shared" si="77"/>
        <v>D</v>
      </c>
      <c r="KK8" s="103"/>
      <c r="KL8" s="104"/>
      <c r="KM8" s="105"/>
      <c r="KN8" s="163" t="str">
        <f>IFERROR((((COUNTIF('Elève (3ème4)'!KK8:KM8,"A"))*4)+((COUNTIF('Elève (3ème4)'!KK8:KM8,"B"))*3)+((COUNTIF('Elève (3ème4)'!KK8:KM8,"C"))*2)+((COUNTIF('Elève (3ème4)'!KK8:KM8,"D"))*1))/(COUNTA(KK8:KM8)),"")</f>
        <v/>
      </c>
      <c r="KO8" s="164" t="str">
        <f t="shared" si="78"/>
        <v/>
      </c>
      <c r="KP8" s="103"/>
      <c r="KQ8" s="104"/>
      <c r="KR8" s="105"/>
      <c r="KS8" s="105"/>
      <c r="KT8" s="163" t="str">
        <f>IFERROR((((COUNTIF('Elève (3ème4)'!KP8:KS8,"A"))*4)+((COUNTIF('Elève (3ème4)'!KP8:KS8,"B"))*3)+((COUNTIF('Elève (3ème4)'!KP8:KS8,"C"))*2)+((COUNTIF('Elève (3ème4)'!KP8:KS8,"D"))*1))/(COUNTA(KP8:KS8)),"")</f>
        <v/>
      </c>
      <c r="KU8" s="164" t="str">
        <f t="shared" si="79"/>
        <v/>
      </c>
      <c r="KV8" s="103"/>
      <c r="KW8" s="104" t="s">
        <v>27</v>
      </c>
      <c r="KX8" s="105"/>
      <c r="KY8" s="105"/>
      <c r="KZ8" s="105"/>
      <c r="LA8" s="109"/>
      <c r="LB8" s="163">
        <f>IFERROR((((COUNTIF('Elève (3ème4)'!KV8:LA8,"A"))*4)+((COUNTIF('Elève (3ème4)'!KV8:LA8,"B"))*3)+((COUNTIF('Elève (3ème4)'!KV8:LA8,"C"))*2)+((COUNTIF('Elève (3ème4)'!KV8:LA8,"D"))*1))/(COUNTA(KV8:LA8)),"")</f>
        <v>4</v>
      </c>
      <c r="LC8" s="164" t="str">
        <f t="shared" si="80"/>
        <v>A</v>
      </c>
      <c r="LD8" s="163">
        <f>IF(COUNT(KN8,KT8,LB8)=0,"",SUM(KN8,KT8,LB8)/COUNT(KN8,KT8,LB8))</f>
        <v>4</v>
      </c>
      <c r="LE8" s="187" t="str">
        <f t="shared" si="81"/>
        <v>A</v>
      </c>
      <c r="LF8" s="103"/>
      <c r="LG8" s="104"/>
      <c r="LH8" s="105"/>
      <c r="LI8" s="163" t="str">
        <f>IFERROR((((COUNTIF('Elève (3ème4)'!LF8:LH8,"A"))*4)+((COUNTIF('Elève (3ème4)'!LF8:LH8,"B"))*3)+((COUNTIF('Elève (3ème4)'!LF8:LH8,"C"))*2)+((COUNTIF('Elève (3ème4)'!LF8:LH8,"D"))*1))/(COUNTA(LF8:LH8)),"")</f>
        <v/>
      </c>
      <c r="LJ8" s="164" t="str">
        <f t="shared" si="82"/>
        <v/>
      </c>
      <c r="LK8" s="103"/>
      <c r="LL8" s="104"/>
      <c r="LM8" s="105"/>
      <c r="LN8" s="105"/>
      <c r="LO8" s="163" t="str">
        <f>IFERROR((((COUNTIF('Elève (3ème4)'!LK8:LN8,"A"))*4)+((COUNTIF('Elève (3ème4)'!LK8:LN8,"B"))*3)+((COUNTIF('Elève (3ème4)'!LK8:LN8,"C"))*2)+((COUNTIF('Elève (3ème4)'!LK8:LN8,"D"))*1))/(COUNTA(LK8:LN8)),"")</f>
        <v/>
      </c>
      <c r="LP8" s="164" t="str">
        <f t="shared" si="83"/>
        <v/>
      </c>
      <c r="LQ8" s="103"/>
      <c r="LR8" s="104" t="s">
        <v>29</v>
      </c>
      <c r="LS8" s="105"/>
      <c r="LT8" s="105"/>
      <c r="LU8" s="105"/>
      <c r="LV8" s="109"/>
      <c r="LW8" s="163">
        <f>IFERROR((((COUNTIF('Elève (3ème4)'!LQ8:LV8,"A"))*4)+((COUNTIF('Elève (3ème4)'!LQ8:LV8,"B"))*3)+((COUNTIF('Elève (3ème4)'!LQ8:LV8,"C"))*2)+((COUNTIF('Elève (3ème4)'!LQ8:LV8,"D"))*1))/(COUNTA(LQ8:LV8)),"")</f>
        <v>2</v>
      </c>
      <c r="LX8" s="164" t="str">
        <f t="shared" si="84"/>
        <v>C</v>
      </c>
      <c r="LY8" s="163">
        <f>IF(COUNT(LI8,LO8,LW8)=0,"",SUM(LI8,LO8,LW8)/COUNT(LI8,LO8,LW8))</f>
        <v>2</v>
      </c>
      <c r="LZ8" s="187" t="str">
        <f t="shared" si="85"/>
        <v>C</v>
      </c>
      <c r="MA8" s="103"/>
      <c r="MB8" s="104"/>
      <c r="MC8" s="105"/>
      <c r="MD8" s="163" t="str">
        <f>IFERROR((((COUNTIF('Elève (3ème4)'!MA8:MC8,"A"))*4)+((COUNTIF('Elève (3ème4)'!MA8:MC8,"B"))*3)+((COUNTIF('Elève (3ème4)'!MA8:MC8,"C"))*2)+((COUNTIF('Elève (3ème4)'!MA8:MC8,"D"))*1))/(COUNTA(MA8:MC8)),"")</f>
        <v/>
      </c>
      <c r="ME8" s="164" t="str">
        <f t="shared" si="86"/>
        <v/>
      </c>
      <c r="MF8" s="103"/>
      <c r="MG8" s="104"/>
      <c r="MH8" s="105"/>
      <c r="MI8" s="105"/>
      <c r="MJ8" s="163" t="str">
        <f>IFERROR((((COUNTIF('Elève (3ème4)'!MF8:MI8,"A"))*4)+((COUNTIF('Elève (3ème4)'!MF8:MI8,"B"))*3)+((COUNTIF('Elève (3ème4)'!MF8:MI8,"C"))*2)+((COUNTIF('Elève (3ème4)'!MF8:MI8,"D"))*1))/(COUNTA(MF8:MI8)),"")</f>
        <v/>
      </c>
      <c r="MK8" s="164" t="str">
        <f t="shared" si="87"/>
        <v/>
      </c>
      <c r="ML8" s="103"/>
      <c r="MM8" s="104" t="s">
        <v>28</v>
      </c>
      <c r="MN8" s="105"/>
      <c r="MO8" s="105"/>
      <c r="MP8" s="105"/>
      <c r="MQ8" s="109"/>
      <c r="MR8" s="163">
        <f>IFERROR((((COUNTIF('Elève (3ème4)'!ML8:MQ8,"A"))*4)+((COUNTIF('Elève (3ème4)'!ML8:MQ8,"B"))*3)+((COUNTIF('Elève (3ème4)'!ML8:MQ8,"C"))*2)+((COUNTIF('Elève (3ème4)'!ML8:MQ8,"D"))*1))/(COUNTA(ML8:MQ8)),"")</f>
        <v>3</v>
      </c>
      <c r="MS8" s="164" t="str">
        <f t="shared" si="88"/>
        <v>B</v>
      </c>
      <c r="MT8" s="163">
        <f>IF(COUNT(MD8,MJ8,MR8)=0,"",SUM(MD8,MJ8,MR8)/COUNT(MD8,MJ8,MR8))</f>
        <v>3</v>
      </c>
      <c r="MU8" s="187" t="str">
        <f t="shared" si="89"/>
        <v>B</v>
      </c>
      <c r="MV8" s="103"/>
      <c r="MW8" s="104"/>
      <c r="MX8" s="105"/>
      <c r="MY8" s="163" t="str">
        <f>IFERROR((((COUNTIF('Elève (3ème4)'!MV8:MX8,"A"))*4)+((COUNTIF('Elève (3ème4)'!MV8:MX8,"B"))*3)+((COUNTIF('Elève (3ème4)'!MV8:MX8,"C"))*2)+((COUNTIF('Elève (3ème4)'!MV8:MX8,"D"))*1))/(COUNTA(MV8:MX8)),"")</f>
        <v/>
      </c>
      <c r="MZ8" s="164" t="str">
        <f t="shared" si="90"/>
        <v/>
      </c>
      <c r="NA8" s="103"/>
      <c r="NB8" s="104"/>
      <c r="NC8" s="105"/>
      <c r="ND8" s="105"/>
      <c r="NE8" s="163" t="str">
        <f>IFERROR((((COUNTIF('Elève (3ème4)'!NA8:ND8,"A"))*4)+((COUNTIF('Elève (3ème4)'!NA8:ND8,"B"))*3)+((COUNTIF('Elève (3ème4)'!NA8:ND8,"C"))*2)+((COUNTIF('Elève (3ème4)'!NA8:ND8,"D"))*1))/(COUNTA(NA8:ND8)),"")</f>
        <v/>
      </c>
      <c r="NF8" s="164" t="str">
        <f t="shared" si="91"/>
        <v/>
      </c>
      <c r="NG8" s="103"/>
      <c r="NH8" s="104" t="s">
        <v>29</v>
      </c>
      <c r="NI8" s="105" t="s">
        <v>29</v>
      </c>
      <c r="NJ8" s="105"/>
      <c r="NK8" s="105"/>
      <c r="NL8" s="109"/>
      <c r="NM8" s="163">
        <f>IFERROR((((COUNTIF('Elève (3ème4)'!NG8:NL8,"A"))*4)+((COUNTIF('Elève (3ème4)'!NG8:NL8,"B"))*3)+((COUNTIF('Elève (3ème4)'!NG8:NL8,"C"))*2)+((COUNTIF('Elève (3ème4)'!NG8:NL8,"D"))*1))/(COUNTA(NG8:NL8)),"")</f>
        <v>2</v>
      </c>
      <c r="NN8" s="164" t="str">
        <f t="shared" si="92"/>
        <v>C</v>
      </c>
      <c r="NO8" s="163">
        <f>IF(COUNT(MY8,NE8,NM8)=0,"",SUM(MY8,NE8,NM8)/COUNT(MY8,NE8,NM8))</f>
        <v>2</v>
      </c>
      <c r="NP8" s="187" t="str">
        <f t="shared" si="93"/>
        <v>C</v>
      </c>
      <c r="NQ8" s="103"/>
      <c r="NR8" s="104"/>
      <c r="NS8" s="105"/>
      <c r="NT8" s="163" t="str">
        <f>IFERROR((((COUNTIF('Elève (3ème4)'!NQ8:NS8,"A"))*4)+((COUNTIF('Elève (3ème4)'!NQ8:NS8,"B"))*3)+((COUNTIF('Elève (3ème4)'!NQ8:NS8,"C"))*2)+((COUNTIF('Elève (3ème4)'!NQ8:NS8,"D"))*1))/(COUNTA(NQ8:NS8)),"")</f>
        <v/>
      </c>
      <c r="NU8" s="164" t="str">
        <f t="shared" si="94"/>
        <v/>
      </c>
      <c r="NV8" s="103"/>
      <c r="NW8" s="104"/>
      <c r="NX8" s="105"/>
      <c r="NY8" s="105"/>
      <c r="NZ8" s="163" t="str">
        <f>IFERROR((((COUNTIF('Elève (3ème4)'!NV8:NY8,"A"))*4)+((COUNTIF('Elève (3ème4)'!NV8:NY8,"B"))*3)+((COUNTIF('Elève (3ème4)'!NV8:NY8,"C"))*2)+((COUNTIF('Elève (3ème4)'!NV8:NY8,"D"))*1))/(COUNTA(NV8:NY8)),"")</f>
        <v/>
      </c>
      <c r="OA8" s="164" t="str">
        <f t="shared" si="95"/>
        <v/>
      </c>
      <c r="OB8" s="103"/>
      <c r="OC8" s="104" t="s">
        <v>29</v>
      </c>
      <c r="OD8" s="105" t="s">
        <v>29</v>
      </c>
      <c r="OE8" s="105"/>
      <c r="OF8" s="105"/>
      <c r="OG8" s="109"/>
      <c r="OH8" s="163">
        <f>IFERROR((((COUNTIF('Elève (3ème4)'!OB8:OG8,"A"))*4)+((COUNTIF('Elève (3ème4)'!OB8:OG8,"B"))*3)+((COUNTIF('Elève (3ème4)'!OB8:OG8,"C"))*2)+((COUNTIF('Elève (3ème4)'!OB8:OG8,"D"))*1))/(COUNTA(OB8:OG8)),"")</f>
        <v>2</v>
      </c>
      <c r="OI8" s="164" t="str">
        <f t="shared" si="96"/>
        <v>C</v>
      </c>
      <c r="OJ8" s="163">
        <f>IF(COUNT(NT8,NZ8,OH8)=0,"",SUM(NT8,NZ8,OH8)/COUNT(NT8,NZ8,OH8))</f>
        <v>2</v>
      </c>
      <c r="OK8" s="187" t="str">
        <f t="shared" si="97"/>
        <v>C</v>
      </c>
      <c r="OL8" s="103"/>
      <c r="OM8" s="104"/>
      <c r="ON8" s="105"/>
      <c r="OO8" s="163" t="str">
        <f>IFERROR((((COUNTIF('Elève (3ème4)'!OL8:ON8,"A"))*4)+((COUNTIF('Elève (3ème4)'!OL8:ON8,"B"))*3)+((COUNTIF('Elève (3ème4)'!OL8:ON8,"C"))*2)+((COUNTIF('Elève (3ème4)'!OL8:ON8,"D"))*1))/(COUNTA(OL8:ON8)),"")</f>
        <v/>
      </c>
      <c r="OP8" s="164" t="str">
        <f t="shared" si="98"/>
        <v/>
      </c>
      <c r="OQ8" s="103"/>
      <c r="OR8" s="104"/>
      <c r="OS8" s="105"/>
      <c r="OT8" s="105"/>
      <c r="OU8" s="163" t="str">
        <f>IFERROR((((COUNTIF('Elève (3ème4)'!OQ8:OT8,"A"))*4)+((COUNTIF('Elève (3ème4)'!OQ8:OT8,"B"))*3)+((COUNTIF('Elève (3ème4)'!OQ8:OT8,"C"))*2)+((COUNTIF('Elève (3ème4)'!OQ8:OT8,"D"))*1))/(COUNTA(OQ8:OT8)),"")</f>
        <v/>
      </c>
      <c r="OV8" s="164" t="str">
        <f t="shared" si="99"/>
        <v/>
      </c>
      <c r="OW8" s="103"/>
      <c r="OX8" s="104" t="s">
        <v>30</v>
      </c>
      <c r="OY8" s="105" t="s">
        <v>29</v>
      </c>
      <c r="OZ8" s="105"/>
      <c r="PA8" s="105"/>
      <c r="PB8" s="109"/>
      <c r="PC8" s="163">
        <f>IFERROR((((COUNTIF('Elève (3ème4)'!OW8:PB8,"A"))*4)+((COUNTIF('Elève (3ème4)'!OW8:PB8,"B"))*3)+((COUNTIF('Elève (3ème4)'!OW8:PB8,"C"))*2)+((COUNTIF('Elève (3ème4)'!OW8:PB8,"D"))*1))/(COUNTA(OW8:PB8)),"")</f>
        <v>1.5</v>
      </c>
      <c r="PD8" s="164" t="str">
        <f t="shared" si="100"/>
        <v>D</v>
      </c>
      <c r="PE8" s="163">
        <f>IF(COUNT(OO8,OU8,PC8)=0,"",SUM(OO8,OU8,PC8)/COUNT(OO8,OU8,PC8))</f>
        <v>1.5</v>
      </c>
      <c r="PF8" s="187" t="str">
        <f t="shared" si="101"/>
        <v>D</v>
      </c>
      <c r="PG8" s="103"/>
      <c r="PH8" s="104"/>
      <c r="PI8" s="105"/>
      <c r="PJ8" s="163" t="str">
        <f>IFERROR((((COUNTIF('Elève (3ème4)'!PG8:PI8,"A"))*4)+((COUNTIF('Elève (3ème4)'!PG8:PI8,"B"))*3)+((COUNTIF('Elève (3ème4)'!PG8:PI8,"C"))*2)+((COUNTIF('Elève (3ème4)'!PG8:PI8,"D"))*1))/(COUNTA(PG8:PI8)),"")</f>
        <v/>
      </c>
      <c r="PK8" s="164" t="str">
        <f t="shared" si="102"/>
        <v/>
      </c>
      <c r="PL8" s="103"/>
      <c r="PM8" s="104"/>
      <c r="PN8" s="105"/>
      <c r="PO8" s="105"/>
      <c r="PP8" s="163" t="str">
        <f>IFERROR((((COUNTIF('Elève (3ème4)'!PL8:PO8,"A"))*4)+((COUNTIF('Elève (3ème4)'!PL8:PO8,"B"))*3)+((COUNTIF('Elève (3ème4)'!PL8:PO8,"C"))*2)+((COUNTIF('Elève (3ème4)'!PL8:PO8,"D"))*1))/(COUNTA(PL8:PO8)),"")</f>
        <v/>
      </c>
      <c r="PQ8" s="164" t="str">
        <f t="shared" si="103"/>
        <v/>
      </c>
      <c r="PR8" s="103"/>
      <c r="PS8" s="104" t="s">
        <v>29</v>
      </c>
      <c r="PT8" s="105" t="s">
        <v>30</v>
      </c>
      <c r="PU8" s="105"/>
      <c r="PV8" s="105"/>
      <c r="PW8" s="109"/>
      <c r="PX8" s="163">
        <f>IFERROR((((COUNTIF('Elève (3ème4)'!PR8:PW8,"A"))*4)+((COUNTIF('Elève (3ème4)'!PR8:PW8,"B"))*3)+((COUNTIF('Elève (3ème4)'!PR8:PW8,"C"))*2)+((COUNTIF('Elève (3ème4)'!PR8:PW8,"D"))*1))/(COUNTA(PR8:PW8)),"")</f>
        <v>1.5</v>
      </c>
      <c r="PY8" s="164" t="str">
        <f t="shared" si="104"/>
        <v>D</v>
      </c>
      <c r="PZ8" s="163">
        <f>IF(COUNT(PJ8,PP8,PX8)=0,"",SUM(PJ8,PP8,PX8)/COUNT(PJ8,PP8,PX8))</f>
        <v>1.5</v>
      </c>
      <c r="QA8" s="187" t="str">
        <f t="shared" si="105"/>
        <v>D</v>
      </c>
      <c r="QB8" s="103"/>
      <c r="QC8" s="104"/>
      <c r="QD8" s="105"/>
      <c r="QE8" s="163" t="str">
        <f>IFERROR((((COUNTIF('Elève (3ème4)'!QB8:QD8,"A"))*4)+((COUNTIF('Elève (3ème4)'!QB8:QD8,"B"))*3)+((COUNTIF('Elève (3ème4)'!QB8:QD8,"C"))*2)+((COUNTIF('Elève (3ème4)'!QB8:QD8,"D"))*1))/(COUNTA(QB8:QD8)),"")</f>
        <v/>
      </c>
      <c r="QF8" s="164" t="str">
        <f t="shared" si="106"/>
        <v/>
      </c>
      <c r="QG8" s="103"/>
      <c r="QH8" s="104"/>
      <c r="QI8" s="105"/>
      <c r="QJ8" s="105"/>
      <c r="QK8" s="163" t="str">
        <f>IFERROR((((COUNTIF('Elève (3ème4)'!QG8:QJ8,"A"))*4)+((COUNTIF('Elève (3ème4)'!QG8:QJ8,"B"))*3)+((COUNTIF('Elève (3ème4)'!QG8:QJ8,"C"))*2)+((COUNTIF('Elève (3ème4)'!QG8:QJ8,"D"))*1))/(COUNTA(QG8:QJ8)),"")</f>
        <v/>
      </c>
      <c r="QL8" s="164" t="str">
        <f t="shared" si="107"/>
        <v/>
      </c>
      <c r="QM8" s="103"/>
      <c r="QN8" s="104" t="s">
        <v>30</v>
      </c>
      <c r="QO8" s="105" t="s">
        <v>30</v>
      </c>
      <c r="QP8" s="105"/>
      <c r="QQ8" s="105"/>
      <c r="QR8" s="109"/>
      <c r="QS8" s="163">
        <f>IFERROR((((COUNTIF('Elève (3ème4)'!QM8:QR8,"A"))*4)+((COUNTIF('Elève (3ème4)'!QM8:QR8,"B"))*3)+((COUNTIF('Elève (3ème4)'!QM8:QR8,"C"))*2)+((COUNTIF('Elève (3ème4)'!QM8:QR8,"D"))*1))/(COUNTA(QM8:QR8)),"")</f>
        <v>1</v>
      </c>
      <c r="QT8" s="164" t="str">
        <f t="shared" si="108"/>
        <v>D</v>
      </c>
      <c r="QU8" s="163">
        <f>IF(COUNT(QE8,QK8,QS8)=0,"",SUM(QE8,QK8,QS8)/COUNT(QE8,QK8,QS8))</f>
        <v>1</v>
      </c>
      <c r="QV8" s="187" t="str">
        <f t="shared" si="109"/>
        <v>D</v>
      </c>
      <c r="QW8" s="103"/>
      <c r="QX8" s="104"/>
      <c r="QY8" s="105"/>
      <c r="QZ8" s="163" t="str">
        <f>IFERROR((((COUNTIF('Elève (3ème4)'!QW8:QY8,"A"))*4)+((COUNTIF('Elève (3ème4)'!QW8:QY8,"B"))*3)+((COUNTIF('Elève (3ème4)'!QW8:QY8,"C"))*2)+((COUNTIF('Elève (3ème4)'!QW8:QY8,"D"))*1))/(COUNTA(QW8:QY8)),"")</f>
        <v/>
      </c>
      <c r="RA8" s="164" t="str">
        <f t="shared" si="110"/>
        <v/>
      </c>
      <c r="RB8" s="103"/>
      <c r="RC8" s="104"/>
      <c r="RD8" s="105"/>
      <c r="RE8" s="105"/>
      <c r="RF8" s="163" t="str">
        <f>IFERROR((((COUNTIF('Elève (3ème4)'!RB8:RE8,"A"))*4)+((COUNTIF('Elève (3ème4)'!RB8:RE8,"B"))*3)+((COUNTIF('Elève (3ème4)'!RB8:RE8,"C"))*2)+((COUNTIF('Elève (3ème4)'!RB8:RE8,"D"))*1))/(COUNTA(RB8:RE8)),"")</f>
        <v/>
      </c>
      <c r="RG8" s="164" t="str">
        <f t="shared" si="111"/>
        <v/>
      </c>
      <c r="RH8" s="103"/>
      <c r="RI8" s="104" t="s">
        <v>29</v>
      </c>
      <c r="RJ8" s="105"/>
      <c r="RK8" s="105"/>
      <c r="RL8" s="105"/>
      <c r="RM8" s="109"/>
      <c r="RN8" s="163">
        <f>IFERROR((((COUNTIF('Elève (3ème4)'!RH8:RM8,"A"))*4)+((COUNTIF('Elève (3ème4)'!RH8:RM8,"B"))*3)+((COUNTIF('Elève (3ème4)'!RH8:RM8,"C"))*2)+((COUNTIF('Elève (3ème4)'!RH8:RM8,"D"))*1))/(COUNTA(RH8:RM8)),"")</f>
        <v>2</v>
      </c>
      <c r="RO8" s="164" t="str">
        <f t="shared" si="112"/>
        <v>C</v>
      </c>
      <c r="RP8" s="163">
        <f>IF(COUNT(QZ8,RF8,RN8)=0,"",SUM(QZ8,RF8,RN8)/COUNT(QZ8,RF8,RN8))</f>
        <v>2</v>
      </c>
      <c r="RQ8" s="187" t="str">
        <f t="shared" si="113"/>
        <v>C</v>
      </c>
      <c r="RR8" s="103"/>
      <c r="RS8" s="104"/>
      <c r="RT8" s="105"/>
      <c r="RU8" s="163" t="str">
        <f>IFERROR((((COUNTIF('Elève (3ème4)'!RR8:RT8,"A"))*4)+((COUNTIF('Elève (3ème4)'!RR8:RT8,"B"))*3)+((COUNTIF('Elève (3ème4)'!RR8:RT8,"C"))*2)+((COUNTIF('Elève (3ème4)'!RR8:RT8,"D"))*1))/(COUNTA(RR8:RT8)),"")</f>
        <v/>
      </c>
      <c r="RV8" s="164" t="str">
        <f t="shared" si="114"/>
        <v/>
      </c>
      <c r="RW8" s="103"/>
      <c r="RX8" s="104"/>
      <c r="RY8" s="105"/>
      <c r="RZ8" s="105"/>
      <c r="SA8" s="163" t="str">
        <f>IFERROR((((COUNTIF('Elève (3ème4)'!RW8:RZ8,"A"))*4)+((COUNTIF('Elève (3ème4)'!RW8:RZ8,"B"))*3)+((COUNTIF('Elève (3ème4)'!RW8:RZ8,"C"))*2)+((COUNTIF('Elève (3ème4)'!RW8:RZ8,"D"))*1))/(COUNTA(RW8:RZ8)),"")</f>
        <v/>
      </c>
      <c r="SB8" s="164" t="str">
        <f t="shared" si="115"/>
        <v/>
      </c>
      <c r="SC8" s="103"/>
      <c r="SD8" s="104" t="s">
        <v>30</v>
      </c>
      <c r="SE8" s="105"/>
      <c r="SF8" s="105"/>
      <c r="SG8" s="105"/>
      <c r="SH8" s="109"/>
      <c r="SI8" s="163">
        <f>IFERROR((((COUNTIF('Elève (3ème4)'!SC8:SH8,"A"))*4)+((COUNTIF('Elève (3ème4)'!SC8:SH8,"B"))*3)+((COUNTIF('Elève (3ème4)'!SC8:SH8,"C"))*2)+((COUNTIF('Elève (3ème4)'!SC8:SH8,"D"))*1))/(COUNTA(SC8:SH8)),"")</f>
        <v>1</v>
      </c>
      <c r="SJ8" s="164" t="str">
        <f t="shared" si="116"/>
        <v>D</v>
      </c>
      <c r="SK8" s="163">
        <f>IF(COUNT(RU8,SA8,SI8)=0,"",SUM(RU8,SA8,SI8)/COUNT(RU8,SA8,SI8))</f>
        <v>1</v>
      </c>
      <c r="SL8" s="187" t="str">
        <f t="shared" si="117"/>
        <v>D</v>
      </c>
      <c r="SM8" s="103"/>
      <c r="SN8" s="104"/>
      <c r="SO8" s="105"/>
      <c r="SP8" s="106" t="str">
        <f>IFERROR((((COUNTIF('Elève (3ème4)'!SM8:SO8,"A"))*4)+((COUNTIF('Elève (3ème4)'!SM8:SO8,"B"))*3)+((COUNTIF('Elève (3ème4)'!SM8:SO8,"C"))*2)+((COUNTIF('Elève (3ème4)'!SM8:SO8,"D"))*1))/(COUNTA(SM8:SO8)),"")</f>
        <v/>
      </c>
      <c r="SQ8" s="107" t="str">
        <f t="shared" si="118"/>
        <v/>
      </c>
      <c r="SR8" s="103"/>
      <c r="SS8" s="104"/>
      <c r="ST8" s="105"/>
      <c r="SU8" s="106" t="str">
        <f>IFERROR((((COUNTIF('Elève (3ème4)'!SR8:ST8,"A"))*4)+((COUNTIF('Elève (3ème4)'!SR8:ST8,"B"))*3)+((COUNTIF('Elève (3ème4)'!SR8:ST8,"C"))*2)+((COUNTIF('Elève (3ème4)'!SR8:ST8,"D"))*1))/(COUNTA(SR8:ST8)),"")</f>
        <v/>
      </c>
      <c r="SV8" s="107" t="str">
        <f t="shared" si="119"/>
        <v/>
      </c>
      <c r="SW8" s="103"/>
      <c r="SX8" s="104"/>
      <c r="SY8" s="109"/>
      <c r="SZ8" s="106" t="str">
        <f>IFERROR((((COUNTIF('Elève (3ème4)'!SW8:SY8,"A"))*4)+((COUNTIF('Elève (3ème4)'!SW8:SY8,"B"))*3)+((COUNTIF('Elève (3ème4)'!SW8:SY8,"C"))*2)+((COUNTIF('Elève (3ème4)'!SW8:SY8,"D"))*1))/(COUNTA(SW8:SY8)),"")</f>
        <v/>
      </c>
      <c r="TA8" s="107" t="str">
        <f t="shared" si="120"/>
        <v/>
      </c>
      <c r="TB8" s="106" t="str">
        <f>IF(COUNT(SP8,SU8,SZ8)=0,"",SUM(SP8,SU8,SZ8)/COUNT(SP8,SU8,SZ8))</f>
        <v/>
      </c>
      <c r="TC8" s="108" t="str">
        <f t="shared" si="121"/>
        <v/>
      </c>
      <c r="TD8" s="103"/>
      <c r="TE8" s="104"/>
      <c r="TF8" s="105"/>
      <c r="TG8" s="106" t="str">
        <f>IFERROR((((COUNTIF('Elève (3ème4)'!TD8:TF8,"A"))*4)+((COUNTIF('Elève (3ème4)'!TD8:TF8,"B"))*3)+((COUNTIF('Elève (3ème4)'!TD8:TF8,"C"))*2)+((COUNTIF('Elève (3ème4)'!TD8:TF8,"D"))*1))/(COUNTA(TD8:TF8)),"")</f>
        <v/>
      </c>
      <c r="TH8" s="107" t="str">
        <f t="shared" si="122"/>
        <v/>
      </c>
      <c r="TI8" s="103"/>
      <c r="TJ8" s="104"/>
      <c r="TK8" s="105"/>
      <c r="TL8" s="106" t="str">
        <f>IFERROR((((COUNTIF('Elève (3ème4)'!TI8:TK8,"A"))*4)+((COUNTIF('Elève (3ème4)'!TI8:TK8,"B"))*3)+((COUNTIF('Elève (3ème4)'!TI8:TK8,"C"))*2)+((COUNTIF('Elève (3ème4)'!TI8:TK8,"D"))*1))/(COUNTA(TI8:TK8)),"")</f>
        <v/>
      </c>
      <c r="TM8" s="107" t="str">
        <f t="shared" si="123"/>
        <v/>
      </c>
      <c r="TN8" s="103"/>
      <c r="TO8" s="104"/>
      <c r="TP8" s="109"/>
      <c r="TQ8" s="106" t="str">
        <f>IFERROR((((COUNTIF('Elève (3ème4)'!TN8:TP8,"A"))*4)+((COUNTIF('Elève (3ème4)'!TN8:TP8,"B"))*3)+((COUNTIF('Elève (3ème4)'!TN8:TP8,"C"))*2)+((COUNTIF('Elève (3ème4)'!TN8:TP8,"D"))*1))/(COUNTA(TN8:TP8)),"")</f>
        <v/>
      </c>
      <c r="TR8" s="107" t="str">
        <f t="shared" si="124"/>
        <v/>
      </c>
      <c r="TS8" s="106" t="str">
        <f>IF(COUNT(TG8,TL8,TQ8)=0,"",SUM(TG8,TL8,TQ8)/COUNT(TG8,TL8,TQ8))</f>
        <v/>
      </c>
      <c r="TT8" s="108" t="str">
        <f t="shared" si="125"/>
        <v/>
      </c>
      <c r="TU8" s="103"/>
      <c r="TV8" s="104"/>
      <c r="TW8" s="105"/>
      <c r="TX8" s="106" t="str">
        <f>IFERROR((((COUNTIF('Elève (3ème4)'!TU8:TW8,"A"))*4)+((COUNTIF('Elève (3ème4)'!TU8:TW8,"B"))*3)+((COUNTIF('Elève (3ème4)'!TU8:TW8,"C"))*2)+((COUNTIF('Elève (3ème4)'!TU8:TW8,"D"))*1))/(COUNTA(TU8:TW8)),"")</f>
        <v/>
      </c>
      <c r="TY8" s="107" t="str">
        <f t="shared" si="126"/>
        <v/>
      </c>
      <c r="TZ8" s="103"/>
      <c r="UA8" s="104"/>
      <c r="UB8" s="105"/>
      <c r="UC8" s="106" t="str">
        <f>IFERROR((((COUNTIF('Elève (3ème4)'!TZ8:UB8,"A"))*4)+((COUNTIF('Elève (3ème4)'!TZ8:UB8,"B"))*3)+((COUNTIF('Elève (3ème4)'!TZ8:UB8,"C"))*2)+((COUNTIF('Elève (3ème4)'!TZ8:UB8,"D"))*1))/(COUNTA(TZ8:UB8)),"")</f>
        <v/>
      </c>
      <c r="UD8" s="107" t="str">
        <f t="shared" si="127"/>
        <v/>
      </c>
      <c r="UE8" s="103"/>
      <c r="UF8" s="104"/>
      <c r="UG8" s="109"/>
      <c r="UH8" s="106" t="str">
        <f>IFERROR((((COUNTIF('Elève (3ème4)'!UE8:UG8,"A"))*4)+((COUNTIF('Elève (3ème4)'!UE8:UG8,"B"))*3)+((COUNTIF('Elève (3ème4)'!UE8:UG8,"C"))*2)+((COUNTIF('Elève (3ème4)'!UE8:UG8,"D"))*1))/(COUNTA(UE8:UG8)),"")</f>
        <v/>
      </c>
      <c r="UI8" s="107" t="str">
        <f t="shared" si="128"/>
        <v/>
      </c>
      <c r="UJ8" s="106" t="str">
        <f>IF(COUNT(TX8,UC8,UH8)=0,"",SUM(TX8,UC8,UH8)/COUNT(TX8,UC8,UH8))</f>
        <v/>
      </c>
      <c r="UK8" s="108" t="str">
        <f t="shared" si="129"/>
        <v/>
      </c>
      <c r="UL8" s="103"/>
      <c r="UM8" s="104"/>
      <c r="UN8" s="105"/>
      <c r="UO8" s="106" t="str">
        <f>IFERROR((((COUNTIF('Elève (3ème4)'!UL8:UN8,"A"))*4)+((COUNTIF('Elève (3ème4)'!UL8:UN8,"B"))*3)+((COUNTIF('Elève (3ème4)'!UL8:UN8,"C"))*2)+((COUNTIF('Elève (3ème4)'!UL8:UN8,"D"))*1))/(COUNTA(UL8:UN8)),"")</f>
        <v/>
      </c>
      <c r="UP8" s="107" t="str">
        <f t="shared" si="130"/>
        <v/>
      </c>
      <c r="UQ8" s="103"/>
      <c r="UR8" s="104"/>
      <c r="US8" s="105"/>
      <c r="UT8" s="106" t="str">
        <f>IFERROR((((COUNTIF('Elève (3ème4)'!UQ8:US8,"A"))*4)+((COUNTIF('Elève (3ème4)'!UQ8:US8,"B"))*3)+((COUNTIF('Elève (3ème4)'!UQ8:US8,"C"))*2)+((COUNTIF('Elève (3ème4)'!UQ8:US8,"D"))*1))/(COUNTA(UQ8:US8)),"")</f>
        <v/>
      </c>
      <c r="UU8" s="107" t="str">
        <f t="shared" si="131"/>
        <v/>
      </c>
      <c r="UV8" s="103"/>
      <c r="UW8" s="104"/>
      <c r="UX8" s="109"/>
      <c r="UY8" s="106" t="str">
        <f>IFERROR((((COUNTIF('Elève (3ème4)'!UV8:UX8,"A"))*4)+((COUNTIF('Elève (3ème4)'!UV8:UX8,"B"))*3)+((COUNTIF('Elève (3ème4)'!UV8:UX8,"C"))*2)+((COUNTIF('Elève (3ème4)'!UV8:UX8,"D"))*1))/(COUNTA(UV8:UX8)),"")</f>
        <v/>
      </c>
      <c r="UZ8" s="107" t="str">
        <f t="shared" si="132"/>
        <v/>
      </c>
      <c r="VA8" s="106" t="str">
        <f>IF(COUNT(UO8,UT8,UY8)=0,"",SUM(UO8,UT8,UY8)/COUNT(UO8,UT8,UY8))</f>
        <v/>
      </c>
      <c r="VB8" s="108" t="str">
        <f t="shared" si="133"/>
        <v/>
      </c>
      <c r="VC8" s="103"/>
      <c r="VD8" s="104"/>
      <c r="VE8" s="105"/>
      <c r="VF8" s="106" t="str">
        <f>IFERROR((((COUNTIF('Elève (3ème4)'!VC8:VE8,"A"))*4)+((COUNTIF('Elève (3ème4)'!VC8:VE8,"B"))*3)+((COUNTIF('Elève (3ème4)'!VC8:VE8,"C"))*2)+((COUNTIF('Elève (3ème4)'!VC8:VE8,"D"))*1))/(COUNTA(VC8:VE8)),"")</f>
        <v/>
      </c>
      <c r="VG8" s="107" t="str">
        <f t="shared" si="134"/>
        <v/>
      </c>
      <c r="VH8" s="103"/>
      <c r="VI8" s="104"/>
      <c r="VJ8" s="105"/>
      <c r="VK8" s="106" t="str">
        <f>IFERROR((((COUNTIF('Elève (3ème4)'!VH8:VJ8,"A"))*4)+((COUNTIF('Elève (3ème4)'!VH8:VJ8,"B"))*3)+((COUNTIF('Elève (3ème4)'!VH8:VJ8,"C"))*2)+((COUNTIF('Elève (3ème4)'!VH8:VJ8,"D"))*1))/(COUNTA(VH8:VJ8)),"")</f>
        <v/>
      </c>
      <c r="VL8" s="107" t="str">
        <f t="shared" si="135"/>
        <v/>
      </c>
      <c r="VM8" s="103"/>
      <c r="VN8" s="104"/>
      <c r="VO8" s="109"/>
      <c r="VP8" s="106" t="str">
        <f>IFERROR((((COUNTIF('Elève (3ème4)'!VM8:VO8,"A"))*4)+((COUNTIF('Elève (3ème4)'!VM8:VO8,"B"))*3)+((COUNTIF('Elève (3ème4)'!VM8:VO8,"C"))*2)+((COUNTIF('Elève (3ème4)'!VM8:VO8,"D"))*1))/(COUNTA(VM8:VO8)),"")</f>
        <v/>
      </c>
      <c r="VQ8" s="107" t="str">
        <f t="shared" si="136"/>
        <v/>
      </c>
      <c r="VR8" s="106" t="str">
        <f>IF(COUNT(VF8,VK8,VP8)=0,"",SUM(VF8,VK8,VP8)/COUNT(VF8,VK8,VP8))</f>
        <v/>
      </c>
      <c r="VS8" s="108" t="str">
        <f t="shared" si="137"/>
        <v/>
      </c>
      <c r="VT8" s="103"/>
      <c r="VU8" s="104"/>
      <c r="VV8" s="105"/>
      <c r="VW8" s="106" t="str">
        <f>IFERROR((((COUNTIF('Elève (3ème4)'!VT8:VV8,"A"))*4)+((COUNTIF('Elève (3ème4)'!VT8:VV8,"B"))*3)+((COUNTIF('Elève (3ème4)'!VT8:VV8,"C"))*2)+((COUNTIF('Elève (3ème4)'!VT8:VV8,"D"))*1))/(COUNTA(VT8:VV8)),"")</f>
        <v/>
      </c>
      <c r="VX8" s="107" t="str">
        <f t="shared" si="138"/>
        <v/>
      </c>
      <c r="VY8" s="103"/>
      <c r="VZ8" s="104"/>
      <c r="WA8" s="105"/>
      <c r="WB8" s="106" t="str">
        <f>IFERROR((((COUNTIF('Elève (3ème4)'!VY8:WA8,"A"))*4)+((COUNTIF('Elève (3ème4)'!VY8:WA8,"B"))*3)+((COUNTIF('Elève (3ème4)'!VY8:WA8,"C"))*2)+((COUNTIF('Elève (3ème4)'!VY8:WA8,"D"))*1))/(COUNTA(VY8:WA8)),"")</f>
        <v/>
      </c>
      <c r="WC8" s="107" t="str">
        <f t="shared" si="139"/>
        <v/>
      </c>
      <c r="WD8" s="103"/>
      <c r="WE8" s="104"/>
      <c r="WF8" s="109"/>
      <c r="WG8" s="106" t="str">
        <f>IFERROR((((COUNTIF('Elève (3ème4)'!WD8:WF8,"A"))*4)+((COUNTIF('Elève (3ème4)'!WD8:WF8,"B"))*3)+((COUNTIF('Elève (3ème4)'!WD8:WF8,"C"))*2)+((COUNTIF('Elève (3ème4)'!WD8:WF8,"D"))*1))/(COUNTA(WD8:WF8)),"")</f>
        <v/>
      </c>
      <c r="WH8" s="107" t="str">
        <f t="shared" si="140"/>
        <v/>
      </c>
      <c r="WI8" s="106" t="str">
        <f>IF(COUNT(VW8,WB8,WG8)=0,"",SUM(VW8,WB8,WG8)/COUNT(VW8,WB8,WG8))</f>
        <v/>
      </c>
      <c r="WJ8" s="108" t="str">
        <f t="shared" si="141"/>
        <v/>
      </c>
    </row>
    <row r="9" spans="1:608" ht="18" customHeight="1" thickBot="1" x14ac:dyDescent="0.6">
      <c r="A9" s="215" t="s">
        <v>16</v>
      </c>
      <c r="B9" s="216"/>
      <c r="C9" s="110"/>
      <c r="D9" s="111" t="s">
        <v>28</v>
      </c>
      <c r="E9" s="112"/>
      <c r="F9" s="165">
        <f>IFERROR((((COUNTIF('Elève (3ème4)'!C9:E9,"A"))*4)+((COUNTIF('Elève (3ème4)'!C9:E9,"B"))*3)+((COUNTIF('Elève (3ème4)'!C9:E9,"C"))*2)+((COUNTIF('Elève (3ème4)'!C9:E9,"D"))*1))/(COUNTA(C9:E9)),"")</f>
        <v>3</v>
      </c>
      <c r="G9" s="166" t="str">
        <f t="shared" si="22"/>
        <v>B</v>
      </c>
      <c r="H9" s="110"/>
      <c r="I9" s="111"/>
      <c r="J9" s="112"/>
      <c r="K9" s="112"/>
      <c r="L9" s="165" t="str">
        <f>IFERROR((((COUNTIF('Elève (3ème4)'!H9:K9,"A"))*4)+((COUNTIF('Elève (3ème4)'!H9:K9,"B"))*3)+((COUNTIF('Elève (3ème4)'!H9:K9,"C"))*2)+((COUNTIF('Elève (3ème4)'!H9:K9,"D"))*1))/(COUNTA(H9:K9)),"")</f>
        <v/>
      </c>
      <c r="M9" s="166" t="str">
        <f t="shared" si="23"/>
        <v/>
      </c>
      <c r="N9" s="110"/>
      <c r="O9" s="111" t="s">
        <v>27</v>
      </c>
      <c r="P9" s="112"/>
      <c r="Q9" s="112"/>
      <c r="R9" s="112"/>
      <c r="S9" s="112"/>
      <c r="T9" s="165">
        <f>IFERROR((((COUNTIF('Elève (3ème4)'!N9:S9,"A"))*4)+((COUNTIF('Elève (3ème4)'!N9:S9,"B"))*3)+((COUNTIF('Elève (3ème4)'!N9:S9,"C"))*2)+((COUNTIF('Elève (3ème4)'!N9:S9,"D"))*1))/(COUNTA(N9:S9)),"")</f>
        <v>4</v>
      </c>
      <c r="U9" s="166" t="str">
        <f t="shared" si="24"/>
        <v>A</v>
      </c>
      <c r="V9" s="165">
        <f>IF(COUNT(F9,L9,T9)=0,"",SUM(F9,L9,T9)/COUNT(F9,L9,T9))</f>
        <v>3.5</v>
      </c>
      <c r="W9" s="188" t="str">
        <f t="shared" si="25"/>
        <v>B</v>
      </c>
      <c r="X9" s="110"/>
      <c r="Y9" s="111" t="s">
        <v>30</v>
      </c>
      <c r="Z9" s="112"/>
      <c r="AA9" s="165">
        <f>IFERROR((((COUNTIF('Elève (3ème4)'!X9:Z9,"A"))*4)+((COUNTIF('Elève (3ème4)'!X9:Z9,"B"))*3)+((COUNTIF('Elève (3ème4)'!X9:Z9,"C"))*2)+((COUNTIF('Elève (3ème4)'!X9:Z9,"D"))*1))/(COUNTA(X9:Z9)),"")</f>
        <v>1</v>
      </c>
      <c r="AB9" s="166" t="str">
        <f t="shared" si="26"/>
        <v>D</v>
      </c>
      <c r="AC9" s="110"/>
      <c r="AD9" s="111"/>
      <c r="AE9" s="112"/>
      <c r="AF9" s="112"/>
      <c r="AG9" s="165" t="str">
        <f>IFERROR((((COUNTIF('Elève (3ème4)'!AC9:AF9,"A"))*4)+((COUNTIF('Elève (3ème4)'!AC9:AF9,"B"))*3)+((COUNTIF('Elève (3ème4)'!AC9:AF9,"C"))*2)+((COUNTIF('Elève (3ème4)'!AC9:AF9,"D"))*1))/(COUNTA(AC9:AF9)),"")</f>
        <v/>
      </c>
      <c r="AH9" s="166" t="str">
        <f t="shared" si="27"/>
        <v/>
      </c>
      <c r="AI9" s="110"/>
      <c r="AJ9" s="111"/>
      <c r="AK9" s="112"/>
      <c r="AL9" s="112"/>
      <c r="AM9" s="112"/>
      <c r="AN9" s="116"/>
      <c r="AO9" s="165" t="str">
        <f>IFERROR((((COUNTIF('Elève (3ème4)'!AI9:AN9,"A"))*4)+((COUNTIF('Elève (3ème4)'!AI9:AN9,"B"))*3)+((COUNTIF('Elève (3ème4)'!AI9:AN9,"C"))*2)+((COUNTIF('Elève (3ème4)'!AI9:AN9,"D"))*1))/(COUNTA(AI9:AN9)),"")</f>
        <v/>
      </c>
      <c r="AP9" s="166" t="str">
        <f t="shared" si="28"/>
        <v/>
      </c>
      <c r="AQ9" s="165">
        <f>IF(COUNT(AA9,AG9,AO9)=0,"",SUM(AA9,AG9,AO9)/COUNT(AA9,AG9,AO9))</f>
        <v>1</v>
      </c>
      <c r="AR9" s="188" t="str">
        <f t="shared" si="29"/>
        <v>D</v>
      </c>
      <c r="AS9" s="110"/>
      <c r="AT9" s="111" t="s">
        <v>30</v>
      </c>
      <c r="AU9" s="112"/>
      <c r="AV9" s="165">
        <f>IFERROR((((COUNTIF('Elève (3ème4)'!AS9:AU9,"A"))*4)+((COUNTIF('Elève (3ème4)'!AS9:AU9,"B"))*3)+((COUNTIF('Elève (3ème4)'!AS9:AU9,"C"))*2)+((COUNTIF('Elève (3ème4)'!AS9:AU9,"D"))*1))/(COUNTA(AS9:AU9)),"")</f>
        <v>1</v>
      </c>
      <c r="AW9" s="166" t="str">
        <f t="shared" si="30"/>
        <v>D</v>
      </c>
      <c r="AX9" s="110"/>
      <c r="AY9" s="111"/>
      <c r="AZ9" s="112"/>
      <c r="BA9" s="112"/>
      <c r="BB9" s="165" t="str">
        <f>IFERROR((((COUNTIF('Elève (3ème4)'!AX9:BA9,"A"))*4)+((COUNTIF('Elève (3ème4)'!AX9:BA9,"B"))*3)+((COUNTIF('Elève (3ème4)'!AX9:BA9,"C"))*2)+((COUNTIF('Elève (3ème4)'!AX9:BA9,"D"))*1))/(COUNTA(AX9:BA9)),"")</f>
        <v/>
      </c>
      <c r="BC9" s="166" t="str">
        <f t="shared" si="31"/>
        <v/>
      </c>
      <c r="BD9" s="110"/>
      <c r="BE9" s="111" t="s">
        <v>30</v>
      </c>
      <c r="BF9" s="112"/>
      <c r="BG9" s="112"/>
      <c r="BH9" s="112"/>
      <c r="BI9" s="116"/>
      <c r="BJ9" s="165">
        <f>IFERROR((((COUNTIF('Elève (3ème4)'!BD9:BI9,"A"))*4)+((COUNTIF('Elève (3ème4)'!BD9:BI9,"B"))*3)+((COUNTIF('Elève (3ème4)'!BD9:BI9,"C"))*2)+((COUNTIF('Elève (3ème4)'!BD9:BI9,"D"))*1))/(COUNTA(BD9:BI9)),"")</f>
        <v>1</v>
      </c>
      <c r="BK9" s="166" t="str">
        <f t="shared" si="32"/>
        <v>D</v>
      </c>
      <c r="BL9" s="165">
        <f>IF(COUNT(AV9,BB9,BJ9)=0,"",SUM(AV9,BB9,BJ9)/COUNT(AV9,BB9,BJ9))</f>
        <v>1</v>
      </c>
      <c r="BM9" s="188" t="str">
        <f t="shared" si="33"/>
        <v>D</v>
      </c>
      <c r="BN9" s="110"/>
      <c r="BO9" s="111" t="s">
        <v>30</v>
      </c>
      <c r="BP9" s="112"/>
      <c r="BQ9" s="165">
        <f>IFERROR((((COUNTIF('Elève (3ème4)'!BN9:BP9,"A"))*4)+((COUNTIF('Elève (3ème4)'!BN9:BP9,"B"))*3)+((COUNTIF('Elève (3ème4)'!BN9:BP9,"C"))*2)+((COUNTIF('Elève (3ème4)'!BN9:BP9,"D"))*1))/(COUNTA(BN9:BP9)),"")</f>
        <v>1</v>
      </c>
      <c r="BR9" s="166" t="str">
        <f t="shared" si="34"/>
        <v>D</v>
      </c>
      <c r="BS9" s="110"/>
      <c r="BT9" s="111"/>
      <c r="BU9" s="112"/>
      <c r="BV9" s="112"/>
      <c r="BW9" s="165" t="str">
        <f>IFERROR((((COUNTIF('Elève (3ème4)'!BS9:BV9,"A"))*4)+((COUNTIF('Elève (3ème4)'!BS9:BV9,"B"))*3)+((COUNTIF('Elève (3ème4)'!BS9:BV9,"C"))*2)+((COUNTIF('Elève (3ème4)'!BS9:BV9,"D"))*1))/(COUNTA(BS9:BV9)),"")</f>
        <v/>
      </c>
      <c r="BX9" s="166" t="str">
        <f t="shared" si="35"/>
        <v/>
      </c>
      <c r="BY9" s="110"/>
      <c r="BZ9" s="111" t="s">
        <v>30</v>
      </c>
      <c r="CA9" s="112"/>
      <c r="CB9" s="112"/>
      <c r="CC9" s="112"/>
      <c r="CD9" s="116"/>
      <c r="CE9" s="165">
        <f>IFERROR((((COUNTIF('Elève (3ème4)'!BY9:CD9,"A"))*4)+((COUNTIF('Elève (3ème4)'!BY9:CD9,"B"))*3)+((COUNTIF('Elève (3ème4)'!BY9:CD9,"C"))*2)+((COUNTIF('Elève (3ème4)'!BY9:CD9,"D"))*1))/(COUNTA(BY9:CD9)),"")</f>
        <v>1</v>
      </c>
      <c r="CF9" s="166" t="str">
        <f t="shared" si="36"/>
        <v>D</v>
      </c>
      <c r="CG9" s="165">
        <f>IF(COUNT(BQ9,BW9,CE9)=0,"",SUM(BQ9,BW9,CE9)/COUNT(BQ9,BW9,CE9))</f>
        <v>1</v>
      </c>
      <c r="CH9" s="188" t="str">
        <f t="shared" si="37"/>
        <v>D</v>
      </c>
      <c r="CI9" s="110"/>
      <c r="CJ9" s="111" t="s">
        <v>30</v>
      </c>
      <c r="CK9" s="112"/>
      <c r="CL9" s="165">
        <f>IFERROR((((COUNTIF('Elève (3ème4)'!CI9:CK9,"A"))*4)+((COUNTIF('Elève (3ème4)'!CI9:CK9,"B"))*3)+((COUNTIF('Elève (3ème4)'!CI9:CK9,"C"))*2)+((COUNTIF('Elève (3ème4)'!CI9:CK9,"D"))*1))/(COUNTA(CI9:CK9)),"")</f>
        <v>1</v>
      </c>
      <c r="CM9" s="166" t="str">
        <f t="shared" si="38"/>
        <v>D</v>
      </c>
      <c r="CN9" s="110"/>
      <c r="CO9" s="111"/>
      <c r="CP9" s="112"/>
      <c r="CQ9" s="112"/>
      <c r="CR9" s="165" t="str">
        <f>IFERROR((((COUNTIF('Elève (3ème4)'!CN9:CQ9,"A"))*4)+((COUNTIF('Elève (3ème4)'!CN9:CQ9,"B"))*3)+((COUNTIF('Elève (3ème4)'!CN9:CQ9,"C"))*2)+((COUNTIF('Elève (3ème4)'!CN9:CQ9,"D"))*1))/(COUNTA(CN9:CQ9)),"")</f>
        <v/>
      </c>
      <c r="CS9" s="166" t="str">
        <f t="shared" si="39"/>
        <v/>
      </c>
      <c r="CT9" s="110"/>
      <c r="CU9" s="111" t="s">
        <v>30</v>
      </c>
      <c r="CV9" s="112"/>
      <c r="CW9" s="112"/>
      <c r="CX9" s="112"/>
      <c r="CY9" s="116"/>
      <c r="CZ9" s="165">
        <f>IFERROR((((COUNTIF('Elève (3ème4)'!CT9:CY9,"A"))*4)+((COUNTIF('Elève (3ème4)'!CT9:CY9,"B"))*3)+((COUNTIF('Elève (3ème4)'!CT9:CY9,"C"))*2)+((COUNTIF('Elève (3ème4)'!CT9:CY9,"D"))*1))/(COUNTA(CT9:CY9)),"")</f>
        <v>1</v>
      </c>
      <c r="DA9" s="166" t="str">
        <f t="shared" si="40"/>
        <v>D</v>
      </c>
      <c r="DB9" s="165">
        <f>IF(COUNT(CL9,CR9,CZ9)=0,"",SUM(CL9,CR9,CZ9)/COUNT(CL9,CR9,CZ9))</f>
        <v>1</v>
      </c>
      <c r="DC9" s="188" t="str">
        <f t="shared" si="41"/>
        <v>D</v>
      </c>
      <c r="DD9" s="110"/>
      <c r="DE9" s="111" t="s">
        <v>30</v>
      </c>
      <c r="DF9" s="112"/>
      <c r="DG9" s="165">
        <f>IFERROR((((COUNTIF('Elève (3ème4)'!DD9:DF9,"A"))*4)+((COUNTIF('Elève (3ème4)'!DD9:DF9,"B"))*3)+((COUNTIF('Elève (3ème4)'!DD9:DF9,"C"))*2)+((COUNTIF('Elève (3ème4)'!DD9:DF9,"D"))*1))/(COUNTA(DD9:DF9)),"")</f>
        <v>1</v>
      </c>
      <c r="DH9" s="166" t="str">
        <f t="shared" si="42"/>
        <v>D</v>
      </c>
      <c r="DI9" s="110"/>
      <c r="DJ9" s="111"/>
      <c r="DK9" s="112"/>
      <c r="DL9" s="112"/>
      <c r="DM9" s="165" t="str">
        <f>IFERROR((((COUNTIF('Elève (3ème4)'!DI9:DL9,"A"))*4)+((COUNTIF('Elève (3ème4)'!DI9:DL9,"B"))*3)+((COUNTIF('Elève (3ème4)'!DI9:DL9,"C"))*2)+((COUNTIF('Elève (3ème4)'!DI9:DL9,"D"))*1))/(COUNTA(DI9:DL9)),"")</f>
        <v/>
      </c>
      <c r="DN9" s="166" t="str">
        <f t="shared" si="43"/>
        <v/>
      </c>
      <c r="DO9" s="110"/>
      <c r="DP9" s="111" t="s">
        <v>28</v>
      </c>
      <c r="DQ9" s="112"/>
      <c r="DR9" s="112"/>
      <c r="DS9" s="112"/>
      <c r="DT9" s="116"/>
      <c r="DU9" s="165">
        <f>IFERROR((((COUNTIF('Elève (3ème4)'!DO9:DT9,"A"))*4)+((COUNTIF('Elève (3ème4)'!DO9:DT9,"B"))*3)+((COUNTIF('Elève (3ème4)'!DO9:DT9,"C"))*2)+((COUNTIF('Elève (3ème4)'!DO9:DT9,"D"))*1))/(COUNTA(DO9:DT9)),"")</f>
        <v>3</v>
      </c>
      <c r="DV9" s="166" t="str">
        <f t="shared" si="44"/>
        <v>B</v>
      </c>
      <c r="DW9" s="165">
        <f>IF(COUNT(DG9,DM9,DU9)=0,"",SUM(DG9,DM9,DU9)/COUNT(DG9,DM9,DU9))</f>
        <v>2</v>
      </c>
      <c r="DX9" s="188" t="str">
        <f t="shared" si="45"/>
        <v>C</v>
      </c>
      <c r="DY9" s="110"/>
      <c r="DZ9" s="111" t="s">
        <v>30</v>
      </c>
      <c r="EA9" s="112"/>
      <c r="EB9" s="165">
        <f>IFERROR((((COUNTIF('Elève (3ème4)'!DY9:EA9,"A"))*4)+((COUNTIF('Elève (3ème4)'!DY9:EA9,"B"))*3)+((COUNTIF('Elève (3ème4)'!DY9:EA9,"C"))*2)+((COUNTIF('Elève (3ème4)'!DY9:EA9,"D"))*1))/(COUNTA(DY9:EA9)),"")</f>
        <v>1</v>
      </c>
      <c r="EC9" s="166" t="str">
        <f t="shared" si="46"/>
        <v>D</v>
      </c>
      <c r="ED9" s="110"/>
      <c r="EE9" s="111"/>
      <c r="EF9" s="112"/>
      <c r="EG9" s="112"/>
      <c r="EH9" s="165" t="str">
        <f>IFERROR((((COUNTIF('Elève (3ème4)'!ED9:EG9,"A"))*4)+((COUNTIF('Elève (3ème4)'!ED9:EG9,"B"))*3)+((COUNTIF('Elève (3ème4)'!ED9:EG9,"C"))*2)+((COUNTIF('Elève (3ème4)'!ED9:EG9,"D"))*1))/(COUNTA(ED9:EG9)),"")</f>
        <v/>
      </c>
      <c r="EI9" s="166" t="str">
        <f t="shared" si="47"/>
        <v/>
      </c>
      <c r="EJ9" s="110"/>
      <c r="EK9" s="111" t="s">
        <v>27</v>
      </c>
      <c r="EL9" s="112"/>
      <c r="EM9" s="112"/>
      <c r="EN9" s="112"/>
      <c r="EO9" s="116"/>
      <c r="EP9" s="165">
        <f>IFERROR((((COUNTIF('Elève (3ème4)'!EJ9:EO9,"A"))*4)+((COUNTIF('Elève (3ème4)'!EJ9:EO9,"B"))*3)+((COUNTIF('Elève (3ème4)'!EJ9:EO9,"C"))*2)+((COUNTIF('Elève (3ème4)'!EJ9:EO9,"D"))*1))/(COUNTA(EJ9:EO9)),"")</f>
        <v>4</v>
      </c>
      <c r="EQ9" s="166" t="str">
        <f t="shared" si="48"/>
        <v>A</v>
      </c>
      <c r="ER9" s="165">
        <f>IF(COUNT(EB9,EH9,EP9)=0,"",SUM(EB9,EH9,EP9)/COUNT(EB9,EH9,EP9))</f>
        <v>2.5</v>
      </c>
      <c r="ES9" s="188" t="str">
        <f t="shared" si="49"/>
        <v>C</v>
      </c>
      <c r="ET9" s="110"/>
      <c r="EU9" s="111" t="s">
        <v>29</v>
      </c>
      <c r="EV9" s="112"/>
      <c r="EW9" s="165">
        <f>IFERROR((((COUNTIF('Elève (3ème4)'!ET9:EV9,"A"))*4)+((COUNTIF('Elève (3ème4)'!ET9:EV9,"B"))*3)+((COUNTIF('Elève (3ème4)'!ET9:EV9,"C"))*2)+((COUNTIF('Elève (3ème4)'!ET9:EV9,"D"))*1))/(COUNTA(ET9:EV9)),"")</f>
        <v>2</v>
      </c>
      <c r="EX9" s="166" t="str">
        <f t="shared" si="50"/>
        <v>C</v>
      </c>
      <c r="EY9" s="110"/>
      <c r="EZ9" s="111"/>
      <c r="FA9" s="112"/>
      <c r="FB9" s="112"/>
      <c r="FC9" s="165" t="str">
        <f>IFERROR((((COUNTIF('Elève (3ème4)'!EY9:FB9,"A"))*4)+((COUNTIF('Elève (3ème4)'!EY9:FB9,"B"))*3)+((COUNTIF('Elève (3ème4)'!EY9:FB9,"C"))*2)+((COUNTIF('Elève (3ème4)'!EY9:FB9,"D"))*1))/(COUNTA(EY9:FB9)),"")</f>
        <v/>
      </c>
      <c r="FD9" s="166" t="str">
        <f t="shared" si="51"/>
        <v/>
      </c>
      <c r="FE9" s="110"/>
      <c r="FF9" s="111" t="s">
        <v>29</v>
      </c>
      <c r="FG9" s="112"/>
      <c r="FH9" s="112"/>
      <c r="FI9" s="112"/>
      <c r="FJ9" s="116"/>
      <c r="FK9" s="165">
        <f>IFERROR((((COUNTIF('Elève (3ème4)'!FE9:FJ9,"A"))*4)+((COUNTIF('Elève (3ème4)'!FE9:FJ9,"B"))*3)+((COUNTIF('Elève (3ème4)'!FE9:FJ9,"C"))*2)+((COUNTIF('Elève (3ème4)'!FE9:FJ9,"D"))*1))/(COUNTA(FE9:FJ9)),"")</f>
        <v>2</v>
      </c>
      <c r="FL9" s="166" t="str">
        <f t="shared" si="52"/>
        <v>C</v>
      </c>
      <c r="FM9" s="165">
        <f>IF(COUNT(EW9,FC9,FK9)=0,"",SUM(EW9,FC9,FK9)/COUNT(EW9,FC9,FK9))</f>
        <v>2</v>
      </c>
      <c r="FN9" s="188" t="str">
        <f t="shared" si="53"/>
        <v>C</v>
      </c>
      <c r="FO9" s="110"/>
      <c r="FP9" s="111" t="s">
        <v>30</v>
      </c>
      <c r="FQ9" s="112"/>
      <c r="FR9" s="165">
        <f>IFERROR((((COUNTIF('Elève (3ème4)'!FO9:FQ9,"A"))*4)+((COUNTIF('Elève (3ème4)'!FO9:FQ9,"B"))*3)+((COUNTIF('Elève (3ème4)'!FO9:FQ9,"C"))*2)+((COUNTIF('Elève (3ème4)'!FO9:FQ9,"D"))*1))/(COUNTA(FO9:FQ9)),"")</f>
        <v>1</v>
      </c>
      <c r="FS9" s="166" t="str">
        <f t="shared" si="54"/>
        <v>D</v>
      </c>
      <c r="FT9" s="110"/>
      <c r="FU9" s="111"/>
      <c r="FV9" s="112"/>
      <c r="FW9" s="112"/>
      <c r="FX9" s="165" t="str">
        <f>IFERROR((((COUNTIF('Elève (3ème4)'!FT9:FW9,"A"))*4)+((COUNTIF('Elève (3ème4)'!FT9:FW9,"B"))*3)+((COUNTIF('Elève (3ème4)'!FT9:FW9,"C"))*2)+((COUNTIF('Elève (3ème4)'!FT9:FW9,"D"))*1))/(COUNTA(FT9:FW9)),"")</f>
        <v/>
      </c>
      <c r="FY9" s="166" t="str">
        <f t="shared" si="55"/>
        <v/>
      </c>
      <c r="FZ9" s="110"/>
      <c r="GA9" s="111" t="s">
        <v>29</v>
      </c>
      <c r="GB9" s="112"/>
      <c r="GC9" s="112"/>
      <c r="GD9" s="112"/>
      <c r="GE9" s="116"/>
      <c r="GF9" s="165">
        <f>IFERROR((((COUNTIF('Elève (3ème4)'!FZ9:GE9,"A"))*4)+((COUNTIF('Elève (3ème4)'!FZ9:GE9,"B"))*3)+((COUNTIF('Elève (3ème4)'!FZ9:GE9,"C"))*2)+((COUNTIF('Elève (3ème4)'!FZ9:GE9,"D"))*1))/(COUNTA(FZ9:GE9)),"")</f>
        <v>2</v>
      </c>
      <c r="GG9" s="166" t="str">
        <f t="shared" si="56"/>
        <v>C</v>
      </c>
      <c r="GH9" s="165">
        <f>IF(COUNT(FR9,FX9,GF9)=0,"",SUM(FR9,FX9,GF9)/COUNT(FR9,FX9,GF9))</f>
        <v>1.5</v>
      </c>
      <c r="GI9" s="188" t="str">
        <f t="shared" si="57"/>
        <v>D</v>
      </c>
      <c r="GJ9" s="110"/>
      <c r="GK9" s="111" t="s">
        <v>30</v>
      </c>
      <c r="GL9" s="112"/>
      <c r="GM9" s="165">
        <f>IFERROR((((COUNTIF('Elève (3ème4)'!GJ9:GL9,"A"))*4)+((COUNTIF('Elève (3ème4)'!GJ9:GL9,"B"))*3)+((COUNTIF('Elève (3ème4)'!GJ9:GL9,"C"))*2)+((COUNTIF('Elève (3ème4)'!GJ9:GL9,"D"))*1))/(COUNTA(GJ9:GL9)),"")</f>
        <v>1</v>
      </c>
      <c r="GN9" s="166" t="str">
        <f t="shared" si="58"/>
        <v>D</v>
      </c>
      <c r="GO9" s="110"/>
      <c r="GP9" s="111"/>
      <c r="GQ9" s="112"/>
      <c r="GR9" s="112"/>
      <c r="GS9" s="165" t="str">
        <f>IFERROR((((COUNTIF('Elève (3ème4)'!GO9:GR9,"A"))*4)+((COUNTIF('Elève (3ème4)'!GO9:GR9,"B"))*3)+((COUNTIF('Elève (3ème4)'!GO9:GR9,"C"))*2)+((COUNTIF('Elève (3ème4)'!GO9:GR9,"D"))*1))/(COUNTA(GO9:GR9)),"")</f>
        <v/>
      </c>
      <c r="GT9" s="166" t="str">
        <f t="shared" si="59"/>
        <v/>
      </c>
      <c r="GU9" s="110"/>
      <c r="GV9" s="111" t="s">
        <v>27</v>
      </c>
      <c r="GW9" s="112"/>
      <c r="GX9" s="112"/>
      <c r="GY9" s="112"/>
      <c r="GZ9" s="116"/>
      <c r="HA9" s="165">
        <f>IFERROR((((COUNTIF('Elève (3ème4)'!GU9:GZ9,"A"))*4)+((COUNTIF('Elève (3ème4)'!GU9:GZ9,"B"))*3)+((COUNTIF('Elève (3ème4)'!GU9:GZ9,"C"))*2)+((COUNTIF('Elève (3ème4)'!GU9:GZ9,"D"))*1))/(COUNTA(GU9:GZ9)),"")</f>
        <v>4</v>
      </c>
      <c r="HB9" s="166" t="str">
        <f t="shared" si="60"/>
        <v>A</v>
      </c>
      <c r="HC9" s="165">
        <f>IF(COUNT(GM9,GS9,HA9)=0,"",SUM(GM9,GS9,HA9)/COUNT(GM9,GS9,HA9))</f>
        <v>2.5</v>
      </c>
      <c r="HD9" s="188" t="str">
        <f t="shared" si="61"/>
        <v>C</v>
      </c>
      <c r="HE9" s="110"/>
      <c r="HF9" s="111" t="s">
        <v>30</v>
      </c>
      <c r="HG9" s="112"/>
      <c r="HH9" s="165">
        <f>IFERROR((((COUNTIF('Elève (3ème4)'!HE9:HG9,"A"))*4)+((COUNTIF('Elève (3ème4)'!HE9:HG9,"B"))*3)+((COUNTIF('Elève (3ème4)'!HE9:HG9,"C"))*2)+((COUNTIF('Elève (3ème4)'!HE9:HG9,"D"))*1))/(COUNTA(HE9:HG9)),"")</f>
        <v>1</v>
      </c>
      <c r="HI9" s="166" t="str">
        <f t="shared" si="62"/>
        <v>D</v>
      </c>
      <c r="HJ9" s="110"/>
      <c r="HK9" s="111"/>
      <c r="HL9" s="112"/>
      <c r="HM9" s="112"/>
      <c r="HN9" s="165" t="str">
        <f>IFERROR((((COUNTIF('Elève (3ème4)'!HJ9:HM9,"A"))*4)+((COUNTIF('Elève (3ème4)'!HJ9:HM9,"B"))*3)+((COUNTIF('Elève (3ème4)'!HJ9:HM9,"C"))*2)+((COUNTIF('Elève (3ème4)'!HJ9:HM9,"D"))*1))/(COUNTA(HJ9:HM9)),"")</f>
        <v/>
      </c>
      <c r="HO9" s="166" t="str">
        <f t="shared" si="63"/>
        <v/>
      </c>
      <c r="HP9" s="110"/>
      <c r="HQ9" s="111" t="s">
        <v>30</v>
      </c>
      <c r="HR9" s="112"/>
      <c r="HS9" s="112"/>
      <c r="HT9" s="112"/>
      <c r="HU9" s="116"/>
      <c r="HV9" s="165">
        <f>IFERROR((((COUNTIF('Elève (3ème4)'!HP9:HU9,"A"))*4)+((COUNTIF('Elève (3ème4)'!HP9:HU9,"B"))*3)+((COUNTIF('Elève (3ème4)'!HP9:HU9,"C"))*2)+((COUNTIF('Elève (3ème4)'!HP9:HU9,"D"))*1))/(COUNTA(HP9:HU9)),"")</f>
        <v>1</v>
      </c>
      <c r="HW9" s="166" t="str">
        <f t="shared" si="64"/>
        <v>D</v>
      </c>
      <c r="HX9" s="165">
        <f>IF(COUNT(HH9,HN9,HV9)=0,"",SUM(HH9,HN9,HV9)/COUNT(HH9,HN9,HV9))</f>
        <v>1</v>
      </c>
      <c r="HY9" s="188" t="str">
        <f t="shared" si="65"/>
        <v>D</v>
      </c>
      <c r="HZ9" s="110"/>
      <c r="IA9" s="111" t="s">
        <v>29</v>
      </c>
      <c r="IB9" s="112"/>
      <c r="IC9" s="165">
        <f>IFERROR((((COUNTIF('Elève (3ème4)'!HZ9:IB9,"A"))*4)+((COUNTIF('Elève (3ème4)'!HZ9:IB9,"B"))*3)+((COUNTIF('Elève (3ème4)'!HZ9:IB9,"C"))*2)+((COUNTIF('Elève (3ème4)'!HZ9:IB9,"D"))*1))/(COUNTA(HZ9:IB9)),"")</f>
        <v>2</v>
      </c>
      <c r="ID9" s="166" t="str">
        <f t="shared" si="66"/>
        <v>C</v>
      </c>
      <c r="IE9" s="110"/>
      <c r="IF9" s="111"/>
      <c r="IG9" s="112"/>
      <c r="IH9" s="112"/>
      <c r="II9" s="165" t="str">
        <f>IFERROR((((COUNTIF('Elève (3ème4)'!IE9:IH9,"A"))*4)+((COUNTIF('Elève (3ème4)'!IE9:IH9,"B"))*3)+((COUNTIF('Elève (3ème4)'!IE9:IH9,"C"))*2)+((COUNTIF('Elève (3ème4)'!IE9:IH9,"D"))*1))/(COUNTA(IE9:IH9)),"")</f>
        <v/>
      </c>
      <c r="IJ9" s="166" t="str">
        <f t="shared" si="67"/>
        <v/>
      </c>
      <c r="IK9" s="110"/>
      <c r="IL9" s="111" t="s">
        <v>28</v>
      </c>
      <c r="IM9" s="112"/>
      <c r="IN9" s="112"/>
      <c r="IO9" s="112"/>
      <c r="IP9" s="116"/>
      <c r="IQ9" s="165">
        <f>IFERROR((((COUNTIF('Elève (3ème4)'!IK9:IP9,"A"))*4)+((COUNTIF('Elève (3ème4)'!IK9:IP9,"B"))*3)+((COUNTIF('Elève (3ème4)'!IK9:IP9,"C"))*2)+((COUNTIF('Elève (3ème4)'!IK9:IP9,"D"))*1))/(COUNTA(IK9:IP9)),"")</f>
        <v>3</v>
      </c>
      <c r="IR9" s="166" t="str">
        <f t="shared" si="68"/>
        <v>B</v>
      </c>
      <c r="IS9" s="165">
        <f>IF(COUNT(IC9,II9,IQ9)=0,"",SUM(IC9,II9,IQ9)/COUNT(IC9,II9,IQ9))</f>
        <v>2.5</v>
      </c>
      <c r="IT9" s="188" t="str">
        <f t="shared" si="69"/>
        <v>C</v>
      </c>
      <c r="IU9" s="110"/>
      <c r="IV9" s="111" t="s">
        <v>30</v>
      </c>
      <c r="IW9" s="112"/>
      <c r="IX9" s="165">
        <f>IFERROR((((COUNTIF('Elève (3ème4)'!IU9:IW9,"A"))*4)+((COUNTIF('Elève (3ème4)'!IU9:IW9,"B"))*3)+((COUNTIF('Elève (3ème4)'!IU9:IW9,"C"))*2)+((COUNTIF('Elève (3ème4)'!IU9:IW9,"D"))*1))/(COUNTA(IU9:IW9)),"")</f>
        <v>1</v>
      </c>
      <c r="IY9" s="166" t="str">
        <f t="shared" si="70"/>
        <v>D</v>
      </c>
      <c r="IZ9" s="110"/>
      <c r="JA9" s="111"/>
      <c r="JB9" s="112"/>
      <c r="JC9" s="112"/>
      <c r="JD9" s="165" t="str">
        <f>IFERROR((((COUNTIF('Elève (3ème4)'!IZ9:JC9,"A"))*4)+((COUNTIF('Elève (3ème4)'!IZ9:JC9,"B"))*3)+((COUNTIF('Elève (3ème4)'!IZ9:JC9,"C"))*2)+((COUNTIF('Elève (3ème4)'!IZ9:JC9,"D"))*1))/(COUNTA(IZ9:JC9)),"")</f>
        <v/>
      </c>
      <c r="JE9" s="166" t="str">
        <f t="shared" si="71"/>
        <v/>
      </c>
      <c r="JF9" s="110"/>
      <c r="JG9" s="111" t="s">
        <v>30</v>
      </c>
      <c r="JH9" s="112"/>
      <c r="JI9" s="112"/>
      <c r="JJ9" s="112"/>
      <c r="JK9" s="116"/>
      <c r="JL9" s="165">
        <f>IFERROR((((COUNTIF('Elève (3ème4)'!JF9:JK9,"A"))*4)+((COUNTIF('Elève (3ème4)'!JF9:JK9,"B"))*3)+((COUNTIF('Elève (3ème4)'!JF9:JK9,"C"))*2)+((COUNTIF('Elève (3ème4)'!JF9:JK9,"D"))*1))/(COUNTA(JF9:JK9)),"")</f>
        <v>1</v>
      </c>
      <c r="JM9" s="166" t="str">
        <f t="shared" si="72"/>
        <v>D</v>
      </c>
      <c r="JN9" s="165">
        <f>IF(COUNT(IX9,JD9,JL9)=0,"",SUM(IX9,JD9,JL9)/COUNT(IX9,JD9,JL9))</f>
        <v>1</v>
      </c>
      <c r="JO9" s="188" t="str">
        <f t="shared" si="73"/>
        <v>D</v>
      </c>
      <c r="JP9" s="110"/>
      <c r="JQ9" s="111" t="s">
        <v>30</v>
      </c>
      <c r="JR9" s="112"/>
      <c r="JS9" s="165">
        <f>IFERROR((((COUNTIF('Elève (3ème4)'!JP9:JR9,"A"))*4)+((COUNTIF('Elève (3ème4)'!JP9:JR9,"B"))*3)+((COUNTIF('Elève (3ème4)'!JP9:JR9,"C"))*2)+((COUNTIF('Elève (3ème4)'!JP9:JR9,"D"))*1))/(COUNTA(JP9:JR9)),"")</f>
        <v>1</v>
      </c>
      <c r="JT9" s="166" t="str">
        <f t="shared" si="74"/>
        <v>D</v>
      </c>
      <c r="JU9" s="110"/>
      <c r="JV9" s="111"/>
      <c r="JW9" s="112"/>
      <c r="JX9" s="112"/>
      <c r="JY9" s="165" t="str">
        <f>IFERROR((((COUNTIF('Elève (3ème4)'!JU9:JX9,"A"))*4)+((COUNTIF('Elève (3ème4)'!JU9:JX9,"B"))*3)+((COUNTIF('Elève (3ème4)'!JU9:JX9,"C"))*2)+((COUNTIF('Elève (3ème4)'!JU9:JX9,"D"))*1))/(COUNTA(JU9:JX9)),"")</f>
        <v/>
      </c>
      <c r="JZ9" s="166" t="str">
        <f t="shared" si="75"/>
        <v/>
      </c>
      <c r="KA9" s="110"/>
      <c r="KB9" s="111" t="s">
        <v>28</v>
      </c>
      <c r="KC9" s="112"/>
      <c r="KD9" s="112"/>
      <c r="KE9" s="112"/>
      <c r="KF9" s="116"/>
      <c r="KG9" s="165">
        <f>IFERROR((((COUNTIF('Elève (3ème4)'!KA9:KF9,"A"))*4)+((COUNTIF('Elève (3ème4)'!KA9:KF9,"B"))*3)+((COUNTIF('Elève (3ème4)'!KA9:KF9,"C"))*2)+((COUNTIF('Elève (3ème4)'!KA9:KF9,"D"))*1))/(COUNTA(KA9:KF9)),"")</f>
        <v>3</v>
      </c>
      <c r="KH9" s="166" t="str">
        <f t="shared" si="76"/>
        <v>B</v>
      </c>
      <c r="KI9" s="165">
        <f>IF(COUNT(JS9,JY9,KG9)=0,"",SUM(JS9,JY9,KG9)/COUNT(JS9,JY9,KG9))</f>
        <v>2</v>
      </c>
      <c r="KJ9" s="188" t="str">
        <f t="shared" si="77"/>
        <v>C</v>
      </c>
      <c r="KK9" s="110"/>
      <c r="KL9" s="111" t="s">
        <v>30</v>
      </c>
      <c r="KM9" s="112"/>
      <c r="KN9" s="165">
        <f>IFERROR((((COUNTIF('Elève (3ème4)'!KK9:KM9,"A"))*4)+((COUNTIF('Elève (3ème4)'!KK9:KM9,"B"))*3)+((COUNTIF('Elève (3ème4)'!KK9:KM9,"C"))*2)+((COUNTIF('Elève (3ème4)'!KK9:KM9,"D"))*1))/(COUNTA(KK9:KM9)),"")</f>
        <v>1</v>
      </c>
      <c r="KO9" s="166" t="str">
        <f t="shared" si="78"/>
        <v>D</v>
      </c>
      <c r="KP9" s="110"/>
      <c r="KQ9" s="111"/>
      <c r="KR9" s="112"/>
      <c r="KS9" s="112"/>
      <c r="KT9" s="165" t="str">
        <f>IFERROR((((COUNTIF('Elève (3ème4)'!KP9:KS9,"A"))*4)+((COUNTIF('Elève (3ème4)'!KP9:KS9,"B"))*3)+((COUNTIF('Elève (3ème4)'!KP9:KS9,"C"))*2)+((COUNTIF('Elève (3ème4)'!KP9:KS9,"D"))*1))/(COUNTA(KP9:KS9)),"")</f>
        <v/>
      </c>
      <c r="KU9" s="166" t="str">
        <f t="shared" si="79"/>
        <v/>
      </c>
      <c r="KV9" s="110"/>
      <c r="KW9" s="111" t="s">
        <v>29</v>
      </c>
      <c r="KX9" s="112"/>
      <c r="KY9" s="112"/>
      <c r="KZ9" s="112"/>
      <c r="LA9" s="116"/>
      <c r="LB9" s="165">
        <f>IFERROR((((COUNTIF('Elève (3ème4)'!KV9:LA9,"A"))*4)+((COUNTIF('Elève (3ème4)'!KV9:LA9,"B"))*3)+((COUNTIF('Elève (3ème4)'!KV9:LA9,"C"))*2)+((COUNTIF('Elève (3ème4)'!KV9:LA9,"D"))*1))/(COUNTA(KV9:LA9)),"")</f>
        <v>2</v>
      </c>
      <c r="LC9" s="166" t="str">
        <f t="shared" si="80"/>
        <v>C</v>
      </c>
      <c r="LD9" s="165">
        <f>IF(COUNT(KN9,KT9,LB9)=0,"",SUM(KN9,KT9,LB9)/COUNT(KN9,KT9,LB9))</f>
        <v>1.5</v>
      </c>
      <c r="LE9" s="188" t="str">
        <f t="shared" si="81"/>
        <v>D</v>
      </c>
      <c r="LF9" s="110"/>
      <c r="LG9" s="111" t="s">
        <v>30</v>
      </c>
      <c r="LH9" s="112"/>
      <c r="LI9" s="165">
        <f>IFERROR((((COUNTIF('Elève (3ème4)'!LF9:LH9,"A"))*4)+((COUNTIF('Elève (3ème4)'!LF9:LH9,"B"))*3)+((COUNTIF('Elève (3ème4)'!LF9:LH9,"C"))*2)+((COUNTIF('Elève (3ème4)'!LF9:LH9,"D"))*1))/(COUNTA(LF9:LH9)),"")</f>
        <v>1</v>
      </c>
      <c r="LJ9" s="166" t="str">
        <f t="shared" si="82"/>
        <v>D</v>
      </c>
      <c r="LK9" s="110"/>
      <c r="LL9" s="111"/>
      <c r="LM9" s="112"/>
      <c r="LN9" s="112"/>
      <c r="LO9" s="165" t="str">
        <f>IFERROR((((COUNTIF('Elève (3ème4)'!LK9:LN9,"A"))*4)+((COUNTIF('Elève (3ème4)'!LK9:LN9,"B"))*3)+((COUNTIF('Elève (3ème4)'!LK9:LN9,"C"))*2)+((COUNTIF('Elève (3ème4)'!LK9:LN9,"D"))*1))/(COUNTA(LK9:LN9)),"")</f>
        <v/>
      </c>
      <c r="LP9" s="166" t="str">
        <f t="shared" si="83"/>
        <v/>
      </c>
      <c r="LQ9" s="110"/>
      <c r="LR9" s="111" t="s">
        <v>30</v>
      </c>
      <c r="LS9" s="112"/>
      <c r="LT9" s="112"/>
      <c r="LU9" s="112"/>
      <c r="LV9" s="116"/>
      <c r="LW9" s="165">
        <f>IFERROR((((COUNTIF('Elève (3ème4)'!LQ9:LV9,"A"))*4)+((COUNTIF('Elève (3ème4)'!LQ9:LV9,"B"))*3)+((COUNTIF('Elève (3ème4)'!LQ9:LV9,"C"))*2)+((COUNTIF('Elève (3ème4)'!LQ9:LV9,"D"))*1))/(COUNTA(LQ9:LV9)),"")</f>
        <v>1</v>
      </c>
      <c r="LX9" s="166" t="str">
        <f t="shared" si="84"/>
        <v>D</v>
      </c>
      <c r="LY9" s="165">
        <f>IF(COUNT(LI9,LO9,LW9)=0,"",SUM(LI9,LO9,LW9)/COUNT(LI9,LO9,LW9))</f>
        <v>1</v>
      </c>
      <c r="LZ9" s="188" t="str">
        <f t="shared" si="85"/>
        <v>D</v>
      </c>
      <c r="MA9" s="110"/>
      <c r="MB9" s="111" t="s">
        <v>29</v>
      </c>
      <c r="MC9" s="112"/>
      <c r="MD9" s="165">
        <f>IFERROR((((COUNTIF('Elève (3ème4)'!MA9:MC9,"A"))*4)+((COUNTIF('Elève (3ème4)'!MA9:MC9,"B"))*3)+((COUNTIF('Elève (3ème4)'!MA9:MC9,"C"))*2)+((COUNTIF('Elève (3ème4)'!MA9:MC9,"D"))*1))/(COUNTA(MA9:MC9)),"")</f>
        <v>2</v>
      </c>
      <c r="ME9" s="166" t="str">
        <f t="shared" si="86"/>
        <v>C</v>
      </c>
      <c r="MF9" s="110"/>
      <c r="MG9" s="111"/>
      <c r="MH9" s="112"/>
      <c r="MI9" s="112"/>
      <c r="MJ9" s="165" t="str">
        <f>IFERROR((((COUNTIF('Elève (3ème4)'!MF9:MI9,"A"))*4)+((COUNTIF('Elève (3ème4)'!MF9:MI9,"B"))*3)+((COUNTIF('Elève (3ème4)'!MF9:MI9,"C"))*2)+((COUNTIF('Elève (3ème4)'!MF9:MI9,"D"))*1))/(COUNTA(MF9:MI9)),"")</f>
        <v/>
      </c>
      <c r="MK9" s="166" t="str">
        <f t="shared" si="87"/>
        <v/>
      </c>
      <c r="ML9" s="110"/>
      <c r="MM9" s="111" t="s">
        <v>28</v>
      </c>
      <c r="MN9" s="112"/>
      <c r="MO9" s="112"/>
      <c r="MP9" s="112"/>
      <c r="MQ9" s="116"/>
      <c r="MR9" s="165">
        <f>IFERROR((((COUNTIF('Elève (3ème4)'!ML9:MQ9,"A"))*4)+((COUNTIF('Elève (3ème4)'!ML9:MQ9,"B"))*3)+((COUNTIF('Elève (3ème4)'!ML9:MQ9,"C"))*2)+((COUNTIF('Elève (3ème4)'!ML9:MQ9,"D"))*1))/(COUNTA(ML9:MQ9)),"")</f>
        <v>3</v>
      </c>
      <c r="MS9" s="166" t="str">
        <f t="shared" si="88"/>
        <v>B</v>
      </c>
      <c r="MT9" s="165">
        <f>IF(COUNT(MD9,MJ9,MR9)=0,"",SUM(MD9,MJ9,MR9)/COUNT(MD9,MJ9,MR9))</f>
        <v>2.5</v>
      </c>
      <c r="MU9" s="188" t="str">
        <f t="shared" si="89"/>
        <v>C</v>
      </c>
      <c r="MV9" s="110"/>
      <c r="MW9" s="111" t="s">
        <v>30</v>
      </c>
      <c r="MX9" s="112"/>
      <c r="MY9" s="165">
        <f>IFERROR((((COUNTIF('Elève (3ème4)'!MV9:MX9,"A"))*4)+((COUNTIF('Elève (3ème4)'!MV9:MX9,"B"))*3)+((COUNTIF('Elève (3ème4)'!MV9:MX9,"C"))*2)+((COUNTIF('Elève (3ème4)'!MV9:MX9,"D"))*1))/(COUNTA(MV9:MX9)),"")</f>
        <v>1</v>
      </c>
      <c r="MZ9" s="166" t="str">
        <f t="shared" si="90"/>
        <v>D</v>
      </c>
      <c r="NA9" s="110"/>
      <c r="NB9" s="111"/>
      <c r="NC9" s="112"/>
      <c r="ND9" s="112"/>
      <c r="NE9" s="165" t="str">
        <f>IFERROR((((COUNTIF('Elève (3ème4)'!NA9:ND9,"A"))*4)+((COUNTIF('Elève (3ème4)'!NA9:ND9,"B"))*3)+((COUNTIF('Elève (3ème4)'!NA9:ND9,"C"))*2)+((COUNTIF('Elève (3ème4)'!NA9:ND9,"D"))*1))/(COUNTA(NA9:ND9)),"")</f>
        <v/>
      </c>
      <c r="NF9" s="166" t="str">
        <f t="shared" si="91"/>
        <v/>
      </c>
      <c r="NG9" s="110"/>
      <c r="NH9" s="111" t="s">
        <v>29</v>
      </c>
      <c r="NI9" s="112"/>
      <c r="NJ9" s="112"/>
      <c r="NK9" s="112"/>
      <c r="NL9" s="116"/>
      <c r="NM9" s="165">
        <f>IFERROR((((COUNTIF('Elève (3ème4)'!NG9:NL9,"A"))*4)+((COUNTIF('Elève (3ème4)'!NG9:NL9,"B"))*3)+((COUNTIF('Elève (3ème4)'!NG9:NL9,"C"))*2)+((COUNTIF('Elève (3ème4)'!NG9:NL9,"D"))*1))/(COUNTA(NG9:NL9)),"")</f>
        <v>2</v>
      </c>
      <c r="NN9" s="166" t="str">
        <f t="shared" si="92"/>
        <v>C</v>
      </c>
      <c r="NO9" s="165">
        <f>IF(COUNT(MY9,NE9,NM9)=0,"",SUM(MY9,NE9,NM9)/COUNT(MY9,NE9,NM9))</f>
        <v>1.5</v>
      </c>
      <c r="NP9" s="188" t="str">
        <f t="shared" si="93"/>
        <v>D</v>
      </c>
      <c r="NQ9" s="110"/>
      <c r="NR9" s="111" t="s">
        <v>29</v>
      </c>
      <c r="NS9" s="112"/>
      <c r="NT9" s="165">
        <f>IFERROR((((COUNTIF('Elève (3ème4)'!NQ9:NS9,"A"))*4)+((COUNTIF('Elève (3ème4)'!NQ9:NS9,"B"))*3)+((COUNTIF('Elève (3ème4)'!NQ9:NS9,"C"))*2)+((COUNTIF('Elève (3ème4)'!NQ9:NS9,"D"))*1))/(COUNTA(NQ9:NS9)),"")</f>
        <v>2</v>
      </c>
      <c r="NU9" s="166" t="str">
        <f t="shared" si="94"/>
        <v>C</v>
      </c>
      <c r="NV9" s="110"/>
      <c r="NW9" s="111"/>
      <c r="NX9" s="112"/>
      <c r="NY9" s="112"/>
      <c r="NZ9" s="165" t="str">
        <f>IFERROR((((COUNTIF('Elève (3ème4)'!NV9:NY9,"A"))*4)+((COUNTIF('Elève (3ème4)'!NV9:NY9,"B"))*3)+((COUNTIF('Elève (3ème4)'!NV9:NY9,"C"))*2)+((COUNTIF('Elève (3ème4)'!NV9:NY9,"D"))*1))/(COUNTA(NV9:NY9)),"")</f>
        <v/>
      </c>
      <c r="OA9" s="166" t="str">
        <f t="shared" si="95"/>
        <v/>
      </c>
      <c r="OB9" s="110"/>
      <c r="OC9" s="111" t="s">
        <v>29</v>
      </c>
      <c r="OD9" s="112"/>
      <c r="OE9" s="112"/>
      <c r="OF9" s="112"/>
      <c r="OG9" s="116"/>
      <c r="OH9" s="165">
        <f>IFERROR((((COUNTIF('Elève (3ème4)'!OB9:OG9,"A"))*4)+((COUNTIF('Elève (3ème4)'!OB9:OG9,"B"))*3)+((COUNTIF('Elève (3ème4)'!OB9:OG9,"C"))*2)+((COUNTIF('Elève (3ème4)'!OB9:OG9,"D"))*1))/(COUNTA(OB9:OG9)),"")</f>
        <v>2</v>
      </c>
      <c r="OI9" s="166" t="str">
        <f t="shared" si="96"/>
        <v>C</v>
      </c>
      <c r="OJ9" s="165">
        <f>IF(COUNT(NT9,NZ9,OH9)=0,"",SUM(NT9,NZ9,OH9)/COUNT(NT9,NZ9,OH9))</f>
        <v>2</v>
      </c>
      <c r="OK9" s="188" t="str">
        <f t="shared" si="97"/>
        <v>C</v>
      </c>
      <c r="OL9" s="110"/>
      <c r="OM9" s="111" t="s">
        <v>30</v>
      </c>
      <c r="ON9" s="112"/>
      <c r="OO9" s="165">
        <f>IFERROR((((COUNTIF('Elève (3ème4)'!OL9:ON9,"A"))*4)+((COUNTIF('Elève (3ème4)'!OL9:ON9,"B"))*3)+((COUNTIF('Elève (3ème4)'!OL9:ON9,"C"))*2)+((COUNTIF('Elève (3ème4)'!OL9:ON9,"D"))*1))/(COUNTA(OL9:ON9)),"")</f>
        <v>1</v>
      </c>
      <c r="OP9" s="166" t="str">
        <f t="shared" si="98"/>
        <v>D</v>
      </c>
      <c r="OQ9" s="110"/>
      <c r="OR9" s="111"/>
      <c r="OS9" s="112"/>
      <c r="OT9" s="112"/>
      <c r="OU9" s="165" t="str">
        <f>IFERROR((((COUNTIF('Elève (3ème4)'!OQ9:OT9,"A"))*4)+((COUNTIF('Elève (3ème4)'!OQ9:OT9,"B"))*3)+((COUNTIF('Elève (3ème4)'!OQ9:OT9,"C"))*2)+((COUNTIF('Elève (3ème4)'!OQ9:OT9,"D"))*1))/(COUNTA(OQ9:OT9)),"")</f>
        <v/>
      </c>
      <c r="OV9" s="166" t="str">
        <f t="shared" si="99"/>
        <v/>
      </c>
      <c r="OW9" s="110"/>
      <c r="OX9" s="111" t="s">
        <v>30</v>
      </c>
      <c r="OY9" s="112"/>
      <c r="OZ9" s="112"/>
      <c r="PA9" s="112"/>
      <c r="PB9" s="116"/>
      <c r="PC9" s="165">
        <f>IFERROR((((COUNTIF('Elève (3ème4)'!OW9:PB9,"A"))*4)+((COUNTIF('Elève (3ème4)'!OW9:PB9,"B"))*3)+((COUNTIF('Elève (3ème4)'!OW9:PB9,"C"))*2)+((COUNTIF('Elève (3ème4)'!OW9:PB9,"D"))*1))/(COUNTA(OW9:PB9)),"")</f>
        <v>1</v>
      </c>
      <c r="PD9" s="166" t="str">
        <f t="shared" si="100"/>
        <v>D</v>
      </c>
      <c r="PE9" s="165">
        <f>IF(COUNT(OO9,OU9,PC9)=0,"",SUM(OO9,OU9,PC9)/COUNT(OO9,OU9,PC9))</f>
        <v>1</v>
      </c>
      <c r="PF9" s="188" t="str">
        <f t="shared" si="101"/>
        <v>D</v>
      </c>
      <c r="PG9" s="110"/>
      <c r="PH9" s="111" t="s">
        <v>30</v>
      </c>
      <c r="PI9" s="112"/>
      <c r="PJ9" s="165">
        <f>IFERROR((((COUNTIF('Elève (3ème4)'!PG9:PI9,"A"))*4)+((COUNTIF('Elève (3ème4)'!PG9:PI9,"B"))*3)+((COUNTIF('Elève (3ème4)'!PG9:PI9,"C"))*2)+((COUNTIF('Elève (3ème4)'!PG9:PI9,"D"))*1))/(COUNTA(PG9:PI9)),"")</f>
        <v>1</v>
      </c>
      <c r="PK9" s="166" t="str">
        <f t="shared" si="102"/>
        <v>D</v>
      </c>
      <c r="PL9" s="110"/>
      <c r="PM9" s="111"/>
      <c r="PN9" s="112"/>
      <c r="PO9" s="112"/>
      <c r="PP9" s="165" t="str">
        <f>IFERROR((((COUNTIF('Elève (3ème4)'!PL9:PO9,"A"))*4)+((COUNTIF('Elève (3ème4)'!PL9:PO9,"B"))*3)+((COUNTIF('Elève (3ème4)'!PL9:PO9,"C"))*2)+((COUNTIF('Elève (3ème4)'!PL9:PO9,"D"))*1))/(COUNTA(PL9:PO9)),"")</f>
        <v/>
      </c>
      <c r="PQ9" s="166" t="str">
        <f t="shared" si="103"/>
        <v/>
      </c>
      <c r="PR9" s="110"/>
      <c r="PS9" s="111" t="s">
        <v>30</v>
      </c>
      <c r="PT9" s="112"/>
      <c r="PU9" s="112"/>
      <c r="PV9" s="112"/>
      <c r="PW9" s="116"/>
      <c r="PX9" s="165">
        <f>IFERROR((((COUNTIF('Elève (3ème4)'!PR9:PW9,"A"))*4)+((COUNTIF('Elève (3ème4)'!PR9:PW9,"B"))*3)+((COUNTIF('Elève (3ème4)'!PR9:PW9,"C"))*2)+((COUNTIF('Elève (3ème4)'!PR9:PW9,"D"))*1))/(COUNTA(PR9:PW9)),"")</f>
        <v>1</v>
      </c>
      <c r="PY9" s="166" t="str">
        <f t="shared" si="104"/>
        <v>D</v>
      </c>
      <c r="PZ9" s="165">
        <f>IF(COUNT(PJ9,PP9,PX9)=0,"",SUM(PJ9,PP9,PX9)/COUNT(PJ9,PP9,PX9))</f>
        <v>1</v>
      </c>
      <c r="QA9" s="188" t="str">
        <f t="shared" si="105"/>
        <v>D</v>
      </c>
      <c r="QB9" s="110"/>
      <c r="QC9" s="111" t="s">
        <v>30</v>
      </c>
      <c r="QD9" s="112"/>
      <c r="QE9" s="165">
        <f>IFERROR((((COUNTIF('Elève (3ème4)'!QB9:QD9,"A"))*4)+((COUNTIF('Elève (3ème4)'!QB9:QD9,"B"))*3)+((COUNTIF('Elève (3ème4)'!QB9:QD9,"C"))*2)+((COUNTIF('Elève (3ème4)'!QB9:QD9,"D"))*1))/(COUNTA(QB9:QD9)),"")</f>
        <v>1</v>
      </c>
      <c r="QF9" s="166" t="str">
        <f t="shared" si="106"/>
        <v>D</v>
      </c>
      <c r="QG9" s="110"/>
      <c r="QH9" s="111"/>
      <c r="QI9" s="112"/>
      <c r="QJ9" s="112"/>
      <c r="QK9" s="165" t="str">
        <f>IFERROR((((COUNTIF('Elève (3ème4)'!QG9:QJ9,"A"))*4)+((COUNTIF('Elève (3ème4)'!QG9:QJ9,"B"))*3)+((COUNTIF('Elève (3ème4)'!QG9:QJ9,"C"))*2)+((COUNTIF('Elève (3ème4)'!QG9:QJ9,"D"))*1))/(COUNTA(QG9:QJ9)),"")</f>
        <v/>
      </c>
      <c r="QL9" s="166" t="str">
        <f t="shared" si="107"/>
        <v/>
      </c>
      <c r="QM9" s="110"/>
      <c r="QN9" s="111" t="s">
        <v>30</v>
      </c>
      <c r="QO9" s="112"/>
      <c r="QP9" s="112"/>
      <c r="QQ9" s="112"/>
      <c r="QR9" s="116"/>
      <c r="QS9" s="165">
        <f>IFERROR((((COUNTIF('Elève (3ème4)'!QM9:QR9,"A"))*4)+((COUNTIF('Elève (3ème4)'!QM9:QR9,"B"))*3)+((COUNTIF('Elève (3ème4)'!QM9:QR9,"C"))*2)+((COUNTIF('Elève (3ème4)'!QM9:QR9,"D"))*1))/(COUNTA(QM9:QR9)),"")</f>
        <v>1</v>
      </c>
      <c r="QT9" s="166" t="str">
        <f t="shared" si="108"/>
        <v>D</v>
      </c>
      <c r="QU9" s="165">
        <f>IF(COUNT(QE9,QK9,QS9)=0,"",SUM(QE9,QK9,QS9)/COUNT(QE9,QK9,QS9))</f>
        <v>1</v>
      </c>
      <c r="QV9" s="188" t="str">
        <f t="shared" si="109"/>
        <v>D</v>
      </c>
      <c r="QW9" s="110"/>
      <c r="QX9" s="111" t="s">
        <v>30</v>
      </c>
      <c r="QY9" s="112"/>
      <c r="QZ9" s="165">
        <f>IFERROR((((COUNTIF('Elève (3ème4)'!QW9:QY9,"A"))*4)+((COUNTIF('Elève (3ème4)'!QW9:QY9,"B"))*3)+((COUNTIF('Elève (3ème4)'!QW9:QY9,"C"))*2)+((COUNTIF('Elève (3ème4)'!QW9:QY9,"D"))*1))/(COUNTA(QW9:QY9)),"")</f>
        <v>1</v>
      </c>
      <c r="RA9" s="166" t="str">
        <f t="shared" si="110"/>
        <v>D</v>
      </c>
      <c r="RB9" s="110"/>
      <c r="RC9" s="111"/>
      <c r="RD9" s="112"/>
      <c r="RE9" s="112"/>
      <c r="RF9" s="165" t="str">
        <f>IFERROR((((COUNTIF('Elève (3ème4)'!RB9:RE9,"A"))*4)+((COUNTIF('Elève (3ème4)'!RB9:RE9,"B"))*3)+((COUNTIF('Elève (3ème4)'!RB9:RE9,"C"))*2)+((COUNTIF('Elève (3ème4)'!RB9:RE9,"D"))*1))/(COUNTA(RB9:RE9)),"")</f>
        <v/>
      </c>
      <c r="RG9" s="166" t="str">
        <f t="shared" si="111"/>
        <v/>
      </c>
      <c r="RH9" s="110"/>
      <c r="RI9" s="111" t="s">
        <v>30</v>
      </c>
      <c r="RJ9" s="112"/>
      <c r="RK9" s="112"/>
      <c r="RL9" s="112"/>
      <c r="RM9" s="116"/>
      <c r="RN9" s="165">
        <f>IFERROR((((COUNTIF('Elève (3ème4)'!RH9:RM9,"A"))*4)+((COUNTIF('Elève (3ème4)'!RH9:RM9,"B"))*3)+((COUNTIF('Elève (3ème4)'!RH9:RM9,"C"))*2)+((COUNTIF('Elève (3ème4)'!RH9:RM9,"D"))*1))/(COUNTA(RH9:RM9)),"")</f>
        <v>1</v>
      </c>
      <c r="RO9" s="166" t="str">
        <f t="shared" si="112"/>
        <v>D</v>
      </c>
      <c r="RP9" s="165">
        <f>IF(COUNT(QZ9,RF9,RN9)=0,"",SUM(QZ9,RF9,RN9)/COUNT(QZ9,RF9,RN9))</f>
        <v>1</v>
      </c>
      <c r="RQ9" s="188" t="str">
        <f t="shared" si="113"/>
        <v>D</v>
      </c>
      <c r="RR9" s="110"/>
      <c r="RS9" s="111" t="s">
        <v>29</v>
      </c>
      <c r="RT9" s="112"/>
      <c r="RU9" s="165">
        <f>IFERROR((((COUNTIF('Elève (3ème4)'!RR9:RT9,"A"))*4)+((COUNTIF('Elève (3ème4)'!RR9:RT9,"B"))*3)+((COUNTIF('Elève (3ème4)'!RR9:RT9,"C"))*2)+((COUNTIF('Elève (3ème4)'!RR9:RT9,"D"))*1))/(COUNTA(RR9:RT9)),"")</f>
        <v>2</v>
      </c>
      <c r="RV9" s="166" t="str">
        <f t="shared" si="114"/>
        <v>C</v>
      </c>
      <c r="RW9" s="110"/>
      <c r="RX9" s="111"/>
      <c r="RY9" s="112"/>
      <c r="RZ9" s="112"/>
      <c r="SA9" s="165" t="str">
        <f>IFERROR((((COUNTIF('Elève (3ème4)'!RW9:RZ9,"A"))*4)+((COUNTIF('Elève (3ème4)'!RW9:RZ9,"B"))*3)+((COUNTIF('Elève (3ème4)'!RW9:RZ9,"C"))*2)+((COUNTIF('Elève (3ème4)'!RW9:RZ9,"D"))*1))/(COUNTA(RW9:RZ9)),"")</f>
        <v/>
      </c>
      <c r="SB9" s="166" t="str">
        <f t="shared" si="115"/>
        <v/>
      </c>
      <c r="SC9" s="110"/>
      <c r="SD9" s="111" t="s">
        <v>30</v>
      </c>
      <c r="SE9" s="112"/>
      <c r="SF9" s="112"/>
      <c r="SG9" s="112"/>
      <c r="SH9" s="116"/>
      <c r="SI9" s="165">
        <f>IFERROR((((COUNTIF('Elève (3ème4)'!SC9:SH9,"A"))*4)+((COUNTIF('Elève (3ème4)'!SC9:SH9,"B"))*3)+((COUNTIF('Elève (3ème4)'!SC9:SH9,"C"))*2)+((COUNTIF('Elève (3ème4)'!SC9:SH9,"D"))*1))/(COUNTA(SC9:SH9)),"")</f>
        <v>1</v>
      </c>
      <c r="SJ9" s="166" t="str">
        <f t="shared" si="116"/>
        <v>D</v>
      </c>
      <c r="SK9" s="165">
        <f>IF(COUNT(RU9,SA9,SI9)=0,"",SUM(RU9,SA9,SI9)/COUNT(RU9,SA9,SI9))</f>
        <v>1.5</v>
      </c>
      <c r="SL9" s="188" t="str">
        <f t="shared" si="117"/>
        <v>D</v>
      </c>
      <c r="SM9" s="110"/>
      <c r="SN9" s="111"/>
      <c r="SO9" s="112"/>
      <c r="SP9" s="113" t="str">
        <f>IFERROR((((COUNTIF('Elève (3ème4)'!SM9:SO9,"A"))*4)+((COUNTIF('Elève (3ème4)'!SM9:SO9,"B"))*3)+((COUNTIF('Elève (3ème4)'!SM9:SO9,"C"))*2)+((COUNTIF('Elève (3ème4)'!SM9:SO9,"D"))*1))/(COUNTA(SM9:SO9)),"")</f>
        <v/>
      </c>
      <c r="SQ9" s="114" t="str">
        <f t="shared" si="118"/>
        <v/>
      </c>
      <c r="SR9" s="110"/>
      <c r="SS9" s="111"/>
      <c r="ST9" s="112"/>
      <c r="SU9" s="113" t="str">
        <f>IFERROR((((COUNTIF('Elève (3ème4)'!SR9:ST9,"A"))*4)+((COUNTIF('Elève (3ème4)'!SR9:ST9,"B"))*3)+((COUNTIF('Elève (3ème4)'!SR9:ST9,"C"))*2)+((COUNTIF('Elève (3ème4)'!SR9:ST9,"D"))*1))/(COUNTA(SR9:ST9)),"")</f>
        <v/>
      </c>
      <c r="SV9" s="114" t="str">
        <f t="shared" si="119"/>
        <v/>
      </c>
      <c r="SW9" s="110"/>
      <c r="SX9" s="111"/>
      <c r="SY9" s="116"/>
      <c r="SZ9" s="113" t="str">
        <f>IFERROR((((COUNTIF('Elève (3ème4)'!SW9:SY9,"A"))*4)+((COUNTIF('Elève (3ème4)'!SW9:SY9,"B"))*3)+((COUNTIF('Elève (3ème4)'!SW9:SY9,"C"))*2)+((COUNTIF('Elève (3ème4)'!SW9:SY9,"D"))*1))/(COUNTA(SW9:SY9)),"")</f>
        <v/>
      </c>
      <c r="TA9" s="114" t="str">
        <f t="shared" si="120"/>
        <v/>
      </c>
      <c r="TB9" s="113" t="str">
        <f>IF(COUNT(SP9,SU9,SZ9)=0,"",SUM(SP9,SU9,SZ9)/COUNT(SP9,SU9,SZ9))</f>
        <v/>
      </c>
      <c r="TC9" s="115" t="str">
        <f t="shared" si="121"/>
        <v/>
      </c>
      <c r="TD9" s="110"/>
      <c r="TE9" s="111"/>
      <c r="TF9" s="112"/>
      <c r="TG9" s="113" t="str">
        <f>IFERROR((((COUNTIF('Elève (3ème4)'!TD9:TF9,"A"))*4)+((COUNTIF('Elève (3ème4)'!TD9:TF9,"B"))*3)+((COUNTIF('Elève (3ème4)'!TD9:TF9,"C"))*2)+((COUNTIF('Elève (3ème4)'!TD9:TF9,"D"))*1))/(COUNTA(TD9:TF9)),"")</f>
        <v/>
      </c>
      <c r="TH9" s="114" t="str">
        <f t="shared" si="122"/>
        <v/>
      </c>
      <c r="TI9" s="110"/>
      <c r="TJ9" s="111"/>
      <c r="TK9" s="112"/>
      <c r="TL9" s="113" t="str">
        <f>IFERROR((((COUNTIF('Elève (3ème4)'!TI9:TK9,"A"))*4)+((COUNTIF('Elève (3ème4)'!TI9:TK9,"B"))*3)+((COUNTIF('Elève (3ème4)'!TI9:TK9,"C"))*2)+((COUNTIF('Elève (3ème4)'!TI9:TK9,"D"))*1))/(COUNTA(TI9:TK9)),"")</f>
        <v/>
      </c>
      <c r="TM9" s="114" t="str">
        <f t="shared" si="123"/>
        <v/>
      </c>
      <c r="TN9" s="110"/>
      <c r="TO9" s="111"/>
      <c r="TP9" s="116"/>
      <c r="TQ9" s="113" t="str">
        <f>IFERROR((((COUNTIF('Elève (3ème4)'!TN9:TP9,"A"))*4)+((COUNTIF('Elève (3ème4)'!TN9:TP9,"B"))*3)+((COUNTIF('Elève (3ème4)'!TN9:TP9,"C"))*2)+((COUNTIF('Elève (3ème4)'!TN9:TP9,"D"))*1))/(COUNTA(TN9:TP9)),"")</f>
        <v/>
      </c>
      <c r="TR9" s="114" t="str">
        <f t="shared" si="124"/>
        <v/>
      </c>
      <c r="TS9" s="113" t="str">
        <f>IF(COUNT(TG9,TL9,TQ9)=0,"",SUM(TG9,TL9,TQ9)/COUNT(TG9,TL9,TQ9))</f>
        <v/>
      </c>
      <c r="TT9" s="115" t="str">
        <f t="shared" si="125"/>
        <v/>
      </c>
      <c r="TU9" s="110"/>
      <c r="TV9" s="111"/>
      <c r="TW9" s="112"/>
      <c r="TX9" s="113" t="str">
        <f>IFERROR((((COUNTIF('Elève (3ème4)'!TU9:TW9,"A"))*4)+((COUNTIF('Elève (3ème4)'!TU9:TW9,"B"))*3)+((COUNTIF('Elève (3ème4)'!TU9:TW9,"C"))*2)+((COUNTIF('Elève (3ème4)'!TU9:TW9,"D"))*1))/(COUNTA(TU9:TW9)),"")</f>
        <v/>
      </c>
      <c r="TY9" s="114" t="str">
        <f t="shared" si="126"/>
        <v/>
      </c>
      <c r="TZ9" s="110"/>
      <c r="UA9" s="111"/>
      <c r="UB9" s="112"/>
      <c r="UC9" s="113" t="str">
        <f>IFERROR((((COUNTIF('Elève (3ème4)'!TZ9:UB9,"A"))*4)+((COUNTIF('Elève (3ème4)'!TZ9:UB9,"B"))*3)+((COUNTIF('Elève (3ème4)'!TZ9:UB9,"C"))*2)+((COUNTIF('Elève (3ème4)'!TZ9:UB9,"D"))*1))/(COUNTA(TZ9:UB9)),"")</f>
        <v/>
      </c>
      <c r="UD9" s="114" t="str">
        <f t="shared" si="127"/>
        <v/>
      </c>
      <c r="UE9" s="110"/>
      <c r="UF9" s="111"/>
      <c r="UG9" s="116"/>
      <c r="UH9" s="113" t="str">
        <f>IFERROR((((COUNTIF('Elève (3ème4)'!UE9:UG9,"A"))*4)+((COUNTIF('Elève (3ème4)'!UE9:UG9,"B"))*3)+((COUNTIF('Elève (3ème4)'!UE9:UG9,"C"))*2)+((COUNTIF('Elève (3ème4)'!UE9:UG9,"D"))*1))/(COUNTA(UE9:UG9)),"")</f>
        <v/>
      </c>
      <c r="UI9" s="114" t="str">
        <f t="shared" si="128"/>
        <v/>
      </c>
      <c r="UJ9" s="113" t="str">
        <f>IF(COUNT(TX9,UC9,UH9)=0,"",SUM(TX9,UC9,UH9)/COUNT(TX9,UC9,UH9))</f>
        <v/>
      </c>
      <c r="UK9" s="115" t="str">
        <f t="shared" si="129"/>
        <v/>
      </c>
      <c r="UL9" s="110"/>
      <c r="UM9" s="111"/>
      <c r="UN9" s="112"/>
      <c r="UO9" s="113" t="str">
        <f>IFERROR((((COUNTIF('Elève (3ème4)'!UL9:UN9,"A"))*4)+((COUNTIF('Elève (3ème4)'!UL9:UN9,"B"))*3)+((COUNTIF('Elève (3ème4)'!UL9:UN9,"C"))*2)+((COUNTIF('Elève (3ème4)'!UL9:UN9,"D"))*1))/(COUNTA(UL9:UN9)),"")</f>
        <v/>
      </c>
      <c r="UP9" s="114" t="str">
        <f t="shared" si="130"/>
        <v/>
      </c>
      <c r="UQ9" s="110"/>
      <c r="UR9" s="111"/>
      <c r="US9" s="112"/>
      <c r="UT9" s="113" t="str">
        <f>IFERROR((((COUNTIF('Elève (3ème4)'!UQ9:US9,"A"))*4)+((COUNTIF('Elève (3ème4)'!UQ9:US9,"B"))*3)+((COUNTIF('Elève (3ème4)'!UQ9:US9,"C"))*2)+((COUNTIF('Elève (3ème4)'!UQ9:US9,"D"))*1))/(COUNTA(UQ9:US9)),"")</f>
        <v/>
      </c>
      <c r="UU9" s="114" t="str">
        <f t="shared" si="131"/>
        <v/>
      </c>
      <c r="UV9" s="110"/>
      <c r="UW9" s="111"/>
      <c r="UX9" s="116"/>
      <c r="UY9" s="113" t="str">
        <f>IFERROR((((COUNTIF('Elève (3ème4)'!UV9:UX9,"A"))*4)+((COUNTIF('Elève (3ème4)'!UV9:UX9,"B"))*3)+((COUNTIF('Elève (3ème4)'!UV9:UX9,"C"))*2)+((COUNTIF('Elève (3ème4)'!UV9:UX9,"D"))*1))/(COUNTA(UV9:UX9)),"")</f>
        <v/>
      </c>
      <c r="UZ9" s="114" t="str">
        <f t="shared" si="132"/>
        <v/>
      </c>
      <c r="VA9" s="113" t="str">
        <f>IF(COUNT(UO9,UT9,UY9)=0,"",SUM(UO9,UT9,UY9)/COUNT(UO9,UT9,UY9))</f>
        <v/>
      </c>
      <c r="VB9" s="115" t="str">
        <f t="shared" si="133"/>
        <v/>
      </c>
      <c r="VC9" s="110"/>
      <c r="VD9" s="111"/>
      <c r="VE9" s="112"/>
      <c r="VF9" s="113" t="str">
        <f>IFERROR((((COUNTIF('Elève (3ème4)'!VC9:VE9,"A"))*4)+((COUNTIF('Elève (3ème4)'!VC9:VE9,"B"))*3)+((COUNTIF('Elève (3ème4)'!VC9:VE9,"C"))*2)+((COUNTIF('Elève (3ème4)'!VC9:VE9,"D"))*1))/(COUNTA(VC9:VE9)),"")</f>
        <v/>
      </c>
      <c r="VG9" s="114" t="str">
        <f t="shared" si="134"/>
        <v/>
      </c>
      <c r="VH9" s="110"/>
      <c r="VI9" s="111"/>
      <c r="VJ9" s="112"/>
      <c r="VK9" s="113" t="str">
        <f>IFERROR((((COUNTIF('Elève (3ème4)'!VH9:VJ9,"A"))*4)+((COUNTIF('Elève (3ème4)'!VH9:VJ9,"B"))*3)+((COUNTIF('Elève (3ème4)'!VH9:VJ9,"C"))*2)+((COUNTIF('Elève (3ème4)'!VH9:VJ9,"D"))*1))/(COUNTA(VH9:VJ9)),"")</f>
        <v/>
      </c>
      <c r="VL9" s="114" t="str">
        <f t="shared" si="135"/>
        <v/>
      </c>
      <c r="VM9" s="110"/>
      <c r="VN9" s="111"/>
      <c r="VO9" s="116"/>
      <c r="VP9" s="113" t="str">
        <f>IFERROR((((COUNTIF('Elève (3ème4)'!VM9:VO9,"A"))*4)+((COUNTIF('Elève (3ème4)'!VM9:VO9,"B"))*3)+((COUNTIF('Elève (3ème4)'!VM9:VO9,"C"))*2)+((COUNTIF('Elève (3ème4)'!VM9:VO9,"D"))*1))/(COUNTA(VM9:VO9)),"")</f>
        <v/>
      </c>
      <c r="VQ9" s="114" t="str">
        <f t="shared" si="136"/>
        <v/>
      </c>
      <c r="VR9" s="113" t="str">
        <f>IF(COUNT(VF9,VK9,VP9)=0,"",SUM(VF9,VK9,VP9)/COUNT(VF9,VK9,VP9))</f>
        <v/>
      </c>
      <c r="VS9" s="115" t="str">
        <f t="shared" si="137"/>
        <v/>
      </c>
      <c r="VT9" s="110"/>
      <c r="VU9" s="111"/>
      <c r="VV9" s="112"/>
      <c r="VW9" s="113" t="str">
        <f>IFERROR((((COUNTIF('Elève (3ème4)'!VT9:VV9,"A"))*4)+((COUNTIF('Elève (3ème4)'!VT9:VV9,"B"))*3)+((COUNTIF('Elève (3ème4)'!VT9:VV9,"C"))*2)+((COUNTIF('Elève (3ème4)'!VT9:VV9,"D"))*1))/(COUNTA(VT9:VV9)),"")</f>
        <v/>
      </c>
      <c r="VX9" s="114" t="str">
        <f t="shared" si="138"/>
        <v/>
      </c>
      <c r="VY9" s="110"/>
      <c r="VZ9" s="111"/>
      <c r="WA9" s="112"/>
      <c r="WB9" s="113" t="str">
        <f>IFERROR((((COUNTIF('Elève (3ème4)'!VY9:WA9,"A"))*4)+((COUNTIF('Elève (3ème4)'!VY9:WA9,"B"))*3)+((COUNTIF('Elève (3ème4)'!VY9:WA9,"C"))*2)+((COUNTIF('Elève (3ème4)'!VY9:WA9,"D"))*1))/(COUNTA(VY9:WA9)),"")</f>
        <v/>
      </c>
      <c r="WC9" s="114" t="str">
        <f t="shared" si="139"/>
        <v/>
      </c>
      <c r="WD9" s="110"/>
      <c r="WE9" s="111"/>
      <c r="WF9" s="116"/>
      <c r="WG9" s="113" t="str">
        <f>IFERROR((((COUNTIF('Elève (3ème4)'!WD9:WF9,"A"))*4)+((COUNTIF('Elève (3ème4)'!WD9:WF9,"B"))*3)+((COUNTIF('Elève (3ème4)'!WD9:WF9,"C"))*2)+((COUNTIF('Elève (3ème4)'!WD9:WF9,"D"))*1))/(COUNTA(WD9:WF9)),"")</f>
        <v/>
      </c>
      <c r="WH9" s="114" t="str">
        <f t="shared" si="140"/>
        <v/>
      </c>
      <c r="WI9" s="113" t="str">
        <f>IF(COUNT(VW9,WB9,WG9)=0,"",SUM(VW9,WB9,WG9)/COUNT(VW9,WB9,WG9))</f>
        <v/>
      </c>
      <c r="WJ9" s="115" t="str">
        <f t="shared" si="141"/>
        <v/>
      </c>
    </row>
    <row r="10" spans="1:608" s="118" customFormat="1" ht="17.25" customHeight="1" thickBot="1" x14ac:dyDescent="0.6">
      <c r="A10" s="144" t="s">
        <v>17</v>
      </c>
      <c r="B10" s="83">
        <v>1</v>
      </c>
      <c r="C10" s="153"/>
      <c r="D10" s="90"/>
      <c r="E10" s="91"/>
      <c r="F10" s="159">
        <f>IF(COUNT(F11:F12)=0,"",SUM(F11:F12)/COUNT(F11:F12))</f>
        <v>3.75</v>
      </c>
      <c r="G10" s="160" t="str">
        <f t="shared" si="22"/>
        <v>A</v>
      </c>
      <c r="H10" s="153"/>
      <c r="I10" s="90"/>
      <c r="J10" s="90"/>
      <c r="K10" s="91"/>
      <c r="L10" s="159" t="str">
        <f>IF(COUNT(L11,L12)=0,"",SUM(L11:L12)/COUNT(L11,L12))</f>
        <v/>
      </c>
      <c r="M10" s="175" t="str">
        <f t="shared" si="23"/>
        <v/>
      </c>
      <c r="N10" s="153"/>
      <c r="O10" s="90"/>
      <c r="P10" s="90"/>
      <c r="Q10" s="90"/>
      <c r="R10" s="90"/>
      <c r="S10" s="91"/>
      <c r="T10" s="159">
        <f>IF(COUNT(T11,T12)=0,"",SUM(T11:T12)/COUNT(T11,T12))</f>
        <v>4</v>
      </c>
      <c r="U10" s="183" t="str">
        <f t="shared" si="24"/>
        <v>A</v>
      </c>
      <c r="V10" s="184">
        <f>IF(COUNT(V11:V12)=0,"",SUM(V11:V12)/COUNT(V11:V12))</f>
        <v>3.875</v>
      </c>
      <c r="W10" s="185" t="str">
        <f t="shared" si="25"/>
        <v>A</v>
      </c>
      <c r="X10" s="195"/>
      <c r="Y10" s="90"/>
      <c r="Z10" s="91"/>
      <c r="AA10" s="159">
        <f>IF(COUNT(AA11:AA12)=0,"",SUM(AA11:AA12)/COUNT(AA11:AA12))</f>
        <v>2.5</v>
      </c>
      <c r="AB10" s="160" t="str">
        <f t="shared" si="26"/>
        <v>C</v>
      </c>
      <c r="AC10" s="153"/>
      <c r="AD10" s="90"/>
      <c r="AE10" s="90"/>
      <c r="AF10" s="91"/>
      <c r="AG10" s="159" t="str">
        <f>IF(COUNT(AG11,AG12)=0,"",SUM(AG11:AG12)/COUNT(AG11,AG12))</f>
        <v/>
      </c>
      <c r="AH10" s="175" t="str">
        <f t="shared" si="27"/>
        <v/>
      </c>
      <c r="AI10" s="153"/>
      <c r="AJ10" s="90"/>
      <c r="AK10" s="90"/>
      <c r="AL10" s="90"/>
      <c r="AM10" s="90"/>
      <c r="AN10" s="91"/>
      <c r="AO10" s="159" t="str">
        <f>IF(COUNT(AO11,AO12)=0,"",SUM(AO11:AO12)/COUNT(AO11,AO12))</f>
        <v/>
      </c>
      <c r="AP10" s="183" t="str">
        <f t="shared" si="28"/>
        <v/>
      </c>
      <c r="AQ10" s="184">
        <f>IF(COUNT(AQ11:AQ12)=0,"",SUM(AQ11:AQ12)/COUNT(AQ11:AQ12))</f>
        <v>2.5</v>
      </c>
      <c r="AR10" s="185" t="str">
        <f t="shared" si="29"/>
        <v>C</v>
      </c>
      <c r="AS10" s="195"/>
      <c r="AT10" s="90"/>
      <c r="AU10" s="91"/>
      <c r="AV10" s="159">
        <f>IF(COUNT(AV11:AV12)=0,"",SUM(AV11:AV12)/COUNT(AV11:AV12))</f>
        <v>3.25</v>
      </c>
      <c r="AW10" s="160" t="str">
        <f t="shared" si="30"/>
        <v>B</v>
      </c>
      <c r="AX10" s="153"/>
      <c r="AY10" s="90"/>
      <c r="AZ10" s="90"/>
      <c r="BA10" s="91"/>
      <c r="BB10" s="159" t="str">
        <f>IF(COUNT(BB11,BB12)=0,"",SUM(BB11:BB12)/COUNT(BB11,BB12))</f>
        <v/>
      </c>
      <c r="BC10" s="175" t="str">
        <f t="shared" si="31"/>
        <v/>
      </c>
      <c r="BD10" s="153"/>
      <c r="BE10" s="90"/>
      <c r="BF10" s="90"/>
      <c r="BG10" s="90"/>
      <c r="BH10" s="90"/>
      <c r="BI10" s="91"/>
      <c r="BJ10" s="159">
        <f>IF(COUNT(BJ11,BJ12)=0,"",SUM(BJ11:BJ12)/COUNT(BJ11,BJ12))</f>
        <v>3.6666666666666665</v>
      </c>
      <c r="BK10" s="183" t="str">
        <f t="shared" si="32"/>
        <v>B</v>
      </c>
      <c r="BL10" s="184">
        <f>IF(COUNT(BL11:BL12)=0,"",SUM(BL11:BL12)/COUNT(BL11:BL12))</f>
        <v>3.5416666666666665</v>
      </c>
      <c r="BM10" s="185" t="str">
        <f t="shared" si="33"/>
        <v>B</v>
      </c>
      <c r="BN10" s="195"/>
      <c r="BO10" s="90"/>
      <c r="BP10" s="91"/>
      <c r="BQ10" s="159">
        <f>IF(COUNT(BQ11:BQ12)=0,"",SUM(BQ11:BQ12)/COUNT(BQ11:BQ12))</f>
        <v>2.5</v>
      </c>
      <c r="BR10" s="160" t="str">
        <f t="shared" si="34"/>
        <v>C</v>
      </c>
      <c r="BS10" s="153"/>
      <c r="BT10" s="90"/>
      <c r="BU10" s="90"/>
      <c r="BV10" s="91"/>
      <c r="BW10" s="159" t="str">
        <f>IF(COUNT(BW11,BW12)=0,"",SUM(BW11:BW12)/COUNT(BW11,BW12))</f>
        <v/>
      </c>
      <c r="BX10" s="175" t="str">
        <f t="shared" si="35"/>
        <v/>
      </c>
      <c r="BY10" s="153"/>
      <c r="BZ10" s="90"/>
      <c r="CA10" s="90"/>
      <c r="CB10" s="90"/>
      <c r="CC10" s="90"/>
      <c r="CD10" s="91"/>
      <c r="CE10" s="159">
        <f>IF(COUNT(CE11,CE12)=0,"",SUM(CE11:CE12)/COUNT(CE11,CE12))</f>
        <v>3</v>
      </c>
      <c r="CF10" s="183" t="str">
        <f t="shared" si="36"/>
        <v>B</v>
      </c>
      <c r="CG10" s="184">
        <f>IF(COUNT(CG11:CG12)=0,"",SUM(CG11:CG12)/COUNT(CG11:CG12))</f>
        <v>2.75</v>
      </c>
      <c r="CH10" s="185" t="str">
        <f t="shared" si="37"/>
        <v>C</v>
      </c>
      <c r="CI10" s="195"/>
      <c r="CJ10" s="90"/>
      <c r="CK10" s="91"/>
      <c r="CL10" s="159">
        <f>IF(COUNT(CL11:CL12)=0,"",SUM(CL11:CL12)/COUNT(CL11:CL12))</f>
        <v>1</v>
      </c>
      <c r="CM10" s="160" t="str">
        <f t="shared" si="38"/>
        <v>D</v>
      </c>
      <c r="CN10" s="153"/>
      <c r="CO10" s="90"/>
      <c r="CP10" s="90"/>
      <c r="CQ10" s="91"/>
      <c r="CR10" s="159" t="str">
        <f>IF(COUNT(CR11,CR12)=0,"",SUM(CR11:CR12)/COUNT(CR11,CR12))</f>
        <v/>
      </c>
      <c r="CS10" s="175" t="str">
        <f t="shared" si="39"/>
        <v/>
      </c>
      <c r="CT10" s="153"/>
      <c r="CU10" s="90"/>
      <c r="CV10" s="90"/>
      <c r="CW10" s="90"/>
      <c r="CX10" s="90"/>
      <c r="CY10" s="91"/>
      <c r="CZ10" s="159">
        <f>IF(COUNT(CZ11,CZ12)=0,"",SUM(CZ11:CZ12)/COUNT(CZ11,CZ12))</f>
        <v>3.6666666666666665</v>
      </c>
      <c r="DA10" s="183" t="str">
        <f t="shared" si="40"/>
        <v>B</v>
      </c>
      <c r="DB10" s="184">
        <f>IF(COUNT(DB11:DB12)=0,"",SUM(DB11:DB12)/COUNT(DB11:DB12))</f>
        <v>1.6666666666666665</v>
      </c>
      <c r="DC10" s="185" t="str">
        <f t="shared" si="41"/>
        <v>C</v>
      </c>
      <c r="DD10" s="195"/>
      <c r="DE10" s="90"/>
      <c r="DF10" s="91"/>
      <c r="DG10" s="159">
        <f>IF(COUNT(DG11:DG12)=0,"",SUM(DG11:DG12)/COUNT(DG11:DG12))</f>
        <v>2.75</v>
      </c>
      <c r="DH10" s="160" t="str">
        <f t="shared" si="42"/>
        <v>C</v>
      </c>
      <c r="DI10" s="153"/>
      <c r="DJ10" s="90"/>
      <c r="DK10" s="90"/>
      <c r="DL10" s="91"/>
      <c r="DM10" s="159" t="str">
        <f>IF(COUNT(DM11,DM12)=0,"",SUM(DM11:DM12)/COUNT(DM11,DM12))</f>
        <v/>
      </c>
      <c r="DN10" s="175" t="str">
        <f t="shared" si="43"/>
        <v/>
      </c>
      <c r="DO10" s="153"/>
      <c r="DP10" s="90"/>
      <c r="DQ10" s="90"/>
      <c r="DR10" s="90"/>
      <c r="DS10" s="90"/>
      <c r="DT10" s="91"/>
      <c r="DU10" s="159">
        <f>IF(COUNT(DU11,DU12)=0,"",SUM(DU11:DU12)/COUNT(DU11,DU12))</f>
        <v>3.6666666666666665</v>
      </c>
      <c r="DV10" s="183" t="str">
        <f t="shared" si="44"/>
        <v>B</v>
      </c>
      <c r="DW10" s="184">
        <f>IF(COUNT(DW11:DW12)=0,"",SUM(DW11:DW12)/COUNT(DW11:DW12))</f>
        <v>3.0416666666666665</v>
      </c>
      <c r="DX10" s="185" t="str">
        <f t="shared" si="45"/>
        <v>B</v>
      </c>
      <c r="DY10" s="195"/>
      <c r="DZ10" s="90"/>
      <c r="EA10" s="91"/>
      <c r="EB10" s="159">
        <f>IF(COUNT(EB11:EB12)=0,"",SUM(EB11:EB12)/COUNT(EB11:EB12))</f>
        <v>2.75</v>
      </c>
      <c r="EC10" s="160" t="str">
        <f t="shared" si="46"/>
        <v>C</v>
      </c>
      <c r="ED10" s="153"/>
      <c r="EE10" s="90"/>
      <c r="EF10" s="90"/>
      <c r="EG10" s="91"/>
      <c r="EH10" s="159" t="str">
        <f>IF(COUNT(EH11,EH12)=0,"",SUM(EH11:EH12)/COUNT(EH11,EH12))</f>
        <v/>
      </c>
      <c r="EI10" s="175" t="str">
        <f t="shared" si="47"/>
        <v/>
      </c>
      <c r="EJ10" s="153"/>
      <c r="EK10" s="90"/>
      <c r="EL10" s="90"/>
      <c r="EM10" s="90"/>
      <c r="EN10" s="90"/>
      <c r="EO10" s="91"/>
      <c r="EP10" s="159">
        <f>IF(COUNT(EP11,EP12)=0,"",SUM(EP11:EP12)/COUNT(EP11,EP12))</f>
        <v>3.75</v>
      </c>
      <c r="EQ10" s="183" t="str">
        <f t="shared" si="48"/>
        <v>A</v>
      </c>
      <c r="ER10" s="184">
        <f>IF(COUNT(ER11:ER12)=0,"",SUM(ER11:ER12)/COUNT(ER11:ER12))</f>
        <v>3.3125</v>
      </c>
      <c r="ES10" s="185" t="str">
        <f t="shared" si="49"/>
        <v>B</v>
      </c>
      <c r="ET10" s="195"/>
      <c r="EU10" s="90"/>
      <c r="EV10" s="91"/>
      <c r="EW10" s="159">
        <f>IF(COUNT(EW11:EW12)=0,"",SUM(EW11:EW12)/COUNT(EW11:EW12))</f>
        <v>3.25</v>
      </c>
      <c r="EX10" s="160" t="str">
        <f t="shared" si="50"/>
        <v>B</v>
      </c>
      <c r="EY10" s="153"/>
      <c r="EZ10" s="90"/>
      <c r="FA10" s="90"/>
      <c r="FB10" s="91"/>
      <c r="FC10" s="159" t="str">
        <f>IF(COUNT(FC11,FC12)=0,"",SUM(FC11:FC12)/COUNT(FC11,FC12))</f>
        <v/>
      </c>
      <c r="FD10" s="175" t="str">
        <f t="shared" si="51"/>
        <v/>
      </c>
      <c r="FE10" s="153"/>
      <c r="FF10" s="90"/>
      <c r="FG10" s="90"/>
      <c r="FH10" s="90"/>
      <c r="FI10" s="90"/>
      <c r="FJ10" s="91"/>
      <c r="FK10" s="159">
        <f>IF(COUNT(FK11,FK12)=0,"",SUM(FK11:FK12)/COUNT(FK11,FK12))</f>
        <v>3.6666666666666665</v>
      </c>
      <c r="FL10" s="183" t="str">
        <f t="shared" si="52"/>
        <v>B</v>
      </c>
      <c r="FM10" s="184">
        <f>IF(COUNT(FM11:FM12)=0,"",SUM(FM11:FM12)/COUNT(FM11:FM12))</f>
        <v>3.5416666666666665</v>
      </c>
      <c r="FN10" s="185" t="str">
        <f t="shared" si="53"/>
        <v>B</v>
      </c>
      <c r="FO10" s="195"/>
      <c r="FP10" s="90"/>
      <c r="FQ10" s="91"/>
      <c r="FR10" s="159">
        <f>IF(COUNT(FR11:FR12)=0,"",SUM(FR11:FR12)/COUNT(FR11:FR12))</f>
        <v>2.75</v>
      </c>
      <c r="FS10" s="160" t="str">
        <f t="shared" si="54"/>
        <v>C</v>
      </c>
      <c r="FT10" s="153"/>
      <c r="FU10" s="90"/>
      <c r="FV10" s="90"/>
      <c r="FW10" s="91"/>
      <c r="FX10" s="159" t="str">
        <f>IF(COUNT(FX11,FX12)=0,"",SUM(FX11:FX12)/COUNT(FX11,FX12))</f>
        <v/>
      </c>
      <c r="FY10" s="175" t="str">
        <f t="shared" si="55"/>
        <v/>
      </c>
      <c r="FZ10" s="153"/>
      <c r="GA10" s="90"/>
      <c r="GB10" s="90"/>
      <c r="GC10" s="90"/>
      <c r="GD10" s="90"/>
      <c r="GE10" s="91"/>
      <c r="GF10" s="159">
        <f>IF(COUNT(GF11,GF12)=0,"",SUM(GF11:GF12)/COUNT(GF11,GF12))</f>
        <v>3.5</v>
      </c>
      <c r="GG10" s="183" t="str">
        <f t="shared" si="56"/>
        <v>B</v>
      </c>
      <c r="GH10" s="184">
        <f>IF(COUNT(GH11:GH12)=0,"",SUM(GH11:GH12)/COUNT(GH11:GH12))</f>
        <v>3</v>
      </c>
      <c r="GI10" s="185" t="str">
        <f t="shared" si="57"/>
        <v>B</v>
      </c>
      <c r="GJ10" s="195"/>
      <c r="GK10" s="90"/>
      <c r="GL10" s="91"/>
      <c r="GM10" s="159">
        <f>IF(COUNT(GM11:GM12)=0,"",SUM(GM11:GM12)/COUNT(GM11:GM12))</f>
        <v>2.5</v>
      </c>
      <c r="GN10" s="160" t="str">
        <f t="shared" si="58"/>
        <v>C</v>
      </c>
      <c r="GO10" s="153"/>
      <c r="GP10" s="90"/>
      <c r="GQ10" s="90"/>
      <c r="GR10" s="91"/>
      <c r="GS10" s="159" t="str">
        <f>IF(COUNT(GS11,GS12)=0,"",SUM(GS11:GS12)/COUNT(GS11,GS12))</f>
        <v/>
      </c>
      <c r="GT10" s="175" t="str">
        <f t="shared" si="59"/>
        <v/>
      </c>
      <c r="GU10" s="153"/>
      <c r="GV10" s="90"/>
      <c r="GW10" s="90"/>
      <c r="GX10" s="90"/>
      <c r="GY10" s="90"/>
      <c r="GZ10" s="91"/>
      <c r="HA10" s="159">
        <f>IF(COUNT(HA11,HA12)=0,"",SUM(HA11:HA12)/COUNT(HA11,HA12))</f>
        <v>3.75</v>
      </c>
      <c r="HB10" s="183" t="str">
        <f t="shared" si="60"/>
        <v>A</v>
      </c>
      <c r="HC10" s="184">
        <f>IF(COUNT(HC11:HC12)=0,"",SUM(HC11:HC12)/COUNT(HC11:HC12))</f>
        <v>2.9375</v>
      </c>
      <c r="HD10" s="185" t="str">
        <f t="shared" si="61"/>
        <v>B</v>
      </c>
      <c r="HE10" s="195"/>
      <c r="HF10" s="90"/>
      <c r="HG10" s="91"/>
      <c r="HH10" s="159">
        <f>IF(COUNT(HH11:HH12)=0,"",SUM(HH11:HH12)/COUNT(HH11:HH12))</f>
        <v>1</v>
      </c>
      <c r="HI10" s="160" t="str">
        <f t="shared" si="62"/>
        <v>D</v>
      </c>
      <c r="HJ10" s="153"/>
      <c r="HK10" s="90"/>
      <c r="HL10" s="90"/>
      <c r="HM10" s="91"/>
      <c r="HN10" s="159" t="str">
        <f>IF(COUNT(HN11,HN12)=0,"",SUM(HN11:HN12)/COUNT(HN11,HN12))</f>
        <v/>
      </c>
      <c r="HO10" s="175" t="str">
        <f t="shared" si="63"/>
        <v/>
      </c>
      <c r="HP10" s="153"/>
      <c r="HQ10" s="90"/>
      <c r="HR10" s="90"/>
      <c r="HS10" s="90"/>
      <c r="HT10" s="90"/>
      <c r="HU10" s="91"/>
      <c r="HV10" s="159">
        <f>IF(COUNT(HV11,HV12)=0,"",SUM(HV11:HV12)/COUNT(HV11,HV12))</f>
        <v>2.6666666666666665</v>
      </c>
      <c r="HW10" s="183" t="str">
        <f t="shared" si="64"/>
        <v>C</v>
      </c>
      <c r="HX10" s="184">
        <f>IF(COUNT(HX11:HX12)=0,"",SUM(HX11:HX12)/COUNT(HX11:HX12))</f>
        <v>1.4166666666666665</v>
      </c>
      <c r="HY10" s="185" t="str">
        <f t="shared" si="65"/>
        <v>D</v>
      </c>
      <c r="HZ10" s="195"/>
      <c r="IA10" s="90"/>
      <c r="IB10" s="91"/>
      <c r="IC10" s="159">
        <f>IF(COUNT(IC11:IC12)=0,"",SUM(IC11:IC12)/COUNT(IC11:IC12))</f>
        <v>3.5</v>
      </c>
      <c r="ID10" s="160" t="str">
        <f t="shared" si="66"/>
        <v>B</v>
      </c>
      <c r="IE10" s="153"/>
      <c r="IF10" s="90"/>
      <c r="IG10" s="90"/>
      <c r="IH10" s="91"/>
      <c r="II10" s="159" t="str">
        <f>IF(COUNT(II11,II12)=0,"",SUM(II11:II12)/COUNT(II11,II12))</f>
        <v/>
      </c>
      <c r="IJ10" s="175" t="str">
        <f t="shared" si="67"/>
        <v/>
      </c>
      <c r="IK10" s="153"/>
      <c r="IL10" s="90"/>
      <c r="IM10" s="90"/>
      <c r="IN10" s="90"/>
      <c r="IO10" s="90"/>
      <c r="IP10" s="91"/>
      <c r="IQ10" s="159">
        <f>IF(COUNT(IQ11,IQ12)=0,"",SUM(IQ11:IQ12)/COUNT(IQ11,IQ12))</f>
        <v>3.6666666666666665</v>
      </c>
      <c r="IR10" s="183" t="str">
        <f t="shared" si="68"/>
        <v>B</v>
      </c>
      <c r="IS10" s="184">
        <f>IF(COUNT(IS11:IS12)=0,"",SUM(IS11:IS12)/COUNT(IS11:IS12))</f>
        <v>3.6666666666666665</v>
      </c>
      <c r="IT10" s="185" t="str">
        <f t="shared" si="69"/>
        <v>B</v>
      </c>
      <c r="IU10" s="195"/>
      <c r="IV10" s="90"/>
      <c r="IW10" s="91"/>
      <c r="IX10" s="159">
        <f>IF(COUNT(IX11:IX12)=0,"",SUM(IX11:IX12)/COUNT(IX11:IX12))</f>
        <v>1</v>
      </c>
      <c r="IY10" s="160" t="str">
        <f t="shared" si="70"/>
        <v>D</v>
      </c>
      <c r="IZ10" s="153"/>
      <c r="JA10" s="90"/>
      <c r="JB10" s="90"/>
      <c r="JC10" s="91"/>
      <c r="JD10" s="159" t="str">
        <f>IF(COUNT(JD11,JD12)=0,"",SUM(JD11:JD12)/COUNT(JD11,JD12))</f>
        <v/>
      </c>
      <c r="JE10" s="175" t="str">
        <f t="shared" si="71"/>
        <v/>
      </c>
      <c r="JF10" s="153"/>
      <c r="JG10" s="90"/>
      <c r="JH10" s="90"/>
      <c r="JI10" s="90"/>
      <c r="JJ10" s="90"/>
      <c r="JK10" s="91"/>
      <c r="JL10" s="159">
        <f>IF(COUNT(JL11,JL12)=0,"",SUM(JL11:JL12)/COUNT(JL11,JL12))</f>
        <v>3.5</v>
      </c>
      <c r="JM10" s="183" t="str">
        <f t="shared" si="72"/>
        <v>B</v>
      </c>
      <c r="JN10" s="184">
        <f>IF(COUNT(JN11:JN12)=0,"",SUM(JN11:JN12)/COUNT(JN11:JN12))</f>
        <v>1.625</v>
      </c>
      <c r="JO10" s="185" t="str">
        <f t="shared" si="73"/>
        <v>C</v>
      </c>
      <c r="JP10" s="195"/>
      <c r="JQ10" s="90"/>
      <c r="JR10" s="91"/>
      <c r="JS10" s="159">
        <f>IF(COUNT(JS11:JS12)=0,"",SUM(JS11:JS12)/COUNT(JS11:JS12))</f>
        <v>3</v>
      </c>
      <c r="JT10" s="160" t="str">
        <f t="shared" si="74"/>
        <v>B</v>
      </c>
      <c r="JU10" s="153"/>
      <c r="JV10" s="90"/>
      <c r="JW10" s="90"/>
      <c r="JX10" s="91"/>
      <c r="JY10" s="159" t="str">
        <f>IF(COUNT(JY11,JY12)=0,"",SUM(JY11:JY12)/COUNT(JY11,JY12))</f>
        <v/>
      </c>
      <c r="JZ10" s="175" t="str">
        <f t="shared" si="75"/>
        <v/>
      </c>
      <c r="KA10" s="153"/>
      <c r="KB10" s="90"/>
      <c r="KC10" s="90"/>
      <c r="KD10" s="90"/>
      <c r="KE10" s="90"/>
      <c r="KF10" s="91"/>
      <c r="KG10" s="159">
        <f>IF(COUNT(KG11,KG12)=0,"",SUM(KG11:KG12)/COUNT(KG11,KG12))</f>
        <v>3.6666666666666665</v>
      </c>
      <c r="KH10" s="183" t="str">
        <f t="shared" si="76"/>
        <v>B</v>
      </c>
      <c r="KI10" s="184">
        <f>IF(COUNT(KI11:KI12)=0,"",SUM(KI11:KI12)/COUNT(KI11:KI12))</f>
        <v>3.4166666666666665</v>
      </c>
      <c r="KJ10" s="185" t="str">
        <f t="shared" si="77"/>
        <v>B</v>
      </c>
      <c r="KK10" s="195"/>
      <c r="KL10" s="90"/>
      <c r="KM10" s="91"/>
      <c r="KN10" s="159">
        <f>IF(COUNT(KN11:KN12)=0,"",SUM(KN11:KN12)/COUNT(KN11:KN12))</f>
        <v>2.75</v>
      </c>
      <c r="KO10" s="160" t="str">
        <f t="shared" si="78"/>
        <v>C</v>
      </c>
      <c r="KP10" s="153"/>
      <c r="KQ10" s="90"/>
      <c r="KR10" s="90"/>
      <c r="KS10" s="91"/>
      <c r="KT10" s="159" t="str">
        <f>IF(COUNT(KT11,KT12)=0,"",SUM(KT11:KT12)/COUNT(KT11,KT12))</f>
        <v/>
      </c>
      <c r="KU10" s="175" t="str">
        <f t="shared" si="79"/>
        <v/>
      </c>
      <c r="KV10" s="153"/>
      <c r="KW10" s="90"/>
      <c r="KX10" s="90"/>
      <c r="KY10" s="90"/>
      <c r="KZ10" s="90"/>
      <c r="LA10" s="91"/>
      <c r="LB10" s="159">
        <f>IF(COUNT(LB11,LB12)=0,"",SUM(LB11:LB12)/COUNT(LB11,LB12))</f>
        <v>3.6666666666666665</v>
      </c>
      <c r="LC10" s="183" t="str">
        <f t="shared" si="80"/>
        <v>B</v>
      </c>
      <c r="LD10" s="184">
        <f>IF(COUNT(LD11:LD12)=0,"",SUM(LD11:LD12)/COUNT(LD11:LD12))</f>
        <v>3.2916666666666665</v>
      </c>
      <c r="LE10" s="185" t="str">
        <f t="shared" si="81"/>
        <v>B</v>
      </c>
      <c r="LF10" s="195"/>
      <c r="LG10" s="90"/>
      <c r="LH10" s="91"/>
      <c r="LI10" s="159">
        <f>IF(COUNT(LI11:LI12)=0,"",SUM(LI11:LI12)/COUNT(LI11:LI12))</f>
        <v>1</v>
      </c>
      <c r="LJ10" s="160" t="str">
        <f t="shared" si="82"/>
        <v>D</v>
      </c>
      <c r="LK10" s="153"/>
      <c r="LL10" s="90"/>
      <c r="LM10" s="90"/>
      <c r="LN10" s="91"/>
      <c r="LO10" s="159" t="str">
        <f>IF(COUNT(LO11,LO12)=0,"",SUM(LO11:LO12)/COUNT(LO11,LO12))</f>
        <v/>
      </c>
      <c r="LP10" s="175" t="str">
        <f t="shared" si="83"/>
        <v/>
      </c>
      <c r="LQ10" s="153"/>
      <c r="LR10" s="90"/>
      <c r="LS10" s="90"/>
      <c r="LT10" s="90"/>
      <c r="LU10" s="90"/>
      <c r="LV10" s="91"/>
      <c r="LW10" s="159">
        <f>IF(COUNT(LW11,LW12)=0,"",SUM(LW11:LW12)/COUNT(LW11,LW12))</f>
        <v>3</v>
      </c>
      <c r="LX10" s="183" t="str">
        <f t="shared" si="84"/>
        <v>B</v>
      </c>
      <c r="LY10" s="184">
        <f>IF(COUNT(LY11:LY12)=0,"",SUM(LY11:LY12)/COUNT(LY11:LY12))</f>
        <v>1.5</v>
      </c>
      <c r="LZ10" s="185" t="str">
        <f t="shared" si="85"/>
        <v>D</v>
      </c>
      <c r="MA10" s="195"/>
      <c r="MB10" s="90"/>
      <c r="MC10" s="91"/>
      <c r="MD10" s="159">
        <f>IF(COUNT(MD11:MD12)=0,"",SUM(MD11:MD12)/COUNT(MD11:MD12))</f>
        <v>2.75</v>
      </c>
      <c r="ME10" s="160" t="str">
        <f t="shared" si="86"/>
        <v>C</v>
      </c>
      <c r="MF10" s="153"/>
      <c r="MG10" s="90"/>
      <c r="MH10" s="90"/>
      <c r="MI10" s="91"/>
      <c r="MJ10" s="159" t="str">
        <f>IF(COUNT(MJ11,MJ12)=0,"",SUM(MJ11:MJ12)/COUNT(MJ11,MJ12))</f>
        <v/>
      </c>
      <c r="MK10" s="175" t="str">
        <f t="shared" si="87"/>
        <v/>
      </c>
      <c r="ML10" s="153"/>
      <c r="MM10" s="90"/>
      <c r="MN10" s="90"/>
      <c r="MO10" s="90"/>
      <c r="MP10" s="90"/>
      <c r="MQ10" s="91"/>
      <c r="MR10" s="159">
        <f>IF(COUNT(MR11,MR12)=0,"",SUM(MR11:MR12)/COUNT(MR11,MR12))</f>
        <v>3.3333333333333335</v>
      </c>
      <c r="MS10" s="183" t="str">
        <f t="shared" si="88"/>
        <v>B</v>
      </c>
      <c r="MT10" s="184">
        <f>IF(COUNT(MT11:MT12)=0,"",SUM(MT11:MT12)/COUNT(MT11:MT12))</f>
        <v>2.7083333333333335</v>
      </c>
      <c r="MU10" s="185" t="str">
        <f t="shared" si="89"/>
        <v>C</v>
      </c>
      <c r="MV10" s="195"/>
      <c r="MW10" s="90"/>
      <c r="MX10" s="91"/>
      <c r="MY10" s="159">
        <f>IF(COUNT(MY11:MY12)=0,"",SUM(MY11:MY12)/COUNT(MY11:MY12))</f>
        <v>1.25</v>
      </c>
      <c r="MZ10" s="160" t="str">
        <f t="shared" si="90"/>
        <v>D</v>
      </c>
      <c r="NA10" s="153"/>
      <c r="NB10" s="90"/>
      <c r="NC10" s="90"/>
      <c r="ND10" s="91"/>
      <c r="NE10" s="159" t="str">
        <f>IF(COUNT(NE11,NE12)=0,"",SUM(NE11:NE12)/COUNT(NE11,NE12))</f>
        <v/>
      </c>
      <c r="NF10" s="175" t="str">
        <f t="shared" si="91"/>
        <v/>
      </c>
      <c r="NG10" s="153"/>
      <c r="NH10" s="90"/>
      <c r="NI10" s="90"/>
      <c r="NJ10" s="90"/>
      <c r="NK10" s="90"/>
      <c r="NL10" s="91"/>
      <c r="NM10" s="159">
        <f>IF(COUNT(NM11,NM12)=0,"",SUM(NM11:NM12)/COUNT(NM11,NM12))</f>
        <v>3.5</v>
      </c>
      <c r="NN10" s="183" t="str">
        <f t="shared" si="92"/>
        <v>B</v>
      </c>
      <c r="NO10" s="184">
        <f>IF(COUNT(NO11:NO12)=0,"",SUM(NO11:NO12)/COUNT(NO11:NO12))</f>
        <v>1.75</v>
      </c>
      <c r="NP10" s="185" t="str">
        <f t="shared" si="93"/>
        <v>C</v>
      </c>
      <c r="NQ10" s="195"/>
      <c r="NR10" s="90"/>
      <c r="NS10" s="91"/>
      <c r="NT10" s="159">
        <f>IF(COUNT(NT11:NT12)=0,"",SUM(NT11:NT12)/COUNT(NT11:NT12))</f>
        <v>1.25</v>
      </c>
      <c r="NU10" s="160" t="str">
        <f t="shared" si="94"/>
        <v>D</v>
      </c>
      <c r="NV10" s="153"/>
      <c r="NW10" s="90"/>
      <c r="NX10" s="90"/>
      <c r="NY10" s="91"/>
      <c r="NZ10" s="159" t="str">
        <f>IF(COUNT(NZ11,NZ12)=0,"",SUM(NZ11:NZ12)/COUNT(NZ11,NZ12))</f>
        <v/>
      </c>
      <c r="OA10" s="175" t="str">
        <f t="shared" si="95"/>
        <v/>
      </c>
      <c r="OB10" s="153"/>
      <c r="OC10" s="90"/>
      <c r="OD10" s="90"/>
      <c r="OE10" s="90"/>
      <c r="OF10" s="90"/>
      <c r="OG10" s="91"/>
      <c r="OH10" s="159">
        <f>IF(COUNT(OH11,OH12)=0,"",SUM(OH11:OH12)/COUNT(OH11,OH12))</f>
        <v>3.5</v>
      </c>
      <c r="OI10" s="183" t="str">
        <f t="shared" si="96"/>
        <v>B</v>
      </c>
      <c r="OJ10" s="184">
        <f>IF(COUNT(OJ11:OJ12)=0,"",SUM(OJ11:OJ12)/COUNT(OJ11:OJ12))</f>
        <v>1.75</v>
      </c>
      <c r="OK10" s="185" t="str">
        <f t="shared" si="97"/>
        <v>C</v>
      </c>
      <c r="OL10" s="195"/>
      <c r="OM10" s="90"/>
      <c r="ON10" s="91"/>
      <c r="OO10" s="159">
        <f>IF(COUNT(OO11:OO12)=0,"",SUM(OO11:OO12)/COUNT(OO11:OO12))</f>
        <v>1.5</v>
      </c>
      <c r="OP10" s="160" t="str">
        <f t="shared" si="98"/>
        <v>D</v>
      </c>
      <c r="OQ10" s="153"/>
      <c r="OR10" s="90"/>
      <c r="OS10" s="90"/>
      <c r="OT10" s="91"/>
      <c r="OU10" s="159" t="str">
        <f>IF(COUNT(OU11,OU12)=0,"",SUM(OU11:OU12)/COUNT(OU11,OU12))</f>
        <v/>
      </c>
      <c r="OV10" s="175" t="str">
        <f t="shared" si="99"/>
        <v/>
      </c>
      <c r="OW10" s="153"/>
      <c r="OX10" s="90"/>
      <c r="OY10" s="90"/>
      <c r="OZ10" s="90"/>
      <c r="PA10" s="90"/>
      <c r="PB10" s="91"/>
      <c r="PC10" s="159">
        <f>IF(COUNT(PC11,PC12)=0,"",SUM(PC11:PC12)/COUNT(PC11,PC12))</f>
        <v>3.6666666666666665</v>
      </c>
      <c r="PD10" s="183" t="str">
        <f t="shared" si="100"/>
        <v>B</v>
      </c>
      <c r="PE10" s="184">
        <f>IF(COUNT(PE11:PE12)=0,"",SUM(PE11:PE12)/COUNT(PE11:PE12))</f>
        <v>2.1666666666666665</v>
      </c>
      <c r="PF10" s="185" t="str">
        <f t="shared" si="101"/>
        <v>C</v>
      </c>
      <c r="PG10" s="195"/>
      <c r="PH10" s="90"/>
      <c r="PI10" s="91"/>
      <c r="PJ10" s="159">
        <f>IF(COUNT(PJ11:PJ12)=0,"",SUM(PJ11:PJ12)/COUNT(PJ11:PJ12))</f>
        <v>2</v>
      </c>
      <c r="PK10" s="160" t="str">
        <f t="shared" si="102"/>
        <v>C</v>
      </c>
      <c r="PL10" s="153"/>
      <c r="PM10" s="90"/>
      <c r="PN10" s="90"/>
      <c r="PO10" s="91"/>
      <c r="PP10" s="159" t="str">
        <f>IF(COUNT(PP11,PP12)=0,"",SUM(PP11:PP12)/COUNT(PP11,PP12))</f>
        <v/>
      </c>
      <c r="PQ10" s="175" t="str">
        <f t="shared" si="103"/>
        <v/>
      </c>
      <c r="PR10" s="153"/>
      <c r="PS10" s="90"/>
      <c r="PT10" s="90"/>
      <c r="PU10" s="90"/>
      <c r="PV10" s="90"/>
      <c r="PW10" s="91"/>
      <c r="PX10" s="159">
        <f>IF(COUNT(PX11,PX12)=0,"",SUM(PX11:PX12)/COUNT(PX11,PX12))</f>
        <v>3.5</v>
      </c>
      <c r="PY10" s="183" t="str">
        <f t="shared" si="104"/>
        <v>B</v>
      </c>
      <c r="PZ10" s="184">
        <f>IF(COUNT(PZ11:PZ12)=0,"",SUM(PZ11:PZ12)/COUNT(PZ11:PZ12))</f>
        <v>2.375</v>
      </c>
      <c r="QA10" s="185" t="str">
        <f t="shared" si="105"/>
        <v>C</v>
      </c>
      <c r="QB10" s="195"/>
      <c r="QC10" s="90"/>
      <c r="QD10" s="91"/>
      <c r="QE10" s="159">
        <f>IF(COUNT(QE11:QE12)=0,"",SUM(QE11:QE12)/COUNT(QE11:QE12))</f>
        <v>2.25</v>
      </c>
      <c r="QF10" s="160" t="str">
        <f t="shared" si="106"/>
        <v>C</v>
      </c>
      <c r="QG10" s="153"/>
      <c r="QH10" s="90"/>
      <c r="QI10" s="90"/>
      <c r="QJ10" s="91"/>
      <c r="QK10" s="159" t="str">
        <f>IF(COUNT(QK11,QK12)=0,"",SUM(QK11:QK12)/COUNT(QK11,QK12))</f>
        <v/>
      </c>
      <c r="QL10" s="175" t="str">
        <f t="shared" si="107"/>
        <v/>
      </c>
      <c r="QM10" s="153"/>
      <c r="QN10" s="90"/>
      <c r="QO10" s="90"/>
      <c r="QP10" s="90"/>
      <c r="QQ10" s="90"/>
      <c r="QR10" s="91"/>
      <c r="QS10" s="159">
        <f>IF(COUNT(QS11,QS12)=0,"",SUM(QS11:QS12)/COUNT(QS11,QS12))</f>
        <v>3.3333333333333335</v>
      </c>
      <c r="QT10" s="183" t="str">
        <f t="shared" si="108"/>
        <v>B</v>
      </c>
      <c r="QU10" s="184">
        <f>IF(COUNT(QU11:QU12)=0,"",SUM(QU11:QU12)/COUNT(QU11:QU12))</f>
        <v>2.4583333333333335</v>
      </c>
      <c r="QV10" s="185" t="str">
        <f t="shared" si="109"/>
        <v>C</v>
      </c>
      <c r="QW10" s="195"/>
      <c r="QX10" s="90"/>
      <c r="QY10" s="91"/>
      <c r="QZ10" s="159">
        <f>IF(COUNT(QZ11:QZ12)=0,"",SUM(QZ11:QZ12)/COUNT(QZ11:QZ12))</f>
        <v>2.5</v>
      </c>
      <c r="RA10" s="160" t="str">
        <f t="shared" si="110"/>
        <v>C</v>
      </c>
      <c r="RB10" s="153"/>
      <c r="RC10" s="90"/>
      <c r="RD10" s="90"/>
      <c r="RE10" s="91"/>
      <c r="RF10" s="159" t="str">
        <f>IF(COUNT(RF11,RF12)=0,"",SUM(RF11:RF12)/COUNT(RF11,RF12))</f>
        <v/>
      </c>
      <c r="RG10" s="175" t="str">
        <f t="shared" si="111"/>
        <v/>
      </c>
      <c r="RH10" s="153"/>
      <c r="RI10" s="90"/>
      <c r="RJ10" s="90"/>
      <c r="RK10" s="90"/>
      <c r="RL10" s="90"/>
      <c r="RM10" s="91"/>
      <c r="RN10" s="159">
        <f>IF(COUNT(RN11,RN12)=0,"",SUM(RN11:RN12)/COUNT(RN11,RN12))</f>
        <v>3.3333333333333335</v>
      </c>
      <c r="RO10" s="183" t="str">
        <f t="shared" si="112"/>
        <v>B</v>
      </c>
      <c r="RP10" s="184">
        <f>IF(COUNT(RP11:RP12)=0,"",SUM(RP11:RP12)/COUNT(RP11:RP12))</f>
        <v>2.5833333333333335</v>
      </c>
      <c r="RQ10" s="185" t="str">
        <f t="shared" si="113"/>
        <v>C</v>
      </c>
      <c r="RR10" s="195"/>
      <c r="RS10" s="90"/>
      <c r="RT10" s="91"/>
      <c r="RU10" s="159">
        <f>IF(COUNT(RU11:RU12)=0,"",SUM(RU11:RU12)/COUNT(RU11:RU12))</f>
        <v>3.25</v>
      </c>
      <c r="RV10" s="160" t="str">
        <f t="shared" si="114"/>
        <v>B</v>
      </c>
      <c r="RW10" s="153"/>
      <c r="RX10" s="90"/>
      <c r="RY10" s="90"/>
      <c r="RZ10" s="91"/>
      <c r="SA10" s="159" t="str">
        <f>IF(COUNT(SA11,SA12)=0,"",SUM(SA11:SA12)/COUNT(SA11,SA12))</f>
        <v/>
      </c>
      <c r="SB10" s="175" t="str">
        <f t="shared" si="115"/>
        <v/>
      </c>
      <c r="SC10" s="153"/>
      <c r="SD10" s="90"/>
      <c r="SE10" s="90"/>
      <c r="SF10" s="90"/>
      <c r="SG10" s="90"/>
      <c r="SH10" s="91"/>
      <c r="SI10" s="159">
        <f>IF(COUNT(SI11,SI12)=0,"",SUM(SI11:SI12)/COUNT(SI11,SI12))</f>
        <v>3.3333333333333335</v>
      </c>
      <c r="SJ10" s="183" t="str">
        <f t="shared" si="116"/>
        <v>B</v>
      </c>
      <c r="SK10" s="184">
        <f>IF(COUNT(SK11:SK12)=0,"",SUM(SK11:SK12)/COUNT(SK11:SK12))</f>
        <v>3.4583333333333335</v>
      </c>
      <c r="SL10" s="185" t="str">
        <f t="shared" si="117"/>
        <v>B</v>
      </c>
      <c r="SM10" s="117"/>
      <c r="SN10" s="90"/>
      <c r="SO10" s="91"/>
      <c r="SP10" s="86" t="str">
        <f>IF(COUNT(SP11:SP12)=0,"",SUM(SP11:SP12)/COUNT(SP11:SP12))</f>
        <v/>
      </c>
      <c r="SQ10" s="87" t="str">
        <f t="shared" si="118"/>
        <v/>
      </c>
      <c r="SR10" s="89"/>
      <c r="SS10" s="90"/>
      <c r="ST10" s="91"/>
      <c r="SU10" s="86" t="str">
        <f>IF(COUNT(SU11,SU12)=0,"",SUM(SU11:SU12)/COUNT(SU11,SU12))</f>
        <v/>
      </c>
      <c r="SV10" s="88" t="str">
        <f t="shared" si="119"/>
        <v/>
      </c>
      <c r="SW10" s="89"/>
      <c r="SX10" s="90"/>
      <c r="SY10" s="91"/>
      <c r="SZ10" s="86" t="str">
        <f>IF(COUNT(SZ11,SZ12)=0,"",SUM(SZ11:SZ12)/COUNT(SZ11,SZ12))</f>
        <v/>
      </c>
      <c r="TA10" s="92" t="str">
        <f t="shared" si="120"/>
        <v/>
      </c>
      <c r="TB10" s="93" t="str">
        <f>IF(COUNT(TB11:TB12)=0,"",SUM(TB11:TB12)/COUNT(TB11:TB12))</f>
        <v/>
      </c>
      <c r="TC10" s="94" t="str">
        <f t="shared" si="121"/>
        <v/>
      </c>
      <c r="TD10" s="117"/>
      <c r="TE10" s="90"/>
      <c r="TF10" s="91"/>
      <c r="TG10" s="86" t="str">
        <f>IF(COUNT(TG11:TG12)=0,"",SUM(TG11:TG12)/COUNT(TG11:TG12))</f>
        <v/>
      </c>
      <c r="TH10" s="87" t="str">
        <f t="shared" si="122"/>
        <v/>
      </c>
      <c r="TI10" s="89"/>
      <c r="TJ10" s="90"/>
      <c r="TK10" s="91"/>
      <c r="TL10" s="86" t="str">
        <f>IF(COUNT(TL11,TL12)=0,"",SUM(TL11:TL12)/COUNT(TL11,TL12))</f>
        <v/>
      </c>
      <c r="TM10" s="88" t="str">
        <f t="shared" si="123"/>
        <v/>
      </c>
      <c r="TN10" s="89"/>
      <c r="TO10" s="90"/>
      <c r="TP10" s="91"/>
      <c r="TQ10" s="86" t="str">
        <f>IF(COUNT(TQ11,TQ12)=0,"",SUM(TQ11:TQ12)/COUNT(TQ11,TQ12))</f>
        <v/>
      </c>
      <c r="TR10" s="92" t="str">
        <f t="shared" si="124"/>
        <v/>
      </c>
      <c r="TS10" s="93" t="str">
        <f>IF(COUNT(TS11:TS12)=0,"",SUM(TS11:TS12)/COUNT(TS11:TS12))</f>
        <v/>
      </c>
      <c r="TT10" s="94" t="str">
        <f t="shared" si="125"/>
        <v/>
      </c>
      <c r="TU10" s="117"/>
      <c r="TV10" s="90"/>
      <c r="TW10" s="91"/>
      <c r="TX10" s="86" t="str">
        <f>IF(COUNT(TX11:TX12)=0,"",SUM(TX11:TX12)/COUNT(TX11:TX12))</f>
        <v/>
      </c>
      <c r="TY10" s="87" t="str">
        <f t="shared" si="126"/>
        <v/>
      </c>
      <c r="TZ10" s="89"/>
      <c r="UA10" s="90"/>
      <c r="UB10" s="91"/>
      <c r="UC10" s="86" t="str">
        <f>IF(COUNT(UC11,UC12)=0,"",SUM(UC11:UC12)/COUNT(UC11,UC12))</f>
        <v/>
      </c>
      <c r="UD10" s="88" t="str">
        <f t="shared" si="127"/>
        <v/>
      </c>
      <c r="UE10" s="89"/>
      <c r="UF10" s="90"/>
      <c r="UG10" s="91"/>
      <c r="UH10" s="86" t="str">
        <f>IF(COUNT(UH11,UH12)=0,"",SUM(UH11:UH12)/COUNT(UH11,UH12))</f>
        <v/>
      </c>
      <c r="UI10" s="92" t="str">
        <f t="shared" si="128"/>
        <v/>
      </c>
      <c r="UJ10" s="93" t="str">
        <f>IF(COUNT(UJ11:UJ12)=0,"",SUM(UJ11:UJ12)/COUNT(UJ11:UJ12))</f>
        <v/>
      </c>
      <c r="UK10" s="94" t="str">
        <f t="shared" si="129"/>
        <v/>
      </c>
      <c r="UL10" s="117"/>
      <c r="UM10" s="90"/>
      <c r="UN10" s="91"/>
      <c r="UO10" s="86" t="str">
        <f>IF(COUNT(UO11:UO12)=0,"",SUM(UO11:UO12)/COUNT(UO11:UO12))</f>
        <v/>
      </c>
      <c r="UP10" s="87" t="str">
        <f t="shared" si="130"/>
        <v/>
      </c>
      <c r="UQ10" s="89"/>
      <c r="UR10" s="90"/>
      <c r="US10" s="91"/>
      <c r="UT10" s="86" t="str">
        <f>IF(COUNT(UT11,UT12)=0,"",SUM(UT11:UT12)/COUNT(UT11,UT12))</f>
        <v/>
      </c>
      <c r="UU10" s="88" t="str">
        <f t="shared" si="131"/>
        <v/>
      </c>
      <c r="UV10" s="89"/>
      <c r="UW10" s="90"/>
      <c r="UX10" s="91"/>
      <c r="UY10" s="86" t="str">
        <f>IF(COUNT(UY11,UY12)=0,"",SUM(UY11:UY12)/COUNT(UY11,UY12))</f>
        <v/>
      </c>
      <c r="UZ10" s="92" t="str">
        <f t="shared" si="132"/>
        <v/>
      </c>
      <c r="VA10" s="93" t="str">
        <f>IF(COUNT(VA11:VA12)=0,"",SUM(VA11:VA12)/COUNT(VA11:VA12))</f>
        <v/>
      </c>
      <c r="VB10" s="94" t="str">
        <f t="shared" si="133"/>
        <v/>
      </c>
      <c r="VC10" s="117"/>
      <c r="VD10" s="90"/>
      <c r="VE10" s="91"/>
      <c r="VF10" s="86" t="str">
        <f>IF(COUNT(VF11:VF12)=0,"",SUM(VF11:VF12)/COUNT(VF11:VF12))</f>
        <v/>
      </c>
      <c r="VG10" s="87" t="str">
        <f t="shared" si="134"/>
        <v/>
      </c>
      <c r="VH10" s="89"/>
      <c r="VI10" s="90"/>
      <c r="VJ10" s="91"/>
      <c r="VK10" s="86" t="str">
        <f>IF(COUNT(VK11,VK12)=0,"",SUM(VK11:VK12)/COUNT(VK11,VK12))</f>
        <v/>
      </c>
      <c r="VL10" s="88" t="str">
        <f t="shared" si="135"/>
        <v/>
      </c>
      <c r="VM10" s="89"/>
      <c r="VN10" s="90"/>
      <c r="VO10" s="91"/>
      <c r="VP10" s="86" t="str">
        <f>IF(COUNT(VP11,VP12)=0,"",SUM(VP11:VP12)/COUNT(VP11,VP12))</f>
        <v/>
      </c>
      <c r="VQ10" s="92" t="str">
        <f t="shared" si="136"/>
        <v/>
      </c>
      <c r="VR10" s="93" t="str">
        <f>IF(COUNT(VR11:VR12)=0,"",SUM(VR11:VR12)/COUNT(VR11:VR12))</f>
        <v/>
      </c>
      <c r="VS10" s="94" t="str">
        <f t="shared" si="137"/>
        <v/>
      </c>
      <c r="VT10" s="117"/>
      <c r="VU10" s="90"/>
      <c r="VV10" s="91"/>
      <c r="VW10" s="86" t="str">
        <f>IF(COUNT(VW11:VW12)=0,"",SUM(VW11:VW12)/COUNT(VW11:VW12))</f>
        <v/>
      </c>
      <c r="VX10" s="87" t="str">
        <f t="shared" si="138"/>
        <v/>
      </c>
      <c r="VY10" s="89"/>
      <c r="VZ10" s="90"/>
      <c r="WA10" s="91"/>
      <c r="WB10" s="86" t="str">
        <f>IF(COUNT(WB11,WB12)=0,"",SUM(WB11:WB12)/COUNT(WB11,WB12))</f>
        <v/>
      </c>
      <c r="WC10" s="88" t="str">
        <f t="shared" si="139"/>
        <v/>
      </c>
      <c r="WD10" s="89"/>
      <c r="WE10" s="90"/>
      <c r="WF10" s="91"/>
      <c r="WG10" s="86" t="str">
        <f>IF(COUNT(WG11,WG12)=0,"",SUM(WG11:WG12)/COUNT(WG11,WG12))</f>
        <v/>
      </c>
      <c r="WH10" s="92" t="str">
        <f t="shared" si="140"/>
        <v/>
      </c>
      <c r="WI10" s="93" t="str">
        <f>IF(COUNT(WI11:WI12)=0,"",SUM(WI11:WI12)/COUNT(WI11:WI12))</f>
        <v/>
      </c>
      <c r="WJ10" s="94" t="str">
        <f t="shared" si="141"/>
        <v/>
      </c>
    </row>
    <row r="11" spans="1:608" ht="18" customHeight="1" x14ac:dyDescent="0.55000000000000004">
      <c r="A11" s="217" t="s">
        <v>47</v>
      </c>
      <c r="B11" s="218"/>
      <c r="C11" s="103" t="s">
        <v>28</v>
      </c>
      <c r="D11" s="104" t="s">
        <v>27</v>
      </c>
      <c r="E11" s="105"/>
      <c r="F11" s="161">
        <f>IFERROR((((COUNTIF('Elève (3ème4)'!C11:E11,"A"))*4)+((COUNTIF('Elève (3ème4)'!C11:E11,"B"))*3)+((COUNTIF('Elève (3ème4)'!C11:E11,"C"))*2)+((COUNTIF('Elève (3ème4)'!C11:E11,"D"))*1))/(COUNTA(C11:E11)),"")</f>
        <v>3.5</v>
      </c>
      <c r="G11" s="162" t="str">
        <f t="shared" si="22"/>
        <v>B</v>
      </c>
      <c r="H11" s="103"/>
      <c r="I11" s="104"/>
      <c r="J11" s="105"/>
      <c r="K11" s="105"/>
      <c r="L11" s="161" t="str">
        <f>IFERROR((((COUNTIF('Elève (3ème4)'!H11:K11,"A"))*4)+((COUNTIF('Elève (3ème4)'!H11:K11,"B"))*3)+((COUNTIF('Elève (3ème4)'!H11:K11,"C"))*2)+((COUNTIF('Elève (3ème4)'!H11:K11,"D"))*1))/(COUNTA(H11:K11)),"")</f>
        <v/>
      </c>
      <c r="M11" s="162" t="str">
        <f t="shared" si="23"/>
        <v/>
      </c>
      <c r="N11" s="103" t="s">
        <v>27</v>
      </c>
      <c r="O11" s="104" t="s">
        <v>27</v>
      </c>
      <c r="P11" s="105" t="s">
        <v>27</v>
      </c>
      <c r="Q11" s="105" t="s">
        <v>27</v>
      </c>
      <c r="R11" s="105"/>
      <c r="S11" s="105"/>
      <c r="T11" s="161">
        <f>IFERROR((((COUNTIF('Elève (3ème4)'!N11:S11,"A"))*4)+((COUNTIF('Elève (3ème4)'!N11:S11,"B"))*3)+((COUNTIF('Elève (3ème4)'!N11:S11,"C"))*2)+((COUNTIF('Elève (3ème4)'!N11:S11,"D"))*1))/(COUNTA(N11:S11)),"")</f>
        <v>4</v>
      </c>
      <c r="U11" s="162" t="str">
        <f t="shared" si="24"/>
        <v>A</v>
      </c>
      <c r="V11" s="189">
        <f>IF(COUNT(F11,L11,T11)=0,"",SUM(F11,L11,T11)/COUNT(F11,L11,T11))</f>
        <v>3.75</v>
      </c>
      <c r="W11" s="186" t="str">
        <f t="shared" si="25"/>
        <v>A</v>
      </c>
      <c r="X11" s="103" t="s">
        <v>30</v>
      </c>
      <c r="Y11" s="104" t="s">
        <v>30</v>
      </c>
      <c r="Z11" s="105"/>
      <c r="AA11" s="161">
        <f>IFERROR((((COUNTIF('Elève (3ème4)'!X11:Z11,"A"))*4)+((COUNTIF('Elève (3ème4)'!X11:Z11,"B"))*3)+((COUNTIF('Elève (3ème4)'!X11:Z11,"C"))*2)+((COUNTIF('Elève (3ème4)'!X11:Z11,"D"))*1))/(COUNTA(X11:Z11)),"")</f>
        <v>1</v>
      </c>
      <c r="AB11" s="162" t="str">
        <f t="shared" si="26"/>
        <v>D</v>
      </c>
      <c r="AC11" s="103"/>
      <c r="AD11" s="104"/>
      <c r="AE11" s="105"/>
      <c r="AF11" s="105"/>
      <c r="AG11" s="161" t="str">
        <f>IFERROR((((COUNTIF('Elève (3ème4)'!AC11:AF11,"A"))*4)+((COUNTIF('Elève (3ème4)'!AC11:AF11,"B"))*3)+((COUNTIF('Elève (3ème4)'!AC11:AF11,"C"))*2)+((COUNTIF('Elève (3ème4)'!AC11:AF11,"D"))*1))/(COUNTA(AC11:AF11)),"")</f>
        <v/>
      </c>
      <c r="AH11" s="162" t="str">
        <f t="shared" si="27"/>
        <v/>
      </c>
      <c r="AI11" s="103"/>
      <c r="AJ11" s="104"/>
      <c r="AK11" s="105"/>
      <c r="AL11" s="105"/>
      <c r="AM11" s="105"/>
      <c r="AN11" s="109"/>
      <c r="AO11" s="161" t="str">
        <f>IFERROR((((COUNTIF('Elève (3ème4)'!AI11:AN11,"A"))*4)+((COUNTIF('Elève (3ème4)'!AI11:AN11,"B"))*3)+((COUNTIF('Elève (3ème4)'!AI11:AN11,"C"))*2)+((COUNTIF('Elève (3ème4)'!AI11:AN11,"D"))*1))/(COUNTA(AI11:AN11)),"")</f>
        <v/>
      </c>
      <c r="AP11" s="162" t="str">
        <f t="shared" si="28"/>
        <v/>
      </c>
      <c r="AQ11" s="189">
        <f>IF(COUNT(AA11,AG11,AO11)=0,"",SUM(AA11,AG11,AO11)/COUNT(AA11,AG11,AO11))</f>
        <v>1</v>
      </c>
      <c r="AR11" s="186" t="str">
        <f t="shared" si="29"/>
        <v>D</v>
      </c>
      <c r="AS11" s="103" t="s">
        <v>27</v>
      </c>
      <c r="AT11" s="104" t="s">
        <v>30</v>
      </c>
      <c r="AU11" s="105"/>
      <c r="AV11" s="161">
        <f>IFERROR((((COUNTIF('Elève (3ème4)'!AS11:AU11,"A"))*4)+((COUNTIF('Elève (3ème4)'!AS11:AU11,"B"))*3)+((COUNTIF('Elève (3ème4)'!AS11:AU11,"C"))*2)+((COUNTIF('Elève (3ème4)'!AS11:AU11,"D"))*1))/(COUNTA(AS11:AU11)),"")</f>
        <v>2.5</v>
      </c>
      <c r="AW11" s="162" t="str">
        <f t="shared" si="30"/>
        <v>C</v>
      </c>
      <c r="AX11" s="103"/>
      <c r="AY11" s="104"/>
      <c r="AZ11" s="105"/>
      <c r="BA11" s="105"/>
      <c r="BB11" s="161" t="str">
        <f>IFERROR((((COUNTIF('Elève (3ème4)'!AX11:BA11,"A"))*4)+((COUNTIF('Elève (3ème4)'!AX11:BA11,"B"))*3)+((COUNTIF('Elève (3ème4)'!AX11:BA11,"C"))*2)+((COUNTIF('Elève (3ème4)'!AX11:BA11,"D"))*1))/(COUNTA(AX11:BA11)),"")</f>
        <v/>
      </c>
      <c r="BC11" s="162" t="str">
        <f t="shared" si="31"/>
        <v/>
      </c>
      <c r="BD11" s="103" t="s">
        <v>27</v>
      </c>
      <c r="BE11" s="104" t="s">
        <v>28</v>
      </c>
      <c r="BF11" s="105"/>
      <c r="BG11" s="105" t="s">
        <v>27</v>
      </c>
      <c r="BH11" s="105"/>
      <c r="BI11" s="109"/>
      <c r="BJ11" s="161">
        <f>IFERROR((((COUNTIF('Elève (3ème4)'!BD11:BI11,"A"))*4)+((COUNTIF('Elève (3ème4)'!BD11:BI11,"B"))*3)+((COUNTIF('Elève (3ème4)'!BD11:BI11,"C"))*2)+((COUNTIF('Elève (3ème4)'!BD11:BI11,"D"))*1))/(COUNTA(BD11:BI11)),"")</f>
        <v>3.6666666666666665</v>
      </c>
      <c r="BK11" s="162" t="str">
        <f t="shared" si="32"/>
        <v>B</v>
      </c>
      <c r="BL11" s="189">
        <f>IF(COUNT(AV11,BB11,BJ11)=0,"",SUM(AV11,BB11,BJ11)/COUNT(AV11,BB11,BJ11))</f>
        <v>3.083333333333333</v>
      </c>
      <c r="BM11" s="186" t="str">
        <f t="shared" si="33"/>
        <v>B</v>
      </c>
      <c r="BN11" s="103" t="s">
        <v>28</v>
      </c>
      <c r="BO11" s="104" t="s">
        <v>30</v>
      </c>
      <c r="BP11" s="105"/>
      <c r="BQ11" s="161">
        <f>IFERROR((((COUNTIF('Elève (3ème4)'!BN11:BP11,"A"))*4)+((COUNTIF('Elève (3ème4)'!BN11:BP11,"B"))*3)+((COUNTIF('Elève (3ème4)'!BN11:BP11,"C"))*2)+((COUNTIF('Elève (3ème4)'!BN11:BP11,"D"))*1))/(COUNTA(BN11:BP11)),"")</f>
        <v>2</v>
      </c>
      <c r="BR11" s="162" t="str">
        <f t="shared" si="34"/>
        <v>C</v>
      </c>
      <c r="BS11" s="103"/>
      <c r="BT11" s="104"/>
      <c r="BU11" s="105"/>
      <c r="BV11" s="105"/>
      <c r="BW11" s="161" t="str">
        <f>IFERROR((((COUNTIF('Elève (3ème4)'!BS11:BV11,"A"))*4)+((COUNTIF('Elève (3ème4)'!BS11:BV11,"B"))*3)+((COUNTIF('Elève (3ème4)'!BS11:BV11,"C"))*2)+((COUNTIF('Elève (3ème4)'!BS11:BV11,"D"))*1))/(COUNTA(BS11:BV11)),"")</f>
        <v/>
      </c>
      <c r="BX11" s="162" t="str">
        <f t="shared" si="35"/>
        <v/>
      </c>
      <c r="BY11" s="103" t="s">
        <v>27</v>
      </c>
      <c r="BZ11" s="104" t="s">
        <v>29</v>
      </c>
      <c r="CA11" s="105"/>
      <c r="CB11" s="105" t="s">
        <v>28</v>
      </c>
      <c r="CC11" s="105"/>
      <c r="CD11" s="109"/>
      <c r="CE11" s="161">
        <f>IFERROR((((COUNTIF('Elève (3ème4)'!BY11:CD11,"A"))*4)+((COUNTIF('Elève (3ème4)'!BY11:CD11,"B"))*3)+((COUNTIF('Elève (3ème4)'!BY11:CD11,"C"))*2)+((COUNTIF('Elève (3ème4)'!BY11:CD11,"D"))*1))/(COUNTA(BY11:CD11)),"")</f>
        <v>3</v>
      </c>
      <c r="CF11" s="162" t="str">
        <f t="shared" si="36"/>
        <v>B</v>
      </c>
      <c r="CG11" s="189">
        <f>IF(COUNT(BQ11,BW11,CE11)=0,"",SUM(BQ11,BW11,CE11)/COUNT(BQ11,BW11,CE11))</f>
        <v>2.5</v>
      </c>
      <c r="CH11" s="186" t="str">
        <f t="shared" si="37"/>
        <v>C</v>
      </c>
      <c r="CI11" s="103" t="s">
        <v>30</v>
      </c>
      <c r="CJ11" s="104" t="s">
        <v>30</v>
      </c>
      <c r="CK11" s="105"/>
      <c r="CL11" s="161">
        <f>IFERROR((((COUNTIF('Elève (3ème4)'!CI11:CK11,"A"))*4)+((COUNTIF('Elève (3ème4)'!CI11:CK11,"B"))*3)+((COUNTIF('Elève (3ème4)'!CI11:CK11,"C"))*2)+((COUNTIF('Elève (3ème4)'!CI11:CK11,"D"))*1))/(COUNTA(CI11:CK11)),"")</f>
        <v>1</v>
      </c>
      <c r="CM11" s="162" t="str">
        <f t="shared" si="38"/>
        <v>D</v>
      </c>
      <c r="CN11" s="103"/>
      <c r="CO11" s="104"/>
      <c r="CP11" s="105"/>
      <c r="CQ11" s="105"/>
      <c r="CR11" s="161" t="str">
        <f>IFERROR((((COUNTIF('Elève (3ème4)'!CN11:CQ11,"A"))*4)+((COUNTIF('Elève (3ème4)'!CN11:CQ11,"B"))*3)+((COUNTIF('Elève (3ème4)'!CN11:CQ11,"C"))*2)+((COUNTIF('Elève (3ème4)'!CN11:CQ11,"D"))*1))/(COUNTA(CN11:CQ11)),"")</f>
        <v/>
      </c>
      <c r="CS11" s="162" t="str">
        <f t="shared" si="39"/>
        <v/>
      </c>
      <c r="CT11" s="103"/>
      <c r="CU11" s="104" t="s">
        <v>28</v>
      </c>
      <c r="CV11" s="105" t="s">
        <v>27</v>
      </c>
      <c r="CW11" s="105" t="s">
        <v>27</v>
      </c>
      <c r="CX11" s="105"/>
      <c r="CY11" s="109"/>
      <c r="CZ11" s="161">
        <f>IFERROR((((COUNTIF('Elève (3ème4)'!CT11:CY11,"A"))*4)+((COUNTIF('Elève (3ème4)'!CT11:CY11,"B"))*3)+((COUNTIF('Elève (3ème4)'!CT11:CY11,"C"))*2)+((COUNTIF('Elève (3ème4)'!CT11:CY11,"D"))*1))/(COUNTA(CT11:CY11)),"")</f>
        <v>3.6666666666666665</v>
      </c>
      <c r="DA11" s="162" t="str">
        <f t="shared" si="40"/>
        <v>B</v>
      </c>
      <c r="DB11" s="189">
        <f>IF(COUNT(CL11,CR11,CZ11)=0,"",SUM(CL11,CR11,CZ11)/COUNT(CL11,CR11,CZ11))</f>
        <v>2.333333333333333</v>
      </c>
      <c r="DC11" s="186" t="str">
        <f t="shared" si="41"/>
        <v>C</v>
      </c>
      <c r="DD11" s="103" t="s">
        <v>27</v>
      </c>
      <c r="DE11" s="104" t="s">
        <v>30</v>
      </c>
      <c r="DF11" s="105"/>
      <c r="DG11" s="161">
        <f>IFERROR((((COUNTIF('Elève (3ème4)'!DD11:DF11,"A"))*4)+((COUNTIF('Elève (3ème4)'!DD11:DF11,"B"))*3)+((COUNTIF('Elève (3ème4)'!DD11:DF11,"C"))*2)+((COUNTIF('Elève (3ème4)'!DD11:DF11,"D"))*1))/(COUNTA(DD11:DF11)),"")</f>
        <v>2.5</v>
      </c>
      <c r="DH11" s="162" t="str">
        <f t="shared" si="42"/>
        <v>C</v>
      </c>
      <c r="DI11" s="103"/>
      <c r="DJ11" s="104"/>
      <c r="DK11" s="105"/>
      <c r="DL11" s="105"/>
      <c r="DM11" s="161" t="str">
        <f>IFERROR((((COUNTIF('Elève (3ème4)'!DI11:DL11,"A"))*4)+((COUNTIF('Elève (3ème4)'!DI11:DL11,"B"))*3)+((COUNTIF('Elève (3ème4)'!DI11:DL11,"C"))*2)+((COUNTIF('Elève (3ème4)'!DI11:DL11,"D"))*1))/(COUNTA(DI11:DL11)),"")</f>
        <v/>
      </c>
      <c r="DN11" s="162" t="str">
        <f t="shared" si="43"/>
        <v/>
      </c>
      <c r="DO11" s="103" t="s">
        <v>27</v>
      </c>
      <c r="DP11" s="104" t="s">
        <v>28</v>
      </c>
      <c r="DQ11" s="105" t="s">
        <v>27</v>
      </c>
      <c r="DR11" s="105"/>
      <c r="DS11" s="105"/>
      <c r="DT11" s="109"/>
      <c r="DU11" s="161">
        <f>IFERROR((((COUNTIF('Elève (3ème4)'!DO11:DT11,"A"))*4)+((COUNTIF('Elève (3ème4)'!DO11:DT11,"B"))*3)+((COUNTIF('Elève (3ème4)'!DO11:DT11,"C"))*2)+((COUNTIF('Elève (3ème4)'!DO11:DT11,"D"))*1))/(COUNTA(DO11:DT11)),"")</f>
        <v>3.6666666666666665</v>
      </c>
      <c r="DV11" s="162" t="str">
        <f t="shared" si="44"/>
        <v>B</v>
      </c>
      <c r="DW11" s="189">
        <f>IF(COUNT(DG11,DM11,DU11)=0,"",SUM(DG11,DM11,DU11)/COUNT(DG11,DM11,DU11))</f>
        <v>3.083333333333333</v>
      </c>
      <c r="DX11" s="186" t="str">
        <f t="shared" si="45"/>
        <v>B</v>
      </c>
      <c r="DY11" s="103" t="s">
        <v>30</v>
      </c>
      <c r="DZ11" s="104" t="s">
        <v>29</v>
      </c>
      <c r="EA11" s="105"/>
      <c r="EB11" s="161">
        <f>IFERROR((((COUNTIF('Elève (3ème4)'!DY11:EA11,"A"))*4)+((COUNTIF('Elève (3ème4)'!DY11:EA11,"B"))*3)+((COUNTIF('Elève (3ème4)'!DY11:EA11,"C"))*2)+((COUNTIF('Elève (3ème4)'!DY11:EA11,"D"))*1))/(COUNTA(DY11:EA11)),"")</f>
        <v>1.5</v>
      </c>
      <c r="EC11" s="162" t="str">
        <f t="shared" si="46"/>
        <v>D</v>
      </c>
      <c r="ED11" s="103"/>
      <c r="EE11" s="104"/>
      <c r="EF11" s="105"/>
      <c r="EG11" s="105"/>
      <c r="EH11" s="161" t="str">
        <f>IFERROR((((COUNTIF('Elève (3ème4)'!ED11:EG11,"A"))*4)+((COUNTIF('Elève (3ème4)'!ED11:EG11,"B"))*3)+((COUNTIF('Elève (3ème4)'!ED11:EG11,"C"))*2)+((COUNTIF('Elève (3ème4)'!ED11:EG11,"D"))*1))/(COUNTA(ED11:EG11)),"")</f>
        <v/>
      </c>
      <c r="EI11" s="162" t="str">
        <f t="shared" si="47"/>
        <v/>
      </c>
      <c r="EJ11" s="103" t="s">
        <v>27</v>
      </c>
      <c r="EK11" s="104" t="s">
        <v>28</v>
      </c>
      <c r="EL11" s="105" t="s">
        <v>27</v>
      </c>
      <c r="EM11" s="105" t="s">
        <v>27</v>
      </c>
      <c r="EN11" s="105"/>
      <c r="EO11" s="109"/>
      <c r="EP11" s="161">
        <f>IFERROR((((COUNTIF('Elève (3ème4)'!EJ11:EO11,"A"))*4)+((COUNTIF('Elève (3ème4)'!EJ11:EO11,"B"))*3)+((COUNTIF('Elève (3ème4)'!EJ11:EO11,"C"))*2)+((COUNTIF('Elève (3ème4)'!EJ11:EO11,"D"))*1))/(COUNTA(EJ11:EO11)),"")</f>
        <v>3.75</v>
      </c>
      <c r="EQ11" s="162" t="str">
        <f t="shared" si="48"/>
        <v>A</v>
      </c>
      <c r="ER11" s="189">
        <f>IF(COUNT(EB11,EH11,EP11)=0,"",SUM(EB11,EH11,EP11)/COUNT(EB11,EH11,EP11))</f>
        <v>2.625</v>
      </c>
      <c r="ES11" s="186" t="str">
        <f t="shared" si="49"/>
        <v>C</v>
      </c>
      <c r="ET11" s="103" t="s">
        <v>27</v>
      </c>
      <c r="EU11" s="104" t="s">
        <v>30</v>
      </c>
      <c r="EV11" s="105"/>
      <c r="EW11" s="161">
        <f>IFERROR((((COUNTIF('Elève (3ème4)'!ET11:EV11,"A"))*4)+((COUNTIF('Elève (3ème4)'!ET11:EV11,"B"))*3)+((COUNTIF('Elève (3ème4)'!ET11:EV11,"C"))*2)+((COUNTIF('Elève (3ème4)'!ET11:EV11,"D"))*1))/(COUNTA(ET11:EV11)),"")</f>
        <v>2.5</v>
      </c>
      <c r="EX11" s="162" t="str">
        <f t="shared" si="50"/>
        <v>C</v>
      </c>
      <c r="EY11" s="103"/>
      <c r="EZ11" s="104"/>
      <c r="FA11" s="105"/>
      <c r="FB11" s="105"/>
      <c r="FC11" s="161" t="str">
        <f>IFERROR((((COUNTIF('Elève (3ème4)'!EY11:FB11,"A"))*4)+((COUNTIF('Elève (3ème4)'!EY11:FB11,"B"))*3)+((COUNTIF('Elève (3ème4)'!EY11:FB11,"C"))*2)+((COUNTIF('Elève (3ème4)'!EY11:FB11,"D"))*1))/(COUNTA(EY11:FB11)),"")</f>
        <v/>
      </c>
      <c r="FD11" s="162" t="str">
        <f t="shared" si="51"/>
        <v/>
      </c>
      <c r="FE11" s="103" t="s">
        <v>27</v>
      </c>
      <c r="FF11" s="104" t="s">
        <v>28</v>
      </c>
      <c r="FG11" s="105"/>
      <c r="FH11" s="105" t="s">
        <v>27</v>
      </c>
      <c r="FI11" s="105"/>
      <c r="FJ11" s="109"/>
      <c r="FK11" s="161">
        <f>IFERROR((((COUNTIF('Elève (3ème4)'!FE11:FJ11,"A"))*4)+((COUNTIF('Elève (3ème4)'!FE11:FJ11,"B"))*3)+((COUNTIF('Elève (3ème4)'!FE11:FJ11,"C"))*2)+((COUNTIF('Elève (3ème4)'!FE11:FJ11,"D"))*1))/(COUNTA(FE11:FJ11)),"")</f>
        <v>3.6666666666666665</v>
      </c>
      <c r="FL11" s="162" t="str">
        <f t="shared" si="52"/>
        <v>B</v>
      </c>
      <c r="FM11" s="189">
        <f>IF(COUNT(EW11,FC11,FK11)=0,"",SUM(EW11,FC11,FK11)/COUNT(EW11,FC11,FK11))</f>
        <v>3.083333333333333</v>
      </c>
      <c r="FN11" s="186" t="str">
        <f t="shared" si="53"/>
        <v>B</v>
      </c>
      <c r="FO11" s="103" t="s">
        <v>27</v>
      </c>
      <c r="FP11" s="104" t="s">
        <v>30</v>
      </c>
      <c r="FQ11" s="105"/>
      <c r="FR11" s="161">
        <f>IFERROR((((COUNTIF('Elève (3ème4)'!FO11:FQ11,"A"))*4)+((COUNTIF('Elève (3ème4)'!FO11:FQ11,"B"))*3)+((COUNTIF('Elève (3ème4)'!FO11:FQ11,"C"))*2)+((COUNTIF('Elève (3ème4)'!FO11:FQ11,"D"))*1))/(COUNTA(FO11:FQ11)),"")</f>
        <v>2.5</v>
      </c>
      <c r="FS11" s="162" t="str">
        <f t="shared" si="54"/>
        <v>C</v>
      </c>
      <c r="FT11" s="103"/>
      <c r="FU11" s="104"/>
      <c r="FV11" s="105"/>
      <c r="FW11" s="105"/>
      <c r="FX11" s="161" t="str">
        <f>IFERROR((((COUNTIF('Elève (3ème4)'!FT11:FW11,"A"))*4)+((COUNTIF('Elève (3ème4)'!FT11:FW11,"B"))*3)+((COUNTIF('Elève (3ème4)'!FT11:FW11,"C"))*2)+((COUNTIF('Elève (3ème4)'!FT11:FW11,"D"))*1))/(COUNTA(FT11:FW11)),"")</f>
        <v/>
      </c>
      <c r="FY11" s="162" t="str">
        <f t="shared" si="55"/>
        <v/>
      </c>
      <c r="FZ11" s="103" t="s">
        <v>27</v>
      </c>
      <c r="GA11" s="104" t="s">
        <v>29</v>
      </c>
      <c r="GB11" s="105" t="s">
        <v>27</v>
      </c>
      <c r="GC11" s="105" t="s">
        <v>27</v>
      </c>
      <c r="GD11" s="105"/>
      <c r="GE11" s="109"/>
      <c r="GF11" s="161">
        <f>IFERROR((((COUNTIF('Elève (3ème4)'!FZ11:GE11,"A"))*4)+((COUNTIF('Elève (3ème4)'!FZ11:GE11,"B"))*3)+((COUNTIF('Elève (3ème4)'!FZ11:GE11,"C"))*2)+((COUNTIF('Elève (3ème4)'!FZ11:GE11,"D"))*1))/(COUNTA(FZ11:GE11)),"")</f>
        <v>3.5</v>
      </c>
      <c r="GG11" s="162" t="str">
        <f t="shared" si="56"/>
        <v>B</v>
      </c>
      <c r="GH11" s="189">
        <f>IF(COUNT(FR11,FX11,GF11)=0,"",SUM(FR11,FX11,GF11)/COUNT(FR11,FX11,GF11))</f>
        <v>3</v>
      </c>
      <c r="GI11" s="186" t="str">
        <f t="shared" si="57"/>
        <v>B</v>
      </c>
      <c r="GJ11" s="103" t="s">
        <v>29</v>
      </c>
      <c r="GK11" s="104" t="s">
        <v>29</v>
      </c>
      <c r="GL11" s="105"/>
      <c r="GM11" s="161">
        <f>IFERROR((((COUNTIF('Elève (3ème4)'!GJ11:GL11,"A"))*4)+((COUNTIF('Elève (3ème4)'!GJ11:GL11,"B"))*3)+((COUNTIF('Elève (3ème4)'!GJ11:GL11,"C"))*2)+((COUNTIF('Elève (3ème4)'!GJ11:GL11,"D"))*1))/(COUNTA(GJ11:GL11)),"")</f>
        <v>2</v>
      </c>
      <c r="GN11" s="162" t="str">
        <f t="shared" si="58"/>
        <v>C</v>
      </c>
      <c r="GO11" s="103"/>
      <c r="GP11" s="104"/>
      <c r="GQ11" s="105"/>
      <c r="GR11" s="105"/>
      <c r="GS11" s="161" t="str">
        <f>IFERROR((((COUNTIF('Elève (3ème4)'!GO11:GR11,"A"))*4)+((COUNTIF('Elève (3ème4)'!GO11:GR11,"B"))*3)+((COUNTIF('Elève (3ème4)'!GO11:GR11,"C"))*2)+((COUNTIF('Elève (3ème4)'!GO11:GR11,"D"))*1))/(COUNTA(GO11:GR11)),"")</f>
        <v/>
      </c>
      <c r="GT11" s="162" t="str">
        <f t="shared" si="59"/>
        <v/>
      </c>
      <c r="GU11" s="103" t="s">
        <v>27</v>
      </c>
      <c r="GV11" s="104" t="s">
        <v>28</v>
      </c>
      <c r="GW11" s="105" t="s">
        <v>27</v>
      </c>
      <c r="GX11" s="105" t="s">
        <v>27</v>
      </c>
      <c r="GY11" s="105"/>
      <c r="GZ11" s="109"/>
      <c r="HA11" s="161">
        <f>IFERROR((((COUNTIF('Elève (3ème4)'!GU11:GZ11,"A"))*4)+((COUNTIF('Elève (3ème4)'!GU11:GZ11,"B"))*3)+((COUNTIF('Elève (3ème4)'!GU11:GZ11,"C"))*2)+((COUNTIF('Elève (3ème4)'!GU11:GZ11,"D"))*1))/(COUNTA(GU11:GZ11)),"")</f>
        <v>3.75</v>
      </c>
      <c r="HB11" s="162" t="str">
        <f t="shared" si="60"/>
        <v>A</v>
      </c>
      <c r="HC11" s="189">
        <f>IF(COUNT(GM11,GS11,HA11)=0,"",SUM(GM11,GS11,HA11)/COUNT(GM11,GS11,HA11))</f>
        <v>2.875</v>
      </c>
      <c r="HD11" s="186" t="str">
        <f t="shared" si="61"/>
        <v>B</v>
      </c>
      <c r="HE11" s="103" t="s">
        <v>30</v>
      </c>
      <c r="HF11" s="104" t="s">
        <v>30</v>
      </c>
      <c r="HG11" s="105"/>
      <c r="HH11" s="161">
        <f>IFERROR((((COUNTIF('Elève (3ème4)'!HE11:HG11,"A"))*4)+((COUNTIF('Elève (3ème4)'!HE11:HG11,"B"))*3)+((COUNTIF('Elève (3ème4)'!HE11:HG11,"C"))*2)+((COUNTIF('Elève (3ème4)'!HE11:HG11,"D"))*1))/(COUNTA(HE11:HG11)),"")</f>
        <v>1</v>
      </c>
      <c r="HI11" s="162" t="str">
        <f t="shared" si="62"/>
        <v>D</v>
      </c>
      <c r="HJ11" s="103"/>
      <c r="HK11" s="104"/>
      <c r="HL11" s="105"/>
      <c r="HM11" s="105"/>
      <c r="HN11" s="161" t="str">
        <f>IFERROR((((COUNTIF('Elève (3ème4)'!HJ11:HM11,"A"))*4)+((COUNTIF('Elève (3ème4)'!HJ11:HM11,"B"))*3)+((COUNTIF('Elève (3ème4)'!HJ11:HM11,"C"))*2)+((COUNTIF('Elève (3ème4)'!HJ11:HM11,"D"))*1))/(COUNTA(HJ11:HM11)),"")</f>
        <v/>
      </c>
      <c r="HO11" s="162" t="str">
        <f t="shared" si="63"/>
        <v/>
      </c>
      <c r="HP11" s="103" t="s">
        <v>28</v>
      </c>
      <c r="HQ11" s="104" t="s">
        <v>29</v>
      </c>
      <c r="HR11" s="105"/>
      <c r="HS11" s="105" t="s">
        <v>28</v>
      </c>
      <c r="HT11" s="105"/>
      <c r="HU11" s="109"/>
      <c r="HV11" s="161">
        <f>IFERROR((((COUNTIF('Elève (3ème4)'!HP11:HU11,"A"))*4)+((COUNTIF('Elève (3ème4)'!HP11:HU11,"B"))*3)+((COUNTIF('Elève (3ème4)'!HP11:HU11,"C"))*2)+((COUNTIF('Elève (3ème4)'!HP11:HU11,"D"))*1))/(COUNTA(HP11:HU11)),"")</f>
        <v>2.6666666666666665</v>
      </c>
      <c r="HW11" s="162" t="str">
        <f t="shared" si="64"/>
        <v>C</v>
      </c>
      <c r="HX11" s="189">
        <f>IF(COUNT(HH11,HN11,HV11)=0,"",SUM(HH11,HN11,HV11)/COUNT(HH11,HN11,HV11))</f>
        <v>1.8333333333333333</v>
      </c>
      <c r="HY11" s="186" t="str">
        <f t="shared" si="65"/>
        <v>C</v>
      </c>
      <c r="HZ11" s="103" t="s">
        <v>27</v>
      </c>
      <c r="IA11" s="104" t="s">
        <v>29</v>
      </c>
      <c r="IB11" s="105"/>
      <c r="IC11" s="161">
        <f>IFERROR((((COUNTIF('Elève (3ème4)'!HZ11:IB11,"A"))*4)+((COUNTIF('Elève (3ème4)'!HZ11:IB11,"B"))*3)+((COUNTIF('Elève (3ème4)'!HZ11:IB11,"C"))*2)+((COUNTIF('Elève (3ème4)'!HZ11:IB11,"D"))*1))/(COUNTA(HZ11:IB11)),"")</f>
        <v>3</v>
      </c>
      <c r="ID11" s="162" t="str">
        <f t="shared" si="66"/>
        <v>B</v>
      </c>
      <c r="IE11" s="103"/>
      <c r="IF11" s="104"/>
      <c r="IG11" s="105"/>
      <c r="IH11" s="105"/>
      <c r="II11" s="161" t="str">
        <f>IFERROR((((COUNTIF('Elève (3ème4)'!IE11:IH11,"A"))*4)+((COUNTIF('Elève (3ème4)'!IE11:IH11,"B"))*3)+((COUNTIF('Elève (3ème4)'!IE11:IH11,"C"))*2)+((COUNTIF('Elève (3ème4)'!IE11:IH11,"D"))*1))/(COUNTA(IE11:IH11)),"")</f>
        <v/>
      </c>
      <c r="IJ11" s="162" t="str">
        <f t="shared" si="67"/>
        <v/>
      </c>
      <c r="IK11" s="103" t="s">
        <v>27</v>
      </c>
      <c r="IL11" s="104" t="s">
        <v>28</v>
      </c>
      <c r="IM11" s="105"/>
      <c r="IN11" s="105" t="s">
        <v>27</v>
      </c>
      <c r="IO11" s="105"/>
      <c r="IP11" s="109"/>
      <c r="IQ11" s="161">
        <f>IFERROR((((COUNTIF('Elève (3ème4)'!IK11:IP11,"A"))*4)+((COUNTIF('Elève (3ème4)'!IK11:IP11,"B"))*3)+((COUNTIF('Elève (3ème4)'!IK11:IP11,"C"))*2)+((COUNTIF('Elève (3ème4)'!IK11:IP11,"D"))*1))/(COUNTA(IK11:IP11)),"")</f>
        <v>3.6666666666666665</v>
      </c>
      <c r="IR11" s="162" t="str">
        <f t="shared" si="68"/>
        <v>B</v>
      </c>
      <c r="IS11" s="189">
        <f>IF(COUNT(IC11,II11,IQ11)=0,"",SUM(IC11,II11,IQ11)/COUNT(IC11,II11,IQ11))</f>
        <v>3.333333333333333</v>
      </c>
      <c r="IT11" s="186" t="str">
        <f t="shared" si="69"/>
        <v>B</v>
      </c>
      <c r="IU11" s="103" t="s">
        <v>30</v>
      </c>
      <c r="IV11" s="104" t="s">
        <v>30</v>
      </c>
      <c r="IW11" s="105"/>
      <c r="IX11" s="161">
        <f>IFERROR((((COUNTIF('Elève (3ème4)'!IU11:IW11,"A"))*4)+((COUNTIF('Elève (3ème4)'!IU11:IW11,"B"))*3)+((COUNTIF('Elève (3ème4)'!IU11:IW11,"C"))*2)+((COUNTIF('Elève (3ème4)'!IU11:IW11,"D"))*1))/(COUNTA(IU11:IW11)),"")</f>
        <v>1</v>
      </c>
      <c r="IY11" s="162" t="str">
        <f t="shared" si="70"/>
        <v>D</v>
      </c>
      <c r="IZ11" s="103"/>
      <c r="JA11" s="104"/>
      <c r="JB11" s="105"/>
      <c r="JC11" s="105"/>
      <c r="JD11" s="161" t="str">
        <f>IFERROR((((COUNTIF('Elève (3ème4)'!IZ11:JC11,"A"))*4)+((COUNTIF('Elève (3ème4)'!IZ11:JC11,"B"))*3)+((COUNTIF('Elève (3ème4)'!IZ11:JC11,"C"))*2)+((COUNTIF('Elève (3ème4)'!IZ11:JC11,"D"))*1))/(COUNTA(IZ11:JC11)),"")</f>
        <v/>
      </c>
      <c r="JE11" s="162" t="str">
        <f t="shared" si="71"/>
        <v/>
      </c>
      <c r="JF11" s="103" t="s">
        <v>27</v>
      </c>
      <c r="JG11" s="104" t="s">
        <v>29</v>
      </c>
      <c r="JH11" s="105" t="s">
        <v>27</v>
      </c>
      <c r="JI11" s="105" t="s">
        <v>27</v>
      </c>
      <c r="JJ11" s="105"/>
      <c r="JK11" s="109"/>
      <c r="JL11" s="161">
        <f>IFERROR((((COUNTIF('Elève (3ème4)'!JF11:JK11,"A"))*4)+((COUNTIF('Elève (3ème4)'!JF11:JK11,"B"))*3)+((COUNTIF('Elève (3ème4)'!JF11:JK11,"C"))*2)+((COUNTIF('Elève (3ème4)'!JF11:JK11,"D"))*1))/(COUNTA(JF11:JK11)),"")</f>
        <v>3.5</v>
      </c>
      <c r="JM11" s="162" t="str">
        <f t="shared" si="72"/>
        <v>B</v>
      </c>
      <c r="JN11" s="189">
        <f>IF(COUNT(IX11,JD11,JL11)=0,"",SUM(IX11,JD11,JL11)/COUNT(IX11,JD11,JL11))</f>
        <v>2.25</v>
      </c>
      <c r="JO11" s="186" t="str">
        <f t="shared" si="73"/>
        <v>C</v>
      </c>
      <c r="JP11" s="103" t="s">
        <v>29</v>
      </c>
      <c r="JQ11" s="104" t="s">
        <v>29</v>
      </c>
      <c r="JR11" s="105"/>
      <c r="JS11" s="161">
        <f>IFERROR((((COUNTIF('Elève (3ème4)'!JP11:JR11,"A"))*4)+((COUNTIF('Elève (3ème4)'!JP11:JR11,"B"))*3)+((COUNTIF('Elève (3ème4)'!JP11:JR11,"C"))*2)+((COUNTIF('Elève (3ème4)'!JP11:JR11,"D"))*1))/(COUNTA(JP11:JR11)),"")</f>
        <v>2</v>
      </c>
      <c r="JT11" s="162" t="str">
        <f t="shared" si="74"/>
        <v>C</v>
      </c>
      <c r="JU11" s="103"/>
      <c r="JV11" s="104"/>
      <c r="JW11" s="105"/>
      <c r="JX11" s="105"/>
      <c r="JY11" s="161" t="str">
        <f>IFERROR((((COUNTIF('Elève (3ème4)'!JU11:JX11,"A"))*4)+((COUNTIF('Elève (3ème4)'!JU11:JX11,"B"))*3)+((COUNTIF('Elève (3ème4)'!JU11:JX11,"C"))*2)+((COUNTIF('Elève (3ème4)'!JU11:JX11,"D"))*1))/(COUNTA(JU11:JX11)),"")</f>
        <v/>
      </c>
      <c r="JZ11" s="162" t="str">
        <f t="shared" si="75"/>
        <v/>
      </c>
      <c r="KA11" s="103" t="s">
        <v>27</v>
      </c>
      <c r="KB11" s="104" t="s">
        <v>28</v>
      </c>
      <c r="KC11" s="105"/>
      <c r="KD11" s="105" t="s">
        <v>27</v>
      </c>
      <c r="KE11" s="105"/>
      <c r="KF11" s="109"/>
      <c r="KG11" s="161">
        <f>IFERROR((((COUNTIF('Elève (3ème4)'!KA11:KF11,"A"))*4)+((COUNTIF('Elève (3ème4)'!KA11:KF11,"B"))*3)+((COUNTIF('Elève (3ème4)'!KA11:KF11,"C"))*2)+((COUNTIF('Elève (3ème4)'!KA11:KF11,"D"))*1))/(COUNTA(KA11:KF11)),"")</f>
        <v>3.6666666666666665</v>
      </c>
      <c r="KH11" s="162" t="str">
        <f t="shared" si="76"/>
        <v>B</v>
      </c>
      <c r="KI11" s="189">
        <f>IF(COUNT(JS11,JY11,KG11)=0,"",SUM(JS11,JY11,KG11)/COUNT(JS11,JY11,KG11))</f>
        <v>2.833333333333333</v>
      </c>
      <c r="KJ11" s="186" t="str">
        <f t="shared" si="77"/>
        <v>B</v>
      </c>
      <c r="KK11" s="103" t="s">
        <v>29</v>
      </c>
      <c r="KL11" s="104" t="s">
        <v>30</v>
      </c>
      <c r="KM11" s="105"/>
      <c r="KN11" s="161">
        <f>IFERROR((((COUNTIF('Elève (3ème4)'!KK11:KM11,"A"))*4)+((COUNTIF('Elève (3ème4)'!KK11:KM11,"B"))*3)+((COUNTIF('Elève (3ème4)'!KK11:KM11,"C"))*2)+((COUNTIF('Elève (3ème4)'!KK11:KM11,"D"))*1))/(COUNTA(KK11:KM11)),"")</f>
        <v>1.5</v>
      </c>
      <c r="KO11" s="162" t="str">
        <f t="shared" si="78"/>
        <v>D</v>
      </c>
      <c r="KP11" s="103"/>
      <c r="KQ11" s="104"/>
      <c r="KR11" s="105"/>
      <c r="KS11" s="105"/>
      <c r="KT11" s="161" t="str">
        <f>IFERROR((((COUNTIF('Elève (3ème4)'!KP11:KS11,"A"))*4)+((COUNTIF('Elève (3ème4)'!KP11:KS11,"B"))*3)+((COUNTIF('Elève (3ème4)'!KP11:KS11,"C"))*2)+((COUNTIF('Elève (3ème4)'!KP11:KS11,"D"))*1))/(COUNTA(KP11:KS11)),"")</f>
        <v/>
      </c>
      <c r="KU11" s="162" t="str">
        <f t="shared" si="79"/>
        <v/>
      </c>
      <c r="KV11" s="103" t="s">
        <v>27</v>
      </c>
      <c r="KW11" s="104" t="s">
        <v>28</v>
      </c>
      <c r="KX11" s="105"/>
      <c r="KY11" s="105" t="s">
        <v>27</v>
      </c>
      <c r="KZ11" s="105"/>
      <c r="LA11" s="109"/>
      <c r="LB11" s="161">
        <f>IFERROR((((COUNTIF('Elève (3ème4)'!KV11:LA11,"A"))*4)+((COUNTIF('Elève (3ème4)'!KV11:LA11,"B"))*3)+((COUNTIF('Elève (3ème4)'!KV11:LA11,"C"))*2)+((COUNTIF('Elève (3ème4)'!KV11:LA11,"D"))*1))/(COUNTA(KV11:LA11)),"")</f>
        <v>3.6666666666666665</v>
      </c>
      <c r="LC11" s="162" t="str">
        <f t="shared" si="80"/>
        <v>B</v>
      </c>
      <c r="LD11" s="189">
        <f>IF(COUNT(KN11,KT11,LB11)=0,"",SUM(KN11,KT11,LB11)/COUNT(KN11,KT11,LB11))</f>
        <v>2.583333333333333</v>
      </c>
      <c r="LE11" s="186" t="str">
        <f t="shared" si="81"/>
        <v>C</v>
      </c>
      <c r="LF11" s="103" t="s">
        <v>30</v>
      </c>
      <c r="LG11" s="104" t="s">
        <v>30</v>
      </c>
      <c r="LH11" s="105"/>
      <c r="LI11" s="161">
        <f>IFERROR((((COUNTIF('Elève (3ème4)'!LF11:LH11,"A"))*4)+((COUNTIF('Elève (3ème4)'!LF11:LH11,"B"))*3)+((COUNTIF('Elève (3ème4)'!LF11:LH11,"C"))*2)+((COUNTIF('Elève (3ème4)'!LF11:LH11,"D"))*1))/(COUNTA(LF11:LH11)),"")</f>
        <v>1</v>
      </c>
      <c r="LJ11" s="162" t="str">
        <f t="shared" si="82"/>
        <v>D</v>
      </c>
      <c r="LK11" s="103"/>
      <c r="LL11" s="104"/>
      <c r="LM11" s="105"/>
      <c r="LN11" s="105"/>
      <c r="LO11" s="161" t="str">
        <f>IFERROR((((COUNTIF('Elève (3ème4)'!LK11:LN11,"A"))*4)+((COUNTIF('Elève (3ème4)'!LK11:LN11,"B"))*3)+((COUNTIF('Elève (3ème4)'!LK11:LN11,"C"))*2)+((COUNTIF('Elève (3ème4)'!LK11:LN11,"D"))*1))/(COUNTA(LK11:LN11)),"")</f>
        <v/>
      </c>
      <c r="LP11" s="162" t="str">
        <f t="shared" si="83"/>
        <v/>
      </c>
      <c r="LQ11" s="103"/>
      <c r="LR11" s="104" t="s">
        <v>29</v>
      </c>
      <c r="LS11" s="105"/>
      <c r="LT11" s="105" t="s">
        <v>27</v>
      </c>
      <c r="LU11" s="105"/>
      <c r="LV11" s="109"/>
      <c r="LW11" s="161">
        <f>IFERROR((((COUNTIF('Elève (3ème4)'!LQ11:LV11,"A"))*4)+((COUNTIF('Elève (3ème4)'!LQ11:LV11,"B"))*3)+((COUNTIF('Elève (3ème4)'!LQ11:LV11,"C"))*2)+((COUNTIF('Elève (3ème4)'!LQ11:LV11,"D"))*1))/(COUNTA(LQ11:LV11)),"")</f>
        <v>3</v>
      </c>
      <c r="LX11" s="162" t="str">
        <f t="shared" si="84"/>
        <v>B</v>
      </c>
      <c r="LY11" s="189">
        <f>IF(COUNT(LI11,LO11,LW11)=0,"",SUM(LI11,LO11,LW11)/COUNT(LI11,LO11,LW11))</f>
        <v>2</v>
      </c>
      <c r="LZ11" s="186" t="str">
        <f t="shared" si="85"/>
        <v>C</v>
      </c>
      <c r="MA11" s="103" t="s">
        <v>27</v>
      </c>
      <c r="MB11" s="104" t="s">
        <v>28</v>
      </c>
      <c r="MC11" s="105"/>
      <c r="MD11" s="161">
        <f>IFERROR((((COUNTIF('Elève (3ème4)'!MA11:MC11,"A"))*4)+((COUNTIF('Elève (3ème4)'!MA11:MC11,"B"))*3)+((COUNTIF('Elève (3ème4)'!MA11:MC11,"C"))*2)+((COUNTIF('Elève (3ème4)'!MA11:MC11,"D"))*1))/(COUNTA(MA11:MC11)),"")</f>
        <v>3.5</v>
      </c>
      <c r="ME11" s="162" t="str">
        <f t="shared" si="86"/>
        <v>B</v>
      </c>
      <c r="MF11" s="103"/>
      <c r="MG11" s="104"/>
      <c r="MH11" s="105"/>
      <c r="MI11" s="105"/>
      <c r="MJ11" s="161" t="str">
        <f>IFERROR((((COUNTIF('Elève (3ème4)'!MF11:MI11,"A"))*4)+((COUNTIF('Elève (3ème4)'!MF11:MI11,"B"))*3)+((COUNTIF('Elève (3ème4)'!MF11:MI11,"C"))*2)+((COUNTIF('Elève (3ème4)'!MF11:MI11,"D"))*1))/(COUNTA(MF11:MI11)),"")</f>
        <v/>
      </c>
      <c r="MK11" s="162" t="str">
        <f t="shared" si="87"/>
        <v/>
      </c>
      <c r="ML11" s="103" t="s">
        <v>27</v>
      </c>
      <c r="MM11" s="104" t="s">
        <v>28</v>
      </c>
      <c r="MN11" s="105"/>
      <c r="MO11" s="105" t="s">
        <v>28</v>
      </c>
      <c r="MP11" s="105"/>
      <c r="MQ11" s="109"/>
      <c r="MR11" s="161">
        <f>IFERROR((((COUNTIF('Elève (3ème4)'!ML11:MQ11,"A"))*4)+((COUNTIF('Elève (3ème4)'!ML11:MQ11,"B"))*3)+((COUNTIF('Elève (3ème4)'!ML11:MQ11,"C"))*2)+((COUNTIF('Elève (3ème4)'!ML11:MQ11,"D"))*1))/(COUNTA(ML11:MQ11)),"")</f>
        <v>3.3333333333333335</v>
      </c>
      <c r="MS11" s="162" t="str">
        <f t="shared" si="88"/>
        <v>B</v>
      </c>
      <c r="MT11" s="189">
        <f>IF(COUNT(MD11,MJ11,MR11)=0,"",SUM(MD11,MJ11,MR11)/COUNT(MD11,MJ11,MR11))</f>
        <v>3.416666666666667</v>
      </c>
      <c r="MU11" s="186" t="str">
        <f t="shared" si="89"/>
        <v>B</v>
      </c>
      <c r="MV11" s="103" t="s">
        <v>30</v>
      </c>
      <c r="MW11" s="104" t="s">
        <v>29</v>
      </c>
      <c r="MX11" s="105"/>
      <c r="MY11" s="161">
        <f>IFERROR((((COUNTIF('Elève (3ème4)'!MV11:MX11,"A"))*4)+((COUNTIF('Elève (3ème4)'!MV11:MX11,"B"))*3)+((COUNTIF('Elève (3ème4)'!MV11:MX11,"C"))*2)+((COUNTIF('Elève (3ème4)'!MV11:MX11,"D"))*1))/(COUNTA(MV11:MX11)),"")</f>
        <v>1.5</v>
      </c>
      <c r="MZ11" s="162" t="str">
        <f t="shared" si="90"/>
        <v>D</v>
      </c>
      <c r="NA11" s="103"/>
      <c r="NB11" s="104"/>
      <c r="NC11" s="105"/>
      <c r="ND11" s="105"/>
      <c r="NE11" s="161" t="str">
        <f>IFERROR((((COUNTIF('Elève (3ème4)'!NA11:ND11,"A"))*4)+((COUNTIF('Elève (3ème4)'!NA11:ND11,"B"))*3)+((COUNTIF('Elève (3ème4)'!NA11:ND11,"C"))*2)+((COUNTIF('Elève (3ème4)'!NA11:ND11,"D"))*1))/(COUNTA(NA11:ND11)),"")</f>
        <v/>
      </c>
      <c r="NF11" s="162" t="str">
        <f t="shared" si="91"/>
        <v/>
      </c>
      <c r="NG11" s="103" t="s">
        <v>28</v>
      </c>
      <c r="NH11" s="104" t="s">
        <v>28</v>
      </c>
      <c r="NI11" s="105" t="s">
        <v>27</v>
      </c>
      <c r="NJ11" s="105" t="s">
        <v>27</v>
      </c>
      <c r="NK11" s="105"/>
      <c r="NL11" s="109"/>
      <c r="NM11" s="161">
        <f>IFERROR((((COUNTIF('Elève (3ème4)'!NG11:NL11,"A"))*4)+((COUNTIF('Elève (3ème4)'!NG11:NL11,"B"))*3)+((COUNTIF('Elève (3ème4)'!NG11:NL11,"C"))*2)+((COUNTIF('Elève (3ème4)'!NG11:NL11,"D"))*1))/(COUNTA(NG11:NL11)),"")</f>
        <v>3.5</v>
      </c>
      <c r="NN11" s="162" t="str">
        <f t="shared" si="92"/>
        <v>B</v>
      </c>
      <c r="NO11" s="189">
        <f>IF(COUNT(MY11,NE11,NM11)=0,"",SUM(MY11,NE11,NM11)/COUNT(MY11,NE11,NM11))</f>
        <v>2.5</v>
      </c>
      <c r="NP11" s="186" t="str">
        <f t="shared" si="93"/>
        <v>C</v>
      </c>
      <c r="NQ11" s="103" t="s">
        <v>30</v>
      </c>
      <c r="NR11" s="104" t="s">
        <v>29</v>
      </c>
      <c r="NS11" s="105"/>
      <c r="NT11" s="161">
        <f>IFERROR((((COUNTIF('Elève (3ème4)'!NQ11:NS11,"A"))*4)+((COUNTIF('Elève (3ème4)'!NQ11:NS11,"B"))*3)+((COUNTIF('Elève (3ème4)'!NQ11:NS11,"C"))*2)+((COUNTIF('Elève (3ème4)'!NQ11:NS11,"D"))*1))/(COUNTA(NQ11:NS11)),"")</f>
        <v>1.5</v>
      </c>
      <c r="NU11" s="162" t="str">
        <f t="shared" si="94"/>
        <v>D</v>
      </c>
      <c r="NV11" s="103"/>
      <c r="NW11" s="104"/>
      <c r="NX11" s="105"/>
      <c r="NY11" s="105"/>
      <c r="NZ11" s="161" t="str">
        <f>IFERROR((((COUNTIF('Elève (3ème4)'!NV11:NY11,"A"))*4)+((COUNTIF('Elève (3ème4)'!NV11:NY11,"B"))*3)+((COUNTIF('Elève (3ème4)'!NV11:NY11,"C"))*2)+((COUNTIF('Elève (3ème4)'!NV11:NY11,"D"))*1))/(COUNTA(NV11:NY11)),"")</f>
        <v/>
      </c>
      <c r="OA11" s="162" t="str">
        <f t="shared" si="95"/>
        <v/>
      </c>
      <c r="OB11" s="103" t="s">
        <v>27</v>
      </c>
      <c r="OC11" s="104" t="s">
        <v>29</v>
      </c>
      <c r="OD11" s="105" t="s">
        <v>27</v>
      </c>
      <c r="OE11" s="105" t="s">
        <v>27</v>
      </c>
      <c r="OF11" s="105"/>
      <c r="OG11" s="109"/>
      <c r="OH11" s="161">
        <f>IFERROR((((COUNTIF('Elève (3ème4)'!OB11:OG11,"A"))*4)+((COUNTIF('Elève (3ème4)'!OB11:OG11,"B"))*3)+((COUNTIF('Elève (3ème4)'!OB11:OG11,"C"))*2)+((COUNTIF('Elève (3ème4)'!OB11:OG11,"D"))*1))/(COUNTA(OB11:OG11)),"")</f>
        <v>3.5</v>
      </c>
      <c r="OI11" s="162" t="str">
        <f t="shared" si="96"/>
        <v>B</v>
      </c>
      <c r="OJ11" s="189">
        <f>IF(COUNT(NT11,NZ11,OH11)=0,"",SUM(NT11,NZ11,OH11)/COUNT(NT11,NZ11,OH11))</f>
        <v>2.5</v>
      </c>
      <c r="OK11" s="186" t="str">
        <f t="shared" si="97"/>
        <v>C</v>
      </c>
      <c r="OL11" s="103" t="s">
        <v>30</v>
      </c>
      <c r="OM11" s="104" t="s">
        <v>30</v>
      </c>
      <c r="ON11" s="105"/>
      <c r="OO11" s="161">
        <f>IFERROR((((COUNTIF('Elève (3ème4)'!OL11:ON11,"A"))*4)+((COUNTIF('Elève (3ème4)'!OL11:ON11,"B"))*3)+((COUNTIF('Elève (3ème4)'!OL11:ON11,"C"))*2)+((COUNTIF('Elève (3ème4)'!OL11:ON11,"D"))*1))/(COUNTA(OL11:ON11)),"")</f>
        <v>1</v>
      </c>
      <c r="OP11" s="162" t="str">
        <f t="shared" si="98"/>
        <v>D</v>
      </c>
      <c r="OQ11" s="103"/>
      <c r="OR11" s="104"/>
      <c r="OS11" s="105"/>
      <c r="OT11" s="105"/>
      <c r="OU11" s="161" t="str">
        <f>IFERROR((((COUNTIF('Elève (3ème4)'!OQ11:OT11,"A"))*4)+((COUNTIF('Elève (3ème4)'!OQ11:OT11,"B"))*3)+((COUNTIF('Elève (3ème4)'!OQ11:OT11,"C"))*2)+((COUNTIF('Elève (3ème4)'!OQ11:OT11,"D"))*1))/(COUNTA(OQ11:OT11)),"")</f>
        <v/>
      </c>
      <c r="OV11" s="162" t="str">
        <f t="shared" si="99"/>
        <v/>
      </c>
      <c r="OW11" s="103"/>
      <c r="OX11" s="104" t="s">
        <v>28</v>
      </c>
      <c r="OY11" s="105" t="s">
        <v>27</v>
      </c>
      <c r="OZ11" s="105" t="s">
        <v>27</v>
      </c>
      <c r="PA11" s="105"/>
      <c r="PB11" s="109"/>
      <c r="PC11" s="161">
        <f>IFERROR((((COUNTIF('Elève (3ème4)'!OW11:PB11,"A"))*4)+((COUNTIF('Elève (3ème4)'!OW11:PB11,"B"))*3)+((COUNTIF('Elève (3ème4)'!OW11:PB11,"C"))*2)+((COUNTIF('Elève (3ème4)'!OW11:PB11,"D"))*1))/(COUNTA(OW11:PB11)),"")</f>
        <v>3.6666666666666665</v>
      </c>
      <c r="PD11" s="162" t="str">
        <f t="shared" si="100"/>
        <v>B</v>
      </c>
      <c r="PE11" s="189">
        <f>IF(COUNT(OO11,OU11,PC11)=0,"",SUM(OO11,OU11,PC11)/COUNT(OO11,OU11,PC11))</f>
        <v>2.333333333333333</v>
      </c>
      <c r="PF11" s="186" t="str">
        <f t="shared" si="101"/>
        <v>C</v>
      </c>
      <c r="PG11" s="103" t="s">
        <v>29</v>
      </c>
      <c r="PH11" s="104" t="s">
        <v>29</v>
      </c>
      <c r="PI11" s="105"/>
      <c r="PJ11" s="161">
        <f>IFERROR((((COUNTIF('Elève (3ème4)'!PG11:PI11,"A"))*4)+((COUNTIF('Elève (3ème4)'!PG11:PI11,"B"))*3)+((COUNTIF('Elève (3ème4)'!PG11:PI11,"C"))*2)+((COUNTIF('Elève (3ème4)'!PG11:PI11,"D"))*1))/(COUNTA(PG11:PI11)),"")</f>
        <v>2</v>
      </c>
      <c r="PK11" s="162" t="str">
        <f t="shared" si="102"/>
        <v>C</v>
      </c>
      <c r="PL11" s="103"/>
      <c r="PM11" s="104"/>
      <c r="PN11" s="105"/>
      <c r="PO11" s="105"/>
      <c r="PP11" s="161" t="str">
        <f>IFERROR((((COUNTIF('Elève (3ème4)'!PL11:PO11,"A"))*4)+((COUNTIF('Elève (3ème4)'!PL11:PO11,"B"))*3)+((COUNTIF('Elève (3ème4)'!PL11:PO11,"C"))*2)+((COUNTIF('Elève (3ème4)'!PL11:PO11,"D"))*1))/(COUNTA(PL11:PO11)),"")</f>
        <v/>
      </c>
      <c r="PQ11" s="162" t="str">
        <f t="shared" si="103"/>
        <v/>
      </c>
      <c r="PR11" s="103" t="s">
        <v>27</v>
      </c>
      <c r="PS11" s="104" t="s">
        <v>29</v>
      </c>
      <c r="PT11" s="105" t="s">
        <v>27</v>
      </c>
      <c r="PU11" s="105" t="s">
        <v>27</v>
      </c>
      <c r="PV11" s="105"/>
      <c r="PW11" s="109"/>
      <c r="PX11" s="161">
        <f>IFERROR((((COUNTIF('Elève (3ème4)'!PR11:PW11,"A"))*4)+((COUNTIF('Elève (3ème4)'!PR11:PW11,"B"))*3)+((COUNTIF('Elève (3ème4)'!PR11:PW11,"C"))*2)+((COUNTIF('Elève (3ème4)'!PR11:PW11,"D"))*1))/(COUNTA(PR11:PW11)),"")</f>
        <v>3.5</v>
      </c>
      <c r="PY11" s="162" t="str">
        <f t="shared" si="104"/>
        <v>B</v>
      </c>
      <c r="PZ11" s="189">
        <f>IF(COUNT(PJ11,PP11,PX11)=0,"",SUM(PJ11,PP11,PX11)/COUNT(PJ11,PP11,PX11))</f>
        <v>2.75</v>
      </c>
      <c r="QA11" s="186" t="str">
        <f t="shared" si="105"/>
        <v>C</v>
      </c>
      <c r="QB11" s="103" t="s">
        <v>27</v>
      </c>
      <c r="QC11" s="104" t="s">
        <v>30</v>
      </c>
      <c r="QD11" s="105"/>
      <c r="QE11" s="161">
        <f>IFERROR((((COUNTIF('Elève (3ème4)'!QB11:QD11,"A"))*4)+((COUNTIF('Elève (3ème4)'!QB11:QD11,"B"))*3)+((COUNTIF('Elève (3ème4)'!QB11:QD11,"C"))*2)+((COUNTIF('Elève (3ème4)'!QB11:QD11,"D"))*1))/(COUNTA(QB11:QD11)),"")</f>
        <v>2.5</v>
      </c>
      <c r="QF11" s="162" t="str">
        <f t="shared" si="106"/>
        <v>C</v>
      </c>
      <c r="QG11" s="103"/>
      <c r="QH11" s="104"/>
      <c r="QI11" s="105"/>
      <c r="QJ11" s="105"/>
      <c r="QK11" s="161" t="str">
        <f>IFERROR((((COUNTIF('Elève (3ème4)'!QG11:QJ11,"A"))*4)+((COUNTIF('Elève (3ème4)'!QG11:QJ11,"B"))*3)+((COUNTIF('Elève (3ème4)'!QG11:QJ11,"C"))*2)+((COUNTIF('Elève (3ème4)'!QG11:QJ11,"D"))*1))/(COUNTA(QG11:QJ11)),"")</f>
        <v/>
      </c>
      <c r="QL11" s="162" t="str">
        <f t="shared" si="107"/>
        <v/>
      </c>
      <c r="QM11" s="103"/>
      <c r="QN11" s="104" t="s">
        <v>29</v>
      </c>
      <c r="QO11" s="105" t="s">
        <v>27</v>
      </c>
      <c r="QP11" s="105" t="s">
        <v>27</v>
      </c>
      <c r="QQ11" s="105"/>
      <c r="QR11" s="109"/>
      <c r="QS11" s="161">
        <f>IFERROR((((COUNTIF('Elève (3ème4)'!QM11:QR11,"A"))*4)+((COUNTIF('Elève (3ème4)'!QM11:QR11,"B"))*3)+((COUNTIF('Elève (3ème4)'!QM11:QR11,"C"))*2)+((COUNTIF('Elève (3ème4)'!QM11:QR11,"D"))*1))/(COUNTA(QM11:QR11)),"")</f>
        <v>3.3333333333333335</v>
      </c>
      <c r="QT11" s="162" t="str">
        <f t="shared" si="108"/>
        <v>B</v>
      </c>
      <c r="QU11" s="189">
        <f>IF(COUNT(QE11,QK11,QS11)=0,"",SUM(QE11,QK11,QS11)/COUNT(QE11,QK11,QS11))</f>
        <v>2.916666666666667</v>
      </c>
      <c r="QV11" s="186" t="str">
        <f t="shared" si="109"/>
        <v>B</v>
      </c>
      <c r="QW11" s="103" t="s">
        <v>27</v>
      </c>
      <c r="QX11" s="104" t="s">
        <v>29</v>
      </c>
      <c r="QY11" s="105"/>
      <c r="QZ11" s="161">
        <f>IFERROR((((COUNTIF('Elève (3ème4)'!QW11:QY11,"A"))*4)+((COUNTIF('Elève (3ème4)'!QW11:QY11,"B"))*3)+((COUNTIF('Elève (3ème4)'!QW11:QY11,"C"))*2)+((COUNTIF('Elève (3ème4)'!QW11:QY11,"D"))*1))/(COUNTA(QW11:QY11)),"")</f>
        <v>3</v>
      </c>
      <c r="RA11" s="162" t="str">
        <f t="shared" si="110"/>
        <v>B</v>
      </c>
      <c r="RB11" s="103"/>
      <c r="RC11" s="104"/>
      <c r="RD11" s="105"/>
      <c r="RE11" s="105"/>
      <c r="RF11" s="161" t="str">
        <f>IFERROR((((COUNTIF('Elève (3ème4)'!RB11:RE11,"A"))*4)+((COUNTIF('Elève (3ème4)'!RB11:RE11,"B"))*3)+((COUNTIF('Elève (3ème4)'!RB11:RE11,"C"))*2)+((COUNTIF('Elève (3ème4)'!RB11:RE11,"D"))*1))/(COUNTA(RB11:RE11)),"")</f>
        <v/>
      </c>
      <c r="RG11" s="162" t="str">
        <f t="shared" si="111"/>
        <v/>
      </c>
      <c r="RH11" s="103" t="s">
        <v>27</v>
      </c>
      <c r="RI11" s="104" t="s">
        <v>29</v>
      </c>
      <c r="RJ11" s="105"/>
      <c r="RK11" s="105" t="s">
        <v>27</v>
      </c>
      <c r="RL11" s="105"/>
      <c r="RM11" s="109"/>
      <c r="RN11" s="161">
        <f>IFERROR((((COUNTIF('Elève (3ème4)'!RH11:RM11,"A"))*4)+((COUNTIF('Elève (3ème4)'!RH11:RM11,"B"))*3)+((COUNTIF('Elève (3ème4)'!RH11:RM11,"C"))*2)+((COUNTIF('Elève (3ème4)'!RH11:RM11,"D"))*1))/(COUNTA(RH11:RM11)),"")</f>
        <v>3.3333333333333335</v>
      </c>
      <c r="RO11" s="162" t="str">
        <f t="shared" si="112"/>
        <v>B</v>
      </c>
      <c r="RP11" s="189">
        <f>IF(COUNT(QZ11,RF11,RN11)=0,"",SUM(QZ11,RF11,RN11)/COUNT(QZ11,RF11,RN11))</f>
        <v>3.166666666666667</v>
      </c>
      <c r="RQ11" s="186" t="str">
        <f t="shared" si="113"/>
        <v>B</v>
      </c>
      <c r="RR11" s="103" t="s">
        <v>27</v>
      </c>
      <c r="RS11" s="104" t="s">
        <v>30</v>
      </c>
      <c r="RT11" s="105"/>
      <c r="RU11" s="161">
        <f>IFERROR((((COUNTIF('Elève (3ème4)'!RR11:RT11,"A"))*4)+((COUNTIF('Elève (3ème4)'!RR11:RT11,"B"))*3)+((COUNTIF('Elève (3ème4)'!RR11:RT11,"C"))*2)+((COUNTIF('Elève (3ème4)'!RR11:RT11,"D"))*1))/(COUNTA(RR11:RT11)),"")</f>
        <v>2.5</v>
      </c>
      <c r="RV11" s="162" t="str">
        <f t="shared" si="114"/>
        <v>C</v>
      </c>
      <c r="RW11" s="103"/>
      <c r="RX11" s="104"/>
      <c r="RY11" s="105"/>
      <c r="RZ11" s="105"/>
      <c r="SA11" s="161" t="str">
        <f>IFERROR((((COUNTIF('Elève (3ème4)'!RW11:RZ11,"A"))*4)+((COUNTIF('Elève (3ème4)'!RW11:RZ11,"B"))*3)+((COUNTIF('Elève (3ème4)'!RW11:RZ11,"C"))*2)+((COUNTIF('Elève (3ème4)'!RW11:RZ11,"D"))*1))/(COUNTA(RW11:RZ11)),"")</f>
        <v/>
      </c>
      <c r="SB11" s="162" t="str">
        <f t="shared" si="115"/>
        <v/>
      </c>
      <c r="SC11" s="103" t="s">
        <v>27</v>
      </c>
      <c r="SD11" s="104" t="s">
        <v>29</v>
      </c>
      <c r="SE11" s="105"/>
      <c r="SF11" s="105" t="s">
        <v>27</v>
      </c>
      <c r="SG11" s="105"/>
      <c r="SH11" s="109"/>
      <c r="SI11" s="161">
        <f>IFERROR((((COUNTIF('Elève (3ème4)'!SC11:SH11,"A"))*4)+((COUNTIF('Elève (3ème4)'!SC11:SH11,"B"))*3)+((COUNTIF('Elève (3ème4)'!SC11:SH11,"C"))*2)+((COUNTIF('Elève (3ème4)'!SC11:SH11,"D"))*1))/(COUNTA(SC11:SH11)),"")</f>
        <v>3.3333333333333335</v>
      </c>
      <c r="SJ11" s="162" t="str">
        <f t="shared" si="116"/>
        <v>B</v>
      </c>
      <c r="SK11" s="189">
        <f>IF(COUNT(RU11,SA11,SI11)=0,"",SUM(RU11,SA11,SI11)/COUNT(RU11,SA11,SI11))</f>
        <v>2.916666666666667</v>
      </c>
      <c r="SL11" s="186" t="str">
        <f t="shared" si="117"/>
        <v>B</v>
      </c>
      <c r="SM11" s="103"/>
      <c r="SN11" s="104"/>
      <c r="SO11" s="105"/>
      <c r="SP11" s="99" t="str">
        <f>IFERROR((((COUNTIF('Elève (3ème4)'!SM11:SO11,"A"))*4)+((COUNTIF('Elève (3ème4)'!SM11:SO11,"B"))*3)+((COUNTIF('Elève (3ème4)'!SM11:SO11,"C"))*2)+((COUNTIF('Elève (3ème4)'!SM11:SO11,"D"))*1))/(COUNTA(SM11:SO11)),"")</f>
        <v/>
      </c>
      <c r="SQ11" s="100" t="str">
        <f t="shared" si="118"/>
        <v/>
      </c>
      <c r="SR11" s="103"/>
      <c r="SS11" s="104"/>
      <c r="ST11" s="105"/>
      <c r="SU11" s="99" t="str">
        <f>IFERROR((((COUNTIF('Elève (3ème4)'!SR11:ST11,"A"))*4)+((COUNTIF('Elève (3ème4)'!SR11:ST11,"B"))*3)+((COUNTIF('Elève (3ème4)'!SR11:ST11,"C"))*2)+((COUNTIF('Elève (3ème4)'!SR11:ST11,"D"))*1))/(COUNTA(SR11:ST11)),"")</f>
        <v/>
      </c>
      <c r="SV11" s="100" t="str">
        <f t="shared" si="119"/>
        <v/>
      </c>
      <c r="SW11" s="103"/>
      <c r="SX11" s="104"/>
      <c r="SY11" s="109"/>
      <c r="SZ11" s="99" t="str">
        <f>IFERROR((((COUNTIF('Elève (3ème4)'!SW11:SY11,"A"))*4)+((COUNTIF('Elève (3ème4)'!SW11:SY11,"B"))*3)+((COUNTIF('Elève (3ème4)'!SW11:SY11,"C"))*2)+((COUNTIF('Elève (3ème4)'!SW11:SY11,"D"))*1))/(COUNTA(SW11:SY11)),"")</f>
        <v/>
      </c>
      <c r="TA11" s="100" t="str">
        <f t="shared" si="120"/>
        <v/>
      </c>
      <c r="TB11" s="119" t="str">
        <f>IF(COUNT(SP11,SU11,SZ11)=0,"",SUM(SP11,SU11,SZ11)/COUNT(SP11,SU11,SZ11))</f>
        <v/>
      </c>
      <c r="TC11" s="101" t="str">
        <f t="shared" si="121"/>
        <v/>
      </c>
      <c r="TD11" s="103"/>
      <c r="TE11" s="104"/>
      <c r="TF11" s="105"/>
      <c r="TG11" s="99" t="str">
        <f>IFERROR((((COUNTIF('Elève (3ème4)'!TD11:TF11,"A"))*4)+((COUNTIF('Elève (3ème4)'!TD11:TF11,"B"))*3)+((COUNTIF('Elève (3ème4)'!TD11:TF11,"C"))*2)+((COUNTIF('Elève (3ème4)'!TD11:TF11,"D"))*1))/(COUNTA(TD11:TF11)),"")</f>
        <v/>
      </c>
      <c r="TH11" s="100" t="str">
        <f t="shared" si="122"/>
        <v/>
      </c>
      <c r="TI11" s="103"/>
      <c r="TJ11" s="104"/>
      <c r="TK11" s="105"/>
      <c r="TL11" s="99" t="str">
        <f>IFERROR((((COUNTIF('Elève (3ème4)'!TI11:TK11,"A"))*4)+((COUNTIF('Elève (3ème4)'!TI11:TK11,"B"))*3)+((COUNTIF('Elève (3ème4)'!TI11:TK11,"C"))*2)+((COUNTIF('Elève (3ème4)'!TI11:TK11,"D"))*1))/(COUNTA(TI11:TK11)),"")</f>
        <v/>
      </c>
      <c r="TM11" s="100" t="str">
        <f t="shared" si="123"/>
        <v/>
      </c>
      <c r="TN11" s="103"/>
      <c r="TO11" s="104"/>
      <c r="TP11" s="109"/>
      <c r="TQ11" s="99" t="str">
        <f>IFERROR((((COUNTIF('Elève (3ème4)'!TN11:TP11,"A"))*4)+((COUNTIF('Elève (3ème4)'!TN11:TP11,"B"))*3)+((COUNTIF('Elève (3ème4)'!TN11:TP11,"C"))*2)+((COUNTIF('Elève (3ème4)'!TN11:TP11,"D"))*1))/(COUNTA(TN11:TP11)),"")</f>
        <v/>
      </c>
      <c r="TR11" s="100" t="str">
        <f t="shared" si="124"/>
        <v/>
      </c>
      <c r="TS11" s="119" t="str">
        <f>IF(COUNT(TG11,TL11,TQ11)=0,"",SUM(TG11,TL11,TQ11)/COUNT(TG11,TL11,TQ11))</f>
        <v/>
      </c>
      <c r="TT11" s="101" t="str">
        <f t="shared" si="125"/>
        <v/>
      </c>
      <c r="TU11" s="103"/>
      <c r="TV11" s="104"/>
      <c r="TW11" s="105"/>
      <c r="TX11" s="99" t="str">
        <f>IFERROR((((COUNTIF('Elève (3ème4)'!TU11:TW11,"A"))*4)+((COUNTIF('Elève (3ème4)'!TU11:TW11,"B"))*3)+((COUNTIF('Elève (3ème4)'!TU11:TW11,"C"))*2)+((COUNTIF('Elève (3ème4)'!TU11:TW11,"D"))*1))/(COUNTA(TU11:TW11)),"")</f>
        <v/>
      </c>
      <c r="TY11" s="100" t="str">
        <f t="shared" si="126"/>
        <v/>
      </c>
      <c r="TZ11" s="103"/>
      <c r="UA11" s="104"/>
      <c r="UB11" s="105"/>
      <c r="UC11" s="99" t="str">
        <f>IFERROR((((COUNTIF('Elève (3ème4)'!TZ11:UB11,"A"))*4)+((COUNTIF('Elève (3ème4)'!TZ11:UB11,"B"))*3)+((COUNTIF('Elève (3ème4)'!TZ11:UB11,"C"))*2)+((COUNTIF('Elève (3ème4)'!TZ11:UB11,"D"))*1))/(COUNTA(TZ11:UB11)),"")</f>
        <v/>
      </c>
      <c r="UD11" s="100" t="str">
        <f t="shared" si="127"/>
        <v/>
      </c>
      <c r="UE11" s="103"/>
      <c r="UF11" s="104"/>
      <c r="UG11" s="109"/>
      <c r="UH11" s="99" t="str">
        <f>IFERROR((((COUNTIF('Elève (3ème4)'!UE11:UG11,"A"))*4)+((COUNTIF('Elève (3ème4)'!UE11:UG11,"B"))*3)+((COUNTIF('Elève (3ème4)'!UE11:UG11,"C"))*2)+((COUNTIF('Elève (3ème4)'!UE11:UG11,"D"))*1))/(COUNTA(UE11:UG11)),"")</f>
        <v/>
      </c>
      <c r="UI11" s="100" t="str">
        <f t="shared" si="128"/>
        <v/>
      </c>
      <c r="UJ11" s="119" t="str">
        <f>IF(COUNT(TX11,UC11,UH11)=0,"",SUM(TX11,UC11,UH11)/COUNT(TX11,UC11,UH11))</f>
        <v/>
      </c>
      <c r="UK11" s="101" t="str">
        <f t="shared" si="129"/>
        <v/>
      </c>
      <c r="UL11" s="103"/>
      <c r="UM11" s="104"/>
      <c r="UN11" s="105"/>
      <c r="UO11" s="99" t="str">
        <f>IFERROR((((COUNTIF('Elève (3ème4)'!UL11:UN11,"A"))*4)+((COUNTIF('Elève (3ème4)'!UL11:UN11,"B"))*3)+((COUNTIF('Elève (3ème4)'!UL11:UN11,"C"))*2)+((COUNTIF('Elève (3ème4)'!UL11:UN11,"D"))*1))/(COUNTA(UL11:UN11)),"")</f>
        <v/>
      </c>
      <c r="UP11" s="100" t="str">
        <f t="shared" si="130"/>
        <v/>
      </c>
      <c r="UQ11" s="103"/>
      <c r="UR11" s="104"/>
      <c r="US11" s="105"/>
      <c r="UT11" s="99" t="str">
        <f>IFERROR((((COUNTIF('Elève (3ème4)'!UQ11:US11,"A"))*4)+((COUNTIF('Elève (3ème4)'!UQ11:US11,"B"))*3)+((COUNTIF('Elève (3ème4)'!UQ11:US11,"C"))*2)+((COUNTIF('Elève (3ème4)'!UQ11:US11,"D"))*1))/(COUNTA(UQ11:US11)),"")</f>
        <v/>
      </c>
      <c r="UU11" s="100" t="str">
        <f t="shared" si="131"/>
        <v/>
      </c>
      <c r="UV11" s="103"/>
      <c r="UW11" s="104"/>
      <c r="UX11" s="109"/>
      <c r="UY11" s="99" t="str">
        <f>IFERROR((((COUNTIF('Elève (3ème4)'!UV11:UX11,"A"))*4)+((COUNTIF('Elève (3ème4)'!UV11:UX11,"B"))*3)+((COUNTIF('Elève (3ème4)'!UV11:UX11,"C"))*2)+((COUNTIF('Elève (3ème4)'!UV11:UX11,"D"))*1))/(COUNTA(UV11:UX11)),"")</f>
        <v/>
      </c>
      <c r="UZ11" s="100" t="str">
        <f t="shared" si="132"/>
        <v/>
      </c>
      <c r="VA11" s="119" t="str">
        <f>IF(COUNT(UO11,UT11,UY11)=0,"",SUM(UO11,UT11,UY11)/COUNT(UO11,UT11,UY11))</f>
        <v/>
      </c>
      <c r="VB11" s="101" t="str">
        <f t="shared" si="133"/>
        <v/>
      </c>
      <c r="VC11" s="103"/>
      <c r="VD11" s="104"/>
      <c r="VE11" s="105"/>
      <c r="VF11" s="99" t="str">
        <f>IFERROR((((COUNTIF('Elève (3ème4)'!VC11:VE11,"A"))*4)+((COUNTIF('Elève (3ème4)'!VC11:VE11,"B"))*3)+((COUNTIF('Elève (3ème4)'!VC11:VE11,"C"))*2)+((COUNTIF('Elève (3ème4)'!VC11:VE11,"D"))*1))/(COUNTA(VC11:VE11)),"")</f>
        <v/>
      </c>
      <c r="VG11" s="100" t="str">
        <f t="shared" si="134"/>
        <v/>
      </c>
      <c r="VH11" s="103"/>
      <c r="VI11" s="104"/>
      <c r="VJ11" s="105"/>
      <c r="VK11" s="99" t="str">
        <f>IFERROR((((COUNTIF('Elève (3ème4)'!VH11:VJ11,"A"))*4)+((COUNTIF('Elève (3ème4)'!VH11:VJ11,"B"))*3)+((COUNTIF('Elève (3ème4)'!VH11:VJ11,"C"))*2)+((COUNTIF('Elève (3ème4)'!VH11:VJ11,"D"))*1))/(COUNTA(VH11:VJ11)),"")</f>
        <v/>
      </c>
      <c r="VL11" s="100" t="str">
        <f t="shared" si="135"/>
        <v/>
      </c>
      <c r="VM11" s="103"/>
      <c r="VN11" s="104"/>
      <c r="VO11" s="109"/>
      <c r="VP11" s="99" t="str">
        <f>IFERROR((((COUNTIF('Elève (3ème4)'!VM11:VO11,"A"))*4)+((COUNTIF('Elève (3ème4)'!VM11:VO11,"B"))*3)+((COUNTIF('Elève (3ème4)'!VM11:VO11,"C"))*2)+((COUNTIF('Elève (3ème4)'!VM11:VO11,"D"))*1))/(COUNTA(VM11:VO11)),"")</f>
        <v/>
      </c>
      <c r="VQ11" s="100" t="str">
        <f t="shared" si="136"/>
        <v/>
      </c>
      <c r="VR11" s="119" t="str">
        <f>IF(COUNT(VF11,VK11,VP11)=0,"",SUM(VF11,VK11,VP11)/COUNT(VF11,VK11,VP11))</f>
        <v/>
      </c>
      <c r="VS11" s="101" t="str">
        <f t="shared" si="137"/>
        <v/>
      </c>
      <c r="VT11" s="103"/>
      <c r="VU11" s="104"/>
      <c r="VV11" s="105"/>
      <c r="VW11" s="99" t="str">
        <f>IFERROR((((COUNTIF('Elève (3ème4)'!VT11:VV11,"A"))*4)+((COUNTIF('Elève (3ème4)'!VT11:VV11,"B"))*3)+((COUNTIF('Elève (3ème4)'!VT11:VV11,"C"))*2)+((COUNTIF('Elève (3ème4)'!VT11:VV11,"D"))*1))/(COUNTA(VT11:VV11)),"")</f>
        <v/>
      </c>
      <c r="VX11" s="100" t="str">
        <f t="shared" si="138"/>
        <v/>
      </c>
      <c r="VY11" s="103"/>
      <c r="VZ11" s="104"/>
      <c r="WA11" s="105"/>
      <c r="WB11" s="99" t="str">
        <f>IFERROR((((COUNTIF('Elève (3ème4)'!VY11:WA11,"A"))*4)+((COUNTIF('Elève (3ème4)'!VY11:WA11,"B"))*3)+((COUNTIF('Elève (3ème4)'!VY11:WA11,"C"))*2)+((COUNTIF('Elève (3ème4)'!VY11:WA11,"D"))*1))/(COUNTA(VY11:WA11)),"")</f>
        <v/>
      </c>
      <c r="WC11" s="100" t="str">
        <f t="shared" si="139"/>
        <v/>
      </c>
      <c r="WD11" s="103"/>
      <c r="WE11" s="104"/>
      <c r="WF11" s="109"/>
      <c r="WG11" s="99" t="str">
        <f>IFERROR((((COUNTIF('Elève (3ème4)'!WD11:WF11,"A"))*4)+((COUNTIF('Elève (3ème4)'!WD11:WF11,"B"))*3)+((COUNTIF('Elève (3ème4)'!WD11:WF11,"C"))*2)+((COUNTIF('Elève (3ème4)'!WD11:WF11,"D"))*1))/(COUNTA(WD11:WF11)),"")</f>
        <v/>
      </c>
      <c r="WH11" s="100" t="str">
        <f t="shared" si="140"/>
        <v/>
      </c>
      <c r="WI11" s="119" t="str">
        <f>IF(COUNT(VW11,WB11,WG11)=0,"",SUM(VW11,WB11,WG11)/COUNT(VW11,WB11,WG11))</f>
        <v/>
      </c>
      <c r="WJ11" s="101" t="str">
        <f t="shared" si="141"/>
        <v/>
      </c>
    </row>
    <row r="12" spans="1:608" ht="18" customHeight="1" thickBot="1" x14ac:dyDescent="0.6">
      <c r="A12" s="215" t="s">
        <v>48</v>
      </c>
      <c r="B12" s="216"/>
      <c r="C12" s="110" t="s">
        <v>27</v>
      </c>
      <c r="D12" s="111"/>
      <c r="E12" s="112"/>
      <c r="F12" s="165">
        <f>IFERROR((((COUNTIF('Elève (3ème4)'!C12:E12,"A"))*4)+((COUNTIF('Elève (3ème4)'!C12:E12,"B"))*3)+((COUNTIF('Elève (3ème4)'!C12:E12,"C"))*2)+((COUNTIF('Elève (3ème4)'!C12:E12,"D"))*1))/(COUNTA(C12:E12)),"")</f>
        <v>4</v>
      </c>
      <c r="G12" s="166" t="str">
        <f t="shared" si="22"/>
        <v>A</v>
      </c>
      <c r="H12" s="110"/>
      <c r="I12" s="111"/>
      <c r="J12" s="112"/>
      <c r="K12" s="112"/>
      <c r="L12" s="165" t="str">
        <f>IFERROR((((COUNTIF('Elève (3ème4)'!H12:K12,"A"))*4)+((COUNTIF('Elève (3ème4)'!H12:K12,"B"))*3)+((COUNTIF('Elève (3ème4)'!H12:K12,"C"))*2)+((COUNTIF('Elève (3ème4)'!H12:K12,"D"))*1))/(COUNTA(H12:K12)),"")</f>
        <v/>
      </c>
      <c r="M12" s="166" t="str">
        <f t="shared" si="23"/>
        <v/>
      </c>
      <c r="N12" s="110"/>
      <c r="O12" s="111"/>
      <c r="P12" s="112"/>
      <c r="Q12" s="112"/>
      <c r="R12" s="112"/>
      <c r="S12" s="112"/>
      <c r="T12" s="165" t="str">
        <f>IFERROR((((COUNTIF('Elève (3ème4)'!N12:S12,"A"))*4)+((COUNTIF('Elève (3ème4)'!N12:S12,"B"))*3)+((COUNTIF('Elève (3ème4)'!N12:S12,"C"))*2)+((COUNTIF('Elève (3ème4)'!N12:S12,"D"))*1))/(COUNTA(N12:S12)),"")</f>
        <v/>
      </c>
      <c r="U12" s="166" t="str">
        <f t="shared" si="24"/>
        <v/>
      </c>
      <c r="V12" s="165">
        <f>IF(COUNT(F12,L12,T12)=0,"",SUM(F12,L12,T12)/COUNT(F12,L12,T12))</f>
        <v>4</v>
      </c>
      <c r="W12" s="188" t="str">
        <f t="shared" si="25"/>
        <v>A</v>
      </c>
      <c r="X12" s="110" t="s">
        <v>27</v>
      </c>
      <c r="Y12" s="111"/>
      <c r="Z12" s="112"/>
      <c r="AA12" s="165">
        <f>IFERROR((((COUNTIF('Elève (3ème4)'!X12:Z12,"A"))*4)+((COUNTIF('Elève (3ème4)'!X12:Z12,"B"))*3)+((COUNTIF('Elève (3ème4)'!X12:Z12,"C"))*2)+((COUNTIF('Elève (3ème4)'!X12:Z12,"D"))*1))/(COUNTA(X12:Z12)),"")</f>
        <v>4</v>
      </c>
      <c r="AB12" s="166" t="str">
        <f t="shared" si="26"/>
        <v>A</v>
      </c>
      <c r="AC12" s="110"/>
      <c r="AD12" s="111"/>
      <c r="AE12" s="112"/>
      <c r="AF12" s="112"/>
      <c r="AG12" s="165" t="str">
        <f>IFERROR((((COUNTIF('Elève (3ème4)'!AC12:AF12,"A"))*4)+((COUNTIF('Elève (3ème4)'!AC12:AF12,"B"))*3)+((COUNTIF('Elève (3ème4)'!AC12:AF12,"C"))*2)+((COUNTIF('Elève (3ème4)'!AC12:AF12,"D"))*1))/(COUNTA(AC12:AF12)),"")</f>
        <v/>
      </c>
      <c r="AH12" s="166" t="str">
        <f t="shared" si="27"/>
        <v/>
      </c>
      <c r="AI12" s="110"/>
      <c r="AJ12" s="111"/>
      <c r="AK12" s="112"/>
      <c r="AL12" s="112"/>
      <c r="AM12" s="112"/>
      <c r="AN12" s="116"/>
      <c r="AO12" s="165" t="str">
        <f>IFERROR((((COUNTIF('Elève (3ème4)'!AI12:AN12,"A"))*4)+((COUNTIF('Elève (3ème4)'!AI12:AN12,"B"))*3)+((COUNTIF('Elève (3ème4)'!AI12:AN12,"C"))*2)+((COUNTIF('Elève (3ème4)'!AI12:AN12,"D"))*1))/(COUNTA(AI12:AN12)),"")</f>
        <v/>
      </c>
      <c r="AP12" s="166" t="str">
        <f t="shared" si="28"/>
        <v/>
      </c>
      <c r="AQ12" s="165">
        <f>IF(COUNT(AA12,AG12,AO12)=0,"",SUM(AA12,AG12,AO12)/COUNT(AA12,AG12,AO12))</f>
        <v>4</v>
      </c>
      <c r="AR12" s="188" t="str">
        <f t="shared" si="29"/>
        <v>A</v>
      </c>
      <c r="AS12" s="110" t="s">
        <v>27</v>
      </c>
      <c r="AT12" s="111"/>
      <c r="AU12" s="112"/>
      <c r="AV12" s="165">
        <f>IFERROR((((COUNTIF('Elève (3ème4)'!AS12:AU12,"A"))*4)+((COUNTIF('Elève (3ème4)'!AS12:AU12,"B"))*3)+((COUNTIF('Elève (3ème4)'!AS12:AU12,"C"))*2)+((COUNTIF('Elève (3ème4)'!AS12:AU12,"D"))*1))/(COUNTA(AS12:AU12)),"")</f>
        <v>4</v>
      </c>
      <c r="AW12" s="166" t="str">
        <f t="shared" si="30"/>
        <v>A</v>
      </c>
      <c r="AX12" s="110"/>
      <c r="AY12" s="111"/>
      <c r="AZ12" s="112"/>
      <c r="BA12" s="112"/>
      <c r="BB12" s="165" t="str">
        <f>IFERROR((((COUNTIF('Elève (3ème4)'!AX12:BA12,"A"))*4)+((COUNTIF('Elève (3ème4)'!AX12:BA12,"B"))*3)+((COUNTIF('Elève (3ème4)'!AX12:BA12,"C"))*2)+((COUNTIF('Elève (3ème4)'!AX12:BA12,"D"))*1))/(COUNTA(AX12:BA12)),"")</f>
        <v/>
      </c>
      <c r="BC12" s="166" t="str">
        <f t="shared" si="31"/>
        <v/>
      </c>
      <c r="BD12" s="110"/>
      <c r="BE12" s="111"/>
      <c r="BF12" s="112"/>
      <c r="BG12" s="112"/>
      <c r="BH12" s="112"/>
      <c r="BI12" s="116"/>
      <c r="BJ12" s="165" t="str">
        <f>IFERROR((((COUNTIF('Elève (3ème4)'!BD12:BI12,"A"))*4)+((COUNTIF('Elève (3ème4)'!BD12:BI12,"B"))*3)+((COUNTIF('Elève (3ème4)'!BD12:BI12,"C"))*2)+((COUNTIF('Elève (3ème4)'!BD12:BI12,"D"))*1))/(COUNTA(BD12:BI12)),"")</f>
        <v/>
      </c>
      <c r="BK12" s="166" t="str">
        <f t="shared" si="32"/>
        <v/>
      </c>
      <c r="BL12" s="165">
        <f>IF(COUNT(AV12,BB12,BJ12)=0,"",SUM(AV12,BB12,BJ12)/COUNT(AV12,BB12,BJ12))</f>
        <v>4</v>
      </c>
      <c r="BM12" s="188" t="str">
        <f t="shared" si="33"/>
        <v>A</v>
      </c>
      <c r="BN12" s="110" t="s">
        <v>28</v>
      </c>
      <c r="BO12" s="111"/>
      <c r="BP12" s="112"/>
      <c r="BQ12" s="165">
        <f>IFERROR((((COUNTIF('Elève (3ème4)'!BN12:BP12,"A"))*4)+((COUNTIF('Elève (3ème4)'!BN12:BP12,"B"))*3)+((COUNTIF('Elève (3ème4)'!BN12:BP12,"C"))*2)+((COUNTIF('Elève (3ème4)'!BN12:BP12,"D"))*1))/(COUNTA(BN12:BP12)),"")</f>
        <v>3</v>
      </c>
      <c r="BR12" s="166" t="str">
        <f t="shared" si="34"/>
        <v>B</v>
      </c>
      <c r="BS12" s="110"/>
      <c r="BT12" s="111"/>
      <c r="BU12" s="112"/>
      <c r="BV12" s="112"/>
      <c r="BW12" s="165" t="str">
        <f>IFERROR((((COUNTIF('Elève (3ème4)'!BS12:BV12,"A"))*4)+((COUNTIF('Elève (3ème4)'!BS12:BV12,"B"))*3)+((COUNTIF('Elève (3ème4)'!BS12:BV12,"C"))*2)+((COUNTIF('Elève (3ème4)'!BS12:BV12,"D"))*1))/(COUNTA(BS12:BV12)),"")</f>
        <v/>
      </c>
      <c r="BX12" s="166" t="str">
        <f t="shared" si="35"/>
        <v/>
      </c>
      <c r="BY12" s="110"/>
      <c r="BZ12" s="111"/>
      <c r="CA12" s="112"/>
      <c r="CB12" s="112"/>
      <c r="CC12" s="112"/>
      <c r="CD12" s="116"/>
      <c r="CE12" s="165" t="str">
        <f>IFERROR((((COUNTIF('Elève (3ème4)'!BY12:CD12,"A"))*4)+((COUNTIF('Elève (3ème4)'!BY12:CD12,"B"))*3)+((COUNTIF('Elève (3ème4)'!BY12:CD12,"C"))*2)+((COUNTIF('Elève (3ème4)'!BY12:CD12,"D"))*1))/(COUNTA(BY12:CD12)),"")</f>
        <v/>
      </c>
      <c r="CF12" s="166" t="str">
        <f t="shared" si="36"/>
        <v/>
      </c>
      <c r="CG12" s="165">
        <f>IF(COUNT(BQ12,BW12,CE12)=0,"",SUM(BQ12,BW12,CE12)/COUNT(BQ12,BW12,CE12))</f>
        <v>3</v>
      </c>
      <c r="CH12" s="188" t="str">
        <f t="shared" si="37"/>
        <v>B</v>
      </c>
      <c r="CI12" s="110" t="s">
        <v>30</v>
      </c>
      <c r="CJ12" s="111"/>
      <c r="CK12" s="112"/>
      <c r="CL12" s="165">
        <f>IFERROR((((COUNTIF('Elève (3ème4)'!CI12:CK12,"A"))*4)+((COUNTIF('Elève (3ème4)'!CI12:CK12,"B"))*3)+((COUNTIF('Elève (3ème4)'!CI12:CK12,"C"))*2)+((COUNTIF('Elève (3ème4)'!CI12:CK12,"D"))*1))/(COUNTA(CI12:CK12)),"")</f>
        <v>1</v>
      </c>
      <c r="CM12" s="166" t="str">
        <f t="shared" si="38"/>
        <v>D</v>
      </c>
      <c r="CN12" s="110"/>
      <c r="CO12" s="111"/>
      <c r="CP12" s="112"/>
      <c r="CQ12" s="112"/>
      <c r="CR12" s="165" t="str">
        <f>IFERROR((((COUNTIF('Elève (3ème4)'!CN12:CQ12,"A"))*4)+((COUNTIF('Elève (3ème4)'!CN12:CQ12,"B"))*3)+((COUNTIF('Elève (3ème4)'!CN12:CQ12,"C"))*2)+((COUNTIF('Elève (3ème4)'!CN12:CQ12,"D"))*1))/(COUNTA(CN12:CQ12)),"")</f>
        <v/>
      </c>
      <c r="CS12" s="166" t="str">
        <f t="shared" si="39"/>
        <v/>
      </c>
      <c r="CT12" s="110"/>
      <c r="CU12" s="111"/>
      <c r="CV12" s="112"/>
      <c r="CW12" s="112"/>
      <c r="CX12" s="112"/>
      <c r="CY12" s="116"/>
      <c r="CZ12" s="165" t="str">
        <f>IFERROR((((COUNTIF('Elève (3ème4)'!CT12:CY12,"A"))*4)+((COUNTIF('Elève (3ème4)'!CT12:CY12,"B"))*3)+((COUNTIF('Elève (3ème4)'!CT12:CY12,"C"))*2)+((COUNTIF('Elève (3ème4)'!CT12:CY12,"D"))*1))/(COUNTA(CT12:CY12)),"")</f>
        <v/>
      </c>
      <c r="DA12" s="166" t="str">
        <f t="shared" si="40"/>
        <v/>
      </c>
      <c r="DB12" s="165">
        <f>IF(COUNT(CL12,CR12,CZ12)=0,"",SUM(CL12,CR12,CZ12)/COUNT(CL12,CR12,CZ12))</f>
        <v>1</v>
      </c>
      <c r="DC12" s="188" t="str">
        <f t="shared" si="41"/>
        <v>D</v>
      </c>
      <c r="DD12" s="110" t="s">
        <v>28</v>
      </c>
      <c r="DE12" s="111"/>
      <c r="DF12" s="112"/>
      <c r="DG12" s="165">
        <f>IFERROR((((COUNTIF('Elève (3ème4)'!DD12:DF12,"A"))*4)+((COUNTIF('Elève (3ème4)'!DD12:DF12,"B"))*3)+((COUNTIF('Elève (3ème4)'!DD12:DF12,"C"))*2)+((COUNTIF('Elève (3ème4)'!DD12:DF12,"D"))*1))/(COUNTA(DD12:DF12)),"")</f>
        <v>3</v>
      </c>
      <c r="DH12" s="166" t="str">
        <f t="shared" si="42"/>
        <v>B</v>
      </c>
      <c r="DI12" s="110"/>
      <c r="DJ12" s="111"/>
      <c r="DK12" s="112"/>
      <c r="DL12" s="112"/>
      <c r="DM12" s="165" t="str">
        <f>IFERROR((((COUNTIF('Elève (3ème4)'!DI12:DL12,"A"))*4)+((COUNTIF('Elève (3ème4)'!DI12:DL12,"B"))*3)+((COUNTIF('Elève (3ème4)'!DI12:DL12,"C"))*2)+((COUNTIF('Elève (3ème4)'!DI12:DL12,"D"))*1))/(COUNTA(DI12:DL12)),"")</f>
        <v/>
      </c>
      <c r="DN12" s="166" t="str">
        <f t="shared" si="43"/>
        <v/>
      </c>
      <c r="DO12" s="110"/>
      <c r="DP12" s="111"/>
      <c r="DQ12" s="112"/>
      <c r="DR12" s="112"/>
      <c r="DS12" s="112"/>
      <c r="DT12" s="116"/>
      <c r="DU12" s="165" t="str">
        <f>IFERROR((((COUNTIF('Elève (3ème4)'!DO12:DT12,"A"))*4)+((COUNTIF('Elève (3ème4)'!DO12:DT12,"B"))*3)+((COUNTIF('Elève (3ème4)'!DO12:DT12,"C"))*2)+((COUNTIF('Elève (3ème4)'!DO12:DT12,"D"))*1))/(COUNTA(DO12:DT12)),"")</f>
        <v/>
      </c>
      <c r="DV12" s="166" t="str">
        <f t="shared" si="44"/>
        <v/>
      </c>
      <c r="DW12" s="165">
        <f>IF(COUNT(DG12,DM12,DU12)=0,"",SUM(DG12,DM12,DU12)/COUNT(DG12,DM12,DU12))</f>
        <v>3</v>
      </c>
      <c r="DX12" s="188" t="str">
        <f t="shared" si="45"/>
        <v>B</v>
      </c>
      <c r="DY12" s="110" t="s">
        <v>27</v>
      </c>
      <c r="DZ12" s="111"/>
      <c r="EA12" s="112"/>
      <c r="EB12" s="165">
        <f>IFERROR((((COUNTIF('Elève (3ème4)'!DY12:EA12,"A"))*4)+((COUNTIF('Elève (3ème4)'!DY12:EA12,"B"))*3)+((COUNTIF('Elève (3ème4)'!DY12:EA12,"C"))*2)+((COUNTIF('Elève (3ème4)'!DY12:EA12,"D"))*1))/(COUNTA(DY12:EA12)),"")</f>
        <v>4</v>
      </c>
      <c r="EC12" s="166" t="str">
        <f t="shared" si="46"/>
        <v>A</v>
      </c>
      <c r="ED12" s="110"/>
      <c r="EE12" s="111"/>
      <c r="EF12" s="112"/>
      <c r="EG12" s="112"/>
      <c r="EH12" s="165" t="str">
        <f>IFERROR((((COUNTIF('Elève (3ème4)'!ED12:EG12,"A"))*4)+((COUNTIF('Elève (3ème4)'!ED12:EG12,"B"))*3)+((COUNTIF('Elève (3ème4)'!ED12:EG12,"C"))*2)+((COUNTIF('Elève (3ème4)'!ED12:EG12,"D"))*1))/(COUNTA(ED12:EG12)),"")</f>
        <v/>
      </c>
      <c r="EI12" s="166" t="str">
        <f t="shared" si="47"/>
        <v/>
      </c>
      <c r="EJ12" s="110"/>
      <c r="EK12" s="111"/>
      <c r="EL12" s="112"/>
      <c r="EM12" s="112"/>
      <c r="EN12" s="112"/>
      <c r="EO12" s="116"/>
      <c r="EP12" s="165" t="str">
        <f>IFERROR((((COUNTIF('Elève (3ème4)'!EJ12:EO12,"A"))*4)+((COUNTIF('Elève (3ème4)'!EJ12:EO12,"B"))*3)+((COUNTIF('Elève (3ème4)'!EJ12:EO12,"C"))*2)+((COUNTIF('Elève (3ème4)'!EJ12:EO12,"D"))*1))/(COUNTA(EJ12:EO12)),"")</f>
        <v/>
      </c>
      <c r="EQ12" s="166" t="str">
        <f t="shared" si="48"/>
        <v/>
      </c>
      <c r="ER12" s="165">
        <f>IF(COUNT(EB12,EH12,EP12)=0,"",SUM(EB12,EH12,EP12)/COUNT(EB12,EH12,EP12))</f>
        <v>4</v>
      </c>
      <c r="ES12" s="188" t="str">
        <f t="shared" si="49"/>
        <v>A</v>
      </c>
      <c r="ET12" s="110" t="s">
        <v>27</v>
      </c>
      <c r="EU12" s="111"/>
      <c r="EV12" s="112"/>
      <c r="EW12" s="165">
        <f>IFERROR((((COUNTIF('Elève (3ème4)'!ET12:EV12,"A"))*4)+((COUNTIF('Elève (3ème4)'!ET12:EV12,"B"))*3)+((COUNTIF('Elève (3ème4)'!ET12:EV12,"C"))*2)+((COUNTIF('Elève (3ème4)'!ET12:EV12,"D"))*1))/(COUNTA(ET12:EV12)),"")</f>
        <v>4</v>
      </c>
      <c r="EX12" s="166" t="str">
        <f t="shared" si="50"/>
        <v>A</v>
      </c>
      <c r="EY12" s="110"/>
      <c r="EZ12" s="111"/>
      <c r="FA12" s="112"/>
      <c r="FB12" s="112"/>
      <c r="FC12" s="165" t="str">
        <f>IFERROR((((COUNTIF('Elève (3ème4)'!EY12:FB12,"A"))*4)+((COUNTIF('Elève (3ème4)'!EY12:FB12,"B"))*3)+((COUNTIF('Elève (3ème4)'!EY12:FB12,"C"))*2)+((COUNTIF('Elève (3ème4)'!EY12:FB12,"D"))*1))/(COUNTA(EY12:FB12)),"")</f>
        <v/>
      </c>
      <c r="FD12" s="166" t="str">
        <f t="shared" si="51"/>
        <v/>
      </c>
      <c r="FE12" s="110"/>
      <c r="FF12" s="111"/>
      <c r="FG12" s="112"/>
      <c r="FH12" s="112"/>
      <c r="FI12" s="112"/>
      <c r="FJ12" s="116"/>
      <c r="FK12" s="165" t="str">
        <f>IFERROR((((COUNTIF('Elève (3ème4)'!FE12:FJ12,"A"))*4)+((COUNTIF('Elève (3ème4)'!FE12:FJ12,"B"))*3)+((COUNTIF('Elève (3ème4)'!FE12:FJ12,"C"))*2)+((COUNTIF('Elève (3ème4)'!FE12:FJ12,"D"))*1))/(COUNTA(FE12:FJ12)),"")</f>
        <v/>
      </c>
      <c r="FL12" s="166" t="str">
        <f t="shared" si="52"/>
        <v/>
      </c>
      <c r="FM12" s="165">
        <f>IF(COUNT(EW12,FC12,FK12)=0,"",SUM(EW12,FC12,FK12)/COUNT(EW12,FC12,FK12))</f>
        <v>4</v>
      </c>
      <c r="FN12" s="188" t="str">
        <f t="shared" si="53"/>
        <v>A</v>
      </c>
      <c r="FO12" s="110" t="s">
        <v>28</v>
      </c>
      <c r="FP12" s="111"/>
      <c r="FQ12" s="112"/>
      <c r="FR12" s="165">
        <f>IFERROR((((COUNTIF('Elève (3ème4)'!FO12:FQ12,"A"))*4)+((COUNTIF('Elève (3ème4)'!FO12:FQ12,"B"))*3)+((COUNTIF('Elève (3ème4)'!FO12:FQ12,"C"))*2)+((COUNTIF('Elève (3ème4)'!FO12:FQ12,"D"))*1))/(COUNTA(FO12:FQ12)),"")</f>
        <v>3</v>
      </c>
      <c r="FS12" s="166" t="str">
        <f t="shared" si="54"/>
        <v>B</v>
      </c>
      <c r="FT12" s="110"/>
      <c r="FU12" s="111"/>
      <c r="FV12" s="112"/>
      <c r="FW12" s="112"/>
      <c r="FX12" s="165" t="str">
        <f>IFERROR((((COUNTIF('Elève (3ème4)'!FT12:FW12,"A"))*4)+((COUNTIF('Elève (3ème4)'!FT12:FW12,"B"))*3)+((COUNTIF('Elève (3ème4)'!FT12:FW12,"C"))*2)+((COUNTIF('Elève (3ème4)'!FT12:FW12,"D"))*1))/(COUNTA(FT12:FW12)),"")</f>
        <v/>
      </c>
      <c r="FY12" s="166" t="str">
        <f t="shared" si="55"/>
        <v/>
      </c>
      <c r="FZ12" s="110"/>
      <c r="GA12" s="111"/>
      <c r="GB12" s="112"/>
      <c r="GC12" s="112"/>
      <c r="GD12" s="112"/>
      <c r="GE12" s="116"/>
      <c r="GF12" s="165" t="str">
        <f>IFERROR((((COUNTIF('Elève (3ème4)'!FZ12:GE12,"A"))*4)+((COUNTIF('Elève (3ème4)'!FZ12:GE12,"B"))*3)+((COUNTIF('Elève (3ème4)'!FZ12:GE12,"C"))*2)+((COUNTIF('Elève (3ème4)'!FZ12:GE12,"D"))*1))/(COUNTA(FZ12:GE12)),"")</f>
        <v/>
      </c>
      <c r="GG12" s="166" t="str">
        <f t="shared" si="56"/>
        <v/>
      </c>
      <c r="GH12" s="165">
        <f>IF(COUNT(FR12,FX12,GF12)=0,"",SUM(FR12,FX12,GF12)/COUNT(FR12,FX12,GF12))</f>
        <v>3</v>
      </c>
      <c r="GI12" s="188" t="str">
        <f t="shared" si="57"/>
        <v>B</v>
      </c>
      <c r="GJ12" s="110" t="s">
        <v>28</v>
      </c>
      <c r="GK12" s="111"/>
      <c r="GL12" s="112"/>
      <c r="GM12" s="165">
        <f>IFERROR((((COUNTIF('Elève (3ème4)'!GJ12:GL12,"A"))*4)+((COUNTIF('Elève (3ème4)'!GJ12:GL12,"B"))*3)+((COUNTIF('Elève (3ème4)'!GJ12:GL12,"C"))*2)+((COUNTIF('Elève (3ème4)'!GJ12:GL12,"D"))*1))/(COUNTA(GJ12:GL12)),"")</f>
        <v>3</v>
      </c>
      <c r="GN12" s="166" t="str">
        <f t="shared" si="58"/>
        <v>B</v>
      </c>
      <c r="GO12" s="110"/>
      <c r="GP12" s="111"/>
      <c r="GQ12" s="112"/>
      <c r="GR12" s="112"/>
      <c r="GS12" s="165" t="str">
        <f>IFERROR((((COUNTIF('Elève (3ème4)'!GO12:GR12,"A"))*4)+((COUNTIF('Elève (3ème4)'!GO12:GR12,"B"))*3)+((COUNTIF('Elève (3ème4)'!GO12:GR12,"C"))*2)+((COUNTIF('Elève (3ème4)'!GO12:GR12,"D"))*1))/(COUNTA(GO12:GR12)),"")</f>
        <v/>
      </c>
      <c r="GT12" s="166" t="str">
        <f t="shared" si="59"/>
        <v/>
      </c>
      <c r="GU12" s="110"/>
      <c r="GV12" s="111"/>
      <c r="GW12" s="112"/>
      <c r="GX12" s="112"/>
      <c r="GY12" s="112"/>
      <c r="GZ12" s="116"/>
      <c r="HA12" s="165" t="str">
        <f>IFERROR((((COUNTIF('Elève (3ème4)'!GU12:GZ12,"A"))*4)+((COUNTIF('Elève (3ème4)'!GU12:GZ12,"B"))*3)+((COUNTIF('Elève (3ème4)'!GU12:GZ12,"C"))*2)+((COUNTIF('Elève (3ème4)'!GU12:GZ12,"D"))*1))/(COUNTA(GU12:GZ12)),"")</f>
        <v/>
      </c>
      <c r="HB12" s="166" t="str">
        <f t="shared" si="60"/>
        <v/>
      </c>
      <c r="HC12" s="165">
        <f>IF(COUNT(GM12,GS12,HA12)=0,"",SUM(GM12,GS12,HA12)/COUNT(GM12,GS12,HA12))</f>
        <v>3</v>
      </c>
      <c r="HD12" s="188" t="str">
        <f t="shared" si="61"/>
        <v>B</v>
      </c>
      <c r="HE12" s="110" t="s">
        <v>30</v>
      </c>
      <c r="HF12" s="111"/>
      <c r="HG12" s="112"/>
      <c r="HH12" s="165">
        <f>IFERROR((((COUNTIF('Elève (3ème4)'!HE12:HG12,"A"))*4)+((COUNTIF('Elève (3ème4)'!HE12:HG12,"B"))*3)+((COUNTIF('Elève (3ème4)'!HE12:HG12,"C"))*2)+((COUNTIF('Elève (3ème4)'!HE12:HG12,"D"))*1))/(COUNTA(HE12:HG12)),"")</f>
        <v>1</v>
      </c>
      <c r="HI12" s="166" t="str">
        <f t="shared" si="62"/>
        <v>D</v>
      </c>
      <c r="HJ12" s="110"/>
      <c r="HK12" s="111"/>
      <c r="HL12" s="112"/>
      <c r="HM12" s="112"/>
      <c r="HN12" s="165" t="str">
        <f>IFERROR((((COUNTIF('Elève (3ème4)'!HJ12:HM12,"A"))*4)+((COUNTIF('Elève (3ème4)'!HJ12:HM12,"B"))*3)+((COUNTIF('Elève (3ème4)'!HJ12:HM12,"C"))*2)+((COUNTIF('Elève (3ème4)'!HJ12:HM12,"D"))*1))/(COUNTA(HJ12:HM12)),"")</f>
        <v/>
      </c>
      <c r="HO12" s="166" t="str">
        <f t="shared" si="63"/>
        <v/>
      </c>
      <c r="HP12" s="110"/>
      <c r="HQ12" s="111"/>
      <c r="HR12" s="112"/>
      <c r="HS12" s="112"/>
      <c r="HT12" s="112"/>
      <c r="HU12" s="116"/>
      <c r="HV12" s="165" t="str">
        <f>IFERROR((((COUNTIF('Elève (3ème4)'!HP12:HU12,"A"))*4)+((COUNTIF('Elève (3ème4)'!HP12:HU12,"B"))*3)+((COUNTIF('Elève (3ème4)'!HP12:HU12,"C"))*2)+((COUNTIF('Elève (3ème4)'!HP12:HU12,"D"))*1))/(COUNTA(HP12:HU12)),"")</f>
        <v/>
      </c>
      <c r="HW12" s="166" t="str">
        <f t="shared" si="64"/>
        <v/>
      </c>
      <c r="HX12" s="165">
        <f>IF(COUNT(HH12,HN12,HV12)=0,"",SUM(HH12,HN12,HV12)/COUNT(HH12,HN12,HV12))</f>
        <v>1</v>
      </c>
      <c r="HY12" s="188" t="str">
        <f t="shared" si="65"/>
        <v>D</v>
      </c>
      <c r="HZ12" s="110" t="s">
        <v>27</v>
      </c>
      <c r="IA12" s="111"/>
      <c r="IB12" s="112"/>
      <c r="IC12" s="165">
        <f>IFERROR((((COUNTIF('Elève (3ème4)'!HZ12:IB12,"A"))*4)+((COUNTIF('Elève (3ème4)'!HZ12:IB12,"B"))*3)+((COUNTIF('Elève (3ème4)'!HZ12:IB12,"C"))*2)+((COUNTIF('Elève (3ème4)'!HZ12:IB12,"D"))*1))/(COUNTA(HZ12:IB12)),"")</f>
        <v>4</v>
      </c>
      <c r="ID12" s="166" t="str">
        <f t="shared" si="66"/>
        <v>A</v>
      </c>
      <c r="IE12" s="110"/>
      <c r="IF12" s="111"/>
      <c r="IG12" s="112"/>
      <c r="IH12" s="112"/>
      <c r="II12" s="165" t="str">
        <f>IFERROR((((COUNTIF('Elève (3ème4)'!IE12:IH12,"A"))*4)+((COUNTIF('Elève (3ème4)'!IE12:IH12,"B"))*3)+((COUNTIF('Elève (3ème4)'!IE12:IH12,"C"))*2)+((COUNTIF('Elève (3ème4)'!IE12:IH12,"D"))*1))/(COUNTA(IE12:IH12)),"")</f>
        <v/>
      </c>
      <c r="IJ12" s="166" t="str">
        <f t="shared" si="67"/>
        <v/>
      </c>
      <c r="IK12" s="110"/>
      <c r="IL12" s="111"/>
      <c r="IM12" s="112"/>
      <c r="IN12" s="112"/>
      <c r="IO12" s="112"/>
      <c r="IP12" s="116"/>
      <c r="IQ12" s="165" t="str">
        <f>IFERROR((((COUNTIF('Elève (3ème4)'!IK12:IP12,"A"))*4)+((COUNTIF('Elève (3ème4)'!IK12:IP12,"B"))*3)+((COUNTIF('Elève (3ème4)'!IK12:IP12,"C"))*2)+((COUNTIF('Elève (3ème4)'!IK12:IP12,"D"))*1))/(COUNTA(IK12:IP12)),"")</f>
        <v/>
      </c>
      <c r="IR12" s="166" t="str">
        <f t="shared" si="68"/>
        <v/>
      </c>
      <c r="IS12" s="165">
        <f>IF(COUNT(IC12,II12,IQ12)=0,"",SUM(IC12,II12,IQ12)/COUNT(IC12,II12,IQ12))</f>
        <v>4</v>
      </c>
      <c r="IT12" s="188" t="str">
        <f t="shared" si="69"/>
        <v>A</v>
      </c>
      <c r="IU12" s="110" t="s">
        <v>30</v>
      </c>
      <c r="IV12" s="111"/>
      <c r="IW12" s="112"/>
      <c r="IX12" s="165">
        <f>IFERROR((((COUNTIF('Elève (3ème4)'!IU12:IW12,"A"))*4)+((COUNTIF('Elève (3ème4)'!IU12:IW12,"B"))*3)+((COUNTIF('Elève (3ème4)'!IU12:IW12,"C"))*2)+((COUNTIF('Elève (3ème4)'!IU12:IW12,"D"))*1))/(COUNTA(IU12:IW12)),"")</f>
        <v>1</v>
      </c>
      <c r="IY12" s="166" t="str">
        <f t="shared" si="70"/>
        <v>D</v>
      </c>
      <c r="IZ12" s="110"/>
      <c r="JA12" s="111"/>
      <c r="JB12" s="112"/>
      <c r="JC12" s="112"/>
      <c r="JD12" s="165" t="str">
        <f>IFERROR((((COUNTIF('Elève (3ème4)'!IZ12:JC12,"A"))*4)+((COUNTIF('Elève (3ème4)'!IZ12:JC12,"B"))*3)+((COUNTIF('Elève (3ème4)'!IZ12:JC12,"C"))*2)+((COUNTIF('Elève (3ème4)'!IZ12:JC12,"D"))*1))/(COUNTA(IZ12:JC12)),"")</f>
        <v/>
      </c>
      <c r="JE12" s="166" t="str">
        <f t="shared" si="71"/>
        <v/>
      </c>
      <c r="JF12" s="110"/>
      <c r="JG12" s="111"/>
      <c r="JH12" s="112"/>
      <c r="JI12" s="112"/>
      <c r="JJ12" s="112"/>
      <c r="JK12" s="116"/>
      <c r="JL12" s="165" t="str">
        <f>IFERROR((((COUNTIF('Elève (3ème4)'!JF12:JK12,"A"))*4)+((COUNTIF('Elève (3ème4)'!JF12:JK12,"B"))*3)+((COUNTIF('Elève (3ème4)'!JF12:JK12,"C"))*2)+((COUNTIF('Elève (3ème4)'!JF12:JK12,"D"))*1))/(COUNTA(JF12:JK12)),"")</f>
        <v/>
      </c>
      <c r="JM12" s="166" t="str">
        <f t="shared" si="72"/>
        <v/>
      </c>
      <c r="JN12" s="165">
        <f>IF(COUNT(IX12,JD12,JL12)=0,"",SUM(IX12,JD12,JL12)/COUNT(IX12,JD12,JL12))</f>
        <v>1</v>
      </c>
      <c r="JO12" s="188" t="str">
        <f t="shared" si="73"/>
        <v>D</v>
      </c>
      <c r="JP12" s="110" t="s">
        <v>27</v>
      </c>
      <c r="JQ12" s="111"/>
      <c r="JR12" s="112"/>
      <c r="JS12" s="165">
        <f>IFERROR((((COUNTIF('Elève (3ème4)'!JP12:JR12,"A"))*4)+((COUNTIF('Elève (3ème4)'!JP12:JR12,"B"))*3)+((COUNTIF('Elève (3ème4)'!JP12:JR12,"C"))*2)+((COUNTIF('Elève (3ème4)'!JP12:JR12,"D"))*1))/(COUNTA(JP12:JR12)),"")</f>
        <v>4</v>
      </c>
      <c r="JT12" s="166" t="str">
        <f t="shared" si="74"/>
        <v>A</v>
      </c>
      <c r="JU12" s="110"/>
      <c r="JV12" s="111"/>
      <c r="JW12" s="112"/>
      <c r="JX12" s="112"/>
      <c r="JY12" s="165" t="str">
        <f>IFERROR((((COUNTIF('Elève (3ème4)'!JU12:JX12,"A"))*4)+((COUNTIF('Elève (3ème4)'!JU12:JX12,"B"))*3)+((COUNTIF('Elève (3ème4)'!JU12:JX12,"C"))*2)+((COUNTIF('Elève (3ème4)'!JU12:JX12,"D"))*1))/(COUNTA(JU12:JX12)),"")</f>
        <v/>
      </c>
      <c r="JZ12" s="166" t="str">
        <f t="shared" si="75"/>
        <v/>
      </c>
      <c r="KA12" s="110"/>
      <c r="KB12" s="111"/>
      <c r="KC12" s="112"/>
      <c r="KD12" s="112"/>
      <c r="KE12" s="112"/>
      <c r="KF12" s="116"/>
      <c r="KG12" s="165" t="str">
        <f>IFERROR((((COUNTIF('Elève (3ème4)'!KA12:KF12,"A"))*4)+((COUNTIF('Elève (3ème4)'!KA12:KF12,"B"))*3)+((COUNTIF('Elève (3ème4)'!KA12:KF12,"C"))*2)+((COUNTIF('Elève (3ème4)'!KA12:KF12,"D"))*1))/(COUNTA(KA12:KF12)),"")</f>
        <v/>
      </c>
      <c r="KH12" s="166" t="str">
        <f t="shared" si="76"/>
        <v/>
      </c>
      <c r="KI12" s="165">
        <f>IF(COUNT(JS12,JY12,KG12)=0,"",SUM(JS12,JY12,KG12)/COUNT(JS12,JY12,KG12))</f>
        <v>4</v>
      </c>
      <c r="KJ12" s="188" t="str">
        <f t="shared" si="77"/>
        <v>A</v>
      </c>
      <c r="KK12" s="110" t="s">
        <v>27</v>
      </c>
      <c r="KL12" s="111"/>
      <c r="KM12" s="112"/>
      <c r="KN12" s="165">
        <f>IFERROR((((COUNTIF('Elève (3ème4)'!KK12:KM12,"A"))*4)+((COUNTIF('Elève (3ème4)'!KK12:KM12,"B"))*3)+((COUNTIF('Elève (3ème4)'!KK12:KM12,"C"))*2)+((COUNTIF('Elève (3ème4)'!KK12:KM12,"D"))*1))/(COUNTA(KK12:KM12)),"")</f>
        <v>4</v>
      </c>
      <c r="KO12" s="166" t="str">
        <f t="shared" si="78"/>
        <v>A</v>
      </c>
      <c r="KP12" s="110"/>
      <c r="KQ12" s="111"/>
      <c r="KR12" s="112"/>
      <c r="KS12" s="112"/>
      <c r="KT12" s="165" t="str">
        <f>IFERROR((((COUNTIF('Elève (3ème4)'!KP12:KS12,"A"))*4)+((COUNTIF('Elève (3ème4)'!KP12:KS12,"B"))*3)+((COUNTIF('Elève (3ème4)'!KP12:KS12,"C"))*2)+((COUNTIF('Elève (3ème4)'!KP12:KS12,"D"))*1))/(COUNTA(KP12:KS12)),"")</f>
        <v/>
      </c>
      <c r="KU12" s="166" t="str">
        <f t="shared" si="79"/>
        <v/>
      </c>
      <c r="KV12" s="110"/>
      <c r="KW12" s="111"/>
      <c r="KX12" s="112"/>
      <c r="KY12" s="112"/>
      <c r="KZ12" s="112"/>
      <c r="LA12" s="116"/>
      <c r="LB12" s="165" t="str">
        <f>IFERROR((((COUNTIF('Elève (3ème4)'!KV12:LA12,"A"))*4)+((COUNTIF('Elève (3ème4)'!KV12:LA12,"B"))*3)+((COUNTIF('Elève (3ème4)'!KV12:LA12,"C"))*2)+((COUNTIF('Elève (3ème4)'!KV12:LA12,"D"))*1))/(COUNTA(KV12:LA12)),"")</f>
        <v/>
      </c>
      <c r="LC12" s="166" t="str">
        <f t="shared" si="80"/>
        <v/>
      </c>
      <c r="LD12" s="165">
        <f>IF(COUNT(KN12,KT12,LB12)=0,"",SUM(KN12,KT12,LB12)/COUNT(KN12,KT12,LB12))</f>
        <v>4</v>
      </c>
      <c r="LE12" s="188" t="str">
        <f t="shared" si="81"/>
        <v>A</v>
      </c>
      <c r="LF12" s="110" t="s">
        <v>30</v>
      </c>
      <c r="LG12" s="111"/>
      <c r="LH12" s="112"/>
      <c r="LI12" s="165">
        <f>IFERROR((((COUNTIF('Elève (3ème4)'!LF12:LH12,"A"))*4)+((COUNTIF('Elève (3ème4)'!LF12:LH12,"B"))*3)+((COUNTIF('Elève (3ème4)'!LF12:LH12,"C"))*2)+((COUNTIF('Elève (3ème4)'!LF12:LH12,"D"))*1))/(COUNTA(LF12:LH12)),"")</f>
        <v>1</v>
      </c>
      <c r="LJ12" s="166" t="str">
        <f t="shared" si="82"/>
        <v>D</v>
      </c>
      <c r="LK12" s="110"/>
      <c r="LL12" s="111"/>
      <c r="LM12" s="112"/>
      <c r="LN12" s="112"/>
      <c r="LO12" s="165" t="str">
        <f>IFERROR((((COUNTIF('Elève (3ème4)'!LK12:LN12,"A"))*4)+((COUNTIF('Elève (3ème4)'!LK12:LN12,"B"))*3)+((COUNTIF('Elève (3ème4)'!LK12:LN12,"C"))*2)+((COUNTIF('Elève (3ème4)'!LK12:LN12,"D"))*1))/(COUNTA(LK12:LN12)),"")</f>
        <v/>
      </c>
      <c r="LP12" s="166" t="str">
        <f t="shared" si="83"/>
        <v/>
      </c>
      <c r="LQ12" s="110"/>
      <c r="LR12" s="111"/>
      <c r="LS12" s="112"/>
      <c r="LT12" s="112"/>
      <c r="LU12" s="112"/>
      <c r="LV12" s="116"/>
      <c r="LW12" s="165" t="str">
        <f>IFERROR((((COUNTIF('Elève (3ème4)'!LQ12:LV12,"A"))*4)+((COUNTIF('Elève (3ème4)'!LQ12:LV12,"B"))*3)+((COUNTIF('Elève (3ème4)'!LQ12:LV12,"C"))*2)+((COUNTIF('Elève (3ème4)'!LQ12:LV12,"D"))*1))/(COUNTA(LQ12:LV12)),"")</f>
        <v/>
      </c>
      <c r="LX12" s="166" t="str">
        <f t="shared" si="84"/>
        <v/>
      </c>
      <c r="LY12" s="165">
        <f>IF(COUNT(LI12,LO12,LW12)=0,"",SUM(LI12,LO12,LW12)/COUNT(LI12,LO12,LW12))</f>
        <v>1</v>
      </c>
      <c r="LZ12" s="188" t="str">
        <f t="shared" si="85"/>
        <v>D</v>
      </c>
      <c r="MA12" s="110" t="s">
        <v>29</v>
      </c>
      <c r="MB12" s="111"/>
      <c r="MC12" s="112"/>
      <c r="MD12" s="165">
        <f>IFERROR((((COUNTIF('Elève (3ème4)'!MA12:MC12,"A"))*4)+((COUNTIF('Elève (3ème4)'!MA12:MC12,"B"))*3)+((COUNTIF('Elève (3ème4)'!MA12:MC12,"C"))*2)+((COUNTIF('Elève (3ème4)'!MA12:MC12,"D"))*1))/(COUNTA(MA12:MC12)),"")</f>
        <v>2</v>
      </c>
      <c r="ME12" s="166" t="str">
        <f t="shared" si="86"/>
        <v>C</v>
      </c>
      <c r="MF12" s="110"/>
      <c r="MG12" s="111"/>
      <c r="MH12" s="112"/>
      <c r="MI12" s="112"/>
      <c r="MJ12" s="165" t="str">
        <f>IFERROR((((COUNTIF('Elève (3ème4)'!MF12:MI12,"A"))*4)+((COUNTIF('Elève (3ème4)'!MF12:MI12,"B"))*3)+((COUNTIF('Elève (3ème4)'!MF12:MI12,"C"))*2)+((COUNTIF('Elève (3ème4)'!MF12:MI12,"D"))*1))/(COUNTA(MF12:MI12)),"")</f>
        <v/>
      </c>
      <c r="MK12" s="166" t="str">
        <f t="shared" si="87"/>
        <v/>
      </c>
      <c r="ML12" s="110"/>
      <c r="MM12" s="111"/>
      <c r="MN12" s="112"/>
      <c r="MO12" s="112"/>
      <c r="MP12" s="112"/>
      <c r="MQ12" s="116"/>
      <c r="MR12" s="165" t="str">
        <f>IFERROR((((COUNTIF('Elève (3ème4)'!ML12:MQ12,"A"))*4)+((COUNTIF('Elève (3ème4)'!ML12:MQ12,"B"))*3)+((COUNTIF('Elève (3ème4)'!ML12:MQ12,"C"))*2)+((COUNTIF('Elève (3ème4)'!ML12:MQ12,"D"))*1))/(COUNTA(ML12:MQ12)),"")</f>
        <v/>
      </c>
      <c r="MS12" s="166" t="str">
        <f t="shared" si="88"/>
        <v/>
      </c>
      <c r="MT12" s="165">
        <f>IF(COUNT(MD12,MJ12,MR12)=0,"",SUM(MD12,MJ12,MR12)/COUNT(MD12,MJ12,MR12))</f>
        <v>2</v>
      </c>
      <c r="MU12" s="188" t="str">
        <f t="shared" si="89"/>
        <v>C</v>
      </c>
      <c r="MV12" s="110" t="s">
        <v>30</v>
      </c>
      <c r="MW12" s="111"/>
      <c r="MX12" s="112"/>
      <c r="MY12" s="165">
        <f>IFERROR((((COUNTIF('Elève (3ème4)'!MV12:MX12,"A"))*4)+((COUNTIF('Elève (3ème4)'!MV12:MX12,"B"))*3)+((COUNTIF('Elève (3ème4)'!MV12:MX12,"C"))*2)+((COUNTIF('Elève (3ème4)'!MV12:MX12,"D"))*1))/(COUNTA(MV12:MX12)),"")</f>
        <v>1</v>
      </c>
      <c r="MZ12" s="166" t="str">
        <f t="shared" si="90"/>
        <v>D</v>
      </c>
      <c r="NA12" s="110"/>
      <c r="NB12" s="111"/>
      <c r="NC12" s="112"/>
      <c r="ND12" s="112"/>
      <c r="NE12" s="165" t="str">
        <f>IFERROR((((COUNTIF('Elève (3ème4)'!NA12:ND12,"A"))*4)+((COUNTIF('Elève (3ème4)'!NA12:ND12,"B"))*3)+((COUNTIF('Elève (3ème4)'!NA12:ND12,"C"))*2)+((COUNTIF('Elève (3ème4)'!NA12:ND12,"D"))*1))/(COUNTA(NA12:ND12)),"")</f>
        <v/>
      </c>
      <c r="NF12" s="166" t="str">
        <f t="shared" si="91"/>
        <v/>
      </c>
      <c r="NG12" s="110"/>
      <c r="NH12" s="111"/>
      <c r="NI12" s="112"/>
      <c r="NJ12" s="112"/>
      <c r="NK12" s="112"/>
      <c r="NL12" s="116"/>
      <c r="NM12" s="165" t="str">
        <f>IFERROR((((COUNTIF('Elève (3ème4)'!NG12:NL12,"A"))*4)+((COUNTIF('Elève (3ème4)'!NG12:NL12,"B"))*3)+((COUNTIF('Elève (3ème4)'!NG12:NL12,"C"))*2)+((COUNTIF('Elève (3ème4)'!NG12:NL12,"D"))*1))/(COUNTA(NG12:NL12)),"")</f>
        <v/>
      </c>
      <c r="NN12" s="166" t="str">
        <f t="shared" si="92"/>
        <v/>
      </c>
      <c r="NO12" s="165">
        <f>IF(COUNT(MY12,NE12,NM12)=0,"",SUM(MY12,NE12,NM12)/COUNT(MY12,NE12,NM12))</f>
        <v>1</v>
      </c>
      <c r="NP12" s="188" t="str">
        <f t="shared" si="93"/>
        <v>D</v>
      </c>
      <c r="NQ12" s="110" t="s">
        <v>30</v>
      </c>
      <c r="NR12" s="111"/>
      <c r="NS12" s="112"/>
      <c r="NT12" s="165">
        <f>IFERROR((((COUNTIF('Elève (3ème4)'!NQ12:NS12,"A"))*4)+((COUNTIF('Elève (3ème4)'!NQ12:NS12,"B"))*3)+((COUNTIF('Elève (3ème4)'!NQ12:NS12,"C"))*2)+((COUNTIF('Elève (3ème4)'!NQ12:NS12,"D"))*1))/(COUNTA(NQ12:NS12)),"")</f>
        <v>1</v>
      </c>
      <c r="NU12" s="166" t="str">
        <f t="shared" si="94"/>
        <v>D</v>
      </c>
      <c r="NV12" s="110"/>
      <c r="NW12" s="111"/>
      <c r="NX12" s="112"/>
      <c r="NY12" s="112"/>
      <c r="NZ12" s="165" t="str">
        <f>IFERROR((((COUNTIF('Elève (3ème4)'!NV12:NY12,"A"))*4)+((COUNTIF('Elève (3ème4)'!NV12:NY12,"B"))*3)+((COUNTIF('Elève (3ème4)'!NV12:NY12,"C"))*2)+((COUNTIF('Elève (3ème4)'!NV12:NY12,"D"))*1))/(COUNTA(NV12:NY12)),"")</f>
        <v/>
      </c>
      <c r="OA12" s="166" t="str">
        <f t="shared" si="95"/>
        <v/>
      </c>
      <c r="OB12" s="110"/>
      <c r="OC12" s="111"/>
      <c r="OD12" s="112"/>
      <c r="OE12" s="112"/>
      <c r="OF12" s="112"/>
      <c r="OG12" s="116"/>
      <c r="OH12" s="165" t="str">
        <f>IFERROR((((COUNTIF('Elève (3ème4)'!OB12:OG12,"A"))*4)+((COUNTIF('Elève (3ème4)'!OB12:OG12,"B"))*3)+((COUNTIF('Elève (3ème4)'!OB12:OG12,"C"))*2)+((COUNTIF('Elève (3ème4)'!OB12:OG12,"D"))*1))/(COUNTA(OB12:OG12)),"")</f>
        <v/>
      </c>
      <c r="OI12" s="166" t="str">
        <f t="shared" si="96"/>
        <v/>
      </c>
      <c r="OJ12" s="165">
        <f>IF(COUNT(NT12,NZ12,OH12)=0,"",SUM(NT12,NZ12,OH12)/COUNT(NT12,NZ12,OH12))</f>
        <v>1</v>
      </c>
      <c r="OK12" s="188" t="str">
        <f t="shared" si="97"/>
        <v>D</v>
      </c>
      <c r="OL12" s="110" t="s">
        <v>29</v>
      </c>
      <c r="OM12" s="111"/>
      <c r="ON12" s="112"/>
      <c r="OO12" s="165">
        <f>IFERROR((((COUNTIF('Elève (3ème4)'!OL12:ON12,"A"))*4)+((COUNTIF('Elève (3ème4)'!OL12:ON12,"B"))*3)+((COUNTIF('Elève (3ème4)'!OL12:ON12,"C"))*2)+((COUNTIF('Elève (3ème4)'!OL12:ON12,"D"))*1))/(COUNTA(OL12:ON12)),"")</f>
        <v>2</v>
      </c>
      <c r="OP12" s="166" t="str">
        <f t="shared" si="98"/>
        <v>C</v>
      </c>
      <c r="OQ12" s="110"/>
      <c r="OR12" s="111"/>
      <c r="OS12" s="112"/>
      <c r="OT12" s="112"/>
      <c r="OU12" s="165" t="str">
        <f>IFERROR((((COUNTIF('Elève (3ème4)'!OQ12:OT12,"A"))*4)+((COUNTIF('Elève (3ème4)'!OQ12:OT12,"B"))*3)+((COUNTIF('Elève (3ème4)'!OQ12:OT12,"C"))*2)+((COUNTIF('Elève (3ème4)'!OQ12:OT12,"D"))*1))/(COUNTA(OQ12:OT12)),"")</f>
        <v/>
      </c>
      <c r="OV12" s="166" t="str">
        <f t="shared" si="99"/>
        <v/>
      </c>
      <c r="OW12" s="110"/>
      <c r="OX12" s="111"/>
      <c r="OY12" s="112"/>
      <c r="OZ12" s="112"/>
      <c r="PA12" s="112"/>
      <c r="PB12" s="116"/>
      <c r="PC12" s="165" t="str">
        <f>IFERROR((((COUNTIF('Elève (3ème4)'!OW12:PB12,"A"))*4)+((COUNTIF('Elève (3ème4)'!OW12:PB12,"B"))*3)+((COUNTIF('Elève (3ème4)'!OW12:PB12,"C"))*2)+((COUNTIF('Elève (3ème4)'!OW12:PB12,"D"))*1))/(COUNTA(OW12:PB12)),"")</f>
        <v/>
      </c>
      <c r="PD12" s="166" t="str">
        <f t="shared" si="100"/>
        <v/>
      </c>
      <c r="PE12" s="165">
        <f>IF(COUNT(OO12,OU12,PC12)=0,"",SUM(OO12,OU12,PC12)/COUNT(OO12,OU12,PC12))</f>
        <v>2</v>
      </c>
      <c r="PF12" s="188" t="str">
        <f t="shared" si="101"/>
        <v>C</v>
      </c>
      <c r="PG12" s="110" t="s">
        <v>29</v>
      </c>
      <c r="PH12" s="111"/>
      <c r="PI12" s="112"/>
      <c r="PJ12" s="165">
        <f>IFERROR((((COUNTIF('Elève (3ème4)'!PG12:PI12,"A"))*4)+((COUNTIF('Elève (3ème4)'!PG12:PI12,"B"))*3)+((COUNTIF('Elève (3ème4)'!PG12:PI12,"C"))*2)+((COUNTIF('Elève (3ème4)'!PG12:PI12,"D"))*1))/(COUNTA(PG12:PI12)),"")</f>
        <v>2</v>
      </c>
      <c r="PK12" s="166" t="str">
        <f t="shared" si="102"/>
        <v>C</v>
      </c>
      <c r="PL12" s="110"/>
      <c r="PM12" s="111"/>
      <c r="PN12" s="112"/>
      <c r="PO12" s="112"/>
      <c r="PP12" s="165" t="str">
        <f>IFERROR((((COUNTIF('Elève (3ème4)'!PL12:PO12,"A"))*4)+((COUNTIF('Elève (3ème4)'!PL12:PO12,"B"))*3)+((COUNTIF('Elève (3ème4)'!PL12:PO12,"C"))*2)+((COUNTIF('Elève (3ème4)'!PL12:PO12,"D"))*1))/(COUNTA(PL12:PO12)),"")</f>
        <v/>
      </c>
      <c r="PQ12" s="166" t="str">
        <f t="shared" si="103"/>
        <v/>
      </c>
      <c r="PR12" s="110"/>
      <c r="PS12" s="111"/>
      <c r="PT12" s="112"/>
      <c r="PU12" s="112"/>
      <c r="PV12" s="112"/>
      <c r="PW12" s="116"/>
      <c r="PX12" s="165" t="str">
        <f>IFERROR((((COUNTIF('Elève (3ème4)'!PR12:PW12,"A"))*4)+((COUNTIF('Elève (3ème4)'!PR12:PW12,"B"))*3)+((COUNTIF('Elève (3ème4)'!PR12:PW12,"C"))*2)+((COUNTIF('Elève (3ème4)'!PR12:PW12,"D"))*1))/(COUNTA(PR12:PW12)),"")</f>
        <v/>
      </c>
      <c r="PY12" s="166" t="str">
        <f t="shared" si="104"/>
        <v/>
      </c>
      <c r="PZ12" s="165">
        <f>IF(COUNT(PJ12,PP12,PX12)=0,"",SUM(PJ12,PP12,PX12)/COUNT(PJ12,PP12,PX12))</f>
        <v>2</v>
      </c>
      <c r="QA12" s="188" t="str">
        <f t="shared" si="105"/>
        <v>C</v>
      </c>
      <c r="QB12" s="110" t="s">
        <v>29</v>
      </c>
      <c r="QC12" s="111"/>
      <c r="QD12" s="112"/>
      <c r="QE12" s="165">
        <f>IFERROR((((COUNTIF('Elève (3ème4)'!QB12:QD12,"A"))*4)+((COUNTIF('Elève (3ème4)'!QB12:QD12,"B"))*3)+((COUNTIF('Elève (3ème4)'!QB12:QD12,"C"))*2)+((COUNTIF('Elève (3ème4)'!QB12:QD12,"D"))*1))/(COUNTA(QB12:QD12)),"")</f>
        <v>2</v>
      </c>
      <c r="QF12" s="166" t="str">
        <f t="shared" si="106"/>
        <v>C</v>
      </c>
      <c r="QG12" s="110"/>
      <c r="QH12" s="111"/>
      <c r="QI12" s="112"/>
      <c r="QJ12" s="112"/>
      <c r="QK12" s="165" t="str">
        <f>IFERROR((((COUNTIF('Elève (3ème4)'!QG12:QJ12,"A"))*4)+((COUNTIF('Elève (3ème4)'!QG12:QJ12,"B"))*3)+((COUNTIF('Elève (3ème4)'!QG12:QJ12,"C"))*2)+((COUNTIF('Elève (3ème4)'!QG12:QJ12,"D"))*1))/(COUNTA(QG12:QJ12)),"")</f>
        <v/>
      </c>
      <c r="QL12" s="166" t="str">
        <f t="shared" si="107"/>
        <v/>
      </c>
      <c r="QM12" s="110"/>
      <c r="QN12" s="111"/>
      <c r="QO12" s="112"/>
      <c r="QP12" s="112"/>
      <c r="QQ12" s="112"/>
      <c r="QR12" s="116"/>
      <c r="QS12" s="165" t="str">
        <f>IFERROR((((COUNTIF('Elève (3ème4)'!QM12:QR12,"A"))*4)+((COUNTIF('Elève (3ème4)'!QM12:QR12,"B"))*3)+((COUNTIF('Elève (3ème4)'!QM12:QR12,"C"))*2)+((COUNTIF('Elève (3ème4)'!QM12:QR12,"D"))*1))/(COUNTA(QM12:QR12)),"")</f>
        <v/>
      </c>
      <c r="QT12" s="166" t="str">
        <f t="shared" si="108"/>
        <v/>
      </c>
      <c r="QU12" s="165">
        <f>IF(COUNT(QE12,QK12,QS12)=0,"",SUM(QE12,QK12,QS12)/COUNT(QE12,QK12,QS12))</f>
        <v>2</v>
      </c>
      <c r="QV12" s="188" t="str">
        <f t="shared" si="109"/>
        <v>C</v>
      </c>
      <c r="QW12" s="110" t="s">
        <v>29</v>
      </c>
      <c r="QX12" s="111"/>
      <c r="QY12" s="112"/>
      <c r="QZ12" s="165">
        <f>IFERROR((((COUNTIF('Elève (3ème4)'!QW12:QY12,"A"))*4)+((COUNTIF('Elève (3ème4)'!QW12:QY12,"B"))*3)+((COUNTIF('Elève (3ème4)'!QW12:QY12,"C"))*2)+((COUNTIF('Elève (3ème4)'!QW12:QY12,"D"))*1))/(COUNTA(QW12:QY12)),"")</f>
        <v>2</v>
      </c>
      <c r="RA12" s="166" t="str">
        <f t="shared" si="110"/>
        <v>C</v>
      </c>
      <c r="RB12" s="110"/>
      <c r="RC12" s="111"/>
      <c r="RD12" s="112"/>
      <c r="RE12" s="112"/>
      <c r="RF12" s="165" t="str">
        <f>IFERROR((((COUNTIF('Elève (3ème4)'!RB12:RE12,"A"))*4)+((COUNTIF('Elève (3ème4)'!RB12:RE12,"B"))*3)+((COUNTIF('Elève (3ème4)'!RB12:RE12,"C"))*2)+((COUNTIF('Elève (3ème4)'!RB12:RE12,"D"))*1))/(COUNTA(RB12:RE12)),"")</f>
        <v/>
      </c>
      <c r="RG12" s="166" t="str">
        <f t="shared" si="111"/>
        <v/>
      </c>
      <c r="RH12" s="110"/>
      <c r="RI12" s="111"/>
      <c r="RJ12" s="112"/>
      <c r="RK12" s="112"/>
      <c r="RL12" s="112"/>
      <c r="RM12" s="116"/>
      <c r="RN12" s="165" t="str">
        <f>IFERROR((((COUNTIF('Elève (3ème4)'!RH12:RM12,"A"))*4)+((COUNTIF('Elève (3ème4)'!RH12:RM12,"B"))*3)+((COUNTIF('Elève (3ème4)'!RH12:RM12,"C"))*2)+((COUNTIF('Elève (3ème4)'!RH12:RM12,"D"))*1))/(COUNTA(RH12:RM12)),"")</f>
        <v/>
      </c>
      <c r="RO12" s="166" t="str">
        <f t="shared" si="112"/>
        <v/>
      </c>
      <c r="RP12" s="165">
        <f>IF(COUNT(QZ12,RF12,RN12)=0,"",SUM(QZ12,RF12,RN12)/COUNT(QZ12,RF12,RN12))</f>
        <v>2</v>
      </c>
      <c r="RQ12" s="188" t="str">
        <f t="shared" si="113"/>
        <v>C</v>
      </c>
      <c r="RR12" s="110" t="s">
        <v>27</v>
      </c>
      <c r="RS12" s="111"/>
      <c r="RT12" s="112"/>
      <c r="RU12" s="165">
        <f>IFERROR((((COUNTIF('Elève (3ème4)'!RR12:RT12,"A"))*4)+((COUNTIF('Elève (3ème4)'!RR12:RT12,"B"))*3)+((COUNTIF('Elève (3ème4)'!RR12:RT12,"C"))*2)+((COUNTIF('Elève (3ème4)'!RR12:RT12,"D"))*1))/(COUNTA(RR12:RT12)),"")</f>
        <v>4</v>
      </c>
      <c r="RV12" s="166" t="str">
        <f t="shared" si="114"/>
        <v>A</v>
      </c>
      <c r="RW12" s="110"/>
      <c r="RX12" s="111"/>
      <c r="RY12" s="112"/>
      <c r="RZ12" s="112"/>
      <c r="SA12" s="165" t="str">
        <f>IFERROR((((COUNTIF('Elève (3ème4)'!RW12:RZ12,"A"))*4)+((COUNTIF('Elève (3ème4)'!RW12:RZ12,"B"))*3)+((COUNTIF('Elève (3ème4)'!RW12:RZ12,"C"))*2)+((COUNTIF('Elève (3ème4)'!RW12:RZ12,"D"))*1))/(COUNTA(RW12:RZ12)),"")</f>
        <v/>
      </c>
      <c r="SB12" s="166" t="str">
        <f t="shared" si="115"/>
        <v/>
      </c>
      <c r="SC12" s="110"/>
      <c r="SD12" s="111"/>
      <c r="SE12" s="112"/>
      <c r="SF12" s="112"/>
      <c r="SG12" s="112"/>
      <c r="SH12" s="116"/>
      <c r="SI12" s="165" t="str">
        <f>IFERROR((((COUNTIF('Elève (3ème4)'!SC12:SH12,"A"))*4)+((COUNTIF('Elève (3ème4)'!SC12:SH12,"B"))*3)+((COUNTIF('Elève (3ème4)'!SC12:SH12,"C"))*2)+((COUNTIF('Elève (3ème4)'!SC12:SH12,"D"))*1))/(COUNTA(SC12:SH12)),"")</f>
        <v/>
      </c>
      <c r="SJ12" s="166" t="str">
        <f t="shared" si="116"/>
        <v/>
      </c>
      <c r="SK12" s="165">
        <f>IF(COUNT(RU12,SA12,SI12)=0,"",SUM(RU12,SA12,SI12)/COUNT(RU12,SA12,SI12))</f>
        <v>4</v>
      </c>
      <c r="SL12" s="188" t="str">
        <f t="shared" si="117"/>
        <v>A</v>
      </c>
      <c r="SM12" s="110"/>
      <c r="SN12" s="111"/>
      <c r="SO12" s="112"/>
      <c r="SP12" s="113" t="str">
        <f>IFERROR((((COUNTIF('Elève (3ème4)'!SM12:SO12,"A"))*4)+((COUNTIF('Elève (3ème4)'!SM12:SO12,"B"))*3)+((COUNTIF('Elève (3ème4)'!SM12:SO12,"C"))*2)+((COUNTIF('Elève (3ème4)'!SM12:SO12,"D"))*1))/(COUNTA(SM12:SO12)),"")</f>
        <v/>
      </c>
      <c r="SQ12" s="114" t="str">
        <f t="shared" si="118"/>
        <v/>
      </c>
      <c r="SR12" s="110"/>
      <c r="SS12" s="111"/>
      <c r="ST12" s="112"/>
      <c r="SU12" s="113" t="str">
        <f>IFERROR((((COUNTIF('Elève (3ème4)'!SR12:ST12,"A"))*4)+((COUNTIF('Elève (3ème4)'!SR12:ST12,"B"))*3)+((COUNTIF('Elève (3ème4)'!SR12:ST12,"C"))*2)+((COUNTIF('Elève (3ème4)'!SR12:ST12,"D"))*1))/(COUNTA(SR12:ST12)),"")</f>
        <v/>
      </c>
      <c r="SV12" s="114" t="str">
        <f t="shared" si="119"/>
        <v/>
      </c>
      <c r="SW12" s="110"/>
      <c r="SX12" s="111"/>
      <c r="SY12" s="116"/>
      <c r="SZ12" s="113" t="str">
        <f>IFERROR((((COUNTIF('Elève (3ème4)'!SW12:SY12,"A"))*4)+((COUNTIF('Elève (3ème4)'!SW12:SY12,"B"))*3)+((COUNTIF('Elève (3ème4)'!SW12:SY12,"C"))*2)+((COUNTIF('Elève (3ème4)'!SW12:SY12,"D"))*1))/(COUNTA(SW12:SY12)),"")</f>
        <v/>
      </c>
      <c r="TA12" s="114" t="str">
        <f t="shared" si="120"/>
        <v/>
      </c>
      <c r="TB12" s="113" t="str">
        <f>IF(COUNT(SP12,SU12,SZ12)=0,"",SUM(SP12,SU12,SZ12)/COUNT(SP12,SU12,SZ12))</f>
        <v/>
      </c>
      <c r="TC12" s="115" t="str">
        <f t="shared" si="121"/>
        <v/>
      </c>
      <c r="TD12" s="110"/>
      <c r="TE12" s="111"/>
      <c r="TF12" s="112"/>
      <c r="TG12" s="113" t="str">
        <f>IFERROR((((COUNTIF('Elève (3ème4)'!TD12:TF12,"A"))*4)+((COUNTIF('Elève (3ème4)'!TD12:TF12,"B"))*3)+((COUNTIF('Elève (3ème4)'!TD12:TF12,"C"))*2)+((COUNTIF('Elève (3ème4)'!TD12:TF12,"D"))*1))/(COUNTA(TD12:TF12)),"")</f>
        <v/>
      </c>
      <c r="TH12" s="114" t="str">
        <f t="shared" si="122"/>
        <v/>
      </c>
      <c r="TI12" s="110"/>
      <c r="TJ12" s="111"/>
      <c r="TK12" s="112"/>
      <c r="TL12" s="113" t="str">
        <f>IFERROR((((COUNTIF('Elève (3ème4)'!TI12:TK12,"A"))*4)+((COUNTIF('Elève (3ème4)'!TI12:TK12,"B"))*3)+((COUNTIF('Elève (3ème4)'!TI12:TK12,"C"))*2)+((COUNTIF('Elève (3ème4)'!TI12:TK12,"D"))*1))/(COUNTA(TI12:TK12)),"")</f>
        <v/>
      </c>
      <c r="TM12" s="114" t="str">
        <f t="shared" si="123"/>
        <v/>
      </c>
      <c r="TN12" s="110"/>
      <c r="TO12" s="111"/>
      <c r="TP12" s="116"/>
      <c r="TQ12" s="113" t="str">
        <f>IFERROR((((COUNTIF('Elève (3ème4)'!TN12:TP12,"A"))*4)+((COUNTIF('Elève (3ème4)'!TN12:TP12,"B"))*3)+((COUNTIF('Elève (3ème4)'!TN12:TP12,"C"))*2)+((COUNTIF('Elève (3ème4)'!TN12:TP12,"D"))*1))/(COUNTA(TN12:TP12)),"")</f>
        <v/>
      </c>
      <c r="TR12" s="114" t="str">
        <f t="shared" si="124"/>
        <v/>
      </c>
      <c r="TS12" s="113" t="str">
        <f>IF(COUNT(TG12,TL12,TQ12)=0,"",SUM(TG12,TL12,TQ12)/COUNT(TG12,TL12,TQ12))</f>
        <v/>
      </c>
      <c r="TT12" s="115" t="str">
        <f t="shared" si="125"/>
        <v/>
      </c>
      <c r="TU12" s="110"/>
      <c r="TV12" s="111"/>
      <c r="TW12" s="112"/>
      <c r="TX12" s="113" t="str">
        <f>IFERROR((((COUNTIF('Elève (3ème4)'!TU12:TW12,"A"))*4)+((COUNTIF('Elève (3ème4)'!TU12:TW12,"B"))*3)+((COUNTIF('Elève (3ème4)'!TU12:TW12,"C"))*2)+((COUNTIF('Elève (3ème4)'!TU12:TW12,"D"))*1))/(COUNTA(TU12:TW12)),"")</f>
        <v/>
      </c>
      <c r="TY12" s="114" t="str">
        <f t="shared" si="126"/>
        <v/>
      </c>
      <c r="TZ12" s="110"/>
      <c r="UA12" s="111"/>
      <c r="UB12" s="112"/>
      <c r="UC12" s="113" t="str">
        <f>IFERROR((((COUNTIF('Elève (3ème4)'!TZ12:UB12,"A"))*4)+((COUNTIF('Elève (3ème4)'!TZ12:UB12,"B"))*3)+((COUNTIF('Elève (3ème4)'!TZ12:UB12,"C"))*2)+((COUNTIF('Elève (3ème4)'!TZ12:UB12,"D"))*1))/(COUNTA(TZ12:UB12)),"")</f>
        <v/>
      </c>
      <c r="UD12" s="114" t="str">
        <f t="shared" si="127"/>
        <v/>
      </c>
      <c r="UE12" s="110"/>
      <c r="UF12" s="111"/>
      <c r="UG12" s="116"/>
      <c r="UH12" s="113" t="str">
        <f>IFERROR((((COUNTIF('Elève (3ème4)'!UE12:UG12,"A"))*4)+((COUNTIF('Elève (3ème4)'!UE12:UG12,"B"))*3)+((COUNTIF('Elève (3ème4)'!UE12:UG12,"C"))*2)+((COUNTIF('Elève (3ème4)'!UE12:UG12,"D"))*1))/(COUNTA(UE12:UG12)),"")</f>
        <v/>
      </c>
      <c r="UI12" s="114" t="str">
        <f t="shared" si="128"/>
        <v/>
      </c>
      <c r="UJ12" s="113" t="str">
        <f>IF(COUNT(TX12,UC12,UH12)=0,"",SUM(TX12,UC12,UH12)/COUNT(TX12,UC12,UH12))</f>
        <v/>
      </c>
      <c r="UK12" s="115" t="str">
        <f t="shared" si="129"/>
        <v/>
      </c>
      <c r="UL12" s="110"/>
      <c r="UM12" s="111"/>
      <c r="UN12" s="112"/>
      <c r="UO12" s="113" t="str">
        <f>IFERROR((((COUNTIF('Elève (3ème4)'!UL12:UN12,"A"))*4)+((COUNTIF('Elève (3ème4)'!UL12:UN12,"B"))*3)+((COUNTIF('Elève (3ème4)'!UL12:UN12,"C"))*2)+((COUNTIF('Elève (3ème4)'!UL12:UN12,"D"))*1))/(COUNTA(UL12:UN12)),"")</f>
        <v/>
      </c>
      <c r="UP12" s="114" t="str">
        <f t="shared" si="130"/>
        <v/>
      </c>
      <c r="UQ12" s="110"/>
      <c r="UR12" s="111"/>
      <c r="US12" s="112"/>
      <c r="UT12" s="113" t="str">
        <f>IFERROR((((COUNTIF('Elève (3ème4)'!UQ12:US12,"A"))*4)+((COUNTIF('Elève (3ème4)'!UQ12:US12,"B"))*3)+((COUNTIF('Elève (3ème4)'!UQ12:US12,"C"))*2)+((COUNTIF('Elève (3ème4)'!UQ12:US12,"D"))*1))/(COUNTA(UQ12:US12)),"")</f>
        <v/>
      </c>
      <c r="UU12" s="114" t="str">
        <f t="shared" si="131"/>
        <v/>
      </c>
      <c r="UV12" s="110"/>
      <c r="UW12" s="111"/>
      <c r="UX12" s="116"/>
      <c r="UY12" s="113" t="str">
        <f>IFERROR((((COUNTIF('Elève (3ème4)'!UV12:UX12,"A"))*4)+((COUNTIF('Elève (3ème4)'!UV12:UX12,"B"))*3)+((COUNTIF('Elève (3ème4)'!UV12:UX12,"C"))*2)+((COUNTIF('Elève (3ème4)'!UV12:UX12,"D"))*1))/(COUNTA(UV12:UX12)),"")</f>
        <v/>
      </c>
      <c r="UZ12" s="114" t="str">
        <f t="shared" si="132"/>
        <v/>
      </c>
      <c r="VA12" s="113" t="str">
        <f>IF(COUNT(UO12,UT12,UY12)=0,"",SUM(UO12,UT12,UY12)/COUNT(UO12,UT12,UY12))</f>
        <v/>
      </c>
      <c r="VB12" s="115" t="str">
        <f t="shared" si="133"/>
        <v/>
      </c>
      <c r="VC12" s="110"/>
      <c r="VD12" s="111"/>
      <c r="VE12" s="112"/>
      <c r="VF12" s="113" t="str">
        <f>IFERROR((((COUNTIF('Elève (3ème4)'!VC12:VE12,"A"))*4)+((COUNTIF('Elève (3ème4)'!VC12:VE12,"B"))*3)+((COUNTIF('Elève (3ème4)'!VC12:VE12,"C"))*2)+((COUNTIF('Elève (3ème4)'!VC12:VE12,"D"))*1))/(COUNTA(VC12:VE12)),"")</f>
        <v/>
      </c>
      <c r="VG12" s="114" t="str">
        <f t="shared" si="134"/>
        <v/>
      </c>
      <c r="VH12" s="110"/>
      <c r="VI12" s="111"/>
      <c r="VJ12" s="112"/>
      <c r="VK12" s="113" t="str">
        <f>IFERROR((((COUNTIF('Elève (3ème4)'!VH12:VJ12,"A"))*4)+((COUNTIF('Elève (3ème4)'!VH12:VJ12,"B"))*3)+((COUNTIF('Elève (3ème4)'!VH12:VJ12,"C"))*2)+((COUNTIF('Elève (3ème4)'!VH12:VJ12,"D"))*1))/(COUNTA(VH12:VJ12)),"")</f>
        <v/>
      </c>
      <c r="VL12" s="114" t="str">
        <f t="shared" si="135"/>
        <v/>
      </c>
      <c r="VM12" s="110"/>
      <c r="VN12" s="111"/>
      <c r="VO12" s="116"/>
      <c r="VP12" s="113" t="str">
        <f>IFERROR((((COUNTIF('Elève (3ème4)'!VM12:VO12,"A"))*4)+((COUNTIF('Elève (3ème4)'!VM12:VO12,"B"))*3)+((COUNTIF('Elève (3ème4)'!VM12:VO12,"C"))*2)+((COUNTIF('Elève (3ème4)'!VM12:VO12,"D"))*1))/(COUNTA(VM12:VO12)),"")</f>
        <v/>
      </c>
      <c r="VQ12" s="114" t="str">
        <f t="shared" si="136"/>
        <v/>
      </c>
      <c r="VR12" s="113" t="str">
        <f>IF(COUNT(VF12,VK12,VP12)=0,"",SUM(VF12,VK12,VP12)/COUNT(VF12,VK12,VP12))</f>
        <v/>
      </c>
      <c r="VS12" s="115" t="str">
        <f t="shared" si="137"/>
        <v/>
      </c>
      <c r="VT12" s="110"/>
      <c r="VU12" s="111"/>
      <c r="VV12" s="112"/>
      <c r="VW12" s="113" t="str">
        <f>IFERROR((((COUNTIF('Elève (3ème4)'!VT12:VV12,"A"))*4)+((COUNTIF('Elève (3ème4)'!VT12:VV12,"B"))*3)+((COUNTIF('Elève (3ème4)'!VT12:VV12,"C"))*2)+((COUNTIF('Elève (3ème4)'!VT12:VV12,"D"))*1))/(COUNTA(VT12:VV12)),"")</f>
        <v/>
      </c>
      <c r="VX12" s="114" t="str">
        <f t="shared" si="138"/>
        <v/>
      </c>
      <c r="VY12" s="110"/>
      <c r="VZ12" s="111"/>
      <c r="WA12" s="112"/>
      <c r="WB12" s="113" t="str">
        <f>IFERROR((((COUNTIF('Elève (3ème4)'!VY12:WA12,"A"))*4)+((COUNTIF('Elève (3ème4)'!VY12:WA12,"B"))*3)+((COUNTIF('Elève (3ème4)'!VY12:WA12,"C"))*2)+((COUNTIF('Elève (3ème4)'!VY12:WA12,"D"))*1))/(COUNTA(VY12:WA12)),"")</f>
        <v/>
      </c>
      <c r="WC12" s="114" t="str">
        <f t="shared" si="139"/>
        <v/>
      </c>
      <c r="WD12" s="110"/>
      <c r="WE12" s="111"/>
      <c r="WF12" s="116"/>
      <c r="WG12" s="113" t="str">
        <f>IFERROR((((COUNTIF('Elève (3ème4)'!WD12:WF12,"A"))*4)+((COUNTIF('Elève (3ème4)'!WD12:WF12,"B"))*3)+((COUNTIF('Elève (3ème4)'!WD12:WF12,"C"))*2)+((COUNTIF('Elève (3ème4)'!WD12:WF12,"D"))*1))/(COUNTA(WD12:WF12)),"")</f>
        <v/>
      </c>
      <c r="WH12" s="114" t="str">
        <f t="shared" si="140"/>
        <v/>
      </c>
      <c r="WI12" s="113" t="str">
        <f>IF(COUNT(VW12,WB12,WG12)=0,"",SUM(VW12,WB12,WG12)/COUNT(VW12,WB12,WG12))</f>
        <v/>
      </c>
      <c r="WJ12" s="115" t="str">
        <f t="shared" si="141"/>
        <v/>
      </c>
    </row>
    <row r="13" spans="1:608" s="95" customFormat="1" ht="16.5" customHeight="1" thickBot="1" x14ac:dyDescent="0.6">
      <c r="A13" s="145" t="s">
        <v>18</v>
      </c>
      <c r="B13" s="120">
        <v>1</v>
      </c>
      <c r="C13" s="152"/>
      <c r="D13" s="65"/>
      <c r="E13" s="85"/>
      <c r="F13" s="159" t="str">
        <f>IF(COUNT(F14:F15)=0,"",SUM(F14:F15)/COUNT(F14:F15))</f>
        <v/>
      </c>
      <c r="G13" s="160" t="str">
        <f t="shared" si="22"/>
        <v/>
      </c>
      <c r="H13" s="152"/>
      <c r="I13" s="65"/>
      <c r="J13" s="65"/>
      <c r="K13" s="85"/>
      <c r="L13" s="159" t="str">
        <f>IF(COUNT(L14,L15)=0,"",SUM(L14:L15)/COUNT(L14,L15))</f>
        <v/>
      </c>
      <c r="M13" s="175" t="str">
        <f t="shared" si="23"/>
        <v/>
      </c>
      <c r="N13" s="153"/>
      <c r="O13" s="90"/>
      <c r="P13" s="90"/>
      <c r="Q13" s="90"/>
      <c r="R13" s="90"/>
      <c r="S13" s="91"/>
      <c r="T13" s="159">
        <f>IF(COUNT(T14,T15)=0,"",SUM(T14:T15)/COUNT(T14,T15))</f>
        <v>3.5</v>
      </c>
      <c r="U13" s="183" t="str">
        <f t="shared" si="24"/>
        <v>B</v>
      </c>
      <c r="V13" s="184">
        <f>IF(COUNT(V14:V15)=0,"",SUM(V14:V15)/COUNT(V14:V15))</f>
        <v>3.5</v>
      </c>
      <c r="W13" s="185" t="str">
        <f t="shared" si="25"/>
        <v>B</v>
      </c>
      <c r="X13" s="196"/>
      <c r="Y13" s="65"/>
      <c r="Z13" s="85"/>
      <c r="AA13" s="159" t="str">
        <f>IF(COUNT(AA14:AA15)=0,"",SUM(AA14:AA15)/COUNT(AA14:AA15))</f>
        <v/>
      </c>
      <c r="AB13" s="160" t="str">
        <f t="shared" si="26"/>
        <v/>
      </c>
      <c r="AC13" s="152"/>
      <c r="AD13" s="65"/>
      <c r="AE13" s="65"/>
      <c r="AF13" s="85"/>
      <c r="AG13" s="159" t="str">
        <f>IF(COUNT(AG14,AG15)=0,"",SUM(AG14:AG15)/COUNT(AG14,AG15))</f>
        <v/>
      </c>
      <c r="AH13" s="175" t="str">
        <f t="shared" si="27"/>
        <v/>
      </c>
      <c r="AI13" s="153"/>
      <c r="AJ13" s="90"/>
      <c r="AK13" s="90"/>
      <c r="AL13" s="90"/>
      <c r="AM13" s="90"/>
      <c r="AN13" s="91"/>
      <c r="AO13" s="159" t="str">
        <f>IF(COUNT(AO14,AO15)=0,"",SUM(AO14:AO15)/COUNT(AO14,AO15))</f>
        <v/>
      </c>
      <c r="AP13" s="183" t="str">
        <f t="shared" si="28"/>
        <v/>
      </c>
      <c r="AQ13" s="184" t="str">
        <f>IF(COUNT(AQ14:AQ15)=0,"",SUM(AQ14:AQ15)/COUNT(AQ14:AQ15))</f>
        <v/>
      </c>
      <c r="AR13" s="185" t="str">
        <f t="shared" si="29"/>
        <v/>
      </c>
      <c r="AS13" s="196"/>
      <c r="AT13" s="65"/>
      <c r="AU13" s="85"/>
      <c r="AV13" s="159" t="str">
        <f>IF(COUNT(AV14:AV15)=0,"",SUM(AV14:AV15)/COUNT(AV14:AV15))</f>
        <v/>
      </c>
      <c r="AW13" s="160" t="str">
        <f t="shared" si="30"/>
        <v/>
      </c>
      <c r="AX13" s="152"/>
      <c r="AY13" s="65"/>
      <c r="AZ13" s="65"/>
      <c r="BA13" s="85"/>
      <c r="BB13" s="159" t="str">
        <f>IF(COUNT(BB14,BB15)=0,"",SUM(BB14:BB15)/COUNT(BB14,BB15))</f>
        <v/>
      </c>
      <c r="BC13" s="175" t="str">
        <f t="shared" si="31"/>
        <v/>
      </c>
      <c r="BD13" s="153"/>
      <c r="BE13" s="90"/>
      <c r="BF13" s="90"/>
      <c r="BG13" s="90"/>
      <c r="BH13" s="90"/>
      <c r="BI13" s="91"/>
      <c r="BJ13" s="159">
        <f>IF(COUNT(BJ14,BJ15)=0,"",SUM(BJ14:BJ15)/COUNT(BJ14,BJ15))</f>
        <v>4</v>
      </c>
      <c r="BK13" s="183" t="str">
        <f t="shared" si="32"/>
        <v>A</v>
      </c>
      <c r="BL13" s="184">
        <f>IF(COUNT(BL14:BL15)=0,"",SUM(BL14:BL15)/COUNT(BL14:BL15))</f>
        <v>4</v>
      </c>
      <c r="BM13" s="185" t="str">
        <f t="shared" si="33"/>
        <v>A</v>
      </c>
      <c r="BN13" s="196"/>
      <c r="BO13" s="65"/>
      <c r="BP13" s="85"/>
      <c r="BQ13" s="159" t="str">
        <f>IF(COUNT(BQ14:BQ15)=0,"",SUM(BQ14:BQ15)/COUNT(BQ14:BQ15))</f>
        <v/>
      </c>
      <c r="BR13" s="160" t="str">
        <f t="shared" si="34"/>
        <v/>
      </c>
      <c r="BS13" s="152"/>
      <c r="BT13" s="65"/>
      <c r="BU13" s="65"/>
      <c r="BV13" s="85"/>
      <c r="BW13" s="159" t="str">
        <f>IF(COUNT(BW14,BW15)=0,"",SUM(BW14:BW15)/COUNT(BW14,BW15))</f>
        <v/>
      </c>
      <c r="BX13" s="175" t="str">
        <f t="shared" si="35"/>
        <v/>
      </c>
      <c r="BY13" s="153"/>
      <c r="BZ13" s="90"/>
      <c r="CA13" s="90"/>
      <c r="CB13" s="90"/>
      <c r="CC13" s="90"/>
      <c r="CD13" s="91"/>
      <c r="CE13" s="159">
        <f>IF(COUNT(CE14,CE15)=0,"",SUM(CE14:CE15)/COUNT(CE14,CE15))</f>
        <v>4</v>
      </c>
      <c r="CF13" s="183" t="str">
        <f t="shared" si="36"/>
        <v>A</v>
      </c>
      <c r="CG13" s="184">
        <f>IF(COUNT(CG14:CG15)=0,"",SUM(CG14:CG15)/COUNT(CG14:CG15))</f>
        <v>4</v>
      </c>
      <c r="CH13" s="185" t="str">
        <f t="shared" si="37"/>
        <v>A</v>
      </c>
      <c r="CI13" s="196"/>
      <c r="CJ13" s="65"/>
      <c r="CK13" s="85"/>
      <c r="CL13" s="159" t="str">
        <f>IF(COUNT(CL14:CL15)=0,"",SUM(CL14:CL15)/COUNT(CL14:CL15))</f>
        <v/>
      </c>
      <c r="CM13" s="160" t="str">
        <f t="shared" si="38"/>
        <v/>
      </c>
      <c r="CN13" s="152"/>
      <c r="CO13" s="65"/>
      <c r="CP13" s="65"/>
      <c r="CQ13" s="85"/>
      <c r="CR13" s="159" t="str">
        <f>IF(COUNT(CR14,CR15)=0,"",SUM(CR14:CR15)/COUNT(CR14,CR15))</f>
        <v/>
      </c>
      <c r="CS13" s="175" t="str">
        <f t="shared" si="39"/>
        <v/>
      </c>
      <c r="CT13" s="153"/>
      <c r="CU13" s="90"/>
      <c r="CV13" s="90"/>
      <c r="CW13" s="90"/>
      <c r="CX13" s="90"/>
      <c r="CY13" s="91"/>
      <c r="CZ13" s="159">
        <f>IF(COUNT(CZ14,CZ15)=0,"",SUM(CZ14:CZ15)/COUNT(CZ14,CZ15))</f>
        <v>3.5</v>
      </c>
      <c r="DA13" s="183" t="str">
        <f t="shared" si="40"/>
        <v>B</v>
      </c>
      <c r="DB13" s="184">
        <f>IF(COUNT(DB14:DB15)=0,"",SUM(DB14:DB15)/COUNT(DB14:DB15))</f>
        <v>3.5</v>
      </c>
      <c r="DC13" s="185" t="str">
        <f t="shared" si="41"/>
        <v>B</v>
      </c>
      <c r="DD13" s="196"/>
      <c r="DE13" s="65"/>
      <c r="DF13" s="85"/>
      <c r="DG13" s="159" t="str">
        <f>IF(COUNT(DG14:DG15)=0,"",SUM(DG14:DG15)/COUNT(DG14:DG15))</f>
        <v/>
      </c>
      <c r="DH13" s="160" t="str">
        <f t="shared" si="42"/>
        <v/>
      </c>
      <c r="DI13" s="152"/>
      <c r="DJ13" s="65"/>
      <c r="DK13" s="65"/>
      <c r="DL13" s="85"/>
      <c r="DM13" s="159" t="str">
        <f>IF(COUNT(DM14,DM15)=0,"",SUM(DM14:DM15)/COUNT(DM14,DM15))</f>
        <v/>
      </c>
      <c r="DN13" s="175" t="str">
        <f t="shared" si="43"/>
        <v/>
      </c>
      <c r="DO13" s="153"/>
      <c r="DP13" s="90"/>
      <c r="DQ13" s="90"/>
      <c r="DR13" s="90"/>
      <c r="DS13" s="90"/>
      <c r="DT13" s="91"/>
      <c r="DU13" s="159">
        <f>IF(COUNT(DU14,DU15)=0,"",SUM(DU14:DU15)/COUNT(DU14,DU15))</f>
        <v>4</v>
      </c>
      <c r="DV13" s="183" t="str">
        <f t="shared" si="44"/>
        <v>A</v>
      </c>
      <c r="DW13" s="184">
        <f>IF(COUNT(DW14:DW15)=0,"",SUM(DW14:DW15)/COUNT(DW14:DW15))</f>
        <v>4</v>
      </c>
      <c r="DX13" s="185" t="str">
        <f t="shared" si="45"/>
        <v>A</v>
      </c>
      <c r="DY13" s="196"/>
      <c r="DZ13" s="65"/>
      <c r="EA13" s="85"/>
      <c r="EB13" s="159" t="str">
        <f>IF(COUNT(EB14:EB15)=0,"",SUM(EB14:EB15)/COUNT(EB14:EB15))</f>
        <v/>
      </c>
      <c r="EC13" s="160" t="str">
        <f t="shared" si="46"/>
        <v/>
      </c>
      <c r="ED13" s="152"/>
      <c r="EE13" s="65"/>
      <c r="EF13" s="65"/>
      <c r="EG13" s="85"/>
      <c r="EH13" s="159" t="str">
        <f>IF(COUNT(EH14,EH15)=0,"",SUM(EH14:EH15)/COUNT(EH14,EH15))</f>
        <v/>
      </c>
      <c r="EI13" s="175" t="str">
        <f t="shared" si="47"/>
        <v/>
      </c>
      <c r="EJ13" s="153"/>
      <c r="EK13" s="90"/>
      <c r="EL13" s="90"/>
      <c r="EM13" s="90"/>
      <c r="EN13" s="90"/>
      <c r="EO13" s="91"/>
      <c r="EP13" s="159">
        <f>IF(COUNT(EP14,EP15)=0,"",SUM(EP14:EP15)/COUNT(EP14,EP15))</f>
        <v>2</v>
      </c>
      <c r="EQ13" s="183" t="str">
        <f t="shared" si="48"/>
        <v>C</v>
      </c>
      <c r="ER13" s="184">
        <f>IF(COUNT(ER14:ER15)=0,"",SUM(ER14:ER15)/COUNT(ER14:ER15))</f>
        <v>2</v>
      </c>
      <c r="ES13" s="185" t="str">
        <f t="shared" si="49"/>
        <v>C</v>
      </c>
      <c r="ET13" s="196"/>
      <c r="EU13" s="65"/>
      <c r="EV13" s="85"/>
      <c r="EW13" s="159" t="str">
        <f>IF(COUNT(EW14:EW15)=0,"",SUM(EW14:EW15)/COUNT(EW14:EW15))</f>
        <v/>
      </c>
      <c r="EX13" s="160" t="str">
        <f t="shared" si="50"/>
        <v/>
      </c>
      <c r="EY13" s="152"/>
      <c r="EZ13" s="65"/>
      <c r="FA13" s="65"/>
      <c r="FB13" s="85"/>
      <c r="FC13" s="159" t="str">
        <f>IF(COUNT(FC14,FC15)=0,"",SUM(FC14:FC15)/COUNT(FC14,FC15))</f>
        <v/>
      </c>
      <c r="FD13" s="175" t="str">
        <f t="shared" si="51"/>
        <v/>
      </c>
      <c r="FE13" s="153"/>
      <c r="FF13" s="90"/>
      <c r="FG13" s="90"/>
      <c r="FH13" s="90"/>
      <c r="FI13" s="90"/>
      <c r="FJ13" s="91"/>
      <c r="FK13" s="159">
        <f>IF(COUNT(FK14,FK15)=0,"",SUM(FK14:FK15)/COUNT(FK14,FK15))</f>
        <v>3</v>
      </c>
      <c r="FL13" s="183" t="str">
        <f t="shared" si="52"/>
        <v>B</v>
      </c>
      <c r="FM13" s="184">
        <f>IF(COUNT(FM14:FM15)=0,"",SUM(FM14:FM15)/COUNT(FM14:FM15))</f>
        <v>3</v>
      </c>
      <c r="FN13" s="185" t="str">
        <f t="shared" si="53"/>
        <v>B</v>
      </c>
      <c r="FO13" s="196"/>
      <c r="FP13" s="65"/>
      <c r="FQ13" s="85"/>
      <c r="FR13" s="159" t="str">
        <f>IF(COUNT(FR14:FR15)=0,"",SUM(FR14:FR15)/COUNT(FR14:FR15))</f>
        <v/>
      </c>
      <c r="FS13" s="160" t="str">
        <f t="shared" si="54"/>
        <v/>
      </c>
      <c r="FT13" s="152"/>
      <c r="FU13" s="65"/>
      <c r="FV13" s="65"/>
      <c r="FW13" s="85"/>
      <c r="FX13" s="159" t="str">
        <f>IF(COUNT(FX14,FX15)=0,"",SUM(FX14:FX15)/COUNT(FX14,FX15))</f>
        <v/>
      </c>
      <c r="FY13" s="175" t="str">
        <f t="shared" si="55"/>
        <v/>
      </c>
      <c r="FZ13" s="153"/>
      <c r="GA13" s="90"/>
      <c r="GB13" s="90"/>
      <c r="GC13" s="90"/>
      <c r="GD13" s="90"/>
      <c r="GE13" s="91"/>
      <c r="GF13" s="159">
        <f>IF(COUNT(GF14,GF15)=0,"",SUM(GF14:GF15)/COUNT(GF14,GF15))</f>
        <v>3.5</v>
      </c>
      <c r="GG13" s="183" t="str">
        <f t="shared" si="56"/>
        <v>B</v>
      </c>
      <c r="GH13" s="184">
        <f>IF(COUNT(GH14:GH15)=0,"",SUM(GH14:GH15)/COUNT(GH14:GH15))</f>
        <v>3.5</v>
      </c>
      <c r="GI13" s="185" t="str">
        <f t="shared" si="57"/>
        <v>B</v>
      </c>
      <c r="GJ13" s="196"/>
      <c r="GK13" s="65"/>
      <c r="GL13" s="85"/>
      <c r="GM13" s="159" t="str">
        <f>IF(COUNT(GM14:GM15)=0,"",SUM(GM14:GM15)/COUNT(GM14:GM15))</f>
        <v/>
      </c>
      <c r="GN13" s="160" t="str">
        <f t="shared" si="58"/>
        <v/>
      </c>
      <c r="GO13" s="152"/>
      <c r="GP13" s="65"/>
      <c r="GQ13" s="65"/>
      <c r="GR13" s="85"/>
      <c r="GS13" s="159" t="str">
        <f>IF(COUNT(GS14,GS15)=0,"",SUM(GS14:GS15)/COUNT(GS14,GS15))</f>
        <v/>
      </c>
      <c r="GT13" s="175" t="str">
        <f t="shared" si="59"/>
        <v/>
      </c>
      <c r="GU13" s="153"/>
      <c r="GV13" s="90"/>
      <c r="GW13" s="90"/>
      <c r="GX13" s="90"/>
      <c r="GY13" s="90"/>
      <c r="GZ13" s="91"/>
      <c r="HA13" s="159">
        <f>IF(COUNT(HA14,HA15)=0,"",SUM(HA14:HA15)/COUNT(HA14,HA15))</f>
        <v>4</v>
      </c>
      <c r="HB13" s="183" t="str">
        <f t="shared" si="60"/>
        <v>A</v>
      </c>
      <c r="HC13" s="184">
        <f>IF(COUNT(HC14:HC15)=0,"",SUM(HC14:HC15)/COUNT(HC14:HC15))</f>
        <v>4</v>
      </c>
      <c r="HD13" s="185" t="str">
        <f t="shared" si="61"/>
        <v>A</v>
      </c>
      <c r="HE13" s="196"/>
      <c r="HF13" s="65"/>
      <c r="HG13" s="85"/>
      <c r="HH13" s="159" t="str">
        <f>IF(COUNT(HH14:HH15)=0,"",SUM(HH14:HH15)/COUNT(HH14:HH15))</f>
        <v/>
      </c>
      <c r="HI13" s="160" t="str">
        <f t="shared" si="62"/>
        <v/>
      </c>
      <c r="HJ13" s="152"/>
      <c r="HK13" s="65"/>
      <c r="HL13" s="65"/>
      <c r="HM13" s="85"/>
      <c r="HN13" s="159" t="str">
        <f>IF(COUNT(HN14,HN15)=0,"",SUM(HN14:HN15)/COUNT(HN14,HN15))</f>
        <v/>
      </c>
      <c r="HO13" s="175" t="str">
        <f t="shared" si="63"/>
        <v/>
      </c>
      <c r="HP13" s="153"/>
      <c r="HQ13" s="90"/>
      <c r="HR13" s="90"/>
      <c r="HS13" s="90"/>
      <c r="HT13" s="90"/>
      <c r="HU13" s="91"/>
      <c r="HV13" s="159">
        <f>IF(COUNT(HV14,HV15)=0,"",SUM(HV14:HV15)/COUNT(HV14,HV15))</f>
        <v>4</v>
      </c>
      <c r="HW13" s="183" t="str">
        <f t="shared" si="64"/>
        <v>A</v>
      </c>
      <c r="HX13" s="184">
        <f>IF(COUNT(HX14:HX15)=0,"",SUM(HX14:HX15)/COUNT(HX14:HX15))</f>
        <v>4</v>
      </c>
      <c r="HY13" s="185" t="str">
        <f t="shared" si="65"/>
        <v>A</v>
      </c>
      <c r="HZ13" s="196"/>
      <c r="IA13" s="65"/>
      <c r="IB13" s="85"/>
      <c r="IC13" s="159" t="str">
        <f>IF(COUNT(IC14:IC15)=0,"",SUM(IC14:IC15)/COUNT(IC14:IC15))</f>
        <v/>
      </c>
      <c r="ID13" s="160" t="str">
        <f t="shared" si="66"/>
        <v/>
      </c>
      <c r="IE13" s="152"/>
      <c r="IF13" s="65"/>
      <c r="IG13" s="65"/>
      <c r="IH13" s="85"/>
      <c r="II13" s="159" t="str">
        <f>IF(COUNT(II14,II15)=0,"",SUM(II14:II15)/COUNT(II14,II15))</f>
        <v/>
      </c>
      <c r="IJ13" s="175" t="str">
        <f t="shared" si="67"/>
        <v/>
      </c>
      <c r="IK13" s="153"/>
      <c r="IL13" s="90"/>
      <c r="IM13" s="90"/>
      <c r="IN13" s="90"/>
      <c r="IO13" s="90"/>
      <c r="IP13" s="91"/>
      <c r="IQ13" s="159">
        <f>IF(COUNT(IQ14,IQ15)=0,"",SUM(IQ14:IQ15)/COUNT(IQ14,IQ15))</f>
        <v>3</v>
      </c>
      <c r="IR13" s="183" t="str">
        <f t="shared" si="68"/>
        <v>B</v>
      </c>
      <c r="IS13" s="184">
        <f>IF(COUNT(IS14:IS15)=0,"",SUM(IS14:IS15)/COUNT(IS14:IS15))</f>
        <v>3</v>
      </c>
      <c r="IT13" s="185" t="str">
        <f t="shared" si="69"/>
        <v>B</v>
      </c>
      <c r="IU13" s="196"/>
      <c r="IV13" s="65"/>
      <c r="IW13" s="85"/>
      <c r="IX13" s="159" t="str">
        <f>IF(COUNT(IX14:IX15)=0,"",SUM(IX14:IX15)/COUNT(IX14:IX15))</f>
        <v/>
      </c>
      <c r="IY13" s="160" t="str">
        <f t="shared" si="70"/>
        <v/>
      </c>
      <c r="IZ13" s="152"/>
      <c r="JA13" s="65"/>
      <c r="JB13" s="65"/>
      <c r="JC13" s="85"/>
      <c r="JD13" s="159" t="str">
        <f>IF(COUNT(JD14,JD15)=0,"",SUM(JD14:JD15)/COUNT(JD14,JD15))</f>
        <v/>
      </c>
      <c r="JE13" s="175" t="str">
        <f t="shared" si="71"/>
        <v/>
      </c>
      <c r="JF13" s="153"/>
      <c r="JG13" s="90"/>
      <c r="JH13" s="90"/>
      <c r="JI13" s="90"/>
      <c r="JJ13" s="90"/>
      <c r="JK13" s="91"/>
      <c r="JL13" s="159">
        <f>IF(COUNT(JL14,JL15)=0,"",SUM(JL14:JL15)/COUNT(JL14,JL15))</f>
        <v>3</v>
      </c>
      <c r="JM13" s="183" t="str">
        <f t="shared" si="72"/>
        <v>B</v>
      </c>
      <c r="JN13" s="184">
        <f>IF(COUNT(JN14:JN15)=0,"",SUM(JN14:JN15)/COUNT(JN14:JN15))</f>
        <v>3</v>
      </c>
      <c r="JO13" s="185" t="str">
        <f t="shared" si="73"/>
        <v>B</v>
      </c>
      <c r="JP13" s="196"/>
      <c r="JQ13" s="65"/>
      <c r="JR13" s="85"/>
      <c r="JS13" s="159" t="str">
        <f>IF(COUNT(JS14:JS15)=0,"",SUM(JS14:JS15)/COUNT(JS14:JS15))</f>
        <v/>
      </c>
      <c r="JT13" s="160" t="str">
        <f t="shared" si="74"/>
        <v/>
      </c>
      <c r="JU13" s="152"/>
      <c r="JV13" s="65"/>
      <c r="JW13" s="65"/>
      <c r="JX13" s="85"/>
      <c r="JY13" s="159" t="str">
        <f>IF(COUNT(JY14,JY15)=0,"",SUM(JY14:JY15)/COUNT(JY14,JY15))</f>
        <v/>
      </c>
      <c r="JZ13" s="175" t="str">
        <f t="shared" si="75"/>
        <v/>
      </c>
      <c r="KA13" s="153"/>
      <c r="KB13" s="90"/>
      <c r="KC13" s="90"/>
      <c r="KD13" s="90"/>
      <c r="KE13" s="90"/>
      <c r="KF13" s="91"/>
      <c r="KG13" s="159">
        <f>IF(COUNT(KG14,KG15)=0,"",SUM(KG14:KG15)/COUNT(KG14,KG15))</f>
        <v>3</v>
      </c>
      <c r="KH13" s="183" t="str">
        <f t="shared" si="76"/>
        <v>B</v>
      </c>
      <c r="KI13" s="184">
        <f>IF(COUNT(KI14:KI15)=0,"",SUM(KI14:KI15)/COUNT(KI14:KI15))</f>
        <v>3</v>
      </c>
      <c r="KJ13" s="185" t="str">
        <f t="shared" si="77"/>
        <v>B</v>
      </c>
      <c r="KK13" s="196"/>
      <c r="KL13" s="65"/>
      <c r="KM13" s="85"/>
      <c r="KN13" s="159" t="str">
        <f>IF(COUNT(KN14:KN15)=0,"",SUM(KN14:KN15)/COUNT(KN14:KN15))</f>
        <v/>
      </c>
      <c r="KO13" s="160" t="str">
        <f t="shared" si="78"/>
        <v/>
      </c>
      <c r="KP13" s="152"/>
      <c r="KQ13" s="65"/>
      <c r="KR13" s="65"/>
      <c r="KS13" s="85"/>
      <c r="KT13" s="159" t="str">
        <f>IF(COUNT(KT14,KT15)=0,"",SUM(KT14:KT15)/COUNT(KT14,KT15))</f>
        <v/>
      </c>
      <c r="KU13" s="175" t="str">
        <f t="shared" si="79"/>
        <v/>
      </c>
      <c r="KV13" s="153"/>
      <c r="KW13" s="90"/>
      <c r="KX13" s="90"/>
      <c r="KY13" s="90"/>
      <c r="KZ13" s="90"/>
      <c r="LA13" s="91"/>
      <c r="LB13" s="159">
        <f>IF(COUNT(LB14,LB15)=0,"",SUM(LB14:LB15)/COUNT(LB14,LB15))</f>
        <v>4</v>
      </c>
      <c r="LC13" s="183" t="str">
        <f t="shared" si="80"/>
        <v>A</v>
      </c>
      <c r="LD13" s="184">
        <f>IF(COUNT(LD14:LD15)=0,"",SUM(LD14:LD15)/COUNT(LD14:LD15))</f>
        <v>4</v>
      </c>
      <c r="LE13" s="185" t="str">
        <f t="shared" si="81"/>
        <v>A</v>
      </c>
      <c r="LF13" s="196"/>
      <c r="LG13" s="65"/>
      <c r="LH13" s="85"/>
      <c r="LI13" s="159" t="str">
        <f>IF(COUNT(LI14:LI15)=0,"",SUM(LI14:LI15)/COUNT(LI14:LI15))</f>
        <v/>
      </c>
      <c r="LJ13" s="160" t="str">
        <f t="shared" si="82"/>
        <v/>
      </c>
      <c r="LK13" s="152"/>
      <c r="LL13" s="65"/>
      <c r="LM13" s="65"/>
      <c r="LN13" s="85"/>
      <c r="LO13" s="159" t="str">
        <f>IF(COUNT(LO14,LO15)=0,"",SUM(LO14:LO15)/COUNT(LO14,LO15))</f>
        <v/>
      </c>
      <c r="LP13" s="175" t="str">
        <f t="shared" si="83"/>
        <v/>
      </c>
      <c r="LQ13" s="153"/>
      <c r="LR13" s="90"/>
      <c r="LS13" s="90"/>
      <c r="LT13" s="90"/>
      <c r="LU13" s="90"/>
      <c r="LV13" s="91"/>
      <c r="LW13" s="159">
        <f>IF(COUNT(LW14,LW15)=0,"",SUM(LW14:LW15)/COUNT(LW14,LW15))</f>
        <v>3</v>
      </c>
      <c r="LX13" s="183" t="str">
        <f t="shared" si="84"/>
        <v>B</v>
      </c>
      <c r="LY13" s="184">
        <f>IF(COUNT(LY14:LY15)=0,"",SUM(LY14:LY15)/COUNT(LY14:LY15))</f>
        <v>3</v>
      </c>
      <c r="LZ13" s="185" t="str">
        <f t="shared" si="85"/>
        <v>B</v>
      </c>
      <c r="MA13" s="196"/>
      <c r="MB13" s="65"/>
      <c r="MC13" s="85"/>
      <c r="MD13" s="159" t="str">
        <f>IF(COUNT(MD14:MD15)=0,"",SUM(MD14:MD15)/COUNT(MD14:MD15))</f>
        <v/>
      </c>
      <c r="ME13" s="160" t="str">
        <f t="shared" si="86"/>
        <v/>
      </c>
      <c r="MF13" s="152"/>
      <c r="MG13" s="65"/>
      <c r="MH13" s="65"/>
      <c r="MI13" s="85"/>
      <c r="MJ13" s="159" t="str">
        <f>IF(COUNT(MJ14,MJ15)=0,"",SUM(MJ14:MJ15)/COUNT(MJ14,MJ15))</f>
        <v/>
      </c>
      <c r="MK13" s="175" t="str">
        <f t="shared" si="87"/>
        <v/>
      </c>
      <c r="ML13" s="153"/>
      <c r="MM13" s="90"/>
      <c r="MN13" s="90"/>
      <c r="MO13" s="90"/>
      <c r="MP13" s="90"/>
      <c r="MQ13" s="91"/>
      <c r="MR13" s="159">
        <f>IF(COUNT(MR14,MR15)=0,"",SUM(MR14:MR15)/COUNT(MR14,MR15))</f>
        <v>3</v>
      </c>
      <c r="MS13" s="183" t="str">
        <f t="shared" si="88"/>
        <v>B</v>
      </c>
      <c r="MT13" s="184">
        <f>IF(COUNT(MT14:MT15)=0,"",SUM(MT14:MT15)/COUNT(MT14:MT15))</f>
        <v>3</v>
      </c>
      <c r="MU13" s="185" t="str">
        <f t="shared" si="89"/>
        <v>B</v>
      </c>
      <c r="MV13" s="196"/>
      <c r="MW13" s="65"/>
      <c r="MX13" s="85"/>
      <c r="MY13" s="159" t="str">
        <f>IF(COUNT(MY14:MY15)=0,"",SUM(MY14:MY15)/COUNT(MY14:MY15))</f>
        <v/>
      </c>
      <c r="MZ13" s="160" t="str">
        <f t="shared" si="90"/>
        <v/>
      </c>
      <c r="NA13" s="152"/>
      <c r="NB13" s="65"/>
      <c r="NC13" s="65"/>
      <c r="ND13" s="85"/>
      <c r="NE13" s="159" t="str">
        <f>IF(COUNT(NE14,NE15)=0,"",SUM(NE14:NE15)/COUNT(NE14,NE15))</f>
        <v/>
      </c>
      <c r="NF13" s="175" t="str">
        <f t="shared" si="91"/>
        <v/>
      </c>
      <c r="NG13" s="153"/>
      <c r="NH13" s="90"/>
      <c r="NI13" s="90"/>
      <c r="NJ13" s="90"/>
      <c r="NK13" s="90"/>
      <c r="NL13" s="91"/>
      <c r="NM13" s="159">
        <f>IF(COUNT(NM14,NM15)=0,"",SUM(NM14:NM15)/COUNT(NM14,NM15))</f>
        <v>3</v>
      </c>
      <c r="NN13" s="183" t="str">
        <f t="shared" si="92"/>
        <v>B</v>
      </c>
      <c r="NO13" s="184">
        <f>IF(COUNT(NO14:NO15)=0,"",SUM(NO14:NO15)/COUNT(NO14:NO15))</f>
        <v>3</v>
      </c>
      <c r="NP13" s="185" t="str">
        <f t="shared" si="93"/>
        <v>B</v>
      </c>
      <c r="NQ13" s="196"/>
      <c r="NR13" s="65"/>
      <c r="NS13" s="85"/>
      <c r="NT13" s="159" t="str">
        <f>IF(COUNT(NT14:NT15)=0,"",SUM(NT14:NT15)/COUNT(NT14:NT15))</f>
        <v/>
      </c>
      <c r="NU13" s="160" t="str">
        <f t="shared" si="94"/>
        <v/>
      </c>
      <c r="NV13" s="152"/>
      <c r="NW13" s="65"/>
      <c r="NX13" s="65"/>
      <c r="NY13" s="85"/>
      <c r="NZ13" s="159" t="str">
        <f>IF(COUNT(NZ14,NZ15)=0,"",SUM(NZ14:NZ15)/COUNT(NZ14,NZ15))</f>
        <v/>
      </c>
      <c r="OA13" s="175" t="str">
        <f t="shared" si="95"/>
        <v/>
      </c>
      <c r="OB13" s="153"/>
      <c r="OC13" s="90"/>
      <c r="OD13" s="90"/>
      <c r="OE13" s="90"/>
      <c r="OF13" s="90"/>
      <c r="OG13" s="91"/>
      <c r="OH13" s="159">
        <f>IF(COUNT(OH14,OH15)=0,"",SUM(OH14:OH15)/COUNT(OH14,OH15))</f>
        <v>4</v>
      </c>
      <c r="OI13" s="183" t="str">
        <f t="shared" si="96"/>
        <v>A</v>
      </c>
      <c r="OJ13" s="184">
        <f>IF(COUNT(OJ14:OJ15)=0,"",SUM(OJ14:OJ15)/COUNT(OJ14:OJ15))</f>
        <v>4</v>
      </c>
      <c r="OK13" s="185" t="str">
        <f t="shared" si="97"/>
        <v>A</v>
      </c>
      <c r="OL13" s="196"/>
      <c r="OM13" s="65"/>
      <c r="ON13" s="85"/>
      <c r="OO13" s="159" t="str">
        <f>IF(COUNT(OO14:OO15)=0,"",SUM(OO14:OO15)/COUNT(OO14:OO15))</f>
        <v/>
      </c>
      <c r="OP13" s="160" t="str">
        <f t="shared" si="98"/>
        <v/>
      </c>
      <c r="OQ13" s="152"/>
      <c r="OR13" s="65"/>
      <c r="OS13" s="65"/>
      <c r="OT13" s="85"/>
      <c r="OU13" s="159" t="str">
        <f>IF(COUNT(OU14,OU15)=0,"",SUM(OU14:OU15)/COUNT(OU14,OU15))</f>
        <v/>
      </c>
      <c r="OV13" s="175" t="str">
        <f t="shared" si="99"/>
        <v/>
      </c>
      <c r="OW13" s="153"/>
      <c r="OX13" s="90"/>
      <c r="OY13" s="90"/>
      <c r="OZ13" s="90"/>
      <c r="PA13" s="90"/>
      <c r="PB13" s="91"/>
      <c r="PC13" s="159">
        <f>IF(COUNT(PC14,PC15)=0,"",SUM(PC14:PC15)/COUNT(PC14,PC15))</f>
        <v>3.5</v>
      </c>
      <c r="PD13" s="183" t="str">
        <f t="shared" si="100"/>
        <v>B</v>
      </c>
      <c r="PE13" s="184">
        <f>IF(COUNT(PE14:PE15)=0,"",SUM(PE14:PE15)/COUNT(PE14:PE15))</f>
        <v>3.5</v>
      </c>
      <c r="PF13" s="185" t="str">
        <f t="shared" si="101"/>
        <v>B</v>
      </c>
      <c r="PG13" s="196"/>
      <c r="PH13" s="65"/>
      <c r="PI13" s="85"/>
      <c r="PJ13" s="159" t="str">
        <f>IF(COUNT(PJ14:PJ15)=0,"",SUM(PJ14:PJ15)/COUNT(PJ14:PJ15))</f>
        <v/>
      </c>
      <c r="PK13" s="160" t="str">
        <f t="shared" si="102"/>
        <v/>
      </c>
      <c r="PL13" s="152"/>
      <c r="PM13" s="65"/>
      <c r="PN13" s="65"/>
      <c r="PO13" s="85"/>
      <c r="PP13" s="159" t="str">
        <f>IF(COUNT(PP14,PP15)=0,"",SUM(PP14:PP15)/COUNT(PP14,PP15))</f>
        <v/>
      </c>
      <c r="PQ13" s="175" t="str">
        <f t="shared" si="103"/>
        <v/>
      </c>
      <c r="PR13" s="153"/>
      <c r="PS13" s="90"/>
      <c r="PT13" s="90"/>
      <c r="PU13" s="90"/>
      <c r="PV13" s="90"/>
      <c r="PW13" s="91"/>
      <c r="PX13" s="159">
        <f>IF(COUNT(PX14,PX15)=0,"",SUM(PX14:PX15)/COUNT(PX14,PX15))</f>
        <v>4</v>
      </c>
      <c r="PY13" s="183" t="str">
        <f t="shared" si="104"/>
        <v>A</v>
      </c>
      <c r="PZ13" s="184">
        <f>IF(COUNT(PZ14:PZ15)=0,"",SUM(PZ14:PZ15)/COUNT(PZ14:PZ15))</f>
        <v>4</v>
      </c>
      <c r="QA13" s="185" t="str">
        <f t="shared" si="105"/>
        <v>A</v>
      </c>
      <c r="QB13" s="196"/>
      <c r="QC13" s="65"/>
      <c r="QD13" s="85"/>
      <c r="QE13" s="159" t="str">
        <f>IF(COUNT(QE14:QE15)=0,"",SUM(QE14:QE15)/COUNT(QE14:QE15))</f>
        <v/>
      </c>
      <c r="QF13" s="160" t="str">
        <f t="shared" si="106"/>
        <v/>
      </c>
      <c r="QG13" s="152"/>
      <c r="QH13" s="65"/>
      <c r="QI13" s="65"/>
      <c r="QJ13" s="85"/>
      <c r="QK13" s="159" t="str">
        <f>IF(COUNT(QK14,QK15)=0,"",SUM(QK14:QK15)/COUNT(QK14,QK15))</f>
        <v/>
      </c>
      <c r="QL13" s="175" t="str">
        <f t="shared" si="107"/>
        <v/>
      </c>
      <c r="QM13" s="153"/>
      <c r="QN13" s="90"/>
      <c r="QO13" s="90"/>
      <c r="QP13" s="90"/>
      <c r="QQ13" s="90"/>
      <c r="QR13" s="91"/>
      <c r="QS13" s="159">
        <f>IF(COUNT(QS14,QS15)=0,"",SUM(QS14:QS15)/COUNT(QS14,QS15))</f>
        <v>3.5</v>
      </c>
      <c r="QT13" s="183" t="str">
        <f t="shared" si="108"/>
        <v>B</v>
      </c>
      <c r="QU13" s="184">
        <f>IF(COUNT(QU14:QU15)=0,"",SUM(QU14:QU15)/COUNT(QU14:QU15))</f>
        <v>3.5</v>
      </c>
      <c r="QV13" s="185" t="str">
        <f t="shared" si="109"/>
        <v>B</v>
      </c>
      <c r="QW13" s="196"/>
      <c r="QX13" s="65"/>
      <c r="QY13" s="85"/>
      <c r="QZ13" s="159" t="str">
        <f>IF(COUNT(QZ14:QZ15)=0,"",SUM(QZ14:QZ15)/COUNT(QZ14:QZ15))</f>
        <v/>
      </c>
      <c r="RA13" s="160" t="str">
        <f t="shared" si="110"/>
        <v/>
      </c>
      <c r="RB13" s="152"/>
      <c r="RC13" s="65"/>
      <c r="RD13" s="65"/>
      <c r="RE13" s="85"/>
      <c r="RF13" s="159" t="str">
        <f>IF(COUNT(RF14,RF15)=0,"",SUM(RF14:RF15)/COUNT(RF14,RF15))</f>
        <v/>
      </c>
      <c r="RG13" s="175" t="str">
        <f t="shared" si="111"/>
        <v/>
      </c>
      <c r="RH13" s="153"/>
      <c r="RI13" s="90"/>
      <c r="RJ13" s="90"/>
      <c r="RK13" s="90"/>
      <c r="RL13" s="90"/>
      <c r="RM13" s="91"/>
      <c r="RN13" s="159">
        <f>IF(COUNT(RN14,RN15)=0,"",SUM(RN14:RN15)/COUNT(RN14,RN15))</f>
        <v>4</v>
      </c>
      <c r="RO13" s="183" t="str">
        <f t="shared" si="112"/>
        <v>A</v>
      </c>
      <c r="RP13" s="184">
        <f>IF(COUNT(RP14:RP15)=0,"",SUM(RP14:RP15)/COUNT(RP14:RP15))</f>
        <v>4</v>
      </c>
      <c r="RQ13" s="185" t="str">
        <f t="shared" si="113"/>
        <v>A</v>
      </c>
      <c r="RR13" s="196"/>
      <c r="RS13" s="65"/>
      <c r="RT13" s="85"/>
      <c r="RU13" s="159" t="str">
        <f>IF(COUNT(RU14:RU15)=0,"",SUM(RU14:RU15)/COUNT(RU14:RU15))</f>
        <v/>
      </c>
      <c r="RV13" s="160" t="str">
        <f t="shared" si="114"/>
        <v/>
      </c>
      <c r="RW13" s="152"/>
      <c r="RX13" s="65"/>
      <c r="RY13" s="65"/>
      <c r="RZ13" s="85"/>
      <c r="SA13" s="159" t="str">
        <f>IF(COUNT(SA14,SA15)=0,"",SUM(SA14:SA15)/COUNT(SA14,SA15))</f>
        <v/>
      </c>
      <c r="SB13" s="175" t="str">
        <f t="shared" si="115"/>
        <v/>
      </c>
      <c r="SC13" s="153"/>
      <c r="SD13" s="90"/>
      <c r="SE13" s="90"/>
      <c r="SF13" s="90"/>
      <c r="SG13" s="90"/>
      <c r="SH13" s="91"/>
      <c r="SI13" s="159">
        <f>IF(COUNT(SI14,SI15)=0,"",SUM(SI14:SI15)/COUNT(SI14,SI15))</f>
        <v>3</v>
      </c>
      <c r="SJ13" s="183" t="str">
        <f t="shared" si="116"/>
        <v>B</v>
      </c>
      <c r="SK13" s="184">
        <f>IF(COUNT(SK14:SK15)=0,"",SUM(SK14:SK15)/COUNT(SK14:SK15))</f>
        <v>3</v>
      </c>
      <c r="SL13" s="185" t="str">
        <f t="shared" si="117"/>
        <v>B</v>
      </c>
      <c r="SM13" s="121"/>
      <c r="SN13" s="65"/>
      <c r="SO13" s="85"/>
      <c r="SP13" s="86" t="str">
        <f>IF(COUNT(SP14:SP15)=0,"",SUM(SP14:SP15)/COUNT(SP14:SP15))</f>
        <v/>
      </c>
      <c r="SQ13" s="87" t="str">
        <f t="shared" si="118"/>
        <v/>
      </c>
      <c r="SR13" s="84"/>
      <c r="SS13" s="65"/>
      <c r="ST13" s="85"/>
      <c r="SU13" s="86" t="str">
        <f>IF(COUNT(SU14,SU15)=0,"",SUM(SU14:SU15)/COUNT(SU14,SU15))</f>
        <v/>
      </c>
      <c r="SV13" s="88" t="str">
        <f t="shared" si="119"/>
        <v/>
      </c>
      <c r="SW13" s="89"/>
      <c r="SX13" s="90"/>
      <c r="SY13" s="91"/>
      <c r="SZ13" s="86" t="str">
        <f>IF(COUNT(SZ14,SZ15)=0,"",SUM(SZ14:SZ15)/COUNT(SZ14,SZ15))</f>
        <v/>
      </c>
      <c r="TA13" s="92" t="str">
        <f t="shared" si="120"/>
        <v/>
      </c>
      <c r="TB13" s="93" t="str">
        <f>IF(COUNT(TB14:TB15)=0,"",SUM(TB14:TB15)/COUNT(TB14:TB15))</f>
        <v/>
      </c>
      <c r="TC13" s="94" t="str">
        <f t="shared" si="121"/>
        <v/>
      </c>
      <c r="TD13" s="121"/>
      <c r="TE13" s="65"/>
      <c r="TF13" s="85"/>
      <c r="TG13" s="86" t="str">
        <f>IF(COUNT(TG14:TG15)=0,"",SUM(TG14:TG15)/COUNT(TG14:TG15))</f>
        <v/>
      </c>
      <c r="TH13" s="87" t="str">
        <f t="shared" si="122"/>
        <v/>
      </c>
      <c r="TI13" s="84"/>
      <c r="TJ13" s="65"/>
      <c r="TK13" s="85"/>
      <c r="TL13" s="86" t="str">
        <f>IF(COUNT(TL14,TL15)=0,"",SUM(TL14:TL15)/COUNT(TL14,TL15))</f>
        <v/>
      </c>
      <c r="TM13" s="88" t="str">
        <f t="shared" si="123"/>
        <v/>
      </c>
      <c r="TN13" s="89"/>
      <c r="TO13" s="90"/>
      <c r="TP13" s="91"/>
      <c r="TQ13" s="86" t="str">
        <f>IF(COUNT(TQ14,TQ15)=0,"",SUM(TQ14:TQ15)/COUNT(TQ14,TQ15))</f>
        <v/>
      </c>
      <c r="TR13" s="92" t="str">
        <f t="shared" si="124"/>
        <v/>
      </c>
      <c r="TS13" s="93" t="str">
        <f>IF(COUNT(TS14:TS15)=0,"",SUM(TS14:TS15)/COUNT(TS14:TS15))</f>
        <v/>
      </c>
      <c r="TT13" s="94" t="str">
        <f t="shared" si="125"/>
        <v/>
      </c>
      <c r="TU13" s="121"/>
      <c r="TV13" s="65"/>
      <c r="TW13" s="85"/>
      <c r="TX13" s="86" t="str">
        <f>IF(COUNT(TX14:TX15)=0,"",SUM(TX14:TX15)/COUNT(TX14:TX15))</f>
        <v/>
      </c>
      <c r="TY13" s="87" t="str">
        <f t="shared" si="126"/>
        <v/>
      </c>
      <c r="TZ13" s="84"/>
      <c r="UA13" s="65"/>
      <c r="UB13" s="85"/>
      <c r="UC13" s="86" t="str">
        <f>IF(COUNT(UC14,UC15)=0,"",SUM(UC14:UC15)/COUNT(UC14,UC15))</f>
        <v/>
      </c>
      <c r="UD13" s="88" t="str">
        <f t="shared" si="127"/>
        <v/>
      </c>
      <c r="UE13" s="89"/>
      <c r="UF13" s="90"/>
      <c r="UG13" s="91"/>
      <c r="UH13" s="86" t="str">
        <f>IF(COUNT(UH14,UH15)=0,"",SUM(UH14:UH15)/COUNT(UH14,UH15))</f>
        <v/>
      </c>
      <c r="UI13" s="92" t="str">
        <f t="shared" si="128"/>
        <v/>
      </c>
      <c r="UJ13" s="93" t="str">
        <f>IF(COUNT(UJ14:UJ15)=0,"",SUM(UJ14:UJ15)/COUNT(UJ14:UJ15))</f>
        <v/>
      </c>
      <c r="UK13" s="94" t="str">
        <f t="shared" si="129"/>
        <v/>
      </c>
      <c r="UL13" s="121"/>
      <c r="UM13" s="65"/>
      <c r="UN13" s="85"/>
      <c r="UO13" s="86" t="str">
        <f>IF(COUNT(UO14:UO15)=0,"",SUM(UO14:UO15)/COUNT(UO14:UO15))</f>
        <v/>
      </c>
      <c r="UP13" s="87" t="str">
        <f t="shared" si="130"/>
        <v/>
      </c>
      <c r="UQ13" s="84"/>
      <c r="UR13" s="65"/>
      <c r="US13" s="85"/>
      <c r="UT13" s="86" t="str">
        <f>IF(COUNT(UT14,UT15)=0,"",SUM(UT14:UT15)/COUNT(UT14,UT15))</f>
        <v/>
      </c>
      <c r="UU13" s="88" t="str">
        <f t="shared" si="131"/>
        <v/>
      </c>
      <c r="UV13" s="89"/>
      <c r="UW13" s="90"/>
      <c r="UX13" s="91"/>
      <c r="UY13" s="86" t="str">
        <f>IF(COUNT(UY14,UY15)=0,"",SUM(UY14:UY15)/COUNT(UY14,UY15))</f>
        <v/>
      </c>
      <c r="UZ13" s="92" t="str">
        <f t="shared" si="132"/>
        <v/>
      </c>
      <c r="VA13" s="93" t="str">
        <f>IF(COUNT(VA14:VA15)=0,"",SUM(VA14:VA15)/COUNT(VA14:VA15))</f>
        <v/>
      </c>
      <c r="VB13" s="94" t="str">
        <f t="shared" si="133"/>
        <v/>
      </c>
      <c r="VC13" s="121"/>
      <c r="VD13" s="65"/>
      <c r="VE13" s="85"/>
      <c r="VF13" s="86" t="str">
        <f>IF(COUNT(VF14:VF15)=0,"",SUM(VF14:VF15)/COUNT(VF14:VF15))</f>
        <v/>
      </c>
      <c r="VG13" s="87" t="str">
        <f t="shared" si="134"/>
        <v/>
      </c>
      <c r="VH13" s="84"/>
      <c r="VI13" s="65"/>
      <c r="VJ13" s="85"/>
      <c r="VK13" s="86" t="str">
        <f>IF(COUNT(VK14,VK15)=0,"",SUM(VK14:VK15)/COUNT(VK14,VK15))</f>
        <v/>
      </c>
      <c r="VL13" s="88" t="str">
        <f t="shared" si="135"/>
        <v/>
      </c>
      <c r="VM13" s="89"/>
      <c r="VN13" s="90"/>
      <c r="VO13" s="91"/>
      <c r="VP13" s="86" t="str">
        <f>IF(COUNT(VP14,VP15)=0,"",SUM(VP14:VP15)/COUNT(VP14,VP15))</f>
        <v/>
      </c>
      <c r="VQ13" s="92" t="str">
        <f t="shared" si="136"/>
        <v/>
      </c>
      <c r="VR13" s="93" t="str">
        <f>IF(COUNT(VR14:VR15)=0,"",SUM(VR14:VR15)/COUNT(VR14:VR15))</f>
        <v/>
      </c>
      <c r="VS13" s="94" t="str">
        <f t="shared" si="137"/>
        <v/>
      </c>
      <c r="VT13" s="121"/>
      <c r="VU13" s="65"/>
      <c r="VV13" s="85"/>
      <c r="VW13" s="86" t="str">
        <f>IF(COUNT(VW14:VW15)=0,"",SUM(VW14:VW15)/COUNT(VW14:VW15))</f>
        <v/>
      </c>
      <c r="VX13" s="87" t="str">
        <f t="shared" si="138"/>
        <v/>
      </c>
      <c r="VY13" s="84"/>
      <c r="VZ13" s="65"/>
      <c r="WA13" s="85"/>
      <c r="WB13" s="86" t="str">
        <f>IF(COUNT(WB14,WB15)=0,"",SUM(WB14:WB15)/COUNT(WB14,WB15))</f>
        <v/>
      </c>
      <c r="WC13" s="88" t="str">
        <f t="shared" si="139"/>
        <v/>
      </c>
      <c r="WD13" s="89"/>
      <c r="WE13" s="90"/>
      <c r="WF13" s="91"/>
      <c r="WG13" s="86" t="str">
        <f>IF(COUNT(WG14,WG15)=0,"",SUM(WG14:WG15)/COUNT(WG14,WG15))</f>
        <v/>
      </c>
      <c r="WH13" s="92" t="str">
        <f t="shared" si="140"/>
        <v/>
      </c>
      <c r="WI13" s="93" t="str">
        <f>IF(COUNT(WI14:WI15)=0,"",SUM(WI14:WI15)/COUNT(WI14:WI15))</f>
        <v/>
      </c>
      <c r="WJ13" s="94" t="str">
        <f t="shared" si="141"/>
        <v/>
      </c>
    </row>
    <row r="14" spans="1:608" ht="18" customHeight="1" x14ac:dyDescent="0.55000000000000004">
      <c r="A14" s="217" t="s">
        <v>19</v>
      </c>
      <c r="B14" s="218"/>
      <c r="C14" s="103"/>
      <c r="D14" s="104"/>
      <c r="E14" s="105"/>
      <c r="F14" s="161" t="str">
        <f>IFERROR((((COUNTIF('Elève (3ème4)'!C14:E14,"A"))*4)+((COUNTIF('Elève (3ème4)'!C14:E14,"B"))*3)+((COUNTIF('Elève (3ème4)'!C14:E14,"C"))*2)+((COUNTIF('Elève (3ème4)'!C14:E14,"D"))*1))/(COUNTA(C14:E14)),"")</f>
        <v/>
      </c>
      <c r="G14" s="162" t="str">
        <f t="shared" si="22"/>
        <v/>
      </c>
      <c r="H14" s="103"/>
      <c r="I14" s="104"/>
      <c r="J14" s="105"/>
      <c r="K14" s="105"/>
      <c r="L14" s="161" t="str">
        <f>IFERROR((((COUNTIF('Elève (3ème4)'!H14:K14,"A"))*4)+((COUNTIF('Elève (3ème4)'!H14:K14,"B"))*3)+((COUNTIF('Elève (3ème4)'!H14:K14,"C"))*2)+((COUNTIF('Elève (3ème4)'!H14:K14,"D"))*1))/(COUNTA(H14:K14)),"")</f>
        <v/>
      </c>
      <c r="M14" s="162" t="str">
        <f t="shared" si="23"/>
        <v/>
      </c>
      <c r="N14" s="103"/>
      <c r="O14" s="104"/>
      <c r="P14" s="105"/>
      <c r="Q14" s="105"/>
      <c r="R14" s="105"/>
      <c r="S14" s="105"/>
      <c r="T14" s="161" t="str">
        <f>IFERROR((((COUNTIF('Elève (3ème4)'!N14:S14,"A"))*4)+((COUNTIF('Elève (3ème4)'!N14:S14,"B"))*3)+((COUNTIF('Elève (3ème4)'!N14:S14,"C"))*2)+((COUNTIF('Elève (3ème4)'!N14:S14,"D"))*1))/(COUNTA(N14:S14)),"")</f>
        <v/>
      </c>
      <c r="U14" s="162" t="str">
        <f t="shared" si="24"/>
        <v/>
      </c>
      <c r="V14" s="161" t="str">
        <f>IF(COUNT(F14,L14,T14)=0,"",SUM(F14,L14,T14)/COUNT(F14,L14,T14))</f>
        <v/>
      </c>
      <c r="W14" s="186" t="str">
        <f t="shared" si="25"/>
        <v/>
      </c>
      <c r="X14" s="103"/>
      <c r="Y14" s="104"/>
      <c r="Z14" s="105"/>
      <c r="AA14" s="161" t="str">
        <f>IFERROR((((COUNTIF('Elève (3ème4)'!X14:Z14,"A"))*4)+((COUNTIF('Elève (3ème4)'!X14:Z14,"B"))*3)+((COUNTIF('Elève (3ème4)'!X14:Z14,"C"))*2)+((COUNTIF('Elève (3ème4)'!X14:Z14,"D"))*1))/(COUNTA(X14:Z14)),"")</f>
        <v/>
      </c>
      <c r="AB14" s="162" t="str">
        <f t="shared" si="26"/>
        <v/>
      </c>
      <c r="AC14" s="103"/>
      <c r="AD14" s="104"/>
      <c r="AE14" s="105"/>
      <c r="AF14" s="105"/>
      <c r="AG14" s="161" t="str">
        <f>IFERROR((((COUNTIF('Elève (3ème4)'!AC14:AF14,"A"))*4)+((COUNTIF('Elève (3ème4)'!AC14:AF14,"B"))*3)+((COUNTIF('Elève (3ème4)'!AC14:AF14,"C"))*2)+((COUNTIF('Elève (3ème4)'!AC14:AF14,"D"))*1))/(COUNTA(AC14:AF14)),"")</f>
        <v/>
      </c>
      <c r="AH14" s="162" t="str">
        <f t="shared" si="27"/>
        <v/>
      </c>
      <c r="AI14" s="103"/>
      <c r="AJ14" s="104"/>
      <c r="AK14" s="105"/>
      <c r="AL14" s="105"/>
      <c r="AM14" s="105"/>
      <c r="AN14" s="109"/>
      <c r="AO14" s="161" t="str">
        <f>IFERROR((((COUNTIF('Elève (3ème4)'!AI14:AN14,"A"))*4)+((COUNTIF('Elève (3ème4)'!AI14:AN14,"B"))*3)+((COUNTIF('Elève (3ème4)'!AI14:AN14,"C"))*2)+((COUNTIF('Elève (3ème4)'!AI14:AN14,"D"))*1))/(COUNTA(AI14:AN14)),"")</f>
        <v/>
      </c>
      <c r="AP14" s="162" t="str">
        <f t="shared" si="28"/>
        <v/>
      </c>
      <c r="AQ14" s="161" t="str">
        <f>IF(COUNT(AA14,AG14,AO14)=0,"",SUM(AA14,AG14,AO14)/COUNT(AA14,AG14,AO14))</f>
        <v/>
      </c>
      <c r="AR14" s="186" t="str">
        <f t="shared" si="29"/>
        <v/>
      </c>
      <c r="AS14" s="103"/>
      <c r="AT14" s="104"/>
      <c r="AU14" s="105"/>
      <c r="AV14" s="161" t="str">
        <f>IFERROR((((COUNTIF('Elève (3ème4)'!AS14:AU14,"A"))*4)+((COUNTIF('Elève (3ème4)'!AS14:AU14,"B"))*3)+((COUNTIF('Elève (3ème4)'!AS14:AU14,"C"))*2)+((COUNTIF('Elève (3ème4)'!AS14:AU14,"D"))*1))/(COUNTA(AS14:AU14)),"")</f>
        <v/>
      </c>
      <c r="AW14" s="162" t="str">
        <f t="shared" si="30"/>
        <v/>
      </c>
      <c r="AX14" s="103"/>
      <c r="AY14" s="104"/>
      <c r="AZ14" s="105"/>
      <c r="BA14" s="105"/>
      <c r="BB14" s="161" t="str">
        <f>IFERROR((((COUNTIF('Elève (3ème4)'!AX14:BA14,"A"))*4)+((COUNTIF('Elève (3ème4)'!AX14:BA14,"B"))*3)+((COUNTIF('Elève (3ème4)'!AX14:BA14,"C"))*2)+((COUNTIF('Elève (3ème4)'!AX14:BA14,"D"))*1))/(COUNTA(AX14:BA14)),"")</f>
        <v/>
      </c>
      <c r="BC14" s="162" t="str">
        <f t="shared" si="31"/>
        <v/>
      </c>
      <c r="BD14" s="103"/>
      <c r="BE14" s="104"/>
      <c r="BF14" s="105"/>
      <c r="BG14" s="105"/>
      <c r="BH14" s="105"/>
      <c r="BI14" s="109"/>
      <c r="BJ14" s="161" t="str">
        <f>IFERROR((((COUNTIF('Elève (3ème4)'!BD14:BI14,"A"))*4)+((COUNTIF('Elève (3ème4)'!BD14:BI14,"B"))*3)+((COUNTIF('Elève (3ème4)'!BD14:BI14,"C"))*2)+((COUNTIF('Elève (3ème4)'!BD14:BI14,"D"))*1))/(COUNTA(BD14:BI14)),"")</f>
        <v/>
      </c>
      <c r="BK14" s="162" t="str">
        <f t="shared" si="32"/>
        <v/>
      </c>
      <c r="BL14" s="161" t="str">
        <f>IF(COUNT(AV14,BB14,BJ14)=0,"",SUM(AV14,BB14,BJ14)/COUNT(AV14,BB14,BJ14))</f>
        <v/>
      </c>
      <c r="BM14" s="186" t="str">
        <f t="shared" si="33"/>
        <v/>
      </c>
      <c r="BN14" s="103"/>
      <c r="BO14" s="104"/>
      <c r="BP14" s="105"/>
      <c r="BQ14" s="161" t="str">
        <f>IFERROR((((COUNTIF('Elève (3ème4)'!BN14:BP14,"A"))*4)+((COUNTIF('Elève (3ème4)'!BN14:BP14,"B"))*3)+((COUNTIF('Elève (3ème4)'!BN14:BP14,"C"))*2)+((COUNTIF('Elève (3ème4)'!BN14:BP14,"D"))*1))/(COUNTA(BN14:BP14)),"")</f>
        <v/>
      </c>
      <c r="BR14" s="162" t="str">
        <f t="shared" si="34"/>
        <v/>
      </c>
      <c r="BS14" s="103"/>
      <c r="BT14" s="104"/>
      <c r="BU14" s="105"/>
      <c r="BV14" s="105"/>
      <c r="BW14" s="161" t="str">
        <f>IFERROR((((COUNTIF('Elève (3ème4)'!BS14:BV14,"A"))*4)+((COUNTIF('Elève (3ème4)'!BS14:BV14,"B"))*3)+((COUNTIF('Elève (3ème4)'!BS14:BV14,"C"))*2)+((COUNTIF('Elève (3ème4)'!BS14:BV14,"D"))*1))/(COUNTA(BS14:BV14)),"")</f>
        <v/>
      </c>
      <c r="BX14" s="162" t="str">
        <f t="shared" si="35"/>
        <v/>
      </c>
      <c r="BY14" s="103"/>
      <c r="BZ14" s="104"/>
      <c r="CA14" s="105"/>
      <c r="CB14" s="105"/>
      <c r="CC14" s="105"/>
      <c r="CD14" s="109"/>
      <c r="CE14" s="161" t="str">
        <f>IFERROR((((COUNTIF('Elève (3ème4)'!BY14:CD14,"A"))*4)+((COUNTIF('Elève (3ème4)'!BY14:CD14,"B"))*3)+((COUNTIF('Elève (3ème4)'!BY14:CD14,"C"))*2)+((COUNTIF('Elève (3ème4)'!BY14:CD14,"D"))*1))/(COUNTA(BY14:CD14)),"")</f>
        <v/>
      </c>
      <c r="CF14" s="162" t="str">
        <f t="shared" si="36"/>
        <v/>
      </c>
      <c r="CG14" s="161" t="str">
        <f>IF(COUNT(BQ14,BW14,CE14)=0,"",SUM(BQ14,BW14,CE14)/COUNT(BQ14,BW14,CE14))</f>
        <v/>
      </c>
      <c r="CH14" s="186" t="str">
        <f t="shared" si="37"/>
        <v/>
      </c>
      <c r="CI14" s="103"/>
      <c r="CJ14" s="104"/>
      <c r="CK14" s="105"/>
      <c r="CL14" s="161" t="str">
        <f>IFERROR((((COUNTIF('Elève (3ème4)'!CI14:CK14,"A"))*4)+((COUNTIF('Elève (3ème4)'!CI14:CK14,"B"))*3)+((COUNTIF('Elève (3ème4)'!CI14:CK14,"C"))*2)+((COUNTIF('Elève (3ème4)'!CI14:CK14,"D"))*1))/(COUNTA(CI14:CK14)),"")</f>
        <v/>
      </c>
      <c r="CM14" s="162" t="str">
        <f t="shared" si="38"/>
        <v/>
      </c>
      <c r="CN14" s="103"/>
      <c r="CO14" s="104"/>
      <c r="CP14" s="105"/>
      <c r="CQ14" s="105"/>
      <c r="CR14" s="161" t="str">
        <f>IFERROR((((COUNTIF('Elève (3ème4)'!CN14:CQ14,"A"))*4)+((COUNTIF('Elève (3ème4)'!CN14:CQ14,"B"))*3)+((COUNTIF('Elève (3ème4)'!CN14:CQ14,"C"))*2)+((COUNTIF('Elève (3ème4)'!CN14:CQ14,"D"))*1))/(COUNTA(CN14:CQ14)),"")</f>
        <v/>
      </c>
      <c r="CS14" s="162" t="str">
        <f t="shared" si="39"/>
        <v/>
      </c>
      <c r="CT14" s="103"/>
      <c r="CU14" s="104"/>
      <c r="CV14" s="105"/>
      <c r="CW14" s="105"/>
      <c r="CX14" s="105"/>
      <c r="CY14" s="109"/>
      <c r="CZ14" s="161" t="str">
        <f>IFERROR((((COUNTIF('Elève (3ème4)'!CT14:CY14,"A"))*4)+((COUNTIF('Elève (3ème4)'!CT14:CY14,"B"))*3)+((COUNTIF('Elève (3ème4)'!CT14:CY14,"C"))*2)+((COUNTIF('Elève (3ème4)'!CT14:CY14,"D"))*1))/(COUNTA(CT14:CY14)),"")</f>
        <v/>
      </c>
      <c r="DA14" s="162" t="str">
        <f t="shared" si="40"/>
        <v/>
      </c>
      <c r="DB14" s="161" t="str">
        <f>IF(COUNT(CL14,CR14,CZ14)=0,"",SUM(CL14,CR14,CZ14)/COUNT(CL14,CR14,CZ14))</f>
        <v/>
      </c>
      <c r="DC14" s="186" t="str">
        <f t="shared" si="41"/>
        <v/>
      </c>
      <c r="DD14" s="103"/>
      <c r="DE14" s="104"/>
      <c r="DF14" s="105"/>
      <c r="DG14" s="161" t="str">
        <f>IFERROR((((COUNTIF('Elève (3ème4)'!DD14:DF14,"A"))*4)+((COUNTIF('Elève (3ème4)'!DD14:DF14,"B"))*3)+((COUNTIF('Elève (3ème4)'!DD14:DF14,"C"))*2)+((COUNTIF('Elève (3ème4)'!DD14:DF14,"D"))*1))/(COUNTA(DD14:DF14)),"")</f>
        <v/>
      </c>
      <c r="DH14" s="162" t="str">
        <f t="shared" si="42"/>
        <v/>
      </c>
      <c r="DI14" s="103"/>
      <c r="DJ14" s="104"/>
      <c r="DK14" s="105"/>
      <c r="DL14" s="105"/>
      <c r="DM14" s="161" t="str">
        <f>IFERROR((((COUNTIF('Elève (3ème4)'!DI14:DL14,"A"))*4)+((COUNTIF('Elève (3ème4)'!DI14:DL14,"B"))*3)+((COUNTIF('Elève (3ème4)'!DI14:DL14,"C"))*2)+((COUNTIF('Elève (3ème4)'!DI14:DL14,"D"))*1))/(COUNTA(DI14:DL14)),"")</f>
        <v/>
      </c>
      <c r="DN14" s="162" t="str">
        <f t="shared" si="43"/>
        <v/>
      </c>
      <c r="DO14" s="103"/>
      <c r="DP14" s="104"/>
      <c r="DQ14" s="105"/>
      <c r="DR14" s="105"/>
      <c r="DS14" s="105"/>
      <c r="DT14" s="109"/>
      <c r="DU14" s="161" t="str">
        <f>IFERROR((((COUNTIF('Elève (3ème4)'!DO14:DT14,"A"))*4)+((COUNTIF('Elève (3ème4)'!DO14:DT14,"B"))*3)+((COUNTIF('Elève (3ème4)'!DO14:DT14,"C"))*2)+((COUNTIF('Elève (3ème4)'!DO14:DT14,"D"))*1))/(COUNTA(DO14:DT14)),"")</f>
        <v/>
      </c>
      <c r="DV14" s="162" t="str">
        <f t="shared" si="44"/>
        <v/>
      </c>
      <c r="DW14" s="161" t="str">
        <f>IF(COUNT(DG14,DM14,DU14)=0,"",SUM(DG14,DM14,DU14)/COUNT(DG14,DM14,DU14))</f>
        <v/>
      </c>
      <c r="DX14" s="186" t="str">
        <f t="shared" si="45"/>
        <v/>
      </c>
      <c r="DY14" s="103"/>
      <c r="DZ14" s="104"/>
      <c r="EA14" s="105"/>
      <c r="EB14" s="161" t="str">
        <f>IFERROR((((COUNTIF('Elève (3ème4)'!DY14:EA14,"A"))*4)+((COUNTIF('Elève (3ème4)'!DY14:EA14,"B"))*3)+((COUNTIF('Elève (3ème4)'!DY14:EA14,"C"))*2)+((COUNTIF('Elève (3ème4)'!DY14:EA14,"D"))*1))/(COUNTA(DY14:EA14)),"")</f>
        <v/>
      </c>
      <c r="EC14" s="162" t="str">
        <f t="shared" si="46"/>
        <v/>
      </c>
      <c r="ED14" s="103"/>
      <c r="EE14" s="104"/>
      <c r="EF14" s="105"/>
      <c r="EG14" s="105"/>
      <c r="EH14" s="161" t="str">
        <f>IFERROR((((COUNTIF('Elève (3ème4)'!ED14:EG14,"A"))*4)+((COUNTIF('Elève (3ème4)'!ED14:EG14,"B"))*3)+((COUNTIF('Elève (3ème4)'!ED14:EG14,"C"))*2)+((COUNTIF('Elève (3ème4)'!ED14:EG14,"D"))*1))/(COUNTA(ED14:EG14)),"")</f>
        <v/>
      </c>
      <c r="EI14" s="162" t="str">
        <f t="shared" si="47"/>
        <v/>
      </c>
      <c r="EJ14" s="103"/>
      <c r="EK14" s="104"/>
      <c r="EL14" s="105"/>
      <c r="EM14" s="105"/>
      <c r="EN14" s="105"/>
      <c r="EO14" s="109"/>
      <c r="EP14" s="161" t="str">
        <f>IFERROR((((COUNTIF('Elève (3ème4)'!EJ14:EO14,"A"))*4)+((COUNTIF('Elève (3ème4)'!EJ14:EO14,"B"))*3)+((COUNTIF('Elève (3ème4)'!EJ14:EO14,"C"))*2)+((COUNTIF('Elève (3ème4)'!EJ14:EO14,"D"))*1))/(COUNTA(EJ14:EO14)),"")</f>
        <v/>
      </c>
      <c r="EQ14" s="162" t="str">
        <f t="shared" si="48"/>
        <v/>
      </c>
      <c r="ER14" s="161" t="str">
        <f>IF(COUNT(EB14,EH14,EP14)=0,"",SUM(EB14,EH14,EP14)/COUNT(EB14,EH14,EP14))</f>
        <v/>
      </c>
      <c r="ES14" s="186" t="str">
        <f t="shared" si="49"/>
        <v/>
      </c>
      <c r="ET14" s="103"/>
      <c r="EU14" s="104"/>
      <c r="EV14" s="105"/>
      <c r="EW14" s="161" t="str">
        <f>IFERROR((((COUNTIF('Elève (3ème4)'!ET14:EV14,"A"))*4)+((COUNTIF('Elève (3ème4)'!ET14:EV14,"B"))*3)+((COUNTIF('Elève (3ème4)'!ET14:EV14,"C"))*2)+((COUNTIF('Elève (3ème4)'!ET14:EV14,"D"))*1))/(COUNTA(ET14:EV14)),"")</f>
        <v/>
      </c>
      <c r="EX14" s="162" t="str">
        <f t="shared" si="50"/>
        <v/>
      </c>
      <c r="EY14" s="103"/>
      <c r="EZ14" s="104"/>
      <c r="FA14" s="105"/>
      <c r="FB14" s="105"/>
      <c r="FC14" s="161" t="str">
        <f>IFERROR((((COUNTIF('Elève (3ème4)'!EY14:FB14,"A"))*4)+((COUNTIF('Elève (3ème4)'!EY14:FB14,"B"))*3)+((COUNTIF('Elève (3ème4)'!EY14:FB14,"C"))*2)+((COUNTIF('Elève (3ème4)'!EY14:FB14,"D"))*1))/(COUNTA(EY14:FB14)),"")</f>
        <v/>
      </c>
      <c r="FD14" s="162" t="str">
        <f t="shared" si="51"/>
        <v/>
      </c>
      <c r="FE14" s="103"/>
      <c r="FF14" s="104"/>
      <c r="FG14" s="105"/>
      <c r="FH14" s="105"/>
      <c r="FI14" s="105"/>
      <c r="FJ14" s="109"/>
      <c r="FK14" s="161" t="str">
        <f>IFERROR((((COUNTIF('Elève (3ème4)'!FE14:FJ14,"A"))*4)+((COUNTIF('Elève (3ème4)'!FE14:FJ14,"B"))*3)+((COUNTIF('Elève (3ème4)'!FE14:FJ14,"C"))*2)+((COUNTIF('Elève (3ème4)'!FE14:FJ14,"D"))*1))/(COUNTA(FE14:FJ14)),"")</f>
        <v/>
      </c>
      <c r="FL14" s="162" t="str">
        <f t="shared" si="52"/>
        <v/>
      </c>
      <c r="FM14" s="161" t="str">
        <f>IF(COUNT(EW14,FC14,FK14)=0,"",SUM(EW14,FC14,FK14)/COUNT(EW14,FC14,FK14))</f>
        <v/>
      </c>
      <c r="FN14" s="186" t="str">
        <f t="shared" si="53"/>
        <v/>
      </c>
      <c r="FO14" s="103"/>
      <c r="FP14" s="104"/>
      <c r="FQ14" s="105"/>
      <c r="FR14" s="161" t="str">
        <f>IFERROR((((COUNTIF('Elève (3ème4)'!FO14:FQ14,"A"))*4)+((COUNTIF('Elève (3ème4)'!FO14:FQ14,"B"))*3)+((COUNTIF('Elève (3ème4)'!FO14:FQ14,"C"))*2)+((COUNTIF('Elève (3ème4)'!FO14:FQ14,"D"))*1))/(COUNTA(FO14:FQ14)),"")</f>
        <v/>
      </c>
      <c r="FS14" s="162" t="str">
        <f t="shared" si="54"/>
        <v/>
      </c>
      <c r="FT14" s="103"/>
      <c r="FU14" s="104"/>
      <c r="FV14" s="105"/>
      <c r="FW14" s="105"/>
      <c r="FX14" s="161" t="str">
        <f>IFERROR((((COUNTIF('Elève (3ème4)'!FT14:FW14,"A"))*4)+((COUNTIF('Elève (3ème4)'!FT14:FW14,"B"))*3)+((COUNTIF('Elève (3ème4)'!FT14:FW14,"C"))*2)+((COUNTIF('Elève (3ème4)'!FT14:FW14,"D"))*1))/(COUNTA(FT14:FW14)),"")</f>
        <v/>
      </c>
      <c r="FY14" s="162" t="str">
        <f t="shared" si="55"/>
        <v/>
      </c>
      <c r="FZ14" s="103"/>
      <c r="GA14" s="104"/>
      <c r="GB14" s="105"/>
      <c r="GC14" s="105"/>
      <c r="GD14" s="105"/>
      <c r="GE14" s="109"/>
      <c r="GF14" s="161" t="str">
        <f>IFERROR((((COUNTIF('Elève (3ème4)'!FZ14:GE14,"A"))*4)+((COUNTIF('Elève (3ème4)'!FZ14:GE14,"B"))*3)+((COUNTIF('Elève (3ème4)'!FZ14:GE14,"C"))*2)+((COUNTIF('Elève (3ème4)'!FZ14:GE14,"D"))*1))/(COUNTA(FZ14:GE14)),"")</f>
        <v/>
      </c>
      <c r="GG14" s="162" t="str">
        <f t="shared" si="56"/>
        <v/>
      </c>
      <c r="GH14" s="161" t="str">
        <f>IF(COUNT(FR14,FX14,GF14)=0,"",SUM(FR14,FX14,GF14)/COUNT(FR14,FX14,GF14))</f>
        <v/>
      </c>
      <c r="GI14" s="186" t="str">
        <f t="shared" si="57"/>
        <v/>
      </c>
      <c r="GJ14" s="103"/>
      <c r="GK14" s="104"/>
      <c r="GL14" s="105"/>
      <c r="GM14" s="161" t="str">
        <f>IFERROR((((COUNTIF('Elève (3ème4)'!GJ14:GL14,"A"))*4)+((COUNTIF('Elève (3ème4)'!GJ14:GL14,"B"))*3)+((COUNTIF('Elève (3ème4)'!GJ14:GL14,"C"))*2)+((COUNTIF('Elève (3ème4)'!GJ14:GL14,"D"))*1))/(COUNTA(GJ14:GL14)),"")</f>
        <v/>
      </c>
      <c r="GN14" s="162" t="str">
        <f t="shared" si="58"/>
        <v/>
      </c>
      <c r="GO14" s="103"/>
      <c r="GP14" s="104"/>
      <c r="GQ14" s="105"/>
      <c r="GR14" s="105"/>
      <c r="GS14" s="161" t="str">
        <f>IFERROR((((COUNTIF('Elève (3ème4)'!GO14:GR14,"A"))*4)+((COUNTIF('Elève (3ème4)'!GO14:GR14,"B"))*3)+((COUNTIF('Elève (3ème4)'!GO14:GR14,"C"))*2)+((COUNTIF('Elève (3ème4)'!GO14:GR14,"D"))*1))/(COUNTA(GO14:GR14)),"")</f>
        <v/>
      </c>
      <c r="GT14" s="162" t="str">
        <f t="shared" si="59"/>
        <v/>
      </c>
      <c r="GU14" s="103"/>
      <c r="GV14" s="104"/>
      <c r="GW14" s="105"/>
      <c r="GX14" s="105"/>
      <c r="GY14" s="105"/>
      <c r="GZ14" s="109"/>
      <c r="HA14" s="161" t="str">
        <f>IFERROR((((COUNTIF('Elève (3ème4)'!GU14:GZ14,"A"))*4)+((COUNTIF('Elève (3ème4)'!GU14:GZ14,"B"))*3)+((COUNTIF('Elève (3ème4)'!GU14:GZ14,"C"))*2)+((COUNTIF('Elève (3ème4)'!GU14:GZ14,"D"))*1))/(COUNTA(GU14:GZ14)),"")</f>
        <v/>
      </c>
      <c r="HB14" s="162" t="str">
        <f t="shared" si="60"/>
        <v/>
      </c>
      <c r="HC14" s="161" t="str">
        <f>IF(COUNT(GM14,GS14,HA14)=0,"",SUM(GM14,GS14,HA14)/COUNT(GM14,GS14,HA14))</f>
        <v/>
      </c>
      <c r="HD14" s="186" t="str">
        <f t="shared" si="61"/>
        <v/>
      </c>
      <c r="HE14" s="103"/>
      <c r="HF14" s="104"/>
      <c r="HG14" s="105"/>
      <c r="HH14" s="161" t="str">
        <f>IFERROR((((COUNTIF('Elève (3ème4)'!HE14:HG14,"A"))*4)+((COUNTIF('Elève (3ème4)'!HE14:HG14,"B"))*3)+((COUNTIF('Elève (3ème4)'!HE14:HG14,"C"))*2)+((COUNTIF('Elève (3ème4)'!HE14:HG14,"D"))*1))/(COUNTA(HE14:HG14)),"")</f>
        <v/>
      </c>
      <c r="HI14" s="162" t="str">
        <f t="shared" si="62"/>
        <v/>
      </c>
      <c r="HJ14" s="103"/>
      <c r="HK14" s="104"/>
      <c r="HL14" s="105"/>
      <c r="HM14" s="105"/>
      <c r="HN14" s="161" t="str">
        <f>IFERROR((((COUNTIF('Elève (3ème4)'!HJ14:HM14,"A"))*4)+((COUNTIF('Elève (3ème4)'!HJ14:HM14,"B"))*3)+((COUNTIF('Elève (3ème4)'!HJ14:HM14,"C"))*2)+((COUNTIF('Elève (3ème4)'!HJ14:HM14,"D"))*1))/(COUNTA(HJ14:HM14)),"")</f>
        <v/>
      </c>
      <c r="HO14" s="162" t="str">
        <f t="shared" si="63"/>
        <v/>
      </c>
      <c r="HP14" s="103"/>
      <c r="HQ14" s="104"/>
      <c r="HR14" s="105"/>
      <c r="HS14" s="105"/>
      <c r="HT14" s="105"/>
      <c r="HU14" s="109"/>
      <c r="HV14" s="161" t="str">
        <f>IFERROR((((COUNTIF('Elève (3ème4)'!HP14:HU14,"A"))*4)+((COUNTIF('Elève (3ème4)'!HP14:HU14,"B"))*3)+((COUNTIF('Elève (3ème4)'!HP14:HU14,"C"))*2)+((COUNTIF('Elève (3ème4)'!HP14:HU14,"D"))*1))/(COUNTA(HP14:HU14)),"")</f>
        <v/>
      </c>
      <c r="HW14" s="162" t="str">
        <f t="shared" si="64"/>
        <v/>
      </c>
      <c r="HX14" s="161" t="str">
        <f>IF(COUNT(HH14,HN14,HV14)=0,"",SUM(HH14,HN14,HV14)/COUNT(HH14,HN14,HV14))</f>
        <v/>
      </c>
      <c r="HY14" s="186" t="str">
        <f t="shared" si="65"/>
        <v/>
      </c>
      <c r="HZ14" s="103"/>
      <c r="IA14" s="104"/>
      <c r="IB14" s="105"/>
      <c r="IC14" s="161" t="str">
        <f>IFERROR((((COUNTIF('Elève (3ème4)'!HZ14:IB14,"A"))*4)+((COUNTIF('Elève (3ème4)'!HZ14:IB14,"B"))*3)+((COUNTIF('Elève (3ème4)'!HZ14:IB14,"C"))*2)+((COUNTIF('Elève (3ème4)'!HZ14:IB14,"D"))*1))/(COUNTA(HZ14:IB14)),"")</f>
        <v/>
      </c>
      <c r="ID14" s="162" t="str">
        <f t="shared" si="66"/>
        <v/>
      </c>
      <c r="IE14" s="103"/>
      <c r="IF14" s="104"/>
      <c r="IG14" s="105"/>
      <c r="IH14" s="105"/>
      <c r="II14" s="161" t="str">
        <f>IFERROR((((COUNTIF('Elève (3ème4)'!IE14:IH14,"A"))*4)+((COUNTIF('Elève (3ème4)'!IE14:IH14,"B"))*3)+((COUNTIF('Elève (3ème4)'!IE14:IH14,"C"))*2)+((COUNTIF('Elève (3ème4)'!IE14:IH14,"D"))*1))/(COUNTA(IE14:IH14)),"")</f>
        <v/>
      </c>
      <c r="IJ14" s="162" t="str">
        <f t="shared" si="67"/>
        <v/>
      </c>
      <c r="IK14" s="103"/>
      <c r="IL14" s="104"/>
      <c r="IM14" s="105"/>
      <c r="IN14" s="105"/>
      <c r="IO14" s="105"/>
      <c r="IP14" s="109"/>
      <c r="IQ14" s="161" t="str">
        <f>IFERROR((((COUNTIF('Elève (3ème4)'!IK14:IP14,"A"))*4)+((COUNTIF('Elève (3ème4)'!IK14:IP14,"B"))*3)+((COUNTIF('Elève (3ème4)'!IK14:IP14,"C"))*2)+((COUNTIF('Elève (3ème4)'!IK14:IP14,"D"))*1))/(COUNTA(IK14:IP14)),"")</f>
        <v/>
      </c>
      <c r="IR14" s="162" t="str">
        <f t="shared" si="68"/>
        <v/>
      </c>
      <c r="IS14" s="161" t="str">
        <f>IF(COUNT(IC14,II14,IQ14)=0,"",SUM(IC14,II14,IQ14)/COUNT(IC14,II14,IQ14))</f>
        <v/>
      </c>
      <c r="IT14" s="186" t="str">
        <f t="shared" si="69"/>
        <v/>
      </c>
      <c r="IU14" s="103"/>
      <c r="IV14" s="104"/>
      <c r="IW14" s="105"/>
      <c r="IX14" s="161" t="str">
        <f>IFERROR((((COUNTIF('Elève (3ème4)'!IU14:IW14,"A"))*4)+((COUNTIF('Elève (3ème4)'!IU14:IW14,"B"))*3)+((COUNTIF('Elève (3ème4)'!IU14:IW14,"C"))*2)+((COUNTIF('Elève (3ème4)'!IU14:IW14,"D"))*1))/(COUNTA(IU14:IW14)),"")</f>
        <v/>
      </c>
      <c r="IY14" s="162" t="str">
        <f t="shared" si="70"/>
        <v/>
      </c>
      <c r="IZ14" s="103"/>
      <c r="JA14" s="104"/>
      <c r="JB14" s="105"/>
      <c r="JC14" s="105"/>
      <c r="JD14" s="161" t="str">
        <f>IFERROR((((COUNTIF('Elève (3ème4)'!IZ14:JC14,"A"))*4)+((COUNTIF('Elève (3ème4)'!IZ14:JC14,"B"))*3)+((COUNTIF('Elève (3ème4)'!IZ14:JC14,"C"))*2)+((COUNTIF('Elève (3ème4)'!IZ14:JC14,"D"))*1))/(COUNTA(IZ14:JC14)),"")</f>
        <v/>
      </c>
      <c r="JE14" s="162" t="str">
        <f t="shared" si="71"/>
        <v/>
      </c>
      <c r="JF14" s="103"/>
      <c r="JG14" s="104"/>
      <c r="JH14" s="105"/>
      <c r="JI14" s="105"/>
      <c r="JJ14" s="105"/>
      <c r="JK14" s="109"/>
      <c r="JL14" s="161" t="str">
        <f>IFERROR((((COUNTIF('Elève (3ème4)'!JF14:JK14,"A"))*4)+((COUNTIF('Elève (3ème4)'!JF14:JK14,"B"))*3)+((COUNTIF('Elève (3ème4)'!JF14:JK14,"C"))*2)+((COUNTIF('Elève (3ème4)'!JF14:JK14,"D"))*1))/(COUNTA(JF14:JK14)),"")</f>
        <v/>
      </c>
      <c r="JM14" s="162" t="str">
        <f t="shared" si="72"/>
        <v/>
      </c>
      <c r="JN14" s="161" t="str">
        <f>IF(COUNT(IX14,JD14,JL14)=0,"",SUM(IX14,JD14,JL14)/COUNT(IX14,JD14,JL14))</f>
        <v/>
      </c>
      <c r="JO14" s="186" t="str">
        <f t="shared" si="73"/>
        <v/>
      </c>
      <c r="JP14" s="103"/>
      <c r="JQ14" s="104"/>
      <c r="JR14" s="105"/>
      <c r="JS14" s="161" t="str">
        <f>IFERROR((((COUNTIF('Elève (3ème4)'!JP14:JR14,"A"))*4)+((COUNTIF('Elève (3ème4)'!JP14:JR14,"B"))*3)+((COUNTIF('Elève (3ème4)'!JP14:JR14,"C"))*2)+((COUNTIF('Elève (3ème4)'!JP14:JR14,"D"))*1))/(COUNTA(JP14:JR14)),"")</f>
        <v/>
      </c>
      <c r="JT14" s="162" t="str">
        <f t="shared" si="74"/>
        <v/>
      </c>
      <c r="JU14" s="103"/>
      <c r="JV14" s="104"/>
      <c r="JW14" s="105"/>
      <c r="JX14" s="105"/>
      <c r="JY14" s="161" t="str">
        <f>IFERROR((((COUNTIF('Elève (3ème4)'!JU14:JX14,"A"))*4)+((COUNTIF('Elève (3ème4)'!JU14:JX14,"B"))*3)+((COUNTIF('Elève (3ème4)'!JU14:JX14,"C"))*2)+((COUNTIF('Elève (3ème4)'!JU14:JX14,"D"))*1))/(COUNTA(JU14:JX14)),"")</f>
        <v/>
      </c>
      <c r="JZ14" s="162" t="str">
        <f t="shared" si="75"/>
        <v/>
      </c>
      <c r="KA14" s="103"/>
      <c r="KB14" s="104"/>
      <c r="KC14" s="105"/>
      <c r="KD14" s="105"/>
      <c r="KE14" s="105"/>
      <c r="KF14" s="109"/>
      <c r="KG14" s="161" t="str">
        <f>IFERROR((((COUNTIF('Elève (3ème4)'!KA14:KF14,"A"))*4)+((COUNTIF('Elève (3ème4)'!KA14:KF14,"B"))*3)+((COUNTIF('Elève (3ème4)'!KA14:KF14,"C"))*2)+((COUNTIF('Elève (3ème4)'!KA14:KF14,"D"))*1))/(COUNTA(KA14:KF14)),"")</f>
        <v/>
      </c>
      <c r="KH14" s="162" t="str">
        <f t="shared" si="76"/>
        <v/>
      </c>
      <c r="KI14" s="161" t="str">
        <f>IF(COUNT(JS14,JY14,KG14)=0,"",SUM(JS14,JY14,KG14)/COUNT(JS14,JY14,KG14))</f>
        <v/>
      </c>
      <c r="KJ14" s="186" t="str">
        <f t="shared" si="77"/>
        <v/>
      </c>
      <c r="KK14" s="103"/>
      <c r="KL14" s="104"/>
      <c r="KM14" s="105"/>
      <c r="KN14" s="161" t="str">
        <f>IFERROR((((COUNTIF('Elève (3ème4)'!KK14:KM14,"A"))*4)+((COUNTIF('Elève (3ème4)'!KK14:KM14,"B"))*3)+((COUNTIF('Elève (3ème4)'!KK14:KM14,"C"))*2)+((COUNTIF('Elève (3ème4)'!KK14:KM14,"D"))*1))/(COUNTA(KK14:KM14)),"")</f>
        <v/>
      </c>
      <c r="KO14" s="162" t="str">
        <f t="shared" si="78"/>
        <v/>
      </c>
      <c r="KP14" s="103"/>
      <c r="KQ14" s="104"/>
      <c r="KR14" s="105"/>
      <c r="KS14" s="105"/>
      <c r="KT14" s="161" t="str">
        <f>IFERROR((((COUNTIF('Elève (3ème4)'!KP14:KS14,"A"))*4)+((COUNTIF('Elève (3ème4)'!KP14:KS14,"B"))*3)+((COUNTIF('Elève (3ème4)'!KP14:KS14,"C"))*2)+((COUNTIF('Elève (3ème4)'!KP14:KS14,"D"))*1))/(COUNTA(KP14:KS14)),"")</f>
        <v/>
      </c>
      <c r="KU14" s="162" t="str">
        <f t="shared" si="79"/>
        <v/>
      </c>
      <c r="KV14" s="103"/>
      <c r="KW14" s="104"/>
      <c r="KX14" s="105"/>
      <c r="KY14" s="105"/>
      <c r="KZ14" s="105"/>
      <c r="LA14" s="109"/>
      <c r="LB14" s="161" t="str">
        <f>IFERROR((((COUNTIF('Elève (3ème4)'!KV14:LA14,"A"))*4)+((COUNTIF('Elève (3ème4)'!KV14:LA14,"B"))*3)+((COUNTIF('Elève (3ème4)'!KV14:LA14,"C"))*2)+((COUNTIF('Elève (3ème4)'!KV14:LA14,"D"))*1))/(COUNTA(KV14:LA14)),"")</f>
        <v/>
      </c>
      <c r="LC14" s="162" t="str">
        <f t="shared" si="80"/>
        <v/>
      </c>
      <c r="LD14" s="161" t="str">
        <f>IF(COUNT(KN14,KT14,LB14)=0,"",SUM(KN14,KT14,LB14)/COUNT(KN14,KT14,LB14))</f>
        <v/>
      </c>
      <c r="LE14" s="186" t="str">
        <f t="shared" si="81"/>
        <v/>
      </c>
      <c r="LF14" s="103"/>
      <c r="LG14" s="104"/>
      <c r="LH14" s="105"/>
      <c r="LI14" s="161" t="str">
        <f>IFERROR((((COUNTIF('Elève (3ème4)'!LF14:LH14,"A"))*4)+((COUNTIF('Elève (3ème4)'!LF14:LH14,"B"))*3)+((COUNTIF('Elève (3ème4)'!LF14:LH14,"C"))*2)+((COUNTIF('Elève (3ème4)'!LF14:LH14,"D"))*1))/(COUNTA(LF14:LH14)),"")</f>
        <v/>
      </c>
      <c r="LJ14" s="162" t="str">
        <f t="shared" si="82"/>
        <v/>
      </c>
      <c r="LK14" s="103"/>
      <c r="LL14" s="104"/>
      <c r="LM14" s="105"/>
      <c r="LN14" s="105"/>
      <c r="LO14" s="161" t="str">
        <f>IFERROR((((COUNTIF('Elève (3ème4)'!LK14:LN14,"A"))*4)+((COUNTIF('Elève (3ème4)'!LK14:LN14,"B"))*3)+((COUNTIF('Elève (3ème4)'!LK14:LN14,"C"))*2)+((COUNTIF('Elève (3ème4)'!LK14:LN14,"D"))*1))/(COUNTA(LK14:LN14)),"")</f>
        <v/>
      </c>
      <c r="LP14" s="162" t="str">
        <f t="shared" si="83"/>
        <v/>
      </c>
      <c r="LQ14" s="103"/>
      <c r="LR14" s="104"/>
      <c r="LS14" s="105"/>
      <c r="LT14" s="105"/>
      <c r="LU14" s="105"/>
      <c r="LV14" s="109"/>
      <c r="LW14" s="161" t="str">
        <f>IFERROR((((COUNTIF('Elève (3ème4)'!LQ14:LV14,"A"))*4)+((COUNTIF('Elève (3ème4)'!LQ14:LV14,"B"))*3)+((COUNTIF('Elève (3ème4)'!LQ14:LV14,"C"))*2)+((COUNTIF('Elève (3ème4)'!LQ14:LV14,"D"))*1))/(COUNTA(LQ14:LV14)),"")</f>
        <v/>
      </c>
      <c r="LX14" s="162" t="str">
        <f t="shared" si="84"/>
        <v/>
      </c>
      <c r="LY14" s="161" t="str">
        <f>IF(COUNT(LI14,LO14,LW14)=0,"",SUM(LI14,LO14,LW14)/COUNT(LI14,LO14,LW14))</f>
        <v/>
      </c>
      <c r="LZ14" s="186" t="str">
        <f t="shared" si="85"/>
        <v/>
      </c>
      <c r="MA14" s="103"/>
      <c r="MB14" s="104"/>
      <c r="MC14" s="105"/>
      <c r="MD14" s="161" t="str">
        <f>IFERROR((((COUNTIF('Elève (3ème4)'!MA14:MC14,"A"))*4)+((COUNTIF('Elève (3ème4)'!MA14:MC14,"B"))*3)+((COUNTIF('Elève (3ème4)'!MA14:MC14,"C"))*2)+((COUNTIF('Elève (3ème4)'!MA14:MC14,"D"))*1))/(COUNTA(MA14:MC14)),"")</f>
        <v/>
      </c>
      <c r="ME14" s="162" t="str">
        <f t="shared" si="86"/>
        <v/>
      </c>
      <c r="MF14" s="103"/>
      <c r="MG14" s="104"/>
      <c r="MH14" s="105"/>
      <c r="MI14" s="105"/>
      <c r="MJ14" s="161" t="str">
        <f>IFERROR((((COUNTIF('Elève (3ème4)'!MF14:MI14,"A"))*4)+((COUNTIF('Elève (3ème4)'!MF14:MI14,"B"))*3)+((COUNTIF('Elève (3ème4)'!MF14:MI14,"C"))*2)+((COUNTIF('Elève (3ème4)'!MF14:MI14,"D"))*1))/(COUNTA(MF14:MI14)),"")</f>
        <v/>
      </c>
      <c r="MK14" s="162" t="str">
        <f t="shared" si="87"/>
        <v/>
      </c>
      <c r="ML14" s="103"/>
      <c r="MM14" s="104"/>
      <c r="MN14" s="105"/>
      <c r="MO14" s="105"/>
      <c r="MP14" s="105"/>
      <c r="MQ14" s="109"/>
      <c r="MR14" s="161" t="str">
        <f>IFERROR((((COUNTIF('Elève (3ème4)'!ML14:MQ14,"A"))*4)+((COUNTIF('Elève (3ème4)'!ML14:MQ14,"B"))*3)+((COUNTIF('Elève (3ème4)'!ML14:MQ14,"C"))*2)+((COUNTIF('Elève (3ème4)'!ML14:MQ14,"D"))*1))/(COUNTA(ML14:MQ14)),"")</f>
        <v/>
      </c>
      <c r="MS14" s="162" t="str">
        <f t="shared" si="88"/>
        <v/>
      </c>
      <c r="MT14" s="161" t="str">
        <f>IF(COUNT(MD14,MJ14,MR14)=0,"",SUM(MD14,MJ14,MR14)/COUNT(MD14,MJ14,MR14))</f>
        <v/>
      </c>
      <c r="MU14" s="186" t="str">
        <f t="shared" si="89"/>
        <v/>
      </c>
      <c r="MV14" s="103"/>
      <c r="MW14" s="104"/>
      <c r="MX14" s="105"/>
      <c r="MY14" s="161" t="str">
        <f>IFERROR((((COUNTIF('Elève (3ème4)'!MV14:MX14,"A"))*4)+((COUNTIF('Elève (3ème4)'!MV14:MX14,"B"))*3)+((COUNTIF('Elève (3ème4)'!MV14:MX14,"C"))*2)+((COUNTIF('Elève (3ème4)'!MV14:MX14,"D"))*1))/(COUNTA(MV14:MX14)),"")</f>
        <v/>
      </c>
      <c r="MZ14" s="162" t="str">
        <f t="shared" si="90"/>
        <v/>
      </c>
      <c r="NA14" s="103"/>
      <c r="NB14" s="104"/>
      <c r="NC14" s="105"/>
      <c r="ND14" s="105"/>
      <c r="NE14" s="161" t="str">
        <f>IFERROR((((COUNTIF('Elève (3ème4)'!NA14:ND14,"A"))*4)+((COUNTIF('Elève (3ème4)'!NA14:ND14,"B"))*3)+((COUNTIF('Elève (3ème4)'!NA14:ND14,"C"))*2)+((COUNTIF('Elève (3ème4)'!NA14:ND14,"D"))*1))/(COUNTA(NA14:ND14)),"")</f>
        <v/>
      </c>
      <c r="NF14" s="162" t="str">
        <f t="shared" si="91"/>
        <v/>
      </c>
      <c r="NG14" s="103"/>
      <c r="NH14" s="104"/>
      <c r="NI14" s="105"/>
      <c r="NJ14" s="105"/>
      <c r="NK14" s="105"/>
      <c r="NL14" s="109"/>
      <c r="NM14" s="161" t="str">
        <f>IFERROR((((COUNTIF('Elève (3ème4)'!NG14:NL14,"A"))*4)+((COUNTIF('Elève (3ème4)'!NG14:NL14,"B"))*3)+((COUNTIF('Elève (3ème4)'!NG14:NL14,"C"))*2)+((COUNTIF('Elève (3ème4)'!NG14:NL14,"D"))*1))/(COUNTA(NG14:NL14)),"")</f>
        <v/>
      </c>
      <c r="NN14" s="162" t="str">
        <f t="shared" si="92"/>
        <v/>
      </c>
      <c r="NO14" s="161" t="str">
        <f>IF(COUNT(MY14,NE14,NM14)=0,"",SUM(MY14,NE14,NM14)/COUNT(MY14,NE14,NM14))</f>
        <v/>
      </c>
      <c r="NP14" s="186" t="str">
        <f t="shared" si="93"/>
        <v/>
      </c>
      <c r="NQ14" s="103"/>
      <c r="NR14" s="104"/>
      <c r="NS14" s="105"/>
      <c r="NT14" s="161" t="str">
        <f>IFERROR((((COUNTIF('Elève (3ème4)'!NQ14:NS14,"A"))*4)+((COUNTIF('Elève (3ème4)'!NQ14:NS14,"B"))*3)+((COUNTIF('Elève (3ème4)'!NQ14:NS14,"C"))*2)+((COUNTIF('Elève (3ème4)'!NQ14:NS14,"D"))*1))/(COUNTA(NQ14:NS14)),"")</f>
        <v/>
      </c>
      <c r="NU14" s="162" t="str">
        <f t="shared" si="94"/>
        <v/>
      </c>
      <c r="NV14" s="103"/>
      <c r="NW14" s="104"/>
      <c r="NX14" s="105"/>
      <c r="NY14" s="105"/>
      <c r="NZ14" s="161" t="str">
        <f>IFERROR((((COUNTIF('Elève (3ème4)'!NV14:NY14,"A"))*4)+((COUNTIF('Elève (3ème4)'!NV14:NY14,"B"))*3)+((COUNTIF('Elève (3ème4)'!NV14:NY14,"C"))*2)+((COUNTIF('Elève (3ème4)'!NV14:NY14,"D"))*1))/(COUNTA(NV14:NY14)),"")</f>
        <v/>
      </c>
      <c r="OA14" s="162" t="str">
        <f t="shared" si="95"/>
        <v/>
      </c>
      <c r="OB14" s="103"/>
      <c r="OC14" s="104"/>
      <c r="OD14" s="105"/>
      <c r="OE14" s="105"/>
      <c r="OF14" s="105"/>
      <c r="OG14" s="109"/>
      <c r="OH14" s="161" t="str">
        <f>IFERROR((((COUNTIF('Elève (3ème4)'!OB14:OG14,"A"))*4)+((COUNTIF('Elève (3ème4)'!OB14:OG14,"B"))*3)+((COUNTIF('Elève (3ème4)'!OB14:OG14,"C"))*2)+((COUNTIF('Elève (3ème4)'!OB14:OG14,"D"))*1))/(COUNTA(OB14:OG14)),"")</f>
        <v/>
      </c>
      <c r="OI14" s="162" t="str">
        <f t="shared" si="96"/>
        <v/>
      </c>
      <c r="OJ14" s="161" t="str">
        <f>IF(COUNT(NT14,NZ14,OH14)=0,"",SUM(NT14,NZ14,OH14)/COUNT(NT14,NZ14,OH14))</f>
        <v/>
      </c>
      <c r="OK14" s="186" t="str">
        <f t="shared" si="97"/>
        <v/>
      </c>
      <c r="OL14" s="103"/>
      <c r="OM14" s="104"/>
      <c r="ON14" s="105"/>
      <c r="OO14" s="161" t="str">
        <f>IFERROR((((COUNTIF('Elève (3ème4)'!OL14:ON14,"A"))*4)+((COUNTIF('Elève (3ème4)'!OL14:ON14,"B"))*3)+((COUNTIF('Elève (3ème4)'!OL14:ON14,"C"))*2)+((COUNTIF('Elève (3ème4)'!OL14:ON14,"D"))*1))/(COUNTA(OL14:ON14)),"")</f>
        <v/>
      </c>
      <c r="OP14" s="162" t="str">
        <f t="shared" si="98"/>
        <v/>
      </c>
      <c r="OQ14" s="103"/>
      <c r="OR14" s="104"/>
      <c r="OS14" s="105"/>
      <c r="OT14" s="105"/>
      <c r="OU14" s="161" t="str">
        <f>IFERROR((((COUNTIF('Elève (3ème4)'!OQ14:OT14,"A"))*4)+((COUNTIF('Elève (3ème4)'!OQ14:OT14,"B"))*3)+((COUNTIF('Elève (3ème4)'!OQ14:OT14,"C"))*2)+((COUNTIF('Elève (3ème4)'!OQ14:OT14,"D"))*1))/(COUNTA(OQ14:OT14)),"")</f>
        <v/>
      </c>
      <c r="OV14" s="162" t="str">
        <f t="shared" si="99"/>
        <v/>
      </c>
      <c r="OW14" s="103"/>
      <c r="OX14" s="104"/>
      <c r="OY14" s="105"/>
      <c r="OZ14" s="105"/>
      <c r="PA14" s="105"/>
      <c r="PB14" s="109"/>
      <c r="PC14" s="161" t="str">
        <f>IFERROR((((COUNTIF('Elève (3ème4)'!OW14:PB14,"A"))*4)+((COUNTIF('Elève (3ème4)'!OW14:PB14,"B"))*3)+((COUNTIF('Elève (3ème4)'!OW14:PB14,"C"))*2)+((COUNTIF('Elève (3ème4)'!OW14:PB14,"D"))*1))/(COUNTA(OW14:PB14)),"")</f>
        <v/>
      </c>
      <c r="PD14" s="162" t="str">
        <f t="shared" si="100"/>
        <v/>
      </c>
      <c r="PE14" s="161" t="str">
        <f>IF(COUNT(OO14,OU14,PC14)=0,"",SUM(OO14,OU14,PC14)/COUNT(OO14,OU14,PC14))</f>
        <v/>
      </c>
      <c r="PF14" s="186" t="str">
        <f t="shared" si="101"/>
        <v/>
      </c>
      <c r="PG14" s="103"/>
      <c r="PH14" s="104"/>
      <c r="PI14" s="105"/>
      <c r="PJ14" s="161" t="str">
        <f>IFERROR((((COUNTIF('Elève (3ème4)'!PG14:PI14,"A"))*4)+((COUNTIF('Elève (3ème4)'!PG14:PI14,"B"))*3)+((COUNTIF('Elève (3ème4)'!PG14:PI14,"C"))*2)+((COUNTIF('Elève (3ème4)'!PG14:PI14,"D"))*1))/(COUNTA(PG14:PI14)),"")</f>
        <v/>
      </c>
      <c r="PK14" s="162" t="str">
        <f t="shared" si="102"/>
        <v/>
      </c>
      <c r="PL14" s="103"/>
      <c r="PM14" s="104"/>
      <c r="PN14" s="105"/>
      <c r="PO14" s="105"/>
      <c r="PP14" s="161" t="str">
        <f>IFERROR((((COUNTIF('Elève (3ème4)'!PL14:PO14,"A"))*4)+((COUNTIF('Elève (3ème4)'!PL14:PO14,"B"))*3)+((COUNTIF('Elève (3ème4)'!PL14:PO14,"C"))*2)+((COUNTIF('Elève (3ème4)'!PL14:PO14,"D"))*1))/(COUNTA(PL14:PO14)),"")</f>
        <v/>
      </c>
      <c r="PQ14" s="162" t="str">
        <f t="shared" si="103"/>
        <v/>
      </c>
      <c r="PR14" s="103"/>
      <c r="PS14" s="104"/>
      <c r="PT14" s="105"/>
      <c r="PU14" s="105"/>
      <c r="PV14" s="105"/>
      <c r="PW14" s="109"/>
      <c r="PX14" s="161" t="str">
        <f>IFERROR((((COUNTIF('Elève (3ème4)'!PR14:PW14,"A"))*4)+((COUNTIF('Elève (3ème4)'!PR14:PW14,"B"))*3)+((COUNTIF('Elève (3ème4)'!PR14:PW14,"C"))*2)+((COUNTIF('Elève (3ème4)'!PR14:PW14,"D"))*1))/(COUNTA(PR14:PW14)),"")</f>
        <v/>
      </c>
      <c r="PY14" s="162" t="str">
        <f t="shared" si="104"/>
        <v/>
      </c>
      <c r="PZ14" s="161" t="str">
        <f>IF(COUNT(PJ14,PP14,PX14)=0,"",SUM(PJ14,PP14,PX14)/COUNT(PJ14,PP14,PX14))</f>
        <v/>
      </c>
      <c r="QA14" s="186" t="str">
        <f t="shared" si="105"/>
        <v/>
      </c>
      <c r="QB14" s="103"/>
      <c r="QC14" s="104"/>
      <c r="QD14" s="105"/>
      <c r="QE14" s="161" t="str">
        <f>IFERROR((((COUNTIF('Elève (3ème4)'!QB14:QD14,"A"))*4)+((COUNTIF('Elève (3ème4)'!QB14:QD14,"B"))*3)+((COUNTIF('Elève (3ème4)'!QB14:QD14,"C"))*2)+((COUNTIF('Elève (3ème4)'!QB14:QD14,"D"))*1))/(COUNTA(QB14:QD14)),"")</f>
        <v/>
      </c>
      <c r="QF14" s="162" t="str">
        <f t="shared" si="106"/>
        <v/>
      </c>
      <c r="QG14" s="103"/>
      <c r="QH14" s="104"/>
      <c r="QI14" s="105"/>
      <c r="QJ14" s="105"/>
      <c r="QK14" s="161" t="str">
        <f>IFERROR((((COUNTIF('Elève (3ème4)'!QG14:QJ14,"A"))*4)+((COUNTIF('Elève (3ème4)'!QG14:QJ14,"B"))*3)+((COUNTIF('Elève (3ème4)'!QG14:QJ14,"C"))*2)+((COUNTIF('Elève (3ème4)'!QG14:QJ14,"D"))*1))/(COUNTA(QG14:QJ14)),"")</f>
        <v/>
      </c>
      <c r="QL14" s="162" t="str">
        <f t="shared" si="107"/>
        <v/>
      </c>
      <c r="QM14" s="103"/>
      <c r="QN14" s="104"/>
      <c r="QO14" s="105"/>
      <c r="QP14" s="105"/>
      <c r="QQ14" s="105"/>
      <c r="QR14" s="109"/>
      <c r="QS14" s="161" t="str">
        <f>IFERROR((((COUNTIF('Elève (3ème4)'!QM14:QR14,"A"))*4)+((COUNTIF('Elève (3ème4)'!QM14:QR14,"B"))*3)+((COUNTIF('Elève (3ème4)'!QM14:QR14,"C"))*2)+((COUNTIF('Elève (3ème4)'!QM14:QR14,"D"))*1))/(COUNTA(QM14:QR14)),"")</f>
        <v/>
      </c>
      <c r="QT14" s="162" t="str">
        <f t="shared" si="108"/>
        <v/>
      </c>
      <c r="QU14" s="161" t="str">
        <f>IF(COUNT(QE14,QK14,QS14)=0,"",SUM(QE14,QK14,QS14)/COUNT(QE14,QK14,QS14))</f>
        <v/>
      </c>
      <c r="QV14" s="186" t="str">
        <f t="shared" si="109"/>
        <v/>
      </c>
      <c r="QW14" s="103"/>
      <c r="QX14" s="104"/>
      <c r="QY14" s="105"/>
      <c r="QZ14" s="161" t="str">
        <f>IFERROR((((COUNTIF('Elève (3ème4)'!QW14:QY14,"A"))*4)+((COUNTIF('Elève (3ème4)'!QW14:QY14,"B"))*3)+((COUNTIF('Elève (3ème4)'!QW14:QY14,"C"))*2)+((COUNTIF('Elève (3ème4)'!QW14:QY14,"D"))*1))/(COUNTA(QW14:QY14)),"")</f>
        <v/>
      </c>
      <c r="RA14" s="162" t="str">
        <f t="shared" si="110"/>
        <v/>
      </c>
      <c r="RB14" s="103"/>
      <c r="RC14" s="104"/>
      <c r="RD14" s="105"/>
      <c r="RE14" s="105"/>
      <c r="RF14" s="161" t="str">
        <f>IFERROR((((COUNTIF('Elève (3ème4)'!RB14:RE14,"A"))*4)+((COUNTIF('Elève (3ème4)'!RB14:RE14,"B"))*3)+((COUNTIF('Elève (3ème4)'!RB14:RE14,"C"))*2)+((COUNTIF('Elève (3ème4)'!RB14:RE14,"D"))*1))/(COUNTA(RB14:RE14)),"")</f>
        <v/>
      </c>
      <c r="RG14" s="162" t="str">
        <f t="shared" si="111"/>
        <v/>
      </c>
      <c r="RH14" s="103"/>
      <c r="RI14" s="104"/>
      <c r="RJ14" s="105"/>
      <c r="RK14" s="105"/>
      <c r="RL14" s="105"/>
      <c r="RM14" s="109"/>
      <c r="RN14" s="161" t="str">
        <f>IFERROR((((COUNTIF('Elève (3ème4)'!RH14:RM14,"A"))*4)+((COUNTIF('Elève (3ème4)'!RH14:RM14,"B"))*3)+((COUNTIF('Elève (3ème4)'!RH14:RM14,"C"))*2)+((COUNTIF('Elève (3ème4)'!RH14:RM14,"D"))*1))/(COUNTA(RH14:RM14)),"")</f>
        <v/>
      </c>
      <c r="RO14" s="162" t="str">
        <f t="shared" si="112"/>
        <v/>
      </c>
      <c r="RP14" s="161" t="str">
        <f>IF(COUNT(QZ14,RF14,RN14)=0,"",SUM(QZ14,RF14,RN14)/COUNT(QZ14,RF14,RN14))</f>
        <v/>
      </c>
      <c r="RQ14" s="186" t="str">
        <f t="shared" si="113"/>
        <v/>
      </c>
      <c r="RR14" s="103"/>
      <c r="RS14" s="104"/>
      <c r="RT14" s="105"/>
      <c r="RU14" s="161" t="str">
        <f>IFERROR((((COUNTIF('Elève (3ème4)'!RR14:RT14,"A"))*4)+((COUNTIF('Elève (3ème4)'!RR14:RT14,"B"))*3)+((COUNTIF('Elève (3ème4)'!RR14:RT14,"C"))*2)+((COUNTIF('Elève (3ème4)'!RR14:RT14,"D"))*1))/(COUNTA(RR14:RT14)),"")</f>
        <v/>
      </c>
      <c r="RV14" s="162" t="str">
        <f t="shared" si="114"/>
        <v/>
      </c>
      <c r="RW14" s="103"/>
      <c r="RX14" s="104"/>
      <c r="RY14" s="105"/>
      <c r="RZ14" s="105"/>
      <c r="SA14" s="161" t="str">
        <f>IFERROR((((COUNTIF('Elève (3ème4)'!RW14:RZ14,"A"))*4)+((COUNTIF('Elève (3ème4)'!RW14:RZ14,"B"))*3)+((COUNTIF('Elève (3ème4)'!RW14:RZ14,"C"))*2)+((COUNTIF('Elève (3ème4)'!RW14:RZ14,"D"))*1))/(COUNTA(RW14:RZ14)),"")</f>
        <v/>
      </c>
      <c r="SB14" s="162" t="str">
        <f t="shared" si="115"/>
        <v/>
      </c>
      <c r="SC14" s="103"/>
      <c r="SD14" s="104"/>
      <c r="SE14" s="105"/>
      <c r="SF14" s="105"/>
      <c r="SG14" s="105"/>
      <c r="SH14" s="109"/>
      <c r="SI14" s="161" t="str">
        <f>IFERROR((((COUNTIF('Elève (3ème4)'!SC14:SH14,"A"))*4)+((COUNTIF('Elève (3ème4)'!SC14:SH14,"B"))*3)+((COUNTIF('Elève (3ème4)'!SC14:SH14,"C"))*2)+((COUNTIF('Elève (3ème4)'!SC14:SH14,"D"))*1))/(COUNTA(SC14:SH14)),"")</f>
        <v/>
      </c>
      <c r="SJ14" s="162" t="str">
        <f t="shared" si="116"/>
        <v/>
      </c>
      <c r="SK14" s="161" t="str">
        <f>IF(COUNT(RU14,SA14,SI14)=0,"",SUM(RU14,SA14,SI14)/COUNT(RU14,SA14,SI14))</f>
        <v/>
      </c>
      <c r="SL14" s="186" t="str">
        <f t="shared" si="117"/>
        <v/>
      </c>
      <c r="SM14" s="103"/>
      <c r="SN14" s="104"/>
      <c r="SO14" s="105"/>
      <c r="SP14" s="99" t="str">
        <f>IFERROR((((COUNTIF('Elève (3ème4)'!SM14:SO14,"A"))*4)+((COUNTIF('Elève (3ème4)'!SM14:SO14,"B"))*3)+((COUNTIF('Elève (3ème4)'!SM14:SO14,"C"))*2)+((COUNTIF('Elève (3ème4)'!SM14:SO14,"D"))*1))/(COUNTA(SM14:SO14)),"")</f>
        <v/>
      </c>
      <c r="SQ14" s="100" t="str">
        <f t="shared" si="118"/>
        <v/>
      </c>
      <c r="SR14" s="103"/>
      <c r="SS14" s="104"/>
      <c r="ST14" s="105"/>
      <c r="SU14" s="99" t="str">
        <f>IFERROR((((COUNTIF('Elève (3ème4)'!SR14:ST14,"A"))*4)+((COUNTIF('Elève (3ème4)'!SR14:ST14,"B"))*3)+((COUNTIF('Elève (3ème4)'!SR14:ST14,"C"))*2)+((COUNTIF('Elève (3ème4)'!SR14:ST14,"D"))*1))/(COUNTA(SR14:ST14)),"")</f>
        <v/>
      </c>
      <c r="SV14" s="100" t="str">
        <f t="shared" si="119"/>
        <v/>
      </c>
      <c r="SW14" s="103"/>
      <c r="SX14" s="104"/>
      <c r="SY14" s="109"/>
      <c r="SZ14" s="99" t="str">
        <f>IFERROR((((COUNTIF('Elève (3ème4)'!SW14:SY14,"A"))*4)+((COUNTIF('Elève (3ème4)'!SW14:SY14,"B"))*3)+((COUNTIF('Elève (3ème4)'!SW14:SY14,"C"))*2)+((COUNTIF('Elève (3ème4)'!SW14:SY14,"D"))*1))/(COUNTA(SW14:SY14)),"")</f>
        <v/>
      </c>
      <c r="TA14" s="100" t="str">
        <f t="shared" si="120"/>
        <v/>
      </c>
      <c r="TB14" s="99" t="str">
        <f>IF(COUNT(SP14,SU14,SZ14)=0,"",SUM(SP14,SU14,SZ14)/COUNT(SP14,SU14,SZ14))</f>
        <v/>
      </c>
      <c r="TC14" s="101" t="str">
        <f t="shared" si="121"/>
        <v/>
      </c>
      <c r="TD14" s="103"/>
      <c r="TE14" s="104"/>
      <c r="TF14" s="105"/>
      <c r="TG14" s="99" t="str">
        <f>IFERROR((((COUNTIF('Elève (3ème4)'!TD14:TF14,"A"))*4)+((COUNTIF('Elève (3ème4)'!TD14:TF14,"B"))*3)+((COUNTIF('Elève (3ème4)'!TD14:TF14,"C"))*2)+((COUNTIF('Elève (3ème4)'!TD14:TF14,"D"))*1))/(COUNTA(TD14:TF14)),"")</f>
        <v/>
      </c>
      <c r="TH14" s="100" t="str">
        <f t="shared" si="122"/>
        <v/>
      </c>
      <c r="TI14" s="103"/>
      <c r="TJ14" s="104"/>
      <c r="TK14" s="105"/>
      <c r="TL14" s="99" t="str">
        <f>IFERROR((((COUNTIF('Elève (3ème4)'!TI14:TK14,"A"))*4)+((COUNTIF('Elève (3ème4)'!TI14:TK14,"B"))*3)+((COUNTIF('Elève (3ème4)'!TI14:TK14,"C"))*2)+((COUNTIF('Elève (3ème4)'!TI14:TK14,"D"))*1))/(COUNTA(TI14:TK14)),"")</f>
        <v/>
      </c>
      <c r="TM14" s="100" t="str">
        <f t="shared" si="123"/>
        <v/>
      </c>
      <c r="TN14" s="103"/>
      <c r="TO14" s="104"/>
      <c r="TP14" s="109"/>
      <c r="TQ14" s="99" t="str">
        <f>IFERROR((((COUNTIF('Elève (3ème4)'!TN14:TP14,"A"))*4)+((COUNTIF('Elève (3ème4)'!TN14:TP14,"B"))*3)+((COUNTIF('Elève (3ème4)'!TN14:TP14,"C"))*2)+((COUNTIF('Elève (3ème4)'!TN14:TP14,"D"))*1))/(COUNTA(TN14:TP14)),"")</f>
        <v/>
      </c>
      <c r="TR14" s="100" t="str">
        <f t="shared" si="124"/>
        <v/>
      </c>
      <c r="TS14" s="99" t="str">
        <f>IF(COUNT(TG14,TL14,TQ14)=0,"",SUM(TG14,TL14,TQ14)/COUNT(TG14,TL14,TQ14))</f>
        <v/>
      </c>
      <c r="TT14" s="101" t="str">
        <f t="shared" si="125"/>
        <v/>
      </c>
      <c r="TU14" s="103"/>
      <c r="TV14" s="104"/>
      <c r="TW14" s="105"/>
      <c r="TX14" s="99" t="str">
        <f>IFERROR((((COUNTIF('Elève (3ème4)'!TU14:TW14,"A"))*4)+((COUNTIF('Elève (3ème4)'!TU14:TW14,"B"))*3)+((COUNTIF('Elève (3ème4)'!TU14:TW14,"C"))*2)+((COUNTIF('Elève (3ème4)'!TU14:TW14,"D"))*1))/(COUNTA(TU14:TW14)),"")</f>
        <v/>
      </c>
      <c r="TY14" s="100" t="str">
        <f t="shared" si="126"/>
        <v/>
      </c>
      <c r="TZ14" s="103"/>
      <c r="UA14" s="104"/>
      <c r="UB14" s="105"/>
      <c r="UC14" s="99" t="str">
        <f>IFERROR((((COUNTIF('Elève (3ème4)'!TZ14:UB14,"A"))*4)+((COUNTIF('Elève (3ème4)'!TZ14:UB14,"B"))*3)+((COUNTIF('Elève (3ème4)'!TZ14:UB14,"C"))*2)+((COUNTIF('Elève (3ème4)'!TZ14:UB14,"D"))*1))/(COUNTA(TZ14:UB14)),"")</f>
        <v/>
      </c>
      <c r="UD14" s="100" t="str">
        <f t="shared" si="127"/>
        <v/>
      </c>
      <c r="UE14" s="103"/>
      <c r="UF14" s="104"/>
      <c r="UG14" s="109"/>
      <c r="UH14" s="99" t="str">
        <f>IFERROR((((COUNTIF('Elève (3ème4)'!UE14:UG14,"A"))*4)+((COUNTIF('Elève (3ème4)'!UE14:UG14,"B"))*3)+((COUNTIF('Elève (3ème4)'!UE14:UG14,"C"))*2)+((COUNTIF('Elève (3ème4)'!UE14:UG14,"D"))*1))/(COUNTA(UE14:UG14)),"")</f>
        <v/>
      </c>
      <c r="UI14" s="100" t="str">
        <f t="shared" si="128"/>
        <v/>
      </c>
      <c r="UJ14" s="99" t="str">
        <f>IF(COUNT(TX14,UC14,UH14)=0,"",SUM(TX14,UC14,UH14)/COUNT(TX14,UC14,UH14))</f>
        <v/>
      </c>
      <c r="UK14" s="101" t="str">
        <f t="shared" si="129"/>
        <v/>
      </c>
      <c r="UL14" s="103"/>
      <c r="UM14" s="104"/>
      <c r="UN14" s="105"/>
      <c r="UO14" s="99" t="str">
        <f>IFERROR((((COUNTIF('Elève (3ème4)'!UL14:UN14,"A"))*4)+((COUNTIF('Elève (3ème4)'!UL14:UN14,"B"))*3)+((COUNTIF('Elève (3ème4)'!UL14:UN14,"C"))*2)+((COUNTIF('Elève (3ème4)'!UL14:UN14,"D"))*1))/(COUNTA(UL14:UN14)),"")</f>
        <v/>
      </c>
      <c r="UP14" s="100" t="str">
        <f t="shared" si="130"/>
        <v/>
      </c>
      <c r="UQ14" s="103"/>
      <c r="UR14" s="104"/>
      <c r="US14" s="105"/>
      <c r="UT14" s="99" t="str">
        <f>IFERROR((((COUNTIF('Elève (3ème4)'!UQ14:US14,"A"))*4)+((COUNTIF('Elève (3ème4)'!UQ14:US14,"B"))*3)+((COUNTIF('Elève (3ème4)'!UQ14:US14,"C"))*2)+((COUNTIF('Elève (3ème4)'!UQ14:US14,"D"))*1))/(COUNTA(UQ14:US14)),"")</f>
        <v/>
      </c>
      <c r="UU14" s="100" t="str">
        <f t="shared" si="131"/>
        <v/>
      </c>
      <c r="UV14" s="103"/>
      <c r="UW14" s="104"/>
      <c r="UX14" s="109"/>
      <c r="UY14" s="99" t="str">
        <f>IFERROR((((COUNTIF('Elève (3ème4)'!UV14:UX14,"A"))*4)+((COUNTIF('Elève (3ème4)'!UV14:UX14,"B"))*3)+((COUNTIF('Elève (3ème4)'!UV14:UX14,"C"))*2)+((COUNTIF('Elève (3ème4)'!UV14:UX14,"D"))*1))/(COUNTA(UV14:UX14)),"")</f>
        <v/>
      </c>
      <c r="UZ14" s="100" t="str">
        <f t="shared" si="132"/>
        <v/>
      </c>
      <c r="VA14" s="99" t="str">
        <f>IF(COUNT(UO14,UT14,UY14)=0,"",SUM(UO14,UT14,UY14)/COUNT(UO14,UT14,UY14))</f>
        <v/>
      </c>
      <c r="VB14" s="101" t="str">
        <f t="shared" si="133"/>
        <v/>
      </c>
      <c r="VC14" s="103"/>
      <c r="VD14" s="104"/>
      <c r="VE14" s="105"/>
      <c r="VF14" s="99" t="str">
        <f>IFERROR((((COUNTIF('Elève (3ème4)'!VC14:VE14,"A"))*4)+((COUNTIF('Elève (3ème4)'!VC14:VE14,"B"))*3)+((COUNTIF('Elève (3ème4)'!VC14:VE14,"C"))*2)+((COUNTIF('Elève (3ème4)'!VC14:VE14,"D"))*1))/(COUNTA(VC14:VE14)),"")</f>
        <v/>
      </c>
      <c r="VG14" s="100" t="str">
        <f t="shared" si="134"/>
        <v/>
      </c>
      <c r="VH14" s="103"/>
      <c r="VI14" s="104"/>
      <c r="VJ14" s="105"/>
      <c r="VK14" s="99" t="str">
        <f>IFERROR((((COUNTIF('Elève (3ème4)'!VH14:VJ14,"A"))*4)+((COUNTIF('Elève (3ème4)'!VH14:VJ14,"B"))*3)+((COUNTIF('Elève (3ème4)'!VH14:VJ14,"C"))*2)+((COUNTIF('Elève (3ème4)'!VH14:VJ14,"D"))*1))/(COUNTA(VH14:VJ14)),"")</f>
        <v/>
      </c>
      <c r="VL14" s="100" t="str">
        <f t="shared" si="135"/>
        <v/>
      </c>
      <c r="VM14" s="103"/>
      <c r="VN14" s="104"/>
      <c r="VO14" s="109"/>
      <c r="VP14" s="99" t="str">
        <f>IFERROR((((COUNTIF('Elève (3ème4)'!VM14:VO14,"A"))*4)+((COUNTIF('Elève (3ème4)'!VM14:VO14,"B"))*3)+((COUNTIF('Elève (3ème4)'!VM14:VO14,"C"))*2)+((COUNTIF('Elève (3ème4)'!VM14:VO14,"D"))*1))/(COUNTA(VM14:VO14)),"")</f>
        <v/>
      </c>
      <c r="VQ14" s="100" t="str">
        <f t="shared" si="136"/>
        <v/>
      </c>
      <c r="VR14" s="99" t="str">
        <f>IF(COUNT(VF14,VK14,VP14)=0,"",SUM(VF14,VK14,VP14)/COUNT(VF14,VK14,VP14))</f>
        <v/>
      </c>
      <c r="VS14" s="101" t="str">
        <f t="shared" si="137"/>
        <v/>
      </c>
      <c r="VT14" s="103"/>
      <c r="VU14" s="104"/>
      <c r="VV14" s="105"/>
      <c r="VW14" s="99" t="str">
        <f>IFERROR((((COUNTIF('Elève (3ème4)'!VT14:VV14,"A"))*4)+((COUNTIF('Elève (3ème4)'!VT14:VV14,"B"))*3)+((COUNTIF('Elève (3ème4)'!VT14:VV14,"C"))*2)+((COUNTIF('Elève (3ème4)'!VT14:VV14,"D"))*1))/(COUNTA(VT14:VV14)),"")</f>
        <v/>
      </c>
      <c r="VX14" s="100" t="str">
        <f t="shared" si="138"/>
        <v/>
      </c>
      <c r="VY14" s="103"/>
      <c r="VZ14" s="104"/>
      <c r="WA14" s="105"/>
      <c r="WB14" s="99" t="str">
        <f>IFERROR((((COUNTIF('Elève (3ème4)'!VY14:WA14,"A"))*4)+((COUNTIF('Elève (3ème4)'!VY14:WA14,"B"))*3)+((COUNTIF('Elève (3ème4)'!VY14:WA14,"C"))*2)+((COUNTIF('Elève (3ème4)'!VY14:WA14,"D"))*1))/(COUNTA(VY14:WA14)),"")</f>
        <v/>
      </c>
      <c r="WC14" s="100" t="str">
        <f t="shared" si="139"/>
        <v/>
      </c>
      <c r="WD14" s="103"/>
      <c r="WE14" s="104"/>
      <c r="WF14" s="109"/>
      <c r="WG14" s="99" t="str">
        <f>IFERROR((((COUNTIF('Elève (3ème4)'!WD14:WF14,"A"))*4)+((COUNTIF('Elève (3ème4)'!WD14:WF14,"B"))*3)+((COUNTIF('Elève (3ème4)'!WD14:WF14,"C"))*2)+((COUNTIF('Elève (3ème4)'!WD14:WF14,"D"))*1))/(COUNTA(WD14:WF14)),"")</f>
        <v/>
      </c>
      <c r="WH14" s="100" t="str">
        <f t="shared" si="140"/>
        <v/>
      </c>
      <c r="WI14" s="99" t="str">
        <f>IF(COUNT(VW14,WB14,WG14)=0,"",SUM(VW14,WB14,WG14)/COUNT(VW14,WB14,WG14))</f>
        <v/>
      </c>
      <c r="WJ14" s="101" t="str">
        <f t="shared" si="141"/>
        <v/>
      </c>
    </row>
    <row r="15" spans="1:608" ht="18" customHeight="1" thickBot="1" x14ac:dyDescent="0.6">
      <c r="A15" s="215" t="s">
        <v>37</v>
      </c>
      <c r="B15" s="216"/>
      <c r="C15" s="110"/>
      <c r="D15" s="111"/>
      <c r="E15" s="112"/>
      <c r="F15" s="165" t="str">
        <f>IFERROR((((COUNTIF('Elève (3ème4)'!C15:E15,"A"))*4)+((COUNTIF('Elève (3ème4)'!C15:E15,"B"))*3)+((COUNTIF('Elève (3ème4)'!C15:E15,"C"))*2)+((COUNTIF('Elève (3ème4)'!C15:E15,"D"))*1))/(COUNTA(C15:E15)),"")</f>
        <v/>
      </c>
      <c r="G15" s="166" t="str">
        <f t="shared" si="22"/>
        <v/>
      </c>
      <c r="H15" s="110"/>
      <c r="I15" s="111"/>
      <c r="J15" s="112"/>
      <c r="K15" s="112"/>
      <c r="L15" s="165" t="str">
        <f>IFERROR((((COUNTIF('Elève (3ème4)'!H15:K15,"A"))*4)+((COUNTIF('Elève (3ème4)'!H15:K15,"B"))*3)+((COUNTIF('Elève (3ème4)'!H15:K15,"C"))*2)+((COUNTIF('Elève (3ème4)'!H15:K15,"D"))*1))/(COUNTA(H15:K15)),"")</f>
        <v/>
      </c>
      <c r="M15" s="166" t="str">
        <f t="shared" si="23"/>
        <v/>
      </c>
      <c r="N15" s="110"/>
      <c r="O15" s="111"/>
      <c r="P15" s="112" t="s">
        <v>27</v>
      </c>
      <c r="Q15" s="112" t="s">
        <v>28</v>
      </c>
      <c r="R15" s="112"/>
      <c r="S15" s="112"/>
      <c r="T15" s="165">
        <f>IFERROR((((COUNTIF('Elève (3ème4)'!N15:S15,"A"))*4)+((COUNTIF('Elève (3ème4)'!N15:S15,"B"))*3)+((COUNTIF('Elève (3ème4)'!N15:S15,"C"))*2)+((COUNTIF('Elève (3ème4)'!N15:S15,"D"))*1))/(COUNTA(N15:S15)),"")</f>
        <v>3.5</v>
      </c>
      <c r="U15" s="166" t="str">
        <f t="shared" si="24"/>
        <v>B</v>
      </c>
      <c r="V15" s="190">
        <f>IF(COUNT(F15,L15,T15)=0,"",SUM(F15,L15,T15)/COUNT(F15,L15,T15))</f>
        <v>3.5</v>
      </c>
      <c r="W15" s="188" t="str">
        <f t="shared" si="25"/>
        <v>B</v>
      </c>
      <c r="X15" s="110"/>
      <c r="Y15" s="111"/>
      <c r="Z15" s="112"/>
      <c r="AA15" s="165" t="str">
        <f>IFERROR((((COUNTIF('Elève (3ème4)'!X15:Z15,"A"))*4)+((COUNTIF('Elève (3ème4)'!X15:Z15,"B"))*3)+((COUNTIF('Elève (3ème4)'!X15:Z15,"C"))*2)+((COUNTIF('Elève (3ème4)'!X15:Z15,"D"))*1))/(COUNTA(X15:Z15)),"")</f>
        <v/>
      </c>
      <c r="AB15" s="166" t="str">
        <f t="shared" si="26"/>
        <v/>
      </c>
      <c r="AC15" s="110"/>
      <c r="AD15" s="111"/>
      <c r="AE15" s="112"/>
      <c r="AF15" s="112"/>
      <c r="AG15" s="165" t="str">
        <f>IFERROR((((COUNTIF('Elève (3ème4)'!AC15:AF15,"A"))*4)+((COUNTIF('Elève (3ème4)'!AC15:AF15,"B"))*3)+((COUNTIF('Elève (3ème4)'!AC15:AF15,"C"))*2)+((COUNTIF('Elève (3ème4)'!AC15:AF15,"D"))*1))/(COUNTA(AC15:AF15)),"")</f>
        <v/>
      </c>
      <c r="AH15" s="166" t="str">
        <f t="shared" si="27"/>
        <v/>
      </c>
      <c r="AI15" s="110"/>
      <c r="AJ15" s="111"/>
      <c r="AK15" s="112"/>
      <c r="AL15" s="112"/>
      <c r="AM15" s="112"/>
      <c r="AN15" s="116"/>
      <c r="AO15" s="165" t="str">
        <f>IFERROR((((COUNTIF('Elève (3ème4)'!AI15:AN15,"A"))*4)+((COUNTIF('Elève (3ème4)'!AI15:AN15,"B"))*3)+((COUNTIF('Elève (3ème4)'!AI15:AN15,"C"))*2)+((COUNTIF('Elève (3ème4)'!AI15:AN15,"D"))*1))/(COUNTA(AI15:AN15)),"")</f>
        <v/>
      </c>
      <c r="AP15" s="166" t="str">
        <f t="shared" si="28"/>
        <v/>
      </c>
      <c r="AQ15" s="190" t="str">
        <f>IF(COUNT(AA15,AG15,AO15)=0,"",SUM(AA15,AG15,AO15)/COUNT(AA15,AG15,AO15))</f>
        <v/>
      </c>
      <c r="AR15" s="188" t="str">
        <f t="shared" si="29"/>
        <v/>
      </c>
      <c r="AS15" s="110"/>
      <c r="AT15" s="111"/>
      <c r="AU15" s="112"/>
      <c r="AV15" s="165" t="str">
        <f>IFERROR((((COUNTIF('Elève (3ème4)'!AS15:AU15,"A"))*4)+((COUNTIF('Elève (3ème4)'!AS15:AU15,"B"))*3)+((COUNTIF('Elève (3ème4)'!AS15:AU15,"C"))*2)+((COUNTIF('Elève (3ème4)'!AS15:AU15,"D"))*1))/(COUNTA(AS15:AU15)),"")</f>
        <v/>
      </c>
      <c r="AW15" s="166" t="str">
        <f t="shared" si="30"/>
        <v/>
      </c>
      <c r="AX15" s="110"/>
      <c r="AY15" s="111"/>
      <c r="AZ15" s="112"/>
      <c r="BA15" s="112"/>
      <c r="BB15" s="165" t="str">
        <f>IFERROR((((COUNTIF('Elève (3ème4)'!AX15:BA15,"A"))*4)+((COUNTIF('Elève (3ème4)'!AX15:BA15,"B"))*3)+((COUNTIF('Elève (3ème4)'!AX15:BA15,"C"))*2)+((COUNTIF('Elève (3ème4)'!AX15:BA15,"D"))*1))/(COUNTA(AX15:BA15)),"")</f>
        <v/>
      </c>
      <c r="BC15" s="166" t="str">
        <f t="shared" si="31"/>
        <v/>
      </c>
      <c r="BD15" s="110"/>
      <c r="BE15" s="111"/>
      <c r="BF15" s="112"/>
      <c r="BG15" s="112" t="s">
        <v>27</v>
      </c>
      <c r="BH15" s="112"/>
      <c r="BI15" s="116"/>
      <c r="BJ15" s="165">
        <f>IFERROR((((COUNTIF('Elève (3ème4)'!BD15:BI15,"A"))*4)+((COUNTIF('Elève (3ème4)'!BD15:BI15,"B"))*3)+((COUNTIF('Elève (3ème4)'!BD15:BI15,"C"))*2)+((COUNTIF('Elève (3ème4)'!BD15:BI15,"D"))*1))/(COUNTA(BD15:BI15)),"")</f>
        <v>4</v>
      </c>
      <c r="BK15" s="166" t="str">
        <f t="shared" si="32"/>
        <v>A</v>
      </c>
      <c r="BL15" s="190">
        <f>IF(COUNT(AV15,BB15,BJ15)=0,"",SUM(AV15,BB15,BJ15)/COUNT(AV15,BB15,BJ15))</f>
        <v>4</v>
      </c>
      <c r="BM15" s="188" t="str">
        <f t="shared" si="33"/>
        <v>A</v>
      </c>
      <c r="BN15" s="110"/>
      <c r="BO15" s="111"/>
      <c r="BP15" s="112"/>
      <c r="BQ15" s="165" t="str">
        <f>IFERROR((((COUNTIF('Elève (3ème4)'!BN15:BP15,"A"))*4)+((COUNTIF('Elève (3ème4)'!BN15:BP15,"B"))*3)+((COUNTIF('Elève (3ème4)'!BN15:BP15,"C"))*2)+((COUNTIF('Elève (3ème4)'!BN15:BP15,"D"))*1))/(COUNTA(BN15:BP15)),"")</f>
        <v/>
      </c>
      <c r="BR15" s="166" t="str">
        <f t="shared" si="34"/>
        <v/>
      </c>
      <c r="BS15" s="110"/>
      <c r="BT15" s="111"/>
      <c r="BU15" s="112"/>
      <c r="BV15" s="112"/>
      <c r="BW15" s="165" t="str">
        <f>IFERROR((((COUNTIF('Elève (3ème4)'!BS15:BV15,"A"))*4)+((COUNTIF('Elève (3ème4)'!BS15:BV15,"B"))*3)+((COUNTIF('Elève (3ème4)'!BS15:BV15,"C"))*2)+((COUNTIF('Elève (3ème4)'!BS15:BV15,"D"))*1))/(COUNTA(BS15:BV15)),"")</f>
        <v/>
      </c>
      <c r="BX15" s="166" t="str">
        <f t="shared" si="35"/>
        <v/>
      </c>
      <c r="BY15" s="110"/>
      <c r="BZ15" s="111"/>
      <c r="CA15" s="112"/>
      <c r="CB15" s="112" t="s">
        <v>27</v>
      </c>
      <c r="CC15" s="112"/>
      <c r="CD15" s="116"/>
      <c r="CE15" s="165">
        <f>IFERROR((((COUNTIF('Elève (3ème4)'!BY15:CD15,"A"))*4)+((COUNTIF('Elève (3ème4)'!BY15:CD15,"B"))*3)+((COUNTIF('Elève (3ème4)'!BY15:CD15,"C"))*2)+((COUNTIF('Elève (3ème4)'!BY15:CD15,"D"))*1))/(COUNTA(BY15:CD15)),"")</f>
        <v>4</v>
      </c>
      <c r="CF15" s="166" t="str">
        <f t="shared" si="36"/>
        <v>A</v>
      </c>
      <c r="CG15" s="190">
        <f>IF(COUNT(BQ15,BW15,CE15)=0,"",SUM(BQ15,BW15,CE15)/COUNT(BQ15,BW15,CE15))</f>
        <v>4</v>
      </c>
      <c r="CH15" s="188" t="str">
        <f t="shared" si="37"/>
        <v>A</v>
      </c>
      <c r="CI15" s="110"/>
      <c r="CJ15" s="111"/>
      <c r="CK15" s="112"/>
      <c r="CL15" s="165" t="str">
        <f>IFERROR((((COUNTIF('Elève (3ème4)'!CI15:CK15,"A"))*4)+((COUNTIF('Elève (3ème4)'!CI15:CK15,"B"))*3)+((COUNTIF('Elève (3ème4)'!CI15:CK15,"C"))*2)+((COUNTIF('Elève (3ème4)'!CI15:CK15,"D"))*1))/(COUNTA(CI15:CK15)),"")</f>
        <v/>
      </c>
      <c r="CM15" s="166" t="str">
        <f t="shared" si="38"/>
        <v/>
      </c>
      <c r="CN15" s="110"/>
      <c r="CO15" s="111"/>
      <c r="CP15" s="112"/>
      <c r="CQ15" s="112"/>
      <c r="CR15" s="165" t="str">
        <f>IFERROR((((COUNTIF('Elève (3ème4)'!CN15:CQ15,"A"))*4)+((COUNTIF('Elève (3ème4)'!CN15:CQ15,"B"))*3)+((COUNTIF('Elève (3ème4)'!CN15:CQ15,"C"))*2)+((COUNTIF('Elève (3ème4)'!CN15:CQ15,"D"))*1))/(COUNTA(CN15:CQ15)),"")</f>
        <v/>
      </c>
      <c r="CS15" s="166" t="str">
        <f t="shared" si="39"/>
        <v/>
      </c>
      <c r="CT15" s="110"/>
      <c r="CU15" s="111"/>
      <c r="CV15" s="112" t="s">
        <v>27</v>
      </c>
      <c r="CW15" s="112" t="s">
        <v>28</v>
      </c>
      <c r="CX15" s="112"/>
      <c r="CY15" s="116"/>
      <c r="CZ15" s="165">
        <f>IFERROR((((COUNTIF('Elève (3ème4)'!CT15:CY15,"A"))*4)+((COUNTIF('Elève (3ème4)'!CT15:CY15,"B"))*3)+((COUNTIF('Elève (3ème4)'!CT15:CY15,"C"))*2)+((COUNTIF('Elève (3ème4)'!CT15:CY15,"D"))*1))/(COUNTA(CT15:CY15)),"")</f>
        <v>3.5</v>
      </c>
      <c r="DA15" s="166" t="str">
        <f t="shared" si="40"/>
        <v>B</v>
      </c>
      <c r="DB15" s="190">
        <f>IF(COUNT(CL15,CR15,CZ15)=0,"",SUM(CL15,CR15,CZ15)/COUNT(CL15,CR15,CZ15))</f>
        <v>3.5</v>
      </c>
      <c r="DC15" s="188" t="str">
        <f t="shared" si="41"/>
        <v>B</v>
      </c>
      <c r="DD15" s="110"/>
      <c r="DE15" s="111"/>
      <c r="DF15" s="112"/>
      <c r="DG15" s="165" t="str">
        <f>IFERROR((((COUNTIF('Elève (3ème4)'!DD15:DF15,"A"))*4)+((COUNTIF('Elève (3ème4)'!DD15:DF15,"B"))*3)+((COUNTIF('Elève (3ème4)'!DD15:DF15,"C"))*2)+((COUNTIF('Elève (3ème4)'!DD15:DF15,"D"))*1))/(COUNTA(DD15:DF15)),"")</f>
        <v/>
      </c>
      <c r="DH15" s="166" t="str">
        <f t="shared" si="42"/>
        <v/>
      </c>
      <c r="DI15" s="110"/>
      <c r="DJ15" s="111"/>
      <c r="DK15" s="112"/>
      <c r="DL15" s="112"/>
      <c r="DM15" s="165" t="str">
        <f>IFERROR((((COUNTIF('Elève (3ème4)'!DI15:DL15,"A"))*4)+((COUNTIF('Elève (3ème4)'!DI15:DL15,"B"))*3)+((COUNTIF('Elève (3ème4)'!DI15:DL15,"C"))*2)+((COUNTIF('Elève (3ème4)'!DI15:DL15,"D"))*1))/(COUNTA(DI15:DL15)),"")</f>
        <v/>
      </c>
      <c r="DN15" s="166" t="str">
        <f t="shared" si="43"/>
        <v/>
      </c>
      <c r="DO15" s="110"/>
      <c r="DP15" s="111"/>
      <c r="DQ15" s="112" t="s">
        <v>27</v>
      </c>
      <c r="DR15" s="112"/>
      <c r="DS15" s="112"/>
      <c r="DT15" s="116"/>
      <c r="DU15" s="165">
        <f>IFERROR((((COUNTIF('Elève (3ème4)'!DO15:DT15,"A"))*4)+((COUNTIF('Elève (3ème4)'!DO15:DT15,"B"))*3)+((COUNTIF('Elève (3ème4)'!DO15:DT15,"C"))*2)+((COUNTIF('Elève (3ème4)'!DO15:DT15,"D"))*1))/(COUNTA(DO15:DT15)),"")</f>
        <v>4</v>
      </c>
      <c r="DV15" s="166" t="str">
        <f t="shared" si="44"/>
        <v>A</v>
      </c>
      <c r="DW15" s="190">
        <f>IF(COUNT(DG15,DM15,DU15)=0,"",SUM(DG15,DM15,DU15)/COUNT(DG15,DM15,DU15))</f>
        <v>4</v>
      </c>
      <c r="DX15" s="188" t="str">
        <f t="shared" si="45"/>
        <v>A</v>
      </c>
      <c r="DY15" s="110"/>
      <c r="DZ15" s="111"/>
      <c r="EA15" s="112"/>
      <c r="EB15" s="165" t="str">
        <f>IFERROR((((COUNTIF('Elève (3ème4)'!DY15:EA15,"A"))*4)+((COUNTIF('Elève (3ème4)'!DY15:EA15,"B"))*3)+((COUNTIF('Elève (3ème4)'!DY15:EA15,"C"))*2)+((COUNTIF('Elève (3ème4)'!DY15:EA15,"D"))*1))/(COUNTA(DY15:EA15)),"")</f>
        <v/>
      </c>
      <c r="EC15" s="166" t="str">
        <f t="shared" si="46"/>
        <v/>
      </c>
      <c r="ED15" s="110"/>
      <c r="EE15" s="111"/>
      <c r="EF15" s="112"/>
      <c r="EG15" s="112"/>
      <c r="EH15" s="165" t="str">
        <f>IFERROR((((COUNTIF('Elève (3ème4)'!ED15:EG15,"A"))*4)+((COUNTIF('Elève (3ème4)'!ED15:EG15,"B"))*3)+((COUNTIF('Elève (3ème4)'!ED15:EG15,"C"))*2)+((COUNTIF('Elève (3ème4)'!ED15:EG15,"D"))*1))/(COUNTA(ED15:EG15)),"")</f>
        <v/>
      </c>
      <c r="EI15" s="166" t="str">
        <f t="shared" si="47"/>
        <v/>
      </c>
      <c r="EJ15" s="110"/>
      <c r="EK15" s="111"/>
      <c r="EL15" s="112" t="s">
        <v>28</v>
      </c>
      <c r="EM15" s="112" t="s">
        <v>30</v>
      </c>
      <c r="EN15" s="112"/>
      <c r="EO15" s="116"/>
      <c r="EP15" s="165">
        <f>IFERROR((((COUNTIF('Elève (3ème4)'!EJ15:EO15,"A"))*4)+((COUNTIF('Elève (3ème4)'!EJ15:EO15,"B"))*3)+((COUNTIF('Elève (3ème4)'!EJ15:EO15,"C"))*2)+((COUNTIF('Elève (3ème4)'!EJ15:EO15,"D"))*1))/(COUNTA(EJ15:EO15)),"")</f>
        <v>2</v>
      </c>
      <c r="EQ15" s="166" t="str">
        <f t="shared" si="48"/>
        <v>C</v>
      </c>
      <c r="ER15" s="190">
        <f>IF(COUNT(EB15,EH15,EP15)=0,"",SUM(EB15,EH15,EP15)/COUNT(EB15,EH15,EP15))</f>
        <v>2</v>
      </c>
      <c r="ES15" s="188" t="str">
        <f t="shared" si="49"/>
        <v>C</v>
      </c>
      <c r="ET15" s="110"/>
      <c r="EU15" s="111"/>
      <c r="EV15" s="112"/>
      <c r="EW15" s="165" t="str">
        <f>IFERROR((((COUNTIF('Elève (3ème4)'!ET15:EV15,"A"))*4)+((COUNTIF('Elève (3ème4)'!ET15:EV15,"B"))*3)+((COUNTIF('Elève (3ème4)'!ET15:EV15,"C"))*2)+((COUNTIF('Elève (3ème4)'!ET15:EV15,"D"))*1))/(COUNTA(ET15:EV15)),"")</f>
        <v/>
      </c>
      <c r="EX15" s="166" t="str">
        <f t="shared" si="50"/>
        <v/>
      </c>
      <c r="EY15" s="110"/>
      <c r="EZ15" s="111"/>
      <c r="FA15" s="112"/>
      <c r="FB15" s="112"/>
      <c r="FC15" s="165" t="str">
        <f>IFERROR((((COUNTIF('Elève (3ème4)'!EY15:FB15,"A"))*4)+((COUNTIF('Elève (3ème4)'!EY15:FB15,"B"))*3)+((COUNTIF('Elève (3ème4)'!EY15:FB15,"C"))*2)+((COUNTIF('Elève (3ème4)'!EY15:FB15,"D"))*1))/(COUNTA(EY15:FB15)),"")</f>
        <v/>
      </c>
      <c r="FD15" s="166" t="str">
        <f t="shared" si="51"/>
        <v/>
      </c>
      <c r="FE15" s="110"/>
      <c r="FF15" s="111"/>
      <c r="FG15" s="112"/>
      <c r="FH15" s="112" t="s">
        <v>28</v>
      </c>
      <c r="FI15" s="112"/>
      <c r="FJ15" s="116"/>
      <c r="FK15" s="165">
        <f>IFERROR((((COUNTIF('Elève (3ème4)'!FE15:FJ15,"A"))*4)+((COUNTIF('Elève (3ème4)'!FE15:FJ15,"B"))*3)+((COUNTIF('Elève (3ème4)'!FE15:FJ15,"C"))*2)+((COUNTIF('Elève (3ème4)'!FE15:FJ15,"D"))*1))/(COUNTA(FE15:FJ15)),"")</f>
        <v>3</v>
      </c>
      <c r="FL15" s="166" t="str">
        <f t="shared" si="52"/>
        <v>B</v>
      </c>
      <c r="FM15" s="190">
        <f>IF(COUNT(EW15,FC15,FK15)=0,"",SUM(EW15,FC15,FK15)/COUNT(EW15,FC15,FK15))</f>
        <v>3</v>
      </c>
      <c r="FN15" s="188" t="str">
        <f t="shared" si="53"/>
        <v>B</v>
      </c>
      <c r="FO15" s="110"/>
      <c r="FP15" s="111"/>
      <c r="FQ15" s="112"/>
      <c r="FR15" s="165" t="str">
        <f>IFERROR((((COUNTIF('Elève (3ème4)'!FO15:FQ15,"A"))*4)+((COUNTIF('Elève (3ème4)'!FO15:FQ15,"B"))*3)+((COUNTIF('Elève (3ème4)'!FO15:FQ15,"C"))*2)+((COUNTIF('Elève (3ème4)'!FO15:FQ15,"D"))*1))/(COUNTA(FO15:FQ15)),"")</f>
        <v/>
      </c>
      <c r="FS15" s="166" t="str">
        <f t="shared" si="54"/>
        <v/>
      </c>
      <c r="FT15" s="110"/>
      <c r="FU15" s="111"/>
      <c r="FV15" s="112"/>
      <c r="FW15" s="112"/>
      <c r="FX15" s="165" t="str">
        <f>IFERROR((((COUNTIF('Elève (3ème4)'!FT15:FW15,"A"))*4)+((COUNTIF('Elève (3ème4)'!FT15:FW15,"B"))*3)+((COUNTIF('Elève (3ème4)'!FT15:FW15,"C"))*2)+((COUNTIF('Elève (3ème4)'!FT15:FW15,"D"))*1))/(COUNTA(FT15:FW15)),"")</f>
        <v/>
      </c>
      <c r="FY15" s="166" t="str">
        <f t="shared" si="55"/>
        <v/>
      </c>
      <c r="FZ15" s="110"/>
      <c r="GA15" s="111"/>
      <c r="GB15" s="112" t="s">
        <v>27</v>
      </c>
      <c r="GC15" s="112" t="s">
        <v>28</v>
      </c>
      <c r="GD15" s="112"/>
      <c r="GE15" s="116"/>
      <c r="GF15" s="165">
        <f>IFERROR((((COUNTIF('Elève (3ème4)'!FZ15:GE15,"A"))*4)+((COUNTIF('Elève (3ème4)'!FZ15:GE15,"B"))*3)+((COUNTIF('Elève (3ème4)'!FZ15:GE15,"C"))*2)+((COUNTIF('Elève (3ème4)'!FZ15:GE15,"D"))*1))/(COUNTA(FZ15:GE15)),"")</f>
        <v>3.5</v>
      </c>
      <c r="GG15" s="166" t="str">
        <f t="shared" si="56"/>
        <v>B</v>
      </c>
      <c r="GH15" s="190">
        <f>IF(COUNT(FR15,FX15,GF15)=0,"",SUM(FR15,FX15,GF15)/COUNT(FR15,FX15,GF15))</f>
        <v>3.5</v>
      </c>
      <c r="GI15" s="188" t="str">
        <f t="shared" si="57"/>
        <v>B</v>
      </c>
      <c r="GJ15" s="110"/>
      <c r="GK15" s="111"/>
      <c r="GL15" s="112"/>
      <c r="GM15" s="165" t="str">
        <f>IFERROR((((COUNTIF('Elève (3ème4)'!GJ15:GL15,"A"))*4)+((COUNTIF('Elève (3ème4)'!GJ15:GL15,"B"))*3)+((COUNTIF('Elève (3ème4)'!GJ15:GL15,"C"))*2)+((COUNTIF('Elève (3ème4)'!GJ15:GL15,"D"))*1))/(COUNTA(GJ15:GL15)),"")</f>
        <v/>
      </c>
      <c r="GN15" s="166" t="str">
        <f t="shared" si="58"/>
        <v/>
      </c>
      <c r="GO15" s="110"/>
      <c r="GP15" s="111"/>
      <c r="GQ15" s="112"/>
      <c r="GR15" s="112"/>
      <c r="GS15" s="165" t="str">
        <f>IFERROR((((COUNTIF('Elève (3ème4)'!GO15:GR15,"A"))*4)+((COUNTIF('Elève (3ème4)'!GO15:GR15,"B"))*3)+((COUNTIF('Elève (3ème4)'!GO15:GR15,"C"))*2)+((COUNTIF('Elève (3ème4)'!GO15:GR15,"D"))*1))/(COUNTA(GO15:GR15)),"")</f>
        <v/>
      </c>
      <c r="GT15" s="166" t="str">
        <f t="shared" si="59"/>
        <v/>
      </c>
      <c r="GU15" s="110"/>
      <c r="GV15" s="111"/>
      <c r="GW15" s="112" t="s">
        <v>27</v>
      </c>
      <c r="GX15" s="112" t="s">
        <v>27</v>
      </c>
      <c r="GY15" s="112"/>
      <c r="GZ15" s="116"/>
      <c r="HA15" s="165">
        <f>IFERROR((((COUNTIF('Elève (3ème4)'!GU15:GZ15,"A"))*4)+((COUNTIF('Elève (3ème4)'!GU15:GZ15,"B"))*3)+((COUNTIF('Elève (3ème4)'!GU15:GZ15,"C"))*2)+((COUNTIF('Elève (3ème4)'!GU15:GZ15,"D"))*1))/(COUNTA(GU15:GZ15)),"")</f>
        <v>4</v>
      </c>
      <c r="HB15" s="166" t="str">
        <f t="shared" si="60"/>
        <v>A</v>
      </c>
      <c r="HC15" s="190">
        <f>IF(COUNT(GM15,GS15,HA15)=0,"",SUM(GM15,GS15,HA15)/COUNT(GM15,GS15,HA15))</f>
        <v>4</v>
      </c>
      <c r="HD15" s="188" t="str">
        <f t="shared" si="61"/>
        <v>A</v>
      </c>
      <c r="HE15" s="110"/>
      <c r="HF15" s="111"/>
      <c r="HG15" s="112"/>
      <c r="HH15" s="165" t="str">
        <f>IFERROR((((COUNTIF('Elève (3ème4)'!HE15:HG15,"A"))*4)+((COUNTIF('Elève (3ème4)'!HE15:HG15,"B"))*3)+((COUNTIF('Elève (3ème4)'!HE15:HG15,"C"))*2)+((COUNTIF('Elève (3ème4)'!HE15:HG15,"D"))*1))/(COUNTA(HE15:HG15)),"")</f>
        <v/>
      </c>
      <c r="HI15" s="166" t="str">
        <f t="shared" si="62"/>
        <v/>
      </c>
      <c r="HJ15" s="110"/>
      <c r="HK15" s="111"/>
      <c r="HL15" s="112"/>
      <c r="HM15" s="112"/>
      <c r="HN15" s="165" t="str">
        <f>IFERROR((((COUNTIF('Elève (3ème4)'!HJ15:HM15,"A"))*4)+((COUNTIF('Elève (3ème4)'!HJ15:HM15,"B"))*3)+((COUNTIF('Elève (3ème4)'!HJ15:HM15,"C"))*2)+((COUNTIF('Elève (3ème4)'!HJ15:HM15,"D"))*1))/(COUNTA(HJ15:HM15)),"")</f>
        <v/>
      </c>
      <c r="HO15" s="166" t="str">
        <f t="shared" si="63"/>
        <v/>
      </c>
      <c r="HP15" s="110"/>
      <c r="HQ15" s="111"/>
      <c r="HR15" s="112"/>
      <c r="HS15" s="112" t="s">
        <v>27</v>
      </c>
      <c r="HT15" s="112"/>
      <c r="HU15" s="116"/>
      <c r="HV15" s="165">
        <f>IFERROR((((COUNTIF('Elève (3ème4)'!HP15:HU15,"A"))*4)+((COUNTIF('Elève (3ème4)'!HP15:HU15,"B"))*3)+((COUNTIF('Elève (3ème4)'!HP15:HU15,"C"))*2)+((COUNTIF('Elève (3ème4)'!HP15:HU15,"D"))*1))/(COUNTA(HP15:HU15)),"")</f>
        <v>4</v>
      </c>
      <c r="HW15" s="166" t="str">
        <f t="shared" si="64"/>
        <v>A</v>
      </c>
      <c r="HX15" s="190">
        <f>IF(COUNT(HH15,HN15,HV15)=0,"",SUM(HH15,HN15,HV15)/COUNT(HH15,HN15,HV15))</f>
        <v>4</v>
      </c>
      <c r="HY15" s="188" t="str">
        <f t="shared" si="65"/>
        <v>A</v>
      </c>
      <c r="HZ15" s="110"/>
      <c r="IA15" s="111"/>
      <c r="IB15" s="112"/>
      <c r="IC15" s="165" t="str">
        <f>IFERROR((((COUNTIF('Elève (3ème4)'!HZ15:IB15,"A"))*4)+((COUNTIF('Elève (3ème4)'!HZ15:IB15,"B"))*3)+((COUNTIF('Elève (3ème4)'!HZ15:IB15,"C"))*2)+((COUNTIF('Elève (3ème4)'!HZ15:IB15,"D"))*1))/(COUNTA(HZ15:IB15)),"")</f>
        <v/>
      </c>
      <c r="ID15" s="166" t="str">
        <f t="shared" si="66"/>
        <v/>
      </c>
      <c r="IE15" s="110"/>
      <c r="IF15" s="111"/>
      <c r="IG15" s="112"/>
      <c r="IH15" s="112"/>
      <c r="II15" s="165" t="str">
        <f>IFERROR((((COUNTIF('Elève (3ème4)'!IE15:IH15,"A"))*4)+((COUNTIF('Elève (3ème4)'!IE15:IH15,"B"))*3)+((COUNTIF('Elève (3ème4)'!IE15:IH15,"C"))*2)+((COUNTIF('Elève (3ème4)'!IE15:IH15,"D"))*1))/(COUNTA(IE15:IH15)),"")</f>
        <v/>
      </c>
      <c r="IJ15" s="166" t="str">
        <f t="shared" si="67"/>
        <v/>
      </c>
      <c r="IK15" s="110"/>
      <c r="IL15" s="111"/>
      <c r="IM15" s="112"/>
      <c r="IN15" s="112" t="s">
        <v>28</v>
      </c>
      <c r="IO15" s="112"/>
      <c r="IP15" s="116"/>
      <c r="IQ15" s="165">
        <f>IFERROR((((COUNTIF('Elève (3ème4)'!IK15:IP15,"A"))*4)+((COUNTIF('Elève (3ème4)'!IK15:IP15,"B"))*3)+((COUNTIF('Elève (3ème4)'!IK15:IP15,"C"))*2)+((COUNTIF('Elève (3ème4)'!IK15:IP15,"D"))*1))/(COUNTA(IK15:IP15)),"")</f>
        <v>3</v>
      </c>
      <c r="IR15" s="166" t="str">
        <f t="shared" si="68"/>
        <v>B</v>
      </c>
      <c r="IS15" s="190">
        <f>IF(COUNT(IC15,II15,IQ15)=0,"",SUM(IC15,II15,IQ15)/COUNT(IC15,II15,IQ15))</f>
        <v>3</v>
      </c>
      <c r="IT15" s="188" t="str">
        <f t="shared" si="69"/>
        <v>B</v>
      </c>
      <c r="IU15" s="110"/>
      <c r="IV15" s="111"/>
      <c r="IW15" s="112"/>
      <c r="IX15" s="165" t="str">
        <f>IFERROR((((COUNTIF('Elève (3ème4)'!IU15:IW15,"A"))*4)+((COUNTIF('Elève (3ème4)'!IU15:IW15,"B"))*3)+((COUNTIF('Elève (3ème4)'!IU15:IW15,"C"))*2)+((COUNTIF('Elève (3ème4)'!IU15:IW15,"D"))*1))/(COUNTA(IU15:IW15)),"")</f>
        <v/>
      </c>
      <c r="IY15" s="166" t="str">
        <f t="shared" si="70"/>
        <v/>
      </c>
      <c r="IZ15" s="110"/>
      <c r="JA15" s="111"/>
      <c r="JB15" s="112"/>
      <c r="JC15" s="112"/>
      <c r="JD15" s="165" t="str">
        <f>IFERROR((((COUNTIF('Elève (3ème4)'!IZ15:JC15,"A"))*4)+((COUNTIF('Elève (3ème4)'!IZ15:JC15,"B"))*3)+((COUNTIF('Elève (3ème4)'!IZ15:JC15,"C"))*2)+((COUNTIF('Elève (3ème4)'!IZ15:JC15,"D"))*1))/(COUNTA(IZ15:JC15)),"")</f>
        <v/>
      </c>
      <c r="JE15" s="166" t="str">
        <f t="shared" si="71"/>
        <v/>
      </c>
      <c r="JF15" s="110"/>
      <c r="JG15" s="111"/>
      <c r="JH15" s="112" t="s">
        <v>29</v>
      </c>
      <c r="JI15" s="112" t="s">
        <v>27</v>
      </c>
      <c r="JJ15" s="112"/>
      <c r="JK15" s="116"/>
      <c r="JL15" s="165">
        <f>IFERROR((((COUNTIF('Elève (3ème4)'!JF15:JK15,"A"))*4)+((COUNTIF('Elève (3ème4)'!JF15:JK15,"B"))*3)+((COUNTIF('Elève (3ème4)'!JF15:JK15,"C"))*2)+((COUNTIF('Elève (3ème4)'!JF15:JK15,"D"))*1))/(COUNTA(JF15:JK15)),"")</f>
        <v>3</v>
      </c>
      <c r="JM15" s="166" t="str">
        <f t="shared" si="72"/>
        <v>B</v>
      </c>
      <c r="JN15" s="190">
        <f>IF(COUNT(IX15,JD15,JL15)=0,"",SUM(IX15,JD15,JL15)/COUNT(IX15,JD15,JL15))</f>
        <v>3</v>
      </c>
      <c r="JO15" s="188" t="str">
        <f t="shared" si="73"/>
        <v>B</v>
      </c>
      <c r="JP15" s="110"/>
      <c r="JQ15" s="111"/>
      <c r="JR15" s="112"/>
      <c r="JS15" s="165" t="str">
        <f>IFERROR((((COUNTIF('Elève (3ème4)'!JP15:JR15,"A"))*4)+((COUNTIF('Elève (3ème4)'!JP15:JR15,"B"))*3)+((COUNTIF('Elève (3ème4)'!JP15:JR15,"C"))*2)+((COUNTIF('Elève (3ème4)'!JP15:JR15,"D"))*1))/(COUNTA(JP15:JR15)),"")</f>
        <v/>
      </c>
      <c r="JT15" s="166" t="str">
        <f t="shared" si="74"/>
        <v/>
      </c>
      <c r="JU15" s="110"/>
      <c r="JV15" s="111"/>
      <c r="JW15" s="112"/>
      <c r="JX15" s="112"/>
      <c r="JY15" s="165" t="str">
        <f>IFERROR((((COUNTIF('Elève (3ème4)'!JU15:JX15,"A"))*4)+((COUNTIF('Elève (3ème4)'!JU15:JX15,"B"))*3)+((COUNTIF('Elève (3ème4)'!JU15:JX15,"C"))*2)+((COUNTIF('Elève (3ème4)'!JU15:JX15,"D"))*1))/(COUNTA(JU15:JX15)),"")</f>
        <v/>
      </c>
      <c r="JZ15" s="166" t="str">
        <f t="shared" si="75"/>
        <v/>
      </c>
      <c r="KA15" s="110"/>
      <c r="KB15" s="111"/>
      <c r="KC15" s="112"/>
      <c r="KD15" s="112" t="s">
        <v>28</v>
      </c>
      <c r="KE15" s="112"/>
      <c r="KF15" s="116"/>
      <c r="KG15" s="165">
        <f>IFERROR((((COUNTIF('Elève (3ème4)'!KA15:KF15,"A"))*4)+((COUNTIF('Elève (3ème4)'!KA15:KF15,"B"))*3)+((COUNTIF('Elève (3ème4)'!KA15:KF15,"C"))*2)+((COUNTIF('Elève (3ème4)'!KA15:KF15,"D"))*1))/(COUNTA(KA15:KF15)),"")</f>
        <v>3</v>
      </c>
      <c r="KH15" s="166" t="str">
        <f t="shared" si="76"/>
        <v>B</v>
      </c>
      <c r="KI15" s="190">
        <f>IF(COUNT(JS15,JY15,KG15)=0,"",SUM(JS15,JY15,KG15)/COUNT(JS15,JY15,KG15))</f>
        <v>3</v>
      </c>
      <c r="KJ15" s="188" t="str">
        <f t="shared" si="77"/>
        <v>B</v>
      </c>
      <c r="KK15" s="110"/>
      <c r="KL15" s="111"/>
      <c r="KM15" s="112"/>
      <c r="KN15" s="165" t="str">
        <f>IFERROR((((COUNTIF('Elève (3ème4)'!KK15:KM15,"A"))*4)+((COUNTIF('Elève (3ème4)'!KK15:KM15,"B"))*3)+((COUNTIF('Elève (3ème4)'!KK15:KM15,"C"))*2)+((COUNTIF('Elève (3ème4)'!KK15:KM15,"D"))*1))/(COUNTA(KK15:KM15)),"")</f>
        <v/>
      </c>
      <c r="KO15" s="166" t="str">
        <f t="shared" si="78"/>
        <v/>
      </c>
      <c r="KP15" s="110"/>
      <c r="KQ15" s="111"/>
      <c r="KR15" s="112"/>
      <c r="KS15" s="112"/>
      <c r="KT15" s="165" t="str">
        <f>IFERROR((((COUNTIF('Elève (3ème4)'!KP15:KS15,"A"))*4)+((COUNTIF('Elève (3ème4)'!KP15:KS15,"B"))*3)+((COUNTIF('Elève (3ème4)'!KP15:KS15,"C"))*2)+((COUNTIF('Elève (3ème4)'!KP15:KS15,"D"))*1))/(COUNTA(KP15:KS15)),"")</f>
        <v/>
      </c>
      <c r="KU15" s="166" t="str">
        <f t="shared" si="79"/>
        <v/>
      </c>
      <c r="KV15" s="110"/>
      <c r="KW15" s="111"/>
      <c r="KX15" s="112"/>
      <c r="KY15" s="112" t="s">
        <v>27</v>
      </c>
      <c r="KZ15" s="112"/>
      <c r="LA15" s="116"/>
      <c r="LB15" s="165">
        <f>IFERROR((((COUNTIF('Elève (3ème4)'!KV15:LA15,"A"))*4)+((COUNTIF('Elève (3ème4)'!KV15:LA15,"B"))*3)+((COUNTIF('Elève (3ème4)'!KV15:LA15,"C"))*2)+((COUNTIF('Elève (3ème4)'!KV15:LA15,"D"))*1))/(COUNTA(KV15:LA15)),"")</f>
        <v>4</v>
      </c>
      <c r="LC15" s="166" t="str">
        <f t="shared" si="80"/>
        <v>A</v>
      </c>
      <c r="LD15" s="190">
        <f>IF(COUNT(KN15,KT15,LB15)=0,"",SUM(KN15,KT15,LB15)/COUNT(KN15,KT15,LB15))</f>
        <v>4</v>
      </c>
      <c r="LE15" s="188" t="str">
        <f t="shared" si="81"/>
        <v>A</v>
      </c>
      <c r="LF15" s="110"/>
      <c r="LG15" s="111"/>
      <c r="LH15" s="112"/>
      <c r="LI15" s="165" t="str">
        <f>IFERROR((((COUNTIF('Elève (3ème4)'!LF15:LH15,"A"))*4)+((COUNTIF('Elève (3ème4)'!LF15:LH15,"B"))*3)+((COUNTIF('Elève (3ème4)'!LF15:LH15,"C"))*2)+((COUNTIF('Elève (3ème4)'!LF15:LH15,"D"))*1))/(COUNTA(LF15:LH15)),"")</f>
        <v/>
      </c>
      <c r="LJ15" s="166" t="str">
        <f t="shared" si="82"/>
        <v/>
      </c>
      <c r="LK15" s="110"/>
      <c r="LL15" s="111"/>
      <c r="LM15" s="112"/>
      <c r="LN15" s="112"/>
      <c r="LO15" s="165" t="str">
        <f>IFERROR((((COUNTIF('Elève (3ème4)'!LK15:LN15,"A"))*4)+((COUNTIF('Elève (3ème4)'!LK15:LN15,"B"))*3)+((COUNTIF('Elève (3ème4)'!LK15:LN15,"C"))*2)+((COUNTIF('Elève (3ème4)'!LK15:LN15,"D"))*1))/(COUNTA(LK15:LN15)),"")</f>
        <v/>
      </c>
      <c r="LP15" s="166" t="str">
        <f t="shared" si="83"/>
        <v/>
      </c>
      <c r="LQ15" s="110"/>
      <c r="LR15" s="111"/>
      <c r="LS15" s="112"/>
      <c r="LT15" s="112" t="s">
        <v>28</v>
      </c>
      <c r="LU15" s="112"/>
      <c r="LV15" s="116"/>
      <c r="LW15" s="165">
        <f>IFERROR((((COUNTIF('Elève (3ème4)'!LQ15:LV15,"A"))*4)+((COUNTIF('Elève (3ème4)'!LQ15:LV15,"B"))*3)+((COUNTIF('Elève (3ème4)'!LQ15:LV15,"C"))*2)+((COUNTIF('Elève (3ème4)'!LQ15:LV15,"D"))*1))/(COUNTA(LQ15:LV15)),"")</f>
        <v>3</v>
      </c>
      <c r="LX15" s="166" t="str">
        <f t="shared" si="84"/>
        <v>B</v>
      </c>
      <c r="LY15" s="190">
        <f>IF(COUNT(LI15,LO15,LW15)=0,"",SUM(LI15,LO15,LW15)/COUNT(LI15,LO15,LW15))</f>
        <v>3</v>
      </c>
      <c r="LZ15" s="188" t="str">
        <f t="shared" si="85"/>
        <v>B</v>
      </c>
      <c r="MA15" s="110"/>
      <c r="MB15" s="111"/>
      <c r="MC15" s="112"/>
      <c r="MD15" s="165" t="str">
        <f>IFERROR((((COUNTIF('Elève (3ème4)'!MA15:MC15,"A"))*4)+((COUNTIF('Elève (3ème4)'!MA15:MC15,"B"))*3)+((COUNTIF('Elève (3ème4)'!MA15:MC15,"C"))*2)+((COUNTIF('Elève (3ème4)'!MA15:MC15,"D"))*1))/(COUNTA(MA15:MC15)),"")</f>
        <v/>
      </c>
      <c r="ME15" s="166" t="str">
        <f t="shared" si="86"/>
        <v/>
      </c>
      <c r="MF15" s="110"/>
      <c r="MG15" s="111"/>
      <c r="MH15" s="112"/>
      <c r="MI15" s="112"/>
      <c r="MJ15" s="165" t="str">
        <f>IFERROR((((COUNTIF('Elève (3ème4)'!MF15:MI15,"A"))*4)+((COUNTIF('Elève (3ème4)'!MF15:MI15,"B"))*3)+((COUNTIF('Elève (3ème4)'!MF15:MI15,"C"))*2)+((COUNTIF('Elève (3ème4)'!MF15:MI15,"D"))*1))/(COUNTA(MF15:MI15)),"")</f>
        <v/>
      </c>
      <c r="MK15" s="166" t="str">
        <f t="shared" si="87"/>
        <v/>
      </c>
      <c r="ML15" s="110"/>
      <c r="MM15" s="111"/>
      <c r="MN15" s="112"/>
      <c r="MO15" s="112" t="s">
        <v>28</v>
      </c>
      <c r="MP15" s="112"/>
      <c r="MQ15" s="116"/>
      <c r="MR15" s="165">
        <f>IFERROR((((COUNTIF('Elève (3ème4)'!ML15:MQ15,"A"))*4)+((COUNTIF('Elève (3ème4)'!ML15:MQ15,"B"))*3)+((COUNTIF('Elève (3ème4)'!ML15:MQ15,"C"))*2)+((COUNTIF('Elève (3ème4)'!ML15:MQ15,"D"))*1))/(COUNTA(ML15:MQ15)),"")</f>
        <v>3</v>
      </c>
      <c r="MS15" s="166" t="str">
        <f t="shared" si="88"/>
        <v>B</v>
      </c>
      <c r="MT15" s="190">
        <f>IF(COUNT(MD15,MJ15,MR15)=0,"",SUM(MD15,MJ15,MR15)/COUNT(MD15,MJ15,MR15))</f>
        <v>3</v>
      </c>
      <c r="MU15" s="188" t="str">
        <f t="shared" si="89"/>
        <v>B</v>
      </c>
      <c r="MV15" s="110"/>
      <c r="MW15" s="111"/>
      <c r="MX15" s="112"/>
      <c r="MY15" s="165" t="str">
        <f>IFERROR((((COUNTIF('Elève (3ème4)'!MV15:MX15,"A"))*4)+((COUNTIF('Elève (3ème4)'!MV15:MX15,"B"))*3)+((COUNTIF('Elève (3ème4)'!MV15:MX15,"C"))*2)+((COUNTIF('Elève (3ème4)'!MV15:MX15,"D"))*1))/(COUNTA(MV15:MX15)),"")</f>
        <v/>
      </c>
      <c r="MZ15" s="166" t="str">
        <f t="shared" si="90"/>
        <v/>
      </c>
      <c r="NA15" s="110"/>
      <c r="NB15" s="111"/>
      <c r="NC15" s="112"/>
      <c r="ND15" s="112"/>
      <c r="NE15" s="165" t="str">
        <f>IFERROR((((COUNTIF('Elève (3ème4)'!NA15:ND15,"A"))*4)+((COUNTIF('Elève (3ème4)'!NA15:ND15,"B"))*3)+((COUNTIF('Elève (3ème4)'!NA15:ND15,"C"))*2)+((COUNTIF('Elève (3ème4)'!NA15:ND15,"D"))*1))/(COUNTA(NA15:ND15)),"")</f>
        <v/>
      </c>
      <c r="NF15" s="166" t="str">
        <f t="shared" si="91"/>
        <v/>
      </c>
      <c r="NG15" s="110"/>
      <c r="NH15" s="111"/>
      <c r="NI15" s="112" t="s">
        <v>28</v>
      </c>
      <c r="NJ15" s="112" t="s">
        <v>28</v>
      </c>
      <c r="NK15" s="112"/>
      <c r="NL15" s="116"/>
      <c r="NM15" s="165">
        <f>IFERROR((((COUNTIF('Elève (3ème4)'!NG15:NL15,"A"))*4)+((COUNTIF('Elève (3ème4)'!NG15:NL15,"B"))*3)+((COUNTIF('Elève (3ème4)'!NG15:NL15,"C"))*2)+((COUNTIF('Elève (3ème4)'!NG15:NL15,"D"))*1))/(COUNTA(NG15:NL15)),"")</f>
        <v>3</v>
      </c>
      <c r="NN15" s="166" t="str">
        <f t="shared" si="92"/>
        <v>B</v>
      </c>
      <c r="NO15" s="190">
        <f>IF(COUNT(MY15,NE15,NM15)=0,"",SUM(MY15,NE15,NM15)/COUNT(MY15,NE15,NM15))</f>
        <v>3</v>
      </c>
      <c r="NP15" s="188" t="str">
        <f t="shared" si="93"/>
        <v>B</v>
      </c>
      <c r="NQ15" s="110"/>
      <c r="NR15" s="111"/>
      <c r="NS15" s="112"/>
      <c r="NT15" s="165" t="str">
        <f>IFERROR((((COUNTIF('Elève (3ème4)'!NQ15:NS15,"A"))*4)+((COUNTIF('Elève (3ème4)'!NQ15:NS15,"B"))*3)+((COUNTIF('Elève (3ème4)'!NQ15:NS15,"C"))*2)+((COUNTIF('Elève (3ème4)'!NQ15:NS15,"D"))*1))/(COUNTA(NQ15:NS15)),"")</f>
        <v/>
      </c>
      <c r="NU15" s="166" t="str">
        <f t="shared" si="94"/>
        <v/>
      </c>
      <c r="NV15" s="110"/>
      <c r="NW15" s="111"/>
      <c r="NX15" s="112"/>
      <c r="NY15" s="112"/>
      <c r="NZ15" s="165" t="str">
        <f>IFERROR((((COUNTIF('Elève (3ème4)'!NV15:NY15,"A"))*4)+((COUNTIF('Elève (3ème4)'!NV15:NY15,"B"))*3)+((COUNTIF('Elève (3ème4)'!NV15:NY15,"C"))*2)+((COUNTIF('Elève (3ème4)'!NV15:NY15,"D"))*1))/(COUNTA(NV15:NY15)),"")</f>
        <v/>
      </c>
      <c r="OA15" s="166" t="str">
        <f t="shared" si="95"/>
        <v/>
      </c>
      <c r="OB15" s="110"/>
      <c r="OC15" s="111"/>
      <c r="OD15" s="112" t="s">
        <v>27</v>
      </c>
      <c r="OE15" s="112" t="s">
        <v>27</v>
      </c>
      <c r="OF15" s="112"/>
      <c r="OG15" s="116"/>
      <c r="OH15" s="165">
        <f>IFERROR((((COUNTIF('Elève (3ème4)'!OB15:OG15,"A"))*4)+((COUNTIF('Elève (3ème4)'!OB15:OG15,"B"))*3)+((COUNTIF('Elève (3ème4)'!OB15:OG15,"C"))*2)+((COUNTIF('Elève (3ème4)'!OB15:OG15,"D"))*1))/(COUNTA(OB15:OG15)),"")</f>
        <v>4</v>
      </c>
      <c r="OI15" s="166" t="str">
        <f t="shared" si="96"/>
        <v>A</v>
      </c>
      <c r="OJ15" s="190">
        <f>IF(COUNT(NT15,NZ15,OH15)=0,"",SUM(NT15,NZ15,OH15)/COUNT(NT15,NZ15,OH15))</f>
        <v>4</v>
      </c>
      <c r="OK15" s="188" t="str">
        <f t="shared" si="97"/>
        <v>A</v>
      </c>
      <c r="OL15" s="110"/>
      <c r="OM15" s="111"/>
      <c r="ON15" s="112"/>
      <c r="OO15" s="165" t="str">
        <f>IFERROR((((COUNTIF('Elève (3ème4)'!OL15:ON15,"A"))*4)+((COUNTIF('Elève (3ème4)'!OL15:ON15,"B"))*3)+((COUNTIF('Elève (3ème4)'!OL15:ON15,"C"))*2)+((COUNTIF('Elève (3ème4)'!OL15:ON15,"D"))*1))/(COUNTA(OL15:ON15)),"")</f>
        <v/>
      </c>
      <c r="OP15" s="166" t="str">
        <f t="shared" si="98"/>
        <v/>
      </c>
      <c r="OQ15" s="110"/>
      <c r="OR15" s="111"/>
      <c r="OS15" s="112"/>
      <c r="OT15" s="112"/>
      <c r="OU15" s="165" t="str">
        <f>IFERROR((((COUNTIF('Elève (3ème4)'!OQ15:OT15,"A"))*4)+((COUNTIF('Elève (3ème4)'!OQ15:OT15,"B"))*3)+((COUNTIF('Elève (3ème4)'!OQ15:OT15,"C"))*2)+((COUNTIF('Elève (3ème4)'!OQ15:OT15,"D"))*1))/(COUNTA(OQ15:OT15)),"")</f>
        <v/>
      </c>
      <c r="OV15" s="166" t="str">
        <f t="shared" si="99"/>
        <v/>
      </c>
      <c r="OW15" s="110"/>
      <c r="OX15" s="111"/>
      <c r="OY15" s="112" t="s">
        <v>28</v>
      </c>
      <c r="OZ15" s="112" t="s">
        <v>27</v>
      </c>
      <c r="PA15" s="112"/>
      <c r="PB15" s="116"/>
      <c r="PC15" s="165">
        <f>IFERROR((((COUNTIF('Elève (3ème4)'!OW15:PB15,"A"))*4)+((COUNTIF('Elève (3ème4)'!OW15:PB15,"B"))*3)+((COUNTIF('Elève (3ème4)'!OW15:PB15,"C"))*2)+((COUNTIF('Elève (3ème4)'!OW15:PB15,"D"))*1))/(COUNTA(OW15:PB15)),"")</f>
        <v>3.5</v>
      </c>
      <c r="PD15" s="166" t="str">
        <f t="shared" si="100"/>
        <v>B</v>
      </c>
      <c r="PE15" s="190">
        <f>IF(COUNT(OO15,OU15,PC15)=0,"",SUM(OO15,OU15,PC15)/COUNT(OO15,OU15,PC15))</f>
        <v>3.5</v>
      </c>
      <c r="PF15" s="188" t="str">
        <f t="shared" si="101"/>
        <v>B</v>
      </c>
      <c r="PG15" s="110"/>
      <c r="PH15" s="111"/>
      <c r="PI15" s="112"/>
      <c r="PJ15" s="165" t="str">
        <f>IFERROR((((COUNTIF('Elève (3ème4)'!PG15:PI15,"A"))*4)+((COUNTIF('Elève (3ème4)'!PG15:PI15,"B"))*3)+((COUNTIF('Elève (3ème4)'!PG15:PI15,"C"))*2)+((COUNTIF('Elève (3ème4)'!PG15:PI15,"D"))*1))/(COUNTA(PG15:PI15)),"")</f>
        <v/>
      </c>
      <c r="PK15" s="166" t="str">
        <f t="shared" si="102"/>
        <v/>
      </c>
      <c r="PL15" s="110"/>
      <c r="PM15" s="111"/>
      <c r="PN15" s="112"/>
      <c r="PO15" s="112"/>
      <c r="PP15" s="165" t="str">
        <f>IFERROR((((COUNTIF('Elève (3ème4)'!PL15:PO15,"A"))*4)+((COUNTIF('Elève (3ème4)'!PL15:PO15,"B"))*3)+((COUNTIF('Elève (3ème4)'!PL15:PO15,"C"))*2)+((COUNTIF('Elève (3ème4)'!PL15:PO15,"D"))*1))/(COUNTA(PL15:PO15)),"")</f>
        <v/>
      </c>
      <c r="PQ15" s="166" t="str">
        <f t="shared" si="103"/>
        <v/>
      </c>
      <c r="PR15" s="110"/>
      <c r="PS15" s="111"/>
      <c r="PT15" s="112" t="s">
        <v>27</v>
      </c>
      <c r="PU15" s="112" t="s">
        <v>27</v>
      </c>
      <c r="PV15" s="112"/>
      <c r="PW15" s="116"/>
      <c r="PX15" s="165">
        <f>IFERROR((((COUNTIF('Elève (3ème4)'!PR15:PW15,"A"))*4)+((COUNTIF('Elève (3ème4)'!PR15:PW15,"B"))*3)+((COUNTIF('Elève (3ème4)'!PR15:PW15,"C"))*2)+((COUNTIF('Elève (3ème4)'!PR15:PW15,"D"))*1))/(COUNTA(PR15:PW15)),"")</f>
        <v>4</v>
      </c>
      <c r="PY15" s="166" t="str">
        <f t="shared" si="104"/>
        <v>A</v>
      </c>
      <c r="PZ15" s="190">
        <f>IF(COUNT(PJ15,PP15,PX15)=0,"",SUM(PJ15,PP15,PX15)/COUNT(PJ15,PP15,PX15))</f>
        <v>4</v>
      </c>
      <c r="QA15" s="188" t="str">
        <f t="shared" si="105"/>
        <v>A</v>
      </c>
      <c r="QB15" s="110"/>
      <c r="QC15" s="111"/>
      <c r="QD15" s="112"/>
      <c r="QE15" s="165" t="str">
        <f>IFERROR((((COUNTIF('Elève (3ème4)'!QB15:QD15,"A"))*4)+((COUNTIF('Elève (3ème4)'!QB15:QD15,"B"))*3)+((COUNTIF('Elève (3ème4)'!QB15:QD15,"C"))*2)+((COUNTIF('Elève (3ème4)'!QB15:QD15,"D"))*1))/(COUNTA(QB15:QD15)),"")</f>
        <v/>
      </c>
      <c r="QF15" s="166" t="str">
        <f t="shared" si="106"/>
        <v/>
      </c>
      <c r="QG15" s="110"/>
      <c r="QH15" s="111"/>
      <c r="QI15" s="112"/>
      <c r="QJ15" s="112"/>
      <c r="QK15" s="165" t="str">
        <f>IFERROR((((COUNTIF('Elève (3ème4)'!QG15:QJ15,"A"))*4)+((COUNTIF('Elève (3ème4)'!QG15:QJ15,"B"))*3)+((COUNTIF('Elève (3ème4)'!QG15:QJ15,"C"))*2)+((COUNTIF('Elève (3ème4)'!QG15:QJ15,"D"))*1))/(COUNTA(QG15:QJ15)),"")</f>
        <v/>
      </c>
      <c r="QL15" s="166" t="str">
        <f t="shared" si="107"/>
        <v/>
      </c>
      <c r="QM15" s="110"/>
      <c r="QN15" s="111"/>
      <c r="QO15" s="112" t="s">
        <v>28</v>
      </c>
      <c r="QP15" s="112" t="s">
        <v>27</v>
      </c>
      <c r="QQ15" s="112"/>
      <c r="QR15" s="116"/>
      <c r="QS15" s="165">
        <f>IFERROR((((COUNTIF('Elève (3ème4)'!QM15:QR15,"A"))*4)+((COUNTIF('Elève (3ème4)'!QM15:QR15,"B"))*3)+((COUNTIF('Elève (3ème4)'!QM15:QR15,"C"))*2)+((COUNTIF('Elève (3ème4)'!QM15:QR15,"D"))*1))/(COUNTA(QM15:QR15)),"")</f>
        <v>3.5</v>
      </c>
      <c r="QT15" s="166" t="str">
        <f t="shared" si="108"/>
        <v>B</v>
      </c>
      <c r="QU15" s="190">
        <f>IF(COUNT(QE15,QK15,QS15)=0,"",SUM(QE15,QK15,QS15)/COUNT(QE15,QK15,QS15))</f>
        <v>3.5</v>
      </c>
      <c r="QV15" s="188" t="str">
        <f t="shared" si="109"/>
        <v>B</v>
      </c>
      <c r="QW15" s="110"/>
      <c r="QX15" s="111"/>
      <c r="QY15" s="112"/>
      <c r="QZ15" s="165" t="str">
        <f>IFERROR((((COUNTIF('Elève (3ème4)'!QW15:QY15,"A"))*4)+((COUNTIF('Elève (3ème4)'!QW15:QY15,"B"))*3)+((COUNTIF('Elève (3ème4)'!QW15:QY15,"C"))*2)+((COUNTIF('Elève (3ème4)'!QW15:QY15,"D"))*1))/(COUNTA(QW15:QY15)),"")</f>
        <v/>
      </c>
      <c r="RA15" s="166" t="str">
        <f t="shared" si="110"/>
        <v/>
      </c>
      <c r="RB15" s="110"/>
      <c r="RC15" s="111"/>
      <c r="RD15" s="112"/>
      <c r="RE15" s="112"/>
      <c r="RF15" s="165" t="str">
        <f>IFERROR((((COUNTIF('Elève (3ème4)'!RB15:RE15,"A"))*4)+((COUNTIF('Elève (3ème4)'!RB15:RE15,"B"))*3)+((COUNTIF('Elève (3ème4)'!RB15:RE15,"C"))*2)+((COUNTIF('Elève (3ème4)'!RB15:RE15,"D"))*1))/(COUNTA(RB15:RE15)),"")</f>
        <v/>
      </c>
      <c r="RG15" s="166" t="str">
        <f t="shared" si="111"/>
        <v/>
      </c>
      <c r="RH15" s="110"/>
      <c r="RI15" s="111"/>
      <c r="RJ15" s="112"/>
      <c r="RK15" s="112" t="s">
        <v>27</v>
      </c>
      <c r="RL15" s="112"/>
      <c r="RM15" s="116"/>
      <c r="RN15" s="165">
        <f>IFERROR((((COUNTIF('Elève (3ème4)'!RH15:RM15,"A"))*4)+((COUNTIF('Elève (3ème4)'!RH15:RM15,"B"))*3)+((COUNTIF('Elève (3ème4)'!RH15:RM15,"C"))*2)+((COUNTIF('Elève (3ème4)'!RH15:RM15,"D"))*1))/(COUNTA(RH15:RM15)),"")</f>
        <v>4</v>
      </c>
      <c r="RO15" s="166" t="str">
        <f t="shared" si="112"/>
        <v>A</v>
      </c>
      <c r="RP15" s="190">
        <f>IF(COUNT(QZ15,RF15,RN15)=0,"",SUM(QZ15,RF15,RN15)/COUNT(QZ15,RF15,RN15))</f>
        <v>4</v>
      </c>
      <c r="RQ15" s="188" t="str">
        <f t="shared" si="113"/>
        <v>A</v>
      </c>
      <c r="RR15" s="110"/>
      <c r="RS15" s="111"/>
      <c r="RT15" s="112"/>
      <c r="RU15" s="165" t="str">
        <f>IFERROR((((COUNTIF('Elève (3ème4)'!RR15:RT15,"A"))*4)+((COUNTIF('Elève (3ème4)'!RR15:RT15,"B"))*3)+((COUNTIF('Elève (3ème4)'!RR15:RT15,"C"))*2)+((COUNTIF('Elève (3ème4)'!RR15:RT15,"D"))*1))/(COUNTA(RR15:RT15)),"")</f>
        <v/>
      </c>
      <c r="RV15" s="166" t="str">
        <f t="shared" si="114"/>
        <v/>
      </c>
      <c r="RW15" s="110"/>
      <c r="RX15" s="111"/>
      <c r="RY15" s="112"/>
      <c r="RZ15" s="112"/>
      <c r="SA15" s="165" t="str">
        <f>IFERROR((((COUNTIF('Elève (3ème4)'!RW15:RZ15,"A"))*4)+((COUNTIF('Elève (3ème4)'!RW15:RZ15,"B"))*3)+((COUNTIF('Elève (3ème4)'!RW15:RZ15,"C"))*2)+((COUNTIF('Elève (3ème4)'!RW15:RZ15,"D"))*1))/(COUNTA(RW15:RZ15)),"")</f>
        <v/>
      </c>
      <c r="SB15" s="166" t="str">
        <f t="shared" si="115"/>
        <v/>
      </c>
      <c r="SC15" s="110"/>
      <c r="SD15" s="111"/>
      <c r="SE15" s="112"/>
      <c r="SF15" s="112" t="s">
        <v>28</v>
      </c>
      <c r="SG15" s="112"/>
      <c r="SH15" s="116"/>
      <c r="SI15" s="165">
        <f>IFERROR((((COUNTIF('Elève (3ème4)'!SC15:SH15,"A"))*4)+((COUNTIF('Elève (3ème4)'!SC15:SH15,"B"))*3)+((COUNTIF('Elève (3ème4)'!SC15:SH15,"C"))*2)+((COUNTIF('Elève (3ème4)'!SC15:SH15,"D"))*1))/(COUNTA(SC15:SH15)),"")</f>
        <v>3</v>
      </c>
      <c r="SJ15" s="166" t="str">
        <f t="shared" si="116"/>
        <v>B</v>
      </c>
      <c r="SK15" s="190">
        <f>IF(COUNT(RU15,SA15,SI15)=0,"",SUM(RU15,SA15,SI15)/COUNT(RU15,SA15,SI15))</f>
        <v>3</v>
      </c>
      <c r="SL15" s="188" t="str">
        <f t="shared" si="117"/>
        <v>B</v>
      </c>
      <c r="SM15" s="110"/>
      <c r="SN15" s="111"/>
      <c r="SO15" s="112"/>
      <c r="SP15" s="113" t="str">
        <f>IFERROR((((COUNTIF('Elève (3ème4)'!SM15:SO15,"A"))*4)+((COUNTIF('Elève (3ème4)'!SM15:SO15,"B"))*3)+((COUNTIF('Elève (3ème4)'!SM15:SO15,"C"))*2)+((COUNTIF('Elève (3ème4)'!SM15:SO15,"D"))*1))/(COUNTA(SM15:SO15)),"")</f>
        <v/>
      </c>
      <c r="SQ15" s="114" t="str">
        <f t="shared" si="118"/>
        <v/>
      </c>
      <c r="SR15" s="110"/>
      <c r="SS15" s="111"/>
      <c r="ST15" s="112"/>
      <c r="SU15" s="113" t="str">
        <f>IFERROR((((COUNTIF('Elève (3ème4)'!SR15:ST15,"A"))*4)+((COUNTIF('Elève (3ème4)'!SR15:ST15,"B"))*3)+((COUNTIF('Elève (3ème4)'!SR15:ST15,"C"))*2)+((COUNTIF('Elève (3ème4)'!SR15:ST15,"D"))*1))/(COUNTA(SR15:ST15)),"")</f>
        <v/>
      </c>
      <c r="SV15" s="114" t="str">
        <f t="shared" si="119"/>
        <v/>
      </c>
      <c r="SW15" s="110"/>
      <c r="SX15" s="111"/>
      <c r="SY15" s="116"/>
      <c r="SZ15" s="113" t="str">
        <f>IFERROR((((COUNTIF('Elève (3ème4)'!SW15:SY15,"A"))*4)+((COUNTIF('Elève (3ème4)'!SW15:SY15,"B"))*3)+((COUNTIF('Elève (3ème4)'!SW15:SY15,"C"))*2)+((COUNTIF('Elève (3ème4)'!SW15:SY15,"D"))*1))/(COUNTA(SW15:SY15)),"")</f>
        <v/>
      </c>
      <c r="TA15" s="114" t="str">
        <f t="shared" si="120"/>
        <v/>
      </c>
      <c r="TB15" s="122" t="str">
        <f>IF(COUNT(SP15,SU15,SZ15)=0,"",SUM(SP15,SU15,SZ15)/COUNT(SP15,SU15,SZ15))</f>
        <v/>
      </c>
      <c r="TC15" s="115" t="str">
        <f t="shared" si="121"/>
        <v/>
      </c>
      <c r="TD15" s="110"/>
      <c r="TE15" s="111"/>
      <c r="TF15" s="112"/>
      <c r="TG15" s="113" t="str">
        <f>IFERROR((((COUNTIF('Elève (3ème4)'!TD15:TF15,"A"))*4)+((COUNTIF('Elève (3ème4)'!TD15:TF15,"B"))*3)+((COUNTIF('Elève (3ème4)'!TD15:TF15,"C"))*2)+((COUNTIF('Elève (3ème4)'!TD15:TF15,"D"))*1))/(COUNTA(TD15:TF15)),"")</f>
        <v/>
      </c>
      <c r="TH15" s="114" t="str">
        <f t="shared" si="122"/>
        <v/>
      </c>
      <c r="TI15" s="110"/>
      <c r="TJ15" s="111"/>
      <c r="TK15" s="112"/>
      <c r="TL15" s="113" t="str">
        <f>IFERROR((((COUNTIF('Elève (3ème4)'!TI15:TK15,"A"))*4)+((COUNTIF('Elève (3ème4)'!TI15:TK15,"B"))*3)+((COUNTIF('Elève (3ème4)'!TI15:TK15,"C"))*2)+((COUNTIF('Elève (3ème4)'!TI15:TK15,"D"))*1))/(COUNTA(TI15:TK15)),"")</f>
        <v/>
      </c>
      <c r="TM15" s="114" t="str">
        <f t="shared" si="123"/>
        <v/>
      </c>
      <c r="TN15" s="110"/>
      <c r="TO15" s="111"/>
      <c r="TP15" s="116"/>
      <c r="TQ15" s="113" t="str">
        <f>IFERROR((((COUNTIF('Elève (3ème4)'!TN15:TP15,"A"))*4)+((COUNTIF('Elève (3ème4)'!TN15:TP15,"B"))*3)+((COUNTIF('Elève (3ème4)'!TN15:TP15,"C"))*2)+((COUNTIF('Elève (3ème4)'!TN15:TP15,"D"))*1))/(COUNTA(TN15:TP15)),"")</f>
        <v/>
      </c>
      <c r="TR15" s="114" t="str">
        <f t="shared" si="124"/>
        <v/>
      </c>
      <c r="TS15" s="122" t="str">
        <f>IF(COUNT(TG15,TL15,TQ15)=0,"",SUM(TG15,TL15,TQ15)/COUNT(TG15,TL15,TQ15))</f>
        <v/>
      </c>
      <c r="TT15" s="115" t="str">
        <f t="shared" si="125"/>
        <v/>
      </c>
      <c r="TU15" s="110"/>
      <c r="TV15" s="111"/>
      <c r="TW15" s="112"/>
      <c r="TX15" s="113" t="str">
        <f>IFERROR((((COUNTIF('Elève (3ème4)'!TU15:TW15,"A"))*4)+((COUNTIF('Elève (3ème4)'!TU15:TW15,"B"))*3)+((COUNTIF('Elève (3ème4)'!TU15:TW15,"C"))*2)+((COUNTIF('Elève (3ème4)'!TU15:TW15,"D"))*1))/(COUNTA(TU15:TW15)),"")</f>
        <v/>
      </c>
      <c r="TY15" s="114" t="str">
        <f t="shared" si="126"/>
        <v/>
      </c>
      <c r="TZ15" s="110"/>
      <c r="UA15" s="111"/>
      <c r="UB15" s="112"/>
      <c r="UC15" s="113" t="str">
        <f>IFERROR((((COUNTIF('Elève (3ème4)'!TZ15:UB15,"A"))*4)+((COUNTIF('Elève (3ème4)'!TZ15:UB15,"B"))*3)+((COUNTIF('Elève (3ème4)'!TZ15:UB15,"C"))*2)+((COUNTIF('Elève (3ème4)'!TZ15:UB15,"D"))*1))/(COUNTA(TZ15:UB15)),"")</f>
        <v/>
      </c>
      <c r="UD15" s="114" t="str">
        <f t="shared" si="127"/>
        <v/>
      </c>
      <c r="UE15" s="110"/>
      <c r="UF15" s="111"/>
      <c r="UG15" s="116"/>
      <c r="UH15" s="113" t="str">
        <f>IFERROR((((COUNTIF('Elève (3ème4)'!UE15:UG15,"A"))*4)+((COUNTIF('Elève (3ème4)'!UE15:UG15,"B"))*3)+((COUNTIF('Elève (3ème4)'!UE15:UG15,"C"))*2)+((COUNTIF('Elève (3ème4)'!UE15:UG15,"D"))*1))/(COUNTA(UE15:UG15)),"")</f>
        <v/>
      </c>
      <c r="UI15" s="114" t="str">
        <f t="shared" si="128"/>
        <v/>
      </c>
      <c r="UJ15" s="122" t="str">
        <f>IF(COUNT(TX15,UC15,UH15)=0,"",SUM(TX15,UC15,UH15)/COUNT(TX15,UC15,UH15))</f>
        <v/>
      </c>
      <c r="UK15" s="115" t="str">
        <f t="shared" si="129"/>
        <v/>
      </c>
      <c r="UL15" s="110"/>
      <c r="UM15" s="111"/>
      <c r="UN15" s="112"/>
      <c r="UO15" s="113" t="str">
        <f>IFERROR((((COUNTIF('Elève (3ème4)'!UL15:UN15,"A"))*4)+((COUNTIF('Elève (3ème4)'!UL15:UN15,"B"))*3)+((COUNTIF('Elève (3ème4)'!UL15:UN15,"C"))*2)+((COUNTIF('Elève (3ème4)'!UL15:UN15,"D"))*1))/(COUNTA(UL15:UN15)),"")</f>
        <v/>
      </c>
      <c r="UP15" s="114" t="str">
        <f t="shared" si="130"/>
        <v/>
      </c>
      <c r="UQ15" s="110"/>
      <c r="UR15" s="111"/>
      <c r="US15" s="112"/>
      <c r="UT15" s="113" t="str">
        <f>IFERROR((((COUNTIF('Elève (3ème4)'!UQ15:US15,"A"))*4)+((COUNTIF('Elève (3ème4)'!UQ15:US15,"B"))*3)+((COUNTIF('Elève (3ème4)'!UQ15:US15,"C"))*2)+((COUNTIF('Elève (3ème4)'!UQ15:US15,"D"))*1))/(COUNTA(UQ15:US15)),"")</f>
        <v/>
      </c>
      <c r="UU15" s="114" t="str">
        <f t="shared" si="131"/>
        <v/>
      </c>
      <c r="UV15" s="110"/>
      <c r="UW15" s="111"/>
      <c r="UX15" s="116"/>
      <c r="UY15" s="113" t="str">
        <f>IFERROR((((COUNTIF('Elève (3ème4)'!UV15:UX15,"A"))*4)+((COUNTIF('Elève (3ème4)'!UV15:UX15,"B"))*3)+((COUNTIF('Elève (3ème4)'!UV15:UX15,"C"))*2)+((COUNTIF('Elève (3ème4)'!UV15:UX15,"D"))*1))/(COUNTA(UV15:UX15)),"")</f>
        <v/>
      </c>
      <c r="UZ15" s="114" t="str">
        <f t="shared" si="132"/>
        <v/>
      </c>
      <c r="VA15" s="122" t="str">
        <f>IF(COUNT(UO15,UT15,UY15)=0,"",SUM(UO15,UT15,UY15)/COUNT(UO15,UT15,UY15))</f>
        <v/>
      </c>
      <c r="VB15" s="115" t="str">
        <f t="shared" si="133"/>
        <v/>
      </c>
      <c r="VC15" s="110"/>
      <c r="VD15" s="111"/>
      <c r="VE15" s="112"/>
      <c r="VF15" s="113" t="str">
        <f>IFERROR((((COUNTIF('Elève (3ème4)'!VC15:VE15,"A"))*4)+((COUNTIF('Elève (3ème4)'!VC15:VE15,"B"))*3)+((COUNTIF('Elève (3ème4)'!VC15:VE15,"C"))*2)+((COUNTIF('Elève (3ème4)'!VC15:VE15,"D"))*1))/(COUNTA(VC15:VE15)),"")</f>
        <v/>
      </c>
      <c r="VG15" s="114" t="str">
        <f t="shared" si="134"/>
        <v/>
      </c>
      <c r="VH15" s="110"/>
      <c r="VI15" s="111"/>
      <c r="VJ15" s="112"/>
      <c r="VK15" s="113" t="str">
        <f>IFERROR((((COUNTIF('Elève (3ème4)'!VH15:VJ15,"A"))*4)+((COUNTIF('Elève (3ème4)'!VH15:VJ15,"B"))*3)+((COUNTIF('Elève (3ème4)'!VH15:VJ15,"C"))*2)+((COUNTIF('Elève (3ème4)'!VH15:VJ15,"D"))*1))/(COUNTA(VH15:VJ15)),"")</f>
        <v/>
      </c>
      <c r="VL15" s="114" t="str">
        <f t="shared" si="135"/>
        <v/>
      </c>
      <c r="VM15" s="110"/>
      <c r="VN15" s="111"/>
      <c r="VO15" s="116"/>
      <c r="VP15" s="113" t="str">
        <f>IFERROR((((COUNTIF('Elève (3ème4)'!VM15:VO15,"A"))*4)+((COUNTIF('Elève (3ème4)'!VM15:VO15,"B"))*3)+((COUNTIF('Elève (3ème4)'!VM15:VO15,"C"))*2)+((COUNTIF('Elève (3ème4)'!VM15:VO15,"D"))*1))/(COUNTA(VM15:VO15)),"")</f>
        <v/>
      </c>
      <c r="VQ15" s="114" t="str">
        <f t="shared" si="136"/>
        <v/>
      </c>
      <c r="VR15" s="122" t="str">
        <f>IF(COUNT(VF15,VK15,VP15)=0,"",SUM(VF15,VK15,VP15)/COUNT(VF15,VK15,VP15))</f>
        <v/>
      </c>
      <c r="VS15" s="115" t="str">
        <f t="shared" si="137"/>
        <v/>
      </c>
      <c r="VT15" s="110"/>
      <c r="VU15" s="111"/>
      <c r="VV15" s="112"/>
      <c r="VW15" s="113" t="str">
        <f>IFERROR((((COUNTIF('Elève (3ème4)'!VT15:VV15,"A"))*4)+((COUNTIF('Elève (3ème4)'!VT15:VV15,"B"))*3)+((COUNTIF('Elève (3ème4)'!VT15:VV15,"C"))*2)+((COUNTIF('Elève (3ème4)'!VT15:VV15,"D"))*1))/(COUNTA(VT15:VV15)),"")</f>
        <v/>
      </c>
      <c r="VX15" s="114" t="str">
        <f t="shared" si="138"/>
        <v/>
      </c>
      <c r="VY15" s="110"/>
      <c r="VZ15" s="111"/>
      <c r="WA15" s="112"/>
      <c r="WB15" s="113" t="str">
        <f>IFERROR((((COUNTIF('Elève (3ème4)'!VY15:WA15,"A"))*4)+((COUNTIF('Elève (3ème4)'!VY15:WA15,"B"))*3)+((COUNTIF('Elève (3ème4)'!VY15:WA15,"C"))*2)+((COUNTIF('Elève (3ème4)'!VY15:WA15,"D"))*1))/(COUNTA(VY15:WA15)),"")</f>
        <v/>
      </c>
      <c r="WC15" s="114" t="str">
        <f t="shared" si="139"/>
        <v/>
      </c>
      <c r="WD15" s="110"/>
      <c r="WE15" s="111"/>
      <c r="WF15" s="116"/>
      <c r="WG15" s="113" t="str">
        <f>IFERROR((((COUNTIF('Elève (3ème4)'!WD15:WF15,"A"))*4)+((COUNTIF('Elève (3ème4)'!WD15:WF15,"B"))*3)+((COUNTIF('Elève (3ème4)'!WD15:WF15,"C"))*2)+((COUNTIF('Elève (3ème4)'!WD15:WF15,"D"))*1))/(COUNTA(WD15:WF15)),"")</f>
        <v/>
      </c>
      <c r="WH15" s="114" t="str">
        <f t="shared" si="140"/>
        <v/>
      </c>
      <c r="WI15" s="122" t="str">
        <f>IF(COUNT(VW15,WB15,WG15)=0,"",SUM(VW15,WB15,WG15)/COUNT(VW15,WB15,WG15))</f>
        <v/>
      </c>
      <c r="WJ15" s="115" t="str">
        <f t="shared" si="141"/>
        <v/>
      </c>
    </row>
    <row r="16" spans="1:608" s="95" customFormat="1" ht="16.5" customHeight="1" thickBot="1" x14ac:dyDescent="0.6">
      <c r="A16" s="145" t="s">
        <v>20</v>
      </c>
      <c r="B16" s="120">
        <v>2</v>
      </c>
      <c r="C16" s="152"/>
      <c r="D16" s="65"/>
      <c r="E16" s="85"/>
      <c r="F16" s="159">
        <f>IF(COUNT(F17:F19)=0,"",SUM(F17:F19)/COUNT(F17:F19))</f>
        <v>3</v>
      </c>
      <c r="G16" s="160" t="str">
        <f t="shared" si="22"/>
        <v>B</v>
      </c>
      <c r="H16" s="152"/>
      <c r="I16" s="65"/>
      <c r="J16" s="65"/>
      <c r="K16" s="85"/>
      <c r="L16" s="159">
        <f>IF(COUNT(L17:L19)=0,"",SUM(L17:L19)/COUNT(L17:L19))</f>
        <v>2.5</v>
      </c>
      <c r="M16" s="175" t="str">
        <f t="shared" si="23"/>
        <v>C</v>
      </c>
      <c r="N16" s="153"/>
      <c r="O16" s="90"/>
      <c r="P16" s="90"/>
      <c r="Q16" s="90"/>
      <c r="R16" s="90"/>
      <c r="S16" s="91"/>
      <c r="T16" s="159">
        <f>IF(COUNT(T17:T19)=0,"",SUM(T17:T19)/COUNT(T17:T19))</f>
        <v>2.75</v>
      </c>
      <c r="U16" s="183" t="str">
        <f t="shared" si="24"/>
        <v>C</v>
      </c>
      <c r="V16" s="184">
        <f>IF(COUNT(V17:V19)=0,"",SUM(V17:V19)/COUNT(V17:V19))</f>
        <v>2.75</v>
      </c>
      <c r="W16" s="185" t="str">
        <f t="shared" si="25"/>
        <v>C</v>
      </c>
      <c r="X16" s="196"/>
      <c r="Y16" s="65"/>
      <c r="Z16" s="85"/>
      <c r="AA16" s="159">
        <f>IF(COUNT(AA17:AA19)=0,"",SUM(AA17:AA19)/COUNT(AA17:AA19))</f>
        <v>1</v>
      </c>
      <c r="AB16" s="160" t="str">
        <f t="shared" si="26"/>
        <v>D</v>
      </c>
      <c r="AC16" s="152"/>
      <c r="AD16" s="65"/>
      <c r="AE16" s="65"/>
      <c r="AF16" s="85"/>
      <c r="AG16" s="159" t="str">
        <f>IF(COUNT(AG17:AG19)=0,"",SUM(AG17:AG19)/COUNT(AG17:AG19))</f>
        <v/>
      </c>
      <c r="AH16" s="175" t="str">
        <f t="shared" si="27"/>
        <v/>
      </c>
      <c r="AI16" s="153"/>
      <c r="AJ16" s="90"/>
      <c r="AK16" s="90"/>
      <c r="AL16" s="90"/>
      <c r="AM16" s="90"/>
      <c r="AN16" s="91"/>
      <c r="AO16" s="159" t="str">
        <f>IF(COUNT(AO17:AO19)=0,"",SUM(AO17:AO19)/COUNT(AO17:AO19))</f>
        <v/>
      </c>
      <c r="AP16" s="183" t="str">
        <f t="shared" si="28"/>
        <v/>
      </c>
      <c r="AQ16" s="184">
        <f>IF(COUNT(AQ17:AQ19)=0,"",SUM(AQ17:AQ19)/COUNT(AQ17:AQ19))</f>
        <v>1</v>
      </c>
      <c r="AR16" s="185" t="str">
        <f t="shared" si="29"/>
        <v>D</v>
      </c>
      <c r="AS16" s="196"/>
      <c r="AT16" s="65"/>
      <c r="AU16" s="85"/>
      <c r="AV16" s="159">
        <f>IF(COUNT(AV17:AV19)=0,"",SUM(AV17:AV19)/COUNT(AV17:AV19))</f>
        <v>3</v>
      </c>
      <c r="AW16" s="160" t="str">
        <f t="shared" si="30"/>
        <v>B</v>
      </c>
      <c r="AX16" s="152"/>
      <c r="AY16" s="65"/>
      <c r="AZ16" s="65"/>
      <c r="BA16" s="85"/>
      <c r="BB16" s="159">
        <f>IF(COUNT(BB17:BB19)=0,"",SUM(BB17:BB19)/COUNT(BB17:BB19))</f>
        <v>2</v>
      </c>
      <c r="BC16" s="175" t="str">
        <f t="shared" si="31"/>
        <v>C</v>
      </c>
      <c r="BD16" s="153"/>
      <c r="BE16" s="90"/>
      <c r="BF16" s="90"/>
      <c r="BG16" s="90"/>
      <c r="BH16" s="90"/>
      <c r="BI16" s="91"/>
      <c r="BJ16" s="159">
        <f>IF(COUNT(BJ17:BJ19)=0,"",SUM(BJ17:BJ19)/COUNT(BJ17:BJ19))</f>
        <v>2</v>
      </c>
      <c r="BK16" s="183" t="str">
        <f t="shared" si="32"/>
        <v>C</v>
      </c>
      <c r="BL16" s="184">
        <f>IF(COUNT(BL17:BL19)=0,"",SUM(BL17:BL19)/COUNT(BL17:BL19))</f>
        <v>2.166666666666667</v>
      </c>
      <c r="BM16" s="185" t="str">
        <f t="shared" si="33"/>
        <v>C</v>
      </c>
      <c r="BN16" s="196"/>
      <c r="BO16" s="65"/>
      <c r="BP16" s="85"/>
      <c r="BQ16" s="159">
        <f>IF(COUNT(BQ17:BQ19)=0,"",SUM(BQ17:BQ19)/COUNT(BQ17:BQ19))</f>
        <v>2</v>
      </c>
      <c r="BR16" s="160" t="str">
        <f t="shared" si="34"/>
        <v>C</v>
      </c>
      <c r="BS16" s="152"/>
      <c r="BT16" s="65"/>
      <c r="BU16" s="65"/>
      <c r="BV16" s="85"/>
      <c r="BW16" s="159">
        <f>IF(COUNT(BW17:BW19)=0,"",SUM(BW17:BW19)/COUNT(BW17:BW19))</f>
        <v>2</v>
      </c>
      <c r="BX16" s="175" t="str">
        <f t="shared" si="35"/>
        <v>C</v>
      </c>
      <c r="BY16" s="153"/>
      <c r="BZ16" s="90"/>
      <c r="CA16" s="90"/>
      <c r="CB16" s="90"/>
      <c r="CC16" s="90"/>
      <c r="CD16" s="91"/>
      <c r="CE16" s="159">
        <f>IF(COUNT(CE17:CE19)=0,"",SUM(CE17:CE19)/COUNT(CE17:CE19))</f>
        <v>2.25</v>
      </c>
      <c r="CF16" s="183" t="str">
        <f t="shared" si="36"/>
        <v>C</v>
      </c>
      <c r="CG16" s="184">
        <f>IF(COUNT(CG17:CG19)=0,"",SUM(CG17:CG19)/COUNT(CG17:CG19))</f>
        <v>2.083333333333333</v>
      </c>
      <c r="CH16" s="185" t="str">
        <f t="shared" si="37"/>
        <v>C</v>
      </c>
      <c r="CI16" s="196"/>
      <c r="CJ16" s="65"/>
      <c r="CK16" s="85"/>
      <c r="CL16" s="159">
        <f>IF(COUNT(CL17:CL19)=0,"",SUM(CL17:CL19)/COUNT(CL17:CL19))</f>
        <v>2</v>
      </c>
      <c r="CM16" s="160" t="str">
        <f t="shared" si="38"/>
        <v>C</v>
      </c>
      <c r="CN16" s="152"/>
      <c r="CO16" s="65"/>
      <c r="CP16" s="65"/>
      <c r="CQ16" s="85"/>
      <c r="CR16" s="159" t="str">
        <f>IF(COUNT(CR17:CR19)=0,"",SUM(CR17:CR19)/COUNT(CR17:CR19))</f>
        <v/>
      </c>
      <c r="CS16" s="175" t="str">
        <f t="shared" si="39"/>
        <v/>
      </c>
      <c r="CT16" s="153"/>
      <c r="CU16" s="90"/>
      <c r="CV16" s="90"/>
      <c r="CW16" s="90"/>
      <c r="CX16" s="90"/>
      <c r="CY16" s="91"/>
      <c r="CZ16" s="159">
        <f>IF(COUNT(CZ17:CZ19)=0,"",SUM(CZ17:CZ19)/COUNT(CZ17:CZ19))</f>
        <v>2.75</v>
      </c>
      <c r="DA16" s="183" t="str">
        <f t="shared" si="40"/>
        <v>C</v>
      </c>
      <c r="DB16" s="184">
        <f>IF(COUNT(DB17:DB19)=0,"",SUM(DB17:DB19)/COUNT(DB17:DB19))</f>
        <v>2.75</v>
      </c>
      <c r="DC16" s="185" t="str">
        <f t="shared" si="41"/>
        <v>C</v>
      </c>
      <c r="DD16" s="196"/>
      <c r="DE16" s="65"/>
      <c r="DF16" s="85"/>
      <c r="DG16" s="159">
        <f>IF(COUNT(DG17:DG19)=0,"",SUM(DG17:DG19)/COUNT(DG17:DG19))</f>
        <v>3</v>
      </c>
      <c r="DH16" s="160" t="str">
        <f t="shared" si="42"/>
        <v>B</v>
      </c>
      <c r="DI16" s="152"/>
      <c r="DJ16" s="65"/>
      <c r="DK16" s="65"/>
      <c r="DL16" s="85"/>
      <c r="DM16" s="159">
        <f>IF(COUNT(DM17:DM19)=0,"",SUM(DM17:DM19)/COUNT(DM17:DM19))</f>
        <v>2.5</v>
      </c>
      <c r="DN16" s="175" t="str">
        <f t="shared" si="43"/>
        <v>C</v>
      </c>
      <c r="DO16" s="153"/>
      <c r="DP16" s="90"/>
      <c r="DQ16" s="90"/>
      <c r="DR16" s="90"/>
      <c r="DS16" s="90"/>
      <c r="DT16" s="91"/>
      <c r="DU16" s="159">
        <f>IF(COUNT(DU17:DU19)=0,"",SUM(DU17:DU19)/COUNT(DU17:DU19))</f>
        <v>2.5</v>
      </c>
      <c r="DV16" s="183" t="str">
        <f t="shared" si="44"/>
        <v>C</v>
      </c>
      <c r="DW16" s="184">
        <f>IF(COUNT(DW17:DW19)=0,"",SUM(DW17:DW19)/COUNT(DW17:DW19))</f>
        <v>2.583333333333333</v>
      </c>
      <c r="DX16" s="185" t="str">
        <f t="shared" si="45"/>
        <v>C</v>
      </c>
      <c r="DY16" s="196"/>
      <c r="DZ16" s="65"/>
      <c r="EA16" s="85"/>
      <c r="EB16" s="159">
        <f>IF(COUNT(EB17:EB19)=0,"",SUM(EB17:EB19)/COUNT(EB17:EB19))</f>
        <v>2</v>
      </c>
      <c r="EC16" s="160" t="str">
        <f t="shared" si="46"/>
        <v>C</v>
      </c>
      <c r="ED16" s="152"/>
      <c r="EE16" s="65"/>
      <c r="EF16" s="65"/>
      <c r="EG16" s="85"/>
      <c r="EH16" s="159">
        <f>IF(COUNT(EH17:EH19)=0,"",SUM(EH17:EH19)/COUNT(EH17:EH19))</f>
        <v>2</v>
      </c>
      <c r="EI16" s="175" t="str">
        <f t="shared" si="47"/>
        <v>C</v>
      </c>
      <c r="EJ16" s="153"/>
      <c r="EK16" s="90"/>
      <c r="EL16" s="90"/>
      <c r="EM16" s="90"/>
      <c r="EN16" s="90"/>
      <c r="EO16" s="91"/>
      <c r="EP16" s="159">
        <f>IF(COUNT(EP17:EP19)=0,"",SUM(EP17:EP19)/COUNT(EP17:EP19))</f>
        <v>2.75</v>
      </c>
      <c r="EQ16" s="183" t="str">
        <f t="shared" si="48"/>
        <v>C</v>
      </c>
      <c r="ER16" s="184">
        <f>IF(COUNT(ER17:ER19)=0,"",SUM(ER17:ER19)/COUNT(ER17:ER19))</f>
        <v>2.25</v>
      </c>
      <c r="ES16" s="185" t="str">
        <f t="shared" si="49"/>
        <v>C</v>
      </c>
      <c r="ET16" s="196"/>
      <c r="EU16" s="65"/>
      <c r="EV16" s="85"/>
      <c r="EW16" s="159">
        <f>IF(COUNT(EW17:EW19)=0,"",SUM(EW17:EW19)/COUNT(EW17:EW19))</f>
        <v>2</v>
      </c>
      <c r="EX16" s="160" t="str">
        <f t="shared" si="50"/>
        <v>C</v>
      </c>
      <c r="EY16" s="152"/>
      <c r="EZ16" s="65"/>
      <c r="FA16" s="65"/>
      <c r="FB16" s="85"/>
      <c r="FC16" s="159">
        <f>IF(COUNT(FC17:FC19)=0,"",SUM(FC17:FC19)/COUNT(FC17:FC19))</f>
        <v>2</v>
      </c>
      <c r="FD16" s="175" t="str">
        <f t="shared" si="51"/>
        <v>C</v>
      </c>
      <c r="FE16" s="153"/>
      <c r="FF16" s="90"/>
      <c r="FG16" s="90"/>
      <c r="FH16" s="90"/>
      <c r="FI16" s="90"/>
      <c r="FJ16" s="91"/>
      <c r="FK16" s="159">
        <f>IF(COUNT(FK17:FK19)=0,"",SUM(FK17:FK19)/COUNT(FK17:FK19))</f>
        <v>2.5</v>
      </c>
      <c r="FL16" s="183" t="str">
        <f t="shared" si="52"/>
        <v>C</v>
      </c>
      <c r="FM16" s="184">
        <f>IF(COUNT(FM17:FM19)=0,"",SUM(FM17:FM19)/COUNT(FM17:FM19))</f>
        <v>2.25</v>
      </c>
      <c r="FN16" s="185" t="str">
        <f t="shared" si="53"/>
        <v>C</v>
      </c>
      <c r="FO16" s="196"/>
      <c r="FP16" s="65"/>
      <c r="FQ16" s="85"/>
      <c r="FR16" s="159">
        <f>IF(COUNT(FR17:FR19)=0,"",SUM(FR17:FR19)/COUNT(FR17:FR19))</f>
        <v>3</v>
      </c>
      <c r="FS16" s="160" t="str">
        <f t="shared" si="54"/>
        <v>B</v>
      </c>
      <c r="FT16" s="152"/>
      <c r="FU16" s="65"/>
      <c r="FV16" s="65"/>
      <c r="FW16" s="85"/>
      <c r="FX16" s="159">
        <f>IF(COUNT(FX17:FX19)=0,"",SUM(FX17:FX19)/COUNT(FX17:FX19))</f>
        <v>2</v>
      </c>
      <c r="FY16" s="175" t="str">
        <f t="shared" si="55"/>
        <v>C</v>
      </c>
      <c r="FZ16" s="153"/>
      <c r="GA16" s="90"/>
      <c r="GB16" s="90"/>
      <c r="GC16" s="90"/>
      <c r="GD16" s="90"/>
      <c r="GE16" s="91"/>
      <c r="GF16" s="159">
        <f>IF(COUNT(GF17:GF19)=0,"",SUM(GF17:GF19)/COUNT(GF17:GF19))</f>
        <v>2.75</v>
      </c>
      <c r="GG16" s="183" t="str">
        <f t="shared" si="56"/>
        <v>C</v>
      </c>
      <c r="GH16" s="184">
        <f>IF(COUNT(GH17:GH19)=0,"",SUM(GH17:GH19)/COUNT(GH17:GH19))</f>
        <v>2.5</v>
      </c>
      <c r="GI16" s="185" t="str">
        <f t="shared" si="57"/>
        <v>C</v>
      </c>
      <c r="GJ16" s="196"/>
      <c r="GK16" s="65"/>
      <c r="GL16" s="85"/>
      <c r="GM16" s="159">
        <f>IF(COUNT(GM17:GM19)=0,"",SUM(GM17:GM19)/COUNT(GM17:GM19))</f>
        <v>2</v>
      </c>
      <c r="GN16" s="160" t="str">
        <f t="shared" si="58"/>
        <v>C</v>
      </c>
      <c r="GO16" s="152"/>
      <c r="GP16" s="65"/>
      <c r="GQ16" s="65"/>
      <c r="GR16" s="85"/>
      <c r="GS16" s="159">
        <f>IF(COUNT(GS17:GS19)=0,"",SUM(GS17:GS19)/COUNT(GS17:GS19))</f>
        <v>1.5</v>
      </c>
      <c r="GT16" s="175" t="str">
        <f t="shared" si="59"/>
        <v>D</v>
      </c>
      <c r="GU16" s="153"/>
      <c r="GV16" s="90"/>
      <c r="GW16" s="90"/>
      <c r="GX16" s="90"/>
      <c r="GY16" s="90"/>
      <c r="GZ16" s="91"/>
      <c r="HA16" s="159">
        <f>IF(COUNT(HA17:HA19)=0,"",SUM(HA17:HA19)/COUNT(HA17:HA19))</f>
        <v>2.5</v>
      </c>
      <c r="HB16" s="183" t="str">
        <f t="shared" si="60"/>
        <v>C</v>
      </c>
      <c r="HC16" s="184">
        <f>IF(COUNT(HC17:HC19)=0,"",SUM(HC17:HC19)/COUNT(HC17:HC19))</f>
        <v>2.0833333333333335</v>
      </c>
      <c r="HD16" s="185" t="str">
        <f t="shared" si="61"/>
        <v>C</v>
      </c>
      <c r="HE16" s="196"/>
      <c r="HF16" s="65"/>
      <c r="HG16" s="85"/>
      <c r="HH16" s="159">
        <f>IF(COUNT(HH17:HH19)=0,"",SUM(HH17:HH19)/COUNT(HH17:HH19))</f>
        <v>1</v>
      </c>
      <c r="HI16" s="160" t="str">
        <f t="shared" si="62"/>
        <v>D</v>
      </c>
      <c r="HJ16" s="152"/>
      <c r="HK16" s="65"/>
      <c r="HL16" s="65"/>
      <c r="HM16" s="85"/>
      <c r="HN16" s="159">
        <f>IF(COUNT(HN17:HN19)=0,"",SUM(HN17:HN19)/COUNT(HN17:HN19))</f>
        <v>1.5</v>
      </c>
      <c r="HO16" s="175" t="str">
        <f t="shared" si="63"/>
        <v>D</v>
      </c>
      <c r="HP16" s="153"/>
      <c r="HQ16" s="90"/>
      <c r="HR16" s="90"/>
      <c r="HS16" s="90"/>
      <c r="HT16" s="90"/>
      <c r="HU16" s="91"/>
      <c r="HV16" s="159">
        <f>IF(COUNT(HV17:HV19)=0,"",SUM(HV17:HV19)/COUNT(HV17:HV19))</f>
        <v>2</v>
      </c>
      <c r="HW16" s="183" t="str">
        <f t="shared" si="64"/>
        <v>C</v>
      </c>
      <c r="HX16" s="184">
        <f>IF(COUNT(HX17:HX19)=0,"",SUM(HX17:HX19)/COUNT(HX17:HX19))</f>
        <v>1.75</v>
      </c>
      <c r="HY16" s="185" t="str">
        <f t="shared" si="65"/>
        <v>C</v>
      </c>
      <c r="HZ16" s="196"/>
      <c r="IA16" s="65"/>
      <c r="IB16" s="85"/>
      <c r="IC16" s="159">
        <f>IF(COUNT(IC17:IC19)=0,"",SUM(IC17:IC19)/COUNT(IC17:IC19))</f>
        <v>3</v>
      </c>
      <c r="ID16" s="160" t="str">
        <f t="shared" si="66"/>
        <v>B</v>
      </c>
      <c r="IE16" s="152"/>
      <c r="IF16" s="65"/>
      <c r="IG16" s="65"/>
      <c r="IH16" s="85"/>
      <c r="II16" s="159">
        <f>IF(COUNT(II17:II19)=0,"",SUM(II17:II19)/COUNT(II17:II19))</f>
        <v>2</v>
      </c>
      <c r="IJ16" s="175" t="str">
        <f t="shared" si="67"/>
        <v>C</v>
      </c>
      <c r="IK16" s="153"/>
      <c r="IL16" s="90"/>
      <c r="IM16" s="90"/>
      <c r="IN16" s="90"/>
      <c r="IO16" s="90"/>
      <c r="IP16" s="91"/>
      <c r="IQ16" s="159">
        <f>IF(COUNT(IQ17:IQ19)=0,"",SUM(IQ17:IQ19)/COUNT(IQ17:IQ19))</f>
        <v>2.25</v>
      </c>
      <c r="IR16" s="183" t="str">
        <f t="shared" si="68"/>
        <v>C</v>
      </c>
      <c r="IS16" s="184">
        <f>IF(COUNT(IS17:IS19)=0,"",SUM(IS17:IS19)/COUNT(IS17:IS19))</f>
        <v>2.25</v>
      </c>
      <c r="IT16" s="185" t="str">
        <f t="shared" si="69"/>
        <v>C</v>
      </c>
      <c r="IU16" s="196"/>
      <c r="IV16" s="65"/>
      <c r="IW16" s="85"/>
      <c r="IX16" s="159">
        <f>IF(COUNT(IX17:IX19)=0,"",SUM(IX17:IX19)/COUNT(IX17:IX19))</f>
        <v>1</v>
      </c>
      <c r="IY16" s="160" t="str">
        <f t="shared" si="70"/>
        <v>D</v>
      </c>
      <c r="IZ16" s="152"/>
      <c r="JA16" s="65"/>
      <c r="JB16" s="65"/>
      <c r="JC16" s="85"/>
      <c r="JD16" s="159">
        <f>IF(COUNT(JD17:JD19)=0,"",SUM(JD17:JD19)/COUNT(JD17:JD19))</f>
        <v>2</v>
      </c>
      <c r="JE16" s="175" t="str">
        <f t="shared" si="71"/>
        <v>C</v>
      </c>
      <c r="JF16" s="153"/>
      <c r="JG16" s="90"/>
      <c r="JH16" s="90"/>
      <c r="JI16" s="90"/>
      <c r="JJ16" s="90"/>
      <c r="JK16" s="91"/>
      <c r="JL16" s="159">
        <f>IF(COUNT(JL17:JL19)=0,"",SUM(JL17:JL19)/COUNT(JL17:JL19))</f>
        <v>2</v>
      </c>
      <c r="JM16" s="183" t="str">
        <f t="shared" si="72"/>
        <v>C</v>
      </c>
      <c r="JN16" s="184">
        <f>IF(COUNT(JN17:JN19)=0,"",SUM(JN17:JN19)/COUNT(JN17:JN19))</f>
        <v>1.8333333333333335</v>
      </c>
      <c r="JO16" s="185" t="str">
        <f t="shared" si="73"/>
        <v>C</v>
      </c>
      <c r="JP16" s="196"/>
      <c r="JQ16" s="65"/>
      <c r="JR16" s="85"/>
      <c r="JS16" s="159">
        <f>IF(COUNT(JS17:JS19)=0,"",SUM(JS17:JS19)/COUNT(JS17:JS19))</f>
        <v>2</v>
      </c>
      <c r="JT16" s="160" t="str">
        <f t="shared" si="74"/>
        <v>C</v>
      </c>
      <c r="JU16" s="152"/>
      <c r="JV16" s="65"/>
      <c r="JW16" s="65"/>
      <c r="JX16" s="85"/>
      <c r="JY16" s="159">
        <f>IF(COUNT(JY17:JY19)=0,"",SUM(JY17:JY19)/COUNT(JY17:JY19))</f>
        <v>2</v>
      </c>
      <c r="JZ16" s="175" t="str">
        <f t="shared" si="75"/>
        <v>C</v>
      </c>
      <c r="KA16" s="153"/>
      <c r="KB16" s="90"/>
      <c r="KC16" s="90"/>
      <c r="KD16" s="90"/>
      <c r="KE16" s="90"/>
      <c r="KF16" s="91"/>
      <c r="KG16" s="159">
        <f>IF(COUNT(KG17:KG19)=0,"",SUM(KG17:KG19)/COUNT(KG17:KG19))</f>
        <v>1.75</v>
      </c>
      <c r="KH16" s="183" t="str">
        <f t="shared" si="76"/>
        <v>C</v>
      </c>
      <c r="KI16" s="184">
        <f>IF(COUNT(KI17:KI19)=0,"",SUM(KI17:KI19)/COUNT(KI17:KI19))</f>
        <v>1.9166666666666665</v>
      </c>
      <c r="KJ16" s="185" t="str">
        <f t="shared" si="77"/>
        <v>C</v>
      </c>
      <c r="KK16" s="196"/>
      <c r="KL16" s="65"/>
      <c r="KM16" s="85"/>
      <c r="KN16" s="159">
        <f>IF(COUNT(KN17:KN19)=0,"",SUM(KN17:KN19)/COUNT(KN17:KN19))</f>
        <v>2</v>
      </c>
      <c r="KO16" s="160" t="str">
        <f t="shared" si="78"/>
        <v>C</v>
      </c>
      <c r="KP16" s="152"/>
      <c r="KQ16" s="65"/>
      <c r="KR16" s="65"/>
      <c r="KS16" s="85"/>
      <c r="KT16" s="159">
        <f>IF(COUNT(KT17:KT19)=0,"",SUM(KT17:KT19)/COUNT(KT17:KT19))</f>
        <v>1.5</v>
      </c>
      <c r="KU16" s="175" t="str">
        <f t="shared" si="79"/>
        <v>D</v>
      </c>
      <c r="KV16" s="153"/>
      <c r="KW16" s="90"/>
      <c r="KX16" s="90"/>
      <c r="KY16" s="90"/>
      <c r="KZ16" s="90"/>
      <c r="LA16" s="91"/>
      <c r="LB16" s="159">
        <f>IF(COUNT(LB17:LB19)=0,"",SUM(LB17:LB19)/COUNT(LB17:LB19))</f>
        <v>3</v>
      </c>
      <c r="LC16" s="183" t="str">
        <f t="shared" si="80"/>
        <v>B</v>
      </c>
      <c r="LD16" s="184">
        <f>IF(COUNT(LD17:LD19)=0,"",SUM(LD17:LD19)/COUNT(LD17:LD19))</f>
        <v>2.25</v>
      </c>
      <c r="LE16" s="185" t="str">
        <f t="shared" si="81"/>
        <v>C</v>
      </c>
      <c r="LF16" s="196"/>
      <c r="LG16" s="65"/>
      <c r="LH16" s="85"/>
      <c r="LI16" s="159">
        <f>IF(COUNT(LI17:LI19)=0,"",SUM(LI17:LI19)/COUNT(LI17:LI19))</f>
        <v>1</v>
      </c>
      <c r="LJ16" s="160" t="str">
        <f t="shared" si="82"/>
        <v>D</v>
      </c>
      <c r="LK16" s="152"/>
      <c r="LL16" s="65"/>
      <c r="LM16" s="65"/>
      <c r="LN16" s="85"/>
      <c r="LO16" s="159">
        <f>IF(COUNT(LO17:LO19)=0,"",SUM(LO17:LO19)/COUNT(LO17:LO19))</f>
        <v>1.5</v>
      </c>
      <c r="LP16" s="175" t="str">
        <f t="shared" si="83"/>
        <v>D</v>
      </c>
      <c r="LQ16" s="153"/>
      <c r="LR16" s="90"/>
      <c r="LS16" s="90"/>
      <c r="LT16" s="90"/>
      <c r="LU16" s="90"/>
      <c r="LV16" s="91"/>
      <c r="LW16" s="159">
        <f>IF(COUNT(LW17:LW19)=0,"",SUM(LW17:LW19)/COUNT(LW17:LW19))</f>
        <v>2.5</v>
      </c>
      <c r="LX16" s="183" t="str">
        <f t="shared" si="84"/>
        <v>C</v>
      </c>
      <c r="LY16" s="184">
        <f>IF(COUNT(LY17:LY19)=0,"",SUM(LY17:LY19)/COUNT(LY17:LY19))</f>
        <v>1.9166666666666665</v>
      </c>
      <c r="LZ16" s="185" t="str">
        <f t="shared" si="85"/>
        <v>C</v>
      </c>
      <c r="MA16" s="196"/>
      <c r="MB16" s="65"/>
      <c r="MC16" s="85"/>
      <c r="MD16" s="159">
        <f>IF(COUNT(MD17:MD19)=0,"",SUM(MD17:MD19)/COUNT(MD17:MD19))</f>
        <v>3</v>
      </c>
      <c r="ME16" s="160" t="str">
        <f t="shared" si="86"/>
        <v>B</v>
      </c>
      <c r="MF16" s="152"/>
      <c r="MG16" s="65"/>
      <c r="MH16" s="65"/>
      <c r="MI16" s="85"/>
      <c r="MJ16" s="159">
        <f>IF(COUNT(MJ17:MJ19)=0,"",SUM(MJ17:MJ19)/COUNT(MJ17:MJ19))</f>
        <v>2.5</v>
      </c>
      <c r="MK16" s="175" t="str">
        <f t="shared" si="87"/>
        <v>C</v>
      </c>
      <c r="ML16" s="153"/>
      <c r="MM16" s="90"/>
      <c r="MN16" s="90"/>
      <c r="MO16" s="90"/>
      <c r="MP16" s="90"/>
      <c r="MQ16" s="91"/>
      <c r="MR16" s="159">
        <f>IF(COUNT(MR17:MR19)=0,"",SUM(MR17:MR19)/COUNT(MR17:MR19))</f>
        <v>3</v>
      </c>
      <c r="MS16" s="183" t="str">
        <f t="shared" si="88"/>
        <v>B</v>
      </c>
      <c r="MT16" s="184">
        <f>IF(COUNT(MT17:MT19)=0,"",SUM(MT17:MT19)/COUNT(MT17:MT19))</f>
        <v>2.833333333333333</v>
      </c>
      <c r="MU16" s="185" t="str">
        <f t="shared" si="89"/>
        <v>B</v>
      </c>
      <c r="MV16" s="196"/>
      <c r="MW16" s="65"/>
      <c r="MX16" s="85"/>
      <c r="MY16" s="159">
        <f>IF(COUNT(MY17:MY19)=0,"",SUM(MY17:MY19)/COUNT(MY17:MY19))</f>
        <v>1</v>
      </c>
      <c r="MZ16" s="160" t="str">
        <f t="shared" si="90"/>
        <v>D</v>
      </c>
      <c r="NA16" s="152"/>
      <c r="NB16" s="65"/>
      <c r="NC16" s="65"/>
      <c r="ND16" s="85"/>
      <c r="NE16" s="159">
        <f>IF(COUNT(NE17:NE19)=0,"",SUM(NE17:NE19)/COUNT(NE17:NE19))</f>
        <v>1.5</v>
      </c>
      <c r="NF16" s="175" t="str">
        <f t="shared" si="91"/>
        <v>D</v>
      </c>
      <c r="NG16" s="153"/>
      <c r="NH16" s="90"/>
      <c r="NI16" s="90"/>
      <c r="NJ16" s="90"/>
      <c r="NK16" s="90"/>
      <c r="NL16" s="91"/>
      <c r="NM16" s="159">
        <f>IF(COUNT(NM17:NM19)=0,"",SUM(NM17:NM19)/COUNT(NM17:NM19))</f>
        <v>2</v>
      </c>
      <c r="NN16" s="183" t="str">
        <f t="shared" si="92"/>
        <v>C</v>
      </c>
      <c r="NO16" s="184">
        <f>IF(COUNT(NO17:NO19)=0,"",SUM(NO17:NO19)/COUNT(NO17:NO19))</f>
        <v>1.7083333333333335</v>
      </c>
      <c r="NP16" s="185" t="str">
        <f t="shared" si="93"/>
        <v>C</v>
      </c>
      <c r="NQ16" s="196"/>
      <c r="NR16" s="65"/>
      <c r="NS16" s="85"/>
      <c r="NT16" s="159">
        <f>IF(COUNT(NT17:NT19)=0,"",SUM(NT17:NT19)/COUNT(NT17:NT19))</f>
        <v>2</v>
      </c>
      <c r="NU16" s="160" t="str">
        <f t="shared" si="94"/>
        <v>C</v>
      </c>
      <c r="NV16" s="152"/>
      <c r="NW16" s="65"/>
      <c r="NX16" s="65"/>
      <c r="NY16" s="85"/>
      <c r="NZ16" s="159">
        <f>IF(COUNT(NZ17:NZ19)=0,"",SUM(NZ17:NZ19)/COUNT(NZ17:NZ19))</f>
        <v>1.5</v>
      </c>
      <c r="OA16" s="175" t="str">
        <f t="shared" si="95"/>
        <v>D</v>
      </c>
      <c r="OB16" s="153"/>
      <c r="OC16" s="90"/>
      <c r="OD16" s="90"/>
      <c r="OE16" s="90"/>
      <c r="OF16" s="90"/>
      <c r="OG16" s="91"/>
      <c r="OH16" s="159">
        <f>IF(COUNT(OH17:OH19)=0,"",SUM(OH17:OH19)/COUNT(OH17:OH19))</f>
        <v>2</v>
      </c>
      <c r="OI16" s="183" t="str">
        <f t="shared" si="96"/>
        <v>C</v>
      </c>
      <c r="OJ16" s="184">
        <f>IF(COUNT(OJ17:OJ19)=0,"",SUM(OJ17:OJ19)/COUNT(OJ17:OJ19))</f>
        <v>1.8333333333333335</v>
      </c>
      <c r="OK16" s="185" t="str">
        <f t="shared" si="97"/>
        <v>C</v>
      </c>
      <c r="OL16" s="196"/>
      <c r="OM16" s="65"/>
      <c r="ON16" s="85"/>
      <c r="OO16" s="159">
        <f>IF(COUNT(OO17:OO19)=0,"",SUM(OO17:OO19)/COUNT(OO17:OO19))</f>
        <v>1</v>
      </c>
      <c r="OP16" s="160" t="str">
        <f t="shared" si="98"/>
        <v>D</v>
      </c>
      <c r="OQ16" s="152"/>
      <c r="OR16" s="65"/>
      <c r="OS16" s="65"/>
      <c r="OT16" s="85"/>
      <c r="OU16" s="159" t="str">
        <f>IF(COUNT(OU17:OU19)=0,"",SUM(OU17:OU19)/COUNT(OU17:OU19))</f>
        <v/>
      </c>
      <c r="OV16" s="175" t="str">
        <f t="shared" si="99"/>
        <v/>
      </c>
      <c r="OW16" s="153"/>
      <c r="OX16" s="90"/>
      <c r="OY16" s="90"/>
      <c r="OZ16" s="90"/>
      <c r="PA16" s="90"/>
      <c r="PB16" s="91"/>
      <c r="PC16" s="159">
        <f>IF(COUNT(PC17:PC19)=0,"",SUM(PC17:PC19)/COUNT(PC17:PC19))</f>
        <v>2.25</v>
      </c>
      <c r="PD16" s="183" t="str">
        <f t="shared" si="100"/>
        <v>C</v>
      </c>
      <c r="PE16" s="184">
        <f>IF(COUNT(PE17:PE19)=0,"",SUM(PE17:PE19)/COUNT(PE17:PE19))</f>
        <v>2</v>
      </c>
      <c r="PF16" s="185" t="str">
        <f t="shared" si="101"/>
        <v>C</v>
      </c>
      <c r="PG16" s="196"/>
      <c r="PH16" s="65"/>
      <c r="PI16" s="85"/>
      <c r="PJ16" s="159">
        <f>IF(COUNT(PJ17:PJ19)=0,"",SUM(PJ17:PJ19)/COUNT(PJ17:PJ19))</f>
        <v>2</v>
      </c>
      <c r="PK16" s="160" t="str">
        <f t="shared" si="102"/>
        <v>C</v>
      </c>
      <c r="PL16" s="152"/>
      <c r="PM16" s="65"/>
      <c r="PN16" s="65"/>
      <c r="PO16" s="85"/>
      <c r="PP16" s="159">
        <f>IF(COUNT(PP17:PP19)=0,"",SUM(PP17:PP19)/COUNT(PP17:PP19))</f>
        <v>2</v>
      </c>
      <c r="PQ16" s="175" t="str">
        <f t="shared" si="103"/>
        <v>C</v>
      </c>
      <c r="PR16" s="153"/>
      <c r="PS16" s="90"/>
      <c r="PT16" s="90"/>
      <c r="PU16" s="90"/>
      <c r="PV16" s="90"/>
      <c r="PW16" s="91"/>
      <c r="PX16" s="159">
        <f>IF(COUNT(PX17:PX19)=0,"",SUM(PX17:PX19)/COUNT(PX17:PX19))</f>
        <v>2</v>
      </c>
      <c r="PY16" s="183" t="str">
        <f t="shared" si="104"/>
        <v>C</v>
      </c>
      <c r="PZ16" s="184">
        <f>IF(COUNT(PZ17:PZ19)=0,"",SUM(PZ17:PZ19)/COUNT(PZ17:PZ19))</f>
        <v>2.0416666666666665</v>
      </c>
      <c r="QA16" s="185" t="str">
        <f t="shared" si="105"/>
        <v>C</v>
      </c>
      <c r="QB16" s="196"/>
      <c r="QC16" s="65"/>
      <c r="QD16" s="85"/>
      <c r="QE16" s="159">
        <f>IF(COUNT(QE17:QE19)=0,"",SUM(QE17:QE19)/COUNT(QE17:QE19))</f>
        <v>2</v>
      </c>
      <c r="QF16" s="160" t="str">
        <f t="shared" si="106"/>
        <v>C</v>
      </c>
      <c r="QG16" s="152"/>
      <c r="QH16" s="65"/>
      <c r="QI16" s="65"/>
      <c r="QJ16" s="85"/>
      <c r="QK16" s="159">
        <f>IF(COUNT(QK17:QK19)=0,"",SUM(QK17:QK19)/COUNT(QK17:QK19))</f>
        <v>2</v>
      </c>
      <c r="QL16" s="175" t="str">
        <f t="shared" si="107"/>
        <v>C</v>
      </c>
      <c r="QM16" s="153"/>
      <c r="QN16" s="90"/>
      <c r="QO16" s="90"/>
      <c r="QP16" s="90"/>
      <c r="QQ16" s="90"/>
      <c r="QR16" s="91"/>
      <c r="QS16" s="159">
        <f>IF(COUNT(QS17:QS19)=0,"",SUM(QS17:QS19)/COUNT(QS17:QS19))</f>
        <v>1.75</v>
      </c>
      <c r="QT16" s="183" t="str">
        <f t="shared" si="108"/>
        <v>C</v>
      </c>
      <c r="QU16" s="184">
        <f>IF(COUNT(QU17:QU19)=0,"",SUM(QU17:QU19)/COUNT(QU17:QU19))</f>
        <v>2.0416666666666665</v>
      </c>
      <c r="QV16" s="185" t="str">
        <f t="shared" si="109"/>
        <v>C</v>
      </c>
      <c r="QW16" s="196"/>
      <c r="QX16" s="65"/>
      <c r="QY16" s="85"/>
      <c r="QZ16" s="159">
        <f>IF(COUNT(QZ17:QZ19)=0,"",SUM(QZ17:QZ19)/COUNT(QZ17:QZ19))</f>
        <v>1</v>
      </c>
      <c r="RA16" s="160" t="str">
        <f t="shared" si="110"/>
        <v>D</v>
      </c>
      <c r="RB16" s="152"/>
      <c r="RC16" s="65"/>
      <c r="RD16" s="65"/>
      <c r="RE16" s="85"/>
      <c r="RF16" s="159">
        <f>IF(COUNT(RF17:RF19)=0,"",SUM(RF17:RF19)/COUNT(RF17:RF19))</f>
        <v>2</v>
      </c>
      <c r="RG16" s="175" t="str">
        <f t="shared" si="111"/>
        <v>C</v>
      </c>
      <c r="RH16" s="153"/>
      <c r="RI16" s="90"/>
      <c r="RJ16" s="90"/>
      <c r="RK16" s="90"/>
      <c r="RL16" s="90"/>
      <c r="RM16" s="91"/>
      <c r="RN16" s="159">
        <f>IF(COUNT(RN17:RN19)=0,"",SUM(RN17:RN19)/COUNT(RN17:RN19))</f>
        <v>2</v>
      </c>
      <c r="RO16" s="183" t="str">
        <f t="shared" si="112"/>
        <v>C</v>
      </c>
      <c r="RP16" s="184">
        <f>IF(COUNT(RP17:RP19)=0,"",SUM(RP17:RP19)/COUNT(RP17:RP19))</f>
        <v>1.8333333333333335</v>
      </c>
      <c r="RQ16" s="185" t="str">
        <f t="shared" si="113"/>
        <v>C</v>
      </c>
      <c r="RR16" s="196"/>
      <c r="RS16" s="65"/>
      <c r="RT16" s="85"/>
      <c r="RU16" s="159">
        <f>IF(COUNT(RU17:RU19)=0,"",SUM(RU17:RU19)/COUNT(RU17:RU19))</f>
        <v>1</v>
      </c>
      <c r="RV16" s="160" t="str">
        <f t="shared" si="114"/>
        <v>D</v>
      </c>
      <c r="RW16" s="152"/>
      <c r="RX16" s="65"/>
      <c r="RY16" s="65"/>
      <c r="RZ16" s="85"/>
      <c r="SA16" s="159">
        <f>IF(COUNT(SA17:SA19)=0,"",SUM(SA17:SA19)/COUNT(SA17:SA19))</f>
        <v>2</v>
      </c>
      <c r="SB16" s="175" t="str">
        <f t="shared" si="115"/>
        <v>C</v>
      </c>
      <c r="SC16" s="153"/>
      <c r="SD16" s="90"/>
      <c r="SE16" s="90"/>
      <c r="SF16" s="90"/>
      <c r="SG16" s="90"/>
      <c r="SH16" s="91"/>
      <c r="SI16" s="159">
        <f>IF(COUNT(SI17:SI19)=0,"",SUM(SI17:SI19)/COUNT(SI17:SI19))</f>
        <v>2</v>
      </c>
      <c r="SJ16" s="183" t="str">
        <f t="shared" si="116"/>
        <v>C</v>
      </c>
      <c r="SK16" s="184">
        <f>IF(COUNT(SK17:SK19)=0,"",SUM(SK17:SK19)/COUNT(SK17:SK19))</f>
        <v>1.8333333333333335</v>
      </c>
      <c r="SL16" s="185" t="str">
        <f t="shared" si="117"/>
        <v>C</v>
      </c>
      <c r="SM16" s="121"/>
      <c r="SN16" s="65"/>
      <c r="SO16" s="85"/>
      <c r="SP16" s="86" t="str">
        <f>IF(COUNT(SP17:SP19)=0,"",SUM(SP17:SP19)/COUNT(SP17:SP19))</f>
        <v/>
      </c>
      <c r="SQ16" s="87" t="str">
        <f t="shared" si="118"/>
        <v/>
      </c>
      <c r="SR16" s="84"/>
      <c r="SS16" s="65"/>
      <c r="ST16" s="85"/>
      <c r="SU16" s="86" t="str">
        <f>IF(COUNT(SU17:SU19)=0,"",SUM(SU17:SU19)/COUNT(SU17:SU19))</f>
        <v/>
      </c>
      <c r="SV16" s="88" t="str">
        <f t="shared" si="119"/>
        <v/>
      </c>
      <c r="SW16" s="89"/>
      <c r="SX16" s="90"/>
      <c r="SY16" s="91"/>
      <c r="SZ16" s="86" t="str">
        <f>IF(COUNT(SZ17:SZ19)=0,"",SUM(SZ17:SZ19)/COUNT(SZ17:SZ19))</f>
        <v/>
      </c>
      <c r="TA16" s="92" t="str">
        <f t="shared" si="120"/>
        <v/>
      </c>
      <c r="TB16" s="93" t="str">
        <f>IF(COUNT(TB17:TB19)=0,"",SUM(TB17:TB19)/COUNT(TB17:TB19))</f>
        <v/>
      </c>
      <c r="TC16" s="94" t="str">
        <f t="shared" si="121"/>
        <v/>
      </c>
      <c r="TD16" s="121"/>
      <c r="TE16" s="65"/>
      <c r="TF16" s="85"/>
      <c r="TG16" s="86" t="str">
        <f>IF(COUNT(TG17:TG19)=0,"",SUM(TG17:TG19)/COUNT(TG17:TG19))</f>
        <v/>
      </c>
      <c r="TH16" s="87" t="str">
        <f t="shared" si="122"/>
        <v/>
      </c>
      <c r="TI16" s="84"/>
      <c r="TJ16" s="65"/>
      <c r="TK16" s="85"/>
      <c r="TL16" s="86" t="str">
        <f>IF(COUNT(TL17:TL19)=0,"",SUM(TL17:TL19)/COUNT(TL17:TL19))</f>
        <v/>
      </c>
      <c r="TM16" s="88" t="str">
        <f t="shared" si="123"/>
        <v/>
      </c>
      <c r="TN16" s="89"/>
      <c r="TO16" s="90"/>
      <c r="TP16" s="91"/>
      <c r="TQ16" s="86" t="str">
        <f>IF(COUNT(TQ17:TQ19)=0,"",SUM(TQ17:TQ19)/COUNT(TQ17:TQ19))</f>
        <v/>
      </c>
      <c r="TR16" s="92" t="str">
        <f t="shared" si="124"/>
        <v/>
      </c>
      <c r="TS16" s="93" t="str">
        <f>IF(COUNT(TS17:TS19)=0,"",SUM(TS17:TS19)/COUNT(TS17:TS19))</f>
        <v/>
      </c>
      <c r="TT16" s="94" t="str">
        <f t="shared" si="125"/>
        <v/>
      </c>
      <c r="TU16" s="121"/>
      <c r="TV16" s="65"/>
      <c r="TW16" s="85"/>
      <c r="TX16" s="86" t="str">
        <f>IF(COUNT(TX17:TX19)=0,"",SUM(TX17:TX19)/COUNT(TX17:TX19))</f>
        <v/>
      </c>
      <c r="TY16" s="87" t="str">
        <f t="shared" si="126"/>
        <v/>
      </c>
      <c r="TZ16" s="84"/>
      <c r="UA16" s="65"/>
      <c r="UB16" s="85"/>
      <c r="UC16" s="86" t="str">
        <f>IF(COUNT(UC17:UC19)=0,"",SUM(UC17:UC19)/COUNT(UC17:UC19))</f>
        <v/>
      </c>
      <c r="UD16" s="88" t="str">
        <f t="shared" si="127"/>
        <v/>
      </c>
      <c r="UE16" s="89"/>
      <c r="UF16" s="90"/>
      <c r="UG16" s="91"/>
      <c r="UH16" s="86" t="str">
        <f>IF(COUNT(UH17:UH19)=0,"",SUM(UH17:UH19)/COUNT(UH17:UH19))</f>
        <v/>
      </c>
      <c r="UI16" s="92" t="str">
        <f t="shared" si="128"/>
        <v/>
      </c>
      <c r="UJ16" s="93" t="str">
        <f>IF(COUNT(UJ17:UJ19)=0,"",SUM(UJ17:UJ19)/COUNT(UJ17:UJ19))</f>
        <v/>
      </c>
      <c r="UK16" s="94" t="str">
        <f t="shared" si="129"/>
        <v/>
      </c>
      <c r="UL16" s="121"/>
      <c r="UM16" s="65"/>
      <c r="UN16" s="85"/>
      <c r="UO16" s="86" t="str">
        <f>IF(COUNT(UO17:UO19)=0,"",SUM(UO17:UO19)/COUNT(UO17:UO19))</f>
        <v/>
      </c>
      <c r="UP16" s="87" t="str">
        <f t="shared" si="130"/>
        <v/>
      </c>
      <c r="UQ16" s="84"/>
      <c r="UR16" s="65"/>
      <c r="US16" s="85"/>
      <c r="UT16" s="86" t="str">
        <f>IF(COUNT(UT17:UT19)=0,"",SUM(UT17:UT19)/COUNT(UT17:UT19))</f>
        <v/>
      </c>
      <c r="UU16" s="88" t="str">
        <f t="shared" si="131"/>
        <v/>
      </c>
      <c r="UV16" s="89"/>
      <c r="UW16" s="90"/>
      <c r="UX16" s="91"/>
      <c r="UY16" s="86" t="str">
        <f>IF(COUNT(UY17:UY19)=0,"",SUM(UY17:UY19)/COUNT(UY17:UY19))</f>
        <v/>
      </c>
      <c r="UZ16" s="92" t="str">
        <f t="shared" si="132"/>
        <v/>
      </c>
      <c r="VA16" s="93" t="str">
        <f>IF(COUNT(VA17:VA19)=0,"",SUM(VA17:VA19)/COUNT(VA17:VA19))</f>
        <v/>
      </c>
      <c r="VB16" s="94" t="str">
        <f t="shared" si="133"/>
        <v/>
      </c>
      <c r="VC16" s="121"/>
      <c r="VD16" s="65"/>
      <c r="VE16" s="85"/>
      <c r="VF16" s="86" t="str">
        <f>IF(COUNT(VF17:VF19)=0,"",SUM(VF17:VF19)/COUNT(VF17:VF19))</f>
        <v/>
      </c>
      <c r="VG16" s="87" t="str">
        <f t="shared" si="134"/>
        <v/>
      </c>
      <c r="VH16" s="84"/>
      <c r="VI16" s="65"/>
      <c r="VJ16" s="85"/>
      <c r="VK16" s="86" t="str">
        <f>IF(COUNT(VK17:VK19)=0,"",SUM(VK17:VK19)/COUNT(VK17:VK19))</f>
        <v/>
      </c>
      <c r="VL16" s="88" t="str">
        <f t="shared" si="135"/>
        <v/>
      </c>
      <c r="VM16" s="89"/>
      <c r="VN16" s="90"/>
      <c r="VO16" s="91"/>
      <c r="VP16" s="86" t="str">
        <f>IF(COUNT(VP17:VP19)=0,"",SUM(VP17:VP19)/COUNT(VP17:VP19))</f>
        <v/>
      </c>
      <c r="VQ16" s="92" t="str">
        <f t="shared" si="136"/>
        <v/>
      </c>
      <c r="VR16" s="93" t="str">
        <f>IF(COUNT(VR17:VR19)=0,"",SUM(VR17:VR19)/COUNT(VR17:VR19))</f>
        <v/>
      </c>
      <c r="VS16" s="94" t="str">
        <f t="shared" si="137"/>
        <v/>
      </c>
      <c r="VT16" s="121"/>
      <c r="VU16" s="65"/>
      <c r="VV16" s="85"/>
      <c r="VW16" s="86" t="str">
        <f>IF(COUNT(VW17:VW19)=0,"",SUM(VW17:VW19)/COUNT(VW17:VW19))</f>
        <v/>
      </c>
      <c r="VX16" s="87" t="str">
        <f t="shared" si="138"/>
        <v/>
      </c>
      <c r="VY16" s="84"/>
      <c r="VZ16" s="65"/>
      <c r="WA16" s="85"/>
      <c r="WB16" s="86" t="str">
        <f>IF(COUNT(WB17:WB19)=0,"",SUM(WB17:WB19)/COUNT(WB17:WB19))</f>
        <v/>
      </c>
      <c r="WC16" s="88" t="str">
        <f t="shared" si="139"/>
        <v/>
      </c>
      <c r="WD16" s="89"/>
      <c r="WE16" s="90"/>
      <c r="WF16" s="91"/>
      <c r="WG16" s="86" t="str">
        <f>IF(COUNT(WG17:WG19)=0,"",SUM(WG17:WG19)/COUNT(WG17:WG19))</f>
        <v/>
      </c>
      <c r="WH16" s="92" t="str">
        <f t="shared" si="140"/>
        <v/>
      </c>
      <c r="WI16" s="93" t="str">
        <f>IF(COUNT(WI17:WI19)=0,"",SUM(WI17:WI19)/COUNT(WI17:WI19))</f>
        <v/>
      </c>
      <c r="WJ16" s="94" t="str">
        <f t="shared" si="141"/>
        <v/>
      </c>
    </row>
    <row r="17" spans="1:608" ht="18" customHeight="1" x14ac:dyDescent="0.55000000000000004">
      <c r="A17" s="217" t="s">
        <v>21</v>
      </c>
      <c r="B17" s="218"/>
      <c r="C17" s="103"/>
      <c r="D17" s="104" t="s">
        <v>28</v>
      </c>
      <c r="E17" s="105"/>
      <c r="F17" s="161">
        <f>IFERROR((((COUNTIF('Elève (3ème4)'!C17:E17,"A"))*4)+((COUNTIF('Elève (3ème4)'!C17:E17,"B"))*3)+((COUNTIF('Elève (3ème4)'!C17:E17,"C"))*2)+((COUNTIF('Elève (3ème4)'!C17:E17,"D"))*1))/(COUNTA(C17:E17)),"")</f>
        <v>3</v>
      </c>
      <c r="G17" s="162" t="str">
        <f t="shared" si="22"/>
        <v>B</v>
      </c>
      <c r="H17" s="103" t="s">
        <v>29</v>
      </c>
      <c r="I17" s="104"/>
      <c r="J17" s="105"/>
      <c r="K17" s="105"/>
      <c r="L17" s="161">
        <f>IFERROR((((COUNTIF('Elève (3ème4)'!H17:K17,"A"))*4)+((COUNTIF('Elève (3ème4)'!H17:K17,"B"))*3)+((COUNTIF('Elève (3ème4)'!H17:K17,"C"))*2)+((COUNTIF('Elève (3ème4)'!H17:K17,"D"))*1))/(COUNTA(H17:K17)),"")</f>
        <v>2</v>
      </c>
      <c r="M17" s="162" t="str">
        <f t="shared" si="23"/>
        <v>C</v>
      </c>
      <c r="N17" s="103" t="s">
        <v>29</v>
      </c>
      <c r="O17" s="104" t="s">
        <v>28</v>
      </c>
      <c r="P17" s="105"/>
      <c r="Q17" s="105"/>
      <c r="R17" s="105"/>
      <c r="S17" s="105"/>
      <c r="T17" s="161">
        <f>IFERROR((((COUNTIF('Elève (3ème4)'!N17:S17,"A"))*4)+((COUNTIF('Elève (3ème4)'!N17:S17,"B"))*3)+((COUNTIF('Elève (3ème4)'!N17:S17,"C"))*2)+((COUNTIF('Elève (3ème4)'!N17:S17,"D"))*1))/(COUNTA(N17:S17)),"")</f>
        <v>2.5</v>
      </c>
      <c r="U17" s="162" t="str">
        <f t="shared" si="24"/>
        <v>C</v>
      </c>
      <c r="V17" s="161">
        <f>IF(COUNT(F17,L17,T17)=0,"",SUM(F17,L17,T17)/COUNT(F17,L17,T17))</f>
        <v>2.5</v>
      </c>
      <c r="W17" s="191" t="str">
        <f t="shared" si="25"/>
        <v>C</v>
      </c>
      <c r="X17" s="103"/>
      <c r="Y17" s="104" t="s">
        <v>30</v>
      </c>
      <c r="Z17" s="105"/>
      <c r="AA17" s="161">
        <f>IFERROR((((COUNTIF('Elève (3ème4)'!X17:Z17,"A"))*4)+((COUNTIF('Elève (3ème4)'!X17:Z17,"B"))*3)+((COUNTIF('Elève (3ème4)'!X17:Z17,"C"))*2)+((COUNTIF('Elève (3ème4)'!X17:Z17,"D"))*1))/(COUNTA(X17:Z17)),"")</f>
        <v>1</v>
      </c>
      <c r="AB17" s="162" t="str">
        <f t="shared" si="26"/>
        <v>D</v>
      </c>
      <c r="AC17" s="103"/>
      <c r="AD17" s="104"/>
      <c r="AE17" s="105"/>
      <c r="AF17" s="105"/>
      <c r="AG17" s="161" t="str">
        <f>IFERROR((((COUNTIF('Elève (3ème4)'!AC17:AF17,"A"))*4)+((COUNTIF('Elève (3ème4)'!AC17:AF17,"B"))*3)+((COUNTIF('Elève (3ème4)'!AC17:AF17,"C"))*2)+((COUNTIF('Elève (3ème4)'!AC17:AF17,"D"))*1))/(COUNTA(AC17:AF17)),"")</f>
        <v/>
      </c>
      <c r="AH17" s="162" t="str">
        <f t="shared" si="27"/>
        <v/>
      </c>
      <c r="AI17" s="103"/>
      <c r="AJ17" s="104"/>
      <c r="AK17" s="105"/>
      <c r="AL17" s="105"/>
      <c r="AM17" s="105"/>
      <c r="AN17" s="109"/>
      <c r="AO17" s="161" t="str">
        <f>IFERROR((((COUNTIF('Elève (3ème4)'!AI17:AN17,"A"))*4)+((COUNTIF('Elève (3ème4)'!AI17:AN17,"B"))*3)+((COUNTIF('Elève (3ème4)'!AI17:AN17,"C"))*2)+((COUNTIF('Elève (3ème4)'!AI17:AN17,"D"))*1))/(COUNTA(AI17:AN17)),"")</f>
        <v/>
      </c>
      <c r="AP17" s="162" t="str">
        <f t="shared" si="28"/>
        <v/>
      </c>
      <c r="AQ17" s="161">
        <f>IF(COUNT(AA17,AG17,AO17)=0,"",SUM(AA17,AG17,AO17)/COUNT(AA17,AG17,AO17))</f>
        <v>1</v>
      </c>
      <c r="AR17" s="191" t="str">
        <f t="shared" si="29"/>
        <v>D</v>
      </c>
      <c r="AS17" s="103"/>
      <c r="AT17" s="104" t="s">
        <v>28</v>
      </c>
      <c r="AU17" s="105"/>
      <c r="AV17" s="161">
        <f>IFERROR((((COUNTIF('Elève (3ème4)'!AS17:AU17,"A"))*4)+((COUNTIF('Elève (3ème4)'!AS17:AU17,"B"))*3)+((COUNTIF('Elève (3ème4)'!AS17:AU17,"C"))*2)+((COUNTIF('Elève (3ème4)'!AS17:AU17,"D"))*1))/(COUNTA(AS17:AU17)),"")</f>
        <v>3</v>
      </c>
      <c r="AW17" s="162" t="str">
        <f t="shared" si="30"/>
        <v>B</v>
      </c>
      <c r="AX17" s="103" t="s">
        <v>29</v>
      </c>
      <c r="AY17" s="104"/>
      <c r="AZ17" s="105"/>
      <c r="BA17" s="105"/>
      <c r="BB17" s="161">
        <f>IFERROR((((COUNTIF('Elève (3ème4)'!AX17:BA17,"A"))*4)+((COUNTIF('Elève (3ème4)'!AX17:BA17,"B"))*3)+((COUNTIF('Elève (3ème4)'!AX17:BA17,"C"))*2)+((COUNTIF('Elève (3ème4)'!AX17:BA17,"D"))*1))/(COUNTA(AX17:BA17)),"")</f>
        <v>2</v>
      </c>
      <c r="BC17" s="162" t="str">
        <f t="shared" si="31"/>
        <v>C</v>
      </c>
      <c r="BD17" s="103" t="s">
        <v>29</v>
      </c>
      <c r="BE17" s="104" t="s">
        <v>29</v>
      </c>
      <c r="BF17" s="105"/>
      <c r="BG17" s="105"/>
      <c r="BH17" s="105"/>
      <c r="BI17" s="109"/>
      <c r="BJ17" s="161">
        <f>IFERROR((((COUNTIF('Elève (3ème4)'!BD17:BI17,"A"))*4)+((COUNTIF('Elève (3ème4)'!BD17:BI17,"B"))*3)+((COUNTIF('Elève (3ème4)'!BD17:BI17,"C"))*2)+((COUNTIF('Elève (3ème4)'!BD17:BI17,"D"))*1))/(COUNTA(BD17:BI17)),"")</f>
        <v>2</v>
      </c>
      <c r="BK17" s="162" t="str">
        <f t="shared" si="32"/>
        <v>C</v>
      </c>
      <c r="BL17" s="161">
        <f>IF(COUNT(AV17,BB17,BJ17)=0,"",SUM(AV17,BB17,BJ17)/COUNT(AV17,BB17,BJ17))</f>
        <v>2.3333333333333335</v>
      </c>
      <c r="BM17" s="191" t="str">
        <f t="shared" si="33"/>
        <v>C</v>
      </c>
      <c r="BN17" s="103"/>
      <c r="BO17" s="104" t="s">
        <v>29</v>
      </c>
      <c r="BP17" s="105"/>
      <c r="BQ17" s="161">
        <f>IFERROR((((COUNTIF('Elève (3ème4)'!BN17:BP17,"A"))*4)+((COUNTIF('Elève (3ème4)'!BN17:BP17,"B"))*3)+((COUNTIF('Elève (3ème4)'!BN17:BP17,"C"))*2)+((COUNTIF('Elève (3ème4)'!BN17:BP17,"D"))*1))/(COUNTA(BN17:BP17)),"")</f>
        <v>2</v>
      </c>
      <c r="BR17" s="162" t="str">
        <f t="shared" si="34"/>
        <v>C</v>
      </c>
      <c r="BS17" s="103" t="s">
        <v>29</v>
      </c>
      <c r="BT17" s="104"/>
      <c r="BU17" s="105"/>
      <c r="BV17" s="105"/>
      <c r="BW17" s="161">
        <f>IFERROR((((COUNTIF('Elève (3ème4)'!BS17:BV17,"A"))*4)+((COUNTIF('Elève (3ème4)'!BS17:BV17,"B"))*3)+((COUNTIF('Elève (3ème4)'!BS17:BV17,"C"))*2)+((COUNTIF('Elève (3ème4)'!BS17:BV17,"D"))*1))/(COUNTA(BS17:BV17)),"")</f>
        <v>2</v>
      </c>
      <c r="BX17" s="162" t="str">
        <f t="shared" si="35"/>
        <v>C</v>
      </c>
      <c r="BY17" s="103" t="s">
        <v>29</v>
      </c>
      <c r="BZ17" s="104" t="s">
        <v>28</v>
      </c>
      <c r="CA17" s="105"/>
      <c r="CB17" s="105"/>
      <c r="CC17" s="105"/>
      <c r="CD17" s="109"/>
      <c r="CE17" s="161">
        <f>IFERROR((((COUNTIF('Elève (3ème4)'!BY17:CD17,"A"))*4)+((COUNTIF('Elève (3ème4)'!BY17:CD17,"B"))*3)+((COUNTIF('Elève (3ème4)'!BY17:CD17,"C"))*2)+((COUNTIF('Elève (3ème4)'!BY17:CD17,"D"))*1))/(COUNTA(BY17:CD17)),"")</f>
        <v>2.5</v>
      </c>
      <c r="CF17" s="162" t="str">
        <f t="shared" si="36"/>
        <v>C</v>
      </c>
      <c r="CG17" s="161">
        <f>IF(COUNT(BQ17,BW17,CE17)=0,"",SUM(BQ17,BW17,CE17)/COUNT(BQ17,BW17,CE17))</f>
        <v>2.1666666666666665</v>
      </c>
      <c r="CH17" s="191" t="str">
        <f t="shared" si="37"/>
        <v>C</v>
      </c>
      <c r="CI17" s="103"/>
      <c r="CJ17" s="104" t="s">
        <v>29</v>
      </c>
      <c r="CK17" s="105"/>
      <c r="CL17" s="161">
        <f>IFERROR((((COUNTIF('Elève (3ème4)'!CI17:CK17,"A"))*4)+((COUNTIF('Elève (3ème4)'!CI17:CK17,"B"))*3)+((COUNTIF('Elève (3ème4)'!CI17:CK17,"C"))*2)+((COUNTIF('Elève (3ème4)'!CI17:CK17,"D"))*1))/(COUNTA(CI17:CK17)),"")</f>
        <v>2</v>
      </c>
      <c r="CM17" s="162" t="str">
        <f t="shared" si="38"/>
        <v>C</v>
      </c>
      <c r="CN17" s="103"/>
      <c r="CO17" s="104"/>
      <c r="CP17" s="105"/>
      <c r="CQ17" s="105"/>
      <c r="CR17" s="161" t="str">
        <f>IFERROR((((COUNTIF('Elève (3ème4)'!CN17:CQ17,"A"))*4)+((COUNTIF('Elève (3ème4)'!CN17:CQ17,"B"))*3)+((COUNTIF('Elève (3ème4)'!CN17:CQ17,"C"))*2)+((COUNTIF('Elève (3ème4)'!CN17:CQ17,"D"))*1))/(COUNTA(CN17:CQ17)),"")</f>
        <v/>
      </c>
      <c r="CS17" s="162" t="str">
        <f t="shared" si="39"/>
        <v/>
      </c>
      <c r="CT17" s="103"/>
      <c r="CU17" s="104" t="s">
        <v>29</v>
      </c>
      <c r="CV17" s="105"/>
      <c r="CW17" s="105"/>
      <c r="CX17" s="105"/>
      <c r="CY17" s="109"/>
      <c r="CZ17" s="161">
        <f>IFERROR((((COUNTIF('Elève (3ème4)'!CT17:CY17,"A"))*4)+((COUNTIF('Elève (3ème4)'!CT17:CY17,"B"))*3)+((COUNTIF('Elève (3ème4)'!CT17:CY17,"C"))*2)+((COUNTIF('Elève (3ème4)'!CT17:CY17,"D"))*1))/(COUNTA(CT17:CY17)),"")</f>
        <v>2</v>
      </c>
      <c r="DA17" s="162" t="str">
        <f t="shared" si="40"/>
        <v>C</v>
      </c>
      <c r="DB17" s="161">
        <f>IF(COUNT(CL17,CR17,CZ17)=0,"",SUM(CL17,CR17,CZ17)/COUNT(CL17,CR17,CZ17))</f>
        <v>2</v>
      </c>
      <c r="DC17" s="191" t="str">
        <f t="shared" si="41"/>
        <v>C</v>
      </c>
      <c r="DD17" s="103"/>
      <c r="DE17" s="104" t="s">
        <v>28</v>
      </c>
      <c r="DF17" s="105"/>
      <c r="DG17" s="161">
        <f>IFERROR((((COUNTIF('Elève (3ème4)'!DD17:DF17,"A"))*4)+((COUNTIF('Elève (3ème4)'!DD17:DF17,"B"))*3)+((COUNTIF('Elève (3ème4)'!DD17:DF17,"C"))*2)+((COUNTIF('Elève (3ème4)'!DD17:DF17,"D"))*1))/(COUNTA(DD17:DF17)),"")</f>
        <v>3</v>
      </c>
      <c r="DH17" s="162" t="str">
        <f t="shared" si="42"/>
        <v>B</v>
      </c>
      <c r="DI17" s="103" t="s">
        <v>29</v>
      </c>
      <c r="DJ17" s="104"/>
      <c r="DK17" s="105"/>
      <c r="DL17" s="105"/>
      <c r="DM17" s="161">
        <f>IFERROR((((COUNTIF('Elève (3ème4)'!DI17:DL17,"A"))*4)+((COUNTIF('Elève (3ème4)'!DI17:DL17,"B"))*3)+((COUNTIF('Elève (3ème4)'!DI17:DL17,"C"))*2)+((COUNTIF('Elève (3ème4)'!DI17:DL17,"D"))*1))/(COUNTA(DI17:DL17)),"")</f>
        <v>2</v>
      </c>
      <c r="DN17" s="162" t="str">
        <f t="shared" si="43"/>
        <v>C</v>
      </c>
      <c r="DO17" s="103" t="s">
        <v>28</v>
      </c>
      <c r="DP17" s="104" t="s">
        <v>28</v>
      </c>
      <c r="DQ17" s="105"/>
      <c r="DR17" s="105"/>
      <c r="DS17" s="105"/>
      <c r="DT17" s="109"/>
      <c r="DU17" s="161">
        <f>IFERROR((((COUNTIF('Elève (3ème4)'!DO17:DT17,"A"))*4)+((COUNTIF('Elève (3ème4)'!DO17:DT17,"B"))*3)+((COUNTIF('Elève (3ème4)'!DO17:DT17,"C"))*2)+((COUNTIF('Elève (3ème4)'!DO17:DT17,"D"))*1))/(COUNTA(DO17:DT17)),"")</f>
        <v>3</v>
      </c>
      <c r="DV17" s="162" t="str">
        <f t="shared" si="44"/>
        <v>B</v>
      </c>
      <c r="DW17" s="161">
        <f>IF(COUNT(DG17,DM17,DU17)=0,"",SUM(DG17,DM17,DU17)/COUNT(DG17,DM17,DU17))</f>
        <v>2.6666666666666665</v>
      </c>
      <c r="DX17" s="191" t="str">
        <f t="shared" si="45"/>
        <v>C</v>
      </c>
      <c r="DY17" s="103"/>
      <c r="DZ17" s="104" t="s">
        <v>29</v>
      </c>
      <c r="EA17" s="105"/>
      <c r="EB17" s="161">
        <f>IFERROR((((COUNTIF('Elève (3ème4)'!DY17:EA17,"A"))*4)+((COUNTIF('Elève (3ème4)'!DY17:EA17,"B"))*3)+((COUNTIF('Elève (3ème4)'!DY17:EA17,"C"))*2)+((COUNTIF('Elève (3ème4)'!DY17:EA17,"D"))*1))/(COUNTA(DY17:EA17)),"")</f>
        <v>2</v>
      </c>
      <c r="EC17" s="162" t="str">
        <f t="shared" si="46"/>
        <v>C</v>
      </c>
      <c r="ED17" s="103" t="s">
        <v>29</v>
      </c>
      <c r="EE17" s="104"/>
      <c r="EF17" s="105"/>
      <c r="EG17" s="105"/>
      <c r="EH17" s="161">
        <f>IFERROR((((COUNTIF('Elève (3ème4)'!ED17:EG17,"A"))*4)+((COUNTIF('Elève (3ème4)'!ED17:EG17,"B"))*3)+((COUNTIF('Elève (3ème4)'!ED17:EG17,"C"))*2)+((COUNTIF('Elève (3ème4)'!ED17:EG17,"D"))*1))/(COUNTA(ED17:EG17)),"")</f>
        <v>2</v>
      </c>
      <c r="EI17" s="162" t="str">
        <f t="shared" si="47"/>
        <v>C</v>
      </c>
      <c r="EJ17" s="103" t="s">
        <v>28</v>
      </c>
      <c r="EK17" s="104" t="s">
        <v>27</v>
      </c>
      <c r="EL17" s="105"/>
      <c r="EM17" s="105"/>
      <c r="EN17" s="105"/>
      <c r="EO17" s="109"/>
      <c r="EP17" s="161">
        <f>IFERROR((((COUNTIF('Elève (3ème4)'!EJ17:EO17,"A"))*4)+((COUNTIF('Elève (3ème4)'!EJ17:EO17,"B"))*3)+((COUNTIF('Elève (3ème4)'!EJ17:EO17,"C"))*2)+((COUNTIF('Elève (3ème4)'!EJ17:EO17,"D"))*1))/(COUNTA(EJ17:EO17)),"")</f>
        <v>3.5</v>
      </c>
      <c r="EQ17" s="162" t="str">
        <f t="shared" si="48"/>
        <v>B</v>
      </c>
      <c r="ER17" s="161">
        <f>IF(COUNT(EB17,EH17,EP17)=0,"",SUM(EB17,EH17,EP17)/COUNT(EB17,EH17,EP17))</f>
        <v>2.5</v>
      </c>
      <c r="ES17" s="191" t="str">
        <f t="shared" si="49"/>
        <v>C</v>
      </c>
      <c r="ET17" s="103"/>
      <c r="EU17" s="104" t="s">
        <v>29</v>
      </c>
      <c r="EV17" s="105"/>
      <c r="EW17" s="161">
        <f>IFERROR((((COUNTIF('Elève (3ème4)'!ET17:EV17,"A"))*4)+((COUNTIF('Elève (3ème4)'!ET17:EV17,"B"))*3)+((COUNTIF('Elève (3ème4)'!ET17:EV17,"C"))*2)+((COUNTIF('Elève (3ème4)'!ET17:EV17,"D"))*1))/(COUNTA(ET17:EV17)),"")</f>
        <v>2</v>
      </c>
      <c r="EX17" s="162" t="str">
        <f t="shared" si="50"/>
        <v>C</v>
      </c>
      <c r="EY17" s="103" t="s">
        <v>29</v>
      </c>
      <c r="EZ17" s="104"/>
      <c r="FA17" s="105"/>
      <c r="FB17" s="105"/>
      <c r="FC17" s="161">
        <f>IFERROR((((COUNTIF('Elève (3ème4)'!EY17:FB17,"A"))*4)+((COUNTIF('Elève (3ème4)'!EY17:FB17,"B"))*3)+((COUNTIF('Elève (3ème4)'!EY17:FB17,"C"))*2)+((COUNTIF('Elève (3ème4)'!EY17:FB17,"D"))*1))/(COUNTA(EY17:FB17)),"")</f>
        <v>2</v>
      </c>
      <c r="FD17" s="162" t="str">
        <f t="shared" si="51"/>
        <v>C</v>
      </c>
      <c r="FE17" s="103" t="s">
        <v>29</v>
      </c>
      <c r="FF17" s="104" t="s">
        <v>29</v>
      </c>
      <c r="FG17" s="105"/>
      <c r="FH17" s="105"/>
      <c r="FI17" s="105"/>
      <c r="FJ17" s="109"/>
      <c r="FK17" s="161">
        <f>IFERROR((((COUNTIF('Elève (3ème4)'!FE17:FJ17,"A"))*4)+((COUNTIF('Elève (3ème4)'!FE17:FJ17,"B"))*3)+((COUNTIF('Elève (3ème4)'!FE17:FJ17,"C"))*2)+((COUNTIF('Elève (3ème4)'!FE17:FJ17,"D"))*1))/(COUNTA(FE17:FJ17)),"")</f>
        <v>2</v>
      </c>
      <c r="FL17" s="162" t="str">
        <f t="shared" si="52"/>
        <v>C</v>
      </c>
      <c r="FM17" s="161">
        <f>IF(COUNT(EW17,FC17,FK17)=0,"",SUM(EW17,FC17,FK17)/COUNT(EW17,FC17,FK17))</f>
        <v>2</v>
      </c>
      <c r="FN17" s="191" t="str">
        <f t="shared" si="53"/>
        <v>C</v>
      </c>
      <c r="FO17" s="103"/>
      <c r="FP17" s="104" t="s">
        <v>28</v>
      </c>
      <c r="FQ17" s="105"/>
      <c r="FR17" s="161">
        <f>IFERROR((((COUNTIF('Elève (3ème4)'!FO17:FQ17,"A"))*4)+((COUNTIF('Elève (3ème4)'!FO17:FQ17,"B"))*3)+((COUNTIF('Elève (3ème4)'!FO17:FQ17,"C"))*2)+((COUNTIF('Elève (3ème4)'!FO17:FQ17,"D"))*1))/(COUNTA(FO17:FQ17)),"")</f>
        <v>3</v>
      </c>
      <c r="FS17" s="162" t="str">
        <f t="shared" si="54"/>
        <v>B</v>
      </c>
      <c r="FT17" s="103" t="s">
        <v>29</v>
      </c>
      <c r="FU17" s="104"/>
      <c r="FV17" s="105"/>
      <c r="FW17" s="105"/>
      <c r="FX17" s="161">
        <f>IFERROR((((COUNTIF('Elève (3ème4)'!FT17:FW17,"A"))*4)+((COUNTIF('Elève (3ème4)'!FT17:FW17,"B"))*3)+((COUNTIF('Elève (3ème4)'!FT17:FW17,"C"))*2)+((COUNTIF('Elève (3ème4)'!FT17:FW17,"D"))*1))/(COUNTA(FT17:FW17)),"")</f>
        <v>2</v>
      </c>
      <c r="FY17" s="162" t="str">
        <f t="shared" si="55"/>
        <v>C</v>
      </c>
      <c r="FZ17" s="103" t="s">
        <v>29</v>
      </c>
      <c r="GA17" s="104" t="s">
        <v>28</v>
      </c>
      <c r="GB17" s="105"/>
      <c r="GC17" s="105"/>
      <c r="GD17" s="105"/>
      <c r="GE17" s="109"/>
      <c r="GF17" s="161">
        <f>IFERROR((((COUNTIF('Elève (3ème4)'!FZ17:GE17,"A"))*4)+((COUNTIF('Elève (3ème4)'!FZ17:GE17,"B"))*3)+((COUNTIF('Elève (3ème4)'!FZ17:GE17,"C"))*2)+((COUNTIF('Elève (3ème4)'!FZ17:GE17,"D"))*1))/(COUNTA(FZ17:GE17)),"")</f>
        <v>2.5</v>
      </c>
      <c r="GG17" s="162" t="str">
        <f t="shared" si="56"/>
        <v>C</v>
      </c>
      <c r="GH17" s="161">
        <f>IF(COUNT(FR17,FX17,GF17)=0,"",SUM(FR17,FX17,GF17)/COUNT(FR17,FX17,GF17))</f>
        <v>2.5</v>
      </c>
      <c r="GI17" s="191" t="str">
        <f t="shared" si="57"/>
        <v>C</v>
      </c>
      <c r="GJ17" s="103"/>
      <c r="GK17" s="104" t="s">
        <v>29</v>
      </c>
      <c r="GL17" s="105"/>
      <c r="GM17" s="161">
        <f>IFERROR((((COUNTIF('Elève (3ème4)'!GJ17:GL17,"A"))*4)+((COUNTIF('Elève (3ème4)'!GJ17:GL17,"B"))*3)+((COUNTIF('Elève (3ème4)'!GJ17:GL17,"C"))*2)+((COUNTIF('Elève (3ème4)'!GJ17:GL17,"D"))*1))/(COUNTA(GJ17:GL17)),"")</f>
        <v>2</v>
      </c>
      <c r="GN17" s="162" t="str">
        <f t="shared" si="58"/>
        <v>C</v>
      </c>
      <c r="GO17" s="103" t="s">
        <v>30</v>
      </c>
      <c r="GP17" s="104"/>
      <c r="GQ17" s="105"/>
      <c r="GR17" s="105"/>
      <c r="GS17" s="161">
        <f>IFERROR((((COUNTIF('Elève (3ème4)'!GO17:GR17,"A"))*4)+((COUNTIF('Elève (3ème4)'!GO17:GR17,"B"))*3)+((COUNTIF('Elève (3ème4)'!GO17:GR17,"C"))*2)+((COUNTIF('Elève (3ème4)'!GO17:GR17,"D"))*1))/(COUNTA(GO17:GR17)),"")</f>
        <v>1</v>
      </c>
      <c r="GT17" s="162" t="str">
        <f t="shared" si="59"/>
        <v>D</v>
      </c>
      <c r="GU17" s="103" t="s">
        <v>29</v>
      </c>
      <c r="GV17" s="104" t="s">
        <v>29</v>
      </c>
      <c r="GW17" s="105"/>
      <c r="GX17" s="105"/>
      <c r="GY17" s="105"/>
      <c r="GZ17" s="109"/>
      <c r="HA17" s="161">
        <f>IFERROR((((COUNTIF('Elève (3ème4)'!GU17:GZ17,"A"))*4)+((COUNTIF('Elève (3ème4)'!GU17:GZ17,"B"))*3)+((COUNTIF('Elève (3ème4)'!GU17:GZ17,"C"))*2)+((COUNTIF('Elève (3ème4)'!GU17:GZ17,"D"))*1))/(COUNTA(GU17:GZ17)),"")</f>
        <v>2</v>
      </c>
      <c r="HB17" s="162" t="str">
        <f t="shared" si="60"/>
        <v>C</v>
      </c>
      <c r="HC17" s="161">
        <f>IF(COUNT(GM17,GS17,HA17)=0,"",SUM(GM17,GS17,HA17)/COUNT(GM17,GS17,HA17))</f>
        <v>1.6666666666666667</v>
      </c>
      <c r="HD17" s="191" t="str">
        <f t="shared" si="61"/>
        <v>C</v>
      </c>
      <c r="HE17" s="103"/>
      <c r="HF17" s="104" t="s">
        <v>30</v>
      </c>
      <c r="HG17" s="105"/>
      <c r="HH17" s="161">
        <f>IFERROR((((COUNTIF('Elève (3ème4)'!HE17:HG17,"A"))*4)+((COUNTIF('Elève (3ème4)'!HE17:HG17,"B"))*3)+((COUNTIF('Elève (3ème4)'!HE17:HG17,"C"))*2)+((COUNTIF('Elève (3ème4)'!HE17:HG17,"D"))*1))/(COUNTA(HE17:HG17)),"")</f>
        <v>1</v>
      </c>
      <c r="HI17" s="162" t="str">
        <f t="shared" si="62"/>
        <v>D</v>
      </c>
      <c r="HJ17" s="103" t="s">
        <v>30</v>
      </c>
      <c r="HK17" s="104"/>
      <c r="HL17" s="105"/>
      <c r="HM17" s="105"/>
      <c r="HN17" s="161">
        <f>IFERROR((((COUNTIF('Elève (3ème4)'!HJ17:HM17,"A"))*4)+((COUNTIF('Elève (3ème4)'!HJ17:HM17,"B"))*3)+((COUNTIF('Elève (3ème4)'!HJ17:HM17,"C"))*2)+((COUNTIF('Elève (3ème4)'!HJ17:HM17,"D"))*1))/(COUNTA(HJ17:HM17)),"")</f>
        <v>1</v>
      </c>
      <c r="HO17" s="162" t="str">
        <f t="shared" si="63"/>
        <v>D</v>
      </c>
      <c r="HP17" s="103" t="s">
        <v>30</v>
      </c>
      <c r="HQ17" s="104" t="s">
        <v>30</v>
      </c>
      <c r="HR17" s="105"/>
      <c r="HS17" s="105"/>
      <c r="HT17" s="105"/>
      <c r="HU17" s="109"/>
      <c r="HV17" s="161">
        <f>IFERROR((((COUNTIF('Elève (3ème4)'!HP17:HU17,"A"))*4)+((COUNTIF('Elève (3ème4)'!HP17:HU17,"B"))*3)+((COUNTIF('Elève (3ème4)'!HP17:HU17,"C"))*2)+((COUNTIF('Elève (3ème4)'!HP17:HU17,"D"))*1))/(COUNTA(HP17:HU17)),"")</f>
        <v>1</v>
      </c>
      <c r="HW17" s="162" t="str">
        <f t="shared" si="64"/>
        <v>D</v>
      </c>
      <c r="HX17" s="161">
        <f>IF(COUNT(HH17,HN17,HV17)=0,"",SUM(HH17,HN17,HV17)/COUNT(HH17,HN17,HV17))</f>
        <v>1</v>
      </c>
      <c r="HY17" s="191" t="str">
        <f t="shared" si="65"/>
        <v>D</v>
      </c>
      <c r="HZ17" s="103"/>
      <c r="IA17" s="104" t="s">
        <v>28</v>
      </c>
      <c r="IB17" s="105"/>
      <c r="IC17" s="161">
        <f>IFERROR((((COUNTIF('Elève (3ème4)'!HZ17:IB17,"A"))*4)+((COUNTIF('Elève (3ème4)'!HZ17:IB17,"B"))*3)+((COUNTIF('Elève (3ème4)'!HZ17:IB17,"C"))*2)+((COUNTIF('Elève (3ème4)'!HZ17:IB17,"D"))*1))/(COUNTA(HZ17:IB17)),"")</f>
        <v>3</v>
      </c>
      <c r="ID17" s="162" t="str">
        <f t="shared" si="66"/>
        <v>B</v>
      </c>
      <c r="IE17" s="103" t="s">
        <v>29</v>
      </c>
      <c r="IF17" s="104"/>
      <c r="IG17" s="105"/>
      <c r="IH17" s="105"/>
      <c r="II17" s="161">
        <f>IFERROR((((COUNTIF('Elève (3ème4)'!IE17:IH17,"A"))*4)+((COUNTIF('Elève (3ème4)'!IE17:IH17,"B"))*3)+((COUNTIF('Elève (3ème4)'!IE17:IH17,"C"))*2)+((COUNTIF('Elève (3ème4)'!IE17:IH17,"D"))*1))/(COUNTA(IE17:IH17)),"")</f>
        <v>2</v>
      </c>
      <c r="IJ17" s="162" t="str">
        <f t="shared" si="67"/>
        <v>C</v>
      </c>
      <c r="IK17" s="103" t="s">
        <v>29</v>
      </c>
      <c r="IL17" s="104" t="s">
        <v>28</v>
      </c>
      <c r="IM17" s="105"/>
      <c r="IN17" s="105"/>
      <c r="IO17" s="105"/>
      <c r="IP17" s="109"/>
      <c r="IQ17" s="161">
        <f>IFERROR((((COUNTIF('Elève (3ème4)'!IK17:IP17,"A"))*4)+((COUNTIF('Elève (3ème4)'!IK17:IP17,"B"))*3)+((COUNTIF('Elève (3ème4)'!IK17:IP17,"C"))*2)+((COUNTIF('Elève (3ème4)'!IK17:IP17,"D"))*1))/(COUNTA(IK17:IP17)),"")</f>
        <v>2.5</v>
      </c>
      <c r="IR17" s="162" t="str">
        <f t="shared" si="68"/>
        <v>C</v>
      </c>
      <c r="IS17" s="161">
        <f>IF(COUNT(IC17,II17,IQ17)=0,"",SUM(IC17,II17,IQ17)/COUNT(IC17,II17,IQ17))</f>
        <v>2.5</v>
      </c>
      <c r="IT17" s="191" t="str">
        <f t="shared" si="69"/>
        <v>C</v>
      </c>
      <c r="IU17" s="103"/>
      <c r="IV17" s="104" t="s">
        <v>30</v>
      </c>
      <c r="IW17" s="105"/>
      <c r="IX17" s="161">
        <f>IFERROR((((COUNTIF('Elève (3ème4)'!IU17:IW17,"A"))*4)+((COUNTIF('Elève (3ème4)'!IU17:IW17,"B"))*3)+((COUNTIF('Elève (3ème4)'!IU17:IW17,"C"))*2)+((COUNTIF('Elève (3ème4)'!IU17:IW17,"D"))*1))/(COUNTA(IU17:IW17)),"")</f>
        <v>1</v>
      </c>
      <c r="IY17" s="162" t="str">
        <f t="shared" si="70"/>
        <v>D</v>
      </c>
      <c r="IZ17" s="103" t="s">
        <v>29</v>
      </c>
      <c r="JA17" s="104"/>
      <c r="JB17" s="105"/>
      <c r="JC17" s="105"/>
      <c r="JD17" s="161">
        <f>IFERROR((((COUNTIF('Elève (3ème4)'!IZ17:JC17,"A"))*4)+((COUNTIF('Elève (3ème4)'!IZ17:JC17,"B"))*3)+((COUNTIF('Elève (3ème4)'!IZ17:JC17,"C"))*2)+((COUNTIF('Elève (3ème4)'!IZ17:JC17,"D"))*1))/(COUNTA(IZ17:JC17)),"")</f>
        <v>2</v>
      </c>
      <c r="JE17" s="162" t="str">
        <f t="shared" si="71"/>
        <v>C</v>
      </c>
      <c r="JF17" s="103" t="s">
        <v>29</v>
      </c>
      <c r="JG17" s="104" t="s">
        <v>29</v>
      </c>
      <c r="JH17" s="105"/>
      <c r="JI17" s="105"/>
      <c r="JJ17" s="105"/>
      <c r="JK17" s="109"/>
      <c r="JL17" s="161">
        <f>IFERROR((((COUNTIF('Elève (3ème4)'!JF17:JK17,"A"))*4)+((COUNTIF('Elève (3ème4)'!JF17:JK17,"B"))*3)+((COUNTIF('Elève (3ème4)'!JF17:JK17,"C"))*2)+((COUNTIF('Elève (3ème4)'!JF17:JK17,"D"))*1))/(COUNTA(JF17:JK17)),"")</f>
        <v>2</v>
      </c>
      <c r="JM17" s="162" t="str">
        <f t="shared" si="72"/>
        <v>C</v>
      </c>
      <c r="JN17" s="161">
        <f>IF(COUNT(IX17,JD17,JL17)=0,"",SUM(IX17,JD17,JL17)/COUNT(IX17,JD17,JL17))</f>
        <v>1.6666666666666667</v>
      </c>
      <c r="JO17" s="191" t="str">
        <f t="shared" si="73"/>
        <v>C</v>
      </c>
      <c r="JP17" s="103"/>
      <c r="JQ17" s="104" t="s">
        <v>29</v>
      </c>
      <c r="JR17" s="105"/>
      <c r="JS17" s="161">
        <f>IFERROR((((COUNTIF('Elève (3ème4)'!JP17:JR17,"A"))*4)+((COUNTIF('Elève (3ème4)'!JP17:JR17,"B"))*3)+((COUNTIF('Elève (3ème4)'!JP17:JR17,"C"))*2)+((COUNTIF('Elève (3ème4)'!JP17:JR17,"D"))*1))/(COUNTA(JP17:JR17)),"")</f>
        <v>2</v>
      </c>
      <c r="JT17" s="162" t="str">
        <f t="shared" si="74"/>
        <v>C</v>
      </c>
      <c r="JU17" s="103" t="s">
        <v>29</v>
      </c>
      <c r="JV17" s="104"/>
      <c r="JW17" s="105"/>
      <c r="JX17" s="105"/>
      <c r="JY17" s="161">
        <f>IFERROR((((COUNTIF('Elève (3ème4)'!JU17:JX17,"A"))*4)+((COUNTIF('Elève (3ème4)'!JU17:JX17,"B"))*3)+((COUNTIF('Elève (3ème4)'!JU17:JX17,"C"))*2)+((COUNTIF('Elève (3ème4)'!JU17:JX17,"D"))*1))/(COUNTA(JU17:JX17)),"")</f>
        <v>2</v>
      </c>
      <c r="JZ17" s="162" t="str">
        <f t="shared" si="75"/>
        <v>C</v>
      </c>
      <c r="KA17" s="103" t="s">
        <v>29</v>
      </c>
      <c r="KB17" s="104" t="s">
        <v>30</v>
      </c>
      <c r="KC17" s="105"/>
      <c r="KD17" s="105"/>
      <c r="KE17" s="105"/>
      <c r="KF17" s="109"/>
      <c r="KG17" s="161">
        <f>IFERROR((((COUNTIF('Elève (3ème4)'!KA17:KF17,"A"))*4)+((COUNTIF('Elève (3ème4)'!KA17:KF17,"B"))*3)+((COUNTIF('Elève (3ème4)'!KA17:KF17,"C"))*2)+((COUNTIF('Elève (3ème4)'!KA17:KF17,"D"))*1))/(COUNTA(KA17:KF17)),"")</f>
        <v>1.5</v>
      </c>
      <c r="KH17" s="162" t="str">
        <f t="shared" si="76"/>
        <v>D</v>
      </c>
      <c r="KI17" s="161">
        <f>IF(COUNT(JS17,JY17,KG17)=0,"",SUM(JS17,JY17,KG17)/COUNT(JS17,JY17,KG17))</f>
        <v>1.8333333333333333</v>
      </c>
      <c r="KJ17" s="191" t="str">
        <f t="shared" si="77"/>
        <v>C</v>
      </c>
      <c r="KK17" s="103"/>
      <c r="KL17" s="104" t="s">
        <v>29</v>
      </c>
      <c r="KM17" s="105"/>
      <c r="KN17" s="161">
        <f>IFERROR((((COUNTIF('Elève (3ème4)'!KK17:KM17,"A"))*4)+((COUNTIF('Elève (3ème4)'!KK17:KM17,"B"))*3)+((COUNTIF('Elève (3ème4)'!KK17:KM17,"C"))*2)+((COUNTIF('Elève (3ème4)'!KK17:KM17,"D"))*1))/(COUNTA(KK17:KM17)),"")</f>
        <v>2</v>
      </c>
      <c r="KO17" s="162" t="str">
        <f t="shared" si="78"/>
        <v>C</v>
      </c>
      <c r="KP17" s="103" t="s">
        <v>30</v>
      </c>
      <c r="KQ17" s="104"/>
      <c r="KR17" s="105"/>
      <c r="KS17" s="105"/>
      <c r="KT17" s="161">
        <f>IFERROR((((COUNTIF('Elève (3ème4)'!KP17:KS17,"A"))*4)+((COUNTIF('Elève (3ème4)'!KP17:KS17,"B"))*3)+((COUNTIF('Elève (3ème4)'!KP17:KS17,"C"))*2)+((COUNTIF('Elève (3ème4)'!KP17:KS17,"D"))*1))/(COUNTA(KP17:KS17)),"")</f>
        <v>1</v>
      </c>
      <c r="KU17" s="162" t="str">
        <f t="shared" si="79"/>
        <v>D</v>
      </c>
      <c r="KV17" s="103" t="s">
        <v>29</v>
      </c>
      <c r="KW17" s="104" t="s">
        <v>27</v>
      </c>
      <c r="KX17" s="105"/>
      <c r="KY17" s="105"/>
      <c r="KZ17" s="105"/>
      <c r="LA17" s="109"/>
      <c r="LB17" s="161">
        <f>IFERROR((((COUNTIF('Elève (3ème4)'!KV17:LA17,"A"))*4)+((COUNTIF('Elève (3ème4)'!KV17:LA17,"B"))*3)+((COUNTIF('Elève (3ème4)'!KV17:LA17,"C"))*2)+((COUNTIF('Elève (3ème4)'!KV17:LA17,"D"))*1))/(COUNTA(KV17:LA17)),"")</f>
        <v>3</v>
      </c>
      <c r="LC17" s="162" t="str">
        <f t="shared" si="80"/>
        <v>B</v>
      </c>
      <c r="LD17" s="161">
        <f>IF(COUNT(KN17,KT17,LB17)=0,"",SUM(KN17,KT17,LB17)/COUNT(KN17,KT17,LB17))</f>
        <v>2</v>
      </c>
      <c r="LE17" s="191" t="str">
        <f t="shared" si="81"/>
        <v>C</v>
      </c>
      <c r="LF17" s="103"/>
      <c r="LG17" s="104" t="s">
        <v>30</v>
      </c>
      <c r="LH17" s="105"/>
      <c r="LI17" s="161">
        <f>IFERROR((((COUNTIF('Elève (3ème4)'!LF17:LH17,"A"))*4)+((COUNTIF('Elève (3ème4)'!LF17:LH17,"B"))*3)+((COUNTIF('Elève (3ème4)'!LF17:LH17,"C"))*2)+((COUNTIF('Elève (3ème4)'!LF17:LH17,"D"))*1))/(COUNTA(LF17:LH17)),"")</f>
        <v>1</v>
      </c>
      <c r="LJ17" s="162" t="str">
        <f t="shared" si="82"/>
        <v>D</v>
      </c>
      <c r="LK17" s="103" t="s">
        <v>30</v>
      </c>
      <c r="LL17" s="104"/>
      <c r="LM17" s="105"/>
      <c r="LN17" s="105"/>
      <c r="LO17" s="161">
        <f>IFERROR((((COUNTIF('Elève (3ème4)'!LK17:LN17,"A"))*4)+((COUNTIF('Elève (3ème4)'!LK17:LN17,"B"))*3)+((COUNTIF('Elève (3ème4)'!LK17:LN17,"C"))*2)+((COUNTIF('Elève (3ème4)'!LK17:LN17,"D"))*1))/(COUNTA(LK17:LN17)),"")</f>
        <v>1</v>
      </c>
      <c r="LP17" s="162" t="str">
        <f t="shared" si="83"/>
        <v>D</v>
      </c>
      <c r="LQ17" s="103"/>
      <c r="LR17" s="104" t="s">
        <v>29</v>
      </c>
      <c r="LS17" s="105"/>
      <c r="LT17" s="105"/>
      <c r="LU17" s="105"/>
      <c r="LV17" s="109"/>
      <c r="LW17" s="161">
        <f>IFERROR((((COUNTIF('Elève (3ème4)'!LQ17:LV17,"A"))*4)+((COUNTIF('Elève (3ème4)'!LQ17:LV17,"B"))*3)+((COUNTIF('Elève (3ème4)'!LQ17:LV17,"C"))*2)+((COUNTIF('Elève (3ème4)'!LQ17:LV17,"D"))*1))/(COUNTA(LQ17:LV17)),"")</f>
        <v>2</v>
      </c>
      <c r="LX17" s="162" t="str">
        <f t="shared" si="84"/>
        <v>C</v>
      </c>
      <c r="LY17" s="161">
        <f>IF(COUNT(LI17,LO17,LW17)=0,"",SUM(LI17,LO17,LW17)/COUNT(LI17,LO17,LW17))</f>
        <v>1.3333333333333333</v>
      </c>
      <c r="LZ17" s="191" t="str">
        <f t="shared" si="85"/>
        <v>D</v>
      </c>
      <c r="MA17" s="103"/>
      <c r="MB17" s="104" t="s">
        <v>28</v>
      </c>
      <c r="MC17" s="105"/>
      <c r="MD17" s="161">
        <f>IFERROR((((COUNTIF('Elève (3ème4)'!MA17:MC17,"A"))*4)+((COUNTIF('Elève (3ème4)'!MA17:MC17,"B"))*3)+((COUNTIF('Elève (3ème4)'!MA17:MC17,"C"))*2)+((COUNTIF('Elève (3ème4)'!MA17:MC17,"D"))*1))/(COUNTA(MA17:MC17)),"")</f>
        <v>3</v>
      </c>
      <c r="ME17" s="162" t="str">
        <f t="shared" si="86"/>
        <v>B</v>
      </c>
      <c r="MF17" s="103" t="s">
        <v>29</v>
      </c>
      <c r="MG17" s="104"/>
      <c r="MH17" s="105"/>
      <c r="MI17" s="105"/>
      <c r="MJ17" s="161">
        <f>IFERROR((((COUNTIF('Elève (3ème4)'!MF17:MI17,"A"))*4)+((COUNTIF('Elève (3ème4)'!MF17:MI17,"B"))*3)+((COUNTIF('Elève (3ème4)'!MF17:MI17,"C"))*2)+((COUNTIF('Elève (3ème4)'!MF17:MI17,"D"))*1))/(COUNTA(MF17:MI17)),"")</f>
        <v>2</v>
      </c>
      <c r="MK17" s="162" t="str">
        <f t="shared" si="87"/>
        <v>C</v>
      </c>
      <c r="ML17" s="103" t="s">
        <v>29</v>
      </c>
      <c r="MM17" s="104" t="s">
        <v>27</v>
      </c>
      <c r="MN17" s="105"/>
      <c r="MO17" s="105"/>
      <c r="MP17" s="105"/>
      <c r="MQ17" s="109"/>
      <c r="MR17" s="161">
        <f>IFERROR((((COUNTIF('Elève (3ème4)'!ML17:MQ17,"A"))*4)+((COUNTIF('Elève (3ème4)'!ML17:MQ17,"B"))*3)+((COUNTIF('Elève (3ème4)'!ML17:MQ17,"C"))*2)+((COUNTIF('Elève (3ème4)'!ML17:MQ17,"D"))*1))/(COUNTA(ML17:MQ17)),"")</f>
        <v>3</v>
      </c>
      <c r="MS17" s="162" t="str">
        <f t="shared" si="88"/>
        <v>B</v>
      </c>
      <c r="MT17" s="161">
        <f>IF(COUNT(MD17,MJ17,MR17)=0,"",SUM(MD17,MJ17,MR17)/COUNT(MD17,MJ17,MR17))</f>
        <v>2.6666666666666665</v>
      </c>
      <c r="MU17" s="191" t="str">
        <f t="shared" si="89"/>
        <v>C</v>
      </c>
      <c r="MV17" s="103"/>
      <c r="MW17" s="104" t="s">
        <v>30</v>
      </c>
      <c r="MX17" s="105"/>
      <c r="MY17" s="161">
        <f>IFERROR((((COUNTIF('Elève (3ème4)'!MV17:MX17,"A"))*4)+((COUNTIF('Elève (3ème4)'!MV17:MX17,"B"))*3)+((COUNTIF('Elève (3ème4)'!MV17:MX17,"C"))*2)+((COUNTIF('Elève (3ème4)'!MV17:MX17,"D"))*1))/(COUNTA(MV17:MX17)),"")</f>
        <v>1</v>
      </c>
      <c r="MZ17" s="162" t="str">
        <f t="shared" si="90"/>
        <v>D</v>
      </c>
      <c r="NA17" s="103" t="s">
        <v>30</v>
      </c>
      <c r="NB17" s="104"/>
      <c r="NC17" s="105"/>
      <c r="ND17" s="105"/>
      <c r="NE17" s="161">
        <f>IFERROR((((COUNTIF('Elève (3ème4)'!NA17:ND17,"A"))*4)+((COUNTIF('Elève (3ème4)'!NA17:ND17,"B"))*3)+((COUNTIF('Elève (3ème4)'!NA17:ND17,"C"))*2)+((COUNTIF('Elève (3ème4)'!NA17:ND17,"D"))*1))/(COUNTA(NA17:ND17)),"")</f>
        <v>1</v>
      </c>
      <c r="NF17" s="162" t="str">
        <f t="shared" si="91"/>
        <v>D</v>
      </c>
      <c r="NG17" s="103" t="s">
        <v>29</v>
      </c>
      <c r="NH17" s="104" t="s">
        <v>30</v>
      </c>
      <c r="NI17" s="105"/>
      <c r="NJ17" s="105"/>
      <c r="NK17" s="105"/>
      <c r="NL17" s="109"/>
      <c r="NM17" s="161">
        <f>IFERROR((((COUNTIF('Elève (3ème4)'!NG17:NL17,"A"))*4)+((COUNTIF('Elève (3ème4)'!NG17:NL17,"B"))*3)+((COUNTIF('Elève (3ème4)'!NG17:NL17,"C"))*2)+((COUNTIF('Elève (3ème4)'!NG17:NL17,"D"))*1))/(COUNTA(NG17:NL17)),"")</f>
        <v>1.5</v>
      </c>
      <c r="NN17" s="162" t="str">
        <f t="shared" si="92"/>
        <v>D</v>
      </c>
      <c r="NO17" s="161">
        <f>IF(COUNT(MY17,NE17,NM17)=0,"",SUM(MY17,NE17,NM17)/COUNT(MY17,NE17,NM17))</f>
        <v>1.1666666666666667</v>
      </c>
      <c r="NP17" s="191" t="str">
        <f t="shared" si="93"/>
        <v>D</v>
      </c>
      <c r="NQ17" s="103"/>
      <c r="NR17" s="104" t="s">
        <v>29</v>
      </c>
      <c r="NS17" s="105"/>
      <c r="NT17" s="161">
        <f>IFERROR((((COUNTIF('Elève (3ème4)'!NQ17:NS17,"A"))*4)+((COUNTIF('Elève (3ème4)'!NQ17:NS17,"B"))*3)+((COUNTIF('Elève (3ème4)'!NQ17:NS17,"C"))*2)+((COUNTIF('Elève (3ème4)'!NQ17:NS17,"D"))*1))/(COUNTA(NQ17:NS17)),"")</f>
        <v>2</v>
      </c>
      <c r="NU17" s="162" t="str">
        <f t="shared" si="94"/>
        <v>C</v>
      </c>
      <c r="NV17" s="103" t="s">
        <v>30</v>
      </c>
      <c r="NW17" s="104"/>
      <c r="NX17" s="105"/>
      <c r="NY17" s="105"/>
      <c r="NZ17" s="161">
        <f>IFERROR((((COUNTIF('Elève (3ème4)'!NV17:NY17,"A"))*4)+((COUNTIF('Elève (3ème4)'!NV17:NY17,"B"))*3)+((COUNTIF('Elève (3ème4)'!NV17:NY17,"C"))*2)+((COUNTIF('Elève (3ème4)'!NV17:NY17,"D"))*1))/(COUNTA(NV17:NY17)),"")</f>
        <v>1</v>
      </c>
      <c r="OA17" s="162" t="str">
        <f t="shared" si="95"/>
        <v>D</v>
      </c>
      <c r="OB17" s="103" t="s">
        <v>29</v>
      </c>
      <c r="OC17" s="104" t="s">
        <v>29</v>
      </c>
      <c r="OD17" s="105"/>
      <c r="OE17" s="105"/>
      <c r="OF17" s="105"/>
      <c r="OG17" s="109"/>
      <c r="OH17" s="161">
        <f>IFERROR((((COUNTIF('Elève (3ème4)'!OB17:OG17,"A"))*4)+((COUNTIF('Elève (3ème4)'!OB17:OG17,"B"))*3)+((COUNTIF('Elève (3ème4)'!OB17:OG17,"C"))*2)+((COUNTIF('Elève (3ème4)'!OB17:OG17,"D"))*1))/(COUNTA(OB17:OG17)),"")</f>
        <v>2</v>
      </c>
      <c r="OI17" s="162" t="str">
        <f t="shared" si="96"/>
        <v>C</v>
      </c>
      <c r="OJ17" s="161">
        <f>IF(COUNT(NT17,NZ17,OH17)=0,"",SUM(NT17,NZ17,OH17)/COUNT(NT17,NZ17,OH17))</f>
        <v>1.6666666666666667</v>
      </c>
      <c r="OK17" s="191" t="str">
        <f t="shared" si="97"/>
        <v>C</v>
      </c>
      <c r="OL17" s="103"/>
      <c r="OM17" s="104" t="s">
        <v>30</v>
      </c>
      <c r="ON17" s="105"/>
      <c r="OO17" s="161">
        <f>IFERROR((((COUNTIF('Elève (3ème4)'!OL17:ON17,"A"))*4)+((COUNTIF('Elève (3ème4)'!OL17:ON17,"B"))*3)+((COUNTIF('Elève (3ème4)'!OL17:ON17,"C"))*2)+((COUNTIF('Elève (3ème4)'!OL17:ON17,"D"))*1))/(COUNTA(OL17:ON17)),"")</f>
        <v>1</v>
      </c>
      <c r="OP17" s="162" t="str">
        <f t="shared" si="98"/>
        <v>D</v>
      </c>
      <c r="OQ17" s="103"/>
      <c r="OR17" s="104"/>
      <c r="OS17" s="105"/>
      <c r="OT17" s="105"/>
      <c r="OU17" s="161" t="str">
        <f>IFERROR((((COUNTIF('Elève (3ème4)'!OQ17:OT17,"A"))*4)+((COUNTIF('Elève (3ème4)'!OQ17:OT17,"B"))*3)+((COUNTIF('Elève (3ème4)'!OQ17:OT17,"C"))*2)+((COUNTIF('Elève (3ème4)'!OQ17:OT17,"D"))*1))/(COUNTA(OQ17:OT17)),"")</f>
        <v/>
      </c>
      <c r="OV17" s="162" t="str">
        <f t="shared" si="99"/>
        <v/>
      </c>
      <c r="OW17" s="103"/>
      <c r="OX17" s="104" t="s">
        <v>29</v>
      </c>
      <c r="OY17" s="105"/>
      <c r="OZ17" s="105"/>
      <c r="PA17" s="105"/>
      <c r="PB17" s="109"/>
      <c r="PC17" s="161">
        <f>IFERROR((((COUNTIF('Elève (3ème4)'!OW17:PB17,"A"))*4)+((COUNTIF('Elève (3ème4)'!OW17:PB17,"B"))*3)+((COUNTIF('Elève (3ème4)'!OW17:PB17,"C"))*2)+((COUNTIF('Elève (3ème4)'!OW17:PB17,"D"))*1))/(COUNTA(OW17:PB17)),"")</f>
        <v>2</v>
      </c>
      <c r="PD17" s="162" t="str">
        <f t="shared" si="100"/>
        <v>C</v>
      </c>
      <c r="PE17" s="161">
        <f>IF(COUNT(OO17,OU17,PC17)=0,"",SUM(OO17,OU17,PC17)/COUNT(OO17,OU17,PC17))</f>
        <v>1.5</v>
      </c>
      <c r="PF17" s="191" t="str">
        <f t="shared" si="101"/>
        <v>D</v>
      </c>
      <c r="PG17" s="103"/>
      <c r="PH17" s="104" t="s">
        <v>29</v>
      </c>
      <c r="PI17" s="105"/>
      <c r="PJ17" s="161">
        <f>IFERROR((((COUNTIF('Elève (3ème4)'!PG17:PI17,"A"))*4)+((COUNTIF('Elève (3ème4)'!PG17:PI17,"B"))*3)+((COUNTIF('Elève (3ème4)'!PG17:PI17,"C"))*2)+((COUNTIF('Elève (3ème4)'!PG17:PI17,"D"))*1))/(COUNTA(PG17:PI17)),"")</f>
        <v>2</v>
      </c>
      <c r="PK17" s="162" t="str">
        <f t="shared" si="102"/>
        <v>C</v>
      </c>
      <c r="PL17" s="103" t="s">
        <v>29</v>
      </c>
      <c r="PM17" s="104"/>
      <c r="PN17" s="105"/>
      <c r="PO17" s="105"/>
      <c r="PP17" s="161">
        <f>IFERROR((((COUNTIF('Elève (3ème4)'!PL17:PO17,"A"))*4)+((COUNTIF('Elève (3ème4)'!PL17:PO17,"B"))*3)+((COUNTIF('Elève (3ème4)'!PL17:PO17,"C"))*2)+((COUNTIF('Elève (3ème4)'!PL17:PO17,"D"))*1))/(COUNTA(PL17:PO17)),"")</f>
        <v>2</v>
      </c>
      <c r="PQ17" s="162" t="str">
        <f t="shared" si="103"/>
        <v>C</v>
      </c>
      <c r="PR17" s="103" t="s">
        <v>30</v>
      </c>
      <c r="PS17" s="104" t="s">
        <v>29</v>
      </c>
      <c r="PT17" s="105"/>
      <c r="PU17" s="105"/>
      <c r="PV17" s="105"/>
      <c r="PW17" s="109"/>
      <c r="PX17" s="161">
        <f>IFERROR((((COUNTIF('Elève (3ème4)'!PR17:PW17,"A"))*4)+((COUNTIF('Elève (3ème4)'!PR17:PW17,"B"))*3)+((COUNTIF('Elève (3ème4)'!PR17:PW17,"C"))*2)+((COUNTIF('Elève (3ème4)'!PR17:PW17,"D"))*1))/(COUNTA(PR17:PW17)),"")</f>
        <v>1.5</v>
      </c>
      <c r="PY17" s="162" t="str">
        <f t="shared" si="104"/>
        <v>D</v>
      </c>
      <c r="PZ17" s="161">
        <f>IF(COUNT(PJ17,PP17,PX17)=0,"",SUM(PJ17,PP17,PX17)/COUNT(PJ17,PP17,PX17))</f>
        <v>1.8333333333333333</v>
      </c>
      <c r="QA17" s="191" t="str">
        <f t="shared" si="105"/>
        <v>C</v>
      </c>
      <c r="QB17" s="103"/>
      <c r="QC17" s="104" t="s">
        <v>29</v>
      </c>
      <c r="QD17" s="105"/>
      <c r="QE17" s="161">
        <f>IFERROR((((COUNTIF('Elève (3ème4)'!QB17:QD17,"A"))*4)+((COUNTIF('Elève (3ème4)'!QB17:QD17,"B"))*3)+((COUNTIF('Elève (3ème4)'!QB17:QD17,"C"))*2)+((COUNTIF('Elève (3ème4)'!QB17:QD17,"D"))*1))/(COUNTA(QB17:QD17)),"")</f>
        <v>2</v>
      </c>
      <c r="QF17" s="162" t="str">
        <f t="shared" si="106"/>
        <v>C</v>
      </c>
      <c r="QG17" s="103" t="s">
        <v>30</v>
      </c>
      <c r="QH17" s="104"/>
      <c r="QI17" s="105"/>
      <c r="QJ17" s="105"/>
      <c r="QK17" s="161">
        <f>IFERROR((((COUNTIF('Elève (3ème4)'!QG17:QJ17,"A"))*4)+((COUNTIF('Elève (3ème4)'!QG17:QJ17,"B"))*3)+((COUNTIF('Elève (3ème4)'!QG17:QJ17,"C"))*2)+((COUNTIF('Elève (3ème4)'!QG17:QJ17,"D"))*1))/(COUNTA(QG17:QJ17)),"")</f>
        <v>1</v>
      </c>
      <c r="QL17" s="162" t="str">
        <f t="shared" si="107"/>
        <v>D</v>
      </c>
      <c r="QM17" s="103"/>
      <c r="QN17" s="104" t="s">
        <v>30</v>
      </c>
      <c r="QO17" s="105"/>
      <c r="QP17" s="105"/>
      <c r="QQ17" s="105"/>
      <c r="QR17" s="109"/>
      <c r="QS17" s="161">
        <f>IFERROR((((COUNTIF('Elève (3ème4)'!QM17:QR17,"A"))*4)+((COUNTIF('Elève (3ème4)'!QM17:QR17,"B"))*3)+((COUNTIF('Elève (3ème4)'!QM17:QR17,"C"))*2)+((COUNTIF('Elève (3ème4)'!QM17:QR17,"D"))*1))/(COUNTA(QM17:QR17)),"")</f>
        <v>1</v>
      </c>
      <c r="QT17" s="162" t="str">
        <f t="shared" si="108"/>
        <v>D</v>
      </c>
      <c r="QU17" s="161">
        <f>IF(COUNT(QE17,QK17,QS17)=0,"",SUM(QE17,QK17,QS17)/COUNT(QE17,QK17,QS17))</f>
        <v>1.3333333333333333</v>
      </c>
      <c r="QV17" s="191" t="str">
        <f t="shared" si="109"/>
        <v>D</v>
      </c>
      <c r="QW17" s="103"/>
      <c r="QX17" s="104" t="s">
        <v>30</v>
      </c>
      <c r="QY17" s="105"/>
      <c r="QZ17" s="161">
        <f>IFERROR((((COUNTIF('Elève (3ème4)'!QW17:QY17,"A"))*4)+((COUNTIF('Elève (3ème4)'!QW17:QY17,"B"))*3)+((COUNTIF('Elève (3ème4)'!QW17:QY17,"C"))*2)+((COUNTIF('Elève (3ème4)'!QW17:QY17,"D"))*1))/(COUNTA(QW17:QY17)),"")</f>
        <v>1</v>
      </c>
      <c r="RA17" s="162" t="str">
        <f t="shared" si="110"/>
        <v>D</v>
      </c>
      <c r="RB17" s="103" t="s">
        <v>29</v>
      </c>
      <c r="RC17" s="104"/>
      <c r="RD17" s="105"/>
      <c r="RE17" s="105"/>
      <c r="RF17" s="161">
        <f>IFERROR((((COUNTIF('Elève (3ème4)'!RB17:RE17,"A"))*4)+((COUNTIF('Elève (3ème4)'!RB17:RE17,"B"))*3)+((COUNTIF('Elève (3ème4)'!RB17:RE17,"C"))*2)+((COUNTIF('Elève (3ème4)'!RB17:RE17,"D"))*1))/(COUNTA(RB17:RE17)),"")</f>
        <v>2</v>
      </c>
      <c r="RG17" s="162" t="str">
        <f t="shared" si="111"/>
        <v>C</v>
      </c>
      <c r="RH17" s="103" t="s">
        <v>29</v>
      </c>
      <c r="RI17" s="104" t="s">
        <v>29</v>
      </c>
      <c r="RJ17" s="105"/>
      <c r="RK17" s="105"/>
      <c r="RL17" s="105"/>
      <c r="RM17" s="109"/>
      <c r="RN17" s="161">
        <f>IFERROR((((COUNTIF('Elève (3ème4)'!RH17:RM17,"A"))*4)+((COUNTIF('Elève (3ème4)'!RH17:RM17,"B"))*3)+((COUNTIF('Elève (3ème4)'!RH17:RM17,"C"))*2)+((COUNTIF('Elève (3ème4)'!RH17:RM17,"D"))*1))/(COUNTA(RH17:RM17)),"")</f>
        <v>2</v>
      </c>
      <c r="RO17" s="162" t="str">
        <f t="shared" si="112"/>
        <v>C</v>
      </c>
      <c r="RP17" s="161">
        <f>IF(COUNT(QZ17,RF17,RN17)=0,"",SUM(QZ17,RF17,RN17)/COUNT(QZ17,RF17,RN17))</f>
        <v>1.6666666666666667</v>
      </c>
      <c r="RQ17" s="191" t="str">
        <f t="shared" si="113"/>
        <v>C</v>
      </c>
      <c r="RR17" s="103"/>
      <c r="RS17" s="104" t="s">
        <v>30</v>
      </c>
      <c r="RT17" s="105"/>
      <c r="RU17" s="161">
        <f>IFERROR((((COUNTIF('Elève (3ème4)'!RR17:RT17,"A"))*4)+((COUNTIF('Elève (3ème4)'!RR17:RT17,"B"))*3)+((COUNTIF('Elève (3ème4)'!RR17:RT17,"C"))*2)+((COUNTIF('Elève (3ème4)'!RR17:RT17,"D"))*1))/(COUNTA(RR17:RT17)),"")</f>
        <v>1</v>
      </c>
      <c r="RV17" s="162" t="str">
        <f t="shared" si="114"/>
        <v>D</v>
      </c>
      <c r="RW17" s="103" t="s">
        <v>29</v>
      </c>
      <c r="RX17" s="104"/>
      <c r="RY17" s="105"/>
      <c r="RZ17" s="105"/>
      <c r="SA17" s="161">
        <f>IFERROR((((COUNTIF('Elève (3ème4)'!RW17:RZ17,"A"))*4)+((COUNTIF('Elève (3ème4)'!RW17:RZ17,"B"))*3)+((COUNTIF('Elève (3ème4)'!RW17:RZ17,"C"))*2)+((COUNTIF('Elève (3ème4)'!RW17:RZ17,"D"))*1))/(COUNTA(RW17:RZ17)),"")</f>
        <v>2</v>
      </c>
      <c r="SB17" s="162" t="str">
        <f t="shared" si="115"/>
        <v>C</v>
      </c>
      <c r="SC17" s="103" t="s">
        <v>29</v>
      </c>
      <c r="SD17" s="104" t="s">
        <v>29</v>
      </c>
      <c r="SE17" s="105"/>
      <c r="SF17" s="105"/>
      <c r="SG17" s="105"/>
      <c r="SH17" s="109"/>
      <c r="SI17" s="161">
        <f>IFERROR((((COUNTIF('Elève (3ème4)'!SC17:SH17,"A"))*4)+((COUNTIF('Elève (3ème4)'!SC17:SH17,"B"))*3)+((COUNTIF('Elève (3ème4)'!SC17:SH17,"C"))*2)+((COUNTIF('Elève (3ème4)'!SC17:SH17,"D"))*1))/(COUNTA(SC17:SH17)),"")</f>
        <v>2</v>
      </c>
      <c r="SJ17" s="162" t="str">
        <f t="shared" si="116"/>
        <v>C</v>
      </c>
      <c r="SK17" s="161">
        <f>IF(COUNT(RU17,SA17,SI17)=0,"",SUM(RU17,SA17,SI17)/COUNT(RU17,SA17,SI17))</f>
        <v>1.6666666666666667</v>
      </c>
      <c r="SL17" s="191" t="str">
        <f t="shared" si="117"/>
        <v>C</v>
      </c>
      <c r="SM17" s="103"/>
      <c r="SN17" s="104"/>
      <c r="SO17" s="105"/>
      <c r="SP17" s="99" t="str">
        <f>IFERROR((((COUNTIF('Elève (3ème4)'!SM17:SO17,"A"))*4)+((COUNTIF('Elève (3ème4)'!SM17:SO17,"B"))*3)+((COUNTIF('Elève (3ème4)'!SM17:SO17,"C"))*2)+((COUNTIF('Elève (3ème4)'!SM17:SO17,"D"))*1))/(COUNTA(SM17:SO17)),"")</f>
        <v/>
      </c>
      <c r="SQ17" s="100" t="str">
        <f t="shared" si="118"/>
        <v/>
      </c>
      <c r="SR17" s="103"/>
      <c r="SS17" s="104"/>
      <c r="ST17" s="105"/>
      <c r="SU17" s="99" t="str">
        <f>IFERROR((((COUNTIF('Elève (3ème4)'!SR17:ST17,"A"))*4)+((COUNTIF('Elève (3ème4)'!SR17:ST17,"B"))*3)+((COUNTIF('Elève (3ème4)'!SR17:ST17,"C"))*2)+((COUNTIF('Elève (3ème4)'!SR17:ST17,"D"))*1))/(COUNTA(SR17:ST17)),"")</f>
        <v/>
      </c>
      <c r="SV17" s="100" t="str">
        <f t="shared" si="119"/>
        <v/>
      </c>
      <c r="SW17" s="103"/>
      <c r="SX17" s="104"/>
      <c r="SY17" s="109"/>
      <c r="SZ17" s="99" t="str">
        <f>IFERROR((((COUNTIF('Elève (3ème4)'!SW17:SY17,"A"))*4)+((COUNTIF('Elève (3ème4)'!SW17:SY17,"B"))*3)+((COUNTIF('Elève (3ème4)'!SW17:SY17,"C"))*2)+((COUNTIF('Elève (3ème4)'!SW17:SY17,"D"))*1))/(COUNTA(SW17:SY17)),"")</f>
        <v/>
      </c>
      <c r="TA17" s="100" t="str">
        <f t="shared" si="120"/>
        <v/>
      </c>
      <c r="TB17" s="99" t="str">
        <f>IF(COUNT(SP17,SU17,SZ17)=0,"",SUM(SP17,SU17,SZ17)/COUNT(SP17,SU17,SZ17))</f>
        <v/>
      </c>
      <c r="TC17" s="123" t="str">
        <f t="shared" si="121"/>
        <v/>
      </c>
      <c r="TD17" s="103"/>
      <c r="TE17" s="104"/>
      <c r="TF17" s="105"/>
      <c r="TG17" s="99" t="str">
        <f>IFERROR((((COUNTIF('Elève (3ème4)'!TD17:TF17,"A"))*4)+((COUNTIF('Elève (3ème4)'!TD17:TF17,"B"))*3)+((COUNTIF('Elève (3ème4)'!TD17:TF17,"C"))*2)+((COUNTIF('Elève (3ème4)'!TD17:TF17,"D"))*1))/(COUNTA(TD17:TF17)),"")</f>
        <v/>
      </c>
      <c r="TH17" s="100" t="str">
        <f t="shared" si="122"/>
        <v/>
      </c>
      <c r="TI17" s="103"/>
      <c r="TJ17" s="104"/>
      <c r="TK17" s="105"/>
      <c r="TL17" s="99" t="str">
        <f>IFERROR((((COUNTIF('Elève (3ème4)'!TI17:TK17,"A"))*4)+((COUNTIF('Elève (3ème4)'!TI17:TK17,"B"))*3)+((COUNTIF('Elève (3ème4)'!TI17:TK17,"C"))*2)+((COUNTIF('Elève (3ème4)'!TI17:TK17,"D"))*1))/(COUNTA(TI17:TK17)),"")</f>
        <v/>
      </c>
      <c r="TM17" s="100" t="str">
        <f t="shared" si="123"/>
        <v/>
      </c>
      <c r="TN17" s="103"/>
      <c r="TO17" s="104"/>
      <c r="TP17" s="109"/>
      <c r="TQ17" s="99" t="str">
        <f>IFERROR((((COUNTIF('Elève (3ème4)'!TN17:TP17,"A"))*4)+((COUNTIF('Elève (3ème4)'!TN17:TP17,"B"))*3)+((COUNTIF('Elève (3ème4)'!TN17:TP17,"C"))*2)+((COUNTIF('Elève (3ème4)'!TN17:TP17,"D"))*1))/(COUNTA(TN17:TP17)),"")</f>
        <v/>
      </c>
      <c r="TR17" s="100" t="str">
        <f t="shared" si="124"/>
        <v/>
      </c>
      <c r="TS17" s="99" t="str">
        <f>IF(COUNT(TG17,TL17,TQ17)=0,"",SUM(TG17,TL17,TQ17)/COUNT(TG17,TL17,TQ17))</f>
        <v/>
      </c>
      <c r="TT17" s="123" t="str">
        <f t="shared" si="125"/>
        <v/>
      </c>
      <c r="TU17" s="103"/>
      <c r="TV17" s="104"/>
      <c r="TW17" s="105"/>
      <c r="TX17" s="99" t="str">
        <f>IFERROR((((COUNTIF('Elève (3ème4)'!TU17:TW17,"A"))*4)+((COUNTIF('Elève (3ème4)'!TU17:TW17,"B"))*3)+((COUNTIF('Elève (3ème4)'!TU17:TW17,"C"))*2)+((COUNTIF('Elève (3ème4)'!TU17:TW17,"D"))*1))/(COUNTA(TU17:TW17)),"")</f>
        <v/>
      </c>
      <c r="TY17" s="100" t="str">
        <f t="shared" si="126"/>
        <v/>
      </c>
      <c r="TZ17" s="103"/>
      <c r="UA17" s="104"/>
      <c r="UB17" s="105"/>
      <c r="UC17" s="99" t="str">
        <f>IFERROR((((COUNTIF('Elève (3ème4)'!TZ17:UB17,"A"))*4)+((COUNTIF('Elève (3ème4)'!TZ17:UB17,"B"))*3)+((COUNTIF('Elève (3ème4)'!TZ17:UB17,"C"))*2)+((COUNTIF('Elève (3ème4)'!TZ17:UB17,"D"))*1))/(COUNTA(TZ17:UB17)),"")</f>
        <v/>
      </c>
      <c r="UD17" s="100" t="str">
        <f t="shared" si="127"/>
        <v/>
      </c>
      <c r="UE17" s="103"/>
      <c r="UF17" s="104"/>
      <c r="UG17" s="109"/>
      <c r="UH17" s="99" t="str">
        <f>IFERROR((((COUNTIF('Elève (3ème4)'!UE17:UG17,"A"))*4)+((COUNTIF('Elève (3ème4)'!UE17:UG17,"B"))*3)+((COUNTIF('Elève (3ème4)'!UE17:UG17,"C"))*2)+((COUNTIF('Elève (3ème4)'!UE17:UG17,"D"))*1))/(COUNTA(UE17:UG17)),"")</f>
        <v/>
      </c>
      <c r="UI17" s="100" t="str">
        <f t="shared" si="128"/>
        <v/>
      </c>
      <c r="UJ17" s="99" t="str">
        <f>IF(COUNT(TX17,UC17,UH17)=0,"",SUM(TX17,UC17,UH17)/COUNT(TX17,UC17,UH17))</f>
        <v/>
      </c>
      <c r="UK17" s="123" t="str">
        <f t="shared" si="129"/>
        <v/>
      </c>
      <c r="UL17" s="103"/>
      <c r="UM17" s="104"/>
      <c r="UN17" s="105"/>
      <c r="UO17" s="99" t="str">
        <f>IFERROR((((COUNTIF('Elève (3ème4)'!UL17:UN17,"A"))*4)+((COUNTIF('Elève (3ème4)'!UL17:UN17,"B"))*3)+((COUNTIF('Elève (3ème4)'!UL17:UN17,"C"))*2)+((COUNTIF('Elève (3ème4)'!UL17:UN17,"D"))*1))/(COUNTA(UL17:UN17)),"")</f>
        <v/>
      </c>
      <c r="UP17" s="100" t="str">
        <f t="shared" si="130"/>
        <v/>
      </c>
      <c r="UQ17" s="103"/>
      <c r="UR17" s="104"/>
      <c r="US17" s="105"/>
      <c r="UT17" s="99" t="str">
        <f>IFERROR((((COUNTIF('Elève (3ème4)'!UQ17:US17,"A"))*4)+((COUNTIF('Elève (3ème4)'!UQ17:US17,"B"))*3)+((COUNTIF('Elève (3ème4)'!UQ17:US17,"C"))*2)+((COUNTIF('Elève (3ème4)'!UQ17:US17,"D"))*1))/(COUNTA(UQ17:US17)),"")</f>
        <v/>
      </c>
      <c r="UU17" s="100" t="str">
        <f t="shared" si="131"/>
        <v/>
      </c>
      <c r="UV17" s="103"/>
      <c r="UW17" s="104"/>
      <c r="UX17" s="109"/>
      <c r="UY17" s="99" t="str">
        <f>IFERROR((((COUNTIF('Elève (3ème4)'!UV17:UX17,"A"))*4)+((COUNTIF('Elève (3ème4)'!UV17:UX17,"B"))*3)+((COUNTIF('Elève (3ème4)'!UV17:UX17,"C"))*2)+((COUNTIF('Elève (3ème4)'!UV17:UX17,"D"))*1))/(COUNTA(UV17:UX17)),"")</f>
        <v/>
      </c>
      <c r="UZ17" s="100" t="str">
        <f t="shared" si="132"/>
        <v/>
      </c>
      <c r="VA17" s="99" t="str">
        <f>IF(COUNT(UO17,UT17,UY17)=0,"",SUM(UO17,UT17,UY17)/COUNT(UO17,UT17,UY17))</f>
        <v/>
      </c>
      <c r="VB17" s="123" t="str">
        <f t="shared" si="133"/>
        <v/>
      </c>
      <c r="VC17" s="103"/>
      <c r="VD17" s="104"/>
      <c r="VE17" s="105"/>
      <c r="VF17" s="99" t="str">
        <f>IFERROR((((COUNTIF('Elève (3ème4)'!VC17:VE17,"A"))*4)+((COUNTIF('Elève (3ème4)'!VC17:VE17,"B"))*3)+((COUNTIF('Elève (3ème4)'!VC17:VE17,"C"))*2)+((COUNTIF('Elève (3ème4)'!VC17:VE17,"D"))*1))/(COUNTA(VC17:VE17)),"")</f>
        <v/>
      </c>
      <c r="VG17" s="100" t="str">
        <f t="shared" si="134"/>
        <v/>
      </c>
      <c r="VH17" s="103"/>
      <c r="VI17" s="104"/>
      <c r="VJ17" s="105"/>
      <c r="VK17" s="99" t="str">
        <f>IFERROR((((COUNTIF('Elève (3ème4)'!VH17:VJ17,"A"))*4)+((COUNTIF('Elève (3ème4)'!VH17:VJ17,"B"))*3)+((COUNTIF('Elève (3ème4)'!VH17:VJ17,"C"))*2)+((COUNTIF('Elève (3ème4)'!VH17:VJ17,"D"))*1))/(COUNTA(VH17:VJ17)),"")</f>
        <v/>
      </c>
      <c r="VL17" s="100" t="str">
        <f t="shared" si="135"/>
        <v/>
      </c>
      <c r="VM17" s="103"/>
      <c r="VN17" s="104"/>
      <c r="VO17" s="109"/>
      <c r="VP17" s="99" t="str">
        <f>IFERROR((((COUNTIF('Elève (3ème4)'!VM17:VO17,"A"))*4)+((COUNTIF('Elève (3ème4)'!VM17:VO17,"B"))*3)+((COUNTIF('Elève (3ème4)'!VM17:VO17,"C"))*2)+((COUNTIF('Elève (3ème4)'!VM17:VO17,"D"))*1))/(COUNTA(VM17:VO17)),"")</f>
        <v/>
      </c>
      <c r="VQ17" s="100" t="str">
        <f t="shared" si="136"/>
        <v/>
      </c>
      <c r="VR17" s="99" t="str">
        <f>IF(COUNT(VF17,VK17,VP17)=0,"",SUM(VF17,VK17,VP17)/COUNT(VF17,VK17,VP17))</f>
        <v/>
      </c>
      <c r="VS17" s="123" t="str">
        <f t="shared" si="137"/>
        <v/>
      </c>
      <c r="VT17" s="103"/>
      <c r="VU17" s="104"/>
      <c r="VV17" s="105"/>
      <c r="VW17" s="99" t="str">
        <f>IFERROR((((COUNTIF('Elève (3ème4)'!VT17:VV17,"A"))*4)+((COUNTIF('Elève (3ème4)'!VT17:VV17,"B"))*3)+((COUNTIF('Elève (3ème4)'!VT17:VV17,"C"))*2)+((COUNTIF('Elève (3ème4)'!VT17:VV17,"D"))*1))/(COUNTA(VT17:VV17)),"")</f>
        <v/>
      </c>
      <c r="VX17" s="100" t="str">
        <f t="shared" si="138"/>
        <v/>
      </c>
      <c r="VY17" s="103"/>
      <c r="VZ17" s="104"/>
      <c r="WA17" s="105"/>
      <c r="WB17" s="99" t="str">
        <f>IFERROR((((COUNTIF('Elève (3ème4)'!VY17:WA17,"A"))*4)+((COUNTIF('Elève (3ème4)'!VY17:WA17,"B"))*3)+((COUNTIF('Elève (3ème4)'!VY17:WA17,"C"))*2)+((COUNTIF('Elève (3ème4)'!VY17:WA17,"D"))*1))/(COUNTA(VY17:WA17)),"")</f>
        <v/>
      </c>
      <c r="WC17" s="100" t="str">
        <f t="shared" si="139"/>
        <v/>
      </c>
      <c r="WD17" s="103"/>
      <c r="WE17" s="104"/>
      <c r="WF17" s="109"/>
      <c r="WG17" s="99" t="str">
        <f>IFERROR((((COUNTIF('Elève (3ème4)'!WD17:WF17,"A"))*4)+((COUNTIF('Elève (3ème4)'!WD17:WF17,"B"))*3)+((COUNTIF('Elève (3ème4)'!WD17:WF17,"C"))*2)+((COUNTIF('Elève (3ème4)'!WD17:WF17,"D"))*1))/(COUNTA(WD17:WF17)),"")</f>
        <v/>
      </c>
      <c r="WH17" s="100" t="str">
        <f t="shared" si="140"/>
        <v/>
      </c>
      <c r="WI17" s="99" t="str">
        <f>IF(COUNT(VW17,WB17,WG17)=0,"",SUM(VW17,WB17,WG17)/COUNT(VW17,WB17,WG17))</f>
        <v/>
      </c>
      <c r="WJ17" s="123" t="str">
        <f t="shared" si="141"/>
        <v/>
      </c>
    </row>
    <row r="18" spans="1:608" ht="18" customHeight="1" x14ac:dyDescent="0.55000000000000004">
      <c r="A18" s="221" t="s">
        <v>22</v>
      </c>
      <c r="B18" s="222"/>
      <c r="C18" s="103"/>
      <c r="D18" s="104"/>
      <c r="E18" s="105"/>
      <c r="F18" s="163" t="str">
        <f>IFERROR((((COUNTIF('Elève (3ème4)'!C18:E18,"A"))*4)+((COUNTIF('Elève (3ème4)'!C18:E18,"B"))*3)+((COUNTIF('Elève (3ème4)'!C18:E18,"C"))*2)+((COUNTIF('Elève (3ème4)'!C18:E18,"D"))*1))/(COUNTA(C18:E18)),"")</f>
        <v/>
      </c>
      <c r="G18" s="164" t="str">
        <f t="shared" si="22"/>
        <v/>
      </c>
      <c r="H18" s="103"/>
      <c r="I18" s="104"/>
      <c r="J18" s="105"/>
      <c r="K18" s="105"/>
      <c r="L18" s="163" t="str">
        <f>IFERROR((((COUNTIF('Elève (3ème4)'!H18:K18,"A"))*4)+((COUNTIF('Elève (3ème4)'!H18:K18,"B"))*3)+((COUNTIF('Elève (3ème4)'!H18:K18,"C"))*2)+((COUNTIF('Elève (3ème4)'!H18:K18,"D"))*1))/(COUNTA(H18:K18)),"")</f>
        <v/>
      </c>
      <c r="M18" s="164" t="str">
        <f t="shared" si="23"/>
        <v/>
      </c>
      <c r="N18" s="103"/>
      <c r="O18" s="104"/>
      <c r="P18" s="105"/>
      <c r="Q18" s="105"/>
      <c r="R18" s="105"/>
      <c r="S18" s="105"/>
      <c r="T18" s="163" t="str">
        <f>IFERROR((((COUNTIF('Elève (3ème4)'!N18:S18,"A"))*4)+((COUNTIF('Elève (3ème4)'!N18:S18,"B"))*3)+((COUNTIF('Elève (3ème4)'!N18:S18,"C"))*2)+((COUNTIF('Elève (3ème4)'!N18:S18,"D"))*1))/(COUNTA(N18:S18)),"")</f>
        <v/>
      </c>
      <c r="U18" s="164" t="str">
        <f t="shared" si="24"/>
        <v/>
      </c>
      <c r="V18" s="163" t="str">
        <f>IF(COUNT(F18,L18,T18)=0,"",SUM(F18,L18,T18)/COUNT(F18,L18,T18))</f>
        <v/>
      </c>
      <c r="W18" s="187" t="str">
        <f t="shared" si="25"/>
        <v/>
      </c>
      <c r="X18" s="103"/>
      <c r="Y18" s="104"/>
      <c r="Z18" s="105"/>
      <c r="AA18" s="163" t="str">
        <f>IFERROR((((COUNTIF('Elève (3ème4)'!X18:Z18,"A"))*4)+((COUNTIF('Elève (3ème4)'!X18:Z18,"B"))*3)+((COUNTIF('Elève (3ème4)'!X18:Z18,"C"))*2)+((COUNTIF('Elève (3ème4)'!X18:Z18,"D"))*1))/(COUNTA(X18:Z18)),"")</f>
        <v/>
      </c>
      <c r="AB18" s="164" t="str">
        <f t="shared" si="26"/>
        <v/>
      </c>
      <c r="AC18" s="103"/>
      <c r="AD18" s="104"/>
      <c r="AE18" s="105"/>
      <c r="AF18" s="105"/>
      <c r="AG18" s="163" t="str">
        <f>IFERROR((((COUNTIF('Elève (3ème4)'!AC18:AF18,"A"))*4)+((COUNTIF('Elève (3ème4)'!AC18:AF18,"B"))*3)+((COUNTIF('Elève (3ème4)'!AC18:AF18,"C"))*2)+((COUNTIF('Elève (3ème4)'!AC18:AF18,"D"))*1))/(COUNTA(AC18:AF18)),"")</f>
        <v/>
      </c>
      <c r="AH18" s="164" t="str">
        <f t="shared" si="27"/>
        <v/>
      </c>
      <c r="AI18" s="103"/>
      <c r="AJ18" s="104"/>
      <c r="AK18" s="105"/>
      <c r="AL18" s="105"/>
      <c r="AM18" s="105"/>
      <c r="AN18" s="109"/>
      <c r="AO18" s="163" t="str">
        <f>IFERROR((((COUNTIF('Elève (3ème4)'!AI18:AN18,"A"))*4)+((COUNTIF('Elève (3ème4)'!AI18:AN18,"B"))*3)+((COUNTIF('Elève (3ème4)'!AI18:AN18,"C"))*2)+((COUNTIF('Elève (3ème4)'!AI18:AN18,"D"))*1))/(COUNTA(AI18:AN18)),"")</f>
        <v/>
      </c>
      <c r="AP18" s="164" t="str">
        <f t="shared" si="28"/>
        <v/>
      </c>
      <c r="AQ18" s="163" t="str">
        <f>IF(COUNT(AA18,AG18,AO18)=0,"",SUM(AA18,AG18,AO18)/COUNT(AA18,AG18,AO18))</f>
        <v/>
      </c>
      <c r="AR18" s="187" t="str">
        <f t="shared" si="29"/>
        <v/>
      </c>
      <c r="AS18" s="103"/>
      <c r="AT18" s="104"/>
      <c r="AU18" s="105"/>
      <c r="AV18" s="163" t="str">
        <f>IFERROR((((COUNTIF('Elève (3ème4)'!AS18:AU18,"A"))*4)+((COUNTIF('Elève (3ème4)'!AS18:AU18,"B"))*3)+((COUNTIF('Elève (3ème4)'!AS18:AU18,"C"))*2)+((COUNTIF('Elève (3ème4)'!AS18:AU18,"D"))*1))/(COUNTA(AS18:AU18)),"")</f>
        <v/>
      </c>
      <c r="AW18" s="164" t="str">
        <f t="shared" si="30"/>
        <v/>
      </c>
      <c r="AX18" s="103"/>
      <c r="AY18" s="104"/>
      <c r="AZ18" s="105"/>
      <c r="BA18" s="105"/>
      <c r="BB18" s="163" t="str">
        <f>IFERROR((((COUNTIF('Elève (3ème4)'!AX18:BA18,"A"))*4)+((COUNTIF('Elève (3ème4)'!AX18:BA18,"B"))*3)+((COUNTIF('Elève (3ème4)'!AX18:BA18,"C"))*2)+((COUNTIF('Elève (3ème4)'!AX18:BA18,"D"))*1))/(COUNTA(AX18:BA18)),"")</f>
        <v/>
      </c>
      <c r="BC18" s="164" t="str">
        <f t="shared" si="31"/>
        <v/>
      </c>
      <c r="BD18" s="103"/>
      <c r="BE18" s="104"/>
      <c r="BF18" s="105"/>
      <c r="BG18" s="105"/>
      <c r="BH18" s="105"/>
      <c r="BI18" s="109"/>
      <c r="BJ18" s="163" t="str">
        <f>IFERROR((((COUNTIF('Elève (3ème4)'!BD18:BI18,"A"))*4)+((COUNTIF('Elève (3ème4)'!BD18:BI18,"B"))*3)+((COUNTIF('Elève (3ème4)'!BD18:BI18,"C"))*2)+((COUNTIF('Elève (3ème4)'!BD18:BI18,"D"))*1))/(COUNTA(BD18:BI18)),"")</f>
        <v/>
      </c>
      <c r="BK18" s="164" t="str">
        <f t="shared" si="32"/>
        <v/>
      </c>
      <c r="BL18" s="163" t="str">
        <f>IF(COUNT(AV18,BB18,BJ18)=0,"",SUM(AV18,BB18,BJ18)/COUNT(AV18,BB18,BJ18))</f>
        <v/>
      </c>
      <c r="BM18" s="187" t="str">
        <f t="shared" si="33"/>
        <v/>
      </c>
      <c r="BN18" s="103"/>
      <c r="BO18" s="104"/>
      <c r="BP18" s="105"/>
      <c r="BQ18" s="163" t="str">
        <f>IFERROR((((COUNTIF('Elève (3ème4)'!BN18:BP18,"A"))*4)+((COUNTIF('Elève (3ème4)'!BN18:BP18,"B"))*3)+((COUNTIF('Elève (3ème4)'!BN18:BP18,"C"))*2)+((COUNTIF('Elève (3ème4)'!BN18:BP18,"D"))*1))/(COUNTA(BN18:BP18)),"")</f>
        <v/>
      </c>
      <c r="BR18" s="164" t="str">
        <f t="shared" si="34"/>
        <v/>
      </c>
      <c r="BS18" s="103"/>
      <c r="BT18" s="104"/>
      <c r="BU18" s="105"/>
      <c r="BV18" s="105"/>
      <c r="BW18" s="163" t="str">
        <f>IFERROR((((COUNTIF('Elève (3ème4)'!BS18:BV18,"A"))*4)+((COUNTIF('Elève (3ème4)'!BS18:BV18,"B"))*3)+((COUNTIF('Elève (3ème4)'!BS18:BV18,"C"))*2)+((COUNTIF('Elève (3ème4)'!BS18:BV18,"D"))*1))/(COUNTA(BS18:BV18)),"")</f>
        <v/>
      </c>
      <c r="BX18" s="164" t="str">
        <f t="shared" si="35"/>
        <v/>
      </c>
      <c r="BY18" s="103"/>
      <c r="BZ18" s="104"/>
      <c r="CA18" s="105"/>
      <c r="CB18" s="105"/>
      <c r="CC18" s="105"/>
      <c r="CD18" s="109"/>
      <c r="CE18" s="163" t="str">
        <f>IFERROR((((COUNTIF('Elève (3ème4)'!BY18:CD18,"A"))*4)+((COUNTIF('Elève (3ème4)'!BY18:CD18,"B"))*3)+((COUNTIF('Elève (3ème4)'!BY18:CD18,"C"))*2)+((COUNTIF('Elève (3ème4)'!BY18:CD18,"D"))*1))/(COUNTA(BY18:CD18)),"")</f>
        <v/>
      </c>
      <c r="CF18" s="164" t="str">
        <f t="shared" si="36"/>
        <v/>
      </c>
      <c r="CG18" s="163" t="str">
        <f>IF(COUNT(BQ18,BW18,CE18)=0,"",SUM(BQ18,BW18,CE18)/COUNT(BQ18,BW18,CE18))</f>
        <v/>
      </c>
      <c r="CH18" s="187" t="str">
        <f t="shared" si="37"/>
        <v/>
      </c>
      <c r="CI18" s="103"/>
      <c r="CJ18" s="104"/>
      <c r="CK18" s="105"/>
      <c r="CL18" s="163" t="str">
        <f>IFERROR((((COUNTIF('Elève (3ème4)'!CI18:CK18,"A"))*4)+((COUNTIF('Elève (3ème4)'!CI18:CK18,"B"))*3)+((COUNTIF('Elève (3ème4)'!CI18:CK18,"C"))*2)+((COUNTIF('Elève (3ème4)'!CI18:CK18,"D"))*1))/(COUNTA(CI18:CK18)),"")</f>
        <v/>
      </c>
      <c r="CM18" s="164" t="str">
        <f t="shared" si="38"/>
        <v/>
      </c>
      <c r="CN18" s="103"/>
      <c r="CO18" s="104"/>
      <c r="CP18" s="105"/>
      <c r="CQ18" s="105"/>
      <c r="CR18" s="163" t="str">
        <f>IFERROR((((COUNTIF('Elève (3ème4)'!CN18:CQ18,"A"))*4)+((COUNTIF('Elève (3ème4)'!CN18:CQ18,"B"))*3)+((COUNTIF('Elève (3ème4)'!CN18:CQ18,"C"))*2)+((COUNTIF('Elève (3ème4)'!CN18:CQ18,"D"))*1))/(COUNTA(CN18:CQ18)),"")</f>
        <v/>
      </c>
      <c r="CS18" s="164" t="str">
        <f t="shared" si="39"/>
        <v/>
      </c>
      <c r="CT18" s="103"/>
      <c r="CU18" s="104"/>
      <c r="CV18" s="105"/>
      <c r="CW18" s="105"/>
      <c r="CX18" s="105"/>
      <c r="CY18" s="109"/>
      <c r="CZ18" s="163" t="str">
        <f>IFERROR((((COUNTIF('Elève (3ème4)'!CT18:CY18,"A"))*4)+((COUNTIF('Elève (3ème4)'!CT18:CY18,"B"))*3)+((COUNTIF('Elève (3ème4)'!CT18:CY18,"C"))*2)+((COUNTIF('Elève (3ème4)'!CT18:CY18,"D"))*1))/(COUNTA(CT18:CY18)),"")</f>
        <v/>
      </c>
      <c r="DA18" s="164" t="str">
        <f t="shared" si="40"/>
        <v/>
      </c>
      <c r="DB18" s="163" t="str">
        <f>IF(COUNT(CL18,CR18,CZ18)=0,"",SUM(CL18,CR18,CZ18)/COUNT(CL18,CR18,CZ18))</f>
        <v/>
      </c>
      <c r="DC18" s="187" t="str">
        <f t="shared" si="41"/>
        <v/>
      </c>
      <c r="DD18" s="103"/>
      <c r="DE18" s="104"/>
      <c r="DF18" s="105"/>
      <c r="DG18" s="163" t="str">
        <f>IFERROR((((COUNTIF('Elève (3ème4)'!DD18:DF18,"A"))*4)+((COUNTIF('Elève (3ème4)'!DD18:DF18,"B"))*3)+((COUNTIF('Elève (3ème4)'!DD18:DF18,"C"))*2)+((COUNTIF('Elève (3ème4)'!DD18:DF18,"D"))*1))/(COUNTA(DD18:DF18)),"")</f>
        <v/>
      </c>
      <c r="DH18" s="164" t="str">
        <f t="shared" si="42"/>
        <v/>
      </c>
      <c r="DI18" s="103"/>
      <c r="DJ18" s="104"/>
      <c r="DK18" s="105"/>
      <c r="DL18" s="105"/>
      <c r="DM18" s="163" t="str">
        <f>IFERROR((((COUNTIF('Elève (3ème4)'!DI18:DL18,"A"))*4)+((COUNTIF('Elève (3ème4)'!DI18:DL18,"B"))*3)+((COUNTIF('Elève (3ème4)'!DI18:DL18,"C"))*2)+((COUNTIF('Elève (3ème4)'!DI18:DL18,"D"))*1))/(COUNTA(DI18:DL18)),"")</f>
        <v/>
      </c>
      <c r="DN18" s="164" t="str">
        <f t="shared" si="43"/>
        <v/>
      </c>
      <c r="DO18" s="103"/>
      <c r="DP18" s="104"/>
      <c r="DQ18" s="105"/>
      <c r="DR18" s="105"/>
      <c r="DS18" s="105"/>
      <c r="DT18" s="109"/>
      <c r="DU18" s="163" t="str">
        <f>IFERROR((((COUNTIF('Elève (3ème4)'!DO18:DT18,"A"))*4)+((COUNTIF('Elève (3ème4)'!DO18:DT18,"B"))*3)+((COUNTIF('Elève (3ème4)'!DO18:DT18,"C"))*2)+((COUNTIF('Elève (3ème4)'!DO18:DT18,"D"))*1))/(COUNTA(DO18:DT18)),"")</f>
        <v/>
      </c>
      <c r="DV18" s="164" t="str">
        <f t="shared" si="44"/>
        <v/>
      </c>
      <c r="DW18" s="163" t="str">
        <f>IF(COUNT(DG18,DM18,DU18)=0,"",SUM(DG18,DM18,DU18)/COUNT(DG18,DM18,DU18))</f>
        <v/>
      </c>
      <c r="DX18" s="187" t="str">
        <f t="shared" si="45"/>
        <v/>
      </c>
      <c r="DY18" s="103"/>
      <c r="DZ18" s="104"/>
      <c r="EA18" s="105"/>
      <c r="EB18" s="163" t="str">
        <f>IFERROR((((COUNTIF('Elève (3ème4)'!DY18:EA18,"A"))*4)+((COUNTIF('Elève (3ème4)'!DY18:EA18,"B"))*3)+((COUNTIF('Elève (3ème4)'!DY18:EA18,"C"))*2)+((COUNTIF('Elève (3ème4)'!DY18:EA18,"D"))*1))/(COUNTA(DY18:EA18)),"")</f>
        <v/>
      </c>
      <c r="EC18" s="164" t="str">
        <f t="shared" si="46"/>
        <v/>
      </c>
      <c r="ED18" s="103"/>
      <c r="EE18" s="104"/>
      <c r="EF18" s="105"/>
      <c r="EG18" s="105"/>
      <c r="EH18" s="163" t="str">
        <f>IFERROR((((COUNTIF('Elève (3ème4)'!ED18:EG18,"A"))*4)+((COUNTIF('Elève (3ème4)'!ED18:EG18,"B"))*3)+((COUNTIF('Elève (3ème4)'!ED18:EG18,"C"))*2)+((COUNTIF('Elève (3ème4)'!ED18:EG18,"D"))*1))/(COUNTA(ED18:EG18)),"")</f>
        <v/>
      </c>
      <c r="EI18" s="164" t="str">
        <f t="shared" si="47"/>
        <v/>
      </c>
      <c r="EJ18" s="103"/>
      <c r="EK18" s="104"/>
      <c r="EL18" s="105"/>
      <c r="EM18" s="105"/>
      <c r="EN18" s="105"/>
      <c r="EO18" s="109"/>
      <c r="EP18" s="163" t="str">
        <f>IFERROR((((COUNTIF('Elève (3ème4)'!EJ18:EO18,"A"))*4)+((COUNTIF('Elève (3ème4)'!EJ18:EO18,"B"))*3)+((COUNTIF('Elève (3ème4)'!EJ18:EO18,"C"))*2)+((COUNTIF('Elève (3ème4)'!EJ18:EO18,"D"))*1))/(COUNTA(EJ18:EO18)),"")</f>
        <v/>
      </c>
      <c r="EQ18" s="164" t="str">
        <f t="shared" si="48"/>
        <v/>
      </c>
      <c r="ER18" s="163" t="str">
        <f>IF(COUNT(EB18,EH18,EP18)=0,"",SUM(EB18,EH18,EP18)/COUNT(EB18,EH18,EP18))</f>
        <v/>
      </c>
      <c r="ES18" s="187" t="str">
        <f t="shared" si="49"/>
        <v/>
      </c>
      <c r="ET18" s="103"/>
      <c r="EU18" s="104"/>
      <c r="EV18" s="105"/>
      <c r="EW18" s="163" t="str">
        <f>IFERROR((((COUNTIF('Elève (3ème4)'!ET18:EV18,"A"))*4)+((COUNTIF('Elève (3ème4)'!ET18:EV18,"B"))*3)+((COUNTIF('Elève (3ème4)'!ET18:EV18,"C"))*2)+((COUNTIF('Elève (3ème4)'!ET18:EV18,"D"))*1))/(COUNTA(ET18:EV18)),"")</f>
        <v/>
      </c>
      <c r="EX18" s="164" t="str">
        <f t="shared" si="50"/>
        <v/>
      </c>
      <c r="EY18" s="103"/>
      <c r="EZ18" s="104"/>
      <c r="FA18" s="105"/>
      <c r="FB18" s="105"/>
      <c r="FC18" s="163" t="str">
        <f>IFERROR((((COUNTIF('Elève (3ème4)'!EY18:FB18,"A"))*4)+((COUNTIF('Elève (3ème4)'!EY18:FB18,"B"))*3)+((COUNTIF('Elève (3ème4)'!EY18:FB18,"C"))*2)+((COUNTIF('Elève (3ème4)'!EY18:FB18,"D"))*1))/(COUNTA(EY18:FB18)),"")</f>
        <v/>
      </c>
      <c r="FD18" s="164" t="str">
        <f t="shared" si="51"/>
        <v/>
      </c>
      <c r="FE18" s="103"/>
      <c r="FF18" s="104"/>
      <c r="FG18" s="105"/>
      <c r="FH18" s="105"/>
      <c r="FI18" s="105"/>
      <c r="FJ18" s="109"/>
      <c r="FK18" s="163" t="str">
        <f>IFERROR((((COUNTIF('Elève (3ème4)'!FE18:FJ18,"A"))*4)+((COUNTIF('Elève (3ème4)'!FE18:FJ18,"B"))*3)+((COUNTIF('Elève (3ème4)'!FE18:FJ18,"C"))*2)+((COUNTIF('Elève (3ème4)'!FE18:FJ18,"D"))*1))/(COUNTA(FE18:FJ18)),"")</f>
        <v/>
      </c>
      <c r="FL18" s="164" t="str">
        <f t="shared" si="52"/>
        <v/>
      </c>
      <c r="FM18" s="163" t="str">
        <f>IF(COUNT(EW18,FC18,FK18)=0,"",SUM(EW18,FC18,FK18)/COUNT(EW18,FC18,FK18))</f>
        <v/>
      </c>
      <c r="FN18" s="187" t="str">
        <f t="shared" si="53"/>
        <v/>
      </c>
      <c r="FO18" s="103"/>
      <c r="FP18" s="104"/>
      <c r="FQ18" s="105"/>
      <c r="FR18" s="163" t="str">
        <f>IFERROR((((COUNTIF('Elève (3ème4)'!FO18:FQ18,"A"))*4)+((COUNTIF('Elève (3ème4)'!FO18:FQ18,"B"))*3)+((COUNTIF('Elève (3ème4)'!FO18:FQ18,"C"))*2)+((COUNTIF('Elève (3ème4)'!FO18:FQ18,"D"))*1))/(COUNTA(FO18:FQ18)),"")</f>
        <v/>
      </c>
      <c r="FS18" s="164" t="str">
        <f t="shared" si="54"/>
        <v/>
      </c>
      <c r="FT18" s="103"/>
      <c r="FU18" s="104"/>
      <c r="FV18" s="105"/>
      <c r="FW18" s="105"/>
      <c r="FX18" s="163" t="str">
        <f>IFERROR((((COUNTIF('Elève (3ème4)'!FT18:FW18,"A"))*4)+((COUNTIF('Elève (3ème4)'!FT18:FW18,"B"))*3)+((COUNTIF('Elève (3ème4)'!FT18:FW18,"C"))*2)+((COUNTIF('Elève (3ème4)'!FT18:FW18,"D"))*1))/(COUNTA(FT18:FW18)),"")</f>
        <v/>
      </c>
      <c r="FY18" s="164" t="str">
        <f t="shared" si="55"/>
        <v/>
      </c>
      <c r="FZ18" s="103"/>
      <c r="GA18" s="104"/>
      <c r="GB18" s="105"/>
      <c r="GC18" s="105"/>
      <c r="GD18" s="105"/>
      <c r="GE18" s="109"/>
      <c r="GF18" s="163" t="str">
        <f>IFERROR((((COUNTIF('Elève (3ème4)'!FZ18:GE18,"A"))*4)+((COUNTIF('Elève (3ème4)'!FZ18:GE18,"B"))*3)+((COUNTIF('Elève (3ème4)'!FZ18:GE18,"C"))*2)+((COUNTIF('Elève (3ème4)'!FZ18:GE18,"D"))*1))/(COUNTA(FZ18:GE18)),"")</f>
        <v/>
      </c>
      <c r="GG18" s="164" t="str">
        <f t="shared" si="56"/>
        <v/>
      </c>
      <c r="GH18" s="163" t="str">
        <f>IF(COUNT(FR18,FX18,GF18)=0,"",SUM(FR18,FX18,GF18)/COUNT(FR18,FX18,GF18))</f>
        <v/>
      </c>
      <c r="GI18" s="187" t="str">
        <f t="shared" si="57"/>
        <v/>
      </c>
      <c r="GJ18" s="103"/>
      <c r="GK18" s="104"/>
      <c r="GL18" s="105"/>
      <c r="GM18" s="163" t="str">
        <f>IFERROR((((COUNTIF('Elève (3ème4)'!GJ18:GL18,"A"))*4)+((COUNTIF('Elève (3ème4)'!GJ18:GL18,"B"))*3)+((COUNTIF('Elève (3ème4)'!GJ18:GL18,"C"))*2)+((COUNTIF('Elève (3ème4)'!GJ18:GL18,"D"))*1))/(COUNTA(GJ18:GL18)),"")</f>
        <v/>
      </c>
      <c r="GN18" s="164" t="str">
        <f t="shared" si="58"/>
        <v/>
      </c>
      <c r="GO18" s="103"/>
      <c r="GP18" s="104"/>
      <c r="GQ18" s="105"/>
      <c r="GR18" s="105"/>
      <c r="GS18" s="163" t="str">
        <f>IFERROR((((COUNTIF('Elève (3ème4)'!GO18:GR18,"A"))*4)+((COUNTIF('Elève (3ème4)'!GO18:GR18,"B"))*3)+((COUNTIF('Elève (3ème4)'!GO18:GR18,"C"))*2)+((COUNTIF('Elève (3ème4)'!GO18:GR18,"D"))*1))/(COUNTA(GO18:GR18)),"")</f>
        <v/>
      </c>
      <c r="GT18" s="164" t="str">
        <f t="shared" si="59"/>
        <v/>
      </c>
      <c r="GU18" s="103"/>
      <c r="GV18" s="104"/>
      <c r="GW18" s="105"/>
      <c r="GX18" s="105"/>
      <c r="GY18" s="105"/>
      <c r="GZ18" s="109"/>
      <c r="HA18" s="163" t="str">
        <f>IFERROR((((COUNTIF('Elève (3ème4)'!GU18:GZ18,"A"))*4)+((COUNTIF('Elève (3ème4)'!GU18:GZ18,"B"))*3)+((COUNTIF('Elève (3ème4)'!GU18:GZ18,"C"))*2)+((COUNTIF('Elève (3ème4)'!GU18:GZ18,"D"))*1))/(COUNTA(GU18:GZ18)),"")</f>
        <v/>
      </c>
      <c r="HB18" s="164" t="str">
        <f t="shared" si="60"/>
        <v/>
      </c>
      <c r="HC18" s="163" t="str">
        <f>IF(COUNT(GM18,GS18,HA18)=0,"",SUM(GM18,GS18,HA18)/COUNT(GM18,GS18,HA18))</f>
        <v/>
      </c>
      <c r="HD18" s="187" t="str">
        <f t="shared" si="61"/>
        <v/>
      </c>
      <c r="HE18" s="103"/>
      <c r="HF18" s="104"/>
      <c r="HG18" s="105"/>
      <c r="HH18" s="163" t="str">
        <f>IFERROR((((COUNTIF('Elève (3ème4)'!HE18:HG18,"A"))*4)+((COUNTIF('Elève (3ème4)'!HE18:HG18,"B"))*3)+((COUNTIF('Elève (3ème4)'!HE18:HG18,"C"))*2)+((COUNTIF('Elève (3ème4)'!HE18:HG18,"D"))*1))/(COUNTA(HE18:HG18)),"")</f>
        <v/>
      </c>
      <c r="HI18" s="164" t="str">
        <f t="shared" si="62"/>
        <v/>
      </c>
      <c r="HJ18" s="103"/>
      <c r="HK18" s="104"/>
      <c r="HL18" s="105"/>
      <c r="HM18" s="105"/>
      <c r="HN18" s="163" t="str">
        <f>IFERROR((((COUNTIF('Elève (3ème4)'!HJ18:HM18,"A"))*4)+((COUNTIF('Elève (3ème4)'!HJ18:HM18,"B"))*3)+((COUNTIF('Elève (3ème4)'!HJ18:HM18,"C"))*2)+((COUNTIF('Elève (3ème4)'!HJ18:HM18,"D"))*1))/(COUNTA(HJ18:HM18)),"")</f>
        <v/>
      </c>
      <c r="HO18" s="164" t="str">
        <f t="shared" si="63"/>
        <v/>
      </c>
      <c r="HP18" s="103"/>
      <c r="HQ18" s="104"/>
      <c r="HR18" s="105"/>
      <c r="HS18" s="105"/>
      <c r="HT18" s="105"/>
      <c r="HU18" s="109"/>
      <c r="HV18" s="163" t="str">
        <f>IFERROR((((COUNTIF('Elève (3ème4)'!HP18:HU18,"A"))*4)+((COUNTIF('Elève (3ème4)'!HP18:HU18,"B"))*3)+((COUNTIF('Elève (3ème4)'!HP18:HU18,"C"))*2)+((COUNTIF('Elève (3ème4)'!HP18:HU18,"D"))*1))/(COUNTA(HP18:HU18)),"")</f>
        <v/>
      </c>
      <c r="HW18" s="164" t="str">
        <f t="shared" si="64"/>
        <v/>
      </c>
      <c r="HX18" s="163" t="str">
        <f>IF(COUNT(HH18,HN18,HV18)=0,"",SUM(HH18,HN18,HV18)/COUNT(HH18,HN18,HV18))</f>
        <v/>
      </c>
      <c r="HY18" s="187" t="str">
        <f t="shared" si="65"/>
        <v/>
      </c>
      <c r="HZ18" s="103"/>
      <c r="IA18" s="104"/>
      <c r="IB18" s="105"/>
      <c r="IC18" s="163" t="str">
        <f>IFERROR((((COUNTIF('Elève (3ème4)'!HZ18:IB18,"A"))*4)+((COUNTIF('Elève (3ème4)'!HZ18:IB18,"B"))*3)+((COUNTIF('Elève (3ème4)'!HZ18:IB18,"C"))*2)+((COUNTIF('Elève (3ème4)'!HZ18:IB18,"D"))*1))/(COUNTA(HZ18:IB18)),"")</f>
        <v/>
      </c>
      <c r="ID18" s="164" t="str">
        <f t="shared" si="66"/>
        <v/>
      </c>
      <c r="IE18" s="103"/>
      <c r="IF18" s="104"/>
      <c r="IG18" s="105"/>
      <c r="IH18" s="105"/>
      <c r="II18" s="163" t="str">
        <f>IFERROR((((COUNTIF('Elève (3ème4)'!IE18:IH18,"A"))*4)+((COUNTIF('Elève (3ème4)'!IE18:IH18,"B"))*3)+((COUNTIF('Elève (3ème4)'!IE18:IH18,"C"))*2)+((COUNTIF('Elève (3ème4)'!IE18:IH18,"D"))*1))/(COUNTA(IE18:IH18)),"")</f>
        <v/>
      </c>
      <c r="IJ18" s="164" t="str">
        <f t="shared" si="67"/>
        <v/>
      </c>
      <c r="IK18" s="103"/>
      <c r="IL18" s="104"/>
      <c r="IM18" s="105"/>
      <c r="IN18" s="105"/>
      <c r="IO18" s="105"/>
      <c r="IP18" s="109"/>
      <c r="IQ18" s="163" t="str">
        <f>IFERROR((((COUNTIF('Elève (3ème4)'!IK18:IP18,"A"))*4)+((COUNTIF('Elève (3ème4)'!IK18:IP18,"B"))*3)+((COUNTIF('Elève (3ème4)'!IK18:IP18,"C"))*2)+((COUNTIF('Elève (3ème4)'!IK18:IP18,"D"))*1))/(COUNTA(IK18:IP18)),"")</f>
        <v/>
      </c>
      <c r="IR18" s="164" t="str">
        <f t="shared" si="68"/>
        <v/>
      </c>
      <c r="IS18" s="163" t="str">
        <f>IF(COUNT(IC18,II18,IQ18)=0,"",SUM(IC18,II18,IQ18)/COUNT(IC18,II18,IQ18))</f>
        <v/>
      </c>
      <c r="IT18" s="187" t="str">
        <f t="shared" si="69"/>
        <v/>
      </c>
      <c r="IU18" s="103"/>
      <c r="IV18" s="104"/>
      <c r="IW18" s="105"/>
      <c r="IX18" s="163" t="str">
        <f>IFERROR((((COUNTIF('Elève (3ème4)'!IU18:IW18,"A"))*4)+((COUNTIF('Elève (3ème4)'!IU18:IW18,"B"))*3)+((COUNTIF('Elève (3ème4)'!IU18:IW18,"C"))*2)+((COUNTIF('Elève (3ème4)'!IU18:IW18,"D"))*1))/(COUNTA(IU18:IW18)),"")</f>
        <v/>
      </c>
      <c r="IY18" s="164" t="str">
        <f t="shared" si="70"/>
        <v/>
      </c>
      <c r="IZ18" s="103"/>
      <c r="JA18" s="104"/>
      <c r="JB18" s="105"/>
      <c r="JC18" s="105"/>
      <c r="JD18" s="163" t="str">
        <f>IFERROR((((COUNTIF('Elève (3ème4)'!IZ18:JC18,"A"))*4)+((COUNTIF('Elève (3ème4)'!IZ18:JC18,"B"))*3)+((COUNTIF('Elève (3ème4)'!IZ18:JC18,"C"))*2)+((COUNTIF('Elève (3ème4)'!IZ18:JC18,"D"))*1))/(COUNTA(IZ18:JC18)),"")</f>
        <v/>
      </c>
      <c r="JE18" s="164" t="str">
        <f t="shared" si="71"/>
        <v/>
      </c>
      <c r="JF18" s="103"/>
      <c r="JG18" s="104"/>
      <c r="JH18" s="105"/>
      <c r="JI18" s="105"/>
      <c r="JJ18" s="105"/>
      <c r="JK18" s="109"/>
      <c r="JL18" s="163" t="str">
        <f>IFERROR((((COUNTIF('Elève (3ème4)'!JF18:JK18,"A"))*4)+((COUNTIF('Elève (3ème4)'!JF18:JK18,"B"))*3)+((COUNTIF('Elève (3ème4)'!JF18:JK18,"C"))*2)+((COUNTIF('Elève (3ème4)'!JF18:JK18,"D"))*1))/(COUNTA(JF18:JK18)),"")</f>
        <v/>
      </c>
      <c r="JM18" s="164" t="str">
        <f t="shared" si="72"/>
        <v/>
      </c>
      <c r="JN18" s="163" t="str">
        <f>IF(COUNT(IX18,JD18,JL18)=0,"",SUM(IX18,JD18,JL18)/COUNT(IX18,JD18,JL18))</f>
        <v/>
      </c>
      <c r="JO18" s="187" t="str">
        <f t="shared" si="73"/>
        <v/>
      </c>
      <c r="JP18" s="103"/>
      <c r="JQ18" s="104"/>
      <c r="JR18" s="105"/>
      <c r="JS18" s="163" t="str">
        <f>IFERROR((((COUNTIF('Elève (3ème4)'!JP18:JR18,"A"))*4)+((COUNTIF('Elève (3ème4)'!JP18:JR18,"B"))*3)+((COUNTIF('Elève (3ème4)'!JP18:JR18,"C"))*2)+((COUNTIF('Elève (3ème4)'!JP18:JR18,"D"))*1))/(COUNTA(JP18:JR18)),"")</f>
        <v/>
      </c>
      <c r="JT18" s="164" t="str">
        <f t="shared" si="74"/>
        <v/>
      </c>
      <c r="JU18" s="103"/>
      <c r="JV18" s="104"/>
      <c r="JW18" s="105"/>
      <c r="JX18" s="105"/>
      <c r="JY18" s="163" t="str">
        <f>IFERROR((((COUNTIF('Elève (3ème4)'!JU18:JX18,"A"))*4)+((COUNTIF('Elève (3ème4)'!JU18:JX18,"B"))*3)+((COUNTIF('Elève (3ème4)'!JU18:JX18,"C"))*2)+((COUNTIF('Elève (3ème4)'!JU18:JX18,"D"))*1))/(COUNTA(JU18:JX18)),"")</f>
        <v/>
      </c>
      <c r="JZ18" s="164" t="str">
        <f t="shared" si="75"/>
        <v/>
      </c>
      <c r="KA18" s="103"/>
      <c r="KB18" s="104"/>
      <c r="KC18" s="105"/>
      <c r="KD18" s="105"/>
      <c r="KE18" s="105"/>
      <c r="KF18" s="109"/>
      <c r="KG18" s="163" t="str">
        <f>IFERROR((((COUNTIF('Elève (3ème4)'!KA18:KF18,"A"))*4)+((COUNTIF('Elève (3ème4)'!KA18:KF18,"B"))*3)+((COUNTIF('Elève (3ème4)'!KA18:KF18,"C"))*2)+((COUNTIF('Elève (3ème4)'!KA18:KF18,"D"))*1))/(COUNTA(KA18:KF18)),"")</f>
        <v/>
      </c>
      <c r="KH18" s="164" t="str">
        <f t="shared" si="76"/>
        <v/>
      </c>
      <c r="KI18" s="163" t="str">
        <f>IF(COUNT(JS18,JY18,KG18)=0,"",SUM(JS18,JY18,KG18)/COUNT(JS18,JY18,KG18))</f>
        <v/>
      </c>
      <c r="KJ18" s="187" t="str">
        <f t="shared" si="77"/>
        <v/>
      </c>
      <c r="KK18" s="103"/>
      <c r="KL18" s="104"/>
      <c r="KM18" s="105"/>
      <c r="KN18" s="163" t="str">
        <f>IFERROR((((COUNTIF('Elève (3ème4)'!KK18:KM18,"A"))*4)+((COUNTIF('Elève (3ème4)'!KK18:KM18,"B"))*3)+((COUNTIF('Elève (3ème4)'!KK18:KM18,"C"))*2)+((COUNTIF('Elève (3ème4)'!KK18:KM18,"D"))*1))/(COUNTA(KK18:KM18)),"")</f>
        <v/>
      </c>
      <c r="KO18" s="164" t="str">
        <f t="shared" si="78"/>
        <v/>
      </c>
      <c r="KP18" s="103"/>
      <c r="KQ18" s="104"/>
      <c r="KR18" s="105"/>
      <c r="KS18" s="105"/>
      <c r="KT18" s="163" t="str">
        <f>IFERROR((((COUNTIF('Elève (3ème4)'!KP18:KS18,"A"))*4)+((COUNTIF('Elève (3ème4)'!KP18:KS18,"B"))*3)+((COUNTIF('Elève (3ème4)'!KP18:KS18,"C"))*2)+((COUNTIF('Elève (3ème4)'!KP18:KS18,"D"))*1))/(COUNTA(KP18:KS18)),"")</f>
        <v/>
      </c>
      <c r="KU18" s="164" t="str">
        <f t="shared" si="79"/>
        <v/>
      </c>
      <c r="KV18" s="103"/>
      <c r="KW18" s="104"/>
      <c r="KX18" s="105"/>
      <c r="KY18" s="105"/>
      <c r="KZ18" s="105"/>
      <c r="LA18" s="109"/>
      <c r="LB18" s="163" t="str">
        <f>IFERROR((((COUNTIF('Elève (3ème4)'!KV18:LA18,"A"))*4)+((COUNTIF('Elève (3ème4)'!KV18:LA18,"B"))*3)+((COUNTIF('Elève (3ème4)'!KV18:LA18,"C"))*2)+((COUNTIF('Elève (3ème4)'!KV18:LA18,"D"))*1))/(COUNTA(KV18:LA18)),"")</f>
        <v/>
      </c>
      <c r="LC18" s="164" t="str">
        <f t="shared" si="80"/>
        <v/>
      </c>
      <c r="LD18" s="163" t="str">
        <f>IF(COUNT(KN18,KT18,LB18)=0,"",SUM(KN18,KT18,LB18)/COUNT(KN18,KT18,LB18))</f>
        <v/>
      </c>
      <c r="LE18" s="187" t="str">
        <f t="shared" si="81"/>
        <v/>
      </c>
      <c r="LF18" s="103"/>
      <c r="LG18" s="104"/>
      <c r="LH18" s="105"/>
      <c r="LI18" s="163" t="str">
        <f>IFERROR((((COUNTIF('Elève (3ème4)'!LF18:LH18,"A"))*4)+((COUNTIF('Elève (3ème4)'!LF18:LH18,"B"))*3)+((COUNTIF('Elève (3ème4)'!LF18:LH18,"C"))*2)+((COUNTIF('Elève (3ème4)'!LF18:LH18,"D"))*1))/(COUNTA(LF18:LH18)),"")</f>
        <v/>
      </c>
      <c r="LJ18" s="164" t="str">
        <f t="shared" si="82"/>
        <v/>
      </c>
      <c r="LK18" s="103"/>
      <c r="LL18" s="104"/>
      <c r="LM18" s="105"/>
      <c r="LN18" s="105"/>
      <c r="LO18" s="163" t="str">
        <f>IFERROR((((COUNTIF('Elève (3ème4)'!LK18:LN18,"A"))*4)+((COUNTIF('Elève (3ème4)'!LK18:LN18,"B"))*3)+((COUNTIF('Elève (3ème4)'!LK18:LN18,"C"))*2)+((COUNTIF('Elève (3ème4)'!LK18:LN18,"D"))*1))/(COUNTA(LK18:LN18)),"")</f>
        <v/>
      </c>
      <c r="LP18" s="164" t="str">
        <f t="shared" si="83"/>
        <v/>
      </c>
      <c r="LQ18" s="103"/>
      <c r="LR18" s="104"/>
      <c r="LS18" s="105"/>
      <c r="LT18" s="105"/>
      <c r="LU18" s="105"/>
      <c r="LV18" s="109"/>
      <c r="LW18" s="163" t="str">
        <f>IFERROR((((COUNTIF('Elève (3ème4)'!LQ18:LV18,"A"))*4)+((COUNTIF('Elève (3ème4)'!LQ18:LV18,"B"))*3)+((COUNTIF('Elève (3ème4)'!LQ18:LV18,"C"))*2)+((COUNTIF('Elève (3ème4)'!LQ18:LV18,"D"))*1))/(COUNTA(LQ18:LV18)),"")</f>
        <v/>
      </c>
      <c r="LX18" s="164" t="str">
        <f t="shared" si="84"/>
        <v/>
      </c>
      <c r="LY18" s="163" t="str">
        <f>IF(COUNT(LI18,LO18,LW18)=0,"",SUM(LI18,LO18,LW18)/COUNT(LI18,LO18,LW18))</f>
        <v/>
      </c>
      <c r="LZ18" s="187" t="str">
        <f t="shared" si="85"/>
        <v/>
      </c>
      <c r="MA18" s="103"/>
      <c r="MB18" s="104"/>
      <c r="MC18" s="105"/>
      <c r="MD18" s="163" t="str">
        <f>IFERROR((((COUNTIF('Elève (3ème4)'!MA18:MC18,"A"))*4)+((COUNTIF('Elève (3ème4)'!MA18:MC18,"B"))*3)+((COUNTIF('Elève (3ème4)'!MA18:MC18,"C"))*2)+((COUNTIF('Elève (3ème4)'!MA18:MC18,"D"))*1))/(COUNTA(MA18:MC18)),"")</f>
        <v/>
      </c>
      <c r="ME18" s="164" t="str">
        <f t="shared" si="86"/>
        <v/>
      </c>
      <c r="MF18" s="103"/>
      <c r="MG18" s="104"/>
      <c r="MH18" s="105"/>
      <c r="MI18" s="105"/>
      <c r="MJ18" s="163" t="str">
        <f>IFERROR((((COUNTIF('Elève (3ème4)'!MF18:MI18,"A"))*4)+((COUNTIF('Elève (3ème4)'!MF18:MI18,"B"))*3)+((COUNTIF('Elève (3ème4)'!MF18:MI18,"C"))*2)+((COUNTIF('Elève (3ème4)'!MF18:MI18,"D"))*1))/(COUNTA(MF18:MI18)),"")</f>
        <v/>
      </c>
      <c r="MK18" s="164" t="str">
        <f t="shared" si="87"/>
        <v/>
      </c>
      <c r="ML18" s="103"/>
      <c r="MM18" s="104"/>
      <c r="MN18" s="105"/>
      <c r="MO18" s="105"/>
      <c r="MP18" s="105"/>
      <c r="MQ18" s="109"/>
      <c r="MR18" s="163" t="str">
        <f>IFERROR((((COUNTIF('Elève (3ème4)'!ML18:MQ18,"A"))*4)+((COUNTIF('Elève (3ème4)'!ML18:MQ18,"B"))*3)+((COUNTIF('Elève (3ème4)'!ML18:MQ18,"C"))*2)+((COUNTIF('Elève (3ème4)'!ML18:MQ18,"D"))*1))/(COUNTA(ML18:MQ18)),"")</f>
        <v/>
      </c>
      <c r="MS18" s="164" t="str">
        <f t="shared" si="88"/>
        <v/>
      </c>
      <c r="MT18" s="163" t="str">
        <f>IF(COUNT(MD18,MJ18,MR18)=0,"",SUM(MD18,MJ18,MR18)/COUNT(MD18,MJ18,MR18))</f>
        <v/>
      </c>
      <c r="MU18" s="187" t="str">
        <f t="shared" si="89"/>
        <v/>
      </c>
      <c r="MV18" s="103"/>
      <c r="MW18" s="104"/>
      <c r="MX18" s="105"/>
      <c r="MY18" s="163" t="str">
        <f>IFERROR((((COUNTIF('Elève (3ème4)'!MV18:MX18,"A"))*4)+((COUNTIF('Elève (3ème4)'!MV18:MX18,"B"))*3)+((COUNTIF('Elève (3ème4)'!MV18:MX18,"C"))*2)+((COUNTIF('Elève (3ème4)'!MV18:MX18,"D"))*1))/(COUNTA(MV18:MX18)),"")</f>
        <v/>
      </c>
      <c r="MZ18" s="164" t="str">
        <f t="shared" si="90"/>
        <v/>
      </c>
      <c r="NA18" s="103"/>
      <c r="NB18" s="104"/>
      <c r="NC18" s="105"/>
      <c r="ND18" s="105"/>
      <c r="NE18" s="163" t="str">
        <f>IFERROR((((COUNTIF('Elève (3ème4)'!NA18:ND18,"A"))*4)+((COUNTIF('Elève (3ème4)'!NA18:ND18,"B"))*3)+((COUNTIF('Elève (3ème4)'!NA18:ND18,"C"))*2)+((COUNTIF('Elève (3ème4)'!NA18:ND18,"D"))*1))/(COUNTA(NA18:ND18)),"")</f>
        <v/>
      </c>
      <c r="NF18" s="164" t="str">
        <f t="shared" si="91"/>
        <v/>
      </c>
      <c r="NG18" s="103"/>
      <c r="NH18" s="104"/>
      <c r="NI18" s="105"/>
      <c r="NJ18" s="105"/>
      <c r="NK18" s="105"/>
      <c r="NL18" s="109"/>
      <c r="NM18" s="163" t="str">
        <f>IFERROR((((COUNTIF('Elève (3ème4)'!NG18:NL18,"A"))*4)+((COUNTIF('Elève (3ème4)'!NG18:NL18,"B"))*3)+((COUNTIF('Elève (3ème4)'!NG18:NL18,"C"))*2)+((COUNTIF('Elève (3ème4)'!NG18:NL18,"D"))*1))/(COUNTA(NG18:NL18)),"")</f>
        <v/>
      </c>
      <c r="NN18" s="164" t="str">
        <f t="shared" si="92"/>
        <v/>
      </c>
      <c r="NO18" s="163" t="str">
        <f>IF(COUNT(MY18,NE18,NM18)=0,"",SUM(MY18,NE18,NM18)/COUNT(MY18,NE18,NM18))</f>
        <v/>
      </c>
      <c r="NP18" s="187" t="str">
        <f t="shared" si="93"/>
        <v/>
      </c>
      <c r="NQ18" s="103"/>
      <c r="NR18" s="104"/>
      <c r="NS18" s="105"/>
      <c r="NT18" s="163" t="str">
        <f>IFERROR((((COUNTIF('Elève (3ème4)'!NQ18:NS18,"A"))*4)+((COUNTIF('Elève (3ème4)'!NQ18:NS18,"B"))*3)+((COUNTIF('Elève (3ème4)'!NQ18:NS18,"C"))*2)+((COUNTIF('Elève (3ème4)'!NQ18:NS18,"D"))*1))/(COUNTA(NQ18:NS18)),"")</f>
        <v/>
      </c>
      <c r="NU18" s="164" t="str">
        <f t="shared" si="94"/>
        <v/>
      </c>
      <c r="NV18" s="103"/>
      <c r="NW18" s="104"/>
      <c r="NX18" s="105"/>
      <c r="NY18" s="105"/>
      <c r="NZ18" s="163" t="str">
        <f>IFERROR((((COUNTIF('Elève (3ème4)'!NV18:NY18,"A"))*4)+((COUNTIF('Elève (3ème4)'!NV18:NY18,"B"))*3)+((COUNTIF('Elève (3ème4)'!NV18:NY18,"C"))*2)+((COUNTIF('Elève (3ème4)'!NV18:NY18,"D"))*1))/(COUNTA(NV18:NY18)),"")</f>
        <v/>
      </c>
      <c r="OA18" s="164" t="str">
        <f t="shared" si="95"/>
        <v/>
      </c>
      <c r="OB18" s="103"/>
      <c r="OC18" s="104"/>
      <c r="OD18" s="105"/>
      <c r="OE18" s="105"/>
      <c r="OF18" s="105"/>
      <c r="OG18" s="109"/>
      <c r="OH18" s="163" t="str">
        <f>IFERROR((((COUNTIF('Elève (3ème4)'!OB18:OG18,"A"))*4)+((COUNTIF('Elève (3ème4)'!OB18:OG18,"B"))*3)+((COUNTIF('Elève (3ème4)'!OB18:OG18,"C"))*2)+((COUNTIF('Elève (3ème4)'!OB18:OG18,"D"))*1))/(COUNTA(OB18:OG18)),"")</f>
        <v/>
      </c>
      <c r="OI18" s="164" t="str">
        <f t="shared" si="96"/>
        <v/>
      </c>
      <c r="OJ18" s="163" t="str">
        <f>IF(COUNT(NT18,NZ18,OH18)=0,"",SUM(NT18,NZ18,OH18)/COUNT(NT18,NZ18,OH18))</f>
        <v/>
      </c>
      <c r="OK18" s="187" t="str">
        <f t="shared" si="97"/>
        <v/>
      </c>
      <c r="OL18" s="103"/>
      <c r="OM18" s="104"/>
      <c r="ON18" s="105"/>
      <c r="OO18" s="163" t="str">
        <f>IFERROR((((COUNTIF('Elève (3ème4)'!OL18:ON18,"A"))*4)+((COUNTIF('Elève (3ème4)'!OL18:ON18,"B"))*3)+((COUNTIF('Elève (3ème4)'!OL18:ON18,"C"))*2)+((COUNTIF('Elève (3ème4)'!OL18:ON18,"D"))*1))/(COUNTA(OL18:ON18)),"")</f>
        <v/>
      </c>
      <c r="OP18" s="164" t="str">
        <f t="shared" si="98"/>
        <v/>
      </c>
      <c r="OQ18" s="103"/>
      <c r="OR18" s="104"/>
      <c r="OS18" s="105"/>
      <c r="OT18" s="105"/>
      <c r="OU18" s="163" t="str">
        <f>IFERROR((((COUNTIF('Elève (3ème4)'!OQ18:OT18,"A"))*4)+((COUNTIF('Elève (3ème4)'!OQ18:OT18,"B"))*3)+((COUNTIF('Elève (3ème4)'!OQ18:OT18,"C"))*2)+((COUNTIF('Elève (3ème4)'!OQ18:OT18,"D"))*1))/(COUNTA(OQ18:OT18)),"")</f>
        <v/>
      </c>
      <c r="OV18" s="164" t="str">
        <f t="shared" si="99"/>
        <v/>
      </c>
      <c r="OW18" s="103"/>
      <c r="OX18" s="104"/>
      <c r="OY18" s="105"/>
      <c r="OZ18" s="105"/>
      <c r="PA18" s="105"/>
      <c r="PB18" s="109"/>
      <c r="PC18" s="163" t="str">
        <f>IFERROR((((COUNTIF('Elève (3ème4)'!OW18:PB18,"A"))*4)+((COUNTIF('Elève (3ème4)'!OW18:PB18,"B"))*3)+((COUNTIF('Elève (3ème4)'!OW18:PB18,"C"))*2)+((COUNTIF('Elève (3ème4)'!OW18:PB18,"D"))*1))/(COUNTA(OW18:PB18)),"")</f>
        <v/>
      </c>
      <c r="PD18" s="164" t="str">
        <f t="shared" si="100"/>
        <v/>
      </c>
      <c r="PE18" s="163" t="str">
        <f>IF(COUNT(OO18,OU18,PC18)=0,"",SUM(OO18,OU18,PC18)/COUNT(OO18,OU18,PC18))</f>
        <v/>
      </c>
      <c r="PF18" s="187" t="str">
        <f t="shared" si="101"/>
        <v/>
      </c>
      <c r="PG18" s="103"/>
      <c r="PH18" s="104"/>
      <c r="PI18" s="105"/>
      <c r="PJ18" s="163" t="str">
        <f>IFERROR((((COUNTIF('Elève (3ème4)'!PG18:PI18,"A"))*4)+((COUNTIF('Elève (3ème4)'!PG18:PI18,"B"))*3)+((COUNTIF('Elève (3ème4)'!PG18:PI18,"C"))*2)+((COUNTIF('Elève (3ème4)'!PG18:PI18,"D"))*1))/(COUNTA(PG18:PI18)),"")</f>
        <v/>
      </c>
      <c r="PK18" s="164" t="str">
        <f t="shared" si="102"/>
        <v/>
      </c>
      <c r="PL18" s="103"/>
      <c r="PM18" s="104"/>
      <c r="PN18" s="105"/>
      <c r="PO18" s="105"/>
      <c r="PP18" s="163" t="str">
        <f>IFERROR((((COUNTIF('Elève (3ème4)'!PL18:PO18,"A"))*4)+((COUNTIF('Elève (3ème4)'!PL18:PO18,"B"))*3)+((COUNTIF('Elève (3ème4)'!PL18:PO18,"C"))*2)+((COUNTIF('Elève (3ème4)'!PL18:PO18,"D"))*1))/(COUNTA(PL18:PO18)),"")</f>
        <v/>
      </c>
      <c r="PQ18" s="164" t="str">
        <f t="shared" si="103"/>
        <v/>
      </c>
      <c r="PR18" s="103"/>
      <c r="PS18" s="104"/>
      <c r="PT18" s="105"/>
      <c r="PU18" s="105"/>
      <c r="PV18" s="105"/>
      <c r="PW18" s="109"/>
      <c r="PX18" s="163" t="str">
        <f>IFERROR((((COUNTIF('Elève (3ème4)'!PR18:PW18,"A"))*4)+((COUNTIF('Elève (3ème4)'!PR18:PW18,"B"))*3)+((COUNTIF('Elève (3ème4)'!PR18:PW18,"C"))*2)+((COUNTIF('Elève (3ème4)'!PR18:PW18,"D"))*1))/(COUNTA(PR18:PW18)),"")</f>
        <v/>
      </c>
      <c r="PY18" s="164" t="str">
        <f t="shared" si="104"/>
        <v/>
      </c>
      <c r="PZ18" s="163" t="str">
        <f>IF(COUNT(PJ18,PP18,PX18)=0,"",SUM(PJ18,PP18,PX18)/COUNT(PJ18,PP18,PX18))</f>
        <v/>
      </c>
      <c r="QA18" s="187" t="str">
        <f t="shared" si="105"/>
        <v/>
      </c>
      <c r="QB18" s="103"/>
      <c r="QC18" s="104"/>
      <c r="QD18" s="105"/>
      <c r="QE18" s="163" t="str">
        <f>IFERROR((((COUNTIF('Elève (3ème4)'!QB18:QD18,"A"))*4)+((COUNTIF('Elève (3ème4)'!QB18:QD18,"B"))*3)+((COUNTIF('Elève (3ème4)'!QB18:QD18,"C"))*2)+((COUNTIF('Elève (3ème4)'!QB18:QD18,"D"))*1))/(COUNTA(QB18:QD18)),"")</f>
        <v/>
      </c>
      <c r="QF18" s="164" t="str">
        <f t="shared" si="106"/>
        <v/>
      </c>
      <c r="QG18" s="103"/>
      <c r="QH18" s="104"/>
      <c r="QI18" s="105"/>
      <c r="QJ18" s="105"/>
      <c r="QK18" s="163" t="str">
        <f>IFERROR((((COUNTIF('Elève (3ème4)'!QG18:QJ18,"A"))*4)+((COUNTIF('Elève (3ème4)'!QG18:QJ18,"B"))*3)+((COUNTIF('Elève (3ème4)'!QG18:QJ18,"C"))*2)+((COUNTIF('Elève (3ème4)'!QG18:QJ18,"D"))*1))/(COUNTA(QG18:QJ18)),"")</f>
        <v/>
      </c>
      <c r="QL18" s="164" t="str">
        <f t="shared" si="107"/>
        <v/>
      </c>
      <c r="QM18" s="103"/>
      <c r="QN18" s="104"/>
      <c r="QO18" s="105"/>
      <c r="QP18" s="105"/>
      <c r="QQ18" s="105"/>
      <c r="QR18" s="109"/>
      <c r="QS18" s="163" t="str">
        <f>IFERROR((((COUNTIF('Elève (3ème4)'!QM18:QR18,"A"))*4)+((COUNTIF('Elève (3ème4)'!QM18:QR18,"B"))*3)+((COUNTIF('Elève (3ème4)'!QM18:QR18,"C"))*2)+((COUNTIF('Elève (3ème4)'!QM18:QR18,"D"))*1))/(COUNTA(QM18:QR18)),"")</f>
        <v/>
      </c>
      <c r="QT18" s="164" t="str">
        <f t="shared" si="108"/>
        <v/>
      </c>
      <c r="QU18" s="163" t="str">
        <f>IF(COUNT(QE18,QK18,QS18)=0,"",SUM(QE18,QK18,QS18)/COUNT(QE18,QK18,QS18))</f>
        <v/>
      </c>
      <c r="QV18" s="187" t="str">
        <f t="shared" si="109"/>
        <v/>
      </c>
      <c r="QW18" s="103"/>
      <c r="QX18" s="104"/>
      <c r="QY18" s="105"/>
      <c r="QZ18" s="163" t="str">
        <f>IFERROR((((COUNTIF('Elève (3ème4)'!QW18:QY18,"A"))*4)+((COUNTIF('Elève (3ème4)'!QW18:QY18,"B"))*3)+((COUNTIF('Elève (3ème4)'!QW18:QY18,"C"))*2)+((COUNTIF('Elève (3ème4)'!QW18:QY18,"D"))*1))/(COUNTA(QW18:QY18)),"")</f>
        <v/>
      </c>
      <c r="RA18" s="164" t="str">
        <f t="shared" si="110"/>
        <v/>
      </c>
      <c r="RB18" s="103"/>
      <c r="RC18" s="104"/>
      <c r="RD18" s="105"/>
      <c r="RE18" s="105"/>
      <c r="RF18" s="163" t="str">
        <f>IFERROR((((COUNTIF('Elève (3ème4)'!RB18:RE18,"A"))*4)+((COUNTIF('Elève (3ème4)'!RB18:RE18,"B"))*3)+((COUNTIF('Elève (3ème4)'!RB18:RE18,"C"))*2)+((COUNTIF('Elève (3ème4)'!RB18:RE18,"D"))*1))/(COUNTA(RB18:RE18)),"")</f>
        <v/>
      </c>
      <c r="RG18" s="164" t="str">
        <f t="shared" si="111"/>
        <v/>
      </c>
      <c r="RH18" s="103"/>
      <c r="RI18" s="104"/>
      <c r="RJ18" s="105"/>
      <c r="RK18" s="105"/>
      <c r="RL18" s="105"/>
      <c r="RM18" s="109"/>
      <c r="RN18" s="163" t="str">
        <f>IFERROR((((COUNTIF('Elève (3ème4)'!RH18:RM18,"A"))*4)+((COUNTIF('Elève (3ème4)'!RH18:RM18,"B"))*3)+((COUNTIF('Elève (3ème4)'!RH18:RM18,"C"))*2)+((COUNTIF('Elève (3ème4)'!RH18:RM18,"D"))*1))/(COUNTA(RH18:RM18)),"")</f>
        <v/>
      </c>
      <c r="RO18" s="164" t="str">
        <f t="shared" si="112"/>
        <v/>
      </c>
      <c r="RP18" s="163" t="str">
        <f>IF(COUNT(QZ18,RF18,RN18)=0,"",SUM(QZ18,RF18,RN18)/COUNT(QZ18,RF18,RN18))</f>
        <v/>
      </c>
      <c r="RQ18" s="187" t="str">
        <f t="shared" si="113"/>
        <v/>
      </c>
      <c r="RR18" s="103"/>
      <c r="RS18" s="104"/>
      <c r="RT18" s="105"/>
      <c r="RU18" s="163" t="str">
        <f>IFERROR((((COUNTIF('Elève (3ème4)'!RR18:RT18,"A"))*4)+((COUNTIF('Elève (3ème4)'!RR18:RT18,"B"))*3)+((COUNTIF('Elève (3ème4)'!RR18:RT18,"C"))*2)+((COUNTIF('Elève (3ème4)'!RR18:RT18,"D"))*1))/(COUNTA(RR18:RT18)),"")</f>
        <v/>
      </c>
      <c r="RV18" s="164" t="str">
        <f t="shared" si="114"/>
        <v/>
      </c>
      <c r="RW18" s="103"/>
      <c r="RX18" s="104"/>
      <c r="RY18" s="105"/>
      <c r="RZ18" s="105"/>
      <c r="SA18" s="163" t="str">
        <f>IFERROR((((COUNTIF('Elève (3ème4)'!RW18:RZ18,"A"))*4)+((COUNTIF('Elève (3ème4)'!RW18:RZ18,"B"))*3)+((COUNTIF('Elève (3ème4)'!RW18:RZ18,"C"))*2)+((COUNTIF('Elève (3ème4)'!RW18:RZ18,"D"))*1))/(COUNTA(RW18:RZ18)),"")</f>
        <v/>
      </c>
      <c r="SB18" s="164" t="str">
        <f t="shared" si="115"/>
        <v/>
      </c>
      <c r="SC18" s="103"/>
      <c r="SD18" s="104"/>
      <c r="SE18" s="105"/>
      <c r="SF18" s="105"/>
      <c r="SG18" s="105"/>
      <c r="SH18" s="109"/>
      <c r="SI18" s="163" t="str">
        <f>IFERROR((((COUNTIF('Elève (3ème4)'!SC18:SH18,"A"))*4)+((COUNTIF('Elève (3ème4)'!SC18:SH18,"B"))*3)+((COUNTIF('Elève (3ème4)'!SC18:SH18,"C"))*2)+((COUNTIF('Elève (3ème4)'!SC18:SH18,"D"))*1))/(COUNTA(SC18:SH18)),"")</f>
        <v/>
      </c>
      <c r="SJ18" s="164" t="str">
        <f t="shared" si="116"/>
        <v/>
      </c>
      <c r="SK18" s="163" t="str">
        <f>IF(COUNT(RU18,SA18,SI18)=0,"",SUM(RU18,SA18,SI18)/COUNT(RU18,SA18,SI18))</f>
        <v/>
      </c>
      <c r="SL18" s="187" t="str">
        <f t="shared" si="117"/>
        <v/>
      </c>
      <c r="SM18" s="103"/>
      <c r="SN18" s="104"/>
      <c r="SO18" s="105"/>
      <c r="SP18" s="106" t="str">
        <f>IFERROR((((COUNTIF('Elève (3ème4)'!SM18:SO18,"A"))*4)+((COUNTIF('Elève (3ème4)'!SM18:SO18,"B"))*3)+((COUNTIF('Elève (3ème4)'!SM18:SO18,"C"))*2)+((COUNTIF('Elève (3ème4)'!SM18:SO18,"D"))*1))/(COUNTA(SM18:SO18)),"")</f>
        <v/>
      </c>
      <c r="SQ18" s="107" t="str">
        <f t="shared" si="118"/>
        <v/>
      </c>
      <c r="SR18" s="103"/>
      <c r="SS18" s="104"/>
      <c r="ST18" s="105"/>
      <c r="SU18" s="106" t="str">
        <f>IFERROR((((COUNTIF('Elève (3ème4)'!SR18:ST18,"A"))*4)+((COUNTIF('Elève (3ème4)'!SR18:ST18,"B"))*3)+((COUNTIF('Elève (3ème4)'!SR18:ST18,"C"))*2)+((COUNTIF('Elève (3ème4)'!SR18:ST18,"D"))*1))/(COUNTA(SR18:ST18)),"")</f>
        <v/>
      </c>
      <c r="SV18" s="107" t="str">
        <f t="shared" si="119"/>
        <v/>
      </c>
      <c r="SW18" s="103"/>
      <c r="SX18" s="104"/>
      <c r="SY18" s="109"/>
      <c r="SZ18" s="106" t="str">
        <f>IFERROR((((COUNTIF('Elève (3ème4)'!SW18:SY18,"A"))*4)+((COUNTIF('Elève (3ème4)'!SW18:SY18,"B"))*3)+((COUNTIF('Elève (3ème4)'!SW18:SY18,"C"))*2)+((COUNTIF('Elève (3ème4)'!SW18:SY18,"D"))*1))/(COUNTA(SW18:SY18)),"")</f>
        <v/>
      </c>
      <c r="TA18" s="107" t="str">
        <f t="shared" si="120"/>
        <v/>
      </c>
      <c r="TB18" s="106" t="str">
        <f>IF(COUNT(SP18,SU18,SZ18)=0,"",SUM(SP18,SU18,SZ18)/COUNT(SP18,SU18,SZ18))</f>
        <v/>
      </c>
      <c r="TC18" s="108" t="str">
        <f t="shared" si="121"/>
        <v/>
      </c>
      <c r="TD18" s="103"/>
      <c r="TE18" s="104"/>
      <c r="TF18" s="105"/>
      <c r="TG18" s="106" t="str">
        <f>IFERROR((((COUNTIF('Elève (3ème4)'!TD18:TF18,"A"))*4)+((COUNTIF('Elève (3ème4)'!TD18:TF18,"B"))*3)+((COUNTIF('Elève (3ème4)'!TD18:TF18,"C"))*2)+((COUNTIF('Elève (3ème4)'!TD18:TF18,"D"))*1))/(COUNTA(TD18:TF18)),"")</f>
        <v/>
      </c>
      <c r="TH18" s="107" t="str">
        <f t="shared" si="122"/>
        <v/>
      </c>
      <c r="TI18" s="103"/>
      <c r="TJ18" s="104"/>
      <c r="TK18" s="105"/>
      <c r="TL18" s="106" t="str">
        <f>IFERROR((((COUNTIF('Elève (3ème4)'!TI18:TK18,"A"))*4)+((COUNTIF('Elève (3ème4)'!TI18:TK18,"B"))*3)+((COUNTIF('Elève (3ème4)'!TI18:TK18,"C"))*2)+((COUNTIF('Elève (3ème4)'!TI18:TK18,"D"))*1))/(COUNTA(TI18:TK18)),"")</f>
        <v/>
      </c>
      <c r="TM18" s="107" t="str">
        <f t="shared" si="123"/>
        <v/>
      </c>
      <c r="TN18" s="103"/>
      <c r="TO18" s="104"/>
      <c r="TP18" s="109"/>
      <c r="TQ18" s="106" t="str">
        <f>IFERROR((((COUNTIF('Elève (3ème4)'!TN18:TP18,"A"))*4)+((COUNTIF('Elève (3ème4)'!TN18:TP18,"B"))*3)+((COUNTIF('Elève (3ème4)'!TN18:TP18,"C"))*2)+((COUNTIF('Elève (3ème4)'!TN18:TP18,"D"))*1))/(COUNTA(TN18:TP18)),"")</f>
        <v/>
      </c>
      <c r="TR18" s="107" t="str">
        <f t="shared" si="124"/>
        <v/>
      </c>
      <c r="TS18" s="106" t="str">
        <f>IF(COUNT(TG18,TL18,TQ18)=0,"",SUM(TG18,TL18,TQ18)/COUNT(TG18,TL18,TQ18))</f>
        <v/>
      </c>
      <c r="TT18" s="108" t="str">
        <f t="shared" si="125"/>
        <v/>
      </c>
      <c r="TU18" s="103"/>
      <c r="TV18" s="104"/>
      <c r="TW18" s="105"/>
      <c r="TX18" s="106" t="str">
        <f>IFERROR((((COUNTIF('Elève (3ème4)'!TU18:TW18,"A"))*4)+((COUNTIF('Elève (3ème4)'!TU18:TW18,"B"))*3)+((COUNTIF('Elève (3ème4)'!TU18:TW18,"C"))*2)+((COUNTIF('Elève (3ème4)'!TU18:TW18,"D"))*1))/(COUNTA(TU18:TW18)),"")</f>
        <v/>
      </c>
      <c r="TY18" s="107" t="str">
        <f t="shared" si="126"/>
        <v/>
      </c>
      <c r="TZ18" s="103"/>
      <c r="UA18" s="104"/>
      <c r="UB18" s="105"/>
      <c r="UC18" s="106" t="str">
        <f>IFERROR((((COUNTIF('Elève (3ème4)'!TZ18:UB18,"A"))*4)+((COUNTIF('Elève (3ème4)'!TZ18:UB18,"B"))*3)+((COUNTIF('Elève (3ème4)'!TZ18:UB18,"C"))*2)+((COUNTIF('Elève (3ème4)'!TZ18:UB18,"D"))*1))/(COUNTA(TZ18:UB18)),"")</f>
        <v/>
      </c>
      <c r="UD18" s="107" t="str">
        <f t="shared" si="127"/>
        <v/>
      </c>
      <c r="UE18" s="103"/>
      <c r="UF18" s="104"/>
      <c r="UG18" s="109"/>
      <c r="UH18" s="106" t="str">
        <f>IFERROR((((COUNTIF('Elève (3ème4)'!UE18:UG18,"A"))*4)+((COUNTIF('Elève (3ème4)'!UE18:UG18,"B"))*3)+((COUNTIF('Elève (3ème4)'!UE18:UG18,"C"))*2)+((COUNTIF('Elève (3ème4)'!UE18:UG18,"D"))*1))/(COUNTA(UE18:UG18)),"")</f>
        <v/>
      </c>
      <c r="UI18" s="107" t="str">
        <f t="shared" si="128"/>
        <v/>
      </c>
      <c r="UJ18" s="106" t="str">
        <f>IF(COUNT(TX18,UC18,UH18)=0,"",SUM(TX18,UC18,UH18)/COUNT(TX18,UC18,UH18))</f>
        <v/>
      </c>
      <c r="UK18" s="108" t="str">
        <f t="shared" si="129"/>
        <v/>
      </c>
      <c r="UL18" s="103"/>
      <c r="UM18" s="104"/>
      <c r="UN18" s="105"/>
      <c r="UO18" s="106" t="str">
        <f>IFERROR((((COUNTIF('Elève (3ème4)'!UL18:UN18,"A"))*4)+((COUNTIF('Elève (3ème4)'!UL18:UN18,"B"))*3)+((COUNTIF('Elève (3ème4)'!UL18:UN18,"C"))*2)+((COUNTIF('Elève (3ème4)'!UL18:UN18,"D"))*1))/(COUNTA(UL18:UN18)),"")</f>
        <v/>
      </c>
      <c r="UP18" s="107" t="str">
        <f t="shared" si="130"/>
        <v/>
      </c>
      <c r="UQ18" s="103"/>
      <c r="UR18" s="104"/>
      <c r="US18" s="105"/>
      <c r="UT18" s="106" t="str">
        <f>IFERROR((((COUNTIF('Elève (3ème4)'!UQ18:US18,"A"))*4)+((COUNTIF('Elève (3ème4)'!UQ18:US18,"B"))*3)+((COUNTIF('Elève (3ème4)'!UQ18:US18,"C"))*2)+((COUNTIF('Elève (3ème4)'!UQ18:US18,"D"))*1))/(COUNTA(UQ18:US18)),"")</f>
        <v/>
      </c>
      <c r="UU18" s="107" t="str">
        <f t="shared" si="131"/>
        <v/>
      </c>
      <c r="UV18" s="103"/>
      <c r="UW18" s="104"/>
      <c r="UX18" s="109"/>
      <c r="UY18" s="106" t="str">
        <f>IFERROR((((COUNTIF('Elève (3ème4)'!UV18:UX18,"A"))*4)+((COUNTIF('Elève (3ème4)'!UV18:UX18,"B"))*3)+((COUNTIF('Elève (3ème4)'!UV18:UX18,"C"))*2)+((COUNTIF('Elève (3ème4)'!UV18:UX18,"D"))*1))/(COUNTA(UV18:UX18)),"")</f>
        <v/>
      </c>
      <c r="UZ18" s="107" t="str">
        <f t="shared" si="132"/>
        <v/>
      </c>
      <c r="VA18" s="106" t="str">
        <f>IF(COUNT(UO18,UT18,UY18)=0,"",SUM(UO18,UT18,UY18)/COUNT(UO18,UT18,UY18))</f>
        <v/>
      </c>
      <c r="VB18" s="108" t="str">
        <f t="shared" si="133"/>
        <v/>
      </c>
      <c r="VC18" s="103"/>
      <c r="VD18" s="104"/>
      <c r="VE18" s="105"/>
      <c r="VF18" s="106" t="str">
        <f>IFERROR((((COUNTIF('Elève (3ème4)'!VC18:VE18,"A"))*4)+((COUNTIF('Elève (3ème4)'!VC18:VE18,"B"))*3)+((COUNTIF('Elève (3ème4)'!VC18:VE18,"C"))*2)+((COUNTIF('Elève (3ème4)'!VC18:VE18,"D"))*1))/(COUNTA(VC18:VE18)),"")</f>
        <v/>
      </c>
      <c r="VG18" s="107" t="str">
        <f t="shared" si="134"/>
        <v/>
      </c>
      <c r="VH18" s="103"/>
      <c r="VI18" s="104"/>
      <c r="VJ18" s="105"/>
      <c r="VK18" s="106" t="str">
        <f>IFERROR((((COUNTIF('Elève (3ème4)'!VH18:VJ18,"A"))*4)+((COUNTIF('Elève (3ème4)'!VH18:VJ18,"B"))*3)+((COUNTIF('Elève (3ème4)'!VH18:VJ18,"C"))*2)+((COUNTIF('Elève (3ème4)'!VH18:VJ18,"D"))*1))/(COUNTA(VH18:VJ18)),"")</f>
        <v/>
      </c>
      <c r="VL18" s="107" t="str">
        <f t="shared" si="135"/>
        <v/>
      </c>
      <c r="VM18" s="103"/>
      <c r="VN18" s="104"/>
      <c r="VO18" s="109"/>
      <c r="VP18" s="106" t="str">
        <f>IFERROR((((COUNTIF('Elève (3ème4)'!VM18:VO18,"A"))*4)+((COUNTIF('Elève (3ème4)'!VM18:VO18,"B"))*3)+((COUNTIF('Elève (3ème4)'!VM18:VO18,"C"))*2)+((COUNTIF('Elève (3ème4)'!VM18:VO18,"D"))*1))/(COUNTA(VM18:VO18)),"")</f>
        <v/>
      </c>
      <c r="VQ18" s="107" t="str">
        <f t="shared" si="136"/>
        <v/>
      </c>
      <c r="VR18" s="106" t="str">
        <f>IF(COUNT(VF18,VK18,VP18)=0,"",SUM(VF18,VK18,VP18)/COUNT(VF18,VK18,VP18))</f>
        <v/>
      </c>
      <c r="VS18" s="108" t="str">
        <f t="shared" si="137"/>
        <v/>
      </c>
      <c r="VT18" s="103"/>
      <c r="VU18" s="104"/>
      <c r="VV18" s="105"/>
      <c r="VW18" s="106" t="str">
        <f>IFERROR((((COUNTIF('Elève (3ème4)'!VT18:VV18,"A"))*4)+((COUNTIF('Elève (3ème4)'!VT18:VV18,"B"))*3)+((COUNTIF('Elève (3ème4)'!VT18:VV18,"C"))*2)+((COUNTIF('Elève (3ème4)'!VT18:VV18,"D"))*1))/(COUNTA(VT18:VV18)),"")</f>
        <v/>
      </c>
      <c r="VX18" s="107" t="str">
        <f t="shared" si="138"/>
        <v/>
      </c>
      <c r="VY18" s="103"/>
      <c r="VZ18" s="104"/>
      <c r="WA18" s="105"/>
      <c r="WB18" s="106" t="str">
        <f>IFERROR((((COUNTIF('Elève (3ème4)'!VY18:WA18,"A"))*4)+((COUNTIF('Elève (3ème4)'!VY18:WA18,"B"))*3)+((COUNTIF('Elève (3ème4)'!VY18:WA18,"C"))*2)+((COUNTIF('Elève (3ème4)'!VY18:WA18,"D"))*1))/(COUNTA(VY18:WA18)),"")</f>
        <v/>
      </c>
      <c r="WC18" s="107" t="str">
        <f t="shared" si="139"/>
        <v/>
      </c>
      <c r="WD18" s="103"/>
      <c r="WE18" s="104"/>
      <c r="WF18" s="109"/>
      <c r="WG18" s="106" t="str">
        <f>IFERROR((((COUNTIF('Elève (3ème4)'!WD18:WF18,"A"))*4)+((COUNTIF('Elève (3ème4)'!WD18:WF18,"B"))*3)+((COUNTIF('Elève (3ème4)'!WD18:WF18,"C"))*2)+((COUNTIF('Elève (3ème4)'!WD18:WF18,"D"))*1))/(COUNTA(WD18:WF18)),"")</f>
        <v/>
      </c>
      <c r="WH18" s="107" t="str">
        <f t="shared" si="140"/>
        <v/>
      </c>
      <c r="WI18" s="106" t="str">
        <f>IF(COUNT(VW18,WB18,WG18)=0,"",SUM(VW18,WB18,WG18)/COUNT(VW18,WB18,WG18))</f>
        <v/>
      </c>
      <c r="WJ18" s="108" t="str">
        <f t="shared" si="141"/>
        <v/>
      </c>
    </row>
    <row r="19" spans="1:608" ht="18" customHeight="1" thickBot="1" x14ac:dyDescent="0.6">
      <c r="A19" s="215" t="s">
        <v>23</v>
      </c>
      <c r="B19" s="216"/>
      <c r="C19" s="110"/>
      <c r="D19" s="111"/>
      <c r="E19" s="112"/>
      <c r="F19" s="165" t="str">
        <f>IFERROR((((COUNTIF('Elève (3ème4)'!C19:E19,"A"))*4)+((COUNTIF('Elève (3ème4)'!C19:E19,"B"))*3)+((COUNTIF('Elève (3ème4)'!C19:E19,"C"))*2)+((COUNTIF('Elève (3ème4)'!C19:E19,"D"))*1))/(COUNTA(C19:E19)),"")</f>
        <v/>
      </c>
      <c r="G19" s="166" t="str">
        <f t="shared" si="22"/>
        <v/>
      </c>
      <c r="H19" s="110" t="s">
        <v>28</v>
      </c>
      <c r="I19" s="111"/>
      <c r="J19" s="112"/>
      <c r="K19" s="112"/>
      <c r="L19" s="165">
        <f>IFERROR((((COUNTIF('Elève (3ème4)'!H19:K19,"A"))*4)+((COUNTIF('Elève (3ème4)'!H19:K19,"B"))*3)+((COUNTIF('Elève (3ème4)'!H19:K19,"C"))*2)+((COUNTIF('Elève (3ème4)'!H19:K19,"D"))*1))/(COUNTA(H19:K19)),"")</f>
        <v>3</v>
      </c>
      <c r="M19" s="166" t="str">
        <f t="shared" si="23"/>
        <v>B</v>
      </c>
      <c r="N19" s="110"/>
      <c r="O19" s="111"/>
      <c r="P19" s="112" t="s">
        <v>28</v>
      </c>
      <c r="Q19" s="112" t="s">
        <v>28</v>
      </c>
      <c r="R19" s="112"/>
      <c r="S19" s="112"/>
      <c r="T19" s="165">
        <f>IFERROR((((COUNTIF('Elève (3ème4)'!N19:S19,"A"))*4)+((COUNTIF('Elève (3ème4)'!N19:S19,"B"))*3)+((COUNTIF('Elève (3ème4)'!N19:S19,"C"))*2)+((COUNTIF('Elève (3ème4)'!N19:S19,"D"))*1))/(COUNTA(N19:S19)),"")</f>
        <v>3</v>
      </c>
      <c r="U19" s="166" t="str">
        <f t="shared" si="24"/>
        <v>B</v>
      </c>
      <c r="V19" s="165">
        <f>IF(COUNT(F19,L19,T19)=0,"",SUM(F19,L19,T19)/COUNT(F19,L19,T19))</f>
        <v>3</v>
      </c>
      <c r="W19" s="188" t="str">
        <f t="shared" si="25"/>
        <v>B</v>
      </c>
      <c r="X19" s="110"/>
      <c r="Y19" s="111"/>
      <c r="Z19" s="112"/>
      <c r="AA19" s="165" t="str">
        <f>IFERROR((((COUNTIF('Elève (3ème4)'!X19:Z19,"A"))*4)+((COUNTIF('Elève (3ème4)'!X19:Z19,"B"))*3)+((COUNTIF('Elève (3ème4)'!X19:Z19,"C"))*2)+((COUNTIF('Elève (3ème4)'!X19:Z19,"D"))*1))/(COUNTA(X19:Z19)),"")</f>
        <v/>
      </c>
      <c r="AB19" s="166" t="str">
        <f t="shared" si="26"/>
        <v/>
      </c>
      <c r="AC19" s="110"/>
      <c r="AD19" s="111"/>
      <c r="AE19" s="112"/>
      <c r="AF19" s="112"/>
      <c r="AG19" s="165" t="str">
        <f>IFERROR((((COUNTIF('Elève (3ème4)'!AC19:AF19,"A"))*4)+((COUNTIF('Elève (3ème4)'!AC19:AF19,"B"))*3)+((COUNTIF('Elève (3ème4)'!AC19:AF19,"C"))*2)+((COUNTIF('Elève (3ème4)'!AC19:AF19,"D"))*1))/(COUNTA(AC19:AF19)),"")</f>
        <v/>
      </c>
      <c r="AH19" s="166" t="str">
        <f t="shared" si="27"/>
        <v/>
      </c>
      <c r="AI19" s="110"/>
      <c r="AJ19" s="111"/>
      <c r="AK19" s="112"/>
      <c r="AL19" s="112"/>
      <c r="AM19" s="112"/>
      <c r="AN19" s="116"/>
      <c r="AO19" s="165" t="str">
        <f>IFERROR((((COUNTIF('Elève (3ème4)'!AI19:AN19,"A"))*4)+((COUNTIF('Elève (3ème4)'!AI19:AN19,"B"))*3)+((COUNTIF('Elève (3ème4)'!AI19:AN19,"C"))*2)+((COUNTIF('Elève (3ème4)'!AI19:AN19,"D"))*1))/(COUNTA(AI19:AN19)),"")</f>
        <v/>
      </c>
      <c r="AP19" s="166" t="str">
        <f t="shared" si="28"/>
        <v/>
      </c>
      <c r="AQ19" s="165" t="str">
        <f>IF(COUNT(AA19,AG19,AO19)=0,"",SUM(AA19,AG19,AO19)/COUNT(AA19,AG19,AO19))</f>
        <v/>
      </c>
      <c r="AR19" s="188" t="str">
        <f t="shared" si="29"/>
        <v/>
      </c>
      <c r="AS19" s="110"/>
      <c r="AT19" s="111"/>
      <c r="AU19" s="112"/>
      <c r="AV19" s="165" t="str">
        <f>IFERROR((((COUNTIF('Elève (3ème4)'!AS19:AU19,"A"))*4)+((COUNTIF('Elève (3ème4)'!AS19:AU19,"B"))*3)+((COUNTIF('Elève (3ème4)'!AS19:AU19,"C"))*2)+((COUNTIF('Elève (3ème4)'!AS19:AU19,"D"))*1))/(COUNTA(AS19:AU19)),"")</f>
        <v/>
      </c>
      <c r="AW19" s="166" t="str">
        <f t="shared" si="30"/>
        <v/>
      </c>
      <c r="AX19" s="110" t="s">
        <v>29</v>
      </c>
      <c r="AY19" s="111"/>
      <c r="AZ19" s="112"/>
      <c r="BA19" s="112"/>
      <c r="BB19" s="165">
        <f>IFERROR((((COUNTIF('Elève (3ème4)'!AX19:BA19,"A"))*4)+((COUNTIF('Elève (3ème4)'!AX19:BA19,"B"))*3)+((COUNTIF('Elève (3ème4)'!AX19:BA19,"C"))*2)+((COUNTIF('Elève (3ème4)'!AX19:BA19,"D"))*1))/(COUNTA(AX19:BA19)),"")</f>
        <v>2</v>
      </c>
      <c r="BC19" s="166" t="str">
        <f t="shared" si="31"/>
        <v>C</v>
      </c>
      <c r="BD19" s="110"/>
      <c r="BE19" s="111"/>
      <c r="BF19" s="112"/>
      <c r="BG19" s="112" t="s">
        <v>29</v>
      </c>
      <c r="BH19" s="112"/>
      <c r="BI19" s="116"/>
      <c r="BJ19" s="165">
        <f>IFERROR((((COUNTIF('Elève (3ème4)'!BD19:BI19,"A"))*4)+((COUNTIF('Elève (3ème4)'!BD19:BI19,"B"))*3)+((COUNTIF('Elève (3ème4)'!BD19:BI19,"C"))*2)+((COUNTIF('Elève (3ème4)'!BD19:BI19,"D"))*1))/(COUNTA(BD19:BI19)),"")</f>
        <v>2</v>
      </c>
      <c r="BK19" s="166" t="str">
        <f t="shared" si="32"/>
        <v>C</v>
      </c>
      <c r="BL19" s="165">
        <f>IF(COUNT(AV19,BB19,BJ19)=0,"",SUM(AV19,BB19,BJ19)/COUNT(AV19,BB19,BJ19))</f>
        <v>2</v>
      </c>
      <c r="BM19" s="188" t="str">
        <f t="shared" si="33"/>
        <v>C</v>
      </c>
      <c r="BN19" s="110"/>
      <c r="BO19" s="111"/>
      <c r="BP19" s="112"/>
      <c r="BQ19" s="165" t="str">
        <f>IFERROR((((COUNTIF('Elève (3ème4)'!BN19:BP19,"A"))*4)+((COUNTIF('Elève (3ème4)'!BN19:BP19,"B"))*3)+((COUNTIF('Elève (3ème4)'!BN19:BP19,"C"))*2)+((COUNTIF('Elève (3ème4)'!BN19:BP19,"D"))*1))/(COUNTA(BN19:BP19)),"")</f>
        <v/>
      </c>
      <c r="BR19" s="166" t="str">
        <f t="shared" si="34"/>
        <v/>
      </c>
      <c r="BS19" s="110" t="s">
        <v>29</v>
      </c>
      <c r="BT19" s="111"/>
      <c r="BU19" s="112"/>
      <c r="BV19" s="112"/>
      <c r="BW19" s="165">
        <f>IFERROR((((COUNTIF('Elève (3ème4)'!BS19:BV19,"A"))*4)+((COUNTIF('Elève (3ème4)'!BS19:BV19,"B"))*3)+((COUNTIF('Elève (3ème4)'!BS19:BV19,"C"))*2)+((COUNTIF('Elève (3ème4)'!BS19:BV19,"D"))*1))/(COUNTA(BS19:BV19)),"")</f>
        <v>2</v>
      </c>
      <c r="BX19" s="166" t="str">
        <f t="shared" si="35"/>
        <v>C</v>
      </c>
      <c r="BY19" s="110"/>
      <c r="BZ19" s="111"/>
      <c r="CA19" s="112"/>
      <c r="CB19" s="112" t="s">
        <v>29</v>
      </c>
      <c r="CC19" s="112"/>
      <c r="CD19" s="116"/>
      <c r="CE19" s="165">
        <f>IFERROR((((COUNTIF('Elève (3ème4)'!BY19:CD19,"A"))*4)+((COUNTIF('Elève (3ème4)'!BY19:CD19,"B"))*3)+((COUNTIF('Elève (3ème4)'!BY19:CD19,"C"))*2)+((COUNTIF('Elève (3ème4)'!BY19:CD19,"D"))*1))/(COUNTA(BY19:CD19)),"")</f>
        <v>2</v>
      </c>
      <c r="CF19" s="166" t="str">
        <f t="shared" si="36"/>
        <v>C</v>
      </c>
      <c r="CG19" s="165">
        <f>IF(COUNT(BQ19,BW19,CE19)=0,"",SUM(BQ19,BW19,CE19)/COUNT(BQ19,BW19,CE19))</f>
        <v>2</v>
      </c>
      <c r="CH19" s="188" t="str">
        <f t="shared" si="37"/>
        <v>C</v>
      </c>
      <c r="CI19" s="110"/>
      <c r="CJ19" s="111"/>
      <c r="CK19" s="112"/>
      <c r="CL19" s="165" t="str">
        <f>IFERROR((((COUNTIF('Elève (3ème4)'!CI19:CK19,"A"))*4)+((COUNTIF('Elève (3ème4)'!CI19:CK19,"B"))*3)+((COUNTIF('Elève (3ème4)'!CI19:CK19,"C"))*2)+((COUNTIF('Elève (3ème4)'!CI19:CK19,"D"))*1))/(COUNTA(CI19:CK19)),"")</f>
        <v/>
      </c>
      <c r="CM19" s="166" t="str">
        <f t="shared" si="38"/>
        <v/>
      </c>
      <c r="CN19" s="110"/>
      <c r="CO19" s="111"/>
      <c r="CP19" s="112"/>
      <c r="CQ19" s="112"/>
      <c r="CR19" s="165" t="str">
        <f>IFERROR((((COUNTIF('Elève (3ème4)'!CN19:CQ19,"A"))*4)+((COUNTIF('Elève (3ème4)'!CN19:CQ19,"B"))*3)+((COUNTIF('Elève (3ème4)'!CN19:CQ19,"C"))*2)+((COUNTIF('Elève (3ème4)'!CN19:CQ19,"D"))*1))/(COUNTA(CN19:CQ19)),"")</f>
        <v/>
      </c>
      <c r="CS19" s="166" t="str">
        <f t="shared" si="39"/>
        <v/>
      </c>
      <c r="CT19" s="110"/>
      <c r="CU19" s="111"/>
      <c r="CV19" s="112" t="s">
        <v>27</v>
      </c>
      <c r="CW19" s="112" t="s">
        <v>28</v>
      </c>
      <c r="CX19" s="112"/>
      <c r="CY19" s="116"/>
      <c r="CZ19" s="165">
        <f>IFERROR((((COUNTIF('Elève (3ème4)'!CT19:CY19,"A"))*4)+((COUNTIF('Elève (3ème4)'!CT19:CY19,"B"))*3)+((COUNTIF('Elève (3ème4)'!CT19:CY19,"C"))*2)+((COUNTIF('Elève (3ème4)'!CT19:CY19,"D"))*1))/(COUNTA(CT19:CY19)),"")</f>
        <v>3.5</v>
      </c>
      <c r="DA19" s="166" t="str">
        <f t="shared" si="40"/>
        <v>B</v>
      </c>
      <c r="DB19" s="165">
        <f>IF(COUNT(CL19,CR19,CZ19)=0,"",SUM(CL19,CR19,CZ19)/COUNT(CL19,CR19,CZ19))</f>
        <v>3.5</v>
      </c>
      <c r="DC19" s="188" t="str">
        <f t="shared" si="41"/>
        <v>B</v>
      </c>
      <c r="DD19" s="110"/>
      <c r="DE19" s="111"/>
      <c r="DF19" s="112"/>
      <c r="DG19" s="165" t="str">
        <f>IFERROR((((COUNTIF('Elève (3ème4)'!DD19:DF19,"A"))*4)+((COUNTIF('Elève (3ème4)'!DD19:DF19,"B"))*3)+((COUNTIF('Elève (3ème4)'!DD19:DF19,"C"))*2)+((COUNTIF('Elève (3ème4)'!DD19:DF19,"D"))*1))/(COUNTA(DD19:DF19)),"")</f>
        <v/>
      </c>
      <c r="DH19" s="166" t="str">
        <f t="shared" si="42"/>
        <v/>
      </c>
      <c r="DI19" s="110" t="s">
        <v>28</v>
      </c>
      <c r="DJ19" s="111"/>
      <c r="DK19" s="112"/>
      <c r="DL19" s="112"/>
      <c r="DM19" s="165">
        <f>IFERROR((((COUNTIF('Elève (3ème4)'!DI19:DL19,"A"))*4)+((COUNTIF('Elève (3ème4)'!DI19:DL19,"B"))*3)+((COUNTIF('Elève (3ème4)'!DI19:DL19,"C"))*2)+((COUNTIF('Elève (3ème4)'!DI19:DL19,"D"))*1))/(COUNTA(DI19:DL19)),"")</f>
        <v>3</v>
      </c>
      <c r="DN19" s="166" t="str">
        <f t="shared" si="43"/>
        <v>B</v>
      </c>
      <c r="DO19" s="110"/>
      <c r="DP19" s="111"/>
      <c r="DQ19" s="112" t="s">
        <v>29</v>
      </c>
      <c r="DR19" s="112"/>
      <c r="DS19" s="112"/>
      <c r="DT19" s="116"/>
      <c r="DU19" s="165">
        <f>IFERROR((((COUNTIF('Elève (3ème4)'!DO19:DT19,"A"))*4)+((COUNTIF('Elève (3ème4)'!DO19:DT19,"B"))*3)+((COUNTIF('Elève (3ème4)'!DO19:DT19,"C"))*2)+((COUNTIF('Elève (3ème4)'!DO19:DT19,"D"))*1))/(COUNTA(DO19:DT19)),"")</f>
        <v>2</v>
      </c>
      <c r="DV19" s="166" t="str">
        <f t="shared" si="44"/>
        <v>C</v>
      </c>
      <c r="DW19" s="165">
        <f>IF(COUNT(DG19,DM19,DU19)=0,"",SUM(DG19,DM19,DU19)/COUNT(DG19,DM19,DU19))</f>
        <v>2.5</v>
      </c>
      <c r="DX19" s="188" t="str">
        <f t="shared" si="45"/>
        <v>C</v>
      </c>
      <c r="DY19" s="110"/>
      <c r="DZ19" s="111"/>
      <c r="EA19" s="112"/>
      <c r="EB19" s="165" t="str">
        <f>IFERROR((((COUNTIF('Elève (3ème4)'!DY19:EA19,"A"))*4)+((COUNTIF('Elève (3ème4)'!DY19:EA19,"B"))*3)+((COUNTIF('Elève (3ème4)'!DY19:EA19,"C"))*2)+((COUNTIF('Elève (3ème4)'!DY19:EA19,"D"))*1))/(COUNTA(DY19:EA19)),"")</f>
        <v/>
      </c>
      <c r="EC19" s="166" t="str">
        <f t="shared" si="46"/>
        <v/>
      </c>
      <c r="ED19" s="110" t="s">
        <v>29</v>
      </c>
      <c r="EE19" s="111"/>
      <c r="EF19" s="112"/>
      <c r="EG19" s="112"/>
      <c r="EH19" s="165">
        <f>IFERROR((((COUNTIF('Elève (3ème4)'!ED19:EG19,"A"))*4)+((COUNTIF('Elève (3ème4)'!ED19:EG19,"B"))*3)+((COUNTIF('Elève (3ème4)'!ED19:EG19,"C"))*2)+((COUNTIF('Elève (3ème4)'!ED19:EG19,"D"))*1))/(COUNTA(ED19:EG19)),"")</f>
        <v>2</v>
      </c>
      <c r="EI19" s="166" t="str">
        <f t="shared" si="47"/>
        <v>C</v>
      </c>
      <c r="EJ19" s="110"/>
      <c r="EK19" s="111"/>
      <c r="EL19" s="112" t="s">
        <v>29</v>
      </c>
      <c r="EM19" s="112" t="s">
        <v>29</v>
      </c>
      <c r="EN19" s="112"/>
      <c r="EO19" s="116"/>
      <c r="EP19" s="165">
        <f>IFERROR((((COUNTIF('Elève (3ème4)'!EJ19:EO19,"A"))*4)+((COUNTIF('Elève (3ème4)'!EJ19:EO19,"B"))*3)+((COUNTIF('Elève (3ème4)'!EJ19:EO19,"C"))*2)+((COUNTIF('Elève (3ème4)'!EJ19:EO19,"D"))*1))/(COUNTA(EJ19:EO19)),"")</f>
        <v>2</v>
      </c>
      <c r="EQ19" s="166" t="str">
        <f t="shared" si="48"/>
        <v>C</v>
      </c>
      <c r="ER19" s="165">
        <f>IF(COUNT(EB19,EH19,EP19)=0,"",SUM(EB19,EH19,EP19)/COUNT(EB19,EH19,EP19))</f>
        <v>2</v>
      </c>
      <c r="ES19" s="188" t="str">
        <f t="shared" si="49"/>
        <v>C</v>
      </c>
      <c r="ET19" s="110"/>
      <c r="EU19" s="111"/>
      <c r="EV19" s="112"/>
      <c r="EW19" s="165" t="str">
        <f>IFERROR((((COUNTIF('Elève (3ème4)'!ET19:EV19,"A"))*4)+((COUNTIF('Elève (3ème4)'!ET19:EV19,"B"))*3)+((COUNTIF('Elève (3ème4)'!ET19:EV19,"C"))*2)+((COUNTIF('Elève (3ème4)'!ET19:EV19,"D"))*1))/(COUNTA(ET19:EV19)),"")</f>
        <v/>
      </c>
      <c r="EX19" s="166" t="str">
        <f t="shared" si="50"/>
        <v/>
      </c>
      <c r="EY19" s="110" t="s">
        <v>29</v>
      </c>
      <c r="EZ19" s="111"/>
      <c r="FA19" s="112"/>
      <c r="FB19" s="112"/>
      <c r="FC19" s="165">
        <f>IFERROR((((COUNTIF('Elève (3ème4)'!EY19:FB19,"A"))*4)+((COUNTIF('Elève (3ème4)'!EY19:FB19,"B"))*3)+((COUNTIF('Elève (3ème4)'!EY19:FB19,"C"))*2)+((COUNTIF('Elève (3ème4)'!EY19:FB19,"D"))*1))/(COUNTA(EY19:FB19)),"")</f>
        <v>2</v>
      </c>
      <c r="FD19" s="166" t="str">
        <f t="shared" si="51"/>
        <v>C</v>
      </c>
      <c r="FE19" s="110"/>
      <c r="FF19" s="111"/>
      <c r="FG19" s="112"/>
      <c r="FH19" s="112" t="s">
        <v>28</v>
      </c>
      <c r="FI19" s="112"/>
      <c r="FJ19" s="116"/>
      <c r="FK19" s="165">
        <f>IFERROR((((COUNTIF('Elève (3ème4)'!FE19:FJ19,"A"))*4)+((COUNTIF('Elève (3ème4)'!FE19:FJ19,"B"))*3)+((COUNTIF('Elève (3ème4)'!FE19:FJ19,"C"))*2)+((COUNTIF('Elève (3ème4)'!FE19:FJ19,"D"))*1))/(COUNTA(FE19:FJ19)),"")</f>
        <v>3</v>
      </c>
      <c r="FL19" s="166" t="str">
        <f t="shared" si="52"/>
        <v>B</v>
      </c>
      <c r="FM19" s="165">
        <f>IF(COUNT(EW19,FC19,FK19)=0,"",SUM(EW19,FC19,FK19)/COUNT(EW19,FC19,FK19))</f>
        <v>2.5</v>
      </c>
      <c r="FN19" s="188" t="str">
        <f t="shared" si="53"/>
        <v>C</v>
      </c>
      <c r="FO19" s="110"/>
      <c r="FP19" s="111"/>
      <c r="FQ19" s="112"/>
      <c r="FR19" s="165" t="str">
        <f>IFERROR((((COUNTIF('Elève (3ème4)'!FO19:FQ19,"A"))*4)+((COUNTIF('Elève (3ème4)'!FO19:FQ19,"B"))*3)+((COUNTIF('Elève (3ème4)'!FO19:FQ19,"C"))*2)+((COUNTIF('Elève (3ème4)'!FO19:FQ19,"D"))*1))/(COUNTA(FO19:FQ19)),"")</f>
        <v/>
      </c>
      <c r="FS19" s="166" t="str">
        <f t="shared" si="54"/>
        <v/>
      </c>
      <c r="FT19" s="110" t="s">
        <v>29</v>
      </c>
      <c r="FU19" s="111"/>
      <c r="FV19" s="112"/>
      <c r="FW19" s="112"/>
      <c r="FX19" s="165">
        <f>IFERROR((((COUNTIF('Elève (3ème4)'!FT19:FW19,"A"))*4)+((COUNTIF('Elève (3ème4)'!FT19:FW19,"B"))*3)+((COUNTIF('Elève (3ème4)'!FT19:FW19,"C"))*2)+((COUNTIF('Elève (3ème4)'!FT19:FW19,"D"))*1))/(COUNTA(FT19:FW19)),"")</f>
        <v>2</v>
      </c>
      <c r="FY19" s="166" t="str">
        <f t="shared" si="55"/>
        <v>C</v>
      </c>
      <c r="FZ19" s="110"/>
      <c r="GA19" s="111"/>
      <c r="GB19" s="112" t="s">
        <v>28</v>
      </c>
      <c r="GC19" s="112" t="s">
        <v>28</v>
      </c>
      <c r="GD19" s="112"/>
      <c r="GE19" s="116"/>
      <c r="GF19" s="165">
        <f>IFERROR((((COUNTIF('Elève (3ème4)'!FZ19:GE19,"A"))*4)+((COUNTIF('Elève (3ème4)'!FZ19:GE19,"B"))*3)+((COUNTIF('Elève (3ème4)'!FZ19:GE19,"C"))*2)+((COUNTIF('Elève (3ème4)'!FZ19:GE19,"D"))*1))/(COUNTA(FZ19:GE19)),"")</f>
        <v>3</v>
      </c>
      <c r="GG19" s="166" t="str">
        <f t="shared" si="56"/>
        <v>B</v>
      </c>
      <c r="GH19" s="165">
        <f>IF(COUNT(FR19,FX19,GF19)=0,"",SUM(FR19,FX19,GF19)/COUNT(FR19,FX19,GF19))</f>
        <v>2.5</v>
      </c>
      <c r="GI19" s="188" t="str">
        <f t="shared" si="57"/>
        <v>C</v>
      </c>
      <c r="GJ19" s="110"/>
      <c r="GK19" s="111"/>
      <c r="GL19" s="112"/>
      <c r="GM19" s="165" t="str">
        <f>IFERROR((((COUNTIF('Elève (3ème4)'!GJ19:GL19,"A"))*4)+((COUNTIF('Elève (3ème4)'!GJ19:GL19,"B"))*3)+((COUNTIF('Elève (3ème4)'!GJ19:GL19,"C"))*2)+((COUNTIF('Elève (3ème4)'!GJ19:GL19,"D"))*1))/(COUNTA(GJ19:GL19)),"")</f>
        <v/>
      </c>
      <c r="GN19" s="166" t="str">
        <f t="shared" si="58"/>
        <v/>
      </c>
      <c r="GO19" s="110" t="s">
        <v>29</v>
      </c>
      <c r="GP19" s="111"/>
      <c r="GQ19" s="112"/>
      <c r="GR19" s="112"/>
      <c r="GS19" s="165">
        <f>IFERROR((((COUNTIF('Elève (3ème4)'!GO19:GR19,"A"))*4)+((COUNTIF('Elève (3ème4)'!GO19:GR19,"B"))*3)+((COUNTIF('Elève (3ème4)'!GO19:GR19,"C"))*2)+((COUNTIF('Elève (3ème4)'!GO19:GR19,"D"))*1))/(COUNTA(GO19:GR19)),"")</f>
        <v>2</v>
      </c>
      <c r="GT19" s="166" t="str">
        <f t="shared" si="59"/>
        <v>C</v>
      </c>
      <c r="GU19" s="110"/>
      <c r="GV19" s="111"/>
      <c r="GW19" s="112" t="s">
        <v>28</v>
      </c>
      <c r="GX19" s="112" t="s">
        <v>28</v>
      </c>
      <c r="GY19" s="112"/>
      <c r="GZ19" s="116"/>
      <c r="HA19" s="165">
        <f>IFERROR((((COUNTIF('Elève (3ème4)'!GU19:GZ19,"A"))*4)+((COUNTIF('Elève (3ème4)'!GU19:GZ19,"B"))*3)+((COUNTIF('Elève (3ème4)'!GU19:GZ19,"C"))*2)+((COUNTIF('Elève (3ème4)'!GU19:GZ19,"D"))*1))/(COUNTA(GU19:GZ19)),"")</f>
        <v>3</v>
      </c>
      <c r="HB19" s="166" t="str">
        <f t="shared" si="60"/>
        <v>B</v>
      </c>
      <c r="HC19" s="165">
        <f>IF(COUNT(GM19,GS19,HA19)=0,"",SUM(GM19,GS19,HA19)/COUNT(GM19,GS19,HA19))</f>
        <v>2.5</v>
      </c>
      <c r="HD19" s="188" t="str">
        <f t="shared" si="61"/>
        <v>C</v>
      </c>
      <c r="HE19" s="110"/>
      <c r="HF19" s="111"/>
      <c r="HG19" s="112"/>
      <c r="HH19" s="165" t="str">
        <f>IFERROR((((COUNTIF('Elève (3ème4)'!HE19:HG19,"A"))*4)+((COUNTIF('Elève (3ème4)'!HE19:HG19,"B"))*3)+((COUNTIF('Elève (3ème4)'!HE19:HG19,"C"))*2)+((COUNTIF('Elève (3ème4)'!HE19:HG19,"D"))*1))/(COUNTA(HE19:HG19)),"")</f>
        <v/>
      </c>
      <c r="HI19" s="166" t="str">
        <f t="shared" si="62"/>
        <v/>
      </c>
      <c r="HJ19" s="110" t="s">
        <v>29</v>
      </c>
      <c r="HK19" s="111"/>
      <c r="HL19" s="112"/>
      <c r="HM19" s="112"/>
      <c r="HN19" s="165">
        <f>IFERROR((((COUNTIF('Elève (3ème4)'!HJ19:HM19,"A"))*4)+((COUNTIF('Elève (3ème4)'!HJ19:HM19,"B"))*3)+((COUNTIF('Elève (3ème4)'!HJ19:HM19,"C"))*2)+((COUNTIF('Elève (3ème4)'!HJ19:HM19,"D"))*1))/(COUNTA(HJ19:HM19)),"")</f>
        <v>2</v>
      </c>
      <c r="HO19" s="166" t="str">
        <f t="shared" si="63"/>
        <v>C</v>
      </c>
      <c r="HP19" s="110"/>
      <c r="HQ19" s="111"/>
      <c r="HR19" s="112"/>
      <c r="HS19" s="112" t="s">
        <v>28</v>
      </c>
      <c r="HT19" s="112"/>
      <c r="HU19" s="116"/>
      <c r="HV19" s="165">
        <f>IFERROR((((COUNTIF('Elève (3ème4)'!HP19:HU19,"A"))*4)+((COUNTIF('Elève (3ème4)'!HP19:HU19,"B"))*3)+((COUNTIF('Elève (3ème4)'!HP19:HU19,"C"))*2)+((COUNTIF('Elève (3ème4)'!HP19:HU19,"D"))*1))/(COUNTA(HP19:HU19)),"")</f>
        <v>3</v>
      </c>
      <c r="HW19" s="166" t="str">
        <f t="shared" si="64"/>
        <v>B</v>
      </c>
      <c r="HX19" s="165">
        <f>IF(COUNT(HH19,HN19,HV19)=0,"",SUM(HH19,HN19,HV19)/COUNT(HH19,HN19,HV19))</f>
        <v>2.5</v>
      </c>
      <c r="HY19" s="188" t="str">
        <f t="shared" si="65"/>
        <v>C</v>
      </c>
      <c r="HZ19" s="110"/>
      <c r="IA19" s="111"/>
      <c r="IB19" s="112"/>
      <c r="IC19" s="165" t="str">
        <f>IFERROR((((COUNTIF('Elève (3ème4)'!HZ19:IB19,"A"))*4)+((COUNTIF('Elève (3ème4)'!HZ19:IB19,"B"))*3)+((COUNTIF('Elève (3ème4)'!HZ19:IB19,"C"))*2)+((COUNTIF('Elève (3ème4)'!HZ19:IB19,"D"))*1))/(COUNTA(HZ19:IB19)),"")</f>
        <v/>
      </c>
      <c r="ID19" s="166" t="str">
        <f t="shared" si="66"/>
        <v/>
      </c>
      <c r="IE19" s="110" t="s">
        <v>29</v>
      </c>
      <c r="IF19" s="111"/>
      <c r="IG19" s="112"/>
      <c r="IH19" s="112"/>
      <c r="II19" s="165">
        <f>IFERROR((((COUNTIF('Elève (3ème4)'!IE19:IH19,"A"))*4)+((COUNTIF('Elève (3ème4)'!IE19:IH19,"B"))*3)+((COUNTIF('Elève (3ème4)'!IE19:IH19,"C"))*2)+((COUNTIF('Elève (3ème4)'!IE19:IH19,"D"))*1))/(COUNTA(IE19:IH19)),"")</f>
        <v>2</v>
      </c>
      <c r="IJ19" s="166" t="str">
        <f t="shared" si="67"/>
        <v>C</v>
      </c>
      <c r="IK19" s="110"/>
      <c r="IL19" s="111"/>
      <c r="IM19" s="112"/>
      <c r="IN19" s="112" t="s">
        <v>29</v>
      </c>
      <c r="IO19" s="112"/>
      <c r="IP19" s="116"/>
      <c r="IQ19" s="165">
        <f>IFERROR((((COUNTIF('Elève (3ème4)'!IK19:IP19,"A"))*4)+((COUNTIF('Elève (3ème4)'!IK19:IP19,"B"))*3)+((COUNTIF('Elève (3ème4)'!IK19:IP19,"C"))*2)+((COUNTIF('Elève (3ème4)'!IK19:IP19,"D"))*1))/(COUNTA(IK19:IP19)),"")</f>
        <v>2</v>
      </c>
      <c r="IR19" s="166" t="str">
        <f t="shared" si="68"/>
        <v>C</v>
      </c>
      <c r="IS19" s="165">
        <f>IF(COUNT(IC19,II19,IQ19)=0,"",SUM(IC19,II19,IQ19)/COUNT(IC19,II19,IQ19))</f>
        <v>2</v>
      </c>
      <c r="IT19" s="188" t="str">
        <f t="shared" si="69"/>
        <v>C</v>
      </c>
      <c r="IU19" s="110"/>
      <c r="IV19" s="111"/>
      <c r="IW19" s="112"/>
      <c r="IX19" s="165" t="str">
        <f>IFERROR((((COUNTIF('Elève (3ème4)'!IU19:IW19,"A"))*4)+((COUNTIF('Elève (3ème4)'!IU19:IW19,"B"))*3)+((COUNTIF('Elève (3ème4)'!IU19:IW19,"C"))*2)+((COUNTIF('Elève (3ème4)'!IU19:IW19,"D"))*1))/(COUNTA(IU19:IW19)),"")</f>
        <v/>
      </c>
      <c r="IY19" s="166" t="str">
        <f t="shared" si="70"/>
        <v/>
      </c>
      <c r="IZ19" s="110" t="s">
        <v>29</v>
      </c>
      <c r="JA19" s="111"/>
      <c r="JB19" s="112"/>
      <c r="JC19" s="112"/>
      <c r="JD19" s="165">
        <f>IFERROR((((COUNTIF('Elève (3ème4)'!IZ19:JC19,"A"))*4)+((COUNTIF('Elève (3ème4)'!IZ19:JC19,"B"))*3)+((COUNTIF('Elève (3ème4)'!IZ19:JC19,"C"))*2)+((COUNTIF('Elève (3ème4)'!IZ19:JC19,"D"))*1))/(COUNTA(IZ19:JC19)),"")</f>
        <v>2</v>
      </c>
      <c r="JE19" s="166" t="str">
        <f t="shared" si="71"/>
        <v>C</v>
      </c>
      <c r="JF19" s="110"/>
      <c r="JG19" s="111"/>
      <c r="JH19" s="112" t="s">
        <v>29</v>
      </c>
      <c r="JI19" s="112" t="s">
        <v>29</v>
      </c>
      <c r="JJ19" s="112"/>
      <c r="JK19" s="116"/>
      <c r="JL19" s="165">
        <f>IFERROR((((COUNTIF('Elève (3ème4)'!JF19:JK19,"A"))*4)+((COUNTIF('Elève (3ème4)'!JF19:JK19,"B"))*3)+((COUNTIF('Elève (3ème4)'!JF19:JK19,"C"))*2)+((COUNTIF('Elève (3ème4)'!JF19:JK19,"D"))*1))/(COUNTA(JF19:JK19)),"")</f>
        <v>2</v>
      </c>
      <c r="JM19" s="166" t="str">
        <f t="shared" si="72"/>
        <v>C</v>
      </c>
      <c r="JN19" s="165">
        <f>IF(COUNT(IX19,JD19,JL19)=0,"",SUM(IX19,JD19,JL19)/COUNT(IX19,JD19,JL19))</f>
        <v>2</v>
      </c>
      <c r="JO19" s="188" t="str">
        <f t="shared" si="73"/>
        <v>C</v>
      </c>
      <c r="JP19" s="110"/>
      <c r="JQ19" s="111"/>
      <c r="JR19" s="112"/>
      <c r="JS19" s="165" t="str">
        <f>IFERROR((((COUNTIF('Elève (3ème4)'!JP19:JR19,"A"))*4)+((COUNTIF('Elève (3ème4)'!JP19:JR19,"B"))*3)+((COUNTIF('Elève (3ème4)'!JP19:JR19,"C"))*2)+((COUNTIF('Elève (3ème4)'!JP19:JR19,"D"))*1))/(COUNTA(JP19:JR19)),"")</f>
        <v/>
      </c>
      <c r="JT19" s="166" t="str">
        <f t="shared" si="74"/>
        <v/>
      </c>
      <c r="JU19" s="110" t="s">
        <v>29</v>
      </c>
      <c r="JV19" s="111"/>
      <c r="JW19" s="112"/>
      <c r="JX19" s="112"/>
      <c r="JY19" s="165">
        <f>IFERROR((((COUNTIF('Elève (3ème4)'!JU19:JX19,"A"))*4)+((COUNTIF('Elève (3ème4)'!JU19:JX19,"B"))*3)+((COUNTIF('Elève (3ème4)'!JU19:JX19,"C"))*2)+((COUNTIF('Elève (3ème4)'!JU19:JX19,"D"))*1))/(COUNTA(JU19:JX19)),"")</f>
        <v>2</v>
      </c>
      <c r="JZ19" s="166" t="str">
        <f t="shared" si="75"/>
        <v>C</v>
      </c>
      <c r="KA19" s="110"/>
      <c r="KB19" s="111"/>
      <c r="KC19" s="112"/>
      <c r="KD19" s="112" t="s">
        <v>29</v>
      </c>
      <c r="KE19" s="112"/>
      <c r="KF19" s="116"/>
      <c r="KG19" s="165">
        <f>IFERROR((((COUNTIF('Elève (3ème4)'!KA19:KF19,"A"))*4)+((COUNTIF('Elève (3ème4)'!KA19:KF19,"B"))*3)+((COUNTIF('Elève (3ème4)'!KA19:KF19,"C"))*2)+((COUNTIF('Elève (3ème4)'!KA19:KF19,"D"))*1))/(COUNTA(KA19:KF19)),"")</f>
        <v>2</v>
      </c>
      <c r="KH19" s="166" t="str">
        <f t="shared" si="76"/>
        <v>C</v>
      </c>
      <c r="KI19" s="165">
        <f>IF(COUNT(JS19,JY19,KG19)=0,"",SUM(JS19,JY19,KG19)/COUNT(JS19,JY19,KG19))</f>
        <v>2</v>
      </c>
      <c r="KJ19" s="188" t="str">
        <f t="shared" si="77"/>
        <v>C</v>
      </c>
      <c r="KK19" s="110"/>
      <c r="KL19" s="111"/>
      <c r="KM19" s="112"/>
      <c r="KN19" s="165" t="str">
        <f>IFERROR((((COUNTIF('Elève (3ème4)'!KK19:KM19,"A"))*4)+((COUNTIF('Elève (3ème4)'!KK19:KM19,"B"))*3)+((COUNTIF('Elève (3ème4)'!KK19:KM19,"C"))*2)+((COUNTIF('Elève (3ème4)'!KK19:KM19,"D"))*1))/(COUNTA(KK19:KM19)),"")</f>
        <v/>
      </c>
      <c r="KO19" s="166" t="str">
        <f t="shared" si="78"/>
        <v/>
      </c>
      <c r="KP19" s="110" t="s">
        <v>29</v>
      </c>
      <c r="KQ19" s="111"/>
      <c r="KR19" s="112"/>
      <c r="KS19" s="112"/>
      <c r="KT19" s="165">
        <f>IFERROR((((COUNTIF('Elève (3ème4)'!KP19:KS19,"A"))*4)+((COUNTIF('Elève (3ème4)'!KP19:KS19,"B"))*3)+((COUNTIF('Elève (3ème4)'!KP19:KS19,"C"))*2)+((COUNTIF('Elève (3ème4)'!KP19:KS19,"D"))*1))/(COUNTA(KP19:KS19)),"")</f>
        <v>2</v>
      </c>
      <c r="KU19" s="166" t="str">
        <f t="shared" si="79"/>
        <v>C</v>
      </c>
      <c r="KV19" s="110"/>
      <c r="KW19" s="111"/>
      <c r="KX19" s="112"/>
      <c r="KY19" s="112" t="s">
        <v>28</v>
      </c>
      <c r="KZ19" s="112"/>
      <c r="LA19" s="116"/>
      <c r="LB19" s="165">
        <f>IFERROR((((COUNTIF('Elève (3ème4)'!KV19:LA19,"A"))*4)+((COUNTIF('Elève (3ème4)'!KV19:LA19,"B"))*3)+((COUNTIF('Elève (3ème4)'!KV19:LA19,"C"))*2)+((COUNTIF('Elève (3ème4)'!KV19:LA19,"D"))*1))/(COUNTA(KV19:LA19)),"")</f>
        <v>3</v>
      </c>
      <c r="LC19" s="166" t="str">
        <f t="shared" si="80"/>
        <v>B</v>
      </c>
      <c r="LD19" s="165">
        <f>IF(COUNT(KN19,KT19,LB19)=0,"",SUM(KN19,KT19,LB19)/COUNT(KN19,KT19,LB19))</f>
        <v>2.5</v>
      </c>
      <c r="LE19" s="188" t="str">
        <f t="shared" si="81"/>
        <v>C</v>
      </c>
      <c r="LF19" s="110"/>
      <c r="LG19" s="111"/>
      <c r="LH19" s="112"/>
      <c r="LI19" s="165" t="str">
        <f>IFERROR((((COUNTIF('Elève (3ème4)'!LF19:LH19,"A"))*4)+((COUNTIF('Elève (3ème4)'!LF19:LH19,"B"))*3)+((COUNTIF('Elève (3ème4)'!LF19:LH19,"C"))*2)+((COUNTIF('Elève (3ème4)'!LF19:LH19,"D"))*1))/(COUNTA(LF19:LH19)),"")</f>
        <v/>
      </c>
      <c r="LJ19" s="166" t="str">
        <f t="shared" si="82"/>
        <v/>
      </c>
      <c r="LK19" s="110" t="s">
        <v>29</v>
      </c>
      <c r="LL19" s="111"/>
      <c r="LM19" s="112"/>
      <c r="LN19" s="112"/>
      <c r="LO19" s="165">
        <f>IFERROR((((COUNTIF('Elève (3ème4)'!LK19:LN19,"A"))*4)+((COUNTIF('Elève (3ème4)'!LK19:LN19,"B"))*3)+((COUNTIF('Elève (3ème4)'!LK19:LN19,"C"))*2)+((COUNTIF('Elève (3ème4)'!LK19:LN19,"D"))*1))/(COUNTA(LK19:LN19)),"")</f>
        <v>2</v>
      </c>
      <c r="LP19" s="166" t="str">
        <f t="shared" si="83"/>
        <v>C</v>
      </c>
      <c r="LQ19" s="110"/>
      <c r="LR19" s="111"/>
      <c r="LS19" s="112"/>
      <c r="LT19" s="112" t="s">
        <v>28</v>
      </c>
      <c r="LU19" s="112"/>
      <c r="LV19" s="116"/>
      <c r="LW19" s="165">
        <f>IFERROR((((COUNTIF('Elève (3ème4)'!LQ19:LV19,"A"))*4)+((COUNTIF('Elève (3ème4)'!LQ19:LV19,"B"))*3)+((COUNTIF('Elève (3ème4)'!LQ19:LV19,"C"))*2)+((COUNTIF('Elève (3ème4)'!LQ19:LV19,"D"))*1))/(COUNTA(LQ19:LV19)),"")</f>
        <v>3</v>
      </c>
      <c r="LX19" s="166" t="str">
        <f t="shared" si="84"/>
        <v>B</v>
      </c>
      <c r="LY19" s="165">
        <f>IF(COUNT(LI19,LO19,LW19)=0,"",SUM(LI19,LO19,LW19)/COUNT(LI19,LO19,LW19))</f>
        <v>2.5</v>
      </c>
      <c r="LZ19" s="188" t="str">
        <f t="shared" si="85"/>
        <v>C</v>
      </c>
      <c r="MA19" s="110"/>
      <c r="MB19" s="111"/>
      <c r="MC19" s="112"/>
      <c r="MD19" s="165" t="str">
        <f>IFERROR((((COUNTIF('Elève (3ème4)'!MA19:MC19,"A"))*4)+((COUNTIF('Elève (3ème4)'!MA19:MC19,"B"))*3)+((COUNTIF('Elève (3ème4)'!MA19:MC19,"C"))*2)+((COUNTIF('Elève (3ème4)'!MA19:MC19,"D"))*1))/(COUNTA(MA19:MC19)),"")</f>
        <v/>
      </c>
      <c r="ME19" s="166" t="str">
        <f t="shared" si="86"/>
        <v/>
      </c>
      <c r="MF19" s="110" t="s">
        <v>28</v>
      </c>
      <c r="MG19" s="111"/>
      <c r="MH19" s="112"/>
      <c r="MI19" s="112"/>
      <c r="MJ19" s="165">
        <f>IFERROR((((COUNTIF('Elève (3ème4)'!MF19:MI19,"A"))*4)+((COUNTIF('Elève (3ème4)'!MF19:MI19,"B"))*3)+((COUNTIF('Elève (3ème4)'!MF19:MI19,"C"))*2)+((COUNTIF('Elève (3ème4)'!MF19:MI19,"D"))*1))/(COUNTA(MF19:MI19)),"")</f>
        <v>3</v>
      </c>
      <c r="MK19" s="166" t="str">
        <f t="shared" si="87"/>
        <v>B</v>
      </c>
      <c r="ML19" s="110"/>
      <c r="MM19" s="111"/>
      <c r="MN19" s="112"/>
      <c r="MO19" s="112" t="s">
        <v>28</v>
      </c>
      <c r="MP19" s="112"/>
      <c r="MQ19" s="116"/>
      <c r="MR19" s="165">
        <f>IFERROR((((COUNTIF('Elève (3ème4)'!ML19:MQ19,"A"))*4)+((COUNTIF('Elève (3ème4)'!ML19:MQ19,"B"))*3)+((COUNTIF('Elève (3ème4)'!ML19:MQ19,"C"))*2)+((COUNTIF('Elève (3ème4)'!ML19:MQ19,"D"))*1))/(COUNTA(ML19:MQ19)),"")</f>
        <v>3</v>
      </c>
      <c r="MS19" s="166" t="str">
        <f t="shared" si="88"/>
        <v>B</v>
      </c>
      <c r="MT19" s="165">
        <f>IF(COUNT(MD19,MJ19,MR19)=0,"",SUM(MD19,MJ19,MR19)/COUNT(MD19,MJ19,MR19))</f>
        <v>3</v>
      </c>
      <c r="MU19" s="188" t="str">
        <f t="shared" si="89"/>
        <v>B</v>
      </c>
      <c r="MV19" s="110"/>
      <c r="MW19" s="111"/>
      <c r="MX19" s="112"/>
      <c r="MY19" s="165" t="str">
        <f>IFERROR((((COUNTIF('Elève (3ème4)'!MV19:MX19,"A"))*4)+((COUNTIF('Elève (3ème4)'!MV19:MX19,"B"))*3)+((COUNTIF('Elève (3ème4)'!MV19:MX19,"C"))*2)+((COUNTIF('Elève (3ème4)'!MV19:MX19,"D"))*1))/(COUNTA(MV19:MX19)),"")</f>
        <v/>
      </c>
      <c r="MZ19" s="166" t="str">
        <f t="shared" si="90"/>
        <v/>
      </c>
      <c r="NA19" s="110" t="s">
        <v>29</v>
      </c>
      <c r="NB19" s="111"/>
      <c r="NC19" s="112"/>
      <c r="ND19" s="112"/>
      <c r="NE19" s="165">
        <f>IFERROR((((COUNTIF('Elève (3ème4)'!NA19:ND19,"A"))*4)+((COUNTIF('Elève (3ème4)'!NA19:ND19,"B"))*3)+((COUNTIF('Elève (3ème4)'!NA19:ND19,"C"))*2)+((COUNTIF('Elève (3ème4)'!NA19:ND19,"D"))*1))/(COUNTA(NA19:ND19)),"")</f>
        <v>2</v>
      </c>
      <c r="NF19" s="166" t="str">
        <f t="shared" si="91"/>
        <v>C</v>
      </c>
      <c r="NG19" s="110"/>
      <c r="NH19" s="111"/>
      <c r="NI19" s="112" t="s">
        <v>29</v>
      </c>
      <c r="NJ19" s="112" t="s">
        <v>28</v>
      </c>
      <c r="NK19" s="112"/>
      <c r="NL19" s="116"/>
      <c r="NM19" s="165">
        <f>IFERROR((((COUNTIF('Elève (3ème4)'!NG19:NL19,"A"))*4)+((COUNTIF('Elève (3ème4)'!NG19:NL19,"B"))*3)+((COUNTIF('Elève (3ème4)'!NG19:NL19,"C"))*2)+((COUNTIF('Elève (3ème4)'!NG19:NL19,"D"))*1))/(COUNTA(NG19:NL19)),"")</f>
        <v>2.5</v>
      </c>
      <c r="NN19" s="166" t="str">
        <f t="shared" si="92"/>
        <v>C</v>
      </c>
      <c r="NO19" s="165">
        <f>IF(COUNT(MY19,NE19,NM19)=0,"",SUM(MY19,NE19,NM19)/COUNT(MY19,NE19,NM19))</f>
        <v>2.25</v>
      </c>
      <c r="NP19" s="188" t="str">
        <f t="shared" si="93"/>
        <v>C</v>
      </c>
      <c r="NQ19" s="110"/>
      <c r="NR19" s="111"/>
      <c r="NS19" s="112"/>
      <c r="NT19" s="165" t="str">
        <f>IFERROR((((COUNTIF('Elève (3ème4)'!NQ19:NS19,"A"))*4)+((COUNTIF('Elève (3ème4)'!NQ19:NS19,"B"))*3)+((COUNTIF('Elève (3ème4)'!NQ19:NS19,"C"))*2)+((COUNTIF('Elève (3ème4)'!NQ19:NS19,"D"))*1))/(COUNTA(NQ19:NS19)),"")</f>
        <v/>
      </c>
      <c r="NU19" s="166" t="str">
        <f t="shared" si="94"/>
        <v/>
      </c>
      <c r="NV19" s="110" t="s">
        <v>29</v>
      </c>
      <c r="NW19" s="111"/>
      <c r="NX19" s="112"/>
      <c r="NY19" s="112"/>
      <c r="NZ19" s="165">
        <f>IFERROR((((COUNTIF('Elève (3ème4)'!NV19:NY19,"A"))*4)+((COUNTIF('Elève (3ème4)'!NV19:NY19,"B"))*3)+((COUNTIF('Elève (3ème4)'!NV19:NY19,"C"))*2)+((COUNTIF('Elève (3ème4)'!NV19:NY19,"D"))*1))/(COUNTA(NV19:NY19)),"")</f>
        <v>2</v>
      </c>
      <c r="OA19" s="166" t="str">
        <f t="shared" si="95"/>
        <v>C</v>
      </c>
      <c r="OB19" s="110"/>
      <c r="OC19" s="111"/>
      <c r="OD19" s="112" t="s">
        <v>29</v>
      </c>
      <c r="OE19" s="112" t="s">
        <v>29</v>
      </c>
      <c r="OF19" s="112"/>
      <c r="OG19" s="116"/>
      <c r="OH19" s="165">
        <f>IFERROR((((COUNTIF('Elève (3ème4)'!OB19:OG19,"A"))*4)+((COUNTIF('Elève (3ème4)'!OB19:OG19,"B"))*3)+((COUNTIF('Elève (3ème4)'!OB19:OG19,"C"))*2)+((COUNTIF('Elève (3ème4)'!OB19:OG19,"D"))*1))/(COUNTA(OB19:OG19)),"")</f>
        <v>2</v>
      </c>
      <c r="OI19" s="166" t="str">
        <f t="shared" si="96"/>
        <v>C</v>
      </c>
      <c r="OJ19" s="165">
        <f>IF(COUNT(NT19,NZ19,OH19)=0,"",SUM(NT19,NZ19,OH19)/COUNT(NT19,NZ19,OH19))</f>
        <v>2</v>
      </c>
      <c r="OK19" s="188" t="str">
        <f t="shared" si="97"/>
        <v>C</v>
      </c>
      <c r="OL19" s="110"/>
      <c r="OM19" s="111"/>
      <c r="ON19" s="112"/>
      <c r="OO19" s="165" t="str">
        <f>IFERROR((((COUNTIF('Elève (3ème4)'!OL19:ON19,"A"))*4)+((COUNTIF('Elève (3ème4)'!OL19:ON19,"B"))*3)+((COUNTIF('Elève (3ème4)'!OL19:ON19,"C"))*2)+((COUNTIF('Elève (3ème4)'!OL19:ON19,"D"))*1))/(COUNTA(OL19:ON19)),"")</f>
        <v/>
      </c>
      <c r="OP19" s="166" t="str">
        <f t="shared" si="98"/>
        <v/>
      </c>
      <c r="OQ19" s="110"/>
      <c r="OR19" s="111"/>
      <c r="OS19" s="112"/>
      <c r="OT19" s="112"/>
      <c r="OU19" s="165" t="str">
        <f>IFERROR((((COUNTIF('Elève (3ème4)'!OQ19:OT19,"A"))*4)+((COUNTIF('Elève (3ème4)'!OQ19:OT19,"B"))*3)+((COUNTIF('Elève (3ème4)'!OQ19:OT19,"C"))*2)+((COUNTIF('Elève (3ème4)'!OQ19:OT19,"D"))*1))/(COUNTA(OQ19:OT19)),"")</f>
        <v/>
      </c>
      <c r="OV19" s="166" t="str">
        <f t="shared" si="99"/>
        <v/>
      </c>
      <c r="OW19" s="110"/>
      <c r="OX19" s="111"/>
      <c r="OY19" s="112" t="s">
        <v>28</v>
      </c>
      <c r="OZ19" s="112" t="s">
        <v>29</v>
      </c>
      <c r="PA19" s="112"/>
      <c r="PB19" s="116"/>
      <c r="PC19" s="165">
        <f>IFERROR((((COUNTIF('Elève (3ème4)'!OW19:PB19,"A"))*4)+((COUNTIF('Elève (3ème4)'!OW19:PB19,"B"))*3)+((COUNTIF('Elève (3ème4)'!OW19:PB19,"C"))*2)+((COUNTIF('Elève (3ème4)'!OW19:PB19,"D"))*1))/(COUNTA(OW19:PB19)),"")</f>
        <v>2.5</v>
      </c>
      <c r="PD19" s="166" t="str">
        <f t="shared" si="100"/>
        <v>C</v>
      </c>
      <c r="PE19" s="165">
        <f>IF(COUNT(OO19,OU19,PC19)=0,"",SUM(OO19,OU19,PC19)/COUNT(OO19,OU19,PC19))</f>
        <v>2.5</v>
      </c>
      <c r="PF19" s="188" t="str">
        <f t="shared" si="101"/>
        <v>C</v>
      </c>
      <c r="PG19" s="110"/>
      <c r="PH19" s="111"/>
      <c r="PI19" s="112"/>
      <c r="PJ19" s="165" t="str">
        <f>IFERROR((((COUNTIF('Elève (3ème4)'!PG19:PI19,"A"))*4)+((COUNTIF('Elève (3ème4)'!PG19:PI19,"B"))*3)+((COUNTIF('Elève (3ème4)'!PG19:PI19,"C"))*2)+((COUNTIF('Elève (3ème4)'!PG19:PI19,"D"))*1))/(COUNTA(PG19:PI19)),"")</f>
        <v/>
      </c>
      <c r="PK19" s="166" t="str">
        <f t="shared" si="102"/>
        <v/>
      </c>
      <c r="PL19" s="110" t="s">
        <v>29</v>
      </c>
      <c r="PM19" s="111"/>
      <c r="PN19" s="112"/>
      <c r="PO19" s="112"/>
      <c r="PP19" s="165">
        <f>IFERROR((((COUNTIF('Elève (3ème4)'!PL19:PO19,"A"))*4)+((COUNTIF('Elève (3ème4)'!PL19:PO19,"B"))*3)+((COUNTIF('Elève (3ème4)'!PL19:PO19,"C"))*2)+((COUNTIF('Elève (3ème4)'!PL19:PO19,"D"))*1))/(COUNTA(PL19:PO19)),"")</f>
        <v>2</v>
      </c>
      <c r="PQ19" s="166" t="str">
        <f t="shared" si="103"/>
        <v>C</v>
      </c>
      <c r="PR19" s="110"/>
      <c r="PS19" s="111"/>
      <c r="PT19" s="112" t="s">
        <v>28</v>
      </c>
      <c r="PU19" s="112" t="s">
        <v>29</v>
      </c>
      <c r="PV19" s="112"/>
      <c r="PW19" s="116"/>
      <c r="PX19" s="165">
        <f>IFERROR((((COUNTIF('Elève (3ème4)'!PR19:PW19,"A"))*4)+((COUNTIF('Elève (3ème4)'!PR19:PW19,"B"))*3)+((COUNTIF('Elève (3ème4)'!PR19:PW19,"C"))*2)+((COUNTIF('Elève (3ème4)'!PR19:PW19,"D"))*1))/(COUNTA(PR19:PW19)),"")</f>
        <v>2.5</v>
      </c>
      <c r="PY19" s="166" t="str">
        <f t="shared" si="104"/>
        <v>C</v>
      </c>
      <c r="PZ19" s="165">
        <f>IF(COUNT(PJ19,PP19,PX19)=0,"",SUM(PJ19,PP19,PX19)/COUNT(PJ19,PP19,PX19))</f>
        <v>2.25</v>
      </c>
      <c r="QA19" s="188" t="str">
        <f t="shared" si="105"/>
        <v>C</v>
      </c>
      <c r="QB19" s="110"/>
      <c r="QC19" s="111"/>
      <c r="QD19" s="112"/>
      <c r="QE19" s="165" t="str">
        <f>IFERROR((((COUNTIF('Elève (3ème4)'!QB19:QD19,"A"))*4)+((COUNTIF('Elève (3ème4)'!QB19:QD19,"B"))*3)+((COUNTIF('Elève (3ème4)'!QB19:QD19,"C"))*2)+((COUNTIF('Elève (3ème4)'!QB19:QD19,"D"))*1))/(COUNTA(QB19:QD19)),"")</f>
        <v/>
      </c>
      <c r="QF19" s="166" t="str">
        <f t="shared" si="106"/>
        <v/>
      </c>
      <c r="QG19" s="110" t="s">
        <v>28</v>
      </c>
      <c r="QH19" s="111"/>
      <c r="QI19" s="112"/>
      <c r="QJ19" s="112"/>
      <c r="QK19" s="165">
        <f>IFERROR((((COUNTIF('Elève (3ème4)'!QG19:QJ19,"A"))*4)+((COUNTIF('Elève (3ème4)'!QG19:QJ19,"B"))*3)+((COUNTIF('Elève (3ème4)'!QG19:QJ19,"C"))*2)+((COUNTIF('Elève (3ème4)'!QG19:QJ19,"D"))*1))/(COUNTA(QG19:QJ19)),"")</f>
        <v>3</v>
      </c>
      <c r="QL19" s="166" t="str">
        <f t="shared" si="107"/>
        <v>B</v>
      </c>
      <c r="QM19" s="110"/>
      <c r="QN19" s="111"/>
      <c r="QO19" s="112" t="s">
        <v>28</v>
      </c>
      <c r="QP19" s="112" t="s">
        <v>29</v>
      </c>
      <c r="QQ19" s="112"/>
      <c r="QR19" s="116"/>
      <c r="QS19" s="165">
        <f>IFERROR((((COUNTIF('Elève (3ème4)'!QM19:QR19,"A"))*4)+((COUNTIF('Elève (3ème4)'!QM19:QR19,"B"))*3)+((COUNTIF('Elève (3ème4)'!QM19:QR19,"C"))*2)+((COUNTIF('Elève (3ème4)'!QM19:QR19,"D"))*1))/(COUNTA(QM19:QR19)),"")</f>
        <v>2.5</v>
      </c>
      <c r="QT19" s="166" t="str">
        <f t="shared" si="108"/>
        <v>C</v>
      </c>
      <c r="QU19" s="165">
        <f>IF(COUNT(QE19,QK19,QS19)=0,"",SUM(QE19,QK19,QS19)/COUNT(QE19,QK19,QS19))</f>
        <v>2.75</v>
      </c>
      <c r="QV19" s="188" t="str">
        <f t="shared" si="109"/>
        <v>C</v>
      </c>
      <c r="QW19" s="110"/>
      <c r="QX19" s="111"/>
      <c r="QY19" s="112"/>
      <c r="QZ19" s="165" t="str">
        <f>IFERROR((((COUNTIF('Elève (3ème4)'!QW19:QY19,"A"))*4)+((COUNTIF('Elève (3ème4)'!QW19:QY19,"B"))*3)+((COUNTIF('Elève (3ème4)'!QW19:QY19,"C"))*2)+((COUNTIF('Elève (3ème4)'!QW19:QY19,"D"))*1))/(COUNTA(QW19:QY19)),"")</f>
        <v/>
      </c>
      <c r="RA19" s="166" t="str">
        <f t="shared" si="110"/>
        <v/>
      </c>
      <c r="RB19" s="110" t="s">
        <v>29</v>
      </c>
      <c r="RC19" s="111"/>
      <c r="RD19" s="112"/>
      <c r="RE19" s="112"/>
      <c r="RF19" s="165">
        <f>IFERROR((((COUNTIF('Elève (3ème4)'!RB19:RE19,"A"))*4)+((COUNTIF('Elève (3ème4)'!RB19:RE19,"B"))*3)+((COUNTIF('Elève (3ème4)'!RB19:RE19,"C"))*2)+((COUNTIF('Elève (3ème4)'!RB19:RE19,"D"))*1))/(COUNTA(RB19:RE19)),"")</f>
        <v>2</v>
      </c>
      <c r="RG19" s="166" t="str">
        <f t="shared" si="111"/>
        <v>C</v>
      </c>
      <c r="RH19" s="110"/>
      <c r="RI19" s="111"/>
      <c r="RJ19" s="112"/>
      <c r="RK19" s="112" t="s">
        <v>29</v>
      </c>
      <c r="RL19" s="112"/>
      <c r="RM19" s="116"/>
      <c r="RN19" s="165">
        <f>IFERROR((((COUNTIF('Elève (3ème4)'!RH19:RM19,"A"))*4)+((COUNTIF('Elève (3ème4)'!RH19:RM19,"B"))*3)+((COUNTIF('Elève (3ème4)'!RH19:RM19,"C"))*2)+((COUNTIF('Elève (3ème4)'!RH19:RM19,"D"))*1))/(COUNTA(RH19:RM19)),"")</f>
        <v>2</v>
      </c>
      <c r="RO19" s="166" t="str">
        <f t="shared" si="112"/>
        <v>C</v>
      </c>
      <c r="RP19" s="165">
        <f>IF(COUNT(QZ19,RF19,RN19)=0,"",SUM(QZ19,RF19,RN19)/COUNT(QZ19,RF19,RN19))</f>
        <v>2</v>
      </c>
      <c r="RQ19" s="188" t="str">
        <f t="shared" si="113"/>
        <v>C</v>
      </c>
      <c r="RR19" s="110"/>
      <c r="RS19" s="111"/>
      <c r="RT19" s="112"/>
      <c r="RU19" s="165" t="str">
        <f>IFERROR((((COUNTIF('Elève (3ème4)'!RR19:RT19,"A"))*4)+((COUNTIF('Elève (3ème4)'!RR19:RT19,"B"))*3)+((COUNTIF('Elève (3ème4)'!RR19:RT19,"C"))*2)+((COUNTIF('Elève (3ème4)'!RR19:RT19,"D"))*1))/(COUNTA(RR19:RT19)),"")</f>
        <v/>
      </c>
      <c r="RV19" s="166" t="str">
        <f t="shared" si="114"/>
        <v/>
      </c>
      <c r="RW19" s="110" t="s">
        <v>29</v>
      </c>
      <c r="RX19" s="111"/>
      <c r="RY19" s="112"/>
      <c r="RZ19" s="112"/>
      <c r="SA19" s="165">
        <f>IFERROR((((COUNTIF('Elève (3ème4)'!RW19:RZ19,"A"))*4)+((COUNTIF('Elève (3ème4)'!RW19:RZ19,"B"))*3)+((COUNTIF('Elève (3ème4)'!RW19:RZ19,"C"))*2)+((COUNTIF('Elève (3ème4)'!RW19:RZ19,"D"))*1))/(COUNTA(RW19:RZ19)),"")</f>
        <v>2</v>
      </c>
      <c r="SB19" s="166" t="str">
        <f t="shared" si="115"/>
        <v>C</v>
      </c>
      <c r="SC19" s="110"/>
      <c r="SD19" s="111"/>
      <c r="SE19" s="112"/>
      <c r="SF19" s="112" t="s">
        <v>29</v>
      </c>
      <c r="SG19" s="112"/>
      <c r="SH19" s="116"/>
      <c r="SI19" s="165">
        <f>IFERROR((((COUNTIF('Elève (3ème4)'!SC19:SH19,"A"))*4)+((COUNTIF('Elève (3ème4)'!SC19:SH19,"B"))*3)+((COUNTIF('Elève (3ème4)'!SC19:SH19,"C"))*2)+((COUNTIF('Elève (3ème4)'!SC19:SH19,"D"))*1))/(COUNTA(SC19:SH19)),"")</f>
        <v>2</v>
      </c>
      <c r="SJ19" s="166" t="str">
        <f t="shared" si="116"/>
        <v>C</v>
      </c>
      <c r="SK19" s="165">
        <f>IF(COUNT(RU19,SA19,SI19)=0,"",SUM(RU19,SA19,SI19)/COUNT(RU19,SA19,SI19))</f>
        <v>2</v>
      </c>
      <c r="SL19" s="188" t="str">
        <f t="shared" si="117"/>
        <v>C</v>
      </c>
      <c r="SM19" s="110"/>
      <c r="SN19" s="111"/>
      <c r="SO19" s="112"/>
      <c r="SP19" s="113" t="str">
        <f>IFERROR((((COUNTIF('Elève (3ème4)'!SM19:SO19,"A"))*4)+((COUNTIF('Elève (3ème4)'!SM19:SO19,"B"))*3)+((COUNTIF('Elève (3ème4)'!SM19:SO19,"C"))*2)+((COUNTIF('Elève (3ème4)'!SM19:SO19,"D"))*1))/(COUNTA(SM19:SO19)),"")</f>
        <v/>
      </c>
      <c r="SQ19" s="114" t="str">
        <f t="shared" si="118"/>
        <v/>
      </c>
      <c r="SR19" s="110"/>
      <c r="SS19" s="111"/>
      <c r="ST19" s="112"/>
      <c r="SU19" s="113" t="str">
        <f>IFERROR((((COUNTIF('Elève (3ème4)'!SR19:ST19,"A"))*4)+((COUNTIF('Elève (3ème4)'!SR19:ST19,"B"))*3)+((COUNTIF('Elève (3ème4)'!SR19:ST19,"C"))*2)+((COUNTIF('Elève (3ème4)'!SR19:ST19,"D"))*1))/(COUNTA(SR19:ST19)),"")</f>
        <v/>
      </c>
      <c r="SV19" s="114" t="str">
        <f t="shared" si="119"/>
        <v/>
      </c>
      <c r="SW19" s="110"/>
      <c r="SX19" s="111"/>
      <c r="SY19" s="116"/>
      <c r="SZ19" s="113" t="str">
        <f>IFERROR((((COUNTIF('Elève (3ème4)'!SW19:SY19,"A"))*4)+((COUNTIF('Elève (3ème4)'!SW19:SY19,"B"))*3)+((COUNTIF('Elève (3ème4)'!SW19:SY19,"C"))*2)+((COUNTIF('Elève (3ème4)'!SW19:SY19,"D"))*1))/(COUNTA(SW19:SY19)),"")</f>
        <v/>
      </c>
      <c r="TA19" s="114" t="str">
        <f t="shared" si="120"/>
        <v/>
      </c>
      <c r="TB19" s="113" t="str">
        <f>IF(COUNT(SP19,SU19,SZ19)=0,"",SUM(SP19,SU19,SZ19)/COUNT(SP19,SU19,SZ19))</f>
        <v/>
      </c>
      <c r="TC19" s="115" t="str">
        <f t="shared" si="121"/>
        <v/>
      </c>
      <c r="TD19" s="110"/>
      <c r="TE19" s="111"/>
      <c r="TF19" s="112"/>
      <c r="TG19" s="113" t="str">
        <f>IFERROR((((COUNTIF('Elève (3ème4)'!TD19:TF19,"A"))*4)+((COUNTIF('Elève (3ème4)'!TD19:TF19,"B"))*3)+((COUNTIF('Elève (3ème4)'!TD19:TF19,"C"))*2)+((COUNTIF('Elève (3ème4)'!TD19:TF19,"D"))*1))/(COUNTA(TD19:TF19)),"")</f>
        <v/>
      </c>
      <c r="TH19" s="114" t="str">
        <f t="shared" si="122"/>
        <v/>
      </c>
      <c r="TI19" s="110"/>
      <c r="TJ19" s="111"/>
      <c r="TK19" s="112"/>
      <c r="TL19" s="113" t="str">
        <f>IFERROR((((COUNTIF('Elève (3ème4)'!TI19:TK19,"A"))*4)+((COUNTIF('Elève (3ème4)'!TI19:TK19,"B"))*3)+((COUNTIF('Elève (3ème4)'!TI19:TK19,"C"))*2)+((COUNTIF('Elève (3ème4)'!TI19:TK19,"D"))*1))/(COUNTA(TI19:TK19)),"")</f>
        <v/>
      </c>
      <c r="TM19" s="114" t="str">
        <f t="shared" si="123"/>
        <v/>
      </c>
      <c r="TN19" s="110"/>
      <c r="TO19" s="111"/>
      <c r="TP19" s="116"/>
      <c r="TQ19" s="113" t="str">
        <f>IFERROR((((COUNTIF('Elève (3ème4)'!TN19:TP19,"A"))*4)+((COUNTIF('Elève (3ème4)'!TN19:TP19,"B"))*3)+((COUNTIF('Elève (3ème4)'!TN19:TP19,"C"))*2)+((COUNTIF('Elève (3ème4)'!TN19:TP19,"D"))*1))/(COUNTA(TN19:TP19)),"")</f>
        <v/>
      </c>
      <c r="TR19" s="114" t="str">
        <f t="shared" si="124"/>
        <v/>
      </c>
      <c r="TS19" s="113" t="str">
        <f>IF(COUNT(TG19,TL19,TQ19)=0,"",SUM(TG19,TL19,TQ19)/COUNT(TG19,TL19,TQ19))</f>
        <v/>
      </c>
      <c r="TT19" s="115" t="str">
        <f t="shared" si="125"/>
        <v/>
      </c>
      <c r="TU19" s="110"/>
      <c r="TV19" s="111"/>
      <c r="TW19" s="112"/>
      <c r="TX19" s="113" t="str">
        <f>IFERROR((((COUNTIF('Elève (3ème4)'!TU19:TW19,"A"))*4)+((COUNTIF('Elève (3ème4)'!TU19:TW19,"B"))*3)+((COUNTIF('Elève (3ème4)'!TU19:TW19,"C"))*2)+((COUNTIF('Elève (3ème4)'!TU19:TW19,"D"))*1))/(COUNTA(TU19:TW19)),"")</f>
        <v/>
      </c>
      <c r="TY19" s="114" t="str">
        <f t="shared" si="126"/>
        <v/>
      </c>
      <c r="TZ19" s="110"/>
      <c r="UA19" s="111"/>
      <c r="UB19" s="112"/>
      <c r="UC19" s="113" t="str">
        <f>IFERROR((((COUNTIF('Elève (3ème4)'!TZ19:UB19,"A"))*4)+((COUNTIF('Elève (3ème4)'!TZ19:UB19,"B"))*3)+((COUNTIF('Elève (3ème4)'!TZ19:UB19,"C"))*2)+((COUNTIF('Elève (3ème4)'!TZ19:UB19,"D"))*1))/(COUNTA(TZ19:UB19)),"")</f>
        <v/>
      </c>
      <c r="UD19" s="114" t="str">
        <f t="shared" si="127"/>
        <v/>
      </c>
      <c r="UE19" s="110"/>
      <c r="UF19" s="111"/>
      <c r="UG19" s="116"/>
      <c r="UH19" s="113" t="str">
        <f>IFERROR((((COUNTIF('Elève (3ème4)'!UE19:UG19,"A"))*4)+((COUNTIF('Elève (3ème4)'!UE19:UG19,"B"))*3)+((COUNTIF('Elève (3ème4)'!UE19:UG19,"C"))*2)+((COUNTIF('Elève (3ème4)'!UE19:UG19,"D"))*1))/(COUNTA(UE19:UG19)),"")</f>
        <v/>
      </c>
      <c r="UI19" s="114" t="str">
        <f t="shared" si="128"/>
        <v/>
      </c>
      <c r="UJ19" s="113" t="str">
        <f>IF(COUNT(TX19,UC19,UH19)=0,"",SUM(TX19,UC19,UH19)/COUNT(TX19,UC19,UH19))</f>
        <v/>
      </c>
      <c r="UK19" s="115" t="str">
        <f t="shared" si="129"/>
        <v/>
      </c>
      <c r="UL19" s="110"/>
      <c r="UM19" s="111"/>
      <c r="UN19" s="112"/>
      <c r="UO19" s="113" t="str">
        <f>IFERROR((((COUNTIF('Elève (3ème4)'!UL19:UN19,"A"))*4)+((COUNTIF('Elève (3ème4)'!UL19:UN19,"B"))*3)+((COUNTIF('Elève (3ème4)'!UL19:UN19,"C"))*2)+((COUNTIF('Elève (3ème4)'!UL19:UN19,"D"))*1))/(COUNTA(UL19:UN19)),"")</f>
        <v/>
      </c>
      <c r="UP19" s="114" t="str">
        <f t="shared" si="130"/>
        <v/>
      </c>
      <c r="UQ19" s="110"/>
      <c r="UR19" s="111"/>
      <c r="US19" s="112"/>
      <c r="UT19" s="113" t="str">
        <f>IFERROR((((COUNTIF('Elève (3ème4)'!UQ19:US19,"A"))*4)+((COUNTIF('Elève (3ème4)'!UQ19:US19,"B"))*3)+((COUNTIF('Elève (3ème4)'!UQ19:US19,"C"))*2)+((COUNTIF('Elève (3ème4)'!UQ19:US19,"D"))*1))/(COUNTA(UQ19:US19)),"")</f>
        <v/>
      </c>
      <c r="UU19" s="114" t="str">
        <f t="shared" si="131"/>
        <v/>
      </c>
      <c r="UV19" s="110"/>
      <c r="UW19" s="111"/>
      <c r="UX19" s="116"/>
      <c r="UY19" s="113" t="str">
        <f>IFERROR((((COUNTIF('Elève (3ème4)'!UV19:UX19,"A"))*4)+((COUNTIF('Elève (3ème4)'!UV19:UX19,"B"))*3)+((COUNTIF('Elève (3ème4)'!UV19:UX19,"C"))*2)+((COUNTIF('Elève (3ème4)'!UV19:UX19,"D"))*1))/(COUNTA(UV19:UX19)),"")</f>
        <v/>
      </c>
      <c r="UZ19" s="114" t="str">
        <f t="shared" si="132"/>
        <v/>
      </c>
      <c r="VA19" s="113" t="str">
        <f>IF(COUNT(UO19,UT19,UY19)=0,"",SUM(UO19,UT19,UY19)/COUNT(UO19,UT19,UY19))</f>
        <v/>
      </c>
      <c r="VB19" s="115" t="str">
        <f t="shared" si="133"/>
        <v/>
      </c>
      <c r="VC19" s="110"/>
      <c r="VD19" s="111"/>
      <c r="VE19" s="112"/>
      <c r="VF19" s="113" t="str">
        <f>IFERROR((((COUNTIF('Elève (3ème4)'!VC19:VE19,"A"))*4)+((COUNTIF('Elève (3ème4)'!VC19:VE19,"B"))*3)+((COUNTIF('Elève (3ème4)'!VC19:VE19,"C"))*2)+((COUNTIF('Elève (3ème4)'!VC19:VE19,"D"))*1))/(COUNTA(VC19:VE19)),"")</f>
        <v/>
      </c>
      <c r="VG19" s="114" t="str">
        <f t="shared" si="134"/>
        <v/>
      </c>
      <c r="VH19" s="110"/>
      <c r="VI19" s="111"/>
      <c r="VJ19" s="112"/>
      <c r="VK19" s="113" t="str">
        <f>IFERROR((((COUNTIF('Elève (3ème4)'!VH19:VJ19,"A"))*4)+((COUNTIF('Elève (3ème4)'!VH19:VJ19,"B"))*3)+((COUNTIF('Elève (3ème4)'!VH19:VJ19,"C"))*2)+((COUNTIF('Elève (3ème4)'!VH19:VJ19,"D"))*1))/(COUNTA(VH19:VJ19)),"")</f>
        <v/>
      </c>
      <c r="VL19" s="114" t="str">
        <f t="shared" si="135"/>
        <v/>
      </c>
      <c r="VM19" s="110"/>
      <c r="VN19" s="111"/>
      <c r="VO19" s="116"/>
      <c r="VP19" s="113" t="str">
        <f>IFERROR((((COUNTIF('Elève (3ème4)'!VM19:VO19,"A"))*4)+((COUNTIF('Elève (3ème4)'!VM19:VO19,"B"))*3)+((COUNTIF('Elève (3ème4)'!VM19:VO19,"C"))*2)+((COUNTIF('Elève (3ème4)'!VM19:VO19,"D"))*1))/(COUNTA(VM19:VO19)),"")</f>
        <v/>
      </c>
      <c r="VQ19" s="114" t="str">
        <f t="shared" si="136"/>
        <v/>
      </c>
      <c r="VR19" s="113" t="str">
        <f>IF(COUNT(VF19,VK19,VP19)=0,"",SUM(VF19,VK19,VP19)/COUNT(VF19,VK19,VP19))</f>
        <v/>
      </c>
      <c r="VS19" s="115" t="str">
        <f t="shared" si="137"/>
        <v/>
      </c>
      <c r="VT19" s="110"/>
      <c r="VU19" s="111"/>
      <c r="VV19" s="112"/>
      <c r="VW19" s="113" t="str">
        <f>IFERROR((((COUNTIF('Elève (3ème4)'!VT19:VV19,"A"))*4)+((COUNTIF('Elève (3ème4)'!VT19:VV19,"B"))*3)+((COUNTIF('Elève (3ème4)'!VT19:VV19,"C"))*2)+((COUNTIF('Elève (3ème4)'!VT19:VV19,"D"))*1))/(COUNTA(VT19:VV19)),"")</f>
        <v/>
      </c>
      <c r="VX19" s="114" t="str">
        <f t="shared" si="138"/>
        <v/>
      </c>
      <c r="VY19" s="110"/>
      <c r="VZ19" s="111"/>
      <c r="WA19" s="112"/>
      <c r="WB19" s="113" t="str">
        <f>IFERROR((((COUNTIF('Elève (3ème4)'!VY19:WA19,"A"))*4)+((COUNTIF('Elève (3ème4)'!VY19:WA19,"B"))*3)+((COUNTIF('Elève (3ème4)'!VY19:WA19,"C"))*2)+((COUNTIF('Elève (3ème4)'!VY19:WA19,"D"))*1))/(COUNTA(VY19:WA19)),"")</f>
        <v/>
      </c>
      <c r="WC19" s="114" t="str">
        <f t="shared" si="139"/>
        <v/>
      </c>
      <c r="WD19" s="110"/>
      <c r="WE19" s="111"/>
      <c r="WF19" s="116"/>
      <c r="WG19" s="113" t="str">
        <f>IFERROR((((COUNTIF('Elève (3ème4)'!WD19:WF19,"A"))*4)+((COUNTIF('Elève (3ème4)'!WD19:WF19,"B"))*3)+((COUNTIF('Elève (3ème4)'!WD19:WF19,"C"))*2)+((COUNTIF('Elève (3ème4)'!WD19:WF19,"D"))*1))/(COUNTA(WD19:WF19)),"")</f>
        <v/>
      </c>
      <c r="WH19" s="114" t="str">
        <f t="shared" si="140"/>
        <v/>
      </c>
      <c r="WI19" s="113" t="str">
        <f>IF(COUNT(VW19,WB19,WG19)=0,"",SUM(VW19,WB19,WG19)/COUNT(VW19,WB19,WG19))</f>
        <v/>
      </c>
      <c r="WJ19" s="115" t="str">
        <f t="shared" si="141"/>
        <v/>
      </c>
    </row>
    <row r="20" spans="1:608" s="95" customFormat="1" ht="16.5" customHeight="1" thickBot="1" x14ac:dyDescent="0.6">
      <c r="A20" s="145" t="s">
        <v>24</v>
      </c>
      <c r="B20" s="120">
        <v>1</v>
      </c>
      <c r="C20" s="152"/>
      <c r="D20" s="65"/>
      <c r="E20" s="85"/>
      <c r="F20" s="159">
        <f>IF(COUNT(F21)=0,"",SUM(F21)/COUNT(F21))</f>
        <v>4</v>
      </c>
      <c r="G20" s="160" t="str">
        <f t="shared" si="22"/>
        <v>A</v>
      </c>
      <c r="H20" s="152"/>
      <c r="I20" s="65"/>
      <c r="J20" s="65"/>
      <c r="K20" s="85"/>
      <c r="L20" s="159" t="str">
        <f>IF(COUNT(L21)=0,"",SUM(L21)/COUNT(L21))</f>
        <v/>
      </c>
      <c r="M20" s="175" t="str">
        <f t="shared" si="23"/>
        <v/>
      </c>
      <c r="N20" s="153"/>
      <c r="O20" s="90"/>
      <c r="P20" s="90"/>
      <c r="Q20" s="90"/>
      <c r="R20" s="90"/>
      <c r="S20" s="91"/>
      <c r="T20" s="159" t="str">
        <f>IF(COUNT(T21)=0,"",SUM(T21)/COUNT(T21))</f>
        <v/>
      </c>
      <c r="U20" s="183" t="str">
        <f t="shared" si="24"/>
        <v/>
      </c>
      <c r="V20" s="184">
        <f>IF(COUNT(V21)=0,"",SUM(V21)/COUNT(V21))</f>
        <v>4</v>
      </c>
      <c r="W20" s="185" t="str">
        <f t="shared" si="25"/>
        <v>A</v>
      </c>
      <c r="X20" s="196"/>
      <c r="Y20" s="65"/>
      <c r="Z20" s="85"/>
      <c r="AA20" s="159">
        <f>IF(COUNT(AA21)=0,"",SUM(AA21)/COUNT(AA21))</f>
        <v>2</v>
      </c>
      <c r="AB20" s="160" t="str">
        <f t="shared" si="26"/>
        <v>C</v>
      </c>
      <c r="AC20" s="152"/>
      <c r="AD20" s="65"/>
      <c r="AE20" s="65"/>
      <c r="AF20" s="85"/>
      <c r="AG20" s="159" t="str">
        <f>IF(COUNT(AG21)=0,"",SUM(AG21)/COUNT(AG21))</f>
        <v/>
      </c>
      <c r="AH20" s="175" t="str">
        <f t="shared" si="27"/>
        <v/>
      </c>
      <c r="AI20" s="153"/>
      <c r="AJ20" s="90"/>
      <c r="AK20" s="90"/>
      <c r="AL20" s="90"/>
      <c r="AM20" s="90"/>
      <c r="AN20" s="91"/>
      <c r="AO20" s="159" t="str">
        <f>IF(COUNT(AO21)=0,"",SUM(AO21)/COUNT(AO21))</f>
        <v/>
      </c>
      <c r="AP20" s="183" t="str">
        <f t="shared" si="28"/>
        <v/>
      </c>
      <c r="AQ20" s="184">
        <f>IF(COUNT(AQ21)=0,"",SUM(AQ21)/COUNT(AQ21))</f>
        <v>2</v>
      </c>
      <c r="AR20" s="185" t="str">
        <f t="shared" si="29"/>
        <v>C</v>
      </c>
      <c r="AS20" s="196"/>
      <c r="AT20" s="65"/>
      <c r="AU20" s="85"/>
      <c r="AV20" s="159">
        <f>IF(COUNT(AV21)=0,"",SUM(AV21)/COUNT(AV21))</f>
        <v>3.5</v>
      </c>
      <c r="AW20" s="160" t="str">
        <f t="shared" si="30"/>
        <v>B</v>
      </c>
      <c r="AX20" s="152"/>
      <c r="AY20" s="65"/>
      <c r="AZ20" s="65"/>
      <c r="BA20" s="85"/>
      <c r="BB20" s="159" t="str">
        <f>IF(COUNT(BB21)=0,"",SUM(BB21)/COUNT(BB21))</f>
        <v/>
      </c>
      <c r="BC20" s="175" t="str">
        <f t="shared" si="31"/>
        <v/>
      </c>
      <c r="BD20" s="153"/>
      <c r="BE20" s="90"/>
      <c r="BF20" s="90"/>
      <c r="BG20" s="90"/>
      <c r="BH20" s="90"/>
      <c r="BI20" s="91"/>
      <c r="BJ20" s="159" t="str">
        <f>IF(COUNT(BJ21)=0,"",SUM(BJ21)/COUNT(BJ21))</f>
        <v/>
      </c>
      <c r="BK20" s="183" t="str">
        <f t="shared" si="32"/>
        <v/>
      </c>
      <c r="BL20" s="184">
        <f>IF(COUNT(BL21)=0,"",SUM(BL21)/COUNT(BL21))</f>
        <v>3.5</v>
      </c>
      <c r="BM20" s="185" t="str">
        <f t="shared" si="33"/>
        <v>B</v>
      </c>
      <c r="BN20" s="196"/>
      <c r="BO20" s="65"/>
      <c r="BP20" s="85"/>
      <c r="BQ20" s="159">
        <f>IF(COUNT(BQ21)=0,"",SUM(BQ21)/COUNT(BQ21))</f>
        <v>2.5</v>
      </c>
      <c r="BR20" s="160" t="str">
        <f t="shared" si="34"/>
        <v>C</v>
      </c>
      <c r="BS20" s="152"/>
      <c r="BT20" s="65"/>
      <c r="BU20" s="65"/>
      <c r="BV20" s="85"/>
      <c r="BW20" s="159" t="str">
        <f>IF(COUNT(BW21)=0,"",SUM(BW21)/COUNT(BW21))</f>
        <v/>
      </c>
      <c r="BX20" s="175" t="str">
        <f t="shared" si="35"/>
        <v/>
      </c>
      <c r="BY20" s="153"/>
      <c r="BZ20" s="90"/>
      <c r="CA20" s="90"/>
      <c r="CB20" s="90"/>
      <c r="CC20" s="90"/>
      <c r="CD20" s="91"/>
      <c r="CE20" s="159" t="str">
        <f>IF(COUNT(CE21)=0,"",SUM(CE21)/COUNT(CE21))</f>
        <v/>
      </c>
      <c r="CF20" s="183" t="str">
        <f t="shared" si="36"/>
        <v/>
      </c>
      <c r="CG20" s="184">
        <f>IF(COUNT(CG21)=0,"",SUM(CG21)/COUNT(CG21))</f>
        <v>2.5</v>
      </c>
      <c r="CH20" s="185" t="str">
        <f t="shared" si="37"/>
        <v>C</v>
      </c>
      <c r="CI20" s="196"/>
      <c r="CJ20" s="65"/>
      <c r="CK20" s="85"/>
      <c r="CL20" s="159">
        <f>IF(COUNT(CL21)=0,"",SUM(CL21)/COUNT(CL21))</f>
        <v>3</v>
      </c>
      <c r="CM20" s="160" t="str">
        <f t="shared" si="38"/>
        <v>B</v>
      </c>
      <c r="CN20" s="152"/>
      <c r="CO20" s="65"/>
      <c r="CP20" s="65"/>
      <c r="CQ20" s="85"/>
      <c r="CR20" s="159" t="str">
        <f>IF(COUNT(CR21)=0,"",SUM(CR21)/COUNT(CR21))</f>
        <v/>
      </c>
      <c r="CS20" s="175" t="str">
        <f t="shared" si="39"/>
        <v/>
      </c>
      <c r="CT20" s="153"/>
      <c r="CU20" s="90"/>
      <c r="CV20" s="90"/>
      <c r="CW20" s="90"/>
      <c r="CX20" s="90"/>
      <c r="CY20" s="91"/>
      <c r="CZ20" s="159" t="str">
        <f>IF(COUNT(CZ21)=0,"",SUM(CZ21)/COUNT(CZ21))</f>
        <v/>
      </c>
      <c r="DA20" s="183" t="str">
        <f t="shared" si="40"/>
        <v/>
      </c>
      <c r="DB20" s="184">
        <f>IF(COUNT(DB21)=0,"",SUM(DB21)/COUNT(DB21))</f>
        <v>3</v>
      </c>
      <c r="DC20" s="185" t="str">
        <f t="shared" si="41"/>
        <v>B</v>
      </c>
      <c r="DD20" s="196"/>
      <c r="DE20" s="65"/>
      <c r="DF20" s="85"/>
      <c r="DG20" s="159">
        <f>IF(COUNT(DG21)=0,"",SUM(DG21)/COUNT(DG21))</f>
        <v>3</v>
      </c>
      <c r="DH20" s="160" t="str">
        <f t="shared" si="42"/>
        <v>B</v>
      </c>
      <c r="DI20" s="152"/>
      <c r="DJ20" s="65"/>
      <c r="DK20" s="65"/>
      <c r="DL20" s="85"/>
      <c r="DM20" s="159" t="str">
        <f>IF(COUNT(DM21)=0,"",SUM(DM21)/COUNT(DM21))</f>
        <v/>
      </c>
      <c r="DN20" s="175" t="str">
        <f t="shared" si="43"/>
        <v/>
      </c>
      <c r="DO20" s="153"/>
      <c r="DP20" s="90"/>
      <c r="DQ20" s="90"/>
      <c r="DR20" s="90"/>
      <c r="DS20" s="90"/>
      <c r="DT20" s="91"/>
      <c r="DU20" s="159" t="str">
        <f>IF(COUNT(DU21)=0,"",SUM(DU21)/COUNT(DU21))</f>
        <v/>
      </c>
      <c r="DV20" s="183" t="str">
        <f t="shared" si="44"/>
        <v/>
      </c>
      <c r="DW20" s="184">
        <f>IF(COUNT(DW21)=0,"",SUM(DW21)/COUNT(DW21))</f>
        <v>3</v>
      </c>
      <c r="DX20" s="185" t="str">
        <f t="shared" si="45"/>
        <v>B</v>
      </c>
      <c r="DY20" s="196"/>
      <c r="DZ20" s="65"/>
      <c r="EA20" s="85"/>
      <c r="EB20" s="159">
        <f>IF(COUNT(EB21)=0,"",SUM(EB21)/COUNT(EB21))</f>
        <v>2</v>
      </c>
      <c r="EC20" s="160" t="str">
        <f t="shared" si="46"/>
        <v>C</v>
      </c>
      <c r="ED20" s="152"/>
      <c r="EE20" s="65"/>
      <c r="EF20" s="65"/>
      <c r="EG20" s="85"/>
      <c r="EH20" s="159" t="str">
        <f>IF(COUNT(EH21)=0,"",SUM(EH21)/COUNT(EH21))</f>
        <v/>
      </c>
      <c r="EI20" s="175" t="str">
        <f t="shared" si="47"/>
        <v/>
      </c>
      <c r="EJ20" s="153"/>
      <c r="EK20" s="90"/>
      <c r="EL20" s="90"/>
      <c r="EM20" s="90"/>
      <c r="EN20" s="90"/>
      <c r="EO20" s="91"/>
      <c r="EP20" s="159" t="str">
        <f>IF(COUNT(EP21)=0,"",SUM(EP21)/COUNT(EP21))</f>
        <v/>
      </c>
      <c r="EQ20" s="183" t="str">
        <f t="shared" si="48"/>
        <v/>
      </c>
      <c r="ER20" s="184">
        <f>IF(COUNT(ER21)=0,"",SUM(ER21)/COUNT(ER21))</f>
        <v>2</v>
      </c>
      <c r="ES20" s="185" t="str">
        <f t="shared" si="49"/>
        <v>C</v>
      </c>
      <c r="ET20" s="196"/>
      <c r="EU20" s="65"/>
      <c r="EV20" s="85"/>
      <c r="EW20" s="159">
        <f>IF(COUNT(EW21)=0,"",SUM(EW21)/COUNT(EW21))</f>
        <v>2.5</v>
      </c>
      <c r="EX20" s="160" t="str">
        <f t="shared" si="50"/>
        <v>C</v>
      </c>
      <c r="EY20" s="152"/>
      <c r="EZ20" s="65"/>
      <c r="FA20" s="65"/>
      <c r="FB20" s="85"/>
      <c r="FC20" s="159" t="str">
        <f>IF(COUNT(FC21)=0,"",SUM(FC21)/COUNT(FC21))</f>
        <v/>
      </c>
      <c r="FD20" s="175" t="str">
        <f t="shared" si="51"/>
        <v/>
      </c>
      <c r="FE20" s="153"/>
      <c r="FF20" s="90"/>
      <c r="FG20" s="90"/>
      <c r="FH20" s="90"/>
      <c r="FI20" s="90"/>
      <c r="FJ20" s="91"/>
      <c r="FK20" s="159" t="str">
        <f>IF(COUNT(FK21)=0,"",SUM(FK21)/COUNT(FK21))</f>
        <v/>
      </c>
      <c r="FL20" s="183" t="str">
        <f t="shared" si="52"/>
        <v/>
      </c>
      <c r="FM20" s="184">
        <f>IF(COUNT(FM21)=0,"",SUM(FM21)/COUNT(FM21))</f>
        <v>2.5</v>
      </c>
      <c r="FN20" s="185" t="str">
        <f t="shared" si="53"/>
        <v>C</v>
      </c>
      <c r="FO20" s="196"/>
      <c r="FP20" s="65"/>
      <c r="FQ20" s="85"/>
      <c r="FR20" s="159">
        <f>IF(COUNT(FR21)=0,"",SUM(FR21)/COUNT(FR21))</f>
        <v>2.5</v>
      </c>
      <c r="FS20" s="160" t="str">
        <f t="shared" si="54"/>
        <v>C</v>
      </c>
      <c r="FT20" s="152"/>
      <c r="FU20" s="65"/>
      <c r="FV20" s="65"/>
      <c r="FW20" s="85"/>
      <c r="FX20" s="159" t="str">
        <f>IF(COUNT(FX21)=0,"",SUM(FX21)/COUNT(FX21))</f>
        <v/>
      </c>
      <c r="FY20" s="175" t="str">
        <f t="shared" si="55"/>
        <v/>
      </c>
      <c r="FZ20" s="153"/>
      <c r="GA20" s="90"/>
      <c r="GB20" s="90"/>
      <c r="GC20" s="90"/>
      <c r="GD20" s="90"/>
      <c r="GE20" s="91"/>
      <c r="GF20" s="159" t="str">
        <f>IF(COUNT(GF21)=0,"",SUM(GF21)/COUNT(GF21))</f>
        <v/>
      </c>
      <c r="GG20" s="183" t="str">
        <f t="shared" si="56"/>
        <v/>
      </c>
      <c r="GH20" s="184">
        <f>IF(COUNT(GH21)=0,"",SUM(GH21)/COUNT(GH21))</f>
        <v>2.5</v>
      </c>
      <c r="GI20" s="185" t="str">
        <f t="shared" si="57"/>
        <v>C</v>
      </c>
      <c r="GJ20" s="196"/>
      <c r="GK20" s="65"/>
      <c r="GL20" s="85"/>
      <c r="GM20" s="159">
        <f>IF(COUNT(GM21)=0,"",SUM(GM21)/COUNT(GM21))</f>
        <v>3.5</v>
      </c>
      <c r="GN20" s="160" t="str">
        <f t="shared" si="58"/>
        <v>B</v>
      </c>
      <c r="GO20" s="152"/>
      <c r="GP20" s="65"/>
      <c r="GQ20" s="65"/>
      <c r="GR20" s="85"/>
      <c r="GS20" s="159" t="str">
        <f>IF(COUNT(GS21)=0,"",SUM(GS21)/COUNT(GS21))</f>
        <v/>
      </c>
      <c r="GT20" s="175" t="str">
        <f t="shared" si="59"/>
        <v/>
      </c>
      <c r="GU20" s="153"/>
      <c r="GV20" s="90"/>
      <c r="GW20" s="90"/>
      <c r="GX20" s="90"/>
      <c r="GY20" s="90"/>
      <c r="GZ20" s="91"/>
      <c r="HA20" s="159" t="str">
        <f>IF(COUNT(HA21)=0,"",SUM(HA21)/COUNT(HA21))</f>
        <v/>
      </c>
      <c r="HB20" s="183" t="str">
        <f t="shared" si="60"/>
        <v/>
      </c>
      <c r="HC20" s="184">
        <f>IF(COUNT(HC21)=0,"",SUM(HC21)/COUNT(HC21))</f>
        <v>3.5</v>
      </c>
      <c r="HD20" s="185" t="str">
        <f t="shared" si="61"/>
        <v>B</v>
      </c>
      <c r="HE20" s="196"/>
      <c r="HF20" s="65"/>
      <c r="HG20" s="85"/>
      <c r="HH20" s="159">
        <f>IF(COUNT(HH21)=0,"",SUM(HH21)/COUNT(HH21))</f>
        <v>1</v>
      </c>
      <c r="HI20" s="160" t="str">
        <f t="shared" si="62"/>
        <v>D</v>
      </c>
      <c r="HJ20" s="152"/>
      <c r="HK20" s="65"/>
      <c r="HL20" s="65"/>
      <c r="HM20" s="85"/>
      <c r="HN20" s="159" t="str">
        <f>IF(COUNT(HN21)=0,"",SUM(HN21)/COUNT(HN21))</f>
        <v/>
      </c>
      <c r="HO20" s="175" t="str">
        <f t="shared" si="63"/>
        <v/>
      </c>
      <c r="HP20" s="153"/>
      <c r="HQ20" s="90"/>
      <c r="HR20" s="90"/>
      <c r="HS20" s="90"/>
      <c r="HT20" s="90"/>
      <c r="HU20" s="91"/>
      <c r="HV20" s="159" t="str">
        <f>IF(COUNT(HV21)=0,"",SUM(HV21)/COUNT(HV21))</f>
        <v/>
      </c>
      <c r="HW20" s="183" t="str">
        <f t="shared" si="64"/>
        <v/>
      </c>
      <c r="HX20" s="184">
        <f>IF(COUNT(HX21)=0,"",SUM(HX21)/COUNT(HX21))</f>
        <v>1</v>
      </c>
      <c r="HY20" s="185" t="str">
        <f t="shared" si="65"/>
        <v>D</v>
      </c>
      <c r="HZ20" s="196"/>
      <c r="IA20" s="65"/>
      <c r="IB20" s="85"/>
      <c r="IC20" s="159">
        <f>IF(COUNT(IC21)=0,"",SUM(IC21)/COUNT(IC21))</f>
        <v>2</v>
      </c>
      <c r="ID20" s="160" t="str">
        <f t="shared" si="66"/>
        <v>C</v>
      </c>
      <c r="IE20" s="152"/>
      <c r="IF20" s="65"/>
      <c r="IG20" s="65"/>
      <c r="IH20" s="85"/>
      <c r="II20" s="159" t="str">
        <f>IF(COUNT(II21)=0,"",SUM(II21)/COUNT(II21))</f>
        <v/>
      </c>
      <c r="IJ20" s="175" t="str">
        <f t="shared" si="67"/>
        <v/>
      </c>
      <c r="IK20" s="153"/>
      <c r="IL20" s="90"/>
      <c r="IM20" s="90"/>
      <c r="IN20" s="90"/>
      <c r="IO20" s="90"/>
      <c r="IP20" s="91"/>
      <c r="IQ20" s="159" t="str">
        <f>IF(COUNT(IQ21)=0,"",SUM(IQ21)/COUNT(IQ21))</f>
        <v/>
      </c>
      <c r="IR20" s="183" t="str">
        <f t="shared" si="68"/>
        <v/>
      </c>
      <c r="IS20" s="184">
        <f>IF(COUNT(IS21)=0,"",SUM(IS21)/COUNT(IS21))</f>
        <v>2</v>
      </c>
      <c r="IT20" s="185" t="str">
        <f t="shared" si="69"/>
        <v>C</v>
      </c>
      <c r="IU20" s="196"/>
      <c r="IV20" s="65"/>
      <c r="IW20" s="85"/>
      <c r="IX20" s="159">
        <f>IF(COUNT(IX21)=0,"",SUM(IX21)/COUNT(IX21))</f>
        <v>1.5</v>
      </c>
      <c r="IY20" s="160" t="str">
        <f t="shared" si="70"/>
        <v>D</v>
      </c>
      <c r="IZ20" s="152"/>
      <c r="JA20" s="65"/>
      <c r="JB20" s="65"/>
      <c r="JC20" s="85"/>
      <c r="JD20" s="159" t="str">
        <f>IF(COUNT(JD21)=0,"",SUM(JD21)/COUNT(JD21))</f>
        <v/>
      </c>
      <c r="JE20" s="175" t="str">
        <f t="shared" si="71"/>
        <v/>
      </c>
      <c r="JF20" s="153"/>
      <c r="JG20" s="90"/>
      <c r="JH20" s="90"/>
      <c r="JI20" s="90"/>
      <c r="JJ20" s="90"/>
      <c r="JK20" s="91"/>
      <c r="JL20" s="159" t="str">
        <f>IF(COUNT(JL21)=0,"",SUM(JL21)/COUNT(JL21))</f>
        <v/>
      </c>
      <c r="JM20" s="183" t="str">
        <f t="shared" si="72"/>
        <v/>
      </c>
      <c r="JN20" s="184">
        <f>IF(COUNT(JN21)=0,"",SUM(JN21)/COUNT(JN21))</f>
        <v>1.5</v>
      </c>
      <c r="JO20" s="185" t="str">
        <f t="shared" si="73"/>
        <v>D</v>
      </c>
      <c r="JP20" s="196"/>
      <c r="JQ20" s="65"/>
      <c r="JR20" s="85"/>
      <c r="JS20" s="159">
        <f>IF(COUNT(JS21)=0,"",SUM(JS21)/COUNT(JS21))</f>
        <v>2.5</v>
      </c>
      <c r="JT20" s="160" t="str">
        <f t="shared" si="74"/>
        <v>C</v>
      </c>
      <c r="JU20" s="152"/>
      <c r="JV20" s="65"/>
      <c r="JW20" s="65"/>
      <c r="JX20" s="85"/>
      <c r="JY20" s="159" t="str">
        <f>IF(COUNT(JY21)=0,"",SUM(JY21)/COUNT(JY21))</f>
        <v/>
      </c>
      <c r="JZ20" s="175" t="str">
        <f t="shared" si="75"/>
        <v/>
      </c>
      <c r="KA20" s="153"/>
      <c r="KB20" s="90"/>
      <c r="KC20" s="90"/>
      <c r="KD20" s="90"/>
      <c r="KE20" s="90"/>
      <c r="KF20" s="91"/>
      <c r="KG20" s="159" t="str">
        <f>IF(COUNT(KG21)=0,"",SUM(KG21)/COUNT(KG21))</f>
        <v/>
      </c>
      <c r="KH20" s="183" t="str">
        <f t="shared" si="76"/>
        <v/>
      </c>
      <c r="KI20" s="184">
        <f>IF(COUNT(KI21)=0,"",SUM(KI21)/COUNT(KI21))</f>
        <v>2.5</v>
      </c>
      <c r="KJ20" s="185" t="str">
        <f t="shared" si="77"/>
        <v>C</v>
      </c>
      <c r="KK20" s="196"/>
      <c r="KL20" s="65"/>
      <c r="KM20" s="85"/>
      <c r="KN20" s="159">
        <f>IF(COUNT(KN21)=0,"",SUM(KN21)/COUNT(KN21))</f>
        <v>3</v>
      </c>
      <c r="KO20" s="160" t="str">
        <f t="shared" si="78"/>
        <v>B</v>
      </c>
      <c r="KP20" s="152"/>
      <c r="KQ20" s="65"/>
      <c r="KR20" s="65"/>
      <c r="KS20" s="85"/>
      <c r="KT20" s="159" t="str">
        <f>IF(COUNT(KT21)=0,"",SUM(KT21)/COUNT(KT21))</f>
        <v/>
      </c>
      <c r="KU20" s="175" t="str">
        <f t="shared" si="79"/>
        <v/>
      </c>
      <c r="KV20" s="153"/>
      <c r="KW20" s="90"/>
      <c r="KX20" s="90"/>
      <c r="KY20" s="90"/>
      <c r="KZ20" s="90"/>
      <c r="LA20" s="91"/>
      <c r="LB20" s="159" t="str">
        <f>IF(COUNT(LB21)=0,"",SUM(LB21)/COUNT(LB21))</f>
        <v/>
      </c>
      <c r="LC20" s="183" t="str">
        <f t="shared" si="80"/>
        <v/>
      </c>
      <c r="LD20" s="184">
        <f>IF(COUNT(LD21)=0,"",SUM(LD21)/COUNT(LD21))</f>
        <v>3</v>
      </c>
      <c r="LE20" s="185" t="str">
        <f t="shared" si="81"/>
        <v>B</v>
      </c>
      <c r="LF20" s="196"/>
      <c r="LG20" s="65"/>
      <c r="LH20" s="85"/>
      <c r="LI20" s="159">
        <f>IF(COUNT(LI21)=0,"",SUM(LI21)/COUNT(LI21))</f>
        <v>1.5</v>
      </c>
      <c r="LJ20" s="160" t="str">
        <f t="shared" si="82"/>
        <v>D</v>
      </c>
      <c r="LK20" s="152"/>
      <c r="LL20" s="65"/>
      <c r="LM20" s="65"/>
      <c r="LN20" s="85"/>
      <c r="LO20" s="159" t="str">
        <f>IF(COUNT(LO21)=0,"",SUM(LO21)/COUNT(LO21))</f>
        <v/>
      </c>
      <c r="LP20" s="175" t="str">
        <f t="shared" si="83"/>
        <v/>
      </c>
      <c r="LQ20" s="153"/>
      <c r="LR20" s="90"/>
      <c r="LS20" s="90"/>
      <c r="LT20" s="90"/>
      <c r="LU20" s="90"/>
      <c r="LV20" s="91"/>
      <c r="LW20" s="159" t="str">
        <f>IF(COUNT(LW21)=0,"",SUM(LW21)/COUNT(LW21))</f>
        <v/>
      </c>
      <c r="LX20" s="183" t="str">
        <f t="shared" si="84"/>
        <v/>
      </c>
      <c r="LY20" s="184">
        <f>IF(COUNT(LY21)=0,"",SUM(LY21)/COUNT(LY21))</f>
        <v>1.5</v>
      </c>
      <c r="LZ20" s="185" t="str">
        <f t="shared" si="85"/>
        <v>D</v>
      </c>
      <c r="MA20" s="196"/>
      <c r="MB20" s="65"/>
      <c r="MC20" s="85"/>
      <c r="MD20" s="159">
        <f>IF(COUNT(MD21)=0,"",SUM(MD21)/COUNT(MD21))</f>
        <v>2.5</v>
      </c>
      <c r="ME20" s="160" t="str">
        <f t="shared" si="86"/>
        <v>C</v>
      </c>
      <c r="MF20" s="152"/>
      <c r="MG20" s="65"/>
      <c r="MH20" s="65"/>
      <c r="MI20" s="85"/>
      <c r="MJ20" s="159" t="str">
        <f>IF(COUNT(MJ21)=0,"",SUM(MJ21)/COUNT(MJ21))</f>
        <v/>
      </c>
      <c r="MK20" s="175" t="str">
        <f t="shared" si="87"/>
        <v/>
      </c>
      <c r="ML20" s="153"/>
      <c r="MM20" s="90"/>
      <c r="MN20" s="90"/>
      <c r="MO20" s="90"/>
      <c r="MP20" s="90"/>
      <c r="MQ20" s="91"/>
      <c r="MR20" s="159" t="str">
        <f>IF(COUNT(MR21)=0,"",SUM(MR21)/COUNT(MR21))</f>
        <v/>
      </c>
      <c r="MS20" s="183" t="str">
        <f t="shared" si="88"/>
        <v/>
      </c>
      <c r="MT20" s="184">
        <f>IF(COUNT(MT21)=0,"",SUM(MT21)/COUNT(MT21))</f>
        <v>2.5</v>
      </c>
      <c r="MU20" s="185" t="str">
        <f t="shared" si="89"/>
        <v>C</v>
      </c>
      <c r="MV20" s="196"/>
      <c r="MW20" s="65"/>
      <c r="MX20" s="85"/>
      <c r="MY20" s="159">
        <f>IF(COUNT(MY21)=0,"",SUM(MY21)/COUNT(MY21))</f>
        <v>1.5</v>
      </c>
      <c r="MZ20" s="160" t="str">
        <f t="shared" si="90"/>
        <v>D</v>
      </c>
      <c r="NA20" s="152"/>
      <c r="NB20" s="65"/>
      <c r="NC20" s="65"/>
      <c r="ND20" s="85"/>
      <c r="NE20" s="159" t="str">
        <f>IF(COUNT(NE21)=0,"",SUM(NE21)/COUNT(NE21))</f>
        <v/>
      </c>
      <c r="NF20" s="175" t="str">
        <f t="shared" si="91"/>
        <v/>
      </c>
      <c r="NG20" s="153"/>
      <c r="NH20" s="90"/>
      <c r="NI20" s="90"/>
      <c r="NJ20" s="90"/>
      <c r="NK20" s="90"/>
      <c r="NL20" s="91"/>
      <c r="NM20" s="159" t="str">
        <f>IF(COUNT(NM21)=0,"",SUM(NM21)/COUNT(NM21))</f>
        <v/>
      </c>
      <c r="NN20" s="183" t="str">
        <f t="shared" si="92"/>
        <v/>
      </c>
      <c r="NO20" s="184">
        <f>IF(COUNT(NO21)=0,"",SUM(NO21)/COUNT(NO21))</f>
        <v>1.5</v>
      </c>
      <c r="NP20" s="185" t="str">
        <f t="shared" si="93"/>
        <v>D</v>
      </c>
      <c r="NQ20" s="196"/>
      <c r="NR20" s="65"/>
      <c r="NS20" s="85"/>
      <c r="NT20" s="159">
        <f>IF(COUNT(NT21)=0,"",SUM(NT21)/COUNT(NT21))</f>
        <v>3.5</v>
      </c>
      <c r="NU20" s="160" t="str">
        <f t="shared" si="94"/>
        <v>B</v>
      </c>
      <c r="NV20" s="152"/>
      <c r="NW20" s="65"/>
      <c r="NX20" s="65"/>
      <c r="NY20" s="85"/>
      <c r="NZ20" s="159" t="str">
        <f>IF(COUNT(NZ21)=0,"",SUM(NZ21)/COUNT(NZ21))</f>
        <v/>
      </c>
      <c r="OA20" s="175" t="str">
        <f t="shared" si="95"/>
        <v/>
      </c>
      <c r="OB20" s="153"/>
      <c r="OC20" s="90"/>
      <c r="OD20" s="90"/>
      <c r="OE20" s="90"/>
      <c r="OF20" s="90"/>
      <c r="OG20" s="91"/>
      <c r="OH20" s="159" t="str">
        <f>IF(COUNT(OH21)=0,"",SUM(OH21)/COUNT(OH21))</f>
        <v/>
      </c>
      <c r="OI20" s="183" t="str">
        <f t="shared" si="96"/>
        <v/>
      </c>
      <c r="OJ20" s="184">
        <f>IF(COUNT(OJ21)=0,"",SUM(OJ21)/COUNT(OJ21))</f>
        <v>3.5</v>
      </c>
      <c r="OK20" s="185" t="str">
        <f t="shared" si="97"/>
        <v>B</v>
      </c>
      <c r="OL20" s="196"/>
      <c r="OM20" s="65"/>
      <c r="ON20" s="85"/>
      <c r="OO20" s="159">
        <f>IF(COUNT(OO21)=0,"",SUM(OO21)/COUNT(OO21))</f>
        <v>2</v>
      </c>
      <c r="OP20" s="160" t="str">
        <f t="shared" si="98"/>
        <v>C</v>
      </c>
      <c r="OQ20" s="152"/>
      <c r="OR20" s="65"/>
      <c r="OS20" s="65"/>
      <c r="OT20" s="85"/>
      <c r="OU20" s="159" t="str">
        <f>IF(COUNT(OU21)=0,"",SUM(OU21)/COUNT(OU21))</f>
        <v/>
      </c>
      <c r="OV20" s="175" t="str">
        <f t="shared" si="99"/>
        <v/>
      </c>
      <c r="OW20" s="153"/>
      <c r="OX20" s="90"/>
      <c r="OY20" s="90"/>
      <c r="OZ20" s="90"/>
      <c r="PA20" s="90"/>
      <c r="PB20" s="91"/>
      <c r="PC20" s="159" t="str">
        <f>IF(COUNT(PC21)=0,"",SUM(PC21)/COUNT(PC21))</f>
        <v/>
      </c>
      <c r="PD20" s="183" t="str">
        <f t="shared" si="100"/>
        <v/>
      </c>
      <c r="PE20" s="184">
        <f>IF(COUNT(PE21)=0,"",SUM(PE21)/COUNT(PE21))</f>
        <v>2</v>
      </c>
      <c r="PF20" s="185" t="str">
        <f t="shared" si="101"/>
        <v>C</v>
      </c>
      <c r="PG20" s="196"/>
      <c r="PH20" s="65"/>
      <c r="PI20" s="85"/>
      <c r="PJ20" s="159">
        <f>IF(COUNT(PJ21)=0,"",SUM(PJ21)/COUNT(PJ21))</f>
        <v>2.5</v>
      </c>
      <c r="PK20" s="160" t="str">
        <f t="shared" si="102"/>
        <v>C</v>
      </c>
      <c r="PL20" s="152"/>
      <c r="PM20" s="65"/>
      <c r="PN20" s="65"/>
      <c r="PO20" s="85"/>
      <c r="PP20" s="159" t="str">
        <f>IF(COUNT(PP21)=0,"",SUM(PP21)/COUNT(PP21))</f>
        <v/>
      </c>
      <c r="PQ20" s="175" t="str">
        <f t="shared" si="103"/>
        <v/>
      </c>
      <c r="PR20" s="153"/>
      <c r="PS20" s="90"/>
      <c r="PT20" s="90"/>
      <c r="PU20" s="90"/>
      <c r="PV20" s="90"/>
      <c r="PW20" s="91"/>
      <c r="PX20" s="159" t="str">
        <f>IF(COUNT(PX21)=0,"",SUM(PX21)/COUNT(PX21))</f>
        <v/>
      </c>
      <c r="PY20" s="183" t="str">
        <f t="shared" si="104"/>
        <v/>
      </c>
      <c r="PZ20" s="184">
        <f>IF(COUNT(PZ21)=0,"",SUM(PZ21)/COUNT(PZ21))</f>
        <v>2.5</v>
      </c>
      <c r="QA20" s="185" t="str">
        <f t="shared" si="105"/>
        <v>C</v>
      </c>
      <c r="QB20" s="196"/>
      <c r="QC20" s="65"/>
      <c r="QD20" s="85"/>
      <c r="QE20" s="159">
        <f>IF(COUNT(QE21)=0,"",SUM(QE21)/COUNT(QE21))</f>
        <v>2</v>
      </c>
      <c r="QF20" s="160" t="str">
        <f t="shared" si="106"/>
        <v>C</v>
      </c>
      <c r="QG20" s="152"/>
      <c r="QH20" s="65"/>
      <c r="QI20" s="65"/>
      <c r="QJ20" s="85"/>
      <c r="QK20" s="159" t="str">
        <f>IF(COUNT(QK21)=0,"",SUM(QK21)/COUNT(QK21))</f>
        <v/>
      </c>
      <c r="QL20" s="175" t="str">
        <f t="shared" si="107"/>
        <v/>
      </c>
      <c r="QM20" s="153"/>
      <c r="QN20" s="90"/>
      <c r="QO20" s="90"/>
      <c r="QP20" s="90"/>
      <c r="QQ20" s="90"/>
      <c r="QR20" s="91"/>
      <c r="QS20" s="159" t="str">
        <f>IF(COUNT(QS21)=0,"",SUM(QS21)/COUNT(QS21))</f>
        <v/>
      </c>
      <c r="QT20" s="183" t="str">
        <f t="shared" si="108"/>
        <v/>
      </c>
      <c r="QU20" s="184">
        <f>IF(COUNT(QU21)=0,"",SUM(QU21)/COUNT(QU21))</f>
        <v>2</v>
      </c>
      <c r="QV20" s="185" t="str">
        <f t="shared" si="109"/>
        <v>C</v>
      </c>
      <c r="QW20" s="196"/>
      <c r="QX20" s="65"/>
      <c r="QY20" s="85"/>
      <c r="QZ20" s="159">
        <f>IF(COUNT(QZ21)=0,"",SUM(QZ21)/COUNT(QZ21))</f>
        <v>2.5</v>
      </c>
      <c r="RA20" s="160" t="str">
        <f t="shared" si="110"/>
        <v>C</v>
      </c>
      <c r="RB20" s="152"/>
      <c r="RC20" s="65"/>
      <c r="RD20" s="65"/>
      <c r="RE20" s="85"/>
      <c r="RF20" s="159" t="str">
        <f>IF(COUNT(RF21)=0,"",SUM(RF21)/COUNT(RF21))</f>
        <v/>
      </c>
      <c r="RG20" s="175" t="str">
        <f t="shared" si="111"/>
        <v/>
      </c>
      <c r="RH20" s="153"/>
      <c r="RI20" s="90"/>
      <c r="RJ20" s="90"/>
      <c r="RK20" s="90"/>
      <c r="RL20" s="90"/>
      <c r="RM20" s="91"/>
      <c r="RN20" s="159" t="str">
        <f>IF(COUNT(RN21)=0,"",SUM(RN21)/COUNT(RN21))</f>
        <v/>
      </c>
      <c r="RO20" s="183" t="str">
        <f t="shared" si="112"/>
        <v/>
      </c>
      <c r="RP20" s="184">
        <f>IF(COUNT(RP21)=0,"",SUM(RP21)/COUNT(RP21))</f>
        <v>2.5</v>
      </c>
      <c r="RQ20" s="185" t="str">
        <f t="shared" si="113"/>
        <v>C</v>
      </c>
      <c r="RR20" s="196"/>
      <c r="RS20" s="65"/>
      <c r="RT20" s="85"/>
      <c r="RU20" s="159">
        <f>IF(COUNT(RU21)=0,"",SUM(RU21)/COUNT(RU21))</f>
        <v>2.5</v>
      </c>
      <c r="RV20" s="160" t="str">
        <f t="shared" si="114"/>
        <v>C</v>
      </c>
      <c r="RW20" s="152"/>
      <c r="RX20" s="65"/>
      <c r="RY20" s="65"/>
      <c r="RZ20" s="85"/>
      <c r="SA20" s="159" t="str">
        <f>IF(COUNT(SA21)=0,"",SUM(SA21)/COUNT(SA21))</f>
        <v/>
      </c>
      <c r="SB20" s="175" t="str">
        <f t="shared" si="115"/>
        <v/>
      </c>
      <c r="SC20" s="153"/>
      <c r="SD20" s="90"/>
      <c r="SE20" s="90"/>
      <c r="SF20" s="90"/>
      <c r="SG20" s="90"/>
      <c r="SH20" s="91"/>
      <c r="SI20" s="159" t="str">
        <f>IF(COUNT(SI21)=0,"",SUM(SI21)/COUNT(SI21))</f>
        <v/>
      </c>
      <c r="SJ20" s="183" t="str">
        <f t="shared" si="116"/>
        <v/>
      </c>
      <c r="SK20" s="184">
        <f>IF(COUNT(SK21)=0,"",SUM(SK21)/COUNT(SK21))</f>
        <v>2.5</v>
      </c>
      <c r="SL20" s="185" t="str">
        <f t="shared" si="117"/>
        <v>C</v>
      </c>
      <c r="SM20" s="121"/>
      <c r="SN20" s="65"/>
      <c r="SO20" s="85"/>
      <c r="SP20" s="86" t="str">
        <f>IF(COUNT(SP21)=0,"",SUM(SP21)/COUNT(SP21))</f>
        <v/>
      </c>
      <c r="SQ20" s="87" t="str">
        <f t="shared" si="118"/>
        <v/>
      </c>
      <c r="SR20" s="84"/>
      <c r="SS20" s="65"/>
      <c r="ST20" s="85"/>
      <c r="SU20" s="86" t="str">
        <f>IF(COUNT(SU21)=0,"",SUM(SU21)/COUNT(SU21))</f>
        <v/>
      </c>
      <c r="SV20" s="88" t="str">
        <f t="shared" si="119"/>
        <v/>
      </c>
      <c r="SW20" s="89"/>
      <c r="SX20" s="90"/>
      <c r="SY20" s="91"/>
      <c r="SZ20" s="86" t="str">
        <f>IF(COUNT(SZ21)=0,"",SUM(SZ21)/COUNT(SZ21))</f>
        <v/>
      </c>
      <c r="TA20" s="92" t="str">
        <f t="shared" si="120"/>
        <v/>
      </c>
      <c r="TB20" s="93" t="str">
        <f>IF(COUNT(TB21)=0,"",SUM(TB21)/COUNT(TB21))</f>
        <v/>
      </c>
      <c r="TC20" s="94" t="str">
        <f t="shared" si="121"/>
        <v/>
      </c>
      <c r="TD20" s="121"/>
      <c r="TE20" s="65"/>
      <c r="TF20" s="85"/>
      <c r="TG20" s="86" t="str">
        <f>IF(COUNT(TG21)=0,"",SUM(TG21)/COUNT(TG21))</f>
        <v/>
      </c>
      <c r="TH20" s="87" t="str">
        <f t="shared" si="122"/>
        <v/>
      </c>
      <c r="TI20" s="84"/>
      <c r="TJ20" s="65"/>
      <c r="TK20" s="85"/>
      <c r="TL20" s="86" t="str">
        <f>IF(COUNT(TL21)=0,"",SUM(TL21)/COUNT(TL21))</f>
        <v/>
      </c>
      <c r="TM20" s="88" t="str">
        <f t="shared" si="123"/>
        <v/>
      </c>
      <c r="TN20" s="89"/>
      <c r="TO20" s="90"/>
      <c r="TP20" s="91"/>
      <c r="TQ20" s="86" t="str">
        <f>IF(COUNT(TQ21)=0,"",SUM(TQ21)/COUNT(TQ21))</f>
        <v/>
      </c>
      <c r="TR20" s="92" t="str">
        <f t="shared" si="124"/>
        <v/>
      </c>
      <c r="TS20" s="93" t="str">
        <f>IF(COUNT(TS21)=0,"",SUM(TS21)/COUNT(TS21))</f>
        <v/>
      </c>
      <c r="TT20" s="94" t="str">
        <f t="shared" si="125"/>
        <v/>
      </c>
      <c r="TU20" s="121"/>
      <c r="TV20" s="65"/>
      <c r="TW20" s="85"/>
      <c r="TX20" s="86" t="str">
        <f>IF(COUNT(TX21)=0,"",SUM(TX21)/COUNT(TX21))</f>
        <v/>
      </c>
      <c r="TY20" s="87" t="str">
        <f t="shared" si="126"/>
        <v/>
      </c>
      <c r="TZ20" s="84"/>
      <c r="UA20" s="65"/>
      <c r="UB20" s="85"/>
      <c r="UC20" s="86" t="str">
        <f>IF(COUNT(UC21)=0,"",SUM(UC21)/COUNT(UC21))</f>
        <v/>
      </c>
      <c r="UD20" s="88" t="str">
        <f t="shared" si="127"/>
        <v/>
      </c>
      <c r="UE20" s="89"/>
      <c r="UF20" s="90"/>
      <c r="UG20" s="91"/>
      <c r="UH20" s="86" t="str">
        <f>IF(COUNT(UH21)=0,"",SUM(UH21)/COUNT(UH21))</f>
        <v/>
      </c>
      <c r="UI20" s="92" t="str">
        <f t="shared" si="128"/>
        <v/>
      </c>
      <c r="UJ20" s="93" t="str">
        <f>IF(COUNT(UJ21)=0,"",SUM(UJ21)/COUNT(UJ21))</f>
        <v/>
      </c>
      <c r="UK20" s="94" t="str">
        <f t="shared" si="129"/>
        <v/>
      </c>
      <c r="UL20" s="121"/>
      <c r="UM20" s="65"/>
      <c r="UN20" s="85"/>
      <c r="UO20" s="86" t="str">
        <f>IF(COUNT(UO21)=0,"",SUM(UO21)/COUNT(UO21))</f>
        <v/>
      </c>
      <c r="UP20" s="87" t="str">
        <f t="shared" si="130"/>
        <v/>
      </c>
      <c r="UQ20" s="84"/>
      <c r="UR20" s="65"/>
      <c r="US20" s="85"/>
      <c r="UT20" s="86" t="str">
        <f>IF(COUNT(UT21)=0,"",SUM(UT21)/COUNT(UT21))</f>
        <v/>
      </c>
      <c r="UU20" s="88" t="str">
        <f t="shared" si="131"/>
        <v/>
      </c>
      <c r="UV20" s="89"/>
      <c r="UW20" s="90"/>
      <c r="UX20" s="91"/>
      <c r="UY20" s="86" t="str">
        <f>IF(COUNT(UY21)=0,"",SUM(UY21)/COUNT(UY21))</f>
        <v/>
      </c>
      <c r="UZ20" s="92" t="str">
        <f t="shared" si="132"/>
        <v/>
      </c>
      <c r="VA20" s="93" t="str">
        <f>IF(COUNT(VA21)=0,"",SUM(VA21)/COUNT(VA21))</f>
        <v/>
      </c>
      <c r="VB20" s="94" t="str">
        <f t="shared" si="133"/>
        <v/>
      </c>
      <c r="VC20" s="121"/>
      <c r="VD20" s="65"/>
      <c r="VE20" s="85"/>
      <c r="VF20" s="86" t="str">
        <f>IF(COUNT(VF21)=0,"",SUM(VF21)/COUNT(VF21))</f>
        <v/>
      </c>
      <c r="VG20" s="87" t="str">
        <f t="shared" si="134"/>
        <v/>
      </c>
      <c r="VH20" s="84"/>
      <c r="VI20" s="65"/>
      <c r="VJ20" s="85"/>
      <c r="VK20" s="86" t="str">
        <f>IF(COUNT(VK21)=0,"",SUM(VK21)/COUNT(VK21))</f>
        <v/>
      </c>
      <c r="VL20" s="88" t="str">
        <f t="shared" si="135"/>
        <v/>
      </c>
      <c r="VM20" s="89"/>
      <c r="VN20" s="90"/>
      <c r="VO20" s="91"/>
      <c r="VP20" s="86" t="str">
        <f>IF(COUNT(VP21)=0,"",SUM(VP21)/COUNT(VP21))</f>
        <v/>
      </c>
      <c r="VQ20" s="92" t="str">
        <f t="shared" si="136"/>
        <v/>
      </c>
      <c r="VR20" s="93" t="str">
        <f>IF(COUNT(VR21)=0,"",SUM(VR21)/COUNT(VR21))</f>
        <v/>
      </c>
      <c r="VS20" s="94" t="str">
        <f t="shared" si="137"/>
        <v/>
      </c>
      <c r="VT20" s="121"/>
      <c r="VU20" s="65"/>
      <c r="VV20" s="85"/>
      <c r="VW20" s="86" t="str">
        <f>IF(COUNT(VW21)=0,"",SUM(VW21)/COUNT(VW21))</f>
        <v/>
      </c>
      <c r="VX20" s="87" t="str">
        <f t="shared" si="138"/>
        <v/>
      </c>
      <c r="VY20" s="84"/>
      <c r="VZ20" s="65"/>
      <c r="WA20" s="85"/>
      <c r="WB20" s="86" t="str">
        <f>IF(COUNT(WB21)=0,"",SUM(WB21)/COUNT(WB21))</f>
        <v/>
      </c>
      <c r="WC20" s="88" t="str">
        <f t="shared" si="139"/>
        <v/>
      </c>
      <c r="WD20" s="89"/>
      <c r="WE20" s="90"/>
      <c r="WF20" s="91"/>
      <c r="WG20" s="86" t="str">
        <f>IF(COUNT(WG21)=0,"",SUM(WG21)/COUNT(WG21))</f>
        <v/>
      </c>
      <c r="WH20" s="92" t="str">
        <f t="shared" si="140"/>
        <v/>
      </c>
      <c r="WI20" s="93" t="str">
        <f>IF(COUNT(WI21)=0,"",SUM(WI21)/COUNT(WI21))</f>
        <v/>
      </c>
      <c r="WJ20" s="94" t="str">
        <f t="shared" si="141"/>
        <v/>
      </c>
    </row>
    <row r="21" spans="1:608" ht="18" customHeight="1" thickBot="1" x14ac:dyDescent="0.6">
      <c r="A21" s="225" t="s">
        <v>25</v>
      </c>
      <c r="B21" s="226"/>
      <c r="C21" s="124" t="s">
        <v>27</v>
      </c>
      <c r="D21" s="125" t="s">
        <v>27</v>
      </c>
      <c r="E21" s="126"/>
      <c r="F21" s="167">
        <f>IFERROR((((COUNTIF('Elève (3ème4)'!C21:E21,"A"))*4)+((COUNTIF('Elève (3ème4)'!C21:E21,"B"))*3)+((COUNTIF('Elève (3ème4)'!C21:E21,"C"))*2)+((COUNTIF('Elève (3ème4)'!C21:E21,"D"))*1))/(COUNTA(C21:E21)),"")</f>
        <v>4</v>
      </c>
      <c r="G21" s="168" t="str">
        <f t="shared" si="22"/>
        <v>A</v>
      </c>
      <c r="H21" s="124"/>
      <c r="I21" s="125"/>
      <c r="J21" s="126"/>
      <c r="K21" s="126"/>
      <c r="L21" s="167" t="str">
        <f>IFERROR((((COUNTIF('Elève (3ème4)'!H21:K21,"A"))*4)+((COUNTIF('Elève (3ème4)'!H21:K21,"B"))*3)+((COUNTIF('Elève (3ème4)'!H21:K21,"C"))*2)+((COUNTIF('Elève (3ème4)'!H21:K21,"D"))*1))/(COUNTA(H21:K21)),"")</f>
        <v/>
      </c>
      <c r="M21" s="168" t="str">
        <f t="shared" si="23"/>
        <v/>
      </c>
      <c r="N21" s="124"/>
      <c r="O21" s="125"/>
      <c r="P21" s="126"/>
      <c r="Q21" s="126"/>
      <c r="R21" s="126"/>
      <c r="S21" s="126"/>
      <c r="T21" s="167" t="str">
        <f>IFERROR((((COUNTIF('Elève (3ème4)'!N21:S21,"A"))*4)+((COUNTIF('Elève (3ème4)'!N21:S21,"B"))*3)+((COUNTIF('Elève (3ème4)'!N21:S21,"C"))*2)+((COUNTIF('Elève (3ème4)'!N21:S21,"D"))*1))/(COUNTA(N21:S21)),"")</f>
        <v/>
      </c>
      <c r="U21" s="168" t="str">
        <f t="shared" si="24"/>
        <v/>
      </c>
      <c r="V21" s="167">
        <f>IF(COUNT(F21,L21,T21)=0,"",SUM(F21,L21,T21)/COUNT(F21,L21,T21))</f>
        <v>4</v>
      </c>
      <c r="W21" s="192" t="str">
        <f t="shared" si="25"/>
        <v>A</v>
      </c>
      <c r="X21" s="124" t="s">
        <v>29</v>
      </c>
      <c r="Y21" s="125" t="s">
        <v>29</v>
      </c>
      <c r="Z21" s="126"/>
      <c r="AA21" s="167">
        <f>IFERROR((((COUNTIF('Elève (3ème4)'!X21:Z21,"A"))*4)+((COUNTIF('Elève (3ème4)'!X21:Z21,"B"))*3)+((COUNTIF('Elève (3ème4)'!X21:Z21,"C"))*2)+((COUNTIF('Elève (3ème4)'!X21:Z21,"D"))*1))/(COUNTA(X21:Z21)),"")</f>
        <v>2</v>
      </c>
      <c r="AB21" s="168" t="str">
        <f t="shared" si="26"/>
        <v>C</v>
      </c>
      <c r="AC21" s="124"/>
      <c r="AD21" s="125"/>
      <c r="AE21" s="126"/>
      <c r="AF21" s="126"/>
      <c r="AG21" s="167" t="str">
        <f>IFERROR((((COUNTIF('Elève (3ème4)'!AC21:AF21,"A"))*4)+((COUNTIF('Elève (3ème4)'!AC21:AF21,"B"))*3)+((COUNTIF('Elève (3ème4)'!AC21:AF21,"C"))*2)+((COUNTIF('Elève (3ème4)'!AC21:AF21,"D"))*1))/(COUNTA(AC21:AF21)),"")</f>
        <v/>
      </c>
      <c r="AH21" s="168" t="str">
        <f t="shared" si="27"/>
        <v/>
      </c>
      <c r="AI21" s="124"/>
      <c r="AJ21" s="125"/>
      <c r="AK21" s="126"/>
      <c r="AL21" s="126"/>
      <c r="AM21" s="126"/>
      <c r="AN21" s="130"/>
      <c r="AO21" s="167" t="str">
        <f>IFERROR((((COUNTIF('Elève (3ème4)'!AI21:AN21,"A"))*4)+((COUNTIF('Elève (3ème4)'!AI21:AN21,"B"))*3)+((COUNTIF('Elève (3ème4)'!AI21:AN21,"C"))*2)+((COUNTIF('Elève (3ème4)'!AI21:AN21,"D"))*1))/(COUNTA(AI21:AN21)),"")</f>
        <v/>
      </c>
      <c r="AP21" s="168" t="str">
        <f t="shared" si="28"/>
        <v/>
      </c>
      <c r="AQ21" s="167">
        <f>IF(COUNT(AA21,AG21,AO21)=0,"",SUM(AA21,AG21,AO21)/COUNT(AA21,AG21,AO21))</f>
        <v>2</v>
      </c>
      <c r="AR21" s="192" t="str">
        <f t="shared" si="29"/>
        <v>C</v>
      </c>
      <c r="AS21" s="124" t="s">
        <v>27</v>
      </c>
      <c r="AT21" s="125" t="s">
        <v>28</v>
      </c>
      <c r="AU21" s="126"/>
      <c r="AV21" s="167">
        <f>IFERROR((((COUNTIF('Elève (3ème4)'!AS21:AU21,"A"))*4)+((COUNTIF('Elève (3ème4)'!AS21:AU21,"B"))*3)+((COUNTIF('Elève (3ème4)'!AS21:AU21,"C"))*2)+((COUNTIF('Elève (3ème4)'!AS21:AU21,"D"))*1))/(COUNTA(AS21:AU21)),"")</f>
        <v>3.5</v>
      </c>
      <c r="AW21" s="168" t="str">
        <f t="shared" si="30"/>
        <v>B</v>
      </c>
      <c r="AX21" s="124"/>
      <c r="AY21" s="125"/>
      <c r="AZ21" s="126"/>
      <c r="BA21" s="126"/>
      <c r="BB21" s="167" t="str">
        <f>IFERROR((((COUNTIF('Elève (3ème4)'!AX21:BA21,"A"))*4)+((COUNTIF('Elève (3ème4)'!AX21:BA21,"B"))*3)+((COUNTIF('Elève (3ème4)'!AX21:BA21,"C"))*2)+((COUNTIF('Elève (3ème4)'!AX21:BA21,"D"))*1))/(COUNTA(AX21:BA21)),"")</f>
        <v/>
      </c>
      <c r="BC21" s="168" t="str">
        <f t="shared" si="31"/>
        <v/>
      </c>
      <c r="BD21" s="124"/>
      <c r="BE21" s="125"/>
      <c r="BF21" s="126"/>
      <c r="BG21" s="126"/>
      <c r="BH21" s="126"/>
      <c r="BI21" s="130"/>
      <c r="BJ21" s="167" t="str">
        <f>IFERROR((((COUNTIF('Elève (3ème4)'!BD21:BI21,"A"))*4)+((COUNTIF('Elève (3ème4)'!BD21:BI21,"B"))*3)+((COUNTIF('Elève (3ème4)'!BD21:BI21,"C"))*2)+((COUNTIF('Elève (3ème4)'!BD21:BI21,"D"))*1))/(COUNTA(BD21:BI21)),"")</f>
        <v/>
      </c>
      <c r="BK21" s="168" t="str">
        <f t="shared" si="32"/>
        <v/>
      </c>
      <c r="BL21" s="167">
        <f>IF(COUNT(AV21,BB21,BJ21)=0,"",SUM(AV21,BB21,BJ21)/COUNT(AV21,BB21,BJ21))</f>
        <v>3.5</v>
      </c>
      <c r="BM21" s="192" t="str">
        <f t="shared" si="33"/>
        <v>B</v>
      </c>
      <c r="BN21" s="124" t="s">
        <v>29</v>
      </c>
      <c r="BO21" s="125" t="s">
        <v>28</v>
      </c>
      <c r="BP21" s="126"/>
      <c r="BQ21" s="167">
        <f>IFERROR((((COUNTIF('Elève (3ème4)'!BN21:BP21,"A"))*4)+((COUNTIF('Elève (3ème4)'!BN21:BP21,"B"))*3)+((COUNTIF('Elève (3ème4)'!BN21:BP21,"C"))*2)+((COUNTIF('Elève (3ème4)'!BN21:BP21,"D"))*1))/(COUNTA(BN21:BP21)),"")</f>
        <v>2.5</v>
      </c>
      <c r="BR21" s="168" t="str">
        <f t="shared" si="34"/>
        <v>C</v>
      </c>
      <c r="BS21" s="124"/>
      <c r="BT21" s="125"/>
      <c r="BU21" s="126"/>
      <c r="BV21" s="126"/>
      <c r="BW21" s="167" t="str">
        <f>IFERROR((((COUNTIF('Elève (3ème4)'!BS21:BV21,"A"))*4)+((COUNTIF('Elève (3ème4)'!BS21:BV21,"B"))*3)+((COUNTIF('Elève (3ème4)'!BS21:BV21,"C"))*2)+((COUNTIF('Elève (3ème4)'!BS21:BV21,"D"))*1))/(COUNTA(BS21:BV21)),"")</f>
        <v/>
      </c>
      <c r="BX21" s="168" t="str">
        <f t="shared" si="35"/>
        <v/>
      </c>
      <c r="BY21" s="124"/>
      <c r="BZ21" s="125"/>
      <c r="CA21" s="126"/>
      <c r="CB21" s="126"/>
      <c r="CC21" s="126"/>
      <c r="CD21" s="130"/>
      <c r="CE21" s="167" t="str">
        <f>IFERROR((((COUNTIF('Elève (3ème4)'!BY21:CD21,"A"))*4)+((COUNTIF('Elève (3ème4)'!BY21:CD21,"B"))*3)+((COUNTIF('Elève (3ème4)'!BY21:CD21,"C"))*2)+((COUNTIF('Elève (3ème4)'!BY21:CD21,"D"))*1))/(COUNTA(BY21:CD21)),"")</f>
        <v/>
      </c>
      <c r="CF21" s="168" t="str">
        <f t="shared" si="36"/>
        <v/>
      </c>
      <c r="CG21" s="167">
        <f>IF(COUNT(BQ21,BW21,CE21)=0,"",SUM(BQ21,BW21,CE21)/COUNT(BQ21,BW21,CE21))</f>
        <v>2.5</v>
      </c>
      <c r="CH21" s="192" t="str">
        <f t="shared" si="37"/>
        <v>C</v>
      </c>
      <c r="CI21" s="124" t="s">
        <v>28</v>
      </c>
      <c r="CJ21" s="125" t="s">
        <v>28</v>
      </c>
      <c r="CK21" s="126"/>
      <c r="CL21" s="167">
        <f>IFERROR((((COUNTIF('Elève (3ème4)'!CI21:CK21,"A"))*4)+((COUNTIF('Elève (3ème4)'!CI21:CK21,"B"))*3)+((COUNTIF('Elève (3ème4)'!CI21:CK21,"C"))*2)+((COUNTIF('Elève (3ème4)'!CI21:CK21,"D"))*1))/(COUNTA(CI21:CK21)),"")</f>
        <v>3</v>
      </c>
      <c r="CM21" s="168" t="str">
        <f t="shared" si="38"/>
        <v>B</v>
      </c>
      <c r="CN21" s="124"/>
      <c r="CO21" s="125"/>
      <c r="CP21" s="126"/>
      <c r="CQ21" s="126"/>
      <c r="CR21" s="167" t="str">
        <f>IFERROR((((COUNTIF('Elève (3ème4)'!CN21:CQ21,"A"))*4)+((COUNTIF('Elève (3ème4)'!CN21:CQ21,"B"))*3)+((COUNTIF('Elève (3ème4)'!CN21:CQ21,"C"))*2)+((COUNTIF('Elève (3ème4)'!CN21:CQ21,"D"))*1))/(COUNTA(CN21:CQ21)),"")</f>
        <v/>
      </c>
      <c r="CS21" s="168" t="str">
        <f t="shared" si="39"/>
        <v/>
      </c>
      <c r="CT21" s="124"/>
      <c r="CU21" s="125"/>
      <c r="CV21" s="126"/>
      <c r="CW21" s="126"/>
      <c r="CX21" s="126"/>
      <c r="CY21" s="130"/>
      <c r="CZ21" s="167" t="str">
        <f>IFERROR((((COUNTIF('Elève (3ème4)'!CT21:CY21,"A"))*4)+((COUNTIF('Elève (3ème4)'!CT21:CY21,"B"))*3)+((COUNTIF('Elève (3ème4)'!CT21:CY21,"C"))*2)+((COUNTIF('Elève (3ème4)'!CT21:CY21,"D"))*1))/(COUNTA(CT21:CY21)),"")</f>
        <v/>
      </c>
      <c r="DA21" s="168" t="str">
        <f t="shared" si="40"/>
        <v/>
      </c>
      <c r="DB21" s="167">
        <f>IF(COUNT(CL21,CR21,CZ21)=0,"",SUM(CL21,CR21,CZ21)/COUNT(CL21,CR21,CZ21))</f>
        <v>3</v>
      </c>
      <c r="DC21" s="192" t="str">
        <f t="shared" si="41"/>
        <v>B</v>
      </c>
      <c r="DD21" s="124" t="s">
        <v>28</v>
      </c>
      <c r="DE21" s="125" t="s">
        <v>28</v>
      </c>
      <c r="DF21" s="126"/>
      <c r="DG21" s="167">
        <f>IFERROR((((COUNTIF('Elève (3ème4)'!DD21:DF21,"A"))*4)+((COUNTIF('Elève (3ème4)'!DD21:DF21,"B"))*3)+((COUNTIF('Elève (3ème4)'!DD21:DF21,"C"))*2)+((COUNTIF('Elève (3ème4)'!DD21:DF21,"D"))*1))/(COUNTA(DD21:DF21)),"")</f>
        <v>3</v>
      </c>
      <c r="DH21" s="168" t="str">
        <f t="shared" si="42"/>
        <v>B</v>
      </c>
      <c r="DI21" s="124"/>
      <c r="DJ21" s="125"/>
      <c r="DK21" s="126"/>
      <c r="DL21" s="126"/>
      <c r="DM21" s="167" t="str">
        <f>IFERROR((((COUNTIF('Elève (3ème4)'!DI21:DL21,"A"))*4)+((COUNTIF('Elève (3ème4)'!DI21:DL21,"B"))*3)+((COUNTIF('Elève (3ème4)'!DI21:DL21,"C"))*2)+((COUNTIF('Elève (3ème4)'!DI21:DL21,"D"))*1))/(COUNTA(DI21:DL21)),"")</f>
        <v/>
      </c>
      <c r="DN21" s="168" t="str">
        <f t="shared" si="43"/>
        <v/>
      </c>
      <c r="DO21" s="124"/>
      <c r="DP21" s="125"/>
      <c r="DQ21" s="126"/>
      <c r="DR21" s="126"/>
      <c r="DS21" s="126"/>
      <c r="DT21" s="130"/>
      <c r="DU21" s="167" t="str">
        <f>IFERROR((((COUNTIF('Elève (3ème4)'!DO21:DT21,"A"))*4)+((COUNTIF('Elève (3ème4)'!DO21:DT21,"B"))*3)+((COUNTIF('Elève (3ème4)'!DO21:DT21,"C"))*2)+((COUNTIF('Elève (3ème4)'!DO21:DT21,"D"))*1))/(COUNTA(DO21:DT21)),"")</f>
        <v/>
      </c>
      <c r="DV21" s="168" t="str">
        <f t="shared" si="44"/>
        <v/>
      </c>
      <c r="DW21" s="167">
        <f>IF(COUNT(DG21,DM21,DU21)=0,"",SUM(DG21,DM21,DU21)/COUNT(DG21,DM21,DU21))</f>
        <v>3</v>
      </c>
      <c r="DX21" s="192" t="str">
        <f t="shared" si="45"/>
        <v>B</v>
      </c>
      <c r="DY21" s="124" t="s">
        <v>30</v>
      </c>
      <c r="DZ21" s="125" t="s">
        <v>28</v>
      </c>
      <c r="EA21" s="126"/>
      <c r="EB21" s="167">
        <f>IFERROR((((COUNTIF('Elève (3ème4)'!DY21:EA21,"A"))*4)+((COUNTIF('Elève (3ème4)'!DY21:EA21,"B"))*3)+((COUNTIF('Elève (3ème4)'!DY21:EA21,"C"))*2)+((COUNTIF('Elève (3ème4)'!DY21:EA21,"D"))*1))/(COUNTA(DY21:EA21)),"")</f>
        <v>2</v>
      </c>
      <c r="EC21" s="168" t="str">
        <f t="shared" si="46"/>
        <v>C</v>
      </c>
      <c r="ED21" s="124"/>
      <c r="EE21" s="125"/>
      <c r="EF21" s="126"/>
      <c r="EG21" s="126"/>
      <c r="EH21" s="167" t="str">
        <f>IFERROR((((COUNTIF('Elève (3ème4)'!ED21:EG21,"A"))*4)+((COUNTIF('Elève (3ème4)'!ED21:EG21,"B"))*3)+((COUNTIF('Elève (3ème4)'!ED21:EG21,"C"))*2)+((COUNTIF('Elève (3ème4)'!ED21:EG21,"D"))*1))/(COUNTA(ED21:EG21)),"")</f>
        <v/>
      </c>
      <c r="EI21" s="168" t="str">
        <f t="shared" si="47"/>
        <v/>
      </c>
      <c r="EJ21" s="124"/>
      <c r="EK21" s="125"/>
      <c r="EL21" s="126"/>
      <c r="EM21" s="126"/>
      <c r="EN21" s="126"/>
      <c r="EO21" s="130"/>
      <c r="EP21" s="167" t="str">
        <f>IFERROR((((COUNTIF('Elève (3ème4)'!EJ21:EO21,"A"))*4)+((COUNTIF('Elève (3ème4)'!EJ21:EO21,"B"))*3)+((COUNTIF('Elève (3ème4)'!EJ21:EO21,"C"))*2)+((COUNTIF('Elève (3ème4)'!EJ21:EO21,"D"))*1))/(COUNTA(EJ21:EO21)),"")</f>
        <v/>
      </c>
      <c r="EQ21" s="168" t="str">
        <f t="shared" si="48"/>
        <v/>
      </c>
      <c r="ER21" s="167">
        <f>IF(COUNT(EB21,EH21,EP21)=0,"",SUM(EB21,EH21,EP21)/COUNT(EB21,EH21,EP21))</f>
        <v>2</v>
      </c>
      <c r="ES21" s="192" t="str">
        <f t="shared" si="49"/>
        <v>C</v>
      </c>
      <c r="ET21" s="124" t="s">
        <v>29</v>
      </c>
      <c r="EU21" s="125" t="s">
        <v>28</v>
      </c>
      <c r="EV21" s="126"/>
      <c r="EW21" s="167">
        <f>IFERROR((((COUNTIF('Elève (3ème4)'!ET21:EV21,"A"))*4)+((COUNTIF('Elève (3ème4)'!ET21:EV21,"B"))*3)+((COUNTIF('Elève (3ème4)'!ET21:EV21,"C"))*2)+((COUNTIF('Elève (3ème4)'!ET21:EV21,"D"))*1))/(COUNTA(ET21:EV21)),"")</f>
        <v>2.5</v>
      </c>
      <c r="EX21" s="168" t="str">
        <f t="shared" si="50"/>
        <v>C</v>
      </c>
      <c r="EY21" s="124"/>
      <c r="EZ21" s="125"/>
      <c r="FA21" s="126"/>
      <c r="FB21" s="126"/>
      <c r="FC21" s="167" t="str">
        <f>IFERROR((((COUNTIF('Elève (3ème4)'!EY21:FB21,"A"))*4)+((COUNTIF('Elève (3ème4)'!EY21:FB21,"B"))*3)+((COUNTIF('Elève (3ème4)'!EY21:FB21,"C"))*2)+((COUNTIF('Elève (3ème4)'!EY21:FB21,"D"))*1))/(COUNTA(EY21:FB21)),"")</f>
        <v/>
      </c>
      <c r="FD21" s="168" t="str">
        <f t="shared" si="51"/>
        <v/>
      </c>
      <c r="FE21" s="124"/>
      <c r="FF21" s="125"/>
      <c r="FG21" s="126"/>
      <c r="FH21" s="126"/>
      <c r="FI21" s="126"/>
      <c r="FJ21" s="130"/>
      <c r="FK21" s="167" t="str">
        <f>IFERROR((((COUNTIF('Elève (3ème4)'!FE21:FJ21,"A"))*4)+((COUNTIF('Elève (3ème4)'!FE21:FJ21,"B"))*3)+((COUNTIF('Elève (3ème4)'!FE21:FJ21,"C"))*2)+((COUNTIF('Elève (3ème4)'!FE21:FJ21,"D"))*1))/(COUNTA(FE21:FJ21)),"")</f>
        <v/>
      </c>
      <c r="FL21" s="168" t="str">
        <f t="shared" si="52"/>
        <v/>
      </c>
      <c r="FM21" s="167">
        <f>IF(COUNT(EW21,FC21,FK21)=0,"",SUM(EW21,FC21,FK21)/COUNT(EW21,FC21,FK21))</f>
        <v>2.5</v>
      </c>
      <c r="FN21" s="192" t="str">
        <f t="shared" si="53"/>
        <v>C</v>
      </c>
      <c r="FO21" s="124" t="s">
        <v>29</v>
      </c>
      <c r="FP21" s="125" t="s">
        <v>28</v>
      </c>
      <c r="FQ21" s="126"/>
      <c r="FR21" s="167">
        <f>IFERROR((((COUNTIF('Elève (3ème4)'!FO21:FQ21,"A"))*4)+((COUNTIF('Elève (3ème4)'!FO21:FQ21,"B"))*3)+((COUNTIF('Elève (3ème4)'!FO21:FQ21,"C"))*2)+((COUNTIF('Elève (3ème4)'!FO21:FQ21,"D"))*1))/(COUNTA(FO21:FQ21)),"")</f>
        <v>2.5</v>
      </c>
      <c r="FS21" s="168" t="str">
        <f t="shared" si="54"/>
        <v>C</v>
      </c>
      <c r="FT21" s="124"/>
      <c r="FU21" s="125"/>
      <c r="FV21" s="126"/>
      <c r="FW21" s="126"/>
      <c r="FX21" s="167" t="str">
        <f>IFERROR((((COUNTIF('Elève (3ème4)'!FT21:FW21,"A"))*4)+((COUNTIF('Elève (3ème4)'!FT21:FW21,"B"))*3)+((COUNTIF('Elève (3ème4)'!FT21:FW21,"C"))*2)+((COUNTIF('Elève (3ème4)'!FT21:FW21,"D"))*1))/(COUNTA(FT21:FW21)),"")</f>
        <v/>
      </c>
      <c r="FY21" s="168" t="str">
        <f t="shared" si="55"/>
        <v/>
      </c>
      <c r="FZ21" s="124"/>
      <c r="GA21" s="125"/>
      <c r="GB21" s="126"/>
      <c r="GC21" s="126"/>
      <c r="GD21" s="126"/>
      <c r="GE21" s="130"/>
      <c r="GF21" s="167" t="str">
        <f>IFERROR((((COUNTIF('Elève (3ème4)'!FZ21:GE21,"A"))*4)+((COUNTIF('Elève (3ème4)'!FZ21:GE21,"B"))*3)+((COUNTIF('Elève (3ème4)'!FZ21:GE21,"C"))*2)+((COUNTIF('Elève (3ème4)'!FZ21:GE21,"D"))*1))/(COUNTA(FZ21:GE21)),"")</f>
        <v/>
      </c>
      <c r="GG21" s="168" t="str">
        <f t="shared" si="56"/>
        <v/>
      </c>
      <c r="GH21" s="167">
        <f>IF(COUNT(FR21,FX21,GF21)=0,"",SUM(FR21,FX21,GF21)/COUNT(FR21,FX21,GF21))</f>
        <v>2.5</v>
      </c>
      <c r="GI21" s="192" t="str">
        <f t="shared" si="57"/>
        <v>C</v>
      </c>
      <c r="GJ21" s="124" t="s">
        <v>28</v>
      </c>
      <c r="GK21" s="125" t="s">
        <v>27</v>
      </c>
      <c r="GL21" s="126"/>
      <c r="GM21" s="167">
        <f>IFERROR((((COUNTIF('Elève (3ème4)'!GJ21:GL21,"A"))*4)+((COUNTIF('Elève (3ème4)'!GJ21:GL21,"B"))*3)+((COUNTIF('Elève (3ème4)'!GJ21:GL21,"C"))*2)+((COUNTIF('Elève (3ème4)'!GJ21:GL21,"D"))*1))/(COUNTA(GJ21:GL21)),"")</f>
        <v>3.5</v>
      </c>
      <c r="GN21" s="168" t="str">
        <f t="shared" si="58"/>
        <v>B</v>
      </c>
      <c r="GO21" s="124"/>
      <c r="GP21" s="125"/>
      <c r="GQ21" s="126"/>
      <c r="GR21" s="126"/>
      <c r="GS21" s="167" t="str">
        <f>IFERROR((((COUNTIF('Elève (3ème4)'!GO21:GR21,"A"))*4)+((COUNTIF('Elève (3ème4)'!GO21:GR21,"B"))*3)+((COUNTIF('Elève (3ème4)'!GO21:GR21,"C"))*2)+((COUNTIF('Elève (3ème4)'!GO21:GR21,"D"))*1))/(COUNTA(GO21:GR21)),"")</f>
        <v/>
      </c>
      <c r="GT21" s="168" t="str">
        <f t="shared" si="59"/>
        <v/>
      </c>
      <c r="GU21" s="124"/>
      <c r="GV21" s="125"/>
      <c r="GW21" s="126"/>
      <c r="GX21" s="126"/>
      <c r="GY21" s="126"/>
      <c r="GZ21" s="130"/>
      <c r="HA21" s="167" t="str">
        <f>IFERROR((((COUNTIF('Elève (3ème4)'!GU21:GZ21,"A"))*4)+((COUNTIF('Elève (3ème4)'!GU21:GZ21,"B"))*3)+((COUNTIF('Elève (3ème4)'!GU21:GZ21,"C"))*2)+((COUNTIF('Elève (3ème4)'!GU21:GZ21,"D"))*1))/(COUNTA(GU21:GZ21)),"")</f>
        <v/>
      </c>
      <c r="HB21" s="168" t="str">
        <f t="shared" si="60"/>
        <v/>
      </c>
      <c r="HC21" s="167">
        <f>IF(COUNT(GM21,GS21,HA21)=0,"",SUM(GM21,GS21,HA21)/COUNT(GM21,GS21,HA21))</f>
        <v>3.5</v>
      </c>
      <c r="HD21" s="192" t="str">
        <f t="shared" si="61"/>
        <v>B</v>
      </c>
      <c r="HE21" s="124" t="s">
        <v>30</v>
      </c>
      <c r="HF21" s="125" t="s">
        <v>30</v>
      </c>
      <c r="HG21" s="126"/>
      <c r="HH21" s="167">
        <f>IFERROR((((COUNTIF('Elève (3ème4)'!HE21:HG21,"A"))*4)+((COUNTIF('Elève (3ème4)'!HE21:HG21,"B"))*3)+((COUNTIF('Elève (3ème4)'!HE21:HG21,"C"))*2)+((COUNTIF('Elève (3ème4)'!HE21:HG21,"D"))*1))/(COUNTA(HE21:HG21)),"")</f>
        <v>1</v>
      </c>
      <c r="HI21" s="168" t="str">
        <f t="shared" si="62"/>
        <v>D</v>
      </c>
      <c r="HJ21" s="124"/>
      <c r="HK21" s="125"/>
      <c r="HL21" s="126"/>
      <c r="HM21" s="126"/>
      <c r="HN21" s="167" t="str">
        <f>IFERROR((((COUNTIF('Elève (3ème4)'!HJ21:HM21,"A"))*4)+((COUNTIF('Elève (3ème4)'!HJ21:HM21,"B"))*3)+((COUNTIF('Elève (3ème4)'!HJ21:HM21,"C"))*2)+((COUNTIF('Elève (3ème4)'!HJ21:HM21,"D"))*1))/(COUNTA(HJ21:HM21)),"")</f>
        <v/>
      </c>
      <c r="HO21" s="168" t="str">
        <f t="shared" si="63"/>
        <v/>
      </c>
      <c r="HP21" s="124"/>
      <c r="HQ21" s="125"/>
      <c r="HR21" s="126"/>
      <c r="HS21" s="126"/>
      <c r="HT21" s="126"/>
      <c r="HU21" s="130"/>
      <c r="HV21" s="167" t="str">
        <f>IFERROR((((COUNTIF('Elève (3ème4)'!HP21:HU21,"A"))*4)+((COUNTIF('Elève (3ème4)'!HP21:HU21,"B"))*3)+((COUNTIF('Elève (3ème4)'!HP21:HU21,"C"))*2)+((COUNTIF('Elève (3ème4)'!HP21:HU21,"D"))*1))/(COUNTA(HP21:HU21)),"")</f>
        <v/>
      </c>
      <c r="HW21" s="168" t="str">
        <f t="shared" si="64"/>
        <v/>
      </c>
      <c r="HX21" s="167">
        <f>IF(COUNT(HH21,HN21,HV21)=0,"",SUM(HH21,HN21,HV21)/COUNT(HH21,HN21,HV21))</f>
        <v>1</v>
      </c>
      <c r="HY21" s="192" t="str">
        <f t="shared" si="65"/>
        <v>D</v>
      </c>
      <c r="HZ21" s="124" t="s">
        <v>29</v>
      </c>
      <c r="IA21" s="125" t="s">
        <v>29</v>
      </c>
      <c r="IB21" s="126"/>
      <c r="IC21" s="167">
        <f>IFERROR((((COUNTIF('Elève (3ème4)'!HZ21:IB21,"A"))*4)+((COUNTIF('Elève (3ème4)'!HZ21:IB21,"B"))*3)+((COUNTIF('Elève (3ème4)'!HZ21:IB21,"C"))*2)+((COUNTIF('Elève (3ème4)'!HZ21:IB21,"D"))*1))/(COUNTA(HZ21:IB21)),"")</f>
        <v>2</v>
      </c>
      <c r="ID21" s="168" t="str">
        <f t="shared" si="66"/>
        <v>C</v>
      </c>
      <c r="IE21" s="124"/>
      <c r="IF21" s="125"/>
      <c r="IG21" s="126"/>
      <c r="IH21" s="126"/>
      <c r="II21" s="167" t="str">
        <f>IFERROR((((COUNTIF('Elève (3ème4)'!IE21:IH21,"A"))*4)+((COUNTIF('Elève (3ème4)'!IE21:IH21,"B"))*3)+((COUNTIF('Elève (3ème4)'!IE21:IH21,"C"))*2)+((COUNTIF('Elève (3ème4)'!IE21:IH21,"D"))*1))/(COUNTA(IE21:IH21)),"")</f>
        <v/>
      </c>
      <c r="IJ21" s="168" t="str">
        <f t="shared" si="67"/>
        <v/>
      </c>
      <c r="IK21" s="124"/>
      <c r="IL21" s="125"/>
      <c r="IM21" s="126"/>
      <c r="IN21" s="126"/>
      <c r="IO21" s="126"/>
      <c r="IP21" s="130"/>
      <c r="IQ21" s="167" t="str">
        <f>IFERROR((((COUNTIF('Elève (3ème4)'!IK21:IP21,"A"))*4)+((COUNTIF('Elève (3ème4)'!IK21:IP21,"B"))*3)+((COUNTIF('Elève (3ème4)'!IK21:IP21,"C"))*2)+((COUNTIF('Elève (3ème4)'!IK21:IP21,"D"))*1))/(COUNTA(IK21:IP21)),"")</f>
        <v/>
      </c>
      <c r="IR21" s="168" t="str">
        <f t="shared" si="68"/>
        <v/>
      </c>
      <c r="IS21" s="167">
        <f>IF(COUNT(IC21,II21,IQ21)=0,"",SUM(IC21,II21,IQ21)/COUNT(IC21,II21,IQ21))</f>
        <v>2</v>
      </c>
      <c r="IT21" s="192" t="str">
        <f t="shared" si="69"/>
        <v>C</v>
      </c>
      <c r="IU21" s="124" t="s">
        <v>30</v>
      </c>
      <c r="IV21" s="125" t="s">
        <v>29</v>
      </c>
      <c r="IW21" s="126"/>
      <c r="IX21" s="167">
        <f>IFERROR((((COUNTIF('Elève (3ème4)'!IU21:IW21,"A"))*4)+((COUNTIF('Elève (3ème4)'!IU21:IW21,"B"))*3)+((COUNTIF('Elève (3ème4)'!IU21:IW21,"C"))*2)+((COUNTIF('Elève (3ème4)'!IU21:IW21,"D"))*1))/(COUNTA(IU21:IW21)),"")</f>
        <v>1.5</v>
      </c>
      <c r="IY21" s="168" t="str">
        <f t="shared" si="70"/>
        <v>D</v>
      </c>
      <c r="IZ21" s="124"/>
      <c r="JA21" s="125"/>
      <c r="JB21" s="126"/>
      <c r="JC21" s="126"/>
      <c r="JD21" s="167" t="str">
        <f>IFERROR((((COUNTIF('Elève (3ème4)'!IZ21:JC21,"A"))*4)+((COUNTIF('Elève (3ème4)'!IZ21:JC21,"B"))*3)+((COUNTIF('Elève (3ème4)'!IZ21:JC21,"C"))*2)+((COUNTIF('Elève (3ème4)'!IZ21:JC21,"D"))*1))/(COUNTA(IZ21:JC21)),"")</f>
        <v/>
      </c>
      <c r="JE21" s="168" t="str">
        <f t="shared" si="71"/>
        <v/>
      </c>
      <c r="JF21" s="124"/>
      <c r="JG21" s="125"/>
      <c r="JH21" s="126"/>
      <c r="JI21" s="126"/>
      <c r="JJ21" s="126"/>
      <c r="JK21" s="130"/>
      <c r="JL21" s="167" t="str">
        <f>IFERROR((((COUNTIF('Elève (3ème4)'!JF21:JK21,"A"))*4)+((COUNTIF('Elève (3ème4)'!JF21:JK21,"B"))*3)+((COUNTIF('Elève (3ème4)'!JF21:JK21,"C"))*2)+((COUNTIF('Elève (3ème4)'!JF21:JK21,"D"))*1))/(COUNTA(JF21:JK21)),"")</f>
        <v/>
      </c>
      <c r="JM21" s="168" t="str">
        <f t="shared" si="72"/>
        <v/>
      </c>
      <c r="JN21" s="167">
        <f>IF(COUNT(IX21,JD21,JL21)=0,"",SUM(IX21,JD21,JL21)/COUNT(IX21,JD21,JL21))</f>
        <v>1.5</v>
      </c>
      <c r="JO21" s="192" t="str">
        <f t="shared" si="73"/>
        <v>D</v>
      </c>
      <c r="JP21" s="124" t="s">
        <v>28</v>
      </c>
      <c r="JQ21" s="125" t="s">
        <v>29</v>
      </c>
      <c r="JR21" s="126"/>
      <c r="JS21" s="167">
        <f>IFERROR((((COUNTIF('Elève (3ème4)'!JP21:JR21,"A"))*4)+((COUNTIF('Elève (3ème4)'!JP21:JR21,"B"))*3)+((COUNTIF('Elève (3ème4)'!JP21:JR21,"C"))*2)+((COUNTIF('Elève (3ème4)'!JP21:JR21,"D"))*1))/(COUNTA(JP21:JR21)),"")</f>
        <v>2.5</v>
      </c>
      <c r="JT21" s="168" t="str">
        <f t="shared" si="74"/>
        <v>C</v>
      </c>
      <c r="JU21" s="124"/>
      <c r="JV21" s="125"/>
      <c r="JW21" s="126"/>
      <c r="JX21" s="126"/>
      <c r="JY21" s="167" t="str">
        <f>IFERROR((((COUNTIF('Elève (3ème4)'!JU21:JX21,"A"))*4)+((COUNTIF('Elève (3ème4)'!JU21:JX21,"B"))*3)+((COUNTIF('Elève (3ème4)'!JU21:JX21,"C"))*2)+((COUNTIF('Elève (3ème4)'!JU21:JX21,"D"))*1))/(COUNTA(JU21:JX21)),"")</f>
        <v/>
      </c>
      <c r="JZ21" s="168" t="str">
        <f t="shared" si="75"/>
        <v/>
      </c>
      <c r="KA21" s="124"/>
      <c r="KB21" s="125"/>
      <c r="KC21" s="126"/>
      <c r="KD21" s="126"/>
      <c r="KE21" s="126"/>
      <c r="KF21" s="130"/>
      <c r="KG21" s="167" t="str">
        <f>IFERROR((((COUNTIF('Elève (3ème4)'!KA21:KF21,"A"))*4)+((COUNTIF('Elève (3ème4)'!KA21:KF21,"B"))*3)+((COUNTIF('Elève (3ème4)'!KA21:KF21,"C"))*2)+((COUNTIF('Elève (3ème4)'!KA21:KF21,"D"))*1))/(COUNTA(KA21:KF21)),"")</f>
        <v/>
      </c>
      <c r="KH21" s="168" t="str">
        <f t="shared" si="76"/>
        <v/>
      </c>
      <c r="KI21" s="167">
        <f>IF(COUNT(JS21,JY21,KG21)=0,"",SUM(JS21,JY21,KG21)/COUNT(JS21,JY21,KG21))</f>
        <v>2.5</v>
      </c>
      <c r="KJ21" s="192" t="str">
        <f t="shared" si="77"/>
        <v>C</v>
      </c>
      <c r="KK21" s="124" t="s">
        <v>28</v>
      </c>
      <c r="KL21" s="125" t="s">
        <v>28</v>
      </c>
      <c r="KM21" s="126"/>
      <c r="KN21" s="167">
        <f>IFERROR((((COUNTIF('Elève (3ème4)'!KK21:KM21,"A"))*4)+((COUNTIF('Elève (3ème4)'!KK21:KM21,"B"))*3)+((COUNTIF('Elève (3ème4)'!KK21:KM21,"C"))*2)+((COUNTIF('Elève (3ème4)'!KK21:KM21,"D"))*1))/(COUNTA(KK21:KM21)),"")</f>
        <v>3</v>
      </c>
      <c r="KO21" s="168" t="str">
        <f t="shared" si="78"/>
        <v>B</v>
      </c>
      <c r="KP21" s="124"/>
      <c r="KQ21" s="125"/>
      <c r="KR21" s="126"/>
      <c r="KS21" s="126"/>
      <c r="KT21" s="167" t="str">
        <f>IFERROR((((COUNTIF('Elève (3ème4)'!KP21:KS21,"A"))*4)+((COUNTIF('Elève (3ème4)'!KP21:KS21,"B"))*3)+((COUNTIF('Elève (3ème4)'!KP21:KS21,"C"))*2)+((COUNTIF('Elève (3ème4)'!KP21:KS21,"D"))*1))/(COUNTA(KP21:KS21)),"")</f>
        <v/>
      </c>
      <c r="KU21" s="168" t="str">
        <f t="shared" si="79"/>
        <v/>
      </c>
      <c r="KV21" s="124"/>
      <c r="KW21" s="125"/>
      <c r="KX21" s="126"/>
      <c r="KY21" s="126"/>
      <c r="KZ21" s="126"/>
      <c r="LA21" s="130"/>
      <c r="LB21" s="167" t="str">
        <f>IFERROR((((COUNTIF('Elève (3ème4)'!KV21:LA21,"A"))*4)+((COUNTIF('Elève (3ème4)'!KV21:LA21,"B"))*3)+((COUNTIF('Elève (3ème4)'!KV21:LA21,"C"))*2)+((COUNTIF('Elève (3ème4)'!KV21:LA21,"D"))*1))/(COUNTA(KV21:LA21)),"")</f>
        <v/>
      </c>
      <c r="LC21" s="168" t="str">
        <f t="shared" si="80"/>
        <v/>
      </c>
      <c r="LD21" s="167">
        <f>IF(COUNT(KN21,KT21,LB21)=0,"",SUM(KN21,KT21,LB21)/COUNT(KN21,KT21,LB21))</f>
        <v>3</v>
      </c>
      <c r="LE21" s="192" t="str">
        <f t="shared" si="81"/>
        <v>B</v>
      </c>
      <c r="LF21" s="124" t="s">
        <v>30</v>
      </c>
      <c r="LG21" s="125" t="s">
        <v>29</v>
      </c>
      <c r="LH21" s="126"/>
      <c r="LI21" s="167">
        <f>IFERROR((((COUNTIF('Elève (3ème4)'!LF21:LH21,"A"))*4)+((COUNTIF('Elève (3ème4)'!LF21:LH21,"B"))*3)+((COUNTIF('Elève (3ème4)'!LF21:LH21,"C"))*2)+((COUNTIF('Elève (3ème4)'!LF21:LH21,"D"))*1))/(COUNTA(LF21:LH21)),"")</f>
        <v>1.5</v>
      </c>
      <c r="LJ21" s="168" t="str">
        <f t="shared" si="82"/>
        <v>D</v>
      </c>
      <c r="LK21" s="124"/>
      <c r="LL21" s="125"/>
      <c r="LM21" s="126"/>
      <c r="LN21" s="126"/>
      <c r="LO21" s="167" t="str">
        <f>IFERROR((((COUNTIF('Elève (3ème4)'!LK21:LN21,"A"))*4)+((COUNTIF('Elève (3ème4)'!LK21:LN21,"B"))*3)+((COUNTIF('Elève (3ème4)'!LK21:LN21,"C"))*2)+((COUNTIF('Elève (3ème4)'!LK21:LN21,"D"))*1))/(COUNTA(LK21:LN21)),"")</f>
        <v/>
      </c>
      <c r="LP21" s="168" t="str">
        <f t="shared" si="83"/>
        <v/>
      </c>
      <c r="LQ21" s="124"/>
      <c r="LR21" s="125"/>
      <c r="LS21" s="126"/>
      <c r="LT21" s="126"/>
      <c r="LU21" s="126"/>
      <c r="LV21" s="130"/>
      <c r="LW21" s="167" t="str">
        <f>IFERROR((((COUNTIF('Elève (3ème4)'!LQ21:LV21,"A"))*4)+((COUNTIF('Elève (3ème4)'!LQ21:LV21,"B"))*3)+((COUNTIF('Elève (3ème4)'!LQ21:LV21,"C"))*2)+((COUNTIF('Elève (3ème4)'!LQ21:LV21,"D"))*1))/(COUNTA(LQ21:LV21)),"")</f>
        <v/>
      </c>
      <c r="LX21" s="168" t="str">
        <f t="shared" si="84"/>
        <v/>
      </c>
      <c r="LY21" s="167">
        <f>IF(COUNT(LI21,LO21,LW21)=0,"",SUM(LI21,LO21,LW21)/COUNT(LI21,LO21,LW21))</f>
        <v>1.5</v>
      </c>
      <c r="LZ21" s="192" t="str">
        <f t="shared" si="85"/>
        <v>D</v>
      </c>
      <c r="MA21" s="124" t="s">
        <v>29</v>
      </c>
      <c r="MB21" s="125" t="s">
        <v>28</v>
      </c>
      <c r="MC21" s="126"/>
      <c r="MD21" s="167">
        <f>IFERROR((((COUNTIF('Elève (3ème4)'!MA21:MC21,"A"))*4)+((COUNTIF('Elève (3ème4)'!MA21:MC21,"B"))*3)+((COUNTIF('Elève (3ème4)'!MA21:MC21,"C"))*2)+((COUNTIF('Elève (3ème4)'!MA21:MC21,"D"))*1))/(COUNTA(MA21:MC21)),"")</f>
        <v>2.5</v>
      </c>
      <c r="ME21" s="168" t="str">
        <f t="shared" si="86"/>
        <v>C</v>
      </c>
      <c r="MF21" s="124"/>
      <c r="MG21" s="125"/>
      <c r="MH21" s="126"/>
      <c r="MI21" s="126"/>
      <c r="MJ21" s="167" t="str">
        <f>IFERROR((((COUNTIF('Elève (3ème4)'!MF21:MI21,"A"))*4)+((COUNTIF('Elève (3ème4)'!MF21:MI21,"B"))*3)+((COUNTIF('Elève (3ème4)'!MF21:MI21,"C"))*2)+((COUNTIF('Elève (3ème4)'!MF21:MI21,"D"))*1))/(COUNTA(MF21:MI21)),"")</f>
        <v/>
      </c>
      <c r="MK21" s="168" t="str">
        <f t="shared" si="87"/>
        <v/>
      </c>
      <c r="ML21" s="124"/>
      <c r="MM21" s="125"/>
      <c r="MN21" s="126"/>
      <c r="MO21" s="126"/>
      <c r="MP21" s="126"/>
      <c r="MQ21" s="130"/>
      <c r="MR21" s="167" t="str">
        <f>IFERROR((((COUNTIF('Elève (3ème4)'!ML21:MQ21,"A"))*4)+((COUNTIF('Elève (3ème4)'!ML21:MQ21,"B"))*3)+((COUNTIF('Elève (3ème4)'!ML21:MQ21,"C"))*2)+((COUNTIF('Elève (3ème4)'!ML21:MQ21,"D"))*1))/(COUNTA(ML21:MQ21)),"")</f>
        <v/>
      </c>
      <c r="MS21" s="168" t="str">
        <f t="shared" si="88"/>
        <v/>
      </c>
      <c r="MT21" s="167">
        <f>IF(COUNT(MD21,MJ21,MR21)=0,"",SUM(MD21,MJ21,MR21)/COUNT(MD21,MJ21,MR21))</f>
        <v>2.5</v>
      </c>
      <c r="MU21" s="192" t="str">
        <f t="shared" si="89"/>
        <v>C</v>
      </c>
      <c r="MV21" s="124" t="s">
        <v>30</v>
      </c>
      <c r="MW21" s="125" t="s">
        <v>29</v>
      </c>
      <c r="MX21" s="126"/>
      <c r="MY21" s="167">
        <f>IFERROR((((COUNTIF('Elève (3ème4)'!MV21:MX21,"A"))*4)+((COUNTIF('Elève (3ème4)'!MV21:MX21,"B"))*3)+((COUNTIF('Elève (3ème4)'!MV21:MX21,"C"))*2)+((COUNTIF('Elève (3ème4)'!MV21:MX21,"D"))*1))/(COUNTA(MV21:MX21)),"")</f>
        <v>1.5</v>
      </c>
      <c r="MZ21" s="168" t="str">
        <f t="shared" si="90"/>
        <v>D</v>
      </c>
      <c r="NA21" s="124"/>
      <c r="NB21" s="125"/>
      <c r="NC21" s="126"/>
      <c r="ND21" s="126"/>
      <c r="NE21" s="167" t="str">
        <f>IFERROR((((COUNTIF('Elève (3ème4)'!NA21:ND21,"A"))*4)+((COUNTIF('Elève (3ème4)'!NA21:ND21,"B"))*3)+((COUNTIF('Elève (3ème4)'!NA21:ND21,"C"))*2)+((COUNTIF('Elève (3ème4)'!NA21:ND21,"D"))*1))/(COUNTA(NA21:ND21)),"")</f>
        <v/>
      </c>
      <c r="NF21" s="168" t="str">
        <f t="shared" si="91"/>
        <v/>
      </c>
      <c r="NG21" s="124"/>
      <c r="NH21" s="125"/>
      <c r="NI21" s="126"/>
      <c r="NJ21" s="126"/>
      <c r="NK21" s="126"/>
      <c r="NL21" s="130"/>
      <c r="NM21" s="167" t="str">
        <f>IFERROR((((COUNTIF('Elève (3ème4)'!NG21:NL21,"A"))*4)+((COUNTIF('Elève (3ème4)'!NG21:NL21,"B"))*3)+((COUNTIF('Elève (3ème4)'!NG21:NL21,"C"))*2)+((COUNTIF('Elève (3ème4)'!NG21:NL21,"D"))*1))/(COUNTA(NG21:NL21)),"")</f>
        <v/>
      </c>
      <c r="NN21" s="168" t="str">
        <f t="shared" si="92"/>
        <v/>
      </c>
      <c r="NO21" s="167">
        <f>IF(COUNT(MY21,NE21,NM21)=0,"",SUM(MY21,NE21,NM21)/COUNT(MY21,NE21,NM21))</f>
        <v>1.5</v>
      </c>
      <c r="NP21" s="192" t="str">
        <f t="shared" si="93"/>
        <v>D</v>
      </c>
      <c r="NQ21" s="124" t="s">
        <v>27</v>
      </c>
      <c r="NR21" s="125" t="s">
        <v>28</v>
      </c>
      <c r="NS21" s="126"/>
      <c r="NT21" s="167">
        <f>IFERROR((((COUNTIF('Elève (3ème4)'!NQ21:NS21,"A"))*4)+((COUNTIF('Elève (3ème4)'!NQ21:NS21,"B"))*3)+((COUNTIF('Elève (3ème4)'!NQ21:NS21,"C"))*2)+((COUNTIF('Elève (3ème4)'!NQ21:NS21,"D"))*1))/(COUNTA(NQ21:NS21)),"")</f>
        <v>3.5</v>
      </c>
      <c r="NU21" s="168" t="str">
        <f t="shared" si="94"/>
        <v>B</v>
      </c>
      <c r="NV21" s="124"/>
      <c r="NW21" s="125"/>
      <c r="NX21" s="126"/>
      <c r="NY21" s="126"/>
      <c r="NZ21" s="167" t="str">
        <f>IFERROR((((COUNTIF('Elève (3ème4)'!NV21:NY21,"A"))*4)+((COUNTIF('Elève (3ème4)'!NV21:NY21,"B"))*3)+((COUNTIF('Elève (3ème4)'!NV21:NY21,"C"))*2)+((COUNTIF('Elève (3ème4)'!NV21:NY21,"D"))*1))/(COUNTA(NV21:NY21)),"")</f>
        <v/>
      </c>
      <c r="OA21" s="168" t="str">
        <f t="shared" si="95"/>
        <v/>
      </c>
      <c r="OB21" s="124"/>
      <c r="OC21" s="125"/>
      <c r="OD21" s="126"/>
      <c r="OE21" s="126"/>
      <c r="OF21" s="126"/>
      <c r="OG21" s="130"/>
      <c r="OH21" s="167" t="str">
        <f>IFERROR((((COUNTIF('Elève (3ème4)'!OB21:OG21,"A"))*4)+((COUNTIF('Elève (3ème4)'!OB21:OG21,"B"))*3)+((COUNTIF('Elève (3ème4)'!OB21:OG21,"C"))*2)+((COUNTIF('Elève (3ème4)'!OB21:OG21,"D"))*1))/(COUNTA(OB21:OG21)),"")</f>
        <v/>
      </c>
      <c r="OI21" s="168" t="str">
        <f t="shared" si="96"/>
        <v/>
      </c>
      <c r="OJ21" s="167">
        <f>IF(COUNT(NT21,NZ21,OH21)=0,"",SUM(NT21,NZ21,OH21)/COUNT(NT21,NZ21,OH21))</f>
        <v>3.5</v>
      </c>
      <c r="OK21" s="192" t="str">
        <f t="shared" si="97"/>
        <v>B</v>
      </c>
      <c r="OL21" s="124" t="s">
        <v>30</v>
      </c>
      <c r="OM21" s="125" t="s">
        <v>28</v>
      </c>
      <c r="ON21" s="126"/>
      <c r="OO21" s="167">
        <f>IFERROR((((COUNTIF('Elève (3ème4)'!OL21:ON21,"A"))*4)+((COUNTIF('Elève (3ème4)'!OL21:ON21,"B"))*3)+((COUNTIF('Elève (3ème4)'!OL21:ON21,"C"))*2)+((COUNTIF('Elève (3ème4)'!OL21:ON21,"D"))*1))/(COUNTA(OL21:ON21)),"")</f>
        <v>2</v>
      </c>
      <c r="OP21" s="168" t="str">
        <f t="shared" si="98"/>
        <v>C</v>
      </c>
      <c r="OQ21" s="124"/>
      <c r="OR21" s="125"/>
      <c r="OS21" s="126"/>
      <c r="OT21" s="126"/>
      <c r="OU21" s="167" t="str">
        <f>IFERROR((((COUNTIF('Elève (3ème4)'!OQ21:OT21,"A"))*4)+((COUNTIF('Elève (3ème4)'!OQ21:OT21,"B"))*3)+((COUNTIF('Elève (3ème4)'!OQ21:OT21,"C"))*2)+((COUNTIF('Elève (3ème4)'!OQ21:OT21,"D"))*1))/(COUNTA(OQ21:OT21)),"")</f>
        <v/>
      </c>
      <c r="OV21" s="168" t="str">
        <f t="shared" si="99"/>
        <v/>
      </c>
      <c r="OW21" s="124"/>
      <c r="OX21" s="125"/>
      <c r="OY21" s="126"/>
      <c r="OZ21" s="126"/>
      <c r="PA21" s="126"/>
      <c r="PB21" s="130"/>
      <c r="PC21" s="167" t="str">
        <f>IFERROR((((COUNTIF('Elève (3ème4)'!OW21:PB21,"A"))*4)+((COUNTIF('Elève (3ème4)'!OW21:PB21,"B"))*3)+((COUNTIF('Elève (3ème4)'!OW21:PB21,"C"))*2)+((COUNTIF('Elève (3ème4)'!OW21:PB21,"D"))*1))/(COUNTA(OW21:PB21)),"")</f>
        <v/>
      </c>
      <c r="PD21" s="168" t="str">
        <f t="shared" si="100"/>
        <v/>
      </c>
      <c r="PE21" s="167">
        <f>IF(COUNT(OO21,OU21,PC21)=0,"",SUM(OO21,OU21,PC21)/COUNT(OO21,OU21,PC21))</f>
        <v>2</v>
      </c>
      <c r="PF21" s="192" t="str">
        <f t="shared" si="101"/>
        <v>C</v>
      </c>
      <c r="PG21" s="124" t="s">
        <v>29</v>
      </c>
      <c r="PH21" s="125" t="s">
        <v>28</v>
      </c>
      <c r="PI21" s="126"/>
      <c r="PJ21" s="167">
        <f>IFERROR((((COUNTIF('Elève (3ème4)'!PG21:PI21,"A"))*4)+((COUNTIF('Elève (3ème4)'!PG21:PI21,"B"))*3)+((COUNTIF('Elève (3ème4)'!PG21:PI21,"C"))*2)+((COUNTIF('Elève (3ème4)'!PG21:PI21,"D"))*1))/(COUNTA(PG21:PI21)),"")</f>
        <v>2.5</v>
      </c>
      <c r="PK21" s="168" t="str">
        <f t="shared" si="102"/>
        <v>C</v>
      </c>
      <c r="PL21" s="124"/>
      <c r="PM21" s="125"/>
      <c r="PN21" s="126"/>
      <c r="PO21" s="126"/>
      <c r="PP21" s="167" t="str">
        <f>IFERROR((((COUNTIF('Elève (3ème4)'!PL21:PO21,"A"))*4)+((COUNTIF('Elève (3ème4)'!PL21:PO21,"B"))*3)+((COUNTIF('Elève (3ème4)'!PL21:PO21,"C"))*2)+((COUNTIF('Elève (3ème4)'!PL21:PO21,"D"))*1))/(COUNTA(PL21:PO21)),"")</f>
        <v/>
      </c>
      <c r="PQ21" s="168" t="str">
        <f t="shared" si="103"/>
        <v/>
      </c>
      <c r="PR21" s="124"/>
      <c r="PS21" s="125"/>
      <c r="PT21" s="126"/>
      <c r="PU21" s="126"/>
      <c r="PV21" s="126"/>
      <c r="PW21" s="130"/>
      <c r="PX21" s="167" t="str">
        <f>IFERROR((((COUNTIF('Elève (3ème4)'!PR21:PW21,"A"))*4)+((COUNTIF('Elève (3ème4)'!PR21:PW21,"B"))*3)+((COUNTIF('Elève (3ème4)'!PR21:PW21,"C"))*2)+((COUNTIF('Elève (3ème4)'!PR21:PW21,"D"))*1))/(COUNTA(PR21:PW21)),"")</f>
        <v/>
      </c>
      <c r="PY21" s="168" t="str">
        <f t="shared" si="104"/>
        <v/>
      </c>
      <c r="PZ21" s="167">
        <f>IF(COUNT(PJ21,PP21,PX21)=0,"",SUM(PJ21,PP21,PX21)/COUNT(PJ21,PP21,PX21))</f>
        <v>2.5</v>
      </c>
      <c r="QA21" s="192" t="str">
        <f t="shared" si="105"/>
        <v>C</v>
      </c>
      <c r="QB21" s="124" t="s">
        <v>30</v>
      </c>
      <c r="QC21" s="125" t="s">
        <v>28</v>
      </c>
      <c r="QD21" s="126"/>
      <c r="QE21" s="167">
        <f>IFERROR((((COUNTIF('Elève (3ème4)'!QB21:QD21,"A"))*4)+((COUNTIF('Elève (3ème4)'!QB21:QD21,"B"))*3)+((COUNTIF('Elève (3ème4)'!QB21:QD21,"C"))*2)+((COUNTIF('Elève (3ème4)'!QB21:QD21,"D"))*1))/(COUNTA(QB21:QD21)),"")</f>
        <v>2</v>
      </c>
      <c r="QF21" s="168" t="str">
        <f t="shared" si="106"/>
        <v>C</v>
      </c>
      <c r="QG21" s="124"/>
      <c r="QH21" s="125"/>
      <c r="QI21" s="126"/>
      <c r="QJ21" s="126"/>
      <c r="QK21" s="167" t="str">
        <f>IFERROR((((COUNTIF('Elève (3ème4)'!QG21:QJ21,"A"))*4)+((COUNTIF('Elève (3ème4)'!QG21:QJ21,"B"))*3)+((COUNTIF('Elève (3ème4)'!QG21:QJ21,"C"))*2)+((COUNTIF('Elève (3ème4)'!QG21:QJ21,"D"))*1))/(COUNTA(QG21:QJ21)),"")</f>
        <v/>
      </c>
      <c r="QL21" s="168" t="str">
        <f t="shared" si="107"/>
        <v/>
      </c>
      <c r="QM21" s="124"/>
      <c r="QN21" s="125"/>
      <c r="QO21" s="126"/>
      <c r="QP21" s="126"/>
      <c r="QQ21" s="126"/>
      <c r="QR21" s="130"/>
      <c r="QS21" s="167" t="str">
        <f>IFERROR((((COUNTIF('Elève (3ème4)'!QM21:QR21,"A"))*4)+((COUNTIF('Elève (3ème4)'!QM21:QR21,"B"))*3)+((COUNTIF('Elève (3ème4)'!QM21:QR21,"C"))*2)+((COUNTIF('Elève (3ème4)'!QM21:QR21,"D"))*1))/(COUNTA(QM21:QR21)),"")</f>
        <v/>
      </c>
      <c r="QT21" s="168" t="str">
        <f t="shared" si="108"/>
        <v/>
      </c>
      <c r="QU21" s="167">
        <f>IF(COUNT(QE21,QK21,QS21)=0,"",SUM(QE21,QK21,QS21)/COUNT(QE21,QK21,QS21))</f>
        <v>2</v>
      </c>
      <c r="QV21" s="192" t="str">
        <f t="shared" si="109"/>
        <v>C</v>
      </c>
      <c r="QW21" s="124" t="s">
        <v>29</v>
      </c>
      <c r="QX21" s="125" t="s">
        <v>28</v>
      </c>
      <c r="QY21" s="126"/>
      <c r="QZ21" s="167">
        <f>IFERROR((((COUNTIF('Elève (3ème4)'!QW21:QY21,"A"))*4)+((COUNTIF('Elève (3ème4)'!QW21:QY21,"B"))*3)+((COUNTIF('Elève (3ème4)'!QW21:QY21,"C"))*2)+((COUNTIF('Elève (3ème4)'!QW21:QY21,"D"))*1))/(COUNTA(QW21:QY21)),"")</f>
        <v>2.5</v>
      </c>
      <c r="RA21" s="168" t="str">
        <f t="shared" si="110"/>
        <v>C</v>
      </c>
      <c r="RB21" s="124"/>
      <c r="RC21" s="125"/>
      <c r="RD21" s="126"/>
      <c r="RE21" s="126"/>
      <c r="RF21" s="167" t="str">
        <f>IFERROR((((COUNTIF('Elève (3ème4)'!RB21:RE21,"A"))*4)+((COUNTIF('Elève (3ème4)'!RB21:RE21,"B"))*3)+((COUNTIF('Elève (3ème4)'!RB21:RE21,"C"))*2)+((COUNTIF('Elève (3ème4)'!RB21:RE21,"D"))*1))/(COUNTA(RB21:RE21)),"")</f>
        <v/>
      </c>
      <c r="RG21" s="168" t="str">
        <f t="shared" si="111"/>
        <v/>
      </c>
      <c r="RH21" s="124"/>
      <c r="RI21" s="125"/>
      <c r="RJ21" s="126"/>
      <c r="RK21" s="126"/>
      <c r="RL21" s="126"/>
      <c r="RM21" s="130"/>
      <c r="RN21" s="167" t="str">
        <f>IFERROR((((COUNTIF('Elève (3ème4)'!RH21:RM21,"A"))*4)+((COUNTIF('Elève (3ème4)'!RH21:RM21,"B"))*3)+((COUNTIF('Elève (3ème4)'!RH21:RM21,"C"))*2)+((COUNTIF('Elève (3ème4)'!RH21:RM21,"D"))*1))/(COUNTA(RH21:RM21)),"")</f>
        <v/>
      </c>
      <c r="RO21" s="168" t="str">
        <f t="shared" si="112"/>
        <v/>
      </c>
      <c r="RP21" s="167">
        <f>IF(COUNT(QZ21,RF21,RN21)=0,"",SUM(QZ21,RF21,RN21)/COUNT(QZ21,RF21,RN21))</f>
        <v>2.5</v>
      </c>
      <c r="RQ21" s="192" t="str">
        <f t="shared" si="113"/>
        <v>C</v>
      </c>
      <c r="RR21" s="124" t="s">
        <v>29</v>
      </c>
      <c r="RS21" s="125" t="s">
        <v>28</v>
      </c>
      <c r="RT21" s="126"/>
      <c r="RU21" s="167">
        <f>IFERROR((((COUNTIF('Elève (3ème4)'!RR21:RT21,"A"))*4)+((COUNTIF('Elève (3ème4)'!RR21:RT21,"B"))*3)+((COUNTIF('Elève (3ème4)'!RR21:RT21,"C"))*2)+((COUNTIF('Elève (3ème4)'!RR21:RT21,"D"))*1))/(COUNTA(RR21:RT21)),"")</f>
        <v>2.5</v>
      </c>
      <c r="RV21" s="168" t="str">
        <f t="shared" si="114"/>
        <v>C</v>
      </c>
      <c r="RW21" s="124"/>
      <c r="RX21" s="125"/>
      <c r="RY21" s="126"/>
      <c r="RZ21" s="126"/>
      <c r="SA21" s="167" t="str">
        <f>IFERROR((((COUNTIF('Elève (3ème4)'!RW21:RZ21,"A"))*4)+((COUNTIF('Elève (3ème4)'!RW21:RZ21,"B"))*3)+((COUNTIF('Elève (3ème4)'!RW21:RZ21,"C"))*2)+((COUNTIF('Elève (3ème4)'!RW21:RZ21,"D"))*1))/(COUNTA(RW21:RZ21)),"")</f>
        <v/>
      </c>
      <c r="SB21" s="168" t="str">
        <f t="shared" si="115"/>
        <v/>
      </c>
      <c r="SC21" s="124"/>
      <c r="SD21" s="125"/>
      <c r="SE21" s="126"/>
      <c r="SF21" s="126"/>
      <c r="SG21" s="126"/>
      <c r="SH21" s="130"/>
      <c r="SI21" s="167" t="str">
        <f>IFERROR((((COUNTIF('Elève (3ème4)'!SC21:SH21,"A"))*4)+((COUNTIF('Elève (3ème4)'!SC21:SH21,"B"))*3)+((COUNTIF('Elève (3ème4)'!SC21:SH21,"C"))*2)+((COUNTIF('Elève (3ème4)'!SC21:SH21,"D"))*1))/(COUNTA(SC21:SH21)),"")</f>
        <v/>
      </c>
      <c r="SJ21" s="168" t="str">
        <f t="shared" si="116"/>
        <v/>
      </c>
      <c r="SK21" s="167">
        <f>IF(COUNT(RU21,SA21,SI21)=0,"",SUM(RU21,SA21,SI21)/COUNT(RU21,SA21,SI21))</f>
        <v>2.5</v>
      </c>
      <c r="SL21" s="192" t="str">
        <f t="shared" si="117"/>
        <v>C</v>
      </c>
      <c r="SM21" s="124"/>
      <c r="SN21" s="125"/>
      <c r="SO21" s="126"/>
      <c r="SP21" s="127" t="str">
        <f>IFERROR((((COUNTIF('Elève (3ème4)'!SM21:SO21,"A"))*4)+((COUNTIF('Elève (3ème4)'!SM21:SO21,"B"))*3)+((COUNTIF('Elève (3ème4)'!SM21:SO21,"C"))*2)+((COUNTIF('Elève (3ème4)'!SM21:SO21,"D"))*1))/(COUNTA(SM21:SO21)),"")</f>
        <v/>
      </c>
      <c r="SQ21" s="128" t="str">
        <f t="shared" si="118"/>
        <v/>
      </c>
      <c r="SR21" s="124"/>
      <c r="SS21" s="125"/>
      <c r="ST21" s="126"/>
      <c r="SU21" s="127" t="str">
        <f>IFERROR((((COUNTIF('Elève (3ème4)'!SR21:ST21,"A"))*4)+((COUNTIF('Elève (3ème4)'!SR21:ST21,"B"))*3)+((COUNTIF('Elève (3ème4)'!SR21:ST21,"C"))*2)+((COUNTIF('Elève (3ème4)'!SR21:ST21,"D"))*1))/(COUNTA(SR21:ST21)),"")</f>
        <v/>
      </c>
      <c r="SV21" s="128" t="str">
        <f t="shared" si="119"/>
        <v/>
      </c>
      <c r="SW21" s="124"/>
      <c r="SX21" s="125"/>
      <c r="SY21" s="130"/>
      <c r="SZ21" s="127" t="str">
        <f>IFERROR((((COUNTIF('Elève (3ème4)'!SW21:SY21,"A"))*4)+((COUNTIF('Elève (3ème4)'!SW21:SY21,"B"))*3)+((COUNTIF('Elève (3ème4)'!SW21:SY21,"C"))*2)+((COUNTIF('Elève (3ème4)'!SW21:SY21,"D"))*1))/(COUNTA(SW21:SY21)),"")</f>
        <v/>
      </c>
      <c r="TA21" s="128" t="str">
        <f t="shared" si="120"/>
        <v/>
      </c>
      <c r="TB21" s="127" t="str">
        <f>IF(COUNT(SP21,SU21,SZ21)=0,"",SUM(SP21,SU21,SZ21)/COUNT(SP21,SU21,SZ21))</f>
        <v/>
      </c>
      <c r="TC21" s="129" t="str">
        <f t="shared" si="121"/>
        <v/>
      </c>
      <c r="TD21" s="124"/>
      <c r="TE21" s="125"/>
      <c r="TF21" s="126"/>
      <c r="TG21" s="127" t="str">
        <f>IFERROR((((COUNTIF('Elève (3ème4)'!TD21:TF21,"A"))*4)+((COUNTIF('Elève (3ème4)'!TD21:TF21,"B"))*3)+((COUNTIF('Elève (3ème4)'!TD21:TF21,"C"))*2)+((COUNTIF('Elève (3ème4)'!TD21:TF21,"D"))*1))/(COUNTA(TD21:TF21)),"")</f>
        <v/>
      </c>
      <c r="TH21" s="128" t="str">
        <f t="shared" si="122"/>
        <v/>
      </c>
      <c r="TI21" s="124"/>
      <c r="TJ21" s="125"/>
      <c r="TK21" s="126"/>
      <c r="TL21" s="127" t="str">
        <f>IFERROR((((COUNTIF('Elève (3ème4)'!TI21:TK21,"A"))*4)+((COUNTIF('Elève (3ème4)'!TI21:TK21,"B"))*3)+((COUNTIF('Elève (3ème4)'!TI21:TK21,"C"))*2)+((COUNTIF('Elève (3ème4)'!TI21:TK21,"D"))*1))/(COUNTA(TI21:TK21)),"")</f>
        <v/>
      </c>
      <c r="TM21" s="128" t="str">
        <f t="shared" si="123"/>
        <v/>
      </c>
      <c r="TN21" s="124"/>
      <c r="TO21" s="125"/>
      <c r="TP21" s="130"/>
      <c r="TQ21" s="127" t="str">
        <f>IFERROR((((COUNTIF('Elève (3ème4)'!TN21:TP21,"A"))*4)+((COUNTIF('Elève (3ème4)'!TN21:TP21,"B"))*3)+((COUNTIF('Elève (3ème4)'!TN21:TP21,"C"))*2)+((COUNTIF('Elève (3ème4)'!TN21:TP21,"D"))*1))/(COUNTA(TN21:TP21)),"")</f>
        <v/>
      </c>
      <c r="TR21" s="128" t="str">
        <f t="shared" si="124"/>
        <v/>
      </c>
      <c r="TS21" s="127" t="str">
        <f>IF(COUNT(TG21,TL21,TQ21)=0,"",SUM(TG21,TL21,TQ21)/COUNT(TG21,TL21,TQ21))</f>
        <v/>
      </c>
      <c r="TT21" s="129" t="str">
        <f t="shared" si="125"/>
        <v/>
      </c>
      <c r="TU21" s="124"/>
      <c r="TV21" s="125"/>
      <c r="TW21" s="126"/>
      <c r="TX21" s="127" t="str">
        <f>IFERROR((((COUNTIF('Elève (3ème4)'!TU21:TW21,"A"))*4)+((COUNTIF('Elève (3ème4)'!TU21:TW21,"B"))*3)+((COUNTIF('Elève (3ème4)'!TU21:TW21,"C"))*2)+((COUNTIF('Elève (3ème4)'!TU21:TW21,"D"))*1))/(COUNTA(TU21:TW21)),"")</f>
        <v/>
      </c>
      <c r="TY21" s="128" t="str">
        <f t="shared" si="126"/>
        <v/>
      </c>
      <c r="TZ21" s="124"/>
      <c r="UA21" s="125"/>
      <c r="UB21" s="126"/>
      <c r="UC21" s="127" t="str">
        <f>IFERROR((((COUNTIF('Elève (3ème4)'!TZ21:UB21,"A"))*4)+((COUNTIF('Elève (3ème4)'!TZ21:UB21,"B"))*3)+((COUNTIF('Elève (3ème4)'!TZ21:UB21,"C"))*2)+((COUNTIF('Elève (3ème4)'!TZ21:UB21,"D"))*1))/(COUNTA(TZ21:UB21)),"")</f>
        <v/>
      </c>
      <c r="UD21" s="128" t="str">
        <f t="shared" si="127"/>
        <v/>
      </c>
      <c r="UE21" s="124"/>
      <c r="UF21" s="125"/>
      <c r="UG21" s="130"/>
      <c r="UH21" s="127" t="str">
        <f>IFERROR((((COUNTIF('Elève (3ème4)'!UE21:UG21,"A"))*4)+((COUNTIF('Elève (3ème4)'!UE21:UG21,"B"))*3)+((COUNTIF('Elève (3ème4)'!UE21:UG21,"C"))*2)+((COUNTIF('Elève (3ème4)'!UE21:UG21,"D"))*1))/(COUNTA(UE21:UG21)),"")</f>
        <v/>
      </c>
      <c r="UI21" s="128" t="str">
        <f t="shared" si="128"/>
        <v/>
      </c>
      <c r="UJ21" s="127" t="str">
        <f>IF(COUNT(TX21,UC21,UH21)=0,"",SUM(TX21,UC21,UH21)/COUNT(TX21,UC21,UH21))</f>
        <v/>
      </c>
      <c r="UK21" s="129" t="str">
        <f t="shared" si="129"/>
        <v/>
      </c>
      <c r="UL21" s="124"/>
      <c r="UM21" s="125"/>
      <c r="UN21" s="126"/>
      <c r="UO21" s="127" t="str">
        <f>IFERROR((((COUNTIF('Elève (3ème4)'!UL21:UN21,"A"))*4)+((COUNTIF('Elève (3ème4)'!UL21:UN21,"B"))*3)+((COUNTIF('Elève (3ème4)'!UL21:UN21,"C"))*2)+((COUNTIF('Elève (3ème4)'!UL21:UN21,"D"))*1))/(COUNTA(UL21:UN21)),"")</f>
        <v/>
      </c>
      <c r="UP21" s="128" t="str">
        <f t="shared" si="130"/>
        <v/>
      </c>
      <c r="UQ21" s="124"/>
      <c r="UR21" s="125"/>
      <c r="US21" s="126"/>
      <c r="UT21" s="127" t="str">
        <f>IFERROR((((COUNTIF('Elève (3ème4)'!UQ21:US21,"A"))*4)+((COUNTIF('Elève (3ème4)'!UQ21:US21,"B"))*3)+((COUNTIF('Elève (3ème4)'!UQ21:US21,"C"))*2)+((COUNTIF('Elève (3ème4)'!UQ21:US21,"D"))*1))/(COUNTA(UQ21:US21)),"")</f>
        <v/>
      </c>
      <c r="UU21" s="128" t="str">
        <f t="shared" si="131"/>
        <v/>
      </c>
      <c r="UV21" s="124"/>
      <c r="UW21" s="125"/>
      <c r="UX21" s="130"/>
      <c r="UY21" s="127" t="str">
        <f>IFERROR((((COUNTIF('Elève (3ème4)'!UV21:UX21,"A"))*4)+((COUNTIF('Elève (3ème4)'!UV21:UX21,"B"))*3)+((COUNTIF('Elève (3ème4)'!UV21:UX21,"C"))*2)+((COUNTIF('Elève (3ème4)'!UV21:UX21,"D"))*1))/(COUNTA(UV21:UX21)),"")</f>
        <v/>
      </c>
      <c r="UZ21" s="128" t="str">
        <f t="shared" si="132"/>
        <v/>
      </c>
      <c r="VA21" s="127" t="str">
        <f>IF(COUNT(UO21,UT21,UY21)=0,"",SUM(UO21,UT21,UY21)/COUNT(UO21,UT21,UY21))</f>
        <v/>
      </c>
      <c r="VB21" s="129" t="str">
        <f t="shared" si="133"/>
        <v/>
      </c>
      <c r="VC21" s="124"/>
      <c r="VD21" s="125"/>
      <c r="VE21" s="126"/>
      <c r="VF21" s="127" t="str">
        <f>IFERROR((((COUNTIF('Elève (3ème4)'!VC21:VE21,"A"))*4)+((COUNTIF('Elève (3ème4)'!VC21:VE21,"B"))*3)+((COUNTIF('Elève (3ème4)'!VC21:VE21,"C"))*2)+((COUNTIF('Elève (3ème4)'!VC21:VE21,"D"))*1))/(COUNTA(VC21:VE21)),"")</f>
        <v/>
      </c>
      <c r="VG21" s="128" t="str">
        <f t="shared" si="134"/>
        <v/>
      </c>
      <c r="VH21" s="124"/>
      <c r="VI21" s="125"/>
      <c r="VJ21" s="126"/>
      <c r="VK21" s="127" t="str">
        <f>IFERROR((((COUNTIF('Elève (3ème4)'!VH21:VJ21,"A"))*4)+((COUNTIF('Elève (3ème4)'!VH21:VJ21,"B"))*3)+((COUNTIF('Elève (3ème4)'!VH21:VJ21,"C"))*2)+((COUNTIF('Elève (3ème4)'!VH21:VJ21,"D"))*1))/(COUNTA(VH21:VJ21)),"")</f>
        <v/>
      </c>
      <c r="VL21" s="128" t="str">
        <f t="shared" si="135"/>
        <v/>
      </c>
      <c r="VM21" s="124"/>
      <c r="VN21" s="125"/>
      <c r="VO21" s="130"/>
      <c r="VP21" s="127" t="str">
        <f>IFERROR((((COUNTIF('Elève (3ème4)'!VM21:VO21,"A"))*4)+((COUNTIF('Elève (3ème4)'!VM21:VO21,"B"))*3)+((COUNTIF('Elève (3ème4)'!VM21:VO21,"C"))*2)+((COUNTIF('Elève (3ème4)'!VM21:VO21,"D"))*1))/(COUNTA(VM21:VO21)),"")</f>
        <v/>
      </c>
      <c r="VQ21" s="128" t="str">
        <f t="shared" si="136"/>
        <v/>
      </c>
      <c r="VR21" s="127" t="str">
        <f>IF(COUNT(VF21,VK21,VP21)=0,"",SUM(VF21,VK21,VP21)/COUNT(VF21,VK21,VP21))</f>
        <v/>
      </c>
      <c r="VS21" s="129" t="str">
        <f t="shared" si="137"/>
        <v/>
      </c>
      <c r="VT21" s="124"/>
      <c r="VU21" s="125"/>
      <c r="VV21" s="126"/>
      <c r="VW21" s="127" t="str">
        <f>IFERROR((((COUNTIF('Elève (3ème4)'!VT21:VV21,"A"))*4)+((COUNTIF('Elève (3ème4)'!VT21:VV21,"B"))*3)+((COUNTIF('Elève (3ème4)'!VT21:VV21,"C"))*2)+((COUNTIF('Elève (3ème4)'!VT21:VV21,"D"))*1))/(COUNTA(VT21:VV21)),"")</f>
        <v/>
      </c>
      <c r="VX21" s="128" t="str">
        <f t="shared" si="138"/>
        <v/>
      </c>
      <c r="VY21" s="124"/>
      <c r="VZ21" s="125"/>
      <c r="WA21" s="126"/>
      <c r="WB21" s="127" t="str">
        <f>IFERROR((((COUNTIF('Elève (3ème4)'!VY21:WA21,"A"))*4)+((COUNTIF('Elève (3ème4)'!VY21:WA21,"B"))*3)+((COUNTIF('Elève (3ème4)'!VY21:WA21,"C"))*2)+((COUNTIF('Elève (3ème4)'!VY21:WA21,"D"))*1))/(COUNTA(VY21:WA21)),"")</f>
        <v/>
      </c>
      <c r="WC21" s="128" t="str">
        <f t="shared" si="139"/>
        <v/>
      </c>
      <c r="WD21" s="124"/>
      <c r="WE21" s="125"/>
      <c r="WF21" s="130"/>
      <c r="WG21" s="127" t="str">
        <f>IFERROR((((COUNTIF('Elève (3ème4)'!WD21:WF21,"A"))*4)+((COUNTIF('Elève (3ème4)'!WD21:WF21,"B"))*3)+((COUNTIF('Elève (3ème4)'!WD21:WF21,"C"))*2)+((COUNTIF('Elève (3ème4)'!WD21:WF21,"D"))*1))/(COUNTA(WD21:WF21)),"")</f>
        <v/>
      </c>
      <c r="WH21" s="128" t="str">
        <f t="shared" si="140"/>
        <v/>
      </c>
      <c r="WI21" s="127" t="str">
        <f>IF(COUNT(VW21,WB21,WG21)=0,"",SUM(VW21,WB21,WG21)/COUNT(VW21,WB21,WG21))</f>
        <v/>
      </c>
      <c r="WJ21" s="129" t="str">
        <f t="shared" si="141"/>
        <v/>
      </c>
    </row>
    <row r="22" spans="1:608" ht="14.7" thickBot="1" x14ac:dyDescent="0.6">
      <c r="A22" s="223" t="s">
        <v>26</v>
      </c>
      <c r="B22" s="224"/>
      <c r="C22" s="131"/>
      <c r="D22" s="131"/>
      <c r="E22" s="131"/>
      <c r="F22" s="169">
        <f>IF(COUNT(F20,F16,F13,F10,F4)=0,"",SUM($B$4*IF(COUNT(F4)=0,0,F4),$B$10*IF(COUNT(F10)=0,0,F10),$B$13*IF(COUNT(F13)=0,0,F13),$B$16*IF(COUNT(F16)=0,0,F16),$B$20*IF(COUNT(F20)=0,0,F20))/SUM($B$4*COUNT(F4),$B$10*COUNT(F10),$B$13*COUNT(F13),$B$16*COUNT(F16),$B$20*COUNT(F20)))</f>
        <v>3.375</v>
      </c>
      <c r="G22" s="170">
        <f>IF(F22="","",F22*5)</f>
        <v>16.875</v>
      </c>
      <c r="H22" s="62"/>
      <c r="I22" s="62"/>
      <c r="J22" s="62"/>
      <c r="K22" s="62"/>
      <c r="L22" s="169">
        <f>IF(COUNT(L20,L16,L13,L10,L4)=0,"",SUM($B$4*IF(COUNT(L4)=0,0,L4),$B$10*IF(COUNT(L10)=0,0,L10),$B$13*IF(COUNT(L13)=0,0,L13),$B$16*IF(COUNT(L16)=0,0,L16),$B$20*IF(COUNT(L20)=0,0,L20))/SUM($B$4*COUNT(L4),$B$10*COUNT(L10),$B$13*COUNT(L13),$B$16*COUNT(L16),$B$20*COUNT(L20)))</f>
        <v>2.75</v>
      </c>
      <c r="M22" s="176">
        <f>IF(L22="","",L22*5)</f>
        <v>13.75</v>
      </c>
      <c r="N22" s="62"/>
      <c r="O22" s="62"/>
      <c r="P22" s="62"/>
      <c r="Q22" s="62"/>
      <c r="R22" s="62"/>
      <c r="S22" s="62"/>
      <c r="T22" s="169">
        <f>IF(COUNT(T20,T16,T13,T10,T4)=0,"",SUM($B$4*IF(COUNT(T4)=0,0,T4),$B$10*IF(COUNT(T10)=0,0,T10),$B$13*IF(COUNT(T13)=0,0,T13),$B$16*IF(COUNT(T16)=0,0,T16),$B$20*IF(COUNT(T20)=0,0,T20))/SUM($B$4*COUNT(T4),$B$10*COUNT(T10),$B$13*COUNT(T13),$B$16*COUNT(T16),$B$20*COUNT(T20)))</f>
        <v>3.25</v>
      </c>
      <c r="U22" s="193">
        <f>IF(T22="","",T22*5)</f>
        <v>16.25</v>
      </c>
      <c r="V22" s="156"/>
      <c r="W22" s="156"/>
      <c r="X22" s="131"/>
      <c r="Y22" s="131"/>
      <c r="Z22" s="131"/>
      <c r="AA22" s="169">
        <f>IF(COUNT(AA20,AA16,AA13,AA10,AA4)=0,"",SUM($B$4*IF(COUNT(AA4)=0,0,AA4),$B$10*IF(COUNT(AA10)=0,0,AA10),$B$13*IF(COUNT(AA13)=0,0,AA13),$B$16*IF(COUNT(AA16)=0,0,AA16),$B$20*IF(COUNT(AA20)=0,0,AA20))/SUM($B$4*COUNT(AA4),$B$10*COUNT(AA10),$B$13*COUNT(AA13),$B$16*COUNT(AA16),$B$20*COUNT(AA20)))</f>
        <v>1.5</v>
      </c>
      <c r="AB22" s="170">
        <f>IF(AA22="","",AA22*5)</f>
        <v>7.5</v>
      </c>
      <c r="AC22" s="62"/>
      <c r="AD22" s="62"/>
      <c r="AE22" s="62"/>
      <c r="AF22" s="62"/>
      <c r="AG22" s="169" t="str">
        <f>IF(COUNT(AG20,AG16,AG13,AG10,AG4)=0,"",SUM($B$4*IF(COUNT(AG4)=0,0,AG4),$B$10*IF(COUNT(AG10)=0,0,AG10),$B$13*IF(COUNT(AG13)=0,0,AG13),$B$16*IF(COUNT(AG16)=0,0,AG16),$B$20*IF(COUNT(AG20)=0,0,AG20))/SUM($B$4*COUNT(AG4),$B$10*COUNT(AG10),$B$13*COUNT(AG13),$B$16*COUNT(AG16),$B$20*COUNT(AG20)))</f>
        <v/>
      </c>
      <c r="AH22" s="176" t="str">
        <f>IF(AG22="","",AG22*5)</f>
        <v/>
      </c>
      <c r="AI22" s="62"/>
      <c r="AJ22" s="62"/>
      <c r="AK22" s="62"/>
      <c r="AL22" s="62"/>
      <c r="AM22" s="62"/>
      <c r="AN22" s="62"/>
      <c r="AO22" s="169" t="str">
        <f>IF(COUNT(AO20,AO16,AO13,AO10,AO4)=0,"",SUM($B$4*IF(COUNT(AO4)=0,0,AO4),$B$10*IF(COUNT(AO10)=0,0,AO10),$B$13*IF(COUNT(AO13)=0,0,AO13),$B$16*IF(COUNT(AO16)=0,0,AO16),$B$20*IF(COUNT(AO20)=0,0,AO20))/SUM($B$4*COUNT(AO4),$B$10*COUNT(AO10),$B$13*COUNT(AO13),$B$16*COUNT(AO16),$B$20*COUNT(AO20)))</f>
        <v/>
      </c>
      <c r="AP22" s="193" t="str">
        <f>IF(AO22="","",AO22*5)</f>
        <v/>
      </c>
      <c r="AQ22" s="156"/>
      <c r="AR22" s="156"/>
      <c r="AS22" s="131"/>
      <c r="AT22" s="131"/>
      <c r="AU22" s="131"/>
      <c r="AV22" s="169">
        <f>IF(COUNT(AV20,AV16,AV13,AV10,AV4)=0,"",SUM($B$4*IF(COUNT(AV4)=0,0,AV4),$B$10*IF(COUNT(AV10)=0,0,AV10),$B$13*IF(COUNT(AV13)=0,0,AV13),$B$16*IF(COUNT(AV16)=0,0,AV16),$B$20*IF(COUNT(AV20)=0,0,AV20))/SUM($B$4*COUNT(AV4),$B$10*COUNT(AV10),$B$13*COUNT(AV13),$B$16*COUNT(AV16),$B$20*COUNT(AV20)))</f>
        <v>2.5416666666666665</v>
      </c>
      <c r="AW22" s="170">
        <f>IF(AV22="","",AV22*5)</f>
        <v>12.708333333333332</v>
      </c>
      <c r="AX22" s="62"/>
      <c r="AY22" s="62"/>
      <c r="AZ22" s="62"/>
      <c r="BA22" s="62"/>
      <c r="BB22" s="169">
        <f>IF(COUNT(BB20,BB16,BB13,BB10,BB4)=0,"",SUM($B$4*IF(COUNT(BB4)=0,0,BB4),$B$10*IF(COUNT(BB10)=0,0,BB10),$B$13*IF(COUNT(BB13)=0,0,BB13),$B$16*IF(COUNT(BB16)=0,0,BB16),$B$20*IF(COUNT(BB20)=0,0,BB20))/SUM($B$4*COUNT(BB4),$B$10*COUNT(BB10),$B$13*COUNT(BB13),$B$16*COUNT(BB16),$B$20*COUNT(BB20)))</f>
        <v>2</v>
      </c>
      <c r="BC22" s="176">
        <f>IF(BB22="","",BB22*5)</f>
        <v>10</v>
      </c>
      <c r="BD22" s="62"/>
      <c r="BE22" s="62"/>
      <c r="BF22" s="62"/>
      <c r="BG22" s="62"/>
      <c r="BH22" s="62"/>
      <c r="BI22" s="62"/>
      <c r="BJ22" s="169">
        <f>IF(COUNT(BJ20,BJ16,BJ13,BJ10,BJ4)=0,"",SUM($B$4*IF(COUNT(BJ4)=0,0,BJ4),$B$10*IF(COUNT(BJ10)=0,0,BJ10),$B$13*IF(COUNT(BJ13)=0,0,BJ13),$B$16*IF(COUNT(BJ16)=0,0,BJ16),$B$20*IF(COUNT(BJ20)=0,0,BJ20))/SUM($B$4*COUNT(BJ4),$B$10*COUNT(BJ10),$B$13*COUNT(BJ13),$B$16*COUNT(BJ16),$B$20*COUNT(BJ20)))</f>
        <v>2.4583333333333335</v>
      </c>
      <c r="BK22" s="193">
        <f>IF(BJ22="","",BJ22*5)</f>
        <v>12.291666666666668</v>
      </c>
      <c r="BL22" s="156"/>
      <c r="BM22" s="156"/>
      <c r="BN22" s="131"/>
      <c r="BO22" s="131"/>
      <c r="BP22" s="131"/>
      <c r="BQ22" s="169">
        <f>IF(COUNT(BQ20,BQ16,BQ13,BQ10,BQ4)=0,"",SUM($B$4*IF(COUNT(BQ4)=0,0,BQ4),$B$10*IF(COUNT(BQ10)=0,0,BQ10),$B$13*IF(COUNT(BQ13)=0,0,BQ13),$B$16*IF(COUNT(BQ16)=0,0,BQ16),$B$20*IF(COUNT(BQ20)=0,0,BQ20))/SUM($B$4*COUNT(BQ4),$B$10*COUNT(BQ10),$B$13*COUNT(BQ13),$B$16*COUNT(BQ16),$B$20*COUNT(BQ20)))</f>
        <v>2</v>
      </c>
      <c r="BR22" s="170">
        <f>IF(BQ22="","",BQ22*5)</f>
        <v>10</v>
      </c>
      <c r="BS22" s="62"/>
      <c r="BT22" s="62"/>
      <c r="BU22" s="62"/>
      <c r="BV22" s="62"/>
      <c r="BW22" s="169">
        <f>IF(COUNT(BW20,BW16,BW13,BW10,BW4)=0,"",SUM($B$4*IF(COUNT(BW4)=0,0,BW4),$B$10*IF(COUNT(BW10)=0,0,BW10),$B$13*IF(COUNT(BW13)=0,0,BW13),$B$16*IF(COUNT(BW16)=0,0,BW16),$B$20*IF(COUNT(BW20)=0,0,BW20))/SUM($B$4*COUNT(BW4),$B$10*COUNT(BW10),$B$13*COUNT(BW13),$B$16*COUNT(BW16),$B$20*COUNT(BW20)))</f>
        <v>2</v>
      </c>
      <c r="BX22" s="176">
        <f>IF(BW22="","",BW22*5)</f>
        <v>10</v>
      </c>
      <c r="BY22" s="62"/>
      <c r="BZ22" s="62"/>
      <c r="CA22" s="62"/>
      <c r="CB22" s="62"/>
      <c r="CC22" s="62"/>
      <c r="CD22" s="62"/>
      <c r="CE22" s="169">
        <f>IF(COUNT(CE20,CE16,CE13,CE10,CE4)=0,"",SUM($B$4*IF(COUNT(CE4)=0,0,CE4),$B$10*IF(COUNT(CE10)=0,0,CE10),$B$13*IF(COUNT(CE13)=0,0,CE13),$B$16*IF(COUNT(CE16)=0,0,CE16),$B$20*IF(COUNT(CE20)=0,0,CE20))/SUM($B$4*COUNT(CE4),$B$10*COUNT(CE10),$B$13*COUNT(CE13),$B$16*COUNT(CE16),$B$20*COUNT(CE20)))</f>
        <v>2.4027777777777781</v>
      </c>
      <c r="CF22" s="193">
        <f>IF(CE22="","",CE22*5)</f>
        <v>12.013888888888891</v>
      </c>
      <c r="CG22" s="156"/>
      <c r="CH22" s="156"/>
      <c r="CI22" s="131"/>
      <c r="CJ22" s="131"/>
      <c r="CK22" s="131"/>
      <c r="CL22" s="169">
        <f>IF(COUNT(CL20,CL16,CL13,CL10,CL4)=0,"",SUM($B$4*IF(COUNT(CL4)=0,0,CL4),$B$10*IF(COUNT(CL10)=0,0,CL10),$B$13*IF(COUNT(CL13)=0,0,CL13),$B$16*IF(COUNT(CL16)=0,0,CL16),$B$20*IF(COUNT(CL20)=0,0,CL20))/SUM($B$4*COUNT(CL4),$B$10*COUNT(CL10),$B$13*COUNT(CL13),$B$16*COUNT(CL16),$B$20*COUNT(CL20)))</f>
        <v>1.8333333333333333</v>
      </c>
      <c r="CM22" s="170">
        <f>IF(CL22="","",CL22*5)</f>
        <v>9.1666666666666661</v>
      </c>
      <c r="CN22" s="62"/>
      <c r="CO22" s="62"/>
      <c r="CP22" s="62"/>
      <c r="CQ22" s="62"/>
      <c r="CR22" s="169" t="str">
        <f>IF(COUNT(CR20,CR16,CR13,CR10,CR4)=0,"",SUM($B$4*IF(COUNT(CR4)=0,0,CR4),$B$10*IF(COUNT(CR10)=0,0,CR10),$B$13*IF(COUNT(CR13)=0,0,CR13),$B$16*IF(COUNT(CR16)=0,0,CR16),$B$20*IF(COUNT(CR20)=0,0,CR20))/SUM($B$4*COUNT(CR4),$B$10*COUNT(CR10),$B$13*COUNT(CR13),$B$16*COUNT(CR16),$B$20*COUNT(CR20)))</f>
        <v/>
      </c>
      <c r="CS22" s="176" t="str">
        <f>IF(CR22="","",CR22*5)</f>
        <v/>
      </c>
      <c r="CT22" s="62"/>
      <c r="CU22" s="62"/>
      <c r="CV22" s="62"/>
      <c r="CW22" s="62"/>
      <c r="CX22" s="62"/>
      <c r="CY22" s="62"/>
      <c r="CZ22" s="169">
        <f>IF(COUNT(CZ20,CZ16,CZ13,CZ10,CZ4)=0,"",SUM($B$4*IF(COUNT(CZ4)=0,0,CZ4),$B$10*IF(COUNT(CZ10)=0,0,CZ10),$B$13*IF(COUNT(CZ13)=0,0,CZ13),$B$16*IF(COUNT(CZ16)=0,0,CZ16),$B$20*IF(COUNT(CZ20)=0,0,CZ20))/SUM($B$4*COUNT(CZ4),$B$10*COUNT(CZ10),$B$13*COUNT(CZ13),$B$16*COUNT(CZ16),$B$20*COUNT(CZ20)))</f>
        <v>2.75</v>
      </c>
      <c r="DA22" s="193">
        <f>IF(CZ22="","",CZ22*5)</f>
        <v>13.75</v>
      </c>
      <c r="DB22" s="156"/>
      <c r="DC22" s="156"/>
      <c r="DD22" s="131"/>
      <c r="DE22" s="131"/>
      <c r="DF22" s="131"/>
      <c r="DG22" s="169">
        <f>IF(COUNT(DG20,DG16,DG13,DG10,DG4)=0,"",SUM($B$4*IF(COUNT(DG4)=0,0,DG4),$B$10*IF(COUNT(DG10)=0,0,DG10),$B$13*IF(COUNT(DG13)=0,0,DG13),$B$16*IF(COUNT(DG16)=0,0,DG16),$B$20*IF(COUNT(DG20)=0,0,DG20))/SUM($B$4*COUNT(DG4),$B$10*COUNT(DG10),$B$13*COUNT(DG13),$B$16*COUNT(DG16),$B$20*COUNT(DG20)))</f>
        <v>2.375</v>
      </c>
      <c r="DH22" s="170">
        <f>IF(DG22="","",DG22*5)</f>
        <v>11.875</v>
      </c>
      <c r="DI22" s="62"/>
      <c r="DJ22" s="62"/>
      <c r="DK22" s="62"/>
      <c r="DL22" s="62"/>
      <c r="DM22" s="169">
        <f>IF(COUNT(DM20,DM16,DM13,DM10,DM4)=0,"",SUM($B$4*IF(COUNT(DM4)=0,0,DM4),$B$10*IF(COUNT(DM10)=0,0,DM10),$B$13*IF(COUNT(DM13)=0,0,DM13),$B$16*IF(COUNT(DM16)=0,0,DM16),$B$20*IF(COUNT(DM20)=0,0,DM20))/SUM($B$4*COUNT(DM4),$B$10*COUNT(DM10),$B$13*COUNT(DM13),$B$16*COUNT(DM16),$B$20*COUNT(DM20)))</f>
        <v>2.75</v>
      </c>
      <c r="DN22" s="176">
        <f>IF(DM22="","",DM22*5)</f>
        <v>13.75</v>
      </c>
      <c r="DO22" s="62"/>
      <c r="DP22" s="62"/>
      <c r="DQ22" s="62"/>
      <c r="DR22" s="62"/>
      <c r="DS22" s="62"/>
      <c r="DT22" s="62"/>
      <c r="DU22" s="169">
        <f>IF(COUNT(DU20,DU16,DU13,DU10,DU4)=0,"",SUM($B$4*IF(COUNT(DU4)=0,0,DU4),$B$10*IF(COUNT(DU10)=0,0,DU10),$B$13*IF(COUNT(DU13)=0,0,DU13),$B$16*IF(COUNT(DU16)=0,0,DU16),$B$20*IF(COUNT(DU20)=0,0,DU20))/SUM($B$4*COUNT(DU4),$B$10*COUNT(DU10),$B$13*COUNT(DU13),$B$16*COUNT(DU16),$B$20*COUNT(DU20)))</f>
        <v>2.9583333333333335</v>
      </c>
      <c r="DV22" s="193">
        <f>IF(DU22="","",DU22*5)</f>
        <v>14.791666666666668</v>
      </c>
      <c r="DW22" s="156"/>
      <c r="DX22" s="156"/>
      <c r="DY22" s="131"/>
      <c r="DZ22" s="131"/>
      <c r="EA22" s="131"/>
      <c r="EB22" s="169">
        <f>IF(COUNT(EB20,EB16,EB13,EB10,EB4)=0,"",SUM($B$4*IF(COUNT(EB4)=0,0,EB4),$B$10*IF(COUNT(EB10)=0,0,EB10),$B$13*IF(COUNT(EB13)=0,0,EB13),$B$16*IF(COUNT(EB16)=0,0,EB16),$B$20*IF(COUNT(EB20)=0,0,EB20))/SUM($B$4*COUNT(EB4),$B$10*COUNT(EB10),$B$13*COUNT(EB13),$B$16*COUNT(EB16),$B$20*COUNT(EB20)))</f>
        <v>1.9583333333333333</v>
      </c>
      <c r="EC22" s="170">
        <f>IF(EB22="","",EB22*5)</f>
        <v>9.7916666666666661</v>
      </c>
      <c r="ED22" s="62"/>
      <c r="EE22" s="62"/>
      <c r="EF22" s="62"/>
      <c r="EG22" s="62"/>
      <c r="EH22" s="169">
        <f>IF(COUNT(EH20,EH16,EH13,EH10,EH4)=0,"",SUM($B$4*IF(COUNT(EH4)=0,0,EH4),$B$10*IF(COUNT(EH10)=0,0,EH10),$B$13*IF(COUNT(EH13)=0,0,EH13),$B$16*IF(COUNT(EH16)=0,0,EH16),$B$20*IF(COUNT(EH20)=0,0,EH20))/SUM($B$4*COUNT(EH4),$B$10*COUNT(EH10),$B$13*COUNT(EH13),$B$16*COUNT(EH16),$B$20*COUNT(EH20)))</f>
        <v>2</v>
      </c>
      <c r="EI22" s="176">
        <f>IF(EH22="","",EH22*5)</f>
        <v>10</v>
      </c>
      <c r="EJ22" s="62"/>
      <c r="EK22" s="62"/>
      <c r="EL22" s="62"/>
      <c r="EM22" s="62"/>
      <c r="EN22" s="62"/>
      <c r="EO22" s="62"/>
      <c r="EP22" s="169">
        <f>IF(COUNT(EP20,EP16,EP13,EP10,EP4)=0,"",SUM($B$4*IF(COUNT(EP4)=0,0,EP4),$B$10*IF(COUNT(EP10)=0,0,EP10),$B$13*IF(COUNT(EP13)=0,0,EP13),$B$16*IF(COUNT(EP16)=0,0,EP16),$B$20*IF(COUNT(EP20)=0,0,EP20))/SUM($B$4*COUNT(EP4),$B$10*COUNT(EP10),$B$13*COUNT(EP13),$B$16*COUNT(EP16),$B$20*COUNT(EP20)))</f>
        <v>2.8541666666666665</v>
      </c>
      <c r="EQ22" s="193">
        <f>IF(EP22="","",EP22*5)</f>
        <v>14.270833333333332</v>
      </c>
      <c r="ER22" s="156"/>
      <c r="ES22" s="156"/>
      <c r="ET22" s="131"/>
      <c r="EU22" s="131"/>
      <c r="EV22" s="131"/>
      <c r="EW22" s="169">
        <f>IF(COUNT(EW20,EW16,EW13,EW10,EW4)=0,"",SUM($B$4*IF(COUNT(EW4)=0,0,EW4),$B$10*IF(COUNT(EW10)=0,0,EW10),$B$13*IF(COUNT(EW13)=0,0,EW13),$B$16*IF(COUNT(EW16)=0,0,EW16),$B$20*IF(COUNT(EW20)=0,0,EW20))/SUM($B$4*COUNT(EW4),$B$10*COUNT(EW10),$B$13*COUNT(EW13),$B$16*COUNT(EW16),$B$20*COUNT(EW20)))</f>
        <v>2.4583333333333335</v>
      </c>
      <c r="EX22" s="170">
        <f>IF(EW22="","",EW22*5)</f>
        <v>12.291666666666668</v>
      </c>
      <c r="EY22" s="62"/>
      <c r="EZ22" s="62"/>
      <c r="FA22" s="62"/>
      <c r="FB22" s="62"/>
      <c r="FC22" s="169">
        <f>IF(COUNT(FC20,FC16,FC13,FC10,FC4)=0,"",SUM($B$4*IF(COUNT(FC4)=0,0,FC4),$B$10*IF(COUNT(FC10)=0,0,FC10),$B$13*IF(COUNT(FC13)=0,0,FC13),$B$16*IF(COUNT(FC16)=0,0,FC16),$B$20*IF(COUNT(FC20)=0,0,FC20))/SUM($B$4*COUNT(FC4),$B$10*COUNT(FC10),$B$13*COUNT(FC13),$B$16*COUNT(FC16),$B$20*COUNT(FC20)))</f>
        <v>1.5</v>
      </c>
      <c r="FD22" s="176">
        <f>IF(FC22="","",FC22*5)</f>
        <v>7.5</v>
      </c>
      <c r="FE22" s="62"/>
      <c r="FF22" s="62"/>
      <c r="FG22" s="62"/>
      <c r="FH22" s="62"/>
      <c r="FI22" s="62"/>
      <c r="FJ22" s="62"/>
      <c r="FK22" s="169">
        <f>IF(COUNT(FK20,FK16,FK13,FK10,FK4)=0,"",SUM($B$4*IF(COUNT(FK4)=0,0,FK4),$B$10*IF(COUNT(FK10)=0,0,FK10),$B$13*IF(COUNT(FK13)=0,0,FK13),$B$16*IF(COUNT(FK16)=0,0,FK16),$B$20*IF(COUNT(FK20)=0,0,FK20))/SUM($B$4*COUNT(FK4),$B$10*COUNT(FK10),$B$13*COUNT(FK13),$B$16*COUNT(FK16),$B$20*COUNT(FK20)))</f>
        <v>2.7916666666666665</v>
      </c>
      <c r="FL22" s="193">
        <f>IF(FK22="","",FK22*5)</f>
        <v>13.958333333333332</v>
      </c>
      <c r="FM22" s="156"/>
      <c r="FN22" s="156"/>
      <c r="FO22" s="131"/>
      <c r="FP22" s="131"/>
      <c r="FQ22" s="131"/>
      <c r="FR22" s="169">
        <f>IF(COUNT(FR20,FR16,FR13,FR10,FR4)=0,"",SUM($B$4*IF(COUNT(FR4)=0,0,FR4),$B$10*IF(COUNT(FR10)=0,0,FR10),$B$13*IF(COUNT(FR13)=0,0,FR13),$B$16*IF(COUNT(FR16)=0,0,FR16),$B$20*IF(COUNT(FR20)=0,0,FR20))/SUM($B$4*COUNT(FR4),$B$10*COUNT(FR10),$B$13*COUNT(FR13),$B$16*COUNT(FR16),$B$20*COUNT(FR20)))</f>
        <v>2.5416666666666665</v>
      </c>
      <c r="FS22" s="170">
        <f>IF(FR22="","",FR22*5)</f>
        <v>12.708333333333332</v>
      </c>
      <c r="FT22" s="62"/>
      <c r="FU22" s="62"/>
      <c r="FV22" s="62"/>
      <c r="FW22" s="62"/>
      <c r="FX22" s="169">
        <f>IF(COUNT(FX20,FX16,FX13,FX10,FX4)=0,"",SUM($B$4*IF(COUNT(FX4)=0,0,FX4),$B$10*IF(COUNT(FX10)=0,0,FX10),$B$13*IF(COUNT(FX13)=0,0,FX13),$B$16*IF(COUNT(FX16)=0,0,FX16),$B$20*IF(COUNT(FX20)=0,0,FX20))/SUM($B$4*COUNT(FX4),$B$10*COUNT(FX10),$B$13*COUNT(FX13),$B$16*COUNT(FX16),$B$20*COUNT(FX20)))</f>
        <v>1.5</v>
      </c>
      <c r="FY22" s="176">
        <f>IF(FX22="","",FX22*5)</f>
        <v>7.5</v>
      </c>
      <c r="FZ22" s="62"/>
      <c r="GA22" s="62"/>
      <c r="GB22" s="62"/>
      <c r="GC22" s="62"/>
      <c r="GD22" s="62"/>
      <c r="GE22" s="62"/>
      <c r="GF22" s="169">
        <f>IF(COUNT(GF20,GF16,GF13,GF10,GF4)=0,"",SUM($B$4*IF(COUNT(GF4)=0,0,GF4),$B$10*IF(COUNT(GF10)=0,0,GF10),$B$13*IF(COUNT(GF13)=0,0,GF13),$B$16*IF(COUNT(GF16)=0,0,GF16),$B$20*IF(COUNT(GF20)=0,0,GF20))/SUM($B$4*COUNT(GF4),$B$10*COUNT(GF10),$B$13*COUNT(GF13),$B$16*COUNT(GF16),$B$20*COUNT(GF20)))</f>
        <v>2.8125</v>
      </c>
      <c r="GG22" s="193">
        <f>IF(GF22="","",GF22*5)</f>
        <v>14.0625</v>
      </c>
      <c r="GH22" s="156"/>
      <c r="GI22" s="156"/>
      <c r="GJ22" s="131"/>
      <c r="GK22" s="131"/>
      <c r="GL22" s="131"/>
      <c r="GM22" s="169">
        <f>IF(COUNT(GM20,GM16,GM13,GM10,GM4)=0,"",SUM($B$4*IF(COUNT(GM4)=0,0,GM4),$B$10*IF(COUNT(GM10)=0,0,GM10),$B$13*IF(COUNT(GM13)=0,0,GM13),$B$16*IF(COUNT(GM16)=0,0,GM16),$B$20*IF(COUNT(GM20)=0,0,GM20))/SUM($B$4*COUNT(GM4),$B$10*COUNT(GM10),$B$13*COUNT(GM13),$B$16*COUNT(GM16),$B$20*COUNT(GM20)))</f>
        <v>2.0833333333333335</v>
      </c>
      <c r="GN22" s="170">
        <f>IF(GM22="","",GM22*5)</f>
        <v>10.416666666666668</v>
      </c>
      <c r="GO22" s="62"/>
      <c r="GP22" s="62"/>
      <c r="GQ22" s="62"/>
      <c r="GR22" s="62"/>
      <c r="GS22" s="169">
        <f>IF(COUNT(GS20,GS16,GS13,GS10,GS4)=0,"",SUM($B$4*IF(COUNT(GS4)=0,0,GS4),$B$10*IF(COUNT(GS10)=0,0,GS10),$B$13*IF(COUNT(GS13)=0,0,GS13),$B$16*IF(COUNT(GS16)=0,0,GS16),$B$20*IF(COUNT(GS20)=0,0,GS20))/SUM($B$4*COUNT(GS4),$B$10*COUNT(GS10),$B$13*COUNT(GS13),$B$16*COUNT(GS16),$B$20*COUNT(GS20)))</f>
        <v>1.75</v>
      </c>
      <c r="GT22" s="176">
        <f>IF(GS22="","",GS22*5)</f>
        <v>8.75</v>
      </c>
      <c r="GU22" s="62"/>
      <c r="GV22" s="62"/>
      <c r="GW22" s="62"/>
      <c r="GX22" s="62"/>
      <c r="GY22" s="62"/>
      <c r="GZ22" s="62"/>
      <c r="HA22" s="169">
        <f>IF(COUNT(HA20,HA16,HA13,HA10,HA4)=0,"",SUM($B$4*IF(COUNT(HA4)=0,0,HA4),$B$10*IF(COUNT(HA10)=0,0,HA10),$B$13*IF(COUNT(HA13)=0,0,HA13),$B$16*IF(COUNT(HA16)=0,0,HA16),$B$20*IF(COUNT(HA20)=0,0,HA20))/SUM($B$4*COUNT(HA4),$B$10*COUNT(HA10),$B$13*COUNT(HA13),$B$16*COUNT(HA16),$B$20*COUNT(HA20)))</f>
        <v>3.125</v>
      </c>
      <c r="HB22" s="193">
        <f>IF(HA22="","",HA22*5)</f>
        <v>15.625</v>
      </c>
      <c r="HC22" s="156"/>
      <c r="HD22" s="156"/>
      <c r="HE22" s="131"/>
      <c r="HF22" s="131"/>
      <c r="HG22" s="131"/>
      <c r="HH22" s="169">
        <f>IF(COUNT(HH20,HH16,HH13,HH10,HH4)=0,"",SUM($B$4*IF(COUNT(HH4)=0,0,HH4),$B$10*IF(COUNT(HH10)=0,0,HH10),$B$13*IF(COUNT(HH13)=0,0,HH13),$B$16*IF(COUNT(HH16)=0,0,HH16),$B$20*IF(COUNT(HH20)=0,0,HH20))/SUM($B$4*COUNT(HH4),$B$10*COUNT(HH10),$B$13*COUNT(HH13),$B$16*COUNT(HH16),$B$20*COUNT(HH20)))</f>
        <v>1</v>
      </c>
      <c r="HI22" s="170">
        <f>IF(HH22="","",HH22*5)</f>
        <v>5</v>
      </c>
      <c r="HJ22" s="62"/>
      <c r="HK22" s="62"/>
      <c r="HL22" s="62"/>
      <c r="HM22" s="62"/>
      <c r="HN22" s="169">
        <f>IF(COUNT(HN20,HN16,HN13,HN10,HN4)=0,"",SUM($B$4*IF(COUNT(HN4)=0,0,HN4),$B$10*IF(COUNT(HN10)=0,0,HN10),$B$13*IF(COUNT(HN13)=0,0,HN13),$B$16*IF(COUNT(HN16)=0,0,HN16),$B$20*IF(COUNT(HN20)=0,0,HN20))/SUM($B$4*COUNT(HN4),$B$10*COUNT(HN10),$B$13*COUNT(HN13),$B$16*COUNT(HN16),$B$20*COUNT(HN20)))</f>
        <v>2.25</v>
      </c>
      <c r="HO22" s="176">
        <f>IF(HN22="","",HN22*5)</f>
        <v>11.25</v>
      </c>
      <c r="HP22" s="62"/>
      <c r="HQ22" s="62"/>
      <c r="HR22" s="62"/>
      <c r="HS22" s="62"/>
      <c r="HT22" s="62"/>
      <c r="HU22" s="62"/>
      <c r="HV22" s="169">
        <f>IF(COUNT(HV20,HV16,HV13,HV10,HV4)=0,"",SUM($B$4*IF(COUNT(HV4)=0,0,HV4),$B$10*IF(COUNT(HV10)=0,0,HV10),$B$13*IF(COUNT(HV13)=0,0,HV13),$B$16*IF(COUNT(HV16)=0,0,HV16),$B$20*IF(COUNT(HV20)=0,0,HV20))/SUM($B$4*COUNT(HV4),$B$10*COUNT(HV10),$B$13*COUNT(HV13),$B$16*COUNT(HV16),$B$20*COUNT(HV20)))</f>
        <v>2.3472222222222223</v>
      </c>
      <c r="HW22" s="193">
        <f>IF(HV22="","",HV22*5)</f>
        <v>11.736111111111111</v>
      </c>
      <c r="HX22" s="156"/>
      <c r="HY22" s="156"/>
      <c r="HZ22" s="131"/>
      <c r="IA22" s="131"/>
      <c r="IB22" s="131"/>
      <c r="IC22" s="169">
        <f>IF(COUNT(IC20,IC16,IC13,IC10,IC4)=0,"",SUM($B$4*IF(COUNT(IC4)=0,0,IC4),$B$10*IF(COUNT(IC10)=0,0,IC10),$B$13*IF(COUNT(IC13)=0,0,IC13),$B$16*IF(COUNT(IC16)=0,0,IC16),$B$20*IF(COUNT(IC20)=0,0,IC20))/SUM($B$4*COUNT(IC4),$B$10*COUNT(IC10),$B$13*COUNT(IC13),$B$16*COUNT(IC16),$B$20*COUNT(IC20)))</f>
        <v>2.75</v>
      </c>
      <c r="ID22" s="170">
        <f>IF(IC22="","",IC22*5)</f>
        <v>13.75</v>
      </c>
      <c r="IE22" s="62"/>
      <c r="IF22" s="62"/>
      <c r="IG22" s="62"/>
      <c r="IH22" s="62"/>
      <c r="II22" s="169">
        <f>IF(COUNT(II20,II16,II13,II10,II4)=0,"",SUM($B$4*IF(COUNT(II4)=0,0,II4),$B$10*IF(COUNT(II10)=0,0,II10),$B$13*IF(COUNT(II13)=0,0,II13),$B$16*IF(COUNT(II16)=0,0,II16),$B$20*IF(COUNT(II20)=0,0,II20))/SUM($B$4*COUNT(II4),$B$10*COUNT(II10),$B$13*COUNT(II13),$B$16*COUNT(II16),$B$20*COUNT(II20)))</f>
        <v>1.5</v>
      </c>
      <c r="IJ22" s="176">
        <f>IF(II22="","",II22*5)</f>
        <v>7.5</v>
      </c>
      <c r="IK22" s="62"/>
      <c r="IL22" s="62"/>
      <c r="IM22" s="62"/>
      <c r="IN22" s="62"/>
      <c r="IO22" s="62"/>
      <c r="IP22" s="62"/>
      <c r="IQ22" s="169">
        <f>IF(COUNT(IQ20,IQ16,IQ13,IQ10,IQ4)=0,"",SUM($B$4*IF(COUNT(IQ4)=0,0,IQ4),$B$10*IF(COUNT(IQ10)=0,0,IQ10),$B$13*IF(COUNT(IQ13)=0,0,IQ13),$B$16*IF(COUNT(IQ16)=0,0,IQ16),$B$20*IF(COUNT(IQ20)=0,0,IQ20))/SUM($B$4*COUNT(IQ4),$B$10*COUNT(IQ10),$B$13*COUNT(IQ13),$B$16*COUNT(IQ16),$B$20*COUNT(IQ20)))</f>
        <v>2.6666666666666665</v>
      </c>
      <c r="IR22" s="193">
        <f>IF(IQ22="","",IQ22*5)</f>
        <v>13.333333333333332</v>
      </c>
      <c r="IS22" s="156"/>
      <c r="IT22" s="156"/>
      <c r="IU22" s="131"/>
      <c r="IV22" s="131"/>
      <c r="IW22" s="131"/>
      <c r="IX22" s="169">
        <f>IF(COUNT(IX20,IX16,IX13,IX10,IX4)=0,"",SUM($B$4*IF(COUNT(IX4)=0,0,IX4),$B$10*IF(COUNT(IX10)=0,0,IX10),$B$13*IF(COUNT(IX13)=0,0,IX13),$B$16*IF(COUNT(IX16)=0,0,IX16),$B$20*IF(COUNT(IX20)=0,0,IX20))/SUM($B$4*COUNT(IX4),$B$10*COUNT(IX10),$B$13*COUNT(IX13),$B$16*COUNT(IX16),$B$20*COUNT(IX20)))</f>
        <v>1.0833333333333333</v>
      </c>
      <c r="IY22" s="170">
        <f>IF(IX22="","",IX22*5)</f>
        <v>5.4166666666666661</v>
      </c>
      <c r="IZ22" s="62"/>
      <c r="JA22" s="62"/>
      <c r="JB22" s="62"/>
      <c r="JC22" s="62"/>
      <c r="JD22" s="169">
        <f>IF(COUNT(JD20,JD16,JD13,JD10,JD4)=0,"",SUM($B$4*IF(COUNT(JD4)=0,0,JD4),$B$10*IF(COUNT(JD10)=0,0,JD10),$B$13*IF(COUNT(JD13)=0,0,JD13),$B$16*IF(COUNT(JD16)=0,0,JD16),$B$20*IF(COUNT(JD20)=0,0,JD20))/SUM($B$4*COUNT(JD4),$B$10*COUNT(JD10),$B$13*COUNT(JD13),$B$16*COUNT(JD16),$B$20*COUNT(JD20)))</f>
        <v>2</v>
      </c>
      <c r="JE22" s="176">
        <f>IF(JD22="","",JD22*5)</f>
        <v>10</v>
      </c>
      <c r="JF22" s="62"/>
      <c r="JG22" s="62"/>
      <c r="JH22" s="62"/>
      <c r="JI22" s="62"/>
      <c r="JJ22" s="62"/>
      <c r="JK22" s="62"/>
      <c r="JL22" s="169">
        <f>IF(COUNT(JL20,JL16,JL13,JL10,JL4)=0,"",SUM($B$4*IF(COUNT(JL4)=0,0,JL4),$B$10*IF(COUNT(JL10)=0,0,JL10),$B$13*IF(COUNT(JL13)=0,0,JL13),$B$16*IF(COUNT(JL16)=0,0,JL16),$B$20*IF(COUNT(JL20)=0,0,JL20))/SUM($B$4*COUNT(JL4),$B$10*COUNT(JL10),$B$13*COUNT(JL13),$B$16*COUNT(JL16),$B$20*COUNT(JL20)))</f>
        <v>2.375</v>
      </c>
      <c r="JM22" s="193">
        <f>IF(JL22="","",JL22*5)</f>
        <v>11.875</v>
      </c>
      <c r="JN22" s="156"/>
      <c r="JO22" s="156"/>
      <c r="JP22" s="131"/>
      <c r="JQ22" s="131"/>
      <c r="JR22" s="131"/>
      <c r="JS22" s="169">
        <f>IF(COUNT(JS20,JS16,JS13,JS10,JS4)=0,"",SUM($B$4*IF(COUNT(JS4)=0,0,JS4),$B$10*IF(COUNT(JS10)=0,0,JS10),$B$13*IF(COUNT(JS13)=0,0,JS13),$B$16*IF(COUNT(JS16)=0,0,JS16),$B$20*IF(COUNT(JS20)=0,0,JS20))/SUM($B$4*COUNT(JS4),$B$10*COUNT(JS10),$B$13*COUNT(JS13),$B$16*COUNT(JS16),$B$20*COUNT(JS20)))</f>
        <v>2.1666666666666665</v>
      </c>
      <c r="JT22" s="170">
        <f>IF(JS22="","",JS22*5)</f>
        <v>10.833333333333332</v>
      </c>
      <c r="JU22" s="62"/>
      <c r="JV22" s="62"/>
      <c r="JW22" s="62"/>
      <c r="JX22" s="62"/>
      <c r="JY22" s="169">
        <f>IF(COUNT(JY20,JY16,JY13,JY10,JY4)=0,"",SUM($B$4*IF(COUNT(JY4)=0,0,JY4),$B$10*IF(COUNT(JY10)=0,0,JY10),$B$13*IF(COUNT(JY13)=0,0,JY13),$B$16*IF(COUNT(JY16)=0,0,JY16),$B$20*IF(COUNT(JY20)=0,0,JY20))/SUM($B$4*COUNT(JY4),$B$10*COUNT(JY10),$B$13*COUNT(JY13),$B$16*COUNT(JY16),$B$20*COUNT(JY20)))</f>
        <v>1.5</v>
      </c>
      <c r="JZ22" s="176">
        <f>IF(JY22="","",JY22*5)</f>
        <v>7.5</v>
      </c>
      <c r="KA22" s="62"/>
      <c r="KB22" s="62"/>
      <c r="KC22" s="62"/>
      <c r="KD22" s="62"/>
      <c r="KE22" s="62"/>
      <c r="KF22" s="62"/>
      <c r="KG22" s="169">
        <f>IF(COUNT(KG20,KG16,KG13,KG10,KG4)=0,"",SUM($B$4*IF(COUNT(KG4)=0,0,KG4),$B$10*IF(COUNT(KG10)=0,0,KG10),$B$13*IF(COUNT(KG13)=0,0,KG13),$B$16*IF(COUNT(KG16)=0,0,KG16),$B$20*IF(COUNT(KG20)=0,0,KG20))/SUM($B$4*COUNT(KG4),$B$10*COUNT(KG10),$B$13*COUNT(KG13),$B$16*COUNT(KG16),$B$20*COUNT(KG20)))</f>
        <v>2.3611111111111112</v>
      </c>
      <c r="KH22" s="193">
        <f>IF(KG22="","",KG22*5)</f>
        <v>11.805555555555555</v>
      </c>
      <c r="KI22" s="156"/>
      <c r="KJ22" s="156"/>
      <c r="KK22" s="131"/>
      <c r="KL22" s="131"/>
      <c r="KM22" s="131"/>
      <c r="KN22" s="169">
        <f>IF(COUNT(KN20,KN16,KN13,KN10,KN4)=0,"",SUM($B$4*IF(COUNT(KN4)=0,0,KN4),$B$10*IF(COUNT(KN10)=0,0,KN10),$B$13*IF(COUNT(KN13)=0,0,KN13),$B$16*IF(COUNT(KN16)=0,0,KN16),$B$20*IF(COUNT(KN20)=0,0,KN20))/SUM($B$4*COUNT(KN4),$B$10*COUNT(KN10),$B$13*COUNT(KN13),$B$16*COUNT(KN16),$B$20*COUNT(KN20)))</f>
        <v>2.125</v>
      </c>
      <c r="KO22" s="170">
        <f>IF(KN22="","",KN22*5)</f>
        <v>10.625</v>
      </c>
      <c r="KP22" s="62"/>
      <c r="KQ22" s="62"/>
      <c r="KR22" s="62"/>
      <c r="KS22" s="62"/>
      <c r="KT22" s="169">
        <f>IF(COUNT(KT20,KT16,KT13,KT10,KT4)=0,"",SUM($B$4*IF(COUNT(KT4)=0,0,KT4),$B$10*IF(COUNT(KT10)=0,0,KT10),$B$13*IF(COUNT(KT13)=0,0,KT13),$B$16*IF(COUNT(KT16)=0,0,KT16),$B$20*IF(COUNT(KT20)=0,0,KT20))/SUM($B$4*COUNT(KT4),$B$10*COUNT(KT10),$B$13*COUNT(KT13),$B$16*COUNT(KT16),$B$20*COUNT(KT20)))</f>
        <v>1.75</v>
      </c>
      <c r="KU22" s="176">
        <f>IF(KT22="","",KT22*5)</f>
        <v>8.75</v>
      </c>
      <c r="KV22" s="62"/>
      <c r="KW22" s="62"/>
      <c r="KX22" s="62"/>
      <c r="KY22" s="62"/>
      <c r="KZ22" s="62"/>
      <c r="LA22" s="62"/>
      <c r="LB22" s="169">
        <f>IF(COUNT(LB20,LB16,LB13,LB10,LB4)=0,"",SUM($B$4*IF(COUNT(LB4)=0,0,LB4),$B$10*IF(COUNT(LB10)=0,0,LB10),$B$13*IF(COUNT(LB13)=0,0,LB13),$B$16*IF(COUNT(LB16)=0,0,LB16),$B$20*IF(COUNT(LB20)=0,0,LB20))/SUM($B$4*COUNT(LB4),$B$10*COUNT(LB10),$B$13*COUNT(LB13),$B$16*COUNT(LB16),$B$20*COUNT(LB20)))</f>
        <v>3.3055555555555558</v>
      </c>
      <c r="LC22" s="193">
        <f>IF(LB22="","",LB22*5)</f>
        <v>16.527777777777779</v>
      </c>
      <c r="LD22" s="156"/>
      <c r="LE22" s="156"/>
      <c r="LF22" s="131"/>
      <c r="LG22" s="131"/>
      <c r="LH22" s="131"/>
      <c r="LI22" s="169">
        <f>IF(COUNT(LI20,LI16,LI13,LI10,LI4)=0,"",SUM($B$4*IF(COUNT(LI4)=0,0,LI4),$B$10*IF(COUNT(LI10)=0,0,LI10),$B$13*IF(COUNT(LI13)=0,0,LI13),$B$16*IF(COUNT(LI16)=0,0,LI16),$B$20*IF(COUNT(LI20)=0,0,LI20))/SUM($B$4*COUNT(LI4),$B$10*COUNT(LI10),$B$13*COUNT(LI13),$B$16*COUNT(LI16),$B$20*COUNT(LI20)))</f>
        <v>1.25</v>
      </c>
      <c r="LJ22" s="170">
        <f>IF(LI22="","",LI22*5)</f>
        <v>6.25</v>
      </c>
      <c r="LK22" s="62"/>
      <c r="LL22" s="62"/>
      <c r="LM22" s="62"/>
      <c r="LN22" s="62"/>
      <c r="LO22" s="169">
        <f>IF(COUNT(LO20,LO16,LO13,LO10,LO4)=0,"",SUM($B$4*IF(COUNT(LO4)=0,0,LO4),$B$10*IF(COUNT(LO10)=0,0,LO10),$B$13*IF(COUNT(LO13)=0,0,LO13),$B$16*IF(COUNT(LO16)=0,0,LO16),$B$20*IF(COUNT(LO20)=0,0,LO20))/SUM($B$4*COUNT(LO4),$B$10*COUNT(LO10),$B$13*COUNT(LO13),$B$16*COUNT(LO16),$B$20*COUNT(LO20)))</f>
        <v>1.75</v>
      </c>
      <c r="LP22" s="176">
        <f>IF(LO22="","",LO22*5)</f>
        <v>8.75</v>
      </c>
      <c r="LQ22" s="62"/>
      <c r="LR22" s="62"/>
      <c r="LS22" s="62"/>
      <c r="LT22" s="62"/>
      <c r="LU22" s="62"/>
      <c r="LV22" s="62"/>
      <c r="LW22" s="169">
        <f>IF(COUNT(LW20,LW16,LW13,LW10,LW4)=0,"",SUM($B$4*IF(COUNT(LW4)=0,0,LW4),$B$10*IF(COUNT(LW10)=0,0,LW10),$B$13*IF(COUNT(LW13)=0,0,LW13),$B$16*IF(COUNT(LW16)=0,0,LW16),$B$20*IF(COUNT(LW20)=0,0,LW20))/SUM($B$4*COUNT(LW4),$B$10*COUNT(LW10),$B$13*COUNT(LW13),$B$16*COUNT(LW16),$B$20*COUNT(LW20)))</f>
        <v>2.4166666666666665</v>
      </c>
      <c r="LX22" s="193">
        <f>IF(LW22="","",LW22*5)</f>
        <v>12.083333333333332</v>
      </c>
      <c r="LY22" s="156"/>
      <c r="LZ22" s="156"/>
      <c r="MA22" s="131"/>
      <c r="MB22" s="131"/>
      <c r="MC22" s="131"/>
      <c r="MD22" s="169">
        <f>IF(COUNT(MD20,MD16,MD13,MD10,MD4)=0,"",SUM($B$4*IF(COUNT(MD4)=0,0,MD4),$B$10*IF(COUNT(MD10)=0,0,MD10),$B$13*IF(COUNT(MD13)=0,0,MD13),$B$16*IF(COUNT(MD16)=0,0,MD16),$B$20*IF(COUNT(MD20)=0,0,MD20))/SUM($B$4*COUNT(MD4),$B$10*COUNT(MD10),$B$13*COUNT(MD13),$B$16*COUNT(MD16),$B$20*COUNT(MD20)))</f>
        <v>2.7083333333333335</v>
      </c>
      <c r="ME22" s="170">
        <f>IF(MD22="","",MD22*5)</f>
        <v>13.541666666666668</v>
      </c>
      <c r="MF22" s="62"/>
      <c r="MG22" s="62"/>
      <c r="MH22" s="62"/>
      <c r="MI22" s="62"/>
      <c r="MJ22" s="169">
        <f>IF(COUNT(MJ20,MJ16,MJ13,MJ10,MJ4)=0,"",SUM($B$4*IF(COUNT(MJ4)=0,0,MJ4),$B$10*IF(COUNT(MJ10)=0,0,MJ10),$B$13*IF(COUNT(MJ13)=0,0,MJ13),$B$16*IF(COUNT(MJ16)=0,0,MJ16),$B$20*IF(COUNT(MJ20)=0,0,MJ20))/SUM($B$4*COUNT(MJ4),$B$10*COUNT(MJ10),$B$13*COUNT(MJ13),$B$16*COUNT(MJ16),$B$20*COUNT(MJ20)))</f>
        <v>2.75</v>
      </c>
      <c r="MK22" s="176">
        <f>IF(MJ22="","",MJ22*5)</f>
        <v>13.75</v>
      </c>
      <c r="ML22" s="62"/>
      <c r="MM22" s="62"/>
      <c r="MN22" s="62"/>
      <c r="MO22" s="62"/>
      <c r="MP22" s="62"/>
      <c r="MQ22" s="62"/>
      <c r="MR22" s="169">
        <f>IF(COUNT(MR20,MR16,MR13,MR10,MR4)=0,"",SUM($B$4*IF(COUNT(MR4)=0,0,MR4),$B$10*IF(COUNT(MR10)=0,0,MR10),$B$13*IF(COUNT(MR13)=0,0,MR13),$B$16*IF(COUNT(MR16)=0,0,MR16),$B$20*IF(COUNT(MR20)=0,0,MR20))/SUM($B$4*COUNT(MR4),$B$10*COUNT(MR10),$B$13*COUNT(MR13),$B$16*COUNT(MR16),$B$20*COUNT(MR20)))</f>
        <v>3.1527777777777772</v>
      </c>
      <c r="MS22" s="193">
        <f>IF(MR22="","",MR22*5)</f>
        <v>15.763888888888886</v>
      </c>
      <c r="MT22" s="156"/>
      <c r="MU22" s="156"/>
      <c r="MV22" s="131"/>
      <c r="MW22" s="131"/>
      <c r="MX22" s="131"/>
      <c r="MY22" s="169">
        <f>IF(COUNT(MY20,MY16,MY13,MY10,MY4)=0,"",SUM($B$4*IF(COUNT(MY4)=0,0,MY4),$B$10*IF(COUNT(MY10)=0,0,MY10),$B$13*IF(COUNT(MY13)=0,0,MY13),$B$16*IF(COUNT(MY16)=0,0,MY16),$B$20*IF(COUNT(MY20)=0,0,MY20))/SUM($B$4*COUNT(MY4),$B$10*COUNT(MY10),$B$13*COUNT(MY13),$B$16*COUNT(MY16),$B$20*COUNT(MY20)))</f>
        <v>1.125</v>
      </c>
      <c r="MZ22" s="170">
        <f>IF(MY22="","",MY22*5)</f>
        <v>5.625</v>
      </c>
      <c r="NA22" s="62"/>
      <c r="NB22" s="62"/>
      <c r="NC22" s="62"/>
      <c r="ND22" s="62"/>
      <c r="NE22" s="169">
        <f>IF(COUNT(NE20,NE16,NE13,NE10,NE4)=0,"",SUM($B$4*IF(COUNT(NE4)=0,0,NE4),$B$10*IF(COUNT(NE10)=0,0,NE10),$B$13*IF(COUNT(NE13)=0,0,NE13),$B$16*IF(COUNT(NE16)=0,0,NE16),$B$20*IF(COUNT(NE20)=0,0,NE20))/SUM($B$4*COUNT(NE4),$B$10*COUNT(NE10),$B$13*COUNT(NE13),$B$16*COUNT(NE16),$B$20*COUNT(NE20)))</f>
        <v>1.75</v>
      </c>
      <c r="NF22" s="176">
        <f>IF(NE22="","",NE22*5)</f>
        <v>8.75</v>
      </c>
      <c r="NG22" s="62"/>
      <c r="NH22" s="62"/>
      <c r="NI22" s="62"/>
      <c r="NJ22" s="62"/>
      <c r="NK22" s="62"/>
      <c r="NL22" s="62"/>
      <c r="NM22" s="169">
        <f>IF(COUNT(NM20,NM16,NM13,NM10,NM4)=0,"",SUM($B$4*IF(COUNT(NM4)=0,0,NM4),$B$10*IF(COUNT(NM10)=0,0,NM10),$B$13*IF(COUNT(NM13)=0,0,NM13),$B$16*IF(COUNT(NM16)=0,0,NM16),$B$20*IF(COUNT(NM20)=0,0,NM20))/SUM($B$4*COUNT(NM4),$B$10*COUNT(NM10),$B$13*COUNT(NM13),$B$16*COUNT(NM16),$B$20*COUNT(NM20)))</f>
        <v>2.4583333333333335</v>
      </c>
      <c r="NN22" s="193">
        <f>IF(NM22="","",NM22*5)</f>
        <v>12.291666666666668</v>
      </c>
      <c r="NO22" s="156"/>
      <c r="NP22" s="156"/>
      <c r="NQ22" s="131"/>
      <c r="NR22" s="131"/>
      <c r="NS22" s="131"/>
      <c r="NT22" s="169">
        <f>IF(COUNT(NT20,NT16,NT13,NT10,NT4)=0,"",SUM($B$4*IF(COUNT(NT4)=0,0,NT4),$B$10*IF(COUNT(NT10)=0,0,NT10),$B$13*IF(COUNT(NT13)=0,0,NT13),$B$16*IF(COUNT(NT16)=0,0,NT16),$B$20*IF(COUNT(NT20)=0,0,NT20))/SUM($B$4*COUNT(NT4),$B$10*COUNT(NT10),$B$13*COUNT(NT13),$B$16*COUNT(NT16),$B$20*COUNT(NT20)))</f>
        <v>2.2083333333333335</v>
      </c>
      <c r="NU22" s="170">
        <f>IF(NT22="","",NT22*5)</f>
        <v>11.041666666666668</v>
      </c>
      <c r="NV22" s="62"/>
      <c r="NW22" s="62"/>
      <c r="NX22" s="62"/>
      <c r="NY22" s="62"/>
      <c r="NZ22" s="169">
        <f>IF(COUNT(NZ20,NZ16,NZ13,NZ10,NZ4)=0,"",SUM($B$4*IF(COUNT(NZ4)=0,0,NZ4),$B$10*IF(COUNT(NZ10)=0,0,NZ10),$B$13*IF(COUNT(NZ13)=0,0,NZ13),$B$16*IF(COUNT(NZ16)=0,0,NZ16),$B$20*IF(COUNT(NZ20)=0,0,NZ20))/SUM($B$4*COUNT(NZ4),$B$10*COUNT(NZ10),$B$13*COUNT(NZ13),$B$16*COUNT(NZ16),$B$20*COUNT(NZ20)))</f>
        <v>2.25</v>
      </c>
      <c r="OA22" s="176">
        <f>IF(NZ22="","",NZ22*5)</f>
        <v>11.25</v>
      </c>
      <c r="OB22" s="62"/>
      <c r="OC22" s="62"/>
      <c r="OD22" s="62"/>
      <c r="OE22" s="62"/>
      <c r="OF22" s="62"/>
      <c r="OG22" s="62"/>
      <c r="OH22" s="169">
        <f>IF(COUNT(OH20,OH16,OH13,OH10,OH4)=0,"",SUM($B$4*IF(COUNT(OH4)=0,0,OH4),$B$10*IF(COUNT(OH10)=0,0,OH10),$B$13*IF(COUNT(OH13)=0,0,OH13),$B$16*IF(COUNT(OH16)=0,0,OH16),$B$20*IF(COUNT(OH20)=0,0,OH20))/SUM($B$4*COUNT(OH4),$B$10*COUNT(OH10),$B$13*COUNT(OH13),$B$16*COUNT(OH16),$B$20*COUNT(OH20)))</f>
        <v>2.6458333333333335</v>
      </c>
      <c r="OI22" s="193">
        <f>IF(OH22="","",OH22*5)</f>
        <v>13.229166666666668</v>
      </c>
      <c r="OJ22" s="156"/>
      <c r="OK22" s="156"/>
      <c r="OL22" s="131"/>
      <c r="OM22" s="131"/>
      <c r="ON22" s="131"/>
      <c r="OO22" s="169">
        <f>IF(COUNT(OO20,OO16,OO13,OO10,OO4)=0,"",SUM($B$4*IF(COUNT(OO4)=0,0,OO4),$B$10*IF(COUNT(OO10)=0,0,OO10),$B$13*IF(COUNT(OO13)=0,0,OO13),$B$16*IF(COUNT(OO16)=0,0,OO16),$B$20*IF(COUNT(OO20)=0,0,OO20))/SUM($B$4*COUNT(OO4),$B$10*COUNT(OO10),$B$13*COUNT(OO13),$B$16*COUNT(OO16),$B$20*COUNT(OO20)))</f>
        <v>1.4166666666666667</v>
      </c>
      <c r="OP22" s="170">
        <f>IF(OO22="","",OO22*5)</f>
        <v>7.0833333333333339</v>
      </c>
      <c r="OQ22" s="62"/>
      <c r="OR22" s="62"/>
      <c r="OS22" s="62"/>
      <c r="OT22" s="62"/>
      <c r="OU22" s="169" t="str">
        <f>IF(COUNT(OU20,OU16,OU13,OU10,OU4)=0,"",SUM($B$4*IF(COUNT(OU4)=0,0,OU4),$B$10*IF(COUNT(OU10)=0,0,OU10),$B$13*IF(COUNT(OU13)=0,0,OU13),$B$16*IF(COUNT(OU16)=0,0,OU16),$B$20*IF(COUNT(OU20)=0,0,OU20))/SUM($B$4*COUNT(OU4),$B$10*COUNT(OU10),$B$13*COUNT(OU13),$B$16*COUNT(OU16),$B$20*COUNT(OU20)))</f>
        <v/>
      </c>
      <c r="OV22" s="176" t="str">
        <f>IF(OU22="","",OU22*5)</f>
        <v/>
      </c>
      <c r="OW22" s="62"/>
      <c r="OX22" s="62"/>
      <c r="OY22" s="62"/>
      <c r="OZ22" s="62"/>
      <c r="PA22" s="62"/>
      <c r="PB22" s="62"/>
      <c r="PC22" s="169">
        <f>IF(COUNT(PC20,PC16,PC13,PC10,PC4)=0,"",SUM($B$4*IF(COUNT(PC4)=0,0,PC4),$B$10*IF(COUNT(PC10)=0,0,PC10),$B$13*IF(COUNT(PC13)=0,0,PC13),$B$16*IF(COUNT(PC16)=0,0,PC16),$B$20*IF(COUNT(PC20)=0,0,PC20))/SUM($B$4*COUNT(PC4),$B$10*COUNT(PC10),$B$13*COUNT(PC13),$B$16*COUNT(PC16),$B$20*COUNT(PC20)))</f>
        <v>2.4861111111111112</v>
      </c>
      <c r="PD22" s="193">
        <f>IF(PC22="","",PC22*5)</f>
        <v>12.430555555555555</v>
      </c>
      <c r="PE22" s="156"/>
      <c r="PF22" s="156"/>
      <c r="PG22" s="131"/>
      <c r="PH22" s="131"/>
      <c r="PI22" s="131"/>
      <c r="PJ22" s="169">
        <f>IF(COUNT(PJ20,PJ16,PJ13,PJ10,PJ4)=0,"",SUM($B$4*IF(COUNT(PJ4)=0,0,PJ4),$B$10*IF(COUNT(PJ10)=0,0,PJ10),$B$13*IF(COUNT(PJ13)=0,0,PJ13),$B$16*IF(COUNT(PJ16)=0,0,PJ16),$B$20*IF(COUNT(PJ20)=0,0,PJ20))/SUM($B$4*COUNT(PJ4),$B$10*COUNT(PJ10),$B$13*COUNT(PJ13),$B$16*COUNT(PJ16),$B$20*COUNT(PJ20)))</f>
        <v>1.9166666666666667</v>
      </c>
      <c r="PK22" s="170">
        <f>IF(PJ22="","",PJ22*5)</f>
        <v>9.5833333333333339</v>
      </c>
      <c r="PL22" s="62"/>
      <c r="PM22" s="62"/>
      <c r="PN22" s="62"/>
      <c r="PO22" s="62"/>
      <c r="PP22" s="169">
        <f>IF(COUNT(PP20,PP16,PP13,PP10,PP4)=0,"",SUM($B$4*IF(COUNT(PP4)=0,0,PP4),$B$10*IF(COUNT(PP10)=0,0,PP10),$B$13*IF(COUNT(PP13)=0,0,PP13),$B$16*IF(COUNT(PP16)=0,0,PP16),$B$20*IF(COUNT(PP20)=0,0,PP20))/SUM($B$4*COUNT(PP4),$B$10*COUNT(PP10),$B$13*COUNT(PP13),$B$16*COUNT(PP16),$B$20*COUNT(PP20)))</f>
        <v>2</v>
      </c>
      <c r="PQ22" s="176">
        <f>IF(PP22="","",PP22*5)</f>
        <v>10</v>
      </c>
      <c r="PR22" s="62"/>
      <c r="PS22" s="62"/>
      <c r="PT22" s="62"/>
      <c r="PU22" s="62"/>
      <c r="PV22" s="62"/>
      <c r="PW22" s="62"/>
      <c r="PX22" s="169">
        <f>IF(COUNT(PX20,PX16,PX13,PX10,PX4)=0,"",SUM($B$4*IF(COUNT(PX4)=0,0,PX4),$B$10*IF(COUNT(PX10)=0,0,PX10),$B$13*IF(COUNT(PX13)=0,0,PX13),$B$16*IF(COUNT(PX16)=0,0,PX16),$B$20*IF(COUNT(PX20)=0,0,PX20))/SUM($B$4*COUNT(PX4),$B$10*COUNT(PX10),$B$13*COUNT(PX13),$B$16*COUNT(PX16),$B$20*COUNT(PX20)))</f>
        <v>2.5416666666666665</v>
      </c>
      <c r="PY22" s="193">
        <f>IF(PX22="","",PX22*5)</f>
        <v>12.708333333333332</v>
      </c>
      <c r="PZ22" s="156"/>
      <c r="QA22" s="156"/>
      <c r="QB22" s="131"/>
      <c r="QC22" s="131"/>
      <c r="QD22" s="131"/>
      <c r="QE22" s="169">
        <f>IF(COUNT(QE20,QE16,QE13,QE10,QE4)=0,"",SUM($B$4*IF(COUNT(QE4)=0,0,QE4),$B$10*IF(COUNT(QE10)=0,0,QE10),$B$13*IF(COUNT(QE13)=0,0,QE13),$B$16*IF(COUNT(QE16)=0,0,QE16),$B$20*IF(COUNT(QE20)=0,0,QE20))/SUM($B$4*COUNT(QE4),$B$10*COUNT(QE10),$B$13*COUNT(QE13),$B$16*COUNT(QE16),$B$20*COUNT(QE20)))</f>
        <v>1.7083333333333333</v>
      </c>
      <c r="QF22" s="170">
        <f>IF(QE22="","",QE22*5)</f>
        <v>8.5416666666666661</v>
      </c>
      <c r="QG22" s="62"/>
      <c r="QH22" s="62"/>
      <c r="QI22" s="62"/>
      <c r="QJ22" s="62"/>
      <c r="QK22" s="169">
        <f>IF(COUNT(QK20,QK16,QK13,QK10,QK4)=0,"",SUM($B$4*IF(COUNT(QK4)=0,0,QK4),$B$10*IF(COUNT(QK10)=0,0,QK10),$B$13*IF(COUNT(QK13)=0,0,QK13),$B$16*IF(COUNT(QK16)=0,0,QK16),$B$20*IF(COUNT(QK20)=0,0,QK20))/SUM($B$4*COUNT(QK4),$B$10*COUNT(QK10),$B$13*COUNT(QK13),$B$16*COUNT(QK16),$B$20*COUNT(QK20)))</f>
        <v>2.5</v>
      </c>
      <c r="QL22" s="176">
        <f>IF(QK22="","",QK22*5)</f>
        <v>12.5</v>
      </c>
      <c r="QM22" s="62"/>
      <c r="QN22" s="62"/>
      <c r="QO22" s="62"/>
      <c r="QP22" s="62"/>
      <c r="QQ22" s="62"/>
      <c r="QR22" s="62"/>
      <c r="QS22" s="169">
        <f>IF(COUNT(QS20,QS16,QS13,QS10,QS4)=0,"",SUM($B$4*IF(COUNT(QS4)=0,0,QS4),$B$10*IF(COUNT(QS10)=0,0,QS10),$B$13*IF(COUNT(QS13)=0,0,QS13),$B$16*IF(COUNT(QS16)=0,0,QS16),$B$20*IF(COUNT(QS20)=0,0,QS20))/SUM($B$4*COUNT(QS4),$B$10*COUNT(QS10),$B$13*COUNT(QS13),$B$16*COUNT(QS16),$B$20*COUNT(QS20)))</f>
        <v>2.2222222222222223</v>
      </c>
      <c r="QT22" s="193">
        <f>IF(QS22="","",QS22*5)</f>
        <v>11.111111111111111</v>
      </c>
      <c r="QU22" s="156"/>
      <c r="QV22" s="156"/>
      <c r="QW22" s="131"/>
      <c r="QX22" s="131"/>
      <c r="QY22" s="131"/>
      <c r="QZ22" s="169">
        <f>IF(COUNT(QZ20,QZ16,QZ13,QZ10,QZ4)=0,"",SUM($B$4*IF(COUNT(QZ4)=0,0,QZ4),$B$10*IF(COUNT(QZ10)=0,0,QZ10),$B$13*IF(COUNT(QZ13)=0,0,QZ13),$B$16*IF(COUNT(QZ16)=0,0,QZ16),$B$20*IF(COUNT(QZ20)=0,0,QZ20))/SUM($B$4*COUNT(QZ4),$B$10*COUNT(QZ10),$B$13*COUNT(QZ13),$B$16*COUNT(QZ16),$B$20*COUNT(QZ20)))</f>
        <v>1.8333333333333333</v>
      </c>
      <c r="RA22" s="170">
        <f>IF(QZ22="","",QZ22*5)</f>
        <v>9.1666666666666661</v>
      </c>
      <c r="RB22" s="62"/>
      <c r="RC22" s="62"/>
      <c r="RD22" s="62"/>
      <c r="RE22" s="62"/>
      <c r="RF22" s="169">
        <f>IF(COUNT(RF20,RF16,RF13,RF10,RF4)=0,"",SUM($B$4*IF(COUNT(RF4)=0,0,RF4),$B$10*IF(COUNT(RF10)=0,0,RF10),$B$13*IF(COUNT(RF13)=0,0,RF13),$B$16*IF(COUNT(RF16)=0,0,RF16),$B$20*IF(COUNT(RF20)=0,0,RF20))/SUM($B$4*COUNT(RF4),$B$10*COUNT(RF10),$B$13*COUNT(RF13),$B$16*COUNT(RF16),$B$20*COUNT(RF20)))</f>
        <v>2</v>
      </c>
      <c r="RG22" s="176">
        <f>IF(RF22="","",RF22*5)</f>
        <v>10</v>
      </c>
      <c r="RH22" s="62"/>
      <c r="RI22" s="62"/>
      <c r="RJ22" s="62"/>
      <c r="RK22" s="62"/>
      <c r="RL22" s="62"/>
      <c r="RM22" s="62"/>
      <c r="RN22" s="169">
        <f>IF(COUNT(RN20,RN16,RN13,RN10,RN4)=0,"",SUM($B$4*IF(COUNT(RN4)=0,0,RN4),$B$10*IF(COUNT(RN10)=0,0,RN10),$B$13*IF(COUNT(RN13)=0,0,RN13),$B$16*IF(COUNT(RN16)=0,0,RN16),$B$20*IF(COUNT(RN20)=0,0,RN20))/SUM($B$4*COUNT(RN4),$B$10*COUNT(RN10),$B$13*COUNT(RN13),$B$16*COUNT(RN16),$B$20*COUNT(RN20)))</f>
        <v>2.6388888888888888</v>
      </c>
      <c r="RO22" s="193">
        <f>IF(RN22="","",RN22*5)</f>
        <v>13.194444444444445</v>
      </c>
      <c r="RP22" s="156"/>
      <c r="RQ22" s="156"/>
      <c r="RR22" s="131"/>
      <c r="RS22" s="131"/>
      <c r="RT22" s="131"/>
      <c r="RU22" s="169">
        <f>IF(COUNT(RU20,RU16,RU13,RU10,RU4)=0,"",SUM($B$4*IF(COUNT(RU4)=0,0,RU4),$B$10*IF(COUNT(RU10)=0,0,RU10),$B$13*IF(COUNT(RU13)=0,0,RU13),$B$16*IF(COUNT(RU16)=0,0,RU16),$B$20*IF(COUNT(RU20)=0,0,RU20))/SUM($B$4*COUNT(RU4),$B$10*COUNT(RU10),$B$13*COUNT(RU13),$B$16*COUNT(RU16),$B$20*COUNT(RU20)))</f>
        <v>2.0416666666666665</v>
      </c>
      <c r="RV22" s="170">
        <f>IF(RU22="","",RU22*5)</f>
        <v>10.208333333333332</v>
      </c>
      <c r="RW22" s="62"/>
      <c r="RX22" s="62"/>
      <c r="RY22" s="62"/>
      <c r="RZ22" s="62"/>
      <c r="SA22" s="169">
        <f>IF(COUNT(SA20,SA16,SA13,SA10,SA4)=0,"",SUM($B$4*IF(COUNT(SA4)=0,0,SA4),$B$10*IF(COUNT(SA10)=0,0,SA10),$B$13*IF(COUNT(SA13)=0,0,SA13),$B$16*IF(COUNT(SA16)=0,0,SA16),$B$20*IF(COUNT(SA20)=0,0,SA20))/SUM($B$4*COUNT(SA4),$B$10*COUNT(SA10),$B$13*COUNT(SA13),$B$16*COUNT(SA16),$B$20*COUNT(SA20)))</f>
        <v>2</v>
      </c>
      <c r="SB22" s="176">
        <f>IF(SA22="","",SA22*5)</f>
        <v>10</v>
      </c>
      <c r="SC22" s="62"/>
      <c r="SD22" s="62"/>
      <c r="SE22" s="62"/>
      <c r="SF22" s="62"/>
      <c r="SG22" s="62"/>
      <c r="SH22" s="62"/>
      <c r="SI22" s="169">
        <f>IF(COUNT(SI20,SI16,SI13,SI10,SI4)=0,"",SUM($B$4*IF(COUNT(SI4)=0,0,SI4),$B$10*IF(COUNT(SI10)=0,0,SI10),$B$13*IF(COUNT(SI13)=0,0,SI13),$B$16*IF(COUNT(SI16)=0,0,SI16),$B$20*IF(COUNT(SI20)=0,0,SI20))/SUM($B$4*COUNT(SI4),$B$10*COUNT(SI10),$B$13*COUNT(SI13),$B$16*COUNT(SI16),$B$20*COUNT(SI20)))</f>
        <v>2.2777777777777777</v>
      </c>
      <c r="SJ22" s="193">
        <f>IF(SI22="","",SI22*5)</f>
        <v>11.388888888888889</v>
      </c>
      <c r="SK22" s="156"/>
      <c r="SL22" s="156"/>
      <c r="SM22" s="131"/>
      <c r="SN22" s="131"/>
      <c r="SO22" s="131"/>
      <c r="SP22" s="132" t="str">
        <f>IF(COUNT(SP20,SP16,SP13,SP10,SP4)=0,"",SUM($B$4*IF(COUNT(SP4)=0,0,SP4),$B$10*IF(COUNT(SP10)=0,0,SP10),$B$13*IF(COUNT(SP13)=0,0,SP13),$B$16*IF(COUNT(SP16)=0,0,SP16),$B$20*IF(COUNT(SP20)=0,0,SP20))/SUM($B$4*COUNT(SP4),$B$10*COUNT(SP10),$B$13*COUNT(SP13),$B$16*COUNT(SP16),$B$20*COUNT(SP20)))</f>
        <v/>
      </c>
      <c r="SQ22" s="133" t="str">
        <f>IF(SP22="","",SP22*5)</f>
        <v/>
      </c>
      <c r="SR22" s="62"/>
      <c r="SS22" s="62"/>
      <c r="ST22" s="62"/>
      <c r="SU22" s="132" t="str">
        <f>IF(COUNT(SU20,SU16,SU13,SU10,SU4)=0,"",SUM($B$4*IF(COUNT(SU4)=0,0,SU4),$B$10*IF(COUNT(SU10)=0,0,SU10),$B$13*IF(COUNT(SU13)=0,0,SU13),$B$16*IF(COUNT(SU16)=0,0,SU16),$B$20*IF(COUNT(SU20)=0,0,SU20))/SUM($B$4*COUNT(SU4),$B$10*COUNT(SU10),$B$13*COUNT(SU13),$B$16*COUNT(SU16),$B$20*COUNT(SU20)))</f>
        <v/>
      </c>
      <c r="SV22" s="134" t="str">
        <f>IF(SU22="","",SU22*5)</f>
        <v/>
      </c>
      <c r="SW22" s="62"/>
      <c r="SX22" s="62"/>
      <c r="SY22" s="62"/>
      <c r="SZ22" s="132" t="str">
        <f>IF(COUNT(SZ20,SZ16,SZ13,SZ10,SZ4)=0,"",SUM($B$4*IF(COUNT(SZ4)=0,0,SZ4),$B$10*IF(COUNT(SZ10)=0,0,SZ10),$B$13*IF(COUNT(SZ13)=0,0,SZ13),$B$16*IF(COUNT(SZ16)=0,0,SZ16),$B$20*IF(COUNT(SZ20)=0,0,SZ20))/SUM($B$4*COUNT(SZ4),$B$10*COUNT(SZ10),$B$13*COUNT(SZ13),$B$16*COUNT(SZ16),$B$20*COUNT(SZ20)))</f>
        <v/>
      </c>
      <c r="TA22" s="135" t="str">
        <f>IF(SZ22="","",SZ22*5)</f>
        <v/>
      </c>
      <c r="TB22" s="61"/>
      <c r="TC22" s="61"/>
      <c r="TD22" s="131"/>
      <c r="TE22" s="131"/>
      <c r="TF22" s="131"/>
      <c r="TG22" s="132" t="str">
        <f>IF(COUNT(TG20,TG16,TG13,TG10,TG4)=0,"",SUM($B$4*IF(COUNT(TG4)=0,0,TG4),$B$10*IF(COUNT(TG10)=0,0,TG10),$B$13*IF(COUNT(TG13)=0,0,TG13),$B$16*IF(COUNT(TG16)=0,0,TG16),$B$20*IF(COUNT(TG20)=0,0,TG20))/SUM($B$4*COUNT(TG4),$B$10*COUNT(TG10),$B$13*COUNT(TG13),$B$16*COUNT(TG16),$B$20*COUNT(TG20)))</f>
        <v/>
      </c>
      <c r="TH22" s="133" t="str">
        <f>IF(TG22="","",TG22*5)</f>
        <v/>
      </c>
      <c r="TI22" s="62"/>
      <c r="TJ22" s="62"/>
      <c r="TK22" s="62"/>
      <c r="TL22" s="132" t="str">
        <f>IF(COUNT(TL20,TL16,TL13,TL10,TL4)=0,"",SUM($B$4*IF(COUNT(TL4)=0,0,TL4),$B$10*IF(COUNT(TL10)=0,0,TL10),$B$13*IF(COUNT(TL13)=0,0,TL13),$B$16*IF(COUNT(TL16)=0,0,TL16),$B$20*IF(COUNT(TL20)=0,0,TL20))/SUM($B$4*COUNT(TL4),$B$10*COUNT(TL10),$B$13*COUNT(TL13),$B$16*COUNT(TL16),$B$20*COUNT(TL20)))</f>
        <v/>
      </c>
      <c r="TM22" s="134" t="str">
        <f>IF(TL22="","",TL22*5)</f>
        <v/>
      </c>
      <c r="TN22" s="62"/>
      <c r="TO22" s="62"/>
      <c r="TP22" s="62"/>
      <c r="TQ22" s="132" t="str">
        <f>IF(COUNT(TQ20,TQ16,TQ13,TQ10,TQ4)=0,"",SUM($B$4*IF(COUNT(TQ4)=0,0,TQ4),$B$10*IF(COUNT(TQ10)=0,0,TQ10),$B$13*IF(COUNT(TQ13)=0,0,TQ13),$B$16*IF(COUNT(TQ16)=0,0,TQ16),$B$20*IF(COUNT(TQ20)=0,0,TQ20))/SUM($B$4*COUNT(TQ4),$B$10*COUNT(TQ10),$B$13*COUNT(TQ13),$B$16*COUNT(TQ16),$B$20*COUNT(TQ20)))</f>
        <v/>
      </c>
      <c r="TR22" s="135" t="str">
        <f>IF(TQ22="","",TQ22*5)</f>
        <v/>
      </c>
      <c r="TS22" s="61"/>
      <c r="TT22" s="61"/>
      <c r="TU22" s="131"/>
      <c r="TV22" s="131"/>
      <c r="TW22" s="131"/>
      <c r="TX22" s="132" t="str">
        <f>IF(COUNT(TX20,TX16,TX13,TX10,TX4)=0,"",SUM($B$4*IF(COUNT(TX4)=0,0,TX4),$B$10*IF(COUNT(TX10)=0,0,TX10),$B$13*IF(COUNT(TX13)=0,0,TX13),$B$16*IF(COUNT(TX16)=0,0,TX16),$B$20*IF(COUNT(TX20)=0,0,TX20))/SUM($B$4*COUNT(TX4),$B$10*COUNT(TX10),$B$13*COUNT(TX13),$B$16*COUNT(TX16),$B$20*COUNT(TX20)))</f>
        <v/>
      </c>
      <c r="TY22" s="133" t="str">
        <f>IF(TX22="","",TX22*5)</f>
        <v/>
      </c>
      <c r="TZ22" s="62"/>
      <c r="UA22" s="62"/>
      <c r="UB22" s="62"/>
      <c r="UC22" s="132" t="str">
        <f>IF(COUNT(UC20,UC16,UC13,UC10,UC4)=0,"",SUM($B$4*IF(COUNT(UC4)=0,0,UC4),$B$10*IF(COUNT(UC10)=0,0,UC10),$B$13*IF(COUNT(UC13)=0,0,UC13),$B$16*IF(COUNT(UC16)=0,0,UC16),$B$20*IF(COUNT(UC20)=0,0,UC20))/SUM($B$4*COUNT(UC4),$B$10*COUNT(UC10),$B$13*COUNT(UC13),$B$16*COUNT(UC16),$B$20*COUNT(UC20)))</f>
        <v/>
      </c>
      <c r="UD22" s="134" t="str">
        <f>IF(UC22="","",UC22*5)</f>
        <v/>
      </c>
      <c r="UE22" s="62"/>
      <c r="UF22" s="62"/>
      <c r="UG22" s="62"/>
      <c r="UH22" s="132" t="str">
        <f>IF(COUNT(UH20,UH16,UH13,UH10,UH4)=0,"",SUM($B$4*IF(COUNT(UH4)=0,0,UH4),$B$10*IF(COUNT(UH10)=0,0,UH10),$B$13*IF(COUNT(UH13)=0,0,UH13),$B$16*IF(COUNT(UH16)=0,0,UH16),$B$20*IF(COUNT(UH20)=0,0,UH20))/SUM($B$4*COUNT(UH4),$B$10*COUNT(UH10),$B$13*COUNT(UH13),$B$16*COUNT(UH16),$B$20*COUNT(UH20)))</f>
        <v/>
      </c>
      <c r="UI22" s="135" t="str">
        <f>IF(UH22="","",UH22*5)</f>
        <v/>
      </c>
      <c r="UJ22" s="61"/>
      <c r="UK22" s="61"/>
      <c r="UL22" s="131"/>
      <c r="UM22" s="131"/>
      <c r="UN22" s="131"/>
      <c r="UO22" s="132" t="str">
        <f>IF(COUNT(UO20,UO16,UO13,UO10,UO4)=0,"",SUM($B$4*IF(COUNT(UO4)=0,0,UO4),$B$10*IF(COUNT(UO10)=0,0,UO10),$B$13*IF(COUNT(UO13)=0,0,UO13),$B$16*IF(COUNT(UO16)=0,0,UO16),$B$20*IF(COUNT(UO20)=0,0,UO20))/SUM($B$4*COUNT(UO4),$B$10*COUNT(UO10),$B$13*COUNT(UO13),$B$16*COUNT(UO16),$B$20*COUNT(UO20)))</f>
        <v/>
      </c>
      <c r="UP22" s="133" t="str">
        <f>IF(UO22="","",UO22*5)</f>
        <v/>
      </c>
      <c r="UQ22" s="62"/>
      <c r="UR22" s="62"/>
      <c r="US22" s="62"/>
      <c r="UT22" s="132" t="str">
        <f>IF(COUNT(UT20,UT16,UT13,UT10,UT4)=0,"",SUM($B$4*IF(COUNT(UT4)=0,0,UT4),$B$10*IF(COUNT(UT10)=0,0,UT10),$B$13*IF(COUNT(UT13)=0,0,UT13),$B$16*IF(COUNT(UT16)=0,0,UT16),$B$20*IF(COUNT(UT20)=0,0,UT20))/SUM($B$4*COUNT(UT4),$B$10*COUNT(UT10),$B$13*COUNT(UT13),$B$16*COUNT(UT16),$B$20*COUNT(UT20)))</f>
        <v/>
      </c>
      <c r="UU22" s="134" t="str">
        <f>IF(UT22="","",UT22*5)</f>
        <v/>
      </c>
      <c r="UV22" s="62"/>
      <c r="UW22" s="62"/>
      <c r="UX22" s="62"/>
      <c r="UY22" s="132" t="str">
        <f>IF(COUNT(UY20,UY16,UY13,UY10,UY4)=0,"",SUM($B$4*IF(COUNT(UY4)=0,0,UY4),$B$10*IF(COUNT(UY10)=0,0,UY10),$B$13*IF(COUNT(UY13)=0,0,UY13),$B$16*IF(COUNT(UY16)=0,0,UY16),$B$20*IF(COUNT(UY20)=0,0,UY20))/SUM($B$4*COUNT(UY4),$B$10*COUNT(UY10),$B$13*COUNT(UY13),$B$16*COUNT(UY16),$B$20*COUNT(UY20)))</f>
        <v/>
      </c>
      <c r="UZ22" s="135" t="str">
        <f>IF(UY22="","",UY22*5)</f>
        <v/>
      </c>
      <c r="VA22" s="61"/>
      <c r="VB22" s="61"/>
      <c r="VC22" s="131"/>
      <c r="VD22" s="131"/>
      <c r="VE22" s="131"/>
      <c r="VF22" s="132" t="str">
        <f>IF(COUNT(VF20,VF16,VF13,VF10,VF4)=0,"",SUM($B$4*IF(COUNT(VF4)=0,0,VF4),$B$10*IF(COUNT(VF10)=0,0,VF10),$B$13*IF(COUNT(VF13)=0,0,VF13),$B$16*IF(COUNT(VF16)=0,0,VF16),$B$20*IF(COUNT(VF20)=0,0,VF20))/SUM($B$4*COUNT(VF4),$B$10*COUNT(VF10),$B$13*COUNT(VF13),$B$16*COUNT(VF16),$B$20*COUNT(VF20)))</f>
        <v/>
      </c>
      <c r="VG22" s="133" t="str">
        <f>IF(VF22="","",VF22*5)</f>
        <v/>
      </c>
      <c r="VH22" s="62"/>
      <c r="VI22" s="62"/>
      <c r="VJ22" s="62"/>
      <c r="VK22" s="132" t="str">
        <f>IF(COUNT(VK20,VK16,VK13,VK10,VK4)=0,"",SUM($B$4*IF(COUNT(VK4)=0,0,VK4),$B$10*IF(COUNT(VK10)=0,0,VK10),$B$13*IF(COUNT(VK13)=0,0,VK13),$B$16*IF(COUNT(VK16)=0,0,VK16),$B$20*IF(COUNT(VK20)=0,0,VK20))/SUM($B$4*COUNT(VK4),$B$10*COUNT(VK10),$B$13*COUNT(VK13),$B$16*COUNT(VK16),$B$20*COUNT(VK20)))</f>
        <v/>
      </c>
      <c r="VL22" s="134" t="str">
        <f>IF(VK22="","",VK22*5)</f>
        <v/>
      </c>
      <c r="VM22" s="62"/>
      <c r="VN22" s="62"/>
      <c r="VO22" s="62"/>
      <c r="VP22" s="132" t="str">
        <f>IF(COUNT(VP20,VP16,VP13,VP10,VP4)=0,"",SUM($B$4*IF(COUNT(VP4)=0,0,VP4),$B$10*IF(COUNT(VP10)=0,0,VP10),$B$13*IF(COUNT(VP13)=0,0,VP13),$B$16*IF(COUNT(VP16)=0,0,VP16),$B$20*IF(COUNT(VP20)=0,0,VP20))/SUM($B$4*COUNT(VP4),$B$10*COUNT(VP10),$B$13*COUNT(VP13),$B$16*COUNT(VP16),$B$20*COUNT(VP20)))</f>
        <v/>
      </c>
      <c r="VQ22" s="135" t="str">
        <f>IF(VP22="","",VP22*5)</f>
        <v/>
      </c>
      <c r="VR22" s="61"/>
      <c r="VS22" s="61"/>
      <c r="VT22" s="131"/>
      <c r="VU22" s="131"/>
      <c r="VV22" s="131"/>
      <c r="VW22" s="132" t="str">
        <f>IF(COUNT(VW20,VW16,VW13,VW10,VW4)=0,"",SUM($B$4*IF(COUNT(VW4)=0,0,VW4),$B$10*IF(COUNT(VW10)=0,0,VW10),$B$13*IF(COUNT(VW13)=0,0,VW13),$B$16*IF(COUNT(VW16)=0,0,VW16),$B$20*IF(COUNT(VW20)=0,0,VW20))/SUM($B$4*COUNT(VW4),$B$10*COUNT(VW10),$B$13*COUNT(VW13),$B$16*COUNT(VW16),$B$20*COUNT(VW20)))</f>
        <v/>
      </c>
      <c r="VX22" s="133" t="str">
        <f>IF(VW22="","",VW22*5)</f>
        <v/>
      </c>
      <c r="VY22" s="62"/>
      <c r="VZ22" s="62"/>
      <c r="WA22" s="62"/>
      <c r="WB22" s="132" t="str">
        <f>IF(COUNT(WB20,WB16,WB13,WB10,WB4)=0,"",SUM($B$4*IF(COUNT(WB4)=0,0,WB4),$B$10*IF(COUNT(WB10)=0,0,WB10),$B$13*IF(COUNT(WB13)=0,0,WB13),$B$16*IF(COUNT(WB16)=0,0,WB16),$B$20*IF(COUNT(WB20)=0,0,WB20))/SUM($B$4*COUNT(WB4),$B$10*COUNT(WB10),$B$13*COUNT(WB13),$B$16*COUNT(WB16),$B$20*COUNT(WB20)))</f>
        <v/>
      </c>
      <c r="WC22" s="134" t="str">
        <f>IF(WB22="","",WB22*5)</f>
        <v/>
      </c>
      <c r="WD22" s="62"/>
      <c r="WE22" s="62"/>
      <c r="WF22" s="62"/>
      <c r="WG22" s="132" t="str">
        <f>IF(COUNT(WG20,WG16,WG13,WG10,WG4)=0,"",SUM($B$4*IF(COUNT(WG4)=0,0,WG4),$B$10*IF(COUNT(WG10)=0,0,WG10),$B$13*IF(COUNT(WG13)=0,0,WG13),$B$16*IF(COUNT(WG16)=0,0,WG16),$B$20*IF(COUNT(WG20)=0,0,WG20))/SUM($B$4*COUNT(WG4),$B$10*COUNT(WG10),$B$13*COUNT(WG13),$B$16*COUNT(WG16),$B$20*COUNT(WG20)))</f>
        <v/>
      </c>
      <c r="WH22" s="135" t="str">
        <f>IF(WG22="","",WG22*5)</f>
        <v/>
      </c>
      <c r="WI22" s="61"/>
      <c r="WJ22" s="61"/>
    </row>
    <row r="23" spans="1:608" s="136" customFormat="1" ht="16.5" x14ac:dyDescent="0.75">
      <c r="A23" s="146"/>
      <c r="B23" s="146"/>
      <c r="F23" s="146"/>
      <c r="G23" s="146"/>
      <c r="L23" s="146"/>
      <c r="M23" s="146"/>
      <c r="T23" s="146"/>
      <c r="U23" s="146"/>
      <c r="V23" s="172"/>
      <c r="W23" s="172"/>
      <c r="AA23" s="146"/>
      <c r="AB23" s="146"/>
      <c r="AG23" s="146"/>
      <c r="AH23" s="146"/>
      <c r="AO23" s="146"/>
      <c r="AP23" s="146"/>
      <c r="AQ23" s="172"/>
      <c r="AR23" s="172"/>
      <c r="BL23" s="137"/>
      <c r="BM23" s="137"/>
      <c r="CG23" s="137"/>
      <c r="CH23" s="137"/>
      <c r="DB23" s="137"/>
      <c r="DC23" s="137"/>
      <c r="DW23" s="137"/>
      <c r="DX23" s="137"/>
      <c r="ER23" s="137"/>
      <c r="ES23" s="137"/>
      <c r="FM23" s="137"/>
      <c r="FN23" s="137"/>
      <c r="GH23" s="137"/>
      <c r="GI23" s="137"/>
      <c r="HC23" s="137"/>
      <c r="HD23" s="137"/>
      <c r="HX23" s="137"/>
      <c r="HY23" s="137"/>
      <c r="IS23" s="137"/>
      <c r="IT23" s="137"/>
      <c r="JN23" s="137"/>
      <c r="JO23" s="137"/>
      <c r="KI23" s="137"/>
      <c r="KJ23" s="137"/>
      <c r="LD23" s="137"/>
      <c r="LE23" s="137"/>
      <c r="LY23" s="137"/>
      <c r="LZ23" s="137"/>
      <c r="MT23" s="137"/>
      <c r="MU23" s="137"/>
      <c r="NO23" s="137"/>
      <c r="NP23" s="137"/>
      <c r="OJ23" s="137"/>
      <c r="OK23" s="137"/>
      <c r="PE23" s="137"/>
      <c r="PF23" s="137"/>
      <c r="PZ23" s="137"/>
      <c r="QA23" s="137"/>
      <c r="QU23" s="137"/>
      <c r="QV23" s="137"/>
      <c r="RP23" s="137"/>
      <c r="RQ23" s="137"/>
      <c r="SK23" s="137"/>
      <c r="SL23" s="137"/>
      <c r="TB23" s="137"/>
      <c r="TC23" s="137"/>
      <c r="TS23" s="137"/>
      <c r="TT23" s="137"/>
      <c r="UJ23" s="137"/>
      <c r="UK23" s="137"/>
      <c r="VA23" s="137"/>
      <c r="VB23" s="137"/>
      <c r="VR23" s="137"/>
      <c r="VS23" s="137"/>
      <c r="WI23" s="137"/>
      <c r="WJ23" s="137"/>
    </row>
    <row r="24" spans="1:608" ht="16.5" x14ac:dyDescent="0.55000000000000004">
      <c r="A24" s="147"/>
      <c r="B24" s="147"/>
      <c r="C24" s="138"/>
      <c r="D24" s="137"/>
      <c r="E24" s="137"/>
      <c r="F24" s="147"/>
      <c r="G24" s="147"/>
      <c r="I24" s="137"/>
      <c r="J24" s="137"/>
      <c r="K24" s="137"/>
      <c r="N24" s="139"/>
      <c r="O24" s="139"/>
      <c r="P24" s="139"/>
      <c r="Q24" s="139"/>
      <c r="R24" s="139"/>
      <c r="S24" s="139"/>
      <c r="T24" s="171"/>
      <c r="V24" s="147"/>
      <c r="W24" s="147"/>
      <c r="X24" s="138"/>
      <c r="Y24" s="137"/>
      <c r="Z24" s="137"/>
      <c r="AA24" s="147"/>
      <c r="AB24" s="147"/>
      <c r="AD24" s="137"/>
      <c r="AE24" s="137"/>
      <c r="AF24" s="137"/>
      <c r="AI24" s="139"/>
      <c r="AJ24" s="139"/>
      <c r="AK24" s="139"/>
      <c r="AL24" s="139"/>
      <c r="AM24" s="139"/>
      <c r="AN24" s="139"/>
      <c r="AO24" s="171"/>
      <c r="AQ24" s="147"/>
      <c r="AR24" s="147"/>
      <c r="AS24" s="138"/>
      <c r="AT24" s="137"/>
      <c r="AU24" s="137"/>
      <c r="AV24" s="138"/>
      <c r="AW24" s="138"/>
      <c r="AY24" s="137"/>
      <c r="AZ24" s="137"/>
      <c r="BA24" s="137"/>
      <c r="BD24" s="139"/>
      <c r="BE24" s="139"/>
      <c r="BF24" s="139"/>
      <c r="BG24" s="139"/>
      <c r="BH24" s="139"/>
      <c r="BI24" s="139"/>
      <c r="BJ24" s="139"/>
      <c r="BL24" s="138"/>
      <c r="BM24" s="138"/>
      <c r="BN24" s="138"/>
      <c r="BO24" s="137"/>
      <c r="BP24" s="137"/>
      <c r="BQ24" s="138"/>
      <c r="BR24" s="138"/>
      <c r="BT24" s="137"/>
      <c r="BU24" s="137"/>
      <c r="BV24" s="137"/>
      <c r="BY24" s="139"/>
      <c r="BZ24" s="139"/>
      <c r="CA24" s="139"/>
      <c r="CB24" s="139"/>
      <c r="CC24" s="139"/>
      <c r="CD24" s="139"/>
      <c r="CE24" s="139"/>
      <c r="CG24" s="138"/>
      <c r="CH24" s="138"/>
      <c r="CI24" s="138"/>
      <c r="CJ24" s="137"/>
      <c r="CK24" s="137"/>
      <c r="CL24" s="138"/>
      <c r="CM24" s="138"/>
      <c r="CO24" s="137"/>
      <c r="CP24" s="137"/>
      <c r="CQ24" s="137"/>
      <c r="CT24" s="139"/>
      <c r="CU24" s="139"/>
      <c r="CV24" s="139"/>
      <c r="CW24" s="139"/>
      <c r="CX24" s="139"/>
      <c r="CY24" s="139"/>
      <c r="CZ24" s="139"/>
      <c r="DB24" s="138"/>
      <c r="DC24" s="138"/>
      <c r="DD24" s="138"/>
      <c r="DE24" s="137"/>
      <c r="DF24" s="137"/>
      <c r="DG24" s="138"/>
      <c r="DH24" s="138"/>
      <c r="DJ24" s="137"/>
      <c r="DK24" s="137"/>
      <c r="DL24" s="137"/>
      <c r="DO24" s="139"/>
      <c r="DP24" s="139"/>
      <c r="DQ24" s="139"/>
      <c r="DR24" s="139"/>
      <c r="DS24" s="139"/>
      <c r="DT24" s="139"/>
      <c r="DU24" s="139"/>
      <c r="DW24" s="138"/>
      <c r="DX24" s="138"/>
      <c r="DY24" s="138"/>
      <c r="DZ24" s="137"/>
      <c r="EA24" s="137"/>
      <c r="EB24" s="138"/>
      <c r="EC24" s="138"/>
      <c r="EE24" s="137"/>
      <c r="EF24" s="137"/>
      <c r="EG24" s="137"/>
      <c r="EJ24" s="139"/>
      <c r="EK24" s="139"/>
      <c r="EL24" s="139"/>
      <c r="EM24" s="139"/>
      <c r="EN24" s="139"/>
      <c r="EO24" s="139"/>
      <c r="EP24" s="139"/>
      <c r="ER24" s="138"/>
      <c r="ES24" s="138"/>
      <c r="ET24" s="138"/>
      <c r="EU24" s="137"/>
      <c r="EV24" s="137"/>
      <c r="EW24" s="138"/>
      <c r="EX24" s="138"/>
      <c r="EZ24" s="137"/>
      <c r="FA24" s="137"/>
      <c r="FB24" s="137"/>
      <c r="FE24" s="139"/>
      <c r="FF24" s="139"/>
      <c r="FG24" s="139"/>
      <c r="FH24" s="139"/>
      <c r="FI24" s="139"/>
      <c r="FJ24" s="139"/>
      <c r="FK24" s="139"/>
      <c r="FM24" s="138"/>
      <c r="FN24" s="138"/>
      <c r="FO24" s="138"/>
      <c r="FP24" s="137"/>
      <c r="FQ24" s="137"/>
      <c r="FR24" s="138"/>
      <c r="FS24" s="138"/>
      <c r="FU24" s="137"/>
      <c r="FV24" s="137"/>
      <c r="FW24" s="137"/>
      <c r="FZ24" s="139"/>
      <c r="GA24" s="139"/>
      <c r="GB24" s="139"/>
      <c r="GC24" s="139"/>
      <c r="GD24" s="139"/>
      <c r="GE24" s="139"/>
      <c r="GF24" s="139"/>
      <c r="GH24" s="138"/>
      <c r="GI24" s="138"/>
      <c r="GJ24" s="138"/>
      <c r="GK24" s="137"/>
      <c r="GL24" s="137"/>
      <c r="GM24" s="138"/>
      <c r="GN24" s="138"/>
      <c r="GP24" s="137"/>
      <c r="GQ24" s="137"/>
      <c r="GR24" s="137"/>
      <c r="GU24" s="139"/>
      <c r="GV24" s="139"/>
      <c r="GW24" s="139"/>
      <c r="GX24" s="139"/>
      <c r="GY24" s="139"/>
      <c r="GZ24" s="139"/>
      <c r="HA24" s="139"/>
      <c r="HC24" s="138"/>
      <c r="HD24" s="138"/>
      <c r="HE24" s="138"/>
      <c r="HF24" s="137"/>
      <c r="HG24" s="137"/>
      <c r="HH24" s="138"/>
      <c r="HI24" s="138"/>
      <c r="HK24" s="137"/>
      <c r="HL24" s="137"/>
      <c r="HM24" s="137"/>
      <c r="HP24" s="139"/>
      <c r="HQ24" s="139"/>
      <c r="HR24" s="139"/>
      <c r="HS24" s="139"/>
      <c r="HT24" s="139"/>
      <c r="HU24" s="139"/>
      <c r="HV24" s="139"/>
      <c r="HX24" s="138"/>
      <c r="HY24" s="138"/>
      <c r="HZ24" s="138"/>
      <c r="IA24" s="137"/>
      <c r="IB24" s="137"/>
      <c r="IC24" s="138"/>
      <c r="ID24" s="138"/>
      <c r="IF24" s="137"/>
      <c r="IG24" s="137"/>
      <c r="IH24" s="137"/>
      <c r="IK24" s="139"/>
      <c r="IL24" s="139"/>
      <c r="IM24" s="139"/>
      <c r="IN24" s="139"/>
      <c r="IO24" s="139"/>
      <c r="IP24" s="139"/>
      <c r="IQ24" s="139"/>
      <c r="IS24" s="138"/>
      <c r="IT24" s="138"/>
      <c r="IU24" s="138"/>
      <c r="IV24" s="137"/>
      <c r="IW24" s="137"/>
      <c r="IX24" s="138"/>
      <c r="IY24" s="138"/>
      <c r="JA24" s="137"/>
      <c r="JB24" s="137"/>
      <c r="JC24" s="137"/>
      <c r="JF24" s="139"/>
      <c r="JG24" s="139"/>
      <c r="JH24" s="139"/>
      <c r="JI24" s="139"/>
      <c r="JJ24" s="139"/>
      <c r="JK24" s="139"/>
      <c r="JL24" s="139"/>
      <c r="JN24" s="138"/>
      <c r="JO24" s="138"/>
      <c r="JP24" s="138"/>
      <c r="JQ24" s="137"/>
      <c r="JR24" s="137"/>
      <c r="JS24" s="138"/>
      <c r="JT24" s="138"/>
      <c r="JV24" s="137"/>
      <c r="JW24" s="137"/>
      <c r="JX24" s="137"/>
      <c r="KA24" s="139"/>
      <c r="KB24" s="139"/>
      <c r="KC24" s="139"/>
      <c r="KD24" s="139"/>
      <c r="KE24" s="139"/>
      <c r="KF24" s="139"/>
      <c r="KG24" s="139"/>
      <c r="KI24" s="138"/>
      <c r="KJ24" s="138"/>
      <c r="KK24" s="138"/>
      <c r="KL24" s="137"/>
      <c r="KM24" s="137"/>
      <c r="KN24" s="138"/>
      <c r="KO24" s="138"/>
      <c r="KQ24" s="137"/>
      <c r="KR24" s="137"/>
      <c r="KS24" s="137"/>
      <c r="KV24" s="139"/>
      <c r="KW24" s="139"/>
      <c r="KX24" s="139"/>
      <c r="KY24" s="139"/>
      <c r="KZ24" s="139"/>
      <c r="LA24" s="139"/>
      <c r="LB24" s="139"/>
      <c r="LD24" s="138"/>
      <c r="LE24" s="138"/>
      <c r="LF24" s="138"/>
      <c r="LG24" s="137"/>
      <c r="LH24" s="137"/>
      <c r="LI24" s="138"/>
      <c r="LJ24" s="138"/>
      <c r="LL24" s="137"/>
      <c r="LM24" s="137"/>
      <c r="LN24" s="137"/>
      <c r="LQ24" s="139"/>
      <c r="LR24" s="139"/>
      <c r="LS24" s="139"/>
      <c r="LT24" s="139"/>
      <c r="LU24" s="139"/>
      <c r="LV24" s="139"/>
      <c r="LW24" s="139"/>
      <c r="LY24" s="138"/>
      <c r="LZ24" s="138"/>
      <c r="MA24" s="138"/>
      <c r="MB24" s="137"/>
      <c r="MC24" s="137"/>
      <c r="MD24" s="138"/>
      <c r="ME24" s="138"/>
      <c r="MG24" s="137"/>
      <c r="MH24" s="137"/>
      <c r="MI24" s="137"/>
      <c r="ML24" s="139"/>
      <c r="MM24" s="139"/>
      <c r="MN24" s="139"/>
      <c r="MO24" s="139"/>
      <c r="MP24" s="139"/>
      <c r="MQ24" s="139"/>
      <c r="MR24" s="139"/>
      <c r="MT24" s="138"/>
      <c r="MU24" s="138"/>
      <c r="MV24" s="138"/>
      <c r="MW24" s="137"/>
      <c r="MX24" s="137"/>
      <c r="MY24" s="138"/>
      <c r="MZ24" s="138"/>
      <c r="NB24" s="137"/>
      <c r="NC24" s="137"/>
      <c r="ND24" s="137"/>
      <c r="NG24" s="139"/>
      <c r="NH24" s="139"/>
      <c r="NI24" s="139"/>
      <c r="NJ24" s="139"/>
      <c r="NK24" s="139"/>
      <c r="NL24" s="139"/>
      <c r="NM24" s="139"/>
      <c r="NO24" s="138"/>
      <c r="NP24" s="138"/>
      <c r="NQ24" s="138"/>
      <c r="NR24" s="137"/>
      <c r="NS24" s="137"/>
      <c r="NT24" s="138"/>
      <c r="NU24" s="138"/>
      <c r="NW24" s="137"/>
      <c r="NX24" s="137"/>
      <c r="NY24" s="137"/>
      <c r="OB24" s="139"/>
      <c r="OC24" s="139"/>
      <c r="OD24" s="139"/>
      <c r="OE24" s="139"/>
      <c r="OF24" s="139"/>
      <c r="OG24" s="139"/>
      <c r="OH24" s="139"/>
      <c r="OJ24" s="138"/>
      <c r="OK24" s="138"/>
      <c r="OL24" s="138"/>
      <c r="OM24" s="137"/>
      <c r="ON24" s="137"/>
      <c r="OO24" s="138"/>
      <c r="OP24" s="138"/>
      <c r="OR24" s="137"/>
      <c r="OS24" s="137"/>
      <c r="OT24" s="137"/>
      <c r="OW24" s="139"/>
      <c r="OX24" s="139"/>
      <c r="OY24" s="139"/>
      <c r="OZ24" s="139"/>
      <c r="PA24" s="139"/>
      <c r="PB24" s="139"/>
      <c r="PC24" s="139"/>
      <c r="PE24" s="138"/>
      <c r="PF24" s="138"/>
      <c r="PG24" s="138"/>
      <c r="PH24" s="137"/>
      <c r="PI24" s="137"/>
      <c r="PJ24" s="138"/>
      <c r="PK24" s="138"/>
      <c r="PM24" s="137"/>
      <c r="PN24" s="137"/>
      <c r="PO24" s="137"/>
      <c r="PR24" s="139"/>
      <c r="PS24" s="139"/>
      <c r="PT24" s="139"/>
      <c r="PU24" s="139"/>
      <c r="PV24" s="139"/>
      <c r="PW24" s="139"/>
      <c r="PX24" s="139"/>
      <c r="PZ24" s="138"/>
      <c r="QA24" s="138"/>
      <c r="QB24" s="138"/>
      <c r="QC24" s="137"/>
      <c r="QD24" s="137"/>
      <c r="QE24" s="138"/>
      <c r="QF24" s="138"/>
      <c r="QH24" s="137"/>
      <c r="QI24" s="137"/>
      <c r="QJ24" s="137"/>
      <c r="QM24" s="139"/>
      <c r="QN24" s="139"/>
      <c r="QO24" s="139"/>
      <c r="QP24" s="139"/>
      <c r="QQ24" s="139"/>
      <c r="QR24" s="139"/>
      <c r="QS24" s="139"/>
      <c r="QU24" s="138"/>
      <c r="QV24" s="138"/>
      <c r="QW24" s="138"/>
      <c r="QX24" s="137"/>
      <c r="QY24" s="137"/>
      <c r="QZ24" s="138"/>
      <c r="RA24" s="138"/>
      <c r="RC24" s="137"/>
      <c r="RD24" s="137"/>
      <c r="RE24" s="137"/>
      <c r="RH24" s="139"/>
      <c r="RI24" s="139"/>
      <c r="RJ24" s="139"/>
      <c r="RK24" s="139"/>
      <c r="RL24" s="139"/>
      <c r="RM24" s="139"/>
      <c r="RN24" s="139"/>
      <c r="RP24" s="138"/>
      <c r="RQ24" s="138"/>
      <c r="RR24" s="138"/>
      <c r="RS24" s="137"/>
      <c r="RT24" s="137"/>
      <c r="RU24" s="138"/>
      <c r="RV24" s="138"/>
      <c r="RX24" s="137"/>
      <c r="RY24" s="137"/>
      <c r="RZ24" s="137"/>
      <c r="SC24" s="139"/>
      <c r="SD24" s="139"/>
      <c r="SE24" s="139"/>
      <c r="SF24" s="139"/>
      <c r="SG24" s="139"/>
      <c r="SH24" s="139"/>
      <c r="SI24" s="139"/>
      <c r="SK24" s="138"/>
      <c r="SL24" s="138"/>
      <c r="SM24" s="138"/>
      <c r="SN24" s="137"/>
      <c r="SO24" s="137"/>
      <c r="SP24" s="138"/>
      <c r="SQ24" s="138"/>
      <c r="SS24" s="137"/>
      <c r="ST24" s="137"/>
      <c r="SW24" s="139"/>
      <c r="SX24" s="139"/>
      <c r="SY24" s="139"/>
      <c r="SZ24" s="139"/>
      <c r="TB24" s="138"/>
      <c r="TC24" s="138"/>
      <c r="TD24" s="138"/>
      <c r="TE24" s="137"/>
      <c r="TF24" s="137"/>
      <c r="TG24" s="138"/>
      <c r="TH24" s="138"/>
      <c r="TJ24" s="137"/>
      <c r="TK24" s="137"/>
      <c r="TN24" s="139"/>
      <c r="TO24" s="139"/>
      <c r="TP24" s="139"/>
      <c r="TQ24" s="139"/>
      <c r="TS24" s="138"/>
      <c r="TT24" s="138"/>
      <c r="TU24" s="138"/>
      <c r="TV24" s="137"/>
      <c r="TW24" s="137"/>
      <c r="TX24" s="138"/>
      <c r="TY24" s="138"/>
      <c r="UA24" s="137"/>
      <c r="UB24" s="137"/>
      <c r="UE24" s="139"/>
      <c r="UF24" s="139"/>
      <c r="UG24" s="139"/>
      <c r="UH24" s="139"/>
      <c r="UJ24" s="138"/>
      <c r="UK24" s="138"/>
      <c r="UL24" s="138"/>
      <c r="UM24" s="137"/>
      <c r="UN24" s="137"/>
      <c r="UO24" s="138"/>
      <c r="UP24" s="138"/>
      <c r="UR24" s="137"/>
      <c r="US24" s="137"/>
      <c r="UV24" s="139"/>
      <c r="UW24" s="139"/>
      <c r="UX24" s="139"/>
      <c r="UY24" s="139"/>
      <c r="VA24" s="138"/>
      <c r="VB24" s="138"/>
      <c r="VC24" s="138"/>
      <c r="VD24" s="137"/>
      <c r="VE24" s="137"/>
      <c r="VF24" s="138"/>
      <c r="VG24" s="138"/>
      <c r="VI24" s="137"/>
      <c r="VJ24" s="137"/>
      <c r="VM24" s="139"/>
      <c r="VN24" s="139"/>
      <c r="VO24" s="139"/>
      <c r="VP24" s="139"/>
      <c r="VR24" s="138"/>
      <c r="VS24" s="138"/>
      <c r="VT24" s="138"/>
      <c r="VU24" s="137"/>
      <c r="VV24" s="137"/>
      <c r="VW24" s="138"/>
      <c r="VX24" s="138"/>
      <c r="VZ24" s="137"/>
      <c r="WA24" s="137"/>
      <c r="WD24" s="64"/>
      <c r="WE24" s="64"/>
      <c r="WF24" s="64"/>
      <c r="WG24" s="64"/>
      <c r="WH24" s="64"/>
      <c r="WI24" s="64"/>
      <c r="WJ24" s="64"/>
    </row>
  </sheetData>
  <sheetProtection algorithmName="SHA-512" hashValue="g8Fan2ha051tqtJnr2n47v/winK2+yEfPwyaWlI9AU2nL5Aa201ZGgvPvHrzPiwcQ9Y4BjXEA156VTyKWlBprw==" saltValue="fzZtHVJzWOiafj1QzcRp8Q==" spinCount="100000" sheet="1" insertColumns="0" deleteColumns="0" selectLockedCells="1"/>
  <dataConsolidate/>
  <mergeCells count="15">
    <mergeCell ref="A1:B1"/>
    <mergeCell ref="A5:B5"/>
    <mergeCell ref="A6:B6"/>
    <mergeCell ref="A7:B7"/>
    <mergeCell ref="A8:B8"/>
    <mergeCell ref="A9:B9"/>
    <mergeCell ref="A11:B11"/>
    <mergeCell ref="A12:B12"/>
    <mergeCell ref="A14:B14"/>
    <mergeCell ref="A15:B15"/>
    <mergeCell ref="A17:B17"/>
    <mergeCell ref="A18:B18"/>
    <mergeCell ref="A19:B19"/>
    <mergeCell ref="A21:B21"/>
    <mergeCell ref="A22:B22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ref!$B$3:$B$6</xm:f>
          </x14:formula1>
          <xm:sqref>H5:K9 C5:E9 N5:S9 X5:Z9 AC5:AF9 AI5:AN9 C11:E12 H11:K12 N11:S12 X11:Z12 AC11:AF12 AI11:AN12 C14:E15 H14:K15 N14:S15 X14:Z15 AC14:AF15 AI14:AN15 C17:E19 H17:K19 N17:S19 X17:Z19 AC17:AF19 AI17:AN19 C21:E21 H21:K21 N21:S21 X21:Z21 AC21:AF21 AI21:AN21 SM5:SO9 SR5:ST9 SW5:SY9 SM11:SO12 SR11:ST12 SW11:SY12 SM14:SO15 SR14:ST15 SW14:SY15 SM17:SO19 SR17:ST19 SW17:SY19 SM21:SO21 SR21:ST21 SW21:SY21 TD5:TF9 TI5:TK9 TN5:TP9 TD11:TF12 TI11:TK12 TN11:TP12 TD14:TF15 TI14:TK15 TN14:TP15 TD17:TF19 TI17:TK19 TN17:TP19 TD21:TF21 TI21:TK21 TN21:TP21 UL5:UN9 UQ5:US9 UV5:UX9 UL11:UN12 UQ11:US12 UV11:UX12 UL14:UN15 UQ14:US15 UV14:UX15 UL17:UN19 UQ17:US19 UV17:UX19 UL21:UN21 UQ21:US21 UV21:UX21 TU5:TW9 TZ5:UB9 UE5:UG9 TU11:TW12 TZ11:UB12 UE11:UG12 TU14:TW15 TZ14:UB15 UE14:UG15 TU17:TW19 TZ17:UB19 UE17:UG19 TU21:TW21 TZ21:UB21 UE21:UG21 VC5:VE9 VH5:VJ9 VM5:VO9 VC11:VE12 VH11:VJ12 VM11:VO12 VC14:VE15 VH14:VJ15 VM14:VO15 VC17:VE19 VH17:VJ19 VM17:VO19 VC21:VE21 VH21:VJ21 VM21:VO21 AS5:AU9 AX5:BA9 BD5:BI9 AS11:AU12 AX11:BA12 BD11:BI12 AS14:AU15 AX14:BA15 BD14:BI15 AS17:AU19 AX17:BA19 BD17:BI19 AS21:AU21 AX21:BA21 BD21:BI21 BN5:BP9 BS5:BV9 BY5:CD9 BN11:BP12 BS11:BV12 BY11:CD12 BN14:BP15 BS14:BV15 BY14:CD15 BN17:BP19 BS17:BV19 BY17:CD19 BN21:BP21 BS21:BV21 BY21:CD21 CI5:CK9 CN5:CQ9 CT5:CY9 CI11:CK12 CN11:CQ12 CT11:CY12 CI14:CK15 CN14:CQ15 CT14:CY15 CI17:CK19 CN17:CQ19 CT17:CY19 CI21:CK21 CN21:CQ21 CT21:CY21 DD5:DF9 DI5:DL9 DO5:DT9 DD11:DF12 DI11:DL12 DO11:DT12 DD14:DF15 DI14:DL15 DO14:DT15 DD17:DF19 DI17:DL19 DO17:DT19 DD21:DF21 DI21:DL21 DO21:DT21 DY5:EA9 ED5:EG9 EJ5:EO9 DY11:EA12 ED11:EG12 EJ11:EO12 DY14:EA15 ED14:EG15 EJ14:EO15 DY17:EA19 ED17:EG19 EJ17:EO19 DY21:EA21 ED21:EG21 EJ21:EO21 ET5:EV9 EY5:FB9 FE5:FJ9 ET11:EV12 EY11:FB12 FE11:FJ12 ET14:EV15 EY14:FB15 FE14:FJ15 ET17:EV19 EY17:FB19 FE17:FJ19 ET21:EV21 EY21:FB21 FE21:FJ21 FO5:FQ9 FT5:FW9 FZ5:GE9 FO11:FQ12 FT11:FW12 FZ11:GE12 FO14:FQ15 FT14:FW15 FZ14:GE15 FO17:FQ19 FT17:FW19 FZ17:GE19 FO21:FQ21 FT21:FW21 FZ21:GE21 GJ5:GL9 GO5:GR9 GU5:GZ9 GJ11:GL12 GO11:GR12 GU11:GZ12 GJ14:GL15 GO14:GR15 GU14:GZ15 GJ17:GL19 GO17:GR19 GU17:GZ19 GJ21:GL21 GO21:GR21 GU21:GZ21 HE5:HG9 HJ5:HM9 HP5:HU9 HE11:HG12 HJ11:HM12 HP11:HU12 HE14:HG15 HJ14:HM15 HP14:HU15 HE17:HG19 HJ17:HM19 HP17:HU19 HE21:HG21 HJ21:HM21 HP21:HU21 HZ5:IB9 IE5:IH9 IK5:IP9 HZ11:IB12 IE11:IH12 IK11:IP12 HZ14:IB15 IE14:IH15 IK14:IP15 HZ17:IB19 IE17:IH19 IK17:IP19 HZ21:IB21 IE21:IH21 IK21:IP21 IU5:IW9 IZ5:JC9 JF5:JK9 IU11:IW12 IZ11:JC12 JF11:JK12 IU14:IW15 IZ14:JC15 JF14:JK15 IU17:IW19 IZ17:JC19 JF17:JK19 IU21:IW21 IZ21:JC21 JF21:JK21 JP5:JR9 JU5:JX9 KA5:KF9 JP11:JR12 JU11:JX12 KA11:KF12 JP14:JR15 JU14:JX15 KA14:KF15 JP17:JR19 JU17:JX19 KA17:KF19 JP21:JR21 JU21:JX21 KA21:KF21 KK5:KM9 KP5:KS9 KV5:LA9 KK11:KM12 KP11:KS12 KV11:LA12 KK14:KM15 KP14:KS15 KV14:LA15 KK17:KM19 KP17:KS19 KV17:LA19 KK21:KM21 KP21:KS21 KV21:LA21 LF5:LH9 LK5:LN9 LQ5:LV9 LF11:LH12 LK11:LN12 LQ11:LV12 LF14:LH15 LK14:LN15 LQ14:LV15 LF17:LH19 LK17:LN19 LQ17:LV19 LF21:LH21 LK21:LN21 LQ21:LV21 MA5:MC9 MF5:MI9 ML5:MQ9 MA11:MC12 MF11:MI12 ML11:MQ12 MA14:MC15 MF14:MI15 ML14:MQ15 MA17:MC19 MF17:MI19 ML17:MQ19 MA21:MC21 MF21:MI21 ML21:MQ21 MV5:MX9 NA5:ND9 NG5:NL9 MV11:MX12 NA11:ND12 NG11:NL12 MV14:MX15 NA14:ND15 NG14:NL15 MV17:MX19 NA17:ND19 NG17:NL19 MV21:MX21 NA21:ND21 NG21:NL21 NQ5:NS9 NV5:NY9 OB5:OG9 NQ11:NS12 NV11:NY12 OB11:OG12 NQ14:NS15 NV14:NY15 OB14:OG15 NQ17:NS19 NV17:NY19 OB17:OG19 NQ21:NS21 NV21:NY21 OB21:OG21 OL5:ON9 OQ5:OT9 OW5:PB9 OL11:ON12 OQ11:OT12 OW11:PB12 OL14:ON15 OQ14:OT15 OW14:PB15 OL17:ON19 OQ17:OT19 OW17:PB19 OL21:ON21 OQ21:OT21 OW21:PB21 PG5:PI9 PL5:PO9 PR5:PW9 PG11:PI12 PL11:PO12 PR11:PW12 PG14:PI15 PL14:PO15 PR14:PW15 PG17:PI19 PL17:PO19 PR17:PW19 PG21:PI21 PL21:PO21 PR21:PW21 QB5:QD9 QG5:QJ9 QM5:QR9 QB11:QD12 QG11:QJ12 QM11:QR12 QB14:QD15 QG14:QJ15 QM14:QR15 QB17:QD19 QG17:QJ19 QM17:QR19 QB21:QD21 QG21:QJ21 QM21:QR21 QW5:QY9 RB5:RE9 RH5:RM9 QW11:QY12 RB11:RE12 RH11:RM12 QW14:QY15 RB14:RE15 RH14:RM15 QW17:QY19 RB17:RE19 RH17:RM19 QW21:QY21 RB21:RE21 RH21:RM21 RR5:RT9 RW5:RZ9 SC5:SH9 RR11:RT12 RW11:RZ12 SC11:SH12 RR14:RT15 RW14:RZ15 SC14:SH15 RR17:RT19 RW17:RZ19 SC17:SH19 RR21:RT21 RW21:RZ21 SC21:SH21 VT5:VV9 VY5:WA9 WD5:WF9 VT11:VV12 VY11:WA12 WD11:WF12 VT14:VV15 VY14:WA15 WD14:WF15 VT17:VV19 VY17:WA19 WD17:WF19 VT21:VV21 VY21:WA21 WD21:WF21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AB31"/>
  <sheetViews>
    <sheetView tabSelected="1" topLeftCell="A2" zoomScale="90" zoomScaleNormal="90" workbookViewId="0"/>
  </sheetViews>
  <sheetFormatPr baseColWidth="10" defaultColWidth="11.41796875" defaultRowHeight="14.4" x14ac:dyDescent="0.55000000000000004"/>
  <cols>
    <col min="1" max="1" width="30.68359375" style="9" customWidth="1"/>
    <col min="2" max="26" width="6.68359375" style="9" customWidth="1"/>
    <col min="27" max="27" width="3" style="9" customWidth="1"/>
    <col min="28" max="28" width="20.15625" style="9" customWidth="1"/>
    <col min="29" max="16384" width="11.41796875" style="9"/>
  </cols>
  <sheetData>
    <row r="1" spans="1:28" ht="31.5" customHeight="1" thickBot="1" x14ac:dyDescent="0.6">
      <c r="A1" s="47" t="s">
        <v>194</v>
      </c>
      <c r="B1" s="227" t="s">
        <v>0</v>
      </c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  <c r="O1" s="209"/>
      <c r="P1" s="209"/>
      <c r="Q1" s="209"/>
      <c r="R1" s="209"/>
      <c r="S1" s="209"/>
      <c r="T1" s="209"/>
      <c r="U1" s="209"/>
      <c r="V1" s="209"/>
      <c r="W1" s="209"/>
      <c r="X1" s="209"/>
      <c r="Y1" s="209"/>
      <c r="Z1" s="210"/>
      <c r="AB1" s="48" t="s">
        <v>41</v>
      </c>
    </row>
    <row r="2" spans="1:28" ht="25" customHeight="1" thickTop="1" x14ac:dyDescent="0.55000000000000004">
      <c r="A2" s="211" t="s">
        <v>1</v>
      </c>
      <c r="B2" s="228" t="s">
        <v>181</v>
      </c>
      <c r="C2" s="213"/>
      <c r="D2" s="213"/>
      <c r="E2" s="214"/>
      <c r="F2" s="229" t="s">
        <v>3</v>
      </c>
      <c r="G2" s="230"/>
      <c r="H2" s="230"/>
      <c r="I2" s="231"/>
      <c r="J2" s="229" t="s">
        <v>4</v>
      </c>
      <c r="K2" s="230"/>
      <c r="L2" s="230"/>
      <c r="M2" s="231"/>
      <c r="N2" s="229" t="s">
        <v>5</v>
      </c>
      <c r="O2" s="230"/>
      <c r="P2" s="230"/>
      <c r="Q2" s="231"/>
      <c r="R2" s="229" t="s">
        <v>6</v>
      </c>
      <c r="S2" s="230"/>
      <c r="T2" s="230"/>
      <c r="U2" s="231"/>
      <c r="V2" s="206" t="s">
        <v>38</v>
      </c>
      <c r="W2" s="207"/>
      <c r="X2" s="208"/>
      <c r="Y2" s="204" t="s">
        <v>36</v>
      </c>
      <c r="Z2" s="205"/>
      <c r="AB2" s="49" t="s">
        <v>195</v>
      </c>
    </row>
    <row r="3" spans="1:28" ht="25" customHeight="1" thickBot="1" x14ac:dyDescent="0.6">
      <c r="A3" s="212"/>
      <c r="B3" s="31" t="s">
        <v>31</v>
      </c>
      <c r="C3" s="32" t="s">
        <v>32</v>
      </c>
      <c r="D3" s="31" t="s">
        <v>33</v>
      </c>
      <c r="E3" s="33" t="s">
        <v>10</v>
      </c>
      <c r="F3" s="34" t="s">
        <v>31</v>
      </c>
      <c r="G3" s="35" t="s">
        <v>32</v>
      </c>
      <c r="H3" s="36" t="s">
        <v>33</v>
      </c>
      <c r="I3" s="37" t="s">
        <v>10</v>
      </c>
      <c r="J3" s="38" t="s">
        <v>31</v>
      </c>
      <c r="K3" s="39" t="s">
        <v>32</v>
      </c>
      <c r="L3" s="36" t="s">
        <v>33</v>
      </c>
      <c r="M3" s="37" t="s">
        <v>10</v>
      </c>
      <c r="N3" s="34" t="s">
        <v>31</v>
      </c>
      <c r="O3" s="40" t="s">
        <v>32</v>
      </c>
      <c r="P3" s="36" t="s">
        <v>33</v>
      </c>
      <c r="Q3" s="37" t="s">
        <v>10</v>
      </c>
      <c r="R3" s="34" t="s">
        <v>31</v>
      </c>
      <c r="S3" s="40" t="s">
        <v>32</v>
      </c>
      <c r="T3" s="36" t="s">
        <v>33</v>
      </c>
      <c r="U3" s="37" t="s">
        <v>10</v>
      </c>
      <c r="V3" s="28" t="s">
        <v>31</v>
      </c>
      <c r="W3" s="29" t="s">
        <v>32</v>
      </c>
      <c r="X3" s="29" t="s">
        <v>33</v>
      </c>
      <c r="Y3" s="30" t="s">
        <v>14</v>
      </c>
      <c r="Z3" s="50" t="s">
        <v>45</v>
      </c>
      <c r="AA3" s="51"/>
      <c r="AB3" s="52" t="s">
        <v>182</v>
      </c>
    </row>
    <row r="4" spans="1:28" ht="15.75" customHeight="1" thickTop="1" x14ac:dyDescent="0.55000000000000004">
      <c r="A4" s="53" t="str">
        <f ca="1">CELL("contenu",INDIRECT(ADDRESS(ROW()-2,9,1,,CELL("contenu",$AB$3))))</f>
        <v>BLANC Mathis</v>
      </c>
      <c r="B4" s="2" t="str">
        <f ca="1">CELL("contenu",INDIRECT(ADDRESS(ref!$K$3,ref!E3,1,,CELL("contenu",$AB$2))))</f>
        <v>C</v>
      </c>
      <c r="C4" s="3" t="str">
        <f ca="1">CELL("contenu",INDIRECT(ADDRESS(ref!$K$3,ref!F3,1,,CELL("contenu",$AB$2))))</f>
        <v>A</v>
      </c>
      <c r="D4" s="4" t="str">
        <f ca="1">CELL("contenu",INDIRECT(ADDRESS(ref!$K$3,ref!G3,1,,CELL("contenu",$AB$2))))</f>
        <v>C</v>
      </c>
      <c r="E4" s="5" t="str">
        <f ca="1">CELL("contenu",INDIRECT(ADDRESS(ref!$K$3,ref!H3,1,,CELL("contenu",$AB$2))))</f>
        <v>C</v>
      </c>
      <c r="F4" s="6" t="str">
        <f ca="1">CELL("contenu",INDIRECT(ADDRESS(ref!$K$4,ref!E3,1,,CELL("contenu",$AB$2))))</f>
        <v>C</v>
      </c>
      <c r="G4" s="3" t="str">
        <f ca="1">CELL("contenu",INDIRECT(ADDRESS(ref!$K$4,ref!F3,1,,CELL("contenu",$AB$2))))</f>
        <v/>
      </c>
      <c r="H4" s="4" t="str">
        <f ca="1">CELL("contenu",INDIRECT(ADDRESS(ref!$K$4,ref!G3,1,,CELL("contenu",$AB$2))))</f>
        <v>B</v>
      </c>
      <c r="I4" s="5" t="str">
        <f ca="1">CELL("contenu",INDIRECT(ADDRESS(ref!$K$4,ref!H3,1,,CELL("contenu",$AB$2))))</f>
        <v>C</v>
      </c>
      <c r="J4" s="6" t="str">
        <f ca="1">CELL("contenu",INDIRECT(ADDRESS(ref!$K$5,ref!E3,1,,CELL("contenu",$AB$2))))</f>
        <v/>
      </c>
      <c r="K4" s="3" t="str">
        <f ca="1">CELL("contenu",INDIRECT(ADDRESS(ref!$K$5,ref!F3,1,,CELL("contenu",$AB$2))))</f>
        <v/>
      </c>
      <c r="L4" s="4" t="str">
        <f ca="1">CELL("contenu",INDIRECT(ADDRESS(ref!$K$5,ref!G3,1,,CELL("contenu",$AB$2))))</f>
        <v>A</v>
      </c>
      <c r="M4" s="5" t="str">
        <f ca="1">CELL("contenu",INDIRECT(ADDRESS(ref!$K$5,ref!H3,1,,CELL("contenu",$AB$2))))</f>
        <v>A</v>
      </c>
      <c r="N4" s="6" t="str">
        <f ca="1">CELL("contenu",INDIRECT(ADDRESS(ref!$K$6,ref!E3,1,,CELL("contenu",$AB$2))))</f>
        <v>D</v>
      </c>
      <c r="O4" s="3" t="str">
        <f ca="1">CELL("contenu",INDIRECT(ADDRESS(ref!$K$6,ref!F3,1,,CELL("contenu",$AB$2))))</f>
        <v>C</v>
      </c>
      <c r="P4" s="4" t="str">
        <f ca="1">CELL("contenu",INDIRECT(ADDRESS(ref!$K$6,ref!G3,1,,CELL("contenu",$AB$2))))</f>
        <v>C</v>
      </c>
      <c r="Q4" s="5" t="str">
        <f ca="1">CELL("contenu",INDIRECT(ADDRESS(ref!$K$6,ref!H3,1,,CELL("contenu",$AB$2))))</f>
        <v>C</v>
      </c>
      <c r="R4" s="6" t="str">
        <f ca="1">CELL("contenu",INDIRECT(ADDRESS(ref!$K$7,ref!E3,1,,CELL("contenu",$AB$2))))</f>
        <v>B</v>
      </c>
      <c r="S4" s="3" t="str">
        <f ca="1">CELL("contenu",INDIRECT(ADDRESS(ref!$K$7,ref!F3,1,,CELL("contenu",$AB$2))))</f>
        <v/>
      </c>
      <c r="T4" s="4" t="str">
        <f ca="1">CELL("contenu",INDIRECT(ADDRESS(ref!$K$7,ref!G3,1,,CELL("contenu",$AB$2))))</f>
        <v/>
      </c>
      <c r="U4" s="5" t="str">
        <f ca="1">CELL("contenu",INDIRECT(ADDRESS(ref!$K$7,ref!H3,1,,CELL("contenu",$AB$2))))</f>
        <v>B</v>
      </c>
      <c r="V4" s="41">
        <f ca="1">CELL("contenu",INDIRECT(ADDRESS(ref!$K$8,ref!E3,1,,CELL("contenu",$AB$2))))</f>
        <v>8.75</v>
      </c>
      <c r="W4" s="42">
        <f ca="1">CELL("contenu",INDIRECT(ADDRESS(ref!$K$8,ref!F3,1,,CELL("contenu",$AB$2))))</f>
        <v>16.25</v>
      </c>
      <c r="X4" s="43">
        <f ca="1">CELL("contenu",INDIRECT(ADDRESS(ref!$K$8,ref!G3,1,,CELL("contenu",$AB$2))))</f>
        <v>13.020833333333332</v>
      </c>
      <c r="Y4" s="7" t="str">
        <f ca="1">CELL("contenu",INDIRECT(ADDRESS(ref!$K$9,ref!H3,1,,CELL("contenu",$AB$2))))</f>
        <v/>
      </c>
      <c r="Z4" s="8" t="str">
        <f ca="1">CELL("contenu",INDIRECT(ADDRESS(ref!$K$10,ref!H3,1,,CELL("contenu",$AB$2))))</f>
        <v>C</v>
      </c>
    </row>
    <row r="5" spans="1:28" x14ac:dyDescent="0.55000000000000004">
      <c r="A5" s="53" t="str">
        <f ca="1">CELL("contenu",INDIRECT(ADDRESS(ROW()-2,9,1,,CELL("contenu",$AB$3))))</f>
        <v>BOUCHER Cesar</v>
      </c>
      <c r="B5" s="2" t="str">
        <f ca="1">CELL("contenu",INDIRECT(ADDRESS(ref!$K$3,ref!E4,1,,CELL("contenu",$AB$2))))</f>
        <v>C</v>
      </c>
      <c r="C5" s="3" t="str">
        <f ca="1">CELL("contenu",INDIRECT(ADDRESS(ref!$K$3,ref!F4,1,,CELL("contenu",$AB$2))))</f>
        <v>B</v>
      </c>
      <c r="D5" s="4" t="str">
        <f ca="1">CELL("contenu",INDIRECT(ADDRESS(ref!$K$3,ref!G4,1,,CELL("contenu",$AB$2))))</f>
        <v>B</v>
      </c>
      <c r="E5" s="5" t="str">
        <f ca="1">CELL("contenu",INDIRECT(ADDRESS(ref!$K$3,ref!H4,1,,CELL("contenu",$AB$2))))</f>
        <v>B</v>
      </c>
      <c r="F5" s="6" t="str">
        <f ca="1">CELL("contenu",INDIRECT(ADDRESS(ref!$K$4,ref!E4,1,,CELL("contenu",$AB$2))))</f>
        <v>C</v>
      </c>
      <c r="G5" s="3" t="str">
        <f ca="1">CELL("contenu",INDIRECT(ADDRESS(ref!$K$4,ref!F4,1,,CELL("contenu",$AB$2))))</f>
        <v/>
      </c>
      <c r="H5" s="4" t="str">
        <f ca="1">CELL("contenu",INDIRECT(ADDRESS(ref!$K$4,ref!G4,1,,CELL("contenu",$AB$2))))</f>
        <v>A</v>
      </c>
      <c r="I5" s="5" t="str">
        <f ca="1">CELL("contenu",INDIRECT(ADDRESS(ref!$K$4,ref!H4,1,,CELL("contenu",$AB$2))))</f>
        <v>C</v>
      </c>
      <c r="J5" s="6" t="str">
        <f ca="1">CELL("contenu",INDIRECT(ADDRESS(ref!$K$5,ref!E4,1,,CELL("contenu",$AB$2))))</f>
        <v/>
      </c>
      <c r="K5" s="3" t="str">
        <f ca="1">CELL("contenu",INDIRECT(ADDRESS(ref!$K$5,ref!F4,1,,CELL("contenu",$AB$2))))</f>
        <v/>
      </c>
      <c r="L5" s="4" t="str">
        <f ca="1">CELL("contenu",INDIRECT(ADDRESS(ref!$K$5,ref!G4,1,,CELL("contenu",$AB$2))))</f>
        <v>B</v>
      </c>
      <c r="M5" s="5" t="str">
        <f ca="1">CELL("contenu",INDIRECT(ADDRESS(ref!$K$5,ref!H4,1,,CELL("contenu",$AB$2))))</f>
        <v>B</v>
      </c>
      <c r="N5" s="6" t="str">
        <f ca="1">CELL("contenu",INDIRECT(ADDRESS(ref!$K$6,ref!E4,1,,CELL("contenu",$AB$2))))</f>
        <v>B</v>
      </c>
      <c r="O5" s="3" t="str">
        <f ca="1">CELL("contenu",INDIRECT(ADDRESS(ref!$K$6,ref!F4,1,,CELL("contenu",$AB$2))))</f>
        <v>D</v>
      </c>
      <c r="P5" s="4" t="str">
        <f ca="1">CELL("contenu",INDIRECT(ADDRESS(ref!$K$6,ref!G4,1,,CELL("contenu",$AB$2))))</f>
        <v>C</v>
      </c>
      <c r="Q5" s="5" t="str">
        <f ca="1">CELL("contenu",INDIRECT(ADDRESS(ref!$K$6,ref!H4,1,,CELL("contenu",$AB$2))))</f>
        <v>C</v>
      </c>
      <c r="R5" s="6" t="str">
        <f ca="1">CELL("contenu",INDIRECT(ADDRESS(ref!$K$7,ref!E4,1,,CELL("contenu",$AB$2))))</f>
        <v>B</v>
      </c>
      <c r="S5" s="3" t="str">
        <f ca="1">CELL("contenu",INDIRECT(ADDRESS(ref!$K$7,ref!F4,1,,CELL("contenu",$AB$2))))</f>
        <v/>
      </c>
      <c r="T5" s="4" t="str">
        <f ca="1">CELL("contenu",INDIRECT(ADDRESS(ref!$K$7,ref!G4,1,,CELL("contenu",$AB$2))))</f>
        <v/>
      </c>
      <c r="U5" s="5" t="str">
        <f ca="1">CELL("contenu",INDIRECT(ADDRESS(ref!$K$7,ref!H4,1,,CELL("contenu",$AB$2))))</f>
        <v>B</v>
      </c>
      <c r="V5" s="41">
        <f ca="1">CELL("contenu",INDIRECT(ADDRESS(ref!$K$8,ref!E4,1,,CELL("contenu",$AB$2))))</f>
        <v>13.333333333333332</v>
      </c>
      <c r="W5" s="42">
        <f ca="1">CELL("contenu",INDIRECT(ADDRESS(ref!$K$8,ref!F4,1,,CELL("contenu",$AB$2))))</f>
        <v>11.25</v>
      </c>
      <c r="X5" s="43">
        <f ca="1">CELL("contenu",INDIRECT(ADDRESS(ref!$K$8,ref!G4,1,,CELL("contenu",$AB$2))))</f>
        <v>15.520833333333332</v>
      </c>
      <c r="Y5" s="7" t="str">
        <f ca="1">CELL("contenu",INDIRECT(ADDRESS(ref!$K$9,ref!H4,1,,CELL("contenu",$AB$2))))</f>
        <v/>
      </c>
      <c r="Z5" s="8" t="str">
        <f ca="1">CELL("contenu",INDIRECT(ADDRESS(ref!$K$10,ref!H4,1,,CELL("contenu",$AB$2))))</f>
        <v>C</v>
      </c>
    </row>
    <row r="6" spans="1:28" x14ac:dyDescent="0.55000000000000004">
      <c r="A6" s="53" t="str">
        <f t="shared" ref="A6:A31" ca="1" si="0">CELL("contenu",INDIRECT(ADDRESS(ROW()-2,9,1,,CELL("contenu",$AB$3))))</f>
        <v>BOUSSION Vianney</v>
      </c>
      <c r="B6" s="2" t="str">
        <f ca="1">CELL("contenu",INDIRECT(ADDRESS(ref!$K$3,ref!E5,1,,CELL("contenu",$AB$2))))</f>
        <v>D</v>
      </c>
      <c r="C6" s="3" t="str">
        <f ca="1">CELL("contenu",INDIRECT(ADDRESS(ref!$K$3,ref!F5,1,,CELL("contenu",$AB$2))))</f>
        <v>C</v>
      </c>
      <c r="D6" s="4" t="str">
        <f ca="1">CELL("contenu",INDIRECT(ADDRESS(ref!$K$3,ref!G5,1,,CELL("contenu",$AB$2))))</f>
        <v>C</v>
      </c>
      <c r="E6" s="5" t="str">
        <f ca="1">CELL("contenu",INDIRECT(ADDRESS(ref!$K$3,ref!H5,1,,CELL("contenu",$AB$2))))</f>
        <v>C</v>
      </c>
      <c r="F6" s="6" t="str">
        <f ca="1">CELL("contenu",INDIRECT(ADDRESS(ref!$K$4,ref!E5,1,,CELL("contenu",$AB$2))))</f>
        <v>C</v>
      </c>
      <c r="G6" s="3" t="str">
        <f ca="1">CELL("contenu",INDIRECT(ADDRESS(ref!$K$4,ref!F5,1,,CELL("contenu",$AB$2))))</f>
        <v/>
      </c>
      <c r="H6" s="4" t="str">
        <f ca="1">CELL("contenu",INDIRECT(ADDRESS(ref!$K$4,ref!G5,1,,CELL("contenu",$AB$2))))</f>
        <v>B</v>
      </c>
      <c r="I6" s="5" t="str">
        <f ca="1">CELL("contenu",INDIRECT(ADDRESS(ref!$K$4,ref!H5,1,,CELL("contenu",$AB$2))))</f>
        <v>B</v>
      </c>
      <c r="J6" s="6" t="str">
        <f ca="1">CELL("contenu",INDIRECT(ADDRESS(ref!$K$5,ref!E5,1,,CELL("contenu",$AB$2))))</f>
        <v/>
      </c>
      <c r="K6" s="3" t="str">
        <f ca="1">CELL("contenu",INDIRECT(ADDRESS(ref!$K$5,ref!F5,1,,CELL("contenu",$AB$2))))</f>
        <v/>
      </c>
      <c r="L6" s="4" t="str">
        <f ca="1">CELL("contenu",INDIRECT(ADDRESS(ref!$K$5,ref!G5,1,,CELL("contenu",$AB$2))))</f>
        <v>A</v>
      </c>
      <c r="M6" s="5" t="str">
        <f ca="1">CELL("contenu",INDIRECT(ADDRESS(ref!$K$5,ref!H5,1,,CELL("contenu",$AB$2))))</f>
        <v>A</v>
      </c>
      <c r="N6" s="6" t="str">
        <f ca="1">CELL("contenu",INDIRECT(ADDRESS(ref!$K$6,ref!E5,1,,CELL("contenu",$AB$2))))</f>
        <v>C</v>
      </c>
      <c r="O6" s="3" t="str">
        <f ca="1">CELL("contenu",INDIRECT(ADDRESS(ref!$K$6,ref!F5,1,,CELL("contenu",$AB$2))))</f>
        <v>D</v>
      </c>
      <c r="P6" s="4" t="str">
        <f ca="1">CELL("contenu",INDIRECT(ADDRESS(ref!$K$6,ref!G5,1,,CELL("contenu",$AB$2))))</f>
        <v>C</v>
      </c>
      <c r="Q6" s="5" t="str">
        <f ca="1">CELL("contenu",INDIRECT(ADDRESS(ref!$K$6,ref!H5,1,,CELL("contenu",$AB$2))))</f>
        <v>C</v>
      </c>
      <c r="R6" s="6" t="str">
        <f ca="1">CELL("contenu",INDIRECT(ADDRESS(ref!$K$7,ref!E5,1,,CELL("contenu",$AB$2))))</f>
        <v>B</v>
      </c>
      <c r="S6" s="3" t="str">
        <f ca="1">CELL("contenu",INDIRECT(ADDRESS(ref!$K$7,ref!F5,1,,CELL("contenu",$AB$2))))</f>
        <v/>
      </c>
      <c r="T6" s="4" t="str">
        <f ca="1">CELL("contenu",INDIRECT(ADDRESS(ref!$K$7,ref!G5,1,,CELL("contenu",$AB$2))))</f>
        <v/>
      </c>
      <c r="U6" s="5" t="str">
        <f ca="1">CELL("contenu",INDIRECT(ADDRESS(ref!$K$7,ref!H5,1,,CELL("contenu",$AB$2))))</f>
        <v>B</v>
      </c>
      <c r="V6" s="41">
        <f ca="1">CELL("contenu",INDIRECT(ADDRESS(ref!$K$8,ref!E5,1,,CELL("contenu",$AB$2))))</f>
        <v>10.625</v>
      </c>
      <c r="W6" s="42">
        <f ca="1">CELL("contenu",INDIRECT(ADDRESS(ref!$K$8,ref!F5,1,,CELL("contenu",$AB$2))))</f>
        <v>8.75</v>
      </c>
      <c r="X6" s="43">
        <f ca="1">CELL("contenu",INDIRECT(ADDRESS(ref!$K$8,ref!G5,1,,CELL("contenu",$AB$2))))</f>
        <v>12.916666666666668</v>
      </c>
      <c r="Y6" s="7" t="str">
        <f ca="1">CELL("contenu",INDIRECT(ADDRESS(ref!$K$9,ref!H5,1,,CELL("contenu",$AB$2))))</f>
        <v/>
      </c>
      <c r="Z6" s="8" t="str">
        <f ca="1">CELL("contenu",INDIRECT(ADDRESS(ref!$K$10,ref!H5,1,,CELL("contenu",$AB$2))))</f>
        <v>A</v>
      </c>
    </row>
    <row r="7" spans="1:28" x14ac:dyDescent="0.55000000000000004">
      <c r="A7" s="53" t="str">
        <f t="shared" ca="1" si="0"/>
        <v>BRABANT Maud</v>
      </c>
      <c r="B7" s="2" t="str">
        <f ca="1">CELL("contenu",INDIRECT(ADDRESS(ref!$K$3,ref!E6,1,,CELL("contenu",$AB$2))))</f>
        <v>D</v>
      </c>
      <c r="C7" s="3" t="str">
        <f ca="1">CELL("contenu",INDIRECT(ADDRESS(ref!$K$3,ref!F6,1,,CELL("contenu",$AB$2))))</f>
        <v>C</v>
      </c>
      <c r="D7" s="4" t="str">
        <f ca="1">CELL("contenu",INDIRECT(ADDRESS(ref!$K$3,ref!G6,1,,CELL("contenu",$AB$2))))</f>
        <v>C</v>
      </c>
      <c r="E7" s="5" t="str">
        <f ca="1">CELL("contenu",INDIRECT(ADDRESS(ref!$K$3,ref!H6,1,,CELL("contenu",$AB$2))))</f>
        <v>C</v>
      </c>
      <c r="F7" s="6" t="str">
        <f ca="1">CELL("contenu",INDIRECT(ADDRESS(ref!$K$4,ref!E6,1,,CELL("contenu",$AB$2))))</f>
        <v>C</v>
      </c>
      <c r="G7" s="3" t="str">
        <f ca="1">CELL("contenu",INDIRECT(ADDRESS(ref!$K$4,ref!F6,1,,CELL("contenu",$AB$2))))</f>
        <v/>
      </c>
      <c r="H7" s="4" t="str">
        <f ca="1">CELL("contenu",INDIRECT(ADDRESS(ref!$K$4,ref!G6,1,,CELL("contenu",$AB$2))))</f>
        <v>A</v>
      </c>
      <c r="I7" s="5" t="str">
        <f ca="1">CELL("contenu",INDIRECT(ADDRESS(ref!$K$4,ref!H6,1,,CELL("contenu",$AB$2))))</f>
        <v>C</v>
      </c>
      <c r="J7" s="6" t="str">
        <f ca="1">CELL("contenu",INDIRECT(ADDRESS(ref!$K$5,ref!E6,1,,CELL("contenu",$AB$2))))</f>
        <v/>
      </c>
      <c r="K7" s="3" t="str">
        <f ca="1">CELL("contenu",INDIRECT(ADDRESS(ref!$K$5,ref!F6,1,,CELL("contenu",$AB$2))))</f>
        <v/>
      </c>
      <c r="L7" s="4" t="str">
        <f ca="1">CELL("contenu",INDIRECT(ADDRESS(ref!$K$5,ref!G6,1,,CELL("contenu",$AB$2))))</f>
        <v>A</v>
      </c>
      <c r="M7" s="5" t="str">
        <f ca="1">CELL("contenu",INDIRECT(ADDRESS(ref!$K$5,ref!H6,1,,CELL("contenu",$AB$2))))</f>
        <v>A</v>
      </c>
      <c r="N7" s="6" t="str">
        <f ca="1">CELL("contenu",INDIRECT(ADDRESS(ref!$K$6,ref!E6,1,,CELL("contenu",$AB$2))))</f>
        <v>D</v>
      </c>
      <c r="O7" s="3" t="str">
        <f ca="1">CELL("contenu",INDIRECT(ADDRESS(ref!$K$6,ref!F6,1,,CELL("contenu",$AB$2))))</f>
        <v>C</v>
      </c>
      <c r="P7" s="4" t="str">
        <f ca="1">CELL("contenu",INDIRECT(ADDRESS(ref!$K$6,ref!G6,1,,CELL("contenu",$AB$2))))</f>
        <v>C</v>
      </c>
      <c r="Q7" s="5" t="str">
        <f ca="1">CELL("contenu",INDIRECT(ADDRESS(ref!$K$6,ref!H6,1,,CELL("contenu",$AB$2))))</f>
        <v>C</v>
      </c>
      <c r="R7" s="6" t="str">
        <f ca="1">CELL("contenu",INDIRECT(ADDRESS(ref!$K$7,ref!E6,1,,CELL("contenu",$AB$2))))</f>
        <v>C</v>
      </c>
      <c r="S7" s="3" t="str">
        <f ca="1">CELL("contenu",INDIRECT(ADDRESS(ref!$K$7,ref!F6,1,,CELL("contenu",$AB$2))))</f>
        <v/>
      </c>
      <c r="T7" s="4" t="str">
        <f ca="1">CELL("contenu",INDIRECT(ADDRESS(ref!$K$7,ref!G6,1,,CELL("contenu",$AB$2))))</f>
        <v/>
      </c>
      <c r="U7" s="5" t="str">
        <f ca="1">CELL("contenu",INDIRECT(ADDRESS(ref!$K$7,ref!H6,1,,CELL("contenu",$AB$2))))</f>
        <v>C</v>
      </c>
      <c r="V7" s="41">
        <f ca="1">CELL("contenu",INDIRECT(ADDRESS(ref!$K$8,ref!E6,1,,CELL("contenu",$AB$2))))</f>
        <v>7.5</v>
      </c>
      <c r="W7" s="42">
        <f ca="1">CELL("contenu",INDIRECT(ADDRESS(ref!$K$8,ref!F6,1,,CELL("contenu",$AB$2))))</f>
        <v>10</v>
      </c>
      <c r="X7" s="43">
        <f ca="1">CELL("contenu",INDIRECT(ADDRESS(ref!$K$8,ref!G6,1,,CELL("contenu",$AB$2))))</f>
        <v>12.8125</v>
      </c>
      <c r="Y7" s="7" t="str">
        <f ca="1">CELL("contenu",INDIRECT(ADDRESS(ref!$K$9,ref!H6,1,,CELL("contenu",$AB$2))))</f>
        <v/>
      </c>
      <c r="Z7" s="8" t="str">
        <f ca="1">CELL("contenu",INDIRECT(ADDRESS(ref!$K$10,ref!H6,1,,CELL("contenu",$AB$2))))</f>
        <v>C</v>
      </c>
    </row>
    <row r="8" spans="1:28" x14ac:dyDescent="0.55000000000000004">
      <c r="A8" s="53" t="str">
        <f t="shared" ca="1" si="0"/>
        <v>BREYSSE Camille</v>
      </c>
      <c r="B8" s="2" t="str">
        <f ca="1">CELL("contenu",INDIRECT(ADDRESS(ref!$K$3,ref!E7,1,,CELL("contenu",$AB$2))))</f>
        <v>C</v>
      </c>
      <c r="C8" s="3" t="str">
        <f ca="1">CELL("contenu",INDIRECT(ADDRESS(ref!$K$3,ref!F7,1,,CELL("contenu",$AB$2))))</f>
        <v>B</v>
      </c>
      <c r="D8" s="4" t="str">
        <f ca="1">CELL("contenu",INDIRECT(ADDRESS(ref!$K$3,ref!G7,1,,CELL("contenu",$AB$2))))</f>
        <v>C</v>
      </c>
      <c r="E8" s="5" t="str">
        <f ca="1">CELL("contenu",INDIRECT(ADDRESS(ref!$K$3,ref!H7,1,,CELL("contenu",$AB$2))))</f>
        <v>C</v>
      </c>
      <c r="F8" s="6" t="str">
        <f ca="1">CELL("contenu",INDIRECT(ADDRESS(ref!$K$4,ref!E7,1,,CELL("contenu",$AB$2))))</f>
        <v>B</v>
      </c>
      <c r="G8" s="3" t="str">
        <f ca="1">CELL("contenu",INDIRECT(ADDRESS(ref!$K$4,ref!F7,1,,CELL("contenu",$AB$2))))</f>
        <v/>
      </c>
      <c r="H8" s="4" t="str">
        <f ca="1">CELL("contenu",INDIRECT(ADDRESS(ref!$K$4,ref!G7,1,,CELL("contenu",$AB$2))))</f>
        <v>A</v>
      </c>
      <c r="I8" s="5" t="str">
        <f ca="1">CELL("contenu",INDIRECT(ADDRESS(ref!$K$4,ref!H7,1,,CELL("contenu",$AB$2))))</f>
        <v>B</v>
      </c>
      <c r="J8" s="6" t="str">
        <f ca="1">CELL("contenu",INDIRECT(ADDRESS(ref!$K$5,ref!E7,1,,CELL("contenu",$AB$2))))</f>
        <v/>
      </c>
      <c r="K8" s="3" t="str">
        <f ca="1">CELL("contenu",INDIRECT(ADDRESS(ref!$K$5,ref!F7,1,,CELL("contenu",$AB$2))))</f>
        <v/>
      </c>
      <c r="L8" s="4" t="str">
        <f ca="1">CELL("contenu",INDIRECT(ADDRESS(ref!$K$5,ref!G7,1,,CELL("contenu",$AB$2))))</f>
        <v>A</v>
      </c>
      <c r="M8" s="5" t="str">
        <f ca="1">CELL("contenu",INDIRECT(ADDRESS(ref!$K$5,ref!H7,1,,CELL("contenu",$AB$2))))</f>
        <v>A</v>
      </c>
      <c r="N8" s="6" t="str">
        <f ca="1">CELL("contenu",INDIRECT(ADDRESS(ref!$K$6,ref!E7,1,,CELL("contenu",$AB$2))))</f>
        <v>D</v>
      </c>
      <c r="O8" s="3" t="str">
        <f ca="1">CELL("contenu",INDIRECT(ADDRESS(ref!$K$6,ref!F7,1,,CELL("contenu",$AB$2))))</f>
        <v>C</v>
      </c>
      <c r="P8" s="4" t="str">
        <f ca="1">CELL("contenu",INDIRECT(ADDRESS(ref!$K$6,ref!G7,1,,CELL("contenu",$AB$2))))</f>
        <v>C</v>
      </c>
      <c r="Q8" s="5" t="str">
        <f ca="1">CELL("contenu",INDIRECT(ADDRESS(ref!$K$6,ref!H7,1,,CELL("contenu",$AB$2))))</f>
        <v>C</v>
      </c>
      <c r="R8" s="6" t="str">
        <f ca="1">CELL("contenu",INDIRECT(ADDRESS(ref!$K$7,ref!E7,1,,CELL("contenu",$AB$2))))</f>
        <v>B</v>
      </c>
      <c r="S8" s="3" t="str">
        <f ca="1">CELL("contenu",INDIRECT(ADDRESS(ref!$K$7,ref!F7,1,,CELL("contenu",$AB$2))))</f>
        <v/>
      </c>
      <c r="T8" s="4" t="str">
        <f ca="1">CELL("contenu",INDIRECT(ADDRESS(ref!$K$7,ref!G7,1,,CELL("contenu",$AB$2))))</f>
        <v/>
      </c>
      <c r="U8" s="5" t="str">
        <f ca="1">CELL("contenu",INDIRECT(ADDRESS(ref!$K$7,ref!H7,1,,CELL("contenu",$AB$2))))</f>
        <v>B</v>
      </c>
      <c r="V8" s="41">
        <f ca="1">CELL("contenu",INDIRECT(ADDRESS(ref!$K$8,ref!E7,1,,CELL("contenu",$AB$2))))</f>
        <v>10.625</v>
      </c>
      <c r="W8" s="42">
        <f ca="1">CELL("contenu",INDIRECT(ADDRESS(ref!$K$8,ref!F7,1,,CELL("contenu",$AB$2))))</f>
        <v>12.5</v>
      </c>
      <c r="X8" s="43">
        <f ca="1">CELL("contenu",INDIRECT(ADDRESS(ref!$K$8,ref!G7,1,,CELL("contenu",$AB$2))))</f>
        <v>13.958333333333332</v>
      </c>
      <c r="Y8" s="7" t="str">
        <f ca="1">CELL("contenu",INDIRECT(ADDRESS(ref!$K$9,ref!H7,1,,CELL("contenu",$AB$2))))</f>
        <v/>
      </c>
      <c r="Z8" s="8" t="str">
        <f ca="1">CELL("contenu",INDIRECT(ADDRESS(ref!$K$10,ref!H7,1,,CELL("contenu",$AB$2))))</f>
        <v>A</v>
      </c>
    </row>
    <row r="9" spans="1:28" x14ac:dyDescent="0.55000000000000004">
      <c r="A9" s="53" t="str">
        <f t="shared" ca="1" si="0"/>
        <v>CABANEL Marie</v>
      </c>
      <c r="B9" s="2" t="str">
        <f ca="1">CELL("contenu",INDIRECT(ADDRESS(ref!$K$3,ref!E8,1,,CELL("contenu",$AB$2))))</f>
        <v>A</v>
      </c>
      <c r="C9" s="3" t="str">
        <f ca="1">CELL("contenu",INDIRECT(ADDRESS(ref!$K$3,ref!F8,1,,CELL("contenu",$AB$2))))</f>
        <v>B</v>
      </c>
      <c r="D9" s="4" t="str">
        <f ca="1">CELL("contenu",INDIRECT(ADDRESS(ref!$K$3,ref!G8,1,,CELL("contenu",$AB$2))))</f>
        <v>B</v>
      </c>
      <c r="E9" s="5" t="str">
        <f ca="1">CELL("contenu",INDIRECT(ADDRESS(ref!$K$3,ref!H8,1,,CELL("contenu",$AB$2))))</f>
        <v>B</v>
      </c>
      <c r="F9" s="6" t="str">
        <f ca="1">CELL("contenu",INDIRECT(ADDRESS(ref!$K$4,ref!E8,1,,CELL("contenu",$AB$2))))</f>
        <v>A</v>
      </c>
      <c r="G9" s="3" t="str">
        <f ca="1">CELL("contenu",INDIRECT(ADDRESS(ref!$K$4,ref!F8,1,,CELL("contenu",$AB$2))))</f>
        <v/>
      </c>
      <c r="H9" s="4" t="str">
        <f ca="1">CELL("contenu",INDIRECT(ADDRESS(ref!$K$4,ref!G8,1,,CELL("contenu",$AB$2))))</f>
        <v>A</v>
      </c>
      <c r="I9" s="5" t="str">
        <f ca="1">CELL("contenu",INDIRECT(ADDRESS(ref!$K$4,ref!H8,1,,CELL("contenu",$AB$2))))</f>
        <v>A</v>
      </c>
      <c r="J9" s="6" t="str">
        <f ca="1">CELL("contenu",INDIRECT(ADDRESS(ref!$K$5,ref!E8,1,,CELL("contenu",$AB$2))))</f>
        <v/>
      </c>
      <c r="K9" s="3" t="str">
        <f ca="1">CELL("contenu",INDIRECT(ADDRESS(ref!$K$5,ref!F8,1,,CELL("contenu",$AB$2))))</f>
        <v/>
      </c>
      <c r="L9" s="4" t="str">
        <f ca="1">CELL("contenu",INDIRECT(ADDRESS(ref!$K$5,ref!G8,1,,CELL("contenu",$AB$2))))</f>
        <v>A</v>
      </c>
      <c r="M9" s="5" t="str">
        <f ca="1">CELL("contenu",INDIRECT(ADDRESS(ref!$K$5,ref!H8,1,,CELL("contenu",$AB$2))))</f>
        <v>A</v>
      </c>
      <c r="N9" s="6" t="str">
        <f ca="1">CELL("contenu",INDIRECT(ADDRESS(ref!$K$6,ref!E8,1,,CELL("contenu",$AB$2))))</f>
        <v>B</v>
      </c>
      <c r="O9" s="3" t="str">
        <f ca="1">CELL("contenu",INDIRECT(ADDRESS(ref!$K$6,ref!F8,1,,CELL("contenu",$AB$2))))</f>
        <v>C</v>
      </c>
      <c r="P9" s="4" t="str">
        <f ca="1">CELL("contenu",INDIRECT(ADDRESS(ref!$K$6,ref!G8,1,,CELL("contenu",$AB$2))))</f>
        <v>A</v>
      </c>
      <c r="Q9" s="5" t="str">
        <f ca="1">CELL("contenu",INDIRECT(ADDRESS(ref!$K$6,ref!H8,1,,CELL("contenu",$AB$2))))</f>
        <v>B</v>
      </c>
      <c r="R9" s="6" t="str">
        <f ca="1">CELL("contenu",INDIRECT(ADDRESS(ref!$K$7,ref!E8,1,,CELL("contenu",$AB$2))))</f>
        <v>B</v>
      </c>
      <c r="S9" s="3" t="str">
        <f ca="1">CELL("contenu",INDIRECT(ADDRESS(ref!$K$7,ref!F8,1,,CELL("contenu",$AB$2))))</f>
        <v/>
      </c>
      <c r="T9" s="4" t="str">
        <f ca="1">CELL("contenu",INDIRECT(ADDRESS(ref!$K$7,ref!G8,1,,CELL("contenu",$AB$2))))</f>
        <v/>
      </c>
      <c r="U9" s="5" t="str">
        <f ca="1">CELL("contenu",INDIRECT(ADDRESS(ref!$K$7,ref!H8,1,,CELL("contenu",$AB$2))))</f>
        <v>B</v>
      </c>
      <c r="V9" s="41">
        <f ca="1">CELL("contenu",INDIRECT(ADDRESS(ref!$K$8,ref!E8,1,,CELL("contenu",$AB$2))))</f>
        <v>17.708333333333332</v>
      </c>
      <c r="W9" s="42">
        <f ca="1">CELL("contenu",INDIRECT(ADDRESS(ref!$K$8,ref!F8,1,,CELL("contenu",$AB$2))))</f>
        <v>12.5</v>
      </c>
      <c r="X9" s="43">
        <f ca="1">CELL("contenu",INDIRECT(ADDRESS(ref!$K$8,ref!G8,1,,CELL("contenu",$AB$2))))</f>
        <v>18.333333333333332</v>
      </c>
      <c r="Y9" s="7" t="str">
        <f ca="1">CELL("contenu",INDIRECT(ADDRESS(ref!$K$9,ref!H8,1,,CELL("contenu",$AB$2))))</f>
        <v/>
      </c>
      <c r="Z9" s="8" t="str">
        <f ca="1">CELL("contenu",INDIRECT(ADDRESS(ref!$K$10,ref!H8,1,,CELL("contenu",$AB$2))))</f>
        <v>A</v>
      </c>
    </row>
    <row r="10" spans="1:28" x14ac:dyDescent="0.55000000000000004">
      <c r="A10" s="53" t="str">
        <f t="shared" ca="1" si="0"/>
        <v>CHADOUTAUD Capucine</v>
      </c>
      <c r="B10" s="2" t="str">
        <f ca="1">CELL("contenu",INDIRECT(ADDRESS(ref!$K$3,ref!E9,1,,CELL("contenu",$AB$2))))</f>
        <v>C</v>
      </c>
      <c r="C10" s="3" t="str">
        <f ca="1">CELL("contenu",INDIRECT(ADDRESS(ref!$K$3,ref!F9,1,,CELL("contenu",$AB$2))))</f>
        <v>D</v>
      </c>
      <c r="D10" s="4" t="str">
        <f ca="1">CELL("contenu",INDIRECT(ADDRESS(ref!$K$3,ref!G9,1,,CELL("contenu",$AB$2))))</f>
        <v>C</v>
      </c>
      <c r="E10" s="5" t="str">
        <f ca="1">CELL("contenu",INDIRECT(ADDRESS(ref!$K$3,ref!H9,1,,CELL("contenu",$AB$2))))</f>
        <v>C</v>
      </c>
      <c r="F10" s="6" t="str">
        <f ca="1">CELL("contenu",INDIRECT(ADDRESS(ref!$K$4,ref!E9,1,,CELL("contenu",$AB$2))))</f>
        <v>C</v>
      </c>
      <c r="G10" s="3" t="str">
        <f ca="1">CELL("contenu",INDIRECT(ADDRESS(ref!$K$4,ref!F9,1,,CELL("contenu",$AB$2))))</f>
        <v/>
      </c>
      <c r="H10" s="4" t="str">
        <f ca="1">CELL("contenu",INDIRECT(ADDRESS(ref!$K$4,ref!G9,1,,CELL("contenu",$AB$2))))</f>
        <v>B</v>
      </c>
      <c r="I10" s="5" t="str">
        <f ca="1">CELL("contenu",INDIRECT(ADDRESS(ref!$K$4,ref!H9,1,,CELL("contenu",$AB$2))))</f>
        <v>B</v>
      </c>
      <c r="J10" s="6" t="str">
        <f ca="1">CELL("contenu",INDIRECT(ADDRESS(ref!$K$5,ref!E9,1,,CELL("contenu",$AB$2))))</f>
        <v/>
      </c>
      <c r="K10" s="3" t="str">
        <f ca="1">CELL("contenu",INDIRECT(ADDRESS(ref!$K$5,ref!F9,1,,CELL("contenu",$AB$2))))</f>
        <v/>
      </c>
      <c r="L10" s="4" t="str">
        <f ca="1">CELL("contenu",INDIRECT(ADDRESS(ref!$K$5,ref!G9,1,,CELL("contenu",$AB$2))))</f>
        <v>A</v>
      </c>
      <c r="M10" s="5" t="str">
        <f ca="1">CELL("contenu",INDIRECT(ADDRESS(ref!$K$5,ref!H9,1,,CELL("contenu",$AB$2))))</f>
        <v>A</v>
      </c>
      <c r="N10" s="6" t="str">
        <f ca="1">CELL("contenu",INDIRECT(ADDRESS(ref!$K$6,ref!E9,1,,CELL("contenu",$AB$2))))</f>
        <v>D</v>
      </c>
      <c r="O10" s="3" t="str">
        <f ca="1">CELL("contenu",INDIRECT(ADDRESS(ref!$K$6,ref!F9,1,,CELL("contenu",$AB$2))))</f>
        <v>C</v>
      </c>
      <c r="P10" s="4" t="str">
        <f ca="1">CELL("contenu",INDIRECT(ADDRESS(ref!$K$6,ref!G9,1,,CELL("contenu",$AB$2))))</f>
        <v>C</v>
      </c>
      <c r="Q10" s="5" t="str">
        <f ca="1">CELL("contenu",INDIRECT(ADDRESS(ref!$K$6,ref!H9,1,,CELL("contenu",$AB$2))))</f>
        <v>C</v>
      </c>
      <c r="R10" s="6" t="str">
        <f ca="1">CELL("contenu",INDIRECT(ADDRESS(ref!$K$7,ref!E9,1,,CELL("contenu",$AB$2))))</f>
        <v>D</v>
      </c>
      <c r="S10" s="3" t="str">
        <f ca="1">CELL("contenu",INDIRECT(ADDRESS(ref!$K$7,ref!F9,1,,CELL("contenu",$AB$2))))</f>
        <v/>
      </c>
      <c r="T10" s="4" t="str">
        <f ca="1">CELL("contenu",INDIRECT(ADDRESS(ref!$K$7,ref!G9,1,,CELL("contenu",$AB$2))))</f>
        <v/>
      </c>
      <c r="U10" s="5" t="str">
        <f ca="1">CELL("contenu",INDIRECT(ADDRESS(ref!$K$7,ref!H9,1,,CELL("contenu",$AB$2))))</f>
        <v>D</v>
      </c>
      <c r="V10" s="41">
        <f ca="1">CELL("contenu",INDIRECT(ADDRESS(ref!$K$8,ref!E9,1,,CELL("contenu",$AB$2))))</f>
        <v>8.5416666666666661</v>
      </c>
      <c r="W10" s="42">
        <f ca="1">CELL("contenu",INDIRECT(ADDRESS(ref!$K$8,ref!F9,1,,CELL("contenu",$AB$2))))</f>
        <v>7.5</v>
      </c>
      <c r="X10" s="43">
        <f ca="1">CELL("contenu",INDIRECT(ADDRESS(ref!$K$8,ref!G9,1,,CELL("contenu",$AB$2))))</f>
        <v>13.541666666666668</v>
      </c>
      <c r="Y10" s="7" t="str">
        <f ca="1">CELL("contenu",INDIRECT(ADDRESS(ref!$K$9,ref!H9,1,,CELL("contenu",$AB$2))))</f>
        <v/>
      </c>
      <c r="Z10" s="8" t="str">
        <f ca="1">CELL("contenu",INDIRECT(ADDRESS(ref!$K$10,ref!H9,1,,CELL("contenu",$AB$2))))</f>
        <v>A</v>
      </c>
    </row>
    <row r="11" spans="1:28" x14ac:dyDescent="0.55000000000000004">
      <c r="A11" s="53" t="str">
        <f t="shared" ca="1" si="0"/>
        <v>CHAVELET Marie</v>
      </c>
      <c r="B11" s="2" t="str">
        <f ca="1">CELL("contenu",INDIRECT(ADDRESS(ref!$K$3,ref!E10,1,,CELL("contenu",$AB$2))))</f>
        <v>C</v>
      </c>
      <c r="C11" s="3" t="str">
        <f ca="1">CELL("contenu",INDIRECT(ADDRESS(ref!$K$3,ref!F10,1,,CELL("contenu",$AB$2))))</f>
        <v>B</v>
      </c>
      <c r="D11" s="4" t="str">
        <f ca="1">CELL("contenu",INDIRECT(ADDRESS(ref!$K$3,ref!G10,1,,CELL("contenu",$AB$2))))</f>
        <v>C</v>
      </c>
      <c r="E11" s="5" t="str">
        <f ca="1">CELL("contenu",INDIRECT(ADDRESS(ref!$K$3,ref!H10,1,,CELL("contenu",$AB$2))))</f>
        <v>C</v>
      </c>
      <c r="F11" s="6" t="str">
        <f ca="1">CELL("contenu",INDIRECT(ADDRESS(ref!$K$4,ref!E10,1,,CELL("contenu",$AB$2))))</f>
        <v>D</v>
      </c>
      <c r="G11" s="3" t="str">
        <f ca="1">CELL("contenu",INDIRECT(ADDRESS(ref!$K$4,ref!F10,1,,CELL("contenu",$AB$2))))</f>
        <v/>
      </c>
      <c r="H11" s="4" t="str">
        <f ca="1">CELL("contenu",INDIRECT(ADDRESS(ref!$K$4,ref!G10,1,,CELL("contenu",$AB$2))))</f>
        <v>B</v>
      </c>
      <c r="I11" s="5" t="str">
        <f ca="1">CELL("contenu",INDIRECT(ADDRESS(ref!$K$4,ref!H10,1,,CELL("contenu",$AB$2))))</f>
        <v>C</v>
      </c>
      <c r="J11" s="6" t="str">
        <f ca="1">CELL("contenu",INDIRECT(ADDRESS(ref!$K$5,ref!E10,1,,CELL("contenu",$AB$2))))</f>
        <v/>
      </c>
      <c r="K11" s="3" t="str">
        <f ca="1">CELL("contenu",INDIRECT(ADDRESS(ref!$K$5,ref!F10,1,,CELL("contenu",$AB$2))))</f>
        <v/>
      </c>
      <c r="L11" s="4" t="str">
        <f ca="1">CELL("contenu",INDIRECT(ADDRESS(ref!$K$5,ref!G10,1,,CELL("contenu",$AB$2))))</f>
        <v>A</v>
      </c>
      <c r="M11" s="5" t="str">
        <f ca="1">CELL("contenu",INDIRECT(ADDRESS(ref!$K$5,ref!H10,1,,CELL("contenu",$AB$2))))</f>
        <v>A</v>
      </c>
      <c r="N11" s="6" t="str">
        <f ca="1">CELL("contenu",INDIRECT(ADDRESS(ref!$K$6,ref!E10,1,,CELL("contenu",$AB$2))))</f>
        <v>D</v>
      </c>
      <c r="O11" s="3" t="str">
        <f ca="1">CELL("contenu",INDIRECT(ADDRESS(ref!$K$6,ref!F10,1,,CELL("contenu",$AB$2))))</f>
        <v>C</v>
      </c>
      <c r="P11" s="4" t="str">
        <f ca="1">CELL("contenu",INDIRECT(ADDRESS(ref!$K$6,ref!G10,1,,CELL("contenu",$AB$2))))</f>
        <v>C</v>
      </c>
      <c r="Q11" s="5" t="str">
        <f ca="1">CELL("contenu",INDIRECT(ADDRESS(ref!$K$6,ref!H10,1,,CELL("contenu",$AB$2))))</f>
        <v>C</v>
      </c>
      <c r="R11" s="6" t="str">
        <f ca="1">CELL("contenu",INDIRECT(ADDRESS(ref!$K$7,ref!E10,1,,CELL("contenu",$AB$2))))</f>
        <v>B</v>
      </c>
      <c r="S11" s="3" t="str">
        <f ca="1">CELL("contenu",INDIRECT(ADDRESS(ref!$K$7,ref!F10,1,,CELL("contenu",$AB$2))))</f>
        <v/>
      </c>
      <c r="T11" s="4" t="str">
        <f ca="1">CELL("contenu",INDIRECT(ADDRESS(ref!$K$7,ref!G10,1,,CELL("contenu",$AB$2))))</f>
        <v/>
      </c>
      <c r="U11" s="5" t="str">
        <f ca="1">CELL("contenu",INDIRECT(ADDRESS(ref!$K$7,ref!H10,1,,CELL("contenu",$AB$2))))</f>
        <v>B</v>
      </c>
      <c r="V11" s="41">
        <f ca="1">CELL("contenu",INDIRECT(ADDRESS(ref!$K$8,ref!E10,1,,CELL("contenu",$AB$2))))</f>
        <v>9.1666666666666661</v>
      </c>
      <c r="W11" s="42">
        <f ca="1">CELL("contenu",INDIRECT(ADDRESS(ref!$K$8,ref!F10,1,,CELL("contenu",$AB$2))))</f>
        <v>12.5</v>
      </c>
      <c r="X11" s="43">
        <f ca="1">CELL("contenu",INDIRECT(ADDRESS(ref!$K$8,ref!G10,1,,CELL("contenu",$AB$2))))</f>
        <v>13.645833333333332</v>
      </c>
      <c r="Y11" s="7" t="str">
        <f ca="1">CELL("contenu",INDIRECT(ADDRESS(ref!$K$9,ref!H10,1,,CELL("contenu",$AB$2))))</f>
        <v/>
      </c>
      <c r="Z11" s="8" t="str">
        <f ca="1">CELL("contenu",INDIRECT(ADDRESS(ref!$K$10,ref!H10,1,,CELL("contenu",$AB$2))))</f>
        <v>D</v>
      </c>
    </row>
    <row r="12" spans="1:28" x14ac:dyDescent="0.55000000000000004">
      <c r="A12" s="53" t="str">
        <f t="shared" ca="1" si="0"/>
        <v>COSTA Nina</v>
      </c>
      <c r="B12" s="2" t="str">
        <f ca="1">CELL("contenu",INDIRECT(ADDRESS(ref!$K$3,ref!E11,1,,CELL("contenu",$AB$2))))</f>
        <v>C</v>
      </c>
      <c r="C12" s="3" t="str">
        <f ca="1">CELL("contenu",INDIRECT(ADDRESS(ref!$K$3,ref!F11,1,,CELL("contenu",$AB$2))))</f>
        <v>C</v>
      </c>
      <c r="D12" s="4" t="str">
        <f ca="1">CELL("contenu",INDIRECT(ADDRESS(ref!$K$3,ref!G11,1,,CELL("contenu",$AB$2))))</f>
        <v>C</v>
      </c>
      <c r="E12" s="5" t="str">
        <f ca="1">CELL("contenu",INDIRECT(ADDRESS(ref!$K$3,ref!H11,1,,CELL("contenu",$AB$2))))</f>
        <v>C</v>
      </c>
      <c r="F12" s="6" t="str">
        <f ca="1">CELL("contenu",INDIRECT(ADDRESS(ref!$K$4,ref!E11,1,,CELL("contenu",$AB$2))))</f>
        <v>C</v>
      </c>
      <c r="G12" s="3" t="str">
        <f ca="1">CELL("contenu",INDIRECT(ADDRESS(ref!$K$4,ref!F11,1,,CELL("contenu",$AB$2))))</f>
        <v/>
      </c>
      <c r="H12" s="4" t="str">
        <f ca="1">CELL("contenu",INDIRECT(ADDRESS(ref!$K$4,ref!G11,1,,CELL("contenu",$AB$2))))</f>
        <v>B</v>
      </c>
      <c r="I12" s="5" t="str">
        <f ca="1">CELL("contenu",INDIRECT(ADDRESS(ref!$K$4,ref!H11,1,,CELL("contenu",$AB$2))))</f>
        <v>B</v>
      </c>
      <c r="J12" s="6" t="str">
        <f ca="1">CELL("contenu",INDIRECT(ADDRESS(ref!$K$5,ref!E11,1,,CELL("contenu",$AB$2))))</f>
        <v/>
      </c>
      <c r="K12" s="3" t="str">
        <f ca="1">CELL("contenu",INDIRECT(ADDRESS(ref!$K$5,ref!F11,1,,CELL("contenu",$AB$2))))</f>
        <v/>
      </c>
      <c r="L12" s="4" t="str">
        <f ca="1">CELL("contenu",INDIRECT(ADDRESS(ref!$K$5,ref!G11,1,,CELL("contenu",$AB$2))))</f>
        <v>A</v>
      </c>
      <c r="M12" s="5" t="str">
        <f ca="1">CELL("contenu",INDIRECT(ADDRESS(ref!$K$5,ref!H11,1,,CELL("contenu",$AB$2))))</f>
        <v>A</v>
      </c>
      <c r="N12" s="6" t="str">
        <f ca="1">CELL("contenu",INDIRECT(ADDRESS(ref!$K$6,ref!E11,1,,CELL("contenu",$AB$2))))</f>
        <v>C</v>
      </c>
      <c r="O12" s="3" t="str">
        <f ca="1">CELL("contenu",INDIRECT(ADDRESS(ref!$K$6,ref!F11,1,,CELL("contenu",$AB$2))))</f>
        <v>C</v>
      </c>
      <c r="P12" s="4" t="str">
        <f ca="1">CELL("contenu",INDIRECT(ADDRESS(ref!$K$6,ref!G11,1,,CELL("contenu",$AB$2))))</f>
        <v>C</v>
      </c>
      <c r="Q12" s="5" t="str">
        <f ca="1">CELL("contenu",INDIRECT(ADDRESS(ref!$K$6,ref!H11,1,,CELL("contenu",$AB$2))))</f>
        <v>C</v>
      </c>
      <c r="R12" s="6" t="str">
        <f ca="1">CELL("contenu",INDIRECT(ADDRESS(ref!$K$7,ref!E11,1,,CELL("contenu",$AB$2))))</f>
        <v>C</v>
      </c>
      <c r="S12" s="3" t="str">
        <f ca="1">CELL("contenu",INDIRECT(ADDRESS(ref!$K$7,ref!F11,1,,CELL("contenu",$AB$2))))</f>
        <v/>
      </c>
      <c r="T12" s="4" t="str">
        <f ca="1">CELL("contenu",INDIRECT(ADDRESS(ref!$K$7,ref!G11,1,,CELL("contenu",$AB$2))))</f>
        <v/>
      </c>
      <c r="U12" s="5" t="str">
        <f ca="1">CELL("contenu",INDIRECT(ADDRESS(ref!$K$7,ref!H11,1,,CELL("contenu",$AB$2))))</f>
        <v>C</v>
      </c>
      <c r="V12" s="41">
        <f ca="1">CELL("contenu",INDIRECT(ADDRESS(ref!$K$8,ref!E11,1,,CELL("contenu",$AB$2))))</f>
        <v>11.041666666666668</v>
      </c>
      <c r="W12" s="42">
        <f ca="1">CELL("contenu",INDIRECT(ADDRESS(ref!$K$8,ref!F11,1,,CELL("contenu",$AB$2))))</f>
        <v>10</v>
      </c>
      <c r="X12" s="43">
        <f ca="1">CELL("contenu",INDIRECT(ADDRESS(ref!$K$8,ref!G11,1,,CELL("contenu",$AB$2))))</f>
        <v>13.020833333333332</v>
      </c>
      <c r="Y12" s="7" t="str">
        <f ca="1">CELL("contenu",INDIRECT(ADDRESS(ref!$K$9,ref!H11,1,,CELL("contenu",$AB$2))))</f>
        <v/>
      </c>
      <c r="Z12" s="8" t="str">
        <f ca="1">CELL("contenu",INDIRECT(ADDRESS(ref!$K$10,ref!H11,1,,CELL("contenu",$AB$2))))</f>
        <v>B</v>
      </c>
    </row>
    <row r="13" spans="1:28" x14ac:dyDescent="0.55000000000000004">
      <c r="A13" s="53" t="str">
        <f t="shared" ca="1" si="0"/>
        <v>COSTA Thomas</v>
      </c>
      <c r="B13" s="2" t="str">
        <f ca="1">CELL("contenu",INDIRECT(ADDRESS(ref!$K$3,ref!E12,1,,CELL("contenu",$AB$2))))</f>
        <v>C</v>
      </c>
      <c r="C13" s="3" t="str">
        <f ca="1">CELL("contenu",INDIRECT(ADDRESS(ref!$K$3,ref!F12,1,,CELL("contenu",$AB$2))))</f>
        <v>C</v>
      </c>
      <c r="D13" s="4" t="str">
        <f ca="1">CELL("contenu",INDIRECT(ADDRESS(ref!$K$3,ref!G12,1,,CELL("contenu",$AB$2))))</f>
        <v>C</v>
      </c>
      <c r="E13" s="5" t="str">
        <f ca="1">CELL("contenu",INDIRECT(ADDRESS(ref!$K$3,ref!H12,1,,CELL("contenu",$AB$2))))</f>
        <v>C</v>
      </c>
      <c r="F13" s="6" t="str">
        <f ca="1">CELL("contenu",INDIRECT(ADDRESS(ref!$K$4,ref!E12,1,,CELL("contenu",$AB$2))))</f>
        <v>B</v>
      </c>
      <c r="G13" s="3" t="str">
        <f ca="1">CELL("contenu",INDIRECT(ADDRESS(ref!$K$4,ref!F12,1,,CELL("contenu",$AB$2))))</f>
        <v/>
      </c>
      <c r="H13" s="4" t="str">
        <f ca="1">CELL("contenu",INDIRECT(ADDRESS(ref!$K$4,ref!G12,1,,CELL("contenu",$AB$2))))</f>
        <v>B</v>
      </c>
      <c r="I13" s="5" t="str">
        <f ca="1">CELL("contenu",INDIRECT(ADDRESS(ref!$K$4,ref!H12,1,,CELL("contenu",$AB$2))))</f>
        <v>B</v>
      </c>
      <c r="J13" s="6" t="str">
        <f ca="1">CELL("contenu",INDIRECT(ADDRESS(ref!$K$5,ref!E12,1,,CELL("contenu",$AB$2))))</f>
        <v/>
      </c>
      <c r="K13" s="3" t="str">
        <f ca="1">CELL("contenu",INDIRECT(ADDRESS(ref!$K$5,ref!F12,1,,CELL("contenu",$AB$2))))</f>
        <v/>
      </c>
      <c r="L13" s="4" t="str">
        <f ca="1">CELL("contenu",INDIRECT(ADDRESS(ref!$K$5,ref!G12,1,,CELL("contenu",$AB$2))))</f>
        <v>A</v>
      </c>
      <c r="M13" s="5" t="str">
        <f ca="1">CELL("contenu",INDIRECT(ADDRESS(ref!$K$5,ref!H12,1,,CELL("contenu",$AB$2))))</f>
        <v>A</v>
      </c>
      <c r="N13" s="6" t="str">
        <f ca="1">CELL("contenu",INDIRECT(ADDRESS(ref!$K$6,ref!E12,1,,CELL("contenu",$AB$2))))</f>
        <v>C</v>
      </c>
      <c r="O13" s="3" t="str">
        <f ca="1">CELL("contenu",INDIRECT(ADDRESS(ref!$K$6,ref!F12,1,,CELL("contenu",$AB$2))))</f>
        <v>D</v>
      </c>
      <c r="P13" s="4" t="str">
        <f ca="1">CELL("contenu",INDIRECT(ADDRESS(ref!$K$6,ref!G12,1,,CELL("contenu",$AB$2))))</f>
        <v>C</v>
      </c>
      <c r="Q13" s="5" t="str">
        <f ca="1">CELL("contenu",INDIRECT(ADDRESS(ref!$K$6,ref!H12,1,,CELL("contenu",$AB$2))))</f>
        <v>C</v>
      </c>
      <c r="R13" s="6" t="str">
        <f ca="1">CELL("contenu",INDIRECT(ADDRESS(ref!$K$7,ref!E12,1,,CELL("contenu",$AB$2))))</f>
        <v>B</v>
      </c>
      <c r="S13" s="3" t="str">
        <f ca="1">CELL("contenu",INDIRECT(ADDRESS(ref!$K$7,ref!F12,1,,CELL("contenu",$AB$2))))</f>
        <v/>
      </c>
      <c r="T13" s="4" t="str">
        <f ca="1">CELL("contenu",INDIRECT(ADDRESS(ref!$K$7,ref!G12,1,,CELL("contenu",$AB$2))))</f>
        <v/>
      </c>
      <c r="U13" s="5" t="str">
        <f ca="1">CELL("contenu",INDIRECT(ADDRESS(ref!$K$7,ref!H12,1,,CELL("contenu",$AB$2))))</f>
        <v>B</v>
      </c>
      <c r="V13" s="41">
        <f ca="1">CELL("contenu",INDIRECT(ADDRESS(ref!$K$8,ref!E12,1,,CELL("contenu",$AB$2))))</f>
        <v>12.083333333333332</v>
      </c>
      <c r="W13" s="42">
        <f ca="1">CELL("contenu",INDIRECT(ADDRESS(ref!$K$8,ref!F12,1,,CELL("contenu",$AB$2))))</f>
        <v>8.75</v>
      </c>
      <c r="X13" s="43">
        <f ca="1">CELL("contenu",INDIRECT(ADDRESS(ref!$K$8,ref!G12,1,,CELL("contenu",$AB$2))))</f>
        <v>13.958333333333332</v>
      </c>
      <c r="Y13" s="7" t="str">
        <f ca="1">CELL("contenu",INDIRECT(ADDRESS(ref!$K$9,ref!H12,1,,CELL("contenu",$AB$2))))</f>
        <v/>
      </c>
      <c r="Z13" s="8" t="str">
        <f ca="1">CELL("contenu",INDIRECT(ADDRESS(ref!$K$10,ref!H12,1,,CELL("contenu",$AB$2))))</f>
        <v>A</v>
      </c>
    </row>
    <row r="14" spans="1:28" x14ac:dyDescent="0.55000000000000004">
      <c r="A14" s="53" t="str">
        <f t="shared" ca="1" si="0"/>
        <v>DAUCHET Clementine</v>
      </c>
      <c r="B14" s="2" t="str">
        <f ca="1">CELL("contenu",INDIRECT(ADDRESS(ref!$K$3,ref!E13,1,,CELL("contenu",$AB$2))))</f>
        <v>C</v>
      </c>
      <c r="C14" s="3" t="str">
        <f ca="1">CELL("contenu",INDIRECT(ADDRESS(ref!$K$3,ref!F13,1,,CELL("contenu",$AB$2))))</f>
        <v>C</v>
      </c>
      <c r="D14" s="4" t="str">
        <f ca="1">CELL("contenu",INDIRECT(ADDRESS(ref!$K$3,ref!G13,1,,CELL("contenu",$AB$2))))</f>
        <v>C</v>
      </c>
      <c r="E14" s="5" t="str">
        <f ca="1">CELL("contenu",INDIRECT(ADDRESS(ref!$K$3,ref!H13,1,,CELL("contenu",$AB$2))))</f>
        <v>C</v>
      </c>
      <c r="F14" s="6" t="str">
        <f ca="1">CELL("contenu",INDIRECT(ADDRESS(ref!$K$4,ref!E13,1,,CELL("contenu",$AB$2))))</f>
        <v>B</v>
      </c>
      <c r="G14" s="3" t="str">
        <f ca="1">CELL("contenu",INDIRECT(ADDRESS(ref!$K$4,ref!F13,1,,CELL("contenu",$AB$2))))</f>
        <v/>
      </c>
      <c r="H14" s="4" t="str">
        <f ca="1">CELL("contenu",INDIRECT(ADDRESS(ref!$K$4,ref!G13,1,,CELL("contenu",$AB$2))))</f>
        <v>B</v>
      </c>
      <c r="I14" s="5" t="str">
        <f ca="1">CELL("contenu",INDIRECT(ADDRESS(ref!$K$4,ref!H13,1,,CELL("contenu",$AB$2))))</f>
        <v>B</v>
      </c>
      <c r="J14" s="6" t="str">
        <f ca="1">CELL("contenu",INDIRECT(ADDRESS(ref!$K$5,ref!E13,1,,CELL("contenu",$AB$2))))</f>
        <v/>
      </c>
      <c r="K14" s="3" t="str">
        <f ca="1">CELL("contenu",INDIRECT(ADDRESS(ref!$K$5,ref!F13,1,,CELL("contenu",$AB$2))))</f>
        <v/>
      </c>
      <c r="L14" s="4" t="str">
        <f ca="1">CELL("contenu",INDIRECT(ADDRESS(ref!$K$5,ref!G13,1,,CELL("contenu",$AB$2))))</f>
        <v>A</v>
      </c>
      <c r="M14" s="5" t="str">
        <f ca="1">CELL("contenu",INDIRECT(ADDRESS(ref!$K$5,ref!H13,1,,CELL("contenu",$AB$2))))</f>
        <v>A</v>
      </c>
      <c r="N14" s="6" t="str">
        <f ca="1">CELL("contenu",INDIRECT(ADDRESS(ref!$K$6,ref!E13,1,,CELL("contenu",$AB$2))))</f>
        <v>B</v>
      </c>
      <c r="O14" s="3" t="str">
        <f ca="1">CELL("contenu",INDIRECT(ADDRESS(ref!$K$6,ref!F13,1,,CELL("contenu",$AB$2))))</f>
        <v>C</v>
      </c>
      <c r="P14" s="4" t="str">
        <f ca="1">CELL("contenu",INDIRECT(ADDRESS(ref!$K$6,ref!G13,1,,CELL("contenu",$AB$2))))</f>
        <v>C</v>
      </c>
      <c r="Q14" s="5" t="str">
        <f ca="1">CELL("contenu",INDIRECT(ADDRESS(ref!$K$6,ref!H13,1,,CELL("contenu",$AB$2))))</f>
        <v>C</v>
      </c>
      <c r="R14" s="6" t="str">
        <f ca="1">CELL("contenu",INDIRECT(ADDRESS(ref!$K$7,ref!E13,1,,CELL("contenu",$AB$2))))</f>
        <v>C</v>
      </c>
      <c r="S14" s="3" t="str">
        <f ca="1">CELL("contenu",INDIRECT(ADDRESS(ref!$K$7,ref!F13,1,,CELL("contenu",$AB$2))))</f>
        <v/>
      </c>
      <c r="T14" s="4" t="str">
        <f ca="1">CELL("contenu",INDIRECT(ADDRESS(ref!$K$7,ref!G13,1,,CELL("contenu",$AB$2))))</f>
        <v/>
      </c>
      <c r="U14" s="5" t="str">
        <f ca="1">CELL("contenu",INDIRECT(ADDRESS(ref!$K$7,ref!H13,1,,CELL("contenu",$AB$2))))</f>
        <v>C</v>
      </c>
      <c r="V14" s="41">
        <f ca="1">CELL("contenu",INDIRECT(ADDRESS(ref!$K$8,ref!E13,1,,CELL("contenu",$AB$2))))</f>
        <v>13.333333333333332</v>
      </c>
      <c r="W14" s="42">
        <f ca="1">CELL("contenu",INDIRECT(ADDRESS(ref!$K$8,ref!F13,1,,CELL("contenu",$AB$2))))</f>
        <v>10</v>
      </c>
      <c r="X14" s="43">
        <f ca="1">CELL("contenu",INDIRECT(ADDRESS(ref!$K$8,ref!G13,1,,CELL("contenu",$AB$2))))</f>
        <v>13.888888888888886</v>
      </c>
      <c r="Y14" s="7" t="str">
        <f ca="1">CELL("contenu",INDIRECT(ADDRESS(ref!$K$9,ref!H13,1,,CELL("contenu",$AB$2))))</f>
        <v/>
      </c>
      <c r="Z14" s="8" t="str">
        <f ca="1">CELL("contenu",INDIRECT(ADDRESS(ref!$K$10,ref!H13,1,,CELL("contenu",$AB$2))))</f>
        <v>B</v>
      </c>
    </row>
    <row r="15" spans="1:28" x14ac:dyDescent="0.55000000000000004">
      <c r="A15" s="53" t="str">
        <f t="shared" ca="1" si="0"/>
        <v>FERRO Julia</v>
      </c>
      <c r="B15" s="2" t="str">
        <f ca="1">CELL("contenu",INDIRECT(ADDRESS(ref!$K$3,ref!E14,1,,CELL("contenu",$AB$2))))</f>
        <v>C</v>
      </c>
      <c r="C15" s="3" t="str">
        <f ca="1">CELL("contenu",INDIRECT(ADDRESS(ref!$K$3,ref!F14,1,,CELL("contenu",$AB$2))))</f>
        <v>C</v>
      </c>
      <c r="D15" s="4" t="str">
        <f ca="1">CELL("contenu",INDIRECT(ADDRESS(ref!$K$3,ref!G14,1,,CELL("contenu",$AB$2))))</f>
        <v>C</v>
      </c>
      <c r="E15" s="5" t="str">
        <f ca="1">CELL("contenu",INDIRECT(ADDRESS(ref!$K$3,ref!H14,1,,CELL("contenu",$AB$2))))</f>
        <v>C</v>
      </c>
      <c r="F15" s="6" t="str">
        <f ca="1">CELL("contenu",INDIRECT(ADDRESS(ref!$K$4,ref!E14,1,,CELL("contenu",$AB$2))))</f>
        <v>A</v>
      </c>
      <c r="G15" s="3" t="str">
        <f ca="1">CELL("contenu",INDIRECT(ADDRESS(ref!$K$4,ref!F14,1,,CELL("contenu",$AB$2))))</f>
        <v/>
      </c>
      <c r="H15" s="4" t="str">
        <f ca="1">CELL("contenu",INDIRECT(ADDRESS(ref!$K$4,ref!G14,1,,CELL("contenu",$AB$2))))</f>
        <v>B</v>
      </c>
      <c r="I15" s="5" t="str">
        <f ca="1">CELL("contenu",INDIRECT(ADDRESS(ref!$K$4,ref!H14,1,,CELL("contenu",$AB$2))))</f>
        <v>A</v>
      </c>
      <c r="J15" s="6" t="str">
        <f ca="1">CELL("contenu",INDIRECT(ADDRESS(ref!$K$5,ref!E14,1,,CELL("contenu",$AB$2))))</f>
        <v/>
      </c>
      <c r="K15" s="3" t="str">
        <f ca="1">CELL("contenu",INDIRECT(ADDRESS(ref!$K$5,ref!F14,1,,CELL("contenu",$AB$2))))</f>
        <v/>
      </c>
      <c r="L15" s="4" t="str">
        <f ca="1">CELL("contenu",INDIRECT(ADDRESS(ref!$K$5,ref!G14,1,,CELL("contenu",$AB$2))))</f>
        <v>A</v>
      </c>
      <c r="M15" s="5" t="str">
        <f ca="1">CELL("contenu",INDIRECT(ADDRESS(ref!$K$5,ref!H14,1,,CELL("contenu",$AB$2))))</f>
        <v>A</v>
      </c>
      <c r="N15" s="6" t="str">
        <f ca="1">CELL("contenu",INDIRECT(ADDRESS(ref!$K$6,ref!E14,1,,CELL("contenu",$AB$2))))</f>
        <v>C</v>
      </c>
      <c r="O15" s="3" t="str">
        <f ca="1">CELL("contenu",INDIRECT(ADDRESS(ref!$K$6,ref!F14,1,,CELL("contenu",$AB$2))))</f>
        <v>C</v>
      </c>
      <c r="P15" s="4" t="str">
        <f ca="1">CELL("contenu",INDIRECT(ADDRESS(ref!$K$6,ref!G14,1,,CELL("contenu",$AB$2))))</f>
        <v>C</v>
      </c>
      <c r="Q15" s="5" t="str">
        <f ca="1">CELL("contenu",INDIRECT(ADDRESS(ref!$K$6,ref!H14,1,,CELL("contenu",$AB$2))))</f>
        <v>C</v>
      </c>
      <c r="R15" s="6" t="str">
        <f ca="1">CELL("contenu",INDIRECT(ADDRESS(ref!$K$7,ref!E14,1,,CELL("contenu",$AB$2))))</f>
        <v>B</v>
      </c>
      <c r="S15" s="3" t="str">
        <f ca="1">CELL("contenu",INDIRECT(ADDRESS(ref!$K$7,ref!F14,1,,CELL("contenu",$AB$2))))</f>
        <v/>
      </c>
      <c r="T15" s="4" t="str">
        <f ca="1">CELL("contenu",INDIRECT(ADDRESS(ref!$K$7,ref!G14,1,,CELL("contenu",$AB$2))))</f>
        <v/>
      </c>
      <c r="U15" s="5" t="str">
        <f ca="1">CELL("contenu",INDIRECT(ADDRESS(ref!$K$7,ref!H14,1,,CELL("contenu",$AB$2))))</f>
        <v>B</v>
      </c>
      <c r="V15" s="41">
        <f ca="1">CELL("contenu",INDIRECT(ADDRESS(ref!$K$8,ref!E14,1,,CELL("contenu",$AB$2))))</f>
        <v>13.958333333333332</v>
      </c>
      <c r="W15" s="42">
        <f ca="1">CELL("contenu",INDIRECT(ADDRESS(ref!$K$8,ref!F14,1,,CELL("contenu",$AB$2))))</f>
        <v>10</v>
      </c>
      <c r="X15" s="43">
        <f ca="1">CELL("contenu",INDIRECT(ADDRESS(ref!$K$8,ref!G14,1,,CELL("contenu",$AB$2))))</f>
        <v>13.958333333333332</v>
      </c>
      <c r="Y15" s="7" t="str">
        <f ca="1">CELL("contenu",INDIRECT(ADDRESS(ref!$K$9,ref!H14,1,,CELL("contenu",$AB$2))))</f>
        <v/>
      </c>
      <c r="Z15" s="8" t="str">
        <f ca="1">CELL("contenu",INDIRECT(ADDRESS(ref!$K$10,ref!H14,1,,CELL("contenu",$AB$2))))</f>
        <v>A</v>
      </c>
    </row>
    <row r="16" spans="1:28" x14ac:dyDescent="0.55000000000000004">
      <c r="A16" s="53" t="str">
        <f t="shared" ca="1" si="0"/>
        <v>FREY Auguste</v>
      </c>
      <c r="B16" s="2" t="str">
        <f ca="1">CELL("contenu",INDIRECT(ADDRESS(ref!$K$3,ref!E15,1,,CELL("contenu",$AB$2))))</f>
        <v>C</v>
      </c>
      <c r="C16" s="3" t="str">
        <f ca="1">CELL("contenu",INDIRECT(ADDRESS(ref!$K$3,ref!F15,1,,CELL("contenu",$AB$2))))</f>
        <v>C</v>
      </c>
      <c r="D16" s="4" t="str">
        <f ca="1">CELL("contenu",INDIRECT(ADDRESS(ref!$K$3,ref!G15,1,,CELL("contenu",$AB$2))))</f>
        <v>C</v>
      </c>
      <c r="E16" s="5" t="str">
        <f ca="1">CELL("contenu",INDIRECT(ADDRESS(ref!$K$3,ref!H15,1,,CELL("contenu",$AB$2))))</f>
        <v>C</v>
      </c>
      <c r="F16" s="6" t="str">
        <f ca="1">CELL("contenu",INDIRECT(ADDRESS(ref!$K$4,ref!E15,1,,CELL("contenu",$AB$2))))</f>
        <v>C</v>
      </c>
      <c r="G16" s="3" t="str">
        <f ca="1">CELL("contenu",INDIRECT(ADDRESS(ref!$K$4,ref!F15,1,,CELL("contenu",$AB$2))))</f>
        <v/>
      </c>
      <c r="H16" s="4" t="str">
        <f ca="1">CELL("contenu",INDIRECT(ADDRESS(ref!$K$4,ref!G15,1,,CELL("contenu",$AB$2))))</f>
        <v>B</v>
      </c>
      <c r="I16" s="5" t="str">
        <f ca="1">CELL("contenu",INDIRECT(ADDRESS(ref!$K$4,ref!H15,1,,CELL("contenu",$AB$2))))</f>
        <v>B</v>
      </c>
      <c r="J16" s="6" t="str">
        <f ca="1">CELL("contenu",INDIRECT(ADDRESS(ref!$K$5,ref!E15,1,,CELL("contenu",$AB$2))))</f>
        <v/>
      </c>
      <c r="K16" s="3" t="str">
        <f ca="1">CELL("contenu",INDIRECT(ADDRESS(ref!$K$5,ref!F15,1,,CELL("contenu",$AB$2))))</f>
        <v/>
      </c>
      <c r="L16" s="4" t="str">
        <f ca="1">CELL("contenu",INDIRECT(ADDRESS(ref!$K$5,ref!G15,1,,CELL("contenu",$AB$2))))</f>
        <v>A</v>
      </c>
      <c r="M16" s="5" t="str">
        <f ca="1">CELL("contenu",INDIRECT(ADDRESS(ref!$K$5,ref!H15,1,,CELL("contenu",$AB$2))))</f>
        <v>A</v>
      </c>
      <c r="N16" s="6" t="str">
        <f ca="1">CELL("contenu",INDIRECT(ADDRESS(ref!$K$6,ref!E15,1,,CELL("contenu",$AB$2))))</f>
        <v>D</v>
      </c>
      <c r="O16" s="3" t="str">
        <f ca="1">CELL("contenu",INDIRECT(ADDRESS(ref!$K$6,ref!F15,1,,CELL("contenu",$AB$2))))</f>
        <v>C</v>
      </c>
      <c r="P16" s="4" t="str">
        <f ca="1">CELL("contenu",INDIRECT(ADDRESS(ref!$K$6,ref!G15,1,,CELL("contenu",$AB$2))))</f>
        <v>C</v>
      </c>
      <c r="Q16" s="5" t="str">
        <f ca="1">CELL("contenu",INDIRECT(ADDRESS(ref!$K$6,ref!H15,1,,CELL("contenu",$AB$2))))</f>
        <v>C</v>
      </c>
      <c r="R16" s="6" t="str">
        <f ca="1">CELL("contenu",INDIRECT(ADDRESS(ref!$K$7,ref!E15,1,,CELL("contenu",$AB$2))))</f>
        <v>B</v>
      </c>
      <c r="S16" s="3" t="str">
        <f ca="1">CELL("contenu",INDIRECT(ADDRESS(ref!$K$7,ref!F15,1,,CELL("contenu",$AB$2))))</f>
        <v/>
      </c>
      <c r="T16" s="4" t="str">
        <f ca="1">CELL("contenu",INDIRECT(ADDRESS(ref!$K$7,ref!G15,1,,CELL("contenu",$AB$2))))</f>
        <v/>
      </c>
      <c r="U16" s="5" t="str">
        <f ca="1">CELL("contenu",INDIRECT(ADDRESS(ref!$K$7,ref!H15,1,,CELL("contenu",$AB$2))))</f>
        <v>B</v>
      </c>
      <c r="V16" s="41">
        <f ca="1">CELL("contenu",INDIRECT(ADDRESS(ref!$K$8,ref!E15,1,,CELL("contenu",$AB$2))))</f>
        <v>9.1666666666666661</v>
      </c>
      <c r="W16" s="42">
        <f ca="1">CELL("contenu",INDIRECT(ADDRESS(ref!$K$8,ref!F15,1,,CELL("contenu",$AB$2))))</f>
        <v>10</v>
      </c>
      <c r="X16" s="43">
        <f ca="1">CELL("contenu",INDIRECT(ADDRESS(ref!$K$8,ref!G15,1,,CELL("contenu",$AB$2))))</f>
        <v>12.708333333333332</v>
      </c>
      <c r="Y16" s="7" t="str">
        <f ca="1">CELL("contenu",INDIRECT(ADDRESS(ref!$K$9,ref!H15,1,,CELL("contenu",$AB$2))))</f>
        <v/>
      </c>
      <c r="Z16" s="8" t="str">
        <f ca="1">CELL("contenu",INDIRECT(ADDRESS(ref!$K$10,ref!H15,1,,CELL("contenu",$AB$2))))</f>
        <v>B</v>
      </c>
    </row>
    <row r="17" spans="1:26" x14ac:dyDescent="0.55000000000000004">
      <c r="A17" s="53" t="str">
        <f t="shared" ca="1" si="0"/>
        <v>GIGON Justine</v>
      </c>
      <c r="B17" s="2" t="str">
        <f ca="1">CELL("contenu",INDIRECT(ADDRESS(ref!$K$3,ref!E16,1,,CELL("contenu",$AB$2))))</f>
        <v>C</v>
      </c>
      <c r="C17" s="3" t="str">
        <f ca="1">CELL("contenu",INDIRECT(ADDRESS(ref!$K$3,ref!F16,1,,CELL("contenu",$AB$2))))</f>
        <v>C</v>
      </c>
      <c r="D17" s="4" t="str">
        <f ca="1">CELL("contenu",INDIRECT(ADDRESS(ref!$K$3,ref!G16,1,,CELL("contenu",$AB$2))))</f>
        <v>C</v>
      </c>
      <c r="E17" s="5" t="str">
        <f ca="1">CELL("contenu",INDIRECT(ADDRESS(ref!$K$3,ref!H16,1,,CELL("contenu",$AB$2))))</f>
        <v>C</v>
      </c>
      <c r="F17" s="6" t="str">
        <f ca="1">CELL("contenu",INDIRECT(ADDRESS(ref!$K$4,ref!E16,1,,CELL("contenu",$AB$2))))</f>
        <v>B</v>
      </c>
      <c r="G17" s="3" t="str">
        <f ca="1">CELL("contenu",INDIRECT(ADDRESS(ref!$K$4,ref!F16,1,,CELL("contenu",$AB$2))))</f>
        <v/>
      </c>
      <c r="H17" s="4" t="str">
        <f ca="1">CELL("contenu",INDIRECT(ADDRESS(ref!$K$4,ref!G16,1,,CELL("contenu",$AB$2))))</f>
        <v>A</v>
      </c>
      <c r="I17" s="5" t="str">
        <f ca="1">CELL("contenu",INDIRECT(ADDRESS(ref!$K$4,ref!H16,1,,CELL("contenu",$AB$2))))</f>
        <v>B</v>
      </c>
      <c r="J17" s="6" t="str">
        <f ca="1">CELL("contenu",INDIRECT(ADDRESS(ref!$K$5,ref!E16,1,,CELL("contenu",$AB$2))))</f>
        <v/>
      </c>
      <c r="K17" s="3" t="str">
        <f ca="1">CELL("contenu",INDIRECT(ADDRESS(ref!$K$5,ref!F16,1,,CELL("contenu",$AB$2))))</f>
        <v/>
      </c>
      <c r="L17" s="4" t="str">
        <f ca="1">CELL("contenu",INDIRECT(ADDRESS(ref!$K$5,ref!G16,1,,CELL("contenu",$AB$2))))</f>
        <v>A</v>
      </c>
      <c r="M17" s="5" t="str">
        <f ca="1">CELL("contenu",INDIRECT(ADDRESS(ref!$K$5,ref!H16,1,,CELL("contenu",$AB$2))))</f>
        <v>A</v>
      </c>
      <c r="N17" s="6" t="str">
        <f ca="1">CELL("contenu",INDIRECT(ADDRESS(ref!$K$6,ref!E16,1,,CELL("contenu",$AB$2))))</f>
        <v>C</v>
      </c>
      <c r="O17" s="3" t="str">
        <f ca="1">CELL("contenu",INDIRECT(ADDRESS(ref!$K$6,ref!F16,1,,CELL("contenu",$AB$2))))</f>
        <v>C</v>
      </c>
      <c r="P17" s="4" t="str">
        <f ca="1">CELL("contenu",INDIRECT(ADDRESS(ref!$K$6,ref!G16,1,,CELL("contenu",$AB$2))))</f>
        <v>C</v>
      </c>
      <c r="Q17" s="5" t="str">
        <f ca="1">CELL("contenu",INDIRECT(ADDRESS(ref!$K$6,ref!H16,1,,CELL("contenu",$AB$2))))</f>
        <v>C</v>
      </c>
      <c r="R17" s="6" t="str">
        <f ca="1">CELL("contenu",INDIRECT(ADDRESS(ref!$K$7,ref!E16,1,,CELL("contenu",$AB$2))))</f>
        <v>C</v>
      </c>
      <c r="S17" s="3" t="str">
        <f ca="1">CELL("contenu",INDIRECT(ADDRESS(ref!$K$7,ref!F16,1,,CELL("contenu",$AB$2))))</f>
        <v/>
      </c>
      <c r="T17" s="4" t="str">
        <f ca="1">CELL("contenu",INDIRECT(ADDRESS(ref!$K$7,ref!G16,1,,CELL("contenu",$AB$2))))</f>
        <v/>
      </c>
      <c r="U17" s="5" t="str">
        <f ca="1">CELL("contenu",INDIRECT(ADDRESS(ref!$K$7,ref!H16,1,,CELL("contenu",$AB$2))))</f>
        <v>C</v>
      </c>
      <c r="V17" s="41">
        <f ca="1">CELL("contenu",INDIRECT(ADDRESS(ref!$K$8,ref!E16,1,,CELL("contenu",$AB$2))))</f>
        <v>10.833333333333332</v>
      </c>
      <c r="W17" s="42">
        <f ca="1">CELL("contenu",INDIRECT(ADDRESS(ref!$K$8,ref!F16,1,,CELL("contenu",$AB$2))))</f>
        <v>10</v>
      </c>
      <c r="X17" s="43">
        <f ca="1">CELL("contenu",INDIRECT(ADDRESS(ref!$K$8,ref!G16,1,,CELL("contenu",$AB$2))))</f>
        <v>13.854166666666668</v>
      </c>
      <c r="Y17" s="7" t="str">
        <f ca="1">CELL("contenu",INDIRECT(ADDRESS(ref!$K$9,ref!H16,1,,CELL("contenu",$AB$2))))</f>
        <v/>
      </c>
      <c r="Z17" s="8" t="str">
        <f ca="1">CELL("contenu",INDIRECT(ADDRESS(ref!$K$10,ref!H16,1,,CELL("contenu",$AB$2))))</f>
        <v>A</v>
      </c>
    </row>
    <row r="18" spans="1:26" x14ac:dyDescent="0.55000000000000004">
      <c r="A18" s="53" t="str">
        <f t="shared" ca="1" si="0"/>
        <v>GUIMARD Felicie</v>
      </c>
      <c r="B18" s="2" t="str">
        <f ca="1">CELL("contenu",INDIRECT(ADDRESS(ref!$K$3,ref!E17,1,,CELL("contenu",$AB$2))))</f>
        <v>C</v>
      </c>
      <c r="C18" s="3" t="str">
        <f ca="1">CELL("contenu",INDIRECT(ADDRESS(ref!$K$3,ref!F17,1,,CELL("contenu",$AB$2))))</f>
        <v>B</v>
      </c>
      <c r="D18" s="4" t="str">
        <f ca="1">CELL("contenu",INDIRECT(ADDRESS(ref!$K$3,ref!G17,1,,CELL("contenu",$AB$2))))</f>
        <v>C</v>
      </c>
      <c r="E18" s="5" t="str">
        <f ca="1">CELL("contenu",INDIRECT(ADDRESS(ref!$K$3,ref!H17,1,,CELL("contenu",$AB$2))))</f>
        <v>C</v>
      </c>
      <c r="F18" s="6" t="str">
        <f ca="1">CELL("contenu",INDIRECT(ADDRESS(ref!$K$4,ref!E17,1,,CELL("contenu",$AB$2))))</f>
        <v>C</v>
      </c>
      <c r="G18" s="3" t="str">
        <f ca="1">CELL("contenu",INDIRECT(ADDRESS(ref!$K$4,ref!F17,1,,CELL("contenu",$AB$2))))</f>
        <v/>
      </c>
      <c r="H18" s="4" t="str">
        <f ca="1">CELL("contenu",INDIRECT(ADDRESS(ref!$K$4,ref!G17,1,,CELL("contenu",$AB$2))))</f>
        <v>B</v>
      </c>
      <c r="I18" s="5" t="str">
        <f ca="1">CELL("contenu",INDIRECT(ADDRESS(ref!$K$4,ref!H17,1,,CELL("contenu",$AB$2))))</f>
        <v>B</v>
      </c>
      <c r="J18" s="6" t="str">
        <f ca="1">CELL("contenu",INDIRECT(ADDRESS(ref!$K$5,ref!E17,1,,CELL("contenu",$AB$2))))</f>
        <v/>
      </c>
      <c r="K18" s="3" t="str">
        <f ca="1">CELL("contenu",INDIRECT(ADDRESS(ref!$K$5,ref!F17,1,,CELL("contenu",$AB$2))))</f>
        <v/>
      </c>
      <c r="L18" s="4" t="str">
        <f ca="1">CELL("contenu",INDIRECT(ADDRESS(ref!$K$5,ref!G17,1,,CELL("contenu",$AB$2))))</f>
        <v>A</v>
      </c>
      <c r="M18" s="5" t="str">
        <f ca="1">CELL("contenu",INDIRECT(ADDRESS(ref!$K$5,ref!H17,1,,CELL("contenu",$AB$2))))</f>
        <v>A</v>
      </c>
      <c r="N18" s="6" t="str">
        <f ca="1">CELL("contenu",INDIRECT(ADDRESS(ref!$K$6,ref!E17,1,,CELL("contenu",$AB$2))))</f>
        <v>B</v>
      </c>
      <c r="O18" s="3" t="str">
        <f ca="1">CELL("contenu",INDIRECT(ADDRESS(ref!$K$6,ref!F17,1,,CELL("contenu",$AB$2))))</f>
        <v>C</v>
      </c>
      <c r="P18" s="4" t="str">
        <f ca="1">CELL("contenu",INDIRECT(ADDRESS(ref!$K$6,ref!G17,1,,CELL("contenu",$AB$2))))</f>
        <v>C</v>
      </c>
      <c r="Q18" s="5" t="str">
        <f ca="1">CELL("contenu",INDIRECT(ADDRESS(ref!$K$6,ref!H17,1,,CELL("contenu",$AB$2))))</f>
        <v>C</v>
      </c>
      <c r="R18" s="6" t="str">
        <f ca="1">CELL("contenu",INDIRECT(ADDRESS(ref!$K$7,ref!E17,1,,CELL("contenu",$AB$2))))</f>
        <v>B</v>
      </c>
      <c r="S18" s="3" t="str">
        <f ca="1">CELL("contenu",INDIRECT(ADDRESS(ref!$K$7,ref!F17,1,,CELL("contenu",$AB$2))))</f>
        <v/>
      </c>
      <c r="T18" s="4" t="str">
        <f ca="1">CELL("contenu",INDIRECT(ADDRESS(ref!$K$7,ref!G17,1,,CELL("contenu",$AB$2))))</f>
        <v/>
      </c>
      <c r="U18" s="5" t="str">
        <f ca="1">CELL("contenu",INDIRECT(ADDRESS(ref!$K$7,ref!H17,1,,CELL("contenu",$AB$2))))</f>
        <v>B</v>
      </c>
      <c r="V18" s="41">
        <f ca="1">CELL("contenu",INDIRECT(ADDRESS(ref!$K$8,ref!E17,1,,CELL("contenu",$AB$2))))</f>
        <v>14.166666666666668</v>
      </c>
      <c r="W18" s="42">
        <f ca="1">CELL("contenu",INDIRECT(ADDRESS(ref!$K$8,ref!F17,1,,CELL("contenu",$AB$2))))</f>
        <v>13.75</v>
      </c>
      <c r="X18" s="43">
        <f ca="1">CELL("contenu",INDIRECT(ADDRESS(ref!$K$8,ref!G17,1,,CELL("contenu",$AB$2))))</f>
        <v>13.75</v>
      </c>
      <c r="Y18" s="7" t="str">
        <f ca="1">CELL("contenu",INDIRECT(ADDRESS(ref!$K$9,ref!H17,1,,CELL("contenu",$AB$2))))</f>
        <v/>
      </c>
      <c r="Z18" s="8" t="str">
        <f ca="1">CELL("contenu",INDIRECT(ADDRESS(ref!$K$10,ref!H17,1,,CELL("contenu",$AB$2))))</f>
        <v>B</v>
      </c>
    </row>
    <row r="19" spans="1:26" x14ac:dyDescent="0.55000000000000004">
      <c r="A19" s="53" t="str">
        <f t="shared" ca="1" si="0"/>
        <v>HERBRETEAU Damien</v>
      </c>
      <c r="B19" s="2" t="str">
        <f ca="1">CELL("contenu",INDIRECT(ADDRESS(ref!$K$3,ref!E18,1,,CELL("contenu",$AB$2))))</f>
        <v>D</v>
      </c>
      <c r="C19" s="3" t="str">
        <f ca="1">CELL("contenu",INDIRECT(ADDRESS(ref!$K$3,ref!F18,1,,CELL("contenu",$AB$2))))</f>
        <v>B</v>
      </c>
      <c r="D19" s="4" t="str">
        <f ca="1">CELL("contenu",INDIRECT(ADDRESS(ref!$K$3,ref!G18,1,,CELL("contenu",$AB$2))))</f>
        <v>D</v>
      </c>
      <c r="E19" s="5" t="str">
        <f ca="1">CELL("contenu",INDIRECT(ADDRESS(ref!$K$3,ref!H18,1,,CELL("contenu",$AB$2))))</f>
        <v>C</v>
      </c>
      <c r="F19" s="6" t="str">
        <f ca="1">CELL("contenu",INDIRECT(ADDRESS(ref!$K$4,ref!E18,1,,CELL("contenu",$AB$2))))</f>
        <v>D</v>
      </c>
      <c r="G19" s="3" t="str">
        <f ca="1">CELL("contenu",INDIRECT(ADDRESS(ref!$K$4,ref!F18,1,,CELL("contenu",$AB$2))))</f>
        <v/>
      </c>
      <c r="H19" s="4" t="str">
        <f ca="1">CELL("contenu",INDIRECT(ADDRESS(ref!$K$4,ref!G18,1,,CELL("contenu",$AB$2))))</f>
        <v>B</v>
      </c>
      <c r="I19" s="5" t="str">
        <f ca="1">CELL("contenu",INDIRECT(ADDRESS(ref!$K$4,ref!H18,1,,CELL("contenu",$AB$2))))</f>
        <v>C</v>
      </c>
      <c r="J19" s="6" t="str">
        <f ca="1">CELL("contenu",INDIRECT(ADDRESS(ref!$K$5,ref!E18,1,,CELL("contenu",$AB$2))))</f>
        <v/>
      </c>
      <c r="K19" s="3" t="str">
        <f ca="1">CELL("contenu",INDIRECT(ADDRESS(ref!$K$5,ref!F18,1,,CELL("contenu",$AB$2))))</f>
        <v/>
      </c>
      <c r="L19" s="4" t="str">
        <f ca="1">CELL("contenu",INDIRECT(ADDRESS(ref!$K$5,ref!G18,1,,CELL("contenu",$AB$2))))</f>
        <v>A</v>
      </c>
      <c r="M19" s="5" t="str">
        <f ca="1">CELL("contenu",INDIRECT(ADDRESS(ref!$K$5,ref!H18,1,,CELL("contenu",$AB$2))))</f>
        <v>A</v>
      </c>
      <c r="N19" s="6" t="str">
        <f ca="1">CELL("contenu",INDIRECT(ADDRESS(ref!$K$6,ref!E18,1,,CELL("contenu",$AB$2))))</f>
        <v>B</v>
      </c>
      <c r="O19" s="3" t="str">
        <f ca="1">CELL("contenu",INDIRECT(ADDRESS(ref!$K$6,ref!F18,1,,CELL("contenu",$AB$2))))</f>
        <v>C</v>
      </c>
      <c r="P19" s="4" t="str">
        <f ca="1">CELL("contenu",INDIRECT(ADDRESS(ref!$K$6,ref!G18,1,,CELL("contenu",$AB$2))))</f>
        <v>C</v>
      </c>
      <c r="Q19" s="5" t="str">
        <f ca="1">CELL("contenu",INDIRECT(ADDRESS(ref!$K$6,ref!H18,1,,CELL("contenu",$AB$2))))</f>
        <v>C</v>
      </c>
      <c r="R19" s="6" t="str">
        <f ca="1">CELL("contenu",INDIRECT(ADDRESS(ref!$K$7,ref!E18,1,,CELL("contenu",$AB$2))))</f>
        <v>B</v>
      </c>
      <c r="S19" s="3" t="str">
        <f ca="1">CELL("contenu",INDIRECT(ADDRESS(ref!$K$7,ref!F18,1,,CELL("contenu",$AB$2))))</f>
        <v/>
      </c>
      <c r="T19" s="4" t="str">
        <f ca="1">CELL("contenu",INDIRECT(ADDRESS(ref!$K$7,ref!G18,1,,CELL("contenu",$AB$2))))</f>
        <v/>
      </c>
      <c r="U19" s="5" t="str">
        <f ca="1">CELL("contenu",INDIRECT(ADDRESS(ref!$K$7,ref!H18,1,,CELL("contenu",$AB$2))))</f>
        <v>B</v>
      </c>
      <c r="V19" s="41">
        <f ca="1">CELL("contenu",INDIRECT(ADDRESS(ref!$K$8,ref!E18,1,,CELL("contenu",$AB$2))))</f>
        <v>11.25</v>
      </c>
      <c r="W19" s="42">
        <f ca="1">CELL("contenu",INDIRECT(ADDRESS(ref!$K$8,ref!F18,1,,CELL("contenu",$AB$2))))</f>
        <v>13.75</v>
      </c>
      <c r="X19" s="43">
        <f ca="1">CELL("contenu",INDIRECT(ADDRESS(ref!$K$8,ref!G18,1,,CELL("contenu",$AB$2))))</f>
        <v>12.083333333333332</v>
      </c>
      <c r="Y19" s="7" t="str">
        <f ca="1">CELL("contenu",INDIRECT(ADDRESS(ref!$K$9,ref!H18,1,,CELL("contenu",$AB$2))))</f>
        <v/>
      </c>
      <c r="Z19" s="8" t="str">
        <f ca="1">CELL("contenu",INDIRECT(ADDRESS(ref!$K$10,ref!H18,1,,CELL("contenu",$AB$2))))</f>
        <v>C</v>
      </c>
    </row>
    <row r="20" spans="1:26" x14ac:dyDescent="0.55000000000000004">
      <c r="A20" s="53" t="str">
        <f t="shared" ca="1" si="0"/>
        <v>HESLOIN Noé</v>
      </c>
      <c r="B20" s="2" t="str">
        <f ca="1">CELL("contenu",INDIRECT(ADDRESS(ref!$K$3,ref!E19,1,,CELL("contenu",$AB$2))))</f>
        <v>C</v>
      </c>
      <c r="C20" s="3" t="str">
        <f ca="1">CELL("contenu",INDIRECT(ADDRESS(ref!$K$3,ref!F19,1,,CELL("contenu",$AB$2))))</f>
        <v>C</v>
      </c>
      <c r="D20" s="4" t="str">
        <f ca="1">CELL("contenu",INDIRECT(ADDRESS(ref!$K$3,ref!G19,1,,CELL("contenu",$AB$2))))</f>
        <v>C</v>
      </c>
      <c r="E20" s="5" t="str">
        <f ca="1">CELL("contenu",INDIRECT(ADDRESS(ref!$K$3,ref!H19,1,,CELL("contenu",$AB$2))))</f>
        <v>C</v>
      </c>
      <c r="F20" s="6" t="str">
        <f ca="1">CELL("contenu",INDIRECT(ADDRESS(ref!$K$4,ref!E19,1,,CELL("contenu",$AB$2))))</f>
        <v>C</v>
      </c>
      <c r="G20" s="3" t="str">
        <f ca="1">CELL("contenu",INDIRECT(ADDRESS(ref!$K$4,ref!F19,1,,CELL("contenu",$AB$2))))</f>
        <v/>
      </c>
      <c r="H20" s="4" t="str">
        <f ca="1">CELL("contenu",INDIRECT(ADDRESS(ref!$K$4,ref!G19,1,,CELL("contenu",$AB$2))))</f>
        <v>B</v>
      </c>
      <c r="I20" s="5" t="str">
        <f ca="1">CELL("contenu",INDIRECT(ADDRESS(ref!$K$4,ref!H19,1,,CELL("contenu",$AB$2))))</f>
        <v>B</v>
      </c>
      <c r="J20" s="6" t="str">
        <f ca="1">CELL("contenu",INDIRECT(ADDRESS(ref!$K$5,ref!E19,1,,CELL("contenu",$AB$2))))</f>
        <v/>
      </c>
      <c r="K20" s="3" t="str">
        <f ca="1">CELL("contenu",INDIRECT(ADDRESS(ref!$K$5,ref!F19,1,,CELL("contenu",$AB$2))))</f>
        <v/>
      </c>
      <c r="L20" s="4" t="str">
        <f ca="1">CELL("contenu",INDIRECT(ADDRESS(ref!$K$5,ref!G19,1,,CELL("contenu",$AB$2))))</f>
        <v>B</v>
      </c>
      <c r="M20" s="5" t="str">
        <f ca="1">CELL("contenu",INDIRECT(ADDRESS(ref!$K$5,ref!H19,1,,CELL("contenu",$AB$2))))</f>
        <v>B</v>
      </c>
      <c r="N20" s="6" t="str">
        <f ca="1">CELL("contenu",INDIRECT(ADDRESS(ref!$K$6,ref!E19,1,,CELL("contenu",$AB$2))))</f>
        <v>C</v>
      </c>
      <c r="O20" s="3" t="str">
        <f ca="1">CELL("contenu",INDIRECT(ADDRESS(ref!$K$6,ref!F19,1,,CELL("contenu",$AB$2))))</f>
        <v>C</v>
      </c>
      <c r="P20" s="4" t="str">
        <f ca="1">CELL("contenu",INDIRECT(ADDRESS(ref!$K$6,ref!G19,1,,CELL("contenu",$AB$2))))</f>
        <v>C</v>
      </c>
      <c r="Q20" s="5" t="str">
        <f ca="1">CELL("contenu",INDIRECT(ADDRESS(ref!$K$6,ref!H19,1,,CELL("contenu",$AB$2))))</f>
        <v>C</v>
      </c>
      <c r="R20" s="6" t="str">
        <f ca="1">CELL("contenu",INDIRECT(ADDRESS(ref!$K$7,ref!E19,1,,CELL("contenu",$AB$2))))</f>
        <v>B</v>
      </c>
      <c r="S20" s="3" t="str">
        <f ca="1">CELL("contenu",INDIRECT(ADDRESS(ref!$K$7,ref!F19,1,,CELL("contenu",$AB$2))))</f>
        <v/>
      </c>
      <c r="T20" s="4" t="str">
        <f ca="1">CELL("contenu",INDIRECT(ADDRESS(ref!$K$7,ref!G19,1,,CELL("contenu",$AB$2))))</f>
        <v/>
      </c>
      <c r="U20" s="5" t="str">
        <f ca="1">CELL("contenu",INDIRECT(ADDRESS(ref!$K$7,ref!H19,1,,CELL("contenu",$AB$2))))</f>
        <v>B</v>
      </c>
      <c r="V20" s="41">
        <f ca="1">CELL("contenu",INDIRECT(ADDRESS(ref!$K$8,ref!E19,1,,CELL("contenu",$AB$2))))</f>
        <v>11.041666666666668</v>
      </c>
      <c r="W20" s="42">
        <f ca="1">CELL("contenu",INDIRECT(ADDRESS(ref!$K$8,ref!F19,1,,CELL("contenu",$AB$2))))</f>
        <v>10</v>
      </c>
      <c r="X20" s="43">
        <f ca="1">CELL("contenu",INDIRECT(ADDRESS(ref!$K$8,ref!G19,1,,CELL("contenu",$AB$2))))</f>
        <v>12.708333333333332</v>
      </c>
      <c r="Y20" s="7" t="str">
        <f ca="1">CELL("contenu",INDIRECT(ADDRESS(ref!$K$9,ref!H19,1,,CELL("contenu",$AB$2))))</f>
        <v/>
      </c>
      <c r="Z20" s="8" t="str">
        <f ca="1">CELL("contenu",INDIRECT(ADDRESS(ref!$K$10,ref!H19,1,,CELL("contenu",$AB$2))))</f>
        <v>A</v>
      </c>
    </row>
    <row r="21" spans="1:26" x14ac:dyDescent="0.55000000000000004">
      <c r="A21" s="53" t="str">
        <f t="shared" ca="1" si="0"/>
        <v>LE FORBAN Arnoult</v>
      </c>
      <c r="B21" s="2" t="str">
        <f ca="1">CELL("contenu",INDIRECT(ADDRESS(ref!$K$3,ref!E20,1,,CELL("contenu",$AB$2))))</f>
        <v>C</v>
      </c>
      <c r="C21" s="3" t="str">
        <f ca="1">CELL("contenu",INDIRECT(ADDRESS(ref!$K$3,ref!F20,1,,CELL("contenu",$AB$2))))</f>
        <v>B</v>
      </c>
      <c r="D21" s="4" t="str">
        <f ca="1">CELL("contenu",INDIRECT(ADDRESS(ref!$K$3,ref!G20,1,,CELL("contenu",$AB$2))))</f>
        <v>C</v>
      </c>
      <c r="E21" s="5" t="str">
        <f ca="1">CELL("contenu",INDIRECT(ADDRESS(ref!$K$3,ref!H20,1,,CELL("contenu",$AB$2))))</f>
        <v>C</v>
      </c>
      <c r="F21" s="6" t="str">
        <f ca="1">CELL("contenu",INDIRECT(ADDRESS(ref!$K$4,ref!E20,1,,CELL("contenu",$AB$2))))</f>
        <v>C</v>
      </c>
      <c r="G21" s="3" t="str">
        <f ca="1">CELL("contenu",INDIRECT(ADDRESS(ref!$K$4,ref!F20,1,,CELL("contenu",$AB$2))))</f>
        <v/>
      </c>
      <c r="H21" s="4" t="str">
        <f ca="1">CELL("contenu",INDIRECT(ADDRESS(ref!$K$4,ref!G20,1,,CELL("contenu",$AB$2))))</f>
        <v>A</v>
      </c>
      <c r="I21" s="5" t="str">
        <f ca="1">CELL("contenu",INDIRECT(ADDRESS(ref!$K$4,ref!H20,1,,CELL("contenu",$AB$2))))</f>
        <v>C</v>
      </c>
      <c r="J21" s="6" t="str">
        <f ca="1">CELL("contenu",INDIRECT(ADDRESS(ref!$K$5,ref!E20,1,,CELL("contenu",$AB$2))))</f>
        <v/>
      </c>
      <c r="K21" s="3" t="str">
        <f ca="1">CELL("contenu",INDIRECT(ADDRESS(ref!$K$5,ref!F20,1,,CELL("contenu",$AB$2))))</f>
        <v/>
      </c>
      <c r="L21" s="4" t="str">
        <f ca="1">CELL("contenu",INDIRECT(ADDRESS(ref!$K$5,ref!G20,1,,CELL("contenu",$AB$2))))</f>
        <v>A</v>
      </c>
      <c r="M21" s="5" t="str">
        <f ca="1">CELL("contenu",INDIRECT(ADDRESS(ref!$K$5,ref!H20,1,,CELL("contenu",$AB$2))))</f>
        <v>A</v>
      </c>
      <c r="N21" s="6" t="str">
        <f ca="1">CELL("contenu",INDIRECT(ADDRESS(ref!$K$6,ref!E20,1,,CELL("contenu",$AB$2))))</f>
        <v>C</v>
      </c>
      <c r="O21" s="3" t="str">
        <f ca="1">CELL("contenu",INDIRECT(ADDRESS(ref!$K$6,ref!F20,1,,CELL("contenu",$AB$2))))</f>
        <v>D</v>
      </c>
      <c r="P21" s="4" t="str">
        <f ca="1">CELL("contenu",INDIRECT(ADDRESS(ref!$K$6,ref!G20,1,,CELL("contenu",$AB$2))))</f>
        <v>C</v>
      </c>
      <c r="Q21" s="5" t="str">
        <f ca="1">CELL("contenu",INDIRECT(ADDRESS(ref!$K$6,ref!H20,1,,CELL("contenu",$AB$2))))</f>
        <v>C</v>
      </c>
      <c r="R21" s="6" t="str">
        <f ca="1">CELL("contenu",INDIRECT(ADDRESS(ref!$K$7,ref!E20,1,,CELL("contenu",$AB$2))))</f>
        <v>B</v>
      </c>
      <c r="S21" s="3" t="str">
        <f ca="1">CELL("contenu",INDIRECT(ADDRESS(ref!$K$7,ref!F20,1,,CELL("contenu",$AB$2))))</f>
        <v/>
      </c>
      <c r="T21" s="4" t="str">
        <f ca="1">CELL("contenu",INDIRECT(ADDRESS(ref!$K$7,ref!G20,1,,CELL("contenu",$AB$2))))</f>
        <v/>
      </c>
      <c r="U21" s="5" t="str">
        <f ca="1">CELL("contenu",INDIRECT(ADDRESS(ref!$K$7,ref!H20,1,,CELL("contenu",$AB$2))))</f>
        <v>B</v>
      </c>
      <c r="V21" s="41">
        <f ca="1">CELL("contenu",INDIRECT(ADDRESS(ref!$K$8,ref!E20,1,,CELL("contenu",$AB$2))))</f>
        <v>11.041666666666668</v>
      </c>
      <c r="W21" s="42">
        <f ca="1">CELL("contenu",INDIRECT(ADDRESS(ref!$K$8,ref!F20,1,,CELL("contenu",$AB$2))))</f>
        <v>11.25</v>
      </c>
      <c r="X21" s="43">
        <f ca="1">CELL("contenu",INDIRECT(ADDRESS(ref!$K$8,ref!G20,1,,CELL("contenu",$AB$2))))</f>
        <v>13.333333333333332</v>
      </c>
      <c r="Y21" s="7" t="str">
        <f ca="1">CELL("contenu",INDIRECT(ADDRESS(ref!$K$9,ref!H20,1,,CELL("contenu",$AB$2))))</f>
        <v/>
      </c>
      <c r="Z21" s="8" t="str">
        <f ca="1">CELL("contenu",INDIRECT(ADDRESS(ref!$K$10,ref!H20,1,,CELL("contenu",$AB$2))))</f>
        <v>C</v>
      </c>
    </row>
    <row r="22" spans="1:26" x14ac:dyDescent="0.55000000000000004">
      <c r="A22" s="53" t="str">
        <f t="shared" ca="1" si="0"/>
        <v>LESNE Augustin</v>
      </c>
      <c r="B22" s="2" t="str">
        <f ca="1">CELL("contenu",INDIRECT(ADDRESS(ref!$K$3,ref!E21,1,,CELL("contenu",$AB$2))))</f>
        <v>C</v>
      </c>
      <c r="C22" s="3" t="str">
        <f ca="1">CELL("contenu",INDIRECT(ADDRESS(ref!$K$3,ref!F21,1,,CELL("contenu",$AB$2))))</f>
        <v>A</v>
      </c>
      <c r="D22" s="4" t="str">
        <f ca="1">CELL("contenu",INDIRECT(ADDRESS(ref!$K$3,ref!G21,1,,CELL("contenu",$AB$2))))</f>
        <v>C</v>
      </c>
      <c r="E22" s="5" t="str">
        <f ca="1">CELL("contenu",INDIRECT(ADDRESS(ref!$K$3,ref!H21,1,,CELL("contenu",$AB$2))))</f>
        <v>C</v>
      </c>
      <c r="F22" s="6" t="str">
        <f ca="1">CELL("contenu",INDIRECT(ADDRESS(ref!$K$4,ref!E21,1,,CELL("contenu",$AB$2))))</f>
        <v>A</v>
      </c>
      <c r="G22" s="3" t="str">
        <f ca="1">CELL("contenu",INDIRECT(ADDRESS(ref!$K$4,ref!F21,1,,CELL("contenu",$AB$2))))</f>
        <v/>
      </c>
      <c r="H22" s="4" t="str">
        <f ca="1">CELL("contenu",INDIRECT(ADDRESS(ref!$K$4,ref!G21,1,,CELL("contenu",$AB$2))))</f>
        <v>B</v>
      </c>
      <c r="I22" s="5" t="str">
        <f ca="1">CELL("contenu",INDIRECT(ADDRESS(ref!$K$4,ref!H21,1,,CELL("contenu",$AB$2))))</f>
        <v>B</v>
      </c>
      <c r="J22" s="6" t="str">
        <f ca="1">CELL("contenu",INDIRECT(ADDRESS(ref!$K$5,ref!E21,1,,CELL("contenu",$AB$2))))</f>
        <v/>
      </c>
      <c r="K22" s="3" t="str">
        <f ca="1">CELL("contenu",INDIRECT(ADDRESS(ref!$K$5,ref!F21,1,,CELL("contenu",$AB$2))))</f>
        <v/>
      </c>
      <c r="L22" s="4" t="str">
        <f ca="1">CELL("contenu",INDIRECT(ADDRESS(ref!$K$5,ref!G21,1,,CELL("contenu",$AB$2))))</f>
        <v>B</v>
      </c>
      <c r="M22" s="5" t="str">
        <f ca="1">CELL("contenu",INDIRECT(ADDRESS(ref!$K$5,ref!H21,1,,CELL("contenu",$AB$2))))</f>
        <v>B</v>
      </c>
      <c r="N22" s="6" t="str">
        <f ca="1">CELL("contenu",INDIRECT(ADDRESS(ref!$K$6,ref!E21,1,,CELL("contenu",$AB$2))))</f>
        <v>B</v>
      </c>
      <c r="O22" s="3" t="str">
        <f ca="1">CELL("contenu",INDIRECT(ADDRESS(ref!$K$6,ref!F21,1,,CELL("contenu",$AB$2))))</f>
        <v>C</v>
      </c>
      <c r="P22" s="4" t="str">
        <f ca="1">CELL("contenu",INDIRECT(ADDRESS(ref!$K$6,ref!G21,1,,CELL("contenu",$AB$2))))</f>
        <v>C</v>
      </c>
      <c r="Q22" s="5" t="str">
        <f ca="1">CELL("contenu",INDIRECT(ADDRESS(ref!$K$6,ref!H21,1,,CELL("contenu",$AB$2))))</f>
        <v>C</v>
      </c>
      <c r="R22" s="6" t="str">
        <f ca="1">CELL("contenu",INDIRECT(ADDRESS(ref!$K$7,ref!E21,1,,CELL("contenu",$AB$2))))</f>
        <v>B</v>
      </c>
      <c r="S22" s="3" t="str">
        <f ca="1">CELL("contenu",INDIRECT(ADDRESS(ref!$K$7,ref!F21,1,,CELL("contenu",$AB$2))))</f>
        <v/>
      </c>
      <c r="T22" s="4" t="str">
        <f ca="1">CELL("contenu",INDIRECT(ADDRESS(ref!$K$7,ref!G21,1,,CELL("contenu",$AB$2))))</f>
        <v/>
      </c>
      <c r="U22" s="5" t="str">
        <f ca="1">CELL("contenu",INDIRECT(ADDRESS(ref!$K$7,ref!H21,1,,CELL("contenu",$AB$2))))</f>
        <v>B</v>
      </c>
      <c r="V22" s="41">
        <f ca="1">CELL("contenu",INDIRECT(ADDRESS(ref!$K$8,ref!E21,1,,CELL("contenu",$AB$2))))</f>
        <v>15.625</v>
      </c>
      <c r="W22" s="42">
        <f ca="1">CELL("contenu",INDIRECT(ADDRESS(ref!$K$8,ref!F21,1,,CELL("contenu",$AB$2))))</f>
        <v>16.25</v>
      </c>
      <c r="X22" s="43">
        <f ca="1">CELL("contenu",INDIRECT(ADDRESS(ref!$K$8,ref!G21,1,,CELL("contenu",$AB$2))))</f>
        <v>13.854166666666668</v>
      </c>
      <c r="Y22" s="7" t="str">
        <f ca="1">CELL("contenu",INDIRECT(ADDRESS(ref!$K$9,ref!H21,1,,CELL("contenu",$AB$2))))</f>
        <v/>
      </c>
      <c r="Z22" s="8" t="str">
        <f ca="1">CELL("contenu",INDIRECT(ADDRESS(ref!$K$10,ref!H21,1,,CELL("contenu",$AB$2))))</f>
        <v>A</v>
      </c>
    </row>
    <row r="23" spans="1:26" x14ac:dyDescent="0.55000000000000004">
      <c r="A23" s="53" t="str">
        <f t="shared" ca="1" si="0"/>
        <v>LORIOUX Maud</v>
      </c>
      <c r="B23" s="2" t="str">
        <f ca="1">CELL("contenu",INDIRECT(ADDRESS(ref!$K$3,ref!E22,1,,CELL("contenu",$AB$2))))</f>
        <v>C</v>
      </c>
      <c r="C23" s="3" t="str">
        <f ca="1">CELL("contenu",INDIRECT(ADDRESS(ref!$K$3,ref!F22,1,,CELL("contenu",$AB$2))))</f>
        <v>B</v>
      </c>
      <c r="D23" s="4" t="str">
        <f ca="1">CELL("contenu",INDIRECT(ADDRESS(ref!$K$3,ref!G22,1,,CELL("contenu",$AB$2))))</f>
        <v>C</v>
      </c>
      <c r="E23" s="5" t="str">
        <f ca="1">CELL("contenu",INDIRECT(ADDRESS(ref!$K$3,ref!H22,1,,CELL("contenu",$AB$2))))</f>
        <v>C</v>
      </c>
      <c r="F23" s="6" t="str">
        <f ca="1">CELL("contenu",INDIRECT(ADDRESS(ref!$K$4,ref!E22,1,,CELL("contenu",$AB$2))))</f>
        <v>B</v>
      </c>
      <c r="G23" s="3" t="str">
        <f ca="1">CELL("contenu",INDIRECT(ADDRESS(ref!$K$4,ref!F22,1,,CELL("contenu",$AB$2))))</f>
        <v/>
      </c>
      <c r="H23" s="4" t="str">
        <f ca="1">CELL("contenu",INDIRECT(ADDRESS(ref!$K$4,ref!G22,1,,CELL("contenu",$AB$2))))</f>
        <v>B</v>
      </c>
      <c r="I23" s="5" t="str">
        <f ca="1">CELL("contenu",INDIRECT(ADDRESS(ref!$K$4,ref!H22,1,,CELL("contenu",$AB$2))))</f>
        <v>B</v>
      </c>
      <c r="J23" s="6" t="str">
        <f ca="1">CELL("contenu",INDIRECT(ADDRESS(ref!$K$5,ref!E22,1,,CELL("contenu",$AB$2))))</f>
        <v/>
      </c>
      <c r="K23" s="3" t="str">
        <f ca="1">CELL("contenu",INDIRECT(ADDRESS(ref!$K$5,ref!F22,1,,CELL("contenu",$AB$2))))</f>
        <v/>
      </c>
      <c r="L23" s="4" t="str">
        <f ca="1">CELL("contenu",INDIRECT(ADDRESS(ref!$K$5,ref!G22,1,,CELL("contenu",$AB$2))))</f>
        <v/>
      </c>
      <c r="M23" s="5" t="str">
        <f ca="1">CELL("contenu",INDIRECT(ADDRESS(ref!$K$5,ref!H22,1,,CELL("contenu",$AB$2))))</f>
        <v/>
      </c>
      <c r="N23" s="6" t="str">
        <f ca="1">CELL("contenu",INDIRECT(ADDRESS(ref!$K$6,ref!E22,1,,CELL("contenu",$AB$2))))</f>
        <v>C</v>
      </c>
      <c r="O23" s="3" t="str">
        <f ca="1">CELL("contenu",INDIRECT(ADDRESS(ref!$K$6,ref!F22,1,,CELL("contenu",$AB$2))))</f>
        <v>C</v>
      </c>
      <c r="P23" s="4" t="str">
        <f ca="1">CELL("contenu",INDIRECT(ADDRESS(ref!$K$6,ref!G22,1,,CELL("contenu",$AB$2))))</f>
        <v>B</v>
      </c>
      <c r="Q23" s="5" t="str">
        <f ca="1">CELL("contenu",INDIRECT(ADDRESS(ref!$K$6,ref!H22,1,,CELL("contenu",$AB$2))))</f>
        <v>C</v>
      </c>
      <c r="R23" s="6" t="str">
        <f ca="1">CELL("contenu",INDIRECT(ADDRESS(ref!$K$7,ref!E22,1,,CELL("contenu",$AB$2))))</f>
        <v>B</v>
      </c>
      <c r="S23" s="3" t="str">
        <f ca="1">CELL("contenu",INDIRECT(ADDRESS(ref!$K$7,ref!F22,1,,CELL("contenu",$AB$2))))</f>
        <v/>
      </c>
      <c r="T23" s="4" t="str">
        <f ca="1">CELL("contenu",INDIRECT(ADDRESS(ref!$K$7,ref!G22,1,,CELL("contenu",$AB$2))))</f>
        <v/>
      </c>
      <c r="U23" s="5" t="str">
        <f ca="1">CELL("contenu",INDIRECT(ADDRESS(ref!$K$7,ref!H22,1,,CELL("contenu",$AB$2))))</f>
        <v>B</v>
      </c>
      <c r="V23" s="41">
        <f ca="1">CELL("contenu",INDIRECT(ADDRESS(ref!$K$8,ref!E22,1,,CELL("contenu",$AB$2))))</f>
        <v>12.916666666666668</v>
      </c>
      <c r="W23" s="42">
        <f ca="1">CELL("contenu",INDIRECT(ADDRESS(ref!$K$8,ref!F22,1,,CELL("contenu",$AB$2))))</f>
        <v>12.5</v>
      </c>
      <c r="X23" s="43">
        <f ca="1">CELL("contenu",INDIRECT(ADDRESS(ref!$K$8,ref!G22,1,,CELL("contenu",$AB$2))))</f>
        <v>13.75</v>
      </c>
      <c r="Y23" s="7" t="str">
        <f ca="1">CELL("contenu",INDIRECT(ADDRESS(ref!$K$9,ref!H22,1,,CELL("contenu",$AB$2))))</f>
        <v/>
      </c>
      <c r="Z23" s="8" t="str">
        <f ca="1">CELL("contenu",INDIRECT(ADDRESS(ref!$K$10,ref!H22,1,,CELL("contenu",$AB$2))))</f>
        <v>A</v>
      </c>
    </row>
    <row r="24" spans="1:26" x14ac:dyDescent="0.55000000000000004">
      <c r="A24" s="53" t="str">
        <f t="shared" ca="1" si="0"/>
        <v>MALAQUIN Matthieu</v>
      </c>
      <c r="B24" s="2" t="str">
        <f ca="1">CELL("contenu",INDIRECT(ADDRESS(ref!$K$3,ref!E23,1,,CELL("contenu",$AB$2))))</f>
        <v>D</v>
      </c>
      <c r="C24" s="3" t="str">
        <f ca="1">CELL("contenu",INDIRECT(ADDRESS(ref!$K$3,ref!F23,1,,CELL("contenu",$AB$2))))</f>
        <v>A</v>
      </c>
      <c r="D24" s="4" t="str">
        <f ca="1">CELL("contenu",INDIRECT(ADDRESS(ref!$K$3,ref!G23,1,,CELL("contenu",$AB$2))))</f>
        <v>C</v>
      </c>
      <c r="E24" s="5" t="str">
        <f ca="1">CELL("contenu",INDIRECT(ADDRESS(ref!$K$3,ref!H23,1,,CELL("contenu",$AB$2))))</f>
        <v>C</v>
      </c>
      <c r="F24" s="6" t="str">
        <f ca="1">CELL("contenu",INDIRECT(ADDRESS(ref!$K$4,ref!E23,1,,CELL("contenu",$AB$2))))</f>
        <v>D</v>
      </c>
      <c r="G24" s="3" t="str">
        <f ca="1">CELL("contenu",INDIRECT(ADDRESS(ref!$K$4,ref!F23,1,,CELL("contenu",$AB$2))))</f>
        <v/>
      </c>
      <c r="H24" s="4" t="str">
        <f ca="1">CELL("contenu",INDIRECT(ADDRESS(ref!$K$4,ref!G23,1,,CELL("contenu",$AB$2))))</f>
        <v>B</v>
      </c>
      <c r="I24" s="5" t="str">
        <f ca="1">CELL("contenu",INDIRECT(ADDRESS(ref!$K$4,ref!H23,1,,CELL("contenu",$AB$2))))</f>
        <v>C</v>
      </c>
      <c r="J24" s="6" t="str">
        <f ca="1">CELL("contenu",INDIRECT(ADDRESS(ref!$K$5,ref!E23,1,,CELL("contenu",$AB$2))))</f>
        <v/>
      </c>
      <c r="K24" s="3" t="str">
        <f ca="1">CELL("contenu",INDIRECT(ADDRESS(ref!$K$5,ref!F23,1,,CELL("contenu",$AB$2))))</f>
        <v/>
      </c>
      <c r="L24" s="4" t="str">
        <f ca="1">CELL("contenu",INDIRECT(ADDRESS(ref!$K$5,ref!G23,1,,CELL("contenu",$AB$2))))</f>
        <v>A</v>
      </c>
      <c r="M24" s="5" t="str">
        <f ca="1">CELL("contenu",INDIRECT(ADDRESS(ref!$K$5,ref!H23,1,,CELL("contenu",$AB$2))))</f>
        <v>A</v>
      </c>
      <c r="N24" s="6" t="str">
        <f ca="1">CELL("contenu",INDIRECT(ADDRESS(ref!$K$6,ref!E23,1,,CELL("contenu",$AB$2))))</f>
        <v>C</v>
      </c>
      <c r="O24" s="3" t="str">
        <f ca="1">CELL("contenu",INDIRECT(ADDRESS(ref!$K$6,ref!F23,1,,CELL("contenu",$AB$2))))</f>
        <v>D</v>
      </c>
      <c r="P24" s="4" t="str">
        <f ca="1">CELL("contenu",INDIRECT(ADDRESS(ref!$K$6,ref!G23,1,,CELL("contenu",$AB$2))))</f>
        <v>C</v>
      </c>
      <c r="Q24" s="5" t="str">
        <f ca="1">CELL("contenu",INDIRECT(ADDRESS(ref!$K$6,ref!H23,1,,CELL("contenu",$AB$2))))</f>
        <v>C</v>
      </c>
      <c r="R24" s="6" t="str">
        <f ca="1">CELL("contenu",INDIRECT(ADDRESS(ref!$K$7,ref!E23,1,,CELL("contenu",$AB$2))))</f>
        <v>C</v>
      </c>
      <c r="S24" s="3" t="str">
        <f ca="1">CELL("contenu",INDIRECT(ADDRESS(ref!$K$7,ref!F23,1,,CELL("contenu",$AB$2))))</f>
        <v/>
      </c>
      <c r="T24" s="4" t="str">
        <f ca="1">CELL("contenu",INDIRECT(ADDRESS(ref!$K$7,ref!G23,1,,CELL("contenu",$AB$2))))</f>
        <v/>
      </c>
      <c r="U24" s="5" t="str">
        <f ca="1">CELL("contenu",INDIRECT(ADDRESS(ref!$K$7,ref!H23,1,,CELL("contenu",$AB$2))))</f>
        <v>C</v>
      </c>
      <c r="V24" s="41">
        <f ca="1">CELL("contenu",INDIRECT(ADDRESS(ref!$K$8,ref!E23,1,,CELL("contenu",$AB$2))))</f>
        <v>8.3333333333333339</v>
      </c>
      <c r="W24" s="42">
        <f ca="1">CELL("contenu",INDIRECT(ADDRESS(ref!$K$8,ref!F23,1,,CELL("contenu",$AB$2))))</f>
        <v>13.75</v>
      </c>
      <c r="X24" s="43">
        <f ca="1">CELL("contenu",INDIRECT(ADDRESS(ref!$K$8,ref!G23,1,,CELL("contenu",$AB$2))))</f>
        <v>13.854166666666668</v>
      </c>
      <c r="Y24" s="7" t="str">
        <f ca="1">CELL("contenu",INDIRECT(ADDRESS(ref!$K$9,ref!H23,1,,CELL("contenu",$AB$2))))</f>
        <v/>
      </c>
      <c r="Z24" s="8" t="str">
        <f ca="1">CELL("contenu",INDIRECT(ADDRESS(ref!$K$10,ref!H23,1,,CELL("contenu",$AB$2))))</f>
        <v>D</v>
      </c>
    </row>
    <row r="25" spans="1:26" x14ac:dyDescent="0.55000000000000004">
      <c r="A25" s="53" t="str">
        <f t="shared" ca="1" si="0"/>
        <v>MARCONNET- REGIDOR Matthieu</v>
      </c>
      <c r="B25" s="2" t="str">
        <f ca="1">CELL("contenu",INDIRECT(ADDRESS(ref!$K$3,ref!E24,1,,CELL("contenu",$AB$2))))</f>
        <v>D</v>
      </c>
      <c r="C25" s="3" t="str">
        <f ca="1">CELL("contenu",INDIRECT(ADDRESS(ref!$K$3,ref!F24,1,,CELL("contenu",$AB$2))))</f>
        <v/>
      </c>
      <c r="D25" s="4" t="str">
        <f ca="1">CELL("contenu",INDIRECT(ADDRESS(ref!$K$3,ref!G24,1,,CELL("contenu",$AB$2))))</f>
        <v>C</v>
      </c>
      <c r="E25" s="5" t="str">
        <f ca="1">CELL("contenu",INDIRECT(ADDRESS(ref!$K$3,ref!H24,1,,CELL("contenu",$AB$2))))</f>
        <v>C</v>
      </c>
      <c r="F25" s="6" t="str">
        <f ca="1">CELL("contenu",INDIRECT(ADDRESS(ref!$K$4,ref!E24,1,,CELL("contenu",$AB$2))))</f>
        <v>C</v>
      </c>
      <c r="G25" s="3" t="str">
        <f ca="1">CELL("contenu",INDIRECT(ADDRESS(ref!$K$4,ref!F24,1,,CELL("contenu",$AB$2))))</f>
        <v/>
      </c>
      <c r="H25" s="4" t="str">
        <f ca="1">CELL("contenu",INDIRECT(ADDRESS(ref!$K$4,ref!G24,1,,CELL("contenu",$AB$2))))</f>
        <v>B</v>
      </c>
      <c r="I25" s="5" t="str">
        <f ca="1">CELL("contenu",INDIRECT(ADDRESS(ref!$K$4,ref!H24,1,,CELL("contenu",$AB$2))))</f>
        <v>C</v>
      </c>
      <c r="J25" s="6" t="str">
        <f ca="1">CELL("contenu",INDIRECT(ADDRESS(ref!$K$5,ref!E24,1,,CELL("contenu",$AB$2))))</f>
        <v/>
      </c>
      <c r="K25" s="3" t="str">
        <f ca="1">CELL("contenu",INDIRECT(ADDRESS(ref!$K$5,ref!F24,1,,CELL("contenu",$AB$2))))</f>
        <v/>
      </c>
      <c r="L25" s="4" t="str">
        <f ca="1">CELL("contenu",INDIRECT(ADDRESS(ref!$K$5,ref!G24,1,,CELL("contenu",$AB$2))))</f>
        <v>A</v>
      </c>
      <c r="M25" s="5" t="str">
        <f ca="1">CELL("contenu",INDIRECT(ADDRESS(ref!$K$5,ref!H24,1,,CELL("contenu",$AB$2))))</f>
        <v>A</v>
      </c>
      <c r="N25" s="6" t="str">
        <f ca="1">CELL("contenu",INDIRECT(ADDRESS(ref!$K$6,ref!E24,1,,CELL("contenu",$AB$2))))</f>
        <v>B</v>
      </c>
      <c r="O25" s="3" t="str">
        <f ca="1">CELL("contenu",INDIRECT(ADDRESS(ref!$K$6,ref!F24,1,,CELL("contenu",$AB$2))))</f>
        <v/>
      </c>
      <c r="P25" s="4" t="str">
        <f ca="1">CELL("contenu",INDIRECT(ADDRESS(ref!$K$6,ref!G24,1,,CELL("contenu",$AB$2))))</f>
        <v>C</v>
      </c>
      <c r="Q25" s="5" t="str">
        <f ca="1">CELL("contenu",INDIRECT(ADDRESS(ref!$K$6,ref!H24,1,,CELL("contenu",$AB$2))))</f>
        <v>C</v>
      </c>
      <c r="R25" s="6" t="str">
        <f ca="1">CELL("contenu",INDIRECT(ADDRESS(ref!$K$7,ref!E24,1,,CELL("contenu",$AB$2))))</f>
        <v>B</v>
      </c>
      <c r="S25" s="3" t="str">
        <f ca="1">CELL("contenu",INDIRECT(ADDRESS(ref!$K$7,ref!F24,1,,CELL("contenu",$AB$2))))</f>
        <v/>
      </c>
      <c r="T25" s="4" t="str">
        <f ca="1">CELL("contenu",INDIRECT(ADDRESS(ref!$K$7,ref!G24,1,,CELL("contenu",$AB$2))))</f>
        <v/>
      </c>
      <c r="U25" s="5" t="str">
        <f ca="1">CELL("contenu",INDIRECT(ADDRESS(ref!$K$7,ref!H24,1,,CELL("contenu",$AB$2))))</f>
        <v>B</v>
      </c>
      <c r="V25" s="41">
        <f ca="1">CELL("contenu",INDIRECT(ADDRESS(ref!$K$8,ref!E24,1,,CELL("contenu",$AB$2))))</f>
        <v>12.291666666666668</v>
      </c>
      <c r="W25" s="42" t="str">
        <f ca="1">CELL("contenu",INDIRECT(ADDRESS(ref!$K$8,ref!F24,1,,CELL("contenu",$AB$2))))</f>
        <v/>
      </c>
      <c r="X25" s="43">
        <f ca="1">CELL("contenu",INDIRECT(ADDRESS(ref!$K$8,ref!G24,1,,CELL("contenu",$AB$2))))</f>
        <v>15</v>
      </c>
      <c r="Y25" s="7" t="str">
        <f ca="1">CELL("contenu",INDIRECT(ADDRESS(ref!$K$9,ref!H24,1,,CELL("contenu",$AB$2))))</f>
        <v/>
      </c>
      <c r="Z25" s="8" t="str">
        <f ca="1">CELL("contenu",INDIRECT(ADDRESS(ref!$K$10,ref!H24,1,,CELL("contenu",$AB$2))))</f>
        <v>B</v>
      </c>
    </row>
    <row r="26" spans="1:26" x14ac:dyDescent="0.55000000000000004">
      <c r="A26" s="53" t="str">
        <f t="shared" ca="1" si="0"/>
        <v>MAUGE Lili</v>
      </c>
      <c r="B26" s="2" t="str">
        <f ca="1">CELL("contenu",INDIRECT(ADDRESS(ref!$K$3,ref!E25,1,,CELL("contenu",$AB$2))))</f>
        <v>C</v>
      </c>
      <c r="C26" s="3" t="str">
        <f ca="1">CELL("contenu",INDIRECT(ADDRESS(ref!$K$3,ref!F25,1,,CELL("contenu",$AB$2))))</f>
        <v>A</v>
      </c>
      <c r="D26" s="4" t="str">
        <f ca="1">CELL("contenu",INDIRECT(ADDRESS(ref!$K$3,ref!G25,1,,CELL("contenu",$AB$2))))</f>
        <v>C</v>
      </c>
      <c r="E26" s="5" t="str">
        <f ca="1">CELL("contenu",INDIRECT(ADDRESS(ref!$K$3,ref!H25,1,,CELL("contenu",$AB$2))))</f>
        <v>C</v>
      </c>
      <c r="F26" s="6" t="str">
        <f ca="1">CELL("contenu",INDIRECT(ADDRESS(ref!$K$4,ref!E25,1,,CELL("contenu",$AB$2))))</f>
        <v>A</v>
      </c>
      <c r="G26" s="3" t="str">
        <f ca="1">CELL("contenu",INDIRECT(ADDRESS(ref!$K$4,ref!F25,1,,CELL("contenu",$AB$2))))</f>
        <v/>
      </c>
      <c r="H26" s="4" t="str">
        <f ca="1">CELL("contenu",INDIRECT(ADDRESS(ref!$K$4,ref!G25,1,,CELL("contenu",$AB$2))))</f>
        <v>B</v>
      </c>
      <c r="I26" s="5" t="str">
        <f ca="1">CELL("contenu",INDIRECT(ADDRESS(ref!$K$4,ref!H25,1,,CELL("contenu",$AB$2))))</f>
        <v>B</v>
      </c>
      <c r="J26" s="6" t="str">
        <f ca="1">CELL("contenu",INDIRECT(ADDRESS(ref!$K$5,ref!E25,1,,CELL("contenu",$AB$2))))</f>
        <v/>
      </c>
      <c r="K26" s="3" t="str">
        <f ca="1">CELL("contenu",INDIRECT(ADDRESS(ref!$K$5,ref!F25,1,,CELL("contenu",$AB$2))))</f>
        <v/>
      </c>
      <c r="L26" s="4" t="str">
        <f ca="1">CELL("contenu",INDIRECT(ADDRESS(ref!$K$5,ref!G25,1,,CELL("contenu",$AB$2))))</f>
        <v>A</v>
      </c>
      <c r="M26" s="5" t="str">
        <f ca="1">CELL("contenu",INDIRECT(ADDRESS(ref!$K$5,ref!H25,1,,CELL("contenu",$AB$2))))</f>
        <v>A</v>
      </c>
      <c r="N26" s="6" t="str">
        <f ca="1">CELL("contenu",INDIRECT(ADDRESS(ref!$K$6,ref!E25,1,,CELL("contenu",$AB$2))))</f>
        <v>B</v>
      </c>
      <c r="O26" s="3" t="str">
        <f ca="1">CELL("contenu",INDIRECT(ADDRESS(ref!$K$6,ref!F25,1,,CELL("contenu",$AB$2))))</f>
        <v>C</v>
      </c>
      <c r="P26" s="4" t="str">
        <f ca="1">CELL("contenu",INDIRECT(ADDRESS(ref!$K$6,ref!G25,1,,CELL("contenu",$AB$2))))</f>
        <v>C</v>
      </c>
      <c r="Q26" s="5" t="str">
        <f ca="1">CELL("contenu",INDIRECT(ADDRESS(ref!$K$6,ref!H25,1,,CELL("contenu",$AB$2))))</f>
        <v>C</v>
      </c>
      <c r="R26" s="6" t="str">
        <f ca="1">CELL("contenu",INDIRECT(ADDRESS(ref!$K$7,ref!E25,1,,CELL("contenu",$AB$2))))</f>
        <v>C</v>
      </c>
      <c r="S26" s="3" t="str">
        <f ca="1">CELL("contenu",INDIRECT(ADDRESS(ref!$K$7,ref!F25,1,,CELL("contenu",$AB$2))))</f>
        <v/>
      </c>
      <c r="T26" s="4" t="str">
        <f ca="1">CELL("contenu",INDIRECT(ADDRESS(ref!$K$7,ref!G25,1,,CELL("contenu",$AB$2))))</f>
        <v/>
      </c>
      <c r="U26" s="5" t="str">
        <f ca="1">CELL("contenu",INDIRECT(ADDRESS(ref!$K$7,ref!H25,1,,CELL("contenu",$AB$2))))</f>
        <v>C</v>
      </c>
      <c r="V26" s="41">
        <f ca="1">CELL("contenu",INDIRECT(ADDRESS(ref!$K$8,ref!E25,1,,CELL("contenu",$AB$2))))</f>
        <v>12.708333333333332</v>
      </c>
      <c r="W26" s="42">
        <f ca="1">CELL("contenu",INDIRECT(ADDRESS(ref!$K$8,ref!F25,1,,CELL("contenu",$AB$2))))</f>
        <v>16.25</v>
      </c>
      <c r="X26" s="43">
        <f ca="1">CELL("contenu",INDIRECT(ADDRESS(ref!$K$8,ref!G25,1,,CELL("contenu",$AB$2))))</f>
        <v>14.0625</v>
      </c>
      <c r="Y26" s="7" t="str">
        <f ca="1">CELL("contenu",INDIRECT(ADDRESS(ref!$K$9,ref!H25,1,,CELL("contenu",$AB$2))))</f>
        <v/>
      </c>
      <c r="Z26" s="8" t="str">
        <f ca="1">CELL("contenu",INDIRECT(ADDRESS(ref!$K$10,ref!H25,1,,CELL("contenu",$AB$2))))</f>
        <v>A</v>
      </c>
    </row>
    <row r="27" spans="1:26" x14ac:dyDescent="0.55000000000000004">
      <c r="A27" s="53" t="str">
        <f t="shared" ca="1" si="0"/>
        <v>NERISSON Armance</v>
      </c>
      <c r="B27" s="2" t="str">
        <f ca="1">CELL("contenu",INDIRECT(ADDRESS(ref!$K$3,ref!E26,1,,CELL("contenu",$AB$2))))</f>
        <v>C</v>
      </c>
      <c r="C27" s="3" t="str">
        <f ca="1">CELL("contenu",INDIRECT(ADDRESS(ref!$K$3,ref!F26,1,,CELL("contenu",$AB$2))))</f>
        <v>C</v>
      </c>
      <c r="D27" s="4" t="str">
        <f ca="1">CELL("contenu",INDIRECT(ADDRESS(ref!$K$3,ref!G26,1,,CELL("contenu",$AB$2))))</f>
        <v>C</v>
      </c>
      <c r="E27" s="5" t="str">
        <f ca="1">CELL("contenu",INDIRECT(ADDRESS(ref!$K$3,ref!H26,1,,CELL("contenu",$AB$2))))</f>
        <v>C</v>
      </c>
      <c r="F27" s="6" t="str">
        <f ca="1">CELL("contenu",INDIRECT(ADDRESS(ref!$K$4,ref!E26,1,,CELL("contenu",$AB$2))))</f>
        <v>C</v>
      </c>
      <c r="G27" s="3" t="str">
        <f ca="1">CELL("contenu",INDIRECT(ADDRESS(ref!$K$4,ref!F26,1,,CELL("contenu",$AB$2))))</f>
        <v/>
      </c>
      <c r="H27" s="4" t="str">
        <f ca="1">CELL("contenu",INDIRECT(ADDRESS(ref!$K$4,ref!G26,1,,CELL("contenu",$AB$2))))</f>
        <v>A</v>
      </c>
      <c r="I27" s="5" t="str">
        <f ca="1">CELL("contenu",INDIRECT(ADDRESS(ref!$K$4,ref!H26,1,,CELL("contenu",$AB$2))))</f>
        <v>B</v>
      </c>
      <c r="J27" s="6" t="str">
        <f ca="1">CELL("contenu",INDIRECT(ADDRESS(ref!$K$5,ref!E26,1,,CELL("contenu",$AB$2))))</f>
        <v/>
      </c>
      <c r="K27" s="3" t="str">
        <f ca="1">CELL("contenu",INDIRECT(ADDRESS(ref!$K$5,ref!F26,1,,CELL("contenu",$AB$2))))</f>
        <v/>
      </c>
      <c r="L27" s="4" t="str">
        <f ca="1">CELL("contenu",INDIRECT(ADDRESS(ref!$K$5,ref!G26,1,,CELL("contenu",$AB$2))))</f>
        <v>A</v>
      </c>
      <c r="M27" s="5" t="str">
        <f ca="1">CELL("contenu",INDIRECT(ADDRESS(ref!$K$5,ref!H26,1,,CELL("contenu",$AB$2))))</f>
        <v>A</v>
      </c>
      <c r="N27" s="6" t="str">
        <f ca="1">CELL("contenu",INDIRECT(ADDRESS(ref!$K$6,ref!E26,1,,CELL("contenu",$AB$2))))</f>
        <v>B</v>
      </c>
      <c r="O27" s="3" t="str">
        <f ca="1">CELL("contenu",INDIRECT(ADDRESS(ref!$K$6,ref!F26,1,,CELL("contenu",$AB$2))))</f>
        <v>C</v>
      </c>
      <c r="P27" s="4" t="str">
        <f ca="1">CELL("contenu",INDIRECT(ADDRESS(ref!$K$6,ref!G26,1,,CELL("contenu",$AB$2))))</f>
        <v>C</v>
      </c>
      <c r="Q27" s="5" t="str">
        <f ca="1">CELL("contenu",INDIRECT(ADDRESS(ref!$K$6,ref!H26,1,,CELL("contenu",$AB$2))))</f>
        <v>C</v>
      </c>
      <c r="R27" s="6" t="str">
        <f ca="1">CELL("contenu",INDIRECT(ADDRESS(ref!$K$7,ref!E26,1,,CELL("contenu",$AB$2))))</f>
        <v>B</v>
      </c>
      <c r="S27" s="3" t="str">
        <f ca="1">CELL("contenu",INDIRECT(ADDRESS(ref!$K$7,ref!F26,1,,CELL("contenu",$AB$2))))</f>
        <v/>
      </c>
      <c r="T27" s="4" t="str">
        <f ca="1">CELL("contenu",INDIRECT(ADDRESS(ref!$K$7,ref!G26,1,,CELL("contenu",$AB$2))))</f>
        <v/>
      </c>
      <c r="U27" s="5" t="str">
        <f ca="1">CELL("contenu",INDIRECT(ADDRESS(ref!$K$7,ref!H26,1,,CELL("contenu",$AB$2))))</f>
        <v>B</v>
      </c>
      <c r="V27" s="41">
        <f ca="1">CELL("contenu",INDIRECT(ADDRESS(ref!$K$8,ref!E26,1,,CELL("contenu",$AB$2))))</f>
        <v>13.541666666666668</v>
      </c>
      <c r="W27" s="42">
        <f ca="1">CELL("contenu",INDIRECT(ADDRESS(ref!$K$8,ref!F26,1,,CELL("contenu",$AB$2))))</f>
        <v>10</v>
      </c>
      <c r="X27" s="43">
        <f ca="1">CELL("contenu",INDIRECT(ADDRESS(ref!$K$8,ref!G26,1,,CELL("contenu",$AB$2))))</f>
        <v>12.604166666666668</v>
      </c>
      <c r="Y27" s="7" t="str">
        <f ca="1">CELL("contenu",INDIRECT(ADDRESS(ref!$K$9,ref!H26,1,,CELL("contenu",$AB$2))))</f>
        <v/>
      </c>
      <c r="Z27" s="8" t="str">
        <f ca="1">CELL("contenu",INDIRECT(ADDRESS(ref!$K$10,ref!H26,1,,CELL("contenu",$AB$2))))</f>
        <v>A</v>
      </c>
    </row>
    <row r="28" spans="1:26" x14ac:dyDescent="0.55000000000000004">
      <c r="A28" s="53" t="str">
        <f t="shared" ca="1" si="0"/>
        <v>PORTAIS Arthur</v>
      </c>
      <c r="B28" s="2" t="str">
        <f ca="1">CELL("contenu",INDIRECT(ADDRESS(ref!$K$3,ref!E27,1,,CELL("contenu",$AB$2))))</f>
        <v>B</v>
      </c>
      <c r="C28" s="3" t="str">
        <f ca="1">CELL("contenu",INDIRECT(ADDRESS(ref!$K$3,ref!F27,1,,CELL("contenu",$AB$2))))</f>
        <v>B</v>
      </c>
      <c r="D28" s="4" t="str">
        <f ca="1">CELL("contenu",INDIRECT(ADDRESS(ref!$K$3,ref!G27,1,,CELL("contenu",$AB$2))))</f>
        <v>B</v>
      </c>
      <c r="E28" s="5" t="str">
        <f ca="1">CELL("contenu",INDIRECT(ADDRESS(ref!$K$3,ref!H27,1,,CELL("contenu",$AB$2))))</f>
        <v>B</v>
      </c>
      <c r="F28" s="6" t="str">
        <f ca="1">CELL("contenu",INDIRECT(ADDRESS(ref!$K$4,ref!E27,1,,CELL("contenu",$AB$2))))</f>
        <v>B</v>
      </c>
      <c r="G28" s="3" t="str">
        <f ca="1">CELL("contenu",INDIRECT(ADDRESS(ref!$K$4,ref!F27,1,,CELL("contenu",$AB$2))))</f>
        <v/>
      </c>
      <c r="H28" s="4" t="str">
        <f ca="1">CELL("contenu",INDIRECT(ADDRESS(ref!$K$4,ref!G27,1,,CELL("contenu",$AB$2))))</f>
        <v>A</v>
      </c>
      <c r="I28" s="5" t="str">
        <f ca="1">CELL("contenu",INDIRECT(ADDRESS(ref!$K$4,ref!H27,1,,CELL("contenu",$AB$2))))</f>
        <v>B</v>
      </c>
      <c r="J28" s="6" t="str">
        <f ca="1">CELL("contenu",INDIRECT(ADDRESS(ref!$K$5,ref!E27,1,,CELL("contenu",$AB$2))))</f>
        <v/>
      </c>
      <c r="K28" s="3" t="str">
        <f ca="1">CELL("contenu",INDIRECT(ADDRESS(ref!$K$5,ref!F27,1,,CELL("contenu",$AB$2))))</f>
        <v/>
      </c>
      <c r="L28" s="4" t="str">
        <f ca="1">CELL("contenu",INDIRECT(ADDRESS(ref!$K$5,ref!G27,1,,CELL("contenu",$AB$2))))</f>
        <v>A</v>
      </c>
      <c r="M28" s="5" t="str">
        <f ca="1">CELL("contenu",INDIRECT(ADDRESS(ref!$K$5,ref!H27,1,,CELL("contenu",$AB$2))))</f>
        <v>A</v>
      </c>
      <c r="N28" s="6" t="str">
        <f ca="1">CELL("contenu",INDIRECT(ADDRESS(ref!$K$6,ref!E27,1,,CELL("contenu",$AB$2))))</f>
        <v>B</v>
      </c>
      <c r="O28" s="3" t="str">
        <f ca="1">CELL("contenu",INDIRECT(ADDRESS(ref!$K$6,ref!F27,1,,CELL("contenu",$AB$2))))</f>
        <v>C</v>
      </c>
      <c r="P28" s="4" t="str">
        <f ca="1">CELL("contenu",INDIRECT(ADDRESS(ref!$K$6,ref!G27,1,,CELL("contenu",$AB$2))))</f>
        <v>C</v>
      </c>
      <c r="Q28" s="5" t="str">
        <f ca="1">CELL("contenu",INDIRECT(ADDRESS(ref!$K$6,ref!H27,1,,CELL("contenu",$AB$2))))</f>
        <v>C</v>
      </c>
      <c r="R28" s="6" t="str">
        <f ca="1">CELL("contenu",INDIRECT(ADDRESS(ref!$K$7,ref!E27,1,,CELL("contenu",$AB$2))))</f>
        <v>C</v>
      </c>
      <c r="S28" s="3" t="str">
        <f ca="1">CELL("contenu",INDIRECT(ADDRESS(ref!$K$7,ref!F27,1,,CELL("contenu",$AB$2))))</f>
        <v/>
      </c>
      <c r="T28" s="4" t="str">
        <f ca="1">CELL("contenu",INDIRECT(ADDRESS(ref!$K$7,ref!G27,1,,CELL("contenu",$AB$2))))</f>
        <v/>
      </c>
      <c r="U28" s="5" t="str">
        <f ca="1">CELL("contenu",INDIRECT(ADDRESS(ref!$K$7,ref!H27,1,,CELL("contenu",$AB$2))))</f>
        <v>C</v>
      </c>
      <c r="V28" s="41">
        <f ca="1">CELL("contenu",INDIRECT(ADDRESS(ref!$K$8,ref!E27,1,,CELL("contenu",$AB$2))))</f>
        <v>14.166666666666668</v>
      </c>
      <c r="W28" s="42">
        <f ca="1">CELL("contenu",INDIRECT(ADDRESS(ref!$K$8,ref!F27,1,,CELL("contenu",$AB$2))))</f>
        <v>12.5</v>
      </c>
      <c r="X28" s="43">
        <f ca="1">CELL("contenu",INDIRECT(ADDRESS(ref!$K$8,ref!G27,1,,CELL("contenu",$AB$2))))</f>
        <v>14.895833333333332</v>
      </c>
      <c r="Y28" s="7" t="str">
        <f ca="1">CELL("contenu",INDIRECT(ADDRESS(ref!$K$9,ref!H27,1,,CELL("contenu",$AB$2))))</f>
        <v/>
      </c>
      <c r="Z28" s="8" t="str">
        <f ca="1">CELL("contenu",INDIRECT(ADDRESS(ref!$K$10,ref!H27,1,,CELL("contenu",$AB$2))))</f>
        <v>A</v>
      </c>
    </row>
    <row r="29" spans="1:26" x14ac:dyDescent="0.55000000000000004">
      <c r="A29" s="53" t="str">
        <f t="shared" ca="1" si="0"/>
        <v>QUEFFELEC Anatole</v>
      </c>
      <c r="B29" s="2" t="str">
        <f ca="1">CELL("contenu",INDIRECT(ADDRESS(ref!$K$3,ref!E28,1,,CELL("contenu",$AB$2))))</f>
        <v>D</v>
      </c>
      <c r="C29" s="3" t="str">
        <f ca="1">CELL("contenu",INDIRECT(ADDRESS(ref!$K$3,ref!F28,1,,CELL("contenu",$AB$2))))</f>
        <v>C</v>
      </c>
      <c r="D29" s="4" t="str">
        <f ca="1">CELL("contenu",INDIRECT(ADDRESS(ref!$K$3,ref!G28,1,,CELL("contenu",$AB$2))))</f>
        <v>C</v>
      </c>
      <c r="E29" s="5" t="str">
        <f ca="1">CELL("contenu",INDIRECT(ADDRESS(ref!$K$3,ref!H28,1,,CELL("contenu",$AB$2))))</f>
        <v>C</v>
      </c>
      <c r="F29" s="6" t="str">
        <f ca="1">CELL("contenu",INDIRECT(ADDRESS(ref!$K$4,ref!E28,1,,CELL("contenu",$AB$2))))</f>
        <v>B</v>
      </c>
      <c r="G29" s="3" t="str">
        <f ca="1">CELL("contenu",INDIRECT(ADDRESS(ref!$K$4,ref!F28,1,,CELL("contenu",$AB$2))))</f>
        <v/>
      </c>
      <c r="H29" s="4" t="str">
        <f ca="1">CELL("contenu",INDIRECT(ADDRESS(ref!$K$4,ref!G28,1,,CELL("contenu",$AB$2))))</f>
        <v>B</v>
      </c>
      <c r="I29" s="5" t="str">
        <f ca="1">CELL("contenu",INDIRECT(ADDRESS(ref!$K$4,ref!H28,1,,CELL("contenu",$AB$2))))</f>
        <v>B</v>
      </c>
      <c r="J29" s="6" t="str">
        <f ca="1">CELL("contenu",INDIRECT(ADDRESS(ref!$K$5,ref!E28,1,,CELL("contenu",$AB$2))))</f>
        <v/>
      </c>
      <c r="K29" s="3" t="str">
        <f ca="1">CELL("contenu",INDIRECT(ADDRESS(ref!$K$5,ref!F28,1,,CELL("contenu",$AB$2))))</f>
        <v/>
      </c>
      <c r="L29" s="4" t="str">
        <f ca="1">CELL("contenu",INDIRECT(ADDRESS(ref!$K$5,ref!G28,1,,CELL("contenu",$AB$2))))</f>
        <v>A</v>
      </c>
      <c r="M29" s="5" t="str">
        <f ca="1">CELL("contenu",INDIRECT(ADDRESS(ref!$K$5,ref!H28,1,,CELL("contenu",$AB$2))))</f>
        <v>A</v>
      </c>
      <c r="N29" s="6" t="str">
        <f ca="1">CELL("contenu",INDIRECT(ADDRESS(ref!$K$6,ref!E28,1,,CELL("contenu",$AB$2))))</f>
        <v>C</v>
      </c>
      <c r="O29" s="3" t="str">
        <f ca="1">CELL("contenu",INDIRECT(ADDRESS(ref!$K$6,ref!F28,1,,CELL("contenu",$AB$2))))</f>
        <v>D</v>
      </c>
      <c r="P29" s="4" t="str">
        <f ca="1">CELL("contenu",INDIRECT(ADDRESS(ref!$K$6,ref!G28,1,,CELL("contenu",$AB$2))))</f>
        <v>C</v>
      </c>
      <c r="Q29" s="5" t="str">
        <f ca="1">CELL("contenu",INDIRECT(ADDRESS(ref!$K$6,ref!H28,1,,CELL("contenu",$AB$2))))</f>
        <v>C</v>
      </c>
      <c r="R29" s="6" t="str">
        <f ca="1">CELL("contenu",INDIRECT(ADDRESS(ref!$K$7,ref!E28,1,,CELL("contenu",$AB$2))))</f>
        <v>B</v>
      </c>
      <c r="S29" s="3" t="str">
        <f ca="1">CELL("contenu",INDIRECT(ADDRESS(ref!$K$7,ref!F28,1,,CELL("contenu",$AB$2))))</f>
        <v/>
      </c>
      <c r="T29" s="4" t="str">
        <f ca="1">CELL("contenu",INDIRECT(ADDRESS(ref!$K$7,ref!G28,1,,CELL("contenu",$AB$2))))</f>
        <v/>
      </c>
      <c r="U29" s="5" t="str">
        <f ca="1">CELL("contenu",INDIRECT(ADDRESS(ref!$K$7,ref!H28,1,,CELL("contenu",$AB$2))))</f>
        <v>B</v>
      </c>
      <c r="V29" s="41">
        <f ca="1">CELL("contenu",INDIRECT(ADDRESS(ref!$K$8,ref!E28,1,,CELL("contenu",$AB$2))))</f>
        <v>11.041666666666668</v>
      </c>
      <c r="W29" s="42">
        <f ca="1">CELL("contenu",INDIRECT(ADDRESS(ref!$K$8,ref!F28,1,,CELL("contenu",$AB$2))))</f>
        <v>8.75</v>
      </c>
      <c r="X29" s="43">
        <f ca="1">CELL("contenu",INDIRECT(ADDRESS(ref!$K$8,ref!G28,1,,CELL("contenu",$AB$2))))</f>
        <v>14.0625</v>
      </c>
      <c r="Y29" s="7" t="str">
        <f ca="1">CELL("contenu",INDIRECT(ADDRESS(ref!$K$9,ref!H28,1,,CELL("contenu",$AB$2))))</f>
        <v/>
      </c>
      <c r="Z29" s="8" t="str">
        <f ca="1">CELL("contenu",INDIRECT(ADDRESS(ref!$K$10,ref!H28,1,,CELL("contenu",$AB$2))))</f>
        <v>A</v>
      </c>
    </row>
    <row r="30" spans="1:26" x14ac:dyDescent="0.55000000000000004">
      <c r="A30" s="53" t="str">
        <f t="shared" ca="1" si="0"/>
        <v>ROBINEAU-BOURGNEUF Albane</v>
      </c>
      <c r="B30" s="2" t="str">
        <f ca="1">CELL("contenu",INDIRECT(ADDRESS(ref!$K$3,ref!E29,1,,CELL("contenu",$AB$2))))</f>
        <v>C</v>
      </c>
      <c r="C30" s="3" t="str">
        <f ca="1">CELL("contenu",INDIRECT(ADDRESS(ref!$K$3,ref!F29,1,,CELL("contenu",$AB$2))))</f>
        <v>C</v>
      </c>
      <c r="D30" s="4" t="str">
        <f ca="1">CELL("contenu",INDIRECT(ADDRESS(ref!$K$3,ref!G29,1,,CELL("contenu",$AB$2))))</f>
        <v>C</v>
      </c>
      <c r="E30" s="5" t="str">
        <f ca="1">CELL("contenu",INDIRECT(ADDRESS(ref!$K$3,ref!H29,1,,CELL("contenu",$AB$2))))</f>
        <v>C</v>
      </c>
      <c r="F30" s="6" t="str">
        <f ca="1">CELL("contenu",INDIRECT(ADDRESS(ref!$K$4,ref!E29,1,,CELL("contenu",$AB$2))))</f>
        <v>B</v>
      </c>
      <c r="G30" s="3" t="str">
        <f ca="1">CELL("contenu",INDIRECT(ADDRESS(ref!$K$4,ref!F29,1,,CELL("contenu",$AB$2))))</f>
        <v/>
      </c>
      <c r="H30" s="4" t="str">
        <f ca="1">CELL("contenu",INDIRECT(ADDRESS(ref!$K$4,ref!G29,1,,CELL("contenu",$AB$2))))</f>
        <v>A</v>
      </c>
      <c r="I30" s="5" t="str">
        <f ca="1">CELL("contenu",INDIRECT(ADDRESS(ref!$K$4,ref!H29,1,,CELL("contenu",$AB$2))))</f>
        <v>B</v>
      </c>
      <c r="J30" s="6" t="str">
        <f ca="1">CELL("contenu",INDIRECT(ADDRESS(ref!$K$5,ref!E29,1,,CELL("contenu",$AB$2))))</f>
        <v/>
      </c>
      <c r="K30" s="3" t="str">
        <f ca="1">CELL("contenu",INDIRECT(ADDRESS(ref!$K$5,ref!F29,1,,CELL("contenu",$AB$2))))</f>
        <v/>
      </c>
      <c r="L30" s="4" t="str">
        <f ca="1">CELL("contenu",INDIRECT(ADDRESS(ref!$K$5,ref!G29,1,,CELL("contenu",$AB$2))))</f>
        <v>A</v>
      </c>
      <c r="M30" s="5" t="str">
        <f ca="1">CELL("contenu",INDIRECT(ADDRESS(ref!$K$5,ref!H29,1,,CELL("contenu",$AB$2))))</f>
        <v>A</v>
      </c>
      <c r="N30" s="6" t="str">
        <f ca="1">CELL("contenu",INDIRECT(ADDRESS(ref!$K$6,ref!E29,1,,CELL("contenu",$AB$2))))</f>
        <v>B</v>
      </c>
      <c r="O30" s="3" t="str">
        <f ca="1">CELL("contenu",INDIRECT(ADDRESS(ref!$K$6,ref!F29,1,,CELL("contenu",$AB$2))))</f>
        <v>C</v>
      </c>
      <c r="P30" s="4" t="str">
        <f ca="1">CELL("contenu",INDIRECT(ADDRESS(ref!$K$6,ref!G29,1,,CELL("contenu",$AB$2))))</f>
        <v>B</v>
      </c>
      <c r="Q30" s="5" t="str">
        <f ca="1">CELL("contenu",INDIRECT(ADDRESS(ref!$K$6,ref!H29,1,,CELL("contenu",$AB$2))))</f>
        <v>C</v>
      </c>
      <c r="R30" s="6" t="str">
        <f ca="1">CELL("contenu",INDIRECT(ADDRESS(ref!$K$7,ref!E29,1,,CELL("contenu",$AB$2))))</f>
        <v>B</v>
      </c>
      <c r="S30" s="3" t="str">
        <f ca="1">CELL("contenu",INDIRECT(ADDRESS(ref!$K$7,ref!F29,1,,CELL("contenu",$AB$2))))</f>
        <v/>
      </c>
      <c r="T30" s="4" t="str">
        <f ca="1">CELL("contenu",INDIRECT(ADDRESS(ref!$K$7,ref!G29,1,,CELL("contenu",$AB$2))))</f>
        <v/>
      </c>
      <c r="U30" s="5" t="str">
        <f ca="1">CELL("contenu",INDIRECT(ADDRESS(ref!$K$7,ref!H29,1,,CELL("contenu",$AB$2))))</f>
        <v>B</v>
      </c>
      <c r="V30" s="41">
        <f ca="1">CELL("contenu",INDIRECT(ADDRESS(ref!$K$8,ref!E29,1,,CELL("contenu",$AB$2))))</f>
        <v>14.375</v>
      </c>
      <c r="W30" s="42">
        <f ca="1">CELL("contenu",INDIRECT(ADDRESS(ref!$K$8,ref!F29,1,,CELL("contenu",$AB$2))))</f>
        <v>10</v>
      </c>
      <c r="X30" s="43">
        <f ca="1">CELL("contenu",INDIRECT(ADDRESS(ref!$K$8,ref!G29,1,,CELL("contenu",$AB$2))))</f>
        <v>15.208333333333332</v>
      </c>
      <c r="Y30" s="7" t="str">
        <f ca="1">CELL("contenu",INDIRECT(ADDRESS(ref!$K$9,ref!H29,1,,CELL("contenu",$AB$2))))</f>
        <v/>
      </c>
      <c r="Z30" s="8" t="str">
        <f ca="1">CELL("contenu",INDIRECT(ADDRESS(ref!$K$10,ref!H29,1,,CELL("contenu",$AB$2))))</f>
        <v>B</v>
      </c>
    </row>
    <row r="31" spans="1:26" x14ac:dyDescent="0.55000000000000004">
      <c r="A31" s="53" t="str">
        <f t="shared" ca="1" si="0"/>
        <v>ROUSSEAU Philibert</v>
      </c>
      <c r="B31" s="2" t="str">
        <f ca="1">CELL("contenu",INDIRECT(ADDRESS(ref!$K$3,ref!E30,1,,CELL("contenu",$AB$2))))</f>
        <v>C</v>
      </c>
      <c r="C31" s="3" t="str">
        <f ca="1">CELL("contenu",INDIRECT(ADDRESS(ref!$K$3,ref!F30,1,,CELL("contenu",$AB$2))))</f>
        <v>A</v>
      </c>
      <c r="D31" s="4" t="str">
        <f ca="1">CELL("contenu",INDIRECT(ADDRESS(ref!$K$3,ref!G30,1,,CELL("contenu",$AB$2))))</f>
        <v>C</v>
      </c>
      <c r="E31" s="5" t="str">
        <f ca="1">CELL("contenu",INDIRECT(ADDRESS(ref!$K$3,ref!H30,1,,CELL("contenu",$AB$2))))</f>
        <v>C</v>
      </c>
      <c r="F31" s="6" t="str">
        <f ca="1">CELL("contenu",INDIRECT(ADDRESS(ref!$K$4,ref!E30,1,,CELL("contenu",$AB$2))))</f>
        <v>C</v>
      </c>
      <c r="G31" s="3" t="str">
        <f ca="1">CELL("contenu",INDIRECT(ADDRESS(ref!$K$4,ref!F30,1,,CELL("contenu",$AB$2))))</f>
        <v/>
      </c>
      <c r="H31" s="4" t="str">
        <f ca="1">CELL("contenu",INDIRECT(ADDRESS(ref!$K$4,ref!G30,1,,CELL("contenu",$AB$2))))</f>
        <v>B</v>
      </c>
      <c r="I31" s="5" t="str">
        <f ca="1">CELL("contenu",INDIRECT(ADDRESS(ref!$K$4,ref!H30,1,,CELL("contenu",$AB$2))))</f>
        <v>B</v>
      </c>
      <c r="J31" s="6" t="str">
        <f ca="1">CELL("contenu",INDIRECT(ADDRESS(ref!$K$5,ref!E30,1,,CELL("contenu",$AB$2))))</f>
        <v/>
      </c>
      <c r="K31" s="3" t="str">
        <f ca="1">CELL("contenu",INDIRECT(ADDRESS(ref!$K$5,ref!F30,1,,CELL("contenu",$AB$2))))</f>
        <v/>
      </c>
      <c r="L31" s="4" t="str">
        <f ca="1">CELL("contenu",INDIRECT(ADDRESS(ref!$K$5,ref!G30,1,,CELL("contenu",$AB$2))))</f>
        <v>A</v>
      </c>
      <c r="M31" s="5" t="str">
        <f ca="1">CELL("contenu",INDIRECT(ADDRESS(ref!$K$5,ref!H30,1,,CELL("contenu",$AB$2))))</f>
        <v>A</v>
      </c>
      <c r="N31" s="6" t="str">
        <f ca="1">CELL("contenu",INDIRECT(ADDRESS(ref!$K$6,ref!E30,1,,CELL("contenu",$AB$2))))</f>
        <v>A</v>
      </c>
      <c r="O31" s="3" t="str">
        <f ca="1">CELL("contenu",INDIRECT(ADDRESS(ref!$K$6,ref!F30,1,,CELL("contenu",$AB$2))))</f>
        <v>B</v>
      </c>
      <c r="P31" s="4" t="str">
        <f ca="1">CELL("contenu",INDIRECT(ADDRESS(ref!$K$6,ref!G30,1,,CELL("contenu",$AB$2))))</f>
        <v>B</v>
      </c>
      <c r="Q31" s="5" t="str">
        <f ca="1">CELL("contenu",INDIRECT(ADDRESS(ref!$K$6,ref!H30,1,,CELL("contenu",$AB$2))))</f>
        <v>B</v>
      </c>
      <c r="R31" s="6" t="str">
        <f ca="1">CELL("contenu",INDIRECT(ADDRESS(ref!$K$7,ref!E30,1,,CELL("contenu",$AB$2))))</f>
        <v>B</v>
      </c>
      <c r="S31" s="3" t="str">
        <f ca="1">CELL("contenu",INDIRECT(ADDRESS(ref!$K$7,ref!F30,1,,CELL("contenu",$AB$2))))</f>
        <v/>
      </c>
      <c r="T31" s="4" t="str">
        <f ca="1">CELL("contenu",INDIRECT(ADDRESS(ref!$K$7,ref!G30,1,,CELL("contenu",$AB$2))))</f>
        <v/>
      </c>
      <c r="U31" s="5" t="str">
        <f ca="1">CELL("contenu",INDIRECT(ADDRESS(ref!$K$7,ref!H30,1,,CELL("contenu",$AB$2))))</f>
        <v>B</v>
      </c>
      <c r="V31" s="41">
        <f ca="1">CELL("contenu",INDIRECT(ADDRESS(ref!$K$8,ref!E30,1,,CELL("contenu",$AB$2))))</f>
        <v>16.041666666666668</v>
      </c>
      <c r="W31" s="42">
        <f ca="1">CELL("contenu",INDIRECT(ADDRESS(ref!$K$8,ref!F30,1,,CELL("contenu",$AB$2))))</f>
        <v>18.75</v>
      </c>
      <c r="X31" s="43">
        <f ca="1">CELL("contenu",INDIRECT(ADDRESS(ref!$K$8,ref!G30,1,,CELL("contenu",$AB$2))))</f>
        <v>15.520833333333332</v>
      </c>
      <c r="Y31" s="7" t="str">
        <f ca="1">CELL("contenu",INDIRECT(ADDRESS(ref!$K$9,ref!H30,1,,CELL("contenu",$AB$2))))</f>
        <v/>
      </c>
      <c r="Z31" s="8" t="str">
        <f ca="1">CELL("contenu",INDIRECT(ADDRESS(ref!$K$10,ref!H30,1,,CELL("contenu",$AB$2))))</f>
        <v>A</v>
      </c>
    </row>
  </sheetData>
  <sheetProtection algorithmName="SHA-512" hashValue="LicHunesiicOE+Owzr4hMPmTVashmyjvC/yTfWEHxlMsT8UQ6zHr21RrDuE7cxNkWk3ySiTwFRY49rfbzwIDAQ==" saltValue="QX0kb56hiHnwZ0zl/0l//A==" spinCount="100000" sheet="1" selectLockedCells="1"/>
  <mergeCells count="9">
    <mergeCell ref="B1:Z1"/>
    <mergeCell ref="A2:A3"/>
    <mergeCell ref="B2:E2"/>
    <mergeCell ref="F2:I2"/>
    <mergeCell ref="J2:M2"/>
    <mergeCell ref="N2:Q2"/>
    <mergeCell ref="R2:U2"/>
    <mergeCell ref="V2:X2"/>
    <mergeCell ref="Y2:Z2"/>
  </mergeCells>
  <pageMargins left="0.7" right="0.7" top="0.75" bottom="0.75" header="0.3" footer="0.3"/>
  <pageSetup paperSize="9"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:WZ24"/>
  <sheetViews>
    <sheetView topLeftCell="A2" zoomScale="80" zoomScaleNormal="80" workbookViewId="0">
      <pane xSplit="2" topLeftCell="UX1" activePane="topRight" state="frozen"/>
      <selection activeCell="A5" sqref="A5:B5"/>
      <selection pane="topRight" activeCell="VN19" sqref="VN19"/>
    </sheetView>
  </sheetViews>
  <sheetFormatPr baseColWidth="10" defaultColWidth="5.68359375" defaultRowHeight="14.4" x14ac:dyDescent="0.55000000000000004"/>
  <cols>
    <col min="1" max="1" width="17.68359375" style="148" customWidth="1"/>
    <col min="2" max="2" width="13.68359375" style="148" customWidth="1"/>
    <col min="3" max="5" width="4.68359375" style="139" customWidth="1"/>
    <col min="6" max="6" width="4.68359375" style="171" customWidth="1"/>
    <col min="7" max="7" width="8.68359375" style="172" customWidth="1"/>
    <col min="8" max="11" width="4.68359375" style="138" customWidth="1"/>
    <col min="12" max="12" width="4.68359375" style="172" customWidth="1"/>
    <col min="13" max="13" width="8.68359375" style="172" customWidth="1"/>
    <col min="14" max="19" width="4.68359375" style="138" customWidth="1"/>
    <col min="20" max="20" width="4.68359375" style="172" customWidth="1"/>
    <col min="21" max="21" width="8.68359375" style="172" customWidth="1"/>
    <col min="22" max="22" width="4.68359375" style="172" customWidth="1"/>
    <col min="23" max="23" width="8.68359375" style="172" customWidth="1"/>
    <col min="24" max="26" width="4.68359375" style="139" customWidth="1"/>
    <col min="27" max="27" width="4.68359375" style="171" customWidth="1"/>
    <col min="28" max="28" width="8.68359375" style="172" customWidth="1"/>
    <col min="29" max="32" width="4.68359375" style="138" customWidth="1"/>
    <col min="33" max="33" width="4.68359375" style="172" customWidth="1"/>
    <col min="34" max="34" width="8.68359375" style="172" customWidth="1"/>
    <col min="35" max="40" width="4.68359375" style="138" customWidth="1"/>
    <col min="41" max="41" width="4.68359375" style="172" customWidth="1"/>
    <col min="42" max="42" width="8.68359375" style="172" customWidth="1"/>
    <col min="43" max="43" width="4.68359375" style="172" customWidth="1"/>
    <col min="44" max="44" width="8.68359375" style="172" customWidth="1"/>
    <col min="45" max="48" width="4.68359375" style="139" customWidth="1"/>
    <col min="49" max="49" width="8.68359375" style="137" customWidth="1"/>
    <col min="50" max="53" width="4.68359375" style="138" customWidth="1"/>
    <col min="54" max="54" width="4.68359375" style="137" customWidth="1"/>
    <col min="55" max="55" width="8.68359375" style="137" customWidth="1"/>
    <col min="56" max="61" width="4.68359375" style="138" customWidth="1"/>
    <col min="62" max="62" width="4.68359375" style="137" customWidth="1"/>
    <col min="63" max="63" width="8.68359375" style="137" customWidth="1"/>
    <col min="64" max="64" width="4.68359375" style="137" customWidth="1"/>
    <col min="65" max="65" width="8.68359375" style="137" customWidth="1"/>
    <col min="66" max="69" width="4.68359375" style="139" customWidth="1"/>
    <col min="70" max="70" width="8.68359375" style="137" customWidth="1"/>
    <col min="71" max="74" width="4.68359375" style="138" customWidth="1"/>
    <col min="75" max="75" width="4.68359375" style="137" customWidth="1"/>
    <col min="76" max="76" width="8.68359375" style="137" customWidth="1"/>
    <col min="77" max="82" width="4.68359375" style="138" customWidth="1"/>
    <col min="83" max="83" width="4.68359375" style="137" customWidth="1"/>
    <col min="84" max="84" width="8.68359375" style="137" customWidth="1"/>
    <col min="85" max="85" width="4.68359375" style="137" customWidth="1"/>
    <col min="86" max="86" width="8.68359375" style="137" customWidth="1"/>
    <col min="87" max="90" width="4.68359375" style="139" customWidth="1"/>
    <col min="91" max="91" width="8.68359375" style="137" customWidth="1"/>
    <col min="92" max="95" width="4.68359375" style="138" customWidth="1"/>
    <col min="96" max="96" width="4.68359375" style="137" customWidth="1"/>
    <col min="97" max="97" width="8.68359375" style="137" customWidth="1"/>
    <col min="98" max="103" width="4.68359375" style="138" customWidth="1"/>
    <col min="104" max="104" width="4.68359375" style="137" customWidth="1"/>
    <col min="105" max="105" width="8.68359375" style="137" customWidth="1"/>
    <col min="106" max="106" width="4.68359375" style="137" customWidth="1"/>
    <col min="107" max="107" width="8.68359375" style="137" customWidth="1"/>
    <col min="108" max="111" width="4.68359375" style="139" customWidth="1"/>
    <col min="112" max="112" width="8.68359375" style="137" customWidth="1"/>
    <col min="113" max="116" width="4.68359375" style="138" customWidth="1"/>
    <col min="117" max="117" width="4.68359375" style="137" customWidth="1"/>
    <col min="118" max="118" width="8.68359375" style="137" customWidth="1"/>
    <col min="119" max="124" width="4.68359375" style="138" customWidth="1"/>
    <col min="125" max="125" width="4.68359375" style="137" customWidth="1"/>
    <col min="126" max="126" width="8.68359375" style="137" customWidth="1"/>
    <col min="127" max="127" width="4.68359375" style="137" customWidth="1"/>
    <col min="128" max="128" width="8.68359375" style="137" customWidth="1"/>
    <col min="129" max="132" width="4.68359375" style="139" customWidth="1"/>
    <col min="133" max="133" width="8.68359375" style="137" customWidth="1"/>
    <col min="134" max="137" width="4.68359375" style="138" customWidth="1"/>
    <col min="138" max="138" width="4.68359375" style="137" customWidth="1"/>
    <col min="139" max="139" width="8.68359375" style="137" customWidth="1"/>
    <col min="140" max="145" width="4.68359375" style="138" customWidth="1"/>
    <col min="146" max="146" width="4.68359375" style="137" customWidth="1"/>
    <col min="147" max="147" width="8.68359375" style="137" customWidth="1"/>
    <col min="148" max="148" width="4.68359375" style="137" customWidth="1"/>
    <col min="149" max="149" width="8.68359375" style="137" customWidth="1"/>
    <col min="150" max="153" width="4.68359375" style="139" customWidth="1"/>
    <col min="154" max="154" width="8.68359375" style="137" customWidth="1"/>
    <col min="155" max="158" width="4.68359375" style="138" customWidth="1"/>
    <col min="159" max="159" width="4.68359375" style="137" customWidth="1"/>
    <col min="160" max="160" width="8.68359375" style="137" customWidth="1"/>
    <col min="161" max="166" width="4.68359375" style="138" customWidth="1"/>
    <col min="167" max="167" width="4.68359375" style="137" customWidth="1"/>
    <col min="168" max="168" width="8.68359375" style="137" customWidth="1"/>
    <col min="169" max="169" width="4.68359375" style="137" customWidth="1"/>
    <col min="170" max="170" width="8.68359375" style="137" customWidth="1"/>
    <col min="171" max="174" width="4.68359375" style="139" customWidth="1"/>
    <col min="175" max="175" width="8.68359375" style="137" customWidth="1"/>
    <col min="176" max="179" width="4.68359375" style="138" customWidth="1"/>
    <col min="180" max="180" width="4.68359375" style="137" customWidth="1"/>
    <col min="181" max="181" width="8.68359375" style="137" customWidth="1"/>
    <col min="182" max="187" width="4.68359375" style="138" customWidth="1"/>
    <col min="188" max="188" width="4.68359375" style="137" customWidth="1"/>
    <col min="189" max="189" width="8.68359375" style="137" customWidth="1"/>
    <col min="190" max="190" width="4.68359375" style="137" customWidth="1"/>
    <col min="191" max="191" width="8.68359375" style="137" customWidth="1"/>
    <col min="192" max="195" width="4.68359375" style="139" customWidth="1"/>
    <col min="196" max="196" width="8.68359375" style="137" customWidth="1"/>
    <col min="197" max="200" width="4.68359375" style="138" customWidth="1"/>
    <col min="201" max="201" width="4.68359375" style="137" customWidth="1"/>
    <col min="202" max="202" width="8.68359375" style="137" customWidth="1"/>
    <col min="203" max="208" width="4.68359375" style="138" customWidth="1"/>
    <col min="209" max="209" width="4.68359375" style="137" customWidth="1"/>
    <col min="210" max="210" width="8.68359375" style="137" customWidth="1"/>
    <col min="211" max="211" width="4.68359375" style="137" customWidth="1"/>
    <col min="212" max="212" width="8.68359375" style="137" customWidth="1"/>
    <col min="213" max="216" width="4.68359375" style="139" customWidth="1"/>
    <col min="217" max="217" width="8.68359375" style="137" customWidth="1"/>
    <col min="218" max="221" width="4.68359375" style="138" customWidth="1"/>
    <col min="222" max="222" width="4.68359375" style="137" customWidth="1"/>
    <col min="223" max="223" width="8.68359375" style="137" customWidth="1"/>
    <col min="224" max="229" width="4.68359375" style="138" customWidth="1"/>
    <col min="230" max="230" width="4.68359375" style="137" customWidth="1"/>
    <col min="231" max="231" width="8.68359375" style="137" customWidth="1"/>
    <col min="232" max="232" width="4.68359375" style="137" customWidth="1"/>
    <col min="233" max="233" width="8.68359375" style="137" customWidth="1"/>
    <col min="234" max="237" width="4.68359375" style="139" customWidth="1"/>
    <col min="238" max="238" width="8.68359375" style="137" customWidth="1"/>
    <col min="239" max="242" width="4.68359375" style="138" customWidth="1"/>
    <col min="243" max="243" width="4.68359375" style="137" customWidth="1"/>
    <col min="244" max="244" width="8.68359375" style="137" customWidth="1"/>
    <col min="245" max="250" width="4.68359375" style="138" customWidth="1"/>
    <col min="251" max="251" width="4.68359375" style="137" customWidth="1"/>
    <col min="252" max="252" width="8.68359375" style="137" customWidth="1"/>
    <col min="253" max="253" width="4.68359375" style="137" customWidth="1"/>
    <col min="254" max="254" width="8.68359375" style="137" customWidth="1"/>
    <col min="255" max="258" width="4.68359375" style="139" customWidth="1"/>
    <col min="259" max="259" width="8.68359375" style="137" customWidth="1"/>
    <col min="260" max="263" width="4.68359375" style="138" customWidth="1"/>
    <col min="264" max="264" width="4.68359375" style="137" customWidth="1"/>
    <col min="265" max="265" width="8.68359375" style="137" customWidth="1"/>
    <col min="266" max="271" width="4.68359375" style="138" customWidth="1"/>
    <col min="272" max="272" width="4.68359375" style="137" customWidth="1"/>
    <col min="273" max="273" width="8.68359375" style="137" customWidth="1"/>
    <col min="274" max="274" width="4.68359375" style="137" customWidth="1"/>
    <col min="275" max="275" width="8.68359375" style="137" customWidth="1"/>
    <col min="276" max="279" width="4.68359375" style="139" customWidth="1"/>
    <col min="280" max="280" width="8.68359375" style="137" customWidth="1"/>
    <col min="281" max="284" width="4.68359375" style="138" customWidth="1"/>
    <col min="285" max="285" width="4.68359375" style="137" customWidth="1"/>
    <col min="286" max="286" width="8.68359375" style="137" customWidth="1"/>
    <col min="287" max="292" width="4.68359375" style="138" customWidth="1"/>
    <col min="293" max="293" width="4.68359375" style="137" customWidth="1"/>
    <col min="294" max="294" width="8.68359375" style="137" customWidth="1"/>
    <col min="295" max="295" width="4.68359375" style="137" customWidth="1"/>
    <col min="296" max="296" width="8.68359375" style="137" customWidth="1"/>
    <col min="297" max="300" width="4.68359375" style="139" customWidth="1"/>
    <col min="301" max="301" width="8.68359375" style="137" customWidth="1"/>
    <col min="302" max="305" width="4.68359375" style="138" customWidth="1"/>
    <col min="306" max="306" width="4.68359375" style="137" customWidth="1"/>
    <col min="307" max="307" width="8.68359375" style="137" customWidth="1"/>
    <col min="308" max="313" width="4.68359375" style="138" customWidth="1"/>
    <col min="314" max="314" width="4.68359375" style="137" customWidth="1"/>
    <col min="315" max="315" width="8.68359375" style="137" customWidth="1"/>
    <col min="316" max="316" width="4.68359375" style="137" customWidth="1"/>
    <col min="317" max="317" width="8.68359375" style="137" customWidth="1"/>
    <col min="318" max="321" width="4.68359375" style="139" customWidth="1"/>
    <col min="322" max="322" width="8.68359375" style="137" customWidth="1"/>
    <col min="323" max="326" width="4.68359375" style="138" customWidth="1"/>
    <col min="327" max="327" width="4.68359375" style="137" customWidth="1"/>
    <col min="328" max="328" width="8.68359375" style="137" customWidth="1"/>
    <col min="329" max="334" width="4.68359375" style="138" customWidth="1"/>
    <col min="335" max="335" width="4.68359375" style="137" customWidth="1"/>
    <col min="336" max="336" width="8.68359375" style="137" customWidth="1"/>
    <col min="337" max="337" width="4.68359375" style="137" customWidth="1"/>
    <col min="338" max="338" width="8.68359375" style="137" customWidth="1"/>
    <col min="339" max="342" width="4.68359375" style="139" customWidth="1"/>
    <col min="343" max="343" width="8.68359375" style="137" customWidth="1"/>
    <col min="344" max="347" width="4.68359375" style="138" customWidth="1"/>
    <col min="348" max="348" width="4.68359375" style="137" customWidth="1"/>
    <col min="349" max="349" width="8.68359375" style="137" customWidth="1"/>
    <col min="350" max="355" width="4.68359375" style="138" customWidth="1"/>
    <col min="356" max="356" width="4.68359375" style="137" customWidth="1"/>
    <col min="357" max="357" width="8.68359375" style="137" customWidth="1"/>
    <col min="358" max="358" width="4.68359375" style="137" customWidth="1"/>
    <col min="359" max="359" width="8.68359375" style="137" customWidth="1"/>
    <col min="360" max="363" width="4.68359375" style="139" customWidth="1"/>
    <col min="364" max="364" width="8.68359375" style="137" customWidth="1"/>
    <col min="365" max="368" width="4.68359375" style="138" customWidth="1"/>
    <col min="369" max="369" width="4.68359375" style="137" customWidth="1"/>
    <col min="370" max="370" width="8.68359375" style="137" customWidth="1"/>
    <col min="371" max="376" width="4.68359375" style="138" customWidth="1"/>
    <col min="377" max="377" width="4.68359375" style="137" customWidth="1"/>
    <col min="378" max="378" width="8.68359375" style="137" customWidth="1"/>
    <col min="379" max="379" width="4.68359375" style="137" customWidth="1"/>
    <col min="380" max="380" width="8.68359375" style="137" customWidth="1"/>
    <col min="381" max="384" width="4.68359375" style="139" customWidth="1"/>
    <col min="385" max="385" width="8.68359375" style="137" customWidth="1"/>
    <col min="386" max="389" width="4.68359375" style="138" customWidth="1"/>
    <col min="390" max="390" width="4.68359375" style="137" customWidth="1"/>
    <col min="391" max="391" width="8.68359375" style="137" customWidth="1"/>
    <col min="392" max="397" width="4.68359375" style="138" customWidth="1"/>
    <col min="398" max="398" width="4.68359375" style="137" customWidth="1"/>
    <col min="399" max="399" width="8.68359375" style="137" customWidth="1"/>
    <col min="400" max="400" width="4.68359375" style="137" customWidth="1"/>
    <col min="401" max="401" width="8.68359375" style="137" customWidth="1"/>
    <col min="402" max="405" width="4.68359375" style="139" customWidth="1"/>
    <col min="406" max="406" width="8.68359375" style="137" customWidth="1"/>
    <col min="407" max="410" width="4.68359375" style="138" customWidth="1"/>
    <col min="411" max="411" width="4.68359375" style="137" customWidth="1"/>
    <col min="412" max="412" width="8.68359375" style="137" customWidth="1"/>
    <col min="413" max="418" width="4.68359375" style="138" customWidth="1"/>
    <col min="419" max="419" width="4.68359375" style="137" customWidth="1"/>
    <col min="420" max="420" width="8.68359375" style="137" customWidth="1"/>
    <col min="421" max="421" width="4.68359375" style="137" customWidth="1"/>
    <col min="422" max="422" width="8.68359375" style="137" customWidth="1"/>
    <col min="423" max="426" width="4.68359375" style="139" customWidth="1"/>
    <col min="427" max="427" width="8.68359375" style="137" customWidth="1"/>
    <col min="428" max="431" width="4.68359375" style="138" customWidth="1"/>
    <col min="432" max="432" width="4.68359375" style="137" customWidth="1"/>
    <col min="433" max="433" width="8.68359375" style="137" customWidth="1"/>
    <col min="434" max="439" width="4.68359375" style="138" customWidth="1"/>
    <col min="440" max="440" width="4.68359375" style="137" customWidth="1"/>
    <col min="441" max="441" width="8.68359375" style="137" customWidth="1"/>
    <col min="442" max="442" width="4.68359375" style="137" customWidth="1"/>
    <col min="443" max="443" width="8.68359375" style="137" customWidth="1"/>
    <col min="444" max="447" width="4.68359375" style="139" customWidth="1"/>
    <col min="448" max="448" width="8.68359375" style="137" customWidth="1"/>
    <col min="449" max="452" width="4.68359375" style="138" customWidth="1"/>
    <col min="453" max="453" width="4.68359375" style="137" customWidth="1"/>
    <col min="454" max="454" width="8.68359375" style="137" customWidth="1"/>
    <col min="455" max="460" width="4.68359375" style="138" customWidth="1"/>
    <col min="461" max="461" width="4.68359375" style="137" customWidth="1"/>
    <col min="462" max="462" width="8.68359375" style="137" customWidth="1"/>
    <col min="463" max="463" width="4.68359375" style="137" customWidth="1"/>
    <col min="464" max="464" width="8.68359375" style="137" customWidth="1"/>
    <col min="465" max="468" width="4.68359375" style="139" customWidth="1"/>
    <col min="469" max="469" width="8.68359375" style="137" customWidth="1"/>
    <col min="470" max="473" width="4.68359375" style="138" customWidth="1"/>
    <col min="474" max="474" width="4.68359375" style="137" customWidth="1"/>
    <col min="475" max="475" width="8.68359375" style="137" customWidth="1"/>
    <col min="476" max="481" width="4.68359375" style="138" customWidth="1"/>
    <col min="482" max="482" width="4.68359375" style="137" customWidth="1"/>
    <col min="483" max="483" width="8.68359375" style="137" customWidth="1"/>
    <col min="484" max="484" width="4.68359375" style="137" customWidth="1"/>
    <col min="485" max="485" width="8.68359375" style="137" customWidth="1"/>
    <col min="486" max="489" width="4.68359375" style="139" customWidth="1"/>
    <col min="490" max="490" width="8.68359375" style="137" customWidth="1"/>
    <col min="491" max="494" width="4.68359375" style="138" customWidth="1"/>
    <col min="495" max="495" width="4.68359375" style="137" customWidth="1"/>
    <col min="496" max="496" width="8.68359375" style="137" customWidth="1"/>
    <col min="497" max="502" width="4.68359375" style="138" customWidth="1"/>
    <col min="503" max="503" width="4.68359375" style="137" customWidth="1"/>
    <col min="504" max="504" width="8.68359375" style="137" customWidth="1"/>
    <col min="505" max="505" width="4.68359375" style="137" customWidth="1"/>
    <col min="506" max="506" width="8.68359375" style="137" customWidth="1"/>
    <col min="507" max="510" width="4.68359375" style="139" customWidth="1"/>
    <col min="511" max="511" width="8.68359375" style="137" customWidth="1"/>
    <col min="512" max="515" width="4.68359375" style="138" customWidth="1"/>
    <col min="516" max="516" width="4.68359375" style="137" customWidth="1"/>
    <col min="517" max="517" width="8.68359375" style="137" customWidth="1"/>
    <col min="518" max="523" width="4.68359375" style="138" customWidth="1"/>
    <col min="524" max="524" width="4.68359375" style="137" customWidth="1"/>
    <col min="525" max="525" width="8.68359375" style="137" customWidth="1"/>
    <col min="526" max="526" width="4.68359375" style="137" customWidth="1"/>
    <col min="527" max="527" width="8.68359375" style="137" customWidth="1"/>
    <col min="528" max="531" width="4.68359375" style="139" customWidth="1"/>
    <col min="532" max="532" width="8.68359375" style="137" customWidth="1"/>
    <col min="533" max="536" width="4.68359375" style="138" customWidth="1"/>
    <col min="537" max="537" width="4.68359375" style="137" customWidth="1"/>
    <col min="538" max="538" width="8.68359375" style="137" customWidth="1"/>
    <col min="539" max="544" width="4.68359375" style="138" customWidth="1"/>
    <col min="545" max="545" width="4.68359375" style="137" customWidth="1"/>
    <col min="546" max="546" width="8.68359375" style="137" customWidth="1"/>
    <col min="547" max="547" width="4.68359375" style="137" customWidth="1"/>
    <col min="548" max="548" width="8.68359375" style="137" customWidth="1"/>
    <col min="549" max="552" width="4.68359375" style="139" customWidth="1"/>
    <col min="553" max="553" width="8.68359375" style="137" customWidth="1"/>
    <col min="554" max="557" width="4.68359375" style="138" customWidth="1"/>
    <col min="558" max="558" width="4.68359375" style="137" customWidth="1"/>
    <col min="559" max="559" width="8.68359375" style="137" customWidth="1"/>
    <col min="560" max="565" width="4.68359375" style="138" customWidth="1"/>
    <col min="566" max="566" width="4.68359375" style="137" customWidth="1"/>
    <col min="567" max="567" width="8.68359375" style="137" customWidth="1"/>
    <col min="568" max="568" width="4.68359375" style="137" customWidth="1"/>
    <col min="569" max="569" width="8.68359375" style="137" customWidth="1"/>
    <col min="570" max="573" width="4.68359375" style="139" customWidth="1"/>
    <col min="574" max="574" width="8.68359375" style="137" customWidth="1"/>
    <col min="575" max="578" width="4.68359375" style="138" customWidth="1"/>
    <col min="579" max="579" width="4.68359375" style="137" customWidth="1"/>
    <col min="580" max="580" width="8.68359375" style="137" customWidth="1"/>
    <col min="581" max="586" width="4.68359375" style="138" customWidth="1"/>
    <col min="587" max="587" width="4.68359375" style="137" customWidth="1"/>
    <col min="588" max="588" width="8.68359375" style="137" customWidth="1"/>
    <col min="589" max="589" width="4.68359375" style="137" customWidth="1"/>
    <col min="590" max="590" width="8.68359375" style="137" customWidth="1"/>
    <col min="591" max="594" width="4.68359375" style="139" customWidth="1"/>
    <col min="595" max="595" width="8.68359375" style="137" customWidth="1"/>
    <col min="596" max="598" width="4.68359375" style="138" customWidth="1"/>
    <col min="599" max="599" width="4.68359375" style="137" customWidth="1"/>
    <col min="600" max="600" width="8.68359375" style="137" customWidth="1"/>
    <col min="601" max="603" width="4.68359375" style="138" customWidth="1"/>
    <col min="604" max="604" width="4.68359375" style="137" customWidth="1"/>
    <col min="605" max="605" width="8.68359375" style="137" customWidth="1"/>
    <col min="606" max="606" width="4.68359375" style="137" customWidth="1"/>
    <col min="607" max="607" width="8.68359375" style="137" customWidth="1"/>
    <col min="608" max="611" width="4.68359375" style="139" customWidth="1"/>
    <col min="612" max="612" width="8.68359375" style="137" customWidth="1"/>
    <col min="613" max="615" width="4.68359375" style="138" customWidth="1"/>
    <col min="616" max="616" width="4.68359375" style="137" customWidth="1"/>
    <col min="617" max="617" width="8.68359375" style="137" customWidth="1"/>
    <col min="618" max="620" width="4.68359375" style="138" customWidth="1"/>
    <col min="621" max="621" width="4.68359375" style="137" customWidth="1"/>
    <col min="622" max="622" width="8.68359375" style="137" customWidth="1"/>
    <col min="623" max="623" width="4.68359375" style="137" customWidth="1"/>
    <col min="624" max="624" width="8.68359375" style="137" customWidth="1"/>
    <col min="625" max="16384" width="5.68359375" style="64"/>
  </cols>
  <sheetData>
    <row r="1" spans="1:624" ht="18" customHeight="1" thickBot="1" x14ac:dyDescent="0.6">
      <c r="A1" s="219" t="s">
        <v>42</v>
      </c>
      <c r="B1" s="220"/>
      <c r="C1" s="150">
        <v>4</v>
      </c>
      <c r="D1" s="60"/>
      <c r="E1" s="60"/>
      <c r="F1" s="155"/>
      <c r="G1" s="156"/>
      <c r="H1" s="154"/>
      <c r="I1" s="62"/>
      <c r="J1" s="62"/>
      <c r="K1" s="62"/>
      <c r="L1" s="156"/>
      <c r="M1" s="156"/>
      <c r="N1" s="154"/>
      <c r="O1" s="62"/>
      <c r="P1" s="62"/>
      <c r="Q1" s="62"/>
      <c r="R1" s="62"/>
      <c r="S1" s="62"/>
      <c r="T1" s="156"/>
      <c r="U1" s="156"/>
      <c r="V1" s="156"/>
      <c r="W1" s="177"/>
      <c r="X1" s="194">
        <f>C1+1</f>
        <v>5</v>
      </c>
      <c r="Y1" s="60"/>
      <c r="Z1" s="60"/>
      <c r="AA1" s="155"/>
      <c r="AB1" s="156"/>
      <c r="AC1" s="154"/>
      <c r="AD1" s="62"/>
      <c r="AE1" s="62"/>
      <c r="AF1" s="62"/>
      <c r="AG1" s="156"/>
      <c r="AH1" s="156"/>
      <c r="AI1" s="154"/>
      <c r="AJ1" s="62"/>
      <c r="AK1" s="62"/>
      <c r="AL1" s="62"/>
      <c r="AM1" s="62"/>
      <c r="AN1" s="62"/>
      <c r="AO1" s="156"/>
      <c r="AP1" s="156"/>
      <c r="AQ1" s="156"/>
      <c r="AR1" s="156"/>
      <c r="AS1" s="194">
        <f>X1+1</f>
        <v>6</v>
      </c>
      <c r="AT1" s="60"/>
      <c r="AU1" s="60"/>
      <c r="AV1" s="155"/>
      <c r="AW1" s="156"/>
      <c r="AX1" s="154"/>
      <c r="AY1" s="62"/>
      <c r="AZ1" s="62"/>
      <c r="BA1" s="62"/>
      <c r="BB1" s="156"/>
      <c r="BC1" s="156"/>
      <c r="BD1" s="154"/>
      <c r="BE1" s="62"/>
      <c r="BF1" s="62"/>
      <c r="BG1" s="62"/>
      <c r="BH1" s="62"/>
      <c r="BI1" s="62"/>
      <c r="BJ1" s="156"/>
      <c r="BK1" s="156"/>
      <c r="BL1" s="156"/>
      <c r="BM1" s="156"/>
      <c r="BN1" s="194">
        <f>AS1+1</f>
        <v>7</v>
      </c>
      <c r="BO1" s="60"/>
      <c r="BP1" s="60"/>
      <c r="BQ1" s="155"/>
      <c r="BR1" s="156"/>
      <c r="BS1" s="154"/>
      <c r="BT1" s="62"/>
      <c r="BU1" s="62"/>
      <c r="BV1" s="62"/>
      <c r="BW1" s="156"/>
      <c r="BX1" s="156"/>
      <c r="BY1" s="154"/>
      <c r="BZ1" s="62"/>
      <c r="CA1" s="62"/>
      <c r="CB1" s="62"/>
      <c r="CC1" s="62"/>
      <c r="CD1" s="62"/>
      <c r="CE1" s="156"/>
      <c r="CF1" s="156"/>
      <c r="CG1" s="156"/>
      <c r="CH1" s="156"/>
      <c r="CI1" s="194">
        <f>BN1+1</f>
        <v>8</v>
      </c>
      <c r="CJ1" s="60"/>
      <c r="CK1" s="60"/>
      <c r="CL1" s="155"/>
      <c r="CM1" s="156"/>
      <c r="CN1" s="154"/>
      <c r="CO1" s="62"/>
      <c r="CP1" s="62"/>
      <c r="CQ1" s="62"/>
      <c r="CR1" s="156"/>
      <c r="CS1" s="156"/>
      <c r="CT1" s="154"/>
      <c r="CU1" s="62"/>
      <c r="CV1" s="62"/>
      <c r="CW1" s="62"/>
      <c r="CX1" s="62"/>
      <c r="CY1" s="62"/>
      <c r="CZ1" s="156"/>
      <c r="DA1" s="156"/>
      <c r="DB1" s="156"/>
      <c r="DC1" s="156"/>
      <c r="DD1" s="194">
        <f>CI1+1</f>
        <v>9</v>
      </c>
      <c r="DE1" s="60"/>
      <c r="DF1" s="60"/>
      <c r="DG1" s="155"/>
      <c r="DH1" s="156"/>
      <c r="DI1" s="154"/>
      <c r="DJ1" s="62"/>
      <c r="DK1" s="62"/>
      <c r="DL1" s="62"/>
      <c r="DM1" s="156"/>
      <c r="DN1" s="156"/>
      <c r="DO1" s="154"/>
      <c r="DP1" s="62"/>
      <c r="DQ1" s="62"/>
      <c r="DR1" s="62"/>
      <c r="DS1" s="62"/>
      <c r="DT1" s="62"/>
      <c r="DU1" s="156"/>
      <c r="DV1" s="156"/>
      <c r="DW1" s="156"/>
      <c r="DX1" s="156"/>
      <c r="DY1" s="194">
        <f>DD1+1</f>
        <v>10</v>
      </c>
      <c r="DZ1" s="60"/>
      <c r="EA1" s="60"/>
      <c r="EB1" s="155"/>
      <c r="EC1" s="156"/>
      <c r="ED1" s="154"/>
      <c r="EE1" s="62"/>
      <c r="EF1" s="62"/>
      <c r="EG1" s="62"/>
      <c r="EH1" s="156"/>
      <c r="EI1" s="156"/>
      <c r="EJ1" s="154"/>
      <c r="EK1" s="62"/>
      <c r="EL1" s="62"/>
      <c r="EM1" s="62"/>
      <c r="EN1" s="62"/>
      <c r="EO1" s="62"/>
      <c r="EP1" s="156"/>
      <c r="EQ1" s="156"/>
      <c r="ER1" s="156"/>
      <c r="ES1" s="156"/>
      <c r="ET1" s="194">
        <f>DY1+1</f>
        <v>11</v>
      </c>
      <c r="EU1" s="60"/>
      <c r="EV1" s="60"/>
      <c r="EW1" s="155"/>
      <c r="EX1" s="156"/>
      <c r="EY1" s="154"/>
      <c r="EZ1" s="62"/>
      <c r="FA1" s="62"/>
      <c r="FB1" s="62"/>
      <c r="FC1" s="156"/>
      <c r="FD1" s="156"/>
      <c r="FE1" s="154"/>
      <c r="FF1" s="62"/>
      <c r="FG1" s="62"/>
      <c r="FH1" s="62"/>
      <c r="FI1" s="62"/>
      <c r="FJ1" s="62"/>
      <c r="FK1" s="156"/>
      <c r="FL1" s="156"/>
      <c r="FM1" s="156"/>
      <c r="FN1" s="156"/>
      <c r="FO1" s="194">
        <f>ET1+1</f>
        <v>12</v>
      </c>
      <c r="FP1" s="60"/>
      <c r="FQ1" s="60"/>
      <c r="FR1" s="155"/>
      <c r="FS1" s="156"/>
      <c r="FT1" s="154"/>
      <c r="FU1" s="62"/>
      <c r="FV1" s="62"/>
      <c r="FW1" s="62"/>
      <c r="FX1" s="156"/>
      <c r="FY1" s="156"/>
      <c r="FZ1" s="154"/>
      <c r="GA1" s="62"/>
      <c r="GB1" s="62"/>
      <c r="GC1" s="62"/>
      <c r="GD1" s="62"/>
      <c r="GE1" s="62"/>
      <c r="GF1" s="156"/>
      <c r="GG1" s="156"/>
      <c r="GH1" s="156"/>
      <c r="GI1" s="156"/>
      <c r="GJ1" s="194">
        <f>FO1+1</f>
        <v>13</v>
      </c>
      <c r="GK1" s="60"/>
      <c r="GL1" s="60"/>
      <c r="GM1" s="155"/>
      <c r="GN1" s="156"/>
      <c r="GO1" s="154"/>
      <c r="GP1" s="62"/>
      <c r="GQ1" s="62"/>
      <c r="GR1" s="62"/>
      <c r="GS1" s="156"/>
      <c r="GT1" s="156"/>
      <c r="GU1" s="154"/>
      <c r="GV1" s="62"/>
      <c r="GW1" s="62"/>
      <c r="GX1" s="62"/>
      <c r="GY1" s="62"/>
      <c r="GZ1" s="62"/>
      <c r="HA1" s="156"/>
      <c r="HB1" s="156"/>
      <c r="HC1" s="156"/>
      <c r="HD1" s="156"/>
      <c r="HE1" s="194">
        <f>GJ1+1</f>
        <v>14</v>
      </c>
      <c r="HF1" s="60"/>
      <c r="HG1" s="60"/>
      <c r="HH1" s="155"/>
      <c r="HI1" s="156"/>
      <c r="HJ1" s="154"/>
      <c r="HK1" s="62"/>
      <c r="HL1" s="62"/>
      <c r="HM1" s="62"/>
      <c r="HN1" s="156"/>
      <c r="HO1" s="156"/>
      <c r="HP1" s="154"/>
      <c r="HQ1" s="62"/>
      <c r="HR1" s="62"/>
      <c r="HS1" s="62"/>
      <c r="HT1" s="62"/>
      <c r="HU1" s="62"/>
      <c r="HV1" s="156"/>
      <c r="HW1" s="156"/>
      <c r="HX1" s="156"/>
      <c r="HY1" s="156"/>
      <c r="HZ1" s="194">
        <f>HE1+1</f>
        <v>15</v>
      </c>
      <c r="IA1" s="60"/>
      <c r="IB1" s="60"/>
      <c r="IC1" s="155"/>
      <c r="ID1" s="156"/>
      <c r="IE1" s="154"/>
      <c r="IF1" s="62"/>
      <c r="IG1" s="62"/>
      <c r="IH1" s="62"/>
      <c r="II1" s="156"/>
      <c r="IJ1" s="156"/>
      <c r="IK1" s="154"/>
      <c r="IL1" s="62"/>
      <c r="IM1" s="62"/>
      <c r="IN1" s="62"/>
      <c r="IO1" s="62"/>
      <c r="IP1" s="62"/>
      <c r="IQ1" s="156"/>
      <c r="IR1" s="156"/>
      <c r="IS1" s="156"/>
      <c r="IT1" s="156"/>
      <c r="IU1" s="194">
        <f>HZ1+1</f>
        <v>16</v>
      </c>
      <c r="IV1" s="60"/>
      <c r="IW1" s="60"/>
      <c r="IX1" s="155"/>
      <c r="IY1" s="156"/>
      <c r="IZ1" s="154"/>
      <c r="JA1" s="62"/>
      <c r="JB1" s="62"/>
      <c r="JC1" s="62"/>
      <c r="JD1" s="156"/>
      <c r="JE1" s="156"/>
      <c r="JF1" s="154"/>
      <c r="JG1" s="62"/>
      <c r="JH1" s="62"/>
      <c r="JI1" s="62"/>
      <c r="JJ1" s="62"/>
      <c r="JK1" s="62"/>
      <c r="JL1" s="156"/>
      <c r="JM1" s="156"/>
      <c r="JN1" s="156"/>
      <c r="JO1" s="156"/>
      <c r="JP1" s="194">
        <f>IU1+1</f>
        <v>17</v>
      </c>
      <c r="JQ1" s="60"/>
      <c r="JR1" s="60"/>
      <c r="JS1" s="155"/>
      <c r="JT1" s="156"/>
      <c r="JU1" s="154"/>
      <c r="JV1" s="62"/>
      <c r="JW1" s="62"/>
      <c r="JX1" s="62"/>
      <c r="JY1" s="156"/>
      <c r="JZ1" s="156"/>
      <c r="KA1" s="154"/>
      <c r="KB1" s="62"/>
      <c r="KC1" s="62"/>
      <c r="KD1" s="62"/>
      <c r="KE1" s="62"/>
      <c r="KF1" s="62"/>
      <c r="KG1" s="156"/>
      <c r="KH1" s="156"/>
      <c r="KI1" s="156"/>
      <c r="KJ1" s="156"/>
      <c r="KK1" s="194">
        <f>JP1+1</f>
        <v>18</v>
      </c>
      <c r="KL1" s="60"/>
      <c r="KM1" s="60"/>
      <c r="KN1" s="155"/>
      <c r="KO1" s="156"/>
      <c r="KP1" s="154"/>
      <c r="KQ1" s="62"/>
      <c r="KR1" s="62"/>
      <c r="KS1" s="62"/>
      <c r="KT1" s="156"/>
      <c r="KU1" s="156"/>
      <c r="KV1" s="154"/>
      <c r="KW1" s="62"/>
      <c r="KX1" s="62"/>
      <c r="KY1" s="62"/>
      <c r="KZ1" s="62"/>
      <c r="LA1" s="62"/>
      <c r="LB1" s="156"/>
      <c r="LC1" s="156"/>
      <c r="LD1" s="156"/>
      <c r="LE1" s="156"/>
      <c r="LF1" s="194">
        <f>KK1+1</f>
        <v>19</v>
      </c>
      <c r="LG1" s="60"/>
      <c r="LH1" s="60"/>
      <c r="LI1" s="155"/>
      <c r="LJ1" s="156"/>
      <c r="LK1" s="154"/>
      <c r="LL1" s="62"/>
      <c r="LM1" s="62"/>
      <c r="LN1" s="62"/>
      <c r="LO1" s="156"/>
      <c r="LP1" s="156"/>
      <c r="LQ1" s="154"/>
      <c r="LR1" s="62"/>
      <c r="LS1" s="62"/>
      <c r="LT1" s="62"/>
      <c r="LU1" s="62"/>
      <c r="LV1" s="62"/>
      <c r="LW1" s="156"/>
      <c r="LX1" s="156"/>
      <c r="LY1" s="156"/>
      <c r="LZ1" s="156"/>
      <c r="MA1" s="194">
        <f>LF1+1</f>
        <v>20</v>
      </c>
      <c r="MB1" s="60"/>
      <c r="MC1" s="60"/>
      <c r="MD1" s="155"/>
      <c r="ME1" s="156"/>
      <c r="MF1" s="154"/>
      <c r="MG1" s="62"/>
      <c r="MH1" s="62"/>
      <c r="MI1" s="62"/>
      <c r="MJ1" s="156"/>
      <c r="MK1" s="156"/>
      <c r="ML1" s="154"/>
      <c r="MM1" s="62"/>
      <c r="MN1" s="62"/>
      <c r="MO1" s="62"/>
      <c r="MP1" s="62"/>
      <c r="MQ1" s="62"/>
      <c r="MR1" s="156"/>
      <c r="MS1" s="156"/>
      <c r="MT1" s="156"/>
      <c r="MU1" s="156"/>
      <c r="MV1" s="194">
        <f>MA1+1</f>
        <v>21</v>
      </c>
      <c r="MW1" s="60"/>
      <c r="MX1" s="60"/>
      <c r="MY1" s="155"/>
      <c r="MZ1" s="156"/>
      <c r="NA1" s="154"/>
      <c r="NB1" s="62"/>
      <c r="NC1" s="62"/>
      <c r="ND1" s="62"/>
      <c r="NE1" s="156"/>
      <c r="NF1" s="156"/>
      <c r="NG1" s="154"/>
      <c r="NH1" s="62"/>
      <c r="NI1" s="62"/>
      <c r="NJ1" s="62"/>
      <c r="NK1" s="62"/>
      <c r="NL1" s="62"/>
      <c r="NM1" s="156"/>
      <c r="NN1" s="156"/>
      <c r="NO1" s="156"/>
      <c r="NP1" s="156"/>
      <c r="NQ1" s="194">
        <f>MV1+1</f>
        <v>22</v>
      </c>
      <c r="NR1" s="60"/>
      <c r="NS1" s="60"/>
      <c r="NT1" s="155"/>
      <c r="NU1" s="156"/>
      <c r="NV1" s="154"/>
      <c r="NW1" s="62"/>
      <c r="NX1" s="62"/>
      <c r="NY1" s="62"/>
      <c r="NZ1" s="156"/>
      <c r="OA1" s="156"/>
      <c r="OB1" s="154"/>
      <c r="OC1" s="62"/>
      <c r="OD1" s="62"/>
      <c r="OE1" s="62"/>
      <c r="OF1" s="62"/>
      <c r="OG1" s="62"/>
      <c r="OH1" s="156"/>
      <c r="OI1" s="156"/>
      <c r="OJ1" s="156"/>
      <c r="OK1" s="156"/>
      <c r="OL1" s="194">
        <f>NQ1+1</f>
        <v>23</v>
      </c>
      <c r="OM1" s="60"/>
      <c r="ON1" s="60"/>
      <c r="OO1" s="155"/>
      <c r="OP1" s="156"/>
      <c r="OQ1" s="154"/>
      <c r="OR1" s="62"/>
      <c r="OS1" s="62"/>
      <c r="OT1" s="62"/>
      <c r="OU1" s="156"/>
      <c r="OV1" s="156"/>
      <c r="OW1" s="154"/>
      <c r="OX1" s="62"/>
      <c r="OY1" s="62"/>
      <c r="OZ1" s="62"/>
      <c r="PA1" s="62"/>
      <c r="PB1" s="62"/>
      <c r="PC1" s="156"/>
      <c r="PD1" s="156"/>
      <c r="PE1" s="156"/>
      <c r="PF1" s="156"/>
      <c r="PG1" s="194">
        <f>OL1+1</f>
        <v>24</v>
      </c>
      <c r="PH1" s="60"/>
      <c r="PI1" s="60"/>
      <c r="PJ1" s="155"/>
      <c r="PK1" s="156"/>
      <c r="PL1" s="154"/>
      <c r="PM1" s="62"/>
      <c r="PN1" s="62"/>
      <c r="PO1" s="62"/>
      <c r="PP1" s="156"/>
      <c r="PQ1" s="156"/>
      <c r="PR1" s="154"/>
      <c r="PS1" s="62"/>
      <c r="PT1" s="62"/>
      <c r="PU1" s="62"/>
      <c r="PV1" s="62"/>
      <c r="PW1" s="62"/>
      <c r="PX1" s="156"/>
      <c r="PY1" s="156"/>
      <c r="PZ1" s="156"/>
      <c r="QA1" s="156"/>
      <c r="QB1" s="194">
        <f>PG1+1</f>
        <v>25</v>
      </c>
      <c r="QC1" s="60"/>
      <c r="QD1" s="60"/>
      <c r="QE1" s="155"/>
      <c r="QF1" s="156"/>
      <c r="QG1" s="154"/>
      <c r="QH1" s="62"/>
      <c r="QI1" s="62"/>
      <c r="QJ1" s="62"/>
      <c r="QK1" s="156"/>
      <c r="QL1" s="156"/>
      <c r="QM1" s="154"/>
      <c r="QN1" s="62"/>
      <c r="QO1" s="62"/>
      <c r="QP1" s="62"/>
      <c r="QQ1" s="62"/>
      <c r="QR1" s="62"/>
      <c r="QS1" s="156"/>
      <c r="QT1" s="156"/>
      <c r="QU1" s="156"/>
      <c r="QV1" s="156"/>
      <c r="QW1" s="194">
        <f>QB1+1</f>
        <v>26</v>
      </c>
      <c r="QX1" s="60"/>
      <c r="QY1" s="60"/>
      <c r="QZ1" s="155"/>
      <c r="RA1" s="156"/>
      <c r="RB1" s="154"/>
      <c r="RC1" s="62"/>
      <c r="RD1" s="62"/>
      <c r="RE1" s="62"/>
      <c r="RF1" s="156"/>
      <c r="RG1" s="156"/>
      <c r="RH1" s="154"/>
      <c r="RI1" s="62"/>
      <c r="RJ1" s="62"/>
      <c r="RK1" s="62"/>
      <c r="RL1" s="62"/>
      <c r="RM1" s="62"/>
      <c r="RN1" s="156"/>
      <c r="RO1" s="156"/>
      <c r="RP1" s="156"/>
      <c r="RQ1" s="156"/>
      <c r="RR1" s="194">
        <f>QW1+1</f>
        <v>27</v>
      </c>
      <c r="RS1" s="60"/>
      <c r="RT1" s="60"/>
      <c r="RU1" s="155"/>
      <c r="RV1" s="156"/>
      <c r="RW1" s="154"/>
      <c r="RX1" s="62"/>
      <c r="RY1" s="62"/>
      <c r="RZ1" s="62"/>
      <c r="SA1" s="156"/>
      <c r="SB1" s="156"/>
      <c r="SC1" s="154"/>
      <c r="SD1" s="62"/>
      <c r="SE1" s="62"/>
      <c r="SF1" s="62"/>
      <c r="SG1" s="62"/>
      <c r="SH1" s="62"/>
      <c r="SI1" s="156"/>
      <c r="SJ1" s="156"/>
      <c r="SK1" s="156"/>
      <c r="SL1" s="156"/>
      <c r="SM1" s="194">
        <f>RR1+1</f>
        <v>28</v>
      </c>
      <c r="SN1" s="60"/>
      <c r="SO1" s="60"/>
      <c r="SP1" s="155"/>
      <c r="SQ1" s="156"/>
      <c r="SR1" s="154"/>
      <c r="SS1" s="62"/>
      <c r="ST1" s="62"/>
      <c r="SU1" s="62"/>
      <c r="SV1" s="156"/>
      <c r="SW1" s="156"/>
      <c r="SX1" s="154"/>
      <c r="SY1" s="62"/>
      <c r="SZ1" s="62"/>
      <c r="TA1" s="62"/>
      <c r="TB1" s="62"/>
      <c r="TC1" s="62"/>
      <c r="TD1" s="156"/>
      <c r="TE1" s="156"/>
      <c r="TF1" s="156"/>
      <c r="TG1" s="156"/>
      <c r="TH1" s="194">
        <f>SM1+1</f>
        <v>29</v>
      </c>
      <c r="TI1" s="60"/>
      <c r="TJ1" s="60"/>
      <c r="TK1" s="155"/>
      <c r="TL1" s="156"/>
      <c r="TM1" s="154"/>
      <c r="TN1" s="62"/>
      <c r="TO1" s="62"/>
      <c r="TP1" s="62"/>
      <c r="TQ1" s="156"/>
      <c r="TR1" s="156"/>
      <c r="TS1" s="154"/>
      <c r="TT1" s="62"/>
      <c r="TU1" s="62"/>
      <c r="TV1" s="62"/>
      <c r="TW1" s="62"/>
      <c r="TX1" s="62"/>
      <c r="TY1" s="156"/>
      <c r="TZ1" s="156"/>
      <c r="UA1" s="156"/>
      <c r="UB1" s="156"/>
      <c r="UC1" s="194">
        <f>TH1+1</f>
        <v>30</v>
      </c>
      <c r="UD1" s="60"/>
      <c r="UE1" s="60"/>
      <c r="UF1" s="155"/>
      <c r="UG1" s="156"/>
      <c r="UH1" s="154"/>
      <c r="UI1" s="62"/>
      <c r="UJ1" s="62"/>
      <c r="UK1" s="62"/>
      <c r="UL1" s="156"/>
      <c r="UM1" s="156"/>
      <c r="UN1" s="154"/>
      <c r="UO1" s="62"/>
      <c r="UP1" s="62"/>
      <c r="UQ1" s="62"/>
      <c r="UR1" s="62"/>
      <c r="US1" s="62"/>
      <c r="UT1" s="156"/>
      <c r="UU1" s="156"/>
      <c r="UV1" s="156"/>
      <c r="UW1" s="156"/>
      <c r="UX1" s="194">
        <f>UC1+1</f>
        <v>31</v>
      </c>
      <c r="UY1" s="60"/>
      <c r="UZ1" s="60"/>
      <c r="VA1" s="155"/>
      <c r="VB1" s="156"/>
      <c r="VC1" s="154"/>
      <c r="VD1" s="62"/>
      <c r="VE1" s="62"/>
      <c r="VF1" s="62"/>
      <c r="VG1" s="156"/>
      <c r="VH1" s="156"/>
      <c r="VI1" s="154"/>
      <c r="VJ1" s="62"/>
      <c r="VK1" s="62"/>
      <c r="VL1" s="62"/>
      <c r="VM1" s="62"/>
      <c r="VN1" s="62"/>
      <c r="VO1" s="156"/>
      <c r="VP1" s="156"/>
      <c r="VQ1" s="156"/>
      <c r="VR1" s="156"/>
      <c r="VS1" s="63">
        <f>UX1+1</f>
        <v>32</v>
      </c>
      <c r="VT1" s="60"/>
      <c r="VU1" s="60"/>
      <c r="VV1" s="60"/>
      <c r="VW1" s="61"/>
      <c r="VX1" s="62"/>
      <c r="VY1" s="62"/>
      <c r="VZ1" s="62"/>
      <c r="WA1" s="61"/>
      <c r="WB1" s="61"/>
      <c r="WC1" s="62"/>
      <c r="WD1" s="62"/>
      <c r="WE1" s="62"/>
      <c r="WF1" s="61"/>
      <c r="WG1" s="61"/>
      <c r="WH1" s="61"/>
      <c r="WI1" s="61"/>
      <c r="WJ1" s="63">
        <f>VS1+1</f>
        <v>33</v>
      </c>
      <c r="WK1" s="60"/>
      <c r="WL1" s="60"/>
      <c r="WM1" s="60"/>
      <c r="WN1" s="61"/>
      <c r="WO1" s="62"/>
      <c r="WP1" s="62"/>
      <c r="WQ1" s="62"/>
      <c r="WR1" s="61"/>
      <c r="WS1" s="61"/>
      <c r="WT1" s="62"/>
      <c r="WU1" s="62"/>
      <c r="WV1" s="62"/>
      <c r="WW1" s="61"/>
      <c r="WX1" s="61"/>
      <c r="WY1" s="61"/>
      <c r="WZ1" s="61"/>
    </row>
    <row r="2" spans="1:624" ht="60" customHeight="1" thickBot="1" x14ac:dyDescent="0.6">
      <c r="A2" s="140" t="s">
        <v>41</v>
      </c>
      <c r="B2" s="141" t="s">
        <v>196</v>
      </c>
      <c r="C2" s="151" t="str">
        <f ca="1">IF(CELL("contenu",INDIRECT(ADDRESS(C1,1,1,1,CELL("contenu",$B$2))))="","----",CELL("contenu",INDIRECT(ADDRESS(C1,1,1,1,CELL("contenu",$B$2)))))</f>
        <v>BLANC Mathis</v>
      </c>
      <c r="D2" s="149"/>
      <c r="E2" s="149"/>
      <c r="F2" s="151"/>
      <c r="G2" s="151"/>
      <c r="H2" s="151"/>
      <c r="I2" s="149"/>
      <c r="J2" s="149"/>
      <c r="K2" s="149"/>
      <c r="L2" s="151"/>
      <c r="M2" s="151"/>
      <c r="N2" s="151"/>
      <c r="O2" s="149"/>
      <c r="P2" s="149"/>
      <c r="Q2" s="149"/>
      <c r="R2" s="149"/>
      <c r="S2" s="149"/>
      <c r="T2" s="151"/>
      <c r="U2" s="151"/>
      <c r="V2" s="151"/>
      <c r="W2" s="178"/>
      <c r="X2" s="151" t="str">
        <f ca="1">IF(CELL("contenu",INDIRECT(ADDRESS(X1,1,1,1,CELL("contenu",$B$2))))="","----",CELL("contenu",INDIRECT(ADDRESS(X1,1,1,1,CELL("contenu",$B$2)))))</f>
        <v>BOUCHER Cesar</v>
      </c>
      <c r="Y2" s="149"/>
      <c r="Z2" s="149"/>
      <c r="AA2" s="151"/>
      <c r="AB2" s="151"/>
      <c r="AC2" s="151"/>
      <c r="AD2" s="149"/>
      <c r="AE2" s="149"/>
      <c r="AF2" s="149"/>
      <c r="AG2" s="151"/>
      <c r="AH2" s="151"/>
      <c r="AI2" s="151"/>
      <c r="AJ2" s="149"/>
      <c r="AK2" s="149"/>
      <c r="AL2" s="149"/>
      <c r="AM2" s="149"/>
      <c r="AN2" s="149"/>
      <c r="AO2" s="151"/>
      <c r="AP2" s="151"/>
      <c r="AQ2" s="151"/>
      <c r="AR2" s="178"/>
      <c r="AS2" s="151" t="str">
        <f ca="1">IF(CELL("contenu",INDIRECT(ADDRESS(AS1,1,1,1,CELL("contenu",$B$2))))="","----",CELL("contenu",INDIRECT(ADDRESS(AS1,1,1,1,CELL("contenu",$B$2)))))</f>
        <v>BOUSSION Vianney</v>
      </c>
      <c r="AT2" s="149"/>
      <c r="AU2" s="149"/>
      <c r="AV2" s="151"/>
      <c r="AW2" s="151"/>
      <c r="AX2" s="151"/>
      <c r="AY2" s="149"/>
      <c r="AZ2" s="149"/>
      <c r="BA2" s="149"/>
      <c r="BB2" s="151"/>
      <c r="BC2" s="151"/>
      <c r="BD2" s="151"/>
      <c r="BE2" s="149"/>
      <c r="BF2" s="149"/>
      <c r="BG2" s="149"/>
      <c r="BH2" s="149"/>
      <c r="BI2" s="149"/>
      <c r="BJ2" s="151"/>
      <c r="BK2" s="151"/>
      <c r="BL2" s="151"/>
      <c r="BM2" s="178"/>
      <c r="BN2" s="151" t="str">
        <f ca="1">IF(CELL("contenu",INDIRECT(ADDRESS(BN1,1,1,1,CELL("contenu",$B$2))))="","----",CELL("contenu",INDIRECT(ADDRESS(BN1,1,1,1,CELL("contenu",$B$2)))))</f>
        <v>BRABANT Maud</v>
      </c>
      <c r="BO2" s="149"/>
      <c r="BP2" s="149"/>
      <c r="BQ2" s="151"/>
      <c r="BR2" s="151"/>
      <c r="BS2" s="151"/>
      <c r="BT2" s="149"/>
      <c r="BU2" s="149"/>
      <c r="BV2" s="149"/>
      <c r="BW2" s="151"/>
      <c r="BX2" s="151"/>
      <c r="BY2" s="151"/>
      <c r="BZ2" s="149"/>
      <c r="CA2" s="149"/>
      <c r="CB2" s="149"/>
      <c r="CC2" s="149"/>
      <c r="CD2" s="149"/>
      <c r="CE2" s="151"/>
      <c r="CF2" s="151"/>
      <c r="CG2" s="151"/>
      <c r="CH2" s="178"/>
      <c r="CI2" s="151" t="str">
        <f ca="1">IF(CELL("contenu",INDIRECT(ADDRESS(CI1,1,1,1,CELL("contenu",$B$2))))="","----",CELL("contenu",INDIRECT(ADDRESS(CI1,1,1,1,CELL("contenu",$B$2)))))</f>
        <v>BREYSSE Camille</v>
      </c>
      <c r="CJ2" s="149"/>
      <c r="CK2" s="149"/>
      <c r="CL2" s="151"/>
      <c r="CM2" s="151"/>
      <c r="CN2" s="151"/>
      <c r="CO2" s="149"/>
      <c r="CP2" s="149"/>
      <c r="CQ2" s="149"/>
      <c r="CR2" s="151"/>
      <c r="CS2" s="151"/>
      <c r="CT2" s="151"/>
      <c r="CU2" s="149"/>
      <c r="CV2" s="149"/>
      <c r="CW2" s="149"/>
      <c r="CX2" s="149"/>
      <c r="CY2" s="149"/>
      <c r="CZ2" s="151"/>
      <c r="DA2" s="151"/>
      <c r="DB2" s="151"/>
      <c r="DC2" s="178"/>
      <c r="DD2" s="151" t="str">
        <f ca="1">IF(CELL("contenu",INDIRECT(ADDRESS(DD1,1,1,1,CELL("contenu",$B$2))))="","----",CELL("contenu",INDIRECT(ADDRESS(DD1,1,1,1,CELL("contenu",$B$2)))))</f>
        <v>CABANEL Marie</v>
      </c>
      <c r="DE2" s="149"/>
      <c r="DF2" s="149"/>
      <c r="DG2" s="151"/>
      <c r="DH2" s="151"/>
      <c r="DI2" s="151"/>
      <c r="DJ2" s="149"/>
      <c r="DK2" s="149"/>
      <c r="DL2" s="149"/>
      <c r="DM2" s="151"/>
      <c r="DN2" s="151"/>
      <c r="DO2" s="151"/>
      <c r="DP2" s="149"/>
      <c r="DQ2" s="149"/>
      <c r="DR2" s="149"/>
      <c r="DS2" s="149"/>
      <c r="DT2" s="149"/>
      <c r="DU2" s="151"/>
      <c r="DV2" s="151"/>
      <c r="DW2" s="151"/>
      <c r="DX2" s="178"/>
      <c r="DY2" s="151" t="str">
        <f ca="1">IF(CELL("contenu",INDIRECT(ADDRESS(DY1,1,1,1,CELL("contenu",$B$2))))="","----",CELL("contenu",INDIRECT(ADDRESS(DY1,1,1,1,CELL("contenu",$B$2)))))</f>
        <v>CHADOUTAUD Capucine</v>
      </c>
      <c r="DZ2" s="149"/>
      <c r="EA2" s="149"/>
      <c r="EB2" s="151"/>
      <c r="EC2" s="151"/>
      <c r="ED2" s="151"/>
      <c r="EE2" s="149"/>
      <c r="EF2" s="149"/>
      <c r="EG2" s="149"/>
      <c r="EH2" s="151"/>
      <c r="EI2" s="151"/>
      <c r="EJ2" s="151"/>
      <c r="EK2" s="149"/>
      <c r="EL2" s="149"/>
      <c r="EM2" s="149"/>
      <c r="EN2" s="149"/>
      <c r="EO2" s="149"/>
      <c r="EP2" s="151"/>
      <c r="EQ2" s="151"/>
      <c r="ER2" s="151"/>
      <c r="ES2" s="178"/>
      <c r="ET2" s="151" t="str">
        <f ca="1">IF(CELL("contenu",INDIRECT(ADDRESS(ET1,1,1,1,CELL("contenu",$B$2))))="","----",CELL("contenu",INDIRECT(ADDRESS(ET1,1,1,1,CELL("contenu",$B$2)))))</f>
        <v>CHAVELET Marie</v>
      </c>
      <c r="EU2" s="149"/>
      <c r="EV2" s="149"/>
      <c r="EW2" s="151"/>
      <c r="EX2" s="151"/>
      <c r="EY2" s="151"/>
      <c r="EZ2" s="149"/>
      <c r="FA2" s="149"/>
      <c r="FB2" s="149"/>
      <c r="FC2" s="151"/>
      <c r="FD2" s="151"/>
      <c r="FE2" s="151"/>
      <c r="FF2" s="149"/>
      <c r="FG2" s="149"/>
      <c r="FH2" s="149"/>
      <c r="FI2" s="149"/>
      <c r="FJ2" s="149"/>
      <c r="FK2" s="151"/>
      <c r="FL2" s="151"/>
      <c r="FM2" s="151"/>
      <c r="FN2" s="178"/>
      <c r="FO2" s="151" t="str">
        <f ca="1">IF(CELL("contenu",INDIRECT(ADDRESS(FO1,1,1,1,CELL("contenu",$B$2))))="","----",CELL("contenu",INDIRECT(ADDRESS(FO1,1,1,1,CELL("contenu",$B$2)))))</f>
        <v>COSTA Nina</v>
      </c>
      <c r="FP2" s="149"/>
      <c r="FQ2" s="149"/>
      <c r="FR2" s="151"/>
      <c r="FS2" s="151"/>
      <c r="FT2" s="151"/>
      <c r="FU2" s="149"/>
      <c r="FV2" s="149"/>
      <c r="FW2" s="149"/>
      <c r="FX2" s="151"/>
      <c r="FY2" s="151"/>
      <c r="FZ2" s="151"/>
      <c r="GA2" s="149"/>
      <c r="GB2" s="149"/>
      <c r="GC2" s="149"/>
      <c r="GD2" s="149"/>
      <c r="GE2" s="149"/>
      <c r="GF2" s="151"/>
      <c r="GG2" s="151"/>
      <c r="GH2" s="151"/>
      <c r="GI2" s="178"/>
      <c r="GJ2" s="151" t="str">
        <f ca="1">IF(CELL("contenu",INDIRECT(ADDRESS(GJ1,1,1,1,CELL("contenu",$B$2))))="","----",CELL("contenu",INDIRECT(ADDRESS(GJ1,1,1,1,CELL("contenu",$B$2)))))</f>
        <v>COSTA Thomas</v>
      </c>
      <c r="GK2" s="149"/>
      <c r="GL2" s="149"/>
      <c r="GM2" s="151"/>
      <c r="GN2" s="151"/>
      <c r="GO2" s="151"/>
      <c r="GP2" s="149"/>
      <c r="GQ2" s="149"/>
      <c r="GR2" s="149"/>
      <c r="GS2" s="151"/>
      <c r="GT2" s="151"/>
      <c r="GU2" s="151"/>
      <c r="GV2" s="149"/>
      <c r="GW2" s="149"/>
      <c r="GX2" s="149"/>
      <c r="GY2" s="149"/>
      <c r="GZ2" s="149"/>
      <c r="HA2" s="151"/>
      <c r="HB2" s="151"/>
      <c r="HC2" s="151"/>
      <c r="HD2" s="178"/>
      <c r="HE2" s="151" t="str">
        <f ca="1">IF(CELL("contenu",INDIRECT(ADDRESS(HE1,1,1,1,CELL("contenu",$B$2))))="","----",CELL("contenu",INDIRECT(ADDRESS(HE1,1,1,1,CELL("contenu",$B$2)))))</f>
        <v>DAUCHET Clementine</v>
      </c>
      <c r="HF2" s="149"/>
      <c r="HG2" s="149"/>
      <c r="HH2" s="151"/>
      <c r="HI2" s="151"/>
      <c r="HJ2" s="151"/>
      <c r="HK2" s="149"/>
      <c r="HL2" s="149"/>
      <c r="HM2" s="149"/>
      <c r="HN2" s="151"/>
      <c r="HO2" s="151"/>
      <c r="HP2" s="151"/>
      <c r="HQ2" s="149"/>
      <c r="HR2" s="149"/>
      <c r="HS2" s="149"/>
      <c r="HT2" s="149"/>
      <c r="HU2" s="149"/>
      <c r="HV2" s="151"/>
      <c r="HW2" s="151"/>
      <c r="HX2" s="151"/>
      <c r="HY2" s="178"/>
      <c r="HZ2" s="151" t="str">
        <f ca="1">IF(CELL("contenu",INDIRECT(ADDRESS(HZ1,1,1,1,CELL("contenu",$B$2))))="","----",CELL("contenu",INDIRECT(ADDRESS(HZ1,1,1,1,CELL("contenu",$B$2)))))</f>
        <v>FERRO Julia</v>
      </c>
      <c r="IA2" s="149"/>
      <c r="IB2" s="149"/>
      <c r="IC2" s="151"/>
      <c r="ID2" s="151"/>
      <c r="IE2" s="151"/>
      <c r="IF2" s="149"/>
      <c r="IG2" s="149"/>
      <c r="IH2" s="149"/>
      <c r="II2" s="151"/>
      <c r="IJ2" s="151"/>
      <c r="IK2" s="151"/>
      <c r="IL2" s="149"/>
      <c r="IM2" s="149"/>
      <c r="IN2" s="149"/>
      <c r="IO2" s="149"/>
      <c r="IP2" s="149"/>
      <c r="IQ2" s="151"/>
      <c r="IR2" s="151"/>
      <c r="IS2" s="151"/>
      <c r="IT2" s="178"/>
      <c r="IU2" s="151" t="str">
        <f ca="1">IF(CELL("contenu",INDIRECT(ADDRESS(IU1,1,1,1,CELL("contenu",$B$2))))="","----",CELL("contenu",INDIRECT(ADDRESS(IU1,1,1,1,CELL("contenu",$B$2)))))</f>
        <v>FREY Auguste</v>
      </c>
      <c r="IV2" s="149"/>
      <c r="IW2" s="149"/>
      <c r="IX2" s="151"/>
      <c r="IY2" s="151"/>
      <c r="IZ2" s="151"/>
      <c r="JA2" s="149"/>
      <c r="JB2" s="149"/>
      <c r="JC2" s="149"/>
      <c r="JD2" s="151"/>
      <c r="JE2" s="151"/>
      <c r="JF2" s="151"/>
      <c r="JG2" s="149"/>
      <c r="JH2" s="149"/>
      <c r="JI2" s="149"/>
      <c r="JJ2" s="149"/>
      <c r="JK2" s="149"/>
      <c r="JL2" s="151"/>
      <c r="JM2" s="151"/>
      <c r="JN2" s="151"/>
      <c r="JO2" s="178"/>
      <c r="JP2" s="151" t="str">
        <f ca="1">IF(CELL("contenu",INDIRECT(ADDRESS(JP1,1,1,1,CELL("contenu",$B$2))))="","----",CELL("contenu",INDIRECT(ADDRESS(JP1,1,1,1,CELL("contenu",$B$2)))))</f>
        <v>GIGON Justine</v>
      </c>
      <c r="JQ2" s="149"/>
      <c r="JR2" s="149"/>
      <c r="JS2" s="151"/>
      <c r="JT2" s="151"/>
      <c r="JU2" s="151"/>
      <c r="JV2" s="149"/>
      <c r="JW2" s="149"/>
      <c r="JX2" s="149"/>
      <c r="JY2" s="151"/>
      <c r="JZ2" s="151"/>
      <c r="KA2" s="151"/>
      <c r="KB2" s="149"/>
      <c r="KC2" s="149"/>
      <c r="KD2" s="149"/>
      <c r="KE2" s="149"/>
      <c r="KF2" s="149"/>
      <c r="KG2" s="151"/>
      <c r="KH2" s="151"/>
      <c r="KI2" s="151"/>
      <c r="KJ2" s="178"/>
      <c r="KK2" s="151" t="str">
        <f ca="1">IF(CELL("contenu",INDIRECT(ADDRESS(KK1,1,1,1,CELL("contenu",$B$2))))="","----",CELL("contenu",INDIRECT(ADDRESS(KK1,1,1,1,CELL("contenu",$B$2)))))</f>
        <v>GUIMARD Felicie</v>
      </c>
      <c r="KL2" s="149"/>
      <c r="KM2" s="149"/>
      <c r="KN2" s="151"/>
      <c r="KO2" s="151"/>
      <c r="KP2" s="151"/>
      <c r="KQ2" s="149"/>
      <c r="KR2" s="149"/>
      <c r="KS2" s="149"/>
      <c r="KT2" s="151"/>
      <c r="KU2" s="151"/>
      <c r="KV2" s="151"/>
      <c r="KW2" s="149"/>
      <c r="KX2" s="149"/>
      <c r="KY2" s="149"/>
      <c r="KZ2" s="149"/>
      <c r="LA2" s="149"/>
      <c r="LB2" s="151"/>
      <c r="LC2" s="151"/>
      <c r="LD2" s="151"/>
      <c r="LE2" s="178"/>
      <c r="LF2" s="151" t="str">
        <f ca="1">IF(CELL("contenu",INDIRECT(ADDRESS(LF1,1,1,1,CELL("contenu",$B$2))))="","----",CELL("contenu",INDIRECT(ADDRESS(LF1,1,1,1,CELL("contenu",$B$2)))))</f>
        <v>HERBRETEAU Damien</v>
      </c>
      <c r="LG2" s="149"/>
      <c r="LH2" s="149"/>
      <c r="LI2" s="151"/>
      <c r="LJ2" s="151"/>
      <c r="LK2" s="151"/>
      <c r="LL2" s="149"/>
      <c r="LM2" s="149"/>
      <c r="LN2" s="149"/>
      <c r="LO2" s="151"/>
      <c r="LP2" s="151"/>
      <c r="LQ2" s="151"/>
      <c r="LR2" s="149"/>
      <c r="LS2" s="149"/>
      <c r="LT2" s="149"/>
      <c r="LU2" s="149"/>
      <c r="LV2" s="149"/>
      <c r="LW2" s="151"/>
      <c r="LX2" s="151"/>
      <c r="LY2" s="151"/>
      <c r="LZ2" s="178"/>
      <c r="MA2" s="151" t="str">
        <f ca="1">IF(CELL("contenu",INDIRECT(ADDRESS(MA1,1,1,1,CELL("contenu",$B$2))))="","----",CELL("contenu",INDIRECT(ADDRESS(MA1,1,1,1,CELL("contenu",$B$2)))))</f>
        <v>HESLOIN Noé</v>
      </c>
      <c r="MB2" s="149"/>
      <c r="MC2" s="149"/>
      <c r="MD2" s="151"/>
      <c r="ME2" s="151"/>
      <c r="MF2" s="151"/>
      <c r="MG2" s="149"/>
      <c r="MH2" s="149"/>
      <c r="MI2" s="149"/>
      <c r="MJ2" s="151"/>
      <c r="MK2" s="151"/>
      <c r="ML2" s="151"/>
      <c r="MM2" s="149"/>
      <c r="MN2" s="149"/>
      <c r="MO2" s="149"/>
      <c r="MP2" s="149"/>
      <c r="MQ2" s="149"/>
      <c r="MR2" s="151"/>
      <c r="MS2" s="151"/>
      <c r="MT2" s="151"/>
      <c r="MU2" s="178"/>
      <c r="MV2" s="151" t="str">
        <f ca="1">IF(CELL("contenu",INDIRECT(ADDRESS(MV1,1,1,1,CELL("contenu",$B$2))))="","----",CELL("contenu",INDIRECT(ADDRESS(MV1,1,1,1,CELL("contenu",$B$2)))))</f>
        <v>LE FORBAN Arnoult</v>
      </c>
      <c r="MW2" s="149"/>
      <c r="MX2" s="149"/>
      <c r="MY2" s="151"/>
      <c r="MZ2" s="151"/>
      <c r="NA2" s="151"/>
      <c r="NB2" s="149"/>
      <c r="NC2" s="149"/>
      <c r="ND2" s="149"/>
      <c r="NE2" s="151"/>
      <c r="NF2" s="151"/>
      <c r="NG2" s="151"/>
      <c r="NH2" s="149"/>
      <c r="NI2" s="149"/>
      <c r="NJ2" s="149"/>
      <c r="NK2" s="149"/>
      <c r="NL2" s="149"/>
      <c r="NM2" s="151"/>
      <c r="NN2" s="151"/>
      <c r="NO2" s="151"/>
      <c r="NP2" s="178"/>
      <c r="NQ2" s="151" t="str">
        <f ca="1">IF(CELL("contenu",INDIRECT(ADDRESS(NQ1,1,1,1,CELL("contenu",$B$2))))="","----",CELL("contenu",INDIRECT(ADDRESS(NQ1,1,1,1,CELL("contenu",$B$2)))))</f>
        <v>LESNE Augustin</v>
      </c>
      <c r="NR2" s="149"/>
      <c r="NS2" s="149"/>
      <c r="NT2" s="151"/>
      <c r="NU2" s="151"/>
      <c r="NV2" s="151"/>
      <c r="NW2" s="149"/>
      <c r="NX2" s="149"/>
      <c r="NY2" s="149"/>
      <c r="NZ2" s="151"/>
      <c r="OA2" s="151"/>
      <c r="OB2" s="151"/>
      <c r="OC2" s="149"/>
      <c r="OD2" s="149"/>
      <c r="OE2" s="149"/>
      <c r="OF2" s="149"/>
      <c r="OG2" s="149"/>
      <c r="OH2" s="151"/>
      <c r="OI2" s="151"/>
      <c r="OJ2" s="151"/>
      <c r="OK2" s="178"/>
      <c r="OL2" s="151" t="str">
        <f ca="1">IF(CELL("contenu",INDIRECT(ADDRESS(OL1,1,1,1,CELL("contenu",$B$2))))="","----",CELL("contenu",INDIRECT(ADDRESS(OL1,1,1,1,CELL("contenu",$B$2)))))</f>
        <v>LORIOUX Maud</v>
      </c>
      <c r="OM2" s="149"/>
      <c r="ON2" s="149"/>
      <c r="OO2" s="151"/>
      <c r="OP2" s="151"/>
      <c r="OQ2" s="151"/>
      <c r="OR2" s="149"/>
      <c r="OS2" s="149"/>
      <c r="OT2" s="149"/>
      <c r="OU2" s="151"/>
      <c r="OV2" s="151"/>
      <c r="OW2" s="151"/>
      <c r="OX2" s="149"/>
      <c r="OY2" s="149"/>
      <c r="OZ2" s="149"/>
      <c r="PA2" s="149"/>
      <c r="PB2" s="149"/>
      <c r="PC2" s="151"/>
      <c r="PD2" s="151"/>
      <c r="PE2" s="151"/>
      <c r="PF2" s="178"/>
      <c r="PG2" s="151" t="str">
        <f ca="1">IF(CELL("contenu",INDIRECT(ADDRESS(PG1,1,1,1,CELL("contenu",$B$2))))="","----",CELL("contenu",INDIRECT(ADDRESS(PG1,1,1,1,CELL("contenu",$B$2)))))</f>
        <v>MALAQUIN Matthieu</v>
      </c>
      <c r="PH2" s="149"/>
      <c r="PI2" s="149"/>
      <c r="PJ2" s="151"/>
      <c r="PK2" s="151"/>
      <c r="PL2" s="151"/>
      <c r="PM2" s="149"/>
      <c r="PN2" s="149"/>
      <c r="PO2" s="149"/>
      <c r="PP2" s="151"/>
      <c r="PQ2" s="151"/>
      <c r="PR2" s="151"/>
      <c r="PS2" s="149"/>
      <c r="PT2" s="149"/>
      <c r="PU2" s="149"/>
      <c r="PV2" s="149"/>
      <c r="PW2" s="149"/>
      <c r="PX2" s="151"/>
      <c r="PY2" s="151"/>
      <c r="PZ2" s="151"/>
      <c r="QA2" s="178"/>
      <c r="QB2" s="151" t="str">
        <f ca="1">IF(CELL("contenu",INDIRECT(ADDRESS(QB1,1,1,1,CELL("contenu",$B$2))))="","----",CELL("contenu",INDIRECT(ADDRESS(QB1,1,1,1,CELL("contenu",$B$2)))))</f>
        <v>MARCONNET- REGIDOR Matthieu</v>
      </c>
      <c r="QC2" s="149"/>
      <c r="QD2" s="149"/>
      <c r="QE2" s="151"/>
      <c r="QF2" s="151"/>
      <c r="QG2" s="151"/>
      <c r="QH2" s="149"/>
      <c r="QI2" s="149"/>
      <c r="QJ2" s="149"/>
      <c r="QK2" s="151"/>
      <c r="QL2" s="151"/>
      <c r="QM2" s="151"/>
      <c r="QN2" s="149"/>
      <c r="QO2" s="149"/>
      <c r="QP2" s="149"/>
      <c r="QQ2" s="149"/>
      <c r="QR2" s="149"/>
      <c r="QS2" s="151"/>
      <c r="QT2" s="151"/>
      <c r="QU2" s="151"/>
      <c r="QV2" s="178"/>
      <c r="QW2" s="151" t="str">
        <f ca="1">IF(CELL("contenu",INDIRECT(ADDRESS(QW1,1,1,1,CELL("contenu",$B$2))))="","----",CELL("contenu",INDIRECT(ADDRESS(QW1,1,1,1,CELL("contenu",$B$2)))))</f>
        <v>MAUGE Lili</v>
      </c>
      <c r="QX2" s="149"/>
      <c r="QY2" s="149"/>
      <c r="QZ2" s="151"/>
      <c r="RA2" s="151"/>
      <c r="RB2" s="151"/>
      <c r="RC2" s="149"/>
      <c r="RD2" s="149"/>
      <c r="RE2" s="149"/>
      <c r="RF2" s="151"/>
      <c r="RG2" s="151"/>
      <c r="RH2" s="151"/>
      <c r="RI2" s="149"/>
      <c r="RJ2" s="149"/>
      <c r="RK2" s="149"/>
      <c r="RL2" s="149"/>
      <c r="RM2" s="149"/>
      <c r="RN2" s="151"/>
      <c r="RO2" s="151"/>
      <c r="RP2" s="151"/>
      <c r="RQ2" s="178"/>
      <c r="RR2" s="151" t="str">
        <f ca="1">IF(CELL("contenu",INDIRECT(ADDRESS(RR1,1,1,1,CELL("contenu",$B$2))))="","----",CELL("contenu",INDIRECT(ADDRESS(RR1,1,1,1,CELL("contenu",$B$2)))))</f>
        <v>NERISSON Armance</v>
      </c>
      <c r="RS2" s="149"/>
      <c r="RT2" s="149"/>
      <c r="RU2" s="151"/>
      <c r="RV2" s="151"/>
      <c r="RW2" s="151"/>
      <c r="RX2" s="149"/>
      <c r="RY2" s="149"/>
      <c r="RZ2" s="149"/>
      <c r="SA2" s="151"/>
      <c r="SB2" s="151"/>
      <c r="SC2" s="151"/>
      <c r="SD2" s="149"/>
      <c r="SE2" s="149"/>
      <c r="SF2" s="149"/>
      <c r="SG2" s="149"/>
      <c r="SH2" s="149"/>
      <c r="SI2" s="151"/>
      <c r="SJ2" s="151"/>
      <c r="SK2" s="151"/>
      <c r="SL2" s="178"/>
      <c r="SM2" s="151" t="str">
        <f ca="1">IF(CELL("contenu",INDIRECT(ADDRESS(SM1,1,1,1,CELL("contenu",$B$2))))="","----",CELL("contenu",INDIRECT(ADDRESS(SM1,1,1,1,CELL("contenu",$B$2)))))</f>
        <v>PORTAIS Arthur</v>
      </c>
      <c r="SN2" s="149"/>
      <c r="SO2" s="149"/>
      <c r="SP2" s="151"/>
      <c r="SQ2" s="151"/>
      <c r="SR2" s="151"/>
      <c r="SS2" s="149"/>
      <c r="ST2" s="149"/>
      <c r="SU2" s="149"/>
      <c r="SV2" s="151"/>
      <c r="SW2" s="151"/>
      <c r="SX2" s="151"/>
      <c r="SY2" s="149"/>
      <c r="SZ2" s="149"/>
      <c r="TA2" s="149"/>
      <c r="TB2" s="149"/>
      <c r="TC2" s="149"/>
      <c r="TD2" s="151"/>
      <c r="TE2" s="151"/>
      <c r="TF2" s="151"/>
      <c r="TG2" s="178"/>
      <c r="TH2" s="151" t="str">
        <f ca="1">IF(CELL("contenu",INDIRECT(ADDRESS(TH1,1,1,1,CELL("contenu",$B$2))))="","----",CELL("contenu",INDIRECT(ADDRESS(TH1,1,1,1,CELL("contenu",$B$2)))))</f>
        <v>QUEFFELEC Anatole</v>
      </c>
      <c r="TI2" s="149"/>
      <c r="TJ2" s="149"/>
      <c r="TK2" s="151"/>
      <c r="TL2" s="151"/>
      <c r="TM2" s="151"/>
      <c r="TN2" s="149"/>
      <c r="TO2" s="149"/>
      <c r="TP2" s="149"/>
      <c r="TQ2" s="151"/>
      <c r="TR2" s="151"/>
      <c r="TS2" s="151"/>
      <c r="TT2" s="149"/>
      <c r="TU2" s="149"/>
      <c r="TV2" s="149"/>
      <c r="TW2" s="149"/>
      <c r="TX2" s="149"/>
      <c r="TY2" s="151"/>
      <c r="TZ2" s="151"/>
      <c r="UA2" s="151"/>
      <c r="UB2" s="178"/>
      <c r="UC2" s="151" t="str">
        <f ca="1">IF(CELL("contenu",INDIRECT(ADDRESS(UC1,1,1,1,CELL("contenu",$B$2))))="","----",CELL("contenu",INDIRECT(ADDRESS(UC1,1,1,1,CELL("contenu",$B$2)))))</f>
        <v>ROBINEAU-BOURGNEUF Albane</v>
      </c>
      <c r="UD2" s="149"/>
      <c r="UE2" s="149"/>
      <c r="UF2" s="151"/>
      <c r="UG2" s="151"/>
      <c r="UH2" s="151"/>
      <c r="UI2" s="149"/>
      <c r="UJ2" s="149"/>
      <c r="UK2" s="149"/>
      <c r="UL2" s="151"/>
      <c r="UM2" s="151"/>
      <c r="UN2" s="151"/>
      <c r="UO2" s="149"/>
      <c r="UP2" s="149"/>
      <c r="UQ2" s="149"/>
      <c r="UR2" s="149"/>
      <c r="US2" s="149"/>
      <c r="UT2" s="151"/>
      <c r="UU2" s="151"/>
      <c r="UV2" s="151"/>
      <c r="UW2" s="178"/>
      <c r="UX2" s="151" t="str">
        <f ca="1">IF(CELL("contenu",INDIRECT(ADDRESS(UX1,1,1,1,CELL("contenu",$B$2))))="","----",CELL("contenu",INDIRECT(ADDRESS(UX1,1,1,1,CELL("contenu",$B$2)))))</f>
        <v>ROUSSEAU Philibert</v>
      </c>
      <c r="UY2" s="149"/>
      <c r="UZ2" s="149"/>
      <c r="VA2" s="151"/>
      <c r="VB2" s="151"/>
      <c r="VC2" s="151"/>
      <c r="VD2" s="149"/>
      <c r="VE2" s="149"/>
      <c r="VF2" s="149"/>
      <c r="VG2" s="151"/>
      <c r="VH2" s="151"/>
      <c r="VI2" s="151"/>
      <c r="VJ2" s="149"/>
      <c r="VK2" s="149"/>
      <c r="VL2" s="149"/>
      <c r="VM2" s="149"/>
      <c r="VN2" s="149"/>
      <c r="VO2" s="151"/>
      <c r="VP2" s="151"/>
      <c r="VQ2" s="151"/>
      <c r="VR2" s="178"/>
      <c r="VS2" s="65" t="str">
        <f ca="1">IF(CELL("contenu",INDIRECT(ADDRESS(VS1,1,1,1,CELL("contenu",$B$2))))="","----",CELL("contenu",INDIRECT(ADDRESS(VS1,1,1,1,CELL("contenu",$B$2)))))</f>
        <v>----</v>
      </c>
      <c r="VT2" s="65"/>
      <c r="VU2" s="65"/>
      <c r="VV2" s="65"/>
      <c r="VW2" s="65"/>
      <c r="VX2" s="65"/>
      <c r="VY2" s="65"/>
      <c r="VZ2" s="65"/>
      <c r="WA2" s="65"/>
      <c r="WB2" s="65"/>
      <c r="WC2" s="65"/>
      <c r="WD2" s="65"/>
      <c r="WE2" s="65"/>
      <c r="WF2" s="65"/>
      <c r="WG2" s="65"/>
      <c r="WH2" s="65"/>
      <c r="WI2" s="66"/>
      <c r="WJ2" s="65" t="str">
        <f ca="1">IF(CELL("contenu",INDIRECT(ADDRESS(WJ1,1,1,1,CELL("contenu",$B$2))))="","----",CELL("contenu",INDIRECT(ADDRESS(WJ1,1,1,1,CELL("contenu",$B$2)))))</f>
        <v>----</v>
      </c>
      <c r="WK2" s="65"/>
      <c r="WL2" s="65"/>
      <c r="WM2" s="65"/>
      <c r="WN2" s="65"/>
      <c r="WO2" s="65"/>
      <c r="WP2" s="65"/>
      <c r="WQ2" s="65"/>
      <c r="WR2" s="65"/>
      <c r="WS2" s="65"/>
      <c r="WT2" s="65"/>
      <c r="WU2" s="65"/>
      <c r="WV2" s="65"/>
      <c r="WW2" s="65"/>
      <c r="WX2" s="65"/>
      <c r="WY2" s="65"/>
      <c r="WZ2" s="66"/>
    </row>
    <row r="3" spans="1:624" ht="60" customHeight="1" thickBot="1" x14ac:dyDescent="0.6">
      <c r="A3" s="142"/>
      <c r="B3" s="143" t="s">
        <v>34</v>
      </c>
      <c r="C3" s="67" t="s">
        <v>197</v>
      </c>
      <c r="D3" s="68" t="s">
        <v>199</v>
      </c>
      <c r="E3" s="69"/>
      <c r="F3" s="157" t="s">
        <v>7</v>
      </c>
      <c r="G3" s="158"/>
      <c r="H3" s="67" t="s">
        <v>202</v>
      </c>
      <c r="I3" s="72"/>
      <c r="J3" s="69"/>
      <c r="K3" s="69"/>
      <c r="L3" s="173" t="s">
        <v>8</v>
      </c>
      <c r="M3" s="174"/>
      <c r="N3" s="67" t="s">
        <v>203</v>
      </c>
      <c r="O3" s="72" t="s">
        <v>204</v>
      </c>
      <c r="P3" s="69" t="s">
        <v>205</v>
      </c>
      <c r="Q3" s="69" t="s">
        <v>206</v>
      </c>
      <c r="R3" s="69"/>
      <c r="S3" s="69"/>
      <c r="T3" s="179" t="s">
        <v>9</v>
      </c>
      <c r="U3" s="180"/>
      <c r="V3" s="181" t="s">
        <v>10</v>
      </c>
      <c r="W3" s="182"/>
      <c r="X3" s="79" t="str">
        <f>IF(C3="","",C3)</f>
        <v>Frise atome</v>
      </c>
      <c r="Y3" s="80" t="str">
        <f>IF(D3="","",D3)</f>
        <v>Evaluation CH1 CH2</v>
      </c>
      <c r="Z3" s="81" t="str">
        <f>IF(E3="","",E3)</f>
        <v/>
      </c>
      <c r="AA3" s="157" t="s">
        <v>7</v>
      </c>
      <c r="AB3" s="158"/>
      <c r="AC3" s="82" t="str">
        <f>IF(H3="","",H3)</f>
        <v>Fiche O1/1</v>
      </c>
      <c r="AD3" s="80" t="str">
        <f>IF(I3="","",I3)</f>
        <v/>
      </c>
      <c r="AE3" s="200" t="str">
        <f>IF(J3="","",J3)</f>
        <v/>
      </c>
      <c r="AF3" s="81" t="str">
        <f>IF(K3="","",K3)</f>
        <v/>
      </c>
      <c r="AG3" s="173" t="s">
        <v>8</v>
      </c>
      <c r="AH3" s="174"/>
      <c r="AI3" s="82" t="str">
        <f t="shared" ref="AI3:AN3" si="0">IF(N3="","",N3)</f>
        <v>Fiche O2/3</v>
      </c>
      <c r="AJ3" s="80" t="str">
        <f t="shared" si="0"/>
        <v>EC</v>
      </c>
      <c r="AK3" s="200" t="str">
        <f t="shared" si="0"/>
        <v>Fiche CH3/3</v>
      </c>
      <c r="AL3" s="200" t="str">
        <f t="shared" si="0"/>
        <v>Fiche CH3/4</v>
      </c>
      <c r="AM3" s="200" t="str">
        <f t="shared" si="0"/>
        <v/>
      </c>
      <c r="AN3" s="81" t="str">
        <f t="shared" si="0"/>
        <v/>
      </c>
      <c r="AO3" s="179" t="s">
        <v>9</v>
      </c>
      <c r="AP3" s="180"/>
      <c r="AQ3" s="181" t="s">
        <v>10</v>
      </c>
      <c r="AR3" s="182"/>
      <c r="AS3" s="79" t="str">
        <f>IF(X3="","",X3)</f>
        <v>Frise atome</v>
      </c>
      <c r="AT3" s="80" t="str">
        <f>IF(Y3="","",Y3)</f>
        <v>Evaluation CH1 CH2</v>
      </c>
      <c r="AU3" s="81" t="str">
        <f>IF(Z3="","",Z3)</f>
        <v/>
      </c>
      <c r="AV3" s="157" t="s">
        <v>7</v>
      </c>
      <c r="AW3" s="158"/>
      <c r="AX3" s="82" t="str">
        <f>IF(AC3="","",AC3)</f>
        <v>Fiche O1/1</v>
      </c>
      <c r="AY3" s="80" t="str">
        <f>IF(AD3="","",AD3)</f>
        <v/>
      </c>
      <c r="AZ3" s="200" t="str">
        <f>IF(AE3="","",AE3)</f>
        <v/>
      </c>
      <c r="BA3" s="81" t="str">
        <f>IF(AF3="","",AF3)</f>
        <v/>
      </c>
      <c r="BB3" s="173" t="s">
        <v>8</v>
      </c>
      <c r="BC3" s="174"/>
      <c r="BD3" s="82" t="str">
        <f t="shared" ref="BD3:BI3" si="1">IF(AI3="","",AI3)</f>
        <v>Fiche O2/3</v>
      </c>
      <c r="BE3" s="80" t="str">
        <f t="shared" si="1"/>
        <v>EC</v>
      </c>
      <c r="BF3" s="200" t="str">
        <f t="shared" si="1"/>
        <v>Fiche CH3/3</v>
      </c>
      <c r="BG3" s="200" t="str">
        <f t="shared" si="1"/>
        <v>Fiche CH3/4</v>
      </c>
      <c r="BH3" s="200" t="str">
        <f t="shared" si="1"/>
        <v/>
      </c>
      <c r="BI3" s="81" t="str">
        <f t="shared" si="1"/>
        <v/>
      </c>
      <c r="BJ3" s="179" t="s">
        <v>9</v>
      </c>
      <c r="BK3" s="180"/>
      <c r="BL3" s="181" t="s">
        <v>10</v>
      </c>
      <c r="BM3" s="182"/>
      <c r="BN3" s="79" t="str">
        <f>IF(AS3="","",AS3)</f>
        <v>Frise atome</v>
      </c>
      <c r="BO3" s="80" t="str">
        <f>IF(AT3="","",AT3)</f>
        <v>Evaluation CH1 CH2</v>
      </c>
      <c r="BP3" s="81" t="str">
        <f>IF(AU3="","",AU3)</f>
        <v/>
      </c>
      <c r="BQ3" s="157" t="s">
        <v>7</v>
      </c>
      <c r="BR3" s="158"/>
      <c r="BS3" s="82" t="str">
        <f>IF(AX3="","",AX3)</f>
        <v>Fiche O1/1</v>
      </c>
      <c r="BT3" s="80" t="str">
        <f>IF(AY3="","",AY3)</f>
        <v/>
      </c>
      <c r="BU3" s="200" t="str">
        <f>IF(AZ3="","",AZ3)</f>
        <v/>
      </c>
      <c r="BV3" s="81" t="str">
        <f>IF(BA3="","",BA3)</f>
        <v/>
      </c>
      <c r="BW3" s="173" t="s">
        <v>8</v>
      </c>
      <c r="BX3" s="174"/>
      <c r="BY3" s="82" t="str">
        <f t="shared" ref="BY3:CD3" si="2">IF(BD3="","",BD3)</f>
        <v>Fiche O2/3</v>
      </c>
      <c r="BZ3" s="80" t="str">
        <f t="shared" si="2"/>
        <v>EC</v>
      </c>
      <c r="CA3" s="200" t="str">
        <f t="shared" si="2"/>
        <v>Fiche CH3/3</v>
      </c>
      <c r="CB3" s="200" t="str">
        <f t="shared" si="2"/>
        <v>Fiche CH3/4</v>
      </c>
      <c r="CC3" s="200" t="str">
        <f t="shared" si="2"/>
        <v/>
      </c>
      <c r="CD3" s="81" t="str">
        <f t="shared" si="2"/>
        <v/>
      </c>
      <c r="CE3" s="179" t="s">
        <v>9</v>
      </c>
      <c r="CF3" s="180"/>
      <c r="CG3" s="181" t="s">
        <v>10</v>
      </c>
      <c r="CH3" s="182"/>
      <c r="CI3" s="79" t="str">
        <f>IF(BN3="","",BN3)</f>
        <v>Frise atome</v>
      </c>
      <c r="CJ3" s="80" t="str">
        <f>IF(BO3="","",BO3)</f>
        <v>Evaluation CH1 CH2</v>
      </c>
      <c r="CK3" s="81" t="str">
        <f>IF(BP3="","",BP3)</f>
        <v/>
      </c>
      <c r="CL3" s="157" t="s">
        <v>7</v>
      </c>
      <c r="CM3" s="158"/>
      <c r="CN3" s="82" t="str">
        <f>IF(BS3="","",BS3)</f>
        <v>Fiche O1/1</v>
      </c>
      <c r="CO3" s="80" t="str">
        <f>IF(BT3="","",BT3)</f>
        <v/>
      </c>
      <c r="CP3" s="200" t="str">
        <f>IF(BU3="","",BU3)</f>
        <v/>
      </c>
      <c r="CQ3" s="81" t="str">
        <f>IF(BV3="","",BV3)</f>
        <v/>
      </c>
      <c r="CR3" s="173" t="s">
        <v>8</v>
      </c>
      <c r="CS3" s="174"/>
      <c r="CT3" s="82" t="str">
        <f t="shared" ref="CT3:CY3" si="3">IF(BY3="","",BY3)</f>
        <v>Fiche O2/3</v>
      </c>
      <c r="CU3" s="80" t="str">
        <f t="shared" si="3"/>
        <v>EC</v>
      </c>
      <c r="CV3" s="200" t="str">
        <f t="shared" si="3"/>
        <v>Fiche CH3/3</v>
      </c>
      <c r="CW3" s="200" t="str">
        <f t="shared" si="3"/>
        <v>Fiche CH3/4</v>
      </c>
      <c r="CX3" s="200" t="str">
        <f t="shared" si="3"/>
        <v/>
      </c>
      <c r="CY3" s="81" t="str">
        <f t="shared" si="3"/>
        <v/>
      </c>
      <c r="CZ3" s="179" t="s">
        <v>9</v>
      </c>
      <c r="DA3" s="180"/>
      <c r="DB3" s="181" t="s">
        <v>10</v>
      </c>
      <c r="DC3" s="182"/>
      <c r="DD3" s="79" t="str">
        <f>IF(CI3="","",CI3)</f>
        <v>Frise atome</v>
      </c>
      <c r="DE3" s="80" t="str">
        <f>IF(CJ3="","",CJ3)</f>
        <v>Evaluation CH1 CH2</v>
      </c>
      <c r="DF3" s="81" t="str">
        <f>IF(CK3="","",CK3)</f>
        <v/>
      </c>
      <c r="DG3" s="157" t="s">
        <v>7</v>
      </c>
      <c r="DH3" s="158"/>
      <c r="DI3" s="82" t="str">
        <f>IF(CN3="","",CN3)</f>
        <v>Fiche O1/1</v>
      </c>
      <c r="DJ3" s="80" t="str">
        <f>IF(CO3="","",CO3)</f>
        <v/>
      </c>
      <c r="DK3" s="200" t="str">
        <f>IF(CP3="","",CP3)</f>
        <v/>
      </c>
      <c r="DL3" s="81" t="str">
        <f>IF(CQ3="","",CQ3)</f>
        <v/>
      </c>
      <c r="DM3" s="173" t="s">
        <v>8</v>
      </c>
      <c r="DN3" s="174"/>
      <c r="DO3" s="82" t="str">
        <f t="shared" ref="DO3:DT3" si="4">IF(CT3="","",CT3)</f>
        <v>Fiche O2/3</v>
      </c>
      <c r="DP3" s="80" t="str">
        <f t="shared" si="4"/>
        <v>EC</v>
      </c>
      <c r="DQ3" s="200" t="str">
        <f t="shared" si="4"/>
        <v>Fiche CH3/3</v>
      </c>
      <c r="DR3" s="200" t="str">
        <f t="shared" si="4"/>
        <v>Fiche CH3/4</v>
      </c>
      <c r="DS3" s="200" t="str">
        <f t="shared" si="4"/>
        <v/>
      </c>
      <c r="DT3" s="81" t="str">
        <f t="shared" si="4"/>
        <v/>
      </c>
      <c r="DU3" s="179" t="s">
        <v>9</v>
      </c>
      <c r="DV3" s="180"/>
      <c r="DW3" s="181" t="s">
        <v>10</v>
      </c>
      <c r="DX3" s="182"/>
      <c r="DY3" s="79" t="str">
        <f>IF(DD3="","",DD3)</f>
        <v>Frise atome</v>
      </c>
      <c r="DZ3" s="80" t="str">
        <f>IF(DE3="","",DE3)</f>
        <v>Evaluation CH1 CH2</v>
      </c>
      <c r="EA3" s="81" t="str">
        <f>IF(DF3="","",DF3)</f>
        <v/>
      </c>
      <c r="EB3" s="157" t="s">
        <v>7</v>
      </c>
      <c r="EC3" s="158"/>
      <c r="ED3" s="82" t="str">
        <f>IF(DI3="","",DI3)</f>
        <v>Fiche O1/1</v>
      </c>
      <c r="EE3" s="80" t="str">
        <f>IF(DJ3="","",DJ3)</f>
        <v/>
      </c>
      <c r="EF3" s="200" t="str">
        <f>IF(DK3="","",DK3)</f>
        <v/>
      </c>
      <c r="EG3" s="81" t="str">
        <f>IF(DL3="","",DL3)</f>
        <v/>
      </c>
      <c r="EH3" s="173" t="s">
        <v>8</v>
      </c>
      <c r="EI3" s="174"/>
      <c r="EJ3" s="82" t="str">
        <f t="shared" ref="EJ3:EO3" si="5">IF(DO3="","",DO3)</f>
        <v>Fiche O2/3</v>
      </c>
      <c r="EK3" s="80" t="str">
        <f t="shared" si="5"/>
        <v>EC</v>
      </c>
      <c r="EL3" s="200" t="str">
        <f t="shared" si="5"/>
        <v>Fiche CH3/3</v>
      </c>
      <c r="EM3" s="200" t="str">
        <f t="shared" si="5"/>
        <v>Fiche CH3/4</v>
      </c>
      <c r="EN3" s="200" t="str">
        <f t="shared" si="5"/>
        <v/>
      </c>
      <c r="EO3" s="81" t="str">
        <f t="shared" si="5"/>
        <v/>
      </c>
      <c r="EP3" s="179" t="s">
        <v>9</v>
      </c>
      <c r="EQ3" s="180"/>
      <c r="ER3" s="181" t="s">
        <v>10</v>
      </c>
      <c r="ES3" s="182"/>
      <c r="ET3" s="79" t="str">
        <f>IF(DY3="","",DY3)</f>
        <v>Frise atome</v>
      </c>
      <c r="EU3" s="80" t="str">
        <f>IF(DZ3="","",DZ3)</f>
        <v>Evaluation CH1 CH2</v>
      </c>
      <c r="EV3" s="81" t="str">
        <f>IF(EA3="","",EA3)</f>
        <v/>
      </c>
      <c r="EW3" s="157" t="s">
        <v>7</v>
      </c>
      <c r="EX3" s="158"/>
      <c r="EY3" s="82" t="str">
        <f>IF(ED3="","",ED3)</f>
        <v>Fiche O1/1</v>
      </c>
      <c r="EZ3" s="80" t="str">
        <f>IF(EE3="","",EE3)</f>
        <v/>
      </c>
      <c r="FA3" s="200" t="str">
        <f>IF(EF3="","",EF3)</f>
        <v/>
      </c>
      <c r="FB3" s="81" t="str">
        <f>IF(EG3="","",EG3)</f>
        <v/>
      </c>
      <c r="FC3" s="173" t="s">
        <v>8</v>
      </c>
      <c r="FD3" s="174"/>
      <c r="FE3" s="82" t="str">
        <f t="shared" ref="FE3:FJ3" si="6">IF(EJ3="","",EJ3)</f>
        <v>Fiche O2/3</v>
      </c>
      <c r="FF3" s="80" t="str">
        <f t="shared" si="6"/>
        <v>EC</v>
      </c>
      <c r="FG3" s="200" t="str">
        <f t="shared" si="6"/>
        <v>Fiche CH3/3</v>
      </c>
      <c r="FH3" s="200" t="str">
        <f t="shared" si="6"/>
        <v>Fiche CH3/4</v>
      </c>
      <c r="FI3" s="200" t="str">
        <f t="shared" si="6"/>
        <v/>
      </c>
      <c r="FJ3" s="81" t="str">
        <f t="shared" si="6"/>
        <v/>
      </c>
      <c r="FK3" s="179" t="s">
        <v>9</v>
      </c>
      <c r="FL3" s="180"/>
      <c r="FM3" s="181" t="s">
        <v>10</v>
      </c>
      <c r="FN3" s="182"/>
      <c r="FO3" s="79" t="str">
        <f>IF(ET3="","",ET3)</f>
        <v>Frise atome</v>
      </c>
      <c r="FP3" s="80" t="str">
        <f>IF(EU3="","",EU3)</f>
        <v>Evaluation CH1 CH2</v>
      </c>
      <c r="FQ3" s="81" t="str">
        <f>IF(EV3="","",EV3)</f>
        <v/>
      </c>
      <c r="FR3" s="157" t="s">
        <v>7</v>
      </c>
      <c r="FS3" s="158"/>
      <c r="FT3" s="82" t="str">
        <f>IF(EY3="","",EY3)</f>
        <v>Fiche O1/1</v>
      </c>
      <c r="FU3" s="80" t="str">
        <f>IF(EZ3="","",EZ3)</f>
        <v/>
      </c>
      <c r="FV3" s="200" t="str">
        <f>IF(FA3="","",FA3)</f>
        <v/>
      </c>
      <c r="FW3" s="81" t="str">
        <f>IF(FB3="","",FB3)</f>
        <v/>
      </c>
      <c r="FX3" s="173" t="s">
        <v>8</v>
      </c>
      <c r="FY3" s="174"/>
      <c r="FZ3" s="82" t="str">
        <f t="shared" ref="FZ3:GE3" si="7">IF(FE3="","",FE3)</f>
        <v>Fiche O2/3</v>
      </c>
      <c r="GA3" s="80" t="str">
        <f t="shared" si="7"/>
        <v>EC</v>
      </c>
      <c r="GB3" s="200" t="str">
        <f t="shared" si="7"/>
        <v>Fiche CH3/3</v>
      </c>
      <c r="GC3" s="200" t="str">
        <f t="shared" si="7"/>
        <v>Fiche CH3/4</v>
      </c>
      <c r="GD3" s="200" t="str">
        <f t="shared" si="7"/>
        <v/>
      </c>
      <c r="GE3" s="81" t="str">
        <f t="shared" si="7"/>
        <v/>
      </c>
      <c r="GF3" s="179" t="s">
        <v>9</v>
      </c>
      <c r="GG3" s="180"/>
      <c r="GH3" s="181" t="s">
        <v>10</v>
      </c>
      <c r="GI3" s="182"/>
      <c r="GJ3" s="79" t="str">
        <f>IF(FO3="","",FO3)</f>
        <v>Frise atome</v>
      </c>
      <c r="GK3" s="80" t="str">
        <f>IF(FP3="","",FP3)</f>
        <v>Evaluation CH1 CH2</v>
      </c>
      <c r="GL3" s="81" t="str">
        <f>IF(FQ3="","",FQ3)</f>
        <v/>
      </c>
      <c r="GM3" s="157" t="s">
        <v>7</v>
      </c>
      <c r="GN3" s="158"/>
      <c r="GO3" s="82" t="str">
        <f>IF(FT3="","",FT3)</f>
        <v>Fiche O1/1</v>
      </c>
      <c r="GP3" s="80" t="str">
        <f>IF(FU3="","",FU3)</f>
        <v/>
      </c>
      <c r="GQ3" s="200" t="str">
        <f>IF(FV3="","",FV3)</f>
        <v/>
      </c>
      <c r="GR3" s="81" t="str">
        <f>IF(FW3="","",FW3)</f>
        <v/>
      </c>
      <c r="GS3" s="173" t="s">
        <v>8</v>
      </c>
      <c r="GT3" s="174"/>
      <c r="GU3" s="82" t="str">
        <f t="shared" ref="GU3:GZ3" si="8">IF(FZ3="","",FZ3)</f>
        <v>Fiche O2/3</v>
      </c>
      <c r="GV3" s="80" t="str">
        <f t="shared" si="8"/>
        <v>EC</v>
      </c>
      <c r="GW3" s="200" t="str">
        <f t="shared" si="8"/>
        <v>Fiche CH3/3</v>
      </c>
      <c r="GX3" s="200" t="str">
        <f t="shared" si="8"/>
        <v>Fiche CH3/4</v>
      </c>
      <c r="GY3" s="200" t="str">
        <f t="shared" si="8"/>
        <v/>
      </c>
      <c r="GZ3" s="81" t="str">
        <f t="shared" si="8"/>
        <v/>
      </c>
      <c r="HA3" s="179" t="s">
        <v>9</v>
      </c>
      <c r="HB3" s="180"/>
      <c r="HC3" s="181" t="s">
        <v>10</v>
      </c>
      <c r="HD3" s="182"/>
      <c r="HE3" s="79" t="str">
        <f>IF(GJ3="","",GJ3)</f>
        <v>Frise atome</v>
      </c>
      <c r="HF3" s="80" t="str">
        <f>IF(GK3="","",GK3)</f>
        <v>Evaluation CH1 CH2</v>
      </c>
      <c r="HG3" s="81" t="str">
        <f>IF(GL3="","",GL3)</f>
        <v/>
      </c>
      <c r="HH3" s="157" t="s">
        <v>7</v>
      </c>
      <c r="HI3" s="158"/>
      <c r="HJ3" s="82" t="str">
        <f>IF(GO3="","",GO3)</f>
        <v>Fiche O1/1</v>
      </c>
      <c r="HK3" s="80" t="str">
        <f>IF(GP3="","",GP3)</f>
        <v/>
      </c>
      <c r="HL3" s="200" t="str">
        <f>IF(GQ3="","",GQ3)</f>
        <v/>
      </c>
      <c r="HM3" s="81" t="str">
        <f>IF(GR3="","",GR3)</f>
        <v/>
      </c>
      <c r="HN3" s="173" t="s">
        <v>8</v>
      </c>
      <c r="HO3" s="174"/>
      <c r="HP3" s="82" t="str">
        <f t="shared" ref="HP3:HU3" si="9">IF(GU3="","",GU3)</f>
        <v>Fiche O2/3</v>
      </c>
      <c r="HQ3" s="80" t="str">
        <f t="shared" si="9"/>
        <v>EC</v>
      </c>
      <c r="HR3" s="200" t="str">
        <f t="shared" si="9"/>
        <v>Fiche CH3/3</v>
      </c>
      <c r="HS3" s="200" t="str">
        <f t="shared" si="9"/>
        <v>Fiche CH3/4</v>
      </c>
      <c r="HT3" s="200" t="str">
        <f t="shared" si="9"/>
        <v/>
      </c>
      <c r="HU3" s="81" t="str">
        <f t="shared" si="9"/>
        <v/>
      </c>
      <c r="HV3" s="179" t="s">
        <v>9</v>
      </c>
      <c r="HW3" s="180"/>
      <c r="HX3" s="181" t="s">
        <v>10</v>
      </c>
      <c r="HY3" s="182"/>
      <c r="HZ3" s="79" t="str">
        <f>IF(HE3="","",HE3)</f>
        <v>Frise atome</v>
      </c>
      <c r="IA3" s="80" t="str">
        <f>IF(HF3="","",HF3)</f>
        <v>Evaluation CH1 CH2</v>
      </c>
      <c r="IB3" s="81" t="str">
        <f>IF(HG3="","",HG3)</f>
        <v/>
      </c>
      <c r="IC3" s="157" t="s">
        <v>7</v>
      </c>
      <c r="ID3" s="158"/>
      <c r="IE3" s="82" t="str">
        <f>IF(HJ3="","",HJ3)</f>
        <v>Fiche O1/1</v>
      </c>
      <c r="IF3" s="80" t="str">
        <f>IF(HK3="","",HK3)</f>
        <v/>
      </c>
      <c r="IG3" s="200" t="str">
        <f>IF(HL3="","",HL3)</f>
        <v/>
      </c>
      <c r="IH3" s="81" t="str">
        <f>IF(HM3="","",HM3)</f>
        <v/>
      </c>
      <c r="II3" s="173" t="s">
        <v>8</v>
      </c>
      <c r="IJ3" s="174"/>
      <c r="IK3" s="82" t="str">
        <f t="shared" ref="IK3:IP3" si="10">IF(HP3="","",HP3)</f>
        <v>Fiche O2/3</v>
      </c>
      <c r="IL3" s="80" t="str">
        <f t="shared" si="10"/>
        <v>EC</v>
      </c>
      <c r="IM3" s="200" t="str">
        <f t="shared" si="10"/>
        <v>Fiche CH3/3</v>
      </c>
      <c r="IN3" s="200" t="str">
        <f t="shared" si="10"/>
        <v>Fiche CH3/4</v>
      </c>
      <c r="IO3" s="200" t="str">
        <f t="shared" si="10"/>
        <v/>
      </c>
      <c r="IP3" s="81" t="str">
        <f t="shared" si="10"/>
        <v/>
      </c>
      <c r="IQ3" s="179" t="s">
        <v>9</v>
      </c>
      <c r="IR3" s="180"/>
      <c r="IS3" s="181" t="s">
        <v>10</v>
      </c>
      <c r="IT3" s="182"/>
      <c r="IU3" s="79" t="str">
        <f>IF(HZ3="","",HZ3)</f>
        <v>Frise atome</v>
      </c>
      <c r="IV3" s="80" t="str">
        <f>IF(IA3="","",IA3)</f>
        <v>Evaluation CH1 CH2</v>
      </c>
      <c r="IW3" s="81" t="str">
        <f>IF(IB3="","",IB3)</f>
        <v/>
      </c>
      <c r="IX3" s="157" t="s">
        <v>7</v>
      </c>
      <c r="IY3" s="158"/>
      <c r="IZ3" s="82" t="str">
        <f>IF(IE3="","",IE3)</f>
        <v>Fiche O1/1</v>
      </c>
      <c r="JA3" s="80" t="str">
        <f>IF(IF3="","",IF3)</f>
        <v/>
      </c>
      <c r="JB3" s="200" t="str">
        <f>IF(IG3="","",IG3)</f>
        <v/>
      </c>
      <c r="JC3" s="81" t="str">
        <f>IF(IH3="","",IH3)</f>
        <v/>
      </c>
      <c r="JD3" s="173" t="s">
        <v>8</v>
      </c>
      <c r="JE3" s="174"/>
      <c r="JF3" s="82" t="str">
        <f t="shared" ref="JF3:JK3" si="11">IF(IK3="","",IK3)</f>
        <v>Fiche O2/3</v>
      </c>
      <c r="JG3" s="80" t="str">
        <f t="shared" si="11"/>
        <v>EC</v>
      </c>
      <c r="JH3" s="200" t="str">
        <f t="shared" si="11"/>
        <v>Fiche CH3/3</v>
      </c>
      <c r="JI3" s="200" t="str">
        <f t="shared" si="11"/>
        <v>Fiche CH3/4</v>
      </c>
      <c r="JJ3" s="200" t="str">
        <f t="shared" si="11"/>
        <v/>
      </c>
      <c r="JK3" s="81" t="str">
        <f t="shared" si="11"/>
        <v/>
      </c>
      <c r="JL3" s="179" t="s">
        <v>9</v>
      </c>
      <c r="JM3" s="180"/>
      <c r="JN3" s="181" t="s">
        <v>10</v>
      </c>
      <c r="JO3" s="182"/>
      <c r="JP3" s="79" t="str">
        <f>IF(IU3="","",IU3)</f>
        <v>Frise atome</v>
      </c>
      <c r="JQ3" s="80" t="str">
        <f>IF(IV3="","",IV3)</f>
        <v>Evaluation CH1 CH2</v>
      </c>
      <c r="JR3" s="81" t="str">
        <f>IF(IW3="","",IW3)</f>
        <v/>
      </c>
      <c r="JS3" s="157" t="s">
        <v>7</v>
      </c>
      <c r="JT3" s="158"/>
      <c r="JU3" s="82" t="str">
        <f>IF(IZ3="","",IZ3)</f>
        <v>Fiche O1/1</v>
      </c>
      <c r="JV3" s="80" t="str">
        <f>IF(JA3="","",JA3)</f>
        <v/>
      </c>
      <c r="JW3" s="200" t="str">
        <f>IF(JB3="","",JB3)</f>
        <v/>
      </c>
      <c r="JX3" s="81" t="str">
        <f>IF(JC3="","",JC3)</f>
        <v/>
      </c>
      <c r="JY3" s="173" t="s">
        <v>8</v>
      </c>
      <c r="JZ3" s="174"/>
      <c r="KA3" s="82" t="str">
        <f t="shared" ref="KA3:KF3" si="12">IF(JF3="","",JF3)</f>
        <v>Fiche O2/3</v>
      </c>
      <c r="KB3" s="80" t="str">
        <f t="shared" si="12"/>
        <v>EC</v>
      </c>
      <c r="KC3" s="200" t="str">
        <f t="shared" si="12"/>
        <v>Fiche CH3/3</v>
      </c>
      <c r="KD3" s="200" t="str">
        <f t="shared" si="12"/>
        <v>Fiche CH3/4</v>
      </c>
      <c r="KE3" s="200" t="str">
        <f t="shared" si="12"/>
        <v/>
      </c>
      <c r="KF3" s="81" t="str">
        <f t="shared" si="12"/>
        <v/>
      </c>
      <c r="KG3" s="179" t="s">
        <v>9</v>
      </c>
      <c r="KH3" s="180"/>
      <c r="KI3" s="181" t="s">
        <v>10</v>
      </c>
      <c r="KJ3" s="182"/>
      <c r="KK3" s="79" t="str">
        <f>IF(JP3="","",JP3)</f>
        <v>Frise atome</v>
      </c>
      <c r="KL3" s="80" t="str">
        <f>IF(JQ3="","",JQ3)</f>
        <v>Evaluation CH1 CH2</v>
      </c>
      <c r="KM3" s="81" t="str">
        <f>IF(JR3="","",JR3)</f>
        <v/>
      </c>
      <c r="KN3" s="157" t="s">
        <v>7</v>
      </c>
      <c r="KO3" s="158"/>
      <c r="KP3" s="82" t="str">
        <f>IF(JU3="","",JU3)</f>
        <v>Fiche O1/1</v>
      </c>
      <c r="KQ3" s="80" t="str">
        <f>IF(JV3="","",JV3)</f>
        <v/>
      </c>
      <c r="KR3" s="200" t="str">
        <f>IF(JW3="","",JW3)</f>
        <v/>
      </c>
      <c r="KS3" s="81" t="str">
        <f>IF(JX3="","",JX3)</f>
        <v/>
      </c>
      <c r="KT3" s="173" t="s">
        <v>8</v>
      </c>
      <c r="KU3" s="174"/>
      <c r="KV3" s="82" t="str">
        <f t="shared" ref="KV3:LA3" si="13">IF(KA3="","",KA3)</f>
        <v>Fiche O2/3</v>
      </c>
      <c r="KW3" s="80" t="str">
        <f t="shared" si="13"/>
        <v>EC</v>
      </c>
      <c r="KX3" s="200" t="str">
        <f t="shared" si="13"/>
        <v>Fiche CH3/3</v>
      </c>
      <c r="KY3" s="200" t="str">
        <f t="shared" si="13"/>
        <v>Fiche CH3/4</v>
      </c>
      <c r="KZ3" s="200" t="str">
        <f t="shared" si="13"/>
        <v/>
      </c>
      <c r="LA3" s="81" t="str">
        <f t="shared" si="13"/>
        <v/>
      </c>
      <c r="LB3" s="179" t="s">
        <v>9</v>
      </c>
      <c r="LC3" s="180"/>
      <c r="LD3" s="181" t="s">
        <v>10</v>
      </c>
      <c r="LE3" s="182"/>
      <c r="LF3" s="79" t="str">
        <f>IF(KK3="","",KK3)</f>
        <v>Frise atome</v>
      </c>
      <c r="LG3" s="80" t="str">
        <f>IF(KL3="","",KL3)</f>
        <v>Evaluation CH1 CH2</v>
      </c>
      <c r="LH3" s="81" t="str">
        <f>IF(KM3="","",KM3)</f>
        <v/>
      </c>
      <c r="LI3" s="157" t="s">
        <v>7</v>
      </c>
      <c r="LJ3" s="158"/>
      <c r="LK3" s="82" t="str">
        <f>IF(KP3="","",KP3)</f>
        <v>Fiche O1/1</v>
      </c>
      <c r="LL3" s="80" t="str">
        <f>IF(KQ3="","",KQ3)</f>
        <v/>
      </c>
      <c r="LM3" s="200" t="str">
        <f>IF(KR3="","",KR3)</f>
        <v/>
      </c>
      <c r="LN3" s="81" t="str">
        <f>IF(KS3="","",KS3)</f>
        <v/>
      </c>
      <c r="LO3" s="173" t="s">
        <v>8</v>
      </c>
      <c r="LP3" s="174"/>
      <c r="LQ3" s="82" t="str">
        <f t="shared" ref="LQ3:LV3" si="14">IF(KV3="","",KV3)</f>
        <v>Fiche O2/3</v>
      </c>
      <c r="LR3" s="80" t="str">
        <f t="shared" si="14"/>
        <v>EC</v>
      </c>
      <c r="LS3" s="200" t="str">
        <f t="shared" si="14"/>
        <v>Fiche CH3/3</v>
      </c>
      <c r="LT3" s="200" t="str">
        <f t="shared" si="14"/>
        <v>Fiche CH3/4</v>
      </c>
      <c r="LU3" s="200" t="str">
        <f t="shared" si="14"/>
        <v/>
      </c>
      <c r="LV3" s="81" t="str">
        <f t="shared" si="14"/>
        <v/>
      </c>
      <c r="LW3" s="179" t="s">
        <v>9</v>
      </c>
      <c r="LX3" s="180"/>
      <c r="LY3" s="181" t="s">
        <v>10</v>
      </c>
      <c r="LZ3" s="182"/>
      <c r="MA3" s="79" t="str">
        <f>IF(LF3="","",LF3)</f>
        <v>Frise atome</v>
      </c>
      <c r="MB3" s="80" t="str">
        <f>IF(LG3="","",LG3)</f>
        <v>Evaluation CH1 CH2</v>
      </c>
      <c r="MC3" s="81" t="str">
        <f>IF(LH3="","",LH3)</f>
        <v/>
      </c>
      <c r="MD3" s="157" t="s">
        <v>7</v>
      </c>
      <c r="ME3" s="158"/>
      <c r="MF3" s="82" t="str">
        <f>IF(LK3="","",LK3)</f>
        <v>Fiche O1/1</v>
      </c>
      <c r="MG3" s="80" t="str">
        <f>IF(LL3="","",LL3)</f>
        <v/>
      </c>
      <c r="MH3" s="200" t="str">
        <f>IF(LM3="","",LM3)</f>
        <v/>
      </c>
      <c r="MI3" s="81" t="str">
        <f>IF(LN3="","",LN3)</f>
        <v/>
      </c>
      <c r="MJ3" s="173" t="s">
        <v>8</v>
      </c>
      <c r="MK3" s="174"/>
      <c r="ML3" s="82" t="str">
        <f t="shared" ref="ML3:MQ3" si="15">IF(LQ3="","",LQ3)</f>
        <v>Fiche O2/3</v>
      </c>
      <c r="MM3" s="80" t="str">
        <f t="shared" si="15"/>
        <v>EC</v>
      </c>
      <c r="MN3" s="200" t="str">
        <f t="shared" si="15"/>
        <v>Fiche CH3/3</v>
      </c>
      <c r="MO3" s="200" t="str">
        <f t="shared" si="15"/>
        <v>Fiche CH3/4</v>
      </c>
      <c r="MP3" s="200" t="str">
        <f t="shared" si="15"/>
        <v/>
      </c>
      <c r="MQ3" s="81" t="str">
        <f t="shared" si="15"/>
        <v/>
      </c>
      <c r="MR3" s="179" t="s">
        <v>9</v>
      </c>
      <c r="MS3" s="180"/>
      <c r="MT3" s="181" t="s">
        <v>10</v>
      </c>
      <c r="MU3" s="182"/>
      <c r="MV3" s="79" t="str">
        <f>IF(MA3="","",MA3)</f>
        <v>Frise atome</v>
      </c>
      <c r="MW3" s="80" t="str">
        <f>IF(MB3="","",MB3)</f>
        <v>Evaluation CH1 CH2</v>
      </c>
      <c r="MX3" s="81" t="str">
        <f>IF(MC3="","",MC3)</f>
        <v/>
      </c>
      <c r="MY3" s="157" t="s">
        <v>7</v>
      </c>
      <c r="MZ3" s="158"/>
      <c r="NA3" s="82" t="str">
        <f>IF(MF3="","",MF3)</f>
        <v>Fiche O1/1</v>
      </c>
      <c r="NB3" s="80" t="str">
        <f>IF(MG3="","",MG3)</f>
        <v/>
      </c>
      <c r="NC3" s="200" t="str">
        <f>IF(MH3="","",MH3)</f>
        <v/>
      </c>
      <c r="ND3" s="81" t="str">
        <f>IF(MI3="","",MI3)</f>
        <v/>
      </c>
      <c r="NE3" s="173" t="s">
        <v>8</v>
      </c>
      <c r="NF3" s="174"/>
      <c r="NG3" s="82" t="str">
        <f t="shared" ref="NG3:NL3" si="16">IF(ML3="","",ML3)</f>
        <v>Fiche O2/3</v>
      </c>
      <c r="NH3" s="80" t="str">
        <f t="shared" si="16"/>
        <v>EC</v>
      </c>
      <c r="NI3" s="200" t="str">
        <f t="shared" si="16"/>
        <v>Fiche CH3/3</v>
      </c>
      <c r="NJ3" s="200" t="str">
        <f t="shared" si="16"/>
        <v>Fiche CH3/4</v>
      </c>
      <c r="NK3" s="200" t="str">
        <f t="shared" si="16"/>
        <v/>
      </c>
      <c r="NL3" s="81" t="str">
        <f t="shared" si="16"/>
        <v/>
      </c>
      <c r="NM3" s="179" t="s">
        <v>9</v>
      </c>
      <c r="NN3" s="180"/>
      <c r="NO3" s="181" t="s">
        <v>10</v>
      </c>
      <c r="NP3" s="182"/>
      <c r="NQ3" s="79" t="str">
        <f>IF(MV3="","",MV3)</f>
        <v>Frise atome</v>
      </c>
      <c r="NR3" s="80" t="str">
        <f>IF(MW3="","",MW3)</f>
        <v>Evaluation CH1 CH2</v>
      </c>
      <c r="NS3" s="81" t="str">
        <f>IF(MX3="","",MX3)</f>
        <v/>
      </c>
      <c r="NT3" s="157" t="s">
        <v>7</v>
      </c>
      <c r="NU3" s="158"/>
      <c r="NV3" s="82" t="str">
        <f>IF(NA3="","",NA3)</f>
        <v>Fiche O1/1</v>
      </c>
      <c r="NW3" s="80" t="str">
        <f>IF(NB3="","",NB3)</f>
        <v/>
      </c>
      <c r="NX3" s="200" t="str">
        <f>IF(NC3="","",NC3)</f>
        <v/>
      </c>
      <c r="NY3" s="81" t="str">
        <f>IF(ND3="","",ND3)</f>
        <v/>
      </c>
      <c r="NZ3" s="173" t="s">
        <v>8</v>
      </c>
      <c r="OA3" s="174"/>
      <c r="OB3" s="82" t="str">
        <f t="shared" ref="OB3:OG3" si="17">IF(NG3="","",NG3)</f>
        <v>Fiche O2/3</v>
      </c>
      <c r="OC3" s="80" t="str">
        <f t="shared" si="17"/>
        <v>EC</v>
      </c>
      <c r="OD3" s="200" t="str">
        <f t="shared" si="17"/>
        <v>Fiche CH3/3</v>
      </c>
      <c r="OE3" s="200" t="str">
        <f t="shared" si="17"/>
        <v>Fiche CH3/4</v>
      </c>
      <c r="OF3" s="200" t="str">
        <f t="shared" si="17"/>
        <v/>
      </c>
      <c r="OG3" s="81" t="str">
        <f t="shared" si="17"/>
        <v/>
      </c>
      <c r="OH3" s="179" t="s">
        <v>9</v>
      </c>
      <c r="OI3" s="180"/>
      <c r="OJ3" s="181" t="s">
        <v>10</v>
      </c>
      <c r="OK3" s="182"/>
      <c r="OL3" s="79" t="str">
        <f>IF(NQ3="","",NQ3)</f>
        <v>Frise atome</v>
      </c>
      <c r="OM3" s="80" t="str">
        <f>IF(NR3="","",NR3)</f>
        <v>Evaluation CH1 CH2</v>
      </c>
      <c r="ON3" s="81" t="str">
        <f>IF(NS3="","",NS3)</f>
        <v/>
      </c>
      <c r="OO3" s="157" t="s">
        <v>7</v>
      </c>
      <c r="OP3" s="158"/>
      <c r="OQ3" s="82" t="str">
        <f>IF(NV3="","",NV3)</f>
        <v>Fiche O1/1</v>
      </c>
      <c r="OR3" s="80" t="str">
        <f>IF(NW3="","",NW3)</f>
        <v/>
      </c>
      <c r="OS3" s="200" t="str">
        <f>IF(NX3="","",NX3)</f>
        <v/>
      </c>
      <c r="OT3" s="81" t="str">
        <f>IF(NY3="","",NY3)</f>
        <v/>
      </c>
      <c r="OU3" s="173" t="s">
        <v>8</v>
      </c>
      <c r="OV3" s="174"/>
      <c r="OW3" s="82" t="str">
        <f t="shared" ref="OW3:PB3" si="18">IF(OB3="","",OB3)</f>
        <v>Fiche O2/3</v>
      </c>
      <c r="OX3" s="80" t="str">
        <f t="shared" si="18"/>
        <v>EC</v>
      </c>
      <c r="OY3" s="200" t="str">
        <f t="shared" si="18"/>
        <v>Fiche CH3/3</v>
      </c>
      <c r="OZ3" s="200" t="str">
        <f t="shared" si="18"/>
        <v>Fiche CH3/4</v>
      </c>
      <c r="PA3" s="200" t="str">
        <f t="shared" si="18"/>
        <v/>
      </c>
      <c r="PB3" s="81" t="str">
        <f t="shared" si="18"/>
        <v/>
      </c>
      <c r="PC3" s="179" t="s">
        <v>9</v>
      </c>
      <c r="PD3" s="180"/>
      <c r="PE3" s="181" t="s">
        <v>10</v>
      </c>
      <c r="PF3" s="182"/>
      <c r="PG3" s="79" t="str">
        <f>IF(OL3="","",OL3)</f>
        <v>Frise atome</v>
      </c>
      <c r="PH3" s="80" t="str">
        <f>IF(OM3="","",OM3)</f>
        <v>Evaluation CH1 CH2</v>
      </c>
      <c r="PI3" s="81" t="str">
        <f>IF(ON3="","",ON3)</f>
        <v/>
      </c>
      <c r="PJ3" s="157" t="s">
        <v>7</v>
      </c>
      <c r="PK3" s="158"/>
      <c r="PL3" s="82" t="str">
        <f>IF(OQ3="","",OQ3)</f>
        <v>Fiche O1/1</v>
      </c>
      <c r="PM3" s="80" t="str">
        <f>IF(OR3="","",OR3)</f>
        <v/>
      </c>
      <c r="PN3" s="200" t="str">
        <f>IF(OS3="","",OS3)</f>
        <v/>
      </c>
      <c r="PO3" s="81" t="str">
        <f>IF(OT3="","",OT3)</f>
        <v/>
      </c>
      <c r="PP3" s="173" t="s">
        <v>8</v>
      </c>
      <c r="PQ3" s="174"/>
      <c r="PR3" s="82" t="str">
        <f t="shared" ref="PR3:PW3" si="19">IF(OW3="","",OW3)</f>
        <v>Fiche O2/3</v>
      </c>
      <c r="PS3" s="80" t="str">
        <f t="shared" si="19"/>
        <v>EC</v>
      </c>
      <c r="PT3" s="200" t="str">
        <f t="shared" si="19"/>
        <v>Fiche CH3/3</v>
      </c>
      <c r="PU3" s="200" t="str">
        <f t="shared" si="19"/>
        <v>Fiche CH3/4</v>
      </c>
      <c r="PV3" s="200" t="str">
        <f t="shared" si="19"/>
        <v/>
      </c>
      <c r="PW3" s="81" t="str">
        <f t="shared" si="19"/>
        <v/>
      </c>
      <c r="PX3" s="179" t="s">
        <v>9</v>
      </c>
      <c r="PY3" s="180"/>
      <c r="PZ3" s="181" t="s">
        <v>10</v>
      </c>
      <c r="QA3" s="182"/>
      <c r="QB3" s="79" t="str">
        <f>IF(PG3="","",PG3)</f>
        <v>Frise atome</v>
      </c>
      <c r="QC3" s="80" t="str">
        <f>IF(PH3="","",PH3)</f>
        <v>Evaluation CH1 CH2</v>
      </c>
      <c r="QD3" s="81" t="str">
        <f>IF(PI3="","",PI3)</f>
        <v/>
      </c>
      <c r="QE3" s="157" t="s">
        <v>7</v>
      </c>
      <c r="QF3" s="158"/>
      <c r="QG3" s="82" t="str">
        <f>IF(PL3="","",PL3)</f>
        <v>Fiche O1/1</v>
      </c>
      <c r="QH3" s="80" t="str">
        <f>IF(PM3="","",PM3)</f>
        <v/>
      </c>
      <c r="QI3" s="200" t="str">
        <f>IF(PN3="","",PN3)</f>
        <v/>
      </c>
      <c r="QJ3" s="81" t="str">
        <f>IF(PO3="","",PO3)</f>
        <v/>
      </c>
      <c r="QK3" s="173" t="s">
        <v>8</v>
      </c>
      <c r="QL3" s="174"/>
      <c r="QM3" s="82" t="str">
        <f t="shared" ref="QM3:QR3" si="20">IF(PR3="","",PR3)</f>
        <v>Fiche O2/3</v>
      </c>
      <c r="QN3" s="80" t="str">
        <f t="shared" si="20"/>
        <v>EC</v>
      </c>
      <c r="QO3" s="200" t="str">
        <f t="shared" si="20"/>
        <v>Fiche CH3/3</v>
      </c>
      <c r="QP3" s="200" t="str">
        <f t="shared" si="20"/>
        <v>Fiche CH3/4</v>
      </c>
      <c r="QQ3" s="200" t="str">
        <f t="shared" si="20"/>
        <v/>
      </c>
      <c r="QR3" s="81" t="str">
        <f t="shared" si="20"/>
        <v/>
      </c>
      <c r="QS3" s="179" t="s">
        <v>9</v>
      </c>
      <c r="QT3" s="180"/>
      <c r="QU3" s="181" t="s">
        <v>10</v>
      </c>
      <c r="QV3" s="182"/>
      <c r="QW3" s="79" t="str">
        <f>IF(QB3="","",QB3)</f>
        <v>Frise atome</v>
      </c>
      <c r="QX3" s="80" t="str">
        <f>IF(QC3="","",QC3)</f>
        <v>Evaluation CH1 CH2</v>
      </c>
      <c r="QY3" s="81" t="str">
        <f>IF(QD3="","",QD3)</f>
        <v/>
      </c>
      <c r="QZ3" s="157" t="s">
        <v>7</v>
      </c>
      <c r="RA3" s="158"/>
      <c r="RB3" s="82" t="str">
        <f>IF(QG3="","",QG3)</f>
        <v>Fiche O1/1</v>
      </c>
      <c r="RC3" s="80" t="str">
        <f>IF(QH3="","",QH3)</f>
        <v/>
      </c>
      <c r="RD3" s="200" t="str">
        <f>IF(QI3="","",QI3)</f>
        <v/>
      </c>
      <c r="RE3" s="81" t="str">
        <f>IF(QJ3="","",QJ3)</f>
        <v/>
      </c>
      <c r="RF3" s="173" t="s">
        <v>8</v>
      </c>
      <c r="RG3" s="174"/>
      <c r="RH3" s="82" t="str">
        <f t="shared" ref="RH3:RM3" si="21">IF(QM3="","",QM3)</f>
        <v>Fiche O2/3</v>
      </c>
      <c r="RI3" s="80" t="str">
        <f t="shared" si="21"/>
        <v>EC</v>
      </c>
      <c r="RJ3" s="200" t="str">
        <f t="shared" si="21"/>
        <v>Fiche CH3/3</v>
      </c>
      <c r="RK3" s="200" t="str">
        <f t="shared" si="21"/>
        <v>Fiche CH3/4</v>
      </c>
      <c r="RL3" s="200" t="str">
        <f t="shared" si="21"/>
        <v/>
      </c>
      <c r="RM3" s="81" t="str">
        <f t="shared" si="21"/>
        <v/>
      </c>
      <c r="RN3" s="179" t="s">
        <v>9</v>
      </c>
      <c r="RO3" s="180"/>
      <c r="RP3" s="181" t="s">
        <v>10</v>
      </c>
      <c r="RQ3" s="182"/>
      <c r="RR3" s="79" t="str">
        <f>IF(QW3="","",QW3)</f>
        <v>Frise atome</v>
      </c>
      <c r="RS3" s="80" t="str">
        <f>IF(QX3="","",QX3)</f>
        <v>Evaluation CH1 CH2</v>
      </c>
      <c r="RT3" s="81" t="str">
        <f>IF(QY3="","",QY3)</f>
        <v/>
      </c>
      <c r="RU3" s="157" t="s">
        <v>7</v>
      </c>
      <c r="RV3" s="158"/>
      <c r="RW3" s="82" t="str">
        <f>IF(RB3="","",RB3)</f>
        <v>Fiche O1/1</v>
      </c>
      <c r="RX3" s="80" t="str">
        <f>IF(RC3="","",RC3)</f>
        <v/>
      </c>
      <c r="RY3" s="200" t="str">
        <f>IF(RD3="","",RD3)</f>
        <v/>
      </c>
      <c r="RZ3" s="81" t="str">
        <f>IF(RE3="","",RE3)</f>
        <v/>
      </c>
      <c r="SA3" s="173" t="s">
        <v>8</v>
      </c>
      <c r="SB3" s="174"/>
      <c r="SC3" s="82" t="str">
        <f t="shared" ref="SC3:SH3" si="22">IF(RH3="","",RH3)</f>
        <v>Fiche O2/3</v>
      </c>
      <c r="SD3" s="80" t="str">
        <f t="shared" si="22"/>
        <v>EC</v>
      </c>
      <c r="SE3" s="200" t="str">
        <f t="shared" si="22"/>
        <v>Fiche CH3/3</v>
      </c>
      <c r="SF3" s="200" t="str">
        <f t="shared" si="22"/>
        <v>Fiche CH3/4</v>
      </c>
      <c r="SG3" s="200" t="str">
        <f t="shared" si="22"/>
        <v/>
      </c>
      <c r="SH3" s="81" t="str">
        <f t="shared" si="22"/>
        <v/>
      </c>
      <c r="SI3" s="179" t="s">
        <v>9</v>
      </c>
      <c r="SJ3" s="180"/>
      <c r="SK3" s="181" t="s">
        <v>10</v>
      </c>
      <c r="SL3" s="182"/>
      <c r="SM3" s="79" t="str">
        <f>IF(RR3="","",RR3)</f>
        <v>Frise atome</v>
      </c>
      <c r="SN3" s="80" t="str">
        <f>IF(RS3="","",RS3)</f>
        <v>Evaluation CH1 CH2</v>
      </c>
      <c r="SO3" s="81" t="str">
        <f>IF(RT3="","",RT3)</f>
        <v/>
      </c>
      <c r="SP3" s="157" t="s">
        <v>7</v>
      </c>
      <c r="SQ3" s="158"/>
      <c r="SR3" s="82" t="str">
        <f>IF(RW3="","",RW3)</f>
        <v>Fiche O1/1</v>
      </c>
      <c r="SS3" s="80" t="str">
        <f>IF(RX3="","",RX3)</f>
        <v/>
      </c>
      <c r="ST3" s="200" t="str">
        <f>IF(RY3="","",RY3)</f>
        <v/>
      </c>
      <c r="SU3" s="81" t="str">
        <f>IF(RZ3="","",RZ3)</f>
        <v/>
      </c>
      <c r="SV3" s="173" t="s">
        <v>8</v>
      </c>
      <c r="SW3" s="174"/>
      <c r="SX3" s="82" t="str">
        <f t="shared" ref="SX3:TC3" si="23">IF(SC3="","",SC3)</f>
        <v>Fiche O2/3</v>
      </c>
      <c r="SY3" s="80" t="str">
        <f t="shared" si="23"/>
        <v>EC</v>
      </c>
      <c r="SZ3" s="200" t="str">
        <f t="shared" si="23"/>
        <v>Fiche CH3/3</v>
      </c>
      <c r="TA3" s="200" t="str">
        <f t="shared" si="23"/>
        <v>Fiche CH3/4</v>
      </c>
      <c r="TB3" s="200" t="str">
        <f t="shared" si="23"/>
        <v/>
      </c>
      <c r="TC3" s="81" t="str">
        <f t="shared" si="23"/>
        <v/>
      </c>
      <c r="TD3" s="179" t="s">
        <v>9</v>
      </c>
      <c r="TE3" s="180"/>
      <c r="TF3" s="181" t="s">
        <v>10</v>
      </c>
      <c r="TG3" s="182"/>
      <c r="TH3" s="79" t="str">
        <f>IF(SM3="","",SM3)</f>
        <v>Frise atome</v>
      </c>
      <c r="TI3" s="80" t="str">
        <f>IF(SN3="","",SN3)</f>
        <v>Evaluation CH1 CH2</v>
      </c>
      <c r="TJ3" s="81" t="str">
        <f>IF(SO3="","",SO3)</f>
        <v/>
      </c>
      <c r="TK3" s="157" t="s">
        <v>7</v>
      </c>
      <c r="TL3" s="158"/>
      <c r="TM3" s="82" t="str">
        <f>IF(SR3="","",SR3)</f>
        <v>Fiche O1/1</v>
      </c>
      <c r="TN3" s="80" t="str">
        <f>IF(SS3="","",SS3)</f>
        <v/>
      </c>
      <c r="TO3" s="200" t="str">
        <f>IF(ST3="","",ST3)</f>
        <v/>
      </c>
      <c r="TP3" s="81" t="str">
        <f>IF(SU3="","",SU3)</f>
        <v/>
      </c>
      <c r="TQ3" s="173" t="s">
        <v>8</v>
      </c>
      <c r="TR3" s="174"/>
      <c r="TS3" s="82" t="str">
        <f t="shared" ref="TS3:TX3" si="24">IF(SX3="","",SX3)</f>
        <v>Fiche O2/3</v>
      </c>
      <c r="TT3" s="80" t="str">
        <f t="shared" si="24"/>
        <v>EC</v>
      </c>
      <c r="TU3" s="200" t="str">
        <f t="shared" si="24"/>
        <v>Fiche CH3/3</v>
      </c>
      <c r="TV3" s="200" t="str">
        <f t="shared" si="24"/>
        <v>Fiche CH3/4</v>
      </c>
      <c r="TW3" s="200" t="str">
        <f t="shared" si="24"/>
        <v/>
      </c>
      <c r="TX3" s="81" t="str">
        <f t="shared" si="24"/>
        <v/>
      </c>
      <c r="TY3" s="179" t="s">
        <v>9</v>
      </c>
      <c r="TZ3" s="180"/>
      <c r="UA3" s="181" t="s">
        <v>10</v>
      </c>
      <c r="UB3" s="182"/>
      <c r="UC3" s="79" t="str">
        <f>IF(TH3="","",TH3)</f>
        <v>Frise atome</v>
      </c>
      <c r="UD3" s="80" t="str">
        <f>IF(TI3="","",TI3)</f>
        <v>Evaluation CH1 CH2</v>
      </c>
      <c r="UE3" s="81" t="str">
        <f>IF(TJ3="","",TJ3)</f>
        <v/>
      </c>
      <c r="UF3" s="157" t="s">
        <v>7</v>
      </c>
      <c r="UG3" s="158"/>
      <c r="UH3" s="82" t="str">
        <f>IF(TM3="","",TM3)</f>
        <v>Fiche O1/1</v>
      </c>
      <c r="UI3" s="80" t="str">
        <f>IF(TN3="","",TN3)</f>
        <v/>
      </c>
      <c r="UJ3" s="200" t="str">
        <f>IF(TO3="","",TO3)</f>
        <v/>
      </c>
      <c r="UK3" s="81" t="str">
        <f>IF(TP3="","",TP3)</f>
        <v/>
      </c>
      <c r="UL3" s="173" t="s">
        <v>8</v>
      </c>
      <c r="UM3" s="174"/>
      <c r="UN3" s="82" t="str">
        <f t="shared" ref="UN3:US3" si="25">IF(TS3="","",TS3)</f>
        <v>Fiche O2/3</v>
      </c>
      <c r="UO3" s="80" t="str">
        <f t="shared" si="25"/>
        <v>EC</v>
      </c>
      <c r="UP3" s="200" t="str">
        <f t="shared" si="25"/>
        <v>Fiche CH3/3</v>
      </c>
      <c r="UQ3" s="200" t="str">
        <f t="shared" si="25"/>
        <v>Fiche CH3/4</v>
      </c>
      <c r="UR3" s="200" t="str">
        <f t="shared" si="25"/>
        <v/>
      </c>
      <c r="US3" s="81" t="str">
        <f t="shared" si="25"/>
        <v/>
      </c>
      <c r="UT3" s="179" t="s">
        <v>9</v>
      </c>
      <c r="UU3" s="180"/>
      <c r="UV3" s="181" t="s">
        <v>10</v>
      </c>
      <c r="UW3" s="182"/>
      <c r="UX3" s="79" t="str">
        <f>IF(UC3="","",UC3)</f>
        <v>Frise atome</v>
      </c>
      <c r="UY3" s="80" t="str">
        <f>IF(UD3="","",UD3)</f>
        <v>Evaluation CH1 CH2</v>
      </c>
      <c r="UZ3" s="81" t="str">
        <f>IF(UE3="","",UE3)</f>
        <v/>
      </c>
      <c r="VA3" s="157" t="s">
        <v>7</v>
      </c>
      <c r="VB3" s="158"/>
      <c r="VC3" s="82" t="str">
        <f>IF(UH3="","",UH3)</f>
        <v>Fiche O1/1</v>
      </c>
      <c r="VD3" s="80" t="str">
        <f>IF(UI3="","",UI3)</f>
        <v/>
      </c>
      <c r="VE3" s="200" t="str">
        <f>IF(UJ3="","",UJ3)</f>
        <v/>
      </c>
      <c r="VF3" s="81" t="str">
        <f>IF(UK3="","",UK3)</f>
        <v/>
      </c>
      <c r="VG3" s="173" t="s">
        <v>8</v>
      </c>
      <c r="VH3" s="174"/>
      <c r="VI3" s="82" t="str">
        <f t="shared" ref="VI3:VN3" si="26">IF(UN3="","",UN3)</f>
        <v>Fiche O2/3</v>
      </c>
      <c r="VJ3" s="80" t="str">
        <f t="shared" si="26"/>
        <v>EC</v>
      </c>
      <c r="VK3" s="200" t="str">
        <f t="shared" si="26"/>
        <v>Fiche CH3/3</v>
      </c>
      <c r="VL3" s="200" t="str">
        <f t="shared" si="26"/>
        <v>Fiche CH3/4</v>
      </c>
      <c r="VM3" s="200" t="str">
        <f t="shared" si="26"/>
        <v/>
      </c>
      <c r="VN3" s="81" t="str">
        <f t="shared" si="26"/>
        <v/>
      </c>
      <c r="VO3" s="179" t="s">
        <v>9</v>
      </c>
      <c r="VP3" s="180"/>
      <c r="VQ3" s="181" t="s">
        <v>10</v>
      </c>
      <c r="VR3" s="182"/>
      <c r="VS3" s="79" t="str">
        <f>IF(UX3="","",UX3)</f>
        <v>Frise atome</v>
      </c>
      <c r="VT3" s="80" t="str">
        <f>IF(UY3="","",UY3)</f>
        <v>Evaluation CH1 CH2</v>
      </c>
      <c r="VU3" s="81" t="str">
        <f>IF(UZ3="","",UZ3)</f>
        <v/>
      </c>
      <c r="VV3" s="70" t="s">
        <v>7</v>
      </c>
      <c r="VW3" s="71"/>
      <c r="VX3" s="82" t="str">
        <f>IF(VC3="","",VC3)</f>
        <v>Fiche O1/1</v>
      </c>
      <c r="VY3" s="80" t="str">
        <f>IF(VD3="","",VD3)</f>
        <v/>
      </c>
      <c r="VZ3" s="81" t="str">
        <f>IF(VF3="","",VF3)</f>
        <v/>
      </c>
      <c r="WA3" s="73" t="s">
        <v>8</v>
      </c>
      <c r="WB3" s="74"/>
      <c r="WC3" s="82" t="str">
        <f>IF(VI3="","",VI3)</f>
        <v>Fiche O2/3</v>
      </c>
      <c r="WD3" s="80" t="str">
        <f>IF(VJ3="","",VJ3)</f>
        <v>EC</v>
      </c>
      <c r="WE3" s="81" t="str">
        <f>IF(VN3="","",VN3)</f>
        <v/>
      </c>
      <c r="WF3" s="75" t="s">
        <v>9</v>
      </c>
      <c r="WG3" s="76"/>
      <c r="WH3" s="77" t="s">
        <v>10</v>
      </c>
      <c r="WI3" s="78"/>
      <c r="WJ3" s="79" t="str">
        <f>IF(VS3="","",VS3)</f>
        <v>Frise atome</v>
      </c>
      <c r="WK3" s="80" t="str">
        <f>IF(VT3="","",VT3)</f>
        <v>Evaluation CH1 CH2</v>
      </c>
      <c r="WL3" s="81" t="str">
        <f>IF(VU3="","",VU3)</f>
        <v/>
      </c>
      <c r="WM3" s="70" t="s">
        <v>7</v>
      </c>
      <c r="WN3" s="71"/>
      <c r="WO3" s="82" t="str">
        <f>IF(VX3="","",VX3)</f>
        <v>Fiche O1/1</v>
      </c>
      <c r="WP3" s="80" t="str">
        <f>IF(VY3="","",VY3)</f>
        <v/>
      </c>
      <c r="WQ3" s="81" t="str">
        <f>IF(VZ3="","",VZ3)</f>
        <v/>
      </c>
      <c r="WR3" s="73" t="s">
        <v>8</v>
      </c>
      <c r="WS3" s="74"/>
      <c r="WT3" s="82" t="str">
        <f>IF(WC3="","",WC3)</f>
        <v>Fiche O2/3</v>
      </c>
      <c r="WU3" s="80" t="str">
        <f>IF(WD3="","",WD3)</f>
        <v>EC</v>
      </c>
      <c r="WV3" s="81" t="str">
        <f>IF(WE3="","",WE3)</f>
        <v/>
      </c>
      <c r="WW3" s="75" t="s">
        <v>9</v>
      </c>
      <c r="WX3" s="76"/>
      <c r="WY3" s="77" t="s">
        <v>10</v>
      </c>
      <c r="WZ3" s="78"/>
    </row>
    <row r="4" spans="1:624" s="95" customFormat="1" ht="30" customHeight="1" thickBot="1" x14ac:dyDescent="0.6">
      <c r="A4" s="144" t="s">
        <v>11</v>
      </c>
      <c r="B4" s="83">
        <v>2</v>
      </c>
      <c r="C4" s="152"/>
      <c r="D4" s="65"/>
      <c r="E4" s="85"/>
      <c r="F4" s="159">
        <f>IF(COUNT(F5:F9)=0,"",SUM(F5:F9)/COUNT(F5:F9))</f>
        <v>1.75</v>
      </c>
      <c r="G4" s="160" t="str">
        <f t="shared" ref="G4:G21" si="27">IF(F4="","",IF(F4&gt;3.7,"A",IF(F4&gt;2.8,"B",IF(F4&gt;1.5,"C",IF(F4&gt;0,"D",IF(F4=0,""))))))</f>
        <v>C</v>
      </c>
      <c r="H4" s="152"/>
      <c r="I4" s="65"/>
      <c r="J4" s="65"/>
      <c r="K4" s="85"/>
      <c r="L4" s="159">
        <f>IF(COUNT(L5:L9)=0,"",SUM(L5:L9)/COUNT(L5:L9))</f>
        <v>4</v>
      </c>
      <c r="M4" s="175" t="str">
        <f t="shared" ref="M4:M21" si="28">IF(L4="","",IF(L4&gt;3.7,"A",IF(L4&gt;2.8,"B",IF(L4&gt;1.5,"C",IF(L4&gt;0,"D",IF(L4=0,""))))))</f>
        <v>A</v>
      </c>
      <c r="N4" s="153"/>
      <c r="O4" s="90"/>
      <c r="P4" s="90"/>
      <c r="Q4" s="90"/>
      <c r="R4" s="90"/>
      <c r="S4" s="91"/>
      <c r="T4" s="159">
        <f>IF(COUNT(T5:T9)=0,"",SUM(T5:T9)/COUNT(T5:T9))</f>
        <v>1.6875</v>
      </c>
      <c r="U4" s="183" t="str">
        <f t="shared" ref="U4:U21" si="29">IF(T4="","",IF(T4&gt;3.7,"A",IF(T4&gt;2.8,"B",IF(T4&gt;1.5,"C",IF(T4&gt;0,"D",IF(T4=0,""))))))</f>
        <v>C</v>
      </c>
      <c r="V4" s="184">
        <f>IF(COUNT(V5:V9)=0,"",SUM(V5:V9)/COUNT(V5:V9))</f>
        <v>1.90625</v>
      </c>
      <c r="W4" s="185" t="str">
        <f t="shared" ref="W4:W21" si="30">IF(V4="","",IF(V4&gt;3.7,"A",IF(V4&gt;2.8,"B",IF(V4&gt;1.5,"C",IF(V4&gt;0,"D",IF(V4=0,""))))))</f>
        <v>C</v>
      </c>
      <c r="X4" s="152"/>
      <c r="Y4" s="65"/>
      <c r="Z4" s="85"/>
      <c r="AA4" s="159">
        <f>IF(COUNT(AA5:AA9)=0,"",SUM(AA5:AA9)/COUNT(AA5:AA9))</f>
        <v>2</v>
      </c>
      <c r="AB4" s="160" t="str">
        <f t="shared" ref="AB4:AB21" si="31">IF(AA4="","",IF(AA4&gt;3.7,"A",IF(AA4&gt;2.8,"B",IF(AA4&gt;1.5,"C",IF(AA4&gt;0,"D",IF(AA4=0,""))))))</f>
        <v>C</v>
      </c>
      <c r="AC4" s="152"/>
      <c r="AD4" s="65"/>
      <c r="AE4" s="65"/>
      <c r="AF4" s="85"/>
      <c r="AG4" s="159">
        <f>IF(COUNT(AG5:AG9)=0,"",SUM(AG5:AG9)/COUNT(AG5:AG9))</f>
        <v>3</v>
      </c>
      <c r="AH4" s="175" t="str">
        <f t="shared" ref="AH4:AH21" si="32">IF(AG4="","",IF(AG4&gt;3.7,"A",IF(AG4&gt;2.8,"B",IF(AG4&gt;1.5,"C",IF(AG4&gt;0,"D",IF(AG4=0,""))))))</f>
        <v>B</v>
      </c>
      <c r="AI4" s="153"/>
      <c r="AJ4" s="90"/>
      <c r="AK4" s="90"/>
      <c r="AL4" s="90"/>
      <c r="AM4" s="90"/>
      <c r="AN4" s="91"/>
      <c r="AO4" s="159">
        <f>IF(COUNT(AO5:AO9)=0,"",SUM(AO5:AO9)/COUNT(AO5:AO9))</f>
        <v>2.9375</v>
      </c>
      <c r="AP4" s="183" t="str">
        <f t="shared" ref="AP4:AP21" si="33">IF(AO4="","",IF(AO4&gt;3.7,"A",IF(AO4&gt;2.8,"B",IF(AO4&gt;1.5,"C",IF(AO4&gt;0,"D",IF(AO4=0,""))))))</f>
        <v>B</v>
      </c>
      <c r="AQ4" s="184">
        <f>IF(COUNT(AQ5:AQ9)=0,"",SUM(AQ5:AQ9)/COUNT(AQ5:AQ9))</f>
        <v>2.84375</v>
      </c>
      <c r="AR4" s="185" t="str">
        <f t="shared" ref="AR4:AR21" si="34">IF(AQ4="","",IF(AQ4&gt;3.7,"A",IF(AQ4&gt;2.8,"B",IF(AQ4&gt;1.5,"C",IF(AQ4&gt;0,"D",IF(AQ4=0,""))))))</f>
        <v>B</v>
      </c>
      <c r="AS4" s="152"/>
      <c r="AT4" s="65"/>
      <c r="AU4" s="85"/>
      <c r="AV4" s="159">
        <f>IF(COUNT(AV5:AV9)=0,"",SUM(AV5:AV9)/COUNT(AV5:AV9))</f>
        <v>1.5</v>
      </c>
      <c r="AW4" s="160" t="str">
        <f t="shared" ref="AW4:AW21" si="35">IF(AV4="","",IF(AV4&gt;3.7,"A",IF(AV4&gt;2.8,"B",IF(AV4&gt;1.5,"C",IF(AV4&gt;0,"D",IF(AV4=0,""))))))</f>
        <v>D</v>
      </c>
      <c r="AX4" s="152"/>
      <c r="AY4" s="65"/>
      <c r="AZ4" s="65"/>
      <c r="BA4" s="85"/>
      <c r="BB4" s="159">
        <f>IF(COUNT(BB5:BB9)=0,"",SUM(BB5:BB9)/COUNT(BB5:BB9))</f>
        <v>2</v>
      </c>
      <c r="BC4" s="175" t="str">
        <f t="shared" ref="BC4:BC21" si="36">IF(BB4="","",IF(BB4&gt;3.7,"A",IF(BB4&gt;2.8,"B",IF(BB4&gt;1.5,"C",IF(BB4&gt;0,"D",IF(BB4=0,""))))))</f>
        <v>C</v>
      </c>
      <c r="BD4" s="153"/>
      <c r="BE4" s="90"/>
      <c r="BF4" s="90"/>
      <c r="BG4" s="90"/>
      <c r="BH4" s="90"/>
      <c r="BI4" s="91"/>
      <c r="BJ4" s="159">
        <f>IF(COUNT(BJ5:BJ9)=0,"",SUM(BJ5:BJ9)/COUNT(BJ5:BJ9))</f>
        <v>1.9166666666666665</v>
      </c>
      <c r="BK4" s="183" t="str">
        <f t="shared" ref="BK4:BK21" si="37">IF(BJ4="","",IF(BJ4&gt;3.7,"A",IF(BJ4&gt;2.8,"B",IF(BJ4&gt;1.5,"C",IF(BJ4&gt;0,"D",IF(BJ4=0,""))))))</f>
        <v>C</v>
      </c>
      <c r="BL4" s="184">
        <f>IF(COUNT(BL5:BL9)=0,"",SUM(BL5:BL9)/COUNT(BL5:BL9))</f>
        <v>1.8333333333333333</v>
      </c>
      <c r="BM4" s="185" t="str">
        <f t="shared" ref="BM4:BM21" si="38">IF(BL4="","",IF(BL4&gt;3.7,"A",IF(BL4&gt;2.8,"B",IF(BL4&gt;1.5,"C",IF(BL4&gt;0,"D",IF(BL4=0,""))))))</f>
        <v>C</v>
      </c>
      <c r="BN4" s="152"/>
      <c r="BO4" s="65"/>
      <c r="BP4" s="85"/>
      <c r="BQ4" s="159">
        <f>IF(COUNT(BQ5:BQ9)=0,"",SUM(BQ5:BQ9)/COUNT(BQ5:BQ9))</f>
        <v>1.5</v>
      </c>
      <c r="BR4" s="160" t="str">
        <f t="shared" ref="BR4:BR21" si="39">IF(BQ4="","",IF(BQ4&gt;3.7,"A",IF(BQ4&gt;2.8,"B",IF(BQ4&gt;1.5,"C",IF(BQ4&gt;0,"D",IF(BQ4=0,""))))))</f>
        <v>D</v>
      </c>
      <c r="BS4" s="152"/>
      <c r="BT4" s="65"/>
      <c r="BU4" s="65"/>
      <c r="BV4" s="85"/>
      <c r="BW4" s="159">
        <f>IF(COUNT(BW5:BW9)=0,"",SUM(BW5:BW9)/COUNT(BW5:BW9))</f>
        <v>2</v>
      </c>
      <c r="BX4" s="175" t="str">
        <f t="shared" ref="BX4:BX21" si="40">IF(BW4="","",IF(BW4&gt;3.7,"A",IF(BW4&gt;2.8,"B",IF(BW4&gt;1.5,"C",IF(BW4&gt;0,"D",IF(BW4=0,""))))))</f>
        <v>C</v>
      </c>
      <c r="BY4" s="153"/>
      <c r="BZ4" s="90"/>
      <c r="CA4" s="90"/>
      <c r="CB4" s="90"/>
      <c r="CC4" s="90"/>
      <c r="CD4" s="91"/>
      <c r="CE4" s="159">
        <f>IF(COUNT(CE5:CE9)=0,"",SUM(CE5:CE9)/COUNT(CE5:CE9))</f>
        <v>2.0625</v>
      </c>
      <c r="CF4" s="183" t="str">
        <f t="shared" ref="CF4:CF21" si="41">IF(CE4="","",IF(CE4&gt;3.7,"A",IF(CE4&gt;2.8,"B",IF(CE4&gt;1.5,"C",IF(CE4&gt;0,"D",IF(CE4=0,""))))))</f>
        <v>C</v>
      </c>
      <c r="CG4" s="184">
        <f>IF(COUNT(CG5:CG9)=0,"",SUM(CG5:CG9)/COUNT(CG5:CG9))</f>
        <v>1.96875</v>
      </c>
      <c r="CH4" s="185" t="str">
        <f t="shared" ref="CH4:CH21" si="42">IF(CG4="","",IF(CG4&gt;3.7,"A",IF(CG4&gt;2.8,"B",IF(CG4&gt;1.5,"C",IF(CG4&gt;0,"D",IF(CG4=0,""))))))</f>
        <v>C</v>
      </c>
      <c r="CI4" s="152"/>
      <c r="CJ4" s="65"/>
      <c r="CK4" s="85"/>
      <c r="CL4" s="159">
        <f>IF(COUNT(CL5:CL9)=0,"",SUM(CL5:CL9)/COUNT(CL5:CL9))</f>
        <v>2.25</v>
      </c>
      <c r="CM4" s="160" t="str">
        <f t="shared" ref="CM4:CM21" si="43">IF(CL4="","",IF(CL4&gt;3.7,"A",IF(CL4&gt;2.8,"B",IF(CL4&gt;1.5,"C",IF(CL4&gt;0,"D",IF(CL4=0,""))))))</f>
        <v>C</v>
      </c>
      <c r="CN4" s="152"/>
      <c r="CO4" s="65"/>
      <c r="CP4" s="65"/>
      <c r="CQ4" s="85"/>
      <c r="CR4" s="159">
        <f>IF(COUNT(CR5:CR9)=0,"",SUM(CR5:CR9)/COUNT(CR5:CR9))</f>
        <v>3</v>
      </c>
      <c r="CS4" s="175" t="str">
        <f t="shared" ref="CS4:CS21" si="44">IF(CR4="","",IF(CR4&gt;3.7,"A",IF(CR4&gt;2.8,"B",IF(CR4&gt;1.5,"C",IF(CR4&gt;0,"D",IF(CR4=0,""))))))</f>
        <v>B</v>
      </c>
      <c r="CT4" s="153"/>
      <c r="CU4" s="90"/>
      <c r="CV4" s="90"/>
      <c r="CW4" s="90"/>
      <c r="CX4" s="90"/>
      <c r="CY4" s="91"/>
      <c r="CZ4" s="159">
        <f>IF(COUNT(CZ5:CZ9)=0,"",SUM(CZ5:CZ9)/COUNT(CZ5:CZ9))</f>
        <v>2</v>
      </c>
      <c r="DA4" s="183" t="str">
        <f t="shared" ref="DA4:DA21" si="45">IF(CZ4="","",IF(CZ4&gt;3.7,"A",IF(CZ4&gt;2.8,"B",IF(CZ4&gt;1.5,"C",IF(CZ4&gt;0,"D",IF(CZ4=0,""))))))</f>
        <v>C</v>
      </c>
      <c r="DB4" s="184">
        <f>IF(COUNT(DB5:DB9)=0,"",SUM(DB5:DB9)/COUNT(DB5:DB9))</f>
        <v>2.0625</v>
      </c>
      <c r="DC4" s="185" t="str">
        <f t="shared" ref="DC4:DC21" si="46">IF(DB4="","",IF(DB4&gt;3.7,"A",IF(DB4&gt;2.8,"B",IF(DB4&gt;1.5,"C",IF(DB4&gt;0,"D",IF(DB4=0,""))))))</f>
        <v>C</v>
      </c>
      <c r="DD4" s="152"/>
      <c r="DE4" s="65"/>
      <c r="DF4" s="85"/>
      <c r="DG4" s="159">
        <f>IF(COUNT(DG5:DG9)=0,"",SUM(DG5:DG9)/COUNT(DG5:DG9))</f>
        <v>4</v>
      </c>
      <c r="DH4" s="160" t="str">
        <f t="shared" ref="DH4:DH21" si="47">IF(DG4="","",IF(DG4&gt;3.7,"A",IF(DG4&gt;2.8,"B",IF(DG4&gt;1.5,"C",IF(DG4&gt;0,"D",IF(DG4=0,""))))))</f>
        <v>A</v>
      </c>
      <c r="DI4" s="152"/>
      <c r="DJ4" s="65"/>
      <c r="DK4" s="65"/>
      <c r="DL4" s="85"/>
      <c r="DM4" s="159">
        <f>IF(COUNT(DM5:DM9)=0,"",SUM(DM5:DM9)/COUNT(DM5:DM9))</f>
        <v>3</v>
      </c>
      <c r="DN4" s="175" t="str">
        <f t="shared" ref="DN4:DN21" si="48">IF(DM4="","",IF(DM4&gt;3.7,"A",IF(DM4&gt;2.8,"B",IF(DM4&gt;1.5,"C",IF(DM4&gt;0,"D",IF(DM4=0,""))))))</f>
        <v>B</v>
      </c>
      <c r="DO4" s="153"/>
      <c r="DP4" s="90"/>
      <c r="DQ4" s="90"/>
      <c r="DR4" s="90"/>
      <c r="DS4" s="90"/>
      <c r="DT4" s="91"/>
      <c r="DU4" s="159">
        <f>IF(COUNT(DU5:DU9)=0,"",SUM(DU5:DU9)/COUNT(DU5:DU9))</f>
        <v>3.375</v>
      </c>
      <c r="DV4" s="183" t="str">
        <f t="shared" ref="DV4:DV21" si="49">IF(DU4="","",IF(DU4&gt;3.7,"A",IF(DU4&gt;2.8,"B",IF(DU4&gt;1.5,"C",IF(DU4&gt;0,"D",IF(DU4=0,""))))))</f>
        <v>B</v>
      </c>
      <c r="DW4" s="184">
        <f>IF(COUNT(DW5:DW9)=0,"",SUM(DW5:DW9)/COUNT(DW5:DW9))</f>
        <v>3.5</v>
      </c>
      <c r="DX4" s="185" t="str">
        <f t="shared" ref="DX4:DX21" si="50">IF(DW4="","",IF(DW4&gt;3.7,"A",IF(DW4&gt;2.8,"B",IF(DW4&gt;1.5,"C",IF(DW4&gt;0,"D",IF(DW4=0,""))))))</f>
        <v>B</v>
      </c>
      <c r="DY4" s="152"/>
      <c r="DZ4" s="65"/>
      <c r="EA4" s="85"/>
      <c r="EB4" s="159">
        <f>IF(COUNT(EB5:EB9)=0,"",SUM(EB5:EB9)/COUNT(EB5:EB9))</f>
        <v>2</v>
      </c>
      <c r="EC4" s="160" t="str">
        <f t="shared" ref="EC4:EC21" si="51">IF(EB4="","",IF(EB4&gt;3.7,"A",IF(EB4&gt;2.8,"B",IF(EB4&gt;1.5,"C",IF(EB4&gt;0,"D",IF(EB4=0,""))))))</f>
        <v>C</v>
      </c>
      <c r="ED4" s="152"/>
      <c r="EE4" s="65"/>
      <c r="EF4" s="65"/>
      <c r="EG4" s="85"/>
      <c r="EH4" s="159">
        <f>IF(COUNT(EH5:EH9)=0,"",SUM(EH5:EH9)/COUNT(EH5:EH9))</f>
        <v>1</v>
      </c>
      <c r="EI4" s="175" t="str">
        <f t="shared" ref="EI4:EI21" si="52">IF(EH4="","",IF(EH4&gt;3.7,"A",IF(EH4&gt;2.8,"B",IF(EH4&gt;1.5,"C",IF(EH4&gt;0,"D",IF(EH4=0,""))))))</f>
        <v>D</v>
      </c>
      <c r="EJ4" s="153"/>
      <c r="EK4" s="90"/>
      <c r="EL4" s="90"/>
      <c r="EM4" s="90"/>
      <c r="EN4" s="90"/>
      <c r="EO4" s="91"/>
      <c r="EP4" s="159">
        <f>IF(COUNT(EP5:EP9)=0,"",SUM(EP5:EP9)/COUNT(EP5:EP9))</f>
        <v>1.875</v>
      </c>
      <c r="EQ4" s="183" t="str">
        <f t="shared" ref="EQ4:EQ21" si="53">IF(EP4="","",IF(EP4&gt;3.7,"A",IF(EP4&gt;2.8,"B",IF(EP4&gt;1.5,"C",IF(EP4&gt;0,"D",IF(EP4=0,""))))))</f>
        <v>C</v>
      </c>
      <c r="ER4" s="184">
        <f>IF(COUNT(ER5:ER9)=0,"",SUM(ER5:ER9)/COUNT(ER5:ER9))</f>
        <v>1.75</v>
      </c>
      <c r="ES4" s="185" t="str">
        <f t="shared" ref="ES4:ES21" si="54">IF(ER4="","",IF(ER4&gt;3.7,"A",IF(ER4&gt;2.8,"B",IF(ER4&gt;1.5,"C",IF(ER4&gt;0,"D",IF(ER4=0,""))))))</f>
        <v>C</v>
      </c>
      <c r="ET4" s="152"/>
      <c r="EU4" s="65"/>
      <c r="EV4" s="85"/>
      <c r="EW4" s="159">
        <f>IF(COUNT(EW5:EW9)=0,"",SUM(EW5:EW9)/COUNT(EW5:EW9))</f>
        <v>2.25</v>
      </c>
      <c r="EX4" s="160" t="str">
        <f t="shared" ref="EX4:EX21" si="55">IF(EW4="","",IF(EW4&gt;3.7,"A",IF(EW4&gt;2.8,"B",IF(EW4&gt;1.5,"C",IF(EW4&gt;0,"D",IF(EW4=0,""))))))</f>
        <v>C</v>
      </c>
      <c r="EY4" s="152"/>
      <c r="EZ4" s="65"/>
      <c r="FA4" s="65"/>
      <c r="FB4" s="85"/>
      <c r="FC4" s="159">
        <f>IF(COUNT(FC5:FC9)=0,"",SUM(FC5:FC9)/COUNT(FC5:FC9))</f>
        <v>3</v>
      </c>
      <c r="FD4" s="175" t="str">
        <f t="shared" ref="FD4:FD21" si="56">IF(FC4="","",IF(FC4&gt;3.7,"A",IF(FC4&gt;2.8,"B",IF(FC4&gt;1.5,"C",IF(FC4&gt;0,"D",IF(FC4=0,""))))))</f>
        <v>B</v>
      </c>
      <c r="FE4" s="153"/>
      <c r="FF4" s="90"/>
      <c r="FG4" s="90"/>
      <c r="FH4" s="90"/>
      <c r="FI4" s="90"/>
      <c r="FJ4" s="91"/>
      <c r="FK4" s="159">
        <f>IF(COUNT(FK5:FK9)=0,"",SUM(FK5:FK9)/COUNT(FK5:FK9))</f>
        <v>2.3125</v>
      </c>
      <c r="FL4" s="183" t="str">
        <f t="shared" ref="FL4:FL21" si="57">IF(FK4="","",IF(FK4&gt;3.7,"A",IF(FK4&gt;2.8,"B",IF(FK4&gt;1.5,"C",IF(FK4&gt;0,"D",IF(FK4=0,""))))))</f>
        <v>C</v>
      </c>
      <c r="FM4" s="184">
        <f>IF(COUNT(FM5:FM9)=0,"",SUM(FM5:FM9)/COUNT(FM5:FM9))</f>
        <v>2.28125</v>
      </c>
      <c r="FN4" s="185" t="str">
        <f t="shared" ref="FN4:FN21" si="58">IF(FM4="","",IF(FM4&gt;3.7,"A",IF(FM4&gt;2.8,"B",IF(FM4&gt;1.5,"C",IF(FM4&gt;0,"D",IF(FM4=0,""))))))</f>
        <v>C</v>
      </c>
      <c r="FO4" s="152"/>
      <c r="FP4" s="65"/>
      <c r="FQ4" s="85"/>
      <c r="FR4" s="159">
        <f>IF(COUNT(FR5:FR9)=0,"",SUM(FR5:FR9)/COUNT(FR5:FR9))</f>
        <v>2</v>
      </c>
      <c r="FS4" s="160" t="str">
        <f t="shared" ref="FS4:FS21" si="59">IF(FR4="","",IF(FR4&gt;3.7,"A",IF(FR4&gt;2.8,"B",IF(FR4&gt;1.5,"C",IF(FR4&gt;0,"D",IF(FR4=0,""))))))</f>
        <v>C</v>
      </c>
      <c r="FT4" s="152"/>
      <c r="FU4" s="65"/>
      <c r="FV4" s="65"/>
      <c r="FW4" s="85"/>
      <c r="FX4" s="159">
        <f>IF(COUNT(FX5:FX9)=0,"",SUM(FX5:FX9)/COUNT(FX5:FX9))</f>
        <v>2</v>
      </c>
      <c r="FY4" s="175" t="str">
        <f t="shared" ref="FY4:FY21" si="60">IF(FX4="","",IF(FX4&gt;3.7,"A",IF(FX4&gt;2.8,"B",IF(FX4&gt;1.5,"C",IF(FX4&gt;0,"D",IF(FX4=0,""))))))</f>
        <v>C</v>
      </c>
      <c r="FZ4" s="153"/>
      <c r="GA4" s="90"/>
      <c r="GB4" s="90"/>
      <c r="GC4" s="90"/>
      <c r="GD4" s="90"/>
      <c r="GE4" s="91"/>
      <c r="GF4" s="159">
        <f>IF(COUNT(GF5:GF9)=0,"",SUM(GF5:GF9)/COUNT(GF5:GF9))</f>
        <v>1.5625</v>
      </c>
      <c r="GG4" s="183" t="str">
        <f t="shared" ref="GG4:GG21" si="61">IF(GF4="","",IF(GF4&gt;3.7,"A",IF(GF4&gt;2.8,"B",IF(GF4&gt;1.5,"C",IF(GF4&gt;0,"D",IF(GF4=0,""))))))</f>
        <v>C</v>
      </c>
      <c r="GH4" s="184">
        <f>IF(COUNT(GH5:GH9)=0,"",SUM(GH5:GH9)/COUNT(GH5:GH9))</f>
        <v>1.71875</v>
      </c>
      <c r="GI4" s="185" t="str">
        <f t="shared" ref="GI4:GI21" si="62">IF(GH4="","",IF(GH4&gt;3.7,"A",IF(GH4&gt;2.8,"B",IF(GH4&gt;1.5,"C",IF(GH4&gt;0,"D",IF(GH4=0,""))))))</f>
        <v>C</v>
      </c>
      <c r="GJ4" s="152"/>
      <c r="GK4" s="65"/>
      <c r="GL4" s="85"/>
      <c r="GM4" s="159">
        <f>IF(COUNT(GM5:GM9)=0,"",SUM(GM5:GM9)/COUNT(GM5:GM9))</f>
        <v>2.25</v>
      </c>
      <c r="GN4" s="160" t="str">
        <f t="shared" ref="GN4:GN21" si="63">IF(GM4="","",IF(GM4&gt;3.7,"A",IF(GM4&gt;2.8,"B",IF(GM4&gt;1.5,"C",IF(GM4&gt;0,"D",IF(GM4=0,""))))))</f>
        <v>C</v>
      </c>
      <c r="GO4" s="152"/>
      <c r="GP4" s="65"/>
      <c r="GQ4" s="65"/>
      <c r="GR4" s="85"/>
      <c r="GS4" s="159">
        <f>IF(COUNT(GS5:GS9)=0,"",SUM(GS5:GS9)/COUNT(GS5:GS9))</f>
        <v>2</v>
      </c>
      <c r="GT4" s="175" t="str">
        <f t="shared" ref="GT4:GT21" si="64">IF(GS4="","",IF(GS4&gt;3.7,"A",IF(GS4&gt;2.8,"B",IF(GS4&gt;1.5,"C",IF(GS4&gt;0,"D",IF(GS4=0,""))))))</f>
        <v>C</v>
      </c>
      <c r="GU4" s="153"/>
      <c r="GV4" s="90"/>
      <c r="GW4" s="90"/>
      <c r="GX4" s="90"/>
      <c r="GY4" s="90"/>
      <c r="GZ4" s="91"/>
      <c r="HA4" s="159">
        <f>IF(COUNT(HA5:HA9)=0,"",SUM(HA5:HA9)/COUNT(HA5:HA9))</f>
        <v>2.0416666666666665</v>
      </c>
      <c r="HB4" s="183" t="str">
        <f t="shared" ref="HB4:HB21" si="65">IF(HA4="","",IF(HA4&gt;3.7,"A",IF(HA4&gt;2.8,"B",IF(HA4&gt;1.5,"C",IF(HA4&gt;0,"D",IF(HA4=0,""))))))</f>
        <v>C</v>
      </c>
      <c r="HC4" s="184">
        <f>IF(COUNT(HC5:HC9)=0,"",SUM(HC5:HC9)/COUNT(HC5:HC9))</f>
        <v>2.083333333333333</v>
      </c>
      <c r="HD4" s="185" t="str">
        <f t="shared" ref="HD4:HD21" si="66">IF(HC4="","",IF(HC4&gt;3.7,"A",IF(HC4&gt;2.8,"B",IF(HC4&gt;1.5,"C",IF(HC4&gt;0,"D",IF(HC4=0,""))))))</f>
        <v>C</v>
      </c>
      <c r="HE4" s="152"/>
      <c r="HF4" s="65"/>
      <c r="HG4" s="85"/>
      <c r="HH4" s="159">
        <f>IF(COUNT(HH5:HH9)=0,"",SUM(HH5:HH9)/COUNT(HH5:HH9))</f>
        <v>2.25</v>
      </c>
      <c r="HI4" s="160" t="str">
        <f t="shared" ref="HI4:HI21" si="67">IF(HH4="","",IF(HH4&gt;3.7,"A",IF(HH4&gt;2.8,"B",IF(HH4&gt;1.5,"C",IF(HH4&gt;0,"D",IF(HH4=0,""))))))</f>
        <v>C</v>
      </c>
      <c r="HJ4" s="152"/>
      <c r="HK4" s="65"/>
      <c r="HL4" s="65"/>
      <c r="HM4" s="85"/>
      <c r="HN4" s="159">
        <f>IF(COUNT(HN5:HN9)=0,"",SUM(HN5:HN9)/COUNT(HN5:HN9))</f>
        <v>2</v>
      </c>
      <c r="HO4" s="175" t="str">
        <f t="shared" ref="HO4:HO21" si="68">IF(HN4="","",IF(HN4&gt;3.7,"A",IF(HN4&gt;2.8,"B",IF(HN4&gt;1.5,"C",IF(HN4&gt;0,"D",IF(HN4=0,""))))))</f>
        <v>C</v>
      </c>
      <c r="HP4" s="153"/>
      <c r="HQ4" s="90"/>
      <c r="HR4" s="90"/>
      <c r="HS4" s="90"/>
      <c r="HT4" s="90"/>
      <c r="HU4" s="91"/>
      <c r="HV4" s="159">
        <f>IF(COUNT(HV5:HV9)=0,"",SUM(HV5:HV9)/COUNT(HV5:HV9))</f>
        <v>2.25</v>
      </c>
      <c r="HW4" s="183" t="str">
        <f t="shared" ref="HW4:HW21" si="69">IF(HV4="","",IF(HV4&gt;3.7,"A",IF(HV4&gt;2.8,"B",IF(HV4&gt;1.5,"C",IF(HV4&gt;0,"D",IF(HV4=0,""))))))</f>
        <v>C</v>
      </c>
      <c r="HX4" s="184">
        <f>IF(COUNT(HX5:HX9)=0,"",SUM(HX5:HX9)/COUNT(HX5:HX9))</f>
        <v>2.1875</v>
      </c>
      <c r="HY4" s="185" t="str">
        <f t="shared" ref="HY4:HY21" si="70">IF(HX4="","",IF(HX4&gt;3.7,"A",IF(HX4&gt;2.8,"B",IF(HX4&gt;1.5,"C",IF(HX4&gt;0,"D",IF(HX4=0,""))))))</f>
        <v>C</v>
      </c>
      <c r="HZ4" s="152"/>
      <c r="IA4" s="65"/>
      <c r="IB4" s="85"/>
      <c r="IC4" s="159">
        <f>IF(COUNT(IC5:IC9)=0,"",SUM(IC5:IC9)/COUNT(IC5:IC9))</f>
        <v>2.75</v>
      </c>
      <c r="ID4" s="160" t="str">
        <f t="shared" ref="ID4:ID21" si="71">IF(IC4="","",IF(IC4&gt;3.7,"A",IF(IC4&gt;2.8,"B",IF(IC4&gt;1.5,"C",IF(IC4&gt;0,"D",IF(IC4=0,""))))))</f>
        <v>C</v>
      </c>
      <c r="IE4" s="152"/>
      <c r="IF4" s="65"/>
      <c r="IG4" s="65"/>
      <c r="IH4" s="85"/>
      <c r="II4" s="159">
        <f>IF(COUNT(II5:II9)=0,"",SUM(II5:II9)/COUNT(II5:II9))</f>
        <v>2</v>
      </c>
      <c r="IJ4" s="175" t="str">
        <f t="shared" ref="IJ4:IJ21" si="72">IF(II4="","",IF(II4&gt;3.7,"A",IF(II4&gt;2.8,"B",IF(II4&gt;1.5,"C",IF(II4&gt;0,"D",IF(II4=0,""))))))</f>
        <v>C</v>
      </c>
      <c r="IK4" s="153"/>
      <c r="IL4" s="90"/>
      <c r="IM4" s="90"/>
      <c r="IN4" s="90"/>
      <c r="IO4" s="90"/>
      <c r="IP4" s="91"/>
      <c r="IQ4" s="159">
        <f>IF(COUNT(IQ5:IQ9)=0,"",SUM(IQ5:IQ9)/COUNT(IQ5:IQ9))</f>
        <v>2.125</v>
      </c>
      <c r="IR4" s="183" t="str">
        <f t="shared" ref="IR4:IR21" si="73">IF(IQ4="","",IF(IQ4&gt;3.7,"A",IF(IQ4&gt;2.8,"B",IF(IQ4&gt;1.5,"C",IF(IQ4&gt;0,"D",IF(IQ4=0,""))))))</f>
        <v>C</v>
      </c>
      <c r="IS4" s="184">
        <f>IF(COUNT(IS5:IS9)=0,"",SUM(IS5:IS9)/COUNT(IS5:IS9))</f>
        <v>2.125</v>
      </c>
      <c r="IT4" s="185" t="str">
        <f t="shared" ref="IT4:IT21" si="74">IF(IS4="","",IF(IS4&gt;3.7,"A",IF(IS4&gt;2.8,"B",IF(IS4&gt;1.5,"C",IF(IS4&gt;0,"D",IF(IS4=0,""))))))</f>
        <v>C</v>
      </c>
      <c r="IU4" s="152"/>
      <c r="IV4" s="65"/>
      <c r="IW4" s="85"/>
      <c r="IX4" s="159">
        <f>IF(COUNT(IX5:IX9)=0,"",SUM(IX5:IX9)/COUNT(IX5:IX9))</f>
        <v>1.75</v>
      </c>
      <c r="IY4" s="160" t="str">
        <f t="shared" ref="IY4:IY21" si="75">IF(IX4="","",IF(IX4&gt;3.7,"A",IF(IX4&gt;2.8,"B",IF(IX4&gt;1.5,"C",IF(IX4&gt;0,"D",IF(IX4=0,""))))))</f>
        <v>C</v>
      </c>
      <c r="IZ4" s="152"/>
      <c r="JA4" s="65"/>
      <c r="JB4" s="65"/>
      <c r="JC4" s="85"/>
      <c r="JD4" s="159">
        <f>IF(COUNT(JD5:JD9)=0,"",SUM(JD5:JD9)/COUNT(JD5:JD9))</f>
        <v>2</v>
      </c>
      <c r="JE4" s="175" t="str">
        <f t="shared" ref="JE4:JE21" si="76">IF(JD4="","",IF(JD4&gt;3.7,"A",IF(JD4&gt;2.8,"B",IF(JD4&gt;1.5,"C",IF(JD4&gt;0,"D",IF(JD4=0,""))))))</f>
        <v>C</v>
      </c>
      <c r="JF4" s="153"/>
      <c r="JG4" s="90"/>
      <c r="JH4" s="90"/>
      <c r="JI4" s="90"/>
      <c r="JJ4" s="90"/>
      <c r="JK4" s="91"/>
      <c r="JL4" s="159">
        <f>IF(COUNT(JL5:JL9)=0,"",SUM(JL5:JL9)/COUNT(JL5:JL9))</f>
        <v>1.875</v>
      </c>
      <c r="JM4" s="183" t="str">
        <f t="shared" ref="JM4:JM21" si="77">IF(JL4="","",IF(JL4&gt;3.7,"A",IF(JL4&gt;2.8,"B",IF(JL4&gt;1.5,"C",IF(JL4&gt;0,"D",IF(JL4=0,""))))))</f>
        <v>C</v>
      </c>
      <c r="JN4" s="184">
        <f>IF(COUNT(JN5:JN9)=0,"",SUM(JN5:JN9)/COUNT(JN5:JN9))</f>
        <v>1.75</v>
      </c>
      <c r="JO4" s="185" t="str">
        <f t="shared" ref="JO4:JO21" si="78">IF(JN4="","",IF(JN4&gt;3.7,"A",IF(JN4&gt;2.8,"B",IF(JN4&gt;1.5,"C",IF(JN4&gt;0,"D",IF(JN4=0,""))))))</f>
        <v>C</v>
      </c>
      <c r="JP4" s="152"/>
      <c r="JQ4" s="65"/>
      <c r="JR4" s="85"/>
      <c r="JS4" s="159">
        <f>IF(COUNT(JS5:JS9)=0,"",SUM(JS5:JS9)/COUNT(JS5:JS9))</f>
        <v>1.75</v>
      </c>
      <c r="JT4" s="160" t="str">
        <f t="shared" ref="JT4:JT21" si="79">IF(JS4="","",IF(JS4&gt;3.7,"A",IF(JS4&gt;2.8,"B",IF(JS4&gt;1.5,"C",IF(JS4&gt;0,"D",IF(JS4=0,""))))))</f>
        <v>C</v>
      </c>
      <c r="JU4" s="152"/>
      <c r="JV4" s="65"/>
      <c r="JW4" s="65"/>
      <c r="JX4" s="85"/>
      <c r="JY4" s="159">
        <f>IF(COUNT(JY5:JY9)=0,"",SUM(JY5:JY9)/COUNT(JY5:JY9))</f>
        <v>2</v>
      </c>
      <c r="JZ4" s="175" t="str">
        <f t="shared" ref="JZ4:JZ21" si="80">IF(JY4="","",IF(JY4&gt;3.7,"A",IF(JY4&gt;2.8,"B",IF(JY4&gt;1.5,"C",IF(JY4&gt;0,"D",IF(JY4=0,""))))))</f>
        <v>C</v>
      </c>
      <c r="KA4" s="153"/>
      <c r="KB4" s="90"/>
      <c r="KC4" s="90"/>
      <c r="KD4" s="90"/>
      <c r="KE4" s="90"/>
      <c r="KF4" s="91"/>
      <c r="KG4" s="159">
        <f>IF(COUNT(KG5:KG9)=0,"",SUM(KG5:KG9)/COUNT(KG5:KG9))</f>
        <v>2.1875</v>
      </c>
      <c r="KH4" s="183" t="str">
        <f t="shared" ref="KH4:KH21" si="81">IF(KG4="","",IF(KG4&gt;3.7,"A",IF(KG4&gt;2.8,"B",IF(KG4&gt;1.5,"C",IF(KG4&gt;0,"D",IF(KG4=0,""))))))</f>
        <v>C</v>
      </c>
      <c r="KI4" s="184">
        <f>IF(COUNT(KI5:KI9)=0,"",SUM(KI5:KI9)/COUNT(KI5:KI9))</f>
        <v>2.09375</v>
      </c>
      <c r="KJ4" s="185" t="str">
        <f t="shared" ref="KJ4:KJ21" si="82">IF(KI4="","",IF(KI4&gt;3.7,"A",IF(KI4&gt;2.8,"B",IF(KI4&gt;1.5,"C",IF(KI4&gt;0,"D",IF(KI4=0,""))))))</f>
        <v>C</v>
      </c>
      <c r="KK4" s="152"/>
      <c r="KL4" s="65"/>
      <c r="KM4" s="85"/>
      <c r="KN4" s="159">
        <f>IF(COUNT(KN5:KN9)=0,"",SUM(KN5:KN9)/COUNT(KN5:KN9))</f>
        <v>2.5</v>
      </c>
      <c r="KO4" s="160" t="str">
        <f t="shared" ref="KO4:KO21" si="83">IF(KN4="","",IF(KN4&gt;3.7,"A",IF(KN4&gt;2.8,"B",IF(KN4&gt;1.5,"C",IF(KN4&gt;0,"D",IF(KN4=0,""))))))</f>
        <v>C</v>
      </c>
      <c r="KP4" s="152"/>
      <c r="KQ4" s="65"/>
      <c r="KR4" s="65"/>
      <c r="KS4" s="85"/>
      <c r="KT4" s="159">
        <f>IF(COUNT(KT5:KT9)=0,"",SUM(KT5:KT9)/COUNT(KT5:KT9))</f>
        <v>3</v>
      </c>
      <c r="KU4" s="175" t="str">
        <f t="shared" ref="KU4:KU21" si="84">IF(KT4="","",IF(KT4&gt;3.7,"A",IF(KT4&gt;2.8,"B",IF(KT4&gt;1.5,"C",IF(KT4&gt;0,"D",IF(KT4=0,""))))))</f>
        <v>B</v>
      </c>
      <c r="KV4" s="153"/>
      <c r="KW4" s="90"/>
      <c r="KX4" s="90"/>
      <c r="KY4" s="90"/>
      <c r="KZ4" s="90"/>
      <c r="LA4" s="91"/>
      <c r="LB4" s="159">
        <f>IF(COUNT(LB5:LB9)=0,"",SUM(LB5:LB9)/COUNT(LB5:LB9))</f>
        <v>2.25</v>
      </c>
      <c r="LC4" s="183" t="str">
        <f t="shared" ref="LC4:LC21" si="85">IF(LB4="","",IF(LB4&gt;3.7,"A",IF(LB4&gt;2.8,"B",IF(LB4&gt;1.5,"C",IF(LB4&gt;0,"D",IF(LB4=0,""))))))</f>
        <v>C</v>
      </c>
      <c r="LD4" s="184">
        <f>IF(COUNT(LD5:LD9)=0,"",SUM(LD5:LD9)/COUNT(LD5:LD9))</f>
        <v>2.375</v>
      </c>
      <c r="LE4" s="185" t="str">
        <f t="shared" ref="LE4:LE21" si="86">IF(LD4="","",IF(LD4&gt;3.7,"A",IF(LD4&gt;2.8,"B",IF(LD4&gt;1.5,"C",IF(LD4&gt;0,"D",IF(LD4=0,""))))))</f>
        <v>C</v>
      </c>
      <c r="LF4" s="152"/>
      <c r="LG4" s="65"/>
      <c r="LH4" s="85"/>
      <c r="LI4" s="159">
        <f>IF(COUNT(LI5:LI9)=0,"",SUM(LI5:LI9)/COUNT(LI5:LI9))</f>
        <v>1.5</v>
      </c>
      <c r="LJ4" s="160" t="str">
        <f t="shared" ref="LJ4:LJ21" si="87">IF(LI4="","",IF(LI4&gt;3.7,"A",IF(LI4&gt;2.8,"B",IF(LI4&gt;1.5,"C",IF(LI4&gt;0,"D",IF(LI4=0,""))))))</f>
        <v>D</v>
      </c>
      <c r="LK4" s="152"/>
      <c r="LL4" s="65"/>
      <c r="LM4" s="65"/>
      <c r="LN4" s="85"/>
      <c r="LO4" s="159">
        <f>IF(COUNT(LO5:LO9)=0,"",SUM(LO5:LO9)/COUNT(LO5:LO9))</f>
        <v>3</v>
      </c>
      <c r="LP4" s="175" t="str">
        <f t="shared" ref="LP4:LP21" si="88">IF(LO4="","",IF(LO4&gt;3.7,"A",IF(LO4&gt;2.8,"B",IF(LO4&gt;1.5,"C",IF(LO4&gt;0,"D",IF(LO4=0,""))))))</f>
        <v>B</v>
      </c>
      <c r="LQ4" s="153"/>
      <c r="LR4" s="90"/>
      <c r="LS4" s="90"/>
      <c r="LT4" s="90"/>
      <c r="LU4" s="90"/>
      <c r="LV4" s="91"/>
      <c r="LW4" s="159">
        <f>IF(COUNT(LW5:LW9)=0,"",SUM(LW5:LW9)/COUNT(LW5:LW9))</f>
        <v>1.5</v>
      </c>
      <c r="LX4" s="183" t="str">
        <f t="shared" ref="LX4:LX21" si="89">IF(LW4="","",IF(LW4&gt;3.7,"A",IF(LW4&gt;2.8,"B",IF(LW4&gt;1.5,"C",IF(LW4&gt;0,"D",IF(LW4=0,""))))))</f>
        <v>D</v>
      </c>
      <c r="LY4" s="184">
        <f>IF(COUNT(LY5:LY9)=0,"",SUM(LY5:LY9)/COUNT(LY5:LY9))</f>
        <v>1.6875</v>
      </c>
      <c r="LZ4" s="185" t="str">
        <f t="shared" ref="LZ4:LZ21" si="90">IF(LY4="","",IF(LY4&gt;3.7,"A",IF(LY4&gt;2.8,"B",IF(LY4&gt;1.5,"C",IF(LY4&gt;0,"D",IF(LY4=0,""))))))</f>
        <v>C</v>
      </c>
      <c r="MA4" s="152"/>
      <c r="MB4" s="65"/>
      <c r="MC4" s="85"/>
      <c r="MD4" s="159">
        <f>IF(COUNT(MD5:MD9)=0,"",SUM(MD5:MD9)/COUNT(MD5:MD9))</f>
        <v>1.75</v>
      </c>
      <c r="ME4" s="160" t="str">
        <f t="shared" ref="ME4:ME21" si="91">IF(MD4="","",IF(MD4&gt;3.7,"A",IF(MD4&gt;2.8,"B",IF(MD4&gt;1.5,"C",IF(MD4&gt;0,"D",IF(MD4=0,""))))))</f>
        <v>C</v>
      </c>
      <c r="MF4" s="152"/>
      <c r="MG4" s="65"/>
      <c r="MH4" s="65"/>
      <c r="MI4" s="85"/>
      <c r="MJ4" s="159">
        <f>IF(COUNT(MJ5:MJ9)=0,"",SUM(MJ5:MJ9)/COUNT(MJ5:MJ9))</f>
        <v>2</v>
      </c>
      <c r="MK4" s="175" t="str">
        <f t="shared" ref="MK4:MK21" si="92">IF(MJ4="","",IF(MJ4&gt;3.7,"A",IF(MJ4&gt;2.8,"B",IF(MJ4&gt;1.5,"C",IF(MJ4&gt;0,"D",IF(MJ4=0,""))))))</f>
        <v>C</v>
      </c>
      <c r="ML4" s="153"/>
      <c r="MM4" s="90"/>
      <c r="MN4" s="90"/>
      <c r="MO4" s="90"/>
      <c r="MP4" s="90"/>
      <c r="MQ4" s="91"/>
      <c r="MR4" s="159">
        <f>IF(COUNT(MR5:MR9)=0,"",SUM(MR5:MR9)/COUNT(MR5:MR9))</f>
        <v>1.875</v>
      </c>
      <c r="MS4" s="183" t="str">
        <f t="shared" ref="MS4:MS21" si="93">IF(MR4="","",IF(MR4&gt;3.7,"A",IF(MR4&gt;2.8,"B",IF(MR4&gt;1.5,"C",IF(MR4&gt;0,"D",IF(MR4=0,""))))))</f>
        <v>C</v>
      </c>
      <c r="MT4" s="184">
        <f>IF(COUNT(MT5:MT9)=0,"",SUM(MT5:MT9)/COUNT(MT5:MT9))</f>
        <v>1.875</v>
      </c>
      <c r="MU4" s="185" t="str">
        <f t="shared" ref="MU4:MU21" si="94">IF(MT4="","",IF(MT4&gt;3.7,"A",IF(MT4&gt;2.8,"B",IF(MT4&gt;1.5,"C",IF(MT4&gt;0,"D",IF(MT4=0,""))))))</f>
        <v>C</v>
      </c>
      <c r="MV4" s="152"/>
      <c r="MW4" s="65"/>
      <c r="MX4" s="85"/>
      <c r="MY4" s="159">
        <f>IF(COUNT(MY5:MY9)=0,"",SUM(MY5:MY9)/COUNT(MY5:MY9))</f>
        <v>2.25</v>
      </c>
      <c r="MZ4" s="160" t="str">
        <f t="shared" ref="MZ4:MZ21" si="95">IF(MY4="","",IF(MY4&gt;3.7,"A",IF(MY4&gt;2.8,"B",IF(MY4&gt;1.5,"C",IF(MY4&gt;0,"D",IF(MY4=0,""))))))</f>
        <v>C</v>
      </c>
      <c r="NA4" s="152"/>
      <c r="NB4" s="65"/>
      <c r="NC4" s="65"/>
      <c r="ND4" s="85"/>
      <c r="NE4" s="159">
        <f>IF(COUNT(NE5:NE9)=0,"",SUM(NE5:NE9)/COUNT(NE5:NE9))</f>
        <v>3</v>
      </c>
      <c r="NF4" s="175" t="str">
        <f t="shared" ref="NF4:NF21" si="96">IF(NE4="","",IF(NE4&gt;3.7,"A",IF(NE4&gt;2.8,"B",IF(NE4&gt;1.5,"C",IF(NE4&gt;0,"D",IF(NE4=0,""))))))</f>
        <v>B</v>
      </c>
      <c r="NG4" s="153"/>
      <c r="NH4" s="90"/>
      <c r="NI4" s="90"/>
      <c r="NJ4" s="90"/>
      <c r="NK4" s="90"/>
      <c r="NL4" s="91"/>
      <c r="NM4" s="159">
        <f>IF(COUNT(NM5:NM9)=0,"",SUM(NM5:NM9)/COUNT(NM5:NM9))</f>
        <v>2.125</v>
      </c>
      <c r="NN4" s="183" t="str">
        <f t="shared" ref="NN4:NN21" si="97">IF(NM4="","",IF(NM4&gt;3.7,"A",IF(NM4&gt;2.8,"B",IF(NM4&gt;1.5,"C",IF(NM4&gt;0,"D",IF(NM4=0,""))))))</f>
        <v>C</v>
      </c>
      <c r="NO4" s="184">
        <f>IF(COUNT(NO5:NO9)=0,"",SUM(NO5:NO9)/COUNT(NO5:NO9))</f>
        <v>2.1875</v>
      </c>
      <c r="NP4" s="185" t="str">
        <f t="shared" ref="NP4:NP21" si="98">IF(NO4="","",IF(NO4&gt;3.7,"A",IF(NO4&gt;2.8,"B",IF(NO4&gt;1.5,"C",IF(NO4&gt;0,"D",IF(NO4=0,""))))))</f>
        <v>C</v>
      </c>
      <c r="NQ4" s="152"/>
      <c r="NR4" s="65"/>
      <c r="NS4" s="85"/>
      <c r="NT4" s="159">
        <f>IF(COUNT(NT5:NT9)=0,"",SUM(NT5:NT9)/COUNT(NT5:NT9))</f>
        <v>2.75</v>
      </c>
      <c r="NU4" s="160" t="str">
        <f t="shared" ref="NU4:NU21" si="99">IF(NT4="","",IF(NT4&gt;3.7,"A",IF(NT4&gt;2.8,"B",IF(NT4&gt;1.5,"C",IF(NT4&gt;0,"D",IF(NT4=0,""))))))</f>
        <v>C</v>
      </c>
      <c r="NV4" s="152"/>
      <c r="NW4" s="65"/>
      <c r="NX4" s="65"/>
      <c r="NY4" s="85"/>
      <c r="NZ4" s="159">
        <f>IF(COUNT(NZ5:NZ9)=0,"",SUM(NZ5:NZ9)/COUNT(NZ5:NZ9))</f>
        <v>4</v>
      </c>
      <c r="OA4" s="175" t="str">
        <f t="shared" ref="OA4:OA21" si="100">IF(NZ4="","",IF(NZ4&gt;3.7,"A",IF(NZ4&gt;2.8,"B",IF(NZ4&gt;1.5,"C",IF(NZ4&gt;0,"D",IF(NZ4=0,""))))))</f>
        <v>A</v>
      </c>
      <c r="OB4" s="153"/>
      <c r="OC4" s="90"/>
      <c r="OD4" s="90"/>
      <c r="OE4" s="90"/>
      <c r="OF4" s="90"/>
      <c r="OG4" s="91"/>
      <c r="OH4" s="159">
        <f>IF(COUNT(OH5:OH9)=0,"",SUM(OH5:OH9)/COUNT(OH5:OH9))</f>
        <v>2.1875</v>
      </c>
      <c r="OI4" s="183" t="str">
        <f t="shared" ref="OI4:OI21" si="101">IF(OH4="","",IF(OH4&gt;3.7,"A",IF(OH4&gt;2.8,"B",IF(OH4&gt;1.5,"C",IF(OH4&gt;0,"D",IF(OH4=0,""))))))</f>
        <v>C</v>
      </c>
      <c r="OJ4" s="184">
        <f>IF(COUNT(OJ5:OJ9)=0,"",SUM(OJ5:OJ9)/COUNT(OJ5:OJ9))</f>
        <v>2.53125</v>
      </c>
      <c r="OK4" s="185" t="str">
        <f t="shared" ref="OK4:OK21" si="102">IF(OJ4="","",IF(OJ4&gt;3.7,"A",IF(OJ4&gt;2.8,"B",IF(OJ4&gt;1.5,"C",IF(OJ4&gt;0,"D",IF(OJ4=0,""))))))</f>
        <v>C</v>
      </c>
      <c r="OL4" s="152"/>
      <c r="OM4" s="65"/>
      <c r="ON4" s="85"/>
      <c r="OO4" s="159">
        <f>IF(COUNT(OO5:OO9)=0,"",SUM(OO5:OO9)/COUNT(OO5:OO9))</f>
        <v>2.5</v>
      </c>
      <c r="OP4" s="160" t="str">
        <f t="shared" ref="OP4:OP21" si="103">IF(OO4="","",IF(OO4&gt;3.7,"A",IF(OO4&gt;2.8,"B",IF(OO4&gt;1.5,"C",IF(OO4&gt;0,"D",IF(OO4=0,""))))))</f>
        <v>C</v>
      </c>
      <c r="OQ4" s="152"/>
      <c r="OR4" s="65"/>
      <c r="OS4" s="65"/>
      <c r="OT4" s="85"/>
      <c r="OU4" s="159">
        <f>IF(COUNT(OU5:OU9)=0,"",SUM(OU5:OU9)/COUNT(OU5:OU9))</f>
        <v>3</v>
      </c>
      <c r="OV4" s="175" t="str">
        <f t="shared" ref="OV4:OV21" si="104">IF(OU4="","",IF(OU4&gt;3.7,"A",IF(OU4&gt;2.8,"B",IF(OU4&gt;1.5,"C",IF(OU4&gt;0,"D",IF(OU4=0,""))))))</f>
        <v>B</v>
      </c>
      <c r="OW4" s="153"/>
      <c r="OX4" s="90"/>
      <c r="OY4" s="90"/>
      <c r="OZ4" s="90"/>
      <c r="PA4" s="90"/>
      <c r="PB4" s="91"/>
      <c r="PC4" s="159">
        <f>IF(COUNT(PC5:PC9)=0,"",SUM(PC5:PC9)/COUNT(PC5:PC9))</f>
        <v>2.375</v>
      </c>
      <c r="PD4" s="183" t="str">
        <f t="shared" ref="PD4:PD21" si="105">IF(PC4="","",IF(PC4&gt;3.7,"A",IF(PC4&gt;2.8,"B",IF(PC4&gt;1.5,"C",IF(PC4&gt;0,"D",IF(PC4=0,""))))))</f>
        <v>C</v>
      </c>
      <c r="PE4" s="184">
        <f>IF(COUNT(PE5:PE9)=0,"",SUM(PE5:PE9)/COUNT(PE5:PE9))</f>
        <v>2.4375</v>
      </c>
      <c r="PF4" s="185" t="str">
        <f t="shared" ref="PF4:PF21" si="106">IF(PE4="","",IF(PE4&gt;3.7,"A",IF(PE4&gt;2.8,"B",IF(PE4&gt;1.5,"C",IF(PE4&gt;0,"D",IF(PE4=0,""))))))</f>
        <v>C</v>
      </c>
      <c r="PG4" s="152"/>
      <c r="PH4" s="65"/>
      <c r="PI4" s="85"/>
      <c r="PJ4" s="159">
        <f>IF(COUNT(PJ5:PJ9)=0,"",SUM(PJ5:PJ9)/COUNT(PJ5:PJ9))</f>
        <v>1.5</v>
      </c>
      <c r="PK4" s="160" t="str">
        <f t="shared" ref="PK4:PK21" si="107">IF(PJ4="","",IF(PJ4&gt;3.7,"A",IF(PJ4&gt;2.8,"B",IF(PJ4&gt;1.5,"C",IF(PJ4&gt;0,"D",IF(PJ4=0,""))))))</f>
        <v>D</v>
      </c>
      <c r="PL4" s="152"/>
      <c r="PM4" s="65"/>
      <c r="PN4" s="65"/>
      <c r="PO4" s="85"/>
      <c r="PP4" s="159">
        <f>IF(COUNT(PP5:PP9)=0,"",SUM(PP5:PP9)/COUNT(PP5:PP9))</f>
        <v>4</v>
      </c>
      <c r="PQ4" s="175" t="str">
        <f t="shared" ref="PQ4:PQ21" si="108">IF(PP4="","",IF(PP4&gt;3.7,"A",IF(PP4&gt;2.8,"B",IF(PP4&gt;1.5,"C",IF(PP4&gt;0,"D",IF(PP4=0,""))))))</f>
        <v>A</v>
      </c>
      <c r="PR4" s="153"/>
      <c r="PS4" s="90"/>
      <c r="PT4" s="90"/>
      <c r="PU4" s="90"/>
      <c r="PV4" s="90"/>
      <c r="PW4" s="91"/>
      <c r="PX4" s="159">
        <f>IF(COUNT(PX5:PX9)=0,"",SUM(PX5:PX9)/COUNT(PX5:PX9))</f>
        <v>2.4375</v>
      </c>
      <c r="PY4" s="183" t="str">
        <f t="shared" ref="PY4:PY21" si="109">IF(PX4="","",IF(PX4&gt;3.7,"A",IF(PX4&gt;2.8,"B",IF(PX4&gt;1.5,"C",IF(PX4&gt;0,"D",IF(PX4=0,""))))))</f>
        <v>C</v>
      </c>
      <c r="PZ4" s="184">
        <f>IF(COUNT(PZ5:PZ9)=0,"",SUM(PZ5:PZ9)/COUNT(PZ5:PZ9))</f>
        <v>2.46875</v>
      </c>
      <c r="QA4" s="185" t="str">
        <f t="shared" ref="QA4:QA21" si="110">IF(PZ4="","",IF(PZ4&gt;3.7,"A",IF(PZ4&gt;2.8,"B",IF(PZ4&gt;1.5,"C",IF(PZ4&gt;0,"D",IF(PZ4=0,""))))))</f>
        <v>C</v>
      </c>
      <c r="QB4" s="152"/>
      <c r="QC4" s="65"/>
      <c r="QD4" s="85"/>
      <c r="QE4" s="159">
        <f>IF(COUNT(QE5:QE9)=0,"",SUM(QE5:QE9)/COUNT(QE5:QE9))</f>
        <v>1.5</v>
      </c>
      <c r="QF4" s="160" t="str">
        <f t="shared" ref="QF4:QF21" si="111">IF(QE4="","",IF(QE4&gt;3.7,"A",IF(QE4&gt;2.8,"B",IF(QE4&gt;1.5,"C",IF(QE4&gt;0,"D",IF(QE4=0,""))))))</f>
        <v>D</v>
      </c>
      <c r="QG4" s="152"/>
      <c r="QH4" s="65"/>
      <c r="QI4" s="65"/>
      <c r="QJ4" s="85"/>
      <c r="QK4" s="159" t="str">
        <f>IF(COUNT(QK5:QK9)=0,"",SUM(QK5:QK9)/COUNT(QK5:QK9))</f>
        <v/>
      </c>
      <c r="QL4" s="175" t="str">
        <f t="shared" ref="QL4:QL21" si="112">IF(QK4="","",IF(QK4&gt;3.7,"A",IF(QK4&gt;2.8,"B",IF(QK4&gt;1.5,"C",IF(QK4&gt;0,"D",IF(QK4=0,""))))))</f>
        <v/>
      </c>
      <c r="QM4" s="153"/>
      <c r="QN4" s="90"/>
      <c r="QO4" s="90"/>
      <c r="QP4" s="90"/>
      <c r="QQ4" s="90"/>
      <c r="QR4" s="91"/>
      <c r="QS4" s="159">
        <f>IF(COUNT(QS5:QS9)=0,"",SUM(QS5:QS9)/COUNT(QS5:QS9))</f>
        <v>2.5833333333333335</v>
      </c>
      <c r="QT4" s="183" t="str">
        <f t="shared" ref="QT4:QT21" si="113">IF(QS4="","",IF(QS4&gt;3.7,"A",IF(QS4&gt;2.8,"B",IF(QS4&gt;1.5,"C",IF(QS4&gt;0,"D",IF(QS4=0,""))))))</f>
        <v>C</v>
      </c>
      <c r="QU4" s="184">
        <f>IF(COUNT(QU5:QU9)=0,"",SUM(QU5:QU9)/COUNT(QU5:QU9))</f>
        <v>2.4583333333333335</v>
      </c>
      <c r="QV4" s="185" t="str">
        <f t="shared" ref="QV4:QV21" si="114">IF(QU4="","",IF(QU4&gt;3.7,"A",IF(QU4&gt;2.8,"B",IF(QU4&gt;1.5,"C",IF(QU4&gt;0,"D",IF(QU4=0,""))))))</f>
        <v>C</v>
      </c>
      <c r="QW4" s="152"/>
      <c r="QX4" s="65"/>
      <c r="QY4" s="85"/>
      <c r="QZ4" s="159">
        <f>IF(COUNT(QZ5:QZ9)=0,"",SUM(QZ5:QZ9)/COUNT(QZ5:QZ9))</f>
        <v>1.75</v>
      </c>
      <c r="RA4" s="160" t="str">
        <f t="shared" ref="RA4:RA21" si="115">IF(QZ4="","",IF(QZ4&gt;3.7,"A",IF(QZ4&gt;2.8,"B",IF(QZ4&gt;1.5,"C",IF(QZ4&gt;0,"D",IF(QZ4=0,""))))))</f>
        <v>C</v>
      </c>
      <c r="RB4" s="152"/>
      <c r="RC4" s="65"/>
      <c r="RD4" s="65"/>
      <c r="RE4" s="85"/>
      <c r="RF4" s="159">
        <f>IF(COUNT(RF5:RF9)=0,"",SUM(RF5:RF9)/COUNT(RF5:RF9))</f>
        <v>4</v>
      </c>
      <c r="RG4" s="175" t="str">
        <f t="shared" ref="RG4:RG21" si="116">IF(RF4="","",IF(RF4&gt;3.7,"A",IF(RF4&gt;2.8,"B",IF(RF4&gt;1.5,"C",IF(RF4&gt;0,"D",IF(RF4=0,""))))))</f>
        <v>A</v>
      </c>
      <c r="RH4" s="153"/>
      <c r="RI4" s="90"/>
      <c r="RJ4" s="90"/>
      <c r="RK4" s="90"/>
      <c r="RL4" s="90"/>
      <c r="RM4" s="91"/>
      <c r="RN4" s="159">
        <f>IF(COUNT(RN5:RN9)=0,"",SUM(RN5:RN9)/COUNT(RN5:RN9))</f>
        <v>2.3125</v>
      </c>
      <c r="RO4" s="183" t="str">
        <f t="shared" ref="RO4:RO21" si="117">IF(RN4="","",IF(RN4&gt;3.7,"A",IF(RN4&gt;2.8,"B",IF(RN4&gt;1.5,"C",IF(RN4&gt;0,"D",IF(RN4=0,""))))))</f>
        <v>C</v>
      </c>
      <c r="RP4" s="184">
        <f>IF(COUNT(RP5:RP9)=0,"",SUM(RP5:RP9)/COUNT(RP5:RP9))</f>
        <v>2.34375</v>
      </c>
      <c r="RQ4" s="185" t="str">
        <f t="shared" ref="RQ4:RQ21" si="118">IF(RP4="","",IF(RP4&gt;3.7,"A",IF(RP4&gt;2.8,"B",IF(RP4&gt;1.5,"C",IF(RP4&gt;0,"D",IF(RP4=0,""))))))</f>
        <v>C</v>
      </c>
      <c r="RR4" s="152"/>
      <c r="RS4" s="65"/>
      <c r="RT4" s="85"/>
      <c r="RU4" s="159">
        <f>IF(COUNT(RU5:RU9)=0,"",SUM(RU5:RU9)/COUNT(RU5:RU9))</f>
        <v>2.25</v>
      </c>
      <c r="RV4" s="160" t="str">
        <f t="shared" ref="RV4:RV21" si="119">IF(RU4="","",IF(RU4&gt;3.7,"A",IF(RU4&gt;2.8,"B",IF(RU4&gt;1.5,"C",IF(RU4&gt;0,"D",IF(RU4=0,""))))))</f>
        <v>C</v>
      </c>
      <c r="RW4" s="152"/>
      <c r="RX4" s="65"/>
      <c r="RY4" s="65"/>
      <c r="RZ4" s="85"/>
      <c r="SA4" s="159">
        <f>IF(COUNT(SA5:SA9)=0,"",SUM(SA5:SA9)/COUNT(SA5:SA9))</f>
        <v>2</v>
      </c>
      <c r="SB4" s="175" t="str">
        <f t="shared" ref="SB4:SB21" si="120">IF(SA4="","",IF(SA4&gt;3.7,"A",IF(SA4&gt;2.8,"B",IF(SA4&gt;1.5,"C",IF(SA4&gt;0,"D",IF(SA4=0,""))))))</f>
        <v>C</v>
      </c>
      <c r="SC4" s="153"/>
      <c r="SD4" s="90"/>
      <c r="SE4" s="90"/>
      <c r="SF4" s="90"/>
      <c r="SG4" s="90"/>
      <c r="SH4" s="91"/>
      <c r="SI4" s="159">
        <f>IF(COUNT(SI5:SI9)=0,"",SUM(SI5:SI9)/COUNT(SI5:SI9))</f>
        <v>1.6875</v>
      </c>
      <c r="SJ4" s="183" t="str">
        <f t="shared" ref="SJ4:SJ21" si="121">IF(SI4="","",IF(SI4&gt;3.7,"A",IF(SI4&gt;2.8,"B",IF(SI4&gt;1.5,"C",IF(SI4&gt;0,"D",IF(SI4=0,""))))))</f>
        <v>C</v>
      </c>
      <c r="SK4" s="184">
        <f>IF(COUNT(SK5:SK9)=0,"",SUM(SK5:SK9)/COUNT(SK5:SK9))</f>
        <v>1.84375</v>
      </c>
      <c r="SL4" s="185" t="str">
        <f t="shared" ref="SL4:SL21" si="122">IF(SK4="","",IF(SK4&gt;3.7,"A",IF(SK4&gt;2.8,"B",IF(SK4&gt;1.5,"C",IF(SK4&gt;0,"D",IF(SK4=0,""))))))</f>
        <v>C</v>
      </c>
      <c r="SM4" s="152"/>
      <c r="SN4" s="65"/>
      <c r="SO4" s="85"/>
      <c r="SP4" s="159">
        <f>IF(COUNT(SP5:SP9)=0,"",SUM(SP5:SP9)/COUNT(SP5:SP9))</f>
        <v>3</v>
      </c>
      <c r="SQ4" s="160" t="str">
        <f t="shared" ref="SQ4:SQ21" si="123">IF(SP4="","",IF(SP4&gt;3.7,"A",IF(SP4&gt;2.8,"B",IF(SP4&gt;1.5,"C",IF(SP4&gt;0,"D",IF(SP4=0,""))))))</f>
        <v>B</v>
      </c>
      <c r="SR4" s="152"/>
      <c r="SS4" s="65"/>
      <c r="ST4" s="65"/>
      <c r="SU4" s="85"/>
      <c r="SV4" s="159">
        <f>IF(COUNT(SV5:SV9)=0,"",SUM(SV5:SV9)/COUNT(SV5:SV9))</f>
        <v>3</v>
      </c>
      <c r="SW4" s="175" t="str">
        <f t="shared" ref="SW4:SW21" si="124">IF(SV4="","",IF(SV4&gt;3.7,"A",IF(SV4&gt;2.8,"B",IF(SV4&gt;1.5,"C",IF(SV4&gt;0,"D",IF(SV4=0,""))))))</f>
        <v>B</v>
      </c>
      <c r="SX4" s="153"/>
      <c r="SY4" s="90"/>
      <c r="SZ4" s="90"/>
      <c r="TA4" s="90"/>
      <c r="TB4" s="90"/>
      <c r="TC4" s="91"/>
      <c r="TD4" s="159">
        <f>IF(COUNT(TD5:TD9)=0,"",SUM(TD5:TD9)/COUNT(TD5:TD9))</f>
        <v>2.8125</v>
      </c>
      <c r="TE4" s="183" t="str">
        <f t="shared" ref="TE4:TE21" si="125">IF(TD4="","",IF(TD4&gt;3.7,"A",IF(TD4&gt;2.8,"B",IF(TD4&gt;1.5,"C",IF(TD4&gt;0,"D",IF(TD4=0,""))))))</f>
        <v>B</v>
      </c>
      <c r="TF4" s="184">
        <f>IF(COUNT(TF5:TF9)=0,"",SUM(TF5:TF9)/COUNT(TF5:TF9))</f>
        <v>2.90625</v>
      </c>
      <c r="TG4" s="185" t="str">
        <f t="shared" ref="TG4:TG21" si="126">IF(TF4="","",IF(TF4&gt;3.7,"A",IF(TF4&gt;2.8,"B",IF(TF4&gt;1.5,"C",IF(TF4&gt;0,"D",IF(TF4=0,""))))))</f>
        <v>B</v>
      </c>
      <c r="TH4" s="152"/>
      <c r="TI4" s="65"/>
      <c r="TJ4" s="85"/>
      <c r="TK4" s="159">
        <f>IF(COUNT(TK5:TK9)=0,"",SUM(TK5:TK9)/COUNT(TK5:TK9))</f>
        <v>1.5</v>
      </c>
      <c r="TL4" s="160" t="str">
        <f t="shared" ref="TL4:TL21" si="127">IF(TK4="","",IF(TK4&gt;3.7,"A",IF(TK4&gt;2.8,"B",IF(TK4&gt;1.5,"C",IF(TK4&gt;0,"D",IF(TK4=0,""))))))</f>
        <v>D</v>
      </c>
      <c r="TM4" s="152"/>
      <c r="TN4" s="65"/>
      <c r="TO4" s="65"/>
      <c r="TP4" s="85"/>
      <c r="TQ4" s="159">
        <f>IF(COUNT(TQ5:TQ9)=0,"",SUM(TQ5:TQ9)/COUNT(TQ5:TQ9))</f>
        <v>2</v>
      </c>
      <c r="TR4" s="175" t="str">
        <f t="shared" ref="TR4:TR21" si="128">IF(TQ4="","",IF(TQ4&gt;3.7,"A",IF(TQ4&gt;2.8,"B",IF(TQ4&gt;1.5,"C",IF(TQ4&gt;0,"D",IF(TQ4=0,""))))))</f>
        <v>C</v>
      </c>
      <c r="TS4" s="153"/>
      <c r="TT4" s="90"/>
      <c r="TU4" s="90"/>
      <c r="TV4" s="90"/>
      <c r="TW4" s="90"/>
      <c r="TX4" s="91"/>
      <c r="TY4" s="159">
        <f>IF(COUNT(TY5:TY9)=0,"",SUM(TY5:TY9)/COUNT(TY5:TY9))</f>
        <v>2.1875</v>
      </c>
      <c r="TZ4" s="183" t="str">
        <f t="shared" ref="TZ4:TZ21" si="129">IF(TY4="","",IF(TY4&gt;3.7,"A",IF(TY4&gt;2.8,"B",IF(TY4&gt;1.5,"C",IF(TY4&gt;0,"D",IF(TY4=0,""))))))</f>
        <v>C</v>
      </c>
      <c r="UA4" s="184">
        <f>IF(COUNT(UA5:UA9)=0,"",SUM(UA5:UA9)/COUNT(UA5:UA9))</f>
        <v>2.03125</v>
      </c>
      <c r="UB4" s="185" t="str">
        <f t="shared" ref="UB4:UB21" si="130">IF(UA4="","",IF(UA4&gt;3.7,"A",IF(UA4&gt;2.8,"B",IF(UA4&gt;1.5,"C",IF(UA4&gt;0,"D",IF(UA4=0,""))))))</f>
        <v>C</v>
      </c>
      <c r="UC4" s="152"/>
      <c r="UD4" s="65"/>
      <c r="UE4" s="85"/>
      <c r="UF4" s="159">
        <f>IF(COUNT(UF5:UF9)=0,"",SUM(UF5:UF9)/COUNT(UF5:UF9))</f>
        <v>2.5</v>
      </c>
      <c r="UG4" s="160" t="str">
        <f t="shared" ref="UG4:UG21" si="131">IF(UF4="","",IF(UF4&gt;3.7,"A",IF(UF4&gt;2.8,"B",IF(UF4&gt;1.5,"C",IF(UF4&gt;0,"D",IF(UF4=0,""))))))</f>
        <v>C</v>
      </c>
      <c r="UH4" s="152"/>
      <c r="UI4" s="65"/>
      <c r="UJ4" s="65"/>
      <c r="UK4" s="85"/>
      <c r="UL4" s="159">
        <f>IF(COUNT(UL5:UL9)=0,"",SUM(UL5:UL9)/COUNT(UL5:UL9))</f>
        <v>2</v>
      </c>
      <c r="UM4" s="175" t="str">
        <f t="shared" ref="UM4:UM21" si="132">IF(UL4="","",IF(UL4&gt;3.7,"A",IF(UL4&gt;2.8,"B",IF(UL4&gt;1.5,"C",IF(UL4&gt;0,"D",IF(UL4=0,""))))))</f>
        <v>C</v>
      </c>
      <c r="UN4" s="153"/>
      <c r="UO4" s="90"/>
      <c r="UP4" s="90"/>
      <c r="UQ4" s="90"/>
      <c r="UR4" s="90"/>
      <c r="US4" s="91"/>
      <c r="UT4" s="159">
        <f>IF(COUNT(UT5:UT9)=0,"",SUM(UT5:UT9)/COUNT(UT5:UT9))</f>
        <v>2.25</v>
      </c>
      <c r="UU4" s="183" t="str">
        <f t="shared" ref="UU4:UU21" si="133">IF(UT4="","",IF(UT4&gt;3.7,"A",IF(UT4&gt;2.8,"B",IF(UT4&gt;1.5,"C",IF(UT4&gt;0,"D",IF(UT4=0,""))))))</f>
        <v>C</v>
      </c>
      <c r="UV4" s="184">
        <f>IF(COUNT(UV5:UV9)=0,"",SUM(UV5:UV9)/COUNT(UV5:UV9))</f>
        <v>2.25</v>
      </c>
      <c r="UW4" s="185" t="str">
        <f t="shared" ref="UW4:UW21" si="134">IF(UV4="","",IF(UV4&gt;3.7,"A",IF(UV4&gt;2.8,"B",IF(UV4&gt;1.5,"C",IF(UV4&gt;0,"D",IF(UV4=0,""))))))</f>
        <v>C</v>
      </c>
      <c r="UX4" s="152"/>
      <c r="UY4" s="65"/>
      <c r="UZ4" s="85"/>
      <c r="VA4" s="159">
        <f>IF(COUNT(VA5:VA9)=0,"",SUM(VA5:VA9)/COUNT(VA5:VA9))</f>
        <v>2.75</v>
      </c>
      <c r="VB4" s="160" t="str">
        <f t="shared" ref="VB4:VB21" si="135">IF(VA4="","",IF(VA4&gt;3.7,"A",IF(VA4&gt;2.8,"B",IF(VA4&gt;1.5,"C",IF(VA4&gt;0,"D",IF(VA4=0,""))))))</f>
        <v>C</v>
      </c>
      <c r="VC4" s="152"/>
      <c r="VD4" s="65"/>
      <c r="VE4" s="65"/>
      <c r="VF4" s="85"/>
      <c r="VG4" s="159">
        <f>IF(COUNT(VG5:VG9)=0,"",SUM(VG5:VG9)/COUNT(VG5:VG9))</f>
        <v>4</v>
      </c>
      <c r="VH4" s="175" t="str">
        <f t="shared" ref="VH4:VH21" si="136">IF(VG4="","",IF(VG4&gt;3.7,"A",IF(VG4&gt;2.8,"B",IF(VG4&gt;1.5,"C",IF(VG4&gt;0,"D",IF(VG4=0,""))))))</f>
        <v>A</v>
      </c>
      <c r="VI4" s="153"/>
      <c r="VJ4" s="90"/>
      <c r="VK4" s="90"/>
      <c r="VL4" s="90"/>
      <c r="VM4" s="90"/>
      <c r="VN4" s="91"/>
      <c r="VO4" s="159">
        <f>IF(COUNT(VO5:VO9)=0,"",SUM(VO5:VO9)/COUNT(VO5:VO9))</f>
        <v>2.3125</v>
      </c>
      <c r="VP4" s="183" t="str">
        <f t="shared" ref="VP4:VP21" si="137">IF(VO4="","",IF(VO4&gt;3.7,"A",IF(VO4&gt;2.8,"B",IF(VO4&gt;1.5,"C",IF(VO4&gt;0,"D",IF(VO4=0,""))))))</f>
        <v>C</v>
      </c>
      <c r="VQ4" s="184">
        <f>IF(COUNT(VQ5:VQ9)=0,"",SUM(VQ5:VQ9)/COUNT(VQ5:VQ9))</f>
        <v>2.53125</v>
      </c>
      <c r="VR4" s="185" t="str">
        <f t="shared" ref="VR4:VR21" si="138">IF(VQ4="","",IF(VQ4&gt;3.7,"A",IF(VQ4&gt;2.8,"B",IF(VQ4&gt;1.5,"C",IF(VQ4&gt;0,"D",IF(VQ4=0,""))))))</f>
        <v>C</v>
      </c>
      <c r="VS4" s="84"/>
      <c r="VT4" s="65"/>
      <c r="VU4" s="85"/>
      <c r="VV4" s="86" t="str">
        <f>IF(COUNT(VV5:VV9)=0,"",SUM(VV5:VV9)/COUNT(VV5:VV9))</f>
        <v/>
      </c>
      <c r="VW4" s="87" t="str">
        <f t="shared" ref="VW4:VW21" si="139">IF(VV4="","",IF(VV4&gt;3.7,"A",IF(VV4&gt;2.8,"B",IF(VV4&gt;1.5,"C",IF(VV4&gt;0,"D",IF(VV4=0,""))))))</f>
        <v/>
      </c>
      <c r="VX4" s="84"/>
      <c r="VY4" s="65"/>
      <c r="VZ4" s="85"/>
      <c r="WA4" s="86" t="str">
        <f>IF(COUNT(WA5:WA9)=0,"",SUM(WA5:WA9)/COUNT(WA5:WA9))</f>
        <v/>
      </c>
      <c r="WB4" s="88" t="str">
        <f t="shared" ref="WB4:WB21" si="140">IF(WA4="","",IF(WA4&gt;3.7,"A",IF(WA4&gt;2.8,"B",IF(WA4&gt;1.5,"C",IF(WA4&gt;0,"D",IF(WA4=0,""))))))</f>
        <v/>
      </c>
      <c r="WC4" s="89"/>
      <c r="WD4" s="90"/>
      <c r="WE4" s="91"/>
      <c r="WF4" s="86" t="str">
        <f>IF(COUNT(WF5:WF9)=0,"",SUM(WF5:WF9)/COUNT(WF5:WF9))</f>
        <v/>
      </c>
      <c r="WG4" s="92" t="str">
        <f t="shared" ref="WG4:WG21" si="141">IF(WF4="","",IF(WF4&gt;3.7,"A",IF(WF4&gt;2.8,"B",IF(WF4&gt;1.5,"C",IF(WF4&gt;0,"D",IF(WF4=0,""))))))</f>
        <v/>
      </c>
      <c r="WH4" s="93" t="str">
        <f>IF(COUNT(WH5:WH9)=0,"",SUM(WH5:WH9)/COUNT(WH5:WH9))</f>
        <v/>
      </c>
      <c r="WI4" s="94" t="str">
        <f t="shared" ref="WI4:WI21" si="142">IF(WH4="","",IF(WH4&gt;3.7,"A",IF(WH4&gt;2.8,"B",IF(WH4&gt;1.5,"C",IF(WH4&gt;0,"D",IF(WH4=0,""))))))</f>
        <v/>
      </c>
      <c r="WJ4" s="84"/>
      <c r="WK4" s="65"/>
      <c r="WL4" s="85"/>
      <c r="WM4" s="86" t="str">
        <f>IF(COUNT(WM5:WM9)=0,"",SUM(WM5:WM9)/COUNT(WM5:WM9))</f>
        <v/>
      </c>
      <c r="WN4" s="87" t="str">
        <f t="shared" ref="WN4:WN21" si="143">IF(WM4="","",IF(WM4&gt;3.7,"A",IF(WM4&gt;2.8,"B",IF(WM4&gt;1.5,"C",IF(WM4&gt;0,"D",IF(WM4=0,""))))))</f>
        <v/>
      </c>
      <c r="WO4" s="84"/>
      <c r="WP4" s="65"/>
      <c r="WQ4" s="85"/>
      <c r="WR4" s="86" t="str">
        <f>IF(COUNT(WR5:WR9)=0,"",SUM(WR5:WR9)/COUNT(WR5:WR9))</f>
        <v/>
      </c>
      <c r="WS4" s="88" t="str">
        <f t="shared" ref="WS4:WS21" si="144">IF(WR4="","",IF(WR4&gt;3.7,"A",IF(WR4&gt;2.8,"B",IF(WR4&gt;1.5,"C",IF(WR4&gt;0,"D",IF(WR4=0,""))))))</f>
        <v/>
      </c>
      <c r="WT4" s="89"/>
      <c r="WU4" s="90"/>
      <c r="WV4" s="91"/>
      <c r="WW4" s="86" t="str">
        <f>IF(COUNT(WW5:WW9)=0,"",SUM(WW5:WW9)/COUNT(WW5:WW9))</f>
        <v/>
      </c>
      <c r="WX4" s="92" t="str">
        <f t="shared" ref="WX4:WX21" si="145">IF(WW4="","",IF(WW4&gt;3.7,"A",IF(WW4&gt;2.8,"B",IF(WW4&gt;1.5,"C",IF(WW4&gt;0,"D",IF(WW4=0,""))))))</f>
        <v/>
      </c>
      <c r="WY4" s="93" t="str">
        <f>IF(COUNT(WY5:WY9)=0,"",SUM(WY5:WY9)/COUNT(WY5:WY9))</f>
        <v/>
      </c>
      <c r="WZ4" s="94" t="str">
        <f t="shared" ref="WZ4:WZ21" si="146">IF(WY4="","",IF(WY4&gt;3.7,"A",IF(WY4&gt;2.8,"B",IF(WY4&gt;1.5,"C",IF(WY4&gt;0,"D",IF(WY4=0,""))))))</f>
        <v/>
      </c>
    </row>
    <row r="5" spans="1:624" ht="18" customHeight="1" x14ac:dyDescent="0.55000000000000004">
      <c r="A5" s="217" t="s">
        <v>12</v>
      </c>
      <c r="B5" s="218"/>
      <c r="C5" s="96" t="s">
        <v>28</v>
      </c>
      <c r="D5" s="97" t="s">
        <v>29</v>
      </c>
      <c r="E5" s="98"/>
      <c r="F5" s="161">
        <f>IFERROR((((COUNTIF('Elève (3ème5)'!C5:E5,"A"))*4)+((COUNTIF('Elève (3ème5)'!C5:E5,"B"))*3)+((COUNTIF('Elève (3ème5)'!C5:E5,"C"))*2)+((COUNTIF('Elève (3ème5)'!C5:E5,"D"))*1))/(COUNTA(C5:E5)),"")</f>
        <v>2.5</v>
      </c>
      <c r="G5" s="162" t="str">
        <f t="shared" si="27"/>
        <v>C</v>
      </c>
      <c r="H5" s="96"/>
      <c r="I5" s="97"/>
      <c r="J5" s="98"/>
      <c r="K5" s="98"/>
      <c r="L5" s="161" t="str">
        <f>IFERROR((((COUNTIF('Elève (3ème5)'!H5:K5,"A"))*4)+((COUNTIF('Elève (3ème5)'!H5:K5,"B"))*3)+((COUNTIF('Elève (3ème5)'!H5:K5,"C"))*2)+((COUNTIF('Elève (3ème5)'!H5:K5,"D"))*1))/(COUNTA(H5:K5)),"")</f>
        <v/>
      </c>
      <c r="M5" s="162" t="str">
        <f t="shared" si="28"/>
        <v/>
      </c>
      <c r="N5" s="96" t="s">
        <v>29</v>
      </c>
      <c r="O5" s="97" t="s">
        <v>29</v>
      </c>
      <c r="P5" s="98"/>
      <c r="Q5" s="98"/>
      <c r="R5" s="98"/>
      <c r="S5" s="98"/>
      <c r="T5" s="161">
        <f>IFERROR((((COUNTIF('Elève (3ème5)'!N5:S5,"A"))*4)+((COUNTIF('Elève (3ème5)'!N5:S5,"B"))*3)+((COUNTIF('Elève (3ème5)'!N5:S5,"C"))*2)+((COUNTIF('Elève (3ème5)'!N5:S5,"D"))*1))/(COUNTA(N5:S5)),"")</f>
        <v>2</v>
      </c>
      <c r="U5" s="162" t="str">
        <f t="shared" si="29"/>
        <v>C</v>
      </c>
      <c r="V5" s="161">
        <f>IF(COUNT(F5,L5,T5)=0,"",SUM(F5,L5,T5)/COUNT(F5,L5,T5))</f>
        <v>2.25</v>
      </c>
      <c r="W5" s="186" t="str">
        <f t="shared" si="30"/>
        <v>C</v>
      </c>
      <c r="X5" s="96" t="s">
        <v>28</v>
      </c>
      <c r="Y5" s="97" t="s">
        <v>28</v>
      </c>
      <c r="Z5" s="98"/>
      <c r="AA5" s="161">
        <f>IFERROR((((COUNTIF('Elève (3ème5)'!X5:Z5,"A"))*4)+((COUNTIF('Elève (3ème5)'!X5:Z5,"B"))*3)+((COUNTIF('Elève (3ème5)'!X5:Z5,"C"))*2)+((COUNTIF('Elève (3ème5)'!X5:Z5,"D"))*1))/(COUNTA(X5:Z5)),"")</f>
        <v>3</v>
      </c>
      <c r="AB5" s="162" t="str">
        <f t="shared" si="31"/>
        <v>B</v>
      </c>
      <c r="AC5" s="96"/>
      <c r="AD5" s="97"/>
      <c r="AE5" s="98"/>
      <c r="AF5" s="98"/>
      <c r="AG5" s="161" t="str">
        <f>IFERROR((((COUNTIF('Elève (3ème5)'!AC5:AF5,"A"))*4)+((COUNTIF('Elève (3ème5)'!AC5:AF5,"B"))*3)+((COUNTIF('Elève (3ème5)'!AC5:AF5,"C"))*2)+((COUNTIF('Elève (3ème5)'!AC5:AF5,"D"))*1))/(COUNTA(AC5:AF5)),"")</f>
        <v/>
      </c>
      <c r="AH5" s="162" t="str">
        <f t="shared" si="32"/>
        <v/>
      </c>
      <c r="AI5" s="96" t="s">
        <v>27</v>
      </c>
      <c r="AJ5" s="97" t="s">
        <v>29</v>
      </c>
      <c r="AK5" s="98"/>
      <c r="AL5" s="98"/>
      <c r="AM5" s="98"/>
      <c r="AN5" s="102"/>
      <c r="AO5" s="161">
        <f>IFERROR((((COUNTIF('Elève (3ème5)'!AI5:AN5,"A"))*4)+((COUNTIF('Elève (3ème5)'!AI5:AN5,"B"))*3)+((COUNTIF('Elève (3ème5)'!AI5:AN5,"C"))*2)+((COUNTIF('Elève (3ème5)'!AI5:AN5,"D"))*1))/(COUNTA(AI5:AN5)),"")</f>
        <v>3</v>
      </c>
      <c r="AP5" s="162" t="str">
        <f t="shared" si="33"/>
        <v>B</v>
      </c>
      <c r="AQ5" s="161">
        <f>IF(COUNT(AA5,AG5,AO5)=0,"",SUM(AA5,AG5,AO5)/COUNT(AA5,AG5,AO5))</f>
        <v>3</v>
      </c>
      <c r="AR5" s="186" t="str">
        <f t="shared" si="34"/>
        <v>B</v>
      </c>
      <c r="AS5" s="96" t="s">
        <v>30</v>
      </c>
      <c r="AT5" s="97" t="s">
        <v>28</v>
      </c>
      <c r="AU5" s="98"/>
      <c r="AV5" s="161">
        <f>IFERROR((((COUNTIF('Elève (3ème5)'!AS5:AU5,"A"))*4)+((COUNTIF('Elève (3ème5)'!AS5:AU5,"B"))*3)+((COUNTIF('Elève (3ème5)'!AS5:AU5,"C"))*2)+((COUNTIF('Elève (3ème5)'!AS5:AU5,"D"))*1))/(COUNTA(AS5:AU5)),"")</f>
        <v>2</v>
      </c>
      <c r="AW5" s="162" t="str">
        <f t="shared" si="35"/>
        <v>C</v>
      </c>
      <c r="AX5" s="96"/>
      <c r="AY5" s="97"/>
      <c r="AZ5" s="98"/>
      <c r="BA5" s="98"/>
      <c r="BB5" s="161" t="str">
        <f>IFERROR((((COUNTIF('Elève (3ème5)'!AX5:BA5,"A"))*4)+((COUNTIF('Elève (3ème5)'!AX5:BA5,"B"))*3)+((COUNTIF('Elève (3ème5)'!AX5:BA5,"C"))*2)+((COUNTIF('Elève (3ème5)'!AX5:BA5,"D"))*1))/(COUNTA(AX5:BA5)),"")</f>
        <v/>
      </c>
      <c r="BC5" s="162" t="str">
        <f t="shared" si="36"/>
        <v/>
      </c>
      <c r="BD5" s="96"/>
      <c r="BE5" s="97" t="s">
        <v>30</v>
      </c>
      <c r="BF5" s="98"/>
      <c r="BG5" s="98"/>
      <c r="BH5" s="98"/>
      <c r="BI5" s="102"/>
      <c r="BJ5" s="161">
        <f>IFERROR((((COUNTIF('Elève (3ème5)'!BD5:BI5,"A"))*4)+((COUNTIF('Elève (3ème5)'!BD5:BI5,"B"))*3)+((COUNTIF('Elève (3ème5)'!BD5:BI5,"C"))*2)+((COUNTIF('Elève (3ème5)'!BD5:BI5,"D"))*1))/(COUNTA(BD5:BI5)),"")</f>
        <v>1</v>
      </c>
      <c r="BK5" s="162" t="str">
        <f t="shared" si="37"/>
        <v>D</v>
      </c>
      <c r="BL5" s="161">
        <f>IF(COUNT(AV5,BB5,BJ5)=0,"",SUM(AV5,BB5,BJ5)/COUNT(AV5,BB5,BJ5))</f>
        <v>1.5</v>
      </c>
      <c r="BM5" s="186" t="str">
        <f t="shared" si="38"/>
        <v>D</v>
      </c>
      <c r="BN5" s="96" t="s">
        <v>30</v>
      </c>
      <c r="BO5" s="97" t="s">
        <v>28</v>
      </c>
      <c r="BP5" s="98"/>
      <c r="BQ5" s="161">
        <f>IFERROR((((COUNTIF('Elève (3ème5)'!BN5:BP5,"A"))*4)+((COUNTIF('Elève (3ème5)'!BN5:BP5,"B"))*3)+((COUNTIF('Elève (3ème5)'!BN5:BP5,"C"))*2)+((COUNTIF('Elève (3ème5)'!BN5:BP5,"D"))*1))/(COUNTA(BN5:BP5)),"")</f>
        <v>2</v>
      </c>
      <c r="BR5" s="162" t="str">
        <f t="shared" si="39"/>
        <v>C</v>
      </c>
      <c r="BS5" s="96"/>
      <c r="BT5" s="97"/>
      <c r="BU5" s="98"/>
      <c r="BV5" s="98"/>
      <c r="BW5" s="161" t="str">
        <f>IFERROR((((COUNTIF('Elève (3ème5)'!BS5:BV5,"A"))*4)+((COUNTIF('Elève (3ème5)'!BS5:BV5,"B"))*3)+((COUNTIF('Elève (3ème5)'!BS5:BV5,"C"))*2)+((COUNTIF('Elève (3ème5)'!BS5:BV5,"D"))*1))/(COUNTA(BS5:BV5)),"")</f>
        <v/>
      </c>
      <c r="BX5" s="162" t="str">
        <f t="shared" si="40"/>
        <v/>
      </c>
      <c r="BY5" s="96" t="s">
        <v>28</v>
      </c>
      <c r="BZ5" s="97" t="s">
        <v>30</v>
      </c>
      <c r="CA5" s="98"/>
      <c r="CB5" s="98"/>
      <c r="CC5" s="98"/>
      <c r="CD5" s="102"/>
      <c r="CE5" s="161">
        <f>IFERROR((((COUNTIF('Elève (3ème5)'!BY5:CD5,"A"))*4)+((COUNTIF('Elève (3ème5)'!BY5:CD5,"B"))*3)+((COUNTIF('Elève (3ème5)'!BY5:CD5,"C"))*2)+((COUNTIF('Elève (3ème5)'!BY5:CD5,"D"))*1))/(COUNTA(BY5:CD5)),"")</f>
        <v>2</v>
      </c>
      <c r="CF5" s="162" t="str">
        <f t="shared" si="41"/>
        <v>C</v>
      </c>
      <c r="CG5" s="161">
        <f>IF(COUNT(BQ5,BW5,CE5)=0,"",SUM(BQ5,BW5,CE5)/COUNT(BQ5,BW5,CE5))</f>
        <v>2</v>
      </c>
      <c r="CH5" s="186" t="str">
        <f t="shared" si="42"/>
        <v>C</v>
      </c>
      <c r="CI5" s="96" t="s">
        <v>27</v>
      </c>
      <c r="CJ5" s="97" t="s">
        <v>30</v>
      </c>
      <c r="CK5" s="98"/>
      <c r="CL5" s="161">
        <f>IFERROR((((COUNTIF('Elève (3ème5)'!CI5:CK5,"A"))*4)+((COUNTIF('Elève (3ème5)'!CI5:CK5,"B"))*3)+((COUNTIF('Elève (3ème5)'!CI5:CK5,"C"))*2)+((COUNTIF('Elève (3ème5)'!CI5:CK5,"D"))*1))/(COUNTA(CI5:CK5)),"")</f>
        <v>2.5</v>
      </c>
      <c r="CM5" s="162" t="str">
        <f t="shared" si="43"/>
        <v>C</v>
      </c>
      <c r="CN5" s="96"/>
      <c r="CO5" s="97"/>
      <c r="CP5" s="98"/>
      <c r="CQ5" s="98"/>
      <c r="CR5" s="161" t="str">
        <f>IFERROR((((COUNTIF('Elève (3ème5)'!CN5:CQ5,"A"))*4)+((COUNTIF('Elève (3ème5)'!CN5:CQ5,"B"))*3)+((COUNTIF('Elève (3ème5)'!CN5:CQ5,"C"))*2)+((COUNTIF('Elève (3ème5)'!CN5:CQ5,"D"))*1))/(COUNTA(CN5:CQ5)),"")</f>
        <v/>
      </c>
      <c r="CS5" s="162" t="str">
        <f t="shared" si="44"/>
        <v/>
      </c>
      <c r="CT5" s="96" t="s">
        <v>27</v>
      </c>
      <c r="CU5" s="97" t="s">
        <v>29</v>
      </c>
      <c r="CV5" s="98"/>
      <c r="CW5" s="98"/>
      <c r="CX5" s="98"/>
      <c r="CY5" s="102"/>
      <c r="CZ5" s="161">
        <f>IFERROR((((COUNTIF('Elève (3ème5)'!CT5:CY5,"A"))*4)+((COUNTIF('Elève (3ème5)'!CT5:CY5,"B"))*3)+((COUNTIF('Elève (3ème5)'!CT5:CY5,"C"))*2)+((COUNTIF('Elève (3ème5)'!CT5:CY5,"D"))*1))/(COUNTA(CT5:CY5)),"")</f>
        <v>3</v>
      </c>
      <c r="DA5" s="162" t="str">
        <f t="shared" si="45"/>
        <v>B</v>
      </c>
      <c r="DB5" s="161">
        <f>IF(COUNT(CL5,CR5,CZ5)=0,"",SUM(CL5,CR5,CZ5)/COUNT(CL5,CR5,CZ5))</f>
        <v>2.75</v>
      </c>
      <c r="DC5" s="186" t="str">
        <f t="shared" si="46"/>
        <v>C</v>
      </c>
      <c r="DD5" s="96" t="s">
        <v>27</v>
      </c>
      <c r="DE5" s="97" t="s">
        <v>27</v>
      </c>
      <c r="DF5" s="98"/>
      <c r="DG5" s="161">
        <f>IFERROR((((COUNTIF('Elève (3ème5)'!DD5:DF5,"A"))*4)+((COUNTIF('Elève (3ème5)'!DD5:DF5,"B"))*3)+((COUNTIF('Elève (3ème5)'!DD5:DF5,"C"))*2)+((COUNTIF('Elève (3ème5)'!DD5:DF5,"D"))*1))/(COUNTA(DD5:DF5)),"")</f>
        <v>4</v>
      </c>
      <c r="DH5" s="162" t="str">
        <f t="shared" si="47"/>
        <v>A</v>
      </c>
      <c r="DI5" s="96"/>
      <c r="DJ5" s="97"/>
      <c r="DK5" s="98"/>
      <c r="DL5" s="98"/>
      <c r="DM5" s="161" t="str">
        <f>IFERROR((((COUNTIF('Elève (3ème5)'!DI5:DL5,"A"))*4)+((COUNTIF('Elève (3ème5)'!DI5:DL5,"B"))*3)+((COUNTIF('Elève (3ème5)'!DI5:DL5,"C"))*2)+((COUNTIF('Elève (3ème5)'!DI5:DL5,"D"))*1))/(COUNTA(DI5:DL5)),"")</f>
        <v/>
      </c>
      <c r="DN5" s="162" t="str">
        <f t="shared" si="48"/>
        <v/>
      </c>
      <c r="DO5" s="96" t="s">
        <v>29</v>
      </c>
      <c r="DP5" s="97" t="s">
        <v>28</v>
      </c>
      <c r="DQ5" s="98"/>
      <c r="DR5" s="98"/>
      <c r="DS5" s="98"/>
      <c r="DT5" s="102"/>
      <c r="DU5" s="161">
        <f>IFERROR((((COUNTIF('Elève (3ème5)'!DO5:DT5,"A"))*4)+((COUNTIF('Elève (3ème5)'!DO5:DT5,"B"))*3)+((COUNTIF('Elève (3ème5)'!DO5:DT5,"C"))*2)+((COUNTIF('Elève (3ème5)'!DO5:DT5,"D"))*1))/(COUNTA(DO5:DT5)),"")</f>
        <v>2.5</v>
      </c>
      <c r="DV5" s="162" t="str">
        <f t="shared" si="49"/>
        <v>C</v>
      </c>
      <c r="DW5" s="161">
        <f>IF(COUNT(DG5,DM5,DU5)=0,"",SUM(DG5,DM5,DU5)/COUNT(DG5,DM5,DU5))</f>
        <v>3.25</v>
      </c>
      <c r="DX5" s="186" t="str">
        <f t="shared" si="50"/>
        <v>B</v>
      </c>
      <c r="DY5" s="96" t="s">
        <v>27</v>
      </c>
      <c r="DZ5" s="97" t="s">
        <v>29</v>
      </c>
      <c r="EA5" s="98"/>
      <c r="EB5" s="161">
        <f>IFERROR((((COUNTIF('Elève (3ème5)'!DY5:EA5,"A"))*4)+((COUNTIF('Elève (3ème5)'!DY5:EA5,"B"))*3)+((COUNTIF('Elève (3ème5)'!DY5:EA5,"C"))*2)+((COUNTIF('Elève (3ème5)'!DY5:EA5,"D"))*1))/(COUNTA(DY5:EA5)),"")</f>
        <v>3</v>
      </c>
      <c r="EC5" s="162" t="str">
        <f t="shared" si="51"/>
        <v>B</v>
      </c>
      <c r="ED5" s="96"/>
      <c r="EE5" s="97"/>
      <c r="EF5" s="98"/>
      <c r="EG5" s="98"/>
      <c r="EH5" s="161" t="str">
        <f>IFERROR((((COUNTIF('Elève (3ème5)'!ED5:EG5,"A"))*4)+((COUNTIF('Elève (3ème5)'!ED5:EG5,"B"))*3)+((COUNTIF('Elève (3ème5)'!ED5:EG5,"C"))*2)+((COUNTIF('Elève (3ème5)'!ED5:EG5,"D"))*1))/(COUNTA(ED5:EG5)),"")</f>
        <v/>
      </c>
      <c r="EI5" s="162" t="str">
        <f t="shared" si="52"/>
        <v/>
      </c>
      <c r="EJ5" s="96" t="s">
        <v>29</v>
      </c>
      <c r="EK5" s="97" t="s">
        <v>30</v>
      </c>
      <c r="EL5" s="98"/>
      <c r="EM5" s="98"/>
      <c r="EN5" s="98"/>
      <c r="EO5" s="102"/>
      <c r="EP5" s="161">
        <f>IFERROR((((COUNTIF('Elève (3ème5)'!EJ5:EO5,"A"))*4)+((COUNTIF('Elève (3ème5)'!EJ5:EO5,"B"))*3)+((COUNTIF('Elève (3ème5)'!EJ5:EO5,"C"))*2)+((COUNTIF('Elève (3ème5)'!EJ5:EO5,"D"))*1))/(COUNTA(EJ5:EO5)),"")</f>
        <v>1.5</v>
      </c>
      <c r="EQ5" s="162" t="str">
        <f t="shared" si="53"/>
        <v>D</v>
      </c>
      <c r="ER5" s="161">
        <f>IF(COUNT(EB5,EH5,EP5)=0,"",SUM(EB5,EH5,EP5)/COUNT(EB5,EH5,EP5))</f>
        <v>2.25</v>
      </c>
      <c r="ES5" s="186" t="str">
        <f t="shared" si="54"/>
        <v>C</v>
      </c>
      <c r="ET5" s="96" t="s">
        <v>27</v>
      </c>
      <c r="EU5" s="97" t="s">
        <v>28</v>
      </c>
      <c r="EV5" s="98"/>
      <c r="EW5" s="161">
        <f>IFERROR((((COUNTIF('Elève (3ème5)'!ET5:EV5,"A"))*4)+((COUNTIF('Elève (3ème5)'!ET5:EV5,"B"))*3)+((COUNTIF('Elève (3ème5)'!ET5:EV5,"C"))*2)+((COUNTIF('Elève (3ème5)'!ET5:EV5,"D"))*1))/(COUNTA(ET5:EV5)),"")</f>
        <v>3.5</v>
      </c>
      <c r="EX5" s="162" t="str">
        <f t="shared" si="55"/>
        <v>B</v>
      </c>
      <c r="EY5" s="96"/>
      <c r="EZ5" s="97"/>
      <c r="FA5" s="98"/>
      <c r="FB5" s="98"/>
      <c r="FC5" s="161" t="str">
        <f>IFERROR((((COUNTIF('Elève (3ème5)'!EY5:FB5,"A"))*4)+((COUNTIF('Elève (3ème5)'!EY5:FB5,"B"))*3)+((COUNTIF('Elève (3ème5)'!EY5:FB5,"C"))*2)+((COUNTIF('Elève (3ème5)'!EY5:FB5,"D"))*1))/(COUNTA(EY5:FB5)),"")</f>
        <v/>
      </c>
      <c r="FD5" s="162" t="str">
        <f t="shared" si="56"/>
        <v/>
      </c>
      <c r="FE5" s="96" t="s">
        <v>27</v>
      </c>
      <c r="FF5" s="97" t="s">
        <v>29</v>
      </c>
      <c r="FG5" s="98"/>
      <c r="FH5" s="98"/>
      <c r="FI5" s="98"/>
      <c r="FJ5" s="102"/>
      <c r="FK5" s="161">
        <f>IFERROR((((COUNTIF('Elève (3ème5)'!FE5:FJ5,"A"))*4)+((COUNTIF('Elève (3ème5)'!FE5:FJ5,"B"))*3)+((COUNTIF('Elève (3ème5)'!FE5:FJ5,"C"))*2)+((COUNTIF('Elève (3ème5)'!FE5:FJ5,"D"))*1))/(COUNTA(FE5:FJ5)),"")</f>
        <v>3</v>
      </c>
      <c r="FL5" s="162" t="str">
        <f t="shared" si="57"/>
        <v>B</v>
      </c>
      <c r="FM5" s="161">
        <f>IF(COUNT(EW5,FC5,FK5)=0,"",SUM(EW5,FC5,FK5)/COUNT(EW5,FC5,FK5))</f>
        <v>3.25</v>
      </c>
      <c r="FN5" s="186" t="str">
        <f t="shared" si="58"/>
        <v>B</v>
      </c>
      <c r="FO5" s="96" t="s">
        <v>27</v>
      </c>
      <c r="FP5" s="97" t="s">
        <v>29</v>
      </c>
      <c r="FQ5" s="98"/>
      <c r="FR5" s="161">
        <f>IFERROR((((COUNTIF('Elève (3ème5)'!FO5:FQ5,"A"))*4)+((COUNTIF('Elève (3ème5)'!FO5:FQ5,"B"))*3)+((COUNTIF('Elève (3ème5)'!FO5:FQ5,"C"))*2)+((COUNTIF('Elève (3ème5)'!FO5:FQ5,"D"))*1))/(COUNTA(FO5:FQ5)),"")</f>
        <v>3</v>
      </c>
      <c r="FS5" s="162" t="str">
        <f t="shared" si="59"/>
        <v>B</v>
      </c>
      <c r="FT5" s="96"/>
      <c r="FU5" s="97"/>
      <c r="FV5" s="98"/>
      <c r="FW5" s="98"/>
      <c r="FX5" s="161" t="str">
        <f>IFERROR((((COUNTIF('Elève (3ème5)'!FT5:FW5,"A"))*4)+((COUNTIF('Elève (3ème5)'!FT5:FW5,"B"))*3)+((COUNTIF('Elève (3ème5)'!FT5:FW5,"C"))*2)+((COUNTIF('Elève (3ème5)'!FT5:FW5,"D"))*1))/(COUNTA(FT5:FW5)),"")</f>
        <v/>
      </c>
      <c r="FY5" s="162" t="str">
        <f t="shared" si="60"/>
        <v/>
      </c>
      <c r="FZ5" s="96" t="s">
        <v>29</v>
      </c>
      <c r="GA5" s="97" t="s">
        <v>30</v>
      </c>
      <c r="GB5" s="98"/>
      <c r="GC5" s="98"/>
      <c r="GD5" s="98"/>
      <c r="GE5" s="102"/>
      <c r="GF5" s="161">
        <f>IFERROR((((COUNTIF('Elève (3ème5)'!FZ5:GE5,"A"))*4)+((COUNTIF('Elève (3ème5)'!FZ5:GE5,"B"))*3)+((COUNTIF('Elève (3ème5)'!FZ5:GE5,"C"))*2)+((COUNTIF('Elève (3ème5)'!FZ5:GE5,"D"))*1))/(COUNTA(FZ5:GE5)),"")</f>
        <v>1.5</v>
      </c>
      <c r="GG5" s="162" t="str">
        <f t="shared" si="61"/>
        <v>D</v>
      </c>
      <c r="GH5" s="161">
        <f>IF(COUNT(FR5,FX5,GF5)=0,"",SUM(FR5,FX5,GF5)/COUNT(FR5,FX5,GF5))</f>
        <v>2.25</v>
      </c>
      <c r="GI5" s="186" t="str">
        <f t="shared" si="62"/>
        <v>C</v>
      </c>
      <c r="GJ5" s="96" t="s">
        <v>27</v>
      </c>
      <c r="GK5" s="97" t="s">
        <v>28</v>
      </c>
      <c r="GL5" s="98"/>
      <c r="GM5" s="161">
        <f>IFERROR((((COUNTIF('Elève (3ème5)'!GJ5:GL5,"A"))*4)+((COUNTIF('Elève (3ème5)'!GJ5:GL5,"B"))*3)+((COUNTIF('Elève (3ème5)'!GJ5:GL5,"C"))*2)+((COUNTIF('Elève (3ème5)'!GJ5:GL5,"D"))*1))/(COUNTA(GJ5:GL5)),"")</f>
        <v>3.5</v>
      </c>
      <c r="GN5" s="162" t="str">
        <f t="shared" si="63"/>
        <v>B</v>
      </c>
      <c r="GO5" s="96"/>
      <c r="GP5" s="97"/>
      <c r="GQ5" s="98"/>
      <c r="GR5" s="98"/>
      <c r="GS5" s="161" t="str">
        <f>IFERROR((((COUNTIF('Elève (3ème5)'!GO5:GR5,"A"))*4)+((COUNTIF('Elève (3ème5)'!GO5:GR5,"B"))*3)+((COUNTIF('Elève (3ème5)'!GO5:GR5,"C"))*2)+((COUNTIF('Elève (3ème5)'!GO5:GR5,"D"))*1))/(COUNTA(GO5:GR5)),"")</f>
        <v/>
      </c>
      <c r="GT5" s="162" t="str">
        <f t="shared" si="64"/>
        <v/>
      </c>
      <c r="GU5" s="96" t="s">
        <v>28</v>
      </c>
      <c r="GV5" s="97" t="s">
        <v>29</v>
      </c>
      <c r="GW5" s="98"/>
      <c r="GX5" s="98"/>
      <c r="GY5" s="98"/>
      <c r="GZ5" s="102"/>
      <c r="HA5" s="161">
        <f>IFERROR((((COUNTIF('Elève (3ème5)'!GU5:GZ5,"A"))*4)+((COUNTIF('Elève (3ème5)'!GU5:GZ5,"B"))*3)+((COUNTIF('Elève (3ème5)'!GU5:GZ5,"C"))*2)+((COUNTIF('Elève (3ème5)'!GU5:GZ5,"D"))*1))/(COUNTA(GU5:GZ5)),"")</f>
        <v>2.5</v>
      </c>
      <c r="HB5" s="162" t="str">
        <f t="shared" si="65"/>
        <v>C</v>
      </c>
      <c r="HC5" s="161">
        <f>IF(COUNT(GM5,GS5,HA5)=0,"",SUM(GM5,GS5,HA5)/COUNT(GM5,GS5,HA5))</f>
        <v>3</v>
      </c>
      <c r="HD5" s="186" t="str">
        <f t="shared" si="66"/>
        <v>B</v>
      </c>
      <c r="HE5" s="96" t="s">
        <v>27</v>
      </c>
      <c r="HF5" s="97" t="s">
        <v>28</v>
      </c>
      <c r="HG5" s="98"/>
      <c r="HH5" s="161">
        <f>IFERROR((((COUNTIF('Elève (3ème5)'!HE5:HG5,"A"))*4)+((COUNTIF('Elève (3ème5)'!HE5:HG5,"B"))*3)+((COUNTIF('Elève (3ème5)'!HE5:HG5,"C"))*2)+((COUNTIF('Elève (3ème5)'!HE5:HG5,"D"))*1))/(COUNTA(HE5:HG5)),"")</f>
        <v>3.5</v>
      </c>
      <c r="HI5" s="162" t="str">
        <f t="shared" si="67"/>
        <v>B</v>
      </c>
      <c r="HJ5" s="96"/>
      <c r="HK5" s="97"/>
      <c r="HL5" s="98"/>
      <c r="HM5" s="98"/>
      <c r="HN5" s="161" t="str">
        <f>IFERROR((((COUNTIF('Elève (3ème5)'!HJ5:HM5,"A"))*4)+((COUNTIF('Elève (3ème5)'!HJ5:HM5,"B"))*3)+((COUNTIF('Elève (3ème5)'!HJ5:HM5,"C"))*2)+((COUNTIF('Elève (3ème5)'!HJ5:HM5,"D"))*1))/(COUNTA(HJ5:HM5)),"")</f>
        <v/>
      </c>
      <c r="HO5" s="162" t="str">
        <f t="shared" si="68"/>
        <v/>
      </c>
      <c r="HP5" s="96" t="s">
        <v>27</v>
      </c>
      <c r="HQ5" s="97" t="s">
        <v>29</v>
      </c>
      <c r="HR5" s="98"/>
      <c r="HS5" s="98"/>
      <c r="HT5" s="98"/>
      <c r="HU5" s="102"/>
      <c r="HV5" s="161">
        <f>IFERROR((((COUNTIF('Elève (3ème5)'!HP5:HU5,"A"))*4)+((COUNTIF('Elève (3ème5)'!HP5:HU5,"B"))*3)+((COUNTIF('Elève (3ème5)'!HP5:HU5,"C"))*2)+((COUNTIF('Elève (3ème5)'!HP5:HU5,"D"))*1))/(COUNTA(HP5:HU5)),"")</f>
        <v>3</v>
      </c>
      <c r="HW5" s="162" t="str">
        <f t="shared" si="69"/>
        <v>B</v>
      </c>
      <c r="HX5" s="161">
        <f>IF(COUNT(HH5,HN5,HV5)=0,"",SUM(HH5,HN5,HV5)/COUNT(HH5,HN5,HV5))</f>
        <v>3.25</v>
      </c>
      <c r="HY5" s="186" t="str">
        <f t="shared" si="70"/>
        <v>B</v>
      </c>
      <c r="HZ5" s="96" t="s">
        <v>27</v>
      </c>
      <c r="IA5" s="97" t="s">
        <v>28</v>
      </c>
      <c r="IB5" s="98"/>
      <c r="IC5" s="161">
        <f>IFERROR((((COUNTIF('Elève (3ème5)'!HZ5:IB5,"A"))*4)+((COUNTIF('Elève (3ème5)'!HZ5:IB5,"B"))*3)+((COUNTIF('Elève (3ème5)'!HZ5:IB5,"C"))*2)+((COUNTIF('Elève (3ème5)'!HZ5:IB5,"D"))*1))/(COUNTA(HZ5:IB5)),"")</f>
        <v>3.5</v>
      </c>
      <c r="ID5" s="162" t="str">
        <f t="shared" si="71"/>
        <v>B</v>
      </c>
      <c r="IE5" s="96"/>
      <c r="IF5" s="97"/>
      <c r="IG5" s="98"/>
      <c r="IH5" s="98"/>
      <c r="II5" s="161" t="str">
        <f>IFERROR((((COUNTIF('Elève (3ème5)'!IE5:IH5,"A"))*4)+((COUNTIF('Elève (3ème5)'!IE5:IH5,"B"))*3)+((COUNTIF('Elève (3ème5)'!IE5:IH5,"C"))*2)+((COUNTIF('Elève (3ème5)'!IE5:IH5,"D"))*1))/(COUNTA(IE5:IH5)),"")</f>
        <v/>
      </c>
      <c r="IJ5" s="162" t="str">
        <f t="shared" si="72"/>
        <v/>
      </c>
      <c r="IK5" s="96" t="s">
        <v>29</v>
      </c>
      <c r="IL5" s="97" t="s">
        <v>29</v>
      </c>
      <c r="IM5" s="98"/>
      <c r="IN5" s="98"/>
      <c r="IO5" s="98"/>
      <c r="IP5" s="102"/>
      <c r="IQ5" s="161">
        <f>IFERROR((((COUNTIF('Elève (3ème5)'!IK5:IP5,"A"))*4)+((COUNTIF('Elève (3ème5)'!IK5:IP5,"B"))*3)+((COUNTIF('Elève (3ème5)'!IK5:IP5,"C"))*2)+((COUNTIF('Elève (3ème5)'!IK5:IP5,"D"))*1))/(COUNTA(IK5:IP5)),"")</f>
        <v>2</v>
      </c>
      <c r="IR5" s="162" t="str">
        <f t="shared" si="73"/>
        <v>C</v>
      </c>
      <c r="IS5" s="161">
        <f>IF(COUNT(IC5,II5,IQ5)=0,"",SUM(IC5,II5,IQ5)/COUNT(IC5,II5,IQ5))</f>
        <v>2.75</v>
      </c>
      <c r="IT5" s="186" t="str">
        <f t="shared" si="74"/>
        <v>C</v>
      </c>
      <c r="IU5" s="96" t="s">
        <v>28</v>
      </c>
      <c r="IV5" s="97" t="s">
        <v>29</v>
      </c>
      <c r="IW5" s="98"/>
      <c r="IX5" s="161">
        <f>IFERROR((((COUNTIF('Elève (3ème5)'!IU5:IW5,"A"))*4)+((COUNTIF('Elève (3ème5)'!IU5:IW5,"B"))*3)+((COUNTIF('Elève (3ème5)'!IU5:IW5,"C"))*2)+((COUNTIF('Elève (3ème5)'!IU5:IW5,"D"))*1))/(COUNTA(IU5:IW5)),"")</f>
        <v>2.5</v>
      </c>
      <c r="IY5" s="162" t="str">
        <f t="shared" si="75"/>
        <v>C</v>
      </c>
      <c r="IZ5" s="96"/>
      <c r="JA5" s="97"/>
      <c r="JB5" s="98"/>
      <c r="JC5" s="98"/>
      <c r="JD5" s="161" t="str">
        <f>IFERROR((((COUNTIF('Elève (3ème5)'!IZ5:JC5,"A"))*4)+((COUNTIF('Elève (3ème5)'!IZ5:JC5,"B"))*3)+((COUNTIF('Elève (3ème5)'!IZ5:JC5,"C"))*2)+((COUNTIF('Elève (3ème5)'!IZ5:JC5,"D"))*1))/(COUNTA(IZ5:JC5)),"")</f>
        <v/>
      </c>
      <c r="JE5" s="162" t="str">
        <f t="shared" si="76"/>
        <v/>
      </c>
      <c r="JF5" s="96" t="s">
        <v>29</v>
      </c>
      <c r="JG5" s="97" t="s">
        <v>30</v>
      </c>
      <c r="JH5" s="98"/>
      <c r="JI5" s="98"/>
      <c r="JJ5" s="98"/>
      <c r="JK5" s="102"/>
      <c r="JL5" s="161">
        <f>IFERROR((((COUNTIF('Elève (3ème5)'!JF5:JK5,"A"))*4)+((COUNTIF('Elève (3ème5)'!JF5:JK5,"B"))*3)+((COUNTIF('Elève (3ème5)'!JF5:JK5,"C"))*2)+((COUNTIF('Elève (3ème5)'!JF5:JK5,"D"))*1))/(COUNTA(JF5:JK5)),"")</f>
        <v>1.5</v>
      </c>
      <c r="JM5" s="162" t="str">
        <f t="shared" si="77"/>
        <v>D</v>
      </c>
      <c r="JN5" s="161">
        <f>IF(COUNT(IX5,JD5,JL5)=0,"",SUM(IX5,JD5,JL5)/COUNT(IX5,JD5,JL5))</f>
        <v>2</v>
      </c>
      <c r="JO5" s="186" t="str">
        <f t="shared" si="78"/>
        <v>C</v>
      </c>
      <c r="JP5" s="96" t="s">
        <v>27</v>
      </c>
      <c r="JQ5" s="97" t="s">
        <v>30</v>
      </c>
      <c r="JR5" s="98"/>
      <c r="JS5" s="161">
        <f>IFERROR((((COUNTIF('Elève (3ème5)'!JP5:JR5,"A"))*4)+((COUNTIF('Elève (3ème5)'!JP5:JR5,"B"))*3)+((COUNTIF('Elève (3ème5)'!JP5:JR5,"C"))*2)+((COUNTIF('Elève (3ème5)'!JP5:JR5,"D"))*1))/(COUNTA(JP5:JR5)),"")</f>
        <v>2.5</v>
      </c>
      <c r="JT5" s="162" t="str">
        <f t="shared" si="79"/>
        <v>C</v>
      </c>
      <c r="JU5" s="96"/>
      <c r="JV5" s="97"/>
      <c r="JW5" s="98"/>
      <c r="JX5" s="98"/>
      <c r="JY5" s="161" t="str">
        <f>IFERROR((((COUNTIF('Elève (3ème5)'!JU5:JX5,"A"))*4)+((COUNTIF('Elève (3ème5)'!JU5:JX5,"B"))*3)+((COUNTIF('Elève (3ème5)'!JU5:JX5,"C"))*2)+((COUNTIF('Elève (3ème5)'!JU5:JX5,"D"))*1))/(COUNTA(JU5:JX5)),"")</f>
        <v/>
      </c>
      <c r="JZ5" s="162" t="str">
        <f t="shared" si="80"/>
        <v/>
      </c>
      <c r="KA5" s="96" t="s">
        <v>28</v>
      </c>
      <c r="KB5" s="97" t="s">
        <v>30</v>
      </c>
      <c r="KC5" s="98"/>
      <c r="KD5" s="98"/>
      <c r="KE5" s="98"/>
      <c r="KF5" s="102"/>
      <c r="KG5" s="161">
        <f>IFERROR((((COUNTIF('Elève (3ème5)'!KA5:KF5,"A"))*4)+((COUNTIF('Elève (3ème5)'!KA5:KF5,"B"))*3)+((COUNTIF('Elève (3ème5)'!KA5:KF5,"C"))*2)+((COUNTIF('Elève (3ème5)'!KA5:KF5,"D"))*1))/(COUNTA(KA5:KF5)),"")</f>
        <v>2</v>
      </c>
      <c r="KH5" s="162" t="str">
        <f t="shared" si="81"/>
        <v>C</v>
      </c>
      <c r="KI5" s="161">
        <f>IF(COUNT(JS5,JY5,KG5)=0,"",SUM(JS5,JY5,KG5)/COUNT(JS5,JY5,KG5))</f>
        <v>2.25</v>
      </c>
      <c r="KJ5" s="186" t="str">
        <f t="shared" si="82"/>
        <v>C</v>
      </c>
      <c r="KK5" s="96" t="s">
        <v>27</v>
      </c>
      <c r="KL5" s="97" t="s">
        <v>27</v>
      </c>
      <c r="KM5" s="98"/>
      <c r="KN5" s="161">
        <f>IFERROR((((COUNTIF('Elève (3ème5)'!KK5:KM5,"A"))*4)+((COUNTIF('Elève (3ème5)'!KK5:KM5,"B"))*3)+((COUNTIF('Elève (3ème5)'!KK5:KM5,"C"))*2)+((COUNTIF('Elève (3ème5)'!KK5:KM5,"D"))*1))/(COUNTA(KK5:KM5)),"")</f>
        <v>4</v>
      </c>
      <c r="KO5" s="162" t="str">
        <f t="shared" si="83"/>
        <v>A</v>
      </c>
      <c r="KP5" s="96"/>
      <c r="KQ5" s="97"/>
      <c r="KR5" s="98"/>
      <c r="KS5" s="98"/>
      <c r="KT5" s="161" t="str">
        <f>IFERROR((((COUNTIF('Elève (3ème5)'!KP5:KS5,"A"))*4)+((COUNTIF('Elève (3ème5)'!KP5:KS5,"B"))*3)+((COUNTIF('Elève (3ème5)'!KP5:KS5,"C"))*2)+((COUNTIF('Elève (3ème5)'!KP5:KS5,"D"))*1))/(COUNTA(KP5:KS5)),"")</f>
        <v/>
      </c>
      <c r="KU5" s="162" t="str">
        <f t="shared" si="84"/>
        <v/>
      </c>
      <c r="KV5" s="96" t="s">
        <v>29</v>
      </c>
      <c r="KW5" s="97" t="s">
        <v>28</v>
      </c>
      <c r="KX5" s="98"/>
      <c r="KY5" s="98"/>
      <c r="KZ5" s="98"/>
      <c r="LA5" s="102"/>
      <c r="LB5" s="161">
        <f>IFERROR((((COUNTIF('Elève (3ème5)'!KV5:LA5,"A"))*4)+((COUNTIF('Elève (3ème5)'!KV5:LA5,"B"))*3)+((COUNTIF('Elève (3ème5)'!KV5:LA5,"C"))*2)+((COUNTIF('Elève (3ème5)'!KV5:LA5,"D"))*1))/(COUNTA(KV5:LA5)),"")</f>
        <v>2.5</v>
      </c>
      <c r="LC5" s="162" t="str">
        <f t="shared" si="85"/>
        <v>C</v>
      </c>
      <c r="LD5" s="161">
        <f>IF(COUNT(KN5,KT5,LB5)=0,"",SUM(KN5,KT5,LB5)/COUNT(KN5,KT5,LB5))</f>
        <v>3.25</v>
      </c>
      <c r="LE5" s="186" t="str">
        <f t="shared" si="86"/>
        <v>B</v>
      </c>
      <c r="LF5" s="96" t="s">
        <v>30</v>
      </c>
      <c r="LG5" s="97" t="s">
        <v>28</v>
      </c>
      <c r="LH5" s="98"/>
      <c r="LI5" s="161">
        <f>IFERROR((((COUNTIF('Elève (3ème5)'!LF5:LH5,"A"))*4)+((COUNTIF('Elève (3ème5)'!LF5:LH5,"B"))*3)+((COUNTIF('Elève (3ème5)'!LF5:LH5,"C"))*2)+((COUNTIF('Elève (3ème5)'!LF5:LH5,"D"))*1))/(COUNTA(LF5:LH5)),"")</f>
        <v>2</v>
      </c>
      <c r="LJ5" s="162" t="str">
        <f t="shared" si="87"/>
        <v>C</v>
      </c>
      <c r="LK5" s="96"/>
      <c r="LL5" s="97"/>
      <c r="LM5" s="98"/>
      <c r="LN5" s="98"/>
      <c r="LO5" s="161" t="str">
        <f>IFERROR((((COUNTIF('Elève (3ème5)'!LK5:LN5,"A"))*4)+((COUNTIF('Elève (3ème5)'!LK5:LN5,"B"))*3)+((COUNTIF('Elève (3ème5)'!LK5:LN5,"C"))*2)+((COUNTIF('Elève (3ème5)'!LK5:LN5,"D"))*1))/(COUNTA(LK5:LN5)),"")</f>
        <v/>
      </c>
      <c r="LP5" s="162" t="str">
        <f t="shared" si="88"/>
        <v/>
      </c>
      <c r="LQ5" s="96" t="s">
        <v>30</v>
      </c>
      <c r="LR5" s="97" t="s">
        <v>29</v>
      </c>
      <c r="LS5" s="98"/>
      <c r="LT5" s="98"/>
      <c r="LU5" s="98"/>
      <c r="LV5" s="102"/>
      <c r="LW5" s="161">
        <f>IFERROR((((COUNTIF('Elève (3ème5)'!LQ5:LV5,"A"))*4)+((COUNTIF('Elève (3ème5)'!LQ5:LV5,"B"))*3)+((COUNTIF('Elève (3ème5)'!LQ5:LV5,"C"))*2)+((COUNTIF('Elève (3ème5)'!LQ5:LV5,"D"))*1))/(COUNTA(LQ5:LV5)),"")</f>
        <v>1.5</v>
      </c>
      <c r="LX5" s="162" t="str">
        <f t="shared" si="89"/>
        <v>D</v>
      </c>
      <c r="LY5" s="161">
        <f>IF(COUNT(LI5,LO5,LW5)=0,"",SUM(LI5,LO5,LW5)/COUNT(LI5,LO5,LW5))</f>
        <v>1.75</v>
      </c>
      <c r="LZ5" s="186" t="str">
        <f t="shared" si="90"/>
        <v>C</v>
      </c>
      <c r="MA5" s="96" t="s">
        <v>30</v>
      </c>
      <c r="MB5" s="97" t="s">
        <v>27</v>
      </c>
      <c r="MC5" s="98"/>
      <c r="MD5" s="161">
        <f>IFERROR((((COUNTIF('Elève (3ème5)'!MA5:MC5,"A"))*4)+((COUNTIF('Elève (3ème5)'!MA5:MC5,"B"))*3)+((COUNTIF('Elève (3ème5)'!MA5:MC5,"C"))*2)+((COUNTIF('Elève (3ème5)'!MA5:MC5,"D"))*1))/(COUNTA(MA5:MC5)),"")</f>
        <v>2.5</v>
      </c>
      <c r="ME5" s="162" t="str">
        <f t="shared" si="91"/>
        <v>C</v>
      </c>
      <c r="MF5" s="96"/>
      <c r="MG5" s="97"/>
      <c r="MH5" s="98"/>
      <c r="MI5" s="98"/>
      <c r="MJ5" s="161" t="str">
        <f>IFERROR((((COUNTIF('Elève (3ème5)'!MF5:MI5,"A"))*4)+((COUNTIF('Elève (3ème5)'!MF5:MI5,"B"))*3)+((COUNTIF('Elève (3ème5)'!MF5:MI5,"C"))*2)+((COUNTIF('Elève (3ème5)'!MF5:MI5,"D"))*1))/(COUNTA(MF5:MI5)),"")</f>
        <v/>
      </c>
      <c r="MK5" s="162" t="str">
        <f t="shared" si="92"/>
        <v/>
      </c>
      <c r="ML5" s="96" t="s">
        <v>29</v>
      </c>
      <c r="MM5" s="97" t="s">
        <v>29</v>
      </c>
      <c r="MN5" s="98"/>
      <c r="MO5" s="98"/>
      <c r="MP5" s="98"/>
      <c r="MQ5" s="102"/>
      <c r="MR5" s="161">
        <f>IFERROR((((COUNTIF('Elève (3ème5)'!ML5:MQ5,"A"))*4)+((COUNTIF('Elève (3ème5)'!ML5:MQ5,"B"))*3)+((COUNTIF('Elève (3ème5)'!ML5:MQ5,"C"))*2)+((COUNTIF('Elève (3ème5)'!ML5:MQ5,"D"))*1))/(COUNTA(ML5:MQ5)),"")</f>
        <v>2</v>
      </c>
      <c r="MS5" s="162" t="str">
        <f t="shared" si="93"/>
        <v>C</v>
      </c>
      <c r="MT5" s="161">
        <f>IF(COUNT(MD5,MJ5,MR5)=0,"",SUM(MD5,MJ5,MR5)/COUNT(MD5,MJ5,MR5))</f>
        <v>2.25</v>
      </c>
      <c r="MU5" s="186" t="str">
        <f t="shared" si="94"/>
        <v>C</v>
      </c>
      <c r="MV5" s="96" t="s">
        <v>27</v>
      </c>
      <c r="MW5" s="97" t="s">
        <v>28</v>
      </c>
      <c r="MX5" s="98"/>
      <c r="MY5" s="161">
        <f>IFERROR((((COUNTIF('Elève (3ème5)'!MV5:MX5,"A"))*4)+((COUNTIF('Elève (3ème5)'!MV5:MX5,"B"))*3)+((COUNTIF('Elève (3ème5)'!MV5:MX5,"C"))*2)+((COUNTIF('Elève (3ème5)'!MV5:MX5,"D"))*1))/(COUNTA(MV5:MX5)),"")</f>
        <v>3.5</v>
      </c>
      <c r="MZ5" s="162" t="str">
        <f t="shared" si="95"/>
        <v>B</v>
      </c>
      <c r="NA5" s="96"/>
      <c r="NB5" s="97"/>
      <c r="NC5" s="98"/>
      <c r="ND5" s="98"/>
      <c r="NE5" s="161" t="str">
        <f>IFERROR((((COUNTIF('Elève (3ème5)'!NA5:ND5,"A"))*4)+((COUNTIF('Elève (3ème5)'!NA5:ND5,"B"))*3)+((COUNTIF('Elève (3ème5)'!NA5:ND5,"C"))*2)+((COUNTIF('Elève (3ème5)'!NA5:ND5,"D"))*1))/(COUNTA(NA5:ND5)),"")</f>
        <v/>
      </c>
      <c r="NF5" s="162" t="str">
        <f t="shared" si="96"/>
        <v/>
      </c>
      <c r="NG5" s="96" t="s">
        <v>28</v>
      </c>
      <c r="NH5" s="97" t="s">
        <v>28</v>
      </c>
      <c r="NI5" s="98"/>
      <c r="NJ5" s="98"/>
      <c r="NK5" s="98"/>
      <c r="NL5" s="102"/>
      <c r="NM5" s="161">
        <f>IFERROR((((COUNTIF('Elève (3ème5)'!NG5:NL5,"A"))*4)+((COUNTIF('Elève (3ème5)'!NG5:NL5,"B"))*3)+((COUNTIF('Elève (3ème5)'!NG5:NL5,"C"))*2)+((COUNTIF('Elève (3ème5)'!NG5:NL5,"D"))*1))/(COUNTA(NG5:NL5)),"")</f>
        <v>3</v>
      </c>
      <c r="NN5" s="162" t="str">
        <f t="shared" si="97"/>
        <v>B</v>
      </c>
      <c r="NO5" s="161">
        <f>IF(COUNT(MY5,NE5,NM5)=0,"",SUM(MY5,NE5,NM5)/COUNT(MY5,NE5,NM5))</f>
        <v>3.25</v>
      </c>
      <c r="NP5" s="186" t="str">
        <f t="shared" si="98"/>
        <v>B</v>
      </c>
      <c r="NQ5" s="96" t="s">
        <v>27</v>
      </c>
      <c r="NR5" s="97" t="s">
        <v>28</v>
      </c>
      <c r="NS5" s="98"/>
      <c r="NT5" s="161">
        <f>IFERROR((((COUNTIF('Elève (3ème5)'!NQ5:NS5,"A"))*4)+((COUNTIF('Elève (3ème5)'!NQ5:NS5,"B"))*3)+((COUNTIF('Elève (3ème5)'!NQ5:NS5,"C"))*2)+((COUNTIF('Elève (3ème5)'!NQ5:NS5,"D"))*1))/(COUNTA(NQ5:NS5)),"")</f>
        <v>3.5</v>
      </c>
      <c r="NU5" s="162" t="str">
        <f t="shared" si="99"/>
        <v>B</v>
      </c>
      <c r="NV5" s="96"/>
      <c r="NW5" s="97"/>
      <c r="NX5" s="98"/>
      <c r="NY5" s="98"/>
      <c r="NZ5" s="161" t="str">
        <f>IFERROR((((COUNTIF('Elève (3ème5)'!NV5:NY5,"A"))*4)+((COUNTIF('Elève (3ème5)'!NV5:NY5,"B"))*3)+((COUNTIF('Elève (3ème5)'!NV5:NY5,"C"))*2)+((COUNTIF('Elève (3ème5)'!NV5:NY5,"D"))*1))/(COUNTA(NV5:NY5)),"")</f>
        <v/>
      </c>
      <c r="OA5" s="162" t="str">
        <f t="shared" si="100"/>
        <v/>
      </c>
      <c r="OB5" s="96" t="s">
        <v>28</v>
      </c>
      <c r="OC5" s="97" t="s">
        <v>29</v>
      </c>
      <c r="OD5" s="98"/>
      <c r="OE5" s="98"/>
      <c r="OF5" s="98"/>
      <c r="OG5" s="102"/>
      <c r="OH5" s="161">
        <f>IFERROR((((COUNTIF('Elève (3ème5)'!OB5:OG5,"A"))*4)+((COUNTIF('Elève (3ème5)'!OB5:OG5,"B"))*3)+((COUNTIF('Elève (3ème5)'!OB5:OG5,"C"))*2)+((COUNTIF('Elève (3ème5)'!OB5:OG5,"D"))*1))/(COUNTA(OB5:OG5)),"")</f>
        <v>2.5</v>
      </c>
      <c r="OI5" s="162" t="str">
        <f t="shared" si="101"/>
        <v>C</v>
      </c>
      <c r="OJ5" s="161">
        <f>IF(COUNT(NT5,NZ5,OH5)=0,"",SUM(NT5,NZ5,OH5)/COUNT(NT5,NZ5,OH5))</f>
        <v>3</v>
      </c>
      <c r="OK5" s="186" t="str">
        <f t="shared" si="102"/>
        <v>B</v>
      </c>
      <c r="OL5" s="96" t="s">
        <v>27</v>
      </c>
      <c r="OM5" s="97" t="s">
        <v>27</v>
      </c>
      <c r="ON5" s="98"/>
      <c r="OO5" s="161">
        <f>IFERROR((((COUNTIF('Elève (3ème5)'!OL5:ON5,"A"))*4)+((COUNTIF('Elève (3ème5)'!OL5:ON5,"B"))*3)+((COUNTIF('Elève (3ème5)'!OL5:ON5,"C"))*2)+((COUNTIF('Elève (3ème5)'!OL5:ON5,"D"))*1))/(COUNTA(OL5:ON5)),"")</f>
        <v>4</v>
      </c>
      <c r="OP5" s="162" t="str">
        <f t="shared" si="103"/>
        <v>A</v>
      </c>
      <c r="OQ5" s="96"/>
      <c r="OR5" s="97"/>
      <c r="OS5" s="98"/>
      <c r="OT5" s="98"/>
      <c r="OU5" s="161" t="str">
        <f>IFERROR((((COUNTIF('Elève (3ème5)'!OQ5:OT5,"A"))*4)+((COUNTIF('Elève (3ème5)'!OQ5:OT5,"B"))*3)+((COUNTIF('Elève (3ème5)'!OQ5:OT5,"C"))*2)+((COUNTIF('Elève (3ème5)'!OQ5:OT5,"D"))*1))/(COUNTA(OQ5:OT5)),"")</f>
        <v/>
      </c>
      <c r="OV5" s="162" t="str">
        <f t="shared" si="104"/>
        <v/>
      </c>
      <c r="OW5" s="96" t="s">
        <v>27</v>
      </c>
      <c r="OX5" s="97" t="s">
        <v>28</v>
      </c>
      <c r="OY5" s="98"/>
      <c r="OZ5" s="98"/>
      <c r="PA5" s="98"/>
      <c r="PB5" s="102"/>
      <c r="PC5" s="161">
        <f>IFERROR((((COUNTIF('Elève (3ème5)'!OW5:PB5,"A"))*4)+((COUNTIF('Elève (3ème5)'!OW5:PB5,"B"))*3)+((COUNTIF('Elève (3ème5)'!OW5:PB5,"C"))*2)+((COUNTIF('Elève (3ème5)'!OW5:PB5,"D"))*1))/(COUNTA(OW5:PB5)),"")</f>
        <v>3.5</v>
      </c>
      <c r="PD5" s="162" t="str">
        <f t="shared" si="105"/>
        <v>B</v>
      </c>
      <c r="PE5" s="161">
        <f>IF(COUNT(OO5,OU5,PC5)=0,"",SUM(OO5,OU5,PC5)/COUNT(OO5,OU5,PC5))</f>
        <v>3.75</v>
      </c>
      <c r="PF5" s="186" t="str">
        <f t="shared" si="106"/>
        <v>A</v>
      </c>
      <c r="PG5" s="96" t="s">
        <v>30</v>
      </c>
      <c r="PH5" s="97" t="s">
        <v>28</v>
      </c>
      <c r="PI5" s="98"/>
      <c r="PJ5" s="161">
        <f>IFERROR((((COUNTIF('Elève (3ème5)'!PG5:PI5,"A"))*4)+((COUNTIF('Elève (3ème5)'!PG5:PI5,"B"))*3)+((COUNTIF('Elève (3ème5)'!PG5:PI5,"C"))*2)+((COUNTIF('Elève (3ème5)'!PG5:PI5,"D"))*1))/(COUNTA(PG5:PI5)),"")</f>
        <v>2</v>
      </c>
      <c r="PK5" s="162" t="str">
        <f t="shared" si="107"/>
        <v>C</v>
      </c>
      <c r="PL5" s="96"/>
      <c r="PM5" s="97"/>
      <c r="PN5" s="98"/>
      <c r="PO5" s="98"/>
      <c r="PP5" s="161" t="str">
        <f>IFERROR((((COUNTIF('Elève (3ème5)'!PL5:PO5,"A"))*4)+((COUNTIF('Elève (3ème5)'!PL5:PO5,"B"))*3)+((COUNTIF('Elève (3ème5)'!PL5:PO5,"C"))*2)+((COUNTIF('Elève (3ème5)'!PL5:PO5,"D"))*1))/(COUNTA(PL5:PO5)),"")</f>
        <v/>
      </c>
      <c r="PQ5" s="162" t="str">
        <f t="shared" si="108"/>
        <v/>
      </c>
      <c r="PR5" s="96" t="s">
        <v>29</v>
      </c>
      <c r="PS5" s="97" t="s">
        <v>29</v>
      </c>
      <c r="PT5" s="98"/>
      <c r="PU5" s="98"/>
      <c r="PV5" s="98"/>
      <c r="PW5" s="102"/>
      <c r="PX5" s="161">
        <f>IFERROR((((COUNTIF('Elève (3ème5)'!PR5:PW5,"A"))*4)+((COUNTIF('Elève (3ème5)'!PR5:PW5,"B"))*3)+((COUNTIF('Elève (3ème5)'!PR5:PW5,"C"))*2)+((COUNTIF('Elève (3ème5)'!PR5:PW5,"D"))*1))/(COUNTA(PR5:PW5)),"")</f>
        <v>2</v>
      </c>
      <c r="PY5" s="162" t="str">
        <f t="shared" si="109"/>
        <v>C</v>
      </c>
      <c r="PZ5" s="161">
        <f>IF(COUNT(PJ5,PP5,PX5)=0,"",SUM(PJ5,PP5,PX5)/COUNT(PJ5,PP5,PX5))</f>
        <v>2</v>
      </c>
      <c r="QA5" s="186" t="str">
        <f t="shared" si="110"/>
        <v>C</v>
      </c>
      <c r="QB5" s="96" t="s">
        <v>30</v>
      </c>
      <c r="QC5" s="97" t="s">
        <v>28</v>
      </c>
      <c r="QD5" s="98"/>
      <c r="QE5" s="161">
        <f>IFERROR((((COUNTIF('Elève (3ème5)'!QB5:QD5,"A"))*4)+((COUNTIF('Elève (3ème5)'!QB5:QD5,"B"))*3)+((COUNTIF('Elève (3ème5)'!QB5:QD5,"C"))*2)+((COUNTIF('Elève (3ème5)'!QB5:QD5,"D"))*1))/(COUNTA(QB5:QD5)),"")</f>
        <v>2</v>
      </c>
      <c r="QF5" s="162" t="str">
        <f t="shared" si="111"/>
        <v>C</v>
      </c>
      <c r="QG5" s="96"/>
      <c r="QH5" s="97"/>
      <c r="QI5" s="98"/>
      <c r="QJ5" s="98"/>
      <c r="QK5" s="161" t="str">
        <f>IFERROR((((COUNTIF('Elève (3ème5)'!QG5:QJ5,"A"))*4)+((COUNTIF('Elève (3ème5)'!QG5:QJ5,"B"))*3)+((COUNTIF('Elève (3ème5)'!QG5:QJ5,"C"))*2)+((COUNTIF('Elève (3ème5)'!QG5:QJ5,"D"))*1))/(COUNTA(QG5:QJ5)),"")</f>
        <v/>
      </c>
      <c r="QL5" s="162" t="str">
        <f t="shared" si="112"/>
        <v/>
      </c>
      <c r="QM5" s="96" t="s">
        <v>28</v>
      </c>
      <c r="QN5" s="97" t="s">
        <v>28</v>
      </c>
      <c r="QO5" s="98"/>
      <c r="QP5" s="98"/>
      <c r="QQ5" s="98"/>
      <c r="QR5" s="102"/>
      <c r="QS5" s="161">
        <f>IFERROR((((COUNTIF('Elève (3ème5)'!QM5:QR5,"A"))*4)+((COUNTIF('Elève (3ème5)'!QM5:QR5,"B"))*3)+((COUNTIF('Elève (3ème5)'!QM5:QR5,"C"))*2)+((COUNTIF('Elève (3ème5)'!QM5:QR5,"D"))*1))/(COUNTA(QM5:QR5)),"")</f>
        <v>3</v>
      </c>
      <c r="QT5" s="162" t="str">
        <f t="shared" si="113"/>
        <v>B</v>
      </c>
      <c r="QU5" s="161">
        <f>IF(COUNT(QE5,QK5,QS5)=0,"",SUM(QE5,QK5,QS5)/COUNT(QE5,QK5,QS5))</f>
        <v>2.5</v>
      </c>
      <c r="QV5" s="186" t="str">
        <f t="shared" si="114"/>
        <v>C</v>
      </c>
      <c r="QW5" s="96" t="s">
        <v>29</v>
      </c>
      <c r="QX5" s="97" t="s">
        <v>28</v>
      </c>
      <c r="QY5" s="98"/>
      <c r="QZ5" s="161">
        <f>IFERROR((((COUNTIF('Elève (3ème5)'!QW5:QY5,"A"))*4)+((COUNTIF('Elève (3ème5)'!QW5:QY5,"B"))*3)+((COUNTIF('Elève (3ème5)'!QW5:QY5,"C"))*2)+((COUNTIF('Elève (3ème5)'!QW5:QY5,"D"))*1))/(COUNTA(QW5:QY5)),"")</f>
        <v>2.5</v>
      </c>
      <c r="RA5" s="162" t="str">
        <f t="shared" si="115"/>
        <v>C</v>
      </c>
      <c r="RB5" s="96"/>
      <c r="RC5" s="97"/>
      <c r="RD5" s="98"/>
      <c r="RE5" s="98"/>
      <c r="RF5" s="161" t="str">
        <f>IFERROR((((COUNTIF('Elève (3ème5)'!RB5:RE5,"A"))*4)+((COUNTIF('Elève (3ème5)'!RB5:RE5,"B"))*3)+((COUNTIF('Elève (3ème5)'!RB5:RE5,"C"))*2)+((COUNTIF('Elève (3ème5)'!RB5:RE5,"D"))*1))/(COUNTA(RB5:RE5)),"")</f>
        <v/>
      </c>
      <c r="RG5" s="162" t="str">
        <f t="shared" si="116"/>
        <v/>
      </c>
      <c r="RH5" s="96" t="s">
        <v>28</v>
      </c>
      <c r="RI5" s="97" t="s">
        <v>29</v>
      </c>
      <c r="RJ5" s="98"/>
      <c r="RK5" s="98"/>
      <c r="RL5" s="98"/>
      <c r="RM5" s="102"/>
      <c r="RN5" s="161">
        <f>IFERROR((((COUNTIF('Elève (3ème5)'!RH5:RM5,"A"))*4)+((COUNTIF('Elève (3ème5)'!RH5:RM5,"B"))*3)+((COUNTIF('Elève (3ème5)'!RH5:RM5,"C"))*2)+((COUNTIF('Elève (3ème5)'!RH5:RM5,"D"))*1))/(COUNTA(RH5:RM5)),"")</f>
        <v>2.5</v>
      </c>
      <c r="RO5" s="162" t="str">
        <f t="shared" si="117"/>
        <v>C</v>
      </c>
      <c r="RP5" s="161">
        <f>IF(COUNT(QZ5,RF5,RN5)=0,"",SUM(QZ5,RF5,RN5)/COUNT(QZ5,RF5,RN5))</f>
        <v>2.5</v>
      </c>
      <c r="RQ5" s="186" t="str">
        <f t="shared" si="118"/>
        <v>C</v>
      </c>
      <c r="RR5" s="96" t="s">
        <v>27</v>
      </c>
      <c r="RS5" s="97" t="s">
        <v>28</v>
      </c>
      <c r="RT5" s="98"/>
      <c r="RU5" s="161">
        <f>IFERROR((((COUNTIF('Elève (3ème5)'!RR5:RT5,"A"))*4)+((COUNTIF('Elève (3ème5)'!RR5:RT5,"B"))*3)+((COUNTIF('Elève (3ème5)'!RR5:RT5,"C"))*2)+((COUNTIF('Elève (3ème5)'!RR5:RT5,"D"))*1))/(COUNTA(RR5:RT5)),"")</f>
        <v>3.5</v>
      </c>
      <c r="RV5" s="162" t="str">
        <f t="shared" si="119"/>
        <v>B</v>
      </c>
      <c r="RW5" s="96"/>
      <c r="RX5" s="97"/>
      <c r="RY5" s="98"/>
      <c r="RZ5" s="98"/>
      <c r="SA5" s="161" t="str">
        <f>IFERROR((((COUNTIF('Elève (3ème5)'!RW5:RZ5,"A"))*4)+((COUNTIF('Elève (3ème5)'!RW5:RZ5,"B"))*3)+((COUNTIF('Elève (3ème5)'!RW5:RZ5,"C"))*2)+((COUNTIF('Elève (3ème5)'!RW5:RZ5,"D"))*1))/(COUNTA(RW5:RZ5)),"")</f>
        <v/>
      </c>
      <c r="SB5" s="162" t="str">
        <f t="shared" si="120"/>
        <v/>
      </c>
      <c r="SC5" s="96" t="s">
        <v>29</v>
      </c>
      <c r="SD5" s="97" t="s">
        <v>30</v>
      </c>
      <c r="SE5" s="98"/>
      <c r="SF5" s="98"/>
      <c r="SG5" s="98"/>
      <c r="SH5" s="102"/>
      <c r="SI5" s="161">
        <f>IFERROR((((COUNTIF('Elève (3ème5)'!SC5:SH5,"A"))*4)+((COUNTIF('Elève (3ème5)'!SC5:SH5,"B"))*3)+((COUNTIF('Elève (3ème5)'!SC5:SH5,"C"))*2)+((COUNTIF('Elève (3ème5)'!SC5:SH5,"D"))*1))/(COUNTA(SC5:SH5)),"")</f>
        <v>1.5</v>
      </c>
      <c r="SJ5" s="162" t="str">
        <f t="shared" si="121"/>
        <v>D</v>
      </c>
      <c r="SK5" s="161">
        <f>IF(COUNT(RU5,SA5,SI5)=0,"",SUM(RU5,SA5,SI5)/COUNT(RU5,SA5,SI5))</f>
        <v>2.5</v>
      </c>
      <c r="SL5" s="186" t="str">
        <f t="shared" si="122"/>
        <v>C</v>
      </c>
      <c r="SM5" s="96" t="s">
        <v>27</v>
      </c>
      <c r="SN5" s="97" t="s">
        <v>27</v>
      </c>
      <c r="SO5" s="98"/>
      <c r="SP5" s="161">
        <f>IFERROR((((COUNTIF('Elève (3ème5)'!SM5:SO5,"A"))*4)+((COUNTIF('Elève (3ème5)'!SM5:SO5,"B"))*3)+((COUNTIF('Elève (3ème5)'!SM5:SO5,"C"))*2)+((COUNTIF('Elève (3ème5)'!SM5:SO5,"D"))*1))/(COUNTA(SM5:SO5)),"")</f>
        <v>4</v>
      </c>
      <c r="SQ5" s="162" t="str">
        <f t="shared" si="123"/>
        <v>A</v>
      </c>
      <c r="SR5" s="96"/>
      <c r="SS5" s="97"/>
      <c r="ST5" s="98"/>
      <c r="SU5" s="98"/>
      <c r="SV5" s="161" t="str">
        <f>IFERROR((((COUNTIF('Elève (3ème5)'!SR5:SU5,"A"))*4)+((COUNTIF('Elève (3ème5)'!SR5:SU5,"B"))*3)+((COUNTIF('Elève (3ème5)'!SR5:SU5,"C"))*2)+((COUNTIF('Elève (3ème5)'!SR5:SU5,"D"))*1))/(COUNTA(SR5:SU5)),"")</f>
        <v/>
      </c>
      <c r="SW5" s="162" t="str">
        <f t="shared" si="124"/>
        <v/>
      </c>
      <c r="SX5" s="96" t="s">
        <v>28</v>
      </c>
      <c r="SY5" s="97" t="s">
        <v>28</v>
      </c>
      <c r="SZ5" s="98"/>
      <c r="TA5" s="98"/>
      <c r="TB5" s="98"/>
      <c r="TC5" s="102"/>
      <c r="TD5" s="161">
        <f>IFERROR((((COUNTIF('Elève (3ème5)'!SX5:TC5,"A"))*4)+((COUNTIF('Elève (3ème5)'!SX5:TC5,"B"))*3)+((COUNTIF('Elève (3ème5)'!SX5:TC5,"C"))*2)+((COUNTIF('Elève (3ème5)'!SX5:TC5,"D"))*1))/(COUNTA(SX5:TC5)),"")</f>
        <v>3</v>
      </c>
      <c r="TE5" s="162" t="str">
        <f t="shared" si="125"/>
        <v>B</v>
      </c>
      <c r="TF5" s="161">
        <f>IF(COUNT(SP5,SV5,TD5)=0,"",SUM(SP5,SV5,TD5)/COUNT(SP5,SV5,TD5))</f>
        <v>3.5</v>
      </c>
      <c r="TG5" s="186" t="str">
        <f t="shared" si="126"/>
        <v>B</v>
      </c>
      <c r="TH5" s="96" t="s">
        <v>30</v>
      </c>
      <c r="TI5" s="97" t="s">
        <v>28</v>
      </c>
      <c r="TJ5" s="98"/>
      <c r="TK5" s="161">
        <f>IFERROR((((COUNTIF('Elève (3ème5)'!TH5:TJ5,"A"))*4)+((COUNTIF('Elève (3ème5)'!TH5:TJ5,"B"))*3)+((COUNTIF('Elève (3ème5)'!TH5:TJ5,"C"))*2)+((COUNTIF('Elève (3ème5)'!TH5:TJ5,"D"))*1))/(COUNTA(TH5:TJ5)),"")</f>
        <v>2</v>
      </c>
      <c r="TL5" s="162" t="str">
        <f t="shared" si="127"/>
        <v>C</v>
      </c>
      <c r="TM5" s="96"/>
      <c r="TN5" s="97"/>
      <c r="TO5" s="98"/>
      <c r="TP5" s="98"/>
      <c r="TQ5" s="161" t="str">
        <f>IFERROR((((COUNTIF('Elève (3ème5)'!TM5:TP5,"A"))*4)+((COUNTIF('Elève (3ème5)'!TM5:TP5,"B"))*3)+((COUNTIF('Elève (3ème5)'!TM5:TP5,"C"))*2)+((COUNTIF('Elève (3ème5)'!TM5:TP5,"D"))*1))/(COUNTA(TM5:TP5)),"")</f>
        <v/>
      </c>
      <c r="TR5" s="162" t="str">
        <f t="shared" si="128"/>
        <v/>
      </c>
      <c r="TS5" s="96" t="s">
        <v>28</v>
      </c>
      <c r="TT5" s="97" t="s">
        <v>29</v>
      </c>
      <c r="TU5" s="98"/>
      <c r="TV5" s="98"/>
      <c r="TW5" s="98"/>
      <c r="TX5" s="102"/>
      <c r="TY5" s="161">
        <f>IFERROR((((COUNTIF('Elève (3ème5)'!TS5:TX5,"A"))*4)+((COUNTIF('Elève (3ème5)'!TS5:TX5,"B"))*3)+((COUNTIF('Elève (3ème5)'!TS5:TX5,"C"))*2)+((COUNTIF('Elève (3ème5)'!TS5:TX5,"D"))*1))/(COUNTA(TS5:TX5)),"")</f>
        <v>2.5</v>
      </c>
      <c r="TZ5" s="162" t="str">
        <f t="shared" si="129"/>
        <v>C</v>
      </c>
      <c r="UA5" s="161">
        <f>IF(COUNT(TK5,TQ5,TY5)=0,"",SUM(TK5,TQ5,TY5)/COUNT(TK5,TQ5,TY5))</f>
        <v>2.25</v>
      </c>
      <c r="UB5" s="186" t="str">
        <f t="shared" si="130"/>
        <v>C</v>
      </c>
      <c r="UC5" s="96" t="s">
        <v>28</v>
      </c>
      <c r="UD5" s="97" t="s">
        <v>28</v>
      </c>
      <c r="UE5" s="98"/>
      <c r="UF5" s="161">
        <f>IFERROR((((COUNTIF('Elève (3ème5)'!UC5:UE5,"A"))*4)+((COUNTIF('Elève (3ème5)'!UC5:UE5,"B"))*3)+((COUNTIF('Elève (3ème5)'!UC5:UE5,"C"))*2)+((COUNTIF('Elève (3ème5)'!UC5:UE5,"D"))*1))/(COUNTA(UC5:UE5)),"")</f>
        <v>3</v>
      </c>
      <c r="UG5" s="162" t="str">
        <f t="shared" si="131"/>
        <v>B</v>
      </c>
      <c r="UH5" s="96"/>
      <c r="UI5" s="97"/>
      <c r="UJ5" s="98"/>
      <c r="UK5" s="98"/>
      <c r="UL5" s="161" t="str">
        <f>IFERROR((((COUNTIF('Elève (3ème5)'!UH5:UK5,"A"))*4)+((COUNTIF('Elève (3ème5)'!UH5:UK5,"B"))*3)+((COUNTIF('Elève (3ème5)'!UH5:UK5,"C"))*2)+((COUNTIF('Elève (3ème5)'!UH5:UK5,"D"))*1))/(COUNTA(UH5:UK5)),"")</f>
        <v/>
      </c>
      <c r="UM5" s="162" t="str">
        <f t="shared" si="132"/>
        <v/>
      </c>
      <c r="UN5" s="96" t="s">
        <v>28</v>
      </c>
      <c r="UO5" s="97" t="s">
        <v>29</v>
      </c>
      <c r="UP5" s="98"/>
      <c r="UQ5" s="98"/>
      <c r="UR5" s="98"/>
      <c r="US5" s="102"/>
      <c r="UT5" s="161">
        <f>IFERROR((((COUNTIF('Elève (3ème5)'!UN5:US5,"A"))*4)+((COUNTIF('Elève (3ème5)'!UN5:US5,"B"))*3)+((COUNTIF('Elève (3ème5)'!UN5:US5,"C"))*2)+((COUNTIF('Elève (3ème5)'!UN5:US5,"D"))*1))/(COUNTA(UN5:US5)),"")</f>
        <v>2.5</v>
      </c>
      <c r="UU5" s="162" t="str">
        <f t="shared" si="133"/>
        <v>C</v>
      </c>
      <c r="UV5" s="161">
        <f>IF(COUNT(UF5,UL5,UT5)=0,"",SUM(UF5,UL5,UT5)/COUNT(UF5,UL5,UT5))</f>
        <v>2.75</v>
      </c>
      <c r="UW5" s="186" t="str">
        <f t="shared" si="134"/>
        <v>C</v>
      </c>
      <c r="UX5" s="96" t="s">
        <v>27</v>
      </c>
      <c r="UY5" s="97" t="s">
        <v>28</v>
      </c>
      <c r="UZ5" s="98"/>
      <c r="VA5" s="161">
        <f>IFERROR((((COUNTIF('Elève (3ème5)'!UX5:UZ5,"A"))*4)+((COUNTIF('Elève (3ème5)'!UX5:UZ5,"B"))*3)+((COUNTIF('Elève (3ème5)'!UX5:UZ5,"C"))*2)+((COUNTIF('Elève (3ème5)'!UX5:UZ5,"D"))*1))/(COUNTA(UX5:UZ5)),"")</f>
        <v>3.5</v>
      </c>
      <c r="VB5" s="162" t="str">
        <f t="shared" si="135"/>
        <v>B</v>
      </c>
      <c r="VC5" s="96"/>
      <c r="VD5" s="97"/>
      <c r="VE5" s="98"/>
      <c r="VF5" s="98"/>
      <c r="VG5" s="161" t="str">
        <f>IFERROR((((COUNTIF('Elève (3ème5)'!VC5:VF5,"A"))*4)+((COUNTIF('Elève (3ème5)'!VC5:VF5,"B"))*3)+((COUNTIF('Elève (3ème5)'!VC5:VF5,"C"))*2)+((COUNTIF('Elève (3ème5)'!VC5:VF5,"D"))*1))/(COUNTA(VC5:VF5)),"")</f>
        <v/>
      </c>
      <c r="VH5" s="162" t="str">
        <f t="shared" si="136"/>
        <v/>
      </c>
      <c r="VI5" s="96" t="s">
        <v>28</v>
      </c>
      <c r="VJ5" s="97" t="s">
        <v>29</v>
      </c>
      <c r="VK5" s="98"/>
      <c r="VL5" s="98"/>
      <c r="VM5" s="98"/>
      <c r="VN5" s="102"/>
      <c r="VO5" s="161">
        <f>IFERROR((((COUNTIF('Elève (3ème5)'!VI5:VN5,"A"))*4)+((COUNTIF('Elève (3ème5)'!VI5:VN5,"B"))*3)+((COUNTIF('Elève (3ème5)'!VI5:VN5,"C"))*2)+((COUNTIF('Elève (3ème5)'!VI5:VN5,"D"))*1))/(COUNTA(VI5:VN5)),"")</f>
        <v>2.5</v>
      </c>
      <c r="VP5" s="162" t="str">
        <f t="shared" si="137"/>
        <v>C</v>
      </c>
      <c r="VQ5" s="161">
        <f>IF(COUNT(VA5,VG5,VO5)=0,"",SUM(VA5,VG5,VO5)/COUNT(VA5,VG5,VO5))</f>
        <v>3</v>
      </c>
      <c r="VR5" s="186" t="str">
        <f t="shared" si="138"/>
        <v>B</v>
      </c>
      <c r="VS5" s="96"/>
      <c r="VT5" s="97"/>
      <c r="VU5" s="98"/>
      <c r="VV5" s="99" t="str">
        <f>IFERROR((((COUNTIF('Elève (3ème5)'!VS5:VU5,"A"))*4)+((COUNTIF('Elève (3ème5)'!VS5:VU5,"B"))*3)+((COUNTIF('Elève (3ème5)'!VS5:VU5,"C"))*2)+((COUNTIF('Elève (3ème5)'!VS5:VU5,"D"))*1))/(COUNTA(VS5:VU5)),"")</f>
        <v/>
      </c>
      <c r="VW5" s="100" t="str">
        <f t="shared" si="139"/>
        <v/>
      </c>
      <c r="VX5" s="96"/>
      <c r="VY5" s="97"/>
      <c r="VZ5" s="98"/>
      <c r="WA5" s="99" t="str">
        <f>IFERROR((((COUNTIF('Elève (3ème5)'!VX5:VZ5,"A"))*4)+((COUNTIF('Elève (3ème5)'!VX5:VZ5,"B"))*3)+((COUNTIF('Elève (3ème5)'!VX5:VZ5,"C"))*2)+((COUNTIF('Elève (3ème5)'!VX5:VZ5,"D"))*1))/(COUNTA(VX5:VZ5)),"")</f>
        <v/>
      </c>
      <c r="WB5" s="100" t="str">
        <f t="shared" si="140"/>
        <v/>
      </c>
      <c r="WC5" s="96"/>
      <c r="WD5" s="97"/>
      <c r="WE5" s="102"/>
      <c r="WF5" s="99" t="str">
        <f>IFERROR((((COUNTIF('Elève (3ème5)'!WC5:WE5,"A"))*4)+((COUNTIF('Elève (3ème5)'!WC5:WE5,"B"))*3)+((COUNTIF('Elève (3ème5)'!WC5:WE5,"C"))*2)+((COUNTIF('Elève (3ème5)'!WC5:WE5,"D"))*1))/(COUNTA(WC5:WE5)),"")</f>
        <v/>
      </c>
      <c r="WG5" s="100" t="str">
        <f t="shared" si="141"/>
        <v/>
      </c>
      <c r="WH5" s="99" t="str">
        <f>IF(COUNT(VV5,WA5,WF5)=0,"",SUM(VV5,WA5,WF5)/COUNT(VV5,WA5,WF5))</f>
        <v/>
      </c>
      <c r="WI5" s="101" t="str">
        <f t="shared" si="142"/>
        <v/>
      </c>
      <c r="WJ5" s="96"/>
      <c r="WK5" s="97"/>
      <c r="WL5" s="98"/>
      <c r="WM5" s="99" t="str">
        <f>IFERROR((((COUNTIF('Elève (3ème5)'!WJ5:WL5,"A"))*4)+((COUNTIF('Elève (3ème5)'!WJ5:WL5,"B"))*3)+((COUNTIF('Elève (3ème5)'!WJ5:WL5,"C"))*2)+((COUNTIF('Elève (3ème5)'!WJ5:WL5,"D"))*1))/(COUNTA(WJ5:WL5)),"")</f>
        <v/>
      </c>
      <c r="WN5" s="100" t="str">
        <f t="shared" si="143"/>
        <v/>
      </c>
      <c r="WO5" s="96"/>
      <c r="WP5" s="97"/>
      <c r="WQ5" s="98"/>
      <c r="WR5" s="99" t="str">
        <f>IFERROR((((COUNTIF('Elève (3ème5)'!WO5:WQ5,"A"))*4)+((COUNTIF('Elève (3ème5)'!WO5:WQ5,"B"))*3)+((COUNTIF('Elève (3ème5)'!WO5:WQ5,"C"))*2)+((COUNTIF('Elève (3ème5)'!WO5:WQ5,"D"))*1))/(COUNTA(WO5:WQ5)),"")</f>
        <v/>
      </c>
      <c r="WS5" s="100" t="str">
        <f t="shared" si="144"/>
        <v/>
      </c>
      <c r="WT5" s="96"/>
      <c r="WU5" s="97"/>
      <c r="WV5" s="102"/>
      <c r="WW5" s="99" t="str">
        <f>IFERROR((((COUNTIF('Elève (3ème5)'!WT5:WV5,"A"))*4)+((COUNTIF('Elève (3ème5)'!WT5:WV5,"B"))*3)+((COUNTIF('Elève (3ème5)'!WT5:WV5,"C"))*2)+((COUNTIF('Elève (3ème5)'!WT5:WV5,"D"))*1))/(COUNTA(WT5:WV5)),"")</f>
        <v/>
      </c>
      <c r="WX5" s="100" t="str">
        <f t="shared" si="145"/>
        <v/>
      </c>
      <c r="WY5" s="99" t="str">
        <f>IF(COUNT(WM5,WR5,WW5)=0,"",SUM(WM5,WR5,WW5)/COUNT(WM5,WR5,WW5))</f>
        <v/>
      </c>
      <c r="WZ5" s="101" t="str">
        <f t="shared" si="146"/>
        <v/>
      </c>
    </row>
    <row r="6" spans="1:624" ht="18" customHeight="1" x14ac:dyDescent="0.55000000000000004">
      <c r="A6" s="221" t="s">
        <v>13</v>
      </c>
      <c r="B6" s="222"/>
      <c r="C6" s="103"/>
      <c r="D6" s="104"/>
      <c r="E6" s="105"/>
      <c r="F6" s="163" t="str">
        <f>IFERROR((((COUNTIF('Elève (3ème5)'!C6:E6,"A"))*4)+((COUNTIF('Elève (3ème5)'!C6:E6,"B"))*3)+((COUNTIF('Elève (3ème5)'!C6:E6,"C"))*2)+((COUNTIF('Elève (3ème5)'!C6:E6,"D"))*1))/(COUNTA(C6:E6)),"")</f>
        <v/>
      </c>
      <c r="G6" s="164" t="str">
        <f t="shared" si="27"/>
        <v/>
      </c>
      <c r="H6" s="103" t="s">
        <v>27</v>
      </c>
      <c r="I6" s="104"/>
      <c r="J6" s="105"/>
      <c r="K6" s="105"/>
      <c r="L6" s="163">
        <f>IFERROR((((COUNTIF('Elève (3ème5)'!H6:K6,"A"))*4)+((COUNTIF('Elève (3ème5)'!H6:K6,"B"))*3)+((COUNTIF('Elève (3ème5)'!H6:K6,"C"))*2)+((COUNTIF('Elève (3ème5)'!H6:K6,"D"))*1))/(COUNTA(H6:K6)),"")</f>
        <v>4</v>
      </c>
      <c r="M6" s="164" t="str">
        <f t="shared" si="28"/>
        <v>A</v>
      </c>
      <c r="N6" s="103" t="s">
        <v>28</v>
      </c>
      <c r="O6" s="104" t="s">
        <v>27</v>
      </c>
      <c r="P6" s="105" t="s">
        <v>29</v>
      </c>
      <c r="Q6" s="105" t="s">
        <v>29</v>
      </c>
      <c r="R6" s="105"/>
      <c r="S6" s="105"/>
      <c r="T6" s="163">
        <f>IFERROR((((COUNTIF('Elève (3ème5)'!N6:S6,"A"))*4)+((COUNTIF('Elève (3ème5)'!N6:S6,"B"))*3)+((COUNTIF('Elève (3ème5)'!N6:S6,"C"))*2)+((COUNTIF('Elève (3ème5)'!N6:S6,"D"))*1))/(COUNTA(N6:S6)),"")</f>
        <v>2.75</v>
      </c>
      <c r="U6" s="164" t="str">
        <f t="shared" si="29"/>
        <v>C</v>
      </c>
      <c r="V6" s="163">
        <f>IF(COUNT(F6,L6,T6)=0,"",SUM(F6,L6,T6)/COUNT(F6,L6,T6))</f>
        <v>3.375</v>
      </c>
      <c r="W6" s="187" t="str">
        <f t="shared" si="30"/>
        <v>B</v>
      </c>
      <c r="X6" s="103"/>
      <c r="Y6" s="104"/>
      <c r="Z6" s="105"/>
      <c r="AA6" s="163" t="str">
        <f>IFERROR((((COUNTIF('Elève (3ème5)'!X6:Z6,"A"))*4)+((COUNTIF('Elève (3ème5)'!X6:Z6,"B"))*3)+((COUNTIF('Elève (3ème5)'!X6:Z6,"C"))*2)+((COUNTIF('Elève (3ème5)'!X6:Z6,"D"))*1))/(COUNTA(X6:Z6)),"")</f>
        <v/>
      </c>
      <c r="AB6" s="164" t="str">
        <f t="shared" si="31"/>
        <v/>
      </c>
      <c r="AC6" s="103" t="s">
        <v>28</v>
      </c>
      <c r="AD6" s="104"/>
      <c r="AE6" s="105"/>
      <c r="AF6" s="105"/>
      <c r="AG6" s="163">
        <f>IFERROR((((COUNTIF('Elève (3ème5)'!AC6:AF6,"A"))*4)+((COUNTIF('Elève (3ème5)'!AC6:AF6,"B"))*3)+((COUNTIF('Elève (3ème5)'!AC6:AF6,"C"))*2)+((COUNTIF('Elève (3ème5)'!AC6:AF6,"D"))*1))/(COUNTA(AC6:AF6)),"")</f>
        <v>3</v>
      </c>
      <c r="AH6" s="164" t="str">
        <f t="shared" si="32"/>
        <v>B</v>
      </c>
      <c r="AI6" s="103" t="s">
        <v>27</v>
      </c>
      <c r="AJ6" s="104" t="s">
        <v>29</v>
      </c>
      <c r="AK6" s="105" t="s">
        <v>28</v>
      </c>
      <c r="AL6" s="105" t="s">
        <v>29</v>
      </c>
      <c r="AM6" s="105"/>
      <c r="AN6" s="109"/>
      <c r="AO6" s="163">
        <f>IFERROR((((COUNTIF('Elève (3ème5)'!AI6:AN6,"A"))*4)+((COUNTIF('Elève (3ème5)'!AI6:AN6,"B"))*3)+((COUNTIF('Elève (3ème5)'!AI6:AN6,"C"))*2)+((COUNTIF('Elève (3ème5)'!AI6:AN6,"D"))*1))/(COUNTA(AI6:AN6)),"")</f>
        <v>2.75</v>
      </c>
      <c r="AP6" s="164" t="str">
        <f t="shared" si="33"/>
        <v>C</v>
      </c>
      <c r="AQ6" s="163">
        <f>IF(COUNT(AA6,AG6,AO6)=0,"",SUM(AA6,AG6,AO6)/COUNT(AA6,AG6,AO6))</f>
        <v>2.875</v>
      </c>
      <c r="AR6" s="187" t="str">
        <f t="shared" si="34"/>
        <v>B</v>
      </c>
      <c r="AS6" s="103"/>
      <c r="AT6" s="104"/>
      <c r="AU6" s="105"/>
      <c r="AV6" s="163" t="str">
        <f>IFERROR((((COUNTIF('Elève (3ème5)'!AS6:AU6,"A"))*4)+((COUNTIF('Elève (3ème5)'!AS6:AU6,"B"))*3)+((COUNTIF('Elève (3ème5)'!AS6:AU6,"C"))*2)+((COUNTIF('Elève (3ème5)'!AS6:AU6,"D"))*1))/(COUNTA(AS6:AU6)),"")</f>
        <v/>
      </c>
      <c r="AW6" s="164" t="str">
        <f t="shared" si="35"/>
        <v/>
      </c>
      <c r="AX6" s="103" t="s">
        <v>29</v>
      </c>
      <c r="AY6" s="104"/>
      <c r="AZ6" s="105"/>
      <c r="BA6" s="105"/>
      <c r="BB6" s="163">
        <f>IFERROR((((COUNTIF('Elève (3ème5)'!AX6:BA6,"A"))*4)+((COUNTIF('Elève (3ème5)'!AX6:BA6,"B"))*3)+((COUNTIF('Elève (3ème5)'!AX6:BA6,"C"))*2)+((COUNTIF('Elève (3ème5)'!AX6:BA6,"D"))*1))/(COUNTA(AX6:BA6)),"")</f>
        <v>2</v>
      </c>
      <c r="BC6" s="164" t="str">
        <f t="shared" si="36"/>
        <v>C</v>
      </c>
      <c r="BD6" s="103"/>
      <c r="BE6" s="104" t="s">
        <v>29</v>
      </c>
      <c r="BF6" s="105" t="s">
        <v>29</v>
      </c>
      <c r="BG6" s="105" t="s">
        <v>27</v>
      </c>
      <c r="BH6" s="105"/>
      <c r="BI6" s="109"/>
      <c r="BJ6" s="163">
        <f>IFERROR((((COUNTIF('Elève (3ème5)'!BD6:BI6,"A"))*4)+((COUNTIF('Elève (3ème5)'!BD6:BI6,"B"))*3)+((COUNTIF('Elève (3ème5)'!BD6:BI6,"C"))*2)+((COUNTIF('Elève (3ème5)'!BD6:BI6,"D"))*1))/(COUNTA(BD6:BI6)),"")</f>
        <v>2.6666666666666665</v>
      </c>
      <c r="BK6" s="164" t="str">
        <f t="shared" si="37"/>
        <v>C</v>
      </c>
      <c r="BL6" s="163">
        <f>IF(COUNT(AV6,BB6,BJ6)=0,"",SUM(AV6,BB6,BJ6)/COUNT(AV6,BB6,BJ6))</f>
        <v>2.333333333333333</v>
      </c>
      <c r="BM6" s="187" t="str">
        <f t="shared" si="38"/>
        <v>C</v>
      </c>
      <c r="BN6" s="103"/>
      <c r="BO6" s="104"/>
      <c r="BP6" s="105"/>
      <c r="BQ6" s="163" t="str">
        <f>IFERROR((((COUNTIF('Elève (3ème5)'!BN6:BP6,"A"))*4)+((COUNTIF('Elève (3ème5)'!BN6:BP6,"B"))*3)+((COUNTIF('Elève (3ème5)'!BN6:BP6,"C"))*2)+((COUNTIF('Elève (3ème5)'!BN6:BP6,"D"))*1))/(COUNTA(BN6:BP6)),"")</f>
        <v/>
      </c>
      <c r="BR6" s="164" t="str">
        <f t="shared" si="39"/>
        <v/>
      </c>
      <c r="BS6" s="103" t="s">
        <v>29</v>
      </c>
      <c r="BT6" s="104"/>
      <c r="BU6" s="105"/>
      <c r="BV6" s="105"/>
      <c r="BW6" s="163">
        <f>IFERROR((((COUNTIF('Elève (3ème5)'!BS6:BV6,"A"))*4)+((COUNTIF('Elève (3ème5)'!BS6:BV6,"B"))*3)+((COUNTIF('Elève (3ème5)'!BS6:BV6,"C"))*2)+((COUNTIF('Elève (3ème5)'!BS6:BV6,"D"))*1))/(COUNTA(BS6:BV6)),"")</f>
        <v>2</v>
      </c>
      <c r="BX6" s="164" t="str">
        <f t="shared" si="40"/>
        <v>C</v>
      </c>
      <c r="BY6" s="103" t="s">
        <v>28</v>
      </c>
      <c r="BZ6" s="104" t="s">
        <v>29</v>
      </c>
      <c r="CA6" s="105" t="s">
        <v>29</v>
      </c>
      <c r="CB6" s="105" t="s">
        <v>27</v>
      </c>
      <c r="CC6" s="105"/>
      <c r="CD6" s="109"/>
      <c r="CE6" s="163">
        <f>IFERROR((((COUNTIF('Elève (3ème5)'!BY6:CD6,"A"))*4)+((COUNTIF('Elève (3ème5)'!BY6:CD6,"B"))*3)+((COUNTIF('Elève (3ème5)'!BY6:CD6,"C"))*2)+((COUNTIF('Elève (3ème5)'!BY6:CD6,"D"))*1))/(COUNTA(BY6:CD6)),"")</f>
        <v>2.75</v>
      </c>
      <c r="CF6" s="164" t="str">
        <f t="shared" si="41"/>
        <v>C</v>
      </c>
      <c r="CG6" s="163">
        <f>IF(COUNT(BQ6,BW6,CE6)=0,"",SUM(BQ6,BW6,CE6)/COUNT(BQ6,BW6,CE6))</f>
        <v>2.375</v>
      </c>
      <c r="CH6" s="187" t="str">
        <f t="shared" si="42"/>
        <v>C</v>
      </c>
      <c r="CI6" s="103"/>
      <c r="CJ6" s="104"/>
      <c r="CK6" s="105"/>
      <c r="CL6" s="163" t="str">
        <f>IFERROR((((COUNTIF('Elève (3ème5)'!CI6:CK6,"A"))*4)+((COUNTIF('Elève (3ème5)'!CI6:CK6,"B"))*3)+((COUNTIF('Elève (3ème5)'!CI6:CK6,"C"))*2)+((COUNTIF('Elève (3ème5)'!CI6:CK6,"D"))*1))/(COUNTA(CI6:CK6)),"")</f>
        <v/>
      </c>
      <c r="CM6" s="164" t="str">
        <f t="shared" si="43"/>
        <v/>
      </c>
      <c r="CN6" s="103" t="s">
        <v>28</v>
      </c>
      <c r="CO6" s="104"/>
      <c r="CP6" s="105"/>
      <c r="CQ6" s="105"/>
      <c r="CR6" s="163">
        <f>IFERROR((((COUNTIF('Elève (3ème5)'!CN6:CQ6,"A"))*4)+((COUNTIF('Elève (3ème5)'!CN6:CQ6,"B"))*3)+((COUNTIF('Elève (3ème5)'!CN6:CQ6,"C"))*2)+((COUNTIF('Elève (3ème5)'!CN6:CQ6,"D"))*1))/(COUNTA(CN6:CQ6)),"")</f>
        <v>3</v>
      </c>
      <c r="CS6" s="164" t="str">
        <f t="shared" si="44"/>
        <v>B</v>
      </c>
      <c r="CT6" s="103" t="s">
        <v>28</v>
      </c>
      <c r="CU6" s="104" t="s">
        <v>29</v>
      </c>
      <c r="CV6" s="105" t="s">
        <v>28</v>
      </c>
      <c r="CW6" s="105" t="s">
        <v>27</v>
      </c>
      <c r="CX6" s="105"/>
      <c r="CY6" s="109"/>
      <c r="CZ6" s="163">
        <f>IFERROR((((COUNTIF('Elève (3ème5)'!CT6:CY6,"A"))*4)+((COUNTIF('Elève (3ème5)'!CT6:CY6,"B"))*3)+((COUNTIF('Elève (3ème5)'!CT6:CY6,"C"))*2)+((COUNTIF('Elève (3ème5)'!CT6:CY6,"D"))*1))/(COUNTA(CT6:CY6)),"")</f>
        <v>3</v>
      </c>
      <c r="DA6" s="164" t="str">
        <f t="shared" si="45"/>
        <v>B</v>
      </c>
      <c r="DB6" s="163">
        <f>IF(COUNT(CL6,CR6,CZ6)=0,"",SUM(CL6,CR6,CZ6)/COUNT(CL6,CR6,CZ6))</f>
        <v>3</v>
      </c>
      <c r="DC6" s="187" t="str">
        <f t="shared" si="46"/>
        <v>B</v>
      </c>
      <c r="DD6" s="103"/>
      <c r="DE6" s="104"/>
      <c r="DF6" s="105"/>
      <c r="DG6" s="163" t="str">
        <f>IFERROR((((COUNTIF('Elève (3ème5)'!DD6:DF6,"A"))*4)+((COUNTIF('Elève (3ème5)'!DD6:DF6,"B"))*3)+((COUNTIF('Elève (3ème5)'!DD6:DF6,"C"))*2)+((COUNTIF('Elève (3ème5)'!DD6:DF6,"D"))*1))/(COUNTA(DD6:DF6)),"")</f>
        <v/>
      </c>
      <c r="DH6" s="164" t="str">
        <f t="shared" si="47"/>
        <v/>
      </c>
      <c r="DI6" s="103" t="s">
        <v>28</v>
      </c>
      <c r="DJ6" s="104"/>
      <c r="DK6" s="105"/>
      <c r="DL6" s="105"/>
      <c r="DM6" s="163">
        <f>IFERROR((((COUNTIF('Elève (3ème5)'!DI6:DL6,"A"))*4)+((COUNTIF('Elève (3ème5)'!DI6:DL6,"B"))*3)+((COUNTIF('Elève (3ème5)'!DI6:DL6,"C"))*2)+((COUNTIF('Elève (3ème5)'!DI6:DL6,"D"))*1))/(COUNTA(DI6:DL6)),"")</f>
        <v>3</v>
      </c>
      <c r="DN6" s="164" t="str">
        <f t="shared" si="48"/>
        <v>B</v>
      </c>
      <c r="DO6" s="103" t="s">
        <v>28</v>
      </c>
      <c r="DP6" s="104" t="s">
        <v>27</v>
      </c>
      <c r="DQ6" s="105" t="s">
        <v>28</v>
      </c>
      <c r="DR6" s="105" t="s">
        <v>27</v>
      </c>
      <c r="DS6" s="105"/>
      <c r="DT6" s="109"/>
      <c r="DU6" s="163">
        <f>IFERROR((((COUNTIF('Elève (3ème5)'!DO6:DT6,"A"))*4)+((COUNTIF('Elève (3ème5)'!DO6:DT6,"B"))*3)+((COUNTIF('Elève (3ème5)'!DO6:DT6,"C"))*2)+((COUNTIF('Elève (3ème5)'!DO6:DT6,"D"))*1))/(COUNTA(DO6:DT6)),"")</f>
        <v>3.5</v>
      </c>
      <c r="DV6" s="164" t="str">
        <f t="shared" si="49"/>
        <v>B</v>
      </c>
      <c r="DW6" s="163">
        <f>IF(COUNT(DG6,DM6,DU6)=0,"",SUM(DG6,DM6,DU6)/COUNT(DG6,DM6,DU6))</f>
        <v>3.25</v>
      </c>
      <c r="DX6" s="187" t="str">
        <f t="shared" si="50"/>
        <v>B</v>
      </c>
      <c r="DY6" s="103"/>
      <c r="DZ6" s="104"/>
      <c r="EA6" s="105"/>
      <c r="EB6" s="163" t="str">
        <f>IFERROR((((COUNTIF('Elève (3ème5)'!DY6:EA6,"A"))*4)+((COUNTIF('Elève (3ème5)'!DY6:EA6,"B"))*3)+((COUNTIF('Elève (3ème5)'!DY6:EA6,"C"))*2)+((COUNTIF('Elève (3ème5)'!DY6:EA6,"D"))*1))/(COUNTA(DY6:EA6)),"")</f>
        <v/>
      </c>
      <c r="EC6" s="164" t="str">
        <f t="shared" si="51"/>
        <v/>
      </c>
      <c r="ED6" s="103" t="s">
        <v>30</v>
      </c>
      <c r="EE6" s="104"/>
      <c r="EF6" s="105"/>
      <c r="EG6" s="105"/>
      <c r="EH6" s="163">
        <f>IFERROR((((COUNTIF('Elève (3ème5)'!ED6:EG6,"A"))*4)+((COUNTIF('Elève (3ème5)'!ED6:EG6,"B"))*3)+((COUNTIF('Elève (3ème5)'!ED6:EG6,"C"))*2)+((COUNTIF('Elève (3ème5)'!ED6:EG6,"D"))*1))/(COUNTA(ED6:EG6)),"")</f>
        <v>1</v>
      </c>
      <c r="EI6" s="164" t="str">
        <f t="shared" si="52"/>
        <v>D</v>
      </c>
      <c r="EJ6" s="103" t="s">
        <v>29</v>
      </c>
      <c r="EK6" s="104" t="s">
        <v>29</v>
      </c>
      <c r="EL6" s="105" t="s">
        <v>28</v>
      </c>
      <c r="EM6" s="105" t="s">
        <v>28</v>
      </c>
      <c r="EN6" s="105"/>
      <c r="EO6" s="109"/>
      <c r="EP6" s="163">
        <f>IFERROR((((COUNTIF('Elève (3ème5)'!EJ6:EO6,"A"))*4)+((COUNTIF('Elève (3ème5)'!EJ6:EO6,"B"))*3)+((COUNTIF('Elève (3ème5)'!EJ6:EO6,"C"))*2)+((COUNTIF('Elève (3ème5)'!EJ6:EO6,"D"))*1))/(COUNTA(EJ6:EO6)),"")</f>
        <v>2.5</v>
      </c>
      <c r="EQ6" s="164" t="str">
        <f t="shared" si="53"/>
        <v>C</v>
      </c>
      <c r="ER6" s="163">
        <f>IF(COUNT(EB6,EH6,EP6)=0,"",SUM(EB6,EH6,EP6)/COUNT(EB6,EH6,EP6))</f>
        <v>1.75</v>
      </c>
      <c r="ES6" s="187" t="str">
        <f t="shared" si="54"/>
        <v>C</v>
      </c>
      <c r="ET6" s="103"/>
      <c r="EU6" s="104"/>
      <c r="EV6" s="105"/>
      <c r="EW6" s="163" t="str">
        <f>IFERROR((((COUNTIF('Elève (3ème5)'!ET6:EV6,"A"))*4)+((COUNTIF('Elève (3ème5)'!ET6:EV6,"B"))*3)+((COUNTIF('Elève (3ème5)'!ET6:EV6,"C"))*2)+((COUNTIF('Elève (3ème5)'!ET6:EV6,"D"))*1))/(COUNTA(ET6:EV6)),"")</f>
        <v/>
      </c>
      <c r="EX6" s="164" t="str">
        <f t="shared" si="55"/>
        <v/>
      </c>
      <c r="EY6" s="103" t="s">
        <v>28</v>
      </c>
      <c r="EZ6" s="104"/>
      <c r="FA6" s="105"/>
      <c r="FB6" s="105"/>
      <c r="FC6" s="163">
        <f>IFERROR((((COUNTIF('Elève (3ème5)'!EY6:FB6,"A"))*4)+((COUNTIF('Elève (3ème5)'!EY6:FB6,"B"))*3)+((COUNTIF('Elève (3ème5)'!EY6:FB6,"C"))*2)+((COUNTIF('Elève (3ème5)'!EY6:FB6,"D"))*1))/(COUNTA(EY6:FB6)),"")</f>
        <v>3</v>
      </c>
      <c r="FD6" s="164" t="str">
        <f t="shared" si="56"/>
        <v>B</v>
      </c>
      <c r="FE6" s="103" t="s">
        <v>29</v>
      </c>
      <c r="FF6" s="104" t="s">
        <v>29</v>
      </c>
      <c r="FG6" s="105" t="s">
        <v>28</v>
      </c>
      <c r="FH6" s="105" t="s">
        <v>27</v>
      </c>
      <c r="FI6" s="105"/>
      <c r="FJ6" s="109"/>
      <c r="FK6" s="163">
        <f>IFERROR((((COUNTIF('Elève (3ème5)'!FE6:FJ6,"A"))*4)+((COUNTIF('Elève (3ème5)'!FE6:FJ6,"B"))*3)+((COUNTIF('Elève (3ème5)'!FE6:FJ6,"C"))*2)+((COUNTIF('Elève (3ème5)'!FE6:FJ6,"D"))*1))/(COUNTA(FE6:FJ6)),"")</f>
        <v>2.75</v>
      </c>
      <c r="FL6" s="164" t="str">
        <f t="shared" si="57"/>
        <v>C</v>
      </c>
      <c r="FM6" s="163">
        <f>IF(COUNT(EW6,FC6,FK6)=0,"",SUM(EW6,FC6,FK6)/COUNT(EW6,FC6,FK6))</f>
        <v>2.875</v>
      </c>
      <c r="FN6" s="187" t="str">
        <f t="shared" si="58"/>
        <v>B</v>
      </c>
      <c r="FO6" s="103"/>
      <c r="FP6" s="104"/>
      <c r="FQ6" s="105"/>
      <c r="FR6" s="163" t="str">
        <f>IFERROR((((COUNTIF('Elève (3ème5)'!FO6:FQ6,"A"))*4)+((COUNTIF('Elève (3ème5)'!FO6:FQ6,"B"))*3)+((COUNTIF('Elève (3ème5)'!FO6:FQ6,"C"))*2)+((COUNTIF('Elève (3ème5)'!FO6:FQ6,"D"))*1))/(COUNTA(FO6:FQ6)),"")</f>
        <v/>
      </c>
      <c r="FS6" s="164" t="str">
        <f t="shared" si="59"/>
        <v/>
      </c>
      <c r="FT6" s="103" t="s">
        <v>29</v>
      </c>
      <c r="FU6" s="104"/>
      <c r="FV6" s="105"/>
      <c r="FW6" s="105"/>
      <c r="FX6" s="163">
        <f>IFERROR((((COUNTIF('Elève (3ème5)'!FT6:FW6,"A"))*4)+((COUNTIF('Elève (3ème5)'!FT6:FW6,"B"))*3)+((COUNTIF('Elève (3ème5)'!FT6:FW6,"C"))*2)+((COUNTIF('Elève (3ème5)'!FT6:FW6,"D"))*1))/(COUNTA(FT6:FW6)),"")</f>
        <v>2</v>
      </c>
      <c r="FY6" s="164" t="str">
        <f t="shared" si="60"/>
        <v>C</v>
      </c>
      <c r="FZ6" s="103" t="s">
        <v>29</v>
      </c>
      <c r="GA6" s="104" t="s">
        <v>29</v>
      </c>
      <c r="GB6" s="105" t="s">
        <v>28</v>
      </c>
      <c r="GC6" s="105" t="s">
        <v>29</v>
      </c>
      <c r="GD6" s="105"/>
      <c r="GE6" s="109"/>
      <c r="GF6" s="163">
        <f>IFERROR((((COUNTIF('Elève (3ème5)'!FZ6:GE6,"A"))*4)+((COUNTIF('Elève (3ème5)'!FZ6:GE6,"B"))*3)+((COUNTIF('Elève (3ème5)'!FZ6:GE6,"C"))*2)+((COUNTIF('Elève (3ème5)'!FZ6:GE6,"D"))*1))/(COUNTA(FZ6:GE6)),"")</f>
        <v>2.25</v>
      </c>
      <c r="GG6" s="164" t="str">
        <f t="shared" si="61"/>
        <v>C</v>
      </c>
      <c r="GH6" s="163">
        <f>IF(COUNT(FR6,FX6,GF6)=0,"",SUM(FR6,FX6,GF6)/COUNT(FR6,FX6,GF6))</f>
        <v>2.125</v>
      </c>
      <c r="GI6" s="187" t="str">
        <f t="shared" si="62"/>
        <v>C</v>
      </c>
      <c r="GJ6" s="103"/>
      <c r="GK6" s="104"/>
      <c r="GL6" s="105"/>
      <c r="GM6" s="163" t="str">
        <f>IFERROR((((COUNTIF('Elève (3ème5)'!GJ6:GL6,"A"))*4)+((COUNTIF('Elève (3ème5)'!GJ6:GL6,"B"))*3)+((COUNTIF('Elève (3ème5)'!GJ6:GL6,"C"))*2)+((COUNTIF('Elève (3ème5)'!GJ6:GL6,"D"))*1))/(COUNTA(GJ6:GL6)),"")</f>
        <v/>
      </c>
      <c r="GN6" s="164" t="str">
        <f t="shared" si="63"/>
        <v/>
      </c>
      <c r="GO6" s="103" t="s">
        <v>29</v>
      </c>
      <c r="GP6" s="104"/>
      <c r="GQ6" s="105"/>
      <c r="GR6" s="105"/>
      <c r="GS6" s="163">
        <f>IFERROR((((COUNTIF('Elève (3ème5)'!GO6:GR6,"A"))*4)+((COUNTIF('Elève (3ème5)'!GO6:GR6,"B"))*3)+((COUNTIF('Elève (3ème5)'!GO6:GR6,"C"))*2)+((COUNTIF('Elève (3ème5)'!GO6:GR6,"D"))*1))/(COUNTA(GO6:GR6)),"")</f>
        <v>2</v>
      </c>
      <c r="GT6" s="164" t="str">
        <f t="shared" si="64"/>
        <v>C</v>
      </c>
      <c r="GU6" s="103" t="s">
        <v>27</v>
      </c>
      <c r="GV6" s="104" t="s">
        <v>29</v>
      </c>
      <c r="GW6" s="105"/>
      <c r="GX6" s="105" t="s">
        <v>29</v>
      </c>
      <c r="GY6" s="105"/>
      <c r="GZ6" s="109"/>
      <c r="HA6" s="163">
        <f>IFERROR((((COUNTIF('Elève (3ème5)'!GU6:GZ6,"A"))*4)+((COUNTIF('Elève (3ème5)'!GU6:GZ6,"B"))*3)+((COUNTIF('Elève (3ème5)'!GU6:GZ6,"C"))*2)+((COUNTIF('Elève (3ème5)'!GU6:GZ6,"D"))*1))/(COUNTA(GU6:GZ6)),"")</f>
        <v>2.6666666666666665</v>
      </c>
      <c r="HB6" s="164" t="str">
        <f t="shared" si="65"/>
        <v>C</v>
      </c>
      <c r="HC6" s="163">
        <f>IF(COUNT(GM6,GS6,HA6)=0,"",SUM(GM6,GS6,HA6)/COUNT(GM6,GS6,HA6))</f>
        <v>2.333333333333333</v>
      </c>
      <c r="HD6" s="187" t="str">
        <f t="shared" si="66"/>
        <v>C</v>
      </c>
      <c r="HE6" s="103"/>
      <c r="HF6" s="104"/>
      <c r="HG6" s="105"/>
      <c r="HH6" s="163" t="str">
        <f>IFERROR((((COUNTIF('Elève (3ème5)'!HE6:HG6,"A"))*4)+((COUNTIF('Elève (3ème5)'!HE6:HG6,"B"))*3)+((COUNTIF('Elève (3ème5)'!HE6:HG6,"C"))*2)+((COUNTIF('Elève (3ème5)'!HE6:HG6,"D"))*1))/(COUNTA(HE6:HG6)),"")</f>
        <v/>
      </c>
      <c r="HI6" s="164" t="str">
        <f t="shared" si="67"/>
        <v/>
      </c>
      <c r="HJ6" s="103" t="s">
        <v>29</v>
      </c>
      <c r="HK6" s="104"/>
      <c r="HL6" s="105"/>
      <c r="HM6" s="105"/>
      <c r="HN6" s="163">
        <f>IFERROR((((COUNTIF('Elève (3ème5)'!HJ6:HM6,"A"))*4)+((COUNTIF('Elève (3ème5)'!HJ6:HM6,"B"))*3)+((COUNTIF('Elève (3ème5)'!HJ6:HM6,"C"))*2)+((COUNTIF('Elève (3ème5)'!HJ6:HM6,"D"))*1))/(COUNTA(HJ6:HM6)),"")</f>
        <v>2</v>
      </c>
      <c r="HO6" s="164" t="str">
        <f t="shared" si="68"/>
        <v>C</v>
      </c>
      <c r="HP6" s="103" t="s">
        <v>29</v>
      </c>
      <c r="HQ6" s="104" t="s">
        <v>29</v>
      </c>
      <c r="HR6" s="105"/>
      <c r="HS6" s="105" t="s">
        <v>29</v>
      </c>
      <c r="HT6" s="105"/>
      <c r="HU6" s="109"/>
      <c r="HV6" s="163">
        <f>IFERROR((((COUNTIF('Elève (3ème5)'!HP6:HU6,"A"))*4)+((COUNTIF('Elève (3ème5)'!HP6:HU6,"B"))*3)+((COUNTIF('Elève (3ème5)'!HP6:HU6,"C"))*2)+((COUNTIF('Elève (3ème5)'!HP6:HU6,"D"))*1))/(COUNTA(HP6:HU6)),"")</f>
        <v>2</v>
      </c>
      <c r="HW6" s="164" t="str">
        <f t="shared" si="69"/>
        <v>C</v>
      </c>
      <c r="HX6" s="163">
        <f>IF(COUNT(HH6,HN6,HV6)=0,"",SUM(HH6,HN6,HV6)/COUNT(HH6,HN6,HV6))</f>
        <v>2</v>
      </c>
      <c r="HY6" s="187" t="str">
        <f t="shared" si="70"/>
        <v>C</v>
      </c>
      <c r="HZ6" s="103"/>
      <c r="IA6" s="104"/>
      <c r="IB6" s="105"/>
      <c r="IC6" s="163" t="str">
        <f>IFERROR((((COUNTIF('Elève (3ème5)'!HZ6:IB6,"A"))*4)+((COUNTIF('Elève (3ème5)'!HZ6:IB6,"B"))*3)+((COUNTIF('Elève (3ème5)'!HZ6:IB6,"C"))*2)+((COUNTIF('Elève (3ème5)'!HZ6:IB6,"D"))*1))/(COUNTA(HZ6:IB6)),"")</f>
        <v/>
      </c>
      <c r="ID6" s="164" t="str">
        <f t="shared" si="71"/>
        <v/>
      </c>
      <c r="IE6" s="103" t="s">
        <v>29</v>
      </c>
      <c r="IF6" s="104"/>
      <c r="IG6" s="105"/>
      <c r="IH6" s="105"/>
      <c r="II6" s="163">
        <f>IFERROR((((COUNTIF('Elève (3ème5)'!IE6:IH6,"A"))*4)+((COUNTIF('Elève (3ème5)'!IE6:IH6,"B"))*3)+((COUNTIF('Elève (3ème5)'!IE6:IH6,"C"))*2)+((COUNTIF('Elève (3ème5)'!IE6:IH6,"D"))*1))/(COUNTA(IE6:IH6)),"")</f>
        <v>2</v>
      </c>
      <c r="IJ6" s="164" t="str">
        <f t="shared" si="72"/>
        <v>C</v>
      </c>
      <c r="IK6" s="103" t="s">
        <v>29</v>
      </c>
      <c r="IL6" s="104" t="s">
        <v>29</v>
      </c>
      <c r="IM6" s="105" t="s">
        <v>29</v>
      </c>
      <c r="IN6" s="105" t="s">
        <v>27</v>
      </c>
      <c r="IO6" s="105"/>
      <c r="IP6" s="109"/>
      <c r="IQ6" s="163">
        <f>IFERROR((((COUNTIF('Elève (3ème5)'!IK6:IP6,"A"))*4)+((COUNTIF('Elève (3ème5)'!IK6:IP6,"B"))*3)+((COUNTIF('Elève (3ème5)'!IK6:IP6,"C"))*2)+((COUNTIF('Elève (3ème5)'!IK6:IP6,"D"))*1))/(COUNTA(IK6:IP6)),"")</f>
        <v>2.5</v>
      </c>
      <c r="IR6" s="164" t="str">
        <f t="shared" si="73"/>
        <v>C</v>
      </c>
      <c r="IS6" s="163">
        <f>IF(COUNT(IC6,II6,IQ6)=0,"",SUM(IC6,II6,IQ6)/COUNT(IC6,II6,IQ6))</f>
        <v>2.25</v>
      </c>
      <c r="IT6" s="187" t="str">
        <f t="shared" si="74"/>
        <v>C</v>
      </c>
      <c r="IU6" s="103"/>
      <c r="IV6" s="104"/>
      <c r="IW6" s="105"/>
      <c r="IX6" s="163" t="str">
        <f>IFERROR((((COUNTIF('Elève (3ème5)'!IU6:IW6,"A"))*4)+((COUNTIF('Elève (3ème5)'!IU6:IW6,"B"))*3)+((COUNTIF('Elève (3ème5)'!IU6:IW6,"C"))*2)+((COUNTIF('Elève (3ème5)'!IU6:IW6,"D"))*1))/(COUNTA(IU6:IW6)),"")</f>
        <v/>
      </c>
      <c r="IY6" s="164" t="str">
        <f t="shared" si="75"/>
        <v/>
      </c>
      <c r="IZ6" s="103" t="s">
        <v>29</v>
      </c>
      <c r="JA6" s="104"/>
      <c r="JB6" s="105"/>
      <c r="JC6" s="105"/>
      <c r="JD6" s="163">
        <f>IFERROR((((COUNTIF('Elève (3ème5)'!IZ6:JC6,"A"))*4)+((COUNTIF('Elève (3ème5)'!IZ6:JC6,"B"))*3)+((COUNTIF('Elève (3ème5)'!IZ6:JC6,"C"))*2)+((COUNTIF('Elève (3ème5)'!IZ6:JC6,"D"))*1))/(COUNTA(IZ6:JC6)),"")</f>
        <v>2</v>
      </c>
      <c r="JE6" s="164" t="str">
        <f t="shared" si="76"/>
        <v>C</v>
      </c>
      <c r="JF6" s="103" t="s">
        <v>28</v>
      </c>
      <c r="JG6" s="104" t="s">
        <v>28</v>
      </c>
      <c r="JH6" s="105" t="s">
        <v>28</v>
      </c>
      <c r="JI6" s="105" t="s">
        <v>28</v>
      </c>
      <c r="JJ6" s="105"/>
      <c r="JK6" s="109"/>
      <c r="JL6" s="163">
        <f>IFERROR((((COUNTIF('Elève (3ème5)'!JF6:JK6,"A"))*4)+((COUNTIF('Elève (3ème5)'!JF6:JK6,"B"))*3)+((COUNTIF('Elève (3ème5)'!JF6:JK6,"C"))*2)+((COUNTIF('Elève (3ème5)'!JF6:JK6,"D"))*1))/(COUNTA(JF6:JK6)),"")</f>
        <v>3</v>
      </c>
      <c r="JM6" s="164" t="str">
        <f t="shared" si="77"/>
        <v>B</v>
      </c>
      <c r="JN6" s="163">
        <f>IF(COUNT(IX6,JD6,JL6)=0,"",SUM(IX6,JD6,JL6)/COUNT(IX6,JD6,JL6))</f>
        <v>2.5</v>
      </c>
      <c r="JO6" s="187" t="str">
        <f t="shared" si="78"/>
        <v>C</v>
      </c>
      <c r="JP6" s="103"/>
      <c r="JQ6" s="104"/>
      <c r="JR6" s="105"/>
      <c r="JS6" s="163" t="str">
        <f>IFERROR((((COUNTIF('Elève (3ème5)'!JP6:JR6,"A"))*4)+((COUNTIF('Elève (3ème5)'!JP6:JR6,"B"))*3)+((COUNTIF('Elève (3ème5)'!JP6:JR6,"C"))*2)+((COUNTIF('Elève (3ème5)'!JP6:JR6,"D"))*1))/(COUNTA(JP6:JR6)),"")</f>
        <v/>
      </c>
      <c r="JT6" s="164" t="str">
        <f t="shared" si="79"/>
        <v/>
      </c>
      <c r="JU6" s="103" t="s">
        <v>29</v>
      </c>
      <c r="JV6" s="104"/>
      <c r="JW6" s="105"/>
      <c r="JX6" s="105"/>
      <c r="JY6" s="163">
        <f>IFERROR((((COUNTIF('Elève (3ème5)'!JU6:JX6,"A"))*4)+((COUNTIF('Elève (3ème5)'!JU6:JX6,"B"))*3)+((COUNTIF('Elève (3ème5)'!JU6:JX6,"C"))*2)+((COUNTIF('Elève (3ème5)'!JU6:JX6,"D"))*1))/(COUNTA(JU6:JX6)),"")</f>
        <v>2</v>
      </c>
      <c r="JZ6" s="164" t="str">
        <f t="shared" si="80"/>
        <v>C</v>
      </c>
      <c r="KA6" s="103" t="s">
        <v>28</v>
      </c>
      <c r="KB6" s="104" t="s">
        <v>30</v>
      </c>
      <c r="KC6" s="105" t="s">
        <v>28</v>
      </c>
      <c r="KD6" s="105" t="s">
        <v>29</v>
      </c>
      <c r="KE6" s="105"/>
      <c r="KF6" s="109"/>
      <c r="KG6" s="163">
        <f>IFERROR((((COUNTIF('Elève (3ème5)'!KA6:KF6,"A"))*4)+((COUNTIF('Elève (3ème5)'!KA6:KF6,"B"))*3)+((COUNTIF('Elève (3ème5)'!KA6:KF6,"C"))*2)+((COUNTIF('Elève (3ème5)'!KA6:KF6,"D"))*1))/(COUNTA(KA6:KF6)),"")</f>
        <v>2.25</v>
      </c>
      <c r="KH6" s="164" t="str">
        <f t="shared" si="81"/>
        <v>C</v>
      </c>
      <c r="KI6" s="163">
        <f>IF(COUNT(JS6,JY6,KG6)=0,"",SUM(JS6,JY6,KG6)/COUNT(JS6,JY6,KG6))</f>
        <v>2.125</v>
      </c>
      <c r="KJ6" s="187" t="str">
        <f t="shared" si="82"/>
        <v>C</v>
      </c>
      <c r="KK6" s="103"/>
      <c r="KL6" s="104"/>
      <c r="KM6" s="105"/>
      <c r="KN6" s="163" t="str">
        <f>IFERROR((((COUNTIF('Elève (3ème5)'!KK6:KM6,"A"))*4)+((COUNTIF('Elève (3ème5)'!KK6:KM6,"B"))*3)+((COUNTIF('Elève (3ème5)'!KK6:KM6,"C"))*2)+((COUNTIF('Elève (3ème5)'!KK6:KM6,"D"))*1))/(COUNTA(KK6:KM6)),"")</f>
        <v/>
      </c>
      <c r="KO6" s="164" t="str">
        <f t="shared" si="83"/>
        <v/>
      </c>
      <c r="KP6" s="103" t="s">
        <v>28</v>
      </c>
      <c r="KQ6" s="104"/>
      <c r="KR6" s="105"/>
      <c r="KS6" s="105"/>
      <c r="KT6" s="163">
        <f>IFERROR((((COUNTIF('Elève (3ème5)'!KP6:KS6,"A"))*4)+((COUNTIF('Elève (3ème5)'!KP6:KS6,"B"))*3)+((COUNTIF('Elève (3ème5)'!KP6:KS6,"C"))*2)+((COUNTIF('Elève (3ème5)'!KP6:KS6,"D"))*1))/(COUNTA(KP6:KS6)),"")</f>
        <v>3</v>
      </c>
      <c r="KU6" s="164" t="str">
        <f t="shared" si="84"/>
        <v>B</v>
      </c>
      <c r="KV6" s="103" t="s">
        <v>28</v>
      </c>
      <c r="KW6" s="104" t="s">
        <v>28</v>
      </c>
      <c r="KX6" s="105" t="s">
        <v>29</v>
      </c>
      <c r="KY6" s="105" t="s">
        <v>29</v>
      </c>
      <c r="KZ6" s="105"/>
      <c r="LA6" s="109"/>
      <c r="LB6" s="163">
        <f>IFERROR((((COUNTIF('Elève (3ème5)'!KV6:LA6,"A"))*4)+((COUNTIF('Elève (3ème5)'!KV6:LA6,"B"))*3)+((COUNTIF('Elève (3ème5)'!KV6:LA6,"C"))*2)+((COUNTIF('Elève (3ème5)'!KV6:LA6,"D"))*1))/(COUNTA(KV6:LA6)),"")</f>
        <v>2.5</v>
      </c>
      <c r="LC6" s="164" t="str">
        <f t="shared" si="85"/>
        <v>C</v>
      </c>
      <c r="LD6" s="163">
        <f>IF(COUNT(KN6,KT6,LB6)=0,"",SUM(KN6,KT6,LB6)/COUNT(KN6,KT6,LB6))</f>
        <v>2.75</v>
      </c>
      <c r="LE6" s="187" t="str">
        <f t="shared" si="86"/>
        <v>C</v>
      </c>
      <c r="LF6" s="103"/>
      <c r="LG6" s="104"/>
      <c r="LH6" s="105"/>
      <c r="LI6" s="163" t="str">
        <f>IFERROR((((COUNTIF('Elève (3ème5)'!LF6:LH6,"A"))*4)+((COUNTIF('Elève (3ème5)'!LF6:LH6,"B"))*3)+((COUNTIF('Elève (3ème5)'!LF6:LH6,"C"))*2)+((COUNTIF('Elève (3ème5)'!LF6:LH6,"D"))*1))/(COUNTA(LF6:LH6)),"")</f>
        <v/>
      </c>
      <c r="LJ6" s="164" t="str">
        <f t="shared" si="87"/>
        <v/>
      </c>
      <c r="LK6" s="103" t="s">
        <v>28</v>
      </c>
      <c r="LL6" s="104"/>
      <c r="LM6" s="105"/>
      <c r="LN6" s="105"/>
      <c r="LO6" s="163">
        <f>IFERROR((((COUNTIF('Elève (3ème5)'!LK6:LN6,"A"))*4)+((COUNTIF('Elève (3ème5)'!LK6:LN6,"B"))*3)+((COUNTIF('Elève (3ème5)'!LK6:LN6,"C"))*2)+((COUNTIF('Elève (3ème5)'!LK6:LN6,"D"))*1))/(COUNTA(LK6:LN6)),"")</f>
        <v>3</v>
      </c>
      <c r="LP6" s="164" t="str">
        <f t="shared" si="88"/>
        <v>B</v>
      </c>
      <c r="LQ6" s="103" t="s">
        <v>30</v>
      </c>
      <c r="LR6" s="104" t="s">
        <v>29</v>
      </c>
      <c r="LS6" s="105" t="s">
        <v>29</v>
      </c>
      <c r="LT6" s="105" t="s">
        <v>28</v>
      </c>
      <c r="LU6" s="105"/>
      <c r="LV6" s="109"/>
      <c r="LW6" s="163">
        <f>IFERROR((((COUNTIF('Elève (3ème5)'!LQ6:LV6,"A"))*4)+((COUNTIF('Elève (3ème5)'!LQ6:LV6,"B"))*3)+((COUNTIF('Elève (3ème5)'!LQ6:LV6,"C"))*2)+((COUNTIF('Elève (3ème5)'!LQ6:LV6,"D"))*1))/(COUNTA(LQ6:LV6)),"")</f>
        <v>2</v>
      </c>
      <c r="LX6" s="164" t="str">
        <f t="shared" si="89"/>
        <v>C</v>
      </c>
      <c r="LY6" s="163">
        <f>IF(COUNT(LI6,LO6,LW6)=0,"",SUM(LI6,LO6,LW6)/COUNT(LI6,LO6,LW6))</f>
        <v>2.5</v>
      </c>
      <c r="LZ6" s="187" t="str">
        <f t="shared" si="90"/>
        <v>C</v>
      </c>
      <c r="MA6" s="103"/>
      <c r="MB6" s="104"/>
      <c r="MC6" s="105"/>
      <c r="MD6" s="163" t="str">
        <f>IFERROR((((COUNTIF('Elève (3ème5)'!MA6:MC6,"A"))*4)+((COUNTIF('Elève (3ème5)'!MA6:MC6,"B"))*3)+((COUNTIF('Elève (3ème5)'!MA6:MC6,"C"))*2)+((COUNTIF('Elève (3ème5)'!MA6:MC6,"D"))*1))/(COUNTA(MA6:MC6)),"")</f>
        <v/>
      </c>
      <c r="ME6" s="164" t="str">
        <f t="shared" si="91"/>
        <v/>
      </c>
      <c r="MF6" s="103" t="s">
        <v>29</v>
      </c>
      <c r="MG6" s="104"/>
      <c r="MH6" s="105"/>
      <c r="MI6" s="105"/>
      <c r="MJ6" s="163">
        <f>IFERROR((((COUNTIF('Elève (3ème5)'!MF6:MI6,"A"))*4)+((COUNTIF('Elève (3ème5)'!MF6:MI6,"B"))*3)+((COUNTIF('Elève (3ème5)'!MF6:MI6,"C"))*2)+((COUNTIF('Elève (3ème5)'!MF6:MI6,"D"))*1))/(COUNTA(MF6:MI6)),"")</f>
        <v>2</v>
      </c>
      <c r="MK6" s="164" t="str">
        <f t="shared" si="92"/>
        <v>C</v>
      </c>
      <c r="ML6" s="103" t="s">
        <v>29</v>
      </c>
      <c r="MM6" s="104" t="s">
        <v>28</v>
      </c>
      <c r="MN6" s="105" t="s">
        <v>28</v>
      </c>
      <c r="MO6" s="105" t="s">
        <v>29</v>
      </c>
      <c r="MP6" s="105"/>
      <c r="MQ6" s="109"/>
      <c r="MR6" s="163">
        <f>IFERROR((((COUNTIF('Elève (3ème5)'!ML6:MQ6,"A"))*4)+((COUNTIF('Elève (3ème5)'!ML6:MQ6,"B"))*3)+((COUNTIF('Elève (3ème5)'!ML6:MQ6,"C"))*2)+((COUNTIF('Elève (3ème5)'!ML6:MQ6,"D"))*1))/(COUNTA(ML6:MQ6)),"")</f>
        <v>2.5</v>
      </c>
      <c r="MS6" s="164" t="str">
        <f t="shared" si="93"/>
        <v>C</v>
      </c>
      <c r="MT6" s="163">
        <f>IF(COUNT(MD6,MJ6,MR6)=0,"",SUM(MD6,MJ6,MR6)/COUNT(MD6,MJ6,MR6))</f>
        <v>2.25</v>
      </c>
      <c r="MU6" s="187" t="str">
        <f t="shared" si="94"/>
        <v>C</v>
      </c>
      <c r="MV6" s="103"/>
      <c r="MW6" s="104"/>
      <c r="MX6" s="105"/>
      <c r="MY6" s="163" t="str">
        <f>IFERROR((((COUNTIF('Elève (3ème5)'!MV6:MX6,"A"))*4)+((COUNTIF('Elève (3ème5)'!MV6:MX6,"B"))*3)+((COUNTIF('Elève (3ème5)'!MV6:MX6,"C"))*2)+((COUNTIF('Elève (3ème5)'!MV6:MX6,"D"))*1))/(COUNTA(MV6:MX6)),"")</f>
        <v/>
      </c>
      <c r="MZ6" s="164" t="str">
        <f t="shared" si="95"/>
        <v/>
      </c>
      <c r="NA6" s="103" t="s">
        <v>28</v>
      </c>
      <c r="NB6" s="104"/>
      <c r="NC6" s="105"/>
      <c r="ND6" s="105"/>
      <c r="NE6" s="163">
        <f>IFERROR((((COUNTIF('Elève (3ème5)'!NA6:ND6,"A"))*4)+((COUNTIF('Elève (3ème5)'!NA6:ND6,"B"))*3)+((COUNTIF('Elève (3ème5)'!NA6:ND6,"C"))*2)+((COUNTIF('Elève (3ème5)'!NA6:ND6,"D"))*1))/(COUNTA(NA6:ND6)),"")</f>
        <v>3</v>
      </c>
      <c r="NF6" s="164" t="str">
        <f t="shared" si="96"/>
        <v>B</v>
      </c>
      <c r="NG6" s="103" t="s">
        <v>29</v>
      </c>
      <c r="NH6" s="104" t="s">
        <v>29</v>
      </c>
      <c r="NI6" s="105" t="s">
        <v>29</v>
      </c>
      <c r="NJ6" s="105" t="s">
        <v>29</v>
      </c>
      <c r="NK6" s="105"/>
      <c r="NL6" s="109"/>
      <c r="NM6" s="163">
        <f>IFERROR((((COUNTIF('Elève (3ème5)'!NG6:NL6,"A"))*4)+((COUNTIF('Elève (3ème5)'!NG6:NL6,"B"))*3)+((COUNTIF('Elève (3ème5)'!NG6:NL6,"C"))*2)+((COUNTIF('Elève (3ème5)'!NG6:NL6,"D"))*1))/(COUNTA(NG6:NL6)),"")</f>
        <v>2</v>
      </c>
      <c r="NN6" s="164" t="str">
        <f t="shared" si="97"/>
        <v>C</v>
      </c>
      <c r="NO6" s="163">
        <f>IF(COUNT(MY6,NE6,NM6)=0,"",SUM(MY6,NE6,NM6)/COUNT(MY6,NE6,NM6))</f>
        <v>2.5</v>
      </c>
      <c r="NP6" s="187" t="str">
        <f t="shared" si="98"/>
        <v>C</v>
      </c>
      <c r="NQ6" s="103"/>
      <c r="NR6" s="104"/>
      <c r="NS6" s="105"/>
      <c r="NT6" s="163" t="str">
        <f>IFERROR((((COUNTIF('Elève (3ème5)'!NQ6:NS6,"A"))*4)+((COUNTIF('Elève (3ème5)'!NQ6:NS6,"B"))*3)+((COUNTIF('Elève (3ème5)'!NQ6:NS6,"C"))*2)+((COUNTIF('Elève (3ème5)'!NQ6:NS6,"D"))*1))/(COUNTA(NQ6:NS6)),"")</f>
        <v/>
      </c>
      <c r="NU6" s="164" t="str">
        <f t="shared" si="99"/>
        <v/>
      </c>
      <c r="NV6" s="103" t="s">
        <v>27</v>
      </c>
      <c r="NW6" s="104"/>
      <c r="NX6" s="105"/>
      <c r="NY6" s="105"/>
      <c r="NZ6" s="163">
        <f>IFERROR((((COUNTIF('Elève (3ème5)'!NV6:NY6,"A"))*4)+((COUNTIF('Elève (3ème5)'!NV6:NY6,"B"))*3)+((COUNTIF('Elève (3ème5)'!NV6:NY6,"C"))*2)+((COUNTIF('Elève (3ème5)'!NV6:NY6,"D"))*1))/(COUNTA(NV6:NY6)),"")</f>
        <v>4</v>
      </c>
      <c r="OA6" s="164" t="str">
        <f t="shared" si="100"/>
        <v>A</v>
      </c>
      <c r="OB6" s="103" t="s">
        <v>27</v>
      </c>
      <c r="OC6" s="104" t="s">
        <v>28</v>
      </c>
      <c r="OD6" s="105" t="s">
        <v>28</v>
      </c>
      <c r="OE6" s="105" t="s">
        <v>28</v>
      </c>
      <c r="OF6" s="105"/>
      <c r="OG6" s="109"/>
      <c r="OH6" s="163">
        <f>IFERROR((((COUNTIF('Elève (3ème5)'!OB6:OG6,"A"))*4)+((COUNTIF('Elève (3ème5)'!OB6:OG6,"B"))*3)+((COUNTIF('Elève (3ème5)'!OB6:OG6,"C"))*2)+((COUNTIF('Elève (3ème5)'!OB6:OG6,"D"))*1))/(COUNTA(OB6:OG6)),"")</f>
        <v>3.25</v>
      </c>
      <c r="OI6" s="164" t="str">
        <f t="shared" si="101"/>
        <v>B</v>
      </c>
      <c r="OJ6" s="163">
        <f>IF(COUNT(NT6,NZ6,OH6)=0,"",SUM(NT6,NZ6,OH6)/COUNT(NT6,NZ6,OH6))</f>
        <v>3.625</v>
      </c>
      <c r="OK6" s="187" t="str">
        <f t="shared" si="102"/>
        <v>B</v>
      </c>
      <c r="OL6" s="103"/>
      <c r="OM6" s="104"/>
      <c r="ON6" s="105"/>
      <c r="OO6" s="163" t="str">
        <f>IFERROR((((COUNTIF('Elève (3ème5)'!OL6:ON6,"A"))*4)+((COUNTIF('Elève (3ème5)'!OL6:ON6,"B"))*3)+((COUNTIF('Elève (3ème5)'!OL6:ON6,"C"))*2)+((COUNTIF('Elève (3ème5)'!OL6:ON6,"D"))*1))/(COUNTA(OL6:ON6)),"")</f>
        <v/>
      </c>
      <c r="OP6" s="164" t="str">
        <f t="shared" si="103"/>
        <v/>
      </c>
      <c r="OQ6" s="103" t="s">
        <v>28</v>
      </c>
      <c r="OR6" s="104"/>
      <c r="OS6" s="105"/>
      <c r="OT6" s="105"/>
      <c r="OU6" s="163">
        <f>IFERROR((((COUNTIF('Elève (3ème5)'!OQ6:OT6,"A"))*4)+((COUNTIF('Elève (3ème5)'!OQ6:OT6,"B"))*3)+((COUNTIF('Elève (3ème5)'!OQ6:OT6,"C"))*2)+((COUNTIF('Elève (3ème5)'!OQ6:OT6,"D"))*1))/(COUNTA(OQ6:OT6)),"")</f>
        <v>3</v>
      </c>
      <c r="OV6" s="164" t="str">
        <f t="shared" si="104"/>
        <v>B</v>
      </c>
      <c r="OW6" s="103" t="s">
        <v>28</v>
      </c>
      <c r="OX6" s="104" t="s">
        <v>28</v>
      </c>
      <c r="OY6" s="105"/>
      <c r="OZ6" s="105"/>
      <c r="PA6" s="105"/>
      <c r="PB6" s="109"/>
      <c r="PC6" s="163">
        <f>IFERROR((((COUNTIF('Elève (3ème5)'!OW6:PB6,"A"))*4)+((COUNTIF('Elève (3ème5)'!OW6:PB6,"B"))*3)+((COUNTIF('Elève (3ème5)'!OW6:PB6,"C"))*2)+((COUNTIF('Elève (3ème5)'!OW6:PB6,"D"))*1))/(COUNTA(OW6:PB6)),"")</f>
        <v>3</v>
      </c>
      <c r="PD6" s="164" t="str">
        <f t="shared" si="105"/>
        <v>B</v>
      </c>
      <c r="PE6" s="163">
        <f>IF(COUNT(OO6,OU6,PC6)=0,"",SUM(OO6,OU6,PC6)/COUNT(OO6,OU6,PC6))</f>
        <v>3</v>
      </c>
      <c r="PF6" s="187" t="str">
        <f t="shared" si="106"/>
        <v>B</v>
      </c>
      <c r="PG6" s="103"/>
      <c r="PH6" s="104"/>
      <c r="PI6" s="105"/>
      <c r="PJ6" s="163" t="str">
        <f>IFERROR((((COUNTIF('Elève (3ème5)'!PG6:PI6,"A"))*4)+((COUNTIF('Elève (3ème5)'!PG6:PI6,"B"))*3)+((COUNTIF('Elève (3ème5)'!PG6:PI6,"C"))*2)+((COUNTIF('Elève (3ème5)'!PG6:PI6,"D"))*1))/(COUNTA(PG6:PI6)),"")</f>
        <v/>
      </c>
      <c r="PK6" s="164" t="str">
        <f t="shared" si="107"/>
        <v/>
      </c>
      <c r="PL6" s="103" t="s">
        <v>27</v>
      </c>
      <c r="PM6" s="104"/>
      <c r="PN6" s="105"/>
      <c r="PO6" s="105"/>
      <c r="PP6" s="163">
        <f>IFERROR((((COUNTIF('Elève (3ème5)'!PL6:PO6,"A"))*4)+((COUNTIF('Elève (3ème5)'!PL6:PO6,"B"))*3)+((COUNTIF('Elève (3ème5)'!PL6:PO6,"C"))*2)+((COUNTIF('Elève (3ème5)'!PL6:PO6,"D"))*1))/(COUNTA(PL6:PO6)),"")</f>
        <v>4</v>
      </c>
      <c r="PQ6" s="164" t="str">
        <f t="shared" si="108"/>
        <v>A</v>
      </c>
      <c r="PR6" s="103" t="s">
        <v>28</v>
      </c>
      <c r="PS6" s="104" t="s">
        <v>29</v>
      </c>
      <c r="PT6" s="105" t="s">
        <v>29</v>
      </c>
      <c r="PU6" s="105" t="s">
        <v>27</v>
      </c>
      <c r="PV6" s="105"/>
      <c r="PW6" s="109"/>
      <c r="PX6" s="163">
        <f>IFERROR((((COUNTIF('Elève (3ème5)'!PR6:PW6,"A"))*4)+((COUNTIF('Elève (3ème5)'!PR6:PW6,"B"))*3)+((COUNTIF('Elève (3ème5)'!PR6:PW6,"C"))*2)+((COUNTIF('Elève (3ème5)'!PR6:PW6,"D"))*1))/(COUNTA(PR6:PW6)),"")</f>
        <v>2.75</v>
      </c>
      <c r="PY6" s="164" t="str">
        <f t="shared" si="109"/>
        <v>C</v>
      </c>
      <c r="PZ6" s="163">
        <f>IF(COUNT(PJ6,PP6,PX6)=0,"",SUM(PJ6,PP6,PX6)/COUNT(PJ6,PP6,PX6))</f>
        <v>3.375</v>
      </c>
      <c r="QA6" s="187" t="str">
        <f t="shared" si="110"/>
        <v>B</v>
      </c>
      <c r="QB6" s="103"/>
      <c r="QC6" s="104"/>
      <c r="QD6" s="105"/>
      <c r="QE6" s="163" t="str">
        <f>IFERROR((((COUNTIF('Elève (3ème5)'!QB6:QD6,"A"))*4)+((COUNTIF('Elève (3ème5)'!QB6:QD6,"B"))*3)+((COUNTIF('Elève (3ème5)'!QB6:QD6,"C"))*2)+((COUNTIF('Elève (3ème5)'!QB6:QD6,"D"))*1))/(COUNTA(QB6:QD6)),"")</f>
        <v/>
      </c>
      <c r="QF6" s="164" t="str">
        <f t="shared" si="111"/>
        <v/>
      </c>
      <c r="QG6" s="103"/>
      <c r="QH6" s="104"/>
      <c r="QI6" s="105"/>
      <c r="QJ6" s="105"/>
      <c r="QK6" s="163" t="str">
        <f>IFERROR((((COUNTIF('Elève (3ème5)'!QG6:QJ6,"A"))*4)+((COUNTIF('Elève (3ème5)'!QG6:QJ6,"B"))*3)+((COUNTIF('Elève (3ème5)'!QG6:QJ6,"C"))*2)+((COUNTIF('Elève (3ème5)'!QG6:QJ6,"D"))*1))/(COUNTA(QG6:QJ6)),"")</f>
        <v/>
      </c>
      <c r="QL6" s="164" t="str">
        <f t="shared" si="112"/>
        <v/>
      </c>
      <c r="QM6" s="103" t="s">
        <v>27</v>
      </c>
      <c r="QN6" s="104" t="s">
        <v>27</v>
      </c>
      <c r="QO6" s="105"/>
      <c r="QP6" s="105" t="s">
        <v>29</v>
      </c>
      <c r="QQ6" s="105"/>
      <c r="QR6" s="109"/>
      <c r="QS6" s="163">
        <f>IFERROR((((COUNTIF('Elève (3ème5)'!QM6:QR6,"A"))*4)+((COUNTIF('Elève (3ème5)'!QM6:QR6,"B"))*3)+((COUNTIF('Elève (3ème5)'!QM6:QR6,"C"))*2)+((COUNTIF('Elève (3ème5)'!QM6:QR6,"D"))*1))/(COUNTA(QM6:QR6)),"")</f>
        <v>3.3333333333333335</v>
      </c>
      <c r="QT6" s="164" t="str">
        <f t="shared" si="113"/>
        <v>B</v>
      </c>
      <c r="QU6" s="163">
        <f>IF(COUNT(QE6,QK6,QS6)=0,"",SUM(QE6,QK6,QS6)/COUNT(QE6,QK6,QS6))</f>
        <v>3.3333333333333335</v>
      </c>
      <c r="QV6" s="187" t="str">
        <f t="shared" si="114"/>
        <v>B</v>
      </c>
      <c r="QW6" s="103"/>
      <c r="QX6" s="104"/>
      <c r="QY6" s="105"/>
      <c r="QZ6" s="163" t="str">
        <f>IFERROR((((COUNTIF('Elève (3ème5)'!QW6:QY6,"A"))*4)+((COUNTIF('Elève (3ème5)'!QW6:QY6,"B"))*3)+((COUNTIF('Elève (3ème5)'!QW6:QY6,"C"))*2)+((COUNTIF('Elève (3ème5)'!QW6:QY6,"D"))*1))/(COUNTA(QW6:QY6)),"")</f>
        <v/>
      </c>
      <c r="RA6" s="164" t="str">
        <f t="shared" si="115"/>
        <v/>
      </c>
      <c r="RB6" s="103" t="s">
        <v>27</v>
      </c>
      <c r="RC6" s="104"/>
      <c r="RD6" s="105"/>
      <c r="RE6" s="105"/>
      <c r="RF6" s="163">
        <f>IFERROR((((COUNTIF('Elève (3ème5)'!RB6:RE6,"A"))*4)+((COUNTIF('Elève (3ème5)'!RB6:RE6,"B"))*3)+((COUNTIF('Elève (3ème5)'!RB6:RE6,"C"))*2)+((COUNTIF('Elève (3ème5)'!RB6:RE6,"D"))*1))/(COUNTA(RB6:RE6)),"")</f>
        <v>4</v>
      </c>
      <c r="RG6" s="164" t="str">
        <f t="shared" si="116"/>
        <v>A</v>
      </c>
      <c r="RH6" s="103" t="s">
        <v>29</v>
      </c>
      <c r="RI6" s="104" t="s">
        <v>27</v>
      </c>
      <c r="RJ6" s="105" t="s">
        <v>29</v>
      </c>
      <c r="RK6" s="105" t="s">
        <v>28</v>
      </c>
      <c r="RL6" s="105"/>
      <c r="RM6" s="109"/>
      <c r="RN6" s="163">
        <f>IFERROR((((COUNTIF('Elève (3ème5)'!RH6:RM6,"A"))*4)+((COUNTIF('Elève (3ème5)'!RH6:RM6,"B"))*3)+((COUNTIF('Elève (3ème5)'!RH6:RM6,"C"))*2)+((COUNTIF('Elève (3ème5)'!RH6:RM6,"D"))*1))/(COUNTA(RH6:RM6)),"")</f>
        <v>2.75</v>
      </c>
      <c r="RO6" s="164" t="str">
        <f t="shared" si="117"/>
        <v>C</v>
      </c>
      <c r="RP6" s="163">
        <f>IF(COUNT(QZ6,RF6,RN6)=0,"",SUM(QZ6,RF6,RN6)/COUNT(QZ6,RF6,RN6))</f>
        <v>3.375</v>
      </c>
      <c r="RQ6" s="187" t="str">
        <f t="shared" si="118"/>
        <v>B</v>
      </c>
      <c r="RR6" s="103"/>
      <c r="RS6" s="104"/>
      <c r="RT6" s="105"/>
      <c r="RU6" s="163" t="str">
        <f>IFERROR((((COUNTIF('Elève (3ème5)'!RR6:RT6,"A"))*4)+((COUNTIF('Elève (3ème5)'!RR6:RT6,"B"))*3)+((COUNTIF('Elève (3ème5)'!RR6:RT6,"C"))*2)+((COUNTIF('Elève (3ème5)'!RR6:RT6,"D"))*1))/(COUNTA(RR6:RT6)),"")</f>
        <v/>
      </c>
      <c r="RV6" s="164" t="str">
        <f t="shared" si="119"/>
        <v/>
      </c>
      <c r="RW6" s="103" t="s">
        <v>29</v>
      </c>
      <c r="RX6" s="104"/>
      <c r="RY6" s="105"/>
      <c r="RZ6" s="105"/>
      <c r="SA6" s="163">
        <f>IFERROR((((COUNTIF('Elève (3ème5)'!RW6:RZ6,"A"))*4)+((COUNTIF('Elève (3ème5)'!RW6:RZ6,"B"))*3)+((COUNTIF('Elève (3ème5)'!RW6:RZ6,"C"))*2)+((COUNTIF('Elève (3ème5)'!RW6:RZ6,"D"))*1))/(COUNTA(RW6:RZ6)),"")</f>
        <v>2</v>
      </c>
      <c r="SB6" s="164" t="str">
        <f t="shared" si="120"/>
        <v>C</v>
      </c>
      <c r="SC6" s="103" t="s">
        <v>29</v>
      </c>
      <c r="SD6" s="104" t="s">
        <v>29</v>
      </c>
      <c r="SE6" s="105" t="s">
        <v>28</v>
      </c>
      <c r="SF6" s="105" t="s">
        <v>27</v>
      </c>
      <c r="SG6" s="105"/>
      <c r="SH6" s="109"/>
      <c r="SI6" s="163">
        <f>IFERROR((((COUNTIF('Elève (3ème5)'!SC6:SH6,"A"))*4)+((COUNTIF('Elève (3ème5)'!SC6:SH6,"B"))*3)+((COUNTIF('Elève (3ème5)'!SC6:SH6,"C"))*2)+((COUNTIF('Elève (3ème5)'!SC6:SH6,"D"))*1))/(COUNTA(SC6:SH6)),"")</f>
        <v>2.75</v>
      </c>
      <c r="SJ6" s="164" t="str">
        <f t="shared" si="121"/>
        <v>C</v>
      </c>
      <c r="SK6" s="163">
        <f>IF(COUNT(RU6,SA6,SI6)=0,"",SUM(RU6,SA6,SI6)/COUNT(RU6,SA6,SI6))</f>
        <v>2.375</v>
      </c>
      <c r="SL6" s="187" t="str">
        <f t="shared" si="122"/>
        <v>C</v>
      </c>
      <c r="SM6" s="103"/>
      <c r="SN6" s="104"/>
      <c r="SO6" s="105"/>
      <c r="SP6" s="163" t="str">
        <f>IFERROR((((COUNTIF('Elève (3ème5)'!SM6:SO6,"A"))*4)+((COUNTIF('Elève (3ème5)'!SM6:SO6,"B"))*3)+((COUNTIF('Elève (3ème5)'!SM6:SO6,"C"))*2)+((COUNTIF('Elève (3ème5)'!SM6:SO6,"D"))*1))/(COUNTA(SM6:SO6)),"")</f>
        <v/>
      </c>
      <c r="SQ6" s="164" t="str">
        <f t="shared" si="123"/>
        <v/>
      </c>
      <c r="SR6" s="103" t="s">
        <v>28</v>
      </c>
      <c r="SS6" s="104"/>
      <c r="ST6" s="105"/>
      <c r="SU6" s="105"/>
      <c r="SV6" s="163">
        <f>IFERROR((((COUNTIF('Elève (3ème5)'!SR6:SU6,"A"))*4)+((COUNTIF('Elève (3ème5)'!SR6:SU6,"B"))*3)+((COUNTIF('Elève (3ème5)'!SR6:SU6,"C"))*2)+((COUNTIF('Elève (3ème5)'!SR6:SU6,"D"))*1))/(COUNTA(SR6:SU6)),"")</f>
        <v>3</v>
      </c>
      <c r="SW6" s="164" t="str">
        <f t="shared" si="124"/>
        <v>B</v>
      </c>
      <c r="SX6" s="103" t="s">
        <v>27</v>
      </c>
      <c r="SY6" s="104" t="s">
        <v>28</v>
      </c>
      <c r="SZ6" s="105" t="s">
        <v>29</v>
      </c>
      <c r="TA6" s="105" t="s">
        <v>27</v>
      </c>
      <c r="TB6" s="105"/>
      <c r="TC6" s="109"/>
      <c r="TD6" s="163">
        <f>IFERROR((((COUNTIF('Elève (3ème5)'!SX6:TC6,"A"))*4)+((COUNTIF('Elève (3ème5)'!SX6:TC6,"B"))*3)+((COUNTIF('Elève (3ème5)'!SX6:TC6,"C"))*2)+((COUNTIF('Elève (3ème5)'!SX6:TC6,"D"))*1))/(COUNTA(SX6:TC6)),"")</f>
        <v>3.25</v>
      </c>
      <c r="TE6" s="164" t="str">
        <f t="shared" si="125"/>
        <v>B</v>
      </c>
      <c r="TF6" s="163">
        <f>IF(COUNT(SP6,SV6,TD6)=0,"",SUM(SP6,SV6,TD6)/COUNT(SP6,SV6,TD6))</f>
        <v>3.125</v>
      </c>
      <c r="TG6" s="187" t="str">
        <f t="shared" si="126"/>
        <v>B</v>
      </c>
      <c r="TH6" s="103"/>
      <c r="TI6" s="104"/>
      <c r="TJ6" s="105"/>
      <c r="TK6" s="163" t="str">
        <f>IFERROR((((COUNTIF('Elève (3ème5)'!TH6:TJ6,"A"))*4)+((COUNTIF('Elève (3ème5)'!TH6:TJ6,"B"))*3)+((COUNTIF('Elève (3ème5)'!TH6:TJ6,"C"))*2)+((COUNTIF('Elève (3ème5)'!TH6:TJ6,"D"))*1))/(COUNTA(TH6:TJ6)),"")</f>
        <v/>
      </c>
      <c r="TL6" s="164" t="str">
        <f t="shared" si="127"/>
        <v/>
      </c>
      <c r="TM6" s="103" t="s">
        <v>29</v>
      </c>
      <c r="TN6" s="104"/>
      <c r="TO6" s="105"/>
      <c r="TP6" s="105"/>
      <c r="TQ6" s="163">
        <f>IFERROR((((COUNTIF('Elève (3ème5)'!TM6:TP6,"A"))*4)+((COUNTIF('Elève (3ème5)'!TM6:TP6,"B"))*3)+((COUNTIF('Elève (3ème5)'!TM6:TP6,"C"))*2)+((COUNTIF('Elève (3ème5)'!TM6:TP6,"D"))*1))/(COUNTA(TM6:TP6)),"")</f>
        <v>2</v>
      </c>
      <c r="TR6" s="164" t="str">
        <f t="shared" si="128"/>
        <v>C</v>
      </c>
      <c r="TS6" s="103" t="s">
        <v>29</v>
      </c>
      <c r="TT6" s="104" t="s">
        <v>29</v>
      </c>
      <c r="TU6" s="105" t="s">
        <v>28</v>
      </c>
      <c r="TV6" s="105" t="s">
        <v>27</v>
      </c>
      <c r="TW6" s="105"/>
      <c r="TX6" s="109"/>
      <c r="TY6" s="163">
        <f>IFERROR((((COUNTIF('Elève (3ème5)'!TS6:TX6,"A"))*4)+((COUNTIF('Elève (3ème5)'!TS6:TX6,"B"))*3)+((COUNTIF('Elève (3ème5)'!TS6:TX6,"C"))*2)+((COUNTIF('Elève (3ème5)'!TS6:TX6,"D"))*1))/(COUNTA(TS6:TX6)),"")</f>
        <v>2.75</v>
      </c>
      <c r="TZ6" s="164" t="str">
        <f t="shared" si="129"/>
        <v>C</v>
      </c>
      <c r="UA6" s="163">
        <f>IF(COUNT(TK6,TQ6,TY6)=0,"",SUM(TK6,TQ6,TY6)/COUNT(TK6,TQ6,TY6))</f>
        <v>2.375</v>
      </c>
      <c r="UB6" s="187" t="str">
        <f t="shared" si="130"/>
        <v>C</v>
      </c>
      <c r="UC6" s="103"/>
      <c r="UD6" s="104"/>
      <c r="UE6" s="105"/>
      <c r="UF6" s="163" t="str">
        <f>IFERROR((((COUNTIF('Elève (3ème5)'!UC6:UE6,"A"))*4)+((COUNTIF('Elève (3ème5)'!UC6:UE6,"B"))*3)+((COUNTIF('Elève (3ème5)'!UC6:UE6,"C"))*2)+((COUNTIF('Elève (3ème5)'!UC6:UE6,"D"))*1))/(COUNTA(UC6:UE6)),"")</f>
        <v/>
      </c>
      <c r="UG6" s="164" t="str">
        <f t="shared" si="131"/>
        <v/>
      </c>
      <c r="UH6" s="103" t="s">
        <v>29</v>
      </c>
      <c r="UI6" s="104"/>
      <c r="UJ6" s="105"/>
      <c r="UK6" s="105"/>
      <c r="UL6" s="163">
        <f>IFERROR((((COUNTIF('Elève (3ème5)'!UH6:UK6,"A"))*4)+((COUNTIF('Elève (3ème5)'!UH6:UK6,"B"))*3)+((COUNTIF('Elève (3ème5)'!UH6:UK6,"C"))*2)+((COUNTIF('Elève (3ème5)'!UH6:UK6,"D"))*1))/(COUNTA(UH6:UK6)),"")</f>
        <v>2</v>
      </c>
      <c r="UM6" s="164" t="str">
        <f t="shared" si="132"/>
        <v>C</v>
      </c>
      <c r="UN6" s="103" t="s">
        <v>29</v>
      </c>
      <c r="UO6" s="104" t="s">
        <v>28</v>
      </c>
      <c r="UP6" s="105" t="s">
        <v>28</v>
      </c>
      <c r="UQ6" s="105" t="s">
        <v>29</v>
      </c>
      <c r="UR6" s="105"/>
      <c r="US6" s="109"/>
      <c r="UT6" s="163">
        <f>IFERROR((((COUNTIF('Elève (3ème5)'!UN6:US6,"A"))*4)+((COUNTIF('Elève (3ème5)'!UN6:US6,"B"))*3)+((COUNTIF('Elève (3ème5)'!UN6:US6,"C"))*2)+((COUNTIF('Elève (3ème5)'!UN6:US6,"D"))*1))/(COUNTA(UN6:US6)),"")</f>
        <v>2.5</v>
      </c>
      <c r="UU6" s="164" t="str">
        <f t="shared" si="133"/>
        <v>C</v>
      </c>
      <c r="UV6" s="163">
        <f>IF(COUNT(UF6,UL6,UT6)=0,"",SUM(UF6,UL6,UT6)/COUNT(UF6,UL6,UT6))</f>
        <v>2.25</v>
      </c>
      <c r="UW6" s="187" t="str">
        <f t="shared" si="134"/>
        <v>C</v>
      </c>
      <c r="UX6" s="103"/>
      <c r="UY6" s="104"/>
      <c r="UZ6" s="105"/>
      <c r="VA6" s="163" t="str">
        <f>IFERROR((((COUNTIF('Elève (3ème5)'!UX6:UZ6,"A"))*4)+((COUNTIF('Elève (3ème5)'!UX6:UZ6,"B"))*3)+((COUNTIF('Elève (3ème5)'!UX6:UZ6,"C"))*2)+((COUNTIF('Elève (3ème5)'!UX6:UZ6,"D"))*1))/(COUNTA(UX6:UZ6)),"")</f>
        <v/>
      </c>
      <c r="VB6" s="164" t="str">
        <f t="shared" si="135"/>
        <v/>
      </c>
      <c r="VC6" s="103" t="s">
        <v>27</v>
      </c>
      <c r="VD6" s="104"/>
      <c r="VE6" s="105"/>
      <c r="VF6" s="105"/>
      <c r="VG6" s="163">
        <f>IFERROR((((COUNTIF('Elève (3ème5)'!VC6:VF6,"A"))*4)+((COUNTIF('Elève (3ème5)'!VC6:VF6,"B"))*3)+((COUNTIF('Elève (3ème5)'!VC6:VF6,"C"))*2)+((COUNTIF('Elève (3ème5)'!VC6:VF6,"D"))*1))/(COUNTA(VC6:VF6)),"")</f>
        <v>4</v>
      </c>
      <c r="VH6" s="164" t="str">
        <f t="shared" si="136"/>
        <v>A</v>
      </c>
      <c r="VI6" s="103" t="s">
        <v>28</v>
      </c>
      <c r="VJ6" s="104" t="s">
        <v>27</v>
      </c>
      <c r="VK6" s="105" t="s">
        <v>28</v>
      </c>
      <c r="VL6" s="105" t="s">
        <v>28</v>
      </c>
      <c r="VM6" s="105"/>
      <c r="VN6" s="109"/>
      <c r="VO6" s="163">
        <f>IFERROR((((COUNTIF('Elève (3ème5)'!VI6:VN6,"A"))*4)+((COUNTIF('Elève (3ème5)'!VI6:VN6,"B"))*3)+((COUNTIF('Elève (3ème5)'!VI6:VN6,"C"))*2)+((COUNTIF('Elève (3ème5)'!VI6:VN6,"D"))*1))/(COUNTA(VI6:VN6)),"")</f>
        <v>3.25</v>
      </c>
      <c r="VP6" s="164" t="str">
        <f t="shared" si="137"/>
        <v>B</v>
      </c>
      <c r="VQ6" s="163">
        <f>IF(COUNT(VA6,VG6,VO6)=0,"",SUM(VA6,VG6,VO6)/COUNT(VA6,VG6,VO6))</f>
        <v>3.625</v>
      </c>
      <c r="VR6" s="187" t="str">
        <f t="shared" si="138"/>
        <v>B</v>
      </c>
      <c r="VS6" s="103"/>
      <c r="VT6" s="104"/>
      <c r="VU6" s="105"/>
      <c r="VV6" s="106" t="str">
        <f>IFERROR((((COUNTIF('Elève (3ème5)'!VS6:VU6,"A"))*4)+((COUNTIF('Elève (3ème5)'!VS6:VU6,"B"))*3)+((COUNTIF('Elève (3ème5)'!VS6:VU6,"C"))*2)+((COUNTIF('Elève (3ème5)'!VS6:VU6,"D"))*1))/(COUNTA(VS6:VU6)),"")</f>
        <v/>
      </c>
      <c r="VW6" s="107" t="str">
        <f t="shared" si="139"/>
        <v/>
      </c>
      <c r="VX6" s="103"/>
      <c r="VY6" s="104"/>
      <c r="VZ6" s="105"/>
      <c r="WA6" s="106" t="str">
        <f>IFERROR((((COUNTIF('Elève (3ème5)'!VX6:VZ6,"A"))*4)+((COUNTIF('Elève (3ème5)'!VX6:VZ6,"B"))*3)+((COUNTIF('Elève (3ème5)'!VX6:VZ6,"C"))*2)+((COUNTIF('Elève (3ème5)'!VX6:VZ6,"D"))*1))/(COUNTA(VX6:VZ6)),"")</f>
        <v/>
      </c>
      <c r="WB6" s="107" t="str">
        <f t="shared" si="140"/>
        <v/>
      </c>
      <c r="WC6" s="103"/>
      <c r="WD6" s="104"/>
      <c r="WE6" s="109"/>
      <c r="WF6" s="106" t="str">
        <f>IFERROR((((COUNTIF('Elève (3ème5)'!WC6:WE6,"A"))*4)+((COUNTIF('Elève (3ème5)'!WC6:WE6,"B"))*3)+((COUNTIF('Elève (3ème5)'!WC6:WE6,"C"))*2)+((COUNTIF('Elève (3ème5)'!WC6:WE6,"D"))*1))/(COUNTA(WC6:WE6)),"")</f>
        <v/>
      </c>
      <c r="WG6" s="107" t="str">
        <f t="shared" si="141"/>
        <v/>
      </c>
      <c r="WH6" s="106" t="str">
        <f>IF(COUNT(VV6,WA6,WF6)=0,"",SUM(VV6,WA6,WF6)/COUNT(VV6,WA6,WF6))</f>
        <v/>
      </c>
      <c r="WI6" s="108" t="str">
        <f t="shared" si="142"/>
        <v/>
      </c>
      <c r="WJ6" s="103"/>
      <c r="WK6" s="104"/>
      <c r="WL6" s="105"/>
      <c r="WM6" s="106" t="str">
        <f>IFERROR((((COUNTIF('Elève (3ème5)'!WJ6:WL6,"A"))*4)+((COUNTIF('Elève (3ème5)'!WJ6:WL6,"B"))*3)+((COUNTIF('Elève (3ème5)'!WJ6:WL6,"C"))*2)+((COUNTIF('Elève (3ème5)'!WJ6:WL6,"D"))*1))/(COUNTA(WJ6:WL6)),"")</f>
        <v/>
      </c>
      <c r="WN6" s="107" t="str">
        <f t="shared" si="143"/>
        <v/>
      </c>
      <c r="WO6" s="103"/>
      <c r="WP6" s="104"/>
      <c r="WQ6" s="105"/>
      <c r="WR6" s="106" t="str">
        <f>IFERROR((((COUNTIF('Elève (3ème5)'!WO6:WQ6,"A"))*4)+((COUNTIF('Elève (3ème5)'!WO6:WQ6,"B"))*3)+((COUNTIF('Elève (3ème5)'!WO6:WQ6,"C"))*2)+((COUNTIF('Elève (3ème5)'!WO6:WQ6,"D"))*1))/(COUNTA(WO6:WQ6)),"")</f>
        <v/>
      </c>
      <c r="WS6" s="107" t="str">
        <f t="shared" si="144"/>
        <v/>
      </c>
      <c r="WT6" s="103"/>
      <c r="WU6" s="104"/>
      <c r="WV6" s="109"/>
      <c r="WW6" s="106" t="str">
        <f>IFERROR((((COUNTIF('Elève (3ème5)'!WT6:WV6,"A"))*4)+((COUNTIF('Elève (3ème5)'!WT6:WV6,"B"))*3)+((COUNTIF('Elève (3ème5)'!WT6:WV6,"C"))*2)+((COUNTIF('Elève (3ème5)'!WT6:WV6,"D"))*1))/(COUNTA(WT6:WV6)),"")</f>
        <v/>
      </c>
      <c r="WX6" s="107" t="str">
        <f t="shared" si="145"/>
        <v/>
      </c>
      <c r="WY6" s="106" t="str">
        <f>IF(COUNT(WM6,WR6,WW6)=0,"",SUM(WM6,WR6,WW6)/COUNT(WM6,WR6,WW6))</f>
        <v/>
      </c>
      <c r="WZ6" s="108" t="str">
        <f t="shared" si="146"/>
        <v/>
      </c>
    </row>
    <row r="7" spans="1:624" ht="18" customHeight="1" x14ac:dyDescent="0.55000000000000004">
      <c r="A7" s="221" t="s">
        <v>46</v>
      </c>
      <c r="B7" s="222"/>
      <c r="C7" s="103"/>
      <c r="D7" s="104"/>
      <c r="E7" s="105"/>
      <c r="F7" s="163" t="str">
        <f>IFERROR((((COUNTIF('Elève (3ème5)'!C7:E7,"A"))*4)+((COUNTIF('Elève (3ème5)'!C7:E7,"B"))*3)+((COUNTIF('Elève (3ème5)'!C7:E7,"C"))*2)+((COUNTIF('Elève (3ème5)'!C7:E7,"D"))*1))/(COUNTA(C7:E7)),"")</f>
        <v/>
      </c>
      <c r="G7" s="164" t="str">
        <f t="shared" si="27"/>
        <v/>
      </c>
      <c r="H7" s="103"/>
      <c r="I7" s="104"/>
      <c r="J7" s="105"/>
      <c r="K7" s="105"/>
      <c r="L7" s="163" t="str">
        <f>IFERROR((((COUNTIF('Elève (3ème5)'!H7:K7,"A"))*4)+((COUNTIF('Elève (3ème5)'!H7:K7,"B"))*3)+((COUNTIF('Elève (3ème5)'!H7:K7,"C"))*2)+((COUNTIF('Elève (3ème5)'!H7:K7,"D"))*1))/(COUNTA(H7:K7)),"")</f>
        <v/>
      </c>
      <c r="M7" s="164" t="str">
        <f t="shared" si="28"/>
        <v/>
      </c>
      <c r="N7" s="103"/>
      <c r="O7" s="104"/>
      <c r="P7" s="105"/>
      <c r="Q7" s="105"/>
      <c r="R7" s="105"/>
      <c r="S7" s="105"/>
      <c r="T7" s="163" t="str">
        <f>IFERROR((((COUNTIF('Elève (3ème5)'!N7:S7,"A"))*4)+((COUNTIF('Elève (3ème5)'!N7:S7,"B"))*3)+((COUNTIF('Elève (3ème5)'!N7:S7,"C"))*2)+((COUNTIF('Elève (3ème5)'!N7:S7,"D"))*1))/(COUNTA(N7:S7)),"")</f>
        <v/>
      </c>
      <c r="U7" s="164" t="str">
        <f t="shared" si="29"/>
        <v/>
      </c>
      <c r="V7" s="163" t="str">
        <f>IF(COUNT(F7,L7,T7)=0,"",SUM(F7,L7,T7)/COUNT(F7,L7,T7))</f>
        <v/>
      </c>
      <c r="W7" s="187" t="str">
        <f t="shared" si="30"/>
        <v/>
      </c>
      <c r="X7" s="103"/>
      <c r="Y7" s="104"/>
      <c r="Z7" s="105"/>
      <c r="AA7" s="163" t="str">
        <f>IFERROR((((COUNTIF('Elève (3ème5)'!X7:Z7,"A"))*4)+((COUNTIF('Elève (3ème5)'!X7:Z7,"B"))*3)+((COUNTIF('Elève (3ème5)'!X7:Z7,"C"))*2)+((COUNTIF('Elève (3ème5)'!X7:Z7,"D"))*1))/(COUNTA(X7:Z7)),"")</f>
        <v/>
      </c>
      <c r="AB7" s="164" t="str">
        <f t="shared" si="31"/>
        <v/>
      </c>
      <c r="AC7" s="103"/>
      <c r="AD7" s="104"/>
      <c r="AE7" s="105"/>
      <c r="AF7" s="105"/>
      <c r="AG7" s="163" t="str">
        <f>IFERROR((((COUNTIF('Elève (3ème5)'!AC7:AF7,"A"))*4)+((COUNTIF('Elève (3ème5)'!AC7:AF7,"B"))*3)+((COUNTIF('Elève (3ème5)'!AC7:AF7,"C"))*2)+((COUNTIF('Elève (3ème5)'!AC7:AF7,"D"))*1))/(COUNTA(AC7:AF7)),"")</f>
        <v/>
      </c>
      <c r="AH7" s="164" t="str">
        <f t="shared" si="32"/>
        <v/>
      </c>
      <c r="AI7" s="103"/>
      <c r="AJ7" s="104"/>
      <c r="AK7" s="105"/>
      <c r="AL7" s="105"/>
      <c r="AM7" s="105"/>
      <c r="AN7" s="109"/>
      <c r="AO7" s="163" t="str">
        <f>IFERROR((((COUNTIF('Elève (3ème5)'!AI7:AN7,"A"))*4)+((COUNTIF('Elève (3ème5)'!AI7:AN7,"B"))*3)+((COUNTIF('Elève (3ème5)'!AI7:AN7,"C"))*2)+((COUNTIF('Elève (3ème5)'!AI7:AN7,"D"))*1))/(COUNTA(AI7:AN7)),"")</f>
        <v/>
      </c>
      <c r="AP7" s="164" t="str">
        <f t="shared" si="33"/>
        <v/>
      </c>
      <c r="AQ7" s="163" t="str">
        <f>IF(COUNT(AA7,AG7,AO7)=0,"",SUM(AA7,AG7,AO7)/COUNT(AA7,AG7,AO7))</f>
        <v/>
      </c>
      <c r="AR7" s="187" t="str">
        <f t="shared" si="34"/>
        <v/>
      </c>
      <c r="AS7" s="103"/>
      <c r="AT7" s="104"/>
      <c r="AU7" s="105"/>
      <c r="AV7" s="163" t="str">
        <f>IFERROR((((COUNTIF('Elève (3ème5)'!AS7:AU7,"A"))*4)+((COUNTIF('Elève (3ème5)'!AS7:AU7,"B"))*3)+((COUNTIF('Elève (3ème5)'!AS7:AU7,"C"))*2)+((COUNTIF('Elève (3ème5)'!AS7:AU7,"D"))*1))/(COUNTA(AS7:AU7)),"")</f>
        <v/>
      </c>
      <c r="AW7" s="164" t="str">
        <f t="shared" si="35"/>
        <v/>
      </c>
      <c r="AX7" s="103"/>
      <c r="AY7" s="104"/>
      <c r="AZ7" s="105"/>
      <c r="BA7" s="105"/>
      <c r="BB7" s="163" t="str">
        <f>IFERROR((((COUNTIF('Elève (3ème5)'!AX7:BA7,"A"))*4)+((COUNTIF('Elève (3ème5)'!AX7:BA7,"B"))*3)+((COUNTIF('Elève (3ème5)'!AX7:BA7,"C"))*2)+((COUNTIF('Elève (3ème5)'!AX7:BA7,"D"))*1))/(COUNTA(AX7:BA7)),"")</f>
        <v/>
      </c>
      <c r="BC7" s="164" t="str">
        <f t="shared" si="36"/>
        <v/>
      </c>
      <c r="BD7" s="103"/>
      <c r="BE7" s="104"/>
      <c r="BF7" s="105"/>
      <c r="BG7" s="105"/>
      <c r="BH7" s="105"/>
      <c r="BI7" s="109"/>
      <c r="BJ7" s="163" t="str">
        <f>IFERROR((((COUNTIF('Elève (3ème5)'!BD7:BI7,"A"))*4)+((COUNTIF('Elève (3ème5)'!BD7:BI7,"B"))*3)+((COUNTIF('Elève (3ème5)'!BD7:BI7,"C"))*2)+((COUNTIF('Elève (3ème5)'!BD7:BI7,"D"))*1))/(COUNTA(BD7:BI7)),"")</f>
        <v/>
      </c>
      <c r="BK7" s="164" t="str">
        <f t="shared" si="37"/>
        <v/>
      </c>
      <c r="BL7" s="163" t="str">
        <f>IF(COUNT(AV7,BB7,BJ7)=0,"",SUM(AV7,BB7,BJ7)/COUNT(AV7,BB7,BJ7))</f>
        <v/>
      </c>
      <c r="BM7" s="187" t="str">
        <f t="shared" si="38"/>
        <v/>
      </c>
      <c r="BN7" s="103"/>
      <c r="BO7" s="104"/>
      <c r="BP7" s="105"/>
      <c r="BQ7" s="163" t="str">
        <f>IFERROR((((COUNTIF('Elève (3ème5)'!BN7:BP7,"A"))*4)+((COUNTIF('Elève (3ème5)'!BN7:BP7,"B"))*3)+((COUNTIF('Elève (3ème5)'!BN7:BP7,"C"))*2)+((COUNTIF('Elève (3ème5)'!BN7:BP7,"D"))*1))/(COUNTA(BN7:BP7)),"")</f>
        <v/>
      </c>
      <c r="BR7" s="164" t="str">
        <f t="shared" si="39"/>
        <v/>
      </c>
      <c r="BS7" s="103"/>
      <c r="BT7" s="104"/>
      <c r="BU7" s="105"/>
      <c r="BV7" s="105"/>
      <c r="BW7" s="163" t="str">
        <f>IFERROR((((COUNTIF('Elève (3ème5)'!BS7:BV7,"A"))*4)+((COUNTIF('Elève (3ème5)'!BS7:BV7,"B"))*3)+((COUNTIF('Elève (3ème5)'!BS7:BV7,"C"))*2)+((COUNTIF('Elève (3ème5)'!BS7:BV7,"D"))*1))/(COUNTA(BS7:BV7)),"")</f>
        <v/>
      </c>
      <c r="BX7" s="164" t="str">
        <f t="shared" si="40"/>
        <v/>
      </c>
      <c r="BY7" s="103"/>
      <c r="BZ7" s="104"/>
      <c r="CA7" s="105"/>
      <c r="CB7" s="105"/>
      <c r="CC7" s="105"/>
      <c r="CD7" s="109"/>
      <c r="CE7" s="163" t="str">
        <f>IFERROR((((COUNTIF('Elève (3ème5)'!BY7:CD7,"A"))*4)+((COUNTIF('Elève (3ème5)'!BY7:CD7,"B"))*3)+((COUNTIF('Elève (3ème5)'!BY7:CD7,"C"))*2)+((COUNTIF('Elève (3ème5)'!BY7:CD7,"D"))*1))/(COUNTA(BY7:CD7)),"")</f>
        <v/>
      </c>
      <c r="CF7" s="164" t="str">
        <f t="shared" si="41"/>
        <v/>
      </c>
      <c r="CG7" s="163" t="str">
        <f>IF(COUNT(BQ7,BW7,CE7)=0,"",SUM(BQ7,BW7,CE7)/COUNT(BQ7,BW7,CE7))</f>
        <v/>
      </c>
      <c r="CH7" s="187" t="str">
        <f t="shared" si="42"/>
        <v/>
      </c>
      <c r="CI7" s="103"/>
      <c r="CJ7" s="104"/>
      <c r="CK7" s="105"/>
      <c r="CL7" s="163" t="str">
        <f>IFERROR((((COUNTIF('Elève (3ème5)'!CI7:CK7,"A"))*4)+((COUNTIF('Elève (3ème5)'!CI7:CK7,"B"))*3)+((COUNTIF('Elève (3ème5)'!CI7:CK7,"C"))*2)+((COUNTIF('Elève (3ème5)'!CI7:CK7,"D"))*1))/(COUNTA(CI7:CK7)),"")</f>
        <v/>
      </c>
      <c r="CM7" s="164" t="str">
        <f t="shared" si="43"/>
        <v/>
      </c>
      <c r="CN7" s="103"/>
      <c r="CO7" s="104"/>
      <c r="CP7" s="105"/>
      <c r="CQ7" s="105"/>
      <c r="CR7" s="163" t="str">
        <f>IFERROR((((COUNTIF('Elève (3ème5)'!CN7:CQ7,"A"))*4)+((COUNTIF('Elève (3ème5)'!CN7:CQ7,"B"))*3)+((COUNTIF('Elève (3ème5)'!CN7:CQ7,"C"))*2)+((COUNTIF('Elève (3ème5)'!CN7:CQ7,"D"))*1))/(COUNTA(CN7:CQ7)),"")</f>
        <v/>
      </c>
      <c r="CS7" s="164" t="str">
        <f t="shared" si="44"/>
        <v/>
      </c>
      <c r="CT7" s="103"/>
      <c r="CU7" s="104"/>
      <c r="CV7" s="105"/>
      <c r="CW7" s="105"/>
      <c r="CX7" s="105"/>
      <c r="CY7" s="109"/>
      <c r="CZ7" s="163" t="str">
        <f>IFERROR((((COUNTIF('Elève (3ème5)'!CT7:CY7,"A"))*4)+((COUNTIF('Elève (3ème5)'!CT7:CY7,"B"))*3)+((COUNTIF('Elève (3ème5)'!CT7:CY7,"C"))*2)+((COUNTIF('Elève (3ème5)'!CT7:CY7,"D"))*1))/(COUNTA(CT7:CY7)),"")</f>
        <v/>
      </c>
      <c r="DA7" s="164" t="str">
        <f t="shared" si="45"/>
        <v/>
      </c>
      <c r="DB7" s="163" t="str">
        <f>IF(COUNT(CL7,CR7,CZ7)=0,"",SUM(CL7,CR7,CZ7)/COUNT(CL7,CR7,CZ7))</f>
        <v/>
      </c>
      <c r="DC7" s="187" t="str">
        <f t="shared" si="46"/>
        <v/>
      </c>
      <c r="DD7" s="103"/>
      <c r="DE7" s="104"/>
      <c r="DF7" s="105"/>
      <c r="DG7" s="163" t="str">
        <f>IFERROR((((COUNTIF('Elève (3ème5)'!DD7:DF7,"A"))*4)+((COUNTIF('Elève (3ème5)'!DD7:DF7,"B"))*3)+((COUNTIF('Elève (3ème5)'!DD7:DF7,"C"))*2)+((COUNTIF('Elève (3ème5)'!DD7:DF7,"D"))*1))/(COUNTA(DD7:DF7)),"")</f>
        <v/>
      </c>
      <c r="DH7" s="164" t="str">
        <f t="shared" si="47"/>
        <v/>
      </c>
      <c r="DI7" s="103"/>
      <c r="DJ7" s="104"/>
      <c r="DK7" s="105"/>
      <c r="DL7" s="105"/>
      <c r="DM7" s="163" t="str">
        <f>IFERROR((((COUNTIF('Elève (3ème5)'!DI7:DL7,"A"))*4)+((COUNTIF('Elève (3ème5)'!DI7:DL7,"B"))*3)+((COUNTIF('Elève (3ème5)'!DI7:DL7,"C"))*2)+((COUNTIF('Elève (3ème5)'!DI7:DL7,"D"))*1))/(COUNTA(DI7:DL7)),"")</f>
        <v/>
      </c>
      <c r="DN7" s="164" t="str">
        <f t="shared" si="48"/>
        <v/>
      </c>
      <c r="DO7" s="103"/>
      <c r="DP7" s="104"/>
      <c r="DQ7" s="105"/>
      <c r="DR7" s="105"/>
      <c r="DS7" s="105"/>
      <c r="DT7" s="109"/>
      <c r="DU7" s="163" t="str">
        <f>IFERROR((((COUNTIF('Elève (3ème5)'!DO7:DT7,"A"))*4)+((COUNTIF('Elève (3ème5)'!DO7:DT7,"B"))*3)+((COUNTIF('Elève (3ème5)'!DO7:DT7,"C"))*2)+((COUNTIF('Elève (3ème5)'!DO7:DT7,"D"))*1))/(COUNTA(DO7:DT7)),"")</f>
        <v/>
      </c>
      <c r="DV7" s="164" t="str">
        <f t="shared" si="49"/>
        <v/>
      </c>
      <c r="DW7" s="163" t="str">
        <f>IF(COUNT(DG7,DM7,DU7)=0,"",SUM(DG7,DM7,DU7)/COUNT(DG7,DM7,DU7))</f>
        <v/>
      </c>
      <c r="DX7" s="187" t="str">
        <f t="shared" si="50"/>
        <v/>
      </c>
      <c r="DY7" s="103"/>
      <c r="DZ7" s="104"/>
      <c r="EA7" s="105"/>
      <c r="EB7" s="163" t="str">
        <f>IFERROR((((COUNTIF('Elève (3ème5)'!DY7:EA7,"A"))*4)+((COUNTIF('Elève (3ème5)'!DY7:EA7,"B"))*3)+((COUNTIF('Elève (3ème5)'!DY7:EA7,"C"))*2)+((COUNTIF('Elève (3ème5)'!DY7:EA7,"D"))*1))/(COUNTA(DY7:EA7)),"")</f>
        <v/>
      </c>
      <c r="EC7" s="164" t="str">
        <f t="shared" si="51"/>
        <v/>
      </c>
      <c r="ED7" s="103"/>
      <c r="EE7" s="104"/>
      <c r="EF7" s="105"/>
      <c r="EG7" s="105"/>
      <c r="EH7" s="163" t="str">
        <f>IFERROR((((COUNTIF('Elève (3ème5)'!ED7:EG7,"A"))*4)+((COUNTIF('Elève (3ème5)'!ED7:EG7,"B"))*3)+((COUNTIF('Elève (3ème5)'!ED7:EG7,"C"))*2)+((COUNTIF('Elève (3ème5)'!ED7:EG7,"D"))*1))/(COUNTA(ED7:EG7)),"")</f>
        <v/>
      </c>
      <c r="EI7" s="164" t="str">
        <f t="shared" si="52"/>
        <v/>
      </c>
      <c r="EJ7" s="103"/>
      <c r="EK7" s="104"/>
      <c r="EL7" s="105"/>
      <c r="EM7" s="105"/>
      <c r="EN7" s="105"/>
      <c r="EO7" s="109"/>
      <c r="EP7" s="163" t="str">
        <f>IFERROR((((COUNTIF('Elève (3ème5)'!EJ7:EO7,"A"))*4)+((COUNTIF('Elève (3ème5)'!EJ7:EO7,"B"))*3)+((COUNTIF('Elève (3ème5)'!EJ7:EO7,"C"))*2)+((COUNTIF('Elève (3ème5)'!EJ7:EO7,"D"))*1))/(COUNTA(EJ7:EO7)),"")</f>
        <v/>
      </c>
      <c r="EQ7" s="164" t="str">
        <f t="shared" si="53"/>
        <v/>
      </c>
      <c r="ER7" s="163" t="str">
        <f>IF(COUNT(EB7,EH7,EP7)=0,"",SUM(EB7,EH7,EP7)/COUNT(EB7,EH7,EP7))</f>
        <v/>
      </c>
      <c r="ES7" s="187" t="str">
        <f t="shared" si="54"/>
        <v/>
      </c>
      <c r="ET7" s="103"/>
      <c r="EU7" s="104"/>
      <c r="EV7" s="105"/>
      <c r="EW7" s="163" t="str">
        <f>IFERROR((((COUNTIF('Elève (3ème5)'!ET7:EV7,"A"))*4)+((COUNTIF('Elève (3ème5)'!ET7:EV7,"B"))*3)+((COUNTIF('Elève (3ème5)'!ET7:EV7,"C"))*2)+((COUNTIF('Elève (3ème5)'!ET7:EV7,"D"))*1))/(COUNTA(ET7:EV7)),"")</f>
        <v/>
      </c>
      <c r="EX7" s="164" t="str">
        <f t="shared" si="55"/>
        <v/>
      </c>
      <c r="EY7" s="103"/>
      <c r="EZ7" s="104"/>
      <c r="FA7" s="105"/>
      <c r="FB7" s="105"/>
      <c r="FC7" s="163" t="str">
        <f>IFERROR((((COUNTIF('Elève (3ème5)'!EY7:FB7,"A"))*4)+((COUNTIF('Elève (3ème5)'!EY7:FB7,"B"))*3)+((COUNTIF('Elève (3ème5)'!EY7:FB7,"C"))*2)+((COUNTIF('Elève (3ème5)'!EY7:FB7,"D"))*1))/(COUNTA(EY7:FB7)),"")</f>
        <v/>
      </c>
      <c r="FD7" s="164" t="str">
        <f t="shared" si="56"/>
        <v/>
      </c>
      <c r="FE7" s="103"/>
      <c r="FF7" s="104"/>
      <c r="FG7" s="105"/>
      <c r="FH7" s="105"/>
      <c r="FI7" s="105"/>
      <c r="FJ7" s="109"/>
      <c r="FK7" s="163" t="str">
        <f>IFERROR((((COUNTIF('Elève (3ème5)'!FE7:FJ7,"A"))*4)+((COUNTIF('Elève (3ème5)'!FE7:FJ7,"B"))*3)+((COUNTIF('Elève (3ème5)'!FE7:FJ7,"C"))*2)+((COUNTIF('Elève (3ème5)'!FE7:FJ7,"D"))*1))/(COUNTA(FE7:FJ7)),"")</f>
        <v/>
      </c>
      <c r="FL7" s="164" t="str">
        <f t="shared" si="57"/>
        <v/>
      </c>
      <c r="FM7" s="163" t="str">
        <f>IF(COUNT(EW7,FC7,FK7)=0,"",SUM(EW7,FC7,FK7)/COUNT(EW7,FC7,FK7))</f>
        <v/>
      </c>
      <c r="FN7" s="187" t="str">
        <f t="shared" si="58"/>
        <v/>
      </c>
      <c r="FO7" s="103"/>
      <c r="FP7" s="104"/>
      <c r="FQ7" s="105"/>
      <c r="FR7" s="163" t="str">
        <f>IFERROR((((COUNTIF('Elève (3ème5)'!FO7:FQ7,"A"))*4)+((COUNTIF('Elève (3ème5)'!FO7:FQ7,"B"))*3)+((COUNTIF('Elève (3ème5)'!FO7:FQ7,"C"))*2)+((COUNTIF('Elève (3ème5)'!FO7:FQ7,"D"))*1))/(COUNTA(FO7:FQ7)),"")</f>
        <v/>
      </c>
      <c r="FS7" s="164" t="str">
        <f t="shared" si="59"/>
        <v/>
      </c>
      <c r="FT7" s="103"/>
      <c r="FU7" s="104"/>
      <c r="FV7" s="105"/>
      <c r="FW7" s="105"/>
      <c r="FX7" s="163" t="str">
        <f>IFERROR((((COUNTIF('Elève (3ème5)'!FT7:FW7,"A"))*4)+((COUNTIF('Elève (3ème5)'!FT7:FW7,"B"))*3)+((COUNTIF('Elève (3ème5)'!FT7:FW7,"C"))*2)+((COUNTIF('Elève (3ème5)'!FT7:FW7,"D"))*1))/(COUNTA(FT7:FW7)),"")</f>
        <v/>
      </c>
      <c r="FY7" s="164" t="str">
        <f t="shared" si="60"/>
        <v/>
      </c>
      <c r="FZ7" s="103"/>
      <c r="GA7" s="104"/>
      <c r="GB7" s="105"/>
      <c r="GC7" s="105"/>
      <c r="GD7" s="105"/>
      <c r="GE7" s="109"/>
      <c r="GF7" s="163" t="str">
        <f>IFERROR((((COUNTIF('Elève (3ème5)'!FZ7:GE7,"A"))*4)+((COUNTIF('Elève (3ème5)'!FZ7:GE7,"B"))*3)+((COUNTIF('Elève (3ème5)'!FZ7:GE7,"C"))*2)+((COUNTIF('Elève (3ème5)'!FZ7:GE7,"D"))*1))/(COUNTA(FZ7:GE7)),"")</f>
        <v/>
      </c>
      <c r="GG7" s="164" t="str">
        <f t="shared" si="61"/>
        <v/>
      </c>
      <c r="GH7" s="163" t="str">
        <f>IF(COUNT(FR7,FX7,GF7)=0,"",SUM(FR7,FX7,GF7)/COUNT(FR7,FX7,GF7))</f>
        <v/>
      </c>
      <c r="GI7" s="187" t="str">
        <f t="shared" si="62"/>
        <v/>
      </c>
      <c r="GJ7" s="103"/>
      <c r="GK7" s="104"/>
      <c r="GL7" s="105"/>
      <c r="GM7" s="163" t="str">
        <f>IFERROR((((COUNTIF('Elève (3ème5)'!GJ7:GL7,"A"))*4)+((COUNTIF('Elève (3ème5)'!GJ7:GL7,"B"))*3)+((COUNTIF('Elève (3ème5)'!GJ7:GL7,"C"))*2)+((COUNTIF('Elève (3ème5)'!GJ7:GL7,"D"))*1))/(COUNTA(GJ7:GL7)),"")</f>
        <v/>
      </c>
      <c r="GN7" s="164" t="str">
        <f t="shared" si="63"/>
        <v/>
      </c>
      <c r="GO7" s="103"/>
      <c r="GP7" s="104"/>
      <c r="GQ7" s="105"/>
      <c r="GR7" s="105"/>
      <c r="GS7" s="163" t="str">
        <f>IFERROR((((COUNTIF('Elève (3ème5)'!GO7:GR7,"A"))*4)+((COUNTIF('Elève (3ème5)'!GO7:GR7,"B"))*3)+((COUNTIF('Elève (3ème5)'!GO7:GR7,"C"))*2)+((COUNTIF('Elève (3ème5)'!GO7:GR7,"D"))*1))/(COUNTA(GO7:GR7)),"")</f>
        <v/>
      </c>
      <c r="GT7" s="164" t="str">
        <f t="shared" si="64"/>
        <v/>
      </c>
      <c r="GU7" s="103"/>
      <c r="GV7" s="104"/>
      <c r="GW7" s="105"/>
      <c r="GX7" s="105"/>
      <c r="GY7" s="105"/>
      <c r="GZ7" s="109"/>
      <c r="HA7" s="163" t="str">
        <f>IFERROR((((COUNTIF('Elève (3ème5)'!GU7:GZ7,"A"))*4)+((COUNTIF('Elève (3ème5)'!GU7:GZ7,"B"))*3)+((COUNTIF('Elève (3ème5)'!GU7:GZ7,"C"))*2)+((COUNTIF('Elève (3ème5)'!GU7:GZ7,"D"))*1))/(COUNTA(GU7:GZ7)),"")</f>
        <v/>
      </c>
      <c r="HB7" s="164" t="str">
        <f t="shared" si="65"/>
        <v/>
      </c>
      <c r="HC7" s="163" t="str">
        <f>IF(COUNT(GM7,GS7,HA7)=0,"",SUM(GM7,GS7,HA7)/COUNT(GM7,GS7,HA7))</f>
        <v/>
      </c>
      <c r="HD7" s="187" t="str">
        <f t="shared" si="66"/>
        <v/>
      </c>
      <c r="HE7" s="103"/>
      <c r="HF7" s="104"/>
      <c r="HG7" s="105"/>
      <c r="HH7" s="163" t="str">
        <f>IFERROR((((COUNTIF('Elève (3ème5)'!HE7:HG7,"A"))*4)+((COUNTIF('Elève (3ème5)'!HE7:HG7,"B"))*3)+((COUNTIF('Elève (3ème5)'!HE7:HG7,"C"))*2)+((COUNTIF('Elève (3ème5)'!HE7:HG7,"D"))*1))/(COUNTA(HE7:HG7)),"")</f>
        <v/>
      </c>
      <c r="HI7" s="164" t="str">
        <f t="shared" si="67"/>
        <v/>
      </c>
      <c r="HJ7" s="103"/>
      <c r="HK7" s="104"/>
      <c r="HL7" s="105"/>
      <c r="HM7" s="105"/>
      <c r="HN7" s="163" t="str">
        <f>IFERROR((((COUNTIF('Elève (3ème5)'!HJ7:HM7,"A"))*4)+((COUNTIF('Elève (3ème5)'!HJ7:HM7,"B"))*3)+((COUNTIF('Elève (3ème5)'!HJ7:HM7,"C"))*2)+((COUNTIF('Elève (3ème5)'!HJ7:HM7,"D"))*1))/(COUNTA(HJ7:HM7)),"")</f>
        <v/>
      </c>
      <c r="HO7" s="164" t="str">
        <f t="shared" si="68"/>
        <v/>
      </c>
      <c r="HP7" s="103"/>
      <c r="HQ7" s="104"/>
      <c r="HR7" s="105"/>
      <c r="HS7" s="105"/>
      <c r="HT7" s="105"/>
      <c r="HU7" s="109"/>
      <c r="HV7" s="163" t="str">
        <f>IFERROR((((COUNTIF('Elève (3ème5)'!HP7:HU7,"A"))*4)+((COUNTIF('Elève (3ème5)'!HP7:HU7,"B"))*3)+((COUNTIF('Elève (3ème5)'!HP7:HU7,"C"))*2)+((COUNTIF('Elève (3ème5)'!HP7:HU7,"D"))*1))/(COUNTA(HP7:HU7)),"")</f>
        <v/>
      </c>
      <c r="HW7" s="164" t="str">
        <f t="shared" si="69"/>
        <v/>
      </c>
      <c r="HX7" s="163" t="str">
        <f>IF(COUNT(HH7,HN7,HV7)=0,"",SUM(HH7,HN7,HV7)/COUNT(HH7,HN7,HV7))</f>
        <v/>
      </c>
      <c r="HY7" s="187" t="str">
        <f t="shared" si="70"/>
        <v/>
      </c>
      <c r="HZ7" s="103"/>
      <c r="IA7" s="104"/>
      <c r="IB7" s="105"/>
      <c r="IC7" s="163" t="str">
        <f>IFERROR((((COUNTIF('Elève (3ème5)'!HZ7:IB7,"A"))*4)+((COUNTIF('Elève (3ème5)'!HZ7:IB7,"B"))*3)+((COUNTIF('Elève (3ème5)'!HZ7:IB7,"C"))*2)+((COUNTIF('Elève (3ème5)'!HZ7:IB7,"D"))*1))/(COUNTA(HZ7:IB7)),"")</f>
        <v/>
      </c>
      <c r="ID7" s="164" t="str">
        <f t="shared" si="71"/>
        <v/>
      </c>
      <c r="IE7" s="103"/>
      <c r="IF7" s="104"/>
      <c r="IG7" s="105"/>
      <c r="IH7" s="105"/>
      <c r="II7" s="163" t="str">
        <f>IFERROR((((COUNTIF('Elève (3ème5)'!IE7:IH7,"A"))*4)+((COUNTIF('Elève (3ème5)'!IE7:IH7,"B"))*3)+((COUNTIF('Elève (3ème5)'!IE7:IH7,"C"))*2)+((COUNTIF('Elève (3ème5)'!IE7:IH7,"D"))*1))/(COUNTA(IE7:IH7)),"")</f>
        <v/>
      </c>
      <c r="IJ7" s="164" t="str">
        <f t="shared" si="72"/>
        <v/>
      </c>
      <c r="IK7" s="103"/>
      <c r="IL7" s="104"/>
      <c r="IM7" s="105"/>
      <c r="IN7" s="105"/>
      <c r="IO7" s="105"/>
      <c r="IP7" s="109"/>
      <c r="IQ7" s="163" t="str">
        <f>IFERROR((((COUNTIF('Elève (3ème5)'!IK7:IP7,"A"))*4)+((COUNTIF('Elève (3ème5)'!IK7:IP7,"B"))*3)+((COUNTIF('Elève (3ème5)'!IK7:IP7,"C"))*2)+((COUNTIF('Elève (3ème5)'!IK7:IP7,"D"))*1))/(COUNTA(IK7:IP7)),"")</f>
        <v/>
      </c>
      <c r="IR7" s="164" t="str">
        <f t="shared" si="73"/>
        <v/>
      </c>
      <c r="IS7" s="163" t="str">
        <f>IF(COUNT(IC7,II7,IQ7)=0,"",SUM(IC7,II7,IQ7)/COUNT(IC7,II7,IQ7))</f>
        <v/>
      </c>
      <c r="IT7" s="187" t="str">
        <f t="shared" si="74"/>
        <v/>
      </c>
      <c r="IU7" s="103"/>
      <c r="IV7" s="104"/>
      <c r="IW7" s="105"/>
      <c r="IX7" s="163" t="str">
        <f>IFERROR((((COUNTIF('Elève (3ème5)'!IU7:IW7,"A"))*4)+((COUNTIF('Elève (3ème5)'!IU7:IW7,"B"))*3)+((COUNTIF('Elève (3ème5)'!IU7:IW7,"C"))*2)+((COUNTIF('Elève (3ème5)'!IU7:IW7,"D"))*1))/(COUNTA(IU7:IW7)),"")</f>
        <v/>
      </c>
      <c r="IY7" s="164" t="str">
        <f t="shared" si="75"/>
        <v/>
      </c>
      <c r="IZ7" s="103"/>
      <c r="JA7" s="104"/>
      <c r="JB7" s="105"/>
      <c r="JC7" s="105"/>
      <c r="JD7" s="163" t="str">
        <f>IFERROR((((COUNTIF('Elève (3ème5)'!IZ7:JC7,"A"))*4)+((COUNTIF('Elève (3ème5)'!IZ7:JC7,"B"))*3)+((COUNTIF('Elève (3ème5)'!IZ7:JC7,"C"))*2)+((COUNTIF('Elève (3ème5)'!IZ7:JC7,"D"))*1))/(COUNTA(IZ7:JC7)),"")</f>
        <v/>
      </c>
      <c r="JE7" s="164" t="str">
        <f t="shared" si="76"/>
        <v/>
      </c>
      <c r="JF7" s="103"/>
      <c r="JG7" s="104"/>
      <c r="JH7" s="105"/>
      <c r="JI7" s="105"/>
      <c r="JJ7" s="105"/>
      <c r="JK7" s="109"/>
      <c r="JL7" s="163" t="str">
        <f>IFERROR((((COUNTIF('Elève (3ème5)'!JF7:JK7,"A"))*4)+((COUNTIF('Elève (3ème5)'!JF7:JK7,"B"))*3)+((COUNTIF('Elève (3ème5)'!JF7:JK7,"C"))*2)+((COUNTIF('Elève (3ème5)'!JF7:JK7,"D"))*1))/(COUNTA(JF7:JK7)),"")</f>
        <v/>
      </c>
      <c r="JM7" s="164" t="str">
        <f t="shared" si="77"/>
        <v/>
      </c>
      <c r="JN7" s="163" t="str">
        <f>IF(COUNT(IX7,JD7,JL7)=0,"",SUM(IX7,JD7,JL7)/COUNT(IX7,JD7,JL7))</f>
        <v/>
      </c>
      <c r="JO7" s="187" t="str">
        <f t="shared" si="78"/>
        <v/>
      </c>
      <c r="JP7" s="103"/>
      <c r="JQ7" s="104"/>
      <c r="JR7" s="105"/>
      <c r="JS7" s="163" t="str">
        <f>IFERROR((((COUNTIF('Elève (3ème5)'!JP7:JR7,"A"))*4)+((COUNTIF('Elève (3ème5)'!JP7:JR7,"B"))*3)+((COUNTIF('Elève (3ème5)'!JP7:JR7,"C"))*2)+((COUNTIF('Elève (3ème5)'!JP7:JR7,"D"))*1))/(COUNTA(JP7:JR7)),"")</f>
        <v/>
      </c>
      <c r="JT7" s="164" t="str">
        <f t="shared" si="79"/>
        <v/>
      </c>
      <c r="JU7" s="103"/>
      <c r="JV7" s="104"/>
      <c r="JW7" s="105"/>
      <c r="JX7" s="105"/>
      <c r="JY7" s="163" t="str">
        <f>IFERROR((((COUNTIF('Elève (3ème5)'!JU7:JX7,"A"))*4)+((COUNTIF('Elève (3ème5)'!JU7:JX7,"B"))*3)+((COUNTIF('Elève (3ème5)'!JU7:JX7,"C"))*2)+((COUNTIF('Elève (3ème5)'!JU7:JX7,"D"))*1))/(COUNTA(JU7:JX7)),"")</f>
        <v/>
      </c>
      <c r="JZ7" s="164" t="str">
        <f t="shared" si="80"/>
        <v/>
      </c>
      <c r="KA7" s="103"/>
      <c r="KB7" s="104"/>
      <c r="KC7" s="105"/>
      <c r="KD7" s="105"/>
      <c r="KE7" s="105"/>
      <c r="KF7" s="109"/>
      <c r="KG7" s="163" t="str">
        <f>IFERROR((((COUNTIF('Elève (3ème5)'!KA7:KF7,"A"))*4)+((COUNTIF('Elève (3ème5)'!KA7:KF7,"B"))*3)+((COUNTIF('Elève (3ème5)'!KA7:KF7,"C"))*2)+((COUNTIF('Elève (3ème5)'!KA7:KF7,"D"))*1))/(COUNTA(KA7:KF7)),"")</f>
        <v/>
      </c>
      <c r="KH7" s="164" t="str">
        <f t="shared" si="81"/>
        <v/>
      </c>
      <c r="KI7" s="163" t="str">
        <f>IF(COUNT(JS7,JY7,KG7)=0,"",SUM(JS7,JY7,KG7)/COUNT(JS7,JY7,KG7))</f>
        <v/>
      </c>
      <c r="KJ7" s="187" t="str">
        <f t="shared" si="82"/>
        <v/>
      </c>
      <c r="KK7" s="103"/>
      <c r="KL7" s="104"/>
      <c r="KM7" s="105"/>
      <c r="KN7" s="163" t="str">
        <f>IFERROR((((COUNTIF('Elève (3ème5)'!KK7:KM7,"A"))*4)+((COUNTIF('Elève (3ème5)'!KK7:KM7,"B"))*3)+((COUNTIF('Elève (3ème5)'!KK7:KM7,"C"))*2)+((COUNTIF('Elève (3ème5)'!KK7:KM7,"D"))*1))/(COUNTA(KK7:KM7)),"")</f>
        <v/>
      </c>
      <c r="KO7" s="164" t="str">
        <f t="shared" si="83"/>
        <v/>
      </c>
      <c r="KP7" s="103"/>
      <c r="KQ7" s="104"/>
      <c r="KR7" s="105"/>
      <c r="KS7" s="105"/>
      <c r="KT7" s="163" t="str">
        <f>IFERROR((((COUNTIF('Elève (3ème5)'!KP7:KS7,"A"))*4)+((COUNTIF('Elève (3ème5)'!KP7:KS7,"B"))*3)+((COUNTIF('Elève (3ème5)'!KP7:KS7,"C"))*2)+((COUNTIF('Elève (3ème5)'!KP7:KS7,"D"))*1))/(COUNTA(KP7:KS7)),"")</f>
        <v/>
      </c>
      <c r="KU7" s="164" t="str">
        <f t="shared" si="84"/>
        <v/>
      </c>
      <c r="KV7" s="103"/>
      <c r="KW7" s="104"/>
      <c r="KX7" s="105"/>
      <c r="KY7" s="105"/>
      <c r="KZ7" s="105"/>
      <c r="LA7" s="109"/>
      <c r="LB7" s="163" t="str">
        <f>IFERROR((((COUNTIF('Elève (3ème5)'!KV7:LA7,"A"))*4)+((COUNTIF('Elève (3ème5)'!KV7:LA7,"B"))*3)+((COUNTIF('Elève (3ème5)'!KV7:LA7,"C"))*2)+((COUNTIF('Elève (3ème5)'!KV7:LA7,"D"))*1))/(COUNTA(KV7:LA7)),"")</f>
        <v/>
      </c>
      <c r="LC7" s="164" t="str">
        <f t="shared" si="85"/>
        <v/>
      </c>
      <c r="LD7" s="163" t="str">
        <f>IF(COUNT(KN7,KT7,LB7)=0,"",SUM(KN7,KT7,LB7)/COUNT(KN7,KT7,LB7))</f>
        <v/>
      </c>
      <c r="LE7" s="187" t="str">
        <f t="shared" si="86"/>
        <v/>
      </c>
      <c r="LF7" s="103"/>
      <c r="LG7" s="104"/>
      <c r="LH7" s="105"/>
      <c r="LI7" s="163" t="str">
        <f>IFERROR((((COUNTIF('Elève (3ème5)'!LF7:LH7,"A"))*4)+((COUNTIF('Elève (3ème5)'!LF7:LH7,"B"))*3)+((COUNTIF('Elève (3ème5)'!LF7:LH7,"C"))*2)+((COUNTIF('Elève (3ème5)'!LF7:LH7,"D"))*1))/(COUNTA(LF7:LH7)),"")</f>
        <v/>
      </c>
      <c r="LJ7" s="164" t="str">
        <f t="shared" si="87"/>
        <v/>
      </c>
      <c r="LK7" s="103"/>
      <c r="LL7" s="104"/>
      <c r="LM7" s="105"/>
      <c r="LN7" s="105"/>
      <c r="LO7" s="163" t="str">
        <f>IFERROR((((COUNTIF('Elève (3ème5)'!LK7:LN7,"A"))*4)+((COUNTIF('Elève (3ème5)'!LK7:LN7,"B"))*3)+((COUNTIF('Elève (3ème5)'!LK7:LN7,"C"))*2)+((COUNTIF('Elève (3ème5)'!LK7:LN7,"D"))*1))/(COUNTA(LK7:LN7)),"")</f>
        <v/>
      </c>
      <c r="LP7" s="164" t="str">
        <f t="shared" si="88"/>
        <v/>
      </c>
      <c r="LQ7" s="103"/>
      <c r="LR7" s="104"/>
      <c r="LS7" s="105"/>
      <c r="LT7" s="105"/>
      <c r="LU7" s="105"/>
      <c r="LV7" s="109"/>
      <c r="LW7" s="163" t="str">
        <f>IFERROR((((COUNTIF('Elève (3ème5)'!LQ7:LV7,"A"))*4)+((COUNTIF('Elève (3ème5)'!LQ7:LV7,"B"))*3)+((COUNTIF('Elève (3ème5)'!LQ7:LV7,"C"))*2)+((COUNTIF('Elève (3ème5)'!LQ7:LV7,"D"))*1))/(COUNTA(LQ7:LV7)),"")</f>
        <v/>
      </c>
      <c r="LX7" s="164" t="str">
        <f t="shared" si="89"/>
        <v/>
      </c>
      <c r="LY7" s="163" t="str">
        <f>IF(COUNT(LI7,LO7,LW7)=0,"",SUM(LI7,LO7,LW7)/COUNT(LI7,LO7,LW7))</f>
        <v/>
      </c>
      <c r="LZ7" s="187" t="str">
        <f t="shared" si="90"/>
        <v/>
      </c>
      <c r="MA7" s="103"/>
      <c r="MB7" s="104"/>
      <c r="MC7" s="105"/>
      <c r="MD7" s="163" t="str">
        <f>IFERROR((((COUNTIF('Elève (3ème5)'!MA7:MC7,"A"))*4)+((COUNTIF('Elève (3ème5)'!MA7:MC7,"B"))*3)+((COUNTIF('Elève (3ème5)'!MA7:MC7,"C"))*2)+((COUNTIF('Elève (3ème5)'!MA7:MC7,"D"))*1))/(COUNTA(MA7:MC7)),"")</f>
        <v/>
      </c>
      <c r="ME7" s="164" t="str">
        <f t="shared" si="91"/>
        <v/>
      </c>
      <c r="MF7" s="103"/>
      <c r="MG7" s="104"/>
      <c r="MH7" s="105"/>
      <c r="MI7" s="105"/>
      <c r="MJ7" s="163" t="str">
        <f>IFERROR((((COUNTIF('Elève (3ème5)'!MF7:MI7,"A"))*4)+((COUNTIF('Elève (3ème5)'!MF7:MI7,"B"))*3)+((COUNTIF('Elève (3ème5)'!MF7:MI7,"C"))*2)+((COUNTIF('Elève (3ème5)'!MF7:MI7,"D"))*1))/(COUNTA(MF7:MI7)),"")</f>
        <v/>
      </c>
      <c r="MK7" s="164" t="str">
        <f t="shared" si="92"/>
        <v/>
      </c>
      <c r="ML7" s="103"/>
      <c r="MM7" s="104"/>
      <c r="MN7" s="105"/>
      <c r="MO7" s="105"/>
      <c r="MP7" s="105"/>
      <c r="MQ7" s="109"/>
      <c r="MR7" s="163" t="str">
        <f>IFERROR((((COUNTIF('Elève (3ème5)'!ML7:MQ7,"A"))*4)+((COUNTIF('Elève (3ème5)'!ML7:MQ7,"B"))*3)+((COUNTIF('Elève (3ème5)'!ML7:MQ7,"C"))*2)+((COUNTIF('Elève (3ème5)'!ML7:MQ7,"D"))*1))/(COUNTA(ML7:MQ7)),"")</f>
        <v/>
      </c>
      <c r="MS7" s="164" t="str">
        <f t="shared" si="93"/>
        <v/>
      </c>
      <c r="MT7" s="163" t="str">
        <f>IF(COUNT(MD7,MJ7,MR7)=0,"",SUM(MD7,MJ7,MR7)/COUNT(MD7,MJ7,MR7))</f>
        <v/>
      </c>
      <c r="MU7" s="187" t="str">
        <f t="shared" si="94"/>
        <v/>
      </c>
      <c r="MV7" s="103"/>
      <c r="MW7" s="104"/>
      <c r="MX7" s="105"/>
      <c r="MY7" s="163" t="str">
        <f>IFERROR((((COUNTIF('Elève (3ème5)'!MV7:MX7,"A"))*4)+((COUNTIF('Elève (3ème5)'!MV7:MX7,"B"))*3)+((COUNTIF('Elève (3ème5)'!MV7:MX7,"C"))*2)+((COUNTIF('Elève (3ème5)'!MV7:MX7,"D"))*1))/(COUNTA(MV7:MX7)),"")</f>
        <v/>
      </c>
      <c r="MZ7" s="164" t="str">
        <f t="shared" si="95"/>
        <v/>
      </c>
      <c r="NA7" s="103"/>
      <c r="NB7" s="104"/>
      <c r="NC7" s="105"/>
      <c r="ND7" s="105"/>
      <c r="NE7" s="163" t="str">
        <f>IFERROR((((COUNTIF('Elève (3ème5)'!NA7:ND7,"A"))*4)+((COUNTIF('Elève (3ème5)'!NA7:ND7,"B"))*3)+((COUNTIF('Elève (3ème5)'!NA7:ND7,"C"))*2)+((COUNTIF('Elève (3ème5)'!NA7:ND7,"D"))*1))/(COUNTA(NA7:ND7)),"")</f>
        <v/>
      </c>
      <c r="NF7" s="164" t="str">
        <f t="shared" si="96"/>
        <v/>
      </c>
      <c r="NG7" s="103"/>
      <c r="NH7" s="104"/>
      <c r="NI7" s="105"/>
      <c r="NJ7" s="105"/>
      <c r="NK7" s="105"/>
      <c r="NL7" s="109"/>
      <c r="NM7" s="163" t="str">
        <f>IFERROR((((COUNTIF('Elève (3ème5)'!NG7:NL7,"A"))*4)+((COUNTIF('Elève (3ème5)'!NG7:NL7,"B"))*3)+((COUNTIF('Elève (3ème5)'!NG7:NL7,"C"))*2)+((COUNTIF('Elève (3ème5)'!NG7:NL7,"D"))*1))/(COUNTA(NG7:NL7)),"")</f>
        <v/>
      </c>
      <c r="NN7" s="164" t="str">
        <f t="shared" si="97"/>
        <v/>
      </c>
      <c r="NO7" s="163" t="str">
        <f>IF(COUNT(MY7,NE7,NM7)=0,"",SUM(MY7,NE7,NM7)/COUNT(MY7,NE7,NM7))</f>
        <v/>
      </c>
      <c r="NP7" s="187" t="str">
        <f t="shared" si="98"/>
        <v/>
      </c>
      <c r="NQ7" s="103"/>
      <c r="NR7" s="104"/>
      <c r="NS7" s="105"/>
      <c r="NT7" s="163" t="str">
        <f>IFERROR((((COUNTIF('Elève (3ème5)'!NQ7:NS7,"A"))*4)+((COUNTIF('Elève (3ème5)'!NQ7:NS7,"B"))*3)+((COUNTIF('Elève (3ème5)'!NQ7:NS7,"C"))*2)+((COUNTIF('Elève (3ème5)'!NQ7:NS7,"D"))*1))/(COUNTA(NQ7:NS7)),"")</f>
        <v/>
      </c>
      <c r="NU7" s="164" t="str">
        <f t="shared" si="99"/>
        <v/>
      </c>
      <c r="NV7" s="103"/>
      <c r="NW7" s="104"/>
      <c r="NX7" s="105"/>
      <c r="NY7" s="105"/>
      <c r="NZ7" s="163" t="str">
        <f>IFERROR((((COUNTIF('Elève (3ème5)'!NV7:NY7,"A"))*4)+((COUNTIF('Elève (3ème5)'!NV7:NY7,"B"))*3)+((COUNTIF('Elève (3ème5)'!NV7:NY7,"C"))*2)+((COUNTIF('Elève (3ème5)'!NV7:NY7,"D"))*1))/(COUNTA(NV7:NY7)),"")</f>
        <v/>
      </c>
      <c r="OA7" s="164" t="str">
        <f t="shared" si="100"/>
        <v/>
      </c>
      <c r="OB7" s="103"/>
      <c r="OC7" s="104"/>
      <c r="OD7" s="105"/>
      <c r="OE7" s="105"/>
      <c r="OF7" s="105"/>
      <c r="OG7" s="109"/>
      <c r="OH7" s="163" t="str">
        <f>IFERROR((((COUNTIF('Elève (3ème5)'!OB7:OG7,"A"))*4)+((COUNTIF('Elève (3ème5)'!OB7:OG7,"B"))*3)+((COUNTIF('Elève (3ème5)'!OB7:OG7,"C"))*2)+((COUNTIF('Elève (3ème5)'!OB7:OG7,"D"))*1))/(COUNTA(OB7:OG7)),"")</f>
        <v/>
      </c>
      <c r="OI7" s="164" t="str">
        <f t="shared" si="101"/>
        <v/>
      </c>
      <c r="OJ7" s="163" t="str">
        <f>IF(COUNT(NT7,NZ7,OH7)=0,"",SUM(NT7,NZ7,OH7)/COUNT(NT7,NZ7,OH7))</f>
        <v/>
      </c>
      <c r="OK7" s="187" t="str">
        <f t="shared" si="102"/>
        <v/>
      </c>
      <c r="OL7" s="103"/>
      <c r="OM7" s="104"/>
      <c r="ON7" s="105"/>
      <c r="OO7" s="163" t="str">
        <f>IFERROR((((COUNTIF('Elève (3ème5)'!OL7:ON7,"A"))*4)+((COUNTIF('Elève (3ème5)'!OL7:ON7,"B"))*3)+((COUNTIF('Elève (3ème5)'!OL7:ON7,"C"))*2)+((COUNTIF('Elève (3ème5)'!OL7:ON7,"D"))*1))/(COUNTA(OL7:ON7)),"")</f>
        <v/>
      </c>
      <c r="OP7" s="164" t="str">
        <f t="shared" si="103"/>
        <v/>
      </c>
      <c r="OQ7" s="103"/>
      <c r="OR7" s="104"/>
      <c r="OS7" s="105"/>
      <c r="OT7" s="105"/>
      <c r="OU7" s="163" t="str">
        <f>IFERROR((((COUNTIF('Elève (3ème5)'!OQ7:OT7,"A"))*4)+((COUNTIF('Elève (3ème5)'!OQ7:OT7,"B"))*3)+((COUNTIF('Elève (3ème5)'!OQ7:OT7,"C"))*2)+((COUNTIF('Elève (3ème5)'!OQ7:OT7,"D"))*1))/(COUNTA(OQ7:OT7)),"")</f>
        <v/>
      </c>
      <c r="OV7" s="164" t="str">
        <f t="shared" si="104"/>
        <v/>
      </c>
      <c r="OW7" s="103"/>
      <c r="OX7" s="104"/>
      <c r="OY7" s="105"/>
      <c r="OZ7" s="105"/>
      <c r="PA7" s="105"/>
      <c r="PB7" s="109"/>
      <c r="PC7" s="163" t="str">
        <f>IFERROR((((COUNTIF('Elève (3ème5)'!OW7:PB7,"A"))*4)+((COUNTIF('Elève (3ème5)'!OW7:PB7,"B"))*3)+((COUNTIF('Elève (3ème5)'!OW7:PB7,"C"))*2)+((COUNTIF('Elève (3ème5)'!OW7:PB7,"D"))*1))/(COUNTA(OW7:PB7)),"")</f>
        <v/>
      </c>
      <c r="PD7" s="164" t="str">
        <f t="shared" si="105"/>
        <v/>
      </c>
      <c r="PE7" s="163" t="str">
        <f>IF(COUNT(OO7,OU7,PC7)=0,"",SUM(OO7,OU7,PC7)/COUNT(OO7,OU7,PC7))</f>
        <v/>
      </c>
      <c r="PF7" s="187" t="str">
        <f t="shared" si="106"/>
        <v/>
      </c>
      <c r="PG7" s="103"/>
      <c r="PH7" s="104"/>
      <c r="PI7" s="105"/>
      <c r="PJ7" s="163" t="str">
        <f>IFERROR((((COUNTIF('Elève (3ème5)'!PG7:PI7,"A"))*4)+((COUNTIF('Elève (3ème5)'!PG7:PI7,"B"))*3)+((COUNTIF('Elève (3ème5)'!PG7:PI7,"C"))*2)+((COUNTIF('Elève (3ème5)'!PG7:PI7,"D"))*1))/(COUNTA(PG7:PI7)),"")</f>
        <v/>
      </c>
      <c r="PK7" s="164" t="str">
        <f t="shared" si="107"/>
        <v/>
      </c>
      <c r="PL7" s="103"/>
      <c r="PM7" s="104"/>
      <c r="PN7" s="105"/>
      <c r="PO7" s="105"/>
      <c r="PP7" s="163" t="str">
        <f>IFERROR((((COUNTIF('Elève (3ème5)'!PL7:PO7,"A"))*4)+((COUNTIF('Elève (3ème5)'!PL7:PO7,"B"))*3)+((COUNTIF('Elève (3ème5)'!PL7:PO7,"C"))*2)+((COUNTIF('Elève (3ème5)'!PL7:PO7,"D"))*1))/(COUNTA(PL7:PO7)),"")</f>
        <v/>
      </c>
      <c r="PQ7" s="164" t="str">
        <f t="shared" si="108"/>
        <v/>
      </c>
      <c r="PR7" s="103"/>
      <c r="PS7" s="104"/>
      <c r="PT7" s="105"/>
      <c r="PU7" s="105"/>
      <c r="PV7" s="105"/>
      <c r="PW7" s="109"/>
      <c r="PX7" s="163" t="str">
        <f>IFERROR((((COUNTIF('Elève (3ème5)'!PR7:PW7,"A"))*4)+((COUNTIF('Elève (3ème5)'!PR7:PW7,"B"))*3)+((COUNTIF('Elève (3ème5)'!PR7:PW7,"C"))*2)+((COUNTIF('Elève (3ème5)'!PR7:PW7,"D"))*1))/(COUNTA(PR7:PW7)),"")</f>
        <v/>
      </c>
      <c r="PY7" s="164" t="str">
        <f t="shared" si="109"/>
        <v/>
      </c>
      <c r="PZ7" s="163" t="str">
        <f>IF(COUNT(PJ7,PP7,PX7)=0,"",SUM(PJ7,PP7,PX7)/COUNT(PJ7,PP7,PX7))</f>
        <v/>
      </c>
      <c r="QA7" s="187" t="str">
        <f t="shared" si="110"/>
        <v/>
      </c>
      <c r="QB7" s="103"/>
      <c r="QC7" s="104"/>
      <c r="QD7" s="105"/>
      <c r="QE7" s="163" t="str">
        <f>IFERROR((((COUNTIF('Elève (3ème5)'!QB7:QD7,"A"))*4)+((COUNTIF('Elève (3ème5)'!QB7:QD7,"B"))*3)+((COUNTIF('Elève (3ème5)'!QB7:QD7,"C"))*2)+((COUNTIF('Elève (3ème5)'!QB7:QD7,"D"))*1))/(COUNTA(QB7:QD7)),"")</f>
        <v/>
      </c>
      <c r="QF7" s="164" t="str">
        <f t="shared" si="111"/>
        <v/>
      </c>
      <c r="QG7" s="103"/>
      <c r="QH7" s="104"/>
      <c r="QI7" s="105"/>
      <c r="QJ7" s="105"/>
      <c r="QK7" s="163" t="str">
        <f>IFERROR((((COUNTIF('Elève (3ème5)'!QG7:QJ7,"A"))*4)+((COUNTIF('Elève (3ème5)'!QG7:QJ7,"B"))*3)+((COUNTIF('Elève (3ème5)'!QG7:QJ7,"C"))*2)+((COUNTIF('Elève (3ème5)'!QG7:QJ7,"D"))*1))/(COUNTA(QG7:QJ7)),"")</f>
        <v/>
      </c>
      <c r="QL7" s="164" t="str">
        <f t="shared" si="112"/>
        <v/>
      </c>
      <c r="QM7" s="103"/>
      <c r="QN7" s="104"/>
      <c r="QO7" s="105"/>
      <c r="QP7" s="105"/>
      <c r="QQ7" s="105"/>
      <c r="QR7" s="109"/>
      <c r="QS7" s="163" t="str">
        <f>IFERROR((((COUNTIF('Elève (3ème5)'!QM7:QR7,"A"))*4)+((COUNTIF('Elève (3ème5)'!QM7:QR7,"B"))*3)+((COUNTIF('Elève (3ème5)'!QM7:QR7,"C"))*2)+((COUNTIF('Elève (3ème5)'!QM7:QR7,"D"))*1))/(COUNTA(QM7:QR7)),"")</f>
        <v/>
      </c>
      <c r="QT7" s="164" t="str">
        <f t="shared" si="113"/>
        <v/>
      </c>
      <c r="QU7" s="163" t="str">
        <f>IF(COUNT(QE7,QK7,QS7)=0,"",SUM(QE7,QK7,QS7)/COUNT(QE7,QK7,QS7))</f>
        <v/>
      </c>
      <c r="QV7" s="187" t="str">
        <f t="shared" si="114"/>
        <v/>
      </c>
      <c r="QW7" s="103"/>
      <c r="QX7" s="104"/>
      <c r="QY7" s="105"/>
      <c r="QZ7" s="163" t="str">
        <f>IFERROR((((COUNTIF('Elève (3ème5)'!QW7:QY7,"A"))*4)+((COUNTIF('Elève (3ème5)'!QW7:QY7,"B"))*3)+((COUNTIF('Elève (3ème5)'!QW7:QY7,"C"))*2)+((COUNTIF('Elève (3ème5)'!QW7:QY7,"D"))*1))/(COUNTA(QW7:QY7)),"")</f>
        <v/>
      </c>
      <c r="RA7" s="164" t="str">
        <f t="shared" si="115"/>
        <v/>
      </c>
      <c r="RB7" s="103"/>
      <c r="RC7" s="104"/>
      <c r="RD7" s="105"/>
      <c r="RE7" s="105"/>
      <c r="RF7" s="163" t="str">
        <f>IFERROR((((COUNTIF('Elève (3ème5)'!RB7:RE7,"A"))*4)+((COUNTIF('Elève (3ème5)'!RB7:RE7,"B"))*3)+((COUNTIF('Elève (3ème5)'!RB7:RE7,"C"))*2)+((COUNTIF('Elève (3ème5)'!RB7:RE7,"D"))*1))/(COUNTA(RB7:RE7)),"")</f>
        <v/>
      </c>
      <c r="RG7" s="164" t="str">
        <f t="shared" si="116"/>
        <v/>
      </c>
      <c r="RH7" s="103"/>
      <c r="RI7" s="104"/>
      <c r="RJ7" s="105"/>
      <c r="RK7" s="105"/>
      <c r="RL7" s="105"/>
      <c r="RM7" s="109"/>
      <c r="RN7" s="163" t="str">
        <f>IFERROR((((COUNTIF('Elève (3ème5)'!RH7:RM7,"A"))*4)+((COUNTIF('Elève (3ème5)'!RH7:RM7,"B"))*3)+((COUNTIF('Elève (3ème5)'!RH7:RM7,"C"))*2)+((COUNTIF('Elève (3ème5)'!RH7:RM7,"D"))*1))/(COUNTA(RH7:RM7)),"")</f>
        <v/>
      </c>
      <c r="RO7" s="164" t="str">
        <f t="shared" si="117"/>
        <v/>
      </c>
      <c r="RP7" s="163" t="str">
        <f>IF(COUNT(QZ7,RF7,RN7)=0,"",SUM(QZ7,RF7,RN7)/COUNT(QZ7,RF7,RN7))</f>
        <v/>
      </c>
      <c r="RQ7" s="187" t="str">
        <f t="shared" si="118"/>
        <v/>
      </c>
      <c r="RR7" s="103"/>
      <c r="RS7" s="104"/>
      <c r="RT7" s="105"/>
      <c r="RU7" s="163" t="str">
        <f>IFERROR((((COUNTIF('Elève (3ème5)'!RR7:RT7,"A"))*4)+((COUNTIF('Elève (3ème5)'!RR7:RT7,"B"))*3)+((COUNTIF('Elève (3ème5)'!RR7:RT7,"C"))*2)+((COUNTIF('Elève (3ème5)'!RR7:RT7,"D"))*1))/(COUNTA(RR7:RT7)),"")</f>
        <v/>
      </c>
      <c r="RV7" s="164" t="str">
        <f t="shared" si="119"/>
        <v/>
      </c>
      <c r="RW7" s="103"/>
      <c r="RX7" s="104"/>
      <c r="RY7" s="105"/>
      <c r="RZ7" s="105"/>
      <c r="SA7" s="163" t="str">
        <f>IFERROR((((COUNTIF('Elève (3ème5)'!RW7:RZ7,"A"))*4)+((COUNTIF('Elève (3ème5)'!RW7:RZ7,"B"))*3)+((COUNTIF('Elève (3ème5)'!RW7:RZ7,"C"))*2)+((COUNTIF('Elève (3ème5)'!RW7:RZ7,"D"))*1))/(COUNTA(RW7:RZ7)),"")</f>
        <v/>
      </c>
      <c r="SB7" s="164" t="str">
        <f t="shared" si="120"/>
        <v/>
      </c>
      <c r="SC7" s="103"/>
      <c r="SD7" s="104"/>
      <c r="SE7" s="105"/>
      <c r="SF7" s="105"/>
      <c r="SG7" s="105"/>
      <c r="SH7" s="109"/>
      <c r="SI7" s="163" t="str">
        <f>IFERROR((((COUNTIF('Elève (3ème5)'!SC7:SH7,"A"))*4)+((COUNTIF('Elève (3ème5)'!SC7:SH7,"B"))*3)+((COUNTIF('Elève (3ème5)'!SC7:SH7,"C"))*2)+((COUNTIF('Elève (3ème5)'!SC7:SH7,"D"))*1))/(COUNTA(SC7:SH7)),"")</f>
        <v/>
      </c>
      <c r="SJ7" s="164" t="str">
        <f t="shared" si="121"/>
        <v/>
      </c>
      <c r="SK7" s="163" t="str">
        <f>IF(COUNT(RU7,SA7,SI7)=0,"",SUM(RU7,SA7,SI7)/COUNT(RU7,SA7,SI7))</f>
        <v/>
      </c>
      <c r="SL7" s="187" t="str">
        <f t="shared" si="122"/>
        <v/>
      </c>
      <c r="SM7" s="103"/>
      <c r="SN7" s="104"/>
      <c r="SO7" s="105"/>
      <c r="SP7" s="163" t="str">
        <f>IFERROR((((COUNTIF('Elève (3ème5)'!SM7:SO7,"A"))*4)+((COUNTIF('Elève (3ème5)'!SM7:SO7,"B"))*3)+((COUNTIF('Elève (3ème5)'!SM7:SO7,"C"))*2)+((COUNTIF('Elève (3ème5)'!SM7:SO7,"D"))*1))/(COUNTA(SM7:SO7)),"")</f>
        <v/>
      </c>
      <c r="SQ7" s="164" t="str">
        <f t="shared" si="123"/>
        <v/>
      </c>
      <c r="SR7" s="103"/>
      <c r="SS7" s="104"/>
      <c r="ST7" s="105"/>
      <c r="SU7" s="105"/>
      <c r="SV7" s="163" t="str">
        <f>IFERROR((((COUNTIF('Elève (3ème5)'!SR7:SU7,"A"))*4)+((COUNTIF('Elève (3ème5)'!SR7:SU7,"B"))*3)+((COUNTIF('Elève (3ème5)'!SR7:SU7,"C"))*2)+((COUNTIF('Elève (3ème5)'!SR7:SU7,"D"))*1))/(COUNTA(SR7:SU7)),"")</f>
        <v/>
      </c>
      <c r="SW7" s="164" t="str">
        <f t="shared" si="124"/>
        <v/>
      </c>
      <c r="SX7" s="103"/>
      <c r="SY7" s="104"/>
      <c r="SZ7" s="105"/>
      <c r="TA7" s="105"/>
      <c r="TB7" s="105"/>
      <c r="TC7" s="109"/>
      <c r="TD7" s="163" t="str">
        <f>IFERROR((((COUNTIF('Elève (3ème5)'!SX7:TC7,"A"))*4)+((COUNTIF('Elève (3ème5)'!SX7:TC7,"B"))*3)+((COUNTIF('Elève (3ème5)'!SX7:TC7,"C"))*2)+((COUNTIF('Elève (3ème5)'!SX7:TC7,"D"))*1))/(COUNTA(SX7:TC7)),"")</f>
        <v/>
      </c>
      <c r="TE7" s="164" t="str">
        <f t="shared" si="125"/>
        <v/>
      </c>
      <c r="TF7" s="163" t="str">
        <f>IF(COUNT(SP7,SV7,TD7)=0,"",SUM(SP7,SV7,TD7)/COUNT(SP7,SV7,TD7))</f>
        <v/>
      </c>
      <c r="TG7" s="187" t="str">
        <f t="shared" si="126"/>
        <v/>
      </c>
      <c r="TH7" s="103"/>
      <c r="TI7" s="104"/>
      <c r="TJ7" s="105"/>
      <c r="TK7" s="163" t="str">
        <f>IFERROR((((COUNTIF('Elève (3ème5)'!TH7:TJ7,"A"))*4)+((COUNTIF('Elève (3ème5)'!TH7:TJ7,"B"))*3)+((COUNTIF('Elève (3ème5)'!TH7:TJ7,"C"))*2)+((COUNTIF('Elève (3ème5)'!TH7:TJ7,"D"))*1))/(COUNTA(TH7:TJ7)),"")</f>
        <v/>
      </c>
      <c r="TL7" s="164" t="str">
        <f t="shared" si="127"/>
        <v/>
      </c>
      <c r="TM7" s="103"/>
      <c r="TN7" s="104"/>
      <c r="TO7" s="105"/>
      <c r="TP7" s="105"/>
      <c r="TQ7" s="163" t="str">
        <f>IFERROR((((COUNTIF('Elève (3ème5)'!TM7:TP7,"A"))*4)+((COUNTIF('Elève (3ème5)'!TM7:TP7,"B"))*3)+((COUNTIF('Elève (3ème5)'!TM7:TP7,"C"))*2)+((COUNTIF('Elève (3ème5)'!TM7:TP7,"D"))*1))/(COUNTA(TM7:TP7)),"")</f>
        <v/>
      </c>
      <c r="TR7" s="164" t="str">
        <f t="shared" si="128"/>
        <v/>
      </c>
      <c r="TS7" s="103"/>
      <c r="TT7" s="104"/>
      <c r="TU7" s="105"/>
      <c r="TV7" s="105"/>
      <c r="TW7" s="105"/>
      <c r="TX7" s="109"/>
      <c r="TY7" s="163" t="str">
        <f>IFERROR((((COUNTIF('Elève (3ème5)'!TS7:TX7,"A"))*4)+((COUNTIF('Elève (3ème5)'!TS7:TX7,"B"))*3)+((COUNTIF('Elève (3ème5)'!TS7:TX7,"C"))*2)+((COUNTIF('Elève (3ème5)'!TS7:TX7,"D"))*1))/(COUNTA(TS7:TX7)),"")</f>
        <v/>
      </c>
      <c r="TZ7" s="164" t="str">
        <f t="shared" si="129"/>
        <v/>
      </c>
      <c r="UA7" s="163" t="str">
        <f>IF(COUNT(TK7,TQ7,TY7)=0,"",SUM(TK7,TQ7,TY7)/COUNT(TK7,TQ7,TY7))</f>
        <v/>
      </c>
      <c r="UB7" s="187" t="str">
        <f t="shared" si="130"/>
        <v/>
      </c>
      <c r="UC7" s="103"/>
      <c r="UD7" s="104"/>
      <c r="UE7" s="105"/>
      <c r="UF7" s="163" t="str">
        <f>IFERROR((((COUNTIF('Elève (3ème5)'!UC7:UE7,"A"))*4)+((COUNTIF('Elève (3ème5)'!UC7:UE7,"B"))*3)+((COUNTIF('Elève (3ème5)'!UC7:UE7,"C"))*2)+((COUNTIF('Elève (3ème5)'!UC7:UE7,"D"))*1))/(COUNTA(UC7:UE7)),"")</f>
        <v/>
      </c>
      <c r="UG7" s="164" t="str">
        <f t="shared" si="131"/>
        <v/>
      </c>
      <c r="UH7" s="103"/>
      <c r="UI7" s="104"/>
      <c r="UJ7" s="105"/>
      <c r="UK7" s="105"/>
      <c r="UL7" s="163" t="str">
        <f>IFERROR((((COUNTIF('Elève (3ème5)'!UH7:UK7,"A"))*4)+((COUNTIF('Elève (3ème5)'!UH7:UK7,"B"))*3)+((COUNTIF('Elève (3ème5)'!UH7:UK7,"C"))*2)+((COUNTIF('Elève (3ème5)'!UH7:UK7,"D"))*1))/(COUNTA(UH7:UK7)),"")</f>
        <v/>
      </c>
      <c r="UM7" s="164" t="str">
        <f t="shared" si="132"/>
        <v/>
      </c>
      <c r="UN7" s="103"/>
      <c r="UO7" s="104"/>
      <c r="UP7" s="105"/>
      <c r="UQ7" s="105"/>
      <c r="UR7" s="105"/>
      <c r="US7" s="109"/>
      <c r="UT7" s="163" t="str">
        <f>IFERROR((((COUNTIF('Elève (3ème5)'!UN7:US7,"A"))*4)+((COUNTIF('Elève (3ème5)'!UN7:US7,"B"))*3)+((COUNTIF('Elève (3ème5)'!UN7:US7,"C"))*2)+((COUNTIF('Elève (3ème5)'!UN7:US7,"D"))*1))/(COUNTA(UN7:US7)),"")</f>
        <v/>
      </c>
      <c r="UU7" s="164" t="str">
        <f t="shared" si="133"/>
        <v/>
      </c>
      <c r="UV7" s="163" t="str">
        <f>IF(COUNT(UF7,UL7,UT7)=0,"",SUM(UF7,UL7,UT7)/COUNT(UF7,UL7,UT7))</f>
        <v/>
      </c>
      <c r="UW7" s="187" t="str">
        <f t="shared" si="134"/>
        <v/>
      </c>
      <c r="UX7" s="103"/>
      <c r="UY7" s="104"/>
      <c r="UZ7" s="105"/>
      <c r="VA7" s="163" t="str">
        <f>IFERROR((((COUNTIF('Elève (3ème5)'!UX7:UZ7,"A"))*4)+((COUNTIF('Elève (3ème5)'!UX7:UZ7,"B"))*3)+((COUNTIF('Elève (3ème5)'!UX7:UZ7,"C"))*2)+((COUNTIF('Elève (3ème5)'!UX7:UZ7,"D"))*1))/(COUNTA(UX7:UZ7)),"")</f>
        <v/>
      </c>
      <c r="VB7" s="164" t="str">
        <f t="shared" si="135"/>
        <v/>
      </c>
      <c r="VC7" s="103"/>
      <c r="VD7" s="104"/>
      <c r="VE7" s="105"/>
      <c r="VF7" s="105"/>
      <c r="VG7" s="163" t="str">
        <f>IFERROR((((COUNTIF('Elève (3ème5)'!VC7:VF7,"A"))*4)+((COUNTIF('Elève (3ème5)'!VC7:VF7,"B"))*3)+((COUNTIF('Elève (3ème5)'!VC7:VF7,"C"))*2)+((COUNTIF('Elève (3ème5)'!VC7:VF7,"D"))*1))/(COUNTA(VC7:VF7)),"")</f>
        <v/>
      </c>
      <c r="VH7" s="164" t="str">
        <f t="shared" si="136"/>
        <v/>
      </c>
      <c r="VI7" s="103"/>
      <c r="VJ7" s="104"/>
      <c r="VK7" s="105"/>
      <c r="VL7" s="105"/>
      <c r="VM7" s="105"/>
      <c r="VN7" s="109"/>
      <c r="VO7" s="163" t="str">
        <f>IFERROR((((COUNTIF('Elève (3ème5)'!VI7:VN7,"A"))*4)+((COUNTIF('Elève (3ème5)'!VI7:VN7,"B"))*3)+((COUNTIF('Elève (3ème5)'!VI7:VN7,"C"))*2)+((COUNTIF('Elève (3ème5)'!VI7:VN7,"D"))*1))/(COUNTA(VI7:VN7)),"")</f>
        <v/>
      </c>
      <c r="VP7" s="164" t="str">
        <f t="shared" si="137"/>
        <v/>
      </c>
      <c r="VQ7" s="163" t="str">
        <f>IF(COUNT(VA7,VG7,VO7)=0,"",SUM(VA7,VG7,VO7)/COUNT(VA7,VG7,VO7))</f>
        <v/>
      </c>
      <c r="VR7" s="187" t="str">
        <f t="shared" si="138"/>
        <v/>
      </c>
      <c r="VS7" s="103"/>
      <c r="VT7" s="104"/>
      <c r="VU7" s="105"/>
      <c r="VV7" s="106" t="str">
        <f>IFERROR((((COUNTIF('Elève (3ème5)'!VS7:VU7,"A"))*4)+((COUNTIF('Elève (3ème5)'!VS7:VU7,"B"))*3)+((COUNTIF('Elève (3ème5)'!VS7:VU7,"C"))*2)+((COUNTIF('Elève (3ème5)'!VS7:VU7,"D"))*1))/(COUNTA(VS7:VU7)),"")</f>
        <v/>
      </c>
      <c r="VW7" s="107" t="str">
        <f t="shared" si="139"/>
        <v/>
      </c>
      <c r="VX7" s="103"/>
      <c r="VY7" s="104"/>
      <c r="VZ7" s="105"/>
      <c r="WA7" s="106" t="str">
        <f>IFERROR((((COUNTIF('Elève (3ème5)'!VX7:VZ7,"A"))*4)+((COUNTIF('Elève (3ème5)'!VX7:VZ7,"B"))*3)+((COUNTIF('Elève (3ème5)'!VX7:VZ7,"C"))*2)+((COUNTIF('Elève (3ème5)'!VX7:VZ7,"D"))*1))/(COUNTA(VX7:VZ7)),"")</f>
        <v/>
      </c>
      <c r="WB7" s="107" t="str">
        <f t="shared" si="140"/>
        <v/>
      </c>
      <c r="WC7" s="103"/>
      <c r="WD7" s="104"/>
      <c r="WE7" s="109"/>
      <c r="WF7" s="106" t="str">
        <f>IFERROR((((COUNTIF('Elève (3ème5)'!WC7:WE7,"A"))*4)+((COUNTIF('Elève (3ème5)'!WC7:WE7,"B"))*3)+((COUNTIF('Elève (3ème5)'!WC7:WE7,"C"))*2)+((COUNTIF('Elève (3ème5)'!WC7:WE7,"D"))*1))/(COUNTA(WC7:WE7)),"")</f>
        <v/>
      </c>
      <c r="WG7" s="107" t="str">
        <f t="shared" si="141"/>
        <v/>
      </c>
      <c r="WH7" s="106" t="str">
        <f>IF(COUNT(VV7,WA7,WF7)=0,"",SUM(VV7,WA7,WF7)/COUNT(VV7,WA7,WF7))</f>
        <v/>
      </c>
      <c r="WI7" s="108" t="str">
        <f t="shared" si="142"/>
        <v/>
      </c>
      <c r="WJ7" s="103"/>
      <c r="WK7" s="104"/>
      <c r="WL7" s="105"/>
      <c r="WM7" s="106" t="str">
        <f>IFERROR((((COUNTIF('Elève (3ème5)'!WJ7:WL7,"A"))*4)+((COUNTIF('Elève (3ème5)'!WJ7:WL7,"B"))*3)+((COUNTIF('Elève (3ème5)'!WJ7:WL7,"C"))*2)+((COUNTIF('Elève (3ème5)'!WJ7:WL7,"D"))*1))/(COUNTA(WJ7:WL7)),"")</f>
        <v/>
      </c>
      <c r="WN7" s="107" t="str">
        <f t="shared" si="143"/>
        <v/>
      </c>
      <c r="WO7" s="103"/>
      <c r="WP7" s="104"/>
      <c r="WQ7" s="105"/>
      <c r="WR7" s="106" t="str">
        <f>IFERROR((((COUNTIF('Elève (3ème5)'!WO7:WQ7,"A"))*4)+((COUNTIF('Elève (3ème5)'!WO7:WQ7,"B"))*3)+((COUNTIF('Elève (3ème5)'!WO7:WQ7,"C"))*2)+((COUNTIF('Elève (3ème5)'!WO7:WQ7,"D"))*1))/(COUNTA(WO7:WQ7)),"")</f>
        <v/>
      </c>
      <c r="WS7" s="107" t="str">
        <f t="shared" si="144"/>
        <v/>
      </c>
      <c r="WT7" s="103"/>
      <c r="WU7" s="104"/>
      <c r="WV7" s="109"/>
      <c r="WW7" s="106" t="str">
        <f>IFERROR((((COUNTIF('Elève (3ème5)'!WT7:WV7,"A"))*4)+((COUNTIF('Elève (3ème5)'!WT7:WV7,"B"))*3)+((COUNTIF('Elève (3ème5)'!WT7:WV7,"C"))*2)+((COUNTIF('Elève (3ème5)'!WT7:WV7,"D"))*1))/(COUNTA(WT7:WV7)),"")</f>
        <v/>
      </c>
      <c r="WX7" s="107" t="str">
        <f t="shared" si="145"/>
        <v/>
      </c>
      <c r="WY7" s="106" t="str">
        <f>IF(COUNT(WM7,WR7,WW7)=0,"",SUM(WM7,WR7,WW7)/COUNT(WM7,WR7,WW7))</f>
        <v/>
      </c>
      <c r="WZ7" s="108" t="str">
        <f t="shared" si="146"/>
        <v/>
      </c>
    </row>
    <row r="8" spans="1:624" ht="18" customHeight="1" x14ac:dyDescent="0.55000000000000004">
      <c r="A8" s="221" t="s">
        <v>15</v>
      </c>
      <c r="B8" s="222"/>
      <c r="C8" s="103"/>
      <c r="D8" s="104"/>
      <c r="E8" s="105"/>
      <c r="F8" s="163" t="str">
        <f>IFERROR((((COUNTIF('Elève (3ème5)'!C8:E8,"A"))*4)+((COUNTIF('Elève (3ème5)'!C8:E8,"B"))*3)+((COUNTIF('Elève (3ème5)'!C8:E8,"C"))*2)+((COUNTIF('Elève (3ème5)'!C8:E8,"D"))*1))/(COUNTA(C8:E8)),"")</f>
        <v/>
      </c>
      <c r="G8" s="164" t="str">
        <f t="shared" si="27"/>
        <v/>
      </c>
      <c r="H8" s="103"/>
      <c r="I8" s="104"/>
      <c r="J8" s="105"/>
      <c r="K8" s="105"/>
      <c r="L8" s="163" t="str">
        <f>IFERROR((((COUNTIF('Elève (3ème5)'!H8:K8,"A"))*4)+((COUNTIF('Elève (3ème5)'!H8:K8,"B"))*3)+((COUNTIF('Elève (3ème5)'!H8:K8,"C"))*2)+((COUNTIF('Elève (3ème5)'!H8:K8,"D"))*1))/(COUNTA(H8:K8)),"")</f>
        <v/>
      </c>
      <c r="M8" s="164" t="str">
        <f t="shared" si="28"/>
        <v/>
      </c>
      <c r="N8" s="103"/>
      <c r="O8" s="104" t="s">
        <v>30</v>
      </c>
      <c r="P8" s="105" t="s">
        <v>30</v>
      </c>
      <c r="Q8" s="105"/>
      <c r="R8" s="105"/>
      <c r="S8" s="105"/>
      <c r="T8" s="163">
        <f>IFERROR((((COUNTIF('Elève (3ème5)'!N8:S8,"A"))*4)+((COUNTIF('Elève (3ème5)'!N8:S8,"B"))*3)+((COUNTIF('Elève (3ème5)'!N8:S8,"C"))*2)+((COUNTIF('Elève (3ème5)'!N8:S8,"D"))*1))/(COUNTA(N8:S8)),"")</f>
        <v>1</v>
      </c>
      <c r="U8" s="164" t="str">
        <f t="shared" si="29"/>
        <v>D</v>
      </c>
      <c r="V8" s="163">
        <f>IF(COUNT(F8,L8,T8)=0,"",SUM(F8,L8,T8)/COUNT(F8,L8,T8))</f>
        <v>1</v>
      </c>
      <c r="W8" s="187" t="str">
        <f t="shared" si="30"/>
        <v>D</v>
      </c>
      <c r="X8" s="103"/>
      <c r="Y8" s="104"/>
      <c r="Z8" s="105"/>
      <c r="AA8" s="163" t="str">
        <f>IFERROR((((COUNTIF('Elève (3ème5)'!X8:Z8,"A"))*4)+((COUNTIF('Elève (3ème5)'!X8:Z8,"B"))*3)+((COUNTIF('Elève (3ème5)'!X8:Z8,"C"))*2)+((COUNTIF('Elève (3ème5)'!X8:Z8,"D"))*1))/(COUNTA(X8:Z8)),"")</f>
        <v/>
      </c>
      <c r="AB8" s="164" t="str">
        <f t="shared" si="31"/>
        <v/>
      </c>
      <c r="AC8" s="103"/>
      <c r="AD8" s="104"/>
      <c r="AE8" s="105"/>
      <c r="AF8" s="105"/>
      <c r="AG8" s="163" t="str">
        <f>IFERROR((((COUNTIF('Elève (3ème5)'!AC8:AF8,"A"))*4)+((COUNTIF('Elève (3ème5)'!AC8:AF8,"B"))*3)+((COUNTIF('Elève (3ème5)'!AC8:AF8,"C"))*2)+((COUNTIF('Elève (3ème5)'!AC8:AF8,"D"))*1))/(COUNTA(AC8:AF8)),"")</f>
        <v/>
      </c>
      <c r="AH8" s="164" t="str">
        <f t="shared" si="32"/>
        <v/>
      </c>
      <c r="AI8" s="103"/>
      <c r="AJ8" s="104" t="s">
        <v>27</v>
      </c>
      <c r="AK8" s="105" t="s">
        <v>27</v>
      </c>
      <c r="AL8" s="105"/>
      <c r="AM8" s="105"/>
      <c r="AN8" s="109"/>
      <c r="AO8" s="163">
        <f>IFERROR((((COUNTIF('Elève (3ème5)'!AI8:AN8,"A"))*4)+((COUNTIF('Elève (3ème5)'!AI8:AN8,"B"))*3)+((COUNTIF('Elève (3ème5)'!AI8:AN8,"C"))*2)+((COUNTIF('Elève (3ème5)'!AI8:AN8,"D"))*1))/(COUNTA(AI8:AN8)),"")</f>
        <v>4</v>
      </c>
      <c r="AP8" s="164" t="str">
        <f t="shared" si="33"/>
        <v>A</v>
      </c>
      <c r="AQ8" s="163">
        <f>IF(COUNT(AA8,AG8,AO8)=0,"",SUM(AA8,AG8,AO8)/COUNT(AA8,AG8,AO8))</f>
        <v>4</v>
      </c>
      <c r="AR8" s="187" t="str">
        <f t="shared" si="34"/>
        <v>A</v>
      </c>
      <c r="AS8" s="103"/>
      <c r="AT8" s="104"/>
      <c r="AU8" s="105"/>
      <c r="AV8" s="163" t="str">
        <f>IFERROR((((COUNTIF('Elève (3ème5)'!AS8:AU8,"A"))*4)+((COUNTIF('Elève (3ème5)'!AS8:AU8,"B"))*3)+((COUNTIF('Elève (3ème5)'!AS8:AU8,"C"))*2)+((COUNTIF('Elève (3ème5)'!AS8:AU8,"D"))*1))/(COUNTA(AS8:AU8)),"")</f>
        <v/>
      </c>
      <c r="AW8" s="164" t="str">
        <f t="shared" si="35"/>
        <v/>
      </c>
      <c r="AX8" s="103"/>
      <c r="AY8" s="104"/>
      <c r="AZ8" s="105"/>
      <c r="BA8" s="105"/>
      <c r="BB8" s="163" t="str">
        <f>IFERROR((((COUNTIF('Elève (3ème5)'!AX8:BA8,"A"))*4)+((COUNTIF('Elève (3ème5)'!AX8:BA8,"B"))*3)+((COUNTIF('Elève (3ème5)'!AX8:BA8,"C"))*2)+((COUNTIF('Elève (3ème5)'!AX8:BA8,"D"))*1))/(COUNTA(AX8:BA8)),"")</f>
        <v/>
      </c>
      <c r="BC8" s="164" t="str">
        <f t="shared" si="36"/>
        <v/>
      </c>
      <c r="BD8" s="103"/>
      <c r="BE8" s="104" t="s">
        <v>29</v>
      </c>
      <c r="BF8" s="105" t="s">
        <v>29</v>
      </c>
      <c r="BG8" s="105"/>
      <c r="BH8" s="105"/>
      <c r="BI8" s="109"/>
      <c r="BJ8" s="163">
        <f>IFERROR((((COUNTIF('Elève (3ème5)'!BD8:BI8,"A"))*4)+((COUNTIF('Elève (3ème5)'!BD8:BI8,"B"))*3)+((COUNTIF('Elève (3ème5)'!BD8:BI8,"C"))*2)+((COUNTIF('Elève (3ème5)'!BD8:BI8,"D"))*1))/(COUNTA(BD8:BI8)),"")</f>
        <v>2</v>
      </c>
      <c r="BK8" s="164" t="str">
        <f t="shared" si="37"/>
        <v>C</v>
      </c>
      <c r="BL8" s="163">
        <f>IF(COUNT(AV8,BB8,BJ8)=0,"",SUM(AV8,BB8,BJ8)/COUNT(AV8,BB8,BJ8))</f>
        <v>2</v>
      </c>
      <c r="BM8" s="187" t="str">
        <f t="shared" si="38"/>
        <v>C</v>
      </c>
      <c r="BN8" s="103"/>
      <c r="BO8" s="104"/>
      <c r="BP8" s="105"/>
      <c r="BQ8" s="163" t="str">
        <f>IFERROR((((COUNTIF('Elève (3ème5)'!BN8:BP8,"A"))*4)+((COUNTIF('Elève (3ème5)'!BN8:BP8,"B"))*3)+((COUNTIF('Elève (3ème5)'!BN8:BP8,"C"))*2)+((COUNTIF('Elève (3ème5)'!BN8:BP8,"D"))*1))/(COUNTA(BN8:BP8)),"")</f>
        <v/>
      </c>
      <c r="BR8" s="164" t="str">
        <f t="shared" si="39"/>
        <v/>
      </c>
      <c r="BS8" s="103"/>
      <c r="BT8" s="104"/>
      <c r="BU8" s="105"/>
      <c r="BV8" s="105"/>
      <c r="BW8" s="163" t="str">
        <f>IFERROR((((COUNTIF('Elève (3ème5)'!BS8:BV8,"A"))*4)+((COUNTIF('Elève (3ème5)'!BS8:BV8,"B"))*3)+((COUNTIF('Elève (3ème5)'!BS8:BV8,"C"))*2)+((COUNTIF('Elève (3ème5)'!BS8:BV8,"D"))*1))/(COUNTA(BS8:BV8)),"")</f>
        <v/>
      </c>
      <c r="BX8" s="164" t="str">
        <f t="shared" si="40"/>
        <v/>
      </c>
      <c r="BY8" s="103"/>
      <c r="BZ8" s="104" t="s">
        <v>29</v>
      </c>
      <c r="CA8" s="105" t="s">
        <v>28</v>
      </c>
      <c r="CB8" s="105"/>
      <c r="CC8" s="105"/>
      <c r="CD8" s="109"/>
      <c r="CE8" s="163">
        <f>IFERROR((((COUNTIF('Elève (3ème5)'!BY8:CD8,"A"))*4)+((COUNTIF('Elève (3ème5)'!BY8:CD8,"B"))*3)+((COUNTIF('Elève (3ème5)'!BY8:CD8,"C"))*2)+((COUNTIF('Elève (3ème5)'!BY8:CD8,"D"))*1))/(COUNTA(BY8:CD8)),"")</f>
        <v>2.5</v>
      </c>
      <c r="CF8" s="164" t="str">
        <f t="shared" si="41"/>
        <v>C</v>
      </c>
      <c r="CG8" s="163">
        <f>IF(COUNT(BQ8,BW8,CE8)=0,"",SUM(BQ8,BW8,CE8)/COUNT(BQ8,BW8,CE8))</f>
        <v>2.5</v>
      </c>
      <c r="CH8" s="187" t="str">
        <f t="shared" si="42"/>
        <v>C</v>
      </c>
      <c r="CI8" s="103"/>
      <c r="CJ8" s="104"/>
      <c r="CK8" s="105"/>
      <c r="CL8" s="163" t="str">
        <f>IFERROR((((COUNTIF('Elève (3ème5)'!CI8:CK8,"A"))*4)+((COUNTIF('Elève (3ème5)'!CI8:CK8,"B"))*3)+((COUNTIF('Elève (3ème5)'!CI8:CK8,"C"))*2)+((COUNTIF('Elève (3ème5)'!CI8:CK8,"D"))*1))/(COUNTA(CI8:CK8)),"")</f>
        <v/>
      </c>
      <c r="CM8" s="164" t="str">
        <f t="shared" si="43"/>
        <v/>
      </c>
      <c r="CN8" s="103"/>
      <c r="CO8" s="104"/>
      <c r="CP8" s="105"/>
      <c r="CQ8" s="105"/>
      <c r="CR8" s="163" t="str">
        <f>IFERROR((((COUNTIF('Elève (3ème5)'!CN8:CQ8,"A"))*4)+((COUNTIF('Elève (3ème5)'!CN8:CQ8,"B"))*3)+((COUNTIF('Elève (3ème5)'!CN8:CQ8,"C"))*2)+((COUNTIF('Elève (3ème5)'!CN8:CQ8,"D"))*1))/(COUNTA(CN8:CQ8)),"")</f>
        <v/>
      </c>
      <c r="CS8" s="164" t="str">
        <f t="shared" si="44"/>
        <v/>
      </c>
      <c r="CT8" s="103"/>
      <c r="CU8" s="104" t="s">
        <v>30</v>
      </c>
      <c r="CV8" s="105" t="s">
        <v>30</v>
      </c>
      <c r="CW8" s="105"/>
      <c r="CX8" s="105"/>
      <c r="CY8" s="109"/>
      <c r="CZ8" s="163">
        <f>IFERROR((((COUNTIF('Elève (3ème5)'!CT8:CY8,"A"))*4)+((COUNTIF('Elève (3ème5)'!CT8:CY8,"B"))*3)+((COUNTIF('Elève (3ème5)'!CT8:CY8,"C"))*2)+((COUNTIF('Elève (3ème5)'!CT8:CY8,"D"))*1))/(COUNTA(CT8:CY8)),"")</f>
        <v>1</v>
      </c>
      <c r="DA8" s="164" t="str">
        <f t="shared" si="45"/>
        <v>D</v>
      </c>
      <c r="DB8" s="163">
        <f>IF(COUNT(CL8,CR8,CZ8)=0,"",SUM(CL8,CR8,CZ8)/COUNT(CL8,CR8,CZ8))</f>
        <v>1</v>
      </c>
      <c r="DC8" s="187" t="str">
        <f t="shared" si="46"/>
        <v>D</v>
      </c>
      <c r="DD8" s="103"/>
      <c r="DE8" s="104"/>
      <c r="DF8" s="105"/>
      <c r="DG8" s="163" t="str">
        <f>IFERROR((((COUNTIF('Elève (3ème5)'!DD8:DF8,"A"))*4)+((COUNTIF('Elève (3ème5)'!DD8:DF8,"B"))*3)+((COUNTIF('Elève (3ème5)'!DD8:DF8,"C"))*2)+((COUNTIF('Elève (3ème5)'!DD8:DF8,"D"))*1))/(COUNTA(DD8:DF8)),"")</f>
        <v/>
      </c>
      <c r="DH8" s="164" t="str">
        <f t="shared" si="47"/>
        <v/>
      </c>
      <c r="DI8" s="103"/>
      <c r="DJ8" s="104"/>
      <c r="DK8" s="105"/>
      <c r="DL8" s="105"/>
      <c r="DM8" s="163" t="str">
        <f>IFERROR((((COUNTIF('Elève (3ème5)'!DI8:DL8,"A"))*4)+((COUNTIF('Elève (3ème5)'!DI8:DL8,"B"))*3)+((COUNTIF('Elève (3ème5)'!DI8:DL8,"C"))*2)+((COUNTIF('Elève (3ème5)'!DI8:DL8,"D"))*1))/(COUNTA(DI8:DL8)),"")</f>
        <v/>
      </c>
      <c r="DN8" s="164" t="str">
        <f t="shared" si="48"/>
        <v/>
      </c>
      <c r="DO8" s="103"/>
      <c r="DP8" s="104" t="s">
        <v>27</v>
      </c>
      <c r="DQ8" s="105" t="s">
        <v>28</v>
      </c>
      <c r="DR8" s="105"/>
      <c r="DS8" s="105"/>
      <c r="DT8" s="109"/>
      <c r="DU8" s="163">
        <f>IFERROR((((COUNTIF('Elève (3ème5)'!DO8:DT8,"A"))*4)+((COUNTIF('Elève (3ème5)'!DO8:DT8,"B"))*3)+((COUNTIF('Elève (3ème5)'!DO8:DT8,"C"))*2)+((COUNTIF('Elève (3ème5)'!DO8:DT8,"D"))*1))/(COUNTA(DO8:DT8)),"")</f>
        <v>3.5</v>
      </c>
      <c r="DV8" s="164" t="str">
        <f t="shared" si="49"/>
        <v>B</v>
      </c>
      <c r="DW8" s="163">
        <f>IF(COUNT(DG8,DM8,DU8)=0,"",SUM(DG8,DM8,DU8)/COUNT(DG8,DM8,DU8))</f>
        <v>3.5</v>
      </c>
      <c r="DX8" s="187" t="str">
        <f t="shared" si="50"/>
        <v>B</v>
      </c>
      <c r="DY8" s="103"/>
      <c r="DZ8" s="104"/>
      <c r="EA8" s="105"/>
      <c r="EB8" s="163" t="str">
        <f>IFERROR((((COUNTIF('Elève (3ème5)'!DY8:EA8,"A"))*4)+((COUNTIF('Elève (3ème5)'!DY8:EA8,"B"))*3)+((COUNTIF('Elève (3ème5)'!DY8:EA8,"C"))*2)+((COUNTIF('Elève (3ème5)'!DY8:EA8,"D"))*1))/(COUNTA(DY8:EA8)),"")</f>
        <v/>
      </c>
      <c r="EC8" s="164" t="str">
        <f t="shared" si="51"/>
        <v/>
      </c>
      <c r="ED8" s="103"/>
      <c r="EE8" s="104"/>
      <c r="EF8" s="105"/>
      <c r="EG8" s="105"/>
      <c r="EH8" s="163" t="str">
        <f>IFERROR((((COUNTIF('Elève (3ème5)'!ED8:EG8,"A"))*4)+((COUNTIF('Elève (3ème5)'!ED8:EG8,"B"))*3)+((COUNTIF('Elève (3ème5)'!ED8:EG8,"C"))*2)+((COUNTIF('Elève (3ème5)'!ED8:EG8,"D"))*1))/(COUNTA(ED8:EG8)),"")</f>
        <v/>
      </c>
      <c r="EI8" s="164" t="str">
        <f t="shared" si="52"/>
        <v/>
      </c>
      <c r="EJ8" s="103"/>
      <c r="EK8" s="104" t="s">
        <v>30</v>
      </c>
      <c r="EL8" s="105" t="s">
        <v>29</v>
      </c>
      <c r="EM8" s="105"/>
      <c r="EN8" s="105"/>
      <c r="EO8" s="109"/>
      <c r="EP8" s="163">
        <f>IFERROR((((COUNTIF('Elève (3ème5)'!EJ8:EO8,"A"))*4)+((COUNTIF('Elève (3ème5)'!EJ8:EO8,"B"))*3)+((COUNTIF('Elève (3ème5)'!EJ8:EO8,"C"))*2)+((COUNTIF('Elève (3ème5)'!EJ8:EO8,"D"))*1))/(COUNTA(EJ8:EO8)),"")</f>
        <v>1.5</v>
      </c>
      <c r="EQ8" s="164" t="str">
        <f t="shared" si="53"/>
        <v>D</v>
      </c>
      <c r="ER8" s="163">
        <f>IF(COUNT(EB8,EH8,EP8)=0,"",SUM(EB8,EH8,EP8)/COUNT(EB8,EH8,EP8))</f>
        <v>1.5</v>
      </c>
      <c r="ES8" s="187" t="str">
        <f t="shared" si="54"/>
        <v>D</v>
      </c>
      <c r="ET8" s="103"/>
      <c r="EU8" s="104"/>
      <c r="EV8" s="105"/>
      <c r="EW8" s="163" t="str">
        <f>IFERROR((((COUNTIF('Elève (3ème5)'!ET8:EV8,"A"))*4)+((COUNTIF('Elève (3ème5)'!ET8:EV8,"B"))*3)+((COUNTIF('Elève (3ème5)'!ET8:EV8,"C"))*2)+((COUNTIF('Elève (3ème5)'!ET8:EV8,"D"))*1))/(COUNTA(ET8:EV8)),"")</f>
        <v/>
      </c>
      <c r="EX8" s="164" t="str">
        <f t="shared" si="55"/>
        <v/>
      </c>
      <c r="EY8" s="103"/>
      <c r="EZ8" s="104"/>
      <c r="FA8" s="105"/>
      <c r="FB8" s="105"/>
      <c r="FC8" s="163" t="str">
        <f>IFERROR((((COUNTIF('Elève (3ème5)'!EY8:FB8,"A"))*4)+((COUNTIF('Elève (3ème5)'!EY8:FB8,"B"))*3)+((COUNTIF('Elève (3ème5)'!EY8:FB8,"C"))*2)+((COUNTIF('Elève (3ème5)'!EY8:FB8,"D"))*1))/(COUNTA(EY8:FB8)),"")</f>
        <v/>
      </c>
      <c r="FD8" s="164" t="str">
        <f t="shared" si="56"/>
        <v/>
      </c>
      <c r="FE8" s="103"/>
      <c r="FF8" s="104" t="s">
        <v>30</v>
      </c>
      <c r="FG8" s="105" t="s">
        <v>29</v>
      </c>
      <c r="FH8" s="105"/>
      <c r="FI8" s="105"/>
      <c r="FJ8" s="109"/>
      <c r="FK8" s="163">
        <f>IFERROR((((COUNTIF('Elève (3ème5)'!FE8:FJ8,"A"))*4)+((COUNTIF('Elève (3ème5)'!FE8:FJ8,"B"))*3)+((COUNTIF('Elève (3ème5)'!FE8:FJ8,"C"))*2)+((COUNTIF('Elève (3ème5)'!FE8:FJ8,"D"))*1))/(COUNTA(FE8:FJ8)),"")</f>
        <v>1.5</v>
      </c>
      <c r="FL8" s="164" t="str">
        <f t="shared" si="57"/>
        <v>D</v>
      </c>
      <c r="FM8" s="163">
        <f>IF(COUNT(EW8,FC8,FK8)=0,"",SUM(EW8,FC8,FK8)/COUNT(EW8,FC8,FK8))</f>
        <v>1.5</v>
      </c>
      <c r="FN8" s="187" t="str">
        <f t="shared" si="58"/>
        <v>D</v>
      </c>
      <c r="FO8" s="103"/>
      <c r="FP8" s="104"/>
      <c r="FQ8" s="105"/>
      <c r="FR8" s="163" t="str">
        <f>IFERROR((((COUNTIF('Elève (3ème5)'!FO8:FQ8,"A"))*4)+((COUNTIF('Elève (3ème5)'!FO8:FQ8,"B"))*3)+((COUNTIF('Elève (3ème5)'!FO8:FQ8,"C"))*2)+((COUNTIF('Elève (3ème5)'!FO8:FQ8,"D"))*1))/(COUNTA(FO8:FQ8)),"")</f>
        <v/>
      </c>
      <c r="FS8" s="164" t="str">
        <f t="shared" si="59"/>
        <v/>
      </c>
      <c r="FT8" s="103"/>
      <c r="FU8" s="104"/>
      <c r="FV8" s="105"/>
      <c r="FW8" s="105"/>
      <c r="FX8" s="163" t="str">
        <f>IFERROR((((COUNTIF('Elève (3ème5)'!FT8:FW8,"A"))*4)+((COUNTIF('Elève (3ème5)'!FT8:FW8,"B"))*3)+((COUNTIF('Elève (3ème5)'!FT8:FW8,"C"))*2)+((COUNTIF('Elève (3ème5)'!FT8:FW8,"D"))*1))/(COUNTA(FT8:FW8)),"")</f>
        <v/>
      </c>
      <c r="FY8" s="164" t="str">
        <f t="shared" si="60"/>
        <v/>
      </c>
      <c r="FZ8" s="103"/>
      <c r="GA8" s="104" t="s">
        <v>30</v>
      </c>
      <c r="GB8" s="105" t="s">
        <v>29</v>
      </c>
      <c r="GC8" s="105"/>
      <c r="GD8" s="105"/>
      <c r="GE8" s="109"/>
      <c r="GF8" s="163">
        <f>IFERROR((((COUNTIF('Elève (3ème5)'!FZ8:GE8,"A"))*4)+((COUNTIF('Elève (3ème5)'!FZ8:GE8,"B"))*3)+((COUNTIF('Elève (3ème5)'!FZ8:GE8,"C"))*2)+((COUNTIF('Elève (3ème5)'!FZ8:GE8,"D"))*1))/(COUNTA(FZ8:GE8)),"")</f>
        <v>1.5</v>
      </c>
      <c r="GG8" s="164" t="str">
        <f t="shared" si="61"/>
        <v>D</v>
      </c>
      <c r="GH8" s="163">
        <f>IF(COUNT(FR8,FX8,GF8)=0,"",SUM(FR8,FX8,GF8)/COUNT(FR8,FX8,GF8))</f>
        <v>1.5</v>
      </c>
      <c r="GI8" s="187" t="str">
        <f t="shared" si="62"/>
        <v>D</v>
      </c>
      <c r="GJ8" s="103"/>
      <c r="GK8" s="104"/>
      <c r="GL8" s="105"/>
      <c r="GM8" s="163" t="str">
        <f>IFERROR((((COUNTIF('Elève (3ème5)'!GJ8:GL8,"A"))*4)+((COUNTIF('Elève (3ème5)'!GJ8:GL8,"B"))*3)+((COUNTIF('Elève (3ème5)'!GJ8:GL8,"C"))*2)+((COUNTIF('Elève (3ème5)'!GJ8:GL8,"D"))*1))/(COUNTA(GJ8:GL8)),"")</f>
        <v/>
      </c>
      <c r="GN8" s="164" t="str">
        <f t="shared" si="63"/>
        <v/>
      </c>
      <c r="GO8" s="103"/>
      <c r="GP8" s="104"/>
      <c r="GQ8" s="105"/>
      <c r="GR8" s="105"/>
      <c r="GS8" s="163" t="str">
        <f>IFERROR((((COUNTIF('Elève (3ème5)'!GO8:GR8,"A"))*4)+((COUNTIF('Elève (3ème5)'!GO8:GR8,"B"))*3)+((COUNTIF('Elève (3ème5)'!GO8:GR8,"C"))*2)+((COUNTIF('Elève (3ème5)'!GO8:GR8,"D"))*1))/(COUNTA(GO8:GR8)),"")</f>
        <v/>
      </c>
      <c r="GT8" s="164" t="str">
        <f t="shared" si="64"/>
        <v/>
      </c>
      <c r="GU8" s="103"/>
      <c r="GV8" s="104" t="s">
        <v>29</v>
      </c>
      <c r="GW8" s="105"/>
      <c r="GX8" s="105"/>
      <c r="GY8" s="105"/>
      <c r="GZ8" s="109"/>
      <c r="HA8" s="163">
        <f>IFERROR((((COUNTIF('Elève (3ème5)'!GU8:GZ8,"A"))*4)+((COUNTIF('Elève (3ème5)'!GU8:GZ8,"B"))*3)+((COUNTIF('Elève (3ème5)'!GU8:GZ8,"C"))*2)+((COUNTIF('Elève (3ème5)'!GU8:GZ8,"D"))*1))/(COUNTA(GU8:GZ8)),"")</f>
        <v>2</v>
      </c>
      <c r="HB8" s="164" t="str">
        <f t="shared" si="65"/>
        <v>C</v>
      </c>
      <c r="HC8" s="163">
        <f>IF(COUNT(GM8,GS8,HA8)=0,"",SUM(GM8,GS8,HA8)/COUNT(GM8,GS8,HA8))</f>
        <v>2</v>
      </c>
      <c r="HD8" s="187" t="str">
        <f t="shared" si="66"/>
        <v>C</v>
      </c>
      <c r="HE8" s="103"/>
      <c r="HF8" s="104"/>
      <c r="HG8" s="105"/>
      <c r="HH8" s="163" t="str">
        <f>IFERROR((((COUNTIF('Elève (3ème5)'!HE8:HG8,"A"))*4)+((COUNTIF('Elève (3ème5)'!HE8:HG8,"B"))*3)+((COUNTIF('Elève (3ème5)'!HE8:HG8,"C"))*2)+((COUNTIF('Elève (3ème5)'!HE8:HG8,"D"))*1))/(COUNTA(HE8:HG8)),"")</f>
        <v/>
      </c>
      <c r="HI8" s="164" t="str">
        <f t="shared" si="67"/>
        <v/>
      </c>
      <c r="HJ8" s="103"/>
      <c r="HK8" s="104"/>
      <c r="HL8" s="105"/>
      <c r="HM8" s="105"/>
      <c r="HN8" s="163" t="str">
        <f>IFERROR((((COUNTIF('Elève (3ème5)'!HJ8:HM8,"A"))*4)+((COUNTIF('Elève (3ème5)'!HJ8:HM8,"B"))*3)+((COUNTIF('Elève (3ème5)'!HJ8:HM8,"C"))*2)+((COUNTIF('Elève (3ème5)'!HJ8:HM8,"D"))*1))/(COUNTA(HJ8:HM8)),"")</f>
        <v/>
      </c>
      <c r="HO8" s="164" t="str">
        <f t="shared" si="68"/>
        <v/>
      </c>
      <c r="HP8" s="103"/>
      <c r="HQ8" s="104" t="s">
        <v>29</v>
      </c>
      <c r="HR8" s="105"/>
      <c r="HS8" s="105"/>
      <c r="HT8" s="105"/>
      <c r="HU8" s="109"/>
      <c r="HV8" s="163">
        <f>IFERROR((((COUNTIF('Elève (3ème5)'!HP8:HU8,"A"))*4)+((COUNTIF('Elève (3ème5)'!HP8:HU8,"B"))*3)+((COUNTIF('Elève (3ème5)'!HP8:HU8,"C"))*2)+((COUNTIF('Elève (3ème5)'!HP8:HU8,"D"))*1))/(COUNTA(HP8:HU8)),"")</f>
        <v>2</v>
      </c>
      <c r="HW8" s="164" t="str">
        <f t="shared" si="69"/>
        <v>C</v>
      </c>
      <c r="HX8" s="163">
        <f>IF(COUNT(HH8,HN8,HV8)=0,"",SUM(HH8,HN8,HV8)/COUNT(HH8,HN8,HV8))</f>
        <v>2</v>
      </c>
      <c r="HY8" s="187" t="str">
        <f t="shared" si="70"/>
        <v>C</v>
      </c>
      <c r="HZ8" s="103"/>
      <c r="IA8" s="104"/>
      <c r="IB8" s="105"/>
      <c r="IC8" s="163" t="str">
        <f>IFERROR((((COUNTIF('Elève (3ème5)'!HZ8:IB8,"A"))*4)+((COUNTIF('Elève (3ème5)'!HZ8:IB8,"B"))*3)+((COUNTIF('Elève (3ème5)'!HZ8:IB8,"C"))*2)+((COUNTIF('Elève (3ème5)'!HZ8:IB8,"D"))*1))/(COUNTA(HZ8:IB8)),"")</f>
        <v/>
      </c>
      <c r="ID8" s="164" t="str">
        <f t="shared" si="71"/>
        <v/>
      </c>
      <c r="IE8" s="103"/>
      <c r="IF8" s="104"/>
      <c r="IG8" s="105"/>
      <c r="IH8" s="105"/>
      <c r="II8" s="163" t="str">
        <f>IFERROR((((COUNTIF('Elève (3ème5)'!IE8:IH8,"A"))*4)+((COUNTIF('Elève (3ème5)'!IE8:IH8,"B"))*3)+((COUNTIF('Elève (3ème5)'!IE8:IH8,"C"))*2)+((COUNTIF('Elève (3ème5)'!IE8:IH8,"D"))*1))/(COUNTA(IE8:IH8)),"")</f>
        <v/>
      </c>
      <c r="IJ8" s="164" t="str">
        <f t="shared" si="72"/>
        <v/>
      </c>
      <c r="IK8" s="103"/>
      <c r="IL8" s="104" t="s">
        <v>30</v>
      </c>
      <c r="IM8" s="105" t="s">
        <v>30</v>
      </c>
      <c r="IN8" s="105"/>
      <c r="IO8" s="105"/>
      <c r="IP8" s="109"/>
      <c r="IQ8" s="163">
        <f>IFERROR((((COUNTIF('Elève (3ème5)'!IK8:IP8,"A"))*4)+((COUNTIF('Elève (3ème5)'!IK8:IP8,"B"))*3)+((COUNTIF('Elève (3ème5)'!IK8:IP8,"C"))*2)+((COUNTIF('Elève (3ème5)'!IK8:IP8,"D"))*1))/(COUNTA(IK8:IP8)),"")</f>
        <v>1</v>
      </c>
      <c r="IR8" s="164" t="str">
        <f t="shared" si="73"/>
        <v>D</v>
      </c>
      <c r="IS8" s="163">
        <f>IF(COUNT(IC8,II8,IQ8)=0,"",SUM(IC8,II8,IQ8)/COUNT(IC8,II8,IQ8))</f>
        <v>1</v>
      </c>
      <c r="IT8" s="187" t="str">
        <f t="shared" si="74"/>
        <v>D</v>
      </c>
      <c r="IU8" s="103"/>
      <c r="IV8" s="104"/>
      <c r="IW8" s="105"/>
      <c r="IX8" s="163" t="str">
        <f>IFERROR((((COUNTIF('Elève (3ème5)'!IU8:IW8,"A"))*4)+((COUNTIF('Elève (3ème5)'!IU8:IW8,"B"))*3)+((COUNTIF('Elève (3ème5)'!IU8:IW8,"C"))*2)+((COUNTIF('Elève (3ème5)'!IU8:IW8,"D"))*1))/(COUNTA(IU8:IW8)),"")</f>
        <v/>
      </c>
      <c r="IY8" s="164" t="str">
        <f t="shared" si="75"/>
        <v/>
      </c>
      <c r="IZ8" s="103"/>
      <c r="JA8" s="104"/>
      <c r="JB8" s="105"/>
      <c r="JC8" s="105"/>
      <c r="JD8" s="163" t="str">
        <f>IFERROR((((COUNTIF('Elève (3ème5)'!IZ8:JC8,"A"))*4)+((COUNTIF('Elève (3ème5)'!IZ8:JC8,"B"))*3)+((COUNTIF('Elève (3ème5)'!IZ8:JC8,"C"))*2)+((COUNTIF('Elève (3ème5)'!IZ8:JC8,"D"))*1))/(COUNTA(IZ8:JC8)),"")</f>
        <v/>
      </c>
      <c r="JE8" s="164" t="str">
        <f t="shared" si="76"/>
        <v/>
      </c>
      <c r="JF8" s="103"/>
      <c r="JG8" s="104" t="s">
        <v>30</v>
      </c>
      <c r="JH8" s="105" t="s">
        <v>30</v>
      </c>
      <c r="JI8" s="105"/>
      <c r="JJ8" s="105"/>
      <c r="JK8" s="109"/>
      <c r="JL8" s="163">
        <f>IFERROR((((COUNTIF('Elève (3ème5)'!JF8:JK8,"A"))*4)+((COUNTIF('Elève (3ème5)'!JF8:JK8,"B"))*3)+((COUNTIF('Elève (3ème5)'!JF8:JK8,"C"))*2)+((COUNTIF('Elève (3ème5)'!JF8:JK8,"D"))*1))/(COUNTA(JF8:JK8)),"")</f>
        <v>1</v>
      </c>
      <c r="JM8" s="164" t="str">
        <f t="shared" si="77"/>
        <v>D</v>
      </c>
      <c r="JN8" s="163">
        <f>IF(COUNT(IX8,JD8,JL8)=0,"",SUM(IX8,JD8,JL8)/COUNT(IX8,JD8,JL8))</f>
        <v>1</v>
      </c>
      <c r="JO8" s="187" t="str">
        <f t="shared" si="78"/>
        <v>D</v>
      </c>
      <c r="JP8" s="103"/>
      <c r="JQ8" s="104"/>
      <c r="JR8" s="105"/>
      <c r="JS8" s="163" t="str">
        <f>IFERROR((((COUNTIF('Elève (3ème5)'!JP8:JR8,"A"))*4)+((COUNTIF('Elève (3ème5)'!JP8:JR8,"B"))*3)+((COUNTIF('Elève (3ème5)'!JP8:JR8,"C"))*2)+((COUNTIF('Elève (3ème5)'!JP8:JR8,"D"))*1))/(COUNTA(JP8:JR8)),"")</f>
        <v/>
      </c>
      <c r="JT8" s="164" t="str">
        <f t="shared" si="79"/>
        <v/>
      </c>
      <c r="JU8" s="103"/>
      <c r="JV8" s="104"/>
      <c r="JW8" s="105"/>
      <c r="JX8" s="105"/>
      <c r="JY8" s="163" t="str">
        <f>IFERROR((((COUNTIF('Elève (3ème5)'!JU8:JX8,"A"))*4)+((COUNTIF('Elève (3ème5)'!JU8:JX8,"B"))*3)+((COUNTIF('Elève (3ème5)'!JU8:JX8,"C"))*2)+((COUNTIF('Elève (3ème5)'!JU8:JX8,"D"))*1))/(COUNTA(JU8:JX8)),"")</f>
        <v/>
      </c>
      <c r="JZ8" s="164" t="str">
        <f t="shared" si="80"/>
        <v/>
      </c>
      <c r="KA8" s="103"/>
      <c r="KB8" s="104" t="s">
        <v>29</v>
      </c>
      <c r="KC8" s="105" t="s">
        <v>28</v>
      </c>
      <c r="KD8" s="105"/>
      <c r="KE8" s="105"/>
      <c r="KF8" s="109"/>
      <c r="KG8" s="163">
        <f>IFERROR((((COUNTIF('Elève (3ème5)'!KA8:KF8,"A"))*4)+((COUNTIF('Elève (3ème5)'!KA8:KF8,"B"))*3)+((COUNTIF('Elève (3ème5)'!KA8:KF8,"C"))*2)+((COUNTIF('Elève (3ème5)'!KA8:KF8,"D"))*1))/(COUNTA(KA8:KF8)),"")</f>
        <v>2.5</v>
      </c>
      <c r="KH8" s="164" t="str">
        <f t="shared" si="81"/>
        <v>C</v>
      </c>
      <c r="KI8" s="163">
        <f>IF(COUNT(JS8,JY8,KG8)=0,"",SUM(JS8,JY8,KG8)/COUNT(JS8,JY8,KG8))</f>
        <v>2.5</v>
      </c>
      <c r="KJ8" s="187" t="str">
        <f t="shared" si="82"/>
        <v>C</v>
      </c>
      <c r="KK8" s="103"/>
      <c r="KL8" s="104"/>
      <c r="KM8" s="105"/>
      <c r="KN8" s="163" t="str">
        <f>IFERROR((((COUNTIF('Elève (3ème5)'!KK8:KM8,"A"))*4)+((COUNTIF('Elève (3ème5)'!KK8:KM8,"B"))*3)+((COUNTIF('Elève (3ème5)'!KK8:KM8,"C"))*2)+((COUNTIF('Elève (3ème5)'!KK8:KM8,"D"))*1))/(COUNTA(KK8:KM8)),"")</f>
        <v/>
      </c>
      <c r="KO8" s="164" t="str">
        <f t="shared" si="83"/>
        <v/>
      </c>
      <c r="KP8" s="103"/>
      <c r="KQ8" s="104"/>
      <c r="KR8" s="105"/>
      <c r="KS8" s="105"/>
      <c r="KT8" s="163" t="str">
        <f>IFERROR((((COUNTIF('Elève (3ème5)'!KP8:KS8,"A"))*4)+((COUNTIF('Elève (3ème5)'!KP8:KS8,"B"))*3)+((COUNTIF('Elève (3ème5)'!KP8:KS8,"C"))*2)+((COUNTIF('Elève (3ème5)'!KP8:KS8,"D"))*1))/(COUNTA(KP8:KS8)),"")</f>
        <v/>
      </c>
      <c r="KU8" s="164" t="str">
        <f t="shared" si="84"/>
        <v/>
      </c>
      <c r="KV8" s="103"/>
      <c r="KW8" s="104" t="s">
        <v>29</v>
      </c>
      <c r="KX8" s="105" t="s">
        <v>29</v>
      </c>
      <c r="KY8" s="105"/>
      <c r="KZ8" s="105"/>
      <c r="LA8" s="109"/>
      <c r="LB8" s="163">
        <f>IFERROR((((COUNTIF('Elève (3ème5)'!KV8:LA8,"A"))*4)+((COUNTIF('Elève (3ème5)'!KV8:LA8,"B"))*3)+((COUNTIF('Elève (3ème5)'!KV8:LA8,"C"))*2)+((COUNTIF('Elève (3ème5)'!KV8:LA8,"D"))*1))/(COUNTA(KV8:LA8)),"")</f>
        <v>2</v>
      </c>
      <c r="LC8" s="164" t="str">
        <f t="shared" si="85"/>
        <v>C</v>
      </c>
      <c r="LD8" s="163">
        <f>IF(COUNT(KN8,KT8,LB8)=0,"",SUM(KN8,KT8,LB8)/COUNT(KN8,KT8,LB8))</f>
        <v>2</v>
      </c>
      <c r="LE8" s="187" t="str">
        <f t="shared" si="86"/>
        <v>C</v>
      </c>
      <c r="LF8" s="103"/>
      <c r="LG8" s="104"/>
      <c r="LH8" s="105"/>
      <c r="LI8" s="163" t="str">
        <f>IFERROR((((COUNTIF('Elève (3ème5)'!LF8:LH8,"A"))*4)+((COUNTIF('Elève (3ème5)'!LF8:LH8,"B"))*3)+((COUNTIF('Elève (3ème5)'!LF8:LH8,"C"))*2)+((COUNTIF('Elève (3ème5)'!LF8:LH8,"D"))*1))/(COUNTA(LF8:LH8)),"")</f>
        <v/>
      </c>
      <c r="LJ8" s="164" t="str">
        <f t="shared" si="87"/>
        <v/>
      </c>
      <c r="LK8" s="103"/>
      <c r="LL8" s="104"/>
      <c r="LM8" s="105"/>
      <c r="LN8" s="105"/>
      <c r="LO8" s="163" t="str">
        <f>IFERROR((((COUNTIF('Elève (3ème5)'!LK8:LN8,"A"))*4)+((COUNTIF('Elève (3ème5)'!LK8:LN8,"B"))*3)+((COUNTIF('Elève (3ème5)'!LK8:LN8,"C"))*2)+((COUNTIF('Elève (3ème5)'!LK8:LN8,"D"))*1))/(COUNTA(LK8:LN8)),"")</f>
        <v/>
      </c>
      <c r="LP8" s="164" t="str">
        <f t="shared" si="88"/>
        <v/>
      </c>
      <c r="LQ8" s="103"/>
      <c r="LR8" s="104" t="s">
        <v>29</v>
      </c>
      <c r="LS8" s="105" t="s">
        <v>30</v>
      </c>
      <c r="LT8" s="105"/>
      <c r="LU8" s="105"/>
      <c r="LV8" s="109"/>
      <c r="LW8" s="163">
        <f>IFERROR((((COUNTIF('Elève (3ème5)'!LQ8:LV8,"A"))*4)+((COUNTIF('Elève (3ème5)'!LQ8:LV8,"B"))*3)+((COUNTIF('Elève (3ème5)'!LQ8:LV8,"C"))*2)+((COUNTIF('Elève (3ème5)'!LQ8:LV8,"D"))*1))/(COUNTA(LQ8:LV8)),"")</f>
        <v>1.5</v>
      </c>
      <c r="LX8" s="164" t="str">
        <f t="shared" si="89"/>
        <v>D</v>
      </c>
      <c r="LY8" s="163">
        <f>IF(COUNT(LI8,LO8,LW8)=0,"",SUM(LI8,LO8,LW8)/COUNT(LI8,LO8,LW8))</f>
        <v>1.5</v>
      </c>
      <c r="LZ8" s="187" t="str">
        <f t="shared" si="90"/>
        <v>D</v>
      </c>
      <c r="MA8" s="103"/>
      <c r="MB8" s="104"/>
      <c r="MC8" s="105"/>
      <c r="MD8" s="163" t="str">
        <f>IFERROR((((COUNTIF('Elève (3ème5)'!MA8:MC8,"A"))*4)+((COUNTIF('Elève (3ème5)'!MA8:MC8,"B"))*3)+((COUNTIF('Elève (3ème5)'!MA8:MC8,"C"))*2)+((COUNTIF('Elève (3ème5)'!MA8:MC8,"D"))*1))/(COUNTA(MA8:MC8)),"")</f>
        <v/>
      </c>
      <c r="ME8" s="164" t="str">
        <f t="shared" si="91"/>
        <v/>
      </c>
      <c r="MF8" s="103"/>
      <c r="MG8" s="104"/>
      <c r="MH8" s="105"/>
      <c r="MI8" s="105"/>
      <c r="MJ8" s="163" t="str">
        <f>IFERROR((((COUNTIF('Elève (3ème5)'!MF8:MI8,"A"))*4)+((COUNTIF('Elève (3ème5)'!MF8:MI8,"B"))*3)+((COUNTIF('Elève (3ème5)'!MF8:MI8,"C"))*2)+((COUNTIF('Elève (3ème5)'!MF8:MI8,"D"))*1))/(COUNTA(MF8:MI8)),"")</f>
        <v/>
      </c>
      <c r="MK8" s="164" t="str">
        <f t="shared" si="92"/>
        <v/>
      </c>
      <c r="ML8" s="103"/>
      <c r="MM8" s="104" t="s">
        <v>29</v>
      </c>
      <c r="MN8" s="105" t="s">
        <v>29</v>
      </c>
      <c r="MO8" s="105"/>
      <c r="MP8" s="105"/>
      <c r="MQ8" s="109"/>
      <c r="MR8" s="163">
        <f>IFERROR((((COUNTIF('Elève (3ème5)'!ML8:MQ8,"A"))*4)+((COUNTIF('Elève (3ème5)'!ML8:MQ8,"B"))*3)+((COUNTIF('Elève (3ème5)'!ML8:MQ8,"C"))*2)+((COUNTIF('Elève (3ème5)'!ML8:MQ8,"D"))*1))/(COUNTA(ML8:MQ8)),"")</f>
        <v>2</v>
      </c>
      <c r="MS8" s="164" t="str">
        <f t="shared" si="93"/>
        <v>C</v>
      </c>
      <c r="MT8" s="163">
        <f>IF(COUNT(MD8,MJ8,MR8)=0,"",SUM(MD8,MJ8,MR8)/COUNT(MD8,MJ8,MR8))</f>
        <v>2</v>
      </c>
      <c r="MU8" s="187" t="str">
        <f t="shared" si="94"/>
        <v>C</v>
      </c>
      <c r="MV8" s="103"/>
      <c r="MW8" s="104"/>
      <c r="MX8" s="105"/>
      <c r="MY8" s="163" t="str">
        <f>IFERROR((((COUNTIF('Elève (3ème5)'!MV8:MX8,"A"))*4)+((COUNTIF('Elève (3ème5)'!MV8:MX8,"B"))*3)+((COUNTIF('Elève (3ème5)'!MV8:MX8,"C"))*2)+((COUNTIF('Elève (3ème5)'!MV8:MX8,"D"))*1))/(COUNTA(MV8:MX8)),"")</f>
        <v/>
      </c>
      <c r="MZ8" s="164" t="str">
        <f t="shared" si="95"/>
        <v/>
      </c>
      <c r="NA8" s="103"/>
      <c r="NB8" s="104"/>
      <c r="NC8" s="105"/>
      <c r="ND8" s="105"/>
      <c r="NE8" s="163" t="str">
        <f>IFERROR((((COUNTIF('Elève (3ème5)'!NA8:ND8,"A"))*4)+((COUNTIF('Elève (3ème5)'!NA8:ND8,"B"))*3)+((COUNTIF('Elève (3ème5)'!NA8:ND8,"C"))*2)+((COUNTIF('Elève (3ème5)'!NA8:ND8,"D"))*1))/(COUNTA(NA8:ND8)),"")</f>
        <v/>
      </c>
      <c r="NF8" s="164" t="str">
        <f t="shared" si="96"/>
        <v/>
      </c>
      <c r="NG8" s="103"/>
      <c r="NH8" s="104" t="s">
        <v>29</v>
      </c>
      <c r="NI8" s="105" t="s">
        <v>30</v>
      </c>
      <c r="NJ8" s="105"/>
      <c r="NK8" s="105"/>
      <c r="NL8" s="109"/>
      <c r="NM8" s="163">
        <f>IFERROR((((COUNTIF('Elève (3ème5)'!NG8:NL8,"A"))*4)+((COUNTIF('Elève (3ème5)'!NG8:NL8,"B"))*3)+((COUNTIF('Elève (3ème5)'!NG8:NL8,"C"))*2)+((COUNTIF('Elève (3ème5)'!NG8:NL8,"D"))*1))/(COUNTA(NG8:NL8)),"")</f>
        <v>1.5</v>
      </c>
      <c r="NN8" s="164" t="str">
        <f t="shared" si="97"/>
        <v>D</v>
      </c>
      <c r="NO8" s="163">
        <f>IF(COUNT(MY8,NE8,NM8)=0,"",SUM(MY8,NE8,NM8)/COUNT(MY8,NE8,NM8))</f>
        <v>1.5</v>
      </c>
      <c r="NP8" s="187" t="str">
        <f t="shared" si="98"/>
        <v>D</v>
      </c>
      <c r="NQ8" s="103"/>
      <c r="NR8" s="104"/>
      <c r="NS8" s="105"/>
      <c r="NT8" s="163" t="str">
        <f>IFERROR((((COUNTIF('Elève (3ème5)'!NQ8:NS8,"A"))*4)+((COUNTIF('Elève (3ème5)'!NQ8:NS8,"B"))*3)+((COUNTIF('Elève (3ème5)'!NQ8:NS8,"C"))*2)+((COUNTIF('Elève (3ème5)'!NQ8:NS8,"D"))*1))/(COUNTA(NQ8:NS8)),"")</f>
        <v/>
      </c>
      <c r="NU8" s="164" t="str">
        <f t="shared" si="99"/>
        <v/>
      </c>
      <c r="NV8" s="103"/>
      <c r="NW8" s="104"/>
      <c r="NX8" s="105"/>
      <c r="NY8" s="105"/>
      <c r="NZ8" s="163" t="str">
        <f>IFERROR((((COUNTIF('Elève (3ème5)'!NV8:NY8,"A"))*4)+((COUNTIF('Elève (3ème5)'!NV8:NY8,"B"))*3)+((COUNTIF('Elève (3ème5)'!NV8:NY8,"C"))*2)+((COUNTIF('Elève (3ème5)'!NV8:NY8,"D"))*1))/(COUNTA(NV8:NY8)),"")</f>
        <v/>
      </c>
      <c r="OA8" s="164" t="str">
        <f t="shared" si="100"/>
        <v/>
      </c>
      <c r="OB8" s="103"/>
      <c r="OC8" s="104" t="s">
        <v>29</v>
      </c>
      <c r="OD8" s="105" t="s">
        <v>29</v>
      </c>
      <c r="OE8" s="105"/>
      <c r="OF8" s="105"/>
      <c r="OG8" s="109"/>
      <c r="OH8" s="163">
        <f>IFERROR((((COUNTIF('Elève (3ème5)'!OB8:OG8,"A"))*4)+((COUNTIF('Elève (3ème5)'!OB8:OG8,"B"))*3)+((COUNTIF('Elève (3ème5)'!OB8:OG8,"C"))*2)+((COUNTIF('Elève (3ème5)'!OB8:OG8,"D"))*1))/(COUNTA(OB8:OG8)),"")</f>
        <v>2</v>
      </c>
      <c r="OI8" s="164" t="str">
        <f t="shared" si="101"/>
        <v>C</v>
      </c>
      <c r="OJ8" s="163">
        <f>IF(COUNT(NT8,NZ8,OH8)=0,"",SUM(NT8,NZ8,OH8)/COUNT(NT8,NZ8,OH8))</f>
        <v>2</v>
      </c>
      <c r="OK8" s="187" t="str">
        <f t="shared" si="102"/>
        <v>C</v>
      </c>
      <c r="OL8" s="103"/>
      <c r="OM8" s="104"/>
      <c r="ON8" s="105"/>
      <c r="OO8" s="163" t="str">
        <f>IFERROR((((COUNTIF('Elève (3ème5)'!OL8:ON8,"A"))*4)+((COUNTIF('Elève (3ème5)'!OL8:ON8,"B"))*3)+((COUNTIF('Elève (3ème5)'!OL8:ON8,"C"))*2)+((COUNTIF('Elève (3ème5)'!OL8:ON8,"D"))*1))/(COUNTA(OL8:ON8)),"")</f>
        <v/>
      </c>
      <c r="OP8" s="164" t="str">
        <f t="shared" si="103"/>
        <v/>
      </c>
      <c r="OQ8" s="103"/>
      <c r="OR8" s="104"/>
      <c r="OS8" s="105"/>
      <c r="OT8" s="105"/>
      <c r="OU8" s="163" t="str">
        <f>IFERROR((((COUNTIF('Elève (3ème5)'!OQ8:OT8,"A"))*4)+((COUNTIF('Elève (3ème5)'!OQ8:OT8,"B"))*3)+((COUNTIF('Elève (3ème5)'!OQ8:OT8,"C"))*2)+((COUNTIF('Elève (3ème5)'!OQ8:OT8,"D"))*1))/(COUNTA(OQ8:OT8)),"")</f>
        <v/>
      </c>
      <c r="OV8" s="164" t="str">
        <f t="shared" si="104"/>
        <v/>
      </c>
      <c r="OW8" s="103"/>
      <c r="OX8" s="104" t="s">
        <v>29</v>
      </c>
      <c r="OY8" s="105"/>
      <c r="OZ8" s="105"/>
      <c r="PA8" s="105"/>
      <c r="PB8" s="109"/>
      <c r="PC8" s="163">
        <f>IFERROR((((COUNTIF('Elève (3ème5)'!OW8:PB8,"A"))*4)+((COUNTIF('Elève (3ème5)'!OW8:PB8,"B"))*3)+((COUNTIF('Elève (3ème5)'!OW8:PB8,"C"))*2)+((COUNTIF('Elève (3ème5)'!OW8:PB8,"D"))*1))/(COUNTA(OW8:PB8)),"")</f>
        <v>2</v>
      </c>
      <c r="PD8" s="164" t="str">
        <f t="shared" si="105"/>
        <v>C</v>
      </c>
      <c r="PE8" s="163">
        <f>IF(COUNT(OO8,OU8,PC8)=0,"",SUM(OO8,OU8,PC8)/COUNT(OO8,OU8,PC8))</f>
        <v>2</v>
      </c>
      <c r="PF8" s="187" t="str">
        <f t="shared" si="106"/>
        <v>C</v>
      </c>
      <c r="PG8" s="103"/>
      <c r="PH8" s="104"/>
      <c r="PI8" s="105"/>
      <c r="PJ8" s="163" t="str">
        <f>IFERROR((((COUNTIF('Elève (3ème5)'!PG8:PI8,"A"))*4)+((COUNTIF('Elève (3ème5)'!PG8:PI8,"B"))*3)+((COUNTIF('Elève (3ème5)'!PG8:PI8,"C"))*2)+((COUNTIF('Elève (3ème5)'!PG8:PI8,"D"))*1))/(COUNTA(PG8:PI8)),"")</f>
        <v/>
      </c>
      <c r="PK8" s="164" t="str">
        <f t="shared" si="107"/>
        <v/>
      </c>
      <c r="PL8" s="103"/>
      <c r="PM8" s="104"/>
      <c r="PN8" s="105"/>
      <c r="PO8" s="105"/>
      <c r="PP8" s="163" t="str">
        <f>IFERROR((((COUNTIF('Elève (3ème5)'!PL8:PO8,"A"))*4)+((COUNTIF('Elève (3ème5)'!PL8:PO8,"B"))*3)+((COUNTIF('Elève (3ème5)'!PL8:PO8,"C"))*2)+((COUNTIF('Elève (3ème5)'!PL8:PO8,"D"))*1))/(COUNTA(PL8:PO8)),"")</f>
        <v/>
      </c>
      <c r="PQ8" s="164" t="str">
        <f t="shared" si="108"/>
        <v/>
      </c>
      <c r="PR8" s="103"/>
      <c r="PS8" s="104" t="s">
        <v>27</v>
      </c>
      <c r="PT8" s="105" t="s">
        <v>29</v>
      </c>
      <c r="PU8" s="105"/>
      <c r="PV8" s="105"/>
      <c r="PW8" s="109"/>
      <c r="PX8" s="163">
        <f>IFERROR((((COUNTIF('Elève (3ème5)'!PR8:PW8,"A"))*4)+((COUNTIF('Elève (3ème5)'!PR8:PW8,"B"))*3)+((COUNTIF('Elève (3ème5)'!PR8:PW8,"C"))*2)+((COUNTIF('Elève (3ème5)'!PR8:PW8,"D"))*1))/(COUNTA(PR8:PW8)),"")</f>
        <v>3</v>
      </c>
      <c r="PY8" s="164" t="str">
        <f t="shared" si="109"/>
        <v>B</v>
      </c>
      <c r="PZ8" s="163">
        <f>IF(COUNT(PJ8,PP8,PX8)=0,"",SUM(PJ8,PP8,PX8)/COUNT(PJ8,PP8,PX8))</f>
        <v>3</v>
      </c>
      <c r="QA8" s="187" t="str">
        <f t="shared" si="110"/>
        <v>B</v>
      </c>
      <c r="QB8" s="103"/>
      <c r="QC8" s="104"/>
      <c r="QD8" s="105"/>
      <c r="QE8" s="163" t="str">
        <f>IFERROR((((COUNTIF('Elève (3ème5)'!QB8:QD8,"A"))*4)+((COUNTIF('Elève (3ème5)'!QB8:QD8,"B"))*3)+((COUNTIF('Elève (3ème5)'!QB8:QD8,"C"))*2)+((COUNTIF('Elève (3ème5)'!QB8:QD8,"D"))*1))/(COUNTA(QB8:QD8)),"")</f>
        <v/>
      </c>
      <c r="QF8" s="164" t="str">
        <f t="shared" si="111"/>
        <v/>
      </c>
      <c r="QG8" s="103"/>
      <c r="QH8" s="104"/>
      <c r="QI8" s="105"/>
      <c r="QJ8" s="105"/>
      <c r="QK8" s="163" t="str">
        <f>IFERROR((((COUNTIF('Elève (3ème5)'!QG8:QJ8,"A"))*4)+((COUNTIF('Elève (3ème5)'!QG8:QJ8,"B"))*3)+((COUNTIF('Elève (3ème5)'!QG8:QJ8,"C"))*2)+((COUNTIF('Elève (3ème5)'!QG8:QJ8,"D"))*1))/(COUNTA(QG8:QJ8)),"")</f>
        <v/>
      </c>
      <c r="QL8" s="164" t="str">
        <f t="shared" si="112"/>
        <v/>
      </c>
      <c r="QM8" s="103"/>
      <c r="QN8" s="104" t="s">
        <v>28</v>
      </c>
      <c r="QO8" s="105"/>
      <c r="QP8" s="105"/>
      <c r="QQ8" s="105"/>
      <c r="QR8" s="109"/>
      <c r="QS8" s="163">
        <f>IFERROR((((COUNTIF('Elève (3ème5)'!QM8:QR8,"A"))*4)+((COUNTIF('Elève (3ème5)'!QM8:QR8,"B"))*3)+((COUNTIF('Elève (3ème5)'!QM8:QR8,"C"))*2)+((COUNTIF('Elève (3ème5)'!QM8:QR8,"D"))*1))/(COUNTA(QM8:QR8)),"")</f>
        <v>3</v>
      </c>
      <c r="QT8" s="164" t="str">
        <f t="shared" si="113"/>
        <v>B</v>
      </c>
      <c r="QU8" s="163">
        <f>IF(COUNT(QE8,QK8,QS8)=0,"",SUM(QE8,QK8,QS8)/COUNT(QE8,QK8,QS8))</f>
        <v>3</v>
      </c>
      <c r="QV8" s="187" t="str">
        <f t="shared" si="114"/>
        <v>B</v>
      </c>
      <c r="QW8" s="103"/>
      <c r="QX8" s="104"/>
      <c r="QY8" s="105"/>
      <c r="QZ8" s="163" t="str">
        <f>IFERROR((((COUNTIF('Elève (3ème5)'!QW8:QY8,"A"))*4)+((COUNTIF('Elève (3ème5)'!QW8:QY8,"B"))*3)+((COUNTIF('Elève (3ème5)'!QW8:QY8,"C"))*2)+((COUNTIF('Elève (3ème5)'!QW8:QY8,"D"))*1))/(COUNTA(QW8:QY8)),"")</f>
        <v/>
      </c>
      <c r="RA8" s="164" t="str">
        <f t="shared" si="115"/>
        <v/>
      </c>
      <c r="RB8" s="103"/>
      <c r="RC8" s="104"/>
      <c r="RD8" s="105"/>
      <c r="RE8" s="105"/>
      <c r="RF8" s="163" t="str">
        <f>IFERROR((((COUNTIF('Elève (3ème5)'!RB8:RE8,"A"))*4)+((COUNTIF('Elève (3ème5)'!RB8:RE8,"B"))*3)+((COUNTIF('Elève (3ème5)'!RB8:RE8,"C"))*2)+((COUNTIF('Elève (3ème5)'!RB8:RE8,"D"))*1))/(COUNTA(RB8:RE8)),"")</f>
        <v/>
      </c>
      <c r="RG8" s="164" t="str">
        <f t="shared" si="116"/>
        <v/>
      </c>
      <c r="RH8" s="103"/>
      <c r="RI8" s="104" t="s">
        <v>29</v>
      </c>
      <c r="RJ8" s="105" t="s">
        <v>29</v>
      </c>
      <c r="RK8" s="105"/>
      <c r="RL8" s="105"/>
      <c r="RM8" s="109"/>
      <c r="RN8" s="163">
        <f>IFERROR((((COUNTIF('Elève (3ème5)'!RH8:RM8,"A"))*4)+((COUNTIF('Elève (3ème5)'!RH8:RM8,"B"))*3)+((COUNTIF('Elève (3ème5)'!RH8:RM8,"C"))*2)+((COUNTIF('Elève (3ème5)'!RH8:RM8,"D"))*1))/(COUNTA(RH8:RM8)),"")</f>
        <v>2</v>
      </c>
      <c r="RO8" s="164" t="str">
        <f t="shared" si="117"/>
        <v>C</v>
      </c>
      <c r="RP8" s="163">
        <f>IF(COUNT(QZ8,RF8,RN8)=0,"",SUM(QZ8,RF8,RN8)/COUNT(QZ8,RF8,RN8))</f>
        <v>2</v>
      </c>
      <c r="RQ8" s="187" t="str">
        <f t="shared" si="118"/>
        <v>C</v>
      </c>
      <c r="RR8" s="103"/>
      <c r="RS8" s="104"/>
      <c r="RT8" s="105"/>
      <c r="RU8" s="163" t="str">
        <f>IFERROR((((COUNTIF('Elève (3ème5)'!RR8:RT8,"A"))*4)+((COUNTIF('Elève (3ème5)'!RR8:RT8,"B"))*3)+((COUNTIF('Elève (3ème5)'!RR8:RT8,"C"))*2)+((COUNTIF('Elève (3ème5)'!RR8:RT8,"D"))*1))/(COUNTA(RR8:RT8)),"")</f>
        <v/>
      </c>
      <c r="RV8" s="164" t="str">
        <f t="shared" si="119"/>
        <v/>
      </c>
      <c r="RW8" s="103"/>
      <c r="RX8" s="104"/>
      <c r="RY8" s="105"/>
      <c r="RZ8" s="105"/>
      <c r="SA8" s="163" t="str">
        <f>IFERROR((((COUNTIF('Elève (3ème5)'!RW8:RZ8,"A"))*4)+((COUNTIF('Elève (3ème5)'!RW8:RZ8,"B"))*3)+((COUNTIF('Elève (3ème5)'!RW8:RZ8,"C"))*2)+((COUNTIF('Elève (3ème5)'!RW8:RZ8,"D"))*1))/(COUNTA(RW8:RZ8)),"")</f>
        <v/>
      </c>
      <c r="SB8" s="164" t="str">
        <f t="shared" si="120"/>
        <v/>
      </c>
      <c r="SC8" s="103"/>
      <c r="SD8" s="104" t="s">
        <v>29</v>
      </c>
      <c r="SE8" s="105" t="s">
        <v>30</v>
      </c>
      <c r="SF8" s="105"/>
      <c r="SG8" s="105"/>
      <c r="SH8" s="109"/>
      <c r="SI8" s="163">
        <f>IFERROR((((COUNTIF('Elève (3ème5)'!SC8:SH8,"A"))*4)+((COUNTIF('Elève (3ème5)'!SC8:SH8,"B"))*3)+((COUNTIF('Elève (3ème5)'!SC8:SH8,"C"))*2)+((COUNTIF('Elève (3ème5)'!SC8:SH8,"D"))*1))/(COUNTA(SC8:SH8)),"")</f>
        <v>1.5</v>
      </c>
      <c r="SJ8" s="164" t="str">
        <f t="shared" si="121"/>
        <v>D</v>
      </c>
      <c r="SK8" s="163">
        <f>IF(COUNT(RU8,SA8,SI8)=0,"",SUM(RU8,SA8,SI8)/COUNT(RU8,SA8,SI8))</f>
        <v>1.5</v>
      </c>
      <c r="SL8" s="187" t="str">
        <f t="shared" si="122"/>
        <v>D</v>
      </c>
      <c r="SM8" s="103"/>
      <c r="SN8" s="104"/>
      <c r="SO8" s="105"/>
      <c r="SP8" s="163" t="str">
        <f>IFERROR((((COUNTIF('Elève (3ème5)'!SM8:SO8,"A"))*4)+((COUNTIF('Elève (3ème5)'!SM8:SO8,"B"))*3)+((COUNTIF('Elève (3ème5)'!SM8:SO8,"C"))*2)+((COUNTIF('Elève (3ème5)'!SM8:SO8,"D"))*1))/(COUNTA(SM8:SO8)),"")</f>
        <v/>
      </c>
      <c r="SQ8" s="164" t="str">
        <f t="shared" si="123"/>
        <v/>
      </c>
      <c r="SR8" s="103"/>
      <c r="SS8" s="104"/>
      <c r="ST8" s="105"/>
      <c r="SU8" s="105"/>
      <c r="SV8" s="163" t="str">
        <f>IFERROR((((COUNTIF('Elève (3ème5)'!SR8:SU8,"A"))*4)+((COUNTIF('Elève (3ème5)'!SR8:SU8,"B"))*3)+((COUNTIF('Elève (3ème5)'!SR8:SU8,"C"))*2)+((COUNTIF('Elève (3ème5)'!SR8:SU8,"D"))*1))/(COUNTA(SR8:SU8)),"")</f>
        <v/>
      </c>
      <c r="SW8" s="164" t="str">
        <f t="shared" si="124"/>
        <v/>
      </c>
      <c r="SX8" s="103"/>
      <c r="SY8" s="104" t="s">
        <v>27</v>
      </c>
      <c r="SZ8" s="105" t="s">
        <v>29</v>
      </c>
      <c r="TA8" s="105"/>
      <c r="TB8" s="105"/>
      <c r="TC8" s="109"/>
      <c r="TD8" s="163">
        <f>IFERROR((((COUNTIF('Elève (3ème5)'!SX8:TC8,"A"))*4)+((COUNTIF('Elève (3ème5)'!SX8:TC8,"B"))*3)+((COUNTIF('Elève (3ème5)'!SX8:TC8,"C"))*2)+((COUNTIF('Elève (3ème5)'!SX8:TC8,"D"))*1))/(COUNTA(SX8:TC8)),"")</f>
        <v>3</v>
      </c>
      <c r="TE8" s="164" t="str">
        <f t="shared" si="125"/>
        <v>B</v>
      </c>
      <c r="TF8" s="163">
        <f>IF(COUNT(SP8,SV8,TD8)=0,"",SUM(SP8,SV8,TD8)/COUNT(SP8,SV8,TD8))</f>
        <v>3</v>
      </c>
      <c r="TG8" s="187" t="str">
        <f t="shared" si="126"/>
        <v>B</v>
      </c>
      <c r="TH8" s="103"/>
      <c r="TI8" s="104"/>
      <c r="TJ8" s="105"/>
      <c r="TK8" s="163" t="str">
        <f>IFERROR((((COUNTIF('Elève (3ème5)'!TH8:TJ8,"A"))*4)+((COUNTIF('Elève (3ème5)'!TH8:TJ8,"B"))*3)+((COUNTIF('Elève (3ème5)'!TH8:TJ8,"C"))*2)+((COUNTIF('Elève (3ème5)'!TH8:TJ8,"D"))*1))/(COUNTA(TH8:TJ8)),"")</f>
        <v/>
      </c>
      <c r="TL8" s="164" t="str">
        <f t="shared" si="127"/>
        <v/>
      </c>
      <c r="TM8" s="103"/>
      <c r="TN8" s="104"/>
      <c r="TO8" s="105"/>
      <c r="TP8" s="105"/>
      <c r="TQ8" s="163" t="str">
        <f>IFERROR((((COUNTIF('Elève (3ème5)'!TM8:TP8,"A"))*4)+((COUNTIF('Elève (3ème5)'!TM8:TP8,"B"))*3)+((COUNTIF('Elève (3ème5)'!TM8:TP8,"C"))*2)+((COUNTIF('Elève (3ème5)'!TM8:TP8,"D"))*1))/(COUNTA(TM8:TP8)),"")</f>
        <v/>
      </c>
      <c r="TR8" s="164" t="str">
        <f t="shared" si="128"/>
        <v/>
      </c>
      <c r="TS8" s="103"/>
      <c r="TT8" s="104" t="s">
        <v>30</v>
      </c>
      <c r="TU8" s="105" t="s">
        <v>27</v>
      </c>
      <c r="TV8" s="105"/>
      <c r="TW8" s="105"/>
      <c r="TX8" s="109"/>
      <c r="TY8" s="163">
        <f>IFERROR((((COUNTIF('Elève (3ème5)'!TS8:TX8,"A"))*4)+((COUNTIF('Elève (3ème5)'!TS8:TX8,"B"))*3)+((COUNTIF('Elève (3ème5)'!TS8:TX8,"C"))*2)+((COUNTIF('Elève (3ème5)'!TS8:TX8,"D"))*1))/(COUNTA(TS8:TX8)),"")</f>
        <v>2.5</v>
      </c>
      <c r="TZ8" s="164" t="str">
        <f t="shared" si="129"/>
        <v>C</v>
      </c>
      <c r="UA8" s="163">
        <f>IF(COUNT(TK8,TQ8,TY8)=0,"",SUM(TK8,TQ8,TY8)/COUNT(TK8,TQ8,TY8))</f>
        <v>2.5</v>
      </c>
      <c r="UB8" s="187" t="str">
        <f t="shared" si="130"/>
        <v>C</v>
      </c>
      <c r="UC8" s="103"/>
      <c r="UD8" s="104"/>
      <c r="UE8" s="105"/>
      <c r="UF8" s="163" t="str">
        <f>IFERROR((((COUNTIF('Elève (3ème5)'!UC8:UE8,"A"))*4)+((COUNTIF('Elève (3ème5)'!UC8:UE8,"B"))*3)+((COUNTIF('Elève (3ème5)'!UC8:UE8,"C"))*2)+((COUNTIF('Elève (3ème5)'!UC8:UE8,"D"))*1))/(COUNTA(UC8:UE8)),"")</f>
        <v/>
      </c>
      <c r="UG8" s="164" t="str">
        <f t="shared" si="131"/>
        <v/>
      </c>
      <c r="UH8" s="103"/>
      <c r="UI8" s="104"/>
      <c r="UJ8" s="105"/>
      <c r="UK8" s="105"/>
      <c r="UL8" s="163" t="str">
        <f>IFERROR((((COUNTIF('Elève (3ème5)'!UH8:UK8,"A"))*4)+((COUNTIF('Elève (3ème5)'!UH8:UK8,"B"))*3)+((COUNTIF('Elève (3ème5)'!UH8:UK8,"C"))*2)+((COUNTIF('Elève (3ème5)'!UH8:UK8,"D"))*1))/(COUNTA(UH8:UK8)),"")</f>
        <v/>
      </c>
      <c r="UM8" s="164" t="str">
        <f t="shared" si="132"/>
        <v/>
      </c>
      <c r="UN8" s="103"/>
      <c r="UO8" s="104" t="s">
        <v>29</v>
      </c>
      <c r="UP8" s="105" t="s">
        <v>29</v>
      </c>
      <c r="UQ8" s="105"/>
      <c r="UR8" s="105"/>
      <c r="US8" s="109"/>
      <c r="UT8" s="163">
        <f>IFERROR((((COUNTIF('Elève (3ème5)'!UN8:US8,"A"))*4)+((COUNTIF('Elève (3ème5)'!UN8:US8,"B"))*3)+((COUNTIF('Elève (3ème5)'!UN8:US8,"C"))*2)+((COUNTIF('Elève (3ème5)'!UN8:US8,"D"))*1))/(COUNTA(UN8:US8)),"")</f>
        <v>2</v>
      </c>
      <c r="UU8" s="164" t="str">
        <f t="shared" si="133"/>
        <v>C</v>
      </c>
      <c r="UV8" s="163">
        <f>IF(COUNT(UF8,UL8,UT8)=0,"",SUM(UF8,UL8,UT8)/COUNT(UF8,UL8,UT8))</f>
        <v>2</v>
      </c>
      <c r="UW8" s="187" t="str">
        <f t="shared" si="134"/>
        <v>C</v>
      </c>
      <c r="UX8" s="103"/>
      <c r="UY8" s="104"/>
      <c r="UZ8" s="105"/>
      <c r="VA8" s="163" t="str">
        <f>IFERROR((((COUNTIF('Elève (3ème5)'!UX8:UZ8,"A"))*4)+((COUNTIF('Elève (3ème5)'!UX8:UZ8,"B"))*3)+((COUNTIF('Elève (3ème5)'!UX8:UZ8,"C"))*2)+((COUNTIF('Elève (3ème5)'!UX8:UZ8,"D"))*1))/(COUNTA(UX8:UZ8)),"")</f>
        <v/>
      </c>
      <c r="VB8" s="164" t="str">
        <f t="shared" si="135"/>
        <v/>
      </c>
      <c r="VC8" s="103"/>
      <c r="VD8" s="104"/>
      <c r="VE8" s="105"/>
      <c r="VF8" s="105"/>
      <c r="VG8" s="163" t="str">
        <f>IFERROR((((COUNTIF('Elève (3ème5)'!VC8:VF8,"A"))*4)+((COUNTIF('Elève (3ème5)'!VC8:VF8,"B"))*3)+((COUNTIF('Elève (3ème5)'!VC8:VF8,"C"))*2)+((COUNTIF('Elève (3ème5)'!VC8:VF8,"D"))*1))/(COUNTA(VC8:VF8)),"")</f>
        <v/>
      </c>
      <c r="VH8" s="164" t="str">
        <f t="shared" si="136"/>
        <v/>
      </c>
      <c r="VI8" s="103"/>
      <c r="VJ8" s="104" t="s">
        <v>30</v>
      </c>
      <c r="VK8" s="105" t="s">
        <v>29</v>
      </c>
      <c r="VL8" s="105"/>
      <c r="VM8" s="105"/>
      <c r="VN8" s="109"/>
      <c r="VO8" s="163">
        <f>IFERROR((((COUNTIF('Elève (3ème5)'!VI8:VN8,"A"))*4)+((COUNTIF('Elève (3ème5)'!VI8:VN8,"B"))*3)+((COUNTIF('Elève (3ème5)'!VI8:VN8,"C"))*2)+((COUNTIF('Elève (3ème5)'!VI8:VN8,"D"))*1))/(COUNTA(VI8:VN8)),"")</f>
        <v>1.5</v>
      </c>
      <c r="VP8" s="164" t="str">
        <f t="shared" si="137"/>
        <v>D</v>
      </c>
      <c r="VQ8" s="163">
        <f>IF(COUNT(VA8,VG8,VO8)=0,"",SUM(VA8,VG8,VO8)/COUNT(VA8,VG8,VO8))</f>
        <v>1.5</v>
      </c>
      <c r="VR8" s="187" t="str">
        <f t="shared" si="138"/>
        <v>D</v>
      </c>
      <c r="VS8" s="103"/>
      <c r="VT8" s="104"/>
      <c r="VU8" s="105"/>
      <c r="VV8" s="106" t="str">
        <f>IFERROR((((COUNTIF('Elève (3ème5)'!VS8:VU8,"A"))*4)+((COUNTIF('Elève (3ème5)'!VS8:VU8,"B"))*3)+((COUNTIF('Elève (3ème5)'!VS8:VU8,"C"))*2)+((COUNTIF('Elève (3ème5)'!VS8:VU8,"D"))*1))/(COUNTA(VS8:VU8)),"")</f>
        <v/>
      </c>
      <c r="VW8" s="107" t="str">
        <f t="shared" si="139"/>
        <v/>
      </c>
      <c r="VX8" s="103"/>
      <c r="VY8" s="104"/>
      <c r="VZ8" s="105"/>
      <c r="WA8" s="106" t="str">
        <f>IFERROR((((COUNTIF('Elève (3ème5)'!VX8:VZ8,"A"))*4)+((COUNTIF('Elève (3ème5)'!VX8:VZ8,"B"))*3)+((COUNTIF('Elève (3ème5)'!VX8:VZ8,"C"))*2)+((COUNTIF('Elève (3ème5)'!VX8:VZ8,"D"))*1))/(COUNTA(VX8:VZ8)),"")</f>
        <v/>
      </c>
      <c r="WB8" s="107" t="str">
        <f t="shared" si="140"/>
        <v/>
      </c>
      <c r="WC8" s="103"/>
      <c r="WD8" s="104"/>
      <c r="WE8" s="109"/>
      <c r="WF8" s="106" t="str">
        <f>IFERROR((((COUNTIF('Elève (3ème5)'!WC8:WE8,"A"))*4)+((COUNTIF('Elève (3ème5)'!WC8:WE8,"B"))*3)+((COUNTIF('Elève (3ème5)'!WC8:WE8,"C"))*2)+((COUNTIF('Elève (3ème5)'!WC8:WE8,"D"))*1))/(COUNTA(WC8:WE8)),"")</f>
        <v/>
      </c>
      <c r="WG8" s="107" t="str">
        <f t="shared" si="141"/>
        <v/>
      </c>
      <c r="WH8" s="106" t="str">
        <f>IF(COUNT(VV8,WA8,WF8)=0,"",SUM(VV8,WA8,WF8)/COUNT(VV8,WA8,WF8))</f>
        <v/>
      </c>
      <c r="WI8" s="108" t="str">
        <f t="shared" si="142"/>
        <v/>
      </c>
      <c r="WJ8" s="103"/>
      <c r="WK8" s="104"/>
      <c r="WL8" s="105"/>
      <c r="WM8" s="106" t="str">
        <f>IFERROR((((COUNTIF('Elève (3ème5)'!WJ8:WL8,"A"))*4)+((COUNTIF('Elève (3ème5)'!WJ8:WL8,"B"))*3)+((COUNTIF('Elève (3ème5)'!WJ8:WL8,"C"))*2)+((COUNTIF('Elève (3ème5)'!WJ8:WL8,"D"))*1))/(COUNTA(WJ8:WL8)),"")</f>
        <v/>
      </c>
      <c r="WN8" s="107" t="str">
        <f t="shared" si="143"/>
        <v/>
      </c>
      <c r="WO8" s="103"/>
      <c r="WP8" s="104"/>
      <c r="WQ8" s="105"/>
      <c r="WR8" s="106" t="str">
        <f>IFERROR((((COUNTIF('Elève (3ème5)'!WO8:WQ8,"A"))*4)+((COUNTIF('Elève (3ème5)'!WO8:WQ8,"B"))*3)+((COUNTIF('Elève (3ème5)'!WO8:WQ8,"C"))*2)+((COUNTIF('Elève (3ème5)'!WO8:WQ8,"D"))*1))/(COUNTA(WO8:WQ8)),"")</f>
        <v/>
      </c>
      <c r="WS8" s="107" t="str">
        <f t="shared" si="144"/>
        <v/>
      </c>
      <c r="WT8" s="103"/>
      <c r="WU8" s="104"/>
      <c r="WV8" s="109"/>
      <c r="WW8" s="106" t="str">
        <f>IFERROR((((COUNTIF('Elève (3ème5)'!WT8:WV8,"A"))*4)+((COUNTIF('Elève (3ème5)'!WT8:WV8,"B"))*3)+((COUNTIF('Elève (3ème5)'!WT8:WV8,"C"))*2)+((COUNTIF('Elève (3ème5)'!WT8:WV8,"D"))*1))/(COUNTA(WT8:WV8)),"")</f>
        <v/>
      </c>
      <c r="WX8" s="107" t="str">
        <f t="shared" si="145"/>
        <v/>
      </c>
      <c r="WY8" s="106" t="str">
        <f>IF(COUNT(WM8,WR8,WW8)=0,"",SUM(WM8,WR8,WW8)/COUNT(WM8,WR8,WW8))</f>
        <v/>
      </c>
      <c r="WZ8" s="108" t="str">
        <f t="shared" si="146"/>
        <v/>
      </c>
    </row>
    <row r="9" spans="1:624" ht="18" customHeight="1" thickBot="1" x14ac:dyDescent="0.6">
      <c r="A9" s="215" t="s">
        <v>16</v>
      </c>
      <c r="B9" s="216"/>
      <c r="C9" s="110"/>
      <c r="D9" s="111" t="s">
        <v>30</v>
      </c>
      <c r="E9" s="112"/>
      <c r="F9" s="165">
        <f>IFERROR((((COUNTIF('Elève (3ème5)'!C9:E9,"A"))*4)+((COUNTIF('Elève (3ème5)'!C9:E9,"B"))*3)+((COUNTIF('Elève (3ème5)'!C9:E9,"C"))*2)+((COUNTIF('Elève (3ème5)'!C9:E9,"D"))*1))/(COUNTA(C9:E9)),"")</f>
        <v>1</v>
      </c>
      <c r="G9" s="166" t="str">
        <f t="shared" si="27"/>
        <v>D</v>
      </c>
      <c r="H9" s="110"/>
      <c r="I9" s="111"/>
      <c r="J9" s="112"/>
      <c r="K9" s="112"/>
      <c r="L9" s="165" t="str">
        <f>IFERROR((((COUNTIF('Elève (3ème5)'!H9:K9,"A"))*4)+((COUNTIF('Elève (3ème5)'!H9:K9,"B"))*3)+((COUNTIF('Elève (3ème5)'!H9:K9,"C"))*2)+((COUNTIF('Elève (3ème5)'!H9:K9,"D"))*1))/(COUNTA(H9:K9)),"")</f>
        <v/>
      </c>
      <c r="M9" s="166" t="str">
        <f t="shared" si="28"/>
        <v/>
      </c>
      <c r="N9" s="110"/>
      <c r="O9" s="111" t="s">
        <v>30</v>
      </c>
      <c r="P9" s="112"/>
      <c r="Q9" s="112"/>
      <c r="R9" s="112"/>
      <c r="S9" s="112"/>
      <c r="T9" s="165">
        <f>IFERROR((((COUNTIF('Elève (3ème5)'!N9:S9,"A"))*4)+((COUNTIF('Elève (3ème5)'!N9:S9,"B"))*3)+((COUNTIF('Elève (3ème5)'!N9:S9,"C"))*2)+((COUNTIF('Elève (3ème5)'!N9:S9,"D"))*1))/(COUNTA(N9:S9)),"")</f>
        <v>1</v>
      </c>
      <c r="U9" s="166" t="str">
        <f t="shared" si="29"/>
        <v>D</v>
      </c>
      <c r="V9" s="165">
        <f>IF(COUNT(F9,L9,T9)=0,"",SUM(F9,L9,T9)/COUNT(F9,L9,T9))</f>
        <v>1</v>
      </c>
      <c r="W9" s="188" t="str">
        <f t="shared" si="30"/>
        <v>D</v>
      </c>
      <c r="X9" s="110"/>
      <c r="Y9" s="111" t="s">
        <v>30</v>
      </c>
      <c r="Z9" s="112"/>
      <c r="AA9" s="165">
        <f>IFERROR((((COUNTIF('Elève (3ème5)'!X9:Z9,"A"))*4)+((COUNTIF('Elève (3ème5)'!X9:Z9,"B"))*3)+((COUNTIF('Elève (3ème5)'!X9:Z9,"C"))*2)+((COUNTIF('Elève (3ème5)'!X9:Z9,"D"))*1))/(COUNTA(X9:Z9)),"")</f>
        <v>1</v>
      </c>
      <c r="AB9" s="166" t="str">
        <f t="shared" si="31"/>
        <v>D</v>
      </c>
      <c r="AC9" s="110"/>
      <c r="AD9" s="111"/>
      <c r="AE9" s="112"/>
      <c r="AF9" s="112"/>
      <c r="AG9" s="165" t="str">
        <f>IFERROR((((COUNTIF('Elève (3ème5)'!AC9:AF9,"A"))*4)+((COUNTIF('Elève (3ème5)'!AC9:AF9,"B"))*3)+((COUNTIF('Elève (3ème5)'!AC9:AF9,"C"))*2)+((COUNTIF('Elève (3ème5)'!AC9:AF9,"D"))*1))/(COUNTA(AC9:AF9)),"")</f>
        <v/>
      </c>
      <c r="AH9" s="166" t="str">
        <f t="shared" si="32"/>
        <v/>
      </c>
      <c r="AI9" s="110"/>
      <c r="AJ9" s="111" t="s">
        <v>29</v>
      </c>
      <c r="AK9" s="112"/>
      <c r="AL9" s="112"/>
      <c r="AM9" s="112"/>
      <c r="AN9" s="116"/>
      <c r="AO9" s="165">
        <f>IFERROR((((COUNTIF('Elève (3ème5)'!AI9:AN9,"A"))*4)+((COUNTIF('Elève (3ème5)'!AI9:AN9,"B"))*3)+((COUNTIF('Elève (3ème5)'!AI9:AN9,"C"))*2)+((COUNTIF('Elève (3ème5)'!AI9:AN9,"D"))*1))/(COUNTA(AI9:AN9)),"")</f>
        <v>2</v>
      </c>
      <c r="AP9" s="166" t="str">
        <f t="shared" si="33"/>
        <v>C</v>
      </c>
      <c r="AQ9" s="165">
        <f>IF(COUNT(AA9,AG9,AO9)=0,"",SUM(AA9,AG9,AO9)/COUNT(AA9,AG9,AO9))</f>
        <v>1.5</v>
      </c>
      <c r="AR9" s="188" t="str">
        <f t="shared" si="34"/>
        <v>D</v>
      </c>
      <c r="AS9" s="110"/>
      <c r="AT9" s="111" t="s">
        <v>30</v>
      </c>
      <c r="AU9" s="112"/>
      <c r="AV9" s="165">
        <f>IFERROR((((COUNTIF('Elève (3ème5)'!AS9:AU9,"A"))*4)+((COUNTIF('Elève (3ème5)'!AS9:AU9,"B"))*3)+((COUNTIF('Elève (3ème5)'!AS9:AU9,"C"))*2)+((COUNTIF('Elève (3ème5)'!AS9:AU9,"D"))*1))/(COUNTA(AS9:AU9)),"")</f>
        <v>1</v>
      </c>
      <c r="AW9" s="166" t="str">
        <f t="shared" si="35"/>
        <v>D</v>
      </c>
      <c r="AX9" s="110"/>
      <c r="AY9" s="111"/>
      <c r="AZ9" s="112"/>
      <c r="BA9" s="112"/>
      <c r="BB9" s="165" t="str">
        <f>IFERROR((((COUNTIF('Elève (3ème5)'!AX9:BA9,"A"))*4)+((COUNTIF('Elève (3ème5)'!AX9:BA9,"B"))*3)+((COUNTIF('Elève (3ème5)'!AX9:BA9,"C"))*2)+((COUNTIF('Elève (3ème5)'!AX9:BA9,"D"))*1))/(COUNTA(AX9:BA9)),"")</f>
        <v/>
      </c>
      <c r="BC9" s="166" t="str">
        <f t="shared" si="36"/>
        <v/>
      </c>
      <c r="BD9" s="110"/>
      <c r="BE9" s="111" t="s">
        <v>29</v>
      </c>
      <c r="BF9" s="112"/>
      <c r="BG9" s="112"/>
      <c r="BH9" s="112"/>
      <c r="BI9" s="116"/>
      <c r="BJ9" s="165">
        <f>IFERROR((((COUNTIF('Elève (3ème5)'!BD9:BI9,"A"))*4)+((COUNTIF('Elève (3ème5)'!BD9:BI9,"B"))*3)+((COUNTIF('Elève (3ème5)'!BD9:BI9,"C"))*2)+((COUNTIF('Elève (3ème5)'!BD9:BI9,"D"))*1))/(COUNTA(BD9:BI9)),"")</f>
        <v>2</v>
      </c>
      <c r="BK9" s="166" t="str">
        <f t="shared" si="37"/>
        <v>C</v>
      </c>
      <c r="BL9" s="165">
        <f>IF(COUNT(AV9,BB9,BJ9)=0,"",SUM(AV9,BB9,BJ9)/COUNT(AV9,BB9,BJ9))</f>
        <v>1.5</v>
      </c>
      <c r="BM9" s="188" t="str">
        <f t="shared" si="38"/>
        <v>D</v>
      </c>
      <c r="BN9" s="110"/>
      <c r="BO9" s="111" t="s">
        <v>30</v>
      </c>
      <c r="BP9" s="112"/>
      <c r="BQ9" s="165">
        <f>IFERROR((((COUNTIF('Elève (3ème5)'!BN9:BP9,"A"))*4)+((COUNTIF('Elève (3ème5)'!BN9:BP9,"B"))*3)+((COUNTIF('Elève (3ème5)'!BN9:BP9,"C"))*2)+((COUNTIF('Elève (3ème5)'!BN9:BP9,"D"))*1))/(COUNTA(BN9:BP9)),"")</f>
        <v>1</v>
      </c>
      <c r="BR9" s="166" t="str">
        <f t="shared" si="39"/>
        <v>D</v>
      </c>
      <c r="BS9" s="110"/>
      <c r="BT9" s="111"/>
      <c r="BU9" s="112"/>
      <c r="BV9" s="112"/>
      <c r="BW9" s="165" t="str">
        <f>IFERROR((((COUNTIF('Elève (3ème5)'!BS9:BV9,"A"))*4)+((COUNTIF('Elève (3ème5)'!BS9:BV9,"B"))*3)+((COUNTIF('Elève (3ème5)'!BS9:BV9,"C"))*2)+((COUNTIF('Elève (3ème5)'!BS9:BV9,"D"))*1))/(COUNTA(BS9:BV9)),"")</f>
        <v/>
      </c>
      <c r="BX9" s="166" t="str">
        <f t="shared" si="40"/>
        <v/>
      </c>
      <c r="BY9" s="110"/>
      <c r="BZ9" s="111" t="s">
        <v>30</v>
      </c>
      <c r="CA9" s="112"/>
      <c r="CB9" s="112"/>
      <c r="CC9" s="112"/>
      <c r="CD9" s="116"/>
      <c r="CE9" s="165">
        <f>IFERROR((((COUNTIF('Elève (3ème5)'!BY9:CD9,"A"))*4)+((COUNTIF('Elève (3ème5)'!BY9:CD9,"B"))*3)+((COUNTIF('Elève (3ème5)'!BY9:CD9,"C"))*2)+((COUNTIF('Elève (3ème5)'!BY9:CD9,"D"))*1))/(COUNTA(BY9:CD9)),"")</f>
        <v>1</v>
      </c>
      <c r="CF9" s="166" t="str">
        <f t="shared" si="41"/>
        <v>D</v>
      </c>
      <c r="CG9" s="165">
        <f>IF(COUNT(BQ9,BW9,CE9)=0,"",SUM(BQ9,BW9,CE9)/COUNT(BQ9,BW9,CE9))</f>
        <v>1</v>
      </c>
      <c r="CH9" s="188" t="str">
        <f t="shared" si="42"/>
        <v>D</v>
      </c>
      <c r="CI9" s="110"/>
      <c r="CJ9" s="111" t="s">
        <v>29</v>
      </c>
      <c r="CK9" s="112"/>
      <c r="CL9" s="165">
        <f>IFERROR((((COUNTIF('Elève (3ème5)'!CI9:CK9,"A"))*4)+((COUNTIF('Elève (3ème5)'!CI9:CK9,"B"))*3)+((COUNTIF('Elève (3ème5)'!CI9:CK9,"C"))*2)+((COUNTIF('Elève (3ème5)'!CI9:CK9,"D"))*1))/(COUNTA(CI9:CK9)),"")</f>
        <v>2</v>
      </c>
      <c r="CM9" s="166" t="str">
        <f t="shared" si="43"/>
        <v>C</v>
      </c>
      <c r="CN9" s="110"/>
      <c r="CO9" s="111"/>
      <c r="CP9" s="112"/>
      <c r="CQ9" s="112"/>
      <c r="CR9" s="165" t="str">
        <f>IFERROR((((COUNTIF('Elève (3ème5)'!CN9:CQ9,"A"))*4)+((COUNTIF('Elève (3ème5)'!CN9:CQ9,"B"))*3)+((COUNTIF('Elève (3ème5)'!CN9:CQ9,"C"))*2)+((COUNTIF('Elève (3ème5)'!CN9:CQ9,"D"))*1))/(COUNTA(CN9:CQ9)),"")</f>
        <v/>
      </c>
      <c r="CS9" s="166" t="str">
        <f t="shared" si="44"/>
        <v/>
      </c>
      <c r="CT9" s="110"/>
      <c r="CU9" s="111" t="s">
        <v>30</v>
      </c>
      <c r="CV9" s="112"/>
      <c r="CW9" s="112"/>
      <c r="CX9" s="112"/>
      <c r="CY9" s="116"/>
      <c r="CZ9" s="165">
        <f>IFERROR((((COUNTIF('Elève (3ème5)'!CT9:CY9,"A"))*4)+((COUNTIF('Elève (3ème5)'!CT9:CY9,"B"))*3)+((COUNTIF('Elève (3ème5)'!CT9:CY9,"C"))*2)+((COUNTIF('Elève (3ème5)'!CT9:CY9,"D"))*1))/(COUNTA(CT9:CY9)),"")</f>
        <v>1</v>
      </c>
      <c r="DA9" s="166" t="str">
        <f t="shared" si="45"/>
        <v>D</v>
      </c>
      <c r="DB9" s="165">
        <f>IF(COUNT(CL9,CR9,CZ9)=0,"",SUM(CL9,CR9,CZ9)/COUNT(CL9,CR9,CZ9))</f>
        <v>1.5</v>
      </c>
      <c r="DC9" s="188" t="str">
        <f t="shared" si="46"/>
        <v>D</v>
      </c>
      <c r="DD9" s="110"/>
      <c r="DE9" s="111" t="s">
        <v>27</v>
      </c>
      <c r="DF9" s="112"/>
      <c r="DG9" s="165">
        <f>IFERROR((((COUNTIF('Elève (3ème5)'!DD9:DF9,"A"))*4)+((COUNTIF('Elève (3ème5)'!DD9:DF9,"B"))*3)+((COUNTIF('Elève (3ème5)'!DD9:DF9,"C"))*2)+((COUNTIF('Elève (3ème5)'!DD9:DF9,"D"))*1))/(COUNTA(DD9:DF9)),"")</f>
        <v>4</v>
      </c>
      <c r="DH9" s="166" t="str">
        <f t="shared" si="47"/>
        <v>A</v>
      </c>
      <c r="DI9" s="110"/>
      <c r="DJ9" s="111"/>
      <c r="DK9" s="112"/>
      <c r="DL9" s="112"/>
      <c r="DM9" s="165" t="str">
        <f>IFERROR((((COUNTIF('Elève (3ème5)'!DI9:DL9,"A"))*4)+((COUNTIF('Elève (3ème5)'!DI9:DL9,"B"))*3)+((COUNTIF('Elève (3ème5)'!DI9:DL9,"C"))*2)+((COUNTIF('Elève (3ème5)'!DI9:DL9,"D"))*1))/(COUNTA(DI9:DL9)),"")</f>
        <v/>
      </c>
      <c r="DN9" s="166" t="str">
        <f t="shared" si="48"/>
        <v/>
      </c>
      <c r="DO9" s="110"/>
      <c r="DP9" s="111" t="s">
        <v>27</v>
      </c>
      <c r="DQ9" s="112"/>
      <c r="DR9" s="112"/>
      <c r="DS9" s="112"/>
      <c r="DT9" s="116"/>
      <c r="DU9" s="165">
        <f>IFERROR((((COUNTIF('Elève (3ème5)'!DO9:DT9,"A"))*4)+((COUNTIF('Elève (3ème5)'!DO9:DT9,"B"))*3)+((COUNTIF('Elève (3ème5)'!DO9:DT9,"C"))*2)+((COUNTIF('Elève (3ème5)'!DO9:DT9,"D"))*1))/(COUNTA(DO9:DT9)),"")</f>
        <v>4</v>
      </c>
      <c r="DV9" s="166" t="str">
        <f t="shared" si="49"/>
        <v>A</v>
      </c>
      <c r="DW9" s="165">
        <f>IF(COUNT(DG9,DM9,DU9)=0,"",SUM(DG9,DM9,DU9)/COUNT(DG9,DM9,DU9))</f>
        <v>4</v>
      </c>
      <c r="DX9" s="188" t="str">
        <f t="shared" si="50"/>
        <v>A</v>
      </c>
      <c r="DY9" s="110"/>
      <c r="DZ9" s="111" t="s">
        <v>30</v>
      </c>
      <c r="EA9" s="112"/>
      <c r="EB9" s="165">
        <f>IFERROR((((COUNTIF('Elève (3ème5)'!DY9:EA9,"A"))*4)+((COUNTIF('Elève (3ème5)'!DY9:EA9,"B"))*3)+((COUNTIF('Elève (3ème5)'!DY9:EA9,"C"))*2)+((COUNTIF('Elève (3ème5)'!DY9:EA9,"D"))*1))/(COUNTA(DY9:EA9)),"")</f>
        <v>1</v>
      </c>
      <c r="EC9" s="166" t="str">
        <f t="shared" si="51"/>
        <v>D</v>
      </c>
      <c r="ED9" s="110"/>
      <c r="EE9" s="111"/>
      <c r="EF9" s="112"/>
      <c r="EG9" s="112"/>
      <c r="EH9" s="165" t="str">
        <f>IFERROR((((COUNTIF('Elève (3ème5)'!ED9:EG9,"A"))*4)+((COUNTIF('Elève (3ème5)'!ED9:EG9,"B"))*3)+((COUNTIF('Elève (3ème5)'!ED9:EG9,"C"))*2)+((COUNTIF('Elève (3ème5)'!ED9:EG9,"D"))*1))/(COUNTA(ED9:EG9)),"")</f>
        <v/>
      </c>
      <c r="EI9" s="166" t="str">
        <f t="shared" si="52"/>
        <v/>
      </c>
      <c r="EJ9" s="110"/>
      <c r="EK9" s="111" t="s">
        <v>29</v>
      </c>
      <c r="EL9" s="112"/>
      <c r="EM9" s="112"/>
      <c r="EN9" s="112"/>
      <c r="EO9" s="116"/>
      <c r="EP9" s="165">
        <f>IFERROR((((COUNTIF('Elève (3ème5)'!EJ9:EO9,"A"))*4)+((COUNTIF('Elève (3ème5)'!EJ9:EO9,"B"))*3)+((COUNTIF('Elève (3ème5)'!EJ9:EO9,"C"))*2)+((COUNTIF('Elève (3ème5)'!EJ9:EO9,"D"))*1))/(COUNTA(EJ9:EO9)),"")</f>
        <v>2</v>
      </c>
      <c r="EQ9" s="166" t="str">
        <f t="shared" si="53"/>
        <v>C</v>
      </c>
      <c r="ER9" s="165">
        <f>IF(COUNT(EB9,EH9,EP9)=0,"",SUM(EB9,EH9,EP9)/COUNT(EB9,EH9,EP9))</f>
        <v>1.5</v>
      </c>
      <c r="ES9" s="188" t="str">
        <f t="shared" si="54"/>
        <v>D</v>
      </c>
      <c r="ET9" s="110"/>
      <c r="EU9" s="111" t="s">
        <v>30</v>
      </c>
      <c r="EV9" s="112"/>
      <c r="EW9" s="165">
        <f>IFERROR((((COUNTIF('Elève (3ème5)'!ET9:EV9,"A"))*4)+((COUNTIF('Elève (3ème5)'!ET9:EV9,"B"))*3)+((COUNTIF('Elève (3ème5)'!ET9:EV9,"C"))*2)+((COUNTIF('Elève (3ème5)'!ET9:EV9,"D"))*1))/(COUNTA(ET9:EV9)),"")</f>
        <v>1</v>
      </c>
      <c r="EX9" s="166" t="str">
        <f t="shared" si="55"/>
        <v>D</v>
      </c>
      <c r="EY9" s="110"/>
      <c r="EZ9" s="111"/>
      <c r="FA9" s="112"/>
      <c r="FB9" s="112"/>
      <c r="FC9" s="165" t="str">
        <f>IFERROR((((COUNTIF('Elève (3ème5)'!EY9:FB9,"A"))*4)+((COUNTIF('Elève (3ème5)'!EY9:FB9,"B"))*3)+((COUNTIF('Elève (3ème5)'!EY9:FB9,"C"))*2)+((COUNTIF('Elève (3ème5)'!EY9:FB9,"D"))*1))/(COUNTA(EY9:FB9)),"")</f>
        <v/>
      </c>
      <c r="FD9" s="166" t="str">
        <f t="shared" si="56"/>
        <v/>
      </c>
      <c r="FE9" s="110"/>
      <c r="FF9" s="111" t="s">
        <v>29</v>
      </c>
      <c r="FG9" s="112"/>
      <c r="FH9" s="112"/>
      <c r="FI9" s="112"/>
      <c r="FJ9" s="116"/>
      <c r="FK9" s="165">
        <f>IFERROR((((COUNTIF('Elève (3ème5)'!FE9:FJ9,"A"))*4)+((COUNTIF('Elève (3ème5)'!FE9:FJ9,"B"))*3)+((COUNTIF('Elève (3ème5)'!FE9:FJ9,"C"))*2)+((COUNTIF('Elève (3ème5)'!FE9:FJ9,"D"))*1))/(COUNTA(FE9:FJ9)),"")</f>
        <v>2</v>
      </c>
      <c r="FL9" s="166" t="str">
        <f t="shared" si="57"/>
        <v>C</v>
      </c>
      <c r="FM9" s="165">
        <f>IF(COUNT(EW9,FC9,FK9)=0,"",SUM(EW9,FC9,FK9)/COUNT(EW9,FC9,FK9))</f>
        <v>1.5</v>
      </c>
      <c r="FN9" s="188" t="str">
        <f t="shared" si="58"/>
        <v>D</v>
      </c>
      <c r="FO9" s="110"/>
      <c r="FP9" s="111" t="s">
        <v>30</v>
      </c>
      <c r="FQ9" s="112"/>
      <c r="FR9" s="165">
        <f>IFERROR((((COUNTIF('Elève (3ème5)'!FO9:FQ9,"A"))*4)+((COUNTIF('Elève (3ème5)'!FO9:FQ9,"B"))*3)+((COUNTIF('Elève (3ème5)'!FO9:FQ9,"C"))*2)+((COUNTIF('Elève (3ème5)'!FO9:FQ9,"D"))*1))/(COUNTA(FO9:FQ9)),"")</f>
        <v>1</v>
      </c>
      <c r="FS9" s="166" t="str">
        <f t="shared" si="59"/>
        <v>D</v>
      </c>
      <c r="FT9" s="110"/>
      <c r="FU9" s="111"/>
      <c r="FV9" s="112"/>
      <c r="FW9" s="112"/>
      <c r="FX9" s="165" t="str">
        <f>IFERROR((((COUNTIF('Elève (3ème5)'!FT9:FW9,"A"))*4)+((COUNTIF('Elève (3ème5)'!FT9:FW9,"B"))*3)+((COUNTIF('Elève (3ème5)'!FT9:FW9,"C"))*2)+((COUNTIF('Elève (3ème5)'!FT9:FW9,"D"))*1))/(COUNTA(FT9:FW9)),"")</f>
        <v/>
      </c>
      <c r="FY9" s="166" t="str">
        <f t="shared" si="60"/>
        <v/>
      </c>
      <c r="FZ9" s="110"/>
      <c r="GA9" s="111" t="s">
        <v>30</v>
      </c>
      <c r="GB9" s="112"/>
      <c r="GC9" s="112"/>
      <c r="GD9" s="112"/>
      <c r="GE9" s="116"/>
      <c r="GF9" s="165">
        <f>IFERROR((((COUNTIF('Elève (3ème5)'!FZ9:GE9,"A"))*4)+((COUNTIF('Elève (3ème5)'!FZ9:GE9,"B"))*3)+((COUNTIF('Elève (3ème5)'!FZ9:GE9,"C"))*2)+((COUNTIF('Elève (3ème5)'!FZ9:GE9,"D"))*1))/(COUNTA(FZ9:GE9)),"")</f>
        <v>1</v>
      </c>
      <c r="GG9" s="166" t="str">
        <f t="shared" si="61"/>
        <v>D</v>
      </c>
      <c r="GH9" s="165">
        <f>IF(COUNT(FR9,FX9,GF9)=0,"",SUM(FR9,FX9,GF9)/COUNT(FR9,FX9,GF9))</f>
        <v>1</v>
      </c>
      <c r="GI9" s="188" t="str">
        <f t="shared" si="62"/>
        <v>D</v>
      </c>
      <c r="GJ9" s="110"/>
      <c r="GK9" s="111" t="s">
        <v>30</v>
      </c>
      <c r="GL9" s="112"/>
      <c r="GM9" s="165">
        <f>IFERROR((((COUNTIF('Elève (3ème5)'!GJ9:GL9,"A"))*4)+((COUNTIF('Elève (3ème5)'!GJ9:GL9,"B"))*3)+((COUNTIF('Elève (3ème5)'!GJ9:GL9,"C"))*2)+((COUNTIF('Elève (3ème5)'!GJ9:GL9,"D"))*1))/(COUNTA(GJ9:GL9)),"")</f>
        <v>1</v>
      </c>
      <c r="GN9" s="166" t="str">
        <f t="shared" si="63"/>
        <v>D</v>
      </c>
      <c r="GO9" s="110"/>
      <c r="GP9" s="111"/>
      <c r="GQ9" s="112"/>
      <c r="GR9" s="112"/>
      <c r="GS9" s="165" t="str">
        <f>IFERROR((((COUNTIF('Elève (3ème5)'!GO9:GR9,"A"))*4)+((COUNTIF('Elève (3ème5)'!GO9:GR9,"B"))*3)+((COUNTIF('Elève (3ème5)'!GO9:GR9,"C"))*2)+((COUNTIF('Elève (3ème5)'!GO9:GR9,"D"))*1))/(COUNTA(GO9:GR9)),"")</f>
        <v/>
      </c>
      <c r="GT9" s="166" t="str">
        <f t="shared" si="64"/>
        <v/>
      </c>
      <c r="GU9" s="110"/>
      <c r="GV9" s="111" t="s">
        <v>30</v>
      </c>
      <c r="GW9" s="112"/>
      <c r="GX9" s="112"/>
      <c r="GY9" s="112"/>
      <c r="GZ9" s="116"/>
      <c r="HA9" s="165">
        <f>IFERROR((((COUNTIF('Elève (3ème5)'!GU9:GZ9,"A"))*4)+((COUNTIF('Elève (3ème5)'!GU9:GZ9,"B"))*3)+((COUNTIF('Elève (3ème5)'!GU9:GZ9,"C"))*2)+((COUNTIF('Elève (3ème5)'!GU9:GZ9,"D"))*1))/(COUNTA(GU9:GZ9)),"")</f>
        <v>1</v>
      </c>
      <c r="HB9" s="166" t="str">
        <f t="shared" si="65"/>
        <v>D</v>
      </c>
      <c r="HC9" s="165">
        <f>IF(COUNT(GM9,GS9,HA9)=0,"",SUM(GM9,GS9,HA9)/COUNT(GM9,GS9,HA9))</f>
        <v>1</v>
      </c>
      <c r="HD9" s="188" t="str">
        <f t="shared" si="66"/>
        <v>D</v>
      </c>
      <c r="HE9" s="110"/>
      <c r="HF9" s="111" t="s">
        <v>30</v>
      </c>
      <c r="HG9" s="112"/>
      <c r="HH9" s="165">
        <f>IFERROR((((COUNTIF('Elève (3ème5)'!HE9:HG9,"A"))*4)+((COUNTIF('Elève (3ème5)'!HE9:HG9,"B"))*3)+((COUNTIF('Elève (3ème5)'!HE9:HG9,"C"))*2)+((COUNTIF('Elève (3ème5)'!HE9:HG9,"D"))*1))/(COUNTA(HE9:HG9)),"")</f>
        <v>1</v>
      </c>
      <c r="HI9" s="166" t="str">
        <f t="shared" si="67"/>
        <v>D</v>
      </c>
      <c r="HJ9" s="110"/>
      <c r="HK9" s="111"/>
      <c r="HL9" s="112"/>
      <c r="HM9" s="112"/>
      <c r="HN9" s="165" t="str">
        <f>IFERROR((((COUNTIF('Elève (3ème5)'!HJ9:HM9,"A"))*4)+((COUNTIF('Elève (3ème5)'!HJ9:HM9,"B"))*3)+((COUNTIF('Elève (3ème5)'!HJ9:HM9,"C"))*2)+((COUNTIF('Elève (3ème5)'!HJ9:HM9,"D"))*1))/(COUNTA(HJ9:HM9)),"")</f>
        <v/>
      </c>
      <c r="HO9" s="166" t="str">
        <f t="shared" si="68"/>
        <v/>
      </c>
      <c r="HP9" s="110"/>
      <c r="HQ9" s="111" t="s">
        <v>29</v>
      </c>
      <c r="HR9" s="112"/>
      <c r="HS9" s="112"/>
      <c r="HT9" s="112"/>
      <c r="HU9" s="116"/>
      <c r="HV9" s="165">
        <f>IFERROR((((COUNTIF('Elève (3ème5)'!HP9:HU9,"A"))*4)+((COUNTIF('Elève (3ème5)'!HP9:HU9,"B"))*3)+((COUNTIF('Elève (3ème5)'!HP9:HU9,"C"))*2)+((COUNTIF('Elève (3ème5)'!HP9:HU9,"D"))*1))/(COUNTA(HP9:HU9)),"")</f>
        <v>2</v>
      </c>
      <c r="HW9" s="166" t="str">
        <f t="shared" si="69"/>
        <v>C</v>
      </c>
      <c r="HX9" s="165">
        <f>IF(COUNT(HH9,HN9,HV9)=0,"",SUM(HH9,HN9,HV9)/COUNT(HH9,HN9,HV9))</f>
        <v>1.5</v>
      </c>
      <c r="HY9" s="188" t="str">
        <f t="shared" si="70"/>
        <v>D</v>
      </c>
      <c r="HZ9" s="110"/>
      <c r="IA9" s="111" t="s">
        <v>29</v>
      </c>
      <c r="IB9" s="112"/>
      <c r="IC9" s="165">
        <f>IFERROR((((COUNTIF('Elève (3ème5)'!HZ9:IB9,"A"))*4)+((COUNTIF('Elève (3ème5)'!HZ9:IB9,"B"))*3)+((COUNTIF('Elève (3ème5)'!HZ9:IB9,"C"))*2)+((COUNTIF('Elève (3ème5)'!HZ9:IB9,"D"))*1))/(COUNTA(HZ9:IB9)),"")</f>
        <v>2</v>
      </c>
      <c r="ID9" s="166" t="str">
        <f t="shared" si="71"/>
        <v>C</v>
      </c>
      <c r="IE9" s="110"/>
      <c r="IF9" s="111"/>
      <c r="IG9" s="112"/>
      <c r="IH9" s="112"/>
      <c r="II9" s="165" t="str">
        <f>IFERROR((((COUNTIF('Elève (3ème5)'!IE9:IH9,"A"))*4)+((COUNTIF('Elève (3ème5)'!IE9:IH9,"B"))*3)+((COUNTIF('Elève (3ème5)'!IE9:IH9,"C"))*2)+((COUNTIF('Elève (3ème5)'!IE9:IH9,"D"))*1))/(COUNTA(IE9:IH9)),"")</f>
        <v/>
      </c>
      <c r="IJ9" s="166" t="str">
        <f t="shared" si="72"/>
        <v/>
      </c>
      <c r="IK9" s="110"/>
      <c r="IL9" s="111" t="s">
        <v>28</v>
      </c>
      <c r="IM9" s="112"/>
      <c r="IN9" s="112"/>
      <c r="IO9" s="112"/>
      <c r="IP9" s="116"/>
      <c r="IQ9" s="165">
        <f>IFERROR((((COUNTIF('Elève (3ème5)'!IK9:IP9,"A"))*4)+((COUNTIF('Elève (3ème5)'!IK9:IP9,"B"))*3)+((COUNTIF('Elève (3ème5)'!IK9:IP9,"C"))*2)+((COUNTIF('Elève (3ème5)'!IK9:IP9,"D"))*1))/(COUNTA(IK9:IP9)),"")</f>
        <v>3</v>
      </c>
      <c r="IR9" s="166" t="str">
        <f t="shared" si="73"/>
        <v>B</v>
      </c>
      <c r="IS9" s="165">
        <f>IF(COUNT(IC9,II9,IQ9)=0,"",SUM(IC9,II9,IQ9)/COUNT(IC9,II9,IQ9))</f>
        <v>2.5</v>
      </c>
      <c r="IT9" s="188" t="str">
        <f t="shared" si="74"/>
        <v>C</v>
      </c>
      <c r="IU9" s="110"/>
      <c r="IV9" s="111" t="s">
        <v>30</v>
      </c>
      <c r="IW9" s="112"/>
      <c r="IX9" s="165">
        <f>IFERROR((((COUNTIF('Elève (3ème5)'!IU9:IW9,"A"))*4)+((COUNTIF('Elève (3ème5)'!IU9:IW9,"B"))*3)+((COUNTIF('Elève (3ème5)'!IU9:IW9,"C"))*2)+((COUNTIF('Elève (3ème5)'!IU9:IW9,"D"))*1))/(COUNTA(IU9:IW9)),"")</f>
        <v>1</v>
      </c>
      <c r="IY9" s="166" t="str">
        <f t="shared" si="75"/>
        <v>D</v>
      </c>
      <c r="IZ9" s="110"/>
      <c r="JA9" s="111"/>
      <c r="JB9" s="112"/>
      <c r="JC9" s="112"/>
      <c r="JD9" s="165" t="str">
        <f>IFERROR((((COUNTIF('Elève (3ème5)'!IZ9:JC9,"A"))*4)+((COUNTIF('Elève (3ème5)'!IZ9:JC9,"B"))*3)+((COUNTIF('Elève (3ème5)'!IZ9:JC9,"C"))*2)+((COUNTIF('Elève (3ème5)'!IZ9:JC9,"D"))*1))/(COUNTA(IZ9:JC9)),"")</f>
        <v/>
      </c>
      <c r="JE9" s="166" t="str">
        <f t="shared" si="76"/>
        <v/>
      </c>
      <c r="JF9" s="110"/>
      <c r="JG9" s="111" t="s">
        <v>29</v>
      </c>
      <c r="JH9" s="112"/>
      <c r="JI9" s="112"/>
      <c r="JJ9" s="112"/>
      <c r="JK9" s="116"/>
      <c r="JL9" s="165">
        <f>IFERROR((((COUNTIF('Elève (3ème5)'!JF9:JK9,"A"))*4)+((COUNTIF('Elève (3ème5)'!JF9:JK9,"B"))*3)+((COUNTIF('Elève (3ème5)'!JF9:JK9,"C"))*2)+((COUNTIF('Elève (3ème5)'!JF9:JK9,"D"))*1))/(COUNTA(JF9:JK9)),"")</f>
        <v>2</v>
      </c>
      <c r="JM9" s="166" t="str">
        <f t="shared" si="77"/>
        <v>C</v>
      </c>
      <c r="JN9" s="165">
        <f>IF(COUNT(IX9,JD9,JL9)=0,"",SUM(IX9,JD9,JL9)/COUNT(IX9,JD9,JL9))</f>
        <v>1.5</v>
      </c>
      <c r="JO9" s="188" t="str">
        <f t="shared" si="78"/>
        <v>D</v>
      </c>
      <c r="JP9" s="110"/>
      <c r="JQ9" s="111" t="s">
        <v>30</v>
      </c>
      <c r="JR9" s="112"/>
      <c r="JS9" s="165">
        <f>IFERROR((((COUNTIF('Elève (3ème5)'!JP9:JR9,"A"))*4)+((COUNTIF('Elève (3ème5)'!JP9:JR9,"B"))*3)+((COUNTIF('Elève (3ème5)'!JP9:JR9,"C"))*2)+((COUNTIF('Elève (3ème5)'!JP9:JR9,"D"))*1))/(COUNTA(JP9:JR9)),"")</f>
        <v>1</v>
      </c>
      <c r="JT9" s="166" t="str">
        <f t="shared" si="79"/>
        <v>D</v>
      </c>
      <c r="JU9" s="110"/>
      <c r="JV9" s="111"/>
      <c r="JW9" s="112"/>
      <c r="JX9" s="112"/>
      <c r="JY9" s="165" t="str">
        <f>IFERROR((((COUNTIF('Elève (3ème5)'!JU9:JX9,"A"))*4)+((COUNTIF('Elève (3ème5)'!JU9:JX9,"B"))*3)+((COUNTIF('Elève (3ème5)'!JU9:JX9,"C"))*2)+((COUNTIF('Elève (3ème5)'!JU9:JX9,"D"))*1))/(COUNTA(JU9:JX9)),"")</f>
        <v/>
      </c>
      <c r="JZ9" s="166" t="str">
        <f t="shared" si="80"/>
        <v/>
      </c>
      <c r="KA9" s="110"/>
      <c r="KB9" s="111" t="s">
        <v>29</v>
      </c>
      <c r="KC9" s="112"/>
      <c r="KD9" s="112"/>
      <c r="KE9" s="112"/>
      <c r="KF9" s="116"/>
      <c r="KG9" s="165">
        <f>IFERROR((((COUNTIF('Elève (3ème5)'!KA9:KF9,"A"))*4)+((COUNTIF('Elève (3ème5)'!KA9:KF9,"B"))*3)+((COUNTIF('Elève (3ème5)'!KA9:KF9,"C"))*2)+((COUNTIF('Elève (3ème5)'!KA9:KF9,"D"))*1))/(COUNTA(KA9:KF9)),"")</f>
        <v>2</v>
      </c>
      <c r="KH9" s="166" t="str">
        <f t="shared" si="81"/>
        <v>C</v>
      </c>
      <c r="KI9" s="165">
        <f>IF(COUNT(JS9,JY9,KG9)=0,"",SUM(JS9,JY9,KG9)/COUNT(JS9,JY9,KG9))</f>
        <v>1.5</v>
      </c>
      <c r="KJ9" s="188" t="str">
        <f t="shared" si="82"/>
        <v>D</v>
      </c>
      <c r="KK9" s="110"/>
      <c r="KL9" s="111" t="s">
        <v>30</v>
      </c>
      <c r="KM9" s="112"/>
      <c r="KN9" s="165">
        <f>IFERROR((((COUNTIF('Elève (3ème5)'!KK9:KM9,"A"))*4)+((COUNTIF('Elève (3ème5)'!KK9:KM9,"B"))*3)+((COUNTIF('Elève (3ème5)'!KK9:KM9,"C"))*2)+((COUNTIF('Elève (3ème5)'!KK9:KM9,"D"))*1))/(COUNTA(KK9:KM9)),"")</f>
        <v>1</v>
      </c>
      <c r="KO9" s="166" t="str">
        <f t="shared" si="83"/>
        <v>D</v>
      </c>
      <c r="KP9" s="110"/>
      <c r="KQ9" s="111"/>
      <c r="KR9" s="112"/>
      <c r="KS9" s="112"/>
      <c r="KT9" s="165" t="str">
        <f>IFERROR((((COUNTIF('Elève (3ème5)'!KP9:KS9,"A"))*4)+((COUNTIF('Elève (3ème5)'!KP9:KS9,"B"))*3)+((COUNTIF('Elève (3ème5)'!KP9:KS9,"C"))*2)+((COUNTIF('Elève (3ème5)'!KP9:KS9,"D"))*1))/(COUNTA(KP9:KS9)),"")</f>
        <v/>
      </c>
      <c r="KU9" s="166" t="str">
        <f t="shared" si="84"/>
        <v/>
      </c>
      <c r="KV9" s="110"/>
      <c r="KW9" s="111" t="s">
        <v>29</v>
      </c>
      <c r="KX9" s="112"/>
      <c r="KY9" s="112"/>
      <c r="KZ9" s="112"/>
      <c r="LA9" s="116"/>
      <c r="LB9" s="165">
        <f>IFERROR((((COUNTIF('Elève (3ème5)'!KV9:LA9,"A"))*4)+((COUNTIF('Elève (3ème5)'!KV9:LA9,"B"))*3)+((COUNTIF('Elève (3ème5)'!KV9:LA9,"C"))*2)+((COUNTIF('Elève (3ème5)'!KV9:LA9,"D"))*1))/(COUNTA(KV9:LA9)),"")</f>
        <v>2</v>
      </c>
      <c r="LC9" s="166" t="str">
        <f t="shared" si="85"/>
        <v>C</v>
      </c>
      <c r="LD9" s="165">
        <f>IF(COUNT(KN9,KT9,LB9)=0,"",SUM(KN9,KT9,LB9)/COUNT(KN9,KT9,LB9))</f>
        <v>1.5</v>
      </c>
      <c r="LE9" s="188" t="str">
        <f t="shared" si="86"/>
        <v>D</v>
      </c>
      <c r="LF9" s="110"/>
      <c r="LG9" s="111" t="s">
        <v>30</v>
      </c>
      <c r="LH9" s="112"/>
      <c r="LI9" s="165">
        <f>IFERROR((((COUNTIF('Elève (3ème5)'!LF9:LH9,"A"))*4)+((COUNTIF('Elève (3ème5)'!LF9:LH9,"B"))*3)+((COUNTIF('Elève (3ème5)'!LF9:LH9,"C"))*2)+((COUNTIF('Elève (3ème5)'!LF9:LH9,"D"))*1))/(COUNTA(LF9:LH9)),"")</f>
        <v>1</v>
      </c>
      <c r="LJ9" s="166" t="str">
        <f t="shared" si="87"/>
        <v>D</v>
      </c>
      <c r="LK9" s="110"/>
      <c r="LL9" s="111"/>
      <c r="LM9" s="112"/>
      <c r="LN9" s="112"/>
      <c r="LO9" s="165" t="str">
        <f>IFERROR((((COUNTIF('Elève (3ème5)'!LK9:LN9,"A"))*4)+((COUNTIF('Elève (3ème5)'!LK9:LN9,"B"))*3)+((COUNTIF('Elève (3ème5)'!LK9:LN9,"C"))*2)+((COUNTIF('Elève (3ème5)'!LK9:LN9,"D"))*1))/(COUNTA(LK9:LN9)),"")</f>
        <v/>
      </c>
      <c r="LP9" s="166" t="str">
        <f t="shared" si="88"/>
        <v/>
      </c>
      <c r="LQ9" s="110"/>
      <c r="LR9" s="111" t="s">
        <v>30</v>
      </c>
      <c r="LS9" s="112"/>
      <c r="LT9" s="112"/>
      <c r="LU9" s="112"/>
      <c r="LV9" s="116"/>
      <c r="LW9" s="165">
        <f>IFERROR((((COUNTIF('Elève (3ème5)'!LQ9:LV9,"A"))*4)+((COUNTIF('Elève (3ème5)'!LQ9:LV9,"B"))*3)+((COUNTIF('Elève (3ème5)'!LQ9:LV9,"C"))*2)+((COUNTIF('Elève (3ème5)'!LQ9:LV9,"D"))*1))/(COUNTA(LQ9:LV9)),"")</f>
        <v>1</v>
      </c>
      <c r="LX9" s="166" t="str">
        <f t="shared" si="89"/>
        <v>D</v>
      </c>
      <c r="LY9" s="165">
        <f>IF(COUNT(LI9,LO9,LW9)=0,"",SUM(LI9,LO9,LW9)/COUNT(LI9,LO9,LW9))</f>
        <v>1</v>
      </c>
      <c r="LZ9" s="188" t="str">
        <f t="shared" si="90"/>
        <v>D</v>
      </c>
      <c r="MA9" s="110"/>
      <c r="MB9" s="111" t="s">
        <v>30</v>
      </c>
      <c r="MC9" s="112"/>
      <c r="MD9" s="165">
        <f>IFERROR((((COUNTIF('Elève (3ème5)'!MA9:MC9,"A"))*4)+((COUNTIF('Elève (3ème5)'!MA9:MC9,"B"))*3)+((COUNTIF('Elève (3ème5)'!MA9:MC9,"C"))*2)+((COUNTIF('Elève (3ème5)'!MA9:MC9,"D"))*1))/(COUNTA(MA9:MC9)),"")</f>
        <v>1</v>
      </c>
      <c r="ME9" s="166" t="str">
        <f t="shared" si="91"/>
        <v>D</v>
      </c>
      <c r="MF9" s="110"/>
      <c r="MG9" s="111"/>
      <c r="MH9" s="112"/>
      <c r="MI9" s="112"/>
      <c r="MJ9" s="165" t="str">
        <f>IFERROR((((COUNTIF('Elève (3ème5)'!MF9:MI9,"A"))*4)+((COUNTIF('Elève (3ème5)'!MF9:MI9,"B"))*3)+((COUNTIF('Elève (3ème5)'!MF9:MI9,"C"))*2)+((COUNTIF('Elève (3ème5)'!MF9:MI9,"D"))*1))/(COUNTA(MF9:MI9)),"")</f>
        <v/>
      </c>
      <c r="MK9" s="166" t="str">
        <f t="shared" si="92"/>
        <v/>
      </c>
      <c r="ML9" s="110"/>
      <c r="MM9" s="111" t="s">
        <v>30</v>
      </c>
      <c r="MN9" s="112"/>
      <c r="MO9" s="112"/>
      <c r="MP9" s="112"/>
      <c r="MQ9" s="116"/>
      <c r="MR9" s="165">
        <f>IFERROR((((COUNTIF('Elève (3ème5)'!ML9:MQ9,"A"))*4)+((COUNTIF('Elève (3ème5)'!ML9:MQ9,"B"))*3)+((COUNTIF('Elève (3ème5)'!ML9:MQ9,"C"))*2)+((COUNTIF('Elève (3ème5)'!ML9:MQ9,"D"))*1))/(COUNTA(ML9:MQ9)),"")</f>
        <v>1</v>
      </c>
      <c r="MS9" s="166" t="str">
        <f t="shared" si="93"/>
        <v>D</v>
      </c>
      <c r="MT9" s="165">
        <f>IF(COUNT(MD9,MJ9,MR9)=0,"",SUM(MD9,MJ9,MR9)/COUNT(MD9,MJ9,MR9))</f>
        <v>1</v>
      </c>
      <c r="MU9" s="188" t="str">
        <f t="shared" si="94"/>
        <v>D</v>
      </c>
      <c r="MV9" s="110"/>
      <c r="MW9" s="111" t="s">
        <v>30</v>
      </c>
      <c r="MX9" s="112"/>
      <c r="MY9" s="165">
        <f>IFERROR((((COUNTIF('Elève (3ème5)'!MV9:MX9,"A"))*4)+((COUNTIF('Elève (3ème5)'!MV9:MX9,"B"))*3)+((COUNTIF('Elève (3ème5)'!MV9:MX9,"C"))*2)+((COUNTIF('Elève (3ème5)'!MV9:MX9,"D"))*1))/(COUNTA(MV9:MX9)),"")</f>
        <v>1</v>
      </c>
      <c r="MZ9" s="166" t="str">
        <f t="shared" si="95"/>
        <v>D</v>
      </c>
      <c r="NA9" s="110"/>
      <c r="NB9" s="111"/>
      <c r="NC9" s="112"/>
      <c r="ND9" s="112"/>
      <c r="NE9" s="165" t="str">
        <f>IFERROR((((COUNTIF('Elève (3ème5)'!NA9:ND9,"A"))*4)+((COUNTIF('Elève (3ème5)'!NA9:ND9,"B"))*3)+((COUNTIF('Elève (3ème5)'!NA9:ND9,"C"))*2)+((COUNTIF('Elève (3ème5)'!NA9:ND9,"D"))*1))/(COUNTA(NA9:ND9)),"")</f>
        <v/>
      </c>
      <c r="NF9" s="166" t="str">
        <f t="shared" si="96"/>
        <v/>
      </c>
      <c r="NG9" s="110"/>
      <c r="NH9" s="111" t="s">
        <v>29</v>
      </c>
      <c r="NI9" s="112"/>
      <c r="NJ9" s="112"/>
      <c r="NK9" s="112"/>
      <c r="NL9" s="116"/>
      <c r="NM9" s="165">
        <f>IFERROR((((COUNTIF('Elève (3ème5)'!NG9:NL9,"A"))*4)+((COUNTIF('Elève (3ème5)'!NG9:NL9,"B"))*3)+((COUNTIF('Elève (3ème5)'!NG9:NL9,"C"))*2)+((COUNTIF('Elève (3ème5)'!NG9:NL9,"D"))*1))/(COUNTA(NG9:NL9)),"")</f>
        <v>2</v>
      </c>
      <c r="NN9" s="166" t="str">
        <f t="shared" si="97"/>
        <v>C</v>
      </c>
      <c r="NO9" s="165">
        <f>IF(COUNT(MY9,NE9,NM9)=0,"",SUM(MY9,NE9,NM9)/COUNT(MY9,NE9,NM9))</f>
        <v>1.5</v>
      </c>
      <c r="NP9" s="188" t="str">
        <f t="shared" si="98"/>
        <v>D</v>
      </c>
      <c r="NQ9" s="110"/>
      <c r="NR9" s="111" t="s">
        <v>29</v>
      </c>
      <c r="NS9" s="112"/>
      <c r="NT9" s="165">
        <f>IFERROR((((COUNTIF('Elève (3ème5)'!NQ9:NS9,"A"))*4)+((COUNTIF('Elève (3ème5)'!NQ9:NS9,"B"))*3)+((COUNTIF('Elève (3ème5)'!NQ9:NS9,"C"))*2)+((COUNTIF('Elève (3ème5)'!NQ9:NS9,"D"))*1))/(COUNTA(NQ9:NS9)),"")</f>
        <v>2</v>
      </c>
      <c r="NU9" s="166" t="str">
        <f t="shared" si="99"/>
        <v>C</v>
      </c>
      <c r="NV9" s="110"/>
      <c r="NW9" s="111"/>
      <c r="NX9" s="112"/>
      <c r="NY9" s="112"/>
      <c r="NZ9" s="165" t="str">
        <f>IFERROR((((COUNTIF('Elève (3ème5)'!NV9:NY9,"A"))*4)+((COUNTIF('Elève (3ème5)'!NV9:NY9,"B"))*3)+((COUNTIF('Elève (3ème5)'!NV9:NY9,"C"))*2)+((COUNTIF('Elève (3ème5)'!NV9:NY9,"D"))*1))/(COUNTA(NV9:NY9)),"")</f>
        <v/>
      </c>
      <c r="OA9" s="166" t="str">
        <f t="shared" si="100"/>
        <v/>
      </c>
      <c r="OB9" s="110"/>
      <c r="OC9" s="111" t="s">
        <v>30</v>
      </c>
      <c r="OD9" s="112"/>
      <c r="OE9" s="112"/>
      <c r="OF9" s="112"/>
      <c r="OG9" s="116"/>
      <c r="OH9" s="165">
        <f>IFERROR((((COUNTIF('Elève (3ème5)'!OB9:OG9,"A"))*4)+((COUNTIF('Elève (3ème5)'!OB9:OG9,"B"))*3)+((COUNTIF('Elève (3ème5)'!OB9:OG9,"C"))*2)+((COUNTIF('Elève (3ème5)'!OB9:OG9,"D"))*1))/(COUNTA(OB9:OG9)),"")</f>
        <v>1</v>
      </c>
      <c r="OI9" s="166" t="str">
        <f t="shared" si="101"/>
        <v>D</v>
      </c>
      <c r="OJ9" s="165">
        <f>IF(COUNT(NT9,NZ9,OH9)=0,"",SUM(NT9,NZ9,OH9)/COUNT(NT9,NZ9,OH9))</f>
        <v>1.5</v>
      </c>
      <c r="OK9" s="188" t="str">
        <f t="shared" si="102"/>
        <v>D</v>
      </c>
      <c r="OL9" s="110"/>
      <c r="OM9" s="111" t="s">
        <v>30</v>
      </c>
      <c r="ON9" s="112"/>
      <c r="OO9" s="165">
        <f>IFERROR((((COUNTIF('Elève (3ème5)'!OL9:ON9,"A"))*4)+((COUNTIF('Elève (3ème5)'!OL9:ON9,"B"))*3)+((COUNTIF('Elève (3ème5)'!OL9:ON9,"C"))*2)+((COUNTIF('Elève (3ème5)'!OL9:ON9,"D"))*1))/(COUNTA(OL9:ON9)),"")</f>
        <v>1</v>
      </c>
      <c r="OP9" s="166" t="str">
        <f t="shared" si="103"/>
        <v>D</v>
      </c>
      <c r="OQ9" s="110"/>
      <c r="OR9" s="111"/>
      <c r="OS9" s="112"/>
      <c r="OT9" s="112"/>
      <c r="OU9" s="165" t="str">
        <f>IFERROR((((COUNTIF('Elève (3ème5)'!OQ9:OT9,"A"))*4)+((COUNTIF('Elève (3ème5)'!OQ9:OT9,"B"))*3)+((COUNTIF('Elève (3ème5)'!OQ9:OT9,"C"))*2)+((COUNTIF('Elève (3ème5)'!OQ9:OT9,"D"))*1))/(COUNTA(OQ9:OT9)),"")</f>
        <v/>
      </c>
      <c r="OV9" s="166" t="str">
        <f t="shared" si="104"/>
        <v/>
      </c>
      <c r="OW9" s="110"/>
      <c r="OX9" s="111" t="s">
        <v>30</v>
      </c>
      <c r="OY9" s="112"/>
      <c r="OZ9" s="112"/>
      <c r="PA9" s="112"/>
      <c r="PB9" s="116"/>
      <c r="PC9" s="165">
        <f>IFERROR((((COUNTIF('Elève (3ème5)'!OW9:PB9,"A"))*4)+((COUNTIF('Elève (3ème5)'!OW9:PB9,"B"))*3)+((COUNTIF('Elève (3ème5)'!OW9:PB9,"C"))*2)+((COUNTIF('Elève (3ème5)'!OW9:PB9,"D"))*1))/(COUNTA(OW9:PB9)),"")</f>
        <v>1</v>
      </c>
      <c r="PD9" s="166" t="str">
        <f t="shared" si="105"/>
        <v>D</v>
      </c>
      <c r="PE9" s="165">
        <f>IF(COUNT(OO9,OU9,PC9)=0,"",SUM(OO9,OU9,PC9)/COUNT(OO9,OU9,PC9))</f>
        <v>1</v>
      </c>
      <c r="PF9" s="188" t="str">
        <f t="shared" si="106"/>
        <v>D</v>
      </c>
      <c r="PG9" s="110"/>
      <c r="PH9" s="111" t="s">
        <v>30</v>
      </c>
      <c r="PI9" s="112"/>
      <c r="PJ9" s="165">
        <f>IFERROR((((COUNTIF('Elève (3ème5)'!PG9:PI9,"A"))*4)+((COUNTIF('Elève (3ème5)'!PG9:PI9,"B"))*3)+((COUNTIF('Elève (3ème5)'!PG9:PI9,"C"))*2)+((COUNTIF('Elève (3ème5)'!PG9:PI9,"D"))*1))/(COUNTA(PG9:PI9)),"")</f>
        <v>1</v>
      </c>
      <c r="PK9" s="166" t="str">
        <f t="shared" si="107"/>
        <v>D</v>
      </c>
      <c r="PL9" s="110"/>
      <c r="PM9" s="111"/>
      <c r="PN9" s="112"/>
      <c r="PO9" s="112"/>
      <c r="PP9" s="165" t="str">
        <f>IFERROR((((COUNTIF('Elève (3ème5)'!PL9:PO9,"A"))*4)+((COUNTIF('Elève (3ème5)'!PL9:PO9,"B"))*3)+((COUNTIF('Elève (3ème5)'!PL9:PO9,"C"))*2)+((COUNTIF('Elève (3ème5)'!PL9:PO9,"D"))*1))/(COUNTA(PL9:PO9)),"")</f>
        <v/>
      </c>
      <c r="PQ9" s="166" t="str">
        <f t="shared" si="108"/>
        <v/>
      </c>
      <c r="PR9" s="110"/>
      <c r="PS9" s="111" t="s">
        <v>29</v>
      </c>
      <c r="PT9" s="112"/>
      <c r="PU9" s="112"/>
      <c r="PV9" s="112"/>
      <c r="PW9" s="116"/>
      <c r="PX9" s="165">
        <f>IFERROR((((COUNTIF('Elève (3ème5)'!PR9:PW9,"A"))*4)+((COUNTIF('Elève (3ème5)'!PR9:PW9,"B"))*3)+((COUNTIF('Elève (3ème5)'!PR9:PW9,"C"))*2)+((COUNTIF('Elève (3ème5)'!PR9:PW9,"D"))*1))/(COUNTA(PR9:PW9)),"")</f>
        <v>2</v>
      </c>
      <c r="PY9" s="166" t="str">
        <f t="shared" si="109"/>
        <v>C</v>
      </c>
      <c r="PZ9" s="165">
        <f>IF(COUNT(PJ9,PP9,PX9)=0,"",SUM(PJ9,PP9,PX9)/COUNT(PJ9,PP9,PX9))</f>
        <v>1.5</v>
      </c>
      <c r="QA9" s="188" t="str">
        <f t="shared" si="110"/>
        <v>D</v>
      </c>
      <c r="QB9" s="110"/>
      <c r="QC9" s="111" t="s">
        <v>30</v>
      </c>
      <c r="QD9" s="112"/>
      <c r="QE9" s="165">
        <f>IFERROR((((COUNTIF('Elève (3ème5)'!QB9:QD9,"A"))*4)+((COUNTIF('Elève (3ème5)'!QB9:QD9,"B"))*3)+((COUNTIF('Elève (3ème5)'!QB9:QD9,"C"))*2)+((COUNTIF('Elève (3ème5)'!QB9:QD9,"D"))*1))/(COUNTA(QB9:QD9)),"")</f>
        <v>1</v>
      </c>
      <c r="QF9" s="166" t="str">
        <f t="shared" si="111"/>
        <v>D</v>
      </c>
      <c r="QG9" s="110"/>
      <c r="QH9" s="111"/>
      <c r="QI9" s="112"/>
      <c r="QJ9" s="112"/>
      <c r="QK9" s="165" t="str">
        <f>IFERROR((((COUNTIF('Elève (3ème5)'!QG9:QJ9,"A"))*4)+((COUNTIF('Elève (3ème5)'!QG9:QJ9,"B"))*3)+((COUNTIF('Elève (3ème5)'!QG9:QJ9,"C"))*2)+((COUNTIF('Elève (3ème5)'!QG9:QJ9,"D"))*1))/(COUNTA(QG9:QJ9)),"")</f>
        <v/>
      </c>
      <c r="QL9" s="166" t="str">
        <f t="shared" si="112"/>
        <v/>
      </c>
      <c r="QM9" s="110"/>
      <c r="QN9" s="111" t="s">
        <v>30</v>
      </c>
      <c r="QO9" s="112"/>
      <c r="QP9" s="112"/>
      <c r="QQ9" s="112"/>
      <c r="QR9" s="116"/>
      <c r="QS9" s="165">
        <f>IFERROR((((COUNTIF('Elève (3ème5)'!QM9:QR9,"A"))*4)+((COUNTIF('Elève (3ème5)'!QM9:QR9,"B"))*3)+((COUNTIF('Elève (3ème5)'!QM9:QR9,"C"))*2)+((COUNTIF('Elève (3ème5)'!QM9:QR9,"D"))*1))/(COUNTA(QM9:QR9)),"")</f>
        <v>1</v>
      </c>
      <c r="QT9" s="166" t="str">
        <f t="shared" si="113"/>
        <v>D</v>
      </c>
      <c r="QU9" s="165">
        <f>IF(COUNT(QE9,QK9,QS9)=0,"",SUM(QE9,QK9,QS9)/COUNT(QE9,QK9,QS9))</f>
        <v>1</v>
      </c>
      <c r="QV9" s="188" t="str">
        <f t="shared" si="114"/>
        <v>D</v>
      </c>
      <c r="QW9" s="110"/>
      <c r="QX9" s="111" t="s">
        <v>30</v>
      </c>
      <c r="QY9" s="112"/>
      <c r="QZ9" s="165">
        <f>IFERROR((((COUNTIF('Elève (3ème5)'!QW9:QY9,"A"))*4)+((COUNTIF('Elève (3ème5)'!QW9:QY9,"B"))*3)+((COUNTIF('Elève (3ème5)'!QW9:QY9,"C"))*2)+((COUNTIF('Elève (3ème5)'!QW9:QY9,"D"))*1))/(COUNTA(QW9:QY9)),"")</f>
        <v>1</v>
      </c>
      <c r="RA9" s="166" t="str">
        <f t="shared" si="115"/>
        <v>D</v>
      </c>
      <c r="RB9" s="110"/>
      <c r="RC9" s="111"/>
      <c r="RD9" s="112"/>
      <c r="RE9" s="112"/>
      <c r="RF9" s="165" t="str">
        <f>IFERROR((((COUNTIF('Elève (3ème5)'!RB9:RE9,"A"))*4)+((COUNTIF('Elève (3ème5)'!RB9:RE9,"B"))*3)+((COUNTIF('Elève (3ème5)'!RB9:RE9,"C"))*2)+((COUNTIF('Elève (3ème5)'!RB9:RE9,"D"))*1))/(COUNTA(RB9:RE9)),"")</f>
        <v/>
      </c>
      <c r="RG9" s="166" t="str">
        <f t="shared" si="116"/>
        <v/>
      </c>
      <c r="RH9" s="110"/>
      <c r="RI9" s="111" t="s">
        <v>29</v>
      </c>
      <c r="RJ9" s="112"/>
      <c r="RK9" s="112"/>
      <c r="RL9" s="112"/>
      <c r="RM9" s="116"/>
      <c r="RN9" s="165">
        <f>IFERROR((((COUNTIF('Elève (3ème5)'!RH9:RM9,"A"))*4)+((COUNTIF('Elève (3ème5)'!RH9:RM9,"B"))*3)+((COUNTIF('Elève (3ème5)'!RH9:RM9,"C"))*2)+((COUNTIF('Elève (3ème5)'!RH9:RM9,"D"))*1))/(COUNTA(RH9:RM9)),"")</f>
        <v>2</v>
      </c>
      <c r="RO9" s="166" t="str">
        <f t="shared" si="117"/>
        <v>C</v>
      </c>
      <c r="RP9" s="165">
        <f>IF(COUNT(QZ9,RF9,RN9)=0,"",SUM(QZ9,RF9,RN9)/COUNT(QZ9,RF9,RN9))</f>
        <v>1.5</v>
      </c>
      <c r="RQ9" s="188" t="str">
        <f t="shared" si="118"/>
        <v>D</v>
      </c>
      <c r="RR9" s="110"/>
      <c r="RS9" s="111" t="s">
        <v>30</v>
      </c>
      <c r="RT9" s="112"/>
      <c r="RU9" s="165">
        <f>IFERROR((((COUNTIF('Elève (3ème5)'!RR9:RT9,"A"))*4)+((COUNTIF('Elève (3ème5)'!RR9:RT9,"B"))*3)+((COUNTIF('Elève (3ème5)'!RR9:RT9,"C"))*2)+((COUNTIF('Elève (3ème5)'!RR9:RT9,"D"))*1))/(COUNTA(RR9:RT9)),"")</f>
        <v>1</v>
      </c>
      <c r="RV9" s="166" t="str">
        <f t="shared" si="119"/>
        <v>D</v>
      </c>
      <c r="RW9" s="110"/>
      <c r="RX9" s="111"/>
      <c r="RY9" s="112"/>
      <c r="RZ9" s="112"/>
      <c r="SA9" s="165" t="str">
        <f>IFERROR((((COUNTIF('Elève (3ème5)'!RW9:RZ9,"A"))*4)+((COUNTIF('Elève (3ème5)'!RW9:RZ9,"B"))*3)+((COUNTIF('Elève (3ème5)'!RW9:RZ9,"C"))*2)+((COUNTIF('Elève (3ème5)'!RW9:RZ9,"D"))*1))/(COUNTA(RW9:RZ9)),"")</f>
        <v/>
      </c>
      <c r="SB9" s="166" t="str">
        <f t="shared" si="120"/>
        <v/>
      </c>
      <c r="SC9" s="110"/>
      <c r="SD9" s="111" t="s">
        <v>30</v>
      </c>
      <c r="SE9" s="112"/>
      <c r="SF9" s="112"/>
      <c r="SG9" s="112"/>
      <c r="SH9" s="116"/>
      <c r="SI9" s="165">
        <f>IFERROR((((COUNTIF('Elève (3ème5)'!SC9:SH9,"A"))*4)+((COUNTIF('Elève (3ème5)'!SC9:SH9,"B"))*3)+((COUNTIF('Elève (3ème5)'!SC9:SH9,"C"))*2)+((COUNTIF('Elève (3ème5)'!SC9:SH9,"D"))*1))/(COUNTA(SC9:SH9)),"")</f>
        <v>1</v>
      </c>
      <c r="SJ9" s="166" t="str">
        <f t="shared" si="121"/>
        <v>D</v>
      </c>
      <c r="SK9" s="165">
        <f>IF(COUNT(RU9,SA9,SI9)=0,"",SUM(RU9,SA9,SI9)/COUNT(RU9,SA9,SI9))</f>
        <v>1</v>
      </c>
      <c r="SL9" s="188" t="str">
        <f t="shared" si="122"/>
        <v>D</v>
      </c>
      <c r="SM9" s="110"/>
      <c r="SN9" s="111" t="s">
        <v>29</v>
      </c>
      <c r="SO9" s="112"/>
      <c r="SP9" s="165">
        <f>IFERROR((((COUNTIF('Elève (3ème5)'!SM9:SO9,"A"))*4)+((COUNTIF('Elève (3ème5)'!SM9:SO9,"B"))*3)+((COUNTIF('Elève (3ème5)'!SM9:SO9,"C"))*2)+((COUNTIF('Elève (3ème5)'!SM9:SO9,"D"))*1))/(COUNTA(SM9:SO9)),"")</f>
        <v>2</v>
      </c>
      <c r="SQ9" s="166" t="str">
        <f t="shared" si="123"/>
        <v>C</v>
      </c>
      <c r="SR9" s="110"/>
      <c r="SS9" s="111"/>
      <c r="ST9" s="112"/>
      <c r="SU9" s="112"/>
      <c r="SV9" s="165" t="str">
        <f>IFERROR((((COUNTIF('Elève (3ème5)'!SR9:SU9,"A"))*4)+((COUNTIF('Elève (3ème5)'!SR9:SU9,"B"))*3)+((COUNTIF('Elève (3ème5)'!SR9:SU9,"C"))*2)+((COUNTIF('Elève (3ème5)'!SR9:SU9,"D"))*1))/(COUNTA(SR9:SU9)),"")</f>
        <v/>
      </c>
      <c r="SW9" s="166" t="str">
        <f t="shared" si="124"/>
        <v/>
      </c>
      <c r="SX9" s="110"/>
      <c r="SY9" s="111" t="s">
        <v>29</v>
      </c>
      <c r="SZ9" s="112"/>
      <c r="TA9" s="112"/>
      <c r="TB9" s="112"/>
      <c r="TC9" s="116"/>
      <c r="TD9" s="165">
        <f>IFERROR((((COUNTIF('Elève (3ème5)'!SX9:TC9,"A"))*4)+((COUNTIF('Elève (3ème5)'!SX9:TC9,"B"))*3)+((COUNTIF('Elève (3ème5)'!SX9:TC9,"C"))*2)+((COUNTIF('Elève (3ème5)'!SX9:TC9,"D"))*1))/(COUNTA(SX9:TC9)),"")</f>
        <v>2</v>
      </c>
      <c r="TE9" s="166" t="str">
        <f t="shared" si="125"/>
        <v>C</v>
      </c>
      <c r="TF9" s="165">
        <f>IF(COUNT(SP9,SV9,TD9)=0,"",SUM(SP9,SV9,TD9)/COUNT(SP9,SV9,TD9))</f>
        <v>2</v>
      </c>
      <c r="TG9" s="188" t="str">
        <f t="shared" si="126"/>
        <v>C</v>
      </c>
      <c r="TH9" s="110"/>
      <c r="TI9" s="111" t="s">
        <v>30</v>
      </c>
      <c r="TJ9" s="112"/>
      <c r="TK9" s="165">
        <f>IFERROR((((COUNTIF('Elève (3ème5)'!TH9:TJ9,"A"))*4)+((COUNTIF('Elève (3ème5)'!TH9:TJ9,"B"))*3)+((COUNTIF('Elève (3ème5)'!TH9:TJ9,"C"))*2)+((COUNTIF('Elève (3ème5)'!TH9:TJ9,"D"))*1))/(COUNTA(TH9:TJ9)),"")</f>
        <v>1</v>
      </c>
      <c r="TL9" s="166" t="str">
        <f t="shared" si="127"/>
        <v>D</v>
      </c>
      <c r="TM9" s="110"/>
      <c r="TN9" s="111"/>
      <c r="TO9" s="112"/>
      <c r="TP9" s="112"/>
      <c r="TQ9" s="165" t="str">
        <f>IFERROR((((COUNTIF('Elève (3ème5)'!TM9:TP9,"A"))*4)+((COUNTIF('Elève (3ème5)'!TM9:TP9,"B"))*3)+((COUNTIF('Elève (3ème5)'!TM9:TP9,"C"))*2)+((COUNTIF('Elève (3ème5)'!TM9:TP9,"D"))*1))/(COUNTA(TM9:TP9)),"")</f>
        <v/>
      </c>
      <c r="TR9" s="166" t="str">
        <f t="shared" si="128"/>
        <v/>
      </c>
      <c r="TS9" s="110"/>
      <c r="TT9" s="111" t="s">
        <v>30</v>
      </c>
      <c r="TU9" s="112"/>
      <c r="TV9" s="112"/>
      <c r="TW9" s="112"/>
      <c r="TX9" s="116"/>
      <c r="TY9" s="165">
        <f>IFERROR((((COUNTIF('Elève (3ème5)'!TS9:TX9,"A"))*4)+((COUNTIF('Elève (3ème5)'!TS9:TX9,"B"))*3)+((COUNTIF('Elève (3ème5)'!TS9:TX9,"C"))*2)+((COUNTIF('Elève (3ème5)'!TS9:TX9,"D"))*1))/(COUNTA(TS9:TX9)),"")</f>
        <v>1</v>
      </c>
      <c r="TZ9" s="166" t="str">
        <f t="shared" si="129"/>
        <v>D</v>
      </c>
      <c r="UA9" s="165">
        <f>IF(COUNT(TK9,TQ9,TY9)=0,"",SUM(TK9,TQ9,TY9)/COUNT(TK9,TQ9,TY9))</f>
        <v>1</v>
      </c>
      <c r="UB9" s="188" t="str">
        <f t="shared" si="130"/>
        <v>D</v>
      </c>
      <c r="UC9" s="110"/>
      <c r="UD9" s="111" t="s">
        <v>29</v>
      </c>
      <c r="UE9" s="112"/>
      <c r="UF9" s="165">
        <f>IFERROR((((COUNTIF('Elève (3ème5)'!UC9:UE9,"A"))*4)+((COUNTIF('Elève (3ème5)'!UC9:UE9,"B"))*3)+((COUNTIF('Elève (3ème5)'!UC9:UE9,"C"))*2)+((COUNTIF('Elève (3ème5)'!UC9:UE9,"D"))*1))/(COUNTA(UC9:UE9)),"")</f>
        <v>2</v>
      </c>
      <c r="UG9" s="166" t="str">
        <f t="shared" si="131"/>
        <v>C</v>
      </c>
      <c r="UH9" s="110"/>
      <c r="UI9" s="111"/>
      <c r="UJ9" s="112"/>
      <c r="UK9" s="112"/>
      <c r="UL9" s="165" t="str">
        <f>IFERROR((((COUNTIF('Elève (3ème5)'!UH9:UK9,"A"))*4)+((COUNTIF('Elève (3ème5)'!UH9:UK9,"B"))*3)+((COUNTIF('Elève (3ème5)'!UH9:UK9,"C"))*2)+((COUNTIF('Elève (3ème5)'!UH9:UK9,"D"))*1))/(COUNTA(UH9:UK9)),"")</f>
        <v/>
      </c>
      <c r="UM9" s="166" t="str">
        <f t="shared" si="132"/>
        <v/>
      </c>
      <c r="UN9" s="110"/>
      <c r="UO9" s="111" t="s">
        <v>29</v>
      </c>
      <c r="UP9" s="112"/>
      <c r="UQ9" s="112"/>
      <c r="UR9" s="112"/>
      <c r="US9" s="116"/>
      <c r="UT9" s="165">
        <f>IFERROR((((COUNTIF('Elève (3ème5)'!UN9:US9,"A"))*4)+((COUNTIF('Elève (3ème5)'!UN9:US9,"B"))*3)+((COUNTIF('Elève (3ème5)'!UN9:US9,"C"))*2)+((COUNTIF('Elève (3ème5)'!UN9:US9,"D"))*1))/(COUNTA(UN9:US9)),"")</f>
        <v>2</v>
      </c>
      <c r="UU9" s="166" t="str">
        <f t="shared" si="133"/>
        <v>C</v>
      </c>
      <c r="UV9" s="165">
        <f>IF(COUNT(UF9,UL9,UT9)=0,"",SUM(UF9,UL9,UT9)/COUNT(UF9,UL9,UT9))</f>
        <v>2</v>
      </c>
      <c r="UW9" s="188" t="str">
        <f t="shared" si="134"/>
        <v>C</v>
      </c>
      <c r="UX9" s="110"/>
      <c r="UY9" s="111" t="s">
        <v>29</v>
      </c>
      <c r="UZ9" s="112"/>
      <c r="VA9" s="165">
        <f>IFERROR((((COUNTIF('Elève (3ème5)'!UX9:UZ9,"A"))*4)+((COUNTIF('Elève (3ème5)'!UX9:UZ9,"B"))*3)+((COUNTIF('Elève (3ème5)'!UX9:UZ9,"C"))*2)+((COUNTIF('Elève (3ème5)'!UX9:UZ9,"D"))*1))/(COUNTA(UX9:UZ9)),"")</f>
        <v>2</v>
      </c>
      <c r="VB9" s="166" t="str">
        <f t="shared" si="135"/>
        <v>C</v>
      </c>
      <c r="VC9" s="110"/>
      <c r="VD9" s="111"/>
      <c r="VE9" s="112"/>
      <c r="VF9" s="112"/>
      <c r="VG9" s="165" t="str">
        <f>IFERROR((((COUNTIF('Elève (3ème5)'!VC9:VF9,"A"))*4)+((COUNTIF('Elève (3ème5)'!VC9:VF9,"B"))*3)+((COUNTIF('Elève (3ème5)'!VC9:VF9,"C"))*2)+((COUNTIF('Elève (3ème5)'!VC9:VF9,"D"))*1))/(COUNTA(VC9:VF9)),"")</f>
        <v/>
      </c>
      <c r="VH9" s="166" t="str">
        <f t="shared" si="136"/>
        <v/>
      </c>
      <c r="VI9" s="110"/>
      <c r="VJ9" s="111" t="s">
        <v>29</v>
      </c>
      <c r="VK9" s="112"/>
      <c r="VL9" s="112"/>
      <c r="VM9" s="112"/>
      <c r="VN9" s="116"/>
      <c r="VO9" s="165">
        <f>IFERROR((((COUNTIF('Elève (3ème5)'!VI9:VN9,"A"))*4)+((COUNTIF('Elève (3ème5)'!VI9:VN9,"B"))*3)+((COUNTIF('Elève (3ème5)'!VI9:VN9,"C"))*2)+((COUNTIF('Elève (3ème5)'!VI9:VN9,"D"))*1))/(COUNTA(VI9:VN9)),"")</f>
        <v>2</v>
      </c>
      <c r="VP9" s="166" t="str">
        <f t="shared" si="137"/>
        <v>C</v>
      </c>
      <c r="VQ9" s="165">
        <f>IF(COUNT(VA9,VG9,VO9)=0,"",SUM(VA9,VG9,VO9)/COUNT(VA9,VG9,VO9))</f>
        <v>2</v>
      </c>
      <c r="VR9" s="188" t="str">
        <f t="shared" si="138"/>
        <v>C</v>
      </c>
      <c r="VS9" s="110"/>
      <c r="VT9" s="111"/>
      <c r="VU9" s="112"/>
      <c r="VV9" s="113" t="str">
        <f>IFERROR((((COUNTIF('Elève (3ème5)'!VS9:VU9,"A"))*4)+((COUNTIF('Elève (3ème5)'!VS9:VU9,"B"))*3)+((COUNTIF('Elève (3ème5)'!VS9:VU9,"C"))*2)+((COUNTIF('Elève (3ème5)'!VS9:VU9,"D"))*1))/(COUNTA(VS9:VU9)),"")</f>
        <v/>
      </c>
      <c r="VW9" s="114" t="str">
        <f t="shared" si="139"/>
        <v/>
      </c>
      <c r="VX9" s="110"/>
      <c r="VY9" s="111"/>
      <c r="VZ9" s="112"/>
      <c r="WA9" s="113" t="str">
        <f>IFERROR((((COUNTIF('Elève (3ème5)'!VX9:VZ9,"A"))*4)+((COUNTIF('Elève (3ème5)'!VX9:VZ9,"B"))*3)+((COUNTIF('Elève (3ème5)'!VX9:VZ9,"C"))*2)+((COUNTIF('Elève (3ème5)'!VX9:VZ9,"D"))*1))/(COUNTA(VX9:VZ9)),"")</f>
        <v/>
      </c>
      <c r="WB9" s="114" t="str">
        <f t="shared" si="140"/>
        <v/>
      </c>
      <c r="WC9" s="110"/>
      <c r="WD9" s="111"/>
      <c r="WE9" s="116"/>
      <c r="WF9" s="113" t="str">
        <f>IFERROR((((COUNTIF('Elève (3ème5)'!WC9:WE9,"A"))*4)+((COUNTIF('Elève (3ème5)'!WC9:WE9,"B"))*3)+((COUNTIF('Elève (3ème5)'!WC9:WE9,"C"))*2)+((COUNTIF('Elève (3ème5)'!WC9:WE9,"D"))*1))/(COUNTA(WC9:WE9)),"")</f>
        <v/>
      </c>
      <c r="WG9" s="114" t="str">
        <f t="shared" si="141"/>
        <v/>
      </c>
      <c r="WH9" s="113" t="str">
        <f>IF(COUNT(VV9,WA9,WF9)=0,"",SUM(VV9,WA9,WF9)/COUNT(VV9,WA9,WF9))</f>
        <v/>
      </c>
      <c r="WI9" s="115" t="str">
        <f t="shared" si="142"/>
        <v/>
      </c>
      <c r="WJ9" s="110"/>
      <c r="WK9" s="111"/>
      <c r="WL9" s="112"/>
      <c r="WM9" s="113" t="str">
        <f>IFERROR((((COUNTIF('Elève (3ème5)'!WJ9:WL9,"A"))*4)+((COUNTIF('Elève (3ème5)'!WJ9:WL9,"B"))*3)+((COUNTIF('Elève (3ème5)'!WJ9:WL9,"C"))*2)+((COUNTIF('Elève (3ème5)'!WJ9:WL9,"D"))*1))/(COUNTA(WJ9:WL9)),"")</f>
        <v/>
      </c>
      <c r="WN9" s="114" t="str">
        <f t="shared" si="143"/>
        <v/>
      </c>
      <c r="WO9" s="110"/>
      <c r="WP9" s="111"/>
      <c r="WQ9" s="112"/>
      <c r="WR9" s="113" t="str">
        <f>IFERROR((((COUNTIF('Elève (3ème5)'!WO9:WQ9,"A"))*4)+((COUNTIF('Elève (3ème5)'!WO9:WQ9,"B"))*3)+((COUNTIF('Elève (3ème5)'!WO9:WQ9,"C"))*2)+((COUNTIF('Elève (3ème5)'!WO9:WQ9,"D"))*1))/(COUNTA(WO9:WQ9)),"")</f>
        <v/>
      </c>
      <c r="WS9" s="114" t="str">
        <f t="shared" si="144"/>
        <v/>
      </c>
      <c r="WT9" s="110"/>
      <c r="WU9" s="111"/>
      <c r="WV9" s="116"/>
      <c r="WW9" s="113" t="str">
        <f>IFERROR((((COUNTIF('Elève (3ème5)'!WT9:WV9,"A"))*4)+((COUNTIF('Elève (3ème5)'!WT9:WV9,"B"))*3)+((COUNTIF('Elève (3ème5)'!WT9:WV9,"C"))*2)+((COUNTIF('Elève (3ème5)'!WT9:WV9,"D"))*1))/(COUNTA(WT9:WV9)),"")</f>
        <v/>
      </c>
      <c r="WX9" s="114" t="str">
        <f t="shared" si="145"/>
        <v/>
      </c>
      <c r="WY9" s="113" t="str">
        <f>IF(COUNT(WM9,WR9,WW9)=0,"",SUM(WM9,WR9,WW9)/COUNT(WM9,WR9,WW9))</f>
        <v/>
      </c>
      <c r="WZ9" s="115" t="str">
        <f t="shared" si="146"/>
        <v/>
      </c>
    </row>
    <row r="10" spans="1:624" s="118" customFormat="1" ht="17.25" customHeight="1" thickBot="1" x14ac:dyDescent="0.6">
      <c r="A10" s="144" t="s">
        <v>17</v>
      </c>
      <c r="B10" s="83">
        <v>1</v>
      </c>
      <c r="C10" s="153"/>
      <c r="D10" s="90"/>
      <c r="E10" s="91"/>
      <c r="F10" s="159">
        <f>IF(COUNT(F11:F12)=0,"",SUM(F11:F12)/COUNT(F11:F12))</f>
        <v>2</v>
      </c>
      <c r="G10" s="160" t="str">
        <f t="shared" si="27"/>
        <v>C</v>
      </c>
      <c r="H10" s="153"/>
      <c r="I10" s="90"/>
      <c r="J10" s="90"/>
      <c r="K10" s="91"/>
      <c r="L10" s="159" t="str">
        <f>IF(COUNT(L11,L12)=0,"",SUM(L11:L12)/COUNT(L11,L12))</f>
        <v/>
      </c>
      <c r="M10" s="175" t="str">
        <f t="shared" si="28"/>
        <v/>
      </c>
      <c r="N10" s="153"/>
      <c r="O10" s="90"/>
      <c r="P10" s="90"/>
      <c r="Q10" s="90"/>
      <c r="R10" s="90"/>
      <c r="S10" s="91"/>
      <c r="T10" s="159">
        <f>IF(COUNT(T11,T12)=0,"",SUM(T11:T12)/COUNT(T11,T12))</f>
        <v>3.25</v>
      </c>
      <c r="U10" s="183" t="str">
        <f t="shared" si="29"/>
        <v>B</v>
      </c>
      <c r="V10" s="184">
        <f>IF(COUNT(V11:V12)=0,"",SUM(V11:V12)/COUNT(V11:V12))</f>
        <v>2.3125</v>
      </c>
      <c r="W10" s="185" t="str">
        <f t="shared" si="30"/>
        <v>C</v>
      </c>
      <c r="X10" s="195"/>
      <c r="Y10" s="90"/>
      <c r="Z10" s="91"/>
      <c r="AA10" s="159">
        <f>IF(COUNT(AA11:AA12)=0,"",SUM(AA11:AA12)/COUNT(AA11:AA12))</f>
        <v>2.5</v>
      </c>
      <c r="AB10" s="160" t="str">
        <f t="shared" si="31"/>
        <v>C</v>
      </c>
      <c r="AC10" s="153"/>
      <c r="AD10" s="90"/>
      <c r="AE10" s="90"/>
      <c r="AF10" s="91"/>
      <c r="AG10" s="159" t="str">
        <f>IF(COUNT(AG11,AG12)=0,"",SUM(AG11:AG12)/COUNT(AG11,AG12))</f>
        <v/>
      </c>
      <c r="AH10" s="175" t="str">
        <f t="shared" si="32"/>
        <v/>
      </c>
      <c r="AI10" s="153"/>
      <c r="AJ10" s="90"/>
      <c r="AK10" s="90"/>
      <c r="AL10" s="90"/>
      <c r="AM10" s="90"/>
      <c r="AN10" s="91"/>
      <c r="AO10" s="159">
        <f>IF(COUNT(AO11,AO12)=0,"",SUM(AO11:AO12)/COUNT(AO11,AO12))</f>
        <v>3.75</v>
      </c>
      <c r="AP10" s="183" t="str">
        <f t="shared" si="33"/>
        <v>A</v>
      </c>
      <c r="AQ10" s="184">
        <f>IF(COUNT(AQ11:AQ12)=0,"",SUM(AQ11:AQ12)/COUNT(AQ11:AQ12))</f>
        <v>2.6875</v>
      </c>
      <c r="AR10" s="185" t="str">
        <f t="shared" si="34"/>
        <v>C</v>
      </c>
      <c r="AS10" s="195"/>
      <c r="AT10" s="90"/>
      <c r="AU10" s="91"/>
      <c r="AV10" s="159">
        <f>IF(COUNT(AV11:AV12)=0,"",SUM(AV11:AV12)/COUNT(AV11:AV12))</f>
        <v>2.75</v>
      </c>
      <c r="AW10" s="160" t="str">
        <f t="shared" si="35"/>
        <v>C</v>
      </c>
      <c r="AX10" s="153"/>
      <c r="AY10" s="90"/>
      <c r="AZ10" s="90"/>
      <c r="BA10" s="91"/>
      <c r="BB10" s="159" t="str">
        <f>IF(COUNT(BB11,BB12)=0,"",SUM(BB11:BB12)/COUNT(BB11,BB12))</f>
        <v/>
      </c>
      <c r="BC10" s="175" t="str">
        <f t="shared" si="36"/>
        <v/>
      </c>
      <c r="BD10" s="153"/>
      <c r="BE10" s="90"/>
      <c r="BF10" s="90"/>
      <c r="BG10" s="90"/>
      <c r="BH10" s="90"/>
      <c r="BI10" s="91"/>
      <c r="BJ10" s="159">
        <f>IF(COUNT(BJ11,BJ12)=0,"",SUM(BJ11:BJ12)/COUNT(BJ11,BJ12))</f>
        <v>3.6666666666666665</v>
      </c>
      <c r="BK10" s="183" t="str">
        <f t="shared" si="37"/>
        <v>B</v>
      </c>
      <c r="BL10" s="184">
        <f>IF(COUNT(BL11:BL12)=0,"",SUM(BL11:BL12)/COUNT(BL11:BL12))</f>
        <v>3.2916666666666665</v>
      </c>
      <c r="BM10" s="185" t="str">
        <f t="shared" si="38"/>
        <v>B</v>
      </c>
      <c r="BN10" s="195"/>
      <c r="BO10" s="90"/>
      <c r="BP10" s="91"/>
      <c r="BQ10" s="159">
        <f>IF(COUNT(BQ11:BQ12)=0,"",SUM(BQ11:BQ12)/COUNT(BQ11:BQ12))</f>
        <v>2</v>
      </c>
      <c r="BR10" s="160" t="str">
        <f t="shared" si="39"/>
        <v>C</v>
      </c>
      <c r="BS10" s="153"/>
      <c r="BT10" s="90"/>
      <c r="BU10" s="90"/>
      <c r="BV10" s="91"/>
      <c r="BW10" s="159" t="str">
        <f>IF(COUNT(BW11,BW12)=0,"",SUM(BW11:BW12)/COUNT(BW11,BW12))</f>
        <v/>
      </c>
      <c r="BX10" s="175" t="str">
        <f t="shared" si="40"/>
        <v/>
      </c>
      <c r="BY10" s="153"/>
      <c r="BZ10" s="90"/>
      <c r="CA10" s="90"/>
      <c r="CB10" s="90"/>
      <c r="CC10" s="90"/>
      <c r="CD10" s="91"/>
      <c r="CE10" s="159">
        <f>IF(COUNT(CE11,CE12)=0,"",SUM(CE11:CE12)/COUNT(CE11,CE12))</f>
        <v>3.75</v>
      </c>
      <c r="CF10" s="183" t="str">
        <f t="shared" si="41"/>
        <v>A</v>
      </c>
      <c r="CG10" s="184">
        <f>IF(COUNT(CG11:CG12)=0,"",SUM(CG11:CG12)/COUNT(CG11:CG12))</f>
        <v>2.4375</v>
      </c>
      <c r="CH10" s="185" t="str">
        <f t="shared" si="42"/>
        <v>C</v>
      </c>
      <c r="CI10" s="195"/>
      <c r="CJ10" s="90"/>
      <c r="CK10" s="91"/>
      <c r="CL10" s="159">
        <f>IF(COUNT(CL11:CL12)=0,"",SUM(CL11:CL12)/COUNT(CL11:CL12))</f>
        <v>3.25</v>
      </c>
      <c r="CM10" s="160" t="str">
        <f t="shared" si="43"/>
        <v>B</v>
      </c>
      <c r="CN10" s="153"/>
      <c r="CO10" s="90"/>
      <c r="CP10" s="90"/>
      <c r="CQ10" s="91"/>
      <c r="CR10" s="159" t="str">
        <f>IF(COUNT(CR11,CR12)=0,"",SUM(CR11:CR12)/COUNT(CR11,CR12))</f>
        <v/>
      </c>
      <c r="CS10" s="175" t="str">
        <f t="shared" si="44"/>
        <v/>
      </c>
      <c r="CT10" s="153"/>
      <c r="CU10" s="90"/>
      <c r="CV10" s="90"/>
      <c r="CW10" s="90"/>
      <c r="CX10" s="90"/>
      <c r="CY10" s="91"/>
      <c r="CZ10" s="159">
        <f>IF(COUNT(CZ11,CZ12)=0,"",SUM(CZ11:CZ12)/COUNT(CZ11,CZ12))</f>
        <v>3.75</v>
      </c>
      <c r="DA10" s="183" t="str">
        <f t="shared" si="45"/>
        <v>A</v>
      </c>
      <c r="DB10" s="184">
        <f>IF(COUNT(DB11:DB12)=0,"",SUM(DB11:DB12)/COUNT(DB11:DB12))</f>
        <v>3.5625</v>
      </c>
      <c r="DC10" s="185" t="str">
        <f t="shared" si="46"/>
        <v>B</v>
      </c>
      <c r="DD10" s="195"/>
      <c r="DE10" s="90"/>
      <c r="DF10" s="91"/>
      <c r="DG10" s="159">
        <f>IF(COUNT(DG11:DG12)=0,"",SUM(DG11:DG12)/COUNT(DG11:DG12))</f>
        <v>3.75</v>
      </c>
      <c r="DH10" s="160" t="str">
        <f t="shared" si="47"/>
        <v>A</v>
      </c>
      <c r="DI10" s="153"/>
      <c r="DJ10" s="90"/>
      <c r="DK10" s="90"/>
      <c r="DL10" s="91"/>
      <c r="DM10" s="159" t="str">
        <f>IF(COUNT(DM11,DM12)=0,"",SUM(DM11:DM12)/COUNT(DM11,DM12))</f>
        <v/>
      </c>
      <c r="DN10" s="175" t="str">
        <f t="shared" si="48"/>
        <v/>
      </c>
      <c r="DO10" s="153"/>
      <c r="DP10" s="90"/>
      <c r="DQ10" s="90"/>
      <c r="DR10" s="90"/>
      <c r="DS10" s="90"/>
      <c r="DT10" s="91"/>
      <c r="DU10" s="159">
        <f>IF(COUNT(DU11,DU12)=0,"",SUM(DU11:DU12)/COUNT(DU11,DU12))</f>
        <v>3.75</v>
      </c>
      <c r="DV10" s="183" t="str">
        <f t="shared" si="49"/>
        <v>A</v>
      </c>
      <c r="DW10" s="184">
        <f>IF(COUNT(DW11:DW12)=0,"",SUM(DW11:DW12)/COUNT(DW11:DW12))</f>
        <v>3.8125</v>
      </c>
      <c r="DX10" s="185" t="str">
        <f t="shared" si="50"/>
        <v>A</v>
      </c>
      <c r="DY10" s="195"/>
      <c r="DZ10" s="90"/>
      <c r="EA10" s="91"/>
      <c r="EB10" s="159">
        <f>IF(COUNT(EB11:EB12)=0,"",SUM(EB11:EB12)/COUNT(EB11:EB12))</f>
        <v>2.75</v>
      </c>
      <c r="EC10" s="160" t="str">
        <f t="shared" si="51"/>
        <v>C</v>
      </c>
      <c r="ED10" s="153"/>
      <c r="EE10" s="90"/>
      <c r="EF10" s="90"/>
      <c r="EG10" s="91"/>
      <c r="EH10" s="159" t="str">
        <f>IF(COUNT(EH11,EH12)=0,"",SUM(EH11:EH12)/COUNT(EH11,EH12))</f>
        <v/>
      </c>
      <c r="EI10" s="175" t="str">
        <f t="shared" si="52"/>
        <v/>
      </c>
      <c r="EJ10" s="153"/>
      <c r="EK10" s="90"/>
      <c r="EL10" s="90"/>
      <c r="EM10" s="90"/>
      <c r="EN10" s="90"/>
      <c r="EO10" s="91"/>
      <c r="EP10" s="159">
        <f>IF(COUNT(EP11,EP12)=0,"",SUM(EP11:EP12)/COUNT(EP11,EP12))</f>
        <v>3.5</v>
      </c>
      <c r="EQ10" s="183" t="str">
        <f t="shared" si="53"/>
        <v>B</v>
      </c>
      <c r="ER10" s="184">
        <f>IF(COUNT(ER11:ER12)=0,"",SUM(ER11:ER12)/COUNT(ER11:ER12))</f>
        <v>3.25</v>
      </c>
      <c r="ES10" s="185" t="str">
        <f t="shared" si="54"/>
        <v>B</v>
      </c>
      <c r="ET10" s="195"/>
      <c r="EU10" s="90"/>
      <c r="EV10" s="91"/>
      <c r="EW10" s="159">
        <f>IF(COUNT(EW11:EW12)=0,"",SUM(EW11:EW12)/COUNT(EW11:EW12))</f>
        <v>1</v>
      </c>
      <c r="EX10" s="160" t="str">
        <f t="shared" si="55"/>
        <v>D</v>
      </c>
      <c r="EY10" s="153"/>
      <c r="EZ10" s="90"/>
      <c r="FA10" s="90"/>
      <c r="FB10" s="91"/>
      <c r="FC10" s="159" t="str">
        <f>IF(COUNT(FC11,FC12)=0,"",SUM(FC11:FC12)/COUNT(FC11,FC12))</f>
        <v/>
      </c>
      <c r="FD10" s="175" t="str">
        <f t="shared" si="56"/>
        <v/>
      </c>
      <c r="FE10" s="153"/>
      <c r="FF10" s="90"/>
      <c r="FG10" s="90"/>
      <c r="FH10" s="90"/>
      <c r="FI10" s="90"/>
      <c r="FJ10" s="91"/>
      <c r="FK10" s="159">
        <f>IF(COUNT(FK11,FK12)=0,"",SUM(FK11:FK12)/COUNT(FK11,FK12))</f>
        <v>3.25</v>
      </c>
      <c r="FL10" s="183" t="str">
        <f t="shared" si="57"/>
        <v>B</v>
      </c>
      <c r="FM10" s="184">
        <f>IF(COUNT(FM11:FM12)=0,"",SUM(FM11:FM12)/COUNT(FM11:FM12))</f>
        <v>1.5625</v>
      </c>
      <c r="FN10" s="185" t="str">
        <f t="shared" si="58"/>
        <v>C</v>
      </c>
      <c r="FO10" s="195"/>
      <c r="FP10" s="90"/>
      <c r="FQ10" s="91"/>
      <c r="FR10" s="159">
        <f>IF(COUNT(FR11:FR12)=0,"",SUM(FR11:FR12)/COUNT(FR11:FR12))</f>
        <v>2.75</v>
      </c>
      <c r="FS10" s="160" t="str">
        <f t="shared" si="59"/>
        <v>C</v>
      </c>
      <c r="FT10" s="153"/>
      <c r="FU10" s="90"/>
      <c r="FV10" s="90"/>
      <c r="FW10" s="91"/>
      <c r="FX10" s="159" t="str">
        <f>IF(COUNT(FX11,FX12)=0,"",SUM(FX11:FX12)/COUNT(FX11,FX12))</f>
        <v/>
      </c>
      <c r="FY10" s="175" t="str">
        <f t="shared" si="60"/>
        <v/>
      </c>
      <c r="FZ10" s="153"/>
      <c r="GA10" s="90"/>
      <c r="GB10" s="90"/>
      <c r="GC10" s="90"/>
      <c r="GD10" s="90"/>
      <c r="GE10" s="91"/>
      <c r="GF10" s="159">
        <f>IF(COUNT(GF11,GF12)=0,"",SUM(GF11:GF12)/COUNT(GF11,GF12))</f>
        <v>3.5</v>
      </c>
      <c r="GG10" s="183" t="str">
        <f t="shared" si="61"/>
        <v>B</v>
      </c>
      <c r="GH10" s="184">
        <f>IF(COUNT(GH11:GH12)=0,"",SUM(GH11:GH12)/COUNT(GH11:GH12))</f>
        <v>3</v>
      </c>
      <c r="GI10" s="185" t="str">
        <f t="shared" si="62"/>
        <v>B</v>
      </c>
      <c r="GJ10" s="195"/>
      <c r="GK10" s="90"/>
      <c r="GL10" s="91"/>
      <c r="GM10" s="159">
        <f>IF(COUNT(GM11:GM12)=0,"",SUM(GM11:GM12)/COUNT(GM11:GM12))</f>
        <v>3</v>
      </c>
      <c r="GN10" s="160" t="str">
        <f t="shared" si="63"/>
        <v>B</v>
      </c>
      <c r="GO10" s="153"/>
      <c r="GP10" s="90"/>
      <c r="GQ10" s="90"/>
      <c r="GR10" s="91"/>
      <c r="GS10" s="159" t="str">
        <f>IF(COUNT(GS11,GS12)=0,"",SUM(GS11:GS12)/COUNT(GS11,GS12))</f>
        <v/>
      </c>
      <c r="GT10" s="175" t="str">
        <f t="shared" si="64"/>
        <v/>
      </c>
      <c r="GU10" s="153"/>
      <c r="GV10" s="90"/>
      <c r="GW10" s="90"/>
      <c r="GX10" s="90"/>
      <c r="GY10" s="90"/>
      <c r="GZ10" s="91"/>
      <c r="HA10" s="159">
        <f>IF(COUNT(HA11,HA12)=0,"",SUM(HA11:HA12)/COUNT(HA11,HA12))</f>
        <v>3.6666666666666665</v>
      </c>
      <c r="HB10" s="183" t="str">
        <f t="shared" si="65"/>
        <v>B</v>
      </c>
      <c r="HC10" s="184">
        <f>IF(COUNT(HC11:HC12)=0,"",SUM(HC11:HC12)/COUNT(HC11:HC12))</f>
        <v>3.4166666666666665</v>
      </c>
      <c r="HD10" s="185" t="str">
        <f t="shared" si="66"/>
        <v>B</v>
      </c>
      <c r="HE10" s="195"/>
      <c r="HF10" s="90"/>
      <c r="HG10" s="91"/>
      <c r="HH10" s="159">
        <f>IF(COUNT(HH11:HH12)=0,"",SUM(HH11:HH12)/COUNT(HH11:HH12))</f>
        <v>3</v>
      </c>
      <c r="HI10" s="160" t="str">
        <f t="shared" si="67"/>
        <v>B</v>
      </c>
      <c r="HJ10" s="153"/>
      <c r="HK10" s="90"/>
      <c r="HL10" s="90"/>
      <c r="HM10" s="91"/>
      <c r="HN10" s="159" t="str">
        <f>IF(COUNT(HN11,HN12)=0,"",SUM(HN11:HN12)/COUNT(HN11,HN12))</f>
        <v/>
      </c>
      <c r="HO10" s="175" t="str">
        <f t="shared" si="68"/>
        <v/>
      </c>
      <c r="HP10" s="153"/>
      <c r="HQ10" s="90"/>
      <c r="HR10" s="90"/>
      <c r="HS10" s="90"/>
      <c r="HT10" s="90"/>
      <c r="HU10" s="91"/>
      <c r="HV10" s="159">
        <f>IF(COUNT(HV11,HV12)=0,"",SUM(HV11:HV12)/COUNT(HV11,HV12))</f>
        <v>3.6666666666666665</v>
      </c>
      <c r="HW10" s="183" t="str">
        <f t="shared" si="69"/>
        <v>B</v>
      </c>
      <c r="HX10" s="184">
        <f>IF(COUNT(HX11:HX12)=0,"",SUM(HX11:HX12)/COUNT(HX11:HX12))</f>
        <v>3.1666666666666665</v>
      </c>
      <c r="HY10" s="185" t="str">
        <f t="shared" si="70"/>
        <v>B</v>
      </c>
      <c r="HZ10" s="195"/>
      <c r="IA10" s="90"/>
      <c r="IB10" s="91"/>
      <c r="IC10" s="159">
        <f>IF(COUNT(IC11:IC12)=0,"",SUM(IC11:IC12)/COUNT(IC11:IC12))</f>
        <v>3.75</v>
      </c>
      <c r="ID10" s="160" t="str">
        <f t="shared" si="71"/>
        <v>A</v>
      </c>
      <c r="IE10" s="153"/>
      <c r="IF10" s="90"/>
      <c r="IG10" s="90"/>
      <c r="IH10" s="91"/>
      <c r="II10" s="159" t="str">
        <f>IF(COUNT(II11,II12)=0,"",SUM(II11:II12)/COUNT(II11,II12))</f>
        <v/>
      </c>
      <c r="IJ10" s="175" t="str">
        <f t="shared" si="72"/>
        <v/>
      </c>
      <c r="IK10" s="153"/>
      <c r="IL10" s="90"/>
      <c r="IM10" s="90"/>
      <c r="IN10" s="90"/>
      <c r="IO10" s="90"/>
      <c r="IP10" s="91"/>
      <c r="IQ10" s="159">
        <f>IF(COUNT(IQ11,IQ12)=0,"",SUM(IQ11:IQ12)/COUNT(IQ11,IQ12))</f>
        <v>3.5</v>
      </c>
      <c r="IR10" s="183" t="str">
        <f t="shared" si="73"/>
        <v>B</v>
      </c>
      <c r="IS10" s="184">
        <f>IF(COUNT(IS11:IS12)=0,"",SUM(IS11:IS12)/COUNT(IS11:IS12))</f>
        <v>3.75</v>
      </c>
      <c r="IT10" s="185" t="str">
        <f t="shared" si="74"/>
        <v>A</v>
      </c>
      <c r="IU10" s="195"/>
      <c r="IV10" s="90"/>
      <c r="IW10" s="91"/>
      <c r="IX10" s="159">
        <f>IF(COUNT(IX11:IX12)=0,"",SUM(IX11:IX12)/COUNT(IX11:IX12))</f>
        <v>2.5</v>
      </c>
      <c r="IY10" s="160" t="str">
        <f t="shared" si="75"/>
        <v>C</v>
      </c>
      <c r="IZ10" s="153"/>
      <c r="JA10" s="90"/>
      <c r="JB10" s="90"/>
      <c r="JC10" s="91"/>
      <c r="JD10" s="159" t="str">
        <f>IF(COUNT(JD11,JD12)=0,"",SUM(JD11:JD12)/COUNT(JD11,JD12))</f>
        <v/>
      </c>
      <c r="JE10" s="175" t="str">
        <f t="shared" si="76"/>
        <v/>
      </c>
      <c r="JF10" s="153"/>
      <c r="JG10" s="90"/>
      <c r="JH10" s="90"/>
      <c r="JI10" s="90"/>
      <c r="JJ10" s="90"/>
      <c r="JK10" s="91"/>
      <c r="JL10" s="159">
        <f>IF(COUNT(JL11,JL12)=0,"",SUM(JL11:JL12)/COUNT(JL11,JL12))</f>
        <v>3.5</v>
      </c>
      <c r="JM10" s="183" t="str">
        <f t="shared" si="77"/>
        <v>B</v>
      </c>
      <c r="JN10" s="184">
        <f>IF(COUNT(JN11:JN12)=0,"",SUM(JN11:JN12)/COUNT(JN11:JN12))</f>
        <v>2.875</v>
      </c>
      <c r="JO10" s="185" t="str">
        <f t="shared" si="78"/>
        <v>B</v>
      </c>
      <c r="JP10" s="195"/>
      <c r="JQ10" s="90"/>
      <c r="JR10" s="91"/>
      <c r="JS10" s="159">
        <f>IF(COUNT(JS11:JS12)=0,"",SUM(JS11:JS12)/COUNT(JS11:JS12))</f>
        <v>3</v>
      </c>
      <c r="JT10" s="160" t="str">
        <f t="shared" si="79"/>
        <v>B</v>
      </c>
      <c r="JU10" s="153"/>
      <c r="JV10" s="90"/>
      <c r="JW10" s="90"/>
      <c r="JX10" s="91"/>
      <c r="JY10" s="159" t="str">
        <f>IF(COUNT(JY11,JY12)=0,"",SUM(JY11:JY12)/COUNT(JY11,JY12))</f>
        <v/>
      </c>
      <c r="JZ10" s="175" t="str">
        <f t="shared" si="80"/>
        <v/>
      </c>
      <c r="KA10" s="153"/>
      <c r="KB10" s="90"/>
      <c r="KC10" s="90"/>
      <c r="KD10" s="90"/>
      <c r="KE10" s="90"/>
      <c r="KF10" s="91"/>
      <c r="KG10" s="159">
        <f>IF(COUNT(KG11,KG12)=0,"",SUM(KG11:KG12)/COUNT(KG11,KG12))</f>
        <v>3.75</v>
      </c>
      <c r="KH10" s="183" t="str">
        <f t="shared" si="81"/>
        <v>A</v>
      </c>
      <c r="KI10" s="184">
        <f>IF(COUNT(KI11:KI12)=0,"",SUM(KI11:KI12)/COUNT(KI11:KI12))</f>
        <v>3.4375</v>
      </c>
      <c r="KJ10" s="185" t="str">
        <f t="shared" si="82"/>
        <v>B</v>
      </c>
      <c r="KK10" s="195"/>
      <c r="KL10" s="90"/>
      <c r="KM10" s="91"/>
      <c r="KN10" s="159">
        <f>IF(COUNT(KN11:KN12)=0,"",SUM(KN11:KN12)/COUNT(KN11:KN12))</f>
        <v>2.5</v>
      </c>
      <c r="KO10" s="160" t="str">
        <f t="shared" si="83"/>
        <v>C</v>
      </c>
      <c r="KP10" s="153"/>
      <c r="KQ10" s="90"/>
      <c r="KR10" s="90"/>
      <c r="KS10" s="91"/>
      <c r="KT10" s="159" t="str">
        <f>IF(COUNT(KT11,KT12)=0,"",SUM(KT11:KT12)/COUNT(KT11,KT12))</f>
        <v/>
      </c>
      <c r="KU10" s="175" t="str">
        <f t="shared" si="84"/>
        <v/>
      </c>
      <c r="KV10" s="153"/>
      <c r="KW10" s="90"/>
      <c r="KX10" s="90"/>
      <c r="KY10" s="90"/>
      <c r="KZ10" s="90"/>
      <c r="LA10" s="91"/>
      <c r="LB10" s="159">
        <f>IF(COUNT(LB11,LB12)=0,"",SUM(LB11:LB12)/COUNT(LB11,LB12))</f>
        <v>3.5</v>
      </c>
      <c r="LC10" s="183" t="str">
        <f t="shared" si="85"/>
        <v>B</v>
      </c>
      <c r="LD10" s="184">
        <f>IF(COUNT(LD11:LD12)=0,"",SUM(LD11:LD12)/COUNT(LD11:LD12))</f>
        <v>2.875</v>
      </c>
      <c r="LE10" s="185" t="str">
        <f t="shared" si="86"/>
        <v>B</v>
      </c>
      <c r="LF10" s="195"/>
      <c r="LG10" s="90"/>
      <c r="LH10" s="91"/>
      <c r="LI10" s="159">
        <f>IF(COUNT(LI11:LI12)=0,"",SUM(LI11:LI12)/COUNT(LI11:LI12))</f>
        <v>1.5</v>
      </c>
      <c r="LJ10" s="160" t="str">
        <f t="shared" si="87"/>
        <v>D</v>
      </c>
      <c r="LK10" s="153"/>
      <c r="LL10" s="90"/>
      <c r="LM10" s="90"/>
      <c r="LN10" s="91"/>
      <c r="LO10" s="159" t="str">
        <f>IF(COUNT(LO11,LO12)=0,"",SUM(LO11:LO12)/COUNT(LO11,LO12))</f>
        <v/>
      </c>
      <c r="LP10" s="175" t="str">
        <f t="shared" si="88"/>
        <v/>
      </c>
      <c r="LQ10" s="153"/>
      <c r="LR10" s="90"/>
      <c r="LS10" s="90"/>
      <c r="LT10" s="90"/>
      <c r="LU10" s="90"/>
      <c r="LV10" s="91"/>
      <c r="LW10" s="159">
        <f>IF(COUNT(LW11,LW12)=0,"",SUM(LW11:LW12)/COUNT(LW11,LW12))</f>
        <v>3</v>
      </c>
      <c r="LX10" s="183" t="str">
        <f t="shared" si="89"/>
        <v>B</v>
      </c>
      <c r="LY10" s="184">
        <f>IF(COUNT(LY11:LY12)=0,"",SUM(LY11:LY12)/COUNT(LY11:LY12))</f>
        <v>2</v>
      </c>
      <c r="LZ10" s="185" t="str">
        <f t="shared" si="90"/>
        <v>C</v>
      </c>
      <c r="MA10" s="195"/>
      <c r="MB10" s="90"/>
      <c r="MC10" s="91"/>
      <c r="MD10" s="159">
        <f>IF(COUNT(MD11:MD12)=0,"",SUM(MD11:MD12)/COUNT(MD11:MD12))</f>
        <v>2.75</v>
      </c>
      <c r="ME10" s="160" t="str">
        <f t="shared" si="91"/>
        <v>C</v>
      </c>
      <c r="MF10" s="153"/>
      <c r="MG10" s="90"/>
      <c r="MH10" s="90"/>
      <c r="MI10" s="91"/>
      <c r="MJ10" s="159" t="str">
        <f>IF(COUNT(MJ11,MJ12)=0,"",SUM(MJ11:MJ12)/COUNT(MJ11,MJ12))</f>
        <v/>
      </c>
      <c r="MK10" s="175" t="str">
        <f t="shared" si="92"/>
        <v/>
      </c>
      <c r="ML10" s="153"/>
      <c r="MM10" s="90"/>
      <c r="MN10" s="90"/>
      <c r="MO10" s="90"/>
      <c r="MP10" s="90"/>
      <c r="MQ10" s="91"/>
      <c r="MR10" s="159">
        <f>IF(COUNT(MR11,MR12)=0,"",SUM(MR11:MR12)/COUNT(MR11,MR12))</f>
        <v>3.5</v>
      </c>
      <c r="MS10" s="183" t="str">
        <f t="shared" si="93"/>
        <v>B</v>
      </c>
      <c r="MT10" s="184">
        <f>IF(COUNT(MT11:MT12)=0,"",SUM(MT11:MT12)/COUNT(MT11:MT12))</f>
        <v>3.25</v>
      </c>
      <c r="MU10" s="185" t="str">
        <f t="shared" si="94"/>
        <v>B</v>
      </c>
      <c r="MV10" s="195"/>
      <c r="MW10" s="90"/>
      <c r="MX10" s="91"/>
      <c r="MY10" s="159">
        <f>IF(COUNT(MY11:MY12)=0,"",SUM(MY11:MY12)/COUNT(MY11:MY12))</f>
        <v>1.75</v>
      </c>
      <c r="MZ10" s="160" t="str">
        <f t="shared" si="95"/>
        <v>C</v>
      </c>
      <c r="NA10" s="153"/>
      <c r="NB10" s="90"/>
      <c r="NC10" s="90"/>
      <c r="ND10" s="91"/>
      <c r="NE10" s="159" t="str">
        <f>IF(COUNT(NE11,NE12)=0,"",SUM(NE11:NE12)/COUNT(NE11,NE12))</f>
        <v/>
      </c>
      <c r="NF10" s="175" t="str">
        <f t="shared" si="96"/>
        <v/>
      </c>
      <c r="NG10" s="153"/>
      <c r="NH10" s="90"/>
      <c r="NI10" s="90"/>
      <c r="NJ10" s="90"/>
      <c r="NK10" s="90"/>
      <c r="NL10" s="91"/>
      <c r="NM10" s="159">
        <f>IF(COUNT(NM11,NM12)=0,"",SUM(NM11:NM12)/COUNT(NM11,NM12))</f>
        <v>3.75</v>
      </c>
      <c r="NN10" s="183" t="str">
        <f t="shared" si="97"/>
        <v>A</v>
      </c>
      <c r="NO10" s="184">
        <f>IF(COUNT(NO11:NO12)=0,"",SUM(NO11:NO12)/COUNT(NO11:NO12))</f>
        <v>2.3125</v>
      </c>
      <c r="NP10" s="185" t="str">
        <f t="shared" si="98"/>
        <v>C</v>
      </c>
      <c r="NQ10" s="195"/>
      <c r="NR10" s="90"/>
      <c r="NS10" s="91"/>
      <c r="NT10" s="159">
        <f>IF(COUNT(NT11:NT12)=0,"",SUM(NT11:NT12)/COUNT(NT11:NT12))</f>
        <v>3.75</v>
      </c>
      <c r="NU10" s="160" t="str">
        <f t="shared" si="99"/>
        <v>A</v>
      </c>
      <c r="NV10" s="153"/>
      <c r="NW10" s="90"/>
      <c r="NX10" s="90"/>
      <c r="NY10" s="91"/>
      <c r="NZ10" s="159" t="str">
        <f>IF(COUNT(NZ11,NZ12)=0,"",SUM(NZ11:NZ12)/COUNT(NZ11,NZ12))</f>
        <v/>
      </c>
      <c r="OA10" s="175" t="str">
        <f t="shared" si="100"/>
        <v/>
      </c>
      <c r="OB10" s="153"/>
      <c r="OC10" s="90"/>
      <c r="OD10" s="90"/>
      <c r="OE10" s="90"/>
      <c r="OF10" s="90"/>
      <c r="OG10" s="91"/>
      <c r="OH10" s="159">
        <f>IF(COUNT(OH11,OH12)=0,"",SUM(OH11:OH12)/COUNT(OH11,OH12))</f>
        <v>3.25</v>
      </c>
      <c r="OI10" s="183" t="str">
        <f t="shared" si="101"/>
        <v>B</v>
      </c>
      <c r="OJ10" s="184">
        <f>IF(COUNT(OJ11:OJ12)=0,"",SUM(OJ11:OJ12)/COUNT(OJ11:OJ12))</f>
        <v>3.6875</v>
      </c>
      <c r="OK10" s="185" t="str">
        <f t="shared" si="102"/>
        <v>B</v>
      </c>
      <c r="OL10" s="195"/>
      <c r="OM10" s="90"/>
      <c r="ON10" s="91"/>
      <c r="OO10" s="159">
        <f>IF(COUNT(OO11:OO12)=0,"",SUM(OO11:OO12)/COUNT(OO11:OO12))</f>
        <v>3</v>
      </c>
      <c r="OP10" s="160" t="str">
        <f t="shared" si="103"/>
        <v>B</v>
      </c>
      <c r="OQ10" s="153"/>
      <c r="OR10" s="90"/>
      <c r="OS10" s="90"/>
      <c r="OT10" s="91"/>
      <c r="OU10" s="159" t="str">
        <f>IF(COUNT(OU11,OU12)=0,"",SUM(OU11:OU12)/COUNT(OU11,OU12))</f>
        <v/>
      </c>
      <c r="OV10" s="175" t="str">
        <f t="shared" si="104"/>
        <v/>
      </c>
      <c r="OW10" s="153"/>
      <c r="OX10" s="90"/>
      <c r="OY10" s="90"/>
      <c r="OZ10" s="90"/>
      <c r="PA10" s="90"/>
      <c r="PB10" s="91"/>
      <c r="PC10" s="159">
        <f>IF(COUNT(PC11,PC12)=0,"",SUM(PC11:PC12)/COUNT(PC11,PC12))</f>
        <v>3</v>
      </c>
      <c r="PD10" s="183" t="str">
        <f t="shared" si="105"/>
        <v>B</v>
      </c>
      <c r="PE10" s="184">
        <f>IF(COUNT(PE11:PE12)=0,"",SUM(PE11:PE12)/COUNT(PE11:PE12))</f>
        <v>3.25</v>
      </c>
      <c r="PF10" s="185" t="str">
        <f t="shared" si="106"/>
        <v>B</v>
      </c>
      <c r="PG10" s="195"/>
      <c r="PH10" s="90"/>
      <c r="PI10" s="91"/>
      <c r="PJ10" s="159">
        <f>IF(COUNT(PJ11:PJ12)=0,"",SUM(PJ11:PJ12)/COUNT(PJ11:PJ12))</f>
        <v>1</v>
      </c>
      <c r="PK10" s="160" t="str">
        <f t="shared" si="107"/>
        <v>D</v>
      </c>
      <c r="PL10" s="153"/>
      <c r="PM10" s="90"/>
      <c r="PN10" s="90"/>
      <c r="PO10" s="91"/>
      <c r="PP10" s="159" t="str">
        <f>IF(COUNT(PP11,PP12)=0,"",SUM(PP11:PP12)/COUNT(PP11,PP12))</f>
        <v/>
      </c>
      <c r="PQ10" s="175" t="str">
        <f t="shared" si="108"/>
        <v/>
      </c>
      <c r="PR10" s="153"/>
      <c r="PS10" s="90"/>
      <c r="PT10" s="90"/>
      <c r="PU10" s="90"/>
      <c r="PV10" s="90"/>
      <c r="PW10" s="91"/>
      <c r="PX10" s="159">
        <f>IF(COUNT(PX11,PX12)=0,"",SUM(PX11:PX12)/COUNT(PX11,PX12))</f>
        <v>3.25</v>
      </c>
      <c r="PY10" s="183" t="str">
        <f t="shared" si="109"/>
        <v>B</v>
      </c>
      <c r="PZ10" s="184">
        <f>IF(COUNT(PZ11:PZ12)=0,"",SUM(PZ11:PZ12)/COUNT(PZ11:PZ12))</f>
        <v>1.5625</v>
      </c>
      <c r="QA10" s="185" t="str">
        <f t="shared" si="110"/>
        <v>C</v>
      </c>
      <c r="QB10" s="195"/>
      <c r="QC10" s="90"/>
      <c r="QD10" s="91"/>
      <c r="QE10" s="159">
        <f>IF(COUNT(QE11:QE12)=0,"",SUM(QE11:QE12)/COUNT(QE11:QE12))</f>
        <v>2.25</v>
      </c>
      <c r="QF10" s="160" t="str">
        <f t="shared" si="111"/>
        <v>C</v>
      </c>
      <c r="QG10" s="153"/>
      <c r="QH10" s="90"/>
      <c r="QI10" s="90"/>
      <c r="QJ10" s="91"/>
      <c r="QK10" s="159" t="str">
        <f>IF(COUNT(QK11,QK12)=0,"",SUM(QK11:QK12)/COUNT(QK11,QK12))</f>
        <v/>
      </c>
      <c r="QL10" s="175" t="str">
        <f t="shared" si="112"/>
        <v/>
      </c>
      <c r="QM10" s="153"/>
      <c r="QN10" s="90"/>
      <c r="QO10" s="90"/>
      <c r="QP10" s="90"/>
      <c r="QQ10" s="90"/>
      <c r="QR10" s="91"/>
      <c r="QS10" s="159">
        <f>IF(COUNT(QS11,QS12)=0,"",SUM(QS11:QS12)/COUNT(QS11,QS12))</f>
        <v>3.3333333333333335</v>
      </c>
      <c r="QT10" s="183" t="str">
        <f t="shared" si="113"/>
        <v>B</v>
      </c>
      <c r="QU10" s="184">
        <f>IF(COUNT(QU11:QU12)=0,"",SUM(QU11:QU12)/COUNT(QU11:QU12))</f>
        <v>2.7083333333333335</v>
      </c>
      <c r="QV10" s="185" t="str">
        <f t="shared" si="114"/>
        <v>C</v>
      </c>
      <c r="QW10" s="195"/>
      <c r="QX10" s="90"/>
      <c r="QY10" s="91"/>
      <c r="QZ10" s="159">
        <f>IF(COUNT(QZ11:QZ12)=0,"",SUM(QZ11:QZ12)/COUNT(QZ11:QZ12))</f>
        <v>3.75</v>
      </c>
      <c r="RA10" s="160" t="str">
        <f t="shared" si="115"/>
        <v>A</v>
      </c>
      <c r="RB10" s="153"/>
      <c r="RC10" s="90"/>
      <c r="RD10" s="90"/>
      <c r="RE10" s="91"/>
      <c r="RF10" s="159" t="str">
        <f>IF(COUNT(RF11,RF12)=0,"",SUM(RF11:RF12)/COUNT(RF11,RF12))</f>
        <v/>
      </c>
      <c r="RG10" s="175" t="str">
        <f t="shared" si="116"/>
        <v/>
      </c>
      <c r="RH10" s="153"/>
      <c r="RI10" s="90"/>
      <c r="RJ10" s="90"/>
      <c r="RK10" s="90"/>
      <c r="RL10" s="90"/>
      <c r="RM10" s="91"/>
      <c r="RN10" s="159">
        <f>IF(COUNT(RN11,RN12)=0,"",SUM(RN11:RN12)/COUNT(RN11,RN12))</f>
        <v>3.25</v>
      </c>
      <c r="RO10" s="183" t="str">
        <f t="shared" si="117"/>
        <v>B</v>
      </c>
      <c r="RP10" s="184">
        <f>IF(COUNT(RP11:RP12)=0,"",SUM(RP11:RP12)/COUNT(RP11:RP12))</f>
        <v>3.6875</v>
      </c>
      <c r="RQ10" s="185" t="str">
        <f t="shared" si="118"/>
        <v>B</v>
      </c>
      <c r="RR10" s="195"/>
      <c r="RS10" s="90"/>
      <c r="RT10" s="91"/>
      <c r="RU10" s="159">
        <f>IF(COUNT(RU11:RU12)=0,"",SUM(RU11:RU12)/COUNT(RU11:RU12))</f>
        <v>2.75</v>
      </c>
      <c r="RV10" s="160" t="str">
        <f t="shared" si="119"/>
        <v>C</v>
      </c>
      <c r="RW10" s="153"/>
      <c r="RX10" s="90"/>
      <c r="RY10" s="90"/>
      <c r="RZ10" s="91"/>
      <c r="SA10" s="159" t="str">
        <f>IF(COUNT(SA11,SA12)=0,"",SUM(SA11:SA12)/COUNT(SA11,SA12))</f>
        <v/>
      </c>
      <c r="SB10" s="175" t="str">
        <f t="shared" si="120"/>
        <v/>
      </c>
      <c r="SC10" s="153"/>
      <c r="SD10" s="90"/>
      <c r="SE10" s="90"/>
      <c r="SF10" s="90"/>
      <c r="SG10" s="90"/>
      <c r="SH10" s="91"/>
      <c r="SI10" s="159">
        <f>IF(COUNT(SI11,SI12)=0,"",SUM(SI11:SI12)/COUNT(SI11,SI12))</f>
        <v>3.75</v>
      </c>
      <c r="SJ10" s="183" t="str">
        <f t="shared" si="121"/>
        <v>A</v>
      </c>
      <c r="SK10" s="184">
        <f>IF(COUNT(SK11:SK12)=0,"",SUM(SK11:SK12)/COUNT(SK11:SK12))</f>
        <v>3.3125</v>
      </c>
      <c r="SL10" s="185" t="str">
        <f t="shared" si="122"/>
        <v>B</v>
      </c>
      <c r="SM10" s="195"/>
      <c r="SN10" s="90"/>
      <c r="SO10" s="91"/>
      <c r="SP10" s="159">
        <f>IF(COUNT(SP11:SP12)=0,"",SUM(SP11:SP12)/COUNT(SP11:SP12))</f>
        <v>3</v>
      </c>
      <c r="SQ10" s="160" t="str">
        <f t="shared" si="123"/>
        <v>B</v>
      </c>
      <c r="SR10" s="153"/>
      <c r="SS10" s="90"/>
      <c r="ST10" s="90"/>
      <c r="SU10" s="91"/>
      <c r="SV10" s="159" t="str">
        <f>IF(COUNT(SV11,SV12)=0,"",SUM(SV11:SV12)/COUNT(SV11,SV12))</f>
        <v/>
      </c>
      <c r="SW10" s="175" t="str">
        <f t="shared" si="124"/>
        <v/>
      </c>
      <c r="SX10" s="153"/>
      <c r="SY10" s="90"/>
      <c r="SZ10" s="90"/>
      <c r="TA10" s="90"/>
      <c r="TB10" s="90"/>
      <c r="TC10" s="91"/>
      <c r="TD10" s="159">
        <f>IF(COUNT(TD11,TD12)=0,"",SUM(TD11:TD12)/COUNT(TD11,TD12))</f>
        <v>3.75</v>
      </c>
      <c r="TE10" s="183" t="str">
        <f t="shared" si="125"/>
        <v>A</v>
      </c>
      <c r="TF10" s="184">
        <f>IF(COUNT(TF11:TF12)=0,"",SUM(TF11:TF12)/COUNT(TF11:TF12))</f>
        <v>3.4375</v>
      </c>
      <c r="TG10" s="185" t="str">
        <f t="shared" si="126"/>
        <v>B</v>
      </c>
      <c r="TH10" s="195"/>
      <c r="TI10" s="90"/>
      <c r="TJ10" s="91"/>
      <c r="TK10" s="159">
        <f>IF(COUNT(TK11:TK12)=0,"",SUM(TK11:TK12)/COUNT(TK11:TK12))</f>
        <v>3.25</v>
      </c>
      <c r="TL10" s="160" t="str">
        <f t="shared" si="127"/>
        <v>B</v>
      </c>
      <c r="TM10" s="153"/>
      <c r="TN10" s="90"/>
      <c r="TO10" s="90"/>
      <c r="TP10" s="91"/>
      <c r="TQ10" s="159" t="str">
        <f>IF(COUNT(TQ11,TQ12)=0,"",SUM(TQ11:TQ12)/COUNT(TQ11,TQ12))</f>
        <v/>
      </c>
      <c r="TR10" s="175" t="str">
        <f t="shared" si="128"/>
        <v/>
      </c>
      <c r="TS10" s="153"/>
      <c r="TT10" s="90"/>
      <c r="TU10" s="90"/>
      <c r="TV10" s="90"/>
      <c r="TW10" s="90"/>
      <c r="TX10" s="91"/>
      <c r="TY10" s="159">
        <f>IF(COUNT(TY11,TY12)=0,"",SUM(TY11:TY12)/COUNT(TY11,TY12))</f>
        <v>3.5</v>
      </c>
      <c r="TZ10" s="183" t="str">
        <f t="shared" si="129"/>
        <v>B</v>
      </c>
      <c r="UA10" s="184">
        <f>IF(COUNT(UA11:UA12)=0,"",SUM(UA11:UA12)/COUNT(UA11:UA12))</f>
        <v>3.5</v>
      </c>
      <c r="UB10" s="185" t="str">
        <f t="shared" si="130"/>
        <v>B</v>
      </c>
      <c r="UC10" s="195"/>
      <c r="UD10" s="90"/>
      <c r="UE10" s="91"/>
      <c r="UF10" s="159">
        <f>IF(COUNT(UF11:UF12)=0,"",SUM(UF11:UF12)/COUNT(UF11:UF12))</f>
        <v>3.25</v>
      </c>
      <c r="UG10" s="160" t="str">
        <f t="shared" si="131"/>
        <v>B</v>
      </c>
      <c r="UH10" s="153"/>
      <c r="UI10" s="90"/>
      <c r="UJ10" s="90"/>
      <c r="UK10" s="91"/>
      <c r="UL10" s="159" t="str">
        <f>IF(COUNT(UL11,UL12)=0,"",SUM(UL11:UL12)/COUNT(UL11,UL12))</f>
        <v/>
      </c>
      <c r="UM10" s="175" t="str">
        <f t="shared" si="132"/>
        <v/>
      </c>
      <c r="UN10" s="153"/>
      <c r="UO10" s="90"/>
      <c r="UP10" s="90"/>
      <c r="UQ10" s="90"/>
      <c r="UR10" s="90"/>
      <c r="US10" s="91"/>
      <c r="UT10" s="159">
        <f>IF(COUNT(UT11,UT12)=0,"",SUM(UT11:UT12)/COUNT(UT11,UT12))</f>
        <v>3.75</v>
      </c>
      <c r="UU10" s="183" t="str">
        <f t="shared" si="133"/>
        <v>A</v>
      </c>
      <c r="UV10" s="184">
        <f>IF(COUNT(UV11:UV12)=0,"",SUM(UV11:UV12)/COUNT(UV11:UV12))</f>
        <v>3.3125</v>
      </c>
      <c r="UW10" s="185" t="str">
        <f t="shared" si="134"/>
        <v>B</v>
      </c>
      <c r="UX10" s="195"/>
      <c r="UY10" s="90"/>
      <c r="UZ10" s="91"/>
      <c r="VA10" s="159">
        <f>IF(COUNT(VA11:VA12)=0,"",SUM(VA11:VA12)/COUNT(VA11:VA12))</f>
        <v>2.75</v>
      </c>
      <c r="VB10" s="160" t="str">
        <f t="shared" si="135"/>
        <v>C</v>
      </c>
      <c r="VC10" s="153"/>
      <c r="VD10" s="90"/>
      <c r="VE10" s="90"/>
      <c r="VF10" s="91"/>
      <c r="VG10" s="159" t="str">
        <f>IF(COUNT(VG11,VG12)=0,"",SUM(VG11:VG12)/COUNT(VG11,VG12))</f>
        <v/>
      </c>
      <c r="VH10" s="175" t="str">
        <f t="shared" si="136"/>
        <v/>
      </c>
      <c r="VI10" s="153"/>
      <c r="VJ10" s="90"/>
      <c r="VK10" s="90"/>
      <c r="VL10" s="90"/>
      <c r="VM10" s="90"/>
      <c r="VN10" s="91"/>
      <c r="VO10" s="159">
        <f>IF(COUNT(VO11,VO12)=0,"",SUM(VO11:VO12)/COUNT(VO11,VO12))</f>
        <v>3.5</v>
      </c>
      <c r="VP10" s="183" t="str">
        <f t="shared" si="137"/>
        <v>B</v>
      </c>
      <c r="VQ10" s="184">
        <f>IF(COUNT(VQ11:VQ12)=0,"",SUM(VQ11:VQ12)/COUNT(VQ11:VQ12))</f>
        <v>3.25</v>
      </c>
      <c r="VR10" s="185" t="str">
        <f t="shared" si="138"/>
        <v>B</v>
      </c>
      <c r="VS10" s="117"/>
      <c r="VT10" s="90"/>
      <c r="VU10" s="91"/>
      <c r="VV10" s="86" t="str">
        <f>IF(COUNT(VV11:VV12)=0,"",SUM(VV11:VV12)/COUNT(VV11:VV12))</f>
        <v/>
      </c>
      <c r="VW10" s="87" t="str">
        <f t="shared" si="139"/>
        <v/>
      </c>
      <c r="VX10" s="89"/>
      <c r="VY10" s="90"/>
      <c r="VZ10" s="91"/>
      <c r="WA10" s="86" t="str">
        <f>IF(COUNT(WA11,WA12)=0,"",SUM(WA11:WA12)/COUNT(WA11,WA12))</f>
        <v/>
      </c>
      <c r="WB10" s="88" t="str">
        <f t="shared" si="140"/>
        <v/>
      </c>
      <c r="WC10" s="89"/>
      <c r="WD10" s="90"/>
      <c r="WE10" s="91"/>
      <c r="WF10" s="86" t="str">
        <f>IF(COUNT(WF11,WF12)=0,"",SUM(WF11:WF12)/COUNT(WF11,WF12))</f>
        <v/>
      </c>
      <c r="WG10" s="92" t="str">
        <f t="shared" si="141"/>
        <v/>
      </c>
      <c r="WH10" s="93" t="str">
        <f>IF(COUNT(WH11:WH12)=0,"",SUM(WH11:WH12)/COUNT(WH11:WH12))</f>
        <v/>
      </c>
      <c r="WI10" s="94" t="str">
        <f t="shared" si="142"/>
        <v/>
      </c>
      <c r="WJ10" s="117"/>
      <c r="WK10" s="90"/>
      <c r="WL10" s="91"/>
      <c r="WM10" s="86" t="str">
        <f>IF(COUNT(WM11:WM12)=0,"",SUM(WM11:WM12)/COUNT(WM11:WM12))</f>
        <v/>
      </c>
      <c r="WN10" s="87" t="str">
        <f t="shared" si="143"/>
        <v/>
      </c>
      <c r="WO10" s="89"/>
      <c r="WP10" s="90"/>
      <c r="WQ10" s="91"/>
      <c r="WR10" s="86" t="str">
        <f>IF(COUNT(WR11,WR12)=0,"",SUM(WR11:WR12)/COUNT(WR11,WR12))</f>
        <v/>
      </c>
      <c r="WS10" s="88" t="str">
        <f t="shared" si="144"/>
        <v/>
      </c>
      <c r="WT10" s="89"/>
      <c r="WU10" s="90"/>
      <c r="WV10" s="91"/>
      <c r="WW10" s="86" t="str">
        <f>IF(COUNT(WW11,WW12)=0,"",SUM(WW11:WW12)/COUNT(WW11,WW12))</f>
        <v/>
      </c>
      <c r="WX10" s="92" t="str">
        <f t="shared" si="145"/>
        <v/>
      </c>
      <c r="WY10" s="93" t="str">
        <f>IF(COUNT(WY11:WY12)=0,"",SUM(WY11:WY12)/COUNT(WY11:WY12))</f>
        <v/>
      </c>
      <c r="WZ10" s="94" t="str">
        <f t="shared" si="146"/>
        <v/>
      </c>
    </row>
    <row r="11" spans="1:624" ht="18" customHeight="1" x14ac:dyDescent="0.55000000000000004">
      <c r="A11" s="217" t="s">
        <v>47</v>
      </c>
      <c r="B11" s="218"/>
      <c r="C11" s="103" t="s">
        <v>28</v>
      </c>
      <c r="D11" s="104" t="s">
        <v>30</v>
      </c>
      <c r="E11" s="105"/>
      <c r="F11" s="161">
        <f>IFERROR((((COUNTIF('Elève (3ème5)'!C11:E11,"A"))*4)+((COUNTIF('Elève (3ème5)'!C11:E11,"B"))*3)+((COUNTIF('Elève (3ème5)'!C11:E11,"C"))*2)+((COUNTIF('Elève (3ème5)'!C11:E11,"D"))*1))/(COUNTA(C11:E11)),"")</f>
        <v>2</v>
      </c>
      <c r="G11" s="162" t="str">
        <f t="shared" si="27"/>
        <v>C</v>
      </c>
      <c r="H11" s="103"/>
      <c r="I11" s="104"/>
      <c r="J11" s="105"/>
      <c r="K11" s="105"/>
      <c r="L11" s="161" t="str">
        <f>IFERROR((((COUNTIF('Elève (3ème5)'!H11:K11,"A"))*4)+((COUNTIF('Elève (3ème5)'!H11:K11,"B"))*3)+((COUNTIF('Elève (3ème5)'!H11:K11,"C"))*2)+((COUNTIF('Elève (3ème5)'!H11:K11,"D"))*1))/(COUNTA(H11:K11)),"")</f>
        <v/>
      </c>
      <c r="M11" s="162" t="str">
        <f t="shared" si="28"/>
        <v/>
      </c>
      <c r="N11" s="103" t="s">
        <v>28</v>
      </c>
      <c r="O11" s="104" t="s">
        <v>29</v>
      </c>
      <c r="P11" s="105" t="s">
        <v>27</v>
      </c>
      <c r="Q11" s="105" t="s">
        <v>27</v>
      </c>
      <c r="R11" s="105"/>
      <c r="S11" s="105"/>
      <c r="T11" s="161">
        <f>IFERROR((((COUNTIF('Elève (3ème5)'!N11:S11,"A"))*4)+((COUNTIF('Elève (3ème5)'!N11:S11,"B"))*3)+((COUNTIF('Elève (3ème5)'!N11:S11,"C"))*2)+((COUNTIF('Elève (3ème5)'!N11:S11,"D"))*1))/(COUNTA(N11:S11)),"")</f>
        <v>3.25</v>
      </c>
      <c r="U11" s="162" t="str">
        <f t="shared" si="29"/>
        <v>B</v>
      </c>
      <c r="V11" s="189">
        <f>IF(COUNT(F11,L11,T11)=0,"",SUM(F11,L11,T11)/COUNT(F11,L11,T11))</f>
        <v>2.625</v>
      </c>
      <c r="W11" s="186" t="str">
        <f t="shared" si="30"/>
        <v>C</v>
      </c>
      <c r="X11" s="103" t="s">
        <v>27</v>
      </c>
      <c r="Y11" s="104" t="s">
        <v>29</v>
      </c>
      <c r="Z11" s="105"/>
      <c r="AA11" s="161">
        <f>IFERROR((((COUNTIF('Elève (3ème5)'!X11:Z11,"A"))*4)+((COUNTIF('Elève (3ème5)'!X11:Z11,"B"))*3)+((COUNTIF('Elève (3ème5)'!X11:Z11,"C"))*2)+((COUNTIF('Elève (3ème5)'!X11:Z11,"D"))*1))/(COUNTA(X11:Z11)),"")</f>
        <v>3</v>
      </c>
      <c r="AB11" s="162" t="str">
        <f t="shared" si="31"/>
        <v>B</v>
      </c>
      <c r="AC11" s="103"/>
      <c r="AD11" s="104"/>
      <c r="AE11" s="105"/>
      <c r="AF11" s="105"/>
      <c r="AG11" s="161" t="str">
        <f>IFERROR((((COUNTIF('Elève (3ème5)'!AC11:AF11,"A"))*4)+((COUNTIF('Elève (3ème5)'!AC11:AF11,"B"))*3)+((COUNTIF('Elève (3ème5)'!AC11:AF11,"C"))*2)+((COUNTIF('Elève (3ème5)'!AC11:AF11,"D"))*1))/(COUNTA(AC11:AF11)),"")</f>
        <v/>
      </c>
      <c r="AH11" s="162" t="str">
        <f t="shared" si="32"/>
        <v/>
      </c>
      <c r="AI11" s="103" t="s">
        <v>28</v>
      </c>
      <c r="AJ11" s="104" t="s">
        <v>27</v>
      </c>
      <c r="AK11" s="105" t="s">
        <v>27</v>
      </c>
      <c r="AL11" s="105" t="s">
        <v>27</v>
      </c>
      <c r="AM11" s="105"/>
      <c r="AN11" s="109"/>
      <c r="AO11" s="161">
        <f>IFERROR((((COUNTIF('Elève (3ème5)'!AI11:AN11,"A"))*4)+((COUNTIF('Elève (3ème5)'!AI11:AN11,"B"))*3)+((COUNTIF('Elève (3ème5)'!AI11:AN11,"C"))*2)+((COUNTIF('Elève (3ème5)'!AI11:AN11,"D"))*1))/(COUNTA(AI11:AN11)),"")</f>
        <v>3.75</v>
      </c>
      <c r="AP11" s="162" t="str">
        <f t="shared" si="33"/>
        <v>A</v>
      </c>
      <c r="AQ11" s="189">
        <f>IF(COUNT(AA11,AG11,AO11)=0,"",SUM(AA11,AG11,AO11)/COUNT(AA11,AG11,AO11))</f>
        <v>3.375</v>
      </c>
      <c r="AR11" s="186" t="str">
        <f t="shared" si="34"/>
        <v>B</v>
      </c>
      <c r="AS11" s="103" t="s">
        <v>29</v>
      </c>
      <c r="AT11" s="104" t="s">
        <v>30</v>
      </c>
      <c r="AU11" s="105"/>
      <c r="AV11" s="161">
        <f>IFERROR((((COUNTIF('Elève (3ème5)'!AS11:AU11,"A"))*4)+((COUNTIF('Elève (3ème5)'!AS11:AU11,"B"))*3)+((COUNTIF('Elève (3ème5)'!AS11:AU11,"C"))*2)+((COUNTIF('Elève (3ème5)'!AS11:AU11,"D"))*1))/(COUNTA(AS11:AU11)),"")</f>
        <v>1.5</v>
      </c>
      <c r="AW11" s="162" t="str">
        <f t="shared" si="35"/>
        <v>D</v>
      </c>
      <c r="AX11" s="103"/>
      <c r="AY11" s="104"/>
      <c r="AZ11" s="105"/>
      <c r="BA11" s="105"/>
      <c r="BB11" s="161" t="str">
        <f>IFERROR((((COUNTIF('Elève (3ème5)'!AX11:BA11,"A"))*4)+((COUNTIF('Elève (3ème5)'!AX11:BA11,"B"))*3)+((COUNTIF('Elève (3ème5)'!AX11:BA11,"C"))*2)+((COUNTIF('Elève (3ème5)'!AX11:BA11,"D"))*1))/(COUNTA(AX11:BA11)),"")</f>
        <v/>
      </c>
      <c r="BC11" s="162" t="str">
        <f t="shared" si="36"/>
        <v/>
      </c>
      <c r="BD11" s="103"/>
      <c r="BE11" s="104" t="s">
        <v>28</v>
      </c>
      <c r="BF11" s="105" t="s">
        <v>27</v>
      </c>
      <c r="BG11" s="105" t="s">
        <v>27</v>
      </c>
      <c r="BH11" s="105"/>
      <c r="BI11" s="109"/>
      <c r="BJ11" s="161">
        <f>IFERROR((((COUNTIF('Elève (3ème5)'!BD11:BI11,"A"))*4)+((COUNTIF('Elève (3ème5)'!BD11:BI11,"B"))*3)+((COUNTIF('Elève (3ème5)'!BD11:BI11,"C"))*2)+((COUNTIF('Elève (3ème5)'!BD11:BI11,"D"))*1))/(COUNTA(BD11:BI11)),"")</f>
        <v>3.6666666666666665</v>
      </c>
      <c r="BK11" s="162" t="str">
        <f t="shared" si="37"/>
        <v>B</v>
      </c>
      <c r="BL11" s="189">
        <f>IF(COUNT(AV11,BB11,BJ11)=0,"",SUM(AV11,BB11,BJ11)/COUNT(AV11,BB11,BJ11))</f>
        <v>2.583333333333333</v>
      </c>
      <c r="BM11" s="186" t="str">
        <f t="shared" si="38"/>
        <v>C</v>
      </c>
      <c r="BN11" s="103" t="s">
        <v>29</v>
      </c>
      <c r="BO11" s="104" t="s">
        <v>29</v>
      </c>
      <c r="BP11" s="105"/>
      <c r="BQ11" s="161">
        <f>IFERROR((((COUNTIF('Elève (3ème5)'!BN11:BP11,"A"))*4)+((COUNTIF('Elève (3ème5)'!BN11:BP11,"B"))*3)+((COUNTIF('Elève (3ème5)'!BN11:BP11,"C"))*2)+((COUNTIF('Elève (3ème5)'!BN11:BP11,"D"))*1))/(COUNTA(BN11:BP11)),"")</f>
        <v>2</v>
      </c>
      <c r="BR11" s="162" t="str">
        <f t="shared" si="39"/>
        <v>C</v>
      </c>
      <c r="BS11" s="103"/>
      <c r="BT11" s="104"/>
      <c r="BU11" s="105"/>
      <c r="BV11" s="105"/>
      <c r="BW11" s="161" t="str">
        <f>IFERROR((((COUNTIF('Elève (3ème5)'!BS11:BV11,"A"))*4)+((COUNTIF('Elève (3ème5)'!BS11:BV11,"B"))*3)+((COUNTIF('Elève (3ème5)'!BS11:BV11,"C"))*2)+((COUNTIF('Elève (3ème5)'!BS11:BV11,"D"))*1))/(COUNTA(BS11:BV11)),"")</f>
        <v/>
      </c>
      <c r="BX11" s="162" t="str">
        <f t="shared" si="40"/>
        <v/>
      </c>
      <c r="BY11" s="103" t="s">
        <v>27</v>
      </c>
      <c r="BZ11" s="104" t="s">
        <v>28</v>
      </c>
      <c r="CA11" s="105" t="s">
        <v>27</v>
      </c>
      <c r="CB11" s="105" t="s">
        <v>27</v>
      </c>
      <c r="CC11" s="105"/>
      <c r="CD11" s="109"/>
      <c r="CE11" s="161">
        <f>IFERROR((((COUNTIF('Elève (3ème5)'!BY11:CD11,"A"))*4)+((COUNTIF('Elève (3ème5)'!BY11:CD11,"B"))*3)+((COUNTIF('Elève (3ème5)'!BY11:CD11,"C"))*2)+((COUNTIF('Elève (3ème5)'!BY11:CD11,"D"))*1))/(COUNTA(BY11:CD11)),"")</f>
        <v>3.75</v>
      </c>
      <c r="CF11" s="162" t="str">
        <f t="shared" si="41"/>
        <v>A</v>
      </c>
      <c r="CG11" s="189">
        <f>IF(COUNT(BQ11,BW11,CE11)=0,"",SUM(BQ11,BW11,CE11)/COUNT(BQ11,BW11,CE11))</f>
        <v>2.875</v>
      </c>
      <c r="CH11" s="186" t="str">
        <f t="shared" si="42"/>
        <v>B</v>
      </c>
      <c r="CI11" s="103" t="s">
        <v>28</v>
      </c>
      <c r="CJ11" s="104" t="s">
        <v>29</v>
      </c>
      <c r="CK11" s="105"/>
      <c r="CL11" s="161">
        <f>IFERROR((((COUNTIF('Elève (3ème5)'!CI11:CK11,"A"))*4)+((COUNTIF('Elève (3ème5)'!CI11:CK11,"B"))*3)+((COUNTIF('Elève (3ème5)'!CI11:CK11,"C"))*2)+((COUNTIF('Elève (3ème5)'!CI11:CK11,"D"))*1))/(COUNTA(CI11:CK11)),"")</f>
        <v>2.5</v>
      </c>
      <c r="CM11" s="162" t="str">
        <f t="shared" si="43"/>
        <v>C</v>
      </c>
      <c r="CN11" s="103"/>
      <c r="CO11" s="104"/>
      <c r="CP11" s="105"/>
      <c r="CQ11" s="105"/>
      <c r="CR11" s="161" t="str">
        <f>IFERROR((((COUNTIF('Elève (3ème5)'!CN11:CQ11,"A"))*4)+((COUNTIF('Elève (3ème5)'!CN11:CQ11,"B"))*3)+((COUNTIF('Elève (3ème5)'!CN11:CQ11,"C"))*2)+((COUNTIF('Elève (3ème5)'!CN11:CQ11,"D"))*1))/(COUNTA(CN11:CQ11)),"")</f>
        <v/>
      </c>
      <c r="CS11" s="162" t="str">
        <f t="shared" si="44"/>
        <v/>
      </c>
      <c r="CT11" s="103" t="s">
        <v>27</v>
      </c>
      <c r="CU11" s="104" t="s">
        <v>28</v>
      </c>
      <c r="CV11" s="105" t="s">
        <v>27</v>
      </c>
      <c r="CW11" s="105" t="s">
        <v>27</v>
      </c>
      <c r="CX11" s="105"/>
      <c r="CY11" s="109"/>
      <c r="CZ11" s="161">
        <f>IFERROR((((COUNTIF('Elève (3ème5)'!CT11:CY11,"A"))*4)+((COUNTIF('Elève (3ème5)'!CT11:CY11,"B"))*3)+((COUNTIF('Elève (3ème5)'!CT11:CY11,"C"))*2)+((COUNTIF('Elève (3ème5)'!CT11:CY11,"D"))*1))/(COUNTA(CT11:CY11)),"")</f>
        <v>3.75</v>
      </c>
      <c r="DA11" s="162" t="str">
        <f t="shared" si="45"/>
        <v>A</v>
      </c>
      <c r="DB11" s="189">
        <f>IF(COUNT(CL11,CR11,CZ11)=0,"",SUM(CL11,CR11,CZ11)/COUNT(CL11,CR11,CZ11))</f>
        <v>3.125</v>
      </c>
      <c r="DC11" s="186" t="str">
        <f t="shared" si="46"/>
        <v>B</v>
      </c>
      <c r="DD11" s="103" t="s">
        <v>27</v>
      </c>
      <c r="DE11" s="104" t="s">
        <v>28</v>
      </c>
      <c r="DF11" s="105"/>
      <c r="DG11" s="161">
        <f>IFERROR((((COUNTIF('Elève (3ème5)'!DD11:DF11,"A"))*4)+((COUNTIF('Elève (3ème5)'!DD11:DF11,"B"))*3)+((COUNTIF('Elève (3ème5)'!DD11:DF11,"C"))*2)+((COUNTIF('Elève (3ème5)'!DD11:DF11,"D"))*1))/(COUNTA(DD11:DF11)),"")</f>
        <v>3.5</v>
      </c>
      <c r="DH11" s="162" t="str">
        <f t="shared" si="47"/>
        <v>B</v>
      </c>
      <c r="DI11" s="103"/>
      <c r="DJ11" s="104"/>
      <c r="DK11" s="105"/>
      <c r="DL11" s="105"/>
      <c r="DM11" s="161" t="str">
        <f>IFERROR((((COUNTIF('Elève (3ème5)'!DI11:DL11,"A"))*4)+((COUNTIF('Elève (3ème5)'!DI11:DL11,"B"))*3)+((COUNTIF('Elève (3ème5)'!DI11:DL11,"C"))*2)+((COUNTIF('Elève (3ème5)'!DI11:DL11,"D"))*1))/(COUNTA(DI11:DL11)),"")</f>
        <v/>
      </c>
      <c r="DN11" s="162" t="str">
        <f t="shared" si="48"/>
        <v/>
      </c>
      <c r="DO11" s="103" t="s">
        <v>27</v>
      </c>
      <c r="DP11" s="104" t="s">
        <v>28</v>
      </c>
      <c r="DQ11" s="105" t="s">
        <v>27</v>
      </c>
      <c r="DR11" s="105" t="s">
        <v>27</v>
      </c>
      <c r="DS11" s="105"/>
      <c r="DT11" s="109"/>
      <c r="DU11" s="161">
        <f>IFERROR((((COUNTIF('Elève (3ème5)'!DO11:DT11,"A"))*4)+((COUNTIF('Elève (3ème5)'!DO11:DT11,"B"))*3)+((COUNTIF('Elève (3ème5)'!DO11:DT11,"C"))*2)+((COUNTIF('Elève (3ème5)'!DO11:DT11,"D"))*1))/(COUNTA(DO11:DT11)),"")</f>
        <v>3.75</v>
      </c>
      <c r="DV11" s="162" t="str">
        <f t="shared" si="49"/>
        <v>A</v>
      </c>
      <c r="DW11" s="189">
        <f>IF(COUNT(DG11,DM11,DU11)=0,"",SUM(DG11,DM11,DU11)/COUNT(DG11,DM11,DU11))</f>
        <v>3.625</v>
      </c>
      <c r="DX11" s="186" t="str">
        <f t="shared" si="50"/>
        <v>B</v>
      </c>
      <c r="DY11" s="103" t="s">
        <v>29</v>
      </c>
      <c r="DZ11" s="104" t="s">
        <v>30</v>
      </c>
      <c r="EA11" s="105"/>
      <c r="EB11" s="161">
        <f>IFERROR((((COUNTIF('Elève (3ème5)'!DY11:EA11,"A"))*4)+((COUNTIF('Elève (3ème5)'!DY11:EA11,"B"))*3)+((COUNTIF('Elève (3ème5)'!DY11:EA11,"C"))*2)+((COUNTIF('Elève (3ème5)'!DY11:EA11,"D"))*1))/(COUNTA(DY11:EA11)),"")</f>
        <v>1.5</v>
      </c>
      <c r="EC11" s="162" t="str">
        <f t="shared" si="51"/>
        <v>D</v>
      </c>
      <c r="ED11" s="103"/>
      <c r="EE11" s="104"/>
      <c r="EF11" s="105"/>
      <c r="EG11" s="105"/>
      <c r="EH11" s="161" t="str">
        <f>IFERROR((((COUNTIF('Elève (3ème5)'!ED11:EG11,"A"))*4)+((COUNTIF('Elève (3ème5)'!ED11:EG11,"B"))*3)+((COUNTIF('Elève (3ème5)'!ED11:EG11,"C"))*2)+((COUNTIF('Elève (3ème5)'!ED11:EG11,"D"))*1))/(COUNTA(ED11:EG11)),"")</f>
        <v/>
      </c>
      <c r="EI11" s="162" t="str">
        <f t="shared" si="52"/>
        <v/>
      </c>
      <c r="EJ11" s="103" t="s">
        <v>28</v>
      </c>
      <c r="EK11" s="104" t="s">
        <v>28</v>
      </c>
      <c r="EL11" s="105" t="s">
        <v>27</v>
      </c>
      <c r="EM11" s="105" t="s">
        <v>27</v>
      </c>
      <c r="EN11" s="105"/>
      <c r="EO11" s="109"/>
      <c r="EP11" s="161">
        <f>IFERROR((((COUNTIF('Elève (3ème5)'!EJ11:EO11,"A"))*4)+((COUNTIF('Elève (3ème5)'!EJ11:EO11,"B"))*3)+((COUNTIF('Elève (3ème5)'!EJ11:EO11,"C"))*2)+((COUNTIF('Elève (3ème5)'!EJ11:EO11,"D"))*1))/(COUNTA(EJ11:EO11)),"")</f>
        <v>3.5</v>
      </c>
      <c r="EQ11" s="162" t="str">
        <f t="shared" si="53"/>
        <v>B</v>
      </c>
      <c r="ER11" s="189">
        <f>IF(COUNT(EB11,EH11,EP11)=0,"",SUM(EB11,EH11,EP11)/COUNT(EB11,EH11,EP11))</f>
        <v>2.5</v>
      </c>
      <c r="ES11" s="186" t="str">
        <f t="shared" si="54"/>
        <v>C</v>
      </c>
      <c r="ET11" s="103" t="s">
        <v>30</v>
      </c>
      <c r="EU11" s="104" t="s">
        <v>30</v>
      </c>
      <c r="EV11" s="105"/>
      <c r="EW11" s="161">
        <f>IFERROR((((COUNTIF('Elève (3ème5)'!ET11:EV11,"A"))*4)+((COUNTIF('Elève (3ème5)'!ET11:EV11,"B"))*3)+((COUNTIF('Elève (3ème5)'!ET11:EV11,"C"))*2)+((COUNTIF('Elève (3ème5)'!ET11:EV11,"D"))*1))/(COUNTA(ET11:EV11)),"")</f>
        <v>1</v>
      </c>
      <c r="EX11" s="162" t="str">
        <f t="shared" si="55"/>
        <v>D</v>
      </c>
      <c r="EY11" s="103"/>
      <c r="EZ11" s="104"/>
      <c r="FA11" s="105"/>
      <c r="FB11" s="105"/>
      <c r="FC11" s="161" t="str">
        <f>IFERROR((((COUNTIF('Elève (3ème5)'!EY11:FB11,"A"))*4)+((COUNTIF('Elève (3ème5)'!EY11:FB11,"B"))*3)+((COUNTIF('Elève (3ème5)'!EY11:FB11,"C"))*2)+((COUNTIF('Elève (3ème5)'!EY11:FB11,"D"))*1))/(COUNTA(EY11:FB11)),"")</f>
        <v/>
      </c>
      <c r="FD11" s="162" t="str">
        <f t="shared" si="56"/>
        <v/>
      </c>
      <c r="FE11" s="103" t="s">
        <v>28</v>
      </c>
      <c r="FF11" s="104" t="s">
        <v>29</v>
      </c>
      <c r="FG11" s="105" t="s">
        <v>27</v>
      </c>
      <c r="FH11" s="105" t="s">
        <v>27</v>
      </c>
      <c r="FI11" s="105"/>
      <c r="FJ11" s="109"/>
      <c r="FK11" s="161">
        <f>IFERROR((((COUNTIF('Elève (3ème5)'!FE11:FJ11,"A"))*4)+((COUNTIF('Elève (3ème5)'!FE11:FJ11,"B"))*3)+((COUNTIF('Elève (3ème5)'!FE11:FJ11,"C"))*2)+((COUNTIF('Elève (3ème5)'!FE11:FJ11,"D"))*1))/(COUNTA(FE11:FJ11)),"")</f>
        <v>3.25</v>
      </c>
      <c r="FL11" s="162" t="str">
        <f t="shared" si="57"/>
        <v>B</v>
      </c>
      <c r="FM11" s="189">
        <f>IF(COUNT(EW11,FC11,FK11)=0,"",SUM(EW11,FC11,FK11)/COUNT(EW11,FC11,FK11))</f>
        <v>2.125</v>
      </c>
      <c r="FN11" s="186" t="str">
        <f t="shared" si="58"/>
        <v>C</v>
      </c>
      <c r="FO11" s="103" t="s">
        <v>27</v>
      </c>
      <c r="FP11" s="104" t="s">
        <v>30</v>
      </c>
      <c r="FQ11" s="105"/>
      <c r="FR11" s="161">
        <f>IFERROR((((COUNTIF('Elève (3ème5)'!FO11:FQ11,"A"))*4)+((COUNTIF('Elève (3ème5)'!FO11:FQ11,"B"))*3)+((COUNTIF('Elève (3ème5)'!FO11:FQ11,"C"))*2)+((COUNTIF('Elève (3ème5)'!FO11:FQ11,"D"))*1))/(COUNTA(FO11:FQ11)),"")</f>
        <v>2.5</v>
      </c>
      <c r="FS11" s="162" t="str">
        <f t="shared" si="59"/>
        <v>C</v>
      </c>
      <c r="FT11" s="103"/>
      <c r="FU11" s="104"/>
      <c r="FV11" s="105"/>
      <c r="FW11" s="105"/>
      <c r="FX11" s="161" t="str">
        <f>IFERROR((((COUNTIF('Elève (3ème5)'!FT11:FW11,"A"))*4)+((COUNTIF('Elève (3ème5)'!FT11:FW11,"B"))*3)+((COUNTIF('Elève (3ème5)'!FT11:FW11,"C"))*2)+((COUNTIF('Elève (3ème5)'!FT11:FW11,"D"))*1))/(COUNTA(FT11:FW11)),"")</f>
        <v/>
      </c>
      <c r="FY11" s="162" t="str">
        <f t="shared" si="60"/>
        <v/>
      </c>
      <c r="FZ11" s="103" t="s">
        <v>27</v>
      </c>
      <c r="GA11" s="104" t="s">
        <v>29</v>
      </c>
      <c r="GB11" s="105" t="s">
        <v>27</v>
      </c>
      <c r="GC11" s="105" t="s">
        <v>27</v>
      </c>
      <c r="GD11" s="105"/>
      <c r="GE11" s="109"/>
      <c r="GF11" s="161">
        <f>IFERROR((((COUNTIF('Elève (3ème5)'!FZ11:GE11,"A"))*4)+((COUNTIF('Elève (3ème5)'!FZ11:GE11,"B"))*3)+((COUNTIF('Elève (3ème5)'!FZ11:GE11,"C"))*2)+((COUNTIF('Elève (3ème5)'!FZ11:GE11,"D"))*1))/(COUNTA(FZ11:GE11)),"")</f>
        <v>3.5</v>
      </c>
      <c r="GG11" s="162" t="str">
        <f t="shared" si="61"/>
        <v>B</v>
      </c>
      <c r="GH11" s="189">
        <f>IF(COUNT(FR11,FX11,GF11)=0,"",SUM(FR11,FX11,GF11)/COUNT(FR11,FX11,GF11))</f>
        <v>3</v>
      </c>
      <c r="GI11" s="186" t="str">
        <f t="shared" si="62"/>
        <v>B</v>
      </c>
      <c r="GJ11" s="103" t="s">
        <v>28</v>
      </c>
      <c r="GK11" s="104" t="s">
        <v>30</v>
      </c>
      <c r="GL11" s="105"/>
      <c r="GM11" s="161">
        <f>IFERROR((((COUNTIF('Elève (3ème5)'!GJ11:GL11,"A"))*4)+((COUNTIF('Elève (3ème5)'!GJ11:GL11,"B"))*3)+((COUNTIF('Elève (3ème5)'!GJ11:GL11,"C"))*2)+((COUNTIF('Elève (3ème5)'!GJ11:GL11,"D"))*1))/(COUNTA(GJ11:GL11)),"")</f>
        <v>2</v>
      </c>
      <c r="GN11" s="162" t="str">
        <f t="shared" si="63"/>
        <v>C</v>
      </c>
      <c r="GO11" s="103"/>
      <c r="GP11" s="104"/>
      <c r="GQ11" s="105"/>
      <c r="GR11" s="105"/>
      <c r="GS11" s="161" t="str">
        <f>IFERROR((((COUNTIF('Elève (3ème5)'!GO11:GR11,"A"))*4)+((COUNTIF('Elève (3ème5)'!GO11:GR11,"B"))*3)+((COUNTIF('Elève (3ème5)'!GO11:GR11,"C"))*2)+((COUNTIF('Elève (3ème5)'!GO11:GR11,"D"))*1))/(COUNTA(GO11:GR11)),"")</f>
        <v/>
      </c>
      <c r="GT11" s="162" t="str">
        <f t="shared" si="64"/>
        <v/>
      </c>
      <c r="GU11" s="103" t="s">
        <v>27</v>
      </c>
      <c r="GV11" s="104" t="s">
        <v>28</v>
      </c>
      <c r="GW11" s="105"/>
      <c r="GX11" s="105" t="s">
        <v>27</v>
      </c>
      <c r="GY11" s="105"/>
      <c r="GZ11" s="109"/>
      <c r="HA11" s="161">
        <f>IFERROR((((COUNTIF('Elève (3ème5)'!GU11:GZ11,"A"))*4)+((COUNTIF('Elève (3ème5)'!GU11:GZ11,"B"))*3)+((COUNTIF('Elève (3ème5)'!GU11:GZ11,"C"))*2)+((COUNTIF('Elève (3ème5)'!GU11:GZ11,"D"))*1))/(COUNTA(GU11:GZ11)),"")</f>
        <v>3.6666666666666665</v>
      </c>
      <c r="HB11" s="162" t="str">
        <f t="shared" si="65"/>
        <v>B</v>
      </c>
      <c r="HC11" s="189">
        <f>IF(COUNT(GM11,GS11,HA11)=0,"",SUM(GM11,GS11,HA11)/COUNT(GM11,GS11,HA11))</f>
        <v>2.833333333333333</v>
      </c>
      <c r="HD11" s="186" t="str">
        <f t="shared" si="66"/>
        <v>B</v>
      </c>
      <c r="HE11" s="103" t="s">
        <v>27</v>
      </c>
      <c r="HF11" s="104" t="s">
        <v>29</v>
      </c>
      <c r="HG11" s="105"/>
      <c r="HH11" s="161">
        <f>IFERROR((((COUNTIF('Elève (3ème5)'!HE11:HG11,"A"))*4)+((COUNTIF('Elève (3ème5)'!HE11:HG11,"B"))*3)+((COUNTIF('Elève (3ème5)'!HE11:HG11,"C"))*2)+((COUNTIF('Elève (3ème5)'!HE11:HG11,"D"))*1))/(COUNTA(HE11:HG11)),"")</f>
        <v>3</v>
      </c>
      <c r="HI11" s="162" t="str">
        <f t="shared" si="67"/>
        <v>B</v>
      </c>
      <c r="HJ11" s="103"/>
      <c r="HK11" s="104"/>
      <c r="HL11" s="105"/>
      <c r="HM11" s="105"/>
      <c r="HN11" s="161" t="str">
        <f>IFERROR((((COUNTIF('Elève (3ème5)'!HJ11:HM11,"A"))*4)+((COUNTIF('Elève (3ème5)'!HJ11:HM11,"B"))*3)+((COUNTIF('Elève (3ème5)'!HJ11:HM11,"C"))*2)+((COUNTIF('Elève (3ème5)'!HJ11:HM11,"D"))*1))/(COUNTA(HJ11:HM11)),"")</f>
        <v/>
      </c>
      <c r="HO11" s="162" t="str">
        <f t="shared" si="68"/>
        <v/>
      </c>
      <c r="HP11" s="103" t="s">
        <v>27</v>
      </c>
      <c r="HQ11" s="104" t="s">
        <v>28</v>
      </c>
      <c r="HR11" s="105"/>
      <c r="HS11" s="105" t="s">
        <v>27</v>
      </c>
      <c r="HT11" s="105"/>
      <c r="HU11" s="109"/>
      <c r="HV11" s="161">
        <f>IFERROR((((COUNTIF('Elève (3ème5)'!HP11:HU11,"A"))*4)+((COUNTIF('Elève (3ème5)'!HP11:HU11,"B"))*3)+((COUNTIF('Elève (3ème5)'!HP11:HU11,"C"))*2)+((COUNTIF('Elève (3ème5)'!HP11:HU11,"D"))*1))/(COUNTA(HP11:HU11)),"")</f>
        <v>3.6666666666666665</v>
      </c>
      <c r="HW11" s="162" t="str">
        <f t="shared" si="69"/>
        <v>B</v>
      </c>
      <c r="HX11" s="189">
        <f>IF(COUNT(HH11,HN11,HV11)=0,"",SUM(HH11,HN11,HV11)/COUNT(HH11,HN11,HV11))</f>
        <v>3.333333333333333</v>
      </c>
      <c r="HY11" s="186" t="str">
        <f t="shared" si="70"/>
        <v>B</v>
      </c>
      <c r="HZ11" s="103" t="s">
        <v>27</v>
      </c>
      <c r="IA11" s="104" t="s">
        <v>28</v>
      </c>
      <c r="IB11" s="105"/>
      <c r="IC11" s="161">
        <f>IFERROR((((COUNTIF('Elève (3ème5)'!HZ11:IB11,"A"))*4)+((COUNTIF('Elève (3ème5)'!HZ11:IB11,"B"))*3)+((COUNTIF('Elève (3ème5)'!HZ11:IB11,"C"))*2)+((COUNTIF('Elève (3ème5)'!HZ11:IB11,"D"))*1))/(COUNTA(HZ11:IB11)),"")</f>
        <v>3.5</v>
      </c>
      <c r="ID11" s="162" t="str">
        <f t="shared" si="71"/>
        <v>B</v>
      </c>
      <c r="IE11" s="103"/>
      <c r="IF11" s="104"/>
      <c r="IG11" s="105"/>
      <c r="IH11" s="105"/>
      <c r="II11" s="161" t="str">
        <f>IFERROR((((COUNTIF('Elève (3ème5)'!IE11:IH11,"A"))*4)+((COUNTIF('Elève (3ème5)'!IE11:IH11,"B"))*3)+((COUNTIF('Elève (3ème5)'!IE11:IH11,"C"))*2)+((COUNTIF('Elève (3ème5)'!IE11:IH11,"D"))*1))/(COUNTA(IE11:IH11)),"")</f>
        <v/>
      </c>
      <c r="IJ11" s="162" t="str">
        <f t="shared" si="72"/>
        <v/>
      </c>
      <c r="IK11" s="103" t="s">
        <v>28</v>
      </c>
      <c r="IL11" s="104" t="s">
        <v>28</v>
      </c>
      <c r="IM11" s="105" t="s">
        <v>27</v>
      </c>
      <c r="IN11" s="105" t="s">
        <v>27</v>
      </c>
      <c r="IO11" s="105"/>
      <c r="IP11" s="109"/>
      <c r="IQ11" s="161">
        <f>IFERROR((((COUNTIF('Elève (3ème5)'!IK11:IP11,"A"))*4)+((COUNTIF('Elève (3ème5)'!IK11:IP11,"B"))*3)+((COUNTIF('Elève (3ème5)'!IK11:IP11,"C"))*2)+((COUNTIF('Elève (3ème5)'!IK11:IP11,"D"))*1))/(COUNTA(IK11:IP11)),"")</f>
        <v>3.5</v>
      </c>
      <c r="IR11" s="162" t="str">
        <f t="shared" si="73"/>
        <v>B</v>
      </c>
      <c r="IS11" s="189">
        <f>IF(COUNT(IC11,II11,IQ11)=0,"",SUM(IC11,II11,IQ11)/COUNT(IC11,II11,IQ11))</f>
        <v>3.5</v>
      </c>
      <c r="IT11" s="186" t="str">
        <f t="shared" si="74"/>
        <v>B</v>
      </c>
      <c r="IU11" s="103" t="s">
        <v>29</v>
      </c>
      <c r="IV11" s="104" t="s">
        <v>29</v>
      </c>
      <c r="IW11" s="105"/>
      <c r="IX11" s="161">
        <f>IFERROR((((COUNTIF('Elève (3ème5)'!IU11:IW11,"A"))*4)+((COUNTIF('Elève (3ème5)'!IU11:IW11,"B"))*3)+((COUNTIF('Elève (3ème5)'!IU11:IW11,"C"))*2)+((COUNTIF('Elève (3ème5)'!IU11:IW11,"D"))*1))/(COUNTA(IU11:IW11)),"")</f>
        <v>2</v>
      </c>
      <c r="IY11" s="162" t="str">
        <f t="shared" si="75"/>
        <v>C</v>
      </c>
      <c r="IZ11" s="103"/>
      <c r="JA11" s="104"/>
      <c r="JB11" s="105"/>
      <c r="JC11" s="105"/>
      <c r="JD11" s="161" t="str">
        <f>IFERROR((((COUNTIF('Elève (3ème5)'!IZ11:JC11,"A"))*4)+((COUNTIF('Elève (3ème5)'!IZ11:JC11,"B"))*3)+((COUNTIF('Elève (3ème5)'!IZ11:JC11,"C"))*2)+((COUNTIF('Elève (3ème5)'!IZ11:JC11,"D"))*1))/(COUNTA(IZ11:JC11)),"")</f>
        <v/>
      </c>
      <c r="JE11" s="162" t="str">
        <f t="shared" si="76"/>
        <v/>
      </c>
      <c r="JF11" s="103" t="s">
        <v>28</v>
      </c>
      <c r="JG11" s="104" t="s">
        <v>28</v>
      </c>
      <c r="JH11" s="105" t="s">
        <v>27</v>
      </c>
      <c r="JI11" s="105" t="s">
        <v>27</v>
      </c>
      <c r="JJ11" s="105"/>
      <c r="JK11" s="109"/>
      <c r="JL11" s="161">
        <f>IFERROR((((COUNTIF('Elève (3ème5)'!JF11:JK11,"A"))*4)+((COUNTIF('Elève (3ème5)'!JF11:JK11,"B"))*3)+((COUNTIF('Elève (3ème5)'!JF11:JK11,"C"))*2)+((COUNTIF('Elève (3ème5)'!JF11:JK11,"D"))*1))/(COUNTA(JF11:JK11)),"")</f>
        <v>3.5</v>
      </c>
      <c r="JM11" s="162" t="str">
        <f t="shared" si="77"/>
        <v>B</v>
      </c>
      <c r="JN11" s="189">
        <f>IF(COUNT(IX11,JD11,JL11)=0,"",SUM(IX11,JD11,JL11)/COUNT(IX11,JD11,JL11))</f>
        <v>2.75</v>
      </c>
      <c r="JO11" s="186" t="str">
        <f t="shared" si="78"/>
        <v>C</v>
      </c>
      <c r="JP11" s="103" t="s">
        <v>28</v>
      </c>
      <c r="JQ11" s="104" t="s">
        <v>30</v>
      </c>
      <c r="JR11" s="105"/>
      <c r="JS11" s="161">
        <f>IFERROR((((COUNTIF('Elève (3ème5)'!JP11:JR11,"A"))*4)+((COUNTIF('Elève (3ème5)'!JP11:JR11,"B"))*3)+((COUNTIF('Elève (3ème5)'!JP11:JR11,"C"))*2)+((COUNTIF('Elève (3ème5)'!JP11:JR11,"D"))*1))/(COUNTA(JP11:JR11)),"")</f>
        <v>2</v>
      </c>
      <c r="JT11" s="162" t="str">
        <f t="shared" si="79"/>
        <v>C</v>
      </c>
      <c r="JU11" s="103"/>
      <c r="JV11" s="104"/>
      <c r="JW11" s="105"/>
      <c r="JX11" s="105"/>
      <c r="JY11" s="161" t="str">
        <f>IFERROR((((COUNTIF('Elève (3ème5)'!JU11:JX11,"A"))*4)+((COUNTIF('Elève (3ème5)'!JU11:JX11,"B"))*3)+((COUNTIF('Elève (3ème5)'!JU11:JX11,"C"))*2)+((COUNTIF('Elève (3ème5)'!JU11:JX11,"D"))*1))/(COUNTA(JU11:JX11)),"")</f>
        <v/>
      </c>
      <c r="JZ11" s="162" t="str">
        <f t="shared" si="80"/>
        <v/>
      </c>
      <c r="KA11" s="103" t="s">
        <v>27</v>
      </c>
      <c r="KB11" s="104" t="s">
        <v>28</v>
      </c>
      <c r="KC11" s="105" t="s">
        <v>27</v>
      </c>
      <c r="KD11" s="105" t="s">
        <v>27</v>
      </c>
      <c r="KE11" s="105"/>
      <c r="KF11" s="109"/>
      <c r="KG11" s="161">
        <f>IFERROR((((COUNTIF('Elève (3ème5)'!KA11:KF11,"A"))*4)+((COUNTIF('Elève (3ème5)'!KA11:KF11,"B"))*3)+((COUNTIF('Elève (3ème5)'!KA11:KF11,"C"))*2)+((COUNTIF('Elève (3ème5)'!KA11:KF11,"D"))*1))/(COUNTA(KA11:KF11)),"")</f>
        <v>3.75</v>
      </c>
      <c r="KH11" s="162" t="str">
        <f t="shared" si="81"/>
        <v>A</v>
      </c>
      <c r="KI11" s="189">
        <f>IF(COUNT(JS11,JY11,KG11)=0,"",SUM(JS11,JY11,KG11)/COUNT(JS11,JY11,KG11))</f>
        <v>2.875</v>
      </c>
      <c r="KJ11" s="186" t="str">
        <f t="shared" si="82"/>
        <v>B</v>
      </c>
      <c r="KK11" s="103" t="s">
        <v>28</v>
      </c>
      <c r="KL11" s="104" t="s">
        <v>30</v>
      </c>
      <c r="KM11" s="105"/>
      <c r="KN11" s="161">
        <f>IFERROR((((COUNTIF('Elève (3ème5)'!KK11:KM11,"A"))*4)+((COUNTIF('Elève (3ème5)'!KK11:KM11,"B"))*3)+((COUNTIF('Elève (3ème5)'!KK11:KM11,"C"))*2)+((COUNTIF('Elève (3ème5)'!KK11:KM11,"D"))*1))/(COUNTA(KK11:KM11)),"")</f>
        <v>2</v>
      </c>
      <c r="KO11" s="162" t="str">
        <f t="shared" si="83"/>
        <v>C</v>
      </c>
      <c r="KP11" s="103"/>
      <c r="KQ11" s="104"/>
      <c r="KR11" s="105"/>
      <c r="KS11" s="105"/>
      <c r="KT11" s="161" t="str">
        <f>IFERROR((((COUNTIF('Elève (3ème5)'!KP11:KS11,"A"))*4)+((COUNTIF('Elève (3ème5)'!KP11:KS11,"B"))*3)+((COUNTIF('Elève (3ème5)'!KP11:KS11,"C"))*2)+((COUNTIF('Elève (3ème5)'!KP11:KS11,"D"))*1))/(COUNTA(KP11:KS11)),"")</f>
        <v/>
      </c>
      <c r="KU11" s="162" t="str">
        <f t="shared" si="84"/>
        <v/>
      </c>
      <c r="KV11" s="103" t="s">
        <v>27</v>
      </c>
      <c r="KW11" s="104" t="s">
        <v>29</v>
      </c>
      <c r="KX11" s="105" t="s">
        <v>27</v>
      </c>
      <c r="KY11" s="105" t="s">
        <v>27</v>
      </c>
      <c r="KZ11" s="105"/>
      <c r="LA11" s="109"/>
      <c r="LB11" s="161">
        <f>IFERROR((((COUNTIF('Elève (3ème5)'!KV11:LA11,"A"))*4)+((COUNTIF('Elève (3ème5)'!KV11:LA11,"B"))*3)+((COUNTIF('Elève (3ème5)'!KV11:LA11,"C"))*2)+((COUNTIF('Elève (3ème5)'!KV11:LA11,"D"))*1))/(COUNTA(KV11:LA11)),"")</f>
        <v>3.5</v>
      </c>
      <c r="LC11" s="162" t="str">
        <f t="shared" si="85"/>
        <v>B</v>
      </c>
      <c r="LD11" s="189">
        <f>IF(COUNT(KN11,KT11,LB11)=0,"",SUM(KN11,KT11,LB11)/COUNT(KN11,KT11,LB11))</f>
        <v>2.75</v>
      </c>
      <c r="LE11" s="186" t="str">
        <f t="shared" si="86"/>
        <v>C</v>
      </c>
      <c r="LF11" s="103" t="s">
        <v>30</v>
      </c>
      <c r="LG11" s="104" t="s">
        <v>30</v>
      </c>
      <c r="LH11" s="105"/>
      <c r="LI11" s="161">
        <f>IFERROR((((COUNTIF('Elève (3ème5)'!LF11:LH11,"A"))*4)+((COUNTIF('Elève (3ème5)'!LF11:LH11,"B"))*3)+((COUNTIF('Elève (3ème5)'!LF11:LH11,"C"))*2)+((COUNTIF('Elève (3ème5)'!LF11:LH11,"D"))*1))/(COUNTA(LF11:LH11)),"")</f>
        <v>1</v>
      </c>
      <c r="LJ11" s="162" t="str">
        <f t="shared" si="87"/>
        <v>D</v>
      </c>
      <c r="LK11" s="103"/>
      <c r="LL11" s="104"/>
      <c r="LM11" s="105"/>
      <c r="LN11" s="105"/>
      <c r="LO11" s="161" t="str">
        <f>IFERROR((((COUNTIF('Elève (3ème5)'!LK11:LN11,"A"))*4)+((COUNTIF('Elève (3ème5)'!LK11:LN11,"B"))*3)+((COUNTIF('Elève (3ème5)'!LK11:LN11,"C"))*2)+((COUNTIF('Elève (3ème5)'!LK11:LN11,"D"))*1))/(COUNTA(LK11:LN11)),"")</f>
        <v/>
      </c>
      <c r="LP11" s="162" t="str">
        <f t="shared" si="88"/>
        <v/>
      </c>
      <c r="LQ11" s="103" t="s">
        <v>29</v>
      </c>
      <c r="LR11" s="104" t="s">
        <v>29</v>
      </c>
      <c r="LS11" s="105" t="s">
        <v>27</v>
      </c>
      <c r="LT11" s="105" t="s">
        <v>27</v>
      </c>
      <c r="LU11" s="105"/>
      <c r="LV11" s="109"/>
      <c r="LW11" s="161">
        <f>IFERROR((((COUNTIF('Elève (3ème5)'!LQ11:LV11,"A"))*4)+((COUNTIF('Elève (3ème5)'!LQ11:LV11,"B"))*3)+((COUNTIF('Elève (3ème5)'!LQ11:LV11,"C"))*2)+((COUNTIF('Elève (3ème5)'!LQ11:LV11,"D"))*1))/(COUNTA(LQ11:LV11)),"")</f>
        <v>3</v>
      </c>
      <c r="LX11" s="162" t="str">
        <f t="shared" si="89"/>
        <v>B</v>
      </c>
      <c r="LY11" s="189">
        <f>IF(COUNT(LI11,LO11,LW11)=0,"",SUM(LI11,LO11,LW11)/COUNT(LI11,LO11,LW11))</f>
        <v>2</v>
      </c>
      <c r="LZ11" s="186" t="str">
        <f t="shared" si="90"/>
        <v>C</v>
      </c>
      <c r="MA11" s="103" t="s">
        <v>29</v>
      </c>
      <c r="MB11" s="104" t="s">
        <v>30</v>
      </c>
      <c r="MC11" s="105"/>
      <c r="MD11" s="161">
        <f>IFERROR((((COUNTIF('Elève (3ème5)'!MA11:MC11,"A"))*4)+((COUNTIF('Elève (3ème5)'!MA11:MC11,"B"))*3)+((COUNTIF('Elève (3ème5)'!MA11:MC11,"C"))*2)+((COUNTIF('Elève (3ème5)'!MA11:MC11,"D"))*1))/(COUNTA(MA11:MC11)),"")</f>
        <v>1.5</v>
      </c>
      <c r="ME11" s="162" t="str">
        <f t="shared" si="91"/>
        <v>D</v>
      </c>
      <c r="MF11" s="103"/>
      <c r="MG11" s="104"/>
      <c r="MH11" s="105"/>
      <c r="MI11" s="105"/>
      <c r="MJ11" s="161" t="str">
        <f>IFERROR((((COUNTIF('Elève (3ème5)'!MF11:MI11,"A"))*4)+((COUNTIF('Elève (3ème5)'!MF11:MI11,"B"))*3)+((COUNTIF('Elève (3ème5)'!MF11:MI11,"C"))*2)+((COUNTIF('Elève (3ème5)'!MF11:MI11,"D"))*1))/(COUNTA(MF11:MI11)),"")</f>
        <v/>
      </c>
      <c r="MK11" s="162" t="str">
        <f t="shared" si="92"/>
        <v/>
      </c>
      <c r="ML11" s="103" t="s">
        <v>27</v>
      </c>
      <c r="MM11" s="104" t="s">
        <v>29</v>
      </c>
      <c r="MN11" s="105" t="s">
        <v>27</v>
      </c>
      <c r="MO11" s="105" t="s">
        <v>27</v>
      </c>
      <c r="MP11" s="105"/>
      <c r="MQ11" s="109"/>
      <c r="MR11" s="161">
        <f>IFERROR((((COUNTIF('Elève (3ème5)'!ML11:MQ11,"A"))*4)+((COUNTIF('Elève (3ème5)'!ML11:MQ11,"B"))*3)+((COUNTIF('Elève (3ème5)'!ML11:MQ11,"C"))*2)+((COUNTIF('Elève (3ème5)'!ML11:MQ11,"D"))*1))/(COUNTA(ML11:MQ11)),"")</f>
        <v>3.5</v>
      </c>
      <c r="MS11" s="162" t="str">
        <f t="shared" si="93"/>
        <v>B</v>
      </c>
      <c r="MT11" s="189">
        <f>IF(COUNT(MD11,MJ11,MR11)=0,"",SUM(MD11,MJ11,MR11)/COUNT(MD11,MJ11,MR11))</f>
        <v>2.5</v>
      </c>
      <c r="MU11" s="186" t="str">
        <f t="shared" si="94"/>
        <v>C</v>
      </c>
      <c r="MV11" s="103" t="s">
        <v>29</v>
      </c>
      <c r="MW11" s="104" t="s">
        <v>30</v>
      </c>
      <c r="MX11" s="105"/>
      <c r="MY11" s="161">
        <f>IFERROR((((COUNTIF('Elève (3ème5)'!MV11:MX11,"A"))*4)+((COUNTIF('Elève (3ème5)'!MV11:MX11,"B"))*3)+((COUNTIF('Elève (3ème5)'!MV11:MX11,"C"))*2)+((COUNTIF('Elève (3ème5)'!MV11:MX11,"D"))*1))/(COUNTA(MV11:MX11)),"")</f>
        <v>1.5</v>
      </c>
      <c r="MZ11" s="162" t="str">
        <f t="shared" si="95"/>
        <v>D</v>
      </c>
      <c r="NA11" s="103"/>
      <c r="NB11" s="104"/>
      <c r="NC11" s="105"/>
      <c r="ND11" s="105"/>
      <c r="NE11" s="161" t="str">
        <f>IFERROR((((COUNTIF('Elève (3ème5)'!NA11:ND11,"A"))*4)+((COUNTIF('Elève (3ème5)'!NA11:ND11,"B"))*3)+((COUNTIF('Elève (3ème5)'!NA11:ND11,"C"))*2)+((COUNTIF('Elève (3ème5)'!NA11:ND11,"D"))*1))/(COUNTA(NA11:ND11)),"")</f>
        <v/>
      </c>
      <c r="NF11" s="162" t="str">
        <f t="shared" si="96"/>
        <v/>
      </c>
      <c r="NG11" s="103" t="s">
        <v>27</v>
      </c>
      <c r="NH11" s="104" t="s">
        <v>28</v>
      </c>
      <c r="NI11" s="105" t="s">
        <v>27</v>
      </c>
      <c r="NJ11" s="105" t="s">
        <v>27</v>
      </c>
      <c r="NK11" s="105"/>
      <c r="NL11" s="109"/>
      <c r="NM11" s="161">
        <f>IFERROR((((COUNTIF('Elève (3ème5)'!NG11:NL11,"A"))*4)+((COUNTIF('Elève (3ème5)'!NG11:NL11,"B"))*3)+((COUNTIF('Elève (3ème5)'!NG11:NL11,"C"))*2)+((COUNTIF('Elève (3ème5)'!NG11:NL11,"D"))*1))/(COUNTA(NG11:NL11)),"")</f>
        <v>3.75</v>
      </c>
      <c r="NN11" s="162" t="str">
        <f t="shared" si="97"/>
        <v>A</v>
      </c>
      <c r="NO11" s="189">
        <f>IF(COUNT(MY11,NE11,NM11)=0,"",SUM(MY11,NE11,NM11)/COUNT(MY11,NE11,NM11))</f>
        <v>2.625</v>
      </c>
      <c r="NP11" s="186" t="str">
        <f t="shared" si="98"/>
        <v>C</v>
      </c>
      <c r="NQ11" s="103" t="s">
        <v>27</v>
      </c>
      <c r="NR11" s="104" t="s">
        <v>28</v>
      </c>
      <c r="NS11" s="105"/>
      <c r="NT11" s="161">
        <f>IFERROR((((COUNTIF('Elève (3ème5)'!NQ11:NS11,"A"))*4)+((COUNTIF('Elève (3ème5)'!NQ11:NS11,"B"))*3)+((COUNTIF('Elève (3ème5)'!NQ11:NS11,"C"))*2)+((COUNTIF('Elève (3ème5)'!NQ11:NS11,"D"))*1))/(COUNTA(NQ11:NS11)),"")</f>
        <v>3.5</v>
      </c>
      <c r="NU11" s="162" t="str">
        <f t="shared" si="99"/>
        <v>B</v>
      </c>
      <c r="NV11" s="103"/>
      <c r="NW11" s="104"/>
      <c r="NX11" s="105"/>
      <c r="NY11" s="105"/>
      <c r="NZ11" s="161" t="str">
        <f>IFERROR((((COUNTIF('Elève (3ème5)'!NV11:NY11,"A"))*4)+((COUNTIF('Elève (3ème5)'!NV11:NY11,"B"))*3)+((COUNTIF('Elève (3ème5)'!NV11:NY11,"C"))*2)+((COUNTIF('Elève (3ème5)'!NV11:NY11,"D"))*1))/(COUNTA(NV11:NY11)),"")</f>
        <v/>
      </c>
      <c r="OA11" s="162" t="str">
        <f t="shared" si="100"/>
        <v/>
      </c>
      <c r="OB11" s="103" t="s">
        <v>27</v>
      </c>
      <c r="OC11" s="104" t="s">
        <v>29</v>
      </c>
      <c r="OD11" s="105" t="s">
        <v>27</v>
      </c>
      <c r="OE11" s="105" t="s">
        <v>28</v>
      </c>
      <c r="OF11" s="105"/>
      <c r="OG11" s="109"/>
      <c r="OH11" s="161">
        <f>IFERROR((((COUNTIF('Elève (3ème5)'!OB11:OG11,"A"))*4)+((COUNTIF('Elève (3ème5)'!OB11:OG11,"B"))*3)+((COUNTIF('Elève (3ème5)'!OB11:OG11,"C"))*2)+((COUNTIF('Elève (3ème5)'!OB11:OG11,"D"))*1))/(COUNTA(OB11:OG11)),"")</f>
        <v>3.25</v>
      </c>
      <c r="OI11" s="162" t="str">
        <f t="shared" si="101"/>
        <v>B</v>
      </c>
      <c r="OJ11" s="189">
        <f>IF(COUNT(NT11,NZ11,OH11)=0,"",SUM(NT11,NZ11,OH11)/COUNT(NT11,NZ11,OH11))</f>
        <v>3.375</v>
      </c>
      <c r="OK11" s="186" t="str">
        <f t="shared" si="102"/>
        <v>B</v>
      </c>
      <c r="OL11" s="103" t="s">
        <v>28</v>
      </c>
      <c r="OM11" s="104" t="s">
        <v>30</v>
      </c>
      <c r="ON11" s="105"/>
      <c r="OO11" s="161">
        <f>IFERROR((((COUNTIF('Elève (3ème5)'!OL11:ON11,"A"))*4)+((COUNTIF('Elève (3ème5)'!OL11:ON11,"B"))*3)+((COUNTIF('Elève (3ème5)'!OL11:ON11,"C"))*2)+((COUNTIF('Elève (3ème5)'!OL11:ON11,"D"))*1))/(COUNTA(OL11:ON11)),"")</f>
        <v>2</v>
      </c>
      <c r="OP11" s="162" t="str">
        <f t="shared" si="103"/>
        <v>C</v>
      </c>
      <c r="OQ11" s="103"/>
      <c r="OR11" s="104"/>
      <c r="OS11" s="105"/>
      <c r="OT11" s="105"/>
      <c r="OU11" s="161" t="str">
        <f>IFERROR((((COUNTIF('Elève (3ème5)'!OQ11:OT11,"A"))*4)+((COUNTIF('Elève (3ème5)'!OQ11:OT11,"B"))*3)+((COUNTIF('Elève (3ème5)'!OQ11:OT11,"C"))*2)+((COUNTIF('Elève (3ème5)'!OQ11:OT11,"D"))*1))/(COUNTA(OQ11:OT11)),"")</f>
        <v/>
      </c>
      <c r="OV11" s="162" t="str">
        <f t="shared" si="104"/>
        <v/>
      </c>
      <c r="OW11" s="103" t="s">
        <v>27</v>
      </c>
      <c r="OX11" s="104" t="s">
        <v>29</v>
      </c>
      <c r="OY11" s="105"/>
      <c r="OZ11" s="105"/>
      <c r="PA11" s="105"/>
      <c r="PB11" s="109"/>
      <c r="PC11" s="161">
        <f>IFERROR((((COUNTIF('Elève (3ème5)'!OW11:PB11,"A"))*4)+((COUNTIF('Elève (3ème5)'!OW11:PB11,"B"))*3)+((COUNTIF('Elève (3ème5)'!OW11:PB11,"C"))*2)+((COUNTIF('Elève (3ème5)'!OW11:PB11,"D"))*1))/(COUNTA(OW11:PB11)),"")</f>
        <v>3</v>
      </c>
      <c r="PD11" s="162" t="str">
        <f t="shared" si="105"/>
        <v>B</v>
      </c>
      <c r="PE11" s="189">
        <f>IF(COUNT(OO11,OU11,PC11)=0,"",SUM(OO11,OU11,PC11)/COUNT(OO11,OU11,PC11))</f>
        <v>2.5</v>
      </c>
      <c r="PF11" s="186" t="str">
        <f t="shared" si="106"/>
        <v>C</v>
      </c>
      <c r="PG11" s="103" t="s">
        <v>30</v>
      </c>
      <c r="PH11" s="104" t="s">
        <v>30</v>
      </c>
      <c r="PI11" s="105"/>
      <c r="PJ11" s="161">
        <f>IFERROR((((COUNTIF('Elève (3ème5)'!PG11:PI11,"A"))*4)+((COUNTIF('Elève (3ème5)'!PG11:PI11,"B"))*3)+((COUNTIF('Elève (3ème5)'!PG11:PI11,"C"))*2)+((COUNTIF('Elève (3ème5)'!PG11:PI11,"D"))*1))/(COUNTA(PG11:PI11)),"")</f>
        <v>1</v>
      </c>
      <c r="PK11" s="162" t="str">
        <f t="shared" si="107"/>
        <v>D</v>
      </c>
      <c r="PL11" s="103"/>
      <c r="PM11" s="104"/>
      <c r="PN11" s="105"/>
      <c r="PO11" s="105"/>
      <c r="PP11" s="161" t="str">
        <f>IFERROR((((COUNTIF('Elève (3ème5)'!PL11:PO11,"A"))*4)+((COUNTIF('Elève (3ème5)'!PL11:PO11,"B"))*3)+((COUNTIF('Elève (3ème5)'!PL11:PO11,"C"))*2)+((COUNTIF('Elève (3ème5)'!PL11:PO11,"D"))*1))/(COUNTA(PL11:PO11)),"")</f>
        <v/>
      </c>
      <c r="PQ11" s="162" t="str">
        <f t="shared" si="108"/>
        <v/>
      </c>
      <c r="PR11" s="103" t="s">
        <v>28</v>
      </c>
      <c r="PS11" s="104" t="s">
        <v>29</v>
      </c>
      <c r="PT11" s="105" t="s">
        <v>27</v>
      </c>
      <c r="PU11" s="105" t="s">
        <v>27</v>
      </c>
      <c r="PV11" s="105"/>
      <c r="PW11" s="109"/>
      <c r="PX11" s="161">
        <f>IFERROR((((COUNTIF('Elève (3ème5)'!PR11:PW11,"A"))*4)+((COUNTIF('Elève (3ème5)'!PR11:PW11,"B"))*3)+((COUNTIF('Elève (3ème5)'!PR11:PW11,"C"))*2)+((COUNTIF('Elève (3ème5)'!PR11:PW11,"D"))*1))/(COUNTA(PR11:PW11)),"")</f>
        <v>3.25</v>
      </c>
      <c r="PY11" s="162" t="str">
        <f t="shared" si="109"/>
        <v>B</v>
      </c>
      <c r="PZ11" s="189">
        <f>IF(COUNT(PJ11,PP11,PX11)=0,"",SUM(PJ11,PP11,PX11)/COUNT(PJ11,PP11,PX11))</f>
        <v>2.125</v>
      </c>
      <c r="QA11" s="186" t="str">
        <f t="shared" si="110"/>
        <v>C</v>
      </c>
      <c r="QB11" s="103" t="s">
        <v>29</v>
      </c>
      <c r="QC11" s="104" t="s">
        <v>30</v>
      </c>
      <c r="QD11" s="105"/>
      <c r="QE11" s="161">
        <f>IFERROR((((COUNTIF('Elève (3ème5)'!QB11:QD11,"A"))*4)+((COUNTIF('Elève (3ème5)'!QB11:QD11,"B"))*3)+((COUNTIF('Elève (3ème5)'!QB11:QD11,"C"))*2)+((COUNTIF('Elève (3ème5)'!QB11:QD11,"D"))*1))/(COUNTA(QB11:QD11)),"")</f>
        <v>1.5</v>
      </c>
      <c r="QF11" s="162" t="str">
        <f t="shared" si="111"/>
        <v>D</v>
      </c>
      <c r="QG11" s="103"/>
      <c r="QH11" s="104"/>
      <c r="QI11" s="105"/>
      <c r="QJ11" s="105"/>
      <c r="QK11" s="161" t="str">
        <f>IFERROR((((COUNTIF('Elève (3ème5)'!QG11:QJ11,"A"))*4)+((COUNTIF('Elève (3ème5)'!QG11:QJ11,"B"))*3)+((COUNTIF('Elève (3ème5)'!QG11:QJ11,"C"))*2)+((COUNTIF('Elève (3ème5)'!QG11:QJ11,"D"))*1))/(COUNTA(QG11:QJ11)),"")</f>
        <v/>
      </c>
      <c r="QL11" s="162" t="str">
        <f t="shared" si="112"/>
        <v/>
      </c>
      <c r="QM11" s="103" t="s">
        <v>27</v>
      </c>
      <c r="QN11" s="104" t="s">
        <v>29</v>
      </c>
      <c r="QO11" s="105"/>
      <c r="QP11" s="105" t="s">
        <v>27</v>
      </c>
      <c r="QQ11" s="105"/>
      <c r="QR11" s="109"/>
      <c r="QS11" s="161">
        <f>IFERROR((((COUNTIF('Elève (3ème5)'!QM11:QR11,"A"))*4)+((COUNTIF('Elève (3ème5)'!QM11:QR11,"B"))*3)+((COUNTIF('Elève (3ème5)'!QM11:QR11,"C"))*2)+((COUNTIF('Elève (3ème5)'!QM11:QR11,"D"))*1))/(COUNTA(QM11:QR11)),"")</f>
        <v>3.3333333333333335</v>
      </c>
      <c r="QT11" s="162" t="str">
        <f t="shared" si="113"/>
        <v>B</v>
      </c>
      <c r="QU11" s="189">
        <f>IF(COUNT(QE11,QK11,QS11)=0,"",SUM(QE11,QK11,QS11)/COUNT(QE11,QK11,QS11))</f>
        <v>2.416666666666667</v>
      </c>
      <c r="QV11" s="186" t="str">
        <f t="shared" si="114"/>
        <v>C</v>
      </c>
      <c r="QW11" s="103" t="s">
        <v>27</v>
      </c>
      <c r="QX11" s="104" t="s">
        <v>28</v>
      </c>
      <c r="QY11" s="105"/>
      <c r="QZ11" s="161">
        <f>IFERROR((((COUNTIF('Elève (3ème5)'!QW11:QY11,"A"))*4)+((COUNTIF('Elève (3ème5)'!QW11:QY11,"B"))*3)+((COUNTIF('Elève (3ème5)'!QW11:QY11,"C"))*2)+((COUNTIF('Elève (3ème5)'!QW11:QY11,"D"))*1))/(COUNTA(QW11:QY11)),"")</f>
        <v>3.5</v>
      </c>
      <c r="RA11" s="162" t="str">
        <f t="shared" si="115"/>
        <v>B</v>
      </c>
      <c r="RB11" s="103"/>
      <c r="RC11" s="104"/>
      <c r="RD11" s="105"/>
      <c r="RE11" s="105"/>
      <c r="RF11" s="161" t="str">
        <f>IFERROR((((COUNTIF('Elève (3ème5)'!RB11:RE11,"A"))*4)+((COUNTIF('Elève (3ème5)'!RB11:RE11,"B"))*3)+((COUNTIF('Elève (3ème5)'!RB11:RE11,"C"))*2)+((COUNTIF('Elève (3ème5)'!RB11:RE11,"D"))*1))/(COUNTA(RB11:RE11)),"")</f>
        <v/>
      </c>
      <c r="RG11" s="162" t="str">
        <f t="shared" si="116"/>
        <v/>
      </c>
      <c r="RH11" s="103" t="s">
        <v>28</v>
      </c>
      <c r="RI11" s="104" t="s">
        <v>29</v>
      </c>
      <c r="RJ11" s="105" t="s">
        <v>27</v>
      </c>
      <c r="RK11" s="105" t="s">
        <v>27</v>
      </c>
      <c r="RL11" s="105"/>
      <c r="RM11" s="109"/>
      <c r="RN11" s="161">
        <f>IFERROR((((COUNTIF('Elève (3ème5)'!RH11:RM11,"A"))*4)+((COUNTIF('Elève (3ème5)'!RH11:RM11,"B"))*3)+((COUNTIF('Elève (3ème5)'!RH11:RM11,"C"))*2)+((COUNTIF('Elève (3ème5)'!RH11:RM11,"D"))*1))/(COUNTA(RH11:RM11)),"")</f>
        <v>3.25</v>
      </c>
      <c r="RO11" s="162" t="str">
        <f t="shared" si="117"/>
        <v>B</v>
      </c>
      <c r="RP11" s="189">
        <f>IF(COUNT(QZ11,RF11,RN11)=0,"",SUM(QZ11,RF11,RN11)/COUNT(QZ11,RF11,RN11))</f>
        <v>3.375</v>
      </c>
      <c r="RQ11" s="186" t="str">
        <f t="shared" si="118"/>
        <v>B</v>
      </c>
      <c r="RR11" s="103" t="s">
        <v>30</v>
      </c>
      <c r="RS11" s="104" t="s">
        <v>29</v>
      </c>
      <c r="RT11" s="105"/>
      <c r="RU11" s="161">
        <f>IFERROR((((COUNTIF('Elève (3ème5)'!RR11:RT11,"A"))*4)+((COUNTIF('Elève (3ème5)'!RR11:RT11,"B"))*3)+((COUNTIF('Elève (3ème5)'!RR11:RT11,"C"))*2)+((COUNTIF('Elève (3ème5)'!RR11:RT11,"D"))*1))/(COUNTA(RR11:RT11)),"")</f>
        <v>1.5</v>
      </c>
      <c r="RV11" s="162" t="str">
        <f t="shared" si="119"/>
        <v>D</v>
      </c>
      <c r="RW11" s="103"/>
      <c r="RX11" s="104"/>
      <c r="RY11" s="105"/>
      <c r="RZ11" s="105"/>
      <c r="SA11" s="161" t="str">
        <f>IFERROR((((COUNTIF('Elève (3ème5)'!RW11:RZ11,"A"))*4)+((COUNTIF('Elève (3ème5)'!RW11:RZ11,"B"))*3)+((COUNTIF('Elève (3ème5)'!RW11:RZ11,"C"))*2)+((COUNTIF('Elève (3ème5)'!RW11:RZ11,"D"))*1))/(COUNTA(RW11:RZ11)),"")</f>
        <v/>
      </c>
      <c r="SB11" s="162" t="str">
        <f t="shared" si="120"/>
        <v/>
      </c>
      <c r="SC11" s="103" t="s">
        <v>27</v>
      </c>
      <c r="SD11" s="104" t="s">
        <v>28</v>
      </c>
      <c r="SE11" s="105" t="s">
        <v>27</v>
      </c>
      <c r="SF11" s="105" t="s">
        <v>27</v>
      </c>
      <c r="SG11" s="105"/>
      <c r="SH11" s="109"/>
      <c r="SI11" s="161">
        <f>IFERROR((((COUNTIF('Elève (3ème5)'!SC11:SH11,"A"))*4)+((COUNTIF('Elève (3ème5)'!SC11:SH11,"B"))*3)+((COUNTIF('Elève (3ème5)'!SC11:SH11,"C"))*2)+((COUNTIF('Elève (3ème5)'!SC11:SH11,"D"))*1))/(COUNTA(SC11:SH11)),"")</f>
        <v>3.75</v>
      </c>
      <c r="SJ11" s="162" t="str">
        <f t="shared" si="121"/>
        <v>A</v>
      </c>
      <c r="SK11" s="189">
        <f>IF(COUNT(RU11,SA11,SI11)=0,"",SUM(RU11,SA11,SI11)/COUNT(RU11,SA11,SI11))</f>
        <v>2.625</v>
      </c>
      <c r="SL11" s="186" t="str">
        <f t="shared" si="122"/>
        <v>C</v>
      </c>
      <c r="SM11" s="103" t="s">
        <v>29</v>
      </c>
      <c r="SN11" s="104" t="s">
        <v>29</v>
      </c>
      <c r="SO11" s="105"/>
      <c r="SP11" s="161">
        <f>IFERROR((((COUNTIF('Elève (3ème5)'!SM11:SO11,"A"))*4)+((COUNTIF('Elève (3ème5)'!SM11:SO11,"B"))*3)+((COUNTIF('Elève (3ème5)'!SM11:SO11,"C"))*2)+((COUNTIF('Elève (3ème5)'!SM11:SO11,"D"))*1))/(COUNTA(SM11:SO11)),"")</f>
        <v>2</v>
      </c>
      <c r="SQ11" s="162" t="str">
        <f t="shared" si="123"/>
        <v>C</v>
      </c>
      <c r="SR11" s="103"/>
      <c r="SS11" s="104"/>
      <c r="ST11" s="105"/>
      <c r="SU11" s="105"/>
      <c r="SV11" s="161" t="str">
        <f>IFERROR((((COUNTIF('Elève (3ème5)'!SR11:SU11,"A"))*4)+((COUNTIF('Elève (3ème5)'!SR11:SU11,"B"))*3)+((COUNTIF('Elève (3ème5)'!SR11:SU11,"C"))*2)+((COUNTIF('Elève (3ème5)'!SR11:SU11,"D"))*1))/(COUNTA(SR11:SU11)),"")</f>
        <v/>
      </c>
      <c r="SW11" s="162" t="str">
        <f t="shared" si="124"/>
        <v/>
      </c>
      <c r="SX11" s="103" t="s">
        <v>28</v>
      </c>
      <c r="SY11" s="104" t="s">
        <v>27</v>
      </c>
      <c r="SZ11" s="105" t="s">
        <v>27</v>
      </c>
      <c r="TA11" s="105" t="s">
        <v>27</v>
      </c>
      <c r="TB11" s="105"/>
      <c r="TC11" s="109"/>
      <c r="TD11" s="161">
        <f>IFERROR((((COUNTIF('Elève (3ème5)'!SX11:TC11,"A"))*4)+((COUNTIF('Elève (3ème5)'!SX11:TC11,"B"))*3)+((COUNTIF('Elève (3ème5)'!SX11:TC11,"C"))*2)+((COUNTIF('Elève (3ème5)'!SX11:TC11,"D"))*1))/(COUNTA(SX11:TC11)),"")</f>
        <v>3.75</v>
      </c>
      <c r="TE11" s="162" t="str">
        <f t="shared" si="125"/>
        <v>A</v>
      </c>
      <c r="TF11" s="189">
        <f>IF(COUNT(SP11,SV11,TD11)=0,"",SUM(SP11,SV11,TD11)/COUNT(SP11,SV11,TD11))</f>
        <v>2.875</v>
      </c>
      <c r="TG11" s="186" t="str">
        <f t="shared" si="126"/>
        <v>B</v>
      </c>
      <c r="TH11" s="103" t="s">
        <v>27</v>
      </c>
      <c r="TI11" s="104" t="s">
        <v>30</v>
      </c>
      <c r="TJ11" s="105"/>
      <c r="TK11" s="161">
        <f>IFERROR((((COUNTIF('Elève (3ème5)'!TH11:TJ11,"A"))*4)+((COUNTIF('Elève (3ème5)'!TH11:TJ11,"B"))*3)+((COUNTIF('Elève (3ème5)'!TH11:TJ11,"C"))*2)+((COUNTIF('Elève (3ème5)'!TH11:TJ11,"D"))*1))/(COUNTA(TH11:TJ11)),"")</f>
        <v>2.5</v>
      </c>
      <c r="TL11" s="162" t="str">
        <f t="shared" si="127"/>
        <v>C</v>
      </c>
      <c r="TM11" s="103"/>
      <c r="TN11" s="104"/>
      <c r="TO11" s="105"/>
      <c r="TP11" s="105"/>
      <c r="TQ11" s="161" t="str">
        <f>IFERROR((((COUNTIF('Elève (3ème5)'!TM11:TP11,"A"))*4)+((COUNTIF('Elève (3ème5)'!TM11:TP11,"B"))*3)+((COUNTIF('Elève (3ème5)'!TM11:TP11,"C"))*2)+((COUNTIF('Elève (3ème5)'!TM11:TP11,"D"))*1))/(COUNTA(TM11:TP11)),"")</f>
        <v/>
      </c>
      <c r="TR11" s="162" t="str">
        <f t="shared" si="128"/>
        <v/>
      </c>
      <c r="TS11" s="103" t="s">
        <v>27</v>
      </c>
      <c r="TT11" s="104" t="s">
        <v>29</v>
      </c>
      <c r="TU11" s="105" t="s">
        <v>27</v>
      </c>
      <c r="TV11" s="105" t="s">
        <v>27</v>
      </c>
      <c r="TW11" s="105"/>
      <c r="TX11" s="109"/>
      <c r="TY11" s="161">
        <f>IFERROR((((COUNTIF('Elève (3ème5)'!TS11:TX11,"A"))*4)+((COUNTIF('Elève (3ème5)'!TS11:TX11,"B"))*3)+((COUNTIF('Elève (3ème5)'!TS11:TX11,"C"))*2)+((COUNTIF('Elève (3ème5)'!TS11:TX11,"D"))*1))/(COUNTA(TS11:TX11)),"")</f>
        <v>3.5</v>
      </c>
      <c r="TZ11" s="162" t="str">
        <f t="shared" si="129"/>
        <v>B</v>
      </c>
      <c r="UA11" s="189">
        <f>IF(COUNT(TK11,TQ11,TY11)=0,"",SUM(TK11,TQ11,TY11)/COUNT(TK11,TQ11,TY11))</f>
        <v>3</v>
      </c>
      <c r="UB11" s="186" t="str">
        <f t="shared" si="130"/>
        <v>B</v>
      </c>
      <c r="UC11" s="103" t="s">
        <v>27</v>
      </c>
      <c r="UD11" s="104" t="s">
        <v>28</v>
      </c>
      <c r="UE11" s="105"/>
      <c r="UF11" s="161">
        <f>IFERROR((((COUNTIF('Elève (3ème5)'!UC11:UE11,"A"))*4)+((COUNTIF('Elève (3ème5)'!UC11:UE11,"B"))*3)+((COUNTIF('Elève (3ème5)'!UC11:UE11,"C"))*2)+((COUNTIF('Elève (3ème5)'!UC11:UE11,"D"))*1))/(COUNTA(UC11:UE11)),"")</f>
        <v>3.5</v>
      </c>
      <c r="UG11" s="162" t="str">
        <f t="shared" si="131"/>
        <v>B</v>
      </c>
      <c r="UH11" s="103"/>
      <c r="UI11" s="104"/>
      <c r="UJ11" s="105"/>
      <c r="UK11" s="105"/>
      <c r="UL11" s="161" t="str">
        <f>IFERROR((((COUNTIF('Elève (3ème5)'!UH11:UK11,"A"))*4)+((COUNTIF('Elève (3ème5)'!UH11:UK11,"B"))*3)+((COUNTIF('Elève (3ème5)'!UH11:UK11,"C"))*2)+((COUNTIF('Elève (3ème5)'!UH11:UK11,"D"))*1))/(COUNTA(UH11:UK11)),"")</f>
        <v/>
      </c>
      <c r="UM11" s="162" t="str">
        <f t="shared" si="132"/>
        <v/>
      </c>
      <c r="UN11" s="103" t="s">
        <v>27</v>
      </c>
      <c r="UO11" s="104" t="s">
        <v>28</v>
      </c>
      <c r="UP11" s="105" t="s">
        <v>27</v>
      </c>
      <c r="UQ11" s="105" t="s">
        <v>27</v>
      </c>
      <c r="UR11" s="105"/>
      <c r="US11" s="109"/>
      <c r="UT11" s="161">
        <f>IFERROR((((COUNTIF('Elève (3ème5)'!UN11:US11,"A"))*4)+((COUNTIF('Elève (3ème5)'!UN11:US11,"B"))*3)+((COUNTIF('Elève (3ème5)'!UN11:US11,"C"))*2)+((COUNTIF('Elève (3ème5)'!UN11:US11,"D"))*1))/(COUNTA(UN11:US11)),"")</f>
        <v>3.75</v>
      </c>
      <c r="UU11" s="162" t="str">
        <f t="shared" si="133"/>
        <v>A</v>
      </c>
      <c r="UV11" s="189">
        <f>IF(COUNT(UF11,UL11,UT11)=0,"",SUM(UF11,UL11,UT11)/COUNT(UF11,UL11,UT11))</f>
        <v>3.625</v>
      </c>
      <c r="UW11" s="186" t="str">
        <f t="shared" si="134"/>
        <v>B</v>
      </c>
      <c r="UX11" s="103" t="s">
        <v>29</v>
      </c>
      <c r="UY11" s="104" t="s">
        <v>30</v>
      </c>
      <c r="UZ11" s="105"/>
      <c r="VA11" s="161">
        <f>IFERROR((((COUNTIF('Elève (3ème5)'!UX11:UZ11,"A"))*4)+((COUNTIF('Elève (3ème5)'!UX11:UZ11,"B"))*3)+((COUNTIF('Elève (3ème5)'!UX11:UZ11,"C"))*2)+((COUNTIF('Elève (3ème5)'!UX11:UZ11,"D"))*1))/(COUNTA(UX11:UZ11)),"")</f>
        <v>1.5</v>
      </c>
      <c r="VB11" s="162" t="str">
        <f t="shared" si="135"/>
        <v>D</v>
      </c>
      <c r="VC11" s="103"/>
      <c r="VD11" s="104"/>
      <c r="VE11" s="105"/>
      <c r="VF11" s="105"/>
      <c r="VG11" s="161" t="str">
        <f>IFERROR((((COUNTIF('Elève (3ème5)'!VC11:VF11,"A"))*4)+((COUNTIF('Elève (3ème5)'!VC11:VF11,"B"))*3)+((COUNTIF('Elève (3ème5)'!VC11:VF11,"C"))*2)+((COUNTIF('Elève (3ème5)'!VC11:VF11,"D"))*1))/(COUNTA(VC11:VF11)),"")</f>
        <v/>
      </c>
      <c r="VH11" s="162" t="str">
        <f t="shared" si="136"/>
        <v/>
      </c>
      <c r="VI11" s="103" t="s">
        <v>28</v>
      </c>
      <c r="VJ11" s="104" t="s">
        <v>28</v>
      </c>
      <c r="VK11" s="105" t="s">
        <v>27</v>
      </c>
      <c r="VL11" s="105" t="s">
        <v>27</v>
      </c>
      <c r="VM11" s="105"/>
      <c r="VN11" s="109"/>
      <c r="VO11" s="161">
        <f>IFERROR((((COUNTIF('Elève (3ème5)'!VI11:VN11,"A"))*4)+((COUNTIF('Elève (3ème5)'!VI11:VN11,"B"))*3)+((COUNTIF('Elève (3ème5)'!VI11:VN11,"C"))*2)+((COUNTIF('Elève (3ème5)'!VI11:VN11,"D"))*1))/(COUNTA(VI11:VN11)),"")</f>
        <v>3.5</v>
      </c>
      <c r="VP11" s="162" t="str">
        <f t="shared" si="137"/>
        <v>B</v>
      </c>
      <c r="VQ11" s="189">
        <f>IF(COUNT(VA11,VG11,VO11)=0,"",SUM(VA11,VG11,VO11)/COUNT(VA11,VG11,VO11))</f>
        <v>2.5</v>
      </c>
      <c r="VR11" s="186" t="str">
        <f t="shared" si="138"/>
        <v>C</v>
      </c>
      <c r="VS11" s="103"/>
      <c r="VT11" s="104"/>
      <c r="VU11" s="105"/>
      <c r="VV11" s="99" t="str">
        <f>IFERROR((((COUNTIF('Elève (3ème5)'!VS11:VU11,"A"))*4)+((COUNTIF('Elève (3ème5)'!VS11:VU11,"B"))*3)+((COUNTIF('Elève (3ème5)'!VS11:VU11,"C"))*2)+((COUNTIF('Elève (3ème5)'!VS11:VU11,"D"))*1))/(COUNTA(VS11:VU11)),"")</f>
        <v/>
      </c>
      <c r="VW11" s="100" t="str">
        <f t="shared" si="139"/>
        <v/>
      </c>
      <c r="VX11" s="103"/>
      <c r="VY11" s="104"/>
      <c r="VZ11" s="105"/>
      <c r="WA11" s="99" t="str">
        <f>IFERROR((((COUNTIF('Elève (3ème5)'!VX11:VZ11,"A"))*4)+((COUNTIF('Elève (3ème5)'!VX11:VZ11,"B"))*3)+((COUNTIF('Elève (3ème5)'!VX11:VZ11,"C"))*2)+((COUNTIF('Elève (3ème5)'!VX11:VZ11,"D"))*1))/(COUNTA(VX11:VZ11)),"")</f>
        <v/>
      </c>
      <c r="WB11" s="100" t="str">
        <f t="shared" si="140"/>
        <v/>
      </c>
      <c r="WC11" s="103"/>
      <c r="WD11" s="104"/>
      <c r="WE11" s="109"/>
      <c r="WF11" s="99" t="str">
        <f>IFERROR((((COUNTIF('Elève (3ème5)'!WC11:WE11,"A"))*4)+((COUNTIF('Elève (3ème5)'!WC11:WE11,"B"))*3)+((COUNTIF('Elève (3ème5)'!WC11:WE11,"C"))*2)+((COUNTIF('Elève (3ème5)'!WC11:WE11,"D"))*1))/(COUNTA(WC11:WE11)),"")</f>
        <v/>
      </c>
      <c r="WG11" s="100" t="str">
        <f t="shared" si="141"/>
        <v/>
      </c>
      <c r="WH11" s="119" t="str">
        <f>IF(COUNT(VV11,WA11,WF11)=0,"",SUM(VV11,WA11,WF11)/COUNT(VV11,WA11,WF11))</f>
        <v/>
      </c>
      <c r="WI11" s="101" t="str">
        <f t="shared" si="142"/>
        <v/>
      </c>
      <c r="WJ11" s="103"/>
      <c r="WK11" s="104"/>
      <c r="WL11" s="105"/>
      <c r="WM11" s="99" t="str">
        <f>IFERROR((((COUNTIF('Elève (3ème5)'!WJ11:WL11,"A"))*4)+((COUNTIF('Elève (3ème5)'!WJ11:WL11,"B"))*3)+((COUNTIF('Elève (3ème5)'!WJ11:WL11,"C"))*2)+((COUNTIF('Elève (3ème5)'!WJ11:WL11,"D"))*1))/(COUNTA(WJ11:WL11)),"")</f>
        <v/>
      </c>
      <c r="WN11" s="100" t="str">
        <f t="shared" si="143"/>
        <v/>
      </c>
      <c r="WO11" s="103"/>
      <c r="WP11" s="104"/>
      <c r="WQ11" s="105"/>
      <c r="WR11" s="99" t="str">
        <f>IFERROR((((COUNTIF('Elève (3ème5)'!WO11:WQ11,"A"))*4)+((COUNTIF('Elève (3ème5)'!WO11:WQ11,"B"))*3)+((COUNTIF('Elève (3ème5)'!WO11:WQ11,"C"))*2)+((COUNTIF('Elève (3ème5)'!WO11:WQ11,"D"))*1))/(COUNTA(WO11:WQ11)),"")</f>
        <v/>
      </c>
      <c r="WS11" s="100" t="str">
        <f t="shared" si="144"/>
        <v/>
      </c>
      <c r="WT11" s="103"/>
      <c r="WU11" s="104"/>
      <c r="WV11" s="109"/>
      <c r="WW11" s="99" t="str">
        <f>IFERROR((((COUNTIF('Elève (3ème5)'!WT11:WV11,"A"))*4)+((COUNTIF('Elève (3ème5)'!WT11:WV11,"B"))*3)+((COUNTIF('Elève (3ème5)'!WT11:WV11,"C"))*2)+((COUNTIF('Elève (3ème5)'!WT11:WV11,"D"))*1))/(COUNTA(WT11:WV11)),"")</f>
        <v/>
      </c>
      <c r="WX11" s="100" t="str">
        <f t="shared" si="145"/>
        <v/>
      </c>
      <c r="WY11" s="119" t="str">
        <f>IF(COUNT(WM11,WR11,WW11)=0,"",SUM(WM11,WR11,WW11)/COUNT(WM11,WR11,WW11))</f>
        <v/>
      </c>
      <c r="WZ11" s="101" t="str">
        <f t="shared" si="146"/>
        <v/>
      </c>
    </row>
    <row r="12" spans="1:624" ht="18" customHeight="1" thickBot="1" x14ac:dyDescent="0.6">
      <c r="A12" s="215" t="s">
        <v>48</v>
      </c>
      <c r="B12" s="216"/>
      <c r="C12" s="110" t="s">
        <v>29</v>
      </c>
      <c r="D12" s="111"/>
      <c r="E12" s="112"/>
      <c r="F12" s="165">
        <f>IFERROR((((COUNTIF('Elève (3ème5)'!C12:E12,"A"))*4)+((COUNTIF('Elève (3ème5)'!C12:E12,"B"))*3)+((COUNTIF('Elève (3ème5)'!C12:E12,"C"))*2)+((COUNTIF('Elève (3ème5)'!C12:E12,"D"))*1))/(COUNTA(C12:E12)),"")</f>
        <v>2</v>
      </c>
      <c r="G12" s="166" t="str">
        <f t="shared" si="27"/>
        <v>C</v>
      </c>
      <c r="H12" s="110"/>
      <c r="I12" s="111"/>
      <c r="J12" s="112"/>
      <c r="K12" s="112"/>
      <c r="L12" s="165" t="str">
        <f>IFERROR((((COUNTIF('Elève (3ème5)'!H12:K12,"A"))*4)+((COUNTIF('Elève (3ème5)'!H12:K12,"B"))*3)+((COUNTIF('Elève (3ème5)'!H12:K12,"C"))*2)+((COUNTIF('Elève (3ème5)'!H12:K12,"D"))*1))/(COUNTA(H12:K12)),"")</f>
        <v/>
      </c>
      <c r="M12" s="166" t="str">
        <f t="shared" si="28"/>
        <v/>
      </c>
      <c r="N12" s="110"/>
      <c r="O12" s="111"/>
      <c r="P12" s="112"/>
      <c r="Q12" s="112"/>
      <c r="R12" s="112"/>
      <c r="S12" s="112"/>
      <c r="T12" s="165" t="str">
        <f>IFERROR((((COUNTIF('Elève (3ème5)'!N12:S12,"A"))*4)+((COUNTIF('Elève (3ème5)'!N12:S12,"B"))*3)+((COUNTIF('Elève (3ème5)'!N12:S12,"C"))*2)+((COUNTIF('Elève (3ème5)'!N12:S12,"D"))*1))/(COUNTA(N12:S12)),"")</f>
        <v/>
      </c>
      <c r="U12" s="166" t="str">
        <f t="shared" si="29"/>
        <v/>
      </c>
      <c r="V12" s="165">
        <f>IF(COUNT(F12,L12,T12)=0,"",SUM(F12,L12,T12)/COUNT(F12,L12,T12))</f>
        <v>2</v>
      </c>
      <c r="W12" s="188" t="str">
        <f t="shared" si="30"/>
        <v>C</v>
      </c>
      <c r="X12" s="110" t="s">
        <v>29</v>
      </c>
      <c r="Y12" s="111"/>
      <c r="Z12" s="112"/>
      <c r="AA12" s="165">
        <f>IFERROR((((COUNTIF('Elève (3ème5)'!X12:Z12,"A"))*4)+((COUNTIF('Elève (3ème5)'!X12:Z12,"B"))*3)+((COUNTIF('Elève (3ème5)'!X12:Z12,"C"))*2)+((COUNTIF('Elève (3ème5)'!X12:Z12,"D"))*1))/(COUNTA(X12:Z12)),"")</f>
        <v>2</v>
      </c>
      <c r="AB12" s="166" t="str">
        <f t="shared" si="31"/>
        <v>C</v>
      </c>
      <c r="AC12" s="110"/>
      <c r="AD12" s="111"/>
      <c r="AE12" s="112"/>
      <c r="AF12" s="112"/>
      <c r="AG12" s="165" t="str">
        <f>IFERROR((((COUNTIF('Elève (3ème5)'!AC12:AF12,"A"))*4)+((COUNTIF('Elève (3ème5)'!AC12:AF12,"B"))*3)+((COUNTIF('Elève (3ème5)'!AC12:AF12,"C"))*2)+((COUNTIF('Elève (3ème5)'!AC12:AF12,"D"))*1))/(COUNTA(AC12:AF12)),"")</f>
        <v/>
      </c>
      <c r="AH12" s="166" t="str">
        <f t="shared" si="32"/>
        <v/>
      </c>
      <c r="AI12" s="110"/>
      <c r="AJ12" s="111"/>
      <c r="AK12" s="112"/>
      <c r="AL12" s="112"/>
      <c r="AM12" s="112"/>
      <c r="AN12" s="116"/>
      <c r="AO12" s="165" t="str">
        <f>IFERROR((((COUNTIF('Elève (3ème5)'!AI12:AN12,"A"))*4)+((COUNTIF('Elève (3ème5)'!AI12:AN12,"B"))*3)+((COUNTIF('Elève (3ème5)'!AI12:AN12,"C"))*2)+((COUNTIF('Elève (3ème5)'!AI12:AN12,"D"))*1))/(COUNTA(AI12:AN12)),"")</f>
        <v/>
      </c>
      <c r="AP12" s="166" t="str">
        <f t="shared" si="33"/>
        <v/>
      </c>
      <c r="AQ12" s="165">
        <f>IF(COUNT(AA12,AG12,AO12)=0,"",SUM(AA12,AG12,AO12)/COUNT(AA12,AG12,AO12))</f>
        <v>2</v>
      </c>
      <c r="AR12" s="188" t="str">
        <f t="shared" si="34"/>
        <v>C</v>
      </c>
      <c r="AS12" s="110" t="s">
        <v>27</v>
      </c>
      <c r="AT12" s="111"/>
      <c r="AU12" s="112"/>
      <c r="AV12" s="165">
        <f>IFERROR((((COUNTIF('Elève (3ème5)'!AS12:AU12,"A"))*4)+((COUNTIF('Elève (3ème5)'!AS12:AU12,"B"))*3)+((COUNTIF('Elève (3ème5)'!AS12:AU12,"C"))*2)+((COUNTIF('Elève (3ème5)'!AS12:AU12,"D"))*1))/(COUNTA(AS12:AU12)),"")</f>
        <v>4</v>
      </c>
      <c r="AW12" s="166" t="str">
        <f t="shared" si="35"/>
        <v>A</v>
      </c>
      <c r="AX12" s="110"/>
      <c r="AY12" s="111"/>
      <c r="AZ12" s="112"/>
      <c r="BA12" s="112"/>
      <c r="BB12" s="165" t="str">
        <f>IFERROR((((COUNTIF('Elève (3ème5)'!AX12:BA12,"A"))*4)+((COUNTIF('Elève (3ème5)'!AX12:BA12,"B"))*3)+((COUNTIF('Elève (3ème5)'!AX12:BA12,"C"))*2)+((COUNTIF('Elève (3ème5)'!AX12:BA12,"D"))*1))/(COUNTA(AX12:BA12)),"")</f>
        <v/>
      </c>
      <c r="BC12" s="166" t="str">
        <f t="shared" si="36"/>
        <v/>
      </c>
      <c r="BD12" s="110"/>
      <c r="BE12" s="111"/>
      <c r="BF12" s="112"/>
      <c r="BG12" s="112"/>
      <c r="BH12" s="112"/>
      <c r="BI12" s="116"/>
      <c r="BJ12" s="165" t="str">
        <f>IFERROR((((COUNTIF('Elève (3ème5)'!BD12:BI12,"A"))*4)+((COUNTIF('Elève (3ème5)'!BD12:BI12,"B"))*3)+((COUNTIF('Elève (3ème5)'!BD12:BI12,"C"))*2)+((COUNTIF('Elève (3ème5)'!BD12:BI12,"D"))*1))/(COUNTA(BD12:BI12)),"")</f>
        <v/>
      </c>
      <c r="BK12" s="166" t="str">
        <f t="shared" si="37"/>
        <v/>
      </c>
      <c r="BL12" s="165">
        <f>IF(COUNT(AV12,BB12,BJ12)=0,"",SUM(AV12,BB12,BJ12)/COUNT(AV12,BB12,BJ12))</f>
        <v>4</v>
      </c>
      <c r="BM12" s="188" t="str">
        <f t="shared" si="38"/>
        <v>A</v>
      </c>
      <c r="BN12" s="110" t="s">
        <v>29</v>
      </c>
      <c r="BO12" s="111"/>
      <c r="BP12" s="112"/>
      <c r="BQ12" s="165">
        <f>IFERROR((((COUNTIF('Elève (3ème5)'!BN12:BP12,"A"))*4)+((COUNTIF('Elève (3ème5)'!BN12:BP12,"B"))*3)+((COUNTIF('Elève (3ème5)'!BN12:BP12,"C"))*2)+((COUNTIF('Elève (3ème5)'!BN12:BP12,"D"))*1))/(COUNTA(BN12:BP12)),"")</f>
        <v>2</v>
      </c>
      <c r="BR12" s="166" t="str">
        <f t="shared" si="39"/>
        <v>C</v>
      </c>
      <c r="BS12" s="110"/>
      <c r="BT12" s="111"/>
      <c r="BU12" s="112"/>
      <c r="BV12" s="112"/>
      <c r="BW12" s="165" t="str">
        <f>IFERROR((((COUNTIF('Elève (3ème5)'!BS12:BV12,"A"))*4)+((COUNTIF('Elève (3ème5)'!BS12:BV12,"B"))*3)+((COUNTIF('Elève (3ème5)'!BS12:BV12,"C"))*2)+((COUNTIF('Elève (3ème5)'!BS12:BV12,"D"))*1))/(COUNTA(BS12:BV12)),"")</f>
        <v/>
      </c>
      <c r="BX12" s="166" t="str">
        <f t="shared" si="40"/>
        <v/>
      </c>
      <c r="BY12" s="110"/>
      <c r="BZ12" s="111"/>
      <c r="CA12" s="112"/>
      <c r="CB12" s="112"/>
      <c r="CC12" s="112"/>
      <c r="CD12" s="116"/>
      <c r="CE12" s="165" t="str">
        <f>IFERROR((((COUNTIF('Elève (3ème5)'!BY12:CD12,"A"))*4)+((COUNTIF('Elève (3ème5)'!BY12:CD12,"B"))*3)+((COUNTIF('Elève (3ème5)'!BY12:CD12,"C"))*2)+((COUNTIF('Elève (3ème5)'!BY12:CD12,"D"))*1))/(COUNTA(BY12:CD12)),"")</f>
        <v/>
      </c>
      <c r="CF12" s="166" t="str">
        <f t="shared" si="41"/>
        <v/>
      </c>
      <c r="CG12" s="165">
        <f>IF(COUNT(BQ12,BW12,CE12)=0,"",SUM(BQ12,BW12,CE12)/COUNT(BQ12,BW12,CE12))</f>
        <v>2</v>
      </c>
      <c r="CH12" s="188" t="str">
        <f t="shared" si="42"/>
        <v>C</v>
      </c>
      <c r="CI12" s="110" t="s">
        <v>27</v>
      </c>
      <c r="CJ12" s="111"/>
      <c r="CK12" s="112"/>
      <c r="CL12" s="165">
        <f>IFERROR((((COUNTIF('Elève (3ème5)'!CI12:CK12,"A"))*4)+((COUNTIF('Elève (3ème5)'!CI12:CK12,"B"))*3)+((COUNTIF('Elève (3ème5)'!CI12:CK12,"C"))*2)+((COUNTIF('Elève (3ème5)'!CI12:CK12,"D"))*1))/(COUNTA(CI12:CK12)),"")</f>
        <v>4</v>
      </c>
      <c r="CM12" s="166" t="str">
        <f t="shared" si="43"/>
        <v>A</v>
      </c>
      <c r="CN12" s="110"/>
      <c r="CO12" s="111"/>
      <c r="CP12" s="112"/>
      <c r="CQ12" s="112"/>
      <c r="CR12" s="165" t="str">
        <f>IFERROR((((COUNTIF('Elève (3ème5)'!CN12:CQ12,"A"))*4)+((COUNTIF('Elève (3ème5)'!CN12:CQ12,"B"))*3)+((COUNTIF('Elève (3ème5)'!CN12:CQ12,"C"))*2)+((COUNTIF('Elève (3ème5)'!CN12:CQ12,"D"))*1))/(COUNTA(CN12:CQ12)),"")</f>
        <v/>
      </c>
      <c r="CS12" s="166" t="str">
        <f t="shared" si="44"/>
        <v/>
      </c>
      <c r="CT12" s="110"/>
      <c r="CU12" s="111"/>
      <c r="CV12" s="112"/>
      <c r="CW12" s="112"/>
      <c r="CX12" s="112"/>
      <c r="CY12" s="116"/>
      <c r="CZ12" s="165" t="str">
        <f>IFERROR((((COUNTIF('Elève (3ème5)'!CT12:CY12,"A"))*4)+((COUNTIF('Elève (3ème5)'!CT12:CY12,"B"))*3)+((COUNTIF('Elève (3ème5)'!CT12:CY12,"C"))*2)+((COUNTIF('Elève (3ème5)'!CT12:CY12,"D"))*1))/(COUNTA(CT12:CY12)),"")</f>
        <v/>
      </c>
      <c r="DA12" s="166" t="str">
        <f t="shared" si="45"/>
        <v/>
      </c>
      <c r="DB12" s="165">
        <f>IF(COUNT(CL12,CR12,CZ12)=0,"",SUM(CL12,CR12,CZ12)/COUNT(CL12,CR12,CZ12))</f>
        <v>4</v>
      </c>
      <c r="DC12" s="188" t="str">
        <f t="shared" si="46"/>
        <v>A</v>
      </c>
      <c r="DD12" s="110" t="s">
        <v>27</v>
      </c>
      <c r="DE12" s="111"/>
      <c r="DF12" s="112"/>
      <c r="DG12" s="165">
        <f>IFERROR((((COUNTIF('Elève (3ème5)'!DD12:DF12,"A"))*4)+((COUNTIF('Elève (3ème5)'!DD12:DF12,"B"))*3)+((COUNTIF('Elève (3ème5)'!DD12:DF12,"C"))*2)+((COUNTIF('Elève (3ème5)'!DD12:DF12,"D"))*1))/(COUNTA(DD12:DF12)),"")</f>
        <v>4</v>
      </c>
      <c r="DH12" s="166" t="str">
        <f t="shared" si="47"/>
        <v>A</v>
      </c>
      <c r="DI12" s="110"/>
      <c r="DJ12" s="111"/>
      <c r="DK12" s="112"/>
      <c r="DL12" s="112"/>
      <c r="DM12" s="165" t="str">
        <f>IFERROR((((COUNTIF('Elève (3ème5)'!DI12:DL12,"A"))*4)+((COUNTIF('Elève (3ème5)'!DI12:DL12,"B"))*3)+((COUNTIF('Elève (3ème5)'!DI12:DL12,"C"))*2)+((COUNTIF('Elève (3ème5)'!DI12:DL12,"D"))*1))/(COUNTA(DI12:DL12)),"")</f>
        <v/>
      </c>
      <c r="DN12" s="166" t="str">
        <f t="shared" si="48"/>
        <v/>
      </c>
      <c r="DO12" s="110"/>
      <c r="DP12" s="111"/>
      <c r="DQ12" s="112"/>
      <c r="DR12" s="112"/>
      <c r="DS12" s="112"/>
      <c r="DT12" s="116"/>
      <c r="DU12" s="165" t="str">
        <f>IFERROR((((COUNTIF('Elève (3ème5)'!DO12:DT12,"A"))*4)+((COUNTIF('Elève (3ème5)'!DO12:DT12,"B"))*3)+((COUNTIF('Elève (3ème5)'!DO12:DT12,"C"))*2)+((COUNTIF('Elève (3ème5)'!DO12:DT12,"D"))*1))/(COUNTA(DO12:DT12)),"")</f>
        <v/>
      </c>
      <c r="DV12" s="166" t="str">
        <f t="shared" si="49"/>
        <v/>
      </c>
      <c r="DW12" s="165">
        <f>IF(COUNT(DG12,DM12,DU12)=0,"",SUM(DG12,DM12,DU12)/COUNT(DG12,DM12,DU12))</f>
        <v>4</v>
      </c>
      <c r="DX12" s="188" t="str">
        <f t="shared" si="50"/>
        <v>A</v>
      </c>
      <c r="DY12" s="110" t="s">
        <v>27</v>
      </c>
      <c r="DZ12" s="111"/>
      <c r="EA12" s="112"/>
      <c r="EB12" s="165">
        <f>IFERROR((((COUNTIF('Elève (3ème5)'!DY12:EA12,"A"))*4)+((COUNTIF('Elève (3ème5)'!DY12:EA12,"B"))*3)+((COUNTIF('Elève (3ème5)'!DY12:EA12,"C"))*2)+((COUNTIF('Elève (3ème5)'!DY12:EA12,"D"))*1))/(COUNTA(DY12:EA12)),"")</f>
        <v>4</v>
      </c>
      <c r="EC12" s="166" t="str">
        <f t="shared" si="51"/>
        <v>A</v>
      </c>
      <c r="ED12" s="110"/>
      <c r="EE12" s="111"/>
      <c r="EF12" s="112"/>
      <c r="EG12" s="112"/>
      <c r="EH12" s="165" t="str">
        <f>IFERROR((((COUNTIF('Elève (3ème5)'!ED12:EG12,"A"))*4)+((COUNTIF('Elève (3ème5)'!ED12:EG12,"B"))*3)+((COUNTIF('Elève (3ème5)'!ED12:EG12,"C"))*2)+((COUNTIF('Elève (3ème5)'!ED12:EG12,"D"))*1))/(COUNTA(ED12:EG12)),"")</f>
        <v/>
      </c>
      <c r="EI12" s="166" t="str">
        <f t="shared" si="52"/>
        <v/>
      </c>
      <c r="EJ12" s="110"/>
      <c r="EK12" s="111"/>
      <c r="EL12" s="112"/>
      <c r="EM12" s="112"/>
      <c r="EN12" s="112"/>
      <c r="EO12" s="116"/>
      <c r="EP12" s="165" t="str">
        <f>IFERROR((((COUNTIF('Elève (3ème5)'!EJ12:EO12,"A"))*4)+((COUNTIF('Elève (3ème5)'!EJ12:EO12,"B"))*3)+((COUNTIF('Elève (3ème5)'!EJ12:EO12,"C"))*2)+((COUNTIF('Elève (3ème5)'!EJ12:EO12,"D"))*1))/(COUNTA(EJ12:EO12)),"")</f>
        <v/>
      </c>
      <c r="EQ12" s="166" t="str">
        <f t="shared" si="53"/>
        <v/>
      </c>
      <c r="ER12" s="165">
        <f>IF(COUNT(EB12,EH12,EP12)=0,"",SUM(EB12,EH12,EP12)/COUNT(EB12,EH12,EP12))</f>
        <v>4</v>
      </c>
      <c r="ES12" s="188" t="str">
        <f t="shared" si="54"/>
        <v>A</v>
      </c>
      <c r="ET12" s="110" t="s">
        <v>30</v>
      </c>
      <c r="EU12" s="111"/>
      <c r="EV12" s="112"/>
      <c r="EW12" s="165">
        <f>IFERROR((((COUNTIF('Elève (3ème5)'!ET12:EV12,"A"))*4)+((COUNTIF('Elève (3ème5)'!ET12:EV12,"B"))*3)+((COUNTIF('Elève (3ème5)'!ET12:EV12,"C"))*2)+((COUNTIF('Elève (3ème5)'!ET12:EV12,"D"))*1))/(COUNTA(ET12:EV12)),"")</f>
        <v>1</v>
      </c>
      <c r="EX12" s="166" t="str">
        <f t="shared" si="55"/>
        <v>D</v>
      </c>
      <c r="EY12" s="110"/>
      <c r="EZ12" s="111"/>
      <c r="FA12" s="112"/>
      <c r="FB12" s="112"/>
      <c r="FC12" s="165" t="str">
        <f>IFERROR((((COUNTIF('Elève (3ème5)'!EY12:FB12,"A"))*4)+((COUNTIF('Elève (3ème5)'!EY12:FB12,"B"))*3)+((COUNTIF('Elève (3ème5)'!EY12:FB12,"C"))*2)+((COUNTIF('Elève (3ème5)'!EY12:FB12,"D"))*1))/(COUNTA(EY12:FB12)),"")</f>
        <v/>
      </c>
      <c r="FD12" s="166" t="str">
        <f t="shared" si="56"/>
        <v/>
      </c>
      <c r="FE12" s="110"/>
      <c r="FF12" s="111"/>
      <c r="FG12" s="112"/>
      <c r="FH12" s="112"/>
      <c r="FI12" s="112"/>
      <c r="FJ12" s="116"/>
      <c r="FK12" s="165" t="str">
        <f>IFERROR((((COUNTIF('Elève (3ème5)'!FE12:FJ12,"A"))*4)+((COUNTIF('Elève (3ème5)'!FE12:FJ12,"B"))*3)+((COUNTIF('Elève (3ème5)'!FE12:FJ12,"C"))*2)+((COUNTIF('Elève (3ème5)'!FE12:FJ12,"D"))*1))/(COUNTA(FE12:FJ12)),"")</f>
        <v/>
      </c>
      <c r="FL12" s="166" t="str">
        <f t="shared" si="57"/>
        <v/>
      </c>
      <c r="FM12" s="165">
        <f>IF(COUNT(EW12,FC12,FK12)=0,"",SUM(EW12,FC12,FK12)/COUNT(EW12,FC12,FK12))</f>
        <v>1</v>
      </c>
      <c r="FN12" s="188" t="str">
        <f t="shared" si="58"/>
        <v>D</v>
      </c>
      <c r="FO12" s="110" t="s">
        <v>28</v>
      </c>
      <c r="FP12" s="111"/>
      <c r="FQ12" s="112"/>
      <c r="FR12" s="165">
        <f>IFERROR((((COUNTIF('Elève (3ème5)'!FO12:FQ12,"A"))*4)+((COUNTIF('Elève (3ème5)'!FO12:FQ12,"B"))*3)+((COUNTIF('Elève (3ème5)'!FO12:FQ12,"C"))*2)+((COUNTIF('Elève (3ème5)'!FO12:FQ12,"D"))*1))/(COUNTA(FO12:FQ12)),"")</f>
        <v>3</v>
      </c>
      <c r="FS12" s="166" t="str">
        <f t="shared" si="59"/>
        <v>B</v>
      </c>
      <c r="FT12" s="110"/>
      <c r="FU12" s="111"/>
      <c r="FV12" s="112"/>
      <c r="FW12" s="112"/>
      <c r="FX12" s="165" t="str">
        <f>IFERROR((((COUNTIF('Elève (3ème5)'!FT12:FW12,"A"))*4)+((COUNTIF('Elève (3ème5)'!FT12:FW12,"B"))*3)+((COUNTIF('Elève (3ème5)'!FT12:FW12,"C"))*2)+((COUNTIF('Elève (3ème5)'!FT12:FW12,"D"))*1))/(COUNTA(FT12:FW12)),"")</f>
        <v/>
      </c>
      <c r="FY12" s="166" t="str">
        <f t="shared" si="60"/>
        <v/>
      </c>
      <c r="FZ12" s="110"/>
      <c r="GA12" s="111"/>
      <c r="GB12" s="112"/>
      <c r="GC12" s="112"/>
      <c r="GD12" s="112"/>
      <c r="GE12" s="116"/>
      <c r="GF12" s="165" t="str">
        <f>IFERROR((((COUNTIF('Elève (3ème5)'!FZ12:GE12,"A"))*4)+((COUNTIF('Elève (3ème5)'!FZ12:GE12,"B"))*3)+((COUNTIF('Elève (3ème5)'!FZ12:GE12,"C"))*2)+((COUNTIF('Elève (3ème5)'!FZ12:GE12,"D"))*1))/(COUNTA(FZ12:GE12)),"")</f>
        <v/>
      </c>
      <c r="GG12" s="166" t="str">
        <f t="shared" si="61"/>
        <v/>
      </c>
      <c r="GH12" s="165">
        <f>IF(COUNT(FR12,FX12,GF12)=0,"",SUM(FR12,FX12,GF12)/COUNT(FR12,FX12,GF12))</f>
        <v>3</v>
      </c>
      <c r="GI12" s="188" t="str">
        <f t="shared" si="62"/>
        <v>B</v>
      </c>
      <c r="GJ12" s="110" t="s">
        <v>27</v>
      </c>
      <c r="GK12" s="111"/>
      <c r="GL12" s="112"/>
      <c r="GM12" s="165">
        <f>IFERROR((((COUNTIF('Elève (3ème5)'!GJ12:GL12,"A"))*4)+((COUNTIF('Elève (3ème5)'!GJ12:GL12,"B"))*3)+((COUNTIF('Elève (3ème5)'!GJ12:GL12,"C"))*2)+((COUNTIF('Elève (3ème5)'!GJ12:GL12,"D"))*1))/(COUNTA(GJ12:GL12)),"")</f>
        <v>4</v>
      </c>
      <c r="GN12" s="166" t="str">
        <f t="shared" si="63"/>
        <v>A</v>
      </c>
      <c r="GO12" s="110"/>
      <c r="GP12" s="111"/>
      <c r="GQ12" s="112"/>
      <c r="GR12" s="112"/>
      <c r="GS12" s="165" t="str">
        <f>IFERROR((((COUNTIF('Elève (3ème5)'!GO12:GR12,"A"))*4)+((COUNTIF('Elève (3ème5)'!GO12:GR12,"B"))*3)+((COUNTIF('Elève (3ème5)'!GO12:GR12,"C"))*2)+((COUNTIF('Elève (3ème5)'!GO12:GR12,"D"))*1))/(COUNTA(GO12:GR12)),"")</f>
        <v/>
      </c>
      <c r="GT12" s="166" t="str">
        <f t="shared" si="64"/>
        <v/>
      </c>
      <c r="GU12" s="110"/>
      <c r="GV12" s="111"/>
      <c r="GW12" s="112"/>
      <c r="GX12" s="112"/>
      <c r="GY12" s="112"/>
      <c r="GZ12" s="116"/>
      <c r="HA12" s="165" t="str">
        <f>IFERROR((((COUNTIF('Elève (3ème5)'!GU12:GZ12,"A"))*4)+((COUNTIF('Elève (3ème5)'!GU12:GZ12,"B"))*3)+((COUNTIF('Elève (3ème5)'!GU12:GZ12,"C"))*2)+((COUNTIF('Elève (3ème5)'!GU12:GZ12,"D"))*1))/(COUNTA(GU12:GZ12)),"")</f>
        <v/>
      </c>
      <c r="HB12" s="166" t="str">
        <f t="shared" si="65"/>
        <v/>
      </c>
      <c r="HC12" s="165">
        <f>IF(COUNT(GM12,GS12,HA12)=0,"",SUM(GM12,GS12,HA12)/COUNT(GM12,GS12,HA12))</f>
        <v>4</v>
      </c>
      <c r="HD12" s="188" t="str">
        <f t="shared" si="66"/>
        <v>A</v>
      </c>
      <c r="HE12" s="110" t="s">
        <v>28</v>
      </c>
      <c r="HF12" s="111"/>
      <c r="HG12" s="112"/>
      <c r="HH12" s="165">
        <f>IFERROR((((COUNTIF('Elève (3ème5)'!HE12:HG12,"A"))*4)+((COUNTIF('Elève (3ème5)'!HE12:HG12,"B"))*3)+((COUNTIF('Elève (3ème5)'!HE12:HG12,"C"))*2)+((COUNTIF('Elève (3ème5)'!HE12:HG12,"D"))*1))/(COUNTA(HE12:HG12)),"")</f>
        <v>3</v>
      </c>
      <c r="HI12" s="166" t="str">
        <f t="shared" si="67"/>
        <v>B</v>
      </c>
      <c r="HJ12" s="110"/>
      <c r="HK12" s="111"/>
      <c r="HL12" s="112"/>
      <c r="HM12" s="112"/>
      <c r="HN12" s="165" t="str">
        <f>IFERROR((((COUNTIF('Elève (3ème5)'!HJ12:HM12,"A"))*4)+((COUNTIF('Elève (3ème5)'!HJ12:HM12,"B"))*3)+((COUNTIF('Elève (3ème5)'!HJ12:HM12,"C"))*2)+((COUNTIF('Elève (3ème5)'!HJ12:HM12,"D"))*1))/(COUNTA(HJ12:HM12)),"")</f>
        <v/>
      </c>
      <c r="HO12" s="166" t="str">
        <f t="shared" si="68"/>
        <v/>
      </c>
      <c r="HP12" s="110"/>
      <c r="HQ12" s="111"/>
      <c r="HR12" s="112"/>
      <c r="HS12" s="112"/>
      <c r="HT12" s="112"/>
      <c r="HU12" s="116"/>
      <c r="HV12" s="165" t="str">
        <f>IFERROR((((COUNTIF('Elève (3ème5)'!HP12:HU12,"A"))*4)+((COUNTIF('Elève (3ème5)'!HP12:HU12,"B"))*3)+((COUNTIF('Elève (3ème5)'!HP12:HU12,"C"))*2)+((COUNTIF('Elève (3ème5)'!HP12:HU12,"D"))*1))/(COUNTA(HP12:HU12)),"")</f>
        <v/>
      </c>
      <c r="HW12" s="166" t="str">
        <f t="shared" si="69"/>
        <v/>
      </c>
      <c r="HX12" s="165">
        <f>IF(COUNT(HH12,HN12,HV12)=0,"",SUM(HH12,HN12,HV12)/COUNT(HH12,HN12,HV12))</f>
        <v>3</v>
      </c>
      <c r="HY12" s="188" t="str">
        <f t="shared" si="70"/>
        <v>B</v>
      </c>
      <c r="HZ12" s="110" t="s">
        <v>27</v>
      </c>
      <c r="IA12" s="111"/>
      <c r="IB12" s="112"/>
      <c r="IC12" s="165">
        <f>IFERROR((((COUNTIF('Elève (3ème5)'!HZ12:IB12,"A"))*4)+((COUNTIF('Elève (3ème5)'!HZ12:IB12,"B"))*3)+((COUNTIF('Elève (3ème5)'!HZ12:IB12,"C"))*2)+((COUNTIF('Elève (3ème5)'!HZ12:IB12,"D"))*1))/(COUNTA(HZ12:IB12)),"")</f>
        <v>4</v>
      </c>
      <c r="ID12" s="166" t="str">
        <f t="shared" si="71"/>
        <v>A</v>
      </c>
      <c r="IE12" s="110"/>
      <c r="IF12" s="111"/>
      <c r="IG12" s="112"/>
      <c r="IH12" s="112"/>
      <c r="II12" s="165" t="str">
        <f>IFERROR((((COUNTIF('Elève (3ème5)'!IE12:IH12,"A"))*4)+((COUNTIF('Elève (3ème5)'!IE12:IH12,"B"))*3)+((COUNTIF('Elève (3ème5)'!IE12:IH12,"C"))*2)+((COUNTIF('Elève (3ème5)'!IE12:IH12,"D"))*1))/(COUNTA(IE12:IH12)),"")</f>
        <v/>
      </c>
      <c r="IJ12" s="166" t="str">
        <f t="shared" si="72"/>
        <v/>
      </c>
      <c r="IK12" s="110"/>
      <c r="IL12" s="111"/>
      <c r="IM12" s="112"/>
      <c r="IN12" s="112"/>
      <c r="IO12" s="112"/>
      <c r="IP12" s="116"/>
      <c r="IQ12" s="165" t="str">
        <f>IFERROR((((COUNTIF('Elève (3ème5)'!IK12:IP12,"A"))*4)+((COUNTIF('Elève (3ème5)'!IK12:IP12,"B"))*3)+((COUNTIF('Elève (3ème5)'!IK12:IP12,"C"))*2)+((COUNTIF('Elève (3ème5)'!IK12:IP12,"D"))*1))/(COUNTA(IK12:IP12)),"")</f>
        <v/>
      </c>
      <c r="IR12" s="166" t="str">
        <f t="shared" si="73"/>
        <v/>
      </c>
      <c r="IS12" s="165">
        <f>IF(COUNT(IC12,II12,IQ12)=0,"",SUM(IC12,II12,IQ12)/COUNT(IC12,II12,IQ12))</f>
        <v>4</v>
      </c>
      <c r="IT12" s="188" t="str">
        <f t="shared" si="74"/>
        <v>A</v>
      </c>
      <c r="IU12" s="110" t="s">
        <v>28</v>
      </c>
      <c r="IV12" s="111"/>
      <c r="IW12" s="112"/>
      <c r="IX12" s="165">
        <f>IFERROR((((COUNTIF('Elève (3ème5)'!IU12:IW12,"A"))*4)+((COUNTIF('Elève (3ème5)'!IU12:IW12,"B"))*3)+((COUNTIF('Elève (3ème5)'!IU12:IW12,"C"))*2)+((COUNTIF('Elève (3ème5)'!IU12:IW12,"D"))*1))/(COUNTA(IU12:IW12)),"")</f>
        <v>3</v>
      </c>
      <c r="IY12" s="166" t="str">
        <f t="shared" si="75"/>
        <v>B</v>
      </c>
      <c r="IZ12" s="110"/>
      <c r="JA12" s="111"/>
      <c r="JB12" s="112"/>
      <c r="JC12" s="112"/>
      <c r="JD12" s="165" t="str">
        <f>IFERROR((((COUNTIF('Elève (3ème5)'!IZ12:JC12,"A"))*4)+((COUNTIF('Elève (3ème5)'!IZ12:JC12,"B"))*3)+((COUNTIF('Elève (3ème5)'!IZ12:JC12,"C"))*2)+((COUNTIF('Elève (3ème5)'!IZ12:JC12,"D"))*1))/(COUNTA(IZ12:JC12)),"")</f>
        <v/>
      </c>
      <c r="JE12" s="166" t="str">
        <f t="shared" si="76"/>
        <v/>
      </c>
      <c r="JF12" s="110"/>
      <c r="JG12" s="111"/>
      <c r="JH12" s="112"/>
      <c r="JI12" s="112"/>
      <c r="JJ12" s="112"/>
      <c r="JK12" s="116"/>
      <c r="JL12" s="165" t="str">
        <f>IFERROR((((COUNTIF('Elève (3ème5)'!JF12:JK12,"A"))*4)+((COUNTIF('Elève (3ème5)'!JF12:JK12,"B"))*3)+((COUNTIF('Elève (3ème5)'!JF12:JK12,"C"))*2)+((COUNTIF('Elève (3ème5)'!JF12:JK12,"D"))*1))/(COUNTA(JF12:JK12)),"")</f>
        <v/>
      </c>
      <c r="JM12" s="166" t="str">
        <f t="shared" si="77"/>
        <v/>
      </c>
      <c r="JN12" s="165">
        <f>IF(COUNT(IX12,JD12,JL12)=0,"",SUM(IX12,JD12,JL12)/COUNT(IX12,JD12,JL12))</f>
        <v>3</v>
      </c>
      <c r="JO12" s="188" t="str">
        <f t="shared" si="78"/>
        <v>B</v>
      </c>
      <c r="JP12" s="110" t="s">
        <v>27</v>
      </c>
      <c r="JQ12" s="111"/>
      <c r="JR12" s="112"/>
      <c r="JS12" s="165">
        <f>IFERROR((((COUNTIF('Elève (3ème5)'!JP12:JR12,"A"))*4)+((COUNTIF('Elève (3ème5)'!JP12:JR12,"B"))*3)+((COUNTIF('Elève (3ème5)'!JP12:JR12,"C"))*2)+((COUNTIF('Elève (3ème5)'!JP12:JR12,"D"))*1))/(COUNTA(JP12:JR12)),"")</f>
        <v>4</v>
      </c>
      <c r="JT12" s="166" t="str">
        <f t="shared" si="79"/>
        <v>A</v>
      </c>
      <c r="JU12" s="110"/>
      <c r="JV12" s="111"/>
      <c r="JW12" s="112"/>
      <c r="JX12" s="112"/>
      <c r="JY12" s="165" t="str">
        <f>IFERROR((((COUNTIF('Elève (3ème5)'!JU12:JX12,"A"))*4)+((COUNTIF('Elève (3ème5)'!JU12:JX12,"B"))*3)+((COUNTIF('Elève (3ème5)'!JU12:JX12,"C"))*2)+((COUNTIF('Elève (3ème5)'!JU12:JX12,"D"))*1))/(COUNTA(JU12:JX12)),"")</f>
        <v/>
      </c>
      <c r="JZ12" s="166" t="str">
        <f t="shared" si="80"/>
        <v/>
      </c>
      <c r="KA12" s="110"/>
      <c r="KB12" s="111"/>
      <c r="KC12" s="112"/>
      <c r="KD12" s="112"/>
      <c r="KE12" s="112"/>
      <c r="KF12" s="116"/>
      <c r="KG12" s="165" t="str">
        <f>IFERROR((((COUNTIF('Elève (3ème5)'!KA12:KF12,"A"))*4)+((COUNTIF('Elève (3ème5)'!KA12:KF12,"B"))*3)+((COUNTIF('Elève (3ème5)'!KA12:KF12,"C"))*2)+((COUNTIF('Elève (3ème5)'!KA12:KF12,"D"))*1))/(COUNTA(KA12:KF12)),"")</f>
        <v/>
      </c>
      <c r="KH12" s="166" t="str">
        <f t="shared" si="81"/>
        <v/>
      </c>
      <c r="KI12" s="165">
        <f>IF(COUNT(JS12,JY12,KG12)=0,"",SUM(JS12,JY12,KG12)/COUNT(JS12,JY12,KG12))</f>
        <v>4</v>
      </c>
      <c r="KJ12" s="188" t="str">
        <f t="shared" si="82"/>
        <v>A</v>
      </c>
      <c r="KK12" s="110" t="s">
        <v>28</v>
      </c>
      <c r="KL12" s="111"/>
      <c r="KM12" s="112"/>
      <c r="KN12" s="165">
        <f>IFERROR((((COUNTIF('Elève (3ème5)'!KK12:KM12,"A"))*4)+((COUNTIF('Elève (3ème5)'!KK12:KM12,"B"))*3)+((COUNTIF('Elève (3ème5)'!KK12:KM12,"C"))*2)+((COUNTIF('Elève (3ème5)'!KK12:KM12,"D"))*1))/(COUNTA(KK12:KM12)),"")</f>
        <v>3</v>
      </c>
      <c r="KO12" s="166" t="str">
        <f t="shared" si="83"/>
        <v>B</v>
      </c>
      <c r="KP12" s="110"/>
      <c r="KQ12" s="111"/>
      <c r="KR12" s="112"/>
      <c r="KS12" s="112"/>
      <c r="KT12" s="165" t="str">
        <f>IFERROR((((COUNTIF('Elève (3ème5)'!KP12:KS12,"A"))*4)+((COUNTIF('Elève (3ème5)'!KP12:KS12,"B"))*3)+((COUNTIF('Elève (3ème5)'!KP12:KS12,"C"))*2)+((COUNTIF('Elève (3ème5)'!KP12:KS12,"D"))*1))/(COUNTA(KP12:KS12)),"")</f>
        <v/>
      </c>
      <c r="KU12" s="166" t="str">
        <f t="shared" si="84"/>
        <v/>
      </c>
      <c r="KV12" s="110"/>
      <c r="KW12" s="111"/>
      <c r="KX12" s="112"/>
      <c r="KY12" s="112"/>
      <c r="KZ12" s="112"/>
      <c r="LA12" s="116"/>
      <c r="LB12" s="165" t="str">
        <f>IFERROR((((COUNTIF('Elève (3ème5)'!KV12:LA12,"A"))*4)+((COUNTIF('Elève (3ème5)'!KV12:LA12,"B"))*3)+((COUNTIF('Elève (3ème5)'!KV12:LA12,"C"))*2)+((COUNTIF('Elève (3ème5)'!KV12:LA12,"D"))*1))/(COUNTA(KV12:LA12)),"")</f>
        <v/>
      </c>
      <c r="LC12" s="166" t="str">
        <f t="shared" si="85"/>
        <v/>
      </c>
      <c r="LD12" s="165">
        <f>IF(COUNT(KN12,KT12,LB12)=0,"",SUM(KN12,KT12,LB12)/COUNT(KN12,KT12,LB12))</f>
        <v>3</v>
      </c>
      <c r="LE12" s="188" t="str">
        <f t="shared" si="86"/>
        <v>B</v>
      </c>
      <c r="LF12" s="110" t="s">
        <v>29</v>
      </c>
      <c r="LG12" s="111"/>
      <c r="LH12" s="112"/>
      <c r="LI12" s="165">
        <f>IFERROR((((COUNTIF('Elève (3ème5)'!LF12:LH12,"A"))*4)+((COUNTIF('Elève (3ème5)'!LF12:LH12,"B"))*3)+((COUNTIF('Elève (3ème5)'!LF12:LH12,"C"))*2)+((COUNTIF('Elève (3ème5)'!LF12:LH12,"D"))*1))/(COUNTA(LF12:LH12)),"")</f>
        <v>2</v>
      </c>
      <c r="LJ12" s="166" t="str">
        <f t="shared" si="87"/>
        <v>C</v>
      </c>
      <c r="LK12" s="110"/>
      <c r="LL12" s="111"/>
      <c r="LM12" s="112"/>
      <c r="LN12" s="112"/>
      <c r="LO12" s="165" t="str">
        <f>IFERROR((((COUNTIF('Elève (3ème5)'!LK12:LN12,"A"))*4)+((COUNTIF('Elève (3ème5)'!LK12:LN12,"B"))*3)+((COUNTIF('Elève (3ème5)'!LK12:LN12,"C"))*2)+((COUNTIF('Elève (3ème5)'!LK12:LN12,"D"))*1))/(COUNTA(LK12:LN12)),"")</f>
        <v/>
      </c>
      <c r="LP12" s="166" t="str">
        <f t="shared" si="88"/>
        <v/>
      </c>
      <c r="LQ12" s="110"/>
      <c r="LR12" s="111"/>
      <c r="LS12" s="112"/>
      <c r="LT12" s="112"/>
      <c r="LU12" s="112"/>
      <c r="LV12" s="116"/>
      <c r="LW12" s="165" t="str">
        <f>IFERROR((((COUNTIF('Elève (3ème5)'!LQ12:LV12,"A"))*4)+((COUNTIF('Elève (3ème5)'!LQ12:LV12,"B"))*3)+((COUNTIF('Elève (3ème5)'!LQ12:LV12,"C"))*2)+((COUNTIF('Elève (3ème5)'!LQ12:LV12,"D"))*1))/(COUNTA(LQ12:LV12)),"")</f>
        <v/>
      </c>
      <c r="LX12" s="166" t="str">
        <f t="shared" si="89"/>
        <v/>
      </c>
      <c r="LY12" s="165">
        <f>IF(COUNT(LI12,LO12,LW12)=0,"",SUM(LI12,LO12,LW12)/COUNT(LI12,LO12,LW12))</f>
        <v>2</v>
      </c>
      <c r="LZ12" s="188" t="str">
        <f t="shared" si="90"/>
        <v>C</v>
      </c>
      <c r="MA12" s="110" t="s">
        <v>27</v>
      </c>
      <c r="MB12" s="111"/>
      <c r="MC12" s="112"/>
      <c r="MD12" s="165">
        <f>IFERROR((((COUNTIF('Elève (3ème5)'!MA12:MC12,"A"))*4)+((COUNTIF('Elève (3ème5)'!MA12:MC12,"B"))*3)+((COUNTIF('Elève (3ème5)'!MA12:MC12,"C"))*2)+((COUNTIF('Elève (3ème5)'!MA12:MC12,"D"))*1))/(COUNTA(MA12:MC12)),"")</f>
        <v>4</v>
      </c>
      <c r="ME12" s="166" t="str">
        <f t="shared" si="91"/>
        <v>A</v>
      </c>
      <c r="MF12" s="110"/>
      <c r="MG12" s="111"/>
      <c r="MH12" s="112"/>
      <c r="MI12" s="112"/>
      <c r="MJ12" s="165" t="str">
        <f>IFERROR((((COUNTIF('Elève (3ème5)'!MF12:MI12,"A"))*4)+((COUNTIF('Elève (3ème5)'!MF12:MI12,"B"))*3)+((COUNTIF('Elève (3ème5)'!MF12:MI12,"C"))*2)+((COUNTIF('Elève (3ème5)'!MF12:MI12,"D"))*1))/(COUNTA(MF12:MI12)),"")</f>
        <v/>
      </c>
      <c r="MK12" s="166" t="str">
        <f t="shared" si="92"/>
        <v/>
      </c>
      <c r="ML12" s="110"/>
      <c r="MM12" s="111"/>
      <c r="MN12" s="112"/>
      <c r="MO12" s="112"/>
      <c r="MP12" s="112"/>
      <c r="MQ12" s="116"/>
      <c r="MR12" s="165" t="str">
        <f>IFERROR((((COUNTIF('Elève (3ème5)'!ML12:MQ12,"A"))*4)+((COUNTIF('Elève (3ème5)'!ML12:MQ12,"B"))*3)+((COUNTIF('Elève (3ème5)'!ML12:MQ12,"C"))*2)+((COUNTIF('Elève (3ème5)'!ML12:MQ12,"D"))*1))/(COUNTA(ML12:MQ12)),"")</f>
        <v/>
      </c>
      <c r="MS12" s="166" t="str">
        <f t="shared" si="93"/>
        <v/>
      </c>
      <c r="MT12" s="165">
        <f>IF(COUNT(MD12,MJ12,MR12)=0,"",SUM(MD12,MJ12,MR12)/COUNT(MD12,MJ12,MR12))</f>
        <v>4</v>
      </c>
      <c r="MU12" s="188" t="str">
        <f t="shared" si="94"/>
        <v>A</v>
      </c>
      <c r="MV12" s="110" t="s">
        <v>29</v>
      </c>
      <c r="MW12" s="111"/>
      <c r="MX12" s="112"/>
      <c r="MY12" s="165">
        <f>IFERROR((((COUNTIF('Elève (3ème5)'!MV12:MX12,"A"))*4)+((COUNTIF('Elève (3ème5)'!MV12:MX12,"B"))*3)+((COUNTIF('Elève (3ème5)'!MV12:MX12,"C"))*2)+((COUNTIF('Elève (3ème5)'!MV12:MX12,"D"))*1))/(COUNTA(MV12:MX12)),"")</f>
        <v>2</v>
      </c>
      <c r="MZ12" s="166" t="str">
        <f t="shared" si="95"/>
        <v>C</v>
      </c>
      <c r="NA12" s="110"/>
      <c r="NB12" s="111"/>
      <c r="NC12" s="112"/>
      <c r="ND12" s="112"/>
      <c r="NE12" s="165" t="str">
        <f>IFERROR((((COUNTIF('Elève (3ème5)'!NA12:ND12,"A"))*4)+((COUNTIF('Elève (3ème5)'!NA12:ND12,"B"))*3)+((COUNTIF('Elève (3ème5)'!NA12:ND12,"C"))*2)+((COUNTIF('Elève (3ème5)'!NA12:ND12,"D"))*1))/(COUNTA(NA12:ND12)),"")</f>
        <v/>
      </c>
      <c r="NF12" s="166" t="str">
        <f t="shared" si="96"/>
        <v/>
      </c>
      <c r="NG12" s="110"/>
      <c r="NH12" s="111"/>
      <c r="NI12" s="112"/>
      <c r="NJ12" s="112"/>
      <c r="NK12" s="112"/>
      <c r="NL12" s="116"/>
      <c r="NM12" s="165" t="str">
        <f>IFERROR((((COUNTIF('Elève (3ème5)'!NG12:NL12,"A"))*4)+((COUNTIF('Elève (3ème5)'!NG12:NL12,"B"))*3)+((COUNTIF('Elève (3ème5)'!NG12:NL12,"C"))*2)+((COUNTIF('Elève (3ème5)'!NG12:NL12,"D"))*1))/(COUNTA(NG12:NL12)),"")</f>
        <v/>
      </c>
      <c r="NN12" s="166" t="str">
        <f t="shared" si="97"/>
        <v/>
      </c>
      <c r="NO12" s="165">
        <f>IF(COUNT(MY12,NE12,NM12)=0,"",SUM(MY12,NE12,NM12)/COUNT(MY12,NE12,NM12))</f>
        <v>2</v>
      </c>
      <c r="NP12" s="188" t="str">
        <f t="shared" si="98"/>
        <v>C</v>
      </c>
      <c r="NQ12" s="110" t="s">
        <v>27</v>
      </c>
      <c r="NR12" s="111"/>
      <c r="NS12" s="112"/>
      <c r="NT12" s="165">
        <f>IFERROR((((COUNTIF('Elève (3ème5)'!NQ12:NS12,"A"))*4)+((COUNTIF('Elève (3ème5)'!NQ12:NS12,"B"))*3)+((COUNTIF('Elève (3ème5)'!NQ12:NS12,"C"))*2)+((COUNTIF('Elève (3ème5)'!NQ12:NS12,"D"))*1))/(COUNTA(NQ12:NS12)),"")</f>
        <v>4</v>
      </c>
      <c r="NU12" s="166" t="str">
        <f t="shared" si="99"/>
        <v>A</v>
      </c>
      <c r="NV12" s="110"/>
      <c r="NW12" s="111"/>
      <c r="NX12" s="112"/>
      <c r="NY12" s="112"/>
      <c r="NZ12" s="165" t="str">
        <f>IFERROR((((COUNTIF('Elève (3ème5)'!NV12:NY12,"A"))*4)+((COUNTIF('Elève (3ème5)'!NV12:NY12,"B"))*3)+((COUNTIF('Elève (3ème5)'!NV12:NY12,"C"))*2)+((COUNTIF('Elève (3ème5)'!NV12:NY12,"D"))*1))/(COUNTA(NV12:NY12)),"")</f>
        <v/>
      </c>
      <c r="OA12" s="166" t="str">
        <f t="shared" si="100"/>
        <v/>
      </c>
      <c r="OB12" s="110"/>
      <c r="OC12" s="111"/>
      <c r="OD12" s="112"/>
      <c r="OE12" s="112"/>
      <c r="OF12" s="112"/>
      <c r="OG12" s="116"/>
      <c r="OH12" s="165" t="str">
        <f>IFERROR((((COUNTIF('Elève (3ème5)'!OB12:OG12,"A"))*4)+((COUNTIF('Elève (3ème5)'!OB12:OG12,"B"))*3)+((COUNTIF('Elève (3ème5)'!OB12:OG12,"C"))*2)+((COUNTIF('Elève (3ème5)'!OB12:OG12,"D"))*1))/(COUNTA(OB12:OG12)),"")</f>
        <v/>
      </c>
      <c r="OI12" s="166" t="str">
        <f t="shared" si="101"/>
        <v/>
      </c>
      <c r="OJ12" s="165">
        <f>IF(COUNT(NT12,NZ12,OH12)=0,"",SUM(NT12,NZ12,OH12)/COUNT(NT12,NZ12,OH12))</f>
        <v>4</v>
      </c>
      <c r="OK12" s="188" t="str">
        <f t="shared" si="102"/>
        <v>A</v>
      </c>
      <c r="OL12" s="110" t="s">
        <v>27</v>
      </c>
      <c r="OM12" s="111"/>
      <c r="ON12" s="112"/>
      <c r="OO12" s="165">
        <f>IFERROR((((COUNTIF('Elève (3ème5)'!OL12:ON12,"A"))*4)+((COUNTIF('Elève (3ème5)'!OL12:ON12,"B"))*3)+((COUNTIF('Elève (3ème5)'!OL12:ON12,"C"))*2)+((COUNTIF('Elève (3ème5)'!OL12:ON12,"D"))*1))/(COUNTA(OL12:ON12)),"")</f>
        <v>4</v>
      </c>
      <c r="OP12" s="166" t="str">
        <f t="shared" si="103"/>
        <v>A</v>
      </c>
      <c r="OQ12" s="110"/>
      <c r="OR12" s="111"/>
      <c r="OS12" s="112"/>
      <c r="OT12" s="112"/>
      <c r="OU12" s="165" t="str">
        <f>IFERROR((((COUNTIF('Elève (3ème5)'!OQ12:OT12,"A"))*4)+((COUNTIF('Elève (3ème5)'!OQ12:OT12,"B"))*3)+((COUNTIF('Elève (3ème5)'!OQ12:OT12,"C"))*2)+((COUNTIF('Elève (3ème5)'!OQ12:OT12,"D"))*1))/(COUNTA(OQ12:OT12)),"")</f>
        <v/>
      </c>
      <c r="OV12" s="166" t="str">
        <f t="shared" si="104"/>
        <v/>
      </c>
      <c r="OW12" s="110"/>
      <c r="OX12" s="111"/>
      <c r="OY12" s="112"/>
      <c r="OZ12" s="112"/>
      <c r="PA12" s="112"/>
      <c r="PB12" s="116"/>
      <c r="PC12" s="165" t="str">
        <f>IFERROR((((COUNTIF('Elève (3ème5)'!OW12:PB12,"A"))*4)+((COUNTIF('Elève (3ème5)'!OW12:PB12,"B"))*3)+((COUNTIF('Elève (3ème5)'!OW12:PB12,"C"))*2)+((COUNTIF('Elève (3ème5)'!OW12:PB12,"D"))*1))/(COUNTA(OW12:PB12)),"")</f>
        <v/>
      </c>
      <c r="PD12" s="166" t="str">
        <f t="shared" si="105"/>
        <v/>
      </c>
      <c r="PE12" s="165">
        <f>IF(COUNT(OO12,OU12,PC12)=0,"",SUM(OO12,OU12,PC12)/COUNT(OO12,OU12,PC12))</f>
        <v>4</v>
      </c>
      <c r="PF12" s="188" t="str">
        <f t="shared" si="106"/>
        <v>A</v>
      </c>
      <c r="PG12" s="110" t="s">
        <v>30</v>
      </c>
      <c r="PH12" s="111"/>
      <c r="PI12" s="112"/>
      <c r="PJ12" s="165">
        <f>IFERROR((((COUNTIF('Elève (3ème5)'!PG12:PI12,"A"))*4)+((COUNTIF('Elève (3ème5)'!PG12:PI12,"B"))*3)+((COUNTIF('Elève (3ème5)'!PG12:PI12,"C"))*2)+((COUNTIF('Elève (3ème5)'!PG12:PI12,"D"))*1))/(COUNTA(PG12:PI12)),"")</f>
        <v>1</v>
      </c>
      <c r="PK12" s="166" t="str">
        <f t="shared" si="107"/>
        <v>D</v>
      </c>
      <c r="PL12" s="110"/>
      <c r="PM12" s="111"/>
      <c r="PN12" s="112"/>
      <c r="PO12" s="112"/>
      <c r="PP12" s="165" t="str">
        <f>IFERROR((((COUNTIF('Elève (3ème5)'!PL12:PO12,"A"))*4)+((COUNTIF('Elève (3ème5)'!PL12:PO12,"B"))*3)+((COUNTIF('Elève (3ème5)'!PL12:PO12,"C"))*2)+((COUNTIF('Elève (3ème5)'!PL12:PO12,"D"))*1))/(COUNTA(PL12:PO12)),"")</f>
        <v/>
      </c>
      <c r="PQ12" s="166" t="str">
        <f t="shared" si="108"/>
        <v/>
      </c>
      <c r="PR12" s="110"/>
      <c r="PS12" s="111"/>
      <c r="PT12" s="112"/>
      <c r="PU12" s="112"/>
      <c r="PV12" s="112"/>
      <c r="PW12" s="116"/>
      <c r="PX12" s="165" t="str">
        <f>IFERROR((((COUNTIF('Elève (3ème5)'!PR12:PW12,"A"))*4)+((COUNTIF('Elève (3ème5)'!PR12:PW12,"B"))*3)+((COUNTIF('Elève (3ème5)'!PR12:PW12,"C"))*2)+((COUNTIF('Elève (3ème5)'!PR12:PW12,"D"))*1))/(COUNTA(PR12:PW12)),"")</f>
        <v/>
      </c>
      <c r="PY12" s="166" t="str">
        <f t="shared" si="109"/>
        <v/>
      </c>
      <c r="PZ12" s="165">
        <f>IF(COUNT(PJ12,PP12,PX12)=0,"",SUM(PJ12,PP12,PX12)/COUNT(PJ12,PP12,PX12))</f>
        <v>1</v>
      </c>
      <c r="QA12" s="188" t="str">
        <f t="shared" si="110"/>
        <v>D</v>
      </c>
      <c r="QB12" s="110" t="s">
        <v>28</v>
      </c>
      <c r="QC12" s="111"/>
      <c r="QD12" s="112"/>
      <c r="QE12" s="165">
        <f>IFERROR((((COUNTIF('Elève (3ème5)'!QB12:QD12,"A"))*4)+((COUNTIF('Elève (3ème5)'!QB12:QD12,"B"))*3)+((COUNTIF('Elève (3ème5)'!QB12:QD12,"C"))*2)+((COUNTIF('Elève (3ème5)'!QB12:QD12,"D"))*1))/(COUNTA(QB12:QD12)),"")</f>
        <v>3</v>
      </c>
      <c r="QF12" s="166" t="str">
        <f t="shared" si="111"/>
        <v>B</v>
      </c>
      <c r="QG12" s="110"/>
      <c r="QH12" s="111"/>
      <c r="QI12" s="112"/>
      <c r="QJ12" s="112"/>
      <c r="QK12" s="165" t="str">
        <f>IFERROR((((COUNTIF('Elève (3ème5)'!QG12:QJ12,"A"))*4)+((COUNTIF('Elève (3ème5)'!QG12:QJ12,"B"))*3)+((COUNTIF('Elève (3ème5)'!QG12:QJ12,"C"))*2)+((COUNTIF('Elève (3ème5)'!QG12:QJ12,"D"))*1))/(COUNTA(QG12:QJ12)),"")</f>
        <v/>
      </c>
      <c r="QL12" s="166" t="str">
        <f t="shared" si="112"/>
        <v/>
      </c>
      <c r="QM12" s="110"/>
      <c r="QN12" s="111"/>
      <c r="QO12" s="112"/>
      <c r="QP12" s="112"/>
      <c r="QQ12" s="112"/>
      <c r="QR12" s="116"/>
      <c r="QS12" s="165" t="str">
        <f>IFERROR((((COUNTIF('Elève (3ème5)'!QM12:QR12,"A"))*4)+((COUNTIF('Elève (3ème5)'!QM12:QR12,"B"))*3)+((COUNTIF('Elève (3ème5)'!QM12:QR12,"C"))*2)+((COUNTIF('Elève (3ème5)'!QM12:QR12,"D"))*1))/(COUNTA(QM12:QR12)),"")</f>
        <v/>
      </c>
      <c r="QT12" s="166" t="str">
        <f t="shared" si="113"/>
        <v/>
      </c>
      <c r="QU12" s="165">
        <f>IF(COUNT(QE12,QK12,QS12)=0,"",SUM(QE12,QK12,QS12)/COUNT(QE12,QK12,QS12))</f>
        <v>3</v>
      </c>
      <c r="QV12" s="188" t="str">
        <f t="shared" si="114"/>
        <v>B</v>
      </c>
      <c r="QW12" s="110" t="s">
        <v>27</v>
      </c>
      <c r="QX12" s="111"/>
      <c r="QY12" s="112"/>
      <c r="QZ12" s="165">
        <f>IFERROR((((COUNTIF('Elève (3ème5)'!QW12:QY12,"A"))*4)+((COUNTIF('Elève (3ème5)'!QW12:QY12,"B"))*3)+((COUNTIF('Elève (3ème5)'!QW12:QY12,"C"))*2)+((COUNTIF('Elève (3ème5)'!QW12:QY12,"D"))*1))/(COUNTA(QW12:QY12)),"")</f>
        <v>4</v>
      </c>
      <c r="RA12" s="166" t="str">
        <f t="shared" si="115"/>
        <v>A</v>
      </c>
      <c r="RB12" s="110"/>
      <c r="RC12" s="111"/>
      <c r="RD12" s="112"/>
      <c r="RE12" s="112"/>
      <c r="RF12" s="165" t="str">
        <f>IFERROR((((COUNTIF('Elève (3ème5)'!RB12:RE12,"A"))*4)+((COUNTIF('Elève (3ème5)'!RB12:RE12,"B"))*3)+((COUNTIF('Elève (3ème5)'!RB12:RE12,"C"))*2)+((COUNTIF('Elève (3ème5)'!RB12:RE12,"D"))*1))/(COUNTA(RB12:RE12)),"")</f>
        <v/>
      </c>
      <c r="RG12" s="166" t="str">
        <f t="shared" si="116"/>
        <v/>
      </c>
      <c r="RH12" s="110"/>
      <c r="RI12" s="111"/>
      <c r="RJ12" s="112"/>
      <c r="RK12" s="112"/>
      <c r="RL12" s="112"/>
      <c r="RM12" s="116"/>
      <c r="RN12" s="165" t="str">
        <f>IFERROR((((COUNTIF('Elève (3ème5)'!RH12:RM12,"A"))*4)+((COUNTIF('Elève (3ème5)'!RH12:RM12,"B"))*3)+((COUNTIF('Elève (3ème5)'!RH12:RM12,"C"))*2)+((COUNTIF('Elève (3ème5)'!RH12:RM12,"D"))*1))/(COUNTA(RH12:RM12)),"")</f>
        <v/>
      </c>
      <c r="RO12" s="166" t="str">
        <f t="shared" si="117"/>
        <v/>
      </c>
      <c r="RP12" s="165">
        <f>IF(COUNT(QZ12,RF12,RN12)=0,"",SUM(QZ12,RF12,RN12)/COUNT(QZ12,RF12,RN12))</f>
        <v>4</v>
      </c>
      <c r="RQ12" s="188" t="str">
        <f t="shared" si="118"/>
        <v>A</v>
      </c>
      <c r="RR12" s="110" t="s">
        <v>27</v>
      </c>
      <c r="RS12" s="111"/>
      <c r="RT12" s="112"/>
      <c r="RU12" s="165">
        <f>IFERROR((((COUNTIF('Elève (3ème5)'!RR12:RT12,"A"))*4)+((COUNTIF('Elève (3ème5)'!RR12:RT12,"B"))*3)+((COUNTIF('Elève (3ème5)'!RR12:RT12,"C"))*2)+((COUNTIF('Elève (3ème5)'!RR12:RT12,"D"))*1))/(COUNTA(RR12:RT12)),"")</f>
        <v>4</v>
      </c>
      <c r="RV12" s="166" t="str">
        <f t="shared" si="119"/>
        <v>A</v>
      </c>
      <c r="RW12" s="110"/>
      <c r="RX12" s="111"/>
      <c r="RY12" s="112"/>
      <c r="RZ12" s="112"/>
      <c r="SA12" s="165" t="str">
        <f>IFERROR((((COUNTIF('Elève (3ème5)'!RW12:RZ12,"A"))*4)+((COUNTIF('Elève (3ème5)'!RW12:RZ12,"B"))*3)+((COUNTIF('Elève (3ème5)'!RW12:RZ12,"C"))*2)+((COUNTIF('Elève (3ème5)'!RW12:RZ12,"D"))*1))/(COUNTA(RW12:RZ12)),"")</f>
        <v/>
      </c>
      <c r="SB12" s="166" t="str">
        <f t="shared" si="120"/>
        <v/>
      </c>
      <c r="SC12" s="110"/>
      <c r="SD12" s="111"/>
      <c r="SE12" s="112"/>
      <c r="SF12" s="112"/>
      <c r="SG12" s="112"/>
      <c r="SH12" s="116"/>
      <c r="SI12" s="165" t="str">
        <f>IFERROR((((COUNTIF('Elève (3ème5)'!SC12:SH12,"A"))*4)+((COUNTIF('Elève (3ème5)'!SC12:SH12,"B"))*3)+((COUNTIF('Elève (3ème5)'!SC12:SH12,"C"))*2)+((COUNTIF('Elève (3ème5)'!SC12:SH12,"D"))*1))/(COUNTA(SC12:SH12)),"")</f>
        <v/>
      </c>
      <c r="SJ12" s="166" t="str">
        <f t="shared" si="121"/>
        <v/>
      </c>
      <c r="SK12" s="165">
        <f>IF(COUNT(RU12,SA12,SI12)=0,"",SUM(RU12,SA12,SI12)/COUNT(RU12,SA12,SI12))</f>
        <v>4</v>
      </c>
      <c r="SL12" s="188" t="str">
        <f t="shared" si="122"/>
        <v>A</v>
      </c>
      <c r="SM12" s="110" t="s">
        <v>27</v>
      </c>
      <c r="SN12" s="111"/>
      <c r="SO12" s="112"/>
      <c r="SP12" s="165">
        <f>IFERROR((((COUNTIF('Elève (3ème5)'!SM12:SO12,"A"))*4)+((COUNTIF('Elève (3ème5)'!SM12:SO12,"B"))*3)+((COUNTIF('Elève (3ème5)'!SM12:SO12,"C"))*2)+((COUNTIF('Elève (3ème5)'!SM12:SO12,"D"))*1))/(COUNTA(SM12:SO12)),"")</f>
        <v>4</v>
      </c>
      <c r="SQ12" s="166" t="str">
        <f t="shared" si="123"/>
        <v>A</v>
      </c>
      <c r="SR12" s="110"/>
      <c r="SS12" s="111"/>
      <c r="ST12" s="112"/>
      <c r="SU12" s="112"/>
      <c r="SV12" s="165" t="str">
        <f>IFERROR((((COUNTIF('Elève (3ème5)'!SR12:SU12,"A"))*4)+((COUNTIF('Elève (3ème5)'!SR12:SU12,"B"))*3)+((COUNTIF('Elève (3ème5)'!SR12:SU12,"C"))*2)+((COUNTIF('Elève (3ème5)'!SR12:SU12,"D"))*1))/(COUNTA(SR12:SU12)),"")</f>
        <v/>
      </c>
      <c r="SW12" s="166" t="str">
        <f t="shared" si="124"/>
        <v/>
      </c>
      <c r="SX12" s="110"/>
      <c r="SY12" s="111"/>
      <c r="SZ12" s="112"/>
      <c r="TA12" s="112"/>
      <c r="TB12" s="112"/>
      <c r="TC12" s="116"/>
      <c r="TD12" s="165" t="str">
        <f>IFERROR((((COUNTIF('Elève (3ème5)'!SX12:TC12,"A"))*4)+((COUNTIF('Elève (3ème5)'!SX12:TC12,"B"))*3)+((COUNTIF('Elève (3ème5)'!SX12:TC12,"C"))*2)+((COUNTIF('Elève (3ème5)'!SX12:TC12,"D"))*1))/(COUNTA(SX12:TC12)),"")</f>
        <v/>
      </c>
      <c r="TE12" s="166" t="str">
        <f t="shared" si="125"/>
        <v/>
      </c>
      <c r="TF12" s="165">
        <f>IF(COUNT(SP12,SV12,TD12)=0,"",SUM(SP12,SV12,TD12)/COUNT(SP12,SV12,TD12))</f>
        <v>4</v>
      </c>
      <c r="TG12" s="188" t="str">
        <f t="shared" si="126"/>
        <v>A</v>
      </c>
      <c r="TH12" s="110" t="s">
        <v>27</v>
      </c>
      <c r="TI12" s="111"/>
      <c r="TJ12" s="112"/>
      <c r="TK12" s="165">
        <f>IFERROR((((COUNTIF('Elève (3ème5)'!TH12:TJ12,"A"))*4)+((COUNTIF('Elève (3ème5)'!TH12:TJ12,"B"))*3)+((COUNTIF('Elève (3ème5)'!TH12:TJ12,"C"))*2)+((COUNTIF('Elève (3ème5)'!TH12:TJ12,"D"))*1))/(COUNTA(TH12:TJ12)),"")</f>
        <v>4</v>
      </c>
      <c r="TL12" s="166" t="str">
        <f t="shared" si="127"/>
        <v>A</v>
      </c>
      <c r="TM12" s="110"/>
      <c r="TN12" s="111"/>
      <c r="TO12" s="112"/>
      <c r="TP12" s="112"/>
      <c r="TQ12" s="165" t="str">
        <f>IFERROR((((COUNTIF('Elève (3ème5)'!TM12:TP12,"A"))*4)+((COUNTIF('Elève (3ème5)'!TM12:TP12,"B"))*3)+((COUNTIF('Elève (3ème5)'!TM12:TP12,"C"))*2)+((COUNTIF('Elève (3ème5)'!TM12:TP12,"D"))*1))/(COUNTA(TM12:TP12)),"")</f>
        <v/>
      </c>
      <c r="TR12" s="166" t="str">
        <f t="shared" si="128"/>
        <v/>
      </c>
      <c r="TS12" s="110"/>
      <c r="TT12" s="111"/>
      <c r="TU12" s="112"/>
      <c r="TV12" s="112"/>
      <c r="TW12" s="112"/>
      <c r="TX12" s="116"/>
      <c r="TY12" s="165" t="str">
        <f>IFERROR((((COUNTIF('Elève (3ème5)'!TS12:TX12,"A"))*4)+((COUNTIF('Elève (3ème5)'!TS12:TX12,"B"))*3)+((COUNTIF('Elève (3ème5)'!TS12:TX12,"C"))*2)+((COUNTIF('Elève (3ème5)'!TS12:TX12,"D"))*1))/(COUNTA(TS12:TX12)),"")</f>
        <v/>
      </c>
      <c r="TZ12" s="166" t="str">
        <f t="shared" si="129"/>
        <v/>
      </c>
      <c r="UA12" s="165">
        <f>IF(COUNT(TK12,TQ12,TY12)=0,"",SUM(TK12,TQ12,TY12)/COUNT(TK12,TQ12,TY12))</f>
        <v>4</v>
      </c>
      <c r="UB12" s="188" t="str">
        <f t="shared" si="130"/>
        <v>A</v>
      </c>
      <c r="UC12" s="110" t="s">
        <v>28</v>
      </c>
      <c r="UD12" s="111"/>
      <c r="UE12" s="112"/>
      <c r="UF12" s="165">
        <f>IFERROR((((COUNTIF('Elève (3ème5)'!UC12:UE12,"A"))*4)+((COUNTIF('Elève (3ème5)'!UC12:UE12,"B"))*3)+((COUNTIF('Elève (3ème5)'!UC12:UE12,"C"))*2)+((COUNTIF('Elève (3ème5)'!UC12:UE12,"D"))*1))/(COUNTA(UC12:UE12)),"")</f>
        <v>3</v>
      </c>
      <c r="UG12" s="166" t="str">
        <f t="shared" si="131"/>
        <v>B</v>
      </c>
      <c r="UH12" s="110"/>
      <c r="UI12" s="111"/>
      <c r="UJ12" s="112"/>
      <c r="UK12" s="112"/>
      <c r="UL12" s="165" t="str">
        <f>IFERROR((((COUNTIF('Elève (3ème5)'!UH12:UK12,"A"))*4)+((COUNTIF('Elève (3ème5)'!UH12:UK12,"B"))*3)+((COUNTIF('Elève (3ème5)'!UH12:UK12,"C"))*2)+((COUNTIF('Elève (3ème5)'!UH12:UK12,"D"))*1))/(COUNTA(UH12:UK12)),"")</f>
        <v/>
      </c>
      <c r="UM12" s="166" t="str">
        <f t="shared" si="132"/>
        <v/>
      </c>
      <c r="UN12" s="110"/>
      <c r="UO12" s="111"/>
      <c r="UP12" s="112"/>
      <c r="UQ12" s="112"/>
      <c r="UR12" s="112"/>
      <c r="US12" s="116"/>
      <c r="UT12" s="165" t="str">
        <f>IFERROR((((COUNTIF('Elève (3ème5)'!UN12:US12,"A"))*4)+((COUNTIF('Elève (3ème5)'!UN12:US12,"B"))*3)+((COUNTIF('Elève (3ème5)'!UN12:US12,"C"))*2)+((COUNTIF('Elève (3ème5)'!UN12:US12,"D"))*1))/(COUNTA(UN12:US12)),"")</f>
        <v/>
      </c>
      <c r="UU12" s="166" t="str">
        <f t="shared" si="133"/>
        <v/>
      </c>
      <c r="UV12" s="165">
        <f>IF(COUNT(UF12,UL12,UT12)=0,"",SUM(UF12,UL12,UT12)/COUNT(UF12,UL12,UT12))</f>
        <v>3</v>
      </c>
      <c r="UW12" s="188" t="str">
        <f t="shared" si="134"/>
        <v>B</v>
      </c>
      <c r="UX12" s="110" t="s">
        <v>27</v>
      </c>
      <c r="UY12" s="111"/>
      <c r="UZ12" s="112"/>
      <c r="VA12" s="165">
        <f>IFERROR((((COUNTIF('Elève (3ème5)'!UX12:UZ12,"A"))*4)+((COUNTIF('Elève (3ème5)'!UX12:UZ12,"B"))*3)+((COUNTIF('Elève (3ème5)'!UX12:UZ12,"C"))*2)+((COUNTIF('Elève (3ème5)'!UX12:UZ12,"D"))*1))/(COUNTA(UX12:UZ12)),"")</f>
        <v>4</v>
      </c>
      <c r="VB12" s="166" t="str">
        <f t="shared" si="135"/>
        <v>A</v>
      </c>
      <c r="VC12" s="110"/>
      <c r="VD12" s="111"/>
      <c r="VE12" s="112"/>
      <c r="VF12" s="112"/>
      <c r="VG12" s="165" t="str">
        <f>IFERROR((((COUNTIF('Elève (3ème5)'!VC12:VF12,"A"))*4)+((COUNTIF('Elève (3ème5)'!VC12:VF12,"B"))*3)+((COUNTIF('Elève (3ème5)'!VC12:VF12,"C"))*2)+((COUNTIF('Elève (3ème5)'!VC12:VF12,"D"))*1))/(COUNTA(VC12:VF12)),"")</f>
        <v/>
      </c>
      <c r="VH12" s="166" t="str">
        <f t="shared" si="136"/>
        <v/>
      </c>
      <c r="VI12" s="110"/>
      <c r="VJ12" s="111"/>
      <c r="VK12" s="112"/>
      <c r="VL12" s="112"/>
      <c r="VM12" s="112"/>
      <c r="VN12" s="116"/>
      <c r="VO12" s="165" t="str">
        <f>IFERROR((((COUNTIF('Elève (3ème5)'!VI12:VN12,"A"))*4)+((COUNTIF('Elève (3ème5)'!VI12:VN12,"B"))*3)+((COUNTIF('Elève (3ème5)'!VI12:VN12,"C"))*2)+((COUNTIF('Elève (3ème5)'!VI12:VN12,"D"))*1))/(COUNTA(VI12:VN12)),"")</f>
        <v/>
      </c>
      <c r="VP12" s="166" t="str">
        <f t="shared" si="137"/>
        <v/>
      </c>
      <c r="VQ12" s="165">
        <f>IF(COUNT(VA12,VG12,VO12)=0,"",SUM(VA12,VG12,VO12)/COUNT(VA12,VG12,VO12))</f>
        <v>4</v>
      </c>
      <c r="VR12" s="188" t="str">
        <f t="shared" si="138"/>
        <v>A</v>
      </c>
      <c r="VS12" s="110"/>
      <c r="VT12" s="111"/>
      <c r="VU12" s="112"/>
      <c r="VV12" s="113" t="str">
        <f>IFERROR((((COUNTIF('Elève (3ème5)'!VS12:VU12,"A"))*4)+((COUNTIF('Elève (3ème5)'!VS12:VU12,"B"))*3)+((COUNTIF('Elève (3ème5)'!VS12:VU12,"C"))*2)+((COUNTIF('Elève (3ème5)'!VS12:VU12,"D"))*1))/(COUNTA(VS12:VU12)),"")</f>
        <v/>
      </c>
      <c r="VW12" s="114" t="str">
        <f t="shared" si="139"/>
        <v/>
      </c>
      <c r="VX12" s="110"/>
      <c r="VY12" s="111"/>
      <c r="VZ12" s="112"/>
      <c r="WA12" s="113" t="str">
        <f>IFERROR((((COUNTIF('Elève (3ème5)'!VX12:VZ12,"A"))*4)+((COUNTIF('Elève (3ème5)'!VX12:VZ12,"B"))*3)+((COUNTIF('Elève (3ème5)'!VX12:VZ12,"C"))*2)+((COUNTIF('Elève (3ème5)'!VX12:VZ12,"D"))*1))/(COUNTA(VX12:VZ12)),"")</f>
        <v/>
      </c>
      <c r="WB12" s="114" t="str">
        <f t="shared" si="140"/>
        <v/>
      </c>
      <c r="WC12" s="110"/>
      <c r="WD12" s="111"/>
      <c r="WE12" s="116"/>
      <c r="WF12" s="113" t="str">
        <f>IFERROR((((COUNTIF('Elève (3ème5)'!WC12:WE12,"A"))*4)+((COUNTIF('Elève (3ème5)'!WC12:WE12,"B"))*3)+((COUNTIF('Elève (3ème5)'!WC12:WE12,"C"))*2)+((COUNTIF('Elève (3ème5)'!WC12:WE12,"D"))*1))/(COUNTA(WC12:WE12)),"")</f>
        <v/>
      </c>
      <c r="WG12" s="114" t="str">
        <f t="shared" si="141"/>
        <v/>
      </c>
      <c r="WH12" s="113" t="str">
        <f>IF(COUNT(VV12,WA12,WF12)=0,"",SUM(VV12,WA12,WF12)/COUNT(VV12,WA12,WF12))</f>
        <v/>
      </c>
      <c r="WI12" s="115" t="str">
        <f t="shared" si="142"/>
        <v/>
      </c>
      <c r="WJ12" s="110"/>
      <c r="WK12" s="111"/>
      <c r="WL12" s="112"/>
      <c r="WM12" s="113" t="str">
        <f>IFERROR((((COUNTIF('Elève (3ème5)'!WJ12:WL12,"A"))*4)+((COUNTIF('Elève (3ème5)'!WJ12:WL12,"B"))*3)+((COUNTIF('Elève (3ème5)'!WJ12:WL12,"C"))*2)+((COUNTIF('Elève (3ème5)'!WJ12:WL12,"D"))*1))/(COUNTA(WJ12:WL12)),"")</f>
        <v/>
      </c>
      <c r="WN12" s="114" t="str">
        <f t="shared" si="143"/>
        <v/>
      </c>
      <c r="WO12" s="110"/>
      <c r="WP12" s="111"/>
      <c r="WQ12" s="112"/>
      <c r="WR12" s="113" t="str">
        <f>IFERROR((((COUNTIF('Elève (3ème5)'!WO12:WQ12,"A"))*4)+((COUNTIF('Elève (3ème5)'!WO12:WQ12,"B"))*3)+((COUNTIF('Elève (3ème5)'!WO12:WQ12,"C"))*2)+((COUNTIF('Elève (3ème5)'!WO12:WQ12,"D"))*1))/(COUNTA(WO12:WQ12)),"")</f>
        <v/>
      </c>
      <c r="WS12" s="114" t="str">
        <f t="shared" si="144"/>
        <v/>
      </c>
      <c r="WT12" s="110"/>
      <c r="WU12" s="111"/>
      <c r="WV12" s="116"/>
      <c r="WW12" s="113" t="str">
        <f>IFERROR((((COUNTIF('Elève (3ème5)'!WT12:WV12,"A"))*4)+((COUNTIF('Elève (3ème5)'!WT12:WV12,"B"))*3)+((COUNTIF('Elève (3ème5)'!WT12:WV12,"C"))*2)+((COUNTIF('Elève (3ème5)'!WT12:WV12,"D"))*1))/(COUNTA(WT12:WV12)),"")</f>
        <v/>
      </c>
      <c r="WX12" s="114" t="str">
        <f t="shared" si="145"/>
        <v/>
      </c>
      <c r="WY12" s="113" t="str">
        <f>IF(COUNT(WM12,WR12,WW12)=0,"",SUM(WM12,WR12,WW12)/COUNT(WM12,WR12,WW12))</f>
        <v/>
      </c>
      <c r="WZ12" s="115" t="str">
        <f t="shared" si="146"/>
        <v/>
      </c>
    </row>
    <row r="13" spans="1:624" s="95" customFormat="1" ht="16.5" customHeight="1" thickBot="1" x14ac:dyDescent="0.6">
      <c r="A13" s="145" t="s">
        <v>18</v>
      </c>
      <c r="B13" s="120">
        <v>1</v>
      </c>
      <c r="C13" s="152"/>
      <c r="D13" s="65"/>
      <c r="E13" s="85"/>
      <c r="F13" s="159" t="str">
        <f>IF(COUNT(F14:F15)=0,"",SUM(F14:F15)/COUNT(F14:F15))</f>
        <v/>
      </c>
      <c r="G13" s="160" t="str">
        <f t="shared" si="27"/>
        <v/>
      </c>
      <c r="H13" s="152"/>
      <c r="I13" s="65"/>
      <c r="J13" s="65"/>
      <c r="K13" s="85"/>
      <c r="L13" s="159" t="str">
        <f>IF(COUNT(L14,L15)=0,"",SUM(L14:L15)/COUNT(L14,L15))</f>
        <v/>
      </c>
      <c r="M13" s="175" t="str">
        <f t="shared" si="28"/>
        <v/>
      </c>
      <c r="N13" s="153"/>
      <c r="O13" s="90"/>
      <c r="P13" s="90"/>
      <c r="Q13" s="90"/>
      <c r="R13" s="90"/>
      <c r="S13" s="91"/>
      <c r="T13" s="159">
        <f>IF(COUNT(T14,T15)=0,"",SUM(T14:T15)/COUNT(T14,T15))</f>
        <v>4</v>
      </c>
      <c r="U13" s="183" t="str">
        <f t="shared" si="29"/>
        <v>A</v>
      </c>
      <c r="V13" s="184">
        <f>IF(COUNT(V14:V15)=0,"",SUM(V14:V15)/COUNT(V14:V15))</f>
        <v>4</v>
      </c>
      <c r="W13" s="185" t="str">
        <f t="shared" si="30"/>
        <v>A</v>
      </c>
      <c r="X13" s="196"/>
      <c r="Y13" s="65"/>
      <c r="Z13" s="85"/>
      <c r="AA13" s="159" t="str">
        <f>IF(COUNT(AA14:AA15)=0,"",SUM(AA14:AA15)/COUNT(AA14:AA15))</f>
        <v/>
      </c>
      <c r="AB13" s="160" t="str">
        <f t="shared" si="31"/>
        <v/>
      </c>
      <c r="AC13" s="152"/>
      <c r="AD13" s="65"/>
      <c r="AE13" s="65"/>
      <c r="AF13" s="85"/>
      <c r="AG13" s="159" t="str">
        <f>IF(COUNT(AG14,AG15)=0,"",SUM(AG14:AG15)/COUNT(AG14,AG15))</f>
        <v/>
      </c>
      <c r="AH13" s="175" t="str">
        <f t="shared" si="32"/>
        <v/>
      </c>
      <c r="AI13" s="153"/>
      <c r="AJ13" s="90"/>
      <c r="AK13" s="90"/>
      <c r="AL13" s="90"/>
      <c r="AM13" s="90"/>
      <c r="AN13" s="91"/>
      <c r="AO13" s="159">
        <f>IF(COUNT(AO14,AO15)=0,"",SUM(AO14:AO15)/COUNT(AO14,AO15))</f>
        <v>3.5</v>
      </c>
      <c r="AP13" s="183" t="str">
        <f t="shared" si="33"/>
        <v>B</v>
      </c>
      <c r="AQ13" s="184">
        <f>IF(COUNT(AQ14:AQ15)=0,"",SUM(AQ14:AQ15)/COUNT(AQ14:AQ15))</f>
        <v>3.5</v>
      </c>
      <c r="AR13" s="185" t="str">
        <f t="shared" si="34"/>
        <v>B</v>
      </c>
      <c r="AS13" s="196"/>
      <c r="AT13" s="65"/>
      <c r="AU13" s="85"/>
      <c r="AV13" s="159" t="str">
        <f>IF(COUNT(AV14:AV15)=0,"",SUM(AV14:AV15)/COUNT(AV14:AV15))</f>
        <v/>
      </c>
      <c r="AW13" s="160" t="str">
        <f t="shared" si="35"/>
        <v/>
      </c>
      <c r="AX13" s="152"/>
      <c r="AY13" s="65"/>
      <c r="AZ13" s="65"/>
      <c r="BA13" s="85"/>
      <c r="BB13" s="159" t="str">
        <f>IF(COUNT(BB14,BB15)=0,"",SUM(BB14:BB15)/COUNT(BB14,BB15))</f>
        <v/>
      </c>
      <c r="BC13" s="175" t="str">
        <f t="shared" si="36"/>
        <v/>
      </c>
      <c r="BD13" s="153"/>
      <c r="BE13" s="90"/>
      <c r="BF13" s="90"/>
      <c r="BG13" s="90"/>
      <c r="BH13" s="90"/>
      <c r="BI13" s="91"/>
      <c r="BJ13" s="159">
        <f>IF(COUNT(BJ14,BJ15)=0,"",SUM(BJ14:BJ15)/COUNT(BJ14,BJ15))</f>
        <v>4</v>
      </c>
      <c r="BK13" s="183" t="str">
        <f t="shared" si="37"/>
        <v>A</v>
      </c>
      <c r="BL13" s="184">
        <f>IF(COUNT(BL14:BL15)=0,"",SUM(BL14:BL15)/COUNT(BL14:BL15))</f>
        <v>4</v>
      </c>
      <c r="BM13" s="185" t="str">
        <f t="shared" si="38"/>
        <v>A</v>
      </c>
      <c r="BN13" s="196"/>
      <c r="BO13" s="65"/>
      <c r="BP13" s="85"/>
      <c r="BQ13" s="159" t="str">
        <f>IF(COUNT(BQ14:BQ15)=0,"",SUM(BQ14:BQ15)/COUNT(BQ14:BQ15))</f>
        <v/>
      </c>
      <c r="BR13" s="160" t="str">
        <f t="shared" si="39"/>
        <v/>
      </c>
      <c r="BS13" s="152"/>
      <c r="BT13" s="65"/>
      <c r="BU13" s="65"/>
      <c r="BV13" s="85"/>
      <c r="BW13" s="159" t="str">
        <f>IF(COUNT(BW14,BW15)=0,"",SUM(BW14:BW15)/COUNT(BW14,BW15))</f>
        <v/>
      </c>
      <c r="BX13" s="175" t="str">
        <f t="shared" si="40"/>
        <v/>
      </c>
      <c r="BY13" s="153"/>
      <c r="BZ13" s="90"/>
      <c r="CA13" s="90"/>
      <c r="CB13" s="90"/>
      <c r="CC13" s="90"/>
      <c r="CD13" s="91"/>
      <c r="CE13" s="159">
        <f>IF(COUNT(CE14,CE15)=0,"",SUM(CE14:CE15)/COUNT(CE14,CE15))</f>
        <v>4</v>
      </c>
      <c r="CF13" s="183" t="str">
        <f t="shared" si="41"/>
        <v>A</v>
      </c>
      <c r="CG13" s="184">
        <f>IF(COUNT(CG14:CG15)=0,"",SUM(CG14:CG15)/COUNT(CG14:CG15))</f>
        <v>4</v>
      </c>
      <c r="CH13" s="185" t="str">
        <f t="shared" si="42"/>
        <v>A</v>
      </c>
      <c r="CI13" s="196"/>
      <c r="CJ13" s="65"/>
      <c r="CK13" s="85"/>
      <c r="CL13" s="159" t="str">
        <f>IF(COUNT(CL14:CL15)=0,"",SUM(CL14:CL15)/COUNT(CL14:CL15))</f>
        <v/>
      </c>
      <c r="CM13" s="160" t="str">
        <f t="shared" si="43"/>
        <v/>
      </c>
      <c r="CN13" s="152"/>
      <c r="CO13" s="65"/>
      <c r="CP13" s="65"/>
      <c r="CQ13" s="85"/>
      <c r="CR13" s="159" t="str">
        <f>IF(COUNT(CR14,CR15)=0,"",SUM(CR14:CR15)/COUNT(CR14,CR15))</f>
        <v/>
      </c>
      <c r="CS13" s="175" t="str">
        <f t="shared" si="44"/>
        <v/>
      </c>
      <c r="CT13" s="153"/>
      <c r="CU13" s="90"/>
      <c r="CV13" s="90"/>
      <c r="CW13" s="90"/>
      <c r="CX13" s="90"/>
      <c r="CY13" s="91"/>
      <c r="CZ13" s="159">
        <f>IF(COUNT(CZ14,CZ15)=0,"",SUM(CZ14:CZ15)/COUNT(CZ14,CZ15))</f>
        <v>4</v>
      </c>
      <c r="DA13" s="183" t="str">
        <f t="shared" si="45"/>
        <v>A</v>
      </c>
      <c r="DB13" s="184">
        <f>IF(COUNT(DB14:DB15)=0,"",SUM(DB14:DB15)/COUNT(DB14:DB15))</f>
        <v>4</v>
      </c>
      <c r="DC13" s="185" t="str">
        <f t="shared" si="46"/>
        <v>A</v>
      </c>
      <c r="DD13" s="196"/>
      <c r="DE13" s="65"/>
      <c r="DF13" s="85"/>
      <c r="DG13" s="159" t="str">
        <f>IF(COUNT(DG14:DG15)=0,"",SUM(DG14:DG15)/COUNT(DG14:DG15))</f>
        <v/>
      </c>
      <c r="DH13" s="160" t="str">
        <f t="shared" si="47"/>
        <v/>
      </c>
      <c r="DI13" s="152"/>
      <c r="DJ13" s="65"/>
      <c r="DK13" s="65"/>
      <c r="DL13" s="85"/>
      <c r="DM13" s="159" t="str">
        <f>IF(COUNT(DM14,DM15)=0,"",SUM(DM14:DM15)/COUNT(DM14,DM15))</f>
        <v/>
      </c>
      <c r="DN13" s="175" t="str">
        <f t="shared" si="48"/>
        <v/>
      </c>
      <c r="DO13" s="153"/>
      <c r="DP13" s="90"/>
      <c r="DQ13" s="90"/>
      <c r="DR13" s="90"/>
      <c r="DS13" s="90"/>
      <c r="DT13" s="91"/>
      <c r="DU13" s="159">
        <f>IF(COUNT(DU14,DU15)=0,"",SUM(DU14:DU15)/COUNT(DU14,DU15))</f>
        <v>4</v>
      </c>
      <c r="DV13" s="183" t="str">
        <f t="shared" si="49"/>
        <v>A</v>
      </c>
      <c r="DW13" s="184">
        <f>IF(COUNT(DW14:DW15)=0,"",SUM(DW14:DW15)/COUNT(DW14:DW15))</f>
        <v>4</v>
      </c>
      <c r="DX13" s="185" t="str">
        <f t="shared" si="50"/>
        <v>A</v>
      </c>
      <c r="DY13" s="196"/>
      <c r="DZ13" s="65"/>
      <c r="EA13" s="85"/>
      <c r="EB13" s="159" t="str">
        <f>IF(COUNT(EB14:EB15)=0,"",SUM(EB14:EB15)/COUNT(EB14:EB15))</f>
        <v/>
      </c>
      <c r="EC13" s="160" t="str">
        <f t="shared" si="51"/>
        <v/>
      </c>
      <c r="ED13" s="152"/>
      <c r="EE13" s="65"/>
      <c r="EF13" s="65"/>
      <c r="EG13" s="85"/>
      <c r="EH13" s="159" t="str">
        <f>IF(COUNT(EH14,EH15)=0,"",SUM(EH14:EH15)/COUNT(EH14,EH15))</f>
        <v/>
      </c>
      <c r="EI13" s="175" t="str">
        <f t="shared" si="52"/>
        <v/>
      </c>
      <c r="EJ13" s="153"/>
      <c r="EK13" s="90"/>
      <c r="EL13" s="90"/>
      <c r="EM13" s="90"/>
      <c r="EN13" s="90"/>
      <c r="EO13" s="91"/>
      <c r="EP13" s="159">
        <f>IF(COUNT(EP14,EP15)=0,"",SUM(EP14:EP15)/COUNT(EP14,EP15))</f>
        <v>4</v>
      </c>
      <c r="EQ13" s="183" t="str">
        <f t="shared" si="53"/>
        <v>A</v>
      </c>
      <c r="ER13" s="184">
        <f>IF(COUNT(ER14:ER15)=0,"",SUM(ER14:ER15)/COUNT(ER14:ER15))</f>
        <v>4</v>
      </c>
      <c r="ES13" s="185" t="str">
        <f t="shared" si="54"/>
        <v>A</v>
      </c>
      <c r="ET13" s="196"/>
      <c r="EU13" s="65"/>
      <c r="EV13" s="85"/>
      <c r="EW13" s="159" t="str">
        <f>IF(COUNT(EW14:EW15)=0,"",SUM(EW14:EW15)/COUNT(EW14:EW15))</f>
        <v/>
      </c>
      <c r="EX13" s="160" t="str">
        <f t="shared" si="55"/>
        <v/>
      </c>
      <c r="EY13" s="152"/>
      <c r="EZ13" s="65"/>
      <c r="FA13" s="65"/>
      <c r="FB13" s="85"/>
      <c r="FC13" s="159" t="str">
        <f>IF(COUNT(FC14,FC15)=0,"",SUM(FC14:FC15)/COUNT(FC14,FC15))</f>
        <v/>
      </c>
      <c r="FD13" s="175" t="str">
        <f t="shared" si="56"/>
        <v/>
      </c>
      <c r="FE13" s="153"/>
      <c r="FF13" s="90"/>
      <c r="FG13" s="90"/>
      <c r="FH13" s="90"/>
      <c r="FI13" s="90"/>
      <c r="FJ13" s="91"/>
      <c r="FK13" s="159">
        <f>IF(COUNT(FK14,FK15)=0,"",SUM(FK14:FK15)/COUNT(FK14,FK15))</f>
        <v>4</v>
      </c>
      <c r="FL13" s="183" t="str">
        <f t="shared" si="57"/>
        <v>A</v>
      </c>
      <c r="FM13" s="184">
        <f>IF(COUNT(FM14:FM15)=0,"",SUM(FM14:FM15)/COUNT(FM14:FM15))</f>
        <v>4</v>
      </c>
      <c r="FN13" s="185" t="str">
        <f t="shared" si="58"/>
        <v>A</v>
      </c>
      <c r="FO13" s="196"/>
      <c r="FP13" s="65"/>
      <c r="FQ13" s="85"/>
      <c r="FR13" s="159" t="str">
        <f>IF(COUNT(FR14:FR15)=0,"",SUM(FR14:FR15)/COUNT(FR14:FR15))</f>
        <v/>
      </c>
      <c r="FS13" s="160" t="str">
        <f t="shared" si="59"/>
        <v/>
      </c>
      <c r="FT13" s="152"/>
      <c r="FU13" s="65"/>
      <c r="FV13" s="65"/>
      <c r="FW13" s="85"/>
      <c r="FX13" s="159" t="str">
        <f>IF(COUNT(FX14,FX15)=0,"",SUM(FX14:FX15)/COUNT(FX14,FX15))</f>
        <v/>
      </c>
      <c r="FY13" s="175" t="str">
        <f t="shared" si="60"/>
        <v/>
      </c>
      <c r="FZ13" s="153"/>
      <c r="GA13" s="90"/>
      <c r="GB13" s="90"/>
      <c r="GC13" s="90"/>
      <c r="GD13" s="90"/>
      <c r="GE13" s="91"/>
      <c r="GF13" s="159">
        <f>IF(COUNT(GF14,GF15)=0,"",SUM(GF14:GF15)/COUNT(GF14,GF15))</f>
        <v>4</v>
      </c>
      <c r="GG13" s="183" t="str">
        <f t="shared" si="61"/>
        <v>A</v>
      </c>
      <c r="GH13" s="184">
        <f>IF(COUNT(GH14:GH15)=0,"",SUM(GH14:GH15)/COUNT(GH14:GH15))</f>
        <v>4</v>
      </c>
      <c r="GI13" s="185" t="str">
        <f t="shared" si="62"/>
        <v>A</v>
      </c>
      <c r="GJ13" s="196"/>
      <c r="GK13" s="65"/>
      <c r="GL13" s="85"/>
      <c r="GM13" s="159" t="str">
        <f>IF(COUNT(GM14:GM15)=0,"",SUM(GM14:GM15)/COUNT(GM14:GM15))</f>
        <v/>
      </c>
      <c r="GN13" s="160" t="str">
        <f t="shared" si="63"/>
        <v/>
      </c>
      <c r="GO13" s="152"/>
      <c r="GP13" s="65"/>
      <c r="GQ13" s="65"/>
      <c r="GR13" s="85"/>
      <c r="GS13" s="159" t="str">
        <f>IF(COUNT(GS14,GS15)=0,"",SUM(GS14:GS15)/COUNT(GS14,GS15))</f>
        <v/>
      </c>
      <c r="GT13" s="175" t="str">
        <f t="shared" si="64"/>
        <v/>
      </c>
      <c r="GU13" s="153"/>
      <c r="GV13" s="90"/>
      <c r="GW13" s="90"/>
      <c r="GX13" s="90"/>
      <c r="GY13" s="90"/>
      <c r="GZ13" s="91"/>
      <c r="HA13" s="159">
        <f>IF(COUNT(HA14,HA15)=0,"",SUM(HA14:HA15)/COUNT(HA14,HA15))</f>
        <v>4</v>
      </c>
      <c r="HB13" s="183" t="str">
        <f t="shared" si="65"/>
        <v>A</v>
      </c>
      <c r="HC13" s="184">
        <f>IF(COUNT(HC14:HC15)=0,"",SUM(HC14:HC15)/COUNT(HC14:HC15))</f>
        <v>4</v>
      </c>
      <c r="HD13" s="185" t="str">
        <f t="shared" si="66"/>
        <v>A</v>
      </c>
      <c r="HE13" s="196"/>
      <c r="HF13" s="65"/>
      <c r="HG13" s="85"/>
      <c r="HH13" s="159" t="str">
        <f>IF(COUNT(HH14:HH15)=0,"",SUM(HH14:HH15)/COUNT(HH14:HH15))</f>
        <v/>
      </c>
      <c r="HI13" s="160" t="str">
        <f t="shared" si="67"/>
        <v/>
      </c>
      <c r="HJ13" s="152"/>
      <c r="HK13" s="65"/>
      <c r="HL13" s="65"/>
      <c r="HM13" s="85"/>
      <c r="HN13" s="159" t="str">
        <f>IF(COUNT(HN14,HN15)=0,"",SUM(HN14:HN15)/COUNT(HN14,HN15))</f>
        <v/>
      </c>
      <c r="HO13" s="175" t="str">
        <f t="shared" si="68"/>
        <v/>
      </c>
      <c r="HP13" s="153"/>
      <c r="HQ13" s="90"/>
      <c r="HR13" s="90"/>
      <c r="HS13" s="90"/>
      <c r="HT13" s="90"/>
      <c r="HU13" s="91"/>
      <c r="HV13" s="159">
        <f>IF(COUNT(HV14,HV15)=0,"",SUM(HV14:HV15)/COUNT(HV14,HV15))</f>
        <v>4</v>
      </c>
      <c r="HW13" s="183" t="str">
        <f t="shared" si="69"/>
        <v>A</v>
      </c>
      <c r="HX13" s="184">
        <f>IF(COUNT(HX14:HX15)=0,"",SUM(HX14:HX15)/COUNT(HX14:HX15))</f>
        <v>4</v>
      </c>
      <c r="HY13" s="185" t="str">
        <f t="shared" si="70"/>
        <v>A</v>
      </c>
      <c r="HZ13" s="196"/>
      <c r="IA13" s="65"/>
      <c r="IB13" s="85"/>
      <c r="IC13" s="159" t="str">
        <f>IF(COUNT(IC14:IC15)=0,"",SUM(IC14:IC15)/COUNT(IC14:IC15))</f>
        <v/>
      </c>
      <c r="ID13" s="160" t="str">
        <f t="shared" si="71"/>
        <v/>
      </c>
      <c r="IE13" s="152"/>
      <c r="IF13" s="65"/>
      <c r="IG13" s="65"/>
      <c r="IH13" s="85"/>
      <c r="II13" s="159" t="str">
        <f>IF(COUNT(II14,II15)=0,"",SUM(II14:II15)/COUNT(II14,II15))</f>
        <v/>
      </c>
      <c r="IJ13" s="175" t="str">
        <f t="shared" si="72"/>
        <v/>
      </c>
      <c r="IK13" s="153"/>
      <c r="IL13" s="90"/>
      <c r="IM13" s="90"/>
      <c r="IN13" s="90"/>
      <c r="IO13" s="90"/>
      <c r="IP13" s="91"/>
      <c r="IQ13" s="159">
        <f>IF(COUNT(IQ14,IQ15)=0,"",SUM(IQ14:IQ15)/COUNT(IQ14,IQ15))</f>
        <v>4</v>
      </c>
      <c r="IR13" s="183" t="str">
        <f t="shared" si="73"/>
        <v>A</v>
      </c>
      <c r="IS13" s="184">
        <f>IF(COUNT(IS14:IS15)=0,"",SUM(IS14:IS15)/COUNT(IS14:IS15))</f>
        <v>4</v>
      </c>
      <c r="IT13" s="185" t="str">
        <f t="shared" si="74"/>
        <v>A</v>
      </c>
      <c r="IU13" s="196"/>
      <c r="IV13" s="65"/>
      <c r="IW13" s="85"/>
      <c r="IX13" s="159" t="str">
        <f>IF(COUNT(IX14:IX15)=0,"",SUM(IX14:IX15)/COUNT(IX14:IX15))</f>
        <v/>
      </c>
      <c r="IY13" s="160" t="str">
        <f t="shared" si="75"/>
        <v/>
      </c>
      <c r="IZ13" s="152"/>
      <c r="JA13" s="65"/>
      <c r="JB13" s="65"/>
      <c r="JC13" s="85"/>
      <c r="JD13" s="159" t="str">
        <f>IF(COUNT(JD14,JD15)=0,"",SUM(JD14:JD15)/COUNT(JD14,JD15))</f>
        <v/>
      </c>
      <c r="JE13" s="175" t="str">
        <f t="shared" si="76"/>
        <v/>
      </c>
      <c r="JF13" s="153"/>
      <c r="JG13" s="90"/>
      <c r="JH13" s="90"/>
      <c r="JI13" s="90"/>
      <c r="JJ13" s="90"/>
      <c r="JK13" s="91"/>
      <c r="JL13" s="159">
        <f>IF(COUNT(JL14,JL15)=0,"",SUM(JL14:JL15)/COUNT(JL14,JL15))</f>
        <v>4</v>
      </c>
      <c r="JM13" s="183" t="str">
        <f t="shared" si="77"/>
        <v>A</v>
      </c>
      <c r="JN13" s="184">
        <f>IF(COUNT(JN14:JN15)=0,"",SUM(JN14:JN15)/COUNT(JN14:JN15))</f>
        <v>4</v>
      </c>
      <c r="JO13" s="185" t="str">
        <f t="shared" si="78"/>
        <v>A</v>
      </c>
      <c r="JP13" s="196"/>
      <c r="JQ13" s="65"/>
      <c r="JR13" s="85"/>
      <c r="JS13" s="159" t="str">
        <f>IF(COUNT(JS14:JS15)=0,"",SUM(JS14:JS15)/COUNT(JS14:JS15))</f>
        <v/>
      </c>
      <c r="JT13" s="160" t="str">
        <f t="shared" si="79"/>
        <v/>
      </c>
      <c r="JU13" s="152"/>
      <c r="JV13" s="65"/>
      <c r="JW13" s="65"/>
      <c r="JX13" s="85"/>
      <c r="JY13" s="159" t="str">
        <f>IF(COUNT(JY14,JY15)=0,"",SUM(JY14:JY15)/COUNT(JY14,JY15))</f>
        <v/>
      </c>
      <c r="JZ13" s="175" t="str">
        <f t="shared" si="80"/>
        <v/>
      </c>
      <c r="KA13" s="153"/>
      <c r="KB13" s="90"/>
      <c r="KC13" s="90"/>
      <c r="KD13" s="90"/>
      <c r="KE13" s="90"/>
      <c r="KF13" s="91"/>
      <c r="KG13" s="159">
        <f>IF(COUNT(KG14,KG15)=0,"",SUM(KG14:KG15)/COUNT(KG14,KG15))</f>
        <v>4</v>
      </c>
      <c r="KH13" s="183" t="str">
        <f t="shared" si="81"/>
        <v>A</v>
      </c>
      <c r="KI13" s="184">
        <f>IF(COUNT(KI14:KI15)=0,"",SUM(KI14:KI15)/COUNT(KI14:KI15))</f>
        <v>4</v>
      </c>
      <c r="KJ13" s="185" t="str">
        <f t="shared" si="82"/>
        <v>A</v>
      </c>
      <c r="KK13" s="196"/>
      <c r="KL13" s="65"/>
      <c r="KM13" s="85"/>
      <c r="KN13" s="159" t="str">
        <f>IF(COUNT(KN14:KN15)=0,"",SUM(KN14:KN15)/COUNT(KN14:KN15))</f>
        <v/>
      </c>
      <c r="KO13" s="160" t="str">
        <f t="shared" si="83"/>
        <v/>
      </c>
      <c r="KP13" s="152"/>
      <c r="KQ13" s="65"/>
      <c r="KR13" s="65"/>
      <c r="KS13" s="85"/>
      <c r="KT13" s="159" t="str">
        <f>IF(COUNT(KT14,KT15)=0,"",SUM(KT14:KT15)/COUNT(KT14,KT15))</f>
        <v/>
      </c>
      <c r="KU13" s="175" t="str">
        <f t="shared" si="84"/>
        <v/>
      </c>
      <c r="KV13" s="153"/>
      <c r="KW13" s="90"/>
      <c r="KX13" s="90"/>
      <c r="KY13" s="90"/>
      <c r="KZ13" s="90"/>
      <c r="LA13" s="91"/>
      <c r="LB13" s="159">
        <f>IF(COUNT(LB14,LB15)=0,"",SUM(LB14:LB15)/COUNT(LB14,LB15))</f>
        <v>4</v>
      </c>
      <c r="LC13" s="183" t="str">
        <f t="shared" si="85"/>
        <v>A</v>
      </c>
      <c r="LD13" s="184">
        <f>IF(COUNT(LD14:LD15)=0,"",SUM(LD14:LD15)/COUNT(LD14:LD15))</f>
        <v>4</v>
      </c>
      <c r="LE13" s="185" t="str">
        <f t="shared" si="86"/>
        <v>A</v>
      </c>
      <c r="LF13" s="196"/>
      <c r="LG13" s="65"/>
      <c r="LH13" s="85"/>
      <c r="LI13" s="159" t="str">
        <f>IF(COUNT(LI14:LI15)=0,"",SUM(LI14:LI15)/COUNT(LI14:LI15))</f>
        <v/>
      </c>
      <c r="LJ13" s="160" t="str">
        <f t="shared" si="87"/>
        <v/>
      </c>
      <c r="LK13" s="152"/>
      <c r="LL13" s="65"/>
      <c r="LM13" s="65"/>
      <c r="LN13" s="85"/>
      <c r="LO13" s="159" t="str">
        <f>IF(COUNT(LO14,LO15)=0,"",SUM(LO14:LO15)/COUNT(LO14,LO15))</f>
        <v/>
      </c>
      <c r="LP13" s="175" t="str">
        <f t="shared" si="88"/>
        <v/>
      </c>
      <c r="LQ13" s="153"/>
      <c r="LR13" s="90"/>
      <c r="LS13" s="90"/>
      <c r="LT13" s="90"/>
      <c r="LU13" s="90"/>
      <c r="LV13" s="91"/>
      <c r="LW13" s="159">
        <f>IF(COUNT(LW14,LW15)=0,"",SUM(LW14:LW15)/COUNT(LW14,LW15))</f>
        <v>4</v>
      </c>
      <c r="LX13" s="183" t="str">
        <f t="shared" si="89"/>
        <v>A</v>
      </c>
      <c r="LY13" s="184">
        <f>IF(COUNT(LY14:LY15)=0,"",SUM(LY14:LY15)/COUNT(LY14:LY15))</f>
        <v>4</v>
      </c>
      <c r="LZ13" s="185" t="str">
        <f t="shared" si="90"/>
        <v>A</v>
      </c>
      <c r="MA13" s="196"/>
      <c r="MB13" s="65"/>
      <c r="MC13" s="85"/>
      <c r="MD13" s="159" t="str">
        <f>IF(COUNT(MD14:MD15)=0,"",SUM(MD14:MD15)/COUNT(MD14:MD15))</f>
        <v/>
      </c>
      <c r="ME13" s="160" t="str">
        <f t="shared" si="91"/>
        <v/>
      </c>
      <c r="MF13" s="152"/>
      <c r="MG13" s="65"/>
      <c r="MH13" s="65"/>
      <c r="MI13" s="85"/>
      <c r="MJ13" s="159" t="str">
        <f>IF(COUNT(MJ14,MJ15)=0,"",SUM(MJ14:MJ15)/COUNT(MJ14,MJ15))</f>
        <v/>
      </c>
      <c r="MK13" s="175" t="str">
        <f t="shared" si="92"/>
        <v/>
      </c>
      <c r="ML13" s="153"/>
      <c r="MM13" s="90"/>
      <c r="MN13" s="90"/>
      <c r="MO13" s="90"/>
      <c r="MP13" s="90"/>
      <c r="MQ13" s="91"/>
      <c r="MR13" s="159">
        <f>IF(COUNT(MR14,MR15)=0,"",SUM(MR14:MR15)/COUNT(MR14,MR15))</f>
        <v>3.5</v>
      </c>
      <c r="MS13" s="183" t="str">
        <f t="shared" si="93"/>
        <v>B</v>
      </c>
      <c r="MT13" s="184">
        <f>IF(COUNT(MT14:MT15)=0,"",SUM(MT14:MT15)/COUNT(MT14:MT15))</f>
        <v>3.5</v>
      </c>
      <c r="MU13" s="185" t="str">
        <f t="shared" si="94"/>
        <v>B</v>
      </c>
      <c r="MV13" s="196"/>
      <c r="MW13" s="65"/>
      <c r="MX13" s="85"/>
      <c r="MY13" s="159" t="str">
        <f>IF(COUNT(MY14:MY15)=0,"",SUM(MY14:MY15)/COUNT(MY14:MY15))</f>
        <v/>
      </c>
      <c r="MZ13" s="160" t="str">
        <f t="shared" si="95"/>
        <v/>
      </c>
      <c r="NA13" s="152"/>
      <c r="NB13" s="65"/>
      <c r="NC13" s="65"/>
      <c r="ND13" s="85"/>
      <c r="NE13" s="159" t="str">
        <f>IF(COUNT(NE14,NE15)=0,"",SUM(NE14:NE15)/COUNT(NE14,NE15))</f>
        <v/>
      </c>
      <c r="NF13" s="175" t="str">
        <f t="shared" si="96"/>
        <v/>
      </c>
      <c r="NG13" s="153"/>
      <c r="NH13" s="90"/>
      <c r="NI13" s="90"/>
      <c r="NJ13" s="90"/>
      <c r="NK13" s="90"/>
      <c r="NL13" s="91"/>
      <c r="NM13" s="159">
        <f>IF(COUNT(NM14,NM15)=0,"",SUM(NM14:NM15)/COUNT(NM14,NM15))</f>
        <v>4</v>
      </c>
      <c r="NN13" s="183" t="str">
        <f t="shared" si="97"/>
        <v>A</v>
      </c>
      <c r="NO13" s="184">
        <f>IF(COUNT(NO14:NO15)=0,"",SUM(NO14:NO15)/COUNT(NO14:NO15))</f>
        <v>4</v>
      </c>
      <c r="NP13" s="185" t="str">
        <f t="shared" si="98"/>
        <v>A</v>
      </c>
      <c r="NQ13" s="196"/>
      <c r="NR13" s="65"/>
      <c r="NS13" s="85"/>
      <c r="NT13" s="159" t="str">
        <f>IF(COUNT(NT14:NT15)=0,"",SUM(NT14:NT15)/COUNT(NT14:NT15))</f>
        <v/>
      </c>
      <c r="NU13" s="160" t="str">
        <f t="shared" si="99"/>
        <v/>
      </c>
      <c r="NV13" s="152"/>
      <c r="NW13" s="65"/>
      <c r="NX13" s="65"/>
      <c r="NY13" s="85"/>
      <c r="NZ13" s="159" t="str">
        <f>IF(COUNT(NZ14,NZ15)=0,"",SUM(NZ14:NZ15)/COUNT(NZ14,NZ15))</f>
        <v/>
      </c>
      <c r="OA13" s="175" t="str">
        <f t="shared" si="100"/>
        <v/>
      </c>
      <c r="OB13" s="153"/>
      <c r="OC13" s="90"/>
      <c r="OD13" s="90"/>
      <c r="OE13" s="90"/>
      <c r="OF13" s="90"/>
      <c r="OG13" s="91"/>
      <c r="OH13" s="159">
        <f>IF(COUNT(OH14,OH15)=0,"",SUM(OH14:OH15)/COUNT(OH14,OH15))</f>
        <v>3.5</v>
      </c>
      <c r="OI13" s="183" t="str">
        <f t="shared" si="101"/>
        <v>B</v>
      </c>
      <c r="OJ13" s="184">
        <f>IF(COUNT(OJ14:OJ15)=0,"",SUM(OJ14:OJ15)/COUNT(OJ14:OJ15))</f>
        <v>3.5</v>
      </c>
      <c r="OK13" s="185" t="str">
        <f t="shared" si="102"/>
        <v>B</v>
      </c>
      <c r="OL13" s="196"/>
      <c r="OM13" s="65"/>
      <c r="ON13" s="85"/>
      <c r="OO13" s="159" t="str">
        <f>IF(COUNT(OO14:OO15)=0,"",SUM(OO14:OO15)/COUNT(OO14:OO15))</f>
        <v/>
      </c>
      <c r="OP13" s="160" t="str">
        <f t="shared" si="103"/>
        <v/>
      </c>
      <c r="OQ13" s="152"/>
      <c r="OR13" s="65"/>
      <c r="OS13" s="65"/>
      <c r="OT13" s="85"/>
      <c r="OU13" s="159" t="str">
        <f>IF(COUNT(OU14,OU15)=0,"",SUM(OU14:OU15)/COUNT(OU14,OU15))</f>
        <v/>
      </c>
      <c r="OV13" s="175" t="str">
        <f t="shared" si="104"/>
        <v/>
      </c>
      <c r="OW13" s="153"/>
      <c r="OX13" s="90"/>
      <c r="OY13" s="90"/>
      <c r="OZ13" s="90"/>
      <c r="PA13" s="90"/>
      <c r="PB13" s="91"/>
      <c r="PC13" s="159" t="str">
        <f>IF(COUNT(PC14,PC15)=0,"",SUM(PC14:PC15)/COUNT(PC14,PC15))</f>
        <v/>
      </c>
      <c r="PD13" s="183" t="str">
        <f t="shared" si="105"/>
        <v/>
      </c>
      <c r="PE13" s="184" t="str">
        <f>IF(COUNT(PE14:PE15)=0,"",SUM(PE14:PE15)/COUNT(PE14:PE15))</f>
        <v/>
      </c>
      <c r="PF13" s="185" t="str">
        <f t="shared" si="106"/>
        <v/>
      </c>
      <c r="PG13" s="196"/>
      <c r="PH13" s="65"/>
      <c r="PI13" s="85"/>
      <c r="PJ13" s="159" t="str">
        <f>IF(COUNT(PJ14:PJ15)=0,"",SUM(PJ14:PJ15)/COUNT(PJ14:PJ15))</f>
        <v/>
      </c>
      <c r="PK13" s="160" t="str">
        <f t="shared" si="107"/>
        <v/>
      </c>
      <c r="PL13" s="152"/>
      <c r="PM13" s="65"/>
      <c r="PN13" s="65"/>
      <c r="PO13" s="85"/>
      <c r="PP13" s="159" t="str">
        <f>IF(COUNT(PP14,PP15)=0,"",SUM(PP14:PP15)/COUNT(PP14,PP15))</f>
        <v/>
      </c>
      <c r="PQ13" s="175" t="str">
        <f t="shared" si="108"/>
        <v/>
      </c>
      <c r="PR13" s="153"/>
      <c r="PS13" s="90"/>
      <c r="PT13" s="90"/>
      <c r="PU13" s="90"/>
      <c r="PV13" s="90"/>
      <c r="PW13" s="91"/>
      <c r="PX13" s="159">
        <f>IF(COUNT(PX14,PX15)=0,"",SUM(PX14:PX15)/COUNT(PX14,PX15))</f>
        <v>4</v>
      </c>
      <c r="PY13" s="183" t="str">
        <f t="shared" si="109"/>
        <v>A</v>
      </c>
      <c r="PZ13" s="184">
        <f>IF(COUNT(PZ14:PZ15)=0,"",SUM(PZ14:PZ15)/COUNT(PZ14:PZ15))</f>
        <v>4</v>
      </c>
      <c r="QA13" s="185" t="str">
        <f t="shared" si="110"/>
        <v>A</v>
      </c>
      <c r="QB13" s="196"/>
      <c r="QC13" s="65"/>
      <c r="QD13" s="85"/>
      <c r="QE13" s="159" t="str">
        <f>IF(COUNT(QE14:QE15)=0,"",SUM(QE14:QE15)/COUNT(QE14:QE15))</f>
        <v/>
      </c>
      <c r="QF13" s="160" t="str">
        <f t="shared" si="111"/>
        <v/>
      </c>
      <c r="QG13" s="152"/>
      <c r="QH13" s="65"/>
      <c r="QI13" s="65"/>
      <c r="QJ13" s="85"/>
      <c r="QK13" s="159" t="str">
        <f>IF(COUNT(QK14,QK15)=0,"",SUM(QK14:QK15)/COUNT(QK14,QK15))</f>
        <v/>
      </c>
      <c r="QL13" s="175" t="str">
        <f t="shared" si="112"/>
        <v/>
      </c>
      <c r="QM13" s="153"/>
      <c r="QN13" s="90"/>
      <c r="QO13" s="90"/>
      <c r="QP13" s="90"/>
      <c r="QQ13" s="90"/>
      <c r="QR13" s="91"/>
      <c r="QS13" s="159">
        <f>IF(COUNT(QS14,QS15)=0,"",SUM(QS14:QS15)/COUNT(QS14,QS15))</f>
        <v>4</v>
      </c>
      <c r="QT13" s="183" t="str">
        <f t="shared" si="113"/>
        <v>A</v>
      </c>
      <c r="QU13" s="184">
        <f>IF(COUNT(QU14:QU15)=0,"",SUM(QU14:QU15)/COUNT(QU14:QU15))</f>
        <v>4</v>
      </c>
      <c r="QV13" s="185" t="str">
        <f t="shared" si="114"/>
        <v>A</v>
      </c>
      <c r="QW13" s="196"/>
      <c r="QX13" s="65"/>
      <c r="QY13" s="85"/>
      <c r="QZ13" s="159" t="str">
        <f>IF(COUNT(QZ14:QZ15)=0,"",SUM(QZ14:QZ15)/COUNT(QZ14:QZ15))</f>
        <v/>
      </c>
      <c r="RA13" s="160" t="str">
        <f t="shared" si="115"/>
        <v/>
      </c>
      <c r="RB13" s="152"/>
      <c r="RC13" s="65"/>
      <c r="RD13" s="65"/>
      <c r="RE13" s="85"/>
      <c r="RF13" s="159" t="str">
        <f>IF(COUNT(RF14,RF15)=0,"",SUM(RF14:RF15)/COUNT(RF14,RF15))</f>
        <v/>
      </c>
      <c r="RG13" s="175" t="str">
        <f t="shared" si="116"/>
        <v/>
      </c>
      <c r="RH13" s="153"/>
      <c r="RI13" s="90"/>
      <c r="RJ13" s="90"/>
      <c r="RK13" s="90"/>
      <c r="RL13" s="90"/>
      <c r="RM13" s="91"/>
      <c r="RN13" s="159">
        <f>IF(COUNT(RN14,RN15)=0,"",SUM(RN14:RN15)/COUNT(RN14,RN15))</f>
        <v>4</v>
      </c>
      <c r="RO13" s="183" t="str">
        <f t="shared" si="117"/>
        <v>A</v>
      </c>
      <c r="RP13" s="184">
        <f>IF(COUNT(RP14:RP15)=0,"",SUM(RP14:RP15)/COUNT(RP14:RP15))</f>
        <v>4</v>
      </c>
      <c r="RQ13" s="185" t="str">
        <f t="shared" si="118"/>
        <v>A</v>
      </c>
      <c r="RR13" s="196"/>
      <c r="RS13" s="65"/>
      <c r="RT13" s="85"/>
      <c r="RU13" s="159" t="str">
        <f>IF(COUNT(RU14:RU15)=0,"",SUM(RU14:RU15)/COUNT(RU14:RU15))</f>
        <v/>
      </c>
      <c r="RV13" s="160" t="str">
        <f t="shared" si="119"/>
        <v/>
      </c>
      <c r="RW13" s="152"/>
      <c r="RX13" s="65"/>
      <c r="RY13" s="65"/>
      <c r="RZ13" s="85"/>
      <c r="SA13" s="159" t="str">
        <f>IF(COUNT(SA14,SA15)=0,"",SUM(SA14:SA15)/COUNT(SA14,SA15))</f>
        <v/>
      </c>
      <c r="SB13" s="175" t="str">
        <f t="shared" si="120"/>
        <v/>
      </c>
      <c r="SC13" s="153"/>
      <c r="SD13" s="90"/>
      <c r="SE13" s="90"/>
      <c r="SF13" s="90"/>
      <c r="SG13" s="90"/>
      <c r="SH13" s="91"/>
      <c r="SI13" s="159">
        <f>IF(COUNT(SI14,SI15)=0,"",SUM(SI14:SI15)/COUNT(SI14,SI15))</f>
        <v>4</v>
      </c>
      <c r="SJ13" s="183" t="str">
        <f t="shared" si="121"/>
        <v>A</v>
      </c>
      <c r="SK13" s="184">
        <f>IF(COUNT(SK14:SK15)=0,"",SUM(SK14:SK15)/COUNT(SK14:SK15))</f>
        <v>4</v>
      </c>
      <c r="SL13" s="185" t="str">
        <f t="shared" si="122"/>
        <v>A</v>
      </c>
      <c r="SM13" s="196"/>
      <c r="SN13" s="65"/>
      <c r="SO13" s="85"/>
      <c r="SP13" s="159" t="str">
        <f>IF(COUNT(SP14:SP15)=0,"",SUM(SP14:SP15)/COUNT(SP14:SP15))</f>
        <v/>
      </c>
      <c r="SQ13" s="160" t="str">
        <f t="shared" si="123"/>
        <v/>
      </c>
      <c r="SR13" s="152"/>
      <c r="SS13" s="65"/>
      <c r="ST13" s="65"/>
      <c r="SU13" s="85"/>
      <c r="SV13" s="159" t="str">
        <f>IF(COUNT(SV14,SV15)=0,"",SUM(SV14:SV15)/COUNT(SV14,SV15))</f>
        <v/>
      </c>
      <c r="SW13" s="175" t="str">
        <f t="shared" si="124"/>
        <v/>
      </c>
      <c r="SX13" s="153"/>
      <c r="SY13" s="90"/>
      <c r="SZ13" s="90"/>
      <c r="TA13" s="90"/>
      <c r="TB13" s="90"/>
      <c r="TC13" s="91"/>
      <c r="TD13" s="159">
        <f>IF(COUNT(TD14,TD15)=0,"",SUM(TD14:TD15)/COUNT(TD14,TD15))</f>
        <v>4</v>
      </c>
      <c r="TE13" s="183" t="str">
        <f t="shared" si="125"/>
        <v>A</v>
      </c>
      <c r="TF13" s="184">
        <f>IF(COUNT(TF14:TF15)=0,"",SUM(TF14:TF15)/COUNT(TF14:TF15))</f>
        <v>4</v>
      </c>
      <c r="TG13" s="185" t="str">
        <f t="shared" si="126"/>
        <v>A</v>
      </c>
      <c r="TH13" s="196"/>
      <c r="TI13" s="65"/>
      <c r="TJ13" s="85"/>
      <c r="TK13" s="159" t="str">
        <f>IF(COUNT(TK14:TK15)=0,"",SUM(TK14:TK15)/COUNT(TK14:TK15))</f>
        <v/>
      </c>
      <c r="TL13" s="160" t="str">
        <f t="shared" si="127"/>
        <v/>
      </c>
      <c r="TM13" s="152"/>
      <c r="TN13" s="65"/>
      <c r="TO13" s="65"/>
      <c r="TP13" s="85"/>
      <c r="TQ13" s="159" t="str">
        <f>IF(COUNT(TQ14,TQ15)=0,"",SUM(TQ14:TQ15)/COUNT(TQ14,TQ15))</f>
        <v/>
      </c>
      <c r="TR13" s="175" t="str">
        <f t="shared" si="128"/>
        <v/>
      </c>
      <c r="TS13" s="153"/>
      <c r="TT13" s="90"/>
      <c r="TU13" s="90"/>
      <c r="TV13" s="90"/>
      <c r="TW13" s="90"/>
      <c r="TX13" s="91"/>
      <c r="TY13" s="159">
        <f>IF(COUNT(TY14,TY15)=0,"",SUM(TY14:TY15)/COUNT(TY14,TY15))</f>
        <v>4</v>
      </c>
      <c r="TZ13" s="183" t="str">
        <f t="shared" si="129"/>
        <v>A</v>
      </c>
      <c r="UA13" s="184">
        <f>IF(COUNT(UA14:UA15)=0,"",SUM(UA14:UA15)/COUNT(UA14:UA15))</f>
        <v>4</v>
      </c>
      <c r="UB13" s="185" t="str">
        <f t="shared" si="130"/>
        <v>A</v>
      </c>
      <c r="UC13" s="196"/>
      <c r="UD13" s="65"/>
      <c r="UE13" s="85"/>
      <c r="UF13" s="159" t="str">
        <f>IF(COUNT(UF14:UF15)=0,"",SUM(UF14:UF15)/COUNT(UF14:UF15))</f>
        <v/>
      </c>
      <c r="UG13" s="160" t="str">
        <f t="shared" si="131"/>
        <v/>
      </c>
      <c r="UH13" s="152"/>
      <c r="UI13" s="65"/>
      <c r="UJ13" s="65"/>
      <c r="UK13" s="85"/>
      <c r="UL13" s="159" t="str">
        <f>IF(COUNT(UL14,UL15)=0,"",SUM(UL14:UL15)/COUNT(UL14,UL15))</f>
        <v/>
      </c>
      <c r="UM13" s="175" t="str">
        <f t="shared" si="132"/>
        <v/>
      </c>
      <c r="UN13" s="153"/>
      <c r="UO13" s="90"/>
      <c r="UP13" s="90"/>
      <c r="UQ13" s="90"/>
      <c r="UR13" s="90"/>
      <c r="US13" s="91"/>
      <c r="UT13" s="159">
        <f>IF(COUNT(UT14,UT15)=0,"",SUM(UT14:UT15)/COUNT(UT14,UT15))</f>
        <v>4</v>
      </c>
      <c r="UU13" s="183" t="str">
        <f t="shared" si="133"/>
        <v>A</v>
      </c>
      <c r="UV13" s="184">
        <f>IF(COUNT(UV14:UV15)=0,"",SUM(UV14:UV15)/COUNT(UV14:UV15))</f>
        <v>4</v>
      </c>
      <c r="UW13" s="185" t="str">
        <f t="shared" si="134"/>
        <v>A</v>
      </c>
      <c r="UX13" s="196"/>
      <c r="UY13" s="65"/>
      <c r="UZ13" s="85"/>
      <c r="VA13" s="159" t="str">
        <f>IF(COUNT(VA14:VA15)=0,"",SUM(VA14:VA15)/COUNT(VA14:VA15))</f>
        <v/>
      </c>
      <c r="VB13" s="160" t="str">
        <f t="shared" si="135"/>
        <v/>
      </c>
      <c r="VC13" s="152"/>
      <c r="VD13" s="65"/>
      <c r="VE13" s="65"/>
      <c r="VF13" s="85"/>
      <c r="VG13" s="159" t="str">
        <f>IF(COUNT(VG14,VG15)=0,"",SUM(VG14:VG15)/COUNT(VG14,VG15))</f>
        <v/>
      </c>
      <c r="VH13" s="175" t="str">
        <f t="shared" si="136"/>
        <v/>
      </c>
      <c r="VI13" s="153"/>
      <c r="VJ13" s="90"/>
      <c r="VK13" s="90"/>
      <c r="VL13" s="90"/>
      <c r="VM13" s="90"/>
      <c r="VN13" s="91"/>
      <c r="VO13" s="159">
        <f>IF(COUNT(VO14,VO15)=0,"",SUM(VO14:VO15)/COUNT(VO14,VO15))</f>
        <v>4</v>
      </c>
      <c r="VP13" s="183" t="str">
        <f t="shared" si="137"/>
        <v>A</v>
      </c>
      <c r="VQ13" s="184">
        <f>IF(COUNT(VQ14:VQ15)=0,"",SUM(VQ14:VQ15)/COUNT(VQ14:VQ15))</f>
        <v>4</v>
      </c>
      <c r="VR13" s="185" t="str">
        <f t="shared" si="138"/>
        <v>A</v>
      </c>
      <c r="VS13" s="121"/>
      <c r="VT13" s="65"/>
      <c r="VU13" s="85"/>
      <c r="VV13" s="86" t="str">
        <f>IF(COUNT(VV14:VV15)=0,"",SUM(VV14:VV15)/COUNT(VV14:VV15))</f>
        <v/>
      </c>
      <c r="VW13" s="87" t="str">
        <f t="shared" si="139"/>
        <v/>
      </c>
      <c r="VX13" s="84"/>
      <c r="VY13" s="65"/>
      <c r="VZ13" s="85"/>
      <c r="WA13" s="86" t="str">
        <f>IF(COUNT(WA14,WA15)=0,"",SUM(WA14:WA15)/COUNT(WA14,WA15))</f>
        <v/>
      </c>
      <c r="WB13" s="88" t="str">
        <f t="shared" si="140"/>
        <v/>
      </c>
      <c r="WC13" s="89"/>
      <c r="WD13" s="90"/>
      <c r="WE13" s="91"/>
      <c r="WF13" s="86" t="str">
        <f>IF(COUNT(WF14,WF15)=0,"",SUM(WF14:WF15)/COUNT(WF14,WF15))</f>
        <v/>
      </c>
      <c r="WG13" s="92" t="str">
        <f t="shared" si="141"/>
        <v/>
      </c>
      <c r="WH13" s="93" t="str">
        <f>IF(COUNT(WH14:WH15)=0,"",SUM(WH14:WH15)/COUNT(WH14:WH15))</f>
        <v/>
      </c>
      <c r="WI13" s="94" t="str">
        <f t="shared" si="142"/>
        <v/>
      </c>
      <c r="WJ13" s="121"/>
      <c r="WK13" s="65"/>
      <c r="WL13" s="85"/>
      <c r="WM13" s="86" t="str">
        <f>IF(COUNT(WM14:WM15)=0,"",SUM(WM14:WM15)/COUNT(WM14:WM15))</f>
        <v/>
      </c>
      <c r="WN13" s="87" t="str">
        <f t="shared" si="143"/>
        <v/>
      </c>
      <c r="WO13" s="84"/>
      <c r="WP13" s="65"/>
      <c r="WQ13" s="85"/>
      <c r="WR13" s="86" t="str">
        <f>IF(COUNT(WR14,WR15)=0,"",SUM(WR14:WR15)/COUNT(WR14,WR15))</f>
        <v/>
      </c>
      <c r="WS13" s="88" t="str">
        <f t="shared" si="144"/>
        <v/>
      </c>
      <c r="WT13" s="89"/>
      <c r="WU13" s="90"/>
      <c r="WV13" s="91"/>
      <c r="WW13" s="86" t="str">
        <f>IF(COUNT(WW14,WW15)=0,"",SUM(WW14:WW15)/COUNT(WW14,WW15))</f>
        <v/>
      </c>
      <c r="WX13" s="92" t="str">
        <f t="shared" si="145"/>
        <v/>
      </c>
      <c r="WY13" s="93" t="str">
        <f>IF(COUNT(WY14:WY15)=0,"",SUM(WY14:WY15)/COUNT(WY14:WY15))</f>
        <v/>
      </c>
      <c r="WZ13" s="94" t="str">
        <f t="shared" si="146"/>
        <v/>
      </c>
    </row>
    <row r="14" spans="1:624" ht="18" customHeight="1" x14ac:dyDescent="0.55000000000000004">
      <c r="A14" s="217" t="s">
        <v>19</v>
      </c>
      <c r="B14" s="218"/>
      <c r="C14" s="103"/>
      <c r="D14" s="104"/>
      <c r="E14" s="105"/>
      <c r="F14" s="161" t="str">
        <f>IFERROR((((COUNTIF('Elève (3ème5)'!C14:E14,"A"))*4)+((COUNTIF('Elève (3ème5)'!C14:E14,"B"))*3)+((COUNTIF('Elève (3ème5)'!C14:E14,"C"))*2)+((COUNTIF('Elève (3ème5)'!C14:E14,"D"))*1))/(COUNTA(C14:E14)),"")</f>
        <v/>
      </c>
      <c r="G14" s="162" t="str">
        <f t="shared" si="27"/>
        <v/>
      </c>
      <c r="H14" s="103"/>
      <c r="I14" s="104"/>
      <c r="J14" s="105"/>
      <c r="K14" s="105"/>
      <c r="L14" s="161" t="str">
        <f>IFERROR((((COUNTIF('Elève (3ème5)'!H14:K14,"A"))*4)+((COUNTIF('Elève (3ème5)'!H14:K14,"B"))*3)+((COUNTIF('Elève (3ème5)'!H14:K14,"C"))*2)+((COUNTIF('Elève (3ème5)'!H14:K14,"D"))*1))/(COUNTA(H14:K14)),"")</f>
        <v/>
      </c>
      <c r="M14" s="162" t="str">
        <f t="shared" si="28"/>
        <v/>
      </c>
      <c r="N14" s="103"/>
      <c r="O14" s="104"/>
      <c r="P14" s="105"/>
      <c r="Q14" s="105"/>
      <c r="R14" s="105"/>
      <c r="S14" s="105"/>
      <c r="T14" s="161" t="str">
        <f>IFERROR((((COUNTIF('Elève (3ème5)'!N14:S14,"A"))*4)+((COUNTIF('Elève (3ème5)'!N14:S14,"B"))*3)+((COUNTIF('Elève (3ème5)'!N14:S14,"C"))*2)+((COUNTIF('Elève (3ème5)'!N14:S14,"D"))*1))/(COUNTA(N14:S14)),"")</f>
        <v/>
      </c>
      <c r="U14" s="162" t="str">
        <f t="shared" si="29"/>
        <v/>
      </c>
      <c r="V14" s="161" t="str">
        <f>IF(COUNT(F14,L14,T14)=0,"",SUM(F14,L14,T14)/COUNT(F14,L14,T14))</f>
        <v/>
      </c>
      <c r="W14" s="186" t="str">
        <f t="shared" si="30"/>
        <v/>
      </c>
      <c r="X14" s="103"/>
      <c r="Y14" s="104"/>
      <c r="Z14" s="105"/>
      <c r="AA14" s="161" t="str">
        <f>IFERROR((((COUNTIF('Elève (3ème5)'!X14:Z14,"A"))*4)+((COUNTIF('Elève (3ème5)'!X14:Z14,"B"))*3)+((COUNTIF('Elève (3ème5)'!X14:Z14,"C"))*2)+((COUNTIF('Elève (3ème5)'!X14:Z14,"D"))*1))/(COUNTA(X14:Z14)),"")</f>
        <v/>
      </c>
      <c r="AB14" s="162" t="str">
        <f t="shared" si="31"/>
        <v/>
      </c>
      <c r="AC14" s="103"/>
      <c r="AD14" s="104"/>
      <c r="AE14" s="105"/>
      <c r="AF14" s="105"/>
      <c r="AG14" s="161" t="str">
        <f>IFERROR((((COUNTIF('Elève (3ème5)'!AC14:AF14,"A"))*4)+((COUNTIF('Elève (3ème5)'!AC14:AF14,"B"))*3)+((COUNTIF('Elève (3ème5)'!AC14:AF14,"C"))*2)+((COUNTIF('Elève (3ème5)'!AC14:AF14,"D"))*1))/(COUNTA(AC14:AF14)),"")</f>
        <v/>
      </c>
      <c r="AH14" s="162" t="str">
        <f t="shared" si="32"/>
        <v/>
      </c>
      <c r="AI14" s="103"/>
      <c r="AJ14" s="104"/>
      <c r="AK14" s="105"/>
      <c r="AL14" s="105"/>
      <c r="AM14" s="105"/>
      <c r="AN14" s="109"/>
      <c r="AO14" s="161" t="str">
        <f>IFERROR((((COUNTIF('Elève (3ème5)'!AI14:AN14,"A"))*4)+((COUNTIF('Elève (3ème5)'!AI14:AN14,"B"))*3)+((COUNTIF('Elève (3ème5)'!AI14:AN14,"C"))*2)+((COUNTIF('Elève (3ème5)'!AI14:AN14,"D"))*1))/(COUNTA(AI14:AN14)),"")</f>
        <v/>
      </c>
      <c r="AP14" s="162" t="str">
        <f t="shared" si="33"/>
        <v/>
      </c>
      <c r="AQ14" s="161" t="str">
        <f>IF(COUNT(AA14,AG14,AO14)=0,"",SUM(AA14,AG14,AO14)/COUNT(AA14,AG14,AO14))</f>
        <v/>
      </c>
      <c r="AR14" s="186" t="str">
        <f t="shared" si="34"/>
        <v/>
      </c>
      <c r="AS14" s="103"/>
      <c r="AT14" s="104"/>
      <c r="AU14" s="105"/>
      <c r="AV14" s="161" t="str">
        <f>IFERROR((((COUNTIF('Elève (3ème5)'!AS14:AU14,"A"))*4)+((COUNTIF('Elève (3ème5)'!AS14:AU14,"B"))*3)+((COUNTIF('Elève (3ème5)'!AS14:AU14,"C"))*2)+((COUNTIF('Elève (3ème5)'!AS14:AU14,"D"))*1))/(COUNTA(AS14:AU14)),"")</f>
        <v/>
      </c>
      <c r="AW14" s="162" t="str">
        <f t="shared" si="35"/>
        <v/>
      </c>
      <c r="AX14" s="103"/>
      <c r="AY14" s="104"/>
      <c r="AZ14" s="105"/>
      <c r="BA14" s="105"/>
      <c r="BB14" s="161" t="str">
        <f>IFERROR((((COUNTIF('Elève (3ème5)'!AX14:BA14,"A"))*4)+((COUNTIF('Elève (3ème5)'!AX14:BA14,"B"))*3)+((COUNTIF('Elève (3ème5)'!AX14:BA14,"C"))*2)+((COUNTIF('Elève (3ème5)'!AX14:BA14,"D"))*1))/(COUNTA(AX14:BA14)),"")</f>
        <v/>
      </c>
      <c r="BC14" s="162" t="str">
        <f t="shared" si="36"/>
        <v/>
      </c>
      <c r="BD14" s="103"/>
      <c r="BE14" s="104"/>
      <c r="BF14" s="105"/>
      <c r="BG14" s="105"/>
      <c r="BH14" s="105"/>
      <c r="BI14" s="109"/>
      <c r="BJ14" s="161" t="str">
        <f>IFERROR((((COUNTIF('Elève (3ème5)'!BD14:BI14,"A"))*4)+((COUNTIF('Elève (3ème5)'!BD14:BI14,"B"))*3)+((COUNTIF('Elève (3ème5)'!BD14:BI14,"C"))*2)+((COUNTIF('Elève (3ème5)'!BD14:BI14,"D"))*1))/(COUNTA(BD14:BI14)),"")</f>
        <v/>
      </c>
      <c r="BK14" s="162" t="str">
        <f t="shared" si="37"/>
        <v/>
      </c>
      <c r="BL14" s="161" t="str">
        <f>IF(COUNT(AV14,BB14,BJ14)=0,"",SUM(AV14,BB14,BJ14)/COUNT(AV14,BB14,BJ14))</f>
        <v/>
      </c>
      <c r="BM14" s="186" t="str">
        <f t="shared" si="38"/>
        <v/>
      </c>
      <c r="BN14" s="103"/>
      <c r="BO14" s="104"/>
      <c r="BP14" s="105"/>
      <c r="BQ14" s="161" t="str">
        <f>IFERROR((((COUNTIF('Elève (3ème5)'!BN14:BP14,"A"))*4)+((COUNTIF('Elève (3ème5)'!BN14:BP14,"B"))*3)+((COUNTIF('Elève (3ème5)'!BN14:BP14,"C"))*2)+((COUNTIF('Elève (3ème5)'!BN14:BP14,"D"))*1))/(COUNTA(BN14:BP14)),"")</f>
        <v/>
      </c>
      <c r="BR14" s="162" t="str">
        <f t="shared" si="39"/>
        <v/>
      </c>
      <c r="BS14" s="103"/>
      <c r="BT14" s="104"/>
      <c r="BU14" s="105"/>
      <c r="BV14" s="105"/>
      <c r="BW14" s="161" t="str">
        <f>IFERROR((((COUNTIF('Elève (3ème5)'!BS14:BV14,"A"))*4)+((COUNTIF('Elève (3ème5)'!BS14:BV14,"B"))*3)+((COUNTIF('Elève (3ème5)'!BS14:BV14,"C"))*2)+((COUNTIF('Elève (3ème5)'!BS14:BV14,"D"))*1))/(COUNTA(BS14:BV14)),"")</f>
        <v/>
      </c>
      <c r="BX14" s="162" t="str">
        <f t="shared" si="40"/>
        <v/>
      </c>
      <c r="BY14" s="103"/>
      <c r="BZ14" s="104"/>
      <c r="CA14" s="105"/>
      <c r="CB14" s="105"/>
      <c r="CC14" s="105"/>
      <c r="CD14" s="109"/>
      <c r="CE14" s="161" t="str">
        <f>IFERROR((((COUNTIF('Elève (3ème5)'!BY14:CD14,"A"))*4)+((COUNTIF('Elève (3ème5)'!BY14:CD14,"B"))*3)+((COUNTIF('Elève (3ème5)'!BY14:CD14,"C"))*2)+((COUNTIF('Elève (3ème5)'!BY14:CD14,"D"))*1))/(COUNTA(BY14:CD14)),"")</f>
        <v/>
      </c>
      <c r="CF14" s="162" t="str">
        <f t="shared" si="41"/>
        <v/>
      </c>
      <c r="CG14" s="161" t="str">
        <f>IF(COUNT(BQ14,BW14,CE14)=0,"",SUM(BQ14,BW14,CE14)/COUNT(BQ14,BW14,CE14))</f>
        <v/>
      </c>
      <c r="CH14" s="186" t="str">
        <f t="shared" si="42"/>
        <v/>
      </c>
      <c r="CI14" s="103"/>
      <c r="CJ14" s="104"/>
      <c r="CK14" s="105"/>
      <c r="CL14" s="161" t="str">
        <f>IFERROR((((COUNTIF('Elève (3ème5)'!CI14:CK14,"A"))*4)+((COUNTIF('Elève (3ème5)'!CI14:CK14,"B"))*3)+((COUNTIF('Elève (3ème5)'!CI14:CK14,"C"))*2)+((COUNTIF('Elève (3ème5)'!CI14:CK14,"D"))*1))/(COUNTA(CI14:CK14)),"")</f>
        <v/>
      </c>
      <c r="CM14" s="162" t="str">
        <f t="shared" si="43"/>
        <v/>
      </c>
      <c r="CN14" s="103"/>
      <c r="CO14" s="104"/>
      <c r="CP14" s="105"/>
      <c r="CQ14" s="105"/>
      <c r="CR14" s="161" t="str">
        <f>IFERROR((((COUNTIF('Elève (3ème5)'!CN14:CQ14,"A"))*4)+((COUNTIF('Elève (3ème5)'!CN14:CQ14,"B"))*3)+((COUNTIF('Elève (3ème5)'!CN14:CQ14,"C"))*2)+((COUNTIF('Elève (3ème5)'!CN14:CQ14,"D"))*1))/(COUNTA(CN14:CQ14)),"")</f>
        <v/>
      </c>
      <c r="CS14" s="162" t="str">
        <f t="shared" si="44"/>
        <v/>
      </c>
      <c r="CT14" s="103"/>
      <c r="CU14" s="104"/>
      <c r="CV14" s="105"/>
      <c r="CW14" s="105"/>
      <c r="CX14" s="105"/>
      <c r="CY14" s="109"/>
      <c r="CZ14" s="161" t="str">
        <f>IFERROR((((COUNTIF('Elève (3ème5)'!CT14:CY14,"A"))*4)+((COUNTIF('Elève (3ème5)'!CT14:CY14,"B"))*3)+((COUNTIF('Elève (3ème5)'!CT14:CY14,"C"))*2)+((COUNTIF('Elève (3ème5)'!CT14:CY14,"D"))*1))/(COUNTA(CT14:CY14)),"")</f>
        <v/>
      </c>
      <c r="DA14" s="162" t="str">
        <f t="shared" si="45"/>
        <v/>
      </c>
      <c r="DB14" s="161" t="str">
        <f>IF(COUNT(CL14,CR14,CZ14)=0,"",SUM(CL14,CR14,CZ14)/COUNT(CL14,CR14,CZ14))</f>
        <v/>
      </c>
      <c r="DC14" s="186" t="str">
        <f t="shared" si="46"/>
        <v/>
      </c>
      <c r="DD14" s="103"/>
      <c r="DE14" s="104"/>
      <c r="DF14" s="105"/>
      <c r="DG14" s="161" t="str">
        <f>IFERROR((((COUNTIF('Elève (3ème5)'!DD14:DF14,"A"))*4)+((COUNTIF('Elève (3ème5)'!DD14:DF14,"B"))*3)+((COUNTIF('Elève (3ème5)'!DD14:DF14,"C"))*2)+((COUNTIF('Elève (3ème5)'!DD14:DF14,"D"))*1))/(COUNTA(DD14:DF14)),"")</f>
        <v/>
      </c>
      <c r="DH14" s="162" t="str">
        <f t="shared" si="47"/>
        <v/>
      </c>
      <c r="DI14" s="103"/>
      <c r="DJ14" s="104"/>
      <c r="DK14" s="105"/>
      <c r="DL14" s="105"/>
      <c r="DM14" s="161" t="str">
        <f>IFERROR((((COUNTIF('Elève (3ème5)'!DI14:DL14,"A"))*4)+((COUNTIF('Elève (3ème5)'!DI14:DL14,"B"))*3)+((COUNTIF('Elève (3ème5)'!DI14:DL14,"C"))*2)+((COUNTIF('Elève (3ème5)'!DI14:DL14,"D"))*1))/(COUNTA(DI14:DL14)),"")</f>
        <v/>
      </c>
      <c r="DN14" s="162" t="str">
        <f t="shared" si="48"/>
        <v/>
      </c>
      <c r="DO14" s="103"/>
      <c r="DP14" s="104"/>
      <c r="DQ14" s="105"/>
      <c r="DR14" s="105"/>
      <c r="DS14" s="105"/>
      <c r="DT14" s="109"/>
      <c r="DU14" s="161" t="str">
        <f>IFERROR((((COUNTIF('Elève (3ème5)'!DO14:DT14,"A"))*4)+((COUNTIF('Elève (3ème5)'!DO14:DT14,"B"))*3)+((COUNTIF('Elève (3ème5)'!DO14:DT14,"C"))*2)+((COUNTIF('Elève (3ème5)'!DO14:DT14,"D"))*1))/(COUNTA(DO14:DT14)),"")</f>
        <v/>
      </c>
      <c r="DV14" s="162" t="str">
        <f t="shared" si="49"/>
        <v/>
      </c>
      <c r="DW14" s="161" t="str">
        <f>IF(COUNT(DG14,DM14,DU14)=0,"",SUM(DG14,DM14,DU14)/COUNT(DG14,DM14,DU14))</f>
        <v/>
      </c>
      <c r="DX14" s="186" t="str">
        <f t="shared" si="50"/>
        <v/>
      </c>
      <c r="DY14" s="103"/>
      <c r="DZ14" s="104"/>
      <c r="EA14" s="105"/>
      <c r="EB14" s="161" t="str">
        <f>IFERROR((((COUNTIF('Elève (3ème5)'!DY14:EA14,"A"))*4)+((COUNTIF('Elève (3ème5)'!DY14:EA14,"B"))*3)+((COUNTIF('Elève (3ème5)'!DY14:EA14,"C"))*2)+((COUNTIF('Elève (3ème5)'!DY14:EA14,"D"))*1))/(COUNTA(DY14:EA14)),"")</f>
        <v/>
      </c>
      <c r="EC14" s="162" t="str">
        <f t="shared" si="51"/>
        <v/>
      </c>
      <c r="ED14" s="103"/>
      <c r="EE14" s="104"/>
      <c r="EF14" s="105"/>
      <c r="EG14" s="105"/>
      <c r="EH14" s="161" t="str">
        <f>IFERROR((((COUNTIF('Elève (3ème5)'!ED14:EG14,"A"))*4)+((COUNTIF('Elève (3ème5)'!ED14:EG14,"B"))*3)+((COUNTIF('Elève (3ème5)'!ED14:EG14,"C"))*2)+((COUNTIF('Elève (3ème5)'!ED14:EG14,"D"))*1))/(COUNTA(ED14:EG14)),"")</f>
        <v/>
      </c>
      <c r="EI14" s="162" t="str">
        <f t="shared" si="52"/>
        <v/>
      </c>
      <c r="EJ14" s="103"/>
      <c r="EK14" s="104"/>
      <c r="EL14" s="105"/>
      <c r="EM14" s="105"/>
      <c r="EN14" s="105"/>
      <c r="EO14" s="109"/>
      <c r="EP14" s="161" t="str">
        <f>IFERROR((((COUNTIF('Elève (3ème5)'!EJ14:EO14,"A"))*4)+((COUNTIF('Elève (3ème5)'!EJ14:EO14,"B"))*3)+((COUNTIF('Elève (3ème5)'!EJ14:EO14,"C"))*2)+((COUNTIF('Elève (3ème5)'!EJ14:EO14,"D"))*1))/(COUNTA(EJ14:EO14)),"")</f>
        <v/>
      </c>
      <c r="EQ14" s="162" t="str">
        <f t="shared" si="53"/>
        <v/>
      </c>
      <c r="ER14" s="161" t="str">
        <f>IF(COUNT(EB14,EH14,EP14)=0,"",SUM(EB14,EH14,EP14)/COUNT(EB14,EH14,EP14))</f>
        <v/>
      </c>
      <c r="ES14" s="186" t="str">
        <f t="shared" si="54"/>
        <v/>
      </c>
      <c r="ET14" s="103"/>
      <c r="EU14" s="104"/>
      <c r="EV14" s="105"/>
      <c r="EW14" s="161" t="str">
        <f>IFERROR((((COUNTIF('Elève (3ème5)'!ET14:EV14,"A"))*4)+((COUNTIF('Elève (3ème5)'!ET14:EV14,"B"))*3)+((COUNTIF('Elève (3ème5)'!ET14:EV14,"C"))*2)+((COUNTIF('Elève (3ème5)'!ET14:EV14,"D"))*1))/(COUNTA(ET14:EV14)),"")</f>
        <v/>
      </c>
      <c r="EX14" s="162" t="str">
        <f t="shared" si="55"/>
        <v/>
      </c>
      <c r="EY14" s="103"/>
      <c r="EZ14" s="104"/>
      <c r="FA14" s="105"/>
      <c r="FB14" s="105"/>
      <c r="FC14" s="161" t="str">
        <f>IFERROR((((COUNTIF('Elève (3ème5)'!EY14:FB14,"A"))*4)+((COUNTIF('Elève (3ème5)'!EY14:FB14,"B"))*3)+((COUNTIF('Elève (3ème5)'!EY14:FB14,"C"))*2)+((COUNTIF('Elève (3ème5)'!EY14:FB14,"D"))*1))/(COUNTA(EY14:FB14)),"")</f>
        <v/>
      </c>
      <c r="FD14" s="162" t="str">
        <f t="shared" si="56"/>
        <v/>
      </c>
      <c r="FE14" s="103"/>
      <c r="FF14" s="104"/>
      <c r="FG14" s="105"/>
      <c r="FH14" s="105"/>
      <c r="FI14" s="105"/>
      <c r="FJ14" s="109"/>
      <c r="FK14" s="161" t="str">
        <f>IFERROR((((COUNTIF('Elève (3ème5)'!FE14:FJ14,"A"))*4)+((COUNTIF('Elève (3ème5)'!FE14:FJ14,"B"))*3)+((COUNTIF('Elève (3ème5)'!FE14:FJ14,"C"))*2)+((COUNTIF('Elève (3ème5)'!FE14:FJ14,"D"))*1))/(COUNTA(FE14:FJ14)),"")</f>
        <v/>
      </c>
      <c r="FL14" s="162" t="str">
        <f t="shared" si="57"/>
        <v/>
      </c>
      <c r="FM14" s="161" t="str">
        <f>IF(COUNT(EW14,FC14,FK14)=0,"",SUM(EW14,FC14,FK14)/COUNT(EW14,FC14,FK14))</f>
        <v/>
      </c>
      <c r="FN14" s="186" t="str">
        <f t="shared" si="58"/>
        <v/>
      </c>
      <c r="FO14" s="103"/>
      <c r="FP14" s="104"/>
      <c r="FQ14" s="105"/>
      <c r="FR14" s="161" t="str">
        <f>IFERROR((((COUNTIF('Elève (3ème5)'!FO14:FQ14,"A"))*4)+((COUNTIF('Elève (3ème5)'!FO14:FQ14,"B"))*3)+((COUNTIF('Elève (3ème5)'!FO14:FQ14,"C"))*2)+((COUNTIF('Elève (3ème5)'!FO14:FQ14,"D"))*1))/(COUNTA(FO14:FQ14)),"")</f>
        <v/>
      </c>
      <c r="FS14" s="162" t="str">
        <f t="shared" si="59"/>
        <v/>
      </c>
      <c r="FT14" s="103"/>
      <c r="FU14" s="104"/>
      <c r="FV14" s="105"/>
      <c r="FW14" s="105"/>
      <c r="FX14" s="161" t="str">
        <f>IFERROR((((COUNTIF('Elève (3ème5)'!FT14:FW14,"A"))*4)+((COUNTIF('Elève (3ème5)'!FT14:FW14,"B"))*3)+((COUNTIF('Elève (3ème5)'!FT14:FW14,"C"))*2)+((COUNTIF('Elève (3ème5)'!FT14:FW14,"D"))*1))/(COUNTA(FT14:FW14)),"")</f>
        <v/>
      </c>
      <c r="FY14" s="162" t="str">
        <f t="shared" si="60"/>
        <v/>
      </c>
      <c r="FZ14" s="103"/>
      <c r="GA14" s="104"/>
      <c r="GB14" s="105"/>
      <c r="GC14" s="105"/>
      <c r="GD14" s="105"/>
      <c r="GE14" s="109"/>
      <c r="GF14" s="161" t="str">
        <f>IFERROR((((COUNTIF('Elève (3ème5)'!FZ14:GE14,"A"))*4)+((COUNTIF('Elève (3ème5)'!FZ14:GE14,"B"))*3)+((COUNTIF('Elève (3ème5)'!FZ14:GE14,"C"))*2)+((COUNTIF('Elève (3ème5)'!FZ14:GE14,"D"))*1))/(COUNTA(FZ14:GE14)),"")</f>
        <v/>
      </c>
      <c r="GG14" s="162" t="str">
        <f t="shared" si="61"/>
        <v/>
      </c>
      <c r="GH14" s="161" t="str">
        <f>IF(COUNT(FR14,FX14,GF14)=0,"",SUM(FR14,FX14,GF14)/COUNT(FR14,FX14,GF14))</f>
        <v/>
      </c>
      <c r="GI14" s="186" t="str">
        <f t="shared" si="62"/>
        <v/>
      </c>
      <c r="GJ14" s="103"/>
      <c r="GK14" s="104"/>
      <c r="GL14" s="105"/>
      <c r="GM14" s="161" t="str">
        <f>IFERROR((((COUNTIF('Elève (3ème5)'!GJ14:GL14,"A"))*4)+((COUNTIF('Elève (3ème5)'!GJ14:GL14,"B"))*3)+((COUNTIF('Elève (3ème5)'!GJ14:GL14,"C"))*2)+((COUNTIF('Elève (3ème5)'!GJ14:GL14,"D"))*1))/(COUNTA(GJ14:GL14)),"")</f>
        <v/>
      </c>
      <c r="GN14" s="162" t="str">
        <f t="shared" si="63"/>
        <v/>
      </c>
      <c r="GO14" s="103"/>
      <c r="GP14" s="104"/>
      <c r="GQ14" s="105"/>
      <c r="GR14" s="105"/>
      <c r="GS14" s="161" t="str">
        <f>IFERROR((((COUNTIF('Elève (3ème5)'!GO14:GR14,"A"))*4)+((COUNTIF('Elève (3ème5)'!GO14:GR14,"B"))*3)+((COUNTIF('Elève (3ème5)'!GO14:GR14,"C"))*2)+((COUNTIF('Elève (3ème5)'!GO14:GR14,"D"))*1))/(COUNTA(GO14:GR14)),"")</f>
        <v/>
      </c>
      <c r="GT14" s="162" t="str">
        <f t="shared" si="64"/>
        <v/>
      </c>
      <c r="GU14" s="103"/>
      <c r="GV14" s="104"/>
      <c r="GW14" s="105"/>
      <c r="GX14" s="105"/>
      <c r="GY14" s="105"/>
      <c r="GZ14" s="109"/>
      <c r="HA14" s="161" t="str">
        <f>IFERROR((((COUNTIF('Elève (3ème5)'!GU14:GZ14,"A"))*4)+((COUNTIF('Elève (3ème5)'!GU14:GZ14,"B"))*3)+((COUNTIF('Elève (3ème5)'!GU14:GZ14,"C"))*2)+((COUNTIF('Elève (3ème5)'!GU14:GZ14,"D"))*1))/(COUNTA(GU14:GZ14)),"")</f>
        <v/>
      </c>
      <c r="HB14" s="162" t="str">
        <f t="shared" si="65"/>
        <v/>
      </c>
      <c r="HC14" s="161" t="str">
        <f>IF(COUNT(GM14,GS14,HA14)=0,"",SUM(GM14,GS14,HA14)/COUNT(GM14,GS14,HA14))</f>
        <v/>
      </c>
      <c r="HD14" s="186" t="str">
        <f t="shared" si="66"/>
        <v/>
      </c>
      <c r="HE14" s="103"/>
      <c r="HF14" s="104"/>
      <c r="HG14" s="105"/>
      <c r="HH14" s="161" t="str">
        <f>IFERROR((((COUNTIF('Elève (3ème5)'!HE14:HG14,"A"))*4)+((COUNTIF('Elève (3ème5)'!HE14:HG14,"B"))*3)+((COUNTIF('Elève (3ème5)'!HE14:HG14,"C"))*2)+((COUNTIF('Elève (3ème5)'!HE14:HG14,"D"))*1))/(COUNTA(HE14:HG14)),"")</f>
        <v/>
      </c>
      <c r="HI14" s="162" t="str">
        <f t="shared" si="67"/>
        <v/>
      </c>
      <c r="HJ14" s="103"/>
      <c r="HK14" s="104"/>
      <c r="HL14" s="105"/>
      <c r="HM14" s="105"/>
      <c r="HN14" s="161" t="str">
        <f>IFERROR((((COUNTIF('Elève (3ème5)'!HJ14:HM14,"A"))*4)+((COUNTIF('Elève (3ème5)'!HJ14:HM14,"B"))*3)+((COUNTIF('Elève (3ème5)'!HJ14:HM14,"C"))*2)+((COUNTIF('Elève (3ème5)'!HJ14:HM14,"D"))*1))/(COUNTA(HJ14:HM14)),"")</f>
        <v/>
      </c>
      <c r="HO14" s="162" t="str">
        <f t="shared" si="68"/>
        <v/>
      </c>
      <c r="HP14" s="103"/>
      <c r="HQ14" s="104"/>
      <c r="HR14" s="105"/>
      <c r="HS14" s="105"/>
      <c r="HT14" s="105"/>
      <c r="HU14" s="109"/>
      <c r="HV14" s="161" t="str">
        <f>IFERROR((((COUNTIF('Elève (3ème5)'!HP14:HU14,"A"))*4)+((COUNTIF('Elève (3ème5)'!HP14:HU14,"B"))*3)+((COUNTIF('Elève (3ème5)'!HP14:HU14,"C"))*2)+((COUNTIF('Elève (3ème5)'!HP14:HU14,"D"))*1))/(COUNTA(HP14:HU14)),"")</f>
        <v/>
      </c>
      <c r="HW14" s="162" t="str">
        <f t="shared" si="69"/>
        <v/>
      </c>
      <c r="HX14" s="161" t="str">
        <f>IF(COUNT(HH14,HN14,HV14)=0,"",SUM(HH14,HN14,HV14)/COUNT(HH14,HN14,HV14))</f>
        <v/>
      </c>
      <c r="HY14" s="186" t="str">
        <f t="shared" si="70"/>
        <v/>
      </c>
      <c r="HZ14" s="103"/>
      <c r="IA14" s="104"/>
      <c r="IB14" s="105"/>
      <c r="IC14" s="161" t="str">
        <f>IFERROR((((COUNTIF('Elève (3ème5)'!HZ14:IB14,"A"))*4)+((COUNTIF('Elève (3ème5)'!HZ14:IB14,"B"))*3)+((COUNTIF('Elève (3ème5)'!HZ14:IB14,"C"))*2)+((COUNTIF('Elève (3ème5)'!HZ14:IB14,"D"))*1))/(COUNTA(HZ14:IB14)),"")</f>
        <v/>
      </c>
      <c r="ID14" s="162" t="str">
        <f t="shared" si="71"/>
        <v/>
      </c>
      <c r="IE14" s="103"/>
      <c r="IF14" s="104"/>
      <c r="IG14" s="105"/>
      <c r="IH14" s="105"/>
      <c r="II14" s="161" t="str">
        <f>IFERROR((((COUNTIF('Elève (3ème5)'!IE14:IH14,"A"))*4)+((COUNTIF('Elève (3ème5)'!IE14:IH14,"B"))*3)+((COUNTIF('Elève (3ème5)'!IE14:IH14,"C"))*2)+((COUNTIF('Elève (3ème5)'!IE14:IH14,"D"))*1))/(COUNTA(IE14:IH14)),"")</f>
        <v/>
      </c>
      <c r="IJ14" s="162" t="str">
        <f t="shared" si="72"/>
        <v/>
      </c>
      <c r="IK14" s="103"/>
      <c r="IL14" s="104"/>
      <c r="IM14" s="105"/>
      <c r="IN14" s="105"/>
      <c r="IO14" s="105"/>
      <c r="IP14" s="109"/>
      <c r="IQ14" s="161" t="str">
        <f>IFERROR((((COUNTIF('Elève (3ème5)'!IK14:IP14,"A"))*4)+((COUNTIF('Elève (3ème5)'!IK14:IP14,"B"))*3)+((COUNTIF('Elève (3ème5)'!IK14:IP14,"C"))*2)+((COUNTIF('Elève (3ème5)'!IK14:IP14,"D"))*1))/(COUNTA(IK14:IP14)),"")</f>
        <v/>
      </c>
      <c r="IR14" s="162" t="str">
        <f t="shared" si="73"/>
        <v/>
      </c>
      <c r="IS14" s="161" t="str">
        <f>IF(COUNT(IC14,II14,IQ14)=0,"",SUM(IC14,II14,IQ14)/COUNT(IC14,II14,IQ14))</f>
        <v/>
      </c>
      <c r="IT14" s="186" t="str">
        <f t="shared" si="74"/>
        <v/>
      </c>
      <c r="IU14" s="103"/>
      <c r="IV14" s="104"/>
      <c r="IW14" s="105"/>
      <c r="IX14" s="161" t="str">
        <f>IFERROR((((COUNTIF('Elève (3ème5)'!IU14:IW14,"A"))*4)+((COUNTIF('Elève (3ème5)'!IU14:IW14,"B"))*3)+((COUNTIF('Elève (3ème5)'!IU14:IW14,"C"))*2)+((COUNTIF('Elève (3ème5)'!IU14:IW14,"D"))*1))/(COUNTA(IU14:IW14)),"")</f>
        <v/>
      </c>
      <c r="IY14" s="162" t="str">
        <f t="shared" si="75"/>
        <v/>
      </c>
      <c r="IZ14" s="103"/>
      <c r="JA14" s="104"/>
      <c r="JB14" s="105"/>
      <c r="JC14" s="105"/>
      <c r="JD14" s="161" t="str">
        <f>IFERROR((((COUNTIF('Elève (3ème5)'!IZ14:JC14,"A"))*4)+((COUNTIF('Elève (3ème5)'!IZ14:JC14,"B"))*3)+((COUNTIF('Elève (3ème5)'!IZ14:JC14,"C"))*2)+((COUNTIF('Elève (3ème5)'!IZ14:JC14,"D"))*1))/(COUNTA(IZ14:JC14)),"")</f>
        <v/>
      </c>
      <c r="JE14" s="162" t="str">
        <f t="shared" si="76"/>
        <v/>
      </c>
      <c r="JF14" s="103"/>
      <c r="JG14" s="104"/>
      <c r="JH14" s="105"/>
      <c r="JI14" s="105"/>
      <c r="JJ14" s="105"/>
      <c r="JK14" s="109"/>
      <c r="JL14" s="161" t="str">
        <f>IFERROR((((COUNTIF('Elève (3ème5)'!JF14:JK14,"A"))*4)+((COUNTIF('Elève (3ème5)'!JF14:JK14,"B"))*3)+((COUNTIF('Elève (3ème5)'!JF14:JK14,"C"))*2)+((COUNTIF('Elève (3ème5)'!JF14:JK14,"D"))*1))/(COUNTA(JF14:JK14)),"")</f>
        <v/>
      </c>
      <c r="JM14" s="162" t="str">
        <f t="shared" si="77"/>
        <v/>
      </c>
      <c r="JN14" s="161" t="str">
        <f>IF(COUNT(IX14,JD14,JL14)=0,"",SUM(IX14,JD14,JL14)/COUNT(IX14,JD14,JL14))</f>
        <v/>
      </c>
      <c r="JO14" s="186" t="str">
        <f t="shared" si="78"/>
        <v/>
      </c>
      <c r="JP14" s="103"/>
      <c r="JQ14" s="104"/>
      <c r="JR14" s="105"/>
      <c r="JS14" s="161" t="str">
        <f>IFERROR((((COUNTIF('Elève (3ème5)'!JP14:JR14,"A"))*4)+((COUNTIF('Elève (3ème5)'!JP14:JR14,"B"))*3)+((COUNTIF('Elève (3ème5)'!JP14:JR14,"C"))*2)+((COUNTIF('Elève (3ème5)'!JP14:JR14,"D"))*1))/(COUNTA(JP14:JR14)),"")</f>
        <v/>
      </c>
      <c r="JT14" s="162" t="str">
        <f t="shared" si="79"/>
        <v/>
      </c>
      <c r="JU14" s="103"/>
      <c r="JV14" s="104"/>
      <c r="JW14" s="105"/>
      <c r="JX14" s="105"/>
      <c r="JY14" s="161" t="str">
        <f>IFERROR((((COUNTIF('Elève (3ème5)'!JU14:JX14,"A"))*4)+((COUNTIF('Elève (3ème5)'!JU14:JX14,"B"))*3)+((COUNTIF('Elève (3ème5)'!JU14:JX14,"C"))*2)+((COUNTIF('Elève (3ème5)'!JU14:JX14,"D"))*1))/(COUNTA(JU14:JX14)),"")</f>
        <v/>
      </c>
      <c r="JZ14" s="162" t="str">
        <f t="shared" si="80"/>
        <v/>
      </c>
      <c r="KA14" s="103"/>
      <c r="KB14" s="104"/>
      <c r="KC14" s="105"/>
      <c r="KD14" s="105"/>
      <c r="KE14" s="105"/>
      <c r="KF14" s="109"/>
      <c r="KG14" s="161" t="str">
        <f>IFERROR((((COUNTIF('Elève (3ème5)'!KA14:KF14,"A"))*4)+((COUNTIF('Elève (3ème5)'!KA14:KF14,"B"))*3)+((COUNTIF('Elève (3ème5)'!KA14:KF14,"C"))*2)+((COUNTIF('Elève (3ème5)'!KA14:KF14,"D"))*1))/(COUNTA(KA14:KF14)),"")</f>
        <v/>
      </c>
      <c r="KH14" s="162" t="str">
        <f t="shared" si="81"/>
        <v/>
      </c>
      <c r="KI14" s="161" t="str">
        <f>IF(COUNT(JS14,JY14,KG14)=0,"",SUM(JS14,JY14,KG14)/COUNT(JS14,JY14,KG14))</f>
        <v/>
      </c>
      <c r="KJ14" s="186" t="str">
        <f t="shared" si="82"/>
        <v/>
      </c>
      <c r="KK14" s="103"/>
      <c r="KL14" s="104"/>
      <c r="KM14" s="105"/>
      <c r="KN14" s="161" t="str">
        <f>IFERROR((((COUNTIF('Elève (3ème5)'!KK14:KM14,"A"))*4)+((COUNTIF('Elève (3ème5)'!KK14:KM14,"B"))*3)+((COUNTIF('Elève (3ème5)'!KK14:KM14,"C"))*2)+((COUNTIF('Elève (3ème5)'!KK14:KM14,"D"))*1))/(COUNTA(KK14:KM14)),"")</f>
        <v/>
      </c>
      <c r="KO14" s="162" t="str">
        <f t="shared" si="83"/>
        <v/>
      </c>
      <c r="KP14" s="103"/>
      <c r="KQ14" s="104"/>
      <c r="KR14" s="105"/>
      <c r="KS14" s="105"/>
      <c r="KT14" s="161" t="str">
        <f>IFERROR((((COUNTIF('Elève (3ème5)'!KP14:KS14,"A"))*4)+((COUNTIF('Elève (3ème5)'!KP14:KS14,"B"))*3)+((COUNTIF('Elève (3ème5)'!KP14:KS14,"C"))*2)+((COUNTIF('Elève (3ème5)'!KP14:KS14,"D"))*1))/(COUNTA(KP14:KS14)),"")</f>
        <v/>
      </c>
      <c r="KU14" s="162" t="str">
        <f t="shared" si="84"/>
        <v/>
      </c>
      <c r="KV14" s="103"/>
      <c r="KW14" s="104"/>
      <c r="KX14" s="105"/>
      <c r="KY14" s="105"/>
      <c r="KZ14" s="105"/>
      <c r="LA14" s="109"/>
      <c r="LB14" s="161" t="str">
        <f>IFERROR((((COUNTIF('Elève (3ème5)'!KV14:LA14,"A"))*4)+((COUNTIF('Elève (3ème5)'!KV14:LA14,"B"))*3)+((COUNTIF('Elève (3ème5)'!KV14:LA14,"C"))*2)+((COUNTIF('Elève (3ème5)'!KV14:LA14,"D"))*1))/(COUNTA(KV14:LA14)),"")</f>
        <v/>
      </c>
      <c r="LC14" s="162" t="str">
        <f t="shared" si="85"/>
        <v/>
      </c>
      <c r="LD14" s="161" t="str">
        <f>IF(COUNT(KN14,KT14,LB14)=0,"",SUM(KN14,KT14,LB14)/COUNT(KN14,KT14,LB14))</f>
        <v/>
      </c>
      <c r="LE14" s="186" t="str">
        <f t="shared" si="86"/>
        <v/>
      </c>
      <c r="LF14" s="103"/>
      <c r="LG14" s="104"/>
      <c r="LH14" s="105"/>
      <c r="LI14" s="161" t="str">
        <f>IFERROR((((COUNTIF('Elève (3ème5)'!LF14:LH14,"A"))*4)+((COUNTIF('Elève (3ème5)'!LF14:LH14,"B"))*3)+((COUNTIF('Elève (3ème5)'!LF14:LH14,"C"))*2)+((COUNTIF('Elève (3ème5)'!LF14:LH14,"D"))*1))/(COUNTA(LF14:LH14)),"")</f>
        <v/>
      </c>
      <c r="LJ14" s="162" t="str">
        <f t="shared" si="87"/>
        <v/>
      </c>
      <c r="LK14" s="103"/>
      <c r="LL14" s="104"/>
      <c r="LM14" s="105"/>
      <c r="LN14" s="105"/>
      <c r="LO14" s="161" t="str">
        <f>IFERROR((((COUNTIF('Elève (3ème5)'!LK14:LN14,"A"))*4)+((COUNTIF('Elève (3ème5)'!LK14:LN14,"B"))*3)+((COUNTIF('Elève (3ème5)'!LK14:LN14,"C"))*2)+((COUNTIF('Elève (3ème5)'!LK14:LN14,"D"))*1))/(COUNTA(LK14:LN14)),"")</f>
        <v/>
      </c>
      <c r="LP14" s="162" t="str">
        <f t="shared" si="88"/>
        <v/>
      </c>
      <c r="LQ14" s="103"/>
      <c r="LR14" s="104"/>
      <c r="LS14" s="105"/>
      <c r="LT14" s="105"/>
      <c r="LU14" s="105"/>
      <c r="LV14" s="109"/>
      <c r="LW14" s="161" t="str">
        <f>IFERROR((((COUNTIF('Elève (3ème5)'!LQ14:LV14,"A"))*4)+((COUNTIF('Elève (3ème5)'!LQ14:LV14,"B"))*3)+((COUNTIF('Elève (3ème5)'!LQ14:LV14,"C"))*2)+((COUNTIF('Elève (3ème5)'!LQ14:LV14,"D"))*1))/(COUNTA(LQ14:LV14)),"")</f>
        <v/>
      </c>
      <c r="LX14" s="162" t="str">
        <f t="shared" si="89"/>
        <v/>
      </c>
      <c r="LY14" s="161" t="str">
        <f>IF(COUNT(LI14,LO14,LW14)=0,"",SUM(LI14,LO14,LW14)/COUNT(LI14,LO14,LW14))</f>
        <v/>
      </c>
      <c r="LZ14" s="186" t="str">
        <f t="shared" si="90"/>
        <v/>
      </c>
      <c r="MA14" s="103"/>
      <c r="MB14" s="104"/>
      <c r="MC14" s="105"/>
      <c r="MD14" s="161" t="str">
        <f>IFERROR((((COUNTIF('Elève (3ème5)'!MA14:MC14,"A"))*4)+((COUNTIF('Elève (3ème5)'!MA14:MC14,"B"))*3)+((COUNTIF('Elève (3ème5)'!MA14:MC14,"C"))*2)+((COUNTIF('Elève (3ème5)'!MA14:MC14,"D"))*1))/(COUNTA(MA14:MC14)),"")</f>
        <v/>
      </c>
      <c r="ME14" s="162" t="str">
        <f t="shared" si="91"/>
        <v/>
      </c>
      <c r="MF14" s="103"/>
      <c r="MG14" s="104"/>
      <c r="MH14" s="105"/>
      <c r="MI14" s="105"/>
      <c r="MJ14" s="161" t="str">
        <f>IFERROR((((COUNTIF('Elève (3ème5)'!MF14:MI14,"A"))*4)+((COUNTIF('Elève (3ème5)'!MF14:MI14,"B"))*3)+((COUNTIF('Elève (3ème5)'!MF14:MI14,"C"))*2)+((COUNTIF('Elève (3ème5)'!MF14:MI14,"D"))*1))/(COUNTA(MF14:MI14)),"")</f>
        <v/>
      </c>
      <c r="MK14" s="162" t="str">
        <f t="shared" si="92"/>
        <v/>
      </c>
      <c r="ML14" s="103"/>
      <c r="MM14" s="104"/>
      <c r="MN14" s="105"/>
      <c r="MO14" s="105"/>
      <c r="MP14" s="105"/>
      <c r="MQ14" s="109"/>
      <c r="MR14" s="161" t="str">
        <f>IFERROR((((COUNTIF('Elève (3ème5)'!ML14:MQ14,"A"))*4)+((COUNTIF('Elève (3ème5)'!ML14:MQ14,"B"))*3)+((COUNTIF('Elève (3ème5)'!ML14:MQ14,"C"))*2)+((COUNTIF('Elève (3ème5)'!ML14:MQ14,"D"))*1))/(COUNTA(ML14:MQ14)),"")</f>
        <v/>
      </c>
      <c r="MS14" s="162" t="str">
        <f t="shared" si="93"/>
        <v/>
      </c>
      <c r="MT14" s="161" t="str">
        <f>IF(COUNT(MD14,MJ14,MR14)=0,"",SUM(MD14,MJ14,MR14)/COUNT(MD14,MJ14,MR14))</f>
        <v/>
      </c>
      <c r="MU14" s="186" t="str">
        <f t="shared" si="94"/>
        <v/>
      </c>
      <c r="MV14" s="103"/>
      <c r="MW14" s="104"/>
      <c r="MX14" s="105"/>
      <c r="MY14" s="161" t="str">
        <f>IFERROR((((COUNTIF('Elève (3ème5)'!MV14:MX14,"A"))*4)+((COUNTIF('Elève (3ème5)'!MV14:MX14,"B"))*3)+((COUNTIF('Elève (3ème5)'!MV14:MX14,"C"))*2)+((COUNTIF('Elève (3ème5)'!MV14:MX14,"D"))*1))/(COUNTA(MV14:MX14)),"")</f>
        <v/>
      </c>
      <c r="MZ14" s="162" t="str">
        <f t="shared" si="95"/>
        <v/>
      </c>
      <c r="NA14" s="103"/>
      <c r="NB14" s="104"/>
      <c r="NC14" s="105"/>
      <c r="ND14" s="105"/>
      <c r="NE14" s="161" t="str">
        <f>IFERROR((((COUNTIF('Elève (3ème5)'!NA14:ND14,"A"))*4)+((COUNTIF('Elève (3ème5)'!NA14:ND14,"B"))*3)+((COUNTIF('Elève (3ème5)'!NA14:ND14,"C"))*2)+((COUNTIF('Elève (3ème5)'!NA14:ND14,"D"))*1))/(COUNTA(NA14:ND14)),"")</f>
        <v/>
      </c>
      <c r="NF14" s="162" t="str">
        <f t="shared" si="96"/>
        <v/>
      </c>
      <c r="NG14" s="103"/>
      <c r="NH14" s="104"/>
      <c r="NI14" s="105"/>
      <c r="NJ14" s="105"/>
      <c r="NK14" s="105"/>
      <c r="NL14" s="109"/>
      <c r="NM14" s="161" t="str">
        <f>IFERROR((((COUNTIF('Elève (3ème5)'!NG14:NL14,"A"))*4)+((COUNTIF('Elève (3ème5)'!NG14:NL14,"B"))*3)+((COUNTIF('Elève (3ème5)'!NG14:NL14,"C"))*2)+((COUNTIF('Elève (3ème5)'!NG14:NL14,"D"))*1))/(COUNTA(NG14:NL14)),"")</f>
        <v/>
      </c>
      <c r="NN14" s="162" t="str">
        <f t="shared" si="97"/>
        <v/>
      </c>
      <c r="NO14" s="161" t="str">
        <f>IF(COUNT(MY14,NE14,NM14)=0,"",SUM(MY14,NE14,NM14)/COUNT(MY14,NE14,NM14))</f>
        <v/>
      </c>
      <c r="NP14" s="186" t="str">
        <f t="shared" si="98"/>
        <v/>
      </c>
      <c r="NQ14" s="103"/>
      <c r="NR14" s="104"/>
      <c r="NS14" s="105"/>
      <c r="NT14" s="161" t="str">
        <f>IFERROR((((COUNTIF('Elève (3ème5)'!NQ14:NS14,"A"))*4)+((COUNTIF('Elève (3ème5)'!NQ14:NS14,"B"))*3)+((COUNTIF('Elève (3ème5)'!NQ14:NS14,"C"))*2)+((COUNTIF('Elève (3ème5)'!NQ14:NS14,"D"))*1))/(COUNTA(NQ14:NS14)),"")</f>
        <v/>
      </c>
      <c r="NU14" s="162" t="str">
        <f t="shared" si="99"/>
        <v/>
      </c>
      <c r="NV14" s="103"/>
      <c r="NW14" s="104"/>
      <c r="NX14" s="105"/>
      <c r="NY14" s="105"/>
      <c r="NZ14" s="161" t="str">
        <f>IFERROR((((COUNTIF('Elève (3ème5)'!NV14:NY14,"A"))*4)+((COUNTIF('Elève (3ème5)'!NV14:NY14,"B"))*3)+((COUNTIF('Elève (3ème5)'!NV14:NY14,"C"))*2)+((COUNTIF('Elève (3ème5)'!NV14:NY14,"D"))*1))/(COUNTA(NV14:NY14)),"")</f>
        <v/>
      </c>
      <c r="OA14" s="162" t="str">
        <f t="shared" si="100"/>
        <v/>
      </c>
      <c r="OB14" s="103"/>
      <c r="OC14" s="104"/>
      <c r="OD14" s="105"/>
      <c r="OE14" s="105"/>
      <c r="OF14" s="105"/>
      <c r="OG14" s="109"/>
      <c r="OH14" s="161" t="str">
        <f>IFERROR((((COUNTIF('Elève (3ème5)'!OB14:OG14,"A"))*4)+((COUNTIF('Elève (3ème5)'!OB14:OG14,"B"))*3)+((COUNTIF('Elève (3ème5)'!OB14:OG14,"C"))*2)+((COUNTIF('Elève (3ème5)'!OB14:OG14,"D"))*1))/(COUNTA(OB14:OG14)),"")</f>
        <v/>
      </c>
      <c r="OI14" s="162" t="str">
        <f t="shared" si="101"/>
        <v/>
      </c>
      <c r="OJ14" s="161" t="str">
        <f>IF(COUNT(NT14,NZ14,OH14)=0,"",SUM(NT14,NZ14,OH14)/COUNT(NT14,NZ14,OH14))</f>
        <v/>
      </c>
      <c r="OK14" s="186" t="str">
        <f t="shared" si="102"/>
        <v/>
      </c>
      <c r="OL14" s="103"/>
      <c r="OM14" s="104"/>
      <c r="ON14" s="105"/>
      <c r="OO14" s="161" t="str">
        <f>IFERROR((((COUNTIF('Elève (3ème5)'!OL14:ON14,"A"))*4)+((COUNTIF('Elève (3ème5)'!OL14:ON14,"B"))*3)+((COUNTIF('Elève (3ème5)'!OL14:ON14,"C"))*2)+((COUNTIF('Elève (3ème5)'!OL14:ON14,"D"))*1))/(COUNTA(OL14:ON14)),"")</f>
        <v/>
      </c>
      <c r="OP14" s="162" t="str">
        <f t="shared" si="103"/>
        <v/>
      </c>
      <c r="OQ14" s="103"/>
      <c r="OR14" s="104"/>
      <c r="OS14" s="105"/>
      <c r="OT14" s="105"/>
      <c r="OU14" s="161" t="str">
        <f>IFERROR((((COUNTIF('Elève (3ème5)'!OQ14:OT14,"A"))*4)+((COUNTIF('Elève (3ème5)'!OQ14:OT14,"B"))*3)+((COUNTIF('Elève (3ème5)'!OQ14:OT14,"C"))*2)+((COUNTIF('Elève (3ème5)'!OQ14:OT14,"D"))*1))/(COUNTA(OQ14:OT14)),"")</f>
        <v/>
      </c>
      <c r="OV14" s="162" t="str">
        <f t="shared" si="104"/>
        <v/>
      </c>
      <c r="OW14" s="103"/>
      <c r="OX14" s="104"/>
      <c r="OY14" s="105"/>
      <c r="OZ14" s="105"/>
      <c r="PA14" s="105"/>
      <c r="PB14" s="109"/>
      <c r="PC14" s="161" t="str">
        <f>IFERROR((((COUNTIF('Elève (3ème5)'!OW14:PB14,"A"))*4)+((COUNTIF('Elève (3ème5)'!OW14:PB14,"B"))*3)+((COUNTIF('Elève (3ème5)'!OW14:PB14,"C"))*2)+((COUNTIF('Elève (3ème5)'!OW14:PB14,"D"))*1))/(COUNTA(OW14:PB14)),"")</f>
        <v/>
      </c>
      <c r="PD14" s="162" t="str">
        <f t="shared" si="105"/>
        <v/>
      </c>
      <c r="PE14" s="161" t="str">
        <f>IF(COUNT(OO14,OU14,PC14)=0,"",SUM(OO14,OU14,PC14)/COUNT(OO14,OU14,PC14))</f>
        <v/>
      </c>
      <c r="PF14" s="186" t="str">
        <f t="shared" si="106"/>
        <v/>
      </c>
      <c r="PG14" s="103"/>
      <c r="PH14" s="104"/>
      <c r="PI14" s="105"/>
      <c r="PJ14" s="161" t="str">
        <f>IFERROR((((COUNTIF('Elève (3ème5)'!PG14:PI14,"A"))*4)+((COUNTIF('Elève (3ème5)'!PG14:PI14,"B"))*3)+((COUNTIF('Elève (3ème5)'!PG14:PI14,"C"))*2)+((COUNTIF('Elève (3ème5)'!PG14:PI14,"D"))*1))/(COUNTA(PG14:PI14)),"")</f>
        <v/>
      </c>
      <c r="PK14" s="162" t="str">
        <f t="shared" si="107"/>
        <v/>
      </c>
      <c r="PL14" s="103"/>
      <c r="PM14" s="104"/>
      <c r="PN14" s="105"/>
      <c r="PO14" s="105"/>
      <c r="PP14" s="161" t="str">
        <f>IFERROR((((COUNTIF('Elève (3ème5)'!PL14:PO14,"A"))*4)+((COUNTIF('Elève (3ème5)'!PL14:PO14,"B"))*3)+((COUNTIF('Elève (3ème5)'!PL14:PO14,"C"))*2)+((COUNTIF('Elève (3ème5)'!PL14:PO14,"D"))*1))/(COUNTA(PL14:PO14)),"")</f>
        <v/>
      </c>
      <c r="PQ14" s="162" t="str">
        <f t="shared" si="108"/>
        <v/>
      </c>
      <c r="PR14" s="103"/>
      <c r="PS14" s="104"/>
      <c r="PT14" s="105"/>
      <c r="PU14" s="105"/>
      <c r="PV14" s="105"/>
      <c r="PW14" s="109"/>
      <c r="PX14" s="161" t="str">
        <f>IFERROR((((COUNTIF('Elève (3ème5)'!PR14:PW14,"A"))*4)+((COUNTIF('Elève (3ème5)'!PR14:PW14,"B"))*3)+((COUNTIF('Elève (3ème5)'!PR14:PW14,"C"))*2)+((COUNTIF('Elève (3ème5)'!PR14:PW14,"D"))*1))/(COUNTA(PR14:PW14)),"")</f>
        <v/>
      </c>
      <c r="PY14" s="162" t="str">
        <f t="shared" si="109"/>
        <v/>
      </c>
      <c r="PZ14" s="161" t="str">
        <f>IF(COUNT(PJ14,PP14,PX14)=0,"",SUM(PJ14,PP14,PX14)/COUNT(PJ14,PP14,PX14))</f>
        <v/>
      </c>
      <c r="QA14" s="186" t="str">
        <f t="shared" si="110"/>
        <v/>
      </c>
      <c r="QB14" s="103"/>
      <c r="QC14" s="104"/>
      <c r="QD14" s="105"/>
      <c r="QE14" s="161" t="str">
        <f>IFERROR((((COUNTIF('Elève (3ème5)'!QB14:QD14,"A"))*4)+((COUNTIF('Elève (3ème5)'!QB14:QD14,"B"))*3)+((COUNTIF('Elève (3ème5)'!QB14:QD14,"C"))*2)+((COUNTIF('Elève (3ème5)'!QB14:QD14,"D"))*1))/(COUNTA(QB14:QD14)),"")</f>
        <v/>
      </c>
      <c r="QF14" s="162" t="str">
        <f t="shared" si="111"/>
        <v/>
      </c>
      <c r="QG14" s="103"/>
      <c r="QH14" s="104"/>
      <c r="QI14" s="105"/>
      <c r="QJ14" s="105"/>
      <c r="QK14" s="161" t="str">
        <f>IFERROR((((COUNTIF('Elève (3ème5)'!QG14:QJ14,"A"))*4)+((COUNTIF('Elève (3ème5)'!QG14:QJ14,"B"))*3)+((COUNTIF('Elève (3ème5)'!QG14:QJ14,"C"))*2)+((COUNTIF('Elève (3ème5)'!QG14:QJ14,"D"))*1))/(COUNTA(QG14:QJ14)),"")</f>
        <v/>
      </c>
      <c r="QL14" s="162" t="str">
        <f t="shared" si="112"/>
        <v/>
      </c>
      <c r="QM14" s="103"/>
      <c r="QN14" s="104"/>
      <c r="QO14" s="105"/>
      <c r="QP14" s="105"/>
      <c r="QQ14" s="105"/>
      <c r="QR14" s="109"/>
      <c r="QS14" s="161" t="str">
        <f>IFERROR((((COUNTIF('Elève (3ème5)'!QM14:QR14,"A"))*4)+((COUNTIF('Elève (3ème5)'!QM14:QR14,"B"))*3)+((COUNTIF('Elève (3ème5)'!QM14:QR14,"C"))*2)+((COUNTIF('Elève (3ème5)'!QM14:QR14,"D"))*1))/(COUNTA(QM14:QR14)),"")</f>
        <v/>
      </c>
      <c r="QT14" s="162" t="str">
        <f t="shared" si="113"/>
        <v/>
      </c>
      <c r="QU14" s="161" t="str">
        <f>IF(COUNT(QE14,QK14,QS14)=0,"",SUM(QE14,QK14,QS14)/COUNT(QE14,QK14,QS14))</f>
        <v/>
      </c>
      <c r="QV14" s="186" t="str">
        <f t="shared" si="114"/>
        <v/>
      </c>
      <c r="QW14" s="103"/>
      <c r="QX14" s="104"/>
      <c r="QY14" s="105"/>
      <c r="QZ14" s="161" t="str">
        <f>IFERROR((((COUNTIF('Elève (3ème5)'!QW14:QY14,"A"))*4)+((COUNTIF('Elève (3ème5)'!QW14:QY14,"B"))*3)+((COUNTIF('Elève (3ème5)'!QW14:QY14,"C"))*2)+((COUNTIF('Elève (3ème5)'!QW14:QY14,"D"))*1))/(COUNTA(QW14:QY14)),"")</f>
        <v/>
      </c>
      <c r="RA14" s="162" t="str">
        <f t="shared" si="115"/>
        <v/>
      </c>
      <c r="RB14" s="103"/>
      <c r="RC14" s="104"/>
      <c r="RD14" s="105"/>
      <c r="RE14" s="105"/>
      <c r="RF14" s="161" t="str">
        <f>IFERROR((((COUNTIF('Elève (3ème5)'!RB14:RE14,"A"))*4)+((COUNTIF('Elève (3ème5)'!RB14:RE14,"B"))*3)+((COUNTIF('Elève (3ème5)'!RB14:RE14,"C"))*2)+((COUNTIF('Elève (3ème5)'!RB14:RE14,"D"))*1))/(COUNTA(RB14:RE14)),"")</f>
        <v/>
      </c>
      <c r="RG14" s="162" t="str">
        <f t="shared" si="116"/>
        <v/>
      </c>
      <c r="RH14" s="103"/>
      <c r="RI14" s="104"/>
      <c r="RJ14" s="105"/>
      <c r="RK14" s="105"/>
      <c r="RL14" s="105"/>
      <c r="RM14" s="109"/>
      <c r="RN14" s="161" t="str">
        <f>IFERROR((((COUNTIF('Elève (3ème5)'!RH14:RM14,"A"))*4)+((COUNTIF('Elève (3ème5)'!RH14:RM14,"B"))*3)+((COUNTIF('Elève (3ème5)'!RH14:RM14,"C"))*2)+((COUNTIF('Elève (3ème5)'!RH14:RM14,"D"))*1))/(COUNTA(RH14:RM14)),"")</f>
        <v/>
      </c>
      <c r="RO14" s="162" t="str">
        <f t="shared" si="117"/>
        <v/>
      </c>
      <c r="RP14" s="161" t="str">
        <f>IF(COUNT(QZ14,RF14,RN14)=0,"",SUM(QZ14,RF14,RN14)/COUNT(QZ14,RF14,RN14))</f>
        <v/>
      </c>
      <c r="RQ14" s="186" t="str">
        <f t="shared" si="118"/>
        <v/>
      </c>
      <c r="RR14" s="103"/>
      <c r="RS14" s="104"/>
      <c r="RT14" s="105"/>
      <c r="RU14" s="161" t="str">
        <f>IFERROR((((COUNTIF('Elève (3ème5)'!RR14:RT14,"A"))*4)+((COUNTIF('Elève (3ème5)'!RR14:RT14,"B"))*3)+((COUNTIF('Elève (3ème5)'!RR14:RT14,"C"))*2)+((COUNTIF('Elève (3ème5)'!RR14:RT14,"D"))*1))/(COUNTA(RR14:RT14)),"")</f>
        <v/>
      </c>
      <c r="RV14" s="162" t="str">
        <f t="shared" si="119"/>
        <v/>
      </c>
      <c r="RW14" s="103"/>
      <c r="RX14" s="104"/>
      <c r="RY14" s="105"/>
      <c r="RZ14" s="105"/>
      <c r="SA14" s="161" t="str">
        <f>IFERROR((((COUNTIF('Elève (3ème5)'!RW14:RZ14,"A"))*4)+((COUNTIF('Elève (3ème5)'!RW14:RZ14,"B"))*3)+((COUNTIF('Elève (3ème5)'!RW14:RZ14,"C"))*2)+((COUNTIF('Elève (3ème5)'!RW14:RZ14,"D"))*1))/(COUNTA(RW14:RZ14)),"")</f>
        <v/>
      </c>
      <c r="SB14" s="162" t="str">
        <f t="shared" si="120"/>
        <v/>
      </c>
      <c r="SC14" s="103"/>
      <c r="SD14" s="104"/>
      <c r="SE14" s="105"/>
      <c r="SF14" s="105"/>
      <c r="SG14" s="105"/>
      <c r="SH14" s="109"/>
      <c r="SI14" s="161" t="str">
        <f>IFERROR((((COUNTIF('Elève (3ème5)'!SC14:SH14,"A"))*4)+((COUNTIF('Elève (3ème5)'!SC14:SH14,"B"))*3)+((COUNTIF('Elève (3ème5)'!SC14:SH14,"C"))*2)+((COUNTIF('Elève (3ème5)'!SC14:SH14,"D"))*1))/(COUNTA(SC14:SH14)),"")</f>
        <v/>
      </c>
      <c r="SJ14" s="162" t="str">
        <f t="shared" si="121"/>
        <v/>
      </c>
      <c r="SK14" s="161" t="str">
        <f>IF(COUNT(RU14,SA14,SI14)=0,"",SUM(RU14,SA14,SI14)/COUNT(RU14,SA14,SI14))</f>
        <v/>
      </c>
      <c r="SL14" s="186" t="str">
        <f t="shared" si="122"/>
        <v/>
      </c>
      <c r="SM14" s="103"/>
      <c r="SN14" s="104"/>
      <c r="SO14" s="105"/>
      <c r="SP14" s="161" t="str">
        <f>IFERROR((((COUNTIF('Elève (3ème5)'!SM14:SO14,"A"))*4)+((COUNTIF('Elève (3ème5)'!SM14:SO14,"B"))*3)+((COUNTIF('Elève (3ème5)'!SM14:SO14,"C"))*2)+((COUNTIF('Elève (3ème5)'!SM14:SO14,"D"))*1))/(COUNTA(SM14:SO14)),"")</f>
        <v/>
      </c>
      <c r="SQ14" s="162" t="str">
        <f t="shared" si="123"/>
        <v/>
      </c>
      <c r="SR14" s="103"/>
      <c r="SS14" s="104"/>
      <c r="ST14" s="105"/>
      <c r="SU14" s="105"/>
      <c r="SV14" s="161" t="str">
        <f>IFERROR((((COUNTIF('Elève (3ème5)'!SR14:SU14,"A"))*4)+((COUNTIF('Elève (3ème5)'!SR14:SU14,"B"))*3)+((COUNTIF('Elève (3ème5)'!SR14:SU14,"C"))*2)+((COUNTIF('Elève (3ème5)'!SR14:SU14,"D"))*1))/(COUNTA(SR14:SU14)),"")</f>
        <v/>
      </c>
      <c r="SW14" s="162" t="str">
        <f t="shared" si="124"/>
        <v/>
      </c>
      <c r="SX14" s="103"/>
      <c r="SY14" s="104"/>
      <c r="SZ14" s="105"/>
      <c r="TA14" s="105"/>
      <c r="TB14" s="105"/>
      <c r="TC14" s="109"/>
      <c r="TD14" s="161" t="str">
        <f>IFERROR((((COUNTIF('Elève (3ème5)'!SX14:TC14,"A"))*4)+((COUNTIF('Elève (3ème5)'!SX14:TC14,"B"))*3)+((COUNTIF('Elève (3ème5)'!SX14:TC14,"C"))*2)+((COUNTIF('Elève (3ème5)'!SX14:TC14,"D"))*1))/(COUNTA(SX14:TC14)),"")</f>
        <v/>
      </c>
      <c r="TE14" s="162" t="str">
        <f t="shared" si="125"/>
        <v/>
      </c>
      <c r="TF14" s="161" t="str">
        <f>IF(COUNT(SP14,SV14,TD14)=0,"",SUM(SP14,SV14,TD14)/COUNT(SP14,SV14,TD14))</f>
        <v/>
      </c>
      <c r="TG14" s="186" t="str">
        <f t="shared" si="126"/>
        <v/>
      </c>
      <c r="TH14" s="103"/>
      <c r="TI14" s="104"/>
      <c r="TJ14" s="105"/>
      <c r="TK14" s="161" t="str">
        <f>IFERROR((((COUNTIF('Elève (3ème5)'!TH14:TJ14,"A"))*4)+((COUNTIF('Elève (3ème5)'!TH14:TJ14,"B"))*3)+((COUNTIF('Elève (3ème5)'!TH14:TJ14,"C"))*2)+((COUNTIF('Elève (3ème5)'!TH14:TJ14,"D"))*1))/(COUNTA(TH14:TJ14)),"")</f>
        <v/>
      </c>
      <c r="TL14" s="162" t="str">
        <f t="shared" si="127"/>
        <v/>
      </c>
      <c r="TM14" s="103"/>
      <c r="TN14" s="104"/>
      <c r="TO14" s="105"/>
      <c r="TP14" s="105"/>
      <c r="TQ14" s="161" t="str">
        <f>IFERROR((((COUNTIF('Elève (3ème5)'!TM14:TP14,"A"))*4)+((COUNTIF('Elève (3ème5)'!TM14:TP14,"B"))*3)+((COUNTIF('Elève (3ème5)'!TM14:TP14,"C"))*2)+((COUNTIF('Elève (3ème5)'!TM14:TP14,"D"))*1))/(COUNTA(TM14:TP14)),"")</f>
        <v/>
      </c>
      <c r="TR14" s="162" t="str">
        <f t="shared" si="128"/>
        <v/>
      </c>
      <c r="TS14" s="103"/>
      <c r="TT14" s="104"/>
      <c r="TU14" s="105"/>
      <c r="TV14" s="105"/>
      <c r="TW14" s="105"/>
      <c r="TX14" s="109"/>
      <c r="TY14" s="161" t="str">
        <f>IFERROR((((COUNTIF('Elève (3ème5)'!TS14:TX14,"A"))*4)+((COUNTIF('Elève (3ème5)'!TS14:TX14,"B"))*3)+((COUNTIF('Elève (3ème5)'!TS14:TX14,"C"))*2)+((COUNTIF('Elève (3ème5)'!TS14:TX14,"D"))*1))/(COUNTA(TS14:TX14)),"")</f>
        <v/>
      </c>
      <c r="TZ14" s="162" t="str">
        <f t="shared" si="129"/>
        <v/>
      </c>
      <c r="UA14" s="161" t="str">
        <f>IF(COUNT(TK14,TQ14,TY14)=0,"",SUM(TK14,TQ14,TY14)/COUNT(TK14,TQ14,TY14))</f>
        <v/>
      </c>
      <c r="UB14" s="186" t="str">
        <f t="shared" si="130"/>
        <v/>
      </c>
      <c r="UC14" s="103"/>
      <c r="UD14" s="104"/>
      <c r="UE14" s="105"/>
      <c r="UF14" s="161" t="str">
        <f>IFERROR((((COUNTIF('Elève (3ème5)'!UC14:UE14,"A"))*4)+((COUNTIF('Elève (3ème5)'!UC14:UE14,"B"))*3)+((COUNTIF('Elève (3ème5)'!UC14:UE14,"C"))*2)+((COUNTIF('Elève (3ème5)'!UC14:UE14,"D"))*1))/(COUNTA(UC14:UE14)),"")</f>
        <v/>
      </c>
      <c r="UG14" s="162" t="str">
        <f t="shared" si="131"/>
        <v/>
      </c>
      <c r="UH14" s="103"/>
      <c r="UI14" s="104"/>
      <c r="UJ14" s="105"/>
      <c r="UK14" s="105"/>
      <c r="UL14" s="161" t="str">
        <f>IFERROR((((COUNTIF('Elève (3ème5)'!UH14:UK14,"A"))*4)+((COUNTIF('Elève (3ème5)'!UH14:UK14,"B"))*3)+((COUNTIF('Elève (3ème5)'!UH14:UK14,"C"))*2)+((COUNTIF('Elève (3ème5)'!UH14:UK14,"D"))*1))/(COUNTA(UH14:UK14)),"")</f>
        <v/>
      </c>
      <c r="UM14" s="162" t="str">
        <f t="shared" si="132"/>
        <v/>
      </c>
      <c r="UN14" s="103"/>
      <c r="UO14" s="104"/>
      <c r="UP14" s="105"/>
      <c r="UQ14" s="105"/>
      <c r="UR14" s="105"/>
      <c r="US14" s="109"/>
      <c r="UT14" s="161" t="str">
        <f>IFERROR((((COUNTIF('Elève (3ème5)'!UN14:US14,"A"))*4)+((COUNTIF('Elève (3ème5)'!UN14:US14,"B"))*3)+((COUNTIF('Elève (3ème5)'!UN14:US14,"C"))*2)+((COUNTIF('Elève (3ème5)'!UN14:US14,"D"))*1))/(COUNTA(UN14:US14)),"")</f>
        <v/>
      </c>
      <c r="UU14" s="162" t="str">
        <f t="shared" si="133"/>
        <v/>
      </c>
      <c r="UV14" s="161" t="str">
        <f>IF(COUNT(UF14,UL14,UT14)=0,"",SUM(UF14,UL14,UT14)/COUNT(UF14,UL14,UT14))</f>
        <v/>
      </c>
      <c r="UW14" s="186" t="str">
        <f t="shared" si="134"/>
        <v/>
      </c>
      <c r="UX14" s="103"/>
      <c r="UY14" s="104"/>
      <c r="UZ14" s="105"/>
      <c r="VA14" s="161" t="str">
        <f>IFERROR((((COUNTIF('Elève (3ème5)'!UX14:UZ14,"A"))*4)+((COUNTIF('Elève (3ème5)'!UX14:UZ14,"B"))*3)+((COUNTIF('Elève (3ème5)'!UX14:UZ14,"C"))*2)+((COUNTIF('Elève (3ème5)'!UX14:UZ14,"D"))*1))/(COUNTA(UX14:UZ14)),"")</f>
        <v/>
      </c>
      <c r="VB14" s="162" t="str">
        <f t="shared" si="135"/>
        <v/>
      </c>
      <c r="VC14" s="103"/>
      <c r="VD14" s="104"/>
      <c r="VE14" s="105"/>
      <c r="VF14" s="105"/>
      <c r="VG14" s="161" t="str">
        <f>IFERROR((((COUNTIF('Elève (3ème5)'!VC14:VF14,"A"))*4)+((COUNTIF('Elève (3ème5)'!VC14:VF14,"B"))*3)+((COUNTIF('Elève (3ème5)'!VC14:VF14,"C"))*2)+((COUNTIF('Elève (3ème5)'!VC14:VF14,"D"))*1))/(COUNTA(VC14:VF14)),"")</f>
        <v/>
      </c>
      <c r="VH14" s="162" t="str">
        <f t="shared" si="136"/>
        <v/>
      </c>
      <c r="VI14" s="103"/>
      <c r="VJ14" s="104"/>
      <c r="VK14" s="105"/>
      <c r="VL14" s="105"/>
      <c r="VM14" s="105"/>
      <c r="VN14" s="109"/>
      <c r="VO14" s="161" t="str">
        <f>IFERROR((((COUNTIF('Elève (3ème5)'!VI14:VN14,"A"))*4)+((COUNTIF('Elève (3ème5)'!VI14:VN14,"B"))*3)+((COUNTIF('Elève (3ème5)'!VI14:VN14,"C"))*2)+((COUNTIF('Elève (3ème5)'!VI14:VN14,"D"))*1))/(COUNTA(VI14:VN14)),"")</f>
        <v/>
      </c>
      <c r="VP14" s="162" t="str">
        <f t="shared" si="137"/>
        <v/>
      </c>
      <c r="VQ14" s="161" t="str">
        <f>IF(COUNT(VA14,VG14,VO14)=0,"",SUM(VA14,VG14,VO14)/COUNT(VA14,VG14,VO14))</f>
        <v/>
      </c>
      <c r="VR14" s="186" t="str">
        <f t="shared" si="138"/>
        <v/>
      </c>
      <c r="VS14" s="103"/>
      <c r="VT14" s="104"/>
      <c r="VU14" s="105"/>
      <c r="VV14" s="99" t="str">
        <f>IFERROR((((COUNTIF('Elève (3ème5)'!VS14:VU14,"A"))*4)+((COUNTIF('Elève (3ème5)'!VS14:VU14,"B"))*3)+((COUNTIF('Elève (3ème5)'!VS14:VU14,"C"))*2)+((COUNTIF('Elève (3ème5)'!VS14:VU14,"D"))*1))/(COUNTA(VS14:VU14)),"")</f>
        <v/>
      </c>
      <c r="VW14" s="100" t="str">
        <f t="shared" si="139"/>
        <v/>
      </c>
      <c r="VX14" s="103"/>
      <c r="VY14" s="104"/>
      <c r="VZ14" s="105"/>
      <c r="WA14" s="99" t="str">
        <f>IFERROR((((COUNTIF('Elève (3ème5)'!VX14:VZ14,"A"))*4)+((COUNTIF('Elève (3ème5)'!VX14:VZ14,"B"))*3)+((COUNTIF('Elève (3ème5)'!VX14:VZ14,"C"))*2)+((COUNTIF('Elève (3ème5)'!VX14:VZ14,"D"))*1))/(COUNTA(VX14:VZ14)),"")</f>
        <v/>
      </c>
      <c r="WB14" s="100" t="str">
        <f t="shared" si="140"/>
        <v/>
      </c>
      <c r="WC14" s="103"/>
      <c r="WD14" s="104"/>
      <c r="WE14" s="109"/>
      <c r="WF14" s="99" t="str">
        <f>IFERROR((((COUNTIF('Elève (3ème5)'!WC14:WE14,"A"))*4)+((COUNTIF('Elève (3ème5)'!WC14:WE14,"B"))*3)+((COUNTIF('Elève (3ème5)'!WC14:WE14,"C"))*2)+((COUNTIF('Elève (3ème5)'!WC14:WE14,"D"))*1))/(COUNTA(WC14:WE14)),"")</f>
        <v/>
      </c>
      <c r="WG14" s="100" t="str">
        <f t="shared" si="141"/>
        <v/>
      </c>
      <c r="WH14" s="99" t="str">
        <f>IF(COUNT(VV14,WA14,WF14)=0,"",SUM(VV14,WA14,WF14)/COUNT(VV14,WA14,WF14))</f>
        <v/>
      </c>
      <c r="WI14" s="101" t="str">
        <f t="shared" si="142"/>
        <v/>
      </c>
      <c r="WJ14" s="103"/>
      <c r="WK14" s="104"/>
      <c r="WL14" s="105"/>
      <c r="WM14" s="99" t="str">
        <f>IFERROR((((COUNTIF('Elève (3ème5)'!WJ14:WL14,"A"))*4)+((COUNTIF('Elève (3ème5)'!WJ14:WL14,"B"))*3)+((COUNTIF('Elève (3ème5)'!WJ14:WL14,"C"))*2)+((COUNTIF('Elève (3ème5)'!WJ14:WL14,"D"))*1))/(COUNTA(WJ14:WL14)),"")</f>
        <v/>
      </c>
      <c r="WN14" s="100" t="str">
        <f t="shared" si="143"/>
        <v/>
      </c>
      <c r="WO14" s="103"/>
      <c r="WP14" s="104"/>
      <c r="WQ14" s="105"/>
      <c r="WR14" s="99" t="str">
        <f>IFERROR((((COUNTIF('Elève (3ème5)'!WO14:WQ14,"A"))*4)+((COUNTIF('Elève (3ème5)'!WO14:WQ14,"B"))*3)+((COUNTIF('Elève (3ème5)'!WO14:WQ14,"C"))*2)+((COUNTIF('Elève (3ème5)'!WO14:WQ14,"D"))*1))/(COUNTA(WO14:WQ14)),"")</f>
        <v/>
      </c>
      <c r="WS14" s="100" t="str">
        <f t="shared" si="144"/>
        <v/>
      </c>
      <c r="WT14" s="103"/>
      <c r="WU14" s="104"/>
      <c r="WV14" s="109"/>
      <c r="WW14" s="99" t="str">
        <f>IFERROR((((COUNTIF('Elève (3ème5)'!WT14:WV14,"A"))*4)+((COUNTIF('Elève (3ème5)'!WT14:WV14,"B"))*3)+((COUNTIF('Elève (3ème5)'!WT14:WV14,"C"))*2)+((COUNTIF('Elève (3ème5)'!WT14:WV14,"D"))*1))/(COUNTA(WT14:WV14)),"")</f>
        <v/>
      </c>
      <c r="WX14" s="100" t="str">
        <f t="shared" si="145"/>
        <v/>
      </c>
      <c r="WY14" s="99" t="str">
        <f>IF(COUNT(WM14,WR14,WW14)=0,"",SUM(WM14,WR14,WW14)/COUNT(WM14,WR14,WW14))</f>
        <v/>
      </c>
      <c r="WZ14" s="101" t="str">
        <f t="shared" si="146"/>
        <v/>
      </c>
    </row>
    <row r="15" spans="1:624" ht="18" customHeight="1" thickBot="1" x14ac:dyDescent="0.6">
      <c r="A15" s="215" t="s">
        <v>37</v>
      </c>
      <c r="B15" s="216"/>
      <c r="C15" s="110"/>
      <c r="D15" s="111"/>
      <c r="E15" s="112"/>
      <c r="F15" s="165" t="str">
        <f>IFERROR((((COUNTIF('Elève (3ème5)'!C15:E15,"A"))*4)+((COUNTIF('Elève (3ème5)'!C15:E15,"B"))*3)+((COUNTIF('Elève (3ème5)'!C15:E15,"C"))*2)+((COUNTIF('Elève (3ème5)'!C15:E15,"D"))*1))/(COUNTA(C15:E15)),"")</f>
        <v/>
      </c>
      <c r="G15" s="166" t="str">
        <f t="shared" si="27"/>
        <v/>
      </c>
      <c r="H15" s="110"/>
      <c r="I15" s="111"/>
      <c r="J15" s="112"/>
      <c r="K15" s="112"/>
      <c r="L15" s="165" t="str">
        <f>IFERROR((((COUNTIF('Elève (3ème5)'!H15:K15,"A"))*4)+((COUNTIF('Elève (3ème5)'!H15:K15,"B"))*3)+((COUNTIF('Elève (3ème5)'!H15:K15,"C"))*2)+((COUNTIF('Elève (3ème5)'!H15:K15,"D"))*1))/(COUNTA(H15:K15)),"")</f>
        <v/>
      </c>
      <c r="M15" s="166" t="str">
        <f t="shared" si="28"/>
        <v/>
      </c>
      <c r="N15" s="110"/>
      <c r="O15" s="111"/>
      <c r="P15" s="112" t="s">
        <v>27</v>
      </c>
      <c r="Q15" s="112" t="s">
        <v>27</v>
      </c>
      <c r="R15" s="112"/>
      <c r="S15" s="112"/>
      <c r="T15" s="165">
        <f>IFERROR((((COUNTIF('Elève (3ème5)'!N15:S15,"A"))*4)+((COUNTIF('Elève (3ème5)'!N15:S15,"B"))*3)+((COUNTIF('Elève (3ème5)'!N15:S15,"C"))*2)+((COUNTIF('Elève (3ème5)'!N15:S15,"D"))*1))/(COUNTA(N15:S15)),"")</f>
        <v>4</v>
      </c>
      <c r="U15" s="166" t="str">
        <f t="shared" si="29"/>
        <v>A</v>
      </c>
      <c r="V15" s="190">
        <f>IF(COUNT(F15,L15,T15)=0,"",SUM(F15,L15,T15)/COUNT(F15,L15,T15))</f>
        <v>4</v>
      </c>
      <c r="W15" s="188" t="str">
        <f t="shared" si="30"/>
        <v>A</v>
      </c>
      <c r="X15" s="110"/>
      <c r="Y15" s="111"/>
      <c r="Z15" s="112"/>
      <c r="AA15" s="165" t="str">
        <f>IFERROR((((COUNTIF('Elève (3ème5)'!X15:Z15,"A"))*4)+((COUNTIF('Elève (3ème5)'!X15:Z15,"B"))*3)+((COUNTIF('Elève (3ème5)'!X15:Z15,"C"))*2)+((COUNTIF('Elève (3ème5)'!X15:Z15,"D"))*1))/(COUNTA(X15:Z15)),"")</f>
        <v/>
      </c>
      <c r="AB15" s="166" t="str">
        <f t="shared" si="31"/>
        <v/>
      </c>
      <c r="AC15" s="110"/>
      <c r="AD15" s="111"/>
      <c r="AE15" s="112"/>
      <c r="AF15" s="112"/>
      <c r="AG15" s="165" t="str">
        <f>IFERROR((((COUNTIF('Elève (3ème5)'!AC15:AF15,"A"))*4)+((COUNTIF('Elève (3ème5)'!AC15:AF15,"B"))*3)+((COUNTIF('Elève (3ème5)'!AC15:AF15,"C"))*2)+((COUNTIF('Elève (3ème5)'!AC15:AF15,"D"))*1))/(COUNTA(AC15:AF15)),"")</f>
        <v/>
      </c>
      <c r="AH15" s="166" t="str">
        <f t="shared" si="32"/>
        <v/>
      </c>
      <c r="AI15" s="110"/>
      <c r="AJ15" s="111"/>
      <c r="AK15" s="112" t="s">
        <v>28</v>
      </c>
      <c r="AL15" s="112" t="s">
        <v>27</v>
      </c>
      <c r="AM15" s="112"/>
      <c r="AN15" s="116"/>
      <c r="AO15" s="165">
        <f>IFERROR((((COUNTIF('Elève (3ème5)'!AI15:AN15,"A"))*4)+((COUNTIF('Elève (3ème5)'!AI15:AN15,"B"))*3)+((COUNTIF('Elève (3ème5)'!AI15:AN15,"C"))*2)+((COUNTIF('Elève (3ème5)'!AI15:AN15,"D"))*1))/(COUNTA(AI15:AN15)),"")</f>
        <v>3.5</v>
      </c>
      <c r="AP15" s="166" t="str">
        <f t="shared" si="33"/>
        <v>B</v>
      </c>
      <c r="AQ15" s="190">
        <f>IF(COUNT(AA15,AG15,AO15)=0,"",SUM(AA15,AG15,AO15)/COUNT(AA15,AG15,AO15))</f>
        <v>3.5</v>
      </c>
      <c r="AR15" s="188" t="str">
        <f t="shared" si="34"/>
        <v>B</v>
      </c>
      <c r="AS15" s="110"/>
      <c r="AT15" s="111"/>
      <c r="AU15" s="112"/>
      <c r="AV15" s="165" t="str">
        <f>IFERROR((((COUNTIF('Elève (3ème5)'!AS15:AU15,"A"))*4)+((COUNTIF('Elève (3ème5)'!AS15:AU15,"B"))*3)+((COUNTIF('Elève (3ème5)'!AS15:AU15,"C"))*2)+((COUNTIF('Elève (3ème5)'!AS15:AU15,"D"))*1))/(COUNTA(AS15:AU15)),"")</f>
        <v/>
      </c>
      <c r="AW15" s="166" t="str">
        <f t="shared" si="35"/>
        <v/>
      </c>
      <c r="AX15" s="110"/>
      <c r="AY15" s="111"/>
      <c r="AZ15" s="112"/>
      <c r="BA15" s="112"/>
      <c r="BB15" s="165" t="str">
        <f>IFERROR((((COUNTIF('Elève (3ème5)'!AX15:BA15,"A"))*4)+((COUNTIF('Elève (3ème5)'!AX15:BA15,"B"))*3)+((COUNTIF('Elève (3ème5)'!AX15:BA15,"C"))*2)+((COUNTIF('Elève (3ème5)'!AX15:BA15,"D"))*1))/(COUNTA(AX15:BA15)),"")</f>
        <v/>
      </c>
      <c r="BC15" s="166" t="str">
        <f t="shared" si="36"/>
        <v/>
      </c>
      <c r="BD15" s="110"/>
      <c r="BE15" s="111"/>
      <c r="BF15" s="112" t="s">
        <v>27</v>
      </c>
      <c r="BG15" s="112" t="s">
        <v>27</v>
      </c>
      <c r="BH15" s="112"/>
      <c r="BI15" s="116"/>
      <c r="BJ15" s="165">
        <f>IFERROR((((COUNTIF('Elève (3ème5)'!BD15:BI15,"A"))*4)+((COUNTIF('Elève (3ème5)'!BD15:BI15,"B"))*3)+((COUNTIF('Elève (3ème5)'!BD15:BI15,"C"))*2)+((COUNTIF('Elève (3ème5)'!BD15:BI15,"D"))*1))/(COUNTA(BD15:BI15)),"")</f>
        <v>4</v>
      </c>
      <c r="BK15" s="166" t="str">
        <f t="shared" si="37"/>
        <v>A</v>
      </c>
      <c r="BL15" s="190">
        <f>IF(COUNT(AV15,BB15,BJ15)=0,"",SUM(AV15,BB15,BJ15)/COUNT(AV15,BB15,BJ15))</f>
        <v>4</v>
      </c>
      <c r="BM15" s="188" t="str">
        <f t="shared" si="38"/>
        <v>A</v>
      </c>
      <c r="BN15" s="110"/>
      <c r="BO15" s="111"/>
      <c r="BP15" s="112"/>
      <c r="BQ15" s="165" t="str">
        <f>IFERROR((((COUNTIF('Elève (3ème5)'!BN15:BP15,"A"))*4)+((COUNTIF('Elève (3ème5)'!BN15:BP15,"B"))*3)+((COUNTIF('Elève (3ème5)'!BN15:BP15,"C"))*2)+((COUNTIF('Elève (3ème5)'!BN15:BP15,"D"))*1))/(COUNTA(BN15:BP15)),"")</f>
        <v/>
      </c>
      <c r="BR15" s="166" t="str">
        <f t="shared" si="39"/>
        <v/>
      </c>
      <c r="BS15" s="110"/>
      <c r="BT15" s="111"/>
      <c r="BU15" s="112"/>
      <c r="BV15" s="112"/>
      <c r="BW15" s="165" t="str">
        <f>IFERROR((((COUNTIF('Elève (3ème5)'!BS15:BV15,"A"))*4)+((COUNTIF('Elève (3ème5)'!BS15:BV15,"B"))*3)+((COUNTIF('Elève (3ème5)'!BS15:BV15,"C"))*2)+((COUNTIF('Elève (3ème5)'!BS15:BV15,"D"))*1))/(COUNTA(BS15:BV15)),"")</f>
        <v/>
      </c>
      <c r="BX15" s="166" t="str">
        <f t="shared" si="40"/>
        <v/>
      </c>
      <c r="BY15" s="110"/>
      <c r="BZ15" s="111"/>
      <c r="CA15" s="112" t="s">
        <v>27</v>
      </c>
      <c r="CB15" s="112" t="s">
        <v>27</v>
      </c>
      <c r="CC15" s="112"/>
      <c r="CD15" s="116"/>
      <c r="CE15" s="165">
        <f>IFERROR((((COUNTIF('Elève (3ème5)'!BY15:CD15,"A"))*4)+((COUNTIF('Elève (3ème5)'!BY15:CD15,"B"))*3)+((COUNTIF('Elève (3ème5)'!BY15:CD15,"C"))*2)+((COUNTIF('Elève (3ème5)'!BY15:CD15,"D"))*1))/(COUNTA(BY15:CD15)),"")</f>
        <v>4</v>
      </c>
      <c r="CF15" s="166" t="str">
        <f t="shared" si="41"/>
        <v>A</v>
      </c>
      <c r="CG15" s="190">
        <f>IF(COUNT(BQ15,BW15,CE15)=0,"",SUM(BQ15,BW15,CE15)/COUNT(BQ15,BW15,CE15))</f>
        <v>4</v>
      </c>
      <c r="CH15" s="188" t="str">
        <f t="shared" si="42"/>
        <v>A</v>
      </c>
      <c r="CI15" s="110"/>
      <c r="CJ15" s="111"/>
      <c r="CK15" s="112"/>
      <c r="CL15" s="165" t="str">
        <f>IFERROR((((COUNTIF('Elève (3ème5)'!CI15:CK15,"A"))*4)+((COUNTIF('Elève (3ème5)'!CI15:CK15,"B"))*3)+((COUNTIF('Elève (3ème5)'!CI15:CK15,"C"))*2)+((COUNTIF('Elève (3ème5)'!CI15:CK15,"D"))*1))/(COUNTA(CI15:CK15)),"")</f>
        <v/>
      </c>
      <c r="CM15" s="166" t="str">
        <f t="shared" si="43"/>
        <v/>
      </c>
      <c r="CN15" s="110"/>
      <c r="CO15" s="111"/>
      <c r="CP15" s="112"/>
      <c r="CQ15" s="112"/>
      <c r="CR15" s="165" t="str">
        <f>IFERROR((((COUNTIF('Elève (3ème5)'!CN15:CQ15,"A"))*4)+((COUNTIF('Elève (3ème5)'!CN15:CQ15,"B"))*3)+((COUNTIF('Elève (3ème5)'!CN15:CQ15,"C"))*2)+((COUNTIF('Elève (3ème5)'!CN15:CQ15,"D"))*1))/(COUNTA(CN15:CQ15)),"")</f>
        <v/>
      </c>
      <c r="CS15" s="166" t="str">
        <f t="shared" si="44"/>
        <v/>
      </c>
      <c r="CT15" s="110"/>
      <c r="CU15" s="111"/>
      <c r="CV15" s="112" t="s">
        <v>27</v>
      </c>
      <c r="CW15" s="112" t="s">
        <v>27</v>
      </c>
      <c r="CX15" s="112"/>
      <c r="CY15" s="116"/>
      <c r="CZ15" s="165">
        <f>IFERROR((((COUNTIF('Elève (3ème5)'!CT15:CY15,"A"))*4)+((COUNTIF('Elève (3ème5)'!CT15:CY15,"B"))*3)+((COUNTIF('Elève (3ème5)'!CT15:CY15,"C"))*2)+((COUNTIF('Elève (3ème5)'!CT15:CY15,"D"))*1))/(COUNTA(CT15:CY15)),"")</f>
        <v>4</v>
      </c>
      <c r="DA15" s="166" t="str">
        <f t="shared" si="45"/>
        <v>A</v>
      </c>
      <c r="DB15" s="190">
        <f>IF(COUNT(CL15,CR15,CZ15)=0,"",SUM(CL15,CR15,CZ15)/COUNT(CL15,CR15,CZ15))</f>
        <v>4</v>
      </c>
      <c r="DC15" s="188" t="str">
        <f t="shared" si="46"/>
        <v>A</v>
      </c>
      <c r="DD15" s="110"/>
      <c r="DE15" s="111"/>
      <c r="DF15" s="112"/>
      <c r="DG15" s="165" t="str">
        <f>IFERROR((((COUNTIF('Elève (3ème5)'!DD15:DF15,"A"))*4)+((COUNTIF('Elève (3ème5)'!DD15:DF15,"B"))*3)+((COUNTIF('Elève (3ème5)'!DD15:DF15,"C"))*2)+((COUNTIF('Elève (3ème5)'!DD15:DF15,"D"))*1))/(COUNTA(DD15:DF15)),"")</f>
        <v/>
      </c>
      <c r="DH15" s="166" t="str">
        <f t="shared" si="47"/>
        <v/>
      </c>
      <c r="DI15" s="110"/>
      <c r="DJ15" s="111"/>
      <c r="DK15" s="112"/>
      <c r="DL15" s="112"/>
      <c r="DM15" s="165" t="str">
        <f>IFERROR((((COUNTIF('Elève (3ème5)'!DI15:DL15,"A"))*4)+((COUNTIF('Elève (3ème5)'!DI15:DL15,"B"))*3)+((COUNTIF('Elève (3ème5)'!DI15:DL15,"C"))*2)+((COUNTIF('Elève (3ème5)'!DI15:DL15,"D"))*1))/(COUNTA(DI15:DL15)),"")</f>
        <v/>
      </c>
      <c r="DN15" s="166" t="str">
        <f t="shared" si="48"/>
        <v/>
      </c>
      <c r="DO15" s="110"/>
      <c r="DP15" s="111"/>
      <c r="DQ15" s="112" t="s">
        <v>27</v>
      </c>
      <c r="DR15" s="112" t="s">
        <v>27</v>
      </c>
      <c r="DS15" s="112"/>
      <c r="DT15" s="116"/>
      <c r="DU15" s="165">
        <f>IFERROR((((COUNTIF('Elève (3ème5)'!DO15:DT15,"A"))*4)+((COUNTIF('Elève (3ème5)'!DO15:DT15,"B"))*3)+((COUNTIF('Elève (3ème5)'!DO15:DT15,"C"))*2)+((COUNTIF('Elève (3ème5)'!DO15:DT15,"D"))*1))/(COUNTA(DO15:DT15)),"")</f>
        <v>4</v>
      </c>
      <c r="DV15" s="166" t="str">
        <f t="shared" si="49"/>
        <v>A</v>
      </c>
      <c r="DW15" s="190">
        <f>IF(COUNT(DG15,DM15,DU15)=0,"",SUM(DG15,DM15,DU15)/COUNT(DG15,DM15,DU15))</f>
        <v>4</v>
      </c>
      <c r="DX15" s="188" t="str">
        <f t="shared" si="50"/>
        <v>A</v>
      </c>
      <c r="DY15" s="110"/>
      <c r="DZ15" s="111"/>
      <c r="EA15" s="112"/>
      <c r="EB15" s="165" t="str">
        <f>IFERROR((((COUNTIF('Elève (3ème5)'!DY15:EA15,"A"))*4)+((COUNTIF('Elève (3ème5)'!DY15:EA15,"B"))*3)+((COUNTIF('Elève (3ème5)'!DY15:EA15,"C"))*2)+((COUNTIF('Elève (3ème5)'!DY15:EA15,"D"))*1))/(COUNTA(DY15:EA15)),"")</f>
        <v/>
      </c>
      <c r="EC15" s="166" t="str">
        <f t="shared" si="51"/>
        <v/>
      </c>
      <c r="ED15" s="110"/>
      <c r="EE15" s="111"/>
      <c r="EF15" s="112"/>
      <c r="EG15" s="112"/>
      <c r="EH15" s="165" t="str">
        <f>IFERROR((((COUNTIF('Elève (3ème5)'!ED15:EG15,"A"))*4)+((COUNTIF('Elève (3ème5)'!ED15:EG15,"B"))*3)+((COUNTIF('Elève (3ème5)'!ED15:EG15,"C"))*2)+((COUNTIF('Elève (3ème5)'!ED15:EG15,"D"))*1))/(COUNTA(ED15:EG15)),"")</f>
        <v/>
      </c>
      <c r="EI15" s="166" t="str">
        <f t="shared" si="52"/>
        <v/>
      </c>
      <c r="EJ15" s="110"/>
      <c r="EK15" s="111"/>
      <c r="EL15" s="112" t="s">
        <v>27</v>
      </c>
      <c r="EM15" s="112" t="s">
        <v>27</v>
      </c>
      <c r="EN15" s="112"/>
      <c r="EO15" s="116"/>
      <c r="EP15" s="165">
        <f>IFERROR((((COUNTIF('Elève (3ème5)'!EJ15:EO15,"A"))*4)+((COUNTIF('Elève (3ème5)'!EJ15:EO15,"B"))*3)+((COUNTIF('Elève (3ème5)'!EJ15:EO15,"C"))*2)+((COUNTIF('Elève (3ème5)'!EJ15:EO15,"D"))*1))/(COUNTA(EJ15:EO15)),"")</f>
        <v>4</v>
      </c>
      <c r="EQ15" s="166" t="str">
        <f t="shared" si="53"/>
        <v>A</v>
      </c>
      <c r="ER15" s="190">
        <f>IF(COUNT(EB15,EH15,EP15)=0,"",SUM(EB15,EH15,EP15)/COUNT(EB15,EH15,EP15))</f>
        <v>4</v>
      </c>
      <c r="ES15" s="188" t="str">
        <f t="shared" si="54"/>
        <v>A</v>
      </c>
      <c r="ET15" s="110"/>
      <c r="EU15" s="111"/>
      <c r="EV15" s="112"/>
      <c r="EW15" s="165" t="str">
        <f>IFERROR((((COUNTIF('Elève (3ème5)'!ET15:EV15,"A"))*4)+((COUNTIF('Elève (3ème5)'!ET15:EV15,"B"))*3)+((COUNTIF('Elève (3ème5)'!ET15:EV15,"C"))*2)+((COUNTIF('Elève (3ème5)'!ET15:EV15,"D"))*1))/(COUNTA(ET15:EV15)),"")</f>
        <v/>
      </c>
      <c r="EX15" s="166" t="str">
        <f t="shared" si="55"/>
        <v/>
      </c>
      <c r="EY15" s="110"/>
      <c r="EZ15" s="111"/>
      <c r="FA15" s="112"/>
      <c r="FB15" s="112"/>
      <c r="FC15" s="165" t="str">
        <f>IFERROR((((COUNTIF('Elève (3ème5)'!EY15:FB15,"A"))*4)+((COUNTIF('Elève (3ème5)'!EY15:FB15,"B"))*3)+((COUNTIF('Elève (3ème5)'!EY15:FB15,"C"))*2)+((COUNTIF('Elève (3ème5)'!EY15:FB15,"D"))*1))/(COUNTA(EY15:FB15)),"")</f>
        <v/>
      </c>
      <c r="FD15" s="166" t="str">
        <f t="shared" si="56"/>
        <v/>
      </c>
      <c r="FE15" s="110"/>
      <c r="FF15" s="111"/>
      <c r="FG15" s="112" t="s">
        <v>27</v>
      </c>
      <c r="FH15" s="112" t="s">
        <v>27</v>
      </c>
      <c r="FI15" s="112"/>
      <c r="FJ15" s="116"/>
      <c r="FK15" s="165">
        <f>IFERROR((((COUNTIF('Elève (3ème5)'!FE15:FJ15,"A"))*4)+((COUNTIF('Elève (3ème5)'!FE15:FJ15,"B"))*3)+((COUNTIF('Elève (3ème5)'!FE15:FJ15,"C"))*2)+((COUNTIF('Elève (3ème5)'!FE15:FJ15,"D"))*1))/(COUNTA(FE15:FJ15)),"")</f>
        <v>4</v>
      </c>
      <c r="FL15" s="166" t="str">
        <f t="shared" si="57"/>
        <v>A</v>
      </c>
      <c r="FM15" s="190">
        <f>IF(COUNT(EW15,FC15,FK15)=0,"",SUM(EW15,FC15,FK15)/COUNT(EW15,FC15,FK15))</f>
        <v>4</v>
      </c>
      <c r="FN15" s="188" t="str">
        <f t="shared" si="58"/>
        <v>A</v>
      </c>
      <c r="FO15" s="110"/>
      <c r="FP15" s="111"/>
      <c r="FQ15" s="112"/>
      <c r="FR15" s="165" t="str">
        <f>IFERROR((((COUNTIF('Elève (3ème5)'!FO15:FQ15,"A"))*4)+((COUNTIF('Elève (3ème5)'!FO15:FQ15,"B"))*3)+((COUNTIF('Elève (3ème5)'!FO15:FQ15,"C"))*2)+((COUNTIF('Elève (3ème5)'!FO15:FQ15,"D"))*1))/(COUNTA(FO15:FQ15)),"")</f>
        <v/>
      </c>
      <c r="FS15" s="166" t="str">
        <f t="shared" si="59"/>
        <v/>
      </c>
      <c r="FT15" s="110"/>
      <c r="FU15" s="111"/>
      <c r="FV15" s="112"/>
      <c r="FW15" s="112"/>
      <c r="FX15" s="165" t="str">
        <f>IFERROR((((COUNTIF('Elève (3ème5)'!FT15:FW15,"A"))*4)+((COUNTIF('Elève (3ème5)'!FT15:FW15,"B"))*3)+((COUNTIF('Elève (3ème5)'!FT15:FW15,"C"))*2)+((COUNTIF('Elève (3ème5)'!FT15:FW15,"D"))*1))/(COUNTA(FT15:FW15)),"")</f>
        <v/>
      </c>
      <c r="FY15" s="166" t="str">
        <f t="shared" si="60"/>
        <v/>
      </c>
      <c r="FZ15" s="110"/>
      <c r="GA15" s="111"/>
      <c r="GB15" s="112" t="s">
        <v>27</v>
      </c>
      <c r="GC15" s="112" t="s">
        <v>27</v>
      </c>
      <c r="GD15" s="112"/>
      <c r="GE15" s="116"/>
      <c r="GF15" s="165">
        <f>IFERROR((((COUNTIF('Elève (3ème5)'!FZ15:GE15,"A"))*4)+((COUNTIF('Elève (3ème5)'!FZ15:GE15,"B"))*3)+((COUNTIF('Elève (3ème5)'!FZ15:GE15,"C"))*2)+((COUNTIF('Elève (3ème5)'!FZ15:GE15,"D"))*1))/(COUNTA(FZ15:GE15)),"")</f>
        <v>4</v>
      </c>
      <c r="GG15" s="166" t="str">
        <f t="shared" si="61"/>
        <v>A</v>
      </c>
      <c r="GH15" s="190">
        <f>IF(COUNT(FR15,FX15,GF15)=0,"",SUM(FR15,FX15,GF15)/COUNT(FR15,FX15,GF15))</f>
        <v>4</v>
      </c>
      <c r="GI15" s="188" t="str">
        <f t="shared" si="62"/>
        <v>A</v>
      </c>
      <c r="GJ15" s="110"/>
      <c r="GK15" s="111"/>
      <c r="GL15" s="112"/>
      <c r="GM15" s="165" t="str">
        <f>IFERROR((((COUNTIF('Elève (3ème5)'!GJ15:GL15,"A"))*4)+((COUNTIF('Elève (3ème5)'!GJ15:GL15,"B"))*3)+((COUNTIF('Elève (3ème5)'!GJ15:GL15,"C"))*2)+((COUNTIF('Elève (3ème5)'!GJ15:GL15,"D"))*1))/(COUNTA(GJ15:GL15)),"")</f>
        <v/>
      </c>
      <c r="GN15" s="166" t="str">
        <f t="shared" si="63"/>
        <v/>
      </c>
      <c r="GO15" s="110"/>
      <c r="GP15" s="111"/>
      <c r="GQ15" s="112"/>
      <c r="GR15" s="112"/>
      <c r="GS15" s="165" t="str">
        <f>IFERROR((((COUNTIF('Elève (3ème5)'!GO15:GR15,"A"))*4)+((COUNTIF('Elève (3ème5)'!GO15:GR15,"B"))*3)+((COUNTIF('Elève (3ème5)'!GO15:GR15,"C"))*2)+((COUNTIF('Elève (3ème5)'!GO15:GR15,"D"))*1))/(COUNTA(GO15:GR15)),"")</f>
        <v/>
      </c>
      <c r="GT15" s="166" t="str">
        <f t="shared" si="64"/>
        <v/>
      </c>
      <c r="GU15" s="110"/>
      <c r="GV15" s="111"/>
      <c r="GW15" s="112"/>
      <c r="GX15" s="112" t="s">
        <v>27</v>
      </c>
      <c r="GY15" s="112"/>
      <c r="GZ15" s="116"/>
      <c r="HA15" s="165">
        <f>IFERROR((((COUNTIF('Elève (3ème5)'!GU15:GZ15,"A"))*4)+((COUNTIF('Elève (3ème5)'!GU15:GZ15,"B"))*3)+((COUNTIF('Elève (3ème5)'!GU15:GZ15,"C"))*2)+((COUNTIF('Elève (3ème5)'!GU15:GZ15,"D"))*1))/(COUNTA(GU15:GZ15)),"")</f>
        <v>4</v>
      </c>
      <c r="HB15" s="166" t="str">
        <f t="shared" si="65"/>
        <v>A</v>
      </c>
      <c r="HC15" s="190">
        <f>IF(COUNT(GM15,GS15,HA15)=0,"",SUM(GM15,GS15,HA15)/COUNT(GM15,GS15,HA15))</f>
        <v>4</v>
      </c>
      <c r="HD15" s="188" t="str">
        <f t="shared" si="66"/>
        <v>A</v>
      </c>
      <c r="HE15" s="110"/>
      <c r="HF15" s="111"/>
      <c r="HG15" s="112"/>
      <c r="HH15" s="165" t="str">
        <f>IFERROR((((COUNTIF('Elève (3ème5)'!HE15:HG15,"A"))*4)+((COUNTIF('Elève (3ème5)'!HE15:HG15,"B"))*3)+((COUNTIF('Elève (3ème5)'!HE15:HG15,"C"))*2)+((COUNTIF('Elève (3ème5)'!HE15:HG15,"D"))*1))/(COUNTA(HE15:HG15)),"")</f>
        <v/>
      </c>
      <c r="HI15" s="166" t="str">
        <f t="shared" si="67"/>
        <v/>
      </c>
      <c r="HJ15" s="110"/>
      <c r="HK15" s="111"/>
      <c r="HL15" s="112"/>
      <c r="HM15" s="112"/>
      <c r="HN15" s="165" t="str">
        <f>IFERROR((((COUNTIF('Elève (3ème5)'!HJ15:HM15,"A"))*4)+((COUNTIF('Elève (3ème5)'!HJ15:HM15,"B"))*3)+((COUNTIF('Elève (3ème5)'!HJ15:HM15,"C"))*2)+((COUNTIF('Elève (3ème5)'!HJ15:HM15,"D"))*1))/(COUNTA(HJ15:HM15)),"")</f>
        <v/>
      </c>
      <c r="HO15" s="166" t="str">
        <f t="shared" si="68"/>
        <v/>
      </c>
      <c r="HP15" s="110"/>
      <c r="HQ15" s="111"/>
      <c r="HR15" s="112"/>
      <c r="HS15" s="112" t="s">
        <v>27</v>
      </c>
      <c r="HT15" s="112"/>
      <c r="HU15" s="116"/>
      <c r="HV15" s="165">
        <f>IFERROR((((COUNTIF('Elève (3ème5)'!HP15:HU15,"A"))*4)+((COUNTIF('Elève (3ème5)'!HP15:HU15,"B"))*3)+((COUNTIF('Elève (3ème5)'!HP15:HU15,"C"))*2)+((COUNTIF('Elève (3ème5)'!HP15:HU15,"D"))*1))/(COUNTA(HP15:HU15)),"")</f>
        <v>4</v>
      </c>
      <c r="HW15" s="166" t="str">
        <f t="shared" si="69"/>
        <v>A</v>
      </c>
      <c r="HX15" s="190">
        <f>IF(COUNT(HH15,HN15,HV15)=0,"",SUM(HH15,HN15,HV15)/COUNT(HH15,HN15,HV15))</f>
        <v>4</v>
      </c>
      <c r="HY15" s="188" t="str">
        <f t="shared" si="70"/>
        <v>A</v>
      </c>
      <c r="HZ15" s="110"/>
      <c r="IA15" s="111"/>
      <c r="IB15" s="112"/>
      <c r="IC15" s="165" t="str">
        <f>IFERROR((((COUNTIF('Elève (3ème5)'!HZ15:IB15,"A"))*4)+((COUNTIF('Elève (3ème5)'!HZ15:IB15,"B"))*3)+((COUNTIF('Elève (3ème5)'!HZ15:IB15,"C"))*2)+((COUNTIF('Elève (3ème5)'!HZ15:IB15,"D"))*1))/(COUNTA(HZ15:IB15)),"")</f>
        <v/>
      </c>
      <c r="ID15" s="166" t="str">
        <f t="shared" si="71"/>
        <v/>
      </c>
      <c r="IE15" s="110"/>
      <c r="IF15" s="111"/>
      <c r="IG15" s="112"/>
      <c r="IH15" s="112"/>
      <c r="II15" s="165" t="str">
        <f>IFERROR((((COUNTIF('Elève (3ème5)'!IE15:IH15,"A"))*4)+((COUNTIF('Elève (3ème5)'!IE15:IH15,"B"))*3)+((COUNTIF('Elève (3ème5)'!IE15:IH15,"C"))*2)+((COUNTIF('Elève (3ème5)'!IE15:IH15,"D"))*1))/(COUNTA(IE15:IH15)),"")</f>
        <v/>
      </c>
      <c r="IJ15" s="166" t="str">
        <f t="shared" si="72"/>
        <v/>
      </c>
      <c r="IK15" s="110"/>
      <c r="IL15" s="111"/>
      <c r="IM15" s="112" t="s">
        <v>27</v>
      </c>
      <c r="IN15" s="112" t="s">
        <v>27</v>
      </c>
      <c r="IO15" s="112"/>
      <c r="IP15" s="116"/>
      <c r="IQ15" s="165">
        <f>IFERROR((((COUNTIF('Elève (3ème5)'!IK15:IP15,"A"))*4)+((COUNTIF('Elève (3ème5)'!IK15:IP15,"B"))*3)+((COUNTIF('Elève (3ème5)'!IK15:IP15,"C"))*2)+((COUNTIF('Elève (3ème5)'!IK15:IP15,"D"))*1))/(COUNTA(IK15:IP15)),"")</f>
        <v>4</v>
      </c>
      <c r="IR15" s="166" t="str">
        <f t="shared" si="73"/>
        <v>A</v>
      </c>
      <c r="IS15" s="190">
        <f>IF(COUNT(IC15,II15,IQ15)=0,"",SUM(IC15,II15,IQ15)/COUNT(IC15,II15,IQ15))</f>
        <v>4</v>
      </c>
      <c r="IT15" s="188" t="str">
        <f t="shared" si="74"/>
        <v>A</v>
      </c>
      <c r="IU15" s="110"/>
      <c r="IV15" s="111"/>
      <c r="IW15" s="112"/>
      <c r="IX15" s="165" t="str">
        <f>IFERROR((((COUNTIF('Elève (3ème5)'!IU15:IW15,"A"))*4)+((COUNTIF('Elève (3ème5)'!IU15:IW15,"B"))*3)+((COUNTIF('Elève (3ème5)'!IU15:IW15,"C"))*2)+((COUNTIF('Elève (3ème5)'!IU15:IW15,"D"))*1))/(COUNTA(IU15:IW15)),"")</f>
        <v/>
      </c>
      <c r="IY15" s="166" t="str">
        <f t="shared" si="75"/>
        <v/>
      </c>
      <c r="IZ15" s="110"/>
      <c r="JA15" s="111"/>
      <c r="JB15" s="112"/>
      <c r="JC15" s="112"/>
      <c r="JD15" s="165" t="str">
        <f>IFERROR((((COUNTIF('Elève (3ème5)'!IZ15:JC15,"A"))*4)+((COUNTIF('Elève (3ème5)'!IZ15:JC15,"B"))*3)+((COUNTIF('Elève (3ème5)'!IZ15:JC15,"C"))*2)+((COUNTIF('Elève (3ème5)'!IZ15:JC15,"D"))*1))/(COUNTA(IZ15:JC15)),"")</f>
        <v/>
      </c>
      <c r="JE15" s="166" t="str">
        <f t="shared" si="76"/>
        <v/>
      </c>
      <c r="JF15" s="110"/>
      <c r="JG15" s="111"/>
      <c r="JH15" s="112" t="s">
        <v>27</v>
      </c>
      <c r="JI15" s="112" t="s">
        <v>27</v>
      </c>
      <c r="JJ15" s="112"/>
      <c r="JK15" s="116"/>
      <c r="JL15" s="165">
        <f>IFERROR((((COUNTIF('Elève (3ème5)'!JF15:JK15,"A"))*4)+((COUNTIF('Elève (3ème5)'!JF15:JK15,"B"))*3)+((COUNTIF('Elève (3ème5)'!JF15:JK15,"C"))*2)+((COUNTIF('Elève (3ème5)'!JF15:JK15,"D"))*1))/(COUNTA(JF15:JK15)),"")</f>
        <v>4</v>
      </c>
      <c r="JM15" s="166" t="str">
        <f t="shared" si="77"/>
        <v>A</v>
      </c>
      <c r="JN15" s="190">
        <f>IF(COUNT(IX15,JD15,JL15)=0,"",SUM(IX15,JD15,JL15)/COUNT(IX15,JD15,JL15))</f>
        <v>4</v>
      </c>
      <c r="JO15" s="188" t="str">
        <f t="shared" si="78"/>
        <v>A</v>
      </c>
      <c r="JP15" s="110"/>
      <c r="JQ15" s="111"/>
      <c r="JR15" s="112"/>
      <c r="JS15" s="165" t="str">
        <f>IFERROR((((COUNTIF('Elève (3ème5)'!JP15:JR15,"A"))*4)+((COUNTIF('Elève (3ème5)'!JP15:JR15,"B"))*3)+((COUNTIF('Elève (3ème5)'!JP15:JR15,"C"))*2)+((COUNTIF('Elève (3ème5)'!JP15:JR15,"D"))*1))/(COUNTA(JP15:JR15)),"")</f>
        <v/>
      </c>
      <c r="JT15" s="166" t="str">
        <f t="shared" si="79"/>
        <v/>
      </c>
      <c r="JU15" s="110"/>
      <c r="JV15" s="111"/>
      <c r="JW15" s="112"/>
      <c r="JX15" s="112"/>
      <c r="JY15" s="165" t="str">
        <f>IFERROR((((COUNTIF('Elève (3ème5)'!JU15:JX15,"A"))*4)+((COUNTIF('Elève (3ème5)'!JU15:JX15,"B"))*3)+((COUNTIF('Elève (3ème5)'!JU15:JX15,"C"))*2)+((COUNTIF('Elève (3ème5)'!JU15:JX15,"D"))*1))/(COUNTA(JU15:JX15)),"")</f>
        <v/>
      </c>
      <c r="JZ15" s="166" t="str">
        <f t="shared" si="80"/>
        <v/>
      </c>
      <c r="KA15" s="110"/>
      <c r="KB15" s="111"/>
      <c r="KC15" s="112" t="s">
        <v>27</v>
      </c>
      <c r="KD15" s="112" t="s">
        <v>27</v>
      </c>
      <c r="KE15" s="112"/>
      <c r="KF15" s="116"/>
      <c r="KG15" s="165">
        <f>IFERROR((((COUNTIF('Elève (3ème5)'!KA15:KF15,"A"))*4)+((COUNTIF('Elève (3ème5)'!KA15:KF15,"B"))*3)+((COUNTIF('Elève (3ème5)'!KA15:KF15,"C"))*2)+((COUNTIF('Elève (3ème5)'!KA15:KF15,"D"))*1))/(COUNTA(KA15:KF15)),"")</f>
        <v>4</v>
      </c>
      <c r="KH15" s="166" t="str">
        <f t="shared" si="81"/>
        <v>A</v>
      </c>
      <c r="KI15" s="190">
        <f>IF(COUNT(JS15,JY15,KG15)=0,"",SUM(JS15,JY15,KG15)/COUNT(JS15,JY15,KG15))</f>
        <v>4</v>
      </c>
      <c r="KJ15" s="188" t="str">
        <f t="shared" si="82"/>
        <v>A</v>
      </c>
      <c r="KK15" s="110"/>
      <c r="KL15" s="111"/>
      <c r="KM15" s="112"/>
      <c r="KN15" s="165" t="str">
        <f>IFERROR((((COUNTIF('Elève (3ème5)'!KK15:KM15,"A"))*4)+((COUNTIF('Elève (3ème5)'!KK15:KM15,"B"))*3)+((COUNTIF('Elève (3ème5)'!KK15:KM15,"C"))*2)+((COUNTIF('Elève (3ème5)'!KK15:KM15,"D"))*1))/(COUNTA(KK15:KM15)),"")</f>
        <v/>
      </c>
      <c r="KO15" s="166" t="str">
        <f t="shared" si="83"/>
        <v/>
      </c>
      <c r="KP15" s="110"/>
      <c r="KQ15" s="111"/>
      <c r="KR15" s="112"/>
      <c r="KS15" s="112"/>
      <c r="KT15" s="165" t="str">
        <f>IFERROR((((COUNTIF('Elève (3ème5)'!KP15:KS15,"A"))*4)+((COUNTIF('Elève (3ème5)'!KP15:KS15,"B"))*3)+((COUNTIF('Elève (3ème5)'!KP15:KS15,"C"))*2)+((COUNTIF('Elève (3ème5)'!KP15:KS15,"D"))*1))/(COUNTA(KP15:KS15)),"")</f>
        <v/>
      </c>
      <c r="KU15" s="166" t="str">
        <f t="shared" si="84"/>
        <v/>
      </c>
      <c r="KV15" s="110"/>
      <c r="KW15" s="111"/>
      <c r="KX15" s="112" t="s">
        <v>27</v>
      </c>
      <c r="KY15" s="112" t="s">
        <v>27</v>
      </c>
      <c r="KZ15" s="112"/>
      <c r="LA15" s="116"/>
      <c r="LB15" s="165">
        <f>IFERROR((((COUNTIF('Elève (3ème5)'!KV15:LA15,"A"))*4)+((COUNTIF('Elève (3ème5)'!KV15:LA15,"B"))*3)+((COUNTIF('Elève (3ème5)'!KV15:LA15,"C"))*2)+((COUNTIF('Elève (3ème5)'!KV15:LA15,"D"))*1))/(COUNTA(KV15:LA15)),"")</f>
        <v>4</v>
      </c>
      <c r="LC15" s="166" t="str">
        <f t="shared" si="85"/>
        <v>A</v>
      </c>
      <c r="LD15" s="190">
        <f>IF(COUNT(KN15,KT15,LB15)=0,"",SUM(KN15,KT15,LB15)/COUNT(KN15,KT15,LB15))</f>
        <v>4</v>
      </c>
      <c r="LE15" s="188" t="str">
        <f t="shared" si="86"/>
        <v>A</v>
      </c>
      <c r="LF15" s="110"/>
      <c r="LG15" s="111"/>
      <c r="LH15" s="112"/>
      <c r="LI15" s="165" t="str">
        <f>IFERROR((((COUNTIF('Elève (3ème5)'!LF15:LH15,"A"))*4)+((COUNTIF('Elève (3ème5)'!LF15:LH15,"B"))*3)+((COUNTIF('Elève (3ème5)'!LF15:LH15,"C"))*2)+((COUNTIF('Elève (3ème5)'!LF15:LH15,"D"))*1))/(COUNTA(LF15:LH15)),"")</f>
        <v/>
      </c>
      <c r="LJ15" s="166" t="str">
        <f t="shared" si="87"/>
        <v/>
      </c>
      <c r="LK15" s="110"/>
      <c r="LL15" s="111"/>
      <c r="LM15" s="112"/>
      <c r="LN15" s="112"/>
      <c r="LO15" s="165" t="str">
        <f>IFERROR((((COUNTIF('Elève (3ème5)'!LK15:LN15,"A"))*4)+((COUNTIF('Elève (3ème5)'!LK15:LN15,"B"))*3)+((COUNTIF('Elève (3ème5)'!LK15:LN15,"C"))*2)+((COUNTIF('Elève (3ème5)'!LK15:LN15,"D"))*1))/(COUNTA(LK15:LN15)),"")</f>
        <v/>
      </c>
      <c r="LP15" s="166" t="str">
        <f t="shared" si="88"/>
        <v/>
      </c>
      <c r="LQ15" s="110"/>
      <c r="LR15" s="111"/>
      <c r="LS15" s="112" t="s">
        <v>27</v>
      </c>
      <c r="LT15" s="112" t="s">
        <v>27</v>
      </c>
      <c r="LU15" s="112"/>
      <c r="LV15" s="116"/>
      <c r="LW15" s="165">
        <f>IFERROR((((COUNTIF('Elève (3ème5)'!LQ15:LV15,"A"))*4)+((COUNTIF('Elève (3ème5)'!LQ15:LV15,"B"))*3)+((COUNTIF('Elève (3ème5)'!LQ15:LV15,"C"))*2)+((COUNTIF('Elève (3ème5)'!LQ15:LV15,"D"))*1))/(COUNTA(LQ15:LV15)),"")</f>
        <v>4</v>
      </c>
      <c r="LX15" s="166" t="str">
        <f t="shared" si="89"/>
        <v>A</v>
      </c>
      <c r="LY15" s="190">
        <f>IF(COUNT(LI15,LO15,LW15)=0,"",SUM(LI15,LO15,LW15)/COUNT(LI15,LO15,LW15))</f>
        <v>4</v>
      </c>
      <c r="LZ15" s="188" t="str">
        <f t="shared" si="90"/>
        <v>A</v>
      </c>
      <c r="MA15" s="110"/>
      <c r="MB15" s="111"/>
      <c r="MC15" s="112"/>
      <c r="MD15" s="165" t="str">
        <f>IFERROR((((COUNTIF('Elève (3ème5)'!MA15:MC15,"A"))*4)+((COUNTIF('Elève (3ème5)'!MA15:MC15,"B"))*3)+((COUNTIF('Elève (3ème5)'!MA15:MC15,"C"))*2)+((COUNTIF('Elève (3ème5)'!MA15:MC15,"D"))*1))/(COUNTA(MA15:MC15)),"")</f>
        <v/>
      </c>
      <c r="ME15" s="166" t="str">
        <f t="shared" si="91"/>
        <v/>
      </c>
      <c r="MF15" s="110"/>
      <c r="MG15" s="111"/>
      <c r="MH15" s="112"/>
      <c r="MI15" s="112"/>
      <c r="MJ15" s="165" t="str">
        <f>IFERROR((((COUNTIF('Elève (3ème5)'!MF15:MI15,"A"))*4)+((COUNTIF('Elève (3ème5)'!MF15:MI15,"B"))*3)+((COUNTIF('Elève (3ème5)'!MF15:MI15,"C"))*2)+((COUNTIF('Elève (3ème5)'!MF15:MI15,"D"))*1))/(COUNTA(MF15:MI15)),"")</f>
        <v/>
      </c>
      <c r="MK15" s="166" t="str">
        <f t="shared" si="92"/>
        <v/>
      </c>
      <c r="ML15" s="110"/>
      <c r="MM15" s="111"/>
      <c r="MN15" s="112" t="s">
        <v>28</v>
      </c>
      <c r="MO15" s="112" t="s">
        <v>27</v>
      </c>
      <c r="MP15" s="112"/>
      <c r="MQ15" s="116"/>
      <c r="MR15" s="165">
        <f>IFERROR((((COUNTIF('Elève (3ème5)'!ML15:MQ15,"A"))*4)+((COUNTIF('Elève (3ème5)'!ML15:MQ15,"B"))*3)+((COUNTIF('Elève (3ème5)'!ML15:MQ15,"C"))*2)+((COUNTIF('Elève (3ème5)'!ML15:MQ15,"D"))*1))/(COUNTA(ML15:MQ15)),"")</f>
        <v>3.5</v>
      </c>
      <c r="MS15" s="166" t="str">
        <f t="shared" si="93"/>
        <v>B</v>
      </c>
      <c r="MT15" s="190">
        <f>IF(COUNT(MD15,MJ15,MR15)=0,"",SUM(MD15,MJ15,MR15)/COUNT(MD15,MJ15,MR15))</f>
        <v>3.5</v>
      </c>
      <c r="MU15" s="188" t="str">
        <f t="shared" si="94"/>
        <v>B</v>
      </c>
      <c r="MV15" s="110"/>
      <c r="MW15" s="111"/>
      <c r="MX15" s="112"/>
      <c r="MY15" s="165" t="str">
        <f>IFERROR((((COUNTIF('Elève (3ème5)'!MV15:MX15,"A"))*4)+((COUNTIF('Elève (3ème5)'!MV15:MX15,"B"))*3)+((COUNTIF('Elève (3ème5)'!MV15:MX15,"C"))*2)+((COUNTIF('Elève (3ème5)'!MV15:MX15,"D"))*1))/(COUNTA(MV15:MX15)),"")</f>
        <v/>
      </c>
      <c r="MZ15" s="166" t="str">
        <f t="shared" si="95"/>
        <v/>
      </c>
      <c r="NA15" s="110"/>
      <c r="NB15" s="111"/>
      <c r="NC15" s="112"/>
      <c r="ND15" s="112"/>
      <c r="NE15" s="165" t="str">
        <f>IFERROR((((COUNTIF('Elève (3ème5)'!NA15:ND15,"A"))*4)+((COUNTIF('Elève (3ème5)'!NA15:ND15,"B"))*3)+((COUNTIF('Elève (3ème5)'!NA15:ND15,"C"))*2)+((COUNTIF('Elève (3ème5)'!NA15:ND15,"D"))*1))/(COUNTA(NA15:ND15)),"")</f>
        <v/>
      </c>
      <c r="NF15" s="166" t="str">
        <f t="shared" si="96"/>
        <v/>
      </c>
      <c r="NG15" s="110"/>
      <c r="NH15" s="111"/>
      <c r="NI15" s="112" t="s">
        <v>27</v>
      </c>
      <c r="NJ15" s="112" t="s">
        <v>27</v>
      </c>
      <c r="NK15" s="112"/>
      <c r="NL15" s="116"/>
      <c r="NM15" s="165">
        <f>IFERROR((((COUNTIF('Elève (3ème5)'!NG15:NL15,"A"))*4)+((COUNTIF('Elève (3ème5)'!NG15:NL15,"B"))*3)+((COUNTIF('Elève (3ème5)'!NG15:NL15,"C"))*2)+((COUNTIF('Elève (3ème5)'!NG15:NL15,"D"))*1))/(COUNTA(NG15:NL15)),"")</f>
        <v>4</v>
      </c>
      <c r="NN15" s="166" t="str">
        <f t="shared" si="97"/>
        <v>A</v>
      </c>
      <c r="NO15" s="190">
        <f>IF(COUNT(MY15,NE15,NM15)=0,"",SUM(MY15,NE15,NM15)/COUNT(MY15,NE15,NM15))</f>
        <v>4</v>
      </c>
      <c r="NP15" s="188" t="str">
        <f t="shared" si="98"/>
        <v>A</v>
      </c>
      <c r="NQ15" s="110"/>
      <c r="NR15" s="111"/>
      <c r="NS15" s="112"/>
      <c r="NT15" s="165" t="str">
        <f>IFERROR((((COUNTIF('Elève (3ème5)'!NQ15:NS15,"A"))*4)+((COUNTIF('Elève (3ème5)'!NQ15:NS15,"B"))*3)+((COUNTIF('Elève (3ème5)'!NQ15:NS15,"C"))*2)+((COUNTIF('Elève (3ème5)'!NQ15:NS15,"D"))*1))/(COUNTA(NQ15:NS15)),"")</f>
        <v/>
      </c>
      <c r="NU15" s="166" t="str">
        <f t="shared" si="99"/>
        <v/>
      </c>
      <c r="NV15" s="110"/>
      <c r="NW15" s="111"/>
      <c r="NX15" s="112"/>
      <c r="NY15" s="112"/>
      <c r="NZ15" s="165" t="str">
        <f>IFERROR((((COUNTIF('Elève (3ème5)'!NV15:NY15,"A"))*4)+((COUNTIF('Elève (3ème5)'!NV15:NY15,"B"))*3)+((COUNTIF('Elève (3ème5)'!NV15:NY15,"C"))*2)+((COUNTIF('Elève (3ème5)'!NV15:NY15,"D"))*1))/(COUNTA(NV15:NY15)),"")</f>
        <v/>
      </c>
      <c r="OA15" s="166" t="str">
        <f t="shared" si="100"/>
        <v/>
      </c>
      <c r="OB15" s="110"/>
      <c r="OC15" s="111"/>
      <c r="OD15" s="112" t="s">
        <v>28</v>
      </c>
      <c r="OE15" s="112" t="s">
        <v>27</v>
      </c>
      <c r="OF15" s="112"/>
      <c r="OG15" s="116"/>
      <c r="OH15" s="165">
        <f>IFERROR((((COUNTIF('Elève (3ème5)'!OB15:OG15,"A"))*4)+((COUNTIF('Elève (3ème5)'!OB15:OG15,"B"))*3)+((COUNTIF('Elève (3ème5)'!OB15:OG15,"C"))*2)+((COUNTIF('Elève (3ème5)'!OB15:OG15,"D"))*1))/(COUNTA(OB15:OG15)),"")</f>
        <v>3.5</v>
      </c>
      <c r="OI15" s="166" t="str">
        <f t="shared" si="101"/>
        <v>B</v>
      </c>
      <c r="OJ15" s="190">
        <f>IF(COUNT(NT15,NZ15,OH15)=0,"",SUM(NT15,NZ15,OH15)/COUNT(NT15,NZ15,OH15))</f>
        <v>3.5</v>
      </c>
      <c r="OK15" s="188" t="str">
        <f t="shared" si="102"/>
        <v>B</v>
      </c>
      <c r="OL15" s="110"/>
      <c r="OM15" s="111"/>
      <c r="ON15" s="112"/>
      <c r="OO15" s="165" t="str">
        <f>IFERROR((((COUNTIF('Elève (3ème5)'!OL15:ON15,"A"))*4)+((COUNTIF('Elève (3ème5)'!OL15:ON15,"B"))*3)+((COUNTIF('Elève (3ème5)'!OL15:ON15,"C"))*2)+((COUNTIF('Elève (3ème5)'!OL15:ON15,"D"))*1))/(COUNTA(OL15:ON15)),"")</f>
        <v/>
      </c>
      <c r="OP15" s="166" t="str">
        <f t="shared" si="103"/>
        <v/>
      </c>
      <c r="OQ15" s="110"/>
      <c r="OR15" s="111"/>
      <c r="OS15" s="112"/>
      <c r="OT15" s="112"/>
      <c r="OU15" s="165" t="str">
        <f>IFERROR((((COUNTIF('Elève (3ème5)'!OQ15:OT15,"A"))*4)+((COUNTIF('Elève (3ème5)'!OQ15:OT15,"B"))*3)+((COUNTIF('Elève (3ème5)'!OQ15:OT15,"C"))*2)+((COUNTIF('Elève (3ème5)'!OQ15:OT15,"D"))*1))/(COUNTA(OQ15:OT15)),"")</f>
        <v/>
      </c>
      <c r="OV15" s="166" t="str">
        <f t="shared" si="104"/>
        <v/>
      </c>
      <c r="OW15" s="110"/>
      <c r="OX15" s="111"/>
      <c r="OY15" s="112"/>
      <c r="OZ15" s="112"/>
      <c r="PA15" s="112"/>
      <c r="PB15" s="116"/>
      <c r="PC15" s="165" t="str">
        <f>IFERROR((((COUNTIF('Elève (3ème5)'!OW15:PB15,"A"))*4)+((COUNTIF('Elève (3ème5)'!OW15:PB15,"B"))*3)+((COUNTIF('Elève (3ème5)'!OW15:PB15,"C"))*2)+((COUNTIF('Elève (3ème5)'!OW15:PB15,"D"))*1))/(COUNTA(OW15:PB15)),"")</f>
        <v/>
      </c>
      <c r="PD15" s="166" t="str">
        <f t="shared" si="105"/>
        <v/>
      </c>
      <c r="PE15" s="190" t="str">
        <f>IF(COUNT(OO15,OU15,PC15)=0,"",SUM(OO15,OU15,PC15)/COUNT(OO15,OU15,PC15))</f>
        <v/>
      </c>
      <c r="PF15" s="188" t="str">
        <f t="shared" si="106"/>
        <v/>
      </c>
      <c r="PG15" s="110"/>
      <c r="PH15" s="111"/>
      <c r="PI15" s="112"/>
      <c r="PJ15" s="165" t="str">
        <f>IFERROR((((COUNTIF('Elève (3ème5)'!PG15:PI15,"A"))*4)+((COUNTIF('Elève (3ème5)'!PG15:PI15,"B"))*3)+((COUNTIF('Elève (3ème5)'!PG15:PI15,"C"))*2)+((COUNTIF('Elève (3ème5)'!PG15:PI15,"D"))*1))/(COUNTA(PG15:PI15)),"")</f>
        <v/>
      </c>
      <c r="PK15" s="166" t="str">
        <f t="shared" si="107"/>
        <v/>
      </c>
      <c r="PL15" s="110"/>
      <c r="PM15" s="111"/>
      <c r="PN15" s="112"/>
      <c r="PO15" s="112"/>
      <c r="PP15" s="165" t="str">
        <f>IFERROR((((COUNTIF('Elève (3ème5)'!PL15:PO15,"A"))*4)+((COUNTIF('Elève (3ème5)'!PL15:PO15,"B"))*3)+((COUNTIF('Elève (3ème5)'!PL15:PO15,"C"))*2)+((COUNTIF('Elève (3ème5)'!PL15:PO15,"D"))*1))/(COUNTA(PL15:PO15)),"")</f>
        <v/>
      </c>
      <c r="PQ15" s="166" t="str">
        <f t="shared" si="108"/>
        <v/>
      </c>
      <c r="PR15" s="110"/>
      <c r="PS15" s="111"/>
      <c r="PT15" s="112" t="s">
        <v>27</v>
      </c>
      <c r="PU15" s="112" t="s">
        <v>27</v>
      </c>
      <c r="PV15" s="112"/>
      <c r="PW15" s="116"/>
      <c r="PX15" s="165">
        <f>IFERROR((((COUNTIF('Elève (3ème5)'!PR15:PW15,"A"))*4)+((COUNTIF('Elève (3ème5)'!PR15:PW15,"B"))*3)+((COUNTIF('Elève (3ème5)'!PR15:PW15,"C"))*2)+((COUNTIF('Elève (3ème5)'!PR15:PW15,"D"))*1))/(COUNTA(PR15:PW15)),"")</f>
        <v>4</v>
      </c>
      <c r="PY15" s="166" t="str">
        <f t="shared" si="109"/>
        <v>A</v>
      </c>
      <c r="PZ15" s="190">
        <f>IF(COUNT(PJ15,PP15,PX15)=0,"",SUM(PJ15,PP15,PX15)/COUNT(PJ15,PP15,PX15))</f>
        <v>4</v>
      </c>
      <c r="QA15" s="188" t="str">
        <f t="shared" si="110"/>
        <v>A</v>
      </c>
      <c r="QB15" s="110"/>
      <c r="QC15" s="111"/>
      <c r="QD15" s="112"/>
      <c r="QE15" s="165" t="str">
        <f>IFERROR((((COUNTIF('Elève (3ème5)'!QB15:QD15,"A"))*4)+((COUNTIF('Elève (3ème5)'!QB15:QD15,"B"))*3)+((COUNTIF('Elève (3ème5)'!QB15:QD15,"C"))*2)+((COUNTIF('Elève (3ème5)'!QB15:QD15,"D"))*1))/(COUNTA(QB15:QD15)),"")</f>
        <v/>
      </c>
      <c r="QF15" s="166" t="str">
        <f t="shared" si="111"/>
        <v/>
      </c>
      <c r="QG15" s="110"/>
      <c r="QH15" s="111"/>
      <c r="QI15" s="112"/>
      <c r="QJ15" s="112"/>
      <c r="QK15" s="165" t="str">
        <f>IFERROR((((COUNTIF('Elève (3ème5)'!QG15:QJ15,"A"))*4)+((COUNTIF('Elève (3ème5)'!QG15:QJ15,"B"))*3)+((COUNTIF('Elève (3ème5)'!QG15:QJ15,"C"))*2)+((COUNTIF('Elève (3ème5)'!QG15:QJ15,"D"))*1))/(COUNTA(QG15:QJ15)),"")</f>
        <v/>
      </c>
      <c r="QL15" s="166" t="str">
        <f t="shared" si="112"/>
        <v/>
      </c>
      <c r="QM15" s="110"/>
      <c r="QN15" s="111"/>
      <c r="QO15" s="112"/>
      <c r="QP15" s="112" t="s">
        <v>27</v>
      </c>
      <c r="QQ15" s="112"/>
      <c r="QR15" s="116"/>
      <c r="QS15" s="165">
        <f>IFERROR((((COUNTIF('Elève (3ème5)'!QM15:QR15,"A"))*4)+((COUNTIF('Elève (3ème5)'!QM15:QR15,"B"))*3)+((COUNTIF('Elève (3ème5)'!QM15:QR15,"C"))*2)+((COUNTIF('Elève (3ème5)'!QM15:QR15,"D"))*1))/(COUNTA(QM15:QR15)),"")</f>
        <v>4</v>
      </c>
      <c r="QT15" s="166" t="str">
        <f t="shared" si="113"/>
        <v>A</v>
      </c>
      <c r="QU15" s="190">
        <f>IF(COUNT(QE15,QK15,QS15)=0,"",SUM(QE15,QK15,QS15)/COUNT(QE15,QK15,QS15))</f>
        <v>4</v>
      </c>
      <c r="QV15" s="188" t="str">
        <f t="shared" si="114"/>
        <v>A</v>
      </c>
      <c r="QW15" s="110"/>
      <c r="QX15" s="111"/>
      <c r="QY15" s="112"/>
      <c r="QZ15" s="165" t="str">
        <f>IFERROR((((COUNTIF('Elève (3ème5)'!QW15:QY15,"A"))*4)+((COUNTIF('Elève (3ème5)'!QW15:QY15,"B"))*3)+((COUNTIF('Elève (3ème5)'!QW15:QY15,"C"))*2)+((COUNTIF('Elève (3ème5)'!QW15:QY15,"D"))*1))/(COUNTA(QW15:QY15)),"")</f>
        <v/>
      </c>
      <c r="RA15" s="166" t="str">
        <f t="shared" si="115"/>
        <v/>
      </c>
      <c r="RB15" s="110"/>
      <c r="RC15" s="111"/>
      <c r="RD15" s="112"/>
      <c r="RE15" s="112"/>
      <c r="RF15" s="165" t="str">
        <f>IFERROR((((COUNTIF('Elève (3ème5)'!RB15:RE15,"A"))*4)+((COUNTIF('Elève (3ème5)'!RB15:RE15,"B"))*3)+((COUNTIF('Elève (3ème5)'!RB15:RE15,"C"))*2)+((COUNTIF('Elève (3ème5)'!RB15:RE15,"D"))*1))/(COUNTA(RB15:RE15)),"")</f>
        <v/>
      </c>
      <c r="RG15" s="166" t="str">
        <f t="shared" si="116"/>
        <v/>
      </c>
      <c r="RH15" s="110"/>
      <c r="RI15" s="111"/>
      <c r="RJ15" s="112" t="s">
        <v>27</v>
      </c>
      <c r="RK15" s="112" t="s">
        <v>27</v>
      </c>
      <c r="RL15" s="112"/>
      <c r="RM15" s="116"/>
      <c r="RN15" s="165">
        <f>IFERROR((((COUNTIF('Elève (3ème5)'!RH15:RM15,"A"))*4)+((COUNTIF('Elève (3ème5)'!RH15:RM15,"B"))*3)+((COUNTIF('Elève (3ème5)'!RH15:RM15,"C"))*2)+((COUNTIF('Elève (3ème5)'!RH15:RM15,"D"))*1))/(COUNTA(RH15:RM15)),"")</f>
        <v>4</v>
      </c>
      <c r="RO15" s="166" t="str">
        <f t="shared" si="117"/>
        <v>A</v>
      </c>
      <c r="RP15" s="190">
        <f>IF(COUNT(QZ15,RF15,RN15)=0,"",SUM(QZ15,RF15,RN15)/COUNT(QZ15,RF15,RN15))</f>
        <v>4</v>
      </c>
      <c r="RQ15" s="188" t="str">
        <f t="shared" si="118"/>
        <v>A</v>
      </c>
      <c r="RR15" s="110"/>
      <c r="RS15" s="111"/>
      <c r="RT15" s="112"/>
      <c r="RU15" s="165" t="str">
        <f>IFERROR((((COUNTIF('Elève (3ème5)'!RR15:RT15,"A"))*4)+((COUNTIF('Elève (3ème5)'!RR15:RT15,"B"))*3)+((COUNTIF('Elève (3ème5)'!RR15:RT15,"C"))*2)+((COUNTIF('Elève (3ème5)'!RR15:RT15,"D"))*1))/(COUNTA(RR15:RT15)),"")</f>
        <v/>
      </c>
      <c r="RV15" s="166" t="str">
        <f t="shared" si="119"/>
        <v/>
      </c>
      <c r="RW15" s="110"/>
      <c r="RX15" s="111"/>
      <c r="RY15" s="112"/>
      <c r="RZ15" s="112"/>
      <c r="SA15" s="165" t="str">
        <f>IFERROR((((COUNTIF('Elève (3ème5)'!RW15:RZ15,"A"))*4)+((COUNTIF('Elève (3ème5)'!RW15:RZ15,"B"))*3)+((COUNTIF('Elève (3ème5)'!RW15:RZ15,"C"))*2)+((COUNTIF('Elève (3ème5)'!RW15:RZ15,"D"))*1))/(COUNTA(RW15:RZ15)),"")</f>
        <v/>
      </c>
      <c r="SB15" s="166" t="str">
        <f t="shared" si="120"/>
        <v/>
      </c>
      <c r="SC15" s="110"/>
      <c r="SD15" s="111"/>
      <c r="SE15" s="112" t="s">
        <v>27</v>
      </c>
      <c r="SF15" s="112" t="s">
        <v>27</v>
      </c>
      <c r="SG15" s="112"/>
      <c r="SH15" s="116"/>
      <c r="SI15" s="165">
        <f>IFERROR((((COUNTIF('Elève (3ème5)'!SC15:SH15,"A"))*4)+((COUNTIF('Elève (3ème5)'!SC15:SH15,"B"))*3)+((COUNTIF('Elève (3ème5)'!SC15:SH15,"C"))*2)+((COUNTIF('Elève (3ème5)'!SC15:SH15,"D"))*1))/(COUNTA(SC15:SH15)),"")</f>
        <v>4</v>
      </c>
      <c r="SJ15" s="166" t="str">
        <f t="shared" si="121"/>
        <v>A</v>
      </c>
      <c r="SK15" s="190">
        <f>IF(COUNT(RU15,SA15,SI15)=0,"",SUM(RU15,SA15,SI15)/COUNT(RU15,SA15,SI15))</f>
        <v>4</v>
      </c>
      <c r="SL15" s="188" t="str">
        <f t="shared" si="122"/>
        <v>A</v>
      </c>
      <c r="SM15" s="110"/>
      <c r="SN15" s="111"/>
      <c r="SO15" s="112"/>
      <c r="SP15" s="165" t="str">
        <f>IFERROR((((COUNTIF('Elève (3ème5)'!SM15:SO15,"A"))*4)+((COUNTIF('Elève (3ème5)'!SM15:SO15,"B"))*3)+((COUNTIF('Elève (3ème5)'!SM15:SO15,"C"))*2)+((COUNTIF('Elève (3ème5)'!SM15:SO15,"D"))*1))/(COUNTA(SM15:SO15)),"")</f>
        <v/>
      </c>
      <c r="SQ15" s="166" t="str">
        <f t="shared" si="123"/>
        <v/>
      </c>
      <c r="SR15" s="110"/>
      <c r="SS15" s="111"/>
      <c r="ST15" s="112"/>
      <c r="SU15" s="112"/>
      <c r="SV15" s="165" t="str">
        <f>IFERROR((((COUNTIF('Elève (3ème5)'!SR15:SU15,"A"))*4)+((COUNTIF('Elève (3ème5)'!SR15:SU15,"B"))*3)+((COUNTIF('Elève (3ème5)'!SR15:SU15,"C"))*2)+((COUNTIF('Elève (3ème5)'!SR15:SU15,"D"))*1))/(COUNTA(SR15:SU15)),"")</f>
        <v/>
      </c>
      <c r="SW15" s="166" t="str">
        <f t="shared" si="124"/>
        <v/>
      </c>
      <c r="SX15" s="110"/>
      <c r="SY15" s="111"/>
      <c r="SZ15" s="112" t="s">
        <v>27</v>
      </c>
      <c r="TA15" s="112" t="s">
        <v>27</v>
      </c>
      <c r="TB15" s="112"/>
      <c r="TC15" s="116"/>
      <c r="TD15" s="165">
        <f>IFERROR((((COUNTIF('Elève (3ème5)'!SX15:TC15,"A"))*4)+((COUNTIF('Elève (3ème5)'!SX15:TC15,"B"))*3)+((COUNTIF('Elève (3ème5)'!SX15:TC15,"C"))*2)+((COUNTIF('Elève (3ème5)'!SX15:TC15,"D"))*1))/(COUNTA(SX15:TC15)),"")</f>
        <v>4</v>
      </c>
      <c r="TE15" s="166" t="str">
        <f t="shared" si="125"/>
        <v>A</v>
      </c>
      <c r="TF15" s="190">
        <f>IF(COUNT(SP15,SV15,TD15)=0,"",SUM(SP15,SV15,TD15)/COUNT(SP15,SV15,TD15))</f>
        <v>4</v>
      </c>
      <c r="TG15" s="188" t="str">
        <f t="shared" si="126"/>
        <v>A</v>
      </c>
      <c r="TH15" s="110"/>
      <c r="TI15" s="111"/>
      <c r="TJ15" s="112"/>
      <c r="TK15" s="165" t="str">
        <f>IFERROR((((COUNTIF('Elève (3ème5)'!TH15:TJ15,"A"))*4)+((COUNTIF('Elève (3ème5)'!TH15:TJ15,"B"))*3)+((COUNTIF('Elève (3ème5)'!TH15:TJ15,"C"))*2)+((COUNTIF('Elève (3ème5)'!TH15:TJ15,"D"))*1))/(COUNTA(TH15:TJ15)),"")</f>
        <v/>
      </c>
      <c r="TL15" s="166" t="str">
        <f t="shared" si="127"/>
        <v/>
      </c>
      <c r="TM15" s="110"/>
      <c r="TN15" s="111"/>
      <c r="TO15" s="112"/>
      <c r="TP15" s="112"/>
      <c r="TQ15" s="165" t="str">
        <f>IFERROR((((COUNTIF('Elève (3ème5)'!TM15:TP15,"A"))*4)+((COUNTIF('Elève (3ème5)'!TM15:TP15,"B"))*3)+((COUNTIF('Elève (3ème5)'!TM15:TP15,"C"))*2)+((COUNTIF('Elève (3ème5)'!TM15:TP15,"D"))*1))/(COUNTA(TM15:TP15)),"")</f>
        <v/>
      </c>
      <c r="TR15" s="166" t="str">
        <f t="shared" si="128"/>
        <v/>
      </c>
      <c r="TS15" s="110"/>
      <c r="TT15" s="111"/>
      <c r="TU15" s="112" t="s">
        <v>27</v>
      </c>
      <c r="TV15" s="112" t="s">
        <v>27</v>
      </c>
      <c r="TW15" s="112"/>
      <c r="TX15" s="116"/>
      <c r="TY15" s="165">
        <f>IFERROR((((COUNTIF('Elève (3ème5)'!TS15:TX15,"A"))*4)+((COUNTIF('Elève (3ème5)'!TS15:TX15,"B"))*3)+((COUNTIF('Elève (3ème5)'!TS15:TX15,"C"))*2)+((COUNTIF('Elève (3ème5)'!TS15:TX15,"D"))*1))/(COUNTA(TS15:TX15)),"")</f>
        <v>4</v>
      </c>
      <c r="TZ15" s="166" t="str">
        <f t="shared" si="129"/>
        <v>A</v>
      </c>
      <c r="UA15" s="190">
        <f>IF(COUNT(TK15,TQ15,TY15)=0,"",SUM(TK15,TQ15,TY15)/COUNT(TK15,TQ15,TY15))</f>
        <v>4</v>
      </c>
      <c r="UB15" s="188" t="str">
        <f t="shared" si="130"/>
        <v>A</v>
      </c>
      <c r="UC15" s="110"/>
      <c r="UD15" s="111"/>
      <c r="UE15" s="112"/>
      <c r="UF15" s="165" t="str">
        <f>IFERROR((((COUNTIF('Elève (3ème5)'!UC15:UE15,"A"))*4)+((COUNTIF('Elève (3ème5)'!UC15:UE15,"B"))*3)+((COUNTIF('Elève (3ème5)'!UC15:UE15,"C"))*2)+((COUNTIF('Elève (3ème5)'!UC15:UE15,"D"))*1))/(COUNTA(UC15:UE15)),"")</f>
        <v/>
      </c>
      <c r="UG15" s="166" t="str">
        <f t="shared" si="131"/>
        <v/>
      </c>
      <c r="UH15" s="110"/>
      <c r="UI15" s="111"/>
      <c r="UJ15" s="112"/>
      <c r="UK15" s="112"/>
      <c r="UL15" s="165" t="str">
        <f>IFERROR((((COUNTIF('Elève (3ème5)'!UH15:UK15,"A"))*4)+((COUNTIF('Elève (3ème5)'!UH15:UK15,"B"))*3)+((COUNTIF('Elève (3ème5)'!UH15:UK15,"C"))*2)+((COUNTIF('Elève (3ème5)'!UH15:UK15,"D"))*1))/(COUNTA(UH15:UK15)),"")</f>
        <v/>
      </c>
      <c r="UM15" s="166" t="str">
        <f t="shared" si="132"/>
        <v/>
      </c>
      <c r="UN15" s="110"/>
      <c r="UO15" s="111"/>
      <c r="UP15" s="112" t="s">
        <v>27</v>
      </c>
      <c r="UQ15" s="112" t="s">
        <v>27</v>
      </c>
      <c r="UR15" s="112"/>
      <c r="US15" s="116"/>
      <c r="UT15" s="165">
        <f>IFERROR((((COUNTIF('Elève (3ème5)'!UN15:US15,"A"))*4)+((COUNTIF('Elève (3ème5)'!UN15:US15,"B"))*3)+((COUNTIF('Elève (3ème5)'!UN15:US15,"C"))*2)+((COUNTIF('Elève (3ème5)'!UN15:US15,"D"))*1))/(COUNTA(UN15:US15)),"")</f>
        <v>4</v>
      </c>
      <c r="UU15" s="166" t="str">
        <f t="shared" si="133"/>
        <v>A</v>
      </c>
      <c r="UV15" s="190">
        <f>IF(COUNT(UF15,UL15,UT15)=0,"",SUM(UF15,UL15,UT15)/COUNT(UF15,UL15,UT15))</f>
        <v>4</v>
      </c>
      <c r="UW15" s="188" t="str">
        <f t="shared" si="134"/>
        <v>A</v>
      </c>
      <c r="UX15" s="110"/>
      <c r="UY15" s="111"/>
      <c r="UZ15" s="112"/>
      <c r="VA15" s="165" t="str">
        <f>IFERROR((((COUNTIF('Elève (3ème5)'!UX15:UZ15,"A"))*4)+((COUNTIF('Elève (3ème5)'!UX15:UZ15,"B"))*3)+((COUNTIF('Elève (3ème5)'!UX15:UZ15,"C"))*2)+((COUNTIF('Elève (3ème5)'!UX15:UZ15,"D"))*1))/(COUNTA(UX15:UZ15)),"")</f>
        <v/>
      </c>
      <c r="VB15" s="166" t="str">
        <f t="shared" si="135"/>
        <v/>
      </c>
      <c r="VC15" s="110"/>
      <c r="VD15" s="111"/>
      <c r="VE15" s="112"/>
      <c r="VF15" s="112"/>
      <c r="VG15" s="165" t="str">
        <f>IFERROR((((COUNTIF('Elève (3ème5)'!VC15:VF15,"A"))*4)+((COUNTIF('Elève (3ème5)'!VC15:VF15,"B"))*3)+((COUNTIF('Elève (3ème5)'!VC15:VF15,"C"))*2)+((COUNTIF('Elève (3ème5)'!VC15:VF15,"D"))*1))/(COUNTA(VC15:VF15)),"")</f>
        <v/>
      </c>
      <c r="VH15" s="166" t="str">
        <f t="shared" si="136"/>
        <v/>
      </c>
      <c r="VI15" s="110"/>
      <c r="VJ15" s="111"/>
      <c r="VK15" s="112" t="s">
        <v>27</v>
      </c>
      <c r="VL15" s="112" t="s">
        <v>27</v>
      </c>
      <c r="VM15" s="112"/>
      <c r="VN15" s="116"/>
      <c r="VO15" s="165">
        <f>IFERROR((((COUNTIF('Elève (3ème5)'!VI15:VN15,"A"))*4)+((COUNTIF('Elève (3ème5)'!VI15:VN15,"B"))*3)+((COUNTIF('Elève (3ème5)'!VI15:VN15,"C"))*2)+((COUNTIF('Elève (3ème5)'!VI15:VN15,"D"))*1))/(COUNTA(VI15:VN15)),"")</f>
        <v>4</v>
      </c>
      <c r="VP15" s="166" t="str">
        <f t="shared" si="137"/>
        <v>A</v>
      </c>
      <c r="VQ15" s="190">
        <f>IF(COUNT(VA15,VG15,VO15)=0,"",SUM(VA15,VG15,VO15)/COUNT(VA15,VG15,VO15))</f>
        <v>4</v>
      </c>
      <c r="VR15" s="188" t="str">
        <f t="shared" si="138"/>
        <v>A</v>
      </c>
      <c r="VS15" s="110"/>
      <c r="VT15" s="111"/>
      <c r="VU15" s="112"/>
      <c r="VV15" s="113" t="str">
        <f>IFERROR((((COUNTIF('Elève (3ème5)'!VS15:VU15,"A"))*4)+((COUNTIF('Elève (3ème5)'!VS15:VU15,"B"))*3)+((COUNTIF('Elève (3ème5)'!VS15:VU15,"C"))*2)+((COUNTIF('Elève (3ème5)'!VS15:VU15,"D"))*1))/(COUNTA(VS15:VU15)),"")</f>
        <v/>
      </c>
      <c r="VW15" s="114" t="str">
        <f t="shared" si="139"/>
        <v/>
      </c>
      <c r="VX15" s="110"/>
      <c r="VY15" s="111"/>
      <c r="VZ15" s="112"/>
      <c r="WA15" s="113" t="str">
        <f>IFERROR((((COUNTIF('Elève (3ème5)'!VX15:VZ15,"A"))*4)+((COUNTIF('Elève (3ème5)'!VX15:VZ15,"B"))*3)+((COUNTIF('Elève (3ème5)'!VX15:VZ15,"C"))*2)+((COUNTIF('Elève (3ème5)'!VX15:VZ15,"D"))*1))/(COUNTA(VX15:VZ15)),"")</f>
        <v/>
      </c>
      <c r="WB15" s="114" t="str">
        <f t="shared" si="140"/>
        <v/>
      </c>
      <c r="WC15" s="110"/>
      <c r="WD15" s="111"/>
      <c r="WE15" s="116"/>
      <c r="WF15" s="113" t="str">
        <f>IFERROR((((COUNTIF('Elève (3ème5)'!WC15:WE15,"A"))*4)+((COUNTIF('Elève (3ème5)'!WC15:WE15,"B"))*3)+((COUNTIF('Elève (3ème5)'!WC15:WE15,"C"))*2)+((COUNTIF('Elève (3ème5)'!WC15:WE15,"D"))*1))/(COUNTA(WC15:WE15)),"")</f>
        <v/>
      </c>
      <c r="WG15" s="114" t="str">
        <f t="shared" si="141"/>
        <v/>
      </c>
      <c r="WH15" s="122" t="str">
        <f>IF(COUNT(VV15,WA15,WF15)=0,"",SUM(VV15,WA15,WF15)/COUNT(VV15,WA15,WF15))</f>
        <v/>
      </c>
      <c r="WI15" s="115" t="str">
        <f t="shared" si="142"/>
        <v/>
      </c>
      <c r="WJ15" s="110"/>
      <c r="WK15" s="111"/>
      <c r="WL15" s="112"/>
      <c r="WM15" s="113" t="str">
        <f>IFERROR((((COUNTIF('Elève (3ème5)'!WJ15:WL15,"A"))*4)+((COUNTIF('Elève (3ème5)'!WJ15:WL15,"B"))*3)+((COUNTIF('Elève (3ème5)'!WJ15:WL15,"C"))*2)+((COUNTIF('Elève (3ème5)'!WJ15:WL15,"D"))*1))/(COUNTA(WJ15:WL15)),"")</f>
        <v/>
      </c>
      <c r="WN15" s="114" t="str">
        <f t="shared" si="143"/>
        <v/>
      </c>
      <c r="WO15" s="110"/>
      <c r="WP15" s="111"/>
      <c r="WQ15" s="112"/>
      <c r="WR15" s="113" t="str">
        <f>IFERROR((((COUNTIF('Elève (3ème5)'!WO15:WQ15,"A"))*4)+((COUNTIF('Elève (3ème5)'!WO15:WQ15,"B"))*3)+((COUNTIF('Elève (3ème5)'!WO15:WQ15,"C"))*2)+((COUNTIF('Elève (3ème5)'!WO15:WQ15,"D"))*1))/(COUNTA(WO15:WQ15)),"")</f>
        <v/>
      </c>
      <c r="WS15" s="114" t="str">
        <f t="shared" si="144"/>
        <v/>
      </c>
      <c r="WT15" s="110"/>
      <c r="WU15" s="111"/>
      <c r="WV15" s="116"/>
      <c r="WW15" s="113" t="str">
        <f>IFERROR((((COUNTIF('Elève (3ème5)'!WT15:WV15,"A"))*4)+((COUNTIF('Elève (3ème5)'!WT15:WV15,"B"))*3)+((COUNTIF('Elève (3ème5)'!WT15:WV15,"C"))*2)+((COUNTIF('Elève (3ème5)'!WT15:WV15,"D"))*1))/(COUNTA(WT15:WV15)),"")</f>
        <v/>
      </c>
      <c r="WX15" s="114" t="str">
        <f t="shared" si="145"/>
        <v/>
      </c>
      <c r="WY15" s="122" t="str">
        <f>IF(COUNT(WM15,WR15,WW15)=0,"",SUM(WM15,WR15,WW15)/COUNT(WM15,WR15,WW15))</f>
        <v/>
      </c>
      <c r="WZ15" s="115" t="str">
        <f t="shared" si="146"/>
        <v/>
      </c>
    </row>
    <row r="16" spans="1:624" s="95" customFormat="1" ht="16.5" customHeight="1" thickBot="1" x14ac:dyDescent="0.6">
      <c r="A16" s="145" t="s">
        <v>20</v>
      </c>
      <c r="B16" s="120">
        <v>2</v>
      </c>
      <c r="C16" s="152"/>
      <c r="D16" s="65"/>
      <c r="E16" s="85"/>
      <c r="F16" s="159">
        <f>IF(COUNT(F17:F19)=0,"",SUM(F17:F19)/COUNT(F17:F19))</f>
        <v>1</v>
      </c>
      <c r="G16" s="160" t="str">
        <f t="shared" si="27"/>
        <v>D</v>
      </c>
      <c r="H16" s="152"/>
      <c r="I16" s="65"/>
      <c r="J16" s="65"/>
      <c r="K16" s="85"/>
      <c r="L16" s="159">
        <f>IF(COUNT(L17:L19)=0,"",SUM(L17:L19)/COUNT(L17:L19))</f>
        <v>2.5</v>
      </c>
      <c r="M16" s="175" t="str">
        <f t="shared" si="28"/>
        <v>C</v>
      </c>
      <c r="N16" s="153"/>
      <c r="O16" s="90"/>
      <c r="P16" s="90"/>
      <c r="Q16" s="90"/>
      <c r="R16" s="90"/>
      <c r="S16" s="91"/>
      <c r="T16" s="159">
        <f>IF(COUNT(T17:T19)=0,"",SUM(T17:T19)/COUNT(T17:T19))</f>
        <v>2.5</v>
      </c>
      <c r="U16" s="183" t="str">
        <f t="shared" si="29"/>
        <v>C</v>
      </c>
      <c r="V16" s="184">
        <f>IF(COUNT(V17:V19)=0,"",SUM(V17:V19)/COUNT(V17:V19))</f>
        <v>2.2916666666666665</v>
      </c>
      <c r="W16" s="185" t="str">
        <f t="shared" si="30"/>
        <v>C</v>
      </c>
      <c r="X16" s="196"/>
      <c r="Y16" s="65"/>
      <c r="Z16" s="85"/>
      <c r="AA16" s="159">
        <f>IF(COUNT(AA17:AA19)=0,"",SUM(AA17:AA19)/COUNT(AA17:AA19))</f>
        <v>3</v>
      </c>
      <c r="AB16" s="160" t="str">
        <f t="shared" si="31"/>
        <v>B</v>
      </c>
      <c r="AC16" s="152"/>
      <c r="AD16" s="65"/>
      <c r="AE16" s="65"/>
      <c r="AF16" s="85"/>
      <c r="AG16" s="159">
        <f>IF(COUNT(AG17:AG19)=0,"",SUM(AG17:AG19)/COUNT(AG17:AG19))</f>
        <v>1.5</v>
      </c>
      <c r="AH16" s="175" t="str">
        <f t="shared" si="32"/>
        <v>D</v>
      </c>
      <c r="AI16" s="153"/>
      <c r="AJ16" s="90"/>
      <c r="AK16" s="90"/>
      <c r="AL16" s="90"/>
      <c r="AM16" s="90"/>
      <c r="AN16" s="91"/>
      <c r="AO16" s="159">
        <f>IF(COUNT(AO17:AO19)=0,"",SUM(AO17:AO19)/COUNT(AO17:AO19))</f>
        <v>2.75</v>
      </c>
      <c r="AP16" s="183" t="str">
        <f t="shared" si="33"/>
        <v>C</v>
      </c>
      <c r="AQ16" s="184">
        <f>IF(COUNT(AQ17:AQ19)=0,"",SUM(AQ17:AQ19)/COUNT(AQ17:AQ19))</f>
        <v>2.333333333333333</v>
      </c>
      <c r="AR16" s="185" t="str">
        <f t="shared" si="34"/>
        <v>C</v>
      </c>
      <c r="AS16" s="196"/>
      <c r="AT16" s="65"/>
      <c r="AU16" s="85"/>
      <c r="AV16" s="159">
        <f>IF(COUNT(AV17:AV19)=0,"",SUM(AV17:AV19)/COUNT(AV17:AV19))</f>
        <v>2</v>
      </c>
      <c r="AW16" s="160" t="str">
        <f t="shared" si="35"/>
        <v>C</v>
      </c>
      <c r="AX16" s="152"/>
      <c r="AY16" s="65"/>
      <c r="AZ16" s="65"/>
      <c r="BA16" s="85"/>
      <c r="BB16" s="159">
        <f>IF(COUNT(BB17:BB19)=0,"",SUM(BB17:BB19)/COUNT(BB17:BB19))</f>
        <v>1.5</v>
      </c>
      <c r="BC16" s="175" t="str">
        <f t="shared" si="36"/>
        <v>D</v>
      </c>
      <c r="BD16" s="153"/>
      <c r="BE16" s="90"/>
      <c r="BF16" s="90"/>
      <c r="BG16" s="90"/>
      <c r="BH16" s="90"/>
      <c r="BI16" s="91"/>
      <c r="BJ16" s="159">
        <f>IF(COUNT(BJ17:BJ19)=0,"",SUM(BJ17:BJ19)/COUNT(BJ17:BJ19))</f>
        <v>2</v>
      </c>
      <c r="BK16" s="183" t="str">
        <f t="shared" si="37"/>
        <v>C</v>
      </c>
      <c r="BL16" s="184">
        <f>IF(COUNT(BL17:BL19)=0,"",SUM(BL17:BL19)/COUNT(BL17:BL19))</f>
        <v>1.8333333333333335</v>
      </c>
      <c r="BM16" s="185" t="str">
        <f t="shared" si="38"/>
        <v>C</v>
      </c>
      <c r="BN16" s="196"/>
      <c r="BO16" s="65"/>
      <c r="BP16" s="85"/>
      <c r="BQ16" s="159">
        <f>IF(COUNT(BQ17:BQ19)=0,"",SUM(BQ17:BQ19)/COUNT(BQ17:BQ19))</f>
        <v>1</v>
      </c>
      <c r="BR16" s="160" t="str">
        <f t="shared" si="39"/>
        <v>D</v>
      </c>
      <c r="BS16" s="152"/>
      <c r="BT16" s="65"/>
      <c r="BU16" s="65"/>
      <c r="BV16" s="85"/>
      <c r="BW16" s="159">
        <f>IF(COUNT(BW17:BW19)=0,"",SUM(BW17:BW19)/COUNT(BW17:BW19))</f>
        <v>2</v>
      </c>
      <c r="BX16" s="175" t="str">
        <f t="shared" si="40"/>
        <v>C</v>
      </c>
      <c r="BY16" s="153"/>
      <c r="BZ16" s="90"/>
      <c r="CA16" s="90"/>
      <c r="CB16" s="90"/>
      <c r="CC16" s="90"/>
      <c r="CD16" s="91"/>
      <c r="CE16" s="159">
        <f>IF(COUNT(CE17:CE19)=0,"",SUM(CE17:CE19)/COUNT(CE17:CE19))</f>
        <v>1.75</v>
      </c>
      <c r="CF16" s="183" t="str">
        <f t="shared" si="41"/>
        <v>C</v>
      </c>
      <c r="CG16" s="184">
        <f>IF(COUNT(CG17:CG19)=0,"",SUM(CG17:CG19)/COUNT(CG17:CG19))</f>
        <v>1.75</v>
      </c>
      <c r="CH16" s="185" t="str">
        <f t="shared" si="42"/>
        <v>C</v>
      </c>
      <c r="CI16" s="196"/>
      <c r="CJ16" s="65"/>
      <c r="CK16" s="85"/>
      <c r="CL16" s="159">
        <f>IF(COUNT(CL17:CL19)=0,"",SUM(CL17:CL19)/COUNT(CL17:CL19))</f>
        <v>1</v>
      </c>
      <c r="CM16" s="160" t="str">
        <f t="shared" si="43"/>
        <v>D</v>
      </c>
      <c r="CN16" s="152"/>
      <c r="CO16" s="65"/>
      <c r="CP16" s="65"/>
      <c r="CQ16" s="85"/>
      <c r="CR16" s="159">
        <f>IF(COUNT(CR17:CR19)=0,"",SUM(CR17:CR19)/COUNT(CR17:CR19))</f>
        <v>2</v>
      </c>
      <c r="CS16" s="175" t="str">
        <f t="shared" si="44"/>
        <v>C</v>
      </c>
      <c r="CT16" s="153"/>
      <c r="CU16" s="90"/>
      <c r="CV16" s="90"/>
      <c r="CW16" s="90"/>
      <c r="CX16" s="90"/>
      <c r="CY16" s="91"/>
      <c r="CZ16" s="159">
        <f>IF(COUNT(CZ17:CZ19)=0,"",SUM(CZ17:CZ19)/COUNT(CZ17:CZ19))</f>
        <v>2.5</v>
      </c>
      <c r="DA16" s="183" t="str">
        <f t="shared" si="45"/>
        <v>C</v>
      </c>
      <c r="DB16" s="184">
        <f>IF(COUNT(DB17:DB19)=0,"",SUM(DB17:DB19)/COUNT(DB17:DB19))</f>
        <v>2.0833333333333335</v>
      </c>
      <c r="DC16" s="185" t="str">
        <f t="shared" si="46"/>
        <v>C</v>
      </c>
      <c r="DD16" s="196"/>
      <c r="DE16" s="65"/>
      <c r="DF16" s="85"/>
      <c r="DG16" s="159">
        <f>IF(COUNT(DG17:DG19)=0,"",SUM(DG17:DG19)/COUNT(DG17:DG19))</f>
        <v>3</v>
      </c>
      <c r="DH16" s="160" t="str">
        <f t="shared" si="47"/>
        <v>B</v>
      </c>
      <c r="DI16" s="152"/>
      <c r="DJ16" s="65"/>
      <c r="DK16" s="65"/>
      <c r="DL16" s="85"/>
      <c r="DM16" s="159">
        <f>IF(COUNT(DM17:DM19)=0,"",SUM(DM17:DM19)/COUNT(DM17:DM19))</f>
        <v>2</v>
      </c>
      <c r="DN16" s="175" t="str">
        <f t="shared" si="48"/>
        <v>C</v>
      </c>
      <c r="DO16" s="153"/>
      <c r="DP16" s="90"/>
      <c r="DQ16" s="90"/>
      <c r="DR16" s="90"/>
      <c r="DS16" s="90"/>
      <c r="DT16" s="91"/>
      <c r="DU16" s="159">
        <f>IF(COUNT(DU17:DU19)=0,"",SUM(DU17:DU19)/COUNT(DU17:DU19))</f>
        <v>3.75</v>
      </c>
      <c r="DV16" s="183" t="str">
        <f t="shared" si="49"/>
        <v>A</v>
      </c>
      <c r="DW16" s="184">
        <f>IF(COUNT(DW17:DW19)=0,"",SUM(DW17:DW19)/COUNT(DW17:DW19))</f>
        <v>2.916666666666667</v>
      </c>
      <c r="DX16" s="185" t="str">
        <f t="shared" si="50"/>
        <v>B</v>
      </c>
      <c r="DY16" s="196"/>
      <c r="DZ16" s="65"/>
      <c r="EA16" s="85"/>
      <c r="EB16" s="159">
        <f>IF(COUNT(EB17:EB19)=0,"",SUM(EB17:EB19)/COUNT(EB17:EB19))</f>
        <v>1</v>
      </c>
      <c r="EC16" s="160" t="str">
        <f t="shared" si="51"/>
        <v>D</v>
      </c>
      <c r="ED16" s="152"/>
      <c r="EE16" s="65"/>
      <c r="EF16" s="65"/>
      <c r="EG16" s="85"/>
      <c r="EH16" s="159">
        <f>IF(COUNT(EH17:EH19)=0,"",SUM(EH17:EH19)/COUNT(EH17:EH19))</f>
        <v>2</v>
      </c>
      <c r="EI16" s="175" t="str">
        <f t="shared" si="52"/>
        <v>C</v>
      </c>
      <c r="EJ16" s="153"/>
      <c r="EK16" s="90"/>
      <c r="EL16" s="90"/>
      <c r="EM16" s="90"/>
      <c r="EN16" s="90"/>
      <c r="EO16" s="91"/>
      <c r="EP16" s="159">
        <f>IF(COUNT(EP17:EP19)=0,"",SUM(EP17:EP19)/COUNT(EP17:EP19))</f>
        <v>2.5</v>
      </c>
      <c r="EQ16" s="183" t="str">
        <f t="shared" si="53"/>
        <v>C</v>
      </c>
      <c r="ER16" s="184">
        <f>IF(COUNT(ER17:ER19)=0,"",SUM(ER17:ER19)/COUNT(ER17:ER19))</f>
        <v>2.0833333333333335</v>
      </c>
      <c r="ES16" s="185" t="str">
        <f t="shared" si="54"/>
        <v>C</v>
      </c>
      <c r="ET16" s="196"/>
      <c r="EU16" s="65"/>
      <c r="EV16" s="85"/>
      <c r="EW16" s="159">
        <f>IF(COUNT(EW17:EW19)=0,"",SUM(EW17:EW19)/COUNT(EW17:EW19))</f>
        <v>1</v>
      </c>
      <c r="EX16" s="160" t="str">
        <f t="shared" si="55"/>
        <v>D</v>
      </c>
      <c r="EY16" s="152"/>
      <c r="EZ16" s="65"/>
      <c r="FA16" s="65"/>
      <c r="FB16" s="85"/>
      <c r="FC16" s="159">
        <f>IF(COUNT(FC17:FC19)=0,"",SUM(FC17:FC19)/COUNT(FC17:FC19))</f>
        <v>2</v>
      </c>
      <c r="FD16" s="175" t="str">
        <f t="shared" si="56"/>
        <v>C</v>
      </c>
      <c r="FE16" s="153"/>
      <c r="FF16" s="90"/>
      <c r="FG16" s="90"/>
      <c r="FH16" s="90"/>
      <c r="FI16" s="90"/>
      <c r="FJ16" s="91"/>
      <c r="FK16" s="159">
        <f>IF(COUNT(FK17:FK19)=0,"",SUM(FK17:FK19)/COUNT(FK17:FK19))</f>
        <v>2.25</v>
      </c>
      <c r="FL16" s="183" t="str">
        <f t="shared" si="57"/>
        <v>C</v>
      </c>
      <c r="FM16" s="184">
        <f>IF(COUNT(FM17:FM19)=0,"",SUM(FM17:FM19)/COUNT(FM17:FM19))</f>
        <v>2.0833333333333335</v>
      </c>
      <c r="FN16" s="185" t="str">
        <f t="shared" si="58"/>
        <v>C</v>
      </c>
      <c r="FO16" s="196"/>
      <c r="FP16" s="65"/>
      <c r="FQ16" s="85"/>
      <c r="FR16" s="159">
        <f>IF(COUNT(FR17:FR19)=0,"",SUM(FR17:FR19)/COUNT(FR17:FR19))</f>
        <v>2</v>
      </c>
      <c r="FS16" s="160" t="str">
        <f t="shared" si="59"/>
        <v>C</v>
      </c>
      <c r="FT16" s="152"/>
      <c r="FU16" s="65"/>
      <c r="FV16" s="65"/>
      <c r="FW16" s="85"/>
      <c r="FX16" s="159">
        <f>IF(COUNT(FX17:FX19)=0,"",SUM(FX17:FX19)/COUNT(FX17:FX19))</f>
        <v>2</v>
      </c>
      <c r="FY16" s="175" t="str">
        <f t="shared" si="60"/>
        <v>C</v>
      </c>
      <c r="FZ16" s="153"/>
      <c r="GA16" s="90"/>
      <c r="GB16" s="90"/>
      <c r="GC16" s="90"/>
      <c r="GD16" s="90"/>
      <c r="GE16" s="91"/>
      <c r="GF16" s="159">
        <f>IF(COUNT(GF17:GF19)=0,"",SUM(GF17:GF19)/COUNT(GF17:GF19))</f>
        <v>2.5</v>
      </c>
      <c r="GG16" s="183" t="str">
        <f t="shared" si="61"/>
        <v>C</v>
      </c>
      <c r="GH16" s="184">
        <f>IF(COUNT(GH17:GH19)=0,"",SUM(GH17:GH19)/COUNT(GH17:GH19))</f>
        <v>2.25</v>
      </c>
      <c r="GI16" s="185" t="str">
        <f t="shared" si="62"/>
        <v>C</v>
      </c>
      <c r="GJ16" s="196"/>
      <c r="GK16" s="65"/>
      <c r="GL16" s="85"/>
      <c r="GM16" s="159">
        <f>IF(COUNT(GM17:GM19)=0,"",SUM(GM17:GM19)/COUNT(GM17:GM19))</f>
        <v>2</v>
      </c>
      <c r="GN16" s="160" t="str">
        <f t="shared" si="63"/>
        <v>C</v>
      </c>
      <c r="GO16" s="152"/>
      <c r="GP16" s="65"/>
      <c r="GQ16" s="65"/>
      <c r="GR16" s="85"/>
      <c r="GS16" s="159">
        <f>IF(COUNT(GS17:GS19)=0,"",SUM(GS17:GS19)/COUNT(GS17:GS19))</f>
        <v>1.5</v>
      </c>
      <c r="GT16" s="175" t="str">
        <f t="shared" si="64"/>
        <v>D</v>
      </c>
      <c r="GU16" s="153"/>
      <c r="GV16" s="90"/>
      <c r="GW16" s="90"/>
      <c r="GX16" s="90"/>
      <c r="GY16" s="90"/>
      <c r="GZ16" s="91"/>
      <c r="HA16" s="159">
        <f>IF(COUNT(HA17:HA19)=0,"",SUM(HA17:HA19)/COUNT(HA17:HA19))</f>
        <v>2.5</v>
      </c>
      <c r="HB16" s="183" t="str">
        <f t="shared" si="65"/>
        <v>C</v>
      </c>
      <c r="HC16" s="184">
        <f>IF(COUNT(HC17:HC19)=0,"",SUM(HC17:HC19)/COUNT(HC17:HC19))</f>
        <v>2.0833333333333335</v>
      </c>
      <c r="HD16" s="185" t="str">
        <f t="shared" si="66"/>
        <v>C</v>
      </c>
      <c r="HE16" s="196"/>
      <c r="HF16" s="65"/>
      <c r="HG16" s="85"/>
      <c r="HH16" s="159">
        <f>IF(COUNT(HH17:HH19)=0,"",SUM(HH17:HH19)/COUNT(HH17:HH19))</f>
        <v>3</v>
      </c>
      <c r="HI16" s="160" t="str">
        <f t="shared" si="67"/>
        <v>B</v>
      </c>
      <c r="HJ16" s="152"/>
      <c r="HK16" s="65"/>
      <c r="HL16" s="65"/>
      <c r="HM16" s="85"/>
      <c r="HN16" s="159">
        <f>IF(COUNT(HN17:HN19)=0,"",SUM(HN17:HN19)/COUNT(HN17:HN19))</f>
        <v>2</v>
      </c>
      <c r="HO16" s="175" t="str">
        <f t="shared" si="68"/>
        <v>C</v>
      </c>
      <c r="HP16" s="153"/>
      <c r="HQ16" s="90"/>
      <c r="HR16" s="90"/>
      <c r="HS16" s="90"/>
      <c r="HT16" s="90"/>
      <c r="HU16" s="91"/>
      <c r="HV16" s="159">
        <f>IF(COUNT(HV17:HV19)=0,"",SUM(HV17:HV19)/COUNT(HV17:HV19))</f>
        <v>2.25</v>
      </c>
      <c r="HW16" s="183" t="str">
        <f t="shared" si="69"/>
        <v>C</v>
      </c>
      <c r="HX16" s="184">
        <f>IF(COUNT(HX17:HX19)=0,"",SUM(HX17:HX19)/COUNT(HX17:HX19))</f>
        <v>2.333333333333333</v>
      </c>
      <c r="HY16" s="185" t="str">
        <f t="shared" si="70"/>
        <v>C</v>
      </c>
      <c r="HZ16" s="196"/>
      <c r="IA16" s="65"/>
      <c r="IB16" s="85"/>
      <c r="IC16" s="159">
        <f>IF(COUNT(IC17:IC19)=0,"",SUM(IC17:IC19)/COUNT(IC17:IC19))</f>
        <v>2</v>
      </c>
      <c r="ID16" s="160" t="str">
        <f t="shared" si="71"/>
        <v>C</v>
      </c>
      <c r="IE16" s="152"/>
      <c r="IF16" s="65"/>
      <c r="IG16" s="65"/>
      <c r="IH16" s="85"/>
      <c r="II16" s="159">
        <f>IF(COUNT(II17:II19)=0,"",SUM(II17:II19)/COUNT(II17:II19))</f>
        <v>2</v>
      </c>
      <c r="IJ16" s="175" t="str">
        <f t="shared" si="72"/>
        <v>C</v>
      </c>
      <c r="IK16" s="153"/>
      <c r="IL16" s="90"/>
      <c r="IM16" s="90"/>
      <c r="IN16" s="90"/>
      <c r="IO16" s="90"/>
      <c r="IP16" s="91"/>
      <c r="IQ16" s="159">
        <f>IF(COUNT(IQ17:IQ19)=0,"",SUM(IQ17:IQ19)/COUNT(IQ17:IQ19))</f>
        <v>2.5</v>
      </c>
      <c r="IR16" s="183" t="str">
        <f t="shared" si="73"/>
        <v>C</v>
      </c>
      <c r="IS16" s="184">
        <f>IF(COUNT(IS17:IS19)=0,"",SUM(IS17:IS19)/COUNT(IS17:IS19))</f>
        <v>2.208333333333333</v>
      </c>
      <c r="IT16" s="185" t="str">
        <f t="shared" si="74"/>
        <v>C</v>
      </c>
      <c r="IU16" s="196"/>
      <c r="IV16" s="65"/>
      <c r="IW16" s="85"/>
      <c r="IX16" s="159">
        <f>IF(COUNT(IX17:IX19)=0,"",SUM(IX17:IX19)/COUNT(IX17:IX19))</f>
        <v>1</v>
      </c>
      <c r="IY16" s="160" t="str">
        <f t="shared" si="75"/>
        <v>D</v>
      </c>
      <c r="IZ16" s="152"/>
      <c r="JA16" s="65"/>
      <c r="JB16" s="65"/>
      <c r="JC16" s="85"/>
      <c r="JD16" s="159">
        <f>IF(COUNT(JD17:JD19)=0,"",SUM(JD17:JD19)/COUNT(JD17:JD19))</f>
        <v>2</v>
      </c>
      <c r="JE16" s="175" t="str">
        <f t="shared" si="76"/>
        <v>C</v>
      </c>
      <c r="JF16" s="153"/>
      <c r="JG16" s="90"/>
      <c r="JH16" s="90"/>
      <c r="JI16" s="90"/>
      <c r="JJ16" s="90"/>
      <c r="JK16" s="91"/>
      <c r="JL16" s="159">
        <f>IF(COUNT(JL17:JL19)=0,"",SUM(JL17:JL19)/COUNT(JL17:JL19))</f>
        <v>2</v>
      </c>
      <c r="JM16" s="183" t="str">
        <f t="shared" si="77"/>
        <v>C</v>
      </c>
      <c r="JN16" s="184">
        <f>IF(COUNT(JN17:JN19)=0,"",SUM(JN17:JN19)/COUNT(JN17:JN19))</f>
        <v>1.875</v>
      </c>
      <c r="JO16" s="185" t="str">
        <f t="shared" si="78"/>
        <v>C</v>
      </c>
      <c r="JP16" s="196"/>
      <c r="JQ16" s="65"/>
      <c r="JR16" s="85"/>
      <c r="JS16" s="159">
        <f>IF(COUNT(JS17:JS19)=0,"",SUM(JS17:JS19)/COUNT(JS17:JS19))</f>
        <v>2</v>
      </c>
      <c r="JT16" s="160" t="str">
        <f t="shared" si="79"/>
        <v>C</v>
      </c>
      <c r="JU16" s="152"/>
      <c r="JV16" s="65"/>
      <c r="JW16" s="65"/>
      <c r="JX16" s="85"/>
      <c r="JY16" s="159">
        <f>IF(COUNT(JY17:JY19)=0,"",SUM(JY17:JY19)/COUNT(JY17:JY19))</f>
        <v>2</v>
      </c>
      <c r="JZ16" s="175" t="str">
        <f t="shared" si="80"/>
        <v>C</v>
      </c>
      <c r="KA16" s="153"/>
      <c r="KB16" s="90"/>
      <c r="KC16" s="90"/>
      <c r="KD16" s="90"/>
      <c r="KE16" s="90"/>
      <c r="KF16" s="91"/>
      <c r="KG16" s="159">
        <f>IF(COUNT(KG17:KG19)=0,"",SUM(KG17:KG19)/COUNT(KG17:KG19))</f>
        <v>2.25</v>
      </c>
      <c r="KH16" s="183" t="str">
        <f t="shared" si="81"/>
        <v>C</v>
      </c>
      <c r="KI16" s="184">
        <f>IF(COUNT(KI17:KI19)=0,"",SUM(KI17:KI19)/COUNT(KI17:KI19))</f>
        <v>2.125</v>
      </c>
      <c r="KJ16" s="185" t="str">
        <f t="shared" si="82"/>
        <v>C</v>
      </c>
      <c r="KK16" s="196"/>
      <c r="KL16" s="65"/>
      <c r="KM16" s="85"/>
      <c r="KN16" s="159">
        <f>IF(COUNT(KN17:KN19)=0,"",SUM(KN17:KN19)/COUNT(KN17:KN19))</f>
        <v>3</v>
      </c>
      <c r="KO16" s="160" t="str">
        <f t="shared" si="83"/>
        <v>B</v>
      </c>
      <c r="KP16" s="152"/>
      <c r="KQ16" s="65"/>
      <c r="KR16" s="65"/>
      <c r="KS16" s="85"/>
      <c r="KT16" s="159">
        <f>IF(COUNT(KT17:KT19)=0,"",SUM(KT17:KT19)/COUNT(KT17:KT19))</f>
        <v>2.5</v>
      </c>
      <c r="KU16" s="175" t="str">
        <f t="shared" si="84"/>
        <v>C</v>
      </c>
      <c r="KV16" s="153"/>
      <c r="KW16" s="90"/>
      <c r="KX16" s="90"/>
      <c r="KY16" s="90"/>
      <c r="KZ16" s="90"/>
      <c r="LA16" s="91"/>
      <c r="LB16" s="159">
        <f>IF(COUNT(LB17:LB19)=0,"",SUM(LB17:LB19)/COUNT(LB17:LB19))</f>
        <v>2.25</v>
      </c>
      <c r="LC16" s="183" t="str">
        <f t="shared" si="85"/>
        <v>C</v>
      </c>
      <c r="LD16" s="184">
        <f>IF(COUNT(LD17:LD19)=0,"",SUM(LD17:LD19)/COUNT(LD17:LD19))</f>
        <v>2.5</v>
      </c>
      <c r="LE16" s="185" t="str">
        <f t="shared" si="86"/>
        <v>C</v>
      </c>
      <c r="LF16" s="196"/>
      <c r="LG16" s="65"/>
      <c r="LH16" s="85"/>
      <c r="LI16" s="159">
        <f>IF(COUNT(LI17:LI19)=0,"",SUM(LI17:LI19)/COUNT(LI17:LI19))</f>
        <v>3</v>
      </c>
      <c r="LJ16" s="160" t="str">
        <f t="shared" si="87"/>
        <v>B</v>
      </c>
      <c r="LK16" s="152"/>
      <c r="LL16" s="65"/>
      <c r="LM16" s="65"/>
      <c r="LN16" s="85"/>
      <c r="LO16" s="159">
        <f>IF(COUNT(LO17:LO19)=0,"",SUM(LO17:LO19)/COUNT(LO17:LO19))</f>
        <v>2.5</v>
      </c>
      <c r="LP16" s="175" t="str">
        <f t="shared" si="88"/>
        <v>C</v>
      </c>
      <c r="LQ16" s="153"/>
      <c r="LR16" s="90"/>
      <c r="LS16" s="90"/>
      <c r="LT16" s="90"/>
      <c r="LU16" s="90"/>
      <c r="LV16" s="91"/>
      <c r="LW16" s="159">
        <f>IF(COUNT(LW17:LW19)=0,"",SUM(LW17:LW19)/COUNT(LW17:LW19))</f>
        <v>2.25</v>
      </c>
      <c r="LX16" s="183" t="str">
        <f t="shared" si="89"/>
        <v>C</v>
      </c>
      <c r="LY16" s="184">
        <f>IF(COUNT(LY17:LY19)=0,"",SUM(LY17:LY19)/COUNT(LY17:LY19))</f>
        <v>2.583333333333333</v>
      </c>
      <c r="LZ16" s="185" t="str">
        <f t="shared" si="90"/>
        <v>C</v>
      </c>
      <c r="MA16" s="196"/>
      <c r="MB16" s="65"/>
      <c r="MC16" s="85"/>
      <c r="MD16" s="159">
        <f>IF(COUNT(MD17:MD19)=0,"",SUM(MD17:MD19)/COUNT(MD17:MD19))</f>
        <v>2</v>
      </c>
      <c r="ME16" s="160" t="str">
        <f t="shared" si="91"/>
        <v>C</v>
      </c>
      <c r="MF16" s="152"/>
      <c r="MG16" s="65"/>
      <c r="MH16" s="65"/>
      <c r="MI16" s="85"/>
      <c r="MJ16" s="159">
        <f>IF(COUNT(MJ17:MJ19)=0,"",SUM(MJ17:MJ19)/COUNT(MJ17:MJ19))</f>
        <v>2</v>
      </c>
      <c r="MK16" s="175" t="str">
        <f t="shared" si="92"/>
        <v>C</v>
      </c>
      <c r="ML16" s="153"/>
      <c r="MM16" s="90"/>
      <c r="MN16" s="90"/>
      <c r="MO16" s="90"/>
      <c r="MP16" s="90"/>
      <c r="MQ16" s="91"/>
      <c r="MR16" s="159">
        <f>IF(COUNT(MR17:MR19)=0,"",SUM(MR17:MR19)/COUNT(MR17:MR19))</f>
        <v>2.25</v>
      </c>
      <c r="MS16" s="183" t="str">
        <f t="shared" si="93"/>
        <v>C</v>
      </c>
      <c r="MT16" s="184">
        <f>IF(COUNT(MT17:MT19)=0,"",SUM(MT17:MT19)/COUNT(MT17:MT19))</f>
        <v>2.1666666666666665</v>
      </c>
      <c r="MU16" s="185" t="str">
        <f t="shared" si="94"/>
        <v>C</v>
      </c>
      <c r="MV16" s="196"/>
      <c r="MW16" s="65"/>
      <c r="MX16" s="85"/>
      <c r="MY16" s="159">
        <f>IF(COUNT(MY17:MY19)=0,"",SUM(MY17:MY19)/COUNT(MY17:MY19))</f>
        <v>2</v>
      </c>
      <c r="MZ16" s="160" t="str">
        <f t="shared" si="95"/>
        <v>C</v>
      </c>
      <c r="NA16" s="152"/>
      <c r="NB16" s="65"/>
      <c r="NC16" s="65"/>
      <c r="ND16" s="85"/>
      <c r="NE16" s="159">
        <f>IF(COUNT(NE17:NE19)=0,"",SUM(NE17:NE19)/COUNT(NE17:NE19))</f>
        <v>1.5</v>
      </c>
      <c r="NF16" s="175" t="str">
        <f t="shared" si="96"/>
        <v>D</v>
      </c>
      <c r="NG16" s="153"/>
      <c r="NH16" s="90"/>
      <c r="NI16" s="90"/>
      <c r="NJ16" s="90"/>
      <c r="NK16" s="90"/>
      <c r="NL16" s="91"/>
      <c r="NM16" s="159">
        <f>IF(COUNT(NM17:NM19)=0,"",SUM(NM17:NM19)/COUNT(NM17:NM19))</f>
        <v>2</v>
      </c>
      <c r="NN16" s="183" t="str">
        <f t="shared" si="97"/>
        <v>C</v>
      </c>
      <c r="NO16" s="184">
        <f>IF(COUNT(NO17:NO19)=0,"",SUM(NO17:NO19)/COUNT(NO17:NO19))</f>
        <v>1.875</v>
      </c>
      <c r="NP16" s="185" t="str">
        <f t="shared" si="98"/>
        <v>C</v>
      </c>
      <c r="NQ16" s="196"/>
      <c r="NR16" s="65"/>
      <c r="NS16" s="85"/>
      <c r="NT16" s="159">
        <f>IF(COUNT(NT17:NT19)=0,"",SUM(NT17:NT19)/COUNT(NT17:NT19))</f>
        <v>3</v>
      </c>
      <c r="NU16" s="160" t="str">
        <f t="shared" si="99"/>
        <v>B</v>
      </c>
      <c r="NV16" s="152"/>
      <c r="NW16" s="65"/>
      <c r="NX16" s="65"/>
      <c r="NY16" s="85"/>
      <c r="NZ16" s="159">
        <f>IF(COUNT(NZ17:NZ19)=0,"",SUM(NZ17:NZ19)/COUNT(NZ17:NZ19))</f>
        <v>2.5</v>
      </c>
      <c r="OA16" s="175" t="str">
        <f t="shared" si="100"/>
        <v>C</v>
      </c>
      <c r="OB16" s="153"/>
      <c r="OC16" s="90"/>
      <c r="OD16" s="90"/>
      <c r="OE16" s="90"/>
      <c r="OF16" s="90"/>
      <c r="OG16" s="91"/>
      <c r="OH16" s="159">
        <f>IF(COUNT(OH17:OH19)=0,"",SUM(OH17:OH19)/COUNT(OH17:OH19))</f>
        <v>2.75</v>
      </c>
      <c r="OI16" s="183" t="str">
        <f t="shared" si="101"/>
        <v>C</v>
      </c>
      <c r="OJ16" s="184">
        <f>IF(COUNT(OJ17:OJ19)=0,"",SUM(OJ17:OJ19)/COUNT(OJ17:OJ19))</f>
        <v>2.75</v>
      </c>
      <c r="OK16" s="185" t="str">
        <f t="shared" si="102"/>
        <v>C</v>
      </c>
      <c r="OL16" s="196"/>
      <c r="OM16" s="65"/>
      <c r="ON16" s="85"/>
      <c r="OO16" s="159">
        <f>IF(COUNT(OO17:OO19)=0,"",SUM(OO17:OO19)/COUNT(OO17:OO19))</f>
        <v>2</v>
      </c>
      <c r="OP16" s="160" t="str">
        <f t="shared" si="103"/>
        <v>C</v>
      </c>
      <c r="OQ16" s="152"/>
      <c r="OR16" s="65"/>
      <c r="OS16" s="65"/>
      <c r="OT16" s="85"/>
      <c r="OU16" s="159">
        <f>IF(COUNT(OU17:OU19)=0,"",SUM(OU17:OU19)/COUNT(OU17:OU19))</f>
        <v>2</v>
      </c>
      <c r="OV16" s="175" t="str">
        <f t="shared" si="104"/>
        <v>C</v>
      </c>
      <c r="OW16" s="153"/>
      <c r="OX16" s="90"/>
      <c r="OY16" s="90"/>
      <c r="OZ16" s="90"/>
      <c r="PA16" s="90"/>
      <c r="PB16" s="91"/>
      <c r="PC16" s="159">
        <f>IF(COUNT(PC17:PC19)=0,"",SUM(PC17:PC19)/COUNT(PC17:PC19))</f>
        <v>3</v>
      </c>
      <c r="PD16" s="183" t="str">
        <f t="shared" si="105"/>
        <v>B</v>
      </c>
      <c r="PE16" s="184">
        <f>IF(COUNT(PE17:PE19)=0,"",SUM(PE17:PE19)/COUNT(PE17:PE19))</f>
        <v>2.5</v>
      </c>
      <c r="PF16" s="185" t="str">
        <f t="shared" si="106"/>
        <v>C</v>
      </c>
      <c r="PG16" s="196"/>
      <c r="PH16" s="65"/>
      <c r="PI16" s="85"/>
      <c r="PJ16" s="159">
        <f>IF(COUNT(PJ17:PJ19)=0,"",SUM(PJ17:PJ19)/COUNT(PJ17:PJ19))</f>
        <v>2</v>
      </c>
      <c r="PK16" s="160" t="str">
        <f t="shared" si="107"/>
        <v>C</v>
      </c>
      <c r="PL16" s="152"/>
      <c r="PM16" s="65"/>
      <c r="PN16" s="65"/>
      <c r="PO16" s="85"/>
      <c r="PP16" s="159">
        <f>IF(COUNT(PP17:PP19)=0,"",SUM(PP17:PP19)/COUNT(PP17:PP19))</f>
        <v>1.5</v>
      </c>
      <c r="PQ16" s="175" t="str">
        <f t="shared" si="108"/>
        <v>D</v>
      </c>
      <c r="PR16" s="153"/>
      <c r="PS16" s="90"/>
      <c r="PT16" s="90"/>
      <c r="PU16" s="90"/>
      <c r="PV16" s="90"/>
      <c r="PW16" s="91"/>
      <c r="PX16" s="159">
        <f>IF(COUNT(PX17:PX19)=0,"",SUM(PX17:PX19)/COUNT(PX17:PX19))</f>
        <v>2.25</v>
      </c>
      <c r="PY16" s="183" t="str">
        <f t="shared" si="109"/>
        <v>C</v>
      </c>
      <c r="PZ16" s="184">
        <f>IF(COUNT(PZ17:PZ19)=0,"",SUM(PZ17:PZ19)/COUNT(PZ17:PZ19))</f>
        <v>1.9166666666666665</v>
      </c>
      <c r="QA16" s="185" t="str">
        <f t="shared" si="110"/>
        <v>C</v>
      </c>
      <c r="QB16" s="196"/>
      <c r="QC16" s="65"/>
      <c r="QD16" s="85"/>
      <c r="QE16" s="159">
        <f>IF(COUNT(QE17:QE19)=0,"",SUM(QE17:QE19)/COUNT(QE17:QE19))</f>
        <v>3</v>
      </c>
      <c r="QF16" s="160" t="str">
        <f t="shared" si="111"/>
        <v>B</v>
      </c>
      <c r="QG16" s="152"/>
      <c r="QH16" s="65"/>
      <c r="QI16" s="65"/>
      <c r="QJ16" s="85"/>
      <c r="QK16" s="159" t="str">
        <f>IF(COUNT(QK17:QK19)=0,"",SUM(QK17:QK19)/COUNT(QK17:QK19))</f>
        <v/>
      </c>
      <c r="QL16" s="175" t="str">
        <f t="shared" si="112"/>
        <v/>
      </c>
      <c r="QM16" s="153"/>
      <c r="QN16" s="90"/>
      <c r="QO16" s="90"/>
      <c r="QP16" s="90"/>
      <c r="QQ16" s="90"/>
      <c r="QR16" s="91"/>
      <c r="QS16" s="159">
        <f>IF(COUNT(QS17:QS19)=0,"",SUM(QS17:QS19)/COUNT(QS17:QS19))</f>
        <v>2.75</v>
      </c>
      <c r="QT16" s="183" t="str">
        <f t="shared" si="113"/>
        <v>C</v>
      </c>
      <c r="QU16" s="184">
        <f>IF(COUNT(QU17:QU19)=0,"",SUM(QU17:QU19)/COUNT(QU17:QU19))</f>
        <v>2.625</v>
      </c>
      <c r="QV16" s="185" t="str">
        <f t="shared" si="114"/>
        <v>C</v>
      </c>
      <c r="QW16" s="196"/>
      <c r="QX16" s="65"/>
      <c r="QY16" s="85"/>
      <c r="QZ16" s="159">
        <f>IF(COUNT(QZ17:QZ19)=0,"",SUM(QZ17:QZ19)/COUNT(QZ17:QZ19))</f>
        <v>3</v>
      </c>
      <c r="RA16" s="160" t="str">
        <f t="shared" si="115"/>
        <v>B</v>
      </c>
      <c r="RB16" s="152"/>
      <c r="RC16" s="65"/>
      <c r="RD16" s="65"/>
      <c r="RE16" s="85"/>
      <c r="RF16" s="159">
        <f>IF(COUNT(RF17:RF19)=0,"",SUM(RF17:RF19)/COUNT(RF17:RF19))</f>
        <v>2.5</v>
      </c>
      <c r="RG16" s="175" t="str">
        <f t="shared" si="116"/>
        <v>C</v>
      </c>
      <c r="RH16" s="153"/>
      <c r="RI16" s="90"/>
      <c r="RJ16" s="90"/>
      <c r="RK16" s="90"/>
      <c r="RL16" s="90"/>
      <c r="RM16" s="91"/>
      <c r="RN16" s="159">
        <f>IF(COUNT(RN17:RN19)=0,"",SUM(RN17:RN19)/COUNT(RN17:RN19))</f>
        <v>2.5</v>
      </c>
      <c r="RO16" s="183" t="str">
        <f t="shared" si="117"/>
        <v>C</v>
      </c>
      <c r="RP16" s="184">
        <f>IF(COUNT(RP17:RP19)=0,"",SUM(RP17:RP19)/COUNT(RP17:RP19))</f>
        <v>2.666666666666667</v>
      </c>
      <c r="RQ16" s="185" t="str">
        <f t="shared" si="118"/>
        <v>C</v>
      </c>
      <c r="RR16" s="196"/>
      <c r="RS16" s="65"/>
      <c r="RT16" s="85"/>
      <c r="RU16" s="159">
        <f>IF(COUNT(RU17:RU19)=0,"",SUM(RU17:RU19)/COUNT(RU17:RU19))</f>
        <v>3</v>
      </c>
      <c r="RV16" s="160" t="str">
        <f t="shared" si="119"/>
        <v>B</v>
      </c>
      <c r="RW16" s="152"/>
      <c r="RX16" s="65"/>
      <c r="RY16" s="65"/>
      <c r="RZ16" s="85"/>
      <c r="SA16" s="159">
        <f>IF(COUNT(SA17:SA19)=0,"",SUM(SA17:SA19)/COUNT(SA17:SA19))</f>
        <v>2</v>
      </c>
      <c r="SB16" s="175" t="str">
        <f t="shared" si="120"/>
        <v>C</v>
      </c>
      <c r="SC16" s="153"/>
      <c r="SD16" s="90"/>
      <c r="SE16" s="90"/>
      <c r="SF16" s="90"/>
      <c r="SG16" s="90"/>
      <c r="SH16" s="91"/>
      <c r="SI16" s="159">
        <f>IF(COUNT(SI17:SI19)=0,"",SUM(SI17:SI19)/COUNT(SI17:SI19))</f>
        <v>2</v>
      </c>
      <c r="SJ16" s="183" t="str">
        <f t="shared" si="121"/>
        <v>C</v>
      </c>
      <c r="SK16" s="184">
        <f>IF(COUNT(SK17:SK19)=0,"",SUM(SK17:SK19)/COUNT(SK17:SK19))</f>
        <v>2.208333333333333</v>
      </c>
      <c r="SL16" s="185" t="str">
        <f t="shared" si="122"/>
        <v>C</v>
      </c>
      <c r="SM16" s="196"/>
      <c r="SN16" s="65"/>
      <c r="SO16" s="85"/>
      <c r="SP16" s="159">
        <f>IF(COUNT(SP17:SP19)=0,"",SUM(SP17:SP19)/COUNT(SP17:SP19))</f>
        <v>3</v>
      </c>
      <c r="SQ16" s="160" t="str">
        <f t="shared" si="123"/>
        <v>B</v>
      </c>
      <c r="SR16" s="152"/>
      <c r="SS16" s="65"/>
      <c r="ST16" s="65"/>
      <c r="SU16" s="85"/>
      <c r="SV16" s="159">
        <f>IF(COUNT(SV17:SV19)=0,"",SUM(SV17:SV19)/COUNT(SV17:SV19))</f>
        <v>2</v>
      </c>
      <c r="SW16" s="175" t="str">
        <f t="shared" si="124"/>
        <v>C</v>
      </c>
      <c r="SX16" s="153"/>
      <c r="SY16" s="90"/>
      <c r="SZ16" s="90"/>
      <c r="TA16" s="90"/>
      <c r="TB16" s="90"/>
      <c r="TC16" s="91"/>
      <c r="TD16" s="159">
        <f>IF(COUNT(TD17:TD19)=0,"",SUM(TD17:TD19)/COUNT(TD17:TD19))</f>
        <v>2.25</v>
      </c>
      <c r="TE16" s="183" t="str">
        <f t="shared" si="125"/>
        <v>C</v>
      </c>
      <c r="TF16" s="184">
        <f>IF(COUNT(TF17:TF19)=0,"",SUM(TF17:TF19)/COUNT(TF17:TF19))</f>
        <v>2.333333333333333</v>
      </c>
      <c r="TG16" s="185" t="str">
        <f t="shared" si="126"/>
        <v>C</v>
      </c>
      <c r="TH16" s="196"/>
      <c r="TI16" s="65"/>
      <c r="TJ16" s="85"/>
      <c r="TK16" s="159">
        <f>IF(COUNT(TK17:TK19)=0,"",SUM(TK17:TK19)/COUNT(TK17:TK19))</f>
        <v>2</v>
      </c>
      <c r="TL16" s="160" t="str">
        <f t="shared" si="127"/>
        <v>C</v>
      </c>
      <c r="TM16" s="152"/>
      <c r="TN16" s="65"/>
      <c r="TO16" s="65"/>
      <c r="TP16" s="85"/>
      <c r="TQ16" s="159">
        <f>IF(COUNT(TQ17:TQ19)=0,"",SUM(TQ17:TQ19)/COUNT(TQ17:TQ19))</f>
        <v>1.5</v>
      </c>
      <c r="TR16" s="175" t="str">
        <f t="shared" si="128"/>
        <v>D</v>
      </c>
      <c r="TS16" s="153"/>
      <c r="TT16" s="90"/>
      <c r="TU16" s="90"/>
      <c r="TV16" s="90"/>
      <c r="TW16" s="90"/>
      <c r="TX16" s="91"/>
      <c r="TY16" s="159">
        <f>IF(COUNT(TY17:TY19)=0,"",SUM(TY17:TY19)/COUNT(TY17:TY19))</f>
        <v>2.5</v>
      </c>
      <c r="TZ16" s="183" t="str">
        <f t="shared" si="129"/>
        <v>C</v>
      </c>
      <c r="UA16" s="184">
        <f>IF(COUNT(UA17:UA19)=0,"",SUM(UA17:UA19)/COUNT(UA17:UA19))</f>
        <v>2.0833333333333335</v>
      </c>
      <c r="UB16" s="185" t="str">
        <f t="shared" si="130"/>
        <v>C</v>
      </c>
      <c r="UC16" s="196"/>
      <c r="UD16" s="65"/>
      <c r="UE16" s="85"/>
      <c r="UF16" s="159">
        <f>IF(COUNT(UF17:UF19)=0,"",SUM(UF17:UF19)/COUNT(UF17:UF19))</f>
        <v>3</v>
      </c>
      <c r="UG16" s="160" t="str">
        <f t="shared" si="131"/>
        <v>B</v>
      </c>
      <c r="UH16" s="152"/>
      <c r="UI16" s="65"/>
      <c r="UJ16" s="65"/>
      <c r="UK16" s="85"/>
      <c r="UL16" s="159">
        <f>IF(COUNT(UL17:UL19)=0,"",SUM(UL17:UL19)/COUNT(UL17:UL19))</f>
        <v>2</v>
      </c>
      <c r="UM16" s="175" t="str">
        <f t="shared" si="132"/>
        <v>C</v>
      </c>
      <c r="UN16" s="153"/>
      <c r="UO16" s="90"/>
      <c r="UP16" s="90"/>
      <c r="UQ16" s="90"/>
      <c r="UR16" s="90"/>
      <c r="US16" s="91"/>
      <c r="UT16" s="159">
        <f>IF(COUNT(UT17:UT19)=0,"",SUM(UT17:UT19)/COUNT(UT17:UT19))</f>
        <v>3</v>
      </c>
      <c r="UU16" s="183" t="str">
        <f t="shared" si="133"/>
        <v>B</v>
      </c>
      <c r="UV16" s="184">
        <f>IF(COUNT(UV17:UV19)=0,"",SUM(UV17:UV19)/COUNT(UV17:UV19))</f>
        <v>2.583333333333333</v>
      </c>
      <c r="UW16" s="185" t="str">
        <f t="shared" si="134"/>
        <v>C</v>
      </c>
      <c r="UX16" s="196"/>
      <c r="UY16" s="65"/>
      <c r="UZ16" s="85"/>
      <c r="VA16" s="159">
        <f>IF(COUNT(VA17:VA19)=0,"",SUM(VA17:VA19)/COUNT(VA17:VA19))</f>
        <v>4</v>
      </c>
      <c r="VB16" s="160" t="str">
        <f t="shared" si="135"/>
        <v>A</v>
      </c>
      <c r="VC16" s="152"/>
      <c r="VD16" s="65"/>
      <c r="VE16" s="65"/>
      <c r="VF16" s="85"/>
      <c r="VG16" s="159">
        <f>IF(COUNT(VG17:VG19)=0,"",SUM(VG17:VG19)/COUNT(VG17:VG19))</f>
        <v>3.5</v>
      </c>
      <c r="VH16" s="175" t="str">
        <f t="shared" si="136"/>
        <v>B</v>
      </c>
      <c r="VI16" s="153"/>
      <c r="VJ16" s="90"/>
      <c r="VK16" s="90"/>
      <c r="VL16" s="90"/>
      <c r="VM16" s="90"/>
      <c r="VN16" s="91"/>
      <c r="VO16" s="159">
        <f>IF(COUNT(VO17:VO19)=0,"",SUM(VO17:VO19)/COUNT(VO17:VO19))</f>
        <v>3.25</v>
      </c>
      <c r="VP16" s="183" t="str">
        <f t="shared" si="137"/>
        <v>B</v>
      </c>
      <c r="VQ16" s="184">
        <f>IF(COUNT(VQ17:VQ19)=0,"",SUM(VQ17:VQ19)/COUNT(VQ17:VQ19))</f>
        <v>3.541666666666667</v>
      </c>
      <c r="VR16" s="185" t="str">
        <f t="shared" si="138"/>
        <v>B</v>
      </c>
      <c r="VS16" s="121"/>
      <c r="VT16" s="65"/>
      <c r="VU16" s="85"/>
      <c r="VV16" s="86" t="str">
        <f>IF(COUNT(VV17:VV19)=0,"",SUM(VV17:VV19)/COUNT(VV17:VV19))</f>
        <v/>
      </c>
      <c r="VW16" s="87" t="str">
        <f t="shared" si="139"/>
        <v/>
      </c>
      <c r="VX16" s="84"/>
      <c r="VY16" s="65"/>
      <c r="VZ16" s="85"/>
      <c r="WA16" s="86" t="str">
        <f>IF(COUNT(WA17:WA19)=0,"",SUM(WA17:WA19)/COUNT(WA17:WA19))</f>
        <v/>
      </c>
      <c r="WB16" s="88" t="str">
        <f t="shared" si="140"/>
        <v/>
      </c>
      <c r="WC16" s="89"/>
      <c r="WD16" s="90"/>
      <c r="WE16" s="91"/>
      <c r="WF16" s="86" t="str">
        <f>IF(COUNT(WF17:WF19)=0,"",SUM(WF17:WF19)/COUNT(WF17:WF19))</f>
        <v/>
      </c>
      <c r="WG16" s="92" t="str">
        <f t="shared" si="141"/>
        <v/>
      </c>
      <c r="WH16" s="93" t="str">
        <f>IF(COUNT(WH17:WH19)=0,"",SUM(WH17:WH19)/COUNT(WH17:WH19))</f>
        <v/>
      </c>
      <c r="WI16" s="94" t="str">
        <f t="shared" si="142"/>
        <v/>
      </c>
      <c r="WJ16" s="121"/>
      <c r="WK16" s="65"/>
      <c r="WL16" s="85"/>
      <c r="WM16" s="86" t="str">
        <f>IF(COUNT(WM17:WM19)=0,"",SUM(WM17:WM19)/COUNT(WM17:WM19))</f>
        <v/>
      </c>
      <c r="WN16" s="87" t="str">
        <f t="shared" si="143"/>
        <v/>
      </c>
      <c r="WO16" s="84"/>
      <c r="WP16" s="65"/>
      <c r="WQ16" s="85"/>
      <c r="WR16" s="86" t="str">
        <f>IF(COUNT(WR17:WR19)=0,"",SUM(WR17:WR19)/COUNT(WR17:WR19))</f>
        <v/>
      </c>
      <c r="WS16" s="88" t="str">
        <f t="shared" si="144"/>
        <v/>
      </c>
      <c r="WT16" s="89"/>
      <c r="WU16" s="90"/>
      <c r="WV16" s="91"/>
      <c r="WW16" s="86" t="str">
        <f>IF(COUNT(WW17:WW19)=0,"",SUM(WW17:WW19)/COUNT(WW17:WW19))</f>
        <v/>
      </c>
      <c r="WX16" s="92" t="str">
        <f t="shared" si="145"/>
        <v/>
      </c>
      <c r="WY16" s="93" t="str">
        <f>IF(COUNT(WY17:WY19)=0,"",SUM(WY17:WY19)/COUNT(WY17:WY19))</f>
        <v/>
      </c>
      <c r="WZ16" s="94" t="str">
        <f t="shared" si="146"/>
        <v/>
      </c>
    </row>
    <row r="17" spans="1:624" ht="18" customHeight="1" x14ac:dyDescent="0.55000000000000004">
      <c r="A17" s="217" t="s">
        <v>21</v>
      </c>
      <c r="B17" s="218"/>
      <c r="C17" s="103"/>
      <c r="D17" s="104" t="s">
        <v>30</v>
      </c>
      <c r="E17" s="105"/>
      <c r="F17" s="161">
        <f>IFERROR((((COUNTIF('Elève (3ème5)'!C17:E17,"A"))*4)+((COUNTIF('Elève (3ème5)'!C17:E17,"B"))*3)+((COUNTIF('Elève (3ème5)'!C17:E17,"C"))*2)+((COUNTIF('Elève (3ème5)'!C17:E17,"D"))*1))/(COUNTA(C17:E17)),"")</f>
        <v>1</v>
      </c>
      <c r="G17" s="162" t="str">
        <f t="shared" si="27"/>
        <v>D</v>
      </c>
      <c r="H17" s="103" t="s">
        <v>29</v>
      </c>
      <c r="I17" s="104"/>
      <c r="J17" s="105"/>
      <c r="K17" s="105"/>
      <c r="L17" s="161">
        <f>IFERROR((((COUNTIF('Elève (3ème5)'!H17:K17,"A"))*4)+((COUNTIF('Elève (3ème5)'!H17:K17,"B"))*3)+((COUNTIF('Elève (3ème5)'!H17:K17,"C"))*2)+((COUNTIF('Elève (3ème5)'!H17:K17,"D"))*1))/(COUNTA(H17:K17)),"")</f>
        <v>2</v>
      </c>
      <c r="M17" s="162" t="str">
        <f t="shared" si="28"/>
        <v>C</v>
      </c>
      <c r="N17" s="103" t="s">
        <v>28</v>
      </c>
      <c r="O17" s="104" t="s">
        <v>29</v>
      </c>
      <c r="P17" s="105"/>
      <c r="Q17" s="105"/>
      <c r="R17" s="105"/>
      <c r="S17" s="105"/>
      <c r="T17" s="161">
        <f>IFERROR((((COUNTIF('Elève (3ème5)'!N17:S17,"A"))*4)+((COUNTIF('Elève (3ème5)'!N17:S17,"B"))*3)+((COUNTIF('Elève (3ème5)'!N17:S17,"C"))*2)+((COUNTIF('Elève (3ème5)'!N17:S17,"D"))*1))/(COUNTA(N17:S17)),"")</f>
        <v>2.5</v>
      </c>
      <c r="U17" s="162" t="str">
        <f t="shared" si="29"/>
        <v>C</v>
      </c>
      <c r="V17" s="161">
        <f>IF(COUNT(F17,L17,T17)=0,"",SUM(F17,L17,T17)/COUNT(F17,L17,T17))</f>
        <v>1.8333333333333333</v>
      </c>
      <c r="W17" s="191" t="str">
        <f t="shared" si="30"/>
        <v>C</v>
      </c>
      <c r="X17" s="103"/>
      <c r="Y17" s="104" t="s">
        <v>28</v>
      </c>
      <c r="Z17" s="105"/>
      <c r="AA17" s="161">
        <f>IFERROR((((COUNTIF('Elève (3ème5)'!X17:Z17,"A"))*4)+((COUNTIF('Elève (3ème5)'!X17:Z17,"B"))*3)+((COUNTIF('Elève (3ème5)'!X17:Z17,"C"))*2)+((COUNTIF('Elève (3ème5)'!X17:Z17,"D"))*1))/(COUNTA(X17:Z17)),"")</f>
        <v>3</v>
      </c>
      <c r="AB17" s="162" t="str">
        <f t="shared" si="31"/>
        <v>B</v>
      </c>
      <c r="AC17" s="103" t="s">
        <v>30</v>
      </c>
      <c r="AD17" s="104"/>
      <c r="AE17" s="105"/>
      <c r="AF17" s="105"/>
      <c r="AG17" s="161">
        <f>IFERROR((((COUNTIF('Elève (3ème5)'!AC17:AF17,"A"))*4)+((COUNTIF('Elève (3ème5)'!AC17:AF17,"B"))*3)+((COUNTIF('Elève (3ème5)'!AC17:AF17,"C"))*2)+((COUNTIF('Elève (3ème5)'!AC17:AF17,"D"))*1))/(COUNTA(AC17:AF17)),"")</f>
        <v>1</v>
      </c>
      <c r="AH17" s="162" t="str">
        <f t="shared" si="32"/>
        <v>D</v>
      </c>
      <c r="AI17" s="103" t="s">
        <v>29</v>
      </c>
      <c r="AJ17" s="104" t="s">
        <v>28</v>
      </c>
      <c r="AK17" s="105"/>
      <c r="AL17" s="105"/>
      <c r="AM17" s="105"/>
      <c r="AN17" s="109"/>
      <c r="AO17" s="161">
        <f>IFERROR((((COUNTIF('Elève (3ème5)'!AI17:AN17,"A"))*4)+((COUNTIF('Elève (3ème5)'!AI17:AN17,"B"))*3)+((COUNTIF('Elève (3ème5)'!AI17:AN17,"C"))*2)+((COUNTIF('Elève (3ème5)'!AI17:AN17,"D"))*1))/(COUNTA(AI17:AN17)),"")</f>
        <v>2.5</v>
      </c>
      <c r="AP17" s="162" t="str">
        <f t="shared" si="33"/>
        <v>C</v>
      </c>
      <c r="AQ17" s="161">
        <f>IF(COUNT(AA17,AG17,AO17)=0,"",SUM(AA17,AG17,AO17)/COUNT(AA17,AG17,AO17))</f>
        <v>2.1666666666666665</v>
      </c>
      <c r="AR17" s="191" t="str">
        <f t="shared" si="34"/>
        <v>C</v>
      </c>
      <c r="AS17" s="103"/>
      <c r="AT17" s="104" t="s">
        <v>29</v>
      </c>
      <c r="AU17" s="105"/>
      <c r="AV17" s="161">
        <f>IFERROR((((COUNTIF('Elève (3ème5)'!AS17:AU17,"A"))*4)+((COUNTIF('Elève (3ème5)'!AS17:AU17,"B"))*3)+((COUNTIF('Elève (3ème5)'!AS17:AU17,"C"))*2)+((COUNTIF('Elève (3ème5)'!AS17:AU17,"D"))*1))/(COUNTA(AS17:AU17)),"")</f>
        <v>2</v>
      </c>
      <c r="AW17" s="162" t="str">
        <f t="shared" si="35"/>
        <v>C</v>
      </c>
      <c r="AX17" s="103" t="s">
        <v>30</v>
      </c>
      <c r="AY17" s="104"/>
      <c r="AZ17" s="105"/>
      <c r="BA17" s="105"/>
      <c r="BB17" s="161">
        <f>IFERROR((((COUNTIF('Elève (3ème5)'!AX17:BA17,"A"))*4)+((COUNTIF('Elève (3ème5)'!AX17:BA17,"B"))*3)+((COUNTIF('Elève (3ème5)'!AX17:BA17,"C"))*2)+((COUNTIF('Elève (3ème5)'!AX17:BA17,"D"))*1))/(COUNTA(AX17:BA17)),"")</f>
        <v>1</v>
      </c>
      <c r="BC17" s="162" t="str">
        <f t="shared" si="36"/>
        <v>D</v>
      </c>
      <c r="BD17" s="103"/>
      <c r="BE17" s="104" t="s">
        <v>29</v>
      </c>
      <c r="BF17" s="105"/>
      <c r="BG17" s="105"/>
      <c r="BH17" s="105"/>
      <c r="BI17" s="109"/>
      <c r="BJ17" s="161">
        <f>IFERROR((((COUNTIF('Elève (3ème5)'!BD17:BI17,"A"))*4)+((COUNTIF('Elève (3ème5)'!BD17:BI17,"B"))*3)+((COUNTIF('Elève (3ème5)'!BD17:BI17,"C"))*2)+((COUNTIF('Elève (3ème5)'!BD17:BI17,"D"))*1))/(COUNTA(BD17:BI17)),"")</f>
        <v>2</v>
      </c>
      <c r="BK17" s="162" t="str">
        <f t="shared" si="37"/>
        <v>C</v>
      </c>
      <c r="BL17" s="161">
        <f>IF(COUNT(AV17,BB17,BJ17)=0,"",SUM(AV17,BB17,BJ17)/COUNT(AV17,BB17,BJ17))</f>
        <v>1.6666666666666667</v>
      </c>
      <c r="BM17" s="191" t="str">
        <f t="shared" si="38"/>
        <v>C</v>
      </c>
      <c r="BN17" s="103"/>
      <c r="BO17" s="104" t="s">
        <v>30</v>
      </c>
      <c r="BP17" s="105"/>
      <c r="BQ17" s="161">
        <f>IFERROR((((COUNTIF('Elève (3ème5)'!BN17:BP17,"A"))*4)+((COUNTIF('Elève (3ème5)'!BN17:BP17,"B"))*3)+((COUNTIF('Elève (3ème5)'!BN17:BP17,"C"))*2)+((COUNTIF('Elève (3ème5)'!BN17:BP17,"D"))*1))/(COUNTA(BN17:BP17)),"")</f>
        <v>1</v>
      </c>
      <c r="BR17" s="162" t="str">
        <f t="shared" si="39"/>
        <v>D</v>
      </c>
      <c r="BS17" s="103" t="s">
        <v>29</v>
      </c>
      <c r="BT17" s="104"/>
      <c r="BU17" s="105"/>
      <c r="BV17" s="105"/>
      <c r="BW17" s="161">
        <f>IFERROR((((COUNTIF('Elève (3ème5)'!BS17:BV17,"A"))*4)+((COUNTIF('Elève (3ème5)'!BS17:BV17,"B"))*3)+((COUNTIF('Elève (3ème5)'!BS17:BV17,"C"))*2)+((COUNTIF('Elève (3ème5)'!BS17:BV17,"D"))*1))/(COUNTA(BS17:BV17)),"")</f>
        <v>2</v>
      </c>
      <c r="BX17" s="162" t="str">
        <f t="shared" si="40"/>
        <v>C</v>
      </c>
      <c r="BY17" s="103" t="s">
        <v>29</v>
      </c>
      <c r="BZ17" s="104" t="s">
        <v>30</v>
      </c>
      <c r="CA17" s="105"/>
      <c r="CB17" s="105"/>
      <c r="CC17" s="105"/>
      <c r="CD17" s="109"/>
      <c r="CE17" s="161">
        <f>IFERROR((((COUNTIF('Elève (3ème5)'!BY17:CD17,"A"))*4)+((COUNTIF('Elève (3ème5)'!BY17:CD17,"B"))*3)+((COUNTIF('Elève (3ème5)'!BY17:CD17,"C"))*2)+((COUNTIF('Elève (3ème5)'!BY17:CD17,"D"))*1))/(COUNTA(BY17:CD17)),"")</f>
        <v>1.5</v>
      </c>
      <c r="CF17" s="162" t="str">
        <f t="shared" si="41"/>
        <v>D</v>
      </c>
      <c r="CG17" s="161">
        <f>IF(COUNT(BQ17,BW17,CE17)=0,"",SUM(BQ17,BW17,CE17)/COUNT(BQ17,BW17,CE17))</f>
        <v>1.5</v>
      </c>
      <c r="CH17" s="191" t="str">
        <f t="shared" si="42"/>
        <v>D</v>
      </c>
      <c r="CI17" s="103"/>
      <c r="CJ17" s="104" t="s">
        <v>30</v>
      </c>
      <c r="CK17" s="105"/>
      <c r="CL17" s="161">
        <f>IFERROR((((COUNTIF('Elève (3ème5)'!CI17:CK17,"A"))*4)+((COUNTIF('Elève (3ème5)'!CI17:CK17,"B"))*3)+((COUNTIF('Elève (3ème5)'!CI17:CK17,"C"))*2)+((COUNTIF('Elève (3ème5)'!CI17:CK17,"D"))*1))/(COUNTA(CI17:CK17)),"")</f>
        <v>1</v>
      </c>
      <c r="CM17" s="162" t="str">
        <f t="shared" si="43"/>
        <v>D</v>
      </c>
      <c r="CN17" s="103" t="s">
        <v>29</v>
      </c>
      <c r="CO17" s="104"/>
      <c r="CP17" s="105"/>
      <c r="CQ17" s="105"/>
      <c r="CR17" s="161">
        <f>IFERROR((((COUNTIF('Elève (3ème5)'!CN17:CQ17,"A"))*4)+((COUNTIF('Elève (3ème5)'!CN17:CQ17,"B"))*3)+((COUNTIF('Elève (3ème5)'!CN17:CQ17,"C"))*2)+((COUNTIF('Elève (3ème5)'!CN17:CQ17,"D"))*1))/(COUNTA(CN17:CQ17)),"")</f>
        <v>2</v>
      </c>
      <c r="CS17" s="162" t="str">
        <f t="shared" si="44"/>
        <v>C</v>
      </c>
      <c r="CT17" s="103" t="s">
        <v>29</v>
      </c>
      <c r="CU17" s="104" t="s">
        <v>29</v>
      </c>
      <c r="CV17" s="105"/>
      <c r="CW17" s="105"/>
      <c r="CX17" s="105"/>
      <c r="CY17" s="109"/>
      <c r="CZ17" s="161">
        <f>IFERROR((((COUNTIF('Elève (3ème5)'!CT17:CY17,"A"))*4)+((COUNTIF('Elève (3ème5)'!CT17:CY17,"B"))*3)+((COUNTIF('Elève (3ème5)'!CT17:CY17,"C"))*2)+((COUNTIF('Elève (3ème5)'!CT17:CY17,"D"))*1))/(COUNTA(CT17:CY17)),"")</f>
        <v>2</v>
      </c>
      <c r="DA17" s="162" t="str">
        <f t="shared" si="45"/>
        <v>C</v>
      </c>
      <c r="DB17" s="161">
        <f>IF(COUNT(CL17,CR17,CZ17)=0,"",SUM(CL17,CR17,CZ17)/COUNT(CL17,CR17,CZ17))</f>
        <v>1.6666666666666667</v>
      </c>
      <c r="DC17" s="191" t="str">
        <f t="shared" si="46"/>
        <v>C</v>
      </c>
      <c r="DD17" s="103"/>
      <c r="DE17" s="104" t="s">
        <v>28</v>
      </c>
      <c r="DF17" s="105"/>
      <c r="DG17" s="161">
        <f>IFERROR((((COUNTIF('Elève (3ème5)'!DD17:DF17,"A"))*4)+((COUNTIF('Elève (3ème5)'!DD17:DF17,"B"))*3)+((COUNTIF('Elève (3ème5)'!DD17:DF17,"C"))*2)+((COUNTIF('Elève (3ème5)'!DD17:DF17,"D"))*1))/(COUNTA(DD17:DF17)),"")</f>
        <v>3</v>
      </c>
      <c r="DH17" s="162" t="str">
        <f t="shared" si="47"/>
        <v>B</v>
      </c>
      <c r="DI17" s="103" t="s">
        <v>29</v>
      </c>
      <c r="DJ17" s="104"/>
      <c r="DK17" s="105"/>
      <c r="DL17" s="105"/>
      <c r="DM17" s="161">
        <f>IFERROR((((COUNTIF('Elève (3ème5)'!DI17:DL17,"A"))*4)+((COUNTIF('Elève (3ème5)'!DI17:DL17,"B"))*3)+((COUNTIF('Elève (3ème5)'!DI17:DL17,"C"))*2)+((COUNTIF('Elève (3ème5)'!DI17:DL17,"D"))*1))/(COUNTA(DI17:DL17)),"")</f>
        <v>2</v>
      </c>
      <c r="DN17" s="162" t="str">
        <f t="shared" si="48"/>
        <v>C</v>
      </c>
      <c r="DO17" s="103" t="s">
        <v>28</v>
      </c>
      <c r="DP17" s="104" t="s">
        <v>27</v>
      </c>
      <c r="DQ17" s="105"/>
      <c r="DR17" s="105"/>
      <c r="DS17" s="105"/>
      <c r="DT17" s="109"/>
      <c r="DU17" s="161">
        <f>IFERROR((((COUNTIF('Elève (3ème5)'!DO17:DT17,"A"))*4)+((COUNTIF('Elève (3ème5)'!DO17:DT17,"B"))*3)+((COUNTIF('Elève (3ème5)'!DO17:DT17,"C"))*2)+((COUNTIF('Elève (3ème5)'!DO17:DT17,"D"))*1))/(COUNTA(DO17:DT17)),"")</f>
        <v>3.5</v>
      </c>
      <c r="DV17" s="162" t="str">
        <f t="shared" si="49"/>
        <v>B</v>
      </c>
      <c r="DW17" s="161">
        <f>IF(COUNT(DG17,DM17,DU17)=0,"",SUM(DG17,DM17,DU17)/COUNT(DG17,DM17,DU17))</f>
        <v>2.8333333333333335</v>
      </c>
      <c r="DX17" s="191" t="str">
        <f t="shared" si="50"/>
        <v>B</v>
      </c>
      <c r="DY17" s="103"/>
      <c r="DZ17" s="104" t="s">
        <v>30</v>
      </c>
      <c r="EA17" s="105"/>
      <c r="EB17" s="161">
        <f>IFERROR((((COUNTIF('Elève (3ème5)'!DY17:EA17,"A"))*4)+((COUNTIF('Elève (3ème5)'!DY17:EA17,"B"))*3)+((COUNTIF('Elève (3ème5)'!DY17:EA17,"C"))*2)+((COUNTIF('Elève (3ème5)'!DY17:EA17,"D"))*1))/(COUNTA(DY17:EA17)),"")</f>
        <v>1</v>
      </c>
      <c r="EC17" s="162" t="str">
        <f t="shared" si="51"/>
        <v>D</v>
      </c>
      <c r="ED17" s="103" t="s">
        <v>29</v>
      </c>
      <c r="EE17" s="104"/>
      <c r="EF17" s="105"/>
      <c r="EG17" s="105"/>
      <c r="EH17" s="161">
        <f>IFERROR((((COUNTIF('Elève (3ème5)'!ED17:EG17,"A"))*4)+((COUNTIF('Elève (3ème5)'!ED17:EG17,"B"))*3)+((COUNTIF('Elève (3ème5)'!ED17:EG17,"C"))*2)+((COUNTIF('Elève (3ème5)'!ED17:EG17,"D"))*1))/(COUNTA(ED17:EG17)),"")</f>
        <v>2</v>
      </c>
      <c r="EI17" s="162" t="str">
        <f t="shared" si="52"/>
        <v>C</v>
      </c>
      <c r="EJ17" s="103" t="s">
        <v>29</v>
      </c>
      <c r="EK17" s="104" t="s">
        <v>29</v>
      </c>
      <c r="EL17" s="105"/>
      <c r="EM17" s="105"/>
      <c r="EN17" s="105"/>
      <c r="EO17" s="109"/>
      <c r="EP17" s="161">
        <f>IFERROR((((COUNTIF('Elève (3ème5)'!EJ17:EO17,"A"))*4)+((COUNTIF('Elève (3ème5)'!EJ17:EO17,"B"))*3)+((COUNTIF('Elève (3ème5)'!EJ17:EO17,"C"))*2)+((COUNTIF('Elève (3ème5)'!EJ17:EO17,"D"))*1))/(COUNTA(EJ17:EO17)),"")</f>
        <v>2</v>
      </c>
      <c r="EQ17" s="162" t="str">
        <f t="shared" si="53"/>
        <v>C</v>
      </c>
      <c r="ER17" s="161">
        <f>IF(COUNT(EB17,EH17,EP17)=0,"",SUM(EB17,EH17,EP17)/COUNT(EB17,EH17,EP17))</f>
        <v>1.6666666666666667</v>
      </c>
      <c r="ES17" s="191" t="str">
        <f t="shared" si="54"/>
        <v>C</v>
      </c>
      <c r="ET17" s="103"/>
      <c r="EU17" s="104" t="s">
        <v>30</v>
      </c>
      <c r="EV17" s="105"/>
      <c r="EW17" s="161">
        <f>IFERROR((((COUNTIF('Elève (3ème5)'!ET17:EV17,"A"))*4)+((COUNTIF('Elève (3ème5)'!ET17:EV17,"B"))*3)+((COUNTIF('Elève (3ème5)'!ET17:EV17,"C"))*2)+((COUNTIF('Elève (3ème5)'!ET17:EV17,"D"))*1))/(COUNTA(ET17:EV17)),"")</f>
        <v>1</v>
      </c>
      <c r="EX17" s="162" t="str">
        <f t="shared" si="55"/>
        <v>D</v>
      </c>
      <c r="EY17" s="103" t="s">
        <v>30</v>
      </c>
      <c r="EZ17" s="104"/>
      <c r="FA17" s="105"/>
      <c r="FB17" s="105"/>
      <c r="FC17" s="161">
        <f>IFERROR((((COUNTIF('Elève (3ème5)'!EY17:FB17,"A"))*4)+((COUNTIF('Elève (3ème5)'!EY17:FB17,"B"))*3)+((COUNTIF('Elève (3ème5)'!EY17:FB17,"C"))*2)+((COUNTIF('Elève (3ème5)'!EY17:FB17,"D"))*1))/(COUNTA(EY17:FB17)),"")</f>
        <v>1</v>
      </c>
      <c r="FD17" s="162" t="str">
        <f t="shared" si="56"/>
        <v>D</v>
      </c>
      <c r="FE17" s="103" t="s">
        <v>29</v>
      </c>
      <c r="FF17" s="104" t="s">
        <v>30</v>
      </c>
      <c r="FG17" s="105"/>
      <c r="FH17" s="105"/>
      <c r="FI17" s="105"/>
      <c r="FJ17" s="109"/>
      <c r="FK17" s="161">
        <f>IFERROR((((COUNTIF('Elève (3ème5)'!FE17:FJ17,"A"))*4)+((COUNTIF('Elève (3ème5)'!FE17:FJ17,"B"))*3)+((COUNTIF('Elève (3ème5)'!FE17:FJ17,"C"))*2)+((COUNTIF('Elève (3ème5)'!FE17:FJ17,"D"))*1))/(COUNTA(FE17:FJ17)),"")</f>
        <v>1.5</v>
      </c>
      <c r="FL17" s="162" t="str">
        <f t="shared" si="57"/>
        <v>D</v>
      </c>
      <c r="FM17" s="161">
        <f>IF(COUNT(EW17,FC17,FK17)=0,"",SUM(EW17,FC17,FK17)/COUNT(EW17,FC17,FK17))</f>
        <v>1.1666666666666667</v>
      </c>
      <c r="FN17" s="191" t="str">
        <f t="shared" si="58"/>
        <v>D</v>
      </c>
      <c r="FO17" s="103"/>
      <c r="FP17" s="104" t="s">
        <v>29</v>
      </c>
      <c r="FQ17" s="105"/>
      <c r="FR17" s="161">
        <f>IFERROR((((COUNTIF('Elève (3ème5)'!FO17:FQ17,"A"))*4)+((COUNTIF('Elève (3ème5)'!FO17:FQ17,"B"))*3)+((COUNTIF('Elève (3ème5)'!FO17:FQ17,"C"))*2)+((COUNTIF('Elève (3ème5)'!FO17:FQ17,"D"))*1))/(COUNTA(FO17:FQ17)),"")</f>
        <v>2</v>
      </c>
      <c r="FS17" s="162" t="str">
        <f t="shared" si="59"/>
        <v>C</v>
      </c>
      <c r="FT17" s="103" t="s">
        <v>29</v>
      </c>
      <c r="FU17" s="104"/>
      <c r="FV17" s="105"/>
      <c r="FW17" s="105"/>
      <c r="FX17" s="161">
        <f>IFERROR((((COUNTIF('Elève (3ème5)'!FT17:FW17,"A"))*4)+((COUNTIF('Elève (3ème5)'!FT17:FW17,"B"))*3)+((COUNTIF('Elève (3ème5)'!FT17:FW17,"C"))*2)+((COUNTIF('Elève (3ème5)'!FT17:FW17,"D"))*1))/(COUNTA(FT17:FW17)),"")</f>
        <v>2</v>
      </c>
      <c r="FY17" s="162" t="str">
        <f t="shared" si="60"/>
        <v>C</v>
      </c>
      <c r="FZ17" s="103" t="s">
        <v>29</v>
      </c>
      <c r="GA17" s="104" t="s">
        <v>29</v>
      </c>
      <c r="GB17" s="105"/>
      <c r="GC17" s="105"/>
      <c r="GD17" s="105"/>
      <c r="GE17" s="109"/>
      <c r="GF17" s="161">
        <f>IFERROR((((COUNTIF('Elève (3ème5)'!FZ17:GE17,"A"))*4)+((COUNTIF('Elève (3ème5)'!FZ17:GE17,"B"))*3)+((COUNTIF('Elève (3ème5)'!FZ17:GE17,"C"))*2)+((COUNTIF('Elève (3ème5)'!FZ17:GE17,"D"))*1))/(COUNTA(FZ17:GE17)),"")</f>
        <v>2</v>
      </c>
      <c r="GG17" s="162" t="str">
        <f t="shared" si="61"/>
        <v>C</v>
      </c>
      <c r="GH17" s="161">
        <f>IF(COUNT(FR17,FX17,GF17)=0,"",SUM(FR17,FX17,GF17)/COUNT(FR17,FX17,GF17))</f>
        <v>2</v>
      </c>
      <c r="GI17" s="191" t="str">
        <f t="shared" si="62"/>
        <v>C</v>
      </c>
      <c r="GJ17" s="103"/>
      <c r="GK17" s="104" t="s">
        <v>29</v>
      </c>
      <c r="GL17" s="105"/>
      <c r="GM17" s="161">
        <f>IFERROR((((COUNTIF('Elève (3ème5)'!GJ17:GL17,"A"))*4)+((COUNTIF('Elève (3ème5)'!GJ17:GL17,"B"))*3)+((COUNTIF('Elève (3ème5)'!GJ17:GL17,"C"))*2)+((COUNTIF('Elève (3ème5)'!GJ17:GL17,"D"))*1))/(COUNTA(GJ17:GL17)),"")</f>
        <v>2</v>
      </c>
      <c r="GN17" s="162" t="str">
        <f t="shared" si="63"/>
        <v>C</v>
      </c>
      <c r="GO17" s="103" t="s">
        <v>30</v>
      </c>
      <c r="GP17" s="104"/>
      <c r="GQ17" s="105"/>
      <c r="GR17" s="105"/>
      <c r="GS17" s="161">
        <f>IFERROR((((COUNTIF('Elève (3ème5)'!GO17:GR17,"A"))*4)+((COUNTIF('Elève (3ème5)'!GO17:GR17,"B"))*3)+((COUNTIF('Elève (3ème5)'!GO17:GR17,"C"))*2)+((COUNTIF('Elève (3ème5)'!GO17:GR17,"D"))*1))/(COUNTA(GO17:GR17)),"")</f>
        <v>1</v>
      </c>
      <c r="GT17" s="162" t="str">
        <f t="shared" si="64"/>
        <v>D</v>
      </c>
      <c r="GU17" s="103" t="s">
        <v>29</v>
      </c>
      <c r="GV17" s="104" t="s">
        <v>29</v>
      </c>
      <c r="GW17" s="105"/>
      <c r="GX17" s="105"/>
      <c r="GY17" s="105"/>
      <c r="GZ17" s="109"/>
      <c r="HA17" s="161">
        <f>IFERROR((((COUNTIF('Elève (3ème5)'!GU17:GZ17,"A"))*4)+((COUNTIF('Elève (3ème5)'!GU17:GZ17,"B"))*3)+((COUNTIF('Elève (3ème5)'!GU17:GZ17,"C"))*2)+((COUNTIF('Elève (3ème5)'!GU17:GZ17,"D"))*1))/(COUNTA(GU17:GZ17)),"")</f>
        <v>2</v>
      </c>
      <c r="HB17" s="162" t="str">
        <f t="shared" si="65"/>
        <v>C</v>
      </c>
      <c r="HC17" s="161">
        <f>IF(COUNT(GM17,GS17,HA17)=0,"",SUM(GM17,GS17,HA17)/COUNT(GM17,GS17,HA17))</f>
        <v>1.6666666666666667</v>
      </c>
      <c r="HD17" s="191" t="str">
        <f t="shared" si="66"/>
        <v>C</v>
      </c>
      <c r="HE17" s="103"/>
      <c r="HF17" s="104" t="s">
        <v>28</v>
      </c>
      <c r="HG17" s="105"/>
      <c r="HH17" s="161">
        <f>IFERROR((((COUNTIF('Elève (3ème5)'!HE17:HG17,"A"))*4)+((COUNTIF('Elève (3ème5)'!HE17:HG17,"B"))*3)+((COUNTIF('Elève (3ème5)'!HE17:HG17,"C"))*2)+((COUNTIF('Elève (3ème5)'!HE17:HG17,"D"))*1))/(COUNTA(HE17:HG17)),"")</f>
        <v>3</v>
      </c>
      <c r="HI17" s="162" t="str">
        <f t="shared" si="67"/>
        <v>B</v>
      </c>
      <c r="HJ17" s="103" t="s">
        <v>29</v>
      </c>
      <c r="HK17" s="104"/>
      <c r="HL17" s="105"/>
      <c r="HM17" s="105"/>
      <c r="HN17" s="161">
        <f>IFERROR((((COUNTIF('Elève (3ème5)'!HJ17:HM17,"A"))*4)+((COUNTIF('Elève (3ème5)'!HJ17:HM17,"B"))*3)+((COUNTIF('Elève (3ème5)'!HJ17:HM17,"C"))*2)+((COUNTIF('Elève (3ème5)'!HJ17:HM17,"D"))*1))/(COUNTA(HJ17:HM17)),"")</f>
        <v>2</v>
      </c>
      <c r="HO17" s="162" t="str">
        <f t="shared" si="68"/>
        <v>C</v>
      </c>
      <c r="HP17" s="103" t="s">
        <v>29</v>
      </c>
      <c r="HQ17" s="104" t="s">
        <v>30</v>
      </c>
      <c r="HR17" s="105"/>
      <c r="HS17" s="105"/>
      <c r="HT17" s="105"/>
      <c r="HU17" s="109"/>
      <c r="HV17" s="161">
        <f>IFERROR((((COUNTIF('Elève (3ème5)'!HP17:HU17,"A"))*4)+((COUNTIF('Elève (3ème5)'!HP17:HU17,"B"))*3)+((COUNTIF('Elève (3ème5)'!HP17:HU17,"C"))*2)+((COUNTIF('Elève (3ème5)'!HP17:HU17,"D"))*1))/(COUNTA(HP17:HU17)),"")</f>
        <v>1.5</v>
      </c>
      <c r="HW17" s="162" t="str">
        <f t="shared" si="69"/>
        <v>D</v>
      </c>
      <c r="HX17" s="161">
        <f>IF(COUNT(HH17,HN17,HV17)=0,"",SUM(HH17,HN17,HV17)/COUNT(HH17,HN17,HV17))</f>
        <v>2.1666666666666665</v>
      </c>
      <c r="HY17" s="191" t="str">
        <f t="shared" si="70"/>
        <v>C</v>
      </c>
      <c r="HZ17" s="103"/>
      <c r="IA17" s="104" t="s">
        <v>29</v>
      </c>
      <c r="IB17" s="105"/>
      <c r="IC17" s="161">
        <f>IFERROR((((COUNTIF('Elève (3ème5)'!HZ17:IB17,"A"))*4)+((COUNTIF('Elève (3ème5)'!HZ17:IB17,"B"))*3)+((COUNTIF('Elève (3ème5)'!HZ17:IB17,"C"))*2)+((COUNTIF('Elève (3ème5)'!HZ17:IB17,"D"))*1))/(COUNTA(HZ17:IB17)),"")</f>
        <v>2</v>
      </c>
      <c r="ID17" s="162" t="str">
        <f t="shared" si="71"/>
        <v>C</v>
      </c>
      <c r="IE17" s="103" t="s">
        <v>29</v>
      </c>
      <c r="IF17" s="104"/>
      <c r="IG17" s="105"/>
      <c r="IH17" s="105"/>
      <c r="II17" s="161">
        <f>IFERROR((((COUNTIF('Elève (3ème5)'!IE17:IH17,"A"))*4)+((COUNTIF('Elève (3ème5)'!IE17:IH17,"B"))*3)+((COUNTIF('Elève (3ème5)'!IE17:IH17,"C"))*2)+((COUNTIF('Elève (3ème5)'!IE17:IH17,"D"))*1))/(COUNTA(IE17:IH17)),"")</f>
        <v>2</v>
      </c>
      <c r="IJ17" s="162" t="str">
        <f t="shared" si="72"/>
        <v>C</v>
      </c>
      <c r="IK17" s="103" t="s">
        <v>29</v>
      </c>
      <c r="IL17" s="104" t="s">
        <v>28</v>
      </c>
      <c r="IM17" s="105"/>
      <c r="IN17" s="105"/>
      <c r="IO17" s="105"/>
      <c r="IP17" s="109"/>
      <c r="IQ17" s="161">
        <f>IFERROR((((COUNTIF('Elève (3ème5)'!IK17:IP17,"A"))*4)+((COUNTIF('Elève (3ème5)'!IK17:IP17,"B"))*3)+((COUNTIF('Elève (3ème5)'!IK17:IP17,"C"))*2)+((COUNTIF('Elève (3ème5)'!IK17:IP17,"D"))*1))/(COUNTA(IK17:IP17)),"")</f>
        <v>2.5</v>
      </c>
      <c r="IR17" s="162" t="str">
        <f t="shared" si="73"/>
        <v>C</v>
      </c>
      <c r="IS17" s="161">
        <f>IF(COUNT(IC17,II17,IQ17)=0,"",SUM(IC17,II17,IQ17)/COUNT(IC17,II17,IQ17))</f>
        <v>2.1666666666666665</v>
      </c>
      <c r="IT17" s="191" t="str">
        <f t="shared" si="74"/>
        <v>C</v>
      </c>
      <c r="IU17" s="103"/>
      <c r="IV17" s="104" t="s">
        <v>30</v>
      </c>
      <c r="IW17" s="105"/>
      <c r="IX17" s="161">
        <f>IFERROR((((COUNTIF('Elève (3ème5)'!IU17:IW17,"A"))*4)+((COUNTIF('Elève (3ème5)'!IU17:IW17,"B"))*3)+((COUNTIF('Elève (3ème5)'!IU17:IW17,"C"))*2)+((COUNTIF('Elève (3ème5)'!IU17:IW17,"D"))*1))/(COUNTA(IU17:IW17)),"")</f>
        <v>1</v>
      </c>
      <c r="IY17" s="162" t="str">
        <f t="shared" si="75"/>
        <v>D</v>
      </c>
      <c r="IZ17" s="103" t="s">
        <v>29</v>
      </c>
      <c r="JA17" s="104"/>
      <c r="JB17" s="105"/>
      <c r="JC17" s="105"/>
      <c r="JD17" s="161">
        <f>IFERROR((((COUNTIF('Elève (3ème5)'!IZ17:JC17,"A"))*4)+((COUNTIF('Elève (3ème5)'!IZ17:JC17,"B"))*3)+((COUNTIF('Elève (3ème5)'!IZ17:JC17,"C"))*2)+((COUNTIF('Elève (3ème5)'!IZ17:JC17,"D"))*1))/(COUNTA(IZ17:JC17)),"")</f>
        <v>2</v>
      </c>
      <c r="JE17" s="162" t="str">
        <f t="shared" si="76"/>
        <v>C</v>
      </c>
      <c r="JF17" s="103" t="s">
        <v>29</v>
      </c>
      <c r="JG17" s="104" t="s">
        <v>30</v>
      </c>
      <c r="JH17" s="105"/>
      <c r="JI17" s="105"/>
      <c r="JJ17" s="105"/>
      <c r="JK17" s="109"/>
      <c r="JL17" s="161">
        <f>IFERROR((((COUNTIF('Elève (3ème5)'!JF17:JK17,"A"))*4)+((COUNTIF('Elève (3ème5)'!JF17:JK17,"B"))*3)+((COUNTIF('Elève (3ème5)'!JF17:JK17,"C"))*2)+((COUNTIF('Elève (3ème5)'!JF17:JK17,"D"))*1))/(COUNTA(JF17:JK17)),"")</f>
        <v>1.5</v>
      </c>
      <c r="JM17" s="162" t="str">
        <f t="shared" si="77"/>
        <v>D</v>
      </c>
      <c r="JN17" s="161">
        <f>IF(COUNT(IX17,JD17,JL17)=0,"",SUM(IX17,JD17,JL17)/COUNT(IX17,JD17,JL17))</f>
        <v>1.5</v>
      </c>
      <c r="JO17" s="191" t="str">
        <f t="shared" si="78"/>
        <v>D</v>
      </c>
      <c r="JP17" s="103"/>
      <c r="JQ17" s="104" t="s">
        <v>29</v>
      </c>
      <c r="JR17" s="105"/>
      <c r="JS17" s="161">
        <f>IFERROR((((COUNTIF('Elève (3ème5)'!JP17:JR17,"A"))*4)+((COUNTIF('Elève (3ème5)'!JP17:JR17,"B"))*3)+((COUNTIF('Elève (3ème5)'!JP17:JR17,"C"))*2)+((COUNTIF('Elève (3ème5)'!JP17:JR17,"D"))*1))/(COUNTA(JP17:JR17)),"")</f>
        <v>2</v>
      </c>
      <c r="JT17" s="162" t="str">
        <f t="shared" si="79"/>
        <v>C</v>
      </c>
      <c r="JU17" s="103" t="s">
        <v>29</v>
      </c>
      <c r="JV17" s="104"/>
      <c r="JW17" s="105"/>
      <c r="JX17" s="105"/>
      <c r="JY17" s="161">
        <f>IFERROR((((COUNTIF('Elève (3ème5)'!JU17:JX17,"A"))*4)+((COUNTIF('Elève (3ème5)'!JU17:JX17,"B"))*3)+((COUNTIF('Elève (3ème5)'!JU17:JX17,"C"))*2)+((COUNTIF('Elève (3ème5)'!JU17:JX17,"D"))*1))/(COUNTA(JU17:JX17)),"")</f>
        <v>2</v>
      </c>
      <c r="JZ17" s="162" t="str">
        <f t="shared" si="80"/>
        <v>C</v>
      </c>
      <c r="KA17" s="103" t="s">
        <v>29</v>
      </c>
      <c r="KB17" s="104" t="s">
        <v>29</v>
      </c>
      <c r="KC17" s="105"/>
      <c r="KD17" s="105"/>
      <c r="KE17" s="105"/>
      <c r="KF17" s="109"/>
      <c r="KG17" s="161">
        <f>IFERROR((((COUNTIF('Elève (3ème5)'!KA17:KF17,"A"))*4)+((COUNTIF('Elève (3ème5)'!KA17:KF17,"B"))*3)+((COUNTIF('Elève (3ème5)'!KA17:KF17,"C"))*2)+((COUNTIF('Elève (3ème5)'!KA17:KF17,"D"))*1))/(COUNTA(KA17:KF17)),"")</f>
        <v>2</v>
      </c>
      <c r="KH17" s="162" t="str">
        <f t="shared" si="81"/>
        <v>C</v>
      </c>
      <c r="KI17" s="161">
        <f>IF(COUNT(JS17,JY17,KG17)=0,"",SUM(JS17,JY17,KG17)/COUNT(JS17,JY17,KG17))</f>
        <v>2</v>
      </c>
      <c r="KJ17" s="191" t="str">
        <f t="shared" si="82"/>
        <v>C</v>
      </c>
      <c r="KK17" s="103"/>
      <c r="KL17" s="104" t="s">
        <v>28</v>
      </c>
      <c r="KM17" s="105"/>
      <c r="KN17" s="161">
        <f>IFERROR((((COUNTIF('Elève (3ème5)'!KK17:KM17,"A"))*4)+((COUNTIF('Elève (3ème5)'!KK17:KM17,"B"))*3)+((COUNTIF('Elève (3ème5)'!KK17:KM17,"C"))*2)+((COUNTIF('Elève (3ème5)'!KK17:KM17,"D"))*1))/(COUNTA(KK17:KM17)),"")</f>
        <v>3</v>
      </c>
      <c r="KO17" s="162" t="str">
        <f t="shared" si="83"/>
        <v>B</v>
      </c>
      <c r="KP17" s="103" t="s">
        <v>29</v>
      </c>
      <c r="KQ17" s="104"/>
      <c r="KR17" s="105"/>
      <c r="KS17" s="105"/>
      <c r="KT17" s="161">
        <f>IFERROR((((COUNTIF('Elève (3ème5)'!KP17:KS17,"A"))*4)+((COUNTIF('Elève (3ème5)'!KP17:KS17,"B"))*3)+((COUNTIF('Elève (3ème5)'!KP17:KS17,"C"))*2)+((COUNTIF('Elève (3ème5)'!KP17:KS17,"D"))*1))/(COUNTA(KP17:KS17)),"")</f>
        <v>2</v>
      </c>
      <c r="KU17" s="162" t="str">
        <f t="shared" si="84"/>
        <v>C</v>
      </c>
      <c r="KV17" s="103" t="s">
        <v>28</v>
      </c>
      <c r="KW17" s="104" t="s">
        <v>29</v>
      </c>
      <c r="KX17" s="105"/>
      <c r="KY17" s="105"/>
      <c r="KZ17" s="105"/>
      <c r="LA17" s="109"/>
      <c r="LB17" s="161">
        <f>IFERROR((((COUNTIF('Elève (3ème5)'!KV17:LA17,"A"))*4)+((COUNTIF('Elève (3ème5)'!KV17:LA17,"B"))*3)+((COUNTIF('Elève (3ème5)'!KV17:LA17,"C"))*2)+((COUNTIF('Elève (3ème5)'!KV17:LA17,"D"))*1))/(COUNTA(KV17:LA17)),"")</f>
        <v>2.5</v>
      </c>
      <c r="LC17" s="162" t="str">
        <f t="shared" si="85"/>
        <v>C</v>
      </c>
      <c r="LD17" s="161">
        <f>IF(COUNT(KN17,KT17,LB17)=0,"",SUM(KN17,KT17,LB17)/COUNT(KN17,KT17,LB17))</f>
        <v>2.5</v>
      </c>
      <c r="LE17" s="191" t="str">
        <f t="shared" si="86"/>
        <v>C</v>
      </c>
      <c r="LF17" s="103"/>
      <c r="LG17" s="104" t="s">
        <v>28</v>
      </c>
      <c r="LH17" s="105"/>
      <c r="LI17" s="161">
        <f>IFERROR((((COUNTIF('Elève (3ème5)'!LF17:LH17,"A"))*4)+((COUNTIF('Elève (3ème5)'!LF17:LH17,"B"))*3)+((COUNTIF('Elève (3ème5)'!LF17:LH17,"C"))*2)+((COUNTIF('Elève (3ème5)'!LF17:LH17,"D"))*1))/(COUNTA(LF17:LH17)),"")</f>
        <v>3</v>
      </c>
      <c r="LJ17" s="162" t="str">
        <f t="shared" si="87"/>
        <v>B</v>
      </c>
      <c r="LK17" s="103" t="s">
        <v>29</v>
      </c>
      <c r="LL17" s="104"/>
      <c r="LM17" s="105"/>
      <c r="LN17" s="105"/>
      <c r="LO17" s="161">
        <f>IFERROR((((COUNTIF('Elève (3ème5)'!LK17:LN17,"A"))*4)+((COUNTIF('Elève (3ème5)'!LK17:LN17,"B"))*3)+((COUNTIF('Elève (3ème5)'!LK17:LN17,"C"))*2)+((COUNTIF('Elève (3ème5)'!LK17:LN17,"D"))*1))/(COUNTA(LK17:LN17)),"")</f>
        <v>2</v>
      </c>
      <c r="LP17" s="162" t="str">
        <f t="shared" si="88"/>
        <v>C</v>
      </c>
      <c r="LQ17" s="103" t="s">
        <v>30</v>
      </c>
      <c r="LR17" s="104" t="s">
        <v>29</v>
      </c>
      <c r="LS17" s="105"/>
      <c r="LT17" s="105"/>
      <c r="LU17" s="105"/>
      <c r="LV17" s="109"/>
      <c r="LW17" s="161">
        <f>IFERROR((((COUNTIF('Elève (3ème5)'!LQ17:LV17,"A"))*4)+((COUNTIF('Elève (3ème5)'!LQ17:LV17,"B"))*3)+((COUNTIF('Elève (3ème5)'!LQ17:LV17,"C"))*2)+((COUNTIF('Elève (3ème5)'!LQ17:LV17,"D"))*1))/(COUNTA(LQ17:LV17)),"")</f>
        <v>1.5</v>
      </c>
      <c r="LX17" s="162" t="str">
        <f t="shared" si="89"/>
        <v>D</v>
      </c>
      <c r="LY17" s="161">
        <f>IF(COUNT(LI17,LO17,LW17)=0,"",SUM(LI17,LO17,LW17)/COUNT(LI17,LO17,LW17))</f>
        <v>2.1666666666666665</v>
      </c>
      <c r="LZ17" s="191" t="str">
        <f t="shared" si="90"/>
        <v>C</v>
      </c>
      <c r="MA17" s="103"/>
      <c r="MB17" s="104" t="s">
        <v>29</v>
      </c>
      <c r="MC17" s="105"/>
      <c r="MD17" s="161">
        <f>IFERROR((((COUNTIF('Elève (3ème5)'!MA17:MC17,"A"))*4)+((COUNTIF('Elève (3ème5)'!MA17:MC17,"B"))*3)+((COUNTIF('Elève (3ème5)'!MA17:MC17,"C"))*2)+((COUNTIF('Elève (3ème5)'!MA17:MC17,"D"))*1))/(COUNTA(MA17:MC17)),"")</f>
        <v>2</v>
      </c>
      <c r="ME17" s="162" t="str">
        <f t="shared" si="91"/>
        <v>C</v>
      </c>
      <c r="MF17" s="103" t="s">
        <v>29</v>
      </c>
      <c r="MG17" s="104"/>
      <c r="MH17" s="105"/>
      <c r="MI17" s="105"/>
      <c r="MJ17" s="161">
        <f>IFERROR((((COUNTIF('Elève (3ème5)'!MF17:MI17,"A"))*4)+((COUNTIF('Elève (3ème5)'!MF17:MI17,"B"))*3)+((COUNTIF('Elève (3ème5)'!MF17:MI17,"C"))*2)+((COUNTIF('Elève (3ème5)'!MF17:MI17,"D"))*1))/(COUNTA(MF17:MI17)),"")</f>
        <v>2</v>
      </c>
      <c r="MK17" s="162" t="str">
        <f t="shared" si="92"/>
        <v>C</v>
      </c>
      <c r="ML17" s="103" t="s">
        <v>29</v>
      </c>
      <c r="MM17" s="104" t="s">
        <v>30</v>
      </c>
      <c r="MN17" s="105"/>
      <c r="MO17" s="105"/>
      <c r="MP17" s="105"/>
      <c r="MQ17" s="109"/>
      <c r="MR17" s="161">
        <f>IFERROR((((COUNTIF('Elève (3ème5)'!ML17:MQ17,"A"))*4)+((COUNTIF('Elève (3ème5)'!ML17:MQ17,"B"))*3)+((COUNTIF('Elève (3ème5)'!ML17:MQ17,"C"))*2)+((COUNTIF('Elève (3ème5)'!ML17:MQ17,"D"))*1))/(COUNTA(ML17:MQ17)),"")</f>
        <v>1.5</v>
      </c>
      <c r="MS17" s="162" t="str">
        <f t="shared" si="93"/>
        <v>D</v>
      </c>
      <c r="MT17" s="161">
        <f>IF(COUNT(MD17,MJ17,MR17)=0,"",SUM(MD17,MJ17,MR17)/COUNT(MD17,MJ17,MR17))</f>
        <v>1.8333333333333333</v>
      </c>
      <c r="MU17" s="191" t="str">
        <f t="shared" si="94"/>
        <v>C</v>
      </c>
      <c r="MV17" s="103"/>
      <c r="MW17" s="104" t="s">
        <v>29</v>
      </c>
      <c r="MX17" s="105"/>
      <c r="MY17" s="161">
        <f>IFERROR((((COUNTIF('Elève (3ème5)'!MV17:MX17,"A"))*4)+((COUNTIF('Elève (3ème5)'!MV17:MX17,"B"))*3)+((COUNTIF('Elève (3ème5)'!MV17:MX17,"C"))*2)+((COUNTIF('Elève (3ème5)'!MV17:MX17,"D"))*1))/(COUNTA(MV17:MX17)),"")</f>
        <v>2</v>
      </c>
      <c r="MZ17" s="162" t="str">
        <f t="shared" si="95"/>
        <v>C</v>
      </c>
      <c r="NA17" s="103" t="s">
        <v>30</v>
      </c>
      <c r="NB17" s="104"/>
      <c r="NC17" s="105"/>
      <c r="ND17" s="105"/>
      <c r="NE17" s="161">
        <f>IFERROR((((COUNTIF('Elève (3ème5)'!NA17:ND17,"A"))*4)+((COUNTIF('Elève (3ème5)'!NA17:ND17,"B"))*3)+((COUNTIF('Elève (3ème5)'!NA17:ND17,"C"))*2)+((COUNTIF('Elève (3ème5)'!NA17:ND17,"D"))*1))/(COUNTA(NA17:ND17)),"")</f>
        <v>1</v>
      </c>
      <c r="NF17" s="162" t="str">
        <f t="shared" si="96"/>
        <v>D</v>
      </c>
      <c r="NG17" s="103" t="s">
        <v>29</v>
      </c>
      <c r="NH17" s="104" t="s">
        <v>30</v>
      </c>
      <c r="NI17" s="105"/>
      <c r="NJ17" s="105"/>
      <c r="NK17" s="105"/>
      <c r="NL17" s="109"/>
      <c r="NM17" s="161">
        <f>IFERROR((((COUNTIF('Elève (3ème5)'!NG17:NL17,"A"))*4)+((COUNTIF('Elève (3ème5)'!NG17:NL17,"B"))*3)+((COUNTIF('Elève (3ème5)'!NG17:NL17,"C"))*2)+((COUNTIF('Elève (3ème5)'!NG17:NL17,"D"))*1))/(COUNTA(NG17:NL17)),"")</f>
        <v>1.5</v>
      </c>
      <c r="NN17" s="162" t="str">
        <f t="shared" si="97"/>
        <v>D</v>
      </c>
      <c r="NO17" s="161">
        <f>IF(COUNT(MY17,NE17,NM17)=0,"",SUM(MY17,NE17,NM17)/COUNT(MY17,NE17,NM17))</f>
        <v>1.5</v>
      </c>
      <c r="NP17" s="191" t="str">
        <f t="shared" si="98"/>
        <v>D</v>
      </c>
      <c r="NQ17" s="103"/>
      <c r="NR17" s="104" t="s">
        <v>28</v>
      </c>
      <c r="NS17" s="105"/>
      <c r="NT17" s="161">
        <f>IFERROR((((COUNTIF('Elève (3ème5)'!NQ17:NS17,"A"))*4)+((COUNTIF('Elève (3ème5)'!NQ17:NS17,"B"))*3)+((COUNTIF('Elève (3ème5)'!NQ17:NS17,"C"))*2)+((COUNTIF('Elève (3ème5)'!NQ17:NS17,"D"))*1))/(COUNTA(NQ17:NS17)),"")</f>
        <v>3</v>
      </c>
      <c r="NU17" s="162" t="str">
        <f t="shared" si="99"/>
        <v>B</v>
      </c>
      <c r="NV17" s="103" t="s">
        <v>29</v>
      </c>
      <c r="NW17" s="104"/>
      <c r="NX17" s="105"/>
      <c r="NY17" s="105"/>
      <c r="NZ17" s="161">
        <f>IFERROR((((COUNTIF('Elève (3ème5)'!NV17:NY17,"A"))*4)+((COUNTIF('Elève (3ème5)'!NV17:NY17,"B"))*3)+((COUNTIF('Elève (3ème5)'!NV17:NY17,"C"))*2)+((COUNTIF('Elève (3ème5)'!NV17:NY17,"D"))*1))/(COUNTA(NV17:NY17)),"")</f>
        <v>2</v>
      </c>
      <c r="OA17" s="162" t="str">
        <f t="shared" si="100"/>
        <v>C</v>
      </c>
      <c r="OB17" s="103" t="s">
        <v>29</v>
      </c>
      <c r="OC17" s="104" t="s">
        <v>28</v>
      </c>
      <c r="OD17" s="105"/>
      <c r="OE17" s="105"/>
      <c r="OF17" s="105"/>
      <c r="OG17" s="109"/>
      <c r="OH17" s="161">
        <f>IFERROR((((COUNTIF('Elève (3ème5)'!OB17:OG17,"A"))*4)+((COUNTIF('Elève (3ème5)'!OB17:OG17,"B"))*3)+((COUNTIF('Elève (3ème5)'!OB17:OG17,"C"))*2)+((COUNTIF('Elève (3ème5)'!OB17:OG17,"D"))*1))/(COUNTA(OB17:OG17)),"")</f>
        <v>2.5</v>
      </c>
      <c r="OI17" s="162" t="str">
        <f t="shared" si="101"/>
        <v>C</v>
      </c>
      <c r="OJ17" s="161">
        <f>IF(COUNT(NT17,NZ17,OH17)=0,"",SUM(NT17,NZ17,OH17)/COUNT(NT17,NZ17,OH17))</f>
        <v>2.5</v>
      </c>
      <c r="OK17" s="191" t="str">
        <f t="shared" si="102"/>
        <v>C</v>
      </c>
      <c r="OL17" s="103"/>
      <c r="OM17" s="104" t="s">
        <v>29</v>
      </c>
      <c r="ON17" s="105"/>
      <c r="OO17" s="161">
        <f>IFERROR((((COUNTIF('Elève (3ème5)'!OL17:ON17,"A"))*4)+((COUNTIF('Elève (3ème5)'!OL17:ON17,"B"))*3)+((COUNTIF('Elève (3ème5)'!OL17:ON17,"C"))*2)+((COUNTIF('Elève (3ème5)'!OL17:ON17,"D"))*1))/(COUNTA(OL17:ON17)),"")</f>
        <v>2</v>
      </c>
      <c r="OP17" s="162" t="str">
        <f t="shared" si="103"/>
        <v>C</v>
      </c>
      <c r="OQ17" s="103" t="s">
        <v>30</v>
      </c>
      <c r="OR17" s="104"/>
      <c r="OS17" s="105"/>
      <c r="OT17" s="105"/>
      <c r="OU17" s="161">
        <f>IFERROR((((COUNTIF('Elève (3ème5)'!OQ17:OT17,"A"))*4)+((COUNTIF('Elève (3ème5)'!OQ17:OT17,"B"))*3)+((COUNTIF('Elève (3ème5)'!OQ17:OT17,"C"))*2)+((COUNTIF('Elève (3ème5)'!OQ17:OT17,"D"))*1))/(COUNTA(OQ17:OT17)),"")</f>
        <v>1</v>
      </c>
      <c r="OV17" s="162" t="str">
        <f t="shared" si="104"/>
        <v>D</v>
      </c>
      <c r="OW17" s="103" t="s">
        <v>29</v>
      </c>
      <c r="OX17" s="104" t="s">
        <v>27</v>
      </c>
      <c r="OY17" s="105"/>
      <c r="OZ17" s="105"/>
      <c r="PA17" s="105"/>
      <c r="PB17" s="109"/>
      <c r="PC17" s="161">
        <f>IFERROR((((COUNTIF('Elève (3ème5)'!OW17:PB17,"A"))*4)+((COUNTIF('Elève (3ème5)'!OW17:PB17,"B"))*3)+((COUNTIF('Elève (3ème5)'!OW17:PB17,"C"))*2)+((COUNTIF('Elève (3ème5)'!OW17:PB17,"D"))*1))/(COUNTA(OW17:PB17)),"")</f>
        <v>3</v>
      </c>
      <c r="PD17" s="162" t="str">
        <f t="shared" si="105"/>
        <v>B</v>
      </c>
      <c r="PE17" s="161">
        <f>IF(COUNT(OO17,OU17,PC17)=0,"",SUM(OO17,OU17,PC17)/COUNT(OO17,OU17,PC17))</f>
        <v>2</v>
      </c>
      <c r="PF17" s="191" t="str">
        <f t="shared" si="106"/>
        <v>C</v>
      </c>
      <c r="PG17" s="103"/>
      <c r="PH17" s="104" t="s">
        <v>29</v>
      </c>
      <c r="PI17" s="105"/>
      <c r="PJ17" s="161">
        <f>IFERROR((((COUNTIF('Elève (3ème5)'!PG17:PI17,"A"))*4)+((COUNTIF('Elève (3ème5)'!PG17:PI17,"B"))*3)+((COUNTIF('Elève (3ème5)'!PG17:PI17,"C"))*2)+((COUNTIF('Elève (3ème5)'!PG17:PI17,"D"))*1))/(COUNTA(PG17:PI17)),"")</f>
        <v>2</v>
      </c>
      <c r="PK17" s="162" t="str">
        <f t="shared" si="107"/>
        <v>C</v>
      </c>
      <c r="PL17" s="103" t="s">
        <v>30</v>
      </c>
      <c r="PM17" s="104"/>
      <c r="PN17" s="105"/>
      <c r="PO17" s="105"/>
      <c r="PP17" s="161">
        <f>IFERROR((((COUNTIF('Elève (3ème5)'!PL17:PO17,"A"))*4)+((COUNTIF('Elève (3ème5)'!PL17:PO17,"B"))*3)+((COUNTIF('Elève (3ème5)'!PL17:PO17,"C"))*2)+((COUNTIF('Elève (3ème5)'!PL17:PO17,"D"))*1))/(COUNTA(PL17:PO17)),"")</f>
        <v>1</v>
      </c>
      <c r="PQ17" s="162" t="str">
        <f t="shared" si="108"/>
        <v>D</v>
      </c>
      <c r="PR17" s="103" t="s">
        <v>29</v>
      </c>
      <c r="PS17" s="104" t="s">
        <v>28</v>
      </c>
      <c r="PT17" s="105"/>
      <c r="PU17" s="105"/>
      <c r="PV17" s="105"/>
      <c r="PW17" s="109"/>
      <c r="PX17" s="161">
        <f>IFERROR((((COUNTIF('Elève (3ème5)'!PR17:PW17,"A"))*4)+((COUNTIF('Elève (3ème5)'!PR17:PW17,"B"))*3)+((COUNTIF('Elève (3ème5)'!PR17:PW17,"C"))*2)+((COUNTIF('Elève (3ème5)'!PR17:PW17,"D"))*1))/(COUNTA(PR17:PW17)),"")</f>
        <v>2.5</v>
      </c>
      <c r="PY17" s="162" t="str">
        <f t="shared" si="109"/>
        <v>C</v>
      </c>
      <c r="PZ17" s="161">
        <f>IF(COUNT(PJ17,PP17,PX17)=0,"",SUM(PJ17,PP17,PX17)/COUNT(PJ17,PP17,PX17))</f>
        <v>1.8333333333333333</v>
      </c>
      <c r="QA17" s="191" t="str">
        <f t="shared" si="110"/>
        <v>C</v>
      </c>
      <c r="QB17" s="103"/>
      <c r="QC17" s="104" t="s">
        <v>28</v>
      </c>
      <c r="QD17" s="105"/>
      <c r="QE17" s="161">
        <f>IFERROR((((COUNTIF('Elève (3ème5)'!QB17:QD17,"A"))*4)+((COUNTIF('Elève (3ème5)'!QB17:QD17,"B"))*3)+((COUNTIF('Elève (3ème5)'!QB17:QD17,"C"))*2)+((COUNTIF('Elève (3ème5)'!QB17:QD17,"D"))*1))/(COUNTA(QB17:QD17)),"")</f>
        <v>3</v>
      </c>
      <c r="QF17" s="162" t="str">
        <f t="shared" si="111"/>
        <v>B</v>
      </c>
      <c r="QG17" s="103"/>
      <c r="QH17" s="104"/>
      <c r="QI17" s="105"/>
      <c r="QJ17" s="105"/>
      <c r="QK17" s="161" t="str">
        <f>IFERROR((((COUNTIF('Elève (3ème5)'!QG17:QJ17,"A"))*4)+((COUNTIF('Elève (3ème5)'!QG17:QJ17,"B"))*3)+((COUNTIF('Elève (3ème5)'!QG17:QJ17,"C"))*2)+((COUNTIF('Elève (3ème5)'!QG17:QJ17,"D"))*1))/(COUNTA(QG17:QJ17)),"")</f>
        <v/>
      </c>
      <c r="QL17" s="162" t="str">
        <f t="shared" si="112"/>
        <v/>
      </c>
      <c r="QM17" s="103" t="s">
        <v>28</v>
      </c>
      <c r="QN17" s="104" t="s">
        <v>27</v>
      </c>
      <c r="QO17" s="105"/>
      <c r="QP17" s="105"/>
      <c r="QQ17" s="105"/>
      <c r="QR17" s="109"/>
      <c r="QS17" s="161">
        <f>IFERROR((((COUNTIF('Elève (3ème5)'!QM17:QR17,"A"))*4)+((COUNTIF('Elève (3ème5)'!QM17:QR17,"B"))*3)+((COUNTIF('Elève (3ème5)'!QM17:QR17,"C"))*2)+((COUNTIF('Elève (3ème5)'!QM17:QR17,"D"))*1))/(COUNTA(QM17:QR17)),"")</f>
        <v>3.5</v>
      </c>
      <c r="QT17" s="162" t="str">
        <f t="shared" si="113"/>
        <v>B</v>
      </c>
      <c r="QU17" s="161">
        <f>IF(COUNT(QE17,QK17,QS17)=0,"",SUM(QE17,QK17,QS17)/COUNT(QE17,QK17,QS17))</f>
        <v>3.25</v>
      </c>
      <c r="QV17" s="191" t="str">
        <f t="shared" si="114"/>
        <v>B</v>
      </c>
      <c r="QW17" s="103"/>
      <c r="QX17" s="104" t="s">
        <v>28</v>
      </c>
      <c r="QY17" s="105"/>
      <c r="QZ17" s="161">
        <f>IFERROR((((COUNTIF('Elève (3ème5)'!QW17:QY17,"A"))*4)+((COUNTIF('Elève (3ème5)'!QW17:QY17,"B"))*3)+((COUNTIF('Elève (3ème5)'!QW17:QY17,"C"))*2)+((COUNTIF('Elève (3ème5)'!QW17:QY17,"D"))*1))/(COUNTA(QW17:QY17)),"")</f>
        <v>3</v>
      </c>
      <c r="RA17" s="162" t="str">
        <f t="shared" si="115"/>
        <v>B</v>
      </c>
      <c r="RB17" s="103" t="s">
        <v>29</v>
      </c>
      <c r="RC17" s="104"/>
      <c r="RD17" s="105"/>
      <c r="RE17" s="105"/>
      <c r="RF17" s="161">
        <f>IFERROR((((COUNTIF('Elève (3ème5)'!RB17:RE17,"A"))*4)+((COUNTIF('Elève (3ème5)'!RB17:RE17,"B"))*3)+((COUNTIF('Elève (3ème5)'!RB17:RE17,"C"))*2)+((COUNTIF('Elève (3ème5)'!RB17:RE17,"D"))*1))/(COUNTA(RB17:RE17)),"")</f>
        <v>2</v>
      </c>
      <c r="RG17" s="162" t="str">
        <f t="shared" si="116"/>
        <v>C</v>
      </c>
      <c r="RH17" s="103" t="s">
        <v>29</v>
      </c>
      <c r="RI17" s="104" t="s">
        <v>29</v>
      </c>
      <c r="RJ17" s="105"/>
      <c r="RK17" s="105"/>
      <c r="RL17" s="105"/>
      <c r="RM17" s="109"/>
      <c r="RN17" s="161">
        <f>IFERROR((((COUNTIF('Elève (3ème5)'!RH17:RM17,"A"))*4)+((COUNTIF('Elève (3ème5)'!RH17:RM17,"B"))*3)+((COUNTIF('Elève (3ème5)'!RH17:RM17,"C"))*2)+((COUNTIF('Elève (3ème5)'!RH17:RM17,"D"))*1))/(COUNTA(RH17:RM17)),"")</f>
        <v>2</v>
      </c>
      <c r="RO17" s="162" t="str">
        <f t="shared" si="117"/>
        <v>C</v>
      </c>
      <c r="RP17" s="161">
        <f>IF(COUNT(QZ17,RF17,RN17)=0,"",SUM(QZ17,RF17,RN17)/COUNT(QZ17,RF17,RN17))</f>
        <v>2.3333333333333335</v>
      </c>
      <c r="RQ17" s="191" t="str">
        <f t="shared" si="118"/>
        <v>C</v>
      </c>
      <c r="RR17" s="103"/>
      <c r="RS17" s="104" t="s">
        <v>28</v>
      </c>
      <c r="RT17" s="105"/>
      <c r="RU17" s="161">
        <f>IFERROR((((COUNTIF('Elève (3ème5)'!RR17:RT17,"A"))*4)+((COUNTIF('Elève (3ème5)'!RR17:RT17,"B"))*3)+((COUNTIF('Elève (3ème5)'!RR17:RT17,"C"))*2)+((COUNTIF('Elève (3ème5)'!RR17:RT17,"D"))*1))/(COUNTA(RR17:RT17)),"")</f>
        <v>3</v>
      </c>
      <c r="RV17" s="162" t="str">
        <f t="shared" si="119"/>
        <v>B</v>
      </c>
      <c r="RW17" s="103" t="s">
        <v>29</v>
      </c>
      <c r="RX17" s="104"/>
      <c r="RY17" s="105"/>
      <c r="RZ17" s="105"/>
      <c r="SA17" s="161">
        <f>IFERROR((((COUNTIF('Elève (3ème5)'!RW17:RZ17,"A"))*4)+((COUNTIF('Elève (3ème5)'!RW17:RZ17,"B"))*3)+((COUNTIF('Elève (3ème5)'!RW17:RZ17,"C"))*2)+((COUNTIF('Elève (3ème5)'!RW17:RZ17,"D"))*1))/(COUNTA(RW17:RZ17)),"")</f>
        <v>2</v>
      </c>
      <c r="SB17" s="162" t="str">
        <f t="shared" si="120"/>
        <v>C</v>
      </c>
      <c r="SC17" s="103" t="s">
        <v>29</v>
      </c>
      <c r="SD17" s="104" t="s">
        <v>30</v>
      </c>
      <c r="SE17" s="105"/>
      <c r="SF17" s="105"/>
      <c r="SG17" s="105"/>
      <c r="SH17" s="109"/>
      <c r="SI17" s="161">
        <f>IFERROR((((COUNTIF('Elève (3ème5)'!SC17:SH17,"A"))*4)+((COUNTIF('Elève (3ème5)'!SC17:SH17,"B"))*3)+((COUNTIF('Elève (3ème5)'!SC17:SH17,"C"))*2)+((COUNTIF('Elève (3ème5)'!SC17:SH17,"D"))*1))/(COUNTA(SC17:SH17)),"")</f>
        <v>1.5</v>
      </c>
      <c r="SJ17" s="162" t="str">
        <f t="shared" si="121"/>
        <v>D</v>
      </c>
      <c r="SK17" s="161">
        <f>IF(COUNT(RU17,SA17,SI17)=0,"",SUM(RU17,SA17,SI17)/COUNT(RU17,SA17,SI17))</f>
        <v>2.1666666666666665</v>
      </c>
      <c r="SL17" s="191" t="str">
        <f t="shared" si="122"/>
        <v>C</v>
      </c>
      <c r="SM17" s="103"/>
      <c r="SN17" s="104" t="s">
        <v>28</v>
      </c>
      <c r="SO17" s="105"/>
      <c r="SP17" s="161">
        <f>IFERROR((((COUNTIF('Elève (3ème5)'!SM17:SO17,"A"))*4)+((COUNTIF('Elève (3ème5)'!SM17:SO17,"B"))*3)+((COUNTIF('Elève (3ème5)'!SM17:SO17,"C"))*2)+((COUNTIF('Elève (3ème5)'!SM17:SO17,"D"))*1))/(COUNTA(SM17:SO17)),"")</f>
        <v>3</v>
      </c>
      <c r="SQ17" s="162" t="str">
        <f t="shared" si="123"/>
        <v>B</v>
      </c>
      <c r="SR17" s="103" t="s">
        <v>30</v>
      </c>
      <c r="SS17" s="104"/>
      <c r="ST17" s="105"/>
      <c r="SU17" s="105"/>
      <c r="SV17" s="161">
        <f>IFERROR((((COUNTIF('Elève (3ème5)'!SR17:SU17,"A"))*4)+((COUNTIF('Elève (3ème5)'!SR17:SU17,"B"))*3)+((COUNTIF('Elève (3ème5)'!SR17:SU17,"C"))*2)+((COUNTIF('Elève (3ème5)'!SR17:SU17,"D"))*1))/(COUNTA(SR17:SU17)),"")</f>
        <v>1</v>
      </c>
      <c r="SW17" s="162" t="str">
        <f t="shared" si="124"/>
        <v>D</v>
      </c>
      <c r="SX17" s="103" t="s">
        <v>29</v>
      </c>
      <c r="SY17" s="104" t="s">
        <v>28</v>
      </c>
      <c r="SZ17" s="105"/>
      <c r="TA17" s="105"/>
      <c r="TB17" s="105"/>
      <c r="TC17" s="109"/>
      <c r="TD17" s="161">
        <f>IFERROR((((COUNTIF('Elève (3ème5)'!SX17:TC17,"A"))*4)+((COUNTIF('Elève (3ème5)'!SX17:TC17,"B"))*3)+((COUNTIF('Elève (3ème5)'!SX17:TC17,"C"))*2)+((COUNTIF('Elève (3ème5)'!SX17:TC17,"D"))*1))/(COUNTA(SX17:TC17)),"")</f>
        <v>2.5</v>
      </c>
      <c r="TE17" s="162" t="str">
        <f t="shared" si="125"/>
        <v>C</v>
      </c>
      <c r="TF17" s="161">
        <f>IF(COUNT(SP17,SV17,TD17)=0,"",SUM(SP17,SV17,TD17)/COUNT(SP17,SV17,TD17))</f>
        <v>2.1666666666666665</v>
      </c>
      <c r="TG17" s="191" t="str">
        <f t="shared" si="126"/>
        <v>C</v>
      </c>
      <c r="TH17" s="103"/>
      <c r="TI17" s="104" t="s">
        <v>29</v>
      </c>
      <c r="TJ17" s="105"/>
      <c r="TK17" s="161">
        <f>IFERROR((((COUNTIF('Elève (3ème5)'!TH17:TJ17,"A"))*4)+((COUNTIF('Elève (3ème5)'!TH17:TJ17,"B"))*3)+((COUNTIF('Elève (3ème5)'!TH17:TJ17,"C"))*2)+((COUNTIF('Elève (3ème5)'!TH17:TJ17,"D"))*1))/(COUNTA(TH17:TJ17)),"")</f>
        <v>2</v>
      </c>
      <c r="TL17" s="162" t="str">
        <f t="shared" si="127"/>
        <v>C</v>
      </c>
      <c r="TM17" s="103" t="s">
        <v>30</v>
      </c>
      <c r="TN17" s="104"/>
      <c r="TO17" s="105"/>
      <c r="TP17" s="105"/>
      <c r="TQ17" s="161">
        <f>IFERROR((((COUNTIF('Elève (3ème5)'!TM17:TP17,"A"))*4)+((COUNTIF('Elève (3ème5)'!TM17:TP17,"B"))*3)+((COUNTIF('Elève (3ème5)'!TM17:TP17,"C"))*2)+((COUNTIF('Elève (3ème5)'!TM17:TP17,"D"))*1))/(COUNTA(TM17:TP17)),"")</f>
        <v>1</v>
      </c>
      <c r="TR17" s="162" t="str">
        <f t="shared" si="128"/>
        <v>D</v>
      </c>
      <c r="TS17" s="103" t="s">
        <v>29</v>
      </c>
      <c r="TT17" s="104" t="s">
        <v>29</v>
      </c>
      <c r="TU17" s="105"/>
      <c r="TV17" s="105"/>
      <c r="TW17" s="105"/>
      <c r="TX17" s="109"/>
      <c r="TY17" s="161">
        <f>IFERROR((((COUNTIF('Elève (3ème5)'!TS17:TX17,"A"))*4)+((COUNTIF('Elève (3ème5)'!TS17:TX17,"B"))*3)+((COUNTIF('Elève (3ème5)'!TS17:TX17,"C"))*2)+((COUNTIF('Elève (3ème5)'!TS17:TX17,"D"))*1))/(COUNTA(TS17:TX17)),"")</f>
        <v>2</v>
      </c>
      <c r="TZ17" s="162" t="str">
        <f t="shared" si="129"/>
        <v>C</v>
      </c>
      <c r="UA17" s="161">
        <f>IF(COUNT(TK17,TQ17,TY17)=0,"",SUM(TK17,TQ17,TY17)/COUNT(TK17,TQ17,TY17))</f>
        <v>1.6666666666666667</v>
      </c>
      <c r="UB17" s="191" t="str">
        <f t="shared" si="130"/>
        <v>C</v>
      </c>
      <c r="UC17" s="103"/>
      <c r="UD17" s="104" t="s">
        <v>28</v>
      </c>
      <c r="UE17" s="105"/>
      <c r="UF17" s="161">
        <f>IFERROR((((COUNTIF('Elève (3ème5)'!UC17:UE17,"A"))*4)+((COUNTIF('Elève (3ème5)'!UC17:UE17,"B"))*3)+((COUNTIF('Elève (3ème5)'!UC17:UE17,"C"))*2)+((COUNTIF('Elève (3ème5)'!UC17:UE17,"D"))*1))/(COUNTA(UC17:UE17)),"")</f>
        <v>3</v>
      </c>
      <c r="UG17" s="162" t="str">
        <f t="shared" si="131"/>
        <v>B</v>
      </c>
      <c r="UH17" s="103" t="s">
        <v>29</v>
      </c>
      <c r="UI17" s="104"/>
      <c r="UJ17" s="105"/>
      <c r="UK17" s="105"/>
      <c r="UL17" s="161">
        <f>IFERROR((((COUNTIF('Elève (3ème5)'!UH17:UK17,"A"))*4)+((COUNTIF('Elève (3ème5)'!UH17:UK17,"B"))*3)+((COUNTIF('Elève (3ème5)'!UH17:UK17,"C"))*2)+((COUNTIF('Elève (3ème5)'!UH17:UK17,"D"))*1))/(COUNTA(UH17:UK17)),"")</f>
        <v>2</v>
      </c>
      <c r="UM17" s="162" t="str">
        <f t="shared" si="132"/>
        <v>C</v>
      </c>
      <c r="UN17" s="103" t="s">
        <v>29</v>
      </c>
      <c r="UO17" s="104" t="s">
        <v>27</v>
      </c>
      <c r="UP17" s="105"/>
      <c r="UQ17" s="105"/>
      <c r="UR17" s="105"/>
      <c r="US17" s="109"/>
      <c r="UT17" s="161">
        <f>IFERROR((((COUNTIF('Elève (3ème5)'!UN17:US17,"A"))*4)+((COUNTIF('Elève (3ème5)'!UN17:US17,"B"))*3)+((COUNTIF('Elève (3ème5)'!UN17:US17,"C"))*2)+((COUNTIF('Elève (3ème5)'!UN17:US17,"D"))*1))/(COUNTA(UN17:US17)),"")</f>
        <v>3</v>
      </c>
      <c r="UU17" s="162" t="str">
        <f t="shared" si="133"/>
        <v>B</v>
      </c>
      <c r="UV17" s="161">
        <f>IF(COUNT(UF17,UL17,UT17)=0,"",SUM(UF17,UL17,UT17)/COUNT(UF17,UL17,UT17))</f>
        <v>2.6666666666666665</v>
      </c>
      <c r="UW17" s="191" t="str">
        <f t="shared" si="134"/>
        <v>C</v>
      </c>
      <c r="UX17" s="103"/>
      <c r="UY17" s="104" t="s">
        <v>27</v>
      </c>
      <c r="UZ17" s="105"/>
      <c r="VA17" s="161">
        <f>IFERROR((((COUNTIF('Elève (3ème5)'!UX17:UZ17,"A"))*4)+((COUNTIF('Elève (3ème5)'!UX17:UZ17,"B"))*3)+((COUNTIF('Elève (3ème5)'!UX17:UZ17,"C"))*2)+((COUNTIF('Elève (3ème5)'!UX17:UZ17,"D"))*1))/(COUNTA(UX17:UZ17)),"")</f>
        <v>4</v>
      </c>
      <c r="VB17" s="162" t="str">
        <f t="shared" si="135"/>
        <v>A</v>
      </c>
      <c r="VC17" s="103" t="s">
        <v>28</v>
      </c>
      <c r="VD17" s="104"/>
      <c r="VE17" s="105"/>
      <c r="VF17" s="105"/>
      <c r="VG17" s="161">
        <f>IFERROR((((COUNTIF('Elève (3ème5)'!VC17:VF17,"A"))*4)+((COUNTIF('Elève (3ème5)'!VC17:VF17,"B"))*3)+((COUNTIF('Elève (3ème5)'!VC17:VF17,"C"))*2)+((COUNTIF('Elève (3ème5)'!VC17:VF17,"D"))*1))/(COUNTA(VC17:VF17)),"")</f>
        <v>3</v>
      </c>
      <c r="VH17" s="162" t="str">
        <f t="shared" si="136"/>
        <v>B</v>
      </c>
      <c r="VI17" s="103" t="s">
        <v>29</v>
      </c>
      <c r="VJ17" s="104" t="s">
        <v>27</v>
      </c>
      <c r="VK17" s="105"/>
      <c r="VL17" s="105"/>
      <c r="VM17" s="105"/>
      <c r="VN17" s="109"/>
      <c r="VO17" s="161">
        <f>IFERROR((((COUNTIF('Elève (3ème5)'!VI17:VN17,"A"))*4)+((COUNTIF('Elève (3ème5)'!VI17:VN17,"B"))*3)+((COUNTIF('Elève (3ème5)'!VI17:VN17,"C"))*2)+((COUNTIF('Elève (3ème5)'!VI17:VN17,"D"))*1))/(COUNTA(VI17:VN17)),"")</f>
        <v>3</v>
      </c>
      <c r="VP17" s="162" t="str">
        <f t="shared" si="137"/>
        <v>B</v>
      </c>
      <c r="VQ17" s="161">
        <f>IF(COUNT(VA17,VG17,VO17)=0,"",SUM(VA17,VG17,VO17)/COUNT(VA17,VG17,VO17))</f>
        <v>3.3333333333333335</v>
      </c>
      <c r="VR17" s="191" t="str">
        <f t="shared" si="138"/>
        <v>B</v>
      </c>
      <c r="VS17" s="103"/>
      <c r="VT17" s="104"/>
      <c r="VU17" s="105"/>
      <c r="VV17" s="99" t="str">
        <f>IFERROR((((COUNTIF('Elève (3ème5)'!VS17:VU17,"A"))*4)+((COUNTIF('Elève (3ème5)'!VS17:VU17,"B"))*3)+((COUNTIF('Elève (3ème5)'!VS17:VU17,"C"))*2)+((COUNTIF('Elève (3ème5)'!VS17:VU17,"D"))*1))/(COUNTA(VS17:VU17)),"")</f>
        <v/>
      </c>
      <c r="VW17" s="100" t="str">
        <f t="shared" si="139"/>
        <v/>
      </c>
      <c r="VX17" s="103"/>
      <c r="VY17" s="104"/>
      <c r="VZ17" s="105"/>
      <c r="WA17" s="99" t="str">
        <f>IFERROR((((COUNTIF('Elève (3ème5)'!VX17:VZ17,"A"))*4)+((COUNTIF('Elève (3ème5)'!VX17:VZ17,"B"))*3)+((COUNTIF('Elève (3ème5)'!VX17:VZ17,"C"))*2)+((COUNTIF('Elève (3ème5)'!VX17:VZ17,"D"))*1))/(COUNTA(VX17:VZ17)),"")</f>
        <v/>
      </c>
      <c r="WB17" s="100" t="str">
        <f t="shared" si="140"/>
        <v/>
      </c>
      <c r="WC17" s="103"/>
      <c r="WD17" s="104"/>
      <c r="WE17" s="109"/>
      <c r="WF17" s="99" t="str">
        <f>IFERROR((((COUNTIF('Elève (3ème5)'!WC17:WE17,"A"))*4)+((COUNTIF('Elève (3ème5)'!WC17:WE17,"B"))*3)+((COUNTIF('Elève (3ème5)'!WC17:WE17,"C"))*2)+((COUNTIF('Elève (3ème5)'!WC17:WE17,"D"))*1))/(COUNTA(WC17:WE17)),"")</f>
        <v/>
      </c>
      <c r="WG17" s="100" t="str">
        <f t="shared" si="141"/>
        <v/>
      </c>
      <c r="WH17" s="99" t="str">
        <f>IF(COUNT(VV17,WA17,WF17)=0,"",SUM(VV17,WA17,WF17)/COUNT(VV17,WA17,WF17))</f>
        <v/>
      </c>
      <c r="WI17" s="123" t="str">
        <f t="shared" si="142"/>
        <v/>
      </c>
      <c r="WJ17" s="103"/>
      <c r="WK17" s="104"/>
      <c r="WL17" s="105"/>
      <c r="WM17" s="99" t="str">
        <f>IFERROR((((COUNTIF('Elève (3ème5)'!WJ17:WL17,"A"))*4)+((COUNTIF('Elève (3ème5)'!WJ17:WL17,"B"))*3)+((COUNTIF('Elève (3ème5)'!WJ17:WL17,"C"))*2)+((COUNTIF('Elève (3ème5)'!WJ17:WL17,"D"))*1))/(COUNTA(WJ17:WL17)),"")</f>
        <v/>
      </c>
      <c r="WN17" s="100" t="str">
        <f t="shared" si="143"/>
        <v/>
      </c>
      <c r="WO17" s="103"/>
      <c r="WP17" s="104"/>
      <c r="WQ17" s="105"/>
      <c r="WR17" s="99" t="str">
        <f>IFERROR((((COUNTIF('Elève (3ème5)'!WO17:WQ17,"A"))*4)+((COUNTIF('Elève (3ème5)'!WO17:WQ17,"B"))*3)+((COUNTIF('Elève (3ème5)'!WO17:WQ17,"C"))*2)+((COUNTIF('Elève (3ème5)'!WO17:WQ17,"D"))*1))/(COUNTA(WO17:WQ17)),"")</f>
        <v/>
      </c>
      <c r="WS17" s="100" t="str">
        <f t="shared" si="144"/>
        <v/>
      </c>
      <c r="WT17" s="103"/>
      <c r="WU17" s="104"/>
      <c r="WV17" s="109"/>
      <c r="WW17" s="99" t="str">
        <f>IFERROR((((COUNTIF('Elève (3ème5)'!WT17:WV17,"A"))*4)+((COUNTIF('Elève (3ème5)'!WT17:WV17,"B"))*3)+((COUNTIF('Elève (3ème5)'!WT17:WV17,"C"))*2)+((COUNTIF('Elève (3ème5)'!WT17:WV17,"D"))*1))/(COUNTA(WT17:WV17)),"")</f>
        <v/>
      </c>
      <c r="WX17" s="100" t="str">
        <f t="shared" si="145"/>
        <v/>
      </c>
      <c r="WY17" s="99" t="str">
        <f>IF(COUNT(WM17,WR17,WW17)=0,"",SUM(WM17,WR17,WW17)/COUNT(WM17,WR17,WW17))</f>
        <v/>
      </c>
      <c r="WZ17" s="123" t="str">
        <f t="shared" si="146"/>
        <v/>
      </c>
    </row>
    <row r="18" spans="1:624" ht="18" customHeight="1" x14ac:dyDescent="0.55000000000000004">
      <c r="A18" s="221" t="s">
        <v>22</v>
      </c>
      <c r="B18" s="222"/>
      <c r="C18" s="103"/>
      <c r="D18" s="104"/>
      <c r="E18" s="105"/>
      <c r="F18" s="163" t="str">
        <f>IFERROR((((COUNTIF('Elève (3ème5)'!C18:E18,"A"))*4)+((COUNTIF('Elève (3ème5)'!C18:E18,"B"))*3)+((COUNTIF('Elève (3ème5)'!C18:E18,"C"))*2)+((COUNTIF('Elève (3ème5)'!C18:E18,"D"))*1))/(COUNTA(C18:E18)),"")</f>
        <v/>
      </c>
      <c r="G18" s="164" t="str">
        <f t="shared" si="27"/>
        <v/>
      </c>
      <c r="H18" s="103"/>
      <c r="I18" s="104"/>
      <c r="J18" s="105"/>
      <c r="K18" s="105"/>
      <c r="L18" s="163" t="str">
        <f>IFERROR((((COUNTIF('Elève (3ème5)'!H18:K18,"A"))*4)+((COUNTIF('Elève (3ème5)'!H18:K18,"B"))*3)+((COUNTIF('Elève (3ème5)'!H18:K18,"C"))*2)+((COUNTIF('Elève (3ème5)'!H18:K18,"D"))*1))/(COUNTA(H18:K18)),"")</f>
        <v/>
      </c>
      <c r="M18" s="164" t="str">
        <f t="shared" si="28"/>
        <v/>
      </c>
      <c r="N18" s="103"/>
      <c r="O18" s="104"/>
      <c r="P18" s="105"/>
      <c r="Q18" s="105"/>
      <c r="R18" s="105"/>
      <c r="S18" s="105"/>
      <c r="T18" s="163" t="str">
        <f>IFERROR((((COUNTIF('Elève (3ème5)'!N18:S18,"A"))*4)+((COUNTIF('Elève (3ème5)'!N18:S18,"B"))*3)+((COUNTIF('Elève (3ème5)'!N18:S18,"C"))*2)+((COUNTIF('Elève (3ème5)'!N18:S18,"D"))*1))/(COUNTA(N18:S18)),"")</f>
        <v/>
      </c>
      <c r="U18" s="164" t="str">
        <f t="shared" si="29"/>
        <v/>
      </c>
      <c r="V18" s="163" t="str">
        <f>IF(COUNT(F18,L18,T18)=0,"",SUM(F18,L18,T18)/COUNT(F18,L18,T18))</f>
        <v/>
      </c>
      <c r="W18" s="187" t="str">
        <f t="shared" si="30"/>
        <v/>
      </c>
      <c r="X18" s="103"/>
      <c r="Y18" s="104"/>
      <c r="Z18" s="105"/>
      <c r="AA18" s="163" t="str">
        <f>IFERROR((((COUNTIF('Elève (3ème5)'!X18:Z18,"A"))*4)+((COUNTIF('Elève (3ème5)'!X18:Z18,"B"))*3)+((COUNTIF('Elève (3ème5)'!X18:Z18,"C"))*2)+((COUNTIF('Elève (3ème5)'!X18:Z18,"D"))*1))/(COUNTA(X18:Z18)),"")</f>
        <v/>
      </c>
      <c r="AB18" s="164" t="str">
        <f t="shared" si="31"/>
        <v/>
      </c>
      <c r="AC18" s="103"/>
      <c r="AD18" s="104"/>
      <c r="AE18" s="105"/>
      <c r="AF18" s="105"/>
      <c r="AG18" s="163" t="str">
        <f>IFERROR((((COUNTIF('Elève (3ème5)'!AC18:AF18,"A"))*4)+((COUNTIF('Elève (3ème5)'!AC18:AF18,"B"))*3)+((COUNTIF('Elève (3ème5)'!AC18:AF18,"C"))*2)+((COUNTIF('Elève (3ème5)'!AC18:AF18,"D"))*1))/(COUNTA(AC18:AF18)),"")</f>
        <v/>
      </c>
      <c r="AH18" s="164" t="str">
        <f t="shared" si="32"/>
        <v/>
      </c>
      <c r="AI18" s="103"/>
      <c r="AJ18" s="104"/>
      <c r="AK18" s="105"/>
      <c r="AL18" s="105"/>
      <c r="AM18" s="105"/>
      <c r="AN18" s="109"/>
      <c r="AO18" s="163" t="str">
        <f>IFERROR((((COUNTIF('Elève (3ème5)'!AI18:AN18,"A"))*4)+((COUNTIF('Elève (3ème5)'!AI18:AN18,"B"))*3)+((COUNTIF('Elève (3ème5)'!AI18:AN18,"C"))*2)+((COUNTIF('Elève (3ème5)'!AI18:AN18,"D"))*1))/(COUNTA(AI18:AN18)),"")</f>
        <v/>
      </c>
      <c r="AP18" s="164" t="str">
        <f t="shared" si="33"/>
        <v/>
      </c>
      <c r="AQ18" s="163" t="str">
        <f>IF(COUNT(AA18,AG18,AO18)=0,"",SUM(AA18,AG18,AO18)/COUNT(AA18,AG18,AO18))</f>
        <v/>
      </c>
      <c r="AR18" s="187" t="str">
        <f t="shared" si="34"/>
        <v/>
      </c>
      <c r="AS18" s="103"/>
      <c r="AT18" s="104"/>
      <c r="AU18" s="105"/>
      <c r="AV18" s="163" t="str">
        <f>IFERROR((((COUNTIF('Elève (3ème5)'!AS18:AU18,"A"))*4)+((COUNTIF('Elève (3ème5)'!AS18:AU18,"B"))*3)+((COUNTIF('Elève (3ème5)'!AS18:AU18,"C"))*2)+((COUNTIF('Elève (3ème5)'!AS18:AU18,"D"))*1))/(COUNTA(AS18:AU18)),"")</f>
        <v/>
      </c>
      <c r="AW18" s="164" t="str">
        <f t="shared" si="35"/>
        <v/>
      </c>
      <c r="AX18" s="103"/>
      <c r="AY18" s="104"/>
      <c r="AZ18" s="105"/>
      <c r="BA18" s="105"/>
      <c r="BB18" s="163" t="str">
        <f>IFERROR((((COUNTIF('Elève (3ème5)'!AX18:BA18,"A"))*4)+((COUNTIF('Elève (3ème5)'!AX18:BA18,"B"))*3)+((COUNTIF('Elève (3ème5)'!AX18:BA18,"C"))*2)+((COUNTIF('Elève (3ème5)'!AX18:BA18,"D"))*1))/(COUNTA(AX18:BA18)),"")</f>
        <v/>
      </c>
      <c r="BC18" s="164" t="str">
        <f t="shared" si="36"/>
        <v/>
      </c>
      <c r="BD18" s="103"/>
      <c r="BE18" s="104"/>
      <c r="BF18" s="105"/>
      <c r="BG18" s="105"/>
      <c r="BH18" s="105"/>
      <c r="BI18" s="109"/>
      <c r="BJ18" s="163" t="str">
        <f>IFERROR((((COUNTIF('Elève (3ème5)'!BD18:BI18,"A"))*4)+((COUNTIF('Elève (3ème5)'!BD18:BI18,"B"))*3)+((COUNTIF('Elève (3ème5)'!BD18:BI18,"C"))*2)+((COUNTIF('Elève (3ème5)'!BD18:BI18,"D"))*1))/(COUNTA(BD18:BI18)),"")</f>
        <v/>
      </c>
      <c r="BK18" s="164" t="str">
        <f t="shared" si="37"/>
        <v/>
      </c>
      <c r="BL18" s="163" t="str">
        <f>IF(COUNT(AV18,BB18,BJ18)=0,"",SUM(AV18,BB18,BJ18)/COUNT(AV18,BB18,BJ18))</f>
        <v/>
      </c>
      <c r="BM18" s="187" t="str">
        <f t="shared" si="38"/>
        <v/>
      </c>
      <c r="BN18" s="103"/>
      <c r="BO18" s="104"/>
      <c r="BP18" s="105"/>
      <c r="BQ18" s="163" t="str">
        <f>IFERROR((((COUNTIF('Elève (3ème5)'!BN18:BP18,"A"))*4)+((COUNTIF('Elève (3ème5)'!BN18:BP18,"B"))*3)+((COUNTIF('Elève (3ème5)'!BN18:BP18,"C"))*2)+((COUNTIF('Elève (3ème5)'!BN18:BP18,"D"))*1))/(COUNTA(BN18:BP18)),"")</f>
        <v/>
      </c>
      <c r="BR18" s="164" t="str">
        <f t="shared" si="39"/>
        <v/>
      </c>
      <c r="BS18" s="103"/>
      <c r="BT18" s="104"/>
      <c r="BU18" s="105"/>
      <c r="BV18" s="105"/>
      <c r="BW18" s="163" t="str">
        <f>IFERROR((((COUNTIF('Elève (3ème5)'!BS18:BV18,"A"))*4)+((COUNTIF('Elève (3ème5)'!BS18:BV18,"B"))*3)+((COUNTIF('Elève (3ème5)'!BS18:BV18,"C"))*2)+((COUNTIF('Elève (3ème5)'!BS18:BV18,"D"))*1))/(COUNTA(BS18:BV18)),"")</f>
        <v/>
      </c>
      <c r="BX18" s="164" t="str">
        <f t="shared" si="40"/>
        <v/>
      </c>
      <c r="BY18" s="103"/>
      <c r="BZ18" s="104"/>
      <c r="CA18" s="105"/>
      <c r="CB18" s="105"/>
      <c r="CC18" s="105"/>
      <c r="CD18" s="109"/>
      <c r="CE18" s="163" t="str">
        <f>IFERROR((((COUNTIF('Elève (3ème5)'!BY18:CD18,"A"))*4)+((COUNTIF('Elève (3ème5)'!BY18:CD18,"B"))*3)+((COUNTIF('Elève (3ème5)'!BY18:CD18,"C"))*2)+((COUNTIF('Elève (3ème5)'!BY18:CD18,"D"))*1))/(COUNTA(BY18:CD18)),"")</f>
        <v/>
      </c>
      <c r="CF18" s="164" t="str">
        <f t="shared" si="41"/>
        <v/>
      </c>
      <c r="CG18" s="163" t="str">
        <f>IF(COUNT(BQ18,BW18,CE18)=0,"",SUM(BQ18,BW18,CE18)/COUNT(BQ18,BW18,CE18))</f>
        <v/>
      </c>
      <c r="CH18" s="187" t="str">
        <f t="shared" si="42"/>
        <v/>
      </c>
      <c r="CI18" s="103"/>
      <c r="CJ18" s="104"/>
      <c r="CK18" s="105"/>
      <c r="CL18" s="163" t="str">
        <f>IFERROR((((COUNTIF('Elève (3ème5)'!CI18:CK18,"A"))*4)+((COUNTIF('Elève (3ème5)'!CI18:CK18,"B"))*3)+((COUNTIF('Elève (3ème5)'!CI18:CK18,"C"))*2)+((COUNTIF('Elève (3ème5)'!CI18:CK18,"D"))*1))/(COUNTA(CI18:CK18)),"")</f>
        <v/>
      </c>
      <c r="CM18" s="164" t="str">
        <f t="shared" si="43"/>
        <v/>
      </c>
      <c r="CN18" s="103"/>
      <c r="CO18" s="104"/>
      <c r="CP18" s="105"/>
      <c r="CQ18" s="105"/>
      <c r="CR18" s="163" t="str">
        <f>IFERROR((((COUNTIF('Elève (3ème5)'!CN18:CQ18,"A"))*4)+((COUNTIF('Elève (3ème5)'!CN18:CQ18,"B"))*3)+((COUNTIF('Elève (3ème5)'!CN18:CQ18,"C"))*2)+((COUNTIF('Elève (3ème5)'!CN18:CQ18,"D"))*1))/(COUNTA(CN18:CQ18)),"")</f>
        <v/>
      </c>
      <c r="CS18" s="164" t="str">
        <f t="shared" si="44"/>
        <v/>
      </c>
      <c r="CT18" s="103"/>
      <c r="CU18" s="104"/>
      <c r="CV18" s="105"/>
      <c r="CW18" s="105"/>
      <c r="CX18" s="105"/>
      <c r="CY18" s="109"/>
      <c r="CZ18" s="163" t="str">
        <f>IFERROR((((COUNTIF('Elève (3ème5)'!CT18:CY18,"A"))*4)+((COUNTIF('Elève (3ème5)'!CT18:CY18,"B"))*3)+((COUNTIF('Elève (3ème5)'!CT18:CY18,"C"))*2)+((COUNTIF('Elève (3ème5)'!CT18:CY18,"D"))*1))/(COUNTA(CT18:CY18)),"")</f>
        <v/>
      </c>
      <c r="DA18" s="164" t="str">
        <f t="shared" si="45"/>
        <v/>
      </c>
      <c r="DB18" s="163" t="str">
        <f>IF(COUNT(CL18,CR18,CZ18)=0,"",SUM(CL18,CR18,CZ18)/COUNT(CL18,CR18,CZ18))</f>
        <v/>
      </c>
      <c r="DC18" s="187" t="str">
        <f t="shared" si="46"/>
        <v/>
      </c>
      <c r="DD18" s="103"/>
      <c r="DE18" s="104"/>
      <c r="DF18" s="105"/>
      <c r="DG18" s="163" t="str">
        <f>IFERROR((((COUNTIF('Elève (3ème5)'!DD18:DF18,"A"))*4)+((COUNTIF('Elève (3ème5)'!DD18:DF18,"B"))*3)+((COUNTIF('Elève (3ème5)'!DD18:DF18,"C"))*2)+((COUNTIF('Elève (3ème5)'!DD18:DF18,"D"))*1))/(COUNTA(DD18:DF18)),"")</f>
        <v/>
      </c>
      <c r="DH18" s="164" t="str">
        <f t="shared" si="47"/>
        <v/>
      </c>
      <c r="DI18" s="103"/>
      <c r="DJ18" s="104"/>
      <c r="DK18" s="105"/>
      <c r="DL18" s="105"/>
      <c r="DM18" s="163" t="str">
        <f>IFERROR((((COUNTIF('Elève (3ème5)'!DI18:DL18,"A"))*4)+((COUNTIF('Elève (3ème5)'!DI18:DL18,"B"))*3)+((COUNTIF('Elève (3ème5)'!DI18:DL18,"C"))*2)+((COUNTIF('Elève (3ème5)'!DI18:DL18,"D"))*1))/(COUNTA(DI18:DL18)),"")</f>
        <v/>
      </c>
      <c r="DN18" s="164" t="str">
        <f t="shared" si="48"/>
        <v/>
      </c>
      <c r="DO18" s="103"/>
      <c r="DP18" s="104"/>
      <c r="DQ18" s="105"/>
      <c r="DR18" s="105"/>
      <c r="DS18" s="105"/>
      <c r="DT18" s="109"/>
      <c r="DU18" s="163" t="str">
        <f>IFERROR((((COUNTIF('Elève (3ème5)'!DO18:DT18,"A"))*4)+((COUNTIF('Elève (3ème5)'!DO18:DT18,"B"))*3)+((COUNTIF('Elève (3ème5)'!DO18:DT18,"C"))*2)+((COUNTIF('Elève (3ème5)'!DO18:DT18,"D"))*1))/(COUNTA(DO18:DT18)),"")</f>
        <v/>
      </c>
      <c r="DV18" s="164" t="str">
        <f t="shared" si="49"/>
        <v/>
      </c>
      <c r="DW18" s="163" t="str">
        <f>IF(COUNT(DG18,DM18,DU18)=0,"",SUM(DG18,DM18,DU18)/COUNT(DG18,DM18,DU18))</f>
        <v/>
      </c>
      <c r="DX18" s="187" t="str">
        <f t="shared" si="50"/>
        <v/>
      </c>
      <c r="DY18" s="103"/>
      <c r="DZ18" s="104"/>
      <c r="EA18" s="105"/>
      <c r="EB18" s="163" t="str">
        <f>IFERROR((((COUNTIF('Elève (3ème5)'!DY18:EA18,"A"))*4)+((COUNTIF('Elève (3ème5)'!DY18:EA18,"B"))*3)+((COUNTIF('Elève (3ème5)'!DY18:EA18,"C"))*2)+((COUNTIF('Elève (3ème5)'!DY18:EA18,"D"))*1))/(COUNTA(DY18:EA18)),"")</f>
        <v/>
      </c>
      <c r="EC18" s="164" t="str">
        <f t="shared" si="51"/>
        <v/>
      </c>
      <c r="ED18" s="103"/>
      <c r="EE18" s="104"/>
      <c r="EF18" s="105"/>
      <c r="EG18" s="105"/>
      <c r="EH18" s="163" t="str">
        <f>IFERROR((((COUNTIF('Elève (3ème5)'!ED18:EG18,"A"))*4)+((COUNTIF('Elève (3ème5)'!ED18:EG18,"B"))*3)+((COUNTIF('Elève (3ème5)'!ED18:EG18,"C"))*2)+((COUNTIF('Elève (3ème5)'!ED18:EG18,"D"))*1))/(COUNTA(ED18:EG18)),"")</f>
        <v/>
      </c>
      <c r="EI18" s="164" t="str">
        <f t="shared" si="52"/>
        <v/>
      </c>
      <c r="EJ18" s="103"/>
      <c r="EK18" s="104"/>
      <c r="EL18" s="105"/>
      <c r="EM18" s="105"/>
      <c r="EN18" s="105"/>
      <c r="EO18" s="109"/>
      <c r="EP18" s="163" t="str">
        <f>IFERROR((((COUNTIF('Elève (3ème5)'!EJ18:EO18,"A"))*4)+((COUNTIF('Elève (3ème5)'!EJ18:EO18,"B"))*3)+((COUNTIF('Elève (3ème5)'!EJ18:EO18,"C"))*2)+((COUNTIF('Elève (3ème5)'!EJ18:EO18,"D"))*1))/(COUNTA(EJ18:EO18)),"")</f>
        <v/>
      </c>
      <c r="EQ18" s="164" t="str">
        <f t="shared" si="53"/>
        <v/>
      </c>
      <c r="ER18" s="163" t="str">
        <f>IF(COUNT(EB18,EH18,EP18)=0,"",SUM(EB18,EH18,EP18)/COUNT(EB18,EH18,EP18))</f>
        <v/>
      </c>
      <c r="ES18" s="187" t="str">
        <f t="shared" si="54"/>
        <v/>
      </c>
      <c r="ET18" s="103"/>
      <c r="EU18" s="104"/>
      <c r="EV18" s="105"/>
      <c r="EW18" s="163" t="str">
        <f>IFERROR((((COUNTIF('Elève (3ème5)'!ET18:EV18,"A"))*4)+((COUNTIF('Elève (3ème5)'!ET18:EV18,"B"))*3)+((COUNTIF('Elève (3ème5)'!ET18:EV18,"C"))*2)+((COUNTIF('Elève (3ème5)'!ET18:EV18,"D"))*1))/(COUNTA(ET18:EV18)),"")</f>
        <v/>
      </c>
      <c r="EX18" s="164" t="str">
        <f t="shared" si="55"/>
        <v/>
      </c>
      <c r="EY18" s="103"/>
      <c r="EZ18" s="104"/>
      <c r="FA18" s="105"/>
      <c r="FB18" s="105"/>
      <c r="FC18" s="163" t="str">
        <f>IFERROR((((COUNTIF('Elève (3ème5)'!EY18:FB18,"A"))*4)+((COUNTIF('Elève (3ème5)'!EY18:FB18,"B"))*3)+((COUNTIF('Elève (3ème5)'!EY18:FB18,"C"))*2)+((COUNTIF('Elève (3ème5)'!EY18:FB18,"D"))*1))/(COUNTA(EY18:FB18)),"")</f>
        <v/>
      </c>
      <c r="FD18" s="164" t="str">
        <f t="shared" si="56"/>
        <v/>
      </c>
      <c r="FE18" s="103"/>
      <c r="FF18" s="104"/>
      <c r="FG18" s="105"/>
      <c r="FH18" s="105"/>
      <c r="FI18" s="105"/>
      <c r="FJ18" s="109"/>
      <c r="FK18" s="163" t="str">
        <f>IFERROR((((COUNTIF('Elève (3ème5)'!FE18:FJ18,"A"))*4)+((COUNTIF('Elève (3ème5)'!FE18:FJ18,"B"))*3)+((COUNTIF('Elève (3ème5)'!FE18:FJ18,"C"))*2)+((COUNTIF('Elève (3ème5)'!FE18:FJ18,"D"))*1))/(COUNTA(FE18:FJ18)),"")</f>
        <v/>
      </c>
      <c r="FL18" s="164" t="str">
        <f t="shared" si="57"/>
        <v/>
      </c>
      <c r="FM18" s="163" t="str">
        <f>IF(COUNT(EW18,FC18,FK18)=0,"",SUM(EW18,FC18,FK18)/COUNT(EW18,FC18,FK18))</f>
        <v/>
      </c>
      <c r="FN18" s="187" t="str">
        <f t="shared" si="58"/>
        <v/>
      </c>
      <c r="FO18" s="103"/>
      <c r="FP18" s="104"/>
      <c r="FQ18" s="105"/>
      <c r="FR18" s="163" t="str">
        <f>IFERROR((((COUNTIF('Elève (3ème5)'!FO18:FQ18,"A"))*4)+((COUNTIF('Elève (3ème5)'!FO18:FQ18,"B"))*3)+((COUNTIF('Elève (3ème5)'!FO18:FQ18,"C"))*2)+((COUNTIF('Elève (3ème5)'!FO18:FQ18,"D"))*1))/(COUNTA(FO18:FQ18)),"")</f>
        <v/>
      </c>
      <c r="FS18" s="164" t="str">
        <f t="shared" si="59"/>
        <v/>
      </c>
      <c r="FT18" s="103"/>
      <c r="FU18" s="104"/>
      <c r="FV18" s="105"/>
      <c r="FW18" s="105"/>
      <c r="FX18" s="163" t="str">
        <f>IFERROR((((COUNTIF('Elève (3ème5)'!FT18:FW18,"A"))*4)+((COUNTIF('Elève (3ème5)'!FT18:FW18,"B"))*3)+((COUNTIF('Elève (3ème5)'!FT18:FW18,"C"))*2)+((COUNTIF('Elève (3ème5)'!FT18:FW18,"D"))*1))/(COUNTA(FT18:FW18)),"")</f>
        <v/>
      </c>
      <c r="FY18" s="164" t="str">
        <f t="shared" si="60"/>
        <v/>
      </c>
      <c r="FZ18" s="103"/>
      <c r="GA18" s="104"/>
      <c r="GB18" s="105"/>
      <c r="GC18" s="105"/>
      <c r="GD18" s="105"/>
      <c r="GE18" s="109"/>
      <c r="GF18" s="163" t="str">
        <f>IFERROR((((COUNTIF('Elève (3ème5)'!FZ18:GE18,"A"))*4)+((COUNTIF('Elève (3ème5)'!FZ18:GE18,"B"))*3)+((COUNTIF('Elève (3ème5)'!FZ18:GE18,"C"))*2)+((COUNTIF('Elève (3ème5)'!FZ18:GE18,"D"))*1))/(COUNTA(FZ18:GE18)),"")</f>
        <v/>
      </c>
      <c r="GG18" s="164" t="str">
        <f t="shared" si="61"/>
        <v/>
      </c>
      <c r="GH18" s="163" t="str">
        <f>IF(COUNT(FR18,FX18,GF18)=0,"",SUM(FR18,FX18,GF18)/COUNT(FR18,FX18,GF18))</f>
        <v/>
      </c>
      <c r="GI18" s="187" t="str">
        <f t="shared" si="62"/>
        <v/>
      </c>
      <c r="GJ18" s="103"/>
      <c r="GK18" s="104"/>
      <c r="GL18" s="105"/>
      <c r="GM18" s="163" t="str">
        <f>IFERROR((((COUNTIF('Elève (3ème5)'!GJ18:GL18,"A"))*4)+((COUNTIF('Elève (3ème5)'!GJ18:GL18,"B"))*3)+((COUNTIF('Elève (3ème5)'!GJ18:GL18,"C"))*2)+((COUNTIF('Elève (3ème5)'!GJ18:GL18,"D"))*1))/(COUNTA(GJ18:GL18)),"")</f>
        <v/>
      </c>
      <c r="GN18" s="164" t="str">
        <f t="shared" si="63"/>
        <v/>
      </c>
      <c r="GO18" s="103"/>
      <c r="GP18" s="104"/>
      <c r="GQ18" s="105"/>
      <c r="GR18" s="105"/>
      <c r="GS18" s="163" t="str">
        <f>IFERROR((((COUNTIF('Elève (3ème5)'!GO18:GR18,"A"))*4)+((COUNTIF('Elève (3ème5)'!GO18:GR18,"B"))*3)+((COUNTIF('Elève (3ème5)'!GO18:GR18,"C"))*2)+((COUNTIF('Elève (3ème5)'!GO18:GR18,"D"))*1))/(COUNTA(GO18:GR18)),"")</f>
        <v/>
      </c>
      <c r="GT18" s="164" t="str">
        <f t="shared" si="64"/>
        <v/>
      </c>
      <c r="GU18" s="103"/>
      <c r="GV18" s="104"/>
      <c r="GW18" s="105"/>
      <c r="GX18" s="105"/>
      <c r="GY18" s="105"/>
      <c r="GZ18" s="109"/>
      <c r="HA18" s="163" t="str">
        <f>IFERROR((((COUNTIF('Elève (3ème5)'!GU18:GZ18,"A"))*4)+((COUNTIF('Elève (3ème5)'!GU18:GZ18,"B"))*3)+((COUNTIF('Elève (3ème5)'!GU18:GZ18,"C"))*2)+((COUNTIF('Elève (3ème5)'!GU18:GZ18,"D"))*1))/(COUNTA(GU18:GZ18)),"")</f>
        <v/>
      </c>
      <c r="HB18" s="164" t="str">
        <f t="shared" si="65"/>
        <v/>
      </c>
      <c r="HC18" s="163" t="str">
        <f>IF(COUNT(GM18,GS18,HA18)=0,"",SUM(GM18,GS18,HA18)/COUNT(GM18,GS18,HA18))</f>
        <v/>
      </c>
      <c r="HD18" s="187" t="str">
        <f t="shared" si="66"/>
        <v/>
      </c>
      <c r="HE18" s="103"/>
      <c r="HF18" s="104"/>
      <c r="HG18" s="105"/>
      <c r="HH18" s="163" t="str">
        <f>IFERROR((((COUNTIF('Elève (3ème5)'!HE18:HG18,"A"))*4)+((COUNTIF('Elève (3ème5)'!HE18:HG18,"B"))*3)+((COUNTIF('Elève (3ème5)'!HE18:HG18,"C"))*2)+((COUNTIF('Elève (3ème5)'!HE18:HG18,"D"))*1))/(COUNTA(HE18:HG18)),"")</f>
        <v/>
      </c>
      <c r="HI18" s="164" t="str">
        <f t="shared" si="67"/>
        <v/>
      </c>
      <c r="HJ18" s="103"/>
      <c r="HK18" s="104"/>
      <c r="HL18" s="105"/>
      <c r="HM18" s="105"/>
      <c r="HN18" s="163" t="str">
        <f>IFERROR((((COUNTIF('Elève (3ème5)'!HJ18:HM18,"A"))*4)+((COUNTIF('Elève (3ème5)'!HJ18:HM18,"B"))*3)+((COUNTIF('Elève (3ème5)'!HJ18:HM18,"C"))*2)+((COUNTIF('Elève (3ème5)'!HJ18:HM18,"D"))*1))/(COUNTA(HJ18:HM18)),"")</f>
        <v/>
      </c>
      <c r="HO18" s="164" t="str">
        <f t="shared" si="68"/>
        <v/>
      </c>
      <c r="HP18" s="103"/>
      <c r="HQ18" s="104"/>
      <c r="HR18" s="105"/>
      <c r="HS18" s="105"/>
      <c r="HT18" s="105"/>
      <c r="HU18" s="109"/>
      <c r="HV18" s="163" t="str">
        <f>IFERROR((((COUNTIF('Elève (3ème5)'!HP18:HU18,"A"))*4)+((COUNTIF('Elève (3ème5)'!HP18:HU18,"B"))*3)+((COUNTIF('Elève (3ème5)'!HP18:HU18,"C"))*2)+((COUNTIF('Elève (3ème5)'!HP18:HU18,"D"))*1))/(COUNTA(HP18:HU18)),"")</f>
        <v/>
      </c>
      <c r="HW18" s="164" t="str">
        <f t="shared" si="69"/>
        <v/>
      </c>
      <c r="HX18" s="163" t="str">
        <f>IF(COUNT(HH18,HN18,HV18)=0,"",SUM(HH18,HN18,HV18)/COUNT(HH18,HN18,HV18))</f>
        <v/>
      </c>
      <c r="HY18" s="187" t="str">
        <f t="shared" si="70"/>
        <v/>
      </c>
      <c r="HZ18" s="103"/>
      <c r="IA18" s="104"/>
      <c r="IB18" s="105"/>
      <c r="IC18" s="163" t="str">
        <f>IFERROR((((COUNTIF('Elève (3ème5)'!HZ18:IB18,"A"))*4)+((COUNTIF('Elève (3ème5)'!HZ18:IB18,"B"))*3)+((COUNTIF('Elève (3ème5)'!HZ18:IB18,"C"))*2)+((COUNTIF('Elève (3ème5)'!HZ18:IB18,"D"))*1))/(COUNTA(HZ18:IB18)),"")</f>
        <v/>
      </c>
      <c r="ID18" s="164" t="str">
        <f t="shared" si="71"/>
        <v/>
      </c>
      <c r="IE18" s="103"/>
      <c r="IF18" s="104"/>
      <c r="IG18" s="105"/>
      <c r="IH18" s="105"/>
      <c r="II18" s="163" t="str">
        <f>IFERROR((((COUNTIF('Elève (3ème5)'!IE18:IH18,"A"))*4)+((COUNTIF('Elève (3ème5)'!IE18:IH18,"B"))*3)+((COUNTIF('Elève (3ème5)'!IE18:IH18,"C"))*2)+((COUNTIF('Elève (3ème5)'!IE18:IH18,"D"))*1))/(COUNTA(IE18:IH18)),"")</f>
        <v/>
      </c>
      <c r="IJ18" s="164" t="str">
        <f t="shared" si="72"/>
        <v/>
      </c>
      <c r="IK18" s="103"/>
      <c r="IL18" s="104"/>
      <c r="IM18" s="105"/>
      <c r="IN18" s="105"/>
      <c r="IO18" s="105"/>
      <c r="IP18" s="109"/>
      <c r="IQ18" s="163" t="str">
        <f>IFERROR((((COUNTIF('Elève (3ème5)'!IK18:IP18,"A"))*4)+((COUNTIF('Elève (3ème5)'!IK18:IP18,"B"))*3)+((COUNTIF('Elève (3ème5)'!IK18:IP18,"C"))*2)+((COUNTIF('Elève (3ème5)'!IK18:IP18,"D"))*1))/(COUNTA(IK18:IP18)),"")</f>
        <v/>
      </c>
      <c r="IR18" s="164" t="str">
        <f t="shared" si="73"/>
        <v/>
      </c>
      <c r="IS18" s="163" t="str">
        <f>IF(COUNT(IC18,II18,IQ18)=0,"",SUM(IC18,II18,IQ18)/COUNT(IC18,II18,IQ18))</f>
        <v/>
      </c>
      <c r="IT18" s="187" t="str">
        <f t="shared" si="74"/>
        <v/>
      </c>
      <c r="IU18" s="103"/>
      <c r="IV18" s="104"/>
      <c r="IW18" s="105"/>
      <c r="IX18" s="163" t="str">
        <f>IFERROR((((COUNTIF('Elève (3ème5)'!IU18:IW18,"A"))*4)+((COUNTIF('Elève (3ème5)'!IU18:IW18,"B"))*3)+((COUNTIF('Elève (3ème5)'!IU18:IW18,"C"))*2)+((COUNTIF('Elève (3ème5)'!IU18:IW18,"D"))*1))/(COUNTA(IU18:IW18)),"")</f>
        <v/>
      </c>
      <c r="IY18" s="164" t="str">
        <f t="shared" si="75"/>
        <v/>
      </c>
      <c r="IZ18" s="103"/>
      <c r="JA18" s="104"/>
      <c r="JB18" s="105"/>
      <c r="JC18" s="105"/>
      <c r="JD18" s="163" t="str">
        <f>IFERROR((((COUNTIF('Elève (3ème5)'!IZ18:JC18,"A"))*4)+((COUNTIF('Elève (3ème5)'!IZ18:JC18,"B"))*3)+((COUNTIF('Elève (3ème5)'!IZ18:JC18,"C"))*2)+((COUNTIF('Elève (3ème5)'!IZ18:JC18,"D"))*1))/(COUNTA(IZ18:JC18)),"")</f>
        <v/>
      </c>
      <c r="JE18" s="164" t="str">
        <f t="shared" si="76"/>
        <v/>
      </c>
      <c r="JF18" s="103"/>
      <c r="JG18" s="104"/>
      <c r="JH18" s="105"/>
      <c r="JI18" s="105"/>
      <c r="JJ18" s="105"/>
      <c r="JK18" s="109"/>
      <c r="JL18" s="163" t="str">
        <f>IFERROR((((COUNTIF('Elève (3ème5)'!JF18:JK18,"A"))*4)+((COUNTIF('Elève (3ème5)'!JF18:JK18,"B"))*3)+((COUNTIF('Elève (3ème5)'!JF18:JK18,"C"))*2)+((COUNTIF('Elève (3ème5)'!JF18:JK18,"D"))*1))/(COUNTA(JF18:JK18)),"")</f>
        <v/>
      </c>
      <c r="JM18" s="164" t="str">
        <f t="shared" si="77"/>
        <v/>
      </c>
      <c r="JN18" s="163" t="str">
        <f>IF(COUNT(IX18,JD18,JL18)=0,"",SUM(IX18,JD18,JL18)/COUNT(IX18,JD18,JL18))</f>
        <v/>
      </c>
      <c r="JO18" s="187" t="str">
        <f t="shared" si="78"/>
        <v/>
      </c>
      <c r="JP18" s="103"/>
      <c r="JQ18" s="104"/>
      <c r="JR18" s="105"/>
      <c r="JS18" s="163" t="str">
        <f>IFERROR((((COUNTIF('Elève (3ème5)'!JP18:JR18,"A"))*4)+((COUNTIF('Elève (3ème5)'!JP18:JR18,"B"))*3)+((COUNTIF('Elève (3ème5)'!JP18:JR18,"C"))*2)+((COUNTIF('Elève (3ème5)'!JP18:JR18,"D"))*1))/(COUNTA(JP18:JR18)),"")</f>
        <v/>
      </c>
      <c r="JT18" s="164" t="str">
        <f t="shared" si="79"/>
        <v/>
      </c>
      <c r="JU18" s="103"/>
      <c r="JV18" s="104"/>
      <c r="JW18" s="105"/>
      <c r="JX18" s="105"/>
      <c r="JY18" s="163" t="str">
        <f>IFERROR((((COUNTIF('Elève (3ème5)'!JU18:JX18,"A"))*4)+((COUNTIF('Elève (3ème5)'!JU18:JX18,"B"))*3)+((COUNTIF('Elève (3ème5)'!JU18:JX18,"C"))*2)+((COUNTIF('Elève (3ème5)'!JU18:JX18,"D"))*1))/(COUNTA(JU18:JX18)),"")</f>
        <v/>
      </c>
      <c r="JZ18" s="164" t="str">
        <f t="shared" si="80"/>
        <v/>
      </c>
      <c r="KA18" s="103"/>
      <c r="KB18" s="104"/>
      <c r="KC18" s="105"/>
      <c r="KD18" s="105"/>
      <c r="KE18" s="105"/>
      <c r="KF18" s="109"/>
      <c r="KG18" s="163" t="str">
        <f>IFERROR((((COUNTIF('Elève (3ème5)'!KA18:KF18,"A"))*4)+((COUNTIF('Elève (3ème5)'!KA18:KF18,"B"))*3)+((COUNTIF('Elève (3ème5)'!KA18:KF18,"C"))*2)+((COUNTIF('Elève (3ème5)'!KA18:KF18,"D"))*1))/(COUNTA(KA18:KF18)),"")</f>
        <v/>
      </c>
      <c r="KH18" s="164" t="str">
        <f t="shared" si="81"/>
        <v/>
      </c>
      <c r="KI18" s="163" t="str">
        <f>IF(COUNT(JS18,JY18,KG18)=0,"",SUM(JS18,JY18,KG18)/COUNT(JS18,JY18,KG18))</f>
        <v/>
      </c>
      <c r="KJ18" s="187" t="str">
        <f t="shared" si="82"/>
        <v/>
      </c>
      <c r="KK18" s="103"/>
      <c r="KL18" s="104"/>
      <c r="KM18" s="105"/>
      <c r="KN18" s="163" t="str">
        <f>IFERROR((((COUNTIF('Elève (3ème5)'!KK18:KM18,"A"))*4)+((COUNTIF('Elève (3ème5)'!KK18:KM18,"B"))*3)+((COUNTIF('Elève (3ème5)'!KK18:KM18,"C"))*2)+((COUNTIF('Elève (3ème5)'!KK18:KM18,"D"))*1))/(COUNTA(KK18:KM18)),"")</f>
        <v/>
      </c>
      <c r="KO18" s="164" t="str">
        <f t="shared" si="83"/>
        <v/>
      </c>
      <c r="KP18" s="103"/>
      <c r="KQ18" s="104"/>
      <c r="KR18" s="105"/>
      <c r="KS18" s="105"/>
      <c r="KT18" s="163" t="str">
        <f>IFERROR((((COUNTIF('Elève (3ème5)'!KP18:KS18,"A"))*4)+((COUNTIF('Elève (3ème5)'!KP18:KS18,"B"))*3)+((COUNTIF('Elève (3ème5)'!KP18:KS18,"C"))*2)+((COUNTIF('Elève (3ème5)'!KP18:KS18,"D"))*1))/(COUNTA(KP18:KS18)),"")</f>
        <v/>
      </c>
      <c r="KU18" s="164" t="str">
        <f t="shared" si="84"/>
        <v/>
      </c>
      <c r="KV18" s="103"/>
      <c r="KW18" s="104"/>
      <c r="KX18" s="105"/>
      <c r="KY18" s="105"/>
      <c r="KZ18" s="105"/>
      <c r="LA18" s="109"/>
      <c r="LB18" s="163" t="str">
        <f>IFERROR((((COUNTIF('Elève (3ème5)'!KV18:LA18,"A"))*4)+((COUNTIF('Elève (3ème5)'!KV18:LA18,"B"))*3)+((COUNTIF('Elève (3ème5)'!KV18:LA18,"C"))*2)+((COUNTIF('Elève (3ème5)'!KV18:LA18,"D"))*1))/(COUNTA(KV18:LA18)),"")</f>
        <v/>
      </c>
      <c r="LC18" s="164" t="str">
        <f t="shared" si="85"/>
        <v/>
      </c>
      <c r="LD18" s="163" t="str">
        <f>IF(COUNT(KN18,KT18,LB18)=0,"",SUM(KN18,KT18,LB18)/COUNT(KN18,KT18,LB18))</f>
        <v/>
      </c>
      <c r="LE18" s="187" t="str">
        <f t="shared" si="86"/>
        <v/>
      </c>
      <c r="LF18" s="103"/>
      <c r="LG18" s="104"/>
      <c r="LH18" s="105"/>
      <c r="LI18" s="163" t="str">
        <f>IFERROR((((COUNTIF('Elève (3ème5)'!LF18:LH18,"A"))*4)+((COUNTIF('Elève (3ème5)'!LF18:LH18,"B"))*3)+((COUNTIF('Elève (3ème5)'!LF18:LH18,"C"))*2)+((COUNTIF('Elève (3ème5)'!LF18:LH18,"D"))*1))/(COUNTA(LF18:LH18)),"")</f>
        <v/>
      </c>
      <c r="LJ18" s="164" t="str">
        <f t="shared" si="87"/>
        <v/>
      </c>
      <c r="LK18" s="103"/>
      <c r="LL18" s="104"/>
      <c r="LM18" s="105"/>
      <c r="LN18" s="105"/>
      <c r="LO18" s="163" t="str">
        <f>IFERROR((((COUNTIF('Elève (3ème5)'!LK18:LN18,"A"))*4)+((COUNTIF('Elève (3ème5)'!LK18:LN18,"B"))*3)+((COUNTIF('Elève (3ème5)'!LK18:LN18,"C"))*2)+((COUNTIF('Elève (3ème5)'!LK18:LN18,"D"))*1))/(COUNTA(LK18:LN18)),"")</f>
        <v/>
      </c>
      <c r="LP18" s="164" t="str">
        <f t="shared" si="88"/>
        <v/>
      </c>
      <c r="LQ18" s="103"/>
      <c r="LR18" s="104"/>
      <c r="LS18" s="105"/>
      <c r="LT18" s="105"/>
      <c r="LU18" s="105"/>
      <c r="LV18" s="109"/>
      <c r="LW18" s="163" t="str">
        <f>IFERROR((((COUNTIF('Elève (3ème5)'!LQ18:LV18,"A"))*4)+((COUNTIF('Elève (3ème5)'!LQ18:LV18,"B"))*3)+((COUNTIF('Elève (3ème5)'!LQ18:LV18,"C"))*2)+((COUNTIF('Elève (3ème5)'!LQ18:LV18,"D"))*1))/(COUNTA(LQ18:LV18)),"")</f>
        <v/>
      </c>
      <c r="LX18" s="164" t="str">
        <f t="shared" si="89"/>
        <v/>
      </c>
      <c r="LY18" s="163" t="str">
        <f>IF(COUNT(LI18,LO18,LW18)=0,"",SUM(LI18,LO18,LW18)/COUNT(LI18,LO18,LW18))</f>
        <v/>
      </c>
      <c r="LZ18" s="187" t="str">
        <f t="shared" si="90"/>
        <v/>
      </c>
      <c r="MA18" s="103"/>
      <c r="MB18" s="104"/>
      <c r="MC18" s="105"/>
      <c r="MD18" s="163" t="str">
        <f>IFERROR((((COUNTIF('Elève (3ème5)'!MA18:MC18,"A"))*4)+((COUNTIF('Elève (3ème5)'!MA18:MC18,"B"))*3)+((COUNTIF('Elève (3ème5)'!MA18:MC18,"C"))*2)+((COUNTIF('Elève (3ème5)'!MA18:MC18,"D"))*1))/(COUNTA(MA18:MC18)),"")</f>
        <v/>
      </c>
      <c r="ME18" s="164" t="str">
        <f t="shared" si="91"/>
        <v/>
      </c>
      <c r="MF18" s="103"/>
      <c r="MG18" s="104"/>
      <c r="MH18" s="105"/>
      <c r="MI18" s="105"/>
      <c r="MJ18" s="163" t="str">
        <f>IFERROR((((COUNTIF('Elève (3ème5)'!MF18:MI18,"A"))*4)+((COUNTIF('Elève (3ème5)'!MF18:MI18,"B"))*3)+((COUNTIF('Elève (3ème5)'!MF18:MI18,"C"))*2)+((COUNTIF('Elève (3ème5)'!MF18:MI18,"D"))*1))/(COUNTA(MF18:MI18)),"")</f>
        <v/>
      </c>
      <c r="MK18" s="164" t="str">
        <f t="shared" si="92"/>
        <v/>
      </c>
      <c r="ML18" s="103"/>
      <c r="MM18" s="104"/>
      <c r="MN18" s="105"/>
      <c r="MO18" s="105"/>
      <c r="MP18" s="105"/>
      <c r="MQ18" s="109"/>
      <c r="MR18" s="163" t="str">
        <f>IFERROR((((COUNTIF('Elève (3ème5)'!ML18:MQ18,"A"))*4)+((COUNTIF('Elève (3ème5)'!ML18:MQ18,"B"))*3)+((COUNTIF('Elève (3ème5)'!ML18:MQ18,"C"))*2)+((COUNTIF('Elève (3ème5)'!ML18:MQ18,"D"))*1))/(COUNTA(ML18:MQ18)),"")</f>
        <v/>
      </c>
      <c r="MS18" s="164" t="str">
        <f t="shared" si="93"/>
        <v/>
      </c>
      <c r="MT18" s="163" t="str">
        <f>IF(COUNT(MD18,MJ18,MR18)=0,"",SUM(MD18,MJ18,MR18)/COUNT(MD18,MJ18,MR18))</f>
        <v/>
      </c>
      <c r="MU18" s="187" t="str">
        <f t="shared" si="94"/>
        <v/>
      </c>
      <c r="MV18" s="103"/>
      <c r="MW18" s="104"/>
      <c r="MX18" s="105"/>
      <c r="MY18" s="163" t="str">
        <f>IFERROR((((COUNTIF('Elève (3ème5)'!MV18:MX18,"A"))*4)+((COUNTIF('Elève (3ème5)'!MV18:MX18,"B"))*3)+((COUNTIF('Elève (3ème5)'!MV18:MX18,"C"))*2)+((COUNTIF('Elève (3ème5)'!MV18:MX18,"D"))*1))/(COUNTA(MV18:MX18)),"")</f>
        <v/>
      </c>
      <c r="MZ18" s="164" t="str">
        <f t="shared" si="95"/>
        <v/>
      </c>
      <c r="NA18" s="103"/>
      <c r="NB18" s="104"/>
      <c r="NC18" s="105"/>
      <c r="ND18" s="105"/>
      <c r="NE18" s="163" t="str">
        <f>IFERROR((((COUNTIF('Elève (3ème5)'!NA18:ND18,"A"))*4)+((COUNTIF('Elève (3ème5)'!NA18:ND18,"B"))*3)+((COUNTIF('Elève (3ème5)'!NA18:ND18,"C"))*2)+((COUNTIF('Elève (3ème5)'!NA18:ND18,"D"))*1))/(COUNTA(NA18:ND18)),"")</f>
        <v/>
      </c>
      <c r="NF18" s="164" t="str">
        <f t="shared" si="96"/>
        <v/>
      </c>
      <c r="NG18" s="103"/>
      <c r="NH18" s="104"/>
      <c r="NI18" s="105"/>
      <c r="NJ18" s="105"/>
      <c r="NK18" s="105"/>
      <c r="NL18" s="109"/>
      <c r="NM18" s="163" t="str">
        <f>IFERROR((((COUNTIF('Elève (3ème5)'!NG18:NL18,"A"))*4)+((COUNTIF('Elève (3ème5)'!NG18:NL18,"B"))*3)+((COUNTIF('Elève (3ème5)'!NG18:NL18,"C"))*2)+((COUNTIF('Elève (3ème5)'!NG18:NL18,"D"))*1))/(COUNTA(NG18:NL18)),"")</f>
        <v/>
      </c>
      <c r="NN18" s="164" t="str">
        <f t="shared" si="97"/>
        <v/>
      </c>
      <c r="NO18" s="163" t="str">
        <f>IF(COUNT(MY18,NE18,NM18)=0,"",SUM(MY18,NE18,NM18)/COUNT(MY18,NE18,NM18))</f>
        <v/>
      </c>
      <c r="NP18" s="187" t="str">
        <f t="shared" si="98"/>
        <v/>
      </c>
      <c r="NQ18" s="103"/>
      <c r="NR18" s="104"/>
      <c r="NS18" s="105"/>
      <c r="NT18" s="163" t="str">
        <f>IFERROR((((COUNTIF('Elève (3ème5)'!NQ18:NS18,"A"))*4)+((COUNTIF('Elève (3ème5)'!NQ18:NS18,"B"))*3)+((COUNTIF('Elève (3ème5)'!NQ18:NS18,"C"))*2)+((COUNTIF('Elève (3ème5)'!NQ18:NS18,"D"))*1))/(COUNTA(NQ18:NS18)),"")</f>
        <v/>
      </c>
      <c r="NU18" s="164" t="str">
        <f t="shared" si="99"/>
        <v/>
      </c>
      <c r="NV18" s="103"/>
      <c r="NW18" s="104"/>
      <c r="NX18" s="105"/>
      <c r="NY18" s="105"/>
      <c r="NZ18" s="163" t="str">
        <f>IFERROR((((COUNTIF('Elève (3ème5)'!NV18:NY18,"A"))*4)+((COUNTIF('Elève (3ème5)'!NV18:NY18,"B"))*3)+((COUNTIF('Elève (3ème5)'!NV18:NY18,"C"))*2)+((COUNTIF('Elève (3ème5)'!NV18:NY18,"D"))*1))/(COUNTA(NV18:NY18)),"")</f>
        <v/>
      </c>
      <c r="OA18" s="164" t="str">
        <f t="shared" si="100"/>
        <v/>
      </c>
      <c r="OB18" s="103"/>
      <c r="OC18" s="104"/>
      <c r="OD18" s="105"/>
      <c r="OE18" s="105"/>
      <c r="OF18" s="105"/>
      <c r="OG18" s="109"/>
      <c r="OH18" s="163" t="str">
        <f>IFERROR((((COUNTIF('Elève (3ème5)'!OB18:OG18,"A"))*4)+((COUNTIF('Elève (3ème5)'!OB18:OG18,"B"))*3)+((COUNTIF('Elève (3ème5)'!OB18:OG18,"C"))*2)+((COUNTIF('Elève (3ème5)'!OB18:OG18,"D"))*1))/(COUNTA(OB18:OG18)),"")</f>
        <v/>
      </c>
      <c r="OI18" s="164" t="str">
        <f t="shared" si="101"/>
        <v/>
      </c>
      <c r="OJ18" s="163" t="str">
        <f>IF(COUNT(NT18,NZ18,OH18)=0,"",SUM(NT18,NZ18,OH18)/COUNT(NT18,NZ18,OH18))</f>
        <v/>
      </c>
      <c r="OK18" s="187" t="str">
        <f t="shared" si="102"/>
        <v/>
      </c>
      <c r="OL18" s="103"/>
      <c r="OM18" s="104"/>
      <c r="ON18" s="105"/>
      <c r="OO18" s="163" t="str">
        <f>IFERROR((((COUNTIF('Elève (3ème5)'!OL18:ON18,"A"))*4)+((COUNTIF('Elève (3ème5)'!OL18:ON18,"B"))*3)+((COUNTIF('Elève (3ème5)'!OL18:ON18,"C"))*2)+((COUNTIF('Elève (3ème5)'!OL18:ON18,"D"))*1))/(COUNTA(OL18:ON18)),"")</f>
        <v/>
      </c>
      <c r="OP18" s="164" t="str">
        <f t="shared" si="103"/>
        <v/>
      </c>
      <c r="OQ18" s="103"/>
      <c r="OR18" s="104"/>
      <c r="OS18" s="105"/>
      <c r="OT18" s="105"/>
      <c r="OU18" s="163" t="str">
        <f>IFERROR((((COUNTIF('Elève (3ème5)'!OQ18:OT18,"A"))*4)+((COUNTIF('Elève (3ème5)'!OQ18:OT18,"B"))*3)+((COUNTIF('Elève (3ème5)'!OQ18:OT18,"C"))*2)+((COUNTIF('Elève (3ème5)'!OQ18:OT18,"D"))*1))/(COUNTA(OQ18:OT18)),"")</f>
        <v/>
      </c>
      <c r="OV18" s="164" t="str">
        <f t="shared" si="104"/>
        <v/>
      </c>
      <c r="OW18" s="103"/>
      <c r="OX18" s="104"/>
      <c r="OY18" s="105"/>
      <c r="OZ18" s="105"/>
      <c r="PA18" s="105"/>
      <c r="PB18" s="109"/>
      <c r="PC18" s="163" t="str">
        <f>IFERROR((((COUNTIF('Elève (3ème5)'!OW18:PB18,"A"))*4)+((COUNTIF('Elève (3ème5)'!OW18:PB18,"B"))*3)+((COUNTIF('Elève (3ème5)'!OW18:PB18,"C"))*2)+((COUNTIF('Elève (3ème5)'!OW18:PB18,"D"))*1))/(COUNTA(OW18:PB18)),"")</f>
        <v/>
      </c>
      <c r="PD18" s="164" t="str">
        <f t="shared" si="105"/>
        <v/>
      </c>
      <c r="PE18" s="163" t="str">
        <f>IF(COUNT(OO18,OU18,PC18)=0,"",SUM(OO18,OU18,PC18)/COUNT(OO18,OU18,PC18))</f>
        <v/>
      </c>
      <c r="PF18" s="187" t="str">
        <f t="shared" si="106"/>
        <v/>
      </c>
      <c r="PG18" s="103"/>
      <c r="PH18" s="104"/>
      <c r="PI18" s="105"/>
      <c r="PJ18" s="163" t="str">
        <f>IFERROR((((COUNTIF('Elève (3ème5)'!PG18:PI18,"A"))*4)+((COUNTIF('Elève (3ème5)'!PG18:PI18,"B"))*3)+((COUNTIF('Elève (3ème5)'!PG18:PI18,"C"))*2)+((COUNTIF('Elève (3ème5)'!PG18:PI18,"D"))*1))/(COUNTA(PG18:PI18)),"")</f>
        <v/>
      </c>
      <c r="PK18" s="164" t="str">
        <f t="shared" si="107"/>
        <v/>
      </c>
      <c r="PL18" s="103"/>
      <c r="PM18" s="104"/>
      <c r="PN18" s="105"/>
      <c r="PO18" s="105"/>
      <c r="PP18" s="163" t="str">
        <f>IFERROR((((COUNTIF('Elève (3ème5)'!PL18:PO18,"A"))*4)+((COUNTIF('Elève (3ème5)'!PL18:PO18,"B"))*3)+((COUNTIF('Elève (3ème5)'!PL18:PO18,"C"))*2)+((COUNTIF('Elève (3ème5)'!PL18:PO18,"D"))*1))/(COUNTA(PL18:PO18)),"")</f>
        <v/>
      </c>
      <c r="PQ18" s="164" t="str">
        <f t="shared" si="108"/>
        <v/>
      </c>
      <c r="PR18" s="103"/>
      <c r="PS18" s="104"/>
      <c r="PT18" s="105"/>
      <c r="PU18" s="105"/>
      <c r="PV18" s="105"/>
      <c r="PW18" s="109"/>
      <c r="PX18" s="163" t="str">
        <f>IFERROR((((COUNTIF('Elève (3ème5)'!PR18:PW18,"A"))*4)+((COUNTIF('Elève (3ème5)'!PR18:PW18,"B"))*3)+((COUNTIF('Elève (3ème5)'!PR18:PW18,"C"))*2)+((COUNTIF('Elève (3ème5)'!PR18:PW18,"D"))*1))/(COUNTA(PR18:PW18)),"")</f>
        <v/>
      </c>
      <c r="PY18" s="164" t="str">
        <f t="shared" si="109"/>
        <v/>
      </c>
      <c r="PZ18" s="163" t="str">
        <f>IF(COUNT(PJ18,PP18,PX18)=0,"",SUM(PJ18,PP18,PX18)/COUNT(PJ18,PP18,PX18))</f>
        <v/>
      </c>
      <c r="QA18" s="187" t="str">
        <f t="shared" si="110"/>
        <v/>
      </c>
      <c r="QB18" s="103"/>
      <c r="QC18" s="104"/>
      <c r="QD18" s="105"/>
      <c r="QE18" s="163" t="str">
        <f>IFERROR((((COUNTIF('Elève (3ème5)'!QB18:QD18,"A"))*4)+((COUNTIF('Elève (3ème5)'!QB18:QD18,"B"))*3)+((COUNTIF('Elève (3ème5)'!QB18:QD18,"C"))*2)+((COUNTIF('Elève (3ème5)'!QB18:QD18,"D"))*1))/(COUNTA(QB18:QD18)),"")</f>
        <v/>
      </c>
      <c r="QF18" s="164" t="str">
        <f t="shared" si="111"/>
        <v/>
      </c>
      <c r="QG18" s="103"/>
      <c r="QH18" s="104"/>
      <c r="QI18" s="105"/>
      <c r="QJ18" s="105"/>
      <c r="QK18" s="163" t="str">
        <f>IFERROR((((COUNTIF('Elève (3ème5)'!QG18:QJ18,"A"))*4)+((COUNTIF('Elève (3ème5)'!QG18:QJ18,"B"))*3)+((COUNTIF('Elève (3ème5)'!QG18:QJ18,"C"))*2)+((COUNTIF('Elève (3ème5)'!QG18:QJ18,"D"))*1))/(COUNTA(QG18:QJ18)),"")</f>
        <v/>
      </c>
      <c r="QL18" s="164" t="str">
        <f t="shared" si="112"/>
        <v/>
      </c>
      <c r="QM18" s="103"/>
      <c r="QN18" s="104"/>
      <c r="QO18" s="105"/>
      <c r="QP18" s="105"/>
      <c r="QQ18" s="105"/>
      <c r="QR18" s="109"/>
      <c r="QS18" s="163" t="str">
        <f>IFERROR((((COUNTIF('Elève (3ème5)'!QM18:QR18,"A"))*4)+((COUNTIF('Elève (3ème5)'!QM18:QR18,"B"))*3)+((COUNTIF('Elève (3ème5)'!QM18:QR18,"C"))*2)+((COUNTIF('Elève (3ème5)'!QM18:QR18,"D"))*1))/(COUNTA(QM18:QR18)),"")</f>
        <v/>
      </c>
      <c r="QT18" s="164" t="str">
        <f t="shared" si="113"/>
        <v/>
      </c>
      <c r="QU18" s="163" t="str">
        <f>IF(COUNT(QE18,QK18,QS18)=0,"",SUM(QE18,QK18,QS18)/COUNT(QE18,QK18,QS18))</f>
        <v/>
      </c>
      <c r="QV18" s="187" t="str">
        <f t="shared" si="114"/>
        <v/>
      </c>
      <c r="QW18" s="103"/>
      <c r="QX18" s="104"/>
      <c r="QY18" s="105"/>
      <c r="QZ18" s="163" t="str">
        <f>IFERROR((((COUNTIF('Elève (3ème5)'!QW18:QY18,"A"))*4)+((COUNTIF('Elève (3ème5)'!QW18:QY18,"B"))*3)+((COUNTIF('Elève (3ème5)'!QW18:QY18,"C"))*2)+((COUNTIF('Elève (3ème5)'!QW18:QY18,"D"))*1))/(COUNTA(QW18:QY18)),"")</f>
        <v/>
      </c>
      <c r="RA18" s="164" t="str">
        <f t="shared" si="115"/>
        <v/>
      </c>
      <c r="RB18" s="103"/>
      <c r="RC18" s="104"/>
      <c r="RD18" s="105"/>
      <c r="RE18" s="105"/>
      <c r="RF18" s="163" t="str">
        <f>IFERROR((((COUNTIF('Elève (3ème5)'!RB18:RE18,"A"))*4)+((COUNTIF('Elève (3ème5)'!RB18:RE18,"B"))*3)+((COUNTIF('Elève (3ème5)'!RB18:RE18,"C"))*2)+((COUNTIF('Elève (3ème5)'!RB18:RE18,"D"))*1))/(COUNTA(RB18:RE18)),"")</f>
        <v/>
      </c>
      <c r="RG18" s="164" t="str">
        <f t="shared" si="116"/>
        <v/>
      </c>
      <c r="RH18" s="103"/>
      <c r="RI18" s="104"/>
      <c r="RJ18" s="105"/>
      <c r="RK18" s="105"/>
      <c r="RL18" s="105"/>
      <c r="RM18" s="109"/>
      <c r="RN18" s="163" t="str">
        <f>IFERROR((((COUNTIF('Elève (3ème5)'!RH18:RM18,"A"))*4)+((COUNTIF('Elève (3ème5)'!RH18:RM18,"B"))*3)+((COUNTIF('Elève (3ème5)'!RH18:RM18,"C"))*2)+((COUNTIF('Elève (3ème5)'!RH18:RM18,"D"))*1))/(COUNTA(RH18:RM18)),"")</f>
        <v/>
      </c>
      <c r="RO18" s="164" t="str">
        <f t="shared" si="117"/>
        <v/>
      </c>
      <c r="RP18" s="163" t="str">
        <f>IF(COUNT(QZ18,RF18,RN18)=0,"",SUM(QZ18,RF18,RN18)/COUNT(QZ18,RF18,RN18))</f>
        <v/>
      </c>
      <c r="RQ18" s="187" t="str">
        <f t="shared" si="118"/>
        <v/>
      </c>
      <c r="RR18" s="103"/>
      <c r="RS18" s="104"/>
      <c r="RT18" s="105"/>
      <c r="RU18" s="163" t="str">
        <f>IFERROR((((COUNTIF('Elève (3ème5)'!RR18:RT18,"A"))*4)+((COUNTIF('Elève (3ème5)'!RR18:RT18,"B"))*3)+((COUNTIF('Elève (3ème5)'!RR18:RT18,"C"))*2)+((COUNTIF('Elève (3ème5)'!RR18:RT18,"D"))*1))/(COUNTA(RR18:RT18)),"")</f>
        <v/>
      </c>
      <c r="RV18" s="164" t="str">
        <f t="shared" si="119"/>
        <v/>
      </c>
      <c r="RW18" s="103"/>
      <c r="RX18" s="104"/>
      <c r="RY18" s="105"/>
      <c r="RZ18" s="105"/>
      <c r="SA18" s="163" t="str">
        <f>IFERROR((((COUNTIF('Elève (3ème5)'!RW18:RZ18,"A"))*4)+((COUNTIF('Elève (3ème5)'!RW18:RZ18,"B"))*3)+((COUNTIF('Elève (3ème5)'!RW18:RZ18,"C"))*2)+((COUNTIF('Elève (3ème5)'!RW18:RZ18,"D"))*1))/(COUNTA(RW18:RZ18)),"")</f>
        <v/>
      </c>
      <c r="SB18" s="164" t="str">
        <f t="shared" si="120"/>
        <v/>
      </c>
      <c r="SC18" s="103"/>
      <c r="SD18" s="104"/>
      <c r="SE18" s="105"/>
      <c r="SF18" s="105"/>
      <c r="SG18" s="105"/>
      <c r="SH18" s="109"/>
      <c r="SI18" s="163" t="str">
        <f>IFERROR((((COUNTIF('Elève (3ème5)'!SC18:SH18,"A"))*4)+((COUNTIF('Elève (3ème5)'!SC18:SH18,"B"))*3)+((COUNTIF('Elève (3ème5)'!SC18:SH18,"C"))*2)+((COUNTIF('Elève (3ème5)'!SC18:SH18,"D"))*1))/(COUNTA(SC18:SH18)),"")</f>
        <v/>
      </c>
      <c r="SJ18" s="164" t="str">
        <f t="shared" si="121"/>
        <v/>
      </c>
      <c r="SK18" s="163" t="str">
        <f>IF(COUNT(RU18,SA18,SI18)=0,"",SUM(RU18,SA18,SI18)/COUNT(RU18,SA18,SI18))</f>
        <v/>
      </c>
      <c r="SL18" s="187" t="str">
        <f t="shared" si="122"/>
        <v/>
      </c>
      <c r="SM18" s="103"/>
      <c r="SN18" s="104"/>
      <c r="SO18" s="105"/>
      <c r="SP18" s="163" t="str">
        <f>IFERROR((((COUNTIF('Elève (3ème5)'!SM18:SO18,"A"))*4)+((COUNTIF('Elève (3ème5)'!SM18:SO18,"B"))*3)+((COUNTIF('Elève (3ème5)'!SM18:SO18,"C"))*2)+((COUNTIF('Elève (3ème5)'!SM18:SO18,"D"))*1))/(COUNTA(SM18:SO18)),"")</f>
        <v/>
      </c>
      <c r="SQ18" s="164" t="str">
        <f t="shared" si="123"/>
        <v/>
      </c>
      <c r="SR18" s="103"/>
      <c r="SS18" s="104"/>
      <c r="ST18" s="105"/>
      <c r="SU18" s="105"/>
      <c r="SV18" s="163" t="str">
        <f>IFERROR((((COUNTIF('Elève (3ème5)'!SR18:SU18,"A"))*4)+((COUNTIF('Elève (3ème5)'!SR18:SU18,"B"))*3)+((COUNTIF('Elève (3ème5)'!SR18:SU18,"C"))*2)+((COUNTIF('Elève (3ème5)'!SR18:SU18,"D"))*1))/(COUNTA(SR18:SU18)),"")</f>
        <v/>
      </c>
      <c r="SW18" s="164" t="str">
        <f t="shared" si="124"/>
        <v/>
      </c>
      <c r="SX18" s="103"/>
      <c r="SY18" s="104"/>
      <c r="SZ18" s="105"/>
      <c r="TA18" s="105"/>
      <c r="TB18" s="105"/>
      <c r="TC18" s="109"/>
      <c r="TD18" s="163" t="str">
        <f>IFERROR((((COUNTIF('Elève (3ème5)'!SX18:TC18,"A"))*4)+((COUNTIF('Elève (3ème5)'!SX18:TC18,"B"))*3)+((COUNTIF('Elève (3ème5)'!SX18:TC18,"C"))*2)+((COUNTIF('Elève (3ème5)'!SX18:TC18,"D"))*1))/(COUNTA(SX18:TC18)),"")</f>
        <v/>
      </c>
      <c r="TE18" s="164" t="str">
        <f t="shared" si="125"/>
        <v/>
      </c>
      <c r="TF18" s="163" t="str">
        <f>IF(COUNT(SP18,SV18,TD18)=0,"",SUM(SP18,SV18,TD18)/COUNT(SP18,SV18,TD18))</f>
        <v/>
      </c>
      <c r="TG18" s="187" t="str">
        <f t="shared" si="126"/>
        <v/>
      </c>
      <c r="TH18" s="103"/>
      <c r="TI18" s="104"/>
      <c r="TJ18" s="105"/>
      <c r="TK18" s="163" t="str">
        <f>IFERROR((((COUNTIF('Elève (3ème5)'!TH18:TJ18,"A"))*4)+((COUNTIF('Elève (3ème5)'!TH18:TJ18,"B"))*3)+((COUNTIF('Elève (3ème5)'!TH18:TJ18,"C"))*2)+((COUNTIF('Elève (3ème5)'!TH18:TJ18,"D"))*1))/(COUNTA(TH18:TJ18)),"")</f>
        <v/>
      </c>
      <c r="TL18" s="164" t="str">
        <f t="shared" si="127"/>
        <v/>
      </c>
      <c r="TM18" s="103"/>
      <c r="TN18" s="104"/>
      <c r="TO18" s="105"/>
      <c r="TP18" s="105"/>
      <c r="TQ18" s="163" t="str">
        <f>IFERROR((((COUNTIF('Elève (3ème5)'!TM18:TP18,"A"))*4)+((COUNTIF('Elève (3ème5)'!TM18:TP18,"B"))*3)+((COUNTIF('Elève (3ème5)'!TM18:TP18,"C"))*2)+((COUNTIF('Elève (3ème5)'!TM18:TP18,"D"))*1))/(COUNTA(TM18:TP18)),"")</f>
        <v/>
      </c>
      <c r="TR18" s="164" t="str">
        <f t="shared" si="128"/>
        <v/>
      </c>
      <c r="TS18" s="103"/>
      <c r="TT18" s="104"/>
      <c r="TU18" s="105"/>
      <c r="TV18" s="105"/>
      <c r="TW18" s="105"/>
      <c r="TX18" s="109"/>
      <c r="TY18" s="163" t="str">
        <f>IFERROR((((COUNTIF('Elève (3ème5)'!TS18:TX18,"A"))*4)+((COUNTIF('Elève (3ème5)'!TS18:TX18,"B"))*3)+((COUNTIF('Elève (3ème5)'!TS18:TX18,"C"))*2)+((COUNTIF('Elève (3ème5)'!TS18:TX18,"D"))*1))/(COUNTA(TS18:TX18)),"")</f>
        <v/>
      </c>
      <c r="TZ18" s="164" t="str">
        <f t="shared" si="129"/>
        <v/>
      </c>
      <c r="UA18" s="163" t="str">
        <f>IF(COUNT(TK18,TQ18,TY18)=0,"",SUM(TK18,TQ18,TY18)/COUNT(TK18,TQ18,TY18))</f>
        <v/>
      </c>
      <c r="UB18" s="187" t="str">
        <f t="shared" si="130"/>
        <v/>
      </c>
      <c r="UC18" s="103"/>
      <c r="UD18" s="104"/>
      <c r="UE18" s="105"/>
      <c r="UF18" s="163" t="str">
        <f>IFERROR((((COUNTIF('Elève (3ème5)'!UC18:UE18,"A"))*4)+((COUNTIF('Elève (3ème5)'!UC18:UE18,"B"))*3)+((COUNTIF('Elève (3ème5)'!UC18:UE18,"C"))*2)+((COUNTIF('Elève (3ème5)'!UC18:UE18,"D"))*1))/(COUNTA(UC18:UE18)),"")</f>
        <v/>
      </c>
      <c r="UG18" s="164" t="str">
        <f t="shared" si="131"/>
        <v/>
      </c>
      <c r="UH18" s="103"/>
      <c r="UI18" s="104"/>
      <c r="UJ18" s="105"/>
      <c r="UK18" s="105"/>
      <c r="UL18" s="163" t="str">
        <f>IFERROR((((COUNTIF('Elève (3ème5)'!UH18:UK18,"A"))*4)+((COUNTIF('Elève (3ème5)'!UH18:UK18,"B"))*3)+((COUNTIF('Elève (3ème5)'!UH18:UK18,"C"))*2)+((COUNTIF('Elève (3ème5)'!UH18:UK18,"D"))*1))/(COUNTA(UH18:UK18)),"")</f>
        <v/>
      </c>
      <c r="UM18" s="164" t="str">
        <f t="shared" si="132"/>
        <v/>
      </c>
      <c r="UN18" s="103"/>
      <c r="UO18" s="104"/>
      <c r="UP18" s="105"/>
      <c r="UQ18" s="105"/>
      <c r="UR18" s="105"/>
      <c r="US18" s="109"/>
      <c r="UT18" s="163" t="str">
        <f>IFERROR((((COUNTIF('Elève (3ème5)'!UN18:US18,"A"))*4)+((COUNTIF('Elève (3ème5)'!UN18:US18,"B"))*3)+((COUNTIF('Elève (3ème5)'!UN18:US18,"C"))*2)+((COUNTIF('Elève (3ème5)'!UN18:US18,"D"))*1))/(COUNTA(UN18:US18)),"")</f>
        <v/>
      </c>
      <c r="UU18" s="164" t="str">
        <f t="shared" si="133"/>
        <v/>
      </c>
      <c r="UV18" s="163" t="str">
        <f>IF(COUNT(UF18,UL18,UT18)=0,"",SUM(UF18,UL18,UT18)/COUNT(UF18,UL18,UT18))</f>
        <v/>
      </c>
      <c r="UW18" s="187" t="str">
        <f t="shared" si="134"/>
        <v/>
      </c>
      <c r="UX18" s="103"/>
      <c r="UY18" s="104"/>
      <c r="UZ18" s="105"/>
      <c r="VA18" s="163" t="str">
        <f>IFERROR((((COUNTIF('Elève (3ème5)'!UX18:UZ18,"A"))*4)+((COUNTIF('Elève (3ème5)'!UX18:UZ18,"B"))*3)+((COUNTIF('Elève (3ème5)'!UX18:UZ18,"C"))*2)+((COUNTIF('Elève (3ème5)'!UX18:UZ18,"D"))*1))/(COUNTA(UX18:UZ18)),"")</f>
        <v/>
      </c>
      <c r="VB18" s="164" t="str">
        <f t="shared" si="135"/>
        <v/>
      </c>
      <c r="VC18" s="103"/>
      <c r="VD18" s="104"/>
      <c r="VE18" s="105"/>
      <c r="VF18" s="105"/>
      <c r="VG18" s="163" t="str">
        <f>IFERROR((((COUNTIF('Elève (3ème5)'!VC18:VF18,"A"))*4)+((COUNTIF('Elève (3ème5)'!VC18:VF18,"B"))*3)+((COUNTIF('Elève (3ème5)'!VC18:VF18,"C"))*2)+((COUNTIF('Elève (3ème5)'!VC18:VF18,"D"))*1))/(COUNTA(VC18:VF18)),"")</f>
        <v/>
      </c>
      <c r="VH18" s="164" t="str">
        <f t="shared" si="136"/>
        <v/>
      </c>
      <c r="VI18" s="103"/>
      <c r="VJ18" s="104"/>
      <c r="VK18" s="105"/>
      <c r="VL18" s="105"/>
      <c r="VM18" s="105"/>
      <c r="VN18" s="109"/>
      <c r="VO18" s="163" t="str">
        <f>IFERROR((((COUNTIF('Elève (3ème5)'!VI18:VN18,"A"))*4)+((COUNTIF('Elève (3ème5)'!VI18:VN18,"B"))*3)+((COUNTIF('Elève (3ème5)'!VI18:VN18,"C"))*2)+((COUNTIF('Elève (3ème5)'!VI18:VN18,"D"))*1))/(COUNTA(VI18:VN18)),"")</f>
        <v/>
      </c>
      <c r="VP18" s="164" t="str">
        <f t="shared" si="137"/>
        <v/>
      </c>
      <c r="VQ18" s="163" t="str">
        <f>IF(COUNT(VA18,VG18,VO18)=0,"",SUM(VA18,VG18,VO18)/COUNT(VA18,VG18,VO18))</f>
        <v/>
      </c>
      <c r="VR18" s="187" t="str">
        <f t="shared" si="138"/>
        <v/>
      </c>
      <c r="VS18" s="103"/>
      <c r="VT18" s="104"/>
      <c r="VU18" s="105"/>
      <c r="VV18" s="106" t="str">
        <f>IFERROR((((COUNTIF('Elève (3ème5)'!VS18:VU18,"A"))*4)+((COUNTIF('Elève (3ème5)'!VS18:VU18,"B"))*3)+((COUNTIF('Elève (3ème5)'!VS18:VU18,"C"))*2)+((COUNTIF('Elève (3ème5)'!VS18:VU18,"D"))*1))/(COUNTA(VS18:VU18)),"")</f>
        <v/>
      </c>
      <c r="VW18" s="107" t="str">
        <f t="shared" si="139"/>
        <v/>
      </c>
      <c r="VX18" s="103"/>
      <c r="VY18" s="104"/>
      <c r="VZ18" s="105"/>
      <c r="WA18" s="106" t="str">
        <f>IFERROR((((COUNTIF('Elève (3ème5)'!VX18:VZ18,"A"))*4)+((COUNTIF('Elève (3ème5)'!VX18:VZ18,"B"))*3)+((COUNTIF('Elève (3ème5)'!VX18:VZ18,"C"))*2)+((COUNTIF('Elève (3ème5)'!VX18:VZ18,"D"))*1))/(COUNTA(VX18:VZ18)),"")</f>
        <v/>
      </c>
      <c r="WB18" s="107" t="str">
        <f t="shared" si="140"/>
        <v/>
      </c>
      <c r="WC18" s="103"/>
      <c r="WD18" s="104"/>
      <c r="WE18" s="109"/>
      <c r="WF18" s="106" t="str">
        <f>IFERROR((((COUNTIF('Elève (3ème5)'!WC18:WE18,"A"))*4)+((COUNTIF('Elève (3ème5)'!WC18:WE18,"B"))*3)+((COUNTIF('Elève (3ème5)'!WC18:WE18,"C"))*2)+((COUNTIF('Elève (3ème5)'!WC18:WE18,"D"))*1))/(COUNTA(WC18:WE18)),"")</f>
        <v/>
      </c>
      <c r="WG18" s="107" t="str">
        <f t="shared" si="141"/>
        <v/>
      </c>
      <c r="WH18" s="106" t="str">
        <f>IF(COUNT(VV18,WA18,WF18)=0,"",SUM(VV18,WA18,WF18)/COUNT(VV18,WA18,WF18))</f>
        <v/>
      </c>
      <c r="WI18" s="108" t="str">
        <f t="shared" si="142"/>
        <v/>
      </c>
      <c r="WJ18" s="103"/>
      <c r="WK18" s="104"/>
      <c r="WL18" s="105"/>
      <c r="WM18" s="106" t="str">
        <f>IFERROR((((COUNTIF('Elève (3ème5)'!WJ18:WL18,"A"))*4)+((COUNTIF('Elève (3ème5)'!WJ18:WL18,"B"))*3)+((COUNTIF('Elève (3ème5)'!WJ18:WL18,"C"))*2)+((COUNTIF('Elève (3ème5)'!WJ18:WL18,"D"))*1))/(COUNTA(WJ18:WL18)),"")</f>
        <v/>
      </c>
      <c r="WN18" s="107" t="str">
        <f t="shared" si="143"/>
        <v/>
      </c>
      <c r="WO18" s="103"/>
      <c r="WP18" s="104"/>
      <c r="WQ18" s="105"/>
      <c r="WR18" s="106" t="str">
        <f>IFERROR((((COUNTIF('Elève (3ème5)'!WO18:WQ18,"A"))*4)+((COUNTIF('Elève (3ème5)'!WO18:WQ18,"B"))*3)+((COUNTIF('Elève (3ème5)'!WO18:WQ18,"C"))*2)+((COUNTIF('Elève (3ème5)'!WO18:WQ18,"D"))*1))/(COUNTA(WO18:WQ18)),"")</f>
        <v/>
      </c>
      <c r="WS18" s="107" t="str">
        <f t="shared" si="144"/>
        <v/>
      </c>
      <c r="WT18" s="103"/>
      <c r="WU18" s="104"/>
      <c r="WV18" s="109"/>
      <c r="WW18" s="106" t="str">
        <f>IFERROR((((COUNTIF('Elève (3ème5)'!WT18:WV18,"A"))*4)+((COUNTIF('Elève (3ème5)'!WT18:WV18,"B"))*3)+((COUNTIF('Elève (3ème5)'!WT18:WV18,"C"))*2)+((COUNTIF('Elève (3ème5)'!WT18:WV18,"D"))*1))/(COUNTA(WT18:WV18)),"")</f>
        <v/>
      </c>
      <c r="WX18" s="107" t="str">
        <f t="shared" si="145"/>
        <v/>
      </c>
      <c r="WY18" s="106" t="str">
        <f>IF(COUNT(WM18,WR18,WW18)=0,"",SUM(WM18,WR18,WW18)/COUNT(WM18,WR18,WW18))</f>
        <v/>
      </c>
      <c r="WZ18" s="108" t="str">
        <f t="shared" si="146"/>
        <v/>
      </c>
    </row>
    <row r="19" spans="1:624" ht="18" customHeight="1" thickBot="1" x14ac:dyDescent="0.6">
      <c r="A19" s="215" t="s">
        <v>23</v>
      </c>
      <c r="B19" s="216"/>
      <c r="C19" s="110"/>
      <c r="D19" s="111"/>
      <c r="E19" s="112"/>
      <c r="F19" s="165" t="str">
        <f>IFERROR((((COUNTIF('Elève (3ème5)'!C19:E19,"A"))*4)+((COUNTIF('Elève (3ème5)'!C19:E19,"B"))*3)+((COUNTIF('Elève (3ème5)'!C19:E19,"C"))*2)+((COUNTIF('Elève (3ème5)'!C19:E19,"D"))*1))/(COUNTA(C19:E19)),"")</f>
        <v/>
      </c>
      <c r="G19" s="166" t="str">
        <f t="shared" si="27"/>
        <v/>
      </c>
      <c r="H19" s="110" t="s">
        <v>28</v>
      </c>
      <c r="I19" s="111"/>
      <c r="J19" s="112"/>
      <c r="K19" s="112"/>
      <c r="L19" s="165">
        <f>IFERROR((((COUNTIF('Elève (3ème5)'!H19:K19,"A"))*4)+((COUNTIF('Elève (3ème5)'!H19:K19,"B"))*3)+((COUNTIF('Elève (3ème5)'!H19:K19,"C"))*2)+((COUNTIF('Elève (3ème5)'!H19:K19,"D"))*1))/(COUNTA(H19:K19)),"")</f>
        <v>3</v>
      </c>
      <c r="M19" s="166" t="str">
        <f t="shared" si="28"/>
        <v>B</v>
      </c>
      <c r="N19" s="110"/>
      <c r="O19" s="111"/>
      <c r="P19" s="112" t="s">
        <v>29</v>
      </c>
      <c r="Q19" s="112" t="s">
        <v>28</v>
      </c>
      <c r="R19" s="112"/>
      <c r="S19" s="112"/>
      <c r="T19" s="165">
        <f>IFERROR((((COUNTIF('Elève (3ème5)'!N19:S19,"A"))*4)+((COUNTIF('Elève (3ème5)'!N19:S19,"B"))*3)+((COUNTIF('Elève (3ème5)'!N19:S19,"C"))*2)+((COUNTIF('Elève (3ème5)'!N19:S19,"D"))*1))/(COUNTA(N19:S19)),"")</f>
        <v>2.5</v>
      </c>
      <c r="U19" s="166" t="str">
        <f t="shared" si="29"/>
        <v>C</v>
      </c>
      <c r="V19" s="165">
        <f>IF(COUNT(F19,L19,T19)=0,"",SUM(F19,L19,T19)/COUNT(F19,L19,T19))</f>
        <v>2.75</v>
      </c>
      <c r="W19" s="188" t="str">
        <f t="shared" si="30"/>
        <v>C</v>
      </c>
      <c r="X19" s="110"/>
      <c r="Y19" s="111"/>
      <c r="Z19" s="112"/>
      <c r="AA19" s="165" t="str">
        <f>IFERROR((((COUNTIF('Elève (3ème5)'!X19:Z19,"A"))*4)+((COUNTIF('Elève (3ème5)'!X19:Z19,"B"))*3)+((COUNTIF('Elève (3ème5)'!X19:Z19,"C"))*2)+((COUNTIF('Elève (3ème5)'!X19:Z19,"D"))*1))/(COUNTA(X19:Z19)),"")</f>
        <v/>
      </c>
      <c r="AB19" s="166" t="str">
        <f t="shared" si="31"/>
        <v/>
      </c>
      <c r="AC19" s="110" t="s">
        <v>29</v>
      </c>
      <c r="AD19" s="111"/>
      <c r="AE19" s="112"/>
      <c r="AF19" s="112"/>
      <c r="AG19" s="165">
        <f>IFERROR((((COUNTIF('Elève (3ème5)'!AC19:AF19,"A"))*4)+((COUNTIF('Elève (3ème5)'!AC19:AF19,"B"))*3)+((COUNTIF('Elève (3ème5)'!AC19:AF19,"C"))*2)+((COUNTIF('Elève (3ème5)'!AC19:AF19,"D"))*1))/(COUNTA(AC19:AF19)),"")</f>
        <v>2</v>
      </c>
      <c r="AH19" s="166" t="str">
        <f t="shared" si="32"/>
        <v>C</v>
      </c>
      <c r="AI19" s="110"/>
      <c r="AJ19" s="111"/>
      <c r="AK19" s="112" t="s">
        <v>28</v>
      </c>
      <c r="AL19" s="112" t="s">
        <v>28</v>
      </c>
      <c r="AM19" s="112"/>
      <c r="AN19" s="116"/>
      <c r="AO19" s="165">
        <f>IFERROR((((COUNTIF('Elève (3ème5)'!AI19:AN19,"A"))*4)+((COUNTIF('Elève (3ème5)'!AI19:AN19,"B"))*3)+((COUNTIF('Elève (3ème5)'!AI19:AN19,"C"))*2)+((COUNTIF('Elève (3ème5)'!AI19:AN19,"D"))*1))/(COUNTA(AI19:AN19)),"")</f>
        <v>3</v>
      </c>
      <c r="AP19" s="166" t="str">
        <f t="shared" si="33"/>
        <v>B</v>
      </c>
      <c r="AQ19" s="165">
        <f>IF(COUNT(AA19,AG19,AO19)=0,"",SUM(AA19,AG19,AO19)/COUNT(AA19,AG19,AO19))</f>
        <v>2.5</v>
      </c>
      <c r="AR19" s="188" t="str">
        <f t="shared" si="34"/>
        <v>C</v>
      </c>
      <c r="AS19" s="110"/>
      <c r="AT19" s="111"/>
      <c r="AU19" s="112"/>
      <c r="AV19" s="165" t="str">
        <f>IFERROR((((COUNTIF('Elève (3ème5)'!AS19:AU19,"A"))*4)+((COUNTIF('Elève (3ème5)'!AS19:AU19,"B"))*3)+((COUNTIF('Elève (3ème5)'!AS19:AU19,"C"))*2)+((COUNTIF('Elève (3ème5)'!AS19:AU19,"D"))*1))/(COUNTA(AS19:AU19)),"")</f>
        <v/>
      </c>
      <c r="AW19" s="166" t="str">
        <f t="shared" si="35"/>
        <v/>
      </c>
      <c r="AX19" s="110" t="s">
        <v>29</v>
      </c>
      <c r="AY19" s="111"/>
      <c r="AZ19" s="112"/>
      <c r="BA19" s="112"/>
      <c r="BB19" s="165">
        <f>IFERROR((((COUNTIF('Elève (3ème5)'!AX19:BA19,"A"))*4)+((COUNTIF('Elève (3ème5)'!AX19:BA19,"B"))*3)+((COUNTIF('Elève (3ème5)'!AX19:BA19,"C"))*2)+((COUNTIF('Elève (3ème5)'!AX19:BA19,"D"))*1))/(COUNTA(AX19:BA19)),"")</f>
        <v>2</v>
      </c>
      <c r="BC19" s="166" t="str">
        <f t="shared" si="36"/>
        <v>C</v>
      </c>
      <c r="BD19" s="110"/>
      <c r="BE19" s="111"/>
      <c r="BF19" s="112" t="s">
        <v>29</v>
      </c>
      <c r="BG19" s="112" t="s">
        <v>29</v>
      </c>
      <c r="BH19" s="112"/>
      <c r="BI19" s="116"/>
      <c r="BJ19" s="165">
        <f>IFERROR((((COUNTIF('Elève (3ème5)'!BD19:BI19,"A"))*4)+((COUNTIF('Elève (3ème5)'!BD19:BI19,"B"))*3)+((COUNTIF('Elève (3ème5)'!BD19:BI19,"C"))*2)+((COUNTIF('Elève (3ème5)'!BD19:BI19,"D"))*1))/(COUNTA(BD19:BI19)),"")</f>
        <v>2</v>
      </c>
      <c r="BK19" s="166" t="str">
        <f t="shared" si="37"/>
        <v>C</v>
      </c>
      <c r="BL19" s="165">
        <f>IF(COUNT(AV19,BB19,BJ19)=0,"",SUM(AV19,BB19,BJ19)/COUNT(AV19,BB19,BJ19))</f>
        <v>2</v>
      </c>
      <c r="BM19" s="188" t="str">
        <f t="shared" si="38"/>
        <v>C</v>
      </c>
      <c r="BN19" s="110"/>
      <c r="BO19" s="111"/>
      <c r="BP19" s="112"/>
      <c r="BQ19" s="165" t="str">
        <f>IFERROR((((COUNTIF('Elève (3ème5)'!BN19:BP19,"A"))*4)+((COUNTIF('Elève (3ème5)'!BN19:BP19,"B"))*3)+((COUNTIF('Elève (3ème5)'!BN19:BP19,"C"))*2)+((COUNTIF('Elève (3ème5)'!BN19:BP19,"D"))*1))/(COUNTA(BN19:BP19)),"")</f>
        <v/>
      </c>
      <c r="BR19" s="166" t="str">
        <f t="shared" si="39"/>
        <v/>
      </c>
      <c r="BS19" s="110" t="s">
        <v>29</v>
      </c>
      <c r="BT19" s="111"/>
      <c r="BU19" s="112"/>
      <c r="BV19" s="112"/>
      <c r="BW19" s="165">
        <f>IFERROR((((COUNTIF('Elève (3ème5)'!BS19:BV19,"A"))*4)+((COUNTIF('Elève (3ème5)'!BS19:BV19,"B"))*3)+((COUNTIF('Elève (3ème5)'!BS19:BV19,"C"))*2)+((COUNTIF('Elève (3ème5)'!BS19:BV19,"D"))*1))/(COUNTA(BS19:BV19)),"")</f>
        <v>2</v>
      </c>
      <c r="BX19" s="166" t="str">
        <f t="shared" si="40"/>
        <v>C</v>
      </c>
      <c r="BY19" s="110"/>
      <c r="BZ19" s="111"/>
      <c r="CA19" s="112" t="s">
        <v>29</v>
      </c>
      <c r="CB19" s="112" t="s">
        <v>29</v>
      </c>
      <c r="CC19" s="112"/>
      <c r="CD19" s="116"/>
      <c r="CE19" s="165">
        <f>IFERROR((((COUNTIF('Elève (3ème5)'!BY19:CD19,"A"))*4)+((COUNTIF('Elève (3ème5)'!BY19:CD19,"B"))*3)+((COUNTIF('Elève (3ème5)'!BY19:CD19,"C"))*2)+((COUNTIF('Elève (3ème5)'!BY19:CD19,"D"))*1))/(COUNTA(BY19:CD19)),"")</f>
        <v>2</v>
      </c>
      <c r="CF19" s="166" t="str">
        <f t="shared" si="41"/>
        <v>C</v>
      </c>
      <c r="CG19" s="165">
        <f>IF(COUNT(BQ19,BW19,CE19)=0,"",SUM(BQ19,BW19,CE19)/COUNT(BQ19,BW19,CE19))</f>
        <v>2</v>
      </c>
      <c r="CH19" s="188" t="str">
        <f t="shared" si="42"/>
        <v>C</v>
      </c>
      <c r="CI19" s="110"/>
      <c r="CJ19" s="111"/>
      <c r="CK19" s="112"/>
      <c r="CL19" s="165" t="str">
        <f>IFERROR((((COUNTIF('Elève (3ème5)'!CI19:CK19,"A"))*4)+((COUNTIF('Elève (3ème5)'!CI19:CK19,"B"))*3)+((COUNTIF('Elève (3ème5)'!CI19:CK19,"C"))*2)+((COUNTIF('Elève (3ème5)'!CI19:CK19,"D"))*1))/(COUNTA(CI19:CK19)),"")</f>
        <v/>
      </c>
      <c r="CM19" s="166" t="str">
        <f t="shared" si="43"/>
        <v/>
      </c>
      <c r="CN19" s="110" t="s">
        <v>29</v>
      </c>
      <c r="CO19" s="111"/>
      <c r="CP19" s="112"/>
      <c r="CQ19" s="112"/>
      <c r="CR19" s="165">
        <f>IFERROR((((COUNTIF('Elève (3ème5)'!CN19:CQ19,"A"))*4)+((COUNTIF('Elève (3ème5)'!CN19:CQ19,"B"))*3)+((COUNTIF('Elève (3ème5)'!CN19:CQ19,"C"))*2)+((COUNTIF('Elève (3ème5)'!CN19:CQ19,"D"))*1))/(COUNTA(CN19:CQ19)),"")</f>
        <v>2</v>
      </c>
      <c r="CS19" s="166" t="str">
        <f t="shared" si="44"/>
        <v>C</v>
      </c>
      <c r="CT19" s="110"/>
      <c r="CU19" s="111"/>
      <c r="CV19" s="112" t="s">
        <v>29</v>
      </c>
      <c r="CW19" s="112" t="s">
        <v>27</v>
      </c>
      <c r="CX19" s="112"/>
      <c r="CY19" s="116"/>
      <c r="CZ19" s="165">
        <f>IFERROR((((COUNTIF('Elève (3ème5)'!CT19:CY19,"A"))*4)+((COUNTIF('Elève (3ème5)'!CT19:CY19,"B"))*3)+((COUNTIF('Elève (3ème5)'!CT19:CY19,"C"))*2)+((COUNTIF('Elève (3ème5)'!CT19:CY19,"D"))*1))/(COUNTA(CT19:CY19)),"")</f>
        <v>3</v>
      </c>
      <c r="DA19" s="166" t="str">
        <f t="shared" si="45"/>
        <v>B</v>
      </c>
      <c r="DB19" s="165">
        <f>IF(COUNT(CL19,CR19,CZ19)=0,"",SUM(CL19,CR19,CZ19)/COUNT(CL19,CR19,CZ19))</f>
        <v>2.5</v>
      </c>
      <c r="DC19" s="188" t="str">
        <f t="shared" si="46"/>
        <v>C</v>
      </c>
      <c r="DD19" s="110"/>
      <c r="DE19" s="111"/>
      <c r="DF19" s="112"/>
      <c r="DG19" s="165" t="str">
        <f>IFERROR((((COUNTIF('Elève (3ème5)'!DD19:DF19,"A"))*4)+((COUNTIF('Elève (3ème5)'!DD19:DF19,"B"))*3)+((COUNTIF('Elève (3ème5)'!DD19:DF19,"C"))*2)+((COUNTIF('Elève (3ème5)'!DD19:DF19,"D"))*1))/(COUNTA(DD19:DF19)),"")</f>
        <v/>
      </c>
      <c r="DH19" s="166" t="str">
        <f t="shared" si="47"/>
        <v/>
      </c>
      <c r="DI19" s="110" t="s">
        <v>29</v>
      </c>
      <c r="DJ19" s="111"/>
      <c r="DK19" s="112"/>
      <c r="DL19" s="112"/>
      <c r="DM19" s="165">
        <f>IFERROR((((COUNTIF('Elève (3ème5)'!DI19:DL19,"A"))*4)+((COUNTIF('Elève (3ème5)'!DI19:DL19,"B"))*3)+((COUNTIF('Elève (3ème5)'!DI19:DL19,"C"))*2)+((COUNTIF('Elève (3ème5)'!DI19:DL19,"D"))*1))/(COUNTA(DI19:DL19)),"")</f>
        <v>2</v>
      </c>
      <c r="DN19" s="166" t="str">
        <f t="shared" si="48"/>
        <v>C</v>
      </c>
      <c r="DO19" s="110"/>
      <c r="DP19" s="111"/>
      <c r="DQ19" s="112" t="s">
        <v>27</v>
      </c>
      <c r="DR19" s="112" t="s">
        <v>27</v>
      </c>
      <c r="DS19" s="112"/>
      <c r="DT19" s="116"/>
      <c r="DU19" s="165">
        <f>IFERROR((((COUNTIF('Elève (3ème5)'!DO19:DT19,"A"))*4)+((COUNTIF('Elève (3ème5)'!DO19:DT19,"B"))*3)+((COUNTIF('Elève (3ème5)'!DO19:DT19,"C"))*2)+((COUNTIF('Elève (3ème5)'!DO19:DT19,"D"))*1))/(COUNTA(DO19:DT19)),"")</f>
        <v>4</v>
      </c>
      <c r="DV19" s="166" t="str">
        <f t="shared" si="49"/>
        <v>A</v>
      </c>
      <c r="DW19" s="165">
        <f>IF(COUNT(DG19,DM19,DU19)=0,"",SUM(DG19,DM19,DU19)/COUNT(DG19,DM19,DU19))</f>
        <v>3</v>
      </c>
      <c r="DX19" s="188" t="str">
        <f t="shared" si="50"/>
        <v>B</v>
      </c>
      <c r="DY19" s="110"/>
      <c r="DZ19" s="111"/>
      <c r="EA19" s="112"/>
      <c r="EB19" s="165" t="str">
        <f>IFERROR((((COUNTIF('Elève (3ème5)'!DY19:EA19,"A"))*4)+((COUNTIF('Elève (3ème5)'!DY19:EA19,"B"))*3)+((COUNTIF('Elève (3ème5)'!DY19:EA19,"C"))*2)+((COUNTIF('Elève (3ème5)'!DY19:EA19,"D"))*1))/(COUNTA(DY19:EA19)),"")</f>
        <v/>
      </c>
      <c r="EC19" s="166" t="str">
        <f t="shared" si="51"/>
        <v/>
      </c>
      <c r="ED19" s="110" t="s">
        <v>29</v>
      </c>
      <c r="EE19" s="111"/>
      <c r="EF19" s="112"/>
      <c r="EG19" s="112"/>
      <c r="EH19" s="165">
        <f>IFERROR((((COUNTIF('Elève (3ème5)'!ED19:EG19,"A"))*4)+((COUNTIF('Elève (3ème5)'!ED19:EG19,"B"))*3)+((COUNTIF('Elève (3ème5)'!ED19:EG19,"C"))*2)+((COUNTIF('Elève (3ème5)'!ED19:EG19,"D"))*1))/(COUNTA(ED19:EG19)),"")</f>
        <v>2</v>
      </c>
      <c r="EI19" s="166" t="str">
        <f t="shared" si="52"/>
        <v>C</v>
      </c>
      <c r="EJ19" s="110"/>
      <c r="EK19" s="111"/>
      <c r="EL19" s="112" t="s">
        <v>28</v>
      </c>
      <c r="EM19" s="112" t="s">
        <v>28</v>
      </c>
      <c r="EN19" s="112"/>
      <c r="EO19" s="116"/>
      <c r="EP19" s="165">
        <f>IFERROR((((COUNTIF('Elève (3ème5)'!EJ19:EO19,"A"))*4)+((COUNTIF('Elève (3ème5)'!EJ19:EO19,"B"))*3)+((COUNTIF('Elève (3ème5)'!EJ19:EO19,"C"))*2)+((COUNTIF('Elève (3ème5)'!EJ19:EO19,"D"))*1))/(COUNTA(EJ19:EO19)),"")</f>
        <v>3</v>
      </c>
      <c r="EQ19" s="166" t="str">
        <f t="shared" si="53"/>
        <v>B</v>
      </c>
      <c r="ER19" s="165">
        <f>IF(COUNT(EB19,EH19,EP19)=0,"",SUM(EB19,EH19,EP19)/COUNT(EB19,EH19,EP19))</f>
        <v>2.5</v>
      </c>
      <c r="ES19" s="188" t="str">
        <f t="shared" si="54"/>
        <v>C</v>
      </c>
      <c r="ET19" s="110"/>
      <c r="EU19" s="111"/>
      <c r="EV19" s="112"/>
      <c r="EW19" s="165" t="str">
        <f>IFERROR((((COUNTIF('Elève (3ème5)'!ET19:EV19,"A"))*4)+((COUNTIF('Elève (3ème5)'!ET19:EV19,"B"))*3)+((COUNTIF('Elève (3ème5)'!ET19:EV19,"C"))*2)+((COUNTIF('Elève (3ème5)'!ET19:EV19,"D"))*1))/(COUNTA(ET19:EV19)),"")</f>
        <v/>
      </c>
      <c r="EX19" s="166" t="str">
        <f t="shared" si="55"/>
        <v/>
      </c>
      <c r="EY19" s="110" t="s">
        <v>28</v>
      </c>
      <c r="EZ19" s="111"/>
      <c r="FA19" s="112"/>
      <c r="FB19" s="112"/>
      <c r="FC19" s="165">
        <f>IFERROR((((COUNTIF('Elève (3ème5)'!EY19:FB19,"A"))*4)+((COUNTIF('Elève (3ème5)'!EY19:FB19,"B"))*3)+((COUNTIF('Elève (3ème5)'!EY19:FB19,"C"))*2)+((COUNTIF('Elève (3ème5)'!EY19:FB19,"D"))*1))/(COUNTA(EY19:FB19)),"")</f>
        <v>3</v>
      </c>
      <c r="FD19" s="166" t="str">
        <f t="shared" si="56"/>
        <v>B</v>
      </c>
      <c r="FE19" s="110"/>
      <c r="FF19" s="111"/>
      <c r="FG19" s="112" t="s">
        <v>28</v>
      </c>
      <c r="FH19" s="112" t="s">
        <v>28</v>
      </c>
      <c r="FI19" s="112"/>
      <c r="FJ19" s="116"/>
      <c r="FK19" s="165">
        <f>IFERROR((((COUNTIF('Elève (3ème5)'!FE19:FJ19,"A"))*4)+((COUNTIF('Elève (3ème5)'!FE19:FJ19,"B"))*3)+((COUNTIF('Elève (3ème5)'!FE19:FJ19,"C"))*2)+((COUNTIF('Elève (3ème5)'!FE19:FJ19,"D"))*1))/(COUNTA(FE19:FJ19)),"")</f>
        <v>3</v>
      </c>
      <c r="FL19" s="166" t="str">
        <f t="shared" si="57"/>
        <v>B</v>
      </c>
      <c r="FM19" s="165">
        <f>IF(COUNT(EW19,FC19,FK19)=0,"",SUM(EW19,FC19,FK19)/COUNT(EW19,FC19,FK19))</f>
        <v>3</v>
      </c>
      <c r="FN19" s="188" t="str">
        <f t="shared" si="58"/>
        <v>B</v>
      </c>
      <c r="FO19" s="110"/>
      <c r="FP19" s="111"/>
      <c r="FQ19" s="112"/>
      <c r="FR19" s="165" t="str">
        <f>IFERROR((((COUNTIF('Elève (3ème5)'!FO19:FQ19,"A"))*4)+((COUNTIF('Elève (3ème5)'!FO19:FQ19,"B"))*3)+((COUNTIF('Elève (3ème5)'!FO19:FQ19,"C"))*2)+((COUNTIF('Elève (3ème5)'!FO19:FQ19,"D"))*1))/(COUNTA(FO19:FQ19)),"")</f>
        <v/>
      </c>
      <c r="FS19" s="166" t="str">
        <f t="shared" si="59"/>
        <v/>
      </c>
      <c r="FT19" s="110" t="s">
        <v>29</v>
      </c>
      <c r="FU19" s="111"/>
      <c r="FV19" s="112"/>
      <c r="FW19" s="112"/>
      <c r="FX19" s="165">
        <f>IFERROR((((COUNTIF('Elève (3ème5)'!FT19:FW19,"A"))*4)+((COUNTIF('Elève (3ème5)'!FT19:FW19,"B"))*3)+((COUNTIF('Elève (3ème5)'!FT19:FW19,"C"))*2)+((COUNTIF('Elève (3ème5)'!FT19:FW19,"D"))*1))/(COUNTA(FT19:FW19)),"")</f>
        <v>2</v>
      </c>
      <c r="FY19" s="166" t="str">
        <f t="shared" si="60"/>
        <v>C</v>
      </c>
      <c r="FZ19" s="110"/>
      <c r="GA19" s="111"/>
      <c r="GB19" s="112" t="s">
        <v>28</v>
      </c>
      <c r="GC19" s="112" t="s">
        <v>28</v>
      </c>
      <c r="GD19" s="112"/>
      <c r="GE19" s="116"/>
      <c r="GF19" s="165">
        <f>IFERROR((((COUNTIF('Elève (3ème5)'!FZ19:GE19,"A"))*4)+((COUNTIF('Elève (3ème5)'!FZ19:GE19,"B"))*3)+((COUNTIF('Elève (3ème5)'!FZ19:GE19,"C"))*2)+((COUNTIF('Elève (3ème5)'!FZ19:GE19,"D"))*1))/(COUNTA(FZ19:GE19)),"")</f>
        <v>3</v>
      </c>
      <c r="GG19" s="166" t="str">
        <f t="shared" si="61"/>
        <v>B</v>
      </c>
      <c r="GH19" s="165">
        <f>IF(COUNT(FR19,FX19,GF19)=0,"",SUM(FR19,FX19,GF19)/COUNT(FR19,FX19,GF19))</f>
        <v>2.5</v>
      </c>
      <c r="GI19" s="188" t="str">
        <f t="shared" si="62"/>
        <v>C</v>
      </c>
      <c r="GJ19" s="110"/>
      <c r="GK19" s="111"/>
      <c r="GL19" s="112"/>
      <c r="GM19" s="165" t="str">
        <f>IFERROR((((COUNTIF('Elève (3ème5)'!GJ19:GL19,"A"))*4)+((COUNTIF('Elève (3ème5)'!GJ19:GL19,"B"))*3)+((COUNTIF('Elève (3ème5)'!GJ19:GL19,"C"))*2)+((COUNTIF('Elève (3ème5)'!GJ19:GL19,"D"))*1))/(COUNTA(GJ19:GL19)),"")</f>
        <v/>
      </c>
      <c r="GN19" s="166" t="str">
        <f t="shared" si="63"/>
        <v/>
      </c>
      <c r="GO19" s="110" t="s">
        <v>29</v>
      </c>
      <c r="GP19" s="111"/>
      <c r="GQ19" s="112"/>
      <c r="GR19" s="112"/>
      <c r="GS19" s="165">
        <f>IFERROR((((COUNTIF('Elève (3ème5)'!GO19:GR19,"A"))*4)+((COUNTIF('Elève (3ème5)'!GO19:GR19,"B"))*3)+((COUNTIF('Elève (3ème5)'!GO19:GR19,"C"))*2)+((COUNTIF('Elève (3ème5)'!GO19:GR19,"D"))*1))/(COUNTA(GO19:GR19)),"")</f>
        <v>2</v>
      </c>
      <c r="GT19" s="166" t="str">
        <f t="shared" si="64"/>
        <v>C</v>
      </c>
      <c r="GU19" s="110"/>
      <c r="GV19" s="111"/>
      <c r="GW19" s="112"/>
      <c r="GX19" s="112" t="s">
        <v>28</v>
      </c>
      <c r="GY19" s="112"/>
      <c r="GZ19" s="116"/>
      <c r="HA19" s="165">
        <f>IFERROR((((COUNTIF('Elève (3ème5)'!GU19:GZ19,"A"))*4)+((COUNTIF('Elève (3ème5)'!GU19:GZ19,"B"))*3)+((COUNTIF('Elève (3ème5)'!GU19:GZ19,"C"))*2)+((COUNTIF('Elève (3ème5)'!GU19:GZ19,"D"))*1))/(COUNTA(GU19:GZ19)),"")</f>
        <v>3</v>
      </c>
      <c r="HB19" s="166" t="str">
        <f t="shared" si="65"/>
        <v>B</v>
      </c>
      <c r="HC19" s="165">
        <f>IF(COUNT(GM19,GS19,HA19)=0,"",SUM(GM19,GS19,HA19)/COUNT(GM19,GS19,HA19))</f>
        <v>2.5</v>
      </c>
      <c r="HD19" s="188" t="str">
        <f t="shared" si="66"/>
        <v>C</v>
      </c>
      <c r="HE19" s="110"/>
      <c r="HF19" s="111"/>
      <c r="HG19" s="112"/>
      <c r="HH19" s="165" t="str">
        <f>IFERROR((((COUNTIF('Elève (3ème5)'!HE19:HG19,"A"))*4)+((COUNTIF('Elève (3ème5)'!HE19:HG19,"B"))*3)+((COUNTIF('Elève (3ème5)'!HE19:HG19,"C"))*2)+((COUNTIF('Elève (3ème5)'!HE19:HG19,"D"))*1))/(COUNTA(HE19:HG19)),"")</f>
        <v/>
      </c>
      <c r="HI19" s="166" t="str">
        <f t="shared" si="67"/>
        <v/>
      </c>
      <c r="HJ19" s="110" t="s">
        <v>29</v>
      </c>
      <c r="HK19" s="111"/>
      <c r="HL19" s="112"/>
      <c r="HM19" s="112"/>
      <c r="HN19" s="165">
        <f>IFERROR((((COUNTIF('Elève (3ème5)'!HJ19:HM19,"A"))*4)+((COUNTIF('Elève (3ème5)'!HJ19:HM19,"B"))*3)+((COUNTIF('Elève (3ème5)'!HJ19:HM19,"C"))*2)+((COUNTIF('Elève (3ème5)'!HJ19:HM19,"D"))*1))/(COUNTA(HJ19:HM19)),"")</f>
        <v>2</v>
      </c>
      <c r="HO19" s="166" t="str">
        <f t="shared" si="68"/>
        <v>C</v>
      </c>
      <c r="HP19" s="110"/>
      <c r="HQ19" s="111"/>
      <c r="HR19" s="112"/>
      <c r="HS19" s="112" t="s">
        <v>28</v>
      </c>
      <c r="HT19" s="112"/>
      <c r="HU19" s="116"/>
      <c r="HV19" s="165">
        <f>IFERROR((((COUNTIF('Elève (3ème5)'!HP19:HU19,"A"))*4)+((COUNTIF('Elève (3ème5)'!HP19:HU19,"B"))*3)+((COUNTIF('Elève (3ème5)'!HP19:HU19,"C"))*2)+((COUNTIF('Elève (3ème5)'!HP19:HU19,"D"))*1))/(COUNTA(HP19:HU19)),"")</f>
        <v>3</v>
      </c>
      <c r="HW19" s="166" t="str">
        <f t="shared" si="69"/>
        <v>B</v>
      </c>
      <c r="HX19" s="165">
        <f>IF(COUNT(HH19,HN19,HV19)=0,"",SUM(HH19,HN19,HV19)/COUNT(HH19,HN19,HV19))</f>
        <v>2.5</v>
      </c>
      <c r="HY19" s="188" t="str">
        <f t="shared" si="70"/>
        <v>C</v>
      </c>
      <c r="HZ19" s="110"/>
      <c r="IA19" s="111"/>
      <c r="IB19" s="112"/>
      <c r="IC19" s="165" t="str">
        <f>IFERROR((((COUNTIF('Elève (3ème5)'!HZ19:IB19,"A"))*4)+((COUNTIF('Elève (3ème5)'!HZ19:IB19,"B"))*3)+((COUNTIF('Elève (3ème5)'!HZ19:IB19,"C"))*2)+((COUNTIF('Elève (3ème5)'!HZ19:IB19,"D"))*1))/(COUNTA(HZ19:IB19)),"")</f>
        <v/>
      </c>
      <c r="ID19" s="166" t="str">
        <f t="shared" si="71"/>
        <v/>
      </c>
      <c r="IE19" s="110" t="s">
        <v>29</v>
      </c>
      <c r="IF19" s="111"/>
      <c r="IG19" s="112"/>
      <c r="IH19" s="112"/>
      <c r="II19" s="165">
        <f>IFERROR((((COUNTIF('Elève (3ème5)'!IE19:IH19,"A"))*4)+((COUNTIF('Elève (3ème5)'!IE19:IH19,"B"))*3)+((COUNTIF('Elève (3ème5)'!IE19:IH19,"C"))*2)+((COUNTIF('Elève (3ème5)'!IE19:IH19,"D"))*1))/(COUNTA(IE19:IH19)),"")</f>
        <v>2</v>
      </c>
      <c r="IJ19" s="166" t="str">
        <f t="shared" si="72"/>
        <v>C</v>
      </c>
      <c r="IK19" s="110"/>
      <c r="IL19" s="111"/>
      <c r="IM19" s="112" t="s">
        <v>28</v>
      </c>
      <c r="IN19" s="112" t="s">
        <v>29</v>
      </c>
      <c r="IO19" s="112"/>
      <c r="IP19" s="116"/>
      <c r="IQ19" s="165">
        <f>IFERROR((((COUNTIF('Elève (3ème5)'!IK19:IP19,"A"))*4)+((COUNTIF('Elève (3ème5)'!IK19:IP19,"B"))*3)+((COUNTIF('Elève (3ème5)'!IK19:IP19,"C"))*2)+((COUNTIF('Elève (3ème5)'!IK19:IP19,"D"))*1))/(COUNTA(IK19:IP19)),"")</f>
        <v>2.5</v>
      </c>
      <c r="IR19" s="166" t="str">
        <f t="shared" si="73"/>
        <v>C</v>
      </c>
      <c r="IS19" s="165">
        <f>IF(COUNT(IC19,II19,IQ19)=0,"",SUM(IC19,II19,IQ19)/COUNT(IC19,II19,IQ19))</f>
        <v>2.25</v>
      </c>
      <c r="IT19" s="188" t="str">
        <f t="shared" si="74"/>
        <v>C</v>
      </c>
      <c r="IU19" s="110"/>
      <c r="IV19" s="111"/>
      <c r="IW19" s="112"/>
      <c r="IX19" s="165" t="str">
        <f>IFERROR((((COUNTIF('Elève (3ème5)'!IU19:IW19,"A"))*4)+((COUNTIF('Elève (3ème5)'!IU19:IW19,"B"))*3)+((COUNTIF('Elève (3ème5)'!IU19:IW19,"C"))*2)+((COUNTIF('Elève (3ème5)'!IU19:IW19,"D"))*1))/(COUNTA(IU19:IW19)),"")</f>
        <v/>
      </c>
      <c r="IY19" s="166" t="str">
        <f t="shared" si="75"/>
        <v/>
      </c>
      <c r="IZ19" s="110" t="s">
        <v>29</v>
      </c>
      <c r="JA19" s="111"/>
      <c r="JB19" s="112"/>
      <c r="JC19" s="112"/>
      <c r="JD19" s="165">
        <f>IFERROR((((COUNTIF('Elève (3ème5)'!IZ19:JC19,"A"))*4)+((COUNTIF('Elève (3ème5)'!IZ19:JC19,"B"))*3)+((COUNTIF('Elève (3ème5)'!IZ19:JC19,"C"))*2)+((COUNTIF('Elève (3ème5)'!IZ19:JC19,"D"))*1))/(COUNTA(IZ19:JC19)),"")</f>
        <v>2</v>
      </c>
      <c r="JE19" s="166" t="str">
        <f t="shared" si="76"/>
        <v>C</v>
      </c>
      <c r="JF19" s="110"/>
      <c r="JG19" s="111"/>
      <c r="JH19" s="112" t="s">
        <v>29</v>
      </c>
      <c r="JI19" s="112" t="s">
        <v>28</v>
      </c>
      <c r="JJ19" s="112"/>
      <c r="JK19" s="116"/>
      <c r="JL19" s="165">
        <f>IFERROR((((COUNTIF('Elève (3ème5)'!JF19:JK19,"A"))*4)+((COUNTIF('Elève (3ème5)'!JF19:JK19,"B"))*3)+((COUNTIF('Elève (3ème5)'!JF19:JK19,"C"))*2)+((COUNTIF('Elève (3ème5)'!JF19:JK19,"D"))*1))/(COUNTA(JF19:JK19)),"")</f>
        <v>2.5</v>
      </c>
      <c r="JM19" s="166" t="str">
        <f t="shared" si="77"/>
        <v>C</v>
      </c>
      <c r="JN19" s="165">
        <f>IF(COUNT(IX19,JD19,JL19)=0,"",SUM(IX19,JD19,JL19)/COUNT(IX19,JD19,JL19))</f>
        <v>2.25</v>
      </c>
      <c r="JO19" s="188" t="str">
        <f t="shared" si="78"/>
        <v>C</v>
      </c>
      <c r="JP19" s="110"/>
      <c r="JQ19" s="111"/>
      <c r="JR19" s="112"/>
      <c r="JS19" s="165" t="str">
        <f>IFERROR((((COUNTIF('Elève (3ème5)'!JP19:JR19,"A"))*4)+((COUNTIF('Elève (3ème5)'!JP19:JR19,"B"))*3)+((COUNTIF('Elève (3ème5)'!JP19:JR19,"C"))*2)+((COUNTIF('Elève (3ème5)'!JP19:JR19,"D"))*1))/(COUNTA(JP19:JR19)),"")</f>
        <v/>
      </c>
      <c r="JT19" s="166" t="str">
        <f t="shared" si="79"/>
        <v/>
      </c>
      <c r="JU19" s="110" t="s">
        <v>29</v>
      </c>
      <c r="JV19" s="111"/>
      <c r="JW19" s="112"/>
      <c r="JX19" s="112"/>
      <c r="JY19" s="165">
        <f>IFERROR((((COUNTIF('Elève (3ème5)'!JU19:JX19,"A"))*4)+((COUNTIF('Elève (3ème5)'!JU19:JX19,"B"))*3)+((COUNTIF('Elève (3ème5)'!JU19:JX19,"C"))*2)+((COUNTIF('Elève (3ème5)'!JU19:JX19,"D"))*1))/(COUNTA(JU19:JX19)),"")</f>
        <v>2</v>
      </c>
      <c r="JZ19" s="166" t="str">
        <f t="shared" si="80"/>
        <v>C</v>
      </c>
      <c r="KA19" s="110"/>
      <c r="KB19" s="111"/>
      <c r="KC19" s="112" t="s">
        <v>28</v>
      </c>
      <c r="KD19" s="112" t="s">
        <v>29</v>
      </c>
      <c r="KE19" s="112"/>
      <c r="KF19" s="116"/>
      <c r="KG19" s="165">
        <f>IFERROR((((COUNTIF('Elève (3ème5)'!KA19:KF19,"A"))*4)+((COUNTIF('Elève (3ème5)'!KA19:KF19,"B"))*3)+((COUNTIF('Elève (3ème5)'!KA19:KF19,"C"))*2)+((COUNTIF('Elève (3ème5)'!KA19:KF19,"D"))*1))/(COUNTA(KA19:KF19)),"")</f>
        <v>2.5</v>
      </c>
      <c r="KH19" s="166" t="str">
        <f t="shared" si="81"/>
        <v>C</v>
      </c>
      <c r="KI19" s="165">
        <f>IF(COUNT(JS19,JY19,KG19)=0,"",SUM(JS19,JY19,KG19)/COUNT(JS19,JY19,KG19))</f>
        <v>2.25</v>
      </c>
      <c r="KJ19" s="188" t="str">
        <f t="shared" si="82"/>
        <v>C</v>
      </c>
      <c r="KK19" s="110"/>
      <c r="KL19" s="111"/>
      <c r="KM19" s="112"/>
      <c r="KN19" s="165" t="str">
        <f>IFERROR((((COUNTIF('Elève (3ème5)'!KK19:KM19,"A"))*4)+((COUNTIF('Elève (3ème5)'!KK19:KM19,"B"))*3)+((COUNTIF('Elève (3ème5)'!KK19:KM19,"C"))*2)+((COUNTIF('Elève (3ème5)'!KK19:KM19,"D"))*1))/(COUNTA(KK19:KM19)),"")</f>
        <v/>
      </c>
      <c r="KO19" s="166" t="str">
        <f t="shared" si="83"/>
        <v/>
      </c>
      <c r="KP19" s="110" t="s">
        <v>28</v>
      </c>
      <c r="KQ19" s="111"/>
      <c r="KR19" s="112"/>
      <c r="KS19" s="112"/>
      <c r="KT19" s="165">
        <f>IFERROR((((COUNTIF('Elève (3ème5)'!KP19:KS19,"A"))*4)+((COUNTIF('Elève (3ème5)'!KP19:KS19,"B"))*3)+((COUNTIF('Elève (3ème5)'!KP19:KS19,"C"))*2)+((COUNTIF('Elève (3ème5)'!KP19:KS19,"D"))*1))/(COUNTA(KP19:KS19)),"")</f>
        <v>3</v>
      </c>
      <c r="KU19" s="166" t="str">
        <f t="shared" si="84"/>
        <v>B</v>
      </c>
      <c r="KV19" s="110"/>
      <c r="KW19" s="111"/>
      <c r="KX19" s="112" t="s">
        <v>29</v>
      </c>
      <c r="KY19" s="112" t="s">
        <v>29</v>
      </c>
      <c r="KZ19" s="112"/>
      <c r="LA19" s="116"/>
      <c r="LB19" s="165">
        <f>IFERROR((((COUNTIF('Elève (3ème5)'!KV19:LA19,"A"))*4)+((COUNTIF('Elève (3ème5)'!KV19:LA19,"B"))*3)+((COUNTIF('Elève (3ème5)'!KV19:LA19,"C"))*2)+((COUNTIF('Elève (3ème5)'!KV19:LA19,"D"))*1))/(COUNTA(KV19:LA19)),"")</f>
        <v>2</v>
      </c>
      <c r="LC19" s="166" t="str">
        <f t="shared" si="85"/>
        <v>C</v>
      </c>
      <c r="LD19" s="165">
        <f>IF(COUNT(KN19,KT19,LB19)=0,"",SUM(KN19,KT19,LB19)/COUNT(KN19,KT19,LB19))</f>
        <v>2.5</v>
      </c>
      <c r="LE19" s="188" t="str">
        <f t="shared" si="86"/>
        <v>C</v>
      </c>
      <c r="LF19" s="110"/>
      <c r="LG19" s="111"/>
      <c r="LH19" s="112"/>
      <c r="LI19" s="165" t="str">
        <f>IFERROR((((COUNTIF('Elève (3ème5)'!LF19:LH19,"A"))*4)+((COUNTIF('Elève (3ème5)'!LF19:LH19,"B"))*3)+((COUNTIF('Elève (3ème5)'!LF19:LH19,"C"))*2)+((COUNTIF('Elève (3ème5)'!LF19:LH19,"D"))*1))/(COUNTA(LF19:LH19)),"")</f>
        <v/>
      </c>
      <c r="LJ19" s="166" t="str">
        <f t="shared" si="87"/>
        <v/>
      </c>
      <c r="LK19" s="110" t="s">
        <v>28</v>
      </c>
      <c r="LL19" s="111"/>
      <c r="LM19" s="112"/>
      <c r="LN19" s="112"/>
      <c r="LO19" s="165">
        <f>IFERROR((((COUNTIF('Elève (3ème5)'!LK19:LN19,"A"))*4)+((COUNTIF('Elève (3ème5)'!LK19:LN19,"B"))*3)+((COUNTIF('Elève (3ème5)'!LK19:LN19,"C"))*2)+((COUNTIF('Elève (3ème5)'!LK19:LN19,"D"))*1))/(COUNTA(LK19:LN19)),"")</f>
        <v>3</v>
      </c>
      <c r="LP19" s="166" t="str">
        <f t="shared" si="88"/>
        <v>B</v>
      </c>
      <c r="LQ19" s="110"/>
      <c r="LR19" s="111"/>
      <c r="LS19" s="112" t="s">
        <v>28</v>
      </c>
      <c r="LT19" s="112" t="s">
        <v>28</v>
      </c>
      <c r="LU19" s="112"/>
      <c r="LV19" s="116"/>
      <c r="LW19" s="165">
        <f>IFERROR((((COUNTIF('Elève (3ème5)'!LQ19:LV19,"A"))*4)+((COUNTIF('Elève (3ème5)'!LQ19:LV19,"B"))*3)+((COUNTIF('Elève (3ème5)'!LQ19:LV19,"C"))*2)+((COUNTIF('Elève (3ème5)'!LQ19:LV19,"D"))*1))/(COUNTA(LQ19:LV19)),"")</f>
        <v>3</v>
      </c>
      <c r="LX19" s="166" t="str">
        <f t="shared" si="89"/>
        <v>B</v>
      </c>
      <c r="LY19" s="165">
        <f>IF(COUNT(LI19,LO19,LW19)=0,"",SUM(LI19,LO19,LW19)/COUNT(LI19,LO19,LW19))</f>
        <v>3</v>
      </c>
      <c r="LZ19" s="188" t="str">
        <f t="shared" si="90"/>
        <v>B</v>
      </c>
      <c r="MA19" s="110"/>
      <c r="MB19" s="111"/>
      <c r="MC19" s="112"/>
      <c r="MD19" s="165" t="str">
        <f>IFERROR((((COUNTIF('Elève (3ème5)'!MA19:MC19,"A"))*4)+((COUNTIF('Elève (3ème5)'!MA19:MC19,"B"))*3)+((COUNTIF('Elève (3ème5)'!MA19:MC19,"C"))*2)+((COUNTIF('Elève (3ème5)'!MA19:MC19,"D"))*1))/(COUNTA(MA19:MC19)),"")</f>
        <v/>
      </c>
      <c r="ME19" s="166" t="str">
        <f t="shared" si="91"/>
        <v/>
      </c>
      <c r="MF19" s="110" t="s">
        <v>29</v>
      </c>
      <c r="MG19" s="111"/>
      <c r="MH19" s="112"/>
      <c r="MI19" s="112"/>
      <c r="MJ19" s="165">
        <f>IFERROR((((COUNTIF('Elève (3ème5)'!MF19:MI19,"A"))*4)+((COUNTIF('Elève (3ème5)'!MF19:MI19,"B"))*3)+((COUNTIF('Elève (3ème5)'!MF19:MI19,"C"))*2)+((COUNTIF('Elève (3ème5)'!MF19:MI19,"D"))*1))/(COUNTA(MF19:MI19)),"")</f>
        <v>2</v>
      </c>
      <c r="MK19" s="166" t="str">
        <f t="shared" si="92"/>
        <v>C</v>
      </c>
      <c r="ML19" s="110"/>
      <c r="MM19" s="111"/>
      <c r="MN19" s="112" t="s">
        <v>28</v>
      </c>
      <c r="MO19" s="112" t="s">
        <v>28</v>
      </c>
      <c r="MP19" s="112"/>
      <c r="MQ19" s="116"/>
      <c r="MR19" s="165">
        <f>IFERROR((((COUNTIF('Elève (3ème5)'!ML19:MQ19,"A"))*4)+((COUNTIF('Elève (3ème5)'!ML19:MQ19,"B"))*3)+((COUNTIF('Elève (3ème5)'!ML19:MQ19,"C"))*2)+((COUNTIF('Elève (3ème5)'!ML19:MQ19,"D"))*1))/(COUNTA(ML19:MQ19)),"")</f>
        <v>3</v>
      </c>
      <c r="MS19" s="166" t="str">
        <f t="shared" si="93"/>
        <v>B</v>
      </c>
      <c r="MT19" s="165">
        <f>IF(COUNT(MD19,MJ19,MR19)=0,"",SUM(MD19,MJ19,MR19)/COUNT(MD19,MJ19,MR19))</f>
        <v>2.5</v>
      </c>
      <c r="MU19" s="188" t="str">
        <f t="shared" si="94"/>
        <v>C</v>
      </c>
      <c r="MV19" s="110"/>
      <c r="MW19" s="111"/>
      <c r="MX19" s="112"/>
      <c r="MY19" s="165" t="str">
        <f>IFERROR((((COUNTIF('Elève (3ème5)'!MV19:MX19,"A"))*4)+((COUNTIF('Elève (3ème5)'!MV19:MX19,"B"))*3)+((COUNTIF('Elève (3ème5)'!MV19:MX19,"C"))*2)+((COUNTIF('Elève (3ème5)'!MV19:MX19,"D"))*1))/(COUNTA(MV19:MX19)),"")</f>
        <v/>
      </c>
      <c r="MZ19" s="166" t="str">
        <f t="shared" si="95"/>
        <v/>
      </c>
      <c r="NA19" s="110" t="s">
        <v>29</v>
      </c>
      <c r="NB19" s="111"/>
      <c r="NC19" s="112"/>
      <c r="ND19" s="112"/>
      <c r="NE19" s="165">
        <f>IFERROR((((COUNTIF('Elève (3ème5)'!NA19:ND19,"A"))*4)+((COUNTIF('Elève (3ème5)'!NA19:ND19,"B"))*3)+((COUNTIF('Elève (3ème5)'!NA19:ND19,"C"))*2)+((COUNTIF('Elève (3ème5)'!NA19:ND19,"D"))*1))/(COUNTA(NA19:ND19)),"")</f>
        <v>2</v>
      </c>
      <c r="NF19" s="166" t="str">
        <f t="shared" si="96"/>
        <v>C</v>
      </c>
      <c r="NG19" s="110"/>
      <c r="NH19" s="111"/>
      <c r="NI19" s="112" t="s">
        <v>28</v>
      </c>
      <c r="NJ19" s="112" t="s">
        <v>29</v>
      </c>
      <c r="NK19" s="112"/>
      <c r="NL19" s="116"/>
      <c r="NM19" s="165">
        <f>IFERROR((((COUNTIF('Elève (3ème5)'!NG19:NL19,"A"))*4)+((COUNTIF('Elève (3ème5)'!NG19:NL19,"B"))*3)+((COUNTIF('Elève (3ème5)'!NG19:NL19,"C"))*2)+((COUNTIF('Elève (3ème5)'!NG19:NL19,"D"))*1))/(COUNTA(NG19:NL19)),"")</f>
        <v>2.5</v>
      </c>
      <c r="NN19" s="166" t="str">
        <f t="shared" si="97"/>
        <v>C</v>
      </c>
      <c r="NO19" s="165">
        <f>IF(COUNT(MY19,NE19,NM19)=0,"",SUM(MY19,NE19,NM19)/COUNT(MY19,NE19,NM19))</f>
        <v>2.25</v>
      </c>
      <c r="NP19" s="188" t="str">
        <f t="shared" si="98"/>
        <v>C</v>
      </c>
      <c r="NQ19" s="110"/>
      <c r="NR19" s="111"/>
      <c r="NS19" s="112"/>
      <c r="NT19" s="165" t="str">
        <f>IFERROR((((COUNTIF('Elève (3ème5)'!NQ19:NS19,"A"))*4)+((COUNTIF('Elève (3ème5)'!NQ19:NS19,"B"))*3)+((COUNTIF('Elève (3ème5)'!NQ19:NS19,"C"))*2)+((COUNTIF('Elève (3ème5)'!NQ19:NS19,"D"))*1))/(COUNTA(NQ19:NS19)),"")</f>
        <v/>
      </c>
      <c r="NU19" s="166" t="str">
        <f t="shared" si="99"/>
        <v/>
      </c>
      <c r="NV19" s="110" t="s">
        <v>28</v>
      </c>
      <c r="NW19" s="111"/>
      <c r="NX19" s="112"/>
      <c r="NY19" s="112"/>
      <c r="NZ19" s="165">
        <f>IFERROR((((COUNTIF('Elève (3ème5)'!NV19:NY19,"A"))*4)+((COUNTIF('Elève (3ème5)'!NV19:NY19,"B"))*3)+((COUNTIF('Elève (3ème5)'!NV19:NY19,"C"))*2)+((COUNTIF('Elève (3ème5)'!NV19:NY19,"D"))*1))/(COUNTA(NV19:NY19)),"")</f>
        <v>3</v>
      </c>
      <c r="OA19" s="166" t="str">
        <f t="shared" si="100"/>
        <v>B</v>
      </c>
      <c r="OB19" s="110"/>
      <c r="OC19" s="111"/>
      <c r="OD19" s="112" t="s">
        <v>28</v>
      </c>
      <c r="OE19" s="112" t="s">
        <v>28</v>
      </c>
      <c r="OF19" s="112"/>
      <c r="OG19" s="116"/>
      <c r="OH19" s="165">
        <f>IFERROR((((COUNTIF('Elève (3ème5)'!OB19:OG19,"A"))*4)+((COUNTIF('Elève (3ème5)'!OB19:OG19,"B"))*3)+((COUNTIF('Elève (3ème5)'!OB19:OG19,"C"))*2)+((COUNTIF('Elève (3ème5)'!OB19:OG19,"D"))*1))/(COUNTA(OB19:OG19)),"")</f>
        <v>3</v>
      </c>
      <c r="OI19" s="166" t="str">
        <f t="shared" si="101"/>
        <v>B</v>
      </c>
      <c r="OJ19" s="165">
        <f>IF(COUNT(NT19,NZ19,OH19)=0,"",SUM(NT19,NZ19,OH19)/COUNT(NT19,NZ19,OH19))</f>
        <v>3</v>
      </c>
      <c r="OK19" s="188" t="str">
        <f t="shared" si="102"/>
        <v>B</v>
      </c>
      <c r="OL19" s="110"/>
      <c r="OM19" s="111"/>
      <c r="ON19" s="112"/>
      <c r="OO19" s="165" t="str">
        <f>IFERROR((((COUNTIF('Elève (3ème5)'!OL19:ON19,"A"))*4)+((COUNTIF('Elève (3ème5)'!OL19:ON19,"B"))*3)+((COUNTIF('Elève (3ème5)'!OL19:ON19,"C"))*2)+((COUNTIF('Elève (3ème5)'!OL19:ON19,"D"))*1))/(COUNTA(OL19:ON19)),"")</f>
        <v/>
      </c>
      <c r="OP19" s="166" t="str">
        <f t="shared" si="103"/>
        <v/>
      </c>
      <c r="OQ19" s="110" t="s">
        <v>28</v>
      </c>
      <c r="OR19" s="111"/>
      <c r="OS19" s="112"/>
      <c r="OT19" s="112"/>
      <c r="OU19" s="165">
        <f>IFERROR((((COUNTIF('Elève (3ème5)'!OQ19:OT19,"A"))*4)+((COUNTIF('Elève (3ème5)'!OQ19:OT19,"B"))*3)+((COUNTIF('Elève (3ème5)'!OQ19:OT19,"C"))*2)+((COUNTIF('Elève (3ème5)'!OQ19:OT19,"D"))*1))/(COUNTA(OQ19:OT19)),"")</f>
        <v>3</v>
      </c>
      <c r="OV19" s="166" t="str">
        <f t="shared" si="104"/>
        <v>B</v>
      </c>
      <c r="OW19" s="110"/>
      <c r="OX19" s="111"/>
      <c r="OY19" s="112"/>
      <c r="OZ19" s="112"/>
      <c r="PA19" s="112"/>
      <c r="PB19" s="116"/>
      <c r="PC19" s="165" t="str">
        <f>IFERROR((((COUNTIF('Elève (3ème5)'!OW19:PB19,"A"))*4)+((COUNTIF('Elève (3ème5)'!OW19:PB19,"B"))*3)+((COUNTIF('Elève (3ème5)'!OW19:PB19,"C"))*2)+((COUNTIF('Elève (3ème5)'!OW19:PB19,"D"))*1))/(COUNTA(OW19:PB19)),"")</f>
        <v/>
      </c>
      <c r="PD19" s="166" t="str">
        <f t="shared" si="105"/>
        <v/>
      </c>
      <c r="PE19" s="165">
        <f>IF(COUNT(OO19,OU19,PC19)=0,"",SUM(OO19,OU19,PC19)/COUNT(OO19,OU19,PC19))</f>
        <v>3</v>
      </c>
      <c r="PF19" s="188" t="str">
        <f t="shared" si="106"/>
        <v>B</v>
      </c>
      <c r="PG19" s="110"/>
      <c r="PH19" s="111"/>
      <c r="PI19" s="112"/>
      <c r="PJ19" s="165" t="str">
        <f>IFERROR((((COUNTIF('Elève (3ème5)'!PG19:PI19,"A"))*4)+((COUNTIF('Elève (3ème5)'!PG19:PI19,"B"))*3)+((COUNTIF('Elève (3ème5)'!PG19:PI19,"C"))*2)+((COUNTIF('Elève (3ème5)'!PG19:PI19,"D"))*1))/(COUNTA(PG19:PI19)),"")</f>
        <v/>
      </c>
      <c r="PK19" s="166" t="str">
        <f t="shared" si="107"/>
        <v/>
      </c>
      <c r="PL19" s="110" t="s">
        <v>29</v>
      </c>
      <c r="PM19" s="111"/>
      <c r="PN19" s="112"/>
      <c r="PO19" s="112"/>
      <c r="PP19" s="165">
        <f>IFERROR((((COUNTIF('Elève (3ème5)'!PL19:PO19,"A"))*4)+((COUNTIF('Elève (3ème5)'!PL19:PO19,"B"))*3)+((COUNTIF('Elève (3ème5)'!PL19:PO19,"C"))*2)+((COUNTIF('Elève (3ème5)'!PL19:PO19,"D"))*1))/(COUNTA(PL19:PO19)),"")</f>
        <v>2</v>
      </c>
      <c r="PQ19" s="166" t="str">
        <f t="shared" si="108"/>
        <v>C</v>
      </c>
      <c r="PR19" s="110"/>
      <c r="PS19" s="111"/>
      <c r="PT19" s="112" t="s">
        <v>29</v>
      </c>
      <c r="PU19" s="112" t="s">
        <v>29</v>
      </c>
      <c r="PV19" s="112"/>
      <c r="PW19" s="116"/>
      <c r="PX19" s="165">
        <f>IFERROR((((COUNTIF('Elève (3ème5)'!PR19:PW19,"A"))*4)+((COUNTIF('Elève (3ème5)'!PR19:PW19,"B"))*3)+((COUNTIF('Elève (3ème5)'!PR19:PW19,"C"))*2)+((COUNTIF('Elève (3ème5)'!PR19:PW19,"D"))*1))/(COUNTA(PR19:PW19)),"")</f>
        <v>2</v>
      </c>
      <c r="PY19" s="166" t="str">
        <f t="shared" si="109"/>
        <v>C</v>
      </c>
      <c r="PZ19" s="165">
        <f>IF(COUNT(PJ19,PP19,PX19)=0,"",SUM(PJ19,PP19,PX19)/COUNT(PJ19,PP19,PX19))</f>
        <v>2</v>
      </c>
      <c r="QA19" s="188" t="str">
        <f t="shared" si="110"/>
        <v>C</v>
      </c>
      <c r="QB19" s="110"/>
      <c r="QC19" s="111"/>
      <c r="QD19" s="112"/>
      <c r="QE19" s="165" t="str">
        <f>IFERROR((((COUNTIF('Elève (3ème5)'!QB19:QD19,"A"))*4)+((COUNTIF('Elève (3ème5)'!QB19:QD19,"B"))*3)+((COUNTIF('Elève (3ème5)'!QB19:QD19,"C"))*2)+((COUNTIF('Elève (3ème5)'!QB19:QD19,"D"))*1))/(COUNTA(QB19:QD19)),"")</f>
        <v/>
      </c>
      <c r="QF19" s="166" t="str">
        <f t="shared" si="111"/>
        <v/>
      </c>
      <c r="QG19" s="110"/>
      <c r="QH19" s="111"/>
      <c r="QI19" s="112"/>
      <c r="QJ19" s="112"/>
      <c r="QK19" s="165" t="str">
        <f>IFERROR((((COUNTIF('Elève (3ème5)'!QG19:QJ19,"A"))*4)+((COUNTIF('Elève (3ème5)'!QG19:QJ19,"B"))*3)+((COUNTIF('Elève (3ème5)'!QG19:QJ19,"C"))*2)+((COUNTIF('Elève (3ème5)'!QG19:QJ19,"D"))*1))/(COUNTA(QG19:QJ19)),"")</f>
        <v/>
      </c>
      <c r="QL19" s="166" t="str">
        <f t="shared" si="112"/>
        <v/>
      </c>
      <c r="QM19" s="110"/>
      <c r="QN19" s="111"/>
      <c r="QO19" s="112"/>
      <c r="QP19" s="112" t="s">
        <v>29</v>
      </c>
      <c r="QQ19" s="112"/>
      <c r="QR19" s="116"/>
      <c r="QS19" s="165">
        <f>IFERROR((((COUNTIF('Elève (3ème5)'!QM19:QR19,"A"))*4)+((COUNTIF('Elève (3ème5)'!QM19:QR19,"B"))*3)+((COUNTIF('Elève (3ème5)'!QM19:QR19,"C"))*2)+((COUNTIF('Elève (3ème5)'!QM19:QR19,"D"))*1))/(COUNTA(QM19:QR19)),"")</f>
        <v>2</v>
      </c>
      <c r="QT19" s="166" t="str">
        <f t="shared" si="113"/>
        <v>C</v>
      </c>
      <c r="QU19" s="165">
        <f>IF(COUNT(QE19,QK19,QS19)=0,"",SUM(QE19,QK19,QS19)/COUNT(QE19,QK19,QS19))</f>
        <v>2</v>
      </c>
      <c r="QV19" s="188" t="str">
        <f t="shared" si="114"/>
        <v>C</v>
      </c>
      <c r="QW19" s="110"/>
      <c r="QX19" s="111"/>
      <c r="QY19" s="112"/>
      <c r="QZ19" s="165" t="str">
        <f>IFERROR((((COUNTIF('Elève (3ème5)'!QW19:QY19,"A"))*4)+((COUNTIF('Elève (3ème5)'!QW19:QY19,"B"))*3)+((COUNTIF('Elève (3ème5)'!QW19:QY19,"C"))*2)+((COUNTIF('Elève (3ème5)'!QW19:QY19,"D"))*1))/(COUNTA(QW19:QY19)),"")</f>
        <v/>
      </c>
      <c r="RA19" s="166" t="str">
        <f t="shared" si="115"/>
        <v/>
      </c>
      <c r="RB19" s="110" t="s">
        <v>28</v>
      </c>
      <c r="RC19" s="111"/>
      <c r="RD19" s="112"/>
      <c r="RE19" s="112"/>
      <c r="RF19" s="165">
        <f>IFERROR((((COUNTIF('Elève (3ème5)'!RB19:RE19,"A"))*4)+((COUNTIF('Elève (3ème5)'!RB19:RE19,"B"))*3)+((COUNTIF('Elève (3ème5)'!RB19:RE19,"C"))*2)+((COUNTIF('Elève (3ème5)'!RB19:RE19,"D"))*1))/(COUNTA(RB19:RE19)),"")</f>
        <v>3</v>
      </c>
      <c r="RG19" s="166" t="str">
        <f t="shared" si="116"/>
        <v>B</v>
      </c>
      <c r="RH19" s="110"/>
      <c r="RI19" s="111"/>
      <c r="RJ19" s="112" t="s">
        <v>28</v>
      </c>
      <c r="RK19" s="112" t="s">
        <v>28</v>
      </c>
      <c r="RL19" s="112"/>
      <c r="RM19" s="116"/>
      <c r="RN19" s="165">
        <f>IFERROR((((COUNTIF('Elève (3ème5)'!RH19:RM19,"A"))*4)+((COUNTIF('Elève (3ème5)'!RH19:RM19,"B"))*3)+((COUNTIF('Elève (3ème5)'!RH19:RM19,"C"))*2)+((COUNTIF('Elève (3ème5)'!RH19:RM19,"D"))*1))/(COUNTA(RH19:RM19)),"")</f>
        <v>3</v>
      </c>
      <c r="RO19" s="166" t="str">
        <f t="shared" si="117"/>
        <v>B</v>
      </c>
      <c r="RP19" s="165">
        <f>IF(COUNT(QZ19,RF19,RN19)=0,"",SUM(QZ19,RF19,RN19)/COUNT(QZ19,RF19,RN19))</f>
        <v>3</v>
      </c>
      <c r="RQ19" s="188" t="str">
        <f t="shared" si="118"/>
        <v>B</v>
      </c>
      <c r="RR19" s="110"/>
      <c r="RS19" s="111"/>
      <c r="RT19" s="112"/>
      <c r="RU19" s="165" t="str">
        <f>IFERROR((((COUNTIF('Elève (3ème5)'!RR19:RT19,"A"))*4)+((COUNTIF('Elève (3ème5)'!RR19:RT19,"B"))*3)+((COUNTIF('Elève (3ème5)'!RR19:RT19,"C"))*2)+((COUNTIF('Elève (3ème5)'!RR19:RT19,"D"))*1))/(COUNTA(RR19:RT19)),"")</f>
        <v/>
      </c>
      <c r="RV19" s="166" t="str">
        <f t="shared" si="119"/>
        <v/>
      </c>
      <c r="RW19" s="110" t="s">
        <v>29</v>
      </c>
      <c r="RX19" s="111"/>
      <c r="RY19" s="112"/>
      <c r="RZ19" s="112"/>
      <c r="SA19" s="165">
        <f>IFERROR((((COUNTIF('Elève (3ème5)'!RW19:RZ19,"A"))*4)+((COUNTIF('Elève (3ème5)'!RW19:RZ19,"B"))*3)+((COUNTIF('Elève (3ème5)'!RW19:RZ19,"C"))*2)+((COUNTIF('Elève (3ème5)'!RW19:RZ19,"D"))*1))/(COUNTA(RW19:RZ19)),"")</f>
        <v>2</v>
      </c>
      <c r="SB19" s="166" t="str">
        <f t="shared" si="120"/>
        <v>C</v>
      </c>
      <c r="SC19" s="110"/>
      <c r="SD19" s="111"/>
      <c r="SE19" s="112" t="s">
        <v>29</v>
      </c>
      <c r="SF19" s="112" t="s">
        <v>28</v>
      </c>
      <c r="SG19" s="112"/>
      <c r="SH19" s="116"/>
      <c r="SI19" s="165">
        <f>IFERROR((((COUNTIF('Elève (3ème5)'!SC19:SH19,"A"))*4)+((COUNTIF('Elève (3ème5)'!SC19:SH19,"B"))*3)+((COUNTIF('Elève (3ème5)'!SC19:SH19,"C"))*2)+((COUNTIF('Elève (3ème5)'!SC19:SH19,"D"))*1))/(COUNTA(SC19:SH19)),"")</f>
        <v>2.5</v>
      </c>
      <c r="SJ19" s="166" t="str">
        <f t="shared" si="121"/>
        <v>C</v>
      </c>
      <c r="SK19" s="165">
        <f>IF(COUNT(RU19,SA19,SI19)=0,"",SUM(RU19,SA19,SI19)/COUNT(RU19,SA19,SI19))</f>
        <v>2.25</v>
      </c>
      <c r="SL19" s="188" t="str">
        <f t="shared" si="122"/>
        <v>C</v>
      </c>
      <c r="SM19" s="110"/>
      <c r="SN19" s="111"/>
      <c r="SO19" s="112"/>
      <c r="SP19" s="165" t="str">
        <f>IFERROR((((COUNTIF('Elève (3ème5)'!SM19:SO19,"A"))*4)+((COUNTIF('Elève (3ème5)'!SM19:SO19,"B"))*3)+((COUNTIF('Elève (3ème5)'!SM19:SO19,"C"))*2)+((COUNTIF('Elève (3ème5)'!SM19:SO19,"D"))*1))/(COUNTA(SM19:SO19)),"")</f>
        <v/>
      </c>
      <c r="SQ19" s="166" t="str">
        <f t="shared" si="123"/>
        <v/>
      </c>
      <c r="SR19" s="110" t="s">
        <v>28</v>
      </c>
      <c r="SS19" s="111"/>
      <c r="ST19" s="112"/>
      <c r="SU19" s="112"/>
      <c r="SV19" s="165">
        <f>IFERROR((((COUNTIF('Elève (3ème5)'!SR19:SU19,"A"))*4)+((COUNTIF('Elève (3ème5)'!SR19:SU19,"B"))*3)+((COUNTIF('Elève (3ème5)'!SR19:SU19,"C"))*2)+((COUNTIF('Elève (3ème5)'!SR19:SU19,"D"))*1))/(COUNTA(SR19:SU19)),"")</f>
        <v>3</v>
      </c>
      <c r="SW19" s="166" t="str">
        <f t="shared" si="124"/>
        <v>B</v>
      </c>
      <c r="SX19" s="110"/>
      <c r="SY19" s="111"/>
      <c r="SZ19" s="112" t="s">
        <v>29</v>
      </c>
      <c r="TA19" s="112" t="s">
        <v>29</v>
      </c>
      <c r="TB19" s="112"/>
      <c r="TC19" s="116"/>
      <c r="TD19" s="165">
        <f>IFERROR((((COUNTIF('Elève (3ème5)'!SX19:TC19,"A"))*4)+((COUNTIF('Elève (3ème5)'!SX19:TC19,"B"))*3)+((COUNTIF('Elève (3ème5)'!SX19:TC19,"C"))*2)+((COUNTIF('Elève (3ème5)'!SX19:TC19,"D"))*1))/(COUNTA(SX19:TC19)),"")</f>
        <v>2</v>
      </c>
      <c r="TE19" s="166" t="str">
        <f t="shared" si="125"/>
        <v>C</v>
      </c>
      <c r="TF19" s="165">
        <f>IF(COUNT(SP19,SV19,TD19)=0,"",SUM(SP19,SV19,TD19)/COUNT(SP19,SV19,TD19))</f>
        <v>2.5</v>
      </c>
      <c r="TG19" s="188" t="str">
        <f t="shared" si="126"/>
        <v>C</v>
      </c>
      <c r="TH19" s="110"/>
      <c r="TI19" s="111"/>
      <c r="TJ19" s="112"/>
      <c r="TK19" s="165" t="str">
        <f>IFERROR((((COUNTIF('Elève (3ème5)'!TH19:TJ19,"A"))*4)+((COUNTIF('Elève (3ème5)'!TH19:TJ19,"B"))*3)+((COUNTIF('Elève (3ème5)'!TH19:TJ19,"C"))*2)+((COUNTIF('Elève (3ème5)'!TH19:TJ19,"D"))*1))/(COUNTA(TH19:TJ19)),"")</f>
        <v/>
      </c>
      <c r="TL19" s="166" t="str">
        <f t="shared" si="127"/>
        <v/>
      </c>
      <c r="TM19" s="110" t="s">
        <v>29</v>
      </c>
      <c r="TN19" s="111"/>
      <c r="TO19" s="112"/>
      <c r="TP19" s="112"/>
      <c r="TQ19" s="165">
        <f>IFERROR((((COUNTIF('Elève (3ème5)'!TM19:TP19,"A"))*4)+((COUNTIF('Elève (3ème5)'!TM19:TP19,"B"))*3)+((COUNTIF('Elève (3ème5)'!TM19:TP19,"C"))*2)+((COUNTIF('Elève (3ème5)'!TM19:TP19,"D"))*1))/(COUNTA(TM19:TP19)),"")</f>
        <v>2</v>
      </c>
      <c r="TR19" s="166" t="str">
        <f t="shared" si="128"/>
        <v>C</v>
      </c>
      <c r="TS19" s="110"/>
      <c r="TT19" s="111"/>
      <c r="TU19" s="112" t="s">
        <v>27</v>
      </c>
      <c r="TV19" s="112" t="s">
        <v>29</v>
      </c>
      <c r="TW19" s="112"/>
      <c r="TX19" s="116"/>
      <c r="TY19" s="165">
        <f>IFERROR((((COUNTIF('Elève (3ème5)'!TS19:TX19,"A"))*4)+((COUNTIF('Elève (3ème5)'!TS19:TX19,"B"))*3)+((COUNTIF('Elève (3ème5)'!TS19:TX19,"C"))*2)+((COUNTIF('Elève (3ème5)'!TS19:TX19,"D"))*1))/(COUNTA(TS19:TX19)),"")</f>
        <v>3</v>
      </c>
      <c r="TZ19" s="166" t="str">
        <f t="shared" si="129"/>
        <v>B</v>
      </c>
      <c r="UA19" s="165">
        <f>IF(COUNT(TK19,TQ19,TY19)=0,"",SUM(TK19,TQ19,TY19)/COUNT(TK19,TQ19,TY19))</f>
        <v>2.5</v>
      </c>
      <c r="UB19" s="188" t="str">
        <f t="shared" si="130"/>
        <v>C</v>
      </c>
      <c r="UC19" s="110"/>
      <c r="UD19" s="111"/>
      <c r="UE19" s="112"/>
      <c r="UF19" s="165" t="str">
        <f>IFERROR((((COUNTIF('Elève (3ème5)'!UC19:UE19,"A"))*4)+((COUNTIF('Elève (3ème5)'!UC19:UE19,"B"))*3)+((COUNTIF('Elève (3ème5)'!UC19:UE19,"C"))*2)+((COUNTIF('Elève (3ème5)'!UC19:UE19,"D"))*1))/(COUNTA(UC19:UE19)),"")</f>
        <v/>
      </c>
      <c r="UG19" s="166" t="str">
        <f t="shared" si="131"/>
        <v/>
      </c>
      <c r="UH19" s="110" t="s">
        <v>29</v>
      </c>
      <c r="UI19" s="111"/>
      <c r="UJ19" s="112"/>
      <c r="UK19" s="112"/>
      <c r="UL19" s="165">
        <f>IFERROR((((COUNTIF('Elève (3ème5)'!UH19:UK19,"A"))*4)+((COUNTIF('Elève (3ème5)'!UH19:UK19,"B"))*3)+((COUNTIF('Elève (3ème5)'!UH19:UK19,"C"))*2)+((COUNTIF('Elève (3ème5)'!UH19:UK19,"D"))*1))/(COUNTA(UH19:UK19)),"")</f>
        <v>2</v>
      </c>
      <c r="UM19" s="166" t="str">
        <f t="shared" si="132"/>
        <v>C</v>
      </c>
      <c r="UN19" s="110"/>
      <c r="UO19" s="111"/>
      <c r="UP19" s="112" t="s">
        <v>28</v>
      </c>
      <c r="UQ19" s="112" t="s">
        <v>28</v>
      </c>
      <c r="UR19" s="112"/>
      <c r="US19" s="116"/>
      <c r="UT19" s="165">
        <f>IFERROR((((COUNTIF('Elève (3ème5)'!UN19:US19,"A"))*4)+((COUNTIF('Elève (3ème5)'!UN19:US19,"B"))*3)+((COUNTIF('Elève (3ème5)'!UN19:US19,"C"))*2)+((COUNTIF('Elève (3ème5)'!UN19:US19,"D"))*1))/(COUNTA(UN19:US19)),"")</f>
        <v>3</v>
      </c>
      <c r="UU19" s="166" t="str">
        <f t="shared" si="133"/>
        <v>B</v>
      </c>
      <c r="UV19" s="165">
        <f>IF(COUNT(UF19,UL19,UT19)=0,"",SUM(UF19,UL19,UT19)/COUNT(UF19,UL19,UT19))</f>
        <v>2.5</v>
      </c>
      <c r="UW19" s="188" t="str">
        <f t="shared" si="134"/>
        <v>C</v>
      </c>
      <c r="UX19" s="110"/>
      <c r="UY19" s="111"/>
      <c r="UZ19" s="112"/>
      <c r="VA19" s="165" t="str">
        <f>IFERROR((((COUNTIF('Elève (3ème5)'!UX19:UZ19,"A"))*4)+((COUNTIF('Elève (3ème5)'!UX19:UZ19,"B"))*3)+((COUNTIF('Elève (3ème5)'!UX19:UZ19,"C"))*2)+((COUNTIF('Elève (3ème5)'!UX19:UZ19,"D"))*1))/(COUNTA(UX19:UZ19)),"")</f>
        <v/>
      </c>
      <c r="VB19" s="166" t="str">
        <f t="shared" si="135"/>
        <v/>
      </c>
      <c r="VC19" s="110" t="s">
        <v>27</v>
      </c>
      <c r="VD19" s="111"/>
      <c r="VE19" s="112"/>
      <c r="VF19" s="112"/>
      <c r="VG19" s="165">
        <f>IFERROR((((COUNTIF('Elève (3ème5)'!VC19:VF19,"A"))*4)+((COUNTIF('Elève (3ème5)'!VC19:VF19,"B"))*3)+((COUNTIF('Elève (3ème5)'!VC19:VF19,"C"))*2)+((COUNTIF('Elève (3ème5)'!VC19:VF19,"D"))*1))/(COUNTA(VC19:VF19)),"")</f>
        <v>4</v>
      </c>
      <c r="VH19" s="166" t="str">
        <f t="shared" si="136"/>
        <v>A</v>
      </c>
      <c r="VI19" s="110"/>
      <c r="VJ19" s="111"/>
      <c r="VK19" s="112" t="s">
        <v>27</v>
      </c>
      <c r="VL19" s="112" t="s">
        <v>28</v>
      </c>
      <c r="VM19" s="112"/>
      <c r="VN19" s="116"/>
      <c r="VO19" s="165">
        <f>IFERROR((((COUNTIF('Elève (3ème5)'!VI19:VN19,"A"))*4)+((COUNTIF('Elève (3ème5)'!VI19:VN19,"B"))*3)+((COUNTIF('Elève (3ème5)'!VI19:VN19,"C"))*2)+((COUNTIF('Elève (3ème5)'!VI19:VN19,"D"))*1))/(COUNTA(VI19:VN19)),"")</f>
        <v>3.5</v>
      </c>
      <c r="VP19" s="166" t="str">
        <f t="shared" si="137"/>
        <v>B</v>
      </c>
      <c r="VQ19" s="165">
        <f>IF(COUNT(VA19,VG19,VO19)=0,"",SUM(VA19,VG19,VO19)/COUNT(VA19,VG19,VO19))</f>
        <v>3.75</v>
      </c>
      <c r="VR19" s="188" t="str">
        <f t="shared" si="138"/>
        <v>A</v>
      </c>
      <c r="VS19" s="110"/>
      <c r="VT19" s="111"/>
      <c r="VU19" s="112"/>
      <c r="VV19" s="113" t="str">
        <f>IFERROR((((COUNTIF('Elève (3ème5)'!VS19:VU19,"A"))*4)+((COUNTIF('Elève (3ème5)'!VS19:VU19,"B"))*3)+((COUNTIF('Elève (3ème5)'!VS19:VU19,"C"))*2)+((COUNTIF('Elève (3ème5)'!VS19:VU19,"D"))*1))/(COUNTA(VS19:VU19)),"")</f>
        <v/>
      </c>
      <c r="VW19" s="114" t="str">
        <f t="shared" si="139"/>
        <v/>
      </c>
      <c r="VX19" s="110"/>
      <c r="VY19" s="111"/>
      <c r="VZ19" s="112"/>
      <c r="WA19" s="113" t="str">
        <f>IFERROR((((COUNTIF('Elève (3ème5)'!VX19:VZ19,"A"))*4)+((COUNTIF('Elève (3ème5)'!VX19:VZ19,"B"))*3)+((COUNTIF('Elève (3ème5)'!VX19:VZ19,"C"))*2)+((COUNTIF('Elève (3ème5)'!VX19:VZ19,"D"))*1))/(COUNTA(VX19:VZ19)),"")</f>
        <v/>
      </c>
      <c r="WB19" s="114" t="str">
        <f t="shared" si="140"/>
        <v/>
      </c>
      <c r="WC19" s="110"/>
      <c r="WD19" s="111"/>
      <c r="WE19" s="116"/>
      <c r="WF19" s="113" t="str">
        <f>IFERROR((((COUNTIF('Elève (3ème5)'!WC19:WE19,"A"))*4)+((COUNTIF('Elève (3ème5)'!WC19:WE19,"B"))*3)+((COUNTIF('Elève (3ème5)'!WC19:WE19,"C"))*2)+((COUNTIF('Elève (3ème5)'!WC19:WE19,"D"))*1))/(COUNTA(WC19:WE19)),"")</f>
        <v/>
      </c>
      <c r="WG19" s="114" t="str">
        <f t="shared" si="141"/>
        <v/>
      </c>
      <c r="WH19" s="113" t="str">
        <f>IF(COUNT(VV19,WA19,WF19)=0,"",SUM(VV19,WA19,WF19)/COUNT(VV19,WA19,WF19))</f>
        <v/>
      </c>
      <c r="WI19" s="115" t="str">
        <f t="shared" si="142"/>
        <v/>
      </c>
      <c r="WJ19" s="110"/>
      <c r="WK19" s="111"/>
      <c r="WL19" s="112"/>
      <c r="WM19" s="113" t="str">
        <f>IFERROR((((COUNTIF('Elève (3ème5)'!WJ19:WL19,"A"))*4)+((COUNTIF('Elève (3ème5)'!WJ19:WL19,"B"))*3)+((COUNTIF('Elève (3ème5)'!WJ19:WL19,"C"))*2)+((COUNTIF('Elève (3ème5)'!WJ19:WL19,"D"))*1))/(COUNTA(WJ19:WL19)),"")</f>
        <v/>
      </c>
      <c r="WN19" s="114" t="str">
        <f t="shared" si="143"/>
        <v/>
      </c>
      <c r="WO19" s="110"/>
      <c r="WP19" s="111"/>
      <c r="WQ19" s="112"/>
      <c r="WR19" s="113" t="str">
        <f>IFERROR((((COUNTIF('Elève (3ème5)'!WO19:WQ19,"A"))*4)+((COUNTIF('Elève (3ème5)'!WO19:WQ19,"B"))*3)+((COUNTIF('Elève (3ème5)'!WO19:WQ19,"C"))*2)+((COUNTIF('Elève (3ème5)'!WO19:WQ19,"D"))*1))/(COUNTA(WO19:WQ19)),"")</f>
        <v/>
      </c>
      <c r="WS19" s="114" t="str">
        <f t="shared" si="144"/>
        <v/>
      </c>
      <c r="WT19" s="110"/>
      <c r="WU19" s="111"/>
      <c r="WV19" s="116"/>
      <c r="WW19" s="113" t="str">
        <f>IFERROR((((COUNTIF('Elève (3ème5)'!WT19:WV19,"A"))*4)+((COUNTIF('Elève (3ème5)'!WT19:WV19,"B"))*3)+((COUNTIF('Elève (3ème5)'!WT19:WV19,"C"))*2)+((COUNTIF('Elève (3ème5)'!WT19:WV19,"D"))*1))/(COUNTA(WT19:WV19)),"")</f>
        <v/>
      </c>
      <c r="WX19" s="114" t="str">
        <f t="shared" si="145"/>
        <v/>
      </c>
      <c r="WY19" s="113" t="str">
        <f>IF(COUNT(WM19,WR19,WW19)=0,"",SUM(WM19,WR19,WW19)/COUNT(WM19,WR19,WW19))</f>
        <v/>
      </c>
      <c r="WZ19" s="115" t="str">
        <f t="shared" si="146"/>
        <v/>
      </c>
    </row>
    <row r="20" spans="1:624" s="95" customFormat="1" ht="16.5" customHeight="1" thickBot="1" x14ac:dyDescent="0.6">
      <c r="A20" s="145" t="s">
        <v>24</v>
      </c>
      <c r="B20" s="120">
        <v>1</v>
      </c>
      <c r="C20" s="152"/>
      <c r="D20" s="65"/>
      <c r="E20" s="85"/>
      <c r="F20" s="159">
        <f>IF(COUNT(F21)=0,"",SUM(F21)/COUNT(F21))</f>
        <v>3</v>
      </c>
      <c r="G20" s="160" t="str">
        <f t="shared" si="27"/>
        <v>B</v>
      </c>
      <c r="H20" s="152"/>
      <c r="I20" s="65"/>
      <c r="J20" s="65"/>
      <c r="K20" s="85"/>
      <c r="L20" s="159" t="str">
        <f>IF(COUNT(L21)=0,"",SUM(L21)/COUNT(L21))</f>
        <v/>
      </c>
      <c r="M20" s="175" t="str">
        <f t="shared" si="28"/>
        <v/>
      </c>
      <c r="N20" s="153"/>
      <c r="O20" s="90"/>
      <c r="P20" s="90"/>
      <c r="Q20" s="90"/>
      <c r="R20" s="90"/>
      <c r="S20" s="91"/>
      <c r="T20" s="159" t="str">
        <f>IF(COUNT(T21)=0,"",SUM(T21)/COUNT(T21))</f>
        <v/>
      </c>
      <c r="U20" s="183" t="str">
        <f t="shared" si="29"/>
        <v/>
      </c>
      <c r="V20" s="184">
        <f>IF(COUNT(V21)=0,"",SUM(V21)/COUNT(V21))</f>
        <v>3</v>
      </c>
      <c r="W20" s="185" t="str">
        <f t="shared" si="30"/>
        <v>B</v>
      </c>
      <c r="X20" s="196"/>
      <c r="Y20" s="65"/>
      <c r="Z20" s="85"/>
      <c r="AA20" s="159">
        <f>IF(COUNT(AA21)=0,"",SUM(AA21)/COUNT(AA21))</f>
        <v>3.5</v>
      </c>
      <c r="AB20" s="160" t="str">
        <f t="shared" si="31"/>
        <v>B</v>
      </c>
      <c r="AC20" s="152"/>
      <c r="AD20" s="65"/>
      <c r="AE20" s="65"/>
      <c r="AF20" s="85"/>
      <c r="AG20" s="159" t="str">
        <f>IF(COUNT(AG21)=0,"",SUM(AG21)/COUNT(AG21))</f>
        <v/>
      </c>
      <c r="AH20" s="175" t="str">
        <f t="shared" si="32"/>
        <v/>
      </c>
      <c r="AI20" s="153"/>
      <c r="AJ20" s="90"/>
      <c r="AK20" s="90"/>
      <c r="AL20" s="90"/>
      <c r="AM20" s="90"/>
      <c r="AN20" s="91"/>
      <c r="AO20" s="159" t="str">
        <f>IF(COUNT(AO21)=0,"",SUM(AO21)/COUNT(AO21))</f>
        <v/>
      </c>
      <c r="AP20" s="183" t="str">
        <f t="shared" si="33"/>
        <v/>
      </c>
      <c r="AQ20" s="184">
        <f>IF(COUNT(AQ21)=0,"",SUM(AQ21)/COUNT(AQ21))</f>
        <v>3.5</v>
      </c>
      <c r="AR20" s="185" t="str">
        <f t="shared" si="34"/>
        <v>B</v>
      </c>
      <c r="AS20" s="196"/>
      <c r="AT20" s="65"/>
      <c r="AU20" s="85"/>
      <c r="AV20" s="159">
        <f>IF(COUNT(AV21)=0,"",SUM(AV21)/COUNT(AV21))</f>
        <v>3</v>
      </c>
      <c r="AW20" s="160" t="str">
        <f t="shared" si="35"/>
        <v>B</v>
      </c>
      <c r="AX20" s="152"/>
      <c r="AY20" s="65"/>
      <c r="AZ20" s="65"/>
      <c r="BA20" s="85"/>
      <c r="BB20" s="159" t="str">
        <f>IF(COUNT(BB21)=0,"",SUM(BB21)/COUNT(BB21))</f>
        <v/>
      </c>
      <c r="BC20" s="175" t="str">
        <f t="shared" si="36"/>
        <v/>
      </c>
      <c r="BD20" s="153"/>
      <c r="BE20" s="90"/>
      <c r="BF20" s="90"/>
      <c r="BG20" s="90"/>
      <c r="BH20" s="90"/>
      <c r="BI20" s="91"/>
      <c r="BJ20" s="159" t="str">
        <f>IF(COUNT(BJ21)=0,"",SUM(BJ21)/COUNT(BJ21))</f>
        <v/>
      </c>
      <c r="BK20" s="183" t="str">
        <f t="shared" si="37"/>
        <v/>
      </c>
      <c r="BL20" s="184">
        <f>IF(COUNT(BL21)=0,"",SUM(BL21)/COUNT(BL21))</f>
        <v>3</v>
      </c>
      <c r="BM20" s="185" t="str">
        <f t="shared" si="38"/>
        <v>B</v>
      </c>
      <c r="BN20" s="196"/>
      <c r="BO20" s="65"/>
      <c r="BP20" s="85"/>
      <c r="BQ20" s="159">
        <f>IF(COUNT(BQ21)=0,"",SUM(BQ21)/COUNT(BQ21))</f>
        <v>2</v>
      </c>
      <c r="BR20" s="160" t="str">
        <f t="shared" si="39"/>
        <v>C</v>
      </c>
      <c r="BS20" s="152"/>
      <c r="BT20" s="65"/>
      <c r="BU20" s="65"/>
      <c r="BV20" s="85"/>
      <c r="BW20" s="159" t="str">
        <f>IF(COUNT(BW21)=0,"",SUM(BW21)/COUNT(BW21))</f>
        <v/>
      </c>
      <c r="BX20" s="175" t="str">
        <f t="shared" si="40"/>
        <v/>
      </c>
      <c r="BY20" s="153"/>
      <c r="BZ20" s="90"/>
      <c r="CA20" s="90"/>
      <c r="CB20" s="90"/>
      <c r="CC20" s="90"/>
      <c r="CD20" s="91"/>
      <c r="CE20" s="159" t="str">
        <f>IF(COUNT(CE21)=0,"",SUM(CE21)/COUNT(CE21))</f>
        <v/>
      </c>
      <c r="CF20" s="183" t="str">
        <f t="shared" si="41"/>
        <v/>
      </c>
      <c r="CG20" s="184">
        <f>IF(COUNT(CG21)=0,"",SUM(CG21)/COUNT(CG21))</f>
        <v>2</v>
      </c>
      <c r="CH20" s="185" t="str">
        <f t="shared" si="42"/>
        <v>C</v>
      </c>
      <c r="CI20" s="196"/>
      <c r="CJ20" s="65"/>
      <c r="CK20" s="85"/>
      <c r="CL20" s="159">
        <f>IF(COUNT(CL21)=0,"",SUM(CL21)/COUNT(CL21))</f>
        <v>3</v>
      </c>
      <c r="CM20" s="160" t="str">
        <f t="shared" si="43"/>
        <v>B</v>
      </c>
      <c r="CN20" s="152"/>
      <c r="CO20" s="65"/>
      <c r="CP20" s="65"/>
      <c r="CQ20" s="85"/>
      <c r="CR20" s="159" t="str">
        <f>IF(COUNT(CR21)=0,"",SUM(CR21)/COUNT(CR21))</f>
        <v/>
      </c>
      <c r="CS20" s="175" t="str">
        <f t="shared" si="44"/>
        <v/>
      </c>
      <c r="CT20" s="153"/>
      <c r="CU20" s="90"/>
      <c r="CV20" s="90"/>
      <c r="CW20" s="90"/>
      <c r="CX20" s="90"/>
      <c r="CY20" s="91"/>
      <c r="CZ20" s="159" t="str">
        <f>IF(COUNT(CZ21)=0,"",SUM(CZ21)/COUNT(CZ21))</f>
        <v/>
      </c>
      <c r="DA20" s="183" t="str">
        <f t="shared" si="45"/>
        <v/>
      </c>
      <c r="DB20" s="184">
        <f>IF(COUNT(DB21)=0,"",SUM(DB21)/COUNT(DB21))</f>
        <v>3</v>
      </c>
      <c r="DC20" s="185" t="str">
        <f t="shared" si="46"/>
        <v>B</v>
      </c>
      <c r="DD20" s="196"/>
      <c r="DE20" s="65"/>
      <c r="DF20" s="85"/>
      <c r="DG20" s="159">
        <f>IF(COUNT(DG21)=0,"",SUM(DG21)/COUNT(DG21))</f>
        <v>3.5</v>
      </c>
      <c r="DH20" s="160" t="str">
        <f t="shared" si="47"/>
        <v>B</v>
      </c>
      <c r="DI20" s="152"/>
      <c r="DJ20" s="65"/>
      <c r="DK20" s="65"/>
      <c r="DL20" s="85"/>
      <c r="DM20" s="159" t="str">
        <f>IF(COUNT(DM21)=0,"",SUM(DM21)/COUNT(DM21))</f>
        <v/>
      </c>
      <c r="DN20" s="175" t="str">
        <f t="shared" si="48"/>
        <v/>
      </c>
      <c r="DO20" s="153"/>
      <c r="DP20" s="90"/>
      <c r="DQ20" s="90"/>
      <c r="DR20" s="90"/>
      <c r="DS20" s="90"/>
      <c r="DT20" s="91"/>
      <c r="DU20" s="159" t="str">
        <f>IF(COUNT(DU21)=0,"",SUM(DU21)/COUNT(DU21))</f>
        <v/>
      </c>
      <c r="DV20" s="183" t="str">
        <f t="shared" si="49"/>
        <v/>
      </c>
      <c r="DW20" s="184">
        <f>IF(COUNT(DW21)=0,"",SUM(DW21)/COUNT(DW21))</f>
        <v>3.5</v>
      </c>
      <c r="DX20" s="185" t="str">
        <f t="shared" si="50"/>
        <v>B</v>
      </c>
      <c r="DY20" s="196"/>
      <c r="DZ20" s="65"/>
      <c r="EA20" s="85"/>
      <c r="EB20" s="159">
        <f>IF(COUNT(EB21)=0,"",SUM(EB21)/COUNT(EB21))</f>
        <v>1.5</v>
      </c>
      <c r="EC20" s="160" t="str">
        <f t="shared" si="51"/>
        <v>D</v>
      </c>
      <c r="ED20" s="152"/>
      <c r="EE20" s="65"/>
      <c r="EF20" s="65"/>
      <c r="EG20" s="85"/>
      <c r="EH20" s="159" t="str">
        <f>IF(COUNT(EH21)=0,"",SUM(EH21)/COUNT(EH21))</f>
        <v/>
      </c>
      <c r="EI20" s="175" t="str">
        <f t="shared" si="52"/>
        <v/>
      </c>
      <c r="EJ20" s="153"/>
      <c r="EK20" s="90"/>
      <c r="EL20" s="90"/>
      <c r="EM20" s="90"/>
      <c r="EN20" s="90"/>
      <c r="EO20" s="91"/>
      <c r="EP20" s="159" t="str">
        <f>IF(COUNT(EP21)=0,"",SUM(EP21)/COUNT(EP21))</f>
        <v/>
      </c>
      <c r="EQ20" s="183" t="str">
        <f t="shared" si="53"/>
        <v/>
      </c>
      <c r="ER20" s="184">
        <f>IF(COUNT(ER21)=0,"",SUM(ER21)/COUNT(ER21))</f>
        <v>1.5</v>
      </c>
      <c r="ES20" s="185" t="str">
        <f t="shared" si="54"/>
        <v>D</v>
      </c>
      <c r="ET20" s="196"/>
      <c r="EU20" s="65"/>
      <c r="EV20" s="85"/>
      <c r="EW20" s="159">
        <f>IF(COUNT(EW21)=0,"",SUM(EW21)/COUNT(EW21))</f>
        <v>3.5</v>
      </c>
      <c r="EX20" s="160" t="str">
        <f t="shared" si="55"/>
        <v>B</v>
      </c>
      <c r="EY20" s="152"/>
      <c r="EZ20" s="65"/>
      <c r="FA20" s="65"/>
      <c r="FB20" s="85"/>
      <c r="FC20" s="159" t="str">
        <f>IF(COUNT(FC21)=0,"",SUM(FC21)/COUNT(FC21))</f>
        <v/>
      </c>
      <c r="FD20" s="175" t="str">
        <f t="shared" si="56"/>
        <v/>
      </c>
      <c r="FE20" s="153"/>
      <c r="FF20" s="90"/>
      <c r="FG20" s="90"/>
      <c r="FH20" s="90"/>
      <c r="FI20" s="90"/>
      <c r="FJ20" s="91"/>
      <c r="FK20" s="159" t="str">
        <f>IF(COUNT(FK21)=0,"",SUM(FK21)/COUNT(FK21))</f>
        <v/>
      </c>
      <c r="FL20" s="183" t="str">
        <f t="shared" si="57"/>
        <v/>
      </c>
      <c r="FM20" s="184">
        <f>IF(COUNT(FM21)=0,"",SUM(FM21)/COUNT(FM21))</f>
        <v>3.5</v>
      </c>
      <c r="FN20" s="185" t="str">
        <f t="shared" si="58"/>
        <v>B</v>
      </c>
      <c r="FO20" s="196"/>
      <c r="FP20" s="65"/>
      <c r="FQ20" s="85"/>
      <c r="FR20" s="159">
        <f>IF(COUNT(FR21)=0,"",SUM(FR21)/COUNT(FR21))</f>
        <v>2.5</v>
      </c>
      <c r="FS20" s="160" t="str">
        <f t="shared" si="59"/>
        <v>C</v>
      </c>
      <c r="FT20" s="152"/>
      <c r="FU20" s="65"/>
      <c r="FV20" s="65"/>
      <c r="FW20" s="85"/>
      <c r="FX20" s="159" t="str">
        <f>IF(COUNT(FX21)=0,"",SUM(FX21)/COUNT(FX21))</f>
        <v/>
      </c>
      <c r="FY20" s="175" t="str">
        <f t="shared" si="60"/>
        <v/>
      </c>
      <c r="FZ20" s="153"/>
      <c r="GA20" s="90"/>
      <c r="GB20" s="90"/>
      <c r="GC20" s="90"/>
      <c r="GD20" s="90"/>
      <c r="GE20" s="91"/>
      <c r="GF20" s="159" t="str">
        <f>IF(COUNT(GF21)=0,"",SUM(GF21)/COUNT(GF21))</f>
        <v/>
      </c>
      <c r="GG20" s="183" t="str">
        <f t="shared" si="61"/>
        <v/>
      </c>
      <c r="GH20" s="184">
        <f>IF(COUNT(GH21)=0,"",SUM(GH21)/COUNT(GH21))</f>
        <v>2.5</v>
      </c>
      <c r="GI20" s="185" t="str">
        <f t="shared" si="62"/>
        <v>C</v>
      </c>
      <c r="GJ20" s="196"/>
      <c r="GK20" s="65"/>
      <c r="GL20" s="85"/>
      <c r="GM20" s="159">
        <f>IF(COUNT(GM21)=0,"",SUM(GM21)/COUNT(GM21))</f>
        <v>3</v>
      </c>
      <c r="GN20" s="160" t="str">
        <f t="shared" si="63"/>
        <v>B</v>
      </c>
      <c r="GO20" s="152"/>
      <c r="GP20" s="65"/>
      <c r="GQ20" s="65"/>
      <c r="GR20" s="85"/>
      <c r="GS20" s="159" t="str">
        <f>IF(COUNT(GS21)=0,"",SUM(GS21)/COUNT(GS21))</f>
        <v/>
      </c>
      <c r="GT20" s="175" t="str">
        <f t="shared" si="64"/>
        <v/>
      </c>
      <c r="GU20" s="153"/>
      <c r="GV20" s="90"/>
      <c r="GW20" s="90"/>
      <c r="GX20" s="90"/>
      <c r="GY20" s="90"/>
      <c r="GZ20" s="91"/>
      <c r="HA20" s="159" t="str">
        <f>IF(COUNT(HA21)=0,"",SUM(HA21)/COUNT(HA21))</f>
        <v/>
      </c>
      <c r="HB20" s="183" t="str">
        <f t="shared" si="65"/>
        <v/>
      </c>
      <c r="HC20" s="184">
        <f>IF(COUNT(HC21)=0,"",SUM(HC21)/COUNT(HC21))</f>
        <v>3</v>
      </c>
      <c r="HD20" s="185" t="str">
        <f t="shared" si="66"/>
        <v>B</v>
      </c>
      <c r="HE20" s="196"/>
      <c r="HF20" s="65"/>
      <c r="HG20" s="85"/>
      <c r="HH20" s="159">
        <f>IF(COUNT(HH21)=0,"",SUM(HH21)/COUNT(HH21))</f>
        <v>2.5</v>
      </c>
      <c r="HI20" s="160" t="str">
        <f t="shared" si="67"/>
        <v>C</v>
      </c>
      <c r="HJ20" s="152"/>
      <c r="HK20" s="65"/>
      <c r="HL20" s="65"/>
      <c r="HM20" s="85"/>
      <c r="HN20" s="159" t="str">
        <f>IF(COUNT(HN21)=0,"",SUM(HN21)/COUNT(HN21))</f>
        <v/>
      </c>
      <c r="HO20" s="175" t="str">
        <f t="shared" si="68"/>
        <v/>
      </c>
      <c r="HP20" s="153"/>
      <c r="HQ20" s="90"/>
      <c r="HR20" s="90"/>
      <c r="HS20" s="90"/>
      <c r="HT20" s="90"/>
      <c r="HU20" s="91"/>
      <c r="HV20" s="159" t="str">
        <f>IF(COUNT(HV21)=0,"",SUM(HV21)/COUNT(HV21))</f>
        <v/>
      </c>
      <c r="HW20" s="183" t="str">
        <f t="shared" si="69"/>
        <v/>
      </c>
      <c r="HX20" s="184">
        <f>IF(COUNT(HX21)=0,"",SUM(HX21)/COUNT(HX21))</f>
        <v>2.5</v>
      </c>
      <c r="HY20" s="185" t="str">
        <f t="shared" si="70"/>
        <v>C</v>
      </c>
      <c r="HZ20" s="196"/>
      <c r="IA20" s="65"/>
      <c r="IB20" s="85"/>
      <c r="IC20" s="159">
        <f>IF(COUNT(IC21)=0,"",SUM(IC21)/COUNT(IC21))</f>
        <v>3.5</v>
      </c>
      <c r="ID20" s="160" t="str">
        <f t="shared" si="71"/>
        <v>B</v>
      </c>
      <c r="IE20" s="152"/>
      <c r="IF20" s="65"/>
      <c r="IG20" s="65"/>
      <c r="IH20" s="85"/>
      <c r="II20" s="159" t="str">
        <f>IF(COUNT(II21)=0,"",SUM(II21)/COUNT(II21))</f>
        <v/>
      </c>
      <c r="IJ20" s="175" t="str">
        <f t="shared" si="72"/>
        <v/>
      </c>
      <c r="IK20" s="153"/>
      <c r="IL20" s="90"/>
      <c r="IM20" s="90"/>
      <c r="IN20" s="90"/>
      <c r="IO20" s="90"/>
      <c r="IP20" s="91"/>
      <c r="IQ20" s="159" t="str">
        <f>IF(COUNT(IQ21)=0,"",SUM(IQ21)/COUNT(IQ21))</f>
        <v/>
      </c>
      <c r="IR20" s="183" t="str">
        <f t="shared" si="73"/>
        <v/>
      </c>
      <c r="IS20" s="184">
        <f>IF(COUNT(IS21)=0,"",SUM(IS21)/COUNT(IS21))</f>
        <v>3.5</v>
      </c>
      <c r="IT20" s="185" t="str">
        <f t="shared" si="74"/>
        <v>B</v>
      </c>
      <c r="IU20" s="196"/>
      <c r="IV20" s="65"/>
      <c r="IW20" s="85"/>
      <c r="IX20" s="159">
        <f>IF(COUNT(IX21)=0,"",SUM(IX21)/COUNT(IX21))</f>
        <v>3</v>
      </c>
      <c r="IY20" s="160" t="str">
        <f t="shared" si="75"/>
        <v>B</v>
      </c>
      <c r="IZ20" s="152"/>
      <c r="JA20" s="65"/>
      <c r="JB20" s="65"/>
      <c r="JC20" s="85"/>
      <c r="JD20" s="159" t="str">
        <f>IF(COUNT(JD21)=0,"",SUM(JD21)/COUNT(JD21))</f>
        <v/>
      </c>
      <c r="JE20" s="175" t="str">
        <f t="shared" si="76"/>
        <v/>
      </c>
      <c r="JF20" s="153"/>
      <c r="JG20" s="90"/>
      <c r="JH20" s="90"/>
      <c r="JI20" s="90"/>
      <c r="JJ20" s="90"/>
      <c r="JK20" s="91"/>
      <c r="JL20" s="159" t="str">
        <f>IF(COUNT(JL21)=0,"",SUM(JL21)/COUNT(JL21))</f>
        <v/>
      </c>
      <c r="JM20" s="183" t="str">
        <f t="shared" si="77"/>
        <v/>
      </c>
      <c r="JN20" s="184">
        <f>IF(COUNT(JN21)=0,"",SUM(JN21)/COUNT(JN21))</f>
        <v>3</v>
      </c>
      <c r="JO20" s="185" t="str">
        <f t="shared" si="78"/>
        <v>B</v>
      </c>
      <c r="JP20" s="196"/>
      <c r="JQ20" s="65"/>
      <c r="JR20" s="85"/>
      <c r="JS20" s="159">
        <f>IF(COUNT(JS21)=0,"",SUM(JS21)/COUNT(JS21))</f>
        <v>2.5</v>
      </c>
      <c r="JT20" s="160" t="str">
        <f t="shared" si="79"/>
        <v>C</v>
      </c>
      <c r="JU20" s="152"/>
      <c r="JV20" s="65"/>
      <c r="JW20" s="65"/>
      <c r="JX20" s="85"/>
      <c r="JY20" s="159" t="str">
        <f>IF(COUNT(JY21)=0,"",SUM(JY21)/COUNT(JY21))</f>
        <v/>
      </c>
      <c r="JZ20" s="175" t="str">
        <f t="shared" si="80"/>
        <v/>
      </c>
      <c r="KA20" s="153"/>
      <c r="KB20" s="90"/>
      <c r="KC20" s="90"/>
      <c r="KD20" s="90"/>
      <c r="KE20" s="90"/>
      <c r="KF20" s="91"/>
      <c r="KG20" s="159" t="str">
        <f>IF(COUNT(KG21)=0,"",SUM(KG21)/COUNT(KG21))</f>
        <v/>
      </c>
      <c r="KH20" s="183" t="str">
        <f t="shared" si="81"/>
        <v/>
      </c>
      <c r="KI20" s="184">
        <f>IF(COUNT(KI21)=0,"",SUM(KI21)/COUNT(KI21))</f>
        <v>2.5</v>
      </c>
      <c r="KJ20" s="185" t="str">
        <f t="shared" si="82"/>
        <v>C</v>
      </c>
      <c r="KK20" s="196"/>
      <c r="KL20" s="65"/>
      <c r="KM20" s="85"/>
      <c r="KN20" s="159">
        <f>IF(COUNT(KN21)=0,"",SUM(KN21)/COUNT(KN21))</f>
        <v>3.5</v>
      </c>
      <c r="KO20" s="160" t="str">
        <f t="shared" si="83"/>
        <v>B</v>
      </c>
      <c r="KP20" s="152"/>
      <c r="KQ20" s="65"/>
      <c r="KR20" s="65"/>
      <c r="KS20" s="85"/>
      <c r="KT20" s="159" t="str">
        <f>IF(COUNT(KT21)=0,"",SUM(KT21)/COUNT(KT21))</f>
        <v/>
      </c>
      <c r="KU20" s="175" t="str">
        <f t="shared" si="84"/>
        <v/>
      </c>
      <c r="KV20" s="153"/>
      <c r="KW20" s="90"/>
      <c r="KX20" s="90"/>
      <c r="KY20" s="90"/>
      <c r="KZ20" s="90"/>
      <c r="LA20" s="91"/>
      <c r="LB20" s="159" t="str">
        <f>IF(COUNT(LB21)=0,"",SUM(LB21)/COUNT(LB21))</f>
        <v/>
      </c>
      <c r="LC20" s="183" t="str">
        <f t="shared" si="85"/>
        <v/>
      </c>
      <c r="LD20" s="184">
        <f>IF(COUNT(LD21)=0,"",SUM(LD21)/COUNT(LD21))</f>
        <v>3.5</v>
      </c>
      <c r="LE20" s="185" t="str">
        <f t="shared" si="86"/>
        <v>B</v>
      </c>
      <c r="LF20" s="196"/>
      <c r="LG20" s="65"/>
      <c r="LH20" s="85"/>
      <c r="LI20" s="159">
        <f>IF(COUNT(LI21)=0,"",SUM(LI21)/COUNT(LI21))</f>
        <v>3</v>
      </c>
      <c r="LJ20" s="160" t="str">
        <f t="shared" si="87"/>
        <v>B</v>
      </c>
      <c r="LK20" s="152"/>
      <c r="LL20" s="65"/>
      <c r="LM20" s="65"/>
      <c r="LN20" s="85"/>
      <c r="LO20" s="159" t="str">
        <f>IF(COUNT(LO21)=0,"",SUM(LO21)/COUNT(LO21))</f>
        <v/>
      </c>
      <c r="LP20" s="175" t="str">
        <f t="shared" si="88"/>
        <v/>
      </c>
      <c r="LQ20" s="153"/>
      <c r="LR20" s="90"/>
      <c r="LS20" s="90"/>
      <c r="LT20" s="90"/>
      <c r="LU20" s="90"/>
      <c r="LV20" s="91"/>
      <c r="LW20" s="159" t="str">
        <f>IF(COUNT(LW21)=0,"",SUM(LW21)/COUNT(LW21))</f>
        <v/>
      </c>
      <c r="LX20" s="183" t="str">
        <f t="shared" si="89"/>
        <v/>
      </c>
      <c r="LY20" s="184">
        <f>IF(COUNT(LY21)=0,"",SUM(LY21)/COUNT(LY21))</f>
        <v>3</v>
      </c>
      <c r="LZ20" s="185" t="str">
        <f t="shared" si="90"/>
        <v>B</v>
      </c>
      <c r="MA20" s="196"/>
      <c r="MB20" s="65"/>
      <c r="MC20" s="85"/>
      <c r="MD20" s="159">
        <f>IF(COUNT(MD21)=0,"",SUM(MD21)/COUNT(MD21))</f>
        <v>3</v>
      </c>
      <c r="ME20" s="160" t="str">
        <f t="shared" si="91"/>
        <v>B</v>
      </c>
      <c r="MF20" s="152"/>
      <c r="MG20" s="65"/>
      <c r="MH20" s="65"/>
      <c r="MI20" s="85"/>
      <c r="MJ20" s="159" t="str">
        <f>IF(COUNT(MJ21)=0,"",SUM(MJ21)/COUNT(MJ21))</f>
        <v/>
      </c>
      <c r="MK20" s="175" t="str">
        <f t="shared" si="92"/>
        <v/>
      </c>
      <c r="ML20" s="153"/>
      <c r="MM20" s="90"/>
      <c r="MN20" s="90"/>
      <c r="MO20" s="90"/>
      <c r="MP20" s="90"/>
      <c r="MQ20" s="91"/>
      <c r="MR20" s="159" t="str">
        <f>IF(COUNT(MR21)=0,"",SUM(MR21)/COUNT(MR21))</f>
        <v/>
      </c>
      <c r="MS20" s="183" t="str">
        <f t="shared" si="93"/>
        <v/>
      </c>
      <c r="MT20" s="184">
        <f>IF(COUNT(MT21)=0,"",SUM(MT21)/COUNT(MT21))</f>
        <v>3</v>
      </c>
      <c r="MU20" s="185" t="str">
        <f t="shared" si="94"/>
        <v>B</v>
      </c>
      <c r="MV20" s="196"/>
      <c r="MW20" s="65"/>
      <c r="MX20" s="85"/>
      <c r="MY20" s="159">
        <f>IF(COUNT(MY21)=0,"",SUM(MY21)/COUNT(MY21))</f>
        <v>3</v>
      </c>
      <c r="MZ20" s="160" t="str">
        <f t="shared" si="95"/>
        <v>B</v>
      </c>
      <c r="NA20" s="152"/>
      <c r="NB20" s="65"/>
      <c r="NC20" s="65"/>
      <c r="ND20" s="85"/>
      <c r="NE20" s="159" t="str">
        <f>IF(COUNT(NE21)=0,"",SUM(NE21)/COUNT(NE21))</f>
        <v/>
      </c>
      <c r="NF20" s="175" t="str">
        <f t="shared" si="96"/>
        <v/>
      </c>
      <c r="NG20" s="153"/>
      <c r="NH20" s="90"/>
      <c r="NI20" s="90"/>
      <c r="NJ20" s="90"/>
      <c r="NK20" s="90"/>
      <c r="NL20" s="91"/>
      <c r="NM20" s="159" t="str">
        <f>IF(COUNT(NM21)=0,"",SUM(NM21)/COUNT(NM21))</f>
        <v/>
      </c>
      <c r="NN20" s="183" t="str">
        <f t="shared" si="97"/>
        <v/>
      </c>
      <c r="NO20" s="184">
        <f>IF(COUNT(NO21)=0,"",SUM(NO21)/COUNT(NO21))</f>
        <v>3</v>
      </c>
      <c r="NP20" s="185" t="str">
        <f t="shared" si="98"/>
        <v>B</v>
      </c>
      <c r="NQ20" s="196"/>
      <c r="NR20" s="65"/>
      <c r="NS20" s="85"/>
      <c r="NT20" s="159">
        <f>IF(COUNT(NT21)=0,"",SUM(NT21)/COUNT(NT21))</f>
        <v>3.5</v>
      </c>
      <c r="NU20" s="160" t="str">
        <f t="shared" si="99"/>
        <v>B</v>
      </c>
      <c r="NV20" s="152"/>
      <c r="NW20" s="65"/>
      <c r="NX20" s="65"/>
      <c r="NY20" s="85"/>
      <c r="NZ20" s="159" t="str">
        <f>IF(COUNT(NZ21)=0,"",SUM(NZ21)/COUNT(NZ21))</f>
        <v/>
      </c>
      <c r="OA20" s="175" t="str">
        <f t="shared" si="100"/>
        <v/>
      </c>
      <c r="OB20" s="153"/>
      <c r="OC20" s="90"/>
      <c r="OD20" s="90"/>
      <c r="OE20" s="90"/>
      <c r="OF20" s="90"/>
      <c r="OG20" s="91"/>
      <c r="OH20" s="159" t="str">
        <f>IF(COUNT(OH21)=0,"",SUM(OH21)/COUNT(OH21))</f>
        <v/>
      </c>
      <c r="OI20" s="183" t="str">
        <f t="shared" si="101"/>
        <v/>
      </c>
      <c r="OJ20" s="184">
        <f>IF(COUNT(OJ21)=0,"",SUM(OJ21)/COUNT(OJ21))</f>
        <v>3.5</v>
      </c>
      <c r="OK20" s="185" t="str">
        <f t="shared" si="102"/>
        <v>B</v>
      </c>
      <c r="OL20" s="196"/>
      <c r="OM20" s="65"/>
      <c r="ON20" s="85"/>
      <c r="OO20" s="159">
        <f>IF(COUNT(OO21)=0,"",SUM(OO21)/COUNT(OO21))</f>
        <v>3.5</v>
      </c>
      <c r="OP20" s="160" t="str">
        <f t="shared" si="103"/>
        <v>B</v>
      </c>
      <c r="OQ20" s="152"/>
      <c r="OR20" s="65"/>
      <c r="OS20" s="65"/>
      <c r="OT20" s="85"/>
      <c r="OU20" s="159" t="str">
        <f>IF(COUNT(OU21)=0,"",SUM(OU21)/COUNT(OU21))</f>
        <v/>
      </c>
      <c r="OV20" s="175" t="str">
        <f t="shared" si="104"/>
        <v/>
      </c>
      <c r="OW20" s="153"/>
      <c r="OX20" s="90"/>
      <c r="OY20" s="90"/>
      <c r="OZ20" s="90"/>
      <c r="PA20" s="90"/>
      <c r="PB20" s="91"/>
      <c r="PC20" s="159" t="str">
        <f>IF(COUNT(PC21)=0,"",SUM(PC21)/COUNT(PC21))</f>
        <v/>
      </c>
      <c r="PD20" s="183" t="str">
        <f t="shared" si="105"/>
        <v/>
      </c>
      <c r="PE20" s="184">
        <f>IF(COUNT(PE21)=0,"",SUM(PE21)/COUNT(PE21))</f>
        <v>3.5</v>
      </c>
      <c r="PF20" s="185" t="str">
        <f t="shared" si="106"/>
        <v>B</v>
      </c>
      <c r="PG20" s="196"/>
      <c r="PH20" s="65"/>
      <c r="PI20" s="85"/>
      <c r="PJ20" s="159">
        <f>IF(COUNT(PJ21)=0,"",SUM(PJ21)/COUNT(PJ21))</f>
        <v>2</v>
      </c>
      <c r="PK20" s="160" t="str">
        <f t="shared" si="107"/>
        <v>C</v>
      </c>
      <c r="PL20" s="152"/>
      <c r="PM20" s="65"/>
      <c r="PN20" s="65"/>
      <c r="PO20" s="85"/>
      <c r="PP20" s="159" t="str">
        <f>IF(COUNT(PP21)=0,"",SUM(PP21)/COUNT(PP21))</f>
        <v/>
      </c>
      <c r="PQ20" s="175" t="str">
        <f t="shared" si="108"/>
        <v/>
      </c>
      <c r="PR20" s="153"/>
      <c r="PS20" s="90"/>
      <c r="PT20" s="90"/>
      <c r="PU20" s="90"/>
      <c r="PV20" s="90"/>
      <c r="PW20" s="91"/>
      <c r="PX20" s="159" t="str">
        <f>IF(COUNT(PX21)=0,"",SUM(PX21)/COUNT(PX21))</f>
        <v/>
      </c>
      <c r="PY20" s="183" t="str">
        <f t="shared" si="109"/>
        <v/>
      </c>
      <c r="PZ20" s="184">
        <f>IF(COUNT(PZ21)=0,"",SUM(PZ21)/COUNT(PZ21))</f>
        <v>2</v>
      </c>
      <c r="QA20" s="185" t="str">
        <f t="shared" si="110"/>
        <v>C</v>
      </c>
      <c r="QB20" s="196"/>
      <c r="QC20" s="65"/>
      <c r="QD20" s="85"/>
      <c r="QE20" s="159">
        <f>IF(COUNT(QE21)=0,"",SUM(QE21)/COUNT(QE21))</f>
        <v>3.5</v>
      </c>
      <c r="QF20" s="160" t="str">
        <f t="shared" si="111"/>
        <v>B</v>
      </c>
      <c r="QG20" s="152"/>
      <c r="QH20" s="65"/>
      <c r="QI20" s="65"/>
      <c r="QJ20" s="85"/>
      <c r="QK20" s="159" t="str">
        <f>IF(COUNT(QK21)=0,"",SUM(QK21)/COUNT(QK21))</f>
        <v/>
      </c>
      <c r="QL20" s="175" t="str">
        <f t="shared" si="112"/>
        <v/>
      </c>
      <c r="QM20" s="153"/>
      <c r="QN20" s="90"/>
      <c r="QO20" s="90"/>
      <c r="QP20" s="90"/>
      <c r="QQ20" s="90"/>
      <c r="QR20" s="91"/>
      <c r="QS20" s="159" t="str">
        <f>IF(COUNT(QS21)=0,"",SUM(QS21)/COUNT(QS21))</f>
        <v/>
      </c>
      <c r="QT20" s="183" t="str">
        <f t="shared" si="113"/>
        <v/>
      </c>
      <c r="QU20" s="184">
        <f>IF(COUNT(QU21)=0,"",SUM(QU21)/COUNT(QU21))</f>
        <v>3.5</v>
      </c>
      <c r="QV20" s="185" t="str">
        <f t="shared" si="114"/>
        <v>B</v>
      </c>
      <c r="QW20" s="196"/>
      <c r="QX20" s="65"/>
      <c r="QY20" s="85"/>
      <c r="QZ20" s="159">
        <f>IF(COUNT(QZ21)=0,"",SUM(QZ21)/COUNT(QZ21))</f>
        <v>2</v>
      </c>
      <c r="RA20" s="160" t="str">
        <f t="shared" si="115"/>
        <v>C</v>
      </c>
      <c r="RB20" s="152"/>
      <c r="RC20" s="65"/>
      <c r="RD20" s="65"/>
      <c r="RE20" s="85"/>
      <c r="RF20" s="159" t="str">
        <f>IF(COUNT(RF21)=0,"",SUM(RF21)/COUNT(RF21))</f>
        <v/>
      </c>
      <c r="RG20" s="175" t="str">
        <f t="shared" si="116"/>
        <v/>
      </c>
      <c r="RH20" s="153"/>
      <c r="RI20" s="90"/>
      <c r="RJ20" s="90"/>
      <c r="RK20" s="90"/>
      <c r="RL20" s="90"/>
      <c r="RM20" s="91"/>
      <c r="RN20" s="159" t="str">
        <f>IF(COUNT(RN21)=0,"",SUM(RN21)/COUNT(RN21))</f>
        <v/>
      </c>
      <c r="RO20" s="183" t="str">
        <f t="shared" si="117"/>
        <v/>
      </c>
      <c r="RP20" s="184">
        <f>IF(COUNT(RP21)=0,"",SUM(RP21)/COUNT(RP21))</f>
        <v>2</v>
      </c>
      <c r="RQ20" s="185" t="str">
        <f t="shared" si="118"/>
        <v>C</v>
      </c>
      <c r="RR20" s="196"/>
      <c r="RS20" s="65"/>
      <c r="RT20" s="85"/>
      <c r="RU20" s="159">
        <f>IF(COUNT(RU21)=0,"",SUM(RU21)/COUNT(RU21))</f>
        <v>3</v>
      </c>
      <c r="RV20" s="160" t="str">
        <f t="shared" si="119"/>
        <v>B</v>
      </c>
      <c r="RW20" s="152"/>
      <c r="RX20" s="65"/>
      <c r="RY20" s="65"/>
      <c r="RZ20" s="85"/>
      <c r="SA20" s="159" t="str">
        <f>IF(COUNT(SA21)=0,"",SUM(SA21)/COUNT(SA21))</f>
        <v/>
      </c>
      <c r="SB20" s="175" t="str">
        <f t="shared" si="120"/>
        <v/>
      </c>
      <c r="SC20" s="153"/>
      <c r="SD20" s="90"/>
      <c r="SE20" s="90"/>
      <c r="SF20" s="90"/>
      <c r="SG20" s="90"/>
      <c r="SH20" s="91"/>
      <c r="SI20" s="159" t="str">
        <f>IF(COUNT(SI21)=0,"",SUM(SI21)/COUNT(SI21))</f>
        <v/>
      </c>
      <c r="SJ20" s="183" t="str">
        <f t="shared" si="121"/>
        <v/>
      </c>
      <c r="SK20" s="184">
        <f>IF(COUNT(SK21)=0,"",SUM(SK21)/COUNT(SK21))</f>
        <v>3</v>
      </c>
      <c r="SL20" s="185" t="str">
        <f t="shared" si="122"/>
        <v>B</v>
      </c>
      <c r="SM20" s="196"/>
      <c r="SN20" s="65"/>
      <c r="SO20" s="85"/>
      <c r="SP20" s="159">
        <f>IF(COUNT(SP21)=0,"",SUM(SP21)/COUNT(SP21))</f>
        <v>2</v>
      </c>
      <c r="SQ20" s="160" t="str">
        <f t="shared" si="123"/>
        <v>C</v>
      </c>
      <c r="SR20" s="152"/>
      <c r="SS20" s="65"/>
      <c r="ST20" s="65"/>
      <c r="SU20" s="85"/>
      <c r="SV20" s="159" t="str">
        <f>IF(COUNT(SV21)=0,"",SUM(SV21)/COUNT(SV21))</f>
        <v/>
      </c>
      <c r="SW20" s="175" t="str">
        <f t="shared" si="124"/>
        <v/>
      </c>
      <c r="SX20" s="153"/>
      <c r="SY20" s="90"/>
      <c r="SZ20" s="90"/>
      <c r="TA20" s="90"/>
      <c r="TB20" s="90"/>
      <c r="TC20" s="91"/>
      <c r="TD20" s="159" t="str">
        <f>IF(COUNT(TD21)=0,"",SUM(TD21)/COUNT(TD21))</f>
        <v/>
      </c>
      <c r="TE20" s="183" t="str">
        <f t="shared" si="125"/>
        <v/>
      </c>
      <c r="TF20" s="184">
        <f>IF(COUNT(TF21)=0,"",SUM(TF21)/COUNT(TF21))</f>
        <v>2</v>
      </c>
      <c r="TG20" s="185" t="str">
        <f t="shared" si="126"/>
        <v>C</v>
      </c>
      <c r="TH20" s="196"/>
      <c r="TI20" s="65"/>
      <c r="TJ20" s="85"/>
      <c r="TK20" s="159">
        <f>IF(COUNT(TK21)=0,"",SUM(TK21)/COUNT(TK21))</f>
        <v>3</v>
      </c>
      <c r="TL20" s="160" t="str">
        <f t="shared" si="127"/>
        <v>B</v>
      </c>
      <c r="TM20" s="152"/>
      <c r="TN20" s="65"/>
      <c r="TO20" s="65"/>
      <c r="TP20" s="85"/>
      <c r="TQ20" s="159" t="str">
        <f>IF(COUNT(TQ21)=0,"",SUM(TQ21)/COUNT(TQ21))</f>
        <v/>
      </c>
      <c r="TR20" s="175" t="str">
        <f t="shared" si="128"/>
        <v/>
      </c>
      <c r="TS20" s="153"/>
      <c r="TT20" s="90"/>
      <c r="TU20" s="90"/>
      <c r="TV20" s="90"/>
      <c r="TW20" s="90"/>
      <c r="TX20" s="91"/>
      <c r="TY20" s="159" t="str">
        <f>IF(COUNT(TY21)=0,"",SUM(TY21)/COUNT(TY21))</f>
        <v/>
      </c>
      <c r="TZ20" s="183" t="str">
        <f t="shared" si="129"/>
        <v/>
      </c>
      <c r="UA20" s="184">
        <f>IF(COUNT(UA21)=0,"",SUM(UA21)/COUNT(UA21))</f>
        <v>3</v>
      </c>
      <c r="UB20" s="185" t="str">
        <f t="shared" si="130"/>
        <v>B</v>
      </c>
      <c r="UC20" s="196"/>
      <c r="UD20" s="65"/>
      <c r="UE20" s="85"/>
      <c r="UF20" s="159">
        <f>IF(COUNT(UF21)=0,"",SUM(UF21)/COUNT(UF21))</f>
        <v>3</v>
      </c>
      <c r="UG20" s="160" t="str">
        <f t="shared" si="131"/>
        <v>B</v>
      </c>
      <c r="UH20" s="152"/>
      <c r="UI20" s="65"/>
      <c r="UJ20" s="65"/>
      <c r="UK20" s="85"/>
      <c r="UL20" s="159" t="str">
        <f>IF(COUNT(UL21)=0,"",SUM(UL21)/COUNT(UL21))</f>
        <v/>
      </c>
      <c r="UM20" s="175" t="str">
        <f t="shared" si="132"/>
        <v/>
      </c>
      <c r="UN20" s="153"/>
      <c r="UO20" s="90"/>
      <c r="UP20" s="90"/>
      <c r="UQ20" s="90"/>
      <c r="UR20" s="90"/>
      <c r="US20" s="91"/>
      <c r="UT20" s="159" t="str">
        <f>IF(COUNT(UT21)=0,"",SUM(UT21)/COUNT(UT21))</f>
        <v/>
      </c>
      <c r="UU20" s="183" t="str">
        <f t="shared" si="133"/>
        <v/>
      </c>
      <c r="UV20" s="184">
        <f>IF(COUNT(UV21)=0,"",SUM(UV21)/COUNT(UV21))</f>
        <v>3</v>
      </c>
      <c r="UW20" s="185" t="str">
        <f t="shared" si="134"/>
        <v>B</v>
      </c>
      <c r="UX20" s="196"/>
      <c r="UY20" s="65"/>
      <c r="UZ20" s="85"/>
      <c r="VA20" s="159">
        <f>IF(COUNT(VA21)=0,"",SUM(VA21)/COUNT(VA21))</f>
        <v>3</v>
      </c>
      <c r="VB20" s="160" t="str">
        <f t="shared" si="135"/>
        <v>B</v>
      </c>
      <c r="VC20" s="152"/>
      <c r="VD20" s="65"/>
      <c r="VE20" s="65"/>
      <c r="VF20" s="85"/>
      <c r="VG20" s="159" t="str">
        <f>IF(COUNT(VG21)=0,"",SUM(VG21)/COUNT(VG21))</f>
        <v/>
      </c>
      <c r="VH20" s="175" t="str">
        <f t="shared" si="136"/>
        <v/>
      </c>
      <c r="VI20" s="153"/>
      <c r="VJ20" s="90"/>
      <c r="VK20" s="90"/>
      <c r="VL20" s="90"/>
      <c r="VM20" s="90"/>
      <c r="VN20" s="91"/>
      <c r="VO20" s="159" t="str">
        <f>IF(COUNT(VO21)=0,"",SUM(VO21)/COUNT(VO21))</f>
        <v/>
      </c>
      <c r="VP20" s="183" t="str">
        <f t="shared" si="137"/>
        <v/>
      </c>
      <c r="VQ20" s="184">
        <f>IF(COUNT(VQ21)=0,"",SUM(VQ21)/COUNT(VQ21))</f>
        <v>3</v>
      </c>
      <c r="VR20" s="185" t="str">
        <f t="shared" si="138"/>
        <v>B</v>
      </c>
      <c r="VS20" s="121"/>
      <c r="VT20" s="65"/>
      <c r="VU20" s="85"/>
      <c r="VV20" s="86" t="str">
        <f>IF(COUNT(VV21)=0,"",SUM(VV21)/COUNT(VV21))</f>
        <v/>
      </c>
      <c r="VW20" s="87" t="str">
        <f t="shared" si="139"/>
        <v/>
      </c>
      <c r="VX20" s="84"/>
      <c r="VY20" s="65"/>
      <c r="VZ20" s="85"/>
      <c r="WA20" s="86" t="str">
        <f>IF(COUNT(WA21)=0,"",SUM(WA21)/COUNT(WA21))</f>
        <v/>
      </c>
      <c r="WB20" s="88" t="str">
        <f t="shared" si="140"/>
        <v/>
      </c>
      <c r="WC20" s="89"/>
      <c r="WD20" s="90"/>
      <c r="WE20" s="91"/>
      <c r="WF20" s="86" t="str">
        <f>IF(COUNT(WF21)=0,"",SUM(WF21)/COUNT(WF21))</f>
        <v/>
      </c>
      <c r="WG20" s="92" t="str">
        <f t="shared" si="141"/>
        <v/>
      </c>
      <c r="WH20" s="93" t="str">
        <f>IF(COUNT(WH21)=0,"",SUM(WH21)/COUNT(WH21))</f>
        <v/>
      </c>
      <c r="WI20" s="94" t="str">
        <f t="shared" si="142"/>
        <v/>
      </c>
      <c r="WJ20" s="121"/>
      <c r="WK20" s="65"/>
      <c r="WL20" s="85"/>
      <c r="WM20" s="86" t="str">
        <f>IF(COUNT(WM21)=0,"",SUM(WM21)/COUNT(WM21))</f>
        <v/>
      </c>
      <c r="WN20" s="87" t="str">
        <f t="shared" si="143"/>
        <v/>
      </c>
      <c r="WO20" s="84"/>
      <c r="WP20" s="65"/>
      <c r="WQ20" s="85"/>
      <c r="WR20" s="86" t="str">
        <f>IF(COUNT(WR21)=0,"",SUM(WR21)/COUNT(WR21))</f>
        <v/>
      </c>
      <c r="WS20" s="88" t="str">
        <f t="shared" si="144"/>
        <v/>
      </c>
      <c r="WT20" s="89"/>
      <c r="WU20" s="90"/>
      <c r="WV20" s="91"/>
      <c r="WW20" s="86" t="str">
        <f>IF(COUNT(WW21)=0,"",SUM(WW21)/COUNT(WW21))</f>
        <v/>
      </c>
      <c r="WX20" s="92" t="str">
        <f t="shared" si="145"/>
        <v/>
      </c>
      <c r="WY20" s="93" t="str">
        <f>IF(COUNT(WY21)=0,"",SUM(WY21)/COUNT(WY21))</f>
        <v/>
      </c>
      <c r="WZ20" s="94" t="str">
        <f t="shared" si="146"/>
        <v/>
      </c>
    </row>
    <row r="21" spans="1:624" ht="18" customHeight="1" thickBot="1" x14ac:dyDescent="0.6">
      <c r="A21" s="225" t="s">
        <v>25</v>
      </c>
      <c r="B21" s="226"/>
      <c r="C21" s="124" t="s">
        <v>27</v>
      </c>
      <c r="D21" s="125" t="s">
        <v>29</v>
      </c>
      <c r="E21" s="126"/>
      <c r="F21" s="167">
        <f>IFERROR((((COUNTIF('Elève (3ème5)'!C21:E21,"A"))*4)+((COUNTIF('Elève (3ème5)'!C21:E21,"B"))*3)+((COUNTIF('Elève (3ème5)'!C21:E21,"C"))*2)+((COUNTIF('Elève (3ème5)'!C21:E21,"D"))*1))/(COUNTA(C21:E21)),"")</f>
        <v>3</v>
      </c>
      <c r="G21" s="168" t="str">
        <f t="shared" si="27"/>
        <v>B</v>
      </c>
      <c r="H21" s="124"/>
      <c r="I21" s="125"/>
      <c r="J21" s="126"/>
      <c r="K21" s="126"/>
      <c r="L21" s="167" t="str">
        <f>IFERROR((((COUNTIF('Elève (3ème5)'!H21:K21,"A"))*4)+((COUNTIF('Elève (3ème5)'!H21:K21,"B"))*3)+((COUNTIF('Elève (3ème5)'!H21:K21,"C"))*2)+((COUNTIF('Elève (3ème5)'!H21:K21,"D"))*1))/(COUNTA(H21:K21)),"")</f>
        <v/>
      </c>
      <c r="M21" s="168" t="str">
        <f t="shared" si="28"/>
        <v/>
      </c>
      <c r="N21" s="124"/>
      <c r="O21" s="125"/>
      <c r="P21" s="126"/>
      <c r="Q21" s="126"/>
      <c r="R21" s="126"/>
      <c r="S21" s="126"/>
      <c r="T21" s="167" t="str">
        <f>IFERROR((((COUNTIF('Elève (3ème5)'!N21:S21,"A"))*4)+((COUNTIF('Elève (3ème5)'!N21:S21,"B"))*3)+((COUNTIF('Elève (3ème5)'!N21:S21,"C"))*2)+((COUNTIF('Elève (3ème5)'!N21:S21,"D"))*1))/(COUNTA(N21:S21)),"")</f>
        <v/>
      </c>
      <c r="U21" s="168" t="str">
        <f t="shared" si="29"/>
        <v/>
      </c>
      <c r="V21" s="167">
        <f>IF(COUNT(F21,L21,T21)=0,"",SUM(F21,L21,T21)/COUNT(F21,L21,T21))</f>
        <v>3</v>
      </c>
      <c r="W21" s="192" t="str">
        <f t="shared" si="30"/>
        <v>B</v>
      </c>
      <c r="X21" s="124" t="s">
        <v>27</v>
      </c>
      <c r="Y21" s="125" t="s">
        <v>28</v>
      </c>
      <c r="Z21" s="126"/>
      <c r="AA21" s="167">
        <f>IFERROR((((COUNTIF('Elève (3ème5)'!X21:Z21,"A"))*4)+((COUNTIF('Elève (3ème5)'!X21:Z21,"B"))*3)+((COUNTIF('Elève (3ème5)'!X21:Z21,"C"))*2)+((COUNTIF('Elève (3ème5)'!X21:Z21,"D"))*1))/(COUNTA(X21:Z21)),"")</f>
        <v>3.5</v>
      </c>
      <c r="AB21" s="168" t="str">
        <f t="shared" si="31"/>
        <v>B</v>
      </c>
      <c r="AC21" s="124"/>
      <c r="AD21" s="125"/>
      <c r="AE21" s="126"/>
      <c r="AF21" s="126"/>
      <c r="AG21" s="167" t="str">
        <f>IFERROR((((COUNTIF('Elève (3ème5)'!AC21:AF21,"A"))*4)+((COUNTIF('Elève (3ème5)'!AC21:AF21,"B"))*3)+((COUNTIF('Elève (3ème5)'!AC21:AF21,"C"))*2)+((COUNTIF('Elève (3ème5)'!AC21:AF21,"D"))*1))/(COUNTA(AC21:AF21)),"")</f>
        <v/>
      </c>
      <c r="AH21" s="168" t="str">
        <f t="shared" si="32"/>
        <v/>
      </c>
      <c r="AI21" s="124"/>
      <c r="AJ21" s="125"/>
      <c r="AK21" s="126"/>
      <c r="AL21" s="126"/>
      <c r="AM21" s="126"/>
      <c r="AN21" s="130"/>
      <c r="AO21" s="167" t="str">
        <f>IFERROR((((COUNTIF('Elève (3ème5)'!AI21:AN21,"A"))*4)+((COUNTIF('Elève (3ème5)'!AI21:AN21,"B"))*3)+((COUNTIF('Elève (3ème5)'!AI21:AN21,"C"))*2)+((COUNTIF('Elève (3ème5)'!AI21:AN21,"D"))*1))/(COUNTA(AI21:AN21)),"")</f>
        <v/>
      </c>
      <c r="AP21" s="168" t="str">
        <f t="shared" si="33"/>
        <v/>
      </c>
      <c r="AQ21" s="167">
        <f>IF(COUNT(AA21,AG21,AO21)=0,"",SUM(AA21,AG21,AO21)/COUNT(AA21,AG21,AO21))</f>
        <v>3.5</v>
      </c>
      <c r="AR21" s="192" t="str">
        <f t="shared" si="34"/>
        <v>B</v>
      </c>
      <c r="AS21" s="124" t="s">
        <v>28</v>
      </c>
      <c r="AT21" s="125" t="s">
        <v>28</v>
      </c>
      <c r="AU21" s="126"/>
      <c r="AV21" s="167">
        <f>IFERROR((((COUNTIF('Elève (3ème5)'!AS21:AU21,"A"))*4)+((COUNTIF('Elève (3ème5)'!AS21:AU21,"B"))*3)+((COUNTIF('Elève (3ème5)'!AS21:AU21,"C"))*2)+((COUNTIF('Elève (3ème5)'!AS21:AU21,"D"))*1))/(COUNTA(AS21:AU21)),"")</f>
        <v>3</v>
      </c>
      <c r="AW21" s="168" t="str">
        <f t="shared" si="35"/>
        <v>B</v>
      </c>
      <c r="AX21" s="124"/>
      <c r="AY21" s="125"/>
      <c r="AZ21" s="126"/>
      <c r="BA21" s="126"/>
      <c r="BB21" s="167" t="str">
        <f>IFERROR((((COUNTIF('Elève (3ème5)'!AX21:BA21,"A"))*4)+((COUNTIF('Elève (3ème5)'!AX21:BA21,"B"))*3)+((COUNTIF('Elève (3ème5)'!AX21:BA21,"C"))*2)+((COUNTIF('Elève (3ème5)'!AX21:BA21,"D"))*1))/(COUNTA(AX21:BA21)),"")</f>
        <v/>
      </c>
      <c r="BC21" s="168" t="str">
        <f t="shared" si="36"/>
        <v/>
      </c>
      <c r="BD21" s="124"/>
      <c r="BE21" s="125"/>
      <c r="BF21" s="126"/>
      <c r="BG21" s="126"/>
      <c r="BH21" s="126"/>
      <c r="BI21" s="130"/>
      <c r="BJ21" s="167" t="str">
        <f>IFERROR((((COUNTIF('Elève (3ème5)'!BD21:BI21,"A"))*4)+((COUNTIF('Elève (3ème5)'!BD21:BI21,"B"))*3)+((COUNTIF('Elève (3ème5)'!BD21:BI21,"C"))*2)+((COUNTIF('Elève (3ème5)'!BD21:BI21,"D"))*1))/(COUNTA(BD21:BI21)),"")</f>
        <v/>
      </c>
      <c r="BK21" s="168" t="str">
        <f t="shared" si="37"/>
        <v/>
      </c>
      <c r="BL21" s="167">
        <f>IF(COUNT(AV21,BB21,BJ21)=0,"",SUM(AV21,BB21,BJ21)/COUNT(AV21,BB21,BJ21))</f>
        <v>3</v>
      </c>
      <c r="BM21" s="192" t="str">
        <f t="shared" si="38"/>
        <v>B</v>
      </c>
      <c r="BN21" s="124" t="s">
        <v>29</v>
      </c>
      <c r="BO21" s="125" t="s">
        <v>29</v>
      </c>
      <c r="BP21" s="126"/>
      <c r="BQ21" s="167">
        <f>IFERROR((((COUNTIF('Elève (3ème5)'!BN21:BP21,"A"))*4)+((COUNTIF('Elève (3ème5)'!BN21:BP21,"B"))*3)+((COUNTIF('Elève (3ème5)'!BN21:BP21,"C"))*2)+((COUNTIF('Elève (3ème5)'!BN21:BP21,"D"))*1))/(COUNTA(BN21:BP21)),"")</f>
        <v>2</v>
      </c>
      <c r="BR21" s="168" t="str">
        <f t="shared" si="39"/>
        <v>C</v>
      </c>
      <c r="BS21" s="124"/>
      <c r="BT21" s="125"/>
      <c r="BU21" s="126"/>
      <c r="BV21" s="126"/>
      <c r="BW21" s="167" t="str">
        <f>IFERROR((((COUNTIF('Elève (3ème5)'!BS21:BV21,"A"))*4)+((COUNTIF('Elève (3ème5)'!BS21:BV21,"B"))*3)+((COUNTIF('Elève (3ème5)'!BS21:BV21,"C"))*2)+((COUNTIF('Elève (3ème5)'!BS21:BV21,"D"))*1))/(COUNTA(BS21:BV21)),"")</f>
        <v/>
      </c>
      <c r="BX21" s="168" t="str">
        <f t="shared" si="40"/>
        <v/>
      </c>
      <c r="BY21" s="124"/>
      <c r="BZ21" s="125"/>
      <c r="CA21" s="126"/>
      <c r="CB21" s="126"/>
      <c r="CC21" s="126"/>
      <c r="CD21" s="130"/>
      <c r="CE21" s="167" t="str">
        <f>IFERROR((((COUNTIF('Elève (3ème5)'!BY21:CD21,"A"))*4)+((COUNTIF('Elève (3ème5)'!BY21:CD21,"B"))*3)+((COUNTIF('Elève (3ème5)'!BY21:CD21,"C"))*2)+((COUNTIF('Elève (3ème5)'!BY21:CD21,"D"))*1))/(COUNTA(BY21:CD21)),"")</f>
        <v/>
      </c>
      <c r="CF21" s="168" t="str">
        <f t="shared" si="41"/>
        <v/>
      </c>
      <c r="CG21" s="167">
        <f>IF(COUNT(BQ21,BW21,CE21)=0,"",SUM(BQ21,BW21,CE21)/COUNT(BQ21,BW21,CE21))</f>
        <v>2</v>
      </c>
      <c r="CH21" s="192" t="str">
        <f t="shared" si="42"/>
        <v>C</v>
      </c>
      <c r="CI21" s="124" t="s">
        <v>27</v>
      </c>
      <c r="CJ21" s="125" t="s">
        <v>29</v>
      </c>
      <c r="CK21" s="126"/>
      <c r="CL21" s="167">
        <f>IFERROR((((COUNTIF('Elève (3ème5)'!CI21:CK21,"A"))*4)+((COUNTIF('Elève (3ème5)'!CI21:CK21,"B"))*3)+((COUNTIF('Elève (3ème5)'!CI21:CK21,"C"))*2)+((COUNTIF('Elève (3ème5)'!CI21:CK21,"D"))*1))/(COUNTA(CI21:CK21)),"")</f>
        <v>3</v>
      </c>
      <c r="CM21" s="168" t="str">
        <f t="shared" si="43"/>
        <v>B</v>
      </c>
      <c r="CN21" s="124"/>
      <c r="CO21" s="125"/>
      <c r="CP21" s="126"/>
      <c r="CQ21" s="126"/>
      <c r="CR21" s="167" t="str">
        <f>IFERROR((((COUNTIF('Elève (3ème5)'!CN21:CQ21,"A"))*4)+((COUNTIF('Elève (3ème5)'!CN21:CQ21,"B"))*3)+((COUNTIF('Elève (3ème5)'!CN21:CQ21,"C"))*2)+((COUNTIF('Elève (3ème5)'!CN21:CQ21,"D"))*1))/(COUNTA(CN21:CQ21)),"")</f>
        <v/>
      </c>
      <c r="CS21" s="168" t="str">
        <f t="shared" si="44"/>
        <v/>
      </c>
      <c r="CT21" s="124"/>
      <c r="CU21" s="125"/>
      <c r="CV21" s="126"/>
      <c r="CW21" s="126"/>
      <c r="CX21" s="126"/>
      <c r="CY21" s="130"/>
      <c r="CZ21" s="167" t="str">
        <f>IFERROR((((COUNTIF('Elève (3ème5)'!CT21:CY21,"A"))*4)+((COUNTIF('Elève (3ème5)'!CT21:CY21,"B"))*3)+((COUNTIF('Elève (3ème5)'!CT21:CY21,"C"))*2)+((COUNTIF('Elève (3ème5)'!CT21:CY21,"D"))*1))/(COUNTA(CT21:CY21)),"")</f>
        <v/>
      </c>
      <c r="DA21" s="168" t="str">
        <f t="shared" si="45"/>
        <v/>
      </c>
      <c r="DB21" s="167">
        <f>IF(COUNT(CL21,CR21,CZ21)=0,"",SUM(CL21,CR21,CZ21)/COUNT(CL21,CR21,CZ21))</f>
        <v>3</v>
      </c>
      <c r="DC21" s="192" t="str">
        <f t="shared" si="46"/>
        <v>B</v>
      </c>
      <c r="DD21" s="124" t="s">
        <v>27</v>
      </c>
      <c r="DE21" s="125" t="s">
        <v>28</v>
      </c>
      <c r="DF21" s="126"/>
      <c r="DG21" s="167">
        <f>IFERROR((((COUNTIF('Elève (3ème5)'!DD21:DF21,"A"))*4)+((COUNTIF('Elève (3ème5)'!DD21:DF21,"B"))*3)+((COUNTIF('Elève (3ème5)'!DD21:DF21,"C"))*2)+((COUNTIF('Elève (3ème5)'!DD21:DF21,"D"))*1))/(COUNTA(DD21:DF21)),"")</f>
        <v>3.5</v>
      </c>
      <c r="DH21" s="168" t="str">
        <f t="shared" si="47"/>
        <v>B</v>
      </c>
      <c r="DI21" s="124"/>
      <c r="DJ21" s="125"/>
      <c r="DK21" s="126"/>
      <c r="DL21" s="126"/>
      <c r="DM21" s="167" t="str">
        <f>IFERROR((((COUNTIF('Elève (3ème5)'!DI21:DL21,"A"))*4)+((COUNTIF('Elève (3ème5)'!DI21:DL21,"B"))*3)+((COUNTIF('Elève (3ème5)'!DI21:DL21,"C"))*2)+((COUNTIF('Elève (3ème5)'!DI21:DL21,"D"))*1))/(COUNTA(DI21:DL21)),"")</f>
        <v/>
      </c>
      <c r="DN21" s="168" t="str">
        <f t="shared" si="48"/>
        <v/>
      </c>
      <c r="DO21" s="124"/>
      <c r="DP21" s="125"/>
      <c r="DQ21" s="126"/>
      <c r="DR21" s="126"/>
      <c r="DS21" s="126"/>
      <c r="DT21" s="130"/>
      <c r="DU21" s="167" t="str">
        <f>IFERROR((((COUNTIF('Elève (3ème5)'!DO21:DT21,"A"))*4)+((COUNTIF('Elève (3ème5)'!DO21:DT21,"B"))*3)+((COUNTIF('Elève (3ème5)'!DO21:DT21,"C"))*2)+((COUNTIF('Elève (3ème5)'!DO21:DT21,"D"))*1))/(COUNTA(DO21:DT21)),"")</f>
        <v/>
      </c>
      <c r="DV21" s="168" t="str">
        <f t="shared" si="49"/>
        <v/>
      </c>
      <c r="DW21" s="167">
        <f>IF(COUNT(DG21,DM21,DU21)=0,"",SUM(DG21,DM21,DU21)/COUNT(DG21,DM21,DU21))</f>
        <v>3.5</v>
      </c>
      <c r="DX21" s="192" t="str">
        <f t="shared" si="50"/>
        <v>B</v>
      </c>
      <c r="DY21" s="124" t="s">
        <v>30</v>
      </c>
      <c r="DZ21" s="125" t="s">
        <v>29</v>
      </c>
      <c r="EA21" s="126"/>
      <c r="EB21" s="167">
        <f>IFERROR((((COUNTIF('Elève (3ème5)'!DY21:EA21,"A"))*4)+((COUNTIF('Elève (3ème5)'!DY21:EA21,"B"))*3)+((COUNTIF('Elève (3ème5)'!DY21:EA21,"C"))*2)+((COUNTIF('Elève (3ème5)'!DY21:EA21,"D"))*1))/(COUNTA(DY21:EA21)),"")</f>
        <v>1.5</v>
      </c>
      <c r="EC21" s="168" t="str">
        <f t="shared" si="51"/>
        <v>D</v>
      </c>
      <c r="ED21" s="124"/>
      <c r="EE21" s="125"/>
      <c r="EF21" s="126"/>
      <c r="EG21" s="126"/>
      <c r="EH21" s="167" t="str">
        <f>IFERROR((((COUNTIF('Elève (3ème5)'!ED21:EG21,"A"))*4)+((COUNTIF('Elève (3ème5)'!ED21:EG21,"B"))*3)+((COUNTIF('Elève (3ème5)'!ED21:EG21,"C"))*2)+((COUNTIF('Elève (3ème5)'!ED21:EG21,"D"))*1))/(COUNTA(ED21:EG21)),"")</f>
        <v/>
      </c>
      <c r="EI21" s="168" t="str">
        <f t="shared" si="52"/>
        <v/>
      </c>
      <c r="EJ21" s="124"/>
      <c r="EK21" s="125"/>
      <c r="EL21" s="126"/>
      <c r="EM21" s="126"/>
      <c r="EN21" s="126"/>
      <c r="EO21" s="130"/>
      <c r="EP21" s="167" t="str">
        <f>IFERROR((((COUNTIF('Elève (3ème5)'!EJ21:EO21,"A"))*4)+((COUNTIF('Elève (3ème5)'!EJ21:EO21,"B"))*3)+((COUNTIF('Elève (3ème5)'!EJ21:EO21,"C"))*2)+((COUNTIF('Elève (3ème5)'!EJ21:EO21,"D"))*1))/(COUNTA(EJ21:EO21)),"")</f>
        <v/>
      </c>
      <c r="EQ21" s="168" t="str">
        <f t="shared" si="53"/>
        <v/>
      </c>
      <c r="ER21" s="167">
        <f>IF(COUNT(EB21,EH21,EP21)=0,"",SUM(EB21,EH21,EP21)/COUNT(EB21,EH21,EP21))</f>
        <v>1.5</v>
      </c>
      <c r="ES21" s="192" t="str">
        <f t="shared" si="54"/>
        <v>D</v>
      </c>
      <c r="ET21" s="124" t="s">
        <v>27</v>
      </c>
      <c r="EU21" s="125" t="s">
        <v>28</v>
      </c>
      <c r="EV21" s="126"/>
      <c r="EW21" s="167">
        <f>IFERROR((((COUNTIF('Elève (3ème5)'!ET21:EV21,"A"))*4)+((COUNTIF('Elève (3ème5)'!ET21:EV21,"B"))*3)+((COUNTIF('Elève (3ème5)'!ET21:EV21,"C"))*2)+((COUNTIF('Elève (3ème5)'!ET21:EV21,"D"))*1))/(COUNTA(ET21:EV21)),"")</f>
        <v>3.5</v>
      </c>
      <c r="EX21" s="168" t="str">
        <f t="shared" si="55"/>
        <v>B</v>
      </c>
      <c r="EY21" s="124"/>
      <c r="EZ21" s="125"/>
      <c r="FA21" s="126"/>
      <c r="FB21" s="126"/>
      <c r="FC21" s="167" t="str">
        <f>IFERROR((((COUNTIF('Elève (3ème5)'!EY21:FB21,"A"))*4)+((COUNTIF('Elève (3ème5)'!EY21:FB21,"B"))*3)+((COUNTIF('Elève (3ème5)'!EY21:FB21,"C"))*2)+((COUNTIF('Elève (3ème5)'!EY21:FB21,"D"))*1))/(COUNTA(EY21:FB21)),"")</f>
        <v/>
      </c>
      <c r="FD21" s="168" t="str">
        <f t="shared" si="56"/>
        <v/>
      </c>
      <c r="FE21" s="124"/>
      <c r="FF21" s="125"/>
      <c r="FG21" s="126"/>
      <c r="FH21" s="126"/>
      <c r="FI21" s="126"/>
      <c r="FJ21" s="130"/>
      <c r="FK21" s="167" t="str">
        <f>IFERROR((((COUNTIF('Elève (3ème5)'!FE21:FJ21,"A"))*4)+((COUNTIF('Elève (3ème5)'!FE21:FJ21,"B"))*3)+((COUNTIF('Elève (3ème5)'!FE21:FJ21,"C"))*2)+((COUNTIF('Elève (3ème5)'!FE21:FJ21,"D"))*1))/(COUNTA(FE21:FJ21)),"")</f>
        <v/>
      </c>
      <c r="FL21" s="168" t="str">
        <f t="shared" si="57"/>
        <v/>
      </c>
      <c r="FM21" s="167">
        <f>IF(COUNT(EW21,FC21,FK21)=0,"",SUM(EW21,FC21,FK21)/COUNT(EW21,FC21,FK21))</f>
        <v>3.5</v>
      </c>
      <c r="FN21" s="192" t="str">
        <f t="shared" si="58"/>
        <v>B</v>
      </c>
      <c r="FO21" s="124" t="s">
        <v>29</v>
      </c>
      <c r="FP21" s="125" t="s">
        <v>28</v>
      </c>
      <c r="FQ21" s="126"/>
      <c r="FR21" s="167">
        <f>IFERROR((((COUNTIF('Elève (3ème5)'!FO21:FQ21,"A"))*4)+((COUNTIF('Elève (3ème5)'!FO21:FQ21,"B"))*3)+((COUNTIF('Elève (3ème5)'!FO21:FQ21,"C"))*2)+((COUNTIF('Elève (3ème5)'!FO21:FQ21,"D"))*1))/(COUNTA(FO21:FQ21)),"")</f>
        <v>2.5</v>
      </c>
      <c r="FS21" s="168" t="str">
        <f t="shared" si="59"/>
        <v>C</v>
      </c>
      <c r="FT21" s="124"/>
      <c r="FU21" s="125"/>
      <c r="FV21" s="126"/>
      <c r="FW21" s="126"/>
      <c r="FX21" s="167" t="str">
        <f>IFERROR((((COUNTIF('Elève (3ème5)'!FT21:FW21,"A"))*4)+((COUNTIF('Elève (3ème5)'!FT21:FW21,"B"))*3)+((COUNTIF('Elève (3ème5)'!FT21:FW21,"C"))*2)+((COUNTIF('Elève (3ème5)'!FT21:FW21,"D"))*1))/(COUNTA(FT21:FW21)),"")</f>
        <v/>
      </c>
      <c r="FY21" s="168" t="str">
        <f t="shared" si="60"/>
        <v/>
      </c>
      <c r="FZ21" s="124"/>
      <c r="GA21" s="125"/>
      <c r="GB21" s="126"/>
      <c r="GC21" s="126"/>
      <c r="GD21" s="126"/>
      <c r="GE21" s="130"/>
      <c r="GF21" s="167" t="str">
        <f>IFERROR((((COUNTIF('Elève (3ème5)'!FZ21:GE21,"A"))*4)+((COUNTIF('Elève (3ème5)'!FZ21:GE21,"B"))*3)+((COUNTIF('Elève (3ème5)'!FZ21:GE21,"C"))*2)+((COUNTIF('Elève (3ème5)'!FZ21:GE21,"D"))*1))/(COUNTA(FZ21:GE21)),"")</f>
        <v/>
      </c>
      <c r="GG21" s="168" t="str">
        <f t="shared" si="61"/>
        <v/>
      </c>
      <c r="GH21" s="167">
        <f>IF(COUNT(FR21,FX21,GF21)=0,"",SUM(FR21,FX21,GF21)/COUNT(FR21,FX21,GF21))</f>
        <v>2.5</v>
      </c>
      <c r="GI21" s="192" t="str">
        <f t="shared" si="62"/>
        <v>C</v>
      </c>
      <c r="GJ21" s="124" t="s">
        <v>27</v>
      </c>
      <c r="GK21" s="125" t="s">
        <v>29</v>
      </c>
      <c r="GL21" s="126"/>
      <c r="GM21" s="167">
        <f>IFERROR((((COUNTIF('Elève (3ème5)'!GJ21:GL21,"A"))*4)+((COUNTIF('Elève (3ème5)'!GJ21:GL21,"B"))*3)+((COUNTIF('Elève (3ème5)'!GJ21:GL21,"C"))*2)+((COUNTIF('Elève (3ème5)'!GJ21:GL21,"D"))*1))/(COUNTA(GJ21:GL21)),"")</f>
        <v>3</v>
      </c>
      <c r="GN21" s="168" t="str">
        <f t="shared" si="63"/>
        <v>B</v>
      </c>
      <c r="GO21" s="124"/>
      <c r="GP21" s="125"/>
      <c r="GQ21" s="126"/>
      <c r="GR21" s="126"/>
      <c r="GS21" s="167" t="str">
        <f>IFERROR((((COUNTIF('Elève (3ème5)'!GO21:GR21,"A"))*4)+((COUNTIF('Elève (3ème5)'!GO21:GR21,"B"))*3)+((COUNTIF('Elève (3ème5)'!GO21:GR21,"C"))*2)+((COUNTIF('Elève (3ème5)'!GO21:GR21,"D"))*1))/(COUNTA(GO21:GR21)),"")</f>
        <v/>
      </c>
      <c r="GT21" s="168" t="str">
        <f t="shared" si="64"/>
        <v/>
      </c>
      <c r="GU21" s="124"/>
      <c r="GV21" s="125"/>
      <c r="GW21" s="126"/>
      <c r="GX21" s="126"/>
      <c r="GY21" s="126"/>
      <c r="GZ21" s="130"/>
      <c r="HA21" s="167" t="str">
        <f>IFERROR((((COUNTIF('Elève (3ème5)'!GU21:GZ21,"A"))*4)+((COUNTIF('Elève (3ème5)'!GU21:GZ21,"B"))*3)+((COUNTIF('Elève (3ème5)'!GU21:GZ21,"C"))*2)+((COUNTIF('Elève (3ème5)'!GU21:GZ21,"D"))*1))/(COUNTA(GU21:GZ21)),"")</f>
        <v/>
      </c>
      <c r="HB21" s="168" t="str">
        <f t="shared" si="65"/>
        <v/>
      </c>
      <c r="HC21" s="167">
        <f>IF(COUNT(GM21,GS21,HA21)=0,"",SUM(GM21,GS21,HA21)/COUNT(GM21,GS21,HA21))</f>
        <v>3</v>
      </c>
      <c r="HD21" s="192" t="str">
        <f t="shared" si="66"/>
        <v>B</v>
      </c>
      <c r="HE21" s="124" t="s">
        <v>29</v>
      </c>
      <c r="HF21" s="125" t="s">
        <v>28</v>
      </c>
      <c r="HG21" s="126"/>
      <c r="HH21" s="167">
        <f>IFERROR((((COUNTIF('Elève (3ème5)'!HE21:HG21,"A"))*4)+((COUNTIF('Elève (3ème5)'!HE21:HG21,"B"))*3)+((COUNTIF('Elève (3ème5)'!HE21:HG21,"C"))*2)+((COUNTIF('Elève (3ème5)'!HE21:HG21,"D"))*1))/(COUNTA(HE21:HG21)),"")</f>
        <v>2.5</v>
      </c>
      <c r="HI21" s="168" t="str">
        <f t="shared" si="67"/>
        <v>C</v>
      </c>
      <c r="HJ21" s="124"/>
      <c r="HK21" s="125"/>
      <c r="HL21" s="126"/>
      <c r="HM21" s="126"/>
      <c r="HN21" s="167" t="str">
        <f>IFERROR((((COUNTIF('Elève (3ème5)'!HJ21:HM21,"A"))*4)+((COUNTIF('Elève (3ème5)'!HJ21:HM21,"B"))*3)+((COUNTIF('Elève (3ème5)'!HJ21:HM21,"C"))*2)+((COUNTIF('Elève (3ème5)'!HJ21:HM21,"D"))*1))/(COUNTA(HJ21:HM21)),"")</f>
        <v/>
      </c>
      <c r="HO21" s="168" t="str">
        <f t="shared" si="68"/>
        <v/>
      </c>
      <c r="HP21" s="124"/>
      <c r="HQ21" s="125"/>
      <c r="HR21" s="126"/>
      <c r="HS21" s="126"/>
      <c r="HT21" s="126"/>
      <c r="HU21" s="130"/>
      <c r="HV21" s="167" t="str">
        <f>IFERROR((((COUNTIF('Elève (3ème5)'!HP21:HU21,"A"))*4)+((COUNTIF('Elève (3ème5)'!HP21:HU21,"B"))*3)+((COUNTIF('Elève (3ème5)'!HP21:HU21,"C"))*2)+((COUNTIF('Elève (3ème5)'!HP21:HU21,"D"))*1))/(COUNTA(HP21:HU21)),"")</f>
        <v/>
      </c>
      <c r="HW21" s="168" t="str">
        <f t="shared" si="69"/>
        <v/>
      </c>
      <c r="HX21" s="167">
        <f>IF(COUNT(HH21,HN21,HV21)=0,"",SUM(HH21,HN21,HV21)/COUNT(HH21,HN21,HV21))</f>
        <v>2.5</v>
      </c>
      <c r="HY21" s="192" t="str">
        <f t="shared" si="70"/>
        <v>C</v>
      </c>
      <c r="HZ21" s="124" t="s">
        <v>27</v>
      </c>
      <c r="IA21" s="125" t="s">
        <v>28</v>
      </c>
      <c r="IB21" s="126"/>
      <c r="IC21" s="167">
        <f>IFERROR((((COUNTIF('Elève (3ème5)'!HZ21:IB21,"A"))*4)+((COUNTIF('Elève (3ème5)'!HZ21:IB21,"B"))*3)+((COUNTIF('Elève (3ème5)'!HZ21:IB21,"C"))*2)+((COUNTIF('Elève (3ème5)'!HZ21:IB21,"D"))*1))/(COUNTA(HZ21:IB21)),"")</f>
        <v>3.5</v>
      </c>
      <c r="ID21" s="168" t="str">
        <f t="shared" si="71"/>
        <v>B</v>
      </c>
      <c r="IE21" s="124"/>
      <c r="IF21" s="125"/>
      <c r="IG21" s="126"/>
      <c r="IH21" s="126"/>
      <c r="II21" s="167" t="str">
        <f>IFERROR((((COUNTIF('Elève (3ème5)'!IE21:IH21,"A"))*4)+((COUNTIF('Elève (3ème5)'!IE21:IH21,"B"))*3)+((COUNTIF('Elève (3ème5)'!IE21:IH21,"C"))*2)+((COUNTIF('Elève (3ème5)'!IE21:IH21,"D"))*1))/(COUNTA(IE21:IH21)),"")</f>
        <v/>
      </c>
      <c r="IJ21" s="168" t="str">
        <f t="shared" si="72"/>
        <v/>
      </c>
      <c r="IK21" s="124"/>
      <c r="IL21" s="125"/>
      <c r="IM21" s="126"/>
      <c r="IN21" s="126"/>
      <c r="IO21" s="126"/>
      <c r="IP21" s="130"/>
      <c r="IQ21" s="167" t="str">
        <f>IFERROR((((COUNTIF('Elève (3ème5)'!IK21:IP21,"A"))*4)+((COUNTIF('Elève (3ème5)'!IK21:IP21,"B"))*3)+((COUNTIF('Elève (3ème5)'!IK21:IP21,"C"))*2)+((COUNTIF('Elève (3ème5)'!IK21:IP21,"D"))*1))/(COUNTA(IK21:IP21)),"")</f>
        <v/>
      </c>
      <c r="IR21" s="168" t="str">
        <f t="shared" si="73"/>
        <v/>
      </c>
      <c r="IS21" s="167">
        <f>IF(COUNT(IC21,II21,IQ21)=0,"",SUM(IC21,II21,IQ21)/COUNT(IC21,II21,IQ21))</f>
        <v>3.5</v>
      </c>
      <c r="IT21" s="192" t="str">
        <f t="shared" si="74"/>
        <v>B</v>
      </c>
      <c r="IU21" s="124" t="s">
        <v>27</v>
      </c>
      <c r="IV21" s="125" t="s">
        <v>29</v>
      </c>
      <c r="IW21" s="126"/>
      <c r="IX21" s="167">
        <f>IFERROR((((COUNTIF('Elève (3ème5)'!IU21:IW21,"A"))*4)+((COUNTIF('Elève (3ème5)'!IU21:IW21,"B"))*3)+((COUNTIF('Elève (3ème5)'!IU21:IW21,"C"))*2)+((COUNTIF('Elève (3ème5)'!IU21:IW21,"D"))*1))/(COUNTA(IU21:IW21)),"")</f>
        <v>3</v>
      </c>
      <c r="IY21" s="168" t="str">
        <f t="shared" si="75"/>
        <v>B</v>
      </c>
      <c r="IZ21" s="124"/>
      <c r="JA21" s="125"/>
      <c r="JB21" s="126"/>
      <c r="JC21" s="126"/>
      <c r="JD21" s="167" t="str">
        <f>IFERROR((((COUNTIF('Elève (3ème5)'!IZ21:JC21,"A"))*4)+((COUNTIF('Elève (3ème5)'!IZ21:JC21,"B"))*3)+((COUNTIF('Elève (3ème5)'!IZ21:JC21,"C"))*2)+((COUNTIF('Elève (3ème5)'!IZ21:JC21,"D"))*1))/(COUNTA(IZ21:JC21)),"")</f>
        <v/>
      </c>
      <c r="JE21" s="168" t="str">
        <f t="shared" si="76"/>
        <v/>
      </c>
      <c r="JF21" s="124"/>
      <c r="JG21" s="125"/>
      <c r="JH21" s="126"/>
      <c r="JI21" s="126"/>
      <c r="JJ21" s="126"/>
      <c r="JK21" s="130"/>
      <c r="JL21" s="167" t="str">
        <f>IFERROR((((COUNTIF('Elève (3ème5)'!JF21:JK21,"A"))*4)+((COUNTIF('Elève (3ème5)'!JF21:JK21,"B"))*3)+((COUNTIF('Elève (3ème5)'!JF21:JK21,"C"))*2)+((COUNTIF('Elève (3ème5)'!JF21:JK21,"D"))*1))/(COUNTA(JF21:JK21)),"")</f>
        <v/>
      </c>
      <c r="JM21" s="168" t="str">
        <f t="shared" si="77"/>
        <v/>
      </c>
      <c r="JN21" s="167">
        <f>IF(COUNT(IX21,JD21,JL21)=0,"",SUM(IX21,JD21,JL21)/COUNT(IX21,JD21,JL21))</f>
        <v>3</v>
      </c>
      <c r="JO21" s="192" t="str">
        <f t="shared" si="78"/>
        <v>B</v>
      </c>
      <c r="JP21" s="124" t="s">
        <v>29</v>
      </c>
      <c r="JQ21" s="125" t="s">
        <v>28</v>
      </c>
      <c r="JR21" s="126"/>
      <c r="JS21" s="167">
        <f>IFERROR((((COUNTIF('Elève (3ème5)'!JP21:JR21,"A"))*4)+((COUNTIF('Elève (3ème5)'!JP21:JR21,"B"))*3)+((COUNTIF('Elève (3ème5)'!JP21:JR21,"C"))*2)+((COUNTIF('Elève (3ème5)'!JP21:JR21,"D"))*1))/(COUNTA(JP21:JR21)),"")</f>
        <v>2.5</v>
      </c>
      <c r="JT21" s="168" t="str">
        <f t="shared" si="79"/>
        <v>C</v>
      </c>
      <c r="JU21" s="124"/>
      <c r="JV21" s="125"/>
      <c r="JW21" s="126"/>
      <c r="JX21" s="126"/>
      <c r="JY21" s="167" t="str">
        <f>IFERROR((((COUNTIF('Elève (3ème5)'!JU21:JX21,"A"))*4)+((COUNTIF('Elève (3ème5)'!JU21:JX21,"B"))*3)+((COUNTIF('Elève (3ème5)'!JU21:JX21,"C"))*2)+((COUNTIF('Elève (3ème5)'!JU21:JX21,"D"))*1))/(COUNTA(JU21:JX21)),"")</f>
        <v/>
      </c>
      <c r="JZ21" s="168" t="str">
        <f t="shared" si="80"/>
        <v/>
      </c>
      <c r="KA21" s="124"/>
      <c r="KB21" s="125"/>
      <c r="KC21" s="126"/>
      <c r="KD21" s="126"/>
      <c r="KE21" s="126"/>
      <c r="KF21" s="130"/>
      <c r="KG21" s="167" t="str">
        <f>IFERROR((((COUNTIF('Elève (3ème5)'!KA21:KF21,"A"))*4)+((COUNTIF('Elève (3ème5)'!KA21:KF21,"B"))*3)+((COUNTIF('Elève (3ème5)'!KA21:KF21,"C"))*2)+((COUNTIF('Elève (3ème5)'!KA21:KF21,"D"))*1))/(COUNTA(KA21:KF21)),"")</f>
        <v/>
      </c>
      <c r="KH21" s="168" t="str">
        <f t="shared" si="81"/>
        <v/>
      </c>
      <c r="KI21" s="167">
        <f>IF(COUNT(JS21,JY21,KG21)=0,"",SUM(JS21,JY21,KG21)/COUNT(JS21,JY21,KG21))</f>
        <v>2.5</v>
      </c>
      <c r="KJ21" s="192" t="str">
        <f t="shared" si="82"/>
        <v>C</v>
      </c>
      <c r="KK21" s="124" t="s">
        <v>27</v>
      </c>
      <c r="KL21" s="125" t="s">
        <v>28</v>
      </c>
      <c r="KM21" s="126"/>
      <c r="KN21" s="167">
        <f>IFERROR((((COUNTIF('Elève (3ème5)'!KK21:KM21,"A"))*4)+((COUNTIF('Elève (3ème5)'!KK21:KM21,"B"))*3)+((COUNTIF('Elève (3ème5)'!KK21:KM21,"C"))*2)+((COUNTIF('Elève (3ème5)'!KK21:KM21,"D"))*1))/(COUNTA(KK21:KM21)),"")</f>
        <v>3.5</v>
      </c>
      <c r="KO21" s="168" t="str">
        <f t="shared" si="83"/>
        <v>B</v>
      </c>
      <c r="KP21" s="124"/>
      <c r="KQ21" s="125"/>
      <c r="KR21" s="126"/>
      <c r="KS21" s="126"/>
      <c r="KT21" s="167" t="str">
        <f>IFERROR((((COUNTIF('Elève (3ème5)'!KP21:KS21,"A"))*4)+((COUNTIF('Elève (3ème5)'!KP21:KS21,"B"))*3)+((COUNTIF('Elève (3ème5)'!KP21:KS21,"C"))*2)+((COUNTIF('Elève (3ème5)'!KP21:KS21,"D"))*1))/(COUNTA(KP21:KS21)),"")</f>
        <v/>
      </c>
      <c r="KU21" s="168" t="str">
        <f t="shared" si="84"/>
        <v/>
      </c>
      <c r="KV21" s="124"/>
      <c r="KW21" s="125"/>
      <c r="KX21" s="126"/>
      <c r="KY21" s="126"/>
      <c r="KZ21" s="126"/>
      <c r="LA21" s="130"/>
      <c r="LB21" s="167" t="str">
        <f>IFERROR((((COUNTIF('Elève (3ème5)'!KV21:LA21,"A"))*4)+((COUNTIF('Elève (3ème5)'!KV21:LA21,"B"))*3)+((COUNTIF('Elève (3ème5)'!KV21:LA21,"C"))*2)+((COUNTIF('Elève (3ème5)'!KV21:LA21,"D"))*1))/(COUNTA(KV21:LA21)),"")</f>
        <v/>
      </c>
      <c r="LC21" s="168" t="str">
        <f t="shared" si="85"/>
        <v/>
      </c>
      <c r="LD21" s="167">
        <f>IF(COUNT(KN21,KT21,LB21)=0,"",SUM(KN21,KT21,LB21)/COUNT(KN21,KT21,LB21))</f>
        <v>3.5</v>
      </c>
      <c r="LE21" s="192" t="str">
        <f t="shared" si="86"/>
        <v>B</v>
      </c>
      <c r="LF21" s="124" t="s">
        <v>28</v>
      </c>
      <c r="LG21" s="125" t="s">
        <v>28</v>
      </c>
      <c r="LH21" s="126"/>
      <c r="LI21" s="167">
        <f>IFERROR((((COUNTIF('Elève (3ème5)'!LF21:LH21,"A"))*4)+((COUNTIF('Elève (3ème5)'!LF21:LH21,"B"))*3)+((COUNTIF('Elève (3ème5)'!LF21:LH21,"C"))*2)+((COUNTIF('Elève (3ème5)'!LF21:LH21,"D"))*1))/(COUNTA(LF21:LH21)),"")</f>
        <v>3</v>
      </c>
      <c r="LJ21" s="168" t="str">
        <f t="shared" si="87"/>
        <v>B</v>
      </c>
      <c r="LK21" s="124"/>
      <c r="LL21" s="125"/>
      <c r="LM21" s="126"/>
      <c r="LN21" s="126"/>
      <c r="LO21" s="167" t="str">
        <f>IFERROR((((COUNTIF('Elève (3ème5)'!LK21:LN21,"A"))*4)+((COUNTIF('Elève (3ème5)'!LK21:LN21,"B"))*3)+((COUNTIF('Elève (3ème5)'!LK21:LN21,"C"))*2)+((COUNTIF('Elève (3ème5)'!LK21:LN21,"D"))*1))/(COUNTA(LK21:LN21)),"")</f>
        <v/>
      </c>
      <c r="LP21" s="168" t="str">
        <f t="shared" si="88"/>
        <v/>
      </c>
      <c r="LQ21" s="124"/>
      <c r="LR21" s="125"/>
      <c r="LS21" s="126"/>
      <c r="LT21" s="126"/>
      <c r="LU21" s="126"/>
      <c r="LV21" s="130"/>
      <c r="LW21" s="167" t="str">
        <f>IFERROR((((COUNTIF('Elève (3ème5)'!LQ21:LV21,"A"))*4)+((COUNTIF('Elève (3ème5)'!LQ21:LV21,"B"))*3)+((COUNTIF('Elève (3ème5)'!LQ21:LV21,"C"))*2)+((COUNTIF('Elève (3ème5)'!LQ21:LV21,"D"))*1))/(COUNTA(LQ21:LV21)),"")</f>
        <v/>
      </c>
      <c r="LX21" s="168" t="str">
        <f t="shared" si="89"/>
        <v/>
      </c>
      <c r="LY21" s="167">
        <f>IF(COUNT(LI21,LO21,LW21)=0,"",SUM(LI21,LO21,LW21)/COUNT(LI21,LO21,LW21))</f>
        <v>3</v>
      </c>
      <c r="LZ21" s="192" t="str">
        <f t="shared" si="90"/>
        <v>B</v>
      </c>
      <c r="MA21" s="124" t="s">
        <v>28</v>
      </c>
      <c r="MB21" s="125" t="s">
        <v>28</v>
      </c>
      <c r="MC21" s="126"/>
      <c r="MD21" s="167">
        <f>IFERROR((((COUNTIF('Elève (3ème5)'!MA21:MC21,"A"))*4)+((COUNTIF('Elève (3ème5)'!MA21:MC21,"B"))*3)+((COUNTIF('Elève (3ème5)'!MA21:MC21,"C"))*2)+((COUNTIF('Elève (3ème5)'!MA21:MC21,"D"))*1))/(COUNTA(MA21:MC21)),"")</f>
        <v>3</v>
      </c>
      <c r="ME21" s="168" t="str">
        <f t="shared" si="91"/>
        <v>B</v>
      </c>
      <c r="MF21" s="124"/>
      <c r="MG21" s="125"/>
      <c r="MH21" s="126"/>
      <c r="MI21" s="126"/>
      <c r="MJ21" s="167" t="str">
        <f>IFERROR((((COUNTIF('Elève (3ème5)'!MF21:MI21,"A"))*4)+((COUNTIF('Elève (3ème5)'!MF21:MI21,"B"))*3)+((COUNTIF('Elève (3ème5)'!MF21:MI21,"C"))*2)+((COUNTIF('Elève (3ème5)'!MF21:MI21,"D"))*1))/(COUNTA(MF21:MI21)),"")</f>
        <v/>
      </c>
      <c r="MK21" s="168" t="str">
        <f t="shared" si="92"/>
        <v/>
      </c>
      <c r="ML21" s="124"/>
      <c r="MM21" s="125"/>
      <c r="MN21" s="126"/>
      <c r="MO21" s="126"/>
      <c r="MP21" s="126"/>
      <c r="MQ21" s="130"/>
      <c r="MR21" s="167" t="str">
        <f>IFERROR((((COUNTIF('Elève (3ème5)'!ML21:MQ21,"A"))*4)+((COUNTIF('Elève (3ème5)'!ML21:MQ21,"B"))*3)+((COUNTIF('Elève (3ème5)'!ML21:MQ21,"C"))*2)+((COUNTIF('Elève (3ème5)'!ML21:MQ21,"D"))*1))/(COUNTA(ML21:MQ21)),"")</f>
        <v/>
      </c>
      <c r="MS21" s="168" t="str">
        <f t="shared" si="93"/>
        <v/>
      </c>
      <c r="MT21" s="167">
        <f>IF(COUNT(MD21,MJ21,MR21)=0,"",SUM(MD21,MJ21,MR21)/COUNT(MD21,MJ21,MR21))</f>
        <v>3</v>
      </c>
      <c r="MU21" s="192" t="str">
        <f t="shared" si="94"/>
        <v>B</v>
      </c>
      <c r="MV21" s="124" t="s">
        <v>28</v>
      </c>
      <c r="MW21" s="125" t="s">
        <v>28</v>
      </c>
      <c r="MX21" s="126"/>
      <c r="MY21" s="167">
        <f>IFERROR((((COUNTIF('Elève (3ème5)'!MV21:MX21,"A"))*4)+((COUNTIF('Elève (3ème5)'!MV21:MX21,"B"))*3)+((COUNTIF('Elève (3ème5)'!MV21:MX21,"C"))*2)+((COUNTIF('Elève (3ème5)'!MV21:MX21,"D"))*1))/(COUNTA(MV21:MX21)),"")</f>
        <v>3</v>
      </c>
      <c r="MZ21" s="168" t="str">
        <f t="shared" si="95"/>
        <v>B</v>
      </c>
      <c r="NA21" s="124"/>
      <c r="NB21" s="125"/>
      <c r="NC21" s="126"/>
      <c r="ND21" s="126"/>
      <c r="NE21" s="167" t="str">
        <f>IFERROR((((COUNTIF('Elève (3ème5)'!NA21:ND21,"A"))*4)+((COUNTIF('Elève (3ème5)'!NA21:ND21,"B"))*3)+((COUNTIF('Elève (3ème5)'!NA21:ND21,"C"))*2)+((COUNTIF('Elève (3ème5)'!NA21:ND21,"D"))*1))/(COUNTA(NA21:ND21)),"")</f>
        <v/>
      </c>
      <c r="NF21" s="168" t="str">
        <f t="shared" si="96"/>
        <v/>
      </c>
      <c r="NG21" s="124"/>
      <c r="NH21" s="125"/>
      <c r="NI21" s="126"/>
      <c r="NJ21" s="126"/>
      <c r="NK21" s="126"/>
      <c r="NL21" s="130"/>
      <c r="NM21" s="167" t="str">
        <f>IFERROR((((COUNTIF('Elève (3ème5)'!NG21:NL21,"A"))*4)+((COUNTIF('Elève (3ème5)'!NG21:NL21,"B"))*3)+((COUNTIF('Elève (3ème5)'!NG21:NL21,"C"))*2)+((COUNTIF('Elève (3ème5)'!NG21:NL21,"D"))*1))/(COUNTA(NG21:NL21)),"")</f>
        <v/>
      </c>
      <c r="NN21" s="168" t="str">
        <f t="shared" si="97"/>
        <v/>
      </c>
      <c r="NO21" s="167">
        <f>IF(COUNT(MY21,NE21,NM21)=0,"",SUM(MY21,NE21,NM21)/COUNT(MY21,NE21,NM21))</f>
        <v>3</v>
      </c>
      <c r="NP21" s="192" t="str">
        <f t="shared" si="98"/>
        <v>B</v>
      </c>
      <c r="NQ21" s="124" t="s">
        <v>27</v>
      </c>
      <c r="NR21" s="125" t="s">
        <v>28</v>
      </c>
      <c r="NS21" s="126"/>
      <c r="NT21" s="167">
        <f>IFERROR((((COUNTIF('Elève (3ème5)'!NQ21:NS21,"A"))*4)+((COUNTIF('Elève (3ème5)'!NQ21:NS21,"B"))*3)+((COUNTIF('Elève (3ème5)'!NQ21:NS21,"C"))*2)+((COUNTIF('Elève (3ème5)'!NQ21:NS21,"D"))*1))/(COUNTA(NQ21:NS21)),"")</f>
        <v>3.5</v>
      </c>
      <c r="NU21" s="168" t="str">
        <f t="shared" si="99"/>
        <v>B</v>
      </c>
      <c r="NV21" s="124"/>
      <c r="NW21" s="125"/>
      <c r="NX21" s="126"/>
      <c r="NY21" s="126"/>
      <c r="NZ21" s="167" t="str">
        <f>IFERROR((((COUNTIF('Elève (3ème5)'!NV21:NY21,"A"))*4)+((COUNTIF('Elève (3ème5)'!NV21:NY21,"B"))*3)+((COUNTIF('Elève (3ème5)'!NV21:NY21,"C"))*2)+((COUNTIF('Elève (3ème5)'!NV21:NY21,"D"))*1))/(COUNTA(NV21:NY21)),"")</f>
        <v/>
      </c>
      <c r="OA21" s="168" t="str">
        <f t="shared" si="100"/>
        <v/>
      </c>
      <c r="OB21" s="124"/>
      <c r="OC21" s="125"/>
      <c r="OD21" s="126"/>
      <c r="OE21" s="126"/>
      <c r="OF21" s="126"/>
      <c r="OG21" s="130"/>
      <c r="OH21" s="167" t="str">
        <f>IFERROR((((COUNTIF('Elève (3ème5)'!OB21:OG21,"A"))*4)+((COUNTIF('Elève (3ème5)'!OB21:OG21,"B"))*3)+((COUNTIF('Elève (3ème5)'!OB21:OG21,"C"))*2)+((COUNTIF('Elève (3ème5)'!OB21:OG21,"D"))*1))/(COUNTA(OB21:OG21)),"")</f>
        <v/>
      </c>
      <c r="OI21" s="168" t="str">
        <f t="shared" si="101"/>
        <v/>
      </c>
      <c r="OJ21" s="167">
        <f>IF(COUNT(NT21,NZ21,OH21)=0,"",SUM(NT21,NZ21,OH21)/COUNT(NT21,NZ21,OH21))</f>
        <v>3.5</v>
      </c>
      <c r="OK21" s="192" t="str">
        <f t="shared" si="102"/>
        <v>B</v>
      </c>
      <c r="OL21" s="124" t="s">
        <v>27</v>
      </c>
      <c r="OM21" s="125" t="s">
        <v>28</v>
      </c>
      <c r="ON21" s="126"/>
      <c r="OO21" s="167">
        <f>IFERROR((((COUNTIF('Elève (3ème5)'!OL21:ON21,"A"))*4)+((COUNTIF('Elève (3ème5)'!OL21:ON21,"B"))*3)+((COUNTIF('Elève (3ème5)'!OL21:ON21,"C"))*2)+((COUNTIF('Elève (3ème5)'!OL21:ON21,"D"))*1))/(COUNTA(OL21:ON21)),"")</f>
        <v>3.5</v>
      </c>
      <c r="OP21" s="168" t="str">
        <f t="shared" si="103"/>
        <v>B</v>
      </c>
      <c r="OQ21" s="124"/>
      <c r="OR21" s="125"/>
      <c r="OS21" s="126"/>
      <c r="OT21" s="126"/>
      <c r="OU21" s="167" t="str">
        <f>IFERROR((((COUNTIF('Elève (3ème5)'!OQ21:OT21,"A"))*4)+((COUNTIF('Elève (3ème5)'!OQ21:OT21,"B"))*3)+((COUNTIF('Elève (3ème5)'!OQ21:OT21,"C"))*2)+((COUNTIF('Elève (3ème5)'!OQ21:OT21,"D"))*1))/(COUNTA(OQ21:OT21)),"")</f>
        <v/>
      </c>
      <c r="OV21" s="168" t="str">
        <f t="shared" si="104"/>
        <v/>
      </c>
      <c r="OW21" s="124"/>
      <c r="OX21" s="125"/>
      <c r="OY21" s="126"/>
      <c r="OZ21" s="126"/>
      <c r="PA21" s="126"/>
      <c r="PB21" s="130"/>
      <c r="PC21" s="167" t="str">
        <f>IFERROR((((COUNTIF('Elève (3ème5)'!OW21:PB21,"A"))*4)+((COUNTIF('Elève (3ème5)'!OW21:PB21,"B"))*3)+((COUNTIF('Elève (3ème5)'!OW21:PB21,"C"))*2)+((COUNTIF('Elève (3ème5)'!OW21:PB21,"D"))*1))/(COUNTA(OW21:PB21)),"")</f>
        <v/>
      </c>
      <c r="PD21" s="168" t="str">
        <f t="shared" si="105"/>
        <v/>
      </c>
      <c r="PE21" s="167">
        <f>IF(COUNT(OO21,OU21,PC21)=0,"",SUM(OO21,OU21,PC21)/COUNT(OO21,OU21,PC21))</f>
        <v>3.5</v>
      </c>
      <c r="PF21" s="192" t="str">
        <f t="shared" si="106"/>
        <v>B</v>
      </c>
      <c r="PG21" s="124" t="s">
        <v>28</v>
      </c>
      <c r="PH21" s="125" t="s">
        <v>30</v>
      </c>
      <c r="PI21" s="126"/>
      <c r="PJ21" s="167">
        <f>IFERROR((((COUNTIF('Elève (3ème5)'!PG21:PI21,"A"))*4)+((COUNTIF('Elève (3ème5)'!PG21:PI21,"B"))*3)+((COUNTIF('Elève (3ème5)'!PG21:PI21,"C"))*2)+((COUNTIF('Elève (3ème5)'!PG21:PI21,"D"))*1))/(COUNTA(PG21:PI21)),"")</f>
        <v>2</v>
      </c>
      <c r="PK21" s="168" t="str">
        <f t="shared" si="107"/>
        <v>C</v>
      </c>
      <c r="PL21" s="124"/>
      <c r="PM21" s="125"/>
      <c r="PN21" s="126"/>
      <c r="PO21" s="126"/>
      <c r="PP21" s="167" t="str">
        <f>IFERROR((((COUNTIF('Elève (3ème5)'!PL21:PO21,"A"))*4)+((COUNTIF('Elève (3ème5)'!PL21:PO21,"B"))*3)+((COUNTIF('Elève (3ème5)'!PL21:PO21,"C"))*2)+((COUNTIF('Elève (3ème5)'!PL21:PO21,"D"))*1))/(COUNTA(PL21:PO21)),"")</f>
        <v/>
      </c>
      <c r="PQ21" s="168" t="str">
        <f t="shared" si="108"/>
        <v/>
      </c>
      <c r="PR21" s="124"/>
      <c r="PS21" s="125"/>
      <c r="PT21" s="126"/>
      <c r="PU21" s="126"/>
      <c r="PV21" s="126"/>
      <c r="PW21" s="130"/>
      <c r="PX21" s="167" t="str">
        <f>IFERROR((((COUNTIF('Elève (3ème5)'!PR21:PW21,"A"))*4)+((COUNTIF('Elève (3ème5)'!PR21:PW21,"B"))*3)+((COUNTIF('Elève (3ème5)'!PR21:PW21,"C"))*2)+((COUNTIF('Elève (3ème5)'!PR21:PW21,"D"))*1))/(COUNTA(PR21:PW21)),"")</f>
        <v/>
      </c>
      <c r="PY21" s="168" t="str">
        <f t="shared" si="109"/>
        <v/>
      </c>
      <c r="PZ21" s="167">
        <f>IF(COUNT(PJ21,PP21,PX21)=0,"",SUM(PJ21,PP21,PX21)/COUNT(PJ21,PP21,PX21))</f>
        <v>2</v>
      </c>
      <c r="QA21" s="192" t="str">
        <f t="shared" si="110"/>
        <v>C</v>
      </c>
      <c r="QB21" s="124" t="s">
        <v>27</v>
      </c>
      <c r="QC21" s="125" t="s">
        <v>28</v>
      </c>
      <c r="QD21" s="126"/>
      <c r="QE21" s="167">
        <f>IFERROR((((COUNTIF('Elève (3ème5)'!QB21:QD21,"A"))*4)+((COUNTIF('Elève (3ème5)'!QB21:QD21,"B"))*3)+((COUNTIF('Elève (3ème5)'!QB21:QD21,"C"))*2)+((COUNTIF('Elève (3ème5)'!QB21:QD21,"D"))*1))/(COUNTA(QB21:QD21)),"")</f>
        <v>3.5</v>
      </c>
      <c r="QF21" s="168" t="str">
        <f t="shared" si="111"/>
        <v>B</v>
      </c>
      <c r="QG21" s="124"/>
      <c r="QH21" s="125"/>
      <c r="QI21" s="126"/>
      <c r="QJ21" s="126"/>
      <c r="QK21" s="167" t="str">
        <f>IFERROR((((COUNTIF('Elève (3ème5)'!QG21:QJ21,"A"))*4)+((COUNTIF('Elève (3ème5)'!QG21:QJ21,"B"))*3)+((COUNTIF('Elève (3ème5)'!QG21:QJ21,"C"))*2)+((COUNTIF('Elève (3ème5)'!QG21:QJ21,"D"))*1))/(COUNTA(QG21:QJ21)),"")</f>
        <v/>
      </c>
      <c r="QL21" s="168" t="str">
        <f t="shared" si="112"/>
        <v/>
      </c>
      <c r="QM21" s="124"/>
      <c r="QN21" s="125"/>
      <c r="QO21" s="126"/>
      <c r="QP21" s="126"/>
      <c r="QQ21" s="126"/>
      <c r="QR21" s="130"/>
      <c r="QS21" s="167" t="str">
        <f>IFERROR((((COUNTIF('Elève (3ème5)'!QM21:QR21,"A"))*4)+((COUNTIF('Elève (3ème5)'!QM21:QR21,"B"))*3)+((COUNTIF('Elève (3ème5)'!QM21:QR21,"C"))*2)+((COUNTIF('Elève (3ème5)'!QM21:QR21,"D"))*1))/(COUNTA(QM21:QR21)),"")</f>
        <v/>
      </c>
      <c r="QT21" s="168" t="str">
        <f t="shared" si="113"/>
        <v/>
      </c>
      <c r="QU21" s="167">
        <f>IF(COUNT(QE21,QK21,QS21)=0,"",SUM(QE21,QK21,QS21)/COUNT(QE21,QK21,QS21))</f>
        <v>3.5</v>
      </c>
      <c r="QV21" s="192" t="str">
        <f t="shared" si="114"/>
        <v>B</v>
      </c>
      <c r="QW21" s="124" t="s">
        <v>29</v>
      </c>
      <c r="QX21" s="125" t="s">
        <v>29</v>
      </c>
      <c r="QY21" s="126"/>
      <c r="QZ21" s="167">
        <f>IFERROR((((COUNTIF('Elève (3ème5)'!QW21:QY21,"A"))*4)+((COUNTIF('Elève (3ème5)'!QW21:QY21,"B"))*3)+((COUNTIF('Elève (3ème5)'!QW21:QY21,"C"))*2)+((COUNTIF('Elève (3ème5)'!QW21:QY21,"D"))*1))/(COUNTA(QW21:QY21)),"")</f>
        <v>2</v>
      </c>
      <c r="RA21" s="168" t="str">
        <f t="shared" si="115"/>
        <v>C</v>
      </c>
      <c r="RB21" s="124"/>
      <c r="RC21" s="125"/>
      <c r="RD21" s="126"/>
      <c r="RE21" s="126"/>
      <c r="RF21" s="167" t="str">
        <f>IFERROR((((COUNTIF('Elève (3ème5)'!RB21:RE21,"A"))*4)+((COUNTIF('Elève (3ème5)'!RB21:RE21,"B"))*3)+((COUNTIF('Elève (3ème5)'!RB21:RE21,"C"))*2)+((COUNTIF('Elève (3ème5)'!RB21:RE21,"D"))*1))/(COUNTA(RB21:RE21)),"")</f>
        <v/>
      </c>
      <c r="RG21" s="168" t="str">
        <f t="shared" si="116"/>
        <v/>
      </c>
      <c r="RH21" s="124"/>
      <c r="RI21" s="125"/>
      <c r="RJ21" s="126"/>
      <c r="RK21" s="126"/>
      <c r="RL21" s="126"/>
      <c r="RM21" s="130"/>
      <c r="RN21" s="167" t="str">
        <f>IFERROR((((COUNTIF('Elève (3ème5)'!RH21:RM21,"A"))*4)+((COUNTIF('Elève (3ème5)'!RH21:RM21,"B"))*3)+((COUNTIF('Elève (3ème5)'!RH21:RM21,"C"))*2)+((COUNTIF('Elève (3ème5)'!RH21:RM21,"D"))*1))/(COUNTA(RH21:RM21)),"")</f>
        <v/>
      </c>
      <c r="RO21" s="168" t="str">
        <f t="shared" si="117"/>
        <v/>
      </c>
      <c r="RP21" s="167">
        <f>IF(COUNT(QZ21,RF21,RN21)=0,"",SUM(QZ21,RF21,RN21)/COUNT(QZ21,RF21,RN21))</f>
        <v>2</v>
      </c>
      <c r="RQ21" s="192" t="str">
        <f t="shared" si="118"/>
        <v>C</v>
      </c>
      <c r="RR21" s="124" t="s">
        <v>27</v>
      </c>
      <c r="RS21" s="125" t="s">
        <v>29</v>
      </c>
      <c r="RT21" s="126"/>
      <c r="RU21" s="167">
        <f>IFERROR((((COUNTIF('Elève (3ème5)'!RR21:RT21,"A"))*4)+((COUNTIF('Elève (3ème5)'!RR21:RT21,"B"))*3)+((COUNTIF('Elève (3ème5)'!RR21:RT21,"C"))*2)+((COUNTIF('Elève (3ème5)'!RR21:RT21,"D"))*1))/(COUNTA(RR21:RT21)),"")</f>
        <v>3</v>
      </c>
      <c r="RV21" s="168" t="str">
        <f t="shared" si="119"/>
        <v>B</v>
      </c>
      <c r="RW21" s="124"/>
      <c r="RX21" s="125"/>
      <c r="RY21" s="126"/>
      <c r="RZ21" s="126"/>
      <c r="SA21" s="167" t="str">
        <f>IFERROR((((COUNTIF('Elève (3ème5)'!RW21:RZ21,"A"))*4)+((COUNTIF('Elève (3ème5)'!RW21:RZ21,"B"))*3)+((COUNTIF('Elève (3ème5)'!RW21:RZ21,"C"))*2)+((COUNTIF('Elève (3ème5)'!RW21:RZ21,"D"))*1))/(COUNTA(RW21:RZ21)),"")</f>
        <v/>
      </c>
      <c r="SB21" s="168" t="str">
        <f t="shared" si="120"/>
        <v/>
      </c>
      <c r="SC21" s="124"/>
      <c r="SD21" s="125"/>
      <c r="SE21" s="126"/>
      <c r="SF21" s="126"/>
      <c r="SG21" s="126"/>
      <c r="SH21" s="130"/>
      <c r="SI21" s="167" t="str">
        <f>IFERROR((((COUNTIF('Elève (3ème5)'!SC21:SH21,"A"))*4)+((COUNTIF('Elève (3ème5)'!SC21:SH21,"B"))*3)+((COUNTIF('Elève (3ème5)'!SC21:SH21,"C"))*2)+((COUNTIF('Elève (3ème5)'!SC21:SH21,"D"))*1))/(COUNTA(SC21:SH21)),"")</f>
        <v/>
      </c>
      <c r="SJ21" s="168" t="str">
        <f t="shared" si="121"/>
        <v/>
      </c>
      <c r="SK21" s="167">
        <f>IF(COUNT(RU21,SA21,SI21)=0,"",SUM(RU21,SA21,SI21)/COUNT(RU21,SA21,SI21))</f>
        <v>3</v>
      </c>
      <c r="SL21" s="192" t="str">
        <f t="shared" si="122"/>
        <v>B</v>
      </c>
      <c r="SM21" s="124" t="s">
        <v>29</v>
      </c>
      <c r="SN21" s="125" t="s">
        <v>29</v>
      </c>
      <c r="SO21" s="126"/>
      <c r="SP21" s="167">
        <f>IFERROR((((COUNTIF('Elève (3ème5)'!SM21:SO21,"A"))*4)+((COUNTIF('Elève (3ème5)'!SM21:SO21,"B"))*3)+((COUNTIF('Elève (3ème5)'!SM21:SO21,"C"))*2)+((COUNTIF('Elève (3ème5)'!SM21:SO21,"D"))*1))/(COUNTA(SM21:SO21)),"")</f>
        <v>2</v>
      </c>
      <c r="SQ21" s="168" t="str">
        <f t="shared" si="123"/>
        <v>C</v>
      </c>
      <c r="SR21" s="124"/>
      <c r="SS21" s="125"/>
      <c r="ST21" s="126"/>
      <c r="SU21" s="126"/>
      <c r="SV21" s="167" t="str">
        <f>IFERROR((((COUNTIF('Elève (3ème5)'!SR21:SU21,"A"))*4)+((COUNTIF('Elève (3ème5)'!SR21:SU21,"B"))*3)+((COUNTIF('Elève (3ème5)'!SR21:SU21,"C"))*2)+((COUNTIF('Elève (3ème5)'!SR21:SU21,"D"))*1))/(COUNTA(SR21:SU21)),"")</f>
        <v/>
      </c>
      <c r="SW21" s="168" t="str">
        <f t="shared" si="124"/>
        <v/>
      </c>
      <c r="SX21" s="124"/>
      <c r="SY21" s="125"/>
      <c r="SZ21" s="126"/>
      <c r="TA21" s="126"/>
      <c r="TB21" s="126"/>
      <c r="TC21" s="130"/>
      <c r="TD21" s="167" t="str">
        <f>IFERROR((((COUNTIF('Elève (3ème5)'!SX21:TC21,"A"))*4)+((COUNTIF('Elève (3ème5)'!SX21:TC21,"B"))*3)+((COUNTIF('Elève (3ème5)'!SX21:TC21,"C"))*2)+((COUNTIF('Elève (3ème5)'!SX21:TC21,"D"))*1))/(COUNTA(SX21:TC21)),"")</f>
        <v/>
      </c>
      <c r="TE21" s="168" t="str">
        <f t="shared" si="125"/>
        <v/>
      </c>
      <c r="TF21" s="167">
        <f>IF(COUNT(SP21,SV21,TD21)=0,"",SUM(SP21,SV21,TD21)/COUNT(SP21,SV21,TD21))</f>
        <v>2</v>
      </c>
      <c r="TG21" s="192" t="str">
        <f t="shared" si="126"/>
        <v>C</v>
      </c>
      <c r="TH21" s="124" t="s">
        <v>27</v>
      </c>
      <c r="TI21" s="125" t="s">
        <v>29</v>
      </c>
      <c r="TJ21" s="126"/>
      <c r="TK21" s="167">
        <f>IFERROR((((COUNTIF('Elève (3ème5)'!TH21:TJ21,"A"))*4)+((COUNTIF('Elève (3ème5)'!TH21:TJ21,"B"))*3)+((COUNTIF('Elève (3ème5)'!TH21:TJ21,"C"))*2)+((COUNTIF('Elève (3ème5)'!TH21:TJ21,"D"))*1))/(COUNTA(TH21:TJ21)),"")</f>
        <v>3</v>
      </c>
      <c r="TL21" s="168" t="str">
        <f t="shared" si="127"/>
        <v>B</v>
      </c>
      <c r="TM21" s="124"/>
      <c r="TN21" s="125"/>
      <c r="TO21" s="126"/>
      <c r="TP21" s="126"/>
      <c r="TQ21" s="167" t="str">
        <f>IFERROR((((COUNTIF('Elève (3ème5)'!TM21:TP21,"A"))*4)+((COUNTIF('Elève (3ème5)'!TM21:TP21,"B"))*3)+((COUNTIF('Elève (3ème5)'!TM21:TP21,"C"))*2)+((COUNTIF('Elève (3ème5)'!TM21:TP21,"D"))*1))/(COUNTA(TM21:TP21)),"")</f>
        <v/>
      </c>
      <c r="TR21" s="168" t="str">
        <f t="shared" si="128"/>
        <v/>
      </c>
      <c r="TS21" s="124"/>
      <c r="TT21" s="125"/>
      <c r="TU21" s="126"/>
      <c r="TV21" s="126"/>
      <c r="TW21" s="126"/>
      <c r="TX21" s="130"/>
      <c r="TY21" s="167" t="str">
        <f>IFERROR((((COUNTIF('Elève (3ème5)'!TS21:TX21,"A"))*4)+((COUNTIF('Elève (3ème5)'!TS21:TX21,"B"))*3)+((COUNTIF('Elève (3ème5)'!TS21:TX21,"C"))*2)+((COUNTIF('Elève (3ème5)'!TS21:TX21,"D"))*1))/(COUNTA(TS21:TX21)),"")</f>
        <v/>
      </c>
      <c r="TZ21" s="168" t="str">
        <f t="shared" si="129"/>
        <v/>
      </c>
      <c r="UA21" s="167">
        <f>IF(COUNT(TK21,TQ21,TY21)=0,"",SUM(TK21,TQ21,TY21)/COUNT(TK21,TQ21,TY21))</f>
        <v>3</v>
      </c>
      <c r="UB21" s="192" t="str">
        <f t="shared" si="130"/>
        <v>B</v>
      </c>
      <c r="UC21" s="124" t="s">
        <v>28</v>
      </c>
      <c r="UD21" s="125" t="s">
        <v>28</v>
      </c>
      <c r="UE21" s="126"/>
      <c r="UF21" s="167">
        <f>IFERROR((((COUNTIF('Elève (3ème5)'!UC21:UE21,"A"))*4)+((COUNTIF('Elève (3ème5)'!UC21:UE21,"B"))*3)+((COUNTIF('Elève (3ème5)'!UC21:UE21,"C"))*2)+((COUNTIF('Elève (3ème5)'!UC21:UE21,"D"))*1))/(COUNTA(UC21:UE21)),"")</f>
        <v>3</v>
      </c>
      <c r="UG21" s="168" t="str">
        <f t="shared" si="131"/>
        <v>B</v>
      </c>
      <c r="UH21" s="124"/>
      <c r="UI21" s="125"/>
      <c r="UJ21" s="126"/>
      <c r="UK21" s="126"/>
      <c r="UL21" s="167" t="str">
        <f>IFERROR((((COUNTIF('Elève (3ème5)'!UH21:UK21,"A"))*4)+((COUNTIF('Elève (3ème5)'!UH21:UK21,"B"))*3)+((COUNTIF('Elève (3ème5)'!UH21:UK21,"C"))*2)+((COUNTIF('Elève (3ème5)'!UH21:UK21,"D"))*1))/(COUNTA(UH21:UK21)),"")</f>
        <v/>
      </c>
      <c r="UM21" s="168" t="str">
        <f t="shared" si="132"/>
        <v/>
      </c>
      <c r="UN21" s="124"/>
      <c r="UO21" s="125"/>
      <c r="UP21" s="126"/>
      <c r="UQ21" s="126"/>
      <c r="UR21" s="126"/>
      <c r="US21" s="130"/>
      <c r="UT21" s="167" t="str">
        <f>IFERROR((((COUNTIF('Elève (3ème5)'!UN21:US21,"A"))*4)+((COUNTIF('Elève (3ème5)'!UN21:US21,"B"))*3)+((COUNTIF('Elève (3ème5)'!UN21:US21,"C"))*2)+((COUNTIF('Elève (3ème5)'!UN21:US21,"D"))*1))/(COUNTA(UN21:US21)),"")</f>
        <v/>
      </c>
      <c r="UU21" s="168" t="str">
        <f t="shared" si="133"/>
        <v/>
      </c>
      <c r="UV21" s="167">
        <f>IF(COUNT(UF21,UL21,UT21)=0,"",SUM(UF21,UL21,UT21)/COUNT(UF21,UL21,UT21))</f>
        <v>3</v>
      </c>
      <c r="UW21" s="192" t="str">
        <f t="shared" si="134"/>
        <v>B</v>
      </c>
      <c r="UX21" s="124" t="s">
        <v>28</v>
      </c>
      <c r="UY21" s="125" t="s">
        <v>28</v>
      </c>
      <c r="UZ21" s="126"/>
      <c r="VA21" s="167">
        <f>IFERROR((((COUNTIF('Elève (3ème5)'!UX21:UZ21,"A"))*4)+((COUNTIF('Elève (3ème5)'!UX21:UZ21,"B"))*3)+((COUNTIF('Elève (3ème5)'!UX21:UZ21,"C"))*2)+((COUNTIF('Elève (3ème5)'!UX21:UZ21,"D"))*1))/(COUNTA(UX21:UZ21)),"")</f>
        <v>3</v>
      </c>
      <c r="VB21" s="168" t="str">
        <f t="shared" si="135"/>
        <v>B</v>
      </c>
      <c r="VC21" s="124"/>
      <c r="VD21" s="125"/>
      <c r="VE21" s="126"/>
      <c r="VF21" s="126"/>
      <c r="VG21" s="167" t="str">
        <f>IFERROR((((COUNTIF('Elève (3ème5)'!VC21:VF21,"A"))*4)+((COUNTIF('Elève (3ème5)'!VC21:VF21,"B"))*3)+((COUNTIF('Elève (3ème5)'!VC21:VF21,"C"))*2)+((COUNTIF('Elève (3ème5)'!VC21:VF21,"D"))*1))/(COUNTA(VC21:VF21)),"")</f>
        <v/>
      </c>
      <c r="VH21" s="168" t="str">
        <f t="shared" si="136"/>
        <v/>
      </c>
      <c r="VI21" s="124"/>
      <c r="VJ21" s="125"/>
      <c r="VK21" s="126"/>
      <c r="VL21" s="126"/>
      <c r="VM21" s="126"/>
      <c r="VN21" s="130"/>
      <c r="VO21" s="167" t="str">
        <f>IFERROR((((COUNTIF('Elève (3ème5)'!VI21:VN21,"A"))*4)+((COUNTIF('Elève (3ème5)'!VI21:VN21,"B"))*3)+((COUNTIF('Elève (3ème5)'!VI21:VN21,"C"))*2)+((COUNTIF('Elève (3ème5)'!VI21:VN21,"D"))*1))/(COUNTA(VI21:VN21)),"")</f>
        <v/>
      </c>
      <c r="VP21" s="168" t="str">
        <f t="shared" si="137"/>
        <v/>
      </c>
      <c r="VQ21" s="167">
        <f>IF(COUNT(VA21,VG21,VO21)=0,"",SUM(VA21,VG21,VO21)/COUNT(VA21,VG21,VO21))</f>
        <v>3</v>
      </c>
      <c r="VR21" s="192" t="str">
        <f t="shared" si="138"/>
        <v>B</v>
      </c>
      <c r="VS21" s="124"/>
      <c r="VT21" s="125"/>
      <c r="VU21" s="126"/>
      <c r="VV21" s="127" t="str">
        <f>IFERROR((((COUNTIF('Elève (3ème5)'!VS21:VU21,"A"))*4)+((COUNTIF('Elève (3ème5)'!VS21:VU21,"B"))*3)+((COUNTIF('Elève (3ème5)'!VS21:VU21,"C"))*2)+((COUNTIF('Elève (3ème5)'!VS21:VU21,"D"))*1))/(COUNTA(VS21:VU21)),"")</f>
        <v/>
      </c>
      <c r="VW21" s="128" t="str">
        <f t="shared" si="139"/>
        <v/>
      </c>
      <c r="VX21" s="124"/>
      <c r="VY21" s="125"/>
      <c r="VZ21" s="126"/>
      <c r="WA21" s="127" t="str">
        <f>IFERROR((((COUNTIF('Elève (3ème5)'!VX21:VZ21,"A"))*4)+((COUNTIF('Elève (3ème5)'!VX21:VZ21,"B"))*3)+((COUNTIF('Elève (3ème5)'!VX21:VZ21,"C"))*2)+((COUNTIF('Elève (3ème5)'!VX21:VZ21,"D"))*1))/(COUNTA(VX21:VZ21)),"")</f>
        <v/>
      </c>
      <c r="WB21" s="128" t="str">
        <f t="shared" si="140"/>
        <v/>
      </c>
      <c r="WC21" s="124"/>
      <c r="WD21" s="125"/>
      <c r="WE21" s="130"/>
      <c r="WF21" s="127" t="str">
        <f>IFERROR((((COUNTIF('Elève (3ème5)'!WC21:WE21,"A"))*4)+((COUNTIF('Elève (3ème5)'!WC21:WE21,"B"))*3)+((COUNTIF('Elève (3ème5)'!WC21:WE21,"C"))*2)+((COUNTIF('Elève (3ème5)'!WC21:WE21,"D"))*1))/(COUNTA(WC21:WE21)),"")</f>
        <v/>
      </c>
      <c r="WG21" s="128" t="str">
        <f t="shared" si="141"/>
        <v/>
      </c>
      <c r="WH21" s="127" t="str">
        <f>IF(COUNT(VV21,WA21,WF21)=0,"",SUM(VV21,WA21,WF21)/COUNT(VV21,WA21,WF21))</f>
        <v/>
      </c>
      <c r="WI21" s="129" t="str">
        <f t="shared" si="142"/>
        <v/>
      </c>
      <c r="WJ21" s="124"/>
      <c r="WK21" s="125"/>
      <c r="WL21" s="126"/>
      <c r="WM21" s="127" t="str">
        <f>IFERROR((((COUNTIF('Elève (3ème5)'!WJ21:WL21,"A"))*4)+((COUNTIF('Elève (3ème5)'!WJ21:WL21,"B"))*3)+((COUNTIF('Elève (3ème5)'!WJ21:WL21,"C"))*2)+((COUNTIF('Elève (3ème5)'!WJ21:WL21,"D"))*1))/(COUNTA(WJ21:WL21)),"")</f>
        <v/>
      </c>
      <c r="WN21" s="128" t="str">
        <f t="shared" si="143"/>
        <v/>
      </c>
      <c r="WO21" s="124"/>
      <c r="WP21" s="125"/>
      <c r="WQ21" s="126"/>
      <c r="WR21" s="127" t="str">
        <f>IFERROR((((COUNTIF('Elève (3ème5)'!WO21:WQ21,"A"))*4)+((COUNTIF('Elève (3ème5)'!WO21:WQ21,"B"))*3)+((COUNTIF('Elève (3ème5)'!WO21:WQ21,"C"))*2)+((COUNTIF('Elève (3ème5)'!WO21:WQ21,"D"))*1))/(COUNTA(WO21:WQ21)),"")</f>
        <v/>
      </c>
      <c r="WS21" s="128" t="str">
        <f t="shared" si="144"/>
        <v/>
      </c>
      <c r="WT21" s="124"/>
      <c r="WU21" s="125"/>
      <c r="WV21" s="130"/>
      <c r="WW21" s="127" t="str">
        <f>IFERROR((((COUNTIF('Elève (3ème5)'!WT21:WV21,"A"))*4)+((COUNTIF('Elève (3ème5)'!WT21:WV21,"B"))*3)+((COUNTIF('Elève (3ème5)'!WT21:WV21,"C"))*2)+((COUNTIF('Elève (3ème5)'!WT21:WV21,"D"))*1))/(COUNTA(WT21:WV21)),"")</f>
        <v/>
      </c>
      <c r="WX21" s="128" t="str">
        <f t="shared" si="145"/>
        <v/>
      </c>
      <c r="WY21" s="127" t="str">
        <f>IF(COUNT(WM21,WR21,WW21)=0,"",SUM(WM21,WR21,WW21)/COUNT(WM21,WR21,WW21))</f>
        <v/>
      </c>
      <c r="WZ21" s="129" t="str">
        <f t="shared" si="146"/>
        <v/>
      </c>
    </row>
    <row r="22" spans="1:624" ht="14.7" thickBot="1" x14ac:dyDescent="0.6">
      <c r="A22" s="223" t="s">
        <v>26</v>
      </c>
      <c r="B22" s="224"/>
      <c r="C22" s="131"/>
      <c r="D22" s="131"/>
      <c r="E22" s="131"/>
      <c r="F22" s="169">
        <f>IF(COUNT(F20,F16,F13,F10,F4)=0,"",SUM($B$4*IF(COUNT(F4)=0,0,F4),$B$10*IF(COUNT(F10)=0,0,F10),$B$13*IF(COUNT(F13)=0,0,F13),$B$16*IF(COUNT(F16)=0,0,F16),$B$20*IF(COUNT(F20)=0,0,F20))/SUM($B$4*COUNT(F4),$B$10*COUNT(F10),$B$13*COUNT(F13),$B$16*COUNT(F16),$B$20*COUNT(F20)))</f>
        <v>1.75</v>
      </c>
      <c r="G22" s="170">
        <f>IF(F22="","",F22*5)</f>
        <v>8.75</v>
      </c>
      <c r="H22" s="62"/>
      <c r="I22" s="62"/>
      <c r="J22" s="62"/>
      <c r="K22" s="62"/>
      <c r="L22" s="169">
        <f>IF(COUNT(L20,L16,L13,L10,L4)=0,"",SUM($B$4*IF(COUNT(L4)=0,0,L4),$B$10*IF(COUNT(L10)=0,0,L10),$B$13*IF(COUNT(L13)=0,0,L13),$B$16*IF(COUNT(L16)=0,0,L16),$B$20*IF(COUNT(L20)=0,0,L20))/SUM($B$4*COUNT(L4),$B$10*COUNT(L10),$B$13*COUNT(L13),$B$16*COUNT(L16),$B$20*COUNT(L20)))</f>
        <v>3.25</v>
      </c>
      <c r="M22" s="176">
        <f>IF(L22="","",L22*5)</f>
        <v>16.25</v>
      </c>
      <c r="N22" s="62"/>
      <c r="O22" s="62"/>
      <c r="P22" s="62"/>
      <c r="Q22" s="62"/>
      <c r="R22" s="62"/>
      <c r="S22" s="62"/>
      <c r="T22" s="169">
        <f>IF(COUNT(T20,T16,T13,T10,T4)=0,"",SUM($B$4*IF(COUNT(T4)=0,0,T4),$B$10*IF(COUNT(T10)=0,0,T10),$B$13*IF(COUNT(T13)=0,0,T13),$B$16*IF(COUNT(T16)=0,0,T16),$B$20*IF(COUNT(T20)=0,0,T20))/SUM($B$4*COUNT(T4),$B$10*COUNT(T10),$B$13*COUNT(T13),$B$16*COUNT(T16),$B$20*COUNT(T20)))</f>
        <v>2.6041666666666665</v>
      </c>
      <c r="U22" s="193">
        <f>IF(T22="","",T22*5)</f>
        <v>13.020833333333332</v>
      </c>
      <c r="V22" s="156"/>
      <c r="W22" s="156"/>
      <c r="X22" s="131"/>
      <c r="Y22" s="131"/>
      <c r="Z22" s="131"/>
      <c r="AA22" s="169">
        <f>IF(COUNT(AA20,AA16,AA13,AA10,AA4)=0,"",SUM($B$4*IF(COUNT(AA4)=0,0,AA4),$B$10*IF(COUNT(AA10)=0,0,AA10),$B$13*IF(COUNT(AA13)=0,0,AA13),$B$16*IF(COUNT(AA16)=0,0,AA16),$B$20*IF(COUNT(AA20)=0,0,AA20))/SUM($B$4*COUNT(AA4),$B$10*COUNT(AA10),$B$13*COUNT(AA13),$B$16*COUNT(AA16),$B$20*COUNT(AA20)))</f>
        <v>2.6666666666666665</v>
      </c>
      <c r="AB22" s="170">
        <f>IF(AA22="","",AA22*5)</f>
        <v>13.333333333333332</v>
      </c>
      <c r="AC22" s="62"/>
      <c r="AD22" s="62"/>
      <c r="AE22" s="62"/>
      <c r="AF22" s="62"/>
      <c r="AG22" s="169">
        <f>IF(COUNT(AG20,AG16,AG13,AG10,AG4)=0,"",SUM($B$4*IF(COUNT(AG4)=0,0,AG4),$B$10*IF(COUNT(AG10)=0,0,AG10),$B$13*IF(COUNT(AG13)=0,0,AG13),$B$16*IF(COUNT(AG16)=0,0,AG16),$B$20*IF(COUNT(AG20)=0,0,AG20))/SUM($B$4*COUNT(AG4),$B$10*COUNT(AG10),$B$13*COUNT(AG13),$B$16*COUNT(AG16),$B$20*COUNT(AG20)))</f>
        <v>2.25</v>
      </c>
      <c r="AH22" s="176">
        <f>IF(AG22="","",AG22*5)</f>
        <v>11.25</v>
      </c>
      <c r="AI22" s="62"/>
      <c r="AJ22" s="62"/>
      <c r="AK22" s="62"/>
      <c r="AL22" s="62"/>
      <c r="AM22" s="62"/>
      <c r="AN22" s="62"/>
      <c r="AO22" s="169">
        <f>IF(COUNT(AO20,AO16,AO13,AO10,AO4)=0,"",SUM($B$4*IF(COUNT(AO4)=0,0,AO4),$B$10*IF(COUNT(AO10)=0,0,AO10),$B$13*IF(COUNT(AO13)=0,0,AO13),$B$16*IF(COUNT(AO16)=0,0,AO16),$B$20*IF(COUNT(AO20)=0,0,AO20))/SUM($B$4*COUNT(AO4),$B$10*COUNT(AO10),$B$13*COUNT(AO13),$B$16*COUNT(AO16),$B$20*COUNT(AO20)))</f>
        <v>3.1041666666666665</v>
      </c>
      <c r="AP22" s="193">
        <f>IF(AO22="","",AO22*5)</f>
        <v>15.520833333333332</v>
      </c>
      <c r="AQ22" s="156"/>
      <c r="AR22" s="156"/>
      <c r="AS22" s="131"/>
      <c r="AT22" s="131"/>
      <c r="AU22" s="131"/>
      <c r="AV22" s="169">
        <f>IF(COUNT(AV20,AV16,AV13,AV10,AV4)=0,"",SUM($B$4*IF(COUNT(AV4)=0,0,AV4),$B$10*IF(COUNT(AV10)=0,0,AV10),$B$13*IF(COUNT(AV13)=0,0,AV13),$B$16*IF(COUNT(AV16)=0,0,AV16),$B$20*IF(COUNT(AV20)=0,0,AV20))/SUM($B$4*COUNT(AV4),$B$10*COUNT(AV10),$B$13*COUNT(AV13),$B$16*COUNT(AV16),$B$20*COUNT(AV20)))</f>
        <v>2.125</v>
      </c>
      <c r="AW22" s="170">
        <f>IF(AV22="","",AV22*5)</f>
        <v>10.625</v>
      </c>
      <c r="AX22" s="62"/>
      <c r="AY22" s="62"/>
      <c r="AZ22" s="62"/>
      <c r="BA22" s="62"/>
      <c r="BB22" s="169">
        <f>IF(COUNT(BB20,BB16,BB13,BB10,BB4)=0,"",SUM($B$4*IF(COUNT(BB4)=0,0,BB4),$B$10*IF(COUNT(BB10)=0,0,BB10),$B$13*IF(COUNT(BB13)=0,0,BB13),$B$16*IF(COUNT(BB16)=0,0,BB16),$B$20*IF(COUNT(BB20)=0,0,BB20))/SUM($B$4*COUNT(BB4),$B$10*COUNT(BB10),$B$13*COUNT(BB13),$B$16*COUNT(BB16),$B$20*COUNT(BB20)))</f>
        <v>1.75</v>
      </c>
      <c r="BC22" s="176">
        <f>IF(BB22="","",BB22*5)</f>
        <v>8.75</v>
      </c>
      <c r="BD22" s="62"/>
      <c r="BE22" s="62"/>
      <c r="BF22" s="62"/>
      <c r="BG22" s="62"/>
      <c r="BH22" s="62"/>
      <c r="BI22" s="62"/>
      <c r="BJ22" s="169">
        <f>IF(COUNT(BJ20,BJ16,BJ13,BJ10,BJ4)=0,"",SUM($B$4*IF(COUNT(BJ4)=0,0,BJ4),$B$10*IF(COUNT(BJ10)=0,0,BJ10),$B$13*IF(COUNT(BJ13)=0,0,BJ13),$B$16*IF(COUNT(BJ16)=0,0,BJ16),$B$20*IF(COUNT(BJ20)=0,0,BJ20))/SUM($B$4*COUNT(BJ4),$B$10*COUNT(BJ10),$B$13*COUNT(BJ13),$B$16*COUNT(BJ16),$B$20*COUNT(BJ20)))</f>
        <v>2.5833333333333335</v>
      </c>
      <c r="BK22" s="193">
        <f>IF(BJ22="","",BJ22*5)</f>
        <v>12.916666666666668</v>
      </c>
      <c r="BL22" s="156"/>
      <c r="BM22" s="156"/>
      <c r="BN22" s="131"/>
      <c r="BO22" s="131"/>
      <c r="BP22" s="131"/>
      <c r="BQ22" s="169">
        <f>IF(COUNT(BQ20,BQ16,BQ13,BQ10,BQ4)=0,"",SUM($B$4*IF(COUNT(BQ4)=0,0,BQ4),$B$10*IF(COUNT(BQ10)=0,0,BQ10),$B$13*IF(COUNT(BQ13)=0,0,BQ13),$B$16*IF(COUNT(BQ16)=0,0,BQ16),$B$20*IF(COUNT(BQ20)=0,0,BQ20))/SUM($B$4*COUNT(BQ4),$B$10*COUNT(BQ10),$B$13*COUNT(BQ13),$B$16*COUNT(BQ16),$B$20*COUNT(BQ20)))</f>
        <v>1.5</v>
      </c>
      <c r="BR22" s="170">
        <f>IF(BQ22="","",BQ22*5)</f>
        <v>7.5</v>
      </c>
      <c r="BS22" s="62"/>
      <c r="BT22" s="62"/>
      <c r="BU22" s="62"/>
      <c r="BV22" s="62"/>
      <c r="BW22" s="169">
        <f>IF(COUNT(BW20,BW16,BW13,BW10,BW4)=0,"",SUM($B$4*IF(COUNT(BW4)=0,0,BW4),$B$10*IF(COUNT(BW10)=0,0,BW10),$B$13*IF(COUNT(BW13)=0,0,BW13),$B$16*IF(COUNT(BW16)=0,0,BW16),$B$20*IF(COUNT(BW20)=0,0,BW20))/SUM($B$4*COUNT(BW4),$B$10*COUNT(BW10),$B$13*COUNT(BW13),$B$16*COUNT(BW16),$B$20*COUNT(BW20)))</f>
        <v>2</v>
      </c>
      <c r="BX22" s="176">
        <f>IF(BW22="","",BW22*5)</f>
        <v>10</v>
      </c>
      <c r="BY22" s="62"/>
      <c r="BZ22" s="62"/>
      <c r="CA22" s="62"/>
      <c r="CB22" s="62"/>
      <c r="CC22" s="62"/>
      <c r="CD22" s="62"/>
      <c r="CE22" s="169">
        <f>IF(COUNT(CE20,CE16,CE13,CE10,CE4)=0,"",SUM($B$4*IF(COUNT(CE4)=0,0,CE4),$B$10*IF(COUNT(CE10)=0,0,CE10),$B$13*IF(COUNT(CE13)=0,0,CE13),$B$16*IF(COUNT(CE16)=0,0,CE16),$B$20*IF(COUNT(CE20)=0,0,CE20))/SUM($B$4*COUNT(CE4),$B$10*COUNT(CE10),$B$13*COUNT(CE13),$B$16*COUNT(CE16),$B$20*COUNT(CE20)))</f>
        <v>2.5625</v>
      </c>
      <c r="CF22" s="193">
        <f>IF(CE22="","",CE22*5)</f>
        <v>12.8125</v>
      </c>
      <c r="CG22" s="156"/>
      <c r="CH22" s="156"/>
      <c r="CI22" s="131"/>
      <c r="CJ22" s="131"/>
      <c r="CK22" s="131"/>
      <c r="CL22" s="169">
        <f>IF(COUNT(CL20,CL16,CL13,CL10,CL4)=0,"",SUM($B$4*IF(COUNT(CL4)=0,0,CL4),$B$10*IF(COUNT(CL10)=0,0,CL10),$B$13*IF(COUNT(CL13)=0,0,CL13),$B$16*IF(COUNT(CL16)=0,0,CL16),$B$20*IF(COUNT(CL20)=0,0,CL20))/SUM($B$4*COUNT(CL4),$B$10*COUNT(CL10),$B$13*COUNT(CL13),$B$16*COUNT(CL16),$B$20*COUNT(CL20)))</f>
        <v>2.125</v>
      </c>
      <c r="CM22" s="170">
        <f>IF(CL22="","",CL22*5)</f>
        <v>10.625</v>
      </c>
      <c r="CN22" s="62"/>
      <c r="CO22" s="62"/>
      <c r="CP22" s="62"/>
      <c r="CQ22" s="62"/>
      <c r="CR22" s="169">
        <f>IF(COUNT(CR20,CR16,CR13,CR10,CR4)=0,"",SUM($B$4*IF(COUNT(CR4)=0,0,CR4),$B$10*IF(COUNT(CR10)=0,0,CR10),$B$13*IF(COUNT(CR13)=0,0,CR13),$B$16*IF(COUNT(CR16)=0,0,CR16),$B$20*IF(COUNT(CR20)=0,0,CR20))/SUM($B$4*COUNT(CR4),$B$10*COUNT(CR10),$B$13*COUNT(CR13),$B$16*COUNT(CR16),$B$20*COUNT(CR20)))</f>
        <v>2.5</v>
      </c>
      <c r="CS22" s="176">
        <f>IF(CR22="","",CR22*5)</f>
        <v>12.5</v>
      </c>
      <c r="CT22" s="62"/>
      <c r="CU22" s="62"/>
      <c r="CV22" s="62"/>
      <c r="CW22" s="62"/>
      <c r="CX22" s="62"/>
      <c r="CY22" s="62"/>
      <c r="CZ22" s="169">
        <f>IF(COUNT(CZ20,CZ16,CZ13,CZ10,CZ4)=0,"",SUM($B$4*IF(COUNT(CZ4)=0,0,CZ4),$B$10*IF(COUNT(CZ10)=0,0,CZ10),$B$13*IF(COUNT(CZ13)=0,0,CZ13),$B$16*IF(COUNT(CZ16)=0,0,CZ16),$B$20*IF(COUNT(CZ20)=0,0,CZ20))/SUM($B$4*COUNT(CZ4),$B$10*COUNT(CZ10),$B$13*COUNT(CZ13),$B$16*COUNT(CZ16),$B$20*COUNT(CZ20)))</f>
        <v>2.7916666666666665</v>
      </c>
      <c r="DA22" s="193">
        <f>IF(CZ22="","",CZ22*5)</f>
        <v>13.958333333333332</v>
      </c>
      <c r="DB22" s="156"/>
      <c r="DC22" s="156"/>
      <c r="DD22" s="131"/>
      <c r="DE22" s="131"/>
      <c r="DF22" s="131"/>
      <c r="DG22" s="169">
        <f>IF(COUNT(DG20,DG16,DG13,DG10,DG4)=0,"",SUM($B$4*IF(COUNT(DG4)=0,0,DG4),$B$10*IF(COUNT(DG10)=0,0,DG10),$B$13*IF(COUNT(DG13)=0,0,DG13),$B$16*IF(COUNT(DG16)=0,0,DG16),$B$20*IF(COUNT(DG20)=0,0,DG20))/SUM($B$4*COUNT(DG4),$B$10*COUNT(DG10),$B$13*COUNT(DG13),$B$16*COUNT(DG16),$B$20*COUNT(DG20)))</f>
        <v>3.5416666666666665</v>
      </c>
      <c r="DH22" s="170">
        <f>IF(DG22="","",DG22*5)</f>
        <v>17.708333333333332</v>
      </c>
      <c r="DI22" s="62"/>
      <c r="DJ22" s="62"/>
      <c r="DK22" s="62"/>
      <c r="DL22" s="62"/>
      <c r="DM22" s="169">
        <f>IF(COUNT(DM20,DM16,DM13,DM10,DM4)=0,"",SUM($B$4*IF(COUNT(DM4)=0,0,DM4),$B$10*IF(COUNT(DM10)=0,0,DM10),$B$13*IF(COUNT(DM13)=0,0,DM13),$B$16*IF(COUNT(DM16)=0,0,DM16),$B$20*IF(COUNT(DM20)=0,0,DM20))/SUM($B$4*COUNT(DM4),$B$10*COUNT(DM10),$B$13*COUNT(DM13),$B$16*COUNT(DM16),$B$20*COUNT(DM20)))</f>
        <v>2.5</v>
      </c>
      <c r="DN22" s="176">
        <f>IF(DM22="","",DM22*5)</f>
        <v>12.5</v>
      </c>
      <c r="DO22" s="62"/>
      <c r="DP22" s="62"/>
      <c r="DQ22" s="62"/>
      <c r="DR22" s="62"/>
      <c r="DS22" s="62"/>
      <c r="DT22" s="62"/>
      <c r="DU22" s="169">
        <f>IF(COUNT(DU20,DU16,DU13,DU10,DU4)=0,"",SUM($B$4*IF(COUNT(DU4)=0,0,DU4),$B$10*IF(COUNT(DU10)=0,0,DU10),$B$13*IF(COUNT(DU13)=0,0,DU13),$B$16*IF(COUNT(DU16)=0,0,DU16),$B$20*IF(COUNT(DU20)=0,0,DU20))/SUM($B$4*COUNT(DU4),$B$10*COUNT(DU10),$B$13*COUNT(DU13),$B$16*COUNT(DU16),$B$20*COUNT(DU20)))</f>
        <v>3.6666666666666665</v>
      </c>
      <c r="DV22" s="193">
        <f>IF(DU22="","",DU22*5)</f>
        <v>18.333333333333332</v>
      </c>
      <c r="DW22" s="156"/>
      <c r="DX22" s="156"/>
      <c r="DY22" s="131"/>
      <c r="DZ22" s="131"/>
      <c r="EA22" s="131"/>
      <c r="EB22" s="169">
        <f>IF(COUNT(EB20,EB16,EB13,EB10,EB4)=0,"",SUM($B$4*IF(COUNT(EB4)=0,0,EB4),$B$10*IF(COUNT(EB10)=0,0,EB10),$B$13*IF(COUNT(EB13)=0,0,EB13),$B$16*IF(COUNT(EB16)=0,0,EB16),$B$20*IF(COUNT(EB20)=0,0,EB20))/SUM($B$4*COUNT(EB4),$B$10*COUNT(EB10),$B$13*COUNT(EB13),$B$16*COUNT(EB16),$B$20*COUNT(EB20)))</f>
        <v>1.7083333333333333</v>
      </c>
      <c r="EC22" s="170">
        <f>IF(EB22="","",EB22*5)</f>
        <v>8.5416666666666661</v>
      </c>
      <c r="ED22" s="62"/>
      <c r="EE22" s="62"/>
      <c r="EF22" s="62"/>
      <c r="EG22" s="62"/>
      <c r="EH22" s="169">
        <f>IF(COUNT(EH20,EH16,EH13,EH10,EH4)=0,"",SUM($B$4*IF(COUNT(EH4)=0,0,EH4),$B$10*IF(COUNT(EH10)=0,0,EH10),$B$13*IF(COUNT(EH13)=0,0,EH13),$B$16*IF(COUNT(EH16)=0,0,EH16),$B$20*IF(COUNT(EH20)=0,0,EH20))/SUM($B$4*COUNT(EH4),$B$10*COUNT(EH10),$B$13*COUNT(EH13),$B$16*COUNT(EH16),$B$20*COUNT(EH20)))</f>
        <v>1.5</v>
      </c>
      <c r="EI22" s="176">
        <f>IF(EH22="","",EH22*5)</f>
        <v>7.5</v>
      </c>
      <c r="EJ22" s="62"/>
      <c r="EK22" s="62"/>
      <c r="EL22" s="62"/>
      <c r="EM22" s="62"/>
      <c r="EN22" s="62"/>
      <c r="EO22" s="62"/>
      <c r="EP22" s="169">
        <f>IF(COUNT(EP20,EP16,EP13,EP10,EP4)=0,"",SUM($B$4*IF(COUNT(EP4)=0,0,EP4),$B$10*IF(COUNT(EP10)=0,0,EP10),$B$13*IF(COUNT(EP13)=0,0,EP13),$B$16*IF(COUNT(EP16)=0,0,EP16),$B$20*IF(COUNT(EP20)=0,0,EP20))/SUM($B$4*COUNT(EP4),$B$10*COUNT(EP10),$B$13*COUNT(EP13),$B$16*COUNT(EP16),$B$20*COUNT(EP20)))</f>
        <v>2.7083333333333335</v>
      </c>
      <c r="EQ22" s="193">
        <f>IF(EP22="","",EP22*5)</f>
        <v>13.541666666666668</v>
      </c>
      <c r="ER22" s="156"/>
      <c r="ES22" s="156"/>
      <c r="ET22" s="131"/>
      <c r="EU22" s="131"/>
      <c r="EV22" s="131"/>
      <c r="EW22" s="169">
        <f>IF(COUNT(EW20,EW16,EW13,EW10,EW4)=0,"",SUM($B$4*IF(COUNT(EW4)=0,0,EW4),$B$10*IF(COUNT(EW10)=0,0,EW10),$B$13*IF(COUNT(EW13)=0,0,EW13),$B$16*IF(COUNT(EW16)=0,0,EW16),$B$20*IF(COUNT(EW20)=0,0,EW20))/SUM($B$4*COUNT(EW4),$B$10*COUNT(EW10),$B$13*COUNT(EW13),$B$16*COUNT(EW16),$B$20*COUNT(EW20)))</f>
        <v>1.8333333333333333</v>
      </c>
      <c r="EX22" s="170">
        <f>IF(EW22="","",EW22*5)</f>
        <v>9.1666666666666661</v>
      </c>
      <c r="EY22" s="62"/>
      <c r="EZ22" s="62"/>
      <c r="FA22" s="62"/>
      <c r="FB22" s="62"/>
      <c r="FC22" s="169">
        <f>IF(COUNT(FC20,FC16,FC13,FC10,FC4)=0,"",SUM($B$4*IF(COUNT(FC4)=0,0,FC4),$B$10*IF(COUNT(FC10)=0,0,FC10),$B$13*IF(COUNT(FC13)=0,0,FC13),$B$16*IF(COUNT(FC16)=0,0,FC16),$B$20*IF(COUNT(FC20)=0,0,FC20))/SUM($B$4*COUNT(FC4),$B$10*COUNT(FC10),$B$13*COUNT(FC13),$B$16*COUNT(FC16),$B$20*COUNT(FC20)))</f>
        <v>2.5</v>
      </c>
      <c r="FD22" s="176">
        <f>IF(FC22="","",FC22*5)</f>
        <v>12.5</v>
      </c>
      <c r="FE22" s="62"/>
      <c r="FF22" s="62"/>
      <c r="FG22" s="62"/>
      <c r="FH22" s="62"/>
      <c r="FI22" s="62"/>
      <c r="FJ22" s="62"/>
      <c r="FK22" s="169">
        <f>IF(COUNT(FK20,FK16,FK13,FK10,FK4)=0,"",SUM($B$4*IF(COUNT(FK4)=0,0,FK4),$B$10*IF(COUNT(FK10)=0,0,FK10),$B$13*IF(COUNT(FK13)=0,0,FK13),$B$16*IF(COUNT(FK16)=0,0,FK16),$B$20*IF(COUNT(FK20)=0,0,FK20))/SUM($B$4*COUNT(FK4),$B$10*COUNT(FK10),$B$13*COUNT(FK13),$B$16*COUNT(FK16),$B$20*COUNT(FK20)))</f>
        <v>2.7291666666666665</v>
      </c>
      <c r="FL22" s="193">
        <f>IF(FK22="","",FK22*5)</f>
        <v>13.645833333333332</v>
      </c>
      <c r="FM22" s="156"/>
      <c r="FN22" s="156"/>
      <c r="FO22" s="131"/>
      <c r="FP22" s="131"/>
      <c r="FQ22" s="131"/>
      <c r="FR22" s="169">
        <f>IF(COUNT(FR20,FR16,FR13,FR10,FR4)=0,"",SUM($B$4*IF(COUNT(FR4)=0,0,FR4),$B$10*IF(COUNT(FR10)=0,0,FR10),$B$13*IF(COUNT(FR13)=0,0,FR13),$B$16*IF(COUNT(FR16)=0,0,FR16),$B$20*IF(COUNT(FR20)=0,0,FR20))/SUM($B$4*COUNT(FR4),$B$10*COUNT(FR10),$B$13*COUNT(FR13),$B$16*COUNT(FR16),$B$20*COUNT(FR20)))</f>
        <v>2.2083333333333335</v>
      </c>
      <c r="FS22" s="170">
        <f>IF(FR22="","",FR22*5)</f>
        <v>11.041666666666668</v>
      </c>
      <c r="FT22" s="62"/>
      <c r="FU22" s="62"/>
      <c r="FV22" s="62"/>
      <c r="FW22" s="62"/>
      <c r="FX22" s="169">
        <f>IF(COUNT(FX20,FX16,FX13,FX10,FX4)=0,"",SUM($B$4*IF(COUNT(FX4)=0,0,FX4),$B$10*IF(COUNT(FX10)=0,0,FX10),$B$13*IF(COUNT(FX13)=0,0,FX13),$B$16*IF(COUNT(FX16)=0,0,FX16),$B$20*IF(COUNT(FX20)=0,0,FX20))/SUM($B$4*COUNT(FX4),$B$10*COUNT(FX10),$B$13*COUNT(FX13),$B$16*COUNT(FX16),$B$20*COUNT(FX20)))</f>
        <v>2</v>
      </c>
      <c r="FY22" s="176">
        <f>IF(FX22="","",FX22*5)</f>
        <v>10</v>
      </c>
      <c r="FZ22" s="62"/>
      <c r="GA22" s="62"/>
      <c r="GB22" s="62"/>
      <c r="GC22" s="62"/>
      <c r="GD22" s="62"/>
      <c r="GE22" s="62"/>
      <c r="GF22" s="169">
        <f>IF(COUNT(GF20,GF16,GF13,GF10,GF4)=0,"",SUM($B$4*IF(COUNT(GF4)=0,0,GF4),$B$10*IF(COUNT(GF10)=0,0,GF10),$B$13*IF(COUNT(GF13)=0,0,GF13),$B$16*IF(COUNT(GF16)=0,0,GF16),$B$20*IF(COUNT(GF20)=0,0,GF20))/SUM($B$4*COUNT(GF4),$B$10*COUNT(GF10),$B$13*COUNT(GF13),$B$16*COUNT(GF16),$B$20*COUNT(GF20)))</f>
        <v>2.6041666666666665</v>
      </c>
      <c r="GG22" s="193">
        <f>IF(GF22="","",GF22*5)</f>
        <v>13.020833333333332</v>
      </c>
      <c r="GH22" s="156"/>
      <c r="GI22" s="156"/>
      <c r="GJ22" s="131"/>
      <c r="GK22" s="131"/>
      <c r="GL22" s="131"/>
      <c r="GM22" s="169">
        <f>IF(COUNT(GM20,GM16,GM13,GM10,GM4)=0,"",SUM($B$4*IF(COUNT(GM4)=0,0,GM4),$B$10*IF(COUNT(GM10)=0,0,GM10),$B$13*IF(COUNT(GM13)=0,0,GM13),$B$16*IF(COUNT(GM16)=0,0,GM16),$B$20*IF(COUNT(GM20)=0,0,GM20))/SUM($B$4*COUNT(GM4),$B$10*COUNT(GM10),$B$13*COUNT(GM13),$B$16*COUNT(GM16),$B$20*COUNT(GM20)))</f>
        <v>2.4166666666666665</v>
      </c>
      <c r="GN22" s="170">
        <f>IF(GM22="","",GM22*5)</f>
        <v>12.083333333333332</v>
      </c>
      <c r="GO22" s="62"/>
      <c r="GP22" s="62"/>
      <c r="GQ22" s="62"/>
      <c r="GR22" s="62"/>
      <c r="GS22" s="169">
        <f>IF(COUNT(GS20,GS16,GS13,GS10,GS4)=0,"",SUM($B$4*IF(COUNT(GS4)=0,0,GS4),$B$10*IF(COUNT(GS10)=0,0,GS10),$B$13*IF(COUNT(GS13)=0,0,GS13),$B$16*IF(COUNT(GS16)=0,0,GS16),$B$20*IF(COUNT(GS20)=0,0,GS20))/SUM($B$4*COUNT(GS4),$B$10*COUNT(GS10),$B$13*COUNT(GS13),$B$16*COUNT(GS16),$B$20*COUNT(GS20)))</f>
        <v>1.75</v>
      </c>
      <c r="GT22" s="176">
        <f>IF(GS22="","",GS22*5)</f>
        <v>8.75</v>
      </c>
      <c r="GU22" s="62"/>
      <c r="GV22" s="62"/>
      <c r="GW22" s="62"/>
      <c r="GX22" s="62"/>
      <c r="GY22" s="62"/>
      <c r="GZ22" s="62"/>
      <c r="HA22" s="169">
        <f>IF(COUNT(HA20,HA16,HA13,HA10,HA4)=0,"",SUM($B$4*IF(COUNT(HA4)=0,0,HA4),$B$10*IF(COUNT(HA10)=0,0,HA10),$B$13*IF(COUNT(HA13)=0,0,HA13),$B$16*IF(COUNT(HA16)=0,0,HA16),$B$20*IF(COUNT(HA20)=0,0,HA20))/SUM($B$4*COUNT(HA4),$B$10*COUNT(HA10),$B$13*COUNT(HA13),$B$16*COUNT(HA16),$B$20*COUNT(HA20)))</f>
        <v>2.7916666666666665</v>
      </c>
      <c r="HB22" s="193">
        <f>IF(HA22="","",HA22*5)</f>
        <v>13.958333333333332</v>
      </c>
      <c r="HC22" s="156"/>
      <c r="HD22" s="156"/>
      <c r="HE22" s="131"/>
      <c r="HF22" s="131"/>
      <c r="HG22" s="131"/>
      <c r="HH22" s="169">
        <f>IF(COUNT(HH20,HH16,HH13,HH10,HH4)=0,"",SUM($B$4*IF(COUNT(HH4)=0,0,HH4),$B$10*IF(COUNT(HH10)=0,0,HH10),$B$13*IF(COUNT(HH13)=0,0,HH13),$B$16*IF(COUNT(HH16)=0,0,HH16),$B$20*IF(COUNT(HH20)=0,0,HH20))/SUM($B$4*COUNT(HH4),$B$10*COUNT(HH10),$B$13*COUNT(HH13),$B$16*COUNT(HH16),$B$20*COUNT(HH20)))</f>
        <v>2.6666666666666665</v>
      </c>
      <c r="HI22" s="170">
        <f>IF(HH22="","",HH22*5)</f>
        <v>13.333333333333332</v>
      </c>
      <c r="HJ22" s="62"/>
      <c r="HK22" s="62"/>
      <c r="HL22" s="62"/>
      <c r="HM22" s="62"/>
      <c r="HN22" s="169">
        <f>IF(COUNT(HN20,HN16,HN13,HN10,HN4)=0,"",SUM($B$4*IF(COUNT(HN4)=0,0,HN4),$B$10*IF(COUNT(HN10)=0,0,HN10),$B$13*IF(COUNT(HN13)=0,0,HN13),$B$16*IF(COUNT(HN16)=0,0,HN16),$B$20*IF(COUNT(HN20)=0,0,HN20))/SUM($B$4*COUNT(HN4),$B$10*COUNT(HN10),$B$13*COUNT(HN13),$B$16*COUNT(HN16),$B$20*COUNT(HN20)))</f>
        <v>2</v>
      </c>
      <c r="HO22" s="176">
        <f>IF(HN22="","",HN22*5)</f>
        <v>10</v>
      </c>
      <c r="HP22" s="62"/>
      <c r="HQ22" s="62"/>
      <c r="HR22" s="62"/>
      <c r="HS22" s="62"/>
      <c r="HT22" s="62"/>
      <c r="HU22" s="62"/>
      <c r="HV22" s="169">
        <f>IF(COUNT(HV20,HV16,HV13,HV10,HV4)=0,"",SUM($B$4*IF(COUNT(HV4)=0,0,HV4),$B$10*IF(COUNT(HV10)=0,0,HV10),$B$13*IF(COUNT(HV13)=0,0,HV13),$B$16*IF(COUNT(HV16)=0,0,HV16),$B$20*IF(COUNT(HV20)=0,0,HV20))/SUM($B$4*COUNT(HV4),$B$10*COUNT(HV10),$B$13*COUNT(HV13),$B$16*COUNT(HV16),$B$20*COUNT(HV20)))</f>
        <v>2.7777777777777772</v>
      </c>
      <c r="HW22" s="193">
        <f>IF(HV22="","",HV22*5)</f>
        <v>13.888888888888886</v>
      </c>
      <c r="HX22" s="156"/>
      <c r="HY22" s="156"/>
      <c r="HZ22" s="131"/>
      <c r="IA22" s="131"/>
      <c r="IB22" s="131"/>
      <c r="IC22" s="169">
        <f>IF(COUNT(IC20,IC16,IC13,IC10,IC4)=0,"",SUM($B$4*IF(COUNT(IC4)=0,0,IC4),$B$10*IF(COUNT(IC10)=0,0,IC10),$B$13*IF(COUNT(IC13)=0,0,IC13),$B$16*IF(COUNT(IC16)=0,0,IC16),$B$20*IF(COUNT(IC20)=0,0,IC20))/SUM($B$4*COUNT(IC4),$B$10*COUNT(IC10),$B$13*COUNT(IC13),$B$16*COUNT(IC16),$B$20*COUNT(IC20)))</f>
        <v>2.7916666666666665</v>
      </c>
      <c r="ID22" s="170">
        <f>IF(IC22="","",IC22*5)</f>
        <v>13.958333333333332</v>
      </c>
      <c r="IE22" s="62"/>
      <c r="IF22" s="62"/>
      <c r="IG22" s="62"/>
      <c r="IH22" s="62"/>
      <c r="II22" s="169">
        <f>IF(COUNT(II20,II16,II13,II10,II4)=0,"",SUM($B$4*IF(COUNT(II4)=0,0,II4),$B$10*IF(COUNT(II10)=0,0,II10),$B$13*IF(COUNT(II13)=0,0,II13),$B$16*IF(COUNT(II16)=0,0,II16),$B$20*IF(COUNT(II20)=0,0,II20))/SUM($B$4*COUNT(II4),$B$10*COUNT(II10),$B$13*COUNT(II13),$B$16*COUNT(II16),$B$20*COUNT(II20)))</f>
        <v>2</v>
      </c>
      <c r="IJ22" s="176">
        <f>IF(II22="","",II22*5)</f>
        <v>10</v>
      </c>
      <c r="IK22" s="62"/>
      <c r="IL22" s="62"/>
      <c r="IM22" s="62"/>
      <c r="IN22" s="62"/>
      <c r="IO22" s="62"/>
      <c r="IP22" s="62"/>
      <c r="IQ22" s="169">
        <f>IF(COUNT(IQ20,IQ16,IQ13,IQ10,IQ4)=0,"",SUM($B$4*IF(COUNT(IQ4)=0,0,IQ4),$B$10*IF(COUNT(IQ10)=0,0,IQ10),$B$13*IF(COUNT(IQ13)=0,0,IQ13),$B$16*IF(COUNT(IQ16)=0,0,IQ16),$B$20*IF(COUNT(IQ20)=0,0,IQ20))/SUM($B$4*COUNT(IQ4),$B$10*COUNT(IQ10),$B$13*COUNT(IQ13),$B$16*COUNT(IQ16),$B$20*COUNT(IQ20)))</f>
        <v>2.7916666666666665</v>
      </c>
      <c r="IR22" s="193">
        <f>IF(IQ22="","",IQ22*5)</f>
        <v>13.958333333333332</v>
      </c>
      <c r="IS22" s="156"/>
      <c r="IT22" s="156"/>
      <c r="IU22" s="131"/>
      <c r="IV22" s="131"/>
      <c r="IW22" s="131"/>
      <c r="IX22" s="169">
        <f>IF(COUNT(IX20,IX16,IX13,IX10,IX4)=0,"",SUM($B$4*IF(COUNT(IX4)=0,0,IX4),$B$10*IF(COUNT(IX10)=0,0,IX10),$B$13*IF(COUNT(IX13)=0,0,IX13),$B$16*IF(COUNT(IX16)=0,0,IX16),$B$20*IF(COUNT(IX20)=0,0,IX20))/SUM($B$4*COUNT(IX4),$B$10*COUNT(IX10),$B$13*COUNT(IX13),$B$16*COUNT(IX16),$B$20*COUNT(IX20)))</f>
        <v>1.8333333333333333</v>
      </c>
      <c r="IY22" s="170">
        <f>IF(IX22="","",IX22*5)</f>
        <v>9.1666666666666661</v>
      </c>
      <c r="IZ22" s="62"/>
      <c r="JA22" s="62"/>
      <c r="JB22" s="62"/>
      <c r="JC22" s="62"/>
      <c r="JD22" s="169">
        <f>IF(COUNT(JD20,JD16,JD13,JD10,JD4)=0,"",SUM($B$4*IF(COUNT(JD4)=0,0,JD4),$B$10*IF(COUNT(JD10)=0,0,JD10),$B$13*IF(COUNT(JD13)=0,0,JD13),$B$16*IF(COUNT(JD16)=0,0,JD16),$B$20*IF(COUNT(JD20)=0,0,JD20))/SUM($B$4*COUNT(JD4),$B$10*COUNT(JD10),$B$13*COUNT(JD13),$B$16*COUNT(JD16),$B$20*COUNT(JD20)))</f>
        <v>2</v>
      </c>
      <c r="JE22" s="176">
        <f>IF(JD22="","",JD22*5)</f>
        <v>10</v>
      </c>
      <c r="JF22" s="62"/>
      <c r="JG22" s="62"/>
      <c r="JH22" s="62"/>
      <c r="JI22" s="62"/>
      <c r="JJ22" s="62"/>
      <c r="JK22" s="62"/>
      <c r="JL22" s="169">
        <f>IF(COUNT(JL20,JL16,JL13,JL10,JL4)=0,"",SUM($B$4*IF(COUNT(JL4)=0,0,JL4),$B$10*IF(COUNT(JL10)=0,0,JL10),$B$13*IF(COUNT(JL13)=0,0,JL13),$B$16*IF(COUNT(JL16)=0,0,JL16),$B$20*IF(COUNT(JL20)=0,0,JL20))/SUM($B$4*COUNT(JL4),$B$10*COUNT(JL10),$B$13*COUNT(JL13),$B$16*COUNT(JL16),$B$20*COUNT(JL20)))</f>
        <v>2.5416666666666665</v>
      </c>
      <c r="JM22" s="193">
        <f>IF(JL22="","",JL22*5)</f>
        <v>12.708333333333332</v>
      </c>
      <c r="JN22" s="156"/>
      <c r="JO22" s="156"/>
      <c r="JP22" s="131"/>
      <c r="JQ22" s="131"/>
      <c r="JR22" s="131"/>
      <c r="JS22" s="169">
        <f>IF(COUNT(JS20,JS16,JS13,JS10,JS4)=0,"",SUM($B$4*IF(COUNT(JS4)=0,0,JS4),$B$10*IF(COUNT(JS10)=0,0,JS10),$B$13*IF(COUNT(JS13)=0,0,JS13),$B$16*IF(COUNT(JS16)=0,0,JS16),$B$20*IF(COUNT(JS20)=0,0,JS20))/SUM($B$4*COUNT(JS4),$B$10*COUNT(JS10),$B$13*COUNT(JS13),$B$16*COUNT(JS16),$B$20*COUNT(JS20)))</f>
        <v>2.1666666666666665</v>
      </c>
      <c r="JT22" s="170">
        <f>IF(JS22="","",JS22*5)</f>
        <v>10.833333333333332</v>
      </c>
      <c r="JU22" s="62"/>
      <c r="JV22" s="62"/>
      <c r="JW22" s="62"/>
      <c r="JX22" s="62"/>
      <c r="JY22" s="169">
        <f>IF(COUNT(JY20,JY16,JY13,JY10,JY4)=0,"",SUM($B$4*IF(COUNT(JY4)=0,0,JY4),$B$10*IF(COUNT(JY10)=0,0,JY10),$B$13*IF(COUNT(JY13)=0,0,JY13),$B$16*IF(COUNT(JY16)=0,0,JY16),$B$20*IF(COUNT(JY20)=0,0,JY20))/SUM($B$4*COUNT(JY4),$B$10*COUNT(JY10),$B$13*COUNT(JY13),$B$16*COUNT(JY16),$B$20*COUNT(JY20)))</f>
        <v>2</v>
      </c>
      <c r="JZ22" s="176">
        <f>IF(JY22="","",JY22*5)</f>
        <v>10</v>
      </c>
      <c r="KA22" s="62"/>
      <c r="KB22" s="62"/>
      <c r="KC22" s="62"/>
      <c r="KD22" s="62"/>
      <c r="KE22" s="62"/>
      <c r="KF22" s="62"/>
      <c r="KG22" s="169">
        <f>IF(COUNT(KG20,KG16,KG13,KG10,KG4)=0,"",SUM($B$4*IF(COUNT(KG4)=0,0,KG4),$B$10*IF(COUNT(KG10)=0,0,KG10),$B$13*IF(COUNT(KG13)=0,0,KG13),$B$16*IF(COUNT(KG16)=0,0,KG16),$B$20*IF(COUNT(KG20)=0,0,KG20))/SUM($B$4*COUNT(KG4),$B$10*COUNT(KG10),$B$13*COUNT(KG13),$B$16*COUNT(KG16),$B$20*COUNT(KG20)))</f>
        <v>2.7708333333333335</v>
      </c>
      <c r="KH22" s="193">
        <f>IF(KG22="","",KG22*5)</f>
        <v>13.854166666666668</v>
      </c>
      <c r="KI22" s="156"/>
      <c r="KJ22" s="156"/>
      <c r="KK22" s="131"/>
      <c r="KL22" s="131"/>
      <c r="KM22" s="131"/>
      <c r="KN22" s="169">
        <f>IF(COUNT(KN20,KN16,KN13,KN10,KN4)=0,"",SUM($B$4*IF(COUNT(KN4)=0,0,KN4),$B$10*IF(COUNT(KN10)=0,0,KN10),$B$13*IF(COUNT(KN13)=0,0,KN13),$B$16*IF(COUNT(KN16)=0,0,KN16),$B$20*IF(COUNT(KN20)=0,0,KN20))/SUM($B$4*COUNT(KN4),$B$10*COUNT(KN10),$B$13*COUNT(KN13),$B$16*COUNT(KN16),$B$20*COUNT(KN20)))</f>
        <v>2.8333333333333335</v>
      </c>
      <c r="KO22" s="170">
        <f>IF(KN22="","",KN22*5)</f>
        <v>14.166666666666668</v>
      </c>
      <c r="KP22" s="62"/>
      <c r="KQ22" s="62"/>
      <c r="KR22" s="62"/>
      <c r="KS22" s="62"/>
      <c r="KT22" s="169">
        <f>IF(COUNT(KT20,KT16,KT13,KT10,KT4)=0,"",SUM($B$4*IF(COUNT(KT4)=0,0,KT4),$B$10*IF(COUNT(KT10)=0,0,KT10),$B$13*IF(COUNT(KT13)=0,0,KT13),$B$16*IF(COUNT(KT16)=0,0,KT16),$B$20*IF(COUNT(KT20)=0,0,KT20))/SUM($B$4*COUNT(KT4),$B$10*COUNT(KT10),$B$13*COUNT(KT13),$B$16*COUNT(KT16),$B$20*COUNT(KT20)))</f>
        <v>2.75</v>
      </c>
      <c r="KU22" s="176">
        <f>IF(KT22="","",KT22*5)</f>
        <v>13.75</v>
      </c>
      <c r="KV22" s="62"/>
      <c r="KW22" s="62"/>
      <c r="KX22" s="62"/>
      <c r="KY22" s="62"/>
      <c r="KZ22" s="62"/>
      <c r="LA22" s="62"/>
      <c r="LB22" s="169">
        <f>IF(COUNT(LB20,LB16,LB13,LB10,LB4)=0,"",SUM($B$4*IF(COUNT(LB4)=0,0,LB4),$B$10*IF(COUNT(LB10)=0,0,LB10),$B$13*IF(COUNT(LB13)=0,0,LB13),$B$16*IF(COUNT(LB16)=0,0,LB16),$B$20*IF(COUNT(LB20)=0,0,LB20))/SUM($B$4*COUNT(LB4),$B$10*COUNT(LB10),$B$13*COUNT(LB13),$B$16*COUNT(LB16),$B$20*COUNT(LB20)))</f>
        <v>2.75</v>
      </c>
      <c r="LC22" s="193">
        <f>IF(LB22="","",LB22*5)</f>
        <v>13.75</v>
      </c>
      <c r="LD22" s="156"/>
      <c r="LE22" s="156"/>
      <c r="LF22" s="131"/>
      <c r="LG22" s="131"/>
      <c r="LH22" s="131"/>
      <c r="LI22" s="169">
        <f>IF(COUNT(LI20,LI16,LI13,LI10,LI4)=0,"",SUM($B$4*IF(COUNT(LI4)=0,0,LI4),$B$10*IF(COUNT(LI10)=0,0,LI10),$B$13*IF(COUNT(LI13)=0,0,LI13),$B$16*IF(COUNT(LI16)=0,0,LI16),$B$20*IF(COUNT(LI20)=0,0,LI20))/SUM($B$4*COUNT(LI4),$B$10*COUNT(LI10),$B$13*COUNT(LI13),$B$16*COUNT(LI16),$B$20*COUNT(LI20)))</f>
        <v>2.25</v>
      </c>
      <c r="LJ22" s="170">
        <f>IF(LI22="","",LI22*5)</f>
        <v>11.25</v>
      </c>
      <c r="LK22" s="62"/>
      <c r="LL22" s="62"/>
      <c r="LM22" s="62"/>
      <c r="LN22" s="62"/>
      <c r="LO22" s="169">
        <f>IF(COUNT(LO20,LO16,LO13,LO10,LO4)=0,"",SUM($B$4*IF(COUNT(LO4)=0,0,LO4),$B$10*IF(COUNT(LO10)=0,0,LO10),$B$13*IF(COUNT(LO13)=0,0,LO13),$B$16*IF(COUNT(LO16)=0,0,LO16),$B$20*IF(COUNT(LO20)=0,0,LO20))/SUM($B$4*COUNT(LO4),$B$10*COUNT(LO10),$B$13*COUNT(LO13),$B$16*COUNT(LO16),$B$20*COUNT(LO20)))</f>
        <v>2.75</v>
      </c>
      <c r="LP22" s="176">
        <f>IF(LO22="","",LO22*5)</f>
        <v>13.75</v>
      </c>
      <c r="LQ22" s="62"/>
      <c r="LR22" s="62"/>
      <c r="LS22" s="62"/>
      <c r="LT22" s="62"/>
      <c r="LU22" s="62"/>
      <c r="LV22" s="62"/>
      <c r="LW22" s="169">
        <f>IF(COUNT(LW20,LW16,LW13,LW10,LW4)=0,"",SUM($B$4*IF(COUNT(LW4)=0,0,LW4),$B$10*IF(COUNT(LW10)=0,0,LW10),$B$13*IF(COUNT(LW13)=0,0,LW13),$B$16*IF(COUNT(LW16)=0,0,LW16),$B$20*IF(COUNT(LW20)=0,0,LW20))/SUM($B$4*COUNT(LW4),$B$10*COUNT(LW10),$B$13*COUNT(LW13),$B$16*COUNT(LW16),$B$20*COUNT(LW20)))</f>
        <v>2.4166666666666665</v>
      </c>
      <c r="LX22" s="193">
        <f>IF(LW22="","",LW22*5)</f>
        <v>12.083333333333332</v>
      </c>
      <c r="LY22" s="156"/>
      <c r="LZ22" s="156"/>
      <c r="MA22" s="131"/>
      <c r="MB22" s="131"/>
      <c r="MC22" s="131"/>
      <c r="MD22" s="169">
        <f>IF(COUNT(MD20,MD16,MD13,MD10,MD4)=0,"",SUM($B$4*IF(COUNT(MD4)=0,0,MD4),$B$10*IF(COUNT(MD10)=0,0,MD10),$B$13*IF(COUNT(MD13)=0,0,MD13),$B$16*IF(COUNT(MD16)=0,0,MD16),$B$20*IF(COUNT(MD20)=0,0,MD20))/SUM($B$4*COUNT(MD4),$B$10*COUNT(MD10),$B$13*COUNT(MD13),$B$16*COUNT(MD16),$B$20*COUNT(MD20)))</f>
        <v>2.2083333333333335</v>
      </c>
      <c r="ME22" s="170">
        <f>IF(MD22="","",MD22*5)</f>
        <v>11.041666666666668</v>
      </c>
      <c r="MF22" s="62"/>
      <c r="MG22" s="62"/>
      <c r="MH22" s="62"/>
      <c r="MI22" s="62"/>
      <c r="MJ22" s="169">
        <f>IF(COUNT(MJ20,MJ16,MJ13,MJ10,MJ4)=0,"",SUM($B$4*IF(COUNT(MJ4)=0,0,MJ4),$B$10*IF(COUNT(MJ10)=0,0,MJ10),$B$13*IF(COUNT(MJ13)=0,0,MJ13),$B$16*IF(COUNT(MJ16)=0,0,MJ16),$B$20*IF(COUNT(MJ20)=0,0,MJ20))/SUM($B$4*COUNT(MJ4),$B$10*COUNT(MJ10),$B$13*COUNT(MJ13),$B$16*COUNT(MJ16),$B$20*COUNT(MJ20)))</f>
        <v>2</v>
      </c>
      <c r="MK22" s="176">
        <f>IF(MJ22="","",MJ22*5)</f>
        <v>10</v>
      </c>
      <c r="ML22" s="62"/>
      <c r="MM22" s="62"/>
      <c r="MN22" s="62"/>
      <c r="MO22" s="62"/>
      <c r="MP22" s="62"/>
      <c r="MQ22" s="62"/>
      <c r="MR22" s="169">
        <f>IF(COUNT(MR20,MR16,MR13,MR10,MR4)=0,"",SUM($B$4*IF(COUNT(MR4)=0,0,MR4),$B$10*IF(COUNT(MR10)=0,0,MR10),$B$13*IF(COUNT(MR13)=0,0,MR13),$B$16*IF(COUNT(MR16)=0,0,MR16),$B$20*IF(COUNT(MR20)=0,0,MR20))/SUM($B$4*COUNT(MR4),$B$10*COUNT(MR10),$B$13*COUNT(MR13),$B$16*COUNT(MR16),$B$20*COUNT(MR20)))</f>
        <v>2.5416666666666665</v>
      </c>
      <c r="MS22" s="193">
        <f>IF(MR22="","",MR22*5)</f>
        <v>12.708333333333332</v>
      </c>
      <c r="MT22" s="156"/>
      <c r="MU22" s="156"/>
      <c r="MV22" s="131"/>
      <c r="MW22" s="131"/>
      <c r="MX22" s="131"/>
      <c r="MY22" s="169">
        <f>IF(COUNT(MY20,MY16,MY13,MY10,MY4)=0,"",SUM($B$4*IF(COUNT(MY4)=0,0,MY4),$B$10*IF(COUNT(MY10)=0,0,MY10),$B$13*IF(COUNT(MY13)=0,0,MY13),$B$16*IF(COUNT(MY16)=0,0,MY16),$B$20*IF(COUNT(MY20)=0,0,MY20))/SUM($B$4*COUNT(MY4),$B$10*COUNT(MY10),$B$13*COUNT(MY13),$B$16*COUNT(MY16),$B$20*COUNT(MY20)))</f>
        <v>2.2083333333333335</v>
      </c>
      <c r="MZ22" s="170">
        <f>IF(MY22="","",MY22*5)</f>
        <v>11.041666666666668</v>
      </c>
      <c r="NA22" s="62"/>
      <c r="NB22" s="62"/>
      <c r="NC22" s="62"/>
      <c r="ND22" s="62"/>
      <c r="NE22" s="169">
        <f>IF(COUNT(NE20,NE16,NE13,NE10,NE4)=0,"",SUM($B$4*IF(COUNT(NE4)=0,0,NE4),$B$10*IF(COUNT(NE10)=0,0,NE10),$B$13*IF(COUNT(NE13)=0,0,NE13),$B$16*IF(COUNT(NE16)=0,0,NE16),$B$20*IF(COUNT(NE20)=0,0,NE20))/SUM($B$4*COUNT(NE4),$B$10*COUNT(NE10),$B$13*COUNT(NE13),$B$16*COUNT(NE16),$B$20*COUNT(NE20)))</f>
        <v>2.25</v>
      </c>
      <c r="NF22" s="176">
        <f>IF(NE22="","",NE22*5)</f>
        <v>11.25</v>
      </c>
      <c r="NG22" s="62"/>
      <c r="NH22" s="62"/>
      <c r="NI22" s="62"/>
      <c r="NJ22" s="62"/>
      <c r="NK22" s="62"/>
      <c r="NL22" s="62"/>
      <c r="NM22" s="169">
        <f>IF(COUNT(NM20,NM16,NM13,NM10,NM4)=0,"",SUM($B$4*IF(COUNT(NM4)=0,0,NM4),$B$10*IF(COUNT(NM10)=0,0,NM10),$B$13*IF(COUNT(NM13)=0,0,NM13),$B$16*IF(COUNT(NM16)=0,0,NM16),$B$20*IF(COUNT(NM20)=0,0,NM20))/SUM($B$4*COUNT(NM4),$B$10*COUNT(NM10),$B$13*COUNT(NM13),$B$16*COUNT(NM16),$B$20*COUNT(NM20)))</f>
        <v>2.6666666666666665</v>
      </c>
      <c r="NN22" s="193">
        <f>IF(NM22="","",NM22*5)</f>
        <v>13.333333333333332</v>
      </c>
      <c r="NO22" s="156"/>
      <c r="NP22" s="156"/>
      <c r="NQ22" s="131"/>
      <c r="NR22" s="131"/>
      <c r="NS22" s="131"/>
      <c r="NT22" s="169">
        <f>IF(COUNT(NT20,NT16,NT13,NT10,NT4)=0,"",SUM($B$4*IF(COUNT(NT4)=0,0,NT4),$B$10*IF(COUNT(NT10)=0,0,NT10),$B$13*IF(COUNT(NT13)=0,0,NT13),$B$16*IF(COUNT(NT16)=0,0,NT16),$B$20*IF(COUNT(NT20)=0,0,NT20))/SUM($B$4*COUNT(NT4),$B$10*COUNT(NT10),$B$13*COUNT(NT13),$B$16*COUNT(NT16),$B$20*COUNT(NT20)))</f>
        <v>3.125</v>
      </c>
      <c r="NU22" s="170">
        <f>IF(NT22="","",NT22*5)</f>
        <v>15.625</v>
      </c>
      <c r="NV22" s="62"/>
      <c r="NW22" s="62"/>
      <c r="NX22" s="62"/>
      <c r="NY22" s="62"/>
      <c r="NZ22" s="169">
        <f>IF(COUNT(NZ20,NZ16,NZ13,NZ10,NZ4)=0,"",SUM($B$4*IF(COUNT(NZ4)=0,0,NZ4),$B$10*IF(COUNT(NZ10)=0,0,NZ10),$B$13*IF(COUNT(NZ13)=0,0,NZ13),$B$16*IF(COUNT(NZ16)=0,0,NZ16),$B$20*IF(COUNT(NZ20)=0,0,NZ20))/SUM($B$4*COUNT(NZ4),$B$10*COUNT(NZ10),$B$13*COUNT(NZ13),$B$16*COUNT(NZ16),$B$20*COUNT(NZ20)))</f>
        <v>3.25</v>
      </c>
      <c r="OA22" s="176">
        <f>IF(NZ22="","",NZ22*5)</f>
        <v>16.25</v>
      </c>
      <c r="OB22" s="62"/>
      <c r="OC22" s="62"/>
      <c r="OD22" s="62"/>
      <c r="OE22" s="62"/>
      <c r="OF22" s="62"/>
      <c r="OG22" s="62"/>
      <c r="OH22" s="169">
        <f>IF(COUNT(OH20,OH16,OH13,OH10,OH4)=0,"",SUM($B$4*IF(COUNT(OH4)=0,0,OH4),$B$10*IF(COUNT(OH10)=0,0,OH10),$B$13*IF(COUNT(OH13)=0,0,OH13),$B$16*IF(COUNT(OH16)=0,0,OH16),$B$20*IF(COUNT(OH20)=0,0,OH20))/SUM($B$4*COUNT(OH4),$B$10*COUNT(OH10),$B$13*COUNT(OH13),$B$16*COUNT(OH16),$B$20*COUNT(OH20)))</f>
        <v>2.7708333333333335</v>
      </c>
      <c r="OI22" s="193">
        <f>IF(OH22="","",OH22*5)</f>
        <v>13.854166666666668</v>
      </c>
      <c r="OJ22" s="156"/>
      <c r="OK22" s="156"/>
      <c r="OL22" s="131"/>
      <c r="OM22" s="131"/>
      <c r="ON22" s="131"/>
      <c r="OO22" s="169">
        <f>IF(COUNT(OO20,OO16,OO13,OO10,OO4)=0,"",SUM($B$4*IF(COUNT(OO4)=0,0,OO4),$B$10*IF(COUNT(OO10)=0,0,OO10),$B$13*IF(COUNT(OO13)=0,0,OO13),$B$16*IF(COUNT(OO16)=0,0,OO16),$B$20*IF(COUNT(OO20)=0,0,OO20))/SUM($B$4*COUNT(OO4),$B$10*COUNT(OO10),$B$13*COUNT(OO13),$B$16*COUNT(OO16),$B$20*COUNT(OO20)))</f>
        <v>2.5833333333333335</v>
      </c>
      <c r="OP22" s="170">
        <f>IF(OO22="","",OO22*5)</f>
        <v>12.916666666666668</v>
      </c>
      <c r="OQ22" s="62"/>
      <c r="OR22" s="62"/>
      <c r="OS22" s="62"/>
      <c r="OT22" s="62"/>
      <c r="OU22" s="169">
        <f>IF(COUNT(OU20,OU16,OU13,OU10,OU4)=0,"",SUM($B$4*IF(COUNT(OU4)=0,0,OU4),$B$10*IF(COUNT(OU10)=0,0,OU10),$B$13*IF(COUNT(OU13)=0,0,OU13),$B$16*IF(COUNT(OU16)=0,0,OU16),$B$20*IF(COUNT(OU20)=0,0,OU20))/SUM($B$4*COUNT(OU4),$B$10*COUNT(OU10),$B$13*COUNT(OU13),$B$16*COUNT(OU16),$B$20*COUNT(OU20)))</f>
        <v>2.5</v>
      </c>
      <c r="OV22" s="176">
        <f>IF(OU22="","",OU22*5)</f>
        <v>12.5</v>
      </c>
      <c r="OW22" s="62"/>
      <c r="OX22" s="62"/>
      <c r="OY22" s="62"/>
      <c r="OZ22" s="62"/>
      <c r="PA22" s="62"/>
      <c r="PB22" s="62"/>
      <c r="PC22" s="169">
        <f>IF(COUNT(PC20,PC16,PC13,PC10,PC4)=0,"",SUM($B$4*IF(COUNT(PC4)=0,0,PC4),$B$10*IF(COUNT(PC10)=0,0,PC10),$B$13*IF(COUNT(PC13)=0,0,PC13),$B$16*IF(COUNT(PC16)=0,0,PC16),$B$20*IF(COUNT(PC20)=0,0,PC20))/SUM($B$4*COUNT(PC4),$B$10*COUNT(PC10),$B$13*COUNT(PC13),$B$16*COUNT(PC16),$B$20*COUNT(PC20)))</f>
        <v>2.75</v>
      </c>
      <c r="PD22" s="193">
        <f>IF(PC22="","",PC22*5)</f>
        <v>13.75</v>
      </c>
      <c r="PE22" s="156"/>
      <c r="PF22" s="156"/>
      <c r="PG22" s="131"/>
      <c r="PH22" s="131"/>
      <c r="PI22" s="131"/>
      <c r="PJ22" s="169">
        <f>IF(COUNT(PJ20,PJ16,PJ13,PJ10,PJ4)=0,"",SUM($B$4*IF(COUNT(PJ4)=0,0,PJ4),$B$10*IF(COUNT(PJ10)=0,0,PJ10),$B$13*IF(COUNT(PJ13)=0,0,PJ13),$B$16*IF(COUNT(PJ16)=0,0,PJ16),$B$20*IF(COUNT(PJ20)=0,0,PJ20))/SUM($B$4*COUNT(PJ4),$B$10*COUNT(PJ10),$B$13*COUNT(PJ13),$B$16*COUNT(PJ16),$B$20*COUNT(PJ20)))</f>
        <v>1.6666666666666667</v>
      </c>
      <c r="PK22" s="170">
        <f>IF(PJ22="","",PJ22*5)</f>
        <v>8.3333333333333339</v>
      </c>
      <c r="PL22" s="62"/>
      <c r="PM22" s="62"/>
      <c r="PN22" s="62"/>
      <c r="PO22" s="62"/>
      <c r="PP22" s="169">
        <f>IF(COUNT(PP20,PP16,PP13,PP10,PP4)=0,"",SUM($B$4*IF(COUNT(PP4)=0,0,PP4),$B$10*IF(COUNT(PP10)=0,0,PP10),$B$13*IF(COUNT(PP13)=0,0,PP13),$B$16*IF(COUNT(PP16)=0,0,PP16),$B$20*IF(COUNT(PP20)=0,0,PP20))/SUM($B$4*COUNT(PP4),$B$10*COUNT(PP10),$B$13*COUNT(PP13),$B$16*COUNT(PP16),$B$20*COUNT(PP20)))</f>
        <v>2.75</v>
      </c>
      <c r="PQ22" s="176">
        <f>IF(PP22="","",PP22*5)</f>
        <v>13.75</v>
      </c>
      <c r="PR22" s="62"/>
      <c r="PS22" s="62"/>
      <c r="PT22" s="62"/>
      <c r="PU22" s="62"/>
      <c r="PV22" s="62"/>
      <c r="PW22" s="62"/>
      <c r="PX22" s="169">
        <f>IF(COUNT(PX20,PX16,PX13,PX10,PX4)=0,"",SUM($B$4*IF(COUNT(PX4)=0,0,PX4),$B$10*IF(COUNT(PX10)=0,0,PX10),$B$13*IF(COUNT(PX13)=0,0,PX13),$B$16*IF(COUNT(PX16)=0,0,PX16),$B$20*IF(COUNT(PX20)=0,0,PX20))/SUM($B$4*COUNT(PX4),$B$10*COUNT(PX10),$B$13*COUNT(PX13),$B$16*COUNT(PX16),$B$20*COUNT(PX20)))</f>
        <v>2.7708333333333335</v>
      </c>
      <c r="PY22" s="193">
        <f>IF(PX22="","",PX22*5)</f>
        <v>13.854166666666668</v>
      </c>
      <c r="PZ22" s="156"/>
      <c r="QA22" s="156"/>
      <c r="QB22" s="131"/>
      <c r="QC22" s="131"/>
      <c r="QD22" s="131"/>
      <c r="QE22" s="169">
        <f>IF(COUNT(QE20,QE16,QE13,QE10,QE4)=0,"",SUM($B$4*IF(COUNT(QE4)=0,0,QE4),$B$10*IF(COUNT(QE10)=0,0,QE10),$B$13*IF(COUNT(QE13)=0,0,QE13),$B$16*IF(COUNT(QE16)=0,0,QE16),$B$20*IF(COUNT(QE20)=0,0,QE20))/SUM($B$4*COUNT(QE4),$B$10*COUNT(QE10),$B$13*COUNT(QE13),$B$16*COUNT(QE16),$B$20*COUNT(QE20)))</f>
        <v>2.4583333333333335</v>
      </c>
      <c r="QF22" s="170">
        <f>IF(QE22="","",QE22*5)</f>
        <v>12.291666666666668</v>
      </c>
      <c r="QG22" s="62"/>
      <c r="QH22" s="62"/>
      <c r="QI22" s="62"/>
      <c r="QJ22" s="62"/>
      <c r="QK22" s="169" t="str">
        <f>IF(COUNT(QK20,QK16,QK13,QK10,QK4)=0,"",SUM($B$4*IF(COUNT(QK4)=0,0,QK4),$B$10*IF(COUNT(QK10)=0,0,QK10),$B$13*IF(COUNT(QK13)=0,0,QK13),$B$16*IF(COUNT(QK16)=0,0,QK16),$B$20*IF(COUNT(QK20)=0,0,QK20))/SUM($B$4*COUNT(QK4),$B$10*COUNT(QK10),$B$13*COUNT(QK13),$B$16*COUNT(QK16),$B$20*COUNT(QK20)))</f>
        <v/>
      </c>
      <c r="QL22" s="176" t="str">
        <f>IF(QK22="","",QK22*5)</f>
        <v/>
      </c>
      <c r="QM22" s="62"/>
      <c r="QN22" s="62"/>
      <c r="QO22" s="62"/>
      <c r="QP22" s="62"/>
      <c r="QQ22" s="62"/>
      <c r="QR22" s="62"/>
      <c r="QS22" s="169">
        <f>IF(COUNT(QS20,QS16,QS13,QS10,QS4)=0,"",SUM($B$4*IF(COUNT(QS4)=0,0,QS4),$B$10*IF(COUNT(QS10)=0,0,QS10),$B$13*IF(COUNT(QS13)=0,0,QS13),$B$16*IF(COUNT(QS16)=0,0,QS16),$B$20*IF(COUNT(QS20)=0,0,QS20))/SUM($B$4*COUNT(QS4),$B$10*COUNT(QS10),$B$13*COUNT(QS13),$B$16*COUNT(QS16),$B$20*COUNT(QS20)))</f>
        <v>3</v>
      </c>
      <c r="QT22" s="193">
        <f>IF(QS22="","",QS22*5)</f>
        <v>15</v>
      </c>
      <c r="QU22" s="156"/>
      <c r="QV22" s="156"/>
      <c r="QW22" s="131"/>
      <c r="QX22" s="131"/>
      <c r="QY22" s="131"/>
      <c r="QZ22" s="169">
        <f>IF(COUNT(QZ20,QZ16,QZ13,QZ10,QZ4)=0,"",SUM($B$4*IF(COUNT(QZ4)=0,0,QZ4),$B$10*IF(COUNT(QZ10)=0,0,QZ10),$B$13*IF(COUNT(QZ13)=0,0,QZ13),$B$16*IF(COUNT(QZ16)=0,0,QZ16),$B$20*IF(COUNT(QZ20)=0,0,QZ20))/SUM($B$4*COUNT(QZ4),$B$10*COUNT(QZ10),$B$13*COUNT(QZ13),$B$16*COUNT(QZ16),$B$20*COUNT(QZ20)))</f>
        <v>2.5416666666666665</v>
      </c>
      <c r="RA22" s="170">
        <f>IF(QZ22="","",QZ22*5)</f>
        <v>12.708333333333332</v>
      </c>
      <c r="RB22" s="62"/>
      <c r="RC22" s="62"/>
      <c r="RD22" s="62"/>
      <c r="RE22" s="62"/>
      <c r="RF22" s="169">
        <f>IF(COUNT(RF20,RF16,RF13,RF10,RF4)=0,"",SUM($B$4*IF(COUNT(RF4)=0,0,RF4),$B$10*IF(COUNT(RF10)=0,0,RF10),$B$13*IF(COUNT(RF13)=0,0,RF13),$B$16*IF(COUNT(RF16)=0,0,RF16),$B$20*IF(COUNT(RF20)=0,0,RF20))/SUM($B$4*COUNT(RF4),$B$10*COUNT(RF10),$B$13*COUNT(RF13),$B$16*COUNT(RF16),$B$20*COUNT(RF20)))</f>
        <v>3.25</v>
      </c>
      <c r="RG22" s="176">
        <f>IF(RF22="","",RF22*5)</f>
        <v>16.25</v>
      </c>
      <c r="RH22" s="62"/>
      <c r="RI22" s="62"/>
      <c r="RJ22" s="62"/>
      <c r="RK22" s="62"/>
      <c r="RL22" s="62"/>
      <c r="RM22" s="62"/>
      <c r="RN22" s="169">
        <f>IF(COUNT(RN20,RN16,RN13,RN10,RN4)=0,"",SUM($B$4*IF(COUNT(RN4)=0,0,RN4),$B$10*IF(COUNT(RN10)=0,0,RN10),$B$13*IF(COUNT(RN13)=0,0,RN13),$B$16*IF(COUNT(RN16)=0,0,RN16),$B$20*IF(COUNT(RN20)=0,0,RN20))/SUM($B$4*COUNT(RN4),$B$10*COUNT(RN10),$B$13*COUNT(RN13),$B$16*COUNT(RN16),$B$20*COUNT(RN20)))</f>
        <v>2.8125</v>
      </c>
      <c r="RO22" s="193">
        <f>IF(RN22="","",RN22*5)</f>
        <v>14.0625</v>
      </c>
      <c r="RP22" s="156"/>
      <c r="RQ22" s="156"/>
      <c r="RR22" s="131"/>
      <c r="RS22" s="131"/>
      <c r="RT22" s="131"/>
      <c r="RU22" s="169">
        <f>IF(COUNT(RU20,RU16,RU13,RU10,RU4)=0,"",SUM($B$4*IF(COUNT(RU4)=0,0,RU4),$B$10*IF(COUNT(RU10)=0,0,RU10),$B$13*IF(COUNT(RU13)=0,0,RU13),$B$16*IF(COUNT(RU16)=0,0,RU16),$B$20*IF(COUNT(RU20)=0,0,RU20))/SUM($B$4*COUNT(RU4),$B$10*COUNT(RU10),$B$13*COUNT(RU13),$B$16*COUNT(RU16),$B$20*COUNT(RU20)))</f>
        <v>2.7083333333333335</v>
      </c>
      <c r="RV22" s="170">
        <f>IF(RU22="","",RU22*5)</f>
        <v>13.541666666666668</v>
      </c>
      <c r="RW22" s="62"/>
      <c r="RX22" s="62"/>
      <c r="RY22" s="62"/>
      <c r="RZ22" s="62"/>
      <c r="SA22" s="169">
        <f>IF(COUNT(SA20,SA16,SA13,SA10,SA4)=0,"",SUM($B$4*IF(COUNT(SA4)=0,0,SA4),$B$10*IF(COUNT(SA10)=0,0,SA10),$B$13*IF(COUNT(SA13)=0,0,SA13),$B$16*IF(COUNT(SA16)=0,0,SA16),$B$20*IF(COUNT(SA20)=0,0,SA20))/SUM($B$4*COUNT(SA4),$B$10*COUNT(SA10),$B$13*COUNT(SA13),$B$16*COUNT(SA16),$B$20*COUNT(SA20)))</f>
        <v>2</v>
      </c>
      <c r="SB22" s="176">
        <f>IF(SA22="","",SA22*5)</f>
        <v>10</v>
      </c>
      <c r="SC22" s="62"/>
      <c r="SD22" s="62"/>
      <c r="SE22" s="62"/>
      <c r="SF22" s="62"/>
      <c r="SG22" s="62"/>
      <c r="SH22" s="62"/>
      <c r="SI22" s="169">
        <f>IF(COUNT(SI20,SI16,SI13,SI10,SI4)=0,"",SUM($B$4*IF(COUNT(SI4)=0,0,SI4),$B$10*IF(COUNT(SI10)=0,0,SI10),$B$13*IF(COUNT(SI13)=0,0,SI13),$B$16*IF(COUNT(SI16)=0,0,SI16),$B$20*IF(COUNT(SI20)=0,0,SI20))/SUM($B$4*COUNT(SI4),$B$10*COUNT(SI10),$B$13*COUNT(SI13),$B$16*COUNT(SI16),$B$20*COUNT(SI20)))</f>
        <v>2.5208333333333335</v>
      </c>
      <c r="SJ22" s="193">
        <f>IF(SI22="","",SI22*5)</f>
        <v>12.604166666666668</v>
      </c>
      <c r="SK22" s="156"/>
      <c r="SL22" s="156"/>
      <c r="SM22" s="131"/>
      <c r="SN22" s="131"/>
      <c r="SO22" s="131"/>
      <c r="SP22" s="169">
        <f>IF(COUNT(SP20,SP16,SP13,SP10,SP4)=0,"",SUM($B$4*IF(COUNT(SP4)=0,0,SP4),$B$10*IF(COUNT(SP10)=0,0,SP10),$B$13*IF(COUNT(SP13)=0,0,SP13),$B$16*IF(COUNT(SP16)=0,0,SP16),$B$20*IF(COUNT(SP20)=0,0,SP20))/SUM($B$4*COUNT(SP4),$B$10*COUNT(SP10),$B$13*COUNT(SP13),$B$16*COUNT(SP16),$B$20*COUNT(SP20)))</f>
        <v>2.8333333333333335</v>
      </c>
      <c r="SQ22" s="170">
        <f>IF(SP22="","",SP22*5)</f>
        <v>14.166666666666668</v>
      </c>
      <c r="SR22" s="62"/>
      <c r="SS22" s="62"/>
      <c r="ST22" s="62"/>
      <c r="SU22" s="62"/>
      <c r="SV22" s="169">
        <f>IF(COUNT(SV20,SV16,SV13,SV10,SV4)=0,"",SUM($B$4*IF(COUNT(SV4)=0,0,SV4),$B$10*IF(COUNT(SV10)=0,0,SV10),$B$13*IF(COUNT(SV13)=0,0,SV13),$B$16*IF(COUNT(SV16)=0,0,SV16),$B$20*IF(COUNT(SV20)=0,0,SV20))/SUM($B$4*COUNT(SV4),$B$10*COUNT(SV10),$B$13*COUNT(SV13),$B$16*COUNT(SV16),$B$20*COUNT(SV20)))</f>
        <v>2.5</v>
      </c>
      <c r="SW22" s="176">
        <f>IF(SV22="","",SV22*5)</f>
        <v>12.5</v>
      </c>
      <c r="SX22" s="62"/>
      <c r="SY22" s="62"/>
      <c r="SZ22" s="62"/>
      <c r="TA22" s="62"/>
      <c r="TB22" s="62"/>
      <c r="TC22" s="62"/>
      <c r="TD22" s="169">
        <f>IF(COUNT(TD20,TD16,TD13,TD10,TD4)=0,"",SUM($B$4*IF(COUNT(TD4)=0,0,TD4),$B$10*IF(COUNT(TD10)=0,0,TD10),$B$13*IF(COUNT(TD13)=0,0,TD13),$B$16*IF(COUNT(TD16)=0,0,TD16),$B$20*IF(COUNT(TD20)=0,0,TD20))/SUM($B$4*COUNT(TD4),$B$10*COUNT(TD10),$B$13*COUNT(TD13),$B$16*COUNT(TD16),$B$20*COUNT(TD20)))</f>
        <v>2.9791666666666665</v>
      </c>
      <c r="TE22" s="193">
        <f>IF(TD22="","",TD22*5)</f>
        <v>14.895833333333332</v>
      </c>
      <c r="TF22" s="156"/>
      <c r="TG22" s="156"/>
      <c r="TH22" s="131"/>
      <c r="TI22" s="131"/>
      <c r="TJ22" s="131"/>
      <c r="TK22" s="169">
        <f>IF(COUNT(TK20,TK16,TK13,TK10,TK4)=0,"",SUM($B$4*IF(COUNT(TK4)=0,0,TK4),$B$10*IF(COUNT(TK10)=0,0,TK10),$B$13*IF(COUNT(TK13)=0,0,TK13),$B$16*IF(COUNT(TK16)=0,0,TK16),$B$20*IF(COUNT(TK20)=0,0,TK20))/SUM($B$4*COUNT(TK4),$B$10*COUNT(TK10),$B$13*COUNT(TK13),$B$16*COUNT(TK16),$B$20*COUNT(TK20)))</f>
        <v>2.2083333333333335</v>
      </c>
      <c r="TL22" s="170">
        <f>IF(TK22="","",TK22*5)</f>
        <v>11.041666666666668</v>
      </c>
      <c r="TM22" s="62"/>
      <c r="TN22" s="62"/>
      <c r="TO22" s="62"/>
      <c r="TP22" s="62"/>
      <c r="TQ22" s="169">
        <f>IF(COUNT(TQ20,TQ16,TQ13,TQ10,TQ4)=0,"",SUM($B$4*IF(COUNT(TQ4)=0,0,TQ4),$B$10*IF(COUNT(TQ10)=0,0,TQ10),$B$13*IF(COUNT(TQ13)=0,0,TQ13),$B$16*IF(COUNT(TQ16)=0,0,TQ16),$B$20*IF(COUNT(TQ20)=0,0,TQ20))/SUM($B$4*COUNT(TQ4),$B$10*COUNT(TQ10),$B$13*COUNT(TQ13),$B$16*COUNT(TQ16),$B$20*COUNT(TQ20)))</f>
        <v>1.75</v>
      </c>
      <c r="TR22" s="176">
        <f>IF(TQ22="","",TQ22*5)</f>
        <v>8.75</v>
      </c>
      <c r="TS22" s="62"/>
      <c r="TT22" s="62"/>
      <c r="TU22" s="62"/>
      <c r="TV22" s="62"/>
      <c r="TW22" s="62"/>
      <c r="TX22" s="62"/>
      <c r="TY22" s="169">
        <f>IF(COUNT(TY20,TY16,TY13,TY10,TY4)=0,"",SUM($B$4*IF(COUNT(TY4)=0,0,TY4),$B$10*IF(COUNT(TY10)=0,0,TY10),$B$13*IF(COUNT(TY13)=0,0,TY13),$B$16*IF(COUNT(TY16)=0,0,TY16),$B$20*IF(COUNT(TY20)=0,0,TY20))/SUM($B$4*COUNT(TY4),$B$10*COUNT(TY10),$B$13*COUNT(TY13),$B$16*COUNT(TY16),$B$20*COUNT(TY20)))</f>
        <v>2.8125</v>
      </c>
      <c r="TZ22" s="193">
        <f>IF(TY22="","",TY22*5)</f>
        <v>14.0625</v>
      </c>
      <c r="UA22" s="156"/>
      <c r="UB22" s="156"/>
      <c r="UC22" s="131"/>
      <c r="UD22" s="131"/>
      <c r="UE22" s="131"/>
      <c r="UF22" s="169">
        <f>IF(COUNT(UF20,UF16,UF13,UF10,UF4)=0,"",SUM($B$4*IF(COUNT(UF4)=0,0,UF4),$B$10*IF(COUNT(UF10)=0,0,UF10),$B$13*IF(COUNT(UF13)=0,0,UF13),$B$16*IF(COUNT(UF16)=0,0,UF16),$B$20*IF(COUNT(UF20)=0,0,UF20))/SUM($B$4*COUNT(UF4),$B$10*COUNT(UF10),$B$13*COUNT(UF13),$B$16*COUNT(UF16),$B$20*COUNT(UF20)))</f>
        <v>2.875</v>
      </c>
      <c r="UG22" s="170">
        <f>IF(UF22="","",UF22*5)</f>
        <v>14.375</v>
      </c>
      <c r="UH22" s="62"/>
      <c r="UI22" s="62"/>
      <c r="UJ22" s="62"/>
      <c r="UK22" s="62"/>
      <c r="UL22" s="169">
        <f>IF(COUNT(UL20,UL16,UL13,UL10,UL4)=0,"",SUM($B$4*IF(COUNT(UL4)=0,0,UL4),$B$10*IF(COUNT(UL10)=0,0,UL10),$B$13*IF(COUNT(UL13)=0,0,UL13),$B$16*IF(COUNT(UL16)=0,0,UL16),$B$20*IF(COUNT(UL20)=0,0,UL20))/SUM($B$4*COUNT(UL4),$B$10*COUNT(UL10),$B$13*COUNT(UL13),$B$16*COUNT(UL16),$B$20*COUNT(UL20)))</f>
        <v>2</v>
      </c>
      <c r="UM22" s="176">
        <f>IF(UL22="","",UL22*5)</f>
        <v>10</v>
      </c>
      <c r="UN22" s="62"/>
      <c r="UO22" s="62"/>
      <c r="UP22" s="62"/>
      <c r="UQ22" s="62"/>
      <c r="UR22" s="62"/>
      <c r="US22" s="62"/>
      <c r="UT22" s="169">
        <f>IF(COUNT(UT20,UT16,UT13,UT10,UT4)=0,"",SUM($B$4*IF(COUNT(UT4)=0,0,UT4),$B$10*IF(COUNT(UT10)=0,0,UT10),$B$13*IF(COUNT(UT13)=0,0,UT13),$B$16*IF(COUNT(UT16)=0,0,UT16),$B$20*IF(COUNT(UT20)=0,0,UT20))/SUM($B$4*COUNT(UT4),$B$10*COUNT(UT10),$B$13*COUNT(UT13),$B$16*COUNT(UT16),$B$20*COUNT(UT20)))</f>
        <v>3.0416666666666665</v>
      </c>
      <c r="UU22" s="193">
        <f>IF(UT22="","",UT22*5)</f>
        <v>15.208333333333332</v>
      </c>
      <c r="UV22" s="156"/>
      <c r="UW22" s="156"/>
      <c r="UX22" s="131"/>
      <c r="UY22" s="131"/>
      <c r="UZ22" s="131"/>
      <c r="VA22" s="169">
        <f>IF(COUNT(VA20,VA16,VA13,VA10,VA4)=0,"",SUM($B$4*IF(COUNT(VA4)=0,0,VA4),$B$10*IF(COUNT(VA10)=0,0,VA10),$B$13*IF(COUNT(VA13)=0,0,VA13),$B$16*IF(COUNT(VA16)=0,0,VA16),$B$20*IF(COUNT(VA20)=0,0,VA20))/SUM($B$4*COUNT(VA4),$B$10*COUNT(VA10),$B$13*COUNT(VA13),$B$16*COUNT(VA16),$B$20*COUNT(VA20)))</f>
        <v>3.2083333333333335</v>
      </c>
      <c r="VB22" s="170">
        <f>IF(VA22="","",VA22*5)</f>
        <v>16.041666666666668</v>
      </c>
      <c r="VC22" s="62"/>
      <c r="VD22" s="62"/>
      <c r="VE22" s="62"/>
      <c r="VF22" s="62"/>
      <c r="VG22" s="169">
        <f>IF(COUNT(VG20,VG16,VG13,VG10,VG4)=0,"",SUM($B$4*IF(COUNT(VG4)=0,0,VG4),$B$10*IF(COUNT(VG10)=0,0,VG10),$B$13*IF(COUNT(VG13)=0,0,VG13),$B$16*IF(COUNT(VG16)=0,0,VG16),$B$20*IF(COUNT(VG20)=0,0,VG20))/SUM($B$4*COUNT(VG4),$B$10*COUNT(VG10),$B$13*COUNT(VG13),$B$16*COUNT(VG16),$B$20*COUNT(VG20)))</f>
        <v>3.75</v>
      </c>
      <c r="VH22" s="176">
        <f>IF(VG22="","",VG22*5)</f>
        <v>18.75</v>
      </c>
      <c r="VI22" s="62"/>
      <c r="VJ22" s="62"/>
      <c r="VK22" s="62"/>
      <c r="VL22" s="62"/>
      <c r="VM22" s="62"/>
      <c r="VN22" s="62"/>
      <c r="VO22" s="169">
        <f>IF(COUNT(VO20,VO16,VO13,VO10,VO4)=0,"",SUM($B$4*IF(COUNT(VO4)=0,0,VO4),$B$10*IF(COUNT(VO10)=0,0,VO10),$B$13*IF(COUNT(VO13)=0,0,VO13),$B$16*IF(COUNT(VO16)=0,0,VO16),$B$20*IF(COUNT(VO20)=0,0,VO20))/SUM($B$4*COUNT(VO4),$B$10*COUNT(VO10),$B$13*COUNT(VO13),$B$16*COUNT(VO16),$B$20*COUNT(VO20)))</f>
        <v>3.1041666666666665</v>
      </c>
      <c r="VP22" s="193">
        <f>IF(VO22="","",VO22*5)</f>
        <v>15.520833333333332</v>
      </c>
      <c r="VQ22" s="156"/>
      <c r="VR22" s="156"/>
      <c r="VS22" s="131"/>
      <c r="VT22" s="131"/>
      <c r="VU22" s="131"/>
      <c r="VV22" s="132" t="str">
        <f>IF(COUNT(VV20,VV16,VV13,VV10,VV4)=0,"",SUM($B$4*IF(COUNT(VV4)=0,0,VV4),$B$10*IF(COUNT(VV10)=0,0,VV10),$B$13*IF(COUNT(VV13)=0,0,VV13),$B$16*IF(COUNT(VV16)=0,0,VV16),$B$20*IF(COUNT(VV20)=0,0,VV20))/SUM($B$4*COUNT(VV4),$B$10*COUNT(VV10),$B$13*COUNT(VV13),$B$16*COUNT(VV16),$B$20*COUNT(VV20)))</f>
        <v/>
      </c>
      <c r="VW22" s="133" t="str">
        <f>IF(VV22="","",VV22*5)</f>
        <v/>
      </c>
      <c r="VX22" s="62"/>
      <c r="VY22" s="62"/>
      <c r="VZ22" s="62"/>
      <c r="WA22" s="132" t="str">
        <f>IF(COUNT(WA20,WA16,WA13,WA10,WA4)=0,"",SUM($B$4*IF(COUNT(WA4)=0,0,WA4),$B$10*IF(COUNT(WA10)=0,0,WA10),$B$13*IF(COUNT(WA13)=0,0,WA13),$B$16*IF(COUNT(WA16)=0,0,WA16),$B$20*IF(COUNT(WA20)=0,0,WA20))/SUM($B$4*COUNT(WA4),$B$10*COUNT(WA10),$B$13*COUNT(WA13),$B$16*COUNT(WA16),$B$20*COUNT(WA20)))</f>
        <v/>
      </c>
      <c r="WB22" s="134" t="str">
        <f>IF(WA22="","",WA22*5)</f>
        <v/>
      </c>
      <c r="WC22" s="62"/>
      <c r="WD22" s="62"/>
      <c r="WE22" s="62"/>
      <c r="WF22" s="132" t="str">
        <f>IF(COUNT(WF20,WF16,WF13,WF10,WF4)=0,"",SUM($B$4*IF(COUNT(WF4)=0,0,WF4),$B$10*IF(COUNT(WF10)=0,0,WF10),$B$13*IF(COUNT(WF13)=0,0,WF13),$B$16*IF(COUNT(WF16)=0,0,WF16),$B$20*IF(COUNT(WF20)=0,0,WF20))/SUM($B$4*COUNT(WF4),$B$10*COUNT(WF10),$B$13*COUNT(WF13),$B$16*COUNT(WF16),$B$20*COUNT(WF20)))</f>
        <v/>
      </c>
      <c r="WG22" s="135" t="str">
        <f>IF(WF22="","",WF22*5)</f>
        <v/>
      </c>
      <c r="WH22" s="61"/>
      <c r="WI22" s="61"/>
      <c r="WJ22" s="131"/>
      <c r="WK22" s="131"/>
      <c r="WL22" s="131"/>
      <c r="WM22" s="132" t="str">
        <f>IF(COUNT(WM20,WM16,WM13,WM10,WM4)=0,"",SUM($B$4*IF(COUNT(WM4)=0,0,WM4),$B$10*IF(COUNT(WM10)=0,0,WM10),$B$13*IF(COUNT(WM13)=0,0,WM13),$B$16*IF(COUNT(WM16)=0,0,WM16),$B$20*IF(COUNT(WM20)=0,0,WM20))/SUM($B$4*COUNT(WM4),$B$10*COUNT(WM10),$B$13*COUNT(WM13),$B$16*COUNT(WM16),$B$20*COUNT(WM20)))</f>
        <v/>
      </c>
      <c r="WN22" s="133" t="str">
        <f>IF(WM22="","",WM22*5)</f>
        <v/>
      </c>
      <c r="WO22" s="62"/>
      <c r="WP22" s="62"/>
      <c r="WQ22" s="62"/>
      <c r="WR22" s="132" t="str">
        <f>IF(COUNT(WR20,WR16,WR13,WR10,WR4)=0,"",SUM($B$4*IF(COUNT(WR4)=0,0,WR4),$B$10*IF(COUNT(WR10)=0,0,WR10),$B$13*IF(COUNT(WR13)=0,0,WR13),$B$16*IF(COUNT(WR16)=0,0,WR16),$B$20*IF(COUNT(WR20)=0,0,WR20))/SUM($B$4*COUNT(WR4),$B$10*COUNT(WR10),$B$13*COUNT(WR13),$B$16*COUNT(WR16),$B$20*COUNT(WR20)))</f>
        <v/>
      </c>
      <c r="WS22" s="134" t="str">
        <f>IF(WR22="","",WR22*5)</f>
        <v/>
      </c>
      <c r="WT22" s="62"/>
      <c r="WU22" s="62"/>
      <c r="WV22" s="62"/>
      <c r="WW22" s="132" t="str">
        <f>IF(COUNT(WW20,WW16,WW13,WW10,WW4)=0,"",SUM($B$4*IF(COUNT(WW4)=0,0,WW4),$B$10*IF(COUNT(WW10)=0,0,WW10),$B$13*IF(COUNT(WW13)=0,0,WW13),$B$16*IF(COUNT(WW16)=0,0,WW16),$B$20*IF(COUNT(WW20)=0,0,WW20))/SUM($B$4*COUNT(WW4),$B$10*COUNT(WW10),$B$13*COUNT(WW13),$B$16*COUNT(WW16),$B$20*COUNT(WW20)))</f>
        <v/>
      </c>
      <c r="WX22" s="135" t="str">
        <f>IF(WW22="","",WW22*5)</f>
        <v/>
      </c>
      <c r="WY22" s="61"/>
      <c r="WZ22" s="61"/>
    </row>
    <row r="23" spans="1:624" s="136" customFormat="1" ht="16.5" x14ac:dyDescent="0.75">
      <c r="A23" s="146"/>
      <c r="B23" s="146"/>
      <c r="F23" s="146"/>
      <c r="G23" s="146"/>
      <c r="L23" s="146"/>
      <c r="M23" s="146"/>
      <c r="T23" s="146"/>
      <c r="U23" s="146"/>
      <c r="V23" s="172"/>
      <c r="W23" s="172"/>
      <c r="AA23" s="146"/>
      <c r="AB23" s="146"/>
      <c r="AG23" s="146"/>
      <c r="AH23" s="146"/>
      <c r="AO23" s="146"/>
      <c r="AP23" s="146"/>
      <c r="AQ23" s="172"/>
      <c r="AR23" s="172"/>
      <c r="BL23" s="137"/>
      <c r="BM23" s="137"/>
      <c r="CG23" s="137"/>
      <c r="CH23" s="137"/>
      <c r="DB23" s="137"/>
      <c r="DC23" s="137"/>
      <c r="DW23" s="137"/>
      <c r="DX23" s="137"/>
      <c r="ER23" s="137"/>
      <c r="ES23" s="137"/>
      <c r="FM23" s="137"/>
      <c r="FN23" s="137"/>
      <c r="GH23" s="137"/>
      <c r="GI23" s="137"/>
      <c r="HC23" s="137"/>
      <c r="HD23" s="137"/>
      <c r="HX23" s="137"/>
      <c r="HY23" s="137"/>
      <c r="IS23" s="137"/>
      <c r="IT23" s="137"/>
      <c r="JN23" s="137"/>
      <c r="JO23" s="137"/>
      <c r="KI23" s="137"/>
      <c r="KJ23" s="137"/>
      <c r="LD23" s="137"/>
      <c r="LE23" s="137"/>
      <c r="LY23" s="137"/>
      <c r="LZ23" s="137"/>
      <c r="MT23" s="137"/>
      <c r="MU23" s="137"/>
      <c r="NO23" s="137"/>
      <c r="NP23" s="137"/>
      <c r="OJ23" s="137"/>
      <c r="OK23" s="137"/>
      <c r="PE23" s="137"/>
      <c r="PF23" s="137"/>
      <c r="PZ23" s="137"/>
      <c r="QA23" s="137"/>
      <c r="QU23" s="137"/>
      <c r="QV23" s="137"/>
      <c r="RP23" s="137"/>
      <c r="RQ23" s="137"/>
      <c r="SK23" s="137"/>
      <c r="SL23" s="137"/>
      <c r="TF23" s="137"/>
      <c r="TG23" s="137"/>
      <c r="UA23" s="137"/>
      <c r="UB23" s="137"/>
      <c r="UV23" s="137"/>
      <c r="UW23" s="137"/>
      <c r="VQ23" s="137"/>
      <c r="VR23" s="137"/>
      <c r="WH23" s="137"/>
      <c r="WI23" s="137"/>
      <c r="WY23" s="137"/>
      <c r="WZ23" s="137"/>
    </row>
    <row r="24" spans="1:624" ht="16.5" x14ac:dyDescent="0.55000000000000004">
      <c r="A24" s="147"/>
      <c r="B24" s="147"/>
      <c r="C24" s="138"/>
      <c r="D24" s="137"/>
      <c r="E24" s="137"/>
      <c r="F24" s="147"/>
      <c r="G24" s="147"/>
      <c r="I24" s="137"/>
      <c r="J24" s="137"/>
      <c r="K24" s="137"/>
      <c r="N24" s="139"/>
      <c r="O24" s="139"/>
      <c r="P24" s="139"/>
      <c r="Q24" s="139"/>
      <c r="R24" s="139"/>
      <c r="S24" s="139"/>
      <c r="T24" s="171"/>
      <c r="V24" s="147"/>
      <c r="W24" s="147"/>
      <c r="X24" s="138"/>
      <c r="Y24" s="137"/>
      <c r="Z24" s="137"/>
      <c r="AA24" s="147"/>
      <c r="AB24" s="147"/>
      <c r="AD24" s="137"/>
      <c r="AE24" s="137"/>
      <c r="AF24" s="137"/>
      <c r="AI24" s="139"/>
      <c r="AJ24" s="139"/>
      <c r="AK24" s="139"/>
      <c r="AL24" s="139"/>
      <c r="AM24" s="139"/>
      <c r="AN24" s="139"/>
      <c r="AO24" s="171"/>
      <c r="AQ24" s="147"/>
      <c r="AR24" s="147"/>
      <c r="AS24" s="138"/>
      <c r="AT24" s="137"/>
      <c r="AU24" s="137"/>
      <c r="AV24" s="138"/>
      <c r="AW24" s="138"/>
      <c r="AY24" s="137"/>
      <c r="AZ24" s="137"/>
      <c r="BA24" s="137"/>
      <c r="BD24" s="139"/>
      <c r="BE24" s="139"/>
      <c r="BF24" s="139"/>
      <c r="BG24" s="139"/>
      <c r="BH24" s="139"/>
      <c r="BI24" s="139"/>
      <c r="BJ24" s="139"/>
      <c r="BL24" s="138"/>
      <c r="BM24" s="138"/>
      <c r="BN24" s="138"/>
      <c r="BO24" s="137"/>
      <c r="BP24" s="137"/>
      <c r="BQ24" s="138"/>
      <c r="BR24" s="138"/>
      <c r="BT24" s="137"/>
      <c r="BU24" s="137"/>
      <c r="BV24" s="137"/>
      <c r="BY24" s="139"/>
      <c r="BZ24" s="139"/>
      <c r="CA24" s="139"/>
      <c r="CB24" s="139"/>
      <c r="CC24" s="139"/>
      <c r="CD24" s="139"/>
      <c r="CE24" s="139"/>
      <c r="CG24" s="138"/>
      <c r="CH24" s="138"/>
      <c r="CI24" s="138"/>
      <c r="CJ24" s="137"/>
      <c r="CK24" s="137"/>
      <c r="CL24" s="138"/>
      <c r="CM24" s="138"/>
      <c r="CO24" s="137"/>
      <c r="CP24" s="137"/>
      <c r="CQ24" s="137"/>
      <c r="CT24" s="139"/>
      <c r="CU24" s="139"/>
      <c r="CV24" s="139"/>
      <c r="CW24" s="139"/>
      <c r="CX24" s="139"/>
      <c r="CY24" s="139"/>
      <c r="CZ24" s="139"/>
      <c r="DB24" s="138"/>
      <c r="DC24" s="138"/>
      <c r="DD24" s="138"/>
      <c r="DE24" s="137"/>
      <c r="DF24" s="137"/>
      <c r="DG24" s="138"/>
      <c r="DH24" s="138"/>
      <c r="DJ24" s="137"/>
      <c r="DK24" s="137"/>
      <c r="DL24" s="137"/>
      <c r="DO24" s="139"/>
      <c r="DP24" s="139"/>
      <c r="DQ24" s="139"/>
      <c r="DR24" s="139"/>
      <c r="DS24" s="139"/>
      <c r="DT24" s="139"/>
      <c r="DU24" s="139"/>
      <c r="DW24" s="138"/>
      <c r="DX24" s="138"/>
      <c r="DY24" s="138"/>
      <c r="DZ24" s="137"/>
      <c r="EA24" s="137"/>
      <c r="EB24" s="138"/>
      <c r="EC24" s="138"/>
      <c r="EE24" s="137"/>
      <c r="EF24" s="137"/>
      <c r="EG24" s="137"/>
      <c r="EJ24" s="139"/>
      <c r="EK24" s="139"/>
      <c r="EL24" s="139"/>
      <c r="EM24" s="139"/>
      <c r="EN24" s="139"/>
      <c r="EO24" s="139"/>
      <c r="EP24" s="139"/>
      <c r="ER24" s="138"/>
      <c r="ES24" s="138"/>
      <c r="ET24" s="138"/>
      <c r="EU24" s="137"/>
      <c r="EV24" s="137"/>
      <c r="EW24" s="138"/>
      <c r="EX24" s="138"/>
      <c r="EZ24" s="137"/>
      <c r="FA24" s="137"/>
      <c r="FB24" s="137"/>
      <c r="FE24" s="139"/>
      <c r="FF24" s="139"/>
      <c r="FG24" s="139"/>
      <c r="FH24" s="139"/>
      <c r="FI24" s="139"/>
      <c r="FJ24" s="139"/>
      <c r="FK24" s="139"/>
      <c r="FM24" s="138"/>
      <c r="FN24" s="138"/>
      <c r="FO24" s="138"/>
      <c r="FP24" s="137"/>
      <c r="FQ24" s="137"/>
      <c r="FR24" s="138"/>
      <c r="FS24" s="138"/>
      <c r="FU24" s="137"/>
      <c r="FV24" s="137"/>
      <c r="FW24" s="137"/>
      <c r="FZ24" s="139"/>
      <c r="GA24" s="139"/>
      <c r="GB24" s="139"/>
      <c r="GC24" s="139"/>
      <c r="GD24" s="139"/>
      <c r="GE24" s="139"/>
      <c r="GF24" s="139"/>
      <c r="GH24" s="138"/>
      <c r="GI24" s="138"/>
      <c r="GJ24" s="138"/>
      <c r="GK24" s="137"/>
      <c r="GL24" s="137"/>
      <c r="GM24" s="138"/>
      <c r="GN24" s="138"/>
      <c r="GP24" s="137"/>
      <c r="GQ24" s="137"/>
      <c r="GR24" s="137"/>
      <c r="GU24" s="139"/>
      <c r="GV24" s="139"/>
      <c r="GW24" s="139"/>
      <c r="GX24" s="139"/>
      <c r="GY24" s="139"/>
      <c r="GZ24" s="139"/>
      <c r="HA24" s="139"/>
      <c r="HC24" s="138"/>
      <c r="HD24" s="138"/>
      <c r="HE24" s="138"/>
      <c r="HF24" s="137"/>
      <c r="HG24" s="137"/>
      <c r="HH24" s="138"/>
      <c r="HI24" s="138"/>
      <c r="HK24" s="137"/>
      <c r="HL24" s="137"/>
      <c r="HM24" s="137"/>
      <c r="HP24" s="139"/>
      <c r="HQ24" s="139"/>
      <c r="HR24" s="139"/>
      <c r="HS24" s="139"/>
      <c r="HT24" s="139"/>
      <c r="HU24" s="139"/>
      <c r="HV24" s="139"/>
      <c r="HX24" s="138"/>
      <c r="HY24" s="138"/>
      <c r="HZ24" s="138"/>
      <c r="IA24" s="137"/>
      <c r="IB24" s="137"/>
      <c r="IC24" s="138"/>
      <c r="ID24" s="138"/>
      <c r="IF24" s="137"/>
      <c r="IG24" s="137"/>
      <c r="IH24" s="137"/>
      <c r="IK24" s="139"/>
      <c r="IL24" s="139"/>
      <c r="IM24" s="139"/>
      <c r="IN24" s="139"/>
      <c r="IO24" s="139"/>
      <c r="IP24" s="139"/>
      <c r="IQ24" s="139"/>
      <c r="IS24" s="138"/>
      <c r="IT24" s="138"/>
      <c r="IU24" s="138"/>
      <c r="IV24" s="137"/>
      <c r="IW24" s="137"/>
      <c r="IX24" s="138"/>
      <c r="IY24" s="138"/>
      <c r="JA24" s="137"/>
      <c r="JB24" s="137"/>
      <c r="JC24" s="137"/>
      <c r="JF24" s="139"/>
      <c r="JG24" s="139"/>
      <c r="JH24" s="139"/>
      <c r="JI24" s="139"/>
      <c r="JJ24" s="139"/>
      <c r="JK24" s="139"/>
      <c r="JL24" s="139"/>
      <c r="JN24" s="138"/>
      <c r="JO24" s="138"/>
      <c r="JP24" s="138"/>
      <c r="JQ24" s="137"/>
      <c r="JR24" s="137"/>
      <c r="JS24" s="138"/>
      <c r="JT24" s="138"/>
      <c r="JV24" s="137"/>
      <c r="JW24" s="137"/>
      <c r="JX24" s="137"/>
      <c r="KA24" s="139"/>
      <c r="KB24" s="139"/>
      <c r="KC24" s="139"/>
      <c r="KD24" s="139"/>
      <c r="KE24" s="139"/>
      <c r="KF24" s="139"/>
      <c r="KG24" s="139"/>
      <c r="KI24" s="138"/>
      <c r="KJ24" s="138"/>
      <c r="KK24" s="138"/>
      <c r="KL24" s="137"/>
      <c r="KM24" s="137"/>
      <c r="KN24" s="138"/>
      <c r="KO24" s="138"/>
      <c r="KQ24" s="137"/>
      <c r="KR24" s="137"/>
      <c r="KS24" s="137"/>
      <c r="KV24" s="139"/>
      <c r="KW24" s="139"/>
      <c r="KX24" s="139"/>
      <c r="KY24" s="139"/>
      <c r="KZ24" s="139"/>
      <c r="LA24" s="139"/>
      <c r="LB24" s="139"/>
      <c r="LD24" s="138"/>
      <c r="LE24" s="138"/>
      <c r="LF24" s="138"/>
      <c r="LG24" s="137"/>
      <c r="LH24" s="137"/>
      <c r="LI24" s="138"/>
      <c r="LJ24" s="138"/>
      <c r="LL24" s="137"/>
      <c r="LM24" s="137"/>
      <c r="LN24" s="137"/>
      <c r="LQ24" s="139"/>
      <c r="LR24" s="139"/>
      <c r="LS24" s="139"/>
      <c r="LT24" s="139"/>
      <c r="LU24" s="139"/>
      <c r="LV24" s="139"/>
      <c r="LW24" s="139"/>
      <c r="LY24" s="138"/>
      <c r="LZ24" s="138"/>
      <c r="MA24" s="138"/>
      <c r="MB24" s="137"/>
      <c r="MC24" s="137"/>
      <c r="MD24" s="138"/>
      <c r="ME24" s="138"/>
      <c r="MG24" s="137"/>
      <c r="MH24" s="137"/>
      <c r="MI24" s="137"/>
      <c r="ML24" s="139"/>
      <c r="MM24" s="139"/>
      <c r="MN24" s="139"/>
      <c r="MO24" s="139"/>
      <c r="MP24" s="139"/>
      <c r="MQ24" s="139"/>
      <c r="MR24" s="139"/>
      <c r="MT24" s="138"/>
      <c r="MU24" s="138"/>
      <c r="MV24" s="138"/>
      <c r="MW24" s="137"/>
      <c r="MX24" s="137"/>
      <c r="MY24" s="138"/>
      <c r="MZ24" s="138"/>
      <c r="NB24" s="137"/>
      <c r="NC24" s="137"/>
      <c r="ND24" s="137"/>
      <c r="NG24" s="139"/>
      <c r="NH24" s="139"/>
      <c r="NI24" s="139"/>
      <c r="NJ24" s="139"/>
      <c r="NK24" s="139"/>
      <c r="NL24" s="139"/>
      <c r="NM24" s="139"/>
      <c r="NO24" s="138"/>
      <c r="NP24" s="138"/>
      <c r="NQ24" s="138"/>
      <c r="NR24" s="137"/>
      <c r="NS24" s="137"/>
      <c r="NT24" s="138"/>
      <c r="NU24" s="138"/>
      <c r="NW24" s="137"/>
      <c r="NX24" s="137"/>
      <c r="NY24" s="137"/>
      <c r="OB24" s="139"/>
      <c r="OC24" s="139"/>
      <c r="OD24" s="139"/>
      <c r="OE24" s="139"/>
      <c r="OF24" s="139"/>
      <c r="OG24" s="139"/>
      <c r="OH24" s="139"/>
      <c r="OJ24" s="138"/>
      <c r="OK24" s="138"/>
      <c r="OL24" s="138"/>
      <c r="OM24" s="137"/>
      <c r="ON24" s="137"/>
      <c r="OO24" s="138"/>
      <c r="OP24" s="138"/>
      <c r="OR24" s="137"/>
      <c r="OS24" s="137"/>
      <c r="OT24" s="137"/>
      <c r="OW24" s="139"/>
      <c r="OX24" s="139"/>
      <c r="OY24" s="139"/>
      <c r="OZ24" s="139"/>
      <c r="PA24" s="139"/>
      <c r="PB24" s="139"/>
      <c r="PC24" s="139"/>
      <c r="PE24" s="138"/>
      <c r="PF24" s="138"/>
      <c r="PG24" s="138"/>
      <c r="PH24" s="137"/>
      <c r="PI24" s="137"/>
      <c r="PJ24" s="138"/>
      <c r="PK24" s="138"/>
      <c r="PM24" s="137"/>
      <c r="PN24" s="137"/>
      <c r="PO24" s="137"/>
      <c r="PR24" s="139"/>
      <c r="PS24" s="139"/>
      <c r="PT24" s="139"/>
      <c r="PU24" s="139"/>
      <c r="PV24" s="139"/>
      <c r="PW24" s="139"/>
      <c r="PX24" s="139"/>
      <c r="PZ24" s="138"/>
      <c r="QA24" s="138"/>
      <c r="QB24" s="138"/>
      <c r="QC24" s="137"/>
      <c r="QD24" s="137"/>
      <c r="QE24" s="138"/>
      <c r="QF24" s="138"/>
      <c r="QH24" s="137"/>
      <c r="QI24" s="137"/>
      <c r="QJ24" s="137"/>
      <c r="QM24" s="139"/>
      <c r="QN24" s="139"/>
      <c r="QO24" s="139"/>
      <c r="QP24" s="139"/>
      <c r="QQ24" s="139"/>
      <c r="QR24" s="139"/>
      <c r="QS24" s="139"/>
      <c r="QU24" s="138"/>
      <c r="QV24" s="138"/>
      <c r="QW24" s="138"/>
      <c r="QX24" s="137"/>
      <c r="QY24" s="137"/>
      <c r="QZ24" s="138"/>
      <c r="RA24" s="138"/>
      <c r="RC24" s="137"/>
      <c r="RD24" s="137"/>
      <c r="RE24" s="137"/>
      <c r="RH24" s="139"/>
      <c r="RI24" s="139"/>
      <c r="RJ24" s="139"/>
      <c r="RK24" s="139"/>
      <c r="RL24" s="139"/>
      <c r="RM24" s="139"/>
      <c r="RN24" s="139"/>
      <c r="RP24" s="138"/>
      <c r="RQ24" s="138"/>
      <c r="RR24" s="138"/>
      <c r="RS24" s="137"/>
      <c r="RT24" s="137"/>
      <c r="RU24" s="138"/>
      <c r="RV24" s="138"/>
      <c r="RX24" s="137"/>
      <c r="RY24" s="137"/>
      <c r="RZ24" s="137"/>
      <c r="SC24" s="139"/>
      <c r="SD24" s="139"/>
      <c r="SE24" s="139"/>
      <c r="SF24" s="139"/>
      <c r="SG24" s="139"/>
      <c r="SH24" s="139"/>
      <c r="SI24" s="139"/>
      <c r="SK24" s="138"/>
      <c r="SL24" s="138"/>
      <c r="SM24" s="138"/>
      <c r="SN24" s="137"/>
      <c r="SO24" s="137"/>
      <c r="SP24" s="138"/>
      <c r="SQ24" s="138"/>
      <c r="SS24" s="137"/>
      <c r="ST24" s="137"/>
      <c r="SU24" s="137"/>
      <c r="SX24" s="139"/>
      <c r="SY24" s="139"/>
      <c r="SZ24" s="139"/>
      <c r="TA24" s="139"/>
      <c r="TB24" s="139"/>
      <c r="TC24" s="139"/>
      <c r="TD24" s="139"/>
      <c r="TF24" s="138"/>
      <c r="TG24" s="138"/>
      <c r="TH24" s="138"/>
      <c r="TI24" s="137"/>
      <c r="TJ24" s="137"/>
      <c r="TK24" s="138"/>
      <c r="TL24" s="138"/>
      <c r="TN24" s="137"/>
      <c r="TO24" s="137"/>
      <c r="TP24" s="137"/>
      <c r="TS24" s="139"/>
      <c r="TT24" s="139"/>
      <c r="TU24" s="139"/>
      <c r="TV24" s="139"/>
      <c r="TW24" s="139"/>
      <c r="TX24" s="139"/>
      <c r="TY24" s="139"/>
      <c r="UA24" s="138"/>
      <c r="UB24" s="138"/>
      <c r="UC24" s="138"/>
      <c r="UD24" s="137"/>
      <c r="UE24" s="137"/>
      <c r="UF24" s="138"/>
      <c r="UG24" s="138"/>
      <c r="UI24" s="137"/>
      <c r="UJ24" s="137"/>
      <c r="UK24" s="137"/>
      <c r="UN24" s="139"/>
      <c r="UO24" s="139"/>
      <c r="UP24" s="139"/>
      <c r="UQ24" s="139"/>
      <c r="UR24" s="139"/>
      <c r="US24" s="139"/>
      <c r="UT24" s="139"/>
      <c r="UV24" s="138"/>
      <c r="UW24" s="138"/>
      <c r="UX24" s="138"/>
      <c r="UY24" s="137"/>
      <c r="UZ24" s="137"/>
      <c r="VA24" s="138"/>
      <c r="VB24" s="138"/>
      <c r="VD24" s="137"/>
      <c r="VE24" s="137"/>
      <c r="VF24" s="137"/>
      <c r="VI24" s="139"/>
      <c r="VJ24" s="139"/>
      <c r="VK24" s="139"/>
      <c r="VL24" s="139"/>
      <c r="VM24" s="139"/>
      <c r="VN24" s="139"/>
      <c r="VO24" s="139"/>
      <c r="VQ24" s="138"/>
      <c r="VR24" s="138"/>
      <c r="VS24" s="138"/>
      <c r="VT24" s="137"/>
      <c r="VU24" s="137"/>
      <c r="VV24" s="138"/>
      <c r="VW24" s="138"/>
      <c r="VY24" s="137"/>
      <c r="VZ24" s="137"/>
      <c r="WC24" s="139"/>
      <c r="WD24" s="139"/>
      <c r="WE24" s="139"/>
      <c r="WF24" s="139"/>
      <c r="WH24" s="138"/>
      <c r="WI24" s="138"/>
      <c r="WJ24" s="138"/>
      <c r="WK24" s="137"/>
      <c r="WL24" s="137"/>
      <c r="WM24" s="138"/>
      <c r="WN24" s="138"/>
      <c r="WP24" s="137"/>
      <c r="WQ24" s="137"/>
      <c r="WT24" s="64"/>
      <c r="WU24" s="64"/>
      <c r="WV24" s="64"/>
      <c r="WW24" s="64"/>
      <c r="WX24" s="64"/>
      <c r="WY24" s="64"/>
      <c r="WZ24" s="64"/>
    </row>
  </sheetData>
  <sheetProtection algorithmName="SHA-512" hashValue="JZxmHKTrCeR6xr5+rlyFYT4HgAMBzgxEFEH1jLgw8HT5LYLWid8vgGm0Fqe4W72Y0JuQ4sXfJtRpB8o1t4a2ig==" saltValue="Jjq+TgWys/fFBkSAu+wo4Q==" spinCount="100000" sheet="1" insertColumns="0" deleteColumns="0" selectLockedCells="1"/>
  <dataConsolidate/>
  <mergeCells count="15">
    <mergeCell ref="A1:B1"/>
    <mergeCell ref="A5:B5"/>
    <mergeCell ref="A6:B6"/>
    <mergeCell ref="A7:B7"/>
    <mergeCell ref="A8:B8"/>
    <mergeCell ref="A9:B9"/>
    <mergeCell ref="A11:B11"/>
    <mergeCell ref="A12:B12"/>
    <mergeCell ref="A14:B14"/>
    <mergeCell ref="A15:B15"/>
    <mergeCell ref="A17:B17"/>
    <mergeCell ref="A18:B18"/>
    <mergeCell ref="A19:B19"/>
    <mergeCell ref="A21:B21"/>
    <mergeCell ref="A22:B22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ref!$B$3:$B$6</xm:f>
          </x14:formula1>
          <xm:sqref>H5:K9 C5:E9 N5:S9 X5:Z9 AC5:AF9 AI5:AN9 C11:E12 H11:K12 N11:S12 X11:Z12 AC11:AF12 AI11:AN12 C14:E15 H14:K15 N14:S15 X14:Z15 AC14:AF15 AI14:AN15 C17:E19 H17:K19 N17:S19 X17:Z19 AC17:AF19 AI17:AN19 C21:E21 H21:K21 N21:S21 X21:Z21 AC21:AF21 AI21:AN21 SM5:SO9 SR5:SU9 SX5:TC9 SM11:SO12 SR11:SU12 SX11:TC12 SM14:SO15 SR14:SU15 SX14:TC15 SM17:SO19 SR17:SU19 SX17:TC19 SM21:SO21 SR21:SU21 SX21:TC21 TH5:TJ9 TM5:TP9 TS5:TX9 TH11:TJ12 TM11:TP12 TS11:TX12 TH14:TJ15 TM14:TP15 TS14:TX15 TH17:TJ19 TM17:TP19 TS17:TX19 TH21:TJ21 TM21:TP21 TS21:TX21 UX5:UZ9 VC5:VF9 VI5:VN9 UX11:UZ12 VC11:VF12 VI11:VN12 UX14:UZ15 VC14:VF15 VI14:VN15 UX17:UZ19 VC17:VF19 VI17:VN19 UX21:UZ21 VC21:VF21 VI21:VN21 UC5:UE9 UH5:UK9 UN5:US9 UC11:UE12 UH11:UK12 UN11:US12 UC14:UE15 UH14:UK15 UN14:US15 UC17:UE19 UH17:UK19 UN17:US19 UC21:UE21 UH21:UK21 UN21:US21 VS5:VU9 VX5:VZ9 WC5:WE9 VS11:VU12 VX11:VZ12 WC11:WE12 VS14:VU15 VX14:VZ15 WC14:WE15 VS17:VU19 VX17:VZ19 WC17:WE19 VS21:VU21 VX21:VZ21 WC21:WE21 AS5:AU9 AX5:BA9 BD5:BI9 AS11:AU12 AX11:BA12 BD11:BI12 AS14:AU15 AX14:BA15 BD14:BI15 AS17:AU19 AX17:BA19 BD17:BI19 AS21:AU21 AX21:BA21 BD21:BI21 BN5:BP9 BS5:BV9 BY5:CD9 BN11:BP12 BS11:BV12 BY11:CD12 BN14:BP15 BS14:BV15 BY14:CD15 BN17:BP19 BS17:BV19 BY17:CD19 BN21:BP21 BS21:BV21 BY21:CD21 CI5:CK9 CN5:CQ9 CT5:CY9 CI11:CK12 CN11:CQ12 CT11:CY12 CI14:CK15 CN14:CQ15 CT14:CY15 CI17:CK19 CN17:CQ19 CT17:CY19 CI21:CK21 CN21:CQ21 CT21:CY21 DD5:DF9 DI5:DL9 DO5:DT9 DD11:DF12 DI11:DL12 DO11:DT12 DD14:DF15 DI14:DL15 DO14:DT15 DD17:DF19 DI17:DL19 DO17:DT19 DD21:DF21 DI21:DL21 DO21:DT21 DY5:EA9 ED5:EG9 EJ5:EO9 DY11:EA12 ED11:EG12 EJ11:EO12 DY14:EA15 ED14:EG15 EJ14:EO15 DY17:EA19 ED17:EG19 EJ17:EO19 DY21:EA21 ED21:EG21 EJ21:EO21 ET5:EV9 EY5:FB9 FE5:FJ9 ET11:EV12 EY11:FB12 FE11:FJ12 ET14:EV15 EY14:FB15 FE14:FJ15 ET17:EV19 EY17:FB19 FE17:FJ19 ET21:EV21 EY21:FB21 FE21:FJ21 FO5:FQ9 FT5:FW9 FZ5:GE9 FO11:FQ12 FT11:FW12 FZ11:GE12 FO14:FQ15 FT14:FW15 FZ14:GE15 FO17:FQ19 FT17:FW19 FZ17:GE19 FO21:FQ21 FT21:FW21 FZ21:GE21 GJ5:GL9 GO5:GR9 GU5:GZ9 GJ11:GL12 GO11:GR12 GU11:GZ12 GJ14:GL15 GO14:GR15 GU14:GZ15 GJ17:GL19 GO17:GR19 GU17:GZ19 GJ21:GL21 GO21:GR21 GU21:GZ21 HE5:HG9 HJ5:HM9 HP5:HU9 HE11:HG12 HJ11:HM12 HP11:HU12 HE14:HG15 HJ14:HM15 HP14:HU15 HE17:HG19 HJ17:HM19 HP17:HU19 HE21:HG21 HJ21:HM21 HP21:HU21 HZ5:IB9 IE5:IH9 IK5:IP9 HZ11:IB12 IE11:IH12 IK11:IP12 HZ14:IB15 IE14:IH15 IK14:IP15 HZ17:IB19 IE17:IH19 IK17:IP19 HZ21:IB21 IE21:IH21 IK21:IP21 IU5:IW9 IZ5:JC9 JF5:JK9 IU11:IW12 IZ11:JC12 JF11:JK12 IU14:IW15 IZ14:JC15 JF14:JK15 IU17:IW19 IZ17:JC19 JF17:JK19 IU21:IW21 IZ21:JC21 JF21:JK21 JP5:JR9 JU5:JX9 KA5:KF9 JP11:JR12 JU11:JX12 KA11:KF12 JP14:JR15 JU14:JX15 KA14:KF15 JP17:JR19 JU17:JX19 KA17:KF19 JP21:JR21 JU21:JX21 KA21:KF21 KK5:KM9 KP5:KS9 KV5:LA9 KK11:KM12 KP11:KS12 KV11:LA12 KK14:KM15 KP14:KS15 KV14:LA15 KK17:KM19 KP17:KS19 KV17:LA19 KK21:KM21 KP21:KS21 KV21:LA21 LF5:LH9 LK5:LN9 LQ5:LV9 LF11:LH12 LK11:LN12 LQ11:LV12 LF14:LH15 LK14:LN15 LQ14:LV15 LF17:LH19 LK17:LN19 LQ17:LV19 LF21:LH21 LK21:LN21 LQ21:LV21 MA5:MC9 MF5:MI9 ML5:MQ9 MA11:MC12 MF11:MI12 ML11:MQ12 MA14:MC15 MF14:MI15 ML14:MQ15 MA17:MC19 MF17:MI19 ML17:MQ19 MA21:MC21 MF21:MI21 ML21:MQ21 MV5:MX9 NA5:ND9 NG5:NL9 MV11:MX12 NA11:ND12 NG11:NL12 MV14:MX15 NA14:ND15 NG14:NL15 MV17:MX19 NA17:ND19 NG17:NL19 MV21:MX21 NA21:ND21 NG21:NL21 NQ5:NS9 NV5:NY9 OB5:OG9 NQ11:NS12 NV11:NY12 OB11:OG12 NQ14:NS15 NV14:NY15 OB14:OG15 NQ17:NS19 NV17:NY19 OB17:OG19 NQ21:NS21 NV21:NY21 OB21:OG21 OL5:ON9 OQ5:OT9 OW5:PB9 OL11:ON12 OQ11:OT12 OW11:PB12 OL14:ON15 OQ14:OT15 OW14:PB15 OL17:ON19 OQ17:OT19 OW17:PB19 OL21:ON21 OQ21:OT21 OW21:PB21 PG5:PI9 PL5:PO9 PR5:PW9 PG11:PI12 PL11:PO12 PR11:PW12 PG14:PI15 PL14:PO15 PR14:PW15 PG17:PI19 PL17:PO19 PR17:PW19 PG21:PI21 PL21:PO21 PR21:PW21 QB5:QD9 QG5:QJ9 QM5:QR9 QB11:QD12 QG11:QJ12 QM11:QR12 QB14:QD15 QG14:QJ15 QM14:QR15 QB17:QD19 QG17:QJ19 QM17:QR19 QB21:QD21 QG21:QJ21 QM21:QR21 QW5:QY9 RB5:RE9 RH5:RM9 QW11:QY12 RB11:RE12 RH11:RM12 QW14:QY15 RB14:RE15 RH14:RM15 QW17:QY19 RB17:RE19 RH17:RM19 QW21:QY21 RB21:RE21 RH21:RM21 RR5:RT9 RW5:RZ9 SC5:SH9 RR11:RT12 RW11:RZ12 SC11:SH12 RR14:RT15 RW14:RZ15 SC14:SH15 RR17:RT19 RW17:RZ19 SC17:SH19 RR21:RT21 RW21:RZ21 SC21:SH21 WJ5:WL9 WO5:WQ9 WT5:WV9 WJ11:WL12 WO11:WQ12 WT11:WV12 WJ14:WL15 WO14:WQ15 WT14:WV15 WJ17:WL19 WO17:WQ19 WT17:WV19 WJ21:WL21 WO21:WQ21 WT21:WV21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:I29"/>
  <sheetViews>
    <sheetView workbookViewId="0">
      <selection activeCell="A33" sqref="A33"/>
    </sheetView>
  </sheetViews>
  <sheetFormatPr baseColWidth="10" defaultColWidth="11.41796875" defaultRowHeight="14.4" x14ac:dyDescent="0.55000000000000004"/>
  <cols>
    <col min="1" max="1" width="33.68359375" style="9" customWidth="1"/>
    <col min="2" max="2" width="4.68359375" style="9" customWidth="1"/>
    <col min="3" max="3" width="33.68359375" style="9" customWidth="1"/>
    <col min="4" max="4" width="4.68359375" style="9" customWidth="1"/>
    <col min="5" max="5" width="33.68359375" style="9" customWidth="1"/>
    <col min="6" max="6" width="4.68359375" style="9" customWidth="1"/>
    <col min="7" max="7" width="33.68359375" style="9" customWidth="1"/>
    <col min="8" max="8" width="4.68359375" style="9" customWidth="1"/>
    <col min="9" max="9" width="33.68359375" style="9" customWidth="1"/>
    <col min="10" max="10" width="11" style="9" customWidth="1"/>
    <col min="11" max="16384" width="11.41796875" style="9"/>
  </cols>
  <sheetData>
    <row r="1" spans="1:9" s="45" customFormat="1" ht="14.7" thickBot="1" x14ac:dyDescent="0.6">
      <c r="A1" s="44" t="s">
        <v>74</v>
      </c>
      <c r="C1" s="44" t="s">
        <v>75</v>
      </c>
      <c r="E1" s="44" t="s">
        <v>76</v>
      </c>
      <c r="G1" s="44" t="s">
        <v>77</v>
      </c>
      <c r="I1" s="44" t="s">
        <v>78</v>
      </c>
    </row>
    <row r="2" spans="1:9" x14ac:dyDescent="0.55000000000000004">
      <c r="A2" s="46" t="s">
        <v>49</v>
      </c>
      <c r="C2" s="46" t="s">
        <v>79</v>
      </c>
      <c r="E2" s="46" t="s">
        <v>105</v>
      </c>
      <c r="G2" s="46" t="s">
        <v>129</v>
      </c>
      <c r="I2" s="46" t="s">
        <v>153</v>
      </c>
    </row>
    <row r="3" spans="1:9" x14ac:dyDescent="0.55000000000000004">
      <c r="A3" s="46" t="s">
        <v>50</v>
      </c>
      <c r="C3" s="46" t="s">
        <v>80</v>
      </c>
      <c r="E3" s="46" t="s">
        <v>106</v>
      </c>
      <c r="G3" s="46" t="s">
        <v>130</v>
      </c>
      <c r="I3" s="46" t="s">
        <v>154</v>
      </c>
    </row>
    <row r="4" spans="1:9" x14ac:dyDescent="0.55000000000000004">
      <c r="A4" s="46" t="s">
        <v>51</v>
      </c>
      <c r="C4" s="46" t="s">
        <v>81</v>
      </c>
      <c r="E4" s="46" t="s">
        <v>107</v>
      </c>
      <c r="G4" s="46" t="s">
        <v>131</v>
      </c>
      <c r="I4" s="46" t="s">
        <v>155</v>
      </c>
    </row>
    <row r="5" spans="1:9" x14ac:dyDescent="0.55000000000000004">
      <c r="A5" s="46" t="s">
        <v>52</v>
      </c>
      <c r="C5" s="46" t="s">
        <v>82</v>
      </c>
      <c r="E5" s="46" t="s">
        <v>108</v>
      </c>
      <c r="G5" s="46" t="s">
        <v>132</v>
      </c>
      <c r="I5" s="46" t="s">
        <v>156</v>
      </c>
    </row>
    <row r="6" spans="1:9" x14ac:dyDescent="0.55000000000000004">
      <c r="A6" s="46" t="s">
        <v>53</v>
      </c>
      <c r="C6" s="46" t="s">
        <v>83</v>
      </c>
      <c r="E6" s="46" t="s">
        <v>109</v>
      </c>
      <c r="G6" s="46" t="s">
        <v>133</v>
      </c>
      <c r="I6" s="46" t="s">
        <v>157</v>
      </c>
    </row>
    <row r="7" spans="1:9" x14ac:dyDescent="0.55000000000000004">
      <c r="A7" s="46" t="s">
        <v>54</v>
      </c>
      <c r="C7" s="46" t="s">
        <v>84</v>
      </c>
      <c r="E7" s="46" t="s">
        <v>110</v>
      </c>
      <c r="G7" s="46" t="s">
        <v>134</v>
      </c>
      <c r="I7" s="46" t="s">
        <v>158</v>
      </c>
    </row>
    <row r="8" spans="1:9" x14ac:dyDescent="0.55000000000000004">
      <c r="A8" s="46" t="s">
        <v>55</v>
      </c>
      <c r="C8" s="46" t="s">
        <v>85</v>
      </c>
      <c r="E8" s="46" t="s">
        <v>111</v>
      </c>
      <c r="G8" s="46" t="s">
        <v>135</v>
      </c>
      <c r="I8" s="46" t="s">
        <v>159</v>
      </c>
    </row>
    <row r="9" spans="1:9" x14ac:dyDescent="0.55000000000000004">
      <c r="A9" s="46" t="s">
        <v>56</v>
      </c>
      <c r="C9" s="46" t="s">
        <v>86</v>
      </c>
      <c r="E9" s="46" t="s">
        <v>112</v>
      </c>
      <c r="G9" s="46" t="s">
        <v>136</v>
      </c>
      <c r="I9" s="46" t="s">
        <v>160</v>
      </c>
    </row>
    <row r="10" spans="1:9" x14ac:dyDescent="0.55000000000000004">
      <c r="A10" s="46" t="s">
        <v>57</v>
      </c>
      <c r="C10" s="46" t="s">
        <v>87</v>
      </c>
      <c r="E10" s="46" t="s">
        <v>113</v>
      </c>
      <c r="G10" s="46" t="s">
        <v>137</v>
      </c>
      <c r="I10" s="46" t="s">
        <v>161</v>
      </c>
    </row>
    <row r="11" spans="1:9" x14ac:dyDescent="0.55000000000000004">
      <c r="A11" s="46" t="s">
        <v>58</v>
      </c>
      <c r="C11" s="46" t="s">
        <v>88</v>
      </c>
      <c r="E11" s="46" t="s">
        <v>114</v>
      </c>
      <c r="G11" s="46" t="s">
        <v>138</v>
      </c>
      <c r="I11" s="46" t="s">
        <v>162</v>
      </c>
    </row>
    <row r="12" spans="1:9" x14ac:dyDescent="0.55000000000000004">
      <c r="A12" s="46" t="s">
        <v>59</v>
      </c>
      <c r="C12" s="46" t="s">
        <v>89</v>
      </c>
      <c r="E12" s="46" t="s">
        <v>115</v>
      </c>
      <c r="G12" s="46" t="s">
        <v>139</v>
      </c>
      <c r="I12" s="46" t="s">
        <v>163</v>
      </c>
    </row>
    <row r="13" spans="1:9" x14ac:dyDescent="0.55000000000000004">
      <c r="A13" s="46" t="s">
        <v>60</v>
      </c>
      <c r="C13" s="46" t="s">
        <v>90</v>
      </c>
      <c r="E13" s="46" t="s">
        <v>116</v>
      </c>
      <c r="G13" s="46" t="s">
        <v>140</v>
      </c>
      <c r="I13" s="46" t="s">
        <v>164</v>
      </c>
    </row>
    <row r="14" spans="1:9" x14ac:dyDescent="0.55000000000000004">
      <c r="A14" s="46" t="s">
        <v>61</v>
      </c>
      <c r="C14" s="46" t="s">
        <v>91</v>
      </c>
      <c r="E14" s="46" t="s">
        <v>117</v>
      </c>
      <c r="G14" s="46" t="s">
        <v>141</v>
      </c>
      <c r="I14" s="46" t="s">
        <v>165</v>
      </c>
    </row>
    <row r="15" spans="1:9" x14ac:dyDescent="0.55000000000000004">
      <c r="A15" s="46" t="s">
        <v>62</v>
      </c>
      <c r="C15" s="46" t="s">
        <v>92</v>
      </c>
      <c r="E15" s="46" t="s">
        <v>118</v>
      </c>
      <c r="G15" s="46" t="s">
        <v>142</v>
      </c>
      <c r="I15" s="46" t="s">
        <v>166</v>
      </c>
    </row>
    <row r="16" spans="1:9" x14ac:dyDescent="0.55000000000000004">
      <c r="A16" s="46" t="s">
        <v>63</v>
      </c>
      <c r="C16" s="46" t="s">
        <v>93</v>
      </c>
      <c r="E16" s="46" t="s">
        <v>119</v>
      </c>
      <c r="G16" s="46" t="s">
        <v>143</v>
      </c>
      <c r="I16" s="46" t="s">
        <v>167</v>
      </c>
    </row>
    <row r="17" spans="1:9" x14ac:dyDescent="0.55000000000000004">
      <c r="A17" s="46" t="s">
        <v>64</v>
      </c>
      <c r="C17" s="46" t="s">
        <v>94</v>
      </c>
      <c r="E17" s="46" t="s">
        <v>120</v>
      </c>
      <c r="G17" s="46" t="s">
        <v>144</v>
      </c>
      <c r="I17" s="46" t="s">
        <v>168</v>
      </c>
    </row>
    <row r="18" spans="1:9" x14ac:dyDescent="0.55000000000000004">
      <c r="A18" s="46" t="s">
        <v>65</v>
      </c>
      <c r="C18" s="46" t="s">
        <v>95</v>
      </c>
      <c r="E18" s="46" t="s">
        <v>121</v>
      </c>
      <c r="G18" s="46" t="s">
        <v>145</v>
      </c>
      <c r="I18" s="46" t="s">
        <v>169</v>
      </c>
    </row>
    <row r="19" spans="1:9" x14ac:dyDescent="0.55000000000000004">
      <c r="A19" s="46" t="s">
        <v>66</v>
      </c>
      <c r="C19" s="46" t="s">
        <v>96</v>
      </c>
      <c r="E19" s="46" t="s">
        <v>122</v>
      </c>
      <c r="G19" s="46" t="s">
        <v>146</v>
      </c>
      <c r="I19" s="46" t="s">
        <v>170</v>
      </c>
    </row>
    <row r="20" spans="1:9" x14ac:dyDescent="0.55000000000000004">
      <c r="A20" s="46" t="s">
        <v>67</v>
      </c>
      <c r="C20" s="46" t="s">
        <v>97</v>
      </c>
      <c r="E20" s="46" t="s">
        <v>123</v>
      </c>
      <c r="G20" s="46" t="s">
        <v>147</v>
      </c>
      <c r="I20" s="46" t="s">
        <v>171</v>
      </c>
    </row>
    <row r="21" spans="1:9" x14ac:dyDescent="0.55000000000000004">
      <c r="A21" s="46" t="s">
        <v>68</v>
      </c>
      <c r="C21" s="46" t="s">
        <v>98</v>
      </c>
      <c r="E21" s="46" t="s">
        <v>124</v>
      </c>
      <c r="G21" s="46" t="s">
        <v>148</v>
      </c>
      <c r="I21" s="46" t="s">
        <v>172</v>
      </c>
    </row>
    <row r="22" spans="1:9" x14ac:dyDescent="0.55000000000000004">
      <c r="A22" s="46" t="s">
        <v>69</v>
      </c>
      <c r="C22" s="46" t="s">
        <v>99</v>
      </c>
      <c r="E22" s="46" t="s">
        <v>125</v>
      </c>
      <c r="G22" s="46" t="s">
        <v>149</v>
      </c>
      <c r="I22" s="46" t="s">
        <v>173</v>
      </c>
    </row>
    <row r="23" spans="1:9" x14ac:dyDescent="0.55000000000000004">
      <c r="A23" s="46" t="s">
        <v>70</v>
      </c>
      <c r="C23" s="46" t="s">
        <v>100</v>
      </c>
      <c r="E23" s="46" t="s">
        <v>126</v>
      </c>
      <c r="G23" s="46" t="s">
        <v>150</v>
      </c>
      <c r="I23" s="46" t="s">
        <v>174</v>
      </c>
    </row>
    <row r="24" spans="1:9" x14ac:dyDescent="0.55000000000000004">
      <c r="A24" s="46" t="s">
        <v>71</v>
      </c>
      <c r="C24" s="46" t="s">
        <v>101</v>
      </c>
      <c r="E24" s="46" t="s">
        <v>127</v>
      </c>
      <c r="G24" s="46" t="s">
        <v>151</v>
      </c>
      <c r="I24" s="46" t="s">
        <v>175</v>
      </c>
    </row>
    <row r="25" spans="1:9" x14ac:dyDescent="0.55000000000000004">
      <c r="A25" s="46" t="s">
        <v>72</v>
      </c>
      <c r="C25" s="46" t="s">
        <v>102</v>
      </c>
      <c r="E25" s="46" t="s">
        <v>128</v>
      </c>
      <c r="G25" s="46" t="s">
        <v>152</v>
      </c>
      <c r="I25" s="46" t="s">
        <v>176</v>
      </c>
    </row>
    <row r="26" spans="1:9" x14ac:dyDescent="0.55000000000000004">
      <c r="A26" s="46" t="s">
        <v>73</v>
      </c>
      <c r="C26" s="46" t="s">
        <v>103</v>
      </c>
      <c r="I26" s="46" t="s">
        <v>177</v>
      </c>
    </row>
    <row r="27" spans="1:9" x14ac:dyDescent="0.55000000000000004">
      <c r="C27" s="46" t="s">
        <v>104</v>
      </c>
      <c r="I27" s="46" t="s">
        <v>178</v>
      </c>
    </row>
    <row r="28" spans="1:9" x14ac:dyDescent="0.55000000000000004">
      <c r="I28" s="46" t="s">
        <v>179</v>
      </c>
    </row>
    <row r="29" spans="1:9" x14ac:dyDescent="0.55000000000000004">
      <c r="I29" s="46" t="s">
        <v>180</v>
      </c>
    </row>
  </sheetData>
  <sheetProtection algorithmName="SHA-512" hashValue="PzLXDheacdOXPPx3Y6LP3qXmxcb/Q76B0bn5WBopz7MgvJ1F7gkwE3NExLKeYCtihEt8IFLacvcDwAVvmJ4DRg==" saltValue="junR7WScqxT5/7sdB0gSig==" spinCount="100000" sheet="1" selectLockedCell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:P35"/>
  <sheetViews>
    <sheetView workbookViewId="0">
      <selection activeCell="P3" sqref="P3"/>
    </sheetView>
  </sheetViews>
  <sheetFormatPr baseColWidth="10" defaultRowHeight="14.4" x14ac:dyDescent="0.55000000000000004"/>
  <cols>
    <col min="1" max="1" width="4.68359375" customWidth="1"/>
    <col min="2" max="2" width="12.68359375" customWidth="1"/>
    <col min="3" max="3" width="4.68359375" customWidth="1"/>
    <col min="4" max="8" width="12.68359375" customWidth="1"/>
    <col min="9" max="9" width="4.68359375" customWidth="1"/>
    <col min="10" max="11" width="12.68359375" customWidth="1"/>
    <col min="12" max="12" width="4.68359375" customWidth="1"/>
    <col min="13" max="14" width="12.68359375" customWidth="1"/>
    <col min="15" max="15" width="4.68359375" customWidth="1"/>
    <col min="16" max="16" width="12.68359375" customWidth="1"/>
  </cols>
  <sheetData>
    <row r="1" spans="1:16" ht="15" customHeight="1" thickBot="1" x14ac:dyDescent="0.6">
      <c r="A1" s="17"/>
      <c r="B1" s="17"/>
      <c r="C1" s="17"/>
      <c r="D1" s="1"/>
      <c r="E1" s="1"/>
      <c r="F1" s="1"/>
      <c r="G1" s="1"/>
      <c r="H1" s="1"/>
      <c r="I1" s="1"/>
      <c r="J1" s="1"/>
      <c r="K1" s="1"/>
    </row>
    <row r="2" spans="1:16" ht="25" customHeight="1" thickBot="1" x14ac:dyDescent="0.6">
      <c r="A2" s="17"/>
      <c r="B2" s="24" t="s">
        <v>39</v>
      </c>
      <c r="C2" s="1"/>
      <c r="D2" s="25" t="s">
        <v>35</v>
      </c>
      <c r="E2" s="26" t="s">
        <v>31</v>
      </c>
      <c r="F2" s="26" t="s">
        <v>32</v>
      </c>
      <c r="G2" s="26" t="s">
        <v>33</v>
      </c>
      <c r="H2" s="27" t="s">
        <v>10</v>
      </c>
      <c r="I2" s="1"/>
      <c r="J2" s="232" t="s">
        <v>43</v>
      </c>
      <c r="K2" s="233"/>
      <c r="M2" s="56" t="s">
        <v>200</v>
      </c>
      <c r="N2" s="57"/>
      <c r="P2" s="59" t="s">
        <v>44</v>
      </c>
    </row>
    <row r="3" spans="1:16" ht="15" customHeight="1" thickBot="1" x14ac:dyDescent="0.6">
      <c r="A3" s="17"/>
      <c r="B3" s="22" t="s">
        <v>27</v>
      </c>
      <c r="C3" s="1"/>
      <c r="D3" s="10">
        <v>1</v>
      </c>
      <c r="E3" s="11">
        <f>N3+4</f>
        <v>7</v>
      </c>
      <c r="F3" s="11">
        <f>E3+N4+2</f>
        <v>13</v>
      </c>
      <c r="G3" s="11">
        <f>F3+N5+2</f>
        <v>21</v>
      </c>
      <c r="H3" s="12">
        <f>G3+2</f>
        <v>23</v>
      </c>
      <c r="I3" s="1"/>
      <c r="J3" s="54" t="s">
        <v>2</v>
      </c>
      <c r="K3" s="55">
        <v>4</v>
      </c>
      <c r="M3" s="54" t="s">
        <v>201</v>
      </c>
      <c r="N3" s="197">
        <v>3</v>
      </c>
      <c r="P3" s="58">
        <f>N3+N4+N5+8</f>
        <v>21</v>
      </c>
    </row>
    <row r="4" spans="1:16" ht="15" customHeight="1" x14ac:dyDescent="0.55000000000000004">
      <c r="A4" s="17"/>
      <c r="B4" s="22" t="s">
        <v>28</v>
      </c>
      <c r="C4" s="1"/>
      <c r="D4" s="13">
        <v>2</v>
      </c>
      <c r="E4" s="14">
        <f t="shared" ref="E4:E34" si="0">E3+ $P$3</f>
        <v>28</v>
      </c>
      <c r="F4" s="14">
        <f t="shared" ref="F4:F34" si="1">F3+ $P$3</f>
        <v>34</v>
      </c>
      <c r="G4" s="14">
        <f t="shared" ref="G4:G34" si="2">G3+ $P$3</f>
        <v>42</v>
      </c>
      <c r="H4" s="15">
        <f t="shared" ref="H4:H34" si="3">H3+ $P$3</f>
        <v>44</v>
      </c>
      <c r="I4" s="1"/>
      <c r="J4" s="18" t="s">
        <v>3</v>
      </c>
      <c r="K4" s="19">
        <v>10</v>
      </c>
      <c r="M4" s="18" t="s">
        <v>32</v>
      </c>
      <c r="N4" s="198">
        <v>4</v>
      </c>
    </row>
    <row r="5" spans="1:16" ht="15" customHeight="1" thickBot="1" x14ac:dyDescent="0.6">
      <c r="A5" s="17"/>
      <c r="B5" s="22" t="s">
        <v>29</v>
      </c>
      <c r="C5" s="1"/>
      <c r="D5" s="13">
        <v>3</v>
      </c>
      <c r="E5" s="14">
        <f t="shared" si="0"/>
        <v>49</v>
      </c>
      <c r="F5" s="14">
        <f t="shared" si="1"/>
        <v>55</v>
      </c>
      <c r="G5" s="14">
        <f t="shared" si="2"/>
        <v>63</v>
      </c>
      <c r="H5" s="15">
        <f t="shared" si="3"/>
        <v>65</v>
      </c>
      <c r="I5" s="1"/>
      <c r="J5" s="18" t="s">
        <v>4</v>
      </c>
      <c r="K5" s="19">
        <v>13</v>
      </c>
      <c r="M5" s="20" t="s">
        <v>33</v>
      </c>
      <c r="N5" s="199">
        <v>6</v>
      </c>
    </row>
    <row r="6" spans="1:16" ht="15" customHeight="1" thickBot="1" x14ac:dyDescent="0.6">
      <c r="A6" s="17"/>
      <c r="B6" s="23" t="s">
        <v>30</v>
      </c>
      <c r="C6" s="1"/>
      <c r="D6" s="13">
        <v>4</v>
      </c>
      <c r="E6" s="14">
        <f t="shared" si="0"/>
        <v>70</v>
      </c>
      <c r="F6" s="14">
        <f t="shared" si="1"/>
        <v>76</v>
      </c>
      <c r="G6" s="14">
        <f t="shared" si="2"/>
        <v>84</v>
      </c>
      <c r="H6" s="15">
        <f t="shared" si="3"/>
        <v>86</v>
      </c>
      <c r="I6" s="1"/>
      <c r="J6" s="18" t="s">
        <v>5</v>
      </c>
      <c r="K6" s="19">
        <v>16</v>
      </c>
    </row>
    <row r="7" spans="1:16" ht="15" customHeight="1" x14ac:dyDescent="0.55000000000000004">
      <c r="A7" s="17"/>
      <c r="B7" s="1"/>
      <c r="C7" s="1"/>
      <c r="D7" s="13">
        <v>5</v>
      </c>
      <c r="E7" s="14">
        <f t="shared" si="0"/>
        <v>91</v>
      </c>
      <c r="F7" s="14">
        <f t="shared" si="1"/>
        <v>97</v>
      </c>
      <c r="G7" s="14">
        <f t="shared" si="2"/>
        <v>105</v>
      </c>
      <c r="H7" s="15">
        <f t="shared" si="3"/>
        <v>107</v>
      </c>
      <c r="I7" s="1"/>
      <c r="J7" s="18" t="s">
        <v>6</v>
      </c>
      <c r="K7" s="19">
        <v>20</v>
      </c>
    </row>
    <row r="8" spans="1:16" ht="15" customHeight="1" x14ac:dyDescent="0.55000000000000004">
      <c r="A8" s="17"/>
      <c r="B8" s="1"/>
      <c r="C8" s="1"/>
      <c r="D8" s="13">
        <v>6</v>
      </c>
      <c r="E8" s="14">
        <f t="shared" si="0"/>
        <v>112</v>
      </c>
      <c r="F8" s="14">
        <f t="shared" si="1"/>
        <v>118</v>
      </c>
      <c r="G8" s="14">
        <f t="shared" si="2"/>
        <v>126</v>
      </c>
      <c r="H8" s="15">
        <f t="shared" si="3"/>
        <v>128</v>
      </c>
      <c r="I8" s="1"/>
      <c r="J8" s="18" t="s">
        <v>38</v>
      </c>
      <c r="K8" s="19">
        <v>22</v>
      </c>
    </row>
    <row r="9" spans="1:16" ht="15" customHeight="1" x14ac:dyDescent="0.55000000000000004">
      <c r="A9" s="17"/>
      <c r="B9" s="1"/>
      <c r="C9" s="1"/>
      <c r="D9" s="13">
        <v>7</v>
      </c>
      <c r="E9" s="14">
        <f t="shared" si="0"/>
        <v>133</v>
      </c>
      <c r="F9" s="14">
        <f t="shared" si="1"/>
        <v>139</v>
      </c>
      <c r="G9" s="14">
        <f t="shared" si="2"/>
        <v>147</v>
      </c>
      <c r="H9" s="15">
        <f t="shared" si="3"/>
        <v>149</v>
      </c>
      <c r="I9" s="1"/>
      <c r="J9" s="18" t="s">
        <v>14</v>
      </c>
      <c r="K9" s="19">
        <v>7</v>
      </c>
    </row>
    <row r="10" spans="1:16" ht="15" customHeight="1" thickBot="1" x14ac:dyDescent="0.6">
      <c r="A10" s="17"/>
      <c r="B10" s="1"/>
      <c r="C10" s="1"/>
      <c r="D10" s="13">
        <v>8</v>
      </c>
      <c r="E10" s="14">
        <f t="shared" si="0"/>
        <v>154</v>
      </c>
      <c r="F10" s="14">
        <f t="shared" si="1"/>
        <v>160</v>
      </c>
      <c r="G10" s="14">
        <f t="shared" si="2"/>
        <v>168</v>
      </c>
      <c r="H10" s="15">
        <f t="shared" si="3"/>
        <v>170</v>
      </c>
      <c r="I10" s="1"/>
      <c r="J10" s="20" t="s">
        <v>45</v>
      </c>
      <c r="K10" s="21">
        <v>12</v>
      </c>
    </row>
    <row r="11" spans="1:16" ht="15" customHeight="1" x14ac:dyDescent="0.55000000000000004">
      <c r="A11" s="17"/>
      <c r="B11" s="1"/>
      <c r="C11" s="1"/>
      <c r="D11" s="13">
        <v>9</v>
      </c>
      <c r="E11" s="14">
        <f t="shared" si="0"/>
        <v>175</v>
      </c>
      <c r="F11" s="14">
        <f t="shared" si="1"/>
        <v>181</v>
      </c>
      <c r="G11" s="14">
        <f t="shared" si="2"/>
        <v>189</v>
      </c>
      <c r="H11" s="15">
        <f t="shared" si="3"/>
        <v>191</v>
      </c>
      <c r="I11" s="1"/>
      <c r="J11" s="1"/>
      <c r="K11" s="1"/>
    </row>
    <row r="12" spans="1:16" ht="15" customHeight="1" x14ac:dyDescent="0.55000000000000004">
      <c r="A12" s="17"/>
      <c r="B12" s="1"/>
      <c r="C12" s="1"/>
      <c r="D12" s="13">
        <v>10</v>
      </c>
      <c r="E12" s="14">
        <f t="shared" si="0"/>
        <v>196</v>
      </c>
      <c r="F12" s="14">
        <f t="shared" si="1"/>
        <v>202</v>
      </c>
      <c r="G12" s="14">
        <f t="shared" si="2"/>
        <v>210</v>
      </c>
      <c r="H12" s="15">
        <f t="shared" si="3"/>
        <v>212</v>
      </c>
      <c r="I12" s="1"/>
      <c r="J12" s="1"/>
      <c r="K12" s="1"/>
    </row>
    <row r="13" spans="1:16" ht="15" customHeight="1" x14ac:dyDescent="0.55000000000000004">
      <c r="A13" s="17"/>
      <c r="B13" s="1"/>
      <c r="C13" s="1"/>
      <c r="D13" s="13">
        <v>11</v>
      </c>
      <c r="E13" s="14">
        <f t="shared" si="0"/>
        <v>217</v>
      </c>
      <c r="F13" s="14">
        <f t="shared" si="1"/>
        <v>223</v>
      </c>
      <c r="G13" s="14">
        <f t="shared" si="2"/>
        <v>231</v>
      </c>
      <c r="H13" s="15">
        <f t="shared" si="3"/>
        <v>233</v>
      </c>
      <c r="I13" s="1"/>
      <c r="J13" s="1"/>
      <c r="K13" s="1"/>
    </row>
    <row r="14" spans="1:16" ht="15" customHeight="1" x14ac:dyDescent="0.55000000000000004">
      <c r="A14" s="17"/>
      <c r="B14" s="1"/>
      <c r="C14" s="1"/>
      <c r="D14" s="13">
        <v>12</v>
      </c>
      <c r="E14" s="14">
        <f t="shared" si="0"/>
        <v>238</v>
      </c>
      <c r="F14" s="14">
        <f t="shared" si="1"/>
        <v>244</v>
      </c>
      <c r="G14" s="14">
        <f t="shared" si="2"/>
        <v>252</v>
      </c>
      <c r="H14" s="15">
        <f t="shared" si="3"/>
        <v>254</v>
      </c>
      <c r="I14" s="1"/>
      <c r="J14" s="1"/>
      <c r="K14" s="1"/>
    </row>
    <row r="15" spans="1:16" ht="15" customHeight="1" x14ac:dyDescent="0.55000000000000004">
      <c r="A15" s="17"/>
      <c r="B15" s="1"/>
      <c r="C15" s="1"/>
      <c r="D15" s="13">
        <v>13</v>
      </c>
      <c r="E15" s="14">
        <f t="shared" si="0"/>
        <v>259</v>
      </c>
      <c r="F15" s="14">
        <f t="shared" si="1"/>
        <v>265</v>
      </c>
      <c r="G15" s="14">
        <f t="shared" si="2"/>
        <v>273</v>
      </c>
      <c r="H15" s="15">
        <f t="shared" si="3"/>
        <v>275</v>
      </c>
      <c r="I15" s="1"/>
      <c r="J15" s="1"/>
      <c r="K15" s="1"/>
    </row>
    <row r="16" spans="1:16" ht="15" customHeight="1" x14ac:dyDescent="0.55000000000000004">
      <c r="A16" s="17"/>
      <c r="B16" s="1"/>
      <c r="C16" s="1"/>
      <c r="D16" s="13">
        <v>14</v>
      </c>
      <c r="E16" s="14">
        <f t="shared" si="0"/>
        <v>280</v>
      </c>
      <c r="F16" s="14">
        <f t="shared" si="1"/>
        <v>286</v>
      </c>
      <c r="G16" s="14">
        <f t="shared" si="2"/>
        <v>294</v>
      </c>
      <c r="H16" s="15">
        <f t="shared" si="3"/>
        <v>296</v>
      </c>
      <c r="I16" s="1"/>
      <c r="J16" s="1"/>
      <c r="K16" s="1"/>
    </row>
    <row r="17" spans="1:11" ht="15" customHeight="1" x14ac:dyDescent="0.55000000000000004">
      <c r="A17" s="17"/>
      <c r="B17" s="1"/>
      <c r="C17" s="1"/>
      <c r="D17" s="13">
        <v>15</v>
      </c>
      <c r="E17" s="14">
        <f t="shared" si="0"/>
        <v>301</v>
      </c>
      <c r="F17" s="14">
        <f t="shared" si="1"/>
        <v>307</v>
      </c>
      <c r="G17" s="14">
        <f t="shared" si="2"/>
        <v>315</v>
      </c>
      <c r="H17" s="15">
        <f t="shared" si="3"/>
        <v>317</v>
      </c>
      <c r="I17" s="1"/>
      <c r="J17" s="1"/>
      <c r="K17" s="1"/>
    </row>
    <row r="18" spans="1:11" ht="15" customHeight="1" x14ac:dyDescent="0.55000000000000004">
      <c r="A18" s="17"/>
      <c r="B18" s="1"/>
      <c r="C18" s="1"/>
      <c r="D18" s="13">
        <v>16</v>
      </c>
      <c r="E18" s="14">
        <f t="shared" si="0"/>
        <v>322</v>
      </c>
      <c r="F18" s="14">
        <f t="shared" si="1"/>
        <v>328</v>
      </c>
      <c r="G18" s="14">
        <f t="shared" si="2"/>
        <v>336</v>
      </c>
      <c r="H18" s="15">
        <f t="shared" si="3"/>
        <v>338</v>
      </c>
      <c r="I18" s="1"/>
      <c r="J18" s="1"/>
      <c r="K18" s="1"/>
    </row>
    <row r="19" spans="1:11" ht="15" customHeight="1" x14ac:dyDescent="0.55000000000000004">
      <c r="A19" s="17"/>
      <c r="B19" s="1"/>
      <c r="C19" s="1"/>
      <c r="D19" s="13">
        <v>17</v>
      </c>
      <c r="E19" s="14">
        <f t="shared" si="0"/>
        <v>343</v>
      </c>
      <c r="F19" s="14">
        <f t="shared" si="1"/>
        <v>349</v>
      </c>
      <c r="G19" s="14">
        <f t="shared" si="2"/>
        <v>357</v>
      </c>
      <c r="H19" s="15">
        <f t="shared" si="3"/>
        <v>359</v>
      </c>
      <c r="I19" s="1"/>
      <c r="J19" s="1"/>
      <c r="K19" s="1"/>
    </row>
    <row r="20" spans="1:11" ht="15" customHeight="1" x14ac:dyDescent="0.55000000000000004">
      <c r="A20" s="17"/>
      <c r="B20" s="1"/>
      <c r="C20" s="1"/>
      <c r="D20" s="13">
        <v>18</v>
      </c>
      <c r="E20" s="14">
        <f t="shared" si="0"/>
        <v>364</v>
      </c>
      <c r="F20" s="14">
        <f t="shared" si="1"/>
        <v>370</v>
      </c>
      <c r="G20" s="14">
        <f t="shared" si="2"/>
        <v>378</v>
      </c>
      <c r="H20" s="15">
        <f t="shared" si="3"/>
        <v>380</v>
      </c>
      <c r="I20" s="1"/>
      <c r="J20" s="1"/>
      <c r="K20" s="1"/>
    </row>
    <row r="21" spans="1:11" ht="15" customHeight="1" x14ac:dyDescent="0.55000000000000004">
      <c r="A21" s="17"/>
      <c r="B21" s="1"/>
      <c r="C21" s="1"/>
      <c r="D21" s="13">
        <v>19</v>
      </c>
      <c r="E21" s="14">
        <f t="shared" si="0"/>
        <v>385</v>
      </c>
      <c r="F21" s="14">
        <f t="shared" si="1"/>
        <v>391</v>
      </c>
      <c r="G21" s="14">
        <f t="shared" si="2"/>
        <v>399</v>
      </c>
      <c r="H21" s="15">
        <f t="shared" si="3"/>
        <v>401</v>
      </c>
      <c r="I21" s="1"/>
      <c r="J21" s="1"/>
      <c r="K21" s="1"/>
    </row>
    <row r="22" spans="1:11" ht="15" customHeight="1" x14ac:dyDescent="0.55000000000000004">
      <c r="A22" s="17"/>
      <c r="B22" s="1"/>
      <c r="C22" s="1"/>
      <c r="D22" s="13">
        <v>20</v>
      </c>
      <c r="E22" s="14">
        <f t="shared" si="0"/>
        <v>406</v>
      </c>
      <c r="F22" s="14">
        <f t="shared" si="1"/>
        <v>412</v>
      </c>
      <c r="G22" s="14">
        <f t="shared" si="2"/>
        <v>420</v>
      </c>
      <c r="H22" s="15">
        <f t="shared" si="3"/>
        <v>422</v>
      </c>
      <c r="I22" s="1"/>
      <c r="J22" s="1"/>
      <c r="K22" s="1"/>
    </row>
    <row r="23" spans="1:11" ht="15" customHeight="1" x14ac:dyDescent="0.55000000000000004">
      <c r="A23" s="17"/>
      <c r="B23" s="1"/>
      <c r="C23" s="1"/>
      <c r="D23" s="13">
        <v>21</v>
      </c>
      <c r="E23" s="14">
        <f t="shared" si="0"/>
        <v>427</v>
      </c>
      <c r="F23" s="14">
        <f t="shared" si="1"/>
        <v>433</v>
      </c>
      <c r="G23" s="14">
        <f t="shared" si="2"/>
        <v>441</v>
      </c>
      <c r="H23" s="15">
        <f t="shared" si="3"/>
        <v>443</v>
      </c>
      <c r="I23" s="1"/>
      <c r="J23" s="1"/>
      <c r="K23" s="1"/>
    </row>
    <row r="24" spans="1:11" ht="15" customHeight="1" x14ac:dyDescent="0.55000000000000004">
      <c r="A24" s="17"/>
      <c r="B24" s="1"/>
      <c r="C24" s="1"/>
      <c r="D24" s="13">
        <v>22</v>
      </c>
      <c r="E24" s="14">
        <f t="shared" si="0"/>
        <v>448</v>
      </c>
      <c r="F24" s="14">
        <f t="shared" si="1"/>
        <v>454</v>
      </c>
      <c r="G24" s="14">
        <f t="shared" si="2"/>
        <v>462</v>
      </c>
      <c r="H24" s="15">
        <f t="shared" si="3"/>
        <v>464</v>
      </c>
      <c r="I24" s="1"/>
      <c r="J24" s="1"/>
      <c r="K24" s="1"/>
    </row>
    <row r="25" spans="1:11" ht="15" customHeight="1" x14ac:dyDescent="0.55000000000000004">
      <c r="A25" s="17"/>
      <c r="B25" s="1"/>
      <c r="C25" s="1"/>
      <c r="D25" s="13">
        <v>23</v>
      </c>
      <c r="E25" s="14">
        <f t="shared" si="0"/>
        <v>469</v>
      </c>
      <c r="F25" s="14">
        <f t="shared" si="1"/>
        <v>475</v>
      </c>
      <c r="G25" s="14">
        <f t="shared" si="2"/>
        <v>483</v>
      </c>
      <c r="H25" s="15">
        <f t="shared" si="3"/>
        <v>485</v>
      </c>
      <c r="I25" s="1"/>
      <c r="J25" s="1"/>
      <c r="K25" s="1"/>
    </row>
    <row r="26" spans="1:11" ht="15" customHeight="1" x14ac:dyDescent="0.55000000000000004">
      <c r="A26" s="17"/>
      <c r="B26" s="1"/>
      <c r="C26" s="1"/>
      <c r="D26" s="13">
        <v>24</v>
      </c>
      <c r="E26" s="14">
        <f t="shared" si="0"/>
        <v>490</v>
      </c>
      <c r="F26" s="14">
        <f t="shared" si="1"/>
        <v>496</v>
      </c>
      <c r="G26" s="14">
        <f t="shared" si="2"/>
        <v>504</v>
      </c>
      <c r="H26" s="15">
        <f t="shared" si="3"/>
        <v>506</v>
      </c>
      <c r="I26" s="1"/>
      <c r="J26" s="1"/>
      <c r="K26" s="1"/>
    </row>
    <row r="27" spans="1:11" ht="15" customHeight="1" x14ac:dyDescent="0.55000000000000004">
      <c r="A27" s="17"/>
      <c r="B27" s="1"/>
      <c r="C27" s="1"/>
      <c r="D27" s="13">
        <v>25</v>
      </c>
      <c r="E27" s="14">
        <f t="shared" si="0"/>
        <v>511</v>
      </c>
      <c r="F27" s="14">
        <f t="shared" si="1"/>
        <v>517</v>
      </c>
      <c r="G27" s="14">
        <f t="shared" si="2"/>
        <v>525</v>
      </c>
      <c r="H27" s="15">
        <f t="shared" si="3"/>
        <v>527</v>
      </c>
      <c r="I27" s="1"/>
      <c r="J27" s="1"/>
      <c r="K27" s="1"/>
    </row>
    <row r="28" spans="1:11" ht="15" customHeight="1" x14ac:dyDescent="0.55000000000000004">
      <c r="A28" s="17"/>
      <c r="B28" s="1"/>
      <c r="C28" s="1"/>
      <c r="D28" s="13">
        <v>26</v>
      </c>
      <c r="E28" s="14">
        <f t="shared" si="0"/>
        <v>532</v>
      </c>
      <c r="F28" s="14">
        <f t="shared" si="1"/>
        <v>538</v>
      </c>
      <c r="G28" s="14">
        <f t="shared" si="2"/>
        <v>546</v>
      </c>
      <c r="H28" s="15">
        <f t="shared" si="3"/>
        <v>548</v>
      </c>
      <c r="I28" s="1"/>
      <c r="J28" s="1"/>
      <c r="K28" s="1"/>
    </row>
    <row r="29" spans="1:11" ht="15" customHeight="1" x14ac:dyDescent="0.55000000000000004">
      <c r="A29" s="17"/>
      <c r="B29" s="1"/>
      <c r="C29" s="1"/>
      <c r="D29" s="13">
        <v>27</v>
      </c>
      <c r="E29" s="14">
        <f t="shared" si="0"/>
        <v>553</v>
      </c>
      <c r="F29" s="14">
        <f t="shared" si="1"/>
        <v>559</v>
      </c>
      <c r="G29" s="14">
        <f t="shared" si="2"/>
        <v>567</v>
      </c>
      <c r="H29" s="15">
        <f t="shared" si="3"/>
        <v>569</v>
      </c>
      <c r="I29" s="1"/>
      <c r="J29" s="1"/>
      <c r="K29" s="1"/>
    </row>
    <row r="30" spans="1:11" ht="15" customHeight="1" x14ac:dyDescent="0.55000000000000004">
      <c r="A30" s="17"/>
      <c r="B30" s="1"/>
      <c r="C30" s="1"/>
      <c r="D30" s="13">
        <v>28</v>
      </c>
      <c r="E30" s="14">
        <f t="shared" si="0"/>
        <v>574</v>
      </c>
      <c r="F30" s="14">
        <f t="shared" si="1"/>
        <v>580</v>
      </c>
      <c r="G30" s="14">
        <f t="shared" si="2"/>
        <v>588</v>
      </c>
      <c r="H30" s="15">
        <f t="shared" si="3"/>
        <v>590</v>
      </c>
      <c r="I30" s="1"/>
      <c r="J30" s="1"/>
      <c r="K30" s="1"/>
    </row>
    <row r="31" spans="1:11" ht="15" customHeight="1" x14ac:dyDescent="0.55000000000000004">
      <c r="A31" s="17"/>
      <c r="B31" s="1"/>
      <c r="C31" s="1"/>
      <c r="D31" s="13">
        <v>29</v>
      </c>
      <c r="E31" s="14">
        <f t="shared" si="0"/>
        <v>595</v>
      </c>
      <c r="F31" s="14">
        <f t="shared" si="1"/>
        <v>601</v>
      </c>
      <c r="G31" s="14">
        <f t="shared" si="2"/>
        <v>609</v>
      </c>
      <c r="H31" s="15">
        <f t="shared" si="3"/>
        <v>611</v>
      </c>
      <c r="I31" s="1"/>
      <c r="J31" s="1"/>
      <c r="K31" s="1"/>
    </row>
    <row r="32" spans="1:11" ht="15" customHeight="1" x14ac:dyDescent="0.55000000000000004">
      <c r="A32" s="17"/>
      <c r="B32" s="1"/>
      <c r="C32" s="1"/>
      <c r="D32" s="13">
        <v>30</v>
      </c>
      <c r="E32" s="14">
        <f t="shared" si="0"/>
        <v>616</v>
      </c>
      <c r="F32" s="14">
        <f t="shared" si="1"/>
        <v>622</v>
      </c>
      <c r="G32" s="14">
        <f t="shared" si="2"/>
        <v>630</v>
      </c>
      <c r="H32" s="15">
        <f t="shared" si="3"/>
        <v>632</v>
      </c>
      <c r="I32" s="1"/>
      <c r="J32" s="1"/>
      <c r="K32" s="1"/>
    </row>
    <row r="33" spans="1:11" ht="15" customHeight="1" x14ac:dyDescent="0.55000000000000004">
      <c r="A33" s="17"/>
      <c r="B33" s="1"/>
      <c r="C33" s="1"/>
      <c r="D33" s="13">
        <v>31</v>
      </c>
      <c r="E33" s="14">
        <f t="shared" si="0"/>
        <v>637</v>
      </c>
      <c r="F33" s="14">
        <f t="shared" si="1"/>
        <v>643</v>
      </c>
      <c r="G33" s="14">
        <f t="shared" si="2"/>
        <v>651</v>
      </c>
      <c r="H33" s="15">
        <f t="shared" si="3"/>
        <v>653</v>
      </c>
      <c r="I33" s="1"/>
      <c r="J33" s="1"/>
      <c r="K33" s="1"/>
    </row>
    <row r="34" spans="1:11" ht="15" customHeight="1" thickBot="1" x14ac:dyDescent="0.6">
      <c r="A34" s="17"/>
      <c r="B34" s="1"/>
      <c r="C34" s="1"/>
      <c r="D34" s="16">
        <v>32</v>
      </c>
      <c r="E34" s="14">
        <f t="shared" si="0"/>
        <v>658</v>
      </c>
      <c r="F34" s="14">
        <f t="shared" si="1"/>
        <v>664</v>
      </c>
      <c r="G34" s="14">
        <f t="shared" si="2"/>
        <v>672</v>
      </c>
      <c r="H34" s="15">
        <f t="shared" si="3"/>
        <v>674</v>
      </c>
      <c r="I34" s="1"/>
      <c r="J34" s="1"/>
      <c r="K34" s="1"/>
    </row>
    <row r="35" spans="1:11" x14ac:dyDescent="0.55000000000000004">
      <c r="A35" s="17"/>
      <c r="B35" s="17"/>
      <c r="C35" s="17"/>
      <c r="D35" s="17"/>
      <c r="E35" s="17"/>
      <c r="F35" s="17"/>
      <c r="G35" s="17"/>
      <c r="H35" s="1"/>
      <c r="I35" s="1"/>
    </row>
  </sheetData>
  <sheetProtection algorithmName="SHA-512" hashValue="jwGtLvCtYmPIC+ZMCVfRytHWt4Mk3sMJ8L4ZvoiLwm/iq7DmrEmCOESgeAeUQUJFQfqCx3rpQGD9hah8NWitCw==" saltValue="FIWOty075GtljN8ug8trvA==" spinCount="100000" sheet="1" objects="1" scenarios="1" selectLockedCells="1" selectUnlockedCells="1"/>
  <mergeCells count="1">
    <mergeCell ref="J2:K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12</vt:i4>
      </vt:variant>
    </vt:vector>
  </HeadingPairs>
  <TitlesOfParts>
    <vt:vector size="12" baseType="lpstr">
      <vt:lpstr>Classe (3ème1)</vt:lpstr>
      <vt:lpstr>Elève (3ème1)</vt:lpstr>
      <vt:lpstr>Classe (3ème2)</vt:lpstr>
      <vt:lpstr>Elève (3ème2)</vt:lpstr>
      <vt:lpstr>Classe (3ème3)</vt:lpstr>
      <vt:lpstr>Elève (3ème3)</vt:lpstr>
      <vt:lpstr>Classe (3ème4)</vt:lpstr>
      <vt:lpstr>Elève (3ème4)</vt:lpstr>
      <vt:lpstr>Classe (3ème5)</vt:lpstr>
      <vt:lpstr>Elève (3ème5)</vt:lpstr>
      <vt:lpstr>Liste 3ème</vt:lpstr>
      <vt:lpstr>ref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chatelain celine</dc:creator>
  <cp:lastModifiedBy>Julie Barrault</cp:lastModifiedBy>
  <dcterms:created xsi:type="dcterms:W3CDTF">2017-10-30T16:06:34Z</dcterms:created>
  <dcterms:modified xsi:type="dcterms:W3CDTF">2018-06-05T20:22:34Z</dcterms:modified>
</cp:coreProperties>
</file>