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MPETENCES CYCLE  4\4ème\"/>
    </mc:Choice>
  </mc:AlternateContent>
  <xr:revisionPtr revIDLastSave="0" documentId="13_ncr:1_{92E226D4-5D72-40A1-9E30-C22B0AD6D26C}" xr6:coauthVersionLast="28" xr6:coauthVersionMax="28" xr10:uidLastSave="{00000000-0000-0000-0000-000000000000}"/>
  <bookViews>
    <workbookView xWindow="0" yWindow="0" windowWidth="19200" windowHeight="7110" tabRatio="704" activeTab="3" xr2:uid="{00000000-000D-0000-FFFF-FFFF00000000}"/>
  </bookViews>
  <sheets>
    <sheet name="Classe (4ème2)" sheetId="9" r:id="rId1"/>
    <sheet name="Elève (4ème2)" sheetId="10" r:id="rId2"/>
    <sheet name="Classe (4ème4)" sheetId="13" r:id="rId3"/>
    <sheet name="Elève (4ème4)" sheetId="14" r:id="rId4"/>
    <sheet name="Liste 4ème" sheetId="17" r:id="rId5"/>
    <sheet name="ref" sheetId="3" r:id="rId6"/>
  </sheets>
  <functionGroups builtInGroupCount="19"/>
  <definedNames>
    <definedName name="_xlnm._FilterDatabase" localSheetId="1" hidden="1">'Elève (4ème2)'!$A$2:$UT$26</definedName>
    <definedName name="_xlnm._FilterDatabase" localSheetId="3" hidden="1">'Elève (4ème4)'!$A$2:$UR$26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W3" i="14" l="1"/>
  <c r="RD3" i="14"/>
  <c r="QK3" i="14"/>
  <c r="PR3" i="14"/>
  <c r="OY3" i="14"/>
  <c r="OF3" i="14"/>
  <c r="NM3" i="14"/>
  <c r="MT3" i="14"/>
  <c r="MA3" i="14"/>
  <c r="LH3" i="14"/>
  <c r="KO3" i="14"/>
  <c r="JV3" i="14"/>
  <c r="JC3" i="14"/>
  <c r="IJ3" i="14"/>
  <c r="HQ3" i="14"/>
  <c r="GX3" i="14"/>
  <c r="GE3" i="14"/>
  <c r="FL3" i="14"/>
  <c r="ES3" i="14"/>
  <c r="DZ3" i="14"/>
  <c r="DG3" i="14"/>
  <c r="CN3" i="14"/>
  <c r="BU3" i="14"/>
  <c r="BB3" i="14"/>
  <c r="AI3" i="14"/>
  <c r="SP3" i="10"/>
  <c r="RW3" i="10"/>
  <c r="RD3" i="10"/>
  <c r="QK3" i="10"/>
  <c r="PR3" i="10"/>
  <c r="OY3" i="10"/>
  <c r="OF3" i="10"/>
  <c r="NM3" i="10"/>
  <c r="MT3" i="10"/>
  <c r="MA3" i="10"/>
  <c r="LH3" i="10"/>
  <c r="KO3" i="10"/>
  <c r="JV3" i="10"/>
  <c r="JC3" i="10"/>
  <c r="IJ3" i="10"/>
  <c r="HQ3" i="10"/>
  <c r="GX3" i="10"/>
  <c r="GE3" i="10"/>
  <c r="FL3" i="10"/>
  <c r="ES3" i="10"/>
  <c r="DZ3" i="10"/>
  <c r="DG3" i="10"/>
  <c r="CN3" i="10"/>
  <c r="BU3" i="10"/>
  <c r="BB3" i="10"/>
  <c r="AI3" i="10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P3" i="3"/>
  <c r="E3" i="3"/>
  <c r="F3" i="3" s="1"/>
  <c r="F4" i="3" s="1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AC3" i="14"/>
  <c r="AV3" i="14" s="1"/>
  <c r="BO3" i="14" s="1"/>
  <c r="CH3" i="14" s="1"/>
  <c r="DA3" i="14" s="1"/>
  <c r="DT3" i="14" s="1"/>
  <c r="EM3" i="14" s="1"/>
  <c r="FF3" i="14" s="1"/>
  <c r="FY3" i="14" s="1"/>
  <c r="GR3" i="14" s="1"/>
  <c r="HK3" i="14" s="1"/>
  <c r="ID3" i="14" s="1"/>
  <c r="IW3" i="14" s="1"/>
  <c r="JP3" i="14" s="1"/>
  <c r="KI3" i="14" s="1"/>
  <c r="LB3" i="14" s="1"/>
  <c r="LU3" i="14" s="1"/>
  <c r="MN3" i="14" s="1"/>
  <c r="NG3" i="14" s="1"/>
  <c r="NZ3" i="14" s="1"/>
  <c r="OS3" i="14" s="1"/>
  <c r="PL3" i="14" s="1"/>
  <c r="QE3" i="14" s="1"/>
  <c r="QX3" i="14" s="1"/>
  <c r="RQ3" i="14" s="1"/>
  <c r="AC3" i="10"/>
  <c r="AV3" i="10" s="1"/>
  <c r="BO3" i="10" s="1"/>
  <c r="CH3" i="10" s="1"/>
  <c r="DA3" i="10" s="1"/>
  <c r="DT3" i="10" s="1"/>
  <c r="EM3" i="10" s="1"/>
  <c r="FF3" i="10" s="1"/>
  <c r="FY3" i="10" s="1"/>
  <c r="GR3" i="10" s="1"/>
  <c r="HK3" i="10" s="1"/>
  <c r="ID3" i="10" s="1"/>
  <c r="IW3" i="10" s="1"/>
  <c r="JP3" i="10" s="1"/>
  <c r="KI3" i="10" s="1"/>
  <c r="LB3" i="10" s="1"/>
  <c r="LU3" i="10" s="1"/>
  <c r="MN3" i="10" s="1"/>
  <c r="NG3" i="10" s="1"/>
  <c r="NZ3" i="10" s="1"/>
  <c r="OS3" i="10" s="1"/>
  <c r="PL3" i="10" s="1"/>
  <c r="QE3" i="10" s="1"/>
  <c r="QX3" i="10" s="1"/>
  <c r="RQ3" i="10" s="1"/>
  <c r="SJ3" i="10" s="1"/>
  <c r="UO21" i="14"/>
  <c r="UP21" i="14" s="1"/>
  <c r="UJ21" i="14"/>
  <c r="UK21" i="14" s="1"/>
  <c r="UE21" i="14"/>
  <c r="UF21" i="14" s="1"/>
  <c r="TX21" i="14"/>
  <c r="TY21" i="14" s="1"/>
  <c r="TS21" i="14"/>
  <c r="TT21" i="14" s="1"/>
  <c r="TN21" i="14"/>
  <c r="TO21" i="14" s="1"/>
  <c r="TG21" i="14"/>
  <c r="TH21" i="14" s="1"/>
  <c r="TB21" i="14"/>
  <c r="TC21" i="14" s="1"/>
  <c r="SW21" i="14"/>
  <c r="SX21" i="14" s="1"/>
  <c r="SP21" i="14"/>
  <c r="SQ21" i="14" s="1"/>
  <c r="SK21" i="14"/>
  <c r="SL21" i="14" s="1"/>
  <c r="SF21" i="14"/>
  <c r="SG21" i="14" s="1"/>
  <c r="RY21" i="14"/>
  <c r="RZ21" i="14" s="1"/>
  <c r="RS21" i="14"/>
  <c r="RT21" i="14" s="1"/>
  <c r="RM21" i="14"/>
  <c r="RN21" i="14" s="1"/>
  <c r="RF21" i="14"/>
  <c r="RG21" i="14" s="1"/>
  <c r="QZ21" i="14"/>
  <c r="RA21" i="14" s="1"/>
  <c r="QT21" i="14"/>
  <c r="QU21" i="14" s="1"/>
  <c r="QM21" i="14"/>
  <c r="QN21" i="14" s="1"/>
  <c r="QG21" i="14"/>
  <c r="QH21" i="14" s="1"/>
  <c r="QA21" i="14"/>
  <c r="QB21" i="14" s="1"/>
  <c r="PT21" i="14"/>
  <c r="PU21" i="14" s="1"/>
  <c r="PN21" i="14"/>
  <c r="PO21" i="14" s="1"/>
  <c r="PH21" i="14"/>
  <c r="PI21" i="14" s="1"/>
  <c r="PA21" i="14"/>
  <c r="PB21" i="14" s="1"/>
  <c r="OU21" i="14"/>
  <c r="OV21" i="14" s="1"/>
  <c r="OO21" i="14"/>
  <c r="OP21" i="14" s="1"/>
  <c r="OH21" i="14"/>
  <c r="OI21" i="14" s="1"/>
  <c r="OB21" i="14"/>
  <c r="OC21" i="14" s="1"/>
  <c r="NV21" i="14"/>
  <c r="NW21" i="14" s="1"/>
  <c r="NO21" i="14"/>
  <c r="NP21" i="14" s="1"/>
  <c r="NI21" i="14"/>
  <c r="NJ21" i="14" s="1"/>
  <c r="NC21" i="14"/>
  <c r="ND21" i="14" s="1"/>
  <c r="MV21" i="14"/>
  <c r="MW21" i="14" s="1"/>
  <c r="MP21" i="14"/>
  <c r="MQ21" i="14" s="1"/>
  <c r="MJ21" i="14"/>
  <c r="MK21" i="14" s="1"/>
  <c r="MC21" i="14"/>
  <c r="MD21" i="14" s="1"/>
  <c r="LW21" i="14"/>
  <c r="LX21" i="14" s="1"/>
  <c r="LQ21" i="14"/>
  <c r="LR21" i="14" s="1"/>
  <c r="LJ21" i="14"/>
  <c r="LK21" i="14" s="1"/>
  <c r="LD21" i="14"/>
  <c r="LE21" i="14" s="1"/>
  <c r="KX21" i="14"/>
  <c r="KY21" i="14" s="1"/>
  <c r="KQ21" i="14"/>
  <c r="KR21" i="14" s="1"/>
  <c r="KK21" i="14"/>
  <c r="KL21" i="14" s="1"/>
  <c r="KE21" i="14"/>
  <c r="KF21" i="14" s="1"/>
  <c r="JX21" i="14"/>
  <c r="JY21" i="14" s="1"/>
  <c r="JR21" i="14"/>
  <c r="JS21" i="14" s="1"/>
  <c r="JL21" i="14"/>
  <c r="JM21" i="14" s="1"/>
  <c r="JE21" i="14"/>
  <c r="JF21" i="14" s="1"/>
  <c r="IY21" i="14"/>
  <c r="IZ21" i="14" s="1"/>
  <c r="IS21" i="14"/>
  <c r="IT21" i="14" s="1"/>
  <c r="IL21" i="14"/>
  <c r="IM21" i="14" s="1"/>
  <c r="IF21" i="14"/>
  <c r="IG21" i="14" s="1"/>
  <c r="HZ21" i="14"/>
  <c r="IA21" i="14" s="1"/>
  <c r="HS21" i="14"/>
  <c r="HT21" i="14" s="1"/>
  <c r="HM21" i="14"/>
  <c r="HN21" i="14" s="1"/>
  <c r="HG21" i="14"/>
  <c r="HH21" i="14" s="1"/>
  <c r="GZ21" i="14"/>
  <c r="HA21" i="14" s="1"/>
  <c r="GT21" i="14"/>
  <c r="GU21" i="14" s="1"/>
  <c r="GN21" i="14"/>
  <c r="GN20" i="14" s="1"/>
  <c r="GG21" i="14"/>
  <c r="GH21" i="14" s="1"/>
  <c r="GA21" i="14"/>
  <c r="GA20" i="14" s="1"/>
  <c r="FU21" i="14"/>
  <c r="FV21" i="14" s="1"/>
  <c r="FN21" i="14"/>
  <c r="FO21" i="14" s="1"/>
  <c r="FH21" i="14"/>
  <c r="FI21" i="14" s="1"/>
  <c r="FB21" i="14"/>
  <c r="FC21" i="14" s="1"/>
  <c r="EU21" i="14"/>
  <c r="EV21" i="14" s="1"/>
  <c r="EO21" i="14"/>
  <c r="EP21" i="14" s="1"/>
  <c r="EI21" i="14"/>
  <c r="EJ21" i="14" s="1"/>
  <c r="EB21" i="14"/>
  <c r="EC21" i="14" s="1"/>
  <c r="DV21" i="14"/>
  <c r="DW21" i="14" s="1"/>
  <c r="DP21" i="14"/>
  <c r="DQ21" i="14" s="1"/>
  <c r="DI21" i="14"/>
  <c r="DJ21" i="14" s="1"/>
  <c r="DC21" i="14"/>
  <c r="DD21" i="14" s="1"/>
  <c r="CW21" i="14"/>
  <c r="CX21" i="14" s="1"/>
  <c r="CP21" i="14"/>
  <c r="CQ21" i="14" s="1"/>
  <c r="CJ21" i="14"/>
  <c r="CK21" i="14" s="1"/>
  <c r="CD21" i="14"/>
  <c r="CE21" i="14" s="1"/>
  <c r="BW21" i="14"/>
  <c r="BX21" i="14" s="1"/>
  <c r="BQ21" i="14"/>
  <c r="BR21" i="14" s="1"/>
  <c r="BK21" i="14"/>
  <c r="BL21" i="14" s="1"/>
  <c r="BD21" i="14"/>
  <c r="BE21" i="14" s="1"/>
  <c r="AX21" i="14"/>
  <c r="AY21" i="14" s="1"/>
  <c r="AR21" i="14"/>
  <c r="AS21" i="14" s="1"/>
  <c r="AK21" i="14"/>
  <c r="AL21" i="14" s="1"/>
  <c r="AE21" i="14"/>
  <c r="AF21" i="14" s="1"/>
  <c r="Y21" i="14"/>
  <c r="Z21" i="14" s="1"/>
  <c r="R21" i="14"/>
  <c r="S21" i="14" s="1"/>
  <c r="L21" i="14"/>
  <c r="M21" i="14" s="1"/>
  <c r="F21" i="14"/>
  <c r="G21" i="14" s="1"/>
  <c r="UO19" i="14"/>
  <c r="UP19" i="14" s="1"/>
  <c r="UJ19" i="14"/>
  <c r="UK19" i="14" s="1"/>
  <c r="UE19" i="14"/>
  <c r="TX19" i="14"/>
  <c r="TY19" i="14" s="1"/>
  <c r="TS19" i="14"/>
  <c r="TT19" i="14" s="1"/>
  <c r="TN19" i="14"/>
  <c r="TG19" i="14"/>
  <c r="TH19" i="14" s="1"/>
  <c r="TB19" i="14"/>
  <c r="TC19" i="14" s="1"/>
  <c r="SW19" i="14"/>
  <c r="SP19" i="14"/>
  <c r="SQ19" i="14" s="1"/>
  <c r="SK19" i="14"/>
  <c r="SL19" i="14" s="1"/>
  <c r="SF19" i="14"/>
  <c r="RY19" i="14"/>
  <c r="RZ19" i="14" s="1"/>
  <c r="RS19" i="14"/>
  <c r="RT19" i="14" s="1"/>
  <c r="RM19" i="14"/>
  <c r="RF19" i="14"/>
  <c r="RG19" i="14" s="1"/>
  <c r="QZ19" i="14"/>
  <c r="RA19" i="14" s="1"/>
  <c r="QT19" i="14"/>
  <c r="QM19" i="14"/>
  <c r="QN19" i="14" s="1"/>
  <c r="QG19" i="14"/>
  <c r="QH19" i="14" s="1"/>
  <c r="QA19" i="14"/>
  <c r="QB19" i="14" s="1"/>
  <c r="PT19" i="14"/>
  <c r="PU19" i="14" s="1"/>
  <c r="PN19" i="14"/>
  <c r="PO19" i="14" s="1"/>
  <c r="PH19" i="14"/>
  <c r="PI19" i="14" s="1"/>
  <c r="PA19" i="14"/>
  <c r="PB19" i="14" s="1"/>
  <c r="OU19" i="14"/>
  <c r="OV19" i="14" s="1"/>
  <c r="OO19" i="14"/>
  <c r="OP19" i="14" s="1"/>
  <c r="OH19" i="14"/>
  <c r="OI19" i="14" s="1"/>
  <c r="OB19" i="14"/>
  <c r="OC19" i="14" s="1"/>
  <c r="NV19" i="14"/>
  <c r="NW19" i="14" s="1"/>
  <c r="NO19" i="14"/>
  <c r="NP19" i="14" s="1"/>
  <c r="NI19" i="14"/>
  <c r="NJ19" i="14" s="1"/>
  <c r="NC19" i="14"/>
  <c r="ND19" i="14" s="1"/>
  <c r="MV19" i="14"/>
  <c r="MW19" i="14" s="1"/>
  <c r="MP19" i="14"/>
  <c r="MQ19" i="14" s="1"/>
  <c r="MJ19" i="14"/>
  <c r="MK19" i="14" s="1"/>
  <c r="MC19" i="14"/>
  <c r="MD19" i="14" s="1"/>
  <c r="LW19" i="14"/>
  <c r="LX19" i="14" s="1"/>
  <c r="LQ19" i="14"/>
  <c r="LR19" i="14" s="1"/>
  <c r="LJ19" i="14"/>
  <c r="LK19" i="14" s="1"/>
  <c r="LD19" i="14"/>
  <c r="LE19" i="14" s="1"/>
  <c r="KX19" i="14"/>
  <c r="KY19" i="14" s="1"/>
  <c r="KQ19" i="14"/>
  <c r="KR19" i="14" s="1"/>
  <c r="KK19" i="14"/>
  <c r="KL19" i="14" s="1"/>
  <c r="KE19" i="14"/>
  <c r="KF19" i="14" s="1"/>
  <c r="JX19" i="14"/>
  <c r="JY19" i="14" s="1"/>
  <c r="JR19" i="14"/>
  <c r="JS19" i="14" s="1"/>
  <c r="JL19" i="14"/>
  <c r="JM19" i="14" s="1"/>
  <c r="JE19" i="14"/>
  <c r="JF19" i="14" s="1"/>
  <c r="IY19" i="14"/>
  <c r="IZ19" i="14" s="1"/>
  <c r="IS19" i="14"/>
  <c r="IT19" i="14" s="1"/>
  <c r="IL19" i="14"/>
  <c r="IM19" i="14" s="1"/>
  <c r="IF19" i="14"/>
  <c r="IG19" i="14" s="1"/>
  <c r="HZ19" i="14"/>
  <c r="IA19" i="14" s="1"/>
  <c r="HS19" i="14"/>
  <c r="HT19" i="14" s="1"/>
  <c r="HM19" i="14"/>
  <c r="HN19" i="14" s="1"/>
  <c r="HG19" i="14"/>
  <c r="HH19" i="14" s="1"/>
  <c r="GZ19" i="14"/>
  <c r="HA19" i="14" s="1"/>
  <c r="GT19" i="14"/>
  <c r="GU19" i="14" s="1"/>
  <c r="GN19" i="14"/>
  <c r="GO19" i="14" s="1"/>
  <c r="GG19" i="14"/>
  <c r="GH19" i="14" s="1"/>
  <c r="GA19" i="14"/>
  <c r="GB19" i="14" s="1"/>
  <c r="FU19" i="14"/>
  <c r="FV19" i="14" s="1"/>
  <c r="FN19" i="14"/>
  <c r="FO19" i="14" s="1"/>
  <c r="FH19" i="14"/>
  <c r="FI19" i="14" s="1"/>
  <c r="FB19" i="14"/>
  <c r="FC19" i="14" s="1"/>
  <c r="EU19" i="14"/>
  <c r="EV19" i="14" s="1"/>
  <c r="EO19" i="14"/>
  <c r="EP19" i="14" s="1"/>
  <c r="EI19" i="14"/>
  <c r="EJ19" i="14" s="1"/>
  <c r="EB19" i="14"/>
  <c r="EC19" i="14" s="1"/>
  <c r="DV19" i="14"/>
  <c r="DW19" i="14" s="1"/>
  <c r="DP19" i="14"/>
  <c r="DQ19" i="14" s="1"/>
  <c r="DI19" i="14"/>
  <c r="DJ19" i="14" s="1"/>
  <c r="DC19" i="14"/>
  <c r="DD19" i="14" s="1"/>
  <c r="CW19" i="14"/>
  <c r="CX19" i="14" s="1"/>
  <c r="CP19" i="14"/>
  <c r="CQ19" i="14" s="1"/>
  <c r="CJ19" i="14"/>
  <c r="CK19" i="14" s="1"/>
  <c r="CD19" i="14"/>
  <c r="CE19" i="14" s="1"/>
  <c r="BW19" i="14"/>
  <c r="BX19" i="14" s="1"/>
  <c r="BQ19" i="14"/>
  <c r="BR19" i="14" s="1"/>
  <c r="BK19" i="14"/>
  <c r="BL19" i="14" s="1"/>
  <c r="BD19" i="14"/>
  <c r="BE19" i="14" s="1"/>
  <c r="AX19" i="14"/>
  <c r="AY19" i="14" s="1"/>
  <c r="AR19" i="14"/>
  <c r="AS19" i="14" s="1"/>
  <c r="AK19" i="14"/>
  <c r="AL19" i="14" s="1"/>
  <c r="AE19" i="14"/>
  <c r="AF19" i="14" s="1"/>
  <c r="Y19" i="14"/>
  <c r="Z19" i="14" s="1"/>
  <c r="R19" i="14"/>
  <c r="S19" i="14" s="1"/>
  <c r="L19" i="14"/>
  <c r="M19" i="14" s="1"/>
  <c r="F19" i="14"/>
  <c r="G19" i="14" s="1"/>
  <c r="UO18" i="14"/>
  <c r="UP18" i="14" s="1"/>
  <c r="UJ18" i="14"/>
  <c r="UK18" i="14" s="1"/>
  <c r="UE18" i="14"/>
  <c r="UF18" i="14" s="1"/>
  <c r="TX18" i="14"/>
  <c r="TY18" i="14" s="1"/>
  <c r="TS18" i="14"/>
  <c r="TT18" i="14" s="1"/>
  <c r="TN18" i="14"/>
  <c r="TO18" i="14" s="1"/>
  <c r="TG18" i="14"/>
  <c r="TH18" i="14" s="1"/>
  <c r="TB18" i="14"/>
  <c r="TC18" i="14" s="1"/>
  <c r="SW18" i="14"/>
  <c r="SX18" i="14" s="1"/>
  <c r="SP18" i="14"/>
  <c r="SQ18" i="14" s="1"/>
  <c r="SK18" i="14"/>
  <c r="SL18" i="14" s="1"/>
  <c r="SF18" i="14"/>
  <c r="SG18" i="14" s="1"/>
  <c r="RY18" i="14"/>
  <c r="RZ18" i="14" s="1"/>
  <c r="RS18" i="14"/>
  <c r="RT18" i="14" s="1"/>
  <c r="RM18" i="14"/>
  <c r="RN18" i="14" s="1"/>
  <c r="RF18" i="14"/>
  <c r="RG18" i="14" s="1"/>
  <c r="QZ18" i="14"/>
  <c r="RA18" i="14" s="1"/>
  <c r="QT18" i="14"/>
  <c r="QU18" i="14" s="1"/>
  <c r="QM18" i="14"/>
  <c r="QN18" i="14" s="1"/>
  <c r="QG18" i="14"/>
  <c r="QA18" i="14"/>
  <c r="QB18" i="14" s="1"/>
  <c r="PT18" i="14"/>
  <c r="PU18" i="14" s="1"/>
  <c r="PN18" i="14"/>
  <c r="PO18" i="14" s="1"/>
  <c r="PH18" i="14"/>
  <c r="PI18" i="14" s="1"/>
  <c r="PA18" i="14"/>
  <c r="PB18" i="14" s="1"/>
  <c r="OU18" i="14"/>
  <c r="OV18" i="14" s="1"/>
  <c r="OO18" i="14"/>
  <c r="OP18" i="14" s="1"/>
  <c r="OH18" i="14"/>
  <c r="OI18" i="14" s="1"/>
  <c r="OB18" i="14"/>
  <c r="OC18" i="14" s="1"/>
  <c r="NV18" i="14"/>
  <c r="NW18" i="14" s="1"/>
  <c r="NO18" i="14"/>
  <c r="NP18" i="14" s="1"/>
  <c r="NI18" i="14"/>
  <c r="NJ18" i="14" s="1"/>
  <c r="NC18" i="14"/>
  <c r="ND18" i="14" s="1"/>
  <c r="MV18" i="14"/>
  <c r="MW18" i="14" s="1"/>
  <c r="MP18" i="14"/>
  <c r="MQ18" i="14" s="1"/>
  <c r="MJ18" i="14"/>
  <c r="MK18" i="14" s="1"/>
  <c r="MC18" i="14"/>
  <c r="MD18" i="14" s="1"/>
  <c r="LW18" i="14"/>
  <c r="LX18" i="14" s="1"/>
  <c r="LQ18" i="14"/>
  <c r="LR18" i="14" s="1"/>
  <c r="LJ18" i="14"/>
  <c r="LK18" i="14" s="1"/>
  <c r="LD18" i="14"/>
  <c r="LE18" i="14" s="1"/>
  <c r="KX18" i="14"/>
  <c r="KY18" i="14" s="1"/>
  <c r="KQ18" i="14"/>
  <c r="KR18" i="14" s="1"/>
  <c r="KK18" i="14"/>
  <c r="KL18" i="14" s="1"/>
  <c r="KE18" i="14"/>
  <c r="KF18" i="14" s="1"/>
  <c r="JX18" i="14"/>
  <c r="JY18" i="14" s="1"/>
  <c r="JR18" i="14"/>
  <c r="JS18" i="14" s="1"/>
  <c r="JL18" i="14"/>
  <c r="JM18" i="14" s="1"/>
  <c r="JE18" i="14"/>
  <c r="JF18" i="14" s="1"/>
  <c r="IY18" i="14"/>
  <c r="IZ18" i="14" s="1"/>
  <c r="IS18" i="14"/>
  <c r="IT18" i="14" s="1"/>
  <c r="IL18" i="14"/>
  <c r="IM18" i="14" s="1"/>
  <c r="IF18" i="14"/>
  <c r="IG18" i="14" s="1"/>
  <c r="HZ18" i="14"/>
  <c r="IA18" i="14" s="1"/>
  <c r="HS18" i="14"/>
  <c r="HT18" i="14" s="1"/>
  <c r="HM18" i="14"/>
  <c r="HN18" i="14" s="1"/>
  <c r="HG18" i="14"/>
  <c r="HH18" i="14" s="1"/>
  <c r="GZ18" i="14"/>
  <c r="HA18" i="14" s="1"/>
  <c r="GT18" i="14"/>
  <c r="GU18" i="14" s="1"/>
  <c r="GN18" i="14"/>
  <c r="GO18" i="14" s="1"/>
  <c r="GG18" i="14"/>
  <c r="GH18" i="14" s="1"/>
  <c r="GA18" i="14"/>
  <c r="GB18" i="14" s="1"/>
  <c r="FU18" i="14"/>
  <c r="FV18" i="14" s="1"/>
  <c r="FN18" i="14"/>
  <c r="FO18" i="14" s="1"/>
  <c r="FH18" i="14"/>
  <c r="FI18" i="14" s="1"/>
  <c r="FB18" i="14"/>
  <c r="FC18" i="14" s="1"/>
  <c r="EU18" i="14"/>
  <c r="EV18" i="14" s="1"/>
  <c r="EO18" i="14"/>
  <c r="EP18" i="14" s="1"/>
  <c r="EI18" i="14"/>
  <c r="EJ18" i="14" s="1"/>
  <c r="EB18" i="14"/>
  <c r="EC18" i="14" s="1"/>
  <c r="DV18" i="14"/>
  <c r="DP18" i="14"/>
  <c r="DQ18" i="14" s="1"/>
  <c r="DI18" i="14"/>
  <c r="DJ18" i="14" s="1"/>
  <c r="DC18" i="14"/>
  <c r="CW18" i="14"/>
  <c r="CX18" i="14" s="1"/>
  <c r="CP18" i="14"/>
  <c r="CQ18" i="14" s="1"/>
  <c r="CJ18" i="14"/>
  <c r="CD18" i="14"/>
  <c r="CE18" i="14" s="1"/>
  <c r="BW18" i="14"/>
  <c r="BX18" i="14" s="1"/>
  <c r="BQ18" i="14"/>
  <c r="BK18" i="14"/>
  <c r="BL18" i="14" s="1"/>
  <c r="BD18" i="14"/>
  <c r="BE18" i="14" s="1"/>
  <c r="AX18" i="14"/>
  <c r="AY18" i="14" s="1"/>
  <c r="AR18" i="14"/>
  <c r="AS18" i="14" s="1"/>
  <c r="AK18" i="14"/>
  <c r="AL18" i="14" s="1"/>
  <c r="AE18" i="14"/>
  <c r="AF18" i="14" s="1"/>
  <c r="Y18" i="14"/>
  <c r="Z18" i="14" s="1"/>
  <c r="R18" i="14"/>
  <c r="S18" i="14" s="1"/>
  <c r="L18" i="14"/>
  <c r="M18" i="14" s="1"/>
  <c r="F18" i="14"/>
  <c r="G18" i="14" s="1"/>
  <c r="UO17" i="14"/>
  <c r="UP17" i="14" s="1"/>
  <c r="UJ17" i="14"/>
  <c r="UK17" i="14" s="1"/>
  <c r="UE17" i="14"/>
  <c r="UF17" i="14" s="1"/>
  <c r="TX17" i="14"/>
  <c r="TY17" i="14" s="1"/>
  <c r="TS17" i="14"/>
  <c r="TT17" i="14" s="1"/>
  <c r="TN17" i="14"/>
  <c r="TG17" i="14"/>
  <c r="TH17" i="14" s="1"/>
  <c r="TB17" i="14"/>
  <c r="TC17" i="14" s="1"/>
  <c r="SW17" i="14"/>
  <c r="SP17" i="14"/>
  <c r="SQ17" i="14" s="1"/>
  <c r="SK17" i="14"/>
  <c r="SL17" i="14" s="1"/>
  <c r="SF17" i="14"/>
  <c r="RY17" i="14"/>
  <c r="RZ17" i="14" s="1"/>
  <c r="RS17" i="14"/>
  <c r="RT17" i="14" s="1"/>
  <c r="RM17" i="14"/>
  <c r="RF17" i="14"/>
  <c r="RG17" i="14" s="1"/>
  <c r="QZ17" i="14"/>
  <c r="RA17" i="14" s="1"/>
  <c r="QT17" i="14"/>
  <c r="QM17" i="14"/>
  <c r="QN17" i="14" s="1"/>
  <c r="QG17" i="14"/>
  <c r="QH17" i="14" s="1"/>
  <c r="QA17" i="14"/>
  <c r="PT17" i="14"/>
  <c r="PU17" i="14" s="1"/>
  <c r="PN17" i="14"/>
  <c r="PO17" i="14" s="1"/>
  <c r="PH17" i="14"/>
  <c r="PA17" i="14"/>
  <c r="PB17" i="14" s="1"/>
  <c r="OU17" i="14"/>
  <c r="OV17" i="14" s="1"/>
  <c r="OO17" i="14"/>
  <c r="OH17" i="14"/>
  <c r="OI17" i="14" s="1"/>
  <c r="OB17" i="14"/>
  <c r="OC17" i="14" s="1"/>
  <c r="NV17" i="14"/>
  <c r="NO17" i="14"/>
  <c r="NP17" i="14" s="1"/>
  <c r="NI17" i="14"/>
  <c r="NJ17" i="14" s="1"/>
  <c r="NC17" i="14"/>
  <c r="MV17" i="14"/>
  <c r="MW17" i="14" s="1"/>
  <c r="MP17" i="14"/>
  <c r="MQ17" i="14" s="1"/>
  <c r="MJ17" i="14"/>
  <c r="MC17" i="14"/>
  <c r="MD17" i="14" s="1"/>
  <c r="LW17" i="14"/>
  <c r="LX17" i="14" s="1"/>
  <c r="LQ17" i="14"/>
  <c r="LJ17" i="14"/>
  <c r="LK17" i="14" s="1"/>
  <c r="LD17" i="14"/>
  <c r="LE17" i="14" s="1"/>
  <c r="KX17" i="14"/>
  <c r="KQ17" i="14"/>
  <c r="KR17" i="14" s="1"/>
  <c r="KK17" i="14"/>
  <c r="KL17" i="14" s="1"/>
  <c r="KE17" i="14"/>
  <c r="JX17" i="14"/>
  <c r="JY17" i="14" s="1"/>
  <c r="JR17" i="14"/>
  <c r="JS17" i="14" s="1"/>
  <c r="JL17" i="14"/>
  <c r="JE17" i="14"/>
  <c r="JF17" i="14" s="1"/>
  <c r="IY17" i="14"/>
  <c r="IZ17" i="14" s="1"/>
  <c r="IS17" i="14"/>
  <c r="IL17" i="14"/>
  <c r="IM17" i="14" s="1"/>
  <c r="IF17" i="14"/>
  <c r="IG17" i="14" s="1"/>
  <c r="HZ17" i="14"/>
  <c r="HS17" i="14"/>
  <c r="HT17" i="14" s="1"/>
  <c r="HM17" i="14"/>
  <c r="HN17" i="14" s="1"/>
  <c r="HG17" i="14"/>
  <c r="GZ17" i="14"/>
  <c r="HA17" i="14" s="1"/>
  <c r="GT17" i="14"/>
  <c r="GU17" i="14" s="1"/>
  <c r="GN17" i="14"/>
  <c r="GG17" i="14"/>
  <c r="GH17" i="14" s="1"/>
  <c r="GA17" i="14"/>
  <c r="GB17" i="14" s="1"/>
  <c r="FU17" i="14"/>
  <c r="FN17" i="14"/>
  <c r="FO17" i="14" s="1"/>
  <c r="FH17" i="14"/>
  <c r="FI17" i="14" s="1"/>
  <c r="FB17" i="14"/>
  <c r="EU17" i="14"/>
  <c r="EV17" i="14" s="1"/>
  <c r="EO17" i="14"/>
  <c r="EP17" i="14" s="1"/>
  <c r="EI17" i="14"/>
  <c r="EB17" i="14"/>
  <c r="EC17" i="14" s="1"/>
  <c r="DV17" i="14"/>
  <c r="DW17" i="14" s="1"/>
  <c r="DP17" i="14"/>
  <c r="DI17" i="14"/>
  <c r="DJ17" i="14" s="1"/>
  <c r="DC17" i="14"/>
  <c r="DD17" i="14" s="1"/>
  <c r="CW17" i="14"/>
  <c r="CP17" i="14"/>
  <c r="CQ17" i="14" s="1"/>
  <c r="CJ17" i="14"/>
  <c r="CK17" i="14" s="1"/>
  <c r="CD17" i="14"/>
  <c r="BW17" i="14"/>
  <c r="BX17" i="14" s="1"/>
  <c r="BQ17" i="14"/>
  <c r="BR17" i="14" s="1"/>
  <c r="BK17" i="14"/>
  <c r="BD17" i="14"/>
  <c r="BE17" i="14" s="1"/>
  <c r="AX17" i="14"/>
  <c r="AY17" i="14" s="1"/>
  <c r="AR17" i="14"/>
  <c r="AK17" i="14"/>
  <c r="AL17" i="14" s="1"/>
  <c r="AE17" i="14"/>
  <c r="AF17" i="14" s="1"/>
  <c r="Y17" i="14"/>
  <c r="R17" i="14"/>
  <c r="S17" i="14" s="1"/>
  <c r="L17" i="14"/>
  <c r="M17" i="14" s="1"/>
  <c r="F17" i="14"/>
  <c r="UO15" i="14"/>
  <c r="UP15" i="14" s="1"/>
  <c r="UJ15" i="14"/>
  <c r="UK15" i="14" s="1"/>
  <c r="UE15" i="14"/>
  <c r="TX15" i="14"/>
  <c r="TY15" i="14" s="1"/>
  <c r="TS15" i="14"/>
  <c r="TT15" i="14" s="1"/>
  <c r="TN15" i="14"/>
  <c r="TO15" i="14" s="1"/>
  <c r="TG15" i="14"/>
  <c r="TH15" i="14" s="1"/>
  <c r="TB15" i="14"/>
  <c r="TC15" i="14" s="1"/>
  <c r="SW15" i="14"/>
  <c r="SP15" i="14"/>
  <c r="SQ15" i="14" s="1"/>
  <c r="SK15" i="14"/>
  <c r="SL15" i="14" s="1"/>
  <c r="SF15" i="14"/>
  <c r="RY15" i="14"/>
  <c r="RZ15" i="14" s="1"/>
  <c r="RS15" i="14"/>
  <c r="RT15" i="14" s="1"/>
  <c r="RM15" i="14"/>
  <c r="RF15" i="14"/>
  <c r="RG15" i="14" s="1"/>
  <c r="QZ15" i="14"/>
  <c r="RA15" i="14" s="1"/>
  <c r="QT15" i="14"/>
  <c r="QM15" i="14"/>
  <c r="QN15" i="14" s="1"/>
  <c r="QG15" i="14"/>
  <c r="QH15" i="14" s="1"/>
  <c r="QA15" i="14"/>
  <c r="PT15" i="14"/>
  <c r="PU15" i="14" s="1"/>
  <c r="PN15" i="14"/>
  <c r="PO15" i="14" s="1"/>
  <c r="PH15" i="14"/>
  <c r="PA15" i="14"/>
  <c r="PB15" i="14" s="1"/>
  <c r="OU15" i="14"/>
  <c r="OV15" i="14" s="1"/>
  <c r="OO15" i="14"/>
  <c r="OH15" i="14"/>
  <c r="OI15" i="14" s="1"/>
  <c r="OB15" i="14"/>
  <c r="OC15" i="14" s="1"/>
  <c r="NV15" i="14"/>
  <c r="NO15" i="14"/>
  <c r="NP15" i="14" s="1"/>
  <c r="NI15" i="14"/>
  <c r="NJ15" i="14" s="1"/>
  <c r="NC15" i="14"/>
  <c r="MV15" i="14"/>
  <c r="MW15" i="14" s="1"/>
  <c r="MP15" i="14"/>
  <c r="MQ15" i="14" s="1"/>
  <c r="MJ15" i="14"/>
  <c r="MC15" i="14"/>
  <c r="MD15" i="14" s="1"/>
  <c r="LW15" i="14"/>
  <c r="LX15" i="14" s="1"/>
  <c r="LQ15" i="14"/>
  <c r="LJ15" i="14"/>
  <c r="LK15" i="14" s="1"/>
  <c r="LD15" i="14"/>
  <c r="LE15" i="14" s="1"/>
  <c r="KX15" i="14"/>
  <c r="KQ15" i="14"/>
  <c r="KR15" i="14" s="1"/>
  <c r="KK15" i="14"/>
  <c r="KL15" i="14" s="1"/>
  <c r="KE15" i="14"/>
  <c r="JX15" i="14"/>
  <c r="JY15" i="14" s="1"/>
  <c r="JR15" i="14"/>
  <c r="JS15" i="14" s="1"/>
  <c r="JL15" i="14"/>
  <c r="JE15" i="14"/>
  <c r="JF15" i="14" s="1"/>
  <c r="IY15" i="14"/>
  <c r="IZ15" i="14" s="1"/>
  <c r="IS15" i="14"/>
  <c r="IL15" i="14"/>
  <c r="IM15" i="14" s="1"/>
  <c r="IF15" i="14"/>
  <c r="IG15" i="14" s="1"/>
  <c r="HZ15" i="14"/>
  <c r="HS15" i="14"/>
  <c r="HT15" i="14" s="1"/>
  <c r="HM15" i="14"/>
  <c r="HN15" i="14" s="1"/>
  <c r="HG15" i="14"/>
  <c r="GZ15" i="14"/>
  <c r="HA15" i="14" s="1"/>
  <c r="GT15" i="14"/>
  <c r="GU15" i="14" s="1"/>
  <c r="GN15" i="14"/>
  <c r="GG15" i="14"/>
  <c r="GH15" i="14" s="1"/>
  <c r="GA15" i="14"/>
  <c r="GB15" i="14" s="1"/>
  <c r="FU15" i="14"/>
  <c r="FN15" i="14"/>
  <c r="FO15" i="14" s="1"/>
  <c r="FH15" i="14"/>
  <c r="FI15" i="14" s="1"/>
  <c r="FB15" i="14"/>
  <c r="EU15" i="14"/>
  <c r="EV15" i="14" s="1"/>
  <c r="EO15" i="14"/>
  <c r="EP15" i="14" s="1"/>
  <c r="EI15" i="14"/>
  <c r="EB15" i="14"/>
  <c r="EC15" i="14" s="1"/>
  <c r="DV15" i="14"/>
  <c r="DW15" i="14" s="1"/>
  <c r="DP15" i="14"/>
  <c r="DI15" i="14"/>
  <c r="DJ15" i="14" s="1"/>
  <c r="DC15" i="14"/>
  <c r="DD15" i="14" s="1"/>
  <c r="CW15" i="14"/>
  <c r="CP15" i="14"/>
  <c r="CQ15" i="14" s="1"/>
  <c r="CJ15" i="14"/>
  <c r="CK15" i="14" s="1"/>
  <c r="CD15" i="14"/>
  <c r="BW15" i="14"/>
  <c r="BX15" i="14" s="1"/>
  <c r="BQ15" i="14"/>
  <c r="BR15" i="14" s="1"/>
  <c r="BK15" i="14"/>
  <c r="BD15" i="14"/>
  <c r="BE15" i="14" s="1"/>
  <c r="AX15" i="14"/>
  <c r="AY15" i="14" s="1"/>
  <c r="AR15" i="14"/>
  <c r="AK15" i="14"/>
  <c r="AL15" i="14" s="1"/>
  <c r="AE15" i="14"/>
  <c r="AF15" i="14" s="1"/>
  <c r="Y15" i="14"/>
  <c r="R15" i="14"/>
  <c r="S15" i="14" s="1"/>
  <c r="L15" i="14"/>
  <c r="M15" i="14" s="1"/>
  <c r="F15" i="14"/>
  <c r="UO14" i="14"/>
  <c r="UP14" i="14" s="1"/>
  <c r="UJ14" i="14"/>
  <c r="UK14" i="14" s="1"/>
  <c r="UE14" i="14"/>
  <c r="TX14" i="14"/>
  <c r="TY14" i="14" s="1"/>
  <c r="TS14" i="14"/>
  <c r="TT14" i="14" s="1"/>
  <c r="TN14" i="14"/>
  <c r="TG14" i="14"/>
  <c r="TH14" i="14" s="1"/>
  <c r="TB14" i="14"/>
  <c r="TC14" i="14" s="1"/>
  <c r="SW14" i="14"/>
  <c r="SP14" i="14"/>
  <c r="SQ14" i="14" s="1"/>
  <c r="SK14" i="14"/>
  <c r="SL14" i="14" s="1"/>
  <c r="SF14" i="14"/>
  <c r="RY14" i="14"/>
  <c r="RZ14" i="14" s="1"/>
  <c r="RS14" i="14"/>
  <c r="RT14" i="14" s="1"/>
  <c r="RM14" i="14"/>
  <c r="RF14" i="14"/>
  <c r="RG14" i="14" s="1"/>
  <c r="QZ14" i="14"/>
  <c r="RA14" i="14" s="1"/>
  <c r="QT14" i="14"/>
  <c r="QM14" i="14"/>
  <c r="QN14" i="14" s="1"/>
  <c r="QG14" i="14"/>
  <c r="QH14" i="14" s="1"/>
  <c r="QA14" i="14"/>
  <c r="PT14" i="14"/>
  <c r="PU14" i="14" s="1"/>
  <c r="PN14" i="14"/>
  <c r="PO14" i="14" s="1"/>
  <c r="PH14" i="14"/>
  <c r="PA14" i="14"/>
  <c r="PB14" i="14" s="1"/>
  <c r="OU14" i="14"/>
  <c r="OV14" i="14" s="1"/>
  <c r="OO14" i="14"/>
  <c r="OH14" i="14"/>
  <c r="OI14" i="14" s="1"/>
  <c r="OB14" i="14"/>
  <c r="NV14" i="14"/>
  <c r="NO14" i="14"/>
  <c r="NP14" i="14" s="1"/>
  <c r="NI14" i="14"/>
  <c r="NC14" i="14"/>
  <c r="MV14" i="14"/>
  <c r="MW14" i="14" s="1"/>
  <c r="MP14" i="14"/>
  <c r="MJ14" i="14"/>
  <c r="MC14" i="14"/>
  <c r="MD14" i="14" s="1"/>
  <c r="LW14" i="14"/>
  <c r="LQ14" i="14"/>
  <c r="LJ14" i="14"/>
  <c r="LK14" i="14" s="1"/>
  <c r="LD14" i="14"/>
  <c r="KX14" i="14"/>
  <c r="KQ14" i="14"/>
  <c r="KR14" i="14" s="1"/>
  <c r="KK14" i="14"/>
  <c r="KE14" i="14"/>
  <c r="JX14" i="14"/>
  <c r="JY14" i="14" s="1"/>
  <c r="JR14" i="14"/>
  <c r="JS14" i="14" s="1"/>
  <c r="JL14" i="14"/>
  <c r="JE14" i="14"/>
  <c r="JF14" i="14" s="1"/>
  <c r="IY14" i="14"/>
  <c r="IZ14" i="14" s="1"/>
  <c r="IS14" i="14"/>
  <c r="IL14" i="14"/>
  <c r="IM14" i="14" s="1"/>
  <c r="IF14" i="14"/>
  <c r="IG14" i="14" s="1"/>
  <c r="HZ14" i="14"/>
  <c r="HS14" i="14"/>
  <c r="HT14" i="14" s="1"/>
  <c r="HM14" i="14"/>
  <c r="HN14" i="14" s="1"/>
  <c r="HG14" i="14"/>
  <c r="GZ14" i="14"/>
  <c r="HA14" i="14" s="1"/>
  <c r="GT14" i="14"/>
  <c r="GU14" i="14" s="1"/>
  <c r="GN14" i="14"/>
  <c r="GG14" i="14"/>
  <c r="GH14" i="14" s="1"/>
  <c r="GA14" i="14"/>
  <c r="FU14" i="14"/>
  <c r="FN14" i="14"/>
  <c r="FO14" i="14" s="1"/>
  <c r="FH14" i="14"/>
  <c r="FB14" i="14"/>
  <c r="FC14" i="14" s="1"/>
  <c r="EU14" i="14"/>
  <c r="EV14" i="14" s="1"/>
  <c r="EO14" i="14"/>
  <c r="EP14" i="14" s="1"/>
  <c r="EI14" i="14"/>
  <c r="EJ14" i="14" s="1"/>
  <c r="EB14" i="14"/>
  <c r="EC14" i="14" s="1"/>
  <c r="DV14" i="14"/>
  <c r="DW14" i="14" s="1"/>
  <c r="DP14" i="14"/>
  <c r="DI14" i="14"/>
  <c r="DC14" i="14"/>
  <c r="CW14" i="14"/>
  <c r="CP14" i="14"/>
  <c r="CQ14" i="14" s="1"/>
  <c r="CJ14" i="14"/>
  <c r="CD14" i="14"/>
  <c r="CE14" i="14" s="1"/>
  <c r="BW14" i="14"/>
  <c r="BX14" i="14" s="1"/>
  <c r="BQ14" i="14"/>
  <c r="BR14" i="14" s="1"/>
  <c r="BK14" i="14"/>
  <c r="BD14" i="14"/>
  <c r="BE14" i="14" s="1"/>
  <c r="AX14" i="14"/>
  <c r="AY14" i="14" s="1"/>
  <c r="AR14" i="14"/>
  <c r="AK14" i="14"/>
  <c r="AL14" i="14" s="1"/>
  <c r="AE14" i="14"/>
  <c r="AF14" i="14" s="1"/>
  <c r="Y14" i="14"/>
  <c r="R14" i="14"/>
  <c r="L14" i="14"/>
  <c r="M14" i="14" s="1"/>
  <c r="F14" i="14"/>
  <c r="UO12" i="14"/>
  <c r="UP12" i="14" s="1"/>
  <c r="UJ12" i="14"/>
  <c r="UK12" i="14" s="1"/>
  <c r="UE12" i="14"/>
  <c r="TX12" i="14"/>
  <c r="TY12" i="14" s="1"/>
  <c r="TS12" i="14"/>
  <c r="TT12" i="14" s="1"/>
  <c r="TN12" i="14"/>
  <c r="TG12" i="14"/>
  <c r="TH12" i="14" s="1"/>
  <c r="TB12" i="14"/>
  <c r="TC12" i="14" s="1"/>
  <c r="SW12" i="14"/>
  <c r="SP12" i="14"/>
  <c r="SQ12" i="14" s="1"/>
  <c r="SK12" i="14"/>
  <c r="SL12" i="14" s="1"/>
  <c r="SF12" i="14"/>
  <c r="RY12" i="14"/>
  <c r="RZ12" i="14" s="1"/>
  <c r="RS12" i="14"/>
  <c r="RT12" i="14" s="1"/>
  <c r="RM12" i="14"/>
  <c r="RF12" i="14"/>
  <c r="RG12" i="14" s="1"/>
  <c r="QZ12" i="14"/>
  <c r="RA12" i="14" s="1"/>
  <c r="QT12" i="14"/>
  <c r="QM12" i="14"/>
  <c r="QN12" i="14" s="1"/>
  <c r="QG12" i="14"/>
  <c r="QH12" i="14" s="1"/>
  <c r="QA12" i="14"/>
  <c r="PT12" i="14"/>
  <c r="PU12" i="14" s="1"/>
  <c r="PN12" i="14"/>
  <c r="PO12" i="14" s="1"/>
  <c r="PH12" i="14"/>
  <c r="PA12" i="14"/>
  <c r="PB12" i="14" s="1"/>
  <c r="OU12" i="14"/>
  <c r="OV12" i="14" s="1"/>
  <c r="OO12" i="14"/>
  <c r="OH12" i="14"/>
  <c r="OI12" i="14" s="1"/>
  <c r="OB12" i="14"/>
  <c r="OC12" i="14" s="1"/>
  <c r="NV12" i="14"/>
  <c r="NO12" i="14"/>
  <c r="NP12" i="14" s="1"/>
  <c r="NI12" i="14"/>
  <c r="NJ12" i="14" s="1"/>
  <c r="NC12" i="14"/>
  <c r="MV12" i="14"/>
  <c r="MW12" i="14" s="1"/>
  <c r="MP12" i="14"/>
  <c r="MQ12" i="14" s="1"/>
  <c r="MJ12" i="14"/>
  <c r="MC12" i="14"/>
  <c r="MD12" i="14" s="1"/>
  <c r="LW12" i="14"/>
  <c r="LX12" i="14" s="1"/>
  <c r="LQ12" i="14"/>
  <c r="LJ12" i="14"/>
  <c r="LK12" i="14" s="1"/>
  <c r="LD12" i="14"/>
  <c r="LE12" i="14" s="1"/>
  <c r="KX12" i="14"/>
  <c r="KQ12" i="14"/>
  <c r="KR12" i="14" s="1"/>
  <c r="KK12" i="14"/>
  <c r="KL12" i="14" s="1"/>
  <c r="KE12" i="14"/>
  <c r="JX12" i="14"/>
  <c r="JY12" i="14" s="1"/>
  <c r="JR12" i="14"/>
  <c r="JS12" i="14" s="1"/>
  <c r="JL12" i="14"/>
  <c r="JE12" i="14"/>
  <c r="JF12" i="14" s="1"/>
  <c r="IY12" i="14"/>
  <c r="IZ12" i="14" s="1"/>
  <c r="IS12" i="14"/>
  <c r="IL12" i="14"/>
  <c r="IM12" i="14" s="1"/>
  <c r="IF12" i="14"/>
  <c r="IG12" i="14" s="1"/>
  <c r="HZ12" i="14"/>
  <c r="HS12" i="14"/>
  <c r="HT12" i="14" s="1"/>
  <c r="HM12" i="14"/>
  <c r="HN12" i="14" s="1"/>
  <c r="HG12" i="14"/>
  <c r="GZ12" i="14"/>
  <c r="HA12" i="14" s="1"/>
  <c r="GT12" i="14"/>
  <c r="GU12" i="14" s="1"/>
  <c r="GN12" i="14"/>
  <c r="GG12" i="14"/>
  <c r="GH12" i="14" s="1"/>
  <c r="GA12" i="14"/>
  <c r="GB12" i="14" s="1"/>
  <c r="FU12" i="14"/>
  <c r="FN12" i="14"/>
  <c r="FO12" i="14" s="1"/>
  <c r="FH12" i="14"/>
  <c r="FI12" i="14" s="1"/>
  <c r="FB12" i="14"/>
  <c r="EU12" i="14"/>
  <c r="EV12" i="14" s="1"/>
  <c r="EO12" i="14"/>
  <c r="EP12" i="14" s="1"/>
  <c r="EI12" i="14"/>
  <c r="EB12" i="14"/>
  <c r="EC12" i="14" s="1"/>
  <c r="DV12" i="14"/>
  <c r="DW12" i="14" s="1"/>
  <c r="DP12" i="14"/>
  <c r="DI12" i="14"/>
  <c r="DJ12" i="14" s="1"/>
  <c r="DC12" i="14"/>
  <c r="DD12" i="14" s="1"/>
  <c r="CW12" i="14"/>
  <c r="CP12" i="14"/>
  <c r="CQ12" i="14" s="1"/>
  <c r="CJ12" i="14"/>
  <c r="CK12" i="14" s="1"/>
  <c r="CD12" i="14"/>
  <c r="BW12" i="14"/>
  <c r="BX12" i="14" s="1"/>
  <c r="BQ12" i="14"/>
  <c r="BR12" i="14" s="1"/>
  <c r="BK12" i="14"/>
  <c r="BD12" i="14"/>
  <c r="BE12" i="14" s="1"/>
  <c r="AX12" i="14"/>
  <c r="AY12" i="14" s="1"/>
  <c r="AR12" i="14"/>
  <c r="AK12" i="14"/>
  <c r="AL12" i="14" s="1"/>
  <c r="AE12" i="14"/>
  <c r="AF12" i="14" s="1"/>
  <c r="Y12" i="14"/>
  <c r="R12" i="14"/>
  <c r="S12" i="14" s="1"/>
  <c r="L12" i="14"/>
  <c r="M12" i="14" s="1"/>
  <c r="F12" i="14"/>
  <c r="UO11" i="14"/>
  <c r="UP11" i="14" s="1"/>
  <c r="UJ11" i="14"/>
  <c r="UK11" i="14" s="1"/>
  <c r="UE11" i="14"/>
  <c r="TX11" i="14"/>
  <c r="TY11" i="14" s="1"/>
  <c r="TS11" i="14"/>
  <c r="TT11" i="14" s="1"/>
  <c r="TN11" i="14"/>
  <c r="TG11" i="14"/>
  <c r="TH11" i="14" s="1"/>
  <c r="TB11" i="14"/>
  <c r="SW11" i="14"/>
  <c r="SP11" i="14"/>
  <c r="SQ11" i="14" s="1"/>
  <c r="SK11" i="14"/>
  <c r="SL11" i="14" s="1"/>
  <c r="SF11" i="14"/>
  <c r="RY11" i="14"/>
  <c r="RZ11" i="14" s="1"/>
  <c r="RS11" i="14"/>
  <c r="RM11" i="14"/>
  <c r="RF11" i="14"/>
  <c r="RG11" i="14" s="1"/>
  <c r="QZ11" i="14"/>
  <c r="RA11" i="14" s="1"/>
  <c r="QT11" i="14"/>
  <c r="QM11" i="14"/>
  <c r="QN11" i="14" s="1"/>
  <c r="QG11" i="14"/>
  <c r="QA11" i="14"/>
  <c r="PT11" i="14"/>
  <c r="PU11" i="14" s="1"/>
  <c r="PN11" i="14"/>
  <c r="PO11" i="14" s="1"/>
  <c r="PH11" i="14"/>
  <c r="PA11" i="14"/>
  <c r="PB11" i="14" s="1"/>
  <c r="OU11" i="14"/>
  <c r="OO11" i="14"/>
  <c r="OH11" i="14"/>
  <c r="OI11" i="14" s="1"/>
  <c r="OB11" i="14"/>
  <c r="OC11" i="14" s="1"/>
  <c r="NV11" i="14"/>
  <c r="NO11" i="14"/>
  <c r="NP11" i="14" s="1"/>
  <c r="NI11" i="14"/>
  <c r="NC11" i="14"/>
  <c r="MV11" i="14"/>
  <c r="MW11" i="14" s="1"/>
  <c r="MP11" i="14"/>
  <c r="MQ11" i="14" s="1"/>
  <c r="MJ11" i="14"/>
  <c r="MC11" i="14"/>
  <c r="MD11" i="14" s="1"/>
  <c r="LW11" i="14"/>
  <c r="LQ11" i="14"/>
  <c r="LJ11" i="14"/>
  <c r="LK11" i="14" s="1"/>
  <c r="LD11" i="14"/>
  <c r="LE11" i="14" s="1"/>
  <c r="KX11" i="14"/>
  <c r="KQ11" i="14"/>
  <c r="KR11" i="14" s="1"/>
  <c r="KK11" i="14"/>
  <c r="KE11" i="14"/>
  <c r="JX11" i="14"/>
  <c r="JY11" i="14" s="1"/>
  <c r="JR11" i="14"/>
  <c r="JS11" i="14" s="1"/>
  <c r="JL11" i="14"/>
  <c r="JE11" i="14"/>
  <c r="JF11" i="14" s="1"/>
  <c r="IY11" i="14"/>
  <c r="IS11" i="14"/>
  <c r="IT11" i="14" s="1"/>
  <c r="IL11" i="14"/>
  <c r="IF11" i="14"/>
  <c r="IG11" i="14" s="1"/>
  <c r="HZ11" i="14"/>
  <c r="HS11" i="14"/>
  <c r="HM11" i="14"/>
  <c r="HG11" i="14"/>
  <c r="GZ11" i="14"/>
  <c r="HA11" i="14" s="1"/>
  <c r="GT11" i="14"/>
  <c r="GU11" i="14" s="1"/>
  <c r="GN11" i="14"/>
  <c r="GG11" i="14"/>
  <c r="GH11" i="14" s="1"/>
  <c r="GA11" i="14"/>
  <c r="FU11" i="14"/>
  <c r="FV11" i="14" s="1"/>
  <c r="FN11" i="14"/>
  <c r="FH11" i="14"/>
  <c r="FI11" i="14" s="1"/>
  <c r="FB11" i="14"/>
  <c r="EU11" i="14"/>
  <c r="EV11" i="14" s="1"/>
  <c r="EO11" i="14"/>
  <c r="EI11" i="14"/>
  <c r="EJ11" i="14" s="1"/>
  <c r="EB11" i="14"/>
  <c r="EC11" i="14" s="1"/>
  <c r="DV11" i="14"/>
  <c r="DW11" i="14" s="1"/>
  <c r="DP11" i="14"/>
  <c r="DI11" i="14"/>
  <c r="DJ11" i="14" s="1"/>
  <c r="DC11" i="14"/>
  <c r="CW11" i="14"/>
  <c r="CX11" i="14" s="1"/>
  <c r="CP11" i="14"/>
  <c r="CJ11" i="14"/>
  <c r="CK11" i="14" s="1"/>
  <c r="CD11" i="14"/>
  <c r="BW11" i="14"/>
  <c r="BX11" i="14" s="1"/>
  <c r="BQ11" i="14"/>
  <c r="BK11" i="14"/>
  <c r="BL11" i="14" s="1"/>
  <c r="BD11" i="14"/>
  <c r="BE11" i="14" s="1"/>
  <c r="AX11" i="14"/>
  <c r="AY11" i="14" s="1"/>
  <c r="AR11" i="14"/>
  <c r="AK11" i="14"/>
  <c r="AL11" i="14" s="1"/>
  <c r="AE11" i="14"/>
  <c r="Y11" i="14"/>
  <c r="Z11" i="14" s="1"/>
  <c r="R11" i="14"/>
  <c r="L11" i="14"/>
  <c r="M11" i="14" s="1"/>
  <c r="F11" i="14"/>
  <c r="UO9" i="14"/>
  <c r="UP9" i="14" s="1"/>
  <c r="UJ9" i="14"/>
  <c r="UK9" i="14" s="1"/>
  <c r="UE9" i="14"/>
  <c r="TX9" i="14"/>
  <c r="TY9" i="14" s="1"/>
  <c r="TS9" i="14"/>
  <c r="TT9" i="14" s="1"/>
  <c r="TN9" i="14"/>
  <c r="TG9" i="14"/>
  <c r="TH9" i="14" s="1"/>
  <c r="TB9" i="14"/>
  <c r="TC9" i="14" s="1"/>
  <c r="SW9" i="14"/>
  <c r="SP9" i="14"/>
  <c r="SQ9" i="14" s="1"/>
  <c r="SK9" i="14"/>
  <c r="SL9" i="14" s="1"/>
  <c r="SF9" i="14"/>
  <c r="RY9" i="14"/>
  <c r="RZ9" i="14" s="1"/>
  <c r="RS9" i="14"/>
  <c r="RT9" i="14" s="1"/>
  <c r="RM9" i="14"/>
  <c r="RF9" i="14"/>
  <c r="RG9" i="14" s="1"/>
  <c r="QZ9" i="14"/>
  <c r="RA9" i="14" s="1"/>
  <c r="QT9" i="14"/>
  <c r="QM9" i="14"/>
  <c r="QN9" i="14" s="1"/>
  <c r="QG9" i="14"/>
  <c r="QH9" i="14" s="1"/>
  <c r="QA9" i="14"/>
  <c r="PT9" i="14"/>
  <c r="PU9" i="14" s="1"/>
  <c r="PN9" i="14"/>
  <c r="PO9" i="14" s="1"/>
  <c r="PH9" i="14"/>
  <c r="PA9" i="14"/>
  <c r="PB9" i="14" s="1"/>
  <c r="OU9" i="14"/>
  <c r="OV9" i="14" s="1"/>
  <c r="OO9" i="14"/>
  <c r="OH9" i="14"/>
  <c r="OI9" i="14" s="1"/>
  <c r="OB9" i="14"/>
  <c r="OC9" i="14" s="1"/>
  <c r="NV9" i="14"/>
  <c r="NO9" i="14"/>
  <c r="NP9" i="14" s="1"/>
  <c r="NI9" i="14"/>
  <c r="NJ9" i="14" s="1"/>
  <c r="NC9" i="14"/>
  <c r="MV9" i="14"/>
  <c r="MW9" i="14" s="1"/>
  <c r="MP9" i="14"/>
  <c r="MQ9" i="14" s="1"/>
  <c r="MJ9" i="14"/>
  <c r="MC9" i="14"/>
  <c r="MD9" i="14" s="1"/>
  <c r="LW9" i="14"/>
  <c r="LX9" i="14" s="1"/>
  <c r="LQ9" i="14"/>
  <c r="LJ9" i="14"/>
  <c r="LK9" i="14" s="1"/>
  <c r="LD9" i="14"/>
  <c r="LE9" i="14" s="1"/>
  <c r="KX9" i="14"/>
  <c r="KQ9" i="14"/>
  <c r="KR9" i="14" s="1"/>
  <c r="KK9" i="14"/>
  <c r="KL9" i="14" s="1"/>
  <c r="KE9" i="14"/>
  <c r="JX9" i="14"/>
  <c r="JY9" i="14" s="1"/>
  <c r="JR9" i="14"/>
  <c r="JS9" i="14" s="1"/>
  <c r="JL9" i="14"/>
  <c r="JE9" i="14"/>
  <c r="JF9" i="14" s="1"/>
  <c r="IY9" i="14"/>
  <c r="IZ9" i="14" s="1"/>
  <c r="IS9" i="14"/>
  <c r="IL9" i="14"/>
  <c r="IM9" i="14" s="1"/>
  <c r="IF9" i="14"/>
  <c r="IG9" i="14" s="1"/>
  <c r="HZ9" i="14"/>
  <c r="HS9" i="14"/>
  <c r="HT9" i="14" s="1"/>
  <c r="HM9" i="14"/>
  <c r="HN9" i="14" s="1"/>
  <c r="HG9" i="14"/>
  <c r="GZ9" i="14"/>
  <c r="HA9" i="14" s="1"/>
  <c r="GT9" i="14"/>
  <c r="GU9" i="14" s="1"/>
  <c r="GN9" i="14"/>
  <c r="GG9" i="14"/>
  <c r="GH9" i="14" s="1"/>
  <c r="GA9" i="14"/>
  <c r="GB9" i="14" s="1"/>
  <c r="FU9" i="14"/>
  <c r="FN9" i="14"/>
  <c r="FO9" i="14" s="1"/>
  <c r="FH9" i="14"/>
  <c r="FI9" i="14" s="1"/>
  <c r="FB9" i="14"/>
  <c r="EU9" i="14"/>
  <c r="EV9" i="14" s="1"/>
  <c r="EO9" i="14"/>
  <c r="EP9" i="14" s="1"/>
  <c r="EI9" i="14"/>
  <c r="EB9" i="14"/>
  <c r="EC9" i="14" s="1"/>
  <c r="DV9" i="14"/>
  <c r="DW9" i="14" s="1"/>
  <c r="DP9" i="14"/>
  <c r="DI9" i="14"/>
  <c r="DJ9" i="14" s="1"/>
  <c r="DC9" i="14"/>
  <c r="DD9" i="14" s="1"/>
  <c r="CW9" i="14"/>
  <c r="CP9" i="14"/>
  <c r="CQ9" i="14" s="1"/>
  <c r="CJ9" i="14"/>
  <c r="CK9" i="14" s="1"/>
  <c r="CD9" i="14"/>
  <c r="BW9" i="14"/>
  <c r="BX9" i="14" s="1"/>
  <c r="BQ9" i="14"/>
  <c r="BR9" i="14" s="1"/>
  <c r="BK9" i="14"/>
  <c r="BD9" i="14"/>
  <c r="BE9" i="14" s="1"/>
  <c r="AX9" i="14"/>
  <c r="AY9" i="14" s="1"/>
  <c r="AR9" i="14"/>
  <c r="AK9" i="14"/>
  <c r="AL9" i="14" s="1"/>
  <c r="AE9" i="14"/>
  <c r="AF9" i="14" s="1"/>
  <c r="Y9" i="14"/>
  <c r="R9" i="14"/>
  <c r="S9" i="14" s="1"/>
  <c r="L9" i="14"/>
  <c r="M9" i="14" s="1"/>
  <c r="F9" i="14"/>
  <c r="UO8" i="14"/>
  <c r="UP8" i="14" s="1"/>
  <c r="UJ8" i="14"/>
  <c r="UK8" i="14" s="1"/>
  <c r="UE8" i="14"/>
  <c r="TX8" i="14"/>
  <c r="TY8" i="14" s="1"/>
  <c r="TS8" i="14"/>
  <c r="TT8" i="14" s="1"/>
  <c r="TN8" i="14"/>
  <c r="TG8" i="14"/>
  <c r="TH8" i="14" s="1"/>
  <c r="TB8" i="14"/>
  <c r="TC8" i="14" s="1"/>
  <c r="SW8" i="14"/>
  <c r="SP8" i="14"/>
  <c r="SQ8" i="14" s="1"/>
  <c r="SK8" i="14"/>
  <c r="SL8" i="14" s="1"/>
  <c r="SF8" i="14"/>
  <c r="RY8" i="14"/>
  <c r="RZ8" i="14" s="1"/>
  <c r="RS8" i="14"/>
  <c r="RT8" i="14" s="1"/>
  <c r="RM8" i="14"/>
  <c r="RF8" i="14"/>
  <c r="RG8" i="14" s="1"/>
  <c r="QZ8" i="14"/>
  <c r="RA8" i="14" s="1"/>
  <c r="QT8" i="14"/>
  <c r="QM8" i="14"/>
  <c r="QN8" i="14" s="1"/>
  <c r="QG8" i="14"/>
  <c r="QH8" i="14" s="1"/>
  <c r="QA8" i="14"/>
  <c r="PT8" i="14"/>
  <c r="PU8" i="14" s="1"/>
  <c r="PN8" i="14"/>
  <c r="PO8" i="14" s="1"/>
  <c r="PH8" i="14"/>
  <c r="PA8" i="14"/>
  <c r="PB8" i="14" s="1"/>
  <c r="OU8" i="14"/>
  <c r="OV8" i="14" s="1"/>
  <c r="OO8" i="14"/>
  <c r="OH8" i="14"/>
  <c r="OI8" i="14" s="1"/>
  <c r="OB8" i="14"/>
  <c r="OC8" i="14" s="1"/>
  <c r="NV8" i="14"/>
  <c r="NO8" i="14"/>
  <c r="NP8" i="14" s="1"/>
  <c r="NI8" i="14"/>
  <c r="NJ8" i="14" s="1"/>
  <c r="NC8" i="14"/>
  <c r="MV8" i="14"/>
  <c r="MW8" i="14" s="1"/>
  <c r="MP8" i="14"/>
  <c r="MQ8" i="14" s="1"/>
  <c r="MJ8" i="14"/>
  <c r="MC8" i="14"/>
  <c r="MD8" i="14" s="1"/>
  <c r="LW8" i="14"/>
  <c r="LX8" i="14" s="1"/>
  <c r="LQ8" i="14"/>
  <c r="LJ8" i="14"/>
  <c r="LK8" i="14" s="1"/>
  <c r="LD8" i="14"/>
  <c r="LE8" i="14" s="1"/>
  <c r="KX8" i="14"/>
  <c r="KQ8" i="14"/>
  <c r="KR8" i="14" s="1"/>
  <c r="KK8" i="14"/>
  <c r="KL8" i="14" s="1"/>
  <c r="KE8" i="14"/>
  <c r="KF8" i="14" s="1"/>
  <c r="JX8" i="14"/>
  <c r="JY8" i="14" s="1"/>
  <c r="JR8" i="14"/>
  <c r="JS8" i="14" s="1"/>
  <c r="JL8" i="14"/>
  <c r="JE8" i="14"/>
  <c r="JF8" i="14" s="1"/>
  <c r="IY8" i="14"/>
  <c r="IZ8" i="14" s="1"/>
  <c r="IS8" i="14"/>
  <c r="IT8" i="14" s="1"/>
  <c r="IL8" i="14"/>
  <c r="IM8" i="14" s="1"/>
  <c r="IF8" i="14"/>
  <c r="IG8" i="14" s="1"/>
  <c r="HZ8" i="14"/>
  <c r="HS8" i="14"/>
  <c r="HT8" i="14" s="1"/>
  <c r="HM8" i="14"/>
  <c r="HN8" i="14" s="1"/>
  <c r="HG8" i="14"/>
  <c r="HH8" i="14" s="1"/>
  <c r="GZ8" i="14"/>
  <c r="GT8" i="14"/>
  <c r="GU8" i="14" s="1"/>
  <c r="GN8" i="14"/>
  <c r="GO8" i="14" s="1"/>
  <c r="GG8" i="14"/>
  <c r="GH8" i="14" s="1"/>
  <c r="GA8" i="14"/>
  <c r="GB8" i="14" s="1"/>
  <c r="FU8" i="14"/>
  <c r="FV8" i="14" s="1"/>
  <c r="FN8" i="14"/>
  <c r="FH8" i="14"/>
  <c r="FI8" i="14" s="1"/>
  <c r="FB8" i="14"/>
  <c r="FC8" i="14" s="1"/>
  <c r="EU8" i="14"/>
  <c r="EV8" i="14" s="1"/>
  <c r="EO8" i="14"/>
  <c r="EP8" i="14" s="1"/>
  <c r="EI8" i="14"/>
  <c r="EB8" i="14"/>
  <c r="DV8" i="14"/>
  <c r="DW8" i="14" s="1"/>
  <c r="DP8" i="14"/>
  <c r="DQ8" i="14" s="1"/>
  <c r="DI8" i="14"/>
  <c r="DJ8" i="14" s="1"/>
  <c r="DC8" i="14"/>
  <c r="DD8" i="14" s="1"/>
  <c r="CW8" i="14"/>
  <c r="CX8" i="14" s="1"/>
  <c r="CP8" i="14"/>
  <c r="CJ8" i="14"/>
  <c r="CK8" i="14" s="1"/>
  <c r="CD8" i="14"/>
  <c r="CE8" i="14" s="1"/>
  <c r="BW8" i="14"/>
  <c r="BX8" i="14" s="1"/>
  <c r="BQ8" i="14"/>
  <c r="BR8" i="14" s="1"/>
  <c r="BK8" i="14"/>
  <c r="BD8" i="14"/>
  <c r="AX8" i="14"/>
  <c r="AY8" i="14" s="1"/>
  <c r="AR8" i="14"/>
  <c r="AS8" i="14" s="1"/>
  <c r="AK8" i="14"/>
  <c r="AL8" i="14" s="1"/>
  <c r="AE8" i="14"/>
  <c r="AF8" i="14" s="1"/>
  <c r="Y8" i="14"/>
  <c r="Z8" i="14" s="1"/>
  <c r="R8" i="14"/>
  <c r="L8" i="14"/>
  <c r="M8" i="14" s="1"/>
  <c r="F8" i="14"/>
  <c r="G8" i="14" s="1"/>
  <c r="UO7" i="14"/>
  <c r="UP7" i="14" s="1"/>
  <c r="UJ7" i="14"/>
  <c r="UK7" i="14" s="1"/>
  <c r="UE7" i="14"/>
  <c r="TX7" i="14"/>
  <c r="TS7" i="14"/>
  <c r="TT7" i="14" s="1"/>
  <c r="TN7" i="14"/>
  <c r="TO7" i="14" s="1"/>
  <c r="TG7" i="14"/>
  <c r="TH7" i="14" s="1"/>
  <c r="TB7" i="14"/>
  <c r="TC7" i="14" s="1"/>
  <c r="SW7" i="14"/>
  <c r="SX7" i="14" s="1"/>
  <c r="SP7" i="14"/>
  <c r="SK7" i="14"/>
  <c r="SL7" i="14" s="1"/>
  <c r="SF7" i="14"/>
  <c r="SG7" i="14" s="1"/>
  <c r="RY7" i="14"/>
  <c r="RZ7" i="14" s="1"/>
  <c r="RS7" i="14"/>
  <c r="RT7" i="14" s="1"/>
  <c r="RM7" i="14"/>
  <c r="RN7" i="14" s="1"/>
  <c r="RF7" i="14"/>
  <c r="QZ7" i="14"/>
  <c r="RA7" i="14" s="1"/>
  <c r="QT7" i="14"/>
  <c r="QU7" i="14" s="1"/>
  <c r="QM7" i="14"/>
  <c r="QN7" i="14" s="1"/>
  <c r="QG7" i="14"/>
  <c r="QH7" i="14" s="1"/>
  <c r="QA7" i="14"/>
  <c r="QB7" i="14" s="1"/>
  <c r="PT7" i="14"/>
  <c r="PN7" i="14"/>
  <c r="PO7" i="14" s="1"/>
  <c r="PH7" i="14"/>
  <c r="PI7" i="14" s="1"/>
  <c r="PA7" i="14"/>
  <c r="PB7" i="14" s="1"/>
  <c r="OU7" i="14"/>
  <c r="OV7" i="14" s="1"/>
  <c r="OO7" i="14"/>
  <c r="OH7" i="14"/>
  <c r="OB7" i="14"/>
  <c r="OC7" i="14" s="1"/>
  <c r="NV7" i="14"/>
  <c r="NW7" i="14" s="1"/>
  <c r="NO7" i="14"/>
  <c r="NP7" i="14" s="1"/>
  <c r="NI7" i="14"/>
  <c r="NJ7" i="14" s="1"/>
  <c r="NC7" i="14"/>
  <c r="ND7" i="14" s="1"/>
  <c r="MV7" i="14"/>
  <c r="MP7" i="14"/>
  <c r="MQ7" i="14" s="1"/>
  <c r="MJ7" i="14"/>
  <c r="MK7" i="14" s="1"/>
  <c r="MC7" i="14"/>
  <c r="MD7" i="14" s="1"/>
  <c r="LW7" i="14"/>
  <c r="LX7" i="14" s="1"/>
  <c r="LQ7" i="14"/>
  <c r="LR7" i="14" s="1"/>
  <c r="LJ7" i="14"/>
  <c r="LD7" i="14"/>
  <c r="LE7" i="14" s="1"/>
  <c r="KX7" i="14"/>
  <c r="KY7" i="14" s="1"/>
  <c r="KQ7" i="14"/>
  <c r="KR7" i="14" s="1"/>
  <c r="KK7" i="14"/>
  <c r="KL7" i="14" s="1"/>
  <c r="KE7" i="14"/>
  <c r="KF7" i="14" s="1"/>
  <c r="JX7" i="14"/>
  <c r="JR7" i="14"/>
  <c r="JS7" i="14" s="1"/>
  <c r="JL7" i="14"/>
  <c r="JM7" i="14" s="1"/>
  <c r="JE7" i="14"/>
  <c r="JF7" i="14" s="1"/>
  <c r="IY7" i="14"/>
  <c r="IZ7" i="14" s="1"/>
  <c r="IS7" i="14"/>
  <c r="IL7" i="14"/>
  <c r="IF7" i="14"/>
  <c r="IG7" i="14" s="1"/>
  <c r="HZ7" i="14"/>
  <c r="IA7" i="14" s="1"/>
  <c r="HS7" i="14"/>
  <c r="HT7" i="14" s="1"/>
  <c r="HM7" i="14"/>
  <c r="HN7" i="14" s="1"/>
  <c r="HG7" i="14"/>
  <c r="HH7" i="14" s="1"/>
  <c r="GZ7" i="14"/>
  <c r="GT7" i="14"/>
  <c r="GU7" i="14" s="1"/>
  <c r="GN7" i="14"/>
  <c r="GO7" i="14" s="1"/>
  <c r="GG7" i="14"/>
  <c r="GH7" i="14" s="1"/>
  <c r="GA7" i="14"/>
  <c r="GB7" i="14" s="1"/>
  <c r="FU7" i="14"/>
  <c r="FV7" i="14" s="1"/>
  <c r="FN7" i="14"/>
  <c r="FH7" i="14"/>
  <c r="FI7" i="14" s="1"/>
  <c r="FB7" i="14"/>
  <c r="FC7" i="14" s="1"/>
  <c r="EU7" i="14"/>
  <c r="EV7" i="14" s="1"/>
  <c r="EO7" i="14"/>
  <c r="EP7" i="14" s="1"/>
  <c r="EI7" i="14"/>
  <c r="EJ7" i="14" s="1"/>
  <c r="EB7" i="14"/>
  <c r="DV7" i="14"/>
  <c r="DW7" i="14" s="1"/>
  <c r="DP7" i="14"/>
  <c r="DQ7" i="14" s="1"/>
  <c r="DI7" i="14"/>
  <c r="DJ7" i="14" s="1"/>
  <c r="DC7" i="14"/>
  <c r="DD7" i="14" s="1"/>
  <c r="CW7" i="14"/>
  <c r="CP7" i="14"/>
  <c r="CJ7" i="14"/>
  <c r="CK7" i="14" s="1"/>
  <c r="CD7" i="14"/>
  <c r="CE7" i="14" s="1"/>
  <c r="BW7" i="14"/>
  <c r="BX7" i="14" s="1"/>
  <c r="BQ7" i="14"/>
  <c r="BR7" i="14" s="1"/>
  <c r="BK7" i="14"/>
  <c r="BL7" i="14" s="1"/>
  <c r="BD7" i="14"/>
  <c r="AX7" i="14"/>
  <c r="AY7" i="14" s="1"/>
  <c r="AR7" i="14"/>
  <c r="AS7" i="14" s="1"/>
  <c r="AK7" i="14"/>
  <c r="AL7" i="14" s="1"/>
  <c r="AE7" i="14"/>
  <c r="AF7" i="14" s="1"/>
  <c r="Y7" i="14"/>
  <c r="Z7" i="14" s="1"/>
  <c r="R7" i="14"/>
  <c r="L7" i="14"/>
  <c r="M7" i="14" s="1"/>
  <c r="F7" i="14"/>
  <c r="G7" i="14" s="1"/>
  <c r="UO6" i="14"/>
  <c r="UP6" i="14" s="1"/>
  <c r="UJ6" i="14"/>
  <c r="UK6" i="14" s="1"/>
  <c r="UE6" i="14"/>
  <c r="UF6" i="14" s="1"/>
  <c r="TX6" i="14"/>
  <c r="TS6" i="14"/>
  <c r="TT6" i="14" s="1"/>
  <c r="TN6" i="14"/>
  <c r="TO6" i="14" s="1"/>
  <c r="TG6" i="14"/>
  <c r="TH6" i="14" s="1"/>
  <c r="TB6" i="14"/>
  <c r="TC6" i="14" s="1"/>
  <c r="SW6" i="14"/>
  <c r="SP6" i="14"/>
  <c r="SK6" i="14"/>
  <c r="SL6" i="14" s="1"/>
  <c r="SF6" i="14"/>
  <c r="SG6" i="14" s="1"/>
  <c r="RY6" i="14"/>
  <c r="RZ6" i="14" s="1"/>
  <c r="RS6" i="14"/>
  <c r="RT6" i="14" s="1"/>
  <c r="RM6" i="14"/>
  <c r="RN6" i="14" s="1"/>
  <c r="RF6" i="14"/>
  <c r="QZ6" i="14"/>
  <c r="RA6" i="14" s="1"/>
  <c r="QT6" i="14"/>
  <c r="QU6" i="14" s="1"/>
  <c r="QM6" i="14"/>
  <c r="QN6" i="14" s="1"/>
  <c r="QG6" i="14"/>
  <c r="QH6" i="14" s="1"/>
  <c r="QA6" i="14"/>
  <c r="PT6" i="14"/>
  <c r="PN6" i="14"/>
  <c r="PO6" i="14" s="1"/>
  <c r="PH6" i="14"/>
  <c r="PI6" i="14" s="1"/>
  <c r="PA6" i="14"/>
  <c r="PB6" i="14" s="1"/>
  <c r="OU6" i="14"/>
  <c r="OV6" i="14" s="1"/>
  <c r="OO6" i="14"/>
  <c r="OP6" i="14" s="1"/>
  <c r="OH6" i="14"/>
  <c r="OB6" i="14"/>
  <c r="OC6" i="14" s="1"/>
  <c r="NV6" i="14"/>
  <c r="NW6" i="14" s="1"/>
  <c r="NO6" i="14"/>
  <c r="NP6" i="14" s="1"/>
  <c r="NI6" i="14"/>
  <c r="NJ6" i="14" s="1"/>
  <c r="NC6" i="14"/>
  <c r="MV6" i="14"/>
  <c r="MP6" i="14"/>
  <c r="MQ6" i="14" s="1"/>
  <c r="MJ6" i="14"/>
  <c r="MK6" i="14" s="1"/>
  <c r="MC6" i="14"/>
  <c r="MD6" i="14" s="1"/>
  <c r="LW6" i="14"/>
  <c r="LX6" i="14" s="1"/>
  <c r="LQ6" i="14"/>
  <c r="LR6" i="14" s="1"/>
  <c r="LJ6" i="14"/>
  <c r="LD6" i="14"/>
  <c r="LE6" i="14" s="1"/>
  <c r="KX6" i="14"/>
  <c r="KY6" i="14" s="1"/>
  <c r="KQ6" i="14"/>
  <c r="KR6" i="14" s="1"/>
  <c r="KK6" i="14"/>
  <c r="KL6" i="14" s="1"/>
  <c r="KE6" i="14"/>
  <c r="JX6" i="14"/>
  <c r="JY6" i="14" s="1"/>
  <c r="JR6" i="14"/>
  <c r="JS6" i="14" s="1"/>
  <c r="JL6" i="14"/>
  <c r="JM6" i="14" s="1"/>
  <c r="JE6" i="14"/>
  <c r="JF6" i="14" s="1"/>
  <c r="IY6" i="14"/>
  <c r="IZ6" i="14" s="1"/>
  <c r="IS6" i="14"/>
  <c r="IL6" i="14"/>
  <c r="IM6" i="14" s="1"/>
  <c r="IF6" i="14"/>
  <c r="IG6" i="14" s="1"/>
  <c r="HZ6" i="14"/>
  <c r="IA6" i="14" s="1"/>
  <c r="HS6" i="14"/>
  <c r="HT6" i="14" s="1"/>
  <c r="HM6" i="14"/>
  <c r="HN6" i="14" s="1"/>
  <c r="HG6" i="14"/>
  <c r="HH6" i="14" s="1"/>
  <c r="GZ6" i="14"/>
  <c r="HA6" i="14" s="1"/>
  <c r="GT6" i="14"/>
  <c r="GU6" i="14" s="1"/>
  <c r="GN6" i="14"/>
  <c r="GG6" i="14"/>
  <c r="GH6" i="14" s="1"/>
  <c r="GA6" i="14"/>
  <c r="GB6" i="14" s="1"/>
  <c r="FU6" i="14"/>
  <c r="FV6" i="14" s="1"/>
  <c r="FN6" i="14"/>
  <c r="FO6" i="14" s="1"/>
  <c r="FH6" i="14"/>
  <c r="FI6" i="14" s="1"/>
  <c r="FB6" i="14"/>
  <c r="FC6" i="14" s="1"/>
  <c r="EU6" i="14"/>
  <c r="EV6" i="14" s="1"/>
  <c r="EO6" i="14"/>
  <c r="EP6" i="14" s="1"/>
  <c r="EI6" i="14"/>
  <c r="EB6" i="14"/>
  <c r="EC6" i="14" s="1"/>
  <c r="DV6" i="14"/>
  <c r="DW6" i="14" s="1"/>
  <c r="DP6" i="14"/>
  <c r="DQ6" i="14" s="1"/>
  <c r="DI6" i="14"/>
  <c r="DJ6" i="14" s="1"/>
  <c r="DC6" i="14"/>
  <c r="DD6" i="14" s="1"/>
  <c r="CW6" i="14"/>
  <c r="CP6" i="14"/>
  <c r="CQ6" i="14" s="1"/>
  <c r="CJ6" i="14"/>
  <c r="CK6" i="14" s="1"/>
  <c r="CD6" i="14"/>
  <c r="CE6" i="14" s="1"/>
  <c r="BW6" i="14"/>
  <c r="BX6" i="14" s="1"/>
  <c r="BQ6" i="14"/>
  <c r="BR6" i="14" s="1"/>
  <c r="BK6" i="14"/>
  <c r="BL6" i="14" s="1"/>
  <c r="BD6" i="14"/>
  <c r="BE6" i="14" s="1"/>
  <c r="AX6" i="14"/>
  <c r="AY6" i="14" s="1"/>
  <c r="AR6" i="14"/>
  <c r="AK6" i="14"/>
  <c r="AL6" i="14" s="1"/>
  <c r="AE6" i="14"/>
  <c r="AF6" i="14" s="1"/>
  <c r="Y6" i="14"/>
  <c r="Z6" i="14" s="1"/>
  <c r="R6" i="14"/>
  <c r="S6" i="14" s="1"/>
  <c r="L6" i="14"/>
  <c r="M6" i="14" s="1"/>
  <c r="F6" i="14"/>
  <c r="G6" i="14" s="1"/>
  <c r="UO5" i="14"/>
  <c r="UP5" i="14" s="1"/>
  <c r="UJ5" i="14"/>
  <c r="UK5" i="14" s="1"/>
  <c r="UE5" i="14"/>
  <c r="UF5" i="14" s="1"/>
  <c r="TX5" i="14"/>
  <c r="TY5" i="14" s="1"/>
  <c r="TS5" i="14"/>
  <c r="TN5" i="14"/>
  <c r="TO5" i="14" s="1"/>
  <c r="TG5" i="14"/>
  <c r="TH5" i="14" s="1"/>
  <c r="TB5" i="14"/>
  <c r="TC5" i="14" s="1"/>
  <c r="SW5" i="14"/>
  <c r="SP5" i="14"/>
  <c r="SQ5" i="14" s="1"/>
  <c r="SK5" i="14"/>
  <c r="SL5" i="14" s="1"/>
  <c r="SF5" i="14"/>
  <c r="SG5" i="14" s="1"/>
  <c r="RY5" i="14"/>
  <c r="RZ5" i="14" s="1"/>
  <c r="RS5" i="14"/>
  <c r="RT5" i="14" s="1"/>
  <c r="RM5" i="14"/>
  <c r="RN5" i="14" s="1"/>
  <c r="RF5" i="14"/>
  <c r="RG5" i="14" s="1"/>
  <c r="QZ5" i="14"/>
  <c r="RA5" i="14" s="1"/>
  <c r="QT5" i="14"/>
  <c r="QM5" i="14"/>
  <c r="QN5" i="14" s="1"/>
  <c r="QG5" i="14"/>
  <c r="QH5" i="14" s="1"/>
  <c r="QA5" i="14"/>
  <c r="QB5" i="14" s="1"/>
  <c r="PT5" i="14"/>
  <c r="PU5" i="14" s="1"/>
  <c r="PN5" i="14"/>
  <c r="PO5" i="14" s="1"/>
  <c r="PH5" i="14"/>
  <c r="PI5" i="14" s="1"/>
  <c r="PA5" i="14"/>
  <c r="PB5" i="14" s="1"/>
  <c r="OU5" i="14"/>
  <c r="OV5" i="14" s="1"/>
  <c r="OO5" i="14"/>
  <c r="OH5" i="14"/>
  <c r="OI5" i="14" s="1"/>
  <c r="OB5" i="14"/>
  <c r="OC5" i="14" s="1"/>
  <c r="NV5" i="14"/>
  <c r="NW5" i="14" s="1"/>
  <c r="NO5" i="14"/>
  <c r="NI5" i="14"/>
  <c r="NJ5" i="14" s="1"/>
  <c r="NC5" i="14"/>
  <c r="MV5" i="14"/>
  <c r="MW5" i="14" s="1"/>
  <c r="MP5" i="14"/>
  <c r="MQ5" i="14" s="1"/>
  <c r="MJ5" i="14"/>
  <c r="MK5" i="14" s="1"/>
  <c r="MC5" i="14"/>
  <c r="MD5" i="14" s="1"/>
  <c r="LW5" i="14"/>
  <c r="LX5" i="14" s="1"/>
  <c r="LQ5" i="14"/>
  <c r="LR5" i="14" s="1"/>
  <c r="LJ5" i="14"/>
  <c r="LK5" i="14" s="1"/>
  <c r="LD5" i="14"/>
  <c r="LE5" i="14" s="1"/>
  <c r="KX5" i="14"/>
  <c r="KQ5" i="14"/>
  <c r="KR5" i="14" s="1"/>
  <c r="KK5" i="14"/>
  <c r="KL5" i="14" s="1"/>
  <c r="KE5" i="14"/>
  <c r="KF5" i="14" s="1"/>
  <c r="JX5" i="14"/>
  <c r="JY5" i="14" s="1"/>
  <c r="JR5" i="14"/>
  <c r="JS5" i="14" s="1"/>
  <c r="JL5" i="14"/>
  <c r="JM5" i="14" s="1"/>
  <c r="JE5" i="14"/>
  <c r="JF5" i="14" s="1"/>
  <c r="IY5" i="14"/>
  <c r="IZ5" i="14" s="1"/>
  <c r="IS5" i="14"/>
  <c r="IL5" i="14"/>
  <c r="IM5" i="14" s="1"/>
  <c r="IF5" i="14"/>
  <c r="IG5" i="14" s="1"/>
  <c r="HZ5" i="14"/>
  <c r="IA5" i="14" s="1"/>
  <c r="HS5" i="14"/>
  <c r="HT5" i="14" s="1"/>
  <c r="HM5" i="14"/>
  <c r="HN5" i="14" s="1"/>
  <c r="HG5" i="14"/>
  <c r="GZ5" i="14"/>
  <c r="HA5" i="14" s="1"/>
  <c r="GT5" i="14"/>
  <c r="GU5" i="14" s="1"/>
  <c r="GN5" i="14"/>
  <c r="GO5" i="14" s="1"/>
  <c r="GG5" i="14"/>
  <c r="GH5" i="14" s="1"/>
  <c r="GA5" i="14"/>
  <c r="GB5" i="14" s="1"/>
  <c r="FU5" i="14"/>
  <c r="FV5" i="14" s="1"/>
  <c r="FN5" i="14"/>
  <c r="FO5" i="14" s="1"/>
  <c r="FH5" i="14"/>
  <c r="FI5" i="14" s="1"/>
  <c r="FB5" i="14"/>
  <c r="FC5" i="14" s="1"/>
  <c r="EU5" i="14"/>
  <c r="EV5" i="14" s="1"/>
  <c r="EO5" i="14"/>
  <c r="EP5" i="14" s="1"/>
  <c r="EI5" i="14"/>
  <c r="EB5" i="14"/>
  <c r="EC5" i="14" s="1"/>
  <c r="DV5" i="14"/>
  <c r="DW5" i="14" s="1"/>
  <c r="DP5" i="14"/>
  <c r="DQ5" i="14" s="1"/>
  <c r="DI5" i="14"/>
  <c r="DC5" i="14"/>
  <c r="DD5" i="14" s="1"/>
  <c r="CW5" i="14"/>
  <c r="CX5" i="14" s="1"/>
  <c r="CP5" i="14"/>
  <c r="CQ5" i="14" s="1"/>
  <c r="CJ5" i="14"/>
  <c r="CK5" i="14" s="1"/>
  <c r="CD5" i="14"/>
  <c r="BW5" i="14"/>
  <c r="BX5" i="14" s="1"/>
  <c r="BQ5" i="14"/>
  <c r="BR5" i="14" s="1"/>
  <c r="BK5" i="14"/>
  <c r="BL5" i="14" s="1"/>
  <c r="BD5" i="14"/>
  <c r="BE5" i="14" s="1"/>
  <c r="AX5" i="14"/>
  <c r="AY5" i="14" s="1"/>
  <c r="AR5" i="14"/>
  <c r="AS5" i="14" s="1"/>
  <c r="AK5" i="14"/>
  <c r="AE5" i="14"/>
  <c r="AF5" i="14" s="1"/>
  <c r="Y5" i="14"/>
  <c r="Z5" i="14" s="1"/>
  <c r="R5" i="14"/>
  <c r="S5" i="14" s="1"/>
  <c r="L5" i="14"/>
  <c r="M5" i="14" s="1"/>
  <c r="F5" i="14"/>
  <c r="G5" i="14" s="1"/>
  <c r="AJ3" i="14"/>
  <c r="BC3" i="14" s="1"/>
  <c r="BV3" i="14" s="1"/>
  <c r="CO3" i="14" s="1"/>
  <c r="DH3" i="14" s="1"/>
  <c r="EA3" i="14" s="1"/>
  <c r="ET3" i="14" s="1"/>
  <c r="FM3" i="14" s="1"/>
  <c r="GF3" i="14" s="1"/>
  <c r="GY3" i="14" s="1"/>
  <c r="HR3" i="14" s="1"/>
  <c r="IK3" i="14" s="1"/>
  <c r="JD3" i="14" s="1"/>
  <c r="JW3" i="14" s="1"/>
  <c r="KP3" i="14" s="1"/>
  <c r="LI3" i="14" s="1"/>
  <c r="MB3" i="14" s="1"/>
  <c r="MU3" i="14" s="1"/>
  <c r="NN3" i="14" s="1"/>
  <c r="OG3" i="14" s="1"/>
  <c r="OZ3" i="14" s="1"/>
  <c r="PS3" i="14" s="1"/>
  <c r="QL3" i="14" s="1"/>
  <c r="RE3" i="14" s="1"/>
  <c r="RX3" i="14" s="1"/>
  <c r="SO3" i="14" s="1"/>
  <c r="TF3" i="14" s="1"/>
  <c r="TW3" i="14" s="1"/>
  <c r="UN3" i="14" s="1"/>
  <c r="AH3" i="14"/>
  <c r="BA3" i="14" s="1"/>
  <c r="BT3" i="14" s="1"/>
  <c r="CM3" i="14" s="1"/>
  <c r="DF3" i="14" s="1"/>
  <c r="DY3" i="14" s="1"/>
  <c r="ER3" i="14" s="1"/>
  <c r="FK3" i="14" s="1"/>
  <c r="GD3" i="14" s="1"/>
  <c r="GW3" i="14" s="1"/>
  <c r="HP3" i="14" s="1"/>
  <c r="II3" i="14" s="1"/>
  <c r="JB3" i="14" s="1"/>
  <c r="JU3" i="14" s="1"/>
  <c r="KN3" i="14" s="1"/>
  <c r="LG3" i="14" s="1"/>
  <c r="LZ3" i="14" s="1"/>
  <c r="MS3" i="14" s="1"/>
  <c r="NL3" i="14" s="1"/>
  <c r="OE3" i="14" s="1"/>
  <c r="OX3" i="14" s="1"/>
  <c r="PQ3" i="14" s="1"/>
  <c r="QJ3" i="14" s="1"/>
  <c r="RC3" i="14" s="1"/>
  <c r="RV3" i="14" s="1"/>
  <c r="SN3" i="14" s="1"/>
  <c r="TE3" i="14" s="1"/>
  <c r="TV3" i="14" s="1"/>
  <c r="UM3" i="14" s="1"/>
  <c r="AG3" i="14"/>
  <c r="AZ3" i="14" s="1"/>
  <c r="BS3" i="14" s="1"/>
  <c r="CL3" i="14" s="1"/>
  <c r="DE3" i="14" s="1"/>
  <c r="DX3" i="14" s="1"/>
  <c r="EQ3" i="14" s="1"/>
  <c r="FJ3" i="14" s="1"/>
  <c r="GC3" i="14" s="1"/>
  <c r="GV3" i="14" s="1"/>
  <c r="HO3" i="14" s="1"/>
  <c r="IH3" i="14" s="1"/>
  <c r="JA3" i="14" s="1"/>
  <c r="JT3" i="14" s="1"/>
  <c r="KM3" i="14" s="1"/>
  <c r="LF3" i="14" s="1"/>
  <c r="LY3" i="14" s="1"/>
  <c r="MR3" i="14" s="1"/>
  <c r="NK3" i="14" s="1"/>
  <c r="OD3" i="14" s="1"/>
  <c r="OW3" i="14" s="1"/>
  <c r="PP3" i="14" s="1"/>
  <c r="QI3" i="14" s="1"/>
  <c r="RB3" i="14" s="1"/>
  <c r="RU3" i="14" s="1"/>
  <c r="SM3" i="14" s="1"/>
  <c r="TD3" i="14" s="1"/>
  <c r="TU3" i="14" s="1"/>
  <c r="UL3" i="14" s="1"/>
  <c r="AD3" i="14"/>
  <c r="AW3" i="14" s="1"/>
  <c r="BP3" i="14" s="1"/>
  <c r="CI3" i="14" s="1"/>
  <c r="DB3" i="14" s="1"/>
  <c r="DU3" i="14" s="1"/>
  <c r="EN3" i="14" s="1"/>
  <c r="FG3" i="14" s="1"/>
  <c r="FZ3" i="14" s="1"/>
  <c r="GS3" i="14" s="1"/>
  <c r="HL3" i="14" s="1"/>
  <c r="IE3" i="14" s="1"/>
  <c r="IX3" i="14" s="1"/>
  <c r="JQ3" i="14" s="1"/>
  <c r="KJ3" i="14" s="1"/>
  <c r="LC3" i="14" s="1"/>
  <c r="LV3" i="14" s="1"/>
  <c r="MO3" i="14" s="1"/>
  <c r="NH3" i="14" s="1"/>
  <c r="OA3" i="14" s="1"/>
  <c r="OT3" i="14" s="1"/>
  <c r="PM3" i="14" s="1"/>
  <c r="QF3" i="14" s="1"/>
  <c r="QY3" i="14" s="1"/>
  <c r="RR3" i="14" s="1"/>
  <c r="SJ3" i="14" s="1"/>
  <c r="TA3" i="14" s="1"/>
  <c r="TR3" i="14" s="1"/>
  <c r="UI3" i="14" s="1"/>
  <c r="AB3" i="14"/>
  <c r="AU3" i="14" s="1"/>
  <c r="BN3" i="14" s="1"/>
  <c r="CG3" i="14" s="1"/>
  <c r="CZ3" i="14" s="1"/>
  <c r="DS3" i="14" s="1"/>
  <c r="EL3" i="14" s="1"/>
  <c r="FE3" i="14" s="1"/>
  <c r="FX3" i="14" s="1"/>
  <c r="GQ3" i="14" s="1"/>
  <c r="HJ3" i="14" s="1"/>
  <c r="IC3" i="14" s="1"/>
  <c r="IV3" i="14" s="1"/>
  <c r="JO3" i="14" s="1"/>
  <c r="KH3" i="14" s="1"/>
  <c r="LA3" i="14" s="1"/>
  <c r="LT3" i="14" s="1"/>
  <c r="MM3" i="14" s="1"/>
  <c r="NF3" i="14" s="1"/>
  <c r="NY3" i="14" s="1"/>
  <c r="OR3" i="14" s="1"/>
  <c r="PK3" i="14" s="1"/>
  <c r="QD3" i="14" s="1"/>
  <c r="QW3" i="14" s="1"/>
  <c r="RP3" i="14" s="1"/>
  <c r="SI3" i="14" s="1"/>
  <c r="SZ3" i="14" s="1"/>
  <c r="TQ3" i="14" s="1"/>
  <c r="UH3" i="14" s="1"/>
  <c r="AA3" i="14"/>
  <c r="AT3" i="14" s="1"/>
  <c r="BM3" i="14" s="1"/>
  <c r="CF3" i="14" s="1"/>
  <c r="CY3" i="14" s="1"/>
  <c r="DR3" i="14" s="1"/>
  <c r="EK3" i="14" s="1"/>
  <c r="FD3" i="14" s="1"/>
  <c r="FW3" i="14" s="1"/>
  <c r="GP3" i="14" s="1"/>
  <c r="HI3" i="14" s="1"/>
  <c r="IB3" i="14" s="1"/>
  <c r="IU3" i="14" s="1"/>
  <c r="JN3" i="14" s="1"/>
  <c r="KG3" i="14" s="1"/>
  <c r="KZ3" i="14" s="1"/>
  <c r="LS3" i="14" s="1"/>
  <c r="ML3" i="14" s="1"/>
  <c r="NE3" i="14" s="1"/>
  <c r="NX3" i="14" s="1"/>
  <c r="OQ3" i="14" s="1"/>
  <c r="PJ3" i="14" s="1"/>
  <c r="QC3" i="14" s="1"/>
  <c r="QV3" i="14" s="1"/>
  <c r="RO3" i="14" s="1"/>
  <c r="SH3" i="14" s="1"/>
  <c r="SY3" i="14" s="1"/>
  <c r="TP3" i="14" s="1"/>
  <c r="UG3" i="14" s="1"/>
  <c r="X3" i="14"/>
  <c r="AQ3" i="14" s="1"/>
  <c r="BJ3" i="14" s="1"/>
  <c r="CC3" i="14" s="1"/>
  <c r="CV3" i="14" s="1"/>
  <c r="DO3" i="14" s="1"/>
  <c r="EH3" i="14" s="1"/>
  <c r="FA3" i="14" s="1"/>
  <c r="FT3" i="14" s="1"/>
  <c r="GM3" i="14" s="1"/>
  <c r="HF3" i="14" s="1"/>
  <c r="HY3" i="14" s="1"/>
  <c r="IR3" i="14" s="1"/>
  <c r="JK3" i="14" s="1"/>
  <c r="KD3" i="14" s="1"/>
  <c r="KW3" i="14" s="1"/>
  <c r="LP3" i="14" s="1"/>
  <c r="MI3" i="14" s="1"/>
  <c r="NB3" i="14" s="1"/>
  <c r="NU3" i="14" s="1"/>
  <c r="ON3" i="14" s="1"/>
  <c r="PG3" i="14" s="1"/>
  <c r="PZ3" i="14" s="1"/>
  <c r="QS3" i="14" s="1"/>
  <c r="RL3" i="14" s="1"/>
  <c r="SE3" i="14" s="1"/>
  <c r="SV3" i="14" s="1"/>
  <c r="TM3" i="14" s="1"/>
  <c r="UD3" i="14" s="1"/>
  <c r="W3" i="14"/>
  <c r="AP3" i="14" s="1"/>
  <c r="BI3" i="14" s="1"/>
  <c r="CB3" i="14" s="1"/>
  <c r="CU3" i="14" s="1"/>
  <c r="DN3" i="14" s="1"/>
  <c r="EG3" i="14" s="1"/>
  <c r="EZ3" i="14" s="1"/>
  <c r="FS3" i="14" s="1"/>
  <c r="GL3" i="14" s="1"/>
  <c r="HE3" i="14" s="1"/>
  <c r="HX3" i="14" s="1"/>
  <c r="IQ3" i="14" s="1"/>
  <c r="JJ3" i="14" s="1"/>
  <c r="KC3" i="14" s="1"/>
  <c r="KV3" i="14" s="1"/>
  <c r="LO3" i="14" s="1"/>
  <c r="MH3" i="14" s="1"/>
  <c r="NA3" i="14" s="1"/>
  <c r="NT3" i="14" s="1"/>
  <c r="OM3" i="14" s="1"/>
  <c r="PF3" i="14" s="1"/>
  <c r="PY3" i="14" s="1"/>
  <c r="QR3" i="14" s="1"/>
  <c r="RK3" i="14" s="1"/>
  <c r="SD3" i="14" s="1"/>
  <c r="SU3" i="14" s="1"/>
  <c r="TL3" i="14" s="1"/>
  <c r="UC3" i="14" s="1"/>
  <c r="V3" i="14"/>
  <c r="AO3" i="14" s="1"/>
  <c r="BH3" i="14" s="1"/>
  <c r="CA3" i="14" s="1"/>
  <c r="CT3" i="14" s="1"/>
  <c r="DM3" i="14" s="1"/>
  <c r="EF3" i="14" s="1"/>
  <c r="EY3" i="14" s="1"/>
  <c r="FR3" i="14" s="1"/>
  <c r="GK3" i="14" s="1"/>
  <c r="HD3" i="14" s="1"/>
  <c r="HW3" i="14" s="1"/>
  <c r="IP3" i="14" s="1"/>
  <c r="JI3" i="14" s="1"/>
  <c r="KB3" i="14" s="1"/>
  <c r="KU3" i="14" s="1"/>
  <c r="LN3" i="14" s="1"/>
  <c r="MG3" i="14" s="1"/>
  <c r="MZ3" i="14" s="1"/>
  <c r="NS3" i="14" s="1"/>
  <c r="OL3" i="14" s="1"/>
  <c r="PE3" i="14" s="1"/>
  <c r="PX3" i="14" s="1"/>
  <c r="QQ3" i="14" s="1"/>
  <c r="RJ3" i="14" s="1"/>
  <c r="SC3" i="14" s="1"/>
  <c r="ST3" i="14" s="1"/>
  <c r="TK3" i="14" s="1"/>
  <c r="UB3" i="14" s="1"/>
  <c r="V1" i="14"/>
  <c r="AO1" i="14" s="1"/>
  <c r="BH1" i="14" s="1"/>
  <c r="CA1" i="14" s="1"/>
  <c r="A16" i="9"/>
  <c r="A17" i="13"/>
  <c r="A5" i="13"/>
  <c r="A19" i="9"/>
  <c r="A20" i="9"/>
  <c r="A6" i="13"/>
  <c r="A10" i="13"/>
  <c r="A21" i="9"/>
  <c r="A7" i="13"/>
  <c r="A15" i="9"/>
  <c r="A24" i="13"/>
  <c r="A23" i="9"/>
  <c r="A12" i="9"/>
  <c r="A5" i="9"/>
  <c r="A25" i="13"/>
  <c r="A29" i="9"/>
  <c r="A15" i="13"/>
  <c r="A18" i="13"/>
  <c r="A30" i="9"/>
  <c r="A22" i="9"/>
  <c r="A8" i="9"/>
  <c r="A26" i="9"/>
  <c r="A13" i="13"/>
  <c r="A19" i="13"/>
  <c r="A27" i="13"/>
  <c r="A29" i="13"/>
  <c r="A28" i="9"/>
  <c r="A23" i="13"/>
  <c r="A9" i="13"/>
  <c r="A4" i="13"/>
  <c r="A6" i="9"/>
  <c r="A16" i="13"/>
  <c r="A13" i="9"/>
  <c r="A21" i="13"/>
  <c r="A4" i="9"/>
  <c r="A14" i="9"/>
  <c r="A28" i="13"/>
  <c r="A26" i="13"/>
  <c r="A10" i="9"/>
  <c r="A17" i="9"/>
  <c r="A9" i="9"/>
  <c r="A22" i="13"/>
  <c r="A18" i="9"/>
  <c r="A12" i="13"/>
  <c r="A14" i="13"/>
  <c r="A25" i="9"/>
  <c r="A27" i="9"/>
  <c r="A20" i="13"/>
  <c r="A11" i="13"/>
  <c r="A11" i="9"/>
  <c r="A8" i="13"/>
  <c r="A7" i="9"/>
  <c r="A24" i="9"/>
  <c r="PH13" i="14" l="1"/>
  <c r="PI13" i="14" s="1"/>
  <c r="SF13" i="14"/>
  <c r="SG13" i="14" s="1"/>
  <c r="LJ20" i="14"/>
  <c r="LK20" i="14" s="1"/>
  <c r="NC20" i="14"/>
  <c r="ND20" i="14" s="1"/>
  <c r="TN20" i="14"/>
  <c r="TO20" i="14" s="1"/>
  <c r="SK20" i="14"/>
  <c r="SL20" i="14" s="1"/>
  <c r="OH20" i="14"/>
  <c r="OI20" i="14" s="1"/>
  <c r="RF20" i="14"/>
  <c r="RG20" i="14" s="1"/>
  <c r="KE20" i="14"/>
  <c r="KF20" i="14" s="1"/>
  <c r="LD20" i="14"/>
  <c r="LE20" i="14" s="1"/>
  <c r="TS20" i="14"/>
  <c r="RY20" i="14"/>
  <c r="RZ20" i="14" s="1"/>
  <c r="UJ13" i="14"/>
  <c r="UK13" i="14" s="1"/>
  <c r="AR16" i="14"/>
  <c r="AS16" i="14" s="1"/>
  <c r="DP16" i="14"/>
  <c r="DQ16" i="14" s="1"/>
  <c r="GN16" i="14"/>
  <c r="GO16" i="14" s="1"/>
  <c r="SF16" i="14"/>
  <c r="SG16" i="14" s="1"/>
  <c r="DI20" i="14"/>
  <c r="DJ20" i="14" s="1"/>
  <c r="QZ20" i="14"/>
  <c r="SP20" i="14"/>
  <c r="SQ20" i="14" s="1"/>
  <c r="UJ20" i="14"/>
  <c r="TB16" i="14"/>
  <c r="TC16" i="14" s="1"/>
  <c r="JE20" i="14"/>
  <c r="JF20" i="14" s="1"/>
  <c r="MC20" i="14"/>
  <c r="MD20" i="14" s="1"/>
  <c r="SW20" i="14"/>
  <c r="SX20" i="14" s="1"/>
  <c r="UO20" i="14"/>
  <c r="UP20" i="14" s="1"/>
  <c r="UE20" i="14"/>
  <c r="UF20" i="14" s="1"/>
  <c r="TG20" i="14"/>
  <c r="TH20" i="14" s="1"/>
  <c r="AK20" i="14"/>
  <c r="AL20" i="14" s="1"/>
  <c r="KQ16" i="14"/>
  <c r="KR16" i="14" s="1"/>
  <c r="JL20" i="14"/>
  <c r="JM20" i="14" s="1"/>
  <c r="PH20" i="14"/>
  <c r="PI20" i="14" s="1"/>
  <c r="DI13" i="14"/>
  <c r="DJ13" i="14" s="1"/>
  <c r="SW13" i="14"/>
  <c r="SX13" i="14" s="1"/>
  <c r="MJ20" i="14"/>
  <c r="MK20" i="14" s="1"/>
  <c r="QG20" i="14"/>
  <c r="SF20" i="14"/>
  <c r="SG20" i="14" s="1"/>
  <c r="TB20" i="14"/>
  <c r="TX20" i="14"/>
  <c r="TY20" i="14" s="1"/>
  <c r="UE10" i="14"/>
  <c r="UF10" i="14" s="1"/>
  <c r="IL20" i="14"/>
  <c r="IM20" i="14" s="1"/>
  <c r="R13" i="14"/>
  <c r="S13" i="14" s="1"/>
  <c r="QA20" i="14"/>
  <c r="QB20" i="14" s="1"/>
  <c r="OO20" i="14"/>
  <c r="OP20" i="14" s="1"/>
  <c r="NV20" i="14"/>
  <c r="NW20" i="14" s="1"/>
  <c r="OB20" i="14"/>
  <c r="OC20" i="14" s="1"/>
  <c r="KX20" i="14"/>
  <c r="KY20" i="14" s="1"/>
  <c r="IF20" i="14"/>
  <c r="IG20" i="14" s="1"/>
  <c r="HG20" i="14"/>
  <c r="HH20" i="14" s="1"/>
  <c r="GZ13" i="14"/>
  <c r="HA13" i="14" s="1"/>
  <c r="GN13" i="14"/>
  <c r="GO13" i="14" s="1"/>
  <c r="DP20" i="14"/>
  <c r="DQ20" i="14" s="1"/>
  <c r="AR13" i="14"/>
  <c r="AS13" i="14" s="1"/>
  <c r="G3" i="3"/>
  <c r="UJ10" i="14"/>
  <c r="UK10" i="14" s="1"/>
  <c r="TN13" i="14"/>
  <c r="TO13" i="14" s="1"/>
  <c r="MV10" i="14"/>
  <c r="MW10" i="14" s="1"/>
  <c r="SW10" i="14"/>
  <c r="SX10" i="14" s="1"/>
  <c r="MV13" i="14"/>
  <c r="MW13" i="14" s="1"/>
  <c r="UO13" i="14"/>
  <c r="UP13" i="14" s="1"/>
  <c r="TX16" i="14"/>
  <c r="TY16" i="14" s="1"/>
  <c r="DC20" i="14"/>
  <c r="DD20" i="14" s="1"/>
  <c r="UE4" i="14"/>
  <c r="UF4" i="14" s="1"/>
  <c r="PT10" i="14"/>
  <c r="PU10" i="14" s="1"/>
  <c r="GN10" i="14"/>
  <c r="GO10" i="14" s="1"/>
  <c r="SF10" i="14"/>
  <c r="SG10" i="14" s="1"/>
  <c r="SP13" i="14"/>
  <c r="SQ13" i="14" s="1"/>
  <c r="DC13" i="14"/>
  <c r="DD13" i="14" s="1"/>
  <c r="GA13" i="14"/>
  <c r="GB13" i="14" s="1"/>
  <c r="KX13" i="14"/>
  <c r="KY13" i="14" s="1"/>
  <c r="F16" i="14"/>
  <c r="G16" i="14" s="1"/>
  <c r="CD16" i="14"/>
  <c r="CE16" i="14" s="1"/>
  <c r="TN16" i="14"/>
  <c r="TO16" i="14" s="1"/>
  <c r="LJ13" i="14"/>
  <c r="LK13" i="14" s="1"/>
  <c r="TB13" i="14"/>
  <c r="TC13" i="14" s="1"/>
  <c r="TX13" i="14"/>
  <c r="TY13" i="14" s="1"/>
  <c r="NO16" i="14"/>
  <c r="NP16" i="14" s="1"/>
  <c r="FN20" i="14"/>
  <c r="FO20" i="14" s="1"/>
  <c r="SK4" i="14"/>
  <c r="SL4" i="14" s="1"/>
  <c r="JE10" i="14"/>
  <c r="JF10" i="14" s="1"/>
  <c r="TS10" i="14"/>
  <c r="TT10" i="14" s="1"/>
  <c r="HS13" i="14"/>
  <c r="HT13" i="14" s="1"/>
  <c r="PT16" i="14"/>
  <c r="PU16" i="14" s="1"/>
  <c r="SP16" i="14"/>
  <c r="SQ16" i="14" s="1"/>
  <c r="UJ16" i="14"/>
  <c r="UK16" i="14" s="1"/>
  <c r="AK16" i="14"/>
  <c r="AL16" i="14" s="1"/>
  <c r="FH20" i="14"/>
  <c r="OU4" i="14"/>
  <c r="OV4" i="14" s="1"/>
  <c r="SK10" i="14"/>
  <c r="SL10" i="14" s="1"/>
  <c r="TG10" i="14"/>
  <c r="TH10" i="14" s="1"/>
  <c r="UO10" i="14"/>
  <c r="UP10" i="14" s="1"/>
  <c r="EO20" i="14"/>
  <c r="EP20" i="14" s="1"/>
  <c r="SA14" i="14"/>
  <c r="SB14" i="14" s="1"/>
  <c r="UQ14" i="14"/>
  <c r="NQ15" i="14"/>
  <c r="NR15" i="14" s="1"/>
  <c r="QO15" i="14"/>
  <c r="QP15" i="14" s="1"/>
  <c r="TI15" i="14"/>
  <c r="TJ15" i="14" s="1"/>
  <c r="DI16" i="14"/>
  <c r="DJ16" i="14" s="1"/>
  <c r="BW10" i="14"/>
  <c r="BX10" i="14" s="1"/>
  <c r="KQ10" i="14"/>
  <c r="KR10" i="14" s="1"/>
  <c r="PA10" i="14"/>
  <c r="PB10" i="14" s="1"/>
  <c r="PA13" i="14"/>
  <c r="PB13" i="14" s="1"/>
  <c r="SK13" i="14"/>
  <c r="SL13" i="14" s="1"/>
  <c r="UQ19" i="14"/>
  <c r="UR19" i="14" s="1"/>
  <c r="TI6" i="14"/>
  <c r="TJ6" i="14" s="1"/>
  <c r="SW16" i="14"/>
  <c r="SX16" i="14" s="1"/>
  <c r="QM4" i="14"/>
  <c r="QN4" i="14" s="1"/>
  <c r="TB4" i="14"/>
  <c r="TC4" i="14" s="1"/>
  <c r="UJ4" i="14"/>
  <c r="UK4" i="14" s="1"/>
  <c r="JG5" i="14"/>
  <c r="JH5" i="14" s="1"/>
  <c r="TI5" i="14"/>
  <c r="JG7" i="14"/>
  <c r="JH7" i="14" s="1"/>
  <c r="UQ7" i="14"/>
  <c r="UR7" i="14" s="1"/>
  <c r="DI10" i="14"/>
  <c r="DJ10" i="14" s="1"/>
  <c r="SP10" i="14"/>
  <c r="SQ10" i="14" s="1"/>
  <c r="F10" i="14"/>
  <c r="G10" i="14" s="1"/>
  <c r="AR10" i="14"/>
  <c r="AS10" i="14" s="1"/>
  <c r="UQ11" i="14"/>
  <c r="UR11" i="14" s="1"/>
  <c r="IF13" i="14"/>
  <c r="IG13" i="14" s="1"/>
  <c r="TS13" i="14"/>
  <c r="TT13" i="14" s="1"/>
  <c r="FH13" i="14"/>
  <c r="FI13" i="14" s="1"/>
  <c r="DP13" i="14"/>
  <c r="DQ13" i="14" s="1"/>
  <c r="NV13" i="14"/>
  <c r="NW13" i="14" s="1"/>
  <c r="L16" i="14"/>
  <c r="M16" i="14" s="1"/>
  <c r="CP16" i="14"/>
  <c r="CQ16" i="14" s="1"/>
  <c r="JR16" i="14"/>
  <c r="JS16" i="14" s="1"/>
  <c r="MC16" i="14"/>
  <c r="MD16" i="14" s="1"/>
  <c r="PA16" i="14"/>
  <c r="PB16" i="14" s="1"/>
  <c r="RY16" i="14"/>
  <c r="RZ16" i="14" s="1"/>
  <c r="SK16" i="14"/>
  <c r="SL16" i="14" s="1"/>
  <c r="TG16" i="14"/>
  <c r="TH16" i="14" s="1"/>
  <c r="TS16" i="14"/>
  <c r="TT16" i="14" s="1"/>
  <c r="UE16" i="14"/>
  <c r="UF16" i="14" s="1"/>
  <c r="UO16" i="14"/>
  <c r="UP16" i="14" s="1"/>
  <c r="Y16" i="14"/>
  <c r="Z16" i="14" s="1"/>
  <c r="CW16" i="14"/>
  <c r="CX16" i="14" s="1"/>
  <c r="EI16" i="14"/>
  <c r="EJ16" i="14" s="1"/>
  <c r="LQ16" i="14"/>
  <c r="LR16" i="14" s="1"/>
  <c r="R20" i="14"/>
  <c r="S20" i="14" s="1"/>
  <c r="CP20" i="14"/>
  <c r="CQ20" i="14" s="1"/>
  <c r="EB20" i="14"/>
  <c r="EC20" i="14" s="1"/>
  <c r="MV20" i="14"/>
  <c r="MW20" i="14" s="1"/>
  <c r="NI20" i="14"/>
  <c r="RS13" i="14"/>
  <c r="RT13" i="14" s="1"/>
  <c r="RM20" i="14"/>
  <c r="RN20" i="14" s="1"/>
  <c r="RY4" i="14"/>
  <c r="RZ4" i="14" s="1"/>
  <c r="RY10" i="14"/>
  <c r="RZ10" i="14" s="1"/>
  <c r="RY13" i="14"/>
  <c r="RZ13" i="14" s="1"/>
  <c r="RS20" i="14"/>
  <c r="RT20" i="14" s="1"/>
  <c r="QZ13" i="14"/>
  <c r="RA13" i="14" s="1"/>
  <c r="QZ16" i="14"/>
  <c r="RA16" i="14" s="1"/>
  <c r="QT10" i="14"/>
  <c r="QU10" i="14" s="1"/>
  <c r="RF13" i="14"/>
  <c r="RG13" i="14" s="1"/>
  <c r="RF16" i="14"/>
  <c r="RG16" i="14" s="1"/>
  <c r="QT20" i="14"/>
  <c r="QU20" i="14" s="1"/>
  <c r="QM10" i="14"/>
  <c r="QN10" i="14" s="1"/>
  <c r="QG13" i="14"/>
  <c r="QH13" i="14" s="1"/>
  <c r="QM20" i="14"/>
  <c r="QN20" i="14" s="1"/>
  <c r="QM16" i="14"/>
  <c r="QN16" i="14" s="1"/>
  <c r="PT13" i="14"/>
  <c r="PU13" i="14" s="1"/>
  <c r="PN20" i="14"/>
  <c r="PO20" i="14" s="1"/>
  <c r="PN16" i="14"/>
  <c r="PO16" i="14" s="1"/>
  <c r="PT20" i="14"/>
  <c r="PU20" i="14" s="1"/>
  <c r="PA20" i="14"/>
  <c r="PB20" i="14" s="1"/>
  <c r="PC5" i="14"/>
  <c r="PD5" i="14" s="1"/>
  <c r="PC7" i="14"/>
  <c r="PD7" i="14" s="1"/>
  <c r="OO13" i="14"/>
  <c r="OP13" i="14" s="1"/>
  <c r="OU20" i="14"/>
  <c r="OB4" i="14"/>
  <c r="OC4" i="14" s="1"/>
  <c r="OB16" i="14"/>
  <c r="OC16" i="14" s="1"/>
  <c r="OH13" i="14"/>
  <c r="OI13" i="14" s="1"/>
  <c r="OH16" i="14"/>
  <c r="OI16" i="14" s="1"/>
  <c r="NV16" i="14"/>
  <c r="NW16" i="14" s="1"/>
  <c r="NO10" i="14"/>
  <c r="NP10" i="14" s="1"/>
  <c r="NC13" i="14"/>
  <c r="ND13" i="14" s="1"/>
  <c r="NO20" i="14"/>
  <c r="NP20" i="14" s="1"/>
  <c r="MP16" i="14"/>
  <c r="MQ16" i="14" s="1"/>
  <c r="MV16" i="14"/>
  <c r="MW16" i="14" s="1"/>
  <c r="MP20" i="14"/>
  <c r="MC10" i="14"/>
  <c r="MD10" i="14" s="1"/>
  <c r="MC13" i="14"/>
  <c r="MD13" i="14" s="1"/>
  <c r="LQ20" i="14"/>
  <c r="LR20" i="14" s="1"/>
  <c r="LW20" i="14"/>
  <c r="KX16" i="14"/>
  <c r="KY16" i="14" s="1"/>
  <c r="LJ16" i="14"/>
  <c r="LK16" i="14" s="1"/>
  <c r="LD16" i="14"/>
  <c r="LE16" i="14" s="1"/>
  <c r="KK20" i="14"/>
  <c r="KL20" i="14" s="1"/>
  <c r="KS15" i="14"/>
  <c r="KT15" i="14" s="1"/>
  <c r="KQ20" i="14"/>
  <c r="KR20" i="14" s="1"/>
  <c r="JX16" i="14"/>
  <c r="JY16" i="14" s="1"/>
  <c r="JX13" i="14"/>
  <c r="JY13" i="14" s="1"/>
  <c r="JR20" i="14"/>
  <c r="JS20" i="14" s="1"/>
  <c r="JX10" i="14"/>
  <c r="JY10" i="14" s="1"/>
  <c r="JX20" i="14"/>
  <c r="JY20" i="14" s="1"/>
  <c r="IY13" i="14"/>
  <c r="IZ13" i="14" s="1"/>
  <c r="JE13" i="14"/>
  <c r="JF13" i="14" s="1"/>
  <c r="IS20" i="14"/>
  <c r="IT20" i="14" s="1"/>
  <c r="JE16" i="14"/>
  <c r="JF16" i="14" s="1"/>
  <c r="IY20" i="14"/>
  <c r="IZ20" i="14" s="1"/>
  <c r="IL13" i="14"/>
  <c r="IM13" i="14" s="1"/>
  <c r="IF16" i="14"/>
  <c r="IG16" i="14" s="1"/>
  <c r="IL16" i="14"/>
  <c r="IM16" i="14" s="1"/>
  <c r="HZ20" i="14"/>
  <c r="IA20" i="14" s="1"/>
  <c r="HU15" i="14"/>
  <c r="HV15" i="14" s="1"/>
  <c r="HG16" i="14"/>
  <c r="HH16" i="14" s="1"/>
  <c r="HM20" i="14"/>
  <c r="HN20" i="14" s="1"/>
  <c r="HS10" i="14"/>
  <c r="HT10" i="14" s="1"/>
  <c r="HS16" i="14"/>
  <c r="HT16" i="14" s="1"/>
  <c r="HS20" i="14"/>
  <c r="HT20" i="14" s="1"/>
  <c r="GT16" i="14"/>
  <c r="GU16" i="14" s="1"/>
  <c r="GT20" i="14"/>
  <c r="GZ16" i="14"/>
  <c r="HA16" i="14" s="1"/>
  <c r="GZ20" i="14"/>
  <c r="HA20" i="14" s="1"/>
  <c r="GZ10" i="14"/>
  <c r="HA10" i="14" s="1"/>
  <c r="HB21" i="14"/>
  <c r="GG13" i="14"/>
  <c r="GH13" i="14" s="1"/>
  <c r="GB14" i="14"/>
  <c r="GI14" i="14"/>
  <c r="GJ14" i="14" s="1"/>
  <c r="GG16" i="14"/>
  <c r="GH16" i="14" s="1"/>
  <c r="FU16" i="14"/>
  <c r="FV16" i="14" s="1"/>
  <c r="GG10" i="14"/>
  <c r="GH10" i="14" s="1"/>
  <c r="FV14" i="14"/>
  <c r="GG20" i="14"/>
  <c r="GH20" i="14" s="1"/>
  <c r="FH16" i="14"/>
  <c r="FI16" i="14" s="1"/>
  <c r="FN13" i="14"/>
  <c r="FO13" i="14" s="1"/>
  <c r="FI14" i="14"/>
  <c r="FB16" i="14"/>
  <c r="FC16" i="14" s="1"/>
  <c r="EU16" i="14"/>
  <c r="EV16" i="14" s="1"/>
  <c r="EU10" i="14"/>
  <c r="EV10" i="14" s="1"/>
  <c r="EO13" i="14"/>
  <c r="EP13" i="14" s="1"/>
  <c r="EW15" i="14"/>
  <c r="EX15" i="14" s="1"/>
  <c r="EU13" i="14"/>
  <c r="EV13" i="14" s="1"/>
  <c r="EW14" i="14"/>
  <c r="EX14" i="14" s="1"/>
  <c r="EU20" i="14"/>
  <c r="EV20" i="14" s="1"/>
  <c r="DV20" i="14"/>
  <c r="DW20" i="14" s="1"/>
  <c r="DP10" i="14"/>
  <c r="DQ10" i="14" s="1"/>
  <c r="DK7" i="14"/>
  <c r="DL7" i="14" s="1"/>
  <c r="DK14" i="14"/>
  <c r="DL14" i="14" s="1"/>
  <c r="CR5" i="14"/>
  <c r="CS5" i="14" s="1"/>
  <c r="CJ13" i="14"/>
  <c r="CK13" i="14" s="1"/>
  <c r="BQ13" i="14"/>
  <c r="BR13" i="14" s="1"/>
  <c r="BK16" i="14"/>
  <c r="BL16" i="14" s="1"/>
  <c r="BY15" i="14"/>
  <c r="BZ15" i="14" s="1"/>
  <c r="BW20" i="14"/>
  <c r="BX20" i="14" s="1"/>
  <c r="BD20" i="14"/>
  <c r="BE20" i="14" s="1"/>
  <c r="AX13" i="14"/>
  <c r="AY13" i="14" s="1"/>
  <c r="SW4" i="14"/>
  <c r="SX4" i="14" s="1"/>
  <c r="NP5" i="14"/>
  <c r="NO4" i="14"/>
  <c r="NP4" i="14" s="1"/>
  <c r="SX5" i="14"/>
  <c r="TT5" i="14"/>
  <c r="TS4" i="14"/>
  <c r="TT4" i="14" s="1"/>
  <c r="OH4" i="14"/>
  <c r="OI4" i="14" s="1"/>
  <c r="BD10" i="14"/>
  <c r="BE10" i="14" s="1"/>
  <c r="TX10" i="14"/>
  <c r="TY10" i="14" s="1"/>
  <c r="TI11" i="14"/>
  <c r="TJ11" i="14" s="1"/>
  <c r="JL10" i="14"/>
  <c r="JM10" i="14" s="1"/>
  <c r="MJ10" i="14"/>
  <c r="MK10" i="14" s="1"/>
  <c r="PH10" i="14"/>
  <c r="PI10" i="14" s="1"/>
  <c r="TZ12" i="14"/>
  <c r="UA12" i="14" s="1"/>
  <c r="CP13" i="14"/>
  <c r="CQ13" i="14" s="1"/>
  <c r="EI13" i="14"/>
  <c r="EJ13" i="14" s="1"/>
  <c r="NO13" i="14"/>
  <c r="NP13" i="14" s="1"/>
  <c r="QM13" i="14"/>
  <c r="QN13" i="14" s="1"/>
  <c r="TG13" i="14"/>
  <c r="TH13" i="14" s="1"/>
  <c r="UE13" i="14"/>
  <c r="UF13" i="14" s="1"/>
  <c r="T14" i="14"/>
  <c r="U14" i="14" s="1"/>
  <c r="AM14" i="14"/>
  <c r="AN14" i="14" s="1"/>
  <c r="DD14" i="14"/>
  <c r="FP14" i="14"/>
  <c r="FQ14" i="14" s="1"/>
  <c r="HB14" i="14"/>
  <c r="HC14" i="14" s="1"/>
  <c r="PV14" i="14"/>
  <c r="PW14" i="14" s="1"/>
  <c r="SR14" i="14"/>
  <c r="SS14" i="14" s="1"/>
  <c r="T15" i="14"/>
  <c r="U15" i="14" s="1"/>
  <c r="CR15" i="14"/>
  <c r="CS15" i="14" s="1"/>
  <c r="FP15" i="14"/>
  <c r="FQ15" i="14" s="1"/>
  <c r="IN15" i="14"/>
  <c r="IO15" i="14" s="1"/>
  <c r="LL15" i="14"/>
  <c r="LM15" i="14" s="1"/>
  <c r="OJ15" i="14"/>
  <c r="OK15" i="14" s="1"/>
  <c r="RH15" i="14"/>
  <c r="RI15" i="14" s="1"/>
  <c r="AE16" i="14"/>
  <c r="AF16" i="14" s="1"/>
  <c r="BW16" i="14"/>
  <c r="BX16" i="14" s="1"/>
  <c r="EB16" i="14"/>
  <c r="EC16" i="14" s="1"/>
  <c r="FN16" i="14"/>
  <c r="FO16" i="14" s="1"/>
  <c r="HM16" i="14"/>
  <c r="HN16" i="14" s="1"/>
  <c r="F20" i="14"/>
  <c r="G20" i="14" s="1"/>
  <c r="AR20" i="14"/>
  <c r="AS20" i="14" s="1"/>
  <c r="CD20" i="14"/>
  <c r="CE20" i="14" s="1"/>
  <c r="EI20" i="14"/>
  <c r="EJ20" i="14" s="1"/>
  <c r="AK4" i="14"/>
  <c r="AL4" i="14" s="1"/>
  <c r="LL5" i="14"/>
  <c r="LM5" i="14" s="1"/>
  <c r="RH5" i="14"/>
  <c r="RI5" i="14" s="1"/>
  <c r="SX6" i="14"/>
  <c r="CX7" i="14"/>
  <c r="IT7" i="14"/>
  <c r="OP7" i="14"/>
  <c r="UF7" i="14"/>
  <c r="HT11" i="14"/>
  <c r="SA12" i="14"/>
  <c r="SB12" i="14" s="1"/>
  <c r="L13" i="14"/>
  <c r="M13" i="14" s="1"/>
  <c r="BW13" i="14"/>
  <c r="BX13" i="14" s="1"/>
  <c r="EB13" i="14"/>
  <c r="EC13" i="14" s="1"/>
  <c r="GT13" i="14"/>
  <c r="GU13" i="14" s="1"/>
  <c r="KQ13" i="14"/>
  <c r="KR13" i="14" s="1"/>
  <c r="CK14" i="14"/>
  <c r="CX14" i="14"/>
  <c r="DJ14" i="14"/>
  <c r="OJ14" i="14"/>
  <c r="OK14" i="14" s="1"/>
  <c r="RH14" i="14"/>
  <c r="RI14" i="14" s="1"/>
  <c r="TZ14" i="14"/>
  <c r="UA14" i="14" s="1"/>
  <c r="BF15" i="14"/>
  <c r="BG15" i="14" s="1"/>
  <c r="ED15" i="14"/>
  <c r="EE15" i="14" s="1"/>
  <c r="HB15" i="14"/>
  <c r="HC15" i="14" s="1"/>
  <c r="JZ15" i="14"/>
  <c r="KA15" i="14" s="1"/>
  <c r="MX15" i="14"/>
  <c r="MY15" i="14" s="1"/>
  <c r="PV15" i="14"/>
  <c r="PW15" i="14" s="1"/>
  <c r="SR15" i="14"/>
  <c r="SS15" i="14" s="1"/>
  <c r="BD16" i="14"/>
  <c r="BE16" i="14" s="1"/>
  <c r="DC16" i="14"/>
  <c r="DD16" i="14" s="1"/>
  <c r="TZ19" i="14"/>
  <c r="UA19" i="14" s="1"/>
  <c r="Y20" i="14"/>
  <c r="Z20" i="14" s="1"/>
  <c r="BK20" i="14"/>
  <c r="BL20" i="14" s="1"/>
  <c r="CW20" i="14"/>
  <c r="CX20" i="14" s="1"/>
  <c r="FU20" i="14"/>
  <c r="HU5" i="14"/>
  <c r="HV5" i="14" s="1"/>
  <c r="NQ5" i="14"/>
  <c r="NR5" i="14" s="1"/>
  <c r="UQ5" i="14"/>
  <c r="UR5" i="14" s="1"/>
  <c r="AM7" i="14"/>
  <c r="AN7" i="14" s="1"/>
  <c r="GI7" i="14"/>
  <c r="GJ7" i="14" s="1"/>
  <c r="ME7" i="14"/>
  <c r="MF7" i="14" s="1"/>
  <c r="SA7" i="14"/>
  <c r="SB7" i="14" s="1"/>
  <c r="AK10" i="14"/>
  <c r="AL10" i="14" s="1"/>
  <c r="EB10" i="14"/>
  <c r="EC10" i="14" s="1"/>
  <c r="LJ10" i="14"/>
  <c r="LK10" i="14" s="1"/>
  <c r="OH10" i="14"/>
  <c r="OI10" i="14" s="1"/>
  <c r="RF10" i="14"/>
  <c r="RG10" i="14" s="1"/>
  <c r="RH12" i="14"/>
  <c r="RI12" i="14" s="1"/>
  <c r="UQ12" i="14"/>
  <c r="UR12" i="14" s="1"/>
  <c r="AE13" i="14"/>
  <c r="AF13" i="14" s="1"/>
  <c r="JR13" i="14"/>
  <c r="JS13" i="14" s="1"/>
  <c r="CR14" i="14"/>
  <c r="CS14" i="14" s="1"/>
  <c r="ED14" i="14"/>
  <c r="QO14" i="14"/>
  <c r="TI14" i="14"/>
  <c r="TJ14" i="14" s="1"/>
  <c r="AM15" i="14"/>
  <c r="AN15" i="14" s="1"/>
  <c r="DK15" i="14"/>
  <c r="DL15" i="14" s="1"/>
  <c r="GI15" i="14"/>
  <c r="GJ15" i="14" s="1"/>
  <c r="JG15" i="14"/>
  <c r="JH15" i="14" s="1"/>
  <c r="ME15" i="14"/>
  <c r="MF15" i="14" s="1"/>
  <c r="PC15" i="14"/>
  <c r="PD15" i="14" s="1"/>
  <c r="SA15" i="14"/>
  <c r="SB15" i="14" s="1"/>
  <c r="UQ15" i="14"/>
  <c r="UR15" i="14" s="1"/>
  <c r="R16" i="14"/>
  <c r="S16" i="14" s="1"/>
  <c r="BQ16" i="14"/>
  <c r="BR16" i="14" s="1"/>
  <c r="FB20" i="14"/>
  <c r="FC20" i="14" s="1"/>
  <c r="HU11" i="14"/>
  <c r="HV11" i="14" s="1"/>
  <c r="HM4" i="14"/>
  <c r="HN4" i="14" s="1"/>
  <c r="RS16" i="14"/>
  <c r="RT16" i="14" s="1"/>
  <c r="SA11" i="14"/>
  <c r="SB11" i="14" s="1"/>
  <c r="QZ4" i="14"/>
  <c r="RA4" i="14" s="1"/>
  <c r="QG16" i="14"/>
  <c r="QH16" i="14" s="1"/>
  <c r="QO11" i="14"/>
  <c r="QP11" i="14" s="1"/>
  <c r="QG4" i="14"/>
  <c r="QH4" i="14" s="1"/>
  <c r="QO6" i="14"/>
  <c r="QP6" i="14" s="1"/>
  <c r="OU16" i="14"/>
  <c r="OV16" i="14" s="1"/>
  <c r="PC11" i="14"/>
  <c r="PD11" i="14" s="1"/>
  <c r="NI16" i="14"/>
  <c r="NJ16" i="14" s="1"/>
  <c r="NQ11" i="14"/>
  <c r="NR11" i="14" s="1"/>
  <c r="NI4" i="14"/>
  <c r="NJ4" i="14" s="1"/>
  <c r="NQ6" i="14"/>
  <c r="NR6" i="14" s="1"/>
  <c r="MP4" i="14"/>
  <c r="MQ4" i="14" s="1"/>
  <c r="LW16" i="14"/>
  <c r="LX16" i="14" s="1"/>
  <c r="ME11" i="14"/>
  <c r="MF11" i="14" s="1"/>
  <c r="LW4" i="14"/>
  <c r="LX4" i="14" s="1"/>
  <c r="LD4" i="14"/>
  <c r="LE4" i="14" s="1"/>
  <c r="KK16" i="14"/>
  <c r="KL16" i="14" s="1"/>
  <c r="KS11" i="14"/>
  <c r="KT11" i="14" s="1"/>
  <c r="KS6" i="14"/>
  <c r="KT6" i="14" s="1"/>
  <c r="JR4" i="14"/>
  <c r="JS4" i="14" s="1"/>
  <c r="IY16" i="14"/>
  <c r="IZ16" i="14" s="1"/>
  <c r="IY4" i="14"/>
  <c r="IZ4" i="14" s="1"/>
  <c r="JG6" i="14"/>
  <c r="JH6" i="14" s="1"/>
  <c r="GT4" i="14"/>
  <c r="GU4" i="14" s="1"/>
  <c r="HB6" i="14"/>
  <c r="HC6" i="14" s="1"/>
  <c r="GA16" i="14"/>
  <c r="GB16" i="14" s="1"/>
  <c r="GA4" i="14"/>
  <c r="GB4" i="14" s="1"/>
  <c r="EO16" i="14"/>
  <c r="EP16" i="14" s="1"/>
  <c r="EW8" i="14"/>
  <c r="EX8" i="14" s="1"/>
  <c r="EW6" i="14"/>
  <c r="EX6" i="14" s="1"/>
  <c r="DV16" i="14"/>
  <c r="DW16" i="14" s="1"/>
  <c r="DK6" i="14"/>
  <c r="DL6" i="14" s="1"/>
  <c r="CJ16" i="14"/>
  <c r="CK16" i="14" s="1"/>
  <c r="CJ4" i="14"/>
  <c r="CK4" i="14" s="1"/>
  <c r="BQ4" i="14"/>
  <c r="BR4" i="14" s="1"/>
  <c r="BY8" i="14"/>
  <c r="BZ8" i="14" s="1"/>
  <c r="AX16" i="14"/>
  <c r="AY16" i="14" s="1"/>
  <c r="AX4" i="14"/>
  <c r="AY4" i="14" s="1"/>
  <c r="BF6" i="14"/>
  <c r="BG6" i="14" s="1"/>
  <c r="RM16" i="14"/>
  <c r="RN16" i="14" s="1"/>
  <c r="QT16" i="14"/>
  <c r="QU16" i="14" s="1"/>
  <c r="NV10" i="14"/>
  <c r="NW10" i="14" s="1"/>
  <c r="KX10" i="14"/>
  <c r="KY10" i="14" s="1"/>
  <c r="HZ10" i="14"/>
  <c r="IA10" i="14" s="1"/>
  <c r="FU10" i="14"/>
  <c r="FV10" i="14" s="1"/>
  <c r="FB10" i="14"/>
  <c r="FC10" i="14" s="1"/>
  <c r="CD10" i="14"/>
  <c r="CE10" i="14" s="1"/>
  <c r="Y10" i="14"/>
  <c r="Z10" i="14" s="1"/>
  <c r="RM13" i="14"/>
  <c r="RN13" i="14" s="1"/>
  <c r="RM10" i="14"/>
  <c r="RN10" i="14" s="1"/>
  <c r="QT13" i="14"/>
  <c r="QU13" i="14" s="1"/>
  <c r="QA16" i="14"/>
  <c r="QB16" i="14" s="1"/>
  <c r="QA13" i="14"/>
  <c r="QB13" i="14" s="1"/>
  <c r="QA10" i="14"/>
  <c r="QB10" i="14" s="1"/>
  <c r="PH16" i="14"/>
  <c r="PI16" i="14" s="1"/>
  <c r="OO16" i="14"/>
  <c r="OP16" i="14" s="1"/>
  <c r="OO10" i="14"/>
  <c r="OP10" i="14" s="1"/>
  <c r="NC16" i="14"/>
  <c r="ND16" i="14" s="1"/>
  <c r="NC10" i="14"/>
  <c r="ND10" i="14" s="1"/>
  <c r="MJ16" i="14"/>
  <c r="MK16" i="14" s="1"/>
  <c r="MJ13" i="14"/>
  <c r="MK13" i="14" s="1"/>
  <c r="LQ10" i="14"/>
  <c r="LR10" i="14" s="1"/>
  <c r="KE16" i="14"/>
  <c r="KF16" i="14" s="1"/>
  <c r="KE10" i="14"/>
  <c r="KF10" i="14" s="1"/>
  <c r="JL16" i="14"/>
  <c r="JM16" i="14" s="1"/>
  <c r="IS16" i="14"/>
  <c r="IT16" i="14" s="1"/>
  <c r="IS10" i="14"/>
  <c r="IT10" i="14" s="1"/>
  <c r="HZ16" i="14"/>
  <c r="IA16" i="14" s="1"/>
  <c r="HG10" i="14"/>
  <c r="HH10" i="14" s="1"/>
  <c r="FU13" i="14"/>
  <c r="FV13" i="14" s="1"/>
  <c r="FB13" i="14"/>
  <c r="FC13" i="14" s="1"/>
  <c r="CW13" i="14"/>
  <c r="CX13" i="14" s="1"/>
  <c r="CD13" i="14"/>
  <c r="CE13" i="14" s="1"/>
  <c r="BK13" i="14"/>
  <c r="BL13" i="14" s="1"/>
  <c r="BK10" i="14"/>
  <c r="BL10" i="14" s="1"/>
  <c r="AE4" i="14"/>
  <c r="AF4" i="14" s="1"/>
  <c r="QU5" i="14"/>
  <c r="QA4" i="14"/>
  <c r="QB4" i="14" s="1"/>
  <c r="PH4" i="14"/>
  <c r="PI4" i="14" s="1"/>
  <c r="OP5" i="14"/>
  <c r="OO4" i="14"/>
  <c r="OP4" i="14" s="1"/>
  <c r="ND5" i="14"/>
  <c r="MJ4" i="14"/>
  <c r="MK4" i="14" s="1"/>
  <c r="KX4" i="14"/>
  <c r="KY4" i="14" s="1"/>
  <c r="KY5" i="14"/>
  <c r="IS4" i="14"/>
  <c r="IT4" i="14" s="1"/>
  <c r="IT5" i="14"/>
  <c r="HZ4" i="14"/>
  <c r="IA4" i="14" s="1"/>
  <c r="HG4" i="14"/>
  <c r="HH4" i="14" s="1"/>
  <c r="HH5" i="14"/>
  <c r="CE5" i="14"/>
  <c r="BK4" i="14"/>
  <c r="BL4" i="14" s="1"/>
  <c r="RM4" i="14"/>
  <c r="RN4" i="14" s="1"/>
  <c r="QB6" i="14"/>
  <c r="NC4" i="14"/>
  <c r="ND4" i="14" s="1"/>
  <c r="ND6" i="14"/>
  <c r="LQ4" i="14"/>
  <c r="LR4" i="14" s="1"/>
  <c r="KF6" i="14"/>
  <c r="IT6" i="14"/>
  <c r="GN4" i="14"/>
  <c r="GO4" i="14" s="1"/>
  <c r="GO6" i="14"/>
  <c r="EJ8" i="14"/>
  <c r="EJ6" i="14"/>
  <c r="CX6" i="14"/>
  <c r="BL8" i="14"/>
  <c r="AS6" i="14"/>
  <c r="TJ5" i="14"/>
  <c r="AM5" i="14"/>
  <c r="AN5" i="14" s="1"/>
  <c r="BY5" i="14"/>
  <c r="BZ5" i="14" s="1"/>
  <c r="ED5" i="14"/>
  <c r="EE5" i="14" s="1"/>
  <c r="GI5" i="14"/>
  <c r="GJ5" i="14" s="1"/>
  <c r="IN5" i="14"/>
  <c r="IO5" i="14" s="1"/>
  <c r="KS5" i="14"/>
  <c r="KT5" i="14" s="1"/>
  <c r="ME5" i="14"/>
  <c r="MF5" i="14" s="1"/>
  <c r="OJ5" i="14"/>
  <c r="OK5" i="14" s="1"/>
  <c r="QO5" i="14"/>
  <c r="QP5" i="14" s="1"/>
  <c r="SA5" i="14"/>
  <c r="SB5" i="14" s="1"/>
  <c r="TZ5" i="14"/>
  <c r="UA5" i="14" s="1"/>
  <c r="AM6" i="14"/>
  <c r="AN6" i="14" s="1"/>
  <c r="BY6" i="14"/>
  <c r="BZ6" i="14" s="1"/>
  <c r="ED6" i="14"/>
  <c r="EE6" i="14" s="1"/>
  <c r="GI6" i="14"/>
  <c r="GJ6" i="14" s="1"/>
  <c r="HU6" i="14"/>
  <c r="HV6" i="14" s="1"/>
  <c r="JZ6" i="14"/>
  <c r="KA6" i="14" s="1"/>
  <c r="ME6" i="14"/>
  <c r="MF6" i="14" s="1"/>
  <c r="PC6" i="14"/>
  <c r="PD6" i="14" s="1"/>
  <c r="SA6" i="14"/>
  <c r="SB6" i="14" s="1"/>
  <c r="UQ6" i="14"/>
  <c r="UR6" i="14" s="1"/>
  <c r="BY7" i="14"/>
  <c r="BZ7" i="14" s="1"/>
  <c r="EW7" i="14"/>
  <c r="EX7" i="14" s="1"/>
  <c r="HU7" i="14"/>
  <c r="HV7" i="14" s="1"/>
  <c r="KS7" i="14"/>
  <c r="KT7" i="14" s="1"/>
  <c r="NQ7" i="14"/>
  <c r="NR7" i="14" s="1"/>
  <c r="QO7" i="14"/>
  <c r="QP7" i="14" s="1"/>
  <c r="TI7" i="14"/>
  <c r="TJ7" i="14" s="1"/>
  <c r="AM8" i="14"/>
  <c r="AN8" i="14" s="1"/>
  <c r="DK8" i="14"/>
  <c r="DL8" i="14" s="1"/>
  <c r="GI8" i="14"/>
  <c r="GJ8" i="14" s="1"/>
  <c r="AM12" i="14"/>
  <c r="AN12" i="14" s="1"/>
  <c r="BY12" i="14"/>
  <c r="BZ12" i="14" s="1"/>
  <c r="CR12" i="14"/>
  <c r="CS12" i="14" s="1"/>
  <c r="DK12" i="14"/>
  <c r="DL12" i="14" s="1"/>
  <c r="ED12" i="14"/>
  <c r="EE12" i="14" s="1"/>
  <c r="EW12" i="14"/>
  <c r="EX12" i="14" s="1"/>
  <c r="FP12" i="14"/>
  <c r="FQ12" i="14" s="1"/>
  <c r="GI12" i="14"/>
  <c r="GJ12" i="14" s="1"/>
  <c r="HB12" i="14"/>
  <c r="HC12" i="14" s="1"/>
  <c r="HU12" i="14"/>
  <c r="HV12" i="14" s="1"/>
  <c r="IN12" i="14"/>
  <c r="IO12" i="14" s="1"/>
  <c r="JG12" i="14"/>
  <c r="JH12" i="14" s="1"/>
  <c r="JZ12" i="14"/>
  <c r="KA12" i="14" s="1"/>
  <c r="KS12" i="14"/>
  <c r="KT12" i="14" s="1"/>
  <c r="LL12" i="14"/>
  <c r="LM12" i="14" s="1"/>
  <c r="ME12" i="14"/>
  <c r="MF12" i="14" s="1"/>
  <c r="MX12" i="14"/>
  <c r="MY12" i="14" s="1"/>
  <c r="NQ12" i="14"/>
  <c r="NR12" i="14" s="1"/>
  <c r="OJ12" i="14"/>
  <c r="OK12" i="14" s="1"/>
  <c r="PC12" i="14"/>
  <c r="PD12" i="14" s="1"/>
  <c r="PV12" i="14"/>
  <c r="PW12" i="14" s="1"/>
  <c r="QO12" i="14"/>
  <c r="QP12" i="14" s="1"/>
  <c r="SR12" i="14"/>
  <c r="SS12" i="14" s="1"/>
  <c r="TI12" i="14"/>
  <c r="TJ12" i="14" s="1"/>
  <c r="F13" i="14"/>
  <c r="G13" i="14" s="1"/>
  <c r="Y13" i="14"/>
  <c r="Z13" i="14" s="1"/>
  <c r="AK13" i="14"/>
  <c r="AL13" i="14" s="1"/>
  <c r="BD13" i="14"/>
  <c r="BE13" i="14" s="1"/>
  <c r="DV13" i="14"/>
  <c r="DW13" i="14" s="1"/>
  <c r="Z14" i="14"/>
  <c r="BF14" i="14"/>
  <c r="DQ14" i="14"/>
  <c r="GO14" i="14"/>
  <c r="CW4" i="14"/>
  <c r="CX4" i="14" s="1"/>
  <c r="DC4" i="14"/>
  <c r="DD4" i="14" s="1"/>
  <c r="DV4" i="14"/>
  <c r="DW4" i="14" s="1"/>
  <c r="EO4" i="14"/>
  <c r="EP4" i="14" s="1"/>
  <c r="GG4" i="14"/>
  <c r="GH4" i="14" s="1"/>
  <c r="IF4" i="14"/>
  <c r="IG4" i="14" s="1"/>
  <c r="JL4" i="14"/>
  <c r="JM4" i="14" s="1"/>
  <c r="KE4" i="14"/>
  <c r="KF4" i="14" s="1"/>
  <c r="KK4" i="14"/>
  <c r="KL4" i="14" s="1"/>
  <c r="NV4" i="14"/>
  <c r="NW4" i="14" s="1"/>
  <c r="PN4" i="14"/>
  <c r="PO4" i="14" s="1"/>
  <c r="RS4" i="14"/>
  <c r="RT4" i="14" s="1"/>
  <c r="SP4" i="14"/>
  <c r="SQ4" i="14" s="1"/>
  <c r="TG4" i="14"/>
  <c r="TH4" i="14" s="1"/>
  <c r="UO4" i="14"/>
  <c r="UP4" i="14" s="1"/>
  <c r="Y4" i="14"/>
  <c r="Z4" i="14" s="1"/>
  <c r="AL5" i="14"/>
  <c r="DK5" i="14"/>
  <c r="DL5" i="14" s="1"/>
  <c r="EW5" i="14"/>
  <c r="EX5" i="14" s="1"/>
  <c r="EU4" i="14"/>
  <c r="EV4" i="14" s="1"/>
  <c r="FU4" i="14"/>
  <c r="FV4" i="14" s="1"/>
  <c r="JZ8" i="14"/>
  <c r="KA8" i="14" s="1"/>
  <c r="ME8" i="14"/>
  <c r="MF8" i="14" s="1"/>
  <c r="NQ8" i="14"/>
  <c r="NR8" i="14" s="1"/>
  <c r="PC8" i="14"/>
  <c r="PD8" i="14" s="1"/>
  <c r="QO8" i="14"/>
  <c r="QP8" i="14" s="1"/>
  <c r="SA8" i="14"/>
  <c r="SB8" i="14" s="1"/>
  <c r="TI8" i="14"/>
  <c r="TJ8" i="14" s="1"/>
  <c r="UQ8" i="14"/>
  <c r="UR8" i="14" s="1"/>
  <c r="F4" i="14"/>
  <c r="G4" i="14" s="1"/>
  <c r="AM9" i="14"/>
  <c r="AN9" i="14" s="1"/>
  <c r="BY9" i="14"/>
  <c r="BZ9" i="14" s="1"/>
  <c r="CD4" i="14"/>
  <c r="CE4" i="14" s="1"/>
  <c r="DK9" i="14"/>
  <c r="DL9" i="14" s="1"/>
  <c r="EW9" i="14"/>
  <c r="EX9" i="14" s="1"/>
  <c r="FB4" i="14"/>
  <c r="FC4" i="14" s="1"/>
  <c r="GI9" i="14"/>
  <c r="GJ9" i="14" s="1"/>
  <c r="HU9" i="14"/>
  <c r="HV9" i="14" s="1"/>
  <c r="JG9" i="14"/>
  <c r="JH9" i="14" s="1"/>
  <c r="KS9" i="14"/>
  <c r="KT9" i="14" s="1"/>
  <c r="ME9" i="14"/>
  <c r="MF9" i="14" s="1"/>
  <c r="NQ9" i="14"/>
  <c r="NR9" i="14" s="1"/>
  <c r="PC9" i="14"/>
  <c r="PD9" i="14" s="1"/>
  <c r="QO9" i="14"/>
  <c r="QP9" i="14" s="1"/>
  <c r="SA9" i="14"/>
  <c r="SB9" i="14" s="1"/>
  <c r="TI9" i="14"/>
  <c r="TJ9" i="14" s="1"/>
  <c r="UQ9" i="14"/>
  <c r="UR9" i="14" s="1"/>
  <c r="CW10" i="14"/>
  <c r="CX10" i="14" s="1"/>
  <c r="EI10" i="14"/>
  <c r="EJ10" i="14" s="1"/>
  <c r="HH11" i="14"/>
  <c r="TI19" i="14"/>
  <c r="TJ19" i="14" s="1"/>
  <c r="TO19" i="14"/>
  <c r="UF19" i="14"/>
  <c r="GI21" i="14"/>
  <c r="GO21" i="14"/>
  <c r="LK6" i="14"/>
  <c r="LL6" i="14"/>
  <c r="LM6" i="14" s="1"/>
  <c r="BE7" i="14"/>
  <c r="BF7" i="14"/>
  <c r="BG7" i="14" s="1"/>
  <c r="MW7" i="14"/>
  <c r="MX7" i="14"/>
  <c r="MY7" i="14" s="1"/>
  <c r="CQ8" i="14"/>
  <c r="CR8" i="14"/>
  <c r="CS8" i="14" s="1"/>
  <c r="LL8" i="14"/>
  <c r="LM8" i="14" s="1"/>
  <c r="KY8" i="14"/>
  <c r="OJ8" i="14"/>
  <c r="OK8" i="14" s="1"/>
  <c r="NW8" i="14"/>
  <c r="RH8" i="14"/>
  <c r="RI8" i="14" s="1"/>
  <c r="QU8" i="14"/>
  <c r="QT4" i="14"/>
  <c r="QU4" i="14" s="1"/>
  <c r="TZ8" i="14"/>
  <c r="UA8" i="14" s="1"/>
  <c r="TO8" i="14"/>
  <c r="TN4" i="14"/>
  <c r="TO4" i="14" s="1"/>
  <c r="BF9" i="14"/>
  <c r="BG9" i="14" s="1"/>
  <c r="AS9" i="14"/>
  <c r="ED9" i="14"/>
  <c r="EE9" i="14" s="1"/>
  <c r="DQ9" i="14"/>
  <c r="HB9" i="14"/>
  <c r="HC9" i="14" s="1"/>
  <c r="GO9" i="14"/>
  <c r="JZ9" i="14"/>
  <c r="KA9" i="14" s="1"/>
  <c r="JM9" i="14"/>
  <c r="MX9" i="14"/>
  <c r="MY9" i="14" s="1"/>
  <c r="MK9" i="14"/>
  <c r="PV9" i="14"/>
  <c r="PW9" i="14" s="1"/>
  <c r="PI9" i="14"/>
  <c r="SR9" i="14"/>
  <c r="SS9" i="14" s="1"/>
  <c r="SG9" i="14"/>
  <c r="S11" i="14"/>
  <c r="R10" i="14"/>
  <c r="S10" i="14" s="1"/>
  <c r="IZ11" i="14"/>
  <c r="IY10" i="14"/>
  <c r="IZ10" i="14" s="1"/>
  <c r="JG11" i="14"/>
  <c r="CT1" i="14"/>
  <c r="R4" i="14"/>
  <c r="S4" i="14" s="1"/>
  <c r="AR4" i="14"/>
  <c r="AS4" i="14" s="1"/>
  <c r="BD4" i="14"/>
  <c r="BE4" i="14" s="1"/>
  <c r="BW4" i="14"/>
  <c r="BX4" i="14" s="1"/>
  <c r="CP4" i="14"/>
  <c r="CQ4" i="14" s="1"/>
  <c r="DI4" i="14"/>
  <c r="DJ4" i="14" s="1"/>
  <c r="DP4" i="14"/>
  <c r="DQ4" i="14" s="1"/>
  <c r="EB4" i="14"/>
  <c r="EC4" i="14" s="1"/>
  <c r="EI4" i="14"/>
  <c r="EJ4" i="14" s="1"/>
  <c r="FN4" i="14"/>
  <c r="FO4" i="14" s="1"/>
  <c r="HS4" i="14"/>
  <c r="HT4" i="14" s="1"/>
  <c r="JE4" i="14"/>
  <c r="JF4" i="14" s="1"/>
  <c r="KQ4" i="14"/>
  <c r="KR4" i="14" s="1"/>
  <c r="MC4" i="14"/>
  <c r="MD4" i="14" s="1"/>
  <c r="PA4" i="14"/>
  <c r="PB4" i="14" s="1"/>
  <c r="BF5" i="14"/>
  <c r="DJ5" i="14"/>
  <c r="EJ5" i="14"/>
  <c r="HB5" i="14"/>
  <c r="JZ5" i="14"/>
  <c r="MX5" i="14"/>
  <c r="PV5" i="14"/>
  <c r="SR5" i="14"/>
  <c r="T6" i="14"/>
  <c r="U6" i="14" s="1"/>
  <c r="CR6" i="14"/>
  <c r="CS6" i="14" s="1"/>
  <c r="FP6" i="14"/>
  <c r="FQ6" i="14" s="1"/>
  <c r="IN6" i="14"/>
  <c r="IO6" i="14" s="1"/>
  <c r="MW6" i="14"/>
  <c r="MX6" i="14"/>
  <c r="MY6" i="14" s="1"/>
  <c r="SQ6" i="14"/>
  <c r="SR6" i="14"/>
  <c r="SS6" i="14" s="1"/>
  <c r="CQ7" i="14"/>
  <c r="CR7" i="14"/>
  <c r="CS7" i="14" s="1"/>
  <c r="IM7" i="14"/>
  <c r="IN7" i="14"/>
  <c r="IO7" i="14" s="1"/>
  <c r="OI7" i="14"/>
  <c r="OJ7" i="14"/>
  <c r="OK7" i="14" s="1"/>
  <c r="TY7" i="14"/>
  <c r="TZ7" i="14"/>
  <c r="UA7" i="14" s="1"/>
  <c r="EC8" i="14"/>
  <c r="ED8" i="14"/>
  <c r="EE8" i="14" s="1"/>
  <c r="IM11" i="14"/>
  <c r="IL10" i="14"/>
  <c r="IM10" i="14" s="1"/>
  <c r="RG6" i="14"/>
  <c r="RH6" i="14"/>
  <c r="HA7" i="14"/>
  <c r="HB7" i="14"/>
  <c r="HC7" i="14" s="1"/>
  <c r="SQ7" i="14"/>
  <c r="SR7" i="14"/>
  <c r="SS7" i="14" s="1"/>
  <c r="IN8" i="14"/>
  <c r="IO8" i="14" s="1"/>
  <c r="IA8" i="14"/>
  <c r="MX8" i="14"/>
  <c r="MY8" i="14" s="1"/>
  <c r="MK8" i="14"/>
  <c r="PV8" i="14"/>
  <c r="PW8" i="14" s="1"/>
  <c r="PI8" i="14"/>
  <c r="SR8" i="14"/>
  <c r="SS8" i="14" s="1"/>
  <c r="SG8" i="14"/>
  <c r="SF4" i="14"/>
  <c r="SG4" i="14" s="1"/>
  <c r="T9" i="14"/>
  <c r="U9" i="14" s="1"/>
  <c r="G9" i="14"/>
  <c r="CR9" i="14"/>
  <c r="CS9" i="14" s="1"/>
  <c r="CE9" i="14"/>
  <c r="FP9" i="14"/>
  <c r="FQ9" i="14" s="1"/>
  <c r="FC9" i="14"/>
  <c r="IN9" i="14"/>
  <c r="IO9" i="14" s="1"/>
  <c r="IA9" i="14"/>
  <c r="LL9" i="14"/>
  <c r="LM9" i="14" s="1"/>
  <c r="KY9" i="14"/>
  <c r="OJ9" i="14"/>
  <c r="OK9" i="14" s="1"/>
  <c r="NW9" i="14"/>
  <c r="RH9" i="14"/>
  <c r="RI9" i="14" s="1"/>
  <c r="QU9" i="14"/>
  <c r="TZ9" i="14"/>
  <c r="UA9" i="14" s="1"/>
  <c r="TO9" i="14"/>
  <c r="CQ11" i="14"/>
  <c r="CP10" i="14"/>
  <c r="CQ10" i="14" s="1"/>
  <c r="FO11" i="14"/>
  <c r="FN10" i="14"/>
  <c r="FO10" i="14" s="1"/>
  <c r="RF4" i="14"/>
  <c r="RG4" i="14" s="1"/>
  <c r="TX4" i="14"/>
  <c r="TY4" i="14" s="1"/>
  <c r="T5" i="14"/>
  <c r="FP5" i="14"/>
  <c r="OI6" i="14"/>
  <c r="OJ6" i="14"/>
  <c r="OK6" i="14" s="1"/>
  <c r="TY6" i="14"/>
  <c r="TZ6" i="14"/>
  <c r="EC7" i="14"/>
  <c r="ED7" i="14"/>
  <c r="JY7" i="14"/>
  <c r="JZ7" i="14"/>
  <c r="KA7" i="14" s="1"/>
  <c r="PU7" i="14"/>
  <c r="PV7" i="14"/>
  <c r="PW7" i="14" s="1"/>
  <c r="S8" i="14"/>
  <c r="T8" i="14"/>
  <c r="U8" i="14" s="1"/>
  <c r="FO8" i="14"/>
  <c r="FP8" i="14"/>
  <c r="FQ8" i="14" s="1"/>
  <c r="BF11" i="14"/>
  <c r="AS11" i="14"/>
  <c r="ED11" i="14"/>
  <c r="DQ11" i="14"/>
  <c r="HB11" i="14"/>
  <c r="GO11" i="14"/>
  <c r="L4" i="14"/>
  <c r="M4" i="14" s="1"/>
  <c r="FH4" i="14"/>
  <c r="FI4" i="14" s="1"/>
  <c r="GZ4" i="14"/>
  <c r="HA4" i="14" s="1"/>
  <c r="IL4" i="14"/>
  <c r="IM4" i="14" s="1"/>
  <c r="JX4" i="14"/>
  <c r="JY4" i="14" s="1"/>
  <c r="LJ4" i="14"/>
  <c r="LK4" i="14" s="1"/>
  <c r="MV4" i="14"/>
  <c r="MW4" i="14" s="1"/>
  <c r="PT4" i="14"/>
  <c r="PU4" i="14" s="1"/>
  <c r="PU6" i="14"/>
  <c r="PV6" i="14"/>
  <c r="PW6" i="14" s="1"/>
  <c r="S7" i="14"/>
  <c r="T7" i="14"/>
  <c r="U7" i="14" s="1"/>
  <c r="FO7" i="14"/>
  <c r="FP7" i="14"/>
  <c r="FQ7" i="14" s="1"/>
  <c r="LK7" i="14"/>
  <c r="LL7" i="14"/>
  <c r="LM7" i="14" s="1"/>
  <c r="RG7" i="14"/>
  <c r="RH7" i="14"/>
  <c r="RI7" i="14" s="1"/>
  <c r="BE8" i="14"/>
  <c r="BF8" i="14"/>
  <c r="BG8" i="14" s="1"/>
  <c r="HA8" i="14"/>
  <c r="HB8" i="14"/>
  <c r="HC8" i="14" s="1"/>
  <c r="AF11" i="14"/>
  <c r="AE10" i="14"/>
  <c r="AF10" i="14" s="1"/>
  <c r="AM11" i="14"/>
  <c r="DD11" i="14"/>
  <c r="DC10" i="14"/>
  <c r="DD10" i="14" s="1"/>
  <c r="DK11" i="14"/>
  <c r="GB11" i="14"/>
  <c r="GA10" i="14"/>
  <c r="GB10" i="14" s="1"/>
  <c r="GI11" i="14"/>
  <c r="JZ11" i="14"/>
  <c r="JM11" i="14"/>
  <c r="LL11" i="14"/>
  <c r="KY11" i="14"/>
  <c r="MX11" i="14"/>
  <c r="MK11" i="14"/>
  <c r="OJ11" i="14"/>
  <c r="NW11" i="14"/>
  <c r="PV11" i="14"/>
  <c r="PI11" i="14"/>
  <c r="RH11" i="14"/>
  <c r="QU11" i="14"/>
  <c r="SR11" i="14"/>
  <c r="SG11" i="14"/>
  <c r="TZ11" i="14"/>
  <c r="TO11" i="14"/>
  <c r="TN10" i="14"/>
  <c r="TO10" i="14" s="1"/>
  <c r="T12" i="14"/>
  <c r="U12" i="14" s="1"/>
  <c r="G12" i="14"/>
  <c r="BF12" i="14"/>
  <c r="BG12" i="14" s="1"/>
  <c r="AS12" i="14"/>
  <c r="T11" i="14"/>
  <c r="G11" i="14"/>
  <c r="BR11" i="14"/>
  <c r="BQ10" i="14"/>
  <c r="BR10" i="14" s="1"/>
  <c r="CR11" i="14"/>
  <c r="CE11" i="14"/>
  <c r="EP11" i="14"/>
  <c r="EO10" i="14"/>
  <c r="EP10" i="14" s="1"/>
  <c r="FP11" i="14"/>
  <c r="FC11" i="14"/>
  <c r="HN11" i="14"/>
  <c r="HM10" i="14"/>
  <c r="HN10" i="14" s="1"/>
  <c r="IN11" i="14"/>
  <c r="IA11" i="14"/>
  <c r="HU8" i="14"/>
  <c r="HV8" i="14" s="1"/>
  <c r="JM8" i="14"/>
  <c r="KS8" i="14"/>
  <c r="KT8" i="14" s="1"/>
  <c r="LR8" i="14"/>
  <c r="ND8" i="14"/>
  <c r="OP8" i="14"/>
  <c r="QB8" i="14"/>
  <c r="RN8" i="14"/>
  <c r="SX8" i="14"/>
  <c r="UF8" i="14"/>
  <c r="Z9" i="14"/>
  <c r="BL9" i="14"/>
  <c r="CX9" i="14"/>
  <c r="EJ9" i="14"/>
  <c r="FV9" i="14"/>
  <c r="HH9" i="14"/>
  <c r="IT9" i="14"/>
  <c r="KF9" i="14"/>
  <c r="LR9" i="14"/>
  <c r="ND9" i="14"/>
  <c r="OP9" i="14"/>
  <c r="QB9" i="14"/>
  <c r="RN9" i="14"/>
  <c r="SX9" i="14"/>
  <c r="UF9" i="14"/>
  <c r="JG8" i="14"/>
  <c r="JH8" i="14" s="1"/>
  <c r="BY11" i="14"/>
  <c r="EW11" i="14"/>
  <c r="KL11" i="14"/>
  <c r="KK10" i="14"/>
  <c r="KL10" i="14" s="1"/>
  <c r="LX11" i="14"/>
  <c r="LW10" i="14"/>
  <c r="LX10" i="14" s="1"/>
  <c r="NJ11" i="14"/>
  <c r="NI10" i="14"/>
  <c r="NJ10" i="14" s="1"/>
  <c r="OV11" i="14"/>
  <c r="OU10" i="14"/>
  <c r="OV10" i="14" s="1"/>
  <c r="QH11" i="14"/>
  <c r="QG10" i="14"/>
  <c r="QH10" i="14" s="1"/>
  <c r="RT11" i="14"/>
  <c r="RS10" i="14"/>
  <c r="RT10" i="14" s="1"/>
  <c r="TC11" i="14"/>
  <c r="TB10" i="14"/>
  <c r="TC10" i="14" s="1"/>
  <c r="L10" i="14"/>
  <c r="M10" i="14" s="1"/>
  <c r="AX10" i="14"/>
  <c r="AY10" i="14" s="1"/>
  <c r="CJ10" i="14"/>
  <c r="CK10" i="14" s="1"/>
  <c r="DV10" i="14"/>
  <c r="DW10" i="14" s="1"/>
  <c r="FH10" i="14"/>
  <c r="FI10" i="14" s="1"/>
  <c r="GT10" i="14"/>
  <c r="GU10" i="14" s="1"/>
  <c r="IF10" i="14"/>
  <c r="IG10" i="14" s="1"/>
  <c r="JR10" i="14"/>
  <c r="JS10" i="14" s="1"/>
  <c r="LD10" i="14"/>
  <c r="LE10" i="14" s="1"/>
  <c r="MP10" i="14"/>
  <c r="MQ10" i="14" s="1"/>
  <c r="OB10" i="14"/>
  <c r="OC10" i="14" s="1"/>
  <c r="PN10" i="14"/>
  <c r="PO10" i="14" s="1"/>
  <c r="QZ10" i="14"/>
  <c r="RA10" i="14" s="1"/>
  <c r="CE12" i="14"/>
  <c r="DQ12" i="14"/>
  <c r="FC12" i="14"/>
  <c r="GO12" i="14"/>
  <c r="IA12" i="14"/>
  <c r="JM12" i="14"/>
  <c r="KY12" i="14"/>
  <c r="MK12" i="14"/>
  <c r="NW12" i="14"/>
  <c r="PI12" i="14"/>
  <c r="QU12" i="14"/>
  <c r="SG12" i="14"/>
  <c r="TO12" i="14"/>
  <c r="G14" i="14"/>
  <c r="S14" i="14"/>
  <c r="BY14" i="14"/>
  <c r="BL14" i="14"/>
  <c r="KF11" i="14"/>
  <c r="LR11" i="14"/>
  <c r="ND11" i="14"/>
  <c r="OP11" i="14"/>
  <c r="QB11" i="14"/>
  <c r="RN11" i="14"/>
  <c r="SX11" i="14"/>
  <c r="UF11" i="14"/>
  <c r="Z12" i="14"/>
  <c r="BL12" i="14"/>
  <c r="CX12" i="14"/>
  <c r="EJ12" i="14"/>
  <c r="FV12" i="14"/>
  <c r="HH12" i="14"/>
  <c r="IT12" i="14"/>
  <c r="KF12" i="14"/>
  <c r="LR12" i="14"/>
  <c r="ND12" i="14"/>
  <c r="OP12" i="14"/>
  <c r="QB12" i="14"/>
  <c r="RN12" i="14"/>
  <c r="SX12" i="14"/>
  <c r="UF12" i="14"/>
  <c r="HM13" i="14"/>
  <c r="HN13" i="14" s="1"/>
  <c r="HU14" i="14"/>
  <c r="HH14" i="14"/>
  <c r="HG13" i="14"/>
  <c r="HH13" i="14" s="1"/>
  <c r="IN14" i="14"/>
  <c r="IA14" i="14"/>
  <c r="HZ13" i="14"/>
  <c r="IA13" i="14" s="1"/>
  <c r="JG14" i="14"/>
  <c r="IT14" i="14"/>
  <c r="IS13" i="14"/>
  <c r="IT13" i="14" s="1"/>
  <c r="JZ14" i="14"/>
  <c r="JM14" i="14"/>
  <c r="JL13" i="14"/>
  <c r="JM13" i="14" s="1"/>
  <c r="KS14" i="14"/>
  <c r="KF14" i="14"/>
  <c r="KE13" i="14"/>
  <c r="KF13" i="14" s="1"/>
  <c r="LL14" i="14"/>
  <c r="KY14" i="14"/>
  <c r="ME14" i="14"/>
  <c r="LR14" i="14"/>
  <c r="LQ13" i="14"/>
  <c r="LR13" i="14" s="1"/>
  <c r="MX14" i="14"/>
  <c r="MK14" i="14"/>
  <c r="KL14" i="14"/>
  <c r="KK13" i="14"/>
  <c r="KL13" i="14" s="1"/>
  <c r="LE14" i="14"/>
  <c r="LD13" i="14"/>
  <c r="LE13" i="14" s="1"/>
  <c r="LX14" i="14"/>
  <c r="LW13" i="14"/>
  <c r="LX13" i="14" s="1"/>
  <c r="MQ14" i="14"/>
  <c r="MP13" i="14"/>
  <c r="MQ13" i="14" s="1"/>
  <c r="NJ14" i="14"/>
  <c r="NI13" i="14"/>
  <c r="NJ13" i="14" s="1"/>
  <c r="OC14" i="14"/>
  <c r="OB13" i="14"/>
  <c r="OC13" i="14" s="1"/>
  <c r="AS14" i="14"/>
  <c r="NQ14" i="14"/>
  <c r="ND14" i="14"/>
  <c r="PC14" i="14"/>
  <c r="OP14" i="14"/>
  <c r="QP14" i="14"/>
  <c r="UR14" i="14"/>
  <c r="Z17" i="14"/>
  <c r="AM17" i="14"/>
  <c r="CX17" i="14"/>
  <c r="DK17" i="14"/>
  <c r="FV17" i="14"/>
  <c r="GI17" i="14"/>
  <c r="IT17" i="14"/>
  <c r="JG17" i="14"/>
  <c r="LR17" i="14"/>
  <c r="ME17" i="14"/>
  <c r="OP17" i="14"/>
  <c r="PC17" i="14"/>
  <c r="RN17" i="14"/>
  <c r="SA17" i="14"/>
  <c r="CK18" i="14"/>
  <c r="CR18" i="14"/>
  <c r="CS18" i="14" s="1"/>
  <c r="OU13" i="14"/>
  <c r="OV13" i="14" s="1"/>
  <c r="PN13" i="14"/>
  <c r="PO13" i="14" s="1"/>
  <c r="NW14" i="14"/>
  <c r="PI14" i="14"/>
  <c r="QU14" i="14"/>
  <c r="SG14" i="14"/>
  <c r="TO14" i="14"/>
  <c r="G15" i="14"/>
  <c r="AS15" i="14"/>
  <c r="CE15" i="14"/>
  <c r="DQ15" i="14"/>
  <c r="FC15" i="14"/>
  <c r="GO15" i="14"/>
  <c r="IA15" i="14"/>
  <c r="JM15" i="14"/>
  <c r="KY15" i="14"/>
  <c r="MK15" i="14"/>
  <c r="NW15" i="14"/>
  <c r="PI15" i="14"/>
  <c r="QU15" i="14"/>
  <c r="SG15" i="14"/>
  <c r="TZ15" i="14"/>
  <c r="UA15" i="14" s="1"/>
  <c r="G17" i="14"/>
  <c r="T17" i="14"/>
  <c r="CE17" i="14"/>
  <c r="CR17" i="14"/>
  <c r="FC17" i="14"/>
  <c r="FP17" i="14"/>
  <c r="IA17" i="14"/>
  <c r="IN17" i="14"/>
  <c r="KY17" i="14"/>
  <c r="LL17" i="14"/>
  <c r="NW17" i="14"/>
  <c r="OJ17" i="14"/>
  <c r="QU17" i="14"/>
  <c r="RH17" i="14"/>
  <c r="TO17" i="14"/>
  <c r="TZ17" i="14"/>
  <c r="BR18" i="14"/>
  <c r="BY18" i="14"/>
  <c r="BZ18" i="14" s="1"/>
  <c r="BL17" i="14"/>
  <c r="BY17" i="14"/>
  <c r="EJ17" i="14"/>
  <c r="EW17" i="14"/>
  <c r="HH17" i="14"/>
  <c r="HU17" i="14"/>
  <c r="KF17" i="14"/>
  <c r="KS17" i="14"/>
  <c r="ND17" i="14"/>
  <c r="NQ17" i="14"/>
  <c r="QB17" i="14"/>
  <c r="QO17" i="14"/>
  <c r="SX17" i="14"/>
  <c r="TI17" i="14"/>
  <c r="DW18" i="14"/>
  <c r="ED18" i="14"/>
  <c r="EE18" i="14" s="1"/>
  <c r="QB14" i="14"/>
  <c r="RN14" i="14"/>
  <c r="SX14" i="14"/>
  <c r="UF14" i="14"/>
  <c r="Z15" i="14"/>
  <c r="BL15" i="14"/>
  <c r="CX15" i="14"/>
  <c r="EJ15" i="14"/>
  <c r="FV15" i="14"/>
  <c r="HH15" i="14"/>
  <c r="IT15" i="14"/>
  <c r="KF15" i="14"/>
  <c r="LR15" i="14"/>
  <c r="ND15" i="14"/>
  <c r="OP15" i="14"/>
  <c r="QB15" i="14"/>
  <c r="RN15" i="14"/>
  <c r="SX15" i="14"/>
  <c r="UF15" i="14"/>
  <c r="AS17" i="14"/>
  <c r="BF17" i="14"/>
  <c r="DQ17" i="14"/>
  <c r="ED17" i="14"/>
  <c r="GO17" i="14"/>
  <c r="HB17" i="14"/>
  <c r="JM17" i="14"/>
  <c r="JZ17" i="14"/>
  <c r="MK17" i="14"/>
  <c r="MX17" i="14"/>
  <c r="PI17" i="14"/>
  <c r="PV17" i="14"/>
  <c r="SG17" i="14"/>
  <c r="SR17" i="14"/>
  <c r="DD18" i="14"/>
  <c r="DK18" i="14"/>
  <c r="DL18" i="14" s="1"/>
  <c r="HU18" i="14"/>
  <c r="HV18" i="14" s="1"/>
  <c r="JG18" i="14"/>
  <c r="JH18" i="14" s="1"/>
  <c r="KS18" i="14"/>
  <c r="KT18" i="14" s="1"/>
  <c r="ME18" i="14"/>
  <c r="MF18" i="14" s="1"/>
  <c r="NQ18" i="14"/>
  <c r="NR18" i="14" s="1"/>
  <c r="PC18" i="14"/>
  <c r="PD18" i="14" s="1"/>
  <c r="UQ17" i="14"/>
  <c r="T18" i="14"/>
  <c r="U18" i="14" s="1"/>
  <c r="AM18" i="14"/>
  <c r="AN18" i="14" s="1"/>
  <c r="BF18" i="14"/>
  <c r="BG18" i="14" s="1"/>
  <c r="EW18" i="14"/>
  <c r="EX18" i="14" s="1"/>
  <c r="FP18" i="14"/>
  <c r="FQ18" i="14" s="1"/>
  <c r="GI18" i="14"/>
  <c r="GJ18" i="14" s="1"/>
  <c r="QO18" i="14"/>
  <c r="QP18" i="14" s="1"/>
  <c r="QH18" i="14"/>
  <c r="HB18" i="14"/>
  <c r="HC18" i="14" s="1"/>
  <c r="IN18" i="14"/>
  <c r="IO18" i="14" s="1"/>
  <c r="JZ18" i="14"/>
  <c r="KA18" i="14" s="1"/>
  <c r="LL18" i="14"/>
  <c r="LM18" i="14" s="1"/>
  <c r="MX18" i="14"/>
  <c r="MY18" i="14" s="1"/>
  <c r="OJ18" i="14"/>
  <c r="OK18" i="14" s="1"/>
  <c r="PV18" i="14"/>
  <c r="PW18" i="14" s="1"/>
  <c r="RH18" i="14"/>
  <c r="RI18" i="14" s="1"/>
  <c r="SR18" i="14"/>
  <c r="SS18" i="14" s="1"/>
  <c r="TZ18" i="14"/>
  <c r="UA18" i="14" s="1"/>
  <c r="SR19" i="14"/>
  <c r="SS19" i="14" s="1"/>
  <c r="SG19" i="14"/>
  <c r="UQ18" i="14"/>
  <c r="UR18" i="14" s="1"/>
  <c r="T19" i="14"/>
  <c r="U19" i="14" s="1"/>
  <c r="AM19" i="14"/>
  <c r="AN19" i="14" s="1"/>
  <c r="BF19" i="14"/>
  <c r="BG19" i="14" s="1"/>
  <c r="BY19" i="14"/>
  <c r="BZ19" i="14" s="1"/>
  <c r="CR19" i="14"/>
  <c r="CS19" i="14" s="1"/>
  <c r="DK19" i="14"/>
  <c r="DL19" i="14" s="1"/>
  <c r="ED19" i="14"/>
  <c r="EE19" i="14" s="1"/>
  <c r="EW19" i="14"/>
  <c r="EX19" i="14" s="1"/>
  <c r="FP19" i="14"/>
  <c r="FQ19" i="14" s="1"/>
  <c r="GI19" i="14"/>
  <c r="GJ19" i="14" s="1"/>
  <c r="HB19" i="14"/>
  <c r="HC19" i="14" s="1"/>
  <c r="HU19" i="14"/>
  <c r="HV19" i="14" s="1"/>
  <c r="IN19" i="14"/>
  <c r="IO19" i="14" s="1"/>
  <c r="JG19" i="14"/>
  <c r="JH19" i="14" s="1"/>
  <c r="JZ19" i="14"/>
  <c r="KA19" i="14" s="1"/>
  <c r="KS19" i="14"/>
  <c r="KT19" i="14" s="1"/>
  <c r="LL19" i="14"/>
  <c r="LM19" i="14" s="1"/>
  <c r="ME19" i="14"/>
  <c r="MF19" i="14" s="1"/>
  <c r="MX19" i="14"/>
  <c r="MY19" i="14" s="1"/>
  <c r="NQ19" i="14"/>
  <c r="NR19" i="14" s="1"/>
  <c r="OJ19" i="14"/>
  <c r="OK19" i="14" s="1"/>
  <c r="PC19" i="14"/>
  <c r="PD19" i="14" s="1"/>
  <c r="PV19" i="14"/>
  <c r="PW19" i="14" s="1"/>
  <c r="QO19" i="14"/>
  <c r="QP19" i="14" s="1"/>
  <c r="SA19" i="14"/>
  <c r="SB19" i="14" s="1"/>
  <c r="RN19" i="14"/>
  <c r="SA18" i="14"/>
  <c r="SB18" i="14" s="1"/>
  <c r="TI18" i="14"/>
  <c r="TJ18" i="14" s="1"/>
  <c r="RH19" i="14"/>
  <c r="RI19" i="14" s="1"/>
  <c r="QU19" i="14"/>
  <c r="SX19" i="14"/>
  <c r="GB20" i="14"/>
  <c r="LX20" i="14"/>
  <c r="NJ20" i="14"/>
  <c r="OV20" i="14"/>
  <c r="QH20" i="14"/>
  <c r="TC20" i="14"/>
  <c r="UK20" i="14"/>
  <c r="L20" i="14"/>
  <c r="AE20" i="14"/>
  <c r="AX20" i="14"/>
  <c r="BQ20" i="14"/>
  <c r="CJ20" i="14"/>
  <c r="GO20" i="14"/>
  <c r="T21" i="14"/>
  <c r="BF21" i="14"/>
  <c r="CR21" i="14"/>
  <c r="ED21" i="14"/>
  <c r="FP21" i="14"/>
  <c r="FI20" i="14"/>
  <c r="GU20" i="14"/>
  <c r="MQ20" i="14"/>
  <c r="RA20" i="14"/>
  <c r="TT20" i="14"/>
  <c r="FV20" i="14"/>
  <c r="AM21" i="14"/>
  <c r="BY21" i="14"/>
  <c r="DK21" i="14"/>
  <c r="EW21" i="14"/>
  <c r="GB21" i="14"/>
  <c r="HU21" i="14"/>
  <c r="IN21" i="14"/>
  <c r="JG21" i="14"/>
  <c r="JZ21" i="14"/>
  <c r="KS21" i="14"/>
  <c r="LL21" i="14"/>
  <c r="ME21" i="14"/>
  <c r="MX21" i="14"/>
  <c r="NQ21" i="14"/>
  <c r="OJ21" i="14"/>
  <c r="PC21" i="14"/>
  <c r="PV21" i="14"/>
  <c r="QO21" i="14"/>
  <c r="RH21" i="14"/>
  <c r="SA21" i="14"/>
  <c r="SR21" i="14"/>
  <c r="TI21" i="14"/>
  <c r="TZ21" i="14"/>
  <c r="UQ21" i="14"/>
  <c r="PV13" i="14" l="1"/>
  <c r="PW13" i="14" s="1"/>
  <c r="CR13" i="14"/>
  <c r="CS13" i="14" s="1"/>
  <c r="TX22" i="14"/>
  <c r="TY22" i="14" s="1"/>
  <c r="HU10" i="14"/>
  <c r="HV10" i="14" s="1"/>
  <c r="NI22" i="14"/>
  <c r="NJ22" i="14" s="1"/>
  <c r="QO13" i="14"/>
  <c r="QP13" i="14" s="1"/>
  <c r="SR13" i="14"/>
  <c r="SS13" i="14" s="1"/>
  <c r="PA22" i="14"/>
  <c r="PB22" i="14" s="1"/>
  <c r="UJ22" i="14"/>
  <c r="UK22" i="14" s="1"/>
  <c r="TN22" i="14"/>
  <c r="TO22" i="14" s="1"/>
  <c r="Y22" i="14"/>
  <c r="Z22" i="14" s="1"/>
  <c r="TS22" i="14"/>
  <c r="TT22" i="14" s="1"/>
  <c r="TI13" i="14"/>
  <c r="TJ13" i="14" s="1"/>
  <c r="UQ13" i="14"/>
  <c r="UR13" i="14" s="1"/>
  <c r="T13" i="14"/>
  <c r="U13" i="14" s="1"/>
  <c r="UQ10" i="14"/>
  <c r="UR10" i="14" s="1"/>
  <c r="SF22" i="14"/>
  <c r="SG22" i="14" s="1"/>
  <c r="SW22" i="14"/>
  <c r="SX22" i="14" s="1"/>
  <c r="QG22" i="14"/>
  <c r="QH22" i="14" s="1"/>
  <c r="UE22" i="14"/>
  <c r="UF22" i="14" s="1"/>
  <c r="UO22" i="14"/>
  <c r="UP22" i="14" s="1"/>
  <c r="TB22" i="14"/>
  <c r="TC22" i="14" s="1"/>
  <c r="TI10" i="14"/>
  <c r="TJ10" i="14" s="1"/>
  <c r="SK22" i="14"/>
  <c r="SL22" i="14" s="1"/>
  <c r="RY22" i="14"/>
  <c r="RZ22" i="14" s="1"/>
  <c r="PC4" i="14"/>
  <c r="PD4" i="14" s="1"/>
  <c r="QM22" i="14"/>
  <c r="QN22" i="14" s="1"/>
  <c r="NQ10" i="14"/>
  <c r="NR10" i="14" s="1"/>
  <c r="KX22" i="14"/>
  <c r="KY22" i="14" s="1"/>
  <c r="GN22" i="14"/>
  <c r="GO22" i="14" s="1"/>
  <c r="DI22" i="14"/>
  <c r="DJ22" i="14" s="1"/>
  <c r="AR22" i="14"/>
  <c r="AS22" i="14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T22" i="14"/>
  <c r="GU22" i="14" s="1"/>
  <c r="NO22" i="14"/>
  <c r="NP22" i="14" s="1"/>
  <c r="JX22" i="14"/>
  <c r="JY22" i="14" s="1"/>
  <c r="FU22" i="14"/>
  <c r="FV22" i="14" s="1"/>
  <c r="RS22" i="14"/>
  <c r="RT22" i="14" s="1"/>
  <c r="OU22" i="14"/>
  <c r="OV22" i="14" s="1"/>
  <c r="SP22" i="14"/>
  <c r="SQ22" i="14" s="1"/>
  <c r="LQ22" i="14"/>
  <c r="LR22" i="14" s="1"/>
  <c r="HG22" i="14"/>
  <c r="HH22" i="14" s="1"/>
  <c r="GG22" i="14"/>
  <c r="GH22" i="14" s="1"/>
  <c r="RH13" i="14"/>
  <c r="RI13" i="14" s="1"/>
  <c r="UQ4" i="14"/>
  <c r="UR4" i="14" s="1"/>
  <c r="KK22" i="14"/>
  <c r="KL22" i="14" s="1"/>
  <c r="EO22" i="14"/>
  <c r="EP22" i="14" s="1"/>
  <c r="NV22" i="14"/>
  <c r="NW22" i="14" s="1"/>
  <c r="MV22" i="14"/>
  <c r="MW22" i="14" s="1"/>
  <c r="FN22" i="14"/>
  <c r="FO22" i="14" s="1"/>
  <c r="EB22" i="14"/>
  <c r="EC22" i="14" s="1"/>
  <c r="BW22" i="14"/>
  <c r="BX22" i="14" s="1"/>
  <c r="AK22" i="14"/>
  <c r="AL22" i="14" s="1"/>
  <c r="F22" i="14"/>
  <c r="G22" i="14" s="1"/>
  <c r="TG22" i="14"/>
  <c r="TH22" i="14" s="1"/>
  <c r="QO10" i="14"/>
  <c r="QP10" i="14" s="1"/>
  <c r="PN22" i="14"/>
  <c r="PO22" i="14" s="1"/>
  <c r="JL22" i="14"/>
  <c r="JM22" i="14" s="1"/>
  <c r="HZ22" i="14"/>
  <c r="IA22" i="14" s="1"/>
  <c r="HM22" i="14"/>
  <c r="HN22" i="14" s="1"/>
  <c r="ME4" i="14"/>
  <c r="MF4" i="14" s="1"/>
  <c r="AM4" i="14"/>
  <c r="AN4" i="14" s="1"/>
  <c r="AM13" i="14"/>
  <c r="AN13" i="14" s="1"/>
  <c r="FP13" i="14"/>
  <c r="FQ13" i="14" s="1"/>
  <c r="EW13" i="14"/>
  <c r="EX13" i="14" s="1"/>
  <c r="ME10" i="14"/>
  <c r="MF10" i="14" s="1"/>
  <c r="SA13" i="14"/>
  <c r="SB13" i="14" s="1"/>
  <c r="SA10" i="14"/>
  <c r="SB10" i="14" s="1"/>
  <c r="RM22" i="14"/>
  <c r="RN22" i="14" s="1"/>
  <c r="SA4" i="14"/>
  <c r="SB4" i="14" s="1"/>
  <c r="QA22" i="14"/>
  <c r="QB22" i="14" s="1"/>
  <c r="QO4" i="14"/>
  <c r="QP4" i="14" s="1"/>
  <c r="PH22" i="14"/>
  <c r="PI22" i="14" s="1"/>
  <c r="PC10" i="14"/>
  <c r="PD10" i="14" s="1"/>
  <c r="OO22" i="14"/>
  <c r="OP22" i="14" s="1"/>
  <c r="OH22" i="14"/>
  <c r="OI22" i="14" s="1"/>
  <c r="OJ13" i="14"/>
  <c r="OK13" i="14" s="1"/>
  <c r="NC22" i="14"/>
  <c r="ND22" i="14" s="1"/>
  <c r="MJ22" i="14"/>
  <c r="MK22" i="14" s="1"/>
  <c r="MC22" i="14"/>
  <c r="MD22" i="14" s="1"/>
  <c r="LJ22" i="14"/>
  <c r="LK22" i="14" s="1"/>
  <c r="KS10" i="14"/>
  <c r="KT10" i="14" s="1"/>
  <c r="KE22" i="14"/>
  <c r="KF22" i="14" s="1"/>
  <c r="JR22" i="14"/>
  <c r="JS22" i="14" s="1"/>
  <c r="IY22" i="14"/>
  <c r="IZ22" i="14" s="1"/>
  <c r="JE22" i="14"/>
  <c r="JF22" i="14" s="1"/>
  <c r="IF22" i="14"/>
  <c r="IG22" i="14" s="1"/>
  <c r="HB13" i="14"/>
  <c r="HC13" i="14" s="1"/>
  <c r="HC21" i="14"/>
  <c r="HB20" i="14"/>
  <c r="HC20" i="14" s="1"/>
  <c r="GI4" i="14"/>
  <c r="GJ4" i="14" s="1"/>
  <c r="FB22" i="14"/>
  <c r="FC22" i="14" s="1"/>
  <c r="EU22" i="14"/>
  <c r="EV22" i="14" s="1"/>
  <c r="DV22" i="14"/>
  <c r="DW22" i="14" s="1"/>
  <c r="DP22" i="14"/>
  <c r="DQ22" i="14" s="1"/>
  <c r="CW22" i="14"/>
  <c r="CX22" i="14" s="1"/>
  <c r="CD22" i="14"/>
  <c r="CE22" i="14" s="1"/>
  <c r="BK22" i="14"/>
  <c r="BL22" i="14" s="1"/>
  <c r="BY4" i="14"/>
  <c r="BZ4" i="14" s="1"/>
  <c r="PT22" i="14"/>
  <c r="PU22" i="14" s="1"/>
  <c r="MP22" i="14"/>
  <c r="MQ22" i="14" s="1"/>
  <c r="DC22" i="14"/>
  <c r="DD22" i="14" s="1"/>
  <c r="DK4" i="14"/>
  <c r="DL4" i="14" s="1"/>
  <c r="OB22" i="14"/>
  <c r="OC22" i="14" s="1"/>
  <c r="DK13" i="14"/>
  <c r="DL13" i="14" s="1"/>
  <c r="QT22" i="14"/>
  <c r="QU22" i="14" s="1"/>
  <c r="QZ22" i="14"/>
  <c r="RA22" i="14" s="1"/>
  <c r="LD22" i="14"/>
  <c r="LE22" i="14" s="1"/>
  <c r="EW4" i="14"/>
  <c r="EX4" i="14" s="1"/>
  <c r="EE14" i="14"/>
  <c r="ED13" i="14"/>
  <c r="EE13" i="14" s="1"/>
  <c r="GI13" i="14"/>
  <c r="GJ13" i="14" s="1"/>
  <c r="EI22" i="14"/>
  <c r="EJ22" i="14" s="1"/>
  <c r="GJ21" i="14"/>
  <c r="GI20" i="14"/>
  <c r="GJ20" i="14" s="1"/>
  <c r="TI4" i="14"/>
  <c r="TJ4" i="14" s="1"/>
  <c r="NQ4" i="14"/>
  <c r="NR4" i="14" s="1"/>
  <c r="BG14" i="14"/>
  <c r="BF13" i="14"/>
  <c r="BG13" i="14" s="1"/>
  <c r="RF22" i="14"/>
  <c r="RG22" i="14" s="1"/>
  <c r="IL22" i="14"/>
  <c r="IM22" i="14" s="1"/>
  <c r="GZ22" i="14"/>
  <c r="HA22" i="14" s="1"/>
  <c r="CP22" i="14"/>
  <c r="CQ22" i="14" s="1"/>
  <c r="BD22" i="14"/>
  <c r="BE22" i="14" s="1"/>
  <c r="R22" i="14"/>
  <c r="S22" i="14" s="1"/>
  <c r="IS22" i="14"/>
  <c r="IT22" i="14" s="1"/>
  <c r="FH22" i="14"/>
  <c r="FI22" i="14" s="1"/>
  <c r="KQ22" i="14"/>
  <c r="KR22" i="14" s="1"/>
  <c r="HS22" i="14"/>
  <c r="HT22" i="14" s="1"/>
  <c r="LW22" i="14"/>
  <c r="LX22" i="14" s="1"/>
  <c r="GA22" i="14"/>
  <c r="GB22" i="14" s="1"/>
  <c r="CR4" i="14"/>
  <c r="CS4" i="14" s="1"/>
  <c r="TJ21" i="14"/>
  <c r="TI20" i="14"/>
  <c r="TJ20" i="14" s="1"/>
  <c r="QP21" i="14"/>
  <c r="QO20" i="14"/>
  <c r="QP20" i="14" s="1"/>
  <c r="NR21" i="14"/>
  <c r="NQ20" i="14"/>
  <c r="NR20" i="14" s="1"/>
  <c r="KT21" i="14"/>
  <c r="KS20" i="14"/>
  <c r="KT20" i="14" s="1"/>
  <c r="HV21" i="14"/>
  <c r="HU20" i="14"/>
  <c r="HV20" i="14" s="1"/>
  <c r="EX21" i="14"/>
  <c r="EW20" i="14"/>
  <c r="EX20" i="14" s="1"/>
  <c r="BG21" i="14"/>
  <c r="BF20" i="14"/>
  <c r="BG20" i="14" s="1"/>
  <c r="AX22" i="14"/>
  <c r="AY22" i="14" s="1"/>
  <c r="AY20" i="14"/>
  <c r="PW17" i="14"/>
  <c r="PV16" i="14"/>
  <c r="PW16" i="14" s="1"/>
  <c r="KA17" i="14"/>
  <c r="JZ16" i="14"/>
  <c r="KA16" i="14" s="1"/>
  <c r="EE17" i="14"/>
  <c r="ED16" i="14"/>
  <c r="EE16" i="14" s="1"/>
  <c r="PD14" i="14"/>
  <c r="PC13" i="14"/>
  <c r="PD13" i="14" s="1"/>
  <c r="NR14" i="14"/>
  <c r="NQ13" i="14"/>
  <c r="NR13" i="14" s="1"/>
  <c r="LM14" i="14"/>
  <c r="LL13" i="14"/>
  <c r="LM13" i="14" s="1"/>
  <c r="IO14" i="14"/>
  <c r="IN13" i="14"/>
  <c r="IO13" i="14" s="1"/>
  <c r="BZ11" i="14"/>
  <c r="BY10" i="14"/>
  <c r="BZ10" i="14" s="1"/>
  <c r="IO11" i="14"/>
  <c r="IN10" i="14"/>
  <c r="IO10" i="14" s="1"/>
  <c r="FQ11" i="14"/>
  <c r="FP10" i="14"/>
  <c r="FQ10" i="14" s="1"/>
  <c r="CS11" i="14"/>
  <c r="CR10" i="14"/>
  <c r="CS10" i="14" s="1"/>
  <c r="U11" i="14"/>
  <c r="T10" i="14"/>
  <c r="U10" i="14" s="1"/>
  <c r="AN11" i="14"/>
  <c r="AM10" i="14"/>
  <c r="AN10" i="14" s="1"/>
  <c r="HC11" i="14"/>
  <c r="HB10" i="14"/>
  <c r="HC10" i="14" s="1"/>
  <c r="BG11" i="14"/>
  <c r="BF10" i="14"/>
  <c r="BG10" i="14" s="1"/>
  <c r="U5" i="14"/>
  <c r="T4" i="14"/>
  <c r="U4" i="14" s="1"/>
  <c r="RI6" i="14"/>
  <c r="RH4" i="14"/>
  <c r="RI4" i="14" s="1"/>
  <c r="MY5" i="14"/>
  <c r="MX4" i="14"/>
  <c r="MY4" i="14" s="1"/>
  <c r="SS21" i="14"/>
  <c r="SR20" i="14"/>
  <c r="SS20" i="14" s="1"/>
  <c r="PW21" i="14"/>
  <c r="PV20" i="14"/>
  <c r="PW20" i="14" s="1"/>
  <c r="MY21" i="14"/>
  <c r="MX20" i="14"/>
  <c r="MY20" i="14" s="1"/>
  <c r="KA21" i="14"/>
  <c r="JZ20" i="14"/>
  <c r="KA20" i="14" s="1"/>
  <c r="DL21" i="14"/>
  <c r="DK20" i="14"/>
  <c r="DL20" i="14" s="1"/>
  <c r="FQ21" i="14"/>
  <c r="FP20" i="14"/>
  <c r="FQ20" i="14" s="1"/>
  <c r="U21" i="14"/>
  <c r="T20" i="14"/>
  <c r="U20" i="14" s="1"/>
  <c r="AE22" i="14"/>
  <c r="AF22" i="14" s="1"/>
  <c r="AF20" i="14"/>
  <c r="UR17" i="14"/>
  <c r="UQ16" i="14"/>
  <c r="UR16" i="14" s="1"/>
  <c r="TJ17" i="14"/>
  <c r="TI16" i="14"/>
  <c r="TJ16" i="14" s="1"/>
  <c r="NR17" i="14"/>
  <c r="NQ16" i="14"/>
  <c r="NR16" i="14" s="1"/>
  <c r="HV17" i="14"/>
  <c r="HU16" i="14"/>
  <c r="HV16" i="14" s="1"/>
  <c r="BZ17" i="14"/>
  <c r="BY16" i="14"/>
  <c r="BZ16" i="14" s="1"/>
  <c r="UA17" i="14"/>
  <c r="TZ16" i="14"/>
  <c r="UA16" i="14" s="1"/>
  <c r="OK17" i="14"/>
  <c r="OJ16" i="14"/>
  <c r="OK16" i="14" s="1"/>
  <c r="IO17" i="14"/>
  <c r="IN16" i="14"/>
  <c r="IO16" i="14" s="1"/>
  <c r="CS17" i="14"/>
  <c r="CR16" i="14"/>
  <c r="CS16" i="14" s="1"/>
  <c r="SB17" i="14"/>
  <c r="SA16" i="14"/>
  <c r="SB16" i="14" s="1"/>
  <c r="MF17" i="14"/>
  <c r="ME16" i="14"/>
  <c r="MF16" i="14" s="1"/>
  <c r="GJ17" i="14"/>
  <c r="GI16" i="14"/>
  <c r="GJ16" i="14" s="1"/>
  <c r="AN17" i="14"/>
  <c r="AM16" i="14"/>
  <c r="AN16" i="14" s="1"/>
  <c r="TZ13" i="14"/>
  <c r="UA13" i="14" s="1"/>
  <c r="JH14" i="14"/>
  <c r="JG13" i="14"/>
  <c r="JH13" i="14" s="1"/>
  <c r="BZ14" i="14"/>
  <c r="BY13" i="14"/>
  <c r="BZ13" i="14" s="1"/>
  <c r="UA11" i="14"/>
  <c r="TZ10" i="14"/>
  <c r="UA10" i="14" s="1"/>
  <c r="SS11" i="14"/>
  <c r="SR10" i="14"/>
  <c r="SS10" i="14" s="1"/>
  <c r="RI11" i="14"/>
  <c r="RH10" i="14"/>
  <c r="RI10" i="14" s="1"/>
  <c r="PW11" i="14"/>
  <c r="PV10" i="14"/>
  <c r="PW10" i="14" s="1"/>
  <c r="OK11" i="14"/>
  <c r="OJ10" i="14"/>
  <c r="OK10" i="14" s="1"/>
  <c r="MY11" i="14"/>
  <c r="MX10" i="14"/>
  <c r="MY10" i="14" s="1"/>
  <c r="LM11" i="14"/>
  <c r="LL10" i="14"/>
  <c r="LM10" i="14" s="1"/>
  <c r="KA11" i="14"/>
  <c r="JZ10" i="14"/>
  <c r="KA10" i="14" s="1"/>
  <c r="DL11" i="14"/>
  <c r="DK10" i="14"/>
  <c r="DL10" i="14" s="1"/>
  <c r="JG4" i="14"/>
  <c r="JH4" i="14" s="1"/>
  <c r="EE7" i="14"/>
  <c r="ED4" i="14"/>
  <c r="EE4" i="14" s="1"/>
  <c r="KA5" i="14"/>
  <c r="JZ4" i="14"/>
  <c r="KA4" i="14" s="1"/>
  <c r="BG5" i="14"/>
  <c r="BF4" i="14"/>
  <c r="BG4" i="14" s="1"/>
  <c r="OJ4" i="14"/>
  <c r="OK4" i="14" s="1"/>
  <c r="UR21" i="14"/>
  <c r="UQ20" i="14"/>
  <c r="UR20" i="14" s="1"/>
  <c r="SB21" i="14"/>
  <c r="SA20" i="14"/>
  <c r="SB20" i="14" s="1"/>
  <c r="PD21" i="14"/>
  <c r="PC20" i="14"/>
  <c r="PD20" i="14" s="1"/>
  <c r="MF21" i="14"/>
  <c r="ME20" i="14"/>
  <c r="MF20" i="14" s="1"/>
  <c r="JH21" i="14"/>
  <c r="JG20" i="14"/>
  <c r="JH20" i="14" s="1"/>
  <c r="BZ21" i="14"/>
  <c r="BY20" i="14"/>
  <c r="BZ20" i="14" s="1"/>
  <c r="EE21" i="14"/>
  <c r="ED20" i="14"/>
  <c r="EE20" i="14" s="1"/>
  <c r="CJ22" i="14"/>
  <c r="CK22" i="14" s="1"/>
  <c r="CK20" i="14"/>
  <c r="L22" i="14"/>
  <c r="M22" i="14" s="1"/>
  <c r="M20" i="14"/>
  <c r="SS17" i="14"/>
  <c r="SR16" i="14"/>
  <c r="SS16" i="14" s="1"/>
  <c r="MY17" i="14"/>
  <c r="MX16" i="14"/>
  <c r="MY16" i="14" s="1"/>
  <c r="HC17" i="14"/>
  <c r="HB16" i="14"/>
  <c r="HC16" i="14" s="1"/>
  <c r="BG17" i="14"/>
  <c r="BF16" i="14"/>
  <c r="BG16" i="14" s="1"/>
  <c r="MF14" i="14"/>
  <c r="ME13" i="14"/>
  <c r="MF13" i="14" s="1"/>
  <c r="KA14" i="14"/>
  <c r="JZ13" i="14"/>
  <c r="KA13" i="14" s="1"/>
  <c r="GJ11" i="14"/>
  <c r="GI10" i="14"/>
  <c r="GJ10" i="14" s="1"/>
  <c r="EE11" i="14"/>
  <c r="ED10" i="14"/>
  <c r="EE10" i="14" s="1"/>
  <c r="SS5" i="14"/>
  <c r="SR4" i="14"/>
  <c r="SS4" i="14" s="1"/>
  <c r="HC5" i="14"/>
  <c r="HB4" i="14"/>
  <c r="HC4" i="14" s="1"/>
  <c r="IN4" i="14"/>
  <c r="IO4" i="14" s="1"/>
  <c r="DM1" i="14"/>
  <c r="UA21" i="14"/>
  <c r="TZ20" i="14"/>
  <c r="UA20" i="14" s="1"/>
  <c r="RI21" i="14"/>
  <c r="RH20" i="14"/>
  <c r="RI20" i="14" s="1"/>
  <c r="OK21" i="14"/>
  <c r="OJ20" i="14"/>
  <c r="OK20" i="14" s="1"/>
  <c r="LM21" i="14"/>
  <c r="LL20" i="14"/>
  <c r="LM20" i="14" s="1"/>
  <c r="IO21" i="14"/>
  <c r="IN20" i="14"/>
  <c r="IO20" i="14" s="1"/>
  <c r="AN21" i="14"/>
  <c r="AM20" i="14"/>
  <c r="AN20" i="14" s="1"/>
  <c r="CS21" i="14"/>
  <c r="CR20" i="14"/>
  <c r="CS20" i="14" s="1"/>
  <c r="BQ22" i="14"/>
  <c r="BR22" i="14" s="1"/>
  <c r="BR20" i="14"/>
  <c r="QP17" i="14"/>
  <c r="QO16" i="14"/>
  <c r="QP16" i="14" s="1"/>
  <c r="KT17" i="14"/>
  <c r="KS16" i="14"/>
  <c r="KT16" i="14" s="1"/>
  <c r="EX17" i="14"/>
  <c r="EW16" i="14"/>
  <c r="EX16" i="14" s="1"/>
  <c r="RI17" i="14"/>
  <c r="RH16" i="14"/>
  <c r="RI16" i="14" s="1"/>
  <c r="LM17" i="14"/>
  <c r="LL16" i="14"/>
  <c r="LM16" i="14" s="1"/>
  <c r="FQ17" i="14"/>
  <c r="FP16" i="14"/>
  <c r="FQ16" i="14" s="1"/>
  <c r="U17" i="14"/>
  <c r="T16" i="14"/>
  <c r="U16" i="14" s="1"/>
  <c r="PD17" i="14"/>
  <c r="PC16" i="14"/>
  <c r="PD16" i="14" s="1"/>
  <c r="JH17" i="14"/>
  <c r="JG16" i="14"/>
  <c r="JH16" i="14" s="1"/>
  <c r="DL17" i="14"/>
  <c r="DK16" i="14"/>
  <c r="DL16" i="14" s="1"/>
  <c r="MY14" i="14"/>
  <c r="MX13" i="14"/>
  <c r="MY13" i="14" s="1"/>
  <c r="KT14" i="14"/>
  <c r="KS13" i="14"/>
  <c r="KT13" i="14" s="1"/>
  <c r="HV14" i="14"/>
  <c r="HU13" i="14"/>
  <c r="HV13" i="14" s="1"/>
  <c r="EX11" i="14"/>
  <c r="EW10" i="14"/>
  <c r="EX10" i="14" s="1"/>
  <c r="KS4" i="14"/>
  <c r="KT4" i="14" s="1"/>
  <c r="HU4" i="14"/>
  <c r="HV4" i="14" s="1"/>
  <c r="UA6" i="14"/>
  <c r="TZ4" i="14"/>
  <c r="UA4" i="14" s="1"/>
  <c r="FQ5" i="14"/>
  <c r="FP4" i="14"/>
  <c r="FQ4" i="14" s="1"/>
  <c r="PW5" i="14"/>
  <c r="PV4" i="14"/>
  <c r="PW4" i="14" s="1"/>
  <c r="LL4" i="14"/>
  <c r="LM4" i="14" s="1"/>
  <c r="JH11" i="14"/>
  <c r="JG10" i="14"/>
  <c r="JH10" i="14" s="1"/>
  <c r="EF1" i="14" l="1"/>
  <c r="EY1" i="14" l="1"/>
  <c r="UQ21" i="10"/>
  <c r="UR21" i="10" s="1"/>
  <c r="UL21" i="10"/>
  <c r="UM21" i="10" s="1"/>
  <c r="UG21" i="10"/>
  <c r="UH21" i="10" s="1"/>
  <c r="TZ21" i="10"/>
  <c r="UA21" i="10" s="1"/>
  <c r="TU21" i="10"/>
  <c r="TP21" i="10"/>
  <c r="TQ21" i="10" s="1"/>
  <c r="TI21" i="10"/>
  <c r="TJ21" i="10" s="1"/>
  <c r="TD21" i="10"/>
  <c r="SY21" i="10"/>
  <c r="SZ21" i="10" s="1"/>
  <c r="SR21" i="10"/>
  <c r="SL21" i="10"/>
  <c r="SM21" i="10" s="1"/>
  <c r="SF21" i="10"/>
  <c r="RY21" i="10"/>
  <c r="RY20" i="10" s="1"/>
  <c r="RZ20" i="10" s="1"/>
  <c r="RS21" i="10"/>
  <c r="RT21" i="10" s="1"/>
  <c r="RM21" i="10"/>
  <c r="RF21" i="10"/>
  <c r="QZ21" i="10"/>
  <c r="RA21" i="10" s="1"/>
  <c r="QT21" i="10"/>
  <c r="QU21" i="10" s="1"/>
  <c r="QM21" i="10"/>
  <c r="QG21" i="10"/>
  <c r="QH21" i="10" s="1"/>
  <c r="QA21" i="10"/>
  <c r="QB21" i="10" s="1"/>
  <c r="PT21" i="10"/>
  <c r="PN21" i="10"/>
  <c r="PO21" i="10" s="1"/>
  <c r="PH21" i="10"/>
  <c r="PH20" i="10" s="1"/>
  <c r="PI20" i="10" s="1"/>
  <c r="PA21" i="10"/>
  <c r="OU21" i="10"/>
  <c r="OV21" i="10" s="1"/>
  <c r="OO21" i="10"/>
  <c r="OP21" i="10" s="1"/>
  <c r="OH21" i="10"/>
  <c r="OB21" i="10"/>
  <c r="OC21" i="10" s="1"/>
  <c r="NV21" i="10"/>
  <c r="NW21" i="10" s="1"/>
  <c r="NO21" i="10"/>
  <c r="NI21" i="10"/>
  <c r="NJ21" i="10" s="1"/>
  <c r="NC21" i="10"/>
  <c r="ND21" i="10" s="1"/>
  <c r="MV21" i="10"/>
  <c r="MP21" i="10"/>
  <c r="MQ21" i="10" s="1"/>
  <c r="MJ21" i="10"/>
  <c r="MJ20" i="10" s="1"/>
  <c r="MK20" i="10" s="1"/>
  <c r="MC21" i="10"/>
  <c r="LW21" i="10"/>
  <c r="LX21" i="10" s="1"/>
  <c r="LQ21" i="10"/>
  <c r="LR21" i="10" s="1"/>
  <c r="LJ21" i="10"/>
  <c r="LD21" i="10"/>
  <c r="LE21" i="10" s="1"/>
  <c r="KX21" i="10"/>
  <c r="KY21" i="10" s="1"/>
  <c r="KQ21" i="10"/>
  <c r="KK21" i="10"/>
  <c r="KL21" i="10" s="1"/>
  <c r="KE21" i="10"/>
  <c r="KF21" i="10" s="1"/>
  <c r="JX21" i="10"/>
  <c r="JR21" i="10"/>
  <c r="JS21" i="10" s="1"/>
  <c r="JL21" i="10"/>
  <c r="JL20" i="10" s="1"/>
  <c r="JM20" i="10" s="1"/>
  <c r="JE21" i="10"/>
  <c r="IY21" i="10"/>
  <c r="IZ21" i="10" s="1"/>
  <c r="IS21" i="10"/>
  <c r="IT21" i="10" s="1"/>
  <c r="IL21" i="10"/>
  <c r="IF21" i="10"/>
  <c r="IG21" i="10" s="1"/>
  <c r="HZ21" i="10"/>
  <c r="IA21" i="10" s="1"/>
  <c r="HS21" i="10"/>
  <c r="HM21" i="10"/>
  <c r="HN21" i="10" s="1"/>
  <c r="HG21" i="10"/>
  <c r="HH21" i="10" s="1"/>
  <c r="GZ21" i="10"/>
  <c r="GT21" i="10"/>
  <c r="GU21" i="10" s="1"/>
  <c r="GN21" i="10"/>
  <c r="GN20" i="10" s="1"/>
  <c r="GO20" i="10" s="1"/>
  <c r="GG21" i="10"/>
  <c r="GH21" i="10" s="1"/>
  <c r="GA21" i="10"/>
  <c r="GB21" i="10" s="1"/>
  <c r="FU21" i="10"/>
  <c r="FU20" i="10" s="1"/>
  <c r="FV20" i="10" s="1"/>
  <c r="FN21" i="10"/>
  <c r="FO21" i="10" s="1"/>
  <c r="FH21" i="10"/>
  <c r="FH20" i="10" s="1"/>
  <c r="FI20" i="10" s="1"/>
  <c r="FB21" i="10"/>
  <c r="FB20" i="10" s="1"/>
  <c r="FC20" i="10" s="1"/>
  <c r="EU21" i="10"/>
  <c r="EV21" i="10" s="1"/>
  <c r="EO21" i="10"/>
  <c r="EP21" i="10" s="1"/>
  <c r="EI21" i="10"/>
  <c r="EB21" i="10"/>
  <c r="EC21" i="10" s="1"/>
  <c r="DV21" i="10"/>
  <c r="DW21" i="10" s="1"/>
  <c r="DP21" i="10"/>
  <c r="DP20" i="10" s="1"/>
  <c r="DQ20" i="10" s="1"/>
  <c r="DI21" i="10"/>
  <c r="DJ21" i="10" s="1"/>
  <c r="DC21" i="10"/>
  <c r="DD21" i="10" s="1"/>
  <c r="CW21" i="10"/>
  <c r="CX21" i="10" s="1"/>
  <c r="CP21" i="10"/>
  <c r="CQ21" i="10" s="1"/>
  <c r="CJ21" i="10"/>
  <c r="CK21" i="10" s="1"/>
  <c r="CD21" i="10"/>
  <c r="BW21" i="10"/>
  <c r="BX21" i="10" s="1"/>
  <c r="BQ21" i="10"/>
  <c r="BR21" i="10" s="1"/>
  <c r="BK21" i="10"/>
  <c r="BK20" i="10" s="1"/>
  <c r="BL20" i="10" s="1"/>
  <c r="BD21" i="10"/>
  <c r="BE21" i="10" s="1"/>
  <c r="AX21" i="10"/>
  <c r="AY21" i="10" s="1"/>
  <c r="AR21" i="10"/>
  <c r="AK21" i="10"/>
  <c r="AL21" i="10" s="1"/>
  <c r="AE21" i="10"/>
  <c r="AF21" i="10" s="1"/>
  <c r="Y21" i="10"/>
  <c r="R21" i="10"/>
  <c r="S21" i="10" s="1"/>
  <c r="L21" i="10"/>
  <c r="M21" i="10" s="1"/>
  <c r="F21" i="10"/>
  <c r="UQ20" i="10"/>
  <c r="UR20" i="10" s="1"/>
  <c r="TZ20" i="10"/>
  <c r="UA20" i="10" s="1"/>
  <c r="TP20" i="10"/>
  <c r="TQ20" i="10" s="1"/>
  <c r="SF20" i="10"/>
  <c r="SG20" i="10" s="1"/>
  <c r="RS20" i="10"/>
  <c r="RT20" i="10" s="1"/>
  <c r="QG20" i="10"/>
  <c r="QH20" i="10" s="1"/>
  <c r="OU20" i="10"/>
  <c r="OV20" i="10" s="1"/>
  <c r="NV20" i="10"/>
  <c r="NW20" i="10" s="1"/>
  <c r="HZ20" i="10"/>
  <c r="IA20" i="10" s="1"/>
  <c r="HM20" i="10"/>
  <c r="HN20" i="10" s="1"/>
  <c r="UQ19" i="10"/>
  <c r="UR19" i="10" s="1"/>
  <c r="UL19" i="10"/>
  <c r="UM19" i="10" s="1"/>
  <c r="UG19" i="10"/>
  <c r="TZ19" i="10"/>
  <c r="UA19" i="10" s="1"/>
  <c r="TU19" i="10"/>
  <c r="TV19" i="10" s="1"/>
  <c r="TP19" i="10"/>
  <c r="TI19" i="10"/>
  <c r="TD19" i="10"/>
  <c r="TE19" i="10" s="1"/>
  <c r="SY19" i="10"/>
  <c r="SR19" i="10"/>
  <c r="SS19" i="10" s="1"/>
  <c r="SL19" i="10"/>
  <c r="SM19" i="10" s="1"/>
  <c r="SF19" i="10"/>
  <c r="RY19" i="10"/>
  <c r="RZ19" i="10" s="1"/>
  <c r="RS19" i="10"/>
  <c r="RT19" i="10" s="1"/>
  <c r="RM19" i="10"/>
  <c r="RF19" i="10"/>
  <c r="RG19" i="10" s="1"/>
  <c r="QZ19" i="10"/>
  <c r="RA19" i="10" s="1"/>
  <c r="QT19" i="10"/>
  <c r="QM19" i="10"/>
  <c r="QN19" i="10" s="1"/>
  <c r="QG19" i="10"/>
  <c r="QH19" i="10" s="1"/>
  <c r="QA19" i="10"/>
  <c r="PT19" i="10"/>
  <c r="PU19" i="10" s="1"/>
  <c r="PN19" i="10"/>
  <c r="PO19" i="10" s="1"/>
  <c r="PH19" i="10"/>
  <c r="PA19" i="10"/>
  <c r="PB19" i="10" s="1"/>
  <c r="OU19" i="10"/>
  <c r="OV19" i="10" s="1"/>
  <c r="OO19" i="10"/>
  <c r="OH19" i="10"/>
  <c r="OI19" i="10" s="1"/>
  <c r="OB19" i="10"/>
  <c r="OC19" i="10" s="1"/>
  <c r="NV19" i="10"/>
  <c r="NO19" i="10"/>
  <c r="NP19" i="10" s="1"/>
  <c r="NI19" i="10"/>
  <c r="NJ19" i="10" s="1"/>
  <c r="NC19" i="10"/>
  <c r="MV19" i="10"/>
  <c r="MW19" i="10" s="1"/>
  <c r="MP19" i="10"/>
  <c r="MQ19" i="10" s="1"/>
  <c r="MJ19" i="10"/>
  <c r="MC19" i="10"/>
  <c r="MD19" i="10" s="1"/>
  <c r="LW19" i="10"/>
  <c r="LX19" i="10" s="1"/>
  <c r="LQ19" i="10"/>
  <c r="LR19" i="10" s="1"/>
  <c r="LJ19" i="10"/>
  <c r="LK19" i="10" s="1"/>
  <c r="LD19" i="10"/>
  <c r="LE19" i="10" s="1"/>
  <c r="KX19" i="10"/>
  <c r="KY19" i="10" s="1"/>
  <c r="KQ19" i="10"/>
  <c r="KR19" i="10" s="1"/>
  <c r="KK19" i="10"/>
  <c r="KL19" i="10" s="1"/>
  <c r="KE19" i="10"/>
  <c r="KF19" i="10" s="1"/>
  <c r="JX19" i="10"/>
  <c r="JY19" i="10" s="1"/>
  <c r="JR19" i="10"/>
  <c r="JS19" i="10" s="1"/>
  <c r="JL19" i="10"/>
  <c r="JM19" i="10" s="1"/>
  <c r="JE19" i="10"/>
  <c r="JF19" i="10" s="1"/>
  <c r="IY19" i="10"/>
  <c r="IZ19" i="10" s="1"/>
  <c r="IS19" i="10"/>
  <c r="IT19" i="10" s="1"/>
  <c r="IL19" i="10"/>
  <c r="IM19" i="10" s="1"/>
  <c r="IF19" i="10"/>
  <c r="IG19" i="10" s="1"/>
  <c r="HZ19" i="10"/>
  <c r="IA19" i="10" s="1"/>
  <c r="HS19" i="10"/>
  <c r="HT19" i="10" s="1"/>
  <c r="HM19" i="10"/>
  <c r="HN19" i="10" s="1"/>
  <c r="HG19" i="10"/>
  <c r="HH19" i="10" s="1"/>
  <c r="GZ19" i="10"/>
  <c r="HA19" i="10" s="1"/>
  <c r="GT19" i="10"/>
  <c r="GU19" i="10" s="1"/>
  <c r="GN19" i="10"/>
  <c r="GO19" i="10" s="1"/>
  <c r="GG19" i="10"/>
  <c r="GH19" i="10" s="1"/>
  <c r="GA19" i="10"/>
  <c r="GB19" i="10" s="1"/>
  <c r="FU19" i="10"/>
  <c r="FV19" i="10" s="1"/>
  <c r="FN19" i="10"/>
  <c r="FO19" i="10" s="1"/>
  <c r="FH19" i="10"/>
  <c r="FI19" i="10" s="1"/>
  <c r="FB19" i="10"/>
  <c r="FC19" i="10" s="1"/>
  <c r="EU19" i="10"/>
  <c r="EV19" i="10" s="1"/>
  <c r="EO19" i="10"/>
  <c r="EP19" i="10" s="1"/>
  <c r="EI19" i="10"/>
  <c r="EJ19" i="10" s="1"/>
  <c r="EB19" i="10"/>
  <c r="EC19" i="10" s="1"/>
  <c r="DV19" i="10"/>
  <c r="DW19" i="10" s="1"/>
  <c r="DP19" i="10"/>
  <c r="DQ19" i="10" s="1"/>
  <c r="DI19" i="10"/>
  <c r="DJ19" i="10" s="1"/>
  <c r="DC19" i="10"/>
  <c r="DD19" i="10" s="1"/>
  <c r="CW19" i="10"/>
  <c r="CX19" i="10" s="1"/>
  <c r="CP19" i="10"/>
  <c r="CQ19" i="10" s="1"/>
  <c r="CJ19" i="10"/>
  <c r="CK19" i="10" s="1"/>
  <c r="CD19" i="10"/>
  <c r="CE19" i="10" s="1"/>
  <c r="BW19" i="10"/>
  <c r="BX19" i="10" s="1"/>
  <c r="BQ19" i="10"/>
  <c r="BR19" i="10" s="1"/>
  <c r="BK19" i="10"/>
  <c r="BL19" i="10" s="1"/>
  <c r="BD19" i="10"/>
  <c r="BE19" i="10" s="1"/>
  <c r="AX19" i="10"/>
  <c r="AY19" i="10" s="1"/>
  <c r="AR19" i="10"/>
  <c r="AS19" i="10" s="1"/>
  <c r="AK19" i="10"/>
  <c r="AL19" i="10" s="1"/>
  <c r="AE19" i="10"/>
  <c r="AF19" i="10" s="1"/>
  <c r="Y19" i="10"/>
  <c r="Z19" i="10" s="1"/>
  <c r="R19" i="10"/>
  <c r="S19" i="10" s="1"/>
  <c r="L19" i="10"/>
  <c r="M19" i="10" s="1"/>
  <c r="F19" i="10"/>
  <c r="G19" i="10" s="1"/>
  <c r="UQ18" i="10"/>
  <c r="UR18" i="10" s="1"/>
  <c r="UL18" i="10"/>
  <c r="UM18" i="10" s="1"/>
  <c r="UG18" i="10"/>
  <c r="UH18" i="10" s="1"/>
  <c r="TZ18" i="10"/>
  <c r="UA18" i="10" s="1"/>
  <c r="TU18" i="10"/>
  <c r="TV18" i="10" s="1"/>
  <c r="TP18" i="10"/>
  <c r="TQ18" i="10" s="1"/>
  <c r="TI18" i="10"/>
  <c r="TJ18" i="10" s="1"/>
  <c r="TD18" i="10"/>
  <c r="TE18" i="10" s="1"/>
  <c r="SY18" i="10"/>
  <c r="SZ18" i="10" s="1"/>
  <c r="SR18" i="10"/>
  <c r="SS18" i="10" s="1"/>
  <c r="SL18" i="10"/>
  <c r="SM18" i="10" s="1"/>
  <c r="SF18" i="10"/>
  <c r="SG18" i="10" s="1"/>
  <c r="RY18" i="10"/>
  <c r="RZ18" i="10" s="1"/>
  <c r="RS18" i="10"/>
  <c r="RT18" i="10" s="1"/>
  <c r="RM18" i="10"/>
  <c r="RN18" i="10" s="1"/>
  <c r="RF18" i="10"/>
  <c r="RG18" i="10" s="1"/>
  <c r="QZ18" i="10"/>
  <c r="RA18" i="10" s="1"/>
  <c r="QT18" i="10"/>
  <c r="QU18" i="10" s="1"/>
  <c r="QM18" i="10"/>
  <c r="QN18" i="10" s="1"/>
  <c r="QG18" i="10"/>
  <c r="QH18" i="10" s="1"/>
  <c r="QA18" i="10"/>
  <c r="QB18" i="10" s="1"/>
  <c r="PT18" i="10"/>
  <c r="PU18" i="10" s="1"/>
  <c r="PN18" i="10"/>
  <c r="PO18" i="10" s="1"/>
  <c r="PH18" i="10"/>
  <c r="PI18" i="10" s="1"/>
  <c r="PA18" i="10"/>
  <c r="PB18" i="10" s="1"/>
  <c r="OU18" i="10"/>
  <c r="OV18" i="10" s="1"/>
  <c r="OO18" i="10"/>
  <c r="OH18" i="10"/>
  <c r="OI18" i="10" s="1"/>
  <c r="OB18" i="10"/>
  <c r="OC18" i="10" s="1"/>
  <c r="NV18" i="10"/>
  <c r="NW18" i="10" s="1"/>
  <c r="NO18" i="10"/>
  <c r="NP18" i="10" s="1"/>
  <c r="NI18" i="10"/>
  <c r="NJ18" i="10" s="1"/>
  <c r="NC18" i="10"/>
  <c r="ND18" i="10" s="1"/>
  <c r="MV18" i="10"/>
  <c r="MW18" i="10" s="1"/>
  <c r="MP18" i="10"/>
  <c r="MQ18" i="10" s="1"/>
  <c r="MJ18" i="10"/>
  <c r="MK18" i="10" s="1"/>
  <c r="MC18" i="10"/>
  <c r="MD18" i="10" s="1"/>
  <c r="LW18" i="10"/>
  <c r="LX18" i="10" s="1"/>
  <c r="LQ18" i="10"/>
  <c r="LR18" i="10" s="1"/>
  <c r="LJ18" i="10"/>
  <c r="LK18" i="10" s="1"/>
  <c r="LD18" i="10"/>
  <c r="LE18" i="10" s="1"/>
  <c r="KX18" i="10"/>
  <c r="KY18" i="10" s="1"/>
  <c r="KQ18" i="10"/>
  <c r="KR18" i="10" s="1"/>
  <c r="KK18" i="10"/>
  <c r="KL18" i="10" s="1"/>
  <c r="KE18" i="10"/>
  <c r="KF18" i="10" s="1"/>
  <c r="JX18" i="10"/>
  <c r="JY18" i="10" s="1"/>
  <c r="JR18" i="10"/>
  <c r="JS18" i="10" s="1"/>
  <c r="JL18" i="10"/>
  <c r="JM18" i="10" s="1"/>
  <c r="JE18" i="10"/>
  <c r="JF18" i="10" s="1"/>
  <c r="IY18" i="10"/>
  <c r="IZ18" i="10" s="1"/>
  <c r="IS18" i="10"/>
  <c r="IT18" i="10" s="1"/>
  <c r="IL18" i="10"/>
  <c r="IM18" i="10" s="1"/>
  <c r="IF18" i="10"/>
  <c r="IG18" i="10" s="1"/>
  <c r="HZ18" i="10"/>
  <c r="IA18" i="10" s="1"/>
  <c r="HS18" i="10"/>
  <c r="HT18" i="10" s="1"/>
  <c r="HM18" i="10"/>
  <c r="HN18" i="10" s="1"/>
  <c r="HG18" i="10"/>
  <c r="HH18" i="10" s="1"/>
  <c r="GZ18" i="10"/>
  <c r="HA18" i="10" s="1"/>
  <c r="GT18" i="10"/>
  <c r="GU18" i="10" s="1"/>
  <c r="GN18" i="10"/>
  <c r="GO18" i="10" s="1"/>
  <c r="GG18" i="10"/>
  <c r="GH18" i="10" s="1"/>
  <c r="GA18" i="10"/>
  <c r="GB18" i="10" s="1"/>
  <c r="FU18" i="10"/>
  <c r="FV18" i="10" s="1"/>
  <c r="FN18" i="10"/>
  <c r="FO18" i="10" s="1"/>
  <c r="FH18" i="10"/>
  <c r="FI18" i="10" s="1"/>
  <c r="FB18" i="10"/>
  <c r="FC18" i="10" s="1"/>
  <c r="EU18" i="10"/>
  <c r="EV18" i="10" s="1"/>
  <c r="EO18" i="10"/>
  <c r="EP18" i="10" s="1"/>
  <c r="EI18" i="10"/>
  <c r="EJ18" i="10" s="1"/>
  <c r="EB18" i="10"/>
  <c r="EC18" i="10" s="1"/>
  <c r="DV18" i="10"/>
  <c r="DW18" i="10" s="1"/>
  <c r="DP18" i="10"/>
  <c r="DQ18" i="10" s="1"/>
  <c r="DI18" i="10"/>
  <c r="DJ18" i="10" s="1"/>
  <c r="DC18" i="10"/>
  <c r="DD18" i="10" s="1"/>
  <c r="CW18" i="10"/>
  <c r="CX18" i="10" s="1"/>
  <c r="CP18" i="10"/>
  <c r="CQ18" i="10" s="1"/>
  <c r="CJ18" i="10"/>
  <c r="CK18" i="10" s="1"/>
  <c r="CD18" i="10"/>
  <c r="CE18" i="10" s="1"/>
  <c r="BW18" i="10"/>
  <c r="BX18" i="10" s="1"/>
  <c r="BQ18" i="10"/>
  <c r="BR18" i="10" s="1"/>
  <c r="BK18" i="10"/>
  <c r="BL18" i="10" s="1"/>
  <c r="BD18" i="10"/>
  <c r="BE18" i="10" s="1"/>
  <c r="AX18" i="10"/>
  <c r="AY18" i="10" s="1"/>
  <c r="AR18" i="10"/>
  <c r="AS18" i="10" s="1"/>
  <c r="AK18" i="10"/>
  <c r="AL18" i="10" s="1"/>
  <c r="AE18" i="10"/>
  <c r="AF18" i="10" s="1"/>
  <c r="Y18" i="10"/>
  <c r="Z18" i="10" s="1"/>
  <c r="R18" i="10"/>
  <c r="S18" i="10" s="1"/>
  <c r="L18" i="10"/>
  <c r="M18" i="10" s="1"/>
  <c r="F18" i="10"/>
  <c r="G18" i="10" s="1"/>
  <c r="UQ17" i="10"/>
  <c r="UR17" i="10" s="1"/>
  <c r="UL17" i="10"/>
  <c r="UM17" i="10" s="1"/>
  <c r="UG17" i="10"/>
  <c r="UH17" i="10" s="1"/>
  <c r="TZ17" i="10"/>
  <c r="UA17" i="10" s="1"/>
  <c r="TU17" i="10"/>
  <c r="TV17" i="10" s="1"/>
  <c r="TP17" i="10"/>
  <c r="TQ17" i="10" s="1"/>
  <c r="TI17" i="10"/>
  <c r="TJ17" i="10" s="1"/>
  <c r="TD17" i="10"/>
  <c r="TE17" i="10" s="1"/>
  <c r="SY17" i="10"/>
  <c r="SZ17" i="10" s="1"/>
  <c r="SR17" i="10"/>
  <c r="SS17" i="10" s="1"/>
  <c r="SL17" i="10"/>
  <c r="SM17" i="10" s="1"/>
  <c r="SF17" i="10"/>
  <c r="SG17" i="10" s="1"/>
  <c r="RY17" i="10"/>
  <c r="RZ17" i="10" s="1"/>
  <c r="RS17" i="10"/>
  <c r="RM17" i="10"/>
  <c r="RN17" i="10" s="1"/>
  <c r="RF17" i="10"/>
  <c r="RG17" i="10" s="1"/>
  <c r="QZ17" i="10"/>
  <c r="RA17" i="10" s="1"/>
  <c r="QT17" i="10"/>
  <c r="QU17" i="10" s="1"/>
  <c r="QM17" i="10"/>
  <c r="QN17" i="10" s="1"/>
  <c r="QG17" i="10"/>
  <c r="QH17" i="10" s="1"/>
  <c r="QA17" i="10"/>
  <c r="QB17" i="10" s="1"/>
  <c r="PT17" i="10"/>
  <c r="PU17" i="10" s="1"/>
  <c r="PN17" i="10"/>
  <c r="PO17" i="10" s="1"/>
  <c r="PH17" i="10"/>
  <c r="PI17" i="10" s="1"/>
  <c r="PA17" i="10"/>
  <c r="PB17" i="10" s="1"/>
  <c r="OU17" i="10"/>
  <c r="OV17" i="10" s="1"/>
  <c r="OO17" i="10"/>
  <c r="OP17" i="10" s="1"/>
  <c r="OH17" i="10"/>
  <c r="OI17" i="10" s="1"/>
  <c r="OB17" i="10"/>
  <c r="OC17" i="10" s="1"/>
  <c r="NV17" i="10"/>
  <c r="NW17" i="10" s="1"/>
  <c r="NO17" i="10"/>
  <c r="NP17" i="10" s="1"/>
  <c r="NI17" i="10"/>
  <c r="NJ17" i="10" s="1"/>
  <c r="NC17" i="10"/>
  <c r="ND17" i="10" s="1"/>
  <c r="MV17" i="10"/>
  <c r="MW17" i="10" s="1"/>
  <c r="MP17" i="10"/>
  <c r="MQ17" i="10" s="1"/>
  <c r="MJ17" i="10"/>
  <c r="MK17" i="10" s="1"/>
  <c r="MC17" i="10"/>
  <c r="MD17" i="10" s="1"/>
  <c r="LW17" i="10"/>
  <c r="LX17" i="10" s="1"/>
  <c r="LQ17" i="10"/>
  <c r="LR17" i="10" s="1"/>
  <c r="LJ17" i="10"/>
  <c r="LK17" i="10" s="1"/>
  <c r="LD17" i="10"/>
  <c r="LE17" i="10" s="1"/>
  <c r="KX17" i="10"/>
  <c r="KY17" i="10" s="1"/>
  <c r="KQ17" i="10"/>
  <c r="KR17" i="10" s="1"/>
  <c r="KK17" i="10"/>
  <c r="KL17" i="10" s="1"/>
  <c r="KE17" i="10"/>
  <c r="KF17" i="10" s="1"/>
  <c r="JX17" i="10"/>
  <c r="JY17" i="10" s="1"/>
  <c r="JR17" i="10"/>
  <c r="JS17" i="10" s="1"/>
  <c r="JL17" i="10"/>
  <c r="JM17" i="10" s="1"/>
  <c r="JE17" i="10"/>
  <c r="JF17" i="10" s="1"/>
  <c r="IY17" i="10"/>
  <c r="IZ17" i="10" s="1"/>
  <c r="IS17" i="10"/>
  <c r="IT17" i="10" s="1"/>
  <c r="IL17" i="10"/>
  <c r="IM17" i="10" s="1"/>
  <c r="IF17" i="10"/>
  <c r="IG17" i="10" s="1"/>
  <c r="HZ17" i="10"/>
  <c r="IA17" i="10" s="1"/>
  <c r="HS17" i="10"/>
  <c r="HT17" i="10" s="1"/>
  <c r="HM17" i="10"/>
  <c r="HN17" i="10" s="1"/>
  <c r="HG17" i="10"/>
  <c r="HH17" i="10" s="1"/>
  <c r="GZ17" i="10"/>
  <c r="HA17" i="10" s="1"/>
  <c r="GT17" i="10"/>
  <c r="GU17" i="10" s="1"/>
  <c r="GN17" i="10"/>
  <c r="GO17" i="10" s="1"/>
  <c r="GG17" i="10"/>
  <c r="GH17" i="10" s="1"/>
  <c r="GA17" i="10"/>
  <c r="FU17" i="10"/>
  <c r="FV17" i="10" s="1"/>
  <c r="FN17" i="10"/>
  <c r="FO17" i="10" s="1"/>
  <c r="FH17" i="10"/>
  <c r="FI17" i="10" s="1"/>
  <c r="FB17" i="10"/>
  <c r="FC17" i="10" s="1"/>
  <c r="EU17" i="10"/>
  <c r="EV17" i="10" s="1"/>
  <c r="EO17" i="10"/>
  <c r="EI17" i="10"/>
  <c r="EJ17" i="10" s="1"/>
  <c r="EB17" i="10"/>
  <c r="EC17" i="10" s="1"/>
  <c r="DV17" i="10"/>
  <c r="DW17" i="10" s="1"/>
  <c r="DP17" i="10"/>
  <c r="DQ17" i="10" s="1"/>
  <c r="DI17" i="10"/>
  <c r="DJ17" i="10" s="1"/>
  <c r="DC17" i="10"/>
  <c r="CW17" i="10"/>
  <c r="CX17" i="10" s="1"/>
  <c r="CP17" i="10"/>
  <c r="CQ17" i="10" s="1"/>
  <c r="CJ17" i="10"/>
  <c r="CK17" i="10" s="1"/>
  <c r="CD17" i="10"/>
  <c r="CE17" i="10" s="1"/>
  <c r="BW17" i="10"/>
  <c r="BX17" i="10" s="1"/>
  <c r="BQ17" i="10"/>
  <c r="BK17" i="10"/>
  <c r="BL17" i="10" s="1"/>
  <c r="BD17" i="10"/>
  <c r="BE17" i="10" s="1"/>
  <c r="AX17" i="10"/>
  <c r="AY17" i="10" s="1"/>
  <c r="AR17" i="10"/>
  <c r="AS17" i="10" s="1"/>
  <c r="AK17" i="10"/>
  <c r="AL17" i="10" s="1"/>
  <c r="AE17" i="10"/>
  <c r="Y17" i="10"/>
  <c r="Z17" i="10" s="1"/>
  <c r="R17" i="10"/>
  <c r="L17" i="10"/>
  <c r="M17" i="10" s="1"/>
  <c r="F17" i="10"/>
  <c r="G17" i="10" s="1"/>
  <c r="UQ15" i="10"/>
  <c r="UR15" i="10" s="1"/>
  <c r="UL15" i="10"/>
  <c r="UM15" i="10" s="1"/>
  <c r="UG15" i="10"/>
  <c r="TZ15" i="10"/>
  <c r="UA15" i="10" s="1"/>
  <c r="TU15" i="10"/>
  <c r="TV15" i="10" s="1"/>
  <c r="TP15" i="10"/>
  <c r="TI15" i="10"/>
  <c r="TJ15" i="10" s="1"/>
  <c r="TD15" i="10"/>
  <c r="TE15" i="10" s="1"/>
  <c r="SY15" i="10"/>
  <c r="SR15" i="10"/>
  <c r="SS15" i="10" s="1"/>
  <c r="SL15" i="10"/>
  <c r="SM15" i="10" s="1"/>
  <c r="SF15" i="10"/>
  <c r="RY15" i="10"/>
  <c r="RZ15" i="10" s="1"/>
  <c r="RS15" i="10"/>
  <c r="RT15" i="10" s="1"/>
  <c r="RM15" i="10"/>
  <c r="RF15" i="10"/>
  <c r="RG15" i="10" s="1"/>
  <c r="QZ15" i="10"/>
  <c r="RA15" i="10" s="1"/>
  <c r="QT15" i="10"/>
  <c r="QM15" i="10"/>
  <c r="QN15" i="10" s="1"/>
  <c r="QG15" i="10"/>
  <c r="QH15" i="10" s="1"/>
  <c r="QA15" i="10"/>
  <c r="PT15" i="10"/>
  <c r="PU15" i="10" s="1"/>
  <c r="PN15" i="10"/>
  <c r="PO15" i="10" s="1"/>
  <c r="PH15" i="10"/>
  <c r="PA15" i="10"/>
  <c r="PB15" i="10" s="1"/>
  <c r="OU15" i="10"/>
  <c r="OV15" i="10" s="1"/>
  <c r="OO15" i="10"/>
  <c r="OH15" i="10"/>
  <c r="OI15" i="10" s="1"/>
  <c r="OB15" i="10"/>
  <c r="OC15" i="10" s="1"/>
  <c r="NV15" i="10"/>
  <c r="NO15" i="10"/>
  <c r="NP15" i="10" s="1"/>
  <c r="NI15" i="10"/>
  <c r="NJ15" i="10" s="1"/>
  <c r="NC15" i="10"/>
  <c r="MV15" i="10"/>
  <c r="MW15" i="10" s="1"/>
  <c r="MP15" i="10"/>
  <c r="MQ15" i="10" s="1"/>
  <c r="MJ15" i="10"/>
  <c r="MC15" i="10"/>
  <c r="MD15" i="10" s="1"/>
  <c r="LW15" i="10"/>
  <c r="LX15" i="10" s="1"/>
  <c r="LQ15" i="10"/>
  <c r="LJ15" i="10"/>
  <c r="LK15" i="10" s="1"/>
  <c r="LD15" i="10"/>
  <c r="LE15" i="10" s="1"/>
  <c r="KX15" i="10"/>
  <c r="KQ15" i="10"/>
  <c r="KR15" i="10" s="1"/>
  <c r="KK15" i="10"/>
  <c r="KL15" i="10" s="1"/>
  <c r="KE15" i="10"/>
  <c r="JX15" i="10"/>
  <c r="JY15" i="10" s="1"/>
  <c r="JR15" i="10"/>
  <c r="JS15" i="10" s="1"/>
  <c r="JL15" i="10"/>
  <c r="JE15" i="10"/>
  <c r="JF15" i="10" s="1"/>
  <c r="IY15" i="10"/>
  <c r="IZ15" i="10" s="1"/>
  <c r="IS15" i="10"/>
  <c r="IL15" i="10"/>
  <c r="IM15" i="10" s="1"/>
  <c r="IF15" i="10"/>
  <c r="IG15" i="10" s="1"/>
  <c r="HZ15" i="10"/>
  <c r="HS15" i="10"/>
  <c r="HT15" i="10" s="1"/>
  <c r="HM15" i="10"/>
  <c r="HN15" i="10" s="1"/>
  <c r="HG15" i="10"/>
  <c r="GZ15" i="10"/>
  <c r="HA15" i="10" s="1"/>
  <c r="GT15" i="10"/>
  <c r="GU15" i="10" s="1"/>
  <c r="GN15" i="10"/>
  <c r="GG15" i="10"/>
  <c r="GH15" i="10" s="1"/>
  <c r="GA15" i="10"/>
  <c r="GB15" i="10" s="1"/>
  <c r="FU15" i="10"/>
  <c r="FN15" i="10"/>
  <c r="FO15" i="10" s="1"/>
  <c r="FH15" i="10"/>
  <c r="FI15" i="10" s="1"/>
  <c r="FB15" i="10"/>
  <c r="EU15" i="10"/>
  <c r="EV15" i="10" s="1"/>
  <c r="EO15" i="10"/>
  <c r="EP15" i="10" s="1"/>
  <c r="EI15" i="10"/>
  <c r="EB15" i="10"/>
  <c r="EC15" i="10" s="1"/>
  <c r="DV15" i="10"/>
  <c r="DW15" i="10" s="1"/>
  <c r="DP15" i="10"/>
  <c r="DI15" i="10"/>
  <c r="DJ15" i="10" s="1"/>
  <c r="DC15" i="10"/>
  <c r="DD15" i="10" s="1"/>
  <c r="CW15" i="10"/>
  <c r="CP15" i="10"/>
  <c r="CQ15" i="10" s="1"/>
  <c r="CJ15" i="10"/>
  <c r="CK15" i="10" s="1"/>
  <c r="CD15" i="10"/>
  <c r="BW15" i="10"/>
  <c r="BX15" i="10" s="1"/>
  <c r="BQ15" i="10"/>
  <c r="BR15" i="10" s="1"/>
  <c r="BK15" i="10"/>
  <c r="BD15" i="10"/>
  <c r="BE15" i="10" s="1"/>
  <c r="AX15" i="10"/>
  <c r="AY15" i="10" s="1"/>
  <c r="AR15" i="10"/>
  <c r="AK15" i="10"/>
  <c r="AL15" i="10" s="1"/>
  <c r="AE15" i="10"/>
  <c r="AF15" i="10" s="1"/>
  <c r="Y15" i="10"/>
  <c r="R15" i="10"/>
  <c r="S15" i="10" s="1"/>
  <c r="L15" i="10"/>
  <c r="M15" i="10" s="1"/>
  <c r="F15" i="10"/>
  <c r="G15" i="10" s="1"/>
  <c r="UQ14" i="10"/>
  <c r="UR14" i="10" s="1"/>
  <c r="UL14" i="10"/>
  <c r="UM14" i="10" s="1"/>
  <c r="UG14" i="10"/>
  <c r="UH14" i="10" s="1"/>
  <c r="TZ14" i="10"/>
  <c r="UA14" i="10" s="1"/>
  <c r="TU14" i="10"/>
  <c r="TV14" i="10" s="1"/>
  <c r="TP14" i="10"/>
  <c r="TQ14" i="10" s="1"/>
  <c r="TI14" i="10"/>
  <c r="TJ14" i="10" s="1"/>
  <c r="TD14" i="10"/>
  <c r="TE14" i="10" s="1"/>
  <c r="SY14" i="10"/>
  <c r="SZ14" i="10" s="1"/>
  <c r="SR14" i="10"/>
  <c r="SS14" i="10" s="1"/>
  <c r="SL14" i="10"/>
  <c r="SM14" i="10" s="1"/>
  <c r="SF14" i="10"/>
  <c r="SG14" i="10" s="1"/>
  <c r="RY14" i="10"/>
  <c r="RZ14" i="10" s="1"/>
  <c r="RS14" i="10"/>
  <c r="RT14" i="10" s="1"/>
  <c r="RM14" i="10"/>
  <c r="RN14" i="10" s="1"/>
  <c r="RF14" i="10"/>
  <c r="RG14" i="10" s="1"/>
  <c r="QZ14" i="10"/>
  <c r="RA14" i="10" s="1"/>
  <c r="QT14" i="10"/>
  <c r="QU14" i="10" s="1"/>
  <c r="QM14" i="10"/>
  <c r="QN14" i="10" s="1"/>
  <c r="QG14" i="10"/>
  <c r="QH14" i="10" s="1"/>
  <c r="QA14" i="10"/>
  <c r="QB14" i="10" s="1"/>
  <c r="PT14" i="10"/>
  <c r="PU14" i="10" s="1"/>
  <c r="PN14" i="10"/>
  <c r="PO14" i="10" s="1"/>
  <c r="PH14" i="10"/>
  <c r="PI14" i="10" s="1"/>
  <c r="PA14" i="10"/>
  <c r="PB14" i="10" s="1"/>
  <c r="OU14" i="10"/>
  <c r="OV14" i="10" s="1"/>
  <c r="OO14" i="10"/>
  <c r="OP14" i="10" s="1"/>
  <c r="OH14" i="10"/>
  <c r="OI14" i="10" s="1"/>
  <c r="OB14" i="10"/>
  <c r="OC14" i="10" s="1"/>
  <c r="NV14" i="10"/>
  <c r="NW14" i="10" s="1"/>
  <c r="NO14" i="10"/>
  <c r="NP14" i="10" s="1"/>
  <c r="NI14" i="10"/>
  <c r="NJ14" i="10" s="1"/>
  <c r="NC14" i="10"/>
  <c r="ND14" i="10" s="1"/>
  <c r="MV14" i="10"/>
  <c r="MW14" i="10" s="1"/>
  <c r="MP14" i="10"/>
  <c r="MQ14" i="10" s="1"/>
  <c r="MJ14" i="10"/>
  <c r="MK14" i="10" s="1"/>
  <c r="MC14" i="10"/>
  <c r="MD14" i="10" s="1"/>
  <c r="LW14" i="10"/>
  <c r="LX14" i="10" s="1"/>
  <c r="LQ14" i="10"/>
  <c r="LR14" i="10" s="1"/>
  <c r="LJ14" i="10"/>
  <c r="LK14" i="10" s="1"/>
  <c r="LD14" i="10"/>
  <c r="LE14" i="10" s="1"/>
  <c r="KX14" i="10"/>
  <c r="KY14" i="10" s="1"/>
  <c r="KQ14" i="10"/>
  <c r="KR14" i="10" s="1"/>
  <c r="KK14" i="10"/>
  <c r="KL14" i="10" s="1"/>
  <c r="KE14" i="10"/>
  <c r="KF14" i="10" s="1"/>
  <c r="JX14" i="10"/>
  <c r="JY14" i="10" s="1"/>
  <c r="JR14" i="10"/>
  <c r="JS14" i="10" s="1"/>
  <c r="JL14" i="10"/>
  <c r="JM14" i="10" s="1"/>
  <c r="JE14" i="10"/>
  <c r="JF14" i="10" s="1"/>
  <c r="IY14" i="10"/>
  <c r="IZ14" i="10" s="1"/>
  <c r="IS14" i="10"/>
  <c r="IT14" i="10" s="1"/>
  <c r="IL14" i="10"/>
  <c r="IM14" i="10" s="1"/>
  <c r="IF14" i="10"/>
  <c r="IG14" i="10" s="1"/>
  <c r="HZ14" i="10"/>
  <c r="IA14" i="10" s="1"/>
  <c r="HS14" i="10"/>
  <c r="HT14" i="10" s="1"/>
  <c r="HM14" i="10"/>
  <c r="HN14" i="10" s="1"/>
  <c r="HG14" i="10"/>
  <c r="HH14" i="10" s="1"/>
  <c r="GZ14" i="10"/>
  <c r="HA14" i="10" s="1"/>
  <c r="GT14" i="10"/>
  <c r="GU14" i="10" s="1"/>
  <c r="GN14" i="10"/>
  <c r="GO14" i="10" s="1"/>
  <c r="GG14" i="10"/>
  <c r="GH14" i="10" s="1"/>
  <c r="GA14" i="10"/>
  <c r="GB14" i="10" s="1"/>
  <c r="FU14" i="10"/>
  <c r="FV14" i="10" s="1"/>
  <c r="FN14" i="10"/>
  <c r="FO14" i="10" s="1"/>
  <c r="FH14" i="10"/>
  <c r="FI14" i="10" s="1"/>
  <c r="FB14" i="10"/>
  <c r="FC14" i="10" s="1"/>
  <c r="EU14" i="10"/>
  <c r="EV14" i="10" s="1"/>
  <c r="EO14" i="10"/>
  <c r="EP14" i="10" s="1"/>
  <c r="EI14" i="10"/>
  <c r="EJ14" i="10" s="1"/>
  <c r="EB14" i="10"/>
  <c r="EC14" i="10" s="1"/>
  <c r="DV14" i="10"/>
  <c r="DW14" i="10" s="1"/>
  <c r="DP14" i="10"/>
  <c r="DQ14" i="10" s="1"/>
  <c r="DI14" i="10"/>
  <c r="DJ14" i="10" s="1"/>
  <c r="DC14" i="10"/>
  <c r="DD14" i="10" s="1"/>
  <c r="CW14" i="10"/>
  <c r="CX14" i="10" s="1"/>
  <c r="CP14" i="10"/>
  <c r="CQ14" i="10" s="1"/>
  <c r="CJ14" i="10"/>
  <c r="CK14" i="10" s="1"/>
  <c r="CD14" i="10"/>
  <c r="CE14" i="10" s="1"/>
  <c r="BW14" i="10"/>
  <c r="BX14" i="10" s="1"/>
  <c r="BQ14" i="10"/>
  <c r="BR14" i="10" s="1"/>
  <c r="BK14" i="10"/>
  <c r="BL14" i="10" s="1"/>
  <c r="BD14" i="10"/>
  <c r="BE14" i="10" s="1"/>
  <c r="AX14" i="10"/>
  <c r="AY14" i="10" s="1"/>
  <c r="AR14" i="10"/>
  <c r="AS14" i="10" s="1"/>
  <c r="AK14" i="10"/>
  <c r="AL14" i="10" s="1"/>
  <c r="AE14" i="10"/>
  <c r="AF14" i="10" s="1"/>
  <c r="Y14" i="10"/>
  <c r="Z14" i="10" s="1"/>
  <c r="R14" i="10"/>
  <c r="S14" i="10" s="1"/>
  <c r="L14" i="10"/>
  <c r="M14" i="10" s="1"/>
  <c r="F14" i="10"/>
  <c r="G14" i="10" s="1"/>
  <c r="UQ12" i="10"/>
  <c r="UR12" i="10" s="1"/>
  <c r="UL12" i="10"/>
  <c r="UM12" i="10" s="1"/>
  <c r="UG12" i="10"/>
  <c r="UH12" i="10" s="1"/>
  <c r="TZ12" i="10"/>
  <c r="UA12" i="10" s="1"/>
  <c r="TU12" i="10"/>
  <c r="TV12" i="10" s="1"/>
  <c r="TP12" i="10"/>
  <c r="TQ12" i="10" s="1"/>
  <c r="TI12" i="10"/>
  <c r="TJ12" i="10" s="1"/>
  <c r="TD12" i="10"/>
  <c r="TE12" i="10" s="1"/>
  <c r="SY12" i="10"/>
  <c r="SZ12" i="10" s="1"/>
  <c r="SR12" i="10"/>
  <c r="SS12" i="10" s="1"/>
  <c r="SL12" i="10"/>
  <c r="SM12" i="10" s="1"/>
  <c r="SF12" i="10"/>
  <c r="SG12" i="10" s="1"/>
  <c r="RY12" i="10"/>
  <c r="RZ12" i="10" s="1"/>
  <c r="RS12" i="10"/>
  <c r="RT12" i="10" s="1"/>
  <c r="RM12" i="10"/>
  <c r="RN12" i="10" s="1"/>
  <c r="RF12" i="10"/>
  <c r="RG12" i="10" s="1"/>
  <c r="QZ12" i="10"/>
  <c r="RA12" i="10" s="1"/>
  <c r="QT12" i="10"/>
  <c r="QU12" i="10" s="1"/>
  <c r="QM12" i="10"/>
  <c r="QN12" i="10" s="1"/>
  <c r="QG12" i="10"/>
  <c r="QH12" i="10" s="1"/>
  <c r="QA12" i="10"/>
  <c r="QB12" i="10" s="1"/>
  <c r="PT12" i="10"/>
  <c r="PU12" i="10" s="1"/>
  <c r="PN12" i="10"/>
  <c r="PO12" i="10" s="1"/>
  <c r="PH12" i="10"/>
  <c r="PI12" i="10" s="1"/>
  <c r="PA12" i="10"/>
  <c r="PB12" i="10" s="1"/>
  <c r="OU12" i="10"/>
  <c r="OV12" i="10" s="1"/>
  <c r="OO12" i="10"/>
  <c r="OP12" i="10" s="1"/>
  <c r="OH12" i="10"/>
  <c r="OI12" i="10" s="1"/>
  <c r="OB12" i="10"/>
  <c r="OC12" i="10" s="1"/>
  <c r="NV12" i="10"/>
  <c r="NW12" i="10" s="1"/>
  <c r="NO12" i="10"/>
  <c r="NP12" i="10" s="1"/>
  <c r="NI12" i="10"/>
  <c r="NJ12" i="10" s="1"/>
  <c r="NC12" i="10"/>
  <c r="ND12" i="10" s="1"/>
  <c r="MV12" i="10"/>
  <c r="MW12" i="10" s="1"/>
  <c r="MP12" i="10"/>
  <c r="MQ12" i="10" s="1"/>
  <c r="MJ12" i="10"/>
  <c r="MK12" i="10" s="1"/>
  <c r="MC12" i="10"/>
  <c r="MD12" i="10" s="1"/>
  <c r="LW12" i="10"/>
  <c r="LX12" i="10" s="1"/>
  <c r="LQ12" i="10"/>
  <c r="LR12" i="10" s="1"/>
  <c r="LJ12" i="10"/>
  <c r="LK12" i="10" s="1"/>
  <c r="LD12" i="10"/>
  <c r="LE12" i="10" s="1"/>
  <c r="KX12" i="10"/>
  <c r="KY12" i="10" s="1"/>
  <c r="KQ12" i="10"/>
  <c r="KR12" i="10" s="1"/>
  <c r="KK12" i="10"/>
  <c r="KL12" i="10" s="1"/>
  <c r="KE12" i="10"/>
  <c r="KF12" i="10" s="1"/>
  <c r="JX12" i="10"/>
  <c r="JY12" i="10" s="1"/>
  <c r="JR12" i="10"/>
  <c r="JS12" i="10" s="1"/>
  <c r="JL12" i="10"/>
  <c r="JE12" i="10"/>
  <c r="JF12" i="10" s="1"/>
  <c r="IY12" i="10"/>
  <c r="IZ12" i="10" s="1"/>
  <c r="IS12" i="10"/>
  <c r="IT12" i="10" s="1"/>
  <c r="IL12" i="10"/>
  <c r="IM12" i="10" s="1"/>
  <c r="IF12" i="10"/>
  <c r="IG12" i="10" s="1"/>
  <c r="HZ12" i="10"/>
  <c r="IA12" i="10" s="1"/>
  <c r="HS12" i="10"/>
  <c r="HT12" i="10" s="1"/>
  <c r="HM12" i="10"/>
  <c r="HN12" i="10" s="1"/>
  <c r="HG12" i="10"/>
  <c r="HH12" i="10" s="1"/>
  <c r="GZ12" i="10"/>
  <c r="HA12" i="10" s="1"/>
  <c r="GT12" i="10"/>
  <c r="GU12" i="10" s="1"/>
  <c r="GN12" i="10"/>
  <c r="GO12" i="10" s="1"/>
  <c r="GG12" i="10"/>
  <c r="GH12" i="10" s="1"/>
  <c r="GA12" i="10"/>
  <c r="GB12" i="10" s="1"/>
  <c r="FU12" i="10"/>
  <c r="FV12" i="10" s="1"/>
  <c r="FN12" i="10"/>
  <c r="FO12" i="10" s="1"/>
  <c r="FH12" i="10"/>
  <c r="FI12" i="10" s="1"/>
  <c r="FB12" i="10"/>
  <c r="FC12" i="10" s="1"/>
  <c r="EU12" i="10"/>
  <c r="EV12" i="10" s="1"/>
  <c r="EO12" i="10"/>
  <c r="EP12" i="10" s="1"/>
  <c r="EI12" i="10"/>
  <c r="EJ12" i="10" s="1"/>
  <c r="EB12" i="10"/>
  <c r="EC12" i="10" s="1"/>
  <c r="DV12" i="10"/>
  <c r="DW12" i="10" s="1"/>
  <c r="DP12" i="10"/>
  <c r="DQ12" i="10" s="1"/>
  <c r="DI12" i="10"/>
  <c r="DJ12" i="10" s="1"/>
  <c r="DC12" i="10"/>
  <c r="DD12" i="10" s="1"/>
  <c r="CW12" i="10"/>
  <c r="CX12" i="10" s="1"/>
  <c r="CP12" i="10"/>
  <c r="CQ12" i="10" s="1"/>
  <c r="CJ12" i="10"/>
  <c r="CK12" i="10" s="1"/>
  <c r="CD12" i="10"/>
  <c r="CE12" i="10" s="1"/>
  <c r="BW12" i="10"/>
  <c r="BX12" i="10" s="1"/>
  <c r="BQ12" i="10"/>
  <c r="BR12" i="10" s="1"/>
  <c r="BK12" i="10"/>
  <c r="BL12" i="10" s="1"/>
  <c r="BD12" i="10"/>
  <c r="BE12" i="10" s="1"/>
  <c r="AX12" i="10"/>
  <c r="AY12" i="10" s="1"/>
  <c r="AR12" i="10"/>
  <c r="AS12" i="10" s="1"/>
  <c r="AK12" i="10"/>
  <c r="AL12" i="10" s="1"/>
  <c r="AE12" i="10"/>
  <c r="AF12" i="10" s="1"/>
  <c r="Y12" i="10"/>
  <c r="Z12" i="10" s="1"/>
  <c r="R12" i="10"/>
  <c r="S12" i="10" s="1"/>
  <c r="L12" i="10"/>
  <c r="M12" i="10" s="1"/>
  <c r="F12" i="10"/>
  <c r="G12" i="10" s="1"/>
  <c r="UQ11" i="10"/>
  <c r="UR11" i="10" s="1"/>
  <c r="UL11" i="10"/>
  <c r="UM11" i="10" s="1"/>
  <c r="UG11" i="10"/>
  <c r="UH11" i="10" s="1"/>
  <c r="TZ11" i="10"/>
  <c r="UA11" i="10" s="1"/>
  <c r="TU11" i="10"/>
  <c r="TV11" i="10" s="1"/>
  <c r="TP11" i="10"/>
  <c r="TQ11" i="10" s="1"/>
  <c r="TI11" i="10"/>
  <c r="TJ11" i="10" s="1"/>
  <c r="TD11" i="10"/>
  <c r="TE11" i="10" s="1"/>
  <c r="SY11" i="10"/>
  <c r="SZ11" i="10" s="1"/>
  <c r="SR11" i="10"/>
  <c r="SS11" i="10" s="1"/>
  <c r="SL11" i="10"/>
  <c r="SM11" i="10" s="1"/>
  <c r="SF11" i="10"/>
  <c r="SG11" i="10" s="1"/>
  <c r="RY11" i="10"/>
  <c r="RZ11" i="10" s="1"/>
  <c r="RS11" i="10"/>
  <c r="RT11" i="10" s="1"/>
  <c r="RM11" i="10"/>
  <c r="RN11" i="10" s="1"/>
  <c r="RF11" i="10"/>
  <c r="RG11" i="10" s="1"/>
  <c r="QZ11" i="10"/>
  <c r="RA11" i="10" s="1"/>
  <c r="QT11" i="10"/>
  <c r="QU11" i="10" s="1"/>
  <c r="QM11" i="10"/>
  <c r="QN11" i="10" s="1"/>
  <c r="QG11" i="10"/>
  <c r="QH11" i="10" s="1"/>
  <c r="QA11" i="10"/>
  <c r="QB11" i="10" s="1"/>
  <c r="PT11" i="10"/>
  <c r="PU11" i="10" s="1"/>
  <c r="PN11" i="10"/>
  <c r="PO11" i="10" s="1"/>
  <c r="PH11" i="10"/>
  <c r="PI11" i="10" s="1"/>
  <c r="PA11" i="10"/>
  <c r="PB11" i="10" s="1"/>
  <c r="OU11" i="10"/>
  <c r="OV11" i="10" s="1"/>
  <c r="OO11" i="10"/>
  <c r="OP11" i="10" s="1"/>
  <c r="OH11" i="10"/>
  <c r="OI11" i="10" s="1"/>
  <c r="OB11" i="10"/>
  <c r="OC11" i="10" s="1"/>
  <c r="NV11" i="10"/>
  <c r="NW11" i="10" s="1"/>
  <c r="NO11" i="10"/>
  <c r="NP11" i="10" s="1"/>
  <c r="NI11" i="10"/>
  <c r="NJ11" i="10" s="1"/>
  <c r="NC11" i="10"/>
  <c r="ND11" i="10" s="1"/>
  <c r="MV11" i="10"/>
  <c r="MW11" i="10" s="1"/>
  <c r="MP11" i="10"/>
  <c r="MQ11" i="10" s="1"/>
  <c r="MJ11" i="10"/>
  <c r="MK11" i="10" s="1"/>
  <c r="MC11" i="10"/>
  <c r="MD11" i="10" s="1"/>
  <c r="LW11" i="10"/>
  <c r="LX11" i="10" s="1"/>
  <c r="LQ11" i="10"/>
  <c r="LR11" i="10" s="1"/>
  <c r="LJ11" i="10"/>
  <c r="LK11" i="10" s="1"/>
  <c r="LD11" i="10"/>
  <c r="LE11" i="10" s="1"/>
  <c r="KX11" i="10"/>
  <c r="KY11" i="10" s="1"/>
  <c r="KQ11" i="10"/>
  <c r="KR11" i="10" s="1"/>
  <c r="KK11" i="10"/>
  <c r="KL11" i="10" s="1"/>
  <c r="KE11" i="10"/>
  <c r="KF11" i="10" s="1"/>
  <c r="JX11" i="10"/>
  <c r="JY11" i="10" s="1"/>
  <c r="JR11" i="10"/>
  <c r="JS11" i="10" s="1"/>
  <c r="JL11" i="10"/>
  <c r="JM11" i="10" s="1"/>
  <c r="JE11" i="10"/>
  <c r="JF11" i="10" s="1"/>
  <c r="IY11" i="10"/>
  <c r="IZ11" i="10" s="1"/>
  <c r="IS11" i="10"/>
  <c r="IT11" i="10" s="1"/>
  <c r="IL11" i="10"/>
  <c r="IM11" i="10" s="1"/>
  <c r="IF11" i="10"/>
  <c r="IG11" i="10" s="1"/>
  <c r="HZ11" i="10"/>
  <c r="IA11" i="10" s="1"/>
  <c r="HS11" i="10"/>
  <c r="HT11" i="10" s="1"/>
  <c r="HM11" i="10"/>
  <c r="HN11" i="10" s="1"/>
  <c r="HG11" i="10"/>
  <c r="HH11" i="10" s="1"/>
  <c r="GZ11" i="10"/>
  <c r="HA11" i="10" s="1"/>
  <c r="GT11" i="10"/>
  <c r="GU11" i="10" s="1"/>
  <c r="GN11" i="10"/>
  <c r="GO11" i="10" s="1"/>
  <c r="GG11" i="10"/>
  <c r="GH11" i="10" s="1"/>
  <c r="GA11" i="10"/>
  <c r="GB11" i="10" s="1"/>
  <c r="FU11" i="10"/>
  <c r="FV11" i="10" s="1"/>
  <c r="FN11" i="10"/>
  <c r="FO11" i="10" s="1"/>
  <c r="FH11" i="10"/>
  <c r="FI11" i="10" s="1"/>
  <c r="FB11" i="10"/>
  <c r="FC11" i="10" s="1"/>
  <c r="EU11" i="10"/>
  <c r="EV11" i="10" s="1"/>
  <c r="EO11" i="10"/>
  <c r="EP11" i="10" s="1"/>
  <c r="EI11" i="10"/>
  <c r="EJ11" i="10" s="1"/>
  <c r="EB11" i="10"/>
  <c r="EC11" i="10" s="1"/>
  <c r="DV11" i="10"/>
  <c r="DW11" i="10" s="1"/>
  <c r="DP11" i="10"/>
  <c r="DQ11" i="10" s="1"/>
  <c r="DI11" i="10"/>
  <c r="DJ11" i="10" s="1"/>
  <c r="DC11" i="10"/>
  <c r="DD11" i="10" s="1"/>
  <c r="CW11" i="10"/>
  <c r="CX11" i="10" s="1"/>
  <c r="CP11" i="10"/>
  <c r="CQ11" i="10" s="1"/>
  <c r="CJ11" i="10"/>
  <c r="CK11" i="10" s="1"/>
  <c r="CD11" i="10"/>
  <c r="CE11" i="10" s="1"/>
  <c r="BW11" i="10"/>
  <c r="BX11" i="10" s="1"/>
  <c r="BQ11" i="10"/>
  <c r="BR11" i="10" s="1"/>
  <c r="BK11" i="10"/>
  <c r="BL11" i="10" s="1"/>
  <c r="BD11" i="10"/>
  <c r="BE11" i="10" s="1"/>
  <c r="AX11" i="10"/>
  <c r="AY11" i="10" s="1"/>
  <c r="AR11" i="10"/>
  <c r="AS11" i="10" s="1"/>
  <c r="AK11" i="10"/>
  <c r="AL11" i="10" s="1"/>
  <c r="AE11" i="10"/>
  <c r="AF11" i="10" s="1"/>
  <c r="Y11" i="10"/>
  <c r="Z11" i="10" s="1"/>
  <c r="R11" i="10"/>
  <c r="S11" i="10" s="1"/>
  <c r="L11" i="10"/>
  <c r="M11" i="10" s="1"/>
  <c r="F11" i="10"/>
  <c r="G11" i="10" s="1"/>
  <c r="UQ9" i="10"/>
  <c r="UR9" i="10" s="1"/>
  <c r="UL9" i="10"/>
  <c r="UM9" i="10" s="1"/>
  <c r="UG9" i="10"/>
  <c r="UH9" i="10" s="1"/>
  <c r="TZ9" i="10"/>
  <c r="UA9" i="10" s="1"/>
  <c r="TU9" i="10"/>
  <c r="TV9" i="10" s="1"/>
  <c r="TP9" i="10"/>
  <c r="TQ9" i="10" s="1"/>
  <c r="TI9" i="10"/>
  <c r="TJ9" i="10" s="1"/>
  <c r="TD9" i="10"/>
  <c r="TE9" i="10" s="1"/>
  <c r="SY9" i="10"/>
  <c r="SZ9" i="10" s="1"/>
  <c r="SR9" i="10"/>
  <c r="SS9" i="10" s="1"/>
  <c r="SL9" i="10"/>
  <c r="SM9" i="10" s="1"/>
  <c r="SF9" i="10"/>
  <c r="SG9" i="10" s="1"/>
  <c r="RY9" i="10"/>
  <c r="RZ9" i="10" s="1"/>
  <c r="RS9" i="10"/>
  <c r="RT9" i="10" s="1"/>
  <c r="RM9" i="10"/>
  <c r="RN9" i="10" s="1"/>
  <c r="RF9" i="10"/>
  <c r="RG9" i="10" s="1"/>
  <c r="QZ9" i="10"/>
  <c r="RA9" i="10" s="1"/>
  <c r="QT9" i="10"/>
  <c r="QU9" i="10" s="1"/>
  <c r="QM9" i="10"/>
  <c r="QN9" i="10" s="1"/>
  <c r="QG9" i="10"/>
  <c r="QH9" i="10" s="1"/>
  <c r="QA9" i="10"/>
  <c r="QB9" i="10" s="1"/>
  <c r="PT9" i="10"/>
  <c r="PU9" i="10" s="1"/>
  <c r="PN9" i="10"/>
  <c r="PO9" i="10" s="1"/>
  <c r="PH9" i="10"/>
  <c r="PI9" i="10" s="1"/>
  <c r="PA9" i="10"/>
  <c r="PB9" i="10" s="1"/>
  <c r="OU9" i="10"/>
  <c r="OV9" i="10" s="1"/>
  <c r="OO9" i="10"/>
  <c r="OP9" i="10" s="1"/>
  <c r="OH9" i="10"/>
  <c r="OI9" i="10" s="1"/>
  <c r="OB9" i="10"/>
  <c r="OC9" i="10" s="1"/>
  <c r="NV9" i="10"/>
  <c r="NW9" i="10" s="1"/>
  <c r="NO9" i="10"/>
  <c r="NP9" i="10" s="1"/>
  <c r="NI9" i="10"/>
  <c r="NJ9" i="10" s="1"/>
  <c r="NC9" i="10"/>
  <c r="ND9" i="10" s="1"/>
  <c r="MV9" i="10"/>
  <c r="MW9" i="10" s="1"/>
  <c r="MP9" i="10"/>
  <c r="MQ9" i="10" s="1"/>
  <c r="MJ9" i="10"/>
  <c r="MK9" i="10" s="1"/>
  <c r="MC9" i="10"/>
  <c r="MD9" i="10" s="1"/>
  <c r="LW9" i="10"/>
  <c r="LX9" i="10" s="1"/>
  <c r="LQ9" i="10"/>
  <c r="LR9" i="10" s="1"/>
  <c r="LJ9" i="10"/>
  <c r="LK9" i="10" s="1"/>
  <c r="LD9" i="10"/>
  <c r="LE9" i="10" s="1"/>
  <c r="KX9" i="10"/>
  <c r="KY9" i="10" s="1"/>
  <c r="KQ9" i="10"/>
  <c r="KR9" i="10" s="1"/>
  <c r="KK9" i="10"/>
  <c r="KL9" i="10" s="1"/>
  <c r="KE9" i="10"/>
  <c r="KF9" i="10" s="1"/>
  <c r="JX9" i="10"/>
  <c r="JY9" i="10" s="1"/>
  <c r="JR9" i="10"/>
  <c r="JS9" i="10" s="1"/>
  <c r="JL9" i="10"/>
  <c r="JM9" i="10" s="1"/>
  <c r="JE9" i="10"/>
  <c r="JF9" i="10" s="1"/>
  <c r="IY9" i="10"/>
  <c r="IZ9" i="10" s="1"/>
  <c r="IS9" i="10"/>
  <c r="IT9" i="10" s="1"/>
  <c r="IL9" i="10"/>
  <c r="IM9" i="10" s="1"/>
  <c r="IF9" i="10"/>
  <c r="IG9" i="10" s="1"/>
  <c r="HZ9" i="10"/>
  <c r="IA9" i="10" s="1"/>
  <c r="HS9" i="10"/>
  <c r="HT9" i="10" s="1"/>
  <c r="HM9" i="10"/>
  <c r="HN9" i="10" s="1"/>
  <c r="HG9" i="10"/>
  <c r="HH9" i="10" s="1"/>
  <c r="GZ9" i="10"/>
  <c r="HA9" i="10" s="1"/>
  <c r="GT9" i="10"/>
  <c r="GU9" i="10" s="1"/>
  <c r="GN9" i="10"/>
  <c r="GO9" i="10" s="1"/>
  <c r="GG9" i="10"/>
  <c r="GH9" i="10" s="1"/>
  <c r="GA9" i="10"/>
  <c r="GB9" i="10" s="1"/>
  <c r="FU9" i="10"/>
  <c r="FV9" i="10" s="1"/>
  <c r="FN9" i="10"/>
  <c r="FO9" i="10" s="1"/>
  <c r="FH9" i="10"/>
  <c r="FI9" i="10" s="1"/>
  <c r="FB9" i="10"/>
  <c r="FC9" i="10" s="1"/>
  <c r="EU9" i="10"/>
  <c r="EV9" i="10" s="1"/>
  <c r="EO9" i="10"/>
  <c r="EP9" i="10" s="1"/>
  <c r="EI9" i="10"/>
  <c r="EJ9" i="10" s="1"/>
  <c r="EB9" i="10"/>
  <c r="EC9" i="10" s="1"/>
  <c r="DV9" i="10"/>
  <c r="DW9" i="10" s="1"/>
  <c r="DP9" i="10"/>
  <c r="DQ9" i="10" s="1"/>
  <c r="DI9" i="10"/>
  <c r="DJ9" i="10" s="1"/>
  <c r="DC9" i="10"/>
  <c r="DD9" i="10" s="1"/>
  <c r="CW9" i="10"/>
  <c r="CX9" i="10" s="1"/>
  <c r="CP9" i="10"/>
  <c r="CQ9" i="10" s="1"/>
  <c r="CJ9" i="10"/>
  <c r="CK9" i="10" s="1"/>
  <c r="CD9" i="10"/>
  <c r="CE9" i="10" s="1"/>
  <c r="BW9" i="10"/>
  <c r="BX9" i="10" s="1"/>
  <c r="BQ9" i="10"/>
  <c r="BR9" i="10" s="1"/>
  <c r="BK9" i="10"/>
  <c r="BL9" i="10" s="1"/>
  <c r="BD9" i="10"/>
  <c r="BE9" i="10" s="1"/>
  <c r="AX9" i="10"/>
  <c r="AY9" i="10" s="1"/>
  <c r="AR9" i="10"/>
  <c r="AS9" i="10" s="1"/>
  <c r="AK9" i="10"/>
  <c r="AL9" i="10" s="1"/>
  <c r="AE9" i="10"/>
  <c r="AF9" i="10" s="1"/>
  <c r="Y9" i="10"/>
  <c r="Z9" i="10" s="1"/>
  <c r="R9" i="10"/>
  <c r="S9" i="10" s="1"/>
  <c r="L9" i="10"/>
  <c r="M9" i="10" s="1"/>
  <c r="F9" i="10"/>
  <c r="G9" i="10" s="1"/>
  <c r="UQ8" i="10"/>
  <c r="UR8" i="10" s="1"/>
  <c r="UL8" i="10"/>
  <c r="UM8" i="10" s="1"/>
  <c r="UG8" i="10"/>
  <c r="UH8" i="10" s="1"/>
  <c r="TZ8" i="10"/>
  <c r="UA8" i="10" s="1"/>
  <c r="TU8" i="10"/>
  <c r="TV8" i="10" s="1"/>
  <c r="TP8" i="10"/>
  <c r="TQ8" i="10" s="1"/>
  <c r="TI8" i="10"/>
  <c r="TJ8" i="10" s="1"/>
  <c r="TD8" i="10"/>
  <c r="TE8" i="10" s="1"/>
  <c r="SY8" i="10"/>
  <c r="SZ8" i="10" s="1"/>
  <c r="SR8" i="10"/>
  <c r="SS8" i="10" s="1"/>
  <c r="SL8" i="10"/>
  <c r="SM8" i="10" s="1"/>
  <c r="SF8" i="10"/>
  <c r="SG8" i="10" s="1"/>
  <c r="RY8" i="10"/>
  <c r="RZ8" i="10" s="1"/>
  <c r="RS8" i="10"/>
  <c r="RT8" i="10" s="1"/>
  <c r="RM8" i="10"/>
  <c r="RN8" i="10" s="1"/>
  <c r="RF8" i="10"/>
  <c r="RG8" i="10" s="1"/>
  <c r="QZ8" i="10"/>
  <c r="RA8" i="10" s="1"/>
  <c r="QT8" i="10"/>
  <c r="QU8" i="10" s="1"/>
  <c r="QM8" i="10"/>
  <c r="QN8" i="10" s="1"/>
  <c r="QG8" i="10"/>
  <c r="QH8" i="10" s="1"/>
  <c r="QA8" i="10"/>
  <c r="QB8" i="10" s="1"/>
  <c r="PT8" i="10"/>
  <c r="PU8" i="10" s="1"/>
  <c r="PN8" i="10"/>
  <c r="PO8" i="10" s="1"/>
  <c r="PH8" i="10"/>
  <c r="PI8" i="10" s="1"/>
  <c r="PA8" i="10"/>
  <c r="PB8" i="10" s="1"/>
  <c r="OU8" i="10"/>
  <c r="OV8" i="10" s="1"/>
  <c r="OO8" i="10"/>
  <c r="OP8" i="10" s="1"/>
  <c r="OH8" i="10"/>
  <c r="OI8" i="10" s="1"/>
  <c r="OB8" i="10"/>
  <c r="OC8" i="10" s="1"/>
  <c r="NV8" i="10"/>
  <c r="NW8" i="10" s="1"/>
  <c r="NO8" i="10"/>
  <c r="NP8" i="10" s="1"/>
  <c r="NI8" i="10"/>
  <c r="NJ8" i="10" s="1"/>
  <c r="NC8" i="10"/>
  <c r="ND8" i="10" s="1"/>
  <c r="MV8" i="10"/>
  <c r="MW8" i="10" s="1"/>
  <c r="MP8" i="10"/>
  <c r="MQ8" i="10" s="1"/>
  <c r="MJ8" i="10"/>
  <c r="MK8" i="10" s="1"/>
  <c r="MC8" i="10"/>
  <c r="MD8" i="10" s="1"/>
  <c r="LW8" i="10"/>
  <c r="LX8" i="10" s="1"/>
  <c r="LQ8" i="10"/>
  <c r="LR8" i="10" s="1"/>
  <c r="LJ8" i="10"/>
  <c r="LK8" i="10" s="1"/>
  <c r="LD8" i="10"/>
  <c r="LE8" i="10" s="1"/>
  <c r="KX8" i="10"/>
  <c r="KY8" i="10" s="1"/>
  <c r="KQ8" i="10"/>
  <c r="KR8" i="10" s="1"/>
  <c r="KK8" i="10"/>
  <c r="KL8" i="10" s="1"/>
  <c r="KE8" i="10"/>
  <c r="KF8" i="10" s="1"/>
  <c r="JX8" i="10"/>
  <c r="JY8" i="10" s="1"/>
  <c r="JR8" i="10"/>
  <c r="JS8" i="10" s="1"/>
  <c r="JL8" i="10"/>
  <c r="JM8" i="10" s="1"/>
  <c r="JE8" i="10"/>
  <c r="JF8" i="10" s="1"/>
  <c r="IY8" i="10"/>
  <c r="IZ8" i="10" s="1"/>
  <c r="IS8" i="10"/>
  <c r="IT8" i="10" s="1"/>
  <c r="IL8" i="10"/>
  <c r="IM8" i="10" s="1"/>
  <c r="IF8" i="10"/>
  <c r="IG8" i="10" s="1"/>
  <c r="HZ8" i="10"/>
  <c r="IA8" i="10" s="1"/>
  <c r="HS8" i="10"/>
  <c r="HT8" i="10" s="1"/>
  <c r="HM8" i="10"/>
  <c r="HN8" i="10" s="1"/>
  <c r="HG8" i="10"/>
  <c r="HH8" i="10" s="1"/>
  <c r="GZ8" i="10"/>
  <c r="HA8" i="10" s="1"/>
  <c r="GT8" i="10"/>
  <c r="GU8" i="10" s="1"/>
  <c r="GN8" i="10"/>
  <c r="GO8" i="10" s="1"/>
  <c r="GG8" i="10"/>
  <c r="GH8" i="10" s="1"/>
  <c r="GA8" i="10"/>
  <c r="GB8" i="10" s="1"/>
  <c r="FU8" i="10"/>
  <c r="FV8" i="10" s="1"/>
  <c r="FN8" i="10"/>
  <c r="FO8" i="10" s="1"/>
  <c r="FH8" i="10"/>
  <c r="FI8" i="10" s="1"/>
  <c r="FB8" i="10"/>
  <c r="FC8" i="10" s="1"/>
  <c r="EU8" i="10"/>
  <c r="EV8" i="10" s="1"/>
  <c r="EO8" i="10"/>
  <c r="EP8" i="10" s="1"/>
  <c r="EI8" i="10"/>
  <c r="EJ8" i="10" s="1"/>
  <c r="EB8" i="10"/>
  <c r="EC8" i="10" s="1"/>
  <c r="DV8" i="10"/>
  <c r="DW8" i="10" s="1"/>
  <c r="DP8" i="10"/>
  <c r="DQ8" i="10" s="1"/>
  <c r="DI8" i="10"/>
  <c r="DJ8" i="10" s="1"/>
  <c r="DC8" i="10"/>
  <c r="DD8" i="10" s="1"/>
  <c r="CW8" i="10"/>
  <c r="CX8" i="10" s="1"/>
  <c r="CP8" i="10"/>
  <c r="CQ8" i="10" s="1"/>
  <c r="CJ8" i="10"/>
  <c r="CK8" i="10" s="1"/>
  <c r="CD8" i="10"/>
  <c r="CE8" i="10" s="1"/>
  <c r="BW8" i="10"/>
  <c r="BX8" i="10" s="1"/>
  <c r="BQ8" i="10"/>
  <c r="BR8" i="10" s="1"/>
  <c r="BK8" i="10"/>
  <c r="BL8" i="10" s="1"/>
  <c r="BD8" i="10"/>
  <c r="BE8" i="10" s="1"/>
  <c r="AX8" i="10"/>
  <c r="AY8" i="10" s="1"/>
  <c r="AR8" i="10"/>
  <c r="AK8" i="10"/>
  <c r="AL8" i="10" s="1"/>
  <c r="AE8" i="10"/>
  <c r="AF8" i="10" s="1"/>
  <c r="Y8" i="10"/>
  <c r="Z8" i="10" s="1"/>
  <c r="R8" i="10"/>
  <c r="S8" i="10" s="1"/>
  <c r="L8" i="10"/>
  <c r="M8" i="10" s="1"/>
  <c r="F8" i="10"/>
  <c r="G8" i="10" s="1"/>
  <c r="UQ7" i="10"/>
  <c r="UR7" i="10" s="1"/>
  <c r="UL7" i="10"/>
  <c r="UM7" i="10" s="1"/>
  <c r="UG7" i="10"/>
  <c r="UH7" i="10" s="1"/>
  <c r="TZ7" i="10"/>
  <c r="UA7" i="10" s="1"/>
  <c r="TU7" i="10"/>
  <c r="TV7" i="10" s="1"/>
  <c r="TP7" i="10"/>
  <c r="TQ7" i="10" s="1"/>
  <c r="TI7" i="10"/>
  <c r="TJ7" i="10" s="1"/>
  <c r="TD7" i="10"/>
  <c r="TE7" i="10" s="1"/>
  <c r="SY7" i="10"/>
  <c r="SZ7" i="10" s="1"/>
  <c r="SR7" i="10"/>
  <c r="SS7" i="10" s="1"/>
  <c r="SL7" i="10"/>
  <c r="SM7" i="10" s="1"/>
  <c r="SF7" i="10"/>
  <c r="SG7" i="10" s="1"/>
  <c r="RY7" i="10"/>
  <c r="RZ7" i="10" s="1"/>
  <c r="RS7" i="10"/>
  <c r="RT7" i="10" s="1"/>
  <c r="RM7" i="10"/>
  <c r="RN7" i="10" s="1"/>
  <c r="RF7" i="10"/>
  <c r="RG7" i="10" s="1"/>
  <c r="QZ7" i="10"/>
  <c r="RA7" i="10" s="1"/>
  <c r="QT7" i="10"/>
  <c r="QU7" i="10" s="1"/>
  <c r="QM7" i="10"/>
  <c r="QN7" i="10" s="1"/>
  <c r="QG7" i="10"/>
  <c r="QH7" i="10" s="1"/>
  <c r="QA7" i="10"/>
  <c r="QB7" i="10" s="1"/>
  <c r="PT7" i="10"/>
  <c r="PU7" i="10" s="1"/>
  <c r="PN7" i="10"/>
  <c r="PO7" i="10" s="1"/>
  <c r="PH7" i="10"/>
  <c r="PI7" i="10" s="1"/>
  <c r="PA7" i="10"/>
  <c r="PB7" i="10" s="1"/>
  <c r="OU7" i="10"/>
  <c r="OV7" i="10" s="1"/>
  <c r="OO7" i="10"/>
  <c r="OP7" i="10" s="1"/>
  <c r="OH7" i="10"/>
  <c r="OI7" i="10" s="1"/>
  <c r="OB7" i="10"/>
  <c r="OC7" i="10" s="1"/>
  <c r="NV7" i="10"/>
  <c r="NW7" i="10" s="1"/>
  <c r="NO7" i="10"/>
  <c r="NP7" i="10" s="1"/>
  <c r="NI7" i="10"/>
  <c r="NJ7" i="10" s="1"/>
  <c r="NC7" i="10"/>
  <c r="ND7" i="10" s="1"/>
  <c r="MV7" i="10"/>
  <c r="MW7" i="10" s="1"/>
  <c r="MP7" i="10"/>
  <c r="MQ7" i="10" s="1"/>
  <c r="MJ7" i="10"/>
  <c r="MK7" i="10" s="1"/>
  <c r="MC7" i="10"/>
  <c r="MD7" i="10" s="1"/>
  <c r="LW7" i="10"/>
  <c r="LX7" i="10" s="1"/>
  <c r="LQ7" i="10"/>
  <c r="LR7" i="10" s="1"/>
  <c r="LJ7" i="10"/>
  <c r="LK7" i="10" s="1"/>
  <c r="LD7" i="10"/>
  <c r="LE7" i="10" s="1"/>
  <c r="KX7" i="10"/>
  <c r="KY7" i="10" s="1"/>
  <c r="KQ7" i="10"/>
  <c r="KR7" i="10" s="1"/>
  <c r="KK7" i="10"/>
  <c r="KL7" i="10" s="1"/>
  <c r="KE7" i="10"/>
  <c r="KF7" i="10" s="1"/>
  <c r="JX7" i="10"/>
  <c r="JY7" i="10" s="1"/>
  <c r="JR7" i="10"/>
  <c r="JS7" i="10" s="1"/>
  <c r="JL7" i="10"/>
  <c r="JM7" i="10" s="1"/>
  <c r="JE7" i="10"/>
  <c r="JF7" i="10" s="1"/>
  <c r="IY7" i="10"/>
  <c r="IZ7" i="10" s="1"/>
  <c r="IS7" i="10"/>
  <c r="IT7" i="10" s="1"/>
  <c r="IL7" i="10"/>
  <c r="IM7" i="10" s="1"/>
  <c r="IF7" i="10"/>
  <c r="IG7" i="10" s="1"/>
  <c r="HZ7" i="10"/>
  <c r="IA7" i="10" s="1"/>
  <c r="HS7" i="10"/>
  <c r="HT7" i="10" s="1"/>
  <c r="HM7" i="10"/>
  <c r="HN7" i="10" s="1"/>
  <c r="HG7" i="10"/>
  <c r="HH7" i="10" s="1"/>
  <c r="GZ7" i="10"/>
  <c r="HA7" i="10" s="1"/>
  <c r="GT7" i="10"/>
  <c r="GU7" i="10" s="1"/>
  <c r="GN7" i="10"/>
  <c r="GO7" i="10" s="1"/>
  <c r="GG7" i="10"/>
  <c r="GH7" i="10" s="1"/>
  <c r="GA7" i="10"/>
  <c r="GB7" i="10" s="1"/>
  <c r="FU7" i="10"/>
  <c r="FV7" i="10" s="1"/>
  <c r="FN7" i="10"/>
  <c r="FO7" i="10" s="1"/>
  <c r="FH7" i="10"/>
  <c r="FI7" i="10" s="1"/>
  <c r="FB7" i="10"/>
  <c r="FC7" i="10" s="1"/>
  <c r="EU7" i="10"/>
  <c r="EV7" i="10" s="1"/>
  <c r="EO7" i="10"/>
  <c r="EP7" i="10" s="1"/>
  <c r="EI7" i="10"/>
  <c r="EJ7" i="10" s="1"/>
  <c r="EB7" i="10"/>
  <c r="EC7" i="10" s="1"/>
  <c r="DV7" i="10"/>
  <c r="DW7" i="10" s="1"/>
  <c r="DP7" i="10"/>
  <c r="DQ7" i="10" s="1"/>
  <c r="DI7" i="10"/>
  <c r="DJ7" i="10" s="1"/>
  <c r="DC7" i="10"/>
  <c r="DD7" i="10" s="1"/>
  <c r="CW7" i="10"/>
  <c r="CX7" i="10" s="1"/>
  <c r="CP7" i="10"/>
  <c r="CQ7" i="10" s="1"/>
  <c r="CJ7" i="10"/>
  <c r="CK7" i="10" s="1"/>
  <c r="CD7" i="10"/>
  <c r="CE7" i="10" s="1"/>
  <c r="BW7" i="10"/>
  <c r="BX7" i="10" s="1"/>
  <c r="BQ7" i="10"/>
  <c r="BR7" i="10" s="1"/>
  <c r="BK7" i="10"/>
  <c r="BL7" i="10" s="1"/>
  <c r="BD7" i="10"/>
  <c r="BE7" i="10" s="1"/>
  <c r="AX7" i="10"/>
  <c r="AY7" i="10" s="1"/>
  <c r="AR7" i="10"/>
  <c r="AS7" i="10" s="1"/>
  <c r="AK7" i="10"/>
  <c r="AL7" i="10" s="1"/>
  <c r="AE7" i="10"/>
  <c r="AF7" i="10" s="1"/>
  <c r="Y7" i="10"/>
  <c r="Z7" i="10" s="1"/>
  <c r="R7" i="10"/>
  <c r="S7" i="10" s="1"/>
  <c r="L7" i="10"/>
  <c r="M7" i="10" s="1"/>
  <c r="F7" i="10"/>
  <c r="G7" i="10" s="1"/>
  <c r="UQ6" i="10"/>
  <c r="UR6" i="10" s="1"/>
  <c r="UL6" i="10"/>
  <c r="UM6" i="10" s="1"/>
  <c r="UG6" i="10"/>
  <c r="UH6" i="10" s="1"/>
  <c r="TZ6" i="10"/>
  <c r="UA6" i="10" s="1"/>
  <c r="TU6" i="10"/>
  <c r="TV6" i="10" s="1"/>
  <c r="TP6" i="10"/>
  <c r="TQ6" i="10" s="1"/>
  <c r="TI6" i="10"/>
  <c r="TJ6" i="10" s="1"/>
  <c r="TD6" i="10"/>
  <c r="TE6" i="10" s="1"/>
  <c r="SY6" i="10"/>
  <c r="SZ6" i="10" s="1"/>
  <c r="SR6" i="10"/>
  <c r="SS6" i="10" s="1"/>
  <c r="SL6" i="10"/>
  <c r="SM6" i="10" s="1"/>
  <c r="SF6" i="10"/>
  <c r="SG6" i="10" s="1"/>
  <c r="RY6" i="10"/>
  <c r="RZ6" i="10" s="1"/>
  <c r="RS6" i="10"/>
  <c r="RT6" i="10" s="1"/>
  <c r="RM6" i="10"/>
  <c r="RN6" i="10" s="1"/>
  <c r="RF6" i="10"/>
  <c r="RG6" i="10" s="1"/>
  <c r="QZ6" i="10"/>
  <c r="RA6" i="10" s="1"/>
  <c r="QT6" i="10"/>
  <c r="QU6" i="10" s="1"/>
  <c r="QM6" i="10"/>
  <c r="QN6" i="10" s="1"/>
  <c r="QG6" i="10"/>
  <c r="QH6" i="10" s="1"/>
  <c r="QA6" i="10"/>
  <c r="QB6" i="10" s="1"/>
  <c r="PT6" i="10"/>
  <c r="PU6" i="10" s="1"/>
  <c r="PN6" i="10"/>
  <c r="PO6" i="10" s="1"/>
  <c r="PH6" i="10"/>
  <c r="PI6" i="10" s="1"/>
  <c r="PA6" i="10"/>
  <c r="PB6" i="10" s="1"/>
  <c r="OU6" i="10"/>
  <c r="OV6" i="10" s="1"/>
  <c r="OO6" i="10"/>
  <c r="OP6" i="10" s="1"/>
  <c r="OH6" i="10"/>
  <c r="OI6" i="10" s="1"/>
  <c r="OB6" i="10"/>
  <c r="OC6" i="10" s="1"/>
  <c r="NV6" i="10"/>
  <c r="NW6" i="10" s="1"/>
  <c r="NO6" i="10"/>
  <c r="NP6" i="10" s="1"/>
  <c r="NI6" i="10"/>
  <c r="NJ6" i="10" s="1"/>
  <c r="NC6" i="10"/>
  <c r="ND6" i="10" s="1"/>
  <c r="MV6" i="10"/>
  <c r="MW6" i="10" s="1"/>
  <c r="MP6" i="10"/>
  <c r="MQ6" i="10" s="1"/>
  <c r="MJ6" i="10"/>
  <c r="MK6" i="10" s="1"/>
  <c r="MC6" i="10"/>
  <c r="MD6" i="10" s="1"/>
  <c r="LW6" i="10"/>
  <c r="LX6" i="10" s="1"/>
  <c r="LQ6" i="10"/>
  <c r="LR6" i="10" s="1"/>
  <c r="LJ6" i="10"/>
  <c r="LK6" i="10" s="1"/>
  <c r="LD6" i="10"/>
  <c r="LE6" i="10" s="1"/>
  <c r="KX6" i="10"/>
  <c r="KY6" i="10" s="1"/>
  <c r="KQ6" i="10"/>
  <c r="KR6" i="10" s="1"/>
  <c r="KK6" i="10"/>
  <c r="KL6" i="10" s="1"/>
  <c r="KE6" i="10"/>
  <c r="JX6" i="10"/>
  <c r="JY6" i="10" s="1"/>
  <c r="JR6" i="10"/>
  <c r="JS6" i="10" s="1"/>
  <c r="JL6" i="10"/>
  <c r="JM6" i="10" s="1"/>
  <c r="JE6" i="10"/>
  <c r="JF6" i="10" s="1"/>
  <c r="IY6" i="10"/>
  <c r="IZ6" i="10" s="1"/>
  <c r="IS6" i="10"/>
  <c r="IL6" i="10"/>
  <c r="IM6" i="10" s="1"/>
  <c r="IF6" i="10"/>
  <c r="IG6" i="10" s="1"/>
  <c r="HZ6" i="10"/>
  <c r="HS6" i="10"/>
  <c r="HT6" i="10" s="1"/>
  <c r="HM6" i="10"/>
  <c r="HN6" i="10" s="1"/>
  <c r="HG6" i="10"/>
  <c r="GZ6" i="10"/>
  <c r="HA6" i="10" s="1"/>
  <c r="GT6" i="10"/>
  <c r="GU6" i="10" s="1"/>
  <c r="GN6" i="10"/>
  <c r="GG6" i="10"/>
  <c r="GH6" i="10" s="1"/>
  <c r="GA6" i="10"/>
  <c r="GB6" i="10" s="1"/>
  <c r="FU6" i="10"/>
  <c r="FN6" i="10"/>
  <c r="FO6" i="10" s="1"/>
  <c r="FH6" i="10"/>
  <c r="FI6" i="10" s="1"/>
  <c r="FB6" i="10"/>
  <c r="EU6" i="10"/>
  <c r="EV6" i="10" s="1"/>
  <c r="EO6" i="10"/>
  <c r="EP6" i="10" s="1"/>
  <c r="EI6" i="10"/>
  <c r="EB6" i="10"/>
  <c r="EC6" i="10" s="1"/>
  <c r="DV6" i="10"/>
  <c r="DW6" i="10" s="1"/>
  <c r="DP6" i="10"/>
  <c r="DI6" i="10"/>
  <c r="DJ6" i="10" s="1"/>
  <c r="DC6" i="10"/>
  <c r="DD6" i="10" s="1"/>
  <c r="CW6" i="10"/>
  <c r="CP6" i="10"/>
  <c r="CQ6" i="10" s="1"/>
  <c r="CJ6" i="10"/>
  <c r="CK6" i="10" s="1"/>
  <c r="CD6" i="10"/>
  <c r="BW6" i="10"/>
  <c r="BX6" i="10" s="1"/>
  <c r="BQ6" i="10"/>
  <c r="BR6" i="10" s="1"/>
  <c r="BK6" i="10"/>
  <c r="BD6" i="10"/>
  <c r="BE6" i="10" s="1"/>
  <c r="AX6" i="10"/>
  <c r="AY6" i="10" s="1"/>
  <c r="AR6" i="10"/>
  <c r="AS6" i="10" s="1"/>
  <c r="AK6" i="10"/>
  <c r="AL6" i="10" s="1"/>
  <c r="AE6" i="10"/>
  <c r="AF6" i="10" s="1"/>
  <c r="Y6" i="10"/>
  <c r="Z6" i="10" s="1"/>
  <c r="R6" i="10"/>
  <c r="S6" i="10" s="1"/>
  <c r="L6" i="10"/>
  <c r="M6" i="10" s="1"/>
  <c r="F6" i="10"/>
  <c r="G6" i="10" s="1"/>
  <c r="UQ5" i="10"/>
  <c r="UR5" i="10" s="1"/>
  <c r="UL5" i="10"/>
  <c r="UM5" i="10" s="1"/>
  <c r="UG5" i="10"/>
  <c r="UH5" i="10" s="1"/>
  <c r="TZ5" i="10"/>
  <c r="UA5" i="10" s="1"/>
  <c r="TU5" i="10"/>
  <c r="TV5" i="10" s="1"/>
  <c r="TP5" i="10"/>
  <c r="TQ5" i="10" s="1"/>
  <c r="TI5" i="10"/>
  <c r="TJ5" i="10" s="1"/>
  <c r="TD5" i="10"/>
  <c r="TE5" i="10" s="1"/>
  <c r="SY5" i="10"/>
  <c r="SZ5" i="10" s="1"/>
  <c r="SR5" i="10"/>
  <c r="SS5" i="10" s="1"/>
  <c r="SL5" i="10"/>
  <c r="SM5" i="10" s="1"/>
  <c r="SF5" i="10"/>
  <c r="SG5" i="10" s="1"/>
  <c r="RY5" i="10"/>
  <c r="RZ5" i="10" s="1"/>
  <c r="RS5" i="10"/>
  <c r="RT5" i="10" s="1"/>
  <c r="RM5" i="10"/>
  <c r="RN5" i="10" s="1"/>
  <c r="RF5" i="10"/>
  <c r="RG5" i="10" s="1"/>
  <c r="QZ5" i="10"/>
  <c r="RA5" i="10" s="1"/>
  <c r="QT5" i="10"/>
  <c r="QU5" i="10" s="1"/>
  <c r="QM5" i="10"/>
  <c r="QN5" i="10" s="1"/>
  <c r="QG5" i="10"/>
  <c r="QH5" i="10" s="1"/>
  <c r="QA5" i="10"/>
  <c r="QB5" i="10" s="1"/>
  <c r="PT5" i="10"/>
  <c r="PU5" i="10" s="1"/>
  <c r="PN5" i="10"/>
  <c r="PO5" i="10" s="1"/>
  <c r="PH5" i="10"/>
  <c r="PI5" i="10" s="1"/>
  <c r="PA5" i="10"/>
  <c r="PB5" i="10" s="1"/>
  <c r="OU5" i="10"/>
  <c r="OV5" i="10" s="1"/>
  <c r="OO5" i="10"/>
  <c r="OP5" i="10" s="1"/>
  <c r="OH5" i="10"/>
  <c r="OI5" i="10" s="1"/>
  <c r="OB5" i="10"/>
  <c r="OC5" i="10" s="1"/>
  <c r="NV5" i="10"/>
  <c r="NW5" i="10" s="1"/>
  <c r="NO5" i="10"/>
  <c r="NP5" i="10" s="1"/>
  <c r="NI5" i="10"/>
  <c r="NJ5" i="10" s="1"/>
  <c r="NC5" i="10"/>
  <c r="ND5" i="10" s="1"/>
  <c r="MV5" i="10"/>
  <c r="MW5" i="10" s="1"/>
  <c r="MP5" i="10"/>
  <c r="MQ5" i="10" s="1"/>
  <c r="MJ5" i="10"/>
  <c r="MK5" i="10" s="1"/>
  <c r="MC5" i="10"/>
  <c r="MD5" i="10" s="1"/>
  <c r="LW5" i="10"/>
  <c r="LX5" i="10" s="1"/>
  <c r="LQ5" i="10"/>
  <c r="LR5" i="10" s="1"/>
  <c r="LJ5" i="10"/>
  <c r="LK5" i="10" s="1"/>
  <c r="LD5" i="10"/>
  <c r="LE5" i="10" s="1"/>
  <c r="KX5" i="10"/>
  <c r="KY5" i="10" s="1"/>
  <c r="KQ5" i="10"/>
  <c r="KR5" i="10" s="1"/>
  <c r="KK5" i="10"/>
  <c r="KL5" i="10" s="1"/>
  <c r="KE5" i="10"/>
  <c r="KF5" i="10" s="1"/>
  <c r="JX5" i="10"/>
  <c r="JY5" i="10" s="1"/>
  <c r="JR5" i="10"/>
  <c r="JS5" i="10" s="1"/>
  <c r="JL5" i="10"/>
  <c r="JM5" i="10" s="1"/>
  <c r="JE5" i="10"/>
  <c r="JF5" i="10" s="1"/>
  <c r="IY5" i="10"/>
  <c r="IZ5" i="10" s="1"/>
  <c r="IS5" i="10"/>
  <c r="IT5" i="10" s="1"/>
  <c r="IL5" i="10"/>
  <c r="IM5" i="10" s="1"/>
  <c r="IF5" i="10"/>
  <c r="IG5" i="10" s="1"/>
  <c r="HZ5" i="10"/>
  <c r="IA5" i="10" s="1"/>
  <c r="HS5" i="10"/>
  <c r="HT5" i="10" s="1"/>
  <c r="HM5" i="10"/>
  <c r="HN5" i="10" s="1"/>
  <c r="HG5" i="10"/>
  <c r="HH5" i="10" s="1"/>
  <c r="GZ5" i="10"/>
  <c r="HA5" i="10" s="1"/>
  <c r="GT5" i="10"/>
  <c r="GU5" i="10" s="1"/>
  <c r="GN5" i="10"/>
  <c r="GO5" i="10" s="1"/>
  <c r="GG5" i="10"/>
  <c r="GH5" i="10" s="1"/>
  <c r="GA5" i="10"/>
  <c r="GB5" i="10" s="1"/>
  <c r="FU5" i="10"/>
  <c r="FV5" i="10" s="1"/>
  <c r="FN5" i="10"/>
  <c r="FO5" i="10" s="1"/>
  <c r="FH5" i="10"/>
  <c r="FI5" i="10" s="1"/>
  <c r="FB5" i="10"/>
  <c r="FC5" i="10" s="1"/>
  <c r="EU5" i="10"/>
  <c r="EV5" i="10" s="1"/>
  <c r="EO5" i="10"/>
  <c r="EP5" i="10" s="1"/>
  <c r="EI5" i="10"/>
  <c r="EJ5" i="10" s="1"/>
  <c r="EB5" i="10"/>
  <c r="EC5" i="10" s="1"/>
  <c r="DV5" i="10"/>
  <c r="DW5" i="10" s="1"/>
  <c r="DP5" i="10"/>
  <c r="DQ5" i="10" s="1"/>
  <c r="DI5" i="10"/>
  <c r="DJ5" i="10" s="1"/>
  <c r="DC5" i="10"/>
  <c r="DD5" i="10" s="1"/>
  <c r="CW5" i="10"/>
  <c r="CX5" i="10" s="1"/>
  <c r="CP5" i="10"/>
  <c r="CQ5" i="10" s="1"/>
  <c r="CJ5" i="10"/>
  <c r="CK5" i="10" s="1"/>
  <c r="CD5" i="10"/>
  <c r="CE5" i="10" s="1"/>
  <c r="BW5" i="10"/>
  <c r="BX5" i="10" s="1"/>
  <c r="BQ5" i="10"/>
  <c r="BR5" i="10" s="1"/>
  <c r="BK5" i="10"/>
  <c r="BL5" i="10" s="1"/>
  <c r="BD5" i="10"/>
  <c r="BE5" i="10" s="1"/>
  <c r="AX5" i="10"/>
  <c r="AY5" i="10" s="1"/>
  <c r="AR5" i="10"/>
  <c r="AS5" i="10" s="1"/>
  <c r="AK5" i="10"/>
  <c r="AL5" i="10" s="1"/>
  <c r="AE5" i="10"/>
  <c r="AF5" i="10" s="1"/>
  <c r="Y5" i="10"/>
  <c r="Z5" i="10" s="1"/>
  <c r="R5" i="10"/>
  <c r="S5" i="10" s="1"/>
  <c r="L5" i="10"/>
  <c r="M5" i="10" s="1"/>
  <c r="F5" i="10"/>
  <c r="G5" i="10" s="1"/>
  <c r="AJ3" i="10"/>
  <c r="BC3" i="10" s="1"/>
  <c r="BV3" i="10" s="1"/>
  <c r="CO3" i="10" s="1"/>
  <c r="DH3" i="10" s="1"/>
  <c r="EA3" i="10" s="1"/>
  <c r="ET3" i="10" s="1"/>
  <c r="FM3" i="10" s="1"/>
  <c r="GF3" i="10" s="1"/>
  <c r="GY3" i="10" s="1"/>
  <c r="HR3" i="10" s="1"/>
  <c r="IK3" i="10" s="1"/>
  <c r="JD3" i="10" s="1"/>
  <c r="JW3" i="10" s="1"/>
  <c r="KP3" i="10" s="1"/>
  <c r="LI3" i="10" s="1"/>
  <c r="MB3" i="10" s="1"/>
  <c r="MU3" i="10" s="1"/>
  <c r="NN3" i="10" s="1"/>
  <c r="OG3" i="10" s="1"/>
  <c r="OZ3" i="10" s="1"/>
  <c r="PS3" i="10" s="1"/>
  <c r="QL3" i="10" s="1"/>
  <c r="RE3" i="10" s="1"/>
  <c r="RX3" i="10" s="1"/>
  <c r="SQ3" i="10" s="1"/>
  <c r="TH3" i="10" s="1"/>
  <c r="TY3" i="10" s="1"/>
  <c r="UP3" i="10" s="1"/>
  <c r="AH3" i="10"/>
  <c r="BA3" i="10" s="1"/>
  <c r="BT3" i="10" s="1"/>
  <c r="CM3" i="10" s="1"/>
  <c r="DF3" i="10" s="1"/>
  <c r="DY3" i="10" s="1"/>
  <c r="ER3" i="10" s="1"/>
  <c r="FK3" i="10" s="1"/>
  <c r="GD3" i="10" s="1"/>
  <c r="GW3" i="10" s="1"/>
  <c r="HP3" i="10" s="1"/>
  <c r="II3" i="10" s="1"/>
  <c r="JB3" i="10" s="1"/>
  <c r="JU3" i="10" s="1"/>
  <c r="KN3" i="10" s="1"/>
  <c r="LG3" i="10" s="1"/>
  <c r="LZ3" i="10" s="1"/>
  <c r="MS3" i="10" s="1"/>
  <c r="NL3" i="10" s="1"/>
  <c r="OE3" i="10" s="1"/>
  <c r="OX3" i="10" s="1"/>
  <c r="PQ3" i="10" s="1"/>
  <c r="QJ3" i="10" s="1"/>
  <c r="RC3" i="10" s="1"/>
  <c r="RV3" i="10" s="1"/>
  <c r="SO3" i="10" s="1"/>
  <c r="TG3" i="10" s="1"/>
  <c r="TX3" i="10" s="1"/>
  <c r="UO3" i="10" s="1"/>
  <c r="AG3" i="10"/>
  <c r="AZ3" i="10" s="1"/>
  <c r="BS3" i="10" s="1"/>
  <c r="CL3" i="10" s="1"/>
  <c r="DE3" i="10" s="1"/>
  <c r="DX3" i="10" s="1"/>
  <c r="EQ3" i="10" s="1"/>
  <c r="FJ3" i="10" s="1"/>
  <c r="GC3" i="10" s="1"/>
  <c r="GV3" i="10" s="1"/>
  <c r="HO3" i="10" s="1"/>
  <c r="IH3" i="10" s="1"/>
  <c r="JA3" i="10" s="1"/>
  <c r="JT3" i="10" s="1"/>
  <c r="KM3" i="10" s="1"/>
  <c r="LF3" i="10" s="1"/>
  <c r="LY3" i="10" s="1"/>
  <c r="MR3" i="10" s="1"/>
  <c r="NK3" i="10" s="1"/>
  <c r="OD3" i="10" s="1"/>
  <c r="OW3" i="10" s="1"/>
  <c r="PP3" i="10" s="1"/>
  <c r="QI3" i="10" s="1"/>
  <c r="RB3" i="10" s="1"/>
  <c r="RU3" i="10" s="1"/>
  <c r="SN3" i="10" s="1"/>
  <c r="TF3" i="10" s="1"/>
  <c r="TW3" i="10" s="1"/>
  <c r="UN3" i="10" s="1"/>
  <c r="AD3" i="10"/>
  <c r="AW3" i="10" s="1"/>
  <c r="BP3" i="10" s="1"/>
  <c r="CI3" i="10" s="1"/>
  <c r="DB3" i="10" s="1"/>
  <c r="DU3" i="10" s="1"/>
  <c r="EN3" i="10" s="1"/>
  <c r="FG3" i="10" s="1"/>
  <c r="FZ3" i="10" s="1"/>
  <c r="GS3" i="10" s="1"/>
  <c r="HL3" i="10" s="1"/>
  <c r="IE3" i="10" s="1"/>
  <c r="IX3" i="10" s="1"/>
  <c r="JQ3" i="10" s="1"/>
  <c r="KJ3" i="10" s="1"/>
  <c r="LC3" i="10" s="1"/>
  <c r="LV3" i="10" s="1"/>
  <c r="MO3" i="10" s="1"/>
  <c r="NH3" i="10" s="1"/>
  <c r="OA3" i="10" s="1"/>
  <c r="OT3" i="10" s="1"/>
  <c r="PM3" i="10" s="1"/>
  <c r="QF3" i="10" s="1"/>
  <c r="QY3" i="10" s="1"/>
  <c r="SK3" i="10" s="1"/>
  <c r="TC3" i="10" s="1"/>
  <c r="TT3" i="10" s="1"/>
  <c r="UK3" i="10" s="1"/>
  <c r="AB3" i="10"/>
  <c r="AU3" i="10" s="1"/>
  <c r="BN3" i="10" s="1"/>
  <c r="CG3" i="10" s="1"/>
  <c r="CZ3" i="10" s="1"/>
  <c r="DS3" i="10" s="1"/>
  <c r="EL3" i="10" s="1"/>
  <c r="FE3" i="10" s="1"/>
  <c r="FX3" i="10" s="1"/>
  <c r="GQ3" i="10" s="1"/>
  <c r="HJ3" i="10" s="1"/>
  <c r="IC3" i="10" s="1"/>
  <c r="IV3" i="10" s="1"/>
  <c r="JO3" i="10" s="1"/>
  <c r="KH3" i="10" s="1"/>
  <c r="LA3" i="10" s="1"/>
  <c r="LT3" i="10" s="1"/>
  <c r="MM3" i="10" s="1"/>
  <c r="NF3" i="10" s="1"/>
  <c r="NY3" i="10" s="1"/>
  <c r="OR3" i="10" s="1"/>
  <c r="PK3" i="10" s="1"/>
  <c r="QD3" i="10" s="1"/>
  <c r="QW3" i="10" s="1"/>
  <c r="RP3" i="10" s="1"/>
  <c r="SI3" i="10" s="1"/>
  <c r="TB3" i="10" s="1"/>
  <c r="TS3" i="10" s="1"/>
  <c r="UJ3" i="10" s="1"/>
  <c r="AA3" i="10"/>
  <c r="AT3" i="10" s="1"/>
  <c r="BM3" i="10" s="1"/>
  <c r="CF3" i="10" s="1"/>
  <c r="CY3" i="10" s="1"/>
  <c r="DR3" i="10" s="1"/>
  <c r="EK3" i="10" s="1"/>
  <c r="FD3" i="10" s="1"/>
  <c r="FW3" i="10" s="1"/>
  <c r="GP3" i="10" s="1"/>
  <c r="HI3" i="10" s="1"/>
  <c r="IB3" i="10" s="1"/>
  <c r="IU3" i="10" s="1"/>
  <c r="JN3" i="10" s="1"/>
  <c r="KG3" i="10" s="1"/>
  <c r="KZ3" i="10" s="1"/>
  <c r="LS3" i="10" s="1"/>
  <c r="ML3" i="10" s="1"/>
  <c r="NE3" i="10" s="1"/>
  <c r="NX3" i="10" s="1"/>
  <c r="OQ3" i="10" s="1"/>
  <c r="PJ3" i="10" s="1"/>
  <c r="QC3" i="10" s="1"/>
  <c r="QV3" i="10" s="1"/>
  <c r="RO3" i="10" s="1"/>
  <c r="SH3" i="10" s="1"/>
  <c r="TA3" i="10" s="1"/>
  <c r="TR3" i="10" s="1"/>
  <c r="UI3" i="10" s="1"/>
  <c r="X3" i="10"/>
  <c r="AQ3" i="10" s="1"/>
  <c r="BJ3" i="10" s="1"/>
  <c r="CC3" i="10" s="1"/>
  <c r="CV3" i="10" s="1"/>
  <c r="DO3" i="10" s="1"/>
  <c r="EH3" i="10" s="1"/>
  <c r="FA3" i="10" s="1"/>
  <c r="FT3" i="10" s="1"/>
  <c r="GM3" i="10" s="1"/>
  <c r="HF3" i="10" s="1"/>
  <c r="HY3" i="10" s="1"/>
  <c r="IR3" i="10" s="1"/>
  <c r="JK3" i="10" s="1"/>
  <c r="KD3" i="10" s="1"/>
  <c r="KW3" i="10" s="1"/>
  <c r="LP3" i="10" s="1"/>
  <c r="MI3" i="10" s="1"/>
  <c r="NB3" i="10" s="1"/>
  <c r="NU3" i="10" s="1"/>
  <c r="ON3" i="10" s="1"/>
  <c r="PG3" i="10" s="1"/>
  <c r="PZ3" i="10" s="1"/>
  <c r="QS3" i="10" s="1"/>
  <c r="RL3" i="10" s="1"/>
  <c r="SE3" i="10" s="1"/>
  <c r="SX3" i="10" s="1"/>
  <c r="TO3" i="10" s="1"/>
  <c r="UF3" i="10" s="1"/>
  <c r="W3" i="10"/>
  <c r="AP3" i="10" s="1"/>
  <c r="BI3" i="10" s="1"/>
  <c r="CB3" i="10" s="1"/>
  <c r="CU3" i="10" s="1"/>
  <c r="DN3" i="10" s="1"/>
  <c r="EG3" i="10" s="1"/>
  <c r="EZ3" i="10" s="1"/>
  <c r="FS3" i="10" s="1"/>
  <c r="GL3" i="10" s="1"/>
  <c r="HE3" i="10" s="1"/>
  <c r="HX3" i="10" s="1"/>
  <c r="IQ3" i="10" s="1"/>
  <c r="JJ3" i="10" s="1"/>
  <c r="KC3" i="10" s="1"/>
  <c r="KV3" i="10" s="1"/>
  <c r="LO3" i="10" s="1"/>
  <c r="MH3" i="10" s="1"/>
  <c r="NA3" i="10" s="1"/>
  <c r="NT3" i="10" s="1"/>
  <c r="OM3" i="10" s="1"/>
  <c r="PF3" i="10" s="1"/>
  <c r="PY3" i="10" s="1"/>
  <c r="QR3" i="10" s="1"/>
  <c r="RK3" i="10" s="1"/>
  <c r="SD3" i="10" s="1"/>
  <c r="SW3" i="10" s="1"/>
  <c r="TN3" i="10" s="1"/>
  <c r="UE3" i="10" s="1"/>
  <c r="V3" i="10"/>
  <c r="AO3" i="10" s="1"/>
  <c r="BH3" i="10" s="1"/>
  <c r="CA3" i="10" s="1"/>
  <c r="CT3" i="10" s="1"/>
  <c r="DM3" i="10" s="1"/>
  <c r="EF3" i="10" s="1"/>
  <c r="EY3" i="10" s="1"/>
  <c r="FR3" i="10" s="1"/>
  <c r="GK3" i="10" s="1"/>
  <c r="HD3" i="10" s="1"/>
  <c r="HW3" i="10" s="1"/>
  <c r="IP3" i="10" s="1"/>
  <c r="JI3" i="10" s="1"/>
  <c r="KB3" i="10" s="1"/>
  <c r="KU3" i="10" s="1"/>
  <c r="LN3" i="10" s="1"/>
  <c r="MG3" i="10" s="1"/>
  <c r="MZ3" i="10" s="1"/>
  <c r="NS3" i="10" s="1"/>
  <c r="OL3" i="10" s="1"/>
  <c r="PE3" i="10" s="1"/>
  <c r="PX3" i="10" s="1"/>
  <c r="QQ3" i="10" s="1"/>
  <c r="RJ3" i="10" s="1"/>
  <c r="SC3" i="10" s="1"/>
  <c r="SV3" i="10" s="1"/>
  <c r="TM3" i="10" s="1"/>
  <c r="UD3" i="10" s="1"/>
  <c r="V1" i="10"/>
  <c r="AO1" i="10" s="1"/>
  <c r="BH1" i="10" s="1"/>
  <c r="CA1" i="10" s="1"/>
  <c r="CT1" i="10" s="1"/>
  <c r="DM1" i="10" s="1"/>
  <c r="EF1" i="10" s="1"/>
  <c r="EY1" i="10" s="1"/>
  <c r="UG13" i="10" l="1"/>
  <c r="UH13" i="10" s="1"/>
  <c r="TZ13" i="10"/>
  <c r="UA13" i="10" s="1"/>
  <c r="UQ16" i="10"/>
  <c r="UR16" i="10" s="1"/>
  <c r="TP16" i="10"/>
  <c r="TQ16" i="10" s="1"/>
  <c r="UL16" i="10"/>
  <c r="UM16" i="10" s="1"/>
  <c r="BQ16" i="10"/>
  <c r="BR16" i="10" s="1"/>
  <c r="FN20" i="10"/>
  <c r="FO20" i="10" s="1"/>
  <c r="TI20" i="10"/>
  <c r="TJ20" i="10" s="1"/>
  <c r="QT13" i="10"/>
  <c r="QU13" i="10" s="1"/>
  <c r="TP4" i="10"/>
  <c r="TQ4" i="10" s="1"/>
  <c r="TP13" i="10"/>
  <c r="TQ13" i="10" s="1"/>
  <c r="TP10" i="10"/>
  <c r="TQ10" i="10" s="1"/>
  <c r="IY10" i="10"/>
  <c r="IZ10" i="10" s="1"/>
  <c r="GZ13" i="10"/>
  <c r="HA13" i="10" s="1"/>
  <c r="UG20" i="10"/>
  <c r="UH20" i="10" s="1"/>
  <c r="TU4" i="10"/>
  <c r="TV4" i="10" s="1"/>
  <c r="LJ10" i="10"/>
  <c r="LK10" i="10" s="1"/>
  <c r="TI10" i="10"/>
  <c r="TJ10" i="10" s="1"/>
  <c r="TD13" i="10"/>
  <c r="TE13" i="10" s="1"/>
  <c r="SY20" i="10"/>
  <c r="SZ20" i="10" s="1"/>
  <c r="SL20" i="10"/>
  <c r="SM20" i="10" s="1"/>
  <c r="SF10" i="10"/>
  <c r="SG10" i="10" s="1"/>
  <c r="RM13" i="10"/>
  <c r="RN13" i="10" s="1"/>
  <c r="RY16" i="10"/>
  <c r="RZ16" i="10" s="1"/>
  <c r="QT20" i="10"/>
  <c r="QU20" i="10" s="1"/>
  <c r="MV16" i="10"/>
  <c r="MW16" i="10" s="1"/>
  <c r="LW20" i="10"/>
  <c r="LX20" i="10" s="1"/>
  <c r="LJ13" i="10"/>
  <c r="LK13" i="10" s="1"/>
  <c r="JL13" i="10"/>
  <c r="JM13" i="10" s="1"/>
  <c r="IS20" i="10"/>
  <c r="IT20" i="10" s="1"/>
  <c r="HZ13" i="10"/>
  <c r="IA13" i="10" s="1"/>
  <c r="GA20" i="10"/>
  <c r="GB20" i="10" s="1"/>
  <c r="FN13" i="10"/>
  <c r="FO13" i="10" s="1"/>
  <c r="EO16" i="10"/>
  <c r="EP16" i="10" s="1"/>
  <c r="EU20" i="10"/>
  <c r="EV20" i="10" s="1"/>
  <c r="EB20" i="10"/>
  <c r="EC20" i="10" s="1"/>
  <c r="DC20" i="10"/>
  <c r="DD20" i="10" s="1"/>
  <c r="CP20" i="10"/>
  <c r="CQ20" i="10" s="1"/>
  <c r="BW20" i="10"/>
  <c r="BX20" i="10" s="1"/>
  <c r="SY4" i="10"/>
  <c r="SZ4" i="10" s="1"/>
  <c r="UQ4" i="10"/>
  <c r="UR4" i="10" s="1"/>
  <c r="UQ10" i="10"/>
  <c r="UR10" i="10" s="1"/>
  <c r="QM13" i="10"/>
  <c r="QN13" i="10" s="1"/>
  <c r="HZ16" i="10"/>
  <c r="IA16" i="10" s="1"/>
  <c r="AE16" i="10"/>
  <c r="AF16" i="10" s="1"/>
  <c r="GA16" i="10"/>
  <c r="GB16" i="10" s="1"/>
  <c r="RS16" i="10"/>
  <c r="RT16" i="10" s="1"/>
  <c r="KE20" i="10"/>
  <c r="KF20" i="10" s="1"/>
  <c r="QA20" i="10"/>
  <c r="QB20" i="10" s="1"/>
  <c r="EU13" i="10"/>
  <c r="EV13" i="10" s="1"/>
  <c r="TZ16" i="10"/>
  <c r="UA16" i="10" s="1"/>
  <c r="DI20" i="10"/>
  <c r="DJ20" i="10" s="1"/>
  <c r="UL4" i="10"/>
  <c r="UM4" i="10" s="1"/>
  <c r="NO13" i="10"/>
  <c r="NP13" i="10" s="1"/>
  <c r="BD16" i="10"/>
  <c r="BE16" i="10" s="1"/>
  <c r="TD16" i="10"/>
  <c r="TE16" i="10" s="1"/>
  <c r="GG20" i="10"/>
  <c r="GH20" i="10" s="1"/>
  <c r="IY13" i="10"/>
  <c r="IZ13" i="10" s="1"/>
  <c r="SL16" i="10"/>
  <c r="SM16" i="10" s="1"/>
  <c r="LW13" i="10"/>
  <c r="LX13" i="10" s="1"/>
  <c r="KK20" i="10"/>
  <c r="KL20" i="10" s="1"/>
  <c r="EO13" i="10"/>
  <c r="EP13" i="10" s="1"/>
  <c r="TK19" i="10"/>
  <c r="TL19" i="10" s="1"/>
  <c r="US19" i="10"/>
  <c r="UT19" i="10" s="1"/>
  <c r="OO13" i="10"/>
  <c r="OP13" i="10" s="1"/>
  <c r="SL13" i="10"/>
  <c r="SM13" i="10" s="1"/>
  <c r="TI13" i="10"/>
  <c r="TJ13" i="10" s="1"/>
  <c r="BQ13" i="10"/>
  <c r="BR13" i="10" s="1"/>
  <c r="BQ20" i="10"/>
  <c r="BR20" i="10" s="1"/>
  <c r="Y13" i="10"/>
  <c r="Z13" i="10" s="1"/>
  <c r="TK15" i="10"/>
  <c r="TL15" i="10" s="1"/>
  <c r="QM4" i="10"/>
  <c r="QN4" i="10" s="1"/>
  <c r="KX10" i="10"/>
  <c r="KY10" i="10" s="1"/>
  <c r="QT10" i="10"/>
  <c r="QU10" i="10" s="1"/>
  <c r="AX13" i="10"/>
  <c r="AY13" i="10" s="1"/>
  <c r="FB13" i="10"/>
  <c r="FC13" i="10" s="1"/>
  <c r="NV13" i="10"/>
  <c r="NW13" i="10" s="1"/>
  <c r="SF13" i="10"/>
  <c r="SG13" i="10" s="1"/>
  <c r="TI16" i="10"/>
  <c r="TJ16" i="10" s="1"/>
  <c r="R4" i="10"/>
  <c r="S4" i="10" s="1"/>
  <c r="R13" i="10"/>
  <c r="S13" i="10" s="1"/>
  <c r="DP13" i="10"/>
  <c r="DQ13" i="10" s="1"/>
  <c r="FU13" i="10"/>
  <c r="FV13" i="10" s="1"/>
  <c r="IS13" i="10"/>
  <c r="IT13" i="10" s="1"/>
  <c r="LQ13" i="10"/>
  <c r="LR13" i="10" s="1"/>
  <c r="AE20" i="10"/>
  <c r="AF20" i="10" s="1"/>
  <c r="CJ20" i="10"/>
  <c r="CK20" i="10" s="1"/>
  <c r="CW20" i="10"/>
  <c r="CX20" i="10" s="1"/>
  <c r="AM21" i="10"/>
  <c r="AM20" i="10" s="1"/>
  <c r="AN20" i="10" s="1"/>
  <c r="CR21" i="10"/>
  <c r="CR20" i="10" s="1"/>
  <c r="CS20" i="10" s="1"/>
  <c r="SA21" i="10"/>
  <c r="SB21" i="10" s="1"/>
  <c r="SR16" i="10"/>
  <c r="SS16" i="10" s="1"/>
  <c r="SR4" i="10"/>
  <c r="SS4" i="10" s="1"/>
  <c r="SR13" i="10"/>
  <c r="SS13" i="10" s="1"/>
  <c r="SF16" i="10"/>
  <c r="SG16" i="10" s="1"/>
  <c r="RY10" i="10"/>
  <c r="RZ10" i="10" s="1"/>
  <c r="RS13" i="10"/>
  <c r="RT13" i="10" s="1"/>
  <c r="RT17" i="10"/>
  <c r="SA15" i="10"/>
  <c r="SB15" i="10" s="1"/>
  <c r="RM20" i="10"/>
  <c r="RN20" i="10" s="1"/>
  <c r="RF13" i="10"/>
  <c r="RG13" i="10" s="1"/>
  <c r="QZ20" i="10"/>
  <c r="RA20" i="10" s="1"/>
  <c r="QG13" i="10"/>
  <c r="QH13" i="10" s="1"/>
  <c r="QM16" i="10"/>
  <c r="QN16" i="10" s="1"/>
  <c r="PH13" i="10"/>
  <c r="PI13" i="10" s="1"/>
  <c r="PN13" i="10"/>
  <c r="PO13" i="10" s="1"/>
  <c r="PT13" i="10"/>
  <c r="PU13" i="10" s="1"/>
  <c r="PT16" i="10"/>
  <c r="PU16" i="10" s="1"/>
  <c r="PN20" i="10"/>
  <c r="PO20" i="10" s="1"/>
  <c r="PV21" i="10"/>
  <c r="PV20" i="10" s="1"/>
  <c r="PW20" i="10" s="1"/>
  <c r="OU13" i="10"/>
  <c r="OV13" i="10" s="1"/>
  <c r="PA10" i="10"/>
  <c r="PB10" i="10" s="1"/>
  <c r="OO20" i="10"/>
  <c r="OP20" i="10" s="1"/>
  <c r="OB20" i="10"/>
  <c r="OC20" i="10" s="1"/>
  <c r="OH10" i="10"/>
  <c r="OI10" i="10" s="1"/>
  <c r="OH13" i="10"/>
  <c r="OI13" i="10" s="1"/>
  <c r="NC20" i="10"/>
  <c r="ND20" i="10" s="1"/>
  <c r="NO4" i="10"/>
  <c r="NP4" i="10" s="1"/>
  <c r="NI13" i="10"/>
  <c r="NJ13" i="10" s="1"/>
  <c r="NO16" i="10"/>
  <c r="NP16" i="10" s="1"/>
  <c r="NI20" i="10"/>
  <c r="NJ20" i="10" s="1"/>
  <c r="MV13" i="10"/>
  <c r="MW13" i="10" s="1"/>
  <c r="MJ13" i="10"/>
  <c r="MK13" i="10" s="1"/>
  <c r="MP13" i="10"/>
  <c r="MQ13" i="10" s="1"/>
  <c r="MV4" i="10"/>
  <c r="MW4" i="10" s="1"/>
  <c r="MP20" i="10"/>
  <c r="MQ20" i="10" s="1"/>
  <c r="LW10" i="10"/>
  <c r="LX10" i="10" s="1"/>
  <c r="LW16" i="10"/>
  <c r="LX16" i="10" s="1"/>
  <c r="LQ20" i="10"/>
  <c r="LR20" i="10" s="1"/>
  <c r="LD4" i="10"/>
  <c r="LE4" i="10" s="1"/>
  <c r="KX20" i="10"/>
  <c r="KY20" i="10" s="1"/>
  <c r="KX16" i="10"/>
  <c r="KY16" i="10" s="1"/>
  <c r="KX13" i="10"/>
  <c r="KY13" i="10" s="1"/>
  <c r="KK13" i="10"/>
  <c r="KL13" i="10" s="1"/>
  <c r="KE16" i="10"/>
  <c r="KF16" i="10" s="1"/>
  <c r="KQ13" i="10"/>
  <c r="KR13" i="10" s="1"/>
  <c r="KQ16" i="10"/>
  <c r="KR16" i="10" s="1"/>
  <c r="JR13" i="10"/>
  <c r="JS13" i="10" s="1"/>
  <c r="JR20" i="10"/>
  <c r="JS20" i="10" s="1"/>
  <c r="JX13" i="10"/>
  <c r="JY13" i="10" s="1"/>
  <c r="JX16" i="10"/>
  <c r="JY16" i="10" s="1"/>
  <c r="JE16" i="10"/>
  <c r="JF16" i="10" s="1"/>
  <c r="IY20" i="10"/>
  <c r="IZ20" i="10" s="1"/>
  <c r="IS16" i="10"/>
  <c r="IT16" i="10" s="1"/>
  <c r="IL13" i="10"/>
  <c r="IM13" i="10" s="1"/>
  <c r="IL4" i="10"/>
  <c r="IM4" i="10" s="1"/>
  <c r="IL10" i="10"/>
  <c r="IM10" i="10" s="1"/>
  <c r="HM13" i="10"/>
  <c r="HN13" i="10" s="1"/>
  <c r="HM16" i="10"/>
  <c r="HN16" i="10" s="1"/>
  <c r="HG20" i="10"/>
  <c r="HH20" i="10" s="1"/>
  <c r="HS13" i="10"/>
  <c r="HT13" i="10" s="1"/>
  <c r="HS16" i="10"/>
  <c r="HT16" i="10" s="1"/>
  <c r="GZ16" i="10"/>
  <c r="HA16" i="10" s="1"/>
  <c r="GN13" i="10"/>
  <c r="GO13" i="10" s="1"/>
  <c r="GT13" i="10"/>
  <c r="GU13" i="10" s="1"/>
  <c r="GT20" i="10"/>
  <c r="GU20" i="10" s="1"/>
  <c r="HB21" i="10"/>
  <c r="HC21" i="10" s="1"/>
  <c r="GA13" i="10"/>
  <c r="GB13" i="10" s="1"/>
  <c r="FU16" i="10"/>
  <c r="FV16" i="10" s="1"/>
  <c r="GA10" i="10"/>
  <c r="GB10" i="10" s="1"/>
  <c r="FI21" i="10"/>
  <c r="FN10" i="10"/>
  <c r="FO10" i="10" s="1"/>
  <c r="FP21" i="10"/>
  <c r="FP20" i="10" s="1"/>
  <c r="FQ20" i="10" s="1"/>
  <c r="FN4" i="10"/>
  <c r="FO4" i="10" s="1"/>
  <c r="FC21" i="10"/>
  <c r="EO20" i="10"/>
  <c r="EP20" i="10" s="1"/>
  <c r="EW21" i="10"/>
  <c r="EW20" i="10" s="1"/>
  <c r="EX20" i="10" s="1"/>
  <c r="DV13" i="10"/>
  <c r="DW13" i="10" s="1"/>
  <c r="EB13" i="10"/>
  <c r="EC13" i="10" s="1"/>
  <c r="DV20" i="10"/>
  <c r="DW20" i="10" s="1"/>
  <c r="CW13" i="10"/>
  <c r="CX13" i="10" s="1"/>
  <c r="DK21" i="10"/>
  <c r="DK20" i="10" s="1"/>
  <c r="DL20" i="10" s="1"/>
  <c r="CP13" i="10"/>
  <c r="CQ13" i="10" s="1"/>
  <c r="CP4" i="10"/>
  <c r="CQ4" i="10" s="1"/>
  <c r="BW13" i="10"/>
  <c r="BX13" i="10" s="1"/>
  <c r="AR13" i="10"/>
  <c r="AS13" i="10" s="1"/>
  <c r="Y10" i="10"/>
  <c r="Z10" i="10" s="1"/>
  <c r="AK4" i="10"/>
  <c r="AL4" i="10" s="1"/>
  <c r="AK10" i="10"/>
  <c r="AL10" i="10" s="1"/>
  <c r="JE10" i="10"/>
  <c r="JF10" i="10" s="1"/>
  <c r="PN10" i="10"/>
  <c r="PO10" i="10" s="1"/>
  <c r="F13" i="10"/>
  <c r="G13" i="10" s="1"/>
  <c r="AE13" i="10"/>
  <c r="AF13" i="10" s="1"/>
  <c r="BD13" i="10"/>
  <c r="BE13" i="10" s="1"/>
  <c r="CD13" i="10"/>
  <c r="CE13" i="10" s="1"/>
  <c r="DC13" i="10"/>
  <c r="DD13" i="10" s="1"/>
  <c r="UL13" i="10"/>
  <c r="UM13" i="10" s="1"/>
  <c r="RH15" i="10"/>
  <c r="RI15" i="10" s="1"/>
  <c r="ST15" i="10"/>
  <c r="SU15" i="10" s="1"/>
  <c r="EB16" i="10"/>
  <c r="EC16" i="10" s="1"/>
  <c r="MC16" i="10"/>
  <c r="MD16" i="10" s="1"/>
  <c r="OH16" i="10"/>
  <c r="OI16" i="10" s="1"/>
  <c r="QG16" i="10"/>
  <c r="QH16" i="10" s="1"/>
  <c r="SY16" i="10"/>
  <c r="SZ16" i="10" s="1"/>
  <c r="TU16" i="10"/>
  <c r="TV16" i="10" s="1"/>
  <c r="SZ19" i="10"/>
  <c r="TJ19" i="10"/>
  <c r="AK20" i="10"/>
  <c r="AL20" i="10" s="1"/>
  <c r="EI20" i="10"/>
  <c r="EJ20" i="10" s="1"/>
  <c r="T21" i="10"/>
  <c r="T20" i="10" s="1"/>
  <c r="U20" i="10" s="1"/>
  <c r="Z21" i="10"/>
  <c r="BY21" i="10"/>
  <c r="BY20" i="10" s="1"/>
  <c r="BZ20" i="10" s="1"/>
  <c r="ED21" i="10"/>
  <c r="ED20" i="10" s="1"/>
  <c r="EE20" i="10" s="1"/>
  <c r="GI21" i="10"/>
  <c r="GI20" i="10" s="1"/>
  <c r="GJ20" i="10" s="1"/>
  <c r="GO21" i="10"/>
  <c r="JZ21" i="10"/>
  <c r="JZ20" i="10" s="1"/>
  <c r="KA20" i="10" s="1"/>
  <c r="MX21" i="10"/>
  <c r="MY21" i="10" s="1"/>
  <c r="ST21" i="10"/>
  <c r="ST20" i="10" s="1"/>
  <c r="SU20" i="10" s="1"/>
  <c r="DI4" i="10"/>
  <c r="DJ4" i="10" s="1"/>
  <c r="GG4" i="10"/>
  <c r="GH4" i="10" s="1"/>
  <c r="JE4" i="10"/>
  <c r="JF4" i="10" s="1"/>
  <c r="LJ4" i="10"/>
  <c r="LK4" i="10" s="1"/>
  <c r="OH4" i="10"/>
  <c r="OI4" i="10" s="1"/>
  <c r="RF4" i="10"/>
  <c r="RG4" i="10" s="1"/>
  <c r="TD4" i="10"/>
  <c r="TE4" i="10" s="1"/>
  <c r="TZ4" i="10"/>
  <c r="UA4" i="10" s="1"/>
  <c r="BD4" i="10"/>
  <c r="BE4" i="10" s="1"/>
  <c r="EB4" i="10"/>
  <c r="EC4" i="10" s="1"/>
  <c r="GZ4" i="10"/>
  <c r="HA4" i="10" s="1"/>
  <c r="JX4" i="10"/>
  <c r="JY4" i="10" s="1"/>
  <c r="MC4" i="10"/>
  <c r="MD4" i="10" s="1"/>
  <c r="PA4" i="10"/>
  <c r="PB4" i="10" s="1"/>
  <c r="RY4" i="10"/>
  <c r="RZ4" i="10" s="1"/>
  <c r="TI4" i="10"/>
  <c r="TJ4" i="10" s="1"/>
  <c r="UG4" i="10"/>
  <c r="UH4" i="10" s="1"/>
  <c r="AR10" i="10"/>
  <c r="AS10" i="10" s="1"/>
  <c r="GG10" i="10"/>
  <c r="GH10" i="10" s="1"/>
  <c r="KE10" i="10"/>
  <c r="KF10" i="10" s="1"/>
  <c r="MC10" i="10"/>
  <c r="MD10" i="10" s="1"/>
  <c r="QM10" i="10"/>
  <c r="QN10" i="10" s="1"/>
  <c r="SL10" i="10"/>
  <c r="SM10" i="10" s="1"/>
  <c r="TU10" i="10"/>
  <c r="TV10" i="10" s="1"/>
  <c r="L13" i="10"/>
  <c r="M13" i="10" s="1"/>
  <c r="AK13" i="10"/>
  <c r="AL13" i="10" s="1"/>
  <c r="BK13" i="10"/>
  <c r="BL13" i="10" s="1"/>
  <c r="CJ13" i="10"/>
  <c r="CK13" i="10" s="1"/>
  <c r="DI13" i="10"/>
  <c r="DJ13" i="10" s="1"/>
  <c r="EI13" i="10"/>
  <c r="EJ13" i="10" s="1"/>
  <c r="FH13" i="10"/>
  <c r="FI13" i="10" s="1"/>
  <c r="GG13" i="10"/>
  <c r="GH13" i="10" s="1"/>
  <c r="HG13" i="10"/>
  <c r="HH13" i="10" s="1"/>
  <c r="IF13" i="10"/>
  <c r="IG13" i="10" s="1"/>
  <c r="JE13" i="10"/>
  <c r="JF13" i="10" s="1"/>
  <c r="KE13" i="10"/>
  <c r="KF13" i="10" s="1"/>
  <c r="LD13" i="10"/>
  <c r="LE13" i="10" s="1"/>
  <c r="MC13" i="10"/>
  <c r="MD13" i="10" s="1"/>
  <c r="NC13" i="10"/>
  <c r="ND13" i="10" s="1"/>
  <c r="OB13" i="10"/>
  <c r="OC13" i="10" s="1"/>
  <c r="PA13" i="10"/>
  <c r="PB13" i="10" s="1"/>
  <c r="QA13" i="10"/>
  <c r="QB13" i="10" s="1"/>
  <c r="QZ13" i="10"/>
  <c r="RA13" i="10" s="1"/>
  <c r="RY13" i="10"/>
  <c r="RZ13" i="10" s="1"/>
  <c r="SY13" i="10"/>
  <c r="SZ13" i="10" s="1"/>
  <c r="TU13" i="10"/>
  <c r="TV13" i="10" s="1"/>
  <c r="UQ13" i="10"/>
  <c r="UR13" i="10" s="1"/>
  <c r="US15" i="10"/>
  <c r="UT15" i="10" s="1"/>
  <c r="GT16" i="10"/>
  <c r="GU16" i="10" s="1"/>
  <c r="JL16" i="10"/>
  <c r="JM16" i="10" s="1"/>
  <c r="OU16" i="10"/>
  <c r="OV16" i="10" s="1"/>
  <c r="DC16" i="10"/>
  <c r="DD16" i="10" s="1"/>
  <c r="UB19" i="10"/>
  <c r="UC19" i="10" s="1"/>
  <c r="IF20" i="10"/>
  <c r="IG20" i="10" s="1"/>
  <c r="LD20" i="10"/>
  <c r="LE20" i="10" s="1"/>
  <c r="BF21" i="10"/>
  <c r="BF20" i="10" s="1"/>
  <c r="BG20" i="10" s="1"/>
  <c r="BW4" i="10"/>
  <c r="BX4" i="10" s="1"/>
  <c r="EU4" i="10"/>
  <c r="EV4" i="10" s="1"/>
  <c r="HS4" i="10"/>
  <c r="HT4" i="10" s="1"/>
  <c r="KQ4" i="10"/>
  <c r="KR4" i="10" s="1"/>
  <c r="PT4" i="10"/>
  <c r="PU4" i="10" s="1"/>
  <c r="DI10" i="10"/>
  <c r="DJ10" i="10" s="1"/>
  <c r="SY10" i="10"/>
  <c r="SZ10" i="10" s="1"/>
  <c r="UG10" i="10"/>
  <c r="UH10" i="10" s="1"/>
  <c r="UB15" i="10"/>
  <c r="UC15" i="10" s="1"/>
  <c r="UH15" i="10"/>
  <c r="CP16" i="10"/>
  <c r="CQ16" i="10" s="1"/>
  <c r="FN16" i="10"/>
  <c r="FO16" i="10" s="1"/>
  <c r="IL16" i="10"/>
  <c r="IM16" i="10" s="1"/>
  <c r="LJ16" i="10"/>
  <c r="LK16" i="10" s="1"/>
  <c r="NI16" i="10"/>
  <c r="NJ16" i="10" s="1"/>
  <c r="PA16" i="10"/>
  <c r="PB16" i="10" s="1"/>
  <c r="RF16" i="10"/>
  <c r="RG16" i="10" s="1"/>
  <c r="UG16" i="10"/>
  <c r="UH16" i="10" s="1"/>
  <c r="TQ19" i="10"/>
  <c r="Y20" i="10"/>
  <c r="Z20" i="10" s="1"/>
  <c r="CD20" i="10"/>
  <c r="CE20" i="10" s="1"/>
  <c r="ST19" i="10"/>
  <c r="SU19" i="10" s="1"/>
  <c r="SL4" i="10"/>
  <c r="SM4" i="10" s="1"/>
  <c r="SA19" i="10"/>
  <c r="SB19" i="10" s="1"/>
  <c r="RS4" i="10"/>
  <c r="RT4" i="10" s="1"/>
  <c r="QZ16" i="10"/>
  <c r="RA16" i="10" s="1"/>
  <c r="QZ10" i="10"/>
  <c r="RA10" i="10" s="1"/>
  <c r="QZ4" i="10"/>
  <c r="RA4" i="10" s="1"/>
  <c r="QG4" i="10"/>
  <c r="QH4" i="10" s="1"/>
  <c r="PN16" i="10"/>
  <c r="PO16" i="10" s="1"/>
  <c r="PN4" i="10"/>
  <c r="PO4" i="10" s="1"/>
  <c r="PC19" i="10"/>
  <c r="PD19" i="10" s="1"/>
  <c r="OU10" i="10"/>
  <c r="OV10" i="10" s="1"/>
  <c r="OU4" i="10"/>
  <c r="OV4" i="10" s="1"/>
  <c r="OB16" i="10"/>
  <c r="OC16" i="10" s="1"/>
  <c r="OJ19" i="10"/>
  <c r="OK19" i="10" s="1"/>
  <c r="OB10" i="10"/>
  <c r="OC10" i="10" s="1"/>
  <c r="OB4" i="10"/>
  <c r="OC4" i="10" s="1"/>
  <c r="NI4" i="10"/>
  <c r="NJ4" i="10" s="1"/>
  <c r="MP16" i="10"/>
  <c r="MQ16" i="10" s="1"/>
  <c r="MP10" i="10"/>
  <c r="MQ10" i="10" s="1"/>
  <c r="MP4" i="10"/>
  <c r="MQ4" i="10" s="1"/>
  <c r="LW4" i="10"/>
  <c r="LX4" i="10" s="1"/>
  <c r="LD16" i="10"/>
  <c r="LE16" i="10" s="1"/>
  <c r="KK16" i="10"/>
  <c r="KL16" i="10" s="1"/>
  <c r="KK4" i="10"/>
  <c r="KL4" i="10" s="1"/>
  <c r="KS6" i="10"/>
  <c r="KT6" i="10" s="1"/>
  <c r="JR16" i="10"/>
  <c r="JS16" i="10" s="1"/>
  <c r="JR10" i="10"/>
  <c r="JS10" i="10" s="1"/>
  <c r="JR4" i="10"/>
  <c r="JS4" i="10" s="1"/>
  <c r="IY16" i="10"/>
  <c r="IZ16" i="10" s="1"/>
  <c r="IY4" i="10"/>
  <c r="IZ4" i="10" s="1"/>
  <c r="JG6" i="10"/>
  <c r="JH6" i="10" s="1"/>
  <c r="IF16" i="10"/>
  <c r="IG16" i="10" s="1"/>
  <c r="IF4" i="10"/>
  <c r="IG4" i="10" s="1"/>
  <c r="HM4" i="10"/>
  <c r="HN4" i="10" s="1"/>
  <c r="HU6" i="10"/>
  <c r="HV6" i="10" s="1"/>
  <c r="GT10" i="10"/>
  <c r="GU10" i="10" s="1"/>
  <c r="GT4" i="10"/>
  <c r="GU4" i="10" s="1"/>
  <c r="GA4" i="10"/>
  <c r="GB4" i="10" s="1"/>
  <c r="GI6" i="10"/>
  <c r="GJ6" i="10" s="1"/>
  <c r="FH4" i="10"/>
  <c r="FI4" i="10" s="1"/>
  <c r="EO4" i="10"/>
  <c r="EP4" i="10" s="1"/>
  <c r="EW6" i="10"/>
  <c r="EX6" i="10" s="1"/>
  <c r="DV10" i="10"/>
  <c r="DW10" i="10" s="1"/>
  <c r="DV4" i="10"/>
  <c r="DW4" i="10" s="1"/>
  <c r="DC4" i="10"/>
  <c r="DD4" i="10" s="1"/>
  <c r="CJ4" i="10"/>
  <c r="CK4" i="10" s="1"/>
  <c r="BQ4" i="10"/>
  <c r="BR4" i="10" s="1"/>
  <c r="AX10" i="10"/>
  <c r="AY10" i="10" s="1"/>
  <c r="AX4" i="10"/>
  <c r="AY4" i="10" s="1"/>
  <c r="AE4" i="10"/>
  <c r="AF4" i="10" s="1"/>
  <c r="L4" i="10"/>
  <c r="M4" i="10" s="1"/>
  <c r="RM16" i="10"/>
  <c r="RN16" i="10" s="1"/>
  <c r="QT16" i="10"/>
  <c r="QU16" i="10" s="1"/>
  <c r="QA16" i="10"/>
  <c r="QB16" i="10" s="1"/>
  <c r="PH16" i="10"/>
  <c r="PI16" i="10" s="1"/>
  <c r="NV16" i="10"/>
  <c r="NW16" i="10" s="1"/>
  <c r="GN16" i="10"/>
  <c r="GO16" i="10" s="1"/>
  <c r="EI16" i="10"/>
  <c r="EJ16" i="10" s="1"/>
  <c r="CW16" i="10"/>
  <c r="CX16" i="10" s="1"/>
  <c r="BK16" i="10"/>
  <c r="BL16" i="10" s="1"/>
  <c r="Y16" i="10"/>
  <c r="Z16" i="10" s="1"/>
  <c r="SG19" i="10"/>
  <c r="RN15" i="10"/>
  <c r="RM10" i="10"/>
  <c r="RN10" i="10" s="1"/>
  <c r="QA10" i="10"/>
  <c r="QB10" i="10" s="1"/>
  <c r="PH10" i="10"/>
  <c r="PI10" i="10" s="1"/>
  <c r="OO16" i="10"/>
  <c r="OP16" i="10" s="1"/>
  <c r="OO10" i="10"/>
  <c r="OP10" i="10" s="1"/>
  <c r="NV10" i="10"/>
  <c r="NW10" i="10" s="1"/>
  <c r="NC16" i="10"/>
  <c r="ND16" i="10" s="1"/>
  <c r="NC10" i="10"/>
  <c r="ND10" i="10" s="1"/>
  <c r="MJ16" i="10"/>
  <c r="MK16" i="10" s="1"/>
  <c r="LQ16" i="10"/>
  <c r="LR16" i="10" s="1"/>
  <c r="HZ10" i="10"/>
  <c r="IA10" i="10" s="1"/>
  <c r="HG16" i="10"/>
  <c r="HH16" i="10" s="1"/>
  <c r="HG10" i="10"/>
  <c r="HH10" i="10" s="1"/>
  <c r="FB16" i="10"/>
  <c r="FC16" i="10" s="1"/>
  <c r="FB10" i="10"/>
  <c r="FC10" i="10" s="1"/>
  <c r="EI10" i="10"/>
  <c r="EJ10" i="10" s="1"/>
  <c r="DP16" i="10"/>
  <c r="DQ16" i="10" s="1"/>
  <c r="DP10" i="10"/>
  <c r="DQ10" i="10" s="1"/>
  <c r="CW10" i="10"/>
  <c r="CX10" i="10" s="1"/>
  <c r="CD16" i="10"/>
  <c r="CE16" i="10" s="1"/>
  <c r="CD10" i="10"/>
  <c r="CE10" i="10" s="1"/>
  <c r="BK10" i="10"/>
  <c r="BL10" i="10" s="1"/>
  <c r="AR16" i="10"/>
  <c r="AS16" i="10" s="1"/>
  <c r="F16" i="10"/>
  <c r="G16" i="10" s="1"/>
  <c r="SF4" i="10"/>
  <c r="SG4" i="10" s="1"/>
  <c r="RM4" i="10"/>
  <c r="RN4" i="10" s="1"/>
  <c r="QT4" i="10"/>
  <c r="QU4" i="10" s="1"/>
  <c r="QA4" i="10"/>
  <c r="QB4" i="10" s="1"/>
  <c r="PH4" i="10"/>
  <c r="PI4" i="10" s="1"/>
  <c r="OO4" i="10"/>
  <c r="OP4" i="10" s="1"/>
  <c r="NV4" i="10"/>
  <c r="NW4" i="10" s="1"/>
  <c r="NC4" i="10"/>
  <c r="ND4" i="10" s="1"/>
  <c r="MJ4" i="10"/>
  <c r="MK4" i="10" s="1"/>
  <c r="LQ4" i="10"/>
  <c r="LR4" i="10" s="1"/>
  <c r="KX4" i="10"/>
  <c r="KY4" i="10" s="1"/>
  <c r="KE4" i="10"/>
  <c r="KF4" i="10" s="1"/>
  <c r="JL4" i="10"/>
  <c r="JM4" i="10" s="1"/>
  <c r="IS4" i="10"/>
  <c r="IT4" i="10" s="1"/>
  <c r="HZ4" i="10"/>
  <c r="IA4" i="10" s="1"/>
  <c r="HG4" i="10"/>
  <c r="HH4" i="10" s="1"/>
  <c r="GN4" i="10"/>
  <c r="GO4" i="10" s="1"/>
  <c r="FU4" i="10"/>
  <c r="FV4" i="10" s="1"/>
  <c r="FB4" i="10"/>
  <c r="FC4" i="10" s="1"/>
  <c r="EI4" i="10"/>
  <c r="EJ4" i="10" s="1"/>
  <c r="DP4" i="10"/>
  <c r="DQ4" i="10" s="1"/>
  <c r="CW4" i="10"/>
  <c r="CX4" i="10" s="1"/>
  <c r="CD4" i="10"/>
  <c r="CE4" i="10" s="1"/>
  <c r="BK4" i="10"/>
  <c r="BL4" i="10" s="1"/>
  <c r="AR4" i="10"/>
  <c r="AS4" i="10" s="1"/>
  <c r="Y4" i="10"/>
  <c r="Z4" i="10" s="1"/>
  <c r="F10" i="10"/>
  <c r="G10" i="10" s="1"/>
  <c r="F4" i="10"/>
  <c r="G4" i="10" s="1"/>
  <c r="FP6" i="10"/>
  <c r="FQ6" i="10" s="1"/>
  <c r="HB6" i="10"/>
  <c r="HC6" i="10" s="1"/>
  <c r="IN6" i="10"/>
  <c r="IO6" i="10" s="1"/>
  <c r="DK8" i="10"/>
  <c r="DL8" i="10" s="1"/>
  <c r="JG8" i="10"/>
  <c r="JH8" i="10" s="1"/>
  <c r="ME8" i="10"/>
  <c r="MF8" i="10" s="1"/>
  <c r="PC8" i="10"/>
  <c r="PD8" i="10" s="1"/>
  <c r="SA8" i="10"/>
  <c r="SB8" i="10" s="1"/>
  <c r="L10" i="10"/>
  <c r="M10" i="10" s="1"/>
  <c r="BW10" i="10"/>
  <c r="BX10" i="10" s="1"/>
  <c r="CJ10" i="10"/>
  <c r="CK10" i="10" s="1"/>
  <c r="EU10" i="10"/>
  <c r="EV10" i="10" s="1"/>
  <c r="FH10" i="10"/>
  <c r="FI10" i="10" s="1"/>
  <c r="FU10" i="10"/>
  <c r="FV10" i="10" s="1"/>
  <c r="GN10" i="10"/>
  <c r="GO10" i="10" s="1"/>
  <c r="GZ10" i="10"/>
  <c r="HA10" i="10" s="1"/>
  <c r="HM10" i="10"/>
  <c r="HN10" i="10" s="1"/>
  <c r="HS10" i="10"/>
  <c r="HT10" i="10" s="1"/>
  <c r="IF10" i="10"/>
  <c r="IG10" i="10" s="1"/>
  <c r="IS10" i="10"/>
  <c r="IT10" i="10" s="1"/>
  <c r="JL10" i="10"/>
  <c r="JM10" i="10" s="1"/>
  <c r="JX10" i="10"/>
  <c r="JY10" i="10" s="1"/>
  <c r="KK10" i="10"/>
  <c r="KL10" i="10" s="1"/>
  <c r="KQ10" i="10"/>
  <c r="KR10" i="10" s="1"/>
  <c r="LD10" i="10"/>
  <c r="LE10" i="10" s="1"/>
  <c r="LQ10" i="10"/>
  <c r="LR10" i="10" s="1"/>
  <c r="MJ10" i="10"/>
  <c r="MK10" i="10" s="1"/>
  <c r="MV10" i="10"/>
  <c r="MW10" i="10" s="1"/>
  <c r="NI10" i="10"/>
  <c r="NJ10" i="10" s="1"/>
  <c r="NO10" i="10"/>
  <c r="NP10" i="10" s="1"/>
  <c r="QO15" i="10"/>
  <c r="QP15" i="10" s="1"/>
  <c r="QU15" i="10"/>
  <c r="SG15" i="10"/>
  <c r="SZ15" i="10"/>
  <c r="TQ15" i="10"/>
  <c r="NW19" i="10"/>
  <c r="PV19" i="10"/>
  <c r="PW19" i="10" s="1"/>
  <c r="QO19" i="10"/>
  <c r="QP19" i="10" s="1"/>
  <c r="RH19" i="10"/>
  <c r="RI19" i="10" s="1"/>
  <c r="RN19" i="10"/>
  <c r="UH19" i="10"/>
  <c r="F20" i="10"/>
  <c r="G20" i="10" s="1"/>
  <c r="L20" i="10"/>
  <c r="M20" i="10" s="1"/>
  <c r="R20" i="10"/>
  <c r="S20" i="10" s="1"/>
  <c r="AR20" i="10"/>
  <c r="AS20" i="10" s="1"/>
  <c r="AX20" i="10"/>
  <c r="AY20" i="10" s="1"/>
  <c r="BD20" i="10"/>
  <c r="BE20" i="10" s="1"/>
  <c r="G21" i="10"/>
  <c r="AS21" i="10"/>
  <c r="BL21" i="10"/>
  <c r="CE21" i="10"/>
  <c r="DQ21" i="10"/>
  <c r="EJ21" i="10"/>
  <c r="IN21" i="10"/>
  <c r="IN20" i="10" s="1"/>
  <c r="IO20" i="10" s="1"/>
  <c r="JM21" i="10"/>
  <c r="LL21" i="10"/>
  <c r="LL20" i="10" s="1"/>
  <c r="LM20" i="10" s="1"/>
  <c r="MK21" i="10"/>
  <c r="OJ21" i="10"/>
  <c r="OK21" i="10" s="1"/>
  <c r="PI21" i="10"/>
  <c r="RH21" i="10"/>
  <c r="RI21" i="10" s="1"/>
  <c r="RN21" i="10"/>
  <c r="GI8" i="10"/>
  <c r="GJ8" i="10" s="1"/>
  <c r="CS21" i="10"/>
  <c r="FV21" i="10"/>
  <c r="FR1" i="14"/>
  <c r="ED6" i="10"/>
  <c r="EE6" i="10" s="1"/>
  <c r="DQ6" i="10"/>
  <c r="DK6" i="10"/>
  <c r="DL6" i="10" s="1"/>
  <c r="CX6" i="10"/>
  <c r="FR1" i="10"/>
  <c r="T5" i="10"/>
  <c r="AM5" i="10"/>
  <c r="BF5" i="10"/>
  <c r="BY5" i="10"/>
  <c r="CR5" i="10"/>
  <c r="DK5" i="10"/>
  <c r="ED5" i="10"/>
  <c r="EW5" i="10"/>
  <c r="FP5" i="10"/>
  <c r="GI5" i="10"/>
  <c r="HB5" i="10"/>
  <c r="HU5" i="10"/>
  <c r="IN5" i="10"/>
  <c r="JG5" i="10"/>
  <c r="JZ5" i="10"/>
  <c r="KS5" i="10"/>
  <c r="LL5" i="10"/>
  <c r="ME5" i="10"/>
  <c r="MX5" i="10"/>
  <c r="NQ5" i="10"/>
  <c r="OJ5" i="10"/>
  <c r="PC5" i="10"/>
  <c r="PV5" i="10"/>
  <c r="QO5" i="10"/>
  <c r="RH5" i="10"/>
  <c r="SA5" i="10"/>
  <c r="ST5" i="10"/>
  <c r="TK5" i="10"/>
  <c r="UB5" i="10"/>
  <c r="US5" i="10"/>
  <c r="T6" i="10"/>
  <c r="U6" i="10" s="1"/>
  <c r="AM6" i="10"/>
  <c r="AN6" i="10" s="1"/>
  <c r="BF6" i="10"/>
  <c r="BG6" i="10" s="1"/>
  <c r="CR6" i="10"/>
  <c r="CS6" i="10" s="1"/>
  <c r="CE6" i="10"/>
  <c r="BY6" i="10"/>
  <c r="BZ6" i="10" s="1"/>
  <c r="BL6" i="10"/>
  <c r="NQ8" i="10"/>
  <c r="NR8" i="10" s="1"/>
  <c r="TK8" i="10"/>
  <c r="TL8" i="10" s="1"/>
  <c r="EJ6" i="10"/>
  <c r="FC6" i="10"/>
  <c r="FV6" i="10"/>
  <c r="GO6" i="10"/>
  <c r="HH6" i="10"/>
  <c r="IA6" i="10"/>
  <c r="IT6" i="10"/>
  <c r="KF6" i="10"/>
  <c r="ME6" i="10"/>
  <c r="MF6" i="10" s="1"/>
  <c r="NQ6" i="10"/>
  <c r="NR6" i="10" s="1"/>
  <c r="PC6" i="10"/>
  <c r="PD6" i="10" s="1"/>
  <c r="QO6" i="10"/>
  <c r="QP6" i="10" s="1"/>
  <c r="SA6" i="10"/>
  <c r="SB6" i="10" s="1"/>
  <c r="TK6" i="10"/>
  <c r="TL6" i="10" s="1"/>
  <c r="US6" i="10"/>
  <c r="UT6" i="10" s="1"/>
  <c r="AM7" i="10"/>
  <c r="AN7" i="10" s="1"/>
  <c r="BY7" i="10"/>
  <c r="BZ7" i="10" s="1"/>
  <c r="DK7" i="10"/>
  <c r="DL7" i="10" s="1"/>
  <c r="EW7" i="10"/>
  <c r="EX7" i="10" s="1"/>
  <c r="GI7" i="10"/>
  <c r="GJ7" i="10" s="1"/>
  <c r="HU7" i="10"/>
  <c r="HV7" i="10" s="1"/>
  <c r="JG7" i="10"/>
  <c r="JH7" i="10" s="1"/>
  <c r="KS7" i="10"/>
  <c r="KT7" i="10" s="1"/>
  <c r="ME7" i="10"/>
  <c r="MF7" i="10" s="1"/>
  <c r="NQ7" i="10"/>
  <c r="NR7" i="10" s="1"/>
  <c r="PC7" i="10"/>
  <c r="PD7" i="10" s="1"/>
  <c r="QO7" i="10"/>
  <c r="QP7" i="10" s="1"/>
  <c r="SA7" i="10"/>
  <c r="SB7" i="10" s="1"/>
  <c r="TK7" i="10"/>
  <c r="TL7" i="10" s="1"/>
  <c r="US7" i="10"/>
  <c r="UT7" i="10" s="1"/>
  <c r="AM8" i="10"/>
  <c r="AN8" i="10" s="1"/>
  <c r="JZ6" i="10"/>
  <c r="KA6" i="10" s="1"/>
  <c r="KS8" i="10"/>
  <c r="KT8" i="10" s="1"/>
  <c r="QO8" i="10"/>
  <c r="QP8" i="10" s="1"/>
  <c r="US8" i="10"/>
  <c r="UT8" i="10" s="1"/>
  <c r="LL6" i="10"/>
  <c r="LM6" i="10" s="1"/>
  <c r="MX6" i="10"/>
  <c r="MY6" i="10" s="1"/>
  <c r="OJ6" i="10"/>
  <c r="OK6" i="10" s="1"/>
  <c r="PV6" i="10"/>
  <c r="PW6" i="10" s="1"/>
  <c r="RH6" i="10"/>
  <c r="RI6" i="10" s="1"/>
  <c r="ST6" i="10"/>
  <c r="SU6" i="10" s="1"/>
  <c r="UB6" i="10"/>
  <c r="UC6" i="10" s="1"/>
  <c r="T7" i="10"/>
  <c r="U7" i="10" s="1"/>
  <c r="BF7" i="10"/>
  <c r="BG7" i="10" s="1"/>
  <c r="CR7" i="10"/>
  <c r="CS7" i="10" s="1"/>
  <c r="ED7" i="10"/>
  <c r="EE7" i="10" s="1"/>
  <c r="FP7" i="10"/>
  <c r="FQ7" i="10" s="1"/>
  <c r="HB7" i="10"/>
  <c r="HC7" i="10" s="1"/>
  <c r="IN7" i="10"/>
  <c r="IO7" i="10" s="1"/>
  <c r="JZ7" i="10"/>
  <c r="KA7" i="10" s="1"/>
  <c r="LL7" i="10"/>
  <c r="LM7" i="10" s="1"/>
  <c r="MX7" i="10"/>
  <c r="MY7" i="10" s="1"/>
  <c r="OJ7" i="10"/>
  <c r="OK7" i="10" s="1"/>
  <c r="PV7" i="10"/>
  <c r="PW7" i="10" s="1"/>
  <c r="RH7" i="10"/>
  <c r="RI7" i="10" s="1"/>
  <c r="ST7" i="10"/>
  <c r="SU7" i="10" s="1"/>
  <c r="UB7" i="10"/>
  <c r="UC7" i="10" s="1"/>
  <c r="T8" i="10"/>
  <c r="U8" i="10" s="1"/>
  <c r="BF8" i="10"/>
  <c r="BG8" i="10" s="1"/>
  <c r="AS8" i="10"/>
  <c r="BY8" i="10"/>
  <c r="BZ8" i="10" s="1"/>
  <c r="EW8" i="10"/>
  <c r="EX8" i="10" s="1"/>
  <c r="HU8" i="10"/>
  <c r="HV8" i="10" s="1"/>
  <c r="AM9" i="10"/>
  <c r="AN9" i="10" s="1"/>
  <c r="BY9" i="10"/>
  <c r="BZ9" i="10" s="1"/>
  <c r="DK9" i="10"/>
  <c r="DL9" i="10" s="1"/>
  <c r="EW9" i="10"/>
  <c r="EX9" i="10" s="1"/>
  <c r="GI9" i="10"/>
  <c r="GJ9" i="10" s="1"/>
  <c r="HU9" i="10"/>
  <c r="HV9" i="10" s="1"/>
  <c r="JG9" i="10"/>
  <c r="JH9" i="10" s="1"/>
  <c r="KS9" i="10"/>
  <c r="KT9" i="10" s="1"/>
  <c r="ME9" i="10"/>
  <c r="MF9" i="10" s="1"/>
  <c r="NQ9" i="10"/>
  <c r="NR9" i="10" s="1"/>
  <c r="PC9" i="10"/>
  <c r="PD9" i="10" s="1"/>
  <c r="QO9" i="10"/>
  <c r="QP9" i="10" s="1"/>
  <c r="SA9" i="10"/>
  <c r="SB9" i="10" s="1"/>
  <c r="TK9" i="10"/>
  <c r="TL9" i="10" s="1"/>
  <c r="US9" i="10"/>
  <c r="UT9" i="10" s="1"/>
  <c r="AM11" i="10"/>
  <c r="BY11" i="10"/>
  <c r="DK11" i="10"/>
  <c r="EW11" i="10"/>
  <c r="GI11" i="10"/>
  <c r="HU11" i="10"/>
  <c r="JG11" i="10"/>
  <c r="KS11" i="10"/>
  <c r="ME11" i="10"/>
  <c r="NQ11" i="10"/>
  <c r="PC11" i="10"/>
  <c r="R10" i="10"/>
  <c r="S10" i="10" s="1"/>
  <c r="AE10" i="10"/>
  <c r="AF10" i="10" s="1"/>
  <c r="BD10" i="10"/>
  <c r="BE10" i="10" s="1"/>
  <c r="BQ10" i="10"/>
  <c r="BR10" i="10" s="1"/>
  <c r="CP10" i="10"/>
  <c r="CQ10" i="10" s="1"/>
  <c r="DC10" i="10"/>
  <c r="DD10" i="10" s="1"/>
  <c r="EB10" i="10"/>
  <c r="EC10" i="10" s="1"/>
  <c r="EO10" i="10"/>
  <c r="EP10" i="10" s="1"/>
  <c r="PT10" i="10"/>
  <c r="PU10" i="10" s="1"/>
  <c r="QG10" i="10"/>
  <c r="QH10" i="10" s="1"/>
  <c r="RF10" i="10"/>
  <c r="RG10" i="10" s="1"/>
  <c r="RS10" i="10"/>
  <c r="RT10" i="10" s="1"/>
  <c r="SR10" i="10"/>
  <c r="SS10" i="10" s="1"/>
  <c r="TD10" i="10"/>
  <c r="TE10" i="10" s="1"/>
  <c r="TZ10" i="10"/>
  <c r="UA10" i="10" s="1"/>
  <c r="UL10" i="10"/>
  <c r="UM10" i="10" s="1"/>
  <c r="PV11" i="10"/>
  <c r="QO11" i="10"/>
  <c r="RH11" i="10"/>
  <c r="SA11" i="10"/>
  <c r="ST11" i="10"/>
  <c r="TK11" i="10"/>
  <c r="UB11" i="10"/>
  <c r="US11" i="10"/>
  <c r="T12" i="10"/>
  <c r="U12" i="10" s="1"/>
  <c r="AM12" i="10"/>
  <c r="AN12" i="10" s="1"/>
  <c r="BF12" i="10"/>
  <c r="BG12" i="10" s="1"/>
  <c r="BY12" i="10"/>
  <c r="BZ12" i="10" s="1"/>
  <c r="CR12" i="10"/>
  <c r="CS12" i="10" s="1"/>
  <c r="DK12" i="10"/>
  <c r="DL12" i="10" s="1"/>
  <c r="ED12" i="10"/>
  <c r="EE12" i="10" s="1"/>
  <c r="EW12" i="10"/>
  <c r="EX12" i="10" s="1"/>
  <c r="FP12" i="10"/>
  <c r="FQ12" i="10" s="1"/>
  <c r="GI12" i="10"/>
  <c r="GJ12" i="10" s="1"/>
  <c r="HB12" i="10"/>
  <c r="HC12" i="10" s="1"/>
  <c r="HU12" i="10"/>
  <c r="HV12" i="10" s="1"/>
  <c r="IN12" i="10"/>
  <c r="IO12" i="10" s="1"/>
  <c r="JG12" i="10"/>
  <c r="JH12" i="10" s="1"/>
  <c r="CR8" i="10"/>
  <c r="CS8" i="10" s="1"/>
  <c r="ED8" i="10"/>
  <c r="EE8" i="10" s="1"/>
  <c r="FP8" i="10"/>
  <c r="FQ8" i="10" s="1"/>
  <c r="HB8" i="10"/>
  <c r="HC8" i="10" s="1"/>
  <c r="IN8" i="10"/>
  <c r="IO8" i="10" s="1"/>
  <c r="JZ8" i="10"/>
  <c r="KA8" i="10" s="1"/>
  <c r="LL8" i="10"/>
  <c r="LM8" i="10" s="1"/>
  <c r="MX8" i="10"/>
  <c r="MY8" i="10" s="1"/>
  <c r="OJ8" i="10"/>
  <c r="OK8" i="10" s="1"/>
  <c r="PV8" i="10"/>
  <c r="PW8" i="10" s="1"/>
  <c r="RH8" i="10"/>
  <c r="RI8" i="10" s="1"/>
  <c r="ST8" i="10"/>
  <c r="SU8" i="10" s="1"/>
  <c r="UB8" i="10"/>
  <c r="UC8" i="10" s="1"/>
  <c r="T9" i="10"/>
  <c r="U9" i="10" s="1"/>
  <c r="BF9" i="10"/>
  <c r="BG9" i="10" s="1"/>
  <c r="CR9" i="10"/>
  <c r="CS9" i="10" s="1"/>
  <c r="ED9" i="10"/>
  <c r="EE9" i="10" s="1"/>
  <c r="FP9" i="10"/>
  <c r="FQ9" i="10" s="1"/>
  <c r="HB9" i="10"/>
  <c r="HC9" i="10" s="1"/>
  <c r="IN9" i="10"/>
  <c r="IO9" i="10" s="1"/>
  <c r="JZ9" i="10"/>
  <c r="KA9" i="10" s="1"/>
  <c r="LL9" i="10"/>
  <c r="LM9" i="10" s="1"/>
  <c r="MX9" i="10"/>
  <c r="MY9" i="10" s="1"/>
  <c r="OJ9" i="10"/>
  <c r="OK9" i="10" s="1"/>
  <c r="PV9" i="10"/>
  <c r="PW9" i="10" s="1"/>
  <c r="RH9" i="10"/>
  <c r="RI9" i="10" s="1"/>
  <c r="ST9" i="10"/>
  <c r="SU9" i="10" s="1"/>
  <c r="UB9" i="10"/>
  <c r="UC9" i="10" s="1"/>
  <c r="T11" i="10"/>
  <c r="BF11" i="10"/>
  <c r="CR11" i="10"/>
  <c r="ED11" i="10"/>
  <c r="FP11" i="10"/>
  <c r="HB11" i="10"/>
  <c r="IN11" i="10"/>
  <c r="JZ11" i="10"/>
  <c r="LL11" i="10"/>
  <c r="MX11" i="10"/>
  <c r="OJ11" i="10"/>
  <c r="JZ12" i="10"/>
  <c r="KA12" i="10" s="1"/>
  <c r="JM12" i="10"/>
  <c r="LL12" i="10"/>
  <c r="LM12" i="10" s="1"/>
  <c r="MX12" i="10"/>
  <c r="MY12" i="10" s="1"/>
  <c r="OJ12" i="10"/>
  <c r="OK12" i="10" s="1"/>
  <c r="PV12" i="10"/>
  <c r="PW12" i="10" s="1"/>
  <c r="RH12" i="10"/>
  <c r="RI12" i="10" s="1"/>
  <c r="ST12" i="10"/>
  <c r="SU12" i="10" s="1"/>
  <c r="UB12" i="10"/>
  <c r="UC12" i="10" s="1"/>
  <c r="T14" i="10"/>
  <c r="BF14" i="10"/>
  <c r="CR14" i="10"/>
  <c r="ED14" i="10"/>
  <c r="FP14" i="10"/>
  <c r="HB14" i="10"/>
  <c r="IN14" i="10"/>
  <c r="JZ14" i="10"/>
  <c r="LL14" i="10"/>
  <c r="MX14" i="10"/>
  <c r="OJ14" i="10"/>
  <c r="PV14" i="10"/>
  <c r="RH14" i="10"/>
  <c r="ST14" i="10"/>
  <c r="UB14" i="10"/>
  <c r="T15" i="10"/>
  <c r="U15" i="10" s="1"/>
  <c r="KS12" i="10"/>
  <c r="KT12" i="10" s="1"/>
  <c r="ME12" i="10"/>
  <c r="MF12" i="10" s="1"/>
  <c r="NQ12" i="10"/>
  <c r="NR12" i="10" s="1"/>
  <c r="PC12" i="10"/>
  <c r="PD12" i="10" s="1"/>
  <c r="QO12" i="10"/>
  <c r="QP12" i="10" s="1"/>
  <c r="SA12" i="10"/>
  <c r="SB12" i="10" s="1"/>
  <c r="TK12" i="10"/>
  <c r="TL12" i="10" s="1"/>
  <c r="US12" i="10"/>
  <c r="UT12" i="10" s="1"/>
  <c r="AM14" i="10"/>
  <c r="BY14" i="10"/>
  <c r="DK14" i="10"/>
  <c r="EW14" i="10"/>
  <c r="GI14" i="10"/>
  <c r="HU14" i="10"/>
  <c r="JG14" i="10"/>
  <c r="KS14" i="10"/>
  <c r="ME14" i="10"/>
  <c r="NQ14" i="10"/>
  <c r="PC14" i="10"/>
  <c r="QO14" i="10"/>
  <c r="SA14" i="10"/>
  <c r="TK14" i="10"/>
  <c r="US14" i="10"/>
  <c r="AM15" i="10"/>
  <c r="AN15" i="10" s="1"/>
  <c r="Z15" i="10"/>
  <c r="BY15" i="10"/>
  <c r="BZ15" i="10" s="1"/>
  <c r="BL15" i="10"/>
  <c r="EW15" i="10"/>
  <c r="EX15" i="10" s="1"/>
  <c r="EJ15" i="10"/>
  <c r="HU15" i="10"/>
  <c r="HV15" i="10" s="1"/>
  <c r="HH15" i="10"/>
  <c r="KS15" i="10"/>
  <c r="KT15" i="10" s="1"/>
  <c r="KF15" i="10"/>
  <c r="NQ15" i="10"/>
  <c r="NR15" i="10" s="1"/>
  <c r="ND15" i="10"/>
  <c r="S17" i="10"/>
  <c r="R16" i="10"/>
  <c r="S16" i="10" s="1"/>
  <c r="CR15" i="10"/>
  <c r="CS15" i="10" s="1"/>
  <c r="CE15" i="10"/>
  <c r="FP15" i="10"/>
  <c r="FQ15" i="10" s="1"/>
  <c r="FC15" i="10"/>
  <c r="IN15" i="10"/>
  <c r="IO15" i="10" s="1"/>
  <c r="IA15" i="10"/>
  <c r="LL15" i="10"/>
  <c r="LM15" i="10" s="1"/>
  <c r="KY15" i="10"/>
  <c r="OJ15" i="10"/>
  <c r="OK15" i="10" s="1"/>
  <c r="NW15" i="10"/>
  <c r="DK15" i="10"/>
  <c r="DL15" i="10" s="1"/>
  <c r="CX15" i="10"/>
  <c r="GI15" i="10"/>
  <c r="GJ15" i="10" s="1"/>
  <c r="FV15" i="10"/>
  <c r="JG15" i="10"/>
  <c r="JH15" i="10" s="1"/>
  <c r="IT15" i="10"/>
  <c r="ME15" i="10"/>
  <c r="MF15" i="10" s="1"/>
  <c r="LR15" i="10"/>
  <c r="PC15" i="10"/>
  <c r="PD15" i="10" s="1"/>
  <c r="OP15" i="10"/>
  <c r="BF15" i="10"/>
  <c r="BG15" i="10" s="1"/>
  <c r="AS15" i="10"/>
  <c r="ED15" i="10"/>
  <c r="EE15" i="10" s="1"/>
  <c r="DQ15" i="10"/>
  <c r="HB15" i="10"/>
  <c r="HC15" i="10" s="1"/>
  <c r="GO15" i="10"/>
  <c r="JZ15" i="10"/>
  <c r="KA15" i="10" s="1"/>
  <c r="JM15" i="10"/>
  <c r="MX15" i="10"/>
  <c r="MY15" i="10" s="1"/>
  <c r="MK15" i="10"/>
  <c r="PV15" i="10"/>
  <c r="PW15" i="10" s="1"/>
  <c r="PI15" i="10"/>
  <c r="AK16" i="10"/>
  <c r="AL16" i="10" s="1"/>
  <c r="BW16" i="10"/>
  <c r="BX16" i="10" s="1"/>
  <c r="DI16" i="10"/>
  <c r="DJ16" i="10" s="1"/>
  <c r="EU16" i="10"/>
  <c r="EV16" i="10" s="1"/>
  <c r="GG16" i="10"/>
  <c r="GH16" i="10" s="1"/>
  <c r="T17" i="10"/>
  <c r="AF17" i="10"/>
  <c r="BF17" i="10"/>
  <c r="BR17" i="10"/>
  <c r="CR17" i="10"/>
  <c r="DD17" i="10"/>
  <c r="ED17" i="10"/>
  <c r="EP17" i="10"/>
  <c r="FP17" i="10"/>
  <c r="GB17" i="10"/>
  <c r="HB17" i="10"/>
  <c r="IN17" i="10"/>
  <c r="JZ17" i="10"/>
  <c r="LL17" i="10"/>
  <c r="MX17" i="10"/>
  <c r="OJ17" i="10"/>
  <c r="PV17" i="10"/>
  <c r="RH17" i="10"/>
  <c r="ST17" i="10"/>
  <c r="UB17" i="10"/>
  <c r="T18" i="10"/>
  <c r="U18" i="10" s="1"/>
  <c r="BF18" i="10"/>
  <c r="BG18" i="10" s="1"/>
  <c r="CR18" i="10"/>
  <c r="CS18" i="10" s="1"/>
  <c r="ED18" i="10"/>
  <c r="EE18" i="10" s="1"/>
  <c r="FP18" i="10"/>
  <c r="FQ18" i="10" s="1"/>
  <c r="HB18" i="10"/>
  <c r="HC18" i="10" s="1"/>
  <c r="IN18" i="10"/>
  <c r="IO18" i="10" s="1"/>
  <c r="JZ18" i="10"/>
  <c r="KA18" i="10" s="1"/>
  <c r="LL18" i="10"/>
  <c r="LM18" i="10" s="1"/>
  <c r="MX18" i="10"/>
  <c r="MY18" i="10" s="1"/>
  <c r="OJ18" i="10"/>
  <c r="OK18" i="10" s="1"/>
  <c r="QB15" i="10"/>
  <c r="L16" i="10"/>
  <c r="M16" i="10" s="1"/>
  <c r="AX16" i="10"/>
  <c r="AY16" i="10" s="1"/>
  <c r="CJ16" i="10"/>
  <c r="CK16" i="10" s="1"/>
  <c r="DV16" i="10"/>
  <c r="DW16" i="10" s="1"/>
  <c r="FH16" i="10"/>
  <c r="FI16" i="10" s="1"/>
  <c r="AM17" i="10"/>
  <c r="BY17" i="10"/>
  <c r="DK17" i="10"/>
  <c r="EW17" i="10"/>
  <c r="GI17" i="10"/>
  <c r="HU17" i="10"/>
  <c r="JG17" i="10"/>
  <c r="KS17" i="10"/>
  <c r="ME17" i="10"/>
  <c r="NQ17" i="10"/>
  <c r="PC17" i="10"/>
  <c r="QO17" i="10"/>
  <c r="SA17" i="10"/>
  <c r="TK17" i="10"/>
  <c r="US17" i="10"/>
  <c r="AM18" i="10"/>
  <c r="AN18" i="10" s="1"/>
  <c r="BY18" i="10"/>
  <c r="BZ18" i="10" s="1"/>
  <c r="DK18" i="10"/>
  <c r="DL18" i="10" s="1"/>
  <c r="EW18" i="10"/>
  <c r="EX18" i="10" s="1"/>
  <c r="GI18" i="10"/>
  <c r="GJ18" i="10" s="1"/>
  <c r="HU18" i="10"/>
  <c r="HV18" i="10" s="1"/>
  <c r="JG18" i="10"/>
  <c r="JH18" i="10" s="1"/>
  <c r="KS18" i="10"/>
  <c r="KT18" i="10" s="1"/>
  <c r="ME18" i="10"/>
  <c r="MF18" i="10" s="1"/>
  <c r="NQ18" i="10"/>
  <c r="NR18" i="10" s="1"/>
  <c r="PC18" i="10"/>
  <c r="PD18" i="10" s="1"/>
  <c r="OP18" i="10"/>
  <c r="PV18" i="10"/>
  <c r="PW18" i="10" s="1"/>
  <c r="RH18" i="10"/>
  <c r="RI18" i="10" s="1"/>
  <c r="ST18" i="10"/>
  <c r="SU18" i="10" s="1"/>
  <c r="UB18" i="10"/>
  <c r="UC18" i="10" s="1"/>
  <c r="T19" i="10"/>
  <c r="U19" i="10" s="1"/>
  <c r="BF19" i="10"/>
  <c r="BG19" i="10" s="1"/>
  <c r="CR19" i="10"/>
  <c r="CS19" i="10" s="1"/>
  <c r="ED19" i="10"/>
  <c r="EE19" i="10" s="1"/>
  <c r="FP19" i="10"/>
  <c r="FQ19" i="10" s="1"/>
  <c r="HB19" i="10"/>
  <c r="HC19" i="10" s="1"/>
  <c r="IN19" i="10"/>
  <c r="IO19" i="10" s="1"/>
  <c r="JZ19" i="10"/>
  <c r="KA19" i="10" s="1"/>
  <c r="LL19" i="10"/>
  <c r="LM19" i="10" s="1"/>
  <c r="MX19" i="10"/>
  <c r="MY19" i="10" s="1"/>
  <c r="MK19" i="10"/>
  <c r="NQ19" i="10"/>
  <c r="NR19" i="10" s="1"/>
  <c r="ND19" i="10"/>
  <c r="QO18" i="10"/>
  <c r="QP18" i="10" s="1"/>
  <c r="SA18" i="10"/>
  <c r="SB18" i="10" s="1"/>
  <c r="TK18" i="10"/>
  <c r="TL18" i="10" s="1"/>
  <c r="US18" i="10"/>
  <c r="UT18" i="10" s="1"/>
  <c r="AM19" i="10"/>
  <c r="AN19" i="10" s="1"/>
  <c r="BY19" i="10"/>
  <c r="BZ19" i="10" s="1"/>
  <c r="DK19" i="10"/>
  <c r="DL19" i="10" s="1"/>
  <c r="EW19" i="10"/>
  <c r="EX19" i="10" s="1"/>
  <c r="GI19" i="10"/>
  <c r="GJ19" i="10" s="1"/>
  <c r="HU19" i="10"/>
  <c r="HV19" i="10" s="1"/>
  <c r="JG19" i="10"/>
  <c r="JH19" i="10" s="1"/>
  <c r="KS19" i="10"/>
  <c r="KT19" i="10" s="1"/>
  <c r="ME19" i="10"/>
  <c r="MF19" i="10" s="1"/>
  <c r="QB19" i="10"/>
  <c r="HS20" i="10"/>
  <c r="HT21" i="10"/>
  <c r="KQ20" i="10"/>
  <c r="KR21" i="10"/>
  <c r="NO20" i="10"/>
  <c r="NP21" i="10"/>
  <c r="QM20" i="10"/>
  <c r="QN21" i="10"/>
  <c r="TE21" i="10"/>
  <c r="TD20" i="10"/>
  <c r="PI19" i="10"/>
  <c r="HU21" i="10"/>
  <c r="IM21" i="10"/>
  <c r="IL20" i="10"/>
  <c r="KS21" i="10"/>
  <c r="LK21" i="10"/>
  <c r="LJ20" i="10"/>
  <c r="NQ21" i="10"/>
  <c r="OI21" i="10"/>
  <c r="OH20" i="10"/>
  <c r="QO21" i="10"/>
  <c r="RG21" i="10"/>
  <c r="RF20" i="10"/>
  <c r="OP19" i="10"/>
  <c r="JE20" i="10"/>
  <c r="JF21" i="10"/>
  <c r="MC20" i="10"/>
  <c r="MD21" i="10"/>
  <c r="PA20" i="10"/>
  <c r="PB21" i="10"/>
  <c r="SS21" i="10"/>
  <c r="SR20" i="10"/>
  <c r="QU19" i="10"/>
  <c r="HA21" i="10"/>
  <c r="GZ20" i="10"/>
  <c r="JG21" i="10"/>
  <c r="JY21" i="10"/>
  <c r="JX20" i="10"/>
  <c r="ME21" i="10"/>
  <c r="MW21" i="10"/>
  <c r="MV20" i="10"/>
  <c r="PC21" i="10"/>
  <c r="PU21" i="10"/>
  <c r="PT20" i="10"/>
  <c r="SA20" i="10"/>
  <c r="SB20" i="10" s="1"/>
  <c r="TV21" i="10"/>
  <c r="TU20" i="10"/>
  <c r="UL20" i="10"/>
  <c r="RZ21" i="10"/>
  <c r="SG21" i="10"/>
  <c r="TK21" i="10"/>
  <c r="UB21" i="10"/>
  <c r="US21" i="10"/>
  <c r="HB20" i="10" l="1"/>
  <c r="HC20" i="10" s="1"/>
  <c r="IO21" i="10"/>
  <c r="AN21" i="10"/>
  <c r="GA22" i="10"/>
  <c r="GB22" i="10" s="1"/>
  <c r="LW22" i="10"/>
  <c r="LX22" i="10" s="1"/>
  <c r="FQ21" i="10"/>
  <c r="MX20" i="10"/>
  <c r="MY20" i="10" s="1"/>
  <c r="SY22" i="10"/>
  <c r="SZ22" i="10" s="1"/>
  <c r="UQ22" i="10"/>
  <c r="UR22" i="10" s="1"/>
  <c r="TP22" i="10"/>
  <c r="TQ22" i="10" s="1"/>
  <c r="EX21" i="10"/>
  <c r="FU22" i="10"/>
  <c r="FV22" i="10" s="1"/>
  <c r="BW22" i="10"/>
  <c r="BX22" i="10" s="1"/>
  <c r="LQ22" i="10"/>
  <c r="LR22" i="10" s="1"/>
  <c r="R22" i="10"/>
  <c r="S22" i="10" s="1"/>
  <c r="OJ20" i="10"/>
  <c r="OK20" i="10" s="1"/>
  <c r="LM21" i="10"/>
  <c r="EE21" i="10"/>
  <c r="DL21" i="10"/>
  <c r="BQ22" i="10"/>
  <c r="BR22" i="10" s="1"/>
  <c r="BG21" i="10"/>
  <c r="RS22" i="10"/>
  <c r="RT22" i="10" s="1"/>
  <c r="BD22" i="10"/>
  <c r="BE22" i="10" s="1"/>
  <c r="PW21" i="10"/>
  <c r="GG22" i="10"/>
  <c r="GH22" i="10" s="1"/>
  <c r="EO22" i="10"/>
  <c r="EP22" i="10" s="1"/>
  <c r="NI22" i="10"/>
  <c r="NJ22" i="10" s="1"/>
  <c r="IY22" i="10"/>
  <c r="IZ22" i="10" s="1"/>
  <c r="BZ21" i="10"/>
  <c r="SU21" i="10"/>
  <c r="KA21" i="10"/>
  <c r="PN22" i="10"/>
  <c r="PO22" i="10" s="1"/>
  <c r="IS22" i="10"/>
  <c r="IT22" i="10" s="1"/>
  <c r="TI22" i="10"/>
  <c r="TJ22" i="10" s="1"/>
  <c r="DI22" i="10"/>
  <c r="DJ22" i="10" s="1"/>
  <c r="AK22" i="10"/>
  <c r="AL22" i="10" s="1"/>
  <c r="RH20" i="10"/>
  <c r="RI20" i="10" s="1"/>
  <c r="OU22" i="10"/>
  <c r="OV22" i="10" s="1"/>
  <c r="MJ22" i="10"/>
  <c r="MK22" i="10" s="1"/>
  <c r="KX22" i="10"/>
  <c r="KY22" i="10" s="1"/>
  <c r="HZ22" i="10"/>
  <c r="IA22" i="10" s="1"/>
  <c r="AR22" i="10"/>
  <c r="AS22" i="10" s="1"/>
  <c r="TZ22" i="10"/>
  <c r="UA22" i="10" s="1"/>
  <c r="DC22" i="10"/>
  <c r="DD22" i="10" s="1"/>
  <c r="AE22" i="10"/>
  <c r="AF22" i="10" s="1"/>
  <c r="UG22" i="10"/>
  <c r="UH22" i="10" s="1"/>
  <c r="RM22" i="10"/>
  <c r="RN22" i="10" s="1"/>
  <c r="MP22" i="10"/>
  <c r="MQ22" i="10" s="1"/>
  <c r="JR22" i="10"/>
  <c r="JS22" i="10" s="1"/>
  <c r="FB22" i="10"/>
  <c r="FC22" i="10" s="1"/>
  <c r="U21" i="10"/>
  <c r="GJ21" i="10"/>
  <c r="SF22" i="10"/>
  <c r="SG22" i="10" s="1"/>
  <c r="SL22" i="10"/>
  <c r="SM22" i="10" s="1"/>
  <c r="RY22" i="10"/>
  <c r="RZ22" i="10" s="1"/>
  <c r="QZ22" i="10"/>
  <c r="RA22" i="10" s="1"/>
  <c r="QT22" i="10"/>
  <c r="QU22" i="10" s="1"/>
  <c r="QG22" i="10"/>
  <c r="QH22" i="10" s="1"/>
  <c r="QA22" i="10"/>
  <c r="QB22" i="10" s="1"/>
  <c r="NV22" i="10"/>
  <c r="NW22" i="10" s="1"/>
  <c r="OB22" i="10"/>
  <c r="OC22" i="10" s="1"/>
  <c r="LD22" i="10"/>
  <c r="LE22" i="10" s="1"/>
  <c r="KK22" i="10"/>
  <c r="KL22" i="10" s="1"/>
  <c r="KE22" i="10"/>
  <c r="KF22" i="10" s="1"/>
  <c r="IF22" i="10"/>
  <c r="IG22" i="10" s="1"/>
  <c r="HM22" i="10"/>
  <c r="HN22" i="10" s="1"/>
  <c r="GT22" i="10"/>
  <c r="GU22" i="10" s="1"/>
  <c r="GN22" i="10"/>
  <c r="GO22" i="10" s="1"/>
  <c r="FH22" i="10"/>
  <c r="FI22" i="10" s="1"/>
  <c r="FN22" i="10"/>
  <c r="FO22" i="10" s="1"/>
  <c r="EI22" i="10"/>
  <c r="EJ22" i="10" s="1"/>
  <c r="EU22" i="10"/>
  <c r="EV22" i="10" s="1"/>
  <c r="EB22" i="10"/>
  <c r="EC22" i="10" s="1"/>
  <c r="CW22" i="10"/>
  <c r="CX22" i="10" s="1"/>
  <c r="CP22" i="10"/>
  <c r="CQ22" i="10" s="1"/>
  <c r="CD22" i="10"/>
  <c r="CE22" i="10" s="1"/>
  <c r="BK22" i="10"/>
  <c r="BL22" i="10" s="1"/>
  <c r="DV22" i="10"/>
  <c r="DW22" i="10" s="1"/>
  <c r="CJ22" i="10"/>
  <c r="CK22" i="10" s="1"/>
  <c r="AX22" i="10"/>
  <c r="AY22" i="10" s="1"/>
  <c r="L22" i="10"/>
  <c r="M22" i="10" s="1"/>
  <c r="OO22" i="10"/>
  <c r="OP22" i="10" s="1"/>
  <c r="NC22" i="10"/>
  <c r="ND22" i="10" s="1"/>
  <c r="JL22" i="10"/>
  <c r="JM22" i="10" s="1"/>
  <c r="DP22" i="10"/>
  <c r="DQ22" i="10" s="1"/>
  <c r="HG22" i="10"/>
  <c r="HH22" i="10" s="1"/>
  <c r="Y22" i="10"/>
  <c r="Z22" i="10" s="1"/>
  <c r="F22" i="10"/>
  <c r="G22" i="10" s="1"/>
  <c r="PH22" i="10"/>
  <c r="PI22" i="10" s="1"/>
  <c r="GK1" i="14"/>
  <c r="TL21" i="10"/>
  <c r="TK20" i="10"/>
  <c r="TL20" i="10" s="1"/>
  <c r="UL22" i="10"/>
  <c r="UM22" i="10" s="1"/>
  <c r="UM20" i="10"/>
  <c r="MV22" i="10"/>
  <c r="MW22" i="10" s="1"/>
  <c r="MW20" i="10"/>
  <c r="PA22" i="10"/>
  <c r="PB22" i="10" s="1"/>
  <c r="PB20" i="10"/>
  <c r="MC22" i="10"/>
  <c r="MD22" i="10" s="1"/>
  <c r="MD20" i="10"/>
  <c r="JE22" i="10"/>
  <c r="JF22" i="10" s="1"/>
  <c r="JF20" i="10"/>
  <c r="NR21" i="10"/>
  <c r="NQ20" i="10"/>
  <c r="NR20" i="10" s="1"/>
  <c r="IL22" i="10"/>
  <c r="IM22" i="10" s="1"/>
  <c r="IM20" i="10"/>
  <c r="US16" i="10"/>
  <c r="UT16" i="10" s="1"/>
  <c r="UT17" i="10"/>
  <c r="PC16" i="10"/>
  <c r="PD16" i="10" s="1"/>
  <c r="PD17" i="10"/>
  <c r="JG16" i="10"/>
  <c r="JH16" i="10" s="1"/>
  <c r="JH17" i="10"/>
  <c r="DK16" i="10"/>
  <c r="DL16" i="10" s="1"/>
  <c r="DL17" i="10"/>
  <c r="UC17" i="10"/>
  <c r="UB16" i="10"/>
  <c r="UC16" i="10" s="1"/>
  <c r="OK17" i="10"/>
  <c r="OJ16" i="10"/>
  <c r="OK16" i="10" s="1"/>
  <c r="IO17" i="10"/>
  <c r="IN16" i="10"/>
  <c r="IO16" i="10" s="1"/>
  <c r="TK13" i="10"/>
  <c r="TL13" i="10" s="1"/>
  <c r="TL14" i="10"/>
  <c r="NQ13" i="10"/>
  <c r="NR13" i="10" s="1"/>
  <c r="NR14" i="10"/>
  <c r="HU13" i="10"/>
  <c r="HV13" i="10" s="1"/>
  <c r="HV14" i="10"/>
  <c r="BY13" i="10"/>
  <c r="BZ13" i="10" s="1"/>
  <c r="BZ14" i="10"/>
  <c r="SU14" i="10"/>
  <c r="ST13" i="10"/>
  <c r="SU13" i="10" s="1"/>
  <c r="MY14" i="10"/>
  <c r="MX13" i="10"/>
  <c r="MY13" i="10" s="1"/>
  <c r="HC14" i="10"/>
  <c r="HB13" i="10"/>
  <c r="HC13" i="10" s="1"/>
  <c r="BG14" i="10"/>
  <c r="BF13" i="10"/>
  <c r="BG13" i="10" s="1"/>
  <c r="MY11" i="10"/>
  <c r="MX10" i="10"/>
  <c r="MY10" i="10" s="1"/>
  <c r="HC11" i="10"/>
  <c r="HB10" i="10"/>
  <c r="HC10" i="10" s="1"/>
  <c r="BG11" i="10"/>
  <c r="BF10" i="10"/>
  <c r="BG10" i="10" s="1"/>
  <c r="UT11" i="10"/>
  <c r="US10" i="10"/>
  <c r="UT10" i="10" s="1"/>
  <c r="SB11" i="10"/>
  <c r="SA10" i="10"/>
  <c r="SB10" i="10" s="1"/>
  <c r="PD11" i="10"/>
  <c r="PC10" i="10"/>
  <c r="PD10" i="10" s="1"/>
  <c r="JH11" i="10"/>
  <c r="JG10" i="10"/>
  <c r="JH10" i="10" s="1"/>
  <c r="DL11" i="10"/>
  <c r="DK10" i="10"/>
  <c r="DL10" i="10" s="1"/>
  <c r="UC5" i="10"/>
  <c r="UB4" i="10"/>
  <c r="UC4" i="10" s="1"/>
  <c r="RI5" i="10"/>
  <c r="RH4" i="10"/>
  <c r="RI4" i="10" s="1"/>
  <c r="OK5" i="10"/>
  <c r="OJ4" i="10"/>
  <c r="OK4" i="10" s="1"/>
  <c r="LM5" i="10"/>
  <c r="LL4" i="10"/>
  <c r="LM4" i="10" s="1"/>
  <c r="IO5" i="10"/>
  <c r="IN4" i="10"/>
  <c r="IO4" i="10" s="1"/>
  <c r="FQ5" i="10"/>
  <c r="FP4" i="10"/>
  <c r="FQ4" i="10" s="1"/>
  <c r="CS5" i="10"/>
  <c r="CR4" i="10"/>
  <c r="CS4" i="10" s="1"/>
  <c r="U5" i="10"/>
  <c r="T4" i="10"/>
  <c r="U4" i="10" s="1"/>
  <c r="TU22" i="10"/>
  <c r="TV22" i="10" s="1"/>
  <c r="TV20" i="10"/>
  <c r="PT22" i="10"/>
  <c r="PU22" i="10" s="1"/>
  <c r="PU20" i="10"/>
  <c r="JH21" i="10"/>
  <c r="JG20" i="10"/>
  <c r="JH20" i="10" s="1"/>
  <c r="QP21" i="10"/>
  <c r="QO20" i="10"/>
  <c r="QP20" i="10" s="1"/>
  <c r="LJ22" i="10"/>
  <c r="LK22" i="10" s="1"/>
  <c r="LK20" i="10"/>
  <c r="TK16" i="10"/>
  <c r="TL16" i="10" s="1"/>
  <c r="TL17" i="10"/>
  <c r="NQ16" i="10"/>
  <c r="NR16" i="10" s="1"/>
  <c r="NR17" i="10"/>
  <c r="HU16" i="10"/>
  <c r="HV16" i="10" s="1"/>
  <c r="HV17" i="10"/>
  <c r="BY16" i="10"/>
  <c r="BZ16" i="10" s="1"/>
  <c r="BZ17" i="10"/>
  <c r="SU17" i="10"/>
  <c r="ST16" i="10"/>
  <c r="SU16" i="10" s="1"/>
  <c r="MY17" i="10"/>
  <c r="MX16" i="10"/>
  <c r="MY16" i="10" s="1"/>
  <c r="HC17" i="10"/>
  <c r="HB16" i="10"/>
  <c r="HC16" i="10" s="1"/>
  <c r="ED16" i="10"/>
  <c r="EE16" i="10" s="1"/>
  <c r="EE17" i="10"/>
  <c r="BF16" i="10"/>
  <c r="BG16" i="10" s="1"/>
  <c r="BG17" i="10"/>
  <c r="SA13" i="10"/>
  <c r="SB13" i="10" s="1"/>
  <c r="SB14" i="10"/>
  <c r="ME13" i="10"/>
  <c r="MF13" i="10" s="1"/>
  <c r="MF14" i="10"/>
  <c r="GI13" i="10"/>
  <c r="GJ13" i="10" s="1"/>
  <c r="GJ14" i="10"/>
  <c r="AM13" i="10"/>
  <c r="AN13" i="10" s="1"/>
  <c r="AN14" i="10"/>
  <c r="RI14" i="10"/>
  <c r="RH13" i="10"/>
  <c r="RI13" i="10" s="1"/>
  <c r="LM14" i="10"/>
  <c r="LL13" i="10"/>
  <c r="LM13" i="10" s="1"/>
  <c r="FQ14" i="10"/>
  <c r="FP13" i="10"/>
  <c r="FQ13" i="10" s="1"/>
  <c r="U14" i="10"/>
  <c r="T13" i="10"/>
  <c r="U13" i="10" s="1"/>
  <c r="LM11" i="10"/>
  <c r="LL10" i="10"/>
  <c r="LM10" i="10" s="1"/>
  <c r="FQ11" i="10"/>
  <c r="FP10" i="10"/>
  <c r="FQ10" i="10" s="1"/>
  <c r="U11" i="10"/>
  <c r="T10" i="10"/>
  <c r="U10" i="10" s="1"/>
  <c r="UC11" i="10"/>
  <c r="UB10" i="10"/>
  <c r="UC10" i="10" s="1"/>
  <c r="RI11" i="10"/>
  <c r="RH10" i="10"/>
  <c r="RI10" i="10" s="1"/>
  <c r="NR11" i="10"/>
  <c r="NQ10" i="10"/>
  <c r="NR10" i="10" s="1"/>
  <c r="HV11" i="10"/>
  <c r="HU10" i="10"/>
  <c r="HV10" i="10" s="1"/>
  <c r="BZ11" i="10"/>
  <c r="BY10" i="10"/>
  <c r="BZ10" i="10" s="1"/>
  <c r="TL5" i="10"/>
  <c r="TK4" i="10"/>
  <c r="TL4" i="10" s="1"/>
  <c r="QP5" i="10"/>
  <c r="QO4" i="10"/>
  <c r="QP4" i="10" s="1"/>
  <c r="NR5" i="10"/>
  <c r="NQ4" i="10"/>
  <c r="NR4" i="10" s="1"/>
  <c r="KT5" i="10"/>
  <c r="KS4" i="10"/>
  <c r="KT4" i="10" s="1"/>
  <c r="HV5" i="10"/>
  <c r="HU4" i="10"/>
  <c r="HV4" i="10" s="1"/>
  <c r="EX5" i="10"/>
  <c r="EW4" i="10"/>
  <c r="EX4" i="10" s="1"/>
  <c r="BZ5" i="10"/>
  <c r="BY4" i="10"/>
  <c r="BZ4" i="10" s="1"/>
  <c r="UT21" i="10"/>
  <c r="US20" i="10"/>
  <c r="UT20" i="10" s="1"/>
  <c r="MF21" i="10"/>
  <c r="ME20" i="10"/>
  <c r="MF20" i="10" s="1"/>
  <c r="GZ22" i="10"/>
  <c r="HA22" i="10" s="1"/>
  <c r="HA20" i="10"/>
  <c r="SR22" i="10"/>
  <c r="SS22" i="10" s="1"/>
  <c r="SS20" i="10"/>
  <c r="OH22" i="10"/>
  <c r="OI22" i="10" s="1"/>
  <c r="OI20" i="10"/>
  <c r="HV21" i="10"/>
  <c r="HU20" i="10"/>
  <c r="HV20" i="10" s="1"/>
  <c r="TD22" i="10"/>
  <c r="TE22" i="10" s="1"/>
  <c r="TE20" i="10"/>
  <c r="SA16" i="10"/>
  <c r="SB16" i="10" s="1"/>
  <c r="SB17" i="10"/>
  <c r="ME16" i="10"/>
  <c r="MF16" i="10" s="1"/>
  <c r="MF17" i="10"/>
  <c r="GI16" i="10"/>
  <c r="GJ16" i="10" s="1"/>
  <c r="GJ17" i="10"/>
  <c r="AM16" i="10"/>
  <c r="AN16" i="10" s="1"/>
  <c r="AN17" i="10"/>
  <c r="RI17" i="10"/>
  <c r="RH16" i="10"/>
  <c r="RI16" i="10" s="1"/>
  <c r="LM17" i="10"/>
  <c r="LL16" i="10"/>
  <c r="LM16" i="10" s="1"/>
  <c r="QO13" i="10"/>
  <c r="QP13" i="10" s="1"/>
  <c r="QP14" i="10"/>
  <c r="KS13" i="10"/>
  <c r="KT13" i="10" s="1"/>
  <c r="KT14" i="10"/>
  <c r="EW13" i="10"/>
  <c r="EX13" i="10" s="1"/>
  <c r="EX14" i="10"/>
  <c r="PW14" i="10"/>
  <c r="PV13" i="10"/>
  <c r="PW13" i="10" s="1"/>
  <c r="KA14" i="10"/>
  <c r="JZ13" i="10"/>
  <c r="KA13" i="10" s="1"/>
  <c r="EE14" i="10"/>
  <c r="ED13" i="10"/>
  <c r="EE13" i="10" s="1"/>
  <c r="KA11" i="10"/>
  <c r="JZ10" i="10"/>
  <c r="KA10" i="10" s="1"/>
  <c r="EE11" i="10"/>
  <c r="ED10" i="10"/>
  <c r="EE10" i="10" s="1"/>
  <c r="TL11" i="10"/>
  <c r="TK10" i="10"/>
  <c r="TL10" i="10" s="1"/>
  <c r="QP11" i="10"/>
  <c r="QO10" i="10"/>
  <c r="QP10" i="10" s="1"/>
  <c r="MF11" i="10"/>
  <c r="ME10" i="10"/>
  <c r="MF10" i="10" s="1"/>
  <c r="GJ11" i="10"/>
  <c r="GI10" i="10"/>
  <c r="GJ10" i="10" s="1"/>
  <c r="AN11" i="10"/>
  <c r="AM10" i="10"/>
  <c r="AN10" i="10" s="1"/>
  <c r="SU5" i="10"/>
  <c r="ST4" i="10"/>
  <c r="SU4" i="10" s="1"/>
  <c r="PW5" i="10"/>
  <c r="PV4" i="10"/>
  <c r="PW4" i="10" s="1"/>
  <c r="MY5" i="10"/>
  <c r="MX4" i="10"/>
  <c r="MY4" i="10" s="1"/>
  <c r="KA5" i="10"/>
  <c r="JZ4" i="10"/>
  <c r="KA4" i="10" s="1"/>
  <c r="HC5" i="10"/>
  <c r="HB4" i="10"/>
  <c r="HC4" i="10" s="1"/>
  <c r="EE5" i="10"/>
  <c r="ED4" i="10"/>
  <c r="EE4" i="10" s="1"/>
  <c r="BG5" i="10"/>
  <c r="BF4" i="10"/>
  <c r="BG4" i="10" s="1"/>
  <c r="GK1" i="10"/>
  <c r="UC21" i="10"/>
  <c r="UB20" i="10"/>
  <c r="UC20" i="10" s="1"/>
  <c r="PD21" i="10"/>
  <c r="PC20" i="10"/>
  <c r="PD20" i="10" s="1"/>
  <c r="JX22" i="10"/>
  <c r="JY22" i="10" s="1"/>
  <c r="JY20" i="10"/>
  <c r="RF22" i="10"/>
  <c r="RG22" i="10" s="1"/>
  <c r="RG20" i="10"/>
  <c r="KT21" i="10"/>
  <c r="KS20" i="10"/>
  <c r="KT20" i="10" s="1"/>
  <c r="QM22" i="10"/>
  <c r="QN22" i="10" s="1"/>
  <c r="QN20" i="10"/>
  <c r="NO22" i="10"/>
  <c r="NP22" i="10" s="1"/>
  <c r="NP20" i="10"/>
  <c r="KQ22" i="10"/>
  <c r="KR22" i="10" s="1"/>
  <c r="KR20" i="10"/>
  <c r="HS22" i="10"/>
  <c r="HT22" i="10" s="1"/>
  <c r="HT20" i="10"/>
  <c r="QO16" i="10"/>
  <c r="QP16" i="10" s="1"/>
  <c r="QP17" i="10"/>
  <c r="KS16" i="10"/>
  <c r="KT16" i="10" s="1"/>
  <c r="KT17" i="10"/>
  <c r="EW16" i="10"/>
  <c r="EX16" i="10" s="1"/>
  <c r="EX17" i="10"/>
  <c r="PW17" i="10"/>
  <c r="PV16" i="10"/>
  <c r="PW16" i="10" s="1"/>
  <c r="KA17" i="10"/>
  <c r="JZ16" i="10"/>
  <c r="KA16" i="10" s="1"/>
  <c r="FP16" i="10"/>
  <c r="FQ16" i="10" s="1"/>
  <c r="FQ17" i="10"/>
  <c r="CR16" i="10"/>
  <c r="CS16" i="10" s="1"/>
  <c r="CS17" i="10"/>
  <c r="T16" i="10"/>
  <c r="U16" i="10" s="1"/>
  <c r="U17" i="10"/>
  <c r="US13" i="10"/>
  <c r="UT13" i="10" s="1"/>
  <c r="UT14" i="10"/>
  <c r="PC13" i="10"/>
  <c r="PD13" i="10" s="1"/>
  <c r="PD14" i="10"/>
  <c r="JG13" i="10"/>
  <c r="JH13" i="10" s="1"/>
  <c r="JH14" i="10"/>
  <c r="DK13" i="10"/>
  <c r="DL13" i="10" s="1"/>
  <c r="DL14" i="10"/>
  <c r="UC14" i="10"/>
  <c r="UB13" i="10"/>
  <c r="UC13" i="10" s="1"/>
  <c r="OK14" i="10"/>
  <c r="OJ13" i="10"/>
  <c r="OK13" i="10" s="1"/>
  <c r="IO14" i="10"/>
  <c r="IN13" i="10"/>
  <c r="IO13" i="10" s="1"/>
  <c r="CS14" i="10"/>
  <c r="CR13" i="10"/>
  <c r="CS13" i="10" s="1"/>
  <c r="OK11" i="10"/>
  <c r="OJ10" i="10"/>
  <c r="OK10" i="10" s="1"/>
  <c r="IO11" i="10"/>
  <c r="IN10" i="10"/>
  <c r="IO10" i="10" s="1"/>
  <c r="CS11" i="10"/>
  <c r="CR10" i="10"/>
  <c r="CS10" i="10" s="1"/>
  <c r="SU11" i="10"/>
  <c r="ST10" i="10"/>
  <c r="SU10" i="10" s="1"/>
  <c r="PW11" i="10"/>
  <c r="PV10" i="10"/>
  <c r="PW10" i="10" s="1"/>
  <c r="KT11" i="10"/>
  <c r="KS10" i="10"/>
  <c r="KT10" i="10" s="1"/>
  <c r="EX11" i="10"/>
  <c r="EW10" i="10"/>
  <c r="EX10" i="10" s="1"/>
  <c r="UT5" i="10"/>
  <c r="US4" i="10"/>
  <c r="UT4" i="10" s="1"/>
  <c r="SB5" i="10"/>
  <c r="SA4" i="10"/>
  <c r="SB4" i="10" s="1"/>
  <c r="PD5" i="10"/>
  <c r="PC4" i="10"/>
  <c r="PD4" i="10" s="1"/>
  <c r="MF5" i="10"/>
  <c r="ME4" i="10"/>
  <c r="MF4" i="10" s="1"/>
  <c r="JH5" i="10"/>
  <c r="JG4" i="10"/>
  <c r="JH4" i="10" s="1"/>
  <c r="GJ5" i="10"/>
  <c r="GI4" i="10"/>
  <c r="GJ4" i="10" s="1"/>
  <c r="DL5" i="10"/>
  <c r="DK4" i="10"/>
  <c r="DL4" i="10" s="1"/>
  <c r="AN5" i="10"/>
  <c r="AM4" i="10"/>
  <c r="AN4" i="10" s="1"/>
  <c r="HD1" i="14" l="1"/>
  <c r="HD1" i="10"/>
  <c r="HW1" i="14" l="1"/>
  <c r="HW1" i="10"/>
  <c r="IP1" i="14" l="1"/>
  <c r="IP1" i="10"/>
  <c r="JI1" i="14" l="1"/>
  <c r="JI1" i="10"/>
  <c r="KB1" i="14" l="1"/>
  <c r="KB1" i="10"/>
  <c r="KU1" i="14" l="1"/>
  <c r="KU1" i="10"/>
  <c r="LN1" i="14" l="1"/>
  <c r="LN1" i="10"/>
  <c r="MG1" i="14" l="1"/>
  <c r="MG1" i="10"/>
  <c r="MZ1" i="14" l="1"/>
  <c r="MZ1" i="10"/>
  <c r="NS1" i="14" l="1"/>
  <c r="NS1" i="10"/>
  <c r="OL1" i="14" l="1"/>
  <c r="OL1" i="10"/>
  <c r="PE1" i="14" l="1"/>
  <c r="PE1" i="10"/>
  <c r="PX1" i="14" l="1"/>
  <c r="PX1" i="10"/>
  <c r="QQ1" i="14" l="1"/>
  <c r="QQ1" i="10"/>
  <c r="RJ1" i="14" l="1"/>
  <c r="RJ1" i="10"/>
  <c r="SC1" i="14" l="1"/>
  <c r="SC1" i="10"/>
  <c r="ST1" i="14" l="1"/>
  <c r="SV1" i="10"/>
  <c r="TK1" i="14" l="1"/>
  <c r="TM1" i="10"/>
  <c r="UB1" i="14" l="1"/>
  <c r="UD1" i="10"/>
  <c r="P6" i="13"/>
  <c r="V7" i="9"/>
  <c r="E10" i="13"/>
  <c r="N28" i="9"/>
  <c r="X20" i="13"/>
  <c r="Q16" i="13"/>
  <c r="B27" i="9"/>
  <c r="G8" i="9"/>
  <c r="P14" i="13"/>
  <c r="J22" i="13"/>
  <c r="G26" i="13"/>
  <c r="Y21" i="13"/>
  <c r="Z14" i="9"/>
  <c r="T10" i="9"/>
  <c r="K23" i="9"/>
  <c r="T21" i="9"/>
  <c r="S22" i="13"/>
  <c r="B6" i="9"/>
  <c r="Q23" i="13"/>
  <c r="K29" i="9"/>
  <c r="C11" i="13"/>
  <c r="P30" i="9"/>
  <c r="J12" i="13"/>
  <c r="V15" i="9"/>
  <c r="P8" i="13"/>
  <c r="J6" i="9"/>
  <c r="E11" i="13"/>
  <c r="R20" i="9"/>
  <c r="Q11" i="9"/>
  <c r="Q18" i="9"/>
  <c r="R9" i="13"/>
  <c r="AA28" i="13"/>
  <c r="P9" i="13"/>
  <c r="K10" i="13"/>
  <c r="W11" i="13"/>
  <c r="U22" i="13"/>
  <c r="AA29" i="13"/>
  <c r="D8" i="13"/>
  <c r="W8" i="13"/>
  <c r="E5" i="13"/>
  <c r="L8" i="13"/>
  <c r="U5" i="13"/>
  <c r="C9" i="13"/>
  <c r="M18" i="13"/>
  <c r="H8" i="13"/>
  <c r="I13" i="13"/>
  <c r="Q18" i="13"/>
  <c r="T23" i="13"/>
  <c r="AA24" i="13"/>
  <c r="F17" i="13"/>
  <c r="V5" i="13"/>
  <c r="E16" i="13"/>
  <c r="B16" i="9"/>
  <c r="F20" i="9"/>
  <c r="AA28" i="9"/>
  <c r="X6" i="9"/>
  <c r="Q29" i="9"/>
  <c r="H5" i="9"/>
  <c r="C27" i="13"/>
  <c r="I17" i="9"/>
  <c r="X20" i="9"/>
  <c r="H10" i="13"/>
  <c r="M17" i="9"/>
  <c r="N26" i="9"/>
  <c r="Y9" i="9"/>
  <c r="M26" i="13"/>
  <c r="N24" i="9"/>
  <c r="F23" i="9"/>
  <c r="T22" i="13"/>
  <c r="W23" i="9"/>
  <c r="Z23" i="13"/>
  <c r="X26" i="9"/>
  <c r="C4" i="9"/>
  <c r="O27" i="13"/>
  <c r="B19" i="9"/>
  <c r="P21" i="13"/>
  <c r="B10" i="9"/>
  <c r="E23" i="13"/>
  <c r="B25" i="13"/>
  <c r="X11" i="9"/>
  <c r="G5" i="13"/>
  <c r="E5" i="9"/>
  <c r="D12" i="9"/>
  <c r="W6" i="13"/>
  <c r="N30" i="9"/>
  <c r="L9" i="13"/>
  <c r="J26" i="13"/>
  <c r="K15" i="13"/>
  <c r="X13" i="13"/>
  <c r="V29" i="9"/>
  <c r="R29" i="13"/>
  <c r="W24" i="9"/>
  <c r="M19" i="9"/>
  <c r="P7" i="9"/>
  <c r="D20" i="9"/>
  <c r="J6" i="13"/>
  <c r="D19" i="9"/>
  <c r="H5" i="13"/>
  <c r="J29" i="13"/>
  <c r="R19" i="13"/>
  <c r="W5" i="9"/>
  <c r="R19" i="9"/>
  <c r="M24" i="13"/>
  <c r="P23" i="13"/>
  <c r="X26" i="13"/>
  <c r="L28" i="13"/>
  <c r="L13" i="9"/>
  <c r="K6" i="13"/>
  <c r="Q4" i="13"/>
  <c r="K19" i="9"/>
  <c r="F6" i="13"/>
  <c r="Y16" i="13"/>
  <c r="G12" i="13"/>
  <c r="R23" i="9"/>
  <c r="B12" i="13"/>
  <c r="AA22" i="9"/>
  <c r="AA26" i="13"/>
  <c r="H22" i="13"/>
  <c r="I6" i="13"/>
  <c r="V28" i="13"/>
  <c r="S12" i="13"/>
  <c r="U4" i="9"/>
  <c r="E28" i="9"/>
  <c r="AA7" i="9"/>
  <c r="C6" i="13"/>
  <c r="I26" i="9"/>
  <c r="W13" i="9"/>
  <c r="P24" i="9"/>
  <c r="K8" i="13"/>
  <c r="D5" i="13"/>
  <c r="S15" i="13"/>
  <c r="P21" i="9"/>
  <c r="FR2" i="14"/>
  <c r="X10" i="9"/>
  <c r="U21" i="13"/>
  <c r="J14" i="13"/>
  <c r="V16" i="13"/>
  <c r="S16" i="13"/>
  <c r="J21" i="9"/>
  <c r="X12" i="13"/>
  <c r="P4" i="13"/>
  <c r="T16" i="13"/>
  <c r="Z19" i="9"/>
  <c r="X28" i="13"/>
  <c r="W10" i="13"/>
  <c r="Q29" i="13"/>
  <c r="K20" i="13"/>
  <c r="L12" i="13"/>
  <c r="Y9" i="13"/>
  <c r="M23" i="13"/>
  <c r="S15" i="9"/>
  <c r="B11" i="13"/>
  <c r="AA23" i="9"/>
  <c r="T4" i="13"/>
  <c r="EF2" i="10"/>
  <c r="M10" i="13"/>
  <c r="P9" i="9"/>
  <c r="R21" i="13"/>
  <c r="Z20" i="13"/>
  <c r="B17" i="13"/>
  <c r="AA14" i="9"/>
  <c r="U25" i="13"/>
  <c r="K4" i="9"/>
  <c r="K17" i="9"/>
  <c r="Z21" i="13"/>
  <c r="Q28" i="13"/>
  <c r="J27" i="13"/>
  <c r="AA6" i="13"/>
  <c r="Z28" i="9"/>
  <c r="N21" i="13"/>
  <c r="U23" i="13"/>
  <c r="M30" i="9"/>
  <c r="G7" i="13"/>
  <c r="L5" i="13"/>
  <c r="G11" i="13"/>
  <c r="Z27" i="13"/>
  <c r="B8" i="13"/>
  <c r="B12" i="9"/>
  <c r="F15" i="13"/>
  <c r="O28" i="9"/>
  <c r="Y29" i="9"/>
  <c r="E4" i="13"/>
  <c r="AA29" i="9"/>
  <c r="K15" i="9"/>
  <c r="E14" i="13"/>
  <c r="HD2" i="14"/>
  <c r="Y4" i="9"/>
  <c r="B9" i="9"/>
  <c r="EF2" i="14"/>
  <c r="N15" i="9"/>
  <c r="N23" i="9"/>
  <c r="R14" i="13"/>
  <c r="C25" i="9"/>
  <c r="G28" i="9"/>
  <c r="K17" i="13"/>
  <c r="I20" i="13"/>
  <c r="G21" i="13"/>
  <c r="U8" i="9"/>
  <c r="W17" i="13"/>
  <c r="M22" i="13"/>
  <c r="J23" i="13"/>
  <c r="Q20" i="13"/>
  <c r="F22" i="9"/>
  <c r="O5" i="13"/>
  <c r="B24" i="9"/>
  <c r="H15" i="9"/>
  <c r="W9" i="13"/>
  <c r="V18" i="13"/>
  <c r="E12" i="13"/>
  <c r="L27" i="9"/>
  <c r="T26" i="13"/>
  <c r="T8" i="13"/>
  <c r="M6" i="9"/>
  <c r="I15" i="13"/>
  <c r="X4" i="13"/>
  <c r="AA7" i="13"/>
  <c r="E4" i="9"/>
  <c r="W12" i="13"/>
  <c r="M13" i="9"/>
  <c r="H22" i="9"/>
  <c r="M9" i="13"/>
  <c r="CA2" i="10"/>
  <c r="O22" i="9"/>
  <c r="V8" i="13"/>
  <c r="G19" i="13"/>
  <c r="T6" i="13"/>
  <c r="V24" i="9"/>
  <c r="I22" i="9"/>
  <c r="E21" i="13"/>
  <c r="U12" i="13"/>
  <c r="I24" i="13"/>
  <c r="X18" i="9"/>
  <c r="Z30" i="9"/>
  <c r="D21" i="9"/>
  <c r="Q9" i="13"/>
  <c r="S16" i="9"/>
  <c r="W11" i="9"/>
  <c r="C4" i="13"/>
  <c r="AA23" i="13"/>
  <c r="C15" i="9"/>
  <c r="Z18" i="9"/>
  <c r="S19" i="9"/>
  <c r="I30" i="9"/>
  <c r="AA5" i="9"/>
  <c r="Z19" i="13"/>
  <c r="W25" i="13"/>
  <c r="D14" i="9"/>
  <c r="E23" i="9"/>
  <c r="V12" i="13"/>
  <c r="J4" i="13"/>
  <c r="L16" i="13"/>
  <c r="R5" i="13"/>
  <c r="E17" i="13"/>
  <c r="G16" i="13"/>
  <c r="S24" i="13"/>
  <c r="AA25" i="13"/>
  <c r="H14" i="13"/>
  <c r="X16" i="13"/>
  <c r="I23" i="13"/>
  <c r="R10" i="9"/>
  <c r="B13" i="13"/>
  <c r="D5" i="9"/>
  <c r="S18" i="13"/>
  <c r="K14" i="13"/>
  <c r="D26" i="13"/>
  <c r="W7" i="9"/>
  <c r="X27" i="13"/>
  <c r="B10" i="13"/>
  <c r="Y18" i="13"/>
  <c r="L14" i="13"/>
  <c r="G15" i="13"/>
  <c r="S28" i="9"/>
  <c r="R27" i="13"/>
  <c r="U13" i="13"/>
  <c r="E29" i="13"/>
  <c r="E28" i="13"/>
  <c r="T18" i="13"/>
  <c r="L11" i="13"/>
  <c r="X22" i="13"/>
  <c r="M14" i="9"/>
  <c r="O8" i="13"/>
  <c r="I9" i="9"/>
  <c r="N6" i="13"/>
  <c r="D11" i="9"/>
  <c r="M11" i="13"/>
  <c r="M17" i="13"/>
  <c r="E7" i="13"/>
  <c r="C10" i="13"/>
  <c r="Q11" i="13"/>
  <c r="D17" i="13"/>
  <c r="E26" i="13"/>
  <c r="Z5" i="13"/>
  <c r="M29" i="13"/>
  <c r="N4" i="13"/>
  <c r="P19" i="13"/>
  <c r="W29" i="13"/>
  <c r="W24" i="13"/>
  <c r="Z15" i="13"/>
  <c r="O16" i="13"/>
  <c r="F9" i="13"/>
  <c r="X29" i="13"/>
  <c r="G8" i="13"/>
  <c r="U7" i="9"/>
  <c r="X25" i="13"/>
  <c r="C11" i="9"/>
  <c r="D21" i="13"/>
  <c r="Q19" i="9"/>
  <c r="F4" i="13"/>
  <c r="Z15" i="9"/>
  <c r="Q19" i="13"/>
  <c r="P27" i="9"/>
  <c r="CT2" i="10"/>
  <c r="X21" i="9"/>
  <c r="Y10" i="13"/>
  <c r="U15" i="9"/>
  <c r="T27" i="13"/>
  <c r="D12" i="13"/>
  <c r="J7" i="13"/>
  <c r="U7" i="13"/>
  <c r="Y15" i="13"/>
  <c r="F24" i="13"/>
  <c r="H20" i="13"/>
  <c r="AA21" i="13"/>
  <c r="M24" i="9"/>
  <c r="U26" i="13"/>
  <c r="E8" i="9"/>
  <c r="C18" i="13"/>
  <c r="T14" i="13"/>
  <c r="V4" i="13"/>
  <c r="V25" i="13"/>
  <c r="Y12" i="13"/>
  <c r="J16" i="9"/>
  <c r="L4" i="13"/>
  <c r="J13" i="13"/>
  <c r="N5" i="13"/>
  <c r="U26" i="9"/>
  <c r="AA8" i="13"/>
  <c r="H15" i="13"/>
  <c r="X11" i="13"/>
  <c r="U27" i="13"/>
  <c r="T28" i="13"/>
  <c r="Y28" i="9"/>
  <c r="E27" i="13"/>
  <c r="G14" i="13"/>
  <c r="S14" i="13"/>
  <c r="V23" i="13"/>
  <c r="AA22" i="13"/>
  <c r="F8" i="13"/>
  <c r="Z8" i="13"/>
  <c r="Y27" i="9"/>
  <c r="Q22" i="13"/>
  <c r="R11" i="13"/>
  <c r="G18" i="13"/>
  <c r="R30" i="9"/>
  <c r="K7" i="13"/>
  <c r="B9" i="13"/>
  <c r="J26" i="9"/>
  <c r="L13" i="13"/>
  <c r="L19" i="13"/>
  <c r="Q10" i="13"/>
  <c r="H27" i="9"/>
  <c r="Q13" i="9"/>
  <c r="K24" i="13"/>
  <c r="M10" i="9"/>
  <c r="S18" i="9"/>
  <c r="E15" i="9"/>
  <c r="S7" i="9"/>
  <c r="AA18" i="9"/>
  <c r="Q27" i="13"/>
  <c r="B21" i="13"/>
  <c r="N11" i="9"/>
  <c r="T24" i="13"/>
  <c r="J17" i="9"/>
  <c r="C23" i="13"/>
  <c r="G27" i="13"/>
  <c r="V6" i="13"/>
  <c r="W10" i="9"/>
  <c r="K19" i="13"/>
  <c r="F21" i="13"/>
  <c r="X15" i="9"/>
  <c r="R25" i="13"/>
  <c r="X15" i="13"/>
  <c r="F7" i="13"/>
  <c r="Y6" i="13"/>
  <c r="O22" i="13"/>
  <c r="P26" i="9"/>
  <c r="O29" i="13"/>
  <c r="K8" i="9"/>
  <c r="B7" i="13"/>
  <c r="W4" i="13"/>
  <c r="Q12" i="13"/>
  <c r="S4" i="13"/>
  <c r="N9" i="13"/>
  <c r="P26" i="13"/>
  <c r="R26" i="13"/>
  <c r="H29" i="9"/>
  <c r="M19" i="13"/>
  <c r="P25" i="13"/>
  <c r="D20" i="13"/>
  <c r="C22" i="13"/>
  <c r="P12" i="13"/>
  <c r="S26" i="9"/>
  <c r="S8" i="13"/>
  <c r="U16" i="13"/>
  <c r="V24" i="13"/>
  <c r="Y17" i="9"/>
  <c r="G10" i="13"/>
  <c r="AA14" i="13"/>
  <c r="I21" i="13"/>
  <c r="W13" i="13"/>
  <c r="O4" i="13"/>
  <c r="M25" i="13"/>
  <c r="S23" i="13"/>
  <c r="J10" i="13"/>
  <c r="G9" i="13"/>
  <c r="U11" i="13"/>
  <c r="X24" i="13"/>
  <c r="S10" i="13"/>
  <c r="S13" i="9"/>
  <c r="K6" i="9"/>
  <c r="F11" i="13"/>
  <c r="H9" i="9"/>
  <c r="X29" i="9"/>
  <c r="AA5" i="13"/>
  <c r="E18" i="13"/>
  <c r="E18" i="9"/>
  <c r="CA2" i="14"/>
  <c r="Z29" i="13"/>
  <c r="H11" i="9"/>
  <c r="S11" i="9"/>
  <c r="G21" i="9"/>
  <c r="R5" i="9"/>
  <c r="H29" i="13"/>
  <c r="S28" i="13"/>
  <c r="Q16" i="9"/>
  <c r="S17" i="13"/>
  <c r="S11" i="13"/>
  <c r="I14" i="13"/>
  <c r="W7" i="13"/>
  <c r="J18" i="13"/>
  <c r="J18" i="9"/>
  <c r="P22" i="9"/>
  <c r="N15" i="13"/>
  <c r="Y25" i="13"/>
  <c r="M13" i="13"/>
  <c r="O26" i="13"/>
  <c r="V29" i="13"/>
  <c r="C21" i="13"/>
  <c r="N26" i="13"/>
  <c r="M12" i="13"/>
  <c r="Z6" i="13"/>
  <c r="W22" i="9"/>
  <c r="H18" i="13"/>
  <c r="V4" i="9"/>
  <c r="D22" i="13"/>
  <c r="I12" i="13"/>
  <c r="B19" i="13"/>
  <c r="W4" i="9"/>
  <c r="O6" i="13"/>
  <c r="Y20" i="13"/>
  <c r="U24" i="13"/>
  <c r="M27" i="9"/>
  <c r="H28" i="13"/>
  <c r="Z20" i="9"/>
  <c r="Y19" i="13"/>
  <c r="O16" i="9"/>
  <c r="I16" i="13"/>
  <c r="G25" i="9"/>
  <c r="H24" i="13"/>
  <c r="F28" i="13"/>
  <c r="R16" i="13"/>
  <c r="Z6" i="9"/>
  <c r="N17" i="13"/>
  <c r="B20" i="13"/>
  <c r="V27" i="13"/>
  <c r="E12" i="9"/>
  <c r="V7" i="13"/>
  <c r="O15" i="9"/>
  <c r="W20" i="13"/>
  <c r="G28" i="13"/>
  <c r="U15" i="13"/>
  <c r="F26" i="13"/>
  <c r="R12" i="13"/>
  <c r="W14" i="13"/>
  <c r="D19" i="13"/>
  <c r="J9" i="13"/>
  <c r="D6" i="13"/>
  <c r="L6" i="13"/>
  <c r="G24" i="13"/>
  <c r="S20" i="13"/>
  <c r="N13" i="13"/>
  <c r="H12" i="13"/>
  <c r="K16" i="9"/>
  <c r="Q21" i="13"/>
  <c r="M27" i="13"/>
  <c r="L4" i="9"/>
  <c r="T7" i="9"/>
  <c r="C8" i="13"/>
  <c r="G17" i="9"/>
  <c r="N5" i="9"/>
  <c r="P12" i="9"/>
  <c r="U21" i="9"/>
  <c r="D17" i="9"/>
  <c r="EY2" i="14"/>
  <c r="N12" i="13"/>
  <c r="H12" i="9"/>
  <c r="P17" i="9"/>
  <c r="V10" i="13"/>
  <c r="J10" i="9"/>
  <c r="H16" i="13"/>
  <c r="Q12" i="9"/>
  <c r="S10" i="9"/>
  <c r="R15" i="9"/>
  <c r="Q22" i="9"/>
  <c r="F23" i="13"/>
  <c r="X17" i="9"/>
  <c r="I28" i="9"/>
  <c r="I22" i="13"/>
  <c r="V19" i="13"/>
  <c r="N14" i="9"/>
  <c r="Q25" i="9"/>
  <c r="I6" i="9"/>
  <c r="J5" i="13"/>
  <c r="P15" i="9"/>
  <c r="G24" i="9"/>
  <c r="M29" i="9"/>
  <c r="Z9" i="9"/>
  <c r="F16" i="13"/>
  <c r="P29" i="9"/>
  <c r="X8" i="9"/>
  <c r="O9" i="9"/>
  <c r="R28" i="13"/>
  <c r="AA15" i="9"/>
  <c r="O26" i="9"/>
  <c r="B22" i="9"/>
  <c r="R18" i="9"/>
  <c r="T17" i="9"/>
  <c r="F8" i="9"/>
  <c r="L25" i="9"/>
  <c r="F19" i="13"/>
  <c r="S9" i="9"/>
  <c r="D18" i="9"/>
  <c r="E13" i="9"/>
  <c r="K4" i="13"/>
  <c r="Z22" i="9"/>
  <c r="AA26" i="9"/>
  <c r="S5" i="13"/>
  <c r="T24" i="9"/>
  <c r="L15" i="13"/>
  <c r="KB2" i="14"/>
  <c r="T5" i="13"/>
  <c r="S26" i="13"/>
  <c r="N19" i="9"/>
  <c r="R26" i="9"/>
  <c r="O5" i="9"/>
  <c r="B11" i="9"/>
  <c r="MZ2" i="10"/>
  <c r="U14" i="13"/>
  <c r="H16" i="9"/>
  <c r="F10" i="13"/>
  <c r="T5" i="9"/>
  <c r="T16" i="9"/>
  <c r="H13" i="13"/>
  <c r="P29" i="13"/>
  <c r="E24" i="9"/>
  <c r="H19" i="13"/>
  <c r="HW2" i="14"/>
  <c r="R22" i="13"/>
  <c r="O10" i="9"/>
  <c r="O19" i="9"/>
  <c r="U22" i="9"/>
  <c r="AA27" i="13"/>
  <c r="O28" i="13"/>
  <c r="C26" i="13"/>
  <c r="U8" i="13"/>
  <c r="F5" i="13"/>
  <c r="Q15" i="13"/>
  <c r="F13" i="13"/>
  <c r="T12" i="13"/>
  <c r="L29" i="13"/>
  <c r="O20" i="13"/>
  <c r="D18" i="13"/>
  <c r="K12" i="13"/>
  <c r="J24" i="13"/>
  <c r="C14" i="13"/>
  <c r="D28" i="13"/>
  <c r="Y5" i="13"/>
  <c r="Z26" i="13"/>
  <c r="BH2" i="14"/>
  <c r="F16" i="9"/>
  <c r="Z16" i="13"/>
  <c r="U23" i="9"/>
  <c r="B29" i="13"/>
  <c r="L19" i="9"/>
  <c r="C13" i="9"/>
  <c r="I7" i="13"/>
  <c r="V17" i="13"/>
  <c r="S9" i="13"/>
  <c r="Y18" i="9"/>
  <c r="Q21" i="9"/>
  <c r="K21" i="13"/>
  <c r="W30" i="9"/>
  <c r="OL2" i="14"/>
  <c r="L15" i="9"/>
  <c r="E22" i="9"/>
  <c r="R4" i="13"/>
  <c r="V27" i="9"/>
  <c r="N22" i="13"/>
  <c r="C17" i="9"/>
  <c r="FR2" i="10"/>
  <c r="F4" i="9"/>
  <c r="N22" i="9"/>
  <c r="KB2" i="10"/>
  <c r="F29" i="9"/>
  <c r="L11" i="9"/>
  <c r="K10" i="9"/>
  <c r="O21" i="9"/>
  <c r="T15" i="9"/>
  <c r="T29" i="13"/>
  <c r="T25" i="13"/>
  <c r="B6" i="13"/>
  <c r="H26" i="13"/>
  <c r="H7" i="9"/>
  <c r="W29" i="9"/>
  <c r="Q8" i="13"/>
  <c r="R8" i="9"/>
  <c r="M22" i="9"/>
  <c r="W27" i="9"/>
  <c r="O11" i="13"/>
  <c r="O29" i="9"/>
  <c r="G6" i="13"/>
  <c r="B26" i="9"/>
  <c r="E11" i="9"/>
  <c r="C13" i="13"/>
  <c r="H17" i="9"/>
  <c r="M21" i="13"/>
  <c r="T10" i="13"/>
  <c r="U17" i="13"/>
  <c r="O24" i="13"/>
  <c r="F20" i="13"/>
  <c r="O19" i="13"/>
  <c r="H6" i="13"/>
  <c r="Z9" i="13"/>
  <c r="K26" i="13"/>
  <c r="L10" i="13"/>
  <c r="AO2" i="14"/>
  <c r="V13" i="13"/>
  <c r="X19" i="13"/>
  <c r="F22" i="13"/>
  <c r="G26" i="9"/>
  <c r="Y4" i="13"/>
  <c r="E13" i="13"/>
  <c r="B14" i="13"/>
  <c r="F26" i="9"/>
  <c r="K27" i="9"/>
  <c r="T9" i="9"/>
  <c r="V22" i="9"/>
  <c r="R23" i="13"/>
  <c r="V30" i="9"/>
  <c r="M5" i="9"/>
  <c r="Z4" i="9"/>
  <c r="I11" i="13"/>
  <c r="U20" i="13"/>
  <c r="L5" i="9"/>
  <c r="GK2" i="10"/>
  <c r="N16" i="13"/>
  <c r="N13" i="9"/>
  <c r="K11" i="13"/>
  <c r="V8" i="9"/>
  <c r="Z27" i="9"/>
  <c r="P5" i="13"/>
  <c r="D29" i="9"/>
  <c r="U16" i="9"/>
  <c r="AA6" i="9"/>
  <c r="Z18" i="13"/>
  <c r="N18" i="13"/>
  <c r="N8" i="9"/>
  <c r="Q13" i="13"/>
  <c r="V25" i="9"/>
  <c r="AA17" i="9"/>
  <c r="R28" i="9"/>
  <c r="S19" i="13"/>
  <c r="T9" i="13"/>
  <c r="D22" i="9"/>
  <c r="Q26" i="9"/>
  <c r="Q30" i="9"/>
  <c r="R27" i="9"/>
  <c r="Z25" i="9"/>
  <c r="C28" i="13"/>
  <c r="P4" i="9"/>
  <c r="H25" i="13"/>
  <c r="Z11" i="9"/>
  <c r="X16" i="9"/>
  <c r="L8" i="9"/>
  <c r="PX2" i="14"/>
  <c r="W18" i="13"/>
  <c r="N4" i="9"/>
  <c r="L22" i="13"/>
  <c r="R25" i="9"/>
  <c r="L21" i="9"/>
  <c r="R14" i="9"/>
  <c r="S5" i="9"/>
  <c r="DM2" i="10"/>
  <c r="I26" i="13"/>
  <c r="P15" i="13"/>
  <c r="F29" i="13"/>
  <c r="E24" i="13"/>
  <c r="K22" i="13"/>
  <c r="K12" i="9"/>
  <c r="Y28" i="13"/>
  <c r="O13" i="13"/>
  <c r="J13" i="9"/>
  <c r="U9" i="13"/>
  <c r="I8" i="9"/>
  <c r="T25" i="9"/>
  <c r="D23" i="13"/>
  <c r="HD2" i="10"/>
  <c r="C10" i="9"/>
  <c r="T20" i="9"/>
  <c r="AA12" i="13"/>
  <c r="U19" i="9"/>
  <c r="H21" i="9"/>
  <c r="J15" i="13"/>
  <c r="B13" i="9"/>
  <c r="J11" i="13"/>
  <c r="K30" i="9"/>
  <c r="B20" i="9"/>
  <c r="G6" i="9"/>
  <c r="G14" i="9"/>
  <c r="M9" i="9"/>
  <c r="G23" i="9"/>
  <c r="R6" i="9"/>
  <c r="D10" i="13"/>
  <c r="D11" i="13"/>
  <c r="B17" i="9"/>
  <c r="H4" i="9"/>
  <c r="T19" i="9"/>
  <c r="T8" i="9"/>
  <c r="H23" i="9"/>
  <c r="B26" i="13"/>
  <c r="M8" i="9"/>
  <c r="C2" i="10"/>
  <c r="V28" i="9"/>
  <c r="C26" i="9"/>
  <c r="J17" i="13"/>
  <c r="J27" i="9"/>
  <c r="H17" i="13"/>
  <c r="W14" i="9"/>
  <c r="Z7" i="9"/>
  <c r="BH2" i="10"/>
  <c r="V20" i="13"/>
  <c r="W6" i="9"/>
  <c r="R29" i="9"/>
  <c r="P8" i="9"/>
  <c r="C19" i="13"/>
  <c r="P11" i="9"/>
  <c r="P23" i="9"/>
  <c r="I29" i="9"/>
  <c r="PE2" i="14"/>
  <c r="V11" i="13"/>
  <c r="K28" i="13"/>
  <c r="P6" i="9"/>
  <c r="L7" i="13"/>
  <c r="J25" i="13"/>
  <c r="I18" i="13"/>
  <c r="B22" i="13"/>
  <c r="N19" i="13"/>
  <c r="G17" i="13"/>
  <c r="S25" i="13"/>
  <c r="B15" i="13"/>
  <c r="D14" i="13"/>
  <c r="Q7" i="13"/>
  <c r="X8" i="13"/>
  <c r="R24" i="13"/>
  <c r="V2" i="14"/>
  <c r="G22" i="13"/>
  <c r="F25" i="13"/>
  <c r="L23" i="13"/>
  <c r="Y6" i="9"/>
  <c r="L9" i="9"/>
  <c r="G10" i="9"/>
  <c r="T30" i="9"/>
  <c r="AA10" i="13"/>
  <c r="C5" i="13"/>
  <c r="M11" i="9"/>
  <c r="C27" i="9"/>
  <c r="X7" i="13"/>
  <c r="S6" i="13"/>
  <c r="X23" i="13"/>
  <c r="Z4" i="13"/>
  <c r="P24" i="13"/>
  <c r="L28" i="9"/>
  <c r="KU2" i="10"/>
  <c r="I25" i="13"/>
  <c r="N11" i="13"/>
  <c r="I27" i="13"/>
  <c r="W21" i="9"/>
  <c r="X12" i="9"/>
  <c r="Z22" i="13"/>
  <c r="L16" i="9"/>
  <c r="C19" i="9"/>
  <c r="I15" i="9"/>
  <c r="J20" i="13"/>
  <c r="C8" i="9"/>
  <c r="DM2" i="14"/>
  <c r="E9" i="13"/>
  <c r="S24" i="9"/>
  <c r="X18" i="13"/>
  <c r="L20" i="9"/>
  <c r="G5" i="9"/>
  <c r="X30" i="9"/>
  <c r="J15" i="9"/>
  <c r="V15" i="13"/>
  <c r="C28" i="9"/>
  <c r="V17" i="9"/>
  <c r="MZ2" i="14"/>
  <c r="S21" i="13"/>
  <c r="Z8" i="9"/>
  <c r="F17" i="9"/>
  <c r="AA18" i="13"/>
  <c r="I4" i="13"/>
  <c r="F5" i="9"/>
  <c r="U12" i="9"/>
  <c r="D8" i="9"/>
  <c r="O11" i="9"/>
  <c r="Y5" i="9"/>
  <c r="P22" i="13"/>
  <c r="U19" i="13"/>
  <c r="E15" i="13"/>
  <c r="J19" i="13"/>
  <c r="O15" i="13"/>
  <c r="AA13" i="13"/>
  <c r="H9" i="13"/>
  <c r="T20" i="13"/>
  <c r="F7" i="9"/>
  <c r="X6" i="13"/>
  <c r="T7" i="13"/>
  <c r="K7" i="9"/>
  <c r="K29" i="13"/>
  <c r="P27" i="13"/>
  <c r="B29" i="9"/>
  <c r="V2" i="10"/>
  <c r="Q14" i="9"/>
  <c r="O24" i="9"/>
  <c r="KU2" i="14"/>
  <c r="E25" i="9"/>
  <c r="F24" i="9"/>
  <c r="L29" i="9"/>
  <c r="W21" i="13"/>
  <c r="E14" i="9"/>
  <c r="R9" i="9"/>
  <c r="X10" i="13"/>
  <c r="J20" i="9"/>
  <c r="N14" i="13"/>
  <c r="Y17" i="13"/>
  <c r="J7" i="9"/>
  <c r="L21" i="13"/>
  <c r="H20" i="9"/>
  <c r="B30" i="9"/>
  <c r="Y12" i="9"/>
  <c r="D9" i="9"/>
  <c r="T13" i="9"/>
  <c r="Y26" i="13"/>
  <c r="H4" i="13"/>
  <c r="D24" i="9"/>
  <c r="Y8" i="13"/>
  <c r="K14" i="9"/>
  <c r="N18" i="9"/>
  <c r="J28" i="13"/>
  <c r="L7" i="9"/>
  <c r="S20" i="9"/>
  <c r="G27" i="9"/>
  <c r="C9" i="9"/>
  <c r="T4" i="9"/>
  <c r="T21" i="13"/>
  <c r="U28" i="9"/>
  <c r="G13" i="13"/>
  <c r="G19" i="9"/>
  <c r="D9" i="13"/>
  <c r="H8" i="9"/>
  <c r="R11" i="9"/>
  <c r="L17" i="13"/>
  <c r="W16" i="13"/>
  <c r="C14" i="9"/>
  <c r="N25" i="9"/>
  <c r="J8" i="13"/>
  <c r="D25" i="13"/>
  <c r="C2" i="14"/>
  <c r="F12" i="13"/>
  <c r="E7" i="9"/>
  <c r="X23" i="9"/>
  <c r="B24" i="13"/>
  <c r="R17" i="13"/>
  <c r="Z28" i="13"/>
  <c r="L24" i="9"/>
  <c r="D26" i="9"/>
  <c r="N24" i="13"/>
  <c r="Y23" i="13"/>
  <c r="Y21" i="9"/>
  <c r="C12" i="9"/>
  <c r="AA11" i="9"/>
  <c r="Q20" i="9"/>
  <c r="V21" i="9"/>
  <c r="O12" i="13"/>
  <c r="H6" i="9"/>
  <c r="L18" i="13"/>
  <c r="P10" i="13"/>
  <c r="Z17" i="13"/>
  <c r="AA15" i="13"/>
  <c r="F11" i="9"/>
  <c r="I18" i="9"/>
  <c r="W9" i="9"/>
  <c r="AA4" i="9"/>
  <c r="D10" i="9"/>
  <c r="W15" i="9"/>
  <c r="T28" i="9"/>
  <c r="AA19" i="13"/>
  <c r="V23" i="9"/>
  <c r="K27" i="13"/>
  <c r="F6" i="9"/>
  <c r="T11" i="9"/>
  <c r="T12" i="9"/>
  <c r="U29" i="9"/>
  <c r="Q9" i="9"/>
  <c r="I11" i="9"/>
  <c r="C24" i="9"/>
  <c r="C29" i="13"/>
  <c r="AA8" i="9"/>
  <c r="U28" i="13"/>
  <c r="U6" i="13"/>
  <c r="O17" i="13"/>
  <c r="C17" i="13"/>
  <c r="I10" i="9"/>
  <c r="D23" i="9"/>
  <c r="W26" i="9"/>
  <c r="JI2" i="10"/>
  <c r="Z21" i="9"/>
  <c r="X9" i="13"/>
  <c r="K25" i="13"/>
  <c r="B5" i="9"/>
  <c r="Z24" i="9"/>
  <c r="U29" i="13"/>
  <c r="O25" i="13"/>
  <c r="C5" i="9"/>
  <c r="H11" i="13"/>
  <c r="O9" i="13"/>
  <c r="R22" i="9"/>
  <c r="Y14" i="9"/>
  <c r="N7" i="9"/>
  <c r="X5" i="13"/>
  <c r="L12" i="9"/>
  <c r="U10" i="13"/>
  <c r="R6" i="13"/>
  <c r="M20" i="13"/>
  <c r="C16" i="13"/>
  <c r="F14" i="13"/>
  <c r="E25" i="13"/>
  <c r="J8" i="9"/>
  <c r="S29" i="13"/>
  <c r="O21" i="13"/>
  <c r="M16" i="13"/>
  <c r="C6" i="9"/>
  <c r="R13" i="13"/>
  <c r="AA20" i="13"/>
  <c r="N21" i="9"/>
  <c r="G20" i="9"/>
  <c r="B7" i="9"/>
  <c r="J30" i="9"/>
  <c r="W22" i="13"/>
  <c r="F27" i="9"/>
  <c r="GK2" i="14"/>
  <c r="I23" i="9"/>
  <c r="Q15" i="9"/>
  <c r="U17" i="9"/>
  <c r="M15" i="13"/>
  <c r="D13" i="9"/>
  <c r="I13" i="9"/>
  <c r="D29" i="13"/>
  <c r="X7" i="9"/>
  <c r="Q7" i="9"/>
  <c r="P13" i="13"/>
  <c r="P25" i="9"/>
  <c r="M14" i="13"/>
  <c r="Q5" i="9"/>
  <c r="K18" i="13"/>
  <c r="MG2" i="10"/>
  <c r="AA27" i="9"/>
  <c r="P14" i="9"/>
  <c r="V21" i="13"/>
  <c r="S4" i="9"/>
  <c r="J11" i="9"/>
  <c r="Q23" i="9"/>
  <c r="N6" i="9"/>
  <c r="K9" i="13"/>
  <c r="U6" i="9"/>
  <c r="V20" i="9"/>
  <c r="X28" i="9"/>
  <c r="J29" i="9"/>
  <c r="N16" i="9"/>
  <c r="M23" i="9"/>
  <c r="C18" i="9"/>
  <c r="K20" i="9"/>
  <c r="Y19" i="9"/>
  <c r="T14" i="9"/>
  <c r="C25" i="13"/>
  <c r="S25" i="9"/>
  <c r="S7" i="13"/>
  <c r="L22" i="9"/>
  <c r="AA30" i="9"/>
  <c r="Q26" i="13"/>
  <c r="G23" i="13"/>
  <c r="AA19" i="9"/>
  <c r="P28" i="9"/>
  <c r="P16" i="9"/>
  <c r="Q6" i="13"/>
  <c r="J5" i="9"/>
  <c r="G15" i="9"/>
  <c r="C7" i="13"/>
  <c r="O25" i="9"/>
  <c r="O18" i="9"/>
  <c r="Q6" i="9"/>
  <c r="RJ2" i="10"/>
  <c r="J24" i="9"/>
  <c r="X25" i="9"/>
  <c r="Q4" i="9"/>
  <c r="N12" i="9"/>
  <c r="J25" i="9"/>
  <c r="N25" i="13"/>
  <c r="O14" i="13"/>
  <c r="V26" i="13"/>
  <c r="Q8" i="9"/>
  <c r="H19" i="9"/>
  <c r="D4" i="9"/>
  <c r="Q28" i="9"/>
  <c r="V11" i="9"/>
  <c r="V19" i="9"/>
  <c r="N27" i="9"/>
  <c r="R12" i="9"/>
  <c r="I5" i="9"/>
  <c r="L23" i="9"/>
  <c r="T26" i="9"/>
  <c r="W8" i="9"/>
  <c r="M7" i="9"/>
  <c r="H24" i="9"/>
  <c r="W12" i="9"/>
  <c r="G29" i="13"/>
  <c r="T17" i="13"/>
  <c r="Y26" i="9"/>
  <c r="AA20" i="9"/>
  <c r="Y25" i="9"/>
  <c r="B16" i="13"/>
  <c r="S14" i="9"/>
  <c r="N29" i="13"/>
  <c r="I20" i="9"/>
  <c r="S27" i="13"/>
  <c r="P5" i="9"/>
  <c r="Z17" i="9"/>
  <c r="H26" i="9"/>
  <c r="O6" i="9"/>
  <c r="O13" i="9"/>
  <c r="P19" i="9"/>
  <c r="AA10" i="9"/>
  <c r="K24" i="9"/>
  <c r="Y22" i="13"/>
  <c r="W18" i="9"/>
  <c r="E16" i="9"/>
  <c r="V14" i="9"/>
  <c r="Q17" i="13"/>
  <c r="B5" i="13"/>
  <c r="IP2" i="10"/>
  <c r="G22" i="9"/>
  <c r="S13" i="13"/>
  <c r="B23" i="13"/>
  <c r="E30" i="9"/>
  <c r="R18" i="13"/>
  <c r="B18" i="13"/>
  <c r="AA13" i="9"/>
  <c r="O17" i="9"/>
  <c r="I29" i="13"/>
  <c r="B8" i="9"/>
  <c r="J4" i="9"/>
  <c r="Y7" i="13"/>
  <c r="E17" i="9"/>
  <c r="U18" i="9"/>
  <c r="C15" i="13"/>
  <c r="B4" i="13"/>
  <c r="Z5" i="9"/>
  <c r="W16" i="9"/>
  <c r="Q24" i="13"/>
  <c r="D25" i="9"/>
  <c r="V16" i="9"/>
  <c r="Y11" i="9"/>
  <c r="V13" i="9"/>
  <c r="M28" i="13"/>
  <c r="E19" i="9"/>
  <c r="S22" i="9"/>
  <c r="R16" i="9"/>
  <c r="L30" i="9"/>
  <c r="Y8" i="9"/>
  <c r="D15" i="9"/>
  <c r="M4" i="13"/>
  <c r="K25" i="9"/>
  <c r="Z13" i="9"/>
  <c r="I12" i="9"/>
  <c r="U27" i="9"/>
  <c r="J9" i="9"/>
  <c r="H25" i="9"/>
  <c r="C12" i="13"/>
  <c r="I19" i="9"/>
  <c r="X13" i="9"/>
  <c r="N29" i="9"/>
  <c r="Z7" i="13"/>
  <c r="E6" i="13"/>
  <c r="SV2" i="10"/>
  <c r="G4" i="13"/>
  <c r="P18" i="9"/>
  <c r="P18" i="13"/>
  <c r="T19" i="13"/>
  <c r="T11" i="13"/>
  <c r="R7" i="9"/>
  <c r="N27" i="13"/>
  <c r="Y11" i="13"/>
  <c r="U4" i="13"/>
  <c r="O12" i="9"/>
  <c r="S21" i="9"/>
  <c r="D28" i="9"/>
  <c r="L10" i="9"/>
  <c r="J22" i="9"/>
  <c r="JI2" i="14"/>
  <c r="QQ2" i="10"/>
  <c r="D15" i="13"/>
  <c r="M18" i="9"/>
  <c r="T23" i="9"/>
  <c r="T15" i="13"/>
  <c r="M16" i="9"/>
  <c r="AA24" i="9"/>
  <c r="NS2" i="14"/>
  <c r="Q10" i="9"/>
  <c r="Y30" i="9"/>
  <c r="N20" i="13"/>
  <c r="L20" i="13"/>
  <c r="E22" i="13"/>
  <c r="P20" i="13"/>
  <c r="M6" i="13"/>
  <c r="D7" i="9"/>
  <c r="G16" i="9"/>
  <c r="H27" i="13"/>
  <c r="Y23" i="9"/>
  <c r="R17" i="9"/>
  <c r="V10" i="9"/>
  <c r="S29" i="9"/>
  <c r="V18" i="9"/>
  <c r="Z11" i="13"/>
  <c r="AA9" i="9"/>
  <c r="PX2" i="10"/>
  <c r="P13" i="9"/>
  <c r="E8" i="13"/>
  <c r="AO2" i="10"/>
  <c r="D13" i="13"/>
  <c r="L14" i="9"/>
  <c r="N28" i="13"/>
  <c r="AA4" i="13"/>
  <c r="K23" i="13"/>
  <c r="Z13" i="13"/>
  <c r="T29" i="9"/>
  <c r="C20" i="9"/>
  <c r="P7" i="13"/>
  <c r="C7" i="9"/>
  <c r="RJ2" i="14"/>
  <c r="O20" i="9"/>
  <c r="X14" i="13"/>
  <c r="M21" i="9"/>
  <c r="I25" i="9"/>
  <c r="L27" i="13"/>
  <c r="OL2" i="10"/>
  <c r="Z10" i="9"/>
  <c r="R24" i="9"/>
  <c r="I4" i="9"/>
  <c r="T18" i="9"/>
  <c r="P17" i="13"/>
  <c r="O10" i="13"/>
  <c r="F28" i="9"/>
  <c r="B23" i="9"/>
  <c r="B21" i="9"/>
  <c r="J16" i="13"/>
  <c r="P16" i="13"/>
  <c r="B28" i="9"/>
  <c r="M15" i="9"/>
  <c r="K5" i="13"/>
  <c r="Y27" i="13"/>
  <c r="M26" i="9"/>
  <c r="AA16" i="13"/>
  <c r="H18" i="9"/>
  <c r="H23" i="13"/>
  <c r="F15" i="9"/>
  <c r="Y22" i="9"/>
  <c r="I17" i="13"/>
  <c r="N7" i="13"/>
  <c r="E27" i="9"/>
  <c r="F27" i="13"/>
  <c r="I24" i="9"/>
  <c r="F10" i="9"/>
  <c r="X19" i="9"/>
  <c r="U10" i="9"/>
  <c r="K13" i="13"/>
  <c r="O7" i="9"/>
  <c r="V6" i="9"/>
  <c r="L18" i="9"/>
  <c r="I7" i="9"/>
  <c r="K28" i="9"/>
  <c r="W17" i="9"/>
  <c r="W5" i="13"/>
  <c r="R20" i="13"/>
  <c r="Y13" i="9"/>
  <c r="MG2" i="14"/>
  <c r="Q24" i="9"/>
  <c r="Y16" i="9"/>
  <c r="PE2" i="10"/>
  <c r="O14" i="9"/>
  <c r="U13" i="9"/>
  <c r="Y20" i="9"/>
  <c r="LN2" i="10"/>
  <c r="V12" i="9"/>
  <c r="H30" i="9"/>
  <c r="L26" i="13"/>
  <c r="R15" i="13"/>
  <c r="I9" i="13"/>
  <c r="I8" i="13"/>
  <c r="D7" i="13"/>
  <c r="G11" i="9"/>
  <c r="U11" i="9"/>
  <c r="Z24" i="13"/>
  <c r="U20" i="9"/>
  <c r="E26" i="9"/>
  <c r="N10" i="9"/>
  <c r="AA11" i="13"/>
  <c r="X9" i="9"/>
  <c r="F25" i="9"/>
  <c r="H10" i="9"/>
  <c r="F30" i="9"/>
  <c r="V9" i="9"/>
  <c r="V9" i="13"/>
  <c r="O4" i="9"/>
  <c r="W19" i="13"/>
  <c r="I10" i="13"/>
  <c r="M12" i="9"/>
  <c r="H14" i="9"/>
  <c r="D24" i="13"/>
  <c r="E6" i="9"/>
  <c r="T6" i="9"/>
  <c r="M7" i="13"/>
  <c r="T27" i="9"/>
  <c r="K5" i="9"/>
  <c r="Z14" i="13"/>
  <c r="G7" i="9"/>
  <c r="V22" i="13"/>
  <c r="I16" i="9"/>
  <c r="D27" i="9"/>
  <c r="B18" i="9"/>
  <c r="W26" i="13"/>
  <c r="S17" i="9"/>
  <c r="C20" i="13"/>
  <c r="H13" i="9"/>
  <c r="D16" i="13"/>
  <c r="K21" i="9"/>
  <c r="S6" i="9"/>
  <c r="J23" i="9"/>
  <c r="AA16" i="9"/>
  <c r="Z25" i="13"/>
  <c r="D16" i="9"/>
  <c r="G18" i="9"/>
  <c r="X27" i="9"/>
  <c r="G20" i="13"/>
  <c r="X14" i="9"/>
  <c r="Y15" i="9"/>
  <c r="SC2" i="14"/>
  <c r="B28" i="13"/>
  <c r="C16" i="9"/>
  <c r="N8" i="13"/>
  <c r="E21" i="9"/>
  <c r="F19" i="9"/>
  <c r="R4" i="9"/>
  <c r="F13" i="9"/>
  <c r="U24" i="9"/>
  <c r="O23" i="9"/>
  <c r="P11" i="13"/>
  <c r="S30" i="9"/>
  <c r="Y29" i="13"/>
  <c r="N23" i="13"/>
  <c r="S23" i="9"/>
  <c r="J28" i="9"/>
  <c r="K22" i="9"/>
  <c r="O8" i="9"/>
  <c r="K26" i="9"/>
  <c r="W20" i="9"/>
  <c r="L6" i="9"/>
  <c r="X4" i="9"/>
  <c r="I21" i="9"/>
  <c r="N9" i="9"/>
  <c r="Y10" i="9"/>
  <c r="IP2" i="14"/>
  <c r="F14" i="9"/>
  <c r="M8" i="13"/>
  <c r="J21" i="13"/>
  <c r="O23" i="13"/>
  <c r="U5" i="9"/>
  <c r="O7" i="13"/>
  <c r="M20" i="9"/>
  <c r="S27" i="9"/>
  <c r="X17" i="13"/>
  <c r="C24" i="13"/>
  <c r="K18" i="9"/>
  <c r="NS2" i="10"/>
  <c r="I28" i="13"/>
  <c r="U14" i="9"/>
  <c r="W28" i="13"/>
  <c r="W23" i="13"/>
  <c r="M4" i="9"/>
  <c r="V5" i="9"/>
  <c r="N17" i="9"/>
  <c r="B14" i="9"/>
  <c r="X22" i="9"/>
  <c r="Y7" i="9"/>
  <c r="E20" i="9"/>
  <c r="E10" i="9"/>
  <c r="Z29" i="9"/>
  <c r="J19" i="9"/>
  <c r="R7" i="13"/>
  <c r="G25" i="13"/>
  <c r="Z26" i="9"/>
  <c r="Q25" i="13"/>
  <c r="U9" i="9"/>
  <c r="X24" i="9"/>
  <c r="L24" i="13"/>
  <c r="Z10" i="13"/>
  <c r="M5" i="13"/>
  <c r="AA17" i="13"/>
  <c r="AA25" i="9"/>
  <c r="K13" i="9"/>
  <c r="D27" i="13"/>
  <c r="F12" i="9"/>
  <c r="L26" i="9"/>
  <c r="G30" i="9"/>
  <c r="X21" i="13"/>
  <c r="LN2" i="14"/>
  <c r="C21" i="9"/>
  <c r="S8" i="9"/>
  <c r="AA21" i="9"/>
  <c r="M28" i="9"/>
  <c r="W25" i="9"/>
  <c r="QQ2" i="14"/>
  <c r="E20" i="13"/>
  <c r="F21" i="9"/>
  <c r="C23" i="9"/>
  <c r="Y14" i="13"/>
  <c r="AA12" i="9"/>
  <c r="D4" i="13"/>
  <c r="R21" i="9"/>
  <c r="K16" i="13"/>
  <c r="N20" i="9"/>
  <c r="N10" i="13"/>
  <c r="H7" i="13"/>
  <c r="D30" i="9"/>
  <c r="V26" i="9"/>
  <c r="F9" i="9"/>
  <c r="H21" i="13"/>
  <c r="HW2" i="10"/>
  <c r="U25" i="9"/>
  <c r="Z16" i="9"/>
  <c r="J12" i="9"/>
  <c r="L25" i="13"/>
  <c r="I27" i="9"/>
  <c r="O27" i="9"/>
  <c r="G29" i="9"/>
  <c r="R10" i="13"/>
  <c r="K11" i="9"/>
  <c r="U18" i="13"/>
  <c r="W28" i="9"/>
  <c r="H28" i="9"/>
  <c r="SC2" i="10"/>
  <c r="Q27" i="9"/>
  <c r="Y13" i="13"/>
  <c r="I14" i="9"/>
  <c r="T13" i="13"/>
  <c r="Z12" i="9"/>
  <c r="Q5" i="13"/>
  <c r="E29" i="9"/>
  <c r="I5" i="13"/>
  <c r="U30" i="9"/>
  <c r="Y24" i="13"/>
  <c r="W19" i="9"/>
  <c r="C22" i="9"/>
  <c r="O18" i="13"/>
  <c r="P28" i="13"/>
  <c r="B25" i="9"/>
  <c r="G12" i="9"/>
  <c r="W27" i="13"/>
  <c r="Y24" i="9"/>
  <c r="Q17" i="9"/>
  <c r="X5" i="9"/>
  <c r="G13" i="9"/>
  <c r="W15" i="13"/>
  <c r="B15" i="9"/>
  <c r="M25" i="9"/>
  <c r="B27" i="13"/>
  <c r="E9" i="9"/>
  <c r="C30" i="9"/>
  <c r="AA9" i="13"/>
  <c r="G9" i="9"/>
  <c r="V14" i="13"/>
  <c r="R8" i="13"/>
  <c r="F18" i="13"/>
  <c r="T22" i="9"/>
  <c r="R13" i="9"/>
  <c r="Z23" i="9"/>
  <c r="P10" i="9"/>
  <c r="G4" i="9"/>
  <c r="B4" i="9"/>
  <c r="EY2" i="10"/>
  <c r="E19" i="13"/>
  <c r="Z12" i="13"/>
  <c r="C29" i="9"/>
  <c r="Q14" i="13"/>
  <c r="CT2" i="14"/>
  <c r="S12" i="9"/>
  <c r="P20" i="9"/>
  <c r="I19" i="13"/>
  <c r="J14" i="9"/>
  <c r="L17" i="9"/>
  <c r="O30" i="9"/>
  <c r="D6" i="9"/>
  <c r="ST2" i="14"/>
  <c r="F18" i="9"/>
  <c r="K9" i="9"/>
  <c r="TK2" i="14"/>
  <c r="UB2" i="14"/>
  <c r="UD2" i="10"/>
  <c r="TM2" i="10"/>
</calcChain>
</file>

<file path=xl/sharedStrings.xml><?xml version="1.0" encoding="utf-8"?>
<sst xmlns="http://schemas.openxmlformats.org/spreadsheetml/2006/main" count="2222" uniqueCount="210">
  <si>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</si>
  <si>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</si>
  <si>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</si>
  <si>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</si>
  <si>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</si>
  <si>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</si>
  <si>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</si>
  <si>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</si>
  <si>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</si>
  <si>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</si>
  <si>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</si>
  <si>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</si>
  <si>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</si>
  <si>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</si>
  <si>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</si>
  <si>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</si>
  <si>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</si>
  <si>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</si>
  <si>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 xml:space="preserve"> D2/1 - AP</t>
  </si>
  <si>
    <t>Domaine 3</t>
  </si>
  <si>
    <t xml:space="preserve"> D3/1</t>
  </si>
  <si>
    <t>D3/2 - AP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</si>
  <si>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</si>
  <si>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</si>
  <si>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</si>
  <si>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</si>
  <si>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</si>
  <si>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</si>
  <si>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</si>
  <si>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</si>
  <si>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</si>
  <si>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</si>
  <si>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</si>
  <si>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</si>
  <si>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</si>
  <si>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</si>
  <si>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</si>
  <si>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</si>
  <si>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</si>
  <si>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D2/1</t>
  </si>
  <si>
    <t>D3/2</t>
  </si>
  <si>
    <t>Note globale</t>
  </si>
  <si>
    <t>Notation</t>
  </si>
  <si>
    <t>Nom de la feuille liée</t>
  </si>
  <si>
    <t>Indice  de liste</t>
  </si>
  <si>
    <t>Lignes des domaines</t>
  </si>
  <si>
    <t>D2/1 - AP</t>
  </si>
  <si>
    <t>Décalage</t>
  </si>
  <si>
    <t>D2/2 - AP</t>
  </si>
  <si>
    <t xml:space="preserve"> D2/2 - AP</t>
  </si>
  <si>
    <t>D2/2</t>
  </si>
  <si>
    <t>AGATHON Cassandre</t>
  </si>
  <si>
    <t>ANDRE Myriam</t>
  </si>
  <si>
    <t>AUBRY Manon</t>
  </si>
  <si>
    <t>BASSEGUY Anaelle</t>
  </si>
  <si>
    <t>BILLOT Honorine</t>
  </si>
  <si>
    <t>BLAUDIN DE THE Jeanne</t>
  </si>
  <si>
    <t>BONNEFOUS Maylis</t>
  </si>
  <si>
    <t>CLEMENT Aubry</t>
  </si>
  <si>
    <t>COMBROUZE Marc</t>
  </si>
  <si>
    <t>DE GERMAY DE CIRFONTAINE Louis</t>
  </si>
  <si>
    <t>DE SAINT MARTIN Jacques</t>
  </si>
  <si>
    <t>DOLET Melvyn</t>
  </si>
  <si>
    <t>DUTEY-HARISPE Marthe</t>
  </si>
  <si>
    <t>GANTET Emilie</t>
  </si>
  <si>
    <t>GEORGET Joseph</t>
  </si>
  <si>
    <t>GERVAIS-PRIMORAC Jeanne</t>
  </si>
  <si>
    <t>JUTEL Leonard</t>
  </si>
  <si>
    <t>LE BOULAIRE Matteo</t>
  </si>
  <si>
    <t>LECHAT Batiste</t>
  </si>
  <si>
    <t>MAUVE Lucrece</t>
  </si>
  <si>
    <t>MAZALEYRAT Joshua</t>
  </si>
  <si>
    <t>PATRYL Cloe</t>
  </si>
  <si>
    <t>PEREIRA Lucie</t>
  </si>
  <si>
    <t>RIVIERE Jean</t>
  </si>
  <si>
    <t>SOLDAT Candyce</t>
  </si>
  <si>
    <t>VUILLEMIN Blanche</t>
  </si>
  <si>
    <t>Classe (4ème2)
2017 2018</t>
  </si>
  <si>
    <t>Elève (4ème2)</t>
  </si>
  <si>
    <t>ANDRE Lucas</t>
  </si>
  <si>
    <t>ARBIB Nolan</t>
  </si>
  <si>
    <t>BARRIETIS Jael</t>
  </si>
  <si>
    <t>BONNEAU Victor</t>
  </si>
  <si>
    <t>BRARD Prune</t>
  </si>
  <si>
    <t>COELHO Bergeline</t>
  </si>
  <si>
    <t>DELBOUSCAS Margaux</t>
  </si>
  <si>
    <t>DELPLACE Gregoire</t>
  </si>
  <si>
    <t>DU FRESNE DE VIREL Constance</t>
  </si>
  <si>
    <t>FARMAN Edgar</t>
  </si>
  <si>
    <t>FRANCOIS Jules</t>
  </si>
  <si>
    <t>GAUCHER Chaya</t>
  </si>
  <si>
    <t>GEAY Baptiste</t>
  </si>
  <si>
    <t>GIRARD--RAZEL Merlin</t>
  </si>
  <si>
    <t>LECCIA Clotilde</t>
  </si>
  <si>
    <t>LECOMTE Emilien</t>
  </si>
  <si>
    <t>LEPRINCE Pierre</t>
  </si>
  <si>
    <t>LUZURIER Raphael</t>
  </si>
  <si>
    <t>MASSUARD Louis</t>
  </si>
  <si>
    <t>MAUVE Juliette</t>
  </si>
  <si>
    <t>MOTILLON Jeanne</t>
  </si>
  <si>
    <t>PHILIPPONNEAU Julia</t>
  </si>
  <si>
    <t>REYNIER Antoine</t>
  </si>
  <si>
    <t>ROCHERY Marguerite</t>
  </si>
  <si>
    <t>TABONE Gaspard</t>
  </si>
  <si>
    <t>TONDEUR Justine</t>
  </si>
  <si>
    <t>VANDIER Achille</t>
  </si>
  <si>
    <t>CHESNEAU Juliette</t>
  </si>
  <si>
    <t>COURAUD Salome</t>
  </si>
  <si>
    <t>COURCIER Eliette</t>
  </si>
  <si>
    <t>DA ROCHA Theo</t>
  </si>
  <si>
    <t>DAUMAIN Louis</t>
  </si>
  <si>
    <t>DE KERHOR Blanche</t>
  </si>
  <si>
    <t>DEFRANCQ Antoine</t>
  </si>
  <si>
    <t>DESCHAMP Clement</t>
  </si>
  <si>
    <t>DORRIERE Blanche</t>
  </si>
  <si>
    <t>DUGUEY Matthias</t>
  </si>
  <si>
    <t>FREMIOT-LUANGPRASEUTH Juliette</t>
  </si>
  <si>
    <t>GENEVEE Remi</t>
  </si>
  <si>
    <t>GOUGEARD Alexandre</t>
  </si>
  <si>
    <t>KUBORNE Antonin</t>
  </si>
  <si>
    <t>LE GOFF Armand</t>
  </si>
  <si>
    <t>LE GOUVELLO DE LA PORTE Blanche</t>
  </si>
  <si>
    <t>LECOMTE Octave</t>
  </si>
  <si>
    <t>LEPREVOST Romane</t>
  </si>
  <si>
    <t>LOUYOT Valentine</t>
  </si>
  <si>
    <t>MENORET Cyprien</t>
  </si>
  <si>
    <t>PICARD Louise</t>
  </si>
  <si>
    <t>PROVOST-DANAIS Alexandre</t>
  </si>
  <si>
    <t>RAGUIN Roxane</t>
  </si>
  <si>
    <t>RATTIER Pauline</t>
  </si>
  <si>
    <t>RIFFAUD Antoine</t>
  </si>
  <si>
    <t>SAILLARD Clara</t>
  </si>
  <si>
    <t>SAVARY Lou</t>
  </si>
  <si>
    <t>Elève (4ème4)</t>
  </si>
  <si>
    <t>Classe  (4ème4)
2017 2018</t>
  </si>
  <si>
    <t>ABOURAHIM Adame</t>
  </si>
  <si>
    <t>AUBIN Hermine</t>
  </si>
  <si>
    <t>AVRIL Toanui</t>
  </si>
  <si>
    <t>BOUTET Nathan</t>
  </si>
  <si>
    <t>BRILHAULT Vincent</t>
  </si>
  <si>
    <t>CHARRIER Simon</t>
  </si>
  <si>
    <t>CORNIL Clovis</t>
  </si>
  <si>
    <t>COUTIN Agathe</t>
  </si>
  <si>
    <t>DE PONCHEVILLE Yolaine</t>
  </si>
  <si>
    <t>DE SAINT CERAN Jeanne</t>
  </si>
  <si>
    <t>DREYFUS Hugues</t>
  </si>
  <si>
    <t>DUPONT Gregoire</t>
  </si>
  <si>
    <t>ENGELVIN Blanche</t>
  </si>
  <si>
    <t>HUET Antonin</t>
  </si>
  <si>
    <t>JABOULEY Adrien</t>
  </si>
  <si>
    <t>JOURDAIN Julie</t>
  </si>
  <si>
    <t>KADRIC Emma</t>
  </si>
  <si>
    <t>LE DIEU DE VILLE Constance</t>
  </si>
  <si>
    <t>PEIGNE Orso</t>
  </si>
  <si>
    <t>POIRIER-BEZARD Lucina</t>
  </si>
  <si>
    <t>PUIG Salome</t>
  </si>
  <si>
    <t>ROBIN Anne-Solenne</t>
  </si>
  <si>
    <t>SOLON Emma</t>
  </si>
  <si>
    <t>TALPAIN Olivier</t>
  </si>
  <si>
    <t>TOUZE Valentine</t>
  </si>
  <si>
    <t>VERNIER Paul</t>
  </si>
  <si>
    <t>BOHBOT Juliette</t>
  </si>
  <si>
    <t>COLINOT Anaelle</t>
  </si>
  <si>
    <t>DE BENGY Jean-Baptiste</t>
  </si>
  <si>
    <t>DESEILLE Rose</t>
  </si>
  <si>
    <t>DURVAUX Alexandre</t>
  </si>
  <si>
    <t>ELEAUME Diane</t>
  </si>
  <si>
    <t>GIRAULT Jean-Baptiste</t>
  </si>
  <si>
    <t>GOUVAZE Eglantine</t>
  </si>
  <si>
    <t>JAUZENQUE Charlotte</t>
  </si>
  <si>
    <t>MALLEJAC Antoine</t>
  </si>
  <si>
    <t>MARTINAT Romain</t>
  </si>
  <si>
    <t>MONTEMBAULT Gabrielle</t>
  </si>
  <si>
    <t>MORAINE Quentin</t>
  </si>
  <si>
    <t>MOUNIROU DEEN Adeola</t>
  </si>
  <si>
    <t>PERRIN Anatole</t>
  </si>
  <si>
    <t>PERROTIN Eliott</t>
  </si>
  <si>
    <t>PICHOT Anthony</t>
  </si>
  <si>
    <t>PROFFIT Xavier</t>
  </si>
  <si>
    <t>PROUVOST Marie-Munezero</t>
  </si>
  <si>
    <t>REYES Alessandro</t>
  </si>
  <si>
    <t>ROULLET DE LA BOUILLERIE Hyacinthe</t>
  </si>
  <si>
    <t>ROUZIER Aglae</t>
  </si>
  <si>
    <t>SAA GODOY Benjamin</t>
  </si>
  <si>
    <t>SABOURIN Amelie</t>
  </si>
  <si>
    <t>SCHUMACHER Marie</t>
  </si>
  <si>
    <t>SOUEF Alexis</t>
  </si>
  <si>
    <t>SUZANNE Cleophee</t>
  </si>
  <si>
    <t>ZHENDRE Manon</t>
  </si>
  <si>
    <t>4ème1</t>
  </si>
  <si>
    <t>4ème2</t>
  </si>
  <si>
    <t>4ème3</t>
  </si>
  <si>
    <t>4ème4</t>
  </si>
  <si>
    <t>4ème5</t>
  </si>
  <si>
    <t>Liste 4ème</t>
  </si>
  <si>
    <t>Classe (4ème2)</t>
  </si>
  <si>
    <t>Classe (4ème4)</t>
  </si>
  <si>
    <t>TP</t>
  </si>
  <si>
    <t>DMséisme</t>
  </si>
  <si>
    <t>DS</t>
  </si>
  <si>
    <t>TPplaques</t>
  </si>
  <si>
    <t>Dsplaques</t>
  </si>
  <si>
    <t>TPséismes</t>
  </si>
  <si>
    <t>Evaluations par trimestre</t>
  </si>
  <si>
    <t>1er tri</t>
  </si>
  <si>
    <t>Dsséismes</t>
  </si>
  <si>
    <t>NE</t>
  </si>
  <si>
    <t>Dsvolcans</t>
  </si>
  <si>
    <t>TPDMvolc</t>
  </si>
  <si>
    <t>Dsvolc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</si>
</sst>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</fills>
  <borders count="9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8" fillId="0" borderId="0"/>
  </cellStyleXfs>
  <cellXfs count="263">
    <xf numFmtId="0" fontId="0" fillId="0" borderId="0" xfId="0"/>
    <xf numFmtId="0" fontId="0" fillId="0" borderId="0" xfId="0" applyAlignment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54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0" xfId="0" applyProtection="1"/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77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6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/>
    </xf>
    <xf numFmtId="0" fontId="0" fillId="15" borderId="15" xfId="0" applyFill="1" applyBorder="1" applyAlignment="1" applyProtection="1">
      <alignment horizontal="center" vertical="center" wrapText="1"/>
    </xf>
    <xf numFmtId="0" fontId="0" fillId="15" borderId="14" xfId="0" applyFill="1" applyBorder="1" applyAlignment="1" applyProtection="1">
      <alignment horizontal="center" vertical="center" wrapText="1"/>
    </xf>
    <xf numFmtId="0" fontId="0" fillId="17" borderId="69" xfId="0" applyFill="1" applyBorder="1" applyAlignment="1" applyProtection="1">
      <alignment horizontal="center" vertical="center" wrapText="1"/>
    </xf>
    <xf numFmtId="0" fontId="0" fillId="17" borderId="74" xfId="0" applyFill="1" applyBorder="1" applyAlignment="1" applyProtection="1">
      <alignment horizontal="center" vertical="center" wrapText="1"/>
    </xf>
    <xf numFmtId="0" fontId="0" fillId="12" borderId="72" xfId="0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5" fillId="21" borderId="68" xfId="0" applyFont="1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0" fontId="0" fillId="21" borderId="74" xfId="0" applyFill="1" applyBorder="1" applyAlignment="1" applyProtection="1">
      <alignment horizontal="center" vertical="center" wrapText="1"/>
    </xf>
    <xf numFmtId="0" fontId="0" fillId="12" borderId="74" xfId="0" applyFill="1" applyBorder="1" applyAlignment="1" applyProtection="1">
      <alignment horizontal="center" vertical="center" wrapText="1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46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3" xfId="0" applyNumberFormat="1" applyBorder="1" applyAlignment="1" applyProtection="1">
      <alignment horizontal="center" vertical="center"/>
    </xf>
    <xf numFmtId="0" fontId="2" fillId="20" borderId="89" xfId="0" applyFont="1" applyFill="1" applyBorder="1" applyAlignment="1" applyProtection="1">
      <alignment horizontal="center" vertical="center" wrapText="1"/>
    </xf>
    <xf numFmtId="0" fontId="0" fillId="19" borderId="56" xfId="0" applyFill="1" applyBorder="1" applyAlignment="1" applyProtection="1">
      <alignment horizontal="center" vertical="center"/>
    </xf>
    <xf numFmtId="0" fontId="0" fillId="19" borderId="1" xfId="0" applyFill="1" applyBorder="1" applyAlignment="1" applyProtection="1">
      <alignment horizontal="center" vertical="center"/>
    </xf>
    <xf numFmtId="0" fontId="0" fillId="12" borderId="83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19" borderId="2" xfId="0" applyFill="1" applyBorder="1" applyAlignment="1" applyProtection="1">
      <alignment horizontal="center" vertical="center"/>
    </xf>
    <xf numFmtId="0" fontId="0" fillId="22" borderId="87" xfId="0" applyFill="1" applyBorder="1" applyProtection="1"/>
    <xf numFmtId="0" fontId="3" fillId="2" borderId="86" xfId="1" applyFont="1" applyFill="1" applyBorder="1" applyAlignment="1" applyProtection="1">
      <alignment vertical="center"/>
    </xf>
    <xf numFmtId="0" fontId="3" fillId="2" borderId="39" xfId="1" applyFont="1" applyFill="1" applyBorder="1" applyAlignment="1" applyProtection="1">
      <alignment vertical="center"/>
    </xf>
    <xf numFmtId="0" fontId="0" fillId="22" borderId="88" xfId="0" applyFill="1" applyBorder="1" applyProtection="1"/>
    <xf numFmtId="0" fontId="1" fillId="13" borderId="12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8" fillId="22" borderId="86" xfId="2" applyFill="1" applyBorder="1" applyProtection="1"/>
    <xf numFmtId="0" fontId="0" fillId="22" borderId="86" xfId="0" applyFill="1" applyBorder="1" applyProtection="1"/>
    <xf numFmtId="0" fontId="8" fillId="22" borderId="1" xfId="2" applyFill="1" applyBorder="1" applyProtection="1"/>
    <xf numFmtId="0" fontId="0" fillId="22" borderId="1" xfId="0" applyFill="1" applyBorder="1" applyProtection="1"/>
    <xf numFmtId="0" fontId="3" fillId="22" borderId="1" xfId="2" applyFont="1" applyFill="1" applyBorder="1" applyProtection="1"/>
    <xf numFmtId="0" fontId="8" fillId="22" borderId="2" xfId="2" applyFill="1" applyBorder="1" applyProtection="1"/>
    <xf numFmtId="0" fontId="0" fillId="22" borderId="2" xfId="0" applyFill="1" applyBorder="1" applyProtection="1"/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3" borderId="13" xfId="0" applyFill="1" applyBorder="1" applyAlignment="1">
      <alignment horizontal="centerContinuous" vertical="center"/>
    </xf>
    <xf numFmtId="0" fontId="0" fillId="23" borderId="14" xfId="0" applyFill="1" applyBorder="1" applyAlignment="1">
      <alignment horizontal="centerContinuous" vertical="center"/>
    </xf>
    <xf numFmtId="0" fontId="0" fillId="0" borderId="92" xfId="0" applyBorder="1" applyAlignment="1">
      <alignment horizontal="center" vertical="center"/>
    </xf>
    <xf numFmtId="0" fontId="0" fillId="21" borderId="92" xfId="0" applyFill="1" applyBorder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0" fillId="21" borderId="82" xfId="0" applyFont="1" applyFill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0" fillId="0" borderId="8" xfId="0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Border="1" applyAlignment="1" applyProtection="1">
      <alignment horizontal="center" vertical="center" textRotation="90"/>
      <protection locked="0" hidden="1"/>
    </xf>
    <xf numFmtId="0" fontId="1" fillId="4" borderId="3" xfId="0" applyFont="1" applyFill="1" applyBorder="1" applyAlignment="1" applyProtection="1">
      <alignment horizontal="center" vertical="center" wrapText="1"/>
      <protection locked="0" hidden="1"/>
    </xf>
    <xf numFmtId="0" fontId="1" fillId="4" borderId="7" xfId="0" applyFont="1" applyFill="1" applyBorder="1" applyAlignment="1" applyProtection="1">
      <alignment horizontal="center" vertical="center" wrapText="1"/>
      <protection locked="0" hidden="1"/>
    </xf>
    <xf numFmtId="0" fontId="0" fillId="0" borderId="11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1" fillId="10" borderId="3" xfId="0" applyFont="1" applyFill="1" applyBorder="1" applyAlignment="1" applyProtection="1">
      <alignment horizontal="center" vertical="center" wrapText="1"/>
      <protection locked="0" hidden="1"/>
    </xf>
    <xf numFmtId="0" fontId="1" fillId="10" borderId="7" xfId="0" applyFont="1" applyFill="1" applyBorder="1" applyAlignment="1" applyProtection="1">
      <alignment horizontal="center" vertical="center" wrapText="1"/>
      <protection locked="0" hidden="1"/>
    </xf>
    <xf numFmtId="0" fontId="0" fillId="0" borderId="8" xfId="0" applyFont="1" applyBorder="1" applyAlignment="1" applyProtection="1">
      <alignment horizontal="center" vertical="center" textRotation="90"/>
      <protection locked="0" hidden="1"/>
    </xf>
    <xf numFmtId="0" fontId="1" fillId="5" borderId="3" xfId="0" applyFont="1" applyFill="1" applyBorder="1" applyAlignment="1" applyProtection="1">
      <alignment horizontal="center" vertical="center" wrapText="1"/>
      <protection locked="0" hidden="1"/>
    </xf>
    <xf numFmtId="0" fontId="1" fillId="5" borderId="7" xfId="0" applyFont="1" applyFill="1" applyBorder="1" applyAlignment="1" applyProtection="1">
      <alignment horizontal="center" vertical="center" wrapText="1"/>
      <protection locked="0" hidden="1"/>
    </xf>
    <xf numFmtId="0" fontId="1" fillId="15" borderId="3" xfId="0" applyFont="1" applyFill="1" applyBorder="1" applyAlignment="1" applyProtection="1">
      <alignment horizontal="center" vertical="center"/>
      <protection locked="0" hidden="1"/>
    </xf>
    <xf numFmtId="0" fontId="1" fillId="15" borderId="5" xfId="0" applyFont="1" applyFill="1" applyBorder="1" applyAlignment="1" applyProtection="1">
      <alignment horizontal="center" vertical="center"/>
      <protection locked="0" hidden="1"/>
    </xf>
    <xf numFmtId="0" fontId="0" fillId="0" borderId="84" xfId="0" applyFont="1" applyBorder="1" applyAlignment="1" applyProtection="1">
      <alignment horizontal="center" vertical="center" textRotation="90"/>
      <protection locked="0" hidden="1"/>
    </xf>
    <xf numFmtId="0" fontId="0" fillId="0" borderId="15" xfId="0" applyFont="1" applyBorder="1" applyAlignment="1" applyProtection="1">
      <alignment horizontal="center" vertical="center" textRotation="90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0" fillId="0" borderId="13" xfId="0" applyFont="1" applyBorder="1" applyAlignment="1" applyProtection="1">
      <alignment horizontal="center" vertical="center" textRotation="90"/>
      <protection locked="0" hidden="1"/>
    </xf>
    <xf numFmtId="0" fontId="7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3" xfId="0" applyFont="1" applyBorder="1" applyAlignment="1" applyProtection="1">
      <alignment horizontal="center" vertical="center"/>
      <protection locked="0" hidden="1"/>
    </xf>
    <xf numFmtId="0" fontId="1" fillId="0" borderId="7" xfId="0" applyFont="1" applyBorder="1" applyAlignment="1" applyProtection="1">
      <alignment horizontal="center" vertical="center"/>
      <protection locked="0" hidden="1"/>
    </xf>
    <xf numFmtId="0" fontId="1" fillId="0" borderId="60" xfId="0" applyFont="1" applyFill="1" applyBorder="1" applyAlignment="1" applyProtection="1">
      <alignment horizontal="center" vertical="center"/>
      <protection locked="0" hidden="1"/>
    </xf>
    <xf numFmtId="0" fontId="0" fillId="4" borderId="7" xfId="0" applyFont="1" applyFill="1" applyBorder="1" applyAlignment="1" applyProtection="1">
      <alignment horizontal="center" vertical="center"/>
      <protection locked="0" hidden="1"/>
    </xf>
    <xf numFmtId="0" fontId="0" fillId="10" borderId="7" xfId="0" applyFont="1" applyFill="1" applyBorder="1" applyAlignment="1" applyProtection="1">
      <alignment horizontal="center" vertical="center"/>
      <protection locked="0" hidden="1"/>
    </xf>
    <xf numFmtId="0" fontId="1" fillId="0" borderId="3" xfId="0" applyFont="1" applyFill="1" applyBorder="1" applyAlignment="1" applyProtection="1">
      <alignment horizontal="center" vertical="center"/>
      <protection locked="0" hidden="1"/>
    </xf>
    <xf numFmtId="0" fontId="1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0" fillId="5" borderId="7" xfId="0" applyFont="1" applyFill="1" applyBorder="1" applyAlignment="1" applyProtection="1">
      <alignment horizontal="center" vertical="center"/>
      <protection locked="0" hidden="1"/>
    </xf>
    <xf numFmtId="0" fontId="0" fillId="0" borderId="60" xfId="0" applyFont="1" applyFill="1" applyBorder="1" applyAlignment="1" applyProtection="1">
      <alignment horizontal="center" vertical="center"/>
      <protection locked="0" hidden="1"/>
    </xf>
    <xf numFmtId="0" fontId="5" fillId="15" borderId="5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Protection="1">
      <protection locked="0" hidden="1"/>
    </xf>
    <xf numFmtId="0" fontId="0" fillId="0" borderId="17" xfId="0" applyBorder="1" applyAlignment="1" applyProtection="1">
      <alignment horizontal="center" vertical="center"/>
      <protection locked="0" hidden="1"/>
    </xf>
    <xf numFmtId="0" fontId="0" fillId="0" borderId="18" xfId="0" applyBorder="1" applyAlignment="1" applyProtection="1">
      <alignment horizontal="center" vertical="center"/>
      <protection locked="0" hidden="1"/>
    </xf>
    <xf numFmtId="0" fontId="0" fillId="0" borderId="19" xfId="0" applyFont="1" applyBorder="1" applyAlignment="1" applyProtection="1">
      <alignment horizontal="center" vertical="center"/>
      <protection locked="0" hidden="1"/>
    </xf>
    <xf numFmtId="0" fontId="0" fillId="0" borderId="61" xfId="0" applyFont="1" applyFill="1" applyBorder="1" applyAlignment="1" applyProtection="1">
      <alignment horizontal="center" vertical="center"/>
      <protection locked="0" hidden="1"/>
    </xf>
    <xf numFmtId="0" fontId="0" fillId="6" borderId="62" xfId="0" applyFont="1" applyFill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5" fillId="7" borderId="58" xfId="0" applyFont="1" applyFill="1" applyBorder="1" applyAlignment="1" applyProtection="1">
      <alignment horizontal="center" vertical="center"/>
      <protection locked="0" hidden="1"/>
    </xf>
    <xf numFmtId="0" fontId="0" fillId="0" borderId="20" xfId="0" applyFont="1" applyBorder="1" applyAlignment="1" applyProtection="1">
      <alignment horizontal="center" vertical="center"/>
      <protection locked="0" hidden="1"/>
    </xf>
    <xf numFmtId="0" fontId="0" fillId="0" borderId="23" xfId="0" applyBorder="1" applyAlignment="1" applyProtection="1">
      <alignment horizontal="center" vertical="center"/>
      <protection locked="0" hidden="1"/>
    </xf>
    <xf numFmtId="0" fontId="0" fillId="0" borderId="24" xfId="0" applyBorder="1" applyAlignment="1" applyProtection="1">
      <alignment horizontal="center" vertical="center"/>
      <protection locked="0" hidden="1"/>
    </xf>
    <xf numFmtId="0" fontId="0" fillId="0" borderId="25" xfId="0" applyBorder="1" applyAlignment="1" applyProtection="1">
      <alignment horizontal="center" vertical="center"/>
      <protection locked="0" hidden="1"/>
    </xf>
    <xf numFmtId="0" fontId="0" fillId="0" borderId="51" xfId="0" applyFont="1" applyFill="1" applyBorder="1" applyAlignment="1" applyProtection="1">
      <alignment horizontal="center" vertical="center"/>
      <protection locked="0" hidden="1"/>
    </xf>
    <xf numFmtId="0" fontId="0" fillId="6" borderId="22" xfId="0" applyFont="1" applyFill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5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5" fillId="7" borderId="64" xfId="0" applyFont="1" applyFill="1" applyBorder="1" applyAlignment="1" applyProtection="1">
      <alignment horizontal="center" vertical="center"/>
      <protection locked="0" hidden="1"/>
    </xf>
    <xf numFmtId="0" fontId="0" fillId="0" borderId="26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0" fillId="0" borderId="30" xfId="0" applyFont="1" applyBorder="1" applyAlignment="1" applyProtection="1">
      <alignment horizontal="center" vertical="center"/>
      <protection locked="0" hidden="1"/>
    </xf>
    <xf numFmtId="0" fontId="0" fillId="0" borderId="59" xfId="0" applyFont="1" applyFill="1" applyBorder="1" applyAlignment="1" applyProtection="1">
      <alignment horizontal="center" vertical="center"/>
      <protection locked="0" hidden="1"/>
    </xf>
    <xf numFmtId="0" fontId="0" fillId="6" borderId="63" xfId="0" applyFont="1" applyFill="1" applyBorder="1" applyAlignment="1" applyProtection="1">
      <alignment horizontal="center" vertical="center"/>
      <protection locked="0" hidden="1"/>
    </xf>
    <xf numFmtId="0" fontId="5" fillId="7" borderId="57" xfId="0" applyFont="1" applyFill="1" applyBorder="1" applyAlignment="1" applyProtection="1">
      <alignment horizontal="center" vertical="center"/>
      <protection locked="0" hidden="1"/>
    </xf>
    <xf numFmtId="0" fontId="0" fillId="0" borderId="75" xfId="0" applyFont="1" applyBorder="1" applyAlignment="1" applyProtection="1">
      <alignment horizontal="center" vertical="center"/>
      <protection locked="0" hidden="1"/>
    </xf>
    <xf numFmtId="0" fontId="1" fillId="0" borderId="6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0" borderId="61" xfId="0" applyFont="1" applyFill="1" applyBorder="1" applyAlignment="1" applyProtection="1">
      <alignment horizontal="center" vertical="center"/>
      <protection locked="0" hidden="1"/>
    </xf>
    <xf numFmtId="0" fontId="7" fillId="8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0" fillId="0" borderId="28" xfId="0" applyBorder="1" applyAlignment="1" applyProtection="1">
      <alignment horizontal="center" vertical="center"/>
      <protection locked="0" hidden="1"/>
    </xf>
    <xf numFmtId="0" fontId="6" fillId="0" borderId="59" xfId="0" applyFont="1" applyFill="1" applyBorder="1" applyAlignment="1" applyProtection="1">
      <alignment horizontal="center" vertical="center"/>
      <protection locked="0" hidden="1"/>
    </xf>
    <xf numFmtId="0" fontId="5" fillId="11" borderId="58" xfId="0" applyFont="1" applyFill="1" applyBorder="1" applyAlignment="1" applyProtection="1">
      <alignment horizontal="center" vertical="center"/>
      <protection locked="0" hidden="1"/>
    </xf>
    <xf numFmtId="0" fontId="0" fillId="0" borderId="29" xfId="0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0" borderId="42" xfId="0" applyFont="1" applyBorder="1" applyAlignment="1" applyProtection="1">
      <alignment horizontal="center" vertical="center"/>
      <protection locked="0" hidden="1"/>
    </xf>
    <xf numFmtId="0" fontId="0" fillId="0" borderId="76" xfId="0" applyFont="1" applyBorder="1" applyAlignment="1" applyProtection="1">
      <alignment horizontal="center" vertical="center"/>
      <protection locked="0" hidden="1"/>
    </xf>
    <xf numFmtId="0" fontId="0" fillId="0" borderId="55" xfId="0" applyFont="1" applyFill="1" applyBorder="1" applyAlignment="1" applyProtection="1">
      <alignment horizontal="center" vertical="center"/>
      <protection locked="0" hidden="1"/>
    </xf>
    <xf numFmtId="0" fontId="0" fillId="6" borderId="31" xfId="0" applyFont="1" applyFill="1" applyBorder="1" applyAlignment="1" applyProtection="1">
      <alignment horizontal="center" vertical="center"/>
      <protection locked="0" hidden="1"/>
    </xf>
    <xf numFmtId="0" fontId="5" fillId="7" borderId="65" xfId="0" applyFont="1" applyFill="1" applyBorder="1" applyAlignment="1" applyProtection="1">
      <alignment horizontal="center" vertical="center"/>
      <protection locked="0" hidden="1"/>
    </xf>
    <xf numFmtId="0" fontId="0" fillId="0" borderId="43" xfId="0" applyFont="1" applyBorder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0" borderId="60" xfId="0" applyNumberFormat="1" applyFont="1" applyBorder="1" applyAlignment="1" applyProtection="1">
      <alignment horizontal="center" vertical="center"/>
      <protection locked="0" hidden="1"/>
    </xf>
    <xf numFmtId="2" fontId="0" fillId="9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8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6" borderId="85" xfId="0" applyNumberFormat="1" applyFont="1" applyFill="1" applyBorder="1" applyAlignment="1" applyProtection="1">
      <alignment horizontal="center" vertical="center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19" borderId="14" xfId="0" applyFont="1" applyFill="1" applyBorder="1" applyAlignment="1" applyProtection="1">
      <alignment horizontal="center" vertical="center" wrapText="1"/>
      <protection hidden="1"/>
    </xf>
    <xf numFmtId="0" fontId="0" fillId="0" borderId="39" xfId="0" applyFont="1" applyBorder="1" applyAlignment="1" applyProtection="1">
      <alignment horizontal="center" vertical="center" textRotation="90"/>
      <protection hidden="1"/>
    </xf>
    <xf numFmtId="0" fontId="0" fillId="0" borderId="80" xfId="0" applyFont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locked="0"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7" xfId="0" applyFont="1" applyFill="1" applyBorder="1" applyAlignment="1" applyProtection="1">
      <alignment horizontal="centerContinuous" vertical="center" wrapText="1"/>
      <protection hidden="1"/>
    </xf>
    <xf numFmtId="0" fontId="1" fillId="0" borderId="60" xfId="0" applyFont="1" applyFill="1" applyBorder="1" applyAlignment="1" applyProtection="1">
      <alignment horizontal="center" vertical="center"/>
      <protection hidden="1"/>
    </xf>
    <xf numFmtId="0" fontId="0" fillId="4" borderId="7" xfId="0" applyFont="1" applyFill="1" applyBorder="1" applyAlignment="1" applyProtection="1">
      <alignment horizontal="center" vertical="center"/>
      <protection hidden="1"/>
    </xf>
    <xf numFmtId="0" fontId="0" fillId="0" borderId="61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22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0" fillId="6" borderId="63" xfId="0" applyFont="1" applyFill="1" applyBorder="1" applyAlignment="1" applyProtection="1">
      <alignment horizontal="center" vertical="center"/>
      <protection hidden="1"/>
    </xf>
    <xf numFmtId="0" fontId="0" fillId="0" borderId="55" xfId="0" applyFont="1" applyFill="1" applyBorder="1" applyAlignment="1" applyProtection="1">
      <alignment horizontal="center" vertical="center"/>
      <protection hidden="1"/>
    </xf>
    <xf numFmtId="0" fontId="0" fillId="6" borderId="31" xfId="0" applyFont="1" applyFill="1" applyBorder="1" applyAlignment="1" applyProtection="1">
      <alignment horizontal="center" vertical="center"/>
      <protection hidden="1"/>
    </xf>
    <xf numFmtId="0" fontId="1" fillId="0" borderId="60" xfId="0" applyNumberFormat="1" applyFont="1" applyBorder="1" applyAlignment="1" applyProtection="1">
      <alignment horizontal="center" vertical="center"/>
      <protection hidden="1"/>
    </xf>
    <xf numFmtId="2" fontId="0" fillId="9" borderId="85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7" xfId="0" applyFont="1" applyFill="1" applyBorder="1" applyAlignment="1" applyProtection="1">
      <alignment horizontal="centerContinuous" vertical="center" wrapText="1"/>
      <protection hidden="1"/>
    </xf>
    <xf numFmtId="0" fontId="0" fillId="10" borderId="7" xfId="0" applyFont="1" applyFill="1" applyBorder="1" applyAlignment="1" applyProtection="1">
      <alignment horizontal="center" vertical="center"/>
      <protection hidden="1"/>
    </xf>
    <xf numFmtId="2" fontId="0" fillId="18" borderId="85" xfId="0" applyNumberFormat="1" applyFont="1" applyFill="1" applyBorder="1" applyAlignment="1" applyProtection="1">
      <alignment horizontal="center" vertical="center"/>
      <protection hidden="1"/>
    </xf>
    <xf numFmtId="0" fontId="1" fillId="0" borderId="65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7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7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8" xfId="0" applyFont="1" applyFill="1" applyBorder="1" applyAlignment="1" applyProtection="1">
      <alignment horizontal="center" vertical="center"/>
      <protection hidden="1"/>
    </xf>
    <xf numFmtId="0" fontId="5" fillId="7" borderId="64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6" fillId="0" borderId="61" xfId="0" applyFont="1" applyFill="1" applyBorder="1" applyAlignment="1" applyProtection="1">
      <alignment horizontal="center" vertical="center"/>
      <protection hidden="1"/>
    </xf>
    <xf numFmtId="0" fontId="6" fillId="0" borderId="59" xfId="0" applyFont="1" applyFill="1" applyBorder="1" applyAlignment="1" applyProtection="1">
      <alignment horizontal="center" vertical="center"/>
      <protection hidden="1"/>
    </xf>
    <xf numFmtId="0" fontId="5" fillId="11" borderId="58" xfId="0" applyFont="1" applyFill="1" applyBorder="1" applyAlignment="1" applyProtection="1">
      <alignment horizontal="center" vertical="center"/>
      <protection hidden="1"/>
    </xf>
    <xf numFmtId="0" fontId="5" fillId="7" borderId="65" xfId="0" applyFont="1" applyFill="1" applyBorder="1" applyAlignment="1" applyProtection="1">
      <alignment horizontal="center" vertical="center"/>
      <protection hidden="1"/>
    </xf>
    <xf numFmtId="2" fontId="0" fillId="16" borderId="85" xfId="0" applyNumberFormat="1" applyFont="1" applyFill="1" applyBorder="1" applyAlignment="1" applyProtection="1">
      <alignment horizontal="center" vertical="center"/>
      <protection hidden="1"/>
    </xf>
    <xf numFmtId="0" fontId="0" fillId="21" borderId="82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 textRotation="90"/>
      <protection locked="0" hidden="1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93" xfId="0" applyFont="1" applyBorder="1" applyAlignment="1" applyProtection="1">
      <alignment horizontal="center" vertical="center" textRotation="90"/>
      <protection locked="0" hidden="1"/>
    </xf>
    <xf numFmtId="0" fontId="0" fillId="0" borderId="11" xfId="0" applyBorder="1" applyAlignment="1" applyProtection="1">
      <alignment horizontal="center" vertical="center" textRotation="90"/>
      <protection locked="0" hidden="1"/>
    </xf>
    <xf numFmtId="0" fontId="0" fillId="0" borderId="30" xfId="0" applyBorder="1" applyAlignment="1" applyProtection="1">
      <alignment horizontal="center" vertical="center"/>
      <protection locked="0"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20" borderId="37" xfId="0" applyFill="1" applyBorder="1" applyAlignment="1" applyProtection="1">
      <alignment horizontal="center" vertical="center"/>
    </xf>
    <xf numFmtId="0" fontId="0" fillId="20" borderId="38" xfId="0" applyFill="1" applyBorder="1" applyAlignment="1" applyProtection="1">
      <alignment horizontal="center" vertical="center"/>
    </xf>
    <xf numFmtId="0" fontId="2" fillId="20" borderId="90" xfId="0" applyFont="1" applyFill="1" applyBorder="1" applyAlignment="1" applyProtection="1">
      <alignment horizontal="center" vertical="center" wrapText="1"/>
    </xf>
    <xf numFmtId="0" fontId="2" fillId="20" borderId="91" xfId="0" applyFont="1" applyFill="1" applyBorder="1" applyAlignment="1" applyProtection="1">
      <alignment horizontal="center" vertical="center" wrapText="1"/>
    </xf>
    <xf numFmtId="0" fontId="5" fillId="21" borderId="33" xfId="0" applyFont="1" applyFill="1" applyBorder="1" applyAlignment="1" applyProtection="1">
      <alignment horizontal="center" vertical="center"/>
    </xf>
    <xf numFmtId="0" fontId="5" fillId="21" borderId="34" xfId="0" applyFont="1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21" borderId="50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7" borderId="34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0" fillId="12" borderId="34" xfId="0" applyFill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5" fillId="0" borderId="16" xfId="0" applyFont="1" applyBorder="1" applyAlignment="1" applyProtection="1">
      <alignment horizontal="center" vertical="center"/>
      <protection hidden="1"/>
    </xf>
    <xf numFmtId="0" fontId="5" fillId="0" borderId="78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2" xfId="0" applyFont="1" applyBorder="1" applyAlignment="1" applyProtection="1">
      <alignment horizontal="center" vertical="center"/>
      <protection hidden="1"/>
    </xf>
    <xf numFmtId="0" fontId="5" fillId="0" borderId="27" xfId="0" applyFont="1" applyBorder="1" applyAlignment="1" applyProtection="1">
      <alignment horizontal="center" vertical="center"/>
      <protection hidden="1"/>
    </xf>
    <xf numFmtId="0" fontId="5" fillId="0" borderId="79" xfId="0" applyFont="1" applyBorder="1" applyAlignment="1" applyProtection="1">
      <alignment horizontal="center" vertical="center"/>
      <protection hidden="1"/>
    </xf>
    <xf numFmtId="0" fontId="0" fillId="21" borderId="8" xfId="0" applyFont="1" applyFill="1" applyBorder="1" applyAlignment="1" applyProtection="1">
      <alignment horizontal="center" vertical="center"/>
      <protection hidden="1"/>
    </xf>
    <xf numFmtId="0" fontId="0" fillId="21" borderId="81" xfId="0" applyFont="1" applyFill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7" xfId="0" applyFill="1" applyBorder="1" applyAlignment="1" applyProtection="1">
      <alignment horizontal="center" vertical="center" wrapText="1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colors>
    <mruColors>
      <color rgb="FFFF5D37"/>
      <color rgb="FFB07BD7"/>
      <color rgb="FFFF3300"/>
      <color rgb="FFFFCF37"/>
      <color rgb="FFE0C13C"/>
      <color rgb="FF33CC33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C30"/>
  <sheetViews>
    <sheetView zoomScale="90" zoomScaleNormal="90" workbookViewId="0">
      <selection activeCell="A2" sqref="A2:A3"/>
    </sheetView>
  </sheetViews>
  <sheetFormatPr baseColWidth="10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55" t="s">
        <v>77</v>
      </c>
      <c r="B1" s="231" t="s">
        <v>0</v>
      </c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2"/>
      <c r="AC1" s="56" t="s">
        <v>43</v>
      </c>
    </row>
    <row r="2" spans="1:29" ht="24.95" customHeight="1" thickTop="1" x14ac:dyDescent="0.25">
      <c r="A2" s="233" t="s">
        <v>1</v>
      </c>
      <c r="B2" s="235" t="s">
        <v>2</v>
      </c>
      <c r="C2" s="235"/>
      <c r="D2" s="235"/>
      <c r="E2" s="236"/>
      <c r="F2" s="237" t="s">
        <v>3</v>
      </c>
      <c r="G2" s="238"/>
      <c r="H2" s="238"/>
      <c r="I2" s="239"/>
      <c r="J2" s="237" t="s">
        <v>4</v>
      </c>
      <c r="K2" s="238"/>
      <c r="L2" s="238"/>
      <c r="M2" s="239"/>
      <c r="N2" s="237" t="s">
        <v>5</v>
      </c>
      <c r="O2" s="238"/>
      <c r="P2" s="238"/>
      <c r="Q2" s="239"/>
      <c r="R2" s="237" t="s">
        <v>6</v>
      </c>
      <c r="S2" s="238"/>
      <c r="T2" s="238"/>
      <c r="U2" s="239"/>
      <c r="V2" s="240" t="s">
        <v>41</v>
      </c>
      <c r="W2" s="241"/>
      <c r="X2" s="242"/>
      <c r="Y2" s="243" t="s">
        <v>38</v>
      </c>
      <c r="Z2" s="244"/>
      <c r="AA2" s="245"/>
      <c r="AC2" s="57" t="s">
        <v>78</v>
      </c>
    </row>
    <row r="3" spans="1:29" ht="24.95" customHeight="1" thickBot="1" x14ac:dyDescent="0.3">
      <c r="A3" s="234"/>
      <c r="B3" s="38" t="s">
        <v>33</v>
      </c>
      <c r="C3" s="39" t="s">
        <v>34</v>
      </c>
      <c r="D3" s="38" t="s">
        <v>35</v>
      </c>
      <c r="E3" s="40" t="s">
        <v>10</v>
      </c>
      <c r="F3" s="41" t="s">
        <v>33</v>
      </c>
      <c r="G3" s="42" t="s">
        <v>34</v>
      </c>
      <c r="H3" s="43" t="s">
        <v>35</v>
      </c>
      <c r="I3" s="44" t="s">
        <v>10</v>
      </c>
      <c r="J3" s="45" t="s">
        <v>33</v>
      </c>
      <c r="K3" s="46" t="s">
        <v>34</v>
      </c>
      <c r="L3" s="43" t="s">
        <v>35</v>
      </c>
      <c r="M3" s="44" t="s">
        <v>10</v>
      </c>
      <c r="N3" s="41" t="s">
        <v>33</v>
      </c>
      <c r="O3" s="47" t="s">
        <v>34</v>
      </c>
      <c r="P3" s="43" t="s">
        <v>35</v>
      </c>
      <c r="Q3" s="44" t="s">
        <v>10</v>
      </c>
      <c r="R3" s="41" t="s">
        <v>33</v>
      </c>
      <c r="S3" s="47" t="s">
        <v>34</v>
      </c>
      <c r="T3" s="43" t="s">
        <v>35</v>
      </c>
      <c r="U3" s="44" t="s">
        <v>10</v>
      </c>
      <c r="V3" s="35" t="s">
        <v>33</v>
      </c>
      <c r="W3" s="36" t="s">
        <v>34</v>
      </c>
      <c r="X3" s="36" t="s">
        <v>35</v>
      </c>
      <c r="Y3" s="37" t="s">
        <v>39</v>
      </c>
      <c r="Z3" s="48" t="s">
        <v>50</v>
      </c>
      <c r="AA3" s="58" t="s">
        <v>40</v>
      </c>
      <c r="AB3" s="59"/>
      <c r="AC3" s="60" t="s">
        <v>194</v>
      </c>
    </row>
    <row r="4" spans="1:29" ht="15.75" customHeight="1" thickTop="1" x14ac:dyDescent="0.25">
      <c r="A4" s="61" t="str">
        <f ca="1">CELL("contenu",INDIRECT(ADDRESS(ROW()-2,3,1,,CELL("contenu",$AC$3))))</f>
        <v>ANDRE Lucas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>C</v>
      </c>
      <c r="D4" s="4" t="str">
        <f ca="1">CELL("contenu",INDIRECT(ADDRESS(ref!$K$3,ref!G3,1,,CELL("contenu",$AC$2))))</f>
        <v/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>A</v>
      </c>
      <c r="G4" s="3" t="str">
        <f ca="1">CELL("contenu",INDIRECT(ADDRESS(ref!$K$4,ref!F3,1,,CELL("contenu",$AC$2))))</f>
        <v>B</v>
      </c>
      <c r="H4" s="4" t="str">
        <f ca="1">CELL("contenu",INDIRECT(ADDRESS(ref!$K$4,ref!G3,1,,CELL("contenu",$AC$2))))</f>
        <v/>
      </c>
      <c r="I4" s="5" t="str">
        <f ca="1">CELL("contenu",INDIRECT(ADDRESS(ref!$K$4,ref!H3,1,,CELL("contenu",$AC$2))))</f>
        <v>A</v>
      </c>
      <c r="J4" s="6" t="str">
        <f ca="1">CELL("contenu",INDIRECT(ADDRESS(ref!$K$5,ref!E3,1,,CELL("contenu",$AC$2))))</f>
        <v>A</v>
      </c>
      <c r="K4" s="3" t="str">
        <f ca="1">CELL("contenu",INDIRECT(ADDRESS(ref!$K$5,ref!F3,1,,CELL("contenu",$AC$2))))</f>
        <v>A</v>
      </c>
      <c r="L4" s="4" t="str">
        <f ca="1">CELL("contenu",INDIRECT(ADDRESS(ref!$K$5,ref!G3,1,,CELL("contenu",$AC$2))))</f>
        <v/>
      </c>
      <c r="M4" s="5" t="str">
        <f ca="1">CELL("contenu",INDIRECT(ADDRESS(ref!$K$5,ref!H3,1,,CELL("contenu",$AC$2))))</f>
        <v>A</v>
      </c>
      <c r="N4" s="6" t="str">
        <f ca="1">CELL("contenu",INDIRECT(ADDRESS(ref!$K$6,ref!E3,1,,CELL("contenu",$AC$2))))</f>
        <v>D</v>
      </c>
      <c r="O4" s="3" t="str">
        <f ca="1">CELL("contenu",INDIRECT(ADDRESS(ref!$K$6,ref!F3,1,,CELL("contenu",$AC$2))))</f>
        <v>D</v>
      </c>
      <c r="P4" s="4" t="str">
        <f ca="1">CELL("contenu",INDIRECT(ADDRESS(ref!$K$6,ref!G3,1,,CELL("contenu",$AC$2))))</f>
        <v/>
      </c>
      <c r="Q4" s="5" t="str">
        <f ca="1">CELL("contenu",INDIRECT(ADDRESS(ref!$K$6,ref!H3,1,,CELL("contenu",$AC$2))))</f>
        <v>D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9">
        <f ca="1">CELL("contenu",INDIRECT(ADDRESS(ref!$K$8,ref!E3,1,,CELL("contenu",$AC$2))))</f>
        <v>12.407407407407407</v>
      </c>
      <c r="W4" s="50">
        <f ca="1">CELL("contenu",INDIRECT(ADDRESS(ref!$K$8,ref!F3,1,,CELL("contenu",$AC$2))))</f>
        <v>11.666666666666668</v>
      </c>
      <c r="X4" s="51" t="str">
        <f ca="1">CELL("contenu",INDIRECT(ADDRESS(ref!$K$8,ref!G3,1,,CELL("contenu",$AC$2))))</f>
        <v/>
      </c>
      <c r="Y4" s="7" t="str">
        <f ca="1">CELL("contenu",INDIRECT(ADDRESS(ref!$K$9,ref!H3,1,,CELL("contenu",$AC$2))))</f>
        <v>A</v>
      </c>
      <c r="Z4" s="4" t="str">
        <f ca="1">CELL("contenu",INDIRECT(ADDRESS(ref!$K$10,ref!H3,1,,CELL("contenu",$AC$2))))</f>
        <v/>
      </c>
      <c r="AA4" s="8" t="str">
        <f ca="1">CELL("contenu",INDIRECT(ADDRESS(ref!$K$11,ref!H3,1,,CELL("contenu",$AC$2))))</f>
        <v>A</v>
      </c>
    </row>
    <row r="5" spans="1:29" x14ac:dyDescent="0.25">
      <c r="A5" s="61" t="str">
        <f t="shared" ref="A5:A30" ca="1" si="0">CELL("contenu",INDIRECT(ADDRESS(ROW()-2,3,1,,CELL("contenu",$AC$3))))</f>
        <v>ARBIB Nolan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>C</v>
      </c>
      <c r="D5" s="4" t="str">
        <f ca="1">CELL("contenu",INDIRECT(ADDRESS(ref!$K$3,ref!G4,1,,CELL("contenu",$AC$2))))</f>
        <v/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>A</v>
      </c>
      <c r="G5" s="3" t="str">
        <f ca="1">CELL("contenu",INDIRECT(ADDRESS(ref!$K$4,ref!F4,1,,CELL("contenu",$AC$2))))</f>
        <v>B</v>
      </c>
      <c r="H5" s="4" t="str">
        <f ca="1">CELL("contenu",INDIRECT(ADDRESS(ref!$K$4,ref!G4,1,,CELL("contenu",$AC$2))))</f>
        <v/>
      </c>
      <c r="I5" s="5" t="str">
        <f ca="1">CELL("contenu",INDIRECT(ADDRESS(ref!$K$4,ref!H4,1,,CELL("contenu",$AC$2))))</f>
        <v>B</v>
      </c>
      <c r="J5" s="6" t="str">
        <f ca="1">CELL("contenu",INDIRECT(ADDRESS(ref!$K$5,ref!E4,1,,CELL("contenu",$AC$2))))</f>
        <v>A</v>
      </c>
      <c r="K5" s="3" t="str">
        <f ca="1">CELL("contenu",INDIRECT(ADDRESS(ref!$K$5,ref!F4,1,,CELL("contenu",$AC$2))))</f>
        <v>A</v>
      </c>
      <c r="L5" s="4" t="str">
        <f ca="1">CELL("contenu",INDIRECT(ADDRESS(ref!$K$5,ref!G4,1,,CELL("contenu",$AC$2))))</f>
        <v/>
      </c>
      <c r="M5" s="5" t="str">
        <f ca="1">CELL("contenu",INDIRECT(ADDRESS(ref!$K$5,ref!H4,1,,CELL("contenu",$AC$2))))</f>
        <v>A</v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>C</v>
      </c>
      <c r="P5" s="4" t="str">
        <f ca="1">CELL("contenu",INDIRECT(ADDRESS(ref!$K$6,ref!G4,1,,CELL("contenu",$AC$2))))</f>
        <v/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9">
        <f ca="1">CELL("contenu",INDIRECT(ADDRESS(ref!$K$8,ref!E4,1,,CELL("contenu",$AC$2))))</f>
        <v>12.222222222222223</v>
      </c>
      <c r="W5" s="50">
        <f ca="1">CELL("contenu",INDIRECT(ADDRESS(ref!$K$8,ref!F4,1,,CELL("contenu",$AC$2))))</f>
        <v>12.592592592592593</v>
      </c>
      <c r="X5" s="51" t="str">
        <f ca="1">CELL("contenu",INDIRECT(ADDRESS(ref!$K$8,ref!G4,1,,CELL("contenu",$AC$2))))</f>
        <v/>
      </c>
      <c r="Y5" s="7" t="str">
        <f ca="1">CELL("contenu",INDIRECT(ADDRESS(ref!$K$9,ref!H4,1,,CELL("contenu",$AC$2))))</f>
        <v>B</v>
      </c>
      <c r="Z5" s="4" t="str">
        <f ca="1">CELL("contenu",INDIRECT(ADDRESS(ref!$K$10,ref!H4,1,,CELL("contenu",$AC$2))))</f>
        <v/>
      </c>
      <c r="AA5" s="8" t="str">
        <f ca="1">CELL("contenu",INDIRECT(ADDRESS(ref!$K$11,ref!H4,1,,CELL("contenu",$AC$2))))</f>
        <v>A</v>
      </c>
    </row>
    <row r="6" spans="1:29" x14ac:dyDescent="0.25">
      <c r="A6" s="61" t="str">
        <f t="shared" ca="1" si="0"/>
        <v>BARRIETIS Jael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>C</v>
      </c>
      <c r="D6" s="4" t="str">
        <f ca="1">CELL("contenu",INDIRECT(ADDRESS(ref!$K$3,ref!G5,1,,CELL("contenu",$AC$2))))</f>
        <v/>
      </c>
      <c r="E6" s="5" t="str">
        <f ca="1">CELL("contenu",INDIRECT(ADDRESS(ref!$K$3,ref!H5,1,,CELL("contenu",$AC$2))))</f>
        <v>C</v>
      </c>
      <c r="F6" s="6" t="str">
        <f ca="1">CELL("contenu",INDIRECT(ADDRESS(ref!$K$4,ref!E5,1,,CELL("contenu",$AC$2))))</f>
        <v>A</v>
      </c>
      <c r="G6" s="3" t="str">
        <f ca="1">CELL("contenu",INDIRECT(ADDRESS(ref!$K$4,ref!F5,1,,CELL("contenu",$AC$2))))</f>
        <v>A</v>
      </c>
      <c r="H6" s="4" t="str">
        <f ca="1">CELL("contenu",INDIRECT(ADDRESS(ref!$K$4,ref!G5,1,,CELL("contenu",$AC$2))))</f>
        <v/>
      </c>
      <c r="I6" s="5" t="str">
        <f ca="1">CELL("contenu",INDIRECT(ADDRESS(ref!$K$4,ref!H5,1,,CELL("contenu",$AC$2))))</f>
        <v>A</v>
      </c>
      <c r="J6" s="6" t="str">
        <f ca="1">CELL("contenu",INDIRECT(ADDRESS(ref!$K$5,ref!E5,1,,CELL("contenu",$AC$2))))</f>
        <v>A</v>
      </c>
      <c r="K6" s="3" t="str">
        <f ca="1">CELL("contenu",INDIRECT(ADDRESS(ref!$K$5,ref!F5,1,,CELL("contenu",$AC$2))))</f>
        <v>C</v>
      </c>
      <c r="L6" s="4" t="str">
        <f ca="1">CELL("contenu",INDIRECT(ADDRESS(ref!$K$5,ref!G5,1,,CELL("contenu",$AC$2))))</f>
        <v/>
      </c>
      <c r="M6" s="5" t="str">
        <f ca="1">CELL("contenu",INDIRECT(ADDRESS(ref!$K$5,ref!H5,1,,CELL("contenu",$AC$2))))</f>
        <v>B</v>
      </c>
      <c r="N6" s="6" t="str">
        <f ca="1">CELL("contenu",INDIRECT(ADDRESS(ref!$K$6,ref!E5,1,,CELL("contenu",$AC$2))))</f>
        <v>D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/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9">
        <f ca="1">CELL("contenu",INDIRECT(ADDRESS(ref!$K$8,ref!E5,1,,CELL("contenu",$AC$2))))</f>
        <v>12.314814814814813</v>
      </c>
      <c r="W6" s="50">
        <f ca="1">CELL("contenu",INDIRECT(ADDRESS(ref!$K$8,ref!F5,1,,CELL("contenu",$AC$2))))</f>
        <v>11.342592592592593</v>
      </c>
      <c r="X6" s="51" t="str">
        <f ca="1">CELL("contenu",INDIRECT(ADDRESS(ref!$K$8,ref!G5,1,,CELL("contenu",$AC$2))))</f>
        <v/>
      </c>
      <c r="Y6" s="7" t="str">
        <f ca="1">CELL("contenu",INDIRECT(ADDRESS(ref!$K$9,ref!H5,1,,CELL("contenu",$AC$2))))</f>
        <v>A</v>
      </c>
      <c r="Z6" s="4" t="str">
        <f ca="1">CELL("contenu",INDIRECT(ADDRESS(ref!$K$10,ref!H5,1,,CELL("contenu",$AC$2))))</f>
        <v/>
      </c>
      <c r="AA6" s="8" t="str">
        <f ca="1">CELL("contenu",INDIRECT(ADDRESS(ref!$K$11,ref!H5,1,,CELL("contenu",$AC$2))))</f>
        <v>B</v>
      </c>
    </row>
    <row r="7" spans="1:29" x14ac:dyDescent="0.25">
      <c r="A7" s="61" t="str">
        <f t="shared" ca="1" si="0"/>
        <v>BONNEAU Victor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>C</v>
      </c>
      <c r="D7" s="4" t="str">
        <f ca="1">CELL("contenu",INDIRECT(ADDRESS(ref!$K$3,ref!G6,1,,CELL("contenu",$AC$2))))</f>
        <v/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>A</v>
      </c>
      <c r="G7" s="3" t="str">
        <f ca="1">CELL("contenu",INDIRECT(ADDRESS(ref!$K$4,ref!F6,1,,CELL("contenu",$AC$2))))</f>
        <v>B</v>
      </c>
      <c r="H7" s="4" t="str">
        <f ca="1">CELL("contenu",INDIRECT(ADDRESS(ref!$K$4,ref!G6,1,,CELL("contenu",$AC$2))))</f>
        <v/>
      </c>
      <c r="I7" s="5" t="str">
        <f ca="1">CELL("contenu",INDIRECT(ADDRESS(ref!$K$4,ref!H6,1,,CELL("contenu",$AC$2))))</f>
        <v>A</v>
      </c>
      <c r="J7" s="6" t="str">
        <f ca="1">CELL("contenu",INDIRECT(ADDRESS(ref!$K$5,ref!E6,1,,CELL("contenu",$AC$2))))</f>
        <v>A</v>
      </c>
      <c r="K7" s="3" t="str">
        <f ca="1">CELL("contenu",INDIRECT(ADDRESS(ref!$K$5,ref!F6,1,,CELL("contenu",$AC$2))))</f>
        <v>A</v>
      </c>
      <c r="L7" s="4" t="str">
        <f ca="1">CELL("contenu",INDIRECT(ADDRESS(ref!$K$5,ref!G6,1,,CELL("contenu",$AC$2))))</f>
        <v/>
      </c>
      <c r="M7" s="5" t="str">
        <f ca="1">CELL("contenu",INDIRECT(ADDRESS(ref!$K$5,ref!H6,1,,CELL("contenu",$AC$2))))</f>
        <v>A</v>
      </c>
      <c r="N7" s="6" t="str">
        <f ca="1">CELL("contenu",INDIRECT(ADDRESS(ref!$K$6,ref!E6,1,,CELL("contenu",$AC$2))))</f>
        <v>C</v>
      </c>
      <c r="O7" s="3" t="str">
        <f ca="1">CELL("contenu",INDIRECT(ADDRESS(ref!$K$6,ref!F6,1,,CELL("contenu",$AC$2))))</f>
        <v>C</v>
      </c>
      <c r="P7" s="4" t="str">
        <f ca="1">CELL("contenu",INDIRECT(ADDRESS(ref!$K$6,ref!G6,1,,CELL("contenu",$AC$2))))</f>
        <v/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9">
        <f ca="1">CELL("contenu",INDIRECT(ADDRESS(ref!$K$8,ref!E6,1,,CELL("contenu",$AC$2))))</f>
        <v>12.685185185185187</v>
      </c>
      <c r="W7" s="50">
        <f ca="1">CELL("contenu",INDIRECT(ADDRESS(ref!$K$8,ref!F6,1,,CELL("contenu",$AC$2))))</f>
        <v>12.361111111111109</v>
      </c>
      <c r="X7" s="51" t="str">
        <f ca="1">CELL("contenu",INDIRECT(ADDRESS(ref!$K$8,ref!G6,1,,CELL("contenu",$AC$2))))</f>
        <v/>
      </c>
      <c r="Y7" s="7" t="str">
        <f ca="1">CELL("contenu",INDIRECT(ADDRESS(ref!$K$9,ref!H6,1,,CELL("contenu",$AC$2))))</f>
        <v>A</v>
      </c>
      <c r="Z7" s="4" t="str">
        <f ca="1">CELL("contenu",INDIRECT(ADDRESS(ref!$K$10,ref!H6,1,,CELL("contenu",$AC$2))))</f>
        <v/>
      </c>
      <c r="AA7" s="8" t="str">
        <f ca="1">CELL("contenu",INDIRECT(ADDRESS(ref!$K$11,ref!H6,1,,CELL("contenu",$AC$2))))</f>
        <v>A</v>
      </c>
    </row>
    <row r="8" spans="1:29" x14ac:dyDescent="0.25">
      <c r="A8" s="61" t="str">
        <f t="shared" ca="1" si="0"/>
        <v>BRARD Prune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C</v>
      </c>
      <c r="D8" s="4" t="str">
        <f ca="1">CELL("contenu",INDIRECT(ADDRESS(ref!$K$3,ref!G7,1,,CELL("contenu",$AC$2))))</f>
        <v/>
      </c>
      <c r="E8" s="5" t="str">
        <f ca="1">CELL("contenu",INDIRECT(ADDRESS(ref!$K$3,ref!H7,1,,CELL("contenu",$AC$2))))</f>
        <v>C</v>
      </c>
      <c r="F8" s="6" t="str">
        <f ca="1">CELL("contenu",INDIRECT(ADDRESS(ref!$K$4,ref!E7,1,,CELL("contenu",$AC$2))))</f>
        <v>A</v>
      </c>
      <c r="G8" s="3" t="str">
        <f ca="1">CELL("contenu",INDIRECT(ADDRESS(ref!$K$4,ref!F7,1,,CELL("contenu",$AC$2))))</f>
        <v>A</v>
      </c>
      <c r="H8" s="4" t="str">
        <f ca="1">CELL("contenu",INDIRECT(ADDRESS(ref!$K$4,ref!G7,1,,CELL("contenu",$AC$2))))</f>
        <v/>
      </c>
      <c r="I8" s="5" t="str">
        <f ca="1">CELL("contenu",INDIRECT(ADDRESS(ref!$K$4,ref!H7,1,,CELL("contenu",$AC$2))))</f>
        <v>A</v>
      </c>
      <c r="J8" s="6" t="str">
        <f ca="1">CELL("contenu",INDIRECT(ADDRESS(ref!$K$5,ref!E7,1,,CELL("contenu",$AC$2))))</f>
        <v>A</v>
      </c>
      <c r="K8" s="3" t="str">
        <f ca="1">CELL("contenu",INDIRECT(ADDRESS(ref!$K$5,ref!F7,1,,CELL("contenu",$AC$2))))</f>
        <v>A</v>
      </c>
      <c r="L8" s="4" t="str">
        <f ca="1">CELL("contenu",INDIRECT(ADDRESS(ref!$K$5,ref!G7,1,,CELL("contenu",$AC$2))))</f>
        <v/>
      </c>
      <c r="M8" s="5" t="str">
        <f ca="1">CELL("contenu",INDIRECT(ADDRESS(ref!$K$5,ref!H7,1,,CELL("contenu",$AC$2))))</f>
        <v>A</v>
      </c>
      <c r="N8" s="6" t="str">
        <f ca="1">CELL("contenu",INDIRECT(ADDRESS(ref!$K$6,ref!E7,1,,CELL("contenu",$AC$2))))</f>
        <v>C</v>
      </c>
      <c r="O8" s="3" t="str">
        <f ca="1">CELL("contenu",INDIRECT(ADDRESS(ref!$K$6,ref!F7,1,,CELL("contenu",$AC$2))))</f>
        <v>C</v>
      </c>
      <c r="P8" s="4" t="str">
        <f ca="1">CELL("contenu",INDIRECT(ADDRESS(ref!$K$6,ref!G7,1,,CELL("contenu",$AC$2))))</f>
        <v/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9">
        <f ca="1">CELL("contenu",INDIRECT(ADDRESS(ref!$K$8,ref!E7,1,,CELL("contenu",$AC$2))))</f>
        <v>15</v>
      </c>
      <c r="W8" s="50">
        <f ca="1">CELL("contenu",INDIRECT(ADDRESS(ref!$K$8,ref!F7,1,,CELL("contenu",$AC$2))))</f>
        <v>15.416666666666668</v>
      </c>
      <c r="X8" s="51" t="str">
        <f ca="1">CELL("contenu",INDIRECT(ADDRESS(ref!$K$8,ref!G7,1,,CELL("contenu",$AC$2))))</f>
        <v/>
      </c>
      <c r="Y8" s="7" t="str">
        <f ca="1">CELL("contenu",INDIRECT(ADDRESS(ref!$K$9,ref!H7,1,,CELL("contenu",$AC$2))))</f>
        <v>A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>A</v>
      </c>
    </row>
    <row r="9" spans="1:29" x14ac:dyDescent="0.25">
      <c r="A9" s="61" t="str">
        <f t="shared" ca="1" si="0"/>
        <v>COELHO Bergeline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>C</v>
      </c>
      <c r="D9" s="4" t="str">
        <f ca="1">CELL("contenu",INDIRECT(ADDRESS(ref!$K$3,ref!G8,1,,CELL("contenu",$AC$2))))</f>
        <v/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>A</v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/>
      </c>
      <c r="I9" s="5" t="str">
        <f ca="1">CELL("contenu",INDIRECT(ADDRESS(ref!$K$4,ref!H8,1,,CELL("contenu",$AC$2))))</f>
        <v>B</v>
      </c>
      <c r="J9" s="6" t="str">
        <f ca="1">CELL("contenu",INDIRECT(ADDRESS(ref!$K$5,ref!E8,1,,CELL("contenu",$AC$2))))</f>
        <v>A</v>
      </c>
      <c r="K9" s="3" t="str">
        <f ca="1">CELL("contenu",INDIRECT(ADDRESS(ref!$K$5,ref!F8,1,,CELL("contenu",$AC$2))))</f>
        <v>A</v>
      </c>
      <c r="L9" s="4" t="str">
        <f ca="1">CELL("contenu",INDIRECT(ADDRESS(ref!$K$5,ref!G8,1,,CELL("contenu",$AC$2))))</f>
        <v/>
      </c>
      <c r="M9" s="5" t="str">
        <f ca="1">CELL("contenu",INDIRECT(ADDRESS(ref!$K$5,ref!H8,1,,CELL("contenu",$AC$2))))</f>
        <v>A</v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>C</v>
      </c>
      <c r="P9" s="4" t="str">
        <f ca="1">CELL("contenu",INDIRECT(ADDRESS(ref!$K$6,ref!G8,1,,CELL("contenu",$AC$2))))</f>
        <v/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9">
        <f ca="1">CELL("contenu",INDIRECT(ADDRESS(ref!$K$8,ref!E8,1,,CELL("contenu",$AC$2))))</f>
        <v>13.518518518518519</v>
      </c>
      <c r="W9" s="50">
        <f ca="1">CELL("contenu",INDIRECT(ADDRESS(ref!$K$8,ref!F8,1,,CELL("contenu",$AC$2))))</f>
        <v>11.851851851851851</v>
      </c>
      <c r="X9" s="51" t="str">
        <f ca="1">CELL("contenu",INDIRECT(ADDRESS(ref!$K$8,ref!G8,1,,CELL("contenu",$AC$2))))</f>
        <v/>
      </c>
      <c r="Y9" s="7" t="str">
        <f ca="1">CELL("contenu",INDIRECT(ADDRESS(ref!$K$9,ref!H8,1,,CELL("contenu",$AC$2))))</f>
        <v>B</v>
      </c>
      <c r="Z9" s="4" t="str">
        <f ca="1">CELL("contenu",INDIRECT(ADDRESS(ref!$K$10,ref!H8,1,,CELL("contenu",$AC$2))))</f>
        <v/>
      </c>
      <c r="AA9" s="8" t="str">
        <f ca="1">CELL("contenu",INDIRECT(ADDRESS(ref!$K$11,ref!H8,1,,CELL("contenu",$AC$2))))</f>
        <v>A</v>
      </c>
    </row>
    <row r="10" spans="1:29" x14ac:dyDescent="0.25">
      <c r="A10" s="61" t="str">
        <f t="shared" ca="1" si="0"/>
        <v>DELBOUSCAS Margaux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>C</v>
      </c>
      <c r="D10" s="4" t="str">
        <f ca="1">CELL("contenu",INDIRECT(ADDRESS(ref!$K$3,ref!G9,1,,CELL("contenu",$AC$2))))</f>
        <v/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>A</v>
      </c>
      <c r="G10" s="3" t="str">
        <f ca="1">CELL("contenu",INDIRECT(ADDRESS(ref!$K$4,ref!F9,1,,CELL("contenu",$AC$2))))</f>
        <v>B</v>
      </c>
      <c r="H10" s="4" t="str">
        <f ca="1">CELL("contenu",INDIRECT(ADDRESS(ref!$K$4,ref!G9,1,,CELL("contenu",$AC$2))))</f>
        <v/>
      </c>
      <c r="I10" s="5" t="str">
        <f ca="1">CELL("contenu",INDIRECT(ADDRESS(ref!$K$4,ref!H9,1,,CELL("contenu",$AC$2))))</f>
        <v>B</v>
      </c>
      <c r="J10" s="6" t="str">
        <f ca="1">CELL("contenu",INDIRECT(ADDRESS(ref!$K$5,ref!E9,1,,CELL("contenu",$AC$2))))</f>
        <v>A</v>
      </c>
      <c r="K10" s="3" t="str">
        <f ca="1">CELL("contenu",INDIRECT(ADDRESS(ref!$K$5,ref!F9,1,,CELL("contenu",$AC$2))))</f>
        <v>A</v>
      </c>
      <c r="L10" s="4" t="str">
        <f ca="1">CELL("contenu",INDIRECT(ADDRESS(ref!$K$5,ref!G9,1,,CELL("contenu",$AC$2))))</f>
        <v/>
      </c>
      <c r="M10" s="5" t="str">
        <f ca="1">CELL("contenu",INDIRECT(ADDRESS(ref!$K$5,ref!H9,1,,CELL("contenu",$AC$2))))</f>
        <v>A</v>
      </c>
      <c r="N10" s="6" t="str">
        <f ca="1">CELL("contenu",INDIRECT(ADDRESS(ref!$K$6,ref!E9,1,,CELL("contenu",$AC$2))))</f>
        <v>C</v>
      </c>
      <c r="O10" s="3" t="str">
        <f ca="1">CELL("contenu",INDIRECT(ADDRESS(ref!$K$6,ref!F9,1,,CELL("contenu",$AC$2))))</f>
        <v>C</v>
      </c>
      <c r="P10" s="4" t="str">
        <f ca="1">CELL("contenu",INDIRECT(ADDRESS(ref!$K$6,ref!G9,1,,CELL("contenu",$AC$2))))</f>
        <v/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9">
        <f ca="1">CELL("contenu",INDIRECT(ADDRESS(ref!$K$8,ref!E9,1,,CELL("contenu",$AC$2))))</f>
        <v>14.259259259259258</v>
      </c>
      <c r="W10" s="50">
        <f ca="1">CELL("contenu",INDIRECT(ADDRESS(ref!$K$8,ref!F9,1,,CELL("contenu",$AC$2))))</f>
        <v>12.12962962962963</v>
      </c>
      <c r="X10" s="51" t="str">
        <f ca="1">CELL("contenu",INDIRECT(ADDRESS(ref!$K$8,ref!G9,1,,CELL("contenu",$AC$2))))</f>
        <v/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/>
      </c>
      <c r="AA10" s="8" t="str">
        <f ca="1">CELL("contenu",INDIRECT(ADDRESS(ref!$K$11,ref!H9,1,,CELL("contenu",$AC$2))))</f>
        <v>A</v>
      </c>
    </row>
    <row r="11" spans="1:29" x14ac:dyDescent="0.25">
      <c r="A11" s="61" t="str">
        <f t="shared" ca="1" si="0"/>
        <v>DELPLACE Gregoire</v>
      </c>
      <c r="B11" s="2" t="str">
        <f ca="1">CELL("contenu",INDIRECT(ADDRESS(ref!$K$3,ref!E10,1,,CELL("contenu",$AC$2))))</f>
        <v>B</v>
      </c>
      <c r="C11" s="3" t="str">
        <f ca="1">CELL("contenu",INDIRECT(ADDRESS(ref!$K$3,ref!F10,1,,CELL("contenu",$AC$2))))</f>
        <v>B</v>
      </c>
      <c r="D11" s="4" t="str">
        <f ca="1">CELL("contenu",INDIRECT(ADDRESS(ref!$K$3,ref!G10,1,,CELL("contenu",$AC$2))))</f>
        <v/>
      </c>
      <c r="E11" s="5" t="str">
        <f ca="1">CELL("contenu",INDIRECT(ADDRESS(ref!$K$3,ref!H10,1,,CELL("contenu",$AC$2))))</f>
        <v>B</v>
      </c>
      <c r="F11" s="6" t="str">
        <f ca="1">CELL("contenu",INDIRECT(ADDRESS(ref!$K$4,ref!E10,1,,CELL("contenu",$AC$2))))</f>
        <v>A</v>
      </c>
      <c r="G11" s="3" t="str">
        <f ca="1">CELL("contenu",INDIRECT(ADDRESS(ref!$K$4,ref!F10,1,,CELL("contenu",$AC$2))))</f>
        <v>B</v>
      </c>
      <c r="H11" s="4" t="str">
        <f ca="1">CELL("contenu",INDIRECT(ADDRESS(ref!$K$4,ref!G10,1,,CELL("contenu",$AC$2))))</f>
        <v/>
      </c>
      <c r="I11" s="5" t="str">
        <f ca="1">CELL("contenu",INDIRECT(ADDRESS(ref!$K$4,ref!H10,1,,CELL("contenu",$AC$2))))</f>
        <v>A</v>
      </c>
      <c r="J11" s="6" t="str">
        <f ca="1">CELL("contenu",INDIRECT(ADDRESS(ref!$K$5,ref!E10,1,,CELL("contenu",$AC$2))))</f>
        <v>A</v>
      </c>
      <c r="K11" s="3" t="str">
        <f ca="1">CELL("contenu",INDIRECT(ADDRESS(ref!$K$5,ref!F10,1,,CELL("contenu",$AC$2))))</f>
        <v>A</v>
      </c>
      <c r="L11" s="4" t="str">
        <f ca="1">CELL("contenu",INDIRECT(ADDRESS(ref!$K$5,ref!G10,1,,CELL("contenu",$AC$2))))</f>
        <v/>
      </c>
      <c r="M11" s="5" t="str">
        <f ca="1">CELL("contenu",INDIRECT(ADDRESS(ref!$K$5,ref!H10,1,,CELL("contenu",$AC$2))))</f>
        <v>A</v>
      </c>
      <c r="N11" s="6" t="str">
        <f ca="1">CELL("contenu",INDIRECT(ADDRESS(ref!$K$6,ref!E10,1,,CELL("contenu",$AC$2))))</f>
        <v>C</v>
      </c>
      <c r="O11" s="3" t="str">
        <f ca="1">CELL("contenu",INDIRECT(ADDRESS(ref!$K$6,ref!F10,1,,CELL("contenu",$AC$2))))</f>
        <v>C</v>
      </c>
      <c r="P11" s="4" t="str">
        <f ca="1">CELL("contenu",INDIRECT(ADDRESS(ref!$K$6,ref!G10,1,,CELL("contenu",$AC$2))))</f>
        <v/>
      </c>
      <c r="Q11" s="5" t="str">
        <f ca="1">CELL("contenu",INDIRECT(ADDRESS(ref!$K$6,ref!H10,1,,CELL("contenu",$AC$2))))</f>
        <v>C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9">
        <f ca="1">CELL("contenu",INDIRECT(ADDRESS(ref!$K$8,ref!E10,1,,CELL("contenu",$AC$2))))</f>
        <v>15.925925925925926</v>
      </c>
      <c r="W11" s="50">
        <f ca="1">CELL("contenu",INDIRECT(ADDRESS(ref!$K$8,ref!F10,1,,CELL("contenu",$AC$2))))</f>
        <v>15.416666666666668</v>
      </c>
      <c r="X11" s="51" t="str">
        <f ca="1">CELL("contenu",INDIRECT(ADDRESS(ref!$K$8,ref!G10,1,,CELL("contenu",$AC$2))))</f>
        <v/>
      </c>
      <c r="Y11" s="7" t="str">
        <f ca="1">CELL("contenu",INDIRECT(ADDRESS(ref!$K$9,ref!H10,1,,CELL("contenu",$AC$2))))</f>
        <v>A</v>
      </c>
      <c r="Z11" s="4" t="str">
        <f ca="1">CELL("contenu",INDIRECT(ADDRESS(ref!$K$10,ref!H10,1,,CELL("contenu",$AC$2))))</f>
        <v/>
      </c>
      <c r="AA11" s="8" t="str">
        <f ca="1">CELL("contenu",INDIRECT(ADDRESS(ref!$K$11,ref!H10,1,,CELL("contenu",$AC$2))))</f>
        <v>A</v>
      </c>
    </row>
    <row r="12" spans="1:29" x14ac:dyDescent="0.25">
      <c r="A12" s="61" t="str">
        <f t="shared" ca="1" si="0"/>
        <v>DU FRESNE DE VIREL Constance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>C</v>
      </c>
      <c r="D12" s="4" t="str">
        <f ca="1">CELL("contenu",INDIRECT(ADDRESS(ref!$K$3,ref!G11,1,,CELL("contenu",$AC$2))))</f>
        <v/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>A</v>
      </c>
      <c r="G12" s="3" t="str">
        <f ca="1">CELL("contenu",INDIRECT(ADDRESS(ref!$K$4,ref!F11,1,,CELL("contenu",$AC$2))))</f>
        <v>B</v>
      </c>
      <c r="H12" s="4" t="str">
        <f ca="1">CELL("contenu",INDIRECT(ADDRESS(ref!$K$4,ref!G11,1,,CELL("contenu",$AC$2))))</f>
        <v/>
      </c>
      <c r="I12" s="5" t="str">
        <f ca="1">CELL("contenu",INDIRECT(ADDRESS(ref!$K$4,ref!H11,1,,CELL("contenu",$AC$2))))</f>
        <v>B</v>
      </c>
      <c r="J12" s="6" t="str">
        <f ca="1">CELL("contenu",INDIRECT(ADDRESS(ref!$K$5,ref!E11,1,,CELL("contenu",$AC$2))))</f>
        <v>A</v>
      </c>
      <c r="K12" s="3" t="str">
        <f ca="1">CELL("contenu",INDIRECT(ADDRESS(ref!$K$5,ref!F11,1,,CELL("contenu",$AC$2))))</f>
        <v>C</v>
      </c>
      <c r="L12" s="4" t="str">
        <f ca="1">CELL("contenu",INDIRECT(ADDRESS(ref!$K$5,ref!G11,1,,CELL("contenu",$AC$2))))</f>
        <v/>
      </c>
      <c r="M12" s="5" t="str">
        <f ca="1">CELL("contenu",INDIRECT(ADDRESS(ref!$K$5,ref!H11,1,,CELL("contenu",$AC$2))))</f>
        <v>B</v>
      </c>
      <c r="N12" s="6" t="str">
        <f ca="1">CELL("contenu",INDIRECT(ADDRESS(ref!$K$6,ref!E11,1,,CELL("contenu",$AC$2))))</f>
        <v>C</v>
      </c>
      <c r="O12" s="3" t="str">
        <f ca="1">CELL("contenu",INDIRECT(ADDRESS(ref!$K$6,ref!F11,1,,CELL("contenu",$AC$2))))</f>
        <v>C</v>
      </c>
      <c r="P12" s="4" t="str">
        <f ca="1">CELL("contenu",INDIRECT(ADDRESS(ref!$K$6,ref!G11,1,,CELL("contenu",$AC$2))))</f>
        <v/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9">
        <f ca="1">CELL("contenu",INDIRECT(ADDRESS(ref!$K$8,ref!E11,1,,CELL("contenu",$AC$2))))</f>
        <v>13.518518518518519</v>
      </c>
      <c r="W12" s="50">
        <f ca="1">CELL("contenu",INDIRECT(ADDRESS(ref!$K$8,ref!F11,1,,CELL("contenu",$AC$2))))</f>
        <v>10.648148148148147</v>
      </c>
      <c r="X12" s="51" t="str">
        <f ca="1">CELL("contenu",INDIRECT(ADDRESS(ref!$K$8,ref!G11,1,,CELL("contenu",$AC$2))))</f>
        <v/>
      </c>
      <c r="Y12" s="7" t="str">
        <f ca="1">CELL("contenu",INDIRECT(ADDRESS(ref!$K$9,ref!H11,1,,CELL("contenu",$AC$2))))</f>
        <v>B</v>
      </c>
      <c r="Z12" s="4" t="str">
        <f ca="1">CELL("contenu",INDIRECT(ADDRESS(ref!$K$10,ref!H11,1,,CELL("contenu",$AC$2))))</f>
        <v/>
      </c>
      <c r="AA12" s="8" t="str">
        <f ca="1">CELL("contenu",INDIRECT(ADDRESS(ref!$K$11,ref!H11,1,,CELL("contenu",$AC$2))))</f>
        <v>B</v>
      </c>
    </row>
    <row r="13" spans="1:29" x14ac:dyDescent="0.25">
      <c r="A13" s="61" t="str">
        <f t="shared" ca="1" si="0"/>
        <v>FARMAN Edgar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>C</v>
      </c>
      <c r="D13" s="4" t="str">
        <f ca="1">CELL("contenu",INDIRECT(ADDRESS(ref!$K$3,ref!G12,1,,CELL("contenu",$AC$2))))</f>
        <v/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>A</v>
      </c>
      <c r="G13" s="3" t="str">
        <f ca="1">CELL("contenu",INDIRECT(ADDRESS(ref!$K$4,ref!F12,1,,CELL("contenu",$AC$2))))</f>
        <v>B</v>
      </c>
      <c r="H13" s="4" t="str">
        <f ca="1">CELL("contenu",INDIRECT(ADDRESS(ref!$K$4,ref!G12,1,,CELL("contenu",$AC$2))))</f>
        <v/>
      </c>
      <c r="I13" s="5" t="str">
        <f ca="1">CELL("contenu",INDIRECT(ADDRESS(ref!$K$4,ref!H12,1,,CELL("contenu",$AC$2))))</f>
        <v>B</v>
      </c>
      <c r="J13" s="6" t="str">
        <f ca="1">CELL("contenu",INDIRECT(ADDRESS(ref!$K$5,ref!E12,1,,CELL("contenu",$AC$2))))</f>
        <v>A</v>
      </c>
      <c r="K13" s="3" t="str">
        <f ca="1">CELL("contenu",INDIRECT(ADDRESS(ref!$K$5,ref!F12,1,,CELL("contenu",$AC$2))))</f>
        <v>A</v>
      </c>
      <c r="L13" s="4" t="str">
        <f ca="1">CELL("contenu",INDIRECT(ADDRESS(ref!$K$5,ref!G12,1,,CELL("contenu",$AC$2))))</f>
        <v/>
      </c>
      <c r="M13" s="5" t="str">
        <f ca="1">CELL("contenu",INDIRECT(ADDRESS(ref!$K$5,ref!H12,1,,CELL("contenu",$AC$2))))</f>
        <v>A</v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>C</v>
      </c>
      <c r="P13" s="4" t="str">
        <f ca="1">CELL("contenu",INDIRECT(ADDRESS(ref!$K$6,ref!G12,1,,CELL("contenu",$AC$2))))</f>
        <v/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9">
        <f ca="1">CELL("contenu",INDIRECT(ADDRESS(ref!$K$8,ref!E12,1,,CELL("contenu",$AC$2))))</f>
        <v>13.703703703703704</v>
      </c>
      <c r="W13" s="50">
        <f ca="1">CELL("contenu",INDIRECT(ADDRESS(ref!$K$8,ref!F12,1,,CELL("contenu",$AC$2))))</f>
        <v>13.425925925925926</v>
      </c>
      <c r="X13" s="51" t="str">
        <f ca="1">CELL("contenu",INDIRECT(ADDRESS(ref!$K$8,ref!G12,1,,CELL("contenu",$AC$2))))</f>
        <v/>
      </c>
      <c r="Y13" s="7" t="str">
        <f ca="1">CELL("contenu",INDIRECT(ADDRESS(ref!$K$9,ref!H12,1,,CELL("contenu",$AC$2))))</f>
        <v>B</v>
      </c>
      <c r="Z13" s="4" t="str">
        <f ca="1">CELL("contenu",INDIRECT(ADDRESS(ref!$K$10,ref!H12,1,,CELL("contenu",$AC$2))))</f>
        <v/>
      </c>
      <c r="AA13" s="8" t="str">
        <f ca="1">CELL("contenu",INDIRECT(ADDRESS(ref!$K$11,ref!H12,1,,CELL("contenu",$AC$2))))</f>
        <v>A</v>
      </c>
    </row>
    <row r="14" spans="1:29" x14ac:dyDescent="0.25">
      <c r="A14" s="61" t="str">
        <f t="shared" ca="1" si="0"/>
        <v>FRANCOIS Jules</v>
      </c>
      <c r="B14" s="2" t="str">
        <f ca="1">CELL("contenu",INDIRECT(ADDRESS(ref!$K$3,ref!E13,1,,CELL("contenu",$AC$2))))</f>
        <v>C</v>
      </c>
      <c r="C14" s="3" t="str">
        <f ca="1">CELL("contenu",INDIRECT(ADDRESS(ref!$K$3,ref!F13,1,,CELL("contenu",$AC$2))))</f>
        <v>C</v>
      </c>
      <c r="D14" s="4" t="str">
        <f ca="1">CELL("contenu",INDIRECT(ADDRESS(ref!$K$3,ref!G13,1,,CELL("contenu",$AC$2))))</f>
        <v/>
      </c>
      <c r="E14" s="5" t="str">
        <f ca="1">CELL("contenu",INDIRECT(ADDRESS(ref!$K$3,ref!H13,1,,CELL("contenu",$AC$2))))</f>
        <v>C</v>
      </c>
      <c r="F14" s="6" t="str">
        <f ca="1">CELL("contenu",INDIRECT(ADDRESS(ref!$K$4,ref!E13,1,,CELL("contenu",$AC$2))))</f>
        <v>B</v>
      </c>
      <c r="G14" s="3" t="str">
        <f ca="1">CELL("contenu",INDIRECT(ADDRESS(ref!$K$4,ref!F13,1,,CELL("contenu",$AC$2))))</f>
        <v>B</v>
      </c>
      <c r="H14" s="4" t="str">
        <f ca="1">CELL("contenu",INDIRECT(ADDRESS(ref!$K$4,ref!G13,1,,CELL("contenu",$AC$2))))</f>
        <v/>
      </c>
      <c r="I14" s="5" t="str">
        <f ca="1">CELL("contenu",INDIRECT(ADDRESS(ref!$K$4,ref!H13,1,,CELL("contenu",$AC$2))))</f>
        <v>B</v>
      </c>
      <c r="J14" s="6" t="str">
        <f ca="1">CELL("contenu",INDIRECT(ADDRESS(ref!$K$5,ref!E13,1,,CELL("contenu",$AC$2))))</f>
        <v>A</v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/>
      </c>
      <c r="M14" s="5" t="str">
        <f ca="1">CELL("contenu",INDIRECT(ADDRESS(ref!$K$5,ref!H13,1,,CELL("contenu",$AC$2))))</f>
        <v>A</v>
      </c>
      <c r="N14" s="6" t="str">
        <f ca="1">CELL("contenu",INDIRECT(ADDRESS(ref!$K$6,ref!E13,1,,CELL("contenu",$AC$2))))</f>
        <v>D</v>
      </c>
      <c r="O14" s="3" t="str">
        <f ca="1">CELL("contenu",INDIRECT(ADDRESS(ref!$K$6,ref!F13,1,,CELL("contenu",$AC$2))))</f>
        <v>C</v>
      </c>
      <c r="P14" s="4" t="str">
        <f ca="1">CELL("contenu",INDIRECT(ADDRESS(ref!$K$6,ref!G13,1,,CELL("contenu",$AC$2))))</f>
        <v/>
      </c>
      <c r="Q14" s="5" t="str">
        <f ca="1">CELL("contenu",INDIRECT(ADDRESS(ref!$K$6,ref!H13,1,,CELL("contenu",$AC$2))))</f>
        <v>C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9">
        <f ca="1">CELL("contenu",INDIRECT(ADDRESS(ref!$K$8,ref!E13,1,,CELL("contenu",$AC$2))))</f>
        <v>11.018518518518519</v>
      </c>
      <c r="W14" s="50">
        <f ca="1">CELL("contenu",INDIRECT(ADDRESS(ref!$K$8,ref!F13,1,,CELL("contenu",$AC$2))))</f>
        <v>11.888888888888889</v>
      </c>
      <c r="X14" s="51" t="str">
        <f ca="1">CELL("contenu",INDIRECT(ADDRESS(ref!$K$8,ref!G13,1,,CELL("contenu",$AC$2))))</f>
        <v/>
      </c>
      <c r="Y14" s="7" t="str">
        <f ca="1">CELL("contenu",INDIRECT(ADDRESS(ref!$K$9,ref!H13,1,,CELL("contenu",$AC$2))))</f>
        <v>B</v>
      </c>
      <c r="Z14" s="4" t="str">
        <f ca="1">CELL("contenu",INDIRECT(ADDRESS(ref!$K$10,ref!H13,1,,CELL("contenu",$AC$2))))</f>
        <v/>
      </c>
      <c r="AA14" s="8" t="str">
        <f ca="1">CELL("contenu",INDIRECT(ADDRESS(ref!$K$11,ref!H13,1,,CELL("contenu",$AC$2))))</f>
        <v>A</v>
      </c>
    </row>
    <row r="15" spans="1:29" x14ac:dyDescent="0.25">
      <c r="A15" s="61" t="str">
        <f t="shared" ca="1" si="0"/>
        <v>GAUCHER Chaya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>C</v>
      </c>
      <c r="D15" s="4" t="str">
        <f ca="1">CELL("contenu",INDIRECT(ADDRESS(ref!$K$3,ref!G14,1,,CELL("contenu",$AC$2))))</f>
        <v/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>A</v>
      </c>
      <c r="G15" s="3" t="str">
        <f ca="1">CELL("contenu",INDIRECT(ADDRESS(ref!$K$4,ref!F14,1,,CELL("contenu",$AC$2))))</f>
        <v>B</v>
      </c>
      <c r="H15" s="4" t="str">
        <f ca="1">CELL("contenu",INDIRECT(ADDRESS(ref!$K$4,ref!G14,1,,CELL("contenu",$AC$2))))</f>
        <v/>
      </c>
      <c r="I15" s="5" t="str">
        <f ca="1">CELL("contenu",INDIRECT(ADDRESS(ref!$K$4,ref!H14,1,,CELL("contenu",$AC$2))))</f>
        <v>A</v>
      </c>
      <c r="J15" s="6" t="str">
        <f ca="1">CELL("contenu",INDIRECT(ADDRESS(ref!$K$5,ref!E14,1,,CELL("contenu",$AC$2))))</f>
        <v>A</v>
      </c>
      <c r="K15" s="3" t="str">
        <f ca="1">CELL("contenu",INDIRECT(ADDRESS(ref!$K$5,ref!F14,1,,CELL("contenu",$AC$2))))</f>
        <v>A</v>
      </c>
      <c r="L15" s="4" t="str">
        <f ca="1">CELL("contenu",INDIRECT(ADDRESS(ref!$K$5,ref!G14,1,,CELL("contenu",$AC$2))))</f>
        <v/>
      </c>
      <c r="M15" s="5" t="str">
        <f ca="1">CELL("contenu",INDIRECT(ADDRESS(ref!$K$5,ref!H14,1,,CELL("contenu",$AC$2))))</f>
        <v>A</v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>C</v>
      </c>
      <c r="P15" s="4" t="str">
        <f ca="1">CELL("contenu",INDIRECT(ADDRESS(ref!$K$6,ref!G14,1,,CELL("contenu",$AC$2))))</f>
        <v/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9">
        <f ca="1">CELL("contenu",INDIRECT(ADDRESS(ref!$K$8,ref!E14,1,,CELL("contenu",$AC$2))))</f>
        <v>15</v>
      </c>
      <c r="W15" s="50">
        <f ca="1">CELL("contenu",INDIRECT(ADDRESS(ref!$K$8,ref!F14,1,,CELL("contenu",$AC$2))))</f>
        <v>13.518518518518519</v>
      </c>
      <c r="X15" s="51" t="str">
        <f ca="1">CELL("contenu",INDIRECT(ADDRESS(ref!$K$8,ref!G14,1,,CELL("contenu",$AC$2))))</f>
        <v/>
      </c>
      <c r="Y15" s="7" t="str">
        <f ca="1">CELL("contenu",INDIRECT(ADDRESS(ref!$K$9,ref!H14,1,,CELL("contenu",$AC$2))))</f>
        <v>A</v>
      </c>
      <c r="Z15" s="4" t="str">
        <f ca="1">CELL("contenu",INDIRECT(ADDRESS(ref!$K$10,ref!H14,1,,CELL("contenu",$AC$2))))</f>
        <v/>
      </c>
      <c r="AA15" s="8" t="str">
        <f ca="1">CELL("contenu",INDIRECT(ADDRESS(ref!$K$11,ref!H14,1,,CELL("contenu",$AC$2))))</f>
        <v>A</v>
      </c>
    </row>
    <row r="16" spans="1:29" x14ac:dyDescent="0.25">
      <c r="A16" s="61" t="str">
        <f t="shared" ca="1" si="0"/>
        <v>GEAY Baptiste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>C</v>
      </c>
      <c r="D16" s="4" t="str">
        <f ca="1">CELL("contenu",INDIRECT(ADDRESS(ref!$K$3,ref!G15,1,,CELL("contenu",$AC$2))))</f>
        <v/>
      </c>
      <c r="E16" s="5" t="str">
        <f ca="1">CELL("contenu",INDIRECT(ADDRESS(ref!$K$3,ref!H15,1,,CELL("contenu",$AC$2))))</f>
        <v>C</v>
      </c>
      <c r="F16" s="6" t="str">
        <f ca="1">CELL("contenu",INDIRECT(ADDRESS(ref!$K$4,ref!E15,1,,CELL("contenu",$AC$2))))</f>
        <v>A</v>
      </c>
      <c r="G16" s="3" t="str">
        <f ca="1">CELL("contenu",INDIRECT(ADDRESS(ref!$K$4,ref!F15,1,,CELL("contenu",$AC$2))))</f>
        <v>B</v>
      </c>
      <c r="H16" s="4" t="str">
        <f ca="1">CELL("contenu",INDIRECT(ADDRESS(ref!$K$4,ref!G15,1,,CELL("contenu",$AC$2))))</f>
        <v/>
      </c>
      <c r="I16" s="5" t="str">
        <f ca="1">CELL("contenu",INDIRECT(ADDRESS(ref!$K$4,ref!H15,1,,CELL("contenu",$AC$2))))</f>
        <v>A</v>
      </c>
      <c r="J16" s="6" t="str">
        <f ca="1">CELL("contenu",INDIRECT(ADDRESS(ref!$K$5,ref!E15,1,,CELL("contenu",$AC$2))))</f>
        <v>A</v>
      </c>
      <c r="K16" s="3" t="str">
        <f ca="1">CELL("contenu",INDIRECT(ADDRESS(ref!$K$5,ref!F15,1,,CELL("contenu",$AC$2))))</f>
        <v>C</v>
      </c>
      <c r="L16" s="4" t="str">
        <f ca="1">CELL("contenu",INDIRECT(ADDRESS(ref!$K$5,ref!G15,1,,CELL("contenu",$AC$2))))</f>
        <v/>
      </c>
      <c r="M16" s="5" t="str">
        <f ca="1">CELL("contenu",INDIRECT(ADDRESS(ref!$K$5,ref!H15,1,,CELL("contenu",$AC$2))))</f>
        <v>B</v>
      </c>
      <c r="N16" s="6" t="str">
        <f ca="1">CELL("contenu",INDIRECT(ADDRESS(ref!$K$6,ref!E15,1,,CELL("contenu",$AC$2))))</f>
        <v>C</v>
      </c>
      <c r="O16" s="3" t="str">
        <f ca="1">CELL("contenu",INDIRECT(ADDRESS(ref!$K$6,ref!F15,1,,CELL("contenu",$AC$2))))</f>
        <v>C</v>
      </c>
      <c r="P16" s="4" t="str">
        <f ca="1">CELL("contenu",INDIRECT(ADDRESS(ref!$K$6,ref!G15,1,,CELL("contenu",$AC$2))))</f>
        <v/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9">
        <f ca="1">CELL("contenu",INDIRECT(ADDRESS(ref!$K$8,ref!E15,1,,CELL("contenu",$AC$2))))</f>
        <v>14.259259259259258</v>
      </c>
      <c r="W16" s="50">
        <f ca="1">CELL("contenu",INDIRECT(ADDRESS(ref!$K$8,ref!F15,1,,CELL("contenu",$AC$2))))</f>
        <v>11.25</v>
      </c>
      <c r="X16" s="51" t="str">
        <f ca="1">CELL("contenu",INDIRECT(ADDRESS(ref!$K$8,ref!G15,1,,CELL("contenu",$AC$2))))</f>
        <v/>
      </c>
      <c r="Y16" s="7" t="str">
        <f ca="1">CELL("contenu",INDIRECT(ADDRESS(ref!$K$9,ref!H15,1,,CELL("contenu",$AC$2))))</f>
        <v>A</v>
      </c>
      <c r="Z16" s="4" t="str">
        <f ca="1">CELL("contenu",INDIRECT(ADDRESS(ref!$K$10,ref!H15,1,,CELL("contenu",$AC$2))))</f>
        <v/>
      </c>
      <c r="AA16" s="8" t="str">
        <f ca="1">CELL("contenu",INDIRECT(ADDRESS(ref!$K$11,ref!H15,1,,CELL("contenu",$AC$2))))</f>
        <v>B</v>
      </c>
    </row>
    <row r="17" spans="1:27" x14ac:dyDescent="0.25">
      <c r="A17" s="61" t="str">
        <f t="shared" ca="1" si="0"/>
        <v>GIRARD--RAZEL Merlin</v>
      </c>
      <c r="B17" s="2" t="str">
        <f ca="1">CELL("contenu",INDIRECT(ADDRESS(ref!$K$3,ref!E16,1,,CELL("contenu",$AC$2))))</f>
        <v>B</v>
      </c>
      <c r="C17" s="3" t="str">
        <f ca="1">CELL("contenu",INDIRECT(ADDRESS(ref!$K$3,ref!F16,1,,CELL("contenu",$AC$2))))</f>
        <v>B</v>
      </c>
      <c r="D17" s="4" t="str">
        <f ca="1">CELL("contenu",INDIRECT(ADDRESS(ref!$K$3,ref!G16,1,,CELL("contenu",$AC$2))))</f>
        <v/>
      </c>
      <c r="E17" s="5" t="str">
        <f ca="1">CELL("contenu",INDIRECT(ADDRESS(ref!$K$3,ref!H16,1,,CELL("contenu",$AC$2))))</f>
        <v>B</v>
      </c>
      <c r="F17" s="6" t="str">
        <f ca="1">CELL("contenu",INDIRECT(ADDRESS(ref!$K$4,ref!E16,1,,CELL("contenu",$AC$2))))</f>
        <v>B</v>
      </c>
      <c r="G17" s="3" t="str">
        <f ca="1">CELL("contenu",INDIRECT(ADDRESS(ref!$K$4,ref!F16,1,,CELL("contenu",$AC$2))))</f>
        <v>B</v>
      </c>
      <c r="H17" s="4" t="str">
        <f ca="1">CELL("contenu",INDIRECT(ADDRESS(ref!$K$4,ref!G16,1,,CELL("contenu",$AC$2))))</f>
        <v/>
      </c>
      <c r="I17" s="5" t="str">
        <f ca="1">CELL("contenu",INDIRECT(ADDRESS(ref!$K$4,ref!H16,1,,CELL("contenu",$AC$2))))</f>
        <v>B</v>
      </c>
      <c r="J17" s="6" t="str">
        <f ca="1">CELL("contenu",INDIRECT(ADDRESS(ref!$K$5,ref!E16,1,,CELL("contenu",$AC$2))))</f>
        <v>A</v>
      </c>
      <c r="K17" s="3" t="str">
        <f ca="1">CELL("contenu",INDIRECT(ADDRESS(ref!$K$5,ref!F16,1,,CELL("contenu",$AC$2))))</f>
        <v>A</v>
      </c>
      <c r="L17" s="4" t="str">
        <f ca="1">CELL("contenu",INDIRECT(ADDRESS(ref!$K$5,ref!G16,1,,CELL("contenu",$AC$2))))</f>
        <v/>
      </c>
      <c r="M17" s="5" t="str">
        <f ca="1">CELL("contenu",INDIRECT(ADDRESS(ref!$K$5,ref!H16,1,,CELL("contenu",$AC$2))))</f>
        <v>A</v>
      </c>
      <c r="N17" s="6" t="str">
        <f ca="1">CELL("contenu",INDIRECT(ADDRESS(ref!$K$6,ref!E16,1,,CELL("contenu",$AC$2))))</f>
        <v>B</v>
      </c>
      <c r="O17" s="3" t="str">
        <f ca="1">CELL("contenu",INDIRECT(ADDRESS(ref!$K$6,ref!F16,1,,CELL("contenu",$AC$2))))</f>
        <v>C</v>
      </c>
      <c r="P17" s="4" t="str">
        <f ca="1">CELL("contenu",INDIRECT(ADDRESS(ref!$K$6,ref!G16,1,,CELL("contenu",$AC$2))))</f>
        <v/>
      </c>
      <c r="Q17" s="5" t="str">
        <f ca="1">CELL("contenu",INDIRECT(ADDRESS(ref!$K$6,ref!H16,1,,CELL("contenu",$AC$2))))</f>
        <v>B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9">
        <f ca="1">CELL("contenu",INDIRECT(ADDRESS(ref!$K$8,ref!E16,1,,CELL("contenu",$AC$2))))</f>
        <v>16.75925925925926</v>
      </c>
      <c r="W17" s="50">
        <f ca="1">CELL("contenu",INDIRECT(ADDRESS(ref!$K$8,ref!F16,1,,CELL("contenu",$AC$2))))</f>
        <v>15.37037037037037</v>
      </c>
      <c r="X17" s="51" t="str">
        <f ca="1">CELL("contenu",INDIRECT(ADDRESS(ref!$K$8,ref!G16,1,,CELL("contenu",$AC$2))))</f>
        <v/>
      </c>
      <c r="Y17" s="7" t="str">
        <f ca="1">CELL("contenu",INDIRECT(ADDRESS(ref!$K$9,ref!H16,1,,CELL("contenu",$AC$2))))</f>
        <v>B</v>
      </c>
      <c r="Z17" s="4" t="str">
        <f ca="1">CELL("contenu",INDIRECT(ADDRESS(ref!$K$10,ref!H16,1,,CELL("contenu",$AC$2))))</f>
        <v/>
      </c>
      <c r="AA17" s="8" t="str">
        <f ca="1">CELL("contenu",INDIRECT(ADDRESS(ref!$K$11,ref!H16,1,,CELL("contenu",$AC$2))))</f>
        <v>A</v>
      </c>
    </row>
    <row r="18" spans="1:27" x14ac:dyDescent="0.25">
      <c r="A18" s="61" t="str">
        <f t="shared" ca="1" si="0"/>
        <v>LECCIA Clotilde</v>
      </c>
      <c r="B18" s="2" t="str">
        <f ca="1">CELL("contenu",INDIRECT(ADDRESS(ref!$K$3,ref!E17,1,,CELL("contenu",$AC$2))))</f>
        <v>C</v>
      </c>
      <c r="C18" s="3" t="str">
        <f ca="1">CELL("contenu",INDIRECT(ADDRESS(ref!$K$3,ref!F17,1,,CELL("contenu",$AC$2))))</f>
        <v>B</v>
      </c>
      <c r="D18" s="4" t="str">
        <f ca="1">CELL("contenu",INDIRECT(ADDRESS(ref!$K$3,ref!G17,1,,CELL("contenu",$AC$2))))</f>
        <v/>
      </c>
      <c r="E18" s="5" t="str">
        <f ca="1">CELL("contenu",INDIRECT(ADDRESS(ref!$K$3,ref!H17,1,,CELL("contenu",$AC$2))))</f>
        <v>C</v>
      </c>
      <c r="F18" s="6" t="str">
        <f ca="1">CELL("contenu",INDIRECT(ADDRESS(ref!$K$4,ref!E17,1,,CELL("contenu",$AC$2))))</f>
        <v>A</v>
      </c>
      <c r="G18" s="3" t="str">
        <f ca="1">CELL("contenu",INDIRECT(ADDRESS(ref!$K$4,ref!F17,1,,CELL("contenu",$AC$2))))</f>
        <v>B</v>
      </c>
      <c r="H18" s="4" t="str">
        <f ca="1">CELL("contenu",INDIRECT(ADDRESS(ref!$K$4,ref!G17,1,,CELL("contenu",$AC$2))))</f>
        <v/>
      </c>
      <c r="I18" s="5" t="str">
        <f ca="1">CELL("contenu",INDIRECT(ADDRESS(ref!$K$4,ref!H17,1,,CELL("contenu",$AC$2))))</f>
        <v>A</v>
      </c>
      <c r="J18" s="6" t="str">
        <f ca="1">CELL("contenu",INDIRECT(ADDRESS(ref!$K$5,ref!E17,1,,CELL("contenu",$AC$2))))</f>
        <v>A</v>
      </c>
      <c r="K18" s="3" t="str">
        <f ca="1">CELL("contenu",INDIRECT(ADDRESS(ref!$K$5,ref!F17,1,,CELL("contenu",$AC$2))))</f>
        <v>A</v>
      </c>
      <c r="L18" s="4" t="str">
        <f ca="1">CELL("contenu",INDIRECT(ADDRESS(ref!$K$5,ref!G17,1,,CELL("contenu",$AC$2))))</f>
        <v/>
      </c>
      <c r="M18" s="5" t="str">
        <f ca="1">CELL("contenu",INDIRECT(ADDRESS(ref!$K$5,ref!H17,1,,CELL("contenu",$AC$2))))</f>
        <v>A</v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>C</v>
      </c>
      <c r="P18" s="4" t="str">
        <f ca="1">CELL("contenu",INDIRECT(ADDRESS(ref!$K$6,ref!G17,1,,CELL("contenu",$AC$2))))</f>
        <v/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9">
        <f ca="1">CELL("contenu",INDIRECT(ADDRESS(ref!$K$8,ref!E17,1,,CELL("contenu",$AC$2))))</f>
        <v>13.518518518518519</v>
      </c>
      <c r="W18" s="50">
        <f ca="1">CELL("contenu",INDIRECT(ADDRESS(ref!$K$8,ref!F17,1,,CELL("contenu",$AC$2))))</f>
        <v>14.490740740740742</v>
      </c>
      <c r="X18" s="51" t="str">
        <f ca="1">CELL("contenu",INDIRECT(ADDRESS(ref!$K$8,ref!G17,1,,CELL("contenu",$AC$2))))</f>
        <v/>
      </c>
      <c r="Y18" s="7" t="str">
        <f ca="1">CELL("contenu",INDIRECT(ADDRESS(ref!$K$9,ref!H17,1,,CELL("contenu",$AC$2))))</f>
        <v>A</v>
      </c>
      <c r="Z18" s="4" t="str">
        <f ca="1">CELL("contenu",INDIRECT(ADDRESS(ref!$K$10,ref!H17,1,,CELL("contenu",$AC$2))))</f>
        <v/>
      </c>
      <c r="AA18" s="8" t="str">
        <f ca="1">CELL("contenu",INDIRECT(ADDRESS(ref!$K$11,ref!H17,1,,CELL("contenu",$AC$2))))</f>
        <v>A</v>
      </c>
    </row>
    <row r="19" spans="1:27" x14ac:dyDescent="0.25">
      <c r="A19" s="61" t="str">
        <f t="shared" ca="1" si="0"/>
        <v>LECOMTE Emilien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>C</v>
      </c>
      <c r="D19" s="4" t="str">
        <f ca="1">CELL("contenu",INDIRECT(ADDRESS(ref!$K$3,ref!G18,1,,CELL("contenu",$AC$2))))</f>
        <v/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>A</v>
      </c>
      <c r="G19" s="3" t="str">
        <f ca="1">CELL("contenu",INDIRECT(ADDRESS(ref!$K$4,ref!F18,1,,CELL("contenu",$AC$2))))</f>
        <v>B</v>
      </c>
      <c r="H19" s="4" t="str">
        <f ca="1">CELL("contenu",INDIRECT(ADDRESS(ref!$K$4,ref!G18,1,,CELL("contenu",$AC$2))))</f>
        <v/>
      </c>
      <c r="I19" s="5" t="str">
        <f ca="1">CELL("contenu",INDIRECT(ADDRESS(ref!$K$4,ref!H18,1,,CELL("contenu",$AC$2))))</f>
        <v>A</v>
      </c>
      <c r="J19" s="6" t="str">
        <f ca="1">CELL("contenu",INDIRECT(ADDRESS(ref!$K$5,ref!E18,1,,CELL("contenu",$AC$2))))</f>
        <v>A</v>
      </c>
      <c r="K19" s="3" t="str">
        <f ca="1">CELL("contenu",INDIRECT(ADDRESS(ref!$K$5,ref!F18,1,,CELL("contenu",$AC$2))))</f>
        <v>A</v>
      </c>
      <c r="L19" s="4" t="str">
        <f ca="1">CELL("contenu",INDIRECT(ADDRESS(ref!$K$5,ref!G18,1,,CELL("contenu",$AC$2))))</f>
        <v/>
      </c>
      <c r="M19" s="5" t="str">
        <f ca="1">CELL("contenu",INDIRECT(ADDRESS(ref!$K$5,ref!H18,1,,CELL("contenu",$AC$2))))</f>
        <v>A</v>
      </c>
      <c r="N19" s="6" t="str">
        <f ca="1">CELL("contenu",INDIRECT(ADDRESS(ref!$K$6,ref!E18,1,,CELL("contenu",$AC$2))))</f>
        <v>B</v>
      </c>
      <c r="O19" s="3" t="str">
        <f ca="1">CELL("contenu",INDIRECT(ADDRESS(ref!$K$6,ref!F18,1,,CELL("contenu",$AC$2))))</f>
        <v>C</v>
      </c>
      <c r="P19" s="4" t="str">
        <f ca="1">CELL("contenu",INDIRECT(ADDRESS(ref!$K$6,ref!G18,1,,CELL("contenu",$AC$2))))</f>
        <v/>
      </c>
      <c r="Q19" s="5" t="str">
        <f ca="1">CELL("contenu",INDIRECT(ADDRESS(ref!$K$6,ref!H18,1,,CELL("contenu",$AC$2))))</f>
        <v>C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9">
        <f ca="1">CELL("contenu",INDIRECT(ADDRESS(ref!$K$8,ref!E18,1,,CELL("contenu",$AC$2))))</f>
        <v>15.740740740740742</v>
      </c>
      <c r="W19" s="50">
        <f ca="1">CELL("contenu",INDIRECT(ADDRESS(ref!$K$8,ref!F18,1,,CELL("contenu",$AC$2))))</f>
        <v>13.75</v>
      </c>
      <c r="X19" s="51" t="str">
        <f ca="1">CELL("contenu",INDIRECT(ADDRESS(ref!$K$8,ref!G18,1,,CELL("contenu",$AC$2))))</f>
        <v/>
      </c>
      <c r="Y19" s="7" t="str">
        <f ca="1">CELL("contenu",INDIRECT(ADDRESS(ref!$K$9,ref!H18,1,,CELL("contenu",$AC$2))))</f>
        <v>A</v>
      </c>
      <c r="Z19" s="4" t="str">
        <f ca="1">CELL("contenu",INDIRECT(ADDRESS(ref!$K$10,ref!H18,1,,CELL("contenu",$AC$2))))</f>
        <v/>
      </c>
      <c r="AA19" s="8" t="str">
        <f ca="1">CELL("contenu",INDIRECT(ADDRESS(ref!$K$11,ref!H18,1,,CELL("contenu",$AC$2))))</f>
        <v>A</v>
      </c>
    </row>
    <row r="20" spans="1:27" x14ac:dyDescent="0.25">
      <c r="A20" s="61" t="str">
        <f t="shared" ca="1" si="0"/>
        <v>LEPRINCE Pierre</v>
      </c>
      <c r="B20" s="2" t="str">
        <f ca="1">CELL("contenu",INDIRECT(ADDRESS(ref!$K$3,ref!E19,1,,CELL("contenu",$AC$2))))</f>
        <v>C</v>
      </c>
      <c r="C20" s="3" t="str">
        <f ca="1">CELL("contenu",INDIRECT(ADDRESS(ref!$K$3,ref!F19,1,,CELL("contenu",$AC$2))))</f>
        <v>C</v>
      </c>
      <c r="D20" s="4" t="str">
        <f ca="1">CELL("contenu",INDIRECT(ADDRESS(ref!$K$3,ref!G19,1,,CELL("contenu",$AC$2))))</f>
        <v/>
      </c>
      <c r="E20" s="5" t="str">
        <f ca="1">CELL("contenu",INDIRECT(ADDRESS(ref!$K$3,ref!H19,1,,CELL("contenu",$AC$2))))</f>
        <v>C</v>
      </c>
      <c r="F20" s="6" t="str">
        <f ca="1">CELL("contenu",INDIRECT(ADDRESS(ref!$K$4,ref!E19,1,,CELL("contenu",$AC$2))))</f>
        <v>A</v>
      </c>
      <c r="G20" s="3" t="str">
        <f ca="1">CELL("contenu",INDIRECT(ADDRESS(ref!$K$4,ref!F19,1,,CELL("contenu",$AC$2))))</f>
        <v>B</v>
      </c>
      <c r="H20" s="4" t="str">
        <f ca="1">CELL("contenu",INDIRECT(ADDRESS(ref!$K$4,ref!G19,1,,CELL("contenu",$AC$2))))</f>
        <v/>
      </c>
      <c r="I20" s="5" t="str">
        <f ca="1">CELL("contenu",INDIRECT(ADDRESS(ref!$K$4,ref!H19,1,,CELL("contenu",$AC$2))))</f>
        <v>B</v>
      </c>
      <c r="J20" s="6" t="str">
        <f ca="1">CELL("contenu",INDIRECT(ADDRESS(ref!$K$5,ref!E19,1,,CELL("contenu",$AC$2))))</f>
        <v>A</v>
      </c>
      <c r="K20" s="3" t="str">
        <f ca="1">CELL("contenu",INDIRECT(ADDRESS(ref!$K$5,ref!F19,1,,CELL("contenu",$AC$2))))</f>
        <v>A</v>
      </c>
      <c r="L20" s="4" t="str">
        <f ca="1">CELL("contenu",INDIRECT(ADDRESS(ref!$K$5,ref!G19,1,,CELL("contenu",$AC$2))))</f>
        <v/>
      </c>
      <c r="M20" s="5" t="str">
        <f ca="1">CELL("contenu",INDIRECT(ADDRESS(ref!$K$5,ref!H19,1,,CELL("contenu",$AC$2))))</f>
        <v>A</v>
      </c>
      <c r="N20" s="6" t="str">
        <f ca="1">CELL("contenu",INDIRECT(ADDRESS(ref!$K$6,ref!E19,1,,CELL("contenu",$AC$2))))</f>
        <v>C</v>
      </c>
      <c r="O20" s="3" t="str">
        <f ca="1">CELL("contenu",INDIRECT(ADDRESS(ref!$K$6,ref!F19,1,,CELL("contenu",$AC$2))))</f>
        <v>C</v>
      </c>
      <c r="P20" s="4" t="str">
        <f ca="1">CELL("contenu",INDIRECT(ADDRESS(ref!$K$6,ref!G19,1,,CELL("contenu",$AC$2))))</f>
        <v/>
      </c>
      <c r="Q20" s="5" t="str">
        <f ca="1">CELL("contenu",INDIRECT(ADDRESS(ref!$K$6,ref!H19,1,,CELL("contenu",$AC$2))))</f>
        <v>C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9">
        <f ca="1">CELL("contenu",INDIRECT(ADDRESS(ref!$K$8,ref!E19,1,,CELL("contenu",$AC$2))))</f>
        <v>13.796296296296298</v>
      </c>
      <c r="W20" s="50">
        <f ca="1">CELL("contenu",INDIRECT(ADDRESS(ref!$K$8,ref!F19,1,,CELL("contenu",$AC$2))))</f>
        <v>12.222222222222223</v>
      </c>
      <c r="X20" s="51" t="str">
        <f ca="1">CELL("contenu",INDIRECT(ADDRESS(ref!$K$8,ref!G19,1,,CELL("contenu",$AC$2))))</f>
        <v/>
      </c>
      <c r="Y20" s="7" t="str">
        <f ca="1">CELL("contenu",INDIRECT(ADDRESS(ref!$K$9,ref!H19,1,,CELL("contenu",$AC$2))))</f>
        <v>B</v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>A</v>
      </c>
    </row>
    <row r="21" spans="1:27" x14ac:dyDescent="0.25">
      <c r="A21" s="61" t="str">
        <f t="shared" ca="1" si="0"/>
        <v>LUZURIER Raphael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>D</v>
      </c>
      <c r="D21" s="4" t="str">
        <f ca="1">CELL("contenu",INDIRECT(ADDRESS(ref!$K$3,ref!G20,1,,CELL("contenu",$AC$2))))</f>
        <v/>
      </c>
      <c r="E21" s="5" t="str">
        <f ca="1">CELL("contenu",INDIRECT(ADDRESS(ref!$K$3,ref!H20,1,,CELL("contenu",$AC$2))))</f>
        <v>C</v>
      </c>
      <c r="F21" s="6" t="str">
        <f ca="1">CELL("contenu",INDIRECT(ADDRESS(ref!$K$4,ref!E20,1,,CELL("contenu",$AC$2))))</f>
        <v>A</v>
      </c>
      <c r="G21" s="3" t="str">
        <f ca="1">CELL("contenu",INDIRECT(ADDRESS(ref!$K$4,ref!F20,1,,CELL("contenu",$AC$2))))</f>
        <v>B</v>
      </c>
      <c r="H21" s="4" t="str">
        <f ca="1">CELL("contenu",INDIRECT(ADDRESS(ref!$K$4,ref!G20,1,,CELL("contenu",$AC$2))))</f>
        <v/>
      </c>
      <c r="I21" s="5" t="str">
        <f ca="1">CELL("contenu",INDIRECT(ADDRESS(ref!$K$4,ref!H20,1,,CELL("contenu",$AC$2))))</f>
        <v>A</v>
      </c>
      <c r="J21" s="6" t="str">
        <f ca="1">CELL("contenu",INDIRECT(ADDRESS(ref!$K$5,ref!E20,1,,CELL("contenu",$AC$2))))</f>
        <v>A</v>
      </c>
      <c r="K21" s="3" t="str">
        <f ca="1">CELL("contenu",INDIRECT(ADDRESS(ref!$K$5,ref!F20,1,,CELL("contenu",$AC$2))))</f>
        <v>A</v>
      </c>
      <c r="L21" s="4" t="str">
        <f ca="1">CELL("contenu",INDIRECT(ADDRESS(ref!$K$5,ref!G20,1,,CELL("contenu",$AC$2))))</f>
        <v/>
      </c>
      <c r="M21" s="5" t="str">
        <f ca="1">CELL("contenu",INDIRECT(ADDRESS(ref!$K$5,ref!H20,1,,CELL("contenu",$AC$2))))</f>
        <v>A</v>
      </c>
      <c r="N21" s="6" t="str">
        <f ca="1">CELL("contenu",INDIRECT(ADDRESS(ref!$K$6,ref!E20,1,,CELL("contenu",$AC$2))))</f>
        <v>C</v>
      </c>
      <c r="O21" s="3" t="str">
        <f ca="1">CELL("contenu",INDIRECT(ADDRESS(ref!$K$6,ref!F20,1,,CELL("contenu",$AC$2))))</f>
        <v>C</v>
      </c>
      <c r="P21" s="4" t="str">
        <f ca="1">CELL("contenu",INDIRECT(ADDRESS(ref!$K$6,ref!G20,1,,CELL("contenu",$AC$2))))</f>
        <v/>
      </c>
      <c r="Q21" s="5" t="str">
        <f ca="1">CELL("contenu",INDIRECT(ADDRESS(ref!$K$6,ref!H20,1,,CELL("contenu",$AC$2))))</f>
        <v>C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9">
        <f ca="1">CELL("contenu",INDIRECT(ADDRESS(ref!$K$8,ref!E20,1,,CELL("contenu",$AC$2))))</f>
        <v>12.685185185185187</v>
      </c>
      <c r="W21" s="50">
        <f ca="1">CELL("contenu",INDIRECT(ADDRESS(ref!$K$8,ref!F20,1,,CELL("contenu",$AC$2))))</f>
        <v>11.712962962962962</v>
      </c>
      <c r="X21" s="51" t="str">
        <f ca="1">CELL("contenu",INDIRECT(ADDRESS(ref!$K$8,ref!G20,1,,CELL("contenu",$AC$2))))</f>
        <v/>
      </c>
      <c r="Y21" s="7" t="str">
        <f ca="1">CELL("contenu",INDIRECT(ADDRESS(ref!$K$9,ref!H20,1,,CELL("contenu",$AC$2))))</f>
        <v>A</v>
      </c>
      <c r="Z21" s="4" t="str">
        <f ca="1">CELL("contenu",INDIRECT(ADDRESS(ref!$K$10,ref!H20,1,,CELL("contenu",$AC$2))))</f>
        <v/>
      </c>
      <c r="AA21" s="8" t="str">
        <f ca="1">CELL("contenu",INDIRECT(ADDRESS(ref!$K$11,ref!H20,1,,CELL("contenu",$AC$2))))</f>
        <v>A</v>
      </c>
    </row>
    <row r="22" spans="1:27" x14ac:dyDescent="0.25">
      <c r="A22" s="61" t="str">
        <f t="shared" ca="1" si="0"/>
        <v>MASSUARD Louis</v>
      </c>
      <c r="B22" s="2" t="str">
        <f ca="1">CELL("contenu",INDIRECT(ADDRESS(ref!$K$3,ref!E21,1,,CELL("contenu",$AC$2))))</f>
        <v>B</v>
      </c>
      <c r="C22" s="3" t="str">
        <f ca="1">CELL("contenu",INDIRECT(ADDRESS(ref!$K$3,ref!F21,1,,CELL("contenu",$AC$2))))</f>
        <v>B</v>
      </c>
      <c r="D22" s="4" t="str">
        <f ca="1">CELL("contenu",INDIRECT(ADDRESS(ref!$K$3,ref!G21,1,,CELL("contenu",$AC$2))))</f>
        <v/>
      </c>
      <c r="E22" s="5" t="str">
        <f ca="1">CELL("contenu",INDIRECT(ADDRESS(ref!$K$3,ref!H21,1,,CELL("contenu",$AC$2))))</f>
        <v>B</v>
      </c>
      <c r="F22" s="6" t="str">
        <f ca="1">CELL("contenu",INDIRECT(ADDRESS(ref!$K$4,ref!E21,1,,CELL("contenu",$AC$2))))</f>
        <v>A</v>
      </c>
      <c r="G22" s="3" t="str">
        <f ca="1">CELL("contenu",INDIRECT(ADDRESS(ref!$K$4,ref!F21,1,,CELL("contenu",$AC$2))))</f>
        <v>B</v>
      </c>
      <c r="H22" s="4" t="str">
        <f ca="1">CELL("contenu",INDIRECT(ADDRESS(ref!$K$4,ref!G21,1,,CELL("contenu",$AC$2))))</f>
        <v/>
      </c>
      <c r="I22" s="5" t="str">
        <f ca="1">CELL("contenu",INDIRECT(ADDRESS(ref!$K$4,ref!H21,1,,CELL("contenu",$AC$2))))</f>
        <v>A</v>
      </c>
      <c r="J22" s="6" t="str">
        <f ca="1">CELL("contenu",INDIRECT(ADDRESS(ref!$K$5,ref!E21,1,,CELL("contenu",$AC$2))))</f>
        <v>A</v>
      </c>
      <c r="K22" s="3" t="str">
        <f ca="1">CELL("contenu",INDIRECT(ADDRESS(ref!$K$5,ref!F21,1,,CELL("contenu",$AC$2))))</f>
        <v>A</v>
      </c>
      <c r="L22" s="4" t="str">
        <f ca="1">CELL("contenu",INDIRECT(ADDRESS(ref!$K$5,ref!G21,1,,CELL("contenu",$AC$2))))</f>
        <v/>
      </c>
      <c r="M22" s="5" t="str">
        <f ca="1">CELL("contenu",INDIRECT(ADDRESS(ref!$K$5,ref!H21,1,,CELL("contenu",$AC$2))))</f>
        <v>A</v>
      </c>
      <c r="N22" s="6" t="str">
        <f ca="1">CELL("contenu",INDIRECT(ADDRESS(ref!$K$6,ref!E21,1,,CELL("contenu",$AC$2))))</f>
        <v>C</v>
      </c>
      <c r="O22" s="3" t="str">
        <f ca="1">CELL("contenu",INDIRECT(ADDRESS(ref!$K$6,ref!F21,1,,CELL("contenu",$AC$2))))</f>
        <v>C</v>
      </c>
      <c r="P22" s="4" t="str">
        <f ca="1">CELL("contenu",INDIRECT(ADDRESS(ref!$K$6,ref!G21,1,,CELL("contenu",$AC$2))))</f>
        <v/>
      </c>
      <c r="Q22" s="5" t="str">
        <f ca="1">CELL("contenu",INDIRECT(ADDRESS(ref!$K$6,ref!H21,1,,CELL("contenu",$AC$2))))</f>
        <v>C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9">
        <f ca="1">CELL("contenu",INDIRECT(ADDRESS(ref!$K$8,ref!E21,1,,CELL("contenu",$AC$2))))</f>
        <v>16.111111111111111</v>
      </c>
      <c r="W22" s="50">
        <f ca="1">CELL("contenu",INDIRECT(ADDRESS(ref!$K$8,ref!F21,1,,CELL("contenu",$AC$2))))</f>
        <v>15.740740740740742</v>
      </c>
      <c r="X22" s="51" t="str">
        <f ca="1">CELL("contenu",INDIRECT(ADDRESS(ref!$K$8,ref!G21,1,,CELL("contenu",$AC$2))))</f>
        <v/>
      </c>
      <c r="Y22" s="7" t="str">
        <f ca="1">CELL("contenu",INDIRECT(ADDRESS(ref!$K$9,ref!H21,1,,CELL("contenu",$AC$2))))</f>
        <v>A</v>
      </c>
      <c r="Z22" s="4" t="str">
        <f ca="1">CELL("contenu",INDIRECT(ADDRESS(ref!$K$10,ref!H21,1,,CELL("contenu",$AC$2))))</f>
        <v/>
      </c>
      <c r="AA22" s="8" t="str">
        <f ca="1">CELL("contenu",INDIRECT(ADDRESS(ref!$K$11,ref!H21,1,,CELL("contenu",$AC$2))))</f>
        <v>A</v>
      </c>
    </row>
    <row r="23" spans="1:27" x14ac:dyDescent="0.25">
      <c r="A23" s="61" t="str">
        <f t="shared" ca="1" si="0"/>
        <v>MAUVE Juliette</v>
      </c>
      <c r="B23" s="2" t="str">
        <f ca="1">CELL("contenu",INDIRECT(ADDRESS(ref!$K$3,ref!E22,1,,CELL("contenu",$AC$2))))</f>
        <v>C</v>
      </c>
      <c r="C23" s="3" t="str">
        <f ca="1">CELL("contenu",INDIRECT(ADDRESS(ref!$K$3,ref!F22,1,,CELL("contenu",$AC$2))))</f>
        <v>C</v>
      </c>
      <c r="D23" s="4" t="str">
        <f ca="1">CELL("contenu",INDIRECT(ADDRESS(ref!$K$3,ref!G22,1,,CELL("contenu",$AC$2))))</f>
        <v/>
      </c>
      <c r="E23" s="5" t="str">
        <f ca="1">CELL("contenu",INDIRECT(ADDRESS(ref!$K$3,ref!H22,1,,CELL("contenu",$AC$2))))</f>
        <v>C</v>
      </c>
      <c r="F23" s="6" t="str">
        <f ca="1">CELL("contenu",INDIRECT(ADDRESS(ref!$K$4,ref!E22,1,,CELL("contenu",$AC$2))))</f>
        <v>A</v>
      </c>
      <c r="G23" s="3" t="str">
        <f ca="1">CELL("contenu",INDIRECT(ADDRESS(ref!$K$4,ref!F22,1,,CELL("contenu",$AC$2))))</f>
        <v>B</v>
      </c>
      <c r="H23" s="4" t="str">
        <f ca="1">CELL("contenu",INDIRECT(ADDRESS(ref!$K$4,ref!G22,1,,CELL("contenu",$AC$2))))</f>
        <v/>
      </c>
      <c r="I23" s="5" t="str">
        <f ca="1">CELL("contenu",INDIRECT(ADDRESS(ref!$K$4,ref!H22,1,,CELL("contenu",$AC$2))))</f>
        <v>A</v>
      </c>
      <c r="J23" s="6" t="str">
        <f ca="1">CELL("contenu",INDIRECT(ADDRESS(ref!$K$5,ref!E22,1,,CELL("contenu",$AC$2))))</f>
        <v>A</v>
      </c>
      <c r="K23" s="3" t="str">
        <f ca="1">CELL("contenu",INDIRECT(ADDRESS(ref!$K$5,ref!F22,1,,CELL("contenu",$AC$2))))</f>
        <v>A</v>
      </c>
      <c r="L23" s="4" t="str">
        <f ca="1">CELL("contenu",INDIRECT(ADDRESS(ref!$K$5,ref!G22,1,,CELL("contenu",$AC$2))))</f>
        <v/>
      </c>
      <c r="M23" s="5" t="str">
        <f ca="1">CELL("contenu",INDIRECT(ADDRESS(ref!$K$5,ref!H22,1,,CELL("contenu",$AC$2))))</f>
        <v>A</v>
      </c>
      <c r="N23" s="6" t="str">
        <f ca="1">CELL("contenu",INDIRECT(ADDRESS(ref!$K$6,ref!E22,1,,CELL("contenu",$AC$2))))</f>
        <v>C</v>
      </c>
      <c r="O23" s="3" t="str">
        <f ca="1">CELL("contenu",INDIRECT(ADDRESS(ref!$K$6,ref!F22,1,,CELL("contenu",$AC$2))))</f>
        <v>C</v>
      </c>
      <c r="P23" s="4" t="str">
        <f ca="1">CELL("contenu",INDIRECT(ADDRESS(ref!$K$6,ref!G22,1,,CELL("contenu",$AC$2))))</f>
        <v/>
      </c>
      <c r="Q23" s="5" t="str">
        <f ca="1">CELL("contenu",INDIRECT(ADDRESS(ref!$K$6,ref!H22,1,,CELL("contenu",$AC$2))))</f>
        <v>C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9">
        <f ca="1">CELL("contenu",INDIRECT(ADDRESS(ref!$K$8,ref!E22,1,,CELL("contenu",$AC$2))))</f>
        <v>15.092592592592593</v>
      </c>
      <c r="W23" s="50">
        <f ca="1">CELL("contenu",INDIRECT(ADDRESS(ref!$K$8,ref!F22,1,,CELL("contenu",$AC$2))))</f>
        <v>14.861111111111114</v>
      </c>
      <c r="X23" s="51" t="str">
        <f ca="1">CELL("contenu",INDIRECT(ADDRESS(ref!$K$8,ref!G22,1,,CELL("contenu",$AC$2))))</f>
        <v/>
      </c>
      <c r="Y23" s="7" t="str">
        <f ca="1">CELL("contenu",INDIRECT(ADDRESS(ref!$K$9,ref!H22,1,,CELL("contenu",$AC$2))))</f>
        <v>A</v>
      </c>
      <c r="Z23" s="4" t="str">
        <f ca="1">CELL("contenu",INDIRECT(ADDRESS(ref!$K$10,ref!H22,1,,CELL("contenu",$AC$2))))</f>
        <v/>
      </c>
      <c r="AA23" s="8" t="str">
        <f ca="1">CELL("contenu",INDIRECT(ADDRESS(ref!$K$11,ref!H22,1,,CELL("contenu",$AC$2))))</f>
        <v>A</v>
      </c>
    </row>
    <row r="24" spans="1:27" x14ac:dyDescent="0.25">
      <c r="A24" s="61" t="str">
        <f t="shared" ca="1" si="0"/>
        <v>MOTILLON Jeanne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>C</v>
      </c>
      <c r="D24" s="4" t="str">
        <f ca="1">CELL("contenu",INDIRECT(ADDRESS(ref!$K$3,ref!G23,1,,CELL("contenu",$AC$2))))</f>
        <v/>
      </c>
      <c r="E24" s="5" t="str">
        <f ca="1">CELL("contenu",INDIRECT(ADDRESS(ref!$K$3,ref!H23,1,,CELL("contenu",$AC$2))))</f>
        <v>C</v>
      </c>
      <c r="F24" s="6" t="str">
        <f ca="1">CELL("contenu",INDIRECT(ADDRESS(ref!$K$4,ref!E23,1,,CELL("contenu",$AC$2))))</f>
        <v>B</v>
      </c>
      <c r="G24" s="3" t="str">
        <f ca="1">CELL("contenu",INDIRECT(ADDRESS(ref!$K$4,ref!F23,1,,CELL("contenu",$AC$2))))</f>
        <v>B</v>
      </c>
      <c r="H24" s="4" t="str">
        <f ca="1">CELL("contenu",INDIRECT(ADDRESS(ref!$K$4,ref!G23,1,,CELL("contenu",$AC$2))))</f>
        <v/>
      </c>
      <c r="I24" s="5" t="str">
        <f ca="1">CELL("contenu",INDIRECT(ADDRESS(ref!$K$4,ref!H23,1,,CELL("contenu",$AC$2))))</f>
        <v>B</v>
      </c>
      <c r="J24" s="6" t="str">
        <f ca="1">CELL("contenu",INDIRECT(ADDRESS(ref!$K$5,ref!E23,1,,CELL("contenu",$AC$2))))</f>
        <v>D</v>
      </c>
      <c r="K24" s="3" t="str">
        <f ca="1">CELL("contenu",INDIRECT(ADDRESS(ref!$K$5,ref!F23,1,,CELL("contenu",$AC$2))))</f>
        <v>A</v>
      </c>
      <c r="L24" s="4" t="str">
        <f ca="1">CELL("contenu",INDIRECT(ADDRESS(ref!$K$5,ref!G23,1,,CELL("contenu",$AC$2))))</f>
        <v/>
      </c>
      <c r="M24" s="5" t="str">
        <f ca="1">CELL("contenu",INDIRECT(ADDRESS(ref!$K$5,ref!H23,1,,CELL("contenu",$AC$2))))</f>
        <v>C</v>
      </c>
      <c r="N24" s="6" t="str">
        <f ca="1">CELL("contenu",INDIRECT(ADDRESS(ref!$K$6,ref!E23,1,,CELL("contenu",$AC$2))))</f>
        <v>C</v>
      </c>
      <c r="O24" s="3" t="str">
        <f ca="1">CELL("contenu",INDIRECT(ADDRESS(ref!$K$6,ref!F23,1,,CELL("contenu",$AC$2))))</f>
        <v>C</v>
      </c>
      <c r="P24" s="4" t="str">
        <f ca="1">CELL("contenu",INDIRECT(ADDRESS(ref!$K$6,ref!G23,1,,CELL("contenu",$AC$2))))</f>
        <v/>
      </c>
      <c r="Q24" s="5" t="str">
        <f ca="1">CELL("contenu",INDIRECT(ADDRESS(ref!$K$6,ref!H23,1,,CELL("contenu",$AC$2))))</f>
        <v>C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9">
        <f ca="1">CELL("contenu",INDIRECT(ADDRESS(ref!$K$8,ref!E23,1,,CELL("contenu",$AC$2))))</f>
        <v>10.925925925925926</v>
      </c>
      <c r="W24" s="50">
        <f ca="1">CELL("contenu",INDIRECT(ADDRESS(ref!$K$8,ref!F23,1,,CELL("contenu",$AC$2))))</f>
        <v>13.194444444444445</v>
      </c>
      <c r="X24" s="51" t="str">
        <f ca="1">CELL("contenu",INDIRECT(ADDRESS(ref!$K$8,ref!G23,1,,CELL("contenu",$AC$2))))</f>
        <v/>
      </c>
      <c r="Y24" s="7" t="str">
        <f ca="1">CELL("contenu",INDIRECT(ADDRESS(ref!$K$9,ref!H23,1,,CELL("contenu",$AC$2))))</f>
        <v>B</v>
      </c>
      <c r="Z24" s="4" t="str">
        <f ca="1">CELL("contenu",INDIRECT(ADDRESS(ref!$K$10,ref!H23,1,,CELL("contenu",$AC$2))))</f>
        <v/>
      </c>
      <c r="AA24" s="8" t="str">
        <f ca="1">CELL("contenu",INDIRECT(ADDRESS(ref!$K$11,ref!H23,1,,CELL("contenu",$AC$2))))</f>
        <v>C</v>
      </c>
    </row>
    <row r="25" spans="1:27" x14ac:dyDescent="0.25">
      <c r="A25" s="61" t="str">
        <f t="shared" ca="1" si="0"/>
        <v>PHILIPPONNEAU Julia</v>
      </c>
      <c r="B25" s="2" t="str">
        <f ca="1">CELL("contenu",INDIRECT(ADDRESS(ref!$K$3,ref!E24,1,,CELL("contenu",$AC$2))))</f>
        <v>C</v>
      </c>
      <c r="C25" s="3" t="str">
        <f ca="1">CELL("contenu",INDIRECT(ADDRESS(ref!$K$3,ref!F24,1,,CELL("contenu",$AC$2))))</f>
        <v>C</v>
      </c>
      <c r="D25" s="4" t="str">
        <f ca="1">CELL("contenu",INDIRECT(ADDRESS(ref!$K$3,ref!G24,1,,CELL("contenu",$AC$2))))</f>
        <v/>
      </c>
      <c r="E25" s="5" t="str">
        <f ca="1">CELL("contenu",INDIRECT(ADDRESS(ref!$K$3,ref!H24,1,,CELL("contenu",$AC$2))))</f>
        <v>C</v>
      </c>
      <c r="F25" s="6" t="str">
        <f ca="1">CELL("contenu",INDIRECT(ADDRESS(ref!$K$4,ref!E24,1,,CELL("contenu",$AC$2))))</f>
        <v>A</v>
      </c>
      <c r="G25" s="3" t="str">
        <f ca="1">CELL("contenu",INDIRECT(ADDRESS(ref!$K$4,ref!F24,1,,CELL("contenu",$AC$2))))</f>
        <v>B</v>
      </c>
      <c r="H25" s="4" t="str">
        <f ca="1">CELL("contenu",INDIRECT(ADDRESS(ref!$K$4,ref!G24,1,,CELL("contenu",$AC$2))))</f>
        <v/>
      </c>
      <c r="I25" s="5" t="str">
        <f ca="1">CELL("contenu",INDIRECT(ADDRESS(ref!$K$4,ref!H24,1,,CELL("contenu",$AC$2))))</f>
        <v>B</v>
      </c>
      <c r="J25" s="6" t="str">
        <f ca="1">CELL("contenu",INDIRECT(ADDRESS(ref!$K$5,ref!E24,1,,CELL("contenu",$AC$2))))</f>
        <v>A</v>
      </c>
      <c r="K25" s="3" t="str">
        <f ca="1">CELL("contenu",INDIRECT(ADDRESS(ref!$K$5,ref!F24,1,,CELL("contenu",$AC$2))))</f>
        <v>A</v>
      </c>
      <c r="L25" s="4" t="str">
        <f ca="1">CELL("contenu",INDIRECT(ADDRESS(ref!$K$5,ref!G24,1,,CELL("contenu",$AC$2))))</f>
        <v/>
      </c>
      <c r="M25" s="5" t="str">
        <f ca="1">CELL("contenu",INDIRECT(ADDRESS(ref!$K$5,ref!H24,1,,CELL("contenu",$AC$2))))</f>
        <v>A</v>
      </c>
      <c r="N25" s="6" t="str">
        <f ca="1">CELL("contenu",INDIRECT(ADDRESS(ref!$K$6,ref!E24,1,,CELL("contenu",$AC$2))))</f>
        <v>C</v>
      </c>
      <c r="O25" s="3" t="str">
        <f ca="1">CELL("contenu",INDIRECT(ADDRESS(ref!$K$6,ref!F24,1,,CELL("contenu",$AC$2))))</f>
        <v>C</v>
      </c>
      <c r="P25" s="4" t="str">
        <f ca="1">CELL("contenu",INDIRECT(ADDRESS(ref!$K$6,ref!G24,1,,CELL("contenu",$AC$2))))</f>
        <v/>
      </c>
      <c r="Q25" s="5" t="str">
        <f ca="1">CELL("contenu",INDIRECT(ADDRESS(ref!$K$6,ref!H24,1,,CELL("contenu",$AC$2))))</f>
        <v>C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9">
        <f ca="1">CELL("contenu",INDIRECT(ADDRESS(ref!$K$8,ref!E24,1,,CELL("contenu",$AC$2))))</f>
        <v>13.703703703703702</v>
      </c>
      <c r="W25" s="50">
        <f ca="1">CELL("contenu",INDIRECT(ADDRESS(ref!$K$8,ref!F24,1,,CELL("contenu",$AC$2))))</f>
        <v>12.453703703703704</v>
      </c>
      <c r="X25" s="51" t="str">
        <f ca="1">CELL("contenu",INDIRECT(ADDRESS(ref!$K$8,ref!G24,1,,CELL("contenu",$AC$2))))</f>
        <v/>
      </c>
      <c r="Y25" s="7" t="str">
        <f ca="1">CELL("contenu",INDIRECT(ADDRESS(ref!$K$9,ref!H24,1,,CELL("contenu",$AC$2))))</f>
        <v>B</v>
      </c>
      <c r="Z25" s="4" t="str">
        <f ca="1">CELL("contenu",INDIRECT(ADDRESS(ref!$K$10,ref!H24,1,,CELL("contenu",$AC$2))))</f>
        <v/>
      </c>
      <c r="AA25" s="8" t="str">
        <f ca="1">CELL("contenu",INDIRECT(ADDRESS(ref!$K$11,ref!H24,1,,CELL("contenu",$AC$2))))</f>
        <v>A</v>
      </c>
    </row>
    <row r="26" spans="1:27" x14ac:dyDescent="0.25">
      <c r="A26" s="61" t="str">
        <f t="shared" ca="1" si="0"/>
        <v>REYNIER Antoine</v>
      </c>
      <c r="B26" s="2" t="str">
        <f ca="1">CELL("contenu",INDIRECT(ADDRESS(ref!$K$3,ref!E25,1,,CELL("contenu",$AC$2))))</f>
        <v>C</v>
      </c>
      <c r="C26" s="3" t="str">
        <f ca="1">CELL("contenu",INDIRECT(ADDRESS(ref!$K$3,ref!F25,1,,CELL("contenu",$AC$2))))</f>
        <v>C</v>
      </c>
      <c r="D26" s="4" t="str">
        <f ca="1">CELL("contenu",INDIRECT(ADDRESS(ref!$K$3,ref!G25,1,,CELL("contenu",$AC$2))))</f>
        <v/>
      </c>
      <c r="E26" s="5" t="str">
        <f ca="1">CELL("contenu",INDIRECT(ADDRESS(ref!$K$3,ref!H25,1,,CELL("contenu",$AC$2))))</f>
        <v>C</v>
      </c>
      <c r="F26" s="6" t="str">
        <f ca="1">CELL("contenu",INDIRECT(ADDRESS(ref!$K$4,ref!E25,1,,CELL("contenu",$AC$2))))</f>
        <v>A</v>
      </c>
      <c r="G26" s="3" t="str">
        <f ca="1">CELL("contenu",INDIRECT(ADDRESS(ref!$K$4,ref!F25,1,,CELL("contenu",$AC$2))))</f>
        <v>B</v>
      </c>
      <c r="H26" s="4" t="str">
        <f ca="1">CELL("contenu",INDIRECT(ADDRESS(ref!$K$4,ref!G25,1,,CELL("contenu",$AC$2))))</f>
        <v/>
      </c>
      <c r="I26" s="5" t="str">
        <f ca="1">CELL("contenu",INDIRECT(ADDRESS(ref!$K$4,ref!H25,1,,CELL("contenu",$AC$2))))</f>
        <v>A</v>
      </c>
      <c r="J26" s="6" t="str">
        <f ca="1">CELL("contenu",INDIRECT(ADDRESS(ref!$K$5,ref!E25,1,,CELL("contenu",$AC$2))))</f>
        <v>A</v>
      </c>
      <c r="K26" s="3" t="str">
        <f ca="1">CELL("contenu",INDIRECT(ADDRESS(ref!$K$5,ref!F25,1,,CELL("contenu",$AC$2))))</f>
        <v>A</v>
      </c>
      <c r="L26" s="4" t="str">
        <f ca="1">CELL("contenu",INDIRECT(ADDRESS(ref!$K$5,ref!G25,1,,CELL("contenu",$AC$2))))</f>
        <v/>
      </c>
      <c r="M26" s="5" t="str">
        <f ca="1">CELL("contenu",INDIRECT(ADDRESS(ref!$K$5,ref!H25,1,,CELL("contenu",$AC$2))))</f>
        <v>A</v>
      </c>
      <c r="N26" s="6" t="str">
        <f ca="1">CELL("contenu",INDIRECT(ADDRESS(ref!$K$6,ref!E25,1,,CELL("contenu",$AC$2))))</f>
        <v>C</v>
      </c>
      <c r="O26" s="3" t="str">
        <f ca="1">CELL("contenu",INDIRECT(ADDRESS(ref!$K$6,ref!F25,1,,CELL("contenu",$AC$2))))</f>
        <v>C</v>
      </c>
      <c r="P26" s="4" t="str">
        <f ca="1">CELL("contenu",INDIRECT(ADDRESS(ref!$K$6,ref!G25,1,,CELL("contenu",$AC$2))))</f>
        <v/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9">
        <f ca="1">CELL("contenu",INDIRECT(ADDRESS(ref!$K$8,ref!E25,1,,CELL("contenu",$AC$2))))</f>
        <v>13.796296296296298</v>
      </c>
      <c r="W26" s="50">
        <f ca="1">CELL("contenu",INDIRECT(ADDRESS(ref!$K$8,ref!F25,1,,CELL("contenu",$AC$2))))</f>
        <v>11.435185185185183</v>
      </c>
      <c r="X26" s="51" t="str">
        <f ca="1">CELL("contenu",INDIRECT(ADDRESS(ref!$K$8,ref!G25,1,,CELL("contenu",$AC$2))))</f>
        <v/>
      </c>
      <c r="Y26" s="7" t="str">
        <f ca="1">CELL("contenu",INDIRECT(ADDRESS(ref!$K$9,ref!H25,1,,CELL("contenu",$AC$2))))</f>
        <v>A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>A</v>
      </c>
    </row>
    <row r="27" spans="1:27" x14ac:dyDescent="0.25">
      <c r="A27" s="61" t="str">
        <f t="shared" ca="1" si="0"/>
        <v>ROCHERY Marguerite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>C</v>
      </c>
      <c r="D27" s="4" t="str">
        <f ca="1">CELL("contenu",INDIRECT(ADDRESS(ref!$K$3,ref!G26,1,,CELL("contenu",$AC$2))))</f>
        <v/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>A</v>
      </c>
      <c r="G27" s="3" t="str">
        <f ca="1">CELL("contenu",INDIRECT(ADDRESS(ref!$K$4,ref!F26,1,,CELL("contenu",$AC$2))))</f>
        <v>B</v>
      </c>
      <c r="H27" s="4" t="str">
        <f ca="1">CELL("contenu",INDIRECT(ADDRESS(ref!$K$4,ref!G26,1,,CELL("contenu",$AC$2))))</f>
        <v/>
      </c>
      <c r="I27" s="5" t="str">
        <f ca="1">CELL("contenu",INDIRECT(ADDRESS(ref!$K$4,ref!H26,1,,CELL("contenu",$AC$2))))</f>
        <v>A</v>
      </c>
      <c r="J27" s="6" t="str">
        <f ca="1">CELL("contenu",INDIRECT(ADDRESS(ref!$K$5,ref!E26,1,,CELL("contenu",$AC$2))))</f>
        <v>A</v>
      </c>
      <c r="K27" s="3" t="str">
        <f ca="1">CELL("contenu",INDIRECT(ADDRESS(ref!$K$5,ref!F26,1,,CELL("contenu",$AC$2))))</f>
        <v>A</v>
      </c>
      <c r="L27" s="4" t="str">
        <f ca="1">CELL("contenu",INDIRECT(ADDRESS(ref!$K$5,ref!G26,1,,CELL("contenu",$AC$2))))</f>
        <v/>
      </c>
      <c r="M27" s="5" t="str">
        <f ca="1">CELL("contenu",INDIRECT(ADDRESS(ref!$K$5,ref!H26,1,,CELL("contenu",$AC$2))))</f>
        <v>A</v>
      </c>
      <c r="N27" s="6" t="str">
        <f ca="1">CELL("contenu",INDIRECT(ADDRESS(ref!$K$6,ref!E26,1,,CELL("contenu",$AC$2))))</f>
        <v>C</v>
      </c>
      <c r="O27" s="3" t="str">
        <f ca="1">CELL("contenu",INDIRECT(ADDRESS(ref!$K$6,ref!F26,1,,CELL("contenu",$AC$2))))</f>
        <v>C</v>
      </c>
      <c r="P27" s="4" t="str">
        <f ca="1">CELL("contenu",INDIRECT(ADDRESS(ref!$K$6,ref!G26,1,,CELL("contenu",$AC$2))))</f>
        <v/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9">
        <f ca="1">CELL("contenu",INDIRECT(ADDRESS(ref!$K$8,ref!E26,1,,CELL("contenu",$AC$2))))</f>
        <v>14.351851851851853</v>
      </c>
      <c r="W27" s="50">
        <f ca="1">CELL("contenu",INDIRECT(ADDRESS(ref!$K$8,ref!F26,1,,CELL("contenu",$AC$2))))</f>
        <v>14.027777777777777</v>
      </c>
      <c r="X27" s="51" t="str">
        <f ca="1">CELL("contenu",INDIRECT(ADDRESS(ref!$K$8,ref!G26,1,,CELL("contenu",$AC$2))))</f>
        <v/>
      </c>
      <c r="Y27" s="7" t="str">
        <f ca="1">CELL("contenu",INDIRECT(ADDRESS(ref!$K$9,ref!H26,1,,CELL("contenu",$AC$2))))</f>
        <v>A</v>
      </c>
      <c r="Z27" s="4" t="str">
        <f ca="1">CELL("contenu",INDIRECT(ADDRESS(ref!$K$10,ref!H26,1,,CELL("contenu",$AC$2))))</f>
        <v/>
      </c>
      <c r="AA27" s="8" t="str">
        <f ca="1">CELL("contenu",INDIRECT(ADDRESS(ref!$K$11,ref!H26,1,,CELL("contenu",$AC$2))))</f>
        <v>A</v>
      </c>
    </row>
    <row r="28" spans="1:27" x14ac:dyDescent="0.25">
      <c r="A28" s="61" t="str">
        <f t="shared" ca="1" si="0"/>
        <v>TABONE Gaspard</v>
      </c>
      <c r="B28" s="2" t="str">
        <f ca="1">CELL("contenu",INDIRECT(ADDRESS(ref!$K$3,ref!E27,1,,CELL("contenu",$AC$2))))</f>
        <v>C</v>
      </c>
      <c r="C28" s="3" t="str">
        <f ca="1">CELL("contenu",INDIRECT(ADDRESS(ref!$K$3,ref!F27,1,,CELL("contenu",$AC$2))))</f>
        <v>C</v>
      </c>
      <c r="D28" s="4" t="str">
        <f ca="1">CELL("contenu",INDIRECT(ADDRESS(ref!$K$3,ref!G27,1,,CELL("contenu",$AC$2))))</f>
        <v/>
      </c>
      <c r="E28" s="5" t="str">
        <f ca="1">CELL("contenu",INDIRECT(ADDRESS(ref!$K$3,ref!H27,1,,CELL("contenu",$AC$2))))</f>
        <v>C</v>
      </c>
      <c r="F28" s="6" t="str">
        <f ca="1">CELL("contenu",INDIRECT(ADDRESS(ref!$K$4,ref!E27,1,,CELL("contenu",$AC$2))))</f>
        <v>A</v>
      </c>
      <c r="G28" s="3" t="str">
        <f ca="1">CELL("contenu",INDIRECT(ADDRESS(ref!$K$4,ref!F27,1,,CELL("contenu",$AC$2))))</f>
        <v>A</v>
      </c>
      <c r="H28" s="4" t="str">
        <f ca="1">CELL("contenu",INDIRECT(ADDRESS(ref!$K$4,ref!G27,1,,CELL("contenu",$AC$2))))</f>
        <v/>
      </c>
      <c r="I28" s="5" t="str">
        <f ca="1">CELL("contenu",INDIRECT(ADDRESS(ref!$K$4,ref!H27,1,,CELL("contenu",$AC$2))))</f>
        <v>A</v>
      </c>
      <c r="J28" s="6" t="str">
        <f ca="1">CELL("contenu",INDIRECT(ADDRESS(ref!$K$5,ref!E27,1,,CELL("contenu",$AC$2))))</f>
        <v>A</v>
      </c>
      <c r="K28" s="3" t="str">
        <f ca="1">CELL("contenu",INDIRECT(ADDRESS(ref!$K$5,ref!F27,1,,CELL("contenu",$AC$2))))</f>
        <v>A</v>
      </c>
      <c r="L28" s="4" t="str">
        <f ca="1">CELL("contenu",INDIRECT(ADDRESS(ref!$K$5,ref!G27,1,,CELL("contenu",$AC$2))))</f>
        <v/>
      </c>
      <c r="M28" s="5" t="str">
        <f ca="1">CELL("contenu",INDIRECT(ADDRESS(ref!$K$5,ref!H27,1,,CELL("contenu",$AC$2))))</f>
        <v>A</v>
      </c>
      <c r="N28" s="6" t="str">
        <f ca="1">CELL("contenu",INDIRECT(ADDRESS(ref!$K$6,ref!E27,1,,CELL("contenu",$AC$2))))</f>
        <v>C</v>
      </c>
      <c r="O28" s="3" t="str">
        <f ca="1">CELL("contenu",INDIRECT(ADDRESS(ref!$K$6,ref!F27,1,,CELL("contenu",$AC$2))))</f>
        <v>C</v>
      </c>
      <c r="P28" s="4" t="str">
        <f ca="1">CELL("contenu",INDIRECT(ADDRESS(ref!$K$6,ref!G27,1,,CELL("contenu",$AC$2))))</f>
        <v/>
      </c>
      <c r="Q28" s="5" t="str">
        <f ca="1">CELL("contenu",INDIRECT(ADDRESS(ref!$K$6,ref!H27,1,,CELL("contenu",$AC$2))))</f>
        <v>C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9">
        <f ca="1">CELL("contenu",INDIRECT(ADDRESS(ref!$K$8,ref!E27,1,,CELL("contenu",$AC$2))))</f>
        <v>13.888888888888891</v>
      </c>
      <c r="W28" s="50">
        <f ca="1">CELL("contenu",INDIRECT(ADDRESS(ref!$K$8,ref!F27,1,,CELL("contenu",$AC$2))))</f>
        <v>14.907407407407407</v>
      </c>
      <c r="X28" s="51" t="str">
        <f ca="1">CELL("contenu",INDIRECT(ADDRESS(ref!$K$8,ref!G27,1,,CELL("contenu",$AC$2))))</f>
        <v/>
      </c>
      <c r="Y28" s="7" t="str">
        <f ca="1">CELL("contenu",INDIRECT(ADDRESS(ref!$K$9,ref!H27,1,,CELL("contenu",$AC$2))))</f>
        <v>A</v>
      </c>
      <c r="Z28" s="4" t="str">
        <f ca="1">CELL("contenu",INDIRECT(ADDRESS(ref!$K$10,ref!H27,1,,CELL("contenu",$AC$2))))</f>
        <v/>
      </c>
      <c r="AA28" s="8" t="str">
        <f ca="1">CELL("contenu",INDIRECT(ADDRESS(ref!$K$11,ref!H27,1,,CELL("contenu",$AC$2))))</f>
        <v>A</v>
      </c>
    </row>
    <row r="29" spans="1:27" x14ac:dyDescent="0.25">
      <c r="A29" s="61" t="str">
        <f t="shared" ca="1" si="0"/>
        <v>TONDEUR Justine</v>
      </c>
      <c r="B29" s="2" t="str">
        <f ca="1">CELL("contenu",INDIRECT(ADDRESS(ref!$K$3,ref!E28,1,,CELL("contenu",$AC$2))))</f>
        <v>C</v>
      </c>
      <c r="C29" s="3" t="str">
        <f ca="1">CELL("contenu",INDIRECT(ADDRESS(ref!$K$3,ref!F28,1,,CELL("contenu",$AC$2))))</f>
        <v>C</v>
      </c>
      <c r="D29" s="4" t="str">
        <f ca="1">CELL("contenu",INDIRECT(ADDRESS(ref!$K$3,ref!G28,1,,CELL("contenu",$AC$2))))</f>
        <v/>
      </c>
      <c r="E29" s="5" t="str">
        <f ca="1">CELL("contenu",INDIRECT(ADDRESS(ref!$K$3,ref!H28,1,,CELL("contenu",$AC$2))))</f>
        <v>C</v>
      </c>
      <c r="F29" s="6" t="str">
        <f ca="1">CELL("contenu",INDIRECT(ADDRESS(ref!$K$4,ref!E28,1,,CELL("contenu",$AC$2))))</f>
        <v>A</v>
      </c>
      <c r="G29" s="3" t="str">
        <f ca="1">CELL("contenu",INDIRECT(ADDRESS(ref!$K$4,ref!F28,1,,CELL("contenu",$AC$2))))</f>
        <v>B</v>
      </c>
      <c r="H29" s="4" t="str">
        <f ca="1">CELL("contenu",INDIRECT(ADDRESS(ref!$K$4,ref!G28,1,,CELL("contenu",$AC$2))))</f>
        <v/>
      </c>
      <c r="I29" s="5" t="str">
        <f ca="1">CELL("contenu",INDIRECT(ADDRESS(ref!$K$4,ref!H28,1,,CELL("contenu",$AC$2))))</f>
        <v>B</v>
      </c>
      <c r="J29" s="6" t="str">
        <f ca="1">CELL("contenu",INDIRECT(ADDRESS(ref!$K$5,ref!E28,1,,CELL("contenu",$AC$2))))</f>
        <v>A</v>
      </c>
      <c r="K29" s="3" t="str">
        <f ca="1">CELL("contenu",INDIRECT(ADDRESS(ref!$K$5,ref!F28,1,,CELL("contenu",$AC$2))))</f>
        <v>A</v>
      </c>
      <c r="L29" s="4" t="str">
        <f ca="1">CELL("contenu",INDIRECT(ADDRESS(ref!$K$5,ref!G28,1,,CELL("contenu",$AC$2))))</f>
        <v/>
      </c>
      <c r="M29" s="5" t="str">
        <f ca="1">CELL("contenu",INDIRECT(ADDRESS(ref!$K$5,ref!H28,1,,CELL("contenu",$AC$2))))</f>
        <v>A</v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>C</v>
      </c>
      <c r="P29" s="4" t="str">
        <f ca="1">CELL("contenu",INDIRECT(ADDRESS(ref!$K$6,ref!G28,1,,CELL("contenu",$AC$2))))</f>
        <v/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/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/>
      </c>
      <c r="V29" s="49">
        <f ca="1">CELL("contenu",INDIRECT(ADDRESS(ref!$K$8,ref!E28,1,,CELL("contenu",$AC$2))))</f>
        <v>13.796296296296296</v>
      </c>
      <c r="W29" s="50">
        <f ca="1">CELL("contenu",INDIRECT(ADDRESS(ref!$K$8,ref!F28,1,,CELL("contenu",$AC$2))))</f>
        <v>12.731481481481481</v>
      </c>
      <c r="X29" s="51" t="str">
        <f ca="1">CELL("contenu",INDIRECT(ADDRESS(ref!$K$8,ref!G28,1,,CELL("contenu",$AC$2))))</f>
        <v/>
      </c>
      <c r="Y29" s="7" t="str">
        <f ca="1">CELL("contenu",INDIRECT(ADDRESS(ref!$K$9,ref!H28,1,,CELL("contenu",$AC$2))))</f>
        <v>B</v>
      </c>
      <c r="Z29" s="4" t="str">
        <f ca="1">CELL("contenu",INDIRECT(ADDRESS(ref!$K$10,ref!H28,1,,CELL("contenu",$AC$2))))</f>
        <v/>
      </c>
      <c r="AA29" s="8" t="str">
        <f ca="1">CELL("contenu",INDIRECT(ADDRESS(ref!$K$11,ref!H28,1,,CELL("contenu",$AC$2))))</f>
        <v>A</v>
      </c>
    </row>
    <row r="30" spans="1:27" ht="15.75" thickBot="1" x14ac:dyDescent="0.3">
      <c r="A30" s="64" t="str">
        <f t="shared" ca="1" si="0"/>
        <v>VANDIER Achille</v>
      </c>
      <c r="B30" s="23" t="str">
        <f ca="1">CELL("contenu",INDIRECT(ADDRESS(ref!$K$3,ref!E29,1,,CELL("contenu",$AC$2))))</f>
        <v>C</v>
      </c>
      <c r="C30" s="9" t="str">
        <f ca="1">CELL("contenu",INDIRECT(ADDRESS(ref!$K$3,ref!F29,1,,CELL("contenu",$AC$2))))</f>
        <v>C</v>
      </c>
      <c r="D30" s="10" t="str">
        <f ca="1">CELL("contenu",INDIRECT(ADDRESS(ref!$K$3,ref!G29,1,,CELL("contenu",$AC$2))))</f>
        <v/>
      </c>
      <c r="E30" s="11" t="str">
        <f ca="1">CELL("contenu",INDIRECT(ADDRESS(ref!$K$3,ref!H29,1,,CELL("contenu",$AC$2))))</f>
        <v>C</v>
      </c>
      <c r="F30" s="12" t="str">
        <f ca="1">CELL("contenu",INDIRECT(ADDRESS(ref!$K$4,ref!E29,1,,CELL("contenu",$AC$2))))</f>
        <v>A</v>
      </c>
      <c r="G30" s="9" t="str">
        <f ca="1">CELL("contenu",INDIRECT(ADDRESS(ref!$K$4,ref!F29,1,,CELL("contenu",$AC$2))))</f>
        <v>B</v>
      </c>
      <c r="H30" s="10" t="str">
        <f ca="1">CELL("contenu",INDIRECT(ADDRESS(ref!$K$4,ref!G29,1,,CELL("contenu",$AC$2))))</f>
        <v/>
      </c>
      <c r="I30" s="11" t="str">
        <f ca="1">CELL("contenu",INDIRECT(ADDRESS(ref!$K$4,ref!H29,1,,CELL("contenu",$AC$2))))</f>
        <v>A</v>
      </c>
      <c r="J30" s="12" t="str">
        <f ca="1">CELL("contenu",INDIRECT(ADDRESS(ref!$K$5,ref!E29,1,,CELL("contenu",$AC$2))))</f>
        <v>A</v>
      </c>
      <c r="K30" s="9" t="str">
        <f ca="1">CELL("contenu",INDIRECT(ADDRESS(ref!$K$5,ref!F29,1,,CELL("contenu",$AC$2))))</f>
        <v>A</v>
      </c>
      <c r="L30" s="10" t="str">
        <f ca="1">CELL("contenu",INDIRECT(ADDRESS(ref!$K$5,ref!G29,1,,CELL("contenu",$AC$2))))</f>
        <v/>
      </c>
      <c r="M30" s="11" t="str">
        <f ca="1">CELL("contenu",INDIRECT(ADDRESS(ref!$K$5,ref!H29,1,,CELL("contenu",$AC$2))))</f>
        <v>A</v>
      </c>
      <c r="N30" s="12" t="str">
        <f ca="1">CELL("contenu",INDIRECT(ADDRESS(ref!$K$6,ref!E29,1,,CELL("contenu",$AC$2))))</f>
        <v>C</v>
      </c>
      <c r="O30" s="9" t="str">
        <f ca="1">CELL("contenu",INDIRECT(ADDRESS(ref!$K$6,ref!F29,1,,CELL("contenu",$AC$2))))</f>
        <v>C</v>
      </c>
      <c r="P30" s="10" t="str">
        <f ca="1">CELL("contenu",INDIRECT(ADDRESS(ref!$K$6,ref!G29,1,,CELL("contenu",$AC$2))))</f>
        <v/>
      </c>
      <c r="Q30" s="11" t="str">
        <f ca="1">CELL("contenu",INDIRECT(ADDRESS(ref!$K$6,ref!H29,1,,CELL("contenu",$AC$2))))</f>
        <v>C</v>
      </c>
      <c r="R30" s="12" t="str">
        <f ca="1">CELL("contenu",INDIRECT(ADDRESS(ref!$K$7,ref!E29,1,,CELL("contenu",$AC$2))))</f>
        <v/>
      </c>
      <c r="S30" s="9" t="str">
        <f ca="1">CELL("contenu",INDIRECT(ADDRESS(ref!$K$7,ref!F29,1,,CELL("contenu",$AC$2))))</f>
        <v/>
      </c>
      <c r="T30" s="10" t="str">
        <f ca="1">CELL("contenu",INDIRECT(ADDRESS(ref!$K$7,ref!G29,1,,CELL("contenu",$AC$2))))</f>
        <v/>
      </c>
      <c r="U30" s="11" t="str">
        <f ca="1">CELL("contenu",INDIRECT(ADDRESS(ref!$K$7,ref!H29,1,,CELL("contenu",$AC$2))))</f>
        <v/>
      </c>
      <c r="V30" s="52">
        <f ca="1">CELL("contenu",INDIRECT(ADDRESS(ref!$K$8,ref!E29,1,,CELL("contenu",$AC$2))))</f>
        <v>15.092592592592593</v>
      </c>
      <c r="W30" s="53">
        <f ca="1">CELL("contenu",INDIRECT(ADDRESS(ref!$K$8,ref!F29,1,,CELL("contenu",$AC$2))))</f>
        <v>14.444444444444446</v>
      </c>
      <c r="X30" s="54" t="str">
        <f ca="1">CELL("contenu",INDIRECT(ADDRESS(ref!$K$8,ref!G29,1,,CELL("contenu",$AC$2))))</f>
        <v/>
      </c>
      <c r="Y30" s="13" t="str">
        <f ca="1">CELL("contenu",INDIRECT(ADDRESS(ref!$K$9,ref!H29,1,,CELL("contenu",$AC$2))))</f>
        <v>A</v>
      </c>
      <c r="Z30" s="10" t="str">
        <f ca="1">CELL("contenu",INDIRECT(ADDRESS(ref!$K$10,ref!H29,1,,CELL("contenu",$AC$2))))</f>
        <v/>
      </c>
      <c r="AA30" s="14" t="str">
        <f ca="1">CELL("contenu",INDIRECT(ADDRESS(ref!$K$11,ref!H29,1,,CELL("contenu",$AC$2))))</f>
        <v>A</v>
      </c>
    </row>
  </sheetData>
  <sheetProtection algorithmName="SHA-512" hashValue="QGAxQB35hs/aBX2x15o9aN4/rqSi2eitA9fctd1ktH3wI2oA+TlgkLz1GZMu24jneTHyt19kbAcvu7ozegSGaw==" saltValue="FtO7kPYrgVKTncqjSTLMog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UT24"/>
  <sheetViews>
    <sheetView zoomScale="70" zoomScaleNormal="70" workbookViewId="0">
      <pane xSplit="2" topLeftCell="RW1" activePane="topRight" state="frozen"/>
      <selection activeCell="AB3" sqref="AB3:AC3"/>
      <selection pane="topRight" activeCell="SP5" sqref="SP5:SP21"/>
    </sheetView>
  </sheetViews>
  <sheetFormatPr baseColWidth="10" defaultColWidth="5.7109375" defaultRowHeight="18" x14ac:dyDescent="0.25"/>
  <cols>
    <col min="1" max="1" width="17.7109375" style="177" customWidth="1"/>
    <col min="2" max="2" width="13.7109375" style="177" customWidth="1"/>
    <col min="3" max="5" width="4.7109375" style="168" customWidth="1"/>
    <col min="6" max="6" width="4.7109375" style="199" customWidth="1"/>
    <col min="7" max="7" width="8.7109375" style="200" customWidth="1"/>
    <col min="8" max="11" width="4.7109375" style="167" customWidth="1"/>
    <col min="12" max="12" width="4.7109375" style="200" customWidth="1"/>
    <col min="13" max="13" width="8.7109375" style="200" customWidth="1"/>
    <col min="14" max="17" width="4.7109375" style="167" customWidth="1"/>
    <col min="18" max="18" width="4.7109375" style="200" customWidth="1"/>
    <col min="19" max="19" width="8.7109375" style="200" customWidth="1"/>
    <col min="20" max="20" width="4.7109375" style="200" customWidth="1"/>
    <col min="21" max="21" width="8.7109375" style="200" customWidth="1"/>
    <col min="22" max="24" width="4.7109375" style="168" customWidth="1"/>
    <col min="25" max="25" width="4.7109375" style="199" customWidth="1"/>
    <col min="26" max="26" width="8.7109375" style="200" customWidth="1"/>
    <col min="27" max="30" width="4.7109375" style="167" customWidth="1"/>
    <col min="31" max="31" width="4.7109375" style="200" customWidth="1"/>
    <col min="32" max="32" width="8.7109375" style="200" customWidth="1"/>
    <col min="33" max="36" width="4.7109375" style="167" customWidth="1"/>
    <col min="37" max="37" width="4.7109375" style="200" customWidth="1"/>
    <col min="38" max="38" width="8.7109375" style="200" customWidth="1"/>
    <col min="39" max="39" width="4.7109375" style="200" customWidth="1"/>
    <col min="40" max="40" width="8.7109375" style="200" customWidth="1"/>
    <col min="41" max="44" width="4.7109375" style="168" customWidth="1"/>
    <col min="45" max="45" width="8.7109375" style="166" customWidth="1"/>
    <col min="46" max="49" width="4.7109375" style="167" customWidth="1"/>
    <col min="50" max="50" width="4.7109375" style="166" customWidth="1"/>
    <col min="51" max="51" width="8.7109375" style="166" customWidth="1"/>
    <col min="52" max="55" width="4.7109375" style="167" customWidth="1"/>
    <col min="56" max="56" width="4.7109375" style="166" customWidth="1"/>
    <col min="57" max="57" width="8.7109375" style="166" customWidth="1"/>
    <col min="58" max="58" width="4.7109375" style="166" customWidth="1"/>
    <col min="59" max="59" width="8.7109375" style="166" customWidth="1"/>
    <col min="60" max="63" width="4.7109375" style="168" customWidth="1"/>
    <col min="64" max="64" width="8.7109375" style="166" customWidth="1"/>
    <col min="65" max="68" width="4.7109375" style="167" customWidth="1"/>
    <col min="69" max="69" width="4.7109375" style="166" customWidth="1"/>
    <col min="70" max="70" width="8.7109375" style="166" customWidth="1"/>
    <col min="71" max="74" width="4.7109375" style="167" customWidth="1"/>
    <col min="75" max="75" width="4.7109375" style="166" customWidth="1"/>
    <col min="76" max="76" width="8.7109375" style="166" customWidth="1"/>
    <col min="77" max="77" width="4.7109375" style="166" customWidth="1"/>
    <col min="78" max="78" width="8.7109375" style="166" customWidth="1"/>
    <col min="79" max="82" width="4.7109375" style="168" customWidth="1"/>
    <col min="83" max="83" width="8.7109375" style="166" customWidth="1"/>
    <col min="84" max="87" width="4.7109375" style="167" customWidth="1"/>
    <col min="88" max="88" width="4.7109375" style="166" customWidth="1"/>
    <col min="89" max="89" width="8.7109375" style="166" customWidth="1"/>
    <col min="90" max="93" width="4.7109375" style="167" customWidth="1"/>
    <col min="94" max="94" width="4.7109375" style="166" customWidth="1"/>
    <col min="95" max="95" width="8.7109375" style="166" customWidth="1"/>
    <col min="96" max="96" width="4.7109375" style="166" customWidth="1"/>
    <col min="97" max="97" width="8.7109375" style="166" customWidth="1"/>
    <col min="98" max="101" width="4.7109375" style="168" customWidth="1"/>
    <col min="102" max="102" width="8.7109375" style="166" customWidth="1"/>
    <col min="103" max="106" width="4.7109375" style="167" customWidth="1"/>
    <col min="107" max="107" width="4.7109375" style="166" customWidth="1"/>
    <col min="108" max="108" width="8.7109375" style="166" customWidth="1"/>
    <col min="109" max="112" width="4.7109375" style="167" customWidth="1"/>
    <col min="113" max="113" width="4.7109375" style="166" customWidth="1"/>
    <col min="114" max="114" width="8.7109375" style="166" customWidth="1"/>
    <col min="115" max="115" width="4.7109375" style="166" customWidth="1"/>
    <col min="116" max="116" width="8.7109375" style="166" customWidth="1"/>
    <col min="117" max="120" width="4.7109375" style="168" customWidth="1"/>
    <col min="121" max="121" width="8.7109375" style="166" customWidth="1"/>
    <col min="122" max="125" width="4.7109375" style="167" customWidth="1"/>
    <col min="126" max="126" width="4.7109375" style="166" customWidth="1"/>
    <col min="127" max="127" width="8.7109375" style="166" customWidth="1"/>
    <col min="128" max="131" width="4.7109375" style="167" customWidth="1"/>
    <col min="132" max="132" width="4.7109375" style="166" customWidth="1"/>
    <col min="133" max="133" width="8.7109375" style="166" customWidth="1"/>
    <col min="134" max="134" width="4.7109375" style="166" customWidth="1"/>
    <col min="135" max="135" width="8.7109375" style="166" customWidth="1"/>
    <col min="136" max="139" width="4.7109375" style="168" customWidth="1"/>
    <col min="140" max="140" width="8.7109375" style="166" customWidth="1"/>
    <col min="141" max="144" width="4.7109375" style="167" customWidth="1"/>
    <col min="145" max="145" width="4.7109375" style="166" customWidth="1"/>
    <col min="146" max="146" width="8.7109375" style="166" customWidth="1"/>
    <col min="147" max="150" width="4.7109375" style="167" customWidth="1"/>
    <col min="151" max="151" width="4.7109375" style="166" customWidth="1"/>
    <col min="152" max="152" width="8.7109375" style="166" customWidth="1"/>
    <col min="153" max="153" width="4.7109375" style="166" customWidth="1"/>
    <col min="154" max="154" width="8.7109375" style="166" customWidth="1"/>
    <col min="155" max="158" width="4.7109375" style="168" customWidth="1"/>
    <col min="159" max="159" width="8.7109375" style="166" customWidth="1"/>
    <col min="160" max="163" width="4.7109375" style="167" customWidth="1"/>
    <col min="164" max="164" width="4.7109375" style="166" customWidth="1"/>
    <col min="165" max="165" width="8.7109375" style="166" customWidth="1"/>
    <col min="166" max="169" width="4.7109375" style="167" customWidth="1"/>
    <col min="170" max="170" width="4.7109375" style="166" customWidth="1"/>
    <col min="171" max="171" width="8.7109375" style="166" customWidth="1"/>
    <col min="172" max="172" width="4.7109375" style="166" customWidth="1"/>
    <col min="173" max="173" width="8.7109375" style="166" customWidth="1"/>
    <col min="174" max="177" width="4.7109375" style="168" customWidth="1"/>
    <col min="178" max="178" width="8.7109375" style="166" customWidth="1"/>
    <col min="179" max="182" width="4.7109375" style="167" customWidth="1"/>
    <col min="183" max="183" width="4.7109375" style="166" customWidth="1"/>
    <col min="184" max="184" width="8.7109375" style="166" customWidth="1"/>
    <col min="185" max="188" width="4.7109375" style="167" customWidth="1"/>
    <col min="189" max="189" width="4.7109375" style="166" customWidth="1"/>
    <col min="190" max="190" width="8.7109375" style="166" customWidth="1"/>
    <col min="191" max="191" width="4.7109375" style="166" customWidth="1"/>
    <col min="192" max="192" width="8.7109375" style="166" customWidth="1"/>
    <col min="193" max="196" width="4.7109375" style="168" customWidth="1"/>
    <col min="197" max="197" width="8.7109375" style="166" customWidth="1"/>
    <col min="198" max="201" width="4.7109375" style="167" customWidth="1"/>
    <col min="202" max="202" width="4.7109375" style="166" customWidth="1"/>
    <col min="203" max="203" width="8.7109375" style="166" customWidth="1"/>
    <col min="204" max="207" width="4.7109375" style="167" customWidth="1"/>
    <col min="208" max="208" width="4.7109375" style="166" customWidth="1"/>
    <col min="209" max="209" width="8.7109375" style="166" customWidth="1"/>
    <col min="210" max="210" width="4.7109375" style="166" customWidth="1"/>
    <col min="211" max="211" width="8.7109375" style="166" customWidth="1"/>
    <col min="212" max="215" width="4.7109375" style="168" customWidth="1"/>
    <col min="216" max="216" width="8.7109375" style="166" customWidth="1"/>
    <col min="217" max="220" width="4.7109375" style="167" customWidth="1"/>
    <col min="221" max="221" width="4.7109375" style="166" customWidth="1"/>
    <col min="222" max="222" width="8.7109375" style="166" customWidth="1"/>
    <col min="223" max="226" width="4.7109375" style="167" customWidth="1"/>
    <col min="227" max="227" width="4.7109375" style="166" customWidth="1"/>
    <col min="228" max="228" width="8.7109375" style="166" customWidth="1"/>
    <col min="229" max="229" width="4.7109375" style="166" customWidth="1"/>
    <col min="230" max="230" width="8.7109375" style="166" customWidth="1"/>
    <col min="231" max="234" width="4.7109375" style="168" customWidth="1"/>
    <col min="235" max="235" width="8.7109375" style="166" customWidth="1"/>
    <col min="236" max="239" width="4.7109375" style="167" customWidth="1"/>
    <col min="240" max="240" width="4.7109375" style="166" customWidth="1"/>
    <col min="241" max="241" width="8.7109375" style="166" customWidth="1"/>
    <col min="242" max="245" width="4.7109375" style="167" customWidth="1"/>
    <col min="246" max="246" width="4.7109375" style="166" customWidth="1"/>
    <col min="247" max="247" width="8.7109375" style="166" customWidth="1"/>
    <col min="248" max="248" width="4.7109375" style="166" customWidth="1"/>
    <col min="249" max="249" width="8.7109375" style="166" customWidth="1"/>
    <col min="250" max="253" width="4.7109375" style="168" customWidth="1"/>
    <col min="254" max="254" width="8.7109375" style="166" customWidth="1"/>
    <col min="255" max="258" width="4.7109375" style="167" customWidth="1"/>
    <col min="259" max="259" width="4.7109375" style="166" customWidth="1"/>
    <col min="260" max="260" width="8.7109375" style="166" customWidth="1"/>
    <col min="261" max="264" width="4.7109375" style="167" customWidth="1"/>
    <col min="265" max="265" width="4.7109375" style="166" customWidth="1"/>
    <col min="266" max="266" width="8.7109375" style="166" customWidth="1"/>
    <col min="267" max="267" width="4.7109375" style="166" customWidth="1"/>
    <col min="268" max="268" width="8.7109375" style="166" customWidth="1"/>
    <col min="269" max="272" width="4.7109375" style="168" customWidth="1"/>
    <col min="273" max="273" width="8.7109375" style="166" customWidth="1"/>
    <col min="274" max="277" width="4.7109375" style="167" customWidth="1"/>
    <col min="278" max="278" width="4.7109375" style="166" customWidth="1"/>
    <col min="279" max="279" width="8.7109375" style="166" customWidth="1"/>
    <col min="280" max="283" width="4.7109375" style="167" customWidth="1"/>
    <col min="284" max="284" width="4.7109375" style="166" customWidth="1"/>
    <col min="285" max="285" width="8.7109375" style="166" customWidth="1"/>
    <col min="286" max="286" width="4.7109375" style="166" customWidth="1"/>
    <col min="287" max="287" width="8.7109375" style="166" customWidth="1"/>
    <col min="288" max="291" width="4.7109375" style="168" customWidth="1"/>
    <col min="292" max="292" width="8.7109375" style="166" customWidth="1"/>
    <col min="293" max="296" width="4.7109375" style="167" customWidth="1"/>
    <col min="297" max="297" width="4.7109375" style="166" customWidth="1"/>
    <col min="298" max="298" width="8.7109375" style="166" customWidth="1"/>
    <col min="299" max="302" width="4.7109375" style="167" customWidth="1"/>
    <col min="303" max="303" width="4.7109375" style="166" customWidth="1"/>
    <col min="304" max="304" width="8.7109375" style="166" customWidth="1"/>
    <col min="305" max="305" width="4.7109375" style="166" customWidth="1"/>
    <col min="306" max="306" width="8.7109375" style="166" customWidth="1"/>
    <col min="307" max="310" width="4.7109375" style="168" customWidth="1"/>
    <col min="311" max="311" width="8.7109375" style="166" customWidth="1"/>
    <col min="312" max="315" width="4.7109375" style="167" customWidth="1"/>
    <col min="316" max="316" width="4.7109375" style="166" customWidth="1"/>
    <col min="317" max="317" width="8.7109375" style="166" customWidth="1"/>
    <col min="318" max="321" width="4.7109375" style="167" customWidth="1"/>
    <col min="322" max="322" width="4.7109375" style="166" customWidth="1"/>
    <col min="323" max="323" width="8.7109375" style="166" customWidth="1"/>
    <col min="324" max="324" width="4.7109375" style="166" customWidth="1"/>
    <col min="325" max="325" width="8.7109375" style="166" customWidth="1"/>
    <col min="326" max="329" width="4.7109375" style="168" customWidth="1"/>
    <col min="330" max="330" width="8.7109375" style="166" customWidth="1"/>
    <col min="331" max="334" width="4.7109375" style="167" customWidth="1"/>
    <col min="335" max="335" width="4.7109375" style="166" customWidth="1"/>
    <col min="336" max="336" width="8.7109375" style="166" customWidth="1"/>
    <col min="337" max="340" width="4.7109375" style="167" customWidth="1"/>
    <col min="341" max="341" width="4.7109375" style="166" customWidth="1"/>
    <col min="342" max="342" width="8.7109375" style="166" customWidth="1"/>
    <col min="343" max="343" width="4.7109375" style="166" customWidth="1"/>
    <col min="344" max="344" width="8.7109375" style="166" customWidth="1"/>
    <col min="345" max="348" width="4.7109375" style="168" customWidth="1"/>
    <col min="349" max="349" width="8.7109375" style="166" customWidth="1"/>
    <col min="350" max="353" width="4.7109375" style="167" customWidth="1"/>
    <col min="354" max="354" width="4.7109375" style="166" customWidth="1"/>
    <col min="355" max="355" width="8.7109375" style="166" customWidth="1"/>
    <col min="356" max="359" width="4.7109375" style="167" customWidth="1"/>
    <col min="360" max="360" width="4.7109375" style="166" customWidth="1"/>
    <col min="361" max="361" width="8.7109375" style="166" customWidth="1"/>
    <col min="362" max="362" width="4.7109375" style="166" customWidth="1"/>
    <col min="363" max="363" width="8.7109375" style="166" customWidth="1"/>
    <col min="364" max="367" width="4.7109375" style="168" customWidth="1"/>
    <col min="368" max="368" width="8.7109375" style="166" customWidth="1"/>
    <col min="369" max="372" width="4.7109375" style="167" customWidth="1"/>
    <col min="373" max="373" width="4.7109375" style="166" customWidth="1"/>
    <col min="374" max="374" width="8.7109375" style="166" customWidth="1"/>
    <col min="375" max="378" width="4.7109375" style="167" customWidth="1"/>
    <col min="379" max="379" width="4.7109375" style="166" customWidth="1"/>
    <col min="380" max="380" width="8.7109375" style="166" customWidth="1"/>
    <col min="381" max="381" width="4.7109375" style="166" customWidth="1"/>
    <col min="382" max="382" width="8.7109375" style="166" customWidth="1"/>
    <col min="383" max="386" width="4.7109375" style="168" customWidth="1"/>
    <col min="387" max="387" width="8.7109375" style="166" customWidth="1"/>
    <col min="388" max="391" width="4.7109375" style="167" customWidth="1"/>
    <col min="392" max="392" width="4.7109375" style="166" customWidth="1"/>
    <col min="393" max="393" width="8.7109375" style="166" customWidth="1"/>
    <col min="394" max="397" width="4.7109375" style="167" customWidth="1"/>
    <col min="398" max="398" width="4.7109375" style="166" customWidth="1"/>
    <col min="399" max="399" width="8.7109375" style="166" customWidth="1"/>
    <col min="400" max="400" width="4.7109375" style="166" customWidth="1"/>
    <col min="401" max="401" width="8.7109375" style="166" customWidth="1"/>
    <col min="402" max="405" width="4.7109375" style="168" customWidth="1"/>
    <col min="406" max="406" width="8.7109375" style="166" customWidth="1"/>
    <col min="407" max="410" width="4.7109375" style="167" customWidth="1"/>
    <col min="411" max="411" width="4.7109375" style="166" customWidth="1"/>
    <col min="412" max="412" width="8.7109375" style="166" customWidth="1"/>
    <col min="413" max="416" width="4.7109375" style="167" customWidth="1"/>
    <col min="417" max="417" width="4.7109375" style="166" customWidth="1"/>
    <col min="418" max="418" width="8.7109375" style="166" customWidth="1"/>
    <col min="419" max="419" width="4.7109375" style="166" customWidth="1"/>
    <col min="420" max="420" width="8.7109375" style="166" customWidth="1"/>
    <col min="421" max="424" width="4.7109375" style="168" customWidth="1"/>
    <col min="425" max="425" width="8.7109375" style="166" customWidth="1"/>
    <col min="426" max="429" width="4.7109375" style="167" customWidth="1"/>
    <col min="430" max="430" width="4.7109375" style="166" customWidth="1"/>
    <col min="431" max="431" width="8.7109375" style="166" customWidth="1"/>
    <col min="432" max="435" width="4.7109375" style="167" customWidth="1"/>
    <col min="436" max="436" width="4.7109375" style="166" customWidth="1"/>
    <col min="437" max="437" width="8.7109375" style="166" customWidth="1"/>
    <col min="438" max="438" width="4.7109375" style="166" customWidth="1"/>
    <col min="439" max="439" width="8.7109375" style="166" customWidth="1"/>
    <col min="440" max="443" width="4.7109375" style="168" customWidth="1"/>
    <col min="444" max="444" width="8.7109375" style="166" customWidth="1"/>
    <col min="445" max="448" width="4.7109375" style="167" customWidth="1"/>
    <col min="449" max="449" width="4.7109375" style="166" customWidth="1"/>
    <col min="450" max="450" width="8.7109375" style="166" customWidth="1"/>
    <col min="451" max="454" width="4.7109375" style="167" customWidth="1"/>
    <col min="455" max="455" width="4.7109375" style="166" customWidth="1"/>
    <col min="456" max="456" width="8.7109375" style="166" customWidth="1"/>
    <col min="457" max="457" width="4.7109375" style="166" customWidth="1"/>
    <col min="458" max="458" width="8.7109375" style="166" customWidth="1"/>
    <col min="459" max="462" width="4.7109375" style="168" customWidth="1"/>
    <col min="463" max="463" width="8.7109375" style="166" customWidth="1"/>
    <col min="464" max="467" width="4.7109375" style="167" customWidth="1"/>
    <col min="468" max="468" width="4.7109375" style="166" customWidth="1"/>
    <col min="469" max="469" width="8.7109375" style="166" customWidth="1"/>
    <col min="470" max="473" width="4.7109375" style="167" customWidth="1"/>
    <col min="474" max="474" width="4.7109375" style="166" customWidth="1"/>
    <col min="475" max="475" width="8.7109375" style="166" customWidth="1"/>
    <col min="476" max="476" width="4.7109375" style="166" customWidth="1"/>
    <col min="477" max="477" width="8.7109375" style="166" customWidth="1"/>
    <col min="478" max="481" width="4.7109375" style="168" customWidth="1"/>
    <col min="482" max="482" width="8.7109375" style="166" customWidth="1"/>
    <col min="483" max="486" width="4.7109375" style="167" customWidth="1"/>
    <col min="487" max="487" width="4.7109375" style="166" customWidth="1"/>
    <col min="488" max="488" width="8.7109375" style="166" customWidth="1"/>
    <col min="489" max="492" width="4.7109375" style="167" customWidth="1"/>
    <col min="493" max="493" width="4.7109375" style="166" customWidth="1"/>
    <col min="494" max="494" width="8.7109375" style="166" customWidth="1"/>
    <col min="495" max="495" width="4.7109375" style="166" customWidth="1"/>
    <col min="496" max="496" width="8.7109375" style="166" customWidth="1"/>
    <col min="497" max="500" width="4.7109375" style="168" customWidth="1"/>
    <col min="501" max="501" width="8.7109375" style="166" customWidth="1"/>
    <col min="502" max="505" width="4.7109375" style="167" customWidth="1"/>
    <col min="506" max="506" width="4.7109375" style="166" customWidth="1"/>
    <col min="507" max="507" width="8.7109375" style="166" customWidth="1"/>
    <col min="508" max="511" width="4.7109375" style="167" customWidth="1"/>
    <col min="512" max="512" width="4.7109375" style="166" customWidth="1"/>
    <col min="513" max="513" width="8.7109375" style="166" customWidth="1"/>
    <col min="514" max="514" width="4.7109375" style="166" customWidth="1"/>
    <col min="515" max="515" width="8.7109375" style="166" customWidth="1"/>
    <col min="516" max="519" width="4.7109375" style="168" customWidth="1"/>
    <col min="520" max="520" width="8.7109375" style="166" customWidth="1"/>
    <col min="521" max="523" width="4.7109375" style="167" customWidth="1"/>
    <col min="524" max="524" width="4.7109375" style="166" customWidth="1"/>
    <col min="525" max="525" width="8.7109375" style="166" customWidth="1"/>
    <col min="526" max="528" width="4.7109375" style="167" customWidth="1"/>
    <col min="529" max="529" width="4.7109375" style="166" customWidth="1"/>
    <col min="530" max="530" width="8.7109375" style="166" customWidth="1"/>
    <col min="531" max="531" width="4.7109375" style="166" customWidth="1"/>
    <col min="532" max="532" width="8.7109375" style="166" customWidth="1"/>
    <col min="533" max="536" width="4.7109375" style="168" customWidth="1"/>
    <col min="537" max="537" width="8.7109375" style="166" customWidth="1"/>
    <col min="538" max="540" width="4.7109375" style="167" customWidth="1"/>
    <col min="541" max="541" width="4.7109375" style="166" customWidth="1"/>
    <col min="542" max="542" width="8.7109375" style="166" customWidth="1"/>
    <col min="543" max="545" width="4.7109375" style="167" customWidth="1"/>
    <col min="546" max="546" width="4.7109375" style="166" customWidth="1"/>
    <col min="547" max="547" width="8.7109375" style="166" customWidth="1"/>
    <col min="548" max="548" width="4.7109375" style="166" customWidth="1"/>
    <col min="549" max="549" width="8.7109375" style="166" customWidth="1"/>
    <col min="550" max="553" width="4.7109375" style="168" customWidth="1"/>
    <col min="554" max="554" width="8.7109375" style="166" customWidth="1"/>
    <col min="555" max="557" width="4.7109375" style="167" customWidth="1"/>
    <col min="558" max="558" width="4.7109375" style="166" customWidth="1"/>
    <col min="559" max="559" width="8.7109375" style="166" customWidth="1"/>
    <col min="560" max="562" width="4.7109375" style="167" customWidth="1"/>
    <col min="563" max="563" width="4.7109375" style="166" customWidth="1"/>
    <col min="564" max="564" width="8.7109375" style="166" customWidth="1"/>
    <col min="565" max="565" width="4.7109375" style="166" customWidth="1"/>
    <col min="566" max="566" width="8.7109375" style="166" customWidth="1"/>
    <col min="567" max="16384" width="5.7109375" style="84"/>
  </cols>
  <sheetData>
    <row r="1" spans="1:566" ht="18" customHeight="1" thickBot="1" x14ac:dyDescent="0.3">
      <c r="A1" s="256" t="s">
        <v>44</v>
      </c>
      <c r="B1" s="257"/>
      <c r="C1" s="179">
        <v>4</v>
      </c>
      <c r="D1" s="80"/>
      <c r="E1" s="80"/>
      <c r="F1" s="183"/>
      <c r="G1" s="184"/>
      <c r="H1" s="182"/>
      <c r="I1" s="82"/>
      <c r="J1" s="82"/>
      <c r="K1" s="82"/>
      <c r="L1" s="184"/>
      <c r="M1" s="184"/>
      <c r="N1" s="182"/>
      <c r="O1" s="82"/>
      <c r="P1" s="82"/>
      <c r="Q1" s="82"/>
      <c r="R1" s="184"/>
      <c r="S1" s="184"/>
      <c r="T1" s="184"/>
      <c r="U1" s="205"/>
      <c r="V1" s="222">
        <f>C1+1</f>
        <v>5</v>
      </c>
      <c r="W1" s="80"/>
      <c r="X1" s="80"/>
      <c r="Y1" s="183"/>
      <c r="Z1" s="184"/>
      <c r="AA1" s="182"/>
      <c r="AB1" s="82"/>
      <c r="AC1" s="82"/>
      <c r="AD1" s="82"/>
      <c r="AE1" s="184"/>
      <c r="AF1" s="184"/>
      <c r="AG1" s="182"/>
      <c r="AH1" s="82"/>
      <c r="AI1" s="82"/>
      <c r="AJ1" s="82"/>
      <c r="AK1" s="184"/>
      <c r="AL1" s="184"/>
      <c r="AM1" s="184"/>
      <c r="AN1" s="184"/>
      <c r="AO1" s="222">
        <f>V1+1</f>
        <v>6</v>
      </c>
      <c r="AP1" s="80"/>
      <c r="AQ1" s="80"/>
      <c r="AR1" s="183"/>
      <c r="AS1" s="184"/>
      <c r="AT1" s="182"/>
      <c r="AU1" s="82"/>
      <c r="AV1" s="82"/>
      <c r="AW1" s="82"/>
      <c r="AX1" s="184"/>
      <c r="AY1" s="184"/>
      <c r="AZ1" s="182"/>
      <c r="BA1" s="82"/>
      <c r="BB1" s="82"/>
      <c r="BC1" s="82"/>
      <c r="BD1" s="184"/>
      <c r="BE1" s="184"/>
      <c r="BF1" s="184"/>
      <c r="BG1" s="184"/>
      <c r="BH1" s="222">
        <f>AO1+1</f>
        <v>7</v>
      </c>
      <c r="BI1" s="80"/>
      <c r="BJ1" s="80"/>
      <c r="BK1" s="183"/>
      <c r="BL1" s="184"/>
      <c r="BM1" s="182"/>
      <c r="BN1" s="82"/>
      <c r="BO1" s="82"/>
      <c r="BP1" s="82"/>
      <c r="BQ1" s="184"/>
      <c r="BR1" s="184"/>
      <c r="BS1" s="182"/>
      <c r="BT1" s="82"/>
      <c r="BU1" s="82"/>
      <c r="BV1" s="82"/>
      <c r="BW1" s="184"/>
      <c r="BX1" s="184"/>
      <c r="BY1" s="184"/>
      <c r="BZ1" s="184"/>
      <c r="CA1" s="222">
        <f>BH1+1</f>
        <v>8</v>
      </c>
      <c r="CB1" s="80"/>
      <c r="CC1" s="80"/>
      <c r="CD1" s="183"/>
      <c r="CE1" s="184"/>
      <c r="CF1" s="182"/>
      <c r="CG1" s="82"/>
      <c r="CH1" s="82"/>
      <c r="CI1" s="82"/>
      <c r="CJ1" s="184"/>
      <c r="CK1" s="184"/>
      <c r="CL1" s="182"/>
      <c r="CM1" s="82"/>
      <c r="CN1" s="82"/>
      <c r="CO1" s="82"/>
      <c r="CP1" s="184"/>
      <c r="CQ1" s="184"/>
      <c r="CR1" s="184"/>
      <c r="CS1" s="184"/>
      <c r="CT1" s="222">
        <f>CA1+1</f>
        <v>9</v>
      </c>
      <c r="CU1" s="80"/>
      <c r="CV1" s="80"/>
      <c r="CW1" s="183"/>
      <c r="CX1" s="184"/>
      <c r="CY1" s="182"/>
      <c r="CZ1" s="82"/>
      <c r="DA1" s="82"/>
      <c r="DB1" s="82"/>
      <c r="DC1" s="184"/>
      <c r="DD1" s="184"/>
      <c r="DE1" s="182"/>
      <c r="DF1" s="82"/>
      <c r="DG1" s="82"/>
      <c r="DH1" s="82"/>
      <c r="DI1" s="184"/>
      <c r="DJ1" s="184"/>
      <c r="DK1" s="184"/>
      <c r="DL1" s="184"/>
      <c r="DM1" s="222">
        <f>CT1+1</f>
        <v>10</v>
      </c>
      <c r="DN1" s="80"/>
      <c r="DO1" s="80"/>
      <c r="DP1" s="183"/>
      <c r="DQ1" s="184"/>
      <c r="DR1" s="182"/>
      <c r="DS1" s="82"/>
      <c r="DT1" s="82"/>
      <c r="DU1" s="82"/>
      <c r="DV1" s="184"/>
      <c r="DW1" s="184"/>
      <c r="DX1" s="182"/>
      <c r="DY1" s="82"/>
      <c r="DZ1" s="82"/>
      <c r="EA1" s="82"/>
      <c r="EB1" s="184"/>
      <c r="EC1" s="184"/>
      <c r="ED1" s="184"/>
      <c r="EE1" s="184"/>
      <c r="EF1" s="222">
        <f>DM1+1</f>
        <v>11</v>
      </c>
      <c r="EG1" s="80"/>
      <c r="EH1" s="80"/>
      <c r="EI1" s="183"/>
      <c r="EJ1" s="184"/>
      <c r="EK1" s="182"/>
      <c r="EL1" s="82"/>
      <c r="EM1" s="82"/>
      <c r="EN1" s="82"/>
      <c r="EO1" s="184"/>
      <c r="EP1" s="184"/>
      <c r="EQ1" s="182"/>
      <c r="ER1" s="82"/>
      <c r="ES1" s="82"/>
      <c r="ET1" s="82"/>
      <c r="EU1" s="184"/>
      <c r="EV1" s="184"/>
      <c r="EW1" s="184"/>
      <c r="EX1" s="184"/>
      <c r="EY1" s="222">
        <f>EF1+1</f>
        <v>12</v>
      </c>
      <c r="EZ1" s="80"/>
      <c r="FA1" s="80"/>
      <c r="FB1" s="183"/>
      <c r="FC1" s="184"/>
      <c r="FD1" s="182"/>
      <c r="FE1" s="82"/>
      <c r="FF1" s="82"/>
      <c r="FG1" s="82"/>
      <c r="FH1" s="184"/>
      <c r="FI1" s="184"/>
      <c r="FJ1" s="182"/>
      <c r="FK1" s="82"/>
      <c r="FL1" s="82"/>
      <c r="FM1" s="82"/>
      <c r="FN1" s="184"/>
      <c r="FO1" s="184"/>
      <c r="FP1" s="184"/>
      <c r="FQ1" s="184"/>
      <c r="FR1" s="222">
        <f>EY1+1</f>
        <v>13</v>
      </c>
      <c r="FS1" s="80"/>
      <c r="FT1" s="80"/>
      <c r="FU1" s="183"/>
      <c r="FV1" s="184"/>
      <c r="FW1" s="182"/>
      <c r="FX1" s="82"/>
      <c r="FY1" s="82"/>
      <c r="FZ1" s="82"/>
      <c r="GA1" s="184"/>
      <c r="GB1" s="184"/>
      <c r="GC1" s="182"/>
      <c r="GD1" s="82"/>
      <c r="GE1" s="82"/>
      <c r="GF1" s="82"/>
      <c r="GG1" s="184"/>
      <c r="GH1" s="184"/>
      <c r="GI1" s="184"/>
      <c r="GJ1" s="184"/>
      <c r="GK1" s="222">
        <f>FR1+1</f>
        <v>14</v>
      </c>
      <c r="GL1" s="80"/>
      <c r="GM1" s="80"/>
      <c r="GN1" s="183"/>
      <c r="GO1" s="184"/>
      <c r="GP1" s="182"/>
      <c r="GQ1" s="82"/>
      <c r="GR1" s="82"/>
      <c r="GS1" s="82"/>
      <c r="GT1" s="184"/>
      <c r="GU1" s="184"/>
      <c r="GV1" s="182"/>
      <c r="GW1" s="82"/>
      <c r="GX1" s="82"/>
      <c r="GY1" s="82"/>
      <c r="GZ1" s="184"/>
      <c r="HA1" s="184"/>
      <c r="HB1" s="184"/>
      <c r="HC1" s="184"/>
      <c r="HD1" s="222">
        <f>GK1+1</f>
        <v>15</v>
      </c>
      <c r="HE1" s="80"/>
      <c r="HF1" s="80"/>
      <c r="HG1" s="183"/>
      <c r="HH1" s="184"/>
      <c r="HI1" s="182"/>
      <c r="HJ1" s="82"/>
      <c r="HK1" s="82"/>
      <c r="HL1" s="82"/>
      <c r="HM1" s="184"/>
      <c r="HN1" s="184"/>
      <c r="HO1" s="182"/>
      <c r="HP1" s="82"/>
      <c r="HQ1" s="82"/>
      <c r="HR1" s="82"/>
      <c r="HS1" s="184"/>
      <c r="HT1" s="184"/>
      <c r="HU1" s="184"/>
      <c r="HV1" s="184"/>
      <c r="HW1" s="222">
        <f>HD1+1</f>
        <v>16</v>
      </c>
      <c r="HX1" s="80"/>
      <c r="HY1" s="80"/>
      <c r="HZ1" s="183"/>
      <c r="IA1" s="184"/>
      <c r="IB1" s="182"/>
      <c r="IC1" s="82"/>
      <c r="ID1" s="82"/>
      <c r="IE1" s="82"/>
      <c r="IF1" s="184"/>
      <c r="IG1" s="184"/>
      <c r="IH1" s="182"/>
      <c r="II1" s="82"/>
      <c r="IJ1" s="82"/>
      <c r="IK1" s="82"/>
      <c r="IL1" s="184"/>
      <c r="IM1" s="184"/>
      <c r="IN1" s="184"/>
      <c r="IO1" s="184"/>
      <c r="IP1" s="222">
        <f>HW1+1</f>
        <v>17</v>
      </c>
      <c r="IQ1" s="80"/>
      <c r="IR1" s="80"/>
      <c r="IS1" s="183"/>
      <c r="IT1" s="184"/>
      <c r="IU1" s="182"/>
      <c r="IV1" s="82"/>
      <c r="IW1" s="82"/>
      <c r="IX1" s="82"/>
      <c r="IY1" s="184"/>
      <c r="IZ1" s="184"/>
      <c r="JA1" s="182"/>
      <c r="JB1" s="82"/>
      <c r="JC1" s="82"/>
      <c r="JD1" s="82"/>
      <c r="JE1" s="184"/>
      <c r="JF1" s="184"/>
      <c r="JG1" s="184"/>
      <c r="JH1" s="184"/>
      <c r="JI1" s="222">
        <f>IP1+1</f>
        <v>18</v>
      </c>
      <c r="JJ1" s="80"/>
      <c r="JK1" s="80"/>
      <c r="JL1" s="183"/>
      <c r="JM1" s="184"/>
      <c r="JN1" s="182"/>
      <c r="JO1" s="82"/>
      <c r="JP1" s="82"/>
      <c r="JQ1" s="82"/>
      <c r="JR1" s="184"/>
      <c r="JS1" s="184"/>
      <c r="JT1" s="182"/>
      <c r="JU1" s="82"/>
      <c r="JV1" s="82"/>
      <c r="JW1" s="82"/>
      <c r="JX1" s="184"/>
      <c r="JY1" s="184"/>
      <c r="JZ1" s="184"/>
      <c r="KA1" s="184"/>
      <c r="KB1" s="222">
        <f>JI1+1</f>
        <v>19</v>
      </c>
      <c r="KC1" s="80"/>
      <c r="KD1" s="80"/>
      <c r="KE1" s="183"/>
      <c r="KF1" s="184"/>
      <c r="KG1" s="182"/>
      <c r="KH1" s="82"/>
      <c r="KI1" s="82"/>
      <c r="KJ1" s="82"/>
      <c r="KK1" s="184"/>
      <c r="KL1" s="184"/>
      <c r="KM1" s="182"/>
      <c r="KN1" s="82"/>
      <c r="KO1" s="82"/>
      <c r="KP1" s="82"/>
      <c r="KQ1" s="184"/>
      <c r="KR1" s="184"/>
      <c r="KS1" s="184"/>
      <c r="KT1" s="184"/>
      <c r="KU1" s="222">
        <f>KB1+1</f>
        <v>20</v>
      </c>
      <c r="KV1" s="80"/>
      <c r="KW1" s="80"/>
      <c r="KX1" s="183"/>
      <c r="KY1" s="184"/>
      <c r="KZ1" s="182"/>
      <c r="LA1" s="82"/>
      <c r="LB1" s="82"/>
      <c r="LC1" s="82"/>
      <c r="LD1" s="184"/>
      <c r="LE1" s="184"/>
      <c r="LF1" s="182"/>
      <c r="LG1" s="82"/>
      <c r="LH1" s="82"/>
      <c r="LI1" s="82"/>
      <c r="LJ1" s="184"/>
      <c r="LK1" s="184"/>
      <c r="LL1" s="184"/>
      <c r="LM1" s="184"/>
      <c r="LN1" s="222">
        <f>KU1+1</f>
        <v>21</v>
      </c>
      <c r="LO1" s="80"/>
      <c r="LP1" s="80"/>
      <c r="LQ1" s="183"/>
      <c r="LR1" s="184"/>
      <c r="LS1" s="182"/>
      <c r="LT1" s="82"/>
      <c r="LU1" s="82"/>
      <c r="LV1" s="82"/>
      <c r="LW1" s="184"/>
      <c r="LX1" s="184"/>
      <c r="LY1" s="182"/>
      <c r="LZ1" s="82"/>
      <c r="MA1" s="82"/>
      <c r="MB1" s="82"/>
      <c r="MC1" s="184"/>
      <c r="MD1" s="184"/>
      <c r="ME1" s="184"/>
      <c r="MF1" s="184"/>
      <c r="MG1" s="222">
        <f>LN1+1</f>
        <v>22</v>
      </c>
      <c r="MH1" s="80"/>
      <c r="MI1" s="80"/>
      <c r="MJ1" s="183"/>
      <c r="MK1" s="184"/>
      <c r="ML1" s="182"/>
      <c r="MM1" s="82"/>
      <c r="MN1" s="82"/>
      <c r="MO1" s="82"/>
      <c r="MP1" s="184"/>
      <c r="MQ1" s="184"/>
      <c r="MR1" s="182"/>
      <c r="MS1" s="82"/>
      <c r="MT1" s="82"/>
      <c r="MU1" s="82"/>
      <c r="MV1" s="184"/>
      <c r="MW1" s="184"/>
      <c r="MX1" s="184"/>
      <c r="MY1" s="184"/>
      <c r="MZ1" s="222">
        <f>MG1+1</f>
        <v>23</v>
      </c>
      <c r="NA1" s="80"/>
      <c r="NB1" s="80"/>
      <c r="NC1" s="183"/>
      <c r="ND1" s="184"/>
      <c r="NE1" s="182"/>
      <c r="NF1" s="82"/>
      <c r="NG1" s="82"/>
      <c r="NH1" s="82"/>
      <c r="NI1" s="184"/>
      <c r="NJ1" s="184"/>
      <c r="NK1" s="182"/>
      <c r="NL1" s="82"/>
      <c r="NM1" s="82"/>
      <c r="NN1" s="82"/>
      <c r="NO1" s="184"/>
      <c r="NP1" s="184"/>
      <c r="NQ1" s="184"/>
      <c r="NR1" s="184"/>
      <c r="NS1" s="222">
        <f>MZ1+1</f>
        <v>24</v>
      </c>
      <c r="NT1" s="80"/>
      <c r="NU1" s="80"/>
      <c r="NV1" s="183"/>
      <c r="NW1" s="184"/>
      <c r="NX1" s="182"/>
      <c r="NY1" s="82"/>
      <c r="NZ1" s="82"/>
      <c r="OA1" s="82"/>
      <c r="OB1" s="184"/>
      <c r="OC1" s="184"/>
      <c r="OD1" s="182"/>
      <c r="OE1" s="82"/>
      <c r="OF1" s="82"/>
      <c r="OG1" s="82"/>
      <c r="OH1" s="184"/>
      <c r="OI1" s="184"/>
      <c r="OJ1" s="184"/>
      <c r="OK1" s="184"/>
      <c r="OL1" s="222">
        <f>NS1+1</f>
        <v>25</v>
      </c>
      <c r="OM1" s="80"/>
      <c r="ON1" s="80"/>
      <c r="OO1" s="183"/>
      <c r="OP1" s="184"/>
      <c r="OQ1" s="182"/>
      <c r="OR1" s="82"/>
      <c r="OS1" s="82"/>
      <c r="OT1" s="82"/>
      <c r="OU1" s="184"/>
      <c r="OV1" s="184"/>
      <c r="OW1" s="182"/>
      <c r="OX1" s="82"/>
      <c r="OY1" s="82"/>
      <c r="OZ1" s="82"/>
      <c r="PA1" s="184"/>
      <c r="PB1" s="184"/>
      <c r="PC1" s="184"/>
      <c r="PD1" s="184"/>
      <c r="PE1" s="222">
        <f>OL1+1</f>
        <v>26</v>
      </c>
      <c r="PF1" s="80"/>
      <c r="PG1" s="80"/>
      <c r="PH1" s="183"/>
      <c r="PI1" s="184"/>
      <c r="PJ1" s="182"/>
      <c r="PK1" s="82"/>
      <c r="PL1" s="82"/>
      <c r="PM1" s="82"/>
      <c r="PN1" s="184"/>
      <c r="PO1" s="184"/>
      <c r="PP1" s="182"/>
      <c r="PQ1" s="82"/>
      <c r="PR1" s="82"/>
      <c r="PS1" s="82"/>
      <c r="PT1" s="184"/>
      <c r="PU1" s="184"/>
      <c r="PV1" s="184"/>
      <c r="PW1" s="184"/>
      <c r="PX1" s="222">
        <f>PE1+1</f>
        <v>27</v>
      </c>
      <c r="PY1" s="80"/>
      <c r="PZ1" s="80"/>
      <c r="QA1" s="183"/>
      <c r="QB1" s="184"/>
      <c r="QC1" s="182"/>
      <c r="QD1" s="82"/>
      <c r="QE1" s="82"/>
      <c r="QF1" s="82"/>
      <c r="QG1" s="184"/>
      <c r="QH1" s="184"/>
      <c r="QI1" s="182"/>
      <c r="QJ1" s="82"/>
      <c r="QK1" s="82"/>
      <c r="QL1" s="82"/>
      <c r="QM1" s="184"/>
      <c r="QN1" s="184"/>
      <c r="QO1" s="184"/>
      <c r="QP1" s="184"/>
      <c r="QQ1" s="222">
        <f>PX1+1</f>
        <v>28</v>
      </c>
      <c r="QR1" s="80"/>
      <c r="QS1" s="80"/>
      <c r="QT1" s="183"/>
      <c r="QU1" s="184"/>
      <c r="QV1" s="182"/>
      <c r="QW1" s="82"/>
      <c r="QX1" s="82"/>
      <c r="QY1" s="82"/>
      <c r="QZ1" s="184"/>
      <c r="RA1" s="184"/>
      <c r="RB1" s="182"/>
      <c r="RC1" s="82"/>
      <c r="RD1" s="82"/>
      <c r="RE1" s="82"/>
      <c r="RF1" s="184"/>
      <c r="RG1" s="184"/>
      <c r="RH1" s="184"/>
      <c r="RI1" s="184"/>
      <c r="RJ1" s="222">
        <f>QQ1+1</f>
        <v>29</v>
      </c>
      <c r="RK1" s="80"/>
      <c r="RL1" s="80"/>
      <c r="RM1" s="183"/>
      <c r="RN1" s="184"/>
      <c r="RO1" s="182"/>
      <c r="RP1" s="82"/>
      <c r="RQ1" s="82"/>
      <c r="RR1" s="82"/>
      <c r="RS1" s="184"/>
      <c r="RT1" s="184"/>
      <c r="RU1" s="182"/>
      <c r="RV1" s="82"/>
      <c r="RW1" s="82"/>
      <c r="RX1" s="82"/>
      <c r="RY1" s="184"/>
      <c r="RZ1" s="184"/>
      <c r="SA1" s="184"/>
      <c r="SB1" s="184"/>
      <c r="SC1" s="222">
        <f>RJ1+1</f>
        <v>30</v>
      </c>
      <c r="SD1" s="80"/>
      <c r="SE1" s="80"/>
      <c r="SF1" s="183"/>
      <c r="SG1" s="184"/>
      <c r="SH1" s="182"/>
      <c r="SI1" s="82"/>
      <c r="SJ1" s="82"/>
      <c r="SK1" s="82"/>
      <c r="SL1" s="184"/>
      <c r="SM1" s="184"/>
      <c r="SN1" s="182"/>
      <c r="SO1" s="82"/>
      <c r="SP1" s="82"/>
      <c r="SQ1" s="82"/>
      <c r="SR1" s="184"/>
      <c r="SS1" s="184"/>
      <c r="ST1" s="184"/>
      <c r="SU1" s="184"/>
      <c r="SV1" s="83">
        <f>SC1+1</f>
        <v>31</v>
      </c>
      <c r="SW1" s="80"/>
      <c r="SX1" s="80"/>
      <c r="SY1" s="80"/>
      <c r="SZ1" s="81"/>
      <c r="TA1" s="82"/>
      <c r="TB1" s="82"/>
      <c r="TC1" s="82"/>
      <c r="TD1" s="81"/>
      <c r="TE1" s="81"/>
      <c r="TF1" s="82"/>
      <c r="TG1" s="82"/>
      <c r="TH1" s="82"/>
      <c r="TI1" s="81"/>
      <c r="TJ1" s="81"/>
      <c r="TK1" s="81"/>
      <c r="TL1" s="81"/>
      <c r="TM1" s="83">
        <f>SV1+1</f>
        <v>32</v>
      </c>
      <c r="TN1" s="80"/>
      <c r="TO1" s="80"/>
      <c r="TP1" s="80"/>
      <c r="TQ1" s="81"/>
      <c r="TR1" s="82"/>
      <c r="TS1" s="82"/>
      <c r="TT1" s="82"/>
      <c r="TU1" s="81"/>
      <c r="TV1" s="81"/>
      <c r="TW1" s="82"/>
      <c r="TX1" s="82"/>
      <c r="TY1" s="82"/>
      <c r="TZ1" s="81"/>
      <c r="UA1" s="81"/>
      <c r="UB1" s="81"/>
      <c r="UC1" s="81"/>
      <c r="UD1" s="83">
        <f>TM1+1</f>
        <v>33</v>
      </c>
      <c r="UE1" s="80"/>
      <c r="UF1" s="80"/>
      <c r="UG1" s="80"/>
      <c r="UH1" s="81"/>
      <c r="UI1" s="82"/>
      <c r="UJ1" s="82"/>
      <c r="UK1" s="82"/>
      <c r="UL1" s="81"/>
      <c r="UM1" s="81"/>
      <c r="UN1" s="82"/>
      <c r="UO1" s="82"/>
      <c r="UP1" s="82"/>
      <c r="UQ1" s="81"/>
      <c r="UR1" s="81"/>
      <c r="US1" s="81"/>
      <c r="UT1" s="81"/>
    </row>
    <row r="2" spans="1:566" ht="60" customHeight="1" thickBot="1" x14ac:dyDescent="0.3">
      <c r="A2" s="169" t="s">
        <v>43</v>
      </c>
      <c r="B2" s="170" t="s">
        <v>195</v>
      </c>
      <c r="C2" s="180" t="str">
        <f ca="1">IF(CELL("contenu",INDIRECT(ADDRESS(C1,1,1,1,CELL("contenu",$B$2))))="","----",CELL("contenu",INDIRECT(ADDRESS(C1,1,1,1,CELL("contenu",$B$2)))))</f>
        <v>ANDRE Lucas</v>
      </c>
      <c r="D2" s="178"/>
      <c r="E2" s="178"/>
      <c r="F2" s="180"/>
      <c r="G2" s="180"/>
      <c r="H2" s="180"/>
      <c r="I2" s="178"/>
      <c r="J2" s="178"/>
      <c r="K2" s="178"/>
      <c r="L2" s="180"/>
      <c r="M2" s="180"/>
      <c r="N2" s="180"/>
      <c r="O2" s="178"/>
      <c r="P2" s="178"/>
      <c r="Q2" s="178"/>
      <c r="R2" s="180"/>
      <c r="S2" s="180"/>
      <c r="T2" s="180"/>
      <c r="U2" s="206"/>
      <c r="V2" s="180" t="str">
        <f ca="1">IF(CELL("contenu",INDIRECT(ADDRESS(V1,1,1,1,CELL("contenu",$B$2))))="","----",CELL("contenu",INDIRECT(ADDRESS(V1,1,1,1,CELL("contenu",$B$2)))))</f>
        <v>ARBIB Nolan</v>
      </c>
      <c r="W2" s="178"/>
      <c r="X2" s="178"/>
      <c r="Y2" s="180"/>
      <c r="Z2" s="180"/>
      <c r="AA2" s="180"/>
      <c r="AB2" s="178"/>
      <c r="AC2" s="178"/>
      <c r="AD2" s="178"/>
      <c r="AE2" s="180"/>
      <c r="AF2" s="180"/>
      <c r="AG2" s="180"/>
      <c r="AH2" s="178"/>
      <c r="AI2" s="178"/>
      <c r="AJ2" s="178"/>
      <c r="AK2" s="180"/>
      <c r="AL2" s="180"/>
      <c r="AM2" s="180"/>
      <c r="AN2" s="206"/>
      <c r="AO2" s="180" t="str">
        <f ca="1">IF(CELL("contenu",INDIRECT(ADDRESS(AO1,1,1,1,CELL("contenu",$B$2))))="","----",CELL("contenu",INDIRECT(ADDRESS(AO1,1,1,1,CELL("contenu",$B$2)))))</f>
        <v>BARRIETIS Jael</v>
      </c>
      <c r="AP2" s="178"/>
      <c r="AQ2" s="178"/>
      <c r="AR2" s="180"/>
      <c r="AS2" s="180"/>
      <c r="AT2" s="180"/>
      <c r="AU2" s="178"/>
      <c r="AV2" s="178"/>
      <c r="AW2" s="178"/>
      <c r="AX2" s="180"/>
      <c r="AY2" s="180"/>
      <c r="AZ2" s="180"/>
      <c r="BA2" s="178"/>
      <c r="BB2" s="178"/>
      <c r="BC2" s="178"/>
      <c r="BD2" s="180"/>
      <c r="BE2" s="180"/>
      <c r="BF2" s="180"/>
      <c r="BG2" s="206"/>
      <c r="BH2" s="180" t="str">
        <f ca="1">IF(CELL("contenu",INDIRECT(ADDRESS(BH1,1,1,1,CELL("contenu",$B$2))))="","----",CELL("contenu",INDIRECT(ADDRESS(BH1,1,1,1,CELL("contenu",$B$2)))))</f>
        <v>BONNEAU Victor</v>
      </c>
      <c r="BI2" s="178"/>
      <c r="BJ2" s="178"/>
      <c r="BK2" s="180"/>
      <c r="BL2" s="180"/>
      <c r="BM2" s="180"/>
      <c r="BN2" s="178"/>
      <c r="BO2" s="178"/>
      <c r="BP2" s="178"/>
      <c r="BQ2" s="180"/>
      <c r="BR2" s="180"/>
      <c r="BS2" s="180"/>
      <c r="BT2" s="178"/>
      <c r="BU2" s="178"/>
      <c r="BV2" s="178"/>
      <c r="BW2" s="180"/>
      <c r="BX2" s="180"/>
      <c r="BY2" s="180"/>
      <c r="BZ2" s="206"/>
      <c r="CA2" s="180" t="str">
        <f ca="1">IF(CELL("contenu",INDIRECT(ADDRESS(CA1,1,1,1,CELL("contenu",$B$2))))="","----",CELL("contenu",INDIRECT(ADDRESS(CA1,1,1,1,CELL("contenu",$B$2)))))</f>
        <v>BRARD Prune</v>
      </c>
      <c r="CB2" s="178"/>
      <c r="CC2" s="178"/>
      <c r="CD2" s="180"/>
      <c r="CE2" s="180"/>
      <c r="CF2" s="180"/>
      <c r="CG2" s="178"/>
      <c r="CH2" s="178"/>
      <c r="CI2" s="178"/>
      <c r="CJ2" s="180"/>
      <c r="CK2" s="180"/>
      <c r="CL2" s="180"/>
      <c r="CM2" s="178"/>
      <c r="CN2" s="178"/>
      <c r="CO2" s="178"/>
      <c r="CP2" s="180"/>
      <c r="CQ2" s="180"/>
      <c r="CR2" s="180"/>
      <c r="CS2" s="206"/>
      <c r="CT2" s="180" t="str">
        <f ca="1">IF(CELL("contenu",INDIRECT(ADDRESS(CT1,1,1,1,CELL("contenu",$B$2))))="","----",CELL("contenu",INDIRECT(ADDRESS(CT1,1,1,1,CELL("contenu",$B$2)))))</f>
        <v>COELHO Bergeline</v>
      </c>
      <c r="CU2" s="178"/>
      <c r="CV2" s="178"/>
      <c r="CW2" s="180"/>
      <c r="CX2" s="180"/>
      <c r="CY2" s="180"/>
      <c r="CZ2" s="178"/>
      <c r="DA2" s="178"/>
      <c r="DB2" s="178"/>
      <c r="DC2" s="180"/>
      <c r="DD2" s="180"/>
      <c r="DE2" s="180"/>
      <c r="DF2" s="178"/>
      <c r="DG2" s="178"/>
      <c r="DH2" s="178"/>
      <c r="DI2" s="180"/>
      <c r="DJ2" s="180"/>
      <c r="DK2" s="180"/>
      <c r="DL2" s="206"/>
      <c r="DM2" s="180" t="str">
        <f ca="1">IF(CELL("contenu",INDIRECT(ADDRESS(DM1,1,1,1,CELL("contenu",$B$2))))="","----",CELL("contenu",INDIRECT(ADDRESS(DM1,1,1,1,CELL("contenu",$B$2)))))</f>
        <v>DELBOUSCAS Margaux</v>
      </c>
      <c r="DN2" s="178"/>
      <c r="DO2" s="178"/>
      <c r="DP2" s="180"/>
      <c r="DQ2" s="180"/>
      <c r="DR2" s="180"/>
      <c r="DS2" s="178"/>
      <c r="DT2" s="178"/>
      <c r="DU2" s="178"/>
      <c r="DV2" s="180"/>
      <c r="DW2" s="180"/>
      <c r="DX2" s="180"/>
      <c r="DY2" s="178"/>
      <c r="DZ2" s="178"/>
      <c r="EA2" s="178"/>
      <c r="EB2" s="180"/>
      <c r="EC2" s="180"/>
      <c r="ED2" s="180"/>
      <c r="EE2" s="206"/>
      <c r="EF2" s="180" t="str">
        <f ca="1">IF(CELL("contenu",INDIRECT(ADDRESS(EF1,1,1,1,CELL("contenu",$B$2))))="","----",CELL("contenu",INDIRECT(ADDRESS(EF1,1,1,1,CELL("contenu",$B$2)))))</f>
        <v>DELPLACE Gregoire</v>
      </c>
      <c r="EG2" s="178"/>
      <c r="EH2" s="178"/>
      <c r="EI2" s="180"/>
      <c r="EJ2" s="180"/>
      <c r="EK2" s="180"/>
      <c r="EL2" s="178"/>
      <c r="EM2" s="178"/>
      <c r="EN2" s="178"/>
      <c r="EO2" s="180"/>
      <c r="EP2" s="180"/>
      <c r="EQ2" s="180"/>
      <c r="ER2" s="178"/>
      <c r="ES2" s="178"/>
      <c r="ET2" s="178"/>
      <c r="EU2" s="180"/>
      <c r="EV2" s="180"/>
      <c r="EW2" s="180"/>
      <c r="EX2" s="206"/>
      <c r="EY2" s="180" t="str">
        <f ca="1">IF(CELL("contenu",INDIRECT(ADDRESS(EY1,1,1,1,CELL("contenu",$B$2))))="","----",CELL("contenu",INDIRECT(ADDRESS(EY1,1,1,1,CELL("contenu",$B$2)))))</f>
        <v>DU FRESNE DE VIREL Constance</v>
      </c>
      <c r="EZ2" s="178"/>
      <c r="FA2" s="178"/>
      <c r="FB2" s="180"/>
      <c r="FC2" s="180"/>
      <c r="FD2" s="180"/>
      <c r="FE2" s="178"/>
      <c r="FF2" s="178"/>
      <c r="FG2" s="178"/>
      <c r="FH2" s="180"/>
      <c r="FI2" s="180"/>
      <c r="FJ2" s="180"/>
      <c r="FK2" s="178"/>
      <c r="FL2" s="178"/>
      <c r="FM2" s="178"/>
      <c r="FN2" s="180"/>
      <c r="FO2" s="180"/>
      <c r="FP2" s="180"/>
      <c r="FQ2" s="206"/>
      <c r="FR2" s="180" t="str">
        <f ca="1">IF(CELL("contenu",INDIRECT(ADDRESS(FR1,1,1,1,CELL("contenu",$B$2))))="","----",CELL("contenu",INDIRECT(ADDRESS(FR1,1,1,1,CELL("contenu",$B$2)))))</f>
        <v>FARMAN Edgar</v>
      </c>
      <c r="FS2" s="178"/>
      <c r="FT2" s="178"/>
      <c r="FU2" s="180"/>
      <c r="FV2" s="180"/>
      <c r="FW2" s="180"/>
      <c r="FX2" s="178"/>
      <c r="FY2" s="178"/>
      <c r="FZ2" s="178"/>
      <c r="GA2" s="180"/>
      <c r="GB2" s="180"/>
      <c r="GC2" s="180"/>
      <c r="GD2" s="178"/>
      <c r="GE2" s="178"/>
      <c r="GF2" s="178"/>
      <c r="GG2" s="180"/>
      <c r="GH2" s="180"/>
      <c r="GI2" s="180"/>
      <c r="GJ2" s="206"/>
      <c r="GK2" s="180" t="str">
        <f ca="1">IF(CELL("contenu",INDIRECT(ADDRESS(GK1,1,1,1,CELL("contenu",$B$2))))="","----",CELL("contenu",INDIRECT(ADDRESS(GK1,1,1,1,CELL("contenu",$B$2)))))</f>
        <v>FRANCOIS Jules</v>
      </c>
      <c r="GL2" s="178"/>
      <c r="GM2" s="178"/>
      <c r="GN2" s="180"/>
      <c r="GO2" s="180"/>
      <c r="GP2" s="180"/>
      <c r="GQ2" s="178"/>
      <c r="GR2" s="178"/>
      <c r="GS2" s="178"/>
      <c r="GT2" s="180"/>
      <c r="GU2" s="180"/>
      <c r="GV2" s="180"/>
      <c r="GW2" s="178"/>
      <c r="GX2" s="178"/>
      <c r="GY2" s="178"/>
      <c r="GZ2" s="180"/>
      <c r="HA2" s="180"/>
      <c r="HB2" s="180"/>
      <c r="HC2" s="206"/>
      <c r="HD2" s="180" t="str">
        <f ca="1">IF(CELL("contenu",INDIRECT(ADDRESS(HD1,1,1,1,CELL("contenu",$B$2))))="","----",CELL("contenu",INDIRECT(ADDRESS(HD1,1,1,1,CELL("contenu",$B$2)))))</f>
        <v>GAUCHER Chaya</v>
      </c>
      <c r="HE2" s="178"/>
      <c r="HF2" s="178"/>
      <c r="HG2" s="180"/>
      <c r="HH2" s="180"/>
      <c r="HI2" s="180"/>
      <c r="HJ2" s="178"/>
      <c r="HK2" s="178"/>
      <c r="HL2" s="178"/>
      <c r="HM2" s="180"/>
      <c r="HN2" s="180"/>
      <c r="HO2" s="180"/>
      <c r="HP2" s="178"/>
      <c r="HQ2" s="178"/>
      <c r="HR2" s="178"/>
      <c r="HS2" s="180"/>
      <c r="HT2" s="180"/>
      <c r="HU2" s="180"/>
      <c r="HV2" s="206"/>
      <c r="HW2" s="180" t="str">
        <f ca="1">IF(CELL("contenu",INDIRECT(ADDRESS(HW1,1,1,1,CELL("contenu",$B$2))))="","----",CELL("contenu",INDIRECT(ADDRESS(HW1,1,1,1,CELL("contenu",$B$2)))))</f>
        <v>GEAY Baptiste</v>
      </c>
      <c r="HX2" s="178"/>
      <c r="HY2" s="178"/>
      <c r="HZ2" s="180"/>
      <c r="IA2" s="180"/>
      <c r="IB2" s="180"/>
      <c r="IC2" s="178"/>
      <c r="ID2" s="178"/>
      <c r="IE2" s="178"/>
      <c r="IF2" s="180"/>
      <c r="IG2" s="180"/>
      <c r="IH2" s="180"/>
      <c r="II2" s="178"/>
      <c r="IJ2" s="178"/>
      <c r="IK2" s="178"/>
      <c r="IL2" s="180"/>
      <c r="IM2" s="180"/>
      <c r="IN2" s="180"/>
      <c r="IO2" s="206"/>
      <c r="IP2" s="180" t="str">
        <f ca="1">IF(CELL("contenu",INDIRECT(ADDRESS(IP1,1,1,1,CELL("contenu",$B$2))))="","----",CELL("contenu",INDIRECT(ADDRESS(IP1,1,1,1,CELL("contenu",$B$2)))))</f>
        <v>GIRARD--RAZEL Merlin</v>
      </c>
      <c r="IQ2" s="178"/>
      <c r="IR2" s="178"/>
      <c r="IS2" s="180"/>
      <c r="IT2" s="180"/>
      <c r="IU2" s="180"/>
      <c r="IV2" s="178"/>
      <c r="IW2" s="178"/>
      <c r="IX2" s="178"/>
      <c r="IY2" s="180"/>
      <c r="IZ2" s="180"/>
      <c r="JA2" s="180"/>
      <c r="JB2" s="178"/>
      <c r="JC2" s="178"/>
      <c r="JD2" s="178"/>
      <c r="JE2" s="180"/>
      <c r="JF2" s="180"/>
      <c r="JG2" s="180"/>
      <c r="JH2" s="206"/>
      <c r="JI2" s="180" t="str">
        <f ca="1">IF(CELL("contenu",INDIRECT(ADDRESS(JI1,1,1,1,CELL("contenu",$B$2))))="","----",CELL("contenu",INDIRECT(ADDRESS(JI1,1,1,1,CELL("contenu",$B$2)))))</f>
        <v>LECCIA Clotilde</v>
      </c>
      <c r="JJ2" s="178"/>
      <c r="JK2" s="178"/>
      <c r="JL2" s="180"/>
      <c r="JM2" s="180"/>
      <c r="JN2" s="180"/>
      <c r="JO2" s="178"/>
      <c r="JP2" s="178"/>
      <c r="JQ2" s="178"/>
      <c r="JR2" s="180"/>
      <c r="JS2" s="180"/>
      <c r="JT2" s="180"/>
      <c r="JU2" s="178"/>
      <c r="JV2" s="178"/>
      <c r="JW2" s="178"/>
      <c r="JX2" s="180"/>
      <c r="JY2" s="180"/>
      <c r="JZ2" s="180"/>
      <c r="KA2" s="206"/>
      <c r="KB2" s="180" t="str">
        <f ca="1">IF(CELL("contenu",INDIRECT(ADDRESS(KB1,1,1,1,CELL("contenu",$B$2))))="","----",CELL("contenu",INDIRECT(ADDRESS(KB1,1,1,1,CELL("contenu",$B$2)))))</f>
        <v>LECOMTE Emilien</v>
      </c>
      <c r="KC2" s="178"/>
      <c r="KD2" s="178"/>
      <c r="KE2" s="180"/>
      <c r="KF2" s="180"/>
      <c r="KG2" s="180"/>
      <c r="KH2" s="178"/>
      <c r="KI2" s="178"/>
      <c r="KJ2" s="178"/>
      <c r="KK2" s="180"/>
      <c r="KL2" s="180"/>
      <c r="KM2" s="180"/>
      <c r="KN2" s="178"/>
      <c r="KO2" s="178"/>
      <c r="KP2" s="178"/>
      <c r="KQ2" s="180"/>
      <c r="KR2" s="180"/>
      <c r="KS2" s="180"/>
      <c r="KT2" s="206"/>
      <c r="KU2" s="180" t="str">
        <f ca="1">IF(CELL("contenu",INDIRECT(ADDRESS(KU1,1,1,1,CELL("contenu",$B$2))))="","----",CELL("contenu",INDIRECT(ADDRESS(KU1,1,1,1,CELL("contenu",$B$2)))))</f>
        <v>LEPRINCE Pierre</v>
      </c>
      <c r="KV2" s="178"/>
      <c r="KW2" s="178"/>
      <c r="KX2" s="180"/>
      <c r="KY2" s="180"/>
      <c r="KZ2" s="180"/>
      <c r="LA2" s="178"/>
      <c r="LB2" s="178"/>
      <c r="LC2" s="178"/>
      <c r="LD2" s="180"/>
      <c r="LE2" s="180"/>
      <c r="LF2" s="180"/>
      <c r="LG2" s="178"/>
      <c r="LH2" s="178"/>
      <c r="LI2" s="178"/>
      <c r="LJ2" s="180"/>
      <c r="LK2" s="180"/>
      <c r="LL2" s="180"/>
      <c r="LM2" s="206"/>
      <c r="LN2" s="180" t="str">
        <f ca="1">IF(CELL("contenu",INDIRECT(ADDRESS(LN1,1,1,1,CELL("contenu",$B$2))))="","----",CELL("contenu",INDIRECT(ADDRESS(LN1,1,1,1,CELL("contenu",$B$2)))))</f>
        <v>LUZURIER Raphael</v>
      </c>
      <c r="LO2" s="178"/>
      <c r="LP2" s="178"/>
      <c r="LQ2" s="180"/>
      <c r="LR2" s="180"/>
      <c r="LS2" s="180"/>
      <c r="LT2" s="178"/>
      <c r="LU2" s="178"/>
      <c r="LV2" s="178"/>
      <c r="LW2" s="180"/>
      <c r="LX2" s="180"/>
      <c r="LY2" s="180"/>
      <c r="LZ2" s="178"/>
      <c r="MA2" s="178"/>
      <c r="MB2" s="178"/>
      <c r="MC2" s="180"/>
      <c r="MD2" s="180"/>
      <c r="ME2" s="180"/>
      <c r="MF2" s="206"/>
      <c r="MG2" s="180" t="str">
        <f ca="1">IF(CELL("contenu",INDIRECT(ADDRESS(MG1,1,1,1,CELL("contenu",$B$2))))="","----",CELL("contenu",INDIRECT(ADDRESS(MG1,1,1,1,CELL("contenu",$B$2)))))</f>
        <v>MASSUARD Louis</v>
      </c>
      <c r="MH2" s="178"/>
      <c r="MI2" s="178"/>
      <c r="MJ2" s="180"/>
      <c r="MK2" s="180"/>
      <c r="ML2" s="180"/>
      <c r="MM2" s="178"/>
      <c r="MN2" s="178"/>
      <c r="MO2" s="178"/>
      <c r="MP2" s="180"/>
      <c r="MQ2" s="180"/>
      <c r="MR2" s="180"/>
      <c r="MS2" s="178"/>
      <c r="MT2" s="178"/>
      <c r="MU2" s="178"/>
      <c r="MV2" s="180"/>
      <c r="MW2" s="180"/>
      <c r="MX2" s="180"/>
      <c r="MY2" s="206"/>
      <c r="MZ2" s="180" t="str">
        <f ca="1">IF(CELL("contenu",INDIRECT(ADDRESS(MZ1,1,1,1,CELL("contenu",$B$2))))="","----",CELL("contenu",INDIRECT(ADDRESS(MZ1,1,1,1,CELL("contenu",$B$2)))))</f>
        <v>MAUVE Juliette</v>
      </c>
      <c r="NA2" s="178"/>
      <c r="NB2" s="178"/>
      <c r="NC2" s="180"/>
      <c r="ND2" s="180"/>
      <c r="NE2" s="180"/>
      <c r="NF2" s="178"/>
      <c r="NG2" s="178"/>
      <c r="NH2" s="178"/>
      <c r="NI2" s="180"/>
      <c r="NJ2" s="180"/>
      <c r="NK2" s="180"/>
      <c r="NL2" s="178"/>
      <c r="NM2" s="178"/>
      <c r="NN2" s="178"/>
      <c r="NO2" s="180"/>
      <c r="NP2" s="180"/>
      <c r="NQ2" s="180"/>
      <c r="NR2" s="206"/>
      <c r="NS2" s="180" t="str">
        <f ca="1">IF(CELL("contenu",INDIRECT(ADDRESS(NS1,1,1,1,CELL("contenu",$B$2))))="","----",CELL("contenu",INDIRECT(ADDRESS(NS1,1,1,1,CELL("contenu",$B$2)))))</f>
        <v>MOTILLON Jeanne</v>
      </c>
      <c r="NT2" s="178"/>
      <c r="NU2" s="178"/>
      <c r="NV2" s="180"/>
      <c r="NW2" s="180"/>
      <c r="NX2" s="180"/>
      <c r="NY2" s="178"/>
      <c r="NZ2" s="178"/>
      <c r="OA2" s="178"/>
      <c r="OB2" s="180"/>
      <c r="OC2" s="180"/>
      <c r="OD2" s="180"/>
      <c r="OE2" s="178"/>
      <c r="OF2" s="178"/>
      <c r="OG2" s="178"/>
      <c r="OH2" s="180"/>
      <c r="OI2" s="180"/>
      <c r="OJ2" s="180"/>
      <c r="OK2" s="206"/>
      <c r="OL2" s="180" t="str">
        <f ca="1">IF(CELL("contenu",INDIRECT(ADDRESS(OL1,1,1,1,CELL("contenu",$B$2))))="","----",CELL("contenu",INDIRECT(ADDRESS(OL1,1,1,1,CELL("contenu",$B$2)))))</f>
        <v>PHILIPPONNEAU Julia</v>
      </c>
      <c r="OM2" s="178"/>
      <c r="ON2" s="178"/>
      <c r="OO2" s="180"/>
      <c r="OP2" s="180"/>
      <c r="OQ2" s="180"/>
      <c r="OR2" s="178"/>
      <c r="OS2" s="178"/>
      <c r="OT2" s="178"/>
      <c r="OU2" s="180"/>
      <c r="OV2" s="180"/>
      <c r="OW2" s="180"/>
      <c r="OX2" s="178"/>
      <c r="OY2" s="178"/>
      <c r="OZ2" s="178"/>
      <c r="PA2" s="180"/>
      <c r="PB2" s="180"/>
      <c r="PC2" s="180"/>
      <c r="PD2" s="206"/>
      <c r="PE2" s="180" t="str">
        <f ca="1">IF(CELL("contenu",INDIRECT(ADDRESS(PE1,1,1,1,CELL("contenu",$B$2))))="","----",CELL("contenu",INDIRECT(ADDRESS(PE1,1,1,1,CELL("contenu",$B$2)))))</f>
        <v>REYNIER Antoine</v>
      </c>
      <c r="PF2" s="178"/>
      <c r="PG2" s="178"/>
      <c r="PH2" s="180"/>
      <c r="PI2" s="180"/>
      <c r="PJ2" s="180"/>
      <c r="PK2" s="178"/>
      <c r="PL2" s="178"/>
      <c r="PM2" s="178"/>
      <c r="PN2" s="180"/>
      <c r="PO2" s="180"/>
      <c r="PP2" s="180"/>
      <c r="PQ2" s="178"/>
      <c r="PR2" s="178"/>
      <c r="PS2" s="178"/>
      <c r="PT2" s="180"/>
      <c r="PU2" s="180"/>
      <c r="PV2" s="180"/>
      <c r="PW2" s="206"/>
      <c r="PX2" s="180" t="str">
        <f ca="1">IF(CELL("contenu",INDIRECT(ADDRESS(PX1,1,1,1,CELL("contenu",$B$2))))="","----",CELL("contenu",INDIRECT(ADDRESS(PX1,1,1,1,CELL("contenu",$B$2)))))</f>
        <v>ROCHERY Marguerite</v>
      </c>
      <c r="PY2" s="178"/>
      <c r="PZ2" s="178"/>
      <c r="QA2" s="180"/>
      <c r="QB2" s="180"/>
      <c r="QC2" s="180"/>
      <c r="QD2" s="178"/>
      <c r="QE2" s="178"/>
      <c r="QF2" s="178"/>
      <c r="QG2" s="180"/>
      <c r="QH2" s="180"/>
      <c r="QI2" s="180"/>
      <c r="QJ2" s="178"/>
      <c r="QK2" s="178"/>
      <c r="QL2" s="178"/>
      <c r="QM2" s="180"/>
      <c r="QN2" s="180"/>
      <c r="QO2" s="180"/>
      <c r="QP2" s="206"/>
      <c r="QQ2" s="180" t="str">
        <f ca="1">IF(CELL("contenu",INDIRECT(ADDRESS(QQ1,1,1,1,CELL("contenu",$B$2))))="","----",CELL("contenu",INDIRECT(ADDRESS(QQ1,1,1,1,CELL("contenu",$B$2)))))</f>
        <v>TABONE Gaspard</v>
      </c>
      <c r="QR2" s="178"/>
      <c r="QS2" s="178"/>
      <c r="QT2" s="180"/>
      <c r="QU2" s="180"/>
      <c r="QV2" s="180"/>
      <c r="QW2" s="178"/>
      <c r="QX2" s="178"/>
      <c r="QY2" s="178"/>
      <c r="QZ2" s="180"/>
      <c r="RA2" s="180"/>
      <c r="RB2" s="180"/>
      <c r="RC2" s="178"/>
      <c r="RD2" s="178"/>
      <c r="RE2" s="178"/>
      <c r="RF2" s="180"/>
      <c r="RG2" s="180"/>
      <c r="RH2" s="180"/>
      <c r="RI2" s="206"/>
      <c r="RJ2" s="180" t="str">
        <f ca="1">IF(CELL("contenu",INDIRECT(ADDRESS(RJ1,1,1,1,CELL("contenu",$B$2))))="","----",CELL("contenu",INDIRECT(ADDRESS(RJ1,1,1,1,CELL("contenu",$B$2)))))</f>
        <v>TONDEUR Justine</v>
      </c>
      <c r="RK2" s="178"/>
      <c r="RL2" s="178"/>
      <c r="RM2" s="180"/>
      <c r="RN2" s="180"/>
      <c r="RO2" s="180"/>
      <c r="RP2" s="178"/>
      <c r="RQ2" s="178"/>
      <c r="RR2" s="178"/>
      <c r="RS2" s="180"/>
      <c r="RT2" s="180"/>
      <c r="RU2" s="180"/>
      <c r="RV2" s="178"/>
      <c r="RW2" s="178"/>
      <c r="RX2" s="178"/>
      <c r="RY2" s="180"/>
      <c r="RZ2" s="180"/>
      <c r="SA2" s="180"/>
      <c r="SB2" s="206"/>
      <c r="SC2" s="180" t="str">
        <f ca="1">IF(CELL("contenu",INDIRECT(ADDRESS(SC1,1,1,1,CELL("contenu",$B$2))))="","----",CELL("contenu",INDIRECT(ADDRESS(SC1,1,1,1,CELL("contenu",$B$2)))))</f>
        <v>VANDIER Achille</v>
      </c>
      <c r="SD2" s="178"/>
      <c r="SE2" s="178"/>
      <c r="SF2" s="180"/>
      <c r="SG2" s="180"/>
      <c r="SH2" s="180"/>
      <c r="SI2" s="178"/>
      <c r="SJ2" s="178"/>
      <c r="SK2" s="178"/>
      <c r="SL2" s="180"/>
      <c r="SM2" s="180"/>
      <c r="SN2" s="180"/>
      <c r="SO2" s="178"/>
      <c r="SP2" s="178"/>
      <c r="SQ2" s="178"/>
      <c r="SR2" s="180"/>
      <c r="SS2" s="180"/>
      <c r="ST2" s="180"/>
      <c r="SU2" s="206"/>
      <c r="SV2" s="85" t="str">
        <f ca="1">IF(CELL("contenu",INDIRECT(ADDRESS(SV1,1,1,1,CELL("contenu",$B$2))))="","----",CELL("contenu",INDIRECT(ADDRESS(SV1,1,1,1,CELL("contenu",$B$2)))))</f>
        <v>----</v>
      </c>
      <c r="SW2" s="85"/>
      <c r="SX2" s="85"/>
      <c r="SY2" s="85"/>
      <c r="SZ2" s="85"/>
      <c r="TA2" s="85"/>
      <c r="TB2" s="85"/>
      <c r="TC2" s="85"/>
      <c r="TD2" s="85"/>
      <c r="TE2" s="85"/>
      <c r="TF2" s="85"/>
      <c r="TG2" s="85"/>
      <c r="TH2" s="85"/>
      <c r="TI2" s="85"/>
      <c r="TJ2" s="85"/>
      <c r="TK2" s="85"/>
      <c r="TL2" s="86"/>
      <c r="TM2" s="85" t="str">
        <f ca="1">IF(CELL("contenu",INDIRECT(ADDRESS(TM1,1,1,1,CELL("contenu",$B$2))))="","----",CELL("contenu",INDIRECT(ADDRESS(TM1,1,1,1,CELL("contenu",$B$2)))))</f>
        <v>----</v>
      </c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85"/>
      <c r="UC2" s="86"/>
      <c r="UD2" s="85" t="str">
        <f ca="1">IF(CELL("contenu",INDIRECT(ADDRESS(UD1,1,1,1,CELL("contenu",$B$2))))="","----",CELL("contenu",INDIRECT(ADDRESS(UD1,1,1,1,CELL("contenu",$B$2)))))</f>
        <v>----</v>
      </c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6"/>
    </row>
    <row r="3" spans="1:566" ht="60" customHeight="1" thickBot="1" x14ac:dyDescent="0.3">
      <c r="A3" s="171"/>
      <c r="B3" s="172" t="s">
        <v>36</v>
      </c>
      <c r="C3" s="87" t="s">
        <v>200</v>
      </c>
      <c r="D3" s="88"/>
      <c r="E3" s="89" t="s">
        <v>201</v>
      </c>
      <c r="F3" s="185" t="s">
        <v>7</v>
      </c>
      <c r="G3" s="186"/>
      <c r="H3" s="87" t="s">
        <v>202</v>
      </c>
      <c r="I3" s="228" t="s">
        <v>205</v>
      </c>
      <c r="J3" s="89" t="s">
        <v>208</v>
      </c>
      <c r="K3" s="89" t="s">
        <v>209</v>
      </c>
      <c r="L3" s="201" t="s">
        <v>8</v>
      </c>
      <c r="M3" s="202"/>
      <c r="N3" s="96"/>
      <c r="O3" s="92"/>
      <c r="P3" s="93"/>
      <c r="Q3" s="93"/>
      <c r="R3" s="207" t="s">
        <v>9</v>
      </c>
      <c r="S3" s="208"/>
      <c r="T3" s="209" t="s">
        <v>10</v>
      </c>
      <c r="U3" s="210"/>
      <c r="V3" s="101" t="str">
        <f>IF(C3="","",C3)</f>
        <v>TPplaques</v>
      </c>
      <c r="W3" s="102" t="str">
        <f>IF(D3="","",D3)</f>
        <v/>
      </c>
      <c r="X3" s="103" t="str">
        <f>IF(E3="","",E3)</f>
        <v>Dsplaques</v>
      </c>
      <c r="Y3" s="185" t="s">
        <v>7</v>
      </c>
      <c r="Z3" s="186"/>
      <c r="AA3" s="104" t="str">
        <f>IF(H3="","",H3)</f>
        <v>TPséismes</v>
      </c>
      <c r="AB3" s="102" t="str">
        <f>IF(I3="","",I3)</f>
        <v>Dsséismes</v>
      </c>
      <c r="AC3" s="227" t="str">
        <f>IF(J3="","",J3)</f>
        <v>TPDMvolc</v>
      </c>
      <c r="AD3" s="103" t="str">
        <f>IF(K3="","",K3)</f>
        <v>Dsvolc</v>
      </c>
      <c r="AE3" s="201" t="s">
        <v>8</v>
      </c>
      <c r="AF3" s="202"/>
      <c r="AG3" s="104" t="str">
        <f>IF(N3="","",N3)</f>
        <v/>
      </c>
      <c r="AH3" s="102" t="str">
        <f>IF(O3="","",O3)</f>
        <v/>
      </c>
      <c r="AI3" s="227" t="str">
        <f>IF(P3="","",P3)</f>
        <v/>
      </c>
      <c r="AJ3" s="103" t="str">
        <f>IF(Q3="","",Q3)</f>
        <v/>
      </c>
      <c r="AK3" s="207" t="s">
        <v>9</v>
      </c>
      <c r="AL3" s="208"/>
      <c r="AM3" s="209" t="s">
        <v>10</v>
      </c>
      <c r="AN3" s="210"/>
      <c r="AO3" s="101" t="str">
        <f>IF(V3="","",V3)</f>
        <v>TPplaques</v>
      </c>
      <c r="AP3" s="102" t="str">
        <f>IF(W3="","",W3)</f>
        <v/>
      </c>
      <c r="AQ3" s="103" t="str">
        <f>IF(X3="","",X3)</f>
        <v>Dsplaques</v>
      </c>
      <c r="AR3" s="185" t="s">
        <v>7</v>
      </c>
      <c r="AS3" s="186"/>
      <c r="AT3" s="104" t="str">
        <f>IF(AA3="","",AA3)</f>
        <v>TPséismes</v>
      </c>
      <c r="AU3" s="102" t="str">
        <f>IF(AB3="","",AB3)</f>
        <v>Dsséismes</v>
      </c>
      <c r="AV3" s="227" t="str">
        <f>IF(AC3="","",AC3)</f>
        <v>TPDMvolc</v>
      </c>
      <c r="AW3" s="103" t="str">
        <f>IF(AD3="","",AD3)</f>
        <v>Dsvolc</v>
      </c>
      <c r="AX3" s="201" t="s">
        <v>8</v>
      </c>
      <c r="AY3" s="202"/>
      <c r="AZ3" s="104" t="str">
        <f>IF(AG3="","",AG3)</f>
        <v/>
      </c>
      <c r="BA3" s="102" t="str">
        <f>IF(AH3="","",AH3)</f>
        <v/>
      </c>
      <c r="BB3" s="227" t="str">
        <f>IF(AI3="","",AI3)</f>
        <v/>
      </c>
      <c r="BC3" s="103" t="str">
        <f>IF(AJ3="","",AJ3)</f>
        <v/>
      </c>
      <c r="BD3" s="207" t="s">
        <v>9</v>
      </c>
      <c r="BE3" s="208"/>
      <c r="BF3" s="209" t="s">
        <v>10</v>
      </c>
      <c r="BG3" s="210"/>
      <c r="BH3" s="101" t="str">
        <f>IF(AO3="","",AO3)</f>
        <v>TPplaques</v>
      </c>
      <c r="BI3" s="102" t="str">
        <f>IF(AP3="","",AP3)</f>
        <v/>
      </c>
      <c r="BJ3" s="103" t="str">
        <f>IF(AQ3="","",AQ3)</f>
        <v>Dsplaques</v>
      </c>
      <c r="BK3" s="185" t="s">
        <v>7</v>
      </c>
      <c r="BL3" s="186"/>
      <c r="BM3" s="104" t="str">
        <f>IF(AT3="","",AT3)</f>
        <v>TPséismes</v>
      </c>
      <c r="BN3" s="102" t="str">
        <f>IF(AU3="","",AU3)</f>
        <v>Dsséismes</v>
      </c>
      <c r="BO3" s="227" t="str">
        <f>IF(AV3="","",AV3)</f>
        <v>TPDMvolc</v>
      </c>
      <c r="BP3" s="103" t="str">
        <f>IF(AW3="","",AW3)</f>
        <v>Dsvolc</v>
      </c>
      <c r="BQ3" s="201" t="s">
        <v>8</v>
      </c>
      <c r="BR3" s="202"/>
      <c r="BS3" s="104" t="str">
        <f>IF(AZ3="","",AZ3)</f>
        <v/>
      </c>
      <c r="BT3" s="102" t="str">
        <f>IF(BA3="","",BA3)</f>
        <v/>
      </c>
      <c r="BU3" s="227" t="str">
        <f>IF(BB3="","",BB3)</f>
        <v/>
      </c>
      <c r="BV3" s="103" t="str">
        <f>IF(BC3="","",BC3)</f>
        <v/>
      </c>
      <c r="BW3" s="207" t="s">
        <v>9</v>
      </c>
      <c r="BX3" s="208"/>
      <c r="BY3" s="209" t="s">
        <v>10</v>
      </c>
      <c r="BZ3" s="210"/>
      <c r="CA3" s="101" t="str">
        <f>IF(BH3="","",BH3)</f>
        <v>TPplaques</v>
      </c>
      <c r="CB3" s="102" t="str">
        <f>IF(BI3="","",BI3)</f>
        <v/>
      </c>
      <c r="CC3" s="103" t="str">
        <f>IF(BJ3="","",BJ3)</f>
        <v>Dsplaques</v>
      </c>
      <c r="CD3" s="185" t="s">
        <v>7</v>
      </c>
      <c r="CE3" s="186"/>
      <c r="CF3" s="104" t="str">
        <f>IF(BM3="","",BM3)</f>
        <v>TPséismes</v>
      </c>
      <c r="CG3" s="102" t="str">
        <f>IF(BN3="","",BN3)</f>
        <v>Dsséismes</v>
      </c>
      <c r="CH3" s="227" t="str">
        <f>IF(BO3="","",BO3)</f>
        <v>TPDMvolc</v>
      </c>
      <c r="CI3" s="103" t="str">
        <f>IF(BP3="","",BP3)</f>
        <v>Dsvolc</v>
      </c>
      <c r="CJ3" s="201" t="s">
        <v>8</v>
      </c>
      <c r="CK3" s="202"/>
      <c r="CL3" s="104" t="str">
        <f>IF(BS3="","",BS3)</f>
        <v/>
      </c>
      <c r="CM3" s="102" t="str">
        <f>IF(BT3="","",BT3)</f>
        <v/>
      </c>
      <c r="CN3" s="227" t="str">
        <f>IF(BU3="","",BU3)</f>
        <v/>
      </c>
      <c r="CO3" s="103" t="str">
        <f>IF(BV3="","",BV3)</f>
        <v/>
      </c>
      <c r="CP3" s="207" t="s">
        <v>9</v>
      </c>
      <c r="CQ3" s="208"/>
      <c r="CR3" s="209" t="s">
        <v>10</v>
      </c>
      <c r="CS3" s="210"/>
      <c r="CT3" s="101" t="str">
        <f>IF(CA3="","",CA3)</f>
        <v>TPplaques</v>
      </c>
      <c r="CU3" s="102" t="str">
        <f>IF(CB3="","",CB3)</f>
        <v/>
      </c>
      <c r="CV3" s="103" t="str">
        <f>IF(CC3="","",CC3)</f>
        <v>Dsplaques</v>
      </c>
      <c r="CW3" s="185" t="s">
        <v>7</v>
      </c>
      <c r="CX3" s="186"/>
      <c r="CY3" s="104" t="str">
        <f>IF(CF3="","",CF3)</f>
        <v>TPséismes</v>
      </c>
      <c r="CZ3" s="102" t="str">
        <f>IF(CG3="","",CG3)</f>
        <v>Dsséismes</v>
      </c>
      <c r="DA3" s="227" t="str">
        <f>IF(CH3="","",CH3)</f>
        <v>TPDMvolc</v>
      </c>
      <c r="DB3" s="103" t="str">
        <f>IF(CI3="","",CI3)</f>
        <v>Dsvolc</v>
      </c>
      <c r="DC3" s="201" t="s">
        <v>8</v>
      </c>
      <c r="DD3" s="202"/>
      <c r="DE3" s="104" t="str">
        <f>IF(CL3="","",CL3)</f>
        <v/>
      </c>
      <c r="DF3" s="102" t="str">
        <f>IF(CM3="","",CM3)</f>
        <v/>
      </c>
      <c r="DG3" s="227" t="str">
        <f>IF(CN3="","",CN3)</f>
        <v/>
      </c>
      <c r="DH3" s="103" t="str">
        <f>IF(CO3="","",CO3)</f>
        <v/>
      </c>
      <c r="DI3" s="207" t="s">
        <v>9</v>
      </c>
      <c r="DJ3" s="208"/>
      <c r="DK3" s="209" t="s">
        <v>10</v>
      </c>
      <c r="DL3" s="210"/>
      <c r="DM3" s="101" t="str">
        <f>IF(CT3="","",CT3)</f>
        <v>TPplaques</v>
      </c>
      <c r="DN3" s="102" t="str">
        <f>IF(CU3="","",CU3)</f>
        <v/>
      </c>
      <c r="DO3" s="103" t="str">
        <f>IF(CV3="","",CV3)</f>
        <v>Dsplaques</v>
      </c>
      <c r="DP3" s="185" t="s">
        <v>7</v>
      </c>
      <c r="DQ3" s="186"/>
      <c r="DR3" s="104" t="str">
        <f>IF(CY3="","",CY3)</f>
        <v>TPséismes</v>
      </c>
      <c r="DS3" s="102" t="str">
        <f>IF(CZ3="","",CZ3)</f>
        <v>Dsséismes</v>
      </c>
      <c r="DT3" s="227" t="str">
        <f>IF(DA3="","",DA3)</f>
        <v>TPDMvolc</v>
      </c>
      <c r="DU3" s="103" t="str">
        <f>IF(DB3="","",DB3)</f>
        <v>Dsvolc</v>
      </c>
      <c r="DV3" s="201" t="s">
        <v>8</v>
      </c>
      <c r="DW3" s="202"/>
      <c r="DX3" s="104" t="str">
        <f>IF(DE3="","",DE3)</f>
        <v/>
      </c>
      <c r="DY3" s="102" t="str">
        <f>IF(DF3="","",DF3)</f>
        <v/>
      </c>
      <c r="DZ3" s="227" t="str">
        <f>IF(DG3="","",DG3)</f>
        <v/>
      </c>
      <c r="EA3" s="103" t="str">
        <f>IF(DH3="","",DH3)</f>
        <v/>
      </c>
      <c r="EB3" s="207" t="s">
        <v>9</v>
      </c>
      <c r="EC3" s="208"/>
      <c r="ED3" s="209" t="s">
        <v>10</v>
      </c>
      <c r="EE3" s="210"/>
      <c r="EF3" s="101" t="str">
        <f>IF(DM3="","",DM3)</f>
        <v>TPplaques</v>
      </c>
      <c r="EG3" s="102" t="str">
        <f>IF(DN3="","",DN3)</f>
        <v/>
      </c>
      <c r="EH3" s="103" t="str">
        <f>IF(DO3="","",DO3)</f>
        <v>Dsplaques</v>
      </c>
      <c r="EI3" s="185" t="s">
        <v>7</v>
      </c>
      <c r="EJ3" s="186"/>
      <c r="EK3" s="104" t="str">
        <f>IF(DR3="","",DR3)</f>
        <v>TPséismes</v>
      </c>
      <c r="EL3" s="102" t="str">
        <f>IF(DS3="","",DS3)</f>
        <v>Dsséismes</v>
      </c>
      <c r="EM3" s="227" t="str">
        <f>IF(DT3="","",DT3)</f>
        <v>TPDMvolc</v>
      </c>
      <c r="EN3" s="103" t="str">
        <f>IF(DU3="","",DU3)</f>
        <v>Dsvolc</v>
      </c>
      <c r="EO3" s="201" t="s">
        <v>8</v>
      </c>
      <c r="EP3" s="202"/>
      <c r="EQ3" s="104" t="str">
        <f>IF(DX3="","",DX3)</f>
        <v/>
      </c>
      <c r="ER3" s="102" t="str">
        <f>IF(DY3="","",DY3)</f>
        <v/>
      </c>
      <c r="ES3" s="227" t="str">
        <f>IF(DZ3="","",DZ3)</f>
        <v/>
      </c>
      <c r="ET3" s="103" t="str">
        <f>IF(EA3="","",EA3)</f>
        <v/>
      </c>
      <c r="EU3" s="207" t="s">
        <v>9</v>
      </c>
      <c r="EV3" s="208"/>
      <c r="EW3" s="209" t="s">
        <v>10</v>
      </c>
      <c r="EX3" s="210"/>
      <c r="EY3" s="101" t="str">
        <f>IF(EF3="","",EF3)</f>
        <v>TPplaques</v>
      </c>
      <c r="EZ3" s="102" t="str">
        <f>IF(EG3="","",EG3)</f>
        <v/>
      </c>
      <c r="FA3" s="103" t="str">
        <f>IF(EH3="","",EH3)</f>
        <v>Dsplaques</v>
      </c>
      <c r="FB3" s="185" t="s">
        <v>7</v>
      </c>
      <c r="FC3" s="186"/>
      <c r="FD3" s="104" t="str">
        <f>IF(EK3="","",EK3)</f>
        <v>TPséismes</v>
      </c>
      <c r="FE3" s="102" t="str">
        <f>IF(EL3="","",EL3)</f>
        <v>Dsséismes</v>
      </c>
      <c r="FF3" s="227" t="str">
        <f>IF(EM3="","",EM3)</f>
        <v>TPDMvolc</v>
      </c>
      <c r="FG3" s="103" t="str">
        <f>IF(EN3="","",EN3)</f>
        <v>Dsvolc</v>
      </c>
      <c r="FH3" s="201" t="s">
        <v>8</v>
      </c>
      <c r="FI3" s="202"/>
      <c r="FJ3" s="104" t="str">
        <f>IF(EQ3="","",EQ3)</f>
        <v/>
      </c>
      <c r="FK3" s="102" t="str">
        <f>IF(ER3="","",ER3)</f>
        <v/>
      </c>
      <c r="FL3" s="227" t="str">
        <f>IF(ES3="","",ES3)</f>
        <v/>
      </c>
      <c r="FM3" s="103" t="str">
        <f>IF(ET3="","",ET3)</f>
        <v/>
      </c>
      <c r="FN3" s="207" t="s">
        <v>9</v>
      </c>
      <c r="FO3" s="208"/>
      <c r="FP3" s="209" t="s">
        <v>10</v>
      </c>
      <c r="FQ3" s="210"/>
      <c r="FR3" s="101" t="str">
        <f>IF(EY3="","",EY3)</f>
        <v>TPplaques</v>
      </c>
      <c r="FS3" s="102" t="str">
        <f>IF(EZ3="","",EZ3)</f>
        <v/>
      </c>
      <c r="FT3" s="103" t="str">
        <f>IF(FA3="","",FA3)</f>
        <v>Dsplaques</v>
      </c>
      <c r="FU3" s="185" t="s">
        <v>7</v>
      </c>
      <c r="FV3" s="186"/>
      <c r="FW3" s="104" t="str">
        <f>IF(FD3="","",FD3)</f>
        <v>TPséismes</v>
      </c>
      <c r="FX3" s="102" t="str">
        <f>IF(FE3="","",FE3)</f>
        <v>Dsséismes</v>
      </c>
      <c r="FY3" s="227" t="str">
        <f>IF(FF3="","",FF3)</f>
        <v>TPDMvolc</v>
      </c>
      <c r="FZ3" s="103" t="str">
        <f>IF(FG3="","",FG3)</f>
        <v>Dsvolc</v>
      </c>
      <c r="GA3" s="201" t="s">
        <v>8</v>
      </c>
      <c r="GB3" s="202"/>
      <c r="GC3" s="104" t="str">
        <f>IF(FJ3="","",FJ3)</f>
        <v/>
      </c>
      <c r="GD3" s="102" t="str">
        <f>IF(FK3="","",FK3)</f>
        <v/>
      </c>
      <c r="GE3" s="227" t="str">
        <f>IF(FL3="","",FL3)</f>
        <v/>
      </c>
      <c r="GF3" s="103" t="str">
        <f>IF(FM3="","",FM3)</f>
        <v/>
      </c>
      <c r="GG3" s="207" t="s">
        <v>9</v>
      </c>
      <c r="GH3" s="208"/>
      <c r="GI3" s="209" t="s">
        <v>10</v>
      </c>
      <c r="GJ3" s="210"/>
      <c r="GK3" s="101" t="str">
        <f>IF(FR3="","",FR3)</f>
        <v>TPplaques</v>
      </c>
      <c r="GL3" s="102" t="str">
        <f>IF(FS3="","",FS3)</f>
        <v/>
      </c>
      <c r="GM3" s="103" t="str">
        <f>IF(FT3="","",FT3)</f>
        <v>Dsplaques</v>
      </c>
      <c r="GN3" s="185" t="s">
        <v>7</v>
      </c>
      <c r="GO3" s="186"/>
      <c r="GP3" s="104" t="str">
        <f>IF(FW3="","",FW3)</f>
        <v>TPséismes</v>
      </c>
      <c r="GQ3" s="102" t="str">
        <f>IF(FX3="","",FX3)</f>
        <v>Dsséismes</v>
      </c>
      <c r="GR3" s="227" t="str">
        <f>IF(FY3="","",FY3)</f>
        <v>TPDMvolc</v>
      </c>
      <c r="GS3" s="103" t="str">
        <f>IF(FZ3="","",FZ3)</f>
        <v>Dsvolc</v>
      </c>
      <c r="GT3" s="201" t="s">
        <v>8</v>
      </c>
      <c r="GU3" s="202"/>
      <c r="GV3" s="104" t="str">
        <f>IF(GC3="","",GC3)</f>
        <v/>
      </c>
      <c r="GW3" s="102" t="str">
        <f>IF(GD3="","",GD3)</f>
        <v/>
      </c>
      <c r="GX3" s="227" t="str">
        <f>IF(GE3="","",GE3)</f>
        <v/>
      </c>
      <c r="GY3" s="103" t="str">
        <f>IF(GF3="","",GF3)</f>
        <v/>
      </c>
      <c r="GZ3" s="207" t="s">
        <v>9</v>
      </c>
      <c r="HA3" s="208"/>
      <c r="HB3" s="209" t="s">
        <v>10</v>
      </c>
      <c r="HC3" s="210"/>
      <c r="HD3" s="101" t="str">
        <f>IF(GK3="","",GK3)</f>
        <v>TPplaques</v>
      </c>
      <c r="HE3" s="102" t="str">
        <f>IF(GL3="","",GL3)</f>
        <v/>
      </c>
      <c r="HF3" s="103" t="str">
        <f>IF(GM3="","",GM3)</f>
        <v>Dsplaques</v>
      </c>
      <c r="HG3" s="185" t="s">
        <v>7</v>
      </c>
      <c r="HH3" s="186"/>
      <c r="HI3" s="104" t="str">
        <f>IF(GP3="","",GP3)</f>
        <v>TPséismes</v>
      </c>
      <c r="HJ3" s="102" t="str">
        <f>IF(GQ3="","",GQ3)</f>
        <v>Dsséismes</v>
      </c>
      <c r="HK3" s="227" t="str">
        <f>IF(GR3="","",GR3)</f>
        <v>TPDMvolc</v>
      </c>
      <c r="HL3" s="103" t="str">
        <f>IF(GS3="","",GS3)</f>
        <v>Dsvolc</v>
      </c>
      <c r="HM3" s="201" t="s">
        <v>8</v>
      </c>
      <c r="HN3" s="202"/>
      <c r="HO3" s="104" t="str">
        <f>IF(GV3="","",GV3)</f>
        <v/>
      </c>
      <c r="HP3" s="102" t="str">
        <f>IF(GW3="","",GW3)</f>
        <v/>
      </c>
      <c r="HQ3" s="227" t="str">
        <f>IF(GX3="","",GX3)</f>
        <v/>
      </c>
      <c r="HR3" s="103" t="str">
        <f>IF(GY3="","",GY3)</f>
        <v/>
      </c>
      <c r="HS3" s="207" t="s">
        <v>9</v>
      </c>
      <c r="HT3" s="208"/>
      <c r="HU3" s="209" t="s">
        <v>10</v>
      </c>
      <c r="HV3" s="210"/>
      <c r="HW3" s="101" t="str">
        <f>IF(HD3="","",HD3)</f>
        <v>TPplaques</v>
      </c>
      <c r="HX3" s="102" t="str">
        <f>IF(HE3="","",HE3)</f>
        <v/>
      </c>
      <c r="HY3" s="103" t="str">
        <f>IF(HF3="","",HF3)</f>
        <v>Dsplaques</v>
      </c>
      <c r="HZ3" s="185" t="s">
        <v>7</v>
      </c>
      <c r="IA3" s="186"/>
      <c r="IB3" s="104" t="str">
        <f>IF(HI3="","",HI3)</f>
        <v>TPséismes</v>
      </c>
      <c r="IC3" s="102" t="str">
        <f>IF(HJ3="","",HJ3)</f>
        <v>Dsséismes</v>
      </c>
      <c r="ID3" s="227" t="str">
        <f>IF(HK3="","",HK3)</f>
        <v>TPDMvolc</v>
      </c>
      <c r="IE3" s="103" t="str">
        <f>IF(HL3="","",HL3)</f>
        <v>Dsvolc</v>
      </c>
      <c r="IF3" s="201" t="s">
        <v>8</v>
      </c>
      <c r="IG3" s="202"/>
      <c r="IH3" s="104" t="str">
        <f>IF(HO3="","",HO3)</f>
        <v/>
      </c>
      <c r="II3" s="102" t="str">
        <f>IF(HP3="","",HP3)</f>
        <v/>
      </c>
      <c r="IJ3" s="227" t="str">
        <f>IF(HQ3="","",HQ3)</f>
        <v/>
      </c>
      <c r="IK3" s="103" t="str">
        <f>IF(HR3="","",HR3)</f>
        <v/>
      </c>
      <c r="IL3" s="207" t="s">
        <v>9</v>
      </c>
      <c r="IM3" s="208"/>
      <c r="IN3" s="209" t="s">
        <v>10</v>
      </c>
      <c r="IO3" s="210"/>
      <c r="IP3" s="101" t="str">
        <f>IF(HW3="","",HW3)</f>
        <v>TPplaques</v>
      </c>
      <c r="IQ3" s="102" t="str">
        <f>IF(HX3="","",HX3)</f>
        <v/>
      </c>
      <c r="IR3" s="103" t="str">
        <f>IF(HY3="","",HY3)</f>
        <v>Dsplaques</v>
      </c>
      <c r="IS3" s="185" t="s">
        <v>7</v>
      </c>
      <c r="IT3" s="186"/>
      <c r="IU3" s="104" t="str">
        <f>IF(IB3="","",IB3)</f>
        <v>TPséismes</v>
      </c>
      <c r="IV3" s="102" t="str">
        <f>IF(IC3="","",IC3)</f>
        <v>Dsséismes</v>
      </c>
      <c r="IW3" s="227" t="str">
        <f>IF(ID3="","",ID3)</f>
        <v>TPDMvolc</v>
      </c>
      <c r="IX3" s="103" t="str">
        <f>IF(IE3="","",IE3)</f>
        <v>Dsvolc</v>
      </c>
      <c r="IY3" s="201" t="s">
        <v>8</v>
      </c>
      <c r="IZ3" s="202"/>
      <c r="JA3" s="104" t="str">
        <f>IF(IH3="","",IH3)</f>
        <v/>
      </c>
      <c r="JB3" s="102" t="str">
        <f>IF(II3="","",II3)</f>
        <v/>
      </c>
      <c r="JC3" s="227" t="str">
        <f>IF(IJ3="","",IJ3)</f>
        <v/>
      </c>
      <c r="JD3" s="103" t="str">
        <f>IF(IK3="","",IK3)</f>
        <v/>
      </c>
      <c r="JE3" s="207" t="s">
        <v>9</v>
      </c>
      <c r="JF3" s="208"/>
      <c r="JG3" s="209" t="s">
        <v>10</v>
      </c>
      <c r="JH3" s="210"/>
      <c r="JI3" s="101" t="str">
        <f>IF(IP3="","",IP3)</f>
        <v>TPplaques</v>
      </c>
      <c r="JJ3" s="102" t="str">
        <f>IF(IQ3="","",IQ3)</f>
        <v/>
      </c>
      <c r="JK3" s="103" t="str">
        <f>IF(IR3="","",IR3)</f>
        <v>Dsplaques</v>
      </c>
      <c r="JL3" s="185" t="s">
        <v>7</v>
      </c>
      <c r="JM3" s="186"/>
      <c r="JN3" s="104" t="str">
        <f>IF(IU3="","",IU3)</f>
        <v>TPséismes</v>
      </c>
      <c r="JO3" s="102" t="str">
        <f>IF(IV3="","",IV3)</f>
        <v>Dsséismes</v>
      </c>
      <c r="JP3" s="227" t="str">
        <f>IF(IW3="","",IW3)</f>
        <v>TPDMvolc</v>
      </c>
      <c r="JQ3" s="103" t="str">
        <f>IF(IX3="","",IX3)</f>
        <v>Dsvolc</v>
      </c>
      <c r="JR3" s="201" t="s">
        <v>8</v>
      </c>
      <c r="JS3" s="202"/>
      <c r="JT3" s="104" t="str">
        <f>IF(JA3="","",JA3)</f>
        <v/>
      </c>
      <c r="JU3" s="102" t="str">
        <f>IF(JB3="","",JB3)</f>
        <v/>
      </c>
      <c r="JV3" s="227" t="str">
        <f>IF(JC3="","",JC3)</f>
        <v/>
      </c>
      <c r="JW3" s="103" t="str">
        <f>IF(JD3="","",JD3)</f>
        <v/>
      </c>
      <c r="JX3" s="207" t="s">
        <v>9</v>
      </c>
      <c r="JY3" s="208"/>
      <c r="JZ3" s="209" t="s">
        <v>10</v>
      </c>
      <c r="KA3" s="210"/>
      <c r="KB3" s="101" t="str">
        <f>IF(JI3="","",JI3)</f>
        <v>TPplaques</v>
      </c>
      <c r="KC3" s="102" t="str">
        <f>IF(JJ3="","",JJ3)</f>
        <v/>
      </c>
      <c r="KD3" s="103" t="str">
        <f>IF(JK3="","",JK3)</f>
        <v>Dsplaques</v>
      </c>
      <c r="KE3" s="185" t="s">
        <v>7</v>
      </c>
      <c r="KF3" s="186"/>
      <c r="KG3" s="104" t="str">
        <f>IF(JN3="","",JN3)</f>
        <v>TPséismes</v>
      </c>
      <c r="KH3" s="102" t="str">
        <f>IF(JO3="","",JO3)</f>
        <v>Dsséismes</v>
      </c>
      <c r="KI3" s="227" t="str">
        <f>IF(JP3="","",JP3)</f>
        <v>TPDMvolc</v>
      </c>
      <c r="KJ3" s="103" t="str">
        <f>IF(JQ3="","",JQ3)</f>
        <v>Dsvolc</v>
      </c>
      <c r="KK3" s="201" t="s">
        <v>8</v>
      </c>
      <c r="KL3" s="202"/>
      <c r="KM3" s="104" t="str">
        <f>IF(JT3="","",JT3)</f>
        <v/>
      </c>
      <c r="KN3" s="102" t="str">
        <f>IF(JU3="","",JU3)</f>
        <v/>
      </c>
      <c r="KO3" s="227" t="str">
        <f>IF(JV3="","",JV3)</f>
        <v/>
      </c>
      <c r="KP3" s="103" t="str">
        <f>IF(JW3="","",JW3)</f>
        <v/>
      </c>
      <c r="KQ3" s="207" t="s">
        <v>9</v>
      </c>
      <c r="KR3" s="208"/>
      <c r="KS3" s="209" t="s">
        <v>10</v>
      </c>
      <c r="KT3" s="210"/>
      <c r="KU3" s="101" t="str">
        <f>IF(KB3="","",KB3)</f>
        <v>TPplaques</v>
      </c>
      <c r="KV3" s="102" t="str">
        <f>IF(KC3="","",KC3)</f>
        <v/>
      </c>
      <c r="KW3" s="103" t="str">
        <f>IF(KD3="","",KD3)</f>
        <v>Dsplaques</v>
      </c>
      <c r="KX3" s="185" t="s">
        <v>7</v>
      </c>
      <c r="KY3" s="186"/>
      <c r="KZ3" s="104" t="str">
        <f>IF(KG3="","",KG3)</f>
        <v>TPséismes</v>
      </c>
      <c r="LA3" s="102" t="str">
        <f>IF(KH3="","",KH3)</f>
        <v>Dsséismes</v>
      </c>
      <c r="LB3" s="227" t="str">
        <f>IF(KI3="","",KI3)</f>
        <v>TPDMvolc</v>
      </c>
      <c r="LC3" s="103" t="str">
        <f>IF(KJ3="","",KJ3)</f>
        <v>Dsvolc</v>
      </c>
      <c r="LD3" s="201" t="s">
        <v>8</v>
      </c>
      <c r="LE3" s="202"/>
      <c r="LF3" s="104" t="str">
        <f>IF(KM3="","",KM3)</f>
        <v/>
      </c>
      <c r="LG3" s="102" t="str">
        <f>IF(KN3="","",KN3)</f>
        <v/>
      </c>
      <c r="LH3" s="227" t="str">
        <f>IF(KO3="","",KO3)</f>
        <v/>
      </c>
      <c r="LI3" s="103" t="str">
        <f>IF(KP3="","",KP3)</f>
        <v/>
      </c>
      <c r="LJ3" s="207" t="s">
        <v>9</v>
      </c>
      <c r="LK3" s="208"/>
      <c r="LL3" s="209" t="s">
        <v>10</v>
      </c>
      <c r="LM3" s="210"/>
      <c r="LN3" s="101" t="str">
        <f>IF(KU3="","",KU3)</f>
        <v>TPplaques</v>
      </c>
      <c r="LO3" s="102" t="str">
        <f>IF(KV3="","",KV3)</f>
        <v/>
      </c>
      <c r="LP3" s="103" t="str">
        <f>IF(KW3="","",KW3)</f>
        <v>Dsplaques</v>
      </c>
      <c r="LQ3" s="185" t="s">
        <v>7</v>
      </c>
      <c r="LR3" s="186"/>
      <c r="LS3" s="104" t="str">
        <f>IF(KZ3="","",KZ3)</f>
        <v>TPséismes</v>
      </c>
      <c r="LT3" s="102" t="str">
        <f>IF(LA3="","",LA3)</f>
        <v>Dsséismes</v>
      </c>
      <c r="LU3" s="227" t="str">
        <f>IF(LB3="","",LB3)</f>
        <v>TPDMvolc</v>
      </c>
      <c r="LV3" s="103" t="str">
        <f>IF(LC3="","",LC3)</f>
        <v>Dsvolc</v>
      </c>
      <c r="LW3" s="201" t="s">
        <v>8</v>
      </c>
      <c r="LX3" s="202"/>
      <c r="LY3" s="104" t="str">
        <f>IF(LF3="","",LF3)</f>
        <v/>
      </c>
      <c r="LZ3" s="102" t="str">
        <f>IF(LG3="","",LG3)</f>
        <v/>
      </c>
      <c r="MA3" s="227" t="str">
        <f>IF(LH3="","",LH3)</f>
        <v/>
      </c>
      <c r="MB3" s="103" t="str">
        <f>IF(LI3="","",LI3)</f>
        <v/>
      </c>
      <c r="MC3" s="207" t="s">
        <v>9</v>
      </c>
      <c r="MD3" s="208"/>
      <c r="ME3" s="209" t="s">
        <v>10</v>
      </c>
      <c r="MF3" s="210"/>
      <c r="MG3" s="101" t="str">
        <f>IF(LN3="","",LN3)</f>
        <v>TPplaques</v>
      </c>
      <c r="MH3" s="102" t="str">
        <f>IF(LO3="","",LO3)</f>
        <v/>
      </c>
      <c r="MI3" s="103" t="str">
        <f>IF(LP3="","",LP3)</f>
        <v>Dsplaques</v>
      </c>
      <c r="MJ3" s="185" t="s">
        <v>7</v>
      </c>
      <c r="MK3" s="186"/>
      <c r="ML3" s="104" t="str">
        <f>IF(LS3="","",LS3)</f>
        <v>TPséismes</v>
      </c>
      <c r="MM3" s="102" t="str">
        <f>IF(LT3="","",LT3)</f>
        <v>Dsséismes</v>
      </c>
      <c r="MN3" s="227" t="str">
        <f>IF(LU3="","",LU3)</f>
        <v>TPDMvolc</v>
      </c>
      <c r="MO3" s="103" t="str">
        <f>IF(LV3="","",LV3)</f>
        <v>Dsvolc</v>
      </c>
      <c r="MP3" s="201" t="s">
        <v>8</v>
      </c>
      <c r="MQ3" s="202"/>
      <c r="MR3" s="104" t="str">
        <f>IF(LY3="","",LY3)</f>
        <v/>
      </c>
      <c r="MS3" s="102" t="str">
        <f>IF(LZ3="","",LZ3)</f>
        <v/>
      </c>
      <c r="MT3" s="227" t="str">
        <f>IF(MA3="","",MA3)</f>
        <v/>
      </c>
      <c r="MU3" s="103" t="str">
        <f>IF(MB3="","",MB3)</f>
        <v/>
      </c>
      <c r="MV3" s="207" t="s">
        <v>9</v>
      </c>
      <c r="MW3" s="208"/>
      <c r="MX3" s="209" t="s">
        <v>10</v>
      </c>
      <c r="MY3" s="210"/>
      <c r="MZ3" s="101" t="str">
        <f>IF(MG3="","",MG3)</f>
        <v>TPplaques</v>
      </c>
      <c r="NA3" s="102" t="str">
        <f>IF(MH3="","",MH3)</f>
        <v/>
      </c>
      <c r="NB3" s="103" t="str">
        <f>IF(MI3="","",MI3)</f>
        <v>Dsplaques</v>
      </c>
      <c r="NC3" s="185" t="s">
        <v>7</v>
      </c>
      <c r="ND3" s="186"/>
      <c r="NE3" s="104" t="str">
        <f>IF(ML3="","",ML3)</f>
        <v>TPséismes</v>
      </c>
      <c r="NF3" s="102" t="str">
        <f>IF(MM3="","",MM3)</f>
        <v>Dsséismes</v>
      </c>
      <c r="NG3" s="227" t="str">
        <f>IF(MN3="","",MN3)</f>
        <v>TPDMvolc</v>
      </c>
      <c r="NH3" s="103" t="str">
        <f>IF(MO3="","",MO3)</f>
        <v>Dsvolc</v>
      </c>
      <c r="NI3" s="201" t="s">
        <v>8</v>
      </c>
      <c r="NJ3" s="202"/>
      <c r="NK3" s="104" t="str">
        <f>IF(MR3="","",MR3)</f>
        <v/>
      </c>
      <c r="NL3" s="102" t="str">
        <f>IF(MS3="","",MS3)</f>
        <v/>
      </c>
      <c r="NM3" s="227" t="str">
        <f>IF(MT3="","",MT3)</f>
        <v/>
      </c>
      <c r="NN3" s="103" t="str">
        <f>IF(MU3="","",MU3)</f>
        <v/>
      </c>
      <c r="NO3" s="207" t="s">
        <v>9</v>
      </c>
      <c r="NP3" s="208"/>
      <c r="NQ3" s="209" t="s">
        <v>10</v>
      </c>
      <c r="NR3" s="210"/>
      <c r="NS3" s="101" t="str">
        <f>IF(MZ3="","",MZ3)</f>
        <v>TPplaques</v>
      </c>
      <c r="NT3" s="102" t="str">
        <f>IF(NA3="","",NA3)</f>
        <v/>
      </c>
      <c r="NU3" s="103" t="str">
        <f>IF(NB3="","",NB3)</f>
        <v>Dsplaques</v>
      </c>
      <c r="NV3" s="185" t="s">
        <v>7</v>
      </c>
      <c r="NW3" s="186"/>
      <c r="NX3" s="104" t="str">
        <f>IF(NE3="","",NE3)</f>
        <v>TPséismes</v>
      </c>
      <c r="NY3" s="102" t="str">
        <f>IF(NF3="","",NF3)</f>
        <v>Dsséismes</v>
      </c>
      <c r="NZ3" s="227" t="str">
        <f>IF(NG3="","",NG3)</f>
        <v>TPDMvolc</v>
      </c>
      <c r="OA3" s="103" t="str">
        <f>IF(NH3="","",NH3)</f>
        <v>Dsvolc</v>
      </c>
      <c r="OB3" s="201" t="s">
        <v>8</v>
      </c>
      <c r="OC3" s="202"/>
      <c r="OD3" s="104" t="str">
        <f>IF(NK3="","",NK3)</f>
        <v/>
      </c>
      <c r="OE3" s="102" t="str">
        <f>IF(NL3="","",NL3)</f>
        <v/>
      </c>
      <c r="OF3" s="227" t="str">
        <f>IF(NM3="","",NM3)</f>
        <v/>
      </c>
      <c r="OG3" s="103" t="str">
        <f>IF(NN3="","",NN3)</f>
        <v/>
      </c>
      <c r="OH3" s="207" t="s">
        <v>9</v>
      </c>
      <c r="OI3" s="208"/>
      <c r="OJ3" s="209" t="s">
        <v>10</v>
      </c>
      <c r="OK3" s="210"/>
      <c r="OL3" s="101" t="str">
        <f>IF(NS3="","",NS3)</f>
        <v>TPplaques</v>
      </c>
      <c r="OM3" s="102" t="str">
        <f>IF(NT3="","",NT3)</f>
        <v/>
      </c>
      <c r="ON3" s="103" t="str">
        <f>IF(NU3="","",NU3)</f>
        <v>Dsplaques</v>
      </c>
      <c r="OO3" s="185" t="s">
        <v>7</v>
      </c>
      <c r="OP3" s="186"/>
      <c r="OQ3" s="104" t="str">
        <f>IF(NX3="","",NX3)</f>
        <v>TPséismes</v>
      </c>
      <c r="OR3" s="102" t="str">
        <f>IF(NY3="","",NY3)</f>
        <v>Dsséismes</v>
      </c>
      <c r="OS3" s="227" t="str">
        <f>IF(NZ3="","",NZ3)</f>
        <v>TPDMvolc</v>
      </c>
      <c r="OT3" s="103" t="str">
        <f>IF(OA3="","",OA3)</f>
        <v>Dsvolc</v>
      </c>
      <c r="OU3" s="201" t="s">
        <v>8</v>
      </c>
      <c r="OV3" s="202"/>
      <c r="OW3" s="104" t="str">
        <f>IF(OD3="","",OD3)</f>
        <v/>
      </c>
      <c r="OX3" s="102" t="str">
        <f>IF(OE3="","",OE3)</f>
        <v/>
      </c>
      <c r="OY3" s="227" t="str">
        <f>IF(OF3="","",OF3)</f>
        <v/>
      </c>
      <c r="OZ3" s="103" t="str">
        <f>IF(OG3="","",OG3)</f>
        <v/>
      </c>
      <c r="PA3" s="207" t="s">
        <v>9</v>
      </c>
      <c r="PB3" s="208"/>
      <c r="PC3" s="209" t="s">
        <v>10</v>
      </c>
      <c r="PD3" s="210"/>
      <c r="PE3" s="101" t="str">
        <f>IF(OL3="","",OL3)</f>
        <v>TPplaques</v>
      </c>
      <c r="PF3" s="102" t="str">
        <f>IF(OM3="","",OM3)</f>
        <v/>
      </c>
      <c r="PG3" s="103" t="str">
        <f>IF(ON3="","",ON3)</f>
        <v>Dsplaques</v>
      </c>
      <c r="PH3" s="185" t="s">
        <v>7</v>
      </c>
      <c r="PI3" s="186"/>
      <c r="PJ3" s="104" t="str">
        <f>IF(OQ3="","",OQ3)</f>
        <v>TPséismes</v>
      </c>
      <c r="PK3" s="102" t="str">
        <f>IF(OR3="","",OR3)</f>
        <v>Dsséismes</v>
      </c>
      <c r="PL3" s="227" t="str">
        <f>IF(OS3="","",OS3)</f>
        <v>TPDMvolc</v>
      </c>
      <c r="PM3" s="103" t="str">
        <f>IF(OT3="","",OT3)</f>
        <v>Dsvolc</v>
      </c>
      <c r="PN3" s="201" t="s">
        <v>8</v>
      </c>
      <c r="PO3" s="202"/>
      <c r="PP3" s="104" t="str">
        <f>IF(OW3="","",OW3)</f>
        <v/>
      </c>
      <c r="PQ3" s="102" t="str">
        <f>IF(OX3="","",OX3)</f>
        <v/>
      </c>
      <c r="PR3" s="227" t="str">
        <f>IF(OY3="","",OY3)</f>
        <v/>
      </c>
      <c r="PS3" s="103" t="str">
        <f>IF(OZ3="","",OZ3)</f>
        <v/>
      </c>
      <c r="PT3" s="207" t="s">
        <v>9</v>
      </c>
      <c r="PU3" s="208"/>
      <c r="PV3" s="209" t="s">
        <v>10</v>
      </c>
      <c r="PW3" s="210"/>
      <c r="PX3" s="101" t="str">
        <f>IF(PE3="","",PE3)</f>
        <v>TPplaques</v>
      </c>
      <c r="PY3" s="102" t="str">
        <f>IF(PF3="","",PF3)</f>
        <v/>
      </c>
      <c r="PZ3" s="103" t="str">
        <f>IF(PG3="","",PG3)</f>
        <v>Dsplaques</v>
      </c>
      <c r="QA3" s="185" t="s">
        <v>7</v>
      </c>
      <c r="QB3" s="186"/>
      <c r="QC3" s="104" t="str">
        <f>IF(PJ3="","",PJ3)</f>
        <v>TPséismes</v>
      </c>
      <c r="QD3" s="102" t="str">
        <f>IF(PK3="","",PK3)</f>
        <v>Dsséismes</v>
      </c>
      <c r="QE3" s="227" t="str">
        <f>IF(PL3="","",PL3)</f>
        <v>TPDMvolc</v>
      </c>
      <c r="QF3" s="103" t="str">
        <f>IF(PM3="","",PM3)</f>
        <v>Dsvolc</v>
      </c>
      <c r="QG3" s="201" t="s">
        <v>8</v>
      </c>
      <c r="QH3" s="202"/>
      <c r="QI3" s="104" t="str">
        <f>IF(PP3="","",PP3)</f>
        <v/>
      </c>
      <c r="QJ3" s="102" t="str">
        <f>IF(PQ3="","",PQ3)</f>
        <v/>
      </c>
      <c r="QK3" s="227" t="str">
        <f>IF(PR3="","",PR3)</f>
        <v/>
      </c>
      <c r="QL3" s="103" t="str">
        <f>IF(PS3="","",PS3)</f>
        <v/>
      </c>
      <c r="QM3" s="207" t="s">
        <v>9</v>
      </c>
      <c r="QN3" s="208"/>
      <c r="QO3" s="209" t="s">
        <v>10</v>
      </c>
      <c r="QP3" s="210"/>
      <c r="QQ3" s="101" t="str">
        <f>IF(PX3="","",PX3)</f>
        <v>TPplaques</v>
      </c>
      <c r="QR3" s="102" t="str">
        <f>IF(PY3="","",PY3)</f>
        <v/>
      </c>
      <c r="QS3" s="103" t="str">
        <f>IF(PZ3="","",PZ3)</f>
        <v>Dsplaques</v>
      </c>
      <c r="QT3" s="185" t="s">
        <v>7</v>
      </c>
      <c r="QU3" s="186"/>
      <c r="QV3" s="104" t="str">
        <f>IF(QC3="","",QC3)</f>
        <v>TPséismes</v>
      </c>
      <c r="QW3" s="102" t="str">
        <f>IF(QD3="","",QD3)</f>
        <v>Dsséismes</v>
      </c>
      <c r="QX3" s="227" t="str">
        <f>IF(QE3="","",QE3)</f>
        <v>TPDMvolc</v>
      </c>
      <c r="QY3" s="103" t="str">
        <f>IF(QF3="","",QF3)</f>
        <v>Dsvolc</v>
      </c>
      <c r="QZ3" s="201" t="s">
        <v>8</v>
      </c>
      <c r="RA3" s="202"/>
      <c r="RB3" s="104" t="str">
        <f>IF(QI3="","",QI3)</f>
        <v/>
      </c>
      <c r="RC3" s="102" t="str">
        <f>IF(QJ3="","",QJ3)</f>
        <v/>
      </c>
      <c r="RD3" s="227" t="str">
        <f>IF(QK3="","",QK3)</f>
        <v/>
      </c>
      <c r="RE3" s="103" t="str">
        <f>IF(QL3="","",QL3)</f>
        <v/>
      </c>
      <c r="RF3" s="207" t="s">
        <v>9</v>
      </c>
      <c r="RG3" s="208"/>
      <c r="RH3" s="209" t="s">
        <v>10</v>
      </c>
      <c r="RI3" s="210"/>
      <c r="RJ3" s="101" t="str">
        <f>IF(QQ3="","",QQ3)</f>
        <v>TPplaques</v>
      </c>
      <c r="RK3" s="102" t="str">
        <f>IF(QR3="","",QR3)</f>
        <v/>
      </c>
      <c r="RL3" s="103" t="str">
        <f>IF(QS3="","",QS3)</f>
        <v>Dsplaques</v>
      </c>
      <c r="RM3" s="185" t="s">
        <v>7</v>
      </c>
      <c r="RN3" s="186"/>
      <c r="RO3" s="104" t="str">
        <f>IF(QV3="","",QV3)</f>
        <v>TPséismes</v>
      </c>
      <c r="RP3" s="102" t="str">
        <f>IF(QW3="","",QW3)</f>
        <v>Dsséismes</v>
      </c>
      <c r="RQ3" s="227" t="str">
        <f>IF(QX3="","",QX3)</f>
        <v>TPDMvolc</v>
      </c>
      <c r="RR3" s="103" t="s">
        <v>207</v>
      </c>
      <c r="RS3" s="201" t="s">
        <v>8</v>
      </c>
      <c r="RT3" s="202"/>
      <c r="RU3" s="104" t="str">
        <f>IF(RB3="","",RB3)</f>
        <v/>
      </c>
      <c r="RV3" s="102" t="str">
        <f>IF(RC3="","",RC3)</f>
        <v/>
      </c>
      <c r="RW3" s="227" t="str">
        <f>IF(RD3="","",RD3)</f>
        <v/>
      </c>
      <c r="RX3" s="103" t="str">
        <f>IF(RE3="","",RE3)</f>
        <v/>
      </c>
      <c r="RY3" s="207" t="s">
        <v>9</v>
      </c>
      <c r="RZ3" s="208"/>
      <c r="SA3" s="209" t="s">
        <v>10</v>
      </c>
      <c r="SB3" s="210"/>
      <c r="SC3" s="101" t="str">
        <f>IF(RJ3="","",RJ3)</f>
        <v>TPplaques</v>
      </c>
      <c r="SD3" s="102" t="str">
        <f>IF(RK3="","",RK3)</f>
        <v/>
      </c>
      <c r="SE3" s="103" t="str">
        <f>IF(RL3="","",RL3)</f>
        <v>Dsplaques</v>
      </c>
      <c r="SF3" s="185" t="s">
        <v>7</v>
      </c>
      <c r="SG3" s="186"/>
      <c r="SH3" s="104" t="str">
        <f>IF(RO3="","",RO3)</f>
        <v>TPséismes</v>
      </c>
      <c r="SI3" s="102" t="str">
        <f>IF(RP3="","",RP3)</f>
        <v>Dsséismes</v>
      </c>
      <c r="SJ3" s="227" t="str">
        <f>IF(RQ3="","",RQ3)</f>
        <v>TPDMvolc</v>
      </c>
      <c r="SK3" s="103" t="str">
        <f>IF(RR3="","",RR3)</f>
        <v>Dsvolcans</v>
      </c>
      <c r="SL3" s="201" t="s">
        <v>8</v>
      </c>
      <c r="SM3" s="202"/>
      <c r="SN3" s="104" t="str">
        <f>IF(RU3="","",RU3)</f>
        <v/>
      </c>
      <c r="SO3" s="102" t="str">
        <f>IF(RV3="","",RV3)</f>
        <v/>
      </c>
      <c r="SP3" s="227" t="str">
        <f>IF(RW3="","",RW3)</f>
        <v/>
      </c>
      <c r="SQ3" s="103" t="str">
        <f>IF(RX3="","",RX3)</f>
        <v/>
      </c>
      <c r="SR3" s="207" t="s">
        <v>9</v>
      </c>
      <c r="SS3" s="208"/>
      <c r="ST3" s="209" t="s">
        <v>10</v>
      </c>
      <c r="SU3" s="210"/>
      <c r="SV3" s="101" t="str">
        <f>IF(SC3="","",SC3)</f>
        <v>TPplaques</v>
      </c>
      <c r="SW3" s="102" t="str">
        <f>IF(SD3="","",SD3)</f>
        <v/>
      </c>
      <c r="SX3" s="103" t="str">
        <f>IF(SE3="","",SE3)</f>
        <v>Dsplaques</v>
      </c>
      <c r="SY3" s="90" t="s">
        <v>7</v>
      </c>
      <c r="SZ3" s="91"/>
      <c r="TA3" s="104" t="str">
        <f>IF(SH3="","",SH3)</f>
        <v>TPséismes</v>
      </c>
      <c r="TB3" s="102" t="str">
        <f>IF(SI3="","",SI3)</f>
        <v>Dsséismes</v>
      </c>
      <c r="TC3" s="103" t="str">
        <f>IF(SK3="","",SK3)</f>
        <v>Dsvolcans</v>
      </c>
      <c r="TD3" s="94" t="s">
        <v>8</v>
      </c>
      <c r="TE3" s="95"/>
      <c r="TF3" s="104" t="str">
        <f>IF(SN3="","",SN3)</f>
        <v/>
      </c>
      <c r="TG3" s="102" t="str">
        <f>IF(SO3="","",SO3)</f>
        <v/>
      </c>
      <c r="TH3" s="103" t="str">
        <f>IF(SQ3="","",SQ3)</f>
        <v/>
      </c>
      <c r="TI3" s="97" t="s">
        <v>9</v>
      </c>
      <c r="TJ3" s="98"/>
      <c r="TK3" s="99" t="s">
        <v>10</v>
      </c>
      <c r="TL3" s="100"/>
      <c r="TM3" s="101" t="str">
        <f>IF(SV3="","",SV3)</f>
        <v>TPplaques</v>
      </c>
      <c r="TN3" s="102" t="str">
        <f>IF(SW3="","",SW3)</f>
        <v/>
      </c>
      <c r="TO3" s="103" t="str">
        <f>IF(SX3="","",SX3)</f>
        <v>Dsplaques</v>
      </c>
      <c r="TP3" s="90" t="s">
        <v>7</v>
      </c>
      <c r="TQ3" s="91"/>
      <c r="TR3" s="104" t="str">
        <f>IF(TA3="","",TA3)</f>
        <v>TPséismes</v>
      </c>
      <c r="TS3" s="102" t="str">
        <f>IF(TB3="","",TB3)</f>
        <v>Dsséismes</v>
      </c>
      <c r="TT3" s="103" t="str">
        <f>IF(TC3="","",TC3)</f>
        <v>Dsvolcans</v>
      </c>
      <c r="TU3" s="94" t="s">
        <v>8</v>
      </c>
      <c r="TV3" s="95"/>
      <c r="TW3" s="104" t="str">
        <f>IF(TF3="","",TF3)</f>
        <v/>
      </c>
      <c r="TX3" s="102" t="str">
        <f>IF(TG3="","",TG3)</f>
        <v/>
      </c>
      <c r="TY3" s="103" t="str">
        <f>IF(TH3="","",TH3)</f>
        <v/>
      </c>
      <c r="TZ3" s="97" t="s">
        <v>9</v>
      </c>
      <c r="UA3" s="98"/>
      <c r="UB3" s="99" t="s">
        <v>10</v>
      </c>
      <c r="UC3" s="100"/>
      <c r="UD3" s="101" t="str">
        <f>IF(TM3="","",TM3)</f>
        <v>TPplaques</v>
      </c>
      <c r="UE3" s="102" t="str">
        <f>IF(TN3="","",TN3)</f>
        <v/>
      </c>
      <c r="UF3" s="103" t="str">
        <f>IF(TO3="","",TO3)</f>
        <v>Dsplaques</v>
      </c>
      <c r="UG3" s="90" t="s">
        <v>7</v>
      </c>
      <c r="UH3" s="91"/>
      <c r="UI3" s="104" t="str">
        <f>IF(TR3="","",TR3)</f>
        <v>TPséismes</v>
      </c>
      <c r="UJ3" s="102" t="str">
        <f>IF(TS3="","",TS3)</f>
        <v>Dsséismes</v>
      </c>
      <c r="UK3" s="103" t="str">
        <f>IF(TT3="","",TT3)</f>
        <v>Dsvolcans</v>
      </c>
      <c r="UL3" s="94" t="s">
        <v>8</v>
      </c>
      <c r="UM3" s="95"/>
      <c r="UN3" s="104" t="str">
        <f>IF(TW3="","",TW3)</f>
        <v/>
      </c>
      <c r="UO3" s="102" t="str">
        <f>IF(TX3="","",TX3)</f>
        <v/>
      </c>
      <c r="UP3" s="103" t="str">
        <f>IF(TY3="","",TY3)</f>
        <v/>
      </c>
      <c r="UQ3" s="97" t="s">
        <v>9</v>
      </c>
      <c r="UR3" s="98"/>
      <c r="US3" s="99" t="s">
        <v>10</v>
      </c>
      <c r="UT3" s="100"/>
    </row>
    <row r="4" spans="1:566" s="117" customFormat="1" ht="30" customHeight="1" thickBot="1" x14ac:dyDescent="0.3">
      <c r="A4" s="173" t="s">
        <v>11</v>
      </c>
      <c r="B4" s="105">
        <v>2</v>
      </c>
      <c r="C4" s="230"/>
      <c r="D4" s="85"/>
      <c r="E4" s="107"/>
      <c r="F4" s="187">
        <f>IF(COUNT(F5:F9)=0,"",SUM(F5:F9)/COUNT(F5:F9))</f>
        <v>1.9444444444444446</v>
      </c>
      <c r="G4" s="188" t="str">
        <f t="shared" ref="G4:G21" si="0">IF(F4="","",IF(F4&gt;3.7,"A",IF(F4&gt;2.8,"B",IF(F4&gt;1.5,"C",IF(F4&gt;0,"D",IF(F4=0,""))))))</f>
        <v>C</v>
      </c>
      <c r="H4" s="230"/>
      <c r="I4" s="85"/>
      <c r="J4" s="85"/>
      <c r="K4" s="107"/>
      <c r="L4" s="187">
        <f>IF(COUNT(L5:L9)=0,"",SUM(L5:L9)/COUNT(L5:L9))</f>
        <v>1.8055555555555556</v>
      </c>
      <c r="M4" s="203" t="str">
        <f t="shared" ref="M4:M21" si="1">IF(L4="","",IF(L4&gt;3.7,"A",IF(L4&gt;2.8,"B",IF(L4&gt;1.5,"C",IF(L4&gt;0,"D",IF(L4=0,""))))))</f>
        <v>C</v>
      </c>
      <c r="N4" s="181"/>
      <c r="O4" s="112"/>
      <c r="P4" s="112"/>
      <c r="Q4" s="113"/>
      <c r="R4" s="187" t="str">
        <f>IF(COUNT(R5:R9)=0,"",SUM(R5:R9)/COUNT(R5:R9))</f>
        <v/>
      </c>
      <c r="S4" s="211" t="str">
        <f t="shared" ref="S4:S21" si="2">IF(R4="","",IF(R4&gt;3.7,"A",IF(R4&gt;2.8,"B",IF(R4&gt;1.5,"C",IF(R4&gt;0,"D",IF(R4=0,""))))))</f>
        <v/>
      </c>
      <c r="T4" s="212">
        <f>IF(COUNT(T5:T9)=0,"",SUM(T5:T9)/COUNT(T5:T9))</f>
        <v>1.875</v>
      </c>
      <c r="U4" s="213" t="str">
        <f t="shared" ref="U4:U21" si="3">IF(T4="","",IF(T4&gt;3.7,"A",IF(T4&gt;2.8,"B",IF(T4&gt;1.5,"C",IF(T4&gt;0,"D",IF(T4=0,""))))))</f>
        <v>C</v>
      </c>
      <c r="V4" s="230"/>
      <c r="W4" s="85"/>
      <c r="X4" s="107"/>
      <c r="Y4" s="187">
        <f>IF(COUNT(Y5:Y9)=0,"",SUM(Y5:Y9)/COUNT(Y5:Y9))</f>
        <v>1.6666666666666667</v>
      </c>
      <c r="Z4" s="188" t="str">
        <f t="shared" ref="Z4:Z21" si="4">IF(Y4="","",IF(Y4&gt;3.7,"A",IF(Y4&gt;2.8,"B",IF(Y4&gt;1.5,"C",IF(Y4&gt;0,"D",IF(Y4=0,""))))))</f>
        <v>C</v>
      </c>
      <c r="AA4" s="230"/>
      <c r="AB4" s="85"/>
      <c r="AC4" s="85"/>
      <c r="AD4" s="107"/>
      <c r="AE4" s="187">
        <f>IF(COUNT(AE5:AE9)=0,"",SUM(AE5:AE9)/COUNT(AE5:AE9))</f>
        <v>1.8333333333333333</v>
      </c>
      <c r="AF4" s="203" t="str">
        <f t="shared" ref="AF4:AF21" si="5">IF(AE4="","",IF(AE4&gt;3.7,"A",IF(AE4&gt;2.8,"B",IF(AE4&gt;1.5,"C",IF(AE4&gt;0,"D",IF(AE4=0,""))))))</f>
        <v>C</v>
      </c>
      <c r="AG4" s="181"/>
      <c r="AH4" s="112"/>
      <c r="AI4" s="112"/>
      <c r="AJ4" s="113"/>
      <c r="AK4" s="187" t="str">
        <f>IF(COUNT(AK5:AK9)=0,"",SUM(AK5:AK9)/COUNT(AK5:AK9))</f>
        <v/>
      </c>
      <c r="AL4" s="211" t="str">
        <f t="shared" ref="AL4:AL21" si="6">IF(AK4="","",IF(AK4&gt;3.7,"A",IF(AK4&gt;2.8,"B",IF(AK4&gt;1.5,"C",IF(AK4&gt;0,"D",IF(AK4=0,""))))))</f>
        <v/>
      </c>
      <c r="AM4" s="212">
        <f>IF(COUNT(AM5:AM9)=0,"",SUM(AM5:AM9)/COUNT(AM5:AM9))</f>
        <v>1.75</v>
      </c>
      <c r="AN4" s="213" t="str">
        <f t="shared" ref="AN4:AN21" si="7">IF(AM4="","",IF(AM4&gt;3.7,"A",IF(AM4&gt;2.8,"B",IF(AM4&gt;1.5,"C",IF(AM4&gt;0,"D",IF(AM4=0,""))))))</f>
        <v>C</v>
      </c>
      <c r="AO4" s="230"/>
      <c r="AP4" s="85"/>
      <c r="AQ4" s="107"/>
      <c r="AR4" s="187">
        <f>IF(COUNT(AR5:AR9)=0,"",SUM(AR5:AR9)/COUNT(AR5:AR9))</f>
        <v>2.0555555555555554</v>
      </c>
      <c r="AS4" s="188" t="str">
        <f t="shared" ref="AS4:AS21" si="8">IF(AR4="","",IF(AR4&gt;3.7,"A",IF(AR4&gt;2.8,"B",IF(AR4&gt;1.5,"C",IF(AR4&gt;0,"D",IF(AR4=0,""))))))</f>
        <v>C</v>
      </c>
      <c r="AT4" s="230"/>
      <c r="AU4" s="85"/>
      <c r="AV4" s="85"/>
      <c r="AW4" s="107"/>
      <c r="AX4" s="187">
        <f>IF(COUNT(AX5:AX9)=0,"",SUM(AX5:AX9)/COUNT(AX5:AX9))</f>
        <v>2.0277777777777781</v>
      </c>
      <c r="AY4" s="203" t="str">
        <f t="shared" ref="AY4:AY21" si="9">IF(AX4="","",IF(AX4&gt;3.7,"A",IF(AX4&gt;2.8,"B",IF(AX4&gt;1.5,"C",IF(AX4&gt;0,"D",IF(AX4=0,""))))))</f>
        <v>C</v>
      </c>
      <c r="AZ4" s="181"/>
      <c r="BA4" s="112"/>
      <c r="BB4" s="112"/>
      <c r="BC4" s="113"/>
      <c r="BD4" s="187" t="str">
        <f>IF(COUNT(BD5:BD9)=0,"",SUM(BD5:BD9)/COUNT(BD5:BD9))</f>
        <v/>
      </c>
      <c r="BE4" s="211" t="str">
        <f t="shared" ref="BE4:BE21" si="10">IF(BD4="","",IF(BD4&gt;3.7,"A",IF(BD4&gt;2.8,"B",IF(BD4&gt;1.5,"C",IF(BD4&gt;0,"D",IF(BD4=0,""))))))</f>
        <v/>
      </c>
      <c r="BF4" s="212">
        <f>IF(COUNT(BF5:BF9)=0,"",SUM(BF5:BF9)/COUNT(BF5:BF9))</f>
        <v>2.0416666666666665</v>
      </c>
      <c r="BG4" s="213" t="str">
        <f t="shared" ref="BG4:BG21" si="11">IF(BF4="","",IF(BF4&gt;3.7,"A",IF(BF4&gt;2.8,"B",IF(BF4&gt;1.5,"C",IF(BF4&gt;0,"D",IF(BF4=0,""))))))</f>
        <v>C</v>
      </c>
      <c r="BH4" s="230"/>
      <c r="BI4" s="85"/>
      <c r="BJ4" s="107"/>
      <c r="BK4" s="187">
        <f>IF(COUNT(BK5:BK9)=0,"",SUM(BK5:BK9)/COUNT(BK5:BK9))</f>
        <v>1.6111111111111114</v>
      </c>
      <c r="BL4" s="188" t="str">
        <f t="shared" ref="BL4:BL21" si="12">IF(BK4="","",IF(BK4&gt;3.7,"A",IF(BK4&gt;2.8,"B",IF(BK4&gt;1.5,"C",IF(BK4&gt;0,"D",IF(BK4=0,""))))))</f>
        <v>C</v>
      </c>
      <c r="BM4" s="230"/>
      <c r="BN4" s="85"/>
      <c r="BO4" s="85"/>
      <c r="BP4" s="107"/>
      <c r="BQ4" s="187">
        <f>IF(COUNT(BQ5:BQ9)=0,"",SUM(BQ5:BQ9)/COUNT(BQ5:BQ9))</f>
        <v>2.1111111111111112</v>
      </c>
      <c r="BR4" s="203" t="str">
        <f t="shared" ref="BR4:BR21" si="13">IF(BQ4="","",IF(BQ4&gt;3.7,"A",IF(BQ4&gt;2.8,"B",IF(BQ4&gt;1.5,"C",IF(BQ4&gt;0,"D",IF(BQ4=0,""))))))</f>
        <v>C</v>
      </c>
      <c r="BS4" s="181"/>
      <c r="BT4" s="112"/>
      <c r="BU4" s="112"/>
      <c r="BV4" s="113"/>
      <c r="BW4" s="187" t="str">
        <f>IF(COUNT(BW5:BW9)=0,"",SUM(BW5:BW9)/COUNT(BW5:BW9))</f>
        <v/>
      </c>
      <c r="BX4" s="211" t="str">
        <f t="shared" ref="BX4:BX21" si="14">IF(BW4="","",IF(BW4&gt;3.7,"A",IF(BW4&gt;2.8,"B",IF(BW4&gt;1.5,"C",IF(BW4&gt;0,"D",IF(BW4=0,""))))))</f>
        <v/>
      </c>
      <c r="BY4" s="212">
        <f>IF(COUNT(BY5:BY9)=0,"",SUM(BY5:BY9)/COUNT(BY5:BY9))</f>
        <v>1.8611111111111114</v>
      </c>
      <c r="BZ4" s="213" t="str">
        <f t="shared" ref="BZ4:BZ21" si="15">IF(BY4="","",IF(BY4&gt;3.7,"A",IF(BY4&gt;2.8,"B",IF(BY4&gt;1.5,"C",IF(BY4&gt;0,"D",IF(BY4=0,""))))))</f>
        <v>C</v>
      </c>
      <c r="CA4" s="230"/>
      <c r="CB4" s="85"/>
      <c r="CC4" s="107"/>
      <c r="CD4" s="187">
        <f>IF(COUNT(CD5:CD9)=0,"",SUM(CD5:CD9)/COUNT(CD5:CD9))</f>
        <v>2.6666666666666665</v>
      </c>
      <c r="CE4" s="188" t="str">
        <f t="shared" ref="CE4:CE21" si="16">IF(CD4="","",IF(CD4&gt;3.7,"A",IF(CD4&gt;2.8,"B",IF(CD4&gt;1.5,"C",IF(CD4&gt;0,"D",IF(CD4=0,""))))))</f>
        <v>C</v>
      </c>
      <c r="CF4" s="230"/>
      <c r="CG4" s="85"/>
      <c r="CH4" s="85"/>
      <c r="CI4" s="107"/>
      <c r="CJ4" s="187">
        <f>IF(COUNT(CJ5:CJ9)=0,"",SUM(CJ5:CJ9)/COUNT(CJ5:CJ9))</f>
        <v>2.75</v>
      </c>
      <c r="CK4" s="203" t="str">
        <f t="shared" ref="CK4:CK21" si="17">IF(CJ4="","",IF(CJ4&gt;3.7,"A",IF(CJ4&gt;2.8,"B",IF(CJ4&gt;1.5,"C",IF(CJ4&gt;0,"D",IF(CJ4=0,""))))))</f>
        <v>C</v>
      </c>
      <c r="CL4" s="181"/>
      <c r="CM4" s="112"/>
      <c r="CN4" s="112"/>
      <c r="CO4" s="113"/>
      <c r="CP4" s="187" t="str">
        <f>IF(COUNT(CP5:CP9)=0,"",SUM(CP5:CP9)/COUNT(CP5:CP9))</f>
        <v/>
      </c>
      <c r="CQ4" s="211" t="str">
        <f t="shared" ref="CQ4:CQ21" si="18">IF(CP4="","",IF(CP4&gt;3.7,"A",IF(CP4&gt;2.8,"B",IF(CP4&gt;1.5,"C",IF(CP4&gt;0,"D",IF(CP4=0,""))))))</f>
        <v/>
      </c>
      <c r="CR4" s="212">
        <f>IF(COUNT(CR5:CR9)=0,"",SUM(CR5:CR9)/COUNT(CR5:CR9))</f>
        <v>2.7083333333333335</v>
      </c>
      <c r="CS4" s="213" t="str">
        <f t="shared" ref="CS4:CS21" si="19">IF(CR4="","",IF(CR4&gt;3.7,"A",IF(CR4&gt;2.8,"B",IF(CR4&gt;1.5,"C",IF(CR4&gt;0,"D",IF(CR4=0,""))))))</f>
        <v>C</v>
      </c>
      <c r="CT4" s="230"/>
      <c r="CU4" s="85"/>
      <c r="CV4" s="107"/>
      <c r="CW4" s="187">
        <f>IF(COUNT(CW5:CW9)=0,"",SUM(CW5:CW9)/COUNT(CW5:CW9))</f>
        <v>2.4444444444444446</v>
      </c>
      <c r="CX4" s="188" t="str">
        <f t="shared" ref="CX4:CX21" si="20">IF(CW4="","",IF(CW4&gt;3.7,"A",IF(CW4&gt;2.8,"B",IF(CW4&gt;1.5,"C",IF(CW4&gt;0,"D",IF(CW4=0,""))))))</f>
        <v>C</v>
      </c>
      <c r="CY4" s="230"/>
      <c r="CZ4" s="85"/>
      <c r="DA4" s="85"/>
      <c r="DB4" s="107"/>
      <c r="DC4" s="187">
        <f>IF(COUNT(DC5:DC9)=0,"",SUM(DC5:DC9)/COUNT(DC5:DC9))</f>
        <v>1.8333333333333333</v>
      </c>
      <c r="DD4" s="203" t="str">
        <f t="shared" ref="DD4:DD21" si="21">IF(DC4="","",IF(DC4&gt;3.7,"A",IF(DC4&gt;2.8,"B",IF(DC4&gt;1.5,"C",IF(DC4&gt;0,"D",IF(DC4=0,""))))))</f>
        <v>C</v>
      </c>
      <c r="DE4" s="181"/>
      <c r="DF4" s="112"/>
      <c r="DG4" s="112"/>
      <c r="DH4" s="113"/>
      <c r="DI4" s="187" t="str">
        <f>IF(COUNT(DI5:DI9)=0,"",SUM(DI5:DI9)/COUNT(DI5:DI9))</f>
        <v/>
      </c>
      <c r="DJ4" s="211" t="str">
        <f t="shared" ref="DJ4:DJ21" si="22">IF(DI4="","",IF(DI4&gt;3.7,"A",IF(DI4&gt;2.8,"B",IF(DI4&gt;1.5,"C",IF(DI4&gt;0,"D",IF(DI4=0,""))))))</f>
        <v/>
      </c>
      <c r="DK4" s="212">
        <f>IF(COUNT(DK5:DK9)=0,"",SUM(DK5:DK9)/COUNT(DK5:DK9))</f>
        <v>2.1388888888888888</v>
      </c>
      <c r="DL4" s="213" t="str">
        <f t="shared" ref="DL4:DL21" si="23">IF(DK4="","",IF(DK4&gt;3.7,"A",IF(DK4&gt;2.8,"B",IF(DK4&gt;1.5,"C",IF(DK4&gt;0,"D",IF(DK4=0,""))))))</f>
        <v>C</v>
      </c>
      <c r="DM4" s="230"/>
      <c r="DN4" s="85"/>
      <c r="DO4" s="107"/>
      <c r="DP4" s="187">
        <f>IF(COUNT(DP5:DP9)=0,"",SUM(DP5:DP9)/COUNT(DP5:DP9))</f>
        <v>2.5555555555555558</v>
      </c>
      <c r="DQ4" s="188" t="str">
        <f t="shared" ref="DQ4:DQ21" si="24">IF(DP4="","",IF(DP4&gt;3.7,"A",IF(DP4&gt;2.8,"B",IF(DP4&gt;1.5,"C",IF(DP4&gt;0,"D",IF(DP4=0,""))))))</f>
        <v>C</v>
      </c>
      <c r="DR4" s="230"/>
      <c r="DS4" s="85"/>
      <c r="DT4" s="85"/>
      <c r="DU4" s="107"/>
      <c r="DV4" s="187">
        <f>IF(COUNT(DV5:DV9)=0,"",SUM(DV5:DV9)/COUNT(DV5:DV9))</f>
        <v>2.1111111111111112</v>
      </c>
      <c r="DW4" s="203" t="str">
        <f t="shared" ref="DW4:DW21" si="25">IF(DV4="","",IF(DV4&gt;3.7,"A",IF(DV4&gt;2.8,"B",IF(DV4&gt;1.5,"C",IF(DV4&gt;0,"D",IF(DV4=0,""))))))</f>
        <v>C</v>
      </c>
      <c r="DX4" s="181"/>
      <c r="DY4" s="112"/>
      <c r="DZ4" s="112"/>
      <c r="EA4" s="113"/>
      <c r="EB4" s="187" t="str">
        <f>IF(COUNT(EB5:EB9)=0,"",SUM(EB5:EB9)/COUNT(EB5:EB9))</f>
        <v/>
      </c>
      <c r="EC4" s="211" t="str">
        <f t="shared" ref="EC4:EC21" si="26">IF(EB4="","",IF(EB4&gt;3.7,"A",IF(EB4&gt;2.8,"B",IF(EB4&gt;1.5,"C",IF(EB4&gt;0,"D",IF(EB4=0,""))))))</f>
        <v/>
      </c>
      <c r="ED4" s="212">
        <f>IF(COUNT(ED5:ED9)=0,"",SUM(ED5:ED9)/COUNT(ED5:ED9))</f>
        <v>2.3333333333333335</v>
      </c>
      <c r="EE4" s="213" t="str">
        <f t="shared" ref="EE4:EE21" si="27">IF(ED4="","",IF(ED4&gt;3.7,"A",IF(ED4&gt;2.8,"B",IF(ED4&gt;1.5,"C",IF(ED4&gt;0,"D",IF(ED4=0,""))))))</f>
        <v>C</v>
      </c>
      <c r="EF4" s="230"/>
      <c r="EG4" s="85"/>
      <c r="EH4" s="107"/>
      <c r="EI4" s="187">
        <f>IF(COUNT(EI5:EI9)=0,"",SUM(EI5:EI9)/COUNT(EI5:EI9))</f>
        <v>3.0555555555555558</v>
      </c>
      <c r="EJ4" s="188" t="str">
        <f t="shared" ref="EJ4:EJ21" si="28">IF(EI4="","",IF(EI4&gt;3.7,"A",IF(EI4&gt;2.8,"B",IF(EI4&gt;1.5,"C",IF(EI4&gt;0,"D",IF(EI4=0,""))))))</f>
        <v>B</v>
      </c>
      <c r="EK4" s="230"/>
      <c r="EL4" s="85"/>
      <c r="EM4" s="85"/>
      <c r="EN4" s="107"/>
      <c r="EO4" s="187">
        <f>IF(COUNT(EO5:EO9)=0,"",SUM(EO5:EO9)/COUNT(EO5:EO9))</f>
        <v>2.9444444444444446</v>
      </c>
      <c r="EP4" s="203" t="str">
        <f t="shared" ref="EP4:EP21" si="29">IF(EO4="","",IF(EO4&gt;3.7,"A",IF(EO4&gt;2.8,"B",IF(EO4&gt;1.5,"C",IF(EO4&gt;0,"D",IF(EO4=0,""))))))</f>
        <v>B</v>
      </c>
      <c r="EQ4" s="181"/>
      <c r="ER4" s="112"/>
      <c r="ES4" s="112"/>
      <c r="ET4" s="113"/>
      <c r="EU4" s="187" t="str">
        <f>IF(COUNT(EU5:EU9)=0,"",SUM(EU5:EU9)/COUNT(EU5:EU9))</f>
        <v/>
      </c>
      <c r="EV4" s="211" t="str">
        <f t="shared" ref="EV4:EV21" si="30">IF(EU4="","",IF(EU4&gt;3.7,"A",IF(EU4&gt;2.8,"B",IF(EU4&gt;1.5,"C",IF(EU4&gt;0,"D",IF(EU4=0,""))))))</f>
        <v/>
      </c>
      <c r="EW4" s="212">
        <f>IF(COUNT(EW5:EW9)=0,"",SUM(EW5:EW9)/COUNT(EW5:EW9))</f>
        <v>3</v>
      </c>
      <c r="EX4" s="213" t="str">
        <f t="shared" ref="EX4:EX21" si="31">IF(EW4="","",IF(EW4&gt;3.7,"A",IF(EW4&gt;2.8,"B",IF(EW4&gt;1.5,"C",IF(EW4&gt;0,"D",IF(EW4=0,""))))))</f>
        <v>B</v>
      </c>
      <c r="EY4" s="230"/>
      <c r="EZ4" s="85"/>
      <c r="FA4" s="107"/>
      <c r="FB4" s="187">
        <f>IF(COUNT(FB5:FB9)=0,"",SUM(FB5:FB9)/COUNT(FB5:FB9))</f>
        <v>1.7777777777777779</v>
      </c>
      <c r="FC4" s="188" t="str">
        <f t="shared" ref="FC4:FC21" si="32">IF(FB4="","",IF(FB4&gt;3.7,"A",IF(FB4&gt;2.8,"B",IF(FB4&gt;1.5,"C",IF(FB4&gt;0,"D",IF(FB4=0,""))))))</f>
        <v>C</v>
      </c>
      <c r="FD4" s="230"/>
      <c r="FE4" s="85"/>
      <c r="FF4" s="85"/>
      <c r="FG4" s="107"/>
      <c r="FH4" s="187">
        <f>IF(COUNT(FH5:FH9)=0,"",SUM(FH5:FH9)/COUNT(FH5:FH9))</f>
        <v>2.2222222222222219</v>
      </c>
      <c r="FI4" s="203" t="str">
        <f t="shared" ref="FI4:FI21" si="33">IF(FH4="","",IF(FH4&gt;3.7,"A",IF(FH4&gt;2.8,"B",IF(FH4&gt;1.5,"C",IF(FH4&gt;0,"D",IF(FH4=0,""))))))</f>
        <v>C</v>
      </c>
      <c r="FJ4" s="181"/>
      <c r="FK4" s="112"/>
      <c r="FL4" s="112"/>
      <c r="FM4" s="113"/>
      <c r="FN4" s="187" t="str">
        <f>IF(COUNT(FN5:FN9)=0,"",SUM(FN5:FN9)/COUNT(FN5:FN9))</f>
        <v/>
      </c>
      <c r="FO4" s="211" t="str">
        <f t="shared" ref="FO4:FO21" si="34">IF(FN4="","",IF(FN4&gt;3.7,"A",IF(FN4&gt;2.8,"B",IF(FN4&gt;1.5,"C",IF(FN4&gt;0,"D",IF(FN4=0,""))))))</f>
        <v/>
      </c>
      <c r="FP4" s="212">
        <f>IF(COUNT(FP5:FP9)=0,"",SUM(FP5:FP9)/COUNT(FP5:FP9))</f>
        <v>2</v>
      </c>
      <c r="FQ4" s="213" t="str">
        <f t="shared" ref="FQ4:FQ21" si="35">IF(FP4="","",IF(FP4&gt;3.7,"A",IF(FP4&gt;2.8,"B",IF(FP4&gt;1.5,"C",IF(FP4&gt;0,"D",IF(FP4=0,""))))))</f>
        <v>C</v>
      </c>
      <c r="FR4" s="230"/>
      <c r="FS4" s="85"/>
      <c r="FT4" s="107"/>
      <c r="FU4" s="187">
        <f>IF(COUNT(FU5:FU9)=0,"",SUM(FU5:FU9)/COUNT(FU5:FU9))</f>
        <v>1.8888888888888891</v>
      </c>
      <c r="FV4" s="188" t="str">
        <f t="shared" ref="FV4:FV21" si="36">IF(FU4="","",IF(FU4&gt;3.7,"A",IF(FU4&gt;2.8,"B",IF(FU4&gt;1.5,"C",IF(FU4&gt;0,"D",IF(FU4=0,""))))))</f>
        <v>C</v>
      </c>
      <c r="FW4" s="230"/>
      <c r="FX4" s="85"/>
      <c r="FY4" s="85"/>
      <c r="FZ4" s="107"/>
      <c r="GA4" s="187">
        <f>IF(COUNT(GA5:GA9)=0,"",SUM(GA5:GA9)/COUNT(GA5:GA9))</f>
        <v>2.4444444444444446</v>
      </c>
      <c r="GB4" s="203" t="str">
        <f t="shared" ref="GB4:GB21" si="37">IF(GA4="","",IF(GA4&gt;3.7,"A",IF(GA4&gt;2.8,"B",IF(GA4&gt;1.5,"C",IF(GA4&gt;0,"D",IF(GA4=0,""))))))</f>
        <v>C</v>
      </c>
      <c r="GC4" s="181"/>
      <c r="GD4" s="112"/>
      <c r="GE4" s="112"/>
      <c r="GF4" s="113"/>
      <c r="GG4" s="187" t="str">
        <f>IF(COUNT(GG5:GG9)=0,"",SUM(GG5:GG9)/COUNT(GG5:GG9))</f>
        <v/>
      </c>
      <c r="GH4" s="211" t="str">
        <f t="shared" ref="GH4:GH21" si="38">IF(GG4="","",IF(GG4&gt;3.7,"A",IF(GG4&gt;2.8,"B",IF(GG4&gt;1.5,"C",IF(GG4&gt;0,"D",IF(GG4=0,""))))))</f>
        <v/>
      </c>
      <c r="GI4" s="212">
        <f>IF(COUNT(GI5:GI9)=0,"",SUM(GI5:GI9)/COUNT(GI5:GI9))</f>
        <v>2.1666666666666665</v>
      </c>
      <c r="GJ4" s="213" t="str">
        <f t="shared" ref="GJ4:GJ21" si="39">IF(GI4="","",IF(GI4&gt;3.7,"A",IF(GI4&gt;2.8,"B",IF(GI4&gt;1.5,"C",IF(GI4&gt;0,"D",IF(GI4=0,""))))))</f>
        <v>C</v>
      </c>
      <c r="GK4" s="230"/>
      <c r="GL4" s="85"/>
      <c r="GM4" s="107"/>
      <c r="GN4" s="187">
        <f>IF(COUNT(GN5:GN9)=0,"",SUM(GN5:GN9)/COUNT(GN5:GN9))</f>
        <v>1.6111111111111109</v>
      </c>
      <c r="GO4" s="188" t="str">
        <f t="shared" ref="GO4:GO21" si="40">IF(GN4="","",IF(GN4&gt;3.7,"A",IF(GN4&gt;2.8,"B",IF(GN4&gt;1.5,"C",IF(GN4&gt;0,"D",IF(GN4=0,""))))))</f>
        <v>C</v>
      </c>
      <c r="GP4" s="230"/>
      <c r="GQ4" s="85"/>
      <c r="GR4" s="85"/>
      <c r="GS4" s="107"/>
      <c r="GT4" s="187">
        <f>IF(COUNT(GT5:GT9)=0,"",SUM(GT5:GT9)/COUNT(GT5:GT9))</f>
        <v>2.1944444444444446</v>
      </c>
      <c r="GU4" s="203" t="str">
        <f t="shared" ref="GU4:GU21" si="41">IF(GT4="","",IF(GT4&gt;3.7,"A",IF(GT4&gt;2.8,"B",IF(GT4&gt;1.5,"C",IF(GT4&gt;0,"D",IF(GT4=0,""))))))</f>
        <v>C</v>
      </c>
      <c r="GV4" s="181"/>
      <c r="GW4" s="112"/>
      <c r="GX4" s="112"/>
      <c r="GY4" s="113"/>
      <c r="GZ4" s="187" t="str">
        <f>IF(COUNT(GZ5:GZ9)=0,"",SUM(GZ5:GZ9)/COUNT(GZ5:GZ9))</f>
        <v/>
      </c>
      <c r="HA4" s="211" t="str">
        <f t="shared" ref="HA4:HA21" si="42">IF(GZ4="","",IF(GZ4&gt;3.7,"A",IF(GZ4&gt;2.8,"B",IF(GZ4&gt;1.5,"C",IF(GZ4&gt;0,"D",IF(GZ4=0,""))))))</f>
        <v/>
      </c>
      <c r="HB4" s="212">
        <f>IF(COUNT(HB5:HB9)=0,"",SUM(HB5:HB9)/COUNT(HB5:HB9))</f>
        <v>1.9027777777777777</v>
      </c>
      <c r="HC4" s="213" t="str">
        <f t="shared" ref="HC4:HC21" si="43">IF(HB4="","",IF(HB4&gt;3.7,"A",IF(HB4&gt;2.8,"B",IF(HB4&gt;1.5,"C",IF(HB4&gt;0,"D",IF(HB4=0,""))))))</f>
        <v>C</v>
      </c>
      <c r="HD4" s="230"/>
      <c r="HE4" s="85"/>
      <c r="HF4" s="107"/>
      <c r="HG4" s="187">
        <f>IF(COUNT(HG5:HG9)=0,"",SUM(HG5:HG9)/COUNT(HG5:HG9))</f>
        <v>2.3333333333333335</v>
      </c>
      <c r="HH4" s="188" t="str">
        <f t="shared" ref="HH4:HH21" si="44">IF(HG4="","",IF(HG4&gt;3.7,"A",IF(HG4&gt;2.8,"B",IF(HG4&gt;1.5,"C",IF(HG4&gt;0,"D",IF(HG4=0,""))))))</f>
        <v>C</v>
      </c>
      <c r="HI4" s="230"/>
      <c r="HJ4" s="85"/>
      <c r="HK4" s="85"/>
      <c r="HL4" s="107"/>
      <c r="HM4" s="187">
        <f>IF(COUNT(HM5:HM9)=0,"",SUM(HM5:HM9)/COUNT(HM5:HM9))</f>
        <v>2.1944444444444446</v>
      </c>
      <c r="HN4" s="203" t="str">
        <f t="shared" ref="HN4:HN21" si="45">IF(HM4="","",IF(HM4&gt;3.7,"A",IF(HM4&gt;2.8,"B",IF(HM4&gt;1.5,"C",IF(HM4&gt;0,"D",IF(HM4=0,""))))))</f>
        <v>C</v>
      </c>
      <c r="HO4" s="181"/>
      <c r="HP4" s="112"/>
      <c r="HQ4" s="112"/>
      <c r="HR4" s="113"/>
      <c r="HS4" s="187" t="str">
        <f>IF(COUNT(HS5:HS9)=0,"",SUM(HS5:HS9)/COUNT(HS5:HS9))</f>
        <v/>
      </c>
      <c r="HT4" s="211" t="str">
        <f t="shared" ref="HT4:HT21" si="46">IF(HS4="","",IF(HS4&gt;3.7,"A",IF(HS4&gt;2.8,"B",IF(HS4&gt;1.5,"C",IF(HS4&gt;0,"D",IF(HS4=0,""))))))</f>
        <v/>
      </c>
      <c r="HU4" s="212">
        <f>IF(COUNT(HU5:HU9)=0,"",SUM(HU5:HU9)/COUNT(HU5:HU9))</f>
        <v>2.2638888888888888</v>
      </c>
      <c r="HV4" s="213" t="str">
        <f t="shared" ref="HV4:HV21" si="47">IF(HU4="","",IF(HU4&gt;3.7,"A",IF(HU4&gt;2.8,"B",IF(HU4&gt;1.5,"C",IF(HU4&gt;0,"D",IF(HU4=0,""))))))</f>
        <v>C</v>
      </c>
      <c r="HW4" s="230"/>
      <c r="HX4" s="85"/>
      <c r="HY4" s="107"/>
      <c r="HZ4" s="187">
        <f>IF(COUNT(HZ5:HZ9)=0,"",SUM(HZ5:HZ9)/COUNT(HZ5:HZ9))</f>
        <v>2.0555555555555554</v>
      </c>
      <c r="IA4" s="188" t="str">
        <f t="shared" ref="IA4:IA21" si="48">IF(HZ4="","",IF(HZ4&gt;3.7,"A",IF(HZ4&gt;2.8,"B",IF(HZ4&gt;1.5,"C",IF(HZ4&gt;0,"D",IF(HZ4=0,""))))))</f>
        <v>C</v>
      </c>
      <c r="IB4" s="230"/>
      <c r="IC4" s="85"/>
      <c r="ID4" s="85"/>
      <c r="IE4" s="107"/>
      <c r="IF4" s="187">
        <f>IF(COUNT(IF5:IF9)=0,"",SUM(IF5:IF9)/COUNT(IF5:IF9))</f>
        <v>1.8888888888888886</v>
      </c>
      <c r="IG4" s="203" t="str">
        <f t="shared" ref="IG4:IG21" si="49">IF(IF4="","",IF(IF4&gt;3.7,"A",IF(IF4&gt;2.8,"B",IF(IF4&gt;1.5,"C",IF(IF4&gt;0,"D",IF(IF4=0,""))))))</f>
        <v>C</v>
      </c>
      <c r="IH4" s="181"/>
      <c r="II4" s="112"/>
      <c r="IJ4" s="112"/>
      <c r="IK4" s="113"/>
      <c r="IL4" s="187" t="str">
        <f>IF(COUNT(IL5:IL9)=0,"",SUM(IL5:IL9)/COUNT(IL5:IL9))</f>
        <v/>
      </c>
      <c r="IM4" s="211" t="str">
        <f t="shared" ref="IM4:IM21" si="50">IF(IL4="","",IF(IL4&gt;3.7,"A",IF(IL4&gt;2.8,"B",IF(IL4&gt;1.5,"C",IF(IL4&gt;0,"D",IF(IL4=0,""))))))</f>
        <v/>
      </c>
      <c r="IN4" s="212">
        <f>IF(COUNT(IN5:IN9)=0,"",SUM(IN5:IN9)/COUNT(IN5:IN9))</f>
        <v>1.9722222222222221</v>
      </c>
      <c r="IO4" s="213" t="str">
        <f t="shared" ref="IO4:IO21" si="51">IF(IN4="","",IF(IN4&gt;3.7,"A",IF(IN4&gt;2.8,"B",IF(IN4&gt;1.5,"C",IF(IN4&gt;0,"D",IF(IN4=0,""))))))</f>
        <v>C</v>
      </c>
      <c r="IP4" s="230"/>
      <c r="IQ4" s="85"/>
      <c r="IR4" s="107"/>
      <c r="IS4" s="187">
        <f>IF(COUNT(IS5:IS9)=0,"",SUM(IS5:IS9)/COUNT(IS5:IS9))</f>
        <v>3.5555555555555554</v>
      </c>
      <c r="IT4" s="188" t="str">
        <f t="shared" ref="IT4:IT21" si="52">IF(IS4="","",IF(IS4&gt;3.7,"A",IF(IS4&gt;2.8,"B",IF(IS4&gt;1.5,"C",IF(IS4&gt;0,"D",IF(IS4=0,""))))))</f>
        <v>B</v>
      </c>
      <c r="IU4" s="230"/>
      <c r="IV4" s="85"/>
      <c r="IW4" s="85"/>
      <c r="IX4" s="107"/>
      <c r="IY4" s="187">
        <f>IF(COUNT(IY5:IY9)=0,"",SUM(IY5:IY9)/COUNT(IY5:IY9))</f>
        <v>3.0555555555555554</v>
      </c>
      <c r="IZ4" s="203" t="str">
        <f t="shared" ref="IZ4:IZ21" si="53">IF(IY4="","",IF(IY4&gt;3.7,"A",IF(IY4&gt;2.8,"B",IF(IY4&gt;1.5,"C",IF(IY4&gt;0,"D",IF(IY4=0,""))))))</f>
        <v>B</v>
      </c>
      <c r="JA4" s="181"/>
      <c r="JB4" s="112"/>
      <c r="JC4" s="112"/>
      <c r="JD4" s="113"/>
      <c r="JE4" s="187" t="str">
        <f>IF(COUNT(JE5:JE9)=0,"",SUM(JE5:JE9)/COUNT(JE5:JE9))</f>
        <v/>
      </c>
      <c r="JF4" s="211" t="str">
        <f t="shared" ref="JF4:JF21" si="54">IF(JE4="","",IF(JE4&gt;3.7,"A",IF(JE4&gt;2.8,"B",IF(JE4&gt;1.5,"C",IF(JE4&gt;0,"D",IF(JE4=0,""))))))</f>
        <v/>
      </c>
      <c r="JG4" s="212">
        <f>IF(COUNT(JG5:JG9)=0,"",SUM(JG5:JG9)/COUNT(JG5:JG9))</f>
        <v>3.3055555555555554</v>
      </c>
      <c r="JH4" s="213" t="str">
        <f t="shared" ref="JH4:JH21" si="55">IF(JG4="","",IF(JG4&gt;3.7,"A",IF(JG4&gt;2.8,"B",IF(JG4&gt;1.5,"C",IF(JG4&gt;0,"D",IF(JG4=0,""))))))</f>
        <v>B</v>
      </c>
      <c r="JI4" s="230"/>
      <c r="JJ4" s="85"/>
      <c r="JK4" s="107"/>
      <c r="JL4" s="187">
        <f>IF(COUNT(JL5:JL9)=0,"",SUM(JL5:JL9)/COUNT(JL5:JL9))</f>
        <v>2.1111111111111112</v>
      </c>
      <c r="JM4" s="188" t="str">
        <f t="shared" ref="JM4:JM21" si="56">IF(JL4="","",IF(JL4&gt;3.7,"A",IF(JL4&gt;2.8,"B",IF(JL4&gt;1.5,"C",IF(JL4&gt;0,"D",IF(JL4=0,""))))))</f>
        <v>C</v>
      </c>
      <c r="JN4" s="230"/>
      <c r="JO4" s="85"/>
      <c r="JP4" s="85"/>
      <c r="JQ4" s="107"/>
      <c r="JR4" s="187">
        <f>IF(COUNT(JR5:JR9)=0,"",SUM(JR5:JR9)/COUNT(JR5:JR9))</f>
        <v>2.8888888888888888</v>
      </c>
      <c r="JS4" s="203" t="str">
        <f t="shared" ref="JS4:JS21" si="57">IF(JR4="","",IF(JR4&gt;3.7,"A",IF(JR4&gt;2.8,"B",IF(JR4&gt;1.5,"C",IF(JR4&gt;0,"D",IF(JR4=0,""))))))</f>
        <v>B</v>
      </c>
      <c r="JT4" s="181"/>
      <c r="JU4" s="112"/>
      <c r="JV4" s="112"/>
      <c r="JW4" s="113"/>
      <c r="JX4" s="187" t="str">
        <f>IF(COUNT(JX5:JX9)=0,"",SUM(JX5:JX9)/COUNT(JX5:JX9))</f>
        <v/>
      </c>
      <c r="JY4" s="211" t="str">
        <f t="shared" ref="JY4:JY21" si="58">IF(JX4="","",IF(JX4&gt;3.7,"A",IF(JX4&gt;2.8,"B",IF(JX4&gt;1.5,"C",IF(JX4&gt;0,"D",IF(JX4=0,""))))))</f>
        <v/>
      </c>
      <c r="JZ4" s="212">
        <f>IF(COUNT(JZ5:JZ9)=0,"",SUM(JZ5:JZ9)/COUNT(JZ5:JZ9))</f>
        <v>2.5</v>
      </c>
      <c r="KA4" s="213" t="str">
        <f t="shared" ref="KA4:KA21" si="59">IF(JZ4="","",IF(JZ4&gt;3.7,"A",IF(JZ4&gt;2.8,"B",IF(JZ4&gt;1.5,"C",IF(JZ4&gt;0,"D",IF(JZ4=0,""))))))</f>
        <v>C</v>
      </c>
      <c r="KB4" s="230"/>
      <c r="KC4" s="85"/>
      <c r="KD4" s="107"/>
      <c r="KE4" s="187">
        <f>IF(COUNT(KE5:KE9)=0,"",SUM(KE5:KE9)/COUNT(KE5:KE9))</f>
        <v>2.4444444444444446</v>
      </c>
      <c r="KF4" s="188" t="str">
        <f t="shared" ref="KF4:KF21" si="60">IF(KE4="","",IF(KE4&gt;3.7,"A",IF(KE4&gt;2.8,"B",IF(KE4&gt;1.5,"C",IF(KE4&gt;0,"D",IF(KE4=0,""))))))</f>
        <v>C</v>
      </c>
      <c r="KG4" s="230"/>
      <c r="KH4" s="85"/>
      <c r="KI4" s="85"/>
      <c r="KJ4" s="107"/>
      <c r="KK4" s="187">
        <f>IF(COUNT(KK5:KK9)=0,"",SUM(KK5:KK9)/COUNT(KK5:KK9))</f>
        <v>2.5</v>
      </c>
      <c r="KL4" s="203" t="str">
        <f t="shared" ref="KL4:KL21" si="61">IF(KK4="","",IF(KK4&gt;3.7,"A",IF(KK4&gt;2.8,"B",IF(KK4&gt;1.5,"C",IF(KK4&gt;0,"D",IF(KK4=0,""))))))</f>
        <v>C</v>
      </c>
      <c r="KM4" s="181"/>
      <c r="KN4" s="112"/>
      <c r="KO4" s="112"/>
      <c r="KP4" s="113"/>
      <c r="KQ4" s="187" t="str">
        <f>IF(COUNT(KQ5:KQ9)=0,"",SUM(KQ5:KQ9)/COUNT(KQ5:KQ9))</f>
        <v/>
      </c>
      <c r="KR4" s="211" t="str">
        <f t="shared" ref="KR4:KR21" si="62">IF(KQ4="","",IF(KQ4&gt;3.7,"A",IF(KQ4&gt;2.8,"B",IF(KQ4&gt;1.5,"C",IF(KQ4&gt;0,"D",IF(KQ4=0,""))))))</f>
        <v/>
      </c>
      <c r="KS4" s="212">
        <f>IF(COUNT(KS5:KS9)=0,"",SUM(KS5:KS9)/COUNT(KS5:KS9))</f>
        <v>2.4722222222222223</v>
      </c>
      <c r="KT4" s="213" t="str">
        <f t="shared" ref="KT4:KT21" si="63">IF(KS4="","",IF(KS4&gt;3.7,"A",IF(KS4&gt;2.8,"B",IF(KS4&gt;1.5,"C",IF(KS4&gt;0,"D",IF(KS4=0,""))))))</f>
        <v>C</v>
      </c>
      <c r="KU4" s="230"/>
      <c r="KV4" s="85"/>
      <c r="KW4" s="107"/>
      <c r="KX4" s="187">
        <f>IF(COUNT(KX5:KX9)=0,"",SUM(KX5:KX9)/COUNT(KX5:KX9))</f>
        <v>2.2777777777777781</v>
      </c>
      <c r="KY4" s="188" t="str">
        <f t="shared" ref="KY4:KY21" si="64">IF(KX4="","",IF(KX4&gt;3.7,"A",IF(KX4&gt;2.8,"B",IF(KX4&gt;1.5,"C",IF(KX4&gt;0,"D",IF(KX4=0,""))))))</f>
        <v>C</v>
      </c>
      <c r="KZ4" s="230"/>
      <c r="LA4" s="85"/>
      <c r="LB4" s="85"/>
      <c r="LC4" s="107"/>
      <c r="LD4" s="187">
        <f>IF(COUNT(LD5:LD9)=0,"",SUM(LD5:LD9)/COUNT(LD5:LD9))</f>
        <v>1.9444444444444446</v>
      </c>
      <c r="LE4" s="203" t="str">
        <f t="shared" ref="LE4:LE21" si="65">IF(LD4="","",IF(LD4&gt;3.7,"A",IF(LD4&gt;2.8,"B",IF(LD4&gt;1.5,"C",IF(LD4&gt;0,"D",IF(LD4=0,""))))))</f>
        <v>C</v>
      </c>
      <c r="LF4" s="181"/>
      <c r="LG4" s="112"/>
      <c r="LH4" s="112"/>
      <c r="LI4" s="113"/>
      <c r="LJ4" s="187" t="str">
        <f>IF(COUNT(LJ5:LJ9)=0,"",SUM(LJ5:LJ9)/COUNT(LJ5:LJ9))</f>
        <v/>
      </c>
      <c r="LK4" s="211" t="str">
        <f t="shared" ref="LK4:LK21" si="66">IF(LJ4="","",IF(LJ4&gt;3.7,"A",IF(LJ4&gt;2.8,"B",IF(LJ4&gt;1.5,"C",IF(LJ4&gt;0,"D",IF(LJ4=0,""))))))</f>
        <v/>
      </c>
      <c r="LL4" s="212">
        <f>IF(COUNT(LL5:LL9)=0,"",SUM(LL5:LL9)/COUNT(LL5:LL9))</f>
        <v>2.1111111111111112</v>
      </c>
      <c r="LM4" s="213" t="str">
        <f t="shared" ref="LM4:LM21" si="67">IF(LL4="","",IF(LL4&gt;3.7,"A",IF(LL4&gt;2.8,"B",IF(LL4&gt;1.5,"C",IF(LL4&gt;0,"D",IF(LL4=0,""))))))</f>
        <v>C</v>
      </c>
      <c r="LN4" s="230"/>
      <c r="LO4" s="85"/>
      <c r="LP4" s="107"/>
      <c r="LQ4" s="187">
        <f>IF(COUNT(LQ5:LQ9)=0,"",SUM(LQ5:LQ9)/COUNT(LQ5:LQ9))</f>
        <v>1.9444444444444444</v>
      </c>
      <c r="LR4" s="188" t="str">
        <f t="shared" ref="LR4:LR21" si="68">IF(LQ4="","",IF(LQ4&gt;3.7,"A",IF(LQ4&gt;2.8,"B",IF(LQ4&gt;1.5,"C",IF(LQ4&gt;0,"D",IF(LQ4=0,""))))))</f>
        <v>C</v>
      </c>
      <c r="LS4" s="230"/>
      <c r="LT4" s="85"/>
      <c r="LU4" s="85"/>
      <c r="LV4" s="107"/>
      <c r="LW4" s="187">
        <f>IF(COUNT(LW5:LW9)=0,"",SUM(LW5:LW9)/COUNT(LW5:LW9))</f>
        <v>1.5</v>
      </c>
      <c r="LX4" s="203" t="str">
        <f t="shared" ref="LX4:LX21" si="69">IF(LW4="","",IF(LW4&gt;3.7,"A",IF(LW4&gt;2.8,"B",IF(LW4&gt;1.5,"C",IF(LW4&gt;0,"D",IF(LW4=0,""))))))</f>
        <v>D</v>
      </c>
      <c r="LY4" s="181"/>
      <c r="LZ4" s="112"/>
      <c r="MA4" s="112"/>
      <c r="MB4" s="113"/>
      <c r="MC4" s="187" t="str">
        <f>IF(COUNT(MC5:MC9)=0,"",SUM(MC5:MC9)/COUNT(MC5:MC9))</f>
        <v/>
      </c>
      <c r="MD4" s="211" t="str">
        <f t="shared" ref="MD4:MD21" si="70">IF(MC4="","",IF(MC4&gt;3.7,"A",IF(MC4&gt;2.8,"B",IF(MC4&gt;1.5,"C",IF(MC4&gt;0,"D",IF(MC4=0,""))))))</f>
        <v/>
      </c>
      <c r="ME4" s="212">
        <f>IF(COUNT(ME5:ME9)=0,"",SUM(ME5:ME9)/COUNT(ME5:ME9))</f>
        <v>1.7222222222222221</v>
      </c>
      <c r="MF4" s="213" t="str">
        <f t="shared" ref="MF4:MF21" si="71">IF(ME4="","",IF(ME4&gt;3.7,"A",IF(ME4&gt;2.8,"B",IF(ME4&gt;1.5,"C",IF(ME4&gt;0,"D",IF(ME4=0,""))))))</f>
        <v>C</v>
      </c>
      <c r="MG4" s="230"/>
      <c r="MH4" s="85"/>
      <c r="MI4" s="107"/>
      <c r="MJ4" s="187">
        <f>IF(COUNT(MJ5:MJ9)=0,"",SUM(MJ5:MJ9)/COUNT(MJ5:MJ9))</f>
        <v>3</v>
      </c>
      <c r="MK4" s="188" t="str">
        <f t="shared" ref="MK4:MK21" si="72">IF(MJ4="","",IF(MJ4&gt;3.7,"A",IF(MJ4&gt;2.8,"B",IF(MJ4&gt;1.5,"C",IF(MJ4&gt;0,"D",IF(MJ4=0,""))))))</f>
        <v>B</v>
      </c>
      <c r="ML4" s="230"/>
      <c r="MM4" s="85"/>
      <c r="MN4" s="85"/>
      <c r="MO4" s="107"/>
      <c r="MP4" s="187">
        <f>IF(COUNT(MP5:MP9)=0,"",SUM(MP5:MP9)/COUNT(MP5:MP9))</f>
        <v>3.1944444444444446</v>
      </c>
      <c r="MQ4" s="203" t="str">
        <f t="shared" ref="MQ4:MQ21" si="73">IF(MP4="","",IF(MP4&gt;3.7,"A",IF(MP4&gt;2.8,"B",IF(MP4&gt;1.5,"C",IF(MP4&gt;0,"D",IF(MP4=0,""))))))</f>
        <v>B</v>
      </c>
      <c r="MR4" s="181"/>
      <c r="MS4" s="112"/>
      <c r="MT4" s="112"/>
      <c r="MU4" s="113"/>
      <c r="MV4" s="187" t="str">
        <f>IF(COUNT(MV5:MV9)=0,"",SUM(MV5:MV9)/COUNT(MV5:MV9))</f>
        <v/>
      </c>
      <c r="MW4" s="211" t="str">
        <f t="shared" ref="MW4:MW21" si="74">IF(MV4="","",IF(MV4&gt;3.7,"A",IF(MV4&gt;2.8,"B",IF(MV4&gt;1.5,"C",IF(MV4&gt;0,"D",IF(MV4=0,""))))))</f>
        <v/>
      </c>
      <c r="MX4" s="212">
        <f>IF(COUNT(MX5:MX9)=0,"",SUM(MX5:MX9)/COUNT(MX5:MX9))</f>
        <v>3.0972222222222228</v>
      </c>
      <c r="MY4" s="213" t="str">
        <f t="shared" ref="MY4:MY21" si="75">IF(MX4="","",IF(MX4&gt;3.7,"A",IF(MX4&gt;2.8,"B",IF(MX4&gt;1.5,"C",IF(MX4&gt;0,"D",IF(MX4=0,""))))))</f>
        <v>B</v>
      </c>
      <c r="MZ4" s="230"/>
      <c r="NA4" s="85"/>
      <c r="NB4" s="107"/>
      <c r="NC4" s="187">
        <f>IF(COUNT(NC5:NC9)=0,"",SUM(NC5:NC9)/COUNT(NC5:NC9))</f>
        <v>2.7222222222222219</v>
      </c>
      <c r="ND4" s="188" t="str">
        <f t="shared" ref="ND4:ND21" si="76">IF(NC4="","",IF(NC4&gt;3.7,"A",IF(NC4&gt;2.8,"B",IF(NC4&gt;1.5,"C",IF(NC4&gt;0,"D",IF(NC4=0,""))))))</f>
        <v>C</v>
      </c>
      <c r="NE4" s="230"/>
      <c r="NF4" s="85"/>
      <c r="NG4" s="85"/>
      <c r="NH4" s="107"/>
      <c r="NI4" s="187">
        <f>IF(COUNT(NI5:NI9)=0,"",SUM(NI5:NI9)/COUNT(NI5:NI9))</f>
        <v>2.3888888888888888</v>
      </c>
      <c r="NJ4" s="203" t="str">
        <f t="shared" ref="NJ4:NJ21" si="77">IF(NI4="","",IF(NI4&gt;3.7,"A",IF(NI4&gt;2.8,"B",IF(NI4&gt;1.5,"C",IF(NI4&gt;0,"D",IF(NI4=0,""))))))</f>
        <v>C</v>
      </c>
      <c r="NK4" s="181"/>
      <c r="NL4" s="112"/>
      <c r="NM4" s="112"/>
      <c r="NN4" s="113"/>
      <c r="NO4" s="187" t="str">
        <f>IF(COUNT(NO5:NO9)=0,"",SUM(NO5:NO9)/COUNT(NO5:NO9))</f>
        <v/>
      </c>
      <c r="NP4" s="211" t="str">
        <f t="shared" ref="NP4:NP21" si="78">IF(NO4="","",IF(NO4&gt;3.7,"A",IF(NO4&gt;2.8,"B",IF(NO4&gt;1.5,"C",IF(NO4&gt;0,"D",IF(NO4=0,""))))))</f>
        <v/>
      </c>
      <c r="NQ4" s="212">
        <f>IF(COUNT(NQ5:NQ9)=0,"",SUM(NQ5:NQ9)/COUNT(NQ5:NQ9))</f>
        <v>2.5555555555555554</v>
      </c>
      <c r="NR4" s="213" t="str">
        <f t="shared" ref="NR4:NR21" si="79">IF(NQ4="","",IF(NQ4&gt;3.7,"A",IF(NQ4&gt;2.8,"B",IF(NQ4&gt;1.5,"C",IF(NQ4&gt;0,"D",IF(NQ4=0,""))))))</f>
        <v>C</v>
      </c>
      <c r="NS4" s="230"/>
      <c r="NT4" s="85"/>
      <c r="NU4" s="107"/>
      <c r="NV4" s="187">
        <f>IF(COUNT(NV5:NV9)=0,"",SUM(NV5:NV9)/COUNT(NV5:NV9))</f>
        <v>2.5555555555555558</v>
      </c>
      <c r="NW4" s="188" t="str">
        <f t="shared" ref="NW4:NW21" si="80">IF(NV4="","",IF(NV4&gt;3.7,"A",IF(NV4&gt;2.8,"B",IF(NV4&gt;1.5,"C",IF(NV4&gt;0,"D",IF(NV4=0,""))))))</f>
        <v>C</v>
      </c>
      <c r="NX4" s="230"/>
      <c r="NY4" s="85"/>
      <c r="NZ4" s="85"/>
      <c r="OA4" s="107"/>
      <c r="OB4" s="187">
        <f>IF(COUNT(OB5:OB9)=0,"",SUM(OB5:OB9)/COUNT(OB5:OB9))</f>
        <v>2.1944444444444446</v>
      </c>
      <c r="OC4" s="203" t="str">
        <f t="shared" ref="OC4:OC21" si="81">IF(OB4="","",IF(OB4&gt;3.7,"A",IF(OB4&gt;2.8,"B",IF(OB4&gt;1.5,"C",IF(OB4&gt;0,"D",IF(OB4=0,""))))))</f>
        <v>C</v>
      </c>
      <c r="OD4" s="181"/>
      <c r="OE4" s="112"/>
      <c r="OF4" s="112"/>
      <c r="OG4" s="113"/>
      <c r="OH4" s="187" t="str">
        <f>IF(COUNT(OH5:OH9)=0,"",SUM(OH5:OH9)/COUNT(OH5:OH9))</f>
        <v/>
      </c>
      <c r="OI4" s="211" t="str">
        <f t="shared" ref="OI4:OI21" si="82">IF(OH4="","",IF(OH4&gt;3.7,"A",IF(OH4&gt;2.8,"B",IF(OH4&gt;1.5,"C",IF(OH4&gt;0,"D",IF(OH4=0,""))))))</f>
        <v/>
      </c>
      <c r="OJ4" s="212">
        <f>IF(COUNT(OJ5:OJ9)=0,"",SUM(OJ5:OJ9)/COUNT(OJ5:OJ9))</f>
        <v>2.3750000000000004</v>
      </c>
      <c r="OK4" s="213" t="str">
        <f t="shared" ref="OK4:OK21" si="83">IF(OJ4="","",IF(OJ4&gt;3.7,"A",IF(OJ4&gt;2.8,"B",IF(OJ4&gt;1.5,"C",IF(OJ4&gt;0,"D",IF(OJ4=0,""))))))</f>
        <v>C</v>
      </c>
      <c r="OL4" s="230"/>
      <c r="OM4" s="85"/>
      <c r="ON4" s="107"/>
      <c r="OO4" s="187">
        <f>IF(COUNT(OO5:OO9)=0,"",SUM(OO5:OO9)/COUNT(OO5:OO9))</f>
        <v>2.2222222222222223</v>
      </c>
      <c r="OP4" s="188" t="str">
        <f t="shared" ref="OP4:OP21" si="84">IF(OO4="","",IF(OO4&gt;3.7,"A",IF(OO4&gt;2.8,"B",IF(OO4&gt;1.5,"C",IF(OO4&gt;0,"D",IF(OO4=0,""))))))</f>
        <v>C</v>
      </c>
      <c r="OQ4" s="230"/>
      <c r="OR4" s="85"/>
      <c r="OS4" s="85"/>
      <c r="OT4" s="107"/>
      <c r="OU4" s="187">
        <f>IF(COUNT(OU5:OU9)=0,"",SUM(OU5:OU9)/COUNT(OU5:OU9))</f>
        <v>2.1944444444444446</v>
      </c>
      <c r="OV4" s="203" t="str">
        <f t="shared" ref="OV4:OV21" si="85">IF(OU4="","",IF(OU4&gt;3.7,"A",IF(OU4&gt;2.8,"B",IF(OU4&gt;1.5,"C",IF(OU4&gt;0,"D",IF(OU4=0,""))))))</f>
        <v>C</v>
      </c>
      <c r="OW4" s="181"/>
      <c r="OX4" s="112"/>
      <c r="OY4" s="112"/>
      <c r="OZ4" s="113"/>
      <c r="PA4" s="187" t="str">
        <f>IF(COUNT(PA5:PA9)=0,"",SUM(PA5:PA9)/COUNT(PA5:PA9))</f>
        <v/>
      </c>
      <c r="PB4" s="211" t="str">
        <f t="shared" ref="PB4:PB21" si="86">IF(PA4="","",IF(PA4&gt;3.7,"A",IF(PA4&gt;2.8,"B",IF(PA4&gt;1.5,"C",IF(PA4&gt;0,"D",IF(PA4=0,""))))))</f>
        <v/>
      </c>
      <c r="PC4" s="212">
        <f>IF(COUNT(PC5:PC9)=0,"",SUM(PC5:PC9)/COUNT(PC5:PC9))</f>
        <v>2.2083333333333335</v>
      </c>
      <c r="PD4" s="213" t="str">
        <f t="shared" ref="PD4:PD21" si="87">IF(PC4="","",IF(PC4&gt;3.7,"A",IF(PC4&gt;2.8,"B",IF(PC4&gt;1.5,"C",IF(PC4&gt;0,"D",IF(PC4=0,""))))))</f>
        <v>C</v>
      </c>
      <c r="PE4" s="230"/>
      <c r="PF4" s="85"/>
      <c r="PG4" s="107"/>
      <c r="PH4" s="187">
        <f>IF(COUNT(PH5:PH9)=0,"",SUM(PH5:PH9)/COUNT(PH5:PH9))</f>
        <v>2.2777777777777781</v>
      </c>
      <c r="PI4" s="188" t="str">
        <f t="shared" ref="PI4:PI21" si="88">IF(PH4="","",IF(PH4&gt;3.7,"A",IF(PH4&gt;2.8,"B",IF(PH4&gt;1.5,"C",IF(PH4&gt;0,"D",IF(PH4=0,""))))))</f>
        <v>C</v>
      </c>
      <c r="PJ4" s="230"/>
      <c r="PK4" s="85"/>
      <c r="PL4" s="85"/>
      <c r="PM4" s="107"/>
      <c r="PN4" s="187">
        <f>IF(COUNT(PN5:PN9)=0,"",SUM(PN5:PN9)/COUNT(PN5:PN9))</f>
        <v>1.5555555555555556</v>
      </c>
      <c r="PO4" s="203" t="str">
        <f t="shared" ref="PO4:PO21" si="89">IF(PN4="","",IF(PN4&gt;3.7,"A",IF(PN4&gt;2.8,"B",IF(PN4&gt;1.5,"C",IF(PN4&gt;0,"D",IF(PN4=0,""))))))</f>
        <v>C</v>
      </c>
      <c r="PP4" s="181"/>
      <c r="PQ4" s="112"/>
      <c r="PR4" s="112"/>
      <c r="PS4" s="113"/>
      <c r="PT4" s="187" t="str">
        <f>IF(COUNT(PT5:PT9)=0,"",SUM(PT5:PT9)/COUNT(PT5:PT9))</f>
        <v/>
      </c>
      <c r="PU4" s="211" t="str">
        <f t="shared" ref="PU4:PU21" si="90">IF(PT4="","",IF(PT4&gt;3.7,"A",IF(PT4&gt;2.8,"B",IF(PT4&gt;1.5,"C",IF(PT4&gt;0,"D",IF(PT4=0,""))))))</f>
        <v/>
      </c>
      <c r="PV4" s="212">
        <f>IF(COUNT(PV5:PV9)=0,"",SUM(PV5:PV9)/COUNT(PV5:PV9))</f>
        <v>1.916666666666667</v>
      </c>
      <c r="PW4" s="213" t="str">
        <f t="shared" ref="PW4:PW21" si="91">IF(PV4="","",IF(PV4&gt;3.7,"A",IF(PV4&gt;2.8,"B",IF(PV4&gt;1.5,"C",IF(PV4&gt;0,"D",IF(PV4=0,""))))))</f>
        <v>C</v>
      </c>
      <c r="PX4" s="230"/>
      <c r="PY4" s="85"/>
      <c r="PZ4" s="107"/>
      <c r="QA4" s="187">
        <f>IF(COUNT(QA5:QA9)=0,"",SUM(QA5:QA9)/COUNT(QA5:QA9))</f>
        <v>2.2777777777777781</v>
      </c>
      <c r="QB4" s="188" t="str">
        <f t="shared" ref="QB4:QB21" si="92">IF(QA4="","",IF(QA4&gt;3.7,"A",IF(QA4&gt;2.8,"B",IF(QA4&gt;1.5,"C",IF(QA4&gt;0,"D",IF(QA4=0,""))))))</f>
        <v>C</v>
      </c>
      <c r="QC4" s="230"/>
      <c r="QD4" s="85"/>
      <c r="QE4" s="85"/>
      <c r="QF4" s="107"/>
      <c r="QG4" s="187">
        <f>IF(COUNT(QG5:QG9)=0,"",SUM(QG5:QG9)/COUNT(QG5:QG9))</f>
        <v>2.1666666666666665</v>
      </c>
      <c r="QH4" s="203" t="str">
        <f t="shared" ref="QH4:QH21" si="93">IF(QG4="","",IF(QG4&gt;3.7,"A",IF(QG4&gt;2.8,"B",IF(QG4&gt;1.5,"C",IF(QG4&gt;0,"D",IF(QG4=0,""))))))</f>
        <v>C</v>
      </c>
      <c r="QI4" s="181"/>
      <c r="QJ4" s="112"/>
      <c r="QK4" s="112"/>
      <c r="QL4" s="113"/>
      <c r="QM4" s="187" t="str">
        <f>IF(COUNT(QM5:QM9)=0,"",SUM(QM5:QM9)/COUNT(QM5:QM9))</f>
        <v/>
      </c>
      <c r="QN4" s="211" t="str">
        <f t="shared" ref="QN4:QN21" si="94">IF(QM4="","",IF(QM4&gt;3.7,"A",IF(QM4&gt;2.8,"B",IF(QM4&gt;1.5,"C",IF(QM4&gt;0,"D",IF(QM4=0,""))))))</f>
        <v/>
      </c>
      <c r="QO4" s="212">
        <f>IF(COUNT(QO5:QO9)=0,"",SUM(QO5:QO9)/COUNT(QO5:QO9))</f>
        <v>2.2222222222222223</v>
      </c>
      <c r="QP4" s="213" t="str">
        <f t="shared" ref="QP4:QP21" si="95">IF(QO4="","",IF(QO4&gt;3.7,"A",IF(QO4&gt;2.8,"B",IF(QO4&gt;1.5,"C",IF(QO4&gt;0,"D",IF(QO4=0,""))))))</f>
        <v>C</v>
      </c>
      <c r="QQ4" s="230"/>
      <c r="QR4" s="85"/>
      <c r="QS4" s="107"/>
      <c r="QT4" s="187">
        <f>IF(COUNT(QT5:QT9)=0,"",SUM(QT5:QT9)/COUNT(QT5:QT9))</f>
        <v>2.3333333333333335</v>
      </c>
      <c r="QU4" s="188" t="str">
        <f t="shared" ref="QU4:QU21" si="96">IF(QT4="","",IF(QT4&gt;3.7,"A",IF(QT4&gt;2.8,"B",IF(QT4&gt;1.5,"C",IF(QT4&gt;0,"D",IF(QT4=0,""))))))</f>
        <v>C</v>
      </c>
      <c r="QV4" s="230"/>
      <c r="QW4" s="85"/>
      <c r="QX4" s="85"/>
      <c r="QY4" s="107"/>
      <c r="QZ4" s="187">
        <f>IF(COUNT(QZ5:QZ9)=0,"",SUM(QZ5:QZ9)/COUNT(QZ5:QZ9))</f>
        <v>2.6666666666666665</v>
      </c>
      <c r="RA4" s="203" t="str">
        <f t="shared" ref="RA4:RA21" si="97">IF(QZ4="","",IF(QZ4&gt;3.7,"A",IF(QZ4&gt;2.8,"B",IF(QZ4&gt;1.5,"C",IF(QZ4&gt;0,"D",IF(QZ4=0,""))))))</f>
        <v>C</v>
      </c>
      <c r="RB4" s="181"/>
      <c r="RC4" s="112"/>
      <c r="RD4" s="112"/>
      <c r="RE4" s="113"/>
      <c r="RF4" s="187" t="str">
        <f>IF(COUNT(RF5:RF9)=0,"",SUM(RF5:RF9)/COUNT(RF5:RF9))</f>
        <v/>
      </c>
      <c r="RG4" s="211" t="str">
        <f t="shared" ref="RG4:RG21" si="98">IF(RF4="","",IF(RF4&gt;3.7,"A",IF(RF4&gt;2.8,"B",IF(RF4&gt;1.5,"C",IF(RF4&gt;0,"D",IF(RF4=0,""))))))</f>
        <v/>
      </c>
      <c r="RH4" s="212">
        <f>IF(COUNT(RH5:RH9)=0,"",SUM(RH5:RH9)/COUNT(RH5:RH9))</f>
        <v>2.5000000000000004</v>
      </c>
      <c r="RI4" s="213" t="str">
        <f t="shared" ref="RI4:RI21" si="99">IF(RH4="","",IF(RH4&gt;3.7,"A",IF(RH4&gt;2.8,"B",IF(RH4&gt;1.5,"C",IF(RH4&gt;0,"D",IF(RH4=0,""))))))</f>
        <v>C</v>
      </c>
      <c r="RJ4" s="230"/>
      <c r="RK4" s="85"/>
      <c r="RL4" s="107"/>
      <c r="RM4" s="187">
        <f>IF(COUNT(RM5:RM9)=0,"",SUM(RM5:RM9)/COUNT(RM5:RM9))</f>
        <v>2.6111111111111112</v>
      </c>
      <c r="RN4" s="188" t="str">
        <f t="shared" ref="RN4:RN21" si="100">IF(RM4="","",IF(RM4&gt;3.7,"A",IF(RM4&gt;2.8,"B",IF(RM4&gt;1.5,"C",IF(RM4&gt;0,"D",IF(RM4=0,""))))))</f>
        <v>C</v>
      </c>
      <c r="RO4" s="230"/>
      <c r="RP4" s="85"/>
      <c r="RQ4" s="85"/>
      <c r="RR4" s="107"/>
      <c r="RS4" s="187">
        <f>IF(COUNT(RS5:RS9)=0,"",SUM(RS5:RS9)/COUNT(RS5:RS9))</f>
        <v>2.3611111111111112</v>
      </c>
      <c r="RT4" s="203" t="str">
        <f t="shared" ref="RT4:RT21" si="101">IF(RS4="","",IF(RS4&gt;3.7,"A",IF(RS4&gt;2.8,"B",IF(RS4&gt;1.5,"C",IF(RS4&gt;0,"D",IF(RS4=0,""))))))</f>
        <v>C</v>
      </c>
      <c r="RU4" s="181"/>
      <c r="RV4" s="112"/>
      <c r="RW4" s="112"/>
      <c r="RX4" s="113"/>
      <c r="RY4" s="187" t="str">
        <f>IF(COUNT(RY5:RY9)=0,"",SUM(RY5:RY9)/COUNT(RY5:RY9))</f>
        <v/>
      </c>
      <c r="RZ4" s="211" t="str">
        <f t="shared" ref="RZ4:RZ21" si="102">IF(RY4="","",IF(RY4&gt;3.7,"A",IF(RY4&gt;2.8,"B",IF(RY4&gt;1.5,"C",IF(RY4&gt;0,"D",IF(RY4=0,""))))))</f>
        <v/>
      </c>
      <c r="SA4" s="212">
        <f>IF(COUNT(SA5:SA9)=0,"",SUM(SA5:SA9)/COUNT(SA5:SA9))</f>
        <v>2.4861111111111112</v>
      </c>
      <c r="SB4" s="213" t="str">
        <f t="shared" ref="SB4:SB21" si="103">IF(SA4="","",IF(SA4&gt;3.7,"A",IF(SA4&gt;2.8,"B",IF(SA4&gt;1.5,"C",IF(SA4&gt;0,"D",IF(SA4=0,""))))))</f>
        <v>C</v>
      </c>
      <c r="SC4" s="230"/>
      <c r="SD4" s="85"/>
      <c r="SE4" s="107"/>
      <c r="SF4" s="187">
        <f>IF(COUNT(SF5:SF9)=0,"",SUM(SF5:SF9)/COUNT(SF5:SF9))</f>
        <v>2.5555555555555554</v>
      </c>
      <c r="SG4" s="188" t="str">
        <f t="shared" ref="SG4:SG21" si="104">IF(SF4="","",IF(SF4&gt;3.7,"A",IF(SF4&gt;2.8,"B",IF(SF4&gt;1.5,"C",IF(SF4&gt;0,"D",IF(SF4=0,""))))))</f>
        <v>C</v>
      </c>
      <c r="SH4" s="230"/>
      <c r="SI4" s="85"/>
      <c r="SJ4" s="85"/>
      <c r="SK4" s="107"/>
      <c r="SL4" s="187">
        <f>IF(COUNT(SL5:SL9)=0,"",SUM(SL5:SL9)/COUNT(SL5:SL9))</f>
        <v>2.6388888888888888</v>
      </c>
      <c r="SM4" s="203" t="str">
        <f t="shared" ref="SM4:SM21" si="105">IF(SL4="","",IF(SL4&gt;3.7,"A",IF(SL4&gt;2.8,"B",IF(SL4&gt;1.5,"C",IF(SL4&gt;0,"D",IF(SL4=0,""))))))</f>
        <v>C</v>
      </c>
      <c r="SN4" s="181"/>
      <c r="SO4" s="112"/>
      <c r="SP4" s="112"/>
      <c r="SQ4" s="113"/>
      <c r="SR4" s="187" t="str">
        <f>IF(COUNT(SR5:SR9)=0,"",SUM(SR5:SR9)/COUNT(SR5:SR9))</f>
        <v/>
      </c>
      <c r="SS4" s="211" t="str">
        <f t="shared" ref="SS4:SS21" si="106">IF(SR4="","",IF(SR4&gt;3.7,"A",IF(SR4&gt;2.8,"B",IF(SR4&gt;1.5,"C",IF(SR4&gt;0,"D",IF(SR4=0,""))))))</f>
        <v/>
      </c>
      <c r="ST4" s="212">
        <f>IF(COUNT(ST5:ST9)=0,"",SUM(ST5:ST9)/COUNT(ST5:ST9))</f>
        <v>2.5972222222222219</v>
      </c>
      <c r="SU4" s="213" t="str">
        <f t="shared" ref="SU4:SU21" si="107">IF(ST4="","",IF(ST4&gt;3.7,"A",IF(ST4&gt;2.8,"B",IF(ST4&gt;1.5,"C",IF(ST4&gt;0,"D",IF(ST4=0,""))))))</f>
        <v>C</v>
      </c>
      <c r="SV4" s="106"/>
      <c r="SW4" s="85"/>
      <c r="SX4" s="107"/>
      <c r="SY4" s="108" t="str">
        <f>IF(COUNT(SY5:SY9)=0,"",SUM(SY5:SY9)/COUNT(SY5:SY9))</f>
        <v/>
      </c>
      <c r="SZ4" s="109" t="str">
        <f t="shared" ref="SZ4:SZ21" si="108">IF(SY4="","",IF(SY4&gt;3.7,"A",IF(SY4&gt;2.8,"B",IF(SY4&gt;1.5,"C",IF(SY4&gt;0,"D",IF(SY4=0,""))))))</f>
        <v/>
      </c>
      <c r="TA4" s="106"/>
      <c r="TB4" s="85"/>
      <c r="TC4" s="107"/>
      <c r="TD4" s="108" t="str">
        <f>IF(COUNT(TD5:TD9)=0,"",SUM(TD5:TD9)/COUNT(TD5:TD9))</f>
        <v/>
      </c>
      <c r="TE4" s="110" t="str">
        <f t="shared" ref="TE4:TE21" si="109">IF(TD4="","",IF(TD4&gt;3.7,"A",IF(TD4&gt;2.8,"B",IF(TD4&gt;1.5,"C",IF(TD4&gt;0,"D",IF(TD4=0,""))))))</f>
        <v/>
      </c>
      <c r="TF4" s="111"/>
      <c r="TG4" s="112"/>
      <c r="TH4" s="113"/>
      <c r="TI4" s="108" t="str">
        <f>IF(COUNT(TI5:TI9)=0,"",SUM(TI5:TI9)/COUNT(TI5:TI9))</f>
        <v/>
      </c>
      <c r="TJ4" s="114" t="str">
        <f t="shared" ref="TJ4:TJ21" si="110">IF(TI4="","",IF(TI4&gt;3.7,"A",IF(TI4&gt;2.8,"B",IF(TI4&gt;1.5,"C",IF(TI4&gt;0,"D",IF(TI4=0,""))))))</f>
        <v/>
      </c>
      <c r="TK4" s="115" t="str">
        <f>IF(COUNT(TK5:TK9)=0,"",SUM(TK5:TK9)/COUNT(TK5:TK9))</f>
        <v/>
      </c>
      <c r="TL4" s="116" t="str">
        <f t="shared" ref="TL4:TL21" si="111">IF(TK4="","",IF(TK4&gt;3.7,"A",IF(TK4&gt;2.8,"B",IF(TK4&gt;1.5,"C",IF(TK4&gt;0,"D",IF(TK4=0,""))))))</f>
        <v/>
      </c>
      <c r="TM4" s="106"/>
      <c r="TN4" s="85"/>
      <c r="TO4" s="107"/>
      <c r="TP4" s="108" t="str">
        <f>IF(COUNT(TP5:TP9)=0,"",SUM(TP5:TP9)/COUNT(TP5:TP9))</f>
        <v/>
      </c>
      <c r="TQ4" s="109" t="str">
        <f t="shared" ref="TQ4:TQ21" si="112">IF(TP4="","",IF(TP4&gt;3.7,"A",IF(TP4&gt;2.8,"B",IF(TP4&gt;1.5,"C",IF(TP4&gt;0,"D",IF(TP4=0,""))))))</f>
        <v/>
      </c>
      <c r="TR4" s="106"/>
      <c r="TS4" s="85"/>
      <c r="TT4" s="107"/>
      <c r="TU4" s="108" t="str">
        <f>IF(COUNT(TU5:TU9)=0,"",SUM(TU5:TU9)/COUNT(TU5:TU9))</f>
        <v/>
      </c>
      <c r="TV4" s="110" t="str">
        <f t="shared" ref="TV4:TV21" si="113">IF(TU4="","",IF(TU4&gt;3.7,"A",IF(TU4&gt;2.8,"B",IF(TU4&gt;1.5,"C",IF(TU4&gt;0,"D",IF(TU4=0,""))))))</f>
        <v/>
      </c>
      <c r="TW4" s="111"/>
      <c r="TX4" s="112"/>
      <c r="TY4" s="113"/>
      <c r="TZ4" s="108" t="str">
        <f>IF(COUNT(TZ5:TZ9)=0,"",SUM(TZ5:TZ9)/COUNT(TZ5:TZ9))</f>
        <v/>
      </c>
      <c r="UA4" s="114" t="str">
        <f t="shared" ref="UA4:UA21" si="114">IF(TZ4="","",IF(TZ4&gt;3.7,"A",IF(TZ4&gt;2.8,"B",IF(TZ4&gt;1.5,"C",IF(TZ4&gt;0,"D",IF(TZ4=0,""))))))</f>
        <v/>
      </c>
      <c r="UB4" s="115" t="str">
        <f>IF(COUNT(UB5:UB9)=0,"",SUM(UB5:UB9)/COUNT(UB5:UB9))</f>
        <v/>
      </c>
      <c r="UC4" s="116" t="str">
        <f t="shared" ref="UC4:UC21" si="115">IF(UB4="","",IF(UB4&gt;3.7,"A",IF(UB4&gt;2.8,"B",IF(UB4&gt;1.5,"C",IF(UB4&gt;0,"D",IF(UB4=0,""))))))</f>
        <v/>
      </c>
      <c r="UD4" s="106"/>
      <c r="UE4" s="85"/>
      <c r="UF4" s="107"/>
      <c r="UG4" s="108" t="str">
        <f>IF(COUNT(UG5:UG9)=0,"",SUM(UG5:UG9)/COUNT(UG5:UG9))</f>
        <v/>
      </c>
      <c r="UH4" s="109" t="str">
        <f t="shared" ref="UH4:UH21" si="116">IF(UG4="","",IF(UG4&gt;3.7,"A",IF(UG4&gt;2.8,"B",IF(UG4&gt;1.5,"C",IF(UG4&gt;0,"D",IF(UG4=0,""))))))</f>
        <v/>
      </c>
      <c r="UI4" s="106"/>
      <c r="UJ4" s="85"/>
      <c r="UK4" s="107"/>
      <c r="UL4" s="108" t="str">
        <f>IF(COUNT(UL5:UL9)=0,"",SUM(UL5:UL9)/COUNT(UL5:UL9))</f>
        <v/>
      </c>
      <c r="UM4" s="110" t="str">
        <f t="shared" ref="UM4:UM21" si="117">IF(UL4="","",IF(UL4&gt;3.7,"A",IF(UL4&gt;2.8,"B",IF(UL4&gt;1.5,"C",IF(UL4&gt;0,"D",IF(UL4=0,""))))))</f>
        <v/>
      </c>
      <c r="UN4" s="111"/>
      <c r="UO4" s="112"/>
      <c r="UP4" s="113"/>
      <c r="UQ4" s="108" t="str">
        <f>IF(COUNT(UQ5:UQ9)=0,"",SUM(UQ5:UQ9)/COUNT(UQ5:UQ9))</f>
        <v/>
      </c>
      <c r="UR4" s="114" t="str">
        <f t="shared" ref="UR4:UR21" si="118">IF(UQ4="","",IF(UQ4&gt;3.7,"A",IF(UQ4&gt;2.8,"B",IF(UQ4&gt;1.5,"C",IF(UQ4&gt;0,"D",IF(UQ4=0,""))))))</f>
        <v/>
      </c>
      <c r="US4" s="115" t="str">
        <f>IF(COUNT(US5:US9)=0,"",SUM(US5:US9)/COUNT(US5:US9))</f>
        <v/>
      </c>
      <c r="UT4" s="116" t="str">
        <f t="shared" ref="UT4:UT21" si="119">IF(US4="","",IF(US4&gt;3.7,"A",IF(US4&gt;2.8,"B",IF(US4&gt;1.5,"C",IF(US4&gt;0,"D",IF(US4=0,""))))))</f>
        <v/>
      </c>
    </row>
    <row r="5" spans="1:566" ht="18" customHeight="1" x14ac:dyDescent="0.25">
      <c r="A5" s="250" t="s">
        <v>12</v>
      </c>
      <c r="B5" s="251"/>
      <c r="C5" s="118" t="s">
        <v>31</v>
      </c>
      <c r="D5" s="119" t="s">
        <v>32</v>
      </c>
      <c r="E5" s="120"/>
      <c r="F5" s="189">
        <f>IFERROR((((COUNTIF('Elève (4ème2)'!C5:E5,"A"))*4)+((COUNTIF('Elève (4ème2)'!C5:E5,"B"))*3)+((COUNTIF('Elève (4ème2)'!C5:E5,"C"))*2)+((COUNTIF('Elève (4ème2)'!C5:E5,"D"))*1))/(COUNTA(C5:E5)),"")</f>
        <v>1.5</v>
      </c>
      <c r="G5" s="190" t="str">
        <f t="shared" si="0"/>
        <v>D</v>
      </c>
      <c r="H5" s="123"/>
      <c r="I5" s="119" t="s">
        <v>31</v>
      </c>
      <c r="J5" s="226" t="s">
        <v>31</v>
      </c>
      <c r="K5" s="226" t="s">
        <v>32</v>
      </c>
      <c r="L5" s="189">
        <f>IFERROR((((COUNTIF('Elève (4ème2)'!H5:K5,"A"))*4)+((COUNTIF('Elève (4ème2)'!H5:K5,"B"))*3)+((COUNTIF('Elève (4ème2)'!H5:K5,"C"))*2)+((COUNTIF('Elève (4ème2)'!H5:K5,"D"))*1))/(COUNTA(H5:K5)),"")</f>
        <v>1.6666666666666667</v>
      </c>
      <c r="M5" s="190" t="str">
        <f t="shared" si="1"/>
        <v>C</v>
      </c>
      <c r="N5" s="123"/>
      <c r="O5" s="124"/>
      <c r="P5" s="120"/>
      <c r="Q5" s="120"/>
      <c r="R5" s="189" t="str">
        <f>IFERROR((((COUNTIF('Elève (4ème2)'!N5:Q5,"A"))*4)+((COUNTIF('Elève (4ème2)'!N5:Q5,"B"))*3)+((COUNTIF('Elève (4ème2)'!N5:Q5,"C"))*2)+((COUNTIF('Elève (4ème2)'!N5:Q5,"D"))*1))/(COUNTA(N5:Q5)),"")</f>
        <v/>
      </c>
      <c r="S5" s="190" t="str">
        <f t="shared" si="2"/>
        <v/>
      </c>
      <c r="T5" s="189">
        <f>IF(COUNT(F5,L5,R5)=0,"",SUM(F5,L5,R5)/COUNT(F5,L5,R5))</f>
        <v>1.5833333333333335</v>
      </c>
      <c r="U5" s="214" t="str">
        <f t="shared" si="3"/>
        <v>C</v>
      </c>
      <c r="V5" s="118" t="s">
        <v>31</v>
      </c>
      <c r="W5" s="119" t="s">
        <v>31</v>
      </c>
      <c r="X5" s="120"/>
      <c r="Y5" s="189">
        <f>IFERROR((((COUNTIF('Elève (4ème2)'!V5:X5,"A"))*4)+((COUNTIF('Elève (4ème2)'!V5:X5,"B"))*3)+((COUNTIF('Elève (4ème2)'!V5:X5,"C"))*2)+((COUNTIF('Elève (4ème2)'!V5:X5,"D"))*1))/(COUNTA(V5:X5)),"")</f>
        <v>2</v>
      </c>
      <c r="Z5" s="190" t="str">
        <f t="shared" si="4"/>
        <v>C</v>
      </c>
      <c r="AA5" s="123"/>
      <c r="AB5" s="119" t="s">
        <v>30</v>
      </c>
      <c r="AC5" s="226" t="s">
        <v>32</v>
      </c>
      <c r="AD5" s="226" t="s">
        <v>31</v>
      </c>
      <c r="AE5" s="189">
        <f>IFERROR((((COUNTIF('Elève (4ème2)'!AA5:AD5,"A"))*4)+((COUNTIF('Elève (4ème2)'!AA5:AD5,"B"))*3)+((COUNTIF('Elève (4ème2)'!AA5:AD5,"C"))*2)+((COUNTIF('Elève (4ème2)'!AA5:AD5,"D"))*1))/(COUNTA(AA5:AD5)),"")</f>
        <v>2</v>
      </c>
      <c r="AF5" s="190" t="str">
        <f t="shared" si="5"/>
        <v>C</v>
      </c>
      <c r="AG5" s="123"/>
      <c r="AH5" s="124"/>
      <c r="AI5" s="120"/>
      <c r="AJ5" s="126"/>
      <c r="AK5" s="189" t="str">
        <f>IFERROR((((COUNTIF('Elève (4ème2)'!AG5:AJ5,"A"))*4)+((COUNTIF('Elève (4ème2)'!AG5:AJ5,"B"))*3)+((COUNTIF('Elève (4ème2)'!AG5:AJ5,"C"))*2)+((COUNTIF('Elève (4ème2)'!AG5:AJ5,"D"))*1))/(COUNTA(AG5:AJ5)),"")</f>
        <v/>
      </c>
      <c r="AL5" s="190" t="str">
        <f t="shared" si="6"/>
        <v/>
      </c>
      <c r="AM5" s="189">
        <f>IF(COUNT(Y5,AE5,AK5)=0,"",SUM(Y5,AE5,AK5)/COUNT(Y5,AE5,AK5))</f>
        <v>2</v>
      </c>
      <c r="AN5" s="214" t="str">
        <f t="shared" si="7"/>
        <v>C</v>
      </c>
      <c r="AO5" s="118" t="s">
        <v>30</v>
      </c>
      <c r="AP5" s="119" t="s">
        <v>31</v>
      </c>
      <c r="AQ5" s="120"/>
      <c r="AR5" s="189">
        <f>IFERROR((((COUNTIF('Elève (4ème2)'!AO5:AQ5,"A"))*4)+((COUNTIF('Elève (4ème2)'!AO5:AQ5,"B"))*3)+((COUNTIF('Elève (4ème2)'!AO5:AQ5,"C"))*2)+((COUNTIF('Elève (4ème2)'!AO5:AQ5,"D"))*1))/(COUNTA(AO5:AQ5)),"")</f>
        <v>2.5</v>
      </c>
      <c r="AS5" s="190" t="str">
        <f t="shared" si="8"/>
        <v>C</v>
      </c>
      <c r="AT5" s="123"/>
      <c r="AU5" s="119" t="s">
        <v>31</v>
      </c>
      <c r="AV5" s="226" t="s">
        <v>30</v>
      </c>
      <c r="AW5" s="226" t="s">
        <v>31</v>
      </c>
      <c r="AX5" s="189">
        <f>IFERROR((((COUNTIF('Elève (4ème2)'!AT5:AW5,"A"))*4)+((COUNTIF('Elève (4ème2)'!AT5:AW5,"B"))*3)+((COUNTIF('Elève (4ème2)'!AT5:AW5,"C"))*2)+((COUNTIF('Elève (4ème2)'!AT5:AW5,"D"))*1))/(COUNTA(AT5:AW5)),"")</f>
        <v>2.3333333333333335</v>
      </c>
      <c r="AY5" s="190" t="str">
        <f t="shared" si="9"/>
        <v>C</v>
      </c>
      <c r="AZ5" s="123"/>
      <c r="BA5" s="124"/>
      <c r="BB5" s="120"/>
      <c r="BC5" s="126"/>
      <c r="BD5" s="189" t="str">
        <f>IFERROR((((COUNTIF('Elève (4ème2)'!AZ5:BC5,"A"))*4)+((COUNTIF('Elève (4ème2)'!AZ5:BC5,"B"))*3)+((COUNTIF('Elève (4ème2)'!AZ5:BC5,"C"))*2)+((COUNTIF('Elève (4ème2)'!AZ5:BC5,"D"))*1))/(COUNTA(AZ5:BC5)),"")</f>
        <v/>
      </c>
      <c r="BE5" s="190" t="str">
        <f t="shared" si="10"/>
        <v/>
      </c>
      <c r="BF5" s="189">
        <f>IF(COUNT(AR5,AX5,BD5)=0,"",SUM(AR5,AX5,BD5)/COUNT(AR5,AX5,BD5))</f>
        <v>2.416666666666667</v>
      </c>
      <c r="BG5" s="214" t="str">
        <f t="shared" si="11"/>
        <v>C</v>
      </c>
      <c r="BH5" s="118" t="s">
        <v>31</v>
      </c>
      <c r="BI5" s="119" t="s">
        <v>32</v>
      </c>
      <c r="BJ5" s="120"/>
      <c r="BK5" s="189">
        <f>IFERROR((((COUNTIF('Elève (4ème2)'!BH5:BJ5,"A"))*4)+((COUNTIF('Elève (4ème2)'!BH5:BJ5,"B"))*3)+((COUNTIF('Elève (4ème2)'!BH5:BJ5,"C"))*2)+((COUNTIF('Elève (4ème2)'!BH5:BJ5,"D"))*1))/(COUNTA(BH5:BJ5)),"")</f>
        <v>1.5</v>
      </c>
      <c r="BL5" s="190" t="str">
        <f t="shared" si="12"/>
        <v>D</v>
      </c>
      <c r="BM5" s="123"/>
      <c r="BN5" s="119" t="s">
        <v>31</v>
      </c>
      <c r="BO5" s="226" t="s">
        <v>30</v>
      </c>
      <c r="BP5" s="226" t="s">
        <v>31</v>
      </c>
      <c r="BQ5" s="189">
        <f>IFERROR((((COUNTIF('Elève (4ème2)'!BM5:BP5,"A"))*4)+((COUNTIF('Elève (4ème2)'!BM5:BP5,"B"))*3)+((COUNTIF('Elève (4ème2)'!BM5:BP5,"C"))*2)+((COUNTIF('Elève (4ème2)'!BM5:BP5,"D"))*1))/(COUNTA(BM5:BP5)),"")</f>
        <v>2.3333333333333335</v>
      </c>
      <c r="BR5" s="190" t="str">
        <f t="shared" si="13"/>
        <v>C</v>
      </c>
      <c r="BS5" s="123"/>
      <c r="BT5" s="124"/>
      <c r="BU5" s="120"/>
      <c r="BV5" s="126"/>
      <c r="BW5" s="189" t="str">
        <f>IFERROR((((COUNTIF('Elève (4ème2)'!BS5:BV5,"A"))*4)+((COUNTIF('Elève (4ème2)'!BS5:BV5,"B"))*3)+((COUNTIF('Elève (4ème2)'!BS5:BV5,"C"))*2)+((COUNTIF('Elève (4ème2)'!BS5:BV5,"D"))*1))/(COUNTA(BS5:BV5)),"")</f>
        <v/>
      </c>
      <c r="BX5" s="190" t="str">
        <f t="shared" si="14"/>
        <v/>
      </c>
      <c r="BY5" s="189">
        <f>IF(COUNT(BK5,BQ5,BW5)=0,"",SUM(BK5,BQ5,BW5)/COUNT(BK5,BQ5,BW5))</f>
        <v>1.9166666666666667</v>
      </c>
      <c r="BZ5" s="214" t="str">
        <f t="shared" si="15"/>
        <v>C</v>
      </c>
      <c r="CA5" s="118" t="s">
        <v>30</v>
      </c>
      <c r="CB5" s="119" t="s">
        <v>30</v>
      </c>
      <c r="CC5" s="120"/>
      <c r="CD5" s="189">
        <f>IFERROR((((COUNTIF('Elève (4ème2)'!CA5:CC5,"A"))*4)+((COUNTIF('Elève (4ème2)'!CA5:CC5,"B"))*3)+((COUNTIF('Elève (4ème2)'!CA5:CC5,"C"))*2)+((COUNTIF('Elève (4ème2)'!CA5:CC5,"D"))*1))/(COUNTA(CA5:CC5)),"")</f>
        <v>3</v>
      </c>
      <c r="CE5" s="190" t="str">
        <f t="shared" si="16"/>
        <v>B</v>
      </c>
      <c r="CF5" s="123"/>
      <c r="CG5" s="119" t="s">
        <v>30</v>
      </c>
      <c r="CH5" s="226" t="s">
        <v>30</v>
      </c>
      <c r="CI5" s="226" t="s">
        <v>30</v>
      </c>
      <c r="CJ5" s="189">
        <f>IFERROR((((COUNTIF('Elève (4ème2)'!CF5:CI5,"A"))*4)+((COUNTIF('Elève (4ème2)'!CF5:CI5,"B"))*3)+((COUNTIF('Elève (4ème2)'!CF5:CI5,"C"))*2)+((COUNTIF('Elève (4ème2)'!CF5:CI5,"D"))*1))/(COUNTA(CF5:CI5)),"")</f>
        <v>3</v>
      </c>
      <c r="CK5" s="190" t="str">
        <f t="shared" si="17"/>
        <v>B</v>
      </c>
      <c r="CL5" s="123"/>
      <c r="CM5" s="124"/>
      <c r="CN5" s="120"/>
      <c r="CO5" s="126"/>
      <c r="CP5" s="189" t="str">
        <f>IFERROR((((COUNTIF('Elève (4ème2)'!CL5:CO5,"A"))*4)+((COUNTIF('Elève (4ème2)'!CL5:CO5,"B"))*3)+((COUNTIF('Elève (4ème2)'!CL5:CO5,"C"))*2)+((COUNTIF('Elève (4ème2)'!CL5:CO5,"D"))*1))/(COUNTA(CL5:CO5)),"")</f>
        <v/>
      </c>
      <c r="CQ5" s="190" t="str">
        <f t="shared" si="18"/>
        <v/>
      </c>
      <c r="CR5" s="189">
        <f>IF(COUNT(CD5,CJ5,CP5)=0,"",SUM(CD5,CJ5,CP5)/COUNT(CD5,CJ5,CP5))</f>
        <v>3</v>
      </c>
      <c r="CS5" s="214" t="str">
        <f t="shared" si="19"/>
        <v>B</v>
      </c>
      <c r="CT5" s="118" t="s">
        <v>30</v>
      </c>
      <c r="CU5" s="119" t="s">
        <v>30</v>
      </c>
      <c r="CV5" s="120"/>
      <c r="CW5" s="189">
        <f>IFERROR((((COUNTIF('Elève (4ème2)'!CT5:CV5,"A"))*4)+((COUNTIF('Elève (4ème2)'!CT5:CV5,"B"))*3)+((COUNTIF('Elève (4ème2)'!CT5:CV5,"C"))*2)+((COUNTIF('Elève (4ème2)'!CT5:CV5,"D"))*1))/(COUNTA(CT5:CV5)),"")</f>
        <v>3</v>
      </c>
      <c r="CX5" s="190" t="str">
        <f t="shared" si="20"/>
        <v>B</v>
      </c>
      <c r="CY5" s="123"/>
      <c r="CZ5" s="119" t="s">
        <v>32</v>
      </c>
      <c r="DA5" s="226" t="s">
        <v>30</v>
      </c>
      <c r="DB5" s="226" t="s">
        <v>31</v>
      </c>
      <c r="DC5" s="189">
        <f>IFERROR((((COUNTIF('Elève (4ème2)'!CY5:DB5,"A"))*4)+((COUNTIF('Elève (4ème2)'!CY5:DB5,"B"))*3)+((COUNTIF('Elève (4ème2)'!CY5:DB5,"C"))*2)+((COUNTIF('Elève (4ème2)'!CY5:DB5,"D"))*1))/(COUNTA(CY5:DB5)),"")</f>
        <v>2</v>
      </c>
      <c r="DD5" s="190" t="str">
        <f t="shared" si="21"/>
        <v>C</v>
      </c>
      <c r="DE5" s="123"/>
      <c r="DF5" s="124"/>
      <c r="DG5" s="120"/>
      <c r="DH5" s="126"/>
      <c r="DI5" s="189" t="str">
        <f>IFERROR((((COUNTIF('Elève (4ème2)'!DE5:DH5,"A"))*4)+((COUNTIF('Elève (4ème2)'!DE5:DH5,"B"))*3)+((COUNTIF('Elève (4ème2)'!DE5:DH5,"C"))*2)+((COUNTIF('Elève (4ème2)'!DE5:DH5,"D"))*1))/(COUNTA(DE5:DH5)),"")</f>
        <v/>
      </c>
      <c r="DJ5" s="190" t="str">
        <f t="shared" si="22"/>
        <v/>
      </c>
      <c r="DK5" s="189">
        <f>IF(COUNT(CW5,DC5,DI5)=0,"",SUM(CW5,DC5,DI5)/COUNT(CW5,DC5,DI5))</f>
        <v>2.5</v>
      </c>
      <c r="DL5" s="214" t="str">
        <f t="shared" si="23"/>
        <v>C</v>
      </c>
      <c r="DM5" s="118" t="s">
        <v>31</v>
      </c>
      <c r="DN5" s="119" t="s">
        <v>29</v>
      </c>
      <c r="DO5" s="120"/>
      <c r="DP5" s="189">
        <f>IFERROR((((COUNTIF('Elève (4ème2)'!DM5:DO5,"A"))*4)+((COUNTIF('Elève (4ème2)'!DM5:DO5,"B"))*3)+((COUNTIF('Elève (4ème2)'!DM5:DO5,"C"))*2)+((COUNTIF('Elève (4ème2)'!DM5:DO5,"D"))*1))/(COUNTA(DM5:DO5)),"")</f>
        <v>3</v>
      </c>
      <c r="DQ5" s="190" t="str">
        <f t="shared" si="24"/>
        <v>B</v>
      </c>
      <c r="DR5" s="123"/>
      <c r="DS5" s="119" t="s">
        <v>31</v>
      </c>
      <c r="DT5" s="226" t="s">
        <v>30</v>
      </c>
      <c r="DU5" s="226" t="s">
        <v>31</v>
      </c>
      <c r="DV5" s="189">
        <f>IFERROR((((COUNTIF('Elève (4ème2)'!DR5:DU5,"A"))*4)+((COUNTIF('Elève (4ème2)'!DR5:DU5,"B"))*3)+((COUNTIF('Elève (4ème2)'!DR5:DU5,"C"))*2)+((COUNTIF('Elève (4ème2)'!DR5:DU5,"D"))*1))/(COUNTA(DR5:DU5)),"")</f>
        <v>2.3333333333333335</v>
      </c>
      <c r="DW5" s="190" t="str">
        <f t="shared" si="25"/>
        <v>C</v>
      </c>
      <c r="DX5" s="123"/>
      <c r="DY5" s="124"/>
      <c r="DZ5" s="120"/>
      <c r="EA5" s="126"/>
      <c r="EB5" s="189" t="str">
        <f>IFERROR((((COUNTIF('Elève (4ème2)'!DX5:EA5,"A"))*4)+((COUNTIF('Elève (4ème2)'!DX5:EA5,"B"))*3)+((COUNTIF('Elève (4ème2)'!DX5:EA5,"C"))*2)+((COUNTIF('Elève (4ème2)'!DX5:EA5,"D"))*1))/(COUNTA(DX5:EA5)),"")</f>
        <v/>
      </c>
      <c r="EC5" s="190" t="str">
        <f t="shared" si="26"/>
        <v/>
      </c>
      <c r="ED5" s="189">
        <f>IF(COUNT(DP5,DV5,EB5)=0,"",SUM(DP5,DV5,EB5)/COUNT(DP5,DV5,EB5))</f>
        <v>2.666666666666667</v>
      </c>
      <c r="EE5" s="214" t="str">
        <f t="shared" si="27"/>
        <v>C</v>
      </c>
      <c r="EF5" s="118" t="s">
        <v>29</v>
      </c>
      <c r="EG5" s="119" t="s">
        <v>30</v>
      </c>
      <c r="EH5" s="120"/>
      <c r="EI5" s="189">
        <f>IFERROR((((COUNTIF('Elève (4ème2)'!EF5:EH5,"A"))*4)+((COUNTIF('Elève (4ème2)'!EF5:EH5,"B"))*3)+((COUNTIF('Elève (4ème2)'!EF5:EH5,"C"))*2)+((COUNTIF('Elève (4ème2)'!EF5:EH5,"D"))*1))/(COUNTA(EF5:EH5)),"")</f>
        <v>3.5</v>
      </c>
      <c r="EJ5" s="190" t="str">
        <f t="shared" si="28"/>
        <v>B</v>
      </c>
      <c r="EK5" s="123"/>
      <c r="EL5" s="119" t="s">
        <v>29</v>
      </c>
      <c r="EM5" s="226" t="s">
        <v>30</v>
      </c>
      <c r="EN5" s="226" t="s">
        <v>30</v>
      </c>
      <c r="EO5" s="189">
        <f>IFERROR((((COUNTIF('Elève (4ème2)'!EK5:EN5,"A"))*4)+((COUNTIF('Elève (4ème2)'!EK5:EN5,"B"))*3)+((COUNTIF('Elève (4ème2)'!EK5:EN5,"C"))*2)+((COUNTIF('Elève (4ème2)'!EK5:EN5,"D"))*1))/(COUNTA(EK5:EN5)),"")</f>
        <v>3.3333333333333335</v>
      </c>
      <c r="EP5" s="190" t="str">
        <f t="shared" si="29"/>
        <v>B</v>
      </c>
      <c r="EQ5" s="123"/>
      <c r="ER5" s="124"/>
      <c r="ES5" s="120"/>
      <c r="ET5" s="126"/>
      <c r="EU5" s="189" t="str">
        <f>IFERROR((((COUNTIF('Elève (4ème2)'!EQ5:ET5,"A"))*4)+((COUNTIF('Elève (4ème2)'!EQ5:ET5,"B"))*3)+((COUNTIF('Elève (4ème2)'!EQ5:ET5,"C"))*2)+((COUNTIF('Elève (4ème2)'!EQ5:ET5,"D"))*1))/(COUNTA(EQ5:ET5)),"")</f>
        <v/>
      </c>
      <c r="EV5" s="190" t="str">
        <f t="shared" si="30"/>
        <v/>
      </c>
      <c r="EW5" s="189">
        <f>IF(COUNT(EI5,EO5,EU5)=0,"",SUM(EI5,EO5,EU5)/COUNT(EI5,EO5,EU5))</f>
        <v>3.416666666666667</v>
      </c>
      <c r="EX5" s="214" t="str">
        <f t="shared" si="31"/>
        <v>B</v>
      </c>
      <c r="EY5" s="118" t="s">
        <v>31</v>
      </c>
      <c r="EZ5" s="119" t="s">
        <v>31</v>
      </c>
      <c r="FA5" s="120"/>
      <c r="FB5" s="189">
        <f>IFERROR((((COUNTIF('Elève (4ème2)'!EY5:FA5,"A"))*4)+((COUNTIF('Elève (4ème2)'!EY5:FA5,"B"))*3)+((COUNTIF('Elève (4ème2)'!EY5:FA5,"C"))*2)+((COUNTIF('Elève (4ème2)'!EY5:FA5,"D"))*1))/(COUNTA(EY5:FA5)),"")</f>
        <v>2</v>
      </c>
      <c r="FC5" s="190" t="str">
        <f t="shared" si="32"/>
        <v>C</v>
      </c>
      <c r="FD5" s="123"/>
      <c r="FE5" s="119" t="s">
        <v>30</v>
      </c>
      <c r="FF5" s="226" t="s">
        <v>30</v>
      </c>
      <c r="FG5" s="226" t="s">
        <v>31</v>
      </c>
      <c r="FH5" s="189">
        <f>IFERROR((((COUNTIF('Elève (4ème2)'!FD5:FG5,"A"))*4)+((COUNTIF('Elève (4ème2)'!FD5:FG5,"B"))*3)+((COUNTIF('Elève (4ème2)'!FD5:FG5,"C"))*2)+((COUNTIF('Elève (4ème2)'!FD5:FG5,"D"))*1))/(COUNTA(FD5:FG5)),"")</f>
        <v>2.6666666666666665</v>
      </c>
      <c r="FI5" s="190" t="str">
        <f t="shared" si="33"/>
        <v>C</v>
      </c>
      <c r="FJ5" s="123"/>
      <c r="FK5" s="124"/>
      <c r="FL5" s="120"/>
      <c r="FM5" s="126"/>
      <c r="FN5" s="189" t="str">
        <f>IFERROR((((COUNTIF('Elève (4ème2)'!FJ5:FM5,"A"))*4)+((COUNTIF('Elève (4ème2)'!FJ5:FM5,"B"))*3)+((COUNTIF('Elève (4ème2)'!FJ5:FM5,"C"))*2)+((COUNTIF('Elève (4ème2)'!FJ5:FM5,"D"))*1))/(COUNTA(FJ5:FM5)),"")</f>
        <v/>
      </c>
      <c r="FO5" s="190" t="str">
        <f t="shared" si="34"/>
        <v/>
      </c>
      <c r="FP5" s="189">
        <f>IF(COUNT(FB5,FH5,FN5)=0,"",SUM(FB5,FH5,FN5)/COUNT(FB5,FH5,FN5))</f>
        <v>2.333333333333333</v>
      </c>
      <c r="FQ5" s="214" t="str">
        <f t="shared" si="35"/>
        <v>C</v>
      </c>
      <c r="FR5" s="118" t="s">
        <v>31</v>
      </c>
      <c r="FS5" s="119" t="s">
        <v>31</v>
      </c>
      <c r="FT5" s="120"/>
      <c r="FU5" s="189">
        <f>IFERROR((((COUNTIF('Elève (4ème2)'!FR5:FT5,"A"))*4)+((COUNTIF('Elève (4ème2)'!FR5:FT5,"B"))*3)+((COUNTIF('Elève (4ème2)'!FR5:FT5,"C"))*2)+((COUNTIF('Elève (4ème2)'!FR5:FT5,"D"))*1))/(COUNTA(FR5:FT5)),"")</f>
        <v>2</v>
      </c>
      <c r="FV5" s="190" t="str">
        <f t="shared" si="36"/>
        <v>C</v>
      </c>
      <c r="FW5" s="123"/>
      <c r="FX5" s="119" t="s">
        <v>30</v>
      </c>
      <c r="FY5" s="226" t="s">
        <v>29</v>
      </c>
      <c r="FZ5" s="226" t="s">
        <v>30</v>
      </c>
      <c r="GA5" s="189">
        <f>IFERROR((((COUNTIF('Elève (4ème2)'!FW5:FZ5,"A"))*4)+((COUNTIF('Elève (4ème2)'!FW5:FZ5,"B"))*3)+((COUNTIF('Elève (4ème2)'!FW5:FZ5,"C"))*2)+((COUNTIF('Elève (4ème2)'!FW5:FZ5,"D"))*1))/(COUNTA(FW5:FZ5)),"")</f>
        <v>3.3333333333333335</v>
      </c>
      <c r="GB5" s="190" t="str">
        <f t="shared" si="37"/>
        <v>B</v>
      </c>
      <c r="GC5" s="123"/>
      <c r="GD5" s="124"/>
      <c r="GE5" s="120"/>
      <c r="GF5" s="126"/>
      <c r="GG5" s="189" t="str">
        <f>IFERROR((((COUNTIF('Elève (4ème2)'!GC5:GF5,"A"))*4)+((COUNTIF('Elève (4ème2)'!GC5:GF5,"B"))*3)+((COUNTIF('Elève (4ème2)'!GC5:GF5,"C"))*2)+((COUNTIF('Elève (4ème2)'!GC5:GF5,"D"))*1))/(COUNTA(GC5:GF5)),"")</f>
        <v/>
      </c>
      <c r="GH5" s="190" t="str">
        <f t="shared" si="38"/>
        <v/>
      </c>
      <c r="GI5" s="189">
        <f>IF(COUNT(FU5,GA5,GG5)=0,"",SUM(FU5,GA5,GG5)/COUNT(FU5,GA5,GG5))</f>
        <v>2.666666666666667</v>
      </c>
      <c r="GJ5" s="214" t="str">
        <f t="shared" si="39"/>
        <v>C</v>
      </c>
      <c r="GK5" s="118" t="s">
        <v>32</v>
      </c>
      <c r="GL5" s="119" t="s">
        <v>31</v>
      </c>
      <c r="GM5" s="120"/>
      <c r="GN5" s="189">
        <f>IFERROR((((COUNTIF('Elève (4ème2)'!GK5:GM5,"A"))*4)+((COUNTIF('Elève (4ème2)'!GK5:GM5,"B"))*3)+((COUNTIF('Elève (4ème2)'!GK5:GM5,"C"))*2)+((COUNTIF('Elève (4ème2)'!GK5:GM5,"D"))*1))/(COUNTA(GK5:GM5)),"")</f>
        <v>1.5</v>
      </c>
      <c r="GO5" s="190" t="str">
        <f t="shared" si="40"/>
        <v>D</v>
      </c>
      <c r="GP5" s="123"/>
      <c r="GQ5" s="119" t="s">
        <v>30</v>
      </c>
      <c r="GR5" s="226" t="s">
        <v>31</v>
      </c>
      <c r="GS5" s="226" t="s">
        <v>31</v>
      </c>
      <c r="GT5" s="189">
        <f>IFERROR((((COUNTIF('Elève (4ème2)'!GP5:GS5,"A"))*4)+((COUNTIF('Elève (4ème2)'!GP5:GS5,"B"))*3)+((COUNTIF('Elève (4ème2)'!GP5:GS5,"C"))*2)+((COUNTIF('Elève (4ème2)'!GP5:GS5,"D"))*1))/(COUNTA(GP5:GS5)),"")</f>
        <v>2.3333333333333335</v>
      </c>
      <c r="GU5" s="190" t="str">
        <f t="shared" si="41"/>
        <v>C</v>
      </c>
      <c r="GV5" s="123"/>
      <c r="GW5" s="124"/>
      <c r="GX5" s="120"/>
      <c r="GY5" s="126"/>
      <c r="GZ5" s="189" t="str">
        <f>IFERROR((((COUNTIF('Elève (4ème2)'!GV5:GY5,"A"))*4)+((COUNTIF('Elève (4ème2)'!GV5:GY5,"B"))*3)+((COUNTIF('Elève (4ème2)'!GV5:GY5,"C"))*2)+((COUNTIF('Elève (4ème2)'!GV5:GY5,"D"))*1))/(COUNTA(GV5:GY5)),"")</f>
        <v/>
      </c>
      <c r="HA5" s="190" t="str">
        <f t="shared" si="42"/>
        <v/>
      </c>
      <c r="HB5" s="189">
        <f>IF(COUNT(GN5,GT5,GZ5)=0,"",SUM(GN5,GT5,GZ5)/COUNT(GN5,GT5,GZ5))</f>
        <v>1.9166666666666667</v>
      </c>
      <c r="HC5" s="214" t="str">
        <f t="shared" si="43"/>
        <v>C</v>
      </c>
      <c r="HD5" s="118" t="s">
        <v>30</v>
      </c>
      <c r="HE5" s="119" t="s">
        <v>30</v>
      </c>
      <c r="HF5" s="120"/>
      <c r="HG5" s="189">
        <f>IFERROR((((COUNTIF('Elève (4ème2)'!HD5:HF5,"A"))*4)+((COUNTIF('Elève (4ème2)'!HD5:HF5,"B"))*3)+((COUNTIF('Elève (4ème2)'!HD5:HF5,"C"))*2)+((COUNTIF('Elève (4ème2)'!HD5:HF5,"D"))*1))/(COUNTA(HD5:HF5)),"")</f>
        <v>3</v>
      </c>
      <c r="HH5" s="190" t="str">
        <f t="shared" si="44"/>
        <v>B</v>
      </c>
      <c r="HI5" s="123"/>
      <c r="HJ5" s="119" t="s">
        <v>31</v>
      </c>
      <c r="HK5" s="226" t="s">
        <v>30</v>
      </c>
      <c r="HL5" s="226" t="s">
        <v>31</v>
      </c>
      <c r="HM5" s="189">
        <f>IFERROR((((COUNTIF('Elève (4ème2)'!HI5:HL5,"A"))*4)+((COUNTIF('Elève (4ème2)'!HI5:HL5,"B"))*3)+((COUNTIF('Elève (4ème2)'!HI5:HL5,"C"))*2)+((COUNTIF('Elève (4ème2)'!HI5:HL5,"D"))*1))/(COUNTA(HI5:HL5)),"")</f>
        <v>2.3333333333333335</v>
      </c>
      <c r="HN5" s="190" t="str">
        <f t="shared" si="45"/>
        <v>C</v>
      </c>
      <c r="HO5" s="123"/>
      <c r="HP5" s="124"/>
      <c r="HQ5" s="120"/>
      <c r="HR5" s="126"/>
      <c r="HS5" s="189" t="str">
        <f>IFERROR((((COUNTIF('Elève (4ème2)'!HO5:HR5,"A"))*4)+((COUNTIF('Elève (4ème2)'!HO5:HR5,"B"))*3)+((COUNTIF('Elève (4ème2)'!HO5:HR5,"C"))*2)+((COUNTIF('Elève (4ème2)'!HO5:HR5,"D"))*1))/(COUNTA(HO5:HR5)),"")</f>
        <v/>
      </c>
      <c r="HT5" s="190" t="str">
        <f t="shared" si="46"/>
        <v/>
      </c>
      <c r="HU5" s="189">
        <f>IF(COUNT(HG5,HM5,HS5)=0,"",SUM(HG5,HM5,HS5)/COUNT(HG5,HM5,HS5))</f>
        <v>2.666666666666667</v>
      </c>
      <c r="HV5" s="214" t="str">
        <f t="shared" si="47"/>
        <v>C</v>
      </c>
      <c r="HW5" s="118" t="s">
        <v>31</v>
      </c>
      <c r="HX5" s="119" t="s">
        <v>30</v>
      </c>
      <c r="HY5" s="120"/>
      <c r="HZ5" s="189">
        <f>IFERROR((((COUNTIF('Elève (4ème2)'!HW5:HY5,"A"))*4)+((COUNTIF('Elève (4ème2)'!HW5:HY5,"B"))*3)+((COUNTIF('Elève (4ème2)'!HW5:HY5,"C"))*2)+((COUNTIF('Elève (4ème2)'!HW5:HY5,"D"))*1))/(COUNTA(HW5:HY5)),"")</f>
        <v>2.5</v>
      </c>
      <c r="IA5" s="190" t="str">
        <f t="shared" si="48"/>
        <v>C</v>
      </c>
      <c r="IB5" s="123"/>
      <c r="IC5" s="119" t="s">
        <v>30</v>
      </c>
      <c r="ID5" s="226" t="s">
        <v>30</v>
      </c>
      <c r="IE5" s="226" t="s">
        <v>31</v>
      </c>
      <c r="IF5" s="189">
        <f>IFERROR((((COUNTIF('Elève (4ème2)'!IB5:IE5,"A"))*4)+((COUNTIF('Elève (4ème2)'!IB5:IE5,"B"))*3)+((COUNTIF('Elève (4ème2)'!IB5:IE5,"C"))*2)+((COUNTIF('Elève (4ème2)'!IB5:IE5,"D"))*1))/(COUNTA(IB5:IE5)),"")</f>
        <v>2.6666666666666665</v>
      </c>
      <c r="IG5" s="190" t="str">
        <f t="shared" si="49"/>
        <v>C</v>
      </c>
      <c r="IH5" s="123"/>
      <c r="II5" s="124"/>
      <c r="IJ5" s="120"/>
      <c r="IK5" s="126"/>
      <c r="IL5" s="189" t="str">
        <f>IFERROR((((COUNTIF('Elève (4ème2)'!IH5:IK5,"A"))*4)+((COUNTIF('Elève (4ème2)'!IH5:IK5,"B"))*3)+((COUNTIF('Elève (4ème2)'!IH5:IK5,"C"))*2)+((COUNTIF('Elève (4ème2)'!IH5:IK5,"D"))*1))/(COUNTA(IH5:IK5)),"")</f>
        <v/>
      </c>
      <c r="IM5" s="190" t="str">
        <f t="shared" si="50"/>
        <v/>
      </c>
      <c r="IN5" s="189">
        <f>IF(COUNT(HZ5,IF5,IL5)=0,"",SUM(HZ5,IF5,IL5)/COUNT(HZ5,IF5,IL5))</f>
        <v>2.583333333333333</v>
      </c>
      <c r="IO5" s="214" t="str">
        <f t="shared" si="51"/>
        <v>C</v>
      </c>
      <c r="IP5" s="118" t="s">
        <v>29</v>
      </c>
      <c r="IQ5" s="119" t="s">
        <v>29</v>
      </c>
      <c r="IR5" s="120"/>
      <c r="IS5" s="189">
        <f>IFERROR((((COUNTIF('Elève (4ème2)'!IP5:IR5,"A"))*4)+((COUNTIF('Elève (4ème2)'!IP5:IR5,"B"))*3)+((COUNTIF('Elève (4ème2)'!IP5:IR5,"C"))*2)+((COUNTIF('Elève (4ème2)'!IP5:IR5,"D"))*1))/(COUNTA(IP5:IR5)),"")</f>
        <v>4</v>
      </c>
      <c r="IT5" s="190" t="str">
        <f t="shared" si="52"/>
        <v>A</v>
      </c>
      <c r="IU5" s="123"/>
      <c r="IV5" s="119" t="s">
        <v>29</v>
      </c>
      <c r="IW5" s="226" t="s">
        <v>30</v>
      </c>
      <c r="IX5" s="226" t="s">
        <v>29</v>
      </c>
      <c r="IY5" s="189">
        <f>IFERROR((((COUNTIF('Elève (4ème2)'!IU5:IX5,"A"))*4)+((COUNTIF('Elève (4ème2)'!IU5:IX5,"B"))*3)+((COUNTIF('Elève (4ème2)'!IU5:IX5,"C"))*2)+((COUNTIF('Elève (4ème2)'!IU5:IX5,"D"))*1))/(COUNTA(IU5:IX5)),"")</f>
        <v>3.6666666666666665</v>
      </c>
      <c r="IZ5" s="190" t="str">
        <f t="shared" si="53"/>
        <v>B</v>
      </c>
      <c r="JA5" s="123"/>
      <c r="JB5" s="124"/>
      <c r="JC5" s="120"/>
      <c r="JD5" s="126"/>
      <c r="JE5" s="189" t="str">
        <f>IFERROR((((COUNTIF('Elève (4ème2)'!JA5:JD5,"A"))*4)+((COUNTIF('Elève (4ème2)'!JA5:JD5,"B"))*3)+((COUNTIF('Elève (4ème2)'!JA5:JD5,"C"))*2)+((COUNTIF('Elève (4ème2)'!JA5:JD5,"D"))*1))/(COUNTA(JA5:JD5)),"")</f>
        <v/>
      </c>
      <c r="JF5" s="190" t="str">
        <f t="shared" si="54"/>
        <v/>
      </c>
      <c r="JG5" s="189">
        <f>IF(COUNT(IS5,IY5,JE5)=0,"",SUM(IS5,IY5,JE5)/COUNT(IS5,IY5,JE5))</f>
        <v>3.833333333333333</v>
      </c>
      <c r="JH5" s="214" t="str">
        <f t="shared" si="55"/>
        <v>A</v>
      </c>
      <c r="JI5" s="118" t="s">
        <v>30</v>
      </c>
      <c r="JJ5" s="119" t="s">
        <v>30</v>
      </c>
      <c r="JK5" s="120"/>
      <c r="JL5" s="189">
        <f>IFERROR((((COUNTIF('Elève (4ème2)'!JI5:JK5,"A"))*4)+((COUNTIF('Elève (4ème2)'!JI5:JK5,"B"))*3)+((COUNTIF('Elève (4ème2)'!JI5:JK5,"C"))*2)+((COUNTIF('Elève (4ème2)'!JI5:JK5,"D"))*1))/(COUNTA(JI5:JK5)),"")</f>
        <v>3</v>
      </c>
      <c r="JM5" s="190" t="str">
        <f t="shared" si="56"/>
        <v>B</v>
      </c>
      <c r="JN5" s="123"/>
      <c r="JO5" s="119" t="s">
        <v>30</v>
      </c>
      <c r="JP5" s="226" t="s">
        <v>30</v>
      </c>
      <c r="JQ5" s="226" t="s">
        <v>31</v>
      </c>
      <c r="JR5" s="189">
        <f>IFERROR((((COUNTIF('Elève (4ème2)'!JN5:JQ5,"A"))*4)+((COUNTIF('Elève (4ème2)'!JN5:JQ5,"B"))*3)+((COUNTIF('Elève (4ème2)'!JN5:JQ5,"C"))*2)+((COUNTIF('Elève (4ème2)'!JN5:JQ5,"D"))*1))/(COUNTA(JN5:JQ5)),"")</f>
        <v>2.6666666666666665</v>
      </c>
      <c r="JS5" s="190" t="str">
        <f t="shared" si="57"/>
        <v>C</v>
      </c>
      <c r="JT5" s="123"/>
      <c r="JU5" s="124"/>
      <c r="JV5" s="120"/>
      <c r="JW5" s="126"/>
      <c r="JX5" s="189" t="str">
        <f>IFERROR((((COUNTIF('Elève (4ème2)'!JT5:JW5,"A"))*4)+((COUNTIF('Elève (4ème2)'!JT5:JW5,"B"))*3)+((COUNTIF('Elève (4ème2)'!JT5:JW5,"C"))*2)+((COUNTIF('Elève (4ème2)'!JT5:JW5,"D"))*1))/(COUNTA(JT5:JW5)),"")</f>
        <v/>
      </c>
      <c r="JY5" s="190" t="str">
        <f t="shared" si="58"/>
        <v/>
      </c>
      <c r="JZ5" s="189">
        <f>IF(COUNT(JL5,JR5,JX5)=0,"",SUM(JL5,JR5,JX5)/COUNT(JL5,JR5,JX5))</f>
        <v>2.833333333333333</v>
      </c>
      <c r="KA5" s="214" t="str">
        <f t="shared" si="59"/>
        <v>B</v>
      </c>
      <c r="KB5" s="118" t="s">
        <v>31</v>
      </c>
      <c r="KC5" s="119" t="s">
        <v>29</v>
      </c>
      <c r="KD5" s="120"/>
      <c r="KE5" s="189">
        <f>IFERROR((((COUNTIF('Elève (4ème2)'!KB5:KD5,"A"))*4)+((COUNTIF('Elève (4ème2)'!KB5:KD5,"B"))*3)+((COUNTIF('Elève (4ème2)'!KB5:KD5,"C"))*2)+((COUNTIF('Elève (4ème2)'!KB5:KD5,"D"))*1))/(COUNTA(KB5:KD5)),"")</f>
        <v>3</v>
      </c>
      <c r="KF5" s="190" t="str">
        <f t="shared" si="60"/>
        <v>B</v>
      </c>
      <c r="KG5" s="123"/>
      <c r="KH5" s="119" t="s">
        <v>30</v>
      </c>
      <c r="KI5" s="226" t="s">
        <v>30</v>
      </c>
      <c r="KJ5" s="226" t="s">
        <v>30</v>
      </c>
      <c r="KK5" s="189">
        <f>IFERROR((((COUNTIF('Elève (4ème2)'!KG5:KJ5,"A"))*4)+((COUNTIF('Elève (4ème2)'!KG5:KJ5,"B"))*3)+((COUNTIF('Elève (4ème2)'!KG5:KJ5,"C"))*2)+((COUNTIF('Elève (4ème2)'!KG5:KJ5,"D"))*1))/(COUNTA(KG5:KJ5)),"")</f>
        <v>3</v>
      </c>
      <c r="KL5" s="190" t="str">
        <f t="shared" si="61"/>
        <v>B</v>
      </c>
      <c r="KM5" s="123"/>
      <c r="KN5" s="124"/>
      <c r="KO5" s="120"/>
      <c r="KP5" s="126"/>
      <c r="KQ5" s="189" t="str">
        <f>IFERROR((((COUNTIF('Elève (4ème2)'!KM5:KP5,"A"))*4)+((COUNTIF('Elève (4ème2)'!KM5:KP5,"B"))*3)+((COUNTIF('Elève (4ème2)'!KM5:KP5,"C"))*2)+((COUNTIF('Elève (4ème2)'!KM5:KP5,"D"))*1))/(COUNTA(KM5:KP5)),"")</f>
        <v/>
      </c>
      <c r="KR5" s="190" t="str">
        <f t="shared" si="62"/>
        <v/>
      </c>
      <c r="KS5" s="189">
        <f>IF(COUNT(KE5,KK5,KQ5)=0,"",SUM(KE5,KK5,KQ5)/COUNT(KE5,KK5,KQ5))</f>
        <v>3</v>
      </c>
      <c r="KT5" s="214" t="str">
        <f t="shared" si="63"/>
        <v>B</v>
      </c>
      <c r="KU5" s="118" t="s">
        <v>30</v>
      </c>
      <c r="KV5" s="119" t="s">
        <v>31</v>
      </c>
      <c r="KW5" s="120"/>
      <c r="KX5" s="189">
        <f>IFERROR((((COUNTIF('Elève (4ème2)'!KU5:KW5,"A"))*4)+((COUNTIF('Elève (4ème2)'!KU5:KW5,"B"))*3)+((COUNTIF('Elève (4ème2)'!KU5:KW5,"C"))*2)+((COUNTIF('Elève (4ème2)'!KU5:KW5,"D"))*1))/(COUNTA(KU5:KW5)),"")</f>
        <v>2.5</v>
      </c>
      <c r="KY5" s="190" t="str">
        <f t="shared" si="64"/>
        <v>C</v>
      </c>
      <c r="KZ5" s="123"/>
      <c r="LA5" s="119" t="s">
        <v>31</v>
      </c>
      <c r="LB5" s="226" t="s">
        <v>30</v>
      </c>
      <c r="LC5" s="226" t="s">
        <v>31</v>
      </c>
      <c r="LD5" s="189">
        <f>IFERROR((((COUNTIF('Elève (4ème2)'!KZ5:LC5,"A"))*4)+((COUNTIF('Elève (4ème2)'!KZ5:LC5,"B"))*3)+((COUNTIF('Elève (4ème2)'!KZ5:LC5,"C"))*2)+((COUNTIF('Elève (4ème2)'!KZ5:LC5,"D"))*1))/(COUNTA(KZ5:LC5)),"")</f>
        <v>2.3333333333333335</v>
      </c>
      <c r="LE5" s="190" t="str">
        <f t="shared" si="65"/>
        <v>C</v>
      </c>
      <c r="LF5" s="123"/>
      <c r="LG5" s="124"/>
      <c r="LH5" s="120"/>
      <c r="LI5" s="126"/>
      <c r="LJ5" s="189" t="str">
        <f>IFERROR((((COUNTIF('Elève (4ème2)'!LF5:LI5,"A"))*4)+((COUNTIF('Elève (4ème2)'!LF5:LI5,"B"))*3)+((COUNTIF('Elève (4ème2)'!LF5:LI5,"C"))*2)+((COUNTIF('Elève (4ème2)'!LF5:LI5,"D"))*1))/(COUNTA(LF5:LI5)),"")</f>
        <v/>
      </c>
      <c r="LK5" s="190" t="str">
        <f t="shared" si="66"/>
        <v/>
      </c>
      <c r="LL5" s="189">
        <f>IF(COUNT(KX5,LD5,LJ5)=0,"",SUM(KX5,LD5,LJ5)/COUNT(KX5,LD5,LJ5))</f>
        <v>2.416666666666667</v>
      </c>
      <c r="LM5" s="214" t="str">
        <f t="shared" si="67"/>
        <v>C</v>
      </c>
      <c r="LN5" s="118" t="s">
        <v>31</v>
      </c>
      <c r="LO5" s="119" t="s">
        <v>30</v>
      </c>
      <c r="LP5" s="120"/>
      <c r="LQ5" s="189">
        <f>IFERROR((((COUNTIF('Elève (4ème2)'!LN5:LP5,"A"))*4)+((COUNTIF('Elève (4ème2)'!LN5:LP5,"B"))*3)+((COUNTIF('Elève (4ème2)'!LN5:LP5,"C"))*2)+((COUNTIF('Elève (4ème2)'!LN5:LP5,"D"))*1))/(COUNTA(LN5:LP5)),"")</f>
        <v>2.5</v>
      </c>
      <c r="LR5" s="190" t="str">
        <f t="shared" si="68"/>
        <v>C</v>
      </c>
      <c r="LS5" s="123"/>
      <c r="LT5" s="119" t="s">
        <v>32</v>
      </c>
      <c r="LU5" s="226" t="s">
        <v>30</v>
      </c>
      <c r="LV5" s="226" t="s">
        <v>31</v>
      </c>
      <c r="LW5" s="189">
        <f>IFERROR((((COUNTIF('Elève (4ème2)'!LS5:LV5,"A"))*4)+((COUNTIF('Elève (4ème2)'!LS5:LV5,"B"))*3)+((COUNTIF('Elève (4ème2)'!LS5:LV5,"C"))*2)+((COUNTIF('Elève (4ème2)'!LS5:LV5,"D"))*1))/(COUNTA(LS5:LV5)),"")</f>
        <v>2</v>
      </c>
      <c r="LX5" s="190" t="str">
        <f t="shared" si="69"/>
        <v>C</v>
      </c>
      <c r="LY5" s="123"/>
      <c r="LZ5" s="124"/>
      <c r="MA5" s="120"/>
      <c r="MB5" s="126"/>
      <c r="MC5" s="189" t="str">
        <f>IFERROR((((COUNTIF('Elève (4ème2)'!LY5:MB5,"A"))*4)+((COUNTIF('Elève (4ème2)'!LY5:MB5,"B"))*3)+((COUNTIF('Elève (4ème2)'!LY5:MB5,"C"))*2)+((COUNTIF('Elève (4ème2)'!LY5:MB5,"D"))*1))/(COUNTA(LY5:MB5)),"")</f>
        <v/>
      </c>
      <c r="MD5" s="190" t="str">
        <f t="shared" si="70"/>
        <v/>
      </c>
      <c r="ME5" s="189">
        <f>IF(COUNT(LQ5,LW5,MC5)=0,"",SUM(LQ5,LW5,MC5)/COUNT(LQ5,LW5,MC5))</f>
        <v>2.25</v>
      </c>
      <c r="MF5" s="214" t="str">
        <f t="shared" si="71"/>
        <v>C</v>
      </c>
      <c r="MG5" s="118" t="s">
        <v>30</v>
      </c>
      <c r="MH5" s="119" t="s">
        <v>30</v>
      </c>
      <c r="MI5" s="120"/>
      <c r="MJ5" s="189">
        <f>IFERROR((((COUNTIF('Elève (4ème2)'!MG5:MI5,"A"))*4)+((COUNTIF('Elève (4ème2)'!MG5:MI5,"B"))*3)+((COUNTIF('Elève (4ème2)'!MG5:MI5,"C"))*2)+((COUNTIF('Elève (4ème2)'!MG5:MI5,"D"))*1))/(COUNTA(MG5:MI5)),"")</f>
        <v>3</v>
      </c>
      <c r="MK5" s="190" t="str">
        <f t="shared" si="72"/>
        <v>B</v>
      </c>
      <c r="ML5" s="123"/>
      <c r="MM5" s="119" t="s">
        <v>29</v>
      </c>
      <c r="MN5" s="226" t="s">
        <v>30</v>
      </c>
      <c r="MO5" s="226" t="s">
        <v>30</v>
      </c>
      <c r="MP5" s="189">
        <f>IFERROR((((COUNTIF('Elève (4ème2)'!ML5:MO5,"A"))*4)+((COUNTIF('Elève (4ème2)'!ML5:MO5,"B"))*3)+((COUNTIF('Elève (4ème2)'!ML5:MO5,"C"))*2)+((COUNTIF('Elève (4ème2)'!ML5:MO5,"D"))*1))/(COUNTA(ML5:MO5)),"")</f>
        <v>3.3333333333333335</v>
      </c>
      <c r="MQ5" s="190" t="str">
        <f t="shared" si="73"/>
        <v>B</v>
      </c>
      <c r="MR5" s="123"/>
      <c r="MS5" s="124"/>
      <c r="MT5" s="120"/>
      <c r="MU5" s="126"/>
      <c r="MV5" s="189" t="str">
        <f>IFERROR((((COUNTIF('Elève (4ème2)'!MR5:MU5,"A"))*4)+((COUNTIF('Elève (4ème2)'!MR5:MU5,"B"))*3)+((COUNTIF('Elève (4ème2)'!MR5:MU5,"C"))*2)+((COUNTIF('Elève (4ème2)'!MR5:MU5,"D"))*1))/(COUNTA(MR5:MU5)),"")</f>
        <v/>
      </c>
      <c r="MW5" s="190" t="str">
        <f t="shared" si="74"/>
        <v/>
      </c>
      <c r="MX5" s="189">
        <f>IF(COUNT(MJ5,MP5,MV5)=0,"",SUM(MJ5,MP5,MV5)/COUNT(MJ5,MP5,MV5))</f>
        <v>3.166666666666667</v>
      </c>
      <c r="MY5" s="214" t="str">
        <f t="shared" si="75"/>
        <v>B</v>
      </c>
      <c r="MZ5" s="118" t="s">
        <v>30</v>
      </c>
      <c r="NA5" s="119" t="s">
        <v>29</v>
      </c>
      <c r="NB5" s="120"/>
      <c r="NC5" s="189">
        <f>IFERROR((((COUNTIF('Elève (4ème2)'!MZ5:NB5,"A"))*4)+((COUNTIF('Elève (4ème2)'!MZ5:NB5,"B"))*3)+((COUNTIF('Elève (4ème2)'!MZ5:NB5,"C"))*2)+((COUNTIF('Elève (4ème2)'!MZ5:NB5,"D"))*1))/(COUNTA(MZ5:NB5)),"")</f>
        <v>3.5</v>
      </c>
      <c r="ND5" s="190" t="str">
        <f t="shared" si="76"/>
        <v>B</v>
      </c>
      <c r="NE5" s="123"/>
      <c r="NF5" s="119" t="s">
        <v>30</v>
      </c>
      <c r="NG5" s="226" t="s">
        <v>30</v>
      </c>
      <c r="NH5" s="226" t="s">
        <v>31</v>
      </c>
      <c r="NI5" s="189">
        <f>IFERROR((((COUNTIF('Elève (4ème2)'!NE5:NH5,"A"))*4)+((COUNTIF('Elève (4ème2)'!NE5:NH5,"B"))*3)+((COUNTIF('Elève (4ème2)'!NE5:NH5,"C"))*2)+((COUNTIF('Elève (4ème2)'!NE5:NH5,"D"))*1))/(COUNTA(NE5:NH5)),"")</f>
        <v>2.6666666666666665</v>
      </c>
      <c r="NJ5" s="190" t="str">
        <f t="shared" si="77"/>
        <v>C</v>
      </c>
      <c r="NK5" s="123"/>
      <c r="NL5" s="124"/>
      <c r="NM5" s="120"/>
      <c r="NN5" s="126"/>
      <c r="NO5" s="189" t="str">
        <f>IFERROR((((COUNTIF('Elève (4ème2)'!NK5:NN5,"A"))*4)+((COUNTIF('Elève (4ème2)'!NK5:NN5,"B"))*3)+((COUNTIF('Elève (4ème2)'!NK5:NN5,"C"))*2)+((COUNTIF('Elève (4ème2)'!NK5:NN5,"D"))*1))/(COUNTA(NK5:NN5)),"")</f>
        <v/>
      </c>
      <c r="NP5" s="190" t="str">
        <f t="shared" si="78"/>
        <v/>
      </c>
      <c r="NQ5" s="189">
        <f>IF(COUNT(NC5,NI5,NO5)=0,"",SUM(NC5,NI5,NO5)/COUNT(NC5,NI5,NO5))</f>
        <v>3.083333333333333</v>
      </c>
      <c r="NR5" s="214" t="str">
        <f t="shared" si="79"/>
        <v>B</v>
      </c>
      <c r="NS5" s="118" t="s">
        <v>30</v>
      </c>
      <c r="NT5" s="119" t="s">
        <v>30</v>
      </c>
      <c r="NU5" s="120"/>
      <c r="NV5" s="189">
        <f>IFERROR((((COUNTIF('Elève (4ème2)'!NS5:NU5,"A"))*4)+((COUNTIF('Elève (4ème2)'!NS5:NU5,"B"))*3)+((COUNTIF('Elève (4ème2)'!NS5:NU5,"C"))*2)+((COUNTIF('Elève (4ème2)'!NS5:NU5,"D"))*1))/(COUNTA(NS5:NU5)),"")</f>
        <v>3</v>
      </c>
      <c r="NW5" s="190" t="str">
        <f t="shared" si="80"/>
        <v>B</v>
      </c>
      <c r="NX5" s="123"/>
      <c r="NY5" s="119" t="s">
        <v>31</v>
      </c>
      <c r="NZ5" s="226" t="s">
        <v>30</v>
      </c>
      <c r="OA5" s="226" t="s">
        <v>31</v>
      </c>
      <c r="OB5" s="189">
        <f>IFERROR((((COUNTIF('Elève (4ème2)'!NX5:OA5,"A"))*4)+((COUNTIF('Elève (4ème2)'!NX5:OA5,"B"))*3)+((COUNTIF('Elève (4ème2)'!NX5:OA5,"C"))*2)+((COUNTIF('Elève (4ème2)'!NX5:OA5,"D"))*1))/(COUNTA(NX5:OA5)),"")</f>
        <v>2.3333333333333335</v>
      </c>
      <c r="OC5" s="190" t="str">
        <f t="shared" si="81"/>
        <v>C</v>
      </c>
      <c r="OD5" s="123"/>
      <c r="OE5" s="124"/>
      <c r="OF5" s="120"/>
      <c r="OG5" s="126"/>
      <c r="OH5" s="189" t="str">
        <f>IFERROR((((COUNTIF('Elève (4ème2)'!OD5:OG5,"A"))*4)+((COUNTIF('Elève (4ème2)'!OD5:OG5,"B"))*3)+((COUNTIF('Elève (4ème2)'!OD5:OG5,"C"))*2)+((COUNTIF('Elève (4ème2)'!OD5:OG5,"D"))*1))/(COUNTA(OD5:OG5)),"")</f>
        <v/>
      </c>
      <c r="OI5" s="190" t="str">
        <f t="shared" si="82"/>
        <v/>
      </c>
      <c r="OJ5" s="189">
        <f>IF(COUNT(NV5,OB5,OH5)=0,"",SUM(NV5,OB5,OH5)/COUNT(NV5,OB5,OH5))</f>
        <v>2.666666666666667</v>
      </c>
      <c r="OK5" s="214" t="str">
        <f t="shared" si="83"/>
        <v>C</v>
      </c>
      <c r="OL5" s="118" t="s">
        <v>30</v>
      </c>
      <c r="OM5" s="119" t="s">
        <v>30</v>
      </c>
      <c r="ON5" s="120"/>
      <c r="OO5" s="189">
        <f>IFERROR((((COUNTIF('Elève (4ème2)'!OL5:ON5,"A"))*4)+((COUNTIF('Elève (4ème2)'!OL5:ON5,"B"))*3)+((COUNTIF('Elève (4ème2)'!OL5:ON5,"C"))*2)+((COUNTIF('Elève (4ème2)'!OL5:ON5,"D"))*1))/(COUNTA(OL5:ON5)),"")</f>
        <v>3</v>
      </c>
      <c r="OP5" s="190" t="str">
        <f t="shared" si="84"/>
        <v>B</v>
      </c>
      <c r="OQ5" s="123"/>
      <c r="OR5" s="119" t="s">
        <v>31</v>
      </c>
      <c r="OS5" s="226" t="s">
        <v>30</v>
      </c>
      <c r="OT5" s="226" t="s">
        <v>31</v>
      </c>
      <c r="OU5" s="189">
        <f>IFERROR((((COUNTIF('Elève (4ème2)'!OQ5:OT5,"A"))*4)+((COUNTIF('Elève (4ème2)'!OQ5:OT5,"B"))*3)+((COUNTIF('Elève (4ème2)'!OQ5:OT5,"C"))*2)+((COUNTIF('Elève (4ème2)'!OQ5:OT5,"D"))*1))/(COUNTA(OQ5:OT5)),"")</f>
        <v>2.3333333333333335</v>
      </c>
      <c r="OV5" s="190" t="str">
        <f t="shared" si="85"/>
        <v>C</v>
      </c>
      <c r="OW5" s="123"/>
      <c r="OX5" s="124"/>
      <c r="OY5" s="120"/>
      <c r="OZ5" s="126"/>
      <c r="PA5" s="189" t="str">
        <f>IFERROR((((COUNTIF('Elève (4ème2)'!OW5:OZ5,"A"))*4)+((COUNTIF('Elève (4ème2)'!OW5:OZ5,"B"))*3)+((COUNTIF('Elève (4ème2)'!OW5:OZ5,"C"))*2)+((COUNTIF('Elève (4ème2)'!OW5:OZ5,"D"))*1))/(COUNTA(OW5:OZ5)),"")</f>
        <v/>
      </c>
      <c r="PB5" s="190" t="str">
        <f t="shared" si="86"/>
        <v/>
      </c>
      <c r="PC5" s="189">
        <f>IF(COUNT(OO5,OU5,PA5)=0,"",SUM(OO5,OU5,PA5)/COUNT(OO5,OU5,PA5))</f>
        <v>2.666666666666667</v>
      </c>
      <c r="PD5" s="214" t="str">
        <f t="shared" si="87"/>
        <v>C</v>
      </c>
      <c r="PE5" s="118" t="s">
        <v>31</v>
      </c>
      <c r="PF5" s="119" t="s">
        <v>30</v>
      </c>
      <c r="PG5" s="120"/>
      <c r="PH5" s="189">
        <f>IFERROR((((COUNTIF('Elève (4ème2)'!PE5:PG5,"A"))*4)+((COUNTIF('Elève (4ème2)'!PE5:PG5,"B"))*3)+((COUNTIF('Elève (4ème2)'!PE5:PG5,"C"))*2)+((COUNTIF('Elève (4ème2)'!PE5:PG5,"D"))*1))/(COUNTA(PE5:PG5)),"")</f>
        <v>2.5</v>
      </c>
      <c r="PI5" s="190" t="str">
        <f t="shared" si="88"/>
        <v>C</v>
      </c>
      <c r="PJ5" s="123"/>
      <c r="PK5" s="119" t="s">
        <v>32</v>
      </c>
      <c r="PL5" s="226" t="s">
        <v>31</v>
      </c>
      <c r="PM5" s="226" t="s">
        <v>31</v>
      </c>
      <c r="PN5" s="189">
        <f>IFERROR((((COUNTIF('Elève (4ème2)'!PJ5:PM5,"A"))*4)+((COUNTIF('Elève (4ème2)'!PJ5:PM5,"B"))*3)+((COUNTIF('Elève (4ème2)'!PJ5:PM5,"C"))*2)+((COUNTIF('Elève (4ème2)'!PJ5:PM5,"D"))*1))/(COUNTA(PJ5:PM5)),"")</f>
        <v>1.6666666666666667</v>
      </c>
      <c r="PO5" s="190" t="str">
        <f t="shared" si="89"/>
        <v>C</v>
      </c>
      <c r="PP5" s="123"/>
      <c r="PQ5" s="124"/>
      <c r="PR5" s="120"/>
      <c r="PS5" s="126"/>
      <c r="PT5" s="189" t="str">
        <f>IFERROR((((COUNTIF('Elève (4ème2)'!PP5:PS5,"A"))*4)+((COUNTIF('Elève (4ème2)'!PP5:PS5,"B"))*3)+((COUNTIF('Elève (4ème2)'!PP5:PS5,"C"))*2)+((COUNTIF('Elève (4ème2)'!PP5:PS5,"D"))*1))/(COUNTA(PP5:PS5)),"")</f>
        <v/>
      </c>
      <c r="PU5" s="190" t="str">
        <f t="shared" si="90"/>
        <v/>
      </c>
      <c r="PV5" s="189">
        <f>IF(COUNT(PH5,PN5,PT5)=0,"",SUM(PH5,PN5,PT5)/COUNT(PH5,PN5,PT5))</f>
        <v>2.0833333333333335</v>
      </c>
      <c r="PW5" s="214" t="str">
        <f t="shared" si="91"/>
        <v>C</v>
      </c>
      <c r="PX5" s="118" t="s">
        <v>31</v>
      </c>
      <c r="PY5" s="119" t="s">
        <v>30</v>
      </c>
      <c r="PZ5" s="120"/>
      <c r="QA5" s="189">
        <f>IFERROR((((COUNTIF('Elève (4ème2)'!PX5:PZ5,"A"))*4)+((COUNTIF('Elève (4ème2)'!PX5:PZ5,"B"))*3)+((COUNTIF('Elève (4ème2)'!PX5:PZ5,"C"))*2)+((COUNTIF('Elève (4ème2)'!PX5:PZ5,"D"))*1))/(COUNTA(PX5:PZ5)),"")</f>
        <v>2.5</v>
      </c>
      <c r="QB5" s="190" t="str">
        <f t="shared" si="92"/>
        <v>C</v>
      </c>
      <c r="QC5" s="123"/>
      <c r="QD5" s="119"/>
      <c r="QE5" s="226" t="s">
        <v>30</v>
      </c>
      <c r="QF5" s="226" t="s">
        <v>31</v>
      </c>
      <c r="QG5" s="189">
        <f>IFERROR((((COUNTIF('Elève (4ème2)'!QC5:QF5,"A"))*4)+((COUNTIF('Elève (4ème2)'!QC5:QF5,"B"))*3)+((COUNTIF('Elève (4ème2)'!QC5:QF5,"C"))*2)+((COUNTIF('Elève (4ème2)'!QC5:QF5,"D"))*1))/(COUNTA(QC5:QF5)),"")</f>
        <v>2.5</v>
      </c>
      <c r="QH5" s="190" t="str">
        <f t="shared" si="93"/>
        <v>C</v>
      </c>
      <c r="QI5" s="123"/>
      <c r="QJ5" s="124"/>
      <c r="QK5" s="120"/>
      <c r="QL5" s="126"/>
      <c r="QM5" s="189" t="str">
        <f>IFERROR((((COUNTIF('Elève (4ème2)'!QI5:QL5,"A"))*4)+((COUNTIF('Elève (4ème2)'!QI5:QL5,"B"))*3)+((COUNTIF('Elève (4ème2)'!QI5:QL5,"C"))*2)+((COUNTIF('Elève (4ème2)'!QI5:QL5,"D"))*1))/(COUNTA(QI5:QL5)),"")</f>
        <v/>
      </c>
      <c r="QN5" s="190" t="str">
        <f t="shared" si="94"/>
        <v/>
      </c>
      <c r="QO5" s="189">
        <f>IF(COUNT(QA5,QG5,QM5)=0,"",SUM(QA5,QG5,QM5)/COUNT(QA5,QG5,QM5))</f>
        <v>2.5</v>
      </c>
      <c r="QP5" s="214" t="str">
        <f t="shared" si="95"/>
        <v>C</v>
      </c>
      <c r="QQ5" s="118" t="s">
        <v>30</v>
      </c>
      <c r="QR5" s="119" t="s">
        <v>30</v>
      </c>
      <c r="QS5" s="120"/>
      <c r="QT5" s="189">
        <f>IFERROR((((COUNTIF('Elève (4ème2)'!QQ5:QS5,"A"))*4)+((COUNTIF('Elève (4ème2)'!QQ5:QS5,"B"))*3)+((COUNTIF('Elève (4ème2)'!QQ5:QS5,"C"))*2)+((COUNTIF('Elève (4ème2)'!QQ5:QS5,"D"))*1))/(COUNTA(QQ5:QS5)),"")</f>
        <v>3</v>
      </c>
      <c r="QU5" s="190" t="str">
        <f t="shared" si="96"/>
        <v>B</v>
      </c>
      <c r="QV5" s="123"/>
      <c r="QW5" s="119" t="s">
        <v>30</v>
      </c>
      <c r="QX5" s="226" t="s">
        <v>30</v>
      </c>
      <c r="QY5" s="226" t="s">
        <v>30</v>
      </c>
      <c r="QZ5" s="189">
        <f>IFERROR((((COUNTIF('Elève (4ème2)'!QV5:QY5,"A"))*4)+((COUNTIF('Elève (4ème2)'!QV5:QY5,"B"))*3)+((COUNTIF('Elève (4ème2)'!QV5:QY5,"C"))*2)+((COUNTIF('Elève (4ème2)'!QV5:QY5,"D"))*1))/(COUNTA(QV5:QY5)),"")</f>
        <v>3</v>
      </c>
      <c r="RA5" s="190" t="str">
        <f t="shared" si="97"/>
        <v>B</v>
      </c>
      <c r="RB5" s="123"/>
      <c r="RC5" s="124"/>
      <c r="RD5" s="120"/>
      <c r="RE5" s="126"/>
      <c r="RF5" s="189" t="str">
        <f>IFERROR((((COUNTIF('Elève (4ème2)'!RB5:RE5,"A"))*4)+((COUNTIF('Elève (4ème2)'!RB5:RE5,"B"))*3)+((COUNTIF('Elève (4ème2)'!RB5:RE5,"C"))*2)+((COUNTIF('Elève (4ème2)'!RB5:RE5,"D"))*1))/(COUNTA(RB5:RE5)),"")</f>
        <v/>
      </c>
      <c r="RG5" s="190" t="str">
        <f t="shared" si="98"/>
        <v/>
      </c>
      <c r="RH5" s="189">
        <f>IF(COUNT(QT5,QZ5,RF5)=0,"",SUM(QT5,QZ5,RF5)/COUNT(QT5,QZ5,RF5))</f>
        <v>3</v>
      </c>
      <c r="RI5" s="214" t="str">
        <f t="shared" si="99"/>
        <v>B</v>
      </c>
      <c r="RJ5" s="118" t="s">
        <v>30</v>
      </c>
      <c r="RK5" s="119" t="s">
        <v>29</v>
      </c>
      <c r="RL5" s="120"/>
      <c r="RM5" s="189">
        <f>IFERROR((((COUNTIF('Elève (4ème2)'!RJ5:RL5,"A"))*4)+((COUNTIF('Elève (4ème2)'!RJ5:RL5,"B"))*3)+((COUNTIF('Elève (4ème2)'!RJ5:RL5,"C"))*2)+((COUNTIF('Elève (4ème2)'!RJ5:RL5,"D"))*1))/(COUNTA(RJ5:RL5)),"")</f>
        <v>3.5</v>
      </c>
      <c r="RN5" s="190" t="str">
        <f t="shared" si="100"/>
        <v>B</v>
      </c>
      <c r="RO5" s="123"/>
      <c r="RP5" s="119" t="s">
        <v>30</v>
      </c>
      <c r="RQ5" s="226" t="s">
        <v>31</v>
      </c>
      <c r="RR5" s="226" t="s">
        <v>31</v>
      </c>
      <c r="RS5" s="189">
        <f>IFERROR((((COUNTIF('Elève (4ème2)'!RO5:RR5,"A"))*4)+((COUNTIF('Elève (4ème2)'!RO5:RR5,"B"))*3)+((COUNTIF('Elève (4ème2)'!RO5:RR5,"C"))*2)+((COUNTIF('Elève (4ème2)'!RO5:RR5,"D"))*1))/(COUNTA(RO5:RR5)),"")</f>
        <v>2.3333333333333335</v>
      </c>
      <c r="RT5" s="190" t="str">
        <f t="shared" si="101"/>
        <v>C</v>
      </c>
      <c r="RU5" s="123"/>
      <c r="RV5" s="124"/>
      <c r="RW5" s="120"/>
      <c r="RX5" s="126"/>
      <c r="RY5" s="189" t="str">
        <f>IFERROR((((COUNTIF('Elève (4ème2)'!RU5:RX5,"A"))*4)+((COUNTIF('Elève (4ème2)'!RU5:RX5,"B"))*3)+((COUNTIF('Elève (4ème2)'!RU5:RX5,"C"))*2)+((COUNTIF('Elève (4ème2)'!RU5:RX5,"D"))*1))/(COUNTA(RU5:RX5)),"")</f>
        <v/>
      </c>
      <c r="RZ5" s="190" t="str">
        <f t="shared" si="102"/>
        <v/>
      </c>
      <c r="SA5" s="189">
        <f>IF(COUNT(RM5,RS5,RY5)=0,"",SUM(RM5,RS5,RY5)/COUNT(RM5,RS5,RY5))</f>
        <v>2.916666666666667</v>
      </c>
      <c r="SB5" s="214" t="str">
        <f t="shared" si="103"/>
        <v>B</v>
      </c>
      <c r="SC5" s="118" t="s">
        <v>30</v>
      </c>
      <c r="SD5" s="119" t="s">
        <v>30</v>
      </c>
      <c r="SE5" s="120"/>
      <c r="SF5" s="189">
        <f>IFERROR((((COUNTIF('Elève (4ème2)'!SC5:SE5,"A"))*4)+((COUNTIF('Elève (4ème2)'!SC5:SE5,"B"))*3)+((COUNTIF('Elève (4ème2)'!SC5:SE5,"C"))*2)+((COUNTIF('Elève (4ème2)'!SC5:SE5,"D"))*1))/(COUNTA(SC5:SE5)),"")</f>
        <v>3</v>
      </c>
      <c r="SG5" s="190" t="str">
        <f t="shared" si="104"/>
        <v>B</v>
      </c>
      <c r="SH5" s="123"/>
      <c r="SI5" s="119" t="s">
        <v>29</v>
      </c>
      <c r="SJ5" s="226" t="s">
        <v>31</v>
      </c>
      <c r="SK5" s="226" t="s">
        <v>31</v>
      </c>
      <c r="SL5" s="189">
        <f>IFERROR((((COUNTIF('Elève (4ème2)'!SH5:SK5,"A"))*4)+((COUNTIF('Elève (4ème2)'!SH5:SK5,"B"))*3)+((COUNTIF('Elève (4ème2)'!SH5:SK5,"C"))*2)+((COUNTIF('Elève (4ème2)'!SH5:SK5,"D"))*1))/(COUNTA(SH5:SK5)),"")</f>
        <v>2.6666666666666665</v>
      </c>
      <c r="SM5" s="190" t="str">
        <f t="shared" si="105"/>
        <v>C</v>
      </c>
      <c r="SN5" s="123"/>
      <c r="SO5" s="124"/>
      <c r="SP5" s="120"/>
      <c r="SQ5" s="126"/>
      <c r="SR5" s="189" t="str">
        <f>IFERROR((((COUNTIF('Elève (4ème2)'!SN5:SQ5,"A"))*4)+((COUNTIF('Elève (4ème2)'!SN5:SQ5,"B"))*3)+((COUNTIF('Elève (4ème2)'!SN5:SQ5,"C"))*2)+((COUNTIF('Elève (4ème2)'!SN5:SQ5,"D"))*1))/(COUNTA(SN5:SQ5)),"")</f>
        <v/>
      </c>
      <c r="SS5" s="190" t="str">
        <f t="shared" si="106"/>
        <v/>
      </c>
      <c r="ST5" s="189">
        <f>IF(COUNT(SF5,SL5,SR5)=0,"",SUM(SF5,SL5,SR5)/COUNT(SF5,SL5,SR5))</f>
        <v>2.833333333333333</v>
      </c>
      <c r="SU5" s="214" t="str">
        <f t="shared" si="107"/>
        <v>B</v>
      </c>
      <c r="SV5" s="123"/>
      <c r="SW5" s="124"/>
      <c r="SX5" s="120"/>
      <c r="SY5" s="121" t="str">
        <f>IFERROR((((COUNTIF('Elève (4ème2)'!SV5:SX5,"A"))*4)+((COUNTIF('Elève (4ème2)'!SV5:SX5,"B"))*3)+((COUNTIF('Elève (4ème2)'!SV5:SX5,"C"))*2)+((COUNTIF('Elève (4ème2)'!SV5:SX5,"D"))*1))/(COUNTA(SV5:SX5)),"")</f>
        <v/>
      </c>
      <c r="SZ5" s="122" t="str">
        <f t="shared" si="108"/>
        <v/>
      </c>
      <c r="TA5" s="123"/>
      <c r="TB5" s="124"/>
      <c r="TC5" s="120"/>
      <c r="TD5" s="121" t="str">
        <f>IFERROR((((COUNTIF('Elève (4ème2)'!TA5:TC5,"A"))*4)+((COUNTIF('Elève (4ème2)'!TA5:TC5,"B"))*3)+((COUNTIF('Elève (4ème2)'!TA5:TC5,"C"))*2)+((COUNTIF('Elève (4ème2)'!TA5:TC5,"D"))*1))/(COUNTA(TA5:TC5)),"")</f>
        <v/>
      </c>
      <c r="TE5" s="122" t="str">
        <f t="shared" si="109"/>
        <v/>
      </c>
      <c r="TF5" s="123"/>
      <c r="TG5" s="124"/>
      <c r="TH5" s="126"/>
      <c r="TI5" s="121" t="str">
        <f>IFERROR((((COUNTIF('Elève (4ème2)'!TF5:TH5,"A"))*4)+((COUNTIF('Elève (4ème2)'!TF5:TH5,"B"))*3)+((COUNTIF('Elève (4ème2)'!TF5:TH5,"C"))*2)+((COUNTIF('Elève (4ème2)'!TF5:TH5,"D"))*1))/(COUNTA(TF5:TH5)),"")</f>
        <v/>
      </c>
      <c r="TJ5" s="122" t="str">
        <f t="shared" si="110"/>
        <v/>
      </c>
      <c r="TK5" s="121" t="str">
        <f>IF(COUNT(SY5,TD5,TI5)=0,"",SUM(SY5,TD5,TI5)/COUNT(SY5,TD5,TI5))</f>
        <v/>
      </c>
      <c r="TL5" s="125" t="str">
        <f t="shared" si="111"/>
        <v/>
      </c>
      <c r="TM5" s="123"/>
      <c r="TN5" s="124"/>
      <c r="TO5" s="120"/>
      <c r="TP5" s="121" t="str">
        <f>IFERROR((((COUNTIF('Elève (4ème2)'!TM5:TO5,"A"))*4)+((COUNTIF('Elève (4ème2)'!TM5:TO5,"B"))*3)+((COUNTIF('Elève (4ème2)'!TM5:TO5,"C"))*2)+((COUNTIF('Elève (4ème2)'!TM5:TO5,"D"))*1))/(COUNTA(TM5:TO5)),"")</f>
        <v/>
      </c>
      <c r="TQ5" s="122" t="str">
        <f t="shared" si="112"/>
        <v/>
      </c>
      <c r="TR5" s="123"/>
      <c r="TS5" s="124"/>
      <c r="TT5" s="120"/>
      <c r="TU5" s="121" t="str">
        <f>IFERROR((((COUNTIF('Elève (4ème2)'!TR5:TT5,"A"))*4)+((COUNTIF('Elève (4ème2)'!TR5:TT5,"B"))*3)+((COUNTIF('Elève (4ème2)'!TR5:TT5,"C"))*2)+((COUNTIF('Elève (4ème2)'!TR5:TT5,"D"))*1))/(COUNTA(TR5:TT5)),"")</f>
        <v/>
      </c>
      <c r="TV5" s="122" t="str">
        <f t="shared" si="113"/>
        <v/>
      </c>
      <c r="TW5" s="123"/>
      <c r="TX5" s="124"/>
      <c r="TY5" s="126"/>
      <c r="TZ5" s="121" t="str">
        <f>IFERROR((((COUNTIF('Elève (4ème2)'!TW5:TY5,"A"))*4)+((COUNTIF('Elève (4ème2)'!TW5:TY5,"B"))*3)+((COUNTIF('Elève (4ème2)'!TW5:TY5,"C"))*2)+((COUNTIF('Elève (4ème2)'!TW5:TY5,"D"))*1))/(COUNTA(TW5:TY5)),"")</f>
        <v/>
      </c>
      <c r="UA5" s="122" t="str">
        <f t="shared" si="114"/>
        <v/>
      </c>
      <c r="UB5" s="121" t="str">
        <f>IF(COUNT(TP5,TU5,TZ5)=0,"",SUM(TP5,TU5,TZ5)/COUNT(TP5,TU5,TZ5))</f>
        <v/>
      </c>
      <c r="UC5" s="125" t="str">
        <f t="shared" si="115"/>
        <v/>
      </c>
      <c r="UD5" s="123"/>
      <c r="UE5" s="124"/>
      <c r="UF5" s="120"/>
      <c r="UG5" s="121" t="str">
        <f>IFERROR((((COUNTIF('Elève (4ème2)'!UD5:UF5,"A"))*4)+((COUNTIF('Elève (4ème2)'!UD5:UF5,"B"))*3)+((COUNTIF('Elève (4ème2)'!UD5:UF5,"C"))*2)+((COUNTIF('Elève (4ème2)'!UD5:UF5,"D"))*1))/(COUNTA(UD5:UF5)),"")</f>
        <v/>
      </c>
      <c r="UH5" s="122" t="str">
        <f t="shared" si="116"/>
        <v/>
      </c>
      <c r="UI5" s="123"/>
      <c r="UJ5" s="124"/>
      <c r="UK5" s="120"/>
      <c r="UL5" s="121" t="str">
        <f>IFERROR((((COUNTIF('Elève (4ème2)'!UI5:UK5,"A"))*4)+((COUNTIF('Elève (4ème2)'!UI5:UK5,"B"))*3)+((COUNTIF('Elève (4ème2)'!UI5:UK5,"C"))*2)+((COUNTIF('Elève (4ème2)'!UI5:UK5,"D"))*1))/(COUNTA(UI5:UK5)),"")</f>
        <v/>
      </c>
      <c r="UM5" s="122" t="str">
        <f t="shared" si="117"/>
        <v/>
      </c>
      <c r="UN5" s="123"/>
      <c r="UO5" s="124"/>
      <c r="UP5" s="126"/>
      <c r="UQ5" s="121" t="str">
        <f>IFERROR((((COUNTIF('Elève (4ème2)'!UN5:UP5,"A"))*4)+((COUNTIF('Elève (4ème2)'!UN5:UP5,"B"))*3)+((COUNTIF('Elève (4ème2)'!UN5:UP5,"C"))*2)+((COUNTIF('Elève (4ème2)'!UN5:UP5,"D"))*1))/(COUNTA(UN5:UP5)),"")</f>
        <v/>
      </c>
      <c r="UR5" s="122" t="str">
        <f t="shared" si="118"/>
        <v/>
      </c>
      <c r="US5" s="121" t="str">
        <f>IF(COUNT(UG5,UL5,UQ5)=0,"",SUM(UG5,UL5,UQ5)/COUNT(UG5,UL5,UQ5))</f>
        <v/>
      </c>
      <c r="UT5" s="125" t="str">
        <f t="shared" si="119"/>
        <v/>
      </c>
    </row>
    <row r="6" spans="1:566" ht="18" customHeight="1" x14ac:dyDescent="0.25">
      <c r="A6" s="252" t="s">
        <v>13</v>
      </c>
      <c r="B6" s="253"/>
      <c r="C6" s="127" t="s">
        <v>32</v>
      </c>
      <c r="D6" s="128" t="s">
        <v>30</v>
      </c>
      <c r="E6" s="129" t="s">
        <v>32</v>
      </c>
      <c r="F6" s="191">
        <f>IFERROR((((COUNTIF('Elève (4ème2)'!C6:E6,"A"))*4)+((COUNTIF('Elève (4ème2)'!C6:E6,"B"))*3)+((COUNTIF('Elève (4ème2)'!C6:E6,"C"))*2)+((COUNTIF('Elève (4ème2)'!C6:E6,"D"))*1))/(COUNTA(C6:E6)),"")</f>
        <v>1.6666666666666667</v>
      </c>
      <c r="G6" s="192" t="str">
        <f t="shared" si="0"/>
        <v>C</v>
      </c>
      <c r="H6" s="127" t="s">
        <v>31</v>
      </c>
      <c r="I6" s="128" t="s">
        <v>32</v>
      </c>
      <c r="J6" s="129" t="s">
        <v>31</v>
      </c>
      <c r="K6" s="129" t="s">
        <v>31</v>
      </c>
      <c r="L6" s="191">
        <f>IFERROR((((COUNTIF('Elève (4ème2)'!H6:K6,"A"))*4)+((COUNTIF('Elève (4ème2)'!H6:K6,"B"))*3)+((COUNTIF('Elève (4ème2)'!H6:K6,"C"))*2)+((COUNTIF('Elève (4ème2)'!H6:K6,"D"))*1))/(COUNTA(H6:K6)),"")</f>
        <v>1.75</v>
      </c>
      <c r="M6" s="192" t="str">
        <f t="shared" si="1"/>
        <v>C</v>
      </c>
      <c r="N6" s="134"/>
      <c r="O6" s="132"/>
      <c r="P6" s="133"/>
      <c r="Q6" s="133"/>
      <c r="R6" s="191" t="str">
        <f>IFERROR((((COUNTIF('Elève (4ème2)'!N6:Q6,"A"))*4)+((COUNTIF('Elève (4ème2)'!N6:Q6,"B"))*3)+((COUNTIF('Elève (4ème2)'!N6:Q6,"C"))*2)+((COUNTIF('Elève (4ème2)'!N6:Q6,"D"))*1))/(COUNTA(N6:Q6)),"")</f>
        <v/>
      </c>
      <c r="S6" s="192" t="str">
        <f t="shared" si="2"/>
        <v/>
      </c>
      <c r="T6" s="191">
        <f>IF(COUNT(F6,L6,R6)=0,"",SUM(F6,L6,R6)/COUNT(F6,L6,R6))</f>
        <v>1.7083333333333335</v>
      </c>
      <c r="U6" s="215" t="str">
        <f t="shared" si="3"/>
        <v>C</v>
      </c>
      <c r="V6" s="127" t="s">
        <v>32</v>
      </c>
      <c r="W6" s="128" t="s">
        <v>31</v>
      </c>
      <c r="X6" s="129" t="s">
        <v>32</v>
      </c>
      <c r="Y6" s="191">
        <f>IFERROR((((COUNTIF('Elève (4ème2)'!V6:X6,"A"))*4)+((COUNTIF('Elève (4ème2)'!V6:X6,"B"))*3)+((COUNTIF('Elève (4ème2)'!V6:X6,"C"))*2)+((COUNTIF('Elève (4ème2)'!V6:X6,"D"))*1))/(COUNTA(V6:X6)),"")</f>
        <v>1.3333333333333333</v>
      </c>
      <c r="Z6" s="192" t="str">
        <f t="shared" si="4"/>
        <v>D</v>
      </c>
      <c r="AA6" s="127" t="s">
        <v>31</v>
      </c>
      <c r="AB6" s="128" t="s">
        <v>31</v>
      </c>
      <c r="AC6" s="129" t="s">
        <v>31</v>
      </c>
      <c r="AD6" s="129" t="s">
        <v>31</v>
      </c>
      <c r="AE6" s="191">
        <f>IFERROR((((COUNTIF('Elève (4ème2)'!AA6:AD6,"A"))*4)+((COUNTIF('Elève (4ème2)'!AA6:AD6,"B"))*3)+((COUNTIF('Elève (4ème2)'!AA6:AD6,"C"))*2)+((COUNTIF('Elève (4ème2)'!AA6:AD6,"D"))*1))/(COUNTA(AA6:AD6)),"")</f>
        <v>2</v>
      </c>
      <c r="AF6" s="192" t="str">
        <f t="shared" si="5"/>
        <v>C</v>
      </c>
      <c r="AG6" s="134"/>
      <c r="AH6" s="132"/>
      <c r="AI6" s="133"/>
      <c r="AJ6" s="136"/>
      <c r="AK6" s="191" t="str">
        <f>IFERROR((((COUNTIF('Elève (4ème2)'!AG6:AJ6,"A"))*4)+((COUNTIF('Elève (4ème2)'!AG6:AJ6,"B"))*3)+((COUNTIF('Elève (4ème2)'!AG6:AJ6,"C"))*2)+((COUNTIF('Elève (4ème2)'!AG6:AJ6,"D"))*1))/(COUNTA(AG6:AJ6)),"")</f>
        <v/>
      </c>
      <c r="AL6" s="192" t="str">
        <f t="shared" si="6"/>
        <v/>
      </c>
      <c r="AM6" s="191">
        <f>IF(COUNT(Y6,AE6,AK6)=0,"",SUM(Y6,AE6,AK6)/COUNT(Y6,AE6,AK6))</f>
        <v>1.6666666666666665</v>
      </c>
      <c r="AN6" s="215" t="str">
        <f t="shared" si="7"/>
        <v>C</v>
      </c>
      <c r="AO6" s="127" t="s">
        <v>32</v>
      </c>
      <c r="AP6" s="128" t="s">
        <v>31</v>
      </c>
      <c r="AQ6" s="129" t="s">
        <v>32</v>
      </c>
      <c r="AR6" s="191">
        <f>IFERROR((((COUNTIF('Elève (4ème2)'!AO6:AQ6,"A"))*4)+((COUNTIF('Elève (4ème2)'!AO6:AQ6,"B"))*3)+((COUNTIF('Elève (4ème2)'!AO6:AQ6,"C"))*2)+((COUNTIF('Elève (4ème2)'!AO6:AQ6,"D"))*1))/(COUNTA(AO6:AQ6)),"")</f>
        <v>1.3333333333333333</v>
      </c>
      <c r="AS6" s="192" t="str">
        <f t="shared" si="8"/>
        <v>D</v>
      </c>
      <c r="AT6" s="127" t="s">
        <v>31</v>
      </c>
      <c r="AU6" s="128" t="s">
        <v>31</v>
      </c>
      <c r="AV6" s="129" t="s">
        <v>32</v>
      </c>
      <c r="AW6" s="129" t="s">
        <v>31</v>
      </c>
      <c r="AX6" s="191">
        <f>IFERROR((((COUNTIF('Elève (4ème2)'!AT6:AW6,"A"))*4)+((COUNTIF('Elève (4ème2)'!AT6:AW6,"B"))*3)+((COUNTIF('Elève (4ème2)'!AT6:AW6,"C"))*2)+((COUNTIF('Elève (4ème2)'!AT6:AW6,"D"))*1))/(COUNTA(AT6:AW6)),"")</f>
        <v>1.75</v>
      </c>
      <c r="AY6" s="192" t="str">
        <f t="shared" si="9"/>
        <v>C</v>
      </c>
      <c r="AZ6" s="134"/>
      <c r="BA6" s="132"/>
      <c r="BB6" s="133"/>
      <c r="BC6" s="136"/>
      <c r="BD6" s="191" t="str">
        <f>IFERROR((((COUNTIF('Elève (4ème2)'!AZ6:BC6,"A"))*4)+((COUNTIF('Elève (4ème2)'!AZ6:BC6,"B"))*3)+((COUNTIF('Elève (4ème2)'!AZ6:BC6,"C"))*2)+((COUNTIF('Elève (4ème2)'!AZ6:BC6,"D"))*1))/(COUNTA(AZ6:BC6)),"")</f>
        <v/>
      </c>
      <c r="BE6" s="192" t="str">
        <f t="shared" si="10"/>
        <v/>
      </c>
      <c r="BF6" s="191">
        <f>IF(COUNT(AR6,AX6,BD6)=0,"",SUM(AR6,AX6,BD6)/COUNT(AR6,AX6,BD6))</f>
        <v>1.5416666666666665</v>
      </c>
      <c r="BG6" s="215" t="str">
        <f t="shared" si="11"/>
        <v>C</v>
      </c>
      <c r="BH6" s="127" t="s">
        <v>31</v>
      </c>
      <c r="BI6" s="128" t="s">
        <v>32</v>
      </c>
      <c r="BJ6" s="129" t="s">
        <v>31</v>
      </c>
      <c r="BK6" s="191">
        <f>IFERROR((((COUNTIF('Elève (4ème2)'!BH6:BJ6,"A"))*4)+((COUNTIF('Elève (4ème2)'!BH6:BJ6,"B"))*3)+((COUNTIF('Elève (4ème2)'!BH6:BJ6,"C"))*2)+((COUNTIF('Elève (4ème2)'!BH6:BJ6,"D"))*1))/(COUNTA(BH6:BJ6)),"")</f>
        <v>1.6666666666666667</v>
      </c>
      <c r="BL6" s="192" t="str">
        <f t="shared" si="12"/>
        <v>C</v>
      </c>
      <c r="BM6" s="127" t="s">
        <v>31</v>
      </c>
      <c r="BN6" s="128" t="s">
        <v>31</v>
      </c>
      <c r="BO6" s="129" t="s">
        <v>31</v>
      </c>
      <c r="BP6" s="129" t="s">
        <v>31</v>
      </c>
      <c r="BQ6" s="191">
        <f>IFERROR((((COUNTIF('Elève (4ème2)'!BM6:BP6,"A"))*4)+((COUNTIF('Elève (4ème2)'!BM6:BP6,"B"))*3)+((COUNTIF('Elève (4ème2)'!BM6:BP6,"C"))*2)+((COUNTIF('Elève (4ème2)'!BM6:BP6,"D"))*1))/(COUNTA(BM6:BP6)),"")</f>
        <v>2</v>
      </c>
      <c r="BR6" s="192" t="str">
        <f t="shared" si="13"/>
        <v>C</v>
      </c>
      <c r="BS6" s="134"/>
      <c r="BT6" s="132"/>
      <c r="BU6" s="133"/>
      <c r="BV6" s="136"/>
      <c r="BW6" s="191" t="str">
        <f>IFERROR((((COUNTIF('Elève (4ème2)'!BS6:BV6,"A"))*4)+((COUNTIF('Elève (4ème2)'!BS6:BV6,"B"))*3)+((COUNTIF('Elève (4ème2)'!BS6:BV6,"C"))*2)+((COUNTIF('Elève (4ème2)'!BS6:BV6,"D"))*1))/(COUNTA(BS6:BV6)),"")</f>
        <v/>
      </c>
      <c r="BX6" s="192" t="str">
        <f t="shared" si="14"/>
        <v/>
      </c>
      <c r="BY6" s="191">
        <f>IF(COUNT(BK6,BQ6,BW6)=0,"",SUM(BK6,BQ6,BW6)/COUNT(BK6,BQ6,BW6))</f>
        <v>1.8333333333333335</v>
      </c>
      <c r="BZ6" s="215" t="str">
        <f t="shared" si="15"/>
        <v>C</v>
      </c>
      <c r="CA6" s="127" t="s">
        <v>31</v>
      </c>
      <c r="CB6" s="128" t="s">
        <v>31</v>
      </c>
      <c r="CC6" s="129" t="s">
        <v>31</v>
      </c>
      <c r="CD6" s="191">
        <f>IFERROR((((COUNTIF('Elève (4ème2)'!CA6:CC6,"A"))*4)+((COUNTIF('Elève (4ème2)'!CA6:CC6,"B"))*3)+((COUNTIF('Elève (4ème2)'!CA6:CC6,"C"))*2)+((COUNTIF('Elève (4ème2)'!CA6:CC6,"D"))*1))/(COUNTA(CA6:CC6)),"")</f>
        <v>2</v>
      </c>
      <c r="CE6" s="192" t="str">
        <f t="shared" si="16"/>
        <v>C</v>
      </c>
      <c r="CF6" s="127" t="s">
        <v>29</v>
      </c>
      <c r="CG6" s="128" t="s">
        <v>31</v>
      </c>
      <c r="CH6" s="129" t="s">
        <v>31</v>
      </c>
      <c r="CI6" s="129" t="s">
        <v>30</v>
      </c>
      <c r="CJ6" s="191">
        <f>IFERROR((((COUNTIF('Elève (4ème2)'!CF6:CI6,"A"))*4)+((COUNTIF('Elève (4ème2)'!CF6:CI6,"B"))*3)+((COUNTIF('Elève (4ème2)'!CF6:CI6,"C"))*2)+((COUNTIF('Elève (4ème2)'!CF6:CI6,"D"))*1))/(COUNTA(CF6:CI6)),"")</f>
        <v>2.75</v>
      </c>
      <c r="CK6" s="192" t="str">
        <f t="shared" si="17"/>
        <v>C</v>
      </c>
      <c r="CL6" s="134"/>
      <c r="CM6" s="132"/>
      <c r="CN6" s="133"/>
      <c r="CO6" s="136"/>
      <c r="CP6" s="191" t="str">
        <f>IFERROR((((COUNTIF('Elève (4ème2)'!CL6:CO6,"A"))*4)+((COUNTIF('Elève (4ème2)'!CL6:CO6,"B"))*3)+((COUNTIF('Elève (4ème2)'!CL6:CO6,"C"))*2)+((COUNTIF('Elève (4ème2)'!CL6:CO6,"D"))*1))/(COUNTA(CL6:CO6)),"")</f>
        <v/>
      </c>
      <c r="CQ6" s="192" t="str">
        <f t="shared" si="18"/>
        <v/>
      </c>
      <c r="CR6" s="191">
        <f>IF(COUNT(CD6,CJ6,CP6)=0,"",SUM(CD6,CJ6,CP6)/COUNT(CD6,CJ6,CP6))</f>
        <v>2.375</v>
      </c>
      <c r="CS6" s="215" t="str">
        <f t="shared" si="19"/>
        <v>C</v>
      </c>
      <c r="CT6" s="127" t="s">
        <v>31</v>
      </c>
      <c r="CU6" s="128" t="s">
        <v>31</v>
      </c>
      <c r="CV6" s="129" t="s">
        <v>31</v>
      </c>
      <c r="CW6" s="191">
        <f>IFERROR((((COUNTIF('Elève (4ème2)'!CT6:CV6,"A"))*4)+((COUNTIF('Elève (4ème2)'!CT6:CV6,"B"))*3)+((COUNTIF('Elève (4ème2)'!CT6:CV6,"C"))*2)+((COUNTIF('Elève (4ème2)'!CT6:CV6,"D"))*1))/(COUNTA(CT6:CV6)),"")</f>
        <v>2</v>
      </c>
      <c r="CX6" s="192" t="str">
        <f t="shared" si="20"/>
        <v>C</v>
      </c>
      <c r="CY6" s="127" t="s">
        <v>31</v>
      </c>
      <c r="CZ6" s="128" t="s">
        <v>32</v>
      </c>
      <c r="DA6" s="129" t="s">
        <v>30</v>
      </c>
      <c r="DB6" s="129" t="s">
        <v>31</v>
      </c>
      <c r="DC6" s="191">
        <f>IFERROR((((COUNTIF('Elève (4ème2)'!CY6:DB6,"A"))*4)+((COUNTIF('Elève (4ème2)'!CY6:DB6,"B"))*3)+((COUNTIF('Elève (4ème2)'!CY6:DB6,"C"))*2)+((COUNTIF('Elève (4ème2)'!CY6:DB6,"D"))*1))/(COUNTA(CY6:DB6)),"")</f>
        <v>2</v>
      </c>
      <c r="DD6" s="192" t="str">
        <f t="shared" si="21"/>
        <v>C</v>
      </c>
      <c r="DE6" s="134"/>
      <c r="DF6" s="132"/>
      <c r="DG6" s="133"/>
      <c r="DH6" s="136"/>
      <c r="DI6" s="191" t="str">
        <f>IFERROR((((COUNTIF('Elève (4ème2)'!DE6:DH6,"A"))*4)+((COUNTIF('Elève (4ème2)'!DE6:DH6,"B"))*3)+((COUNTIF('Elève (4ème2)'!DE6:DH6,"C"))*2)+((COUNTIF('Elève (4ème2)'!DE6:DH6,"D"))*1))/(COUNTA(DE6:DH6)),"")</f>
        <v/>
      </c>
      <c r="DJ6" s="192" t="str">
        <f t="shared" si="22"/>
        <v/>
      </c>
      <c r="DK6" s="191">
        <f>IF(COUNT(CW6,DC6,DI6)=0,"",SUM(CW6,DC6,DI6)/COUNT(CW6,DC6,DI6))</f>
        <v>2</v>
      </c>
      <c r="DL6" s="215" t="str">
        <f t="shared" si="23"/>
        <v>C</v>
      </c>
      <c r="DM6" s="127" t="s">
        <v>31</v>
      </c>
      <c r="DN6" s="128" t="s">
        <v>29</v>
      </c>
      <c r="DO6" s="129" t="s">
        <v>32</v>
      </c>
      <c r="DP6" s="191">
        <f>IFERROR((((COUNTIF('Elève (4ème2)'!DM6:DO6,"A"))*4)+((COUNTIF('Elève (4ème2)'!DM6:DO6,"B"))*3)+((COUNTIF('Elève (4ème2)'!DM6:DO6,"C"))*2)+((COUNTIF('Elève (4ème2)'!DM6:DO6,"D"))*1))/(COUNTA(DM6:DO6)),"")</f>
        <v>2.3333333333333335</v>
      </c>
      <c r="DQ6" s="192" t="str">
        <f t="shared" si="24"/>
        <v>C</v>
      </c>
      <c r="DR6" s="127" t="s">
        <v>31</v>
      </c>
      <c r="DS6" s="128" t="s">
        <v>31</v>
      </c>
      <c r="DT6" s="129" t="s">
        <v>31</v>
      </c>
      <c r="DU6" s="129" t="s">
        <v>31</v>
      </c>
      <c r="DV6" s="191">
        <f>IFERROR((((COUNTIF('Elève (4ème2)'!DR6:DU6,"A"))*4)+((COUNTIF('Elève (4ème2)'!DR6:DU6,"B"))*3)+((COUNTIF('Elève (4ème2)'!DR6:DU6,"C"))*2)+((COUNTIF('Elève (4ème2)'!DR6:DU6,"D"))*1))/(COUNTA(DR6:DU6)),"")</f>
        <v>2</v>
      </c>
      <c r="DW6" s="192" t="str">
        <f t="shared" si="25"/>
        <v>C</v>
      </c>
      <c r="DX6" s="134"/>
      <c r="DY6" s="132"/>
      <c r="DZ6" s="133"/>
      <c r="EA6" s="136"/>
      <c r="EB6" s="191" t="str">
        <f>IFERROR((((COUNTIF('Elève (4ème2)'!DX6:EA6,"A"))*4)+((COUNTIF('Elève (4ème2)'!DX6:EA6,"B"))*3)+((COUNTIF('Elève (4ème2)'!DX6:EA6,"C"))*2)+((COUNTIF('Elève (4ème2)'!DX6:EA6,"D"))*1))/(COUNTA(DX6:EA6)),"")</f>
        <v/>
      </c>
      <c r="EC6" s="192" t="str">
        <f t="shared" si="26"/>
        <v/>
      </c>
      <c r="ED6" s="191">
        <f>IF(COUNT(DP6,DV6,EB6)=0,"",SUM(DP6,DV6,EB6)/COUNT(DP6,DV6,EB6))</f>
        <v>2.166666666666667</v>
      </c>
      <c r="EE6" s="215" t="str">
        <f t="shared" si="27"/>
        <v>C</v>
      </c>
      <c r="EF6" s="127" t="s">
        <v>30</v>
      </c>
      <c r="EG6" s="128" t="s">
        <v>31</v>
      </c>
      <c r="EH6" s="129" t="s">
        <v>31</v>
      </c>
      <c r="EI6" s="191">
        <f>IFERROR((((COUNTIF('Elève (4ème2)'!EF6:EH6,"A"))*4)+((COUNTIF('Elève (4ème2)'!EF6:EH6,"B"))*3)+((COUNTIF('Elève (4ème2)'!EF6:EH6,"C"))*2)+((COUNTIF('Elève (4ème2)'!EF6:EH6,"D"))*1))/(COUNTA(EF6:EH6)),"")</f>
        <v>2.3333333333333335</v>
      </c>
      <c r="EJ6" s="192" t="str">
        <f t="shared" si="28"/>
        <v>C</v>
      </c>
      <c r="EK6" s="127" t="s">
        <v>30</v>
      </c>
      <c r="EL6" s="128" t="s">
        <v>30</v>
      </c>
      <c r="EM6" s="129" t="s">
        <v>31</v>
      </c>
      <c r="EN6" s="129" t="s">
        <v>31</v>
      </c>
      <c r="EO6" s="191">
        <f>IFERROR((((COUNTIF('Elève (4ème2)'!EK6:EN6,"A"))*4)+((COUNTIF('Elève (4ème2)'!EK6:EN6,"B"))*3)+((COUNTIF('Elève (4ème2)'!EK6:EN6,"C"))*2)+((COUNTIF('Elève (4ème2)'!EK6:EN6,"D"))*1))/(COUNTA(EK6:EN6)),"")</f>
        <v>2.5</v>
      </c>
      <c r="EP6" s="192" t="str">
        <f t="shared" si="29"/>
        <v>C</v>
      </c>
      <c r="EQ6" s="134"/>
      <c r="ER6" s="132"/>
      <c r="ES6" s="133"/>
      <c r="ET6" s="136"/>
      <c r="EU6" s="191" t="str">
        <f>IFERROR((((COUNTIF('Elève (4ème2)'!EQ6:ET6,"A"))*4)+((COUNTIF('Elève (4ème2)'!EQ6:ET6,"B"))*3)+((COUNTIF('Elève (4ème2)'!EQ6:ET6,"C"))*2)+((COUNTIF('Elève (4ème2)'!EQ6:ET6,"D"))*1))/(COUNTA(EQ6:ET6)),"")</f>
        <v/>
      </c>
      <c r="EV6" s="192" t="str">
        <f t="shared" si="30"/>
        <v/>
      </c>
      <c r="EW6" s="191">
        <f>IF(COUNT(EI6,EO6,EU6)=0,"",SUM(EI6,EO6,EU6)/COUNT(EI6,EO6,EU6))</f>
        <v>2.416666666666667</v>
      </c>
      <c r="EX6" s="215" t="str">
        <f t="shared" si="31"/>
        <v>C</v>
      </c>
      <c r="EY6" s="127" t="s">
        <v>32</v>
      </c>
      <c r="EZ6" s="128" t="s">
        <v>31</v>
      </c>
      <c r="FA6" s="129" t="s">
        <v>31</v>
      </c>
      <c r="FB6" s="191">
        <f>IFERROR((((COUNTIF('Elève (4ème2)'!EY6:FA6,"A"))*4)+((COUNTIF('Elève (4ème2)'!EY6:FA6,"B"))*3)+((COUNTIF('Elève (4ème2)'!EY6:FA6,"C"))*2)+((COUNTIF('Elève (4ème2)'!EY6:FA6,"D"))*1))/(COUNTA(EY6:FA6)),"")</f>
        <v>1.6666666666666667</v>
      </c>
      <c r="FC6" s="192" t="str">
        <f t="shared" si="32"/>
        <v>C</v>
      </c>
      <c r="FD6" s="127" t="s">
        <v>31</v>
      </c>
      <c r="FE6" s="128" t="s">
        <v>31</v>
      </c>
      <c r="FF6" s="129" t="s">
        <v>32</v>
      </c>
      <c r="FG6" s="129" t="s">
        <v>30</v>
      </c>
      <c r="FH6" s="191">
        <f>IFERROR((((COUNTIF('Elève (4ème2)'!FD6:FG6,"A"))*4)+((COUNTIF('Elève (4ème2)'!FD6:FG6,"B"))*3)+((COUNTIF('Elève (4ème2)'!FD6:FG6,"C"))*2)+((COUNTIF('Elève (4ème2)'!FD6:FG6,"D"))*1))/(COUNTA(FD6:FG6)),"")</f>
        <v>2</v>
      </c>
      <c r="FI6" s="192" t="str">
        <f t="shared" si="33"/>
        <v>C</v>
      </c>
      <c r="FJ6" s="134"/>
      <c r="FK6" s="132"/>
      <c r="FL6" s="133"/>
      <c r="FM6" s="136"/>
      <c r="FN6" s="191" t="str">
        <f>IFERROR((((COUNTIF('Elève (4ème2)'!FJ6:FM6,"A"))*4)+((COUNTIF('Elève (4ème2)'!FJ6:FM6,"B"))*3)+((COUNTIF('Elève (4ème2)'!FJ6:FM6,"C"))*2)+((COUNTIF('Elève (4ème2)'!FJ6:FM6,"D"))*1))/(COUNTA(FJ6:FM6)),"")</f>
        <v/>
      </c>
      <c r="FO6" s="192" t="str">
        <f t="shared" si="34"/>
        <v/>
      </c>
      <c r="FP6" s="191">
        <f>IF(COUNT(FB6,FH6,FN6)=0,"",SUM(FB6,FH6,FN6)/COUNT(FB6,FH6,FN6))</f>
        <v>1.8333333333333335</v>
      </c>
      <c r="FQ6" s="215" t="str">
        <f t="shared" si="35"/>
        <v>C</v>
      </c>
      <c r="FR6" s="127" t="s">
        <v>32</v>
      </c>
      <c r="FS6" s="128" t="s">
        <v>30</v>
      </c>
      <c r="FT6" s="129" t="s">
        <v>32</v>
      </c>
      <c r="FU6" s="191">
        <f>IFERROR((((COUNTIF('Elève (4ème2)'!FR6:FT6,"A"))*4)+((COUNTIF('Elève (4ème2)'!FR6:FT6,"B"))*3)+((COUNTIF('Elève (4ème2)'!FR6:FT6,"C"))*2)+((COUNTIF('Elève (4ème2)'!FR6:FT6,"D"))*1))/(COUNTA(FR6:FT6)),"")</f>
        <v>1.6666666666666667</v>
      </c>
      <c r="FV6" s="192" t="str">
        <f t="shared" si="36"/>
        <v>C</v>
      </c>
      <c r="FW6" s="127" t="s">
        <v>32</v>
      </c>
      <c r="FX6" s="128" t="s">
        <v>31</v>
      </c>
      <c r="FY6" s="129" t="s">
        <v>30</v>
      </c>
      <c r="FZ6" s="129" t="s">
        <v>31</v>
      </c>
      <c r="GA6" s="191">
        <f>IFERROR((((COUNTIF('Elève (4ème2)'!FW6:FZ6,"A"))*4)+((COUNTIF('Elève (4ème2)'!FW6:FZ6,"B"))*3)+((COUNTIF('Elève (4ème2)'!FW6:FZ6,"C"))*2)+((COUNTIF('Elève (4ème2)'!FW6:FZ6,"D"))*1))/(COUNTA(FW6:FZ6)),"")</f>
        <v>2</v>
      </c>
      <c r="GB6" s="192" t="str">
        <f t="shared" si="37"/>
        <v>C</v>
      </c>
      <c r="GC6" s="134"/>
      <c r="GD6" s="132"/>
      <c r="GE6" s="133"/>
      <c r="GF6" s="136"/>
      <c r="GG6" s="191" t="str">
        <f>IFERROR((((COUNTIF('Elève (4ème2)'!GC6:GF6,"A"))*4)+((COUNTIF('Elève (4ème2)'!GC6:GF6,"B"))*3)+((COUNTIF('Elève (4ème2)'!GC6:GF6,"C"))*2)+((COUNTIF('Elève (4ème2)'!GC6:GF6,"D"))*1))/(COUNTA(GC6:GF6)),"")</f>
        <v/>
      </c>
      <c r="GH6" s="192" t="str">
        <f t="shared" si="38"/>
        <v/>
      </c>
      <c r="GI6" s="191">
        <f>IF(COUNT(FU6,GA6,GG6)=0,"",SUM(FU6,GA6,GG6)/COUNT(FU6,GA6,GG6))</f>
        <v>1.8333333333333335</v>
      </c>
      <c r="GJ6" s="215" t="str">
        <f t="shared" si="39"/>
        <v>C</v>
      </c>
      <c r="GK6" s="127" t="s">
        <v>32</v>
      </c>
      <c r="GL6" s="128" t="s">
        <v>31</v>
      </c>
      <c r="GM6" s="129" t="s">
        <v>32</v>
      </c>
      <c r="GN6" s="191">
        <f>IFERROR((((COUNTIF('Elève (4ème2)'!GK6:GM6,"A"))*4)+((COUNTIF('Elève (4ème2)'!GK6:GM6,"B"))*3)+((COUNTIF('Elève (4ème2)'!GK6:GM6,"C"))*2)+((COUNTIF('Elève (4ème2)'!GK6:GM6,"D"))*1))/(COUNTA(GK6:GM6)),"")</f>
        <v>1.3333333333333333</v>
      </c>
      <c r="GO6" s="192" t="str">
        <f t="shared" si="40"/>
        <v>D</v>
      </c>
      <c r="GP6" s="127" t="s">
        <v>31</v>
      </c>
      <c r="GQ6" s="128" t="s">
        <v>31</v>
      </c>
      <c r="GR6" s="129" t="s">
        <v>31</v>
      </c>
      <c r="GS6" s="129" t="s">
        <v>32</v>
      </c>
      <c r="GT6" s="191">
        <f>IFERROR((((COUNTIF('Elève (4ème2)'!GP6:GS6,"A"))*4)+((COUNTIF('Elève (4ème2)'!GP6:GS6,"B"))*3)+((COUNTIF('Elève (4ème2)'!GP6:GS6,"C"))*2)+((COUNTIF('Elève (4ème2)'!GP6:GS6,"D"))*1))/(COUNTA(GP6:GS6)),"")</f>
        <v>1.75</v>
      </c>
      <c r="GU6" s="192" t="str">
        <f t="shared" si="41"/>
        <v>C</v>
      </c>
      <c r="GV6" s="134"/>
      <c r="GW6" s="132"/>
      <c r="GX6" s="133"/>
      <c r="GY6" s="136"/>
      <c r="GZ6" s="191" t="str">
        <f>IFERROR((((COUNTIF('Elève (4ème2)'!GV6:GY6,"A"))*4)+((COUNTIF('Elève (4ème2)'!GV6:GY6,"B"))*3)+((COUNTIF('Elève (4ème2)'!GV6:GY6,"C"))*2)+((COUNTIF('Elève (4ème2)'!GV6:GY6,"D"))*1))/(COUNTA(GV6:GY6)),"")</f>
        <v/>
      </c>
      <c r="HA6" s="192" t="str">
        <f t="shared" si="42"/>
        <v/>
      </c>
      <c r="HB6" s="191">
        <f>IF(COUNT(GN6,GT6,GZ6)=0,"",SUM(GN6,GT6,GZ6)/COUNT(GN6,GT6,GZ6))</f>
        <v>1.5416666666666665</v>
      </c>
      <c r="HC6" s="215" t="str">
        <f t="shared" si="43"/>
        <v>C</v>
      </c>
      <c r="HD6" s="127" t="s">
        <v>31</v>
      </c>
      <c r="HE6" s="128" t="s">
        <v>31</v>
      </c>
      <c r="HF6" s="129" t="s">
        <v>32</v>
      </c>
      <c r="HG6" s="191">
        <f>IFERROR((((COUNTIF('Elève (4ème2)'!HD6:HF6,"A"))*4)+((COUNTIF('Elève (4ème2)'!HD6:HF6,"B"))*3)+((COUNTIF('Elève (4ème2)'!HD6:HF6,"C"))*2)+((COUNTIF('Elève (4ème2)'!HD6:HF6,"D"))*1))/(COUNTA(HD6:HF6)),"")</f>
        <v>1.6666666666666667</v>
      </c>
      <c r="HH6" s="192" t="str">
        <f t="shared" si="44"/>
        <v>C</v>
      </c>
      <c r="HI6" s="127" t="s">
        <v>31</v>
      </c>
      <c r="HJ6" s="128" t="s">
        <v>31</v>
      </c>
      <c r="HK6" s="129" t="s">
        <v>30</v>
      </c>
      <c r="HL6" s="129" t="s">
        <v>31</v>
      </c>
      <c r="HM6" s="191">
        <f>IFERROR((((COUNTIF('Elève (4ème2)'!HI6:HL6,"A"))*4)+((COUNTIF('Elève (4ème2)'!HI6:HL6,"B"))*3)+((COUNTIF('Elève (4ème2)'!HI6:HL6,"C"))*2)+((COUNTIF('Elève (4ème2)'!HI6:HL6,"D"))*1))/(COUNTA(HI6:HL6)),"")</f>
        <v>2.25</v>
      </c>
      <c r="HN6" s="192" t="str">
        <f t="shared" si="45"/>
        <v>C</v>
      </c>
      <c r="HO6" s="134"/>
      <c r="HP6" s="132"/>
      <c r="HQ6" s="133"/>
      <c r="HR6" s="136"/>
      <c r="HS6" s="191" t="str">
        <f>IFERROR((((COUNTIF('Elève (4ème2)'!HO6:HR6,"A"))*4)+((COUNTIF('Elève (4ème2)'!HO6:HR6,"B"))*3)+((COUNTIF('Elève (4ème2)'!HO6:HR6,"C"))*2)+((COUNTIF('Elève (4ème2)'!HO6:HR6,"D"))*1))/(COUNTA(HO6:HR6)),"")</f>
        <v/>
      </c>
      <c r="HT6" s="192" t="str">
        <f t="shared" si="46"/>
        <v/>
      </c>
      <c r="HU6" s="191">
        <f>IF(COUNT(HG6,HM6,HS6)=0,"",SUM(HG6,HM6,HS6)/COUNT(HG6,HM6,HS6))</f>
        <v>1.9583333333333335</v>
      </c>
      <c r="HV6" s="215" t="str">
        <f t="shared" si="47"/>
        <v>C</v>
      </c>
      <c r="HW6" s="127" t="s">
        <v>32</v>
      </c>
      <c r="HX6" s="128" t="s">
        <v>32</v>
      </c>
      <c r="HY6" s="129" t="s">
        <v>31</v>
      </c>
      <c r="HZ6" s="191">
        <f>IFERROR((((COUNTIF('Elève (4ème2)'!HW6:HY6,"A"))*4)+((COUNTIF('Elève (4ème2)'!HW6:HY6,"B"))*3)+((COUNTIF('Elève (4ème2)'!HW6:HY6,"C"))*2)+((COUNTIF('Elève (4ème2)'!HW6:HY6,"D"))*1))/(COUNTA(HW6:HY6)),"")</f>
        <v>1.3333333333333333</v>
      </c>
      <c r="IA6" s="192" t="str">
        <f t="shared" si="48"/>
        <v>D</v>
      </c>
      <c r="IB6" s="127" t="s">
        <v>32</v>
      </c>
      <c r="IC6" s="128" t="s">
        <v>32</v>
      </c>
      <c r="ID6" s="129" t="s">
        <v>31</v>
      </c>
      <c r="IE6" s="129" t="s">
        <v>31</v>
      </c>
      <c r="IF6" s="191">
        <f>IFERROR((((COUNTIF('Elève (4ème2)'!IB6:IE6,"A"))*4)+((COUNTIF('Elève (4ème2)'!IB6:IE6,"B"))*3)+((COUNTIF('Elève (4ème2)'!IB6:IE6,"C"))*2)+((COUNTIF('Elève (4ème2)'!IB6:IE6,"D"))*1))/(COUNTA(IB6:IE6)),"")</f>
        <v>1.5</v>
      </c>
      <c r="IG6" s="192" t="str">
        <f t="shared" si="49"/>
        <v>D</v>
      </c>
      <c r="IH6" s="134"/>
      <c r="II6" s="132"/>
      <c r="IJ6" s="133"/>
      <c r="IK6" s="136"/>
      <c r="IL6" s="191" t="str">
        <f>IFERROR((((COUNTIF('Elève (4ème2)'!IH6:IK6,"A"))*4)+((COUNTIF('Elève (4ème2)'!IH6:IK6,"B"))*3)+((COUNTIF('Elève (4ème2)'!IH6:IK6,"C"))*2)+((COUNTIF('Elève (4ème2)'!IH6:IK6,"D"))*1))/(COUNTA(IH6:IK6)),"")</f>
        <v/>
      </c>
      <c r="IM6" s="192" t="str">
        <f t="shared" si="50"/>
        <v/>
      </c>
      <c r="IN6" s="191">
        <f>IF(COUNT(HZ6,IF6,IL6)=0,"",SUM(HZ6,IF6,IL6)/COUNT(HZ6,IF6,IL6))</f>
        <v>1.4166666666666665</v>
      </c>
      <c r="IO6" s="215" t="str">
        <f t="shared" si="51"/>
        <v>D</v>
      </c>
      <c r="IP6" s="127" t="s">
        <v>30</v>
      </c>
      <c r="IQ6" s="128" t="s">
        <v>30</v>
      </c>
      <c r="IR6" s="129" t="s">
        <v>30</v>
      </c>
      <c r="IS6" s="191">
        <f>IFERROR((((COUNTIF('Elève (4ème2)'!IP6:IR6,"A"))*4)+((COUNTIF('Elève (4ème2)'!IP6:IR6,"B"))*3)+((COUNTIF('Elève (4ème2)'!IP6:IR6,"C"))*2)+((COUNTIF('Elève (4ème2)'!IP6:IR6,"D"))*1))/(COUNTA(IP6:IR6)),"")</f>
        <v>3</v>
      </c>
      <c r="IT6" s="192" t="str">
        <f t="shared" si="52"/>
        <v>B</v>
      </c>
      <c r="IU6" s="127" t="s">
        <v>30</v>
      </c>
      <c r="IV6" s="128" t="s">
        <v>30</v>
      </c>
      <c r="IW6" s="129" t="s">
        <v>30</v>
      </c>
      <c r="IX6" s="129" t="s">
        <v>32</v>
      </c>
      <c r="IY6" s="191">
        <f>IFERROR((((COUNTIF('Elève (4ème2)'!IU6:IX6,"A"))*4)+((COUNTIF('Elève (4ème2)'!IU6:IX6,"B"))*3)+((COUNTIF('Elève (4ème2)'!IU6:IX6,"C"))*2)+((COUNTIF('Elève (4ème2)'!IU6:IX6,"D"))*1))/(COUNTA(IU6:IX6)),"")</f>
        <v>2.5</v>
      </c>
      <c r="IZ6" s="192" t="str">
        <f t="shared" si="53"/>
        <v>C</v>
      </c>
      <c r="JA6" s="134"/>
      <c r="JB6" s="132"/>
      <c r="JC6" s="133"/>
      <c r="JD6" s="136"/>
      <c r="JE6" s="191" t="str">
        <f>IFERROR((((COUNTIF('Elève (4ème2)'!JA6:JD6,"A"))*4)+((COUNTIF('Elève (4ème2)'!JA6:JD6,"B"))*3)+((COUNTIF('Elève (4ème2)'!JA6:JD6,"C"))*2)+((COUNTIF('Elève (4ème2)'!JA6:JD6,"D"))*1))/(COUNTA(JA6:JD6)),"")</f>
        <v/>
      </c>
      <c r="JF6" s="192" t="str">
        <f t="shared" si="54"/>
        <v/>
      </c>
      <c r="JG6" s="191">
        <f>IF(COUNT(IS6,IY6,JE6)=0,"",SUM(IS6,IY6,JE6)/COUNT(IS6,IY6,JE6))</f>
        <v>2.75</v>
      </c>
      <c r="JH6" s="215" t="str">
        <f t="shared" si="55"/>
        <v>C</v>
      </c>
      <c r="JI6" s="127" t="s">
        <v>32</v>
      </c>
      <c r="JJ6" s="128" t="s">
        <v>31</v>
      </c>
      <c r="JK6" s="129" t="s">
        <v>32</v>
      </c>
      <c r="JL6" s="191">
        <f>IFERROR((((COUNTIF('Elève (4ème2)'!JI6:JK6,"A"))*4)+((COUNTIF('Elève (4ème2)'!JI6:JK6,"B"))*3)+((COUNTIF('Elève (4ème2)'!JI6:JK6,"C"))*2)+((COUNTIF('Elève (4ème2)'!JI6:JK6,"D"))*1))/(COUNTA(JI6:JK6)),"")</f>
        <v>1.3333333333333333</v>
      </c>
      <c r="JM6" s="192" t="str">
        <f t="shared" si="56"/>
        <v>D</v>
      </c>
      <c r="JN6" s="127" t="s">
        <v>30</v>
      </c>
      <c r="JO6" s="128" t="s">
        <v>30</v>
      </c>
      <c r="JP6" s="129" t="s">
        <v>30</v>
      </c>
      <c r="JQ6" s="129" t="s">
        <v>30</v>
      </c>
      <c r="JR6" s="191">
        <f>IFERROR((((COUNTIF('Elève (4ème2)'!JN6:JQ6,"A"))*4)+((COUNTIF('Elève (4ème2)'!JN6:JQ6,"B"))*3)+((COUNTIF('Elève (4ème2)'!JN6:JQ6,"C"))*2)+((COUNTIF('Elève (4ème2)'!JN6:JQ6,"D"))*1))/(COUNTA(JN6:JQ6)),"")</f>
        <v>3</v>
      </c>
      <c r="JS6" s="192" t="str">
        <f t="shared" si="57"/>
        <v>B</v>
      </c>
      <c r="JT6" s="134"/>
      <c r="JU6" s="132"/>
      <c r="JV6" s="133"/>
      <c r="JW6" s="136"/>
      <c r="JX6" s="191" t="str">
        <f>IFERROR((((COUNTIF('Elève (4ème2)'!JT6:JW6,"A"))*4)+((COUNTIF('Elève (4ème2)'!JT6:JW6,"B"))*3)+((COUNTIF('Elève (4ème2)'!JT6:JW6,"C"))*2)+((COUNTIF('Elève (4ème2)'!JT6:JW6,"D"))*1))/(COUNTA(JT6:JW6)),"")</f>
        <v/>
      </c>
      <c r="JY6" s="192" t="str">
        <f t="shared" si="58"/>
        <v/>
      </c>
      <c r="JZ6" s="191">
        <f>IF(COUNT(JL6,JR6,JX6)=0,"",SUM(JL6,JR6,JX6)/COUNT(JL6,JR6,JX6))</f>
        <v>2.1666666666666665</v>
      </c>
      <c r="KA6" s="215" t="str">
        <f t="shared" si="59"/>
        <v>C</v>
      </c>
      <c r="KB6" s="127" t="s">
        <v>32</v>
      </c>
      <c r="KC6" s="128" t="s">
        <v>30</v>
      </c>
      <c r="KD6" s="129" t="s">
        <v>31</v>
      </c>
      <c r="KE6" s="191">
        <f>IFERROR((((COUNTIF('Elève (4ème2)'!KB6:KD6,"A"))*4)+((COUNTIF('Elève (4ème2)'!KB6:KD6,"B"))*3)+((COUNTIF('Elève (4ème2)'!KB6:KD6,"C"))*2)+((COUNTIF('Elève (4ème2)'!KB6:KD6,"D"))*1))/(COUNTA(KB6:KD6)),"")</f>
        <v>2</v>
      </c>
      <c r="KF6" s="192" t="str">
        <f t="shared" si="60"/>
        <v>C</v>
      </c>
      <c r="KG6" s="127" t="s">
        <v>31</v>
      </c>
      <c r="KH6" s="128" t="s">
        <v>31</v>
      </c>
      <c r="KI6" s="129" t="s">
        <v>31</v>
      </c>
      <c r="KJ6" s="129" t="s">
        <v>31</v>
      </c>
      <c r="KK6" s="191">
        <f>IFERROR((((COUNTIF('Elève (4ème2)'!KG6:KJ6,"A"))*4)+((COUNTIF('Elève (4ème2)'!KG6:KJ6,"B"))*3)+((COUNTIF('Elève (4ème2)'!KG6:KJ6,"C"))*2)+((COUNTIF('Elève (4ème2)'!KG6:KJ6,"D"))*1))/(COUNTA(KG6:KJ6)),"")</f>
        <v>2</v>
      </c>
      <c r="KL6" s="192" t="str">
        <f t="shared" si="61"/>
        <v>C</v>
      </c>
      <c r="KM6" s="134"/>
      <c r="KN6" s="132"/>
      <c r="KO6" s="133"/>
      <c r="KP6" s="136"/>
      <c r="KQ6" s="191" t="str">
        <f>IFERROR((((COUNTIF('Elève (4ème2)'!KM6:KP6,"A"))*4)+((COUNTIF('Elève (4ème2)'!KM6:KP6,"B"))*3)+((COUNTIF('Elève (4ème2)'!KM6:KP6,"C"))*2)+((COUNTIF('Elève (4ème2)'!KM6:KP6,"D"))*1))/(COUNTA(KM6:KP6)),"")</f>
        <v/>
      </c>
      <c r="KR6" s="192" t="str">
        <f t="shared" si="62"/>
        <v/>
      </c>
      <c r="KS6" s="191">
        <f>IF(COUNT(KE6,KK6,KQ6)=0,"",SUM(KE6,KK6,KQ6)/COUNT(KE6,KK6,KQ6))</f>
        <v>2</v>
      </c>
      <c r="KT6" s="215" t="str">
        <f t="shared" si="63"/>
        <v>C</v>
      </c>
      <c r="KU6" s="127" t="s">
        <v>31</v>
      </c>
      <c r="KV6" s="128" t="s">
        <v>31</v>
      </c>
      <c r="KW6" s="129" t="s">
        <v>31</v>
      </c>
      <c r="KX6" s="191">
        <f>IFERROR((((COUNTIF('Elève (4ème2)'!KU6:KW6,"A"))*4)+((COUNTIF('Elève (4ème2)'!KU6:KW6,"B"))*3)+((COUNTIF('Elève (4ème2)'!KU6:KW6,"C"))*2)+((COUNTIF('Elève (4ème2)'!KU6:KW6,"D"))*1))/(COUNTA(KU6:KW6)),"")</f>
        <v>2</v>
      </c>
      <c r="KY6" s="192" t="str">
        <f t="shared" si="64"/>
        <v>C</v>
      </c>
      <c r="KZ6" s="127" t="s">
        <v>31</v>
      </c>
      <c r="LA6" s="128" t="s">
        <v>31</v>
      </c>
      <c r="LB6" s="129" t="s">
        <v>32</v>
      </c>
      <c r="LC6" s="129" t="s">
        <v>30</v>
      </c>
      <c r="LD6" s="191">
        <f>IFERROR((((COUNTIF('Elève (4ème2)'!KZ6:LC6,"A"))*4)+((COUNTIF('Elève (4ème2)'!KZ6:LC6,"B"))*3)+((COUNTIF('Elève (4ème2)'!KZ6:LC6,"C"))*2)+((COUNTIF('Elève (4ème2)'!KZ6:LC6,"D"))*1))/(COUNTA(KZ6:LC6)),"")</f>
        <v>2</v>
      </c>
      <c r="LE6" s="192" t="str">
        <f t="shared" si="65"/>
        <v>C</v>
      </c>
      <c r="LF6" s="134"/>
      <c r="LG6" s="132"/>
      <c r="LH6" s="133"/>
      <c r="LI6" s="136"/>
      <c r="LJ6" s="191" t="str">
        <f>IFERROR((((COUNTIF('Elève (4ème2)'!LF6:LI6,"A"))*4)+((COUNTIF('Elève (4ème2)'!LF6:LI6,"B"))*3)+((COUNTIF('Elève (4ème2)'!LF6:LI6,"C"))*2)+((COUNTIF('Elève (4ème2)'!LF6:LI6,"D"))*1))/(COUNTA(LF6:LI6)),"")</f>
        <v/>
      </c>
      <c r="LK6" s="192" t="str">
        <f t="shared" si="66"/>
        <v/>
      </c>
      <c r="LL6" s="191">
        <f>IF(COUNT(KX6,LD6,LJ6)=0,"",SUM(KX6,LD6,LJ6)/COUNT(KX6,LD6,LJ6))</f>
        <v>2</v>
      </c>
      <c r="LM6" s="215" t="str">
        <f t="shared" si="67"/>
        <v>C</v>
      </c>
      <c r="LN6" s="127" t="s">
        <v>32</v>
      </c>
      <c r="LO6" s="128" t="s">
        <v>32</v>
      </c>
      <c r="LP6" s="129" t="s">
        <v>31</v>
      </c>
      <c r="LQ6" s="191">
        <f>IFERROR((((COUNTIF('Elève (4ème2)'!LN6:LP6,"A"))*4)+((COUNTIF('Elève (4ème2)'!LN6:LP6,"B"))*3)+((COUNTIF('Elève (4ème2)'!LN6:LP6,"C"))*2)+((COUNTIF('Elève (4ème2)'!LN6:LP6,"D"))*1))/(COUNTA(LN6:LP6)),"")</f>
        <v>1.3333333333333333</v>
      </c>
      <c r="LR6" s="192" t="str">
        <f t="shared" si="68"/>
        <v>D</v>
      </c>
      <c r="LS6" s="127" t="s">
        <v>32</v>
      </c>
      <c r="LT6" s="128" t="s">
        <v>31</v>
      </c>
      <c r="LU6" s="129" t="s">
        <v>32</v>
      </c>
      <c r="LV6" s="129" t="s">
        <v>31</v>
      </c>
      <c r="LW6" s="191">
        <f>IFERROR((((COUNTIF('Elève (4ème2)'!LS6:LV6,"A"))*4)+((COUNTIF('Elève (4ème2)'!LS6:LV6,"B"))*3)+((COUNTIF('Elève (4ème2)'!LS6:LV6,"C"))*2)+((COUNTIF('Elève (4ème2)'!LS6:LV6,"D"))*1))/(COUNTA(LS6:LV6)),"")</f>
        <v>1.5</v>
      </c>
      <c r="LX6" s="192" t="str">
        <f t="shared" si="69"/>
        <v>D</v>
      </c>
      <c r="LY6" s="134"/>
      <c r="LZ6" s="132"/>
      <c r="MA6" s="133"/>
      <c r="MB6" s="136"/>
      <c r="MC6" s="191" t="str">
        <f>IFERROR((((COUNTIF('Elève (4ème2)'!LY6:MB6,"A"))*4)+((COUNTIF('Elève (4ème2)'!LY6:MB6,"B"))*3)+((COUNTIF('Elève (4ème2)'!LY6:MB6,"C"))*2)+((COUNTIF('Elève (4ème2)'!LY6:MB6,"D"))*1))/(COUNTA(LY6:MB6)),"")</f>
        <v/>
      </c>
      <c r="MD6" s="192" t="str">
        <f t="shared" si="70"/>
        <v/>
      </c>
      <c r="ME6" s="191">
        <f>IF(COUNT(LQ6,LW6,MC6)=0,"",SUM(LQ6,LW6,MC6)/COUNT(LQ6,LW6,MC6))</f>
        <v>1.4166666666666665</v>
      </c>
      <c r="MF6" s="215" t="str">
        <f t="shared" si="71"/>
        <v>D</v>
      </c>
      <c r="MG6" s="127" t="s">
        <v>30</v>
      </c>
      <c r="MH6" s="128" t="s">
        <v>31</v>
      </c>
      <c r="MI6" s="129" t="s">
        <v>30</v>
      </c>
      <c r="MJ6" s="191">
        <f>IFERROR((((COUNTIF('Elève (4ème2)'!MG6:MI6,"A"))*4)+((COUNTIF('Elève (4ème2)'!MG6:MI6,"B"))*3)+((COUNTIF('Elève (4ème2)'!MG6:MI6,"C"))*2)+((COUNTIF('Elève (4ème2)'!MG6:MI6,"D"))*1))/(COUNTA(MG6:MI6)),"")</f>
        <v>2.6666666666666665</v>
      </c>
      <c r="MK6" s="192" t="str">
        <f t="shared" si="72"/>
        <v>C</v>
      </c>
      <c r="ML6" s="127" t="s">
        <v>30</v>
      </c>
      <c r="MM6" s="128" t="s">
        <v>30</v>
      </c>
      <c r="MN6" s="129" t="s">
        <v>30</v>
      </c>
      <c r="MO6" s="129" t="s">
        <v>29</v>
      </c>
      <c r="MP6" s="191">
        <f>IFERROR((((COUNTIF('Elève (4ème2)'!ML6:MO6,"A"))*4)+((COUNTIF('Elève (4ème2)'!ML6:MO6,"B"))*3)+((COUNTIF('Elève (4ème2)'!ML6:MO6,"C"))*2)+((COUNTIF('Elève (4ème2)'!ML6:MO6,"D"))*1))/(COUNTA(ML6:MO6)),"")</f>
        <v>3.25</v>
      </c>
      <c r="MQ6" s="192" t="str">
        <f t="shared" si="73"/>
        <v>B</v>
      </c>
      <c r="MR6" s="134"/>
      <c r="MS6" s="132"/>
      <c r="MT6" s="133"/>
      <c r="MU6" s="136"/>
      <c r="MV6" s="191" t="str">
        <f>IFERROR((((COUNTIF('Elève (4ème2)'!MR6:MU6,"A"))*4)+((COUNTIF('Elève (4ème2)'!MR6:MU6,"B"))*3)+((COUNTIF('Elève (4ème2)'!MR6:MU6,"C"))*2)+((COUNTIF('Elève (4ème2)'!MR6:MU6,"D"))*1))/(COUNTA(MR6:MU6)),"")</f>
        <v/>
      </c>
      <c r="MW6" s="192" t="str">
        <f t="shared" si="74"/>
        <v/>
      </c>
      <c r="MX6" s="191">
        <f>IF(COUNT(MJ6,MP6,MV6)=0,"",SUM(MJ6,MP6,MV6)/COUNT(MJ6,MP6,MV6))</f>
        <v>2.958333333333333</v>
      </c>
      <c r="MY6" s="215" t="str">
        <f t="shared" si="75"/>
        <v>B</v>
      </c>
      <c r="MZ6" s="127" t="s">
        <v>30</v>
      </c>
      <c r="NA6" s="128" t="s">
        <v>31</v>
      </c>
      <c r="NB6" s="129" t="s">
        <v>32</v>
      </c>
      <c r="NC6" s="191">
        <f>IFERROR((((COUNTIF('Elève (4ème2)'!MZ6:NB6,"A"))*4)+((COUNTIF('Elève (4ème2)'!MZ6:NB6,"B"))*3)+((COUNTIF('Elève (4ème2)'!MZ6:NB6,"C"))*2)+((COUNTIF('Elève (4ème2)'!MZ6:NB6,"D"))*1))/(COUNTA(MZ6:NB6)),"")</f>
        <v>2</v>
      </c>
      <c r="ND6" s="192" t="str">
        <f t="shared" si="76"/>
        <v>C</v>
      </c>
      <c r="NE6" s="127" t="s">
        <v>31</v>
      </c>
      <c r="NF6" s="128" t="s">
        <v>31</v>
      </c>
      <c r="NG6" s="129" t="s">
        <v>31</v>
      </c>
      <c r="NH6" s="129" t="s">
        <v>31</v>
      </c>
      <c r="NI6" s="191">
        <f>IFERROR((((COUNTIF('Elève (4ème2)'!NE6:NH6,"A"))*4)+((COUNTIF('Elève (4ème2)'!NE6:NH6,"B"))*3)+((COUNTIF('Elève (4ème2)'!NE6:NH6,"C"))*2)+((COUNTIF('Elève (4ème2)'!NE6:NH6,"D"))*1))/(COUNTA(NE6:NH6)),"")</f>
        <v>2</v>
      </c>
      <c r="NJ6" s="192" t="str">
        <f t="shared" si="77"/>
        <v>C</v>
      </c>
      <c r="NK6" s="134"/>
      <c r="NL6" s="132"/>
      <c r="NM6" s="133"/>
      <c r="NN6" s="136"/>
      <c r="NO6" s="191" t="str">
        <f>IFERROR((((COUNTIF('Elève (4ème2)'!NK6:NN6,"A"))*4)+((COUNTIF('Elève (4ème2)'!NK6:NN6,"B"))*3)+((COUNTIF('Elève (4ème2)'!NK6:NN6,"C"))*2)+((COUNTIF('Elève (4ème2)'!NK6:NN6,"D"))*1))/(COUNTA(NK6:NN6)),"")</f>
        <v/>
      </c>
      <c r="NP6" s="192" t="str">
        <f t="shared" si="78"/>
        <v/>
      </c>
      <c r="NQ6" s="191">
        <f>IF(COUNT(NC6,NI6,NO6)=0,"",SUM(NC6,NI6,NO6)/COUNT(NC6,NI6,NO6))</f>
        <v>2</v>
      </c>
      <c r="NR6" s="215" t="str">
        <f t="shared" si="79"/>
        <v>C</v>
      </c>
      <c r="NS6" s="127" t="s">
        <v>30</v>
      </c>
      <c r="NT6" s="128" t="s">
        <v>31</v>
      </c>
      <c r="NU6" s="129" t="s">
        <v>31</v>
      </c>
      <c r="NV6" s="191">
        <f>IFERROR((((COUNTIF('Elève (4ème2)'!NS6:NU6,"A"))*4)+((COUNTIF('Elève (4ème2)'!NS6:NU6,"B"))*3)+((COUNTIF('Elève (4ème2)'!NS6:NU6,"C"))*2)+((COUNTIF('Elève (4ème2)'!NS6:NU6,"D"))*1))/(COUNTA(NS6:NU6)),"")</f>
        <v>2.3333333333333335</v>
      </c>
      <c r="NW6" s="192" t="str">
        <f t="shared" si="80"/>
        <v>C</v>
      </c>
      <c r="NX6" s="127" t="s">
        <v>31</v>
      </c>
      <c r="NY6" s="128" t="s">
        <v>31</v>
      </c>
      <c r="NZ6" s="129" t="s">
        <v>30</v>
      </c>
      <c r="OA6" s="129" t="s">
        <v>31</v>
      </c>
      <c r="OB6" s="191">
        <f>IFERROR((((COUNTIF('Elève (4ème2)'!NX6:OA6,"A"))*4)+((COUNTIF('Elève (4ème2)'!NX6:OA6,"B"))*3)+((COUNTIF('Elève (4ème2)'!NX6:OA6,"C"))*2)+((COUNTIF('Elève (4ème2)'!NX6:OA6,"D"))*1))/(COUNTA(NX6:OA6)),"")</f>
        <v>2.25</v>
      </c>
      <c r="OC6" s="192" t="str">
        <f t="shared" si="81"/>
        <v>C</v>
      </c>
      <c r="OD6" s="134"/>
      <c r="OE6" s="132"/>
      <c r="OF6" s="133"/>
      <c r="OG6" s="136"/>
      <c r="OH6" s="191" t="str">
        <f>IFERROR((((COUNTIF('Elève (4ème2)'!OD6:OG6,"A"))*4)+((COUNTIF('Elève (4ème2)'!OD6:OG6,"B"))*3)+((COUNTIF('Elève (4ème2)'!OD6:OG6,"C"))*2)+((COUNTIF('Elève (4ème2)'!OD6:OG6,"D"))*1))/(COUNTA(OD6:OG6)),"")</f>
        <v/>
      </c>
      <c r="OI6" s="192" t="str">
        <f t="shared" si="82"/>
        <v/>
      </c>
      <c r="OJ6" s="191">
        <f>IF(COUNT(NV6,OB6,OH6)=0,"",SUM(NV6,OB6,OH6)/COUNT(NV6,OB6,OH6))</f>
        <v>2.291666666666667</v>
      </c>
      <c r="OK6" s="215" t="str">
        <f t="shared" si="83"/>
        <v>C</v>
      </c>
      <c r="OL6" s="127" t="s">
        <v>31</v>
      </c>
      <c r="OM6" s="128" t="s">
        <v>30</v>
      </c>
      <c r="ON6" s="129" t="s">
        <v>32</v>
      </c>
      <c r="OO6" s="191">
        <f>IFERROR((((COUNTIF('Elève (4ème2)'!OL6:ON6,"A"))*4)+((COUNTIF('Elève (4ème2)'!OL6:ON6,"B"))*3)+((COUNTIF('Elève (4ème2)'!OL6:ON6,"C"))*2)+((COUNTIF('Elève (4ème2)'!OL6:ON6,"D"))*1))/(COUNTA(OL6:ON6)),"")</f>
        <v>2</v>
      </c>
      <c r="OP6" s="192" t="str">
        <f t="shared" si="84"/>
        <v>C</v>
      </c>
      <c r="OQ6" s="127" t="s">
        <v>31</v>
      </c>
      <c r="OR6" s="128" t="s">
        <v>31</v>
      </c>
      <c r="OS6" s="129" t="s">
        <v>30</v>
      </c>
      <c r="OT6" s="129" t="s">
        <v>31</v>
      </c>
      <c r="OU6" s="191">
        <f>IFERROR((((COUNTIF('Elève (4ème2)'!OQ6:OT6,"A"))*4)+((COUNTIF('Elève (4ème2)'!OQ6:OT6,"B"))*3)+((COUNTIF('Elève (4ème2)'!OQ6:OT6,"C"))*2)+((COUNTIF('Elève (4ème2)'!OQ6:OT6,"D"))*1))/(COUNTA(OQ6:OT6)),"")</f>
        <v>2.25</v>
      </c>
      <c r="OV6" s="192" t="str">
        <f t="shared" si="85"/>
        <v>C</v>
      </c>
      <c r="OW6" s="134"/>
      <c r="OX6" s="132"/>
      <c r="OY6" s="133"/>
      <c r="OZ6" s="136"/>
      <c r="PA6" s="191" t="str">
        <f>IFERROR((((COUNTIF('Elève (4ème2)'!OW6:OZ6,"A"))*4)+((COUNTIF('Elève (4ème2)'!OW6:OZ6,"B"))*3)+((COUNTIF('Elève (4ème2)'!OW6:OZ6,"C"))*2)+((COUNTIF('Elève (4ème2)'!OW6:OZ6,"D"))*1))/(COUNTA(OW6:OZ6)),"")</f>
        <v/>
      </c>
      <c r="PB6" s="192" t="str">
        <f t="shared" si="86"/>
        <v/>
      </c>
      <c r="PC6" s="191">
        <f>IF(COUNT(OO6,OU6,PA6)=0,"",SUM(OO6,OU6,PA6)/COUNT(OO6,OU6,PA6))</f>
        <v>2.125</v>
      </c>
      <c r="PD6" s="215" t="str">
        <f t="shared" si="87"/>
        <v>C</v>
      </c>
      <c r="PE6" s="127" t="s">
        <v>31</v>
      </c>
      <c r="PF6" s="128" t="s">
        <v>30</v>
      </c>
      <c r="PG6" s="129" t="s">
        <v>32</v>
      </c>
      <c r="PH6" s="191">
        <f>IFERROR((((COUNTIF('Elève (4ème2)'!PE6:PG6,"A"))*4)+((COUNTIF('Elève (4ème2)'!PE6:PG6,"B"))*3)+((COUNTIF('Elève (4ème2)'!PE6:PG6,"C"))*2)+((COUNTIF('Elève (4ème2)'!PE6:PG6,"D"))*1))/(COUNTA(PE6:PG6)),"")</f>
        <v>2</v>
      </c>
      <c r="PI6" s="192" t="str">
        <f t="shared" si="88"/>
        <v>C</v>
      </c>
      <c r="PJ6" s="127" t="s">
        <v>31</v>
      </c>
      <c r="PK6" s="128" t="s">
        <v>31</v>
      </c>
      <c r="PL6" s="129" t="s">
        <v>31</v>
      </c>
      <c r="PM6" s="129" t="s">
        <v>31</v>
      </c>
      <c r="PN6" s="191">
        <f>IFERROR((((COUNTIF('Elève (4ème2)'!PJ6:PM6,"A"))*4)+((COUNTIF('Elève (4ème2)'!PJ6:PM6,"B"))*3)+((COUNTIF('Elève (4ème2)'!PJ6:PM6,"C"))*2)+((COUNTIF('Elève (4ème2)'!PJ6:PM6,"D"))*1))/(COUNTA(PJ6:PM6)),"")</f>
        <v>2</v>
      </c>
      <c r="PO6" s="192" t="str">
        <f t="shared" si="89"/>
        <v>C</v>
      </c>
      <c r="PP6" s="134"/>
      <c r="PQ6" s="132"/>
      <c r="PR6" s="133"/>
      <c r="PS6" s="136"/>
      <c r="PT6" s="191" t="str">
        <f>IFERROR((((COUNTIF('Elève (4ème2)'!PP6:PS6,"A"))*4)+((COUNTIF('Elève (4ème2)'!PP6:PS6,"B"))*3)+((COUNTIF('Elève (4ème2)'!PP6:PS6,"C"))*2)+((COUNTIF('Elève (4ème2)'!PP6:PS6,"D"))*1))/(COUNTA(PP6:PS6)),"")</f>
        <v/>
      </c>
      <c r="PU6" s="192" t="str">
        <f t="shared" si="90"/>
        <v/>
      </c>
      <c r="PV6" s="191">
        <f>IF(COUNT(PH6,PN6,PT6)=0,"",SUM(PH6,PN6,PT6)/COUNT(PH6,PN6,PT6))</f>
        <v>2</v>
      </c>
      <c r="PW6" s="215" t="str">
        <f t="shared" si="91"/>
        <v>C</v>
      </c>
      <c r="PX6" s="127" t="s">
        <v>32</v>
      </c>
      <c r="PY6" s="128" t="s">
        <v>30</v>
      </c>
      <c r="PZ6" s="129" t="s">
        <v>31</v>
      </c>
      <c r="QA6" s="191">
        <f>IFERROR((((COUNTIF('Elève (4ème2)'!PX6:PZ6,"A"))*4)+((COUNTIF('Elève (4ème2)'!PX6:PZ6,"B"))*3)+((COUNTIF('Elève (4ème2)'!PX6:PZ6,"C"))*2)+((COUNTIF('Elève (4ème2)'!PX6:PZ6,"D"))*1))/(COUNTA(PX6:PZ6)),"")</f>
        <v>2</v>
      </c>
      <c r="QB6" s="192" t="str">
        <f t="shared" si="92"/>
        <v>C</v>
      </c>
      <c r="QC6" s="127" t="s">
        <v>32</v>
      </c>
      <c r="QD6" s="128"/>
      <c r="QE6" s="129" t="s">
        <v>31</v>
      </c>
      <c r="QF6" s="129" t="s">
        <v>30</v>
      </c>
      <c r="QG6" s="191">
        <f>IFERROR((((COUNTIF('Elève (4ème2)'!QC6:QF6,"A"))*4)+((COUNTIF('Elève (4ème2)'!QC6:QF6,"B"))*3)+((COUNTIF('Elève (4ème2)'!QC6:QF6,"C"))*2)+((COUNTIF('Elève (4ème2)'!QC6:QF6,"D"))*1))/(COUNTA(QC6:QF6)),"")</f>
        <v>2</v>
      </c>
      <c r="QH6" s="192" t="str">
        <f t="shared" si="93"/>
        <v>C</v>
      </c>
      <c r="QI6" s="134"/>
      <c r="QJ6" s="132"/>
      <c r="QK6" s="133"/>
      <c r="QL6" s="136"/>
      <c r="QM6" s="191" t="str">
        <f>IFERROR((((COUNTIF('Elève (4ème2)'!QI6:QL6,"A"))*4)+((COUNTIF('Elève (4ème2)'!QI6:QL6,"B"))*3)+((COUNTIF('Elève (4ème2)'!QI6:QL6,"C"))*2)+((COUNTIF('Elève (4ème2)'!QI6:QL6,"D"))*1))/(COUNTA(QI6:QL6)),"")</f>
        <v/>
      </c>
      <c r="QN6" s="192" t="str">
        <f t="shared" si="94"/>
        <v/>
      </c>
      <c r="QO6" s="191">
        <f>IF(COUNT(QA6,QG6,QM6)=0,"",SUM(QA6,QG6,QM6)/COUNT(QA6,QG6,QM6))</f>
        <v>2</v>
      </c>
      <c r="QP6" s="215" t="str">
        <f t="shared" si="95"/>
        <v>C</v>
      </c>
      <c r="QQ6" s="127" t="s">
        <v>31</v>
      </c>
      <c r="QR6" s="128" t="s">
        <v>31</v>
      </c>
      <c r="QS6" s="129" t="s">
        <v>32</v>
      </c>
      <c r="QT6" s="191">
        <f>IFERROR((((COUNTIF('Elève (4ème2)'!QQ6:QS6,"A"))*4)+((COUNTIF('Elève (4ème2)'!QQ6:QS6,"B"))*3)+((COUNTIF('Elève (4ème2)'!QQ6:QS6,"C"))*2)+((COUNTIF('Elève (4ème2)'!QQ6:QS6,"D"))*1))/(COUNTA(QQ6:QS6)),"")</f>
        <v>1.6666666666666667</v>
      </c>
      <c r="QU6" s="192" t="str">
        <f t="shared" si="96"/>
        <v>C</v>
      </c>
      <c r="QV6" s="127" t="s">
        <v>31</v>
      </c>
      <c r="QW6" s="128" t="s">
        <v>30</v>
      </c>
      <c r="QX6" s="129" t="s">
        <v>31</v>
      </c>
      <c r="QY6" s="129" t="s">
        <v>30</v>
      </c>
      <c r="QZ6" s="191">
        <f>IFERROR((((COUNTIF('Elève (4ème2)'!QV6:QY6,"A"))*4)+((COUNTIF('Elève (4ème2)'!QV6:QY6,"B"))*3)+((COUNTIF('Elève (4ème2)'!QV6:QY6,"C"))*2)+((COUNTIF('Elève (4ème2)'!QV6:QY6,"D"))*1))/(COUNTA(QV6:QY6)),"")</f>
        <v>2.5</v>
      </c>
      <c r="RA6" s="192" t="str">
        <f t="shared" si="97"/>
        <v>C</v>
      </c>
      <c r="RB6" s="134"/>
      <c r="RC6" s="132"/>
      <c r="RD6" s="133"/>
      <c r="RE6" s="136"/>
      <c r="RF6" s="191" t="str">
        <f>IFERROR((((COUNTIF('Elève (4ème2)'!RB6:RE6,"A"))*4)+((COUNTIF('Elève (4ème2)'!RB6:RE6,"B"))*3)+((COUNTIF('Elève (4ème2)'!RB6:RE6,"C"))*2)+((COUNTIF('Elève (4ème2)'!RB6:RE6,"D"))*1))/(COUNTA(RB6:RE6)),"")</f>
        <v/>
      </c>
      <c r="RG6" s="192" t="str">
        <f t="shared" si="98"/>
        <v/>
      </c>
      <c r="RH6" s="191">
        <f>IF(COUNT(QT6,QZ6,RF6)=0,"",SUM(QT6,QZ6,RF6)/COUNT(QT6,QZ6,RF6))</f>
        <v>2.0833333333333335</v>
      </c>
      <c r="RI6" s="215" t="str">
        <f t="shared" si="99"/>
        <v>C</v>
      </c>
      <c r="RJ6" s="127" t="s">
        <v>31</v>
      </c>
      <c r="RK6" s="128" t="s">
        <v>31</v>
      </c>
      <c r="RL6" s="129" t="s">
        <v>31</v>
      </c>
      <c r="RM6" s="191">
        <f>IFERROR((((COUNTIF('Elève (4ème2)'!RJ6:RL6,"A"))*4)+((COUNTIF('Elève (4ème2)'!RJ6:RL6,"B"))*3)+((COUNTIF('Elève (4ème2)'!RJ6:RL6,"C"))*2)+((COUNTIF('Elève (4ème2)'!RJ6:RL6,"D"))*1))/(COUNTA(RJ6:RL6)),"")</f>
        <v>2</v>
      </c>
      <c r="RN6" s="192" t="str">
        <f t="shared" si="100"/>
        <v>C</v>
      </c>
      <c r="RO6" s="127" t="s">
        <v>31</v>
      </c>
      <c r="RP6" s="128" t="s">
        <v>30</v>
      </c>
      <c r="RQ6" s="129" t="s">
        <v>31</v>
      </c>
      <c r="RR6" s="129" t="s">
        <v>31</v>
      </c>
      <c r="RS6" s="191">
        <f>IFERROR((((COUNTIF('Elève (4ème2)'!RO6:RR6,"A"))*4)+((COUNTIF('Elève (4ème2)'!RO6:RR6,"B"))*3)+((COUNTIF('Elève (4ème2)'!RO6:RR6,"C"))*2)+((COUNTIF('Elève (4ème2)'!RO6:RR6,"D"))*1))/(COUNTA(RO6:RR6)),"")</f>
        <v>2.25</v>
      </c>
      <c r="RT6" s="192" t="str">
        <f t="shared" si="101"/>
        <v>C</v>
      </c>
      <c r="RU6" s="134"/>
      <c r="RV6" s="132"/>
      <c r="RW6" s="133"/>
      <c r="RX6" s="136"/>
      <c r="RY6" s="191" t="str">
        <f>IFERROR((((COUNTIF('Elève (4ème2)'!RU6:RX6,"A"))*4)+((COUNTIF('Elève (4ème2)'!RU6:RX6,"B"))*3)+((COUNTIF('Elève (4ème2)'!RU6:RX6,"C"))*2)+((COUNTIF('Elève (4ème2)'!RU6:RX6,"D"))*1))/(COUNTA(RU6:RX6)),"")</f>
        <v/>
      </c>
      <c r="RZ6" s="192" t="str">
        <f t="shared" si="102"/>
        <v/>
      </c>
      <c r="SA6" s="191">
        <f>IF(COUNT(RM6,RS6,RY6)=0,"",SUM(RM6,RS6,RY6)/COUNT(RM6,RS6,RY6))</f>
        <v>2.125</v>
      </c>
      <c r="SB6" s="215" t="str">
        <f t="shared" si="103"/>
        <v>C</v>
      </c>
      <c r="SC6" s="127" t="s">
        <v>31</v>
      </c>
      <c r="SD6" s="128" t="s">
        <v>31</v>
      </c>
      <c r="SE6" s="129" t="s">
        <v>31</v>
      </c>
      <c r="SF6" s="191">
        <f>IFERROR((((COUNTIF('Elève (4ème2)'!SC6:SE6,"A"))*4)+((COUNTIF('Elève (4ème2)'!SC6:SE6,"B"))*3)+((COUNTIF('Elève (4ème2)'!SC6:SE6,"C"))*2)+((COUNTIF('Elève (4ème2)'!SC6:SE6,"D"))*1))/(COUNTA(SC6:SE6)),"")</f>
        <v>2</v>
      </c>
      <c r="SG6" s="192" t="str">
        <f t="shared" si="104"/>
        <v>C</v>
      </c>
      <c r="SH6" s="127" t="s">
        <v>31</v>
      </c>
      <c r="SI6" s="128" t="s">
        <v>30</v>
      </c>
      <c r="SJ6" s="129" t="s">
        <v>31</v>
      </c>
      <c r="SK6" s="129" t="s">
        <v>31</v>
      </c>
      <c r="SL6" s="191">
        <f>IFERROR((((COUNTIF('Elève (4ème2)'!SH6:SK6,"A"))*4)+((COUNTIF('Elève (4ème2)'!SH6:SK6,"B"))*3)+((COUNTIF('Elève (4ème2)'!SH6:SK6,"C"))*2)+((COUNTIF('Elève (4ème2)'!SH6:SK6,"D"))*1))/(COUNTA(SH6:SK6)),"")</f>
        <v>2.25</v>
      </c>
      <c r="SM6" s="192" t="str">
        <f t="shared" si="105"/>
        <v>C</v>
      </c>
      <c r="SN6" s="134"/>
      <c r="SO6" s="132"/>
      <c r="SP6" s="133"/>
      <c r="SQ6" s="136"/>
      <c r="SR6" s="191" t="str">
        <f>IFERROR((((COUNTIF('Elève (4ème2)'!SN6:SQ6,"A"))*4)+((COUNTIF('Elève (4ème2)'!SN6:SQ6,"B"))*3)+((COUNTIF('Elève (4ème2)'!SN6:SQ6,"C"))*2)+((COUNTIF('Elève (4ème2)'!SN6:SQ6,"D"))*1))/(COUNTA(SN6:SQ6)),"")</f>
        <v/>
      </c>
      <c r="SS6" s="192" t="str">
        <f t="shared" si="106"/>
        <v/>
      </c>
      <c r="ST6" s="191">
        <f>IF(COUNT(SF6,SL6,SR6)=0,"",SUM(SF6,SL6,SR6)/COUNT(SF6,SL6,SR6))</f>
        <v>2.125</v>
      </c>
      <c r="SU6" s="215" t="str">
        <f t="shared" si="107"/>
        <v>C</v>
      </c>
      <c r="SV6" s="134"/>
      <c r="SW6" s="132"/>
      <c r="SX6" s="133"/>
      <c r="SY6" s="130" t="str">
        <f>IFERROR((((COUNTIF('Elève (4ème2)'!SV6:SX6,"A"))*4)+((COUNTIF('Elève (4ème2)'!SV6:SX6,"B"))*3)+((COUNTIF('Elève (4ème2)'!SV6:SX6,"C"))*2)+((COUNTIF('Elève (4ème2)'!SV6:SX6,"D"))*1))/(COUNTA(SV6:SX6)),"")</f>
        <v/>
      </c>
      <c r="SZ6" s="131" t="str">
        <f t="shared" si="108"/>
        <v/>
      </c>
      <c r="TA6" s="134"/>
      <c r="TB6" s="132"/>
      <c r="TC6" s="133"/>
      <c r="TD6" s="130" t="str">
        <f>IFERROR((((COUNTIF('Elève (4ème2)'!TA6:TC6,"A"))*4)+((COUNTIF('Elève (4ème2)'!TA6:TC6,"B"))*3)+((COUNTIF('Elève (4ème2)'!TA6:TC6,"C"))*2)+((COUNTIF('Elève (4ème2)'!TA6:TC6,"D"))*1))/(COUNTA(TA6:TC6)),"")</f>
        <v/>
      </c>
      <c r="TE6" s="131" t="str">
        <f t="shared" si="109"/>
        <v/>
      </c>
      <c r="TF6" s="134"/>
      <c r="TG6" s="132"/>
      <c r="TH6" s="136"/>
      <c r="TI6" s="130" t="str">
        <f>IFERROR((((COUNTIF('Elève (4ème2)'!TF6:TH6,"A"))*4)+((COUNTIF('Elève (4ème2)'!TF6:TH6,"B"))*3)+((COUNTIF('Elève (4ème2)'!TF6:TH6,"C"))*2)+((COUNTIF('Elève (4ème2)'!TF6:TH6,"D"))*1))/(COUNTA(TF6:TH6)),"")</f>
        <v/>
      </c>
      <c r="TJ6" s="131" t="str">
        <f t="shared" si="110"/>
        <v/>
      </c>
      <c r="TK6" s="130" t="str">
        <f>IF(COUNT(SY6,TD6,TI6)=0,"",SUM(SY6,TD6,TI6)/COUNT(SY6,TD6,TI6))</f>
        <v/>
      </c>
      <c r="TL6" s="135" t="str">
        <f t="shared" si="111"/>
        <v/>
      </c>
      <c r="TM6" s="134"/>
      <c r="TN6" s="132"/>
      <c r="TO6" s="133"/>
      <c r="TP6" s="130" t="str">
        <f>IFERROR((((COUNTIF('Elève (4ème2)'!TM6:TO6,"A"))*4)+((COUNTIF('Elève (4ème2)'!TM6:TO6,"B"))*3)+((COUNTIF('Elève (4ème2)'!TM6:TO6,"C"))*2)+((COUNTIF('Elève (4ème2)'!TM6:TO6,"D"))*1))/(COUNTA(TM6:TO6)),"")</f>
        <v/>
      </c>
      <c r="TQ6" s="131" t="str">
        <f t="shared" si="112"/>
        <v/>
      </c>
      <c r="TR6" s="134"/>
      <c r="TS6" s="132"/>
      <c r="TT6" s="133"/>
      <c r="TU6" s="130" t="str">
        <f>IFERROR((((COUNTIF('Elève (4ème2)'!TR6:TT6,"A"))*4)+((COUNTIF('Elève (4ème2)'!TR6:TT6,"B"))*3)+((COUNTIF('Elève (4ème2)'!TR6:TT6,"C"))*2)+((COUNTIF('Elève (4ème2)'!TR6:TT6,"D"))*1))/(COUNTA(TR6:TT6)),"")</f>
        <v/>
      </c>
      <c r="TV6" s="131" t="str">
        <f t="shared" si="113"/>
        <v/>
      </c>
      <c r="TW6" s="134"/>
      <c r="TX6" s="132"/>
      <c r="TY6" s="136"/>
      <c r="TZ6" s="130" t="str">
        <f>IFERROR((((COUNTIF('Elève (4ème2)'!TW6:TY6,"A"))*4)+((COUNTIF('Elève (4ème2)'!TW6:TY6,"B"))*3)+((COUNTIF('Elève (4ème2)'!TW6:TY6,"C"))*2)+((COUNTIF('Elève (4ème2)'!TW6:TY6,"D"))*1))/(COUNTA(TW6:TY6)),"")</f>
        <v/>
      </c>
      <c r="UA6" s="131" t="str">
        <f t="shared" si="114"/>
        <v/>
      </c>
      <c r="UB6" s="130" t="str">
        <f>IF(COUNT(TP6,TU6,TZ6)=0,"",SUM(TP6,TU6,TZ6)/COUNT(TP6,TU6,TZ6))</f>
        <v/>
      </c>
      <c r="UC6" s="135" t="str">
        <f t="shared" si="115"/>
        <v/>
      </c>
      <c r="UD6" s="134"/>
      <c r="UE6" s="132"/>
      <c r="UF6" s="133"/>
      <c r="UG6" s="130" t="str">
        <f>IFERROR((((COUNTIF('Elève (4ème2)'!UD6:UF6,"A"))*4)+((COUNTIF('Elève (4ème2)'!UD6:UF6,"B"))*3)+((COUNTIF('Elève (4ème2)'!UD6:UF6,"C"))*2)+((COUNTIF('Elève (4ème2)'!UD6:UF6,"D"))*1))/(COUNTA(UD6:UF6)),"")</f>
        <v/>
      </c>
      <c r="UH6" s="131" t="str">
        <f t="shared" si="116"/>
        <v/>
      </c>
      <c r="UI6" s="134"/>
      <c r="UJ6" s="132"/>
      <c r="UK6" s="133"/>
      <c r="UL6" s="130" t="str">
        <f>IFERROR((((COUNTIF('Elève (4ème2)'!UI6:UK6,"A"))*4)+((COUNTIF('Elève (4ème2)'!UI6:UK6,"B"))*3)+((COUNTIF('Elève (4ème2)'!UI6:UK6,"C"))*2)+((COUNTIF('Elève (4ème2)'!UI6:UK6,"D"))*1))/(COUNTA(UI6:UK6)),"")</f>
        <v/>
      </c>
      <c r="UM6" s="131" t="str">
        <f t="shared" si="117"/>
        <v/>
      </c>
      <c r="UN6" s="134"/>
      <c r="UO6" s="132"/>
      <c r="UP6" s="136"/>
      <c r="UQ6" s="130" t="str">
        <f>IFERROR((((COUNTIF('Elève (4ème2)'!UN6:UP6,"A"))*4)+((COUNTIF('Elève (4ème2)'!UN6:UP6,"B"))*3)+((COUNTIF('Elève (4ème2)'!UN6:UP6,"C"))*2)+((COUNTIF('Elève (4ème2)'!UN6:UP6,"D"))*1))/(COUNTA(UN6:UP6)),"")</f>
        <v/>
      </c>
      <c r="UR6" s="131" t="str">
        <f t="shared" si="118"/>
        <v/>
      </c>
      <c r="US6" s="130" t="str">
        <f>IF(COUNT(UG6,UL6,UQ6)=0,"",SUM(UG6,UL6,UQ6)/COUNT(UG6,UL6,UQ6))</f>
        <v/>
      </c>
      <c r="UT6" s="135" t="str">
        <f t="shared" si="119"/>
        <v/>
      </c>
    </row>
    <row r="7" spans="1:566" ht="18" customHeight="1" x14ac:dyDescent="0.25">
      <c r="A7" s="252" t="s">
        <v>14</v>
      </c>
      <c r="B7" s="253"/>
      <c r="C7" s="134"/>
      <c r="D7" s="132"/>
      <c r="E7" s="133"/>
      <c r="F7" s="191" t="str">
        <f>IFERROR((((COUNTIF('Elève (4ème2)'!C7:E7,"A"))*4)+((COUNTIF('Elève (4ème2)'!C7:E7,"B"))*3)+((COUNTIF('Elève (4ème2)'!C7:E7,"C"))*2)+((COUNTIF('Elève (4ème2)'!C7:E7,"D"))*1))/(COUNTA(C7:E7)),"")</f>
        <v/>
      </c>
      <c r="G7" s="192" t="str">
        <f t="shared" si="0"/>
        <v/>
      </c>
      <c r="H7" s="134"/>
      <c r="I7" s="132"/>
      <c r="J7" s="133"/>
      <c r="K7" s="133"/>
      <c r="L7" s="191" t="str">
        <f>IFERROR((((COUNTIF('Elève (4ème2)'!H7:K7,"A"))*4)+((COUNTIF('Elève (4ème2)'!H7:K7,"B"))*3)+((COUNTIF('Elève (4ème2)'!H7:K7,"C"))*2)+((COUNTIF('Elève (4ème2)'!H7:K7,"D"))*1))/(COUNTA(H7:K7)),"")</f>
        <v/>
      </c>
      <c r="M7" s="192" t="str">
        <f t="shared" si="1"/>
        <v/>
      </c>
      <c r="N7" s="134"/>
      <c r="O7" s="132"/>
      <c r="P7" s="133"/>
      <c r="Q7" s="133"/>
      <c r="R7" s="191" t="str">
        <f>IFERROR((((COUNTIF('Elève (4ème2)'!N7:Q7,"A"))*4)+((COUNTIF('Elève (4ème2)'!N7:Q7,"B"))*3)+((COUNTIF('Elève (4ème2)'!N7:Q7,"C"))*2)+((COUNTIF('Elève (4ème2)'!N7:Q7,"D"))*1))/(COUNTA(N7:Q7)),"")</f>
        <v/>
      </c>
      <c r="S7" s="192" t="str">
        <f t="shared" si="2"/>
        <v/>
      </c>
      <c r="T7" s="191" t="str">
        <f>IF(COUNT(F7,L7,R7)=0,"",SUM(F7,L7,R7)/COUNT(F7,L7,R7))</f>
        <v/>
      </c>
      <c r="U7" s="215" t="str">
        <f t="shared" si="3"/>
        <v/>
      </c>
      <c r="V7" s="134"/>
      <c r="W7" s="132"/>
      <c r="X7" s="133"/>
      <c r="Y7" s="191" t="str">
        <f>IFERROR((((COUNTIF('Elève (4ème2)'!V7:X7,"A"))*4)+((COUNTIF('Elève (4ème2)'!V7:X7,"B"))*3)+((COUNTIF('Elève (4ème2)'!V7:X7,"C"))*2)+((COUNTIF('Elève (4ème2)'!V7:X7,"D"))*1))/(COUNTA(V7:X7)),"")</f>
        <v/>
      </c>
      <c r="Z7" s="192" t="str">
        <f t="shared" si="4"/>
        <v/>
      </c>
      <c r="AA7" s="134"/>
      <c r="AB7" s="132"/>
      <c r="AC7" s="133"/>
      <c r="AD7" s="133"/>
      <c r="AE7" s="191" t="str">
        <f>IFERROR((((COUNTIF('Elève (4ème2)'!AA7:AD7,"A"))*4)+((COUNTIF('Elève (4ème2)'!AA7:AD7,"B"))*3)+((COUNTIF('Elève (4ème2)'!AA7:AD7,"C"))*2)+((COUNTIF('Elève (4ème2)'!AA7:AD7,"D"))*1))/(COUNTA(AA7:AD7)),"")</f>
        <v/>
      </c>
      <c r="AF7" s="192" t="str">
        <f t="shared" si="5"/>
        <v/>
      </c>
      <c r="AG7" s="134"/>
      <c r="AH7" s="132"/>
      <c r="AI7" s="133"/>
      <c r="AJ7" s="136"/>
      <c r="AK7" s="191" t="str">
        <f>IFERROR((((COUNTIF('Elève (4ème2)'!AG7:AJ7,"A"))*4)+((COUNTIF('Elève (4ème2)'!AG7:AJ7,"B"))*3)+((COUNTIF('Elève (4ème2)'!AG7:AJ7,"C"))*2)+((COUNTIF('Elève (4ème2)'!AG7:AJ7,"D"))*1))/(COUNTA(AG7:AJ7)),"")</f>
        <v/>
      </c>
      <c r="AL7" s="192" t="str">
        <f t="shared" si="6"/>
        <v/>
      </c>
      <c r="AM7" s="191" t="str">
        <f>IF(COUNT(Y7,AE7,AK7)=0,"",SUM(Y7,AE7,AK7)/COUNT(Y7,AE7,AK7))</f>
        <v/>
      </c>
      <c r="AN7" s="215" t="str">
        <f t="shared" si="7"/>
        <v/>
      </c>
      <c r="AO7" s="134"/>
      <c r="AP7" s="132"/>
      <c r="AQ7" s="133"/>
      <c r="AR7" s="191" t="str">
        <f>IFERROR((((COUNTIF('Elève (4ème2)'!AO7:AQ7,"A"))*4)+((COUNTIF('Elève (4ème2)'!AO7:AQ7,"B"))*3)+((COUNTIF('Elève (4ème2)'!AO7:AQ7,"C"))*2)+((COUNTIF('Elève (4ème2)'!AO7:AQ7,"D"))*1))/(COUNTA(AO7:AQ7)),"")</f>
        <v/>
      </c>
      <c r="AS7" s="192" t="str">
        <f t="shared" si="8"/>
        <v/>
      </c>
      <c r="AT7" s="134"/>
      <c r="AU7" s="132"/>
      <c r="AV7" s="133"/>
      <c r="AW7" s="133"/>
      <c r="AX7" s="191" t="str">
        <f>IFERROR((((COUNTIF('Elève (4ème2)'!AT7:AW7,"A"))*4)+((COUNTIF('Elève (4ème2)'!AT7:AW7,"B"))*3)+((COUNTIF('Elève (4ème2)'!AT7:AW7,"C"))*2)+((COUNTIF('Elève (4ème2)'!AT7:AW7,"D"))*1))/(COUNTA(AT7:AW7)),"")</f>
        <v/>
      </c>
      <c r="AY7" s="192" t="str">
        <f t="shared" si="9"/>
        <v/>
      </c>
      <c r="AZ7" s="134"/>
      <c r="BA7" s="132"/>
      <c r="BB7" s="133"/>
      <c r="BC7" s="136"/>
      <c r="BD7" s="191" t="str">
        <f>IFERROR((((COUNTIF('Elève (4ème2)'!AZ7:BC7,"A"))*4)+((COUNTIF('Elève (4ème2)'!AZ7:BC7,"B"))*3)+((COUNTIF('Elève (4ème2)'!AZ7:BC7,"C"))*2)+((COUNTIF('Elève (4ème2)'!AZ7:BC7,"D"))*1))/(COUNTA(AZ7:BC7)),"")</f>
        <v/>
      </c>
      <c r="BE7" s="192" t="str">
        <f t="shared" si="10"/>
        <v/>
      </c>
      <c r="BF7" s="191" t="str">
        <f>IF(COUNT(AR7,AX7,BD7)=0,"",SUM(AR7,AX7,BD7)/COUNT(AR7,AX7,BD7))</f>
        <v/>
      </c>
      <c r="BG7" s="215" t="str">
        <f t="shared" si="11"/>
        <v/>
      </c>
      <c r="BH7" s="134"/>
      <c r="BI7" s="132"/>
      <c r="BJ7" s="133"/>
      <c r="BK7" s="191" t="str">
        <f>IFERROR((((COUNTIF('Elève (4ème2)'!BH7:BJ7,"A"))*4)+((COUNTIF('Elève (4ème2)'!BH7:BJ7,"B"))*3)+((COUNTIF('Elève (4ème2)'!BH7:BJ7,"C"))*2)+((COUNTIF('Elève (4ème2)'!BH7:BJ7,"D"))*1))/(COUNTA(BH7:BJ7)),"")</f>
        <v/>
      </c>
      <c r="BL7" s="192" t="str">
        <f t="shared" si="12"/>
        <v/>
      </c>
      <c r="BM7" s="134"/>
      <c r="BN7" s="132"/>
      <c r="BO7" s="133"/>
      <c r="BP7" s="133"/>
      <c r="BQ7" s="191" t="str">
        <f>IFERROR((((COUNTIF('Elève (4ème2)'!BM7:BP7,"A"))*4)+((COUNTIF('Elève (4ème2)'!BM7:BP7,"B"))*3)+((COUNTIF('Elève (4ème2)'!BM7:BP7,"C"))*2)+((COUNTIF('Elève (4ème2)'!BM7:BP7,"D"))*1))/(COUNTA(BM7:BP7)),"")</f>
        <v/>
      </c>
      <c r="BR7" s="192" t="str">
        <f t="shared" si="13"/>
        <v/>
      </c>
      <c r="BS7" s="134"/>
      <c r="BT7" s="132"/>
      <c r="BU7" s="133"/>
      <c r="BV7" s="136"/>
      <c r="BW7" s="191" t="str">
        <f>IFERROR((((COUNTIF('Elève (4ème2)'!BS7:BV7,"A"))*4)+((COUNTIF('Elève (4ème2)'!BS7:BV7,"B"))*3)+((COUNTIF('Elève (4ème2)'!BS7:BV7,"C"))*2)+((COUNTIF('Elève (4ème2)'!BS7:BV7,"D"))*1))/(COUNTA(BS7:BV7)),"")</f>
        <v/>
      </c>
      <c r="BX7" s="192" t="str">
        <f t="shared" si="14"/>
        <v/>
      </c>
      <c r="BY7" s="191" t="str">
        <f>IF(COUNT(BK7,BQ7,BW7)=0,"",SUM(BK7,BQ7,BW7)/COUNT(BK7,BQ7,BW7))</f>
        <v/>
      </c>
      <c r="BZ7" s="215" t="str">
        <f t="shared" si="15"/>
        <v/>
      </c>
      <c r="CA7" s="134"/>
      <c r="CB7" s="132"/>
      <c r="CC7" s="133"/>
      <c r="CD7" s="191" t="str">
        <f>IFERROR((((COUNTIF('Elève (4ème2)'!CA7:CC7,"A"))*4)+((COUNTIF('Elève (4ème2)'!CA7:CC7,"B"))*3)+((COUNTIF('Elève (4ème2)'!CA7:CC7,"C"))*2)+((COUNTIF('Elève (4ème2)'!CA7:CC7,"D"))*1))/(COUNTA(CA7:CC7)),"")</f>
        <v/>
      </c>
      <c r="CE7" s="192" t="str">
        <f t="shared" si="16"/>
        <v/>
      </c>
      <c r="CF7" s="134"/>
      <c r="CG7" s="132"/>
      <c r="CH7" s="133"/>
      <c r="CI7" s="133"/>
      <c r="CJ7" s="191" t="str">
        <f>IFERROR((((COUNTIF('Elève (4ème2)'!CF7:CI7,"A"))*4)+((COUNTIF('Elève (4ème2)'!CF7:CI7,"B"))*3)+((COUNTIF('Elève (4ème2)'!CF7:CI7,"C"))*2)+((COUNTIF('Elève (4ème2)'!CF7:CI7,"D"))*1))/(COUNTA(CF7:CI7)),"")</f>
        <v/>
      </c>
      <c r="CK7" s="192" t="str">
        <f t="shared" si="17"/>
        <v/>
      </c>
      <c r="CL7" s="134"/>
      <c r="CM7" s="132"/>
      <c r="CN7" s="133"/>
      <c r="CO7" s="136"/>
      <c r="CP7" s="191" t="str">
        <f>IFERROR((((COUNTIF('Elève (4ème2)'!CL7:CO7,"A"))*4)+((COUNTIF('Elève (4ème2)'!CL7:CO7,"B"))*3)+((COUNTIF('Elève (4ème2)'!CL7:CO7,"C"))*2)+((COUNTIF('Elève (4ème2)'!CL7:CO7,"D"))*1))/(COUNTA(CL7:CO7)),"")</f>
        <v/>
      </c>
      <c r="CQ7" s="192" t="str">
        <f t="shared" si="18"/>
        <v/>
      </c>
      <c r="CR7" s="191" t="str">
        <f>IF(COUNT(CD7,CJ7,CP7)=0,"",SUM(CD7,CJ7,CP7)/COUNT(CD7,CJ7,CP7))</f>
        <v/>
      </c>
      <c r="CS7" s="215" t="str">
        <f t="shared" si="19"/>
        <v/>
      </c>
      <c r="CT7" s="134"/>
      <c r="CU7" s="132"/>
      <c r="CV7" s="133"/>
      <c r="CW7" s="191" t="str">
        <f>IFERROR((((COUNTIF('Elève (4ème2)'!CT7:CV7,"A"))*4)+((COUNTIF('Elève (4ème2)'!CT7:CV7,"B"))*3)+((COUNTIF('Elève (4ème2)'!CT7:CV7,"C"))*2)+((COUNTIF('Elève (4ème2)'!CT7:CV7,"D"))*1))/(COUNTA(CT7:CV7)),"")</f>
        <v/>
      </c>
      <c r="CX7" s="192" t="str">
        <f t="shared" si="20"/>
        <v/>
      </c>
      <c r="CY7" s="134"/>
      <c r="CZ7" s="132"/>
      <c r="DA7" s="133"/>
      <c r="DB7" s="133"/>
      <c r="DC7" s="191" t="str">
        <f>IFERROR((((COUNTIF('Elève (4ème2)'!CY7:DB7,"A"))*4)+((COUNTIF('Elève (4ème2)'!CY7:DB7,"B"))*3)+((COUNTIF('Elève (4ème2)'!CY7:DB7,"C"))*2)+((COUNTIF('Elève (4ème2)'!CY7:DB7,"D"))*1))/(COUNTA(CY7:DB7)),"")</f>
        <v/>
      </c>
      <c r="DD7" s="192" t="str">
        <f t="shared" si="21"/>
        <v/>
      </c>
      <c r="DE7" s="134"/>
      <c r="DF7" s="132"/>
      <c r="DG7" s="133"/>
      <c r="DH7" s="136"/>
      <c r="DI7" s="191" t="str">
        <f>IFERROR((((COUNTIF('Elève (4ème2)'!DE7:DH7,"A"))*4)+((COUNTIF('Elève (4ème2)'!DE7:DH7,"B"))*3)+((COUNTIF('Elève (4ème2)'!DE7:DH7,"C"))*2)+((COUNTIF('Elève (4ème2)'!DE7:DH7,"D"))*1))/(COUNTA(DE7:DH7)),"")</f>
        <v/>
      </c>
      <c r="DJ7" s="192" t="str">
        <f t="shared" si="22"/>
        <v/>
      </c>
      <c r="DK7" s="191" t="str">
        <f>IF(COUNT(CW7,DC7,DI7)=0,"",SUM(CW7,DC7,DI7)/COUNT(CW7,DC7,DI7))</f>
        <v/>
      </c>
      <c r="DL7" s="215" t="str">
        <f t="shared" si="23"/>
        <v/>
      </c>
      <c r="DM7" s="134"/>
      <c r="DN7" s="132"/>
      <c r="DO7" s="133"/>
      <c r="DP7" s="191" t="str">
        <f>IFERROR((((COUNTIF('Elève (4ème2)'!DM7:DO7,"A"))*4)+((COUNTIF('Elève (4ème2)'!DM7:DO7,"B"))*3)+((COUNTIF('Elève (4ème2)'!DM7:DO7,"C"))*2)+((COUNTIF('Elève (4ème2)'!DM7:DO7,"D"))*1))/(COUNTA(DM7:DO7)),"")</f>
        <v/>
      </c>
      <c r="DQ7" s="192" t="str">
        <f t="shared" si="24"/>
        <v/>
      </c>
      <c r="DR7" s="134"/>
      <c r="DS7" s="132"/>
      <c r="DT7" s="133"/>
      <c r="DU7" s="133"/>
      <c r="DV7" s="191" t="str">
        <f>IFERROR((((COUNTIF('Elève (4ème2)'!DR7:DU7,"A"))*4)+((COUNTIF('Elève (4ème2)'!DR7:DU7,"B"))*3)+((COUNTIF('Elève (4ème2)'!DR7:DU7,"C"))*2)+((COUNTIF('Elève (4ème2)'!DR7:DU7,"D"))*1))/(COUNTA(DR7:DU7)),"")</f>
        <v/>
      </c>
      <c r="DW7" s="192" t="str">
        <f t="shared" si="25"/>
        <v/>
      </c>
      <c r="DX7" s="134"/>
      <c r="DY7" s="132"/>
      <c r="DZ7" s="133"/>
      <c r="EA7" s="136"/>
      <c r="EB7" s="191" t="str">
        <f>IFERROR((((COUNTIF('Elève (4ème2)'!DX7:EA7,"A"))*4)+((COUNTIF('Elève (4ème2)'!DX7:EA7,"B"))*3)+((COUNTIF('Elève (4ème2)'!DX7:EA7,"C"))*2)+((COUNTIF('Elève (4ème2)'!DX7:EA7,"D"))*1))/(COUNTA(DX7:EA7)),"")</f>
        <v/>
      </c>
      <c r="EC7" s="192" t="str">
        <f t="shared" si="26"/>
        <v/>
      </c>
      <c r="ED7" s="191" t="str">
        <f>IF(COUNT(DP7,DV7,EB7)=0,"",SUM(DP7,DV7,EB7)/COUNT(DP7,DV7,EB7))</f>
        <v/>
      </c>
      <c r="EE7" s="215" t="str">
        <f t="shared" si="27"/>
        <v/>
      </c>
      <c r="EF7" s="134"/>
      <c r="EG7" s="132"/>
      <c r="EH7" s="133"/>
      <c r="EI7" s="191" t="str">
        <f>IFERROR((((COUNTIF('Elève (4ème2)'!EF7:EH7,"A"))*4)+((COUNTIF('Elève (4ème2)'!EF7:EH7,"B"))*3)+((COUNTIF('Elève (4ème2)'!EF7:EH7,"C"))*2)+((COUNTIF('Elève (4ème2)'!EF7:EH7,"D"))*1))/(COUNTA(EF7:EH7)),"")</f>
        <v/>
      </c>
      <c r="EJ7" s="192" t="str">
        <f t="shared" si="28"/>
        <v/>
      </c>
      <c r="EK7" s="134"/>
      <c r="EL7" s="132"/>
      <c r="EM7" s="133"/>
      <c r="EN7" s="133"/>
      <c r="EO7" s="191" t="str">
        <f>IFERROR((((COUNTIF('Elève (4ème2)'!EK7:EN7,"A"))*4)+((COUNTIF('Elève (4ème2)'!EK7:EN7,"B"))*3)+((COUNTIF('Elève (4ème2)'!EK7:EN7,"C"))*2)+((COUNTIF('Elève (4ème2)'!EK7:EN7,"D"))*1))/(COUNTA(EK7:EN7)),"")</f>
        <v/>
      </c>
      <c r="EP7" s="192" t="str">
        <f t="shared" si="29"/>
        <v/>
      </c>
      <c r="EQ7" s="134"/>
      <c r="ER7" s="132"/>
      <c r="ES7" s="133"/>
      <c r="ET7" s="136"/>
      <c r="EU7" s="191" t="str">
        <f>IFERROR((((COUNTIF('Elève (4ème2)'!EQ7:ET7,"A"))*4)+((COUNTIF('Elève (4ème2)'!EQ7:ET7,"B"))*3)+((COUNTIF('Elève (4ème2)'!EQ7:ET7,"C"))*2)+((COUNTIF('Elève (4ème2)'!EQ7:ET7,"D"))*1))/(COUNTA(EQ7:ET7)),"")</f>
        <v/>
      </c>
      <c r="EV7" s="192" t="str">
        <f t="shared" si="30"/>
        <v/>
      </c>
      <c r="EW7" s="191" t="str">
        <f>IF(COUNT(EI7,EO7,EU7)=0,"",SUM(EI7,EO7,EU7)/COUNT(EI7,EO7,EU7))</f>
        <v/>
      </c>
      <c r="EX7" s="215" t="str">
        <f t="shared" si="31"/>
        <v/>
      </c>
      <c r="EY7" s="134"/>
      <c r="EZ7" s="132"/>
      <c r="FA7" s="133"/>
      <c r="FB7" s="191" t="str">
        <f>IFERROR((((COUNTIF('Elève (4ème2)'!EY7:FA7,"A"))*4)+((COUNTIF('Elève (4ème2)'!EY7:FA7,"B"))*3)+((COUNTIF('Elève (4ème2)'!EY7:FA7,"C"))*2)+((COUNTIF('Elève (4ème2)'!EY7:FA7,"D"))*1))/(COUNTA(EY7:FA7)),"")</f>
        <v/>
      </c>
      <c r="FC7" s="192" t="str">
        <f t="shared" si="32"/>
        <v/>
      </c>
      <c r="FD7" s="134"/>
      <c r="FE7" s="132"/>
      <c r="FF7" s="133"/>
      <c r="FG7" s="133"/>
      <c r="FH7" s="191" t="str">
        <f>IFERROR((((COUNTIF('Elève (4ème2)'!FD7:FG7,"A"))*4)+((COUNTIF('Elève (4ème2)'!FD7:FG7,"B"))*3)+((COUNTIF('Elève (4ème2)'!FD7:FG7,"C"))*2)+((COUNTIF('Elève (4ème2)'!FD7:FG7,"D"))*1))/(COUNTA(FD7:FG7)),"")</f>
        <v/>
      </c>
      <c r="FI7" s="192" t="str">
        <f t="shared" si="33"/>
        <v/>
      </c>
      <c r="FJ7" s="134"/>
      <c r="FK7" s="132"/>
      <c r="FL7" s="133"/>
      <c r="FM7" s="136"/>
      <c r="FN7" s="191" t="str">
        <f>IFERROR((((COUNTIF('Elève (4ème2)'!FJ7:FM7,"A"))*4)+((COUNTIF('Elève (4ème2)'!FJ7:FM7,"B"))*3)+((COUNTIF('Elève (4ème2)'!FJ7:FM7,"C"))*2)+((COUNTIF('Elève (4ème2)'!FJ7:FM7,"D"))*1))/(COUNTA(FJ7:FM7)),"")</f>
        <v/>
      </c>
      <c r="FO7" s="192" t="str">
        <f t="shared" si="34"/>
        <v/>
      </c>
      <c r="FP7" s="191" t="str">
        <f>IF(COUNT(FB7,FH7,FN7)=0,"",SUM(FB7,FH7,FN7)/COUNT(FB7,FH7,FN7))</f>
        <v/>
      </c>
      <c r="FQ7" s="215" t="str">
        <f t="shared" si="35"/>
        <v/>
      </c>
      <c r="FR7" s="134"/>
      <c r="FS7" s="132"/>
      <c r="FT7" s="133"/>
      <c r="FU7" s="191" t="str">
        <f>IFERROR((((COUNTIF('Elève (4ème2)'!FR7:FT7,"A"))*4)+((COUNTIF('Elève (4ème2)'!FR7:FT7,"B"))*3)+((COUNTIF('Elève (4ème2)'!FR7:FT7,"C"))*2)+((COUNTIF('Elève (4ème2)'!FR7:FT7,"D"))*1))/(COUNTA(FR7:FT7)),"")</f>
        <v/>
      </c>
      <c r="FV7" s="192" t="str">
        <f t="shared" si="36"/>
        <v/>
      </c>
      <c r="FW7" s="134"/>
      <c r="FX7" s="132"/>
      <c r="FY7" s="133"/>
      <c r="FZ7" s="133"/>
      <c r="GA7" s="191" t="str">
        <f>IFERROR((((COUNTIF('Elève (4ème2)'!FW7:FZ7,"A"))*4)+((COUNTIF('Elève (4ème2)'!FW7:FZ7,"B"))*3)+((COUNTIF('Elève (4ème2)'!FW7:FZ7,"C"))*2)+((COUNTIF('Elève (4ème2)'!FW7:FZ7,"D"))*1))/(COUNTA(FW7:FZ7)),"")</f>
        <v/>
      </c>
      <c r="GB7" s="192" t="str">
        <f t="shared" si="37"/>
        <v/>
      </c>
      <c r="GC7" s="134"/>
      <c r="GD7" s="132"/>
      <c r="GE7" s="133"/>
      <c r="GF7" s="136"/>
      <c r="GG7" s="191" t="str">
        <f>IFERROR((((COUNTIF('Elève (4ème2)'!GC7:GF7,"A"))*4)+((COUNTIF('Elève (4ème2)'!GC7:GF7,"B"))*3)+((COUNTIF('Elève (4ème2)'!GC7:GF7,"C"))*2)+((COUNTIF('Elève (4ème2)'!GC7:GF7,"D"))*1))/(COUNTA(GC7:GF7)),"")</f>
        <v/>
      </c>
      <c r="GH7" s="192" t="str">
        <f t="shared" si="38"/>
        <v/>
      </c>
      <c r="GI7" s="191" t="str">
        <f>IF(COUNT(FU7,GA7,GG7)=0,"",SUM(FU7,GA7,GG7)/COUNT(FU7,GA7,GG7))</f>
        <v/>
      </c>
      <c r="GJ7" s="215" t="str">
        <f t="shared" si="39"/>
        <v/>
      </c>
      <c r="GK7" s="134"/>
      <c r="GL7" s="132"/>
      <c r="GM7" s="133"/>
      <c r="GN7" s="191" t="str">
        <f>IFERROR((((COUNTIF('Elève (4ème2)'!GK7:GM7,"A"))*4)+((COUNTIF('Elève (4ème2)'!GK7:GM7,"B"))*3)+((COUNTIF('Elève (4ème2)'!GK7:GM7,"C"))*2)+((COUNTIF('Elève (4ème2)'!GK7:GM7,"D"))*1))/(COUNTA(GK7:GM7)),"")</f>
        <v/>
      </c>
      <c r="GO7" s="192" t="str">
        <f t="shared" si="40"/>
        <v/>
      </c>
      <c r="GP7" s="134"/>
      <c r="GQ7" s="132"/>
      <c r="GR7" s="133"/>
      <c r="GS7" s="133"/>
      <c r="GT7" s="191" t="str">
        <f>IFERROR((((COUNTIF('Elève (4ème2)'!GP7:GS7,"A"))*4)+((COUNTIF('Elève (4ème2)'!GP7:GS7,"B"))*3)+((COUNTIF('Elève (4ème2)'!GP7:GS7,"C"))*2)+((COUNTIF('Elève (4ème2)'!GP7:GS7,"D"))*1))/(COUNTA(GP7:GS7)),"")</f>
        <v/>
      </c>
      <c r="GU7" s="192" t="str">
        <f t="shared" si="41"/>
        <v/>
      </c>
      <c r="GV7" s="134"/>
      <c r="GW7" s="132"/>
      <c r="GX7" s="133"/>
      <c r="GY7" s="136"/>
      <c r="GZ7" s="191" t="str">
        <f>IFERROR((((COUNTIF('Elève (4ème2)'!GV7:GY7,"A"))*4)+((COUNTIF('Elève (4ème2)'!GV7:GY7,"B"))*3)+((COUNTIF('Elève (4ème2)'!GV7:GY7,"C"))*2)+((COUNTIF('Elève (4ème2)'!GV7:GY7,"D"))*1))/(COUNTA(GV7:GY7)),"")</f>
        <v/>
      </c>
      <c r="HA7" s="192" t="str">
        <f t="shared" si="42"/>
        <v/>
      </c>
      <c r="HB7" s="191" t="str">
        <f>IF(COUNT(GN7,GT7,GZ7)=0,"",SUM(GN7,GT7,GZ7)/COUNT(GN7,GT7,GZ7))</f>
        <v/>
      </c>
      <c r="HC7" s="215" t="str">
        <f t="shared" si="43"/>
        <v/>
      </c>
      <c r="HD7" s="134"/>
      <c r="HE7" s="132"/>
      <c r="HF7" s="133"/>
      <c r="HG7" s="191" t="str">
        <f>IFERROR((((COUNTIF('Elève (4ème2)'!HD7:HF7,"A"))*4)+((COUNTIF('Elève (4ème2)'!HD7:HF7,"B"))*3)+((COUNTIF('Elève (4ème2)'!HD7:HF7,"C"))*2)+((COUNTIF('Elève (4ème2)'!HD7:HF7,"D"))*1))/(COUNTA(HD7:HF7)),"")</f>
        <v/>
      </c>
      <c r="HH7" s="192" t="str">
        <f t="shared" si="44"/>
        <v/>
      </c>
      <c r="HI7" s="134"/>
      <c r="HJ7" s="132"/>
      <c r="HK7" s="133"/>
      <c r="HL7" s="133"/>
      <c r="HM7" s="191" t="str">
        <f>IFERROR((((COUNTIF('Elève (4ème2)'!HI7:HL7,"A"))*4)+((COUNTIF('Elève (4ème2)'!HI7:HL7,"B"))*3)+((COUNTIF('Elève (4ème2)'!HI7:HL7,"C"))*2)+((COUNTIF('Elève (4ème2)'!HI7:HL7,"D"))*1))/(COUNTA(HI7:HL7)),"")</f>
        <v/>
      </c>
      <c r="HN7" s="192" t="str">
        <f t="shared" si="45"/>
        <v/>
      </c>
      <c r="HO7" s="134"/>
      <c r="HP7" s="132"/>
      <c r="HQ7" s="133"/>
      <c r="HR7" s="136"/>
      <c r="HS7" s="191" t="str">
        <f>IFERROR((((COUNTIF('Elève (4ème2)'!HO7:HR7,"A"))*4)+((COUNTIF('Elève (4ème2)'!HO7:HR7,"B"))*3)+((COUNTIF('Elève (4ème2)'!HO7:HR7,"C"))*2)+((COUNTIF('Elève (4ème2)'!HO7:HR7,"D"))*1))/(COUNTA(HO7:HR7)),"")</f>
        <v/>
      </c>
      <c r="HT7" s="192" t="str">
        <f t="shared" si="46"/>
        <v/>
      </c>
      <c r="HU7" s="191" t="str">
        <f>IF(COUNT(HG7,HM7,HS7)=0,"",SUM(HG7,HM7,HS7)/COUNT(HG7,HM7,HS7))</f>
        <v/>
      </c>
      <c r="HV7" s="215" t="str">
        <f t="shared" si="47"/>
        <v/>
      </c>
      <c r="HW7" s="134"/>
      <c r="HX7" s="132"/>
      <c r="HY7" s="133"/>
      <c r="HZ7" s="191" t="str">
        <f>IFERROR((((COUNTIF('Elève (4ème2)'!HW7:HY7,"A"))*4)+((COUNTIF('Elève (4ème2)'!HW7:HY7,"B"))*3)+((COUNTIF('Elève (4ème2)'!HW7:HY7,"C"))*2)+((COUNTIF('Elève (4ème2)'!HW7:HY7,"D"))*1))/(COUNTA(HW7:HY7)),"")</f>
        <v/>
      </c>
      <c r="IA7" s="192" t="str">
        <f t="shared" si="48"/>
        <v/>
      </c>
      <c r="IB7" s="134"/>
      <c r="IC7" s="132"/>
      <c r="ID7" s="133"/>
      <c r="IE7" s="133"/>
      <c r="IF7" s="191" t="str">
        <f>IFERROR((((COUNTIF('Elève (4ème2)'!IB7:IE7,"A"))*4)+((COUNTIF('Elève (4ème2)'!IB7:IE7,"B"))*3)+((COUNTIF('Elève (4ème2)'!IB7:IE7,"C"))*2)+((COUNTIF('Elève (4ème2)'!IB7:IE7,"D"))*1))/(COUNTA(IB7:IE7)),"")</f>
        <v/>
      </c>
      <c r="IG7" s="192" t="str">
        <f t="shared" si="49"/>
        <v/>
      </c>
      <c r="IH7" s="134"/>
      <c r="II7" s="132"/>
      <c r="IJ7" s="133"/>
      <c r="IK7" s="136"/>
      <c r="IL7" s="191" t="str">
        <f>IFERROR((((COUNTIF('Elève (4ème2)'!IH7:IK7,"A"))*4)+((COUNTIF('Elève (4ème2)'!IH7:IK7,"B"))*3)+((COUNTIF('Elève (4ème2)'!IH7:IK7,"C"))*2)+((COUNTIF('Elève (4ème2)'!IH7:IK7,"D"))*1))/(COUNTA(IH7:IK7)),"")</f>
        <v/>
      </c>
      <c r="IM7" s="192" t="str">
        <f t="shared" si="50"/>
        <v/>
      </c>
      <c r="IN7" s="191" t="str">
        <f>IF(COUNT(HZ7,IF7,IL7)=0,"",SUM(HZ7,IF7,IL7)/COUNT(HZ7,IF7,IL7))</f>
        <v/>
      </c>
      <c r="IO7" s="215" t="str">
        <f t="shared" si="51"/>
        <v/>
      </c>
      <c r="IP7" s="134"/>
      <c r="IQ7" s="132"/>
      <c r="IR7" s="133"/>
      <c r="IS7" s="191" t="str">
        <f>IFERROR((((COUNTIF('Elève (4ème2)'!IP7:IR7,"A"))*4)+((COUNTIF('Elève (4ème2)'!IP7:IR7,"B"))*3)+((COUNTIF('Elève (4ème2)'!IP7:IR7,"C"))*2)+((COUNTIF('Elève (4ème2)'!IP7:IR7,"D"))*1))/(COUNTA(IP7:IR7)),"")</f>
        <v/>
      </c>
      <c r="IT7" s="192" t="str">
        <f t="shared" si="52"/>
        <v/>
      </c>
      <c r="IU7" s="134"/>
      <c r="IV7" s="132"/>
      <c r="IW7" s="133"/>
      <c r="IX7" s="133"/>
      <c r="IY7" s="191" t="str">
        <f>IFERROR((((COUNTIF('Elève (4ème2)'!IU7:IX7,"A"))*4)+((COUNTIF('Elève (4ème2)'!IU7:IX7,"B"))*3)+((COUNTIF('Elève (4ème2)'!IU7:IX7,"C"))*2)+((COUNTIF('Elève (4ème2)'!IU7:IX7,"D"))*1))/(COUNTA(IU7:IX7)),"")</f>
        <v/>
      </c>
      <c r="IZ7" s="192" t="str">
        <f t="shared" si="53"/>
        <v/>
      </c>
      <c r="JA7" s="134"/>
      <c r="JB7" s="132"/>
      <c r="JC7" s="133"/>
      <c r="JD7" s="136"/>
      <c r="JE7" s="191" t="str">
        <f>IFERROR((((COUNTIF('Elève (4ème2)'!JA7:JD7,"A"))*4)+((COUNTIF('Elève (4ème2)'!JA7:JD7,"B"))*3)+((COUNTIF('Elève (4ème2)'!JA7:JD7,"C"))*2)+((COUNTIF('Elève (4ème2)'!JA7:JD7,"D"))*1))/(COUNTA(JA7:JD7)),"")</f>
        <v/>
      </c>
      <c r="JF7" s="192" t="str">
        <f t="shared" si="54"/>
        <v/>
      </c>
      <c r="JG7" s="191" t="str">
        <f>IF(COUNT(IS7,IY7,JE7)=0,"",SUM(IS7,IY7,JE7)/COUNT(IS7,IY7,JE7))</f>
        <v/>
      </c>
      <c r="JH7" s="215" t="str">
        <f t="shared" si="55"/>
        <v/>
      </c>
      <c r="JI7" s="134"/>
      <c r="JJ7" s="132"/>
      <c r="JK7" s="133"/>
      <c r="JL7" s="191" t="str">
        <f>IFERROR((((COUNTIF('Elève (4ème2)'!JI7:JK7,"A"))*4)+((COUNTIF('Elève (4ème2)'!JI7:JK7,"B"))*3)+((COUNTIF('Elève (4ème2)'!JI7:JK7,"C"))*2)+((COUNTIF('Elève (4ème2)'!JI7:JK7,"D"))*1))/(COUNTA(JI7:JK7)),"")</f>
        <v/>
      </c>
      <c r="JM7" s="192" t="str">
        <f t="shared" si="56"/>
        <v/>
      </c>
      <c r="JN7" s="134"/>
      <c r="JO7" s="132"/>
      <c r="JP7" s="133"/>
      <c r="JQ7" s="133"/>
      <c r="JR7" s="191" t="str">
        <f>IFERROR((((COUNTIF('Elève (4ème2)'!JN7:JQ7,"A"))*4)+((COUNTIF('Elève (4ème2)'!JN7:JQ7,"B"))*3)+((COUNTIF('Elève (4ème2)'!JN7:JQ7,"C"))*2)+((COUNTIF('Elève (4ème2)'!JN7:JQ7,"D"))*1))/(COUNTA(JN7:JQ7)),"")</f>
        <v/>
      </c>
      <c r="JS7" s="192" t="str">
        <f t="shared" si="57"/>
        <v/>
      </c>
      <c r="JT7" s="134"/>
      <c r="JU7" s="132"/>
      <c r="JV7" s="133"/>
      <c r="JW7" s="136"/>
      <c r="JX7" s="191" t="str">
        <f>IFERROR((((COUNTIF('Elève (4ème2)'!JT7:JW7,"A"))*4)+((COUNTIF('Elève (4ème2)'!JT7:JW7,"B"))*3)+((COUNTIF('Elève (4ème2)'!JT7:JW7,"C"))*2)+((COUNTIF('Elève (4ème2)'!JT7:JW7,"D"))*1))/(COUNTA(JT7:JW7)),"")</f>
        <v/>
      </c>
      <c r="JY7" s="192" t="str">
        <f t="shared" si="58"/>
        <v/>
      </c>
      <c r="JZ7" s="191" t="str">
        <f>IF(COUNT(JL7,JR7,JX7)=0,"",SUM(JL7,JR7,JX7)/COUNT(JL7,JR7,JX7))</f>
        <v/>
      </c>
      <c r="KA7" s="215" t="str">
        <f t="shared" si="59"/>
        <v/>
      </c>
      <c r="KB7" s="134"/>
      <c r="KC7" s="132"/>
      <c r="KD7" s="133"/>
      <c r="KE7" s="191" t="str">
        <f>IFERROR((((COUNTIF('Elève (4ème2)'!KB7:KD7,"A"))*4)+((COUNTIF('Elève (4ème2)'!KB7:KD7,"B"))*3)+((COUNTIF('Elève (4ème2)'!KB7:KD7,"C"))*2)+((COUNTIF('Elève (4ème2)'!KB7:KD7,"D"))*1))/(COUNTA(KB7:KD7)),"")</f>
        <v/>
      </c>
      <c r="KF7" s="192" t="str">
        <f t="shared" si="60"/>
        <v/>
      </c>
      <c r="KG7" s="134"/>
      <c r="KH7" s="132"/>
      <c r="KI7" s="133"/>
      <c r="KJ7" s="133"/>
      <c r="KK7" s="191" t="str">
        <f>IFERROR((((COUNTIF('Elève (4ème2)'!KG7:KJ7,"A"))*4)+((COUNTIF('Elève (4ème2)'!KG7:KJ7,"B"))*3)+((COUNTIF('Elève (4ème2)'!KG7:KJ7,"C"))*2)+((COUNTIF('Elève (4ème2)'!KG7:KJ7,"D"))*1))/(COUNTA(KG7:KJ7)),"")</f>
        <v/>
      </c>
      <c r="KL7" s="192" t="str">
        <f t="shared" si="61"/>
        <v/>
      </c>
      <c r="KM7" s="134"/>
      <c r="KN7" s="132"/>
      <c r="KO7" s="133"/>
      <c r="KP7" s="136"/>
      <c r="KQ7" s="191" t="str">
        <f>IFERROR((((COUNTIF('Elève (4ème2)'!KM7:KP7,"A"))*4)+((COUNTIF('Elève (4ème2)'!KM7:KP7,"B"))*3)+((COUNTIF('Elève (4ème2)'!KM7:KP7,"C"))*2)+((COUNTIF('Elève (4ème2)'!KM7:KP7,"D"))*1))/(COUNTA(KM7:KP7)),"")</f>
        <v/>
      </c>
      <c r="KR7" s="192" t="str">
        <f t="shared" si="62"/>
        <v/>
      </c>
      <c r="KS7" s="191" t="str">
        <f>IF(COUNT(KE7,KK7,KQ7)=0,"",SUM(KE7,KK7,KQ7)/COUNT(KE7,KK7,KQ7))</f>
        <v/>
      </c>
      <c r="KT7" s="215" t="str">
        <f t="shared" si="63"/>
        <v/>
      </c>
      <c r="KU7" s="134"/>
      <c r="KV7" s="132"/>
      <c r="KW7" s="133"/>
      <c r="KX7" s="191" t="str">
        <f>IFERROR((((COUNTIF('Elève (4ème2)'!KU7:KW7,"A"))*4)+((COUNTIF('Elève (4ème2)'!KU7:KW7,"B"))*3)+((COUNTIF('Elève (4ème2)'!KU7:KW7,"C"))*2)+((COUNTIF('Elève (4ème2)'!KU7:KW7,"D"))*1))/(COUNTA(KU7:KW7)),"")</f>
        <v/>
      </c>
      <c r="KY7" s="192" t="str">
        <f t="shared" si="64"/>
        <v/>
      </c>
      <c r="KZ7" s="134"/>
      <c r="LA7" s="132"/>
      <c r="LB7" s="133"/>
      <c r="LC7" s="133"/>
      <c r="LD7" s="191" t="str">
        <f>IFERROR((((COUNTIF('Elève (4ème2)'!KZ7:LC7,"A"))*4)+((COUNTIF('Elève (4ème2)'!KZ7:LC7,"B"))*3)+((COUNTIF('Elève (4ème2)'!KZ7:LC7,"C"))*2)+((COUNTIF('Elève (4ème2)'!KZ7:LC7,"D"))*1))/(COUNTA(KZ7:LC7)),"")</f>
        <v/>
      </c>
      <c r="LE7" s="192" t="str">
        <f t="shared" si="65"/>
        <v/>
      </c>
      <c r="LF7" s="134"/>
      <c r="LG7" s="132"/>
      <c r="LH7" s="133"/>
      <c r="LI7" s="136"/>
      <c r="LJ7" s="191" t="str">
        <f>IFERROR((((COUNTIF('Elève (4ème2)'!LF7:LI7,"A"))*4)+((COUNTIF('Elève (4ème2)'!LF7:LI7,"B"))*3)+((COUNTIF('Elève (4ème2)'!LF7:LI7,"C"))*2)+((COUNTIF('Elève (4ème2)'!LF7:LI7,"D"))*1))/(COUNTA(LF7:LI7)),"")</f>
        <v/>
      </c>
      <c r="LK7" s="192" t="str">
        <f t="shared" si="66"/>
        <v/>
      </c>
      <c r="LL7" s="191" t="str">
        <f>IF(COUNT(KX7,LD7,LJ7)=0,"",SUM(KX7,LD7,LJ7)/COUNT(KX7,LD7,LJ7))</f>
        <v/>
      </c>
      <c r="LM7" s="215" t="str">
        <f t="shared" si="67"/>
        <v/>
      </c>
      <c r="LN7" s="134"/>
      <c r="LO7" s="132"/>
      <c r="LP7" s="133"/>
      <c r="LQ7" s="191" t="str">
        <f>IFERROR((((COUNTIF('Elève (4ème2)'!LN7:LP7,"A"))*4)+((COUNTIF('Elève (4ème2)'!LN7:LP7,"B"))*3)+((COUNTIF('Elève (4ème2)'!LN7:LP7,"C"))*2)+((COUNTIF('Elève (4ème2)'!LN7:LP7,"D"))*1))/(COUNTA(LN7:LP7)),"")</f>
        <v/>
      </c>
      <c r="LR7" s="192" t="str">
        <f t="shared" si="68"/>
        <v/>
      </c>
      <c r="LS7" s="134"/>
      <c r="LT7" s="132"/>
      <c r="LU7" s="133"/>
      <c r="LV7" s="133"/>
      <c r="LW7" s="191" t="str">
        <f>IFERROR((((COUNTIF('Elève (4ème2)'!LS7:LV7,"A"))*4)+((COUNTIF('Elève (4ème2)'!LS7:LV7,"B"))*3)+((COUNTIF('Elève (4ème2)'!LS7:LV7,"C"))*2)+((COUNTIF('Elève (4ème2)'!LS7:LV7,"D"))*1))/(COUNTA(LS7:LV7)),"")</f>
        <v/>
      </c>
      <c r="LX7" s="192" t="str">
        <f t="shared" si="69"/>
        <v/>
      </c>
      <c r="LY7" s="134"/>
      <c r="LZ7" s="132"/>
      <c r="MA7" s="133"/>
      <c r="MB7" s="136"/>
      <c r="MC7" s="191" t="str">
        <f>IFERROR((((COUNTIF('Elève (4ème2)'!LY7:MB7,"A"))*4)+((COUNTIF('Elève (4ème2)'!LY7:MB7,"B"))*3)+((COUNTIF('Elève (4ème2)'!LY7:MB7,"C"))*2)+((COUNTIF('Elève (4ème2)'!LY7:MB7,"D"))*1))/(COUNTA(LY7:MB7)),"")</f>
        <v/>
      </c>
      <c r="MD7" s="192" t="str">
        <f t="shared" si="70"/>
        <v/>
      </c>
      <c r="ME7" s="191" t="str">
        <f>IF(COUNT(LQ7,LW7,MC7)=0,"",SUM(LQ7,LW7,MC7)/COUNT(LQ7,LW7,MC7))</f>
        <v/>
      </c>
      <c r="MF7" s="215" t="str">
        <f t="shared" si="71"/>
        <v/>
      </c>
      <c r="MG7" s="134"/>
      <c r="MH7" s="132"/>
      <c r="MI7" s="133"/>
      <c r="MJ7" s="191" t="str">
        <f>IFERROR((((COUNTIF('Elève (4ème2)'!MG7:MI7,"A"))*4)+((COUNTIF('Elève (4ème2)'!MG7:MI7,"B"))*3)+((COUNTIF('Elève (4ème2)'!MG7:MI7,"C"))*2)+((COUNTIF('Elève (4ème2)'!MG7:MI7,"D"))*1))/(COUNTA(MG7:MI7)),"")</f>
        <v/>
      </c>
      <c r="MK7" s="192" t="str">
        <f t="shared" si="72"/>
        <v/>
      </c>
      <c r="ML7" s="134"/>
      <c r="MM7" s="132"/>
      <c r="MN7" s="133"/>
      <c r="MO7" s="133"/>
      <c r="MP7" s="191" t="str">
        <f>IFERROR((((COUNTIF('Elève (4ème2)'!ML7:MO7,"A"))*4)+((COUNTIF('Elève (4ème2)'!ML7:MO7,"B"))*3)+((COUNTIF('Elève (4ème2)'!ML7:MO7,"C"))*2)+((COUNTIF('Elève (4ème2)'!ML7:MO7,"D"))*1))/(COUNTA(ML7:MO7)),"")</f>
        <v/>
      </c>
      <c r="MQ7" s="192" t="str">
        <f t="shared" si="73"/>
        <v/>
      </c>
      <c r="MR7" s="134"/>
      <c r="MS7" s="132"/>
      <c r="MT7" s="133"/>
      <c r="MU7" s="136"/>
      <c r="MV7" s="191" t="str">
        <f>IFERROR((((COUNTIF('Elève (4ème2)'!MR7:MU7,"A"))*4)+((COUNTIF('Elève (4ème2)'!MR7:MU7,"B"))*3)+((COUNTIF('Elève (4ème2)'!MR7:MU7,"C"))*2)+((COUNTIF('Elève (4ème2)'!MR7:MU7,"D"))*1))/(COUNTA(MR7:MU7)),"")</f>
        <v/>
      </c>
      <c r="MW7" s="192" t="str">
        <f t="shared" si="74"/>
        <v/>
      </c>
      <c r="MX7" s="191" t="str">
        <f>IF(COUNT(MJ7,MP7,MV7)=0,"",SUM(MJ7,MP7,MV7)/COUNT(MJ7,MP7,MV7))</f>
        <v/>
      </c>
      <c r="MY7" s="215" t="str">
        <f t="shared" si="75"/>
        <v/>
      </c>
      <c r="MZ7" s="134"/>
      <c r="NA7" s="132"/>
      <c r="NB7" s="133"/>
      <c r="NC7" s="191" t="str">
        <f>IFERROR((((COUNTIF('Elève (4ème2)'!MZ7:NB7,"A"))*4)+((COUNTIF('Elève (4ème2)'!MZ7:NB7,"B"))*3)+((COUNTIF('Elève (4ème2)'!MZ7:NB7,"C"))*2)+((COUNTIF('Elève (4ème2)'!MZ7:NB7,"D"))*1))/(COUNTA(MZ7:NB7)),"")</f>
        <v/>
      </c>
      <c r="ND7" s="192" t="str">
        <f t="shared" si="76"/>
        <v/>
      </c>
      <c r="NE7" s="134"/>
      <c r="NF7" s="132"/>
      <c r="NG7" s="133"/>
      <c r="NH7" s="133"/>
      <c r="NI7" s="191" t="str">
        <f>IFERROR((((COUNTIF('Elève (4ème2)'!NE7:NH7,"A"))*4)+((COUNTIF('Elève (4ème2)'!NE7:NH7,"B"))*3)+((COUNTIF('Elève (4ème2)'!NE7:NH7,"C"))*2)+((COUNTIF('Elève (4ème2)'!NE7:NH7,"D"))*1))/(COUNTA(NE7:NH7)),"")</f>
        <v/>
      </c>
      <c r="NJ7" s="192" t="str">
        <f t="shared" si="77"/>
        <v/>
      </c>
      <c r="NK7" s="134"/>
      <c r="NL7" s="132"/>
      <c r="NM7" s="133"/>
      <c r="NN7" s="136"/>
      <c r="NO7" s="191" t="str">
        <f>IFERROR((((COUNTIF('Elève (4ème2)'!NK7:NN7,"A"))*4)+((COUNTIF('Elève (4ème2)'!NK7:NN7,"B"))*3)+((COUNTIF('Elève (4ème2)'!NK7:NN7,"C"))*2)+((COUNTIF('Elève (4ème2)'!NK7:NN7,"D"))*1))/(COUNTA(NK7:NN7)),"")</f>
        <v/>
      </c>
      <c r="NP7" s="192" t="str">
        <f t="shared" si="78"/>
        <v/>
      </c>
      <c r="NQ7" s="191" t="str">
        <f>IF(COUNT(NC7,NI7,NO7)=0,"",SUM(NC7,NI7,NO7)/COUNT(NC7,NI7,NO7))</f>
        <v/>
      </c>
      <c r="NR7" s="215" t="str">
        <f t="shared" si="79"/>
        <v/>
      </c>
      <c r="NS7" s="134"/>
      <c r="NT7" s="132"/>
      <c r="NU7" s="133"/>
      <c r="NV7" s="191" t="str">
        <f>IFERROR((((COUNTIF('Elève (4ème2)'!NS7:NU7,"A"))*4)+((COUNTIF('Elève (4ème2)'!NS7:NU7,"B"))*3)+((COUNTIF('Elève (4ème2)'!NS7:NU7,"C"))*2)+((COUNTIF('Elève (4ème2)'!NS7:NU7,"D"))*1))/(COUNTA(NS7:NU7)),"")</f>
        <v/>
      </c>
      <c r="NW7" s="192" t="str">
        <f t="shared" si="80"/>
        <v/>
      </c>
      <c r="NX7" s="134"/>
      <c r="NY7" s="132"/>
      <c r="NZ7" s="133"/>
      <c r="OA7" s="133"/>
      <c r="OB7" s="191" t="str">
        <f>IFERROR((((COUNTIF('Elève (4ème2)'!NX7:OA7,"A"))*4)+((COUNTIF('Elève (4ème2)'!NX7:OA7,"B"))*3)+((COUNTIF('Elève (4ème2)'!NX7:OA7,"C"))*2)+((COUNTIF('Elève (4ème2)'!NX7:OA7,"D"))*1))/(COUNTA(NX7:OA7)),"")</f>
        <v/>
      </c>
      <c r="OC7" s="192" t="str">
        <f t="shared" si="81"/>
        <v/>
      </c>
      <c r="OD7" s="134"/>
      <c r="OE7" s="132"/>
      <c r="OF7" s="133"/>
      <c r="OG7" s="136"/>
      <c r="OH7" s="191" t="str">
        <f>IFERROR((((COUNTIF('Elève (4ème2)'!OD7:OG7,"A"))*4)+((COUNTIF('Elève (4ème2)'!OD7:OG7,"B"))*3)+((COUNTIF('Elève (4ème2)'!OD7:OG7,"C"))*2)+((COUNTIF('Elève (4ème2)'!OD7:OG7,"D"))*1))/(COUNTA(OD7:OG7)),"")</f>
        <v/>
      </c>
      <c r="OI7" s="192" t="str">
        <f t="shared" si="82"/>
        <v/>
      </c>
      <c r="OJ7" s="191" t="str">
        <f>IF(COUNT(NV7,OB7,OH7)=0,"",SUM(NV7,OB7,OH7)/COUNT(NV7,OB7,OH7))</f>
        <v/>
      </c>
      <c r="OK7" s="215" t="str">
        <f t="shared" si="83"/>
        <v/>
      </c>
      <c r="OL7" s="134"/>
      <c r="OM7" s="132"/>
      <c r="ON7" s="133"/>
      <c r="OO7" s="191" t="str">
        <f>IFERROR((((COUNTIF('Elève (4ème2)'!OL7:ON7,"A"))*4)+((COUNTIF('Elève (4ème2)'!OL7:ON7,"B"))*3)+((COUNTIF('Elève (4ème2)'!OL7:ON7,"C"))*2)+((COUNTIF('Elève (4ème2)'!OL7:ON7,"D"))*1))/(COUNTA(OL7:ON7)),"")</f>
        <v/>
      </c>
      <c r="OP7" s="192" t="str">
        <f t="shared" si="84"/>
        <v/>
      </c>
      <c r="OQ7" s="134"/>
      <c r="OR7" s="132"/>
      <c r="OS7" s="133"/>
      <c r="OT7" s="133"/>
      <c r="OU7" s="191" t="str">
        <f>IFERROR((((COUNTIF('Elève (4ème2)'!OQ7:OT7,"A"))*4)+((COUNTIF('Elève (4ème2)'!OQ7:OT7,"B"))*3)+((COUNTIF('Elève (4ème2)'!OQ7:OT7,"C"))*2)+((COUNTIF('Elève (4ème2)'!OQ7:OT7,"D"))*1))/(COUNTA(OQ7:OT7)),"")</f>
        <v/>
      </c>
      <c r="OV7" s="192" t="str">
        <f t="shared" si="85"/>
        <v/>
      </c>
      <c r="OW7" s="134"/>
      <c r="OX7" s="132"/>
      <c r="OY7" s="133"/>
      <c r="OZ7" s="136"/>
      <c r="PA7" s="191" t="str">
        <f>IFERROR((((COUNTIF('Elève (4ème2)'!OW7:OZ7,"A"))*4)+((COUNTIF('Elève (4ème2)'!OW7:OZ7,"B"))*3)+((COUNTIF('Elève (4ème2)'!OW7:OZ7,"C"))*2)+((COUNTIF('Elève (4ème2)'!OW7:OZ7,"D"))*1))/(COUNTA(OW7:OZ7)),"")</f>
        <v/>
      </c>
      <c r="PB7" s="192" t="str">
        <f t="shared" si="86"/>
        <v/>
      </c>
      <c r="PC7" s="191" t="str">
        <f>IF(COUNT(OO7,OU7,PA7)=0,"",SUM(OO7,OU7,PA7)/COUNT(OO7,OU7,PA7))</f>
        <v/>
      </c>
      <c r="PD7" s="215" t="str">
        <f t="shared" si="87"/>
        <v/>
      </c>
      <c r="PE7" s="134"/>
      <c r="PF7" s="132"/>
      <c r="PG7" s="133"/>
      <c r="PH7" s="191" t="str">
        <f>IFERROR((((COUNTIF('Elève (4ème2)'!PE7:PG7,"A"))*4)+((COUNTIF('Elève (4ème2)'!PE7:PG7,"B"))*3)+((COUNTIF('Elève (4ème2)'!PE7:PG7,"C"))*2)+((COUNTIF('Elève (4ème2)'!PE7:PG7,"D"))*1))/(COUNTA(PE7:PG7)),"")</f>
        <v/>
      </c>
      <c r="PI7" s="192" t="str">
        <f t="shared" si="88"/>
        <v/>
      </c>
      <c r="PJ7" s="134"/>
      <c r="PK7" s="132"/>
      <c r="PL7" s="133"/>
      <c r="PM7" s="133"/>
      <c r="PN7" s="191" t="str">
        <f>IFERROR((((COUNTIF('Elève (4ème2)'!PJ7:PM7,"A"))*4)+((COUNTIF('Elève (4ème2)'!PJ7:PM7,"B"))*3)+((COUNTIF('Elève (4ème2)'!PJ7:PM7,"C"))*2)+((COUNTIF('Elève (4ème2)'!PJ7:PM7,"D"))*1))/(COUNTA(PJ7:PM7)),"")</f>
        <v/>
      </c>
      <c r="PO7" s="192" t="str">
        <f t="shared" si="89"/>
        <v/>
      </c>
      <c r="PP7" s="134"/>
      <c r="PQ7" s="132"/>
      <c r="PR7" s="133"/>
      <c r="PS7" s="136"/>
      <c r="PT7" s="191" t="str">
        <f>IFERROR((((COUNTIF('Elève (4ème2)'!PP7:PS7,"A"))*4)+((COUNTIF('Elève (4ème2)'!PP7:PS7,"B"))*3)+((COUNTIF('Elève (4ème2)'!PP7:PS7,"C"))*2)+((COUNTIF('Elève (4ème2)'!PP7:PS7,"D"))*1))/(COUNTA(PP7:PS7)),"")</f>
        <v/>
      </c>
      <c r="PU7" s="192" t="str">
        <f t="shared" si="90"/>
        <v/>
      </c>
      <c r="PV7" s="191" t="str">
        <f>IF(COUNT(PH7,PN7,PT7)=0,"",SUM(PH7,PN7,PT7)/COUNT(PH7,PN7,PT7))</f>
        <v/>
      </c>
      <c r="PW7" s="215" t="str">
        <f t="shared" si="91"/>
        <v/>
      </c>
      <c r="PX7" s="134"/>
      <c r="PY7" s="132"/>
      <c r="PZ7" s="133"/>
      <c r="QA7" s="191" t="str">
        <f>IFERROR((((COUNTIF('Elève (4ème2)'!PX7:PZ7,"A"))*4)+((COUNTIF('Elève (4ème2)'!PX7:PZ7,"B"))*3)+((COUNTIF('Elève (4ème2)'!PX7:PZ7,"C"))*2)+((COUNTIF('Elève (4ème2)'!PX7:PZ7,"D"))*1))/(COUNTA(PX7:PZ7)),"")</f>
        <v/>
      </c>
      <c r="QB7" s="192" t="str">
        <f t="shared" si="92"/>
        <v/>
      </c>
      <c r="QC7" s="134"/>
      <c r="QD7" s="132"/>
      <c r="QE7" s="133"/>
      <c r="QF7" s="133"/>
      <c r="QG7" s="191" t="str">
        <f>IFERROR((((COUNTIF('Elève (4ème2)'!QC7:QF7,"A"))*4)+((COUNTIF('Elève (4ème2)'!QC7:QF7,"B"))*3)+((COUNTIF('Elève (4ème2)'!QC7:QF7,"C"))*2)+((COUNTIF('Elève (4ème2)'!QC7:QF7,"D"))*1))/(COUNTA(QC7:QF7)),"")</f>
        <v/>
      </c>
      <c r="QH7" s="192" t="str">
        <f t="shared" si="93"/>
        <v/>
      </c>
      <c r="QI7" s="134"/>
      <c r="QJ7" s="132"/>
      <c r="QK7" s="133"/>
      <c r="QL7" s="136"/>
      <c r="QM7" s="191" t="str">
        <f>IFERROR((((COUNTIF('Elève (4ème2)'!QI7:QL7,"A"))*4)+((COUNTIF('Elève (4ème2)'!QI7:QL7,"B"))*3)+((COUNTIF('Elève (4ème2)'!QI7:QL7,"C"))*2)+((COUNTIF('Elève (4ème2)'!QI7:QL7,"D"))*1))/(COUNTA(QI7:QL7)),"")</f>
        <v/>
      </c>
      <c r="QN7" s="192" t="str">
        <f t="shared" si="94"/>
        <v/>
      </c>
      <c r="QO7" s="191" t="str">
        <f>IF(COUNT(QA7,QG7,QM7)=0,"",SUM(QA7,QG7,QM7)/COUNT(QA7,QG7,QM7))</f>
        <v/>
      </c>
      <c r="QP7" s="215" t="str">
        <f t="shared" si="95"/>
        <v/>
      </c>
      <c r="QQ7" s="134"/>
      <c r="QR7" s="132"/>
      <c r="QS7" s="133"/>
      <c r="QT7" s="191" t="str">
        <f>IFERROR((((COUNTIF('Elève (4ème2)'!QQ7:QS7,"A"))*4)+((COUNTIF('Elève (4ème2)'!QQ7:QS7,"B"))*3)+((COUNTIF('Elève (4ème2)'!QQ7:QS7,"C"))*2)+((COUNTIF('Elève (4ème2)'!QQ7:QS7,"D"))*1))/(COUNTA(QQ7:QS7)),"")</f>
        <v/>
      </c>
      <c r="QU7" s="192" t="str">
        <f t="shared" si="96"/>
        <v/>
      </c>
      <c r="QV7" s="134"/>
      <c r="QW7" s="132"/>
      <c r="QX7" s="133"/>
      <c r="QY7" s="133"/>
      <c r="QZ7" s="191" t="str">
        <f>IFERROR((((COUNTIF('Elève (4ème2)'!QV7:QY7,"A"))*4)+((COUNTIF('Elève (4ème2)'!QV7:QY7,"B"))*3)+((COUNTIF('Elève (4ème2)'!QV7:QY7,"C"))*2)+((COUNTIF('Elève (4ème2)'!QV7:QY7,"D"))*1))/(COUNTA(QV7:QY7)),"")</f>
        <v/>
      </c>
      <c r="RA7" s="192" t="str">
        <f t="shared" si="97"/>
        <v/>
      </c>
      <c r="RB7" s="134"/>
      <c r="RC7" s="132"/>
      <c r="RD7" s="133"/>
      <c r="RE7" s="136"/>
      <c r="RF7" s="191" t="str">
        <f>IFERROR((((COUNTIF('Elève (4ème2)'!RB7:RE7,"A"))*4)+((COUNTIF('Elève (4ème2)'!RB7:RE7,"B"))*3)+((COUNTIF('Elève (4ème2)'!RB7:RE7,"C"))*2)+((COUNTIF('Elève (4ème2)'!RB7:RE7,"D"))*1))/(COUNTA(RB7:RE7)),"")</f>
        <v/>
      </c>
      <c r="RG7" s="192" t="str">
        <f t="shared" si="98"/>
        <v/>
      </c>
      <c r="RH7" s="191" t="str">
        <f>IF(COUNT(QT7,QZ7,RF7)=0,"",SUM(QT7,QZ7,RF7)/COUNT(QT7,QZ7,RF7))</f>
        <v/>
      </c>
      <c r="RI7" s="215" t="str">
        <f t="shared" si="99"/>
        <v/>
      </c>
      <c r="RJ7" s="134"/>
      <c r="RK7" s="132"/>
      <c r="RL7" s="133"/>
      <c r="RM7" s="191" t="str">
        <f>IFERROR((((COUNTIF('Elève (4ème2)'!RJ7:RL7,"A"))*4)+((COUNTIF('Elève (4ème2)'!RJ7:RL7,"B"))*3)+((COUNTIF('Elève (4ème2)'!RJ7:RL7,"C"))*2)+((COUNTIF('Elève (4ème2)'!RJ7:RL7,"D"))*1))/(COUNTA(RJ7:RL7)),"")</f>
        <v/>
      </c>
      <c r="RN7" s="192" t="str">
        <f t="shared" si="100"/>
        <v/>
      </c>
      <c r="RO7" s="134"/>
      <c r="RP7" s="132"/>
      <c r="RQ7" s="133"/>
      <c r="RR7" s="133"/>
      <c r="RS7" s="191" t="str">
        <f>IFERROR((((COUNTIF('Elève (4ème2)'!RO7:RR7,"A"))*4)+((COUNTIF('Elève (4ème2)'!RO7:RR7,"B"))*3)+((COUNTIF('Elève (4ème2)'!RO7:RR7,"C"))*2)+((COUNTIF('Elève (4ème2)'!RO7:RR7,"D"))*1))/(COUNTA(RO7:RR7)),"")</f>
        <v/>
      </c>
      <c r="RT7" s="192" t="str">
        <f t="shared" si="101"/>
        <v/>
      </c>
      <c r="RU7" s="134"/>
      <c r="RV7" s="132"/>
      <c r="RW7" s="133"/>
      <c r="RX7" s="136"/>
      <c r="RY7" s="191" t="str">
        <f>IFERROR((((COUNTIF('Elève (4ème2)'!RU7:RX7,"A"))*4)+((COUNTIF('Elève (4ème2)'!RU7:RX7,"B"))*3)+((COUNTIF('Elève (4ème2)'!RU7:RX7,"C"))*2)+((COUNTIF('Elève (4ème2)'!RU7:RX7,"D"))*1))/(COUNTA(RU7:RX7)),"")</f>
        <v/>
      </c>
      <c r="RZ7" s="192" t="str">
        <f t="shared" si="102"/>
        <v/>
      </c>
      <c r="SA7" s="191" t="str">
        <f>IF(COUNT(RM7,RS7,RY7)=0,"",SUM(RM7,RS7,RY7)/COUNT(RM7,RS7,RY7))</f>
        <v/>
      </c>
      <c r="SB7" s="215" t="str">
        <f t="shared" si="103"/>
        <v/>
      </c>
      <c r="SC7" s="134"/>
      <c r="SD7" s="132"/>
      <c r="SE7" s="133"/>
      <c r="SF7" s="191" t="str">
        <f>IFERROR((((COUNTIF('Elève (4ème2)'!SC7:SE7,"A"))*4)+((COUNTIF('Elève (4ème2)'!SC7:SE7,"B"))*3)+((COUNTIF('Elève (4ème2)'!SC7:SE7,"C"))*2)+((COUNTIF('Elève (4ème2)'!SC7:SE7,"D"))*1))/(COUNTA(SC7:SE7)),"")</f>
        <v/>
      </c>
      <c r="SG7" s="192" t="str">
        <f t="shared" si="104"/>
        <v/>
      </c>
      <c r="SH7" s="134"/>
      <c r="SI7" s="132"/>
      <c r="SJ7" s="133"/>
      <c r="SK7" s="133"/>
      <c r="SL7" s="191" t="str">
        <f>IFERROR((((COUNTIF('Elève (4ème2)'!SH7:SK7,"A"))*4)+((COUNTIF('Elève (4ème2)'!SH7:SK7,"B"))*3)+((COUNTIF('Elève (4ème2)'!SH7:SK7,"C"))*2)+((COUNTIF('Elève (4ème2)'!SH7:SK7,"D"))*1))/(COUNTA(SH7:SK7)),"")</f>
        <v/>
      </c>
      <c r="SM7" s="192" t="str">
        <f t="shared" si="105"/>
        <v/>
      </c>
      <c r="SN7" s="134"/>
      <c r="SO7" s="132"/>
      <c r="SP7" s="133"/>
      <c r="SQ7" s="136"/>
      <c r="SR7" s="191" t="str">
        <f>IFERROR((((COUNTIF('Elève (4ème2)'!SN7:SQ7,"A"))*4)+((COUNTIF('Elève (4ème2)'!SN7:SQ7,"B"))*3)+((COUNTIF('Elève (4ème2)'!SN7:SQ7,"C"))*2)+((COUNTIF('Elève (4ème2)'!SN7:SQ7,"D"))*1))/(COUNTA(SN7:SQ7)),"")</f>
        <v/>
      </c>
      <c r="SS7" s="192" t="str">
        <f t="shared" si="106"/>
        <v/>
      </c>
      <c r="ST7" s="191" t="str">
        <f>IF(COUNT(SF7,SL7,SR7)=0,"",SUM(SF7,SL7,SR7)/COUNT(SF7,SL7,SR7))</f>
        <v/>
      </c>
      <c r="SU7" s="215" t="str">
        <f t="shared" si="107"/>
        <v/>
      </c>
      <c r="SV7" s="134"/>
      <c r="SW7" s="132"/>
      <c r="SX7" s="133"/>
      <c r="SY7" s="130" t="str">
        <f>IFERROR((((COUNTIF('Elève (4ème2)'!SV7:SX7,"A"))*4)+((COUNTIF('Elève (4ème2)'!SV7:SX7,"B"))*3)+((COUNTIF('Elève (4ème2)'!SV7:SX7,"C"))*2)+((COUNTIF('Elève (4ème2)'!SV7:SX7,"D"))*1))/(COUNTA(SV7:SX7)),"")</f>
        <v/>
      </c>
      <c r="SZ7" s="131" t="str">
        <f t="shared" si="108"/>
        <v/>
      </c>
      <c r="TA7" s="134"/>
      <c r="TB7" s="132"/>
      <c r="TC7" s="133"/>
      <c r="TD7" s="130" t="str">
        <f>IFERROR((((COUNTIF('Elève (4ème2)'!TA7:TC7,"A"))*4)+((COUNTIF('Elève (4ème2)'!TA7:TC7,"B"))*3)+((COUNTIF('Elève (4ème2)'!TA7:TC7,"C"))*2)+((COUNTIF('Elève (4ème2)'!TA7:TC7,"D"))*1))/(COUNTA(TA7:TC7)),"")</f>
        <v/>
      </c>
      <c r="TE7" s="131" t="str">
        <f t="shared" si="109"/>
        <v/>
      </c>
      <c r="TF7" s="134"/>
      <c r="TG7" s="132"/>
      <c r="TH7" s="136"/>
      <c r="TI7" s="130" t="str">
        <f>IFERROR((((COUNTIF('Elève (4ème2)'!TF7:TH7,"A"))*4)+((COUNTIF('Elève (4ème2)'!TF7:TH7,"B"))*3)+((COUNTIF('Elève (4ème2)'!TF7:TH7,"C"))*2)+((COUNTIF('Elève (4ème2)'!TF7:TH7,"D"))*1))/(COUNTA(TF7:TH7)),"")</f>
        <v/>
      </c>
      <c r="TJ7" s="131" t="str">
        <f t="shared" si="110"/>
        <v/>
      </c>
      <c r="TK7" s="130" t="str">
        <f>IF(COUNT(SY7,TD7,TI7)=0,"",SUM(SY7,TD7,TI7)/COUNT(SY7,TD7,TI7))</f>
        <v/>
      </c>
      <c r="TL7" s="135" t="str">
        <f t="shared" si="111"/>
        <v/>
      </c>
      <c r="TM7" s="134"/>
      <c r="TN7" s="132"/>
      <c r="TO7" s="133"/>
      <c r="TP7" s="130" t="str">
        <f>IFERROR((((COUNTIF('Elève (4ème2)'!TM7:TO7,"A"))*4)+((COUNTIF('Elève (4ème2)'!TM7:TO7,"B"))*3)+((COUNTIF('Elève (4ème2)'!TM7:TO7,"C"))*2)+((COUNTIF('Elève (4ème2)'!TM7:TO7,"D"))*1))/(COUNTA(TM7:TO7)),"")</f>
        <v/>
      </c>
      <c r="TQ7" s="131" t="str">
        <f t="shared" si="112"/>
        <v/>
      </c>
      <c r="TR7" s="134"/>
      <c r="TS7" s="132"/>
      <c r="TT7" s="133"/>
      <c r="TU7" s="130" t="str">
        <f>IFERROR((((COUNTIF('Elève (4ème2)'!TR7:TT7,"A"))*4)+((COUNTIF('Elève (4ème2)'!TR7:TT7,"B"))*3)+((COUNTIF('Elève (4ème2)'!TR7:TT7,"C"))*2)+((COUNTIF('Elève (4ème2)'!TR7:TT7,"D"))*1))/(COUNTA(TR7:TT7)),"")</f>
        <v/>
      </c>
      <c r="TV7" s="131" t="str">
        <f t="shared" si="113"/>
        <v/>
      </c>
      <c r="TW7" s="134"/>
      <c r="TX7" s="132"/>
      <c r="TY7" s="136"/>
      <c r="TZ7" s="130" t="str">
        <f>IFERROR((((COUNTIF('Elève (4ème2)'!TW7:TY7,"A"))*4)+((COUNTIF('Elève (4ème2)'!TW7:TY7,"B"))*3)+((COUNTIF('Elève (4ème2)'!TW7:TY7,"C"))*2)+((COUNTIF('Elève (4ème2)'!TW7:TY7,"D"))*1))/(COUNTA(TW7:TY7)),"")</f>
        <v/>
      </c>
      <c r="UA7" s="131" t="str">
        <f t="shared" si="114"/>
        <v/>
      </c>
      <c r="UB7" s="130" t="str">
        <f>IF(COUNT(TP7,TU7,TZ7)=0,"",SUM(TP7,TU7,TZ7)/COUNT(TP7,TU7,TZ7))</f>
        <v/>
      </c>
      <c r="UC7" s="135" t="str">
        <f t="shared" si="115"/>
        <v/>
      </c>
      <c r="UD7" s="134"/>
      <c r="UE7" s="132"/>
      <c r="UF7" s="133"/>
      <c r="UG7" s="130" t="str">
        <f>IFERROR((((COUNTIF('Elève (4ème2)'!UD7:UF7,"A"))*4)+((COUNTIF('Elève (4ème2)'!UD7:UF7,"B"))*3)+((COUNTIF('Elève (4ème2)'!UD7:UF7,"C"))*2)+((COUNTIF('Elève (4ème2)'!UD7:UF7,"D"))*1))/(COUNTA(UD7:UF7)),"")</f>
        <v/>
      </c>
      <c r="UH7" s="131" t="str">
        <f t="shared" si="116"/>
        <v/>
      </c>
      <c r="UI7" s="134"/>
      <c r="UJ7" s="132"/>
      <c r="UK7" s="133"/>
      <c r="UL7" s="130" t="str">
        <f>IFERROR((((COUNTIF('Elève (4ème2)'!UI7:UK7,"A"))*4)+((COUNTIF('Elève (4ème2)'!UI7:UK7,"B"))*3)+((COUNTIF('Elève (4ème2)'!UI7:UK7,"C"))*2)+((COUNTIF('Elève (4ème2)'!UI7:UK7,"D"))*1))/(COUNTA(UI7:UK7)),"")</f>
        <v/>
      </c>
      <c r="UM7" s="131" t="str">
        <f t="shared" si="117"/>
        <v/>
      </c>
      <c r="UN7" s="134"/>
      <c r="UO7" s="132"/>
      <c r="UP7" s="136"/>
      <c r="UQ7" s="130" t="str">
        <f>IFERROR((((COUNTIF('Elève (4ème2)'!UN7:UP7,"A"))*4)+((COUNTIF('Elève (4ème2)'!UN7:UP7,"B"))*3)+((COUNTIF('Elève (4ème2)'!UN7:UP7,"C"))*2)+((COUNTIF('Elève (4ème2)'!UN7:UP7,"D"))*1))/(COUNTA(UN7:UP7)),"")</f>
        <v/>
      </c>
      <c r="UR7" s="131" t="str">
        <f t="shared" si="118"/>
        <v/>
      </c>
      <c r="US7" s="130" t="str">
        <f>IF(COUNT(UG7,UL7,UQ7)=0,"",SUM(UG7,UL7,UQ7)/COUNT(UG7,UL7,UQ7))</f>
        <v/>
      </c>
      <c r="UT7" s="135" t="str">
        <f t="shared" si="119"/>
        <v/>
      </c>
    </row>
    <row r="8" spans="1:566" ht="18" customHeight="1" x14ac:dyDescent="0.25">
      <c r="A8" s="252" t="s">
        <v>15</v>
      </c>
      <c r="B8" s="253"/>
      <c r="C8" s="127" t="s">
        <v>31</v>
      </c>
      <c r="D8" s="128" t="s">
        <v>29</v>
      </c>
      <c r="E8" s="129" t="s">
        <v>31</v>
      </c>
      <c r="F8" s="191">
        <f>IFERROR((((COUNTIF('Elève (4ème2)'!C8:E8,"A"))*4)+((COUNTIF('Elève (4ème2)'!C8:E8,"B"))*3)+((COUNTIF('Elève (4ème2)'!C8:E8,"C"))*2)+((COUNTIF('Elève (4ème2)'!C8:E8,"D"))*1))/(COUNTA(C8:E8)),"")</f>
        <v>2.6666666666666665</v>
      </c>
      <c r="G8" s="192" t="str">
        <f t="shared" si="0"/>
        <v>C</v>
      </c>
      <c r="H8" s="127" t="s">
        <v>31</v>
      </c>
      <c r="I8" s="128" t="s">
        <v>31</v>
      </c>
      <c r="J8" s="133"/>
      <c r="K8" s="129"/>
      <c r="L8" s="191">
        <f>IFERROR((((COUNTIF('Elève (4ème2)'!H8:K8,"A"))*4)+((COUNTIF('Elève (4ème2)'!H8:K8,"B"))*3)+((COUNTIF('Elève (4ème2)'!H8:K8,"C"))*2)+((COUNTIF('Elève (4ème2)'!H8:K8,"D"))*1))/(COUNTA(H8:K8)),"")</f>
        <v>2</v>
      </c>
      <c r="M8" s="192" t="str">
        <f t="shared" si="1"/>
        <v>C</v>
      </c>
      <c r="N8" s="134"/>
      <c r="O8" s="132"/>
      <c r="P8" s="133"/>
      <c r="Q8" s="133"/>
      <c r="R8" s="191" t="str">
        <f>IFERROR((((COUNTIF('Elève (4ème2)'!N8:Q8,"A"))*4)+((COUNTIF('Elève (4ème2)'!N8:Q8,"B"))*3)+((COUNTIF('Elève (4ème2)'!N8:Q8,"C"))*2)+((COUNTIF('Elève (4ème2)'!N8:Q8,"D"))*1))/(COUNTA(N8:Q8)),"")</f>
        <v/>
      </c>
      <c r="S8" s="192" t="str">
        <f t="shared" si="2"/>
        <v/>
      </c>
      <c r="T8" s="191">
        <f>IF(COUNT(F8,L8,R8)=0,"",SUM(F8,L8,R8)/COUNT(F8,L8,R8))</f>
        <v>2.333333333333333</v>
      </c>
      <c r="U8" s="215" t="str">
        <f t="shared" si="3"/>
        <v>C</v>
      </c>
      <c r="V8" s="127" t="s">
        <v>31</v>
      </c>
      <c r="W8" s="128" t="s">
        <v>31</v>
      </c>
      <c r="X8" s="129" t="s">
        <v>32</v>
      </c>
      <c r="Y8" s="191">
        <f>IFERROR((((COUNTIF('Elève (4ème2)'!V8:X8,"A"))*4)+((COUNTIF('Elève (4ème2)'!V8:X8,"B"))*3)+((COUNTIF('Elève (4ème2)'!V8:X8,"C"))*2)+((COUNTIF('Elève (4ème2)'!V8:X8,"D"))*1))/(COUNTA(V8:X8)),"")</f>
        <v>1.6666666666666667</v>
      </c>
      <c r="Z8" s="192" t="str">
        <f t="shared" si="4"/>
        <v>C</v>
      </c>
      <c r="AA8" s="127" t="s">
        <v>32</v>
      </c>
      <c r="AB8" s="128" t="s">
        <v>31</v>
      </c>
      <c r="AC8" s="133"/>
      <c r="AD8" s="133"/>
      <c r="AE8" s="191">
        <f>IFERROR((((COUNTIF('Elève (4ème2)'!AA8:AD8,"A"))*4)+((COUNTIF('Elève (4ème2)'!AA8:AD8,"B"))*3)+((COUNTIF('Elève (4ème2)'!AA8:AD8,"C"))*2)+((COUNTIF('Elève (4ème2)'!AA8:AD8,"D"))*1))/(COUNTA(AA8:AD8)),"")</f>
        <v>1.5</v>
      </c>
      <c r="AF8" s="192" t="str">
        <f t="shared" si="5"/>
        <v>D</v>
      </c>
      <c r="AG8" s="134"/>
      <c r="AH8" s="132"/>
      <c r="AI8" s="133"/>
      <c r="AJ8" s="136"/>
      <c r="AK8" s="191" t="str">
        <f>IFERROR((((COUNTIF('Elève (4ème2)'!AG8:AJ8,"A"))*4)+((COUNTIF('Elève (4ème2)'!AG8:AJ8,"B"))*3)+((COUNTIF('Elève (4ème2)'!AG8:AJ8,"C"))*2)+((COUNTIF('Elève (4ème2)'!AG8:AJ8,"D"))*1))/(COUNTA(AG8:AJ8)),"")</f>
        <v/>
      </c>
      <c r="AL8" s="192" t="str">
        <f t="shared" si="6"/>
        <v/>
      </c>
      <c r="AM8" s="191">
        <f>IF(COUNT(Y8,AE8,AK8)=0,"",SUM(Y8,AE8,AK8)/COUNT(Y8,AE8,AK8))</f>
        <v>1.5833333333333335</v>
      </c>
      <c r="AN8" s="215" t="str">
        <f t="shared" si="7"/>
        <v>C</v>
      </c>
      <c r="AO8" s="127" t="s">
        <v>31</v>
      </c>
      <c r="AP8" s="128" t="s">
        <v>30</v>
      </c>
      <c r="AQ8" s="129" t="s">
        <v>31</v>
      </c>
      <c r="AR8" s="191">
        <f>IFERROR((((COUNTIF('Elève (4ème2)'!AO8:AQ8,"A"))*4)+((COUNTIF('Elève (4ème2)'!AO8:AQ8,"B"))*3)+((COUNTIF('Elève (4ème2)'!AO8:AQ8,"C"))*2)+((COUNTIF('Elève (4ème2)'!AO8:AQ8,"D"))*1))/(COUNTA(AO8:AQ8)),"")</f>
        <v>2.3333333333333335</v>
      </c>
      <c r="AS8" s="192" t="str">
        <f t="shared" si="8"/>
        <v>C</v>
      </c>
      <c r="AT8" s="127" t="s">
        <v>31</v>
      </c>
      <c r="AU8" s="128" t="s">
        <v>31</v>
      </c>
      <c r="AV8" s="133"/>
      <c r="AW8" s="133"/>
      <c r="AX8" s="191">
        <f>IFERROR((((COUNTIF('Elève (4ème2)'!AT8:AW8,"A"))*4)+((COUNTIF('Elève (4ème2)'!AT8:AW8,"B"))*3)+((COUNTIF('Elève (4ème2)'!AT8:AW8,"C"))*2)+((COUNTIF('Elève (4ème2)'!AT8:AW8,"D"))*1))/(COUNTA(AT8:AW8)),"")</f>
        <v>2</v>
      </c>
      <c r="AY8" s="192" t="str">
        <f t="shared" si="9"/>
        <v>C</v>
      </c>
      <c r="AZ8" s="134"/>
      <c r="BA8" s="132"/>
      <c r="BB8" s="133"/>
      <c r="BC8" s="136"/>
      <c r="BD8" s="191" t="str">
        <f>IFERROR((((COUNTIF('Elève (4ème2)'!AZ8:BC8,"A"))*4)+((COUNTIF('Elève (4ème2)'!AZ8:BC8,"B"))*3)+((COUNTIF('Elève (4ème2)'!AZ8:BC8,"C"))*2)+((COUNTIF('Elève (4ème2)'!AZ8:BC8,"D"))*1))/(COUNTA(AZ8:BC8)),"")</f>
        <v/>
      </c>
      <c r="BE8" s="192" t="str">
        <f t="shared" si="10"/>
        <v/>
      </c>
      <c r="BF8" s="191">
        <f>IF(COUNT(AR8,AX8,BD8)=0,"",SUM(AR8,AX8,BD8)/COUNT(AR8,AX8,BD8))</f>
        <v>2.166666666666667</v>
      </c>
      <c r="BG8" s="215" t="str">
        <f t="shared" si="11"/>
        <v>C</v>
      </c>
      <c r="BH8" s="127" t="s">
        <v>32</v>
      </c>
      <c r="BI8" s="128" t="s">
        <v>31</v>
      </c>
      <c r="BJ8" s="129" t="s">
        <v>31</v>
      </c>
      <c r="BK8" s="191">
        <f>IFERROR((((COUNTIF('Elève (4ème2)'!BH8:BJ8,"A"))*4)+((COUNTIF('Elève (4ème2)'!BH8:BJ8,"B"))*3)+((COUNTIF('Elève (4ème2)'!BH8:BJ8,"C"))*2)+((COUNTIF('Elève (4ème2)'!BH8:BJ8,"D"))*1))/(COUNTA(BH8:BJ8)),"")</f>
        <v>1.6666666666666667</v>
      </c>
      <c r="BL8" s="192" t="str">
        <f t="shared" si="12"/>
        <v>C</v>
      </c>
      <c r="BM8" s="127" t="s">
        <v>31</v>
      </c>
      <c r="BN8" s="128" t="s">
        <v>31</v>
      </c>
      <c r="BO8" s="133"/>
      <c r="BP8" s="133"/>
      <c r="BQ8" s="191">
        <f>IFERROR((((COUNTIF('Elève (4ème2)'!BM8:BP8,"A"))*4)+((COUNTIF('Elève (4ème2)'!BM8:BP8,"B"))*3)+((COUNTIF('Elève (4ème2)'!BM8:BP8,"C"))*2)+((COUNTIF('Elève (4ème2)'!BM8:BP8,"D"))*1))/(COUNTA(BM8:BP8)),"")</f>
        <v>2</v>
      </c>
      <c r="BR8" s="192" t="str">
        <f t="shared" si="13"/>
        <v>C</v>
      </c>
      <c r="BS8" s="134"/>
      <c r="BT8" s="132"/>
      <c r="BU8" s="133"/>
      <c r="BV8" s="136"/>
      <c r="BW8" s="191" t="str">
        <f>IFERROR((((COUNTIF('Elève (4ème2)'!BS8:BV8,"A"))*4)+((COUNTIF('Elève (4ème2)'!BS8:BV8,"B"))*3)+((COUNTIF('Elève (4ème2)'!BS8:BV8,"C"))*2)+((COUNTIF('Elève (4ème2)'!BS8:BV8,"D"))*1))/(COUNTA(BS8:BV8)),"")</f>
        <v/>
      </c>
      <c r="BX8" s="192" t="str">
        <f t="shared" si="14"/>
        <v/>
      </c>
      <c r="BY8" s="191">
        <f>IF(COUNT(BK8,BQ8,BW8)=0,"",SUM(BK8,BQ8,BW8)/COUNT(BK8,BQ8,BW8))</f>
        <v>1.8333333333333335</v>
      </c>
      <c r="BZ8" s="215" t="str">
        <f t="shared" si="15"/>
        <v>C</v>
      </c>
      <c r="CA8" s="127" t="s">
        <v>31</v>
      </c>
      <c r="CB8" s="128" t="s">
        <v>29</v>
      </c>
      <c r="CC8" s="129" t="s">
        <v>30</v>
      </c>
      <c r="CD8" s="191">
        <f>IFERROR((((COUNTIF('Elève (4ème2)'!CA8:CC8,"A"))*4)+((COUNTIF('Elève (4ème2)'!CA8:CC8,"B"))*3)+((COUNTIF('Elève (4ème2)'!CA8:CC8,"C"))*2)+((COUNTIF('Elève (4ème2)'!CA8:CC8,"D"))*1))/(COUNTA(CA8:CC8)),"")</f>
        <v>3</v>
      </c>
      <c r="CE8" s="192" t="str">
        <f t="shared" si="16"/>
        <v>B</v>
      </c>
      <c r="CF8" s="127" t="s">
        <v>30</v>
      </c>
      <c r="CG8" s="128" t="s">
        <v>31</v>
      </c>
      <c r="CH8" s="133"/>
      <c r="CI8" s="133"/>
      <c r="CJ8" s="191">
        <f>IFERROR((((COUNTIF('Elève (4ème2)'!CF8:CI8,"A"))*4)+((COUNTIF('Elève (4ème2)'!CF8:CI8,"B"))*3)+((COUNTIF('Elève (4ème2)'!CF8:CI8,"C"))*2)+((COUNTIF('Elève (4ème2)'!CF8:CI8,"D"))*1))/(COUNTA(CF8:CI8)),"")</f>
        <v>2.5</v>
      </c>
      <c r="CK8" s="192" t="str">
        <f t="shared" si="17"/>
        <v>C</v>
      </c>
      <c r="CL8" s="134"/>
      <c r="CM8" s="132"/>
      <c r="CN8" s="133"/>
      <c r="CO8" s="136"/>
      <c r="CP8" s="191" t="str">
        <f>IFERROR((((COUNTIF('Elève (4ème2)'!CL8:CO8,"A"))*4)+((COUNTIF('Elève (4ème2)'!CL8:CO8,"B"))*3)+((COUNTIF('Elève (4ème2)'!CL8:CO8,"C"))*2)+((COUNTIF('Elève (4ème2)'!CL8:CO8,"D"))*1))/(COUNTA(CL8:CO8)),"")</f>
        <v/>
      </c>
      <c r="CQ8" s="192" t="str">
        <f t="shared" si="18"/>
        <v/>
      </c>
      <c r="CR8" s="191">
        <f>IF(COUNT(CD8,CJ8,CP8)=0,"",SUM(CD8,CJ8,CP8)/COUNT(CD8,CJ8,CP8))</f>
        <v>2.75</v>
      </c>
      <c r="CS8" s="215" t="str">
        <f t="shared" si="19"/>
        <v>C</v>
      </c>
      <c r="CT8" s="127" t="s">
        <v>31</v>
      </c>
      <c r="CU8" s="128" t="s">
        <v>30</v>
      </c>
      <c r="CV8" s="129" t="s">
        <v>31</v>
      </c>
      <c r="CW8" s="191">
        <f>IFERROR((((COUNTIF('Elève (4ème2)'!CT8:CV8,"A"))*4)+((COUNTIF('Elève (4ème2)'!CT8:CV8,"B"))*3)+((COUNTIF('Elève (4ème2)'!CT8:CV8,"C"))*2)+((COUNTIF('Elève (4ème2)'!CT8:CV8,"D"))*1))/(COUNTA(CT8:CV8)),"")</f>
        <v>2.3333333333333335</v>
      </c>
      <c r="CX8" s="192" t="str">
        <f t="shared" si="20"/>
        <v>C</v>
      </c>
      <c r="CY8" s="127" t="s">
        <v>32</v>
      </c>
      <c r="CZ8" s="128" t="s">
        <v>31</v>
      </c>
      <c r="DA8" s="133"/>
      <c r="DB8" s="133"/>
      <c r="DC8" s="191">
        <f>IFERROR((((COUNTIF('Elève (4ème2)'!CY8:DB8,"A"))*4)+((COUNTIF('Elève (4ème2)'!CY8:DB8,"B"))*3)+((COUNTIF('Elève (4ème2)'!CY8:DB8,"C"))*2)+((COUNTIF('Elève (4ème2)'!CY8:DB8,"D"))*1))/(COUNTA(CY8:DB8)),"")</f>
        <v>1.5</v>
      </c>
      <c r="DD8" s="192" t="str">
        <f t="shared" si="21"/>
        <v>D</v>
      </c>
      <c r="DE8" s="134"/>
      <c r="DF8" s="132"/>
      <c r="DG8" s="133"/>
      <c r="DH8" s="136"/>
      <c r="DI8" s="191" t="str">
        <f>IFERROR((((COUNTIF('Elève (4ème2)'!DE8:DH8,"A"))*4)+((COUNTIF('Elève (4ème2)'!DE8:DH8,"B"))*3)+((COUNTIF('Elève (4ème2)'!DE8:DH8,"C"))*2)+((COUNTIF('Elève (4ème2)'!DE8:DH8,"D"))*1))/(COUNTA(DE8:DH8)),"")</f>
        <v/>
      </c>
      <c r="DJ8" s="192" t="str">
        <f t="shared" si="22"/>
        <v/>
      </c>
      <c r="DK8" s="191">
        <f>IF(COUNT(CW8,DC8,DI8)=0,"",SUM(CW8,DC8,DI8)/COUNT(CW8,DC8,DI8))</f>
        <v>1.9166666666666667</v>
      </c>
      <c r="DL8" s="215" t="str">
        <f t="shared" si="23"/>
        <v>C</v>
      </c>
      <c r="DM8" s="127" t="s">
        <v>31</v>
      </c>
      <c r="DN8" s="128" t="s">
        <v>30</v>
      </c>
      <c r="DO8" s="129" t="s">
        <v>31</v>
      </c>
      <c r="DP8" s="191">
        <f>IFERROR((((COUNTIF('Elève (4ème2)'!DM8:DO8,"A"))*4)+((COUNTIF('Elève (4ème2)'!DM8:DO8,"B"))*3)+((COUNTIF('Elève (4ème2)'!DM8:DO8,"C"))*2)+((COUNTIF('Elève (4ème2)'!DM8:DO8,"D"))*1))/(COUNTA(DM8:DO8)),"")</f>
        <v>2.3333333333333335</v>
      </c>
      <c r="DQ8" s="192" t="str">
        <f t="shared" si="24"/>
        <v>C</v>
      </c>
      <c r="DR8" s="127" t="s">
        <v>31</v>
      </c>
      <c r="DS8" s="128" t="s">
        <v>31</v>
      </c>
      <c r="DT8" s="133"/>
      <c r="DU8" s="133"/>
      <c r="DV8" s="191">
        <f>IFERROR((((COUNTIF('Elève (4ème2)'!DR8:DU8,"A"))*4)+((COUNTIF('Elève (4ème2)'!DR8:DU8,"B"))*3)+((COUNTIF('Elève (4ème2)'!DR8:DU8,"C"))*2)+((COUNTIF('Elève (4ème2)'!DR8:DU8,"D"))*1))/(COUNTA(DR8:DU8)),"")</f>
        <v>2</v>
      </c>
      <c r="DW8" s="192" t="str">
        <f t="shared" si="25"/>
        <v>C</v>
      </c>
      <c r="DX8" s="134"/>
      <c r="DY8" s="132"/>
      <c r="DZ8" s="133"/>
      <c r="EA8" s="136"/>
      <c r="EB8" s="191" t="str">
        <f>IFERROR((((COUNTIF('Elève (4ème2)'!DX8:EA8,"A"))*4)+((COUNTIF('Elève (4ème2)'!DX8:EA8,"B"))*3)+((COUNTIF('Elève (4ème2)'!DX8:EA8,"C"))*2)+((COUNTIF('Elève (4ème2)'!DX8:EA8,"D"))*1))/(COUNTA(DX8:EA8)),"")</f>
        <v/>
      </c>
      <c r="EC8" s="192" t="str">
        <f t="shared" si="26"/>
        <v/>
      </c>
      <c r="ED8" s="191">
        <f>IF(COUNT(DP8,DV8,EB8)=0,"",SUM(DP8,DV8,EB8)/COUNT(DP8,DV8,EB8))</f>
        <v>2.166666666666667</v>
      </c>
      <c r="EE8" s="215" t="str">
        <f t="shared" si="27"/>
        <v>C</v>
      </c>
      <c r="EF8" s="127" t="s">
        <v>31</v>
      </c>
      <c r="EG8" s="128" t="s">
        <v>29</v>
      </c>
      <c r="EH8" s="129" t="s">
        <v>29</v>
      </c>
      <c r="EI8" s="191">
        <f>IFERROR((((COUNTIF('Elève (4ème2)'!EF8:EH8,"A"))*4)+((COUNTIF('Elève (4ème2)'!EF8:EH8,"B"))*3)+((COUNTIF('Elève (4ème2)'!EF8:EH8,"C"))*2)+((COUNTIF('Elève (4ème2)'!EF8:EH8,"D"))*1))/(COUNTA(EF8:EH8)),"")</f>
        <v>3.3333333333333335</v>
      </c>
      <c r="EJ8" s="192" t="str">
        <f t="shared" si="28"/>
        <v>B</v>
      </c>
      <c r="EK8" s="127" t="s">
        <v>30</v>
      </c>
      <c r="EL8" s="128" t="s">
        <v>30</v>
      </c>
      <c r="EM8" s="133"/>
      <c r="EN8" s="133"/>
      <c r="EO8" s="191">
        <f>IFERROR((((COUNTIF('Elève (4ème2)'!EK8:EN8,"A"))*4)+((COUNTIF('Elève (4ème2)'!EK8:EN8,"B"))*3)+((COUNTIF('Elève (4ème2)'!EK8:EN8,"C"))*2)+((COUNTIF('Elève (4ème2)'!EK8:EN8,"D"))*1))/(COUNTA(EK8:EN8)),"")</f>
        <v>3</v>
      </c>
      <c r="EP8" s="192" t="str">
        <f t="shared" si="29"/>
        <v>B</v>
      </c>
      <c r="EQ8" s="134"/>
      <c r="ER8" s="132"/>
      <c r="ES8" s="133"/>
      <c r="ET8" s="136"/>
      <c r="EU8" s="191" t="str">
        <f>IFERROR((((COUNTIF('Elève (4ème2)'!EQ8:ET8,"A"))*4)+((COUNTIF('Elève (4ème2)'!EQ8:ET8,"B"))*3)+((COUNTIF('Elève (4ème2)'!EQ8:ET8,"C"))*2)+((COUNTIF('Elève (4ème2)'!EQ8:ET8,"D"))*1))/(COUNTA(EQ8:ET8)),"")</f>
        <v/>
      </c>
      <c r="EV8" s="192" t="str">
        <f t="shared" si="30"/>
        <v/>
      </c>
      <c r="EW8" s="191">
        <f>IF(COUNT(EI8,EO8,EU8)=0,"",SUM(EI8,EO8,EU8)/COUNT(EI8,EO8,EU8))</f>
        <v>3.166666666666667</v>
      </c>
      <c r="EX8" s="215" t="str">
        <f t="shared" si="31"/>
        <v>B</v>
      </c>
      <c r="EY8" s="127" t="s">
        <v>32</v>
      </c>
      <c r="EZ8" s="128" t="s">
        <v>31</v>
      </c>
      <c r="FA8" s="129" t="s">
        <v>31</v>
      </c>
      <c r="FB8" s="191">
        <f>IFERROR((((COUNTIF('Elève (4ème2)'!EY8:FA8,"A"))*4)+((COUNTIF('Elève (4ème2)'!EY8:FA8,"B"))*3)+((COUNTIF('Elève (4ème2)'!EY8:FA8,"C"))*2)+((COUNTIF('Elève (4ème2)'!EY8:FA8,"D"))*1))/(COUNTA(EY8:FA8)),"")</f>
        <v>1.6666666666666667</v>
      </c>
      <c r="FC8" s="192" t="str">
        <f t="shared" si="32"/>
        <v>C</v>
      </c>
      <c r="FD8" s="127" t="s">
        <v>31</v>
      </c>
      <c r="FE8" s="128" t="s">
        <v>31</v>
      </c>
      <c r="FF8" s="133"/>
      <c r="FG8" s="133"/>
      <c r="FH8" s="191">
        <f>IFERROR((((COUNTIF('Elève (4ème2)'!FD8:FG8,"A"))*4)+((COUNTIF('Elève (4ème2)'!FD8:FG8,"B"))*3)+((COUNTIF('Elève (4ème2)'!FD8:FG8,"C"))*2)+((COUNTIF('Elève (4ème2)'!FD8:FG8,"D"))*1))/(COUNTA(FD8:FG8)),"")</f>
        <v>2</v>
      </c>
      <c r="FI8" s="192" t="str">
        <f t="shared" si="33"/>
        <v>C</v>
      </c>
      <c r="FJ8" s="134"/>
      <c r="FK8" s="132"/>
      <c r="FL8" s="133"/>
      <c r="FM8" s="136"/>
      <c r="FN8" s="191" t="str">
        <f>IFERROR((((COUNTIF('Elève (4ème2)'!FJ8:FM8,"A"))*4)+((COUNTIF('Elève (4ème2)'!FJ8:FM8,"B"))*3)+((COUNTIF('Elève (4ème2)'!FJ8:FM8,"C"))*2)+((COUNTIF('Elève (4ème2)'!FJ8:FM8,"D"))*1))/(COUNTA(FJ8:FM8)),"")</f>
        <v/>
      </c>
      <c r="FO8" s="192" t="str">
        <f t="shared" si="34"/>
        <v/>
      </c>
      <c r="FP8" s="191">
        <f>IF(COUNT(FB8,FH8,FN8)=0,"",SUM(FB8,FH8,FN8)/COUNT(FB8,FH8,FN8))</f>
        <v>1.8333333333333335</v>
      </c>
      <c r="FQ8" s="215" t="str">
        <f t="shared" si="35"/>
        <v>C</v>
      </c>
      <c r="FR8" s="127" t="s">
        <v>32</v>
      </c>
      <c r="FS8" s="128" t="s">
        <v>30</v>
      </c>
      <c r="FT8" s="129" t="s">
        <v>31</v>
      </c>
      <c r="FU8" s="191">
        <f>IFERROR((((COUNTIF('Elève (4ème2)'!FR8:FT8,"A"))*4)+((COUNTIF('Elève (4ème2)'!FR8:FT8,"B"))*3)+((COUNTIF('Elève (4ème2)'!FR8:FT8,"C"))*2)+((COUNTIF('Elève (4ème2)'!FR8:FT8,"D"))*1))/(COUNTA(FR8:FT8)),"")</f>
        <v>2</v>
      </c>
      <c r="FV8" s="192" t="str">
        <f t="shared" si="36"/>
        <v>C</v>
      </c>
      <c r="FW8" s="127" t="s">
        <v>31</v>
      </c>
      <c r="FX8" s="128" t="s">
        <v>31</v>
      </c>
      <c r="FY8" s="133"/>
      <c r="FZ8" s="133"/>
      <c r="GA8" s="191">
        <f>IFERROR((((COUNTIF('Elève (4ème2)'!FW8:FZ8,"A"))*4)+((COUNTIF('Elève (4ème2)'!FW8:FZ8,"B"))*3)+((COUNTIF('Elève (4ème2)'!FW8:FZ8,"C"))*2)+((COUNTIF('Elève (4ème2)'!FW8:FZ8,"D"))*1))/(COUNTA(FW8:FZ8)),"")</f>
        <v>2</v>
      </c>
      <c r="GB8" s="192" t="str">
        <f t="shared" si="37"/>
        <v>C</v>
      </c>
      <c r="GC8" s="134"/>
      <c r="GD8" s="132"/>
      <c r="GE8" s="133"/>
      <c r="GF8" s="136"/>
      <c r="GG8" s="191" t="str">
        <f>IFERROR((((COUNTIF('Elève (4ème2)'!GC8:GF8,"A"))*4)+((COUNTIF('Elève (4ème2)'!GC8:GF8,"B"))*3)+((COUNTIF('Elève (4ème2)'!GC8:GF8,"C"))*2)+((COUNTIF('Elève (4ème2)'!GC8:GF8,"D"))*1))/(COUNTA(GC8:GF8)),"")</f>
        <v/>
      </c>
      <c r="GH8" s="192" t="str">
        <f t="shared" si="38"/>
        <v/>
      </c>
      <c r="GI8" s="191">
        <f>IF(COUNT(FU8,GA8,GG8)=0,"",SUM(FU8,GA8,GG8)/COUNT(FU8,GA8,GG8))</f>
        <v>2</v>
      </c>
      <c r="GJ8" s="215" t="str">
        <f t="shared" si="39"/>
        <v>C</v>
      </c>
      <c r="GK8" s="127" t="s">
        <v>32</v>
      </c>
      <c r="GL8" s="128" t="s">
        <v>31</v>
      </c>
      <c r="GM8" s="129" t="s">
        <v>30</v>
      </c>
      <c r="GN8" s="191">
        <f>IFERROR((((COUNTIF('Elève (4ème2)'!GK8:GM8,"A"))*4)+((COUNTIF('Elève (4ème2)'!GK8:GM8,"B"))*3)+((COUNTIF('Elève (4ème2)'!GK8:GM8,"C"))*2)+((COUNTIF('Elève (4ème2)'!GK8:GM8,"D"))*1))/(COUNTA(GK8:GM8)),"")</f>
        <v>2</v>
      </c>
      <c r="GO8" s="192" t="str">
        <f t="shared" si="40"/>
        <v>C</v>
      </c>
      <c r="GP8" s="127" t="s">
        <v>31</v>
      </c>
      <c r="GQ8" s="128" t="s">
        <v>30</v>
      </c>
      <c r="GR8" s="133"/>
      <c r="GS8" s="133"/>
      <c r="GT8" s="191">
        <f>IFERROR((((COUNTIF('Elève (4ème2)'!GP8:GS8,"A"))*4)+((COUNTIF('Elève (4ème2)'!GP8:GS8,"B"))*3)+((COUNTIF('Elève (4ème2)'!GP8:GS8,"C"))*2)+((COUNTIF('Elève (4ème2)'!GP8:GS8,"D"))*1))/(COUNTA(GP8:GS8)),"")</f>
        <v>2.5</v>
      </c>
      <c r="GU8" s="192" t="str">
        <f t="shared" si="41"/>
        <v>C</v>
      </c>
      <c r="GV8" s="134"/>
      <c r="GW8" s="132"/>
      <c r="GX8" s="133"/>
      <c r="GY8" s="136"/>
      <c r="GZ8" s="191" t="str">
        <f>IFERROR((((COUNTIF('Elève (4ème2)'!GV8:GY8,"A"))*4)+((COUNTIF('Elève (4ème2)'!GV8:GY8,"B"))*3)+((COUNTIF('Elève (4ème2)'!GV8:GY8,"C"))*2)+((COUNTIF('Elève (4ème2)'!GV8:GY8,"D"))*1))/(COUNTA(GV8:GY8)),"")</f>
        <v/>
      </c>
      <c r="HA8" s="192" t="str">
        <f t="shared" si="42"/>
        <v/>
      </c>
      <c r="HB8" s="191">
        <f>IF(COUNT(GN8,GT8,GZ8)=0,"",SUM(GN8,GT8,GZ8)/COUNT(GN8,GT8,GZ8))</f>
        <v>2.25</v>
      </c>
      <c r="HC8" s="215" t="str">
        <f t="shared" si="43"/>
        <v>C</v>
      </c>
      <c r="HD8" s="127" t="s">
        <v>30</v>
      </c>
      <c r="HE8" s="128" t="s">
        <v>31</v>
      </c>
      <c r="HF8" s="129" t="s">
        <v>31</v>
      </c>
      <c r="HG8" s="191">
        <f>IFERROR((((COUNTIF('Elève (4ème2)'!HD8:HF8,"A"))*4)+((COUNTIF('Elève (4ème2)'!HD8:HF8,"B"))*3)+((COUNTIF('Elève (4ème2)'!HD8:HF8,"C"))*2)+((COUNTIF('Elève (4ème2)'!HD8:HF8,"D"))*1))/(COUNTA(HD8:HF8)),"")</f>
        <v>2.3333333333333335</v>
      </c>
      <c r="HH8" s="192" t="str">
        <f t="shared" si="44"/>
        <v>C</v>
      </c>
      <c r="HI8" s="127" t="s">
        <v>31</v>
      </c>
      <c r="HJ8" s="128" t="s">
        <v>31</v>
      </c>
      <c r="HK8" s="133"/>
      <c r="HL8" s="133"/>
      <c r="HM8" s="191">
        <f>IFERROR((((COUNTIF('Elève (4ème2)'!HI8:HL8,"A"))*4)+((COUNTIF('Elève (4ème2)'!HI8:HL8,"B"))*3)+((COUNTIF('Elève (4ème2)'!HI8:HL8,"C"))*2)+((COUNTIF('Elève (4ème2)'!HI8:HL8,"D"))*1))/(COUNTA(HI8:HL8)),"")</f>
        <v>2</v>
      </c>
      <c r="HN8" s="192" t="str">
        <f t="shared" si="45"/>
        <v>C</v>
      </c>
      <c r="HO8" s="134"/>
      <c r="HP8" s="132"/>
      <c r="HQ8" s="133"/>
      <c r="HR8" s="136"/>
      <c r="HS8" s="191" t="str">
        <f>IFERROR((((COUNTIF('Elève (4ème2)'!HO8:HR8,"A"))*4)+((COUNTIF('Elève (4ème2)'!HO8:HR8,"B"))*3)+((COUNTIF('Elève (4ème2)'!HO8:HR8,"C"))*2)+((COUNTIF('Elève (4ème2)'!HO8:HR8,"D"))*1))/(COUNTA(HO8:HR8)),"")</f>
        <v/>
      </c>
      <c r="HT8" s="192" t="str">
        <f t="shared" si="46"/>
        <v/>
      </c>
      <c r="HU8" s="191">
        <f>IF(COUNT(HG8,HM8,HS8)=0,"",SUM(HG8,HM8,HS8)/COUNT(HG8,HM8,HS8))</f>
        <v>2.166666666666667</v>
      </c>
      <c r="HV8" s="215" t="str">
        <f t="shared" si="47"/>
        <v>C</v>
      </c>
      <c r="HW8" s="127" t="s">
        <v>32</v>
      </c>
      <c r="HX8" s="128" t="s">
        <v>29</v>
      </c>
      <c r="HY8" s="129" t="s">
        <v>31</v>
      </c>
      <c r="HZ8" s="191">
        <f>IFERROR((((COUNTIF('Elève (4ème2)'!HW8:HY8,"A"))*4)+((COUNTIF('Elève (4ème2)'!HW8:HY8,"B"))*3)+((COUNTIF('Elève (4ème2)'!HW8:HY8,"C"))*2)+((COUNTIF('Elève (4ème2)'!HW8:HY8,"D"))*1))/(COUNTA(HW8:HY8)),"")</f>
        <v>2.3333333333333335</v>
      </c>
      <c r="IA8" s="192" t="str">
        <f t="shared" si="48"/>
        <v>C</v>
      </c>
      <c r="IB8" s="127" t="s">
        <v>32</v>
      </c>
      <c r="IC8" s="128" t="s">
        <v>31</v>
      </c>
      <c r="ID8" s="133"/>
      <c r="IE8" s="133"/>
      <c r="IF8" s="191">
        <f>IFERROR((((COUNTIF('Elève (4ème2)'!IB8:IE8,"A"))*4)+((COUNTIF('Elève (4ème2)'!IB8:IE8,"B"))*3)+((COUNTIF('Elève (4ème2)'!IB8:IE8,"C"))*2)+((COUNTIF('Elève (4ème2)'!IB8:IE8,"D"))*1))/(COUNTA(IB8:IE8)),"")</f>
        <v>1.5</v>
      </c>
      <c r="IG8" s="192" t="str">
        <f t="shared" si="49"/>
        <v>D</v>
      </c>
      <c r="IH8" s="134"/>
      <c r="II8" s="132"/>
      <c r="IJ8" s="133"/>
      <c r="IK8" s="136"/>
      <c r="IL8" s="191" t="str">
        <f>IFERROR((((COUNTIF('Elève (4ème2)'!IH8:IK8,"A"))*4)+((COUNTIF('Elève (4ème2)'!IH8:IK8,"B"))*3)+((COUNTIF('Elève (4ème2)'!IH8:IK8,"C"))*2)+((COUNTIF('Elève (4ème2)'!IH8:IK8,"D"))*1))/(COUNTA(IH8:IK8)),"")</f>
        <v/>
      </c>
      <c r="IM8" s="192" t="str">
        <f t="shared" si="50"/>
        <v/>
      </c>
      <c r="IN8" s="191">
        <f>IF(COUNT(HZ8,IF8,IL8)=0,"",SUM(HZ8,IF8,IL8)/COUNT(HZ8,IF8,IL8))</f>
        <v>1.9166666666666667</v>
      </c>
      <c r="IO8" s="215" t="str">
        <f t="shared" si="51"/>
        <v>C</v>
      </c>
      <c r="IP8" s="127" t="s">
        <v>30</v>
      </c>
      <c r="IQ8" s="128" t="s">
        <v>29</v>
      </c>
      <c r="IR8" s="129" t="s">
        <v>29</v>
      </c>
      <c r="IS8" s="191">
        <f>IFERROR((((COUNTIF('Elève (4ème2)'!IP8:IR8,"A"))*4)+((COUNTIF('Elève (4ème2)'!IP8:IR8,"B"))*3)+((COUNTIF('Elève (4ème2)'!IP8:IR8,"C"))*2)+((COUNTIF('Elève (4ème2)'!IP8:IR8,"D"))*1))/(COUNTA(IP8:IR8)),"")</f>
        <v>3.6666666666666665</v>
      </c>
      <c r="IT8" s="192" t="str">
        <f t="shared" si="52"/>
        <v>B</v>
      </c>
      <c r="IU8" s="127" t="s">
        <v>31</v>
      </c>
      <c r="IV8" s="128" t="s">
        <v>29</v>
      </c>
      <c r="IW8" s="133"/>
      <c r="IX8" s="133"/>
      <c r="IY8" s="191">
        <f>IFERROR((((COUNTIF('Elève (4ème2)'!IU8:IX8,"A"))*4)+((COUNTIF('Elève (4ème2)'!IU8:IX8,"B"))*3)+((COUNTIF('Elève (4ème2)'!IU8:IX8,"C"))*2)+((COUNTIF('Elève (4ème2)'!IU8:IX8,"D"))*1))/(COUNTA(IU8:IX8)),"")</f>
        <v>3</v>
      </c>
      <c r="IZ8" s="192" t="str">
        <f t="shared" si="53"/>
        <v>B</v>
      </c>
      <c r="JA8" s="134"/>
      <c r="JB8" s="132"/>
      <c r="JC8" s="133"/>
      <c r="JD8" s="136"/>
      <c r="JE8" s="191" t="str">
        <f>IFERROR((((COUNTIF('Elève (4ème2)'!JA8:JD8,"A"))*4)+((COUNTIF('Elève (4ème2)'!JA8:JD8,"B"))*3)+((COUNTIF('Elève (4ème2)'!JA8:JD8,"C"))*2)+((COUNTIF('Elève (4ème2)'!JA8:JD8,"D"))*1))/(COUNTA(JA8:JD8)),"")</f>
        <v/>
      </c>
      <c r="JF8" s="192" t="str">
        <f t="shared" si="54"/>
        <v/>
      </c>
      <c r="JG8" s="191">
        <f>IF(COUNT(IS8,IY8,JE8)=0,"",SUM(IS8,IY8,JE8)/COUNT(IS8,IY8,JE8))</f>
        <v>3.333333333333333</v>
      </c>
      <c r="JH8" s="215" t="str">
        <f t="shared" si="55"/>
        <v>B</v>
      </c>
      <c r="JI8" s="127" t="s">
        <v>32</v>
      </c>
      <c r="JJ8" s="128" t="s">
        <v>29</v>
      </c>
      <c r="JK8" s="129" t="s">
        <v>32</v>
      </c>
      <c r="JL8" s="191">
        <f>IFERROR((((COUNTIF('Elève (4ème2)'!JI8:JK8,"A"))*4)+((COUNTIF('Elève (4ème2)'!JI8:JK8,"B"))*3)+((COUNTIF('Elève (4ème2)'!JI8:JK8,"C"))*2)+((COUNTIF('Elève (4ème2)'!JI8:JK8,"D"))*1))/(COUNTA(JI8:JK8)),"")</f>
        <v>2</v>
      </c>
      <c r="JM8" s="192" t="str">
        <f t="shared" si="56"/>
        <v>C</v>
      </c>
      <c r="JN8" s="127" t="s">
        <v>30</v>
      </c>
      <c r="JO8" s="128" t="s">
        <v>30</v>
      </c>
      <c r="JP8" s="133"/>
      <c r="JQ8" s="133"/>
      <c r="JR8" s="191">
        <f>IFERROR((((COUNTIF('Elève (4ème2)'!JN8:JQ8,"A"))*4)+((COUNTIF('Elève (4ème2)'!JN8:JQ8,"B"))*3)+((COUNTIF('Elève (4ème2)'!JN8:JQ8,"C"))*2)+((COUNTIF('Elève (4ème2)'!JN8:JQ8,"D"))*1))/(COUNTA(JN8:JQ8)),"")</f>
        <v>3</v>
      </c>
      <c r="JS8" s="192" t="str">
        <f t="shared" si="57"/>
        <v>B</v>
      </c>
      <c r="JT8" s="134"/>
      <c r="JU8" s="132"/>
      <c r="JV8" s="133"/>
      <c r="JW8" s="136"/>
      <c r="JX8" s="191" t="str">
        <f>IFERROR((((COUNTIF('Elève (4ème2)'!JT8:JW8,"A"))*4)+((COUNTIF('Elève (4ème2)'!JT8:JW8,"B"))*3)+((COUNTIF('Elève (4ème2)'!JT8:JW8,"C"))*2)+((COUNTIF('Elève (4ème2)'!JT8:JW8,"D"))*1))/(COUNTA(JT8:JW8)),"")</f>
        <v/>
      </c>
      <c r="JY8" s="192" t="str">
        <f t="shared" si="58"/>
        <v/>
      </c>
      <c r="JZ8" s="191">
        <f>IF(COUNT(JL8,JR8,JX8)=0,"",SUM(JL8,JR8,JX8)/COUNT(JL8,JR8,JX8))</f>
        <v>2.5</v>
      </c>
      <c r="KA8" s="215" t="str">
        <f t="shared" si="59"/>
        <v>C</v>
      </c>
      <c r="KB8" s="127" t="s">
        <v>32</v>
      </c>
      <c r="KC8" s="128" t="s">
        <v>29</v>
      </c>
      <c r="KD8" s="129" t="s">
        <v>31</v>
      </c>
      <c r="KE8" s="191">
        <f>IFERROR((((COUNTIF('Elève (4ème2)'!KB8:KD8,"A"))*4)+((COUNTIF('Elève (4ème2)'!KB8:KD8,"B"))*3)+((COUNTIF('Elève (4ème2)'!KB8:KD8,"C"))*2)+((COUNTIF('Elève (4ème2)'!KB8:KD8,"D"))*1))/(COUNTA(KB8:KD8)),"")</f>
        <v>2.3333333333333335</v>
      </c>
      <c r="KF8" s="192" t="str">
        <f t="shared" si="60"/>
        <v>C</v>
      </c>
      <c r="KG8" s="127" t="s">
        <v>30</v>
      </c>
      <c r="KH8" s="128" t="s">
        <v>31</v>
      </c>
      <c r="KI8" s="133"/>
      <c r="KJ8" s="133"/>
      <c r="KK8" s="191">
        <f>IFERROR((((COUNTIF('Elève (4ème2)'!KG8:KJ8,"A"))*4)+((COUNTIF('Elève (4ème2)'!KG8:KJ8,"B"))*3)+((COUNTIF('Elève (4ème2)'!KG8:KJ8,"C"))*2)+((COUNTIF('Elève (4ème2)'!KG8:KJ8,"D"))*1))/(COUNTA(KG8:KJ8)),"")</f>
        <v>2.5</v>
      </c>
      <c r="KL8" s="192" t="str">
        <f t="shared" si="61"/>
        <v>C</v>
      </c>
      <c r="KM8" s="134"/>
      <c r="KN8" s="132"/>
      <c r="KO8" s="133"/>
      <c r="KP8" s="136"/>
      <c r="KQ8" s="191" t="str">
        <f>IFERROR((((COUNTIF('Elève (4ème2)'!KM8:KP8,"A"))*4)+((COUNTIF('Elève (4ème2)'!KM8:KP8,"B"))*3)+((COUNTIF('Elève (4ème2)'!KM8:KP8,"C"))*2)+((COUNTIF('Elève (4ème2)'!KM8:KP8,"D"))*1))/(COUNTA(KM8:KP8)),"")</f>
        <v/>
      </c>
      <c r="KR8" s="192" t="str">
        <f t="shared" si="62"/>
        <v/>
      </c>
      <c r="KS8" s="191">
        <f>IF(COUNT(KE8,KK8,KQ8)=0,"",SUM(KE8,KK8,KQ8)/COUNT(KE8,KK8,KQ8))</f>
        <v>2.416666666666667</v>
      </c>
      <c r="KT8" s="215" t="str">
        <f t="shared" si="63"/>
        <v>C</v>
      </c>
      <c r="KU8" s="127" t="s">
        <v>31</v>
      </c>
      <c r="KV8" s="128" t="s">
        <v>30</v>
      </c>
      <c r="KW8" s="129" t="s">
        <v>31</v>
      </c>
      <c r="KX8" s="191">
        <f>IFERROR((((COUNTIF('Elève (4ème2)'!KU8:KW8,"A"))*4)+((COUNTIF('Elève (4ème2)'!KU8:KW8,"B"))*3)+((COUNTIF('Elève (4ème2)'!KU8:KW8,"C"))*2)+((COUNTIF('Elève (4ème2)'!KU8:KW8,"D"))*1))/(COUNTA(KU8:KW8)),"")</f>
        <v>2.3333333333333335</v>
      </c>
      <c r="KY8" s="192" t="str">
        <f t="shared" si="64"/>
        <v>C</v>
      </c>
      <c r="KZ8" s="127" t="s">
        <v>32</v>
      </c>
      <c r="LA8" s="128" t="s">
        <v>31</v>
      </c>
      <c r="LB8" s="133"/>
      <c r="LC8" s="133"/>
      <c r="LD8" s="191">
        <f>IFERROR((((COUNTIF('Elève (4ème2)'!KZ8:LC8,"A"))*4)+((COUNTIF('Elève (4ème2)'!KZ8:LC8,"B"))*3)+((COUNTIF('Elève (4ème2)'!KZ8:LC8,"C"))*2)+((COUNTIF('Elève (4ème2)'!KZ8:LC8,"D"))*1))/(COUNTA(KZ8:LC8)),"")</f>
        <v>1.5</v>
      </c>
      <c r="LE8" s="192" t="str">
        <f t="shared" si="65"/>
        <v>D</v>
      </c>
      <c r="LF8" s="134"/>
      <c r="LG8" s="132"/>
      <c r="LH8" s="133"/>
      <c r="LI8" s="136"/>
      <c r="LJ8" s="191" t="str">
        <f>IFERROR((((COUNTIF('Elève (4ème2)'!LF8:LI8,"A"))*4)+((COUNTIF('Elève (4ème2)'!LF8:LI8,"B"))*3)+((COUNTIF('Elève (4ème2)'!LF8:LI8,"C"))*2)+((COUNTIF('Elève (4ème2)'!LF8:LI8,"D"))*1))/(COUNTA(LF8:LI8)),"")</f>
        <v/>
      </c>
      <c r="LK8" s="192" t="str">
        <f t="shared" si="66"/>
        <v/>
      </c>
      <c r="LL8" s="191">
        <f>IF(COUNT(KX8,LD8,LJ8)=0,"",SUM(KX8,LD8,LJ8)/COUNT(KX8,LD8,LJ8))</f>
        <v>1.9166666666666667</v>
      </c>
      <c r="LM8" s="215" t="str">
        <f t="shared" si="67"/>
        <v>C</v>
      </c>
      <c r="LN8" s="127" t="s">
        <v>32</v>
      </c>
      <c r="LO8" s="128" t="s">
        <v>30</v>
      </c>
      <c r="LP8" s="129" t="s">
        <v>31</v>
      </c>
      <c r="LQ8" s="191">
        <f>IFERROR((((COUNTIF('Elève (4ème2)'!LN8:LP8,"A"))*4)+((COUNTIF('Elève (4ème2)'!LN8:LP8,"B"))*3)+((COUNTIF('Elève (4ème2)'!LN8:LP8,"C"))*2)+((COUNTIF('Elève (4ème2)'!LN8:LP8,"D"))*1))/(COUNTA(LN8:LP8)),"")</f>
        <v>2</v>
      </c>
      <c r="LR8" s="192" t="str">
        <f t="shared" si="68"/>
        <v>C</v>
      </c>
      <c r="LS8" s="127" t="s">
        <v>32</v>
      </c>
      <c r="LT8" s="128" t="s">
        <v>32</v>
      </c>
      <c r="LU8" s="133"/>
      <c r="LV8" s="133"/>
      <c r="LW8" s="191">
        <f>IFERROR((((COUNTIF('Elève (4ème2)'!LS8:LV8,"A"))*4)+((COUNTIF('Elève (4ème2)'!LS8:LV8,"B"))*3)+((COUNTIF('Elève (4ème2)'!LS8:LV8,"C"))*2)+((COUNTIF('Elève (4ème2)'!LS8:LV8,"D"))*1))/(COUNTA(LS8:LV8)),"")</f>
        <v>1</v>
      </c>
      <c r="LX8" s="192" t="str">
        <f t="shared" si="69"/>
        <v>D</v>
      </c>
      <c r="LY8" s="134"/>
      <c r="LZ8" s="132"/>
      <c r="MA8" s="133"/>
      <c r="MB8" s="136"/>
      <c r="MC8" s="191" t="str">
        <f>IFERROR((((COUNTIF('Elève (4ème2)'!LY8:MB8,"A"))*4)+((COUNTIF('Elève (4ème2)'!LY8:MB8,"B"))*3)+((COUNTIF('Elève (4ème2)'!LY8:MB8,"C"))*2)+((COUNTIF('Elève (4ème2)'!LY8:MB8,"D"))*1))/(COUNTA(LY8:MB8)),"")</f>
        <v/>
      </c>
      <c r="MD8" s="192" t="str">
        <f t="shared" si="70"/>
        <v/>
      </c>
      <c r="ME8" s="191">
        <f>IF(COUNT(LQ8,LW8,MC8)=0,"",SUM(LQ8,LW8,MC8)/COUNT(LQ8,LW8,MC8))</f>
        <v>1.5</v>
      </c>
      <c r="MF8" s="215" t="str">
        <f t="shared" si="71"/>
        <v>D</v>
      </c>
      <c r="MG8" s="127" t="s">
        <v>30</v>
      </c>
      <c r="MH8" s="128" t="s">
        <v>29</v>
      </c>
      <c r="MI8" s="129" t="s">
        <v>30</v>
      </c>
      <c r="MJ8" s="191">
        <f>IFERROR((((COUNTIF('Elève (4ème2)'!MG8:MI8,"A"))*4)+((COUNTIF('Elève (4ème2)'!MG8:MI8,"B"))*3)+((COUNTIF('Elève (4ème2)'!MG8:MI8,"C"))*2)+((COUNTIF('Elève (4ème2)'!MG8:MI8,"D"))*1))/(COUNTA(MG8:MI8)),"")</f>
        <v>3.3333333333333335</v>
      </c>
      <c r="MK8" s="192" t="str">
        <f t="shared" si="72"/>
        <v>B</v>
      </c>
      <c r="ML8" s="127" t="s">
        <v>30</v>
      </c>
      <c r="MM8" s="128" t="s">
        <v>30</v>
      </c>
      <c r="MN8" s="133"/>
      <c r="MO8" s="133"/>
      <c r="MP8" s="191">
        <f>IFERROR((((COUNTIF('Elève (4ème2)'!ML8:MO8,"A"))*4)+((COUNTIF('Elève (4ème2)'!ML8:MO8,"B"))*3)+((COUNTIF('Elève (4ème2)'!ML8:MO8,"C"))*2)+((COUNTIF('Elève (4ème2)'!ML8:MO8,"D"))*1))/(COUNTA(ML8:MO8)),"")</f>
        <v>3</v>
      </c>
      <c r="MQ8" s="192" t="str">
        <f t="shared" si="73"/>
        <v>B</v>
      </c>
      <c r="MR8" s="134"/>
      <c r="MS8" s="132"/>
      <c r="MT8" s="133"/>
      <c r="MU8" s="136"/>
      <c r="MV8" s="191" t="str">
        <f>IFERROR((((COUNTIF('Elève (4ème2)'!MR8:MU8,"A"))*4)+((COUNTIF('Elève (4ème2)'!MR8:MU8,"B"))*3)+((COUNTIF('Elève (4ème2)'!MR8:MU8,"C"))*2)+((COUNTIF('Elève (4ème2)'!MR8:MU8,"D"))*1))/(COUNTA(MR8:MU8)),"")</f>
        <v/>
      </c>
      <c r="MW8" s="192" t="str">
        <f t="shared" si="74"/>
        <v/>
      </c>
      <c r="MX8" s="191">
        <f>IF(COUNT(MJ8,MP8,MV8)=0,"",SUM(MJ8,MP8,MV8)/COUNT(MJ8,MP8,MV8))</f>
        <v>3.166666666666667</v>
      </c>
      <c r="MY8" s="215" t="str">
        <f t="shared" si="75"/>
        <v>B</v>
      </c>
      <c r="MZ8" s="127" t="s">
        <v>31</v>
      </c>
      <c r="NA8" s="128" t="s">
        <v>29</v>
      </c>
      <c r="NB8" s="129" t="s">
        <v>31</v>
      </c>
      <c r="NC8" s="191">
        <f>IFERROR((((COUNTIF('Elève (4ème2)'!MZ8:NB8,"A"))*4)+((COUNTIF('Elève (4ème2)'!MZ8:NB8,"B"))*3)+((COUNTIF('Elève (4ème2)'!MZ8:NB8,"C"))*2)+((COUNTIF('Elève (4ème2)'!MZ8:NB8,"D"))*1))/(COUNTA(MZ8:NB8)),"")</f>
        <v>2.6666666666666665</v>
      </c>
      <c r="ND8" s="192" t="str">
        <f t="shared" si="76"/>
        <v>C</v>
      </c>
      <c r="NE8" s="127" t="s">
        <v>31</v>
      </c>
      <c r="NF8" s="128" t="s">
        <v>30</v>
      </c>
      <c r="NG8" s="133"/>
      <c r="NH8" s="133"/>
      <c r="NI8" s="191">
        <f>IFERROR((((COUNTIF('Elève (4ème2)'!NE8:NH8,"A"))*4)+((COUNTIF('Elève (4ème2)'!NE8:NH8,"B"))*3)+((COUNTIF('Elève (4ème2)'!NE8:NH8,"C"))*2)+((COUNTIF('Elève (4ème2)'!NE8:NH8,"D"))*1))/(COUNTA(NE8:NH8)),"")</f>
        <v>2.5</v>
      </c>
      <c r="NJ8" s="192" t="str">
        <f t="shared" si="77"/>
        <v>C</v>
      </c>
      <c r="NK8" s="134"/>
      <c r="NL8" s="132"/>
      <c r="NM8" s="133"/>
      <c r="NN8" s="136"/>
      <c r="NO8" s="191" t="str">
        <f>IFERROR((((COUNTIF('Elève (4ème2)'!NK8:NN8,"A"))*4)+((COUNTIF('Elève (4ème2)'!NK8:NN8,"B"))*3)+((COUNTIF('Elève (4ème2)'!NK8:NN8,"C"))*2)+((COUNTIF('Elève (4ème2)'!NK8:NN8,"D"))*1))/(COUNTA(NK8:NN8)),"")</f>
        <v/>
      </c>
      <c r="NP8" s="192" t="str">
        <f t="shared" si="78"/>
        <v/>
      </c>
      <c r="NQ8" s="191">
        <f>IF(COUNT(NC8,NI8,NO8)=0,"",SUM(NC8,NI8,NO8)/COUNT(NC8,NI8,NO8))</f>
        <v>2.583333333333333</v>
      </c>
      <c r="NR8" s="215" t="str">
        <f t="shared" si="79"/>
        <v>C</v>
      </c>
      <c r="NS8" s="127" t="s">
        <v>31</v>
      </c>
      <c r="NT8" s="128" t="s">
        <v>31</v>
      </c>
      <c r="NU8" s="129" t="s">
        <v>30</v>
      </c>
      <c r="NV8" s="191">
        <f>IFERROR((((COUNTIF('Elève (4ème2)'!NS8:NU8,"A"))*4)+((COUNTIF('Elève (4ème2)'!NS8:NU8,"B"))*3)+((COUNTIF('Elève (4ème2)'!NS8:NU8,"C"))*2)+((COUNTIF('Elève (4ème2)'!NS8:NU8,"D"))*1))/(COUNTA(NS8:NU8)),"")</f>
        <v>2.3333333333333335</v>
      </c>
      <c r="NW8" s="192" t="str">
        <f t="shared" si="80"/>
        <v>C</v>
      </c>
      <c r="NX8" s="127" t="s">
        <v>31</v>
      </c>
      <c r="NY8" s="128" t="s">
        <v>31</v>
      </c>
      <c r="NZ8" s="133"/>
      <c r="OA8" s="133"/>
      <c r="OB8" s="191">
        <f>IFERROR((((COUNTIF('Elève (4ème2)'!NX8:OA8,"A"))*4)+((COUNTIF('Elève (4ème2)'!NX8:OA8,"B"))*3)+((COUNTIF('Elève (4ème2)'!NX8:OA8,"C"))*2)+((COUNTIF('Elève (4ème2)'!NX8:OA8,"D"))*1))/(COUNTA(NX8:OA8)),"")</f>
        <v>2</v>
      </c>
      <c r="OC8" s="192" t="str">
        <f t="shared" si="81"/>
        <v>C</v>
      </c>
      <c r="OD8" s="134"/>
      <c r="OE8" s="132"/>
      <c r="OF8" s="133"/>
      <c r="OG8" s="136"/>
      <c r="OH8" s="191" t="str">
        <f>IFERROR((((COUNTIF('Elève (4ème2)'!OD8:OG8,"A"))*4)+((COUNTIF('Elève (4ème2)'!OD8:OG8,"B"))*3)+((COUNTIF('Elève (4ème2)'!OD8:OG8,"C"))*2)+((COUNTIF('Elève (4ème2)'!OD8:OG8,"D"))*1))/(COUNTA(OD8:OG8)),"")</f>
        <v/>
      </c>
      <c r="OI8" s="192" t="str">
        <f t="shared" si="82"/>
        <v/>
      </c>
      <c r="OJ8" s="191">
        <f>IF(COUNT(NV8,OB8,OH8)=0,"",SUM(NV8,OB8,OH8)/COUNT(NV8,OB8,OH8))</f>
        <v>2.166666666666667</v>
      </c>
      <c r="OK8" s="215" t="str">
        <f t="shared" si="83"/>
        <v>C</v>
      </c>
      <c r="OL8" s="127" t="s">
        <v>32</v>
      </c>
      <c r="OM8" s="128" t="s">
        <v>30</v>
      </c>
      <c r="ON8" s="129" t="s">
        <v>32</v>
      </c>
      <c r="OO8" s="191">
        <f>IFERROR((((COUNTIF('Elève (4ème2)'!OL8:ON8,"A"))*4)+((COUNTIF('Elève (4ème2)'!OL8:ON8,"B"))*3)+((COUNTIF('Elève (4ème2)'!OL8:ON8,"C"))*2)+((COUNTIF('Elève (4ème2)'!OL8:ON8,"D"))*1))/(COUNTA(OL8:ON8)),"")</f>
        <v>1.6666666666666667</v>
      </c>
      <c r="OP8" s="192" t="str">
        <f t="shared" si="84"/>
        <v>C</v>
      </c>
      <c r="OQ8" s="127" t="s">
        <v>31</v>
      </c>
      <c r="OR8" s="128" t="s">
        <v>31</v>
      </c>
      <c r="OS8" s="133"/>
      <c r="OT8" s="133"/>
      <c r="OU8" s="191">
        <f>IFERROR((((COUNTIF('Elève (4ème2)'!OQ8:OT8,"A"))*4)+((COUNTIF('Elève (4ème2)'!OQ8:OT8,"B"))*3)+((COUNTIF('Elève (4ème2)'!OQ8:OT8,"C"))*2)+((COUNTIF('Elève (4ème2)'!OQ8:OT8,"D"))*1))/(COUNTA(OQ8:OT8)),"")</f>
        <v>2</v>
      </c>
      <c r="OV8" s="192" t="str">
        <f t="shared" si="85"/>
        <v>C</v>
      </c>
      <c r="OW8" s="134"/>
      <c r="OX8" s="132"/>
      <c r="OY8" s="133"/>
      <c r="OZ8" s="136"/>
      <c r="PA8" s="191" t="str">
        <f>IFERROR((((COUNTIF('Elève (4ème2)'!OW8:OZ8,"A"))*4)+((COUNTIF('Elève (4ème2)'!OW8:OZ8,"B"))*3)+((COUNTIF('Elève (4ème2)'!OW8:OZ8,"C"))*2)+((COUNTIF('Elève (4ème2)'!OW8:OZ8,"D"))*1))/(COUNTA(OW8:OZ8)),"")</f>
        <v/>
      </c>
      <c r="PB8" s="192" t="str">
        <f t="shared" si="86"/>
        <v/>
      </c>
      <c r="PC8" s="191">
        <f>IF(COUNT(OO8,OU8,PA8)=0,"",SUM(OO8,OU8,PA8)/COUNT(OO8,OU8,PA8))</f>
        <v>1.8333333333333335</v>
      </c>
      <c r="PD8" s="215" t="str">
        <f t="shared" si="87"/>
        <v>C</v>
      </c>
      <c r="PE8" s="127" t="s">
        <v>32</v>
      </c>
      <c r="PF8" s="128" t="s">
        <v>29</v>
      </c>
      <c r="PG8" s="129" t="s">
        <v>31</v>
      </c>
      <c r="PH8" s="191">
        <f>IFERROR((((COUNTIF('Elève (4ème2)'!PE8:PG8,"A"))*4)+((COUNTIF('Elève (4ème2)'!PE8:PG8,"B"))*3)+((COUNTIF('Elève (4ème2)'!PE8:PG8,"C"))*2)+((COUNTIF('Elève (4ème2)'!PE8:PG8,"D"))*1))/(COUNTA(PE8:PG8)),"")</f>
        <v>2.3333333333333335</v>
      </c>
      <c r="PI8" s="192" t="str">
        <f t="shared" si="88"/>
        <v>C</v>
      </c>
      <c r="PJ8" s="127" t="s">
        <v>32</v>
      </c>
      <c r="PK8" s="128" t="s">
        <v>32</v>
      </c>
      <c r="PL8" s="133"/>
      <c r="PM8" s="133"/>
      <c r="PN8" s="191">
        <f>IFERROR((((COUNTIF('Elève (4ème2)'!PJ8:PM8,"A"))*4)+((COUNTIF('Elève (4ème2)'!PJ8:PM8,"B"))*3)+((COUNTIF('Elève (4ème2)'!PJ8:PM8,"C"))*2)+((COUNTIF('Elève (4ème2)'!PJ8:PM8,"D"))*1))/(COUNTA(PJ8:PM8)),"")</f>
        <v>1</v>
      </c>
      <c r="PO8" s="192" t="str">
        <f t="shared" si="89"/>
        <v>D</v>
      </c>
      <c r="PP8" s="134"/>
      <c r="PQ8" s="132"/>
      <c r="PR8" s="133"/>
      <c r="PS8" s="136"/>
      <c r="PT8" s="191" t="str">
        <f>IFERROR((((COUNTIF('Elève (4ème2)'!PP8:PS8,"A"))*4)+((COUNTIF('Elève (4ème2)'!PP8:PS8,"B"))*3)+((COUNTIF('Elève (4ème2)'!PP8:PS8,"C"))*2)+((COUNTIF('Elève (4ème2)'!PP8:PS8,"D"))*1))/(COUNTA(PP8:PS8)),"")</f>
        <v/>
      </c>
      <c r="PU8" s="192" t="str">
        <f t="shared" si="90"/>
        <v/>
      </c>
      <c r="PV8" s="191">
        <f>IF(COUNT(PH8,PN8,PT8)=0,"",SUM(PH8,PN8,PT8)/COUNT(PH8,PN8,PT8))</f>
        <v>1.6666666666666667</v>
      </c>
      <c r="PW8" s="215" t="str">
        <f t="shared" si="91"/>
        <v>C</v>
      </c>
      <c r="PX8" s="127" t="s">
        <v>32</v>
      </c>
      <c r="PY8" s="128" t="s">
        <v>30</v>
      </c>
      <c r="PZ8" s="129" t="s">
        <v>30</v>
      </c>
      <c r="QA8" s="191">
        <f>IFERROR((((COUNTIF('Elève (4ème2)'!PX8:PZ8,"A"))*4)+((COUNTIF('Elève (4ème2)'!PX8:PZ8,"B"))*3)+((COUNTIF('Elève (4ème2)'!PX8:PZ8,"C"))*2)+((COUNTIF('Elève (4ème2)'!PX8:PZ8,"D"))*1))/(COUNTA(PX8:PZ8)),"")</f>
        <v>2.3333333333333335</v>
      </c>
      <c r="QB8" s="192" t="str">
        <f t="shared" si="92"/>
        <v>C</v>
      </c>
      <c r="QC8" s="127" t="s">
        <v>31</v>
      </c>
      <c r="QD8" s="128"/>
      <c r="QE8" s="133"/>
      <c r="QF8" s="133"/>
      <c r="QG8" s="191">
        <f>IFERROR((((COUNTIF('Elève (4ème2)'!QC8:QF8,"A"))*4)+((COUNTIF('Elève (4ème2)'!QC8:QF8,"B"))*3)+((COUNTIF('Elève (4ème2)'!QC8:QF8,"C"))*2)+((COUNTIF('Elève (4ème2)'!QC8:QF8,"D"))*1))/(COUNTA(QC8:QF8)),"")</f>
        <v>2</v>
      </c>
      <c r="QH8" s="192" t="str">
        <f t="shared" si="93"/>
        <v>C</v>
      </c>
      <c r="QI8" s="134"/>
      <c r="QJ8" s="132"/>
      <c r="QK8" s="133"/>
      <c r="QL8" s="136"/>
      <c r="QM8" s="191" t="str">
        <f>IFERROR((((COUNTIF('Elève (4ème2)'!QI8:QL8,"A"))*4)+((COUNTIF('Elève (4ème2)'!QI8:QL8,"B"))*3)+((COUNTIF('Elève (4ème2)'!QI8:QL8,"C"))*2)+((COUNTIF('Elève (4ème2)'!QI8:QL8,"D"))*1))/(COUNTA(QI8:QL8)),"")</f>
        <v/>
      </c>
      <c r="QN8" s="192" t="str">
        <f t="shared" si="94"/>
        <v/>
      </c>
      <c r="QO8" s="191">
        <f>IF(COUNT(QA8,QG8,QM8)=0,"",SUM(QA8,QG8,QM8)/COUNT(QA8,QG8,QM8))</f>
        <v>2.166666666666667</v>
      </c>
      <c r="QP8" s="215" t="str">
        <f t="shared" si="95"/>
        <v>C</v>
      </c>
      <c r="QQ8" s="127" t="s">
        <v>31</v>
      </c>
      <c r="QR8" s="128" t="s">
        <v>30</v>
      </c>
      <c r="QS8" s="129" t="s">
        <v>31</v>
      </c>
      <c r="QT8" s="191">
        <f>IFERROR((((COUNTIF('Elève (4ème2)'!QQ8:QS8,"A"))*4)+((COUNTIF('Elève (4ème2)'!QQ8:QS8,"B"))*3)+((COUNTIF('Elève (4ème2)'!QQ8:QS8,"C"))*2)+((COUNTIF('Elève (4ème2)'!QQ8:QS8,"D"))*1))/(COUNTA(QQ8:QS8)),"")</f>
        <v>2.3333333333333335</v>
      </c>
      <c r="QU8" s="192" t="str">
        <f t="shared" si="96"/>
        <v>C</v>
      </c>
      <c r="QV8" s="127" t="s">
        <v>31</v>
      </c>
      <c r="QW8" s="128" t="s">
        <v>30</v>
      </c>
      <c r="QX8" s="133"/>
      <c r="QY8" s="133"/>
      <c r="QZ8" s="191">
        <f>IFERROR((((COUNTIF('Elève (4ème2)'!QV8:QY8,"A"))*4)+((COUNTIF('Elève (4ème2)'!QV8:QY8,"B"))*3)+((COUNTIF('Elève (4ème2)'!QV8:QY8,"C"))*2)+((COUNTIF('Elève (4ème2)'!QV8:QY8,"D"))*1))/(COUNTA(QV8:QY8)),"")</f>
        <v>2.5</v>
      </c>
      <c r="RA8" s="192" t="str">
        <f t="shared" si="97"/>
        <v>C</v>
      </c>
      <c r="RB8" s="134"/>
      <c r="RC8" s="132"/>
      <c r="RD8" s="133"/>
      <c r="RE8" s="136"/>
      <c r="RF8" s="191" t="str">
        <f>IFERROR((((COUNTIF('Elève (4ème2)'!RB8:RE8,"A"))*4)+((COUNTIF('Elève (4ème2)'!RB8:RE8,"B"))*3)+((COUNTIF('Elève (4ème2)'!RB8:RE8,"C"))*2)+((COUNTIF('Elève (4ème2)'!RB8:RE8,"D"))*1))/(COUNTA(RB8:RE8)),"")</f>
        <v/>
      </c>
      <c r="RG8" s="192" t="str">
        <f t="shared" si="98"/>
        <v/>
      </c>
      <c r="RH8" s="191">
        <f>IF(COUNT(QT8,QZ8,RF8)=0,"",SUM(QT8,QZ8,RF8)/COUNT(QT8,QZ8,RF8))</f>
        <v>2.416666666666667</v>
      </c>
      <c r="RI8" s="215" t="str">
        <f t="shared" si="99"/>
        <v>C</v>
      </c>
      <c r="RJ8" s="127" t="s">
        <v>31</v>
      </c>
      <c r="RK8" s="128" t="s">
        <v>30</v>
      </c>
      <c r="RL8" s="129" t="s">
        <v>31</v>
      </c>
      <c r="RM8" s="191">
        <f>IFERROR((((COUNTIF('Elève (4ème2)'!RJ8:RL8,"A"))*4)+((COUNTIF('Elève (4ème2)'!RJ8:RL8,"B"))*3)+((COUNTIF('Elève (4ème2)'!RJ8:RL8,"C"))*2)+((COUNTIF('Elève (4ème2)'!RJ8:RL8,"D"))*1))/(COUNTA(RJ8:RL8)),"")</f>
        <v>2.3333333333333335</v>
      </c>
      <c r="RN8" s="192" t="str">
        <f t="shared" si="100"/>
        <v>C</v>
      </c>
      <c r="RO8" s="127" t="s">
        <v>31</v>
      </c>
      <c r="RP8" s="128" t="s">
        <v>30</v>
      </c>
      <c r="RQ8" s="133"/>
      <c r="RR8" s="133"/>
      <c r="RS8" s="191">
        <f>IFERROR((((COUNTIF('Elève (4ème2)'!RO8:RR8,"A"))*4)+((COUNTIF('Elève (4ème2)'!RO8:RR8,"B"))*3)+((COUNTIF('Elève (4ème2)'!RO8:RR8,"C"))*2)+((COUNTIF('Elève (4ème2)'!RO8:RR8,"D"))*1))/(COUNTA(RO8:RR8)),"")</f>
        <v>2.5</v>
      </c>
      <c r="RT8" s="192" t="str">
        <f t="shared" si="101"/>
        <v>C</v>
      </c>
      <c r="RU8" s="134"/>
      <c r="RV8" s="132"/>
      <c r="RW8" s="133"/>
      <c r="RX8" s="136"/>
      <c r="RY8" s="191" t="str">
        <f>IFERROR((((COUNTIF('Elève (4ème2)'!RU8:RX8,"A"))*4)+((COUNTIF('Elève (4ème2)'!RU8:RX8,"B"))*3)+((COUNTIF('Elève (4ème2)'!RU8:RX8,"C"))*2)+((COUNTIF('Elève (4ème2)'!RU8:RX8,"D"))*1))/(COUNTA(RU8:RX8)),"")</f>
        <v/>
      </c>
      <c r="RZ8" s="192" t="str">
        <f t="shared" si="102"/>
        <v/>
      </c>
      <c r="SA8" s="191">
        <f>IF(COUNT(RM8,RS8,RY8)=0,"",SUM(RM8,RS8,RY8)/COUNT(RM8,RS8,RY8))</f>
        <v>2.416666666666667</v>
      </c>
      <c r="SB8" s="215" t="str">
        <f t="shared" si="103"/>
        <v>C</v>
      </c>
      <c r="SC8" s="127" t="s">
        <v>32</v>
      </c>
      <c r="SD8" s="128" t="s">
        <v>29</v>
      </c>
      <c r="SE8" s="129" t="s">
        <v>30</v>
      </c>
      <c r="SF8" s="191">
        <f>IFERROR((((COUNTIF('Elève (4ème2)'!SC8:SE8,"A"))*4)+((COUNTIF('Elève (4ème2)'!SC8:SE8,"B"))*3)+((COUNTIF('Elève (4ème2)'!SC8:SE8,"C"))*2)+((COUNTIF('Elève (4ème2)'!SC8:SE8,"D"))*1))/(COUNTA(SC8:SE8)),"")</f>
        <v>2.6666666666666665</v>
      </c>
      <c r="SG8" s="192" t="str">
        <f t="shared" si="104"/>
        <v>C</v>
      </c>
      <c r="SH8" s="127" t="s">
        <v>31</v>
      </c>
      <c r="SI8" s="128" t="s">
        <v>29</v>
      </c>
      <c r="SJ8" s="133"/>
      <c r="SK8" s="133"/>
      <c r="SL8" s="191">
        <f>IFERROR((((COUNTIF('Elève (4ème2)'!SH8:SK8,"A"))*4)+((COUNTIF('Elève (4ème2)'!SH8:SK8,"B"))*3)+((COUNTIF('Elève (4ème2)'!SH8:SK8,"C"))*2)+((COUNTIF('Elève (4ème2)'!SH8:SK8,"D"))*1))/(COUNTA(SH8:SK8)),"")</f>
        <v>3</v>
      </c>
      <c r="SM8" s="192" t="str">
        <f t="shared" si="105"/>
        <v>B</v>
      </c>
      <c r="SN8" s="134"/>
      <c r="SO8" s="132"/>
      <c r="SP8" s="133"/>
      <c r="SQ8" s="136"/>
      <c r="SR8" s="191" t="str">
        <f>IFERROR((((COUNTIF('Elève (4ème2)'!SN8:SQ8,"A"))*4)+((COUNTIF('Elève (4ème2)'!SN8:SQ8,"B"))*3)+((COUNTIF('Elève (4ème2)'!SN8:SQ8,"C"))*2)+((COUNTIF('Elève (4ème2)'!SN8:SQ8,"D"))*1))/(COUNTA(SN8:SQ8)),"")</f>
        <v/>
      </c>
      <c r="SS8" s="192" t="str">
        <f t="shared" si="106"/>
        <v/>
      </c>
      <c r="ST8" s="191">
        <f>IF(COUNT(SF8,SL8,SR8)=0,"",SUM(SF8,SL8,SR8)/COUNT(SF8,SL8,SR8))</f>
        <v>2.833333333333333</v>
      </c>
      <c r="SU8" s="215" t="str">
        <f t="shared" si="107"/>
        <v>B</v>
      </c>
      <c r="SV8" s="134"/>
      <c r="SW8" s="132"/>
      <c r="SX8" s="133"/>
      <c r="SY8" s="130" t="str">
        <f>IFERROR((((COUNTIF('Elève (4ème2)'!SV8:SX8,"A"))*4)+((COUNTIF('Elève (4ème2)'!SV8:SX8,"B"))*3)+((COUNTIF('Elève (4ème2)'!SV8:SX8,"C"))*2)+((COUNTIF('Elève (4ème2)'!SV8:SX8,"D"))*1))/(COUNTA(SV8:SX8)),"")</f>
        <v/>
      </c>
      <c r="SZ8" s="131" t="str">
        <f t="shared" si="108"/>
        <v/>
      </c>
      <c r="TA8" s="134"/>
      <c r="TB8" s="132"/>
      <c r="TC8" s="133"/>
      <c r="TD8" s="130" t="str">
        <f>IFERROR((((COUNTIF('Elève (4ème2)'!TA8:TC8,"A"))*4)+((COUNTIF('Elève (4ème2)'!TA8:TC8,"B"))*3)+((COUNTIF('Elève (4ème2)'!TA8:TC8,"C"))*2)+((COUNTIF('Elève (4ème2)'!TA8:TC8,"D"))*1))/(COUNTA(TA8:TC8)),"")</f>
        <v/>
      </c>
      <c r="TE8" s="131" t="str">
        <f t="shared" si="109"/>
        <v/>
      </c>
      <c r="TF8" s="134"/>
      <c r="TG8" s="132"/>
      <c r="TH8" s="136"/>
      <c r="TI8" s="130" t="str">
        <f>IFERROR((((COUNTIF('Elève (4ème2)'!TF8:TH8,"A"))*4)+((COUNTIF('Elève (4ème2)'!TF8:TH8,"B"))*3)+((COUNTIF('Elève (4ème2)'!TF8:TH8,"C"))*2)+((COUNTIF('Elève (4ème2)'!TF8:TH8,"D"))*1))/(COUNTA(TF8:TH8)),"")</f>
        <v/>
      </c>
      <c r="TJ8" s="131" t="str">
        <f t="shared" si="110"/>
        <v/>
      </c>
      <c r="TK8" s="130" t="str">
        <f>IF(COUNT(SY8,TD8,TI8)=0,"",SUM(SY8,TD8,TI8)/COUNT(SY8,TD8,TI8))</f>
        <v/>
      </c>
      <c r="TL8" s="135" t="str">
        <f t="shared" si="111"/>
        <v/>
      </c>
      <c r="TM8" s="134"/>
      <c r="TN8" s="132"/>
      <c r="TO8" s="133"/>
      <c r="TP8" s="130" t="str">
        <f>IFERROR((((COUNTIF('Elève (4ème2)'!TM8:TO8,"A"))*4)+((COUNTIF('Elève (4ème2)'!TM8:TO8,"B"))*3)+((COUNTIF('Elève (4ème2)'!TM8:TO8,"C"))*2)+((COUNTIF('Elève (4ème2)'!TM8:TO8,"D"))*1))/(COUNTA(TM8:TO8)),"")</f>
        <v/>
      </c>
      <c r="TQ8" s="131" t="str">
        <f t="shared" si="112"/>
        <v/>
      </c>
      <c r="TR8" s="134"/>
      <c r="TS8" s="132"/>
      <c r="TT8" s="133"/>
      <c r="TU8" s="130" t="str">
        <f>IFERROR((((COUNTIF('Elève (4ème2)'!TR8:TT8,"A"))*4)+((COUNTIF('Elève (4ème2)'!TR8:TT8,"B"))*3)+((COUNTIF('Elève (4ème2)'!TR8:TT8,"C"))*2)+((COUNTIF('Elève (4ème2)'!TR8:TT8,"D"))*1))/(COUNTA(TR8:TT8)),"")</f>
        <v/>
      </c>
      <c r="TV8" s="131" t="str">
        <f t="shared" si="113"/>
        <v/>
      </c>
      <c r="TW8" s="134"/>
      <c r="TX8" s="132"/>
      <c r="TY8" s="136"/>
      <c r="TZ8" s="130" t="str">
        <f>IFERROR((((COUNTIF('Elève (4ème2)'!TW8:TY8,"A"))*4)+((COUNTIF('Elève (4ème2)'!TW8:TY8,"B"))*3)+((COUNTIF('Elève (4ème2)'!TW8:TY8,"C"))*2)+((COUNTIF('Elève (4ème2)'!TW8:TY8,"D"))*1))/(COUNTA(TW8:TY8)),"")</f>
        <v/>
      </c>
      <c r="UA8" s="131" t="str">
        <f t="shared" si="114"/>
        <v/>
      </c>
      <c r="UB8" s="130" t="str">
        <f>IF(COUNT(TP8,TU8,TZ8)=0,"",SUM(TP8,TU8,TZ8)/COUNT(TP8,TU8,TZ8))</f>
        <v/>
      </c>
      <c r="UC8" s="135" t="str">
        <f t="shared" si="115"/>
        <v/>
      </c>
      <c r="UD8" s="134"/>
      <c r="UE8" s="132"/>
      <c r="UF8" s="133"/>
      <c r="UG8" s="130" t="str">
        <f>IFERROR((((COUNTIF('Elève (4ème2)'!UD8:UF8,"A"))*4)+((COUNTIF('Elève (4ème2)'!UD8:UF8,"B"))*3)+((COUNTIF('Elève (4ème2)'!UD8:UF8,"C"))*2)+((COUNTIF('Elève (4ème2)'!UD8:UF8,"D"))*1))/(COUNTA(UD8:UF8)),"")</f>
        <v/>
      </c>
      <c r="UH8" s="131" t="str">
        <f t="shared" si="116"/>
        <v/>
      </c>
      <c r="UI8" s="134"/>
      <c r="UJ8" s="132"/>
      <c r="UK8" s="133"/>
      <c r="UL8" s="130" t="str">
        <f>IFERROR((((COUNTIF('Elève (4ème2)'!UI8:UK8,"A"))*4)+((COUNTIF('Elève (4ème2)'!UI8:UK8,"B"))*3)+((COUNTIF('Elève (4ème2)'!UI8:UK8,"C"))*2)+((COUNTIF('Elève (4ème2)'!UI8:UK8,"D"))*1))/(COUNTA(UI8:UK8)),"")</f>
        <v/>
      </c>
      <c r="UM8" s="131" t="str">
        <f t="shared" si="117"/>
        <v/>
      </c>
      <c r="UN8" s="134"/>
      <c r="UO8" s="132"/>
      <c r="UP8" s="136"/>
      <c r="UQ8" s="130" t="str">
        <f>IFERROR((((COUNTIF('Elève (4ème2)'!UN8:UP8,"A"))*4)+((COUNTIF('Elève (4ème2)'!UN8:UP8,"B"))*3)+((COUNTIF('Elève (4ème2)'!UN8:UP8,"C"))*2)+((COUNTIF('Elève (4ème2)'!UN8:UP8,"D"))*1))/(COUNTA(UN8:UP8)),"")</f>
        <v/>
      </c>
      <c r="UR8" s="131" t="str">
        <f t="shared" si="118"/>
        <v/>
      </c>
      <c r="US8" s="130" t="str">
        <f>IF(COUNT(UG8,UL8,UQ8)=0,"",SUM(UG8,UL8,UQ8)/COUNT(UG8,UL8,UQ8))</f>
        <v/>
      </c>
      <c r="UT8" s="135" t="str">
        <f t="shared" si="119"/>
        <v/>
      </c>
    </row>
    <row r="9" spans="1:566" ht="18" customHeight="1" thickBot="1" x14ac:dyDescent="0.3">
      <c r="A9" s="254" t="s">
        <v>16</v>
      </c>
      <c r="B9" s="255"/>
      <c r="C9" s="137"/>
      <c r="D9" s="138"/>
      <c r="E9" s="139"/>
      <c r="F9" s="193" t="str">
        <f>IFERROR((((COUNTIF('Elève (4ème2)'!C9:E9,"A"))*4)+((COUNTIF('Elève (4ème2)'!C9:E9,"B"))*3)+((COUNTIF('Elève (4ème2)'!C9:E9,"C"))*2)+((COUNTIF('Elève (4ème2)'!C9:E9,"D"))*1))/(COUNTA(C9:E9)),"")</f>
        <v/>
      </c>
      <c r="G9" s="194" t="str">
        <f t="shared" si="0"/>
        <v/>
      </c>
      <c r="H9" s="137"/>
      <c r="I9" s="138"/>
      <c r="J9" s="139"/>
      <c r="K9" s="139"/>
      <c r="L9" s="193" t="str">
        <f>IFERROR((((COUNTIF('Elève (4ème2)'!H9:K9,"A"))*4)+((COUNTIF('Elève (4ème2)'!H9:K9,"B"))*3)+((COUNTIF('Elève (4ème2)'!H9:K9,"C"))*2)+((COUNTIF('Elève (4ème2)'!H9:K9,"D"))*1))/(COUNTA(H9:K9)),"")</f>
        <v/>
      </c>
      <c r="M9" s="194" t="str">
        <f t="shared" si="1"/>
        <v/>
      </c>
      <c r="N9" s="137"/>
      <c r="O9" s="138"/>
      <c r="P9" s="139"/>
      <c r="Q9" s="139"/>
      <c r="R9" s="193" t="str">
        <f>IFERROR((((COUNTIF('Elève (4ème2)'!N9:Q9,"A"))*4)+((COUNTIF('Elève (4ème2)'!N9:Q9,"B"))*3)+((COUNTIF('Elève (4ème2)'!N9:Q9,"C"))*2)+((COUNTIF('Elève (4ème2)'!N9:Q9,"D"))*1))/(COUNTA(N9:Q9)),"")</f>
        <v/>
      </c>
      <c r="S9" s="194" t="str">
        <f t="shared" si="2"/>
        <v/>
      </c>
      <c r="T9" s="193" t="str">
        <f>IF(COUNT(F9,L9,R9)=0,"",SUM(F9,L9,R9)/COUNT(F9,L9,R9))</f>
        <v/>
      </c>
      <c r="U9" s="216" t="str">
        <f t="shared" si="3"/>
        <v/>
      </c>
      <c r="V9" s="137"/>
      <c r="W9" s="138"/>
      <c r="X9" s="139"/>
      <c r="Y9" s="193" t="str">
        <f>IFERROR((((COUNTIF('Elève (4ème2)'!V9:X9,"A"))*4)+((COUNTIF('Elève (4ème2)'!V9:X9,"B"))*3)+((COUNTIF('Elève (4ème2)'!V9:X9,"C"))*2)+((COUNTIF('Elève (4ème2)'!V9:X9,"D"))*1))/(COUNTA(V9:X9)),"")</f>
        <v/>
      </c>
      <c r="Z9" s="194" t="str">
        <f t="shared" si="4"/>
        <v/>
      </c>
      <c r="AA9" s="137"/>
      <c r="AB9" s="138"/>
      <c r="AC9" s="139"/>
      <c r="AD9" s="139"/>
      <c r="AE9" s="193" t="str">
        <f>IFERROR((((COUNTIF('Elève (4ème2)'!AA9:AD9,"A"))*4)+((COUNTIF('Elève (4ème2)'!AA9:AD9,"B"))*3)+((COUNTIF('Elève (4ème2)'!AA9:AD9,"C"))*2)+((COUNTIF('Elève (4ème2)'!AA9:AD9,"D"))*1))/(COUNTA(AA9:AD9)),"")</f>
        <v/>
      </c>
      <c r="AF9" s="194" t="str">
        <f t="shared" si="5"/>
        <v/>
      </c>
      <c r="AG9" s="137"/>
      <c r="AH9" s="138"/>
      <c r="AI9" s="139"/>
      <c r="AJ9" s="143"/>
      <c r="AK9" s="193" t="str">
        <f>IFERROR((((COUNTIF('Elève (4ème2)'!AG9:AJ9,"A"))*4)+((COUNTIF('Elève (4ème2)'!AG9:AJ9,"B"))*3)+((COUNTIF('Elève (4ème2)'!AG9:AJ9,"C"))*2)+((COUNTIF('Elève (4ème2)'!AG9:AJ9,"D"))*1))/(COUNTA(AG9:AJ9)),"")</f>
        <v/>
      </c>
      <c r="AL9" s="194" t="str">
        <f t="shared" si="6"/>
        <v/>
      </c>
      <c r="AM9" s="193" t="str">
        <f>IF(COUNT(Y9,AE9,AK9)=0,"",SUM(Y9,AE9,AK9)/COUNT(Y9,AE9,AK9))</f>
        <v/>
      </c>
      <c r="AN9" s="216" t="str">
        <f t="shared" si="7"/>
        <v/>
      </c>
      <c r="AO9" s="137"/>
      <c r="AP9" s="138"/>
      <c r="AQ9" s="139"/>
      <c r="AR9" s="193" t="str">
        <f>IFERROR((((COUNTIF('Elève (4ème2)'!AO9:AQ9,"A"))*4)+((COUNTIF('Elève (4ème2)'!AO9:AQ9,"B"))*3)+((COUNTIF('Elève (4ème2)'!AO9:AQ9,"C"))*2)+((COUNTIF('Elève (4ème2)'!AO9:AQ9,"D"))*1))/(COUNTA(AO9:AQ9)),"")</f>
        <v/>
      </c>
      <c r="AS9" s="194" t="str">
        <f t="shared" si="8"/>
        <v/>
      </c>
      <c r="AT9" s="137"/>
      <c r="AU9" s="138"/>
      <c r="AV9" s="139"/>
      <c r="AW9" s="139"/>
      <c r="AX9" s="193" t="str">
        <f>IFERROR((((COUNTIF('Elève (4ème2)'!AT9:AW9,"A"))*4)+((COUNTIF('Elève (4ème2)'!AT9:AW9,"B"))*3)+((COUNTIF('Elève (4ème2)'!AT9:AW9,"C"))*2)+((COUNTIF('Elève (4ème2)'!AT9:AW9,"D"))*1))/(COUNTA(AT9:AW9)),"")</f>
        <v/>
      </c>
      <c r="AY9" s="194" t="str">
        <f t="shared" si="9"/>
        <v/>
      </c>
      <c r="AZ9" s="137"/>
      <c r="BA9" s="138"/>
      <c r="BB9" s="139"/>
      <c r="BC9" s="143"/>
      <c r="BD9" s="193" t="str">
        <f>IFERROR((((COUNTIF('Elève (4ème2)'!AZ9:BC9,"A"))*4)+((COUNTIF('Elève (4ème2)'!AZ9:BC9,"B"))*3)+((COUNTIF('Elève (4ème2)'!AZ9:BC9,"C"))*2)+((COUNTIF('Elève (4ème2)'!AZ9:BC9,"D"))*1))/(COUNTA(AZ9:BC9)),"")</f>
        <v/>
      </c>
      <c r="BE9" s="194" t="str">
        <f t="shared" si="10"/>
        <v/>
      </c>
      <c r="BF9" s="193" t="str">
        <f>IF(COUNT(AR9,AX9,BD9)=0,"",SUM(AR9,AX9,BD9)/COUNT(AR9,AX9,BD9))</f>
        <v/>
      </c>
      <c r="BG9" s="216" t="str">
        <f t="shared" si="11"/>
        <v/>
      </c>
      <c r="BH9" s="137"/>
      <c r="BI9" s="138"/>
      <c r="BJ9" s="139"/>
      <c r="BK9" s="193" t="str">
        <f>IFERROR((((COUNTIF('Elève (4ème2)'!BH9:BJ9,"A"))*4)+((COUNTIF('Elève (4ème2)'!BH9:BJ9,"B"))*3)+((COUNTIF('Elève (4ème2)'!BH9:BJ9,"C"))*2)+((COUNTIF('Elève (4ème2)'!BH9:BJ9,"D"))*1))/(COUNTA(BH9:BJ9)),"")</f>
        <v/>
      </c>
      <c r="BL9" s="194" t="str">
        <f t="shared" si="12"/>
        <v/>
      </c>
      <c r="BM9" s="137"/>
      <c r="BN9" s="138"/>
      <c r="BO9" s="139"/>
      <c r="BP9" s="139"/>
      <c r="BQ9" s="193" t="str">
        <f>IFERROR((((COUNTIF('Elève (4ème2)'!BM9:BP9,"A"))*4)+((COUNTIF('Elève (4ème2)'!BM9:BP9,"B"))*3)+((COUNTIF('Elève (4ème2)'!BM9:BP9,"C"))*2)+((COUNTIF('Elève (4ème2)'!BM9:BP9,"D"))*1))/(COUNTA(BM9:BP9)),"")</f>
        <v/>
      </c>
      <c r="BR9" s="194" t="str">
        <f t="shared" si="13"/>
        <v/>
      </c>
      <c r="BS9" s="137"/>
      <c r="BT9" s="138"/>
      <c r="BU9" s="139"/>
      <c r="BV9" s="143"/>
      <c r="BW9" s="193" t="str">
        <f>IFERROR((((COUNTIF('Elève (4ème2)'!BS9:BV9,"A"))*4)+((COUNTIF('Elève (4ème2)'!BS9:BV9,"B"))*3)+((COUNTIF('Elève (4ème2)'!BS9:BV9,"C"))*2)+((COUNTIF('Elève (4ème2)'!BS9:BV9,"D"))*1))/(COUNTA(BS9:BV9)),"")</f>
        <v/>
      </c>
      <c r="BX9" s="194" t="str">
        <f t="shared" si="14"/>
        <v/>
      </c>
      <c r="BY9" s="193" t="str">
        <f>IF(COUNT(BK9,BQ9,BW9)=0,"",SUM(BK9,BQ9,BW9)/COUNT(BK9,BQ9,BW9))</f>
        <v/>
      </c>
      <c r="BZ9" s="216" t="str">
        <f t="shared" si="15"/>
        <v/>
      </c>
      <c r="CA9" s="137"/>
      <c r="CB9" s="138"/>
      <c r="CC9" s="139"/>
      <c r="CD9" s="193" t="str">
        <f>IFERROR((((COUNTIF('Elève (4ème2)'!CA9:CC9,"A"))*4)+((COUNTIF('Elève (4ème2)'!CA9:CC9,"B"))*3)+((COUNTIF('Elève (4ème2)'!CA9:CC9,"C"))*2)+((COUNTIF('Elève (4ème2)'!CA9:CC9,"D"))*1))/(COUNTA(CA9:CC9)),"")</f>
        <v/>
      </c>
      <c r="CE9" s="194" t="str">
        <f t="shared" si="16"/>
        <v/>
      </c>
      <c r="CF9" s="137"/>
      <c r="CG9" s="138"/>
      <c r="CH9" s="139"/>
      <c r="CI9" s="139"/>
      <c r="CJ9" s="193" t="str">
        <f>IFERROR((((COUNTIF('Elève (4ème2)'!CF9:CI9,"A"))*4)+((COUNTIF('Elève (4ème2)'!CF9:CI9,"B"))*3)+((COUNTIF('Elève (4ème2)'!CF9:CI9,"C"))*2)+((COUNTIF('Elève (4ème2)'!CF9:CI9,"D"))*1))/(COUNTA(CF9:CI9)),"")</f>
        <v/>
      </c>
      <c r="CK9" s="194" t="str">
        <f t="shared" si="17"/>
        <v/>
      </c>
      <c r="CL9" s="137"/>
      <c r="CM9" s="138"/>
      <c r="CN9" s="139"/>
      <c r="CO9" s="143"/>
      <c r="CP9" s="193" t="str">
        <f>IFERROR((((COUNTIF('Elève (4ème2)'!CL9:CO9,"A"))*4)+((COUNTIF('Elève (4ème2)'!CL9:CO9,"B"))*3)+((COUNTIF('Elève (4ème2)'!CL9:CO9,"C"))*2)+((COUNTIF('Elève (4ème2)'!CL9:CO9,"D"))*1))/(COUNTA(CL9:CO9)),"")</f>
        <v/>
      </c>
      <c r="CQ9" s="194" t="str">
        <f t="shared" si="18"/>
        <v/>
      </c>
      <c r="CR9" s="193" t="str">
        <f>IF(COUNT(CD9,CJ9,CP9)=0,"",SUM(CD9,CJ9,CP9)/COUNT(CD9,CJ9,CP9))</f>
        <v/>
      </c>
      <c r="CS9" s="216" t="str">
        <f t="shared" si="19"/>
        <v/>
      </c>
      <c r="CT9" s="137"/>
      <c r="CU9" s="138"/>
      <c r="CV9" s="139"/>
      <c r="CW9" s="193" t="str">
        <f>IFERROR((((COUNTIF('Elève (4ème2)'!CT9:CV9,"A"))*4)+((COUNTIF('Elève (4ème2)'!CT9:CV9,"B"))*3)+((COUNTIF('Elève (4ème2)'!CT9:CV9,"C"))*2)+((COUNTIF('Elève (4ème2)'!CT9:CV9,"D"))*1))/(COUNTA(CT9:CV9)),"")</f>
        <v/>
      </c>
      <c r="CX9" s="194" t="str">
        <f t="shared" si="20"/>
        <v/>
      </c>
      <c r="CY9" s="137"/>
      <c r="CZ9" s="138"/>
      <c r="DA9" s="139"/>
      <c r="DB9" s="139"/>
      <c r="DC9" s="193" t="str">
        <f>IFERROR((((COUNTIF('Elève (4ème2)'!CY9:DB9,"A"))*4)+((COUNTIF('Elève (4ème2)'!CY9:DB9,"B"))*3)+((COUNTIF('Elève (4ème2)'!CY9:DB9,"C"))*2)+((COUNTIF('Elève (4ème2)'!CY9:DB9,"D"))*1))/(COUNTA(CY9:DB9)),"")</f>
        <v/>
      </c>
      <c r="DD9" s="194" t="str">
        <f t="shared" si="21"/>
        <v/>
      </c>
      <c r="DE9" s="137"/>
      <c r="DF9" s="138"/>
      <c r="DG9" s="139"/>
      <c r="DH9" s="143"/>
      <c r="DI9" s="193" t="str">
        <f>IFERROR((((COUNTIF('Elève (4ème2)'!DE9:DH9,"A"))*4)+((COUNTIF('Elève (4ème2)'!DE9:DH9,"B"))*3)+((COUNTIF('Elève (4ème2)'!DE9:DH9,"C"))*2)+((COUNTIF('Elève (4ème2)'!DE9:DH9,"D"))*1))/(COUNTA(DE9:DH9)),"")</f>
        <v/>
      </c>
      <c r="DJ9" s="194" t="str">
        <f t="shared" si="22"/>
        <v/>
      </c>
      <c r="DK9" s="193" t="str">
        <f>IF(COUNT(CW9,DC9,DI9)=0,"",SUM(CW9,DC9,DI9)/COUNT(CW9,DC9,DI9))</f>
        <v/>
      </c>
      <c r="DL9" s="216" t="str">
        <f t="shared" si="23"/>
        <v/>
      </c>
      <c r="DM9" s="137"/>
      <c r="DN9" s="138"/>
      <c r="DO9" s="139"/>
      <c r="DP9" s="193" t="str">
        <f>IFERROR((((COUNTIF('Elève (4ème2)'!DM9:DO9,"A"))*4)+((COUNTIF('Elève (4ème2)'!DM9:DO9,"B"))*3)+((COUNTIF('Elève (4ème2)'!DM9:DO9,"C"))*2)+((COUNTIF('Elève (4ème2)'!DM9:DO9,"D"))*1))/(COUNTA(DM9:DO9)),"")</f>
        <v/>
      </c>
      <c r="DQ9" s="194" t="str">
        <f t="shared" si="24"/>
        <v/>
      </c>
      <c r="DR9" s="137"/>
      <c r="DS9" s="138"/>
      <c r="DT9" s="139"/>
      <c r="DU9" s="139"/>
      <c r="DV9" s="193" t="str">
        <f>IFERROR((((COUNTIF('Elève (4ème2)'!DR9:DU9,"A"))*4)+((COUNTIF('Elève (4ème2)'!DR9:DU9,"B"))*3)+((COUNTIF('Elève (4ème2)'!DR9:DU9,"C"))*2)+((COUNTIF('Elève (4ème2)'!DR9:DU9,"D"))*1))/(COUNTA(DR9:DU9)),"")</f>
        <v/>
      </c>
      <c r="DW9" s="194" t="str">
        <f t="shared" si="25"/>
        <v/>
      </c>
      <c r="DX9" s="137"/>
      <c r="DY9" s="138"/>
      <c r="DZ9" s="139"/>
      <c r="EA9" s="143"/>
      <c r="EB9" s="193" t="str">
        <f>IFERROR((((COUNTIF('Elève (4ème2)'!DX9:EA9,"A"))*4)+((COUNTIF('Elève (4ème2)'!DX9:EA9,"B"))*3)+((COUNTIF('Elève (4ème2)'!DX9:EA9,"C"))*2)+((COUNTIF('Elève (4ème2)'!DX9:EA9,"D"))*1))/(COUNTA(DX9:EA9)),"")</f>
        <v/>
      </c>
      <c r="EC9" s="194" t="str">
        <f t="shared" si="26"/>
        <v/>
      </c>
      <c r="ED9" s="193" t="str">
        <f>IF(COUNT(DP9,DV9,EB9)=0,"",SUM(DP9,DV9,EB9)/COUNT(DP9,DV9,EB9))</f>
        <v/>
      </c>
      <c r="EE9" s="216" t="str">
        <f t="shared" si="27"/>
        <v/>
      </c>
      <c r="EF9" s="137"/>
      <c r="EG9" s="138"/>
      <c r="EH9" s="139"/>
      <c r="EI9" s="193" t="str">
        <f>IFERROR((((COUNTIF('Elève (4ème2)'!EF9:EH9,"A"))*4)+((COUNTIF('Elève (4ème2)'!EF9:EH9,"B"))*3)+((COUNTIF('Elève (4ème2)'!EF9:EH9,"C"))*2)+((COUNTIF('Elève (4ème2)'!EF9:EH9,"D"))*1))/(COUNTA(EF9:EH9)),"")</f>
        <v/>
      </c>
      <c r="EJ9" s="194" t="str">
        <f t="shared" si="28"/>
        <v/>
      </c>
      <c r="EK9" s="137"/>
      <c r="EL9" s="138"/>
      <c r="EM9" s="139"/>
      <c r="EN9" s="139"/>
      <c r="EO9" s="193" t="str">
        <f>IFERROR((((COUNTIF('Elève (4ème2)'!EK9:EN9,"A"))*4)+((COUNTIF('Elève (4ème2)'!EK9:EN9,"B"))*3)+((COUNTIF('Elève (4ème2)'!EK9:EN9,"C"))*2)+((COUNTIF('Elève (4ème2)'!EK9:EN9,"D"))*1))/(COUNTA(EK9:EN9)),"")</f>
        <v/>
      </c>
      <c r="EP9" s="194" t="str">
        <f t="shared" si="29"/>
        <v/>
      </c>
      <c r="EQ9" s="137"/>
      <c r="ER9" s="138"/>
      <c r="ES9" s="139"/>
      <c r="ET9" s="143"/>
      <c r="EU9" s="193" t="str">
        <f>IFERROR((((COUNTIF('Elève (4ème2)'!EQ9:ET9,"A"))*4)+((COUNTIF('Elève (4ème2)'!EQ9:ET9,"B"))*3)+((COUNTIF('Elève (4ème2)'!EQ9:ET9,"C"))*2)+((COUNTIF('Elève (4ème2)'!EQ9:ET9,"D"))*1))/(COUNTA(EQ9:ET9)),"")</f>
        <v/>
      </c>
      <c r="EV9" s="194" t="str">
        <f t="shared" si="30"/>
        <v/>
      </c>
      <c r="EW9" s="193" t="str">
        <f>IF(COUNT(EI9,EO9,EU9)=0,"",SUM(EI9,EO9,EU9)/COUNT(EI9,EO9,EU9))</f>
        <v/>
      </c>
      <c r="EX9" s="216" t="str">
        <f t="shared" si="31"/>
        <v/>
      </c>
      <c r="EY9" s="137"/>
      <c r="EZ9" s="138"/>
      <c r="FA9" s="139"/>
      <c r="FB9" s="193" t="str">
        <f>IFERROR((((COUNTIF('Elève (4ème2)'!EY9:FA9,"A"))*4)+((COUNTIF('Elève (4ème2)'!EY9:FA9,"B"))*3)+((COUNTIF('Elève (4ème2)'!EY9:FA9,"C"))*2)+((COUNTIF('Elève (4ème2)'!EY9:FA9,"D"))*1))/(COUNTA(EY9:FA9)),"")</f>
        <v/>
      </c>
      <c r="FC9" s="194" t="str">
        <f t="shared" si="32"/>
        <v/>
      </c>
      <c r="FD9" s="137"/>
      <c r="FE9" s="138"/>
      <c r="FF9" s="139"/>
      <c r="FG9" s="139"/>
      <c r="FH9" s="193" t="str">
        <f>IFERROR((((COUNTIF('Elève (4ème2)'!FD9:FG9,"A"))*4)+((COUNTIF('Elève (4ème2)'!FD9:FG9,"B"))*3)+((COUNTIF('Elève (4ème2)'!FD9:FG9,"C"))*2)+((COUNTIF('Elève (4ème2)'!FD9:FG9,"D"))*1))/(COUNTA(FD9:FG9)),"")</f>
        <v/>
      </c>
      <c r="FI9" s="194" t="str">
        <f t="shared" si="33"/>
        <v/>
      </c>
      <c r="FJ9" s="137"/>
      <c r="FK9" s="138"/>
      <c r="FL9" s="139"/>
      <c r="FM9" s="143"/>
      <c r="FN9" s="193" t="str">
        <f>IFERROR((((COUNTIF('Elève (4ème2)'!FJ9:FM9,"A"))*4)+((COUNTIF('Elève (4ème2)'!FJ9:FM9,"B"))*3)+((COUNTIF('Elève (4ème2)'!FJ9:FM9,"C"))*2)+((COUNTIF('Elève (4ème2)'!FJ9:FM9,"D"))*1))/(COUNTA(FJ9:FM9)),"")</f>
        <v/>
      </c>
      <c r="FO9" s="194" t="str">
        <f t="shared" si="34"/>
        <v/>
      </c>
      <c r="FP9" s="193" t="str">
        <f>IF(COUNT(FB9,FH9,FN9)=0,"",SUM(FB9,FH9,FN9)/COUNT(FB9,FH9,FN9))</f>
        <v/>
      </c>
      <c r="FQ9" s="216" t="str">
        <f t="shared" si="35"/>
        <v/>
      </c>
      <c r="FR9" s="137"/>
      <c r="FS9" s="138"/>
      <c r="FT9" s="139"/>
      <c r="FU9" s="193" t="str">
        <f>IFERROR((((COUNTIF('Elève (4ème2)'!FR9:FT9,"A"))*4)+((COUNTIF('Elève (4ème2)'!FR9:FT9,"B"))*3)+((COUNTIF('Elève (4ème2)'!FR9:FT9,"C"))*2)+((COUNTIF('Elève (4ème2)'!FR9:FT9,"D"))*1))/(COUNTA(FR9:FT9)),"")</f>
        <v/>
      </c>
      <c r="FV9" s="194" t="str">
        <f t="shared" si="36"/>
        <v/>
      </c>
      <c r="FW9" s="137"/>
      <c r="FX9" s="138"/>
      <c r="FY9" s="139"/>
      <c r="FZ9" s="139"/>
      <c r="GA9" s="193" t="str">
        <f>IFERROR((((COUNTIF('Elève (4ème2)'!FW9:FZ9,"A"))*4)+((COUNTIF('Elève (4ème2)'!FW9:FZ9,"B"))*3)+((COUNTIF('Elève (4ème2)'!FW9:FZ9,"C"))*2)+((COUNTIF('Elève (4ème2)'!FW9:FZ9,"D"))*1))/(COUNTA(FW9:FZ9)),"")</f>
        <v/>
      </c>
      <c r="GB9" s="194" t="str">
        <f t="shared" si="37"/>
        <v/>
      </c>
      <c r="GC9" s="137"/>
      <c r="GD9" s="138"/>
      <c r="GE9" s="139"/>
      <c r="GF9" s="143"/>
      <c r="GG9" s="193" t="str">
        <f>IFERROR((((COUNTIF('Elève (4ème2)'!GC9:GF9,"A"))*4)+((COUNTIF('Elève (4ème2)'!GC9:GF9,"B"))*3)+((COUNTIF('Elève (4ème2)'!GC9:GF9,"C"))*2)+((COUNTIF('Elève (4ème2)'!GC9:GF9,"D"))*1))/(COUNTA(GC9:GF9)),"")</f>
        <v/>
      </c>
      <c r="GH9" s="194" t="str">
        <f t="shared" si="38"/>
        <v/>
      </c>
      <c r="GI9" s="193" t="str">
        <f>IF(COUNT(FU9,GA9,GG9)=0,"",SUM(FU9,GA9,GG9)/COUNT(FU9,GA9,GG9))</f>
        <v/>
      </c>
      <c r="GJ9" s="216" t="str">
        <f t="shared" si="39"/>
        <v/>
      </c>
      <c r="GK9" s="137"/>
      <c r="GL9" s="138"/>
      <c r="GM9" s="139"/>
      <c r="GN9" s="193" t="str">
        <f>IFERROR((((COUNTIF('Elève (4ème2)'!GK9:GM9,"A"))*4)+((COUNTIF('Elève (4ème2)'!GK9:GM9,"B"))*3)+((COUNTIF('Elève (4ème2)'!GK9:GM9,"C"))*2)+((COUNTIF('Elève (4ème2)'!GK9:GM9,"D"))*1))/(COUNTA(GK9:GM9)),"")</f>
        <v/>
      </c>
      <c r="GO9" s="194" t="str">
        <f t="shared" si="40"/>
        <v/>
      </c>
      <c r="GP9" s="137"/>
      <c r="GQ9" s="138"/>
      <c r="GR9" s="139"/>
      <c r="GS9" s="139"/>
      <c r="GT9" s="193" t="str">
        <f>IFERROR((((COUNTIF('Elève (4ème2)'!GP9:GS9,"A"))*4)+((COUNTIF('Elève (4ème2)'!GP9:GS9,"B"))*3)+((COUNTIF('Elève (4ème2)'!GP9:GS9,"C"))*2)+((COUNTIF('Elève (4ème2)'!GP9:GS9,"D"))*1))/(COUNTA(GP9:GS9)),"")</f>
        <v/>
      </c>
      <c r="GU9" s="194" t="str">
        <f t="shared" si="41"/>
        <v/>
      </c>
      <c r="GV9" s="137"/>
      <c r="GW9" s="138"/>
      <c r="GX9" s="139"/>
      <c r="GY9" s="143"/>
      <c r="GZ9" s="193" t="str">
        <f>IFERROR((((COUNTIF('Elève (4ème2)'!GV9:GY9,"A"))*4)+((COUNTIF('Elève (4ème2)'!GV9:GY9,"B"))*3)+((COUNTIF('Elève (4ème2)'!GV9:GY9,"C"))*2)+((COUNTIF('Elève (4ème2)'!GV9:GY9,"D"))*1))/(COUNTA(GV9:GY9)),"")</f>
        <v/>
      </c>
      <c r="HA9" s="194" t="str">
        <f t="shared" si="42"/>
        <v/>
      </c>
      <c r="HB9" s="193" t="str">
        <f>IF(COUNT(GN9,GT9,GZ9)=0,"",SUM(GN9,GT9,GZ9)/COUNT(GN9,GT9,GZ9))</f>
        <v/>
      </c>
      <c r="HC9" s="216" t="str">
        <f t="shared" si="43"/>
        <v/>
      </c>
      <c r="HD9" s="137"/>
      <c r="HE9" s="138"/>
      <c r="HF9" s="139"/>
      <c r="HG9" s="193" t="str">
        <f>IFERROR((((COUNTIF('Elève (4ème2)'!HD9:HF9,"A"))*4)+((COUNTIF('Elève (4ème2)'!HD9:HF9,"B"))*3)+((COUNTIF('Elève (4ème2)'!HD9:HF9,"C"))*2)+((COUNTIF('Elève (4ème2)'!HD9:HF9,"D"))*1))/(COUNTA(HD9:HF9)),"")</f>
        <v/>
      </c>
      <c r="HH9" s="194" t="str">
        <f t="shared" si="44"/>
        <v/>
      </c>
      <c r="HI9" s="137"/>
      <c r="HJ9" s="138"/>
      <c r="HK9" s="139"/>
      <c r="HL9" s="139"/>
      <c r="HM9" s="193" t="str">
        <f>IFERROR((((COUNTIF('Elève (4ème2)'!HI9:HL9,"A"))*4)+((COUNTIF('Elève (4ème2)'!HI9:HL9,"B"))*3)+((COUNTIF('Elève (4ème2)'!HI9:HL9,"C"))*2)+((COUNTIF('Elève (4ème2)'!HI9:HL9,"D"))*1))/(COUNTA(HI9:HL9)),"")</f>
        <v/>
      </c>
      <c r="HN9" s="194" t="str">
        <f t="shared" si="45"/>
        <v/>
      </c>
      <c r="HO9" s="137"/>
      <c r="HP9" s="138"/>
      <c r="HQ9" s="139"/>
      <c r="HR9" s="143"/>
      <c r="HS9" s="193" t="str">
        <f>IFERROR((((COUNTIF('Elève (4ème2)'!HO9:HR9,"A"))*4)+((COUNTIF('Elève (4ème2)'!HO9:HR9,"B"))*3)+((COUNTIF('Elève (4ème2)'!HO9:HR9,"C"))*2)+((COUNTIF('Elève (4ème2)'!HO9:HR9,"D"))*1))/(COUNTA(HO9:HR9)),"")</f>
        <v/>
      </c>
      <c r="HT9" s="194" t="str">
        <f t="shared" si="46"/>
        <v/>
      </c>
      <c r="HU9" s="193" t="str">
        <f>IF(COUNT(HG9,HM9,HS9)=0,"",SUM(HG9,HM9,HS9)/COUNT(HG9,HM9,HS9))</f>
        <v/>
      </c>
      <c r="HV9" s="216" t="str">
        <f t="shared" si="47"/>
        <v/>
      </c>
      <c r="HW9" s="137"/>
      <c r="HX9" s="138"/>
      <c r="HY9" s="139"/>
      <c r="HZ9" s="193" t="str">
        <f>IFERROR((((COUNTIF('Elève (4ème2)'!HW9:HY9,"A"))*4)+((COUNTIF('Elève (4ème2)'!HW9:HY9,"B"))*3)+((COUNTIF('Elève (4ème2)'!HW9:HY9,"C"))*2)+((COUNTIF('Elève (4ème2)'!HW9:HY9,"D"))*1))/(COUNTA(HW9:HY9)),"")</f>
        <v/>
      </c>
      <c r="IA9" s="194" t="str">
        <f t="shared" si="48"/>
        <v/>
      </c>
      <c r="IB9" s="137"/>
      <c r="IC9" s="138"/>
      <c r="ID9" s="139"/>
      <c r="IE9" s="139"/>
      <c r="IF9" s="193" t="str">
        <f>IFERROR((((COUNTIF('Elève (4ème2)'!IB9:IE9,"A"))*4)+((COUNTIF('Elève (4ème2)'!IB9:IE9,"B"))*3)+((COUNTIF('Elève (4ème2)'!IB9:IE9,"C"))*2)+((COUNTIF('Elève (4ème2)'!IB9:IE9,"D"))*1))/(COUNTA(IB9:IE9)),"")</f>
        <v/>
      </c>
      <c r="IG9" s="194" t="str">
        <f t="shared" si="49"/>
        <v/>
      </c>
      <c r="IH9" s="137"/>
      <c r="II9" s="138"/>
      <c r="IJ9" s="139"/>
      <c r="IK9" s="143"/>
      <c r="IL9" s="193" t="str">
        <f>IFERROR((((COUNTIF('Elève (4ème2)'!IH9:IK9,"A"))*4)+((COUNTIF('Elève (4ème2)'!IH9:IK9,"B"))*3)+((COUNTIF('Elève (4ème2)'!IH9:IK9,"C"))*2)+((COUNTIF('Elève (4ème2)'!IH9:IK9,"D"))*1))/(COUNTA(IH9:IK9)),"")</f>
        <v/>
      </c>
      <c r="IM9" s="194" t="str">
        <f t="shared" si="50"/>
        <v/>
      </c>
      <c r="IN9" s="193" t="str">
        <f>IF(COUNT(HZ9,IF9,IL9)=0,"",SUM(HZ9,IF9,IL9)/COUNT(HZ9,IF9,IL9))</f>
        <v/>
      </c>
      <c r="IO9" s="216" t="str">
        <f t="shared" si="51"/>
        <v/>
      </c>
      <c r="IP9" s="137"/>
      <c r="IQ9" s="138"/>
      <c r="IR9" s="139"/>
      <c r="IS9" s="193" t="str">
        <f>IFERROR((((COUNTIF('Elève (4ème2)'!IP9:IR9,"A"))*4)+((COUNTIF('Elève (4ème2)'!IP9:IR9,"B"))*3)+((COUNTIF('Elève (4ème2)'!IP9:IR9,"C"))*2)+((COUNTIF('Elève (4ème2)'!IP9:IR9,"D"))*1))/(COUNTA(IP9:IR9)),"")</f>
        <v/>
      </c>
      <c r="IT9" s="194" t="str">
        <f t="shared" si="52"/>
        <v/>
      </c>
      <c r="IU9" s="137"/>
      <c r="IV9" s="138"/>
      <c r="IW9" s="139"/>
      <c r="IX9" s="139"/>
      <c r="IY9" s="193" t="str">
        <f>IFERROR((((COUNTIF('Elève (4ème2)'!IU9:IX9,"A"))*4)+((COUNTIF('Elève (4ème2)'!IU9:IX9,"B"))*3)+((COUNTIF('Elève (4ème2)'!IU9:IX9,"C"))*2)+((COUNTIF('Elève (4ème2)'!IU9:IX9,"D"))*1))/(COUNTA(IU9:IX9)),"")</f>
        <v/>
      </c>
      <c r="IZ9" s="194" t="str">
        <f t="shared" si="53"/>
        <v/>
      </c>
      <c r="JA9" s="137"/>
      <c r="JB9" s="138"/>
      <c r="JC9" s="139"/>
      <c r="JD9" s="143"/>
      <c r="JE9" s="193" t="str">
        <f>IFERROR((((COUNTIF('Elève (4ème2)'!JA9:JD9,"A"))*4)+((COUNTIF('Elève (4ème2)'!JA9:JD9,"B"))*3)+((COUNTIF('Elève (4ème2)'!JA9:JD9,"C"))*2)+((COUNTIF('Elève (4ème2)'!JA9:JD9,"D"))*1))/(COUNTA(JA9:JD9)),"")</f>
        <v/>
      </c>
      <c r="JF9" s="194" t="str">
        <f t="shared" si="54"/>
        <v/>
      </c>
      <c r="JG9" s="193" t="str">
        <f>IF(COUNT(IS9,IY9,JE9)=0,"",SUM(IS9,IY9,JE9)/COUNT(IS9,IY9,JE9))</f>
        <v/>
      </c>
      <c r="JH9" s="216" t="str">
        <f t="shared" si="55"/>
        <v/>
      </c>
      <c r="JI9" s="137"/>
      <c r="JJ9" s="138"/>
      <c r="JK9" s="139"/>
      <c r="JL9" s="193" t="str">
        <f>IFERROR((((COUNTIF('Elève (4ème2)'!JI9:JK9,"A"))*4)+((COUNTIF('Elève (4ème2)'!JI9:JK9,"B"))*3)+((COUNTIF('Elève (4ème2)'!JI9:JK9,"C"))*2)+((COUNTIF('Elève (4ème2)'!JI9:JK9,"D"))*1))/(COUNTA(JI9:JK9)),"")</f>
        <v/>
      </c>
      <c r="JM9" s="194" t="str">
        <f t="shared" si="56"/>
        <v/>
      </c>
      <c r="JN9" s="137"/>
      <c r="JO9" s="138"/>
      <c r="JP9" s="139"/>
      <c r="JQ9" s="139"/>
      <c r="JR9" s="193" t="str">
        <f>IFERROR((((COUNTIF('Elève (4ème2)'!JN9:JQ9,"A"))*4)+((COUNTIF('Elève (4ème2)'!JN9:JQ9,"B"))*3)+((COUNTIF('Elève (4ème2)'!JN9:JQ9,"C"))*2)+((COUNTIF('Elève (4ème2)'!JN9:JQ9,"D"))*1))/(COUNTA(JN9:JQ9)),"")</f>
        <v/>
      </c>
      <c r="JS9" s="194" t="str">
        <f t="shared" si="57"/>
        <v/>
      </c>
      <c r="JT9" s="137"/>
      <c r="JU9" s="138"/>
      <c r="JV9" s="139"/>
      <c r="JW9" s="143"/>
      <c r="JX9" s="193" t="str">
        <f>IFERROR((((COUNTIF('Elève (4ème2)'!JT9:JW9,"A"))*4)+((COUNTIF('Elève (4ème2)'!JT9:JW9,"B"))*3)+((COUNTIF('Elève (4ème2)'!JT9:JW9,"C"))*2)+((COUNTIF('Elève (4ème2)'!JT9:JW9,"D"))*1))/(COUNTA(JT9:JW9)),"")</f>
        <v/>
      </c>
      <c r="JY9" s="194" t="str">
        <f t="shared" si="58"/>
        <v/>
      </c>
      <c r="JZ9" s="193" t="str">
        <f>IF(COUNT(JL9,JR9,JX9)=0,"",SUM(JL9,JR9,JX9)/COUNT(JL9,JR9,JX9))</f>
        <v/>
      </c>
      <c r="KA9" s="216" t="str">
        <f t="shared" si="59"/>
        <v/>
      </c>
      <c r="KB9" s="137"/>
      <c r="KC9" s="138"/>
      <c r="KD9" s="139"/>
      <c r="KE9" s="193" t="str">
        <f>IFERROR((((COUNTIF('Elève (4ème2)'!KB9:KD9,"A"))*4)+((COUNTIF('Elève (4ème2)'!KB9:KD9,"B"))*3)+((COUNTIF('Elève (4ème2)'!KB9:KD9,"C"))*2)+((COUNTIF('Elève (4ème2)'!KB9:KD9,"D"))*1))/(COUNTA(KB9:KD9)),"")</f>
        <v/>
      </c>
      <c r="KF9" s="194" t="str">
        <f t="shared" si="60"/>
        <v/>
      </c>
      <c r="KG9" s="137"/>
      <c r="KH9" s="138"/>
      <c r="KI9" s="139"/>
      <c r="KJ9" s="139"/>
      <c r="KK9" s="193" t="str">
        <f>IFERROR((((COUNTIF('Elève (4ème2)'!KG9:KJ9,"A"))*4)+((COUNTIF('Elève (4ème2)'!KG9:KJ9,"B"))*3)+((COUNTIF('Elève (4ème2)'!KG9:KJ9,"C"))*2)+((COUNTIF('Elève (4ème2)'!KG9:KJ9,"D"))*1))/(COUNTA(KG9:KJ9)),"")</f>
        <v/>
      </c>
      <c r="KL9" s="194" t="str">
        <f t="shared" si="61"/>
        <v/>
      </c>
      <c r="KM9" s="137"/>
      <c r="KN9" s="138"/>
      <c r="KO9" s="139"/>
      <c r="KP9" s="143"/>
      <c r="KQ9" s="193" t="str">
        <f>IFERROR((((COUNTIF('Elève (4ème2)'!KM9:KP9,"A"))*4)+((COUNTIF('Elève (4ème2)'!KM9:KP9,"B"))*3)+((COUNTIF('Elève (4ème2)'!KM9:KP9,"C"))*2)+((COUNTIF('Elève (4ème2)'!KM9:KP9,"D"))*1))/(COUNTA(KM9:KP9)),"")</f>
        <v/>
      </c>
      <c r="KR9" s="194" t="str">
        <f t="shared" si="62"/>
        <v/>
      </c>
      <c r="KS9" s="193" t="str">
        <f>IF(COUNT(KE9,KK9,KQ9)=0,"",SUM(KE9,KK9,KQ9)/COUNT(KE9,KK9,KQ9))</f>
        <v/>
      </c>
      <c r="KT9" s="216" t="str">
        <f t="shared" si="63"/>
        <v/>
      </c>
      <c r="KU9" s="137"/>
      <c r="KV9" s="138"/>
      <c r="KW9" s="139"/>
      <c r="KX9" s="193" t="str">
        <f>IFERROR((((COUNTIF('Elève (4ème2)'!KU9:KW9,"A"))*4)+((COUNTIF('Elève (4ème2)'!KU9:KW9,"B"))*3)+((COUNTIF('Elève (4ème2)'!KU9:KW9,"C"))*2)+((COUNTIF('Elève (4ème2)'!KU9:KW9,"D"))*1))/(COUNTA(KU9:KW9)),"")</f>
        <v/>
      </c>
      <c r="KY9" s="194" t="str">
        <f t="shared" si="64"/>
        <v/>
      </c>
      <c r="KZ9" s="137"/>
      <c r="LA9" s="138"/>
      <c r="LB9" s="139"/>
      <c r="LC9" s="139"/>
      <c r="LD9" s="193" t="str">
        <f>IFERROR((((COUNTIF('Elève (4ème2)'!KZ9:LC9,"A"))*4)+((COUNTIF('Elève (4ème2)'!KZ9:LC9,"B"))*3)+((COUNTIF('Elève (4ème2)'!KZ9:LC9,"C"))*2)+((COUNTIF('Elève (4ème2)'!KZ9:LC9,"D"))*1))/(COUNTA(KZ9:LC9)),"")</f>
        <v/>
      </c>
      <c r="LE9" s="194" t="str">
        <f t="shared" si="65"/>
        <v/>
      </c>
      <c r="LF9" s="137"/>
      <c r="LG9" s="138"/>
      <c r="LH9" s="139"/>
      <c r="LI9" s="143"/>
      <c r="LJ9" s="193" t="str">
        <f>IFERROR((((COUNTIF('Elève (4ème2)'!LF9:LI9,"A"))*4)+((COUNTIF('Elève (4ème2)'!LF9:LI9,"B"))*3)+((COUNTIF('Elève (4ème2)'!LF9:LI9,"C"))*2)+((COUNTIF('Elève (4ème2)'!LF9:LI9,"D"))*1))/(COUNTA(LF9:LI9)),"")</f>
        <v/>
      </c>
      <c r="LK9" s="194" t="str">
        <f t="shared" si="66"/>
        <v/>
      </c>
      <c r="LL9" s="193" t="str">
        <f>IF(COUNT(KX9,LD9,LJ9)=0,"",SUM(KX9,LD9,LJ9)/COUNT(KX9,LD9,LJ9))</f>
        <v/>
      </c>
      <c r="LM9" s="216" t="str">
        <f t="shared" si="67"/>
        <v/>
      </c>
      <c r="LN9" s="137"/>
      <c r="LO9" s="138"/>
      <c r="LP9" s="139"/>
      <c r="LQ9" s="193" t="str">
        <f>IFERROR((((COUNTIF('Elève (4ème2)'!LN9:LP9,"A"))*4)+((COUNTIF('Elève (4ème2)'!LN9:LP9,"B"))*3)+((COUNTIF('Elève (4ème2)'!LN9:LP9,"C"))*2)+((COUNTIF('Elève (4ème2)'!LN9:LP9,"D"))*1))/(COUNTA(LN9:LP9)),"")</f>
        <v/>
      </c>
      <c r="LR9" s="194" t="str">
        <f t="shared" si="68"/>
        <v/>
      </c>
      <c r="LS9" s="137"/>
      <c r="LT9" s="138"/>
      <c r="LU9" s="139"/>
      <c r="LV9" s="139"/>
      <c r="LW9" s="193" t="str">
        <f>IFERROR((((COUNTIF('Elève (4ème2)'!LS9:LV9,"A"))*4)+((COUNTIF('Elève (4ème2)'!LS9:LV9,"B"))*3)+((COUNTIF('Elève (4ème2)'!LS9:LV9,"C"))*2)+((COUNTIF('Elève (4ème2)'!LS9:LV9,"D"))*1))/(COUNTA(LS9:LV9)),"")</f>
        <v/>
      </c>
      <c r="LX9" s="194" t="str">
        <f t="shared" si="69"/>
        <v/>
      </c>
      <c r="LY9" s="137"/>
      <c r="LZ9" s="138"/>
      <c r="MA9" s="139"/>
      <c r="MB9" s="143"/>
      <c r="MC9" s="193" t="str">
        <f>IFERROR((((COUNTIF('Elève (4ème2)'!LY9:MB9,"A"))*4)+((COUNTIF('Elève (4ème2)'!LY9:MB9,"B"))*3)+((COUNTIF('Elève (4ème2)'!LY9:MB9,"C"))*2)+((COUNTIF('Elève (4ème2)'!LY9:MB9,"D"))*1))/(COUNTA(LY9:MB9)),"")</f>
        <v/>
      </c>
      <c r="MD9" s="194" t="str">
        <f t="shared" si="70"/>
        <v/>
      </c>
      <c r="ME9" s="193" t="str">
        <f>IF(COUNT(LQ9,LW9,MC9)=0,"",SUM(LQ9,LW9,MC9)/COUNT(LQ9,LW9,MC9))</f>
        <v/>
      </c>
      <c r="MF9" s="216" t="str">
        <f t="shared" si="71"/>
        <v/>
      </c>
      <c r="MG9" s="137"/>
      <c r="MH9" s="138"/>
      <c r="MI9" s="139"/>
      <c r="MJ9" s="193" t="str">
        <f>IFERROR((((COUNTIF('Elève (4ème2)'!MG9:MI9,"A"))*4)+((COUNTIF('Elève (4ème2)'!MG9:MI9,"B"))*3)+((COUNTIF('Elève (4ème2)'!MG9:MI9,"C"))*2)+((COUNTIF('Elève (4ème2)'!MG9:MI9,"D"))*1))/(COUNTA(MG9:MI9)),"")</f>
        <v/>
      </c>
      <c r="MK9" s="194" t="str">
        <f t="shared" si="72"/>
        <v/>
      </c>
      <c r="ML9" s="137"/>
      <c r="MM9" s="138"/>
      <c r="MN9" s="139"/>
      <c r="MO9" s="139"/>
      <c r="MP9" s="193" t="str">
        <f>IFERROR((((COUNTIF('Elève (4ème2)'!ML9:MO9,"A"))*4)+((COUNTIF('Elève (4ème2)'!ML9:MO9,"B"))*3)+((COUNTIF('Elève (4ème2)'!ML9:MO9,"C"))*2)+((COUNTIF('Elève (4ème2)'!ML9:MO9,"D"))*1))/(COUNTA(ML9:MO9)),"")</f>
        <v/>
      </c>
      <c r="MQ9" s="194" t="str">
        <f t="shared" si="73"/>
        <v/>
      </c>
      <c r="MR9" s="137"/>
      <c r="MS9" s="138"/>
      <c r="MT9" s="139"/>
      <c r="MU9" s="143"/>
      <c r="MV9" s="193" t="str">
        <f>IFERROR((((COUNTIF('Elève (4ème2)'!MR9:MU9,"A"))*4)+((COUNTIF('Elève (4ème2)'!MR9:MU9,"B"))*3)+((COUNTIF('Elève (4ème2)'!MR9:MU9,"C"))*2)+((COUNTIF('Elève (4ème2)'!MR9:MU9,"D"))*1))/(COUNTA(MR9:MU9)),"")</f>
        <v/>
      </c>
      <c r="MW9" s="194" t="str">
        <f t="shared" si="74"/>
        <v/>
      </c>
      <c r="MX9" s="193" t="str">
        <f>IF(COUNT(MJ9,MP9,MV9)=0,"",SUM(MJ9,MP9,MV9)/COUNT(MJ9,MP9,MV9))</f>
        <v/>
      </c>
      <c r="MY9" s="216" t="str">
        <f t="shared" si="75"/>
        <v/>
      </c>
      <c r="MZ9" s="137"/>
      <c r="NA9" s="138"/>
      <c r="NB9" s="139"/>
      <c r="NC9" s="193" t="str">
        <f>IFERROR((((COUNTIF('Elève (4ème2)'!MZ9:NB9,"A"))*4)+((COUNTIF('Elève (4ème2)'!MZ9:NB9,"B"))*3)+((COUNTIF('Elève (4ème2)'!MZ9:NB9,"C"))*2)+((COUNTIF('Elève (4ème2)'!MZ9:NB9,"D"))*1))/(COUNTA(MZ9:NB9)),"")</f>
        <v/>
      </c>
      <c r="ND9" s="194" t="str">
        <f t="shared" si="76"/>
        <v/>
      </c>
      <c r="NE9" s="137"/>
      <c r="NF9" s="138"/>
      <c r="NG9" s="139"/>
      <c r="NH9" s="139"/>
      <c r="NI9" s="193" t="str">
        <f>IFERROR((((COUNTIF('Elève (4ème2)'!NE9:NH9,"A"))*4)+((COUNTIF('Elève (4ème2)'!NE9:NH9,"B"))*3)+((COUNTIF('Elève (4ème2)'!NE9:NH9,"C"))*2)+((COUNTIF('Elève (4ème2)'!NE9:NH9,"D"))*1))/(COUNTA(NE9:NH9)),"")</f>
        <v/>
      </c>
      <c r="NJ9" s="194" t="str">
        <f t="shared" si="77"/>
        <v/>
      </c>
      <c r="NK9" s="137"/>
      <c r="NL9" s="138"/>
      <c r="NM9" s="139"/>
      <c r="NN9" s="143"/>
      <c r="NO9" s="193" t="str">
        <f>IFERROR((((COUNTIF('Elève (4ème2)'!NK9:NN9,"A"))*4)+((COUNTIF('Elève (4ème2)'!NK9:NN9,"B"))*3)+((COUNTIF('Elève (4ème2)'!NK9:NN9,"C"))*2)+((COUNTIF('Elève (4ème2)'!NK9:NN9,"D"))*1))/(COUNTA(NK9:NN9)),"")</f>
        <v/>
      </c>
      <c r="NP9" s="194" t="str">
        <f t="shared" si="78"/>
        <v/>
      </c>
      <c r="NQ9" s="193" t="str">
        <f>IF(COUNT(NC9,NI9,NO9)=0,"",SUM(NC9,NI9,NO9)/COUNT(NC9,NI9,NO9))</f>
        <v/>
      </c>
      <c r="NR9" s="216" t="str">
        <f t="shared" si="79"/>
        <v/>
      </c>
      <c r="NS9" s="137"/>
      <c r="NT9" s="138"/>
      <c r="NU9" s="139"/>
      <c r="NV9" s="193" t="str">
        <f>IFERROR((((COUNTIF('Elève (4ème2)'!NS9:NU9,"A"))*4)+((COUNTIF('Elève (4ème2)'!NS9:NU9,"B"))*3)+((COUNTIF('Elève (4ème2)'!NS9:NU9,"C"))*2)+((COUNTIF('Elève (4ème2)'!NS9:NU9,"D"))*1))/(COUNTA(NS9:NU9)),"")</f>
        <v/>
      </c>
      <c r="NW9" s="194" t="str">
        <f t="shared" si="80"/>
        <v/>
      </c>
      <c r="NX9" s="137"/>
      <c r="NY9" s="138"/>
      <c r="NZ9" s="139"/>
      <c r="OA9" s="139"/>
      <c r="OB9" s="193" t="str">
        <f>IFERROR((((COUNTIF('Elève (4ème2)'!NX9:OA9,"A"))*4)+((COUNTIF('Elève (4ème2)'!NX9:OA9,"B"))*3)+((COUNTIF('Elève (4ème2)'!NX9:OA9,"C"))*2)+((COUNTIF('Elève (4ème2)'!NX9:OA9,"D"))*1))/(COUNTA(NX9:OA9)),"")</f>
        <v/>
      </c>
      <c r="OC9" s="194" t="str">
        <f t="shared" si="81"/>
        <v/>
      </c>
      <c r="OD9" s="137"/>
      <c r="OE9" s="138"/>
      <c r="OF9" s="139"/>
      <c r="OG9" s="143"/>
      <c r="OH9" s="193" t="str">
        <f>IFERROR((((COUNTIF('Elève (4ème2)'!OD9:OG9,"A"))*4)+((COUNTIF('Elève (4ème2)'!OD9:OG9,"B"))*3)+((COUNTIF('Elève (4ème2)'!OD9:OG9,"C"))*2)+((COUNTIF('Elève (4ème2)'!OD9:OG9,"D"))*1))/(COUNTA(OD9:OG9)),"")</f>
        <v/>
      </c>
      <c r="OI9" s="194" t="str">
        <f t="shared" si="82"/>
        <v/>
      </c>
      <c r="OJ9" s="193" t="str">
        <f>IF(COUNT(NV9,OB9,OH9)=0,"",SUM(NV9,OB9,OH9)/COUNT(NV9,OB9,OH9))</f>
        <v/>
      </c>
      <c r="OK9" s="216" t="str">
        <f t="shared" si="83"/>
        <v/>
      </c>
      <c r="OL9" s="137"/>
      <c r="OM9" s="138"/>
      <c r="ON9" s="139"/>
      <c r="OO9" s="193" t="str">
        <f>IFERROR((((COUNTIF('Elève (4ème2)'!OL9:ON9,"A"))*4)+((COUNTIF('Elève (4ème2)'!OL9:ON9,"B"))*3)+((COUNTIF('Elève (4ème2)'!OL9:ON9,"C"))*2)+((COUNTIF('Elève (4ème2)'!OL9:ON9,"D"))*1))/(COUNTA(OL9:ON9)),"")</f>
        <v/>
      </c>
      <c r="OP9" s="194" t="str">
        <f t="shared" si="84"/>
        <v/>
      </c>
      <c r="OQ9" s="137"/>
      <c r="OR9" s="138"/>
      <c r="OS9" s="139"/>
      <c r="OT9" s="139"/>
      <c r="OU9" s="193" t="str">
        <f>IFERROR((((COUNTIF('Elève (4ème2)'!OQ9:OT9,"A"))*4)+((COUNTIF('Elève (4ème2)'!OQ9:OT9,"B"))*3)+((COUNTIF('Elève (4ème2)'!OQ9:OT9,"C"))*2)+((COUNTIF('Elève (4ème2)'!OQ9:OT9,"D"))*1))/(COUNTA(OQ9:OT9)),"")</f>
        <v/>
      </c>
      <c r="OV9" s="194" t="str">
        <f t="shared" si="85"/>
        <v/>
      </c>
      <c r="OW9" s="137"/>
      <c r="OX9" s="138"/>
      <c r="OY9" s="139"/>
      <c r="OZ9" s="143"/>
      <c r="PA9" s="193" t="str">
        <f>IFERROR((((COUNTIF('Elève (4ème2)'!OW9:OZ9,"A"))*4)+((COUNTIF('Elève (4ème2)'!OW9:OZ9,"B"))*3)+((COUNTIF('Elève (4ème2)'!OW9:OZ9,"C"))*2)+((COUNTIF('Elève (4ème2)'!OW9:OZ9,"D"))*1))/(COUNTA(OW9:OZ9)),"")</f>
        <v/>
      </c>
      <c r="PB9" s="194" t="str">
        <f t="shared" si="86"/>
        <v/>
      </c>
      <c r="PC9" s="193" t="str">
        <f>IF(COUNT(OO9,OU9,PA9)=0,"",SUM(OO9,OU9,PA9)/COUNT(OO9,OU9,PA9))</f>
        <v/>
      </c>
      <c r="PD9" s="216" t="str">
        <f t="shared" si="87"/>
        <v/>
      </c>
      <c r="PE9" s="137"/>
      <c r="PF9" s="138"/>
      <c r="PG9" s="139"/>
      <c r="PH9" s="193" t="str">
        <f>IFERROR((((COUNTIF('Elève (4ème2)'!PE9:PG9,"A"))*4)+((COUNTIF('Elève (4ème2)'!PE9:PG9,"B"))*3)+((COUNTIF('Elève (4ème2)'!PE9:PG9,"C"))*2)+((COUNTIF('Elève (4ème2)'!PE9:PG9,"D"))*1))/(COUNTA(PE9:PG9)),"")</f>
        <v/>
      </c>
      <c r="PI9" s="194" t="str">
        <f t="shared" si="88"/>
        <v/>
      </c>
      <c r="PJ9" s="137"/>
      <c r="PK9" s="138"/>
      <c r="PL9" s="139"/>
      <c r="PM9" s="139"/>
      <c r="PN9" s="193" t="str">
        <f>IFERROR((((COUNTIF('Elève (4ème2)'!PJ9:PM9,"A"))*4)+((COUNTIF('Elève (4ème2)'!PJ9:PM9,"B"))*3)+((COUNTIF('Elève (4ème2)'!PJ9:PM9,"C"))*2)+((COUNTIF('Elève (4ème2)'!PJ9:PM9,"D"))*1))/(COUNTA(PJ9:PM9)),"")</f>
        <v/>
      </c>
      <c r="PO9" s="194" t="str">
        <f t="shared" si="89"/>
        <v/>
      </c>
      <c r="PP9" s="137"/>
      <c r="PQ9" s="138"/>
      <c r="PR9" s="139"/>
      <c r="PS9" s="143"/>
      <c r="PT9" s="193" t="str">
        <f>IFERROR((((COUNTIF('Elève (4ème2)'!PP9:PS9,"A"))*4)+((COUNTIF('Elève (4ème2)'!PP9:PS9,"B"))*3)+((COUNTIF('Elève (4ème2)'!PP9:PS9,"C"))*2)+((COUNTIF('Elève (4ème2)'!PP9:PS9,"D"))*1))/(COUNTA(PP9:PS9)),"")</f>
        <v/>
      </c>
      <c r="PU9" s="194" t="str">
        <f t="shared" si="90"/>
        <v/>
      </c>
      <c r="PV9" s="193" t="str">
        <f>IF(COUNT(PH9,PN9,PT9)=0,"",SUM(PH9,PN9,PT9)/COUNT(PH9,PN9,PT9))</f>
        <v/>
      </c>
      <c r="PW9" s="216" t="str">
        <f t="shared" si="91"/>
        <v/>
      </c>
      <c r="PX9" s="137"/>
      <c r="PY9" s="138"/>
      <c r="PZ9" s="139"/>
      <c r="QA9" s="193" t="str">
        <f>IFERROR((((COUNTIF('Elève (4ème2)'!PX9:PZ9,"A"))*4)+((COUNTIF('Elève (4ème2)'!PX9:PZ9,"B"))*3)+((COUNTIF('Elève (4ème2)'!PX9:PZ9,"C"))*2)+((COUNTIF('Elève (4ème2)'!PX9:PZ9,"D"))*1))/(COUNTA(PX9:PZ9)),"")</f>
        <v/>
      </c>
      <c r="QB9" s="194" t="str">
        <f t="shared" si="92"/>
        <v/>
      </c>
      <c r="QC9" s="137"/>
      <c r="QD9" s="138"/>
      <c r="QE9" s="139"/>
      <c r="QF9" s="139"/>
      <c r="QG9" s="193" t="str">
        <f>IFERROR((((COUNTIF('Elève (4ème2)'!QC9:QF9,"A"))*4)+((COUNTIF('Elève (4ème2)'!QC9:QF9,"B"))*3)+((COUNTIF('Elève (4ème2)'!QC9:QF9,"C"))*2)+((COUNTIF('Elève (4ème2)'!QC9:QF9,"D"))*1))/(COUNTA(QC9:QF9)),"")</f>
        <v/>
      </c>
      <c r="QH9" s="194" t="str">
        <f t="shared" si="93"/>
        <v/>
      </c>
      <c r="QI9" s="137"/>
      <c r="QJ9" s="138"/>
      <c r="QK9" s="139"/>
      <c r="QL9" s="143"/>
      <c r="QM9" s="193" t="str">
        <f>IFERROR((((COUNTIF('Elève (4ème2)'!QI9:QL9,"A"))*4)+((COUNTIF('Elève (4ème2)'!QI9:QL9,"B"))*3)+((COUNTIF('Elève (4ème2)'!QI9:QL9,"C"))*2)+((COUNTIF('Elève (4ème2)'!QI9:QL9,"D"))*1))/(COUNTA(QI9:QL9)),"")</f>
        <v/>
      </c>
      <c r="QN9" s="194" t="str">
        <f t="shared" si="94"/>
        <v/>
      </c>
      <c r="QO9" s="193" t="str">
        <f>IF(COUNT(QA9,QG9,QM9)=0,"",SUM(QA9,QG9,QM9)/COUNT(QA9,QG9,QM9))</f>
        <v/>
      </c>
      <c r="QP9" s="216" t="str">
        <f t="shared" si="95"/>
        <v/>
      </c>
      <c r="QQ9" s="137"/>
      <c r="QR9" s="138"/>
      <c r="QS9" s="139"/>
      <c r="QT9" s="193" t="str">
        <f>IFERROR((((COUNTIF('Elève (4ème2)'!QQ9:QS9,"A"))*4)+((COUNTIF('Elève (4ème2)'!QQ9:QS9,"B"))*3)+((COUNTIF('Elève (4ème2)'!QQ9:QS9,"C"))*2)+((COUNTIF('Elève (4ème2)'!QQ9:QS9,"D"))*1))/(COUNTA(QQ9:QS9)),"")</f>
        <v/>
      </c>
      <c r="QU9" s="194" t="str">
        <f t="shared" si="96"/>
        <v/>
      </c>
      <c r="QV9" s="137"/>
      <c r="QW9" s="138"/>
      <c r="QX9" s="139"/>
      <c r="QY9" s="139"/>
      <c r="QZ9" s="193" t="str">
        <f>IFERROR((((COUNTIF('Elève (4ème2)'!QV9:QY9,"A"))*4)+((COUNTIF('Elève (4ème2)'!QV9:QY9,"B"))*3)+((COUNTIF('Elève (4ème2)'!QV9:QY9,"C"))*2)+((COUNTIF('Elève (4ème2)'!QV9:QY9,"D"))*1))/(COUNTA(QV9:QY9)),"")</f>
        <v/>
      </c>
      <c r="RA9" s="194" t="str">
        <f t="shared" si="97"/>
        <v/>
      </c>
      <c r="RB9" s="137"/>
      <c r="RC9" s="138"/>
      <c r="RD9" s="139"/>
      <c r="RE9" s="143"/>
      <c r="RF9" s="193" t="str">
        <f>IFERROR((((COUNTIF('Elève (4ème2)'!RB9:RE9,"A"))*4)+((COUNTIF('Elève (4ème2)'!RB9:RE9,"B"))*3)+((COUNTIF('Elève (4ème2)'!RB9:RE9,"C"))*2)+((COUNTIF('Elève (4ème2)'!RB9:RE9,"D"))*1))/(COUNTA(RB9:RE9)),"")</f>
        <v/>
      </c>
      <c r="RG9" s="194" t="str">
        <f t="shared" si="98"/>
        <v/>
      </c>
      <c r="RH9" s="193" t="str">
        <f>IF(COUNT(QT9,QZ9,RF9)=0,"",SUM(QT9,QZ9,RF9)/COUNT(QT9,QZ9,RF9))</f>
        <v/>
      </c>
      <c r="RI9" s="216" t="str">
        <f t="shared" si="99"/>
        <v/>
      </c>
      <c r="RJ9" s="137"/>
      <c r="RK9" s="138"/>
      <c r="RL9" s="139"/>
      <c r="RM9" s="193" t="str">
        <f>IFERROR((((COUNTIF('Elève (4ème2)'!RJ9:RL9,"A"))*4)+((COUNTIF('Elève (4ème2)'!RJ9:RL9,"B"))*3)+((COUNTIF('Elève (4ème2)'!RJ9:RL9,"C"))*2)+((COUNTIF('Elève (4ème2)'!RJ9:RL9,"D"))*1))/(COUNTA(RJ9:RL9)),"")</f>
        <v/>
      </c>
      <c r="RN9" s="194" t="str">
        <f t="shared" si="100"/>
        <v/>
      </c>
      <c r="RO9" s="137"/>
      <c r="RP9" s="138"/>
      <c r="RQ9" s="139"/>
      <c r="RR9" s="139"/>
      <c r="RS9" s="193" t="str">
        <f>IFERROR((((COUNTIF('Elève (4ème2)'!RO9:RR9,"A"))*4)+((COUNTIF('Elève (4ème2)'!RO9:RR9,"B"))*3)+((COUNTIF('Elève (4ème2)'!RO9:RR9,"C"))*2)+((COUNTIF('Elève (4ème2)'!RO9:RR9,"D"))*1))/(COUNTA(RO9:RR9)),"")</f>
        <v/>
      </c>
      <c r="RT9" s="194" t="str">
        <f t="shared" si="101"/>
        <v/>
      </c>
      <c r="RU9" s="137"/>
      <c r="RV9" s="138"/>
      <c r="RW9" s="139"/>
      <c r="RX9" s="143"/>
      <c r="RY9" s="193" t="str">
        <f>IFERROR((((COUNTIF('Elève (4ème2)'!RU9:RX9,"A"))*4)+((COUNTIF('Elève (4ème2)'!RU9:RX9,"B"))*3)+((COUNTIF('Elève (4ème2)'!RU9:RX9,"C"))*2)+((COUNTIF('Elève (4ème2)'!RU9:RX9,"D"))*1))/(COUNTA(RU9:RX9)),"")</f>
        <v/>
      </c>
      <c r="RZ9" s="194" t="str">
        <f t="shared" si="102"/>
        <v/>
      </c>
      <c r="SA9" s="193" t="str">
        <f>IF(COUNT(RM9,RS9,RY9)=0,"",SUM(RM9,RS9,RY9)/COUNT(RM9,RS9,RY9))</f>
        <v/>
      </c>
      <c r="SB9" s="216" t="str">
        <f t="shared" si="103"/>
        <v/>
      </c>
      <c r="SC9" s="137"/>
      <c r="SD9" s="138"/>
      <c r="SE9" s="139"/>
      <c r="SF9" s="193" t="str">
        <f>IFERROR((((COUNTIF('Elève (4ème2)'!SC9:SE9,"A"))*4)+((COUNTIF('Elève (4ème2)'!SC9:SE9,"B"))*3)+((COUNTIF('Elève (4ème2)'!SC9:SE9,"C"))*2)+((COUNTIF('Elève (4ème2)'!SC9:SE9,"D"))*1))/(COUNTA(SC9:SE9)),"")</f>
        <v/>
      </c>
      <c r="SG9" s="194" t="str">
        <f t="shared" si="104"/>
        <v/>
      </c>
      <c r="SH9" s="137"/>
      <c r="SI9" s="138"/>
      <c r="SJ9" s="139"/>
      <c r="SK9" s="139"/>
      <c r="SL9" s="193" t="str">
        <f>IFERROR((((COUNTIF('Elève (4ème2)'!SH9:SK9,"A"))*4)+((COUNTIF('Elève (4ème2)'!SH9:SK9,"B"))*3)+((COUNTIF('Elève (4ème2)'!SH9:SK9,"C"))*2)+((COUNTIF('Elève (4ème2)'!SH9:SK9,"D"))*1))/(COUNTA(SH9:SK9)),"")</f>
        <v/>
      </c>
      <c r="SM9" s="194" t="str">
        <f t="shared" si="105"/>
        <v/>
      </c>
      <c r="SN9" s="137"/>
      <c r="SO9" s="138"/>
      <c r="SP9" s="139"/>
      <c r="SQ9" s="143"/>
      <c r="SR9" s="193" t="str">
        <f>IFERROR((((COUNTIF('Elève (4ème2)'!SN9:SQ9,"A"))*4)+((COUNTIF('Elève (4ème2)'!SN9:SQ9,"B"))*3)+((COUNTIF('Elève (4ème2)'!SN9:SQ9,"C"))*2)+((COUNTIF('Elève (4ème2)'!SN9:SQ9,"D"))*1))/(COUNTA(SN9:SQ9)),"")</f>
        <v/>
      </c>
      <c r="SS9" s="194" t="str">
        <f t="shared" si="106"/>
        <v/>
      </c>
      <c r="ST9" s="193" t="str">
        <f>IF(COUNT(SF9,SL9,SR9)=0,"",SUM(SF9,SL9,SR9)/COUNT(SF9,SL9,SR9))</f>
        <v/>
      </c>
      <c r="SU9" s="216" t="str">
        <f t="shared" si="107"/>
        <v/>
      </c>
      <c r="SV9" s="137"/>
      <c r="SW9" s="138"/>
      <c r="SX9" s="139"/>
      <c r="SY9" s="140" t="str">
        <f>IFERROR((((COUNTIF('Elève (4ème2)'!SV9:SX9,"A"))*4)+((COUNTIF('Elève (4ème2)'!SV9:SX9,"B"))*3)+((COUNTIF('Elève (4ème2)'!SV9:SX9,"C"))*2)+((COUNTIF('Elève (4ème2)'!SV9:SX9,"D"))*1))/(COUNTA(SV9:SX9)),"")</f>
        <v/>
      </c>
      <c r="SZ9" s="141" t="str">
        <f t="shared" si="108"/>
        <v/>
      </c>
      <c r="TA9" s="137"/>
      <c r="TB9" s="138"/>
      <c r="TC9" s="139"/>
      <c r="TD9" s="140" t="str">
        <f>IFERROR((((COUNTIF('Elève (4ème2)'!TA9:TC9,"A"))*4)+((COUNTIF('Elève (4ème2)'!TA9:TC9,"B"))*3)+((COUNTIF('Elève (4ème2)'!TA9:TC9,"C"))*2)+((COUNTIF('Elève (4ème2)'!TA9:TC9,"D"))*1))/(COUNTA(TA9:TC9)),"")</f>
        <v/>
      </c>
      <c r="TE9" s="141" t="str">
        <f t="shared" si="109"/>
        <v/>
      </c>
      <c r="TF9" s="137"/>
      <c r="TG9" s="138"/>
      <c r="TH9" s="143"/>
      <c r="TI9" s="140" t="str">
        <f>IFERROR((((COUNTIF('Elève (4ème2)'!TF9:TH9,"A"))*4)+((COUNTIF('Elève (4ème2)'!TF9:TH9,"B"))*3)+((COUNTIF('Elève (4ème2)'!TF9:TH9,"C"))*2)+((COUNTIF('Elève (4ème2)'!TF9:TH9,"D"))*1))/(COUNTA(TF9:TH9)),"")</f>
        <v/>
      </c>
      <c r="TJ9" s="141" t="str">
        <f t="shared" si="110"/>
        <v/>
      </c>
      <c r="TK9" s="140" t="str">
        <f>IF(COUNT(SY9,TD9,TI9)=0,"",SUM(SY9,TD9,TI9)/COUNT(SY9,TD9,TI9))</f>
        <v/>
      </c>
      <c r="TL9" s="142" t="str">
        <f t="shared" si="111"/>
        <v/>
      </c>
      <c r="TM9" s="137"/>
      <c r="TN9" s="138"/>
      <c r="TO9" s="139"/>
      <c r="TP9" s="140" t="str">
        <f>IFERROR((((COUNTIF('Elève (4ème2)'!TM9:TO9,"A"))*4)+((COUNTIF('Elève (4ème2)'!TM9:TO9,"B"))*3)+((COUNTIF('Elève (4ème2)'!TM9:TO9,"C"))*2)+((COUNTIF('Elève (4ème2)'!TM9:TO9,"D"))*1))/(COUNTA(TM9:TO9)),"")</f>
        <v/>
      </c>
      <c r="TQ9" s="141" t="str">
        <f t="shared" si="112"/>
        <v/>
      </c>
      <c r="TR9" s="137"/>
      <c r="TS9" s="138"/>
      <c r="TT9" s="139"/>
      <c r="TU9" s="140" t="str">
        <f>IFERROR((((COUNTIF('Elève (4ème2)'!TR9:TT9,"A"))*4)+((COUNTIF('Elève (4ème2)'!TR9:TT9,"B"))*3)+((COUNTIF('Elève (4ème2)'!TR9:TT9,"C"))*2)+((COUNTIF('Elève (4ème2)'!TR9:TT9,"D"))*1))/(COUNTA(TR9:TT9)),"")</f>
        <v/>
      </c>
      <c r="TV9" s="141" t="str">
        <f t="shared" si="113"/>
        <v/>
      </c>
      <c r="TW9" s="137"/>
      <c r="TX9" s="138"/>
      <c r="TY9" s="143"/>
      <c r="TZ9" s="140" t="str">
        <f>IFERROR((((COUNTIF('Elève (4ème2)'!TW9:TY9,"A"))*4)+((COUNTIF('Elève (4ème2)'!TW9:TY9,"B"))*3)+((COUNTIF('Elève (4ème2)'!TW9:TY9,"C"))*2)+((COUNTIF('Elève (4ème2)'!TW9:TY9,"D"))*1))/(COUNTA(TW9:TY9)),"")</f>
        <v/>
      </c>
      <c r="UA9" s="141" t="str">
        <f t="shared" si="114"/>
        <v/>
      </c>
      <c r="UB9" s="140" t="str">
        <f>IF(COUNT(TP9,TU9,TZ9)=0,"",SUM(TP9,TU9,TZ9)/COUNT(TP9,TU9,TZ9))</f>
        <v/>
      </c>
      <c r="UC9" s="142" t="str">
        <f t="shared" si="115"/>
        <v/>
      </c>
      <c r="UD9" s="137"/>
      <c r="UE9" s="138"/>
      <c r="UF9" s="139"/>
      <c r="UG9" s="140" t="str">
        <f>IFERROR((((COUNTIF('Elève (4ème2)'!UD9:UF9,"A"))*4)+((COUNTIF('Elève (4ème2)'!UD9:UF9,"B"))*3)+((COUNTIF('Elève (4ème2)'!UD9:UF9,"C"))*2)+((COUNTIF('Elève (4ème2)'!UD9:UF9,"D"))*1))/(COUNTA(UD9:UF9)),"")</f>
        <v/>
      </c>
      <c r="UH9" s="141" t="str">
        <f t="shared" si="116"/>
        <v/>
      </c>
      <c r="UI9" s="137"/>
      <c r="UJ9" s="138"/>
      <c r="UK9" s="139"/>
      <c r="UL9" s="140" t="str">
        <f>IFERROR((((COUNTIF('Elève (4ème2)'!UI9:UK9,"A"))*4)+((COUNTIF('Elève (4ème2)'!UI9:UK9,"B"))*3)+((COUNTIF('Elève (4ème2)'!UI9:UK9,"C"))*2)+((COUNTIF('Elève (4ème2)'!UI9:UK9,"D"))*1))/(COUNTA(UI9:UK9)),"")</f>
        <v/>
      </c>
      <c r="UM9" s="141" t="str">
        <f t="shared" si="117"/>
        <v/>
      </c>
      <c r="UN9" s="137"/>
      <c r="UO9" s="138"/>
      <c r="UP9" s="143"/>
      <c r="UQ9" s="140" t="str">
        <f>IFERROR((((COUNTIF('Elève (4ème2)'!UN9:UP9,"A"))*4)+((COUNTIF('Elève (4ème2)'!UN9:UP9,"B"))*3)+((COUNTIF('Elève (4ème2)'!UN9:UP9,"C"))*2)+((COUNTIF('Elève (4ème2)'!UN9:UP9,"D"))*1))/(COUNTA(UN9:UP9)),"")</f>
        <v/>
      </c>
      <c r="UR9" s="141" t="str">
        <f t="shared" si="118"/>
        <v/>
      </c>
      <c r="US9" s="140" t="str">
        <f>IF(COUNT(UG9,UL9,UQ9)=0,"",SUM(UG9,UL9,UQ9)/COUNT(UG9,UL9,UQ9))</f>
        <v/>
      </c>
      <c r="UT9" s="142" t="str">
        <f t="shared" si="119"/>
        <v/>
      </c>
    </row>
    <row r="10" spans="1:566" s="145" customFormat="1" ht="17.25" customHeight="1" thickBot="1" x14ac:dyDescent="0.3">
      <c r="A10" s="173" t="s">
        <v>17</v>
      </c>
      <c r="B10" s="105">
        <v>1</v>
      </c>
      <c r="C10" s="181"/>
      <c r="D10" s="112"/>
      <c r="E10" s="113"/>
      <c r="F10" s="187">
        <f>IF(COUNT(F11:F12)=0,"",SUM(F11:F12)/COUNT(F11:F12))</f>
        <v>4</v>
      </c>
      <c r="G10" s="188" t="str">
        <f t="shared" si="0"/>
        <v>A</v>
      </c>
      <c r="H10" s="181"/>
      <c r="I10" s="112"/>
      <c r="J10" s="112"/>
      <c r="K10" s="113"/>
      <c r="L10" s="187">
        <f>IF(COUNT(L11,L12)=0,"",SUM(L11:L12)/COUNT(L11,L12))</f>
        <v>3.5</v>
      </c>
      <c r="M10" s="203" t="str">
        <f t="shared" si="1"/>
        <v>B</v>
      </c>
      <c r="N10" s="181"/>
      <c r="O10" s="112"/>
      <c r="P10" s="112"/>
      <c r="Q10" s="113"/>
      <c r="R10" s="187" t="str">
        <f>IF(COUNT(R11,R12)=0,"",SUM(R11:R12)/COUNT(R11,R12))</f>
        <v/>
      </c>
      <c r="S10" s="211" t="str">
        <f t="shared" si="2"/>
        <v/>
      </c>
      <c r="T10" s="212">
        <f>IF(COUNT(T11:T12)=0,"",SUM(T11:T12)/COUNT(T11:T12))</f>
        <v>3.75</v>
      </c>
      <c r="U10" s="213" t="str">
        <f t="shared" si="3"/>
        <v>A</v>
      </c>
      <c r="V10" s="223"/>
      <c r="W10" s="112"/>
      <c r="X10" s="113"/>
      <c r="Y10" s="187">
        <f>IF(COUNT(Y11:Y12)=0,"",SUM(Y11:Y12)/COUNT(Y11:Y12))</f>
        <v>4</v>
      </c>
      <c r="Z10" s="188" t="str">
        <f t="shared" si="4"/>
        <v>A</v>
      </c>
      <c r="AA10" s="181"/>
      <c r="AB10" s="112"/>
      <c r="AC10" s="112"/>
      <c r="AD10" s="113"/>
      <c r="AE10" s="187">
        <f>IF(COUNT(AE11,AE12)=0,"",SUM(AE11:AE12)/COUNT(AE11,AE12))</f>
        <v>3</v>
      </c>
      <c r="AF10" s="203" t="str">
        <f t="shared" si="5"/>
        <v>B</v>
      </c>
      <c r="AG10" s="181"/>
      <c r="AH10" s="112"/>
      <c r="AI10" s="112"/>
      <c r="AJ10" s="113"/>
      <c r="AK10" s="187" t="str">
        <f>IF(COUNT(AK11,AK12)=0,"",SUM(AK11:AK12)/COUNT(AK11,AK12))</f>
        <v/>
      </c>
      <c r="AL10" s="211" t="str">
        <f t="shared" si="6"/>
        <v/>
      </c>
      <c r="AM10" s="212">
        <f>IF(COUNT(AM11:AM12)=0,"",SUM(AM11:AM12)/COUNT(AM11:AM12))</f>
        <v>3.5</v>
      </c>
      <c r="AN10" s="213" t="str">
        <f t="shared" si="7"/>
        <v>B</v>
      </c>
      <c r="AO10" s="223"/>
      <c r="AP10" s="112"/>
      <c r="AQ10" s="113"/>
      <c r="AR10" s="187">
        <f>IF(COUNT(AR11:AR12)=0,"",SUM(AR11:AR12)/COUNT(AR11:AR12))</f>
        <v>4</v>
      </c>
      <c r="AS10" s="188" t="str">
        <f t="shared" si="8"/>
        <v>A</v>
      </c>
      <c r="AT10" s="181"/>
      <c r="AU10" s="112"/>
      <c r="AV10" s="112"/>
      <c r="AW10" s="113"/>
      <c r="AX10" s="187">
        <f>IF(COUNT(AX11,AX12)=0,"",SUM(AX11:AX12)/COUNT(AX11,AX12))</f>
        <v>4</v>
      </c>
      <c r="AY10" s="203" t="str">
        <f t="shared" si="9"/>
        <v>A</v>
      </c>
      <c r="AZ10" s="181"/>
      <c r="BA10" s="112"/>
      <c r="BB10" s="112"/>
      <c r="BC10" s="113"/>
      <c r="BD10" s="187" t="str">
        <f>IF(COUNT(BD11,BD12)=0,"",SUM(BD11:BD12)/COUNT(BD11,BD12))</f>
        <v/>
      </c>
      <c r="BE10" s="211" t="str">
        <f t="shared" si="10"/>
        <v/>
      </c>
      <c r="BF10" s="212">
        <f>IF(COUNT(BF11:BF12)=0,"",SUM(BF11:BF12)/COUNT(BF11:BF12))</f>
        <v>4</v>
      </c>
      <c r="BG10" s="213" t="str">
        <f t="shared" si="11"/>
        <v>A</v>
      </c>
      <c r="BH10" s="223"/>
      <c r="BI10" s="112"/>
      <c r="BJ10" s="113"/>
      <c r="BK10" s="187">
        <f>IF(COUNT(BK11:BK12)=0,"",SUM(BK11:BK12)/COUNT(BK11:BK12))</f>
        <v>4</v>
      </c>
      <c r="BL10" s="188" t="str">
        <f t="shared" si="12"/>
        <v>A</v>
      </c>
      <c r="BM10" s="181"/>
      <c r="BN10" s="112"/>
      <c r="BO10" s="112"/>
      <c r="BP10" s="113"/>
      <c r="BQ10" s="187">
        <f>IF(COUNT(BQ11,BQ12)=0,"",SUM(BQ11:BQ12)/COUNT(BQ11,BQ12))</f>
        <v>3.5</v>
      </c>
      <c r="BR10" s="203" t="str">
        <f t="shared" si="13"/>
        <v>B</v>
      </c>
      <c r="BS10" s="181"/>
      <c r="BT10" s="112"/>
      <c r="BU10" s="112"/>
      <c r="BV10" s="113"/>
      <c r="BW10" s="187" t="str">
        <f>IF(COUNT(BW11,BW12)=0,"",SUM(BW11:BW12)/COUNT(BW11,BW12))</f>
        <v/>
      </c>
      <c r="BX10" s="211" t="str">
        <f t="shared" si="14"/>
        <v/>
      </c>
      <c r="BY10" s="212">
        <f>IF(COUNT(BY11:BY12)=0,"",SUM(BY11:BY12)/COUNT(BY11:BY12))</f>
        <v>3.75</v>
      </c>
      <c r="BZ10" s="213" t="str">
        <f t="shared" si="15"/>
        <v>A</v>
      </c>
      <c r="CA10" s="223"/>
      <c r="CB10" s="112"/>
      <c r="CC10" s="113"/>
      <c r="CD10" s="187">
        <f>IF(COUNT(CD11:CD12)=0,"",SUM(CD11:CD12)/COUNT(CD11:CD12))</f>
        <v>4</v>
      </c>
      <c r="CE10" s="188" t="str">
        <f t="shared" si="16"/>
        <v>A</v>
      </c>
      <c r="CF10" s="181"/>
      <c r="CG10" s="112"/>
      <c r="CH10" s="112"/>
      <c r="CI10" s="113"/>
      <c r="CJ10" s="187">
        <f>IF(COUNT(CJ11,CJ12)=0,"",SUM(CJ11:CJ12)/COUNT(CJ11,CJ12))</f>
        <v>4</v>
      </c>
      <c r="CK10" s="203" t="str">
        <f t="shared" si="17"/>
        <v>A</v>
      </c>
      <c r="CL10" s="181"/>
      <c r="CM10" s="112"/>
      <c r="CN10" s="112"/>
      <c r="CO10" s="113"/>
      <c r="CP10" s="187" t="str">
        <f>IF(COUNT(CP11,CP12)=0,"",SUM(CP11:CP12)/COUNT(CP11,CP12))</f>
        <v/>
      </c>
      <c r="CQ10" s="211" t="str">
        <f t="shared" si="18"/>
        <v/>
      </c>
      <c r="CR10" s="212">
        <f>IF(COUNT(CR11:CR12)=0,"",SUM(CR11:CR12)/COUNT(CR11:CR12))</f>
        <v>4</v>
      </c>
      <c r="CS10" s="213" t="str">
        <f t="shared" si="19"/>
        <v>A</v>
      </c>
      <c r="CT10" s="223"/>
      <c r="CU10" s="112"/>
      <c r="CV10" s="113"/>
      <c r="CW10" s="187">
        <f>IF(COUNT(CW11:CW12)=0,"",SUM(CW11:CW12)/COUNT(CW11:CW12))</f>
        <v>4</v>
      </c>
      <c r="CX10" s="188" t="str">
        <f t="shared" si="20"/>
        <v>A</v>
      </c>
      <c r="CY10" s="181"/>
      <c r="CZ10" s="112"/>
      <c r="DA10" s="112"/>
      <c r="DB10" s="113"/>
      <c r="DC10" s="187">
        <f>IF(COUNT(DC11,DC12)=0,"",SUM(DC11:DC12)/COUNT(DC11,DC12))</f>
        <v>3</v>
      </c>
      <c r="DD10" s="203" t="str">
        <f t="shared" si="21"/>
        <v>B</v>
      </c>
      <c r="DE10" s="181"/>
      <c r="DF10" s="112"/>
      <c r="DG10" s="112"/>
      <c r="DH10" s="113"/>
      <c r="DI10" s="187" t="str">
        <f>IF(COUNT(DI11,DI12)=0,"",SUM(DI11:DI12)/COUNT(DI11,DI12))</f>
        <v/>
      </c>
      <c r="DJ10" s="211" t="str">
        <f t="shared" si="22"/>
        <v/>
      </c>
      <c r="DK10" s="212">
        <f>IF(COUNT(DK11:DK12)=0,"",SUM(DK11:DK12)/COUNT(DK11:DK12))</f>
        <v>3.5</v>
      </c>
      <c r="DL10" s="213" t="str">
        <f t="shared" si="23"/>
        <v>B</v>
      </c>
      <c r="DM10" s="223"/>
      <c r="DN10" s="112"/>
      <c r="DO10" s="113"/>
      <c r="DP10" s="187">
        <f>IF(COUNT(DP11:DP12)=0,"",SUM(DP11:DP12)/COUNT(DP11:DP12))</f>
        <v>4</v>
      </c>
      <c r="DQ10" s="188" t="str">
        <f t="shared" si="24"/>
        <v>A</v>
      </c>
      <c r="DR10" s="181"/>
      <c r="DS10" s="112"/>
      <c r="DT10" s="112"/>
      <c r="DU10" s="113"/>
      <c r="DV10" s="187">
        <f>IF(COUNT(DV11,DV12)=0,"",SUM(DV11:DV12)/COUNT(DV11,DV12))</f>
        <v>3</v>
      </c>
      <c r="DW10" s="203" t="str">
        <f t="shared" si="25"/>
        <v>B</v>
      </c>
      <c r="DX10" s="181"/>
      <c r="DY10" s="112"/>
      <c r="DZ10" s="112"/>
      <c r="EA10" s="113"/>
      <c r="EB10" s="187" t="str">
        <f>IF(COUNT(EB11,EB12)=0,"",SUM(EB11:EB12)/COUNT(EB11,EB12))</f>
        <v/>
      </c>
      <c r="EC10" s="211" t="str">
        <f t="shared" si="26"/>
        <v/>
      </c>
      <c r="ED10" s="212">
        <f>IF(COUNT(ED11:ED12)=0,"",SUM(ED11:ED12)/COUNT(ED11:ED12))</f>
        <v>3.5</v>
      </c>
      <c r="EE10" s="213" t="str">
        <f t="shared" si="27"/>
        <v>B</v>
      </c>
      <c r="EF10" s="223"/>
      <c r="EG10" s="112"/>
      <c r="EH10" s="113"/>
      <c r="EI10" s="187">
        <f>IF(COUNT(EI11:EI12)=0,"",SUM(EI11:EI12)/COUNT(EI11:EI12))</f>
        <v>4</v>
      </c>
      <c r="EJ10" s="188" t="str">
        <f t="shared" si="28"/>
        <v>A</v>
      </c>
      <c r="EK10" s="181"/>
      <c r="EL10" s="112"/>
      <c r="EM10" s="112"/>
      <c r="EN10" s="113"/>
      <c r="EO10" s="187">
        <f>IF(COUNT(EO11,EO12)=0,"",SUM(EO11:EO12)/COUNT(EO11,EO12))</f>
        <v>3.5</v>
      </c>
      <c r="EP10" s="203" t="str">
        <f t="shared" si="29"/>
        <v>B</v>
      </c>
      <c r="EQ10" s="181"/>
      <c r="ER10" s="112"/>
      <c r="ES10" s="112"/>
      <c r="ET10" s="113"/>
      <c r="EU10" s="187" t="str">
        <f>IF(COUNT(EU11,EU12)=0,"",SUM(EU11:EU12)/COUNT(EU11,EU12))</f>
        <v/>
      </c>
      <c r="EV10" s="211" t="str">
        <f t="shared" si="30"/>
        <v/>
      </c>
      <c r="EW10" s="212">
        <f>IF(COUNT(EW11:EW12)=0,"",SUM(EW11:EW12)/COUNT(EW11:EW12))</f>
        <v>3.75</v>
      </c>
      <c r="EX10" s="213" t="str">
        <f t="shared" si="31"/>
        <v>A</v>
      </c>
      <c r="EY10" s="223"/>
      <c r="EZ10" s="112"/>
      <c r="FA10" s="113"/>
      <c r="FB10" s="187">
        <f>IF(COUNT(FB11:FB12)=0,"",SUM(FB11:FB12)/COUNT(FB11:FB12))</f>
        <v>4</v>
      </c>
      <c r="FC10" s="188" t="str">
        <f t="shared" si="32"/>
        <v>A</v>
      </c>
      <c r="FD10" s="181"/>
      <c r="FE10" s="112"/>
      <c r="FF10" s="112"/>
      <c r="FG10" s="113"/>
      <c r="FH10" s="187">
        <f>IF(COUNT(FH11,FH12)=0,"",SUM(FH11:FH12)/COUNT(FH11,FH12))</f>
        <v>3</v>
      </c>
      <c r="FI10" s="203" t="str">
        <f t="shared" si="33"/>
        <v>B</v>
      </c>
      <c r="FJ10" s="181"/>
      <c r="FK10" s="112"/>
      <c r="FL10" s="112"/>
      <c r="FM10" s="113"/>
      <c r="FN10" s="187" t="str">
        <f>IF(COUNT(FN11,FN12)=0,"",SUM(FN11:FN12)/COUNT(FN11,FN12))</f>
        <v/>
      </c>
      <c r="FO10" s="211" t="str">
        <f t="shared" si="34"/>
        <v/>
      </c>
      <c r="FP10" s="212">
        <f>IF(COUNT(FP11:FP12)=0,"",SUM(FP11:FP12)/COUNT(FP11:FP12))</f>
        <v>3.5</v>
      </c>
      <c r="FQ10" s="213" t="str">
        <f t="shared" si="35"/>
        <v>B</v>
      </c>
      <c r="FR10" s="223"/>
      <c r="FS10" s="112"/>
      <c r="FT10" s="113"/>
      <c r="FU10" s="187">
        <f>IF(COUNT(FU11:FU12)=0,"",SUM(FU11:FU12)/COUNT(FU11:FU12))</f>
        <v>4</v>
      </c>
      <c r="FV10" s="188" t="str">
        <f t="shared" si="36"/>
        <v>A</v>
      </c>
      <c r="FW10" s="181"/>
      <c r="FX10" s="112"/>
      <c r="FY10" s="112"/>
      <c r="FZ10" s="113"/>
      <c r="GA10" s="187">
        <f>IF(COUNT(GA11,GA12)=0,"",SUM(GA11:GA12)/COUNT(GA11,GA12))</f>
        <v>3</v>
      </c>
      <c r="GB10" s="203" t="str">
        <f t="shared" si="37"/>
        <v>B</v>
      </c>
      <c r="GC10" s="181"/>
      <c r="GD10" s="112"/>
      <c r="GE10" s="112"/>
      <c r="GF10" s="113"/>
      <c r="GG10" s="187" t="str">
        <f>IF(COUNT(GG11,GG12)=0,"",SUM(GG11:GG12)/COUNT(GG11,GG12))</f>
        <v/>
      </c>
      <c r="GH10" s="211" t="str">
        <f t="shared" si="38"/>
        <v/>
      </c>
      <c r="GI10" s="212">
        <f>IF(COUNT(GI11:GI12)=0,"",SUM(GI11:GI12)/COUNT(GI11:GI12))</f>
        <v>3.5</v>
      </c>
      <c r="GJ10" s="213" t="str">
        <f t="shared" si="39"/>
        <v>B</v>
      </c>
      <c r="GK10" s="223"/>
      <c r="GL10" s="112"/>
      <c r="GM10" s="113"/>
      <c r="GN10" s="187">
        <f>IF(COUNT(GN11:GN12)=0,"",SUM(GN11:GN12)/COUNT(GN11:GN12))</f>
        <v>3</v>
      </c>
      <c r="GO10" s="188" t="str">
        <f t="shared" si="40"/>
        <v>B</v>
      </c>
      <c r="GP10" s="181"/>
      <c r="GQ10" s="112"/>
      <c r="GR10" s="112"/>
      <c r="GS10" s="113"/>
      <c r="GT10" s="187">
        <f>IF(COUNT(GT11,GT12)=0,"",SUM(GT11:GT12)/COUNT(GT11,GT12))</f>
        <v>3.5</v>
      </c>
      <c r="GU10" s="203" t="str">
        <f t="shared" si="41"/>
        <v>B</v>
      </c>
      <c r="GV10" s="181"/>
      <c r="GW10" s="112"/>
      <c r="GX10" s="112"/>
      <c r="GY10" s="113"/>
      <c r="GZ10" s="187" t="str">
        <f>IF(COUNT(GZ11,GZ12)=0,"",SUM(GZ11:GZ12)/COUNT(GZ11,GZ12))</f>
        <v/>
      </c>
      <c r="HA10" s="211" t="str">
        <f t="shared" si="42"/>
        <v/>
      </c>
      <c r="HB10" s="212">
        <f>IF(COUNT(HB11:HB12)=0,"",SUM(HB11:HB12)/COUNT(HB11:HB12))</f>
        <v>3.25</v>
      </c>
      <c r="HC10" s="213" t="str">
        <f t="shared" si="43"/>
        <v>B</v>
      </c>
      <c r="HD10" s="223"/>
      <c r="HE10" s="112"/>
      <c r="HF10" s="113"/>
      <c r="HG10" s="187">
        <f>IF(COUNT(HG11:HG12)=0,"",SUM(HG11:HG12)/COUNT(HG11:HG12))</f>
        <v>4</v>
      </c>
      <c r="HH10" s="188" t="str">
        <f t="shared" si="44"/>
        <v>A</v>
      </c>
      <c r="HI10" s="181"/>
      <c r="HJ10" s="112"/>
      <c r="HK10" s="112"/>
      <c r="HL10" s="113"/>
      <c r="HM10" s="187">
        <f>IF(COUNT(HM11,HM12)=0,"",SUM(HM11:HM12)/COUNT(HM11,HM12))</f>
        <v>3.5</v>
      </c>
      <c r="HN10" s="203" t="str">
        <f t="shared" si="45"/>
        <v>B</v>
      </c>
      <c r="HO10" s="181"/>
      <c r="HP10" s="112"/>
      <c r="HQ10" s="112"/>
      <c r="HR10" s="113"/>
      <c r="HS10" s="187" t="str">
        <f>IF(COUNT(HS11,HS12)=0,"",SUM(HS11:HS12)/COUNT(HS11,HS12))</f>
        <v/>
      </c>
      <c r="HT10" s="211" t="str">
        <f t="shared" si="46"/>
        <v/>
      </c>
      <c r="HU10" s="212">
        <f>IF(COUNT(HU11:HU12)=0,"",SUM(HU11:HU12)/COUNT(HU11:HU12))</f>
        <v>3.75</v>
      </c>
      <c r="HV10" s="213" t="str">
        <f t="shared" si="47"/>
        <v>A</v>
      </c>
      <c r="HW10" s="223"/>
      <c r="HX10" s="112"/>
      <c r="HY10" s="113"/>
      <c r="HZ10" s="187">
        <f>IF(COUNT(HZ11:HZ12)=0,"",SUM(HZ11:HZ12)/COUNT(HZ11:HZ12))</f>
        <v>4</v>
      </c>
      <c r="IA10" s="188" t="str">
        <f t="shared" si="48"/>
        <v>A</v>
      </c>
      <c r="IB10" s="181"/>
      <c r="IC10" s="112"/>
      <c r="ID10" s="112"/>
      <c r="IE10" s="113"/>
      <c r="IF10" s="187">
        <f>IF(COUNT(IF11,IF12)=0,"",SUM(IF11:IF12)/COUNT(IF11,IF12))</f>
        <v>3.5</v>
      </c>
      <c r="IG10" s="203" t="str">
        <f t="shared" si="49"/>
        <v>B</v>
      </c>
      <c r="IH10" s="181"/>
      <c r="II10" s="112"/>
      <c r="IJ10" s="112"/>
      <c r="IK10" s="113"/>
      <c r="IL10" s="187" t="str">
        <f>IF(COUNT(IL11,IL12)=0,"",SUM(IL11:IL12)/COUNT(IL11,IL12))</f>
        <v/>
      </c>
      <c r="IM10" s="211" t="str">
        <f t="shared" si="50"/>
        <v/>
      </c>
      <c r="IN10" s="212">
        <f>IF(COUNT(IN11:IN12)=0,"",SUM(IN11:IN12)/COUNT(IN11:IN12))</f>
        <v>3.75</v>
      </c>
      <c r="IO10" s="213" t="str">
        <f t="shared" si="51"/>
        <v>A</v>
      </c>
      <c r="IP10" s="223"/>
      <c r="IQ10" s="112"/>
      <c r="IR10" s="113"/>
      <c r="IS10" s="187">
        <f>IF(COUNT(IS11:IS12)=0,"",SUM(IS11:IS12)/COUNT(IS11:IS12))</f>
        <v>3</v>
      </c>
      <c r="IT10" s="188" t="str">
        <f t="shared" si="52"/>
        <v>B</v>
      </c>
      <c r="IU10" s="181"/>
      <c r="IV10" s="112"/>
      <c r="IW10" s="112"/>
      <c r="IX10" s="113"/>
      <c r="IY10" s="187">
        <f>IF(COUNT(IY11,IY12)=0,"",SUM(IY11:IY12)/COUNT(IY11,IY12))</f>
        <v>3</v>
      </c>
      <c r="IZ10" s="203" t="str">
        <f t="shared" si="53"/>
        <v>B</v>
      </c>
      <c r="JA10" s="181"/>
      <c r="JB10" s="112"/>
      <c r="JC10" s="112"/>
      <c r="JD10" s="113"/>
      <c r="JE10" s="187" t="str">
        <f>IF(COUNT(JE11,JE12)=0,"",SUM(JE11:JE12)/COUNT(JE11,JE12))</f>
        <v/>
      </c>
      <c r="JF10" s="211" t="str">
        <f t="shared" si="54"/>
        <v/>
      </c>
      <c r="JG10" s="212">
        <f>IF(COUNT(JG11:JG12)=0,"",SUM(JG11:JG12)/COUNT(JG11:JG12))</f>
        <v>3</v>
      </c>
      <c r="JH10" s="213" t="str">
        <f t="shared" si="55"/>
        <v>B</v>
      </c>
      <c r="JI10" s="223"/>
      <c r="JJ10" s="112"/>
      <c r="JK10" s="113"/>
      <c r="JL10" s="187">
        <f>IF(COUNT(JL11:JL12)=0,"",SUM(JL11:JL12)/COUNT(JL11:JL12))</f>
        <v>4</v>
      </c>
      <c r="JM10" s="188" t="str">
        <f t="shared" si="56"/>
        <v>A</v>
      </c>
      <c r="JN10" s="181"/>
      <c r="JO10" s="112"/>
      <c r="JP10" s="112"/>
      <c r="JQ10" s="113"/>
      <c r="JR10" s="187">
        <f>IF(COUNT(JR11,JR12)=0,"",SUM(JR11:JR12)/COUNT(JR11,JR12))</f>
        <v>3.5</v>
      </c>
      <c r="JS10" s="203" t="str">
        <f t="shared" si="57"/>
        <v>B</v>
      </c>
      <c r="JT10" s="181"/>
      <c r="JU10" s="112"/>
      <c r="JV10" s="112"/>
      <c r="JW10" s="113"/>
      <c r="JX10" s="187" t="str">
        <f>IF(COUNT(JX11,JX12)=0,"",SUM(JX11:JX12)/COUNT(JX11,JX12))</f>
        <v/>
      </c>
      <c r="JY10" s="211" t="str">
        <f t="shared" si="58"/>
        <v/>
      </c>
      <c r="JZ10" s="212">
        <f>IF(COUNT(JZ11:JZ12)=0,"",SUM(JZ11:JZ12)/COUNT(JZ11:JZ12))</f>
        <v>3.75</v>
      </c>
      <c r="KA10" s="213" t="str">
        <f t="shared" si="59"/>
        <v>A</v>
      </c>
      <c r="KB10" s="223"/>
      <c r="KC10" s="112"/>
      <c r="KD10" s="113"/>
      <c r="KE10" s="187">
        <f>IF(COUNT(KE11:KE12)=0,"",SUM(KE11:KE12)/COUNT(KE11:KE12))</f>
        <v>4</v>
      </c>
      <c r="KF10" s="188" t="str">
        <f t="shared" si="60"/>
        <v>A</v>
      </c>
      <c r="KG10" s="181"/>
      <c r="KH10" s="112"/>
      <c r="KI10" s="112"/>
      <c r="KJ10" s="113"/>
      <c r="KK10" s="187">
        <f>IF(COUNT(KK11,KK12)=0,"",SUM(KK11:KK12)/COUNT(KK11,KK12))</f>
        <v>3.5</v>
      </c>
      <c r="KL10" s="203" t="str">
        <f t="shared" si="61"/>
        <v>B</v>
      </c>
      <c r="KM10" s="181"/>
      <c r="KN10" s="112"/>
      <c r="KO10" s="112"/>
      <c r="KP10" s="113"/>
      <c r="KQ10" s="187" t="str">
        <f>IF(COUNT(KQ11,KQ12)=0,"",SUM(KQ11:KQ12)/COUNT(KQ11,KQ12))</f>
        <v/>
      </c>
      <c r="KR10" s="211" t="str">
        <f t="shared" si="62"/>
        <v/>
      </c>
      <c r="KS10" s="212">
        <f>IF(COUNT(KS11:KS12)=0,"",SUM(KS11:KS12)/COUNT(KS11:KS12))</f>
        <v>3.75</v>
      </c>
      <c r="KT10" s="213" t="str">
        <f t="shared" si="63"/>
        <v>A</v>
      </c>
      <c r="KU10" s="223"/>
      <c r="KV10" s="112"/>
      <c r="KW10" s="113"/>
      <c r="KX10" s="187">
        <f>IF(COUNT(KX11:KX12)=0,"",SUM(KX11:KX12)/COUNT(KX11:KX12))</f>
        <v>4</v>
      </c>
      <c r="KY10" s="188" t="str">
        <f t="shared" si="64"/>
        <v>A</v>
      </c>
      <c r="KZ10" s="181"/>
      <c r="LA10" s="112"/>
      <c r="LB10" s="112"/>
      <c r="LC10" s="113"/>
      <c r="LD10" s="187">
        <f>IF(COUNT(LD11,LD12)=0,"",SUM(LD11:LD12)/COUNT(LD11,LD12))</f>
        <v>3</v>
      </c>
      <c r="LE10" s="203" t="str">
        <f t="shared" si="65"/>
        <v>B</v>
      </c>
      <c r="LF10" s="181"/>
      <c r="LG10" s="112"/>
      <c r="LH10" s="112"/>
      <c r="LI10" s="113"/>
      <c r="LJ10" s="187" t="str">
        <f>IF(COUNT(LJ11,LJ12)=0,"",SUM(LJ11:LJ12)/COUNT(LJ11,LJ12))</f>
        <v/>
      </c>
      <c r="LK10" s="211" t="str">
        <f t="shared" si="66"/>
        <v/>
      </c>
      <c r="LL10" s="212">
        <f>IF(COUNT(LL11:LL12)=0,"",SUM(LL11:LL12)/COUNT(LL11:LL12))</f>
        <v>3.5</v>
      </c>
      <c r="LM10" s="213" t="str">
        <f t="shared" si="67"/>
        <v>B</v>
      </c>
      <c r="LN10" s="223"/>
      <c r="LO10" s="112"/>
      <c r="LP10" s="113"/>
      <c r="LQ10" s="187">
        <f>IF(COUNT(LQ11:LQ12)=0,"",SUM(LQ11:LQ12)/COUNT(LQ11:LQ12))</f>
        <v>4</v>
      </c>
      <c r="LR10" s="188" t="str">
        <f t="shared" si="68"/>
        <v>A</v>
      </c>
      <c r="LS10" s="181"/>
      <c r="LT10" s="112"/>
      <c r="LU10" s="112"/>
      <c r="LV10" s="113"/>
      <c r="LW10" s="187">
        <f>IF(COUNT(LW11,LW12)=0,"",SUM(LW11:LW12)/COUNT(LW11,LW12))</f>
        <v>3.5</v>
      </c>
      <c r="LX10" s="203" t="str">
        <f t="shared" si="69"/>
        <v>B</v>
      </c>
      <c r="LY10" s="181"/>
      <c r="LZ10" s="112"/>
      <c r="MA10" s="112"/>
      <c r="MB10" s="113"/>
      <c r="MC10" s="187" t="str">
        <f>IF(COUNT(MC11,MC12)=0,"",SUM(MC11:MC12)/COUNT(MC11,MC12))</f>
        <v/>
      </c>
      <c r="MD10" s="211" t="str">
        <f t="shared" si="70"/>
        <v/>
      </c>
      <c r="ME10" s="212">
        <f>IF(COUNT(ME11:ME12)=0,"",SUM(ME11:ME12)/COUNT(ME11:ME12))</f>
        <v>3.75</v>
      </c>
      <c r="MF10" s="213" t="str">
        <f t="shared" si="71"/>
        <v>A</v>
      </c>
      <c r="MG10" s="223"/>
      <c r="MH10" s="112"/>
      <c r="MI10" s="113"/>
      <c r="MJ10" s="187">
        <f>IF(COUNT(MJ11:MJ12)=0,"",SUM(MJ11:MJ12)/COUNT(MJ11:MJ12))</f>
        <v>4</v>
      </c>
      <c r="MK10" s="188" t="str">
        <f t="shared" si="72"/>
        <v>A</v>
      </c>
      <c r="ML10" s="181"/>
      <c r="MM10" s="112"/>
      <c r="MN10" s="112"/>
      <c r="MO10" s="113"/>
      <c r="MP10" s="187">
        <f>IF(COUNT(MP11,MP12)=0,"",SUM(MP11:MP12)/COUNT(MP11,MP12))</f>
        <v>3.5</v>
      </c>
      <c r="MQ10" s="203" t="str">
        <f t="shared" si="73"/>
        <v>B</v>
      </c>
      <c r="MR10" s="181"/>
      <c r="MS10" s="112"/>
      <c r="MT10" s="112"/>
      <c r="MU10" s="113"/>
      <c r="MV10" s="187" t="str">
        <f>IF(COUNT(MV11,MV12)=0,"",SUM(MV11:MV12)/COUNT(MV11,MV12))</f>
        <v/>
      </c>
      <c r="MW10" s="211" t="str">
        <f t="shared" si="74"/>
        <v/>
      </c>
      <c r="MX10" s="212">
        <f>IF(COUNT(MX11:MX12)=0,"",SUM(MX11:MX12)/COUNT(MX11:MX12))</f>
        <v>3.75</v>
      </c>
      <c r="MY10" s="213" t="str">
        <f t="shared" si="75"/>
        <v>A</v>
      </c>
      <c r="MZ10" s="223"/>
      <c r="NA10" s="112"/>
      <c r="NB10" s="113"/>
      <c r="NC10" s="187">
        <f>IF(COUNT(NC11:NC12)=0,"",SUM(NC11:NC12)/COUNT(NC11:NC12))</f>
        <v>4</v>
      </c>
      <c r="ND10" s="188" t="str">
        <f t="shared" si="76"/>
        <v>A</v>
      </c>
      <c r="NE10" s="181"/>
      <c r="NF10" s="112"/>
      <c r="NG10" s="112"/>
      <c r="NH10" s="113"/>
      <c r="NI10" s="187">
        <f>IF(COUNT(NI11,NI12)=0,"",SUM(NI11:NI12)/COUNT(NI11,NI12))</f>
        <v>3.5</v>
      </c>
      <c r="NJ10" s="203" t="str">
        <f t="shared" si="77"/>
        <v>B</v>
      </c>
      <c r="NK10" s="181"/>
      <c r="NL10" s="112"/>
      <c r="NM10" s="112"/>
      <c r="NN10" s="113"/>
      <c r="NO10" s="187" t="str">
        <f>IF(COUNT(NO11,NO12)=0,"",SUM(NO11:NO12)/COUNT(NO11,NO12))</f>
        <v/>
      </c>
      <c r="NP10" s="211" t="str">
        <f t="shared" si="78"/>
        <v/>
      </c>
      <c r="NQ10" s="212">
        <f>IF(COUNT(NQ11:NQ12)=0,"",SUM(NQ11:NQ12)/COUNT(NQ11:NQ12))</f>
        <v>3.75</v>
      </c>
      <c r="NR10" s="213" t="str">
        <f t="shared" si="79"/>
        <v>A</v>
      </c>
      <c r="NS10" s="223"/>
      <c r="NT10" s="112"/>
      <c r="NU10" s="113"/>
      <c r="NV10" s="187">
        <f>IF(COUNT(NV11:NV12)=0,"",SUM(NV11:NV12)/COUNT(NV11:NV12))</f>
        <v>3</v>
      </c>
      <c r="NW10" s="188" t="str">
        <f t="shared" si="80"/>
        <v>B</v>
      </c>
      <c r="NX10" s="181"/>
      <c r="NY10" s="112"/>
      <c r="NZ10" s="112"/>
      <c r="OA10" s="113"/>
      <c r="OB10" s="187">
        <f>IF(COUNT(OB11,OB12)=0,"",SUM(OB11:OB12)/COUNT(OB11,OB12))</f>
        <v>3</v>
      </c>
      <c r="OC10" s="203" t="str">
        <f t="shared" si="81"/>
        <v>B</v>
      </c>
      <c r="OD10" s="181"/>
      <c r="OE10" s="112"/>
      <c r="OF10" s="112"/>
      <c r="OG10" s="113"/>
      <c r="OH10" s="187" t="str">
        <f>IF(COUNT(OH11,OH12)=0,"",SUM(OH11:OH12)/COUNT(OH11,OH12))</f>
        <v/>
      </c>
      <c r="OI10" s="211" t="str">
        <f t="shared" si="82"/>
        <v/>
      </c>
      <c r="OJ10" s="212">
        <f>IF(COUNT(OJ11:OJ12)=0,"",SUM(OJ11:OJ12)/COUNT(OJ11:OJ12))</f>
        <v>3</v>
      </c>
      <c r="OK10" s="213" t="str">
        <f t="shared" si="83"/>
        <v>B</v>
      </c>
      <c r="OL10" s="223"/>
      <c r="OM10" s="112"/>
      <c r="ON10" s="113"/>
      <c r="OO10" s="187">
        <f>IF(COUNT(OO11:OO12)=0,"",SUM(OO11:OO12)/COUNT(OO11:OO12))</f>
        <v>4</v>
      </c>
      <c r="OP10" s="188" t="str">
        <f t="shared" si="84"/>
        <v>A</v>
      </c>
      <c r="OQ10" s="181"/>
      <c r="OR10" s="112"/>
      <c r="OS10" s="112"/>
      <c r="OT10" s="113"/>
      <c r="OU10" s="187">
        <f>IF(COUNT(OU11,OU12)=0,"",SUM(OU11:OU12)/COUNT(OU11,OU12))</f>
        <v>3</v>
      </c>
      <c r="OV10" s="203" t="str">
        <f t="shared" si="85"/>
        <v>B</v>
      </c>
      <c r="OW10" s="181"/>
      <c r="OX10" s="112"/>
      <c r="OY10" s="112"/>
      <c r="OZ10" s="113"/>
      <c r="PA10" s="187" t="str">
        <f>IF(COUNT(PA11,PA12)=0,"",SUM(PA11:PA12)/COUNT(PA11,PA12))</f>
        <v/>
      </c>
      <c r="PB10" s="211" t="str">
        <f t="shared" si="86"/>
        <v/>
      </c>
      <c r="PC10" s="212">
        <f>IF(COUNT(PC11:PC12)=0,"",SUM(PC11:PC12)/COUNT(PC11:PC12))</f>
        <v>3.5</v>
      </c>
      <c r="PD10" s="213" t="str">
        <f t="shared" si="87"/>
        <v>B</v>
      </c>
      <c r="PE10" s="223"/>
      <c r="PF10" s="112"/>
      <c r="PG10" s="113"/>
      <c r="PH10" s="187">
        <f>IF(COUNT(PH11:PH12)=0,"",SUM(PH11:PH12)/COUNT(PH11:PH12))</f>
        <v>4</v>
      </c>
      <c r="PI10" s="188" t="str">
        <f t="shared" si="88"/>
        <v>A</v>
      </c>
      <c r="PJ10" s="181"/>
      <c r="PK10" s="112"/>
      <c r="PL10" s="112"/>
      <c r="PM10" s="113"/>
      <c r="PN10" s="187">
        <f>IF(COUNT(PN11,PN12)=0,"",SUM(PN11:PN12)/COUNT(PN11,PN12))</f>
        <v>3.5</v>
      </c>
      <c r="PO10" s="203" t="str">
        <f t="shared" si="89"/>
        <v>B</v>
      </c>
      <c r="PP10" s="181"/>
      <c r="PQ10" s="112"/>
      <c r="PR10" s="112"/>
      <c r="PS10" s="113"/>
      <c r="PT10" s="187" t="str">
        <f>IF(COUNT(PT11,PT12)=0,"",SUM(PT11:PT12)/COUNT(PT11,PT12))</f>
        <v/>
      </c>
      <c r="PU10" s="211" t="str">
        <f t="shared" si="90"/>
        <v/>
      </c>
      <c r="PV10" s="212">
        <f>IF(COUNT(PV11:PV12)=0,"",SUM(PV11:PV12)/COUNT(PV11:PV12))</f>
        <v>3.75</v>
      </c>
      <c r="PW10" s="213" t="str">
        <f t="shared" si="91"/>
        <v>A</v>
      </c>
      <c r="PX10" s="223"/>
      <c r="PY10" s="112"/>
      <c r="PZ10" s="113"/>
      <c r="QA10" s="187">
        <f>IF(COUNT(QA11:QA12)=0,"",SUM(QA11:QA12)/COUNT(QA11:QA12))</f>
        <v>4</v>
      </c>
      <c r="QB10" s="188" t="str">
        <f t="shared" si="92"/>
        <v>A</v>
      </c>
      <c r="QC10" s="181"/>
      <c r="QD10" s="112"/>
      <c r="QE10" s="112"/>
      <c r="QF10" s="113"/>
      <c r="QG10" s="187">
        <f>IF(COUNT(QG11,QG12)=0,"",SUM(QG11:QG12)/COUNT(QG11,QG12))</f>
        <v>3.5</v>
      </c>
      <c r="QH10" s="203" t="str">
        <f t="shared" si="93"/>
        <v>B</v>
      </c>
      <c r="QI10" s="181"/>
      <c r="QJ10" s="112"/>
      <c r="QK10" s="112"/>
      <c r="QL10" s="113"/>
      <c r="QM10" s="187" t="str">
        <f>IF(COUNT(QM11,QM12)=0,"",SUM(QM11:QM12)/COUNT(QM11,QM12))</f>
        <v/>
      </c>
      <c r="QN10" s="211" t="str">
        <f t="shared" si="94"/>
        <v/>
      </c>
      <c r="QO10" s="212">
        <f>IF(COUNT(QO11:QO12)=0,"",SUM(QO11:QO12)/COUNT(QO11:QO12))</f>
        <v>3.75</v>
      </c>
      <c r="QP10" s="213" t="str">
        <f t="shared" si="95"/>
        <v>A</v>
      </c>
      <c r="QQ10" s="223"/>
      <c r="QR10" s="112"/>
      <c r="QS10" s="113"/>
      <c r="QT10" s="187">
        <f>IF(COUNT(QT11:QT12)=0,"",SUM(QT11:QT12)/COUNT(QT11:QT12))</f>
        <v>4</v>
      </c>
      <c r="QU10" s="188" t="str">
        <f t="shared" si="96"/>
        <v>A</v>
      </c>
      <c r="QV10" s="181"/>
      <c r="QW10" s="112"/>
      <c r="QX10" s="112"/>
      <c r="QY10" s="113"/>
      <c r="QZ10" s="187">
        <f>IF(COUNT(QZ11,QZ12)=0,"",SUM(QZ11:QZ12)/COUNT(QZ11,QZ12))</f>
        <v>4</v>
      </c>
      <c r="RA10" s="203" t="str">
        <f t="shared" si="97"/>
        <v>A</v>
      </c>
      <c r="RB10" s="181"/>
      <c r="RC10" s="112"/>
      <c r="RD10" s="112"/>
      <c r="RE10" s="113"/>
      <c r="RF10" s="187" t="str">
        <f>IF(COUNT(RF11,RF12)=0,"",SUM(RF11:RF12)/COUNT(RF11,RF12))</f>
        <v/>
      </c>
      <c r="RG10" s="211" t="str">
        <f t="shared" si="98"/>
        <v/>
      </c>
      <c r="RH10" s="212">
        <f>IF(COUNT(RH11:RH12)=0,"",SUM(RH11:RH12)/COUNT(RH11:RH12))</f>
        <v>4</v>
      </c>
      <c r="RI10" s="213" t="str">
        <f t="shared" si="99"/>
        <v>A</v>
      </c>
      <c r="RJ10" s="223"/>
      <c r="RK10" s="112"/>
      <c r="RL10" s="113"/>
      <c r="RM10" s="187">
        <f>IF(COUNT(RM11:RM12)=0,"",SUM(RM11:RM12)/COUNT(RM11:RM12))</f>
        <v>4</v>
      </c>
      <c r="RN10" s="188" t="str">
        <f t="shared" si="100"/>
        <v>A</v>
      </c>
      <c r="RO10" s="181"/>
      <c r="RP10" s="112"/>
      <c r="RQ10" s="112"/>
      <c r="RR10" s="113"/>
      <c r="RS10" s="187">
        <f>IF(COUNT(RS11,RS12)=0,"",SUM(RS11:RS12)/COUNT(RS11,RS12))</f>
        <v>3</v>
      </c>
      <c r="RT10" s="203" t="str">
        <f t="shared" si="101"/>
        <v>B</v>
      </c>
      <c r="RU10" s="181"/>
      <c r="RV10" s="112"/>
      <c r="RW10" s="112"/>
      <c r="RX10" s="113"/>
      <c r="RY10" s="187" t="str">
        <f>IF(COUNT(RY11,RY12)=0,"",SUM(RY11:RY12)/COUNT(RY11,RY12))</f>
        <v/>
      </c>
      <c r="RZ10" s="211" t="str">
        <f t="shared" si="102"/>
        <v/>
      </c>
      <c r="SA10" s="212">
        <f>IF(COUNT(SA11:SA12)=0,"",SUM(SA11:SA12)/COUNT(SA11:SA12))</f>
        <v>3.5</v>
      </c>
      <c r="SB10" s="213" t="str">
        <f t="shared" si="103"/>
        <v>B</v>
      </c>
      <c r="SC10" s="223"/>
      <c r="SD10" s="112"/>
      <c r="SE10" s="113"/>
      <c r="SF10" s="187">
        <f>IF(COUNT(SF11:SF12)=0,"",SUM(SF11:SF12)/COUNT(SF11:SF12))</f>
        <v>4</v>
      </c>
      <c r="SG10" s="188" t="str">
        <f t="shared" si="104"/>
        <v>A</v>
      </c>
      <c r="SH10" s="181"/>
      <c r="SI10" s="112"/>
      <c r="SJ10" s="112"/>
      <c r="SK10" s="113"/>
      <c r="SL10" s="187">
        <f>IF(COUNT(SL11,SL12)=0,"",SUM(SL11:SL12)/COUNT(SL11,SL12))</f>
        <v>3.5</v>
      </c>
      <c r="SM10" s="203" t="str">
        <f t="shared" si="105"/>
        <v>B</v>
      </c>
      <c r="SN10" s="181"/>
      <c r="SO10" s="112"/>
      <c r="SP10" s="112"/>
      <c r="SQ10" s="113"/>
      <c r="SR10" s="187" t="str">
        <f>IF(COUNT(SR11,SR12)=0,"",SUM(SR11:SR12)/COUNT(SR11,SR12))</f>
        <v/>
      </c>
      <c r="SS10" s="211" t="str">
        <f t="shared" si="106"/>
        <v/>
      </c>
      <c r="ST10" s="212">
        <f>IF(COUNT(ST11:ST12)=0,"",SUM(ST11:ST12)/COUNT(ST11:ST12))</f>
        <v>3.75</v>
      </c>
      <c r="SU10" s="213" t="str">
        <f t="shared" si="107"/>
        <v>A</v>
      </c>
      <c r="SV10" s="144"/>
      <c r="SW10" s="112"/>
      <c r="SX10" s="113"/>
      <c r="SY10" s="108" t="str">
        <f>IF(COUNT(SY11:SY12)=0,"",SUM(SY11:SY12)/COUNT(SY11:SY12))</f>
        <v/>
      </c>
      <c r="SZ10" s="109" t="str">
        <f t="shared" si="108"/>
        <v/>
      </c>
      <c r="TA10" s="111"/>
      <c r="TB10" s="112"/>
      <c r="TC10" s="113"/>
      <c r="TD10" s="108" t="str">
        <f>IF(COUNT(TD11,TD12)=0,"",SUM(TD11:TD12)/COUNT(TD11,TD12))</f>
        <v/>
      </c>
      <c r="TE10" s="110" t="str">
        <f t="shared" si="109"/>
        <v/>
      </c>
      <c r="TF10" s="111"/>
      <c r="TG10" s="112"/>
      <c r="TH10" s="113"/>
      <c r="TI10" s="108" t="str">
        <f>IF(COUNT(TI11,TI12)=0,"",SUM(TI11:TI12)/COUNT(TI11,TI12))</f>
        <v/>
      </c>
      <c r="TJ10" s="114" t="str">
        <f t="shared" si="110"/>
        <v/>
      </c>
      <c r="TK10" s="115" t="str">
        <f>IF(COUNT(TK11:TK12)=0,"",SUM(TK11:TK12)/COUNT(TK11:TK12))</f>
        <v/>
      </c>
      <c r="TL10" s="116" t="str">
        <f t="shared" si="111"/>
        <v/>
      </c>
      <c r="TM10" s="144"/>
      <c r="TN10" s="112"/>
      <c r="TO10" s="113"/>
      <c r="TP10" s="108" t="str">
        <f>IF(COUNT(TP11:TP12)=0,"",SUM(TP11:TP12)/COUNT(TP11:TP12))</f>
        <v/>
      </c>
      <c r="TQ10" s="109" t="str">
        <f t="shared" si="112"/>
        <v/>
      </c>
      <c r="TR10" s="111"/>
      <c r="TS10" s="112"/>
      <c r="TT10" s="113"/>
      <c r="TU10" s="108" t="str">
        <f>IF(COUNT(TU11,TU12)=0,"",SUM(TU11:TU12)/COUNT(TU11,TU12))</f>
        <v/>
      </c>
      <c r="TV10" s="110" t="str">
        <f t="shared" si="113"/>
        <v/>
      </c>
      <c r="TW10" s="111"/>
      <c r="TX10" s="112"/>
      <c r="TY10" s="113"/>
      <c r="TZ10" s="108" t="str">
        <f>IF(COUNT(TZ11,TZ12)=0,"",SUM(TZ11:TZ12)/COUNT(TZ11,TZ12))</f>
        <v/>
      </c>
      <c r="UA10" s="114" t="str">
        <f t="shared" si="114"/>
        <v/>
      </c>
      <c r="UB10" s="115" t="str">
        <f>IF(COUNT(UB11:UB12)=0,"",SUM(UB11:UB12)/COUNT(UB11:UB12))</f>
        <v/>
      </c>
      <c r="UC10" s="116" t="str">
        <f t="shared" si="115"/>
        <v/>
      </c>
      <c r="UD10" s="144"/>
      <c r="UE10" s="112"/>
      <c r="UF10" s="113"/>
      <c r="UG10" s="108" t="str">
        <f>IF(COUNT(UG11:UG12)=0,"",SUM(UG11:UG12)/COUNT(UG11:UG12))</f>
        <v/>
      </c>
      <c r="UH10" s="109" t="str">
        <f t="shared" si="116"/>
        <v/>
      </c>
      <c r="UI10" s="111"/>
      <c r="UJ10" s="112"/>
      <c r="UK10" s="113"/>
      <c r="UL10" s="108" t="str">
        <f>IF(COUNT(UL11,UL12)=0,"",SUM(UL11:UL12)/COUNT(UL11,UL12))</f>
        <v/>
      </c>
      <c r="UM10" s="110" t="str">
        <f t="shared" si="117"/>
        <v/>
      </c>
      <c r="UN10" s="111"/>
      <c r="UO10" s="112"/>
      <c r="UP10" s="113"/>
      <c r="UQ10" s="108" t="str">
        <f>IF(COUNT(UQ11,UQ12)=0,"",SUM(UQ11:UQ12)/COUNT(UQ11,UQ12))</f>
        <v/>
      </c>
      <c r="UR10" s="114" t="str">
        <f t="shared" si="118"/>
        <v/>
      </c>
      <c r="US10" s="115" t="str">
        <f>IF(COUNT(US11:US12)=0,"",SUM(US11:US12)/COUNT(US11:US12))</f>
        <v/>
      </c>
      <c r="UT10" s="116" t="str">
        <f t="shared" si="119"/>
        <v/>
      </c>
    </row>
    <row r="11" spans="1:566" ht="18" customHeight="1" x14ac:dyDescent="0.25">
      <c r="A11" s="250" t="s">
        <v>18</v>
      </c>
      <c r="B11" s="251"/>
      <c r="C11" s="127" t="s">
        <v>29</v>
      </c>
      <c r="D11" s="132"/>
      <c r="E11" s="133"/>
      <c r="F11" s="189">
        <f>IFERROR((((COUNTIF('Elève (4ème2)'!C11:E11,"A"))*4)+((COUNTIF('Elève (4ème2)'!C11:E11,"B"))*3)+((COUNTIF('Elève (4ème2)'!C11:E11,"C"))*2)+((COUNTIF('Elève (4ème2)'!C11:E11,"D"))*1))/(COUNTA(C11:E11)),"")</f>
        <v>4</v>
      </c>
      <c r="G11" s="190" t="str">
        <f t="shared" si="0"/>
        <v>A</v>
      </c>
      <c r="H11" s="127" t="s">
        <v>29</v>
      </c>
      <c r="I11" s="132"/>
      <c r="J11" s="129" t="s">
        <v>30</v>
      </c>
      <c r="K11" s="133"/>
      <c r="L11" s="189">
        <f>IFERROR((((COUNTIF('Elève (4ème2)'!H11:K11,"A"))*4)+((COUNTIF('Elève (4ème2)'!H11:K11,"B"))*3)+((COUNTIF('Elève (4ème2)'!H11:K11,"C"))*2)+((COUNTIF('Elève (4ème2)'!H11:K11,"D"))*1))/(COUNTA(H11:K11)),"")</f>
        <v>3.5</v>
      </c>
      <c r="M11" s="190" t="str">
        <f t="shared" si="1"/>
        <v>B</v>
      </c>
      <c r="N11" s="134"/>
      <c r="O11" s="132"/>
      <c r="P11" s="133"/>
      <c r="Q11" s="133"/>
      <c r="R11" s="189" t="str">
        <f>IFERROR((((COUNTIF('Elève (4ème2)'!N11:Q11,"A"))*4)+((COUNTIF('Elève (4ème2)'!N11:Q11,"B"))*3)+((COUNTIF('Elève (4ème2)'!N11:Q11,"C"))*2)+((COUNTIF('Elève (4ème2)'!N11:Q11,"D"))*1))/(COUNTA(N11:Q11)),"")</f>
        <v/>
      </c>
      <c r="S11" s="190" t="str">
        <f t="shared" si="2"/>
        <v/>
      </c>
      <c r="T11" s="217">
        <f>IF(COUNT(F11,L11,R11)=0,"",SUM(F11,L11,R11)/COUNT(F11,L11,R11))</f>
        <v>3.75</v>
      </c>
      <c r="U11" s="214" t="str">
        <f t="shared" si="3"/>
        <v>A</v>
      </c>
      <c r="V11" s="127" t="s">
        <v>29</v>
      </c>
      <c r="W11" s="132"/>
      <c r="X11" s="133"/>
      <c r="Y11" s="189">
        <f>IFERROR((((COUNTIF('Elève (4ème2)'!V11:X11,"A"))*4)+((COUNTIF('Elève (4ème2)'!V11:X11,"B"))*3)+((COUNTIF('Elève (4ème2)'!V11:X11,"C"))*2)+((COUNTIF('Elève (4ème2)'!V11:X11,"D"))*1))/(COUNTA(V11:X11)),"")</f>
        <v>4</v>
      </c>
      <c r="Z11" s="190" t="str">
        <f t="shared" si="4"/>
        <v>A</v>
      </c>
      <c r="AA11" s="127" t="s">
        <v>30</v>
      </c>
      <c r="AB11" s="132"/>
      <c r="AC11" s="129" t="s">
        <v>30</v>
      </c>
      <c r="AD11" s="133"/>
      <c r="AE11" s="189">
        <f>IFERROR((((COUNTIF('Elève (4ème2)'!AA11:AD11,"A"))*4)+((COUNTIF('Elève (4ème2)'!AA11:AD11,"B"))*3)+((COUNTIF('Elève (4ème2)'!AA11:AD11,"C"))*2)+((COUNTIF('Elève (4ème2)'!AA11:AD11,"D"))*1))/(COUNTA(AA11:AD11)),"")</f>
        <v>3</v>
      </c>
      <c r="AF11" s="190" t="str">
        <f t="shared" si="5"/>
        <v>B</v>
      </c>
      <c r="AG11" s="134"/>
      <c r="AH11" s="132"/>
      <c r="AI11" s="133"/>
      <c r="AJ11" s="136"/>
      <c r="AK11" s="189" t="str">
        <f>IFERROR((((COUNTIF('Elève (4ème2)'!AG11:AJ11,"A"))*4)+((COUNTIF('Elève (4ème2)'!AG11:AJ11,"B"))*3)+((COUNTIF('Elève (4ème2)'!AG11:AJ11,"C"))*2)+((COUNTIF('Elève (4ème2)'!AG11:AJ11,"D"))*1))/(COUNTA(AG11:AJ11)),"")</f>
        <v/>
      </c>
      <c r="AL11" s="190" t="str">
        <f t="shared" si="6"/>
        <v/>
      </c>
      <c r="AM11" s="217">
        <f>IF(COUNT(Y11,AE11,AK11)=0,"",SUM(Y11,AE11,AK11)/COUNT(Y11,AE11,AK11))</f>
        <v>3.5</v>
      </c>
      <c r="AN11" s="214" t="str">
        <f t="shared" si="7"/>
        <v>B</v>
      </c>
      <c r="AO11" s="127" t="s">
        <v>29</v>
      </c>
      <c r="AP11" s="132"/>
      <c r="AQ11" s="133"/>
      <c r="AR11" s="189">
        <f>IFERROR((((COUNTIF('Elève (4ème2)'!AO11:AQ11,"A"))*4)+((COUNTIF('Elève (4ème2)'!AO11:AQ11,"B"))*3)+((COUNTIF('Elève (4ème2)'!AO11:AQ11,"C"))*2)+((COUNTIF('Elève (4ème2)'!AO11:AQ11,"D"))*1))/(COUNTA(AO11:AQ11)),"")</f>
        <v>4</v>
      </c>
      <c r="AS11" s="190" t="str">
        <f t="shared" si="8"/>
        <v>A</v>
      </c>
      <c r="AT11" s="127" t="s">
        <v>29</v>
      </c>
      <c r="AU11" s="132"/>
      <c r="AV11" s="129" t="s">
        <v>29</v>
      </c>
      <c r="AW11" s="133"/>
      <c r="AX11" s="189">
        <f>IFERROR((((COUNTIF('Elève (4ème2)'!AT11:AW11,"A"))*4)+((COUNTIF('Elève (4ème2)'!AT11:AW11,"B"))*3)+((COUNTIF('Elève (4ème2)'!AT11:AW11,"C"))*2)+((COUNTIF('Elève (4ème2)'!AT11:AW11,"D"))*1))/(COUNTA(AT11:AW11)),"")</f>
        <v>4</v>
      </c>
      <c r="AY11" s="190" t="str">
        <f t="shared" si="9"/>
        <v>A</v>
      </c>
      <c r="AZ11" s="134"/>
      <c r="BA11" s="132"/>
      <c r="BB11" s="133"/>
      <c r="BC11" s="136"/>
      <c r="BD11" s="189" t="str">
        <f>IFERROR((((COUNTIF('Elève (4ème2)'!AZ11:BC11,"A"))*4)+((COUNTIF('Elève (4ème2)'!AZ11:BC11,"B"))*3)+((COUNTIF('Elève (4ème2)'!AZ11:BC11,"C"))*2)+((COUNTIF('Elève (4ème2)'!AZ11:BC11,"D"))*1))/(COUNTA(AZ11:BC11)),"")</f>
        <v/>
      </c>
      <c r="BE11" s="190" t="str">
        <f t="shared" si="10"/>
        <v/>
      </c>
      <c r="BF11" s="217">
        <f>IF(COUNT(AR11,AX11,BD11)=0,"",SUM(AR11,AX11,BD11)/COUNT(AR11,AX11,BD11))</f>
        <v>4</v>
      </c>
      <c r="BG11" s="214" t="str">
        <f t="shared" si="11"/>
        <v>A</v>
      </c>
      <c r="BH11" s="127" t="s">
        <v>29</v>
      </c>
      <c r="BI11" s="132"/>
      <c r="BJ11" s="133"/>
      <c r="BK11" s="189">
        <f>IFERROR((((COUNTIF('Elève (4ème2)'!BH11:BJ11,"A"))*4)+((COUNTIF('Elève (4ème2)'!BH11:BJ11,"B"))*3)+((COUNTIF('Elève (4ème2)'!BH11:BJ11,"C"))*2)+((COUNTIF('Elève (4ème2)'!BH11:BJ11,"D"))*1))/(COUNTA(BH11:BJ11)),"")</f>
        <v>4</v>
      </c>
      <c r="BL11" s="190" t="str">
        <f t="shared" si="12"/>
        <v>A</v>
      </c>
      <c r="BM11" s="127" t="s">
        <v>29</v>
      </c>
      <c r="BN11" s="132"/>
      <c r="BO11" s="129" t="s">
        <v>30</v>
      </c>
      <c r="BP11" s="133"/>
      <c r="BQ11" s="189">
        <f>IFERROR((((COUNTIF('Elève (4ème2)'!BM11:BP11,"A"))*4)+((COUNTIF('Elève (4ème2)'!BM11:BP11,"B"))*3)+((COUNTIF('Elève (4ème2)'!BM11:BP11,"C"))*2)+((COUNTIF('Elève (4ème2)'!BM11:BP11,"D"))*1))/(COUNTA(BM11:BP11)),"")</f>
        <v>3.5</v>
      </c>
      <c r="BR11" s="190" t="str">
        <f t="shared" si="13"/>
        <v>B</v>
      </c>
      <c r="BS11" s="134"/>
      <c r="BT11" s="132"/>
      <c r="BU11" s="133"/>
      <c r="BV11" s="136"/>
      <c r="BW11" s="189" t="str">
        <f>IFERROR((((COUNTIF('Elève (4ème2)'!BS11:BV11,"A"))*4)+((COUNTIF('Elève (4ème2)'!BS11:BV11,"B"))*3)+((COUNTIF('Elève (4ème2)'!BS11:BV11,"C"))*2)+((COUNTIF('Elève (4ème2)'!BS11:BV11,"D"))*1))/(COUNTA(BS11:BV11)),"")</f>
        <v/>
      </c>
      <c r="BX11" s="190" t="str">
        <f t="shared" si="14"/>
        <v/>
      </c>
      <c r="BY11" s="217">
        <f>IF(COUNT(BK11,BQ11,BW11)=0,"",SUM(BK11,BQ11,BW11)/COUNT(BK11,BQ11,BW11))</f>
        <v>3.75</v>
      </c>
      <c r="BZ11" s="214" t="str">
        <f t="shared" si="15"/>
        <v>A</v>
      </c>
      <c r="CA11" s="127" t="s">
        <v>29</v>
      </c>
      <c r="CB11" s="132"/>
      <c r="CC11" s="133"/>
      <c r="CD11" s="189">
        <f>IFERROR((((COUNTIF('Elève (4ème2)'!CA11:CC11,"A"))*4)+((COUNTIF('Elève (4ème2)'!CA11:CC11,"B"))*3)+((COUNTIF('Elève (4ème2)'!CA11:CC11,"C"))*2)+((COUNTIF('Elève (4ème2)'!CA11:CC11,"D"))*1))/(COUNTA(CA11:CC11)),"")</f>
        <v>4</v>
      </c>
      <c r="CE11" s="190" t="str">
        <f t="shared" si="16"/>
        <v>A</v>
      </c>
      <c r="CF11" s="127" t="s">
        <v>29</v>
      </c>
      <c r="CG11" s="132"/>
      <c r="CH11" s="129" t="s">
        <v>29</v>
      </c>
      <c r="CI11" s="133"/>
      <c r="CJ11" s="189">
        <f>IFERROR((((COUNTIF('Elève (4ème2)'!CF11:CI11,"A"))*4)+((COUNTIF('Elève (4ème2)'!CF11:CI11,"B"))*3)+((COUNTIF('Elève (4ème2)'!CF11:CI11,"C"))*2)+((COUNTIF('Elève (4ème2)'!CF11:CI11,"D"))*1))/(COUNTA(CF11:CI11)),"")</f>
        <v>4</v>
      </c>
      <c r="CK11" s="190" t="str">
        <f t="shared" si="17"/>
        <v>A</v>
      </c>
      <c r="CL11" s="134"/>
      <c r="CM11" s="132"/>
      <c r="CN11" s="133"/>
      <c r="CO11" s="136"/>
      <c r="CP11" s="189" t="str">
        <f>IFERROR((((COUNTIF('Elève (4ème2)'!CL11:CO11,"A"))*4)+((COUNTIF('Elève (4ème2)'!CL11:CO11,"B"))*3)+((COUNTIF('Elève (4ème2)'!CL11:CO11,"C"))*2)+((COUNTIF('Elève (4ème2)'!CL11:CO11,"D"))*1))/(COUNTA(CL11:CO11)),"")</f>
        <v/>
      </c>
      <c r="CQ11" s="190" t="str">
        <f t="shared" si="18"/>
        <v/>
      </c>
      <c r="CR11" s="217">
        <f>IF(COUNT(CD11,CJ11,CP11)=0,"",SUM(CD11,CJ11,CP11)/COUNT(CD11,CJ11,CP11))</f>
        <v>4</v>
      </c>
      <c r="CS11" s="214" t="str">
        <f t="shared" si="19"/>
        <v>A</v>
      </c>
      <c r="CT11" s="127" t="s">
        <v>29</v>
      </c>
      <c r="CU11" s="132"/>
      <c r="CV11" s="133"/>
      <c r="CW11" s="189">
        <f>IFERROR((((COUNTIF('Elève (4ème2)'!CT11:CV11,"A"))*4)+((COUNTIF('Elève (4ème2)'!CT11:CV11,"B"))*3)+((COUNTIF('Elève (4ème2)'!CT11:CV11,"C"))*2)+((COUNTIF('Elève (4ème2)'!CT11:CV11,"D"))*1))/(COUNTA(CT11:CV11)),"")</f>
        <v>4</v>
      </c>
      <c r="CX11" s="190" t="str">
        <f t="shared" si="20"/>
        <v>A</v>
      </c>
      <c r="CY11" s="127" t="s">
        <v>30</v>
      </c>
      <c r="CZ11" s="132"/>
      <c r="DA11" s="129" t="s">
        <v>30</v>
      </c>
      <c r="DB11" s="133"/>
      <c r="DC11" s="189">
        <f>IFERROR((((COUNTIF('Elève (4ème2)'!CY11:DB11,"A"))*4)+((COUNTIF('Elève (4ème2)'!CY11:DB11,"B"))*3)+((COUNTIF('Elève (4ème2)'!CY11:DB11,"C"))*2)+((COUNTIF('Elève (4ème2)'!CY11:DB11,"D"))*1))/(COUNTA(CY11:DB11)),"")</f>
        <v>3</v>
      </c>
      <c r="DD11" s="190" t="str">
        <f t="shared" si="21"/>
        <v>B</v>
      </c>
      <c r="DE11" s="134"/>
      <c r="DF11" s="132"/>
      <c r="DG11" s="133"/>
      <c r="DH11" s="136"/>
      <c r="DI11" s="189" t="str">
        <f>IFERROR((((COUNTIF('Elève (4ème2)'!DE11:DH11,"A"))*4)+((COUNTIF('Elève (4ème2)'!DE11:DH11,"B"))*3)+((COUNTIF('Elève (4ème2)'!DE11:DH11,"C"))*2)+((COUNTIF('Elève (4ème2)'!DE11:DH11,"D"))*1))/(COUNTA(DE11:DH11)),"")</f>
        <v/>
      </c>
      <c r="DJ11" s="190" t="str">
        <f t="shared" si="22"/>
        <v/>
      </c>
      <c r="DK11" s="217">
        <f>IF(COUNT(CW11,DC11,DI11)=0,"",SUM(CW11,DC11,DI11)/COUNT(CW11,DC11,DI11))</f>
        <v>3.5</v>
      </c>
      <c r="DL11" s="214" t="str">
        <f t="shared" si="23"/>
        <v>B</v>
      </c>
      <c r="DM11" s="127" t="s">
        <v>29</v>
      </c>
      <c r="DN11" s="132"/>
      <c r="DO11" s="133"/>
      <c r="DP11" s="189">
        <f>IFERROR((((COUNTIF('Elève (4ème2)'!DM11:DO11,"A"))*4)+((COUNTIF('Elève (4ème2)'!DM11:DO11,"B"))*3)+((COUNTIF('Elève (4ème2)'!DM11:DO11,"C"))*2)+((COUNTIF('Elève (4ème2)'!DM11:DO11,"D"))*1))/(COUNTA(DM11:DO11)),"")</f>
        <v>4</v>
      </c>
      <c r="DQ11" s="190" t="str">
        <f t="shared" si="24"/>
        <v>A</v>
      </c>
      <c r="DR11" s="127" t="s">
        <v>30</v>
      </c>
      <c r="DS11" s="132"/>
      <c r="DT11" s="129" t="s">
        <v>30</v>
      </c>
      <c r="DU11" s="133"/>
      <c r="DV11" s="189">
        <f>IFERROR((((COUNTIF('Elève (4ème2)'!DR11:DU11,"A"))*4)+((COUNTIF('Elève (4ème2)'!DR11:DU11,"B"))*3)+((COUNTIF('Elève (4ème2)'!DR11:DU11,"C"))*2)+((COUNTIF('Elève (4ème2)'!DR11:DU11,"D"))*1))/(COUNTA(DR11:DU11)),"")</f>
        <v>3</v>
      </c>
      <c r="DW11" s="190" t="str">
        <f t="shared" si="25"/>
        <v>B</v>
      </c>
      <c r="DX11" s="134"/>
      <c r="DY11" s="132"/>
      <c r="DZ11" s="133"/>
      <c r="EA11" s="136"/>
      <c r="EB11" s="189" t="str">
        <f>IFERROR((((COUNTIF('Elève (4ème2)'!DX11:EA11,"A"))*4)+((COUNTIF('Elève (4ème2)'!DX11:EA11,"B"))*3)+((COUNTIF('Elève (4ème2)'!DX11:EA11,"C"))*2)+((COUNTIF('Elève (4ème2)'!DX11:EA11,"D"))*1))/(COUNTA(DX11:EA11)),"")</f>
        <v/>
      </c>
      <c r="EC11" s="190" t="str">
        <f t="shared" si="26"/>
        <v/>
      </c>
      <c r="ED11" s="217">
        <f>IF(COUNT(DP11,DV11,EB11)=0,"",SUM(DP11,DV11,EB11)/COUNT(DP11,DV11,EB11))</f>
        <v>3.5</v>
      </c>
      <c r="EE11" s="214" t="str">
        <f t="shared" si="27"/>
        <v>B</v>
      </c>
      <c r="EF11" s="127" t="s">
        <v>29</v>
      </c>
      <c r="EG11" s="132"/>
      <c r="EH11" s="133"/>
      <c r="EI11" s="189">
        <f>IFERROR((((COUNTIF('Elève (4ème2)'!EF11:EH11,"A"))*4)+((COUNTIF('Elève (4ème2)'!EF11:EH11,"B"))*3)+((COUNTIF('Elève (4ème2)'!EF11:EH11,"C"))*2)+((COUNTIF('Elève (4ème2)'!EF11:EH11,"D"))*1))/(COUNTA(EF11:EH11)),"")</f>
        <v>4</v>
      </c>
      <c r="EJ11" s="190" t="str">
        <f t="shared" si="28"/>
        <v>A</v>
      </c>
      <c r="EK11" s="127" t="s">
        <v>29</v>
      </c>
      <c r="EL11" s="132"/>
      <c r="EM11" s="129" t="s">
        <v>30</v>
      </c>
      <c r="EN11" s="133"/>
      <c r="EO11" s="189">
        <f>IFERROR((((COUNTIF('Elève (4ème2)'!EK11:EN11,"A"))*4)+((COUNTIF('Elève (4ème2)'!EK11:EN11,"B"))*3)+((COUNTIF('Elève (4ème2)'!EK11:EN11,"C"))*2)+((COUNTIF('Elève (4ème2)'!EK11:EN11,"D"))*1))/(COUNTA(EK11:EN11)),"")</f>
        <v>3.5</v>
      </c>
      <c r="EP11" s="190" t="str">
        <f t="shared" si="29"/>
        <v>B</v>
      </c>
      <c r="EQ11" s="134"/>
      <c r="ER11" s="132"/>
      <c r="ES11" s="133"/>
      <c r="ET11" s="136"/>
      <c r="EU11" s="189" t="str">
        <f>IFERROR((((COUNTIF('Elève (4ème2)'!EQ11:ET11,"A"))*4)+((COUNTIF('Elève (4ème2)'!EQ11:ET11,"B"))*3)+((COUNTIF('Elève (4ème2)'!EQ11:ET11,"C"))*2)+((COUNTIF('Elève (4ème2)'!EQ11:ET11,"D"))*1))/(COUNTA(EQ11:ET11)),"")</f>
        <v/>
      </c>
      <c r="EV11" s="190" t="str">
        <f t="shared" si="30"/>
        <v/>
      </c>
      <c r="EW11" s="217">
        <f>IF(COUNT(EI11,EO11,EU11)=0,"",SUM(EI11,EO11,EU11)/COUNT(EI11,EO11,EU11))</f>
        <v>3.75</v>
      </c>
      <c r="EX11" s="214" t="str">
        <f t="shared" si="31"/>
        <v>A</v>
      </c>
      <c r="EY11" s="127" t="s">
        <v>29</v>
      </c>
      <c r="EZ11" s="132"/>
      <c r="FA11" s="133"/>
      <c r="FB11" s="189">
        <f>IFERROR((((COUNTIF('Elève (4ème2)'!EY11:FA11,"A"))*4)+((COUNTIF('Elève (4ème2)'!EY11:FA11,"B"))*3)+((COUNTIF('Elève (4ème2)'!EY11:FA11,"C"))*2)+((COUNTIF('Elève (4ème2)'!EY11:FA11,"D"))*1))/(COUNTA(EY11:FA11)),"")</f>
        <v>4</v>
      </c>
      <c r="FC11" s="190" t="str">
        <f t="shared" si="32"/>
        <v>A</v>
      </c>
      <c r="FD11" s="127" t="s">
        <v>30</v>
      </c>
      <c r="FE11" s="132"/>
      <c r="FF11" s="129" t="s">
        <v>30</v>
      </c>
      <c r="FG11" s="133"/>
      <c r="FH11" s="189">
        <f>IFERROR((((COUNTIF('Elève (4ème2)'!FD11:FG11,"A"))*4)+((COUNTIF('Elève (4ème2)'!FD11:FG11,"B"))*3)+((COUNTIF('Elève (4ème2)'!FD11:FG11,"C"))*2)+((COUNTIF('Elève (4ème2)'!FD11:FG11,"D"))*1))/(COUNTA(FD11:FG11)),"")</f>
        <v>3</v>
      </c>
      <c r="FI11" s="190" t="str">
        <f t="shared" si="33"/>
        <v>B</v>
      </c>
      <c r="FJ11" s="134"/>
      <c r="FK11" s="132"/>
      <c r="FL11" s="133"/>
      <c r="FM11" s="136"/>
      <c r="FN11" s="189" t="str">
        <f>IFERROR((((COUNTIF('Elève (4ème2)'!FJ11:FM11,"A"))*4)+((COUNTIF('Elève (4ème2)'!FJ11:FM11,"B"))*3)+((COUNTIF('Elève (4ème2)'!FJ11:FM11,"C"))*2)+((COUNTIF('Elève (4ème2)'!FJ11:FM11,"D"))*1))/(COUNTA(FJ11:FM11)),"")</f>
        <v/>
      </c>
      <c r="FO11" s="190" t="str">
        <f t="shared" si="34"/>
        <v/>
      </c>
      <c r="FP11" s="217">
        <f>IF(COUNT(FB11,FH11,FN11)=0,"",SUM(FB11,FH11,FN11)/COUNT(FB11,FH11,FN11))</f>
        <v>3.5</v>
      </c>
      <c r="FQ11" s="214" t="str">
        <f t="shared" si="35"/>
        <v>B</v>
      </c>
      <c r="FR11" s="127" t="s">
        <v>29</v>
      </c>
      <c r="FS11" s="132"/>
      <c r="FT11" s="133"/>
      <c r="FU11" s="189">
        <f>IFERROR((((COUNTIF('Elève (4ème2)'!FR11:FT11,"A"))*4)+((COUNTIF('Elève (4ème2)'!FR11:FT11,"B"))*3)+((COUNTIF('Elève (4ème2)'!FR11:FT11,"C"))*2)+((COUNTIF('Elève (4ème2)'!FR11:FT11,"D"))*1))/(COUNTA(FR11:FT11)),"")</f>
        <v>4</v>
      </c>
      <c r="FV11" s="190" t="str">
        <f t="shared" si="36"/>
        <v>A</v>
      </c>
      <c r="FW11" s="127" t="s">
        <v>30</v>
      </c>
      <c r="FX11" s="132"/>
      <c r="FY11" s="129" t="s">
        <v>30</v>
      </c>
      <c r="FZ11" s="133"/>
      <c r="GA11" s="189">
        <f>IFERROR((((COUNTIF('Elève (4ème2)'!FW11:FZ11,"A"))*4)+((COUNTIF('Elève (4ème2)'!FW11:FZ11,"B"))*3)+((COUNTIF('Elève (4ème2)'!FW11:FZ11,"C"))*2)+((COUNTIF('Elève (4ème2)'!FW11:FZ11,"D"))*1))/(COUNTA(FW11:FZ11)),"")</f>
        <v>3</v>
      </c>
      <c r="GB11" s="190" t="str">
        <f t="shared" si="37"/>
        <v>B</v>
      </c>
      <c r="GC11" s="134"/>
      <c r="GD11" s="132"/>
      <c r="GE11" s="133"/>
      <c r="GF11" s="136"/>
      <c r="GG11" s="189" t="str">
        <f>IFERROR((((COUNTIF('Elève (4ème2)'!GC11:GF11,"A"))*4)+((COUNTIF('Elève (4ème2)'!GC11:GF11,"B"))*3)+((COUNTIF('Elève (4ème2)'!GC11:GF11,"C"))*2)+((COUNTIF('Elève (4ème2)'!GC11:GF11,"D"))*1))/(COUNTA(GC11:GF11)),"")</f>
        <v/>
      </c>
      <c r="GH11" s="190" t="str">
        <f t="shared" si="38"/>
        <v/>
      </c>
      <c r="GI11" s="217">
        <f>IF(COUNT(FU11,GA11,GG11)=0,"",SUM(FU11,GA11,GG11)/COUNT(FU11,GA11,GG11))</f>
        <v>3.5</v>
      </c>
      <c r="GJ11" s="214" t="str">
        <f t="shared" si="39"/>
        <v>B</v>
      </c>
      <c r="GK11" s="127" t="s">
        <v>30</v>
      </c>
      <c r="GL11" s="132"/>
      <c r="GM11" s="133"/>
      <c r="GN11" s="189">
        <f>IFERROR((((COUNTIF('Elève (4ème2)'!GK11:GM11,"A"))*4)+((COUNTIF('Elève (4ème2)'!GK11:GM11,"B"))*3)+((COUNTIF('Elève (4ème2)'!GK11:GM11,"C"))*2)+((COUNTIF('Elève (4ème2)'!GK11:GM11,"D"))*1))/(COUNTA(GK11:GM11)),"")</f>
        <v>3</v>
      </c>
      <c r="GO11" s="190" t="str">
        <f t="shared" si="40"/>
        <v>B</v>
      </c>
      <c r="GP11" s="127" t="s">
        <v>30</v>
      </c>
      <c r="GQ11" s="132"/>
      <c r="GR11" s="129" t="s">
        <v>29</v>
      </c>
      <c r="GS11" s="133"/>
      <c r="GT11" s="189">
        <f>IFERROR((((COUNTIF('Elève (4ème2)'!GP11:GS11,"A"))*4)+((COUNTIF('Elève (4ème2)'!GP11:GS11,"B"))*3)+((COUNTIF('Elève (4ème2)'!GP11:GS11,"C"))*2)+((COUNTIF('Elève (4ème2)'!GP11:GS11,"D"))*1))/(COUNTA(GP11:GS11)),"")</f>
        <v>3.5</v>
      </c>
      <c r="GU11" s="190" t="str">
        <f t="shared" si="41"/>
        <v>B</v>
      </c>
      <c r="GV11" s="134"/>
      <c r="GW11" s="132"/>
      <c r="GX11" s="133"/>
      <c r="GY11" s="136"/>
      <c r="GZ11" s="189" t="str">
        <f>IFERROR((((COUNTIF('Elève (4ème2)'!GV11:GY11,"A"))*4)+((COUNTIF('Elève (4ème2)'!GV11:GY11,"B"))*3)+((COUNTIF('Elève (4ème2)'!GV11:GY11,"C"))*2)+((COUNTIF('Elève (4ème2)'!GV11:GY11,"D"))*1))/(COUNTA(GV11:GY11)),"")</f>
        <v/>
      </c>
      <c r="HA11" s="190" t="str">
        <f t="shared" si="42"/>
        <v/>
      </c>
      <c r="HB11" s="217">
        <f>IF(COUNT(GN11,GT11,GZ11)=0,"",SUM(GN11,GT11,GZ11)/COUNT(GN11,GT11,GZ11))</f>
        <v>3.25</v>
      </c>
      <c r="HC11" s="214" t="str">
        <f t="shared" si="43"/>
        <v>B</v>
      </c>
      <c r="HD11" s="127" t="s">
        <v>29</v>
      </c>
      <c r="HE11" s="132"/>
      <c r="HF11" s="133"/>
      <c r="HG11" s="189">
        <f>IFERROR((((COUNTIF('Elève (4ème2)'!HD11:HF11,"A"))*4)+((COUNTIF('Elève (4ème2)'!HD11:HF11,"B"))*3)+((COUNTIF('Elève (4ème2)'!HD11:HF11,"C"))*2)+((COUNTIF('Elève (4ème2)'!HD11:HF11,"D"))*1))/(COUNTA(HD11:HF11)),"")</f>
        <v>4</v>
      </c>
      <c r="HH11" s="190" t="str">
        <f t="shared" si="44"/>
        <v>A</v>
      </c>
      <c r="HI11" s="127" t="s">
        <v>30</v>
      </c>
      <c r="HJ11" s="132"/>
      <c r="HK11" s="129" t="s">
        <v>29</v>
      </c>
      <c r="HL11" s="133"/>
      <c r="HM11" s="189">
        <f>IFERROR((((COUNTIF('Elève (4ème2)'!HI11:HL11,"A"))*4)+((COUNTIF('Elève (4ème2)'!HI11:HL11,"B"))*3)+((COUNTIF('Elève (4ème2)'!HI11:HL11,"C"))*2)+((COUNTIF('Elève (4ème2)'!HI11:HL11,"D"))*1))/(COUNTA(HI11:HL11)),"")</f>
        <v>3.5</v>
      </c>
      <c r="HN11" s="190" t="str">
        <f t="shared" si="45"/>
        <v>B</v>
      </c>
      <c r="HO11" s="134"/>
      <c r="HP11" s="132"/>
      <c r="HQ11" s="133"/>
      <c r="HR11" s="136"/>
      <c r="HS11" s="189" t="str">
        <f>IFERROR((((COUNTIF('Elève (4ème2)'!HO11:HR11,"A"))*4)+((COUNTIF('Elève (4ème2)'!HO11:HR11,"B"))*3)+((COUNTIF('Elève (4ème2)'!HO11:HR11,"C"))*2)+((COUNTIF('Elève (4ème2)'!HO11:HR11,"D"))*1))/(COUNTA(HO11:HR11)),"")</f>
        <v/>
      </c>
      <c r="HT11" s="190" t="str">
        <f t="shared" si="46"/>
        <v/>
      </c>
      <c r="HU11" s="217">
        <f>IF(COUNT(HG11,HM11,HS11)=0,"",SUM(HG11,HM11,HS11)/COUNT(HG11,HM11,HS11))</f>
        <v>3.75</v>
      </c>
      <c r="HV11" s="214" t="str">
        <f t="shared" si="47"/>
        <v>A</v>
      </c>
      <c r="HW11" s="127" t="s">
        <v>29</v>
      </c>
      <c r="HX11" s="132"/>
      <c r="HY11" s="133"/>
      <c r="HZ11" s="189">
        <f>IFERROR((((COUNTIF('Elève (4ème2)'!HW11:HY11,"A"))*4)+((COUNTIF('Elève (4ème2)'!HW11:HY11,"B"))*3)+((COUNTIF('Elève (4ème2)'!HW11:HY11,"C"))*2)+((COUNTIF('Elève (4ème2)'!HW11:HY11,"D"))*1))/(COUNTA(HW11:HY11)),"")</f>
        <v>4</v>
      </c>
      <c r="IA11" s="190" t="str">
        <f t="shared" si="48"/>
        <v>A</v>
      </c>
      <c r="IB11" s="127" t="s">
        <v>30</v>
      </c>
      <c r="IC11" s="132"/>
      <c r="ID11" s="129" t="s">
        <v>29</v>
      </c>
      <c r="IE11" s="133"/>
      <c r="IF11" s="189">
        <f>IFERROR((((COUNTIF('Elève (4ème2)'!IB11:IE11,"A"))*4)+((COUNTIF('Elève (4ème2)'!IB11:IE11,"B"))*3)+((COUNTIF('Elève (4ème2)'!IB11:IE11,"C"))*2)+((COUNTIF('Elève (4ème2)'!IB11:IE11,"D"))*1))/(COUNTA(IB11:IE11)),"")</f>
        <v>3.5</v>
      </c>
      <c r="IG11" s="190" t="str">
        <f t="shared" si="49"/>
        <v>B</v>
      </c>
      <c r="IH11" s="134"/>
      <c r="II11" s="132"/>
      <c r="IJ11" s="133"/>
      <c r="IK11" s="136"/>
      <c r="IL11" s="189" t="str">
        <f>IFERROR((((COUNTIF('Elève (4ème2)'!IH11:IK11,"A"))*4)+((COUNTIF('Elève (4ème2)'!IH11:IK11,"B"))*3)+((COUNTIF('Elève (4ème2)'!IH11:IK11,"C"))*2)+((COUNTIF('Elève (4ème2)'!IH11:IK11,"D"))*1))/(COUNTA(IH11:IK11)),"")</f>
        <v/>
      </c>
      <c r="IM11" s="190" t="str">
        <f t="shared" si="50"/>
        <v/>
      </c>
      <c r="IN11" s="217">
        <f>IF(COUNT(HZ11,IF11,IL11)=0,"",SUM(HZ11,IF11,IL11)/COUNT(HZ11,IF11,IL11))</f>
        <v>3.75</v>
      </c>
      <c r="IO11" s="214" t="str">
        <f t="shared" si="51"/>
        <v>A</v>
      </c>
      <c r="IP11" s="127" t="s">
        <v>30</v>
      </c>
      <c r="IQ11" s="132"/>
      <c r="IR11" s="133"/>
      <c r="IS11" s="189">
        <f>IFERROR((((COUNTIF('Elève (4ème2)'!IP11:IR11,"A"))*4)+((COUNTIF('Elève (4ème2)'!IP11:IR11,"B"))*3)+((COUNTIF('Elève (4ème2)'!IP11:IR11,"C"))*2)+((COUNTIF('Elève (4ème2)'!IP11:IR11,"D"))*1))/(COUNTA(IP11:IR11)),"")</f>
        <v>3</v>
      </c>
      <c r="IT11" s="190" t="str">
        <f t="shared" si="52"/>
        <v>B</v>
      </c>
      <c r="IU11" s="127" t="s">
        <v>30</v>
      </c>
      <c r="IV11" s="132"/>
      <c r="IW11" s="129" t="s">
        <v>30</v>
      </c>
      <c r="IX11" s="133"/>
      <c r="IY11" s="189">
        <f>IFERROR((((COUNTIF('Elève (4ème2)'!IU11:IX11,"A"))*4)+((COUNTIF('Elève (4ème2)'!IU11:IX11,"B"))*3)+((COUNTIF('Elève (4ème2)'!IU11:IX11,"C"))*2)+((COUNTIF('Elève (4ème2)'!IU11:IX11,"D"))*1))/(COUNTA(IU11:IX11)),"")</f>
        <v>3</v>
      </c>
      <c r="IZ11" s="190" t="str">
        <f t="shared" si="53"/>
        <v>B</v>
      </c>
      <c r="JA11" s="134"/>
      <c r="JB11" s="132"/>
      <c r="JC11" s="133"/>
      <c r="JD11" s="136"/>
      <c r="JE11" s="189" t="str">
        <f>IFERROR((((COUNTIF('Elève (4ème2)'!JA11:JD11,"A"))*4)+((COUNTIF('Elève (4ème2)'!JA11:JD11,"B"))*3)+((COUNTIF('Elève (4ème2)'!JA11:JD11,"C"))*2)+((COUNTIF('Elève (4ème2)'!JA11:JD11,"D"))*1))/(COUNTA(JA11:JD11)),"")</f>
        <v/>
      </c>
      <c r="JF11" s="190" t="str">
        <f t="shared" si="54"/>
        <v/>
      </c>
      <c r="JG11" s="217">
        <f>IF(COUNT(IS11,IY11,JE11)=0,"",SUM(IS11,IY11,JE11)/COUNT(IS11,IY11,JE11))</f>
        <v>3</v>
      </c>
      <c r="JH11" s="214" t="str">
        <f t="shared" si="55"/>
        <v>B</v>
      </c>
      <c r="JI11" s="127" t="s">
        <v>29</v>
      </c>
      <c r="JJ11" s="132"/>
      <c r="JK11" s="133"/>
      <c r="JL11" s="189">
        <f>IFERROR((((COUNTIF('Elève (4ème2)'!JI11:JK11,"A"))*4)+((COUNTIF('Elève (4ème2)'!JI11:JK11,"B"))*3)+((COUNTIF('Elève (4ème2)'!JI11:JK11,"C"))*2)+((COUNTIF('Elève (4ème2)'!JI11:JK11,"D"))*1))/(COUNTA(JI11:JK11)),"")</f>
        <v>4</v>
      </c>
      <c r="JM11" s="190" t="str">
        <f t="shared" si="56"/>
        <v>A</v>
      </c>
      <c r="JN11" s="127" t="s">
        <v>29</v>
      </c>
      <c r="JO11" s="132"/>
      <c r="JP11" s="129" t="s">
        <v>30</v>
      </c>
      <c r="JQ11" s="133"/>
      <c r="JR11" s="189">
        <f>IFERROR((((COUNTIF('Elève (4ème2)'!JN11:JQ11,"A"))*4)+((COUNTIF('Elève (4ème2)'!JN11:JQ11,"B"))*3)+((COUNTIF('Elève (4ème2)'!JN11:JQ11,"C"))*2)+((COUNTIF('Elève (4ème2)'!JN11:JQ11,"D"))*1))/(COUNTA(JN11:JQ11)),"")</f>
        <v>3.5</v>
      </c>
      <c r="JS11" s="190" t="str">
        <f t="shared" si="57"/>
        <v>B</v>
      </c>
      <c r="JT11" s="134"/>
      <c r="JU11" s="132"/>
      <c r="JV11" s="133"/>
      <c r="JW11" s="136"/>
      <c r="JX11" s="189" t="str">
        <f>IFERROR((((COUNTIF('Elève (4ème2)'!JT11:JW11,"A"))*4)+((COUNTIF('Elève (4ème2)'!JT11:JW11,"B"))*3)+((COUNTIF('Elève (4ème2)'!JT11:JW11,"C"))*2)+((COUNTIF('Elève (4ème2)'!JT11:JW11,"D"))*1))/(COUNTA(JT11:JW11)),"")</f>
        <v/>
      </c>
      <c r="JY11" s="190" t="str">
        <f t="shared" si="58"/>
        <v/>
      </c>
      <c r="JZ11" s="217">
        <f>IF(COUNT(JL11,JR11,JX11)=0,"",SUM(JL11,JR11,JX11)/COUNT(JL11,JR11,JX11))</f>
        <v>3.75</v>
      </c>
      <c r="KA11" s="214" t="str">
        <f t="shared" si="59"/>
        <v>A</v>
      </c>
      <c r="KB11" s="127" t="s">
        <v>29</v>
      </c>
      <c r="KC11" s="132"/>
      <c r="KD11" s="133"/>
      <c r="KE11" s="189">
        <f>IFERROR((((COUNTIF('Elève (4ème2)'!KB11:KD11,"A"))*4)+((COUNTIF('Elève (4ème2)'!KB11:KD11,"B"))*3)+((COUNTIF('Elève (4ème2)'!KB11:KD11,"C"))*2)+((COUNTIF('Elève (4ème2)'!KB11:KD11,"D"))*1))/(COUNTA(KB11:KD11)),"")</f>
        <v>4</v>
      </c>
      <c r="KF11" s="190" t="str">
        <f t="shared" si="60"/>
        <v>A</v>
      </c>
      <c r="KG11" s="127" t="s">
        <v>29</v>
      </c>
      <c r="KH11" s="132"/>
      <c r="KI11" s="129" t="s">
        <v>30</v>
      </c>
      <c r="KJ11" s="133"/>
      <c r="KK11" s="189">
        <f>IFERROR((((COUNTIF('Elève (4ème2)'!KG11:KJ11,"A"))*4)+((COUNTIF('Elève (4ème2)'!KG11:KJ11,"B"))*3)+((COUNTIF('Elève (4ème2)'!KG11:KJ11,"C"))*2)+((COUNTIF('Elève (4ème2)'!KG11:KJ11,"D"))*1))/(COUNTA(KG11:KJ11)),"")</f>
        <v>3.5</v>
      </c>
      <c r="KL11" s="190" t="str">
        <f t="shared" si="61"/>
        <v>B</v>
      </c>
      <c r="KM11" s="134"/>
      <c r="KN11" s="132"/>
      <c r="KO11" s="133"/>
      <c r="KP11" s="136"/>
      <c r="KQ11" s="189" t="str">
        <f>IFERROR((((COUNTIF('Elève (4ème2)'!KM11:KP11,"A"))*4)+((COUNTIF('Elève (4ème2)'!KM11:KP11,"B"))*3)+((COUNTIF('Elève (4ème2)'!KM11:KP11,"C"))*2)+((COUNTIF('Elève (4ème2)'!KM11:KP11,"D"))*1))/(COUNTA(KM11:KP11)),"")</f>
        <v/>
      </c>
      <c r="KR11" s="190" t="str">
        <f t="shared" si="62"/>
        <v/>
      </c>
      <c r="KS11" s="217">
        <f>IF(COUNT(KE11,KK11,KQ11)=0,"",SUM(KE11,KK11,KQ11)/COUNT(KE11,KK11,KQ11))</f>
        <v>3.75</v>
      </c>
      <c r="KT11" s="214" t="str">
        <f t="shared" si="63"/>
        <v>A</v>
      </c>
      <c r="KU11" s="127" t="s">
        <v>29</v>
      </c>
      <c r="KV11" s="132"/>
      <c r="KW11" s="133"/>
      <c r="KX11" s="189">
        <f>IFERROR((((COUNTIF('Elève (4ème2)'!KU11:KW11,"A"))*4)+((COUNTIF('Elève (4ème2)'!KU11:KW11,"B"))*3)+((COUNTIF('Elève (4ème2)'!KU11:KW11,"C"))*2)+((COUNTIF('Elève (4ème2)'!KU11:KW11,"D"))*1))/(COUNTA(KU11:KW11)),"")</f>
        <v>4</v>
      </c>
      <c r="KY11" s="190" t="str">
        <f t="shared" si="64"/>
        <v>A</v>
      </c>
      <c r="KZ11" s="127" t="s">
        <v>30</v>
      </c>
      <c r="LA11" s="132"/>
      <c r="LB11" s="129" t="s">
        <v>30</v>
      </c>
      <c r="LC11" s="133"/>
      <c r="LD11" s="189">
        <f>IFERROR((((COUNTIF('Elève (4ème2)'!KZ11:LC11,"A"))*4)+((COUNTIF('Elève (4ème2)'!KZ11:LC11,"B"))*3)+((COUNTIF('Elève (4ème2)'!KZ11:LC11,"C"))*2)+((COUNTIF('Elève (4ème2)'!KZ11:LC11,"D"))*1))/(COUNTA(KZ11:LC11)),"")</f>
        <v>3</v>
      </c>
      <c r="LE11" s="190" t="str">
        <f t="shared" si="65"/>
        <v>B</v>
      </c>
      <c r="LF11" s="134"/>
      <c r="LG11" s="132"/>
      <c r="LH11" s="133"/>
      <c r="LI11" s="136"/>
      <c r="LJ11" s="189" t="str">
        <f>IFERROR((((COUNTIF('Elève (4ème2)'!LF11:LI11,"A"))*4)+((COUNTIF('Elève (4ème2)'!LF11:LI11,"B"))*3)+((COUNTIF('Elève (4ème2)'!LF11:LI11,"C"))*2)+((COUNTIF('Elève (4ème2)'!LF11:LI11,"D"))*1))/(COUNTA(LF11:LI11)),"")</f>
        <v/>
      </c>
      <c r="LK11" s="190" t="str">
        <f t="shared" si="66"/>
        <v/>
      </c>
      <c r="LL11" s="217">
        <f>IF(COUNT(KX11,LD11,LJ11)=0,"",SUM(KX11,LD11,LJ11)/COUNT(KX11,LD11,LJ11))</f>
        <v>3.5</v>
      </c>
      <c r="LM11" s="214" t="str">
        <f t="shared" si="67"/>
        <v>B</v>
      </c>
      <c r="LN11" s="127" t="s">
        <v>29</v>
      </c>
      <c r="LO11" s="132"/>
      <c r="LP11" s="133"/>
      <c r="LQ11" s="189">
        <f>IFERROR((((COUNTIF('Elève (4ème2)'!LN11:LP11,"A"))*4)+((COUNTIF('Elève (4ème2)'!LN11:LP11,"B"))*3)+((COUNTIF('Elève (4ème2)'!LN11:LP11,"C"))*2)+((COUNTIF('Elève (4ème2)'!LN11:LP11,"D"))*1))/(COUNTA(LN11:LP11)),"")</f>
        <v>4</v>
      </c>
      <c r="LR11" s="190" t="str">
        <f t="shared" si="68"/>
        <v>A</v>
      </c>
      <c r="LS11" s="127" t="s">
        <v>29</v>
      </c>
      <c r="LT11" s="132"/>
      <c r="LU11" s="129" t="s">
        <v>30</v>
      </c>
      <c r="LV11" s="133"/>
      <c r="LW11" s="189">
        <f>IFERROR((((COUNTIF('Elève (4ème2)'!LS11:LV11,"A"))*4)+((COUNTIF('Elève (4ème2)'!LS11:LV11,"B"))*3)+((COUNTIF('Elève (4ème2)'!LS11:LV11,"C"))*2)+((COUNTIF('Elève (4ème2)'!LS11:LV11,"D"))*1))/(COUNTA(LS11:LV11)),"")</f>
        <v>3.5</v>
      </c>
      <c r="LX11" s="190" t="str">
        <f t="shared" si="69"/>
        <v>B</v>
      </c>
      <c r="LY11" s="134"/>
      <c r="LZ11" s="132"/>
      <c r="MA11" s="133"/>
      <c r="MB11" s="136"/>
      <c r="MC11" s="189" t="str">
        <f>IFERROR((((COUNTIF('Elève (4ème2)'!LY11:MB11,"A"))*4)+((COUNTIF('Elève (4ème2)'!LY11:MB11,"B"))*3)+((COUNTIF('Elève (4ème2)'!LY11:MB11,"C"))*2)+((COUNTIF('Elève (4ème2)'!LY11:MB11,"D"))*1))/(COUNTA(LY11:MB11)),"")</f>
        <v/>
      </c>
      <c r="MD11" s="190" t="str">
        <f t="shared" si="70"/>
        <v/>
      </c>
      <c r="ME11" s="217">
        <f>IF(COUNT(LQ11,LW11,MC11)=0,"",SUM(LQ11,LW11,MC11)/COUNT(LQ11,LW11,MC11))</f>
        <v>3.75</v>
      </c>
      <c r="MF11" s="214" t="str">
        <f t="shared" si="71"/>
        <v>A</v>
      </c>
      <c r="MG11" s="127" t="s">
        <v>29</v>
      </c>
      <c r="MH11" s="132"/>
      <c r="MI11" s="133"/>
      <c r="MJ11" s="189">
        <f>IFERROR((((COUNTIF('Elève (4ème2)'!MG11:MI11,"A"))*4)+((COUNTIF('Elève (4ème2)'!MG11:MI11,"B"))*3)+((COUNTIF('Elève (4ème2)'!MG11:MI11,"C"))*2)+((COUNTIF('Elève (4ème2)'!MG11:MI11,"D"))*1))/(COUNTA(MG11:MI11)),"")</f>
        <v>4</v>
      </c>
      <c r="MK11" s="190" t="str">
        <f t="shared" si="72"/>
        <v>A</v>
      </c>
      <c r="ML11" s="127" t="s">
        <v>29</v>
      </c>
      <c r="MM11" s="132"/>
      <c r="MN11" s="129" t="s">
        <v>30</v>
      </c>
      <c r="MO11" s="133"/>
      <c r="MP11" s="189">
        <f>IFERROR((((COUNTIF('Elève (4ème2)'!ML11:MO11,"A"))*4)+((COUNTIF('Elève (4ème2)'!ML11:MO11,"B"))*3)+((COUNTIF('Elève (4ème2)'!ML11:MO11,"C"))*2)+((COUNTIF('Elève (4ème2)'!ML11:MO11,"D"))*1))/(COUNTA(ML11:MO11)),"")</f>
        <v>3.5</v>
      </c>
      <c r="MQ11" s="190" t="str">
        <f t="shared" si="73"/>
        <v>B</v>
      </c>
      <c r="MR11" s="134"/>
      <c r="MS11" s="132"/>
      <c r="MT11" s="133"/>
      <c r="MU11" s="136"/>
      <c r="MV11" s="189" t="str">
        <f>IFERROR((((COUNTIF('Elève (4ème2)'!MR11:MU11,"A"))*4)+((COUNTIF('Elève (4ème2)'!MR11:MU11,"B"))*3)+((COUNTIF('Elève (4ème2)'!MR11:MU11,"C"))*2)+((COUNTIF('Elève (4ème2)'!MR11:MU11,"D"))*1))/(COUNTA(MR11:MU11)),"")</f>
        <v/>
      </c>
      <c r="MW11" s="190" t="str">
        <f t="shared" si="74"/>
        <v/>
      </c>
      <c r="MX11" s="217">
        <f>IF(COUNT(MJ11,MP11,MV11)=0,"",SUM(MJ11,MP11,MV11)/COUNT(MJ11,MP11,MV11))</f>
        <v>3.75</v>
      </c>
      <c r="MY11" s="214" t="str">
        <f t="shared" si="75"/>
        <v>A</v>
      </c>
      <c r="MZ11" s="127" t="s">
        <v>29</v>
      </c>
      <c r="NA11" s="132"/>
      <c r="NB11" s="133"/>
      <c r="NC11" s="189">
        <f>IFERROR((((COUNTIF('Elève (4ème2)'!MZ11:NB11,"A"))*4)+((COUNTIF('Elève (4ème2)'!MZ11:NB11,"B"))*3)+((COUNTIF('Elève (4ème2)'!MZ11:NB11,"C"))*2)+((COUNTIF('Elève (4ème2)'!MZ11:NB11,"D"))*1))/(COUNTA(MZ11:NB11)),"")</f>
        <v>4</v>
      </c>
      <c r="ND11" s="190" t="str">
        <f t="shared" si="76"/>
        <v>A</v>
      </c>
      <c r="NE11" s="127" t="s">
        <v>30</v>
      </c>
      <c r="NF11" s="132"/>
      <c r="NG11" s="129" t="s">
        <v>29</v>
      </c>
      <c r="NH11" s="133"/>
      <c r="NI11" s="189">
        <f>IFERROR((((COUNTIF('Elève (4ème2)'!NE11:NH11,"A"))*4)+((COUNTIF('Elève (4ème2)'!NE11:NH11,"B"))*3)+((COUNTIF('Elève (4ème2)'!NE11:NH11,"C"))*2)+((COUNTIF('Elève (4ème2)'!NE11:NH11,"D"))*1))/(COUNTA(NE11:NH11)),"")</f>
        <v>3.5</v>
      </c>
      <c r="NJ11" s="190" t="str">
        <f t="shared" si="77"/>
        <v>B</v>
      </c>
      <c r="NK11" s="134"/>
      <c r="NL11" s="132"/>
      <c r="NM11" s="133"/>
      <c r="NN11" s="136"/>
      <c r="NO11" s="189" t="str">
        <f>IFERROR((((COUNTIF('Elève (4ème2)'!NK11:NN11,"A"))*4)+((COUNTIF('Elève (4ème2)'!NK11:NN11,"B"))*3)+((COUNTIF('Elève (4ème2)'!NK11:NN11,"C"))*2)+((COUNTIF('Elève (4ème2)'!NK11:NN11,"D"))*1))/(COUNTA(NK11:NN11)),"")</f>
        <v/>
      </c>
      <c r="NP11" s="190" t="str">
        <f t="shared" si="78"/>
        <v/>
      </c>
      <c r="NQ11" s="217">
        <f>IF(COUNT(NC11,NI11,NO11)=0,"",SUM(NC11,NI11,NO11)/COUNT(NC11,NI11,NO11))</f>
        <v>3.75</v>
      </c>
      <c r="NR11" s="214" t="str">
        <f t="shared" si="79"/>
        <v>A</v>
      </c>
      <c r="NS11" s="127" t="s">
        <v>30</v>
      </c>
      <c r="NT11" s="132"/>
      <c r="NU11" s="133"/>
      <c r="NV11" s="189">
        <f>IFERROR((((COUNTIF('Elève (4ème2)'!NS11:NU11,"A"))*4)+((COUNTIF('Elève (4ème2)'!NS11:NU11,"B"))*3)+((COUNTIF('Elève (4ème2)'!NS11:NU11,"C"))*2)+((COUNTIF('Elève (4ème2)'!NS11:NU11,"D"))*1))/(COUNTA(NS11:NU11)),"")</f>
        <v>3</v>
      </c>
      <c r="NW11" s="190" t="str">
        <f t="shared" si="80"/>
        <v>B</v>
      </c>
      <c r="NX11" s="127" t="s">
        <v>30</v>
      </c>
      <c r="NY11" s="132"/>
      <c r="NZ11" s="129" t="s">
        <v>30</v>
      </c>
      <c r="OA11" s="133"/>
      <c r="OB11" s="189">
        <f>IFERROR((((COUNTIF('Elève (4ème2)'!NX11:OA11,"A"))*4)+((COUNTIF('Elève (4ème2)'!NX11:OA11,"B"))*3)+((COUNTIF('Elève (4ème2)'!NX11:OA11,"C"))*2)+((COUNTIF('Elève (4ème2)'!NX11:OA11,"D"))*1))/(COUNTA(NX11:OA11)),"")</f>
        <v>3</v>
      </c>
      <c r="OC11" s="190" t="str">
        <f t="shared" si="81"/>
        <v>B</v>
      </c>
      <c r="OD11" s="134"/>
      <c r="OE11" s="132"/>
      <c r="OF11" s="133"/>
      <c r="OG11" s="136"/>
      <c r="OH11" s="189" t="str">
        <f>IFERROR((((COUNTIF('Elève (4ème2)'!OD11:OG11,"A"))*4)+((COUNTIF('Elève (4ème2)'!OD11:OG11,"B"))*3)+((COUNTIF('Elève (4ème2)'!OD11:OG11,"C"))*2)+((COUNTIF('Elève (4ème2)'!OD11:OG11,"D"))*1))/(COUNTA(OD11:OG11)),"")</f>
        <v/>
      </c>
      <c r="OI11" s="190" t="str">
        <f t="shared" si="82"/>
        <v/>
      </c>
      <c r="OJ11" s="217">
        <f>IF(COUNT(NV11,OB11,OH11)=0,"",SUM(NV11,OB11,OH11)/COUNT(NV11,OB11,OH11))</f>
        <v>3</v>
      </c>
      <c r="OK11" s="214" t="str">
        <f t="shared" si="83"/>
        <v>B</v>
      </c>
      <c r="OL11" s="127" t="s">
        <v>29</v>
      </c>
      <c r="OM11" s="132"/>
      <c r="ON11" s="133"/>
      <c r="OO11" s="189">
        <f>IFERROR((((COUNTIF('Elève (4ème2)'!OL11:ON11,"A"))*4)+((COUNTIF('Elève (4ème2)'!OL11:ON11,"B"))*3)+((COUNTIF('Elève (4ème2)'!OL11:ON11,"C"))*2)+((COUNTIF('Elève (4ème2)'!OL11:ON11,"D"))*1))/(COUNTA(OL11:ON11)),"")</f>
        <v>4</v>
      </c>
      <c r="OP11" s="190" t="str">
        <f t="shared" si="84"/>
        <v>A</v>
      </c>
      <c r="OQ11" s="127" t="s">
        <v>30</v>
      </c>
      <c r="OR11" s="132"/>
      <c r="OS11" s="129" t="s">
        <v>30</v>
      </c>
      <c r="OT11" s="133"/>
      <c r="OU11" s="189">
        <f>IFERROR((((COUNTIF('Elève (4ème2)'!OQ11:OT11,"A"))*4)+((COUNTIF('Elève (4ème2)'!OQ11:OT11,"B"))*3)+((COUNTIF('Elève (4ème2)'!OQ11:OT11,"C"))*2)+((COUNTIF('Elève (4ème2)'!OQ11:OT11,"D"))*1))/(COUNTA(OQ11:OT11)),"")</f>
        <v>3</v>
      </c>
      <c r="OV11" s="190" t="str">
        <f t="shared" si="85"/>
        <v>B</v>
      </c>
      <c r="OW11" s="134"/>
      <c r="OX11" s="132"/>
      <c r="OY11" s="133"/>
      <c r="OZ11" s="136"/>
      <c r="PA11" s="189" t="str">
        <f>IFERROR((((COUNTIF('Elève (4ème2)'!OW11:OZ11,"A"))*4)+((COUNTIF('Elève (4ème2)'!OW11:OZ11,"B"))*3)+((COUNTIF('Elève (4ème2)'!OW11:OZ11,"C"))*2)+((COUNTIF('Elève (4ème2)'!OW11:OZ11,"D"))*1))/(COUNTA(OW11:OZ11)),"")</f>
        <v/>
      </c>
      <c r="PB11" s="190" t="str">
        <f t="shared" si="86"/>
        <v/>
      </c>
      <c r="PC11" s="217">
        <f>IF(COUNT(OO11,OU11,PA11)=0,"",SUM(OO11,OU11,PA11)/COUNT(OO11,OU11,PA11))</f>
        <v>3.5</v>
      </c>
      <c r="PD11" s="214" t="str">
        <f t="shared" si="87"/>
        <v>B</v>
      </c>
      <c r="PE11" s="127" t="s">
        <v>29</v>
      </c>
      <c r="PF11" s="132"/>
      <c r="PG11" s="133"/>
      <c r="PH11" s="189">
        <f>IFERROR((((COUNTIF('Elève (4ème2)'!PE11:PG11,"A"))*4)+((COUNTIF('Elève (4ème2)'!PE11:PG11,"B"))*3)+((COUNTIF('Elève (4ème2)'!PE11:PG11,"C"))*2)+((COUNTIF('Elève (4ème2)'!PE11:PG11,"D"))*1))/(COUNTA(PE11:PG11)),"")</f>
        <v>4</v>
      </c>
      <c r="PI11" s="190" t="str">
        <f t="shared" si="88"/>
        <v>A</v>
      </c>
      <c r="PJ11" s="127" t="s">
        <v>30</v>
      </c>
      <c r="PK11" s="132"/>
      <c r="PL11" s="129" t="s">
        <v>29</v>
      </c>
      <c r="PM11" s="133"/>
      <c r="PN11" s="189">
        <f>IFERROR((((COUNTIF('Elève (4ème2)'!PJ11:PM11,"A"))*4)+((COUNTIF('Elève (4ème2)'!PJ11:PM11,"B"))*3)+((COUNTIF('Elève (4ème2)'!PJ11:PM11,"C"))*2)+((COUNTIF('Elève (4ème2)'!PJ11:PM11,"D"))*1))/(COUNTA(PJ11:PM11)),"")</f>
        <v>3.5</v>
      </c>
      <c r="PO11" s="190" t="str">
        <f t="shared" si="89"/>
        <v>B</v>
      </c>
      <c r="PP11" s="134"/>
      <c r="PQ11" s="132"/>
      <c r="PR11" s="133"/>
      <c r="PS11" s="136"/>
      <c r="PT11" s="189" t="str">
        <f>IFERROR((((COUNTIF('Elève (4ème2)'!PP11:PS11,"A"))*4)+((COUNTIF('Elève (4ème2)'!PP11:PS11,"B"))*3)+((COUNTIF('Elève (4ème2)'!PP11:PS11,"C"))*2)+((COUNTIF('Elève (4ème2)'!PP11:PS11,"D"))*1))/(COUNTA(PP11:PS11)),"")</f>
        <v/>
      </c>
      <c r="PU11" s="190" t="str">
        <f t="shared" si="90"/>
        <v/>
      </c>
      <c r="PV11" s="217">
        <f>IF(COUNT(PH11,PN11,PT11)=0,"",SUM(PH11,PN11,PT11)/COUNT(PH11,PN11,PT11))</f>
        <v>3.75</v>
      </c>
      <c r="PW11" s="214" t="str">
        <f t="shared" si="91"/>
        <v>A</v>
      </c>
      <c r="PX11" s="127" t="s">
        <v>29</v>
      </c>
      <c r="PY11" s="132"/>
      <c r="PZ11" s="133"/>
      <c r="QA11" s="189">
        <f>IFERROR((((COUNTIF('Elève (4ème2)'!PX11:PZ11,"A"))*4)+((COUNTIF('Elève (4ème2)'!PX11:PZ11,"B"))*3)+((COUNTIF('Elève (4ème2)'!PX11:PZ11,"C"))*2)+((COUNTIF('Elève (4ème2)'!PX11:PZ11,"D"))*1))/(COUNTA(PX11:PZ11)),"")</f>
        <v>4</v>
      </c>
      <c r="QB11" s="190" t="str">
        <f t="shared" si="92"/>
        <v>A</v>
      </c>
      <c r="QC11" s="127" t="s">
        <v>30</v>
      </c>
      <c r="QD11" s="132"/>
      <c r="QE11" s="129" t="s">
        <v>29</v>
      </c>
      <c r="QF11" s="133"/>
      <c r="QG11" s="189">
        <f>IFERROR((((COUNTIF('Elève (4ème2)'!QC11:QF11,"A"))*4)+((COUNTIF('Elève (4ème2)'!QC11:QF11,"B"))*3)+((COUNTIF('Elève (4ème2)'!QC11:QF11,"C"))*2)+((COUNTIF('Elève (4ème2)'!QC11:QF11,"D"))*1))/(COUNTA(QC11:QF11)),"")</f>
        <v>3.5</v>
      </c>
      <c r="QH11" s="190" t="str">
        <f t="shared" si="93"/>
        <v>B</v>
      </c>
      <c r="QI11" s="134"/>
      <c r="QJ11" s="132"/>
      <c r="QK11" s="133"/>
      <c r="QL11" s="136"/>
      <c r="QM11" s="189" t="str">
        <f>IFERROR((((COUNTIF('Elève (4ème2)'!QI11:QL11,"A"))*4)+((COUNTIF('Elève (4ème2)'!QI11:QL11,"B"))*3)+((COUNTIF('Elève (4ème2)'!QI11:QL11,"C"))*2)+((COUNTIF('Elève (4ème2)'!QI11:QL11,"D"))*1))/(COUNTA(QI11:QL11)),"")</f>
        <v/>
      </c>
      <c r="QN11" s="190" t="str">
        <f t="shared" si="94"/>
        <v/>
      </c>
      <c r="QO11" s="217">
        <f>IF(COUNT(QA11,QG11,QM11)=0,"",SUM(QA11,QG11,QM11)/COUNT(QA11,QG11,QM11))</f>
        <v>3.75</v>
      </c>
      <c r="QP11" s="214" t="str">
        <f t="shared" si="95"/>
        <v>A</v>
      </c>
      <c r="QQ11" s="127" t="s">
        <v>29</v>
      </c>
      <c r="QR11" s="132"/>
      <c r="QS11" s="133"/>
      <c r="QT11" s="189">
        <f>IFERROR((((COUNTIF('Elève (4ème2)'!QQ11:QS11,"A"))*4)+((COUNTIF('Elève (4ème2)'!QQ11:QS11,"B"))*3)+((COUNTIF('Elève (4ème2)'!QQ11:QS11,"C"))*2)+((COUNTIF('Elève (4ème2)'!QQ11:QS11,"D"))*1))/(COUNTA(QQ11:QS11)),"")</f>
        <v>4</v>
      </c>
      <c r="QU11" s="190" t="str">
        <f t="shared" si="96"/>
        <v>A</v>
      </c>
      <c r="QV11" s="127" t="s">
        <v>29</v>
      </c>
      <c r="QW11" s="132"/>
      <c r="QX11" s="129" t="s">
        <v>29</v>
      </c>
      <c r="QY11" s="133"/>
      <c r="QZ11" s="189">
        <f>IFERROR((((COUNTIF('Elève (4ème2)'!QV11:QY11,"A"))*4)+((COUNTIF('Elève (4ème2)'!QV11:QY11,"B"))*3)+((COUNTIF('Elève (4ème2)'!QV11:QY11,"C"))*2)+((COUNTIF('Elève (4ème2)'!QV11:QY11,"D"))*1))/(COUNTA(QV11:QY11)),"")</f>
        <v>4</v>
      </c>
      <c r="RA11" s="190" t="str">
        <f t="shared" si="97"/>
        <v>A</v>
      </c>
      <c r="RB11" s="134"/>
      <c r="RC11" s="132"/>
      <c r="RD11" s="133"/>
      <c r="RE11" s="136"/>
      <c r="RF11" s="189" t="str">
        <f>IFERROR((((COUNTIF('Elève (4ème2)'!RB11:RE11,"A"))*4)+((COUNTIF('Elève (4ème2)'!RB11:RE11,"B"))*3)+((COUNTIF('Elève (4ème2)'!RB11:RE11,"C"))*2)+((COUNTIF('Elève (4ème2)'!RB11:RE11,"D"))*1))/(COUNTA(RB11:RE11)),"")</f>
        <v/>
      </c>
      <c r="RG11" s="190" t="str">
        <f t="shared" si="98"/>
        <v/>
      </c>
      <c r="RH11" s="217">
        <f>IF(COUNT(QT11,QZ11,RF11)=0,"",SUM(QT11,QZ11,RF11)/COUNT(QT11,QZ11,RF11))</f>
        <v>4</v>
      </c>
      <c r="RI11" s="214" t="str">
        <f t="shared" si="99"/>
        <v>A</v>
      </c>
      <c r="RJ11" s="127" t="s">
        <v>29</v>
      </c>
      <c r="RK11" s="132"/>
      <c r="RL11" s="133"/>
      <c r="RM11" s="189">
        <f>IFERROR((((COUNTIF('Elève (4ème2)'!RJ11:RL11,"A"))*4)+((COUNTIF('Elève (4ème2)'!RJ11:RL11,"B"))*3)+((COUNTIF('Elève (4ème2)'!RJ11:RL11,"C"))*2)+((COUNTIF('Elève (4ème2)'!RJ11:RL11,"D"))*1))/(COUNTA(RJ11:RL11)),"")</f>
        <v>4</v>
      </c>
      <c r="RN11" s="190" t="str">
        <f t="shared" si="100"/>
        <v>A</v>
      </c>
      <c r="RO11" s="127" t="s">
        <v>29</v>
      </c>
      <c r="RP11" s="132"/>
      <c r="RQ11" s="129" t="s">
        <v>31</v>
      </c>
      <c r="RR11" s="133"/>
      <c r="RS11" s="189">
        <f>IFERROR((((COUNTIF('Elève (4ème2)'!RO11:RR11,"A"))*4)+((COUNTIF('Elève (4ème2)'!RO11:RR11,"B"))*3)+((COUNTIF('Elève (4ème2)'!RO11:RR11,"C"))*2)+((COUNTIF('Elève (4ème2)'!RO11:RR11,"D"))*1))/(COUNTA(RO11:RR11)),"")</f>
        <v>3</v>
      </c>
      <c r="RT11" s="190" t="str">
        <f t="shared" si="101"/>
        <v>B</v>
      </c>
      <c r="RU11" s="134"/>
      <c r="RV11" s="132"/>
      <c r="RW11" s="133"/>
      <c r="RX11" s="136"/>
      <c r="RY11" s="189" t="str">
        <f>IFERROR((((COUNTIF('Elève (4ème2)'!RU11:RX11,"A"))*4)+((COUNTIF('Elève (4ème2)'!RU11:RX11,"B"))*3)+((COUNTIF('Elève (4ème2)'!RU11:RX11,"C"))*2)+((COUNTIF('Elève (4ème2)'!RU11:RX11,"D"))*1))/(COUNTA(RU11:RX11)),"")</f>
        <v/>
      </c>
      <c r="RZ11" s="190" t="str">
        <f t="shared" si="102"/>
        <v/>
      </c>
      <c r="SA11" s="217">
        <f>IF(COUNT(RM11,RS11,RY11)=0,"",SUM(RM11,RS11,RY11)/COUNT(RM11,RS11,RY11))</f>
        <v>3.5</v>
      </c>
      <c r="SB11" s="214" t="str">
        <f t="shared" si="103"/>
        <v>B</v>
      </c>
      <c r="SC11" s="127" t="s">
        <v>29</v>
      </c>
      <c r="SD11" s="132"/>
      <c r="SE11" s="133"/>
      <c r="SF11" s="189">
        <f>IFERROR((((COUNTIF('Elève (4ème2)'!SC11:SE11,"A"))*4)+((COUNTIF('Elève (4ème2)'!SC11:SE11,"B"))*3)+((COUNTIF('Elève (4ème2)'!SC11:SE11,"C"))*2)+((COUNTIF('Elève (4ème2)'!SC11:SE11,"D"))*1))/(COUNTA(SC11:SE11)),"")</f>
        <v>4</v>
      </c>
      <c r="SG11" s="190" t="str">
        <f t="shared" si="104"/>
        <v>A</v>
      </c>
      <c r="SH11" s="127" t="s">
        <v>30</v>
      </c>
      <c r="SI11" s="132"/>
      <c r="SJ11" s="129" t="s">
        <v>29</v>
      </c>
      <c r="SK11" s="133"/>
      <c r="SL11" s="189">
        <f>IFERROR((((COUNTIF('Elève (4ème2)'!SH11:SK11,"A"))*4)+((COUNTIF('Elève (4ème2)'!SH11:SK11,"B"))*3)+((COUNTIF('Elève (4ème2)'!SH11:SK11,"C"))*2)+((COUNTIF('Elève (4ème2)'!SH11:SK11,"D"))*1))/(COUNTA(SH11:SK11)),"")</f>
        <v>3.5</v>
      </c>
      <c r="SM11" s="190" t="str">
        <f t="shared" si="105"/>
        <v>B</v>
      </c>
      <c r="SN11" s="134"/>
      <c r="SO11" s="132"/>
      <c r="SP11" s="133"/>
      <c r="SQ11" s="136"/>
      <c r="SR11" s="189" t="str">
        <f>IFERROR((((COUNTIF('Elève (4ème2)'!SN11:SQ11,"A"))*4)+((COUNTIF('Elève (4ème2)'!SN11:SQ11,"B"))*3)+((COUNTIF('Elève (4ème2)'!SN11:SQ11,"C"))*2)+((COUNTIF('Elève (4ème2)'!SN11:SQ11,"D"))*1))/(COUNTA(SN11:SQ11)),"")</f>
        <v/>
      </c>
      <c r="SS11" s="190" t="str">
        <f t="shared" si="106"/>
        <v/>
      </c>
      <c r="ST11" s="217">
        <f>IF(COUNT(SF11,SL11,SR11)=0,"",SUM(SF11,SL11,SR11)/COUNT(SF11,SL11,SR11))</f>
        <v>3.75</v>
      </c>
      <c r="SU11" s="214" t="str">
        <f t="shared" si="107"/>
        <v>A</v>
      </c>
      <c r="SV11" s="134"/>
      <c r="SW11" s="132"/>
      <c r="SX11" s="133"/>
      <c r="SY11" s="121" t="str">
        <f>IFERROR((((COUNTIF('Elève (4ème2)'!SV11:SX11,"A"))*4)+((COUNTIF('Elève (4ème2)'!SV11:SX11,"B"))*3)+((COUNTIF('Elève (4ème2)'!SV11:SX11,"C"))*2)+((COUNTIF('Elève (4ème2)'!SV11:SX11,"D"))*1))/(COUNTA(SV11:SX11)),"")</f>
        <v/>
      </c>
      <c r="SZ11" s="122" t="str">
        <f t="shared" si="108"/>
        <v/>
      </c>
      <c r="TA11" s="134"/>
      <c r="TB11" s="132"/>
      <c r="TC11" s="133"/>
      <c r="TD11" s="121" t="str">
        <f>IFERROR((((COUNTIF('Elève (4ème2)'!TA11:TC11,"A"))*4)+((COUNTIF('Elève (4ème2)'!TA11:TC11,"B"))*3)+((COUNTIF('Elève (4ème2)'!TA11:TC11,"C"))*2)+((COUNTIF('Elève (4ème2)'!TA11:TC11,"D"))*1))/(COUNTA(TA11:TC11)),"")</f>
        <v/>
      </c>
      <c r="TE11" s="122" t="str">
        <f t="shared" si="109"/>
        <v/>
      </c>
      <c r="TF11" s="134"/>
      <c r="TG11" s="132"/>
      <c r="TH11" s="136"/>
      <c r="TI11" s="121" t="str">
        <f>IFERROR((((COUNTIF('Elève (4ème2)'!TF11:TH11,"A"))*4)+((COUNTIF('Elève (4ème2)'!TF11:TH11,"B"))*3)+((COUNTIF('Elève (4ème2)'!TF11:TH11,"C"))*2)+((COUNTIF('Elève (4ème2)'!TF11:TH11,"D"))*1))/(COUNTA(TF11:TH11)),"")</f>
        <v/>
      </c>
      <c r="TJ11" s="122" t="str">
        <f t="shared" si="110"/>
        <v/>
      </c>
      <c r="TK11" s="146" t="str">
        <f>IF(COUNT(SY11,TD11,TI11)=0,"",SUM(SY11,TD11,TI11)/COUNT(SY11,TD11,TI11))</f>
        <v/>
      </c>
      <c r="TL11" s="125" t="str">
        <f t="shared" si="111"/>
        <v/>
      </c>
      <c r="TM11" s="134"/>
      <c r="TN11" s="132"/>
      <c r="TO11" s="133"/>
      <c r="TP11" s="121" t="str">
        <f>IFERROR((((COUNTIF('Elève (4ème2)'!TM11:TO11,"A"))*4)+((COUNTIF('Elève (4ème2)'!TM11:TO11,"B"))*3)+((COUNTIF('Elève (4ème2)'!TM11:TO11,"C"))*2)+((COUNTIF('Elève (4ème2)'!TM11:TO11,"D"))*1))/(COUNTA(TM11:TO11)),"")</f>
        <v/>
      </c>
      <c r="TQ11" s="122" t="str">
        <f t="shared" si="112"/>
        <v/>
      </c>
      <c r="TR11" s="134"/>
      <c r="TS11" s="132"/>
      <c r="TT11" s="133"/>
      <c r="TU11" s="121" t="str">
        <f>IFERROR((((COUNTIF('Elève (4ème2)'!TR11:TT11,"A"))*4)+((COUNTIF('Elève (4ème2)'!TR11:TT11,"B"))*3)+((COUNTIF('Elève (4ème2)'!TR11:TT11,"C"))*2)+((COUNTIF('Elève (4ème2)'!TR11:TT11,"D"))*1))/(COUNTA(TR11:TT11)),"")</f>
        <v/>
      </c>
      <c r="TV11" s="122" t="str">
        <f t="shared" si="113"/>
        <v/>
      </c>
      <c r="TW11" s="134"/>
      <c r="TX11" s="132"/>
      <c r="TY11" s="136"/>
      <c r="TZ11" s="121" t="str">
        <f>IFERROR((((COUNTIF('Elève (4ème2)'!TW11:TY11,"A"))*4)+((COUNTIF('Elève (4ème2)'!TW11:TY11,"B"))*3)+((COUNTIF('Elève (4ème2)'!TW11:TY11,"C"))*2)+((COUNTIF('Elève (4ème2)'!TW11:TY11,"D"))*1))/(COUNTA(TW11:TY11)),"")</f>
        <v/>
      </c>
      <c r="UA11" s="122" t="str">
        <f t="shared" si="114"/>
        <v/>
      </c>
      <c r="UB11" s="146" t="str">
        <f>IF(COUNT(TP11,TU11,TZ11)=0,"",SUM(TP11,TU11,TZ11)/COUNT(TP11,TU11,TZ11))</f>
        <v/>
      </c>
      <c r="UC11" s="125" t="str">
        <f t="shared" si="115"/>
        <v/>
      </c>
      <c r="UD11" s="134"/>
      <c r="UE11" s="132"/>
      <c r="UF11" s="133"/>
      <c r="UG11" s="121" t="str">
        <f>IFERROR((((COUNTIF('Elève (4ème2)'!UD11:UF11,"A"))*4)+((COUNTIF('Elève (4ème2)'!UD11:UF11,"B"))*3)+((COUNTIF('Elève (4ème2)'!UD11:UF11,"C"))*2)+((COUNTIF('Elève (4ème2)'!UD11:UF11,"D"))*1))/(COUNTA(UD11:UF11)),"")</f>
        <v/>
      </c>
      <c r="UH11" s="122" t="str">
        <f t="shared" si="116"/>
        <v/>
      </c>
      <c r="UI11" s="134"/>
      <c r="UJ11" s="132"/>
      <c r="UK11" s="133"/>
      <c r="UL11" s="121" t="str">
        <f>IFERROR((((COUNTIF('Elève (4ème2)'!UI11:UK11,"A"))*4)+((COUNTIF('Elève (4ème2)'!UI11:UK11,"B"))*3)+((COUNTIF('Elève (4ème2)'!UI11:UK11,"C"))*2)+((COUNTIF('Elève (4ème2)'!UI11:UK11,"D"))*1))/(COUNTA(UI11:UK11)),"")</f>
        <v/>
      </c>
      <c r="UM11" s="122" t="str">
        <f t="shared" si="117"/>
        <v/>
      </c>
      <c r="UN11" s="134"/>
      <c r="UO11" s="132"/>
      <c r="UP11" s="136"/>
      <c r="UQ11" s="121" t="str">
        <f>IFERROR((((COUNTIF('Elève (4ème2)'!UN11:UP11,"A"))*4)+((COUNTIF('Elève (4ème2)'!UN11:UP11,"B"))*3)+((COUNTIF('Elève (4ème2)'!UN11:UP11,"C"))*2)+((COUNTIF('Elève (4ème2)'!UN11:UP11,"D"))*1))/(COUNTA(UN11:UP11)),"")</f>
        <v/>
      </c>
      <c r="UR11" s="122" t="str">
        <f t="shared" si="118"/>
        <v/>
      </c>
      <c r="US11" s="146" t="str">
        <f>IF(COUNT(UG11,UL11,UQ11)=0,"",SUM(UG11,UL11,UQ11)/COUNT(UG11,UL11,UQ11))</f>
        <v/>
      </c>
      <c r="UT11" s="125" t="str">
        <f t="shared" si="119"/>
        <v/>
      </c>
    </row>
    <row r="12" spans="1:566" ht="18" customHeight="1" thickBot="1" x14ac:dyDescent="0.3">
      <c r="A12" s="254" t="s">
        <v>49</v>
      </c>
      <c r="B12" s="255"/>
      <c r="C12" s="137"/>
      <c r="D12" s="138"/>
      <c r="E12" s="139"/>
      <c r="F12" s="193" t="str">
        <f>IFERROR((((COUNTIF('Elève (4ème2)'!C12:E12,"A"))*4)+((COUNTIF('Elève (4ème2)'!C12:E12,"B"))*3)+((COUNTIF('Elève (4ème2)'!C12:E12,"C"))*2)+((COUNTIF('Elève (4ème2)'!C12:E12,"D"))*1))/(COUNTA(C12:E12)),"")</f>
        <v/>
      </c>
      <c r="G12" s="194" t="str">
        <f t="shared" si="0"/>
        <v/>
      </c>
      <c r="H12" s="137"/>
      <c r="I12" s="138"/>
      <c r="J12" s="139"/>
      <c r="K12" s="139"/>
      <c r="L12" s="193" t="str">
        <f>IFERROR((((COUNTIF('Elève (4ème2)'!H12:K12,"A"))*4)+((COUNTIF('Elève (4ème2)'!H12:K12,"B"))*3)+((COUNTIF('Elève (4ème2)'!H12:K12,"C"))*2)+((COUNTIF('Elève (4ème2)'!H12:K12,"D"))*1))/(COUNTA(H12:K12)),"")</f>
        <v/>
      </c>
      <c r="M12" s="194" t="str">
        <f t="shared" si="1"/>
        <v/>
      </c>
      <c r="N12" s="137"/>
      <c r="O12" s="138"/>
      <c r="P12" s="139"/>
      <c r="Q12" s="139"/>
      <c r="R12" s="193" t="str">
        <f>IFERROR((((COUNTIF('Elève (4ème2)'!N12:Q12,"A"))*4)+((COUNTIF('Elève (4ème2)'!N12:Q12,"B"))*3)+((COUNTIF('Elève (4ème2)'!N12:Q12,"C"))*2)+((COUNTIF('Elève (4ème2)'!N12:Q12,"D"))*1))/(COUNTA(N12:Q12)),"")</f>
        <v/>
      </c>
      <c r="S12" s="194" t="str">
        <f t="shared" si="2"/>
        <v/>
      </c>
      <c r="T12" s="193" t="str">
        <f>IF(COUNT(F12,L12,R12)=0,"",SUM(F12,L12,R12)/COUNT(F12,L12,R12))</f>
        <v/>
      </c>
      <c r="U12" s="216" t="str">
        <f t="shared" si="3"/>
        <v/>
      </c>
      <c r="V12" s="137"/>
      <c r="W12" s="138"/>
      <c r="X12" s="139"/>
      <c r="Y12" s="193" t="str">
        <f>IFERROR((((COUNTIF('Elève (4ème2)'!V12:X12,"A"))*4)+((COUNTIF('Elève (4ème2)'!V12:X12,"B"))*3)+((COUNTIF('Elève (4ème2)'!V12:X12,"C"))*2)+((COUNTIF('Elève (4ème2)'!V12:X12,"D"))*1))/(COUNTA(V12:X12)),"")</f>
        <v/>
      </c>
      <c r="Z12" s="194" t="str">
        <f t="shared" si="4"/>
        <v/>
      </c>
      <c r="AA12" s="137"/>
      <c r="AB12" s="138"/>
      <c r="AC12" s="139"/>
      <c r="AD12" s="139"/>
      <c r="AE12" s="193" t="str">
        <f>IFERROR((((COUNTIF('Elève (4ème2)'!AA12:AD12,"A"))*4)+((COUNTIF('Elève (4ème2)'!AA12:AD12,"B"))*3)+((COUNTIF('Elève (4ème2)'!AA12:AD12,"C"))*2)+((COUNTIF('Elève (4ème2)'!AA12:AD12,"D"))*1))/(COUNTA(AA12:AD12)),"")</f>
        <v/>
      </c>
      <c r="AF12" s="194" t="str">
        <f t="shared" si="5"/>
        <v/>
      </c>
      <c r="AG12" s="137"/>
      <c r="AH12" s="138"/>
      <c r="AI12" s="139"/>
      <c r="AJ12" s="143"/>
      <c r="AK12" s="193" t="str">
        <f>IFERROR((((COUNTIF('Elève (4ème2)'!AG12:AJ12,"A"))*4)+((COUNTIF('Elève (4ème2)'!AG12:AJ12,"B"))*3)+((COUNTIF('Elève (4ème2)'!AG12:AJ12,"C"))*2)+((COUNTIF('Elève (4ème2)'!AG12:AJ12,"D"))*1))/(COUNTA(AG12:AJ12)),"")</f>
        <v/>
      </c>
      <c r="AL12" s="194" t="str">
        <f t="shared" si="6"/>
        <v/>
      </c>
      <c r="AM12" s="193" t="str">
        <f>IF(COUNT(Y12,AE12,AK12)=0,"",SUM(Y12,AE12,AK12)/COUNT(Y12,AE12,AK12))</f>
        <v/>
      </c>
      <c r="AN12" s="216" t="str">
        <f t="shared" si="7"/>
        <v/>
      </c>
      <c r="AO12" s="137"/>
      <c r="AP12" s="138"/>
      <c r="AQ12" s="139"/>
      <c r="AR12" s="193" t="str">
        <f>IFERROR((((COUNTIF('Elève (4ème2)'!AO12:AQ12,"A"))*4)+((COUNTIF('Elève (4ème2)'!AO12:AQ12,"B"))*3)+((COUNTIF('Elève (4ème2)'!AO12:AQ12,"C"))*2)+((COUNTIF('Elève (4ème2)'!AO12:AQ12,"D"))*1))/(COUNTA(AO12:AQ12)),"")</f>
        <v/>
      </c>
      <c r="AS12" s="194" t="str">
        <f t="shared" si="8"/>
        <v/>
      </c>
      <c r="AT12" s="137"/>
      <c r="AU12" s="138"/>
      <c r="AV12" s="139"/>
      <c r="AW12" s="139"/>
      <c r="AX12" s="193" t="str">
        <f>IFERROR((((COUNTIF('Elève (4ème2)'!AT12:AW12,"A"))*4)+((COUNTIF('Elève (4ème2)'!AT12:AW12,"B"))*3)+((COUNTIF('Elève (4ème2)'!AT12:AW12,"C"))*2)+((COUNTIF('Elève (4ème2)'!AT12:AW12,"D"))*1))/(COUNTA(AT12:AW12)),"")</f>
        <v/>
      </c>
      <c r="AY12" s="194" t="str">
        <f t="shared" si="9"/>
        <v/>
      </c>
      <c r="AZ12" s="137"/>
      <c r="BA12" s="138"/>
      <c r="BB12" s="139"/>
      <c r="BC12" s="143"/>
      <c r="BD12" s="193" t="str">
        <f>IFERROR((((COUNTIF('Elève (4ème2)'!AZ12:BC12,"A"))*4)+((COUNTIF('Elève (4ème2)'!AZ12:BC12,"B"))*3)+((COUNTIF('Elève (4ème2)'!AZ12:BC12,"C"))*2)+((COUNTIF('Elève (4ème2)'!AZ12:BC12,"D"))*1))/(COUNTA(AZ12:BC12)),"")</f>
        <v/>
      </c>
      <c r="BE12" s="194" t="str">
        <f t="shared" si="10"/>
        <v/>
      </c>
      <c r="BF12" s="193" t="str">
        <f>IF(COUNT(AR12,AX12,BD12)=0,"",SUM(AR12,AX12,BD12)/COUNT(AR12,AX12,BD12))</f>
        <v/>
      </c>
      <c r="BG12" s="216" t="str">
        <f t="shared" si="11"/>
        <v/>
      </c>
      <c r="BH12" s="137"/>
      <c r="BI12" s="138"/>
      <c r="BJ12" s="139"/>
      <c r="BK12" s="193" t="str">
        <f>IFERROR((((COUNTIF('Elève (4ème2)'!BH12:BJ12,"A"))*4)+((COUNTIF('Elève (4ème2)'!BH12:BJ12,"B"))*3)+((COUNTIF('Elève (4ème2)'!BH12:BJ12,"C"))*2)+((COUNTIF('Elève (4ème2)'!BH12:BJ12,"D"))*1))/(COUNTA(BH12:BJ12)),"")</f>
        <v/>
      </c>
      <c r="BL12" s="194" t="str">
        <f t="shared" si="12"/>
        <v/>
      </c>
      <c r="BM12" s="137"/>
      <c r="BN12" s="138"/>
      <c r="BO12" s="139"/>
      <c r="BP12" s="139"/>
      <c r="BQ12" s="193" t="str">
        <f>IFERROR((((COUNTIF('Elève (4ème2)'!BM12:BP12,"A"))*4)+((COUNTIF('Elève (4ème2)'!BM12:BP12,"B"))*3)+((COUNTIF('Elève (4ème2)'!BM12:BP12,"C"))*2)+((COUNTIF('Elève (4ème2)'!BM12:BP12,"D"))*1))/(COUNTA(BM12:BP12)),"")</f>
        <v/>
      </c>
      <c r="BR12" s="194" t="str">
        <f t="shared" si="13"/>
        <v/>
      </c>
      <c r="BS12" s="137"/>
      <c r="BT12" s="138"/>
      <c r="BU12" s="139"/>
      <c r="BV12" s="143"/>
      <c r="BW12" s="193" t="str">
        <f>IFERROR((((COUNTIF('Elève (4ème2)'!BS12:BV12,"A"))*4)+((COUNTIF('Elève (4ème2)'!BS12:BV12,"B"))*3)+((COUNTIF('Elève (4ème2)'!BS12:BV12,"C"))*2)+((COUNTIF('Elève (4ème2)'!BS12:BV12,"D"))*1))/(COUNTA(BS12:BV12)),"")</f>
        <v/>
      </c>
      <c r="BX12" s="194" t="str">
        <f t="shared" si="14"/>
        <v/>
      </c>
      <c r="BY12" s="193" t="str">
        <f>IF(COUNT(BK12,BQ12,BW12)=0,"",SUM(BK12,BQ12,BW12)/COUNT(BK12,BQ12,BW12))</f>
        <v/>
      </c>
      <c r="BZ12" s="216" t="str">
        <f t="shared" si="15"/>
        <v/>
      </c>
      <c r="CA12" s="137"/>
      <c r="CB12" s="138"/>
      <c r="CC12" s="139"/>
      <c r="CD12" s="193" t="str">
        <f>IFERROR((((COUNTIF('Elève (4ème2)'!CA12:CC12,"A"))*4)+((COUNTIF('Elève (4ème2)'!CA12:CC12,"B"))*3)+((COUNTIF('Elève (4ème2)'!CA12:CC12,"C"))*2)+((COUNTIF('Elève (4ème2)'!CA12:CC12,"D"))*1))/(COUNTA(CA12:CC12)),"")</f>
        <v/>
      </c>
      <c r="CE12" s="194" t="str">
        <f t="shared" si="16"/>
        <v/>
      </c>
      <c r="CF12" s="137"/>
      <c r="CG12" s="138"/>
      <c r="CH12" s="139"/>
      <c r="CI12" s="139"/>
      <c r="CJ12" s="193" t="str">
        <f>IFERROR((((COUNTIF('Elève (4ème2)'!CF12:CI12,"A"))*4)+((COUNTIF('Elève (4ème2)'!CF12:CI12,"B"))*3)+((COUNTIF('Elève (4ème2)'!CF12:CI12,"C"))*2)+((COUNTIF('Elève (4ème2)'!CF12:CI12,"D"))*1))/(COUNTA(CF12:CI12)),"")</f>
        <v/>
      </c>
      <c r="CK12" s="194" t="str">
        <f t="shared" si="17"/>
        <v/>
      </c>
      <c r="CL12" s="137"/>
      <c r="CM12" s="138"/>
      <c r="CN12" s="139"/>
      <c r="CO12" s="143"/>
      <c r="CP12" s="193" t="str">
        <f>IFERROR((((COUNTIF('Elève (4ème2)'!CL12:CO12,"A"))*4)+((COUNTIF('Elève (4ème2)'!CL12:CO12,"B"))*3)+((COUNTIF('Elève (4ème2)'!CL12:CO12,"C"))*2)+((COUNTIF('Elève (4ème2)'!CL12:CO12,"D"))*1))/(COUNTA(CL12:CO12)),"")</f>
        <v/>
      </c>
      <c r="CQ12" s="194" t="str">
        <f t="shared" si="18"/>
        <v/>
      </c>
      <c r="CR12" s="193" t="str">
        <f>IF(COUNT(CD12,CJ12,CP12)=0,"",SUM(CD12,CJ12,CP12)/COUNT(CD12,CJ12,CP12))</f>
        <v/>
      </c>
      <c r="CS12" s="216" t="str">
        <f t="shared" si="19"/>
        <v/>
      </c>
      <c r="CT12" s="137"/>
      <c r="CU12" s="138"/>
      <c r="CV12" s="139"/>
      <c r="CW12" s="193" t="str">
        <f>IFERROR((((COUNTIF('Elève (4ème2)'!CT12:CV12,"A"))*4)+((COUNTIF('Elève (4ème2)'!CT12:CV12,"B"))*3)+((COUNTIF('Elève (4ème2)'!CT12:CV12,"C"))*2)+((COUNTIF('Elève (4ème2)'!CT12:CV12,"D"))*1))/(COUNTA(CT12:CV12)),"")</f>
        <v/>
      </c>
      <c r="CX12" s="194" t="str">
        <f t="shared" si="20"/>
        <v/>
      </c>
      <c r="CY12" s="137"/>
      <c r="CZ12" s="138"/>
      <c r="DA12" s="139"/>
      <c r="DB12" s="139"/>
      <c r="DC12" s="193" t="str">
        <f>IFERROR((((COUNTIF('Elève (4ème2)'!CY12:DB12,"A"))*4)+((COUNTIF('Elève (4ème2)'!CY12:DB12,"B"))*3)+((COUNTIF('Elève (4ème2)'!CY12:DB12,"C"))*2)+((COUNTIF('Elève (4ème2)'!CY12:DB12,"D"))*1))/(COUNTA(CY12:DB12)),"")</f>
        <v/>
      </c>
      <c r="DD12" s="194" t="str">
        <f t="shared" si="21"/>
        <v/>
      </c>
      <c r="DE12" s="137"/>
      <c r="DF12" s="138"/>
      <c r="DG12" s="139"/>
      <c r="DH12" s="143"/>
      <c r="DI12" s="193" t="str">
        <f>IFERROR((((COUNTIF('Elève (4ème2)'!DE12:DH12,"A"))*4)+((COUNTIF('Elève (4ème2)'!DE12:DH12,"B"))*3)+((COUNTIF('Elève (4ème2)'!DE12:DH12,"C"))*2)+((COUNTIF('Elève (4ème2)'!DE12:DH12,"D"))*1))/(COUNTA(DE12:DH12)),"")</f>
        <v/>
      </c>
      <c r="DJ12" s="194" t="str">
        <f t="shared" si="22"/>
        <v/>
      </c>
      <c r="DK12" s="193" t="str">
        <f>IF(COUNT(CW12,DC12,DI12)=0,"",SUM(CW12,DC12,DI12)/COUNT(CW12,DC12,DI12))</f>
        <v/>
      </c>
      <c r="DL12" s="216" t="str">
        <f t="shared" si="23"/>
        <v/>
      </c>
      <c r="DM12" s="137"/>
      <c r="DN12" s="138"/>
      <c r="DO12" s="139"/>
      <c r="DP12" s="193" t="str">
        <f>IFERROR((((COUNTIF('Elève (4ème2)'!DM12:DO12,"A"))*4)+((COUNTIF('Elève (4ème2)'!DM12:DO12,"B"))*3)+((COUNTIF('Elève (4ème2)'!DM12:DO12,"C"))*2)+((COUNTIF('Elève (4ème2)'!DM12:DO12,"D"))*1))/(COUNTA(DM12:DO12)),"")</f>
        <v/>
      </c>
      <c r="DQ12" s="194" t="str">
        <f t="shared" si="24"/>
        <v/>
      </c>
      <c r="DR12" s="137"/>
      <c r="DS12" s="138"/>
      <c r="DT12" s="139"/>
      <c r="DU12" s="139"/>
      <c r="DV12" s="193" t="str">
        <f>IFERROR((((COUNTIF('Elève (4ème2)'!DR12:DU12,"A"))*4)+((COUNTIF('Elève (4ème2)'!DR12:DU12,"B"))*3)+((COUNTIF('Elève (4ème2)'!DR12:DU12,"C"))*2)+((COUNTIF('Elève (4ème2)'!DR12:DU12,"D"))*1))/(COUNTA(DR12:DU12)),"")</f>
        <v/>
      </c>
      <c r="DW12" s="194" t="str">
        <f t="shared" si="25"/>
        <v/>
      </c>
      <c r="DX12" s="137"/>
      <c r="DY12" s="138"/>
      <c r="DZ12" s="139"/>
      <c r="EA12" s="143"/>
      <c r="EB12" s="193" t="str">
        <f>IFERROR((((COUNTIF('Elève (4ème2)'!DX12:EA12,"A"))*4)+((COUNTIF('Elève (4ème2)'!DX12:EA12,"B"))*3)+((COUNTIF('Elève (4ème2)'!DX12:EA12,"C"))*2)+((COUNTIF('Elève (4ème2)'!DX12:EA12,"D"))*1))/(COUNTA(DX12:EA12)),"")</f>
        <v/>
      </c>
      <c r="EC12" s="194" t="str">
        <f t="shared" si="26"/>
        <v/>
      </c>
      <c r="ED12" s="193" t="str">
        <f>IF(COUNT(DP12,DV12,EB12)=0,"",SUM(DP12,DV12,EB12)/COUNT(DP12,DV12,EB12))</f>
        <v/>
      </c>
      <c r="EE12" s="216" t="str">
        <f t="shared" si="27"/>
        <v/>
      </c>
      <c r="EF12" s="137"/>
      <c r="EG12" s="138"/>
      <c r="EH12" s="139"/>
      <c r="EI12" s="193" t="str">
        <f>IFERROR((((COUNTIF('Elève (4ème2)'!EF12:EH12,"A"))*4)+((COUNTIF('Elève (4ème2)'!EF12:EH12,"B"))*3)+((COUNTIF('Elève (4ème2)'!EF12:EH12,"C"))*2)+((COUNTIF('Elève (4ème2)'!EF12:EH12,"D"))*1))/(COUNTA(EF12:EH12)),"")</f>
        <v/>
      </c>
      <c r="EJ12" s="194" t="str">
        <f t="shared" si="28"/>
        <v/>
      </c>
      <c r="EK12" s="137"/>
      <c r="EL12" s="138"/>
      <c r="EM12" s="139"/>
      <c r="EN12" s="139"/>
      <c r="EO12" s="193" t="str">
        <f>IFERROR((((COUNTIF('Elève (4ème2)'!EK12:EN12,"A"))*4)+((COUNTIF('Elève (4ème2)'!EK12:EN12,"B"))*3)+((COUNTIF('Elève (4ème2)'!EK12:EN12,"C"))*2)+((COUNTIF('Elève (4ème2)'!EK12:EN12,"D"))*1))/(COUNTA(EK12:EN12)),"")</f>
        <v/>
      </c>
      <c r="EP12" s="194" t="str">
        <f t="shared" si="29"/>
        <v/>
      </c>
      <c r="EQ12" s="137"/>
      <c r="ER12" s="138"/>
      <c r="ES12" s="139"/>
      <c r="ET12" s="143"/>
      <c r="EU12" s="193" t="str">
        <f>IFERROR((((COUNTIF('Elève (4ème2)'!EQ12:ET12,"A"))*4)+((COUNTIF('Elève (4ème2)'!EQ12:ET12,"B"))*3)+((COUNTIF('Elève (4ème2)'!EQ12:ET12,"C"))*2)+((COUNTIF('Elève (4ème2)'!EQ12:ET12,"D"))*1))/(COUNTA(EQ12:ET12)),"")</f>
        <v/>
      </c>
      <c r="EV12" s="194" t="str">
        <f t="shared" si="30"/>
        <v/>
      </c>
      <c r="EW12" s="193" t="str">
        <f>IF(COUNT(EI12,EO12,EU12)=0,"",SUM(EI12,EO12,EU12)/COUNT(EI12,EO12,EU12))</f>
        <v/>
      </c>
      <c r="EX12" s="216" t="str">
        <f t="shared" si="31"/>
        <v/>
      </c>
      <c r="EY12" s="137"/>
      <c r="EZ12" s="138"/>
      <c r="FA12" s="139"/>
      <c r="FB12" s="193" t="str">
        <f>IFERROR((((COUNTIF('Elève (4ème2)'!EY12:FA12,"A"))*4)+((COUNTIF('Elève (4ème2)'!EY12:FA12,"B"))*3)+((COUNTIF('Elève (4ème2)'!EY12:FA12,"C"))*2)+((COUNTIF('Elève (4ème2)'!EY12:FA12,"D"))*1))/(COUNTA(EY12:FA12)),"")</f>
        <v/>
      </c>
      <c r="FC12" s="194" t="str">
        <f t="shared" si="32"/>
        <v/>
      </c>
      <c r="FD12" s="137"/>
      <c r="FE12" s="138"/>
      <c r="FF12" s="139"/>
      <c r="FG12" s="139"/>
      <c r="FH12" s="193" t="str">
        <f>IFERROR((((COUNTIF('Elève (4ème2)'!FD12:FG12,"A"))*4)+((COUNTIF('Elève (4ème2)'!FD12:FG12,"B"))*3)+((COUNTIF('Elève (4ème2)'!FD12:FG12,"C"))*2)+((COUNTIF('Elève (4ème2)'!FD12:FG12,"D"))*1))/(COUNTA(FD12:FG12)),"")</f>
        <v/>
      </c>
      <c r="FI12" s="194" t="str">
        <f t="shared" si="33"/>
        <v/>
      </c>
      <c r="FJ12" s="137"/>
      <c r="FK12" s="138"/>
      <c r="FL12" s="139"/>
      <c r="FM12" s="143"/>
      <c r="FN12" s="193" t="str">
        <f>IFERROR((((COUNTIF('Elève (4ème2)'!FJ12:FM12,"A"))*4)+((COUNTIF('Elève (4ème2)'!FJ12:FM12,"B"))*3)+((COUNTIF('Elève (4ème2)'!FJ12:FM12,"C"))*2)+((COUNTIF('Elève (4ème2)'!FJ12:FM12,"D"))*1))/(COUNTA(FJ12:FM12)),"")</f>
        <v/>
      </c>
      <c r="FO12" s="194" t="str">
        <f t="shared" si="34"/>
        <v/>
      </c>
      <c r="FP12" s="193" t="str">
        <f>IF(COUNT(FB12,FH12,FN12)=0,"",SUM(FB12,FH12,FN12)/COUNT(FB12,FH12,FN12))</f>
        <v/>
      </c>
      <c r="FQ12" s="216" t="str">
        <f t="shared" si="35"/>
        <v/>
      </c>
      <c r="FR12" s="137"/>
      <c r="FS12" s="138"/>
      <c r="FT12" s="139"/>
      <c r="FU12" s="193" t="str">
        <f>IFERROR((((COUNTIF('Elève (4ème2)'!FR12:FT12,"A"))*4)+((COUNTIF('Elève (4ème2)'!FR12:FT12,"B"))*3)+((COUNTIF('Elève (4ème2)'!FR12:FT12,"C"))*2)+((COUNTIF('Elève (4ème2)'!FR12:FT12,"D"))*1))/(COUNTA(FR12:FT12)),"")</f>
        <v/>
      </c>
      <c r="FV12" s="194" t="str">
        <f t="shared" si="36"/>
        <v/>
      </c>
      <c r="FW12" s="137"/>
      <c r="FX12" s="138"/>
      <c r="FY12" s="139"/>
      <c r="FZ12" s="139"/>
      <c r="GA12" s="193" t="str">
        <f>IFERROR((((COUNTIF('Elève (4ème2)'!FW12:FZ12,"A"))*4)+((COUNTIF('Elève (4ème2)'!FW12:FZ12,"B"))*3)+((COUNTIF('Elève (4ème2)'!FW12:FZ12,"C"))*2)+((COUNTIF('Elève (4ème2)'!FW12:FZ12,"D"))*1))/(COUNTA(FW12:FZ12)),"")</f>
        <v/>
      </c>
      <c r="GB12" s="194" t="str">
        <f t="shared" si="37"/>
        <v/>
      </c>
      <c r="GC12" s="137"/>
      <c r="GD12" s="138"/>
      <c r="GE12" s="139"/>
      <c r="GF12" s="143"/>
      <c r="GG12" s="193" t="str">
        <f>IFERROR((((COUNTIF('Elève (4ème2)'!GC12:GF12,"A"))*4)+((COUNTIF('Elève (4ème2)'!GC12:GF12,"B"))*3)+((COUNTIF('Elève (4ème2)'!GC12:GF12,"C"))*2)+((COUNTIF('Elève (4ème2)'!GC12:GF12,"D"))*1))/(COUNTA(GC12:GF12)),"")</f>
        <v/>
      </c>
      <c r="GH12" s="194" t="str">
        <f t="shared" si="38"/>
        <v/>
      </c>
      <c r="GI12" s="193" t="str">
        <f>IF(COUNT(FU12,GA12,GG12)=0,"",SUM(FU12,GA12,GG12)/COUNT(FU12,GA12,GG12))</f>
        <v/>
      </c>
      <c r="GJ12" s="216" t="str">
        <f t="shared" si="39"/>
        <v/>
      </c>
      <c r="GK12" s="137"/>
      <c r="GL12" s="138"/>
      <c r="GM12" s="139"/>
      <c r="GN12" s="193" t="str">
        <f>IFERROR((((COUNTIF('Elève (4ème2)'!GK12:GM12,"A"))*4)+((COUNTIF('Elève (4ème2)'!GK12:GM12,"B"))*3)+((COUNTIF('Elève (4ème2)'!GK12:GM12,"C"))*2)+((COUNTIF('Elève (4ème2)'!GK12:GM12,"D"))*1))/(COUNTA(GK12:GM12)),"")</f>
        <v/>
      </c>
      <c r="GO12" s="194" t="str">
        <f t="shared" si="40"/>
        <v/>
      </c>
      <c r="GP12" s="137"/>
      <c r="GQ12" s="138"/>
      <c r="GR12" s="139"/>
      <c r="GS12" s="139"/>
      <c r="GT12" s="193" t="str">
        <f>IFERROR((((COUNTIF('Elève (4ème2)'!GP12:GS12,"A"))*4)+((COUNTIF('Elève (4ème2)'!GP12:GS12,"B"))*3)+((COUNTIF('Elève (4ème2)'!GP12:GS12,"C"))*2)+((COUNTIF('Elève (4ème2)'!GP12:GS12,"D"))*1))/(COUNTA(GP12:GS12)),"")</f>
        <v/>
      </c>
      <c r="GU12" s="194" t="str">
        <f t="shared" si="41"/>
        <v/>
      </c>
      <c r="GV12" s="137"/>
      <c r="GW12" s="138"/>
      <c r="GX12" s="139"/>
      <c r="GY12" s="143"/>
      <c r="GZ12" s="193" t="str">
        <f>IFERROR((((COUNTIF('Elève (4ème2)'!GV12:GY12,"A"))*4)+((COUNTIF('Elève (4ème2)'!GV12:GY12,"B"))*3)+((COUNTIF('Elève (4ème2)'!GV12:GY12,"C"))*2)+((COUNTIF('Elève (4ème2)'!GV12:GY12,"D"))*1))/(COUNTA(GV12:GY12)),"")</f>
        <v/>
      </c>
      <c r="HA12" s="194" t="str">
        <f t="shared" si="42"/>
        <v/>
      </c>
      <c r="HB12" s="193" t="str">
        <f>IF(COUNT(GN12,GT12,GZ12)=0,"",SUM(GN12,GT12,GZ12)/COUNT(GN12,GT12,GZ12))</f>
        <v/>
      </c>
      <c r="HC12" s="216" t="str">
        <f t="shared" si="43"/>
        <v/>
      </c>
      <c r="HD12" s="137"/>
      <c r="HE12" s="138"/>
      <c r="HF12" s="139"/>
      <c r="HG12" s="193" t="str">
        <f>IFERROR((((COUNTIF('Elève (4ème2)'!HD12:HF12,"A"))*4)+((COUNTIF('Elève (4ème2)'!HD12:HF12,"B"))*3)+((COUNTIF('Elève (4ème2)'!HD12:HF12,"C"))*2)+((COUNTIF('Elève (4ème2)'!HD12:HF12,"D"))*1))/(COUNTA(HD12:HF12)),"")</f>
        <v/>
      </c>
      <c r="HH12" s="194" t="str">
        <f t="shared" si="44"/>
        <v/>
      </c>
      <c r="HI12" s="137"/>
      <c r="HJ12" s="138"/>
      <c r="HK12" s="139"/>
      <c r="HL12" s="139"/>
      <c r="HM12" s="193" t="str">
        <f>IFERROR((((COUNTIF('Elève (4ème2)'!HI12:HL12,"A"))*4)+((COUNTIF('Elève (4ème2)'!HI12:HL12,"B"))*3)+((COUNTIF('Elève (4ème2)'!HI12:HL12,"C"))*2)+((COUNTIF('Elève (4ème2)'!HI12:HL12,"D"))*1))/(COUNTA(HI12:HL12)),"")</f>
        <v/>
      </c>
      <c r="HN12" s="194" t="str">
        <f t="shared" si="45"/>
        <v/>
      </c>
      <c r="HO12" s="137"/>
      <c r="HP12" s="138"/>
      <c r="HQ12" s="139"/>
      <c r="HR12" s="143"/>
      <c r="HS12" s="193" t="str">
        <f>IFERROR((((COUNTIF('Elève (4ème2)'!HO12:HR12,"A"))*4)+((COUNTIF('Elève (4ème2)'!HO12:HR12,"B"))*3)+((COUNTIF('Elève (4ème2)'!HO12:HR12,"C"))*2)+((COUNTIF('Elève (4ème2)'!HO12:HR12,"D"))*1))/(COUNTA(HO12:HR12)),"")</f>
        <v/>
      </c>
      <c r="HT12" s="194" t="str">
        <f t="shared" si="46"/>
        <v/>
      </c>
      <c r="HU12" s="193" t="str">
        <f>IF(COUNT(HG12,HM12,HS12)=0,"",SUM(HG12,HM12,HS12)/COUNT(HG12,HM12,HS12))</f>
        <v/>
      </c>
      <c r="HV12" s="216" t="str">
        <f t="shared" si="47"/>
        <v/>
      </c>
      <c r="HW12" s="137"/>
      <c r="HX12" s="138"/>
      <c r="HY12" s="139"/>
      <c r="HZ12" s="193" t="str">
        <f>IFERROR((((COUNTIF('Elève (4ème2)'!HW12:HY12,"A"))*4)+((COUNTIF('Elève (4ème2)'!HW12:HY12,"B"))*3)+((COUNTIF('Elève (4ème2)'!HW12:HY12,"C"))*2)+((COUNTIF('Elève (4ème2)'!HW12:HY12,"D"))*1))/(COUNTA(HW12:HY12)),"")</f>
        <v/>
      </c>
      <c r="IA12" s="194" t="str">
        <f t="shared" si="48"/>
        <v/>
      </c>
      <c r="IB12" s="137"/>
      <c r="IC12" s="138"/>
      <c r="ID12" s="139"/>
      <c r="IE12" s="139"/>
      <c r="IF12" s="193" t="str">
        <f>IFERROR((((COUNTIF('Elève (4ème2)'!IB12:IE12,"A"))*4)+((COUNTIF('Elève (4ème2)'!IB12:IE12,"B"))*3)+((COUNTIF('Elève (4ème2)'!IB12:IE12,"C"))*2)+((COUNTIF('Elève (4ème2)'!IB12:IE12,"D"))*1))/(COUNTA(IB12:IE12)),"")</f>
        <v/>
      </c>
      <c r="IG12" s="194" t="str">
        <f t="shared" si="49"/>
        <v/>
      </c>
      <c r="IH12" s="137"/>
      <c r="II12" s="138"/>
      <c r="IJ12" s="139"/>
      <c r="IK12" s="143"/>
      <c r="IL12" s="193" t="str">
        <f>IFERROR((((COUNTIF('Elève (4ème2)'!IH12:IK12,"A"))*4)+((COUNTIF('Elève (4ème2)'!IH12:IK12,"B"))*3)+((COUNTIF('Elève (4ème2)'!IH12:IK12,"C"))*2)+((COUNTIF('Elève (4ème2)'!IH12:IK12,"D"))*1))/(COUNTA(IH12:IK12)),"")</f>
        <v/>
      </c>
      <c r="IM12" s="194" t="str">
        <f t="shared" si="50"/>
        <v/>
      </c>
      <c r="IN12" s="193" t="str">
        <f>IF(COUNT(HZ12,IF12,IL12)=0,"",SUM(HZ12,IF12,IL12)/COUNT(HZ12,IF12,IL12))</f>
        <v/>
      </c>
      <c r="IO12" s="216" t="str">
        <f t="shared" si="51"/>
        <v/>
      </c>
      <c r="IP12" s="137"/>
      <c r="IQ12" s="138"/>
      <c r="IR12" s="139"/>
      <c r="IS12" s="193" t="str">
        <f>IFERROR((((COUNTIF('Elève (4ème2)'!IP12:IR12,"A"))*4)+((COUNTIF('Elève (4ème2)'!IP12:IR12,"B"))*3)+((COUNTIF('Elève (4ème2)'!IP12:IR12,"C"))*2)+((COUNTIF('Elève (4ème2)'!IP12:IR12,"D"))*1))/(COUNTA(IP12:IR12)),"")</f>
        <v/>
      </c>
      <c r="IT12" s="194" t="str">
        <f t="shared" si="52"/>
        <v/>
      </c>
      <c r="IU12" s="137"/>
      <c r="IV12" s="138"/>
      <c r="IW12" s="139"/>
      <c r="IX12" s="139"/>
      <c r="IY12" s="193" t="str">
        <f>IFERROR((((COUNTIF('Elève (4ème2)'!IU12:IX12,"A"))*4)+((COUNTIF('Elève (4ème2)'!IU12:IX12,"B"))*3)+((COUNTIF('Elève (4ème2)'!IU12:IX12,"C"))*2)+((COUNTIF('Elève (4ème2)'!IU12:IX12,"D"))*1))/(COUNTA(IU12:IX12)),"")</f>
        <v/>
      </c>
      <c r="IZ12" s="194" t="str">
        <f t="shared" si="53"/>
        <v/>
      </c>
      <c r="JA12" s="137"/>
      <c r="JB12" s="138"/>
      <c r="JC12" s="139"/>
      <c r="JD12" s="143"/>
      <c r="JE12" s="193" t="str">
        <f>IFERROR((((COUNTIF('Elève (4ème2)'!JA12:JD12,"A"))*4)+((COUNTIF('Elève (4ème2)'!JA12:JD12,"B"))*3)+((COUNTIF('Elève (4ème2)'!JA12:JD12,"C"))*2)+((COUNTIF('Elève (4ème2)'!JA12:JD12,"D"))*1))/(COUNTA(JA12:JD12)),"")</f>
        <v/>
      </c>
      <c r="JF12" s="194" t="str">
        <f t="shared" si="54"/>
        <v/>
      </c>
      <c r="JG12" s="193" t="str">
        <f>IF(COUNT(IS12,IY12,JE12)=0,"",SUM(IS12,IY12,JE12)/COUNT(IS12,IY12,JE12))</f>
        <v/>
      </c>
      <c r="JH12" s="216" t="str">
        <f t="shared" si="55"/>
        <v/>
      </c>
      <c r="JI12" s="137"/>
      <c r="JJ12" s="138"/>
      <c r="JK12" s="139"/>
      <c r="JL12" s="193" t="str">
        <f>IFERROR((((COUNTIF('Elève (4ème2)'!JI12:JK12,"A"))*4)+((COUNTIF('Elève (4ème2)'!JI12:JK12,"B"))*3)+((COUNTIF('Elève (4ème2)'!JI12:JK12,"C"))*2)+((COUNTIF('Elève (4ème2)'!JI12:JK12,"D"))*1))/(COUNTA(JI12:JK12)),"")</f>
        <v/>
      </c>
      <c r="JM12" s="194" t="str">
        <f t="shared" si="56"/>
        <v/>
      </c>
      <c r="JN12" s="137"/>
      <c r="JO12" s="138"/>
      <c r="JP12" s="139"/>
      <c r="JQ12" s="139"/>
      <c r="JR12" s="193" t="str">
        <f>IFERROR((((COUNTIF('Elève (4ème2)'!JN12:JQ12,"A"))*4)+((COUNTIF('Elève (4ème2)'!JN12:JQ12,"B"))*3)+((COUNTIF('Elève (4ème2)'!JN12:JQ12,"C"))*2)+((COUNTIF('Elève (4ème2)'!JN12:JQ12,"D"))*1))/(COUNTA(JN12:JQ12)),"")</f>
        <v/>
      </c>
      <c r="JS12" s="194" t="str">
        <f t="shared" si="57"/>
        <v/>
      </c>
      <c r="JT12" s="137"/>
      <c r="JU12" s="138"/>
      <c r="JV12" s="139"/>
      <c r="JW12" s="143"/>
      <c r="JX12" s="193" t="str">
        <f>IFERROR((((COUNTIF('Elève (4ème2)'!JT12:JW12,"A"))*4)+((COUNTIF('Elève (4ème2)'!JT12:JW12,"B"))*3)+((COUNTIF('Elève (4ème2)'!JT12:JW12,"C"))*2)+((COUNTIF('Elève (4ème2)'!JT12:JW12,"D"))*1))/(COUNTA(JT12:JW12)),"")</f>
        <v/>
      </c>
      <c r="JY12" s="194" t="str">
        <f t="shared" si="58"/>
        <v/>
      </c>
      <c r="JZ12" s="193" t="str">
        <f>IF(COUNT(JL12,JR12,JX12)=0,"",SUM(JL12,JR12,JX12)/COUNT(JL12,JR12,JX12))</f>
        <v/>
      </c>
      <c r="KA12" s="216" t="str">
        <f t="shared" si="59"/>
        <v/>
      </c>
      <c r="KB12" s="137"/>
      <c r="KC12" s="138"/>
      <c r="KD12" s="139"/>
      <c r="KE12" s="193" t="str">
        <f>IFERROR((((COUNTIF('Elève (4ème2)'!KB12:KD12,"A"))*4)+((COUNTIF('Elève (4ème2)'!KB12:KD12,"B"))*3)+((COUNTIF('Elève (4ème2)'!KB12:KD12,"C"))*2)+((COUNTIF('Elève (4ème2)'!KB12:KD12,"D"))*1))/(COUNTA(KB12:KD12)),"")</f>
        <v/>
      </c>
      <c r="KF12" s="194" t="str">
        <f t="shared" si="60"/>
        <v/>
      </c>
      <c r="KG12" s="137"/>
      <c r="KH12" s="138"/>
      <c r="KI12" s="139"/>
      <c r="KJ12" s="139"/>
      <c r="KK12" s="193" t="str">
        <f>IFERROR((((COUNTIF('Elève (4ème2)'!KG12:KJ12,"A"))*4)+((COUNTIF('Elève (4ème2)'!KG12:KJ12,"B"))*3)+((COUNTIF('Elève (4ème2)'!KG12:KJ12,"C"))*2)+((COUNTIF('Elève (4ème2)'!KG12:KJ12,"D"))*1))/(COUNTA(KG12:KJ12)),"")</f>
        <v/>
      </c>
      <c r="KL12" s="194" t="str">
        <f t="shared" si="61"/>
        <v/>
      </c>
      <c r="KM12" s="137"/>
      <c r="KN12" s="138"/>
      <c r="KO12" s="139"/>
      <c r="KP12" s="143"/>
      <c r="KQ12" s="193" t="str">
        <f>IFERROR((((COUNTIF('Elève (4ème2)'!KM12:KP12,"A"))*4)+((COUNTIF('Elève (4ème2)'!KM12:KP12,"B"))*3)+((COUNTIF('Elève (4ème2)'!KM12:KP12,"C"))*2)+((COUNTIF('Elève (4ème2)'!KM12:KP12,"D"))*1))/(COUNTA(KM12:KP12)),"")</f>
        <v/>
      </c>
      <c r="KR12" s="194" t="str">
        <f t="shared" si="62"/>
        <v/>
      </c>
      <c r="KS12" s="193" t="str">
        <f>IF(COUNT(KE12,KK12,KQ12)=0,"",SUM(KE12,KK12,KQ12)/COUNT(KE12,KK12,KQ12))</f>
        <v/>
      </c>
      <c r="KT12" s="216" t="str">
        <f t="shared" si="63"/>
        <v/>
      </c>
      <c r="KU12" s="137"/>
      <c r="KV12" s="138"/>
      <c r="KW12" s="139"/>
      <c r="KX12" s="193" t="str">
        <f>IFERROR((((COUNTIF('Elève (4ème2)'!KU12:KW12,"A"))*4)+((COUNTIF('Elève (4ème2)'!KU12:KW12,"B"))*3)+((COUNTIF('Elève (4ème2)'!KU12:KW12,"C"))*2)+((COUNTIF('Elève (4ème2)'!KU12:KW12,"D"))*1))/(COUNTA(KU12:KW12)),"")</f>
        <v/>
      </c>
      <c r="KY12" s="194" t="str">
        <f t="shared" si="64"/>
        <v/>
      </c>
      <c r="KZ12" s="137"/>
      <c r="LA12" s="138"/>
      <c r="LB12" s="139"/>
      <c r="LC12" s="139"/>
      <c r="LD12" s="193" t="str">
        <f>IFERROR((((COUNTIF('Elève (4ème2)'!KZ12:LC12,"A"))*4)+((COUNTIF('Elève (4ème2)'!KZ12:LC12,"B"))*3)+((COUNTIF('Elève (4ème2)'!KZ12:LC12,"C"))*2)+((COUNTIF('Elève (4ème2)'!KZ12:LC12,"D"))*1))/(COUNTA(KZ12:LC12)),"")</f>
        <v/>
      </c>
      <c r="LE12" s="194" t="str">
        <f t="shared" si="65"/>
        <v/>
      </c>
      <c r="LF12" s="137"/>
      <c r="LG12" s="138"/>
      <c r="LH12" s="139"/>
      <c r="LI12" s="143"/>
      <c r="LJ12" s="193" t="str">
        <f>IFERROR((((COUNTIF('Elève (4ème2)'!LF12:LI12,"A"))*4)+((COUNTIF('Elève (4ème2)'!LF12:LI12,"B"))*3)+((COUNTIF('Elève (4ème2)'!LF12:LI12,"C"))*2)+((COUNTIF('Elève (4ème2)'!LF12:LI12,"D"))*1))/(COUNTA(LF12:LI12)),"")</f>
        <v/>
      </c>
      <c r="LK12" s="194" t="str">
        <f t="shared" si="66"/>
        <v/>
      </c>
      <c r="LL12" s="193" t="str">
        <f>IF(COUNT(KX12,LD12,LJ12)=0,"",SUM(KX12,LD12,LJ12)/COUNT(KX12,LD12,LJ12))</f>
        <v/>
      </c>
      <c r="LM12" s="216" t="str">
        <f t="shared" si="67"/>
        <v/>
      </c>
      <c r="LN12" s="137"/>
      <c r="LO12" s="138"/>
      <c r="LP12" s="139"/>
      <c r="LQ12" s="193" t="str">
        <f>IFERROR((((COUNTIF('Elève (4ème2)'!LN12:LP12,"A"))*4)+((COUNTIF('Elève (4ème2)'!LN12:LP12,"B"))*3)+((COUNTIF('Elève (4ème2)'!LN12:LP12,"C"))*2)+((COUNTIF('Elève (4ème2)'!LN12:LP12,"D"))*1))/(COUNTA(LN12:LP12)),"")</f>
        <v/>
      </c>
      <c r="LR12" s="194" t="str">
        <f t="shared" si="68"/>
        <v/>
      </c>
      <c r="LS12" s="137"/>
      <c r="LT12" s="138"/>
      <c r="LU12" s="139"/>
      <c r="LV12" s="139"/>
      <c r="LW12" s="193" t="str">
        <f>IFERROR((((COUNTIF('Elève (4ème2)'!LS12:LV12,"A"))*4)+((COUNTIF('Elève (4ème2)'!LS12:LV12,"B"))*3)+((COUNTIF('Elève (4ème2)'!LS12:LV12,"C"))*2)+((COUNTIF('Elève (4ème2)'!LS12:LV12,"D"))*1))/(COUNTA(LS12:LV12)),"")</f>
        <v/>
      </c>
      <c r="LX12" s="194" t="str">
        <f t="shared" si="69"/>
        <v/>
      </c>
      <c r="LY12" s="137"/>
      <c r="LZ12" s="138"/>
      <c r="MA12" s="139"/>
      <c r="MB12" s="143"/>
      <c r="MC12" s="193" t="str">
        <f>IFERROR((((COUNTIF('Elève (4ème2)'!LY12:MB12,"A"))*4)+((COUNTIF('Elève (4ème2)'!LY12:MB12,"B"))*3)+((COUNTIF('Elève (4ème2)'!LY12:MB12,"C"))*2)+((COUNTIF('Elève (4ème2)'!LY12:MB12,"D"))*1))/(COUNTA(LY12:MB12)),"")</f>
        <v/>
      </c>
      <c r="MD12" s="194" t="str">
        <f t="shared" si="70"/>
        <v/>
      </c>
      <c r="ME12" s="193" t="str">
        <f>IF(COUNT(LQ12,LW12,MC12)=0,"",SUM(LQ12,LW12,MC12)/COUNT(LQ12,LW12,MC12))</f>
        <v/>
      </c>
      <c r="MF12" s="216" t="str">
        <f t="shared" si="71"/>
        <v/>
      </c>
      <c r="MG12" s="137"/>
      <c r="MH12" s="138"/>
      <c r="MI12" s="139"/>
      <c r="MJ12" s="193" t="str">
        <f>IFERROR((((COUNTIF('Elève (4ème2)'!MG12:MI12,"A"))*4)+((COUNTIF('Elève (4ème2)'!MG12:MI12,"B"))*3)+((COUNTIF('Elève (4ème2)'!MG12:MI12,"C"))*2)+((COUNTIF('Elève (4ème2)'!MG12:MI12,"D"))*1))/(COUNTA(MG12:MI12)),"")</f>
        <v/>
      </c>
      <c r="MK12" s="194" t="str">
        <f t="shared" si="72"/>
        <v/>
      </c>
      <c r="ML12" s="137"/>
      <c r="MM12" s="138"/>
      <c r="MN12" s="139"/>
      <c r="MO12" s="139"/>
      <c r="MP12" s="193" t="str">
        <f>IFERROR((((COUNTIF('Elève (4ème2)'!ML12:MO12,"A"))*4)+((COUNTIF('Elève (4ème2)'!ML12:MO12,"B"))*3)+((COUNTIF('Elève (4ème2)'!ML12:MO12,"C"))*2)+((COUNTIF('Elève (4ème2)'!ML12:MO12,"D"))*1))/(COUNTA(ML12:MO12)),"")</f>
        <v/>
      </c>
      <c r="MQ12" s="194" t="str">
        <f t="shared" si="73"/>
        <v/>
      </c>
      <c r="MR12" s="137"/>
      <c r="MS12" s="138"/>
      <c r="MT12" s="139"/>
      <c r="MU12" s="143"/>
      <c r="MV12" s="193" t="str">
        <f>IFERROR((((COUNTIF('Elève (4ème2)'!MR12:MU12,"A"))*4)+((COUNTIF('Elève (4ème2)'!MR12:MU12,"B"))*3)+((COUNTIF('Elève (4ème2)'!MR12:MU12,"C"))*2)+((COUNTIF('Elève (4ème2)'!MR12:MU12,"D"))*1))/(COUNTA(MR12:MU12)),"")</f>
        <v/>
      </c>
      <c r="MW12" s="194" t="str">
        <f t="shared" si="74"/>
        <v/>
      </c>
      <c r="MX12" s="193" t="str">
        <f>IF(COUNT(MJ12,MP12,MV12)=0,"",SUM(MJ12,MP12,MV12)/COUNT(MJ12,MP12,MV12))</f>
        <v/>
      </c>
      <c r="MY12" s="216" t="str">
        <f t="shared" si="75"/>
        <v/>
      </c>
      <c r="MZ12" s="137"/>
      <c r="NA12" s="138"/>
      <c r="NB12" s="139"/>
      <c r="NC12" s="193" t="str">
        <f>IFERROR((((COUNTIF('Elève (4ème2)'!MZ12:NB12,"A"))*4)+((COUNTIF('Elève (4ème2)'!MZ12:NB12,"B"))*3)+((COUNTIF('Elève (4ème2)'!MZ12:NB12,"C"))*2)+((COUNTIF('Elève (4ème2)'!MZ12:NB12,"D"))*1))/(COUNTA(MZ12:NB12)),"")</f>
        <v/>
      </c>
      <c r="ND12" s="194" t="str">
        <f t="shared" si="76"/>
        <v/>
      </c>
      <c r="NE12" s="137"/>
      <c r="NF12" s="138"/>
      <c r="NG12" s="139"/>
      <c r="NH12" s="139"/>
      <c r="NI12" s="193" t="str">
        <f>IFERROR((((COUNTIF('Elève (4ème2)'!NE12:NH12,"A"))*4)+((COUNTIF('Elève (4ème2)'!NE12:NH12,"B"))*3)+((COUNTIF('Elève (4ème2)'!NE12:NH12,"C"))*2)+((COUNTIF('Elève (4ème2)'!NE12:NH12,"D"))*1))/(COUNTA(NE12:NH12)),"")</f>
        <v/>
      </c>
      <c r="NJ12" s="194" t="str">
        <f t="shared" si="77"/>
        <v/>
      </c>
      <c r="NK12" s="137"/>
      <c r="NL12" s="138"/>
      <c r="NM12" s="139"/>
      <c r="NN12" s="143"/>
      <c r="NO12" s="193" t="str">
        <f>IFERROR((((COUNTIF('Elève (4ème2)'!NK12:NN12,"A"))*4)+((COUNTIF('Elève (4ème2)'!NK12:NN12,"B"))*3)+((COUNTIF('Elève (4ème2)'!NK12:NN12,"C"))*2)+((COUNTIF('Elève (4ème2)'!NK12:NN12,"D"))*1))/(COUNTA(NK12:NN12)),"")</f>
        <v/>
      </c>
      <c r="NP12" s="194" t="str">
        <f t="shared" si="78"/>
        <v/>
      </c>
      <c r="NQ12" s="193" t="str">
        <f>IF(COUNT(NC12,NI12,NO12)=0,"",SUM(NC12,NI12,NO12)/COUNT(NC12,NI12,NO12))</f>
        <v/>
      </c>
      <c r="NR12" s="216" t="str">
        <f t="shared" si="79"/>
        <v/>
      </c>
      <c r="NS12" s="137"/>
      <c r="NT12" s="138"/>
      <c r="NU12" s="139"/>
      <c r="NV12" s="193" t="str">
        <f>IFERROR((((COUNTIF('Elève (4ème2)'!NS12:NU12,"A"))*4)+((COUNTIF('Elève (4ème2)'!NS12:NU12,"B"))*3)+((COUNTIF('Elève (4ème2)'!NS12:NU12,"C"))*2)+((COUNTIF('Elève (4ème2)'!NS12:NU12,"D"))*1))/(COUNTA(NS12:NU12)),"")</f>
        <v/>
      </c>
      <c r="NW12" s="194" t="str">
        <f t="shared" si="80"/>
        <v/>
      </c>
      <c r="NX12" s="137"/>
      <c r="NY12" s="138"/>
      <c r="NZ12" s="139"/>
      <c r="OA12" s="139"/>
      <c r="OB12" s="193" t="str">
        <f>IFERROR((((COUNTIF('Elève (4ème2)'!NX12:OA12,"A"))*4)+((COUNTIF('Elève (4ème2)'!NX12:OA12,"B"))*3)+((COUNTIF('Elève (4ème2)'!NX12:OA12,"C"))*2)+((COUNTIF('Elève (4ème2)'!NX12:OA12,"D"))*1))/(COUNTA(NX12:OA12)),"")</f>
        <v/>
      </c>
      <c r="OC12" s="194" t="str">
        <f t="shared" si="81"/>
        <v/>
      </c>
      <c r="OD12" s="137"/>
      <c r="OE12" s="138"/>
      <c r="OF12" s="139"/>
      <c r="OG12" s="143"/>
      <c r="OH12" s="193" t="str">
        <f>IFERROR((((COUNTIF('Elève (4ème2)'!OD12:OG12,"A"))*4)+((COUNTIF('Elève (4ème2)'!OD12:OG12,"B"))*3)+((COUNTIF('Elève (4ème2)'!OD12:OG12,"C"))*2)+((COUNTIF('Elève (4ème2)'!OD12:OG12,"D"))*1))/(COUNTA(OD12:OG12)),"")</f>
        <v/>
      </c>
      <c r="OI12" s="194" t="str">
        <f t="shared" si="82"/>
        <v/>
      </c>
      <c r="OJ12" s="193" t="str">
        <f>IF(COUNT(NV12,OB12,OH12)=0,"",SUM(NV12,OB12,OH12)/COUNT(NV12,OB12,OH12))</f>
        <v/>
      </c>
      <c r="OK12" s="216" t="str">
        <f t="shared" si="83"/>
        <v/>
      </c>
      <c r="OL12" s="137"/>
      <c r="OM12" s="138"/>
      <c r="ON12" s="139"/>
      <c r="OO12" s="193" t="str">
        <f>IFERROR((((COUNTIF('Elève (4ème2)'!OL12:ON12,"A"))*4)+((COUNTIF('Elève (4ème2)'!OL12:ON12,"B"))*3)+((COUNTIF('Elève (4ème2)'!OL12:ON12,"C"))*2)+((COUNTIF('Elève (4ème2)'!OL12:ON12,"D"))*1))/(COUNTA(OL12:ON12)),"")</f>
        <v/>
      </c>
      <c r="OP12" s="194" t="str">
        <f t="shared" si="84"/>
        <v/>
      </c>
      <c r="OQ12" s="137"/>
      <c r="OR12" s="138"/>
      <c r="OS12" s="139"/>
      <c r="OT12" s="139"/>
      <c r="OU12" s="193" t="str">
        <f>IFERROR((((COUNTIF('Elève (4ème2)'!OQ12:OT12,"A"))*4)+((COUNTIF('Elève (4ème2)'!OQ12:OT12,"B"))*3)+((COUNTIF('Elève (4ème2)'!OQ12:OT12,"C"))*2)+((COUNTIF('Elève (4ème2)'!OQ12:OT12,"D"))*1))/(COUNTA(OQ12:OT12)),"")</f>
        <v/>
      </c>
      <c r="OV12" s="194" t="str">
        <f t="shared" si="85"/>
        <v/>
      </c>
      <c r="OW12" s="137"/>
      <c r="OX12" s="138"/>
      <c r="OY12" s="139"/>
      <c r="OZ12" s="143"/>
      <c r="PA12" s="193" t="str">
        <f>IFERROR((((COUNTIF('Elève (4ème2)'!OW12:OZ12,"A"))*4)+((COUNTIF('Elève (4ème2)'!OW12:OZ12,"B"))*3)+((COUNTIF('Elève (4ème2)'!OW12:OZ12,"C"))*2)+((COUNTIF('Elève (4ème2)'!OW12:OZ12,"D"))*1))/(COUNTA(OW12:OZ12)),"")</f>
        <v/>
      </c>
      <c r="PB12" s="194" t="str">
        <f t="shared" si="86"/>
        <v/>
      </c>
      <c r="PC12" s="193" t="str">
        <f>IF(COUNT(OO12,OU12,PA12)=0,"",SUM(OO12,OU12,PA12)/COUNT(OO12,OU12,PA12))</f>
        <v/>
      </c>
      <c r="PD12" s="216" t="str">
        <f t="shared" si="87"/>
        <v/>
      </c>
      <c r="PE12" s="137"/>
      <c r="PF12" s="138"/>
      <c r="PG12" s="139"/>
      <c r="PH12" s="193" t="str">
        <f>IFERROR((((COUNTIF('Elève (4ème2)'!PE12:PG12,"A"))*4)+((COUNTIF('Elève (4ème2)'!PE12:PG12,"B"))*3)+((COUNTIF('Elève (4ème2)'!PE12:PG12,"C"))*2)+((COUNTIF('Elève (4ème2)'!PE12:PG12,"D"))*1))/(COUNTA(PE12:PG12)),"")</f>
        <v/>
      </c>
      <c r="PI12" s="194" t="str">
        <f t="shared" si="88"/>
        <v/>
      </c>
      <c r="PJ12" s="137"/>
      <c r="PK12" s="138"/>
      <c r="PL12" s="139"/>
      <c r="PM12" s="139"/>
      <c r="PN12" s="193" t="str">
        <f>IFERROR((((COUNTIF('Elève (4ème2)'!PJ12:PM12,"A"))*4)+((COUNTIF('Elève (4ème2)'!PJ12:PM12,"B"))*3)+((COUNTIF('Elève (4ème2)'!PJ12:PM12,"C"))*2)+((COUNTIF('Elève (4ème2)'!PJ12:PM12,"D"))*1))/(COUNTA(PJ12:PM12)),"")</f>
        <v/>
      </c>
      <c r="PO12" s="194" t="str">
        <f t="shared" si="89"/>
        <v/>
      </c>
      <c r="PP12" s="137"/>
      <c r="PQ12" s="138"/>
      <c r="PR12" s="139"/>
      <c r="PS12" s="143"/>
      <c r="PT12" s="193" t="str">
        <f>IFERROR((((COUNTIF('Elève (4ème2)'!PP12:PS12,"A"))*4)+((COUNTIF('Elève (4ème2)'!PP12:PS12,"B"))*3)+((COUNTIF('Elève (4ème2)'!PP12:PS12,"C"))*2)+((COUNTIF('Elève (4ème2)'!PP12:PS12,"D"))*1))/(COUNTA(PP12:PS12)),"")</f>
        <v/>
      </c>
      <c r="PU12" s="194" t="str">
        <f t="shared" si="90"/>
        <v/>
      </c>
      <c r="PV12" s="193" t="str">
        <f>IF(COUNT(PH12,PN12,PT12)=0,"",SUM(PH12,PN12,PT12)/COUNT(PH12,PN12,PT12))</f>
        <v/>
      </c>
      <c r="PW12" s="216" t="str">
        <f t="shared" si="91"/>
        <v/>
      </c>
      <c r="PX12" s="137"/>
      <c r="PY12" s="138"/>
      <c r="PZ12" s="139"/>
      <c r="QA12" s="193" t="str">
        <f>IFERROR((((COUNTIF('Elève (4ème2)'!PX12:PZ12,"A"))*4)+((COUNTIF('Elève (4ème2)'!PX12:PZ12,"B"))*3)+((COUNTIF('Elève (4ème2)'!PX12:PZ12,"C"))*2)+((COUNTIF('Elève (4ème2)'!PX12:PZ12,"D"))*1))/(COUNTA(PX12:PZ12)),"")</f>
        <v/>
      </c>
      <c r="QB12" s="194" t="str">
        <f t="shared" si="92"/>
        <v/>
      </c>
      <c r="QC12" s="137"/>
      <c r="QD12" s="138"/>
      <c r="QE12" s="139"/>
      <c r="QF12" s="139"/>
      <c r="QG12" s="193" t="str">
        <f>IFERROR((((COUNTIF('Elève (4ème2)'!QC12:QF12,"A"))*4)+((COUNTIF('Elève (4ème2)'!QC12:QF12,"B"))*3)+((COUNTIF('Elève (4ème2)'!QC12:QF12,"C"))*2)+((COUNTIF('Elève (4ème2)'!QC12:QF12,"D"))*1))/(COUNTA(QC12:QF12)),"")</f>
        <v/>
      </c>
      <c r="QH12" s="194" t="str">
        <f t="shared" si="93"/>
        <v/>
      </c>
      <c r="QI12" s="137"/>
      <c r="QJ12" s="138"/>
      <c r="QK12" s="139"/>
      <c r="QL12" s="143"/>
      <c r="QM12" s="193" t="str">
        <f>IFERROR((((COUNTIF('Elève (4ème2)'!QI12:QL12,"A"))*4)+((COUNTIF('Elève (4ème2)'!QI12:QL12,"B"))*3)+((COUNTIF('Elève (4ème2)'!QI12:QL12,"C"))*2)+((COUNTIF('Elève (4ème2)'!QI12:QL12,"D"))*1))/(COUNTA(QI12:QL12)),"")</f>
        <v/>
      </c>
      <c r="QN12" s="194" t="str">
        <f t="shared" si="94"/>
        <v/>
      </c>
      <c r="QO12" s="193" t="str">
        <f>IF(COUNT(QA12,QG12,QM12)=0,"",SUM(QA12,QG12,QM12)/COUNT(QA12,QG12,QM12))</f>
        <v/>
      </c>
      <c r="QP12" s="216" t="str">
        <f t="shared" si="95"/>
        <v/>
      </c>
      <c r="QQ12" s="137"/>
      <c r="QR12" s="138"/>
      <c r="QS12" s="139"/>
      <c r="QT12" s="193" t="str">
        <f>IFERROR((((COUNTIF('Elève (4ème2)'!QQ12:QS12,"A"))*4)+((COUNTIF('Elève (4ème2)'!QQ12:QS12,"B"))*3)+((COUNTIF('Elève (4ème2)'!QQ12:QS12,"C"))*2)+((COUNTIF('Elève (4ème2)'!QQ12:QS12,"D"))*1))/(COUNTA(QQ12:QS12)),"")</f>
        <v/>
      </c>
      <c r="QU12" s="194" t="str">
        <f t="shared" si="96"/>
        <v/>
      </c>
      <c r="QV12" s="137"/>
      <c r="QW12" s="138"/>
      <c r="QX12" s="139"/>
      <c r="QY12" s="139"/>
      <c r="QZ12" s="193" t="str">
        <f>IFERROR((((COUNTIF('Elève (4ème2)'!QV12:QY12,"A"))*4)+((COUNTIF('Elève (4ème2)'!QV12:QY12,"B"))*3)+((COUNTIF('Elève (4ème2)'!QV12:QY12,"C"))*2)+((COUNTIF('Elève (4ème2)'!QV12:QY12,"D"))*1))/(COUNTA(QV12:QY12)),"")</f>
        <v/>
      </c>
      <c r="RA12" s="194" t="str">
        <f t="shared" si="97"/>
        <v/>
      </c>
      <c r="RB12" s="137"/>
      <c r="RC12" s="138"/>
      <c r="RD12" s="139"/>
      <c r="RE12" s="143"/>
      <c r="RF12" s="193" t="str">
        <f>IFERROR((((COUNTIF('Elève (4ème2)'!RB12:RE12,"A"))*4)+((COUNTIF('Elève (4ème2)'!RB12:RE12,"B"))*3)+((COUNTIF('Elève (4ème2)'!RB12:RE12,"C"))*2)+((COUNTIF('Elève (4ème2)'!RB12:RE12,"D"))*1))/(COUNTA(RB12:RE12)),"")</f>
        <v/>
      </c>
      <c r="RG12" s="194" t="str">
        <f t="shared" si="98"/>
        <v/>
      </c>
      <c r="RH12" s="193" t="str">
        <f>IF(COUNT(QT12,QZ12,RF12)=0,"",SUM(QT12,QZ12,RF12)/COUNT(QT12,QZ12,RF12))</f>
        <v/>
      </c>
      <c r="RI12" s="216" t="str">
        <f t="shared" si="99"/>
        <v/>
      </c>
      <c r="RJ12" s="137"/>
      <c r="RK12" s="138"/>
      <c r="RL12" s="139"/>
      <c r="RM12" s="193" t="str">
        <f>IFERROR((((COUNTIF('Elève (4ème2)'!RJ12:RL12,"A"))*4)+((COUNTIF('Elève (4ème2)'!RJ12:RL12,"B"))*3)+((COUNTIF('Elève (4ème2)'!RJ12:RL12,"C"))*2)+((COUNTIF('Elève (4ème2)'!RJ12:RL12,"D"))*1))/(COUNTA(RJ12:RL12)),"")</f>
        <v/>
      </c>
      <c r="RN12" s="194" t="str">
        <f t="shared" si="100"/>
        <v/>
      </c>
      <c r="RO12" s="137"/>
      <c r="RP12" s="138"/>
      <c r="RQ12" s="139"/>
      <c r="RR12" s="139"/>
      <c r="RS12" s="193" t="str">
        <f>IFERROR((((COUNTIF('Elève (4ème2)'!RO12:RR12,"A"))*4)+((COUNTIF('Elève (4ème2)'!RO12:RR12,"B"))*3)+((COUNTIF('Elève (4ème2)'!RO12:RR12,"C"))*2)+((COUNTIF('Elève (4ème2)'!RO12:RR12,"D"))*1))/(COUNTA(RO12:RR12)),"")</f>
        <v/>
      </c>
      <c r="RT12" s="194" t="str">
        <f t="shared" si="101"/>
        <v/>
      </c>
      <c r="RU12" s="137"/>
      <c r="RV12" s="138"/>
      <c r="RW12" s="139"/>
      <c r="RX12" s="143"/>
      <c r="RY12" s="193" t="str">
        <f>IFERROR((((COUNTIF('Elève (4ème2)'!RU12:RX12,"A"))*4)+((COUNTIF('Elève (4ème2)'!RU12:RX12,"B"))*3)+((COUNTIF('Elève (4ème2)'!RU12:RX12,"C"))*2)+((COUNTIF('Elève (4ème2)'!RU12:RX12,"D"))*1))/(COUNTA(RU12:RX12)),"")</f>
        <v/>
      </c>
      <c r="RZ12" s="194" t="str">
        <f t="shared" si="102"/>
        <v/>
      </c>
      <c r="SA12" s="193" t="str">
        <f>IF(COUNT(RM12,RS12,RY12)=0,"",SUM(RM12,RS12,RY12)/COUNT(RM12,RS12,RY12))</f>
        <v/>
      </c>
      <c r="SB12" s="216" t="str">
        <f t="shared" si="103"/>
        <v/>
      </c>
      <c r="SC12" s="137"/>
      <c r="SD12" s="138"/>
      <c r="SE12" s="139"/>
      <c r="SF12" s="193" t="str">
        <f>IFERROR((((COUNTIF('Elève (4ème2)'!SC12:SE12,"A"))*4)+((COUNTIF('Elève (4ème2)'!SC12:SE12,"B"))*3)+((COUNTIF('Elève (4ème2)'!SC12:SE12,"C"))*2)+((COUNTIF('Elève (4ème2)'!SC12:SE12,"D"))*1))/(COUNTA(SC12:SE12)),"")</f>
        <v/>
      </c>
      <c r="SG12" s="194" t="str">
        <f t="shared" si="104"/>
        <v/>
      </c>
      <c r="SH12" s="137"/>
      <c r="SI12" s="138"/>
      <c r="SJ12" s="139"/>
      <c r="SK12" s="139"/>
      <c r="SL12" s="193" t="str">
        <f>IFERROR((((COUNTIF('Elève (4ème2)'!SH12:SK12,"A"))*4)+((COUNTIF('Elève (4ème2)'!SH12:SK12,"B"))*3)+((COUNTIF('Elève (4ème2)'!SH12:SK12,"C"))*2)+((COUNTIF('Elève (4ème2)'!SH12:SK12,"D"))*1))/(COUNTA(SH12:SK12)),"")</f>
        <v/>
      </c>
      <c r="SM12" s="194" t="str">
        <f t="shared" si="105"/>
        <v/>
      </c>
      <c r="SN12" s="137"/>
      <c r="SO12" s="138"/>
      <c r="SP12" s="139"/>
      <c r="SQ12" s="143"/>
      <c r="SR12" s="193" t="str">
        <f>IFERROR((((COUNTIF('Elève (4ème2)'!SN12:SQ12,"A"))*4)+((COUNTIF('Elève (4ème2)'!SN12:SQ12,"B"))*3)+((COUNTIF('Elève (4ème2)'!SN12:SQ12,"C"))*2)+((COUNTIF('Elève (4ème2)'!SN12:SQ12,"D"))*1))/(COUNTA(SN12:SQ12)),"")</f>
        <v/>
      </c>
      <c r="SS12" s="194" t="str">
        <f t="shared" si="106"/>
        <v/>
      </c>
      <c r="ST12" s="193" t="str">
        <f>IF(COUNT(SF12,SL12,SR12)=0,"",SUM(SF12,SL12,SR12)/COUNT(SF12,SL12,SR12))</f>
        <v/>
      </c>
      <c r="SU12" s="216" t="str">
        <f t="shared" si="107"/>
        <v/>
      </c>
      <c r="SV12" s="137"/>
      <c r="SW12" s="138"/>
      <c r="SX12" s="139"/>
      <c r="SY12" s="140" t="str">
        <f>IFERROR((((COUNTIF('Elève (4ème2)'!SV12:SX12,"A"))*4)+((COUNTIF('Elève (4ème2)'!SV12:SX12,"B"))*3)+((COUNTIF('Elève (4ème2)'!SV12:SX12,"C"))*2)+((COUNTIF('Elève (4ème2)'!SV12:SX12,"D"))*1))/(COUNTA(SV12:SX12)),"")</f>
        <v/>
      </c>
      <c r="SZ12" s="141" t="str">
        <f t="shared" si="108"/>
        <v/>
      </c>
      <c r="TA12" s="137"/>
      <c r="TB12" s="138"/>
      <c r="TC12" s="139"/>
      <c r="TD12" s="140" t="str">
        <f>IFERROR((((COUNTIF('Elève (4ème2)'!TA12:TC12,"A"))*4)+((COUNTIF('Elève (4ème2)'!TA12:TC12,"B"))*3)+((COUNTIF('Elève (4ème2)'!TA12:TC12,"C"))*2)+((COUNTIF('Elève (4ème2)'!TA12:TC12,"D"))*1))/(COUNTA(TA12:TC12)),"")</f>
        <v/>
      </c>
      <c r="TE12" s="141" t="str">
        <f t="shared" si="109"/>
        <v/>
      </c>
      <c r="TF12" s="137"/>
      <c r="TG12" s="138"/>
      <c r="TH12" s="143"/>
      <c r="TI12" s="140" t="str">
        <f>IFERROR((((COUNTIF('Elève (4ème2)'!TF12:TH12,"A"))*4)+((COUNTIF('Elève (4ème2)'!TF12:TH12,"B"))*3)+((COUNTIF('Elève (4ème2)'!TF12:TH12,"C"))*2)+((COUNTIF('Elève (4ème2)'!TF12:TH12,"D"))*1))/(COUNTA(TF12:TH12)),"")</f>
        <v/>
      </c>
      <c r="TJ12" s="141" t="str">
        <f t="shared" si="110"/>
        <v/>
      </c>
      <c r="TK12" s="140" t="str">
        <f>IF(COUNT(SY12,TD12,TI12)=0,"",SUM(SY12,TD12,TI12)/COUNT(SY12,TD12,TI12))</f>
        <v/>
      </c>
      <c r="TL12" s="142" t="str">
        <f t="shared" si="111"/>
        <v/>
      </c>
      <c r="TM12" s="137"/>
      <c r="TN12" s="138"/>
      <c r="TO12" s="139"/>
      <c r="TP12" s="140" t="str">
        <f>IFERROR((((COUNTIF('Elève (4ème2)'!TM12:TO12,"A"))*4)+((COUNTIF('Elève (4ème2)'!TM12:TO12,"B"))*3)+((COUNTIF('Elève (4ème2)'!TM12:TO12,"C"))*2)+((COUNTIF('Elève (4ème2)'!TM12:TO12,"D"))*1))/(COUNTA(TM12:TO12)),"")</f>
        <v/>
      </c>
      <c r="TQ12" s="141" t="str">
        <f t="shared" si="112"/>
        <v/>
      </c>
      <c r="TR12" s="137"/>
      <c r="TS12" s="138"/>
      <c r="TT12" s="139"/>
      <c r="TU12" s="140" t="str">
        <f>IFERROR((((COUNTIF('Elève (4ème2)'!TR12:TT12,"A"))*4)+((COUNTIF('Elève (4ème2)'!TR12:TT12,"B"))*3)+((COUNTIF('Elève (4ème2)'!TR12:TT12,"C"))*2)+((COUNTIF('Elève (4ème2)'!TR12:TT12,"D"))*1))/(COUNTA(TR12:TT12)),"")</f>
        <v/>
      </c>
      <c r="TV12" s="141" t="str">
        <f t="shared" si="113"/>
        <v/>
      </c>
      <c r="TW12" s="137"/>
      <c r="TX12" s="138"/>
      <c r="TY12" s="143"/>
      <c r="TZ12" s="140" t="str">
        <f>IFERROR((((COUNTIF('Elève (4ème2)'!TW12:TY12,"A"))*4)+((COUNTIF('Elève (4ème2)'!TW12:TY12,"B"))*3)+((COUNTIF('Elève (4ème2)'!TW12:TY12,"C"))*2)+((COUNTIF('Elève (4ème2)'!TW12:TY12,"D"))*1))/(COUNTA(TW12:TY12)),"")</f>
        <v/>
      </c>
      <c r="UA12" s="141" t="str">
        <f t="shared" si="114"/>
        <v/>
      </c>
      <c r="UB12" s="140" t="str">
        <f>IF(COUNT(TP12,TU12,TZ12)=0,"",SUM(TP12,TU12,TZ12)/COUNT(TP12,TU12,TZ12))</f>
        <v/>
      </c>
      <c r="UC12" s="142" t="str">
        <f t="shared" si="115"/>
        <v/>
      </c>
      <c r="UD12" s="137"/>
      <c r="UE12" s="138"/>
      <c r="UF12" s="139"/>
      <c r="UG12" s="140" t="str">
        <f>IFERROR((((COUNTIF('Elève (4ème2)'!UD12:UF12,"A"))*4)+((COUNTIF('Elève (4ème2)'!UD12:UF12,"B"))*3)+((COUNTIF('Elève (4ème2)'!UD12:UF12,"C"))*2)+((COUNTIF('Elève (4ème2)'!UD12:UF12,"D"))*1))/(COUNTA(UD12:UF12)),"")</f>
        <v/>
      </c>
      <c r="UH12" s="141" t="str">
        <f t="shared" si="116"/>
        <v/>
      </c>
      <c r="UI12" s="137"/>
      <c r="UJ12" s="138"/>
      <c r="UK12" s="139"/>
      <c r="UL12" s="140" t="str">
        <f>IFERROR((((COUNTIF('Elève (4ème2)'!UI12:UK12,"A"))*4)+((COUNTIF('Elève (4ème2)'!UI12:UK12,"B"))*3)+((COUNTIF('Elève (4ème2)'!UI12:UK12,"C"))*2)+((COUNTIF('Elève (4ème2)'!UI12:UK12,"D"))*1))/(COUNTA(UI12:UK12)),"")</f>
        <v/>
      </c>
      <c r="UM12" s="141" t="str">
        <f t="shared" si="117"/>
        <v/>
      </c>
      <c r="UN12" s="137"/>
      <c r="UO12" s="138"/>
      <c r="UP12" s="143"/>
      <c r="UQ12" s="140" t="str">
        <f>IFERROR((((COUNTIF('Elève (4ème2)'!UN12:UP12,"A"))*4)+((COUNTIF('Elève (4ème2)'!UN12:UP12,"B"))*3)+((COUNTIF('Elève (4ème2)'!UN12:UP12,"C"))*2)+((COUNTIF('Elève (4ème2)'!UN12:UP12,"D"))*1))/(COUNTA(UN12:UP12)),"")</f>
        <v/>
      </c>
      <c r="UR12" s="141" t="str">
        <f t="shared" si="118"/>
        <v/>
      </c>
      <c r="US12" s="140" t="str">
        <f>IF(COUNT(UG12,UL12,UQ12)=0,"",SUM(UG12,UL12,UQ12)/COUNT(UG12,UL12,UQ12))</f>
        <v/>
      </c>
      <c r="UT12" s="142" t="str">
        <f t="shared" si="119"/>
        <v/>
      </c>
    </row>
    <row r="13" spans="1:566" s="117" customFormat="1" ht="16.5" customHeight="1" thickBot="1" x14ac:dyDescent="0.3">
      <c r="A13" s="174" t="s">
        <v>19</v>
      </c>
      <c r="B13" s="147">
        <v>1</v>
      </c>
      <c r="C13" s="230"/>
      <c r="D13" s="85"/>
      <c r="E13" s="107"/>
      <c r="F13" s="187">
        <f>IF(COUNT(F14:F15)=0,"",SUM(F14:F15)/COUNT(F14:F15))</f>
        <v>4</v>
      </c>
      <c r="G13" s="188" t="str">
        <f t="shared" si="0"/>
        <v>A</v>
      </c>
      <c r="H13" s="230"/>
      <c r="I13" s="85"/>
      <c r="J13" s="85"/>
      <c r="K13" s="107"/>
      <c r="L13" s="187">
        <f>IF(COUNT(L14,L15)=0,"",SUM(L14:L15)/COUNT(L14,L15))</f>
        <v>4</v>
      </c>
      <c r="M13" s="203" t="str">
        <f t="shared" si="1"/>
        <v>A</v>
      </c>
      <c r="N13" s="181"/>
      <c r="O13" s="112"/>
      <c r="P13" s="112"/>
      <c r="Q13" s="113"/>
      <c r="R13" s="187" t="str">
        <f>IF(COUNT(R14,R15)=0,"",SUM(R14:R15)/COUNT(R14,R15))</f>
        <v/>
      </c>
      <c r="S13" s="211" t="str">
        <f t="shared" si="2"/>
        <v/>
      </c>
      <c r="T13" s="212">
        <f>IF(COUNT(T14:T15)=0,"",SUM(T14:T15)/COUNT(T14:T15))</f>
        <v>4</v>
      </c>
      <c r="U13" s="213" t="str">
        <f t="shared" si="3"/>
        <v>A</v>
      </c>
      <c r="V13" s="224"/>
      <c r="W13" s="85"/>
      <c r="X13" s="107"/>
      <c r="Y13" s="187">
        <f>IF(COUNT(Y14:Y15)=0,"",SUM(Y14:Y15)/COUNT(Y14:Y15))</f>
        <v>4</v>
      </c>
      <c r="Z13" s="188" t="str">
        <f t="shared" si="4"/>
        <v>A</v>
      </c>
      <c r="AA13" s="230"/>
      <c r="AB13" s="85"/>
      <c r="AC13" s="85"/>
      <c r="AD13" s="107"/>
      <c r="AE13" s="187">
        <f>IF(COUNT(AE14,AE15)=0,"",SUM(AE14:AE15)/COUNT(AE14,AE15))</f>
        <v>4</v>
      </c>
      <c r="AF13" s="203" t="str">
        <f t="shared" si="5"/>
        <v>A</v>
      </c>
      <c r="AG13" s="181"/>
      <c r="AH13" s="112"/>
      <c r="AI13" s="112"/>
      <c r="AJ13" s="113"/>
      <c r="AK13" s="187" t="str">
        <f>IF(COUNT(AK14,AK15)=0,"",SUM(AK14:AK15)/COUNT(AK14,AK15))</f>
        <v/>
      </c>
      <c r="AL13" s="211" t="str">
        <f t="shared" si="6"/>
        <v/>
      </c>
      <c r="AM13" s="212">
        <f>IF(COUNT(AM14:AM15)=0,"",SUM(AM14:AM15)/COUNT(AM14:AM15))</f>
        <v>4</v>
      </c>
      <c r="AN13" s="213" t="str">
        <f t="shared" si="7"/>
        <v>A</v>
      </c>
      <c r="AO13" s="224"/>
      <c r="AP13" s="85"/>
      <c r="AQ13" s="107"/>
      <c r="AR13" s="187">
        <f>IF(COUNT(AR14:AR15)=0,"",SUM(AR14:AR15)/COUNT(AR14:AR15))</f>
        <v>4</v>
      </c>
      <c r="AS13" s="188" t="str">
        <f t="shared" si="8"/>
        <v>A</v>
      </c>
      <c r="AT13" s="230"/>
      <c r="AU13" s="85"/>
      <c r="AV13" s="85"/>
      <c r="AW13" s="107"/>
      <c r="AX13" s="187">
        <f>IF(COUNT(AX14,AX15)=0,"",SUM(AX14:AX15)/COUNT(AX14,AX15))</f>
        <v>2</v>
      </c>
      <c r="AY13" s="203" t="str">
        <f t="shared" si="9"/>
        <v>C</v>
      </c>
      <c r="AZ13" s="181"/>
      <c r="BA13" s="112"/>
      <c r="BB13" s="112"/>
      <c r="BC13" s="113"/>
      <c r="BD13" s="187" t="str">
        <f>IF(COUNT(BD14,BD15)=0,"",SUM(BD14:BD15)/COUNT(BD14,BD15))</f>
        <v/>
      </c>
      <c r="BE13" s="211" t="str">
        <f t="shared" si="10"/>
        <v/>
      </c>
      <c r="BF13" s="212">
        <f>IF(COUNT(BF14:BF15)=0,"",SUM(BF14:BF15)/COUNT(BF14:BF15))</f>
        <v>3</v>
      </c>
      <c r="BG13" s="213" t="str">
        <f t="shared" si="11"/>
        <v>B</v>
      </c>
      <c r="BH13" s="224"/>
      <c r="BI13" s="85"/>
      <c r="BJ13" s="107"/>
      <c r="BK13" s="187">
        <f>IF(COUNT(BK14:BK15)=0,"",SUM(BK14:BK15)/COUNT(BK14:BK15))</f>
        <v>4</v>
      </c>
      <c r="BL13" s="188" t="str">
        <f t="shared" si="12"/>
        <v>A</v>
      </c>
      <c r="BM13" s="230"/>
      <c r="BN13" s="85"/>
      <c r="BO13" s="85"/>
      <c r="BP13" s="107"/>
      <c r="BQ13" s="187">
        <f>IF(COUNT(BQ14,BQ15)=0,"",SUM(BQ14:BQ15)/COUNT(BQ14,BQ15))</f>
        <v>4</v>
      </c>
      <c r="BR13" s="203" t="str">
        <f t="shared" si="13"/>
        <v>A</v>
      </c>
      <c r="BS13" s="181"/>
      <c r="BT13" s="112"/>
      <c r="BU13" s="112"/>
      <c r="BV13" s="113"/>
      <c r="BW13" s="187" t="str">
        <f>IF(COUNT(BW14,BW15)=0,"",SUM(BW14:BW15)/COUNT(BW14,BW15))</f>
        <v/>
      </c>
      <c r="BX13" s="211" t="str">
        <f t="shared" si="14"/>
        <v/>
      </c>
      <c r="BY13" s="212">
        <f>IF(COUNT(BY14:BY15)=0,"",SUM(BY14:BY15)/COUNT(BY14:BY15))</f>
        <v>4</v>
      </c>
      <c r="BZ13" s="213" t="str">
        <f t="shared" si="15"/>
        <v>A</v>
      </c>
      <c r="CA13" s="224"/>
      <c r="CB13" s="85"/>
      <c r="CC13" s="107"/>
      <c r="CD13" s="187">
        <f>IF(COUNT(CD14:CD15)=0,"",SUM(CD14:CD15)/COUNT(CD14:CD15))</f>
        <v>4</v>
      </c>
      <c r="CE13" s="188" t="str">
        <f t="shared" si="16"/>
        <v>A</v>
      </c>
      <c r="CF13" s="230"/>
      <c r="CG13" s="85"/>
      <c r="CH13" s="85"/>
      <c r="CI13" s="107"/>
      <c r="CJ13" s="187">
        <f>IF(COUNT(CJ14,CJ15)=0,"",SUM(CJ14:CJ15)/COUNT(CJ14,CJ15))</f>
        <v>4</v>
      </c>
      <c r="CK13" s="203" t="str">
        <f t="shared" si="17"/>
        <v>A</v>
      </c>
      <c r="CL13" s="181"/>
      <c r="CM13" s="112"/>
      <c r="CN13" s="112"/>
      <c r="CO13" s="113"/>
      <c r="CP13" s="187" t="str">
        <f>IF(COUNT(CP14,CP15)=0,"",SUM(CP14:CP15)/COUNT(CP14,CP15))</f>
        <v/>
      </c>
      <c r="CQ13" s="211" t="str">
        <f t="shared" si="18"/>
        <v/>
      </c>
      <c r="CR13" s="212">
        <f>IF(COUNT(CR14:CR15)=0,"",SUM(CR14:CR15)/COUNT(CR14:CR15))</f>
        <v>4</v>
      </c>
      <c r="CS13" s="213" t="str">
        <f t="shared" si="19"/>
        <v>A</v>
      </c>
      <c r="CT13" s="224"/>
      <c r="CU13" s="85"/>
      <c r="CV13" s="107"/>
      <c r="CW13" s="187">
        <f>IF(COUNT(CW14:CW15)=0,"",SUM(CW14:CW15)/COUNT(CW14:CW15))</f>
        <v>4</v>
      </c>
      <c r="CX13" s="188" t="str">
        <f t="shared" si="20"/>
        <v>A</v>
      </c>
      <c r="CY13" s="230"/>
      <c r="CZ13" s="85"/>
      <c r="DA13" s="85"/>
      <c r="DB13" s="107"/>
      <c r="DC13" s="187">
        <f>IF(COUNT(DC14,DC15)=0,"",SUM(DC14:DC15)/COUNT(DC14,DC15))</f>
        <v>4</v>
      </c>
      <c r="DD13" s="203" t="str">
        <f t="shared" si="21"/>
        <v>A</v>
      </c>
      <c r="DE13" s="181"/>
      <c r="DF13" s="112"/>
      <c r="DG13" s="112"/>
      <c r="DH13" s="113"/>
      <c r="DI13" s="187" t="str">
        <f>IF(COUNT(DI14,DI15)=0,"",SUM(DI14:DI15)/COUNT(DI14,DI15))</f>
        <v/>
      </c>
      <c r="DJ13" s="211" t="str">
        <f t="shared" si="22"/>
        <v/>
      </c>
      <c r="DK13" s="212">
        <f>IF(COUNT(DK14:DK15)=0,"",SUM(DK14:DK15)/COUNT(DK14:DK15))</f>
        <v>4</v>
      </c>
      <c r="DL13" s="213" t="str">
        <f t="shared" si="23"/>
        <v>A</v>
      </c>
      <c r="DM13" s="224"/>
      <c r="DN13" s="85"/>
      <c r="DO13" s="107"/>
      <c r="DP13" s="187">
        <f>IF(COUNT(DP14:DP15)=0,"",SUM(DP14:DP15)/COUNT(DP14:DP15))</f>
        <v>4</v>
      </c>
      <c r="DQ13" s="188" t="str">
        <f t="shared" si="24"/>
        <v>A</v>
      </c>
      <c r="DR13" s="230"/>
      <c r="DS13" s="85"/>
      <c r="DT13" s="85"/>
      <c r="DU13" s="107"/>
      <c r="DV13" s="187">
        <f>IF(COUNT(DV14,DV15)=0,"",SUM(DV14:DV15)/COUNT(DV14,DV15))</f>
        <v>4</v>
      </c>
      <c r="DW13" s="203" t="str">
        <f t="shared" si="25"/>
        <v>A</v>
      </c>
      <c r="DX13" s="181"/>
      <c r="DY13" s="112"/>
      <c r="DZ13" s="112"/>
      <c r="EA13" s="113"/>
      <c r="EB13" s="187" t="str">
        <f>IF(COUNT(EB14,EB15)=0,"",SUM(EB14:EB15)/COUNT(EB14,EB15))</f>
        <v/>
      </c>
      <c r="EC13" s="211" t="str">
        <f t="shared" si="26"/>
        <v/>
      </c>
      <c r="ED13" s="212">
        <f>IF(COUNT(ED14:ED15)=0,"",SUM(ED14:ED15)/COUNT(ED14:ED15))</f>
        <v>4</v>
      </c>
      <c r="EE13" s="213" t="str">
        <f t="shared" si="27"/>
        <v>A</v>
      </c>
      <c r="EF13" s="224"/>
      <c r="EG13" s="85"/>
      <c r="EH13" s="107"/>
      <c r="EI13" s="187">
        <f>IF(COUNT(EI14:EI15)=0,"",SUM(EI14:EI15)/COUNT(EI14:EI15))</f>
        <v>4</v>
      </c>
      <c r="EJ13" s="188" t="str">
        <f t="shared" si="28"/>
        <v>A</v>
      </c>
      <c r="EK13" s="230"/>
      <c r="EL13" s="85"/>
      <c r="EM13" s="85"/>
      <c r="EN13" s="107"/>
      <c r="EO13" s="187">
        <f>IF(COUNT(EO14,EO15)=0,"",SUM(EO14:EO15)/COUNT(EO14,EO15))</f>
        <v>4</v>
      </c>
      <c r="EP13" s="203" t="str">
        <f t="shared" si="29"/>
        <v>A</v>
      </c>
      <c r="EQ13" s="181"/>
      <c r="ER13" s="112"/>
      <c r="ES13" s="112"/>
      <c r="ET13" s="113"/>
      <c r="EU13" s="187" t="str">
        <f>IF(COUNT(EU14,EU15)=0,"",SUM(EU14:EU15)/COUNT(EU14,EU15))</f>
        <v/>
      </c>
      <c r="EV13" s="211" t="str">
        <f t="shared" si="30"/>
        <v/>
      </c>
      <c r="EW13" s="212">
        <f>IF(COUNT(EW14:EW15)=0,"",SUM(EW14:EW15)/COUNT(EW14:EW15))</f>
        <v>4</v>
      </c>
      <c r="EX13" s="213" t="str">
        <f t="shared" si="31"/>
        <v>A</v>
      </c>
      <c r="EY13" s="224"/>
      <c r="EZ13" s="85"/>
      <c r="FA13" s="107"/>
      <c r="FB13" s="187">
        <f>IF(COUNT(FB14:FB15)=0,"",SUM(FB14:FB15)/COUNT(FB14:FB15))</f>
        <v>4</v>
      </c>
      <c r="FC13" s="188" t="str">
        <f t="shared" si="32"/>
        <v>A</v>
      </c>
      <c r="FD13" s="230"/>
      <c r="FE13" s="85"/>
      <c r="FF13" s="85"/>
      <c r="FG13" s="107"/>
      <c r="FH13" s="187">
        <f>IF(COUNT(FH14,FH15)=0,"",SUM(FH14:FH15)/COUNT(FH14,FH15))</f>
        <v>2</v>
      </c>
      <c r="FI13" s="203" t="str">
        <f t="shared" si="33"/>
        <v>C</v>
      </c>
      <c r="FJ13" s="181"/>
      <c r="FK13" s="112"/>
      <c r="FL13" s="112"/>
      <c r="FM13" s="113"/>
      <c r="FN13" s="187" t="str">
        <f>IF(COUNT(FN14,FN15)=0,"",SUM(FN14:FN15)/COUNT(FN14,FN15))</f>
        <v/>
      </c>
      <c r="FO13" s="211" t="str">
        <f t="shared" si="34"/>
        <v/>
      </c>
      <c r="FP13" s="212">
        <f>IF(COUNT(FP14:FP15)=0,"",SUM(FP14:FP15)/COUNT(FP14:FP15))</f>
        <v>3</v>
      </c>
      <c r="FQ13" s="213" t="str">
        <f t="shared" si="35"/>
        <v>B</v>
      </c>
      <c r="FR13" s="224"/>
      <c r="FS13" s="85"/>
      <c r="FT13" s="107"/>
      <c r="FU13" s="187">
        <f>IF(COUNT(FU14:FU15)=0,"",SUM(FU14:FU15)/COUNT(FU14:FU15))</f>
        <v>4</v>
      </c>
      <c r="FV13" s="188" t="str">
        <f t="shared" si="36"/>
        <v>A</v>
      </c>
      <c r="FW13" s="230"/>
      <c r="FX13" s="85"/>
      <c r="FY13" s="85"/>
      <c r="FZ13" s="107"/>
      <c r="GA13" s="187">
        <f>IF(COUNT(GA14,GA15)=0,"",SUM(GA14:GA15)/COUNT(GA14,GA15))</f>
        <v>4</v>
      </c>
      <c r="GB13" s="203" t="str">
        <f t="shared" si="37"/>
        <v>A</v>
      </c>
      <c r="GC13" s="181"/>
      <c r="GD13" s="112"/>
      <c r="GE13" s="112"/>
      <c r="GF13" s="113"/>
      <c r="GG13" s="187" t="str">
        <f>IF(COUNT(GG14,GG15)=0,"",SUM(GG14:GG15)/COUNT(GG14,GG15))</f>
        <v/>
      </c>
      <c r="GH13" s="211" t="str">
        <f t="shared" si="38"/>
        <v/>
      </c>
      <c r="GI13" s="212">
        <f>IF(COUNT(GI14:GI15)=0,"",SUM(GI14:GI15)/COUNT(GI14:GI15))</f>
        <v>4</v>
      </c>
      <c r="GJ13" s="213" t="str">
        <f t="shared" si="39"/>
        <v>A</v>
      </c>
      <c r="GK13" s="224"/>
      <c r="GL13" s="85"/>
      <c r="GM13" s="107"/>
      <c r="GN13" s="187">
        <f>IF(COUNT(GN14:GN15)=0,"",SUM(GN14:GN15)/COUNT(GN14:GN15))</f>
        <v>4</v>
      </c>
      <c r="GO13" s="188" t="str">
        <f t="shared" si="40"/>
        <v>A</v>
      </c>
      <c r="GP13" s="230"/>
      <c r="GQ13" s="85"/>
      <c r="GR13" s="85"/>
      <c r="GS13" s="107"/>
      <c r="GT13" s="187" t="str">
        <f>IF(COUNT(GT14,GT15)=0,"",SUM(GT14:GT15)/COUNT(GT14,GT15))</f>
        <v/>
      </c>
      <c r="GU13" s="203" t="str">
        <f t="shared" si="41"/>
        <v/>
      </c>
      <c r="GV13" s="181"/>
      <c r="GW13" s="112"/>
      <c r="GX13" s="112"/>
      <c r="GY13" s="113"/>
      <c r="GZ13" s="187" t="str">
        <f>IF(COUNT(GZ14,GZ15)=0,"",SUM(GZ14:GZ15)/COUNT(GZ14,GZ15))</f>
        <v/>
      </c>
      <c r="HA13" s="211" t="str">
        <f t="shared" si="42"/>
        <v/>
      </c>
      <c r="HB13" s="212">
        <f>IF(COUNT(HB14:HB15)=0,"",SUM(HB14:HB15)/COUNT(HB14:HB15))</f>
        <v>4</v>
      </c>
      <c r="HC13" s="213" t="str">
        <f t="shared" si="43"/>
        <v>A</v>
      </c>
      <c r="HD13" s="224"/>
      <c r="HE13" s="85"/>
      <c r="HF13" s="107"/>
      <c r="HG13" s="187">
        <f>IF(COUNT(HG14:HG15)=0,"",SUM(HG14:HG15)/COUNT(HG14:HG15))</f>
        <v>4</v>
      </c>
      <c r="HH13" s="188" t="str">
        <f t="shared" si="44"/>
        <v>A</v>
      </c>
      <c r="HI13" s="230"/>
      <c r="HJ13" s="85"/>
      <c r="HK13" s="85"/>
      <c r="HL13" s="107"/>
      <c r="HM13" s="187">
        <f>IF(COUNT(HM14,HM15)=0,"",SUM(HM14:HM15)/COUNT(HM14,HM15))</f>
        <v>4</v>
      </c>
      <c r="HN13" s="203" t="str">
        <f t="shared" si="45"/>
        <v>A</v>
      </c>
      <c r="HO13" s="181"/>
      <c r="HP13" s="112"/>
      <c r="HQ13" s="112"/>
      <c r="HR13" s="113"/>
      <c r="HS13" s="187" t="str">
        <f>IF(COUNT(HS14,HS15)=0,"",SUM(HS14:HS15)/COUNT(HS14,HS15))</f>
        <v/>
      </c>
      <c r="HT13" s="211" t="str">
        <f t="shared" si="46"/>
        <v/>
      </c>
      <c r="HU13" s="212">
        <f>IF(COUNT(HU14:HU15)=0,"",SUM(HU14:HU15)/COUNT(HU14:HU15))</f>
        <v>4</v>
      </c>
      <c r="HV13" s="213" t="str">
        <f t="shared" si="47"/>
        <v>A</v>
      </c>
      <c r="HW13" s="224"/>
      <c r="HX13" s="85"/>
      <c r="HY13" s="107"/>
      <c r="HZ13" s="187">
        <f>IF(COUNT(HZ14:HZ15)=0,"",SUM(HZ14:HZ15)/COUNT(HZ14:HZ15))</f>
        <v>4</v>
      </c>
      <c r="IA13" s="188" t="str">
        <f t="shared" si="48"/>
        <v>A</v>
      </c>
      <c r="IB13" s="230"/>
      <c r="IC13" s="85"/>
      <c r="ID13" s="85"/>
      <c r="IE13" s="107"/>
      <c r="IF13" s="187">
        <f>IF(COUNT(IF14,IF15)=0,"",SUM(IF14:IF15)/COUNT(IF14,IF15))</f>
        <v>2</v>
      </c>
      <c r="IG13" s="203" t="str">
        <f t="shared" si="49"/>
        <v>C</v>
      </c>
      <c r="IH13" s="181"/>
      <c r="II13" s="112"/>
      <c r="IJ13" s="112"/>
      <c r="IK13" s="113"/>
      <c r="IL13" s="187" t="str">
        <f>IF(COUNT(IL14,IL15)=0,"",SUM(IL14:IL15)/COUNT(IL14,IL15))</f>
        <v/>
      </c>
      <c r="IM13" s="211" t="str">
        <f t="shared" si="50"/>
        <v/>
      </c>
      <c r="IN13" s="212">
        <f>IF(COUNT(IN14:IN15)=0,"",SUM(IN14:IN15)/COUNT(IN14:IN15))</f>
        <v>3</v>
      </c>
      <c r="IO13" s="213" t="str">
        <f t="shared" si="51"/>
        <v>B</v>
      </c>
      <c r="IP13" s="224"/>
      <c r="IQ13" s="85"/>
      <c r="IR13" s="107"/>
      <c r="IS13" s="187">
        <f>IF(COUNT(IS14:IS15)=0,"",SUM(IS14:IS15)/COUNT(IS14:IS15))</f>
        <v>4</v>
      </c>
      <c r="IT13" s="188" t="str">
        <f t="shared" si="52"/>
        <v>A</v>
      </c>
      <c r="IU13" s="230"/>
      <c r="IV13" s="85"/>
      <c r="IW13" s="85"/>
      <c r="IX13" s="107"/>
      <c r="IY13" s="187">
        <f>IF(COUNT(IY14,IY15)=0,"",SUM(IY14:IY15)/COUNT(IY14,IY15))</f>
        <v>4</v>
      </c>
      <c r="IZ13" s="203" t="str">
        <f t="shared" si="53"/>
        <v>A</v>
      </c>
      <c r="JA13" s="181"/>
      <c r="JB13" s="112"/>
      <c r="JC13" s="112"/>
      <c r="JD13" s="113"/>
      <c r="JE13" s="187" t="str">
        <f>IF(COUNT(JE14,JE15)=0,"",SUM(JE14:JE15)/COUNT(JE14,JE15))</f>
        <v/>
      </c>
      <c r="JF13" s="211" t="str">
        <f t="shared" si="54"/>
        <v/>
      </c>
      <c r="JG13" s="212">
        <f>IF(COUNT(JG14:JG15)=0,"",SUM(JG14:JG15)/COUNT(JG14:JG15))</f>
        <v>4</v>
      </c>
      <c r="JH13" s="213" t="str">
        <f t="shared" si="55"/>
        <v>A</v>
      </c>
      <c r="JI13" s="224"/>
      <c r="JJ13" s="85"/>
      <c r="JK13" s="107"/>
      <c r="JL13" s="187">
        <f>IF(COUNT(JL14:JL15)=0,"",SUM(JL14:JL15)/COUNT(JL14:JL15))</f>
        <v>4</v>
      </c>
      <c r="JM13" s="188" t="str">
        <f t="shared" si="56"/>
        <v>A</v>
      </c>
      <c r="JN13" s="230"/>
      <c r="JO13" s="85"/>
      <c r="JP13" s="85"/>
      <c r="JQ13" s="107"/>
      <c r="JR13" s="187">
        <f>IF(COUNT(JR14,JR15)=0,"",SUM(JR14:JR15)/COUNT(JR14,JR15))</f>
        <v>4</v>
      </c>
      <c r="JS13" s="203" t="str">
        <f t="shared" si="57"/>
        <v>A</v>
      </c>
      <c r="JT13" s="181"/>
      <c r="JU13" s="112"/>
      <c r="JV13" s="112"/>
      <c r="JW13" s="113"/>
      <c r="JX13" s="187" t="str">
        <f>IF(COUNT(JX14,JX15)=0,"",SUM(JX14:JX15)/COUNT(JX14,JX15))</f>
        <v/>
      </c>
      <c r="JY13" s="211" t="str">
        <f t="shared" si="58"/>
        <v/>
      </c>
      <c r="JZ13" s="212">
        <f>IF(COUNT(JZ14:JZ15)=0,"",SUM(JZ14:JZ15)/COUNT(JZ14:JZ15))</f>
        <v>4</v>
      </c>
      <c r="KA13" s="213" t="str">
        <f t="shared" si="59"/>
        <v>A</v>
      </c>
      <c r="KB13" s="224"/>
      <c r="KC13" s="85"/>
      <c r="KD13" s="107"/>
      <c r="KE13" s="187">
        <f>IF(COUNT(KE14:KE15)=0,"",SUM(KE14:KE15)/COUNT(KE14:KE15))</f>
        <v>4</v>
      </c>
      <c r="KF13" s="188" t="str">
        <f t="shared" si="60"/>
        <v>A</v>
      </c>
      <c r="KG13" s="230"/>
      <c r="KH13" s="85"/>
      <c r="KI13" s="85"/>
      <c r="KJ13" s="107"/>
      <c r="KK13" s="187">
        <f>IF(COUNT(KK14,KK15)=0,"",SUM(KK14:KK15)/COUNT(KK14,KK15))</f>
        <v>4</v>
      </c>
      <c r="KL13" s="203" t="str">
        <f t="shared" si="61"/>
        <v>A</v>
      </c>
      <c r="KM13" s="181"/>
      <c r="KN13" s="112"/>
      <c r="KO13" s="112"/>
      <c r="KP13" s="113"/>
      <c r="KQ13" s="187" t="str">
        <f>IF(COUNT(KQ14,KQ15)=0,"",SUM(KQ14:KQ15)/COUNT(KQ14,KQ15))</f>
        <v/>
      </c>
      <c r="KR13" s="211" t="str">
        <f t="shared" si="62"/>
        <v/>
      </c>
      <c r="KS13" s="212">
        <f>IF(COUNT(KS14:KS15)=0,"",SUM(KS14:KS15)/COUNT(KS14:KS15))</f>
        <v>4</v>
      </c>
      <c r="KT13" s="213" t="str">
        <f t="shared" si="63"/>
        <v>A</v>
      </c>
      <c r="KU13" s="224"/>
      <c r="KV13" s="85"/>
      <c r="KW13" s="107"/>
      <c r="KX13" s="187">
        <f>IF(COUNT(KX14:KX15)=0,"",SUM(KX14:KX15)/COUNT(KX14:KX15))</f>
        <v>4</v>
      </c>
      <c r="KY13" s="188" t="str">
        <f t="shared" si="64"/>
        <v>A</v>
      </c>
      <c r="KZ13" s="230"/>
      <c r="LA13" s="85"/>
      <c r="LB13" s="85"/>
      <c r="LC13" s="107"/>
      <c r="LD13" s="187">
        <f>IF(COUNT(LD14,LD15)=0,"",SUM(LD14:LD15)/COUNT(LD14,LD15))</f>
        <v>4</v>
      </c>
      <c r="LE13" s="203" t="str">
        <f t="shared" si="65"/>
        <v>A</v>
      </c>
      <c r="LF13" s="181"/>
      <c r="LG13" s="112"/>
      <c r="LH13" s="112"/>
      <c r="LI13" s="113"/>
      <c r="LJ13" s="187" t="str">
        <f>IF(COUNT(LJ14,LJ15)=0,"",SUM(LJ14:LJ15)/COUNT(LJ14,LJ15))</f>
        <v/>
      </c>
      <c r="LK13" s="211" t="str">
        <f t="shared" si="66"/>
        <v/>
      </c>
      <c r="LL13" s="212">
        <f>IF(COUNT(LL14:LL15)=0,"",SUM(LL14:LL15)/COUNT(LL14:LL15))</f>
        <v>4</v>
      </c>
      <c r="LM13" s="213" t="str">
        <f t="shared" si="67"/>
        <v>A</v>
      </c>
      <c r="LN13" s="224"/>
      <c r="LO13" s="85"/>
      <c r="LP13" s="107"/>
      <c r="LQ13" s="187">
        <f>IF(COUNT(LQ14:LQ15)=0,"",SUM(LQ14:LQ15)/COUNT(LQ14:LQ15))</f>
        <v>4</v>
      </c>
      <c r="LR13" s="188" t="str">
        <f t="shared" si="68"/>
        <v>A</v>
      </c>
      <c r="LS13" s="230"/>
      <c r="LT13" s="85"/>
      <c r="LU13" s="85"/>
      <c r="LV13" s="107"/>
      <c r="LW13" s="187">
        <f>IF(COUNT(LW14,LW15)=0,"",SUM(LW14:LW15)/COUNT(LW14,LW15))</f>
        <v>4</v>
      </c>
      <c r="LX13" s="203" t="str">
        <f t="shared" si="69"/>
        <v>A</v>
      </c>
      <c r="LY13" s="181"/>
      <c r="LZ13" s="112"/>
      <c r="MA13" s="112"/>
      <c r="MB13" s="113"/>
      <c r="MC13" s="187" t="str">
        <f>IF(COUNT(MC14,MC15)=0,"",SUM(MC14:MC15)/COUNT(MC14,MC15))</f>
        <v/>
      </c>
      <c r="MD13" s="211" t="str">
        <f t="shared" si="70"/>
        <v/>
      </c>
      <c r="ME13" s="212">
        <f>IF(COUNT(ME14:ME15)=0,"",SUM(ME14:ME15)/COUNT(ME14:ME15))</f>
        <v>4</v>
      </c>
      <c r="MF13" s="213" t="str">
        <f t="shared" si="71"/>
        <v>A</v>
      </c>
      <c r="MG13" s="224"/>
      <c r="MH13" s="85"/>
      <c r="MI13" s="107"/>
      <c r="MJ13" s="187">
        <f>IF(COUNT(MJ14:MJ15)=0,"",SUM(MJ14:MJ15)/COUNT(MJ14:MJ15))</f>
        <v>4</v>
      </c>
      <c r="MK13" s="188" t="str">
        <f t="shared" si="72"/>
        <v>A</v>
      </c>
      <c r="ML13" s="230"/>
      <c r="MM13" s="85"/>
      <c r="MN13" s="85"/>
      <c r="MO13" s="107"/>
      <c r="MP13" s="187">
        <f>IF(COUNT(MP14,MP15)=0,"",SUM(MP14:MP15)/COUNT(MP14,MP15))</f>
        <v>4</v>
      </c>
      <c r="MQ13" s="203" t="str">
        <f t="shared" si="73"/>
        <v>A</v>
      </c>
      <c r="MR13" s="181"/>
      <c r="MS13" s="112"/>
      <c r="MT13" s="112"/>
      <c r="MU13" s="113"/>
      <c r="MV13" s="187" t="str">
        <f>IF(COUNT(MV14,MV15)=0,"",SUM(MV14:MV15)/COUNT(MV14,MV15))</f>
        <v/>
      </c>
      <c r="MW13" s="211" t="str">
        <f t="shared" si="74"/>
        <v/>
      </c>
      <c r="MX13" s="212">
        <f>IF(COUNT(MX14:MX15)=0,"",SUM(MX14:MX15)/COUNT(MX14:MX15))</f>
        <v>4</v>
      </c>
      <c r="MY13" s="213" t="str">
        <f t="shared" si="75"/>
        <v>A</v>
      </c>
      <c r="MZ13" s="224"/>
      <c r="NA13" s="85"/>
      <c r="NB13" s="107"/>
      <c r="NC13" s="187">
        <f>IF(COUNT(NC14:NC15)=0,"",SUM(NC14:NC15)/COUNT(NC14:NC15))</f>
        <v>4</v>
      </c>
      <c r="ND13" s="188" t="str">
        <f t="shared" si="76"/>
        <v>A</v>
      </c>
      <c r="NE13" s="230"/>
      <c r="NF13" s="85"/>
      <c r="NG13" s="85"/>
      <c r="NH13" s="107"/>
      <c r="NI13" s="187">
        <f>IF(COUNT(NI14,NI15)=0,"",SUM(NI14:NI15)/COUNT(NI14,NI15))</f>
        <v>4</v>
      </c>
      <c r="NJ13" s="203" t="str">
        <f t="shared" si="77"/>
        <v>A</v>
      </c>
      <c r="NK13" s="181"/>
      <c r="NL13" s="112"/>
      <c r="NM13" s="112"/>
      <c r="NN13" s="113"/>
      <c r="NO13" s="187" t="str">
        <f>IF(COUNT(NO14,NO15)=0,"",SUM(NO14:NO15)/COUNT(NO14,NO15))</f>
        <v/>
      </c>
      <c r="NP13" s="211" t="str">
        <f t="shared" si="78"/>
        <v/>
      </c>
      <c r="NQ13" s="212">
        <f>IF(COUNT(NQ14:NQ15)=0,"",SUM(NQ14:NQ15)/COUNT(NQ14:NQ15))</f>
        <v>4</v>
      </c>
      <c r="NR13" s="213" t="str">
        <f t="shared" si="79"/>
        <v>A</v>
      </c>
      <c r="NS13" s="224"/>
      <c r="NT13" s="85"/>
      <c r="NU13" s="107"/>
      <c r="NV13" s="187">
        <f>IF(COUNT(NV14:NV15)=0,"",SUM(NV14:NV15)/COUNT(NV14:NV15))</f>
        <v>1</v>
      </c>
      <c r="NW13" s="188" t="str">
        <f t="shared" si="80"/>
        <v>D</v>
      </c>
      <c r="NX13" s="230"/>
      <c r="NY13" s="85"/>
      <c r="NZ13" s="85"/>
      <c r="OA13" s="107"/>
      <c r="OB13" s="187">
        <f>IF(COUNT(OB14,OB15)=0,"",SUM(OB14:OB15)/COUNT(OB14,OB15))</f>
        <v>4</v>
      </c>
      <c r="OC13" s="203" t="str">
        <f t="shared" si="81"/>
        <v>A</v>
      </c>
      <c r="OD13" s="181"/>
      <c r="OE13" s="112"/>
      <c r="OF13" s="112"/>
      <c r="OG13" s="113"/>
      <c r="OH13" s="187" t="str">
        <f>IF(COUNT(OH14,OH15)=0,"",SUM(OH14:OH15)/COUNT(OH14,OH15))</f>
        <v/>
      </c>
      <c r="OI13" s="211" t="str">
        <f t="shared" si="82"/>
        <v/>
      </c>
      <c r="OJ13" s="212">
        <f>IF(COUNT(OJ14:OJ15)=0,"",SUM(OJ14:OJ15)/COUNT(OJ14:OJ15))</f>
        <v>2.5</v>
      </c>
      <c r="OK13" s="213" t="str">
        <f t="shared" si="83"/>
        <v>C</v>
      </c>
      <c r="OL13" s="224"/>
      <c r="OM13" s="85"/>
      <c r="ON13" s="107"/>
      <c r="OO13" s="187">
        <f>IF(COUNT(OO14:OO15)=0,"",SUM(OO14:OO15)/COUNT(OO14:OO15))</f>
        <v>4</v>
      </c>
      <c r="OP13" s="188" t="str">
        <f t="shared" si="84"/>
        <v>A</v>
      </c>
      <c r="OQ13" s="230"/>
      <c r="OR13" s="85"/>
      <c r="OS13" s="85"/>
      <c r="OT13" s="107"/>
      <c r="OU13" s="187">
        <f>IF(COUNT(OU14,OU15)=0,"",SUM(OU14:OU15)/COUNT(OU14,OU15))</f>
        <v>4</v>
      </c>
      <c r="OV13" s="203" t="str">
        <f t="shared" si="85"/>
        <v>A</v>
      </c>
      <c r="OW13" s="181"/>
      <c r="OX13" s="112"/>
      <c r="OY13" s="112"/>
      <c r="OZ13" s="113"/>
      <c r="PA13" s="187" t="str">
        <f>IF(COUNT(PA14,PA15)=0,"",SUM(PA14:PA15)/COUNT(PA14,PA15))</f>
        <v/>
      </c>
      <c r="PB13" s="211" t="str">
        <f t="shared" si="86"/>
        <v/>
      </c>
      <c r="PC13" s="212">
        <f>IF(COUNT(PC14:PC15)=0,"",SUM(PC14:PC15)/COUNT(PC14:PC15))</f>
        <v>4</v>
      </c>
      <c r="PD13" s="213" t="str">
        <f t="shared" si="87"/>
        <v>A</v>
      </c>
      <c r="PE13" s="224"/>
      <c r="PF13" s="85"/>
      <c r="PG13" s="107"/>
      <c r="PH13" s="187">
        <f>IF(COUNT(PH14:PH15)=0,"",SUM(PH14:PH15)/COUNT(PH14:PH15))</f>
        <v>4</v>
      </c>
      <c r="PI13" s="188" t="str">
        <f t="shared" si="88"/>
        <v>A</v>
      </c>
      <c r="PJ13" s="230"/>
      <c r="PK13" s="85"/>
      <c r="PL13" s="85"/>
      <c r="PM13" s="107"/>
      <c r="PN13" s="187">
        <f>IF(COUNT(PN14,PN15)=0,"",SUM(PN14:PN15)/COUNT(PN14,PN15))</f>
        <v>4</v>
      </c>
      <c r="PO13" s="203" t="str">
        <f t="shared" si="89"/>
        <v>A</v>
      </c>
      <c r="PP13" s="181"/>
      <c r="PQ13" s="112"/>
      <c r="PR13" s="112"/>
      <c r="PS13" s="113"/>
      <c r="PT13" s="187" t="str">
        <f>IF(COUNT(PT14,PT15)=0,"",SUM(PT14:PT15)/COUNT(PT14,PT15))</f>
        <v/>
      </c>
      <c r="PU13" s="211" t="str">
        <f t="shared" si="90"/>
        <v/>
      </c>
      <c r="PV13" s="212">
        <f>IF(COUNT(PV14:PV15)=0,"",SUM(PV14:PV15)/COUNT(PV14:PV15))</f>
        <v>4</v>
      </c>
      <c r="PW13" s="213" t="str">
        <f t="shared" si="91"/>
        <v>A</v>
      </c>
      <c r="PX13" s="224"/>
      <c r="PY13" s="85"/>
      <c r="PZ13" s="107"/>
      <c r="QA13" s="187">
        <f>IF(COUNT(QA14:QA15)=0,"",SUM(QA14:QA15)/COUNT(QA14:QA15))</f>
        <v>4</v>
      </c>
      <c r="QB13" s="188" t="str">
        <f t="shared" si="92"/>
        <v>A</v>
      </c>
      <c r="QC13" s="230"/>
      <c r="QD13" s="85"/>
      <c r="QE13" s="85"/>
      <c r="QF13" s="107"/>
      <c r="QG13" s="187">
        <f>IF(COUNT(QG14,QG15)=0,"",SUM(QG14:QG15)/COUNT(QG14,QG15))</f>
        <v>4</v>
      </c>
      <c r="QH13" s="203" t="str">
        <f t="shared" si="93"/>
        <v>A</v>
      </c>
      <c r="QI13" s="181"/>
      <c r="QJ13" s="112"/>
      <c r="QK13" s="112"/>
      <c r="QL13" s="113"/>
      <c r="QM13" s="187" t="str">
        <f>IF(COUNT(QM14,QM15)=0,"",SUM(QM14:QM15)/COUNT(QM14,QM15))</f>
        <v/>
      </c>
      <c r="QN13" s="211" t="str">
        <f t="shared" si="94"/>
        <v/>
      </c>
      <c r="QO13" s="212">
        <f>IF(COUNT(QO14:QO15)=0,"",SUM(QO14:QO15)/COUNT(QO14:QO15))</f>
        <v>4</v>
      </c>
      <c r="QP13" s="213" t="str">
        <f t="shared" si="95"/>
        <v>A</v>
      </c>
      <c r="QQ13" s="224"/>
      <c r="QR13" s="85"/>
      <c r="QS13" s="107"/>
      <c r="QT13" s="187">
        <f>IF(COUNT(QT14:QT15)=0,"",SUM(QT14:QT15)/COUNT(QT14:QT15))</f>
        <v>4</v>
      </c>
      <c r="QU13" s="188" t="str">
        <f t="shared" si="96"/>
        <v>A</v>
      </c>
      <c r="QV13" s="230"/>
      <c r="QW13" s="85"/>
      <c r="QX13" s="85"/>
      <c r="QY13" s="107"/>
      <c r="QZ13" s="187">
        <f>IF(COUNT(QZ14,QZ15)=0,"",SUM(QZ14:QZ15)/COUNT(QZ14,QZ15))</f>
        <v>4</v>
      </c>
      <c r="RA13" s="203" t="str">
        <f t="shared" si="97"/>
        <v>A</v>
      </c>
      <c r="RB13" s="181"/>
      <c r="RC13" s="112"/>
      <c r="RD13" s="112"/>
      <c r="RE13" s="113"/>
      <c r="RF13" s="187" t="str">
        <f>IF(COUNT(RF14,RF15)=0,"",SUM(RF14:RF15)/COUNT(RF14,RF15))</f>
        <v/>
      </c>
      <c r="RG13" s="211" t="str">
        <f t="shared" si="98"/>
        <v/>
      </c>
      <c r="RH13" s="212">
        <f>IF(COUNT(RH14:RH15)=0,"",SUM(RH14:RH15)/COUNT(RH14:RH15))</f>
        <v>4</v>
      </c>
      <c r="RI13" s="213" t="str">
        <f t="shared" si="99"/>
        <v>A</v>
      </c>
      <c r="RJ13" s="224"/>
      <c r="RK13" s="85"/>
      <c r="RL13" s="107"/>
      <c r="RM13" s="187">
        <f>IF(COUNT(RM14:RM15)=0,"",SUM(RM14:RM15)/COUNT(RM14:RM15))</f>
        <v>4</v>
      </c>
      <c r="RN13" s="188" t="str">
        <f t="shared" si="100"/>
        <v>A</v>
      </c>
      <c r="RO13" s="230"/>
      <c r="RP13" s="85"/>
      <c r="RQ13" s="85"/>
      <c r="RR13" s="107"/>
      <c r="RS13" s="187">
        <f>IF(COUNT(RS14,RS15)=0,"",SUM(RS14:RS15)/COUNT(RS14,RS15))</f>
        <v>4</v>
      </c>
      <c r="RT13" s="203" t="str">
        <f t="shared" si="101"/>
        <v>A</v>
      </c>
      <c r="RU13" s="181"/>
      <c r="RV13" s="112"/>
      <c r="RW13" s="112"/>
      <c r="RX13" s="113"/>
      <c r="RY13" s="187" t="str">
        <f>IF(COUNT(RY14,RY15)=0,"",SUM(RY14:RY15)/COUNT(RY14,RY15))</f>
        <v/>
      </c>
      <c r="RZ13" s="211" t="str">
        <f t="shared" si="102"/>
        <v/>
      </c>
      <c r="SA13" s="212">
        <f>IF(COUNT(SA14:SA15)=0,"",SUM(SA14:SA15)/COUNT(SA14:SA15))</f>
        <v>4</v>
      </c>
      <c r="SB13" s="213" t="str">
        <f t="shared" si="103"/>
        <v>A</v>
      </c>
      <c r="SC13" s="224"/>
      <c r="SD13" s="85"/>
      <c r="SE13" s="107"/>
      <c r="SF13" s="187">
        <f>IF(COUNT(SF14:SF15)=0,"",SUM(SF14:SF15)/COUNT(SF14:SF15))</f>
        <v>4</v>
      </c>
      <c r="SG13" s="188" t="str">
        <f t="shared" si="104"/>
        <v>A</v>
      </c>
      <c r="SH13" s="230"/>
      <c r="SI13" s="85"/>
      <c r="SJ13" s="85"/>
      <c r="SK13" s="107"/>
      <c r="SL13" s="187">
        <f>IF(COUNT(SL14,SL15)=0,"",SUM(SL14:SL15)/COUNT(SL14,SL15))</f>
        <v>4</v>
      </c>
      <c r="SM13" s="203" t="str">
        <f t="shared" si="105"/>
        <v>A</v>
      </c>
      <c r="SN13" s="181"/>
      <c r="SO13" s="112"/>
      <c r="SP13" s="112"/>
      <c r="SQ13" s="113"/>
      <c r="SR13" s="187" t="str">
        <f>IF(COUNT(SR14,SR15)=0,"",SUM(SR14:SR15)/COUNT(SR14,SR15))</f>
        <v/>
      </c>
      <c r="SS13" s="211" t="str">
        <f t="shared" si="106"/>
        <v/>
      </c>
      <c r="ST13" s="212">
        <f>IF(COUNT(ST14:ST15)=0,"",SUM(ST14:ST15)/COUNT(ST14:ST15))</f>
        <v>4</v>
      </c>
      <c r="SU13" s="213" t="str">
        <f t="shared" si="107"/>
        <v>A</v>
      </c>
      <c r="SV13" s="148"/>
      <c r="SW13" s="85"/>
      <c r="SX13" s="107"/>
      <c r="SY13" s="108" t="str">
        <f>IF(COUNT(SY14:SY15)=0,"",SUM(SY14:SY15)/COUNT(SY14:SY15))</f>
        <v/>
      </c>
      <c r="SZ13" s="109" t="str">
        <f t="shared" si="108"/>
        <v/>
      </c>
      <c r="TA13" s="106"/>
      <c r="TB13" s="85"/>
      <c r="TC13" s="107"/>
      <c r="TD13" s="108" t="str">
        <f>IF(COUNT(TD14,TD15)=0,"",SUM(TD14:TD15)/COUNT(TD14,TD15))</f>
        <v/>
      </c>
      <c r="TE13" s="110" t="str">
        <f t="shared" si="109"/>
        <v/>
      </c>
      <c r="TF13" s="111"/>
      <c r="TG13" s="112"/>
      <c r="TH13" s="113"/>
      <c r="TI13" s="108" t="str">
        <f>IF(COUNT(TI14,TI15)=0,"",SUM(TI14:TI15)/COUNT(TI14,TI15))</f>
        <v/>
      </c>
      <c r="TJ13" s="114" t="str">
        <f t="shared" si="110"/>
        <v/>
      </c>
      <c r="TK13" s="115" t="str">
        <f>IF(COUNT(TK14:TK15)=0,"",SUM(TK14:TK15)/COUNT(TK14:TK15))</f>
        <v/>
      </c>
      <c r="TL13" s="116" t="str">
        <f t="shared" si="111"/>
        <v/>
      </c>
      <c r="TM13" s="148"/>
      <c r="TN13" s="85"/>
      <c r="TO13" s="107"/>
      <c r="TP13" s="108" t="str">
        <f>IF(COUNT(TP14:TP15)=0,"",SUM(TP14:TP15)/COUNT(TP14:TP15))</f>
        <v/>
      </c>
      <c r="TQ13" s="109" t="str">
        <f t="shared" si="112"/>
        <v/>
      </c>
      <c r="TR13" s="106"/>
      <c r="TS13" s="85"/>
      <c r="TT13" s="107"/>
      <c r="TU13" s="108" t="str">
        <f>IF(COUNT(TU14,TU15)=0,"",SUM(TU14:TU15)/COUNT(TU14,TU15))</f>
        <v/>
      </c>
      <c r="TV13" s="110" t="str">
        <f t="shared" si="113"/>
        <v/>
      </c>
      <c r="TW13" s="111"/>
      <c r="TX13" s="112"/>
      <c r="TY13" s="113"/>
      <c r="TZ13" s="108" t="str">
        <f>IF(COUNT(TZ14,TZ15)=0,"",SUM(TZ14:TZ15)/COUNT(TZ14,TZ15))</f>
        <v/>
      </c>
      <c r="UA13" s="114" t="str">
        <f t="shared" si="114"/>
        <v/>
      </c>
      <c r="UB13" s="115" t="str">
        <f>IF(COUNT(UB14:UB15)=0,"",SUM(UB14:UB15)/COUNT(UB14:UB15))</f>
        <v/>
      </c>
      <c r="UC13" s="116" t="str">
        <f t="shared" si="115"/>
        <v/>
      </c>
      <c r="UD13" s="148"/>
      <c r="UE13" s="85"/>
      <c r="UF13" s="107"/>
      <c r="UG13" s="108" t="str">
        <f>IF(COUNT(UG14:UG15)=0,"",SUM(UG14:UG15)/COUNT(UG14:UG15))</f>
        <v/>
      </c>
      <c r="UH13" s="109" t="str">
        <f t="shared" si="116"/>
        <v/>
      </c>
      <c r="UI13" s="106"/>
      <c r="UJ13" s="85"/>
      <c r="UK13" s="107"/>
      <c r="UL13" s="108" t="str">
        <f>IF(COUNT(UL14,UL15)=0,"",SUM(UL14:UL15)/COUNT(UL14,UL15))</f>
        <v/>
      </c>
      <c r="UM13" s="110" t="str">
        <f t="shared" si="117"/>
        <v/>
      </c>
      <c r="UN13" s="111"/>
      <c r="UO13" s="112"/>
      <c r="UP13" s="113"/>
      <c r="UQ13" s="108" t="str">
        <f>IF(COUNT(UQ14,UQ15)=0,"",SUM(UQ14:UQ15)/COUNT(UQ14,UQ15))</f>
        <v/>
      </c>
      <c r="UR13" s="114" t="str">
        <f t="shared" si="118"/>
        <v/>
      </c>
      <c r="US13" s="115" t="str">
        <f>IF(COUNT(US14:US15)=0,"",SUM(US14:US15)/COUNT(US14:US15))</f>
        <v/>
      </c>
      <c r="UT13" s="116" t="str">
        <f t="shared" si="119"/>
        <v/>
      </c>
    </row>
    <row r="14" spans="1:566" ht="18" customHeight="1" x14ac:dyDescent="0.25">
      <c r="A14" s="250" t="s">
        <v>20</v>
      </c>
      <c r="B14" s="251"/>
      <c r="C14" s="134"/>
      <c r="D14" s="132"/>
      <c r="E14" s="133"/>
      <c r="F14" s="189" t="str">
        <f>IFERROR((((COUNTIF('Elève (4ème2)'!C14:E14,"A"))*4)+((COUNTIF('Elève (4ème2)'!C14:E14,"B"))*3)+((COUNTIF('Elève (4ème2)'!C14:E14,"C"))*2)+((COUNTIF('Elève (4ème2)'!C14:E14,"D"))*1))/(COUNTA(C14:E14)),"")</f>
        <v/>
      </c>
      <c r="G14" s="190" t="str">
        <f t="shared" si="0"/>
        <v/>
      </c>
      <c r="H14" s="134"/>
      <c r="I14" s="132"/>
      <c r="J14" s="133"/>
      <c r="K14" s="133"/>
      <c r="L14" s="189" t="str">
        <f>IFERROR((((COUNTIF('Elève (4ème2)'!H14:K14,"A"))*4)+((COUNTIF('Elève (4ème2)'!H14:K14,"B"))*3)+((COUNTIF('Elève (4ème2)'!H14:K14,"C"))*2)+((COUNTIF('Elève (4ème2)'!H14:K14,"D"))*1))/(COUNTA(H14:K14)),"")</f>
        <v/>
      </c>
      <c r="M14" s="190" t="str">
        <f t="shared" si="1"/>
        <v/>
      </c>
      <c r="N14" s="134"/>
      <c r="O14" s="132"/>
      <c r="P14" s="133"/>
      <c r="Q14" s="133"/>
      <c r="R14" s="189" t="str">
        <f>IFERROR((((COUNTIF('Elève (4ème2)'!N14:Q14,"A"))*4)+((COUNTIF('Elève (4ème2)'!N14:Q14,"B"))*3)+((COUNTIF('Elève (4ème2)'!N14:Q14,"C"))*2)+((COUNTIF('Elève (4ème2)'!N14:Q14,"D"))*1))/(COUNTA(N14:Q14)),"")</f>
        <v/>
      </c>
      <c r="S14" s="190" t="str">
        <f t="shared" si="2"/>
        <v/>
      </c>
      <c r="T14" s="189" t="str">
        <f>IF(COUNT(F14,L14,R14)=0,"",SUM(F14,L14,R14)/COUNT(F14,L14,R14))</f>
        <v/>
      </c>
      <c r="U14" s="214" t="str">
        <f t="shared" si="3"/>
        <v/>
      </c>
      <c r="V14" s="134"/>
      <c r="W14" s="132"/>
      <c r="X14" s="133"/>
      <c r="Y14" s="189" t="str">
        <f>IFERROR((((COUNTIF('Elève (4ème2)'!V14:X14,"A"))*4)+((COUNTIF('Elève (4ème2)'!V14:X14,"B"))*3)+((COUNTIF('Elève (4ème2)'!V14:X14,"C"))*2)+((COUNTIF('Elève (4ème2)'!V14:X14,"D"))*1))/(COUNTA(V14:X14)),"")</f>
        <v/>
      </c>
      <c r="Z14" s="190" t="str">
        <f t="shared" si="4"/>
        <v/>
      </c>
      <c r="AA14" s="134"/>
      <c r="AB14" s="132"/>
      <c r="AC14" s="133"/>
      <c r="AD14" s="133"/>
      <c r="AE14" s="189" t="str">
        <f>IFERROR((((COUNTIF('Elève (4ème2)'!AA14:AD14,"A"))*4)+((COUNTIF('Elève (4ème2)'!AA14:AD14,"B"))*3)+((COUNTIF('Elève (4ème2)'!AA14:AD14,"C"))*2)+((COUNTIF('Elève (4ème2)'!AA14:AD14,"D"))*1))/(COUNTA(AA14:AD14)),"")</f>
        <v/>
      </c>
      <c r="AF14" s="190" t="str">
        <f t="shared" si="5"/>
        <v/>
      </c>
      <c r="AG14" s="134"/>
      <c r="AH14" s="132"/>
      <c r="AI14" s="133"/>
      <c r="AJ14" s="136"/>
      <c r="AK14" s="189" t="str">
        <f>IFERROR((((COUNTIF('Elève (4ème2)'!AG14:AJ14,"A"))*4)+((COUNTIF('Elève (4ème2)'!AG14:AJ14,"B"))*3)+((COUNTIF('Elève (4ème2)'!AG14:AJ14,"C"))*2)+((COUNTIF('Elève (4ème2)'!AG14:AJ14,"D"))*1))/(COUNTA(AG14:AJ14)),"")</f>
        <v/>
      </c>
      <c r="AL14" s="190" t="str">
        <f t="shared" si="6"/>
        <v/>
      </c>
      <c r="AM14" s="189" t="str">
        <f>IF(COUNT(Y14,AE14,AK14)=0,"",SUM(Y14,AE14,AK14)/COUNT(Y14,AE14,AK14))</f>
        <v/>
      </c>
      <c r="AN14" s="214" t="str">
        <f t="shared" si="7"/>
        <v/>
      </c>
      <c r="AO14" s="134"/>
      <c r="AP14" s="132"/>
      <c r="AQ14" s="133"/>
      <c r="AR14" s="189" t="str">
        <f>IFERROR((((COUNTIF('Elève (4ème2)'!AO14:AQ14,"A"))*4)+((COUNTIF('Elève (4ème2)'!AO14:AQ14,"B"))*3)+((COUNTIF('Elève (4ème2)'!AO14:AQ14,"C"))*2)+((COUNTIF('Elève (4ème2)'!AO14:AQ14,"D"))*1))/(COUNTA(AO14:AQ14)),"")</f>
        <v/>
      </c>
      <c r="AS14" s="190" t="str">
        <f t="shared" si="8"/>
        <v/>
      </c>
      <c r="AT14" s="134"/>
      <c r="AU14" s="132"/>
      <c r="AV14" s="133"/>
      <c r="AW14" s="133"/>
      <c r="AX14" s="189" t="str">
        <f>IFERROR((((COUNTIF('Elève (4ème2)'!AT14:AW14,"A"))*4)+((COUNTIF('Elève (4ème2)'!AT14:AW14,"B"))*3)+((COUNTIF('Elève (4ème2)'!AT14:AW14,"C"))*2)+((COUNTIF('Elève (4ème2)'!AT14:AW14,"D"))*1))/(COUNTA(AT14:AW14)),"")</f>
        <v/>
      </c>
      <c r="AY14" s="190" t="str">
        <f t="shared" si="9"/>
        <v/>
      </c>
      <c r="AZ14" s="134"/>
      <c r="BA14" s="132"/>
      <c r="BB14" s="133"/>
      <c r="BC14" s="136"/>
      <c r="BD14" s="189" t="str">
        <f>IFERROR((((COUNTIF('Elève (4ème2)'!AZ14:BC14,"A"))*4)+((COUNTIF('Elève (4ème2)'!AZ14:BC14,"B"))*3)+((COUNTIF('Elève (4ème2)'!AZ14:BC14,"C"))*2)+((COUNTIF('Elève (4ème2)'!AZ14:BC14,"D"))*1))/(COUNTA(AZ14:BC14)),"")</f>
        <v/>
      </c>
      <c r="BE14" s="190" t="str">
        <f t="shared" si="10"/>
        <v/>
      </c>
      <c r="BF14" s="189" t="str">
        <f>IF(COUNT(AR14,AX14,BD14)=0,"",SUM(AR14,AX14,BD14)/COUNT(AR14,AX14,BD14))</f>
        <v/>
      </c>
      <c r="BG14" s="214" t="str">
        <f t="shared" si="11"/>
        <v/>
      </c>
      <c r="BH14" s="134"/>
      <c r="BI14" s="132"/>
      <c r="BJ14" s="133"/>
      <c r="BK14" s="189" t="str">
        <f>IFERROR((((COUNTIF('Elève (4ème2)'!BH14:BJ14,"A"))*4)+((COUNTIF('Elève (4ème2)'!BH14:BJ14,"B"))*3)+((COUNTIF('Elève (4ème2)'!BH14:BJ14,"C"))*2)+((COUNTIF('Elève (4ème2)'!BH14:BJ14,"D"))*1))/(COUNTA(BH14:BJ14)),"")</f>
        <v/>
      </c>
      <c r="BL14" s="190" t="str">
        <f t="shared" si="12"/>
        <v/>
      </c>
      <c r="BM14" s="134"/>
      <c r="BN14" s="132"/>
      <c r="BO14" s="133"/>
      <c r="BP14" s="133"/>
      <c r="BQ14" s="189" t="str">
        <f>IFERROR((((COUNTIF('Elève (4ème2)'!BM14:BP14,"A"))*4)+((COUNTIF('Elève (4ème2)'!BM14:BP14,"B"))*3)+((COUNTIF('Elève (4ème2)'!BM14:BP14,"C"))*2)+((COUNTIF('Elève (4ème2)'!BM14:BP14,"D"))*1))/(COUNTA(BM14:BP14)),"")</f>
        <v/>
      </c>
      <c r="BR14" s="190" t="str">
        <f t="shared" si="13"/>
        <v/>
      </c>
      <c r="BS14" s="134"/>
      <c r="BT14" s="132"/>
      <c r="BU14" s="133"/>
      <c r="BV14" s="136"/>
      <c r="BW14" s="189" t="str">
        <f>IFERROR((((COUNTIF('Elève (4ème2)'!BS14:BV14,"A"))*4)+((COUNTIF('Elève (4ème2)'!BS14:BV14,"B"))*3)+((COUNTIF('Elève (4ème2)'!BS14:BV14,"C"))*2)+((COUNTIF('Elève (4ème2)'!BS14:BV14,"D"))*1))/(COUNTA(BS14:BV14)),"")</f>
        <v/>
      </c>
      <c r="BX14" s="190" t="str">
        <f t="shared" si="14"/>
        <v/>
      </c>
      <c r="BY14" s="189" t="str">
        <f>IF(COUNT(BK14,BQ14,BW14)=0,"",SUM(BK14,BQ14,BW14)/COUNT(BK14,BQ14,BW14))</f>
        <v/>
      </c>
      <c r="BZ14" s="214" t="str">
        <f t="shared" si="15"/>
        <v/>
      </c>
      <c r="CA14" s="134"/>
      <c r="CB14" s="132"/>
      <c r="CC14" s="133"/>
      <c r="CD14" s="189" t="str">
        <f>IFERROR((((COUNTIF('Elève (4ème2)'!CA14:CC14,"A"))*4)+((COUNTIF('Elève (4ème2)'!CA14:CC14,"B"))*3)+((COUNTIF('Elève (4ème2)'!CA14:CC14,"C"))*2)+((COUNTIF('Elève (4ème2)'!CA14:CC14,"D"))*1))/(COUNTA(CA14:CC14)),"")</f>
        <v/>
      </c>
      <c r="CE14" s="190" t="str">
        <f t="shared" si="16"/>
        <v/>
      </c>
      <c r="CF14" s="134"/>
      <c r="CG14" s="132"/>
      <c r="CH14" s="133" t="s">
        <v>29</v>
      </c>
      <c r="CI14" s="133"/>
      <c r="CJ14" s="189">
        <f>IFERROR((((COUNTIF('Elève (4ème2)'!CF14:CI14,"A"))*4)+((COUNTIF('Elève (4ème2)'!CF14:CI14,"B"))*3)+((COUNTIF('Elève (4ème2)'!CF14:CI14,"C"))*2)+((COUNTIF('Elève (4ème2)'!CF14:CI14,"D"))*1))/(COUNTA(CF14:CI14)),"")</f>
        <v>4</v>
      </c>
      <c r="CK14" s="190" t="str">
        <f t="shared" si="17"/>
        <v>A</v>
      </c>
      <c r="CL14" s="134"/>
      <c r="CM14" s="132"/>
      <c r="CN14" s="133"/>
      <c r="CO14" s="136"/>
      <c r="CP14" s="189" t="str">
        <f>IFERROR((((COUNTIF('Elève (4ème2)'!CL14:CO14,"A"))*4)+((COUNTIF('Elève (4ème2)'!CL14:CO14,"B"))*3)+((COUNTIF('Elève (4ème2)'!CL14:CO14,"C"))*2)+((COUNTIF('Elève (4ème2)'!CL14:CO14,"D"))*1))/(COUNTA(CL14:CO14)),"")</f>
        <v/>
      </c>
      <c r="CQ14" s="190" t="str">
        <f t="shared" si="18"/>
        <v/>
      </c>
      <c r="CR14" s="189">
        <f>IF(COUNT(CD14,CJ14,CP14)=0,"",SUM(CD14,CJ14,CP14)/COUNT(CD14,CJ14,CP14))</f>
        <v>4</v>
      </c>
      <c r="CS14" s="214" t="str">
        <f t="shared" si="19"/>
        <v>A</v>
      </c>
      <c r="CT14" s="134"/>
      <c r="CU14" s="132"/>
      <c r="CV14" s="133"/>
      <c r="CW14" s="189" t="str">
        <f>IFERROR((((COUNTIF('Elève (4ème2)'!CT14:CV14,"A"))*4)+((COUNTIF('Elève (4ème2)'!CT14:CV14,"B"))*3)+((COUNTIF('Elève (4ème2)'!CT14:CV14,"C"))*2)+((COUNTIF('Elève (4ème2)'!CT14:CV14,"D"))*1))/(COUNTA(CT14:CV14)),"")</f>
        <v/>
      </c>
      <c r="CX14" s="190" t="str">
        <f t="shared" si="20"/>
        <v/>
      </c>
      <c r="CY14" s="134"/>
      <c r="CZ14" s="132"/>
      <c r="DA14" s="133"/>
      <c r="DB14" s="133"/>
      <c r="DC14" s="189" t="str">
        <f>IFERROR((((COUNTIF('Elève (4ème2)'!CY14:DB14,"A"))*4)+((COUNTIF('Elève (4ème2)'!CY14:DB14,"B"))*3)+((COUNTIF('Elève (4ème2)'!CY14:DB14,"C"))*2)+((COUNTIF('Elève (4ème2)'!CY14:DB14,"D"))*1))/(COUNTA(CY14:DB14)),"")</f>
        <v/>
      </c>
      <c r="DD14" s="190" t="str">
        <f t="shared" si="21"/>
        <v/>
      </c>
      <c r="DE14" s="134"/>
      <c r="DF14" s="132"/>
      <c r="DG14" s="133"/>
      <c r="DH14" s="136"/>
      <c r="DI14" s="189" t="str">
        <f>IFERROR((((COUNTIF('Elève (4ème2)'!DE14:DH14,"A"))*4)+((COUNTIF('Elève (4ème2)'!DE14:DH14,"B"))*3)+((COUNTIF('Elève (4ème2)'!DE14:DH14,"C"))*2)+((COUNTIF('Elève (4ème2)'!DE14:DH14,"D"))*1))/(COUNTA(DE14:DH14)),"")</f>
        <v/>
      </c>
      <c r="DJ14" s="190" t="str">
        <f t="shared" si="22"/>
        <v/>
      </c>
      <c r="DK14" s="189" t="str">
        <f>IF(COUNT(CW14,DC14,DI14)=0,"",SUM(CW14,DC14,DI14)/COUNT(CW14,DC14,DI14))</f>
        <v/>
      </c>
      <c r="DL14" s="214" t="str">
        <f t="shared" si="23"/>
        <v/>
      </c>
      <c r="DM14" s="134"/>
      <c r="DN14" s="132"/>
      <c r="DO14" s="133"/>
      <c r="DP14" s="189" t="str">
        <f>IFERROR((((COUNTIF('Elève (4ème2)'!DM14:DO14,"A"))*4)+((COUNTIF('Elève (4ème2)'!DM14:DO14,"B"))*3)+((COUNTIF('Elève (4ème2)'!DM14:DO14,"C"))*2)+((COUNTIF('Elève (4ème2)'!DM14:DO14,"D"))*1))/(COUNTA(DM14:DO14)),"")</f>
        <v/>
      </c>
      <c r="DQ14" s="190" t="str">
        <f t="shared" si="24"/>
        <v/>
      </c>
      <c r="DR14" s="134"/>
      <c r="DS14" s="132"/>
      <c r="DT14" s="133"/>
      <c r="DU14" s="133"/>
      <c r="DV14" s="189" t="str">
        <f>IFERROR((((COUNTIF('Elève (4ème2)'!DR14:DU14,"A"))*4)+((COUNTIF('Elève (4ème2)'!DR14:DU14,"B"))*3)+((COUNTIF('Elève (4ème2)'!DR14:DU14,"C"))*2)+((COUNTIF('Elève (4ème2)'!DR14:DU14,"D"))*1))/(COUNTA(DR14:DU14)),"")</f>
        <v/>
      </c>
      <c r="DW14" s="190" t="str">
        <f t="shared" si="25"/>
        <v/>
      </c>
      <c r="DX14" s="134"/>
      <c r="DY14" s="132"/>
      <c r="DZ14" s="133"/>
      <c r="EA14" s="136"/>
      <c r="EB14" s="189" t="str">
        <f>IFERROR((((COUNTIF('Elève (4ème2)'!DX14:EA14,"A"))*4)+((COUNTIF('Elève (4ème2)'!DX14:EA14,"B"))*3)+((COUNTIF('Elève (4ème2)'!DX14:EA14,"C"))*2)+((COUNTIF('Elève (4ème2)'!DX14:EA14,"D"))*1))/(COUNTA(DX14:EA14)),"")</f>
        <v/>
      </c>
      <c r="EC14" s="190" t="str">
        <f t="shared" si="26"/>
        <v/>
      </c>
      <c r="ED14" s="189" t="str">
        <f>IF(COUNT(DP14,DV14,EB14)=0,"",SUM(DP14,DV14,EB14)/COUNT(DP14,DV14,EB14))</f>
        <v/>
      </c>
      <c r="EE14" s="214" t="str">
        <f t="shared" si="27"/>
        <v/>
      </c>
      <c r="EF14" s="134"/>
      <c r="EG14" s="132"/>
      <c r="EH14" s="133"/>
      <c r="EI14" s="189" t="str">
        <f>IFERROR((((COUNTIF('Elève (4ème2)'!EF14:EH14,"A"))*4)+((COUNTIF('Elève (4ème2)'!EF14:EH14,"B"))*3)+((COUNTIF('Elève (4ème2)'!EF14:EH14,"C"))*2)+((COUNTIF('Elève (4ème2)'!EF14:EH14,"D"))*1))/(COUNTA(EF14:EH14)),"")</f>
        <v/>
      </c>
      <c r="EJ14" s="190" t="str">
        <f t="shared" si="28"/>
        <v/>
      </c>
      <c r="EK14" s="134"/>
      <c r="EL14" s="132"/>
      <c r="EM14" s="133"/>
      <c r="EN14" s="133"/>
      <c r="EO14" s="189" t="str">
        <f>IFERROR((((COUNTIF('Elève (4ème2)'!EK14:EN14,"A"))*4)+((COUNTIF('Elève (4ème2)'!EK14:EN14,"B"))*3)+((COUNTIF('Elève (4ème2)'!EK14:EN14,"C"))*2)+((COUNTIF('Elève (4ème2)'!EK14:EN14,"D"))*1))/(COUNTA(EK14:EN14)),"")</f>
        <v/>
      </c>
      <c r="EP14" s="190" t="str">
        <f t="shared" si="29"/>
        <v/>
      </c>
      <c r="EQ14" s="134"/>
      <c r="ER14" s="132"/>
      <c r="ES14" s="133"/>
      <c r="ET14" s="136"/>
      <c r="EU14" s="189" t="str">
        <f>IFERROR((((COUNTIF('Elève (4ème2)'!EQ14:ET14,"A"))*4)+((COUNTIF('Elève (4ème2)'!EQ14:ET14,"B"))*3)+((COUNTIF('Elève (4ème2)'!EQ14:ET14,"C"))*2)+((COUNTIF('Elève (4ème2)'!EQ14:ET14,"D"))*1))/(COUNTA(EQ14:ET14)),"")</f>
        <v/>
      </c>
      <c r="EV14" s="190" t="str">
        <f t="shared" si="30"/>
        <v/>
      </c>
      <c r="EW14" s="189" t="str">
        <f>IF(COUNT(EI14,EO14,EU14)=0,"",SUM(EI14,EO14,EU14)/COUNT(EI14,EO14,EU14))</f>
        <v/>
      </c>
      <c r="EX14" s="214" t="str">
        <f t="shared" si="31"/>
        <v/>
      </c>
      <c r="EY14" s="134"/>
      <c r="EZ14" s="132"/>
      <c r="FA14" s="133"/>
      <c r="FB14" s="189" t="str">
        <f>IFERROR((((COUNTIF('Elève (4ème2)'!EY14:FA14,"A"))*4)+((COUNTIF('Elève (4ème2)'!EY14:FA14,"B"))*3)+((COUNTIF('Elève (4ème2)'!EY14:FA14,"C"))*2)+((COUNTIF('Elève (4ème2)'!EY14:FA14,"D"))*1))/(COUNTA(EY14:FA14)),"")</f>
        <v/>
      </c>
      <c r="FC14" s="190" t="str">
        <f t="shared" si="32"/>
        <v/>
      </c>
      <c r="FD14" s="134"/>
      <c r="FE14" s="132"/>
      <c r="FF14" s="133"/>
      <c r="FG14" s="133"/>
      <c r="FH14" s="189" t="str">
        <f>IFERROR((((COUNTIF('Elève (4ème2)'!FD14:FG14,"A"))*4)+((COUNTIF('Elève (4ème2)'!FD14:FG14,"B"))*3)+((COUNTIF('Elève (4ème2)'!FD14:FG14,"C"))*2)+((COUNTIF('Elève (4ème2)'!FD14:FG14,"D"))*1))/(COUNTA(FD14:FG14)),"")</f>
        <v/>
      </c>
      <c r="FI14" s="190" t="str">
        <f t="shared" si="33"/>
        <v/>
      </c>
      <c r="FJ14" s="134"/>
      <c r="FK14" s="132"/>
      <c r="FL14" s="133"/>
      <c r="FM14" s="136"/>
      <c r="FN14" s="189" t="str">
        <f>IFERROR((((COUNTIF('Elève (4ème2)'!FJ14:FM14,"A"))*4)+((COUNTIF('Elève (4ème2)'!FJ14:FM14,"B"))*3)+((COUNTIF('Elève (4ème2)'!FJ14:FM14,"C"))*2)+((COUNTIF('Elève (4ème2)'!FJ14:FM14,"D"))*1))/(COUNTA(FJ14:FM14)),"")</f>
        <v/>
      </c>
      <c r="FO14" s="190" t="str">
        <f t="shared" si="34"/>
        <v/>
      </c>
      <c r="FP14" s="189" t="str">
        <f>IF(COUNT(FB14,FH14,FN14)=0,"",SUM(FB14,FH14,FN14)/COUNT(FB14,FH14,FN14))</f>
        <v/>
      </c>
      <c r="FQ14" s="214" t="str">
        <f t="shared" si="35"/>
        <v/>
      </c>
      <c r="FR14" s="134"/>
      <c r="FS14" s="132"/>
      <c r="FT14" s="133"/>
      <c r="FU14" s="189" t="str">
        <f>IFERROR((((COUNTIF('Elève (4ème2)'!FR14:FT14,"A"))*4)+((COUNTIF('Elève (4ème2)'!FR14:FT14,"B"))*3)+((COUNTIF('Elève (4ème2)'!FR14:FT14,"C"))*2)+((COUNTIF('Elève (4ème2)'!FR14:FT14,"D"))*1))/(COUNTA(FR14:FT14)),"")</f>
        <v/>
      </c>
      <c r="FV14" s="190" t="str">
        <f t="shared" si="36"/>
        <v/>
      </c>
      <c r="FW14" s="134"/>
      <c r="FX14" s="132"/>
      <c r="FY14" s="133"/>
      <c r="FZ14" s="133"/>
      <c r="GA14" s="189" t="str">
        <f>IFERROR((((COUNTIF('Elève (4ème2)'!FW14:FZ14,"A"))*4)+((COUNTIF('Elève (4ème2)'!FW14:FZ14,"B"))*3)+((COUNTIF('Elève (4ème2)'!FW14:FZ14,"C"))*2)+((COUNTIF('Elève (4ème2)'!FW14:FZ14,"D"))*1))/(COUNTA(FW14:FZ14)),"")</f>
        <v/>
      </c>
      <c r="GB14" s="190" t="str">
        <f t="shared" si="37"/>
        <v/>
      </c>
      <c r="GC14" s="134"/>
      <c r="GD14" s="132"/>
      <c r="GE14" s="133"/>
      <c r="GF14" s="136"/>
      <c r="GG14" s="189" t="str">
        <f>IFERROR((((COUNTIF('Elève (4ème2)'!GC14:GF14,"A"))*4)+((COUNTIF('Elève (4ème2)'!GC14:GF14,"B"))*3)+((COUNTIF('Elève (4ème2)'!GC14:GF14,"C"))*2)+((COUNTIF('Elève (4ème2)'!GC14:GF14,"D"))*1))/(COUNTA(GC14:GF14)),"")</f>
        <v/>
      </c>
      <c r="GH14" s="190" t="str">
        <f t="shared" si="38"/>
        <v/>
      </c>
      <c r="GI14" s="189" t="str">
        <f>IF(COUNT(FU14,GA14,GG14)=0,"",SUM(FU14,GA14,GG14)/COUNT(FU14,GA14,GG14))</f>
        <v/>
      </c>
      <c r="GJ14" s="214" t="str">
        <f t="shared" si="39"/>
        <v/>
      </c>
      <c r="GK14" s="134"/>
      <c r="GL14" s="132"/>
      <c r="GM14" s="133"/>
      <c r="GN14" s="189" t="str">
        <f>IFERROR((((COUNTIF('Elève (4ème2)'!GK14:GM14,"A"))*4)+((COUNTIF('Elève (4ème2)'!GK14:GM14,"B"))*3)+((COUNTIF('Elève (4ème2)'!GK14:GM14,"C"))*2)+((COUNTIF('Elève (4ème2)'!GK14:GM14,"D"))*1))/(COUNTA(GK14:GM14)),"")</f>
        <v/>
      </c>
      <c r="GO14" s="190" t="str">
        <f t="shared" si="40"/>
        <v/>
      </c>
      <c r="GP14" s="134"/>
      <c r="GQ14" s="132"/>
      <c r="GR14" s="133"/>
      <c r="GS14" s="133"/>
      <c r="GT14" s="189" t="str">
        <f>IFERROR((((COUNTIF('Elève (4ème2)'!GP14:GS14,"A"))*4)+((COUNTIF('Elève (4ème2)'!GP14:GS14,"B"))*3)+((COUNTIF('Elève (4ème2)'!GP14:GS14,"C"))*2)+((COUNTIF('Elève (4ème2)'!GP14:GS14,"D"))*1))/(COUNTA(GP14:GS14)),"")</f>
        <v/>
      </c>
      <c r="GU14" s="190" t="str">
        <f t="shared" si="41"/>
        <v/>
      </c>
      <c r="GV14" s="134"/>
      <c r="GW14" s="132"/>
      <c r="GX14" s="133"/>
      <c r="GY14" s="136"/>
      <c r="GZ14" s="189" t="str">
        <f>IFERROR((((COUNTIF('Elève (4ème2)'!GV14:GY14,"A"))*4)+((COUNTIF('Elève (4ème2)'!GV14:GY14,"B"))*3)+((COUNTIF('Elève (4ème2)'!GV14:GY14,"C"))*2)+((COUNTIF('Elève (4ème2)'!GV14:GY14,"D"))*1))/(COUNTA(GV14:GY14)),"")</f>
        <v/>
      </c>
      <c r="HA14" s="190" t="str">
        <f t="shared" si="42"/>
        <v/>
      </c>
      <c r="HB14" s="189" t="str">
        <f>IF(COUNT(GN14,GT14,GZ14)=0,"",SUM(GN14,GT14,GZ14)/COUNT(GN14,GT14,GZ14))</f>
        <v/>
      </c>
      <c r="HC14" s="214" t="str">
        <f t="shared" si="43"/>
        <v/>
      </c>
      <c r="HD14" s="134"/>
      <c r="HE14" s="132"/>
      <c r="HF14" s="133"/>
      <c r="HG14" s="189" t="str">
        <f>IFERROR((((COUNTIF('Elève (4ème2)'!HD14:HF14,"A"))*4)+((COUNTIF('Elève (4ème2)'!HD14:HF14,"B"))*3)+((COUNTIF('Elève (4ème2)'!HD14:HF14,"C"))*2)+((COUNTIF('Elève (4ème2)'!HD14:HF14,"D"))*1))/(COUNTA(HD14:HF14)),"")</f>
        <v/>
      </c>
      <c r="HH14" s="190" t="str">
        <f t="shared" si="44"/>
        <v/>
      </c>
      <c r="HI14" s="134"/>
      <c r="HJ14" s="132"/>
      <c r="HK14" s="133"/>
      <c r="HL14" s="133"/>
      <c r="HM14" s="189" t="str">
        <f>IFERROR((((COUNTIF('Elève (4ème2)'!HI14:HL14,"A"))*4)+((COUNTIF('Elève (4ème2)'!HI14:HL14,"B"))*3)+((COUNTIF('Elève (4ème2)'!HI14:HL14,"C"))*2)+((COUNTIF('Elève (4ème2)'!HI14:HL14,"D"))*1))/(COUNTA(HI14:HL14)),"")</f>
        <v/>
      </c>
      <c r="HN14" s="190" t="str">
        <f t="shared" si="45"/>
        <v/>
      </c>
      <c r="HO14" s="134"/>
      <c r="HP14" s="132"/>
      <c r="HQ14" s="133"/>
      <c r="HR14" s="136"/>
      <c r="HS14" s="189" t="str">
        <f>IFERROR((((COUNTIF('Elève (4ème2)'!HO14:HR14,"A"))*4)+((COUNTIF('Elève (4ème2)'!HO14:HR14,"B"))*3)+((COUNTIF('Elève (4ème2)'!HO14:HR14,"C"))*2)+((COUNTIF('Elève (4ème2)'!HO14:HR14,"D"))*1))/(COUNTA(HO14:HR14)),"")</f>
        <v/>
      </c>
      <c r="HT14" s="190" t="str">
        <f t="shared" si="46"/>
        <v/>
      </c>
      <c r="HU14" s="189" t="str">
        <f>IF(COUNT(HG14,HM14,HS14)=0,"",SUM(HG14,HM14,HS14)/COUNT(HG14,HM14,HS14))</f>
        <v/>
      </c>
      <c r="HV14" s="214" t="str">
        <f t="shared" si="47"/>
        <v/>
      </c>
      <c r="HW14" s="134"/>
      <c r="HX14" s="132"/>
      <c r="HY14" s="133"/>
      <c r="HZ14" s="189" t="str">
        <f>IFERROR((((COUNTIF('Elève (4ème2)'!HW14:HY14,"A"))*4)+((COUNTIF('Elève (4ème2)'!HW14:HY14,"B"))*3)+((COUNTIF('Elève (4ème2)'!HW14:HY14,"C"))*2)+((COUNTIF('Elève (4ème2)'!HW14:HY14,"D"))*1))/(COUNTA(HW14:HY14)),"")</f>
        <v/>
      </c>
      <c r="IA14" s="190" t="str">
        <f t="shared" si="48"/>
        <v/>
      </c>
      <c r="IB14" s="134"/>
      <c r="IC14" s="132"/>
      <c r="ID14" s="133"/>
      <c r="IE14" s="133"/>
      <c r="IF14" s="189" t="str">
        <f>IFERROR((((COUNTIF('Elève (4ème2)'!IB14:IE14,"A"))*4)+((COUNTIF('Elève (4ème2)'!IB14:IE14,"B"))*3)+((COUNTIF('Elève (4ème2)'!IB14:IE14,"C"))*2)+((COUNTIF('Elève (4ème2)'!IB14:IE14,"D"))*1))/(COUNTA(IB14:IE14)),"")</f>
        <v/>
      </c>
      <c r="IG14" s="190" t="str">
        <f t="shared" si="49"/>
        <v/>
      </c>
      <c r="IH14" s="134"/>
      <c r="II14" s="132"/>
      <c r="IJ14" s="133"/>
      <c r="IK14" s="136"/>
      <c r="IL14" s="189" t="str">
        <f>IFERROR((((COUNTIF('Elève (4ème2)'!IH14:IK14,"A"))*4)+((COUNTIF('Elève (4ème2)'!IH14:IK14,"B"))*3)+((COUNTIF('Elève (4ème2)'!IH14:IK14,"C"))*2)+((COUNTIF('Elève (4ème2)'!IH14:IK14,"D"))*1))/(COUNTA(IH14:IK14)),"")</f>
        <v/>
      </c>
      <c r="IM14" s="190" t="str">
        <f t="shared" si="50"/>
        <v/>
      </c>
      <c r="IN14" s="189" t="str">
        <f>IF(COUNT(HZ14,IF14,IL14)=0,"",SUM(HZ14,IF14,IL14)/COUNT(HZ14,IF14,IL14))</f>
        <v/>
      </c>
      <c r="IO14" s="214" t="str">
        <f t="shared" si="51"/>
        <v/>
      </c>
      <c r="IP14" s="134"/>
      <c r="IQ14" s="132"/>
      <c r="IR14" s="133"/>
      <c r="IS14" s="189" t="str">
        <f>IFERROR((((COUNTIF('Elève (4ème2)'!IP14:IR14,"A"))*4)+((COUNTIF('Elève (4ème2)'!IP14:IR14,"B"))*3)+((COUNTIF('Elève (4ème2)'!IP14:IR14,"C"))*2)+((COUNTIF('Elève (4ème2)'!IP14:IR14,"D"))*1))/(COUNTA(IP14:IR14)),"")</f>
        <v/>
      </c>
      <c r="IT14" s="190" t="str">
        <f t="shared" si="52"/>
        <v/>
      </c>
      <c r="IU14" s="134"/>
      <c r="IV14" s="132"/>
      <c r="IW14" s="133"/>
      <c r="IX14" s="133"/>
      <c r="IY14" s="189" t="str">
        <f>IFERROR((((COUNTIF('Elève (4ème2)'!IU14:IX14,"A"))*4)+((COUNTIF('Elève (4ème2)'!IU14:IX14,"B"))*3)+((COUNTIF('Elève (4ème2)'!IU14:IX14,"C"))*2)+((COUNTIF('Elève (4ème2)'!IU14:IX14,"D"))*1))/(COUNTA(IU14:IX14)),"")</f>
        <v/>
      </c>
      <c r="IZ14" s="190" t="str">
        <f t="shared" si="53"/>
        <v/>
      </c>
      <c r="JA14" s="134"/>
      <c r="JB14" s="132"/>
      <c r="JC14" s="133"/>
      <c r="JD14" s="136"/>
      <c r="JE14" s="189" t="str">
        <f>IFERROR((((COUNTIF('Elève (4ème2)'!JA14:JD14,"A"))*4)+((COUNTIF('Elève (4ème2)'!JA14:JD14,"B"))*3)+((COUNTIF('Elève (4ème2)'!JA14:JD14,"C"))*2)+((COUNTIF('Elève (4ème2)'!JA14:JD14,"D"))*1))/(COUNTA(JA14:JD14)),"")</f>
        <v/>
      </c>
      <c r="JF14" s="190" t="str">
        <f t="shared" si="54"/>
        <v/>
      </c>
      <c r="JG14" s="189" t="str">
        <f>IF(COUNT(IS14,IY14,JE14)=0,"",SUM(IS14,IY14,JE14)/COUNT(IS14,IY14,JE14))</f>
        <v/>
      </c>
      <c r="JH14" s="214" t="str">
        <f t="shared" si="55"/>
        <v/>
      </c>
      <c r="JI14" s="134"/>
      <c r="JJ14" s="132"/>
      <c r="JK14" s="133"/>
      <c r="JL14" s="189" t="str">
        <f>IFERROR((((COUNTIF('Elève (4ème2)'!JI14:JK14,"A"))*4)+((COUNTIF('Elève (4ème2)'!JI14:JK14,"B"))*3)+((COUNTIF('Elève (4ème2)'!JI14:JK14,"C"))*2)+((COUNTIF('Elève (4ème2)'!JI14:JK14,"D"))*1))/(COUNTA(JI14:JK14)),"")</f>
        <v/>
      </c>
      <c r="JM14" s="190" t="str">
        <f t="shared" si="56"/>
        <v/>
      </c>
      <c r="JN14" s="134"/>
      <c r="JO14" s="132"/>
      <c r="JP14" s="133"/>
      <c r="JQ14" s="133"/>
      <c r="JR14" s="189" t="str">
        <f>IFERROR((((COUNTIF('Elève (4ème2)'!JN14:JQ14,"A"))*4)+((COUNTIF('Elève (4ème2)'!JN14:JQ14,"B"))*3)+((COUNTIF('Elève (4ème2)'!JN14:JQ14,"C"))*2)+((COUNTIF('Elève (4ème2)'!JN14:JQ14,"D"))*1))/(COUNTA(JN14:JQ14)),"")</f>
        <v/>
      </c>
      <c r="JS14" s="190" t="str">
        <f t="shared" si="57"/>
        <v/>
      </c>
      <c r="JT14" s="134"/>
      <c r="JU14" s="132"/>
      <c r="JV14" s="133"/>
      <c r="JW14" s="136"/>
      <c r="JX14" s="189" t="str">
        <f>IFERROR((((COUNTIF('Elève (4ème2)'!JT14:JW14,"A"))*4)+((COUNTIF('Elève (4ème2)'!JT14:JW14,"B"))*3)+((COUNTIF('Elève (4ème2)'!JT14:JW14,"C"))*2)+((COUNTIF('Elève (4ème2)'!JT14:JW14,"D"))*1))/(COUNTA(JT14:JW14)),"")</f>
        <v/>
      </c>
      <c r="JY14" s="190" t="str">
        <f t="shared" si="58"/>
        <v/>
      </c>
      <c r="JZ14" s="189" t="str">
        <f>IF(COUNT(JL14,JR14,JX14)=0,"",SUM(JL14,JR14,JX14)/COUNT(JL14,JR14,JX14))</f>
        <v/>
      </c>
      <c r="KA14" s="214" t="str">
        <f t="shared" si="59"/>
        <v/>
      </c>
      <c r="KB14" s="134"/>
      <c r="KC14" s="132"/>
      <c r="KD14" s="133"/>
      <c r="KE14" s="189" t="str">
        <f>IFERROR((((COUNTIF('Elève (4ème2)'!KB14:KD14,"A"))*4)+((COUNTIF('Elève (4ème2)'!KB14:KD14,"B"))*3)+((COUNTIF('Elève (4ème2)'!KB14:KD14,"C"))*2)+((COUNTIF('Elève (4ème2)'!KB14:KD14,"D"))*1))/(COUNTA(KB14:KD14)),"")</f>
        <v/>
      </c>
      <c r="KF14" s="190" t="str">
        <f t="shared" si="60"/>
        <v/>
      </c>
      <c r="KG14" s="134"/>
      <c r="KH14" s="132"/>
      <c r="KI14" s="133"/>
      <c r="KJ14" s="133"/>
      <c r="KK14" s="189" t="str">
        <f>IFERROR((((COUNTIF('Elève (4ème2)'!KG14:KJ14,"A"))*4)+((COUNTIF('Elève (4ème2)'!KG14:KJ14,"B"))*3)+((COUNTIF('Elève (4ème2)'!KG14:KJ14,"C"))*2)+((COUNTIF('Elève (4ème2)'!KG14:KJ14,"D"))*1))/(COUNTA(KG14:KJ14)),"")</f>
        <v/>
      </c>
      <c r="KL14" s="190" t="str">
        <f t="shared" si="61"/>
        <v/>
      </c>
      <c r="KM14" s="134"/>
      <c r="KN14" s="132"/>
      <c r="KO14" s="133"/>
      <c r="KP14" s="136"/>
      <c r="KQ14" s="189" t="str">
        <f>IFERROR((((COUNTIF('Elève (4ème2)'!KM14:KP14,"A"))*4)+((COUNTIF('Elève (4ème2)'!KM14:KP14,"B"))*3)+((COUNTIF('Elève (4ème2)'!KM14:KP14,"C"))*2)+((COUNTIF('Elève (4ème2)'!KM14:KP14,"D"))*1))/(COUNTA(KM14:KP14)),"")</f>
        <v/>
      </c>
      <c r="KR14" s="190" t="str">
        <f t="shared" si="62"/>
        <v/>
      </c>
      <c r="KS14" s="189" t="str">
        <f>IF(COUNT(KE14,KK14,KQ14)=0,"",SUM(KE14,KK14,KQ14)/COUNT(KE14,KK14,KQ14))</f>
        <v/>
      </c>
      <c r="KT14" s="214" t="str">
        <f t="shared" si="63"/>
        <v/>
      </c>
      <c r="KU14" s="134"/>
      <c r="KV14" s="132"/>
      <c r="KW14" s="133"/>
      <c r="KX14" s="189" t="str">
        <f>IFERROR((((COUNTIF('Elève (4ème2)'!KU14:KW14,"A"))*4)+((COUNTIF('Elève (4ème2)'!KU14:KW14,"B"))*3)+((COUNTIF('Elève (4ème2)'!KU14:KW14,"C"))*2)+((COUNTIF('Elève (4ème2)'!KU14:KW14,"D"))*1))/(COUNTA(KU14:KW14)),"")</f>
        <v/>
      </c>
      <c r="KY14" s="190" t="str">
        <f t="shared" si="64"/>
        <v/>
      </c>
      <c r="KZ14" s="134"/>
      <c r="LA14" s="132"/>
      <c r="LB14" s="133"/>
      <c r="LC14" s="133"/>
      <c r="LD14" s="189" t="str">
        <f>IFERROR((((COUNTIF('Elève (4ème2)'!KZ14:LC14,"A"))*4)+((COUNTIF('Elève (4ème2)'!KZ14:LC14,"B"))*3)+((COUNTIF('Elève (4ème2)'!KZ14:LC14,"C"))*2)+((COUNTIF('Elève (4ème2)'!KZ14:LC14,"D"))*1))/(COUNTA(KZ14:LC14)),"")</f>
        <v/>
      </c>
      <c r="LE14" s="190" t="str">
        <f t="shared" si="65"/>
        <v/>
      </c>
      <c r="LF14" s="134"/>
      <c r="LG14" s="132"/>
      <c r="LH14" s="133"/>
      <c r="LI14" s="136"/>
      <c r="LJ14" s="189" t="str">
        <f>IFERROR((((COUNTIF('Elève (4ème2)'!LF14:LI14,"A"))*4)+((COUNTIF('Elève (4ème2)'!LF14:LI14,"B"))*3)+((COUNTIF('Elève (4ème2)'!LF14:LI14,"C"))*2)+((COUNTIF('Elève (4ème2)'!LF14:LI14,"D"))*1))/(COUNTA(LF14:LI14)),"")</f>
        <v/>
      </c>
      <c r="LK14" s="190" t="str">
        <f t="shared" si="66"/>
        <v/>
      </c>
      <c r="LL14" s="189" t="str">
        <f>IF(COUNT(KX14,LD14,LJ14)=0,"",SUM(KX14,LD14,LJ14)/COUNT(KX14,LD14,LJ14))</f>
        <v/>
      </c>
      <c r="LM14" s="214" t="str">
        <f t="shared" si="67"/>
        <v/>
      </c>
      <c r="LN14" s="134"/>
      <c r="LO14" s="132"/>
      <c r="LP14" s="133"/>
      <c r="LQ14" s="189" t="str">
        <f>IFERROR((((COUNTIF('Elève (4ème2)'!LN14:LP14,"A"))*4)+((COUNTIF('Elève (4ème2)'!LN14:LP14,"B"))*3)+((COUNTIF('Elève (4ème2)'!LN14:LP14,"C"))*2)+((COUNTIF('Elève (4ème2)'!LN14:LP14,"D"))*1))/(COUNTA(LN14:LP14)),"")</f>
        <v/>
      </c>
      <c r="LR14" s="190" t="str">
        <f t="shared" si="68"/>
        <v/>
      </c>
      <c r="LS14" s="134"/>
      <c r="LT14" s="132"/>
      <c r="LU14" s="133"/>
      <c r="LV14" s="133"/>
      <c r="LW14" s="189" t="str">
        <f>IFERROR((((COUNTIF('Elève (4ème2)'!LS14:LV14,"A"))*4)+((COUNTIF('Elève (4ème2)'!LS14:LV14,"B"))*3)+((COUNTIF('Elève (4ème2)'!LS14:LV14,"C"))*2)+((COUNTIF('Elève (4ème2)'!LS14:LV14,"D"))*1))/(COUNTA(LS14:LV14)),"")</f>
        <v/>
      </c>
      <c r="LX14" s="190" t="str">
        <f t="shared" si="69"/>
        <v/>
      </c>
      <c r="LY14" s="134"/>
      <c r="LZ14" s="132"/>
      <c r="MA14" s="133"/>
      <c r="MB14" s="136"/>
      <c r="MC14" s="189" t="str">
        <f>IFERROR((((COUNTIF('Elève (4ème2)'!LY14:MB14,"A"))*4)+((COUNTIF('Elève (4ème2)'!LY14:MB14,"B"))*3)+((COUNTIF('Elève (4ème2)'!LY14:MB14,"C"))*2)+((COUNTIF('Elève (4ème2)'!LY14:MB14,"D"))*1))/(COUNTA(LY14:MB14)),"")</f>
        <v/>
      </c>
      <c r="MD14" s="190" t="str">
        <f t="shared" si="70"/>
        <v/>
      </c>
      <c r="ME14" s="189" t="str">
        <f>IF(COUNT(LQ14,LW14,MC14)=0,"",SUM(LQ14,LW14,MC14)/COUNT(LQ14,LW14,MC14))</f>
        <v/>
      </c>
      <c r="MF14" s="214" t="str">
        <f t="shared" si="71"/>
        <v/>
      </c>
      <c r="MG14" s="134"/>
      <c r="MH14" s="132"/>
      <c r="MI14" s="133"/>
      <c r="MJ14" s="189" t="str">
        <f>IFERROR((((COUNTIF('Elève (4ème2)'!MG14:MI14,"A"))*4)+((COUNTIF('Elève (4ème2)'!MG14:MI14,"B"))*3)+((COUNTIF('Elève (4ème2)'!MG14:MI14,"C"))*2)+((COUNTIF('Elève (4ème2)'!MG14:MI14,"D"))*1))/(COUNTA(MG14:MI14)),"")</f>
        <v/>
      </c>
      <c r="MK14" s="190" t="str">
        <f t="shared" si="72"/>
        <v/>
      </c>
      <c r="ML14" s="134"/>
      <c r="MM14" s="132"/>
      <c r="MN14" s="133"/>
      <c r="MO14" s="133"/>
      <c r="MP14" s="189" t="str">
        <f>IFERROR((((COUNTIF('Elève (4ème2)'!ML14:MO14,"A"))*4)+((COUNTIF('Elève (4ème2)'!ML14:MO14,"B"))*3)+((COUNTIF('Elève (4ème2)'!ML14:MO14,"C"))*2)+((COUNTIF('Elève (4ème2)'!ML14:MO14,"D"))*1))/(COUNTA(ML14:MO14)),"")</f>
        <v/>
      </c>
      <c r="MQ14" s="190" t="str">
        <f t="shared" si="73"/>
        <v/>
      </c>
      <c r="MR14" s="134"/>
      <c r="MS14" s="132"/>
      <c r="MT14" s="133"/>
      <c r="MU14" s="136"/>
      <c r="MV14" s="189" t="str">
        <f>IFERROR((((COUNTIF('Elève (4ème2)'!MR14:MU14,"A"))*4)+((COUNTIF('Elève (4ème2)'!MR14:MU14,"B"))*3)+((COUNTIF('Elève (4ème2)'!MR14:MU14,"C"))*2)+((COUNTIF('Elève (4ème2)'!MR14:MU14,"D"))*1))/(COUNTA(MR14:MU14)),"")</f>
        <v/>
      </c>
      <c r="MW14" s="190" t="str">
        <f t="shared" si="74"/>
        <v/>
      </c>
      <c r="MX14" s="189" t="str">
        <f>IF(COUNT(MJ14,MP14,MV14)=0,"",SUM(MJ14,MP14,MV14)/COUNT(MJ14,MP14,MV14))</f>
        <v/>
      </c>
      <c r="MY14" s="214" t="str">
        <f t="shared" si="75"/>
        <v/>
      </c>
      <c r="MZ14" s="134"/>
      <c r="NA14" s="132"/>
      <c r="NB14" s="133"/>
      <c r="NC14" s="189" t="str">
        <f>IFERROR((((COUNTIF('Elève (4ème2)'!MZ14:NB14,"A"))*4)+((COUNTIF('Elève (4ème2)'!MZ14:NB14,"B"))*3)+((COUNTIF('Elève (4ème2)'!MZ14:NB14,"C"))*2)+((COUNTIF('Elève (4ème2)'!MZ14:NB14,"D"))*1))/(COUNTA(MZ14:NB14)),"")</f>
        <v/>
      </c>
      <c r="ND14" s="190" t="str">
        <f t="shared" si="76"/>
        <v/>
      </c>
      <c r="NE14" s="134"/>
      <c r="NF14" s="132"/>
      <c r="NG14" s="133"/>
      <c r="NH14" s="133"/>
      <c r="NI14" s="189" t="str">
        <f>IFERROR((((COUNTIF('Elève (4ème2)'!NE14:NH14,"A"))*4)+((COUNTIF('Elève (4ème2)'!NE14:NH14,"B"))*3)+((COUNTIF('Elève (4ème2)'!NE14:NH14,"C"))*2)+((COUNTIF('Elève (4ème2)'!NE14:NH14,"D"))*1))/(COUNTA(NE14:NH14)),"")</f>
        <v/>
      </c>
      <c r="NJ14" s="190" t="str">
        <f t="shared" si="77"/>
        <v/>
      </c>
      <c r="NK14" s="134"/>
      <c r="NL14" s="132"/>
      <c r="NM14" s="133"/>
      <c r="NN14" s="136"/>
      <c r="NO14" s="189" t="str">
        <f>IFERROR((((COUNTIF('Elève (4ème2)'!NK14:NN14,"A"))*4)+((COUNTIF('Elève (4ème2)'!NK14:NN14,"B"))*3)+((COUNTIF('Elève (4ème2)'!NK14:NN14,"C"))*2)+((COUNTIF('Elève (4ème2)'!NK14:NN14,"D"))*1))/(COUNTA(NK14:NN14)),"")</f>
        <v/>
      </c>
      <c r="NP14" s="190" t="str">
        <f t="shared" si="78"/>
        <v/>
      </c>
      <c r="NQ14" s="189" t="str">
        <f>IF(COUNT(NC14,NI14,NO14)=0,"",SUM(NC14,NI14,NO14)/COUNT(NC14,NI14,NO14))</f>
        <v/>
      </c>
      <c r="NR14" s="214" t="str">
        <f t="shared" si="79"/>
        <v/>
      </c>
      <c r="NS14" s="134"/>
      <c r="NT14" s="132"/>
      <c r="NU14" s="133"/>
      <c r="NV14" s="189" t="str">
        <f>IFERROR((((COUNTIF('Elève (4ème2)'!NS14:NU14,"A"))*4)+((COUNTIF('Elève (4ème2)'!NS14:NU14,"B"))*3)+((COUNTIF('Elève (4ème2)'!NS14:NU14,"C"))*2)+((COUNTIF('Elève (4ème2)'!NS14:NU14,"D"))*1))/(COUNTA(NS14:NU14)),"")</f>
        <v/>
      </c>
      <c r="NW14" s="190" t="str">
        <f t="shared" si="80"/>
        <v/>
      </c>
      <c r="NX14" s="134"/>
      <c r="NY14" s="132"/>
      <c r="NZ14" s="133"/>
      <c r="OA14" s="133"/>
      <c r="OB14" s="189" t="str">
        <f>IFERROR((((COUNTIF('Elève (4ème2)'!NX14:OA14,"A"))*4)+((COUNTIF('Elève (4ème2)'!NX14:OA14,"B"))*3)+((COUNTIF('Elève (4ème2)'!NX14:OA14,"C"))*2)+((COUNTIF('Elève (4ème2)'!NX14:OA14,"D"))*1))/(COUNTA(NX14:OA14)),"")</f>
        <v/>
      </c>
      <c r="OC14" s="190" t="str">
        <f t="shared" si="81"/>
        <v/>
      </c>
      <c r="OD14" s="134"/>
      <c r="OE14" s="132"/>
      <c r="OF14" s="133"/>
      <c r="OG14" s="136"/>
      <c r="OH14" s="189" t="str">
        <f>IFERROR((((COUNTIF('Elève (4ème2)'!OD14:OG14,"A"))*4)+((COUNTIF('Elève (4ème2)'!OD14:OG14,"B"))*3)+((COUNTIF('Elève (4ème2)'!OD14:OG14,"C"))*2)+((COUNTIF('Elève (4ème2)'!OD14:OG14,"D"))*1))/(COUNTA(OD14:OG14)),"")</f>
        <v/>
      </c>
      <c r="OI14" s="190" t="str">
        <f t="shared" si="82"/>
        <v/>
      </c>
      <c r="OJ14" s="189" t="str">
        <f>IF(COUNT(NV14,OB14,OH14)=0,"",SUM(NV14,OB14,OH14)/COUNT(NV14,OB14,OH14))</f>
        <v/>
      </c>
      <c r="OK14" s="214" t="str">
        <f t="shared" si="83"/>
        <v/>
      </c>
      <c r="OL14" s="134"/>
      <c r="OM14" s="132"/>
      <c r="ON14" s="133"/>
      <c r="OO14" s="189" t="str">
        <f>IFERROR((((COUNTIF('Elève (4ème2)'!OL14:ON14,"A"))*4)+((COUNTIF('Elève (4ème2)'!OL14:ON14,"B"))*3)+((COUNTIF('Elève (4ème2)'!OL14:ON14,"C"))*2)+((COUNTIF('Elève (4ème2)'!OL14:ON14,"D"))*1))/(COUNTA(OL14:ON14)),"")</f>
        <v/>
      </c>
      <c r="OP14" s="190" t="str">
        <f t="shared" si="84"/>
        <v/>
      </c>
      <c r="OQ14" s="134"/>
      <c r="OR14" s="132"/>
      <c r="OS14" s="133"/>
      <c r="OT14" s="133"/>
      <c r="OU14" s="189" t="str">
        <f>IFERROR((((COUNTIF('Elève (4ème2)'!OQ14:OT14,"A"))*4)+((COUNTIF('Elève (4ème2)'!OQ14:OT14,"B"))*3)+((COUNTIF('Elève (4ème2)'!OQ14:OT14,"C"))*2)+((COUNTIF('Elève (4ème2)'!OQ14:OT14,"D"))*1))/(COUNTA(OQ14:OT14)),"")</f>
        <v/>
      </c>
      <c r="OV14" s="190" t="str">
        <f t="shared" si="85"/>
        <v/>
      </c>
      <c r="OW14" s="134"/>
      <c r="OX14" s="132"/>
      <c r="OY14" s="133"/>
      <c r="OZ14" s="136"/>
      <c r="PA14" s="189" t="str">
        <f>IFERROR((((COUNTIF('Elève (4ème2)'!OW14:OZ14,"A"))*4)+((COUNTIF('Elève (4ème2)'!OW14:OZ14,"B"))*3)+((COUNTIF('Elève (4ème2)'!OW14:OZ14,"C"))*2)+((COUNTIF('Elève (4ème2)'!OW14:OZ14,"D"))*1))/(COUNTA(OW14:OZ14)),"")</f>
        <v/>
      </c>
      <c r="PB14" s="190" t="str">
        <f t="shared" si="86"/>
        <v/>
      </c>
      <c r="PC14" s="189" t="str">
        <f>IF(COUNT(OO14,OU14,PA14)=0,"",SUM(OO14,OU14,PA14)/COUNT(OO14,OU14,PA14))</f>
        <v/>
      </c>
      <c r="PD14" s="214" t="str">
        <f t="shared" si="87"/>
        <v/>
      </c>
      <c r="PE14" s="134"/>
      <c r="PF14" s="132"/>
      <c r="PG14" s="133"/>
      <c r="PH14" s="189" t="str">
        <f>IFERROR((((COUNTIF('Elève (4ème2)'!PE14:PG14,"A"))*4)+((COUNTIF('Elève (4ème2)'!PE14:PG14,"B"))*3)+((COUNTIF('Elève (4ème2)'!PE14:PG14,"C"))*2)+((COUNTIF('Elève (4ème2)'!PE14:PG14,"D"))*1))/(COUNTA(PE14:PG14)),"")</f>
        <v/>
      </c>
      <c r="PI14" s="190" t="str">
        <f t="shared" si="88"/>
        <v/>
      </c>
      <c r="PJ14" s="134"/>
      <c r="PK14" s="132"/>
      <c r="PL14" s="133"/>
      <c r="PM14" s="133"/>
      <c r="PN14" s="189" t="str">
        <f>IFERROR((((COUNTIF('Elève (4ème2)'!PJ14:PM14,"A"))*4)+((COUNTIF('Elève (4ème2)'!PJ14:PM14,"B"))*3)+((COUNTIF('Elève (4ème2)'!PJ14:PM14,"C"))*2)+((COUNTIF('Elève (4ème2)'!PJ14:PM14,"D"))*1))/(COUNTA(PJ14:PM14)),"")</f>
        <v/>
      </c>
      <c r="PO14" s="190" t="str">
        <f t="shared" si="89"/>
        <v/>
      </c>
      <c r="PP14" s="134"/>
      <c r="PQ14" s="132"/>
      <c r="PR14" s="133"/>
      <c r="PS14" s="136"/>
      <c r="PT14" s="189" t="str">
        <f>IFERROR((((COUNTIF('Elève (4ème2)'!PP14:PS14,"A"))*4)+((COUNTIF('Elève (4ème2)'!PP14:PS14,"B"))*3)+((COUNTIF('Elève (4ème2)'!PP14:PS14,"C"))*2)+((COUNTIF('Elève (4ème2)'!PP14:PS14,"D"))*1))/(COUNTA(PP14:PS14)),"")</f>
        <v/>
      </c>
      <c r="PU14" s="190" t="str">
        <f t="shared" si="90"/>
        <v/>
      </c>
      <c r="PV14" s="189" t="str">
        <f>IF(COUNT(PH14,PN14,PT14)=0,"",SUM(PH14,PN14,PT14)/COUNT(PH14,PN14,PT14))</f>
        <v/>
      </c>
      <c r="PW14" s="214" t="str">
        <f t="shared" si="91"/>
        <v/>
      </c>
      <c r="PX14" s="134"/>
      <c r="PY14" s="132"/>
      <c r="PZ14" s="133"/>
      <c r="QA14" s="189" t="str">
        <f>IFERROR((((COUNTIF('Elève (4ème2)'!PX14:PZ14,"A"))*4)+((COUNTIF('Elève (4ème2)'!PX14:PZ14,"B"))*3)+((COUNTIF('Elève (4ème2)'!PX14:PZ14,"C"))*2)+((COUNTIF('Elève (4ème2)'!PX14:PZ14,"D"))*1))/(COUNTA(PX14:PZ14)),"")</f>
        <v/>
      </c>
      <c r="QB14" s="190" t="str">
        <f t="shared" si="92"/>
        <v/>
      </c>
      <c r="QC14" s="134"/>
      <c r="QD14" s="132"/>
      <c r="QE14" s="133"/>
      <c r="QF14" s="133"/>
      <c r="QG14" s="189" t="str">
        <f>IFERROR((((COUNTIF('Elève (4ème2)'!QC14:QF14,"A"))*4)+((COUNTIF('Elève (4ème2)'!QC14:QF14,"B"))*3)+((COUNTIF('Elève (4ème2)'!QC14:QF14,"C"))*2)+((COUNTIF('Elève (4ème2)'!QC14:QF14,"D"))*1))/(COUNTA(QC14:QF14)),"")</f>
        <v/>
      </c>
      <c r="QH14" s="190" t="str">
        <f t="shared" si="93"/>
        <v/>
      </c>
      <c r="QI14" s="134"/>
      <c r="QJ14" s="132"/>
      <c r="QK14" s="133"/>
      <c r="QL14" s="136"/>
      <c r="QM14" s="189" t="str">
        <f>IFERROR((((COUNTIF('Elève (4ème2)'!QI14:QL14,"A"))*4)+((COUNTIF('Elève (4ème2)'!QI14:QL14,"B"))*3)+((COUNTIF('Elève (4ème2)'!QI14:QL14,"C"))*2)+((COUNTIF('Elève (4ème2)'!QI14:QL14,"D"))*1))/(COUNTA(QI14:QL14)),"")</f>
        <v/>
      </c>
      <c r="QN14" s="190" t="str">
        <f t="shared" si="94"/>
        <v/>
      </c>
      <c r="QO14" s="189" t="str">
        <f>IF(COUNT(QA14,QG14,QM14)=0,"",SUM(QA14,QG14,QM14)/COUNT(QA14,QG14,QM14))</f>
        <v/>
      </c>
      <c r="QP14" s="214" t="str">
        <f t="shared" si="95"/>
        <v/>
      </c>
      <c r="QQ14" s="134"/>
      <c r="QR14" s="132"/>
      <c r="QS14" s="133"/>
      <c r="QT14" s="189" t="str">
        <f>IFERROR((((COUNTIF('Elève (4ème2)'!QQ14:QS14,"A"))*4)+((COUNTIF('Elève (4ème2)'!QQ14:QS14,"B"))*3)+((COUNTIF('Elève (4ème2)'!QQ14:QS14,"C"))*2)+((COUNTIF('Elève (4ème2)'!QQ14:QS14,"D"))*1))/(COUNTA(QQ14:QS14)),"")</f>
        <v/>
      </c>
      <c r="QU14" s="190" t="str">
        <f t="shared" si="96"/>
        <v/>
      </c>
      <c r="QV14" s="134"/>
      <c r="QW14" s="132"/>
      <c r="QX14" s="133"/>
      <c r="QY14" s="133"/>
      <c r="QZ14" s="189" t="str">
        <f>IFERROR((((COUNTIF('Elève (4ème2)'!QV14:QY14,"A"))*4)+((COUNTIF('Elève (4ème2)'!QV14:QY14,"B"))*3)+((COUNTIF('Elève (4ème2)'!QV14:QY14,"C"))*2)+((COUNTIF('Elève (4ème2)'!QV14:QY14,"D"))*1))/(COUNTA(QV14:QY14)),"")</f>
        <v/>
      </c>
      <c r="RA14" s="190" t="str">
        <f t="shared" si="97"/>
        <v/>
      </c>
      <c r="RB14" s="134"/>
      <c r="RC14" s="132"/>
      <c r="RD14" s="133"/>
      <c r="RE14" s="136"/>
      <c r="RF14" s="189" t="str">
        <f>IFERROR((((COUNTIF('Elève (4ème2)'!RB14:RE14,"A"))*4)+((COUNTIF('Elève (4ème2)'!RB14:RE14,"B"))*3)+((COUNTIF('Elève (4ème2)'!RB14:RE14,"C"))*2)+((COUNTIF('Elève (4ème2)'!RB14:RE14,"D"))*1))/(COUNTA(RB14:RE14)),"")</f>
        <v/>
      </c>
      <c r="RG14" s="190" t="str">
        <f t="shared" si="98"/>
        <v/>
      </c>
      <c r="RH14" s="189" t="str">
        <f>IF(COUNT(QT14,QZ14,RF14)=0,"",SUM(QT14,QZ14,RF14)/COUNT(QT14,QZ14,RF14))</f>
        <v/>
      </c>
      <c r="RI14" s="214" t="str">
        <f t="shared" si="99"/>
        <v/>
      </c>
      <c r="RJ14" s="134"/>
      <c r="RK14" s="132"/>
      <c r="RL14" s="133"/>
      <c r="RM14" s="189" t="str">
        <f>IFERROR((((COUNTIF('Elève (4ème2)'!RJ14:RL14,"A"))*4)+((COUNTIF('Elève (4ème2)'!RJ14:RL14,"B"))*3)+((COUNTIF('Elève (4ème2)'!RJ14:RL14,"C"))*2)+((COUNTIF('Elève (4ème2)'!RJ14:RL14,"D"))*1))/(COUNTA(RJ14:RL14)),"")</f>
        <v/>
      </c>
      <c r="RN14" s="190" t="str">
        <f t="shared" si="100"/>
        <v/>
      </c>
      <c r="RO14" s="134"/>
      <c r="RP14" s="132"/>
      <c r="RQ14" s="133"/>
      <c r="RR14" s="133"/>
      <c r="RS14" s="189" t="str">
        <f>IFERROR((((COUNTIF('Elève (4ème2)'!RO14:RR14,"A"))*4)+((COUNTIF('Elève (4ème2)'!RO14:RR14,"B"))*3)+((COUNTIF('Elève (4ème2)'!RO14:RR14,"C"))*2)+((COUNTIF('Elève (4ème2)'!RO14:RR14,"D"))*1))/(COUNTA(RO14:RR14)),"")</f>
        <v/>
      </c>
      <c r="RT14" s="190" t="str">
        <f t="shared" si="101"/>
        <v/>
      </c>
      <c r="RU14" s="134"/>
      <c r="RV14" s="132"/>
      <c r="RW14" s="133"/>
      <c r="RX14" s="136"/>
      <c r="RY14" s="189" t="str">
        <f>IFERROR((((COUNTIF('Elève (4ème2)'!RU14:RX14,"A"))*4)+((COUNTIF('Elève (4ème2)'!RU14:RX14,"B"))*3)+((COUNTIF('Elève (4ème2)'!RU14:RX14,"C"))*2)+((COUNTIF('Elève (4ème2)'!RU14:RX14,"D"))*1))/(COUNTA(RU14:RX14)),"")</f>
        <v/>
      </c>
      <c r="RZ14" s="190" t="str">
        <f t="shared" si="102"/>
        <v/>
      </c>
      <c r="SA14" s="189" t="str">
        <f>IF(COUNT(RM14,RS14,RY14)=0,"",SUM(RM14,RS14,RY14)/COUNT(RM14,RS14,RY14))</f>
        <v/>
      </c>
      <c r="SB14" s="214" t="str">
        <f t="shared" si="103"/>
        <v/>
      </c>
      <c r="SC14" s="134"/>
      <c r="SD14" s="132"/>
      <c r="SE14" s="133"/>
      <c r="SF14" s="189" t="str">
        <f>IFERROR((((COUNTIF('Elève (4ème2)'!SC14:SE14,"A"))*4)+((COUNTIF('Elève (4ème2)'!SC14:SE14,"B"))*3)+((COUNTIF('Elève (4ème2)'!SC14:SE14,"C"))*2)+((COUNTIF('Elève (4ème2)'!SC14:SE14,"D"))*1))/(COUNTA(SC14:SE14)),"")</f>
        <v/>
      </c>
      <c r="SG14" s="190" t="str">
        <f t="shared" si="104"/>
        <v/>
      </c>
      <c r="SH14" s="134"/>
      <c r="SI14" s="132"/>
      <c r="SJ14" s="133"/>
      <c r="SK14" s="133"/>
      <c r="SL14" s="189" t="str">
        <f>IFERROR((((COUNTIF('Elève (4ème2)'!SH14:SK14,"A"))*4)+((COUNTIF('Elève (4ème2)'!SH14:SK14,"B"))*3)+((COUNTIF('Elève (4ème2)'!SH14:SK14,"C"))*2)+((COUNTIF('Elève (4ème2)'!SH14:SK14,"D"))*1))/(COUNTA(SH14:SK14)),"")</f>
        <v/>
      </c>
      <c r="SM14" s="190" t="str">
        <f t="shared" si="105"/>
        <v/>
      </c>
      <c r="SN14" s="134"/>
      <c r="SO14" s="132"/>
      <c r="SP14" s="133"/>
      <c r="SQ14" s="136"/>
      <c r="SR14" s="189" t="str">
        <f>IFERROR((((COUNTIF('Elève (4ème2)'!SN14:SQ14,"A"))*4)+((COUNTIF('Elève (4ème2)'!SN14:SQ14,"B"))*3)+((COUNTIF('Elève (4ème2)'!SN14:SQ14,"C"))*2)+((COUNTIF('Elève (4ème2)'!SN14:SQ14,"D"))*1))/(COUNTA(SN14:SQ14)),"")</f>
        <v/>
      </c>
      <c r="SS14" s="190" t="str">
        <f t="shared" si="106"/>
        <v/>
      </c>
      <c r="ST14" s="189" t="str">
        <f>IF(COUNT(SF14,SL14,SR14)=0,"",SUM(SF14,SL14,SR14)/COUNT(SF14,SL14,SR14))</f>
        <v/>
      </c>
      <c r="SU14" s="214" t="str">
        <f t="shared" si="107"/>
        <v/>
      </c>
      <c r="SV14" s="134"/>
      <c r="SW14" s="132"/>
      <c r="SX14" s="133"/>
      <c r="SY14" s="121" t="str">
        <f>IFERROR((((COUNTIF('Elève (4ème2)'!SV14:SX14,"A"))*4)+((COUNTIF('Elève (4ème2)'!SV14:SX14,"B"))*3)+((COUNTIF('Elève (4ème2)'!SV14:SX14,"C"))*2)+((COUNTIF('Elève (4ème2)'!SV14:SX14,"D"))*1))/(COUNTA(SV14:SX14)),"")</f>
        <v/>
      </c>
      <c r="SZ14" s="122" t="str">
        <f t="shared" si="108"/>
        <v/>
      </c>
      <c r="TA14" s="134"/>
      <c r="TB14" s="132"/>
      <c r="TC14" s="133"/>
      <c r="TD14" s="121" t="str">
        <f>IFERROR((((COUNTIF('Elève (4ème2)'!TA14:TC14,"A"))*4)+((COUNTIF('Elève (4ème2)'!TA14:TC14,"B"))*3)+((COUNTIF('Elève (4ème2)'!TA14:TC14,"C"))*2)+((COUNTIF('Elève (4ème2)'!TA14:TC14,"D"))*1))/(COUNTA(TA14:TC14)),"")</f>
        <v/>
      </c>
      <c r="TE14" s="122" t="str">
        <f t="shared" si="109"/>
        <v/>
      </c>
      <c r="TF14" s="134"/>
      <c r="TG14" s="132"/>
      <c r="TH14" s="136"/>
      <c r="TI14" s="121" t="str">
        <f>IFERROR((((COUNTIF('Elève (4ème2)'!TF14:TH14,"A"))*4)+((COUNTIF('Elève (4ème2)'!TF14:TH14,"B"))*3)+((COUNTIF('Elève (4ème2)'!TF14:TH14,"C"))*2)+((COUNTIF('Elève (4ème2)'!TF14:TH14,"D"))*1))/(COUNTA(TF14:TH14)),"")</f>
        <v/>
      </c>
      <c r="TJ14" s="122" t="str">
        <f t="shared" si="110"/>
        <v/>
      </c>
      <c r="TK14" s="121" t="str">
        <f>IF(COUNT(SY14,TD14,TI14)=0,"",SUM(SY14,TD14,TI14)/COUNT(SY14,TD14,TI14))</f>
        <v/>
      </c>
      <c r="TL14" s="125" t="str">
        <f t="shared" si="111"/>
        <v/>
      </c>
      <c r="TM14" s="134"/>
      <c r="TN14" s="132"/>
      <c r="TO14" s="133"/>
      <c r="TP14" s="121" t="str">
        <f>IFERROR((((COUNTIF('Elève (4ème2)'!TM14:TO14,"A"))*4)+((COUNTIF('Elève (4ème2)'!TM14:TO14,"B"))*3)+((COUNTIF('Elève (4ème2)'!TM14:TO14,"C"))*2)+((COUNTIF('Elève (4ème2)'!TM14:TO14,"D"))*1))/(COUNTA(TM14:TO14)),"")</f>
        <v/>
      </c>
      <c r="TQ14" s="122" t="str">
        <f t="shared" si="112"/>
        <v/>
      </c>
      <c r="TR14" s="134"/>
      <c r="TS14" s="132"/>
      <c r="TT14" s="133"/>
      <c r="TU14" s="121" t="str">
        <f>IFERROR((((COUNTIF('Elève (4ème2)'!TR14:TT14,"A"))*4)+((COUNTIF('Elève (4ème2)'!TR14:TT14,"B"))*3)+((COUNTIF('Elève (4ème2)'!TR14:TT14,"C"))*2)+((COUNTIF('Elève (4ème2)'!TR14:TT14,"D"))*1))/(COUNTA(TR14:TT14)),"")</f>
        <v/>
      </c>
      <c r="TV14" s="122" t="str">
        <f t="shared" si="113"/>
        <v/>
      </c>
      <c r="TW14" s="134"/>
      <c r="TX14" s="132"/>
      <c r="TY14" s="136"/>
      <c r="TZ14" s="121" t="str">
        <f>IFERROR((((COUNTIF('Elève (4ème2)'!TW14:TY14,"A"))*4)+((COUNTIF('Elève (4ème2)'!TW14:TY14,"B"))*3)+((COUNTIF('Elève (4ème2)'!TW14:TY14,"C"))*2)+((COUNTIF('Elève (4ème2)'!TW14:TY14,"D"))*1))/(COUNTA(TW14:TY14)),"")</f>
        <v/>
      </c>
      <c r="UA14" s="122" t="str">
        <f t="shared" si="114"/>
        <v/>
      </c>
      <c r="UB14" s="121" t="str">
        <f>IF(COUNT(TP14,TU14,TZ14)=0,"",SUM(TP14,TU14,TZ14)/COUNT(TP14,TU14,TZ14))</f>
        <v/>
      </c>
      <c r="UC14" s="125" t="str">
        <f t="shared" si="115"/>
        <v/>
      </c>
      <c r="UD14" s="134"/>
      <c r="UE14" s="132"/>
      <c r="UF14" s="133"/>
      <c r="UG14" s="121" t="str">
        <f>IFERROR((((COUNTIF('Elève (4ème2)'!UD14:UF14,"A"))*4)+((COUNTIF('Elève (4ème2)'!UD14:UF14,"B"))*3)+((COUNTIF('Elève (4ème2)'!UD14:UF14,"C"))*2)+((COUNTIF('Elève (4ème2)'!UD14:UF14,"D"))*1))/(COUNTA(UD14:UF14)),"")</f>
        <v/>
      </c>
      <c r="UH14" s="122" t="str">
        <f t="shared" si="116"/>
        <v/>
      </c>
      <c r="UI14" s="134"/>
      <c r="UJ14" s="132"/>
      <c r="UK14" s="133"/>
      <c r="UL14" s="121" t="str">
        <f>IFERROR((((COUNTIF('Elève (4ème2)'!UI14:UK14,"A"))*4)+((COUNTIF('Elève (4ème2)'!UI14:UK14,"B"))*3)+((COUNTIF('Elève (4ème2)'!UI14:UK14,"C"))*2)+((COUNTIF('Elève (4ème2)'!UI14:UK14,"D"))*1))/(COUNTA(UI14:UK14)),"")</f>
        <v/>
      </c>
      <c r="UM14" s="122" t="str">
        <f t="shared" si="117"/>
        <v/>
      </c>
      <c r="UN14" s="134"/>
      <c r="UO14" s="132"/>
      <c r="UP14" s="136"/>
      <c r="UQ14" s="121" t="str">
        <f>IFERROR((((COUNTIF('Elève (4ème2)'!UN14:UP14,"A"))*4)+((COUNTIF('Elève (4ème2)'!UN14:UP14,"B"))*3)+((COUNTIF('Elève (4ème2)'!UN14:UP14,"C"))*2)+((COUNTIF('Elève (4ème2)'!UN14:UP14,"D"))*1))/(COUNTA(UN14:UP14)),"")</f>
        <v/>
      </c>
      <c r="UR14" s="122" t="str">
        <f t="shared" si="118"/>
        <v/>
      </c>
      <c r="US14" s="121" t="str">
        <f>IF(COUNT(UG14,UL14,UQ14)=0,"",SUM(UG14,UL14,UQ14)/COUNT(UG14,UL14,UQ14))</f>
        <v/>
      </c>
      <c r="UT14" s="125" t="str">
        <f t="shared" si="119"/>
        <v/>
      </c>
    </row>
    <row r="15" spans="1:566" ht="18" customHeight="1" thickBot="1" x14ac:dyDescent="0.3">
      <c r="A15" s="254" t="s">
        <v>21</v>
      </c>
      <c r="B15" s="255"/>
      <c r="C15" s="149" t="s">
        <v>29</v>
      </c>
      <c r="D15" s="138"/>
      <c r="E15" s="139"/>
      <c r="F15" s="193">
        <f>IFERROR((((COUNTIF('Elève (4ème2)'!C15:E15,"A"))*4)+((COUNTIF('Elève (4ème2)'!C15:E15,"B"))*3)+((COUNTIF('Elève (4ème2)'!C15:E15,"C"))*2)+((COUNTIF('Elève (4ème2)'!C15:E15,"D"))*1))/(COUNTA(C15:E15)),"")</f>
        <v>4</v>
      </c>
      <c r="G15" s="194" t="str">
        <f t="shared" si="0"/>
        <v>A</v>
      </c>
      <c r="H15" s="137"/>
      <c r="I15" s="138"/>
      <c r="J15" s="229" t="s">
        <v>29</v>
      </c>
      <c r="K15" s="139"/>
      <c r="L15" s="193">
        <f>IFERROR((((COUNTIF('Elève (4ème2)'!H15:K15,"A"))*4)+((COUNTIF('Elève (4ème2)'!H15:K15,"B"))*3)+((COUNTIF('Elève (4ème2)'!H15:K15,"C"))*2)+((COUNTIF('Elève (4ème2)'!H15:K15,"D"))*1))/(COUNTA(H15:K15)),"")</f>
        <v>4</v>
      </c>
      <c r="M15" s="194" t="str">
        <f t="shared" si="1"/>
        <v>A</v>
      </c>
      <c r="N15" s="137"/>
      <c r="O15" s="138"/>
      <c r="P15" s="139"/>
      <c r="Q15" s="139"/>
      <c r="R15" s="193" t="str">
        <f>IFERROR((((COUNTIF('Elève (4ème2)'!N15:Q15,"A"))*4)+((COUNTIF('Elève (4ème2)'!N15:Q15,"B"))*3)+((COUNTIF('Elève (4ème2)'!N15:Q15,"C"))*2)+((COUNTIF('Elève (4ème2)'!N15:Q15,"D"))*1))/(COUNTA(N15:Q15)),"")</f>
        <v/>
      </c>
      <c r="S15" s="194" t="str">
        <f t="shared" si="2"/>
        <v/>
      </c>
      <c r="T15" s="218">
        <f>IF(COUNT(F15,L15,R15)=0,"",SUM(F15,L15,R15)/COUNT(F15,L15,R15))</f>
        <v>4</v>
      </c>
      <c r="U15" s="216" t="str">
        <f t="shared" si="3"/>
        <v>A</v>
      </c>
      <c r="V15" s="149" t="s">
        <v>29</v>
      </c>
      <c r="W15" s="138"/>
      <c r="X15" s="139"/>
      <c r="Y15" s="193">
        <f>IFERROR((((COUNTIF('Elève (4ème2)'!V15:X15,"A"))*4)+((COUNTIF('Elève (4ème2)'!V15:X15,"B"))*3)+((COUNTIF('Elève (4ème2)'!V15:X15,"C"))*2)+((COUNTIF('Elève (4ème2)'!V15:X15,"D"))*1))/(COUNTA(V15:X15)),"")</f>
        <v>4</v>
      </c>
      <c r="Z15" s="194" t="str">
        <f t="shared" si="4"/>
        <v>A</v>
      </c>
      <c r="AA15" s="137"/>
      <c r="AB15" s="138"/>
      <c r="AC15" s="229" t="s">
        <v>29</v>
      </c>
      <c r="AD15" s="139"/>
      <c r="AE15" s="193">
        <f>IFERROR((((COUNTIF('Elève (4ème2)'!AA15:AD15,"A"))*4)+((COUNTIF('Elève (4ème2)'!AA15:AD15,"B"))*3)+((COUNTIF('Elève (4ème2)'!AA15:AD15,"C"))*2)+((COUNTIF('Elève (4ème2)'!AA15:AD15,"D"))*1))/(COUNTA(AA15:AD15)),"")</f>
        <v>4</v>
      </c>
      <c r="AF15" s="194" t="str">
        <f t="shared" si="5"/>
        <v>A</v>
      </c>
      <c r="AG15" s="137"/>
      <c r="AH15" s="138"/>
      <c r="AI15" s="139"/>
      <c r="AJ15" s="143"/>
      <c r="AK15" s="193" t="str">
        <f>IFERROR((((COUNTIF('Elève (4ème2)'!AG15:AJ15,"A"))*4)+((COUNTIF('Elève (4ème2)'!AG15:AJ15,"B"))*3)+((COUNTIF('Elève (4ème2)'!AG15:AJ15,"C"))*2)+((COUNTIF('Elève (4ème2)'!AG15:AJ15,"D"))*1))/(COUNTA(AG15:AJ15)),"")</f>
        <v/>
      </c>
      <c r="AL15" s="194" t="str">
        <f t="shared" si="6"/>
        <v/>
      </c>
      <c r="AM15" s="218">
        <f>IF(COUNT(Y15,AE15,AK15)=0,"",SUM(Y15,AE15,AK15)/COUNT(Y15,AE15,AK15))</f>
        <v>4</v>
      </c>
      <c r="AN15" s="216" t="str">
        <f t="shared" si="7"/>
        <v>A</v>
      </c>
      <c r="AO15" s="149" t="s">
        <v>29</v>
      </c>
      <c r="AP15" s="138"/>
      <c r="AQ15" s="139"/>
      <c r="AR15" s="193">
        <f>IFERROR((((COUNTIF('Elève (4ème2)'!AO15:AQ15,"A"))*4)+((COUNTIF('Elève (4ème2)'!AO15:AQ15,"B"))*3)+((COUNTIF('Elève (4ème2)'!AO15:AQ15,"C"))*2)+((COUNTIF('Elève (4ème2)'!AO15:AQ15,"D"))*1))/(COUNTA(AO15:AQ15)),"")</f>
        <v>4</v>
      </c>
      <c r="AS15" s="194" t="str">
        <f t="shared" si="8"/>
        <v>A</v>
      </c>
      <c r="AT15" s="137"/>
      <c r="AU15" s="138"/>
      <c r="AV15" s="229" t="s">
        <v>31</v>
      </c>
      <c r="AW15" s="139"/>
      <c r="AX15" s="193">
        <f>IFERROR((((COUNTIF('Elève (4ème2)'!AT15:AW15,"A"))*4)+((COUNTIF('Elève (4ème2)'!AT15:AW15,"B"))*3)+((COUNTIF('Elève (4ème2)'!AT15:AW15,"C"))*2)+((COUNTIF('Elève (4ème2)'!AT15:AW15,"D"))*1))/(COUNTA(AT15:AW15)),"")</f>
        <v>2</v>
      </c>
      <c r="AY15" s="194" t="str">
        <f t="shared" si="9"/>
        <v>C</v>
      </c>
      <c r="AZ15" s="137"/>
      <c r="BA15" s="138"/>
      <c r="BB15" s="139"/>
      <c r="BC15" s="143"/>
      <c r="BD15" s="193" t="str">
        <f>IFERROR((((COUNTIF('Elève (4ème2)'!AZ15:BC15,"A"))*4)+((COUNTIF('Elève (4ème2)'!AZ15:BC15,"B"))*3)+((COUNTIF('Elève (4ème2)'!AZ15:BC15,"C"))*2)+((COUNTIF('Elève (4ème2)'!AZ15:BC15,"D"))*1))/(COUNTA(AZ15:BC15)),"")</f>
        <v/>
      </c>
      <c r="BE15" s="194" t="str">
        <f t="shared" si="10"/>
        <v/>
      </c>
      <c r="BF15" s="218">
        <f>IF(COUNT(AR15,AX15,BD15)=0,"",SUM(AR15,AX15,BD15)/COUNT(AR15,AX15,BD15))</f>
        <v>3</v>
      </c>
      <c r="BG15" s="216" t="str">
        <f t="shared" si="11"/>
        <v>B</v>
      </c>
      <c r="BH15" s="149" t="s">
        <v>29</v>
      </c>
      <c r="BI15" s="138"/>
      <c r="BJ15" s="139"/>
      <c r="BK15" s="193">
        <f>IFERROR((((COUNTIF('Elève (4ème2)'!BH15:BJ15,"A"))*4)+((COUNTIF('Elève (4ème2)'!BH15:BJ15,"B"))*3)+((COUNTIF('Elève (4ème2)'!BH15:BJ15,"C"))*2)+((COUNTIF('Elève (4ème2)'!BH15:BJ15,"D"))*1))/(COUNTA(BH15:BJ15)),"")</f>
        <v>4</v>
      </c>
      <c r="BL15" s="194" t="str">
        <f t="shared" si="12"/>
        <v>A</v>
      </c>
      <c r="BM15" s="137"/>
      <c r="BN15" s="138"/>
      <c r="BO15" s="229" t="s">
        <v>29</v>
      </c>
      <c r="BP15" s="139"/>
      <c r="BQ15" s="193">
        <f>IFERROR((((COUNTIF('Elève (4ème2)'!BM15:BP15,"A"))*4)+((COUNTIF('Elève (4ème2)'!BM15:BP15,"B"))*3)+((COUNTIF('Elève (4ème2)'!BM15:BP15,"C"))*2)+((COUNTIF('Elève (4ème2)'!BM15:BP15,"D"))*1))/(COUNTA(BM15:BP15)),"")</f>
        <v>4</v>
      </c>
      <c r="BR15" s="194" t="str">
        <f t="shared" si="13"/>
        <v>A</v>
      </c>
      <c r="BS15" s="137"/>
      <c r="BT15" s="138"/>
      <c r="BU15" s="139"/>
      <c r="BV15" s="143"/>
      <c r="BW15" s="193" t="str">
        <f>IFERROR((((COUNTIF('Elève (4ème2)'!BS15:BV15,"A"))*4)+((COUNTIF('Elève (4ème2)'!BS15:BV15,"B"))*3)+((COUNTIF('Elève (4ème2)'!BS15:BV15,"C"))*2)+((COUNTIF('Elève (4ème2)'!BS15:BV15,"D"))*1))/(COUNTA(BS15:BV15)),"")</f>
        <v/>
      </c>
      <c r="BX15" s="194" t="str">
        <f t="shared" si="14"/>
        <v/>
      </c>
      <c r="BY15" s="218">
        <f>IF(COUNT(BK15,BQ15,BW15)=0,"",SUM(BK15,BQ15,BW15)/COUNT(BK15,BQ15,BW15))</f>
        <v>4</v>
      </c>
      <c r="BZ15" s="216" t="str">
        <f t="shared" si="15"/>
        <v>A</v>
      </c>
      <c r="CA15" s="149" t="s">
        <v>29</v>
      </c>
      <c r="CB15" s="138"/>
      <c r="CC15" s="139"/>
      <c r="CD15" s="193">
        <f>IFERROR((((COUNTIF('Elève (4ème2)'!CA15:CC15,"A"))*4)+((COUNTIF('Elève (4ème2)'!CA15:CC15,"B"))*3)+((COUNTIF('Elève (4ème2)'!CA15:CC15,"C"))*2)+((COUNTIF('Elève (4ème2)'!CA15:CC15,"D"))*1))/(COUNTA(CA15:CC15)),"")</f>
        <v>4</v>
      </c>
      <c r="CE15" s="194" t="str">
        <f t="shared" si="16"/>
        <v>A</v>
      </c>
      <c r="CF15" s="137"/>
      <c r="CG15" s="138"/>
      <c r="CH15" s="229"/>
      <c r="CI15" s="139"/>
      <c r="CJ15" s="193" t="str">
        <f>IFERROR((((COUNTIF('Elève (4ème2)'!CF15:CI15,"A"))*4)+((COUNTIF('Elève (4ème2)'!CF15:CI15,"B"))*3)+((COUNTIF('Elève (4ème2)'!CF15:CI15,"C"))*2)+((COUNTIF('Elève (4ème2)'!CF15:CI15,"D"))*1))/(COUNTA(CF15:CI15)),"")</f>
        <v/>
      </c>
      <c r="CK15" s="194" t="str">
        <f t="shared" si="17"/>
        <v/>
      </c>
      <c r="CL15" s="137"/>
      <c r="CM15" s="138"/>
      <c r="CN15" s="139"/>
      <c r="CO15" s="143"/>
      <c r="CP15" s="193" t="str">
        <f>IFERROR((((COUNTIF('Elève (4ème2)'!CL15:CO15,"A"))*4)+((COUNTIF('Elève (4ème2)'!CL15:CO15,"B"))*3)+((COUNTIF('Elève (4ème2)'!CL15:CO15,"C"))*2)+((COUNTIF('Elève (4ème2)'!CL15:CO15,"D"))*1))/(COUNTA(CL15:CO15)),"")</f>
        <v/>
      </c>
      <c r="CQ15" s="194" t="str">
        <f t="shared" si="18"/>
        <v/>
      </c>
      <c r="CR15" s="218">
        <f>IF(COUNT(CD15,CJ15,CP15)=0,"",SUM(CD15,CJ15,CP15)/COUNT(CD15,CJ15,CP15))</f>
        <v>4</v>
      </c>
      <c r="CS15" s="216" t="str">
        <f t="shared" si="19"/>
        <v>A</v>
      </c>
      <c r="CT15" s="149" t="s">
        <v>29</v>
      </c>
      <c r="CU15" s="138"/>
      <c r="CV15" s="139"/>
      <c r="CW15" s="193">
        <f>IFERROR((((COUNTIF('Elève (4ème2)'!CT15:CV15,"A"))*4)+((COUNTIF('Elève (4ème2)'!CT15:CV15,"B"))*3)+((COUNTIF('Elève (4ème2)'!CT15:CV15,"C"))*2)+((COUNTIF('Elève (4ème2)'!CT15:CV15,"D"))*1))/(COUNTA(CT15:CV15)),"")</f>
        <v>4</v>
      </c>
      <c r="CX15" s="194" t="str">
        <f t="shared" si="20"/>
        <v>A</v>
      </c>
      <c r="CY15" s="137"/>
      <c r="CZ15" s="138"/>
      <c r="DA15" s="229" t="s">
        <v>29</v>
      </c>
      <c r="DB15" s="139"/>
      <c r="DC15" s="193">
        <f>IFERROR((((COUNTIF('Elève (4ème2)'!CY15:DB15,"A"))*4)+((COUNTIF('Elève (4ème2)'!CY15:DB15,"B"))*3)+((COUNTIF('Elève (4ème2)'!CY15:DB15,"C"))*2)+((COUNTIF('Elève (4ème2)'!CY15:DB15,"D"))*1))/(COUNTA(CY15:DB15)),"")</f>
        <v>4</v>
      </c>
      <c r="DD15" s="194" t="str">
        <f t="shared" si="21"/>
        <v>A</v>
      </c>
      <c r="DE15" s="137"/>
      <c r="DF15" s="138"/>
      <c r="DG15" s="139"/>
      <c r="DH15" s="143"/>
      <c r="DI15" s="193" t="str">
        <f>IFERROR((((COUNTIF('Elève (4ème2)'!DE15:DH15,"A"))*4)+((COUNTIF('Elève (4ème2)'!DE15:DH15,"B"))*3)+((COUNTIF('Elève (4ème2)'!DE15:DH15,"C"))*2)+((COUNTIF('Elève (4ème2)'!DE15:DH15,"D"))*1))/(COUNTA(DE15:DH15)),"")</f>
        <v/>
      </c>
      <c r="DJ15" s="194" t="str">
        <f t="shared" si="22"/>
        <v/>
      </c>
      <c r="DK15" s="218">
        <f>IF(COUNT(CW15,DC15,DI15)=0,"",SUM(CW15,DC15,DI15)/COUNT(CW15,DC15,DI15))</f>
        <v>4</v>
      </c>
      <c r="DL15" s="216" t="str">
        <f t="shared" si="23"/>
        <v>A</v>
      </c>
      <c r="DM15" s="149" t="s">
        <v>29</v>
      </c>
      <c r="DN15" s="138"/>
      <c r="DO15" s="139"/>
      <c r="DP15" s="193">
        <f>IFERROR((((COUNTIF('Elève (4ème2)'!DM15:DO15,"A"))*4)+((COUNTIF('Elève (4ème2)'!DM15:DO15,"B"))*3)+((COUNTIF('Elève (4ème2)'!DM15:DO15,"C"))*2)+((COUNTIF('Elève (4ème2)'!DM15:DO15,"D"))*1))/(COUNTA(DM15:DO15)),"")</f>
        <v>4</v>
      </c>
      <c r="DQ15" s="194" t="str">
        <f t="shared" si="24"/>
        <v>A</v>
      </c>
      <c r="DR15" s="137"/>
      <c r="DS15" s="138"/>
      <c r="DT15" s="229" t="s">
        <v>29</v>
      </c>
      <c r="DU15" s="139"/>
      <c r="DV15" s="193">
        <f>IFERROR((((COUNTIF('Elève (4ème2)'!DR15:DU15,"A"))*4)+((COUNTIF('Elève (4ème2)'!DR15:DU15,"B"))*3)+((COUNTIF('Elève (4ème2)'!DR15:DU15,"C"))*2)+((COUNTIF('Elève (4ème2)'!DR15:DU15,"D"))*1))/(COUNTA(DR15:DU15)),"")</f>
        <v>4</v>
      </c>
      <c r="DW15" s="194" t="str">
        <f t="shared" si="25"/>
        <v>A</v>
      </c>
      <c r="DX15" s="137"/>
      <c r="DY15" s="138"/>
      <c r="DZ15" s="139"/>
      <c r="EA15" s="143"/>
      <c r="EB15" s="193" t="str">
        <f>IFERROR((((COUNTIF('Elève (4ème2)'!DX15:EA15,"A"))*4)+((COUNTIF('Elève (4ème2)'!DX15:EA15,"B"))*3)+((COUNTIF('Elève (4ème2)'!DX15:EA15,"C"))*2)+((COUNTIF('Elève (4ème2)'!DX15:EA15,"D"))*1))/(COUNTA(DX15:EA15)),"")</f>
        <v/>
      </c>
      <c r="EC15" s="194" t="str">
        <f t="shared" si="26"/>
        <v/>
      </c>
      <c r="ED15" s="218">
        <f>IF(COUNT(DP15,DV15,EB15)=0,"",SUM(DP15,DV15,EB15)/COUNT(DP15,DV15,EB15))</f>
        <v>4</v>
      </c>
      <c r="EE15" s="216" t="str">
        <f t="shared" si="27"/>
        <v>A</v>
      </c>
      <c r="EF15" s="149" t="s">
        <v>29</v>
      </c>
      <c r="EG15" s="138"/>
      <c r="EH15" s="139"/>
      <c r="EI15" s="193">
        <f>IFERROR((((COUNTIF('Elève (4ème2)'!EF15:EH15,"A"))*4)+((COUNTIF('Elève (4ème2)'!EF15:EH15,"B"))*3)+((COUNTIF('Elève (4ème2)'!EF15:EH15,"C"))*2)+((COUNTIF('Elève (4ème2)'!EF15:EH15,"D"))*1))/(COUNTA(EF15:EH15)),"")</f>
        <v>4</v>
      </c>
      <c r="EJ15" s="194" t="str">
        <f t="shared" si="28"/>
        <v>A</v>
      </c>
      <c r="EK15" s="137"/>
      <c r="EL15" s="138"/>
      <c r="EM15" s="229" t="s">
        <v>29</v>
      </c>
      <c r="EN15" s="139"/>
      <c r="EO15" s="193">
        <f>IFERROR((((COUNTIF('Elève (4ème2)'!EK15:EN15,"A"))*4)+((COUNTIF('Elève (4ème2)'!EK15:EN15,"B"))*3)+((COUNTIF('Elève (4ème2)'!EK15:EN15,"C"))*2)+((COUNTIF('Elève (4ème2)'!EK15:EN15,"D"))*1))/(COUNTA(EK15:EN15)),"")</f>
        <v>4</v>
      </c>
      <c r="EP15" s="194" t="str">
        <f t="shared" si="29"/>
        <v>A</v>
      </c>
      <c r="EQ15" s="137"/>
      <c r="ER15" s="138"/>
      <c r="ES15" s="139"/>
      <c r="ET15" s="143"/>
      <c r="EU15" s="193" t="str">
        <f>IFERROR((((COUNTIF('Elève (4ème2)'!EQ15:ET15,"A"))*4)+((COUNTIF('Elève (4ème2)'!EQ15:ET15,"B"))*3)+((COUNTIF('Elève (4ème2)'!EQ15:ET15,"C"))*2)+((COUNTIF('Elève (4ème2)'!EQ15:ET15,"D"))*1))/(COUNTA(EQ15:ET15)),"")</f>
        <v/>
      </c>
      <c r="EV15" s="194" t="str">
        <f t="shared" si="30"/>
        <v/>
      </c>
      <c r="EW15" s="218">
        <f>IF(COUNT(EI15,EO15,EU15)=0,"",SUM(EI15,EO15,EU15)/COUNT(EI15,EO15,EU15))</f>
        <v>4</v>
      </c>
      <c r="EX15" s="216" t="str">
        <f t="shared" si="31"/>
        <v>A</v>
      </c>
      <c r="EY15" s="149" t="s">
        <v>29</v>
      </c>
      <c r="EZ15" s="138"/>
      <c r="FA15" s="139"/>
      <c r="FB15" s="193">
        <f>IFERROR((((COUNTIF('Elève (4ème2)'!EY15:FA15,"A"))*4)+((COUNTIF('Elève (4ème2)'!EY15:FA15,"B"))*3)+((COUNTIF('Elève (4ème2)'!EY15:FA15,"C"))*2)+((COUNTIF('Elève (4ème2)'!EY15:FA15,"D"))*1))/(COUNTA(EY15:FA15)),"")</f>
        <v>4</v>
      </c>
      <c r="FC15" s="194" t="str">
        <f t="shared" si="32"/>
        <v>A</v>
      </c>
      <c r="FD15" s="137"/>
      <c r="FE15" s="138"/>
      <c r="FF15" s="229" t="s">
        <v>31</v>
      </c>
      <c r="FG15" s="139"/>
      <c r="FH15" s="193">
        <f>IFERROR((((COUNTIF('Elève (4ème2)'!FD15:FG15,"A"))*4)+((COUNTIF('Elève (4ème2)'!FD15:FG15,"B"))*3)+((COUNTIF('Elève (4ème2)'!FD15:FG15,"C"))*2)+((COUNTIF('Elève (4ème2)'!FD15:FG15,"D"))*1))/(COUNTA(FD15:FG15)),"")</f>
        <v>2</v>
      </c>
      <c r="FI15" s="194" t="str">
        <f t="shared" si="33"/>
        <v>C</v>
      </c>
      <c r="FJ15" s="137"/>
      <c r="FK15" s="138"/>
      <c r="FL15" s="139"/>
      <c r="FM15" s="143"/>
      <c r="FN15" s="193" t="str">
        <f>IFERROR((((COUNTIF('Elève (4ème2)'!FJ15:FM15,"A"))*4)+((COUNTIF('Elève (4ème2)'!FJ15:FM15,"B"))*3)+((COUNTIF('Elève (4ème2)'!FJ15:FM15,"C"))*2)+((COUNTIF('Elève (4ème2)'!FJ15:FM15,"D"))*1))/(COUNTA(FJ15:FM15)),"")</f>
        <v/>
      </c>
      <c r="FO15" s="194" t="str">
        <f t="shared" si="34"/>
        <v/>
      </c>
      <c r="FP15" s="218">
        <f>IF(COUNT(FB15,FH15,FN15)=0,"",SUM(FB15,FH15,FN15)/COUNT(FB15,FH15,FN15))</f>
        <v>3</v>
      </c>
      <c r="FQ15" s="216" t="str">
        <f t="shared" si="35"/>
        <v>B</v>
      </c>
      <c r="FR15" s="149" t="s">
        <v>29</v>
      </c>
      <c r="FS15" s="138"/>
      <c r="FT15" s="139"/>
      <c r="FU15" s="193">
        <f>IFERROR((((COUNTIF('Elève (4ème2)'!FR15:FT15,"A"))*4)+((COUNTIF('Elève (4ème2)'!FR15:FT15,"B"))*3)+((COUNTIF('Elève (4ème2)'!FR15:FT15,"C"))*2)+((COUNTIF('Elève (4ème2)'!FR15:FT15,"D"))*1))/(COUNTA(FR15:FT15)),"")</f>
        <v>4</v>
      </c>
      <c r="FV15" s="194" t="str">
        <f t="shared" si="36"/>
        <v>A</v>
      </c>
      <c r="FW15" s="137"/>
      <c r="FX15" s="138"/>
      <c r="FY15" s="229" t="s">
        <v>29</v>
      </c>
      <c r="FZ15" s="139"/>
      <c r="GA15" s="193">
        <f>IFERROR((((COUNTIF('Elève (4ème2)'!FW15:FZ15,"A"))*4)+((COUNTIF('Elève (4ème2)'!FW15:FZ15,"B"))*3)+((COUNTIF('Elève (4ème2)'!FW15:FZ15,"C"))*2)+((COUNTIF('Elève (4ème2)'!FW15:FZ15,"D"))*1))/(COUNTA(FW15:FZ15)),"")</f>
        <v>4</v>
      </c>
      <c r="GB15" s="194" t="str">
        <f t="shared" si="37"/>
        <v>A</v>
      </c>
      <c r="GC15" s="137"/>
      <c r="GD15" s="138"/>
      <c r="GE15" s="139"/>
      <c r="GF15" s="143"/>
      <c r="GG15" s="193" t="str">
        <f>IFERROR((((COUNTIF('Elève (4ème2)'!GC15:GF15,"A"))*4)+((COUNTIF('Elève (4ème2)'!GC15:GF15,"B"))*3)+((COUNTIF('Elève (4ème2)'!GC15:GF15,"C"))*2)+((COUNTIF('Elève (4ème2)'!GC15:GF15,"D"))*1))/(COUNTA(GC15:GF15)),"")</f>
        <v/>
      </c>
      <c r="GH15" s="194" t="str">
        <f t="shared" si="38"/>
        <v/>
      </c>
      <c r="GI15" s="218">
        <f>IF(COUNT(FU15,GA15,GG15)=0,"",SUM(FU15,GA15,GG15)/COUNT(FU15,GA15,GG15))</f>
        <v>4</v>
      </c>
      <c r="GJ15" s="216" t="str">
        <f t="shared" si="39"/>
        <v>A</v>
      </c>
      <c r="GK15" s="149" t="s">
        <v>29</v>
      </c>
      <c r="GL15" s="138"/>
      <c r="GM15" s="139"/>
      <c r="GN15" s="193">
        <f>IFERROR((((COUNTIF('Elève (4ème2)'!GK15:GM15,"A"))*4)+((COUNTIF('Elève (4ème2)'!GK15:GM15,"B"))*3)+((COUNTIF('Elève (4ème2)'!GK15:GM15,"C"))*2)+((COUNTIF('Elève (4ème2)'!GK15:GM15,"D"))*1))/(COUNTA(GK15:GM15)),"")</f>
        <v>4</v>
      </c>
      <c r="GO15" s="194" t="str">
        <f t="shared" si="40"/>
        <v>A</v>
      </c>
      <c r="GP15" s="137"/>
      <c r="GQ15" s="138"/>
      <c r="GR15" s="229"/>
      <c r="GS15" s="139"/>
      <c r="GT15" s="193" t="str">
        <f>IFERROR((((COUNTIF('Elève (4ème2)'!GP15:GS15,"A"))*4)+((COUNTIF('Elève (4ème2)'!GP15:GS15,"B"))*3)+((COUNTIF('Elève (4ème2)'!GP15:GS15,"C"))*2)+((COUNTIF('Elève (4ème2)'!GP15:GS15,"D"))*1))/(COUNTA(GP15:GS15)),"")</f>
        <v/>
      </c>
      <c r="GU15" s="194" t="str">
        <f t="shared" si="41"/>
        <v/>
      </c>
      <c r="GV15" s="137"/>
      <c r="GW15" s="138"/>
      <c r="GX15" s="139"/>
      <c r="GY15" s="143"/>
      <c r="GZ15" s="193" t="str">
        <f>IFERROR((((COUNTIF('Elève (4ème2)'!GV15:GY15,"A"))*4)+((COUNTIF('Elève (4ème2)'!GV15:GY15,"B"))*3)+((COUNTIF('Elève (4ème2)'!GV15:GY15,"C"))*2)+((COUNTIF('Elève (4ème2)'!GV15:GY15,"D"))*1))/(COUNTA(GV15:GY15)),"")</f>
        <v/>
      </c>
      <c r="HA15" s="194" t="str">
        <f t="shared" si="42"/>
        <v/>
      </c>
      <c r="HB15" s="218">
        <f>IF(COUNT(GN15,GT15,GZ15)=0,"",SUM(GN15,GT15,GZ15)/COUNT(GN15,GT15,GZ15))</f>
        <v>4</v>
      </c>
      <c r="HC15" s="216" t="str">
        <f t="shared" si="43"/>
        <v>A</v>
      </c>
      <c r="HD15" s="149" t="s">
        <v>29</v>
      </c>
      <c r="HE15" s="138"/>
      <c r="HF15" s="139"/>
      <c r="HG15" s="193">
        <f>IFERROR((((COUNTIF('Elève (4ème2)'!HD15:HF15,"A"))*4)+((COUNTIF('Elève (4ème2)'!HD15:HF15,"B"))*3)+((COUNTIF('Elève (4ème2)'!HD15:HF15,"C"))*2)+((COUNTIF('Elève (4ème2)'!HD15:HF15,"D"))*1))/(COUNTA(HD15:HF15)),"")</f>
        <v>4</v>
      </c>
      <c r="HH15" s="194" t="str">
        <f t="shared" si="44"/>
        <v>A</v>
      </c>
      <c r="HI15" s="137"/>
      <c r="HJ15" s="138"/>
      <c r="HK15" s="229" t="s">
        <v>29</v>
      </c>
      <c r="HL15" s="139"/>
      <c r="HM15" s="193">
        <f>IFERROR((((COUNTIF('Elève (4ème2)'!HI15:HL15,"A"))*4)+((COUNTIF('Elève (4ème2)'!HI15:HL15,"B"))*3)+((COUNTIF('Elève (4ème2)'!HI15:HL15,"C"))*2)+((COUNTIF('Elève (4ème2)'!HI15:HL15,"D"))*1))/(COUNTA(HI15:HL15)),"")</f>
        <v>4</v>
      </c>
      <c r="HN15" s="194" t="str">
        <f t="shared" si="45"/>
        <v>A</v>
      </c>
      <c r="HO15" s="137"/>
      <c r="HP15" s="138"/>
      <c r="HQ15" s="139"/>
      <c r="HR15" s="143"/>
      <c r="HS15" s="193" t="str">
        <f>IFERROR((((COUNTIF('Elève (4ème2)'!HO15:HR15,"A"))*4)+((COUNTIF('Elève (4ème2)'!HO15:HR15,"B"))*3)+((COUNTIF('Elève (4ème2)'!HO15:HR15,"C"))*2)+((COUNTIF('Elève (4ème2)'!HO15:HR15,"D"))*1))/(COUNTA(HO15:HR15)),"")</f>
        <v/>
      </c>
      <c r="HT15" s="194" t="str">
        <f t="shared" si="46"/>
        <v/>
      </c>
      <c r="HU15" s="218">
        <f>IF(COUNT(HG15,HM15,HS15)=0,"",SUM(HG15,HM15,HS15)/COUNT(HG15,HM15,HS15))</f>
        <v>4</v>
      </c>
      <c r="HV15" s="216" t="str">
        <f t="shared" si="47"/>
        <v>A</v>
      </c>
      <c r="HW15" s="149" t="s">
        <v>29</v>
      </c>
      <c r="HX15" s="138"/>
      <c r="HY15" s="139"/>
      <c r="HZ15" s="193">
        <f>IFERROR((((COUNTIF('Elève (4ème2)'!HW15:HY15,"A"))*4)+((COUNTIF('Elève (4ème2)'!HW15:HY15,"B"))*3)+((COUNTIF('Elève (4ème2)'!HW15:HY15,"C"))*2)+((COUNTIF('Elève (4ème2)'!HW15:HY15,"D"))*1))/(COUNTA(HW15:HY15)),"")</f>
        <v>4</v>
      </c>
      <c r="IA15" s="194" t="str">
        <f t="shared" si="48"/>
        <v>A</v>
      </c>
      <c r="IB15" s="137"/>
      <c r="IC15" s="138"/>
      <c r="ID15" s="229" t="s">
        <v>31</v>
      </c>
      <c r="IE15" s="139"/>
      <c r="IF15" s="193">
        <f>IFERROR((((COUNTIF('Elève (4ème2)'!IB15:IE15,"A"))*4)+((COUNTIF('Elève (4ème2)'!IB15:IE15,"B"))*3)+((COUNTIF('Elève (4ème2)'!IB15:IE15,"C"))*2)+((COUNTIF('Elève (4ème2)'!IB15:IE15,"D"))*1))/(COUNTA(IB15:IE15)),"")</f>
        <v>2</v>
      </c>
      <c r="IG15" s="194" t="str">
        <f t="shared" si="49"/>
        <v>C</v>
      </c>
      <c r="IH15" s="137"/>
      <c r="II15" s="138"/>
      <c r="IJ15" s="139"/>
      <c r="IK15" s="143"/>
      <c r="IL15" s="193" t="str">
        <f>IFERROR((((COUNTIF('Elève (4ème2)'!IH15:IK15,"A"))*4)+((COUNTIF('Elève (4ème2)'!IH15:IK15,"B"))*3)+((COUNTIF('Elève (4ème2)'!IH15:IK15,"C"))*2)+((COUNTIF('Elève (4ème2)'!IH15:IK15,"D"))*1))/(COUNTA(IH15:IK15)),"")</f>
        <v/>
      </c>
      <c r="IM15" s="194" t="str">
        <f t="shared" si="50"/>
        <v/>
      </c>
      <c r="IN15" s="218">
        <f>IF(COUNT(HZ15,IF15,IL15)=0,"",SUM(HZ15,IF15,IL15)/COUNT(HZ15,IF15,IL15))</f>
        <v>3</v>
      </c>
      <c r="IO15" s="216" t="str">
        <f t="shared" si="51"/>
        <v>B</v>
      </c>
      <c r="IP15" s="149" t="s">
        <v>29</v>
      </c>
      <c r="IQ15" s="138"/>
      <c r="IR15" s="139"/>
      <c r="IS15" s="193">
        <f>IFERROR((((COUNTIF('Elève (4ème2)'!IP15:IR15,"A"))*4)+((COUNTIF('Elève (4ème2)'!IP15:IR15,"B"))*3)+((COUNTIF('Elève (4ème2)'!IP15:IR15,"C"))*2)+((COUNTIF('Elève (4ème2)'!IP15:IR15,"D"))*1))/(COUNTA(IP15:IR15)),"")</f>
        <v>4</v>
      </c>
      <c r="IT15" s="194" t="str">
        <f t="shared" si="52"/>
        <v>A</v>
      </c>
      <c r="IU15" s="137"/>
      <c r="IV15" s="138"/>
      <c r="IW15" s="229" t="s">
        <v>29</v>
      </c>
      <c r="IX15" s="139"/>
      <c r="IY15" s="193">
        <f>IFERROR((((COUNTIF('Elève (4ème2)'!IU15:IX15,"A"))*4)+((COUNTIF('Elève (4ème2)'!IU15:IX15,"B"))*3)+((COUNTIF('Elève (4ème2)'!IU15:IX15,"C"))*2)+((COUNTIF('Elève (4ème2)'!IU15:IX15,"D"))*1))/(COUNTA(IU15:IX15)),"")</f>
        <v>4</v>
      </c>
      <c r="IZ15" s="194" t="str">
        <f t="shared" si="53"/>
        <v>A</v>
      </c>
      <c r="JA15" s="137"/>
      <c r="JB15" s="138"/>
      <c r="JC15" s="139"/>
      <c r="JD15" s="143"/>
      <c r="JE15" s="193" t="str">
        <f>IFERROR((((COUNTIF('Elève (4ème2)'!JA15:JD15,"A"))*4)+((COUNTIF('Elève (4ème2)'!JA15:JD15,"B"))*3)+((COUNTIF('Elève (4ème2)'!JA15:JD15,"C"))*2)+((COUNTIF('Elève (4ème2)'!JA15:JD15,"D"))*1))/(COUNTA(JA15:JD15)),"")</f>
        <v/>
      </c>
      <c r="JF15" s="194" t="str">
        <f t="shared" si="54"/>
        <v/>
      </c>
      <c r="JG15" s="218">
        <f>IF(COUNT(IS15,IY15,JE15)=0,"",SUM(IS15,IY15,JE15)/COUNT(IS15,IY15,JE15))</f>
        <v>4</v>
      </c>
      <c r="JH15" s="216" t="str">
        <f t="shared" si="55"/>
        <v>A</v>
      </c>
      <c r="JI15" s="149" t="s">
        <v>29</v>
      </c>
      <c r="JJ15" s="138"/>
      <c r="JK15" s="139"/>
      <c r="JL15" s="193">
        <f>IFERROR((((COUNTIF('Elève (4ème2)'!JI15:JK15,"A"))*4)+((COUNTIF('Elève (4ème2)'!JI15:JK15,"B"))*3)+((COUNTIF('Elève (4ème2)'!JI15:JK15,"C"))*2)+((COUNTIF('Elève (4ème2)'!JI15:JK15,"D"))*1))/(COUNTA(JI15:JK15)),"")</f>
        <v>4</v>
      </c>
      <c r="JM15" s="194" t="str">
        <f t="shared" si="56"/>
        <v>A</v>
      </c>
      <c r="JN15" s="137"/>
      <c r="JO15" s="138"/>
      <c r="JP15" s="229" t="s">
        <v>29</v>
      </c>
      <c r="JQ15" s="139"/>
      <c r="JR15" s="193">
        <f>IFERROR((((COUNTIF('Elève (4ème2)'!JN15:JQ15,"A"))*4)+((COUNTIF('Elève (4ème2)'!JN15:JQ15,"B"))*3)+((COUNTIF('Elève (4ème2)'!JN15:JQ15,"C"))*2)+((COUNTIF('Elève (4ème2)'!JN15:JQ15,"D"))*1))/(COUNTA(JN15:JQ15)),"")</f>
        <v>4</v>
      </c>
      <c r="JS15" s="194" t="str">
        <f t="shared" si="57"/>
        <v>A</v>
      </c>
      <c r="JT15" s="137"/>
      <c r="JU15" s="138"/>
      <c r="JV15" s="139"/>
      <c r="JW15" s="143"/>
      <c r="JX15" s="193" t="str">
        <f>IFERROR((((COUNTIF('Elève (4ème2)'!JT15:JW15,"A"))*4)+((COUNTIF('Elève (4ème2)'!JT15:JW15,"B"))*3)+((COUNTIF('Elève (4ème2)'!JT15:JW15,"C"))*2)+((COUNTIF('Elève (4ème2)'!JT15:JW15,"D"))*1))/(COUNTA(JT15:JW15)),"")</f>
        <v/>
      </c>
      <c r="JY15" s="194" t="str">
        <f t="shared" si="58"/>
        <v/>
      </c>
      <c r="JZ15" s="218">
        <f>IF(COUNT(JL15,JR15,JX15)=0,"",SUM(JL15,JR15,JX15)/COUNT(JL15,JR15,JX15))</f>
        <v>4</v>
      </c>
      <c r="KA15" s="216" t="str">
        <f t="shared" si="59"/>
        <v>A</v>
      </c>
      <c r="KB15" s="149" t="s">
        <v>29</v>
      </c>
      <c r="KC15" s="138"/>
      <c r="KD15" s="139"/>
      <c r="KE15" s="193">
        <f>IFERROR((((COUNTIF('Elève (4ème2)'!KB15:KD15,"A"))*4)+((COUNTIF('Elève (4ème2)'!KB15:KD15,"B"))*3)+((COUNTIF('Elève (4ème2)'!KB15:KD15,"C"))*2)+((COUNTIF('Elève (4ème2)'!KB15:KD15,"D"))*1))/(COUNTA(KB15:KD15)),"")</f>
        <v>4</v>
      </c>
      <c r="KF15" s="194" t="str">
        <f t="shared" si="60"/>
        <v>A</v>
      </c>
      <c r="KG15" s="137"/>
      <c r="KH15" s="138"/>
      <c r="KI15" s="229" t="s">
        <v>29</v>
      </c>
      <c r="KJ15" s="139"/>
      <c r="KK15" s="193">
        <f>IFERROR((((COUNTIF('Elève (4ème2)'!KG15:KJ15,"A"))*4)+((COUNTIF('Elève (4ème2)'!KG15:KJ15,"B"))*3)+((COUNTIF('Elève (4ème2)'!KG15:KJ15,"C"))*2)+((COUNTIF('Elève (4ème2)'!KG15:KJ15,"D"))*1))/(COUNTA(KG15:KJ15)),"")</f>
        <v>4</v>
      </c>
      <c r="KL15" s="194" t="str">
        <f t="shared" si="61"/>
        <v>A</v>
      </c>
      <c r="KM15" s="137"/>
      <c r="KN15" s="138"/>
      <c r="KO15" s="139"/>
      <c r="KP15" s="143"/>
      <c r="KQ15" s="193" t="str">
        <f>IFERROR((((COUNTIF('Elève (4ème2)'!KM15:KP15,"A"))*4)+((COUNTIF('Elève (4ème2)'!KM15:KP15,"B"))*3)+((COUNTIF('Elève (4ème2)'!KM15:KP15,"C"))*2)+((COUNTIF('Elève (4ème2)'!KM15:KP15,"D"))*1))/(COUNTA(KM15:KP15)),"")</f>
        <v/>
      </c>
      <c r="KR15" s="194" t="str">
        <f t="shared" si="62"/>
        <v/>
      </c>
      <c r="KS15" s="218">
        <f>IF(COUNT(KE15,KK15,KQ15)=0,"",SUM(KE15,KK15,KQ15)/COUNT(KE15,KK15,KQ15))</f>
        <v>4</v>
      </c>
      <c r="KT15" s="216" t="str">
        <f t="shared" si="63"/>
        <v>A</v>
      </c>
      <c r="KU15" s="149" t="s">
        <v>29</v>
      </c>
      <c r="KV15" s="138"/>
      <c r="KW15" s="139"/>
      <c r="KX15" s="193">
        <f>IFERROR((((COUNTIF('Elève (4ème2)'!KU15:KW15,"A"))*4)+((COUNTIF('Elève (4ème2)'!KU15:KW15,"B"))*3)+((COUNTIF('Elève (4ème2)'!KU15:KW15,"C"))*2)+((COUNTIF('Elève (4ème2)'!KU15:KW15,"D"))*1))/(COUNTA(KU15:KW15)),"")</f>
        <v>4</v>
      </c>
      <c r="KY15" s="194" t="str">
        <f t="shared" si="64"/>
        <v>A</v>
      </c>
      <c r="KZ15" s="137"/>
      <c r="LA15" s="138"/>
      <c r="LB15" s="229" t="s">
        <v>29</v>
      </c>
      <c r="LC15" s="139"/>
      <c r="LD15" s="193">
        <f>IFERROR((((COUNTIF('Elève (4ème2)'!KZ15:LC15,"A"))*4)+((COUNTIF('Elève (4ème2)'!KZ15:LC15,"B"))*3)+((COUNTIF('Elève (4ème2)'!KZ15:LC15,"C"))*2)+((COUNTIF('Elève (4ème2)'!KZ15:LC15,"D"))*1))/(COUNTA(KZ15:LC15)),"")</f>
        <v>4</v>
      </c>
      <c r="LE15" s="194" t="str">
        <f t="shared" si="65"/>
        <v>A</v>
      </c>
      <c r="LF15" s="137"/>
      <c r="LG15" s="138"/>
      <c r="LH15" s="139"/>
      <c r="LI15" s="143"/>
      <c r="LJ15" s="193" t="str">
        <f>IFERROR((((COUNTIF('Elève (4ème2)'!LF15:LI15,"A"))*4)+((COUNTIF('Elève (4ème2)'!LF15:LI15,"B"))*3)+((COUNTIF('Elève (4ème2)'!LF15:LI15,"C"))*2)+((COUNTIF('Elève (4ème2)'!LF15:LI15,"D"))*1))/(COUNTA(LF15:LI15)),"")</f>
        <v/>
      </c>
      <c r="LK15" s="194" t="str">
        <f t="shared" si="66"/>
        <v/>
      </c>
      <c r="LL15" s="218">
        <f>IF(COUNT(KX15,LD15,LJ15)=0,"",SUM(KX15,LD15,LJ15)/COUNT(KX15,LD15,LJ15))</f>
        <v>4</v>
      </c>
      <c r="LM15" s="216" t="str">
        <f t="shared" si="67"/>
        <v>A</v>
      </c>
      <c r="LN15" s="149" t="s">
        <v>29</v>
      </c>
      <c r="LO15" s="138"/>
      <c r="LP15" s="139"/>
      <c r="LQ15" s="193">
        <f>IFERROR((((COUNTIF('Elève (4ème2)'!LN15:LP15,"A"))*4)+((COUNTIF('Elève (4ème2)'!LN15:LP15,"B"))*3)+((COUNTIF('Elève (4ème2)'!LN15:LP15,"C"))*2)+((COUNTIF('Elève (4ème2)'!LN15:LP15,"D"))*1))/(COUNTA(LN15:LP15)),"")</f>
        <v>4</v>
      </c>
      <c r="LR15" s="194" t="str">
        <f t="shared" si="68"/>
        <v>A</v>
      </c>
      <c r="LS15" s="137"/>
      <c r="LT15" s="138"/>
      <c r="LU15" s="229" t="s">
        <v>29</v>
      </c>
      <c r="LV15" s="139"/>
      <c r="LW15" s="193">
        <f>IFERROR((((COUNTIF('Elève (4ème2)'!LS15:LV15,"A"))*4)+((COUNTIF('Elève (4ème2)'!LS15:LV15,"B"))*3)+((COUNTIF('Elève (4ème2)'!LS15:LV15,"C"))*2)+((COUNTIF('Elève (4ème2)'!LS15:LV15,"D"))*1))/(COUNTA(LS15:LV15)),"")</f>
        <v>4</v>
      </c>
      <c r="LX15" s="194" t="str">
        <f t="shared" si="69"/>
        <v>A</v>
      </c>
      <c r="LY15" s="137"/>
      <c r="LZ15" s="138"/>
      <c r="MA15" s="139"/>
      <c r="MB15" s="143"/>
      <c r="MC15" s="193" t="str">
        <f>IFERROR((((COUNTIF('Elève (4ème2)'!LY15:MB15,"A"))*4)+((COUNTIF('Elève (4ème2)'!LY15:MB15,"B"))*3)+((COUNTIF('Elève (4ème2)'!LY15:MB15,"C"))*2)+((COUNTIF('Elève (4ème2)'!LY15:MB15,"D"))*1))/(COUNTA(LY15:MB15)),"")</f>
        <v/>
      </c>
      <c r="MD15" s="194" t="str">
        <f t="shared" si="70"/>
        <v/>
      </c>
      <c r="ME15" s="218">
        <f>IF(COUNT(LQ15,LW15,MC15)=0,"",SUM(LQ15,LW15,MC15)/COUNT(LQ15,LW15,MC15))</f>
        <v>4</v>
      </c>
      <c r="MF15" s="216" t="str">
        <f t="shared" si="71"/>
        <v>A</v>
      </c>
      <c r="MG15" s="149" t="s">
        <v>29</v>
      </c>
      <c r="MH15" s="138"/>
      <c r="MI15" s="139"/>
      <c r="MJ15" s="193">
        <f>IFERROR((((COUNTIF('Elève (4ème2)'!MG15:MI15,"A"))*4)+((COUNTIF('Elève (4ème2)'!MG15:MI15,"B"))*3)+((COUNTIF('Elève (4ème2)'!MG15:MI15,"C"))*2)+((COUNTIF('Elève (4ème2)'!MG15:MI15,"D"))*1))/(COUNTA(MG15:MI15)),"")</f>
        <v>4</v>
      </c>
      <c r="MK15" s="194" t="str">
        <f t="shared" si="72"/>
        <v>A</v>
      </c>
      <c r="ML15" s="137"/>
      <c r="MM15" s="138"/>
      <c r="MN15" s="229" t="s">
        <v>29</v>
      </c>
      <c r="MO15" s="139"/>
      <c r="MP15" s="193">
        <f>IFERROR((((COUNTIF('Elève (4ème2)'!ML15:MO15,"A"))*4)+((COUNTIF('Elève (4ème2)'!ML15:MO15,"B"))*3)+((COUNTIF('Elève (4ème2)'!ML15:MO15,"C"))*2)+((COUNTIF('Elève (4ème2)'!ML15:MO15,"D"))*1))/(COUNTA(ML15:MO15)),"")</f>
        <v>4</v>
      </c>
      <c r="MQ15" s="194" t="str">
        <f t="shared" si="73"/>
        <v>A</v>
      </c>
      <c r="MR15" s="137"/>
      <c r="MS15" s="138"/>
      <c r="MT15" s="139"/>
      <c r="MU15" s="143"/>
      <c r="MV15" s="193" t="str">
        <f>IFERROR((((COUNTIF('Elève (4ème2)'!MR15:MU15,"A"))*4)+((COUNTIF('Elève (4ème2)'!MR15:MU15,"B"))*3)+((COUNTIF('Elève (4ème2)'!MR15:MU15,"C"))*2)+((COUNTIF('Elève (4ème2)'!MR15:MU15,"D"))*1))/(COUNTA(MR15:MU15)),"")</f>
        <v/>
      </c>
      <c r="MW15" s="194" t="str">
        <f t="shared" si="74"/>
        <v/>
      </c>
      <c r="MX15" s="218">
        <f>IF(COUNT(MJ15,MP15,MV15)=0,"",SUM(MJ15,MP15,MV15)/COUNT(MJ15,MP15,MV15))</f>
        <v>4</v>
      </c>
      <c r="MY15" s="216" t="str">
        <f t="shared" si="75"/>
        <v>A</v>
      </c>
      <c r="MZ15" s="149" t="s">
        <v>29</v>
      </c>
      <c r="NA15" s="138"/>
      <c r="NB15" s="139"/>
      <c r="NC15" s="193">
        <f>IFERROR((((COUNTIF('Elève (4ème2)'!MZ15:NB15,"A"))*4)+((COUNTIF('Elève (4ème2)'!MZ15:NB15,"B"))*3)+((COUNTIF('Elève (4ème2)'!MZ15:NB15,"C"))*2)+((COUNTIF('Elève (4ème2)'!MZ15:NB15,"D"))*1))/(COUNTA(MZ15:NB15)),"")</f>
        <v>4</v>
      </c>
      <c r="ND15" s="194" t="str">
        <f t="shared" si="76"/>
        <v>A</v>
      </c>
      <c r="NE15" s="137"/>
      <c r="NF15" s="138"/>
      <c r="NG15" s="229" t="s">
        <v>29</v>
      </c>
      <c r="NH15" s="139"/>
      <c r="NI15" s="193">
        <f>IFERROR((((COUNTIF('Elève (4ème2)'!NE15:NH15,"A"))*4)+((COUNTIF('Elève (4ème2)'!NE15:NH15,"B"))*3)+((COUNTIF('Elève (4ème2)'!NE15:NH15,"C"))*2)+((COUNTIF('Elève (4ème2)'!NE15:NH15,"D"))*1))/(COUNTA(NE15:NH15)),"")</f>
        <v>4</v>
      </c>
      <c r="NJ15" s="194" t="str">
        <f t="shared" si="77"/>
        <v>A</v>
      </c>
      <c r="NK15" s="137"/>
      <c r="NL15" s="138"/>
      <c r="NM15" s="139"/>
      <c r="NN15" s="143"/>
      <c r="NO15" s="193" t="str">
        <f>IFERROR((((COUNTIF('Elève (4ème2)'!NK15:NN15,"A"))*4)+((COUNTIF('Elève (4ème2)'!NK15:NN15,"B"))*3)+((COUNTIF('Elève (4ème2)'!NK15:NN15,"C"))*2)+((COUNTIF('Elève (4ème2)'!NK15:NN15,"D"))*1))/(COUNTA(NK15:NN15)),"")</f>
        <v/>
      </c>
      <c r="NP15" s="194" t="str">
        <f t="shared" si="78"/>
        <v/>
      </c>
      <c r="NQ15" s="218">
        <f>IF(COUNT(NC15,NI15,NO15)=0,"",SUM(NC15,NI15,NO15)/COUNT(NC15,NI15,NO15))</f>
        <v>4</v>
      </c>
      <c r="NR15" s="216" t="str">
        <f t="shared" si="79"/>
        <v>A</v>
      </c>
      <c r="NS15" s="149" t="s">
        <v>32</v>
      </c>
      <c r="NT15" s="138"/>
      <c r="NU15" s="139"/>
      <c r="NV15" s="193">
        <f>IFERROR((((COUNTIF('Elève (4ème2)'!NS15:NU15,"A"))*4)+((COUNTIF('Elève (4ème2)'!NS15:NU15,"B"))*3)+((COUNTIF('Elève (4ème2)'!NS15:NU15,"C"))*2)+((COUNTIF('Elève (4ème2)'!NS15:NU15,"D"))*1))/(COUNTA(NS15:NU15)),"")</f>
        <v>1</v>
      </c>
      <c r="NW15" s="194" t="str">
        <f t="shared" si="80"/>
        <v>D</v>
      </c>
      <c r="NX15" s="137"/>
      <c r="NY15" s="138"/>
      <c r="NZ15" s="229" t="s">
        <v>29</v>
      </c>
      <c r="OA15" s="139"/>
      <c r="OB15" s="193">
        <f>IFERROR((((COUNTIF('Elève (4ème2)'!NX15:OA15,"A"))*4)+((COUNTIF('Elève (4ème2)'!NX15:OA15,"B"))*3)+((COUNTIF('Elève (4ème2)'!NX15:OA15,"C"))*2)+((COUNTIF('Elève (4ème2)'!NX15:OA15,"D"))*1))/(COUNTA(NX15:OA15)),"")</f>
        <v>4</v>
      </c>
      <c r="OC15" s="194" t="str">
        <f t="shared" si="81"/>
        <v>A</v>
      </c>
      <c r="OD15" s="137"/>
      <c r="OE15" s="138"/>
      <c r="OF15" s="139"/>
      <c r="OG15" s="143"/>
      <c r="OH15" s="193" t="str">
        <f>IFERROR((((COUNTIF('Elève (4ème2)'!OD15:OG15,"A"))*4)+((COUNTIF('Elève (4ème2)'!OD15:OG15,"B"))*3)+((COUNTIF('Elève (4ème2)'!OD15:OG15,"C"))*2)+((COUNTIF('Elève (4ème2)'!OD15:OG15,"D"))*1))/(COUNTA(OD15:OG15)),"")</f>
        <v/>
      </c>
      <c r="OI15" s="194" t="str">
        <f t="shared" si="82"/>
        <v/>
      </c>
      <c r="OJ15" s="218">
        <f>IF(COUNT(NV15,OB15,OH15)=0,"",SUM(NV15,OB15,OH15)/COUNT(NV15,OB15,OH15))</f>
        <v>2.5</v>
      </c>
      <c r="OK15" s="216" t="str">
        <f t="shared" si="83"/>
        <v>C</v>
      </c>
      <c r="OL15" s="149" t="s">
        <v>29</v>
      </c>
      <c r="OM15" s="138"/>
      <c r="ON15" s="139"/>
      <c r="OO15" s="193">
        <f>IFERROR((((COUNTIF('Elève (4ème2)'!OL15:ON15,"A"))*4)+((COUNTIF('Elève (4ème2)'!OL15:ON15,"B"))*3)+((COUNTIF('Elève (4ème2)'!OL15:ON15,"C"))*2)+((COUNTIF('Elève (4ème2)'!OL15:ON15,"D"))*1))/(COUNTA(OL15:ON15)),"")</f>
        <v>4</v>
      </c>
      <c r="OP15" s="194" t="str">
        <f t="shared" si="84"/>
        <v>A</v>
      </c>
      <c r="OQ15" s="137"/>
      <c r="OR15" s="138"/>
      <c r="OS15" s="229" t="s">
        <v>29</v>
      </c>
      <c r="OT15" s="139"/>
      <c r="OU15" s="193">
        <f>IFERROR((((COUNTIF('Elève (4ème2)'!OQ15:OT15,"A"))*4)+((COUNTIF('Elève (4ème2)'!OQ15:OT15,"B"))*3)+((COUNTIF('Elève (4ème2)'!OQ15:OT15,"C"))*2)+((COUNTIF('Elève (4ème2)'!OQ15:OT15,"D"))*1))/(COUNTA(OQ15:OT15)),"")</f>
        <v>4</v>
      </c>
      <c r="OV15" s="194" t="str">
        <f t="shared" si="85"/>
        <v>A</v>
      </c>
      <c r="OW15" s="137"/>
      <c r="OX15" s="138"/>
      <c r="OY15" s="139"/>
      <c r="OZ15" s="143"/>
      <c r="PA15" s="193" t="str">
        <f>IFERROR((((COUNTIF('Elève (4ème2)'!OW15:OZ15,"A"))*4)+((COUNTIF('Elève (4ème2)'!OW15:OZ15,"B"))*3)+((COUNTIF('Elève (4ème2)'!OW15:OZ15,"C"))*2)+((COUNTIF('Elève (4ème2)'!OW15:OZ15,"D"))*1))/(COUNTA(OW15:OZ15)),"")</f>
        <v/>
      </c>
      <c r="PB15" s="194" t="str">
        <f t="shared" si="86"/>
        <v/>
      </c>
      <c r="PC15" s="218">
        <f>IF(COUNT(OO15,OU15,PA15)=0,"",SUM(OO15,OU15,PA15)/COUNT(OO15,OU15,PA15))</f>
        <v>4</v>
      </c>
      <c r="PD15" s="216" t="str">
        <f t="shared" si="87"/>
        <v>A</v>
      </c>
      <c r="PE15" s="149" t="s">
        <v>29</v>
      </c>
      <c r="PF15" s="138"/>
      <c r="PG15" s="139"/>
      <c r="PH15" s="193">
        <f>IFERROR((((COUNTIF('Elève (4ème2)'!PE15:PG15,"A"))*4)+((COUNTIF('Elève (4ème2)'!PE15:PG15,"B"))*3)+((COUNTIF('Elève (4ème2)'!PE15:PG15,"C"))*2)+((COUNTIF('Elève (4ème2)'!PE15:PG15,"D"))*1))/(COUNTA(PE15:PG15)),"")</f>
        <v>4</v>
      </c>
      <c r="PI15" s="194" t="str">
        <f t="shared" si="88"/>
        <v>A</v>
      </c>
      <c r="PJ15" s="137"/>
      <c r="PK15" s="138"/>
      <c r="PL15" s="229" t="s">
        <v>29</v>
      </c>
      <c r="PM15" s="139"/>
      <c r="PN15" s="193">
        <f>IFERROR((((COUNTIF('Elève (4ème2)'!PJ15:PM15,"A"))*4)+((COUNTIF('Elève (4ème2)'!PJ15:PM15,"B"))*3)+((COUNTIF('Elève (4ème2)'!PJ15:PM15,"C"))*2)+((COUNTIF('Elève (4ème2)'!PJ15:PM15,"D"))*1))/(COUNTA(PJ15:PM15)),"")</f>
        <v>4</v>
      </c>
      <c r="PO15" s="194" t="str">
        <f t="shared" si="89"/>
        <v>A</v>
      </c>
      <c r="PP15" s="137"/>
      <c r="PQ15" s="138"/>
      <c r="PR15" s="139"/>
      <c r="PS15" s="143"/>
      <c r="PT15" s="193" t="str">
        <f>IFERROR((((COUNTIF('Elève (4ème2)'!PP15:PS15,"A"))*4)+((COUNTIF('Elève (4ème2)'!PP15:PS15,"B"))*3)+((COUNTIF('Elève (4ème2)'!PP15:PS15,"C"))*2)+((COUNTIF('Elève (4ème2)'!PP15:PS15,"D"))*1))/(COUNTA(PP15:PS15)),"")</f>
        <v/>
      </c>
      <c r="PU15" s="194" t="str">
        <f t="shared" si="90"/>
        <v/>
      </c>
      <c r="PV15" s="218">
        <f>IF(COUNT(PH15,PN15,PT15)=0,"",SUM(PH15,PN15,PT15)/COUNT(PH15,PN15,PT15))</f>
        <v>4</v>
      </c>
      <c r="PW15" s="216" t="str">
        <f t="shared" si="91"/>
        <v>A</v>
      </c>
      <c r="PX15" s="149" t="s">
        <v>29</v>
      </c>
      <c r="PY15" s="138"/>
      <c r="PZ15" s="139"/>
      <c r="QA15" s="193">
        <f>IFERROR((((COUNTIF('Elève (4ème2)'!PX15:PZ15,"A"))*4)+((COUNTIF('Elève (4ème2)'!PX15:PZ15,"B"))*3)+((COUNTIF('Elève (4ème2)'!PX15:PZ15,"C"))*2)+((COUNTIF('Elève (4ème2)'!PX15:PZ15,"D"))*1))/(COUNTA(PX15:PZ15)),"")</f>
        <v>4</v>
      </c>
      <c r="QB15" s="194" t="str">
        <f t="shared" si="92"/>
        <v>A</v>
      </c>
      <c r="QC15" s="137"/>
      <c r="QD15" s="138"/>
      <c r="QE15" s="229" t="s">
        <v>29</v>
      </c>
      <c r="QF15" s="139"/>
      <c r="QG15" s="193">
        <f>IFERROR((((COUNTIF('Elève (4ème2)'!QC15:QF15,"A"))*4)+((COUNTIF('Elève (4ème2)'!QC15:QF15,"B"))*3)+((COUNTIF('Elève (4ème2)'!QC15:QF15,"C"))*2)+((COUNTIF('Elève (4ème2)'!QC15:QF15,"D"))*1))/(COUNTA(QC15:QF15)),"")</f>
        <v>4</v>
      </c>
      <c r="QH15" s="194" t="str">
        <f t="shared" si="93"/>
        <v>A</v>
      </c>
      <c r="QI15" s="137"/>
      <c r="QJ15" s="138"/>
      <c r="QK15" s="139"/>
      <c r="QL15" s="143"/>
      <c r="QM15" s="193" t="str">
        <f>IFERROR((((COUNTIF('Elève (4ème2)'!QI15:QL15,"A"))*4)+((COUNTIF('Elève (4ème2)'!QI15:QL15,"B"))*3)+((COUNTIF('Elève (4ème2)'!QI15:QL15,"C"))*2)+((COUNTIF('Elève (4ème2)'!QI15:QL15,"D"))*1))/(COUNTA(QI15:QL15)),"")</f>
        <v/>
      </c>
      <c r="QN15" s="194" t="str">
        <f t="shared" si="94"/>
        <v/>
      </c>
      <c r="QO15" s="218">
        <f>IF(COUNT(QA15,QG15,QM15)=0,"",SUM(QA15,QG15,QM15)/COUNT(QA15,QG15,QM15))</f>
        <v>4</v>
      </c>
      <c r="QP15" s="216" t="str">
        <f t="shared" si="95"/>
        <v>A</v>
      </c>
      <c r="QQ15" s="149" t="s">
        <v>29</v>
      </c>
      <c r="QR15" s="138"/>
      <c r="QS15" s="139"/>
      <c r="QT15" s="193">
        <f>IFERROR((((COUNTIF('Elève (4ème2)'!QQ15:QS15,"A"))*4)+((COUNTIF('Elève (4ème2)'!QQ15:QS15,"B"))*3)+((COUNTIF('Elève (4ème2)'!QQ15:QS15,"C"))*2)+((COUNTIF('Elève (4ème2)'!QQ15:QS15,"D"))*1))/(COUNTA(QQ15:QS15)),"")</f>
        <v>4</v>
      </c>
      <c r="QU15" s="194" t="str">
        <f t="shared" si="96"/>
        <v>A</v>
      </c>
      <c r="QV15" s="137"/>
      <c r="QW15" s="138"/>
      <c r="QX15" s="229" t="s">
        <v>29</v>
      </c>
      <c r="QY15" s="139"/>
      <c r="QZ15" s="193">
        <f>IFERROR((((COUNTIF('Elève (4ème2)'!QV15:QY15,"A"))*4)+((COUNTIF('Elève (4ème2)'!QV15:QY15,"B"))*3)+((COUNTIF('Elève (4ème2)'!QV15:QY15,"C"))*2)+((COUNTIF('Elève (4ème2)'!QV15:QY15,"D"))*1))/(COUNTA(QV15:QY15)),"")</f>
        <v>4</v>
      </c>
      <c r="RA15" s="194" t="str">
        <f t="shared" si="97"/>
        <v>A</v>
      </c>
      <c r="RB15" s="137"/>
      <c r="RC15" s="138"/>
      <c r="RD15" s="139"/>
      <c r="RE15" s="143"/>
      <c r="RF15" s="193" t="str">
        <f>IFERROR((((COUNTIF('Elève (4ème2)'!RB15:RE15,"A"))*4)+((COUNTIF('Elève (4ème2)'!RB15:RE15,"B"))*3)+((COUNTIF('Elève (4ème2)'!RB15:RE15,"C"))*2)+((COUNTIF('Elève (4ème2)'!RB15:RE15,"D"))*1))/(COUNTA(RB15:RE15)),"")</f>
        <v/>
      </c>
      <c r="RG15" s="194" t="str">
        <f t="shared" si="98"/>
        <v/>
      </c>
      <c r="RH15" s="218">
        <f>IF(COUNT(QT15,QZ15,RF15)=0,"",SUM(QT15,QZ15,RF15)/COUNT(QT15,QZ15,RF15))</f>
        <v>4</v>
      </c>
      <c r="RI15" s="216" t="str">
        <f t="shared" si="99"/>
        <v>A</v>
      </c>
      <c r="RJ15" s="149" t="s">
        <v>29</v>
      </c>
      <c r="RK15" s="138"/>
      <c r="RL15" s="139"/>
      <c r="RM15" s="193">
        <f>IFERROR((((COUNTIF('Elève (4ème2)'!RJ15:RL15,"A"))*4)+((COUNTIF('Elève (4ème2)'!RJ15:RL15,"B"))*3)+((COUNTIF('Elève (4ème2)'!RJ15:RL15,"C"))*2)+((COUNTIF('Elève (4ème2)'!RJ15:RL15,"D"))*1))/(COUNTA(RJ15:RL15)),"")</f>
        <v>4</v>
      </c>
      <c r="RN15" s="194" t="str">
        <f t="shared" si="100"/>
        <v>A</v>
      </c>
      <c r="RO15" s="137"/>
      <c r="RP15" s="138"/>
      <c r="RQ15" s="229" t="s">
        <v>29</v>
      </c>
      <c r="RR15" s="139"/>
      <c r="RS15" s="193">
        <f>IFERROR((((COUNTIF('Elève (4ème2)'!RO15:RR15,"A"))*4)+((COUNTIF('Elève (4ème2)'!RO15:RR15,"B"))*3)+((COUNTIF('Elève (4ème2)'!RO15:RR15,"C"))*2)+((COUNTIF('Elève (4ème2)'!RO15:RR15,"D"))*1))/(COUNTA(RO15:RR15)),"")</f>
        <v>4</v>
      </c>
      <c r="RT15" s="194" t="str">
        <f t="shared" si="101"/>
        <v>A</v>
      </c>
      <c r="RU15" s="137"/>
      <c r="RV15" s="138"/>
      <c r="RW15" s="139"/>
      <c r="RX15" s="143"/>
      <c r="RY15" s="193" t="str">
        <f>IFERROR((((COUNTIF('Elève (4ème2)'!RU15:RX15,"A"))*4)+((COUNTIF('Elève (4ème2)'!RU15:RX15,"B"))*3)+((COUNTIF('Elève (4ème2)'!RU15:RX15,"C"))*2)+((COUNTIF('Elève (4ème2)'!RU15:RX15,"D"))*1))/(COUNTA(RU15:RX15)),"")</f>
        <v/>
      </c>
      <c r="RZ15" s="194" t="str">
        <f t="shared" si="102"/>
        <v/>
      </c>
      <c r="SA15" s="218">
        <f>IF(COUNT(RM15,RS15,RY15)=0,"",SUM(RM15,RS15,RY15)/COUNT(RM15,RS15,RY15))</f>
        <v>4</v>
      </c>
      <c r="SB15" s="216" t="str">
        <f t="shared" si="103"/>
        <v>A</v>
      </c>
      <c r="SC15" s="149" t="s">
        <v>29</v>
      </c>
      <c r="SD15" s="138"/>
      <c r="SE15" s="139"/>
      <c r="SF15" s="193">
        <f>IFERROR((((COUNTIF('Elève (4ème2)'!SC15:SE15,"A"))*4)+((COUNTIF('Elève (4ème2)'!SC15:SE15,"B"))*3)+((COUNTIF('Elève (4ème2)'!SC15:SE15,"C"))*2)+((COUNTIF('Elève (4ème2)'!SC15:SE15,"D"))*1))/(COUNTA(SC15:SE15)),"")</f>
        <v>4</v>
      </c>
      <c r="SG15" s="194" t="str">
        <f t="shared" si="104"/>
        <v>A</v>
      </c>
      <c r="SH15" s="137"/>
      <c r="SI15" s="138"/>
      <c r="SJ15" s="229" t="s">
        <v>29</v>
      </c>
      <c r="SK15" s="139"/>
      <c r="SL15" s="193">
        <f>IFERROR((((COUNTIF('Elève (4ème2)'!SH15:SK15,"A"))*4)+((COUNTIF('Elève (4ème2)'!SH15:SK15,"B"))*3)+((COUNTIF('Elève (4ème2)'!SH15:SK15,"C"))*2)+((COUNTIF('Elève (4ème2)'!SH15:SK15,"D"))*1))/(COUNTA(SH15:SK15)),"")</f>
        <v>4</v>
      </c>
      <c r="SM15" s="194" t="str">
        <f t="shared" si="105"/>
        <v>A</v>
      </c>
      <c r="SN15" s="137"/>
      <c r="SO15" s="138"/>
      <c r="SP15" s="139"/>
      <c r="SQ15" s="143"/>
      <c r="SR15" s="193" t="str">
        <f>IFERROR((((COUNTIF('Elève (4ème2)'!SN15:SQ15,"A"))*4)+((COUNTIF('Elève (4ème2)'!SN15:SQ15,"B"))*3)+((COUNTIF('Elève (4ème2)'!SN15:SQ15,"C"))*2)+((COUNTIF('Elève (4ème2)'!SN15:SQ15,"D"))*1))/(COUNTA(SN15:SQ15)),"")</f>
        <v/>
      </c>
      <c r="SS15" s="194" t="str">
        <f t="shared" si="106"/>
        <v/>
      </c>
      <c r="ST15" s="218">
        <f>IF(COUNT(SF15,SL15,SR15)=0,"",SUM(SF15,SL15,SR15)/COUNT(SF15,SL15,SR15))</f>
        <v>4</v>
      </c>
      <c r="SU15" s="216" t="str">
        <f t="shared" si="107"/>
        <v>A</v>
      </c>
      <c r="SV15" s="137"/>
      <c r="SW15" s="138"/>
      <c r="SX15" s="139"/>
      <c r="SY15" s="140" t="str">
        <f>IFERROR((((COUNTIF('Elève (4ème2)'!SV15:SX15,"A"))*4)+((COUNTIF('Elève (4ème2)'!SV15:SX15,"B"))*3)+((COUNTIF('Elève (4ème2)'!SV15:SX15,"C"))*2)+((COUNTIF('Elève (4ème2)'!SV15:SX15,"D"))*1))/(COUNTA(SV15:SX15)),"")</f>
        <v/>
      </c>
      <c r="SZ15" s="141" t="str">
        <f t="shared" si="108"/>
        <v/>
      </c>
      <c r="TA15" s="137"/>
      <c r="TB15" s="138"/>
      <c r="TC15" s="139"/>
      <c r="TD15" s="140" t="str">
        <f>IFERROR((((COUNTIF('Elève (4ème2)'!TA15:TC15,"A"))*4)+((COUNTIF('Elève (4ème2)'!TA15:TC15,"B"))*3)+((COUNTIF('Elève (4ème2)'!TA15:TC15,"C"))*2)+((COUNTIF('Elève (4ème2)'!TA15:TC15,"D"))*1))/(COUNTA(TA15:TC15)),"")</f>
        <v/>
      </c>
      <c r="TE15" s="141" t="str">
        <f t="shared" si="109"/>
        <v/>
      </c>
      <c r="TF15" s="137"/>
      <c r="TG15" s="138"/>
      <c r="TH15" s="143"/>
      <c r="TI15" s="140" t="str">
        <f>IFERROR((((COUNTIF('Elève (4ème2)'!TF15:TH15,"A"))*4)+((COUNTIF('Elève (4ème2)'!TF15:TH15,"B"))*3)+((COUNTIF('Elève (4ème2)'!TF15:TH15,"C"))*2)+((COUNTIF('Elève (4ème2)'!TF15:TH15,"D"))*1))/(COUNTA(TF15:TH15)),"")</f>
        <v/>
      </c>
      <c r="TJ15" s="141" t="str">
        <f t="shared" si="110"/>
        <v/>
      </c>
      <c r="TK15" s="150" t="str">
        <f>IF(COUNT(SY15,TD15,TI15)=0,"",SUM(SY15,TD15,TI15)/COUNT(SY15,TD15,TI15))</f>
        <v/>
      </c>
      <c r="TL15" s="142" t="str">
        <f t="shared" si="111"/>
        <v/>
      </c>
      <c r="TM15" s="137"/>
      <c r="TN15" s="138"/>
      <c r="TO15" s="139"/>
      <c r="TP15" s="140" t="str">
        <f>IFERROR((((COUNTIF('Elève (4ème2)'!TM15:TO15,"A"))*4)+((COUNTIF('Elève (4ème2)'!TM15:TO15,"B"))*3)+((COUNTIF('Elève (4ème2)'!TM15:TO15,"C"))*2)+((COUNTIF('Elève (4ème2)'!TM15:TO15,"D"))*1))/(COUNTA(TM15:TO15)),"")</f>
        <v/>
      </c>
      <c r="TQ15" s="141" t="str">
        <f t="shared" si="112"/>
        <v/>
      </c>
      <c r="TR15" s="137"/>
      <c r="TS15" s="138"/>
      <c r="TT15" s="139"/>
      <c r="TU15" s="140" t="str">
        <f>IFERROR((((COUNTIF('Elève (4ème2)'!TR15:TT15,"A"))*4)+((COUNTIF('Elève (4ème2)'!TR15:TT15,"B"))*3)+((COUNTIF('Elève (4ème2)'!TR15:TT15,"C"))*2)+((COUNTIF('Elève (4ème2)'!TR15:TT15,"D"))*1))/(COUNTA(TR15:TT15)),"")</f>
        <v/>
      </c>
      <c r="TV15" s="141" t="str">
        <f t="shared" si="113"/>
        <v/>
      </c>
      <c r="TW15" s="137"/>
      <c r="TX15" s="138"/>
      <c r="TY15" s="143"/>
      <c r="TZ15" s="140" t="str">
        <f>IFERROR((((COUNTIF('Elève (4ème2)'!TW15:TY15,"A"))*4)+((COUNTIF('Elève (4ème2)'!TW15:TY15,"B"))*3)+((COUNTIF('Elève (4ème2)'!TW15:TY15,"C"))*2)+((COUNTIF('Elève (4ème2)'!TW15:TY15,"D"))*1))/(COUNTA(TW15:TY15)),"")</f>
        <v/>
      </c>
      <c r="UA15" s="141" t="str">
        <f t="shared" si="114"/>
        <v/>
      </c>
      <c r="UB15" s="150" t="str">
        <f>IF(COUNT(TP15,TU15,TZ15)=0,"",SUM(TP15,TU15,TZ15)/COUNT(TP15,TU15,TZ15))</f>
        <v/>
      </c>
      <c r="UC15" s="142" t="str">
        <f t="shared" si="115"/>
        <v/>
      </c>
      <c r="UD15" s="137"/>
      <c r="UE15" s="138"/>
      <c r="UF15" s="139"/>
      <c r="UG15" s="140" t="str">
        <f>IFERROR((((COUNTIF('Elève (4ème2)'!UD15:UF15,"A"))*4)+((COUNTIF('Elève (4ème2)'!UD15:UF15,"B"))*3)+((COUNTIF('Elève (4ème2)'!UD15:UF15,"C"))*2)+((COUNTIF('Elève (4ème2)'!UD15:UF15,"D"))*1))/(COUNTA(UD15:UF15)),"")</f>
        <v/>
      </c>
      <c r="UH15" s="141" t="str">
        <f t="shared" si="116"/>
        <v/>
      </c>
      <c r="UI15" s="137"/>
      <c r="UJ15" s="138"/>
      <c r="UK15" s="139"/>
      <c r="UL15" s="140" t="str">
        <f>IFERROR((((COUNTIF('Elève (4ème2)'!UI15:UK15,"A"))*4)+((COUNTIF('Elève (4ème2)'!UI15:UK15,"B"))*3)+((COUNTIF('Elève (4ème2)'!UI15:UK15,"C"))*2)+((COUNTIF('Elève (4ème2)'!UI15:UK15,"D"))*1))/(COUNTA(UI15:UK15)),"")</f>
        <v/>
      </c>
      <c r="UM15" s="141" t="str">
        <f t="shared" si="117"/>
        <v/>
      </c>
      <c r="UN15" s="137"/>
      <c r="UO15" s="138"/>
      <c r="UP15" s="143"/>
      <c r="UQ15" s="140" t="str">
        <f>IFERROR((((COUNTIF('Elève (4ème2)'!UN15:UP15,"A"))*4)+((COUNTIF('Elève (4ème2)'!UN15:UP15,"B"))*3)+((COUNTIF('Elève (4ème2)'!UN15:UP15,"C"))*2)+((COUNTIF('Elève (4ème2)'!UN15:UP15,"D"))*1))/(COUNTA(UN15:UP15)),"")</f>
        <v/>
      </c>
      <c r="UR15" s="141" t="str">
        <f t="shared" si="118"/>
        <v/>
      </c>
      <c r="US15" s="150" t="str">
        <f>IF(COUNT(UG15,UL15,UQ15)=0,"",SUM(UG15,UL15,UQ15)/COUNT(UG15,UL15,UQ15))</f>
        <v/>
      </c>
      <c r="UT15" s="142" t="str">
        <f t="shared" si="119"/>
        <v/>
      </c>
    </row>
    <row r="16" spans="1:566" s="117" customFormat="1" ht="16.5" customHeight="1" thickBot="1" x14ac:dyDescent="0.3">
      <c r="A16" s="174" t="s">
        <v>22</v>
      </c>
      <c r="B16" s="147">
        <v>2</v>
      </c>
      <c r="C16" s="230"/>
      <c r="D16" s="85"/>
      <c r="E16" s="107"/>
      <c r="F16" s="187">
        <f>IF(COUNT(F17:F19)=0,"",SUM(F17:F19)/COUNT(F17:F19))</f>
        <v>1.5</v>
      </c>
      <c r="G16" s="188" t="str">
        <f t="shared" si="0"/>
        <v>D</v>
      </c>
      <c r="H16" s="230"/>
      <c r="I16" s="85"/>
      <c r="J16" s="85"/>
      <c r="K16" s="107"/>
      <c r="L16" s="187">
        <f>IF(COUNT(L17:L19)=0,"",SUM(L17:L19)/COUNT(L17:L19))</f>
        <v>1.4444444444444444</v>
      </c>
      <c r="M16" s="203" t="str">
        <f t="shared" si="1"/>
        <v>D</v>
      </c>
      <c r="N16" s="181"/>
      <c r="O16" s="112"/>
      <c r="P16" s="112"/>
      <c r="Q16" s="113"/>
      <c r="R16" s="187" t="str">
        <f>IF(COUNT(R17:R19)=0,"",SUM(R17:R19)/COUNT(R17:R19))</f>
        <v/>
      </c>
      <c r="S16" s="211" t="str">
        <f t="shared" si="2"/>
        <v/>
      </c>
      <c r="T16" s="212">
        <f>IF(COUNT(T17:T19)=0,"",SUM(T17:T19)/COUNT(T17:T19))</f>
        <v>1.3888888888888886</v>
      </c>
      <c r="U16" s="213" t="str">
        <f t="shared" si="3"/>
        <v>D</v>
      </c>
      <c r="V16" s="224"/>
      <c r="W16" s="85"/>
      <c r="X16" s="107"/>
      <c r="Y16" s="187">
        <f>IF(COUNT(Y17:Y19)=0,"",SUM(Y17:Y19)/COUNT(Y17:Y19))</f>
        <v>1.6666666666666667</v>
      </c>
      <c r="Z16" s="188" t="str">
        <f t="shared" si="4"/>
        <v>C</v>
      </c>
      <c r="AA16" s="230"/>
      <c r="AB16" s="85"/>
      <c r="AC16" s="85"/>
      <c r="AD16" s="107"/>
      <c r="AE16" s="187">
        <f>IF(COUNT(AE17:AE19)=0,"",SUM(AE17:AE19)/COUNT(AE17:AE19))</f>
        <v>2.2222222222222223</v>
      </c>
      <c r="AF16" s="203" t="str">
        <f t="shared" si="5"/>
        <v>C</v>
      </c>
      <c r="AG16" s="181"/>
      <c r="AH16" s="112"/>
      <c r="AI16" s="112"/>
      <c r="AJ16" s="113"/>
      <c r="AK16" s="187" t="str">
        <f>IF(COUNT(AK17:AK19)=0,"",SUM(AK17:AK19)/COUNT(AK17:AK19))</f>
        <v/>
      </c>
      <c r="AL16" s="211" t="str">
        <f t="shared" si="6"/>
        <v/>
      </c>
      <c r="AM16" s="212">
        <f>IF(COUNT(AM17:AM19)=0,"",SUM(AM17:AM19)/COUNT(AM17:AM19))</f>
        <v>1.9444444444444446</v>
      </c>
      <c r="AN16" s="213" t="str">
        <f t="shared" si="7"/>
        <v>C</v>
      </c>
      <c r="AO16" s="224"/>
      <c r="AP16" s="85"/>
      <c r="AQ16" s="107"/>
      <c r="AR16" s="187">
        <f>IF(COUNT(AR17:AR19)=0,"",SUM(AR17:AR19)/COUNT(AR17:AR19))</f>
        <v>1.3333333333333333</v>
      </c>
      <c r="AS16" s="188" t="str">
        <f t="shared" si="8"/>
        <v>D</v>
      </c>
      <c r="AT16" s="230"/>
      <c r="AU16" s="85"/>
      <c r="AV16" s="85"/>
      <c r="AW16" s="107"/>
      <c r="AX16" s="187">
        <f>IF(COUNT(AX17:AX19)=0,"",SUM(AX17:AX19)/COUNT(AX17:AX19))</f>
        <v>1.7777777777777779</v>
      </c>
      <c r="AY16" s="203" t="str">
        <f t="shared" si="9"/>
        <v>C</v>
      </c>
      <c r="AZ16" s="181"/>
      <c r="BA16" s="112"/>
      <c r="BB16" s="112"/>
      <c r="BC16" s="113"/>
      <c r="BD16" s="187" t="str">
        <f>IF(COUNT(BD17:BD19)=0,"",SUM(BD17:BD19)/COUNT(BD17:BD19))</f>
        <v/>
      </c>
      <c r="BE16" s="211" t="str">
        <f t="shared" si="10"/>
        <v/>
      </c>
      <c r="BF16" s="212">
        <f>IF(COUNT(BF17:BF19)=0,"",SUM(BF17:BF19)/COUNT(BF17:BF19))</f>
        <v>1.5555555555555556</v>
      </c>
      <c r="BG16" s="213" t="str">
        <f t="shared" si="11"/>
        <v>C</v>
      </c>
      <c r="BH16" s="224"/>
      <c r="BI16" s="85"/>
      <c r="BJ16" s="107"/>
      <c r="BK16" s="187">
        <f>IF(COUNT(BK17:BK19)=0,"",SUM(BK17:BK19)/COUNT(BK17:BK19))</f>
        <v>2</v>
      </c>
      <c r="BL16" s="188" t="str">
        <f t="shared" si="12"/>
        <v>C</v>
      </c>
      <c r="BM16" s="230"/>
      <c r="BN16" s="85"/>
      <c r="BO16" s="85"/>
      <c r="BP16" s="107"/>
      <c r="BQ16" s="187">
        <f>IF(COUNT(BQ17:BQ19)=0,"",SUM(BQ17:BQ19)/COUNT(BQ17:BQ19))</f>
        <v>1.5555555555555556</v>
      </c>
      <c r="BR16" s="203" t="str">
        <f t="shared" si="13"/>
        <v>C</v>
      </c>
      <c r="BS16" s="181"/>
      <c r="BT16" s="112"/>
      <c r="BU16" s="112"/>
      <c r="BV16" s="113"/>
      <c r="BW16" s="187" t="str">
        <f>IF(COUNT(BW17:BW19)=0,"",SUM(BW17:BW19)/COUNT(BW17:BW19))</f>
        <v/>
      </c>
      <c r="BX16" s="211" t="str">
        <f t="shared" si="14"/>
        <v/>
      </c>
      <c r="BY16" s="212">
        <f>IF(COUNT(BY17:BY19)=0,"",SUM(BY17:BY19)/COUNT(BY17:BY19))</f>
        <v>1.6111111111111114</v>
      </c>
      <c r="BZ16" s="213" t="str">
        <f t="shared" si="15"/>
        <v>C</v>
      </c>
      <c r="CA16" s="224"/>
      <c r="CB16" s="85"/>
      <c r="CC16" s="107"/>
      <c r="CD16" s="187">
        <f>IF(COUNT(CD17:CD19)=0,"",SUM(CD17:CD19)/COUNT(CD17:CD19))</f>
        <v>2.3333333333333335</v>
      </c>
      <c r="CE16" s="188" t="str">
        <f t="shared" si="16"/>
        <v>C</v>
      </c>
      <c r="CF16" s="230"/>
      <c r="CG16" s="85"/>
      <c r="CH16" s="85"/>
      <c r="CI16" s="107"/>
      <c r="CJ16" s="187">
        <f>IF(COUNT(CJ17:CJ19)=0,"",SUM(CJ17:CJ19)/COUNT(CJ17:CJ19))</f>
        <v>2.5</v>
      </c>
      <c r="CK16" s="203" t="str">
        <f t="shared" si="17"/>
        <v>C</v>
      </c>
      <c r="CL16" s="181"/>
      <c r="CM16" s="112"/>
      <c r="CN16" s="112"/>
      <c r="CO16" s="113"/>
      <c r="CP16" s="187" t="str">
        <f>IF(COUNT(CP17:CP19)=0,"",SUM(CP17:CP19)/COUNT(CP17:CP19))</f>
        <v/>
      </c>
      <c r="CQ16" s="211" t="str">
        <f t="shared" si="18"/>
        <v/>
      </c>
      <c r="CR16" s="212">
        <f>IF(COUNT(CR17:CR19)=0,"",SUM(CR17:CR19)/COUNT(CR17:CR19))</f>
        <v>2.4166666666666665</v>
      </c>
      <c r="CS16" s="213" t="str">
        <f t="shared" si="19"/>
        <v>C</v>
      </c>
      <c r="CT16" s="224"/>
      <c r="CU16" s="85"/>
      <c r="CV16" s="107"/>
      <c r="CW16" s="187">
        <f>IF(COUNT(CW17:CW19)=0,"",SUM(CW17:CW19)/COUNT(CW17:CW19))</f>
        <v>1.6666666666666667</v>
      </c>
      <c r="CX16" s="188" t="str">
        <f t="shared" si="20"/>
        <v>C</v>
      </c>
      <c r="CY16" s="230"/>
      <c r="CZ16" s="85"/>
      <c r="DA16" s="85"/>
      <c r="DB16" s="107"/>
      <c r="DC16" s="187">
        <f>IF(COUNT(DC17:DC19)=0,"",SUM(DC17:DC19)/COUNT(DC17:DC19))</f>
        <v>1.7777777777777779</v>
      </c>
      <c r="DD16" s="203" t="str">
        <f t="shared" si="21"/>
        <v>C</v>
      </c>
      <c r="DE16" s="181"/>
      <c r="DF16" s="112"/>
      <c r="DG16" s="112"/>
      <c r="DH16" s="113"/>
      <c r="DI16" s="187" t="str">
        <f>IF(COUNT(DI17:DI19)=0,"",SUM(DI17:DI19)/COUNT(DI17:DI19))</f>
        <v/>
      </c>
      <c r="DJ16" s="211" t="str">
        <f t="shared" si="22"/>
        <v/>
      </c>
      <c r="DK16" s="212">
        <f>IF(COUNT(DK17:DK19)=0,"",SUM(DK17:DK19)/COUNT(DK17:DK19))</f>
        <v>1.7222222222222223</v>
      </c>
      <c r="DL16" s="213" t="str">
        <f t="shared" si="23"/>
        <v>C</v>
      </c>
      <c r="DM16" s="224"/>
      <c r="DN16" s="85"/>
      <c r="DO16" s="107"/>
      <c r="DP16" s="187">
        <f>IF(COUNT(DP17:DP19)=0,"",SUM(DP17:DP19)/COUNT(DP17:DP19))</f>
        <v>2</v>
      </c>
      <c r="DQ16" s="188" t="str">
        <f t="shared" si="24"/>
        <v>C</v>
      </c>
      <c r="DR16" s="230"/>
      <c r="DS16" s="85"/>
      <c r="DT16" s="85"/>
      <c r="DU16" s="107"/>
      <c r="DV16" s="187">
        <f>IF(COUNT(DV17:DV19)=0,"",SUM(DV17:DV19)/COUNT(DV17:DV19))</f>
        <v>1.6666666666666667</v>
      </c>
      <c r="DW16" s="203" t="str">
        <f t="shared" si="25"/>
        <v>C</v>
      </c>
      <c r="DX16" s="181"/>
      <c r="DY16" s="112"/>
      <c r="DZ16" s="112"/>
      <c r="EA16" s="113"/>
      <c r="EB16" s="187" t="str">
        <f>IF(COUNT(EB17:EB19)=0,"",SUM(EB17:EB19)/COUNT(EB17:EB19))</f>
        <v/>
      </c>
      <c r="EC16" s="211" t="str">
        <f t="shared" si="26"/>
        <v/>
      </c>
      <c r="ED16" s="212">
        <f>IF(COUNT(ED17:ED19)=0,"",SUM(ED17:ED19)/COUNT(ED17:ED19))</f>
        <v>1.8333333333333333</v>
      </c>
      <c r="EE16" s="213" t="str">
        <f t="shared" si="27"/>
        <v>C</v>
      </c>
      <c r="EF16" s="224"/>
      <c r="EG16" s="85"/>
      <c r="EH16" s="107"/>
      <c r="EI16" s="187">
        <f>IF(COUNT(EI17:EI19)=0,"",SUM(EI17:EI19)/COUNT(EI17:EI19))</f>
        <v>2.5</v>
      </c>
      <c r="EJ16" s="188" t="str">
        <f t="shared" si="28"/>
        <v>C</v>
      </c>
      <c r="EK16" s="230"/>
      <c r="EL16" s="85"/>
      <c r="EM16" s="85"/>
      <c r="EN16" s="107"/>
      <c r="EO16" s="187">
        <f>IF(COUNT(EO17:EO19)=0,"",SUM(EO17:EO19)/COUNT(EO17:EO19))</f>
        <v>2.5555555555555554</v>
      </c>
      <c r="EP16" s="203" t="str">
        <f t="shared" si="29"/>
        <v>C</v>
      </c>
      <c r="EQ16" s="181"/>
      <c r="ER16" s="112"/>
      <c r="ES16" s="112"/>
      <c r="ET16" s="113"/>
      <c r="EU16" s="187" t="str">
        <f>IF(COUNT(EU17:EU19)=0,"",SUM(EU17:EU19)/COUNT(EU17:EU19))</f>
        <v/>
      </c>
      <c r="EV16" s="211" t="str">
        <f t="shared" si="30"/>
        <v/>
      </c>
      <c r="EW16" s="212">
        <f>IF(COUNT(EW17:EW19)=0,"",SUM(EW17:EW19)/COUNT(EW17:EW19))</f>
        <v>2.4444444444444442</v>
      </c>
      <c r="EX16" s="213" t="str">
        <f t="shared" si="31"/>
        <v>C</v>
      </c>
      <c r="EY16" s="224"/>
      <c r="EZ16" s="85"/>
      <c r="FA16" s="107"/>
      <c r="FB16" s="187">
        <f>IF(COUNT(FB17:FB19)=0,"",SUM(FB17:FB19)/COUNT(FB17:FB19))</f>
        <v>2.3333333333333335</v>
      </c>
      <c r="FC16" s="188" t="str">
        <f t="shared" si="32"/>
        <v>C</v>
      </c>
      <c r="FD16" s="230"/>
      <c r="FE16" s="85"/>
      <c r="FF16" s="85"/>
      <c r="FG16" s="107"/>
      <c r="FH16" s="187">
        <f>IF(COUNT(FH17:FH19)=0,"",SUM(FH17:FH19)/COUNT(FH17:FH19))</f>
        <v>1.6666666666666667</v>
      </c>
      <c r="FI16" s="203" t="str">
        <f t="shared" si="33"/>
        <v>C</v>
      </c>
      <c r="FJ16" s="181"/>
      <c r="FK16" s="112"/>
      <c r="FL16" s="112"/>
      <c r="FM16" s="113"/>
      <c r="FN16" s="187" t="str">
        <f>IF(COUNT(FN17:FN19)=0,"",SUM(FN17:FN19)/COUNT(FN17:FN19))</f>
        <v/>
      </c>
      <c r="FO16" s="211" t="str">
        <f t="shared" si="34"/>
        <v/>
      </c>
      <c r="FP16" s="212">
        <f>IF(COUNT(FP17:FP19)=0,"",SUM(FP17:FP19)/COUNT(FP17:FP19))</f>
        <v>2</v>
      </c>
      <c r="FQ16" s="213" t="str">
        <f t="shared" si="35"/>
        <v>C</v>
      </c>
      <c r="FR16" s="224"/>
      <c r="FS16" s="85"/>
      <c r="FT16" s="107"/>
      <c r="FU16" s="187">
        <f>IF(COUNT(FU17:FU19)=0,"",SUM(FU17:FU19)/COUNT(FU17:FU19))</f>
        <v>2.3333333333333335</v>
      </c>
      <c r="FV16" s="188" t="str">
        <f t="shared" si="36"/>
        <v>C</v>
      </c>
      <c r="FW16" s="230"/>
      <c r="FX16" s="85"/>
      <c r="FY16" s="85"/>
      <c r="FZ16" s="107"/>
      <c r="GA16" s="187">
        <f>IF(COUNT(GA17:GA19)=0,"",SUM(GA17:GA19)/COUNT(GA17:GA19))</f>
        <v>2.1111111111111112</v>
      </c>
      <c r="GB16" s="203" t="str">
        <f t="shared" si="37"/>
        <v>C</v>
      </c>
      <c r="GC16" s="181"/>
      <c r="GD16" s="112"/>
      <c r="GE16" s="112"/>
      <c r="GF16" s="113"/>
      <c r="GG16" s="187" t="str">
        <f>IF(COUNT(GG17:GG19)=0,"",SUM(GG17:GG19)/COUNT(GG17:GG19))</f>
        <v/>
      </c>
      <c r="GH16" s="211" t="str">
        <f t="shared" si="38"/>
        <v/>
      </c>
      <c r="GI16" s="212">
        <f>IF(COUNT(GI17:GI19)=0,"",SUM(GI17:GI19)/COUNT(GI17:GI19))</f>
        <v>2.2222222222222223</v>
      </c>
      <c r="GJ16" s="213" t="str">
        <f t="shared" si="39"/>
        <v>C</v>
      </c>
      <c r="GK16" s="224"/>
      <c r="GL16" s="85"/>
      <c r="GM16" s="107"/>
      <c r="GN16" s="187">
        <f>IF(COUNT(GN17:GN19)=0,"",SUM(GN17:GN19)/COUNT(GN17:GN19))</f>
        <v>1.5</v>
      </c>
      <c r="GO16" s="188" t="str">
        <f t="shared" si="40"/>
        <v>D</v>
      </c>
      <c r="GP16" s="230"/>
      <c r="GQ16" s="85"/>
      <c r="GR16" s="85"/>
      <c r="GS16" s="107"/>
      <c r="GT16" s="187">
        <f>IF(COUNT(GT17:GT19)=0,"",SUM(GT17:GT19)/COUNT(GT17:GT19))</f>
        <v>2</v>
      </c>
      <c r="GU16" s="203" t="str">
        <f t="shared" si="41"/>
        <v>C</v>
      </c>
      <c r="GV16" s="181"/>
      <c r="GW16" s="112"/>
      <c r="GX16" s="112"/>
      <c r="GY16" s="113"/>
      <c r="GZ16" s="187" t="str">
        <f>IF(COUNT(GZ17:GZ19)=0,"",SUM(GZ17:GZ19)/COUNT(GZ17:GZ19))</f>
        <v/>
      </c>
      <c r="HA16" s="211" t="str">
        <f t="shared" si="42"/>
        <v/>
      </c>
      <c r="HB16" s="212">
        <f>IF(COUNT(HB17:HB19)=0,"",SUM(HB17:HB19)/COUNT(HB17:HB19))</f>
        <v>1.75</v>
      </c>
      <c r="HC16" s="213" t="str">
        <f t="shared" si="43"/>
        <v>C</v>
      </c>
      <c r="HD16" s="224"/>
      <c r="HE16" s="85"/>
      <c r="HF16" s="107"/>
      <c r="HG16" s="187">
        <f>IF(COUNT(HG17:HG19)=0,"",SUM(HG17:HG19)/COUNT(HG17:HG19))</f>
        <v>2.6666666666666665</v>
      </c>
      <c r="HH16" s="188" t="str">
        <f t="shared" si="44"/>
        <v>C</v>
      </c>
      <c r="HI16" s="230"/>
      <c r="HJ16" s="85"/>
      <c r="HK16" s="85"/>
      <c r="HL16" s="107"/>
      <c r="HM16" s="187">
        <f>IF(COUNT(HM17:HM19)=0,"",SUM(HM17:HM19)/COUNT(HM17:HM19))</f>
        <v>2.1666666666666665</v>
      </c>
      <c r="HN16" s="203" t="str">
        <f t="shared" si="45"/>
        <v>C</v>
      </c>
      <c r="HO16" s="181"/>
      <c r="HP16" s="112"/>
      <c r="HQ16" s="112"/>
      <c r="HR16" s="113"/>
      <c r="HS16" s="187" t="str">
        <f>IF(COUNT(HS17:HS19)=0,"",SUM(HS17:HS19)/COUNT(HS17:HS19))</f>
        <v/>
      </c>
      <c r="HT16" s="211" t="str">
        <f t="shared" si="46"/>
        <v/>
      </c>
      <c r="HU16" s="212">
        <f>IF(COUNT(HU17:HU19)=0,"",SUM(HU17:HU19)/COUNT(HU17:HU19))</f>
        <v>2.4166666666666665</v>
      </c>
      <c r="HV16" s="213" t="str">
        <f t="shared" si="47"/>
        <v>C</v>
      </c>
      <c r="HW16" s="224"/>
      <c r="HX16" s="85"/>
      <c r="HY16" s="107"/>
      <c r="HZ16" s="187">
        <f>IF(COUNT(HZ17:HZ19)=0,"",SUM(HZ17:HZ19)/COUNT(HZ17:HZ19))</f>
        <v>2.5</v>
      </c>
      <c r="IA16" s="188" t="str">
        <f t="shared" si="48"/>
        <v>C</v>
      </c>
      <c r="IB16" s="230"/>
      <c r="IC16" s="85"/>
      <c r="ID16" s="85"/>
      <c r="IE16" s="107"/>
      <c r="IF16" s="187">
        <f>IF(COUNT(IF17:IF19)=0,"",SUM(IF17:IF19)/COUNT(IF17:IF19))</f>
        <v>2.1111111111111112</v>
      </c>
      <c r="IG16" s="203" t="str">
        <f t="shared" si="49"/>
        <v>C</v>
      </c>
      <c r="IH16" s="181"/>
      <c r="II16" s="112"/>
      <c r="IJ16" s="112"/>
      <c r="IK16" s="113"/>
      <c r="IL16" s="187" t="str">
        <f>IF(COUNT(IL17:IL19)=0,"",SUM(IL17:IL19)/COUNT(IL17:IL19))</f>
        <v/>
      </c>
      <c r="IM16" s="211" t="str">
        <f t="shared" si="50"/>
        <v/>
      </c>
      <c r="IN16" s="212">
        <f>IF(COUNT(IN17:IN19)=0,"",SUM(IN17:IN19)/COUNT(IN17:IN19))</f>
        <v>2.2222222222222223</v>
      </c>
      <c r="IO16" s="213" t="str">
        <f t="shared" si="51"/>
        <v>C</v>
      </c>
      <c r="IP16" s="224"/>
      <c r="IQ16" s="85"/>
      <c r="IR16" s="107"/>
      <c r="IS16" s="187">
        <f>IF(COUNT(IS17:IS19)=0,"",SUM(IS17:IS19)/COUNT(IS17:IS19))</f>
        <v>3</v>
      </c>
      <c r="IT16" s="188" t="str">
        <f t="shared" si="52"/>
        <v>B</v>
      </c>
      <c r="IU16" s="230"/>
      <c r="IV16" s="85"/>
      <c r="IW16" s="85"/>
      <c r="IX16" s="107"/>
      <c r="IY16" s="187">
        <f>IF(COUNT(IY17:IY19)=0,"",SUM(IY17:IY19)/COUNT(IY17:IY19))</f>
        <v>2.6666666666666665</v>
      </c>
      <c r="IZ16" s="203" t="str">
        <f t="shared" si="53"/>
        <v>C</v>
      </c>
      <c r="JA16" s="181"/>
      <c r="JB16" s="112"/>
      <c r="JC16" s="112"/>
      <c r="JD16" s="113"/>
      <c r="JE16" s="187" t="str">
        <f>IF(COUNT(JE17:JE19)=0,"",SUM(JE17:JE19)/COUNT(JE17:JE19))</f>
        <v/>
      </c>
      <c r="JF16" s="211" t="str">
        <f t="shared" si="54"/>
        <v/>
      </c>
      <c r="JG16" s="212">
        <f>IF(COUNT(JG17:JG19)=0,"",SUM(JG17:JG19)/COUNT(JG17:JG19))</f>
        <v>2.8333333333333335</v>
      </c>
      <c r="JH16" s="213" t="str">
        <f t="shared" si="55"/>
        <v>B</v>
      </c>
      <c r="JI16" s="224"/>
      <c r="JJ16" s="85"/>
      <c r="JK16" s="107"/>
      <c r="JL16" s="187">
        <f>IF(COUNT(JL17:JL19)=0,"",SUM(JL17:JL19)/COUNT(JL17:JL19))</f>
        <v>2</v>
      </c>
      <c r="JM16" s="188" t="str">
        <f t="shared" si="56"/>
        <v>C</v>
      </c>
      <c r="JN16" s="230"/>
      <c r="JO16" s="85"/>
      <c r="JP16" s="85"/>
      <c r="JQ16" s="107"/>
      <c r="JR16" s="187">
        <f>IF(COUNT(JR17:JR19)=0,"",SUM(JR17:JR19)/COUNT(JR17:JR19))</f>
        <v>2.0555555555555554</v>
      </c>
      <c r="JS16" s="203" t="str">
        <f t="shared" si="57"/>
        <v>C</v>
      </c>
      <c r="JT16" s="181"/>
      <c r="JU16" s="112"/>
      <c r="JV16" s="112"/>
      <c r="JW16" s="113"/>
      <c r="JX16" s="187" t="str">
        <f>IF(COUNT(JX17:JX19)=0,"",SUM(JX17:JX19)/COUNT(JX17:JX19))</f>
        <v/>
      </c>
      <c r="JY16" s="211" t="str">
        <f t="shared" si="58"/>
        <v/>
      </c>
      <c r="JZ16" s="212">
        <f>IF(COUNT(JZ17:JZ19)=0,"",SUM(JZ17:JZ19)/COUNT(JZ17:JZ19))</f>
        <v>2.0277777777777777</v>
      </c>
      <c r="KA16" s="213" t="str">
        <f t="shared" si="59"/>
        <v>C</v>
      </c>
      <c r="KB16" s="224"/>
      <c r="KC16" s="85"/>
      <c r="KD16" s="107"/>
      <c r="KE16" s="187">
        <f>IF(COUNT(KE17:KE19)=0,"",SUM(KE17:KE19)/COUNT(KE17:KE19))</f>
        <v>3</v>
      </c>
      <c r="KF16" s="188" t="str">
        <f t="shared" si="60"/>
        <v>B</v>
      </c>
      <c r="KG16" s="230"/>
      <c r="KH16" s="85"/>
      <c r="KI16" s="85"/>
      <c r="KJ16" s="107"/>
      <c r="KK16" s="187">
        <f>IF(COUNT(KK17:KK19)=0,"",SUM(KK17:KK19)/COUNT(KK17:KK19))</f>
        <v>2</v>
      </c>
      <c r="KL16" s="203" t="str">
        <f t="shared" si="61"/>
        <v>C</v>
      </c>
      <c r="KM16" s="181"/>
      <c r="KN16" s="112"/>
      <c r="KO16" s="112"/>
      <c r="KP16" s="113"/>
      <c r="KQ16" s="187" t="str">
        <f>IF(COUNT(KQ17:KQ19)=0,"",SUM(KQ17:KQ19)/COUNT(KQ17:KQ19))</f>
        <v/>
      </c>
      <c r="KR16" s="211" t="str">
        <f t="shared" si="62"/>
        <v/>
      </c>
      <c r="KS16" s="212">
        <f>IF(COUNT(KS17:KS19)=0,"",SUM(KS17:KS19)/COUNT(KS17:KS19))</f>
        <v>2.3333333333333335</v>
      </c>
      <c r="KT16" s="213" t="str">
        <f t="shared" si="63"/>
        <v>C</v>
      </c>
      <c r="KU16" s="224"/>
      <c r="KV16" s="85"/>
      <c r="KW16" s="107"/>
      <c r="KX16" s="187">
        <f>IF(COUNT(KX17:KX19)=0,"",SUM(KX17:KX19)/COUNT(KX17:KX19))</f>
        <v>2</v>
      </c>
      <c r="KY16" s="188" t="str">
        <f t="shared" si="64"/>
        <v>C</v>
      </c>
      <c r="KZ16" s="230"/>
      <c r="LA16" s="85"/>
      <c r="LB16" s="85"/>
      <c r="LC16" s="107"/>
      <c r="LD16" s="187">
        <f>IF(COUNT(LD17:LD19)=0,"",SUM(LD17:LD19)/COUNT(LD17:LD19))</f>
        <v>1.8888888888888891</v>
      </c>
      <c r="LE16" s="203" t="str">
        <f t="shared" si="65"/>
        <v>C</v>
      </c>
      <c r="LF16" s="181"/>
      <c r="LG16" s="112"/>
      <c r="LH16" s="112"/>
      <c r="LI16" s="113"/>
      <c r="LJ16" s="187" t="str">
        <f>IF(COUNT(LJ17:LJ19)=0,"",SUM(LJ17:LJ19)/COUNT(LJ17:LJ19))</f>
        <v/>
      </c>
      <c r="LK16" s="211" t="str">
        <f t="shared" si="66"/>
        <v/>
      </c>
      <c r="LL16" s="212">
        <f>IF(COUNT(LL17:LL19)=0,"",SUM(LL17:LL19)/COUNT(LL17:LL19))</f>
        <v>1.9444444444444446</v>
      </c>
      <c r="LM16" s="213" t="str">
        <f t="shared" si="67"/>
        <v>C</v>
      </c>
      <c r="LN16" s="224"/>
      <c r="LO16" s="85"/>
      <c r="LP16" s="107"/>
      <c r="LQ16" s="187">
        <f>IF(COUNT(LQ17:LQ19)=0,"",SUM(LQ17:LQ19)/COUNT(LQ17:LQ19))</f>
        <v>1.6666666666666667</v>
      </c>
      <c r="LR16" s="188" t="str">
        <f t="shared" si="68"/>
        <v>C</v>
      </c>
      <c r="LS16" s="230"/>
      <c r="LT16" s="85"/>
      <c r="LU16" s="85"/>
      <c r="LV16" s="107"/>
      <c r="LW16" s="187">
        <f>IF(COUNT(LW17:LW19)=0,"",SUM(LW17:LW19)/COUNT(LW17:LW19))</f>
        <v>1.7777777777777777</v>
      </c>
      <c r="LX16" s="203" t="str">
        <f t="shared" si="69"/>
        <v>C</v>
      </c>
      <c r="LY16" s="181"/>
      <c r="LZ16" s="112"/>
      <c r="MA16" s="112"/>
      <c r="MB16" s="113"/>
      <c r="MC16" s="187" t="str">
        <f>IF(COUNT(MC17:MC19)=0,"",SUM(MC17:MC19)/COUNT(MC17:MC19))</f>
        <v/>
      </c>
      <c r="MD16" s="211" t="str">
        <f t="shared" si="70"/>
        <v/>
      </c>
      <c r="ME16" s="212">
        <f>IF(COUNT(ME17:ME19)=0,"",SUM(ME17:ME19)/COUNT(ME17:ME19))</f>
        <v>1.7222222222222221</v>
      </c>
      <c r="MF16" s="213" t="str">
        <f t="shared" si="71"/>
        <v>C</v>
      </c>
      <c r="MG16" s="224"/>
      <c r="MH16" s="85"/>
      <c r="MI16" s="107"/>
      <c r="MJ16" s="187">
        <f>IF(COUNT(MJ17:MJ19)=0,"",SUM(MJ17:MJ19)/COUNT(MJ17:MJ19))</f>
        <v>2.6666666666666665</v>
      </c>
      <c r="MK16" s="188" t="str">
        <f t="shared" si="72"/>
        <v>C</v>
      </c>
      <c r="ML16" s="230"/>
      <c r="MM16" s="85"/>
      <c r="MN16" s="85"/>
      <c r="MO16" s="107"/>
      <c r="MP16" s="187">
        <f>IF(COUNT(MP17:MP19)=0,"",SUM(MP17:MP19)/COUNT(MP17:MP19))</f>
        <v>2.5</v>
      </c>
      <c r="MQ16" s="203" t="str">
        <f t="shared" si="73"/>
        <v>C</v>
      </c>
      <c r="MR16" s="181"/>
      <c r="MS16" s="112"/>
      <c r="MT16" s="112"/>
      <c r="MU16" s="113"/>
      <c r="MV16" s="187" t="str">
        <f>IF(COUNT(MV17:MV19)=0,"",SUM(MV17:MV19)/COUNT(MV17:MV19))</f>
        <v/>
      </c>
      <c r="MW16" s="211" t="str">
        <f t="shared" si="74"/>
        <v/>
      </c>
      <c r="MX16" s="212">
        <f>IF(COUNT(MX17:MX19)=0,"",SUM(MX17:MX19)/COUNT(MX17:MX19))</f>
        <v>2.5833333333333335</v>
      </c>
      <c r="MY16" s="213" t="str">
        <f t="shared" si="75"/>
        <v>C</v>
      </c>
      <c r="MZ16" s="224"/>
      <c r="NA16" s="85"/>
      <c r="NB16" s="107"/>
      <c r="NC16" s="187">
        <f>IF(COUNT(NC17:NC19)=0,"",SUM(NC17:NC19)/COUNT(NC17:NC19))</f>
        <v>2.3333333333333335</v>
      </c>
      <c r="ND16" s="188" t="str">
        <f t="shared" si="76"/>
        <v>C</v>
      </c>
      <c r="NE16" s="230"/>
      <c r="NF16" s="85"/>
      <c r="NG16" s="85"/>
      <c r="NH16" s="107"/>
      <c r="NI16" s="187">
        <f>IF(COUNT(NI17:NI19)=0,"",SUM(NI17:NI19)/COUNT(NI17:NI19))</f>
        <v>2.7777777777777781</v>
      </c>
      <c r="NJ16" s="203" t="str">
        <f t="shared" si="77"/>
        <v>C</v>
      </c>
      <c r="NK16" s="181"/>
      <c r="NL16" s="112"/>
      <c r="NM16" s="112"/>
      <c r="NN16" s="113"/>
      <c r="NO16" s="187" t="str">
        <f>IF(COUNT(NO17:NO19)=0,"",SUM(NO17:NO19)/COUNT(NO17:NO19))</f>
        <v/>
      </c>
      <c r="NP16" s="211" t="str">
        <f t="shared" si="78"/>
        <v/>
      </c>
      <c r="NQ16" s="212">
        <f>IF(COUNT(NQ17:NQ19)=0,"",SUM(NQ17:NQ19)/COUNT(NQ17:NQ19))</f>
        <v>2.5555555555555558</v>
      </c>
      <c r="NR16" s="213" t="str">
        <f t="shared" si="79"/>
        <v>C</v>
      </c>
      <c r="NS16" s="224"/>
      <c r="NT16" s="85"/>
      <c r="NU16" s="107"/>
      <c r="NV16" s="187">
        <f>IF(COUNT(NV17:NV19)=0,"",SUM(NV17:NV19)/COUNT(NV17:NV19))</f>
        <v>2</v>
      </c>
      <c r="NW16" s="188" t="str">
        <f t="shared" si="80"/>
        <v>C</v>
      </c>
      <c r="NX16" s="230"/>
      <c r="NY16" s="85"/>
      <c r="NZ16" s="85"/>
      <c r="OA16" s="107"/>
      <c r="OB16" s="187">
        <f>IF(COUNT(OB17:OB19)=0,"",SUM(OB17:OB19)/COUNT(OB17:OB19))</f>
        <v>2.2222222222222219</v>
      </c>
      <c r="OC16" s="203" t="str">
        <f t="shared" si="81"/>
        <v>C</v>
      </c>
      <c r="OD16" s="181"/>
      <c r="OE16" s="112"/>
      <c r="OF16" s="112"/>
      <c r="OG16" s="113"/>
      <c r="OH16" s="187" t="str">
        <f>IF(COUNT(OH17:OH19)=0,"",SUM(OH17:OH19)/COUNT(OH17:OH19))</f>
        <v/>
      </c>
      <c r="OI16" s="211" t="str">
        <f t="shared" si="82"/>
        <v/>
      </c>
      <c r="OJ16" s="212">
        <f>IF(COUNT(OJ17:OJ19)=0,"",SUM(OJ17:OJ19)/COUNT(OJ17:OJ19))</f>
        <v>2.1111111111111112</v>
      </c>
      <c r="OK16" s="213" t="str">
        <f t="shared" si="83"/>
        <v>C</v>
      </c>
      <c r="OL16" s="224"/>
      <c r="OM16" s="85"/>
      <c r="ON16" s="107"/>
      <c r="OO16" s="187">
        <f>IF(COUNT(OO17:OO19)=0,"",SUM(OO17:OO19)/COUNT(OO17:OO19))</f>
        <v>2</v>
      </c>
      <c r="OP16" s="188" t="str">
        <f t="shared" si="84"/>
        <v>C</v>
      </c>
      <c r="OQ16" s="230"/>
      <c r="OR16" s="85"/>
      <c r="OS16" s="85"/>
      <c r="OT16" s="107"/>
      <c r="OU16" s="187">
        <f>IF(COUNT(OU17:OU19)=0,"",SUM(OU17:OU19)/COUNT(OU17:OU19))</f>
        <v>1.7777777777777777</v>
      </c>
      <c r="OV16" s="203" t="str">
        <f t="shared" si="85"/>
        <v>C</v>
      </c>
      <c r="OW16" s="181"/>
      <c r="OX16" s="112"/>
      <c r="OY16" s="112"/>
      <c r="OZ16" s="113"/>
      <c r="PA16" s="187" t="str">
        <f>IF(COUNT(PA17:PA19)=0,"",SUM(PA17:PA19)/COUNT(PA17:PA19))</f>
        <v/>
      </c>
      <c r="PB16" s="211" t="str">
        <f t="shared" si="86"/>
        <v/>
      </c>
      <c r="PC16" s="212">
        <f>IF(COUNT(PC17:PC19)=0,"",SUM(PC17:PC19)/COUNT(PC17:PC19))</f>
        <v>1.8888888888888886</v>
      </c>
      <c r="PD16" s="213" t="str">
        <f t="shared" si="87"/>
        <v>C</v>
      </c>
      <c r="PE16" s="224"/>
      <c r="PF16" s="85"/>
      <c r="PG16" s="107"/>
      <c r="PH16" s="187">
        <f>IF(COUNT(PH17:PH19)=0,"",SUM(PH17:PH19)/COUNT(PH17:PH19))</f>
        <v>2</v>
      </c>
      <c r="PI16" s="188" t="str">
        <f t="shared" si="88"/>
        <v>C</v>
      </c>
      <c r="PJ16" s="230"/>
      <c r="PK16" s="85"/>
      <c r="PL16" s="85"/>
      <c r="PM16" s="107"/>
      <c r="PN16" s="187">
        <f>IF(COUNT(PN17:PN19)=0,"",SUM(PN17:PN19)/COUNT(PN17:PN19))</f>
        <v>1.5555555555555556</v>
      </c>
      <c r="PO16" s="203" t="str">
        <f t="shared" si="89"/>
        <v>C</v>
      </c>
      <c r="PP16" s="181"/>
      <c r="PQ16" s="112"/>
      <c r="PR16" s="112"/>
      <c r="PS16" s="113"/>
      <c r="PT16" s="187" t="str">
        <f>IF(COUNT(PT17:PT19)=0,"",SUM(PT17:PT19)/COUNT(PT17:PT19))</f>
        <v/>
      </c>
      <c r="PU16" s="211" t="str">
        <f t="shared" si="90"/>
        <v/>
      </c>
      <c r="PV16" s="212">
        <f>IF(COUNT(PV17:PV19)=0,"",SUM(PV17:PV19)/COUNT(PV17:PV19))</f>
        <v>1.7777777777777779</v>
      </c>
      <c r="PW16" s="213" t="str">
        <f t="shared" si="91"/>
        <v>C</v>
      </c>
      <c r="PX16" s="224"/>
      <c r="PY16" s="85"/>
      <c r="PZ16" s="107"/>
      <c r="QA16" s="187">
        <f>IF(COUNT(QA17:QA19)=0,"",SUM(QA17:QA19)/COUNT(QA17:QA19))</f>
        <v>2.3333333333333335</v>
      </c>
      <c r="QB16" s="188" t="str">
        <f t="shared" si="92"/>
        <v>C</v>
      </c>
      <c r="QC16" s="230"/>
      <c r="QD16" s="85"/>
      <c r="QE16" s="85"/>
      <c r="QF16" s="107"/>
      <c r="QG16" s="187">
        <f>IF(COUNT(QG17:QG19)=0,"",SUM(QG17:QG19)/COUNT(QG17:QG19))</f>
        <v>2.5</v>
      </c>
      <c r="QH16" s="203" t="str">
        <f t="shared" si="93"/>
        <v>C</v>
      </c>
      <c r="QI16" s="181"/>
      <c r="QJ16" s="112"/>
      <c r="QK16" s="112"/>
      <c r="QL16" s="113"/>
      <c r="QM16" s="187" t="str">
        <f>IF(COUNT(QM17:QM19)=0,"",SUM(QM17:QM19)/COUNT(QM17:QM19))</f>
        <v/>
      </c>
      <c r="QN16" s="211" t="str">
        <f t="shared" si="94"/>
        <v/>
      </c>
      <c r="QO16" s="212">
        <f>IF(COUNT(QO17:QO19)=0,"",SUM(QO17:QO19)/COUNT(QO17:QO19))</f>
        <v>2.4166666666666665</v>
      </c>
      <c r="QP16" s="213" t="str">
        <f t="shared" si="95"/>
        <v>C</v>
      </c>
      <c r="QQ16" s="224"/>
      <c r="QR16" s="85"/>
      <c r="QS16" s="107"/>
      <c r="QT16" s="187">
        <f>IF(COUNT(QT17:QT19)=0,"",SUM(QT17:QT19)/COUNT(QT17:QT19))</f>
        <v>2</v>
      </c>
      <c r="QU16" s="188" t="str">
        <f t="shared" si="96"/>
        <v>C</v>
      </c>
      <c r="QV16" s="230"/>
      <c r="QW16" s="85"/>
      <c r="QX16" s="85"/>
      <c r="QY16" s="107"/>
      <c r="QZ16" s="187">
        <f>IF(COUNT(QZ17:QZ19)=0,"",SUM(QZ17:QZ19)/COUNT(QZ17:QZ19))</f>
        <v>2.2777777777777781</v>
      </c>
      <c r="RA16" s="203" t="str">
        <f t="shared" si="97"/>
        <v>C</v>
      </c>
      <c r="RB16" s="181"/>
      <c r="RC16" s="112"/>
      <c r="RD16" s="112"/>
      <c r="RE16" s="113"/>
      <c r="RF16" s="187" t="str">
        <f>IF(COUNT(RF17:RF19)=0,"",SUM(RF17:RF19)/COUNT(RF17:RF19))</f>
        <v/>
      </c>
      <c r="RG16" s="211" t="str">
        <f t="shared" si="98"/>
        <v/>
      </c>
      <c r="RH16" s="212">
        <f>IF(COUNT(RH17:RH19)=0,"",SUM(RH17:RH19)/COUNT(RH17:RH19))</f>
        <v>2.1388888888888888</v>
      </c>
      <c r="RI16" s="213" t="str">
        <f t="shared" si="99"/>
        <v>C</v>
      </c>
      <c r="RJ16" s="224"/>
      <c r="RK16" s="85"/>
      <c r="RL16" s="107"/>
      <c r="RM16" s="187">
        <f>IF(COUNT(RM17:RM19)=0,"",SUM(RM17:RM19)/COUNT(RM17:RM19))</f>
        <v>1.6666666666666667</v>
      </c>
      <c r="RN16" s="188" t="str">
        <f t="shared" si="100"/>
        <v>C</v>
      </c>
      <c r="RO16" s="230"/>
      <c r="RP16" s="85"/>
      <c r="RQ16" s="85"/>
      <c r="RR16" s="107"/>
      <c r="RS16" s="187">
        <f>IF(COUNT(RS17:RS19)=0,"",SUM(RS17:RS19)/COUNT(RS17:RS19))</f>
        <v>1.7777777777777779</v>
      </c>
      <c r="RT16" s="203" t="str">
        <f t="shared" si="101"/>
        <v>C</v>
      </c>
      <c r="RU16" s="181"/>
      <c r="RV16" s="112"/>
      <c r="RW16" s="112"/>
      <c r="RX16" s="113"/>
      <c r="RY16" s="187" t="str">
        <f>IF(COUNT(RY17:RY19)=0,"",SUM(RY17:RY19)/COUNT(RY17:RY19))</f>
        <v/>
      </c>
      <c r="RZ16" s="211" t="str">
        <f t="shared" si="102"/>
        <v/>
      </c>
      <c r="SA16" s="212">
        <f>IF(COUNT(SA17:SA19)=0,"",SUM(SA17:SA19)/COUNT(SA17:SA19))</f>
        <v>1.7222222222222223</v>
      </c>
      <c r="SB16" s="213" t="str">
        <f t="shared" si="103"/>
        <v>C</v>
      </c>
      <c r="SC16" s="224"/>
      <c r="SD16" s="85"/>
      <c r="SE16" s="107"/>
      <c r="SF16" s="187">
        <f>IF(COUNT(SF17:SF19)=0,"",SUM(SF17:SF19)/COUNT(SF17:SF19))</f>
        <v>2.5</v>
      </c>
      <c r="SG16" s="188" t="str">
        <f t="shared" si="104"/>
        <v>C</v>
      </c>
      <c r="SH16" s="230"/>
      <c r="SI16" s="85"/>
      <c r="SJ16" s="85"/>
      <c r="SK16" s="107"/>
      <c r="SL16" s="187">
        <f>IF(COUNT(SL17:SL19)=0,"",SUM(SL17:SL19)/COUNT(SL17:SL19))</f>
        <v>2.2777777777777781</v>
      </c>
      <c r="SM16" s="203" t="str">
        <f t="shared" si="105"/>
        <v>C</v>
      </c>
      <c r="SN16" s="181"/>
      <c r="SO16" s="112"/>
      <c r="SP16" s="112"/>
      <c r="SQ16" s="113"/>
      <c r="SR16" s="187" t="str">
        <f>IF(COUNT(SR17:SR19)=0,"",SUM(SR17:SR19)/COUNT(SR17:SR19))</f>
        <v/>
      </c>
      <c r="SS16" s="211" t="str">
        <f t="shared" si="106"/>
        <v/>
      </c>
      <c r="ST16" s="212">
        <f>IF(COUNT(ST17:ST19)=0,"",SUM(ST17:ST19)/COUNT(ST17:ST19))</f>
        <v>2.3055555555555558</v>
      </c>
      <c r="SU16" s="213" t="str">
        <f t="shared" si="107"/>
        <v>C</v>
      </c>
      <c r="SV16" s="148"/>
      <c r="SW16" s="85"/>
      <c r="SX16" s="107"/>
      <c r="SY16" s="108" t="str">
        <f>IF(COUNT(SY17:SY19)=0,"",SUM(SY17:SY19)/COUNT(SY17:SY19))</f>
        <v/>
      </c>
      <c r="SZ16" s="109" t="str">
        <f t="shared" si="108"/>
        <v/>
      </c>
      <c r="TA16" s="106"/>
      <c r="TB16" s="85"/>
      <c r="TC16" s="107"/>
      <c r="TD16" s="108" t="str">
        <f>IF(COUNT(TD17:TD19)=0,"",SUM(TD17:TD19)/COUNT(TD17:TD19))</f>
        <v/>
      </c>
      <c r="TE16" s="110" t="str">
        <f t="shared" si="109"/>
        <v/>
      </c>
      <c r="TF16" s="111"/>
      <c r="TG16" s="112"/>
      <c r="TH16" s="113"/>
      <c r="TI16" s="108" t="str">
        <f>IF(COUNT(TI17:TI19)=0,"",SUM(TI17:TI19)/COUNT(TI17:TI19))</f>
        <v/>
      </c>
      <c r="TJ16" s="114" t="str">
        <f t="shared" si="110"/>
        <v/>
      </c>
      <c r="TK16" s="115" t="str">
        <f>IF(COUNT(TK17:TK19)=0,"",SUM(TK17:TK19)/COUNT(TK17:TK19))</f>
        <v/>
      </c>
      <c r="TL16" s="116" t="str">
        <f t="shared" si="111"/>
        <v/>
      </c>
      <c r="TM16" s="148"/>
      <c r="TN16" s="85"/>
      <c r="TO16" s="107"/>
      <c r="TP16" s="108" t="str">
        <f>IF(COUNT(TP17:TP19)=0,"",SUM(TP17:TP19)/COUNT(TP17:TP19))</f>
        <v/>
      </c>
      <c r="TQ16" s="109" t="str">
        <f t="shared" si="112"/>
        <v/>
      </c>
      <c r="TR16" s="106"/>
      <c r="TS16" s="85"/>
      <c r="TT16" s="107"/>
      <c r="TU16" s="108" t="str">
        <f>IF(COUNT(TU17:TU19)=0,"",SUM(TU17:TU19)/COUNT(TU17:TU19))</f>
        <v/>
      </c>
      <c r="TV16" s="110" t="str">
        <f t="shared" si="113"/>
        <v/>
      </c>
      <c r="TW16" s="111"/>
      <c r="TX16" s="112"/>
      <c r="TY16" s="113"/>
      <c r="TZ16" s="108" t="str">
        <f>IF(COUNT(TZ17:TZ19)=0,"",SUM(TZ17:TZ19)/COUNT(TZ17:TZ19))</f>
        <v/>
      </c>
      <c r="UA16" s="114" t="str">
        <f t="shared" si="114"/>
        <v/>
      </c>
      <c r="UB16" s="115" t="str">
        <f>IF(COUNT(UB17:UB19)=0,"",SUM(UB17:UB19)/COUNT(UB17:UB19))</f>
        <v/>
      </c>
      <c r="UC16" s="116" t="str">
        <f t="shared" si="115"/>
        <v/>
      </c>
      <c r="UD16" s="148"/>
      <c r="UE16" s="85"/>
      <c r="UF16" s="107"/>
      <c r="UG16" s="108" t="str">
        <f>IF(COUNT(UG17:UG19)=0,"",SUM(UG17:UG19)/COUNT(UG17:UG19))</f>
        <v/>
      </c>
      <c r="UH16" s="109" t="str">
        <f t="shared" si="116"/>
        <v/>
      </c>
      <c r="UI16" s="106"/>
      <c r="UJ16" s="85"/>
      <c r="UK16" s="107"/>
      <c r="UL16" s="108" t="str">
        <f>IF(COUNT(UL17:UL19)=0,"",SUM(UL17:UL19)/COUNT(UL17:UL19))</f>
        <v/>
      </c>
      <c r="UM16" s="110" t="str">
        <f t="shared" si="117"/>
        <v/>
      </c>
      <c r="UN16" s="111"/>
      <c r="UO16" s="112"/>
      <c r="UP16" s="113"/>
      <c r="UQ16" s="108" t="str">
        <f>IF(COUNT(UQ17:UQ19)=0,"",SUM(UQ17:UQ19)/COUNT(UQ17:UQ19))</f>
        <v/>
      </c>
      <c r="UR16" s="114" t="str">
        <f t="shared" si="118"/>
        <v/>
      </c>
      <c r="US16" s="115" t="str">
        <f>IF(COUNT(US17:US19)=0,"",SUM(US17:US19)/COUNT(US17:US19))</f>
        <v/>
      </c>
      <c r="UT16" s="116" t="str">
        <f t="shared" si="119"/>
        <v/>
      </c>
    </row>
    <row r="17" spans="1:566" ht="18" customHeight="1" x14ac:dyDescent="0.25">
      <c r="A17" s="250" t="s">
        <v>23</v>
      </c>
      <c r="B17" s="251"/>
      <c r="C17" s="134"/>
      <c r="D17" s="132"/>
      <c r="E17" s="129" t="s">
        <v>32</v>
      </c>
      <c r="F17" s="189">
        <f>IFERROR((((COUNTIF('Elève (4ème2)'!C17:E17,"A"))*4)+((COUNTIF('Elève (4ème2)'!C17:E17,"B"))*3)+((COUNTIF('Elève (4ème2)'!C17:E17,"C"))*2)+((COUNTIF('Elève (4ème2)'!C17:E17,"D"))*1))/(COUNTA(C17:E17)),"")</f>
        <v>1</v>
      </c>
      <c r="G17" s="190" t="str">
        <f t="shared" si="0"/>
        <v>D</v>
      </c>
      <c r="H17" s="134"/>
      <c r="I17" s="128" t="s">
        <v>32</v>
      </c>
      <c r="J17" s="129" t="s">
        <v>31</v>
      </c>
      <c r="K17" s="129" t="s">
        <v>32</v>
      </c>
      <c r="L17" s="189">
        <f>IFERROR((((COUNTIF('Elève (4ème2)'!H17:K17,"A"))*4)+((COUNTIF('Elève (4ème2)'!H17:K17,"B"))*3)+((COUNTIF('Elève (4ème2)'!H17:K17,"C"))*2)+((COUNTIF('Elève (4ème2)'!H17:K17,"D"))*1))/(COUNTA(H17:K17)),"")</f>
        <v>1.3333333333333333</v>
      </c>
      <c r="M17" s="190" t="str">
        <f t="shared" si="1"/>
        <v>D</v>
      </c>
      <c r="N17" s="134"/>
      <c r="O17" s="132"/>
      <c r="P17" s="133"/>
      <c r="Q17" s="133"/>
      <c r="R17" s="189" t="str">
        <f>IFERROR((((COUNTIF('Elève (4ème2)'!N17:Q17,"A"))*4)+((COUNTIF('Elève (4ème2)'!N17:Q17,"B"))*3)+((COUNTIF('Elève (4ème2)'!N17:Q17,"C"))*2)+((COUNTIF('Elève (4ème2)'!N17:Q17,"D"))*1))/(COUNTA(N17:Q17)),"")</f>
        <v/>
      </c>
      <c r="S17" s="190" t="str">
        <f t="shared" si="2"/>
        <v/>
      </c>
      <c r="T17" s="189">
        <f>IF(COUNT(F17,L17,R17)=0,"",SUM(F17,L17,R17)/COUNT(F17,L17,R17))</f>
        <v>1.1666666666666665</v>
      </c>
      <c r="U17" s="219" t="str">
        <f t="shared" si="3"/>
        <v>D</v>
      </c>
      <c r="V17" s="134"/>
      <c r="W17" s="132"/>
      <c r="X17" s="129" t="s">
        <v>32</v>
      </c>
      <c r="Y17" s="189">
        <f>IFERROR((((COUNTIF('Elève (4ème2)'!V17:X17,"A"))*4)+((COUNTIF('Elève (4ème2)'!V17:X17,"B"))*3)+((COUNTIF('Elève (4ème2)'!V17:X17,"C"))*2)+((COUNTIF('Elève (4ème2)'!V17:X17,"D"))*1))/(COUNTA(V17:X17)),"")</f>
        <v>1</v>
      </c>
      <c r="Z17" s="190" t="str">
        <f t="shared" si="4"/>
        <v>D</v>
      </c>
      <c r="AA17" s="134"/>
      <c r="AB17" s="128" t="s">
        <v>31</v>
      </c>
      <c r="AC17" s="129" t="s">
        <v>32</v>
      </c>
      <c r="AD17" s="129" t="s">
        <v>31</v>
      </c>
      <c r="AE17" s="189">
        <f>IFERROR((((COUNTIF('Elève (4ème2)'!AA17:AD17,"A"))*4)+((COUNTIF('Elève (4ème2)'!AA17:AD17,"B"))*3)+((COUNTIF('Elève (4ème2)'!AA17:AD17,"C"))*2)+((COUNTIF('Elève (4ème2)'!AA17:AD17,"D"))*1))/(COUNTA(AA17:AD17)),"")</f>
        <v>1.6666666666666667</v>
      </c>
      <c r="AF17" s="190" t="str">
        <f t="shared" si="5"/>
        <v>C</v>
      </c>
      <c r="AG17" s="134"/>
      <c r="AH17" s="132"/>
      <c r="AI17" s="133"/>
      <c r="AJ17" s="136"/>
      <c r="AK17" s="189" t="str">
        <f>IFERROR((((COUNTIF('Elève (4ème2)'!AG17:AJ17,"A"))*4)+((COUNTIF('Elève (4ème2)'!AG17:AJ17,"B"))*3)+((COUNTIF('Elève (4ème2)'!AG17:AJ17,"C"))*2)+((COUNTIF('Elève (4ème2)'!AG17:AJ17,"D"))*1))/(COUNTA(AG17:AJ17)),"")</f>
        <v/>
      </c>
      <c r="AL17" s="190" t="str">
        <f t="shared" si="6"/>
        <v/>
      </c>
      <c r="AM17" s="189">
        <f>IF(COUNT(Y17,AE17,AK17)=0,"",SUM(Y17,AE17,AK17)/COUNT(Y17,AE17,AK17))</f>
        <v>1.3333333333333335</v>
      </c>
      <c r="AN17" s="219" t="str">
        <f t="shared" si="7"/>
        <v>D</v>
      </c>
      <c r="AO17" s="134"/>
      <c r="AP17" s="132"/>
      <c r="AQ17" s="129" t="s">
        <v>31</v>
      </c>
      <c r="AR17" s="189">
        <f>IFERROR((((COUNTIF('Elève (4ème2)'!AO17:AQ17,"A"))*4)+((COUNTIF('Elève (4ème2)'!AO17:AQ17,"B"))*3)+((COUNTIF('Elève (4ème2)'!AO17:AQ17,"C"))*2)+((COUNTIF('Elève (4ème2)'!AO17:AQ17,"D"))*1))/(COUNTA(AO17:AQ17)),"")</f>
        <v>2</v>
      </c>
      <c r="AS17" s="190" t="str">
        <f t="shared" si="8"/>
        <v>C</v>
      </c>
      <c r="AT17" s="134"/>
      <c r="AU17" s="128" t="s">
        <v>31</v>
      </c>
      <c r="AV17" s="129" t="s">
        <v>30</v>
      </c>
      <c r="AW17" s="129" t="s">
        <v>31</v>
      </c>
      <c r="AX17" s="189">
        <f>IFERROR((((COUNTIF('Elève (4ème2)'!AT17:AW17,"A"))*4)+((COUNTIF('Elève (4ème2)'!AT17:AW17,"B"))*3)+((COUNTIF('Elève (4ème2)'!AT17:AW17,"C"))*2)+((COUNTIF('Elève (4ème2)'!AT17:AW17,"D"))*1))/(COUNTA(AT17:AW17)),"")</f>
        <v>2.3333333333333335</v>
      </c>
      <c r="AY17" s="190" t="str">
        <f t="shared" si="9"/>
        <v>C</v>
      </c>
      <c r="AZ17" s="134"/>
      <c r="BA17" s="132"/>
      <c r="BB17" s="133"/>
      <c r="BC17" s="136"/>
      <c r="BD17" s="189" t="str">
        <f>IFERROR((((COUNTIF('Elève (4ème2)'!AZ17:BC17,"A"))*4)+((COUNTIF('Elève (4ème2)'!AZ17:BC17,"B"))*3)+((COUNTIF('Elève (4ème2)'!AZ17:BC17,"C"))*2)+((COUNTIF('Elève (4ème2)'!AZ17:BC17,"D"))*1))/(COUNTA(AZ17:BC17)),"")</f>
        <v/>
      </c>
      <c r="BE17" s="190" t="str">
        <f t="shared" si="10"/>
        <v/>
      </c>
      <c r="BF17" s="189">
        <f>IF(COUNT(AR17,AX17,BD17)=0,"",SUM(AR17,AX17,BD17)/COUNT(AR17,AX17,BD17))</f>
        <v>2.166666666666667</v>
      </c>
      <c r="BG17" s="219" t="str">
        <f t="shared" si="11"/>
        <v>C</v>
      </c>
      <c r="BH17" s="134"/>
      <c r="BI17" s="132"/>
      <c r="BJ17" s="129" t="s">
        <v>31</v>
      </c>
      <c r="BK17" s="189">
        <f>IFERROR((((COUNTIF('Elève (4ème2)'!BH17:BJ17,"A"))*4)+((COUNTIF('Elève (4ème2)'!BH17:BJ17,"B"))*3)+((COUNTIF('Elève (4ème2)'!BH17:BJ17,"C"))*2)+((COUNTIF('Elève (4ème2)'!BH17:BJ17,"D"))*1))/(COUNTA(BH17:BJ17)),"")</f>
        <v>2</v>
      </c>
      <c r="BL17" s="190" t="str">
        <f t="shared" si="12"/>
        <v>C</v>
      </c>
      <c r="BM17" s="134"/>
      <c r="BN17" s="128" t="s">
        <v>31</v>
      </c>
      <c r="BO17" s="129" t="s">
        <v>31</v>
      </c>
      <c r="BP17" s="129" t="s">
        <v>32</v>
      </c>
      <c r="BQ17" s="189">
        <f>IFERROR((((COUNTIF('Elève (4ème2)'!BM17:BP17,"A"))*4)+((COUNTIF('Elève (4ème2)'!BM17:BP17,"B"))*3)+((COUNTIF('Elève (4ème2)'!BM17:BP17,"C"))*2)+((COUNTIF('Elève (4ème2)'!BM17:BP17,"D"))*1))/(COUNTA(BM17:BP17)),"")</f>
        <v>1.6666666666666667</v>
      </c>
      <c r="BR17" s="190" t="str">
        <f t="shared" si="13"/>
        <v>C</v>
      </c>
      <c r="BS17" s="134"/>
      <c r="BT17" s="132"/>
      <c r="BU17" s="133"/>
      <c r="BV17" s="136"/>
      <c r="BW17" s="189" t="str">
        <f>IFERROR((((COUNTIF('Elève (4ème2)'!BS17:BV17,"A"))*4)+((COUNTIF('Elève (4ème2)'!BS17:BV17,"B"))*3)+((COUNTIF('Elève (4ème2)'!BS17:BV17,"C"))*2)+((COUNTIF('Elève (4ème2)'!BS17:BV17,"D"))*1))/(COUNTA(BS17:BV17)),"")</f>
        <v/>
      </c>
      <c r="BX17" s="190" t="str">
        <f t="shared" si="14"/>
        <v/>
      </c>
      <c r="BY17" s="189">
        <f>IF(COUNT(BK17,BQ17,BW17)=0,"",SUM(BK17,BQ17,BW17)/COUNT(BK17,BQ17,BW17))</f>
        <v>1.8333333333333335</v>
      </c>
      <c r="BZ17" s="219" t="str">
        <f t="shared" si="15"/>
        <v>C</v>
      </c>
      <c r="CA17" s="134"/>
      <c r="CB17" s="132"/>
      <c r="CC17" s="129" t="s">
        <v>30</v>
      </c>
      <c r="CD17" s="189">
        <f>IFERROR((((COUNTIF('Elève (4ème2)'!CA17:CC17,"A"))*4)+((COUNTIF('Elève (4ème2)'!CA17:CC17,"B"))*3)+((COUNTIF('Elève (4ème2)'!CA17:CC17,"C"))*2)+((COUNTIF('Elève (4ème2)'!CA17:CC17,"D"))*1))/(COUNTA(CA17:CC17)),"")</f>
        <v>3</v>
      </c>
      <c r="CE17" s="190" t="str">
        <f t="shared" si="16"/>
        <v>B</v>
      </c>
      <c r="CF17" s="134"/>
      <c r="CG17" s="128" t="s">
        <v>31</v>
      </c>
      <c r="CH17" s="129" t="s">
        <v>31</v>
      </c>
      <c r="CI17" s="129" t="s">
        <v>31</v>
      </c>
      <c r="CJ17" s="189">
        <f>IFERROR((((COUNTIF('Elève (4ème2)'!CF17:CI17,"A"))*4)+((COUNTIF('Elève (4ème2)'!CF17:CI17,"B"))*3)+((COUNTIF('Elève (4ème2)'!CF17:CI17,"C"))*2)+((COUNTIF('Elève (4ème2)'!CF17:CI17,"D"))*1))/(COUNTA(CF17:CI17)),"")</f>
        <v>2</v>
      </c>
      <c r="CK17" s="190" t="str">
        <f t="shared" si="17"/>
        <v>C</v>
      </c>
      <c r="CL17" s="134"/>
      <c r="CM17" s="132"/>
      <c r="CN17" s="133"/>
      <c r="CO17" s="136"/>
      <c r="CP17" s="189" t="str">
        <f>IFERROR((((COUNTIF('Elève (4ème2)'!CL17:CO17,"A"))*4)+((COUNTIF('Elève (4ème2)'!CL17:CO17,"B"))*3)+((COUNTIF('Elève (4ème2)'!CL17:CO17,"C"))*2)+((COUNTIF('Elève (4ème2)'!CL17:CO17,"D"))*1))/(COUNTA(CL17:CO17)),"")</f>
        <v/>
      </c>
      <c r="CQ17" s="190" t="str">
        <f t="shared" si="18"/>
        <v/>
      </c>
      <c r="CR17" s="189">
        <f>IF(COUNT(CD17,CJ17,CP17)=0,"",SUM(CD17,CJ17,CP17)/COUNT(CD17,CJ17,CP17))</f>
        <v>2.5</v>
      </c>
      <c r="CS17" s="219" t="str">
        <f t="shared" si="19"/>
        <v>C</v>
      </c>
      <c r="CT17" s="134"/>
      <c r="CU17" s="132"/>
      <c r="CV17" s="129" t="s">
        <v>32</v>
      </c>
      <c r="CW17" s="189">
        <f>IFERROR((((COUNTIF('Elève (4ème2)'!CT17:CV17,"A"))*4)+((COUNTIF('Elève (4ème2)'!CT17:CV17,"B"))*3)+((COUNTIF('Elève (4ème2)'!CT17:CV17,"C"))*2)+((COUNTIF('Elève (4ème2)'!CT17:CV17,"D"))*1))/(COUNTA(CT17:CV17)),"")</f>
        <v>1</v>
      </c>
      <c r="CX17" s="190" t="str">
        <f t="shared" si="20"/>
        <v>D</v>
      </c>
      <c r="CY17" s="134"/>
      <c r="CZ17" s="128" t="s">
        <v>32</v>
      </c>
      <c r="DA17" s="129" t="s">
        <v>29</v>
      </c>
      <c r="DB17" s="129" t="s">
        <v>31</v>
      </c>
      <c r="DC17" s="189">
        <f>IFERROR((((COUNTIF('Elève (4ème2)'!CY17:DB17,"A"))*4)+((COUNTIF('Elève (4ème2)'!CY17:DB17,"B"))*3)+((COUNTIF('Elève (4ème2)'!CY17:DB17,"C"))*2)+((COUNTIF('Elève (4ème2)'!CY17:DB17,"D"))*1))/(COUNTA(CY17:DB17)),"")</f>
        <v>2.3333333333333335</v>
      </c>
      <c r="DD17" s="190" t="str">
        <f t="shared" si="21"/>
        <v>C</v>
      </c>
      <c r="DE17" s="134"/>
      <c r="DF17" s="132"/>
      <c r="DG17" s="133"/>
      <c r="DH17" s="136"/>
      <c r="DI17" s="189" t="str">
        <f>IFERROR((((COUNTIF('Elève (4ème2)'!DE17:DH17,"A"))*4)+((COUNTIF('Elève (4ème2)'!DE17:DH17,"B"))*3)+((COUNTIF('Elève (4ème2)'!DE17:DH17,"C"))*2)+((COUNTIF('Elève (4ème2)'!DE17:DH17,"D"))*1))/(COUNTA(DE17:DH17)),"")</f>
        <v/>
      </c>
      <c r="DJ17" s="190" t="str">
        <f t="shared" si="22"/>
        <v/>
      </c>
      <c r="DK17" s="189">
        <f>IF(COUNT(CW17,DC17,DI17)=0,"",SUM(CW17,DC17,DI17)/COUNT(CW17,DC17,DI17))</f>
        <v>1.6666666666666667</v>
      </c>
      <c r="DL17" s="219" t="str">
        <f t="shared" si="23"/>
        <v>C</v>
      </c>
      <c r="DM17" s="134"/>
      <c r="DN17" s="132"/>
      <c r="DO17" s="129" t="s">
        <v>32</v>
      </c>
      <c r="DP17" s="189">
        <f>IFERROR((((COUNTIF('Elève (4ème2)'!DM17:DO17,"A"))*4)+((COUNTIF('Elève (4ème2)'!DM17:DO17,"B"))*3)+((COUNTIF('Elève (4ème2)'!DM17:DO17,"C"))*2)+((COUNTIF('Elève (4ème2)'!DM17:DO17,"D"))*1))/(COUNTA(DM17:DO17)),"")</f>
        <v>1</v>
      </c>
      <c r="DQ17" s="190" t="str">
        <f t="shared" si="24"/>
        <v>D</v>
      </c>
      <c r="DR17" s="134"/>
      <c r="DS17" s="128" t="s">
        <v>31</v>
      </c>
      <c r="DT17" s="129" t="s">
        <v>31</v>
      </c>
      <c r="DU17" s="129" t="s">
        <v>31</v>
      </c>
      <c r="DV17" s="189">
        <f>IFERROR((((COUNTIF('Elève (4ème2)'!DR17:DU17,"A"))*4)+((COUNTIF('Elève (4ème2)'!DR17:DU17,"B"))*3)+((COUNTIF('Elève (4ème2)'!DR17:DU17,"C"))*2)+((COUNTIF('Elève (4ème2)'!DR17:DU17,"D"))*1))/(COUNTA(DR17:DU17)),"")</f>
        <v>2</v>
      </c>
      <c r="DW17" s="190" t="str">
        <f t="shared" si="25"/>
        <v>C</v>
      </c>
      <c r="DX17" s="134"/>
      <c r="DY17" s="132"/>
      <c r="DZ17" s="133"/>
      <c r="EA17" s="136"/>
      <c r="EB17" s="189" t="str">
        <f>IFERROR((((COUNTIF('Elève (4ème2)'!DX17:EA17,"A"))*4)+((COUNTIF('Elève (4ème2)'!DX17:EA17,"B"))*3)+((COUNTIF('Elève (4ème2)'!DX17:EA17,"C"))*2)+((COUNTIF('Elève (4ème2)'!DX17:EA17,"D"))*1))/(COUNTA(DX17:EA17)),"")</f>
        <v/>
      </c>
      <c r="EC17" s="190" t="str">
        <f t="shared" si="26"/>
        <v/>
      </c>
      <c r="ED17" s="189">
        <f>IF(COUNT(DP17,DV17,EB17)=0,"",SUM(DP17,DV17,EB17)/COUNT(DP17,DV17,EB17))</f>
        <v>1.5</v>
      </c>
      <c r="EE17" s="219" t="str">
        <f t="shared" si="27"/>
        <v>D</v>
      </c>
      <c r="EF17" s="134"/>
      <c r="EG17" s="132"/>
      <c r="EH17" s="129" t="s">
        <v>30</v>
      </c>
      <c r="EI17" s="189">
        <f>IFERROR((((COUNTIF('Elève (4ème2)'!EF17:EH17,"A"))*4)+((COUNTIF('Elève (4ème2)'!EF17:EH17,"B"))*3)+((COUNTIF('Elève (4ème2)'!EF17:EH17,"C"))*2)+((COUNTIF('Elève (4ème2)'!EF17:EH17,"D"))*1))/(COUNTA(EF17:EH17)),"")</f>
        <v>3</v>
      </c>
      <c r="EJ17" s="190" t="str">
        <f t="shared" si="28"/>
        <v>B</v>
      </c>
      <c r="EK17" s="134"/>
      <c r="EL17" s="128" t="s">
        <v>30</v>
      </c>
      <c r="EM17" s="129" t="s">
        <v>30</v>
      </c>
      <c r="EN17" s="129" t="s">
        <v>31</v>
      </c>
      <c r="EO17" s="189">
        <f>IFERROR((((COUNTIF('Elève (4ème2)'!EK17:EN17,"A"))*4)+((COUNTIF('Elève (4ème2)'!EK17:EN17,"B"))*3)+((COUNTIF('Elève (4ème2)'!EK17:EN17,"C"))*2)+((COUNTIF('Elève (4ème2)'!EK17:EN17,"D"))*1))/(COUNTA(EK17:EN17)),"")</f>
        <v>2.6666666666666665</v>
      </c>
      <c r="EP17" s="190" t="str">
        <f t="shared" si="29"/>
        <v>C</v>
      </c>
      <c r="EQ17" s="134"/>
      <c r="ER17" s="132"/>
      <c r="ES17" s="133"/>
      <c r="ET17" s="136"/>
      <c r="EU17" s="189" t="str">
        <f>IFERROR((((COUNTIF('Elève (4ème2)'!EQ17:ET17,"A"))*4)+((COUNTIF('Elève (4ème2)'!EQ17:ET17,"B"))*3)+((COUNTIF('Elève (4ème2)'!EQ17:ET17,"C"))*2)+((COUNTIF('Elève (4ème2)'!EQ17:ET17,"D"))*1))/(COUNTA(EQ17:ET17)),"")</f>
        <v/>
      </c>
      <c r="EV17" s="190" t="str">
        <f t="shared" si="30"/>
        <v/>
      </c>
      <c r="EW17" s="189">
        <f>IF(COUNT(EI17,EO17,EU17)=0,"",SUM(EI17,EO17,EU17)/COUNT(EI17,EO17,EU17))</f>
        <v>2.833333333333333</v>
      </c>
      <c r="EX17" s="219" t="str">
        <f t="shared" si="31"/>
        <v>B</v>
      </c>
      <c r="EY17" s="134"/>
      <c r="EZ17" s="132"/>
      <c r="FA17" s="129" t="s">
        <v>31</v>
      </c>
      <c r="FB17" s="189">
        <f>IFERROR((((COUNTIF('Elève (4ème2)'!EY17:FA17,"A"))*4)+((COUNTIF('Elève (4ème2)'!EY17:FA17,"B"))*3)+((COUNTIF('Elève (4ème2)'!EY17:FA17,"C"))*2)+((COUNTIF('Elève (4ème2)'!EY17:FA17,"D"))*1))/(COUNTA(EY17:FA17)),"")</f>
        <v>2</v>
      </c>
      <c r="FC17" s="190" t="str">
        <f t="shared" si="32"/>
        <v>C</v>
      </c>
      <c r="FD17" s="134"/>
      <c r="FE17" s="128" t="s">
        <v>31</v>
      </c>
      <c r="FF17" s="129" t="s">
        <v>206</v>
      </c>
      <c r="FG17" s="129" t="s">
        <v>32</v>
      </c>
      <c r="FH17" s="189">
        <f>IFERROR((((COUNTIF('Elève (4ème2)'!FD17:FG17,"A"))*4)+((COUNTIF('Elève (4ème2)'!FD17:FG17,"B"))*3)+((COUNTIF('Elève (4ème2)'!FD17:FG17,"C"))*2)+((COUNTIF('Elève (4ème2)'!FD17:FG17,"D"))*1))/(COUNTA(FD17:FG17)),"")</f>
        <v>1</v>
      </c>
      <c r="FI17" s="190" t="str">
        <f t="shared" si="33"/>
        <v>D</v>
      </c>
      <c r="FJ17" s="134"/>
      <c r="FK17" s="132"/>
      <c r="FL17" s="133"/>
      <c r="FM17" s="136"/>
      <c r="FN17" s="189" t="str">
        <f>IFERROR((((COUNTIF('Elève (4ème2)'!FJ17:FM17,"A"))*4)+((COUNTIF('Elève (4ème2)'!FJ17:FM17,"B"))*3)+((COUNTIF('Elève (4ème2)'!FJ17:FM17,"C"))*2)+((COUNTIF('Elève (4ème2)'!FJ17:FM17,"D"))*1))/(COUNTA(FJ17:FM17)),"")</f>
        <v/>
      </c>
      <c r="FO17" s="190" t="str">
        <f t="shared" si="34"/>
        <v/>
      </c>
      <c r="FP17" s="189">
        <f>IF(COUNT(FB17,FH17,FN17)=0,"",SUM(FB17,FH17,FN17)/COUNT(FB17,FH17,FN17))</f>
        <v>1.5</v>
      </c>
      <c r="FQ17" s="219" t="str">
        <f t="shared" si="35"/>
        <v>D</v>
      </c>
      <c r="FR17" s="134"/>
      <c r="FS17" s="132"/>
      <c r="FT17" s="129" t="s">
        <v>30</v>
      </c>
      <c r="FU17" s="189">
        <f>IFERROR((((COUNTIF('Elève (4ème2)'!FR17:FT17,"A"))*4)+((COUNTIF('Elève (4ème2)'!FR17:FT17,"B"))*3)+((COUNTIF('Elève (4ème2)'!FR17:FT17,"C"))*2)+((COUNTIF('Elève (4ème2)'!FR17:FT17,"D"))*1))/(COUNTA(FR17:FT17)),"")</f>
        <v>3</v>
      </c>
      <c r="FV17" s="190" t="str">
        <f t="shared" si="36"/>
        <v>B</v>
      </c>
      <c r="FW17" s="134"/>
      <c r="FX17" s="128" t="s">
        <v>31</v>
      </c>
      <c r="FY17" s="129" t="s">
        <v>29</v>
      </c>
      <c r="FZ17" s="129" t="s">
        <v>32</v>
      </c>
      <c r="GA17" s="189">
        <f>IFERROR((((COUNTIF('Elève (4ème2)'!FW17:FZ17,"A"))*4)+((COUNTIF('Elève (4ème2)'!FW17:FZ17,"B"))*3)+((COUNTIF('Elève (4ème2)'!FW17:FZ17,"C"))*2)+((COUNTIF('Elève (4ème2)'!FW17:FZ17,"D"))*1))/(COUNTA(FW17:FZ17)),"")</f>
        <v>2.3333333333333335</v>
      </c>
      <c r="GB17" s="190" t="str">
        <f t="shared" si="37"/>
        <v>C</v>
      </c>
      <c r="GC17" s="134"/>
      <c r="GD17" s="132"/>
      <c r="GE17" s="133"/>
      <c r="GF17" s="136"/>
      <c r="GG17" s="189" t="str">
        <f>IFERROR((((COUNTIF('Elève (4ème2)'!GC17:GF17,"A"))*4)+((COUNTIF('Elève (4ème2)'!GC17:GF17,"B"))*3)+((COUNTIF('Elève (4ème2)'!GC17:GF17,"C"))*2)+((COUNTIF('Elève (4ème2)'!GC17:GF17,"D"))*1))/(COUNTA(GC17:GF17)),"")</f>
        <v/>
      </c>
      <c r="GH17" s="190" t="str">
        <f t="shared" si="38"/>
        <v/>
      </c>
      <c r="GI17" s="189">
        <f>IF(COUNT(FU17,GA17,GG17)=0,"",SUM(FU17,GA17,GG17)/COUNT(FU17,GA17,GG17))</f>
        <v>2.666666666666667</v>
      </c>
      <c r="GJ17" s="219" t="str">
        <f t="shared" si="39"/>
        <v>C</v>
      </c>
      <c r="GK17" s="134"/>
      <c r="GL17" s="132"/>
      <c r="GM17" s="129" t="s">
        <v>32</v>
      </c>
      <c r="GN17" s="189">
        <f>IFERROR((((COUNTIF('Elève (4ème2)'!GK17:GM17,"A"))*4)+((COUNTIF('Elève (4ème2)'!GK17:GM17,"B"))*3)+((COUNTIF('Elève (4ème2)'!GK17:GM17,"C"))*2)+((COUNTIF('Elève (4ème2)'!GK17:GM17,"D"))*1))/(COUNTA(GK17:GM17)),"")</f>
        <v>1</v>
      </c>
      <c r="GO17" s="190" t="str">
        <f t="shared" si="40"/>
        <v>D</v>
      </c>
      <c r="GP17" s="134"/>
      <c r="GQ17" s="128" t="s">
        <v>31</v>
      </c>
      <c r="GR17" s="129" t="s">
        <v>31</v>
      </c>
      <c r="GS17" s="129" t="s">
        <v>31</v>
      </c>
      <c r="GT17" s="189">
        <f>IFERROR((((COUNTIF('Elève (4ème2)'!GP17:GS17,"A"))*4)+((COUNTIF('Elève (4ème2)'!GP17:GS17,"B"))*3)+((COUNTIF('Elève (4ème2)'!GP17:GS17,"C"))*2)+((COUNTIF('Elève (4ème2)'!GP17:GS17,"D"))*1))/(COUNTA(GP17:GS17)),"")</f>
        <v>2</v>
      </c>
      <c r="GU17" s="190" t="str">
        <f t="shared" si="41"/>
        <v>C</v>
      </c>
      <c r="GV17" s="134"/>
      <c r="GW17" s="132"/>
      <c r="GX17" s="133"/>
      <c r="GY17" s="136"/>
      <c r="GZ17" s="189" t="str">
        <f>IFERROR((((COUNTIF('Elève (4ème2)'!GV17:GY17,"A"))*4)+((COUNTIF('Elève (4ème2)'!GV17:GY17,"B"))*3)+((COUNTIF('Elève (4ème2)'!GV17:GY17,"C"))*2)+((COUNTIF('Elève (4ème2)'!GV17:GY17,"D"))*1))/(COUNTA(GV17:GY17)),"")</f>
        <v/>
      </c>
      <c r="HA17" s="190" t="str">
        <f t="shared" si="42"/>
        <v/>
      </c>
      <c r="HB17" s="189">
        <f>IF(COUNT(GN17,GT17,GZ17)=0,"",SUM(GN17,GT17,GZ17)/COUNT(GN17,GT17,GZ17))</f>
        <v>1.5</v>
      </c>
      <c r="HC17" s="219" t="str">
        <f t="shared" si="43"/>
        <v>D</v>
      </c>
      <c r="HD17" s="134"/>
      <c r="HE17" s="132"/>
      <c r="HF17" s="129" t="s">
        <v>31</v>
      </c>
      <c r="HG17" s="189">
        <f>IFERROR((((COUNTIF('Elève (4ème2)'!HD17:HF17,"A"))*4)+((COUNTIF('Elève (4ème2)'!HD17:HF17,"B"))*3)+((COUNTIF('Elève (4ème2)'!HD17:HF17,"C"))*2)+((COUNTIF('Elève (4ème2)'!HD17:HF17,"D"))*1))/(COUNTA(HD17:HF17)),"")</f>
        <v>2</v>
      </c>
      <c r="HH17" s="190" t="str">
        <f t="shared" si="44"/>
        <v>C</v>
      </c>
      <c r="HI17" s="134"/>
      <c r="HJ17" s="128" t="s">
        <v>32</v>
      </c>
      <c r="HK17" s="129" t="s">
        <v>30</v>
      </c>
      <c r="HL17" s="129" t="s">
        <v>31</v>
      </c>
      <c r="HM17" s="189">
        <f>IFERROR((((COUNTIF('Elève (4ème2)'!HI17:HL17,"A"))*4)+((COUNTIF('Elève (4ème2)'!HI17:HL17,"B"))*3)+((COUNTIF('Elève (4ème2)'!HI17:HL17,"C"))*2)+((COUNTIF('Elève (4ème2)'!HI17:HL17,"D"))*1))/(COUNTA(HI17:HL17)),"")</f>
        <v>2</v>
      </c>
      <c r="HN17" s="190" t="str">
        <f t="shared" si="45"/>
        <v>C</v>
      </c>
      <c r="HO17" s="134"/>
      <c r="HP17" s="132"/>
      <c r="HQ17" s="133"/>
      <c r="HR17" s="136"/>
      <c r="HS17" s="189" t="str">
        <f>IFERROR((((COUNTIF('Elève (4ème2)'!HO17:HR17,"A"))*4)+((COUNTIF('Elève (4ème2)'!HO17:HR17,"B"))*3)+((COUNTIF('Elève (4ème2)'!HO17:HR17,"C"))*2)+((COUNTIF('Elève (4ème2)'!HO17:HR17,"D"))*1))/(COUNTA(HO17:HR17)),"")</f>
        <v/>
      </c>
      <c r="HT17" s="190" t="str">
        <f t="shared" si="46"/>
        <v/>
      </c>
      <c r="HU17" s="189">
        <f>IF(COUNT(HG17,HM17,HS17)=0,"",SUM(HG17,HM17,HS17)/COUNT(HG17,HM17,HS17))</f>
        <v>2</v>
      </c>
      <c r="HV17" s="219" t="str">
        <f t="shared" si="47"/>
        <v>C</v>
      </c>
      <c r="HW17" s="134"/>
      <c r="HX17" s="132"/>
      <c r="HY17" s="129" t="s">
        <v>31</v>
      </c>
      <c r="HZ17" s="189">
        <f>IFERROR((((COUNTIF('Elève (4ème2)'!HW17:HY17,"A"))*4)+((COUNTIF('Elève (4ème2)'!HW17:HY17,"B"))*3)+((COUNTIF('Elève (4ème2)'!HW17:HY17,"C"))*2)+((COUNTIF('Elève (4ème2)'!HW17:HY17,"D"))*1))/(COUNTA(HW17:HY17)),"")</f>
        <v>2</v>
      </c>
      <c r="IA17" s="190" t="str">
        <f t="shared" si="48"/>
        <v>C</v>
      </c>
      <c r="IB17" s="134"/>
      <c r="IC17" s="128" t="s">
        <v>31</v>
      </c>
      <c r="ID17" s="129" t="s">
        <v>30</v>
      </c>
      <c r="IE17" s="129" t="s">
        <v>31</v>
      </c>
      <c r="IF17" s="189">
        <f>IFERROR((((COUNTIF('Elève (4ème2)'!IB17:IE17,"A"))*4)+((COUNTIF('Elève (4ème2)'!IB17:IE17,"B"))*3)+((COUNTIF('Elève (4ème2)'!IB17:IE17,"C"))*2)+((COUNTIF('Elève (4ème2)'!IB17:IE17,"D"))*1))/(COUNTA(IB17:IE17)),"")</f>
        <v>2.3333333333333335</v>
      </c>
      <c r="IG17" s="190" t="str">
        <f t="shared" si="49"/>
        <v>C</v>
      </c>
      <c r="IH17" s="134"/>
      <c r="II17" s="132"/>
      <c r="IJ17" s="133"/>
      <c r="IK17" s="136"/>
      <c r="IL17" s="189" t="str">
        <f>IFERROR((((COUNTIF('Elève (4ème2)'!IH17:IK17,"A"))*4)+((COUNTIF('Elève (4ème2)'!IH17:IK17,"B"))*3)+((COUNTIF('Elève (4ème2)'!IH17:IK17,"C"))*2)+((COUNTIF('Elève (4ème2)'!IH17:IK17,"D"))*1))/(COUNTA(IH17:IK17)),"")</f>
        <v/>
      </c>
      <c r="IM17" s="190" t="str">
        <f t="shared" si="50"/>
        <v/>
      </c>
      <c r="IN17" s="189">
        <f>IF(COUNT(HZ17,IF17,IL17)=0,"",SUM(HZ17,IF17,IL17)/COUNT(HZ17,IF17,IL17))</f>
        <v>2.166666666666667</v>
      </c>
      <c r="IO17" s="219" t="str">
        <f t="shared" si="51"/>
        <v>C</v>
      </c>
      <c r="IP17" s="134"/>
      <c r="IQ17" s="132"/>
      <c r="IR17" s="129" t="s">
        <v>30</v>
      </c>
      <c r="IS17" s="189">
        <f>IFERROR((((COUNTIF('Elève (4ème2)'!IP17:IR17,"A"))*4)+((COUNTIF('Elève (4ème2)'!IP17:IR17,"B"))*3)+((COUNTIF('Elève (4ème2)'!IP17:IR17,"C"))*2)+((COUNTIF('Elève (4ème2)'!IP17:IR17,"D"))*1))/(COUNTA(IP17:IR17)),"")</f>
        <v>3</v>
      </c>
      <c r="IT17" s="190" t="str">
        <f t="shared" si="52"/>
        <v>B</v>
      </c>
      <c r="IU17" s="134"/>
      <c r="IV17" s="128" t="s">
        <v>30</v>
      </c>
      <c r="IW17" s="129" t="s">
        <v>30</v>
      </c>
      <c r="IX17" s="129" t="s">
        <v>30</v>
      </c>
      <c r="IY17" s="189">
        <f>IFERROR((((COUNTIF('Elève (4ème2)'!IU17:IX17,"A"))*4)+((COUNTIF('Elève (4ème2)'!IU17:IX17,"B"))*3)+((COUNTIF('Elève (4ème2)'!IU17:IX17,"C"))*2)+((COUNTIF('Elève (4ème2)'!IU17:IX17,"D"))*1))/(COUNTA(IU17:IX17)),"")</f>
        <v>3</v>
      </c>
      <c r="IZ17" s="190" t="str">
        <f t="shared" si="53"/>
        <v>B</v>
      </c>
      <c r="JA17" s="134"/>
      <c r="JB17" s="132"/>
      <c r="JC17" s="133"/>
      <c r="JD17" s="136"/>
      <c r="JE17" s="189" t="str">
        <f>IFERROR((((COUNTIF('Elève (4ème2)'!JA17:JD17,"A"))*4)+((COUNTIF('Elève (4ème2)'!JA17:JD17,"B"))*3)+((COUNTIF('Elève (4ème2)'!JA17:JD17,"C"))*2)+((COUNTIF('Elève (4ème2)'!JA17:JD17,"D"))*1))/(COUNTA(JA17:JD17)),"")</f>
        <v/>
      </c>
      <c r="JF17" s="190" t="str">
        <f t="shared" si="54"/>
        <v/>
      </c>
      <c r="JG17" s="189">
        <f>IF(COUNT(IS17,IY17,JE17)=0,"",SUM(IS17,IY17,JE17)/COUNT(IS17,IY17,JE17))</f>
        <v>3</v>
      </c>
      <c r="JH17" s="219" t="str">
        <f t="shared" si="55"/>
        <v>B</v>
      </c>
      <c r="JI17" s="134"/>
      <c r="JJ17" s="132"/>
      <c r="JK17" s="129" t="s">
        <v>31</v>
      </c>
      <c r="JL17" s="189">
        <f>IFERROR((((COUNTIF('Elève (4ème2)'!JI17:JK17,"A"))*4)+((COUNTIF('Elève (4ème2)'!JI17:JK17,"B"))*3)+((COUNTIF('Elève (4ème2)'!JI17:JK17,"C"))*2)+((COUNTIF('Elève (4ème2)'!JI17:JK17,"D"))*1))/(COUNTA(JI17:JK17)),"")</f>
        <v>2</v>
      </c>
      <c r="JM17" s="190" t="str">
        <f t="shared" si="56"/>
        <v>C</v>
      </c>
      <c r="JN17" s="134"/>
      <c r="JO17" s="128" t="s">
        <v>31</v>
      </c>
      <c r="JP17" s="129" t="s">
        <v>30</v>
      </c>
      <c r="JQ17" s="129" t="s">
        <v>30</v>
      </c>
      <c r="JR17" s="189">
        <f>IFERROR((((COUNTIF('Elève (4ème2)'!JN17:JQ17,"A"))*4)+((COUNTIF('Elève (4ème2)'!JN17:JQ17,"B"))*3)+((COUNTIF('Elève (4ème2)'!JN17:JQ17,"C"))*2)+((COUNTIF('Elève (4ème2)'!JN17:JQ17,"D"))*1))/(COUNTA(JN17:JQ17)),"")</f>
        <v>2.6666666666666665</v>
      </c>
      <c r="JS17" s="190" t="str">
        <f t="shared" si="57"/>
        <v>C</v>
      </c>
      <c r="JT17" s="134"/>
      <c r="JU17" s="132"/>
      <c r="JV17" s="133"/>
      <c r="JW17" s="136"/>
      <c r="JX17" s="189" t="str">
        <f>IFERROR((((COUNTIF('Elève (4ème2)'!JT17:JW17,"A"))*4)+((COUNTIF('Elève (4ème2)'!JT17:JW17,"B"))*3)+((COUNTIF('Elève (4ème2)'!JT17:JW17,"C"))*2)+((COUNTIF('Elève (4ème2)'!JT17:JW17,"D"))*1))/(COUNTA(JT17:JW17)),"")</f>
        <v/>
      </c>
      <c r="JY17" s="190" t="str">
        <f t="shared" si="58"/>
        <v/>
      </c>
      <c r="JZ17" s="189">
        <f>IF(COUNT(JL17,JR17,JX17)=0,"",SUM(JL17,JR17,JX17)/COUNT(JL17,JR17,JX17))</f>
        <v>2.333333333333333</v>
      </c>
      <c r="KA17" s="219" t="str">
        <f t="shared" si="59"/>
        <v>C</v>
      </c>
      <c r="KB17" s="134"/>
      <c r="KC17" s="132"/>
      <c r="KD17" s="129" t="s">
        <v>30</v>
      </c>
      <c r="KE17" s="189">
        <f>IFERROR((((COUNTIF('Elève (4ème2)'!KB17:KD17,"A"))*4)+((COUNTIF('Elève (4ème2)'!KB17:KD17,"B"))*3)+((COUNTIF('Elève (4ème2)'!KB17:KD17,"C"))*2)+((COUNTIF('Elève (4ème2)'!KB17:KD17,"D"))*1))/(COUNTA(KB17:KD17)),"")</f>
        <v>3</v>
      </c>
      <c r="KF17" s="190" t="str">
        <f t="shared" si="60"/>
        <v>B</v>
      </c>
      <c r="KG17" s="134"/>
      <c r="KH17" s="128" t="s">
        <v>31</v>
      </c>
      <c r="KI17" s="129" t="s">
        <v>31</v>
      </c>
      <c r="KJ17" s="129" t="s">
        <v>31</v>
      </c>
      <c r="KK17" s="189">
        <f>IFERROR((((COUNTIF('Elève (4ème2)'!KG17:KJ17,"A"))*4)+((COUNTIF('Elève (4ème2)'!KG17:KJ17,"B"))*3)+((COUNTIF('Elève (4ème2)'!KG17:KJ17,"C"))*2)+((COUNTIF('Elève (4ème2)'!KG17:KJ17,"D"))*1))/(COUNTA(KG17:KJ17)),"")</f>
        <v>2</v>
      </c>
      <c r="KL17" s="190" t="str">
        <f t="shared" si="61"/>
        <v>C</v>
      </c>
      <c r="KM17" s="134"/>
      <c r="KN17" s="132"/>
      <c r="KO17" s="133"/>
      <c r="KP17" s="136"/>
      <c r="KQ17" s="189" t="str">
        <f>IFERROR((((COUNTIF('Elève (4ème2)'!KM17:KP17,"A"))*4)+((COUNTIF('Elève (4ème2)'!KM17:KP17,"B"))*3)+((COUNTIF('Elève (4ème2)'!KM17:KP17,"C"))*2)+((COUNTIF('Elève (4ème2)'!KM17:KP17,"D"))*1))/(COUNTA(KM17:KP17)),"")</f>
        <v/>
      </c>
      <c r="KR17" s="190" t="str">
        <f t="shared" si="62"/>
        <v/>
      </c>
      <c r="KS17" s="189">
        <f>IF(COUNT(KE17,KK17,KQ17)=0,"",SUM(KE17,KK17,KQ17)/COUNT(KE17,KK17,KQ17))</f>
        <v>2.5</v>
      </c>
      <c r="KT17" s="219" t="str">
        <f t="shared" si="63"/>
        <v>C</v>
      </c>
      <c r="KU17" s="134"/>
      <c r="KV17" s="132"/>
      <c r="KW17" s="129" t="s">
        <v>31</v>
      </c>
      <c r="KX17" s="189">
        <f>IFERROR((((COUNTIF('Elève (4ème2)'!KU17:KW17,"A"))*4)+((COUNTIF('Elève (4ème2)'!KU17:KW17,"B"))*3)+((COUNTIF('Elève (4ème2)'!KU17:KW17,"C"))*2)+((COUNTIF('Elève (4ème2)'!KU17:KW17,"D"))*1))/(COUNTA(KU17:KW17)),"")</f>
        <v>2</v>
      </c>
      <c r="KY17" s="190" t="str">
        <f t="shared" si="64"/>
        <v>C</v>
      </c>
      <c r="KZ17" s="134"/>
      <c r="LA17" s="128" t="s">
        <v>31</v>
      </c>
      <c r="LB17" s="129" t="s">
        <v>31</v>
      </c>
      <c r="LC17" s="129" t="s">
        <v>32</v>
      </c>
      <c r="LD17" s="189">
        <f>IFERROR((((COUNTIF('Elève (4ème2)'!KZ17:LC17,"A"))*4)+((COUNTIF('Elève (4ème2)'!KZ17:LC17,"B"))*3)+((COUNTIF('Elève (4ème2)'!KZ17:LC17,"C"))*2)+((COUNTIF('Elève (4ème2)'!KZ17:LC17,"D"))*1))/(COUNTA(KZ17:LC17)),"")</f>
        <v>1.6666666666666667</v>
      </c>
      <c r="LE17" s="190" t="str">
        <f t="shared" si="65"/>
        <v>C</v>
      </c>
      <c r="LF17" s="134"/>
      <c r="LG17" s="132"/>
      <c r="LH17" s="133"/>
      <c r="LI17" s="136"/>
      <c r="LJ17" s="189" t="str">
        <f>IFERROR((((COUNTIF('Elève (4ème2)'!LF17:LI17,"A"))*4)+((COUNTIF('Elève (4ème2)'!LF17:LI17,"B"))*3)+((COUNTIF('Elève (4ème2)'!LF17:LI17,"C"))*2)+((COUNTIF('Elève (4ème2)'!LF17:LI17,"D"))*1))/(COUNTA(LF17:LI17)),"")</f>
        <v/>
      </c>
      <c r="LK17" s="190" t="str">
        <f t="shared" si="66"/>
        <v/>
      </c>
      <c r="LL17" s="189">
        <f>IF(COUNT(KX17,LD17,LJ17)=0,"",SUM(KX17,LD17,LJ17)/COUNT(KX17,LD17,LJ17))</f>
        <v>1.8333333333333335</v>
      </c>
      <c r="LM17" s="219" t="str">
        <f t="shared" si="67"/>
        <v>C</v>
      </c>
      <c r="LN17" s="134"/>
      <c r="LO17" s="132"/>
      <c r="LP17" s="129" t="s">
        <v>31</v>
      </c>
      <c r="LQ17" s="189">
        <f>IFERROR((((COUNTIF('Elève (4ème2)'!LN17:LP17,"A"))*4)+((COUNTIF('Elève (4ème2)'!LN17:LP17,"B"))*3)+((COUNTIF('Elève (4ème2)'!LN17:LP17,"C"))*2)+((COUNTIF('Elève (4ème2)'!LN17:LP17,"D"))*1))/(COUNTA(LN17:LP17)),"")</f>
        <v>2</v>
      </c>
      <c r="LR17" s="190" t="str">
        <f t="shared" si="68"/>
        <v>C</v>
      </c>
      <c r="LS17" s="134"/>
      <c r="LT17" s="128" t="s">
        <v>31</v>
      </c>
      <c r="LU17" s="129" t="s">
        <v>32</v>
      </c>
      <c r="LV17" s="129" t="s">
        <v>32</v>
      </c>
      <c r="LW17" s="189">
        <f>IFERROR((((COUNTIF('Elève (4ème2)'!LS17:LV17,"A"))*4)+((COUNTIF('Elève (4ème2)'!LS17:LV17,"B"))*3)+((COUNTIF('Elève (4ème2)'!LS17:LV17,"C"))*2)+((COUNTIF('Elève (4ème2)'!LS17:LV17,"D"))*1))/(COUNTA(LS17:LV17)),"")</f>
        <v>1.3333333333333333</v>
      </c>
      <c r="LX17" s="190" t="str">
        <f t="shared" si="69"/>
        <v>D</v>
      </c>
      <c r="LY17" s="134"/>
      <c r="LZ17" s="132"/>
      <c r="MA17" s="133"/>
      <c r="MB17" s="136"/>
      <c r="MC17" s="189" t="str">
        <f>IFERROR((((COUNTIF('Elève (4ème2)'!LY17:MB17,"A"))*4)+((COUNTIF('Elève (4ème2)'!LY17:MB17,"B"))*3)+((COUNTIF('Elève (4ème2)'!LY17:MB17,"C"))*2)+((COUNTIF('Elève (4ème2)'!LY17:MB17,"D"))*1))/(COUNTA(LY17:MB17)),"")</f>
        <v/>
      </c>
      <c r="MD17" s="190" t="str">
        <f t="shared" si="70"/>
        <v/>
      </c>
      <c r="ME17" s="189">
        <f>IF(COUNT(LQ17,LW17,MC17)=0,"",SUM(LQ17,LW17,MC17)/COUNT(LQ17,LW17,MC17))</f>
        <v>1.6666666666666665</v>
      </c>
      <c r="MF17" s="219" t="str">
        <f t="shared" si="71"/>
        <v>C</v>
      </c>
      <c r="MG17" s="134"/>
      <c r="MH17" s="132"/>
      <c r="MI17" s="129" t="s">
        <v>30</v>
      </c>
      <c r="MJ17" s="189">
        <f>IFERROR((((COUNTIF('Elève (4ème2)'!MG17:MI17,"A"))*4)+((COUNTIF('Elève (4ème2)'!MG17:MI17,"B"))*3)+((COUNTIF('Elève (4ème2)'!MG17:MI17,"C"))*2)+((COUNTIF('Elève (4ème2)'!MG17:MI17,"D"))*1))/(COUNTA(MG17:MI17)),"")</f>
        <v>3</v>
      </c>
      <c r="MK17" s="190" t="str">
        <f t="shared" si="72"/>
        <v>B</v>
      </c>
      <c r="ML17" s="134"/>
      <c r="MM17" s="128" t="s">
        <v>30</v>
      </c>
      <c r="MN17" s="129" t="s">
        <v>30</v>
      </c>
      <c r="MO17" s="129" t="s">
        <v>30</v>
      </c>
      <c r="MP17" s="189">
        <f>IFERROR((((COUNTIF('Elève (4ème2)'!ML17:MO17,"A"))*4)+((COUNTIF('Elève (4ème2)'!ML17:MO17,"B"))*3)+((COUNTIF('Elève (4ème2)'!ML17:MO17,"C"))*2)+((COUNTIF('Elève (4ème2)'!ML17:MO17,"D"))*1))/(COUNTA(ML17:MO17)),"")</f>
        <v>3</v>
      </c>
      <c r="MQ17" s="190" t="str">
        <f t="shared" si="73"/>
        <v>B</v>
      </c>
      <c r="MR17" s="134"/>
      <c r="MS17" s="132"/>
      <c r="MT17" s="133"/>
      <c r="MU17" s="136"/>
      <c r="MV17" s="189" t="str">
        <f>IFERROR((((COUNTIF('Elève (4ème2)'!MR17:MU17,"A"))*4)+((COUNTIF('Elève (4ème2)'!MR17:MU17,"B"))*3)+((COUNTIF('Elève (4ème2)'!MR17:MU17,"C"))*2)+((COUNTIF('Elève (4ème2)'!MR17:MU17,"D"))*1))/(COUNTA(MR17:MU17)),"")</f>
        <v/>
      </c>
      <c r="MW17" s="190" t="str">
        <f t="shared" si="74"/>
        <v/>
      </c>
      <c r="MX17" s="189">
        <f>IF(COUNT(MJ17,MP17,MV17)=0,"",SUM(MJ17,MP17,MV17)/COUNT(MJ17,MP17,MV17))</f>
        <v>3</v>
      </c>
      <c r="MY17" s="219" t="str">
        <f t="shared" si="75"/>
        <v>B</v>
      </c>
      <c r="MZ17" s="134"/>
      <c r="NA17" s="132"/>
      <c r="NB17" s="129" t="s">
        <v>31</v>
      </c>
      <c r="NC17" s="189">
        <f>IFERROR((((COUNTIF('Elève (4ème2)'!MZ17:NB17,"A"))*4)+((COUNTIF('Elève (4ème2)'!MZ17:NB17,"B"))*3)+((COUNTIF('Elève (4ème2)'!MZ17:NB17,"C"))*2)+((COUNTIF('Elève (4ème2)'!MZ17:NB17,"D"))*1))/(COUNTA(MZ17:NB17)),"")</f>
        <v>2</v>
      </c>
      <c r="ND17" s="190" t="str">
        <f t="shared" si="76"/>
        <v>C</v>
      </c>
      <c r="NE17" s="134"/>
      <c r="NF17" s="128" t="s">
        <v>31</v>
      </c>
      <c r="NG17" s="129" t="s">
        <v>30</v>
      </c>
      <c r="NH17" s="129" t="s">
        <v>31</v>
      </c>
      <c r="NI17" s="189">
        <f>IFERROR((((COUNTIF('Elève (4ème2)'!NE17:NH17,"A"))*4)+((COUNTIF('Elève (4ème2)'!NE17:NH17,"B"))*3)+((COUNTIF('Elève (4ème2)'!NE17:NH17,"C"))*2)+((COUNTIF('Elève (4ème2)'!NE17:NH17,"D"))*1))/(COUNTA(NE17:NH17)),"")</f>
        <v>2.3333333333333335</v>
      </c>
      <c r="NJ17" s="190" t="str">
        <f t="shared" si="77"/>
        <v>C</v>
      </c>
      <c r="NK17" s="134"/>
      <c r="NL17" s="132"/>
      <c r="NM17" s="133"/>
      <c r="NN17" s="136"/>
      <c r="NO17" s="189" t="str">
        <f>IFERROR((((COUNTIF('Elève (4ème2)'!NK17:NN17,"A"))*4)+((COUNTIF('Elève (4ème2)'!NK17:NN17,"B"))*3)+((COUNTIF('Elève (4ème2)'!NK17:NN17,"C"))*2)+((COUNTIF('Elève (4ème2)'!NK17:NN17,"D"))*1))/(COUNTA(NK17:NN17)),"")</f>
        <v/>
      </c>
      <c r="NP17" s="190" t="str">
        <f t="shared" si="78"/>
        <v/>
      </c>
      <c r="NQ17" s="189">
        <f>IF(COUNT(NC17,NI17,NO17)=0,"",SUM(NC17,NI17,NO17)/COUNT(NC17,NI17,NO17))</f>
        <v>2.166666666666667</v>
      </c>
      <c r="NR17" s="219" t="str">
        <f t="shared" si="79"/>
        <v>C</v>
      </c>
      <c r="NS17" s="134"/>
      <c r="NT17" s="132"/>
      <c r="NU17" s="129" t="s">
        <v>31</v>
      </c>
      <c r="NV17" s="189">
        <f>IFERROR((((COUNTIF('Elève (4ème2)'!NS17:NU17,"A"))*4)+((COUNTIF('Elève (4ème2)'!NS17:NU17,"B"))*3)+((COUNTIF('Elève (4ème2)'!NS17:NU17,"C"))*2)+((COUNTIF('Elève (4ème2)'!NS17:NU17,"D"))*1))/(COUNTA(NS17:NU17)),"")</f>
        <v>2</v>
      </c>
      <c r="NW17" s="190" t="str">
        <f t="shared" si="80"/>
        <v>C</v>
      </c>
      <c r="NX17" s="134"/>
      <c r="NY17" s="128" t="s">
        <v>31</v>
      </c>
      <c r="NZ17" s="129" t="s">
        <v>30</v>
      </c>
      <c r="OA17" s="129" t="s">
        <v>30</v>
      </c>
      <c r="OB17" s="189">
        <f>IFERROR((((COUNTIF('Elève (4ème2)'!NX17:OA17,"A"))*4)+((COUNTIF('Elève (4ème2)'!NX17:OA17,"B"))*3)+((COUNTIF('Elève (4ème2)'!NX17:OA17,"C"))*2)+((COUNTIF('Elève (4ème2)'!NX17:OA17,"D"))*1))/(COUNTA(NX17:OA17)),"")</f>
        <v>2.6666666666666665</v>
      </c>
      <c r="OC17" s="190" t="str">
        <f t="shared" si="81"/>
        <v>C</v>
      </c>
      <c r="OD17" s="134"/>
      <c r="OE17" s="132"/>
      <c r="OF17" s="133"/>
      <c r="OG17" s="136"/>
      <c r="OH17" s="189" t="str">
        <f>IFERROR((((COUNTIF('Elève (4ème2)'!OD17:OG17,"A"))*4)+((COUNTIF('Elève (4ème2)'!OD17:OG17,"B"))*3)+((COUNTIF('Elève (4ème2)'!OD17:OG17,"C"))*2)+((COUNTIF('Elève (4ème2)'!OD17:OG17,"D"))*1))/(COUNTA(OD17:OG17)),"")</f>
        <v/>
      </c>
      <c r="OI17" s="190" t="str">
        <f t="shared" si="82"/>
        <v/>
      </c>
      <c r="OJ17" s="189">
        <f>IF(COUNT(NV17,OB17,OH17)=0,"",SUM(NV17,OB17,OH17)/COUNT(NV17,OB17,OH17))</f>
        <v>2.333333333333333</v>
      </c>
      <c r="OK17" s="219" t="str">
        <f t="shared" si="83"/>
        <v>C</v>
      </c>
      <c r="OL17" s="134"/>
      <c r="OM17" s="132"/>
      <c r="ON17" s="129" t="s">
        <v>31</v>
      </c>
      <c r="OO17" s="189">
        <f>IFERROR((((COUNTIF('Elève (4ème2)'!OL17:ON17,"A"))*4)+((COUNTIF('Elève (4ème2)'!OL17:ON17,"B"))*3)+((COUNTIF('Elève (4ème2)'!OL17:ON17,"C"))*2)+((COUNTIF('Elève (4ème2)'!OL17:ON17,"D"))*1))/(COUNTA(OL17:ON17)),"")</f>
        <v>2</v>
      </c>
      <c r="OP17" s="190" t="str">
        <f t="shared" si="84"/>
        <v>C</v>
      </c>
      <c r="OQ17" s="134"/>
      <c r="OR17" s="128" t="s">
        <v>31</v>
      </c>
      <c r="OS17" s="129" t="s">
        <v>32</v>
      </c>
      <c r="OT17" s="129" t="s">
        <v>32</v>
      </c>
      <c r="OU17" s="189">
        <f>IFERROR((((COUNTIF('Elève (4ème2)'!OQ17:OT17,"A"))*4)+((COUNTIF('Elève (4ème2)'!OQ17:OT17,"B"))*3)+((COUNTIF('Elève (4ème2)'!OQ17:OT17,"C"))*2)+((COUNTIF('Elève (4ème2)'!OQ17:OT17,"D"))*1))/(COUNTA(OQ17:OT17)),"")</f>
        <v>1.3333333333333333</v>
      </c>
      <c r="OV17" s="190" t="str">
        <f t="shared" si="85"/>
        <v>D</v>
      </c>
      <c r="OW17" s="134"/>
      <c r="OX17" s="132"/>
      <c r="OY17" s="133"/>
      <c r="OZ17" s="136"/>
      <c r="PA17" s="189" t="str">
        <f>IFERROR((((COUNTIF('Elève (4ème2)'!OW17:OZ17,"A"))*4)+((COUNTIF('Elève (4ème2)'!OW17:OZ17,"B"))*3)+((COUNTIF('Elève (4ème2)'!OW17:OZ17,"C"))*2)+((COUNTIF('Elève (4ème2)'!OW17:OZ17,"D"))*1))/(COUNTA(OW17:OZ17)),"")</f>
        <v/>
      </c>
      <c r="PB17" s="190" t="str">
        <f t="shared" si="86"/>
        <v/>
      </c>
      <c r="PC17" s="189">
        <f>IF(COUNT(OO17,OU17,PA17)=0,"",SUM(OO17,OU17,PA17)/COUNT(OO17,OU17,PA17))</f>
        <v>1.6666666666666665</v>
      </c>
      <c r="PD17" s="219" t="str">
        <f t="shared" si="87"/>
        <v>C</v>
      </c>
      <c r="PE17" s="134"/>
      <c r="PF17" s="132"/>
      <c r="PG17" s="129" t="s">
        <v>31</v>
      </c>
      <c r="PH17" s="189">
        <f>IFERROR((((COUNTIF('Elève (4ème2)'!PE17:PG17,"A"))*4)+((COUNTIF('Elève (4ème2)'!PE17:PG17,"B"))*3)+((COUNTIF('Elève (4ème2)'!PE17:PG17,"C"))*2)+((COUNTIF('Elève (4ème2)'!PE17:PG17,"D"))*1))/(COUNTA(PE17:PG17)),"")</f>
        <v>2</v>
      </c>
      <c r="PI17" s="190" t="str">
        <f t="shared" si="88"/>
        <v>C</v>
      </c>
      <c r="PJ17" s="134"/>
      <c r="PK17" s="128" t="s">
        <v>31</v>
      </c>
      <c r="PL17" s="129" t="s">
        <v>32</v>
      </c>
      <c r="PM17" s="129" t="s">
        <v>31</v>
      </c>
      <c r="PN17" s="189">
        <f>IFERROR((((COUNTIF('Elève (4ème2)'!PJ17:PM17,"A"))*4)+((COUNTIF('Elève (4ème2)'!PJ17:PM17,"B"))*3)+((COUNTIF('Elève (4ème2)'!PJ17:PM17,"C"))*2)+((COUNTIF('Elève (4ème2)'!PJ17:PM17,"D"))*1))/(COUNTA(PJ17:PM17)),"")</f>
        <v>1.6666666666666667</v>
      </c>
      <c r="PO17" s="190" t="str">
        <f t="shared" si="89"/>
        <v>C</v>
      </c>
      <c r="PP17" s="134"/>
      <c r="PQ17" s="132"/>
      <c r="PR17" s="133"/>
      <c r="PS17" s="136"/>
      <c r="PT17" s="189" t="str">
        <f>IFERROR((((COUNTIF('Elève (4ème2)'!PP17:PS17,"A"))*4)+((COUNTIF('Elève (4ème2)'!PP17:PS17,"B"))*3)+((COUNTIF('Elève (4ème2)'!PP17:PS17,"C"))*2)+((COUNTIF('Elève (4ème2)'!PP17:PS17,"D"))*1))/(COUNTA(PP17:PS17)),"")</f>
        <v/>
      </c>
      <c r="PU17" s="190" t="str">
        <f t="shared" si="90"/>
        <v/>
      </c>
      <c r="PV17" s="189">
        <f>IF(COUNT(PH17,PN17,PT17)=0,"",SUM(PH17,PN17,PT17)/COUNT(PH17,PN17,PT17))</f>
        <v>1.8333333333333335</v>
      </c>
      <c r="PW17" s="219" t="str">
        <f t="shared" si="91"/>
        <v>C</v>
      </c>
      <c r="PX17" s="134"/>
      <c r="PY17" s="132"/>
      <c r="PZ17" s="129" t="s">
        <v>31</v>
      </c>
      <c r="QA17" s="189">
        <f>IFERROR((((COUNTIF('Elève (4ème2)'!PX17:PZ17,"A"))*4)+((COUNTIF('Elève (4ème2)'!PX17:PZ17,"B"))*3)+((COUNTIF('Elève (4ème2)'!PX17:PZ17,"C"))*2)+((COUNTIF('Elève (4ème2)'!PX17:PZ17,"D"))*1))/(COUNTA(PX17:PZ17)),"")</f>
        <v>2</v>
      </c>
      <c r="QB17" s="190" t="str">
        <f t="shared" si="92"/>
        <v>C</v>
      </c>
      <c r="QC17" s="134"/>
      <c r="QD17" s="128"/>
      <c r="QE17" s="129" t="s">
        <v>30</v>
      </c>
      <c r="QF17" s="129" t="s">
        <v>31</v>
      </c>
      <c r="QG17" s="189">
        <f>IFERROR((((COUNTIF('Elève (4ème2)'!QC17:QF17,"A"))*4)+((COUNTIF('Elève (4ème2)'!QC17:QF17,"B"))*3)+((COUNTIF('Elève (4ème2)'!QC17:QF17,"C"))*2)+((COUNTIF('Elève (4ème2)'!QC17:QF17,"D"))*1))/(COUNTA(QC17:QF17)),"")</f>
        <v>2.5</v>
      </c>
      <c r="QH17" s="190" t="str">
        <f t="shared" si="93"/>
        <v>C</v>
      </c>
      <c r="QI17" s="134"/>
      <c r="QJ17" s="132"/>
      <c r="QK17" s="133"/>
      <c r="QL17" s="136"/>
      <c r="QM17" s="189" t="str">
        <f>IFERROR((((COUNTIF('Elève (4ème2)'!QI17:QL17,"A"))*4)+((COUNTIF('Elève (4ème2)'!QI17:QL17,"B"))*3)+((COUNTIF('Elève (4ème2)'!QI17:QL17,"C"))*2)+((COUNTIF('Elève (4ème2)'!QI17:QL17,"D"))*1))/(COUNTA(QI17:QL17)),"")</f>
        <v/>
      </c>
      <c r="QN17" s="190" t="str">
        <f t="shared" si="94"/>
        <v/>
      </c>
      <c r="QO17" s="189">
        <f>IF(COUNT(QA17,QG17,QM17)=0,"",SUM(QA17,QG17,QM17)/COUNT(QA17,QG17,QM17))</f>
        <v>2.25</v>
      </c>
      <c r="QP17" s="219" t="str">
        <f t="shared" si="95"/>
        <v>C</v>
      </c>
      <c r="QQ17" s="134"/>
      <c r="QR17" s="132"/>
      <c r="QS17" s="129" t="s">
        <v>31</v>
      </c>
      <c r="QT17" s="189">
        <f>IFERROR((((COUNTIF('Elève (4ème2)'!QQ17:QS17,"A"))*4)+((COUNTIF('Elève (4ème2)'!QQ17:QS17,"B"))*3)+((COUNTIF('Elève (4ème2)'!QQ17:QS17,"C"))*2)+((COUNTIF('Elève (4ème2)'!QQ17:QS17,"D"))*1))/(COUNTA(QQ17:QS17)),"")</f>
        <v>2</v>
      </c>
      <c r="QU17" s="190" t="str">
        <f t="shared" si="96"/>
        <v>C</v>
      </c>
      <c r="QV17" s="134"/>
      <c r="QW17" s="128" t="s">
        <v>30</v>
      </c>
      <c r="QX17" s="129" t="s">
        <v>31</v>
      </c>
      <c r="QY17" s="129" t="s">
        <v>31</v>
      </c>
      <c r="QZ17" s="189">
        <f>IFERROR((((COUNTIF('Elève (4ème2)'!QV17:QY17,"A"))*4)+((COUNTIF('Elève (4ème2)'!QV17:QY17,"B"))*3)+((COUNTIF('Elève (4ème2)'!QV17:QY17,"C"))*2)+((COUNTIF('Elève (4ème2)'!QV17:QY17,"D"))*1))/(COUNTA(QV17:QY17)),"")</f>
        <v>2.3333333333333335</v>
      </c>
      <c r="RA17" s="190" t="str">
        <f t="shared" si="97"/>
        <v>C</v>
      </c>
      <c r="RB17" s="134"/>
      <c r="RC17" s="132"/>
      <c r="RD17" s="133"/>
      <c r="RE17" s="136"/>
      <c r="RF17" s="189" t="str">
        <f>IFERROR((((COUNTIF('Elève (4ème2)'!RB17:RE17,"A"))*4)+((COUNTIF('Elève (4ème2)'!RB17:RE17,"B"))*3)+((COUNTIF('Elève (4ème2)'!RB17:RE17,"C"))*2)+((COUNTIF('Elève (4ème2)'!RB17:RE17,"D"))*1))/(COUNTA(RB17:RE17)),"")</f>
        <v/>
      </c>
      <c r="RG17" s="190" t="str">
        <f t="shared" si="98"/>
        <v/>
      </c>
      <c r="RH17" s="189">
        <f>IF(COUNT(QT17,QZ17,RF17)=0,"",SUM(QT17,QZ17,RF17)/COUNT(QT17,QZ17,RF17))</f>
        <v>2.166666666666667</v>
      </c>
      <c r="RI17" s="219" t="str">
        <f t="shared" si="99"/>
        <v>C</v>
      </c>
      <c r="RJ17" s="134"/>
      <c r="RK17" s="132"/>
      <c r="RL17" s="129" t="s">
        <v>31</v>
      </c>
      <c r="RM17" s="189">
        <f>IFERROR((((COUNTIF('Elève (4ème2)'!RJ17:RL17,"A"))*4)+((COUNTIF('Elève (4ème2)'!RJ17:RL17,"B"))*3)+((COUNTIF('Elève (4ème2)'!RJ17:RL17,"C"))*2)+((COUNTIF('Elève (4ème2)'!RJ17:RL17,"D"))*1))/(COUNTA(RJ17:RL17)),"")</f>
        <v>2</v>
      </c>
      <c r="RN17" s="190" t="str">
        <f t="shared" si="100"/>
        <v>C</v>
      </c>
      <c r="RO17" s="134"/>
      <c r="RP17" s="128" t="s">
        <v>30</v>
      </c>
      <c r="RQ17" s="129" t="s">
        <v>31</v>
      </c>
      <c r="RR17" s="129" t="s">
        <v>31</v>
      </c>
      <c r="RS17" s="189">
        <f>IFERROR((((COUNTIF('Elève (4ème2)'!RO17:RR17,"A"))*4)+((COUNTIF('Elève (4ème2)'!RO17:RR17,"B"))*3)+((COUNTIF('Elève (4ème2)'!RO17:RR17,"C"))*2)+((COUNTIF('Elève (4ème2)'!RO17:RR17,"D"))*1))/(COUNTA(RO17:RR17)),"")</f>
        <v>2.3333333333333335</v>
      </c>
      <c r="RT17" s="190" t="str">
        <f t="shared" si="101"/>
        <v>C</v>
      </c>
      <c r="RU17" s="134"/>
      <c r="RV17" s="132"/>
      <c r="RW17" s="133"/>
      <c r="RX17" s="136"/>
      <c r="RY17" s="189" t="str">
        <f>IFERROR((((COUNTIF('Elève (4ème2)'!RU17:RX17,"A"))*4)+((COUNTIF('Elève (4ème2)'!RU17:RX17,"B"))*3)+((COUNTIF('Elève (4ème2)'!RU17:RX17,"C"))*2)+((COUNTIF('Elève (4ème2)'!RU17:RX17,"D"))*1))/(COUNTA(RU17:RX17)),"")</f>
        <v/>
      </c>
      <c r="RZ17" s="190" t="str">
        <f t="shared" si="102"/>
        <v/>
      </c>
      <c r="SA17" s="189">
        <f>IF(COUNT(RM17,RS17,RY17)=0,"",SUM(RM17,RS17,RY17)/COUNT(RM17,RS17,RY17))</f>
        <v>2.166666666666667</v>
      </c>
      <c r="SB17" s="219" t="str">
        <f t="shared" si="103"/>
        <v>C</v>
      </c>
      <c r="SC17" s="134"/>
      <c r="SD17" s="132"/>
      <c r="SE17" s="129" t="s">
        <v>31</v>
      </c>
      <c r="SF17" s="189">
        <f>IFERROR((((COUNTIF('Elève (4ème2)'!SC17:SE17,"A"))*4)+((COUNTIF('Elève (4ème2)'!SC17:SE17,"B"))*3)+((COUNTIF('Elève (4ème2)'!SC17:SE17,"C"))*2)+((COUNTIF('Elève (4ème2)'!SC17:SE17,"D"))*1))/(COUNTA(SC17:SE17)),"")</f>
        <v>2</v>
      </c>
      <c r="SG17" s="190" t="str">
        <f t="shared" si="104"/>
        <v>C</v>
      </c>
      <c r="SH17" s="134"/>
      <c r="SI17" s="128" t="s">
        <v>30</v>
      </c>
      <c r="SJ17" s="129" t="s">
        <v>31</v>
      </c>
      <c r="SK17" s="129" t="s">
        <v>31</v>
      </c>
      <c r="SL17" s="189">
        <f>IFERROR((((COUNTIF('Elève (4ème2)'!SH17:SK17,"A"))*4)+((COUNTIF('Elève (4ème2)'!SH17:SK17,"B"))*3)+((COUNTIF('Elève (4ème2)'!SH17:SK17,"C"))*2)+((COUNTIF('Elève (4ème2)'!SH17:SK17,"D"))*1))/(COUNTA(SH17:SK17)),"")</f>
        <v>2.3333333333333335</v>
      </c>
      <c r="SM17" s="190" t="str">
        <f t="shared" si="105"/>
        <v>C</v>
      </c>
      <c r="SN17" s="134"/>
      <c r="SO17" s="132"/>
      <c r="SP17" s="133"/>
      <c r="SQ17" s="136"/>
      <c r="SR17" s="189" t="str">
        <f>IFERROR((((COUNTIF('Elève (4ème2)'!SN17:SQ17,"A"))*4)+((COUNTIF('Elève (4ème2)'!SN17:SQ17,"B"))*3)+((COUNTIF('Elève (4ème2)'!SN17:SQ17,"C"))*2)+((COUNTIF('Elève (4ème2)'!SN17:SQ17,"D"))*1))/(COUNTA(SN17:SQ17)),"")</f>
        <v/>
      </c>
      <c r="SS17" s="190" t="str">
        <f t="shared" si="106"/>
        <v/>
      </c>
      <c r="ST17" s="189">
        <f>IF(COUNT(SF17,SL17,SR17)=0,"",SUM(SF17,SL17,SR17)/COUNT(SF17,SL17,SR17))</f>
        <v>2.166666666666667</v>
      </c>
      <c r="SU17" s="219" t="str">
        <f t="shared" si="107"/>
        <v>C</v>
      </c>
      <c r="SV17" s="134"/>
      <c r="SW17" s="132"/>
      <c r="SX17" s="133"/>
      <c r="SY17" s="121" t="str">
        <f>IFERROR((((COUNTIF('Elève (4ème2)'!SV17:SX17,"A"))*4)+((COUNTIF('Elève (4ème2)'!SV17:SX17,"B"))*3)+((COUNTIF('Elève (4ème2)'!SV17:SX17,"C"))*2)+((COUNTIF('Elève (4ème2)'!SV17:SX17,"D"))*1))/(COUNTA(SV17:SX17)),"")</f>
        <v/>
      </c>
      <c r="SZ17" s="122" t="str">
        <f t="shared" si="108"/>
        <v/>
      </c>
      <c r="TA17" s="134"/>
      <c r="TB17" s="132"/>
      <c r="TC17" s="133"/>
      <c r="TD17" s="121" t="str">
        <f>IFERROR((((COUNTIF('Elève (4ème2)'!TA17:TC17,"A"))*4)+((COUNTIF('Elève (4ème2)'!TA17:TC17,"B"))*3)+((COUNTIF('Elève (4ème2)'!TA17:TC17,"C"))*2)+((COUNTIF('Elève (4ème2)'!TA17:TC17,"D"))*1))/(COUNTA(TA17:TC17)),"")</f>
        <v/>
      </c>
      <c r="TE17" s="122" t="str">
        <f t="shared" si="109"/>
        <v/>
      </c>
      <c r="TF17" s="134"/>
      <c r="TG17" s="132"/>
      <c r="TH17" s="136"/>
      <c r="TI17" s="121" t="str">
        <f>IFERROR((((COUNTIF('Elève (4ème2)'!TF17:TH17,"A"))*4)+((COUNTIF('Elève (4ème2)'!TF17:TH17,"B"))*3)+((COUNTIF('Elève (4ème2)'!TF17:TH17,"C"))*2)+((COUNTIF('Elève (4ème2)'!TF17:TH17,"D"))*1))/(COUNTA(TF17:TH17)),"")</f>
        <v/>
      </c>
      <c r="TJ17" s="122" t="str">
        <f t="shared" si="110"/>
        <v/>
      </c>
      <c r="TK17" s="121" t="str">
        <f>IF(COUNT(SY17,TD17,TI17)=0,"",SUM(SY17,TD17,TI17)/COUNT(SY17,TD17,TI17))</f>
        <v/>
      </c>
      <c r="TL17" s="151" t="str">
        <f t="shared" si="111"/>
        <v/>
      </c>
      <c r="TM17" s="134"/>
      <c r="TN17" s="132"/>
      <c r="TO17" s="133"/>
      <c r="TP17" s="121" t="str">
        <f>IFERROR((((COUNTIF('Elève (4ème2)'!TM17:TO17,"A"))*4)+((COUNTIF('Elève (4ème2)'!TM17:TO17,"B"))*3)+((COUNTIF('Elève (4ème2)'!TM17:TO17,"C"))*2)+((COUNTIF('Elève (4ème2)'!TM17:TO17,"D"))*1))/(COUNTA(TM17:TO17)),"")</f>
        <v/>
      </c>
      <c r="TQ17" s="122" t="str">
        <f t="shared" si="112"/>
        <v/>
      </c>
      <c r="TR17" s="134"/>
      <c r="TS17" s="132"/>
      <c r="TT17" s="133"/>
      <c r="TU17" s="121" t="str">
        <f>IFERROR((((COUNTIF('Elève (4ème2)'!TR17:TT17,"A"))*4)+((COUNTIF('Elève (4ème2)'!TR17:TT17,"B"))*3)+((COUNTIF('Elève (4ème2)'!TR17:TT17,"C"))*2)+((COUNTIF('Elève (4ème2)'!TR17:TT17,"D"))*1))/(COUNTA(TR17:TT17)),"")</f>
        <v/>
      </c>
      <c r="TV17" s="122" t="str">
        <f t="shared" si="113"/>
        <v/>
      </c>
      <c r="TW17" s="134"/>
      <c r="TX17" s="132"/>
      <c r="TY17" s="136"/>
      <c r="TZ17" s="121" t="str">
        <f>IFERROR((((COUNTIF('Elève (4ème2)'!TW17:TY17,"A"))*4)+((COUNTIF('Elève (4ème2)'!TW17:TY17,"B"))*3)+((COUNTIF('Elève (4ème2)'!TW17:TY17,"C"))*2)+((COUNTIF('Elève (4ème2)'!TW17:TY17,"D"))*1))/(COUNTA(TW17:TY17)),"")</f>
        <v/>
      </c>
      <c r="UA17" s="122" t="str">
        <f t="shared" si="114"/>
        <v/>
      </c>
      <c r="UB17" s="121" t="str">
        <f>IF(COUNT(TP17,TU17,TZ17)=0,"",SUM(TP17,TU17,TZ17)/COUNT(TP17,TU17,TZ17))</f>
        <v/>
      </c>
      <c r="UC17" s="151" t="str">
        <f t="shared" si="115"/>
        <v/>
      </c>
      <c r="UD17" s="134"/>
      <c r="UE17" s="132"/>
      <c r="UF17" s="133"/>
      <c r="UG17" s="121" t="str">
        <f>IFERROR((((COUNTIF('Elève (4ème2)'!UD17:UF17,"A"))*4)+((COUNTIF('Elève (4ème2)'!UD17:UF17,"B"))*3)+((COUNTIF('Elève (4ème2)'!UD17:UF17,"C"))*2)+((COUNTIF('Elève (4ème2)'!UD17:UF17,"D"))*1))/(COUNTA(UD17:UF17)),"")</f>
        <v/>
      </c>
      <c r="UH17" s="122" t="str">
        <f t="shared" si="116"/>
        <v/>
      </c>
      <c r="UI17" s="134"/>
      <c r="UJ17" s="132"/>
      <c r="UK17" s="133"/>
      <c r="UL17" s="121" t="str">
        <f>IFERROR((((COUNTIF('Elève (4ème2)'!UI17:UK17,"A"))*4)+((COUNTIF('Elève (4ème2)'!UI17:UK17,"B"))*3)+((COUNTIF('Elève (4ème2)'!UI17:UK17,"C"))*2)+((COUNTIF('Elève (4ème2)'!UI17:UK17,"D"))*1))/(COUNTA(UI17:UK17)),"")</f>
        <v/>
      </c>
      <c r="UM17" s="122" t="str">
        <f t="shared" si="117"/>
        <v/>
      </c>
      <c r="UN17" s="134"/>
      <c r="UO17" s="132"/>
      <c r="UP17" s="136"/>
      <c r="UQ17" s="121" t="str">
        <f>IFERROR((((COUNTIF('Elève (4ème2)'!UN17:UP17,"A"))*4)+((COUNTIF('Elève (4ème2)'!UN17:UP17,"B"))*3)+((COUNTIF('Elève (4ème2)'!UN17:UP17,"C"))*2)+((COUNTIF('Elève (4ème2)'!UN17:UP17,"D"))*1))/(COUNTA(UN17:UP17)),"")</f>
        <v/>
      </c>
      <c r="UR17" s="122" t="str">
        <f t="shared" si="118"/>
        <v/>
      </c>
      <c r="US17" s="121" t="str">
        <f>IF(COUNT(UG17,UL17,UQ17)=0,"",SUM(UG17,UL17,UQ17)/COUNT(UG17,UL17,UQ17))</f>
        <v/>
      </c>
      <c r="UT17" s="151" t="str">
        <f t="shared" si="119"/>
        <v/>
      </c>
    </row>
    <row r="18" spans="1:566" ht="18" customHeight="1" x14ac:dyDescent="0.25">
      <c r="A18" s="252" t="s">
        <v>24</v>
      </c>
      <c r="B18" s="253"/>
      <c r="C18" s="134"/>
      <c r="D18" s="132"/>
      <c r="E18" s="133"/>
      <c r="F18" s="191" t="str">
        <f>IFERROR((((COUNTIF('Elève (4ème2)'!C18:E18,"A"))*4)+((COUNTIF('Elève (4ème2)'!C18:E18,"B"))*3)+((COUNTIF('Elève (4ème2)'!C18:E18,"C"))*2)+((COUNTIF('Elève (4ème2)'!C18:E18,"D"))*1))/(COUNTA(C18:E18)),"")</f>
        <v/>
      </c>
      <c r="G18" s="192" t="str">
        <f t="shared" si="0"/>
        <v/>
      </c>
      <c r="H18" s="134"/>
      <c r="I18" s="132"/>
      <c r="J18" s="129" t="s">
        <v>32</v>
      </c>
      <c r="K18" s="133"/>
      <c r="L18" s="191">
        <f>IFERROR((((COUNTIF('Elève (4ème2)'!H18:K18,"A"))*4)+((COUNTIF('Elève (4ème2)'!H18:K18,"B"))*3)+((COUNTIF('Elève (4ème2)'!H18:K18,"C"))*2)+((COUNTIF('Elève (4ème2)'!H18:K18,"D"))*1))/(COUNTA(H18:K18)),"")</f>
        <v>1</v>
      </c>
      <c r="M18" s="192" t="str">
        <f t="shared" si="1"/>
        <v>D</v>
      </c>
      <c r="N18" s="134"/>
      <c r="O18" s="132"/>
      <c r="P18" s="133"/>
      <c r="Q18" s="133"/>
      <c r="R18" s="191" t="str">
        <f>IFERROR((((COUNTIF('Elève (4ème2)'!N18:Q18,"A"))*4)+((COUNTIF('Elève (4ème2)'!N18:Q18,"B"))*3)+((COUNTIF('Elève (4ème2)'!N18:Q18,"C"))*2)+((COUNTIF('Elève (4ème2)'!N18:Q18,"D"))*1))/(COUNTA(N18:Q18)),"")</f>
        <v/>
      </c>
      <c r="S18" s="192" t="str">
        <f t="shared" si="2"/>
        <v/>
      </c>
      <c r="T18" s="191">
        <f>IF(COUNT(F18,L18,R18)=0,"",SUM(F18,L18,R18)/COUNT(F18,L18,R18))</f>
        <v>1</v>
      </c>
      <c r="U18" s="215" t="str">
        <f t="shared" si="3"/>
        <v>D</v>
      </c>
      <c r="V18" s="127" t="s">
        <v>31</v>
      </c>
      <c r="W18" s="132"/>
      <c r="X18" s="133"/>
      <c r="Y18" s="191">
        <f>IFERROR((((COUNTIF('Elève (4ème2)'!V18:X18,"A"))*4)+((COUNTIF('Elève (4ème2)'!V18:X18,"B"))*3)+((COUNTIF('Elève (4ème2)'!V18:X18,"C"))*2)+((COUNTIF('Elève (4ème2)'!V18:X18,"D"))*1))/(COUNTA(V18:X18)),"")</f>
        <v>2</v>
      </c>
      <c r="Z18" s="192" t="str">
        <f t="shared" si="4"/>
        <v>C</v>
      </c>
      <c r="AA18" s="134"/>
      <c r="AB18" s="132"/>
      <c r="AC18" s="129" t="s">
        <v>30</v>
      </c>
      <c r="AD18" s="133"/>
      <c r="AE18" s="191">
        <f>IFERROR((((COUNTIF('Elève (4ème2)'!AA18:AD18,"A"))*4)+((COUNTIF('Elève (4ème2)'!AA18:AD18,"B"))*3)+((COUNTIF('Elève (4ème2)'!AA18:AD18,"C"))*2)+((COUNTIF('Elève (4ème2)'!AA18:AD18,"D"))*1))/(COUNTA(AA18:AD18)),"")</f>
        <v>3</v>
      </c>
      <c r="AF18" s="192" t="str">
        <f t="shared" si="5"/>
        <v>B</v>
      </c>
      <c r="AG18" s="134"/>
      <c r="AH18" s="132"/>
      <c r="AI18" s="133"/>
      <c r="AJ18" s="136"/>
      <c r="AK18" s="191" t="str">
        <f>IFERROR((((COUNTIF('Elève (4ème2)'!AG18:AJ18,"A"))*4)+((COUNTIF('Elève (4ème2)'!AG18:AJ18,"B"))*3)+((COUNTIF('Elève (4ème2)'!AG18:AJ18,"C"))*2)+((COUNTIF('Elève (4ème2)'!AG18:AJ18,"D"))*1))/(COUNTA(AG18:AJ18)),"")</f>
        <v/>
      </c>
      <c r="AL18" s="192" t="str">
        <f t="shared" si="6"/>
        <v/>
      </c>
      <c r="AM18" s="191">
        <f>IF(COUNT(Y18,AE18,AK18)=0,"",SUM(Y18,AE18,AK18)/COUNT(Y18,AE18,AK18))</f>
        <v>2.5</v>
      </c>
      <c r="AN18" s="215" t="str">
        <f t="shared" si="7"/>
        <v>C</v>
      </c>
      <c r="AO18" s="127" t="s">
        <v>32</v>
      </c>
      <c r="AP18" s="132"/>
      <c r="AQ18" s="133"/>
      <c r="AR18" s="191">
        <f>IFERROR((((COUNTIF('Elève (4ème2)'!AO18:AQ18,"A"))*4)+((COUNTIF('Elève (4ème2)'!AO18:AQ18,"B"))*3)+((COUNTIF('Elève (4ème2)'!AO18:AQ18,"C"))*2)+((COUNTIF('Elève (4ème2)'!AO18:AQ18,"D"))*1))/(COUNTA(AO18:AQ18)),"")</f>
        <v>1</v>
      </c>
      <c r="AS18" s="192" t="str">
        <f t="shared" si="8"/>
        <v>D</v>
      </c>
      <c r="AT18" s="134"/>
      <c r="AU18" s="132"/>
      <c r="AV18" s="129" t="s">
        <v>32</v>
      </c>
      <c r="AW18" s="133"/>
      <c r="AX18" s="191">
        <f>IFERROR((((COUNTIF('Elève (4ème2)'!AT18:AW18,"A"))*4)+((COUNTIF('Elève (4ème2)'!AT18:AW18,"B"))*3)+((COUNTIF('Elève (4ème2)'!AT18:AW18,"C"))*2)+((COUNTIF('Elève (4ème2)'!AT18:AW18,"D"))*1))/(COUNTA(AT18:AW18)),"")</f>
        <v>1</v>
      </c>
      <c r="AY18" s="192" t="str">
        <f t="shared" si="9"/>
        <v>D</v>
      </c>
      <c r="AZ18" s="134"/>
      <c r="BA18" s="132"/>
      <c r="BB18" s="133"/>
      <c r="BC18" s="136"/>
      <c r="BD18" s="191" t="str">
        <f>IFERROR((((COUNTIF('Elève (4ème2)'!AZ18:BC18,"A"))*4)+((COUNTIF('Elève (4ème2)'!AZ18:BC18,"B"))*3)+((COUNTIF('Elève (4ème2)'!AZ18:BC18,"C"))*2)+((COUNTIF('Elève (4ème2)'!AZ18:BC18,"D"))*1))/(COUNTA(AZ18:BC18)),"")</f>
        <v/>
      </c>
      <c r="BE18" s="192" t="str">
        <f t="shared" si="10"/>
        <v/>
      </c>
      <c r="BF18" s="191">
        <f>IF(COUNT(AR18,AX18,BD18)=0,"",SUM(AR18,AX18,BD18)/COUNT(AR18,AX18,BD18))</f>
        <v>1</v>
      </c>
      <c r="BG18" s="215" t="str">
        <f t="shared" si="11"/>
        <v>D</v>
      </c>
      <c r="BH18" s="127"/>
      <c r="BI18" s="132"/>
      <c r="BJ18" s="133"/>
      <c r="BK18" s="191" t="str">
        <f>IFERROR((((COUNTIF('Elève (4ème2)'!BH18:BJ18,"A"))*4)+((COUNTIF('Elève (4ème2)'!BH18:BJ18,"B"))*3)+((COUNTIF('Elève (4ème2)'!BH18:BJ18,"C"))*2)+((COUNTIF('Elève (4ème2)'!BH18:BJ18,"D"))*1))/(COUNTA(BH18:BJ18)),"")</f>
        <v/>
      </c>
      <c r="BL18" s="192" t="str">
        <f t="shared" si="12"/>
        <v/>
      </c>
      <c r="BM18" s="134"/>
      <c r="BN18" s="132"/>
      <c r="BO18" s="129" t="s">
        <v>32</v>
      </c>
      <c r="BP18" s="133"/>
      <c r="BQ18" s="191">
        <f>IFERROR((((COUNTIF('Elève (4ème2)'!BM18:BP18,"A"))*4)+((COUNTIF('Elève (4ème2)'!BM18:BP18,"B"))*3)+((COUNTIF('Elève (4ème2)'!BM18:BP18,"C"))*2)+((COUNTIF('Elève (4ème2)'!BM18:BP18,"D"))*1))/(COUNTA(BM18:BP18)),"")</f>
        <v>1</v>
      </c>
      <c r="BR18" s="192" t="str">
        <f t="shared" si="13"/>
        <v>D</v>
      </c>
      <c r="BS18" s="134"/>
      <c r="BT18" s="132"/>
      <c r="BU18" s="133"/>
      <c r="BV18" s="136"/>
      <c r="BW18" s="191" t="str">
        <f>IFERROR((((COUNTIF('Elève (4ème2)'!BS18:BV18,"A"))*4)+((COUNTIF('Elève (4ème2)'!BS18:BV18,"B"))*3)+((COUNTIF('Elève (4ème2)'!BS18:BV18,"C"))*2)+((COUNTIF('Elève (4ème2)'!BS18:BV18,"D"))*1))/(COUNTA(BS18:BV18)),"")</f>
        <v/>
      </c>
      <c r="BX18" s="192" t="str">
        <f t="shared" si="14"/>
        <v/>
      </c>
      <c r="BY18" s="191">
        <f>IF(COUNT(BK18,BQ18,BW18)=0,"",SUM(BK18,BQ18,BW18)/COUNT(BK18,BQ18,BW18))</f>
        <v>1</v>
      </c>
      <c r="BZ18" s="215" t="str">
        <f t="shared" si="15"/>
        <v>D</v>
      </c>
      <c r="CA18" s="127" t="s">
        <v>31</v>
      </c>
      <c r="CB18" s="132"/>
      <c r="CC18" s="133"/>
      <c r="CD18" s="191">
        <f>IFERROR((((COUNTIF('Elève (4ème2)'!CA18:CC18,"A"))*4)+((COUNTIF('Elève (4ème2)'!CA18:CC18,"B"))*3)+((COUNTIF('Elève (4ème2)'!CA18:CC18,"C"))*2)+((COUNTIF('Elève (4ème2)'!CA18:CC18,"D"))*1))/(COUNTA(CA18:CC18)),"")</f>
        <v>2</v>
      </c>
      <c r="CE18" s="192" t="str">
        <f t="shared" si="16"/>
        <v>C</v>
      </c>
      <c r="CF18" s="134"/>
      <c r="CG18" s="132"/>
      <c r="CH18" s="129" t="s">
        <v>30</v>
      </c>
      <c r="CI18" s="133"/>
      <c r="CJ18" s="191">
        <f>IFERROR((((COUNTIF('Elève (4ème2)'!CF18:CI18,"A"))*4)+((COUNTIF('Elève (4ème2)'!CF18:CI18,"B"))*3)+((COUNTIF('Elève (4ème2)'!CF18:CI18,"C"))*2)+((COUNTIF('Elève (4ème2)'!CF18:CI18,"D"))*1))/(COUNTA(CF18:CI18)),"")</f>
        <v>3</v>
      </c>
      <c r="CK18" s="192" t="str">
        <f t="shared" si="17"/>
        <v>B</v>
      </c>
      <c r="CL18" s="134"/>
      <c r="CM18" s="132"/>
      <c r="CN18" s="133"/>
      <c r="CO18" s="136"/>
      <c r="CP18" s="191" t="str">
        <f>IFERROR((((COUNTIF('Elève (4ème2)'!CL18:CO18,"A"))*4)+((COUNTIF('Elève (4ème2)'!CL18:CO18,"B"))*3)+((COUNTIF('Elève (4ème2)'!CL18:CO18,"C"))*2)+((COUNTIF('Elève (4ème2)'!CL18:CO18,"D"))*1))/(COUNTA(CL18:CO18)),"")</f>
        <v/>
      </c>
      <c r="CQ18" s="192" t="str">
        <f t="shared" si="18"/>
        <v/>
      </c>
      <c r="CR18" s="191">
        <f>IF(COUNT(CD18,CJ18,CP18)=0,"",SUM(CD18,CJ18,CP18)/COUNT(CD18,CJ18,CP18))</f>
        <v>2.5</v>
      </c>
      <c r="CS18" s="215" t="str">
        <f t="shared" si="19"/>
        <v>C</v>
      </c>
      <c r="CT18" s="127" t="s">
        <v>31</v>
      </c>
      <c r="CU18" s="132"/>
      <c r="CV18" s="133"/>
      <c r="CW18" s="191">
        <f>IFERROR((((COUNTIF('Elève (4ème2)'!CT18:CV18,"A"))*4)+((COUNTIF('Elève (4ème2)'!CT18:CV18,"B"))*3)+((COUNTIF('Elève (4ème2)'!CT18:CV18,"C"))*2)+((COUNTIF('Elève (4ème2)'!CT18:CV18,"D"))*1))/(COUNTA(CT18:CV18)),"")</f>
        <v>2</v>
      </c>
      <c r="CX18" s="192" t="str">
        <f t="shared" si="20"/>
        <v>C</v>
      </c>
      <c r="CY18" s="134"/>
      <c r="CZ18" s="132"/>
      <c r="DA18" s="129" t="s">
        <v>32</v>
      </c>
      <c r="DB18" s="133"/>
      <c r="DC18" s="191">
        <f>IFERROR((((COUNTIF('Elève (4ème2)'!CY18:DB18,"A"))*4)+((COUNTIF('Elève (4ème2)'!CY18:DB18,"B"))*3)+((COUNTIF('Elève (4ème2)'!CY18:DB18,"C"))*2)+((COUNTIF('Elève (4ème2)'!CY18:DB18,"D"))*1))/(COUNTA(CY18:DB18)),"")</f>
        <v>1</v>
      </c>
      <c r="DD18" s="192" t="str">
        <f t="shared" si="21"/>
        <v>D</v>
      </c>
      <c r="DE18" s="134"/>
      <c r="DF18" s="132"/>
      <c r="DG18" s="133"/>
      <c r="DH18" s="136"/>
      <c r="DI18" s="191" t="str">
        <f>IFERROR((((COUNTIF('Elève (4ème2)'!DE18:DH18,"A"))*4)+((COUNTIF('Elève (4ème2)'!DE18:DH18,"B"))*3)+((COUNTIF('Elève (4ème2)'!DE18:DH18,"C"))*2)+((COUNTIF('Elève (4ème2)'!DE18:DH18,"D"))*1))/(COUNTA(DE18:DH18)),"")</f>
        <v/>
      </c>
      <c r="DJ18" s="192" t="str">
        <f t="shared" si="22"/>
        <v/>
      </c>
      <c r="DK18" s="191">
        <f>IF(COUNT(CW18,DC18,DI18)=0,"",SUM(CW18,DC18,DI18)/COUNT(CW18,DC18,DI18))</f>
        <v>1.5</v>
      </c>
      <c r="DL18" s="215" t="str">
        <f t="shared" si="23"/>
        <v>D</v>
      </c>
      <c r="DM18" s="127" t="s">
        <v>31</v>
      </c>
      <c r="DN18" s="132"/>
      <c r="DO18" s="133"/>
      <c r="DP18" s="191">
        <f>IFERROR((((COUNTIF('Elève (4ème2)'!DM18:DO18,"A"))*4)+((COUNTIF('Elève (4ème2)'!DM18:DO18,"B"))*3)+((COUNTIF('Elève (4ème2)'!DM18:DO18,"C"))*2)+((COUNTIF('Elève (4ème2)'!DM18:DO18,"D"))*1))/(COUNTA(DM18:DO18)),"")</f>
        <v>2</v>
      </c>
      <c r="DQ18" s="192" t="str">
        <f t="shared" si="24"/>
        <v>C</v>
      </c>
      <c r="DR18" s="134"/>
      <c r="DS18" s="132"/>
      <c r="DT18" s="129" t="s">
        <v>32</v>
      </c>
      <c r="DU18" s="133"/>
      <c r="DV18" s="191">
        <f>IFERROR((((COUNTIF('Elève (4ème2)'!DR18:DU18,"A"))*4)+((COUNTIF('Elève (4ème2)'!DR18:DU18,"B"))*3)+((COUNTIF('Elève (4ème2)'!DR18:DU18,"C"))*2)+((COUNTIF('Elève (4ème2)'!DR18:DU18,"D"))*1))/(COUNTA(DR18:DU18)),"")</f>
        <v>1</v>
      </c>
      <c r="DW18" s="192" t="str">
        <f t="shared" si="25"/>
        <v>D</v>
      </c>
      <c r="DX18" s="134"/>
      <c r="DY18" s="132"/>
      <c r="DZ18" s="133"/>
      <c r="EA18" s="136"/>
      <c r="EB18" s="191" t="str">
        <f>IFERROR((((COUNTIF('Elève (4ème2)'!DX18:EA18,"A"))*4)+((COUNTIF('Elève (4ème2)'!DX18:EA18,"B"))*3)+((COUNTIF('Elève (4ème2)'!DX18:EA18,"C"))*2)+((COUNTIF('Elève (4ème2)'!DX18:EA18,"D"))*1))/(COUNTA(DX18:EA18)),"")</f>
        <v/>
      </c>
      <c r="EC18" s="192" t="str">
        <f t="shared" si="26"/>
        <v/>
      </c>
      <c r="ED18" s="191">
        <f>IF(COUNT(DP18,DV18,EB18)=0,"",SUM(DP18,DV18,EB18)/COUNT(DP18,DV18,EB18))</f>
        <v>1.5</v>
      </c>
      <c r="EE18" s="215" t="str">
        <f t="shared" si="27"/>
        <v>D</v>
      </c>
      <c r="EF18" s="127"/>
      <c r="EG18" s="132"/>
      <c r="EH18" s="133"/>
      <c r="EI18" s="191" t="str">
        <f>IFERROR((((COUNTIF('Elève (4ème2)'!EF18:EH18,"A"))*4)+((COUNTIF('Elève (4ème2)'!EF18:EH18,"B"))*3)+((COUNTIF('Elève (4ème2)'!EF18:EH18,"C"))*2)+((COUNTIF('Elève (4ème2)'!EF18:EH18,"D"))*1))/(COUNTA(EF18:EH18)),"")</f>
        <v/>
      </c>
      <c r="EJ18" s="192" t="str">
        <f t="shared" si="28"/>
        <v/>
      </c>
      <c r="EK18" s="134"/>
      <c r="EL18" s="132"/>
      <c r="EM18" s="129" t="s">
        <v>31</v>
      </c>
      <c r="EN18" s="133"/>
      <c r="EO18" s="191">
        <f>IFERROR((((COUNTIF('Elève (4ème2)'!EK18:EN18,"A"))*4)+((COUNTIF('Elève (4ème2)'!EK18:EN18,"B"))*3)+((COUNTIF('Elève (4ème2)'!EK18:EN18,"C"))*2)+((COUNTIF('Elève (4ème2)'!EK18:EN18,"D"))*1))/(COUNTA(EK18:EN18)),"")</f>
        <v>2</v>
      </c>
      <c r="EP18" s="192" t="str">
        <f t="shared" si="29"/>
        <v>C</v>
      </c>
      <c r="EQ18" s="134"/>
      <c r="ER18" s="132"/>
      <c r="ES18" s="133"/>
      <c r="ET18" s="136"/>
      <c r="EU18" s="191" t="str">
        <f>IFERROR((((COUNTIF('Elève (4ème2)'!EQ18:ET18,"A"))*4)+((COUNTIF('Elève (4ème2)'!EQ18:ET18,"B"))*3)+((COUNTIF('Elève (4ème2)'!EQ18:ET18,"C"))*2)+((COUNTIF('Elève (4ème2)'!EQ18:ET18,"D"))*1))/(COUNTA(EQ18:ET18)),"")</f>
        <v/>
      </c>
      <c r="EV18" s="192" t="str">
        <f t="shared" si="30"/>
        <v/>
      </c>
      <c r="EW18" s="191">
        <f>IF(COUNT(EI18,EO18,EU18)=0,"",SUM(EI18,EO18,EU18)/COUNT(EI18,EO18,EU18))</f>
        <v>2</v>
      </c>
      <c r="EX18" s="215" t="str">
        <f t="shared" si="31"/>
        <v>C</v>
      </c>
      <c r="EY18" s="127" t="s">
        <v>31</v>
      </c>
      <c r="EZ18" s="132"/>
      <c r="FA18" s="133"/>
      <c r="FB18" s="191">
        <f>IFERROR((((COUNTIF('Elève (4ème2)'!EY18:FA18,"A"))*4)+((COUNTIF('Elève (4ème2)'!EY18:FA18,"B"))*3)+((COUNTIF('Elève (4ème2)'!EY18:FA18,"C"))*2)+((COUNTIF('Elève (4ème2)'!EY18:FA18,"D"))*1))/(COUNTA(EY18:FA18)),"")</f>
        <v>2</v>
      </c>
      <c r="FC18" s="192" t="str">
        <f t="shared" si="32"/>
        <v>C</v>
      </c>
      <c r="FD18" s="134"/>
      <c r="FE18" s="132"/>
      <c r="FF18" s="129" t="s">
        <v>31</v>
      </c>
      <c r="FG18" s="133"/>
      <c r="FH18" s="191">
        <f>IFERROR((((COUNTIF('Elève (4ème2)'!FD18:FG18,"A"))*4)+((COUNTIF('Elève (4ème2)'!FD18:FG18,"B"))*3)+((COUNTIF('Elève (4ème2)'!FD18:FG18,"C"))*2)+((COUNTIF('Elève (4ème2)'!FD18:FG18,"D"))*1))/(COUNTA(FD18:FG18)),"")</f>
        <v>2</v>
      </c>
      <c r="FI18" s="192" t="str">
        <f t="shared" si="33"/>
        <v>C</v>
      </c>
      <c r="FJ18" s="134"/>
      <c r="FK18" s="132"/>
      <c r="FL18" s="133"/>
      <c r="FM18" s="136"/>
      <c r="FN18" s="191" t="str">
        <f>IFERROR((((COUNTIF('Elève (4ème2)'!FJ18:FM18,"A"))*4)+((COUNTIF('Elève (4ème2)'!FJ18:FM18,"B"))*3)+((COUNTIF('Elève (4ème2)'!FJ18:FM18,"C"))*2)+((COUNTIF('Elève (4ème2)'!FJ18:FM18,"D"))*1))/(COUNTA(FJ18:FM18)),"")</f>
        <v/>
      </c>
      <c r="FO18" s="192" t="str">
        <f t="shared" si="34"/>
        <v/>
      </c>
      <c r="FP18" s="191">
        <f>IF(COUNT(FB18,FH18,FN18)=0,"",SUM(FB18,FH18,FN18)/COUNT(FB18,FH18,FN18))</f>
        <v>2</v>
      </c>
      <c r="FQ18" s="215" t="str">
        <f t="shared" si="35"/>
        <v>C</v>
      </c>
      <c r="FR18" s="127" t="s">
        <v>31</v>
      </c>
      <c r="FS18" s="132"/>
      <c r="FT18" s="133"/>
      <c r="FU18" s="191">
        <f>IFERROR((((COUNTIF('Elève (4ème2)'!FR18:FT18,"A"))*4)+((COUNTIF('Elève (4ème2)'!FR18:FT18,"B"))*3)+((COUNTIF('Elève (4ème2)'!FR18:FT18,"C"))*2)+((COUNTIF('Elève (4ème2)'!FR18:FT18,"D"))*1))/(COUNTA(FR18:FT18)),"")</f>
        <v>2</v>
      </c>
      <c r="FV18" s="192" t="str">
        <f t="shared" si="36"/>
        <v>C</v>
      </c>
      <c r="FW18" s="134"/>
      <c r="FX18" s="132"/>
      <c r="FY18" s="129" t="s">
        <v>31</v>
      </c>
      <c r="FZ18" s="133"/>
      <c r="GA18" s="191">
        <f>IFERROR((((COUNTIF('Elève (4ème2)'!FW18:FZ18,"A"))*4)+((COUNTIF('Elève (4ème2)'!FW18:FZ18,"B"))*3)+((COUNTIF('Elève (4ème2)'!FW18:FZ18,"C"))*2)+((COUNTIF('Elève (4ème2)'!FW18:FZ18,"D"))*1))/(COUNTA(FW18:FZ18)),"")</f>
        <v>2</v>
      </c>
      <c r="GB18" s="192" t="str">
        <f t="shared" si="37"/>
        <v>C</v>
      </c>
      <c r="GC18" s="134"/>
      <c r="GD18" s="132"/>
      <c r="GE18" s="133"/>
      <c r="GF18" s="136"/>
      <c r="GG18" s="191" t="str">
        <f>IFERROR((((COUNTIF('Elève (4ème2)'!GC18:GF18,"A"))*4)+((COUNTIF('Elève (4ème2)'!GC18:GF18,"B"))*3)+((COUNTIF('Elève (4ème2)'!GC18:GF18,"C"))*2)+((COUNTIF('Elève (4ème2)'!GC18:GF18,"D"))*1))/(COUNTA(GC18:GF18)),"")</f>
        <v/>
      </c>
      <c r="GH18" s="192" t="str">
        <f t="shared" si="38"/>
        <v/>
      </c>
      <c r="GI18" s="191">
        <f>IF(COUNT(FU18,GA18,GG18)=0,"",SUM(FU18,GA18,GG18)/COUNT(FU18,GA18,GG18))</f>
        <v>2</v>
      </c>
      <c r="GJ18" s="215" t="str">
        <f t="shared" si="39"/>
        <v>C</v>
      </c>
      <c r="GK18" s="127"/>
      <c r="GL18" s="132"/>
      <c r="GM18" s="133"/>
      <c r="GN18" s="191" t="str">
        <f>IFERROR((((COUNTIF('Elève (4ème2)'!GK18:GM18,"A"))*4)+((COUNTIF('Elève (4ème2)'!GK18:GM18,"B"))*3)+((COUNTIF('Elève (4ème2)'!GK18:GM18,"C"))*2)+((COUNTIF('Elève (4ème2)'!GK18:GM18,"D"))*1))/(COUNTA(GK18:GM18)),"")</f>
        <v/>
      </c>
      <c r="GO18" s="192" t="str">
        <f t="shared" si="40"/>
        <v/>
      </c>
      <c r="GP18" s="134"/>
      <c r="GQ18" s="132"/>
      <c r="GR18" s="129"/>
      <c r="GS18" s="133"/>
      <c r="GT18" s="191" t="str">
        <f>IFERROR((((COUNTIF('Elève (4ème2)'!GP18:GS18,"A"))*4)+((COUNTIF('Elève (4ème2)'!GP18:GS18,"B"))*3)+((COUNTIF('Elève (4ème2)'!GP18:GS18,"C"))*2)+((COUNTIF('Elève (4ème2)'!GP18:GS18,"D"))*1))/(COUNTA(GP18:GS18)),"")</f>
        <v/>
      </c>
      <c r="GU18" s="192" t="str">
        <f t="shared" si="41"/>
        <v/>
      </c>
      <c r="GV18" s="134"/>
      <c r="GW18" s="132"/>
      <c r="GX18" s="133"/>
      <c r="GY18" s="136"/>
      <c r="GZ18" s="191" t="str">
        <f>IFERROR((((COUNTIF('Elève (4ème2)'!GV18:GY18,"A"))*4)+((COUNTIF('Elève (4ème2)'!GV18:GY18,"B"))*3)+((COUNTIF('Elève (4ème2)'!GV18:GY18,"C"))*2)+((COUNTIF('Elève (4ème2)'!GV18:GY18,"D"))*1))/(COUNTA(GV18:GY18)),"")</f>
        <v/>
      </c>
      <c r="HA18" s="192" t="str">
        <f t="shared" si="42"/>
        <v/>
      </c>
      <c r="HB18" s="191" t="str">
        <f>IF(COUNT(GN18,GT18,GZ18)=0,"",SUM(GN18,GT18,GZ18)/COUNT(GN18,GT18,GZ18))</f>
        <v/>
      </c>
      <c r="HC18" s="215" t="str">
        <f t="shared" si="43"/>
        <v/>
      </c>
      <c r="HD18" s="127" t="s">
        <v>29</v>
      </c>
      <c r="HE18" s="132"/>
      <c r="HF18" s="133"/>
      <c r="HG18" s="191">
        <f>IFERROR((((COUNTIF('Elève (4ème2)'!HD18:HF18,"A"))*4)+((COUNTIF('Elève (4ème2)'!HD18:HF18,"B"))*3)+((COUNTIF('Elève (4ème2)'!HD18:HF18,"C"))*2)+((COUNTIF('Elève (4ème2)'!HD18:HF18,"D"))*1))/(COUNTA(HD18:HF18)),"")</f>
        <v>4</v>
      </c>
      <c r="HH18" s="192" t="str">
        <f t="shared" si="44"/>
        <v>A</v>
      </c>
      <c r="HI18" s="134"/>
      <c r="HJ18" s="132"/>
      <c r="HK18" s="129" t="s">
        <v>31</v>
      </c>
      <c r="HL18" s="133"/>
      <c r="HM18" s="191">
        <f>IFERROR((((COUNTIF('Elève (4ème2)'!HI18:HL18,"A"))*4)+((COUNTIF('Elève (4ème2)'!HI18:HL18,"B"))*3)+((COUNTIF('Elève (4ème2)'!HI18:HL18,"C"))*2)+((COUNTIF('Elève (4ème2)'!HI18:HL18,"D"))*1))/(COUNTA(HI18:HL18)),"")</f>
        <v>2</v>
      </c>
      <c r="HN18" s="192" t="str">
        <f t="shared" si="45"/>
        <v>C</v>
      </c>
      <c r="HO18" s="134"/>
      <c r="HP18" s="132"/>
      <c r="HQ18" s="133"/>
      <c r="HR18" s="136"/>
      <c r="HS18" s="191" t="str">
        <f>IFERROR((((COUNTIF('Elève (4ème2)'!HO18:HR18,"A"))*4)+((COUNTIF('Elève (4ème2)'!HO18:HR18,"B"))*3)+((COUNTIF('Elève (4ème2)'!HO18:HR18,"C"))*2)+((COUNTIF('Elève (4ème2)'!HO18:HR18,"D"))*1))/(COUNTA(HO18:HR18)),"")</f>
        <v/>
      </c>
      <c r="HT18" s="192" t="str">
        <f t="shared" si="46"/>
        <v/>
      </c>
      <c r="HU18" s="191">
        <f>IF(COUNT(HG18,HM18,HS18)=0,"",SUM(HG18,HM18,HS18)/COUNT(HG18,HM18,HS18))</f>
        <v>3</v>
      </c>
      <c r="HV18" s="215" t="str">
        <f t="shared" si="47"/>
        <v>B</v>
      </c>
      <c r="HW18" s="127"/>
      <c r="HX18" s="132"/>
      <c r="HY18" s="133"/>
      <c r="HZ18" s="191" t="str">
        <f>IFERROR((((COUNTIF('Elève (4ème2)'!HW18:HY18,"A"))*4)+((COUNTIF('Elève (4ème2)'!HW18:HY18,"B"))*3)+((COUNTIF('Elève (4ème2)'!HW18:HY18,"C"))*2)+((COUNTIF('Elève (4ème2)'!HW18:HY18,"D"))*1))/(COUNTA(HW18:HY18)),"")</f>
        <v/>
      </c>
      <c r="IA18" s="192" t="str">
        <f t="shared" si="48"/>
        <v/>
      </c>
      <c r="IB18" s="134"/>
      <c r="IC18" s="132"/>
      <c r="ID18" s="129" t="s">
        <v>31</v>
      </c>
      <c r="IE18" s="133"/>
      <c r="IF18" s="191">
        <f>IFERROR((((COUNTIF('Elève (4ème2)'!IB18:IE18,"A"))*4)+((COUNTIF('Elève (4ème2)'!IB18:IE18,"B"))*3)+((COUNTIF('Elève (4ème2)'!IB18:IE18,"C"))*2)+((COUNTIF('Elève (4ème2)'!IB18:IE18,"D"))*1))/(COUNTA(IB18:IE18)),"")</f>
        <v>2</v>
      </c>
      <c r="IG18" s="192" t="str">
        <f t="shared" si="49"/>
        <v>C</v>
      </c>
      <c r="IH18" s="134"/>
      <c r="II18" s="132"/>
      <c r="IJ18" s="133"/>
      <c r="IK18" s="136"/>
      <c r="IL18" s="191" t="str">
        <f>IFERROR((((COUNTIF('Elève (4ème2)'!IH18:IK18,"A"))*4)+((COUNTIF('Elève (4ème2)'!IH18:IK18,"B"))*3)+((COUNTIF('Elève (4ème2)'!IH18:IK18,"C"))*2)+((COUNTIF('Elève (4ème2)'!IH18:IK18,"D"))*1))/(COUNTA(IH18:IK18)),"")</f>
        <v/>
      </c>
      <c r="IM18" s="192" t="str">
        <f t="shared" si="50"/>
        <v/>
      </c>
      <c r="IN18" s="191">
        <f>IF(COUNT(HZ18,IF18,IL18)=0,"",SUM(HZ18,IF18,IL18)/COUNT(HZ18,IF18,IL18))</f>
        <v>2</v>
      </c>
      <c r="IO18" s="215" t="str">
        <f t="shared" si="51"/>
        <v>C</v>
      </c>
      <c r="IP18" s="127" t="s">
        <v>30</v>
      </c>
      <c r="IQ18" s="132"/>
      <c r="IR18" s="133"/>
      <c r="IS18" s="191">
        <f>IFERROR((((COUNTIF('Elève (4ème2)'!IP18:IR18,"A"))*4)+((COUNTIF('Elève (4ème2)'!IP18:IR18,"B"))*3)+((COUNTIF('Elève (4ème2)'!IP18:IR18,"C"))*2)+((COUNTIF('Elève (4ème2)'!IP18:IR18,"D"))*1))/(COUNTA(IP18:IR18)),"")</f>
        <v>3</v>
      </c>
      <c r="IT18" s="192" t="str">
        <f t="shared" si="52"/>
        <v>B</v>
      </c>
      <c r="IU18" s="134"/>
      <c r="IV18" s="132"/>
      <c r="IW18" s="129" t="s">
        <v>31</v>
      </c>
      <c r="IX18" s="133"/>
      <c r="IY18" s="191">
        <f>IFERROR((((COUNTIF('Elève (4ème2)'!IU18:IX18,"A"))*4)+((COUNTIF('Elève (4ème2)'!IU18:IX18,"B"))*3)+((COUNTIF('Elève (4ème2)'!IU18:IX18,"C"))*2)+((COUNTIF('Elève (4ème2)'!IU18:IX18,"D"))*1))/(COUNTA(IU18:IX18)),"")</f>
        <v>2</v>
      </c>
      <c r="IZ18" s="192" t="str">
        <f t="shared" si="53"/>
        <v>C</v>
      </c>
      <c r="JA18" s="134"/>
      <c r="JB18" s="132"/>
      <c r="JC18" s="133"/>
      <c r="JD18" s="136"/>
      <c r="JE18" s="191" t="str">
        <f>IFERROR((((COUNTIF('Elève (4ème2)'!JA18:JD18,"A"))*4)+((COUNTIF('Elève (4ème2)'!JA18:JD18,"B"))*3)+((COUNTIF('Elève (4ème2)'!JA18:JD18,"C"))*2)+((COUNTIF('Elève (4ème2)'!JA18:JD18,"D"))*1))/(COUNTA(JA18:JD18)),"")</f>
        <v/>
      </c>
      <c r="JF18" s="192" t="str">
        <f t="shared" si="54"/>
        <v/>
      </c>
      <c r="JG18" s="191">
        <f>IF(COUNT(IS18,IY18,JE18)=0,"",SUM(IS18,IY18,JE18)/COUNT(IS18,IY18,JE18))</f>
        <v>2.5</v>
      </c>
      <c r="JH18" s="215" t="str">
        <f t="shared" si="55"/>
        <v>C</v>
      </c>
      <c r="JI18" s="127" t="s">
        <v>32</v>
      </c>
      <c r="JJ18" s="132"/>
      <c r="JK18" s="133"/>
      <c r="JL18" s="191">
        <f>IFERROR((((COUNTIF('Elève (4ème2)'!JI18:JK18,"A"))*4)+((COUNTIF('Elève (4ème2)'!JI18:JK18,"B"))*3)+((COUNTIF('Elève (4ème2)'!JI18:JK18,"C"))*2)+((COUNTIF('Elève (4ème2)'!JI18:JK18,"D"))*1))/(COUNTA(JI18:JK18)),"")</f>
        <v>1</v>
      </c>
      <c r="JM18" s="192" t="str">
        <f t="shared" si="56"/>
        <v>D</v>
      </c>
      <c r="JN18" s="134"/>
      <c r="JO18" s="132"/>
      <c r="JP18" s="129" t="s">
        <v>32</v>
      </c>
      <c r="JQ18" s="133"/>
      <c r="JR18" s="191">
        <f>IFERROR((((COUNTIF('Elève (4ème2)'!JN18:JQ18,"A"))*4)+((COUNTIF('Elève (4ème2)'!JN18:JQ18,"B"))*3)+((COUNTIF('Elève (4ème2)'!JN18:JQ18,"C"))*2)+((COUNTIF('Elève (4ème2)'!JN18:JQ18,"D"))*1))/(COUNTA(JN18:JQ18)),"")</f>
        <v>1</v>
      </c>
      <c r="JS18" s="192" t="str">
        <f t="shared" si="57"/>
        <v>D</v>
      </c>
      <c r="JT18" s="134"/>
      <c r="JU18" s="132"/>
      <c r="JV18" s="133"/>
      <c r="JW18" s="136"/>
      <c r="JX18" s="191" t="str">
        <f>IFERROR((((COUNTIF('Elève (4ème2)'!JT18:JW18,"A"))*4)+((COUNTIF('Elève (4ème2)'!JT18:JW18,"B"))*3)+((COUNTIF('Elève (4ème2)'!JT18:JW18,"C"))*2)+((COUNTIF('Elève (4ème2)'!JT18:JW18,"D"))*1))/(COUNTA(JT18:JW18)),"")</f>
        <v/>
      </c>
      <c r="JY18" s="192" t="str">
        <f t="shared" si="58"/>
        <v/>
      </c>
      <c r="JZ18" s="191">
        <f>IF(COUNT(JL18,JR18,JX18)=0,"",SUM(JL18,JR18,JX18)/COUNT(JL18,JR18,JX18))</f>
        <v>1</v>
      </c>
      <c r="KA18" s="215" t="str">
        <f t="shared" si="59"/>
        <v>D</v>
      </c>
      <c r="KB18" s="127"/>
      <c r="KC18" s="132"/>
      <c r="KD18" s="133"/>
      <c r="KE18" s="191" t="str">
        <f>IFERROR((((COUNTIF('Elève (4ème2)'!KB18:KD18,"A"))*4)+((COUNTIF('Elève (4ème2)'!KB18:KD18,"B"))*3)+((COUNTIF('Elève (4ème2)'!KB18:KD18,"C"))*2)+((COUNTIF('Elève (4ème2)'!KB18:KD18,"D"))*1))/(COUNTA(KB18:KD18)),"")</f>
        <v/>
      </c>
      <c r="KF18" s="192" t="str">
        <f t="shared" si="60"/>
        <v/>
      </c>
      <c r="KG18" s="134"/>
      <c r="KH18" s="132"/>
      <c r="KI18" s="129" t="s">
        <v>31</v>
      </c>
      <c r="KJ18" s="133"/>
      <c r="KK18" s="191">
        <f>IFERROR((((COUNTIF('Elève (4ème2)'!KG18:KJ18,"A"))*4)+((COUNTIF('Elève (4ème2)'!KG18:KJ18,"B"))*3)+((COUNTIF('Elève (4ème2)'!KG18:KJ18,"C"))*2)+((COUNTIF('Elève (4ème2)'!KG18:KJ18,"D"))*1))/(COUNTA(KG18:KJ18)),"")</f>
        <v>2</v>
      </c>
      <c r="KL18" s="192" t="str">
        <f t="shared" si="61"/>
        <v>C</v>
      </c>
      <c r="KM18" s="134"/>
      <c r="KN18" s="132"/>
      <c r="KO18" s="133"/>
      <c r="KP18" s="136"/>
      <c r="KQ18" s="191" t="str">
        <f>IFERROR((((COUNTIF('Elève (4ème2)'!KM18:KP18,"A"))*4)+((COUNTIF('Elève (4ème2)'!KM18:KP18,"B"))*3)+((COUNTIF('Elève (4ème2)'!KM18:KP18,"C"))*2)+((COUNTIF('Elève (4ème2)'!KM18:KP18,"D"))*1))/(COUNTA(KM18:KP18)),"")</f>
        <v/>
      </c>
      <c r="KR18" s="192" t="str">
        <f t="shared" si="62"/>
        <v/>
      </c>
      <c r="KS18" s="191">
        <f>IF(COUNT(KE18,KK18,KQ18)=0,"",SUM(KE18,KK18,KQ18)/COUNT(KE18,KK18,KQ18))</f>
        <v>2</v>
      </c>
      <c r="KT18" s="215" t="str">
        <f t="shared" si="63"/>
        <v>C</v>
      </c>
      <c r="KU18" s="127"/>
      <c r="KV18" s="132"/>
      <c r="KW18" s="133"/>
      <c r="KX18" s="191" t="str">
        <f>IFERROR((((COUNTIF('Elève (4ème2)'!KU18:KW18,"A"))*4)+((COUNTIF('Elève (4ème2)'!KU18:KW18,"B"))*3)+((COUNTIF('Elève (4ème2)'!KU18:KW18,"C"))*2)+((COUNTIF('Elève (4ème2)'!KU18:KW18,"D"))*1))/(COUNTA(KU18:KW18)),"")</f>
        <v/>
      </c>
      <c r="KY18" s="192" t="str">
        <f t="shared" si="64"/>
        <v/>
      </c>
      <c r="KZ18" s="134"/>
      <c r="LA18" s="132"/>
      <c r="LB18" s="129" t="s">
        <v>31</v>
      </c>
      <c r="LC18" s="133"/>
      <c r="LD18" s="191">
        <f>IFERROR((((COUNTIF('Elève (4ème2)'!KZ18:LC18,"A"))*4)+((COUNTIF('Elève (4ème2)'!KZ18:LC18,"B"))*3)+((COUNTIF('Elève (4ème2)'!KZ18:LC18,"C"))*2)+((COUNTIF('Elève (4ème2)'!KZ18:LC18,"D"))*1))/(COUNTA(KZ18:LC18)),"")</f>
        <v>2</v>
      </c>
      <c r="LE18" s="192" t="str">
        <f t="shared" si="65"/>
        <v>C</v>
      </c>
      <c r="LF18" s="134"/>
      <c r="LG18" s="132"/>
      <c r="LH18" s="133"/>
      <c r="LI18" s="136"/>
      <c r="LJ18" s="191" t="str">
        <f>IFERROR((((COUNTIF('Elève (4ème2)'!LF18:LI18,"A"))*4)+((COUNTIF('Elève (4ème2)'!LF18:LI18,"B"))*3)+((COUNTIF('Elève (4ème2)'!LF18:LI18,"C"))*2)+((COUNTIF('Elève (4ème2)'!LF18:LI18,"D"))*1))/(COUNTA(LF18:LI18)),"")</f>
        <v/>
      </c>
      <c r="LK18" s="192" t="str">
        <f t="shared" si="66"/>
        <v/>
      </c>
      <c r="LL18" s="191">
        <f>IF(COUNT(KX18,LD18,LJ18)=0,"",SUM(KX18,LD18,LJ18)/COUNT(KX18,LD18,LJ18))</f>
        <v>2</v>
      </c>
      <c r="LM18" s="215" t="str">
        <f t="shared" si="67"/>
        <v>C</v>
      </c>
      <c r="LN18" s="127" t="s">
        <v>32</v>
      </c>
      <c r="LO18" s="132"/>
      <c r="LP18" s="133"/>
      <c r="LQ18" s="191">
        <f>IFERROR((((COUNTIF('Elève (4ème2)'!LN18:LP18,"A"))*4)+((COUNTIF('Elève (4ème2)'!LN18:LP18,"B"))*3)+((COUNTIF('Elève (4ème2)'!LN18:LP18,"C"))*2)+((COUNTIF('Elève (4ème2)'!LN18:LP18,"D"))*1))/(COUNTA(LN18:LP18)),"")</f>
        <v>1</v>
      </c>
      <c r="LR18" s="192" t="str">
        <f t="shared" si="68"/>
        <v>D</v>
      </c>
      <c r="LS18" s="134"/>
      <c r="LT18" s="132"/>
      <c r="LU18" s="129" t="s">
        <v>31</v>
      </c>
      <c r="LV18" s="133"/>
      <c r="LW18" s="191">
        <f>IFERROR((((COUNTIF('Elève (4ème2)'!LS18:LV18,"A"))*4)+((COUNTIF('Elève (4ème2)'!LS18:LV18,"B"))*3)+((COUNTIF('Elève (4ème2)'!LS18:LV18,"C"))*2)+((COUNTIF('Elève (4ème2)'!LS18:LV18,"D"))*1))/(COUNTA(LS18:LV18)),"")</f>
        <v>2</v>
      </c>
      <c r="LX18" s="192" t="str">
        <f t="shared" si="69"/>
        <v>C</v>
      </c>
      <c r="LY18" s="134"/>
      <c r="LZ18" s="132"/>
      <c r="MA18" s="133"/>
      <c r="MB18" s="136"/>
      <c r="MC18" s="191" t="str">
        <f>IFERROR((((COUNTIF('Elève (4ème2)'!LY18:MB18,"A"))*4)+((COUNTIF('Elève (4ème2)'!LY18:MB18,"B"))*3)+((COUNTIF('Elève (4ème2)'!LY18:MB18,"C"))*2)+((COUNTIF('Elève (4ème2)'!LY18:MB18,"D"))*1))/(COUNTA(LY18:MB18)),"")</f>
        <v/>
      </c>
      <c r="MD18" s="192" t="str">
        <f t="shared" si="70"/>
        <v/>
      </c>
      <c r="ME18" s="191">
        <f>IF(COUNT(LQ18,LW18,MC18)=0,"",SUM(LQ18,LW18,MC18)/COUNT(LQ18,LW18,MC18))</f>
        <v>1.5</v>
      </c>
      <c r="MF18" s="215" t="str">
        <f t="shared" si="71"/>
        <v>D</v>
      </c>
      <c r="MG18" s="127" t="s">
        <v>31</v>
      </c>
      <c r="MH18" s="132"/>
      <c r="MI18" s="133"/>
      <c r="MJ18" s="191">
        <f>IFERROR((((COUNTIF('Elève (4ème2)'!MG18:MI18,"A"))*4)+((COUNTIF('Elève (4ème2)'!MG18:MI18,"B"))*3)+((COUNTIF('Elève (4ème2)'!MG18:MI18,"C"))*2)+((COUNTIF('Elève (4ème2)'!MG18:MI18,"D"))*1))/(COUNTA(MG18:MI18)),"")</f>
        <v>2</v>
      </c>
      <c r="MK18" s="192" t="str">
        <f t="shared" si="72"/>
        <v>C</v>
      </c>
      <c r="ML18" s="134"/>
      <c r="MM18" s="132"/>
      <c r="MN18" s="129" t="s">
        <v>31</v>
      </c>
      <c r="MO18" s="133"/>
      <c r="MP18" s="191">
        <f>IFERROR((((COUNTIF('Elève (4ème2)'!ML18:MO18,"A"))*4)+((COUNTIF('Elève (4ème2)'!ML18:MO18,"B"))*3)+((COUNTIF('Elève (4ème2)'!ML18:MO18,"C"))*2)+((COUNTIF('Elève (4ème2)'!ML18:MO18,"D"))*1))/(COUNTA(ML18:MO18)),"")</f>
        <v>2</v>
      </c>
      <c r="MQ18" s="192" t="str">
        <f t="shared" si="73"/>
        <v>C</v>
      </c>
      <c r="MR18" s="134"/>
      <c r="MS18" s="132"/>
      <c r="MT18" s="133"/>
      <c r="MU18" s="136"/>
      <c r="MV18" s="191" t="str">
        <f>IFERROR((((COUNTIF('Elève (4ème2)'!MR18:MU18,"A"))*4)+((COUNTIF('Elève (4ème2)'!MR18:MU18,"B"))*3)+((COUNTIF('Elève (4ème2)'!MR18:MU18,"C"))*2)+((COUNTIF('Elève (4ème2)'!MR18:MU18,"D"))*1))/(COUNTA(MR18:MU18)),"")</f>
        <v/>
      </c>
      <c r="MW18" s="192" t="str">
        <f t="shared" si="74"/>
        <v/>
      </c>
      <c r="MX18" s="191">
        <f>IF(COUNT(MJ18,MP18,MV18)=0,"",SUM(MJ18,MP18,MV18)/COUNT(MJ18,MP18,MV18))</f>
        <v>2</v>
      </c>
      <c r="MY18" s="215" t="str">
        <f t="shared" si="75"/>
        <v>C</v>
      </c>
      <c r="MZ18" s="127" t="s">
        <v>31</v>
      </c>
      <c r="NA18" s="132"/>
      <c r="NB18" s="133"/>
      <c r="NC18" s="191">
        <f>IFERROR((((COUNTIF('Elève (4ème2)'!MZ18:NB18,"A"))*4)+((COUNTIF('Elève (4ème2)'!MZ18:NB18,"B"))*3)+((COUNTIF('Elève (4ème2)'!MZ18:NB18,"C"))*2)+((COUNTIF('Elève (4ème2)'!MZ18:NB18,"D"))*1))/(COUNTA(MZ18:NB18)),"")</f>
        <v>2</v>
      </c>
      <c r="ND18" s="192" t="str">
        <f t="shared" si="76"/>
        <v>C</v>
      </c>
      <c r="NE18" s="134"/>
      <c r="NF18" s="132"/>
      <c r="NG18" s="129" t="s">
        <v>29</v>
      </c>
      <c r="NH18" s="133"/>
      <c r="NI18" s="191">
        <f>IFERROR((((COUNTIF('Elève (4ème2)'!NE18:NH18,"A"))*4)+((COUNTIF('Elève (4ème2)'!NE18:NH18,"B"))*3)+((COUNTIF('Elève (4ème2)'!NE18:NH18,"C"))*2)+((COUNTIF('Elève (4ème2)'!NE18:NH18,"D"))*1))/(COUNTA(NE18:NH18)),"")</f>
        <v>4</v>
      </c>
      <c r="NJ18" s="192" t="str">
        <f t="shared" si="77"/>
        <v>A</v>
      </c>
      <c r="NK18" s="134"/>
      <c r="NL18" s="132"/>
      <c r="NM18" s="133"/>
      <c r="NN18" s="136"/>
      <c r="NO18" s="191" t="str">
        <f>IFERROR((((COUNTIF('Elève (4ème2)'!NK18:NN18,"A"))*4)+((COUNTIF('Elève (4ème2)'!NK18:NN18,"B"))*3)+((COUNTIF('Elève (4ème2)'!NK18:NN18,"C"))*2)+((COUNTIF('Elève (4ème2)'!NK18:NN18,"D"))*1))/(COUNTA(NK18:NN18)),"")</f>
        <v/>
      </c>
      <c r="NP18" s="192" t="str">
        <f t="shared" si="78"/>
        <v/>
      </c>
      <c r="NQ18" s="191">
        <f>IF(COUNT(NC18,NI18,NO18)=0,"",SUM(NC18,NI18,NO18)/COUNT(NC18,NI18,NO18))</f>
        <v>3</v>
      </c>
      <c r="NR18" s="215" t="str">
        <f t="shared" si="79"/>
        <v>B</v>
      </c>
      <c r="NS18" s="127"/>
      <c r="NT18" s="132"/>
      <c r="NU18" s="133"/>
      <c r="NV18" s="191" t="str">
        <f>IFERROR((((COUNTIF('Elève (4ème2)'!NS18:NU18,"A"))*4)+((COUNTIF('Elève (4ème2)'!NS18:NU18,"B"))*3)+((COUNTIF('Elève (4ème2)'!NS18:NU18,"C"))*2)+((COUNTIF('Elève (4ème2)'!NS18:NU18,"D"))*1))/(COUNTA(NS18:NU18)),"")</f>
        <v/>
      </c>
      <c r="NW18" s="192" t="str">
        <f t="shared" si="80"/>
        <v/>
      </c>
      <c r="NX18" s="134"/>
      <c r="NY18" s="132"/>
      <c r="NZ18" s="129" t="s">
        <v>31</v>
      </c>
      <c r="OA18" s="133"/>
      <c r="OB18" s="191">
        <f>IFERROR((((COUNTIF('Elève (4ème2)'!NX18:OA18,"A"))*4)+((COUNTIF('Elève (4ème2)'!NX18:OA18,"B"))*3)+((COUNTIF('Elève (4ème2)'!NX18:OA18,"C"))*2)+((COUNTIF('Elève (4ème2)'!NX18:OA18,"D"))*1))/(COUNTA(NX18:OA18)),"")</f>
        <v>2</v>
      </c>
      <c r="OC18" s="192" t="str">
        <f t="shared" si="81"/>
        <v>C</v>
      </c>
      <c r="OD18" s="134"/>
      <c r="OE18" s="132"/>
      <c r="OF18" s="133"/>
      <c r="OG18" s="136"/>
      <c r="OH18" s="191" t="str">
        <f>IFERROR((((COUNTIF('Elève (4ème2)'!OD18:OG18,"A"))*4)+((COUNTIF('Elève (4ème2)'!OD18:OG18,"B"))*3)+((COUNTIF('Elève (4ème2)'!OD18:OG18,"C"))*2)+((COUNTIF('Elève (4ème2)'!OD18:OG18,"D"))*1))/(COUNTA(OD18:OG18)),"")</f>
        <v/>
      </c>
      <c r="OI18" s="192" t="str">
        <f t="shared" si="82"/>
        <v/>
      </c>
      <c r="OJ18" s="191">
        <f>IF(COUNT(NV18,OB18,OH18)=0,"",SUM(NV18,OB18,OH18)/COUNT(NV18,OB18,OH18))</f>
        <v>2</v>
      </c>
      <c r="OK18" s="215" t="str">
        <f t="shared" si="83"/>
        <v>C</v>
      </c>
      <c r="OL18" s="127" t="s">
        <v>31</v>
      </c>
      <c r="OM18" s="132"/>
      <c r="ON18" s="133"/>
      <c r="OO18" s="191">
        <f>IFERROR((((COUNTIF('Elève (4ème2)'!OL18:ON18,"A"))*4)+((COUNTIF('Elève (4ème2)'!OL18:ON18,"B"))*3)+((COUNTIF('Elève (4ème2)'!OL18:ON18,"C"))*2)+((COUNTIF('Elève (4ème2)'!OL18:ON18,"D"))*1))/(COUNTA(OL18:ON18)),"")</f>
        <v>2</v>
      </c>
      <c r="OP18" s="192" t="str">
        <f t="shared" si="84"/>
        <v>C</v>
      </c>
      <c r="OQ18" s="134"/>
      <c r="OR18" s="132"/>
      <c r="OS18" s="129" t="s">
        <v>31</v>
      </c>
      <c r="OT18" s="133"/>
      <c r="OU18" s="191">
        <f>IFERROR((((COUNTIF('Elève (4ème2)'!OQ18:OT18,"A"))*4)+((COUNTIF('Elève (4ème2)'!OQ18:OT18,"B"))*3)+((COUNTIF('Elève (4ème2)'!OQ18:OT18,"C"))*2)+((COUNTIF('Elève (4ème2)'!OQ18:OT18,"D"))*1))/(COUNTA(OQ18:OT18)),"")</f>
        <v>2</v>
      </c>
      <c r="OV18" s="192" t="str">
        <f t="shared" si="85"/>
        <v>C</v>
      </c>
      <c r="OW18" s="134"/>
      <c r="OX18" s="132"/>
      <c r="OY18" s="133"/>
      <c r="OZ18" s="136"/>
      <c r="PA18" s="191" t="str">
        <f>IFERROR((((COUNTIF('Elève (4ème2)'!OW18:OZ18,"A"))*4)+((COUNTIF('Elève (4ème2)'!OW18:OZ18,"B"))*3)+((COUNTIF('Elève (4ème2)'!OW18:OZ18,"C"))*2)+((COUNTIF('Elève (4ème2)'!OW18:OZ18,"D"))*1))/(COUNTA(OW18:OZ18)),"")</f>
        <v/>
      </c>
      <c r="PB18" s="192" t="str">
        <f t="shared" si="86"/>
        <v/>
      </c>
      <c r="PC18" s="191">
        <f>IF(COUNT(OO18,OU18,PA18)=0,"",SUM(OO18,OU18,PA18)/COUNT(OO18,OU18,PA18))</f>
        <v>2</v>
      </c>
      <c r="PD18" s="215" t="str">
        <f t="shared" si="87"/>
        <v>C</v>
      </c>
      <c r="PE18" s="127" t="s">
        <v>31</v>
      </c>
      <c r="PF18" s="132"/>
      <c r="PG18" s="133"/>
      <c r="PH18" s="191">
        <f>IFERROR((((COUNTIF('Elève (4ème2)'!PE18:PG18,"A"))*4)+((COUNTIF('Elève (4ème2)'!PE18:PG18,"B"))*3)+((COUNTIF('Elève (4ème2)'!PE18:PG18,"C"))*2)+((COUNTIF('Elève (4ème2)'!PE18:PG18,"D"))*1))/(COUNTA(PE18:PG18)),"")</f>
        <v>2</v>
      </c>
      <c r="PI18" s="192" t="str">
        <f t="shared" si="88"/>
        <v>C</v>
      </c>
      <c r="PJ18" s="134"/>
      <c r="PK18" s="132"/>
      <c r="PL18" s="129" t="s">
        <v>32</v>
      </c>
      <c r="PM18" s="133"/>
      <c r="PN18" s="191">
        <f>IFERROR((((COUNTIF('Elève (4ème2)'!PJ18:PM18,"A"))*4)+((COUNTIF('Elève (4ème2)'!PJ18:PM18,"B"))*3)+((COUNTIF('Elève (4ème2)'!PJ18:PM18,"C"))*2)+((COUNTIF('Elève (4ème2)'!PJ18:PM18,"D"))*1))/(COUNTA(PJ18:PM18)),"")</f>
        <v>1</v>
      </c>
      <c r="PO18" s="192" t="str">
        <f t="shared" si="89"/>
        <v>D</v>
      </c>
      <c r="PP18" s="134"/>
      <c r="PQ18" s="132"/>
      <c r="PR18" s="133"/>
      <c r="PS18" s="136"/>
      <c r="PT18" s="191" t="str">
        <f>IFERROR((((COUNTIF('Elève (4ème2)'!PP18:PS18,"A"))*4)+((COUNTIF('Elève (4ème2)'!PP18:PS18,"B"))*3)+((COUNTIF('Elève (4ème2)'!PP18:PS18,"C"))*2)+((COUNTIF('Elève (4ème2)'!PP18:PS18,"D"))*1))/(COUNTA(PP18:PS18)),"")</f>
        <v/>
      </c>
      <c r="PU18" s="192" t="str">
        <f t="shared" si="90"/>
        <v/>
      </c>
      <c r="PV18" s="191">
        <f>IF(COUNT(PH18,PN18,PT18)=0,"",SUM(PH18,PN18,PT18)/COUNT(PH18,PN18,PT18))</f>
        <v>1.5</v>
      </c>
      <c r="PW18" s="215" t="str">
        <f t="shared" si="91"/>
        <v>D</v>
      </c>
      <c r="PX18" s="127" t="s">
        <v>31</v>
      </c>
      <c r="PY18" s="132"/>
      <c r="PZ18" s="133"/>
      <c r="QA18" s="191">
        <f>IFERROR((((COUNTIF('Elève (4ème2)'!PX18:PZ18,"A"))*4)+((COUNTIF('Elève (4ème2)'!PX18:PZ18,"B"))*3)+((COUNTIF('Elève (4ème2)'!PX18:PZ18,"C"))*2)+((COUNTIF('Elève (4ème2)'!PX18:PZ18,"D"))*1))/(COUNTA(PX18:PZ18)),"")</f>
        <v>2</v>
      </c>
      <c r="QB18" s="192" t="str">
        <f t="shared" si="92"/>
        <v>C</v>
      </c>
      <c r="QC18" s="134"/>
      <c r="QD18" s="132"/>
      <c r="QE18" s="129" t="s">
        <v>30</v>
      </c>
      <c r="QF18" s="133"/>
      <c r="QG18" s="191">
        <f>IFERROR((((COUNTIF('Elève (4ème2)'!QC18:QF18,"A"))*4)+((COUNTIF('Elève (4ème2)'!QC18:QF18,"B"))*3)+((COUNTIF('Elève (4ème2)'!QC18:QF18,"C"))*2)+((COUNTIF('Elève (4ème2)'!QC18:QF18,"D"))*1))/(COUNTA(QC18:QF18)),"")</f>
        <v>3</v>
      </c>
      <c r="QH18" s="192" t="str">
        <f t="shared" si="93"/>
        <v>B</v>
      </c>
      <c r="QI18" s="134"/>
      <c r="QJ18" s="132"/>
      <c r="QK18" s="133"/>
      <c r="QL18" s="136"/>
      <c r="QM18" s="191" t="str">
        <f>IFERROR((((COUNTIF('Elève (4ème2)'!QI18:QL18,"A"))*4)+((COUNTIF('Elève (4ème2)'!QI18:QL18,"B"))*3)+((COUNTIF('Elève (4ème2)'!QI18:QL18,"C"))*2)+((COUNTIF('Elève (4ème2)'!QI18:QL18,"D"))*1))/(COUNTA(QI18:QL18)),"")</f>
        <v/>
      </c>
      <c r="QN18" s="192" t="str">
        <f t="shared" si="94"/>
        <v/>
      </c>
      <c r="QO18" s="191">
        <f>IF(COUNT(QA18,QG18,QM18)=0,"",SUM(QA18,QG18,QM18)/COUNT(QA18,QG18,QM18))</f>
        <v>2.5</v>
      </c>
      <c r="QP18" s="215" t="str">
        <f t="shared" si="95"/>
        <v>C</v>
      </c>
      <c r="QQ18" s="127" t="s">
        <v>32</v>
      </c>
      <c r="QR18" s="132"/>
      <c r="QS18" s="133"/>
      <c r="QT18" s="191">
        <f>IFERROR((((COUNTIF('Elève (4ème2)'!QQ18:QS18,"A"))*4)+((COUNTIF('Elève (4ème2)'!QQ18:QS18,"B"))*3)+((COUNTIF('Elève (4ème2)'!QQ18:QS18,"C"))*2)+((COUNTIF('Elève (4ème2)'!QQ18:QS18,"D"))*1))/(COUNTA(QQ18:QS18)),"")</f>
        <v>1</v>
      </c>
      <c r="QU18" s="192" t="str">
        <f t="shared" si="96"/>
        <v>D</v>
      </c>
      <c r="QV18" s="134"/>
      <c r="QW18" s="132"/>
      <c r="QX18" s="129" t="s">
        <v>31</v>
      </c>
      <c r="QY18" s="133"/>
      <c r="QZ18" s="191">
        <f>IFERROR((((COUNTIF('Elève (4ème2)'!QV18:QY18,"A"))*4)+((COUNTIF('Elève (4ème2)'!QV18:QY18,"B"))*3)+((COUNTIF('Elève (4ème2)'!QV18:QY18,"C"))*2)+((COUNTIF('Elève (4ème2)'!QV18:QY18,"D"))*1))/(COUNTA(QV18:QY18)),"")</f>
        <v>2</v>
      </c>
      <c r="RA18" s="192" t="str">
        <f t="shared" si="97"/>
        <v>C</v>
      </c>
      <c r="RB18" s="134"/>
      <c r="RC18" s="132"/>
      <c r="RD18" s="133"/>
      <c r="RE18" s="136"/>
      <c r="RF18" s="191" t="str">
        <f>IFERROR((((COUNTIF('Elève (4ème2)'!RB18:RE18,"A"))*4)+((COUNTIF('Elève (4ème2)'!RB18:RE18,"B"))*3)+((COUNTIF('Elève (4ème2)'!RB18:RE18,"C"))*2)+((COUNTIF('Elève (4ème2)'!RB18:RE18,"D"))*1))/(COUNTA(RB18:RE18)),"")</f>
        <v/>
      </c>
      <c r="RG18" s="192" t="str">
        <f t="shared" si="98"/>
        <v/>
      </c>
      <c r="RH18" s="191">
        <f>IF(COUNT(QT18,QZ18,RF18)=0,"",SUM(QT18,QZ18,RF18)/COUNT(QT18,QZ18,RF18))</f>
        <v>1.5</v>
      </c>
      <c r="RI18" s="215" t="str">
        <f t="shared" si="99"/>
        <v>D</v>
      </c>
      <c r="RJ18" s="127" t="s">
        <v>32</v>
      </c>
      <c r="RK18" s="132"/>
      <c r="RL18" s="133"/>
      <c r="RM18" s="191">
        <f>IFERROR((((COUNTIF('Elève (4ème2)'!RJ18:RL18,"A"))*4)+((COUNTIF('Elève (4ème2)'!RJ18:RL18,"B"))*3)+((COUNTIF('Elève (4ème2)'!RJ18:RL18,"C"))*2)+((COUNTIF('Elève (4ème2)'!RJ18:RL18,"D"))*1))/(COUNTA(RJ18:RL18)),"")</f>
        <v>1</v>
      </c>
      <c r="RN18" s="192" t="str">
        <f t="shared" si="100"/>
        <v>D</v>
      </c>
      <c r="RO18" s="134"/>
      <c r="RP18" s="132"/>
      <c r="RQ18" s="129" t="s">
        <v>32</v>
      </c>
      <c r="RR18" s="133"/>
      <c r="RS18" s="191">
        <f>IFERROR((((COUNTIF('Elève (4ème2)'!RO18:RR18,"A"))*4)+((COUNTIF('Elève (4ème2)'!RO18:RR18,"B"))*3)+((COUNTIF('Elève (4ème2)'!RO18:RR18,"C"))*2)+((COUNTIF('Elève (4ème2)'!RO18:RR18,"D"))*1))/(COUNTA(RO18:RR18)),"")</f>
        <v>1</v>
      </c>
      <c r="RT18" s="192" t="str">
        <f t="shared" si="101"/>
        <v>D</v>
      </c>
      <c r="RU18" s="134"/>
      <c r="RV18" s="132"/>
      <c r="RW18" s="133"/>
      <c r="RX18" s="136"/>
      <c r="RY18" s="191" t="str">
        <f>IFERROR((((COUNTIF('Elève (4ème2)'!RU18:RX18,"A"))*4)+((COUNTIF('Elève (4ème2)'!RU18:RX18,"B"))*3)+((COUNTIF('Elève (4ème2)'!RU18:RX18,"C"))*2)+((COUNTIF('Elève (4ème2)'!RU18:RX18,"D"))*1))/(COUNTA(RU18:RX18)),"")</f>
        <v/>
      </c>
      <c r="RZ18" s="192" t="str">
        <f t="shared" si="102"/>
        <v/>
      </c>
      <c r="SA18" s="191">
        <f>IF(COUNT(RM18,RS18,RY18)=0,"",SUM(RM18,RS18,RY18)/COUNT(RM18,RS18,RY18))</f>
        <v>1</v>
      </c>
      <c r="SB18" s="215" t="str">
        <f t="shared" si="103"/>
        <v>D</v>
      </c>
      <c r="SC18" s="127"/>
      <c r="SD18" s="132"/>
      <c r="SE18" s="133"/>
      <c r="SF18" s="191" t="str">
        <f>IFERROR((((COUNTIF('Elève (4ème2)'!SC18:SE18,"A"))*4)+((COUNTIF('Elève (4ème2)'!SC18:SE18,"B"))*3)+((COUNTIF('Elève (4ème2)'!SC18:SE18,"C"))*2)+((COUNTIF('Elève (4ème2)'!SC18:SE18,"D"))*1))/(COUNTA(SC18:SE18)),"")</f>
        <v/>
      </c>
      <c r="SG18" s="192" t="str">
        <f t="shared" si="104"/>
        <v/>
      </c>
      <c r="SH18" s="134"/>
      <c r="SI18" s="132"/>
      <c r="SJ18" s="129" t="s">
        <v>31</v>
      </c>
      <c r="SK18" s="133"/>
      <c r="SL18" s="191">
        <f>IFERROR((((COUNTIF('Elève (4ème2)'!SH18:SK18,"A"))*4)+((COUNTIF('Elève (4ème2)'!SH18:SK18,"B"))*3)+((COUNTIF('Elève (4ème2)'!SH18:SK18,"C"))*2)+((COUNTIF('Elève (4ème2)'!SH18:SK18,"D"))*1))/(COUNTA(SH18:SK18)),"")</f>
        <v>2</v>
      </c>
      <c r="SM18" s="192" t="str">
        <f t="shared" si="105"/>
        <v>C</v>
      </c>
      <c r="SN18" s="134"/>
      <c r="SO18" s="132"/>
      <c r="SP18" s="133"/>
      <c r="SQ18" s="136"/>
      <c r="SR18" s="191" t="str">
        <f>IFERROR((((COUNTIF('Elève (4ème2)'!SN18:SQ18,"A"))*4)+((COUNTIF('Elève (4ème2)'!SN18:SQ18,"B"))*3)+((COUNTIF('Elève (4ème2)'!SN18:SQ18,"C"))*2)+((COUNTIF('Elève (4ème2)'!SN18:SQ18,"D"))*1))/(COUNTA(SN18:SQ18)),"")</f>
        <v/>
      </c>
      <c r="SS18" s="192" t="str">
        <f t="shared" si="106"/>
        <v/>
      </c>
      <c r="ST18" s="191">
        <f>IF(COUNT(SF18,SL18,SR18)=0,"",SUM(SF18,SL18,SR18)/COUNT(SF18,SL18,SR18))</f>
        <v>2</v>
      </c>
      <c r="SU18" s="215" t="str">
        <f t="shared" si="107"/>
        <v>C</v>
      </c>
      <c r="SV18" s="134"/>
      <c r="SW18" s="132"/>
      <c r="SX18" s="133"/>
      <c r="SY18" s="130" t="str">
        <f>IFERROR((((COUNTIF('Elève (4ème2)'!SV18:SX18,"A"))*4)+((COUNTIF('Elève (4ème2)'!SV18:SX18,"B"))*3)+((COUNTIF('Elève (4ème2)'!SV18:SX18,"C"))*2)+((COUNTIF('Elève (4ème2)'!SV18:SX18,"D"))*1))/(COUNTA(SV18:SX18)),"")</f>
        <v/>
      </c>
      <c r="SZ18" s="131" t="str">
        <f t="shared" si="108"/>
        <v/>
      </c>
      <c r="TA18" s="134"/>
      <c r="TB18" s="132"/>
      <c r="TC18" s="133"/>
      <c r="TD18" s="130" t="str">
        <f>IFERROR((((COUNTIF('Elève (4ème2)'!TA18:TC18,"A"))*4)+((COUNTIF('Elève (4ème2)'!TA18:TC18,"B"))*3)+((COUNTIF('Elève (4ème2)'!TA18:TC18,"C"))*2)+((COUNTIF('Elève (4ème2)'!TA18:TC18,"D"))*1))/(COUNTA(TA18:TC18)),"")</f>
        <v/>
      </c>
      <c r="TE18" s="131" t="str">
        <f t="shared" si="109"/>
        <v/>
      </c>
      <c r="TF18" s="134"/>
      <c r="TG18" s="132"/>
      <c r="TH18" s="136"/>
      <c r="TI18" s="130" t="str">
        <f>IFERROR((((COUNTIF('Elève (4ème2)'!TF18:TH18,"A"))*4)+((COUNTIF('Elève (4ème2)'!TF18:TH18,"B"))*3)+((COUNTIF('Elève (4ème2)'!TF18:TH18,"C"))*2)+((COUNTIF('Elève (4ème2)'!TF18:TH18,"D"))*1))/(COUNTA(TF18:TH18)),"")</f>
        <v/>
      </c>
      <c r="TJ18" s="131" t="str">
        <f t="shared" si="110"/>
        <v/>
      </c>
      <c r="TK18" s="130" t="str">
        <f>IF(COUNT(SY18,TD18,TI18)=0,"",SUM(SY18,TD18,TI18)/COUNT(SY18,TD18,TI18))</f>
        <v/>
      </c>
      <c r="TL18" s="135" t="str">
        <f t="shared" si="111"/>
        <v/>
      </c>
      <c r="TM18" s="134"/>
      <c r="TN18" s="132"/>
      <c r="TO18" s="133"/>
      <c r="TP18" s="130" t="str">
        <f>IFERROR((((COUNTIF('Elève (4ème2)'!TM18:TO18,"A"))*4)+((COUNTIF('Elève (4ème2)'!TM18:TO18,"B"))*3)+((COUNTIF('Elève (4ème2)'!TM18:TO18,"C"))*2)+((COUNTIF('Elève (4ème2)'!TM18:TO18,"D"))*1))/(COUNTA(TM18:TO18)),"")</f>
        <v/>
      </c>
      <c r="TQ18" s="131" t="str">
        <f t="shared" si="112"/>
        <v/>
      </c>
      <c r="TR18" s="134"/>
      <c r="TS18" s="132"/>
      <c r="TT18" s="133"/>
      <c r="TU18" s="130" t="str">
        <f>IFERROR((((COUNTIF('Elève (4ème2)'!TR18:TT18,"A"))*4)+((COUNTIF('Elève (4ème2)'!TR18:TT18,"B"))*3)+((COUNTIF('Elève (4ème2)'!TR18:TT18,"C"))*2)+((COUNTIF('Elève (4ème2)'!TR18:TT18,"D"))*1))/(COUNTA(TR18:TT18)),"")</f>
        <v/>
      </c>
      <c r="TV18" s="131" t="str">
        <f t="shared" si="113"/>
        <v/>
      </c>
      <c r="TW18" s="134"/>
      <c r="TX18" s="132"/>
      <c r="TY18" s="136"/>
      <c r="TZ18" s="130" t="str">
        <f>IFERROR((((COUNTIF('Elève (4ème2)'!TW18:TY18,"A"))*4)+((COUNTIF('Elève (4ème2)'!TW18:TY18,"B"))*3)+((COUNTIF('Elève (4ème2)'!TW18:TY18,"C"))*2)+((COUNTIF('Elève (4ème2)'!TW18:TY18,"D"))*1))/(COUNTA(TW18:TY18)),"")</f>
        <v/>
      </c>
      <c r="UA18" s="131" t="str">
        <f t="shared" si="114"/>
        <v/>
      </c>
      <c r="UB18" s="130" t="str">
        <f>IF(COUNT(TP18,TU18,TZ18)=0,"",SUM(TP18,TU18,TZ18)/COUNT(TP18,TU18,TZ18))</f>
        <v/>
      </c>
      <c r="UC18" s="135" t="str">
        <f t="shared" si="115"/>
        <v/>
      </c>
      <c r="UD18" s="134"/>
      <c r="UE18" s="132"/>
      <c r="UF18" s="133"/>
      <c r="UG18" s="130" t="str">
        <f>IFERROR((((COUNTIF('Elève (4ème2)'!UD18:UF18,"A"))*4)+((COUNTIF('Elève (4ème2)'!UD18:UF18,"B"))*3)+((COUNTIF('Elève (4ème2)'!UD18:UF18,"C"))*2)+((COUNTIF('Elève (4ème2)'!UD18:UF18,"D"))*1))/(COUNTA(UD18:UF18)),"")</f>
        <v/>
      </c>
      <c r="UH18" s="131" t="str">
        <f t="shared" si="116"/>
        <v/>
      </c>
      <c r="UI18" s="134"/>
      <c r="UJ18" s="132"/>
      <c r="UK18" s="133"/>
      <c r="UL18" s="130" t="str">
        <f>IFERROR((((COUNTIF('Elève (4ème2)'!UI18:UK18,"A"))*4)+((COUNTIF('Elève (4ème2)'!UI18:UK18,"B"))*3)+((COUNTIF('Elève (4ème2)'!UI18:UK18,"C"))*2)+((COUNTIF('Elève (4ème2)'!UI18:UK18,"D"))*1))/(COUNTA(UI18:UK18)),"")</f>
        <v/>
      </c>
      <c r="UM18" s="131" t="str">
        <f t="shared" si="117"/>
        <v/>
      </c>
      <c r="UN18" s="134"/>
      <c r="UO18" s="132"/>
      <c r="UP18" s="136"/>
      <c r="UQ18" s="130" t="str">
        <f>IFERROR((((COUNTIF('Elève (4ème2)'!UN18:UP18,"A"))*4)+((COUNTIF('Elève (4ème2)'!UN18:UP18,"B"))*3)+((COUNTIF('Elève (4ème2)'!UN18:UP18,"C"))*2)+((COUNTIF('Elève (4ème2)'!UN18:UP18,"D"))*1))/(COUNTA(UN18:UP18)),"")</f>
        <v/>
      </c>
      <c r="UR18" s="131" t="str">
        <f t="shared" si="118"/>
        <v/>
      </c>
      <c r="US18" s="130" t="str">
        <f>IF(COUNT(UG18,UL18,UQ18)=0,"",SUM(UG18,UL18,UQ18)/COUNT(UG18,UL18,UQ18))</f>
        <v/>
      </c>
      <c r="UT18" s="135" t="str">
        <f t="shared" si="119"/>
        <v/>
      </c>
    </row>
    <row r="19" spans="1:566" ht="18" customHeight="1" thickBot="1" x14ac:dyDescent="0.3">
      <c r="A19" s="254" t="s">
        <v>25</v>
      </c>
      <c r="B19" s="255"/>
      <c r="C19" s="149" t="s">
        <v>31</v>
      </c>
      <c r="D19" s="138"/>
      <c r="E19" s="139"/>
      <c r="F19" s="193">
        <f>IFERROR((((COUNTIF('Elève (4ème2)'!C19:E19,"A"))*4)+((COUNTIF('Elève (4ème2)'!C19:E19,"B"))*3)+((COUNTIF('Elève (4ème2)'!C19:E19,"C"))*2)+((COUNTIF('Elève (4ème2)'!C19:E19,"D"))*1))/(COUNTA(C19:E19)),"")</f>
        <v>2</v>
      </c>
      <c r="G19" s="194" t="str">
        <f t="shared" si="0"/>
        <v>C</v>
      </c>
      <c r="H19" s="149" t="s">
        <v>31</v>
      </c>
      <c r="I19" s="138"/>
      <c r="J19" s="229" t="s">
        <v>31</v>
      </c>
      <c r="K19" s="139"/>
      <c r="L19" s="193">
        <f>IFERROR((((COUNTIF('Elève (4ème2)'!H19:K19,"A"))*4)+((COUNTIF('Elève (4ème2)'!H19:K19,"B"))*3)+((COUNTIF('Elève (4ème2)'!H19:K19,"C"))*2)+((COUNTIF('Elève (4ème2)'!H19:K19,"D"))*1))/(COUNTA(H19:K19)),"")</f>
        <v>2</v>
      </c>
      <c r="M19" s="194" t="str">
        <f t="shared" si="1"/>
        <v>C</v>
      </c>
      <c r="N19" s="137"/>
      <c r="O19" s="138"/>
      <c r="P19" s="139"/>
      <c r="Q19" s="139"/>
      <c r="R19" s="193" t="str">
        <f>IFERROR((((COUNTIF('Elève (4ème2)'!N19:Q19,"A"))*4)+((COUNTIF('Elève (4ème2)'!N19:Q19,"B"))*3)+((COUNTIF('Elève (4ème2)'!N19:Q19,"C"))*2)+((COUNTIF('Elève (4ème2)'!N19:Q19,"D"))*1))/(COUNTA(N19:Q19)),"")</f>
        <v/>
      </c>
      <c r="S19" s="194" t="str">
        <f t="shared" si="2"/>
        <v/>
      </c>
      <c r="T19" s="193">
        <f>IF(COUNT(F19,L19,R19)=0,"",SUM(F19,L19,R19)/COUNT(F19,L19,R19))</f>
        <v>2</v>
      </c>
      <c r="U19" s="216" t="str">
        <f t="shared" si="3"/>
        <v>C</v>
      </c>
      <c r="V19" s="149" t="s">
        <v>31</v>
      </c>
      <c r="W19" s="138"/>
      <c r="X19" s="139"/>
      <c r="Y19" s="193">
        <f>IFERROR((((COUNTIF('Elève (4ème2)'!V19:X19,"A"))*4)+((COUNTIF('Elève (4ème2)'!V19:X19,"B"))*3)+((COUNTIF('Elève (4ème2)'!V19:X19,"C"))*2)+((COUNTIF('Elève (4ème2)'!V19:X19,"D"))*1))/(COUNTA(V19:X19)),"")</f>
        <v>2</v>
      </c>
      <c r="Z19" s="194" t="str">
        <f t="shared" si="4"/>
        <v>C</v>
      </c>
      <c r="AA19" s="149" t="s">
        <v>31</v>
      </c>
      <c r="AB19" s="138"/>
      <c r="AC19" s="229" t="s">
        <v>31</v>
      </c>
      <c r="AD19" s="139"/>
      <c r="AE19" s="193">
        <f>IFERROR((((COUNTIF('Elève (4ème2)'!AA19:AD19,"A"))*4)+((COUNTIF('Elève (4ème2)'!AA19:AD19,"B"))*3)+((COUNTIF('Elève (4ème2)'!AA19:AD19,"C"))*2)+((COUNTIF('Elève (4ème2)'!AA19:AD19,"D"))*1))/(COUNTA(AA19:AD19)),"")</f>
        <v>2</v>
      </c>
      <c r="AF19" s="194" t="str">
        <f t="shared" si="5"/>
        <v>C</v>
      </c>
      <c r="AG19" s="137"/>
      <c r="AH19" s="138"/>
      <c r="AI19" s="139"/>
      <c r="AJ19" s="143"/>
      <c r="AK19" s="193" t="str">
        <f>IFERROR((((COUNTIF('Elève (4ème2)'!AG19:AJ19,"A"))*4)+((COUNTIF('Elève (4ème2)'!AG19:AJ19,"B"))*3)+((COUNTIF('Elève (4ème2)'!AG19:AJ19,"C"))*2)+((COUNTIF('Elève (4ème2)'!AG19:AJ19,"D"))*1))/(COUNTA(AG19:AJ19)),"")</f>
        <v/>
      </c>
      <c r="AL19" s="194" t="str">
        <f t="shared" si="6"/>
        <v/>
      </c>
      <c r="AM19" s="193">
        <f>IF(COUNT(Y19,AE19,AK19)=0,"",SUM(Y19,AE19,AK19)/COUNT(Y19,AE19,AK19))</f>
        <v>2</v>
      </c>
      <c r="AN19" s="216" t="str">
        <f t="shared" si="7"/>
        <v>C</v>
      </c>
      <c r="AO19" s="149" t="s">
        <v>32</v>
      </c>
      <c r="AP19" s="138"/>
      <c r="AQ19" s="139"/>
      <c r="AR19" s="193">
        <f>IFERROR((((COUNTIF('Elève (4ème2)'!AO19:AQ19,"A"))*4)+((COUNTIF('Elève (4ème2)'!AO19:AQ19,"B"))*3)+((COUNTIF('Elève (4ème2)'!AO19:AQ19,"C"))*2)+((COUNTIF('Elève (4ème2)'!AO19:AQ19,"D"))*1))/(COUNTA(AO19:AQ19)),"")</f>
        <v>1</v>
      </c>
      <c r="AS19" s="194" t="str">
        <f t="shared" si="8"/>
        <v>D</v>
      </c>
      <c r="AT19" s="149" t="s">
        <v>31</v>
      </c>
      <c r="AU19" s="138"/>
      <c r="AV19" s="229" t="s">
        <v>31</v>
      </c>
      <c r="AW19" s="139"/>
      <c r="AX19" s="193">
        <f>IFERROR((((COUNTIF('Elève (4ème2)'!AT19:AW19,"A"))*4)+((COUNTIF('Elève (4ème2)'!AT19:AW19,"B"))*3)+((COUNTIF('Elève (4ème2)'!AT19:AW19,"C"))*2)+((COUNTIF('Elève (4ème2)'!AT19:AW19,"D"))*1))/(COUNTA(AT19:AW19)),"")</f>
        <v>2</v>
      </c>
      <c r="AY19" s="194" t="str">
        <f t="shared" si="9"/>
        <v>C</v>
      </c>
      <c r="AZ19" s="137"/>
      <c r="BA19" s="138"/>
      <c r="BB19" s="139"/>
      <c r="BC19" s="143"/>
      <c r="BD19" s="193" t="str">
        <f>IFERROR((((COUNTIF('Elève (4ème2)'!AZ19:BC19,"A"))*4)+((COUNTIF('Elève (4ème2)'!AZ19:BC19,"B"))*3)+((COUNTIF('Elève (4ème2)'!AZ19:BC19,"C"))*2)+((COUNTIF('Elève (4ème2)'!AZ19:BC19,"D"))*1))/(COUNTA(AZ19:BC19)),"")</f>
        <v/>
      </c>
      <c r="BE19" s="194" t="str">
        <f t="shared" si="10"/>
        <v/>
      </c>
      <c r="BF19" s="193">
        <f>IF(COUNT(AR19,AX19,BD19)=0,"",SUM(AR19,AX19,BD19)/COUNT(AR19,AX19,BD19))</f>
        <v>1.5</v>
      </c>
      <c r="BG19" s="216" t="str">
        <f t="shared" si="11"/>
        <v>D</v>
      </c>
      <c r="BH19" s="149" t="s">
        <v>31</v>
      </c>
      <c r="BI19" s="138"/>
      <c r="BJ19" s="139"/>
      <c r="BK19" s="193">
        <f>IFERROR((((COUNTIF('Elève (4ème2)'!BH19:BJ19,"A"))*4)+((COUNTIF('Elève (4ème2)'!BH19:BJ19,"B"))*3)+((COUNTIF('Elève (4ème2)'!BH19:BJ19,"C"))*2)+((COUNTIF('Elève (4ème2)'!BH19:BJ19,"D"))*1))/(COUNTA(BH19:BJ19)),"")</f>
        <v>2</v>
      </c>
      <c r="BL19" s="194" t="str">
        <f t="shared" si="12"/>
        <v>C</v>
      </c>
      <c r="BM19" s="149" t="s">
        <v>31</v>
      </c>
      <c r="BN19" s="138"/>
      <c r="BO19" s="229" t="s">
        <v>31</v>
      </c>
      <c r="BP19" s="139"/>
      <c r="BQ19" s="193">
        <f>IFERROR((((COUNTIF('Elève (4ème2)'!BM19:BP19,"A"))*4)+((COUNTIF('Elève (4ème2)'!BM19:BP19,"B"))*3)+((COUNTIF('Elève (4ème2)'!BM19:BP19,"C"))*2)+((COUNTIF('Elève (4ème2)'!BM19:BP19,"D"))*1))/(COUNTA(BM19:BP19)),"")</f>
        <v>2</v>
      </c>
      <c r="BR19" s="194" t="str">
        <f t="shared" si="13"/>
        <v>C</v>
      </c>
      <c r="BS19" s="137"/>
      <c r="BT19" s="138"/>
      <c r="BU19" s="139"/>
      <c r="BV19" s="143"/>
      <c r="BW19" s="193" t="str">
        <f>IFERROR((((COUNTIF('Elève (4ème2)'!BS19:BV19,"A"))*4)+((COUNTIF('Elève (4ème2)'!BS19:BV19,"B"))*3)+((COUNTIF('Elève (4ème2)'!BS19:BV19,"C"))*2)+((COUNTIF('Elève (4ème2)'!BS19:BV19,"D"))*1))/(COUNTA(BS19:BV19)),"")</f>
        <v/>
      </c>
      <c r="BX19" s="194" t="str">
        <f t="shared" si="14"/>
        <v/>
      </c>
      <c r="BY19" s="193">
        <f>IF(COUNT(BK19,BQ19,BW19)=0,"",SUM(BK19,BQ19,BW19)/COUNT(BK19,BQ19,BW19))</f>
        <v>2</v>
      </c>
      <c r="BZ19" s="216" t="str">
        <f t="shared" si="15"/>
        <v>C</v>
      </c>
      <c r="CA19" s="149" t="s">
        <v>31</v>
      </c>
      <c r="CB19" s="138"/>
      <c r="CC19" s="139"/>
      <c r="CD19" s="193">
        <f>IFERROR((((COUNTIF('Elève (4ème2)'!CA19:CC19,"A"))*4)+((COUNTIF('Elève (4ème2)'!CA19:CC19,"B"))*3)+((COUNTIF('Elève (4ème2)'!CA19:CC19,"C"))*2)+((COUNTIF('Elève (4ème2)'!CA19:CC19,"D"))*1))/(COUNTA(CA19:CC19)),"")</f>
        <v>2</v>
      </c>
      <c r="CE19" s="194" t="str">
        <f t="shared" si="16"/>
        <v>C</v>
      </c>
      <c r="CF19" s="149" t="s">
        <v>30</v>
      </c>
      <c r="CG19" s="138"/>
      <c r="CH19" s="229" t="s">
        <v>31</v>
      </c>
      <c r="CI19" s="139"/>
      <c r="CJ19" s="193">
        <f>IFERROR((((COUNTIF('Elève (4ème2)'!CF19:CI19,"A"))*4)+((COUNTIF('Elève (4ème2)'!CF19:CI19,"B"))*3)+((COUNTIF('Elève (4ème2)'!CF19:CI19,"C"))*2)+((COUNTIF('Elève (4ème2)'!CF19:CI19,"D"))*1))/(COUNTA(CF19:CI19)),"")</f>
        <v>2.5</v>
      </c>
      <c r="CK19" s="194" t="str">
        <f t="shared" si="17"/>
        <v>C</v>
      </c>
      <c r="CL19" s="137"/>
      <c r="CM19" s="138"/>
      <c r="CN19" s="139"/>
      <c r="CO19" s="143"/>
      <c r="CP19" s="193" t="str">
        <f>IFERROR((((COUNTIF('Elève (4ème2)'!CL19:CO19,"A"))*4)+((COUNTIF('Elève (4ème2)'!CL19:CO19,"B"))*3)+((COUNTIF('Elève (4ème2)'!CL19:CO19,"C"))*2)+((COUNTIF('Elève (4ème2)'!CL19:CO19,"D"))*1))/(COUNTA(CL19:CO19)),"")</f>
        <v/>
      </c>
      <c r="CQ19" s="194" t="str">
        <f t="shared" si="18"/>
        <v/>
      </c>
      <c r="CR19" s="193">
        <f>IF(COUNT(CD19,CJ19,CP19)=0,"",SUM(CD19,CJ19,CP19)/COUNT(CD19,CJ19,CP19))</f>
        <v>2.25</v>
      </c>
      <c r="CS19" s="216" t="str">
        <f t="shared" si="19"/>
        <v>C</v>
      </c>
      <c r="CT19" s="149" t="s">
        <v>31</v>
      </c>
      <c r="CU19" s="138"/>
      <c r="CV19" s="139"/>
      <c r="CW19" s="193">
        <f>IFERROR((((COUNTIF('Elève (4ème2)'!CT19:CV19,"A"))*4)+((COUNTIF('Elève (4ème2)'!CT19:CV19,"B"))*3)+((COUNTIF('Elève (4ème2)'!CT19:CV19,"C"))*2)+((COUNTIF('Elève (4ème2)'!CT19:CV19,"D"))*1))/(COUNTA(CT19:CV19)),"")</f>
        <v>2</v>
      </c>
      <c r="CX19" s="194" t="str">
        <f t="shared" si="20"/>
        <v>C</v>
      </c>
      <c r="CY19" s="149" t="s">
        <v>31</v>
      </c>
      <c r="CZ19" s="138"/>
      <c r="DA19" s="229" t="s">
        <v>31</v>
      </c>
      <c r="DB19" s="139"/>
      <c r="DC19" s="193">
        <f>IFERROR((((COUNTIF('Elève (4ème2)'!CY19:DB19,"A"))*4)+((COUNTIF('Elève (4ème2)'!CY19:DB19,"B"))*3)+((COUNTIF('Elève (4ème2)'!CY19:DB19,"C"))*2)+((COUNTIF('Elève (4ème2)'!CY19:DB19,"D"))*1))/(COUNTA(CY19:DB19)),"")</f>
        <v>2</v>
      </c>
      <c r="DD19" s="194" t="str">
        <f t="shared" si="21"/>
        <v>C</v>
      </c>
      <c r="DE19" s="137"/>
      <c r="DF19" s="138"/>
      <c r="DG19" s="139"/>
      <c r="DH19" s="143"/>
      <c r="DI19" s="193" t="str">
        <f>IFERROR((((COUNTIF('Elève (4ème2)'!DE19:DH19,"A"))*4)+((COUNTIF('Elève (4ème2)'!DE19:DH19,"B"))*3)+((COUNTIF('Elève (4ème2)'!DE19:DH19,"C"))*2)+((COUNTIF('Elève (4ème2)'!DE19:DH19,"D"))*1))/(COUNTA(DE19:DH19)),"")</f>
        <v/>
      </c>
      <c r="DJ19" s="194" t="str">
        <f t="shared" si="22"/>
        <v/>
      </c>
      <c r="DK19" s="193">
        <f>IF(COUNT(CW19,DC19,DI19)=0,"",SUM(CW19,DC19,DI19)/COUNT(CW19,DC19,DI19))</f>
        <v>2</v>
      </c>
      <c r="DL19" s="216" t="str">
        <f t="shared" si="23"/>
        <v>C</v>
      </c>
      <c r="DM19" s="149" t="s">
        <v>30</v>
      </c>
      <c r="DN19" s="138"/>
      <c r="DO19" s="139"/>
      <c r="DP19" s="193">
        <f>IFERROR((((COUNTIF('Elève (4ème2)'!DM19:DO19,"A"))*4)+((COUNTIF('Elève (4ème2)'!DM19:DO19,"B"))*3)+((COUNTIF('Elève (4ème2)'!DM19:DO19,"C"))*2)+((COUNTIF('Elève (4ème2)'!DM19:DO19,"D"))*1))/(COUNTA(DM19:DO19)),"")</f>
        <v>3</v>
      </c>
      <c r="DQ19" s="194" t="str">
        <f t="shared" si="24"/>
        <v>B</v>
      </c>
      <c r="DR19" s="149" t="s">
        <v>31</v>
      </c>
      <c r="DS19" s="138"/>
      <c r="DT19" s="229" t="s">
        <v>31</v>
      </c>
      <c r="DU19" s="139"/>
      <c r="DV19" s="193">
        <f>IFERROR((((COUNTIF('Elève (4ème2)'!DR19:DU19,"A"))*4)+((COUNTIF('Elève (4ème2)'!DR19:DU19,"B"))*3)+((COUNTIF('Elève (4ème2)'!DR19:DU19,"C"))*2)+((COUNTIF('Elève (4ème2)'!DR19:DU19,"D"))*1))/(COUNTA(DR19:DU19)),"")</f>
        <v>2</v>
      </c>
      <c r="DW19" s="194" t="str">
        <f t="shared" si="25"/>
        <v>C</v>
      </c>
      <c r="DX19" s="137"/>
      <c r="DY19" s="138"/>
      <c r="DZ19" s="139"/>
      <c r="EA19" s="143"/>
      <c r="EB19" s="193" t="str">
        <f>IFERROR((((COUNTIF('Elève (4ème2)'!DX19:EA19,"A"))*4)+((COUNTIF('Elève (4ème2)'!DX19:EA19,"B"))*3)+((COUNTIF('Elève (4ème2)'!DX19:EA19,"C"))*2)+((COUNTIF('Elève (4ème2)'!DX19:EA19,"D"))*1))/(COUNTA(DX19:EA19)),"")</f>
        <v/>
      </c>
      <c r="EC19" s="194" t="str">
        <f t="shared" si="26"/>
        <v/>
      </c>
      <c r="ED19" s="193">
        <f>IF(COUNT(DP19,DV19,EB19)=0,"",SUM(DP19,DV19,EB19)/COUNT(DP19,DV19,EB19))</f>
        <v>2.5</v>
      </c>
      <c r="EE19" s="216" t="str">
        <f t="shared" si="27"/>
        <v>C</v>
      </c>
      <c r="EF19" s="149" t="s">
        <v>31</v>
      </c>
      <c r="EG19" s="138"/>
      <c r="EH19" s="139"/>
      <c r="EI19" s="193">
        <f>IFERROR((((COUNTIF('Elève (4ème2)'!EF19:EH19,"A"))*4)+((COUNTIF('Elève (4ème2)'!EF19:EH19,"B"))*3)+((COUNTIF('Elève (4ème2)'!EF19:EH19,"C"))*2)+((COUNTIF('Elève (4ème2)'!EF19:EH19,"D"))*1))/(COUNTA(EF19:EH19)),"")</f>
        <v>2</v>
      </c>
      <c r="EJ19" s="194" t="str">
        <f t="shared" si="28"/>
        <v>C</v>
      </c>
      <c r="EK19" s="149" t="s">
        <v>30</v>
      </c>
      <c r="EL19" s="138"/>
      <c r="EM19" s="229" t="s">
        <v>30</v>
      </c>
      <c r="EN19" s="139"/>
      <c r="EO19" s="193">
        <f>IFERROR((((COUNTIF('Elève (4ème2)'!EK19:EN19,"A"))*4)+((COUNTIF('Elève (4ème2)'!EK19:EN19,"B"))*3)+((COUNTIF('Elève (4ème2)'!EK19:EN19,"C"))*2)+((COUNTIF('Elève (4ème2)'!EK19:EN19,"D"))*1))/(COUNTA(EK19:EN19)),"")</f>
        <v>3</v>
      </c>
      <c r="EP19" s="194" t="str">
        <f t="shared" si="29"/>
        <v>B</v>
      </c>
      <c r="EQ19" s="137"/>
      <c r="ER19" s="138"/>
      <c r="ES19" s="139"/>
      <c r="ET19" s="143"/>
      <c r="EU19" s="193" t="str">
        <f>IFERROR((((COUNTIF('Elève (4ème2)'!EQ19:ET19,"A"))*4)+((COUNTIF('Elève (4ème2)'!EQ19:ET19,"B"))*3)+((COUNTIF('Elève (4ème2)'!EQ19:ET19,"C"))*2)+((COUNTIF('Elève (4ème2)'!EQ19:ET19,"D"))*1))/(COUNTA(EQ19:ET19)),"")</f>
        <v/>
      </c>
      <c r="EV19" s="194" t="str">
        <f t="shared" si="30"/>
        <v/>
      </c>
      <c r="EW19" s="193">
        <f>IF(COUNT(EI19,EO19,EU19)=0,"",SUM(EI19,EO19,EU19)/COUNT(EI19,EO19,EU19))</f>
        <v>2.5</v>
      </c>
      <c r="EX19" s="216" t="str">
        <f t="shared" si="31"/>
        <v>C</v>
      </c>
      <c r="EY19" s="149" t="s">
        <v>30</v>
      </c>
      <c r="EZ19" s="138"/>
      <c r="FA19" s="139"/>
      <c r="FB19" s="193">
        <f>IFERROR((((COUNTIF('Elève (4ème2)'!EY19:FA19,"A"))*4)+((COUNTIF('Elève (4ème2)'!EY19:FA19,"B"))*3)+((COUNTIF('Elève (4ème2)'!EY19:FA19,"C"))*2)+((COUNTIF('Elève (4ème2)'!EY19:FA19,"D"))*1))/(COUNTA(EY19:FA19)),"")</f>
        <v>3</v>
      </c>
      <c r="FC19" s="194" t="str">
        <f t="shared" si="32"/>
        <v>B</v>
      </c>
      <c r="FD19" s="149" t="s">
        <v>31</v>
      </c>
      <c r="FE19" s="138"/>
      <c r="FF19" s="229" t="s">
        <v>31</v>
      </c>
      <c r="FG19" s="139"/>
      <c r="FH19" s="193">
        <f>IFERROR((((COUNTIF('Elève (4ème2)'!FD19:FG19,"A"))*4)+((COUNTIF('Elève (4ème2)'!FD19:FG19,"B"))*3)+((COUNTIF('Elève (4ème2)'!FD19:FG19,"C"))*2)+((COUNTIF('Elève (4ème2)'!FD19:FG19,"D"))*1))/(COUNTA(FD19:FG19)),"")</f>
        <v>2</v>
      </c>
      <c r="FI19" s="194" t="str">
        <f t="shared" si="33"/>
        <v>C</v>
      </c>
      <c r="FJ19" s="137"/>
      <c r="FK19" s="138"/>
      <c r="FL19" s="139"/>
      <c r="FM19" s="143"/>
      <c r="FN19" s="193" t="str">
        <f>IFERROR((((COUNTIF('Elève (4ème2)'!FJ19:FM19,"A"))*4)+((COUNTIF('Elève (4ème2)'!FJ19:FM19,"B"))*3)+((COUNTIF('Elève (4ème2)'!FJ19:FM19,"C"))*2)+((COUNTIF('Elève (4ème2)'!FJ19:FM19,"D"))*1))/(COUNTA(FJ19:FM19)),"")</f>
        <v/>
      </c>
      <c r="FO19" s="194" t="str">
        <f t="shared" si="34"/>
        <v/>
      </c>
      <c r="FP19" s="193">
        <f>IF(COUNT(FB19,FH19,FN19)=0,"",SUM(FB19,FH19,FN19)/COUNT(FB19,FH19,FN19))</f>
        <v>2.5</v>
      </c>
      <c r="FQ19" s="216" t="str">
        <f t="shared" si="35"/>
        <v>C</v>
      </c>
      <c r="FR19" s="149" t="s">
        <v>31</v>
      </c>
      <c r="FS19" s="138"/>
      <c r="FT19" s="139"/>
      <c r="FU19" s="193">
        <f>IFERROR((((COUNTIF('Elève (4ème2)'!FR19:FT19,"A"))*4)+((COUNTIF('Elève (4ème2)'!FR19:FT19,"B"))*3)+((COUNTIF('Elève (4ème2)'!FR19:FT19,"C"))*2)+((COUNTIF('Elève (4ème2)'!FR19:FT19,"D"))*1))/(COUNTA(FR19:FT19)),"")</f>
        <v>2</v>
      </c>
      <c r="FV19" s="194" t="str">
        <f t="shared" si="36"/>
        <v>C</v>
      </c>
      <c r="FW19" s="149" t="s">
        <v>31</v>
      </c>
      <c r="FX19" s="138"/>
      <c r="FY19" s="229" t="s">
        <v>31</v>
      </c>
      <c r="FZ19" s="139"/>
      <c r="GA19" s="193">
        <f>IFERROR((((COUNTIF('Elève (4ème2)'!FW19:FZ19,"A"))*4)+((COUNTIF('Elève (4ème2)'!FW19:FZ19,"B"))*3)+((COUNTIF('Elève (4ème2)'!FW19:FZ19,"C"))*2)+((COUNTIF('Elève (4ème2)'!FW19:FZ19,"D"))*1))/(COUNTA(FW19:FZ19)),"")</f>
        <v>2</v>
      </c>
      <c r="GB19" s="194" t="str">
        <f t="shared" si="37"/>
        <v>C</v>
      </c>
      <c r="GC19" s="137"/>
      <c r="GD19" s="138"/>
      <c r="GE19" s="139"/>
      <c r="GF19" s="143"/>
      <c r="GG19" s="193" t="str">
        <f>IFERROR((((COUNTIF('Elève (4ème2)'!GC19:GF19,"A"))*4)+((COUNTIF('Elève (4ème2)'!GC19:GF19,"B"))*3)+((COUNTIF('Elève (4ème2)'!GC19:GF19,"C"))*2)+((COUNTIF('Elève (4ème2)'!GC19:GF19,"D"))*1))/(COUNTA(GC19:GF19)),"")</f>
        <v/>
      </c>
      <c r="GH19" s="194" t="str">
        <f t="shared" si="38"/>
        <v/>
      </c>
      <c r="GI19" s="193">
        <f>IF(COUNT(FU19,GA19,GG19)=0,"",SUM(FU19,GA19,GG19)/COUNT(FU19,GA19,GG19))</f>
        <v>2</v>
      </c>
      <c r="GJ19" s="216" t="str">
        <f t="shared" si="39"/>
        <v>C</v>
      </c>
      <c r="GK19" s="149" t="s">
        <v>31</v>
      </c>
      <c r="GL19" s="138"/>
      <c r="GM19" s="139"/>
      <c r="GN19" s="193">
        <f>IFERROR((((COUNTIF('Elève (4ème2)'!GK19:GM19,"A"))*4)+((COUNTIF('Elève (4ème2)'!GK19:GM19,"B"))*3)+((COUNTIF('Elève (4ème2)'!GK19:GM19,"C"))*2)+((COUNTIF('Elève (4ème2)'!GK19:GM19,"D"))*1))/(COUNTA(GK19:GM19)),"")</f>
        <v>2</v>
      </c>
      <c r="GO19" s="194" t="str">
        <f t="shared" si="40"/>
        <v>C</v>
      </c>
      <c r="GP19" s="149" t="s">
        <v>31</v>
      </c>
      <c r="GQ19" s="138"/>
      <c r="GR19" s="229"/>
      <c r="GS19" s="139"/>
      <c r="GT19" s="193">
        <f>IFERROR((((COUNTIF('Elève (4ème2)'!GP19:GS19,"A"))*4)+((COUNTIF('Elève (4ème2)'!GP19:GS19,"B"))*3)+((COUNTIF('Elève (4ème2)'!GP19:GS19,"C"))*2)+((COUNTIF('Elève (4ème2)'!GP19:GS19,"D"))*1))/(COUNTA(GP19:GS19)),"")</f>
        <v>2</v>
      </c>
      <c r="GU19" s="194" t="str">
        <f t="shared" si="41"/>
        <v>C</v>
      </c>
      <c r="GV19" s="137"/>
      <c r="GW19" s="138"/>
      <c r="GX19" s="139"/>
      <c r="GY19" s="143"/>
      <c r="GZ19" s="193" t="str">
        <f>IFERROR((((COUNTIF('Elève (4ème2)'!GV19:GY19,"A"))*4)+((COUNTIF('Elève (4ème2)'!GV19:GY19,"B"))*3)+((COUNTIF('Elève (4ème2)'!GV19:GY19,"C"))*2)+((COUNTIF('Elève (4ème2)'!GV19:GY19,"D"))*1))/(COUNTA(GV19:GY19)),"")</f>
        <v/>
      </c>
      <c r="HA19" s="194" t="str">
        <f t="shared" si="42"/>
        <v/>
      </c>
      <c r="HB19" s="193">
        <f>IF(COUNT(GN19,GT19,GZ19)=0,"",SUM(GN19,GT19,GZ19)/COUNT(GN19,GT19,GZ19))</f>
        <v>2</v>
      </c>
      <c r="HC19" s="216" t="str">
        <f t="shared" si="43"/>
        <v>C</v>
      </c>
      <c r="HD19" s="149" t="s">
        <v>31</v>
      </c>
      <c r="HE19" s="138"/>
      <c r="HF19" s="139"/>
      <c r="HG19" s="193">
        <f>IFERROR((((COUNTIF('Elève (4ème2)'!HD19:HF19,"A"))*4)+((COUNTIF('Elève (4ème2)'!HD19:HF19,"B"))*3)+((COUNTIF('Elève (4ème2)'!HD19:HF19,"C"))*2)+((COUNTIF('Elève (4ème2)'!HD19:HF19,"D"))*1))/(COUNTA(HD19:HF19)),"")</f>
        <v>2</v>
      </c>
      <c r="HH19" s="194" t="str">
        <f t="shared" si="44"/>
        <v>C</v>
      </c>
      <c r="HI19" s="149" t="s">
        <v>31</v>
      </c>
      <c r="HJ19" s="138"/>
      <c r="HK19" s="229" t="s">
        <v>30</v>
      </c>
      <c r="HL19" s="139"/>
      <c r="HM19" s="193">
        <f>IFERROR((((COUNTIF('Elève (4ème2)'!HI19:HL19,"A"))*4)+((COUNTIF('Elève (4ème2)'!HI19:HL19,"B"))*3)+((COUNTIF('Elève (4ème2)'!HI19:HL19,"C"))*2)+((COUNTIF('Elève (4ème2)'!HI19:HL19,"D"))*1))/(COUNTA(HI19:HL19)),"")</f>
        <v>2.5</v>
      </c>
      <c r="HN19" s="194" t="str">
        <f t="shared" si="45"/>
        <v>C</v>
      </c>
      <c r="HO19" s="137"/>
      <c r="HP19" s="138"/>
      <c r="HQ19" s="139"/>
      <c r="HR19" s="143"/>
      <c r="HS19" s="193" t="str">
        <f>IFERROR((((COUNTIF('Elève (4ème2)'!HO19:HR19,"A"))*4)+((COUNTIF('Elève (4ème2)'!HO19:HR19,"B"))*3)+((COUNTIF('Elève (4ème2)'!HO19:HR19,"C"))*2)+((COUNTIF('Elève (4ème2)'!HO19:HR19,"D"))*1))/(COUNTA(HO19:HR19)),"")</f>
        <v/>
      </c>
      <c r="HT19" s="194" t="str">
        <f t="shared" si="46"/>
        <v/>
      </c>
      <c r="HU19" s="193">
        <f>IF(COUNT(HG19,HM19,HS19)=0,"",SUM(HG19,HM19,HS19)/COUNT(HG19,HM19,HS19))</f>
        <v>2.25</v>
      </c>
      <c r="HV19" s="216" t="str">
        <f t="shared" si="47"/>
        <v>C</v>
      </c>
      <c r="HW19" s="149" t="s">
        <v>30</v>
      </c>
      <c r="HX19" s="138"/>
      <c r="HY19" s="139"/>
      <c r="HZ19" s="193">
        <f>IFERROR((((COUNTIF('Elève (4ème2)'!HW19:HY19,"A"))*4)+((COUNTIF('Elève (4ème2)'!HW19:HY19,"B"))*3)+((COUNTIF('Elève (4ème2)'!HW19:HY19,"C"))*2)+((COUNTIF('Elève (4ème2)'!HW19:HY19,"D"))*1))/(COUNTA(HW19:HY19)),"")</f>
        <v>3</v>
      </c>
      <c r="IA19" s="194" t="str">
        <f t="shared" si="48"/>
        <v>B</v>
      </c>
      <c r="IB19" s="149" t="s">
        <v>31</v>
      </c>
      <c r="IC19" s="138"/>
      <c r="ID19" s="229" t="s">
        <v>31</v>
      </c>
      <c r="IE19" s="139"/>
      <c r="IF19" s="193">
        <f>IFERROR((((COUNTIF('Elève (4ème2)'!IB19:IE19,"A"))*4)+((COUNTIF('Elève (4ème2)'!IB19:IE19,"B"))*3)+((COUNTIF('Elève (4ème2)'!IB19:IE19,"C"))*2)+((COUNTIF('Elève (4ème2)'!IB19:IE19,"D"))*1))/(COUNTA(IB19:IE19)),"")</f>
        <v>2</v>
      </c>
      <c r="IG19" s="194" t="str">
        <f t="shared" si="49"/>
        <v>C</v>
      </c>
      <c r="IH19" s="137"/>
      <c r="II19" s="138"/>
      <c r="IJ19" s="139"/>
      <c r="IK19" s="143"/>
      <c r="IL19" s="193" t="str">
        <f>IFERROR((((COUNTIF('Elève (4ème2)'!IH19:IK19,"A"))*4)+((COUNTIF('Elève (4ème2)'!IH19:IK19,"B"))*3)+((COUNTIF('Elève (4ème2)'!IH19:IK19,"C"))*2)+((COUNTIF('Elève (4ème2)'!IH19:IK19,"D"))*1))/(COUNTA(IH19:IK19)),"")</f>
        <v/>
      </c>
      <c r="IM19" s="194" t="str">
        <f t="shared" si="50"/>
        <v/>
      </c>
      <c r="IN19" s="193">
        <f>IF(COUNT(HZ19,IF19,IL19)=0,"",SUM(HZ19,IF19,IL19)/COUNT(HZ19,IF19,IL19))</f>
        <v>2.5</v>
      </c>
      <c r="IO19" s="216" t="str">
        <f t="shared" si="51"/>
        <v>C</v>
      </c>
      <c r="IP19" s="149" t="s">
        <v>30</v>
      </c>
      <c r="IQ19" s="138"/>
      <c r="IR19" s="139"/>
      <c r="IS19" s="193">
        <f>IFERROR((((COUNTIF('Elève (4ème2)'!IP19:IR19,"A"))*4)+((COUNTIF('Elève (4ème2)'!IP19:IR19,"B"))*3)+((COUNTIF('Elève (4ème2)'!IP19:IR19,"C"))*2)+((COUNTIF('Elève (4ème2)'!IP19:IR19,"D"))*1))/(COUNTA(IP19:IR19)),"")</f>
        <v>3</v>
      </c>
      <c r="IT19" s="194" t="str">
        <f t="shared" si="52"/>
        <v>B</v>
      </c>
      <c r="IU19" s="149" t="s">
        <v>30</v>
      </c>
      <c r="IV19" s="138"/>
      <c r="IW19" s="229" t="s">
        <v>30</v>
      </c>
      <c r="IX19" s="139"/>
      <c r="IY19" s="193">
        <f>IFERROR((((COUNTIF('Elève (4ème2)'!IU19:IX19,"A"))*4)+((COUNTIF('Elève (4ème2)'!IU19:IX19,"B"))*3)+((COUNTIF('Elève (4ème2)'!IU19:IX19,"C"))*2)+((COUNTIF('Elève (4ème2)'!IU19:IX19,"D"))*1))/(COUNTA(IU19:IX19)),"")</f>
        <v>3</v>
      </c>
      <c r="IZ19" s="194" t="str">
        <f t="shared" si="53"/>
        <v>B</v>
      </c>
      <c r="JA19" s="137"/>
      <c r="JB19" s="138"/>
      <c r="JC19" s="139"/>
      <c r="JD19" s="143"/>
      <c r="JE19" s="193" t="str">
        <f>IFERROR((((COUNTIF('Elève (4ème2)'!JA19:JD19,"A"))*4)+((COUNTIF('Elève (4ème2)'!JA19:JD19,"B"))*3)+((COUNTIF('Elève (4ème2)'!JA19:JD19,"C"))*2)+((COUNTIF('Elève (4ème2)'!JA19:JD19,"D"))*1))/(COUNTA(JA19:JD19)),"")</f>
        <v/>
      </c>
      <c r="JF19" s="194" t="str">
        <f t="shared" si="54"/>
        <v/>
      </c>
      <c r="JG19" s="193">
        <f>IF(COUNT(IS19,IY19,JE19)=0,"",SUM(IS19,IY19,JE19)/COUNT(IS19,IY19,JE19))</f>
        <v>3</v>
      </c>
      <c r="JH19" s="216" t="str">
        <f t="shared" si="55"/>
        <v>B</v>
      </c>
      <c r="JI19" s="149" t="s">
        <v>30</v>
      </c>
      <c r="JJ19" s="138"/>
      <c r="JK19" s="139"/>
      <c r="JL19" s="193">
        <f>IFERROR((((COUNTIF('Elève (4ème2)'!JI19:JK19,"A"))*4)+((COUNTIF('Elève (4ème2)'!JI19:JK19,"B"))*3)+((COUNTIF('Elève (4ème2)'!JI19:JK19,"C"))*2)+((COUNTIF('Elève (4ème2)'!JI19:JK19,"D"))*1))/(COUNTA(JI19:JK19)),"")</f>
        <v>3</v>
      </c>
      <c r="JM19" s="194" t="str">
        <f t="shared" si="56"/>
        <v>B</v>
      </c>
      <c r="JN19" s="149" t="s">
        <v>30</v>
      </c>
      <c r="JO19" s="138"/>
      <c r="JP19" s="229" t="s">
        <v>31</v>
      </c>
      <c r="JQ19" s="139"/>
      <c r="JR19" s="193">
        <f>IFERROR((((COUNTIF('Elève (4ème2)'!JN19:JQ19,"A"))*4)+((COUNTIF('Elève (4ème2)'!JN19:JQ19,"B"))*3)+((COUNTIF('Elève (4ème2)'!JN19:JQ19,"C"))*2)+((COUNTIF('Elève (4ème2)'!JN19:JQ19,"D"))*1))/(COUNTA(JN19:JQ19)),"")</f>
        <v>2.5</v>
      </c>
      <c r="JS19" s="194" t="str">
        <f t="shared" si="57"/>
        <v>C</v>
      </c>
      <c r="JT19" s="137"/>
      <c r="JU19" s="138"/>
      <c r="JV19" s="139"/>
      <c r="JW19" s="143"/>
      <c r="JX19" s="193" t="str">
        <f>IFERROR((((COUNTIF('Elève (4ème2)'!JT19:JW19,"A"))*4)+((COUNTIF('Elève (4ème2)'!JT19:JW19,"B"))*3)+((COUNTIF('Elève (4ème2)'!JT19:JW19,"C"))*2)+((COUNTIF('Elève (4ème2)'!JT19:JW19,"D"))*1))/(COUNTA(JT19:JW19)),"")</f>
        <v/>
      </c>
      <c r="JY19" s="194" t="str">
        <f t="shared" si="58"/>
        <v/>
      </c>
      <c r="JZ19" s="193">
        <f>IF(COUNT(JL19,JR19,JX19)=0,"",SUM(JL19,JR19,JX19)/COUNT(JL19,JR19,JX19))</f>
        <v>2.75</v>
      </c>
      <c r="KA19" s="216" t="str">
        <f t="shared" si="59"/>
        <v>C</v>
      </c>
      <c r="KB19" s="149" t="s">
        <v>30</v>
      </c>
      <c r="KC19" s="138"/>
      <c r="KD19" s="139"/>
      <c r="KE19" s="193">
        <f>IFERROR((((COUNTIF('Elève (4ème2)'!KB19:KD19,"A"))*4)+((COUNTIF('Elève (4ème2)'!KB19:KD19,"B"))*3)+((COUNTIF('Elève (4ème2)'!KB19:KD19,"C"))*2)+((COUNTIF('Elève (4ème2)'!KB19:KD19,"D"))*1))/(COUNTA(KB19:KD19)),"")</f>
        <v>3</v>
      </c>
      <c r="KF19" s="194" t="str">
        <f t="shared" si="60"/>
        <v>B</v>
      </c>
      <c r="KG19" s="149" t="s">
        <v>31</v>
      </c>
      <c r="KH19" s="138"/>
      <c r="KI19" s="229" t="s">
        <v>31</v>
      </c>
      <c r="KJ19" s="139"/>
      <c r="KK19" s="193">
        <f>IFERROR((((COUNTIF('Elève (4ème2)'!KG19:KJ19,"A"))*4)+((COUNTIF('Elève (4ème2)'!KG19:KJ19,"B"))*3)+((COUNTIF('Elève (4ème2)'!KG19:KJ19,"C"))*2)+((COUNTIF('Elève (4ème2)'!KG19:KJ19,"D"))*1))/(COUNTA(KG19:KJ19)),"")</f>
        <v>2</v>
      </c>
      <c r="KL19" s="194" t="str">
        <f t="shared" si="61"/>
        <v>C</v>
      </c>
      <c r="KM19" s="137"/>
      <c r="KN19" s="138"/>
      <c r="KO19" s="139"/>
      <c r="KP19" s="143"/>
      <c r="KQ19" s="193" t="str">
        <f>IFERROR((((COUNTIF('Elève (4ème2)'!KM19:KP19,"A"))*4)+((COUNTIF('Elève (4ème2)'!KM19:KP19,"B"))*3)+((COUNTIF('Elève (4ème2)'!KM19:KP19,"C"))*2)+((COUNTIF('Elève (4ème2)'!KM19:KP19,"D"))*1))/(COUNTA(KM19:KP19)),"")</f>
        <v/>
      </c>
      <c r="KR19" s="194" t="str">
        <f t="shared" si="62"/>
        <v/>
      </c>
      <c r="KS19" s="193">
        <f>IF(COUNT(KE19,KK19,KQ19)=0,"",SUM(KE19,KK19,KQ19)/COUNT(KE19,KK19,KQ19))</f>
        <v>2.5</v>
      </c>
      <c r="KT19" s="216" t="str">
        <f t="shared" si="63"/>
        <v>C</v>
      </c>
      <c r="KU19" s="149" t="s">
        <v>31</v>
      </c>
      <c r="KV19" s="138"/>
      <c r="KW19" s="139"/>
      <c r="KX19" s="193">
        <f>IFERROR((((COUNTIF('Elève (4ème2)'!KU19:KW19,"A"))*4)+((COUNTIF('Elève (4ème2)'!KU19:KW19,"B"))*3)+((COUNTIF('Elève (4ème2)'!KU19:KW19,"C"))*2)+((COUNTIF('Elève (4ème2)'!KU19:KW19,"D"))*1))/(COUNTA(KU19:KW19)),"")</f>
        <v>2</v>
      </c>
      <c r="KY19" s="194" t="str">
        <f t="shared" si="64"/>
        <v>C</v>
      </c>
      <c r="KZ19" s="149" t="s">
        <v>31</v>
      </c>
      <c r="LA19" s="138"/>
      <c r="LB19" s="229" t="s">
        <v>31</v>
      </c>
      <c r="LC19" s="139"/>
      <c r="LD19" s="193">
        <f>IFERROR((((COUNTIF('Elève (4ème2)'!KZ19:LC19,"A"))*4)+((COUNTIF('Elève (4ème2)'!KZ19:LC19,"B"))*3)+((COUNTIF('Elève (4ème2)'!KZ19:LC19,"C"))*2)+((COUNTIF('Elève (4ème2)'!KZ19:LC19,"D"))*1))/(COUNTA(KZ19:LC19)),"")</f>
        <v>2</v>
      </c>
      <c r="LE19" s="194" t="str">
        <f t="shared" si="65"/>
        <v>C</v>
      </c>
      <c r="LF19" s="137"/>
      <c r="LG19" s="138"/>
      <c r="LH19" s="139"/>
      <c r="LI19" s="143"/>
      <c r="LJ19" s="193" t="str">
        <f>IFERROR((((COUNTIF('Elève (4ème2)'!LF19:LI19,"A"))*4)+((COUNTIF('Elève (4ème2)'!LF19:LI19,"B"))*3)+((COUNTIF('Elève (4ème2)'!LF19:LI19,"C"))*2)+((COUNTIF('Elève (4ème2)'!LF19:LI19,"D"))*1))/(COUNTA(LF19:LI19)),"")</f>
        <v/>
      </c>
      <c r="LK19" s="194" t="str">
        <f t="shared" si="66"/>
        <v/>
      </c>
      <c r="LL19" s="193">
        <f>IF(COUNT(KX19,LD19,LJ19)=0,"",SUM(KX19,LD19,LJ19)/COUNT(KX19,LD19,LJ19))</f>
        <v>2</v>
      </c>
      <c r="LM19" s="216" t="str">
        <f t="shared" si="67"/>
        <v>C</v>
      </c>
      <c r="LN19" s="149" t="s">
        <v>31</v>
      </c>
      <c r="LO19" s="138"/>
      <c r="LP19" s="139"/>
      <c r="LQ19" s="193">
        <f>IFERROR((((COUNTIF('Elève (4ème2)'!LN19:LP19,"A"))*4)+((COUNTIF('Elève (4ème2)'!LN19:LP19,"B"))*3)+((COUNTIF('Elève (4ème2)'!LN19:LP19,"C"))*2)+((COUNTIF('Elève (4ème2)'!LN19:LP19,"D"))*1))/(COUNTA(LN19:LP19)),"")</f>
        <v>2</v>
      </c>
      <c r="LR19" s="194" t="str">
        <f t="shared" si="68"/>
        <v>C</v>
      </c>
      <c r="LS19" s="149" t="s">
        <v>31</v>
      </c>
      <c r="LT19" s="138"/>
      <c r="LU19" s="229" t="s">
        <v>31</v>
      </c>
      <c r="LV19" s="139"/>
      <c r="LW19" s="193">
        <f>IFERROR((((COUNTIF('Elève (4ème2)'!LS19:LV19,"A"))*4)+((COUNTIF('Elève (4ème2)'!LS19:LV19,"B"))*3)+((COUNTIF('Elève (4ème2)'!LS19:LV19,"C"))*2)+((COUNTIF('Elève (4ème2)'!LS19:LV19,"D"))*1))/(COUNTA(LS19:LV19)),"")</f>
        <v>2</v>
      </c>
      <c r="LX19" s="194" t="str">
        <f t="shared" si="69"/>
        <v>C</v>
      </c>
      <c r="LY19" s="137"/>
      <c r="LZ19" s="138"/>
      <c r="MA19" s="139"/>
      <c r="MB19" s="143"/>
      <c r="MC19" s="193" t="str">
        <f>IFERROR((((COUNTIF('Elève (4ème2)'!LY19:MB19,"A"))*4)+((COUNTIF('Elève (4ème2)'!LY19:MB19,"B"))*3)+((COUNTIF('Elève (4ème2)'!LY19:MB19,"C"))*2)+((COUNTIF('Elève (4ème2)'!LY19:MB19,"D"))*1))/(COUNTA(LY19:MB19)),"")</f>
        <v/>
      </c>
      <c r="MD19" s="194" t="str">
        <f t="shared" si="70"/>
        <v/>
      </c>
      <c r="ME19" s="193">
        <f>IF(COUNT(LQ19,LW19,MC19)=0,"",SUM(LQ19,LW19,MC19)/COUNT(LQ19,LW19,MC19))</f>
        <v>2</v>
      </c>
      <c r="MF19" s="216" t="str">
        <f t="shared" si="71"/>
        <v>C</v>
      </c>
      <c r="MG19" s="149" t="s">
        <v>30</v>
      </c>
      <c r="MH19" s="138"/>
      <c r="MI19" s="139"/>
      <c r="MJ19" s="193">
        <f>IFERROR((((COUNTIF('Elève (4ème2)'!MG19:MI19,"A"))*4)+((COUNTIF('Elève (4ème2)'!MG19:MI19,"B"))*3)+((COUNTIF('Elève (4ème2)'!MG19:MI19,"C"))*2)+((COUNTIF('Elève (4ème2)'!MG19:MI19,"D"))*1))/(COUNTA(MG19:MI19)),"")</f>
        <v>3</v>
      </c>
      <c r="MK19" s="194" t="str">
        <f t="shared" si="72"/>
        <v>B</v>
      </c>
      <c r="ML19" s="149" t="s">
        <v>30</v>
      </c>
      <c r="MM19" s="138"/>
      <c r="MN19" s="229" t="s">
        <v>31</v>
      </c>
      <c r="MO19" s="139"/>
      <c r="MP19" s="193">
        <f>IFERROR((((COUNTIF('Elève (4ème2)'!ML19:MO19,"A"))*4)+((COUNTIF('Elève (4ème2)'!ML19:MO19,"B"))*3)+((COUNTIF('Elève (4ème2)'!ML19:MO19,"C"))*2)+((COUNTIF('Elève (4ème2)'!ML19:MO19,"D"))*1))/(COUNTA(ML19:MO19)),"")</f>
        <v>2.5</v>
      </c>
      <c r="MQ19" s="194" t="str">
        <f t="shared" si="73"/>
        <v>C</v>
      </c>
      <c r="MR19" s="137"/>
      <c r="MS19" s="138"/>
      <c r="MT19" s="139"/>
      <c r="MU19" s="143"/>
      <c r="MV19" s="193" t="str">
        <f>IFERROR((((COUNTIF('Elève (4ème2)'!MR19:MU19,"A"))*4)+((COUNTIF('Elève (4ème2)'!MR19:MU19,"B"))*3)+((COUNTIF('Elève (4ème2)'!MR19:MU19,"C"))*2)+((COUNTIF('Elève (4ème2)'!MR19:MU19,"D"))*1))/(COUNTA(MR19:MU19)),"")</f>
        <v/>
      </c>
      <c r="MW19" s="194" t="str">
        <f t="shared" si="74"/>
        <v/>
      </c>
      <c r="MX19" s="193">
        <f>IF(COUNT(MJ19,MP19,MV19)=0,"",SUM(MJ19,MP19,MV19)/COUNT(MJ19,MP19,MV19))</f>
        <v>2.75</v>
      </c>
      <c r="MY19" s="216" t="str">
        <f t="shared" si="75"/>
        <v>C</v>
      </c>
      <c r="MZ19" s="149" t="s">
        <v>30</v>
      </c>
      <c r="NA19" s="138"/>
      <c r="NB19" s="139"/>
      <c r="NC19" s="193">
        <f>IFERROR((((COUNTIF('Elève (4ème2)'!MZ19:NB19,"A"))*4)+((COUNTIF('Elève (4ème2)'!MZ19:NB19,"B"))*3)+((COUNTIF('Elève (4ème2)'!MZ19:NB19,"C"))*2)+((COUNTIF('Elève (4ème2)'!MZ19:NB19,"D"))*1))/(COUNTA(MZ19:NB19)),"")</f>
        <v>3</v>
      </c>
      <c r="ND19" s="194" t="str">
        <f t="shared" si="76"/>
        <v>B</v>
      </c>
      <c r="NE19" s="149" t="s">
        <v>31</v>
      </c>
      <c r="NF19" s="138"/>
      <c r="NG19" s="229" t="s">
        <v>31</v>
      </c>
      <c r="NH19" s="139"/>
      <c r="NI19" s="193">
        <f>IFERROR((((COUNTIF('Elève (4ème2)'!NE19:NH19,"A"))*4)+((COUNTIF('Elève (4ème2)'!NE19:NH19,"B"))*3)+((COUNTIF('Elève (4ème2)'!NE19:NH19,"C"))*2)+((COUNTIF('Elève (4ème2)'!NE19:NH19,"D"))*1))/(COUNTA(NE19:NH19)),"")</f>
        <v>2</v>
      </c>
      <c r="NJ19" s="194" t="str">
        <f t="shared" si="77"/>
        <v>C</v>
      </c>
      <c r="NK19" s="137"/>
      <c r="NL19" s="138"/>
      <c r="NM19" s="139"/>
      <c r="NN19" s="143"/>
      <c r="NO19" s="193" t="str">
        <f>IFERROR((((COUNTIF('Elève (4ème2)'!NK19:NN19,"A"))*4)+((COUNTIF('Elève (4ème2)'!NK19:NN19,"B"))*3)+((COUNTIF('Elève (4ème2)'!NK19:NN19,"C"))*2)+((COUNTIF('Elève (4ème2)'!NK19:NN19,"D"))*1))/(COUNTA(NK19:NN19)),"")</f>
        <v/>
      </c>
      <c r="NP19" s="194" t="str">
        <f t="shared" si="78"/>
        <v/>
      </c>
      <c r="NQ19" s="193">
        <f>IF(COUNT(NC19,NI19,NO19)=0,"",SUM(NC19,NI19,NO19)/COUNT(NC19,NI19,NO19))</f>
        <v>2.5</v>
      </c>
      <c r="NR19" s="216" t="str">
        <f t="shared" si="79"/>
        <v>C</v>
      </c>
      <c r="NS19" s="149" t="s">
        <v>31</v>
      </c>
      <c r="NT19" s="138"/>
      <c r="NU19" s="139"/>
      <c r="NV19" s="193">
        <f>IFERROR((((COUNTIF('Elève (4ème2)'!NS19:NU19,"A"))*4)+((COUNTIF('Elève (4ème2)'!NS19:NU19,"B"))*3)+((COUNTIF('Elève (4ème2)'!NS19:NU19,"C"))*2)+((COUNTIF('Elève (4ème2)'!NS19:NU19,"D"))*1))/(COUNTA(NS19:NU19)),"")</f>
        <v>2</v>
      </c>
      <c r="NW19" s="194" t="str">
        <f t="shared" si="80"/>
        <v>C</v>
      </c>
      <c r="NX19" s="149" t="s">
        <v>31</v>
      </c>
      <c r="NY19" s="138"/>
      <c r="NZ19" s="229" t="s">
        <v>31</v>
      </c>
      <c r="OA19" s="139"/>
      <c r="OB19" s="193">
        <f>IFERROR((((COUNTIF('Elève (4ème2)'!NX19:OA19,"A"))*4)+((COUNTIF('Elève (4ème2)'!NX19:OA19,"B"))*3)+((COUNTIF('Elève (4ème2)'!NX19:OA19,"C"))*2)+((COUNTIF('Elève (4ème2)'!NX19:OA19,"D"))*1))/(COUNTA(NX19:OA19)),"")</f>
        <v>2</v>
      </c>
      <c r="OC19" s="194" t="str">
        <f t="shared" si="81"/>
        <v>C</v>
      </c>
      <c r="OD19" s="137"/>
      <c r="OE19" s="138"/>
      <c r="OF19" s="139"/>
      <c r="OG19" s="143"/>
      <c r="OH19" s="193" t="str">
        <f>IFERROR((((COUNTIF('Elève (4ème2)'!OD19:OG19,"A"))*4)+((COUNTIF('Elève (4ème2)'!OD19:OG19,"B"))*3)+((COUNTIF('Elève (4ème2)'!OD19:OG19,"C"))*2)+((COUNTIF('Elève (4ème2)'!OD19:OG19,"D"))*1))/(COUNTA(OD19:OG19)),"")</f>
        <v/>
      </c>
      <c r="OI19" s="194" t="str">
        <f t="shared" si="82"/>
        <v/>
      </c>
      <c r="OJ19" s="193">
        <f>IF(COUNT(NV19,OB19,OH19)=0,"",SUM(NV19,OB19,OH19)/COUNT(NV19,OB19,OH19))</f>
        <v>2</v>
      </c>
      <c r="OK19" s="216" t="str">
        <f t="shared" si="83"/>
        <v>C</v>
      </c>
      <c r="OL19" s="149" t="s">
        <v>31</v>
      </c>
      <c r="OM19" s="138"/>
      <c r="ON19" s="139"/>
      <c r="OO19" s="193">
        <f>IFERROR((((COUNTIF('Elève (4ème2)'!OL19:ON19,"A"))*4)+((COUNTIF('Elève (4ème2)'!OL19:ON19,"B"))*3)+((COUNTIF('Elève (4ème2)'!OL19:ON19,"C"))*2)+((COUNTIF('Elève (4ème2)'!OL19:ON19,"D"))*1))/(COUNTA(OL19:ON19)),"")</f>
        <v>2</v>
      </c>
      <c r="OP19" s="194" t="str">
        <f t="shared" si="84"/>
        <v>C</v>
      </c>
      <c r="OQ19" s="149" t="s">
        <v>31</v>
      </c>
      <c r="OR19" s="138"/>
      <c r="OS19" s="229" t="s">
        <v>31</v>
      </c>
      <c r="OT19" s="139"/>
      <c r="OU19" s="193">
        <f>IFERROR((((COUNTIF('Elève (4ème2)'!OQ19:OT19,"A"))*4)+((COUNTIF('Elève (4ème2)'!OQ19:OT19,"B"))*3)+((COUNTIF('Elève (4ème2)'!OQ19:OT19,"C"))*2)+((COUNTIF('Elève (4ème2)'!OQ19:OT19,"D"))*1))/(COUNTA(OQ19:OT19)),"")</f>
        <v>2</v>
      </c>
      <c r="OV19" s="194" t="str">
        <f t="shared" si="85"/>
        <v>C</v>
      </c>
      <c r="OW19" s="137"/>
      <c r="OX19" s="138"/>
      <c r="OY19" s="139"/>
      <c r="OZ19" s="143"/>
      <c r="PA19" s="193" t="str">
        <f>IFERROR((((COUNTIF('Elève (4ème2)'!OW19:OZ19,"A"))*4)+((COUNTIF('Elève (4ème2)'!OW19:OZ19,"B"))*3)+((COUNTIF('Elève (4ème2)'!OW19:OZ19,"C"))*2)+((COUNTIF('Elève (4ème2)'!OW19:OZ19,"D"))*1))/(COUNTA(OW19:OZ19)),"")</f>
        <v/>
      </c>
      <c r="PB19" s="194" t="str">
        <f t="shared" si="86"/>
        <v/>
      </c>
      <c r="PC19" s="193">
        <f>IF(COUNT(OO19,OU19,PA19)=0,"",SUM(OO19,OU19,PA19)/COUNT(OO19,OU19,PA19))</f>
        <v>2</v>
      </c>
      <c r="PD19" s="216" t="str">
        <f t="shared" si="87"/>
        <v>C</v>
      </c>
      <c r="PE19" s="149" t="s">
        <v>31</v>
      </c>
      <c r="PF19" s="138"/>
      <c r="PG19" s="139"/>
      <c r="PH19" s="193">
        <f>IFERROR((((COUNTIF('Elève (4ème2)'!PE19:PG19,"A"))*4)+((COUNTIF('Elève (4ème2)'!PE19:PG19,"B"))*3)+((COUNTIF('Elève (4ème2)'!PE19:PG19,"C"))*2)+((COUNTIF('Elève (4ème2)'!PE19:PG19,"D"))*1))/(COUNTA(PE19:PG19)),"")</f>
        <v>2</v>
      </c>
      <c r="PI19" s="194" t="str">
        <f t="shared" si="88"/>
        <v>C</v>
      </c>
      <c r="PJ19" s="149" t="s">
        <v>31</v>
      </c>
      <c r="PK19" s="138"/>
      <c r="PL19" s="229" t="s">
        <v>31</v>
      </c>
      <c r="PM19" s="139"/>
      <c r="PN19" s="193">
        <f>IFERROR((((COUNTIF('Elève (4ème2)'!PJ19:PM19,"A"))*4)+((COUNTIF('Elève (4ème2)'!PJ19:PM19,"B"))*3)+((COUNTIF('Elève (4ème2)'!PJ19:PM19,"C"))*2)+((COUNTIF('Elève (4ème2)'!PJ19:PM19,"D"))*1))/(COUNTA(PJ19:PM19)),"")</f>
        <v>2</v>
      </c>
      <c r="PO19" s="194" t="str">
        <f t="shared" si="89"/>
        <v>C</v>
      </c>
      <c r="PP19" s="137"/>
      <c r="PQ19" s="138"/>
      <c r="PR19" s="139"/>
      <c r="PS19" s="143"/>
      <c r="PT19" s="193" t="str">
        <f>IFERROR((((COUNTIF('Elève (4ème2)'!PP19:PS19,"A"))*4)+((COUNTIF('Elève (4ème2)'!PP19:PS19,"B"))*3)+((COUNTIF('Elève (4ème2)'!PP19:PS19,"C"))*2)+((COUNTIF('Elève (4ème2)'!PP19:PS19,"D"))*1))/(COUNTA(PP19:PS19)),"")</f>
        <v/>
      </c>
      <c r="PU19" s="194" t="str">
        <f t="shared" si="90"/>
        <v/>
      </c>
      <c r="PV19" s="193">
        <f>IF(COUNT(PH19,PN19,PT19)=0,"",SUM(PH19,PN19,PT19)/COUNT(PH19,PN19,PT19))</f>
        <v>2</v>
      </c>
      <c r="PW19" s="216" t="str">
        <f t="shared" si="91"/>
        <v>C</v>
      </c>
      <c r="PX19" s="149" t="s">
        <v>30</v>
      </c>
      <c r="PY19" s="138"/>
      <c r="PZ19" s="139"/>
      <c r="QA19" s="193">
        <f>IFERROR((((COUNTIF('Elève (4ème2)'!PX19:PZ19,"A"))*4)+((COUNTIF('Elève (4ème2)'!PX19:PZ19,"B"))*3)+((COUNTIF('Elève (4ème2)'!PX19:PZ19,"C"))*2)+((COUNTIF('Elève (4ème2)'!PX19:PZ19,"D"))*1))/(COUNTA(PX19:PZ19)),"")</f>
        <v>3</v>
      </c>
      <c r="QB19" s="194" t="str">
        <f t="shared" si="92"/>
        <v>B</v>
      </c>
      <c r="QC19" s="149" t="s">
        <v>31</v>
      </c>
      <c r="QD19" s="138"/>
      <c r="QE19" s="229" t="s">
        <v>31</v>
      </c>
      <c r="QF19" s="139"/>
      <c r="QG19" s="193">
        <f>IFERROR((((COUNTIF('Elève (4ème2)'!QC19:QF19,"A"))*4)+((COUNTIF('Elève (4ème2)'!QC19:QF19,"B"))*3)+((COUNTIF('Elève (4ème2)'!QC19:QF19,"C"))*2)+((COUNTIF('Elève (4ème2)'!QC19:QF19,"D"))*1))/(COUNTA(QC19:QF19)),"")</f>
        <v>2</v>
      </c>
      <c r="QH19" s="194" t="str">
        <f t="shared" si="93"/>
        <v>C</v>
      </c>
      <c r="QI19" s="137"/>
      <c r="QJ19" s="138"/>
      <c r="QK19" s="139"/>
      <c r="QL19" s="143"/>
      <c r="QM19" s="193" t="str">
        <f>IFERROR((((COUNTIF('Elève (4ème2)'!QI19:QL19,"A"))*4)+((COUNTIF('Elève (4ème2)'!QI19:QL19,"B"))*3)+((COUNTIF('Elève (4ème2)'!QI19:QL19,"C"))*2)+((COUNTIF('Elève (4ème2)'!QI19:QL19,"D"))*1))/(COUNTA(QI19:QL19)),"")</f>
        <v/>
      </c>
      <c r="QN19" s="194" t="str">
        <f t="shared" si="94"/>
        <v/>
      </c>
      <c r="QO19" s="193">
        <f>IF(COUNT(QA19,QG19,QM19)=0,"",SUM(QA19,QG19,QM19)/COUNT(QA19,QG19,QM19))</f>
        <v>2.5</v>
      </c>
      <c r="QP19" s="216" t="str">
        <f t="shared" si="95"/>
        <v>C</v>
      </c>
      <c r="QQ19" s="149" t="s">
        <v>30</v>
      </c>
      <c r="QR19" s="138"/>
      <c r="QS19" s="139"/>
      <c r="QT19" s="193">
        <f>IFERROR((((COUNTIF('Elève (4ème2)'!QQ19:QS19,"A"))*4)+((COUNTIF('Elève (4ème2)'!QQ19:QS19,"B"))*3)+((COUNTIF('Elève (4ème2)'!QQ19:QS19,"C"))*2)+((COUNTIF('Elève (4ème2)'!QQ19:QS19,"D"))*1))/(COUNTA(QQ19:QS19)),"")</f>
        <v>3</v>
      </c>
      <c r="QU19" s="194" t="str">
        <f t="shared" si="96"/>
        <v>B</v>
      </c>
      <c r="QV19" s="149" t="s">
        <v>31</v>
      </c>
      <c r="QW19" s="138"/>
      <c r="QX19" s="229" t="s">
        <v>30</v>
      </c>
      <c r="QY19" s="139"/>
      <c r="QZ19" s="193">
        <f>IFERROR((((COUNTIF('Elève (4ème2)'!QV19:QY19,"A"))*4)+((COUNTIF('Elève (4ème2)'!QV19:QY19,"B"))*3)+((COUNTIF('Elève (4ème2)'!QV19:QY19,"C"))*2)+((COUNTIF('Elève (4ème2)'!QV19:QY19,"D"))*1))/(COUNTA(QV19:QY19)),"")</f>
        <v>2.5</v>
      </c>
      <c r="RA19" s="194" t="str">
        <f t="shared" si="97"/>
        <v>C</v>
      </c>
      <c r="RB19" s="137"/>
      <c r="RC19" s="138"/>
      <c r="RD19" s="139"/>
      <c r="RE19" s="143"/>
      <c r="RF19" s="193" t="str">
        <f>IFERROR((((COUNTIF('Elève (4ème2)'!RB19:RE19,"A"))*4)+((COUNTIF('Elève (4ème2)'!RB19:RE19,"B"))*3)+((COUNTIF('Elève (4ème2)'!RB19:RE19,"C"))*2)+((COUNTIF('Elève (4ème2)'!RB19:RE19,"D"))*1))/(COUNTA(RB19:RE19)),"")</f>
        <v/>
      </c>
      <c r="RG19" s="194" t="str">
        <f t="shared" si="98"/>
        <v/>
      </c>
      <c r="RH19" s="193">
        <f>IF(COUNT(QT19,QZ19,RF19)=0,"",SUM(QT19,QZ19,RF19)/COUNT(QT19,QZ19,RF19))</f>
        <v>2.75</v>
      </c>
      <c r="RI19" s="216" t="str">
        <f t="shared" si="99"/>
        <v>C</v>
      </c>
      <c r="RJ19" s="149" t="s">
        <v>31</v>
      </c>
      <c r="RK19" s="138"/>
      <c r="RL19" s="139"/>
      <c r="RM19" s="193">
        <f>IFERROR((((COUNTIF('Elève (4ème2)'!RJ19:RL19,"A"))*4)+((COUNTIF('Elève (4ème2)'!RJ19:RL19,"B"))*3)+((COUNTIF('Elève (4ème2)'!RJ19:RL19,"C"))*2)+((COUNTIF('Elève (4ème2)'!RJ19:RL19,"D"))*1))/(COUNTA(RJ19:RL19)),"")</f>
        <v>2</v>
      </c>
      <c r="RN19" s="194" t="str">
        <f t="shared" si="100"/>
        <v>C</v>
      </c>
      <c r="RO19" s="149" t="s">
        <v>31</v>
      </c>
      <c r="RP19" s="138"/>
      <c r="RQ19" s="229" t="s">
        <v>31</v>
      </c>
      <c r="RR19" s="139"/>
      <c r="RS19" s="193">
        <f>IFERROR((((COUNTIF('Elève (4ème2)'!RO19:RR19,"A"))*4)+((COUNTIF('Elève (4ème2)'!RO19:RR19,"B"))*3)+((COUNTIF('Elève (4ème2)'!RO19:RR19,"C"))*2)+((COUNTIF('Elève (4ème2)'!RO19:RR19,"D"))*1))/(COUNTA(RO19:RR19)),"")</f>
        <v>2</v>
      </c>
      <c r="RT19" s="194" t="str">
        <f t="shared" si="101"/>
        <v>C</v>
      </c>
      <c r="RU19" s="137"/>
      <c r="RV19" s="138"/>
      <c r="RW19" s="139"/>
      <c r="RX19" s="143"/>
      <c r="RY19" s="193" t="str">
        <f>IFERROR((((COUNTIF('Elève (4ème2)'!RU19:RX19,"A"))*4)+((COUNTIF('Elève (4ème2)'!RU19:RX19,"B"))*3)+((COUNTIF('Elève (4ème2)'!RU19:RX19,"C"))*2)+((COUNTIF('Elève (4ème2)'!RU19:RX19,"D"))*1))/(COUNTA(RU19:RX19)),"")</f>
        <v/>
      </c>
      <c r="RZ19" s="194" t="str">
        <f t="shared" si="102"/>
        <v/>
      </c>
      <c r="SA19" s="193">
        <f>IF(COUNT(RM19,RS19,RY19)=0,"",SUM(RM19,RS19,RY19)/COUNT(RM19,RS19,RY19))</f>
        <v>2</v>
      </c>
      <c r="SB19" s="216" t="str">
        <f t="shared" si="103"/>
        <v>C</v>
      </c>
      <c r="SC19" s="149" t="s">
        <v>30</v>
      </c>
      <c r="SD19" s="138"/>
      <c r="SE19" s="139"/>
      <c r="SF19" s="193">
        <f>IFERROR((((COUNTIF('Elève (4ème2)'!SC19:SE19,"A"))*4)+((COUNTIF('Elève (4ème2)'!SC19:SE19,"B"))*3)+((COUNTIF('Elève (4ème2)'!SC19:SE19,"C"))*2)+((COUNTIF('Elève (4ème2)'!SC19:SE19,"D"))*1))/(COUNTA(SC19:SE19)),"")</f>
        <v>3</v>
      </c>
      <c r="SG19" s="194" t="str">
        <f t="shared" si="104"/>
        <v>B</v>
      </c>
      <c r="SH19" s="149" t="s">
        <v>31</v>
      </c>
      <c r="SI19" s="138"/>
      <c r="SJ19" s="229" t="s">
        <v>30</v>
      </c>
      <c r="SK19" s="139"/>
      <c r="SL19" s="193">
        <f>IFERROR((((COUNTIF('Elève (4ème2)'!SH19:SK19,"A"))*4)+((COUNTIF('Elève (4ème2)'!SH19:SK19,"B"))*3)+((COUNTIF('Elève (4ème2)'!SH19:SK19,"C"))*2)+((COUNTIF('Elève (4ème2)'!SH19:SK19,"D"))*1))/(COUNTA(SH19:SK19)),"")</f>
        <v>2.5</v>
      </c>
      <c r="SM19" s="194" t="str">
        <f t="shared" si="105"/>
        <v>C</v>
      </c>
      <c r="SN19" s="137"/>
      <c r="SO19" s="138"/>
      <c r="SP19" s="139"/>
      <c r="SQ19" s="143"/>
      <c r="SR19" s="193" t="str">
        <f>IFERROR((((COUNTIF('Elève (4ème2)'!SN19:SQ19,"A"))*4)+((COUNTIF('Elève (4ème2)'!SN19:SQ19,"B"))*3)+((COUNTIF('Elève (4ème2)'!SN19:SQ19,"C"))*2)+((COUNTIF('Elève (4ème2)'!SN19:SQ19,"D"))*1))/(COUNTA(SN19:SQ19)),"")</f>
        <v/>
      </c>
      <c r="SS19" s="194" t="str">
        <f t="shared" si="106"/>
        <v/>
      </c>
      <c r="ST19" s="193">
        <f>IF(COUNT(SF19,SL19,SR19)=0,"",SUM(SF19,SL19,SR19)/COUNT(SF19,SL19,SR19))</f>
        <v>2.75</v>
      </c>
      <c r="SU19" s="216" t="str">
        <f t="shared" si="107"/>
        <v>C</v>
      </c>
      <c r="SV19" s="137"/>
      <c r="SW19" s="138"/>
      <c r="SX19" s="139"/>
      <c r="SY19" s="140" t="str">
        <f>IFERROR((((COUNTIF('Elève (4ème2)'!SV19:SX19,"A"))*4)+((COUNTIF('Elève (4ème2)'!SV19:SX19,"B"))*3)+((COUNTIF('Elève (4ème2)'!SV19:SX19,"C"))*2)+((COUNTIF('Elève (4ème2)'!SV19:SX19,"D"))*1))/(COUNTA(SV19:SX19)),"")</f>
        <v/>
      </c>
      <c r="SZ19" s="141" t="str">
        <f t="shared" si="108"/>
        <v/>
      </c>
      <c r="TA19" s="137"/>
      <c r="TB19" s="138"/>
      <c r="TC19" s="139"/>
      <c r="TD19" s="140" t="str">
        <f>IFERROR((((COUNTIF('Elève (4ème2)'!TA19:TC19,"A"))*4)+((COUNTIF('Elève (4ème2)'!TA19:TC19,"B"))*3)+((COUNTIF('Elève (4ème2)'!TA19:TC19,"C"))*2)+((COUNTIF('Elève (4ème2)'!TA19:TC19,"D"))*1))/(COUNTA(TA19:TC19)),"")</f>
        <v/>
      </c>
      <c r="TE19" s="141" t="str">
        <f t="shared" si="109"/>
        <v/>
      </c>
      <c r="TF19" s="137"/>
      <c r="TG19" s="138"/>
      <c r="TH19" s="143"/>
      <c r="TI19" s="140" t="str">
        <f>IFERROR((((COUNTIF('Elève (4ème2)'!TF19:TH19,"A"))*4)+((COUNTIF('Elève (4ème2)'!TF19:TH19,"B"))*3)+((COUNTIF('Elève (4ème2)'!TF19:TH19,"C"))*2)+((COUNTIF('Elève (4ème2)'!TF19:TH19,"D"))*1))/(COUNTA(TF19:TH19)),"")</f>
        <v/>
      </c>
      <c r="TJ19" s="141" t="str">
        <f t="shared" si="110"/>
        <v/>
      </c>
      <c r="TK19" s="140" t="str">
        <f>IF(COUNT(SY19,TD19,TI19)=0,"",SUM(SY19,TD19,TI19)/COUNT(SY19,TD19,TI19))</f>
        <v/>
      </c>
      <c r="TL19" s="142" t="str">
        <f t="shared" si="111"/>
        <v/>
      </c>
      <c r="TM19" s="137"/>
      <c r="TN19" s="138"/>
      <c r="TO19" s="139"/>
      <c r="TP19" s="140" t="str">
        <f>IFERROR((((COUNTIF('Elève (4ème2)'!TM19:TO19,"A"))*4)+((COUNTIF('Elève (4ème2)'!TM19:TO19,"B"))*3)+((COUNTIF('Elève (4ème2)'!TM19:TO19,"C"))*2)+((COUNTIF('Elève (4ème2)'!TM19:TO19,"D"))*1))/(COUNTA(TM19:TO19)),"")</f>
        <v/>
      </c>
      <c r="TQ19" s="141" t="str">
        <f t="shared" si="112"/>
        <v/>
      </c>
      <c r="TR19" s="137"/>
      <c r="TS19" s="138"/>
      <c r="TT19" s="139"/>
      <c r="TU19" s="140" t="str">
        <f>IFERROR((((COUNTIF('Elève (4ème2)'!TR19:TT19,"A"))*4)+((COUNTIF('Elève (4ème2)'!TR19:TT19,"B"))*3)+((COUNTIF('Elève (4ème2)'!TR19:TT19,"C"))*2)+((COUNTIF('Elève (4ème2)'!TR19:TT19,"D"))*1))/(COUNTA(TR19:TT19)),"")</f>
        <v/>
      </c>
      <c r="TV19" s="141" t="str">
        <f t="shared" si="113"/>
        <v/>
      </c>
      <c r="TW19" s="137"/>
      <c r="TX19" s="138"/>
      <c r="TY19" s="143"/>
      <c r="TZ19" s="140" t="str">
        <f>IFERROR((((COUNTIF('Elève (4ème2)'!TW19:TY19,"A"))*4)+((COUNTIF('Elève (4ème2)'!TW19:TY19,"B"))*3)+((COUNTIF('Elève (4ème2)'!TW19:TY19,"C"))*2)+((COUNTIF('Elève (4ème2)'!TW19:TY19,"D"))*1))/(COUNTA(TW19:TY19)),"")</f>
        <v/>
      </c>
      <c r="UA19" s="141" t="str">
        <f t="shared" si="114"/>
        <v/>
      </c>
      <c r="UB19" s="140" t="str">
        <f>IF(COUNT(TP19,TU19,TZ19)=0,"",SUM(TP19,TU19,TZ19)/COUNT(TP19,TU19,TZ19))</f>
        <v/>
      </c>
      <c r="UC19" s="142" t="str">
        <f t="shared" si="115"/>
        <v/>
      </c>
      <c r="UD19" s="137"/>
      <c r="UE19" s="138"/>
      <c r="UF19" s="139"/>
      <c r="UG19" s="140" t="str">
        <f>IFERROR((((COUNTIF('Elève (4ème2)'!UD19:UF19,"A"))*4)+((COUNTIF('Elève (4ème2)'!UD19:UF19,"B"))*3)+((COUNTIF('Elève (4ème2)'!UD19:UF19,"C"))*2)+((COUNTIF('Elève (4ème2)'!UD19:UF19,"D"))*1))/(COUNTA(UD19:UF19)),"")</f>
        <v/>
      </c>
      <c r="UH19" s="141" t="str">
        <f t="shared" si="116"/>
        <v/>
      </c>
      <c r="UI19" s="137"/>
      <c r="UJ19" s="138"/>
      <c r="UK19" s="139"/>
      <c r="UL19" s="140" t="str">
        <f>IFERROR((((COUNTIF('Elève (4ème2)'!UI19:UK19,"A"))*4)+((COUNTIF('Elève (4ème2)'!UI19:UK19,"B"))*3)+((COUNTIF('Elève (4ème2)'!UI19:UK19,"C"))*2)+((COUNTIF('Elève (4ème2)'!UI19:UK19,"D"))*1))/(COUNTA(UI19:UK19)),"")</f>
        <v/>
      </c>
      <c r="UM19" s="141" t="str">
        <f t="shared" si="117"/>
        <v/>
      </c>
      <c r="UN19" s="137"/>
      <c r="UO19" s="138"/>
      <c r="UP19" s="143"/>
      <c r="UQ19" s="140" t="str">
        <f>IFERROR((((COUNTIF('Elève (4ème2)'!UN19:UP19,"A"))*4)+((COUNTIF('Elève (4ème2)'!UN19:UP19,"B"))*3)+((COUNTIF('Elève (4ème2)'!UN19:UP19,"C"))*2)+((COUNTIF('Elève (4ème2)'!UN19:UP19,"D"))*1))/(COUNTA(UN19:UP19)),"")</f>
        <v/>
      </c>
      <c r="UR19" s="141" t="str">
        <f t="shared" si="118"/>
        <v/>
      </c>
      <c r="US19" s="140" t="str">
        <f>IF(COUNT(UG19,UL19,UQ19)=0,"",SUM(UG19,UL19,UQ19)/COUNT(UG19,UL19,UQ19))</f>
        <v/>
      </c>
      <c r="UT19" s="142" t="str">
        <f t="shared" si="119"/>
        <v/>
      </c>
    </row>
    <row r="20" spans="1:566" s="117" customFormat="1" ht="16.5" customHeight="1" thickBot="1" x14ac:dyDescent="0.3">
      <c r="A20" s="174" t="s">
        <v>26</v>
      </c>
      <c r="B20" s="147">
        <v>1</v>
      </c>
      <c r="C20" s="230"/>
      <c r="D20" s="85"/>
      <c r="E20" s="107"/>
      <c r="F20" s="187" t="str">
        <f>IF(COUNT(F21)=0,"",SUM(F21)/COUNT(F21))</f>
        <v/>
      </c>
      <c r="G20" s="188" t="str">
        <f t="shared" si="0"/>
        <v/>
      </c>
      <c r="H20" s="230"/>
      <c r="I20" s="85"/>
      <c r="J20" s="85"/>
      <c r="K20" s="107"/>
      <c r="L20" s="187" t="str">
        <f>IF(COUNT(L21)=0,"",SUM(L21)/COUNT(L21))</f>
        <v/>
      </c>
      <c r="M20" s="203" t="str">
        <f t="shared" si="1"/>
        <v/>
      </c>
      <c r="N20" s="181"/>
      <c r="O20" s="112"/>
      <c r="P20" s="112"/>
      <c r="Q20" s="113"/>
      <c r="R20" s="187" t="str">
        <f>IF(COUNT(R21)=0,"",SUM(R21)/COUNT(R21))</f>
        <v/>
      </c>
      <c r="S20" s="211" t="str">
        <f t="shared" si="2"/>
        <v/>
      </c>
      <c r="T20" s="212" t="str">
        <f>IF(COUNT(T21)=0,"",SUM(T21)/COUNT(T21))</f>
        <v/>
      </c>
      <c r="U20" s="213" t="str">
        <f t="shared" si="3"/>
        <v/>
      </c>
      <c r="V20" s="224"/>
      <c r="W20" s="85"/>
      <c r="X20" s="107"/>
      <c r="Y20" s="187" t="str">
        <f>IF(COUNT(Y21)=0,"",SUM(Y21)/COUNT(Y21))</f>
        <v/>
      </c>
      <c r="Z20" s="188" t="str">
        <f t="shared" si="4"/>
        <v/>
      </c>
      <c r="AA20" s="230"/>
      <c r="AB20" s="85"/>
      <c r="AC20" s="85"/>
      <c r="AD20" s="107"/>
      <c r="AE20" s="187" t="str">
        <f>IF(COUNT(AE21)=0,"",SUM(AE21)/COUNT(AE21))</f>
        <v/>
      </c>
      <c r="AF20" s="203" t="str">
        <f t="shared" si="5"/>
        <v/>
      </c>
      <c r="AG20" s="181"/>
      <c r="AH20" s="112"/>
      <c r="AI20" s="112"/>
      <c r="AJ20" s="113"/>
      <c r="AK20" s="187" t="str">
        <f>IF(COUNT(AK21)=0,"",SUM(AK21)/COUNT(AK21))</f>
        <v/>
      </c>
      <c r="AL20" s="211" t="str">
        <f t="shared" si="6"/>
        <v/>
      </c>
      <c r="AM20" s="212" t="str">
        <f>IF(COUNT(AM21)=0,"",SUM(AM21)/COUNT(AM21))</f>
        <v/>
      </c>
      <c r="AN20" s="213" t="str">
        <f t="shared" si="7"/>
        <v/>
      </c>
      <c r="AO20" s="224"/>
      <c r="AP20" s="85"/>
      <c r="AQ20" s="107"/>
      <c r="AR20" s="187" t="str">
        <f>IF(COUNT(AR21)=0,"",SUM(AR21)/COUNT(AR21))</f>
        <v/>
      </c>
      <c r="AS20" s="188" t="str">
        <f t="shared" si="8"/>
        <v/>
      </c>
      <c r="AT20" s="230"/>
      <c r="AU20" s="85"/>
      <c r="AV20" s="85"/>
      <c r="AW20" s="107"/>
      <c r="AX20" s="187" t="str">
        <f>IF(COUNT(AX21)=0,"",SUM(AX21)/COUNT(AX21))</f>
        <v/>
      </c>
      <c r="AY20" s="203" t="str">
        <f t="shared" si="9"/>
        <v/>
      </c>
      <c r="AZ20" s="181"/>
      <c r="BA20" s="112"/>
      <c r="BB20" s="112"/>
      <c r="BC20" s="113"/>
      <c r="BD20" s="187" t="str">
        <f>IF(COUNT(BD21)=0,"",SUM(BD21)/COUNT(BD21))</f>
        <v/>
      </c>
      <c r="BE20" s="211" t="str">
        <f t="shared" si="10"/>
        <v/>
      </c>
      <c r="BF20" s="212" t="str">
        <f>IF(COUNT(BF21)=0,"",SUM(BF21)/COUNT(BF21))</f>
        <v/>
      </c>
      <c r="BG20" s="213" t="str">
        <f t="shared" si="11"/>
        <v/>
      </c>
      <c r="BH20" s="224"/>
      <c r="BI20" s="85"/>
      <c r="BJ20" s="107"/>
      <c r="BK20" s="187" t="str">
        <f>IF(COUNT(BK21)=0,"",SUM(BK21)/COUNT(BK21))</f>
        <v/>
      </c>
      <c r="BL20" s="188" t="str">
        <f t="shared" si="12"/>
        <v/>
      </c>
      <c r="BM20" s="230"/>
      <c r="BN20" s="85"/>
      <c r="BO20" s="85"/>
      <c r="BP20" s="107"/>
      <c r="BQ20" s="187" t="str">
        <f>IF(COUNT(BQ21)=0,"",SUM(BQ21)/COUNT(BQ21))</f>
        <v/>
      </c>
      <c r="BR20" s="203" t="str">
        <f t="shared" si="13"/>
        <v/>
      </c>
      <c r="BS20" s="181"/>
      <c r="BT20" s="112"/>
      <c r="BU20" s="112"/>
      <c r="BV20" s="113"/>
      <c r="BW20" s="187" t="str">
        <f>IF(COUNT(BW21)=0,"",SUM(BW21)/COUNT(BW21))</f>
        <v/>
      </c>
      <c r="BX20" s="211" t="str">
        <f t="shared" si="14"/>
        <v/>
      </c>
      <c r="BY20" s="212" t="str">
        <f>IF(COUNT(BY21)=0,"",SUM(BY21)/COUNT(BY21))</f>
        <v/>
      </c>
      <c r="BZ20" s="213" t="str">
        <f t="shared" si="15"/>
        <v/>
      </c>
      <c r="CA20" s="224"/>
      <c r="CB20" s="85"/>
      <c r="CC20" s="107"/>
      <c r="CD20" s="187" t="str">
        <f>IF(COUNT(CD21)=0,"",SUM(CD21)/COUNT(CD21))</f>
        <v/>
      </c>
      <c r="CE20" s="188" t="str">
        <f t="shared" si="16"/>
        <v/>
      </c>
      <c r="CF20" s="230"/>
      <c r="CG20" s="85"/>
      <c r="CH20" s="85"/>
      <c r="CI20" s="107"/>
      <c r="CJ20" s="187" t="str">
        <f>IF(COUNT(CJ21)=0,"",SUM(CJ21)/COUNT(CJ21))</f>
        <v/>
      </c>
      <c r="CK20" s="203" t="str">
        <f t="shared" si="17"/>
        <v/>
      </c>
      <c r="CL20" s="181"/>
      <c r="CM20" s="112"/>
      <c r="CN20" s="112"/>
      <c r="CO20" s="113"/>
      <c r="CP20" s="187" t="str">
        <f>IF(COUNT(CP21)=0,"",SUM(CP21)/COUNT(CP21))</f>
        <v/>
      </c>
      <c r="CQ20" s="211" t="str">
        <f t="shared" si="18"/>
        <v/>
      </c>
      <c r="CR20" s="212" t="str">
        <f>IF(COUNT(CR21)=0,"",SUM(CR21)/COUNT(CR21))</f>
        <v/>
      </c>
      <c r="CS20" s="213" t="str">
        <f t="shared" si="19"/>
        <v/>
      </c>
      <c r="CT20" s="224"/>
      <c r="CU20" s="85"/>
      <c r="CV20" s="107"/>
      <c r="CW20" s="187" t="str">
        <f>IF(COUNT(CW21)=0,"",SUM(CW21)/COUNT(CW21))</f>
        <v/>
      </c>
      <c r="CX20" s="188" t="str">
        <f t="shared" si="20"/>
        <v/>
      </c>
      <c r="CY20" s="230"/>
      <c r="CZ20" s="85"/>
      <c r="DA20" s="85"/>
      <c r="DB20" s="107"/>
      <c r="DC20" s="187" t="str">
        <f>IF(COUNT(DC21)=0,"",SUM(DC21)/COUNT(DC21))</f>
        <v/>
      </c>
      <c r="DD20" s="203" t="str">
        <f t="shared" si="21"/>
        <v/>
      </c>
      <c r="DE20" s="181"/>
      <c r="DF20" s="112"/>
      <c r="DG20" s="112"/>
      <c r="DH20" s="113"/>
      <c r="DI20" s="187" t="str">
        <f>IF(COUNT(DI21)=0,"",SUM(DI21)/COUNT(DI21))</f>
        <v/>
      </c>
      <c r="DJ20" s="211" t="str">
        <f t="shared" si="22"/>
        <v/>
      </c>
      <c r="DK20" s="212" t="str">
        <f>IF(COUNT(DK21)=0,"",SUM(DK21)/COUNT(DK21))</f>
        <v/>
      </c>
      <c r="DL20" s="213" t="str">
        <f t="shared" si="23"/>
        <v/>
      </c>
      <c r="DM20" s="224"/>
      <c r="DN20" s="85"/>
      <c r="DO20" s="107"/>
      <c r="DP20" s="187" t="str">
        <f>IF(COUNT(DP21)=0,"",SUM(DP21)/COUNT(DP21))</f>
        <v/>
      </c>
      <c r="DQ20" s="188" t="str">
        <f t="shared" si="24"/>
        <v/>
      </c>
      <c r="DR20" s="230"/>
      <c r="DS20" s="85"/>
      <c r="DT20" s="85"/>
      <c r="DU20" s="107"/>
      <c r="DV20" s="187" t="str">
        <f>IF(COUNT(DV21)=0,"",SUM(DV21)/COUNT(DV21))</f>
        <v/>
      </c>
      <c r="DW20" s="203" t="str">
        <f t="shared" si="25"/>
        <v/>
      </c>
      <c r="DX20" s="181"/>
      <c r="DY20" s="112"/>
      <c r="DZ20" s="112"/>
      <c r="EA20" s="113"/>
      <c r="EB20" s="187" t="str">
        <f>IF(COUNT(EB21)=0,"",SUM(EB21)/COUNT(EB21))</f>
        <v/>
      </c>
      <c r="EC20" s="211" t="str">
        <f t="shared" si="26"/>
        <v/>
      </c>
      <c r="ED20" s="212" t="str">
        <f>IF(COUNT(ED21)=0,"",SUM(ED21)/COUNT(ED21))</f>
        <v/>
      </c>
      <c r="EE20" s="213" t="str">
        <f t="shared" si="27"/>
        <v/>
      </c>
      <c r="EF20" s="224"/>
      <c r="EG20" s="85"/>
      <c r="EH20" s="107"/>
      <c r="EI20" s="187" t="str">
        <f>IF(COUNT(EI21)=0,"",SUM(EI21)/COUNT(EI21))</f>
        <v/>
      </c>
      <c r="EJ20" s="188" t="str">
        <f t="shared" si="28"/>
        <v/>
      </c>
      <c r="EK20" s="230"/>
      <c r="EL20" s="85"/>
      <c r="EM20" s="85"/>
      <c r="EN20" s="107"/>
      <c r="EO20" s="187" t="str">
        <f>IF(COUNT(EO21)=0,"",SUM(EO21)/COUNT(EO21))</f>
        <v/>
      </c>
      <c r="EP20" s="203" t="str">
        <f t="shared" si="29"/>
        <v/>
      </c>
      <c r="EQ20" s="181"/>
      <c r="ER20" s="112"/>
      <c r="ES20" s="112"/>
      <c r="ET20" s="113"/>
      <c r="EU20" s="187" t="str">
        <f>IF(COUNT(EU21)=0,"",SUM(EU21)/COUNT(EU21))</f>
        <v/>
      </c>
      <c r="EV20" s="211" t="str">
        <f t="shared" si="30"/>
        <v/>
      </c>
      <c r="EW20" s="212" t="str">
        <f>IF(COUNT(EW21)=0,"",SUM(EW21)/COUNT(EW21))</f>
        <v/>
      </c>
      <c r="EX20" s="213" t="str">
        <f t="shared" si="31"/>
        <v/>
      </c>
      <c r="EY20" s="224"/>
      <c r="EZ20" s="85"/>
      <c r="FA20" s="107"/>
      <c r="FB20" s="187" t="str">
        <f>IF(COUNT(FB21)=0,"",SUM(FB21)/COUNT(FB21))</f>
        <v/>
      </c>
      <c r="FC20" s="188" t="str">
        <f t="shared" si="32"/>
        <v/>
      </c>
      <c r="FD20" s="230"/>
      <c r="FE20" s="85"/>
      <c r="FF20" s="85"/>
      <c r="FG20" s="107"/>
      <c r="FH20" s="187" t="str">
        <f>IF(COUNT(FH21)=0,"",SUM(FH21)/COUNT(FH21))</f>
        <v/>
      </c>
      <c r="FI20" s="203" t="str">
        <f t="shared" si="33"/>
        <v/>
      </c>
      <c r="FJ20" s="181"/>
      <c r="FK20" s="112"/>
      <c r="FL20" s="112"/>
      <c r="FM20" s="113"/>
      <c r="FN20" s="187" t="str">
        <f>IF(COUNT(FN21)=0,"",SUM(FN21)/COUNT(FN21))</f>
        <v/>
      </c>
      <c r="FO20" s="211" t="str">
        <f t="shared" si="34"/>
        <v/>
      </c>
      <c r="FP20" s="212" t="str">
        <f>IF(COUNT(FP21)=0,"",SUM(FP21)/COUNT(FP21))</f>
        <v/>
      </c>
      <c r="FQ20" s="213" t="str">
        <f t="shared" si="35"/>
        <v/>
      </c>
      <c r="FR20" s="224"/>
      <c r="FS20" s="85"/>
      <c r="FT20" s="107"/>
      <c r="FU20" s="187" t="str">
        <f>IF(COUNT(FU21)=0,"",SUM(FU21)/COUNT(FU21))</f>
        <v/>
      </c>
      <c r="FV20" s="188" t="str">
        <f t="shared" si="36"/>
        <v/>
      </c>
      <c r="FW20" s="230"/>
      <c r="FX20" s="85"/>
      <c r="FY20" s="85"/>
      <c r="FZ20" s="107"/>
      <c r="GA20" s="187" t="str">
        <f>IF(COUNT(GA21)=0,"",SUM(GA21)/COUNT(GA21))</f>
        <v/>
      </c>
      <c r="GB20" s="203" t="str">
        <f t="shared" si="37"/>
        <v/>
      </c>
      <c r="GC20" s="181"/>
      <c r="GD20" s="112"/>
      <c r="GE20" s="112"/>
      <c r="GF20" s="113"/>
      <c r="GG20" s="187" t="str">
        <f>IF(COUNT(GG21)=0,"",SUM(GG21)/COUNT(GG21))</f>
        <v/>
      </c>
      <c r="GH20" s="211" t="str">
        <f t="shared" si="38"/>
        <v/>
      </c>
      <c r="GI20" s="212" t="str">
        <f>IF(COUNT(GI21)=0,"",SUM(GI21)/COUNT(GI21))</f>
        <v/>
      </c>
      <c r="GJ20" s="213" t="str">
        <f t="shared" si="39"/>
        <v/>
      </c>
      <c r="GK20" s="224"/>
      <c r="GL20" s="85"/>
      <c r="GM20" s="107"/>
      <c r="GN20" s="187" t="str">
        <f>IF(COUNT(GN21)=0,"",SUM(GN21)/COUNT(GN21))</f>
        <v/>
      </c>
      <c r="GO20" s="188" t="str">
        <f t="shared" si="40"/>
        <v/>
      </c>
      <c r="GP20" s="230"/>
      <c r="GQ20" s="85"/>
      <c r="GR20" s="85"/>
      <c r="GS20" s="107"/>
      <c r="GT20" s="187" t="str">
        <f>IF(COUNT(GT21)=0,"",SUM(GT21)/COUNT(GT21))</f>
        <v/>
      </c>
      <c r="GU20" s="203" t="str">
        <f t="shared" si="41"/>
        <v/>
      </c>
      <c r="GV20" s="181"/>
      <c r="GW20" s="112"/>
      <c r="GX20" s="112"/>
      <c r="GY20" s="113"/>
      <c r="GZ20" s="187" t="str">
        <f>IF(COUNT(GZ21)=0,"",SUM(GZ21)/COUNT(GZ21))</f>
        <v/>
      </c>
      <c r="HA20" s="211" t="str">
        <f t="shared" si="42"/>
        <v/>
      </c>
      <c r="HB20" s="212" t="str">
        <f>IF(COUNT(HB21)=0,"",SUM(HB21)/COUNT(HB21))</f>
        <v/>
      </c>
      <c r="HC20" s="213" t="str">
        <f t="shared" si="43"/>
        <v/>
      </c>
      <c r="HD20" s="224"/>
      <c r="HE20" s="85"/>
      <c r="HF20" s="107"/>
      <c r="HG20" s="187" t="str">
        <f>IF(COUNT(HG21)=0,"",SUM(HG21)/COUNT(HG21))</f>
        <v/>
      </c>
      <c r="HH20" s="188" t="str">
        <f t="shared" si="44"/>
        <v/>
      </c>
      <c r="HI20" s="230"/>
      <c r="HJ20" s="85"/>
      <c r="HK20" s="85"/>
      <c r="HL20" s="107"/>
      <c r="HM20" s="187" t="str">
        <f>IF(COUNT(HM21)=0,"",SUM(HM21)/COUNT(HM21))</f>
        <v/>
      </c>
      <c r="HN20" s="203" t="str">
        <f t="shared" si="45"/>
        <v/>
      </c>
      <c r="HO20" s="181"/>
      <c r="HP20" s="112"/>
      <c r="HQ20" s="112"/>
      <c r="HR20" s="113"/>
      <c r="HS20" s="187" t="str">
        <f>IF(COUNT(HS21)=0,"",SUM(HS21)/COUNT(HS21))</f>
        <v/>
      </c>
      <c r="HT20" s="211" t="str">
        <f t="shared" si="46"/>
        <v/>
      </c>
      <c r="HU20" s="212" t="str">
        <f>IF(COUNT(HU21)=0,"",SUM(HU21)/COUNT(HU21))</f>
        <v/>
      </c>
      <c r="HV20" s="213" t="str">
        <f t="shared" si="47"/>
        <v/>
      </c>
      <c r="HW20" s="224"/>
      <c r="HX20" s="85"/>
      <c r="HY20" s="107"/>
      <c r="HZ20" s="187" t="str">
        <f>IF(COUNT(HZ21)=0,"",SUM(HZ21)/COUNT(HZ21))</f>
        <v/>
      </c>
      <c r="IA20" s="188" t="str">
        <f t="shared" si="48"/>
        <v/>
      </c>
      <c r="IB20" s="230"/>
      <c r="IC20" s="85"/>
      <c r="ID20" s="85"/>
      <c r="IE20" s="107"/>
      <c r="IF20" s="187" t="str">
        <f>IF(COUNT(IF21)=0,"",SUM(IF21)/COUNT(IF21))</f>
        <v/>
      </c>
      <c r="IG20" s="203" t="str">
        <f t="shared" si="49"/>
        <v/>
      </c>
      <c r="IH20" s="181"/>
      <c r="II20" s="112"/>
      <c r="IJ20" s="112"/>
      <c r="IK20" s="113"/>
      <c r="IL20" s="187" t="str">
        <f>IF(COUNT(IL21)=0,"",SUM(IL21)/COUNT(IL21))</f>
        <v/>
      </c>
      <c r="IM20" s="211" t="str">
        <f t="shared" si="50"/>
        <v/>
      </c>
      <c r="IN20" s="212" t="str">
        <f>IF(COUNT(IN21)=0,"",SUM(IN21)/COUNT(IN21))</f>
        <v/>
      </c>
      <c r="IO20" s="213" t="str">
        <f t="shared" si="51"/>
        <v/>
      </c>
      <c r="IP20" s="224"/>
      <c r="IQ20" s="85"/>
      <c r="IR20" s="107"/>
      <c r="IS20" s="187" t="str">
        <f>IF(COUNT(IS21)=0,"",SUM(IS21)/COUNT(IS21))</f>
        <v/>
      </c>
      <c r="IT20" s="188" t="str">
        <f t="shared" si="52"/>
        <v/>
      </c>
      <c r="IU20" s="230"/>
      <c r="IV20" s="85"/>
      <c r="IW20" s="85"/>
      <c r="IX20" s="107"/>
      <c r="IY20" s="187" t="str">
        <f>IF(COUNT(IY21)=0,"",SUM(IY21)/COUNT(IY21))</f>
        <v/>
      </c>
      <c r="IZ20" s="203" t="str">
        <f t="shared" si="53"/>
        <v/>
      </c>
      <c r="JA20" s="181"/>
      <c r="JB20" s="112"/>
      <c r="JC20" s="112"/>
      <c r="JD20" s="113"/>
      <c r="JE20" s="187" t="str">
        <f>IF(COUNT(JE21)=0,"",SUM(JE21)/COUNT(JE21))</f>
        <v/>
      </c>
      <c r="JF20" s="211" t="str">
        <f t="shared" si="54"/>
        <v/>
      </c>
      <c r="JG20" s="212" t="str">
        <f>IF(COUNT(JG21)=0,"",SUM(JG21)/COUNT(JG21))</f>
        <v/>
      </c>
      <c r="JH20" s="213" t="str">
        <f t="shared" si="55"/>
        <v/>
      </c>
      <c r="JI20" s="224"/>
      <c r="JJ20" s="85"/>
      <c r="JK20" s="107"/>
      <c r="JL20" s="187" t="str">
        <f>IF(COUNT(JL21)=0,"",SUM(JL21)/COUNT(JL21))</f>
        <v/>
      </c>
      <c r="JM20" s="188" t="str">
        <f t="shared" si="56"/>
        <v/>
      </c>
      <c r="JN20" s="230"/>
      <c r="JO20" s="85"/>
      <c r="JP20" s="85"/>
      <c r="JQ20" s="107"/>
      <c r="JR20" s="187" t="str">
        <f>IF(COUNT(JR21)=0,"",SUM(JR21)/COUNT(JR21))</f>
        <v/>
      </c>
      <c r="JS20" s="203" t="str">
        <f t="shared" si="57"/>
        <v/>
      </c>
      <c r="JT20" s="181"/>
      <c r="JU20" s="112"/>
      <c r="JV20" s="112"/>
      <c r="JW20" s="113"/>
      <c r="JX20" s="187" t="str">
        <f>IF(COUNT(JX21)=0,"",SUM(JX21)/COUNT(JX21))</f>
        <v/>
      </c>
      <c r="JY20" s="211" t="str">
        <f t="shared" si="58"/>
        <v/>
      </c>
      <c r="JZ20" s="212" t="str">
        <f>IF(COUNT(JZ21)=0,"",SUM(JZ21)/COUNT(JZ21))</f>
        <v/>
      </c>
      <c r="KA20" s="213" t="str">
        <f t="shared" si="59"/>
        <v/>
      </c>
      <c r="KB20" s="224"/>
      <c r="KC20" s="85"/>
      <c r="KD20" s="107"/>
      <c r="KE20" s="187" t="str">
        <f>IF(COUNT(KE21)=0,"",SUM(KE21)/COUNT(KE21))</f>
        <v/>
      </c>
      <c r="KF20" s="188" t="str">
        <f t="shared" si="60"/>
        <v/>
      </c>
      <c r="KG20" s="230"/>
      <c r="KH20" s="85"/>
      <c r="KI20" s="85"/>
      <c r="KJ20" s="107"/>
      <c r="KK20" s="187" t="str">
        <f>IF(COUNT(KK21)=0,"",SUM(KK21)/COUNT(KK21))</f>
        <v/>
      </c>
      <c r="KL20" s="203" t="str">
        <f t="shared" si="61"/>
        <v/>
      </c>
      <c r="KM20" s="181"/>
      <c r="KN20" s="112"/>
      <c r="KO20" s="112"/>
      <c r="KP20" s="113"/>
      <c r="KQ20" s="187" t="str">
        <f>IF(COUNT(KQ21)=0,"",SUM(KQ21)/COUNT(KQ21))</f>
        <v/>
      </c>
      <c r="KR20" s="211" t="str">
        <f t="shared" si="62"/>
        <v/>
      </c>
      <c r="KS20" s="212" t="str">
        <f>IF(COUNT(KS21)=0,"",SUM(KS21)/COUNT(KS21))</f>
        <v/>
      </c>
      <c r="KT20" s="213" t="str">
        <f t="shared" si="63"/>
        <v/>
      </c>
      <c r="KU20" s="224"/>
      <c r="KV20" s="85"/>
      <c r="KW20" s="107"/>
      <c r="KX20" s="187" t="str">
        <f>IF(COUNT(KX21)=0,"",SUM(KX21)/COUNT(KX21))</f>
        <v/>
      </c>
      <c r="KY20" s="188" t="str">
        <f t="shared" si="64"/>
        <v/>
      </c>
      <c r="KZ20" s="230"/>
      <c r="LA20" s="85"/>
      <c r="LB20" s="85"/>
      <c r="LC20" s="107"/>
      <c r="LD20" s="187" t="str">
        <f>IF(COUNT(LD21)=0,"",SUM(LD21)/COUNT(LD21))</f>
        <v/>
      </c>
      <c r="LE20" s="203" t="str">
        <f t="shared" si="65"/>
        <v/>
      </c>
      <c r="LF20" s="181"/>
      <c r="LG20" s="112"/>
      <c r="LH20" s="112"/>
      <c r="LI20" s="113"/>
      <c r="LJ20" s="187" t="str">
        <f>IF(COUNT(LJ21)=0,"",SUM(LJ21)/COUNT(LJ21))</f>
        <v/>
      </c>
      <c r="LK20" s="211" t="str">
        <f t="shared" si="66"/>
        <v/>
      </c>
      <c r="LL20" s="212" t="str">
        <f>IF(COUNT(LL21)=0,"",SUM(LL21)/COUNT(LL21))</f>
        <v/>
      </c>
      <c r="LM20" s="213" t="str">
        <f t="shared" si="67"/>
        <v/>
      </c>
      <c r="LN20" s="224"/>
      <c r="LO20" s="85"/>
      <c r="LP20" s="107"/>
      <c r="LQ20" s="187" t="str">
        <f>IF(COUNT(LQ21)=0,"",SUM(LQ21)/COUNT(LQ21))</f>
        <v/>
      </c>
      <c r="LR20" s="188" t="str">
        <f t="shared" si="68"/>
        <v/>
      </c>
      <c r="LS20" s="230"/>
      <c r="LT20" s="85"/>
      <c r="LU20" s="85"/>
      <c r="LV20" s="107"/>
      <c r="LW20" s="187" t="str">
        <f>IF(COUNT(LW21)=0,"",SUM(LW21)/COUNT(LW21))</f>
        <v/>
      </c>
      <c r="LX20" s="203" t="str">
        <f t="shared" si="69"/>
        <v/>
      </c>
      <c r="LY20" s="181"/>
      <c r="LZ20" s="112"/>
      <c r="MA20" s="112"/>
      <c r="MB20" s="113"/>
      <c r="MC20" s="187" t="str">
        <f>IF(COUNT(MC21)=0,"",SUM(MC21)/COUNT(MC21))</f>
        <v/>
      </c>
      <c r="MD20" s="211" t="str">
        <f t="shared" si="70"/>
        <v/>
      </c>
      <c r="ME20" s="212" t="str">
        <f>IF(COUNT(ME21)=0,"",SUM(ME21)/COUNT(ME21))</f>
        <v/>
      </c>
      <c r="MF20" s="213" t="str">
        <f t="shared" si="71"/>
        <v/>
      </c>
      <c r="MG20" s="224"/>
      <c r="MH20" s="85"/>
      <c r="MI20" s="107"/>
      <c r="MJ20" s="187" t="str">
        <f>IF(COUNT(MJ21)=0,"",SUM(MJ21)/COUNT(MJ21))</f>
        <v/>
      </c>
      <c r="MK20" s="188" t="str">
        <f t="shared" si="72"/>
        <v/>
      </c>
      <c r="ML20" s="230"/>
      <c r="MM20" s="85"/>
      <c r="MN20" s="85"/>
      <c r="MO20" s="107"/>
      <c r="MP20" s="187" t="str">
        <f>IF(COUNT(MP21)=0,"",SUM(MP21)/COUNT(MP21))</f>
        <v/>
      </c>
      <c r="MQ20" s="203" t="str">
        <f t="shared" si="73"/>
        <v/>
      </c>
      <c r="MR20" s="181"/>
      <c r="MS20" s="112"/>
      <c r="MT20" s="112"/>
      <c r="MU20" s="113"/>
      <c r="MV20" s="187" t="str">
        <f>IF(COUNT(MV21)=0,"",SUM(MV21)/COUNT(MV21))</f>
        <v/>
      </c>
      <c r="MW20" s="211" t="str">
        <f t="shared" si="74"/>
        <v/>
      </c>
      <c r="MX20" s="212" t="str">
        <f>IF(COUNT(MX21)=0,"",SUM(MX21)/COUNT(MX21))</f>
        <v/>
      </c>
      <c r="MY20" s="213" t="str">
        <f t="shared" si="75"/>
        <v/>
      </c>
      <c r="MZ20" s="224"/>
      <c r="NA20" s="85"/>
      <c r="NB20" s="107"/>
      <c r="NC20" s="187" t="str">
        <f>IF(COUNT(NC21)=0,"",SUM(NC21)/COUNT(NC21))</f>
        <v/>
      </c>
      <c r="ND20" s="188" t="str">
        <f t="shared" si="76"/>
        <v/>
      </c>
      <c r="NE20" s="230"/>
      <c r="NF20" s="85"/>
      <c r="NG20" s="85"/>
      <c r="NH20" s="107"/>
      <c r="NI20" s="187" t="str">
        <f>IF(COUNT(NI21)=0,"",SUM(NI21)/COUNT(NI21))</f>
        <v/>
      </c>
      <c r="NJ20" s="203" t="str">
        <f t="shared" si="77"/>
        <v/>
      </c>
      <c r="NK20" s="181"/>
      <c r="NL20" s="112"/>
      <c r="NM20" s="112"/>
      <c r="NN20" s="113"/>
      <c r="NO20" s="187" t="str">
        <f>IF(COUNT(NO21)=0,"",SUM(NO21)/COUNT(NO21))</f>
        <v/>
      </c>
      <c r="NP20" s="211" t="str">
        <f t="shared" si="78"/>
        <v/>
      </c>
      <c r="NQ20" s="212" t="str">
        <f>IF(COUNT(NQ21)=0,"",SUM(NQ21)/COUNT(NQ21))</f>
        <v/>
      </c>
      <c r="NR20" s="213" t="str">
        <f t="shared" si="79"/>
        <v/>
      </c>
      <c r="NS20" s="224"/>
      <c r="NT20" s="85"/>
      <c r="NU20" s="107"/>
      <c r="NV20" s="187" t="str">
        <f>IF(COUNT(NV21)=0,"",SUM(NV21)/COUNT(NV21))</f>
        <v/>
      </c>
      <c r="NW20" s="188" t="str">
        <f t="shared" si="80"/>
        <v/>
      </c>
      <c r="NX20" s="230"/>
      <c r="NY20" s="85"/>
      <c r="NZ20" s="85"/>
      <c r="OA20" s="107"/>
      <c r="OB20" s="187" t="str">
        <f>IF(COUNT(OB21)=0,"",SUM(OB21)/COUNT(OB21))</f>
        <v/>
      </c>
      <c r="OC20" s="203" t="str">
        <f t="shared" si="81"/>
        <v/>
      </c>
      <c r="OD20" s="181"/>
      <c r="OE20" s="112"/>
      <c r="OF20" s="112"/>
      <c r="OG20" s="113"/>
      <c r="OH20" s="187" t="str">
        <f>IF(COUNT(OH21)=0,"",SUM(OH21)/COUNT(OH21))</f>
        <v/>
      </c>
      <c r="OI20" s="211" t="str">
        <f t="shared" si="82"/>
        <v/>
      </c>
      <c r="OJ20" s="212" t="str">
        <f>IF(COUNT(OJ21)=0,"",SUM(OJ21)/COUNT(OJ21))</f>
        <v/>
      </c>
      <c r="OK20" s="213" t="str">
        <f t="shared" si="83"/>
        <v/>
      </c>
      <c r="OL20" s="224"/>
      <c r="OM20" s="85"/>
      <c r="ON20" s="107"/>
      <c r="OO20" s="187" t="str">
        <f>IF(COUNT(OO21)=0,"",SUM(OO21)/COUNT(OO21))</f>
        <v/>
      </c>
      <c r="OP20" s="188" t="str">
        <f t="shared" si="84"/>
        <v/>
      </c>
      <c r="OQ20" s="230"/>
      <c r="OR20" s="85"/>
      <c r="OS20" s="85"/>
      <c r="OT20" s="107"/>
      <c r="OU20" s="187" t="str">
        <f>IF(COUNT(OU21)=0,"",SUM(OU21)/COUNT(OU21))</f>
        <v/>
      </c>
      <c r="OV20" s="203" t="str">
        <f t="shared" si="85"/>
        <v/>
      </c>
      <c r="OW20" s="181"/>
      <c r="OX20" s="112"/>
      <c r="OY20" s="112"/>
      <c r="OZ20" s="113"/>
      <c r="PA20" s="187" t="str">
        <f>IF(COUNT(PA21)=0,"",SUM(PA21)/COUNT(PA21))</f>
        <v/>
      </c>
      <c r="PB20" s="211" t="str">
        <f t="shared" si="86"/>
        <v/>
      </c>
      <c r="PC20" s="212" t="str">
        <f>IF(COUNT(PC21)=0,"",SUM(PC21)/COUNT(PC21))</f>
        <v/>
      </c>
      <c r="PD20" s="213" t="str">
        <f t="shared" si="87"/>
        <v/>
      </c>
      <c r="PE20" s="224"/>
      <c r="PF20" s="85"/>
      <c r="PG20" s="107"/>
      <c r="PH20" s="187" t="str">
        <f>IF(COUNT(PH21)=0,"",SUM(PH21)/COUNT(PH21))</f>
        <v/>
      </c>
      <c r="PI20" s="188" t="str">
        <f t="shared" si="88"/>
        <v/>
      </c>
      <c r="PJ20" s="230"/>
      <c r="PK20" s="85"/>
      <c r="PL20" s="85"/>
      <c r="PM20" s="107"/>
      <c r="PN20" s="187" t="str">
        <f>IF(COUNT(PN21)=0,"",SUM(PN21)/COUNT(PN21))</f>
        <v/>
      </c>
      <c r="PO20" s="203" t="str">
        <f t="shared" si="89"/>
        <v/>
      </c>
      <c r="PP20" s="181"/>
      <c r="PQ20" s="112"/>
      <c r="PR20" s="112"/>
      <c r="PS20" s="113"/>
      <c r="PT20" s="187" t="str">
        <f>IF(COUNT(PT21)=0,"",SUM(PT21)/COUNT(PT21))</f>
        <v/>
      </c>
      <c r="PU20" s="211" t="str">
        <f t="shared" si="90"/>
        <v/>
      </c>
      <c r="PV20" s="212" t="str">
        <f>IF(COUNT(PV21)=0,"",SUM(PV21)/COUNT(PV21))</f>
        <v/>
      </c>
      <c r="PW20" s="213" t="str">
        <f t="shared" si="91"/>
        <v/>
      </c>
      <c r="PX20" s="224"/>
      <c r="PY20" s="85"/>
      <c r="PZ20" s="107"/>
      <c r="QA20" s="187" t="str">
        <f>IF(COUNT(QA21)=0,"",SUM(QA21)/COUNT(QA21))</f>
        <v/>
      </c>
      <c r="QB20" s="188" t="str">
        <f t="shared" si="92"/>
        <v/>
      </c>
      <c r="QC20" s="230"/>
      <c r="QD20" s="85"/>
      <c r="QE20" s="85"/>
      <c r="QF20" s="107"/>
      <c r="QG20" s="187" t="str">
        <f>IF(COUNT(QG21)=0,"",SUM(QG21)/COUNT(QG21))</f>
        <v/>
      </c>
      <c r="QH20" s="203" t="str">
        <f t="shared" si="93"/>
        <v/>
      </c>
      <c r="QI20" s="181"/>
      <c r="QJ20" s="112"/>
      <c r="QK20" s="112"/>
      <c r="QL20" s="113"/>
      <c r="QM20" s="187" t="str">
        <f>IF(COUNT(QM21)=0,"",SUM(QM21)/COUNT(QM21))</f>
        <v/>
      </c>
      <c r="QN20" s="211" t="str">
        <f t="shared" si="94"/>
        <v/>
      </c>
      <c r="QO20" s="212" t="str">
        <f>IF(COUNT(QO21)=0,"",SUM(QO21)/COUNT(QO21))</f>
        <v/>
      </c>
      <c r="QP20" s="213" t="str">
        <f t="shared" si="95"/>
        <v/>
      </c>
      <c r="QQ20" s="224"/>
      <c r="QR20" s="85"/>
      <c r="QS20" s="107"/>
      <c r="QT20" s="187" t="str">
        <f>IF(COUNT(QT21)=0,"",SUM(QT21)/COUNT(QT21))</f>
        <v/>
      </c>
      <c r="QU20" s="188" t="str">
        <f t="shared" si="96"/>
        <v/>
      </c>
      <c r="QV20" s="230"/>
      <c r="QW20" s="85"/>
      <c r="QX20" s="85"/>
      <c r="QY20" s="107"/>
      <c r="QZ20" s="187" t="str">
        <f>IF(COUNT(QZ21)=0,"",SUM(QZ21)/COUNT(QZ21))</f>
        <v/>
      </c>
      <c r="RA20" s="203" t="str">
        <f t="shared" si="97"/>
        <v/>
      </c>
      <c r="RB20" s="181"/>
      <c r="RC20" s="112"/>
      <c r="RD20" s="112"/>
      <c r="RE20" s="113"/>
      <c r="RF20" s="187" t="str">
        <f>IF(COUNT(RF21)=0,"",SUM(RF21)/COUNT(RF21))</f>
        <v/>
      </c>
      <c r="RG20" s="211" t="str">
        <f t="shared" si="98"/>
        <v/>
      </c>
      <c r="RH20" s="212" t="str">
        <f>IF(COUNT(RH21)=0,"",SUM(RH21)/COUNT(RH21))</f>
        <v/>
      </c>
      <c r="RI20" s="213" t="str">
        <f t="shared" si="99"/>
        <v/>
      </c>
      <c r="RJ20" s="224"/>
      <c r="RK20" s="85"/>
      <c r="RL20" s="107"/>
      <c r="RM20" s="187" t="str">
        <f>IF(COUNT(RM21)=0,"",SUM(RM21)/COUNT(RM21))</f>
        <v/>
      </c>
      <c r="RN20" s="188" t="str">
        <f t="shared" si="100"/>
        <v/>
      </c>
      <c r="RO20" s="230"/>
      <c r="RP20" s="85"/>
      <c r="RQ20" s="85"/>
      <c r="RR20" s="107"/>
      <c r="RS20" s="187" t="str">
        <f>IF(COUNT(RS21)=0,"",SUM(RS21)/COUNT(RS21))</f>
        <v/>
      </c>
      <c r="RT20" s="203" t="str">
        <f t="shared" si="101"/>
        <v/>
      </c>
      <c r="RU20" s="181"/>
      <c r="RV20" s="112"/>
      <c r="RW20" s="112"/>
      <c r="RX20" s="113"/>
      <c r="RY20" s="187" t="str">
        <f>IF(COUNT(RY21)=0,"",SUM(RY21)/COUNT(RY21))</f>
        <v/>
      </c>
      <c r="RZ20" s="211" t="str">
        <f t="shared" si="102"/>
        <v/>
      </c>
      <c r="SA20" s="212" t="str">
        <f>IF(COUNT(SA21)=0,"",SUM(SA21)/COUNT(SA21))</f>
        <v/>
      </c>
      <c r="SB20" s="213" t="str">
        <f t="shared" si="103"/>
        <v/>
      </c>
      <c r="SC20" s="224"/>
      <c r="SD20" s="85"/>
      <c r="SE20" s="107"/>
      <c r="SF20" s="187" t="str">
        <f>IF(COUNT(SF21)=0,"",SUM(SF21)/COUNT(SF21))</f>
        <v/>
      </c>
      <c r="SG20" s="188" t="str">
        <f t="shared" si="104"/>
        <v/>
      </c>
      <c r="SH20" s="230"/>
      <c r="SI20" s="85"/>
      <c r="SJ20" s="85"/>
      <c r="SK20" s="107"/>
      <c r="SL20" s="187" t="str">
        <f>IF(COUNT(SL21)=0,"",SUM(SL21)/COUNT(SL21))</f>
        <v/>
      </c>
      <c r="SM20" s="203" t="str">
        <f t="shared" si="105"/>
        <v/>
      </c>
      <c r="SN20" s="181"/>
      <c r="SO20" s="112"/>
      <c r="SP20" s="112"/>
      <c r="SQ20" s="113"/>
      <c r="SR20" s="187" t="str">
        <f>IF(COUNT(SR21)=0,"",SUM(SR21)/COUNT(SR21))</f>
        <v/>
      </c>
      <c r="SS20" s="211" t="str">
        <f t="shared" si="106"/>
        <v/>
      </c>
      <c r="ST20" s="212" t="str">
        <f>IF(COUNT(ST21)=0,"",SUM(ST21)/COUNT(ST21))</f>
        <v/>
      </c>
      <c r="SU20" s="213" t="str">
        <f t="shared" si="107"/>
        <v/>
      </c>
      <c r="SV20" s="148"/>
      <c r="SW20" s="85"/>
      <c r="SX20" s="107"/>
      <c r="SY20" s="108" t="str">
        <f>IF(COUNT(SY21)=0,"",SUM(SY21)/COUNT(SY21))</f>
        <v/>
      </c>
      <c r="SZ20" s="109" t="str">
        <f t="shared" si="108"/>
        <v/>
      </c>
      <c r="TA20" s="106"/>
      <c r="TB20" s="85"/>
      <c r="TC20" s="107"/>
      <c r="TD20" s="108" t="str">
        <f>IF(COUNT(TD21)=0,"",SUM(TD21)/COUNT(TD21))</f>
        <v/>
      </c>
      <c r="TE20" s="110" t="str">
        <f t="shared" si="109"/>
        <v/>
      </c>
      <c r="TF20" s="111"/>
      <c r="TG20" s="112"/>
      <c r="TH20" s="113"/>
      <c r="TI20" s="108" t="str">
        <f>IF(COUNT(TI21)=0,"",SUM(TI21)/COUNT(TI21))</f>
        <v/>
      </c>
      <c r="TJ20" s="114" t="str">
        <f t="shared" si="110"/>
        <v/>
      </c>
      <c r="TK20" s="115" t="str">
        <f>IF(COUNT(TK21)=0,"",SUM(TK21)/COUNT(TK21))</f>
        <v/>
      </c>
      <c r="TL20" s="116" t="str">
        <f t="shared" si="111"/>
        <v/>
      </c>
      <c r="TM20" s="148"/>
      <c r="TN20" s="85"/>
      <c r="TO20" s="107"/>
      <c r="TP20" s="108" t="str">
        <f>IF(COUNT(TP21)=0,"",SUM(TP21)/COUNT(TP21))</f>
        <v/>
      </c>
      <c r="TQ20" s="109" t="str">
        <f t="shared" si="112"/>
        <v/>
      </c>
      <c r="TR20" s="106"/>
      <c r="TS20" s="85"/>
      <c r="TT20" s="107"/>
      <c r="TU20" s="108" t="str">
        <f>IF(COUNT(TU21)=0,"",SUM(TU21)/COUNT(TU21))</f>
        <v/>
      </c>
      <c r="TV20" s="110" t="str">
        <f t="shared" si="113"/>
        <v/>
      </c>
      <c r="TW20" s="111"/>
      <c r="TX20" s="112"/>
      <c r="TY20" s="113"/>
      <c r="TZ20" s="108" t="str">
        <f>IF(COUNT(TZ21)=0,"",SUM(TZ21)/COUNT(TZ21))</f>
        <v/>
      </c>
      <c r="UA20" s="114" t="str">
        <f t="shared" si="114"/>
        <v/>
      </c>
      <c r="UB20" s="115" t="str">
        <f>IF(COUNT(UB21)=0,"",SUM(UB21)/COUNT(UB21))</f>
        <v/>
      </c>
      <c r="UC20" s="116" t="str">
        <f t="shared" si="115"/>
        <v/>
      </c>
      <c r="UD20" s="148"/>
      <c r="UE20" s="85"/>
      <c r="UF20" s="107"/>
      <c r="UG20" s="108" t="str">
        <f>IF(COUNT(UG21)=0,"",SUM(UG21)/COUNT(UG21))</f>
        <v/>
      </c>
      <c r="UH20" s="109" t="str">
        <f t="shared" si="116"/>
        <v/>
      </c>
      <c r="UI20" s="106"/>
      <c r="UJ20" s="85"/>
      <c r="UK20" s="107"/>
      <c r="UL20" s="108" t="str">
        <f>IF(COUNT(UL21)=0,"",SUM(UL21)/COUNT(UL21))</f>
        <v/>
      </c>
      <c r="UM20" s="110" t="str">
        <f t="shared" si="117"/>
        <v/>
      </c>
      <c r="UN20" s="111"/>
      <c r="UO20" s="112"/>
      <c r="UP20" s="113"/>
      <c r="UQ20" s="108" t="str">
        <f>IF(COUNT(UQ21)=0,"",SUM(UQ21)/COUNT(UQ21))</f>
        <v/>
      </c>
      <c r="UR20" s="114" t="str">
        <f t="shared" si="118"/>
        <v/>
      </c>
      <c r="US20" s="115" t="str">
        <f>IF(COUNT(US21)=0,"",SUM(US21)/COUNT(US21))</f>
        <v/>
      </c>
      <c r="UT20" s="116" t="str">
        <f t="shared" si="119"/>
        <v/>
      </c>
    </row>
    <row r="21" spans="1:566" ht="18" customHeight="1" thickBot="1" x14ac:dyDescent="0.3">
      <c r="A21" s="246" t="s">
        <v>27</v>
      </c>
      <c r="B21" s="247"/>
      <c r="C21" s="153"/>
      <c r="D21" s="154"/>
      <c r="E21" s="155"/>
      <c r="F21" s="195" t="str">
        <f>IFERROR((((COUNTIF('Elève (4ème2)'!C21:E21,"A"))*4)+((COUNTIF('Elève (4ème2)'!C21:E21,"B"))*3)+((COUNTIF('Elève (4ème2)'!C21:E21,"C"))*2)+((COUNTIF('Elève (4ème2)'!C21:E21,"D"))*1))/(COUNTA(C21:E21)),"")</f>
        <v/>
      </c>
      <c r="G21" s="196" t="str">
        <f t="shared" si="0"/>
        <v/>
      </c>
      <c r="H21" s="153"/>
      <c r="I21" s="154"/>
      <c r="J21" s="155"/>
      <c r="K21" s="155"/>
      <c r="L21" s="195" t="str">
        <f>IFERROR((((COUNTIF('Elève (4ème2)'!H21:K21,"A"))*4)+((COUNTIF('Elève (4ème2)'!H21:K21,"B"))*3)+((COUNTIF('Elève (4ème2)'!H21:K21,"C"))*2)+((COUNTIF('Elève (4ème2)'!H21:K21,"D"))*1))/(COUNTA(H21:K21)),"")</f>
        <v/>
      </c>
      <c r="M21" s="196" t="str">
        <f t="shared" si="1"/>
        <v/>
      </c>
      <c r="N21" s="153"/>
      <c r="O21" s="154"/>
      <c r="P21" s="155"/>
      <c r="Q21" s="155"/>
      <c r="R21" s="195" t="str">
        <f>IFERROR((((COUNTIF('Elève (4ème2)'!N21:Q21,"A"))*4)+((COUNTIF('Elève (4ème2)'!N21:Q21,"B"))*3)+((COUNTIF('Elève (4ème2)'!N21:Q21,"C"))*2)+((COUNTIF('Elève (4ème2)'!N21:Q21,"D"))*1))/(COUNTA(N21:Q21)),"")</f>
        <v/>
      </c>
      <c r="S21" s="196" t="str">
        <f t="shared" si="2"/>
        <v/>
      </c>
      <c r="T21" s="195" t="str">
        <f>IF(COUNT(F21,L21,R21)=0,"",SUM(F21,L21,R21)/COUNT(F21,L21,R21))</f>
        <v/>
      </c>
      <c r="U21" s="220" t="str">
        <f t="shared" si="3"/>
        <v/>
      </c>
      <c r="V21" s="153"/>
      <c r="W21" s="154"/>
      <c r="X21" s="155"/>
      <c r="Y21" s="195" t="str">
        <f>IFERROR((((COUNTIF('Elève (4ème2)'!V21:X21,"A"))*4)+((COUNTIF('Elève (4ème2)'!V21:X21,"B"))*3)+((COUNTIF('Elève (4ème2)'!V21:X21,"C"))*2)+((COUNTIF('Elève (4ème2)'!V21:X21,"D"))*1))/(COUNTA(V21:X21)),"")</f>
        <v/>
      </c>
      <c r="Z21" s="196" t="str">
        <f t="shared" si="4"/>
        <v/>
      </c>
      <c r="AA21" s="153"/>
      <c r="AB21" s="154"/>
      <c r="AC21" s="155"/>
      <c r="AD21" s="155"/>
      <c r="AE21" s="195" t="str">
        <f>IFERROR((((COUNTIF('Elève (4ème2)'!AA21:AD21,"A"))*4)+((COUNTIF('Elève (4ème2)'!AA21:AD21,"B"))*3)+((COUNTIF('Elève (4ème2)'!AA21:AD21,"C"))*2)+((COUNTIF('Elève (4ème2)'!AA21:AD21,"D"))*1))/(COUNTA(AA21:AD21)),"")</f>
        <v/>
      </c>
      <c r="AF21" s="196" t="str">
        <f t="shared" si="5"/>
        <v/>
      </c>
      <c r="AG21" s="153"/>
      <c r="AH21" s="154"/>
      <c r="AI21" s="155"/>
      <c r="AJ21" s="159"/>
      <c r="AK21" s="195" t="str">
        <f>IFERROR((((COUNTIF('Elève (4ème2)'!AG21:AJ21,"A"))*4)+((COUNTIF('Elève (4ème2)'!AG21:AJ21,"B"))*3)+((COUNTIF('Elève (4ème2)'!AG21:AJ21,"C"))*2)+((COUNTIF('Elève (4ème2)'!AG21:AJ21,"D"))*1))/(COUNTA(AG21:AJ21)),"")</f>
        <v/>
      </c>
      <c r="AL21" s="196" t="str">
        <f t="shared" si="6"/>
        <v/>
      </c>
      <c r="AM21" s="195" t="str">
        <f>IF(COUNT(Y21,AE21,AK21)=0,"",SUM(Y21,AE21,AK21)/COUNT(Y21,AE21,AK21))</f>
        <v/>
      </c>
      <c r="AN21" s="220" t="str">
        <f t="shared" si="7"/>
        <v/>
      </c>
      <c r="AO21" s="153"/>
      <c r="AP21" s="154"/>
      <c r="AQ21" s="155"/>
      <c r="AR21" s="195" t="str">
        <f>IFERROR((((COUNTIF('Elève (4ème2)'!AO21:AQ21,"A"))*4)+((COUNTIF('Elève (4ème2)'!AO21:AQ21,"B"))*3)+((COUNTIF('Elève (4ème2)'!AO21:AQ21,"C"))*2)+((COUNTIF('Elève (4ème2)'!AO21:AQ21,"D"))*1))/(COUNTA(AO21:AQ21)),"")</f>
        <v/>
      </c>
      <c r="AS21" s="196" t="str">
        <f t="shared" si="8"/>
        <v/>
      </c>
      <c r="AT21" s="153"/>
      <c r="AU21" s="154"/>
      <c r="AV21" s="155"/>
      <c r="AW21" s="155"/>
      <c r="AX21" s="195" t="str">
        <f>IFERROR((((COUNTIF('Elève (4ème2)'!AT21:AW21,"A"))*4)+((COUNTIF('Elève (4ème2)'!AT21:AW21,"B"))*3)+((COUNTIF('Elève (4ème2)'!AT21:AW21,"C"))*2)+((COUNTIF('Elève (4ème2)'!AT21:AW21,"D"))*1))/(COUNTA(AT21:AW21)),"")</f>
        <v/>
      </c>
      <c r="AY21" s="196" t="str">
        <f t="shared" si="9"/>
        <v/>
      </c>
      <c r="AZ21" s="153"/>
      <c r="BA21" s="154"/>
      <c r="BB21" s="155"/>
      <c r="BC21" s="159"/>
      <c r="BD21" s="195" t="str">
        <f>IFERROR((((COUNTIF('Elève (4ème2)'!AZ21:BC21,"A"))*4)+((COUNTIF('Elève (4ème2)'!AZ21:BC21,"B"))*3)+((COUNTIF('Elève (4ème2)'!AZ21:BC21,"C"))*2)+((COUNTIF('Elève (4ème2)'!AZ21:BC21,"D"))*1))/(COUNTA(AZ21:BC21)),"")</f>
        <v/>
      </c>
      <c r="BE21" s="196" t="str">
        <f t="shared" si="10"/>
        <v/>
      </c>
      <c r="BF21" s="195" t="str">
        <f>IF(COUNT(AR21,AX21,BD21)=0,"",SUM(AR21,AX21,BD21)/COUNT(AR21,AX21,BD21))</f>
        <v/>
      </c>
      <c r="BG21" s="220" t="str">
        <f t="shared" si="11"/>
        <v/>
      </c>
      <c r="BH21" s="153"/>
      <c r="BI21" s="154"/>
      <c r="BJ21" s="155"/>
      <c r="BK21" s="195" t="str">
        <f>IFERROR((((COUNTIF('Elève (4ème2)'!BH21:BJ21,"A"))*4)+((COUNTIF('Elève (4ème2)'!BH21:BJ21,"B"))*3)+((COUNTIF('Elève (4ème2)'!BH21:BJ21,"C"))*2)+((COUNTIF('Elève (4ème2)'!BH21:BJ21,"D"))*1))/(COUNTA(BH21:BJ21)),"")</f>
        <v/>
      </c>
      <c r="BL21" s="196" t="str">
        <f t="shared" si="12"/>
        <v/>
      </c>
      <c r="BM21" s="153"/>
      <c r="BN21" s="154"/>
      <c r="BO21" s="155"/>
      <c r="BP21" s="155"/>
      <c r="BQ21" s="195" t="str">
        <f>IFERROR((((COUNTIF('Elève (4ème2)'!BM21:BP21,"A"))*4)+((COUNTIF('Elève (4ème2)'!BM21:BP21,"B"))*3)+((COUNTIF('Elève (4ème2)'!BM21:BP21,"C"))*2)+((COUNTIF('Elève (4ème2)'!BM21:BP21,"D"))*1))/(COUNTA(BM21:BP21)),"")</f>
        <v/>
      </c>
      <c r="BR21" s="196" t="str">
        <f t="shared" si="13"/>
        <v/>
      </c>
      <c r="BS21" s="153"/>
      <c r="BT21" s="154"/>
      <c r="BU21" s="155"/>
      <c r="BV21" s="159"/>
      <c r="BW21" s="195" t="str">
        <f>IFERROR((((COUNTIF('Elève (4ème2)'!BS21:BV21,"A"))*4)+((COUNTIF('Elève (4ème2)'!BS21:BV21,"B"))*3)+((COUNTIF('Elève (4ème2)'!BS21:BV21,"C"))*2)+((COUNTIF('Elève (4ème2)'!BS21:BV21,"D"))*1))/(COUNTA(BS21:BV21)),"")</f>
        <v/>
      </c>
      <c r="BX21" s="196" t="str">
        <f t="shared" si="14"/>
        <v/>
      </c>
      <c r="BY21" s="195" t="str">
        <f>IF(COUNT(BK21,BQ21,BW21)=0,"",SUM(BK21,BQ21,BW21)/COUNT(BK21,BQ21,BW21))</f>
        <v/>
      </c>
      <c r="BZ21" s="220" t="str">
        <f t="shared" si="15"/>
        <v/>
      </c>
      <c r="CA21" s="153"/>
      <c r="CB21" s="154"/>
      <c r="CC21" s="155"/>
      <c r="CD21" s="195" t="str">
        <f>IFERROR((((COUNTIF('Elève (4ème2)'!CA21:CC21,"A"))*4)+((COUNTIF('Elève (4ème2)'!CA21:CC21,"B"))*3)+((COUNTIF('Elève (4ème2)'!CA21:CC21,"C"))*2)+((COUNTIF('Elève (4ème2)'!CA21:CC21,"D"))*1))/(COUNTA(CA21:CC21)),"")</f>
        <v/>
      </c>
      <c r="CE21" s="196" t="str">
        <f t="shared" si="16"/>
        <v/>
      </c>
      <c r="CF21" s="153"/>
      <c r="CG21" s="154"/>
      <c r="CH21" s="155"/>
      <c r="CI21" s="155"/>
      <c r="CJ21" s="195" t="str">
        <f>IFERROR((((COUNTIF('Elève (4ème2)'!CF21:CI21,"A"))*4)+((COUNTIF('Elève (4ème2)'!CF21:CI21,"B"))*3)+((COUNTIF('Elève (4ème2)'!CF21:CI21,"C"))*2)+((COUNTIF('Elève (4ème2)'!CF21:CI21,"D"))*1))/(COUNTA(CF21:CI21)),"")</f>
        <v/>
      </c>
      <c r="CK21" s="196" t="str">
        <f t="shared" si="17"/>
        <v/>
      </c>
      <c r="CL21" s="153"/>
      <c r="CM21" s="154"/>
      <c r="CN21" s="155"/>
      <c r="CO21" s="159"/>
      <c r="CP21" s="195" t="str">
        <f>IFERROR((((COUNTIF('Elève (4ème2)'!CL21:CO21,"A"))*4)+((COUNTIF('Elève (4ème2)'!CL21:CO21,"B"))*3)+((COUNTIF('Elève (4ème2)'!CL21:CO21,"C"))*2)+((COUNTIF('Elève (4ème2)'!CL21:CO21,"D"))*1))/(COUNTA(CL21:CO21)),"")</f>
        <v/>
      </c>
      <c r="CQ21" s="196" t="str">
        <f t="shared" si="18"/>
        <v/>
      </c>
      <c r="CR21" s="195" t="str">
        <f>IF(COUNT(CD21,CJ21,CP21)=0,"",SUM(CD21,CJ21,CP21)/COUNT(CD21,CJ21,CP21))</f>
        <v/>
      </c>
      <c r="CS21" s="220" t="str">
        <f t="shared" si="19"/>
        <v/>
      </c>
      <c r="CT21" s="153"/>
      <c r="CU21" s="154"/>
      <c r="CV21" s="155"/>
      <c r="CW21" s="195" t="str">
        <f>IFERROR((((COUNTIF('Elève (4ème2)'!CT21:CV21,"A"))*4)+((COUNTIF('Elève (4ème2)'!CT21:CV21,"B"))*3)+((COUNTIF('Elève (4ème2)'!CT21:CV21,"C"))*2)+((COUNTIF('Elève (4ème2)'!CT21:CV21,"D"))*1))/(COUNTA(CT21:CV21)),"")</f>
        <v/>
      </c>
      <c r="CX21" s="196" t="str">
        <f t="shared" si="20"/>
        <v/>
      </c>
      <c r="CY21" s="153"/>
      <c r="CZ21" s="154"/>
      <c r="DA21" s="155"/>
      <c r="DB21" s="155"/>
      <c r="DC21" s="195" t="str">
        <f>IFERROR((((COUNTIF('Elève (4ème2)'!CY21:DB21,"A"))*4)+((COUNTIF('Elève (4ème2)'!CY21:DB21,"B"))*3)+((COUNTIF('Elève (4ème2)'!CY21:DB21,"C"))*2)+((COUNTIF('Elève (4ème2)'!CY21:DB21,"D"))*1))/(COUNTA(CY21:DB21)),"")</f>
        <v/>
      </c>
      <c r="DD21" s="196" t="str">
        <f t="shared" si="21"/>
        <v/>
      </c>
      <c r="DE21" s="153"/>
      <c r="DF21" s="154"/>
      <c r="DG21" s="155"/>
      <c r="DH21" s="159"/>
      <c r="DI21" s="195" t="str">
        <f>IFERROR((((COUNTIF('Elève (4ème2)'!DE21:DH21,"A"))*4)+((COUNTIF('Elève (4ème2)'!DE21:DH21,"B"))*3)+((COUNTIF('Elève (4ème2)'!DE21:DH21,"C"))*2)+((COUNTIF('Elève (4ème2)'!DE21:DH21,"D"))*1))/(COUNTA(DE21:DH21)),"")</f>
        <v/>
      </c>
      <c r="DJ21" s="196" t="str">
        <f t="shared" si="22"/>
        <v/>
      </c>
      <c r="DK21" s="195" t="str">
        <f>IF(COUNT(CW21,DC21,DI21)=0,"",SUM(CW21,DC21,DI21)/COUNT(CW21,DC21,DI21))</f>
        <v/>
      </c>
      <c r="DL21" s="220" t="str">
        <f t="shared" si="23"/>
        <v/>
      </c>
      <c r="DM21" s="153"/>
      <c r="DN21" s="154"/>
      <c r="DO21" s="155"/>
      <c r="DP21" s="195" t="str">
        <f>IFERROR((((COUNTIF('Elève (4ème2)'!DM21:DO21,"A"))*4)+((COUNTIF('Elève (4ème2)'!DM21:DO21,"B"))*3)+((COUNTIF('Elève (4ème2)'!DM21:DO21,"C"))*2)+((COUNTIF('Elève (4ème2)'!DM21:DO21,"D"))*1))/(COUNTA(DM21:DO21)),"")</f>
        <v/>
      </c>
      <c r="DQ21" s="196" t="str">
        <f t="shared" si="24"/>
        <v/>
      </c>
      <c r="DR21" s="153"/>
      <c r="DS21" s="154"/>
      <c r="DT21" s="155"/>
      <c r="DU21" s="155"/>
      <c r="DV21" s="195" t="str">
        <f>IFERROR((((COUNTIF('Elève (4ème2)'!DR21:DU21,"A"))*4)+((COUNTIF('Elève (4ème2)'!DR21:DU21,"B"))*3)+((COUNTIF('Elève (4ème2)'!DR21:DU21,"C"))*2)+((COUNTIF('Elève (4ème2)'!DR21:DU21,"D"))*1))/(COUNTA(DR21:DU21)),"")</f>
        <v/>
      </c>
      <c r="DW21" s="196" t="str">
        <f t="shared" si="25"/>
        <v/>
      </c>
      <c r="DX21" s="153"/>
      <c r="DY21" s="154"/>
      <c r="DZ21" s="155"/>
      <c r="EA21" s="159"/>
      <c r="EB21" s="195" t="str">
        <f>IFERROR((((COUNTIF('Elève (4ème2)'!DX21:EA21,"A"))*4)+((COUNTIF('Elève (4ème2)'!DX21:EA21,"B"))*3)+((COUNTIF('Elève (4ème2)'!DX21:EA21,"C"))*2)+((COUNTIF('Elève (4ème2)'!DX21:EA21,"D"))*1))/(COUNTA(DX21:EA21)),"")</f>
        <v/>
      </c>
      <c r="EC21" s="196" t="str">
        <f t="shared" si="26"/>
        <v/>
      </c>
      <c r="ED21" s="195" t="str">
        <f>IF(COUNT(DP21,DV21,EB21)=0,"",SUM(DP21,DV21,EB21)/COUNT(DP21,DV21,EB21))</f>
        <v/>
      </c>
      <c r="EE21" s="220" t="str">
        <f t="shared" si="27"/>
        <v/>
      </c>
      <c r="EF21" s="153"/>
      <c r="EG21" s="154"/>
      <c r="EH21" s="155"/>
      <c r="EI21" s="195" t="str">
        <f>IFERROR((((COUNTIF('Elève (4ème2)'!EF21:EH21,"A"))*4)+((COUNTIF('Elève (4ème2)'!EF21:EH21,"B"))*3)+((COUNTIF('Elève (4ème2)'!EF21:EH21,"C"))*2)+((COUNTIF('Elève (4ème2)'!EF21:EH21,"D"))*1))/(COUNTA(EF21:EH21)),"")</f>
        <v/>
      </c>
      <c r="EJ21" s="196" t="str">
        <f t="shared" si="28"/>
        <v/>
      </c>
      <c r="EK21" s="153"/>
      <c r="EL21" s="154"/>
      <c r="EM21" s="155"/>
      <c r="EN21" s="155"/>
      <c r="EO21" s="195" t="str">
        <f>IFERROR((((COUNTIF('Elève (4ème2)'!EK21:EN21,"A"))*4)+((COUNTIF('Elève (4ème2)'!EK21:EN21,"B"))*3)+((COUNTIF('Elève (4ème2)'!EK21:EN21,"C"))*2)+((COUNTIF('Elève (4ème2)'!EK21:EN21,"D"))*1))/(COUNTA(EK21:EN21)),"")</f>
        <v/>
      </c>
      <c r="EP21" s="196" t="str">
        <f t="shared" si="29"/>
        <v/>
      </c>
      <c r="EQ21" s="153"/>
      <c r="ER21" s="154"/>
      <c r="ES21" s="155"/>
      <c r="ET21" s="159"/>
      <c r="EU21" s="195" t="str">
        <f>IFERROR((((COUNTIF('Elève (4ème2)'!EQ21:ET21,"A"))*4)+((COUNTIF('Elève (4ème2)'!EQ21:ET21,"B"))*3)+((COUNTIF('Elève (4ème2)'!EQ21:ET21,"C"))*2)+((COUNTIF('Elève (4ème2)'!EQ21:ET21,"D"))*1))/(COUNTA(EQ21:ET21)),"")</f>
        <v/>
      </c>
      <c r="EV21" s="196" t="str">
        <f t="shared" si="30"/>
        <v/>
      </c>
      <c r="EW21" s="195" t="str">
        <f>IF(COUNT(EI21,EO21,EU21)=0,"",SUM(EI21,EO21,EU21)/COUNT(EI21,EO21,EU21))</f>
        <v/>
      </c>
      <c r="EX21" s="220" t="str">
        <f t="shared" si="31"/>
        <v/>
      </c>
      <c r="EY21" s="153"/>
      <c r="EZ21" s="154"/>
      <c r="FA21" s="155"/>
      <c r="FB21" s="195" t="str">
        <f>IFERROR((((COUNTIF('Elève (4ème2)'!EY21:FA21,"A"))*4)+((COUNTIF('Elève (4ème2)'!EY21:FA21,"B"))*3)+((COUNTIF('Elève (4ème2)'!EY21:FA21,"C"))*2)+((COUNTIF('Elève (4ème2)'!EY21:FA21,"D"))*1))/(COUNTA(EY21:FA21)),"")</f>
        <v/>
      </c>
      <c r="FC21" s="196" t="str">
        <f t="shared" si="32"/>
        <v/>
      </c>
      <c r="FD21" s="153"/>
      <c r="FE21" s="154"/>
      <c r="FF21" s="155"/>
      <c r="FG21" s="155"/>
      <c r="FH21" s="195" t="str">
        <f>IFERROR((((COUNTIF('Elève (4ème2)'!FD21:FG21,"A"))*4)+((COUNTIF('Elève (4ème2)'!FD21:FG21,"B"))*3)+((COUNTIF('Elève (4ème2)'!FD21:FG21,"C"))*2)+((COUNTIF('Elève (4ème2)'!FD21:FG21,"D"))*1))/(COUNTA(FD21:FG21)),"")</f>
        <v/>
      </c>
      <c r="FI21" s="196" t="str">
        <f t="shared" si="33"/>
        <v/>
      </c>
      <c r="FJ21" s="153"/>
      <c r="FK21" s="154"/>
      <c r="FL21" s="155"/>
      <c r="FM21" s="159"/>
      <c r="FN21" s="195" t="str">
        <f>IFERROR((((COUNTIF('Elève (4ème2)'!FJ21:FM21,"A"))*4)+((COUNTIF('Elève (4ème2)'!FJ21:FM21,"B"))*3)+((COUNTIF('Elève (4ème2)'!FJ21:FM21,"C"))*2)+((COUNTIF('Elève (4ème2)'!FJ21:FM21,"D"))*1))/(COUNTA(FJ21:FM21)),"")</f>
        <v/>
      </c>
      <c r="FO21" s="196" t="str">
        <f t="shared" si="34"/>
        <v/>
      </c>
      <c r="FP21" s="195" t="str">
        <f>IF(COUNT(FB21,FH21,FN21)=0,"",SUM(FB21,FH21,FN21)/COUNT(FB21,FH21,FN21))</f>
        <v/>
      </c>
      <c r="FQ21" s="220" t="str">
        <f t="shared" si="35"/>
        <v/>
      </c>
      <c r="FR21" s="153"/>
      <c r="FS21" s="154"/>
      <c r="FT21" s="155"/>
      <c r="FU21" s="195" t="str">
        <f>IFERROR((((COUNTIF('Elève (4ème2)'!FR21:FT21,"A"))*4)+((COUNTIF('Elève (4ème2)'!FR21:FT21,"B"))*3)+((COUNTIF('Elève (4ème2)'!FR21:FT21,"C"))*2)+((COUNTIF('Elève (4ème2)'!FR21:FT21,"D"))*1))/(COUNTA(FR21:FT21)),"")</f>
        <v/>
      </c>
      <c r="FV21" s="196" t="str">
        <f t="shared" si="36"/>
        <v/>
      </c>
      <c r="FW21" s="153"/>
      <c r="FX21" s="154"/>
      <c r="FY21" s="155"/>
      <c r="FZ21" s="155"/>
      <c r="GA21" s="195" t="str">
        <f>IFERROR((((COUNTIF('Elève (4ème2)'!FW21:FZ21,"A"))*4)+((COUNTIF('Elève (4ème2)'!FW21:FZ21,"B"))*3)+((COUNTIF('Elève (4ème2)'!FW21:FZ21,"C"))*2)+((COUNTIF('Elève (4ème2)'!FW21:FZ21,"D"))*1))/(COUNTA(FW21:FZ21)),"")</f>
        <v/>
      </c>
      <c r="GB21" s="196" t="str">
        <f t="shared" si="37"/>
        <v/>
      </c>
      <c r="GC21" s="153"/>
      <c r="GD21" s="154"/>
      <c r="GE21" s="155"/>
      <c r="GF21" s="159"/>
      <c r="GG21" s="195" t="str">
        <f>IFERROR((((COUNTIF('Elève (4ème2)'!GC21:GF21,"A"))*4)+((COUNTIF('Elève (4ème2)'!GC21:GF21,"B"))*3)+((COUNTIF('Elève (4ème2)'!GC21:GF21,"C"))*2)+((COUNTIF('Elève (4ème2)'!GC21:GF21,"D"))*1))/(COUNTA(GC21:GF21)),"")</f>
        <v/>
      </c>
      <c r="GH21" s="196" t="str">
        <f t="shared" si="38"/>
        <v/>
      </c>
      <c r="GI21" s="195" t="str">
        <f>IF(COUNT(FU21,GA21,GG21)=0,"",SUM(FU21,GA21,GG21)/COUNT(FU21,GA21,GG21))</f>
        <v/>
      </c>
      <c r="GJ21" s="220" t="str">
        <f t="shared" si="39"/>
        <v/>
      </c>
      <c r="GK21" s="153"/>
      <c r="GL21" s="154"/>
      <c r="GM21" s="155"/>
      <c r="GN21" s="195" t="str">
        <f>IFERROR((((COUNTIF('Elève (4ème2)'!GK21:GM21,"A"))*4)+((COUNTIF('Elève (4ème2)'!GK21:GM21,"B"))*3)+((COUNTIF('Elève (4ème2)'!GK21:GM21,"C"))*2)+((COUNTIF('Elève (4ème2)'!GK21:GM21,"D"))*1))/(COUNTA(GK21:GM21)),"")</f>
        <v/>
      </c>
      <c r="GO21" s="196" t="str">
        <f t="shared" si="40"/>
        <v/>
      </c>
      <c r="GP21" s="153"/>
      <c r="GQ21" s="154"/>
      <c r="GR21" s="155"/>
      <c r="GS21" s="155"/>
      <c r="GT21" s="195" t="str">
        <f>IFERROR((((COUNTIF('Elève (4ème2)'!GP21:GS21,"A"))*4)+((COUNTIF('Elève (4ème2)'!GP21:GS21,"B"))*3)+((COUNTIF('Elève (4ème2)'!GP21:GS21,"C"))*2)+((COUNTIF('Elève (4ème2)'!GP21:GS21,"D"))*1))/(COUNTA(GP21:GS21)),"")</f>
        <v/>
      </c>
      <c r="GU21" s="196" t="str">
        <f t="shared" si="41"/>
        <v/>
      </c>
      <c r="GV21" s="153"/>
      <c r="GW21" s="154"/>
      <c r="GX21" s="155"/>
      <c r="GY21" s="159"/>
      <c r="GZ21" s="195" t="str">
        <f>IFERROR((((COUNTIF('Elève (4ème2)'!GV21:GY21,"A"))*4)+((COUNTIF('Elève (4ème2)'!GV21:GY21,"B"))*3)+((COUNTIF('Elève (4ème2)'!GV21:GY21,"C"))*2)+((COUNTIF('Elève (4ème2)'!GV21:GY21,"D"))*1))/(COUNTA(GV21:GY21)),"")</f>
        <v/>
      </c>
      <c r="HA21" s="196" t="str">
        <f t="shared" si="42"/>
        <v/>
      </c>
      <c r="HB21" s="195" t="str">
        <f>IF(COUNT(GN21,GT21,GZ21)=0,"",SUM(GN21,GT21,GZ21)/COUNT(GN21,GT21,GZ21))</f>
        <v/>
      </c>
      <c r="HC21" s="220" t="str">
        <f t="shared" si="43"/>
        <v/>
      </c>
      <c r="HD21" s="153"/>
      <c r="HE21" s="154"/>
      <c r="HF21" s="155"/>
      <c r="HG21" s="195" t="str">
        <f>IFERROR((((COUNTIF('Elève (4ème2)'!HD21:HF21,"A"))*4)+((COUNTIF('Elève (4ème2)'!HD21:HF21,"B"))*3)+((COUNTIF('Elève (4ème2)'!HD21:HF21,"C"))*2)+((COUNTIF('Elève (4ème2)'!HD21:HF21,"D"))*1))/(COUNTA(HD21:HF21)),"")</f>
        <v/>
      </c>
      <c r="HH21" s="196" t="str">
        <f t="shared" si="44"/>
        <v/>
      </c>
      <c r="HI21" s="153"/>
      <c r="HJ21" s="154"/>
      <c r="HK21" s="155"/>
      <c r="HL21" s="155"/>
      <c r="HM21" s="195" t="str">
        <f>IFERROR((((COUNTIF('Elève (4ème2)'!HI21:HL21,"A"))*4)+((COUNTIF('Elève (4ème2)'!HI21:HL21,"B"))*3)+((COUNTIF('Elève (4ème2)'!HI21:HL21,"C"))*2)+((COUNTIF('Elève (4ème2)'!HI21:HL21,"D"))*1))/(COUNTA(HI21:HL21)),"")</f>
        <v/>
      </c>
      <c r="HN21" s="196" t="str">
        <f t="shared" si="45"/>
        <v/>
      </c>
      <c r="HO21" s="153"/>
      <c r="HP21" s="154"/>
      <c r="HQ21" s="155"/>
      <c r="HR21" s="159"/>
      <c r="HS21" s="195" t="str">
        <f>IFERROR((((COUNTIF('Elève (4ème2)'!HO21:HR21,"A"))*4)+((COUNTIF('Elève (4ème2)'!HO21:HR21,"B"))*3)+((COUNTIF('Elève (4ème2)'!HO21:HR21,"C"))*2)+((COUNTIF('Elève (4ème2)'!HO21:HR21,"D"))*1))/(COUNTA(HO21:HR21)),"")</f>
        <v/>
      </c>
      <c r="HT21" s="196" t="str">
        <f t="shared" si="46"/>
        <v/>
      </c>
      <c r="HU21" s="195" t="str">
        <f>IF(COUNT(HG21,HM21,HS21)=0,"",SUM(HG21,HM21,HS21)/COUNT(HG21,HM21,HS21))</f>
        <v/>
      </c>
      <c r="HV21" s="220" t="str">
        <f t="shared" si="47"/>
        <v/>
      </c>
      <c r="HW21" s="153"/>
      <c r="HX21" s="154"/>
      <c r="HY21" s="155"/>
      <c r="HZ21" s="195" t="str">
        <f>IFERROR((((COUNTIF('Elève (4ème2)'!HW21:HY21,"A"))*4)+((COUNTIF('Elève (4ème2)'!HW21:HY21,"B"))*3)+((COUNTIF('Elève (4ème2)'!HW21:HY21,"C"))*2)+((COUNTIF('Elève (4ème2)'!HW21:HY21,"D"))*1))/(COUNTA(HW21:HY21)),"")</f>
        <v/>
      </c>
      <c r="IA21" s="196" t="str">
        <f t="shared" si="48"/>
        <v/>
      </c>
      <c r="IB21" s="153"/>
      <c r="IC21" s="154"/>
      <c r="ID21" s="155"/>
      <c r="IE21" s="155"/>
      <c r="IF21" s="195" t="str">
        <f>IFERROR((((COUNTIF('Elève (4ème2)'!IB21:IE21,"A"))*4)+((COUNTIF('Elève (4ème2)'!IB21:IE21,"B"))*3)+((COUNTIF('Elève (4ème2)'!IB21:IE21,"C"))*2)+((COUNTIF('Elève (4ème2)'!IB21:IE21,"D"))*1))/(COUNTA(IB21:IE21)),"")</f>
        <v/>
      </c>
      <c r="IG21" s="196" t="str">
        <f t="shared" si="49"/>
        <v/>
      </c>
      <c r="IH21" s="153"/>
      <c r="II21" s="154"/>
      <c r="IJ21" s="155"/>
      <c r="IK21" s="159"/>
      <c r="IL21" s="195" t="str">
        <f>IFERROR((((COUNTIF('Elève (4ème2)'!IH21:IK21,"A"))*4)+((COUNTIF('Elève (4ème2)'!IH21:IK21,"B"))*3)+((COUNTIF('Elève (4ème2)'!IH21:IK21,"C"))*2)+((COUNTIF('Elève (4ème2)'!IH21:IK21,"D"))*1))/(COUNTA(IH21:IK21)),"")</f>
        <v/>
      </c>
      <c r="IM21" s="196" t="str">
        <f t="shared" si="50"/>
        <v/>
      </c>
      <c r="IN21" s="195" t="str">
        <f>IF(COUNT(HZ21,IF21,IL21)=0,"",SUM(HZ21,IF21,IL21)/COUNT(HZ21,IF21,IL21))</f>
        <v/>
      </c>
      <c r="IO21" s="220" t="str">
        <f t="shared" si="51"/>
        <v/>
      </c>
      <c r="IP21" s="153"/>
      <c r="IQ21" s="154"/>
      <c r="IR21" s="155"/>
      <c r="IS21" s="195" t="str">
        <f>IFERROR((((COUNTIF('Elève (4ème2)'!IP21:IR21,"A"))*4)+((COUNTIF('Elève (4ème2)'!IP21:IR21,"B"))*3)+((COUNTIF('Elève (4ème2)'!IP21:IR21,"C"))*2)+((COUNTIF('Elève (4ème2)'!IP21:IR21,"D"))*1))/(COUNTA(IP21:IR21)),"")</f>
        <v/>
      </c>
      <c r="IT21" s="196" t="str">
        <f t="shared" si="52"/>
        <v/>
      </c>
      <c r="IU21" s="153"/>
      <c r="IV21" s="154"/>
      <c r="IW21" s="155"/>
      <c r="IX21" s="155"/>
      <c r="IY21" s="195" t="str">
        <f>IFERROR((((COUNTIF('Elève (4ème2)'!IU21:IX21,"A"))*4)+((COUNTIF('Elève (4ème2)'!IU21:IX21,"B"))*3)+((COUNTIF('Elève (4ème2)'!IU21:IX21,"C"))*2)+((COUNTIF('Elève (4ème2)'!IU21:IX21,"D"))*1))/(COUNTA(IU21:IX21)),"")</f>
        <v/>
      </c>
      <c r="IZ21" s="196" t="str">
        <f t="shared" si="53"/>
        <v/>
      </c>
      <c r="JA21" s="153"/>
      <c r="JB21" s="154"/>
      <c r="JC21" s="155"/>
      <c r="JD21" s="159"/>
      <c r="JE21" s="195" t="str">
        <f>IFERROR((((COUNTIF('Elève (4ème2)'!JA21:JD21,"A"))*4)+((COUNTIF('Elève (4ème2)'!JA21:JD21,"B"))*3)+((COUNTIF('Elève (4ème2)'!JA21:JD21,"C"))*2)+((COUNTIF('Elève (4ème2)'!JA21:JD21,"D"))*1))/(COUNTA(JA21:JD21)),"")</f>
        <v/>
      </c>
      <c r="JF21" s="196" t="str">
        <f t="shared" si="54"/>
        <v/>
      </c>
      <c r="JG21" s="195" t="str">
        <f>IF(COUNT(IS21,IY21,JE21)=0,"",SUM(IS21,IY21,JE21)/COUNT(IS21,IY21,JE21))</f>
        <v/>
      </c>
      <c r="JH21" s="220" t="str">
        <f t="shared" si="55"/>
        <v/>
      </c>
      <c r="JI21" s="153"/>
      <c r="JJ21" s="154"/>
      <c r="JK21" s="155"/>
      <c r="JL21" s="195" t="str">
        <f>IFERROR((((COUNTIF('Elève (4ème2)'!JI21:JK21,"A"))*4)+((COUNTIF('Elève (4ème2)'!JI21:JK21,"B"))*3)+((COUNTIF('Elève (4ème2)'!JI21:JK21,"C"))*2)+((COUNTIF('Elève (4ème2)'!JI21:JK21,"D"))*1))/(COUNTA(JI21:JK21)),"")</f>
        <v/>
      </c>
      <c r="JM21" s="196" t="str">
        <f t="shared" si="56"/>
        <v/>
      </c>
      <c r="JN21" s="153"/>
      <c r="JO21" s="154"/>
      <c r="JP21" s="155"/>
      <c r="JQ21" s="155"/>
      <c r="JR21" s="195" t="str">
        <f>IFERROR((((COUNTIF('Elève (4ème2)'!JN21:JQ21,"A"))*4)+((COUNTIF('Elève (4ème2)'!JN21:JQ21,"B"))*3)+((COUNTIF('Elève (4ème2)'!JN21:JQ21,"C"))*2)+((COUNTIF('Elève (4ème2)'!JN21:JQ21,"D"))*1))/(COUNTA(JN21:JQ21)),"")</f>
        <v/>
      </c>
      <c r="JS21" s="196" t="str">
        <f t="shared" si="57"/>
        <v/>
      </c>
      <c r="JT21" s="153"/>
      <c r="JU21" s="154"/>
      <c r="JV21" s="155"/>
      <c r="JW21" s="159"/>
      <c r="JX21" s="195" t="str">
        <f>IFERROR((((COUNTIF('Elève (4ème2)'!JT21:JW21,"A"))*4)+((COUNTIF('Elève (4ème2)'!JT21:JW21,"B"))*3)+((COUNTIF('Elève (4ème2)'!JT21:JW21,"C"))*2)+((COUNTIF('Elève (4ème2)'!JT21:JW21,"D"))*1))/(COUNTA(JT21:JW21)),"")</f>
        <v/>
      </c>
      <c r="JY21" s="196" t="str">
        <f t="shared" si="58"/>
        <v/>
      </c>
      <c r="JZ21" s="195" t="str">
        <f>IF(COUNT(JL21,JR21,JX21)=0,"",SUM(JL21,JR21,JX21)/COUNT(JL21,JR21,JX21))</f>
        <v/>
      </c>
      <c r="KA21" s="220" t="str">
        <f t="shared" si="59"/>
        <v/>
      </c>
      <c r="KB21" s="153"/>
      <c r="KC21" s="154"/>
      <c r="KD21" s="155"/>
      <c r="KE21" s="195" t="str">
        <f>IFERROR((((COUNTIF('Elève (4ème2)'!KB21:KD21,"A"))*4)+((COUNTIF('Elève (4ème2)'!KB21:KD21,"B"))*3)+((COUNTIF('Elève (4ème2)'!KB21:KD21,"C"))*2)+((COUNTIF('Elève (4ème2)'!KB21:KD21,"D"))*1))/(COUNTA(KB21:KD21)),"")</f>
        <v/>
      </c>
      <c r="KF21" s="196" t="str">
        <f t="shared" si="60"/>
        <v/>
      </c>
      <c r="KG21" s="153"/>
      <c r="KH21" s="154"/>
      <c r="KI21" s="155"/>
      <c r="KJ21" s="155"/>
      <c r="KK21" s="195" t="str">
        <f>IFERROR((((COUNTIF('Elève (4ème2)'!KG21:KJ21,"A"))*4)+((COUNTIF('Elève (4ème2)'!KG21:KJ21,"B"))*3)+((COUNTIF('Elève (4ème2)'!KG21:KJ21,"C"))*2)+((COUNTIF('Elève (4ème2)'!KG21:KJ21,"D"))*1))/(COUNTA(KG21:KJ21)),"")</f>
        <v/>
      </c>
      <c r="KL21" s="196" t="str">
        <f t="shared" si="61"/>
        <v/>
      </c>
      <c r="KM21" s="153"/>
      <c r="KN21" s="154"/>
      <c r="KO21" s="155"/>
      <c r="KP21" s="159"/>
      <c r="KQ21" s="195" t="str">
        <f>IFERROR((((COUNTIF('Elève (4ème2)'!KM21:KP21,"A"))*4)+((COUNTIF('Elève (4ème2)'!KM21:KP21,"B"))*3)+((COUNTIF('Elève (4ème2)'!KM21:KP21,"C"))*2)+((COUNTIF('Elève (4ème2)'!KM21:KP21,"D"))*1))/(COUNTA(KM21:KP21)),"")</f>
        <v/>
      </c>
      <c r="KR21" s="196" t="str">
        <f t="shared" si="62"/>
        <v/>
      </c>
      <c r="KS21" s="195" t="str">
        <f>IF(COUNT(KE21,KK21,KQ21)=0,"",SUM(KE21,KK21,KQ21)/COUNT(KE21,KK21,KQ21))</f>
        <v/>
      </c>
      <c r="KT21" s="220" t="str">
        <f t="shared" si="63"/>
        <v/>
      </c>
      <c r="KU21" s="153"/>
      <c r="KV21" s="154"/>
      <c r="KW21" s="155"/>
      <c r="KX21" s="195" t="str">
        <f>IFERROR((((COUNTIF('Elève (4ème2)'!KU21:KW21,"A"))*4)+((COUNTIF('Elève (4ème2)'!KU21:KW21,"B"))*3)+((COUNTIF('Elève (4ème2)'!KU21:KW21,"C"))*2)+((COUNTIF('Elève (4ème2)'!KU21:KW21,"D"))*1))/(COUNTA(KU21:KW21)),"")</f>
        <v/>
      </c>
      <c r="KY21" s="196" t="str">
        <f t="shared" si="64"/>
        <v/>
      </c>
      <c r="KZ21" s="153"/>
      <c r="LA21" s="154"/>
      <c r="LB21" s="155"/>
      <c r="LC21" s="155"/>
      <c r="LD21" s="195" t="str">
        <f>IFERROR((((COUNTIF('Elève (4ème2)'!KZ21:LC21,"A"))*4)+((COUNTIF('Elève (4ème2)'!KZ21:LC21,"B"))*3)+((COUNTIF('Elève (4ème2)'!KZ21:LC21,"C"))*2)+((COUNTIF('Elève (4ème2)'!KZ21:LC21,"D"))*1))/(COUNTA(KZ21:LC21)),"")</f>
        <v/>
      </c>
      <c r="LE21" s="196" t="str">
        <f t="shared" si="65"/>
        <v/>
      </c>
      <c r="LF21" s="153"/>
      <c r="LG21" s="154"/>
      <c r="LH21" s="155"/>
      <c r="LI21" s="159"/>
      <c r="LJ21" s="195" t="str">
        <f>IFERROR((((COUNTIF('Elève (4ème2)'!LF21:LI21,"A"))*4)+((COUNTIF('Elève (4ème2)'!LF21:LI21,"B"))*3)+((COUNTIF('Elève (4ème2)'!LF21:LI21,"C"))*2)+((COUNTIF('Elève (4ème2)'!LF21:LI21,"D"))*1))/(COUNTA(LF21:LI21)),"")</f>
        <v/>
      </c>
      <c r="LK21" s="196" t="str">
        <f t="shared" si="66"/>
        <v/>
      </c>
      <c r="LL21" s="195" t="str">
        <f>IF(COUNT(KX21,LD21,LJ21)=0,"",SUM(KX21,LD21,LJ21)/COUNT(KX21,LD21,LJ21))</f>
        <v/>
      </c>
      <c r="LM21" s="220" t="str">
        <f t="shared" si="67"/>
        <v/>
      </c>
      <c r="LN21" s="153"/>
      <c r="LO21" s="154"/>
      <c r="LP21" s="155"/>
      <c r="LQ21" s="195" t="str">
        <f>IFERROR((((COUNTIF('Elève (4ème2)'!LN21:LP21,"A"))*4)+((COUNTIF('Elève (4ème2)'!LN21:LP21,"B"))*3)+((COUNTIF('Elève (4ème2)'!LN21:LP21,"C"))*2)+((COUNTIF('Elève (4ème2)'!LN21:LP21,"D"))*1))/(COUNTA(LN21:LP21)),"")</f>
        <v/>
      </c>
      <c r="LR21" s="196" t="str">
        <f t="shared" si="68"/>
        <v/>
      </c>
      <c r="LS21" s="153"/>
      <c r="LT21" s="154"/>
      <c r="LU21" s="155"/>
      <c r="LV21" s="155"/>
      <c r="LW21" s="195" t="str">
        <f>IFERROR((((COUNTIF('Elève (4ème2)'!LS21:LV21,"A"))*4)+((COUNTIF('Elève (4ème2)'!LS21:LV21,"B"))*3)+((COUNTIF('Elève (4ème2)'!LS21:LV21,"C"))*2)+((COUNTIF('Elève (4ème2)'!LS21:LV21,"D"))*1))/(COUNTA(LS21:LV21)),"")</f>
        <v/>
      </c>
      <c r="LX21" s="196" t="str">
        <f t="shared" si="69"/>
        <v/>
      </c>
      <c r="LY21" s="153"/>
      <c r="LZ21" s="154"/>
      <c r="MA21" s="155"/>
      <c r="MB21" s="159"/>
      <c r="MC21" s="195" t="str">
        <f>IFERROR((((COUNTIF('Elève (4ème2)'!LY21:MB21,"A"))*4)+((COUNTIF('Elève (4ème2)'!LY21:MB21,"B"))*3)+((COUNTIF('Elève (4ème2)'!LY21:MB21,"C"))*2)+((COUNTIF('Elève (4ème2)'!LY21:MB21,"D"))*1))/(COUNTA(LY21:MB21)),"")</f>
        <v/>
      </c>
      <c r="MD21" s="196" t="str">
        <f t="shared" si="70"/>
        <v/>
      </c>
      <c r="ME21" s="195" t="str">
        <f>IF(COUNT(LQ21,LW21,MC21)=0,"",SUM(LQ21,LW21,MC21)/COUNT(LQ21,LW21,MC21))</f>
        <v/>
      </c>
      <c r="MF21" s="220" t="str">
        <f t="shared" si="71"/>
        <v/>
      </c>
      <c r="MG21" s="153"/>
      <c r="MH21" s="154"/>
      <c r="MI21" s="155"/>
      <c r="MJ21" s="195" t="str">
        <f>IFERROR((((COUNTIF('Elève (4ème2)'!MG21:MI21,"A"))*4)+((COUNTIF('Elève (4ème2)'!MG21:MI21,"B"))*3)+((COUNTIF('Elève (4ème2)'!MG21:MI21,"C"))*2)+((COUNTIF('Elève (4ème2)'!MG21:MI21,"D"))*1))/(COUNTA(MG21:MI21)),"")</f>
        <v/>
      </c>
      <c r="MK21" s="196" t="str">
        <f t="shared" si="72"/>
        <v/>
      </c>
      <c r="ML21" s="153"/>
      <c r="MM21" s="154"/>
      <c r="MN21" s="155"/>
      <c r="MO21" s="155"/>
      <c r="MP21" s="195" t="str">
        <f>IFERROR((((COUNTIF('Elève (4ème2)'!ML21:MO21,"A"))*4)+((COUNTIF('Elève (4ème2)'!ML21:MO21,"B"))*3)+((COUNTIF('Elève (4ème2)'!ML21:MO21,"C"))*2)+((COUNTIF('Elève (4ème2)'!ML21:MO21,"D"))*1))/(COUNTA(ML21:MO21)),"")</f>
        <v/>
      </c>
      <c r="MQ21" s="196" t="str">
        <f t="shared" si="73"/>
        <v/>
      </c>
      <c r="MR21" s="153"/>
      <c r="MS21" s="154"/>
      <c r="MT21" s="155"/>
      <c r="MU21" s="159"/>
      <c r="MV21" s="195" t="str">
        <f>IFERROR((((COUNTIF('Elève (4ème2)'!MR21:MU21,"A"))*4)+((COUNTIF('Elève (4ème2)'!MR21:MU21,"B"))*3)+((COUNTIF('Elève (4ème2)'!MR21:MU21,"C"))*2)+((COUNTIF('Elève (4ème2)'!MR21:MU21,"D"))*1))/(COUNTA(MR21:MU21)),"")</f>
        <v/>
      </c>
      <c r="MW21" s="196" t="str">
        <f t="shared" si="74"/>
        <v/>
      </c>
      <c r="MX21" s="195" t="str">
        <f>IF(COUNT(MJ21,MP21,MV21)=0,"",SUM(MJ21,MP21,MV21)/COUNT(MJ21,MP21,MV21))</f>
        <v/>
      </c>
      <c r="MY21" s="220" t="str">
        <f t="shared" si="75"/>
        <v/>
      </c>
      <c r="MZ21" s="153"/>
      <c r="NA21" s="154"/>
      <c r="NB21" s="155"/>
      <c r="NC21" s="195" t="str">
        <f>IFERROR((((COUNTIF('Elève (4ème2)'!MZ21:NB21,"A"))*4)+((COUNTIF('Elève (4ème2)'!MZ21:NB21,"B"))*3)+((COUNTIF('Elève (4ème2)'!MZ21:NB21,"C"))*2)+((COUNTIF('Elève (4ème2)'!MZ21:NB21,"D"))*1))/(COUNTA(MZ21:NB21)),"")</f>
        <v/>
      </c>
      <c r="ND21" s="196" t="str">
        <f t="shared" si="76"/>
        <v/>
      </c>
      <c r="NE21" s="153"/>
      <c r="NF21" s="154"/>
      <c r="NG21" s="155"/>
      <c r="NH21" s="155"/>
      <c r="NI21" s="195" t="str">
        <f>IFERROR((((COUNTIF('Elève (4ème2)'!NE21:NH21,"A"))*4)+((COUNTIF('Elève (4ème2)'!NE21:NH21,"B"))*3)+((COUNTIF('Elève (4ème2)'!NE21:NH21,"C"))*2)+((COUNTIF('Elève (4ème2)'!NE21:NH21,"D"))*1))/(COUNTA(NE21:NH21)),"")</f>
        <v/>
      </c>
      <c r="NJ21" s="196" t="str">
        <f t="shared" si="77"/>
        <v/>
      </c>
      <c r="NK21" s="153"/>
      <c r="NL21" s="154"/>
      <c r="NM21" s="155"/>
      <c r="NN21" s="159"/>
      <c r="NO21" s="195" t="str">
        <f>IFERROR((((COUNTIF('Elève (4ème2)'!NK21:NN21,"A"))*4)+((COUNTIF('Elève (4ème2)'!NK21:NN21,"B"))*3)+((COUNTIF('Elève (4ème2)'!NK21:NN21,"C"))*2)+((COUNTIF('Elève (4ème2)'!NK21:NN21,"D"))*1))/(COUNTA(NK21:NN21)),"")</f>
        <v/>
      </c>
      <c r="NP21" s="196" t="str">
        <f t="shared" si="78"/>
        <v/>
      </c>
      <c r="NQ21" s="195" t="str">
        <f>IF(COUNT(NC21,NI21,NO21)=0,"",SUM(NC21,NI21,NO21)/COUNT(NC21,NI21,NO21))</f>
        <v/>
      </c>
      <c r="NR21" s="220" t="str">
        <f t="shared" si="79"/>
        <v/>
      </c>
      <c r="NS21" s="153"/>
      <c r="NT21" s="154"/>
      <c r="NU21" s="155"/>
      <c r="NV21" s="195" t="str">
        <f>IFERROR((((COUNTIF('Elève (4ème2)'!NS21:NU21,"A"))*4)+((COUNTIF('Elève (4ème2)'!NS21:NU21,"B"))*3)+((COUNTIF('Elève (4ème2)'!NS21:NU21,"C"))*2)+((COUNTIF('Elève (4ème2)'!NS21:NU21,"D"))*1))/(COUNTA(NS21:NU21)),"")</f>
        <v/>
      </c>
      <c r="NW21" s="196" t="str">
        <f t="shared" si="80"/>
        <v/>
      </c>
      <c r="NX21" s="153"/>
      <c r="NY21" s="154"/>
      <c r="NZ21" s="155"/>
      <c r="OA21" s="155"/>
      <c r="OB21" s="195" t="str">
        <f>IFERROR((((COUNTIF('Elève (4ème2)'!NX21:OA21,"A"))*4)+((COUNTIF('Elève (4ème2)'!NX21:OA21,"B"))*3)+((COUNTIF('Elève (4ème2)'!NX21:OA21,"C"))*2)+((COUNTIF('Elève (4ème2)'!NX21:OA21,"D"))*1))/(COUNTA(NX21:OA21)),"")</f>
        <v/>
      </c>
      <c r="OC21" s="196" t="str">
        <f t="shared" si="81"/>
        <v/>
      </c>
      <c r="OD21" s="153"/>
      <c r="OE21" s="154"/>
      <c r="OF21" s="155"/>
      <c r="OG21" s="159"/>
      <c r="OH21" s="195" t="str">
        <f>IFERROR((((COUNTIF('Elève (4ème2)'!OD21:OG21,"A"))*4)+((COUNTIF('Elève (4ème2)'!OD21:OG21,"B"))*3)+((COUNTIF('Elève (4ème2)'!OD21:OG21,"C"))*2)+((COUNTIF('Elève (4ème2)'!OD21:OG21,"D"))*1))/(COUNTA(OD21:OG21)),"")</f>
        <v/>
      </c>
      <c r="OI21" s="196" t="str">
        <f t="shared" si="82"/>
        <v/>
      </c>
      <c r="OJ21" s="195" t="str">
        <f>IF(COUNT(NV21,OB21,OH21)=0,"",SUM(NV21,OB21,OH21)/COUNT(NV21,OB21,OH21))</f>
        <v/>
      </c>
      <c r="OK21" s="220" t="str">
        <f t="shared" si="83"/>
        <v/>
      </c>
      <c r="OL21" s="153"/>
      <c r="OM21" s="154"/>
      <c r="ON21" s="155"/>
      <c r="OO21" s="195" t="str">
        <f>IFERROR((((COUNTIF('Elève (4ème2)'!OL21:ON21,"A"))*4)+((COUNTIF('Elève (4ème2)'!OL21:ON21,"B"))*3)+((COUNTIF('Elève (4ème2)'!OL21:ON21,"C"))*2)+((COUNTIF('Elève (4ème2)'!OL21:ON21,"D"))*1))/(COUNTA(OL21:ON21)),"")</f>
        <v/>
      </c>
      <c r="OP21" s="196" t="str">
        <f t="shared" si="84"/>
        <v/>
      </c>
      <c r="OQ21" s="153"/>
      <c r="OR21" s="154"/>
      <c r="OS21" s="155"/>
      <c r="OT21" s="155"/>
      <c r="OU21" s="195" t="str">
        <f>IFERROR((((COUNTIF('Elève (4ème2)'!OQ21:OT21,"A"))*4)+((COUNTIF('Elève (4ème2)'!OQ21:OT21,"B"))*3)+((COUNTIF('Elève (4ème2)'!OQ21:OT21,"C"))*2)+((COUNTIF('Elève (4ème2)'!OQ21:OT21,"D"))*1))/(COUNTA(OQ21:OT21)),"")</f>
        <v/>
      </c>
      <c r="OV21" s="196" t="str">
        <f t="shared" si="85"/>
        <v/>
      </c>
      <c r="OW21" s="153"/>
      <c r="OX21" s="154"/>
      <c r="OY21" s="155"/>
      <c r="OZ21" s="159"/>
      <c r="PA21" s="195" t="str">
        <f>IFERROR((((COUNTIF('Elève (4ème2)'!OW21:OZ21,"A"))*4)+((COUNTIF('Elève (4ème2)'!OW21:OZ21,"B"))*3)+((COUNTIF('Elève (4ème2)'!OW21:OZ21,"C"))*2)+((COUNTIF('Elève (4ème2)'!OW21:OZ21,"D"))*1))/(COUNTA(OW21:OZ21)),"")</f>
        <v/>
      </c>
      <c r="PB21" s="196" t="str">
        <f t="shared" si="86"/>
        <v/>
      </c>
      <c r="PC21" s="195" t="str">
        <f>IF(COUNT(OO21,OU21,PA21)=0,"",SUM(OO21,OU21,PA21)/COUNT(OO21,OU21,PA21))</f>
        <v/>
      </c>
      <c r="PD21" s="220" t="str">
        <f t="shared" si="87"/>
        <v/>
      </c>
      <c r="PE21" s="153"/>
      <c r="PF21" s="154"/>
      <c r="PG21" s="155"/>
      <c r="PH21" s="195" t="str">
        <f>IFERROR((((COUNTIF('Elève (4ème2)'!PE21:PG21,"A"))*4)+((COUNTIF('Elève (4ème2)'!PE21:PG21,"B"))*3)+((COUNTIF('Elève (4ème2)'!PE21:PG21,"C"))*2)+((COUNTIF('Elève (4ème2)'!PE21:PG21,"D"))*1))/(COUNTA(PE21:PG21)),"")</f>
        <v/>
      </c>
      <c r="PI21" s="196" t="str">
        <f t="shared" si="88"/>
        <v/>
      </c>
      <c r="PJ21" s="153"/>
      <c r="PK21" s="154"/>
      <c r="PL21" s="155"/>
      <c r="PM21" s="155"/>
      <c r="PN21" s="195" t="str">
        <f>IFERROR((((COUNTIF('Elève (4ème2)'!PJ21:PM21,"A"))*4)+((COUNTIF('Elève (4ème2)'!PJ21:PM21,"B"))*3)+((COUNTIF('Elève (4ème2)'!PJ21:PM21,"C"))*2)+((COUNTIF('Elève (4ème2)'!PJ21:PM21,"D"))*1))/(COUNTA(PJ21:PM21)),"")</f>
        <v/>
      </c>
      <c r="PO21" s="196" t="str">
        <f t="shared" si="89"/>
        <v/>
      </c>
      <c r="PP21" s="153"/>
      <c r="PQ21" s="154"/>
      <c r="PR21" s="155"/>
      <c r="PS21" s="159"/>
      <c r="PT21" s="195" t="str">
        <f>IFERROR((((COUNTIF('Elève (4ème2)'!PP21:PS21,"A"))*4)+((COUNTIF('Elève (4ème2)'!PP21:PS21,"B"))*3)+((COUNTIF('Elève (4ème2)'!PP21:PS21,"C"))*2)+((COUNTIF('Elève (4ème2)'!PP21:PS21,"D"))*1))/(COUNTA(PP21:PS21)),"")</f>
        <v/>
      </c>
      <c r="PU21" s="196" t="str">
        <f t="shared" si="90"/>
        <v/>
      </c>
      <c r="PV21" s="195" t="str">
        <f>IF(COUNT(PH21,PN21,PT21)=0,"",SUM(PH21,PN21,PT21)/COUNT(PH21,PN21,PT21))</f>
        <v/>
      </c>
      <c r="PW21" s="220" t="str">
        <f t="shared" si="91"/>
        <v/>
      </c>
      <c r="PX21" s="153"/>
      <c r="PY21" s="154"/>
      <c r="PZ21" s="155"/>
      <c r="QA21" s="195" t="str">
        <f>IFERROR((((COUNTIF('Elève (4ème2)'!PX21:PZ21,"A"))*4)+((COUNTIF('Elève (4ème2)'!PX21:PZ21,"B"))*3)+((COUNTIF('Elève (4ème2)'!PX21:PZ21,"C"))*2)+((COUNTIF('Elève (4ème2)'!PX21:PZ21,"D"))*1))/(COUNTA(PX21:PZ21)),"")</f>
        <v/>
      </c>
      <c r="QB21" s="196" t="str">
        <f t="shared" si="92"/>
        <v/>
      </c>
      <c r="QC21" s="153"/>
      <c r="QD21" s="154"/>
      <c r="QE21" s="155"/>
      <c r="QF21" s="155"/>
      <c r="QG21" s="195" t="str">
        <f>IFERROR((((COUNTIF('Elève (4ème2)'!QC21:QF21,"A"))*4)+((COUNTIF('Elève (4ème2)'!QC21:QF21,"B"))*3)+((COUNTIF('Elève (4ème2)'!QC21:QF21,"C"))*2)+((COUNTIF('Elève (4ème2)'!QC21:QF21,"D"))*1))/(COUNTA(QC21:QF21)),"")</f>
        <v/>
      </c>
      <c r="QH21" s="196" t="str">
        <f t="shared" si="93"/>
        <v/>
      </c>
      <c r="QI21" s="153"/>
      <c r="QJ21" s="154"/>
      <c r="QK21" s="155"/>
      <c r="QL21" s="159"/>
      <c r="QM21" s="195" t="str">
        <f>IFERROR((((COUNTIF('Elève (4ème2)'!QI21:QL21,"A"))*4)+((COUNTIF('Elève (4ème2)'!QI21:QL21,"B"))*3)+((COUNTIF('Elève (4ème2)'!QI21:QL21,"C"))*2)+((COUNTIF('Elève (4ème2)'!QI21:QL21,"D"))*1))/(COUNTA(QI21:QL21)),"")</f>
        <v/>
      </c>
      <c r="QN21" s="196" t="str">
        <f t="shared" si="94"/>
        <v/>
      </c>
      <c r="QO21" s="195" t="str">
        <f>IF(COUNT(QA21,QG21,QM21)=0,"",SUM(QA21,QG21,QM21)/COUNT(QA21,QG21,QM21))</f>
        <v/>
      </c>
      <c r="QP21" s="220" t="str">
        <f t="shared" si="95"/>
        <v/>
      </c>
      <c r="QQ21" s="153"/>
      <c r="QR21" s="154"/>
      <c r="QS21" s="155"/>
      <c r="QT21" s="195" t="str">
        <f>IFERROR((((COUNTIF('Elève (4ème2)'!QQ21:QS21,"A"))*4)+((COUNTIF('Elève (4ème2)'!QQ21:QS21,"B"))*3)+((COUNTIF('Elève (4ème2)'!QQ21:QS21,"C"))*2)+((COUNTIF('Elève (4ème2)'!QQ21:QS21,"D"))*1))/(COUNTA(QQ21:QS21)),"")</f>
        <v/>
      </c>
      <c r="QU21" s="196" t="str">
        <f t="shared" si="96"/>
        <v/>
      </c>
      <c r="QV21" s="153"/>
      <c r="QW21" s="154"/>
      <c r="QX21" s="155"/>
      <c r="QY21" s="155"/>
      <c r="QZ21" s="195" t="str">
        <f>IFERROR((((COUNTIF('Elève (4ème2)'!QV21:QY21,"A"))*4)+((COUNTIF('Elève (4ème2)'!QV21:QY21,"B"))*3)+((COUNTIF('Elève (4ème2)'!QV21:QY21,"C"))*2)+((COUNTIF('Elève (4ème2)'!QV21:QY21,"D"))*1))/(COUNTA(QV21:QY21)),"")</f>
        <v/>
      </c>
      <c r="RA21" s="196" t="str">
        <f t="shared" si="97"/>
        <v/>
      </c>
      <c r="RB21" s="153"/>
      <c r="RC21" s="154"/>
      <c r="RD21" s="155"/>
      <c r="RE21" s="159"/>
      <c r="RF21" s="195" t="str">
        <f>IFERROR((((COUNTIF('Elève (4ème2)'!RB21:RE21,"A"))*4)+((COUNTIF('Elève (4ème2)'!RB21:RE21,"B"))*3)+((COUNTIF('Elève (4ème2)'!RB21:RE21,"C"))*2)+((COUNTIF('Elève (4ème2)'!RB21:RE21,"D"))*1))/(COUNTA(RB21:RE21)),"")</f>
        <v/>
      </c>
      <c r="RG21" s="196" t="str">
        <f t="shared" si="98"/>
        <v/>
      </c>
      <c r="RH21" s="195" t="str">
        <f>IF(COUNT(QT21,QZ21,RF21)=0,"",SUM(QT21,QZ21,RF21)/COUNT(QT21,QZ21,RF21))</f>
        <v/>
      </c>
      <c r="RI21" s="220" t="str">
        <f t="shared" si="99"/>
        <v/>
      </c>
      <c r="RJ21" s="153"/>
      <c r="RK21" s="154"/>
      <c r="RL21" s="155"/>
      <c r="RM21" s="195" t="str">
        <f>IFERROR((((COUNTIF('Elève (4ème2)'!RJ21:RL21,"A"))*4)+((COUNTIF('Elève (4ème2)'!RJ21:RL21,"B"))*3)+((COUNTIF('Elève (4ème2)'!RJ21:RL21,"C"))*2)+((COUNTIF('Elève (4ème2)'!RJ21:RL21,"D"))*1))/(COUNTA(RJ21:RL21)),"")</f>
        <v/>
      </c>
      <c r="RN21" s="196" t="str">
        <f t="shared" si="100"/>
        <v/>
      </c>
      <c r="RO21" s="153"/>
      <c r="RP21" s="154"/>
      <c r="RQ21" s="155"/>
      <c r="RR21" s="155"/>
      <c r="RS21" s="195" t="str">
        <f>IFERROR((((COUNTIF('Elève (4ème2)'!RO21:RR21,"A"))*4)+((COUNTIF('Elève (4ème2)'!RO21:RR21,"B"))*3)+((COUNTIF('Elève (4ème2)'!RO21:RR21,"C"))*2)+((COUNTIF('Elève (4ème2)'!RO21:RR21,"D"))*1))/(COUNTA(RO21:RR21)),"")</f>
        <v/>
      </c>
      <c r="RT21" s="196" t="str">
        <f t="shared" si="101"/>
        <v/>
      </c>
      <c r="RU21" s="153"/>
      <c r="RV21" s="154"/>
      <c r="RW21" s="155"/>
      <c r="RX21" s="159"/>
      <c r="RY21" s="195" t="str">
        <f>IFERROR((((COUNTIF('Elève (4ème2)'!RU21:RX21,"A"))*4)+((COUNTIF('Elève (4ème2)'!RU21:RX21,"B"))*3)+((COUNTIF('Elève (4ème2)'!RU21:RX21,"C"))*2)+((COUNTIF('Elève (4ème2)'!RU21:RX21,"D"))*1))/(COUNTA(RU21:RX21)),"")</f>
        <v/>
      </c>
      <c r="RZ21" s="196" t="str">
        <f t="shared" si="102"/>
        <v/>
      </c>
      <c r="SA21" s="195" t="str">
        <f>IF(COUNT(RM21,RS21,RY21)=0,"",SUM(RM21,RS21,RY21)/COUNT(RM21,RS21,RY21))</f>
        <v/>
      </c>
      <c r="SB21" s="220" t="str">
        <f t="shared" si="103"/>
        <v/>
      </c>
      <c r="SC21" s="153"/>
      <c r="SD21" s="154"/>
      <c r="SE21" s="155"/>
      <c r="SF21" s="195" t="str">
        <f>IFERROR((((COUNTIF('Elève (4ème2)'!SC21:SE21,"A"))*4)+((COUNTIF('Elève (4ème2)'!SC21:SE21,"B"))*3)+((COUNTIF('Elève (4ème2)'!SC21:SE21,"C"))*2)+((COUNTIF('Elève (4ème2)'!SC21:SE21,"D"))*1))/(COUNTA(SC21:SE21)),"")</f>
        <v/>
      </c>
      <c r="SG21" s="196" t="str">
        <f t="shared" si="104"/>
        <v/>
      </c>
      <c r="SH21" s="153"/>
      <c r="SI21" s="154"/>
      <c r="SJ21" s="155"/>
      <c r="SK21" s="155"/>
      <c r="SL21" s="195" t="str">
        <f>IFERROR((((COUNTIF('Elève (4ème2)'!SH21:SK21,"A"))*4)+((COUNTIF('Elève (4ème2)'!SH21:SK21,"B"))*3)+((COUNTIF('Elève (4ème2)'!SH21:SK21,"C"))*2)+((COUNTIF('Elève (4ème2)'!SH21:SK21,"D"))*1))/(COUNTA(SH21:SK21)),"")</f>
        <v/>
      </c>
      <c r="SM21" s="196" t="str">
        <f t="shared" si="105"/>
        <v/>
      </c>
      <c r="SN21" s="153"/>
      <c r="SO21" s="154"/>
      <c r="SP21" s="155"/>
      <c r="SQ21" s="159"/>
      <c r="SR21" s="195" t="str">
        <f>IFERROR((((COUNTIF('Elève (4ème2)'!SN21:SQ21,"A"))*4)+((COUNTIF('Elève (4ème2)'!SN21:SQ21,"B"))*3)+((COUNTIF('Elève (4ème2)'!SN21:SQ21,"C"))*2)+((COUNTIF('Elève (4ème2)'!SN21:SQ21,"D"))*1))/(COUNTA(SN21:SQ21)),"")</f>
        <v/>
      </c>
      <c r="SS21" s="196" t="str">
        <f t="shared" si="106"/>
        <v/>
      </c>
      <c r="ST21" s="195" t="str">
        <f>IF(COUNT(SF21,SL21,SR21)=0,"",SUM(SF21,SL21,SR21)/COUNT(SF21,SL21,SR21))</f>
        <v/>
      </c>
      <c r="SU21" s="220" t="str">
        <f t="shared" si="107"/>
        <v/>
      </c>
      <c r="SV21" s="153"/>
      <c r="SW21" s="154"/>
      <c r="SX21" s="155"/>
      <c r="SY21" s="156" t="str">
        <f>IFERROR((((COUNTIF('Elève (4ème2)'!SV21:SX21,"A"))*4)+((COUNTIF('Elève (4ème2)'!SV21:SX21,"B"))*3)+((COUNTIF('Elève (4ème2)'!SV21:SX21,"C"))*2)+((COUNTIF('Elève (4ème2)'!SV21:SX21,"D"))*1))/(COUNTA(SV21:SX21)),"")</f>
        <v/>
      </c>
      <c r="SZ21" s="157" t="str">
        <f t="shared" si="108"/>
        <v/>
      </c>
      <c r="TA21" s="153"/>
      <c r="TB21" s="154"/>
      <c r="TC21" s="155"/>
      <c r="TD21" s="156" t="str">
        <f>IFERROR((((COUNTIF('Elève (4ème2)'!TA21:TC21,"A"))*4)+((COUNTIF('Elève (4ème2)'!TA21:TC21,"B"))*3)+((COUNTIF('Elève (4ème2)'!TA21:TC21,"C"))*2)+((COUNTIF('Elève (4ème2)'!TA21:TC21,"D"))*1))/(COUNTA(TA21:TC21)),"")</f>
        <v/>
      </c>
      <c r="TE21" s="157" t="str">
        <f t="shared" si="109"/>
        <v/>
      </c>
      <c r="TF21" s="153"/>
      <c r="TG21" s="154"/>
      <c r="TH21" s="159"/>
      <c r="TI21" s="156" t="str">
        <f>IFERROR((((COUNTIF('Elève (4ème2)'!TF21:TH21,"A"))*4)+((COUNTIF('Elève (4ème2)'!TF21:TH21,"B"))*3)+((COUNTIF('Elève (4ème2)'!TF21:TH21,"C"))*2)+((COUNTIF('Elève (4ème2)'!TF21:TH21,"D"))*1))/(COUNTA(TF21:TH21)),"")</f>
        <v/>
      </c>
      <c r="TJ21" s="157" t="str">
        <f t="shared" si="110"/>
        <v/>
      </c>
      <c r="TK21" s="156" t="str">
        <f>IF(COUNT(SY21,TD21,TI21)=0,"",SUM(SY21,TD21,TI21)/COUNT(SY21,TD21,TI21))</f>
        <v/>
      </c>
      <c r="TL21" s="158" t="str">
        <f t="shared" si="111"/>
        <v/>
      </c>
      <c r="TM21" s="153"/>
      <c r="TN21" s="154"/>
      <c r="TO21" s="155"/>
      <c r="TP21" s="156" t="str">
        <f>IFERROR((((COUNTIF('Elève (4ème2)'!TM21:TO21,"A"))*4)+((COUNTIF('Elève (4ème2)'!TM21:TO21,"B"))*3)+((COUNTIF('Elève (4ème2)'!TM21:TO21,"C"))*2)+((COUNTIF('Elève (4ème2)'!TM21:TO21,"D"))*1))/(COUNTA(TM21:TO21)),"")</f>
        <v/>
      </c>
      <c r="TQ21" s="157" t="str">
        <f t="shared" si="112"/>
        <v/>
      </c>
      <c r="TR21" s="153"/>
      <c r="TS21" s="154"/>
      <c r="TT21" s="155"/>
      <c r="TU21" s="156" t="str">
        <f>IFERROR((((COUNTIF('Elève (4ème2)'!TR21:TT21,"A"))*4)+((COUNTIF('Elève (4ème2)'!TR21:TT21,"B"))*3)+((COUNTIF('Elève (4ème2)'!TR21:TT21,"C"))*2)+((COUNTIF('Elève (4ème2)'!TR21:TT21,"D"))*1))/(COUNTA(TR21:TT21)),"")</f>
        <v/>
      </c>
      <c r="TV21" s="157" t="str">
        <f t="shared" si="113"/>
        <v/>
      </c>
      <c r="TW21" s="153"/>
      <c r="TX21" s="154"/>
      <c r="TY21" s="159"/>
      <c r="TZ21" s="156" t="str">
        <f>IFERROR((((COUNTIF('Elève (4ème2)'!TW21:TY21,"A"))*4)+((COUNTIF('Elève (4ème2)'!TW21:TY21,"B"))*3)+((COUNTIF('Elève (4ème2)'!TW21:TY21,"C"))*2)+((COUNTIF('Elève (4ème2)'!TW21:TY21,"D"))*1))/(COUNTA(TW21:TY21)),"")</f>
        <v/>
      </c>
      <c r="UA21" s="157" t="str">
        <f t="shared" si="114"/>
        <v/>
      </c>
      <c r="UB21" s="156" t="str">
        <f>IF(COUNT(TP21,TU21,TZ21)=0,"",SUM(TP21,TU21,TZ21)/COUNT(TP21,TU21,TZ21))</f>
        <v/>
      </c>
      <c r="UC21" s="158" t="str">
        <f t="shared" si="115"/>
        <v/>
      </c>
      <c r="UD21" s="153"/>
      <c r="UE21" s="154"/>
      <c r="UF21" s="155"/>
      <c r="UG21" s="156" t="str">
        <f>IFERROR((((COUNTIF('Elève (4ème2)'!UD21:UF21,"A"))*4)+((COUNTIF('Elève (4ème2)'!UD21:UF21,"B"))*3)+((COUNTIF('Elève (4ème2)'!UD21:UF21,"C"))*2)+((COUNTIF('Elève (4ème2)'!UD21:UF21,"D"))*1))/(COUNTA(UD21:UF21)),"")</f>
        <v/>
      </c>
      <c r="UH21" s="157" t="str">
        <f t="shared" si="116"/>
        <v/>
      </c>
      <c r="UI21" s="153"/>
      <c r="UJ21" s="154"/>
      <c r="UK21" s="155"/>
      <c r="UL21" s="156" t="str">
        <f>IFERROR((((COUNTIF('Elève (4ème2)'!UI21:UK21,"A"))*4)+((COUNTIF('Elève (4ème2)'!UI21:UK21,"B"))*3)+((COUNTIF('Elève (4ème2)'!UI21:UK21,"C"))*2)+((COUNTIF('Elève (4ème2)'!UI21:UK21,"D"))*1))/(COUNTA(UI21:UK21)),"")</f>
        <v/>
      </c>
      <c r="UM21" s="157" t="str">
        <f t="shared" si="117"/>
        <v/>
      </c>
      <c r="UN21" s="153"/>
      <c r="UO21" s="154"/>
      <c r="UP21" s="159"/>
      <c r="UQ21" s="156" t="str">
        <f>IFERROR((((COUNTIF('Elève (4ème2)'!UN21:UP21,"A"))*4)+((COUNTIF('Elève (4ème2)'!UN21:UP21,"B"))*3)+((COUNTIF('Elève (4ème2)'!UN21:UP21,"C"))*2)+((COUNTIF('Elève (4ème2)'!UN21:UP21,"D"))*1))/(COUNTA(UN21:UP21)),"")</f>
        <v/>
      </c>
      <c r="UR21" s="157" t="str">
        <f t="shared" si="118"/>
        <v/>
      </c>
      <c r="US21" s="156" t="str">
        <f>IF(COUNT(UG21,UL21,UQ21)=0,"",SUM(UG21,UL21,UQ21)/COUNT(UG21,UL21,UQ21))</f>
        <v/>
      </c>
      <c r="UT21" s="158" t="str">
        <f t="shared" si="119"/>
        <v/>
      </c>
    </row>
    <row r="22" spans="1:566" ht="15.75" thickBot="1" x14ac:dyDescent="0.3">
      <c r="A22" s="248" t="s">
        <v>28</v>
      </c>
      <c r="B22" s="249"/>
      <c r="C22" s="160"/>
      <c r="D22" s="160"/>
      <c r="E22" s="160"/>
      <c r="F22" s="197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2.4814814814814814</v>
      </c>
      <c r="G22" s="198">
        <f>IF(F22="","",F22*5)</f>
        <v>12.407407407407407</v>
      </c>
      <c r="H22" s="82"/>
      <c r="I22" s="82"/>
      <c r="J22" s="82"/>
      <c r="K22" s="82"/>
      <c r="L22" s="197">
        <f>IF(COUNT(L20,L16,L13,L10,L4)=0,"",SUM($B$4*IF(COUNT(L4)=0,0,L4),$B$10*IF(COUNT(L10)=0,0,L10),$B$13*IF(COUNT(L13)=0,0,L13),$B$16*IF(COUNT(L16)=0,0,L16),$B$20*IF(COUNT(L20)=0,0,L20))/SUM($B$4*COUNT(L4),$B$10*COUNT(L10),$B$13*COUNT(L13),$B$16*COUNT(L16),$B$20*COUNT(L20)))</f>
        <v>2.3333333333333335</v>
      </c>
      <c r="M22" s="204">
        <f>IF(L22="","",L22*5)</f>
        <v>11.666666666666668</v>
      </c>
      <c r="N22" s="82"/>
      <c r="O22" s="82"/>
      <c r="P22" s="82"/>
      <c r="Q22" s="82"/>
      <c r="R22" s="197" t="str">
        <f>IF(COUNT(R20,R16,R13,R10,R4)=0,"",SUM($B$4*IF(COUNT(R4)=0,0,R4),$B$10*IF(COUNT(R10)=0,0,R10),$B$13*IF(COUNT(R13)=0,0,R13),$B$16*IF(COUNT(R16)=0,0,R16),$B$20*IF(COUNT(R20)=0,0,R20))/SUM($B$4*COUNT(R4),$B$10*COUNT(R10),$B$13*COUNT(R13),$B$16*COUNT(R16),$B$20*COUNT(R20)))</f>
        <v/>
      </c>
      <c r="S22" s="221" t="str">
        <f>IF(R22="","",R22*5)</f>
        <v/>
      </c>
      <c r="T22" s="184"/>
      <c r="U22" s="184"/>
      <c r="V22" s="160"/>
      <c r="W22" s="160"/>
      <c r="X22" s="160"/>
      <c r="Y22" s="197">
        <f>IF(COUNT(Y20,Y16,Y13,Y10,Y4)=0,"",SUM($B$4*IF(COUNT(Y4)=0,0,Y4),$B$10*IF(COUNT(Y10)=0,0,Y10),$B$13*IF(COUNT(Y13)=0,0,Y13),$B$16*IF(COUNT(Y16)=0,0,Y16),$B$20*IF(COUNT(Y20)=0,0,Y20))/SUM($B$4*COUNT(Y4),$B$10*COUNT(Y10),$B$13*COUNT(Y13),$B$16*COUNT(Y16),$B$20*COUNT(Y20)))</f>
        <v>2.4444444444444446</v>
      </c>
      <c r="Z22" s="198">
        <f>IF(Y22="","",Y22*5)</f>
        <v>12.222222222222223</v>
      </c>
      <c r="AA22" s="82"/>
      <c r="AB22" s="82"/>
      <c r="AC22" s="82"/>
      <c r="AD22" s="82"/>
      <c r="AE22" s="197">
        <f>IF(COUNT(AE20,AE16,AE13,AE10,AE4)=0,"",SUM($B$4*IF(COUNT(AE4)=0,0,AE4),$B$10*IF(COUNT(AE10)=0,0,AE10),$B$13*IF(COUNT(AE13)=0,0,AE13),$B$16*IF(COUNT(AE16)=0,0,AE16),$B$20*IF(COUNT(AE20)=0,0,AE20))/SUM($B$4*COUNT(AE4),$B$10*COUNT(AE10),$B$13*COUNT(AE13),$B$16*COUNT(AE16),$B$20*COUNT(AE20)))</f>
        <v>2.5185185185185186</v>
      </c>
      <c r="AF22" s="204">
        <f>IF(AE22="","",AE22*5)</f>
        <v>12.592592592592593</v>
      </c>
      <c r="AG22" s="82"/>
      <c r="AH22" s="82"/>
      <c r="AI22" s="82"/>
      <c r="AJ22" s="82"/>
      <c r="AK22" s="197" t="str">
        <f>IF(COUNT(AK20,AK16,AK13,AK10,AK4)=0,"",SUM($B$4*IF(COUNT(AK4)=0,0,AK4),$B$10*IF(COUNT(AK10)=0,0,AK10),$B$13*IF(COUNT(AK13)=0,0,AK13),$B$16*IF(COUNT(AK16)=0,0,AK16),$B$20*IF(COUNT(AK20)=0,0,AK20))/SUM($B$4*COUNT(AK4),$B$10*COUNT(AK10),$B$13*COUNT(AK13),$B$16*COUNT(AK16),$B$20*COUNT(AK20)))</f>
        <v/>
      </c>
      <c r="AL22" s="221" t="str">
        <f>IF(AK22="","",AK22*5)</f>
        <v/>
      </c>
      <c r="AM22" s="184"/>
      <c r="AN22" s="184"/>
      <c r="AO22" s="160"/>
      <c r="AP22" s="160"/>
      <c r="AQ22" s="160"/>
      <c r="AR22" s="197">
        <f>IF(COUNT(AR20,AR16,AR13,AR10,AR4)=0,"",SUM($B$4*IF(COUNT(AR4)=0,0,AR4),$B$10*IF(COUNT(AR10)=0,0,AR10),$B$13*IF(COUNT(AR13)=0,0,AR13),$B$16*IF(COUNT(AR16)=0,0,AR16),$B$20*IF(COUNT(AR20)=0,0,AR20))/SUM($B$4*COUNT(AR4),$B$10*COUNT(AR10),$B$13*COUNT(AR13),$B$16*COUNT(AR16),$B$20*COUNT(AR20)))</f>
        <v>2.4629629629629628</v>
      </c>
      <c r="AS22" s="198">
        <f>IF(AR22="","",AR22*5)</f>
        <v>12.314814814814813</v>
      </c>
      <c r="AT22" s="82"/>
      <c r="AU22" s="82"/>
      <c r="AV22" s="82"/>
      <c r="AW22" s="82"/>
      <c r="AX22" s="197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>2.2685185185185186</v>
      </c>
      <c r="AY22" s="204">
        <f>IF(AX22="","",AX22*5)</f>
        <v>11.342592592592593</v>
      </c>
      <c r="AZ22" s="82"/>
      <c r="BA22" s="82"/>
      <c r="BB22" s="82"/>
      <c r="BC22" s="82"/>
      <c r="BD22" s="197" t="str">
        <f>IF(COUNT(BD20,BD16,BD13,BD10,BD4)=0,"",SUM($B$4*IF(COUNT(BD4)=0,0,BD4),$B$10*IF(COUNT(BD10)=0,0,BD10),$B$13*IF(COUNT(BD13)=0,0,BD13),$B$16*IF(COUNT(BD16)=0,0,BD16),$B$20*IF(COUNT(BD20)=0,0,BD20))/SUM($B$4*COUNT(BD4),$B$10*COUNT(BD10),$B$13*COUNT(BD13),$B$16*COUNT(BD16),$B$20*COUNT(BD20)))</f>
        <v/>
      </c>
      <c r="BE22" s="221" t="str">
        <f>IF(BD22="","",BD22*5)</f>
        <v/>
      </c>
      <c r="BF22" s="184"/>
      <c r="BG22" s="184"/>
      <c r="BH22" s="160"/>
      <c r="BI22" s="160"/>
      <c r="BJ22" s="160"/>
      <c r="BK22" s="197">
        <f>IF(COUNT(BK20,BK16,BK13,BK10,BK4)=0,"",SUM($B$4*IF(COUNT(BK4)=0,0,BK4),$B$10*IF(COUNT(BK10)=0,0,BK10),$B$13*IF(COUNT(BK13)=0,0,BK13),$B$16*IF(COUNT(BK16)=0,0,BK16),$B$20*IF(COUNT(BK20)=0,0,BK20))/SUM($B$4*COUNT(BK4),$B$10*COUNT(BK10),$B$13*COUNT(BK13),$B$16*COUNT(BK16),$B$20*COUNT(BK20)))</f>
        <v>2.5370370370370372</v>
      </c>
      <c r="BL22" s="198">
        <f>IF(BK22="","",BK22*5)</f>
        <v>12.685185185185187</v>
      </c>
      <c r="BM22" s="82"/>
      <c r="BN22" s="82"/>
      <c r="BO22" s="82"/>
      <c r="BP22" s="82"/>
      <c r="BQ22" s="197">
        <f>IF(COUNT(BQ20,BQ16,BQ13,BQ10,BQ4)=0,"",SUM($B$4*IF(COUNT(BQ4)=0,0,BQ4),$B$10*IF(COUNT(BQ10)=0,0,BQ10),$B$13*IF(COUNT(BQ13)=0,0,BQ13),$B$16*IF(COUNT(BQ16)=0,0,BQ16),$B$20*IF(COUNT(BQ20)=0,0,BQ20))/SUM($B$4*COUNT(BQ4),$B$10*COUNT(BQ10),$B$13*COUNT(BQ13),$B$16*COUNT(BQ16),$B$20*COUNT(BQ20)))</f>
        <v>2.4722222222222219</v>
      </c>
      <c r="BR22" s="204">
        <f>IF(BQ22="","",BQ22*5)</f>
        <v>12.361111111111109</v>
      </c>
      <c r="BS22" s="82"/>
      <c r="BT22" s="82"/>
      <c r="BU22" s="82"/>
      <c r="BV22" s="82"/>
      <c r="BW22" s="197" t="str">
        <f>IF(COUNT(BW20,BW16,BW13,BW10,BW4)=0,"",SUM($B$4*IF(COUNT(BW4)=0,0,BW4),$B$10*IF(COUNT(BW10)=0,0,BW10),$B$13*IF(COUNT(BW13)=0,0,BW13),$B$16*IF(COUNT(BW16)=0,0,BW16),$B$20*IF(COUNT(BW20)=0,0,BW20))/SUM($B$4*COUNT(BW4),$B$10*COUNT(BW10),$B$13*COUNT(BW13),$B$16*COUNT(BW16),$B$20*COUNT(BW20)))</f>
        <v/>
      </c>
      <c r="BX22" s="221" t="str">
        <f>IF(BW22="","",BW22*5)</f>
        <v/>
      </c>
      <c r="BY22" s="184"/>
      <c r="BZ22" s="184"/>
      <c r="CA22" s="160"/>
      <c r="CB22" s="160"/>
      <c r="CC22" s="160"/>
      <c r="CD22" s="197">
        <f>IF(COUNT(CD20,CD16,CD13,CD10,CD4)=0,"",SUM($B$4*IF(COUNT(CD4)=0,0,CD4),$B$10*IF(COUNT(CD10)=0,0,CD10),$B$13*IF(COUNT(CD13)=0,0,CD13),$B$16*IF(COUNT(CD16)=0,0,CD16),$B$20*IF(COUNT(CD20)=0,0,CD20))/SUM($B$4*COUNT(CD4),$B$10*COUNT(CD10),$B$13*COUNT(CD13),$B$16*COUNT(CD16),$B$20*COUNT(CD20)))</f>
        <v>3</v>
      </c>
      <c r="CE22" s="198">
        <f>IF(CD22="","",CD22*5)</f>
        <v>15</v>
      </c>
      <c r="CF22" s="82"/>
      <c r="CG22" s="82"/>
      <c r="CH22" s="82"/>
      <c r="CI22" s="82"/>
      <c r="CJ22" s="197">
        <f>IF(COUNT(CJ20,CJ16,CJ13,CJ10,CJ4)=0,"",SUM($B$4*IF(COUNT(CJ4)=0,0,CJ4),$B$10*IF(COUNT(CJ10)=0,0,CJ10),$B$13*IF(COUNT(CJ13)=0,0,CJ13),$B$16*IF(COUNT(CJ16)=0,0,CJ16),$B$20*IF(COUNT(CJ20)=0,0,CJ20))/SUM($B$4*COUNT(CJ4),$B$10*COUNT(CJ10),$B$13*COUNT(CJ13),$B$16*COUNT(CJ16),$B$20*COUNT(CJ20)))</f>
        <v>3.0833333333333335</v>
      </c>
      <c r="CK22" s="204">
        <f>IF(CJ22="","",CJ22*5)</f>
        <v>15.416666666666668</v>
      </c>
      <c r="CL22" s="82"/>
      <c r="CM22" s="82"/>
      <c r="CN22" s="82"/>
      <c r="CO22" s="82"/>
      <c r="CP22" s="197" t="str">
        <f>IF(COUNT(CP20,CP16,CP13,CP10,CP4)=0,"",SUM($B$4*IF(COUNT(CP4)=0,0,CP4),$B$10*IF(COUNT(CP10)=0,0,CP10),$B$13*IF(COUNT(CP13)=0,0,CP13),$B$16*IF(COUNT(CP16)=0,0,CP16),$B$20*IF(COUNT(CP20)=0,0,CP20))/SUM($B$4*COUNT(CP4),$B$10*COUNT(CP10),$B$13*COUNT(CP13),$B$16*COUNT(CP16),$B$20*COUNT(CP20)))</f>
        <v/>
      </c>
      <c r="CQ22" s="221" t="str">
        <f>IF(CP22="","",CP22*5)</f>
        <v/>
      </c>
      <c r="CR22" s="184"/>
      <c r="CS22" s="184"/>
      <c r="CT22" s="160"/>
      <c r="CU22" s="160"/>
      <c r="CV22" s="160"/>
      <c r="CW22" s="197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>2.7037037037037037</v>
      </c>
      <c r="CX22" s="198">
        <f>IF(CW22="","",CW22*5)</f>
        <v>13.518518518518519</v>
      </c>
      <c r="CY22" s="82"/>
      <c r="CZ22" s="82"/>
      <c r="DA22" s="82"/>
      <c r="DB22" s="82"/>
      <c r="DC22" s="197">
        <f>IF(COUNT(DC20,DC16,DC13,DC10,DC4)=0,"",SUM($B$4*IF(COUNT(DC4)=0,0,DC4),$B$10*IF(COUNT(DC10)=0,0,DC10),$B$13*IF(COUNT(DC13)=0,0,DC13),$B$16*IF(COUNT(DC16)=0,0,DC16),$B$20*IF(COUNT(DC20)=0,0,DC20))/SUM($B$4*COUNT(DC4),$B$10*COUNT(DC10),$B$13*COUNT(DC13),$B$16*COUNT(DC16),$B$20*COUNT(DC20)))</f>
        <v>2.3703703703703702</v>
      </c>
      <c r="DD22" s="204">
        <f>IF(DC22="","",DC22*5)</f>
        <v>11.851851851851851</v>
      </c>
      <c r="DE22" s="82"/>
      <c r="DF22" s="82"/>
      <c r="DG22" s="82"/>
      <c r="DH22" s="82"/>
      <c r="DI22" s="197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221" t="str">
        <f>IF(DI22="","",DI22*5)</f>
        <v/>
      </c>
      <c r="DK22" s="184"/>
      <c r="DL22" s="184"/>
      <c r="DM22" s="160"/>
      <c r="DN22" s="160"/>
      <c r="DO22" s="160"/>
      <c r="DP22" s="197">
        <f>IF(COUNT(DP20,DP16,DP13,DP10,DP4)=0,"",SUM($B$4*IF(COUNT(DP4)=0,0,DP4),$B$10*IF(COUNT(DP10)=0,0,DP10),$B$13*IF(COUNT(DP13)=0,0,DP13),$B$16*IF(COUNT(DP16)=0,0,DP16),$B$20*IF(COUNT(DP20)=0,0,DP20))/SUM($B$4*COUNT(DP4),$B$10*COUNT(DP10),$B$13*COUNT(DP13),$B$16*COUNT(DP16),$B$20*COUNT(DP20)))</f>
        <v>2.8518518518518516</v>
      </c>
      <c r="DQ22" s="198">
        <f>IF(DP22="","",DP22*5)</f>
        <v>14.259259259259258</v>
      </c>
      <c r="DR22" s="82"/>
      <c r="DS22" s="82"/>
      <c r="DT22" s="82"/>
      <c r="DU22" s="82"/>
      <c r="DV22" s="197">
        <f>IF(COUNT(DV20,DV16,DV13,DV10,DV4)=0,"",SUM($B$4*IF(COUNT(DV4)=0,0,DV4),$B$10*IF(COUNT(DV10)=0,0,DV10),$B$13*IF(COUNT(DV13)=0,0,DV13),$B$16*IF(COUNT(DV16)=0,0,DV16),$B$20*IF(COUNT(DV20)=0,0,DV20))/SUM($B$4*COUNT(DV4),$B$10*COUNT(DV10),$B$13*COUNT(DV13),$B$16*COUNT(DV16),$B$20*COUNT(DV20)))</f>
        <v>2.425925925925926</v>
      </c>
      <c r="DW22" s="204">
        <f>IF(DV22="","",DV22*5)</f>
        <v>12.12962962962963</v>
      </c>
      <c r="DX22" s="82"/>
      <c r="DY22" s="82"/>
      <c r="DZ22" s="82"/>
      <c r="EA22" s="82"/>
      <c r="EB22" s="197" t="str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/>
      </c>
      <c r="EC22" s="221" t="str">
        <f>IF(EB22="","",EB22*5)</f>
        <v/>
      </c>
      <c r="ED22" s="184"/>
      <c r="EE22" s="184"/>
      <c r="EF22" s="160"/>
      <c r="EG22" s="160"/>
      <c r="EH22" s="160"/>
      <c r="EI22" s="197">
        <f>IF(COUNT(EI20,EI16,EI13,EI10,EI4)=0,"",SUM($B$4*IF(COUNT(EI4)=0,0,EI4),$B$10*IF(COUNT(EI10)=0,0,EI10),$B$13*IF(COUNT(EI13)=0,0,EI13),$B$16*IF(COUNT(EI16)=0,0,EI16),$B$20*IF(COUNT(EI20)=0,0,EI20))/SUM($B$4*COUNT(EI4),$B$10*COUNT(EI10),$B$13*COUNT(EI13),$B$16*COUNT(EI16),$B$20*COUNT(EI20)))</f>
        <v>3.1851851851851851</v>
      </c>
      <c r="EJ22" s="198">
        <f>IF(EI22="","",EI22*5)</f>
        <v>15.925925925925926</v>
      </c>
      <c r="EK22" s="82"/>
      <c r="EL22" s="82"/>
      <c r="EM22" s="82"/>
      <c r="EN22" s="82"/>
      <c r="EO22" s="197">
        <f>IF(COUNT(EO20,EO16,EO13,EO10,EO4)=0,"",SUM($B$4*IF(COUNT(EO4)=0,0,EO4),$B$10*IF(COUNT(EO10)=0,0,EO10),$B$13*IF(COUNT(EO13)=0,0,EO13),$B$16*IF(COUNT(EO16)=0,0,EO16),$B$20*IF(COUNT(EO20)=0,0,EO20))/SUM($B$4*COUNT(EO4),$B$10*COUNT(EO10),$B$13*COUNT(EO13),$B$16*COUNT(EO16),$B$20*COUNT(EO20)))</f>
        <v>3.0833333333333335</v>
      </c>
      <c r="EP22" s="204">
        <f>IF(EO22="","",EO22*5)</f>
        <v>15.416666666666668</v>
      </c>
      <c r="EQ22" s="82"/>
      <c r="ER22" s="82"/>
      <c r="ES22" s="82"/>
      <c r="ET22" s="82"/>
      <c r="EU22" s="197" t="str">
        <f>IF(COUNT(EU20,EU16,EU13,EU10,EU4)=0,"",SUM($B$4*IF(COUNT(EU4)=0,0,EU4),$B$10*IF(COUNT(EU10)=0,0,EU10),$B$13*IF(COUNT(EU13)=0,0,EU13),$B$16*IF(COUNT(EU16)=0,0,EU16),$B$20*IF(COUNT(EU20)=0,0,EU20))/SUM($B$4*COUNT(EU4),$B$10*COUNT(EU10),$B$13*COUNT(EU13),$B$16*COUNT(EU16),$B$20*COUNT(EU20)))</f>
        <v/>
      </c>
      <c r="EV22" s="221" t="str">
        <f>IF(EU22="","",EU22*5)</f>
        <v/>
      </c>
      <c r="EW22" s="184"/>
      <c r="EX22" s="184"/>
      <c r="EY22" s="160"/>
      <c r="EZ22" s="160"/>
      <c r="FA22" s="160"/>
      <c r="FB22" s="197">
        <f>IF(COUNT(FB20,FB16,FB13,FB10,FB4)=0,"",SUM($B$4*IF(COUNT(FB4)=0,0,FB4),$B$10*IF(COUNT(FB10)=0,0,FB10),$B$13*IF(COUNT(FB13)=0,0,FB13),$B$16*IF(COUNT(FB16)=0,0,FB16),$B$20*IF(COUNT(FB20)=0,0,FB20))/SUM($B$4*COUNT(FB4),$B$10*COUNT(FB10),$B$13*COUNT(FB13),$B$16*COUNT(FB16),$B$20*COUNT(FB20)))</f>
        <v>2.7037037037037037</v>
      </c>
      <c r="FC22" s="198">
        <f>IF(FB22="","",FB22*5)</f>
        <v>13.518518518518519</v>
      </c>
      <c r="FD22" s="82"/>
      <c r="FE22" s="82"/>
      <c r="FF22" s="82"/>
      <c r="FG22" s="82"/>
      <c r="FH22" s="197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>2.1296296296296293</v>
      </c>
      <c r="FI22" s="204">
        <f>IF(FH22="","",FH22*5)</f>
        <v>10.648148148148147</v>
      </c>
      <c r="FJ22" s="82"/>
      <c r="FK22" s="82"/>
      <c r="FL22" s="82"/>
      <c r="FM22" s="82"/>
      <c r="FN22" s="197" t="str">
        <f>IF(COUNT(FN20,FN16,FN13,FN10,FN4)=0,"",SUM($B$4*IF(COUNT(FN4)=0,0,FN4),$B$10*IF(COUNT(FN10)=0,0,FN10),$B$13*IF(COUNT(FN13)=0,0,FN13),$B$16*IF(COUNT(FN16)=0,0,FN16),$B$20*IF(COUNT(FN20)=0,0,FN20))/SUM($B$4*COUNT(FN4),$B$10*COUNT(FN10),$B$13*COUNT(FN13),$B$16*COUNT(FN16),$B$20*COUNT(FN20)))</f>
        <v/>
      </c>
      <c r="FO22" s="221" t="str">
        <f>IF(FN22="","",FN22*5)</f>
        <v/>
      </c>
      <c r="FP22" s="184"/>
      <c r="FQ22" s="184"/>
      <c r="FR22" s="160"/>
      <c r="FS22" s="160"/>
      <c r="FT22" s="160"/>
      <c r="FU22" s="197">
        <f>IF(COUNT(FU20,FU16,FU13,FU10,FU4)=0,"",SUM($B$4*IF(COUNT(FU4)=0,0,FU4),$B$10*IF(COUNT(FU10)=0,0,FU10),$B$13*IF(COUNT(FU13)=0,0,FU13),$B$16*IF(COUNT(FU16)=0,0,FU16),$B$20*IF(COUNT(FU20)=0,0,FU20))/SUM($B$4*COUNT(FU4),$B$10*COUNT(FU10),$B$13*COUNT(FU13),$B$16*COUNT(FU16),$B$20*COUNT(FU20)))</f>
        <v>2.7407407407407409</v>
      </c>
      <c r="FV22" s="198">
        <f>IF(FU22="","",FU22*5)</f>
        <v>13.703703703703704</v>
      </c>
      <c r="FW22" s="82"/>
      <c r="FX22" s="82"/>
      <c r="FY22" s="82"/>
      <c r="FZ22" s="82"/>
      <c r="GA22" s="197">
        <f>IF(COUNT(GA20,GA16,GA13,GA10,GA4)=0,"",SUM($B$4*IF(COUNT(GA4)=0,0,GA4),$B$10*IF(COUNT(GA10)=0,0,GA10),$B$13*IF(COUNT(GA13)=0,0,GA13),$B$16*IF(COUNT(GA16)=0,0,GA16),$B$20*IF(COUNT(GA20)=0,0,GA20))/SUM($B$4*COUNT(GA4),$B$10*COUNT(GA10),$B$13*COUNT(GA13),$B$16*COUNT(GA16),$B$20*COUNT(GA20)))</f>
        <v>2.6851851851851851</v>
      </c>
      <c r="GB22" s="204">
        <f>IF(GA22="","",GA22*5)</f>
        <v>13.425925925925926</v>
      </c>
      <c r="GC22" s="82"/>
      <c r="GD22" s="82"/>
      <c r="GE22" s="82"/>
      <c r="GF22" s="82"/>
      <c r="GG22" s="197" t="str">
        <f>IF(COUNT(GG20,GG16,GG13,GG10,GG4)=0,"",SUM($B$4*IF(COUNT(GG4)=0,0,GG4),$B$10*IF(COUNT(GG10)=0,0,GG10),$B$13*IF(COUNT(GG13)=0,0,GG13),$B$16*IF(COUNT(GG16)=0,0,GG16),$B$20*IF(COUNT(GG20)=0,0,GG20))/SUM($B$4*COUNT(GG4),$B$10*COUNT(GG10),$B$13*COUNT(GG13),$B$16*COUNT(GG16),$B$20*COUNT(GG20)))</f>
        <v/>
      </c>
      <c r="GH22" s="221" t="str">
        <f>IF(GG22="","",GG22*5)</f>
        <v/>
      </c>
      <c r="GI22" s="184"/>
      <c r="GJ22" s="184"/>
      <c r="GK22" s="160"/>
      <c r="GL22" s="160"/>
      <c r="GM22" s="160"/>
      <c r="GN22" s="197">
        <f>IF(COUNT(GN20,GN16,GN13,GN10,GN4)=0,"",SUM($B$4*IF(COUNT(GN4)=0,0,GN4),$B$10*IF(COUNT(GN10)=0,0,GN10),$B$13*IF(COUNT(GN13)=0,0,GN13),$B$16*IF(COUNT(GN16)=0,0,GN16),$B$20*IF(COUNT(GN20)=0,0,GN20))/SUM($B$4*COUNT(GN4),$B$10*COUNT(GN10),$B$13*COUNT(GN13),$B$16*COUNT(GN16),$B$20*COUNT(GN20)))</f>
        <v>2.2037037037037037</v>
      </c>
      <c r="GO22" s="198">
        <f>IF(GN22="","",GN22*5)</f>
        <v>11.018518518518519</v>
      </c>
      <c r="GP22" s="82"/>
      <c r="GQ22" s="82"/>
      <c r="GR22" s="82"/>
      <c r="GS22" s="82"/>
      <c r="GT22" s="197">
        <f>IF(COUNT(GT20,GT16,GT13,GT10,GT4)=0,"",SUM($B$4*IF(COUNT(GT4)=0,0,GT4),$B$10*IF(COUNT(GT10)=0,0,GT10),$B$13*IF(COUNT(GT13)=0,0,GT13),$B$16*IF(COUNT(GT16)=0,0,GT16),$B$20*IF(COUNT(GT20)=0,0,GT20))/SUM($B$4*COUNT(GT4),$B$10*COUNT(GT10),$B$13*COUNT(GT13),$B$16*COUNT(GT16),$B$20*COUNT(GT20)))</f>
        <v>2.3777777777777778</v>
      </c>
      <c r="GU22" s="204">
        <f>IF(GT22="","",GT22*5)</f>
        <v>11.888888888888889</v>
      </c>
      <c r="GV22" s="82"/>
      <c r="GW22" s="82"/>
      <c r="GX22" s="82"/>
      <c r="GY22" s="82"/>
      <c r="GZ22" s="197" t="str">
        <f>IF(COUNT(GZ20,GZ16,GZ13,GZ10,GZ4)=0,"",SUM($B$4*IF(COUNT(GZ4)=0,0,GZ4),$B$10*IF(COUNT(GZ10)=0,0,GZ10),$B$13*IF(COUNT(GZ13)=0,0,GZ13),$B$16*IF(COUNT(GZ16)=0,0,GZ16),$B$20*IF(COUNT(GZ20)=0,0,GZ20))/SUM($B$4*COUNT(GZ4),$B$10*COUNT(GZ10),$B$13*COUNT(GZ13),$B$16*COUNT(GZ16),$B$20*COUNT(GZ20)))</f>
        <v/>
      </c>
      <c r="HA22" s="221" t="str">
        <f>IF(GZ22="","",GZ22*5)</f>
        <v/>
      </c>
      <c r="HB22" s="184"/>
      <c r="HC22" s="184"/>
      <c r="HD22" s="160"/>
      <c r="HE22" s="160"/>
      <c r="HF22" s="160"/>
      <c r="HG22" s="197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3</v>
      </c>
      <c r="HH22" s="198">
        <f>IF(HG22="","",HG22*5)</f>
        <v>15</v>
      </c>
      <c r="HI22" s="82"/>
      <c r="HJ22" s="82"/>
      <c r="HK22" s="82"/>
      <c r="HL22" s="82"/>
      <c r="HM22" s="197">
        <f>IF(COUNT(HM20,HM16,HM13,HM10,HM4)=0,"",SUM($B$4*IF(COUNT(HM4)=0,0,HM4),$B$10*IF(COUNT(HM10)=0,0,HM10),$B$13*IF(COUNT(HM13)=0,0,HM13),$B$16*IF(COUNT(HM16)=0,0,HM16),$B$20*IF(COUNT(HM20)=0,0,HM20))/SUM($B$4*COUNT(HM4),$B$10*COUNT(HM10),$B$13*COUNT(HM13),$B$16*COUNT(HM16),$B$20*COUNT(HM20)))</f>
        <v>2.7037037037037037</v>
      </c>
      <c r="HN22" s="204">
        <f>IF(HM22="","",HM22*5)</f>
        <v>13.518518518518519</v>
      </c>
      <c r="HO22" s="82"/>
      <c r="HP22" s="82"/>
      <c r="HQ22" s="82"/>
      <c r="HR22" s="82"/>
      <c r="HS22" s="197" t="str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/>
      </c>
      <c r="HT22" s="221" t="str">
        <f>IF(HS22="","",HS22*5)</f>
        <v/>
      </c>
      <c r="HU22" s="184"/>
      <c r="HV22" s="184"/>
      <c r="HW22" s="160"/>
      <c r="HX22" s="160"/>
      <c r="HY22" s="160"/>
      <c r="HZ22" s="197">
        <f>IF(COUNT(HZ20,HZ16,HZ13,HZ10,HZ4)=0,"",SUM($B$4*IF(COUNT(HZ4)=0,0,HZ4),$B$10*IF(COUNT(HZ10)=0,0,HZ10),$B$13*IF(COUNT(HZ13)=0,0,HZ13),$B$16*IF(COUNT(HZ16)=0,0,HZ16),$B$20*IF(COUNT(HZ20)=0,0,HZ20))/SUM($B$4*COUNT(HZ4),$B$10*COUNT(HZ10),$B$13*COUNT(HZ13),$B$16*COUNT(HZ16),$B$20*COUNT(HZ20)))</f>
        <v>2.8518518518518516</v>
      </c>
      <c r="IA22" s="198">
        <f>IF(HZ22="","",HZ22*5)</f>
        <v>14.259259259259258</v>
      </c>
      <c r="IB22" s="82"/>
      <c r="IC22" s="82"/>
      <c r="ID22" s="82"/>
      <c r="IE22" s="82"/>
      <c r="IF22" s="197">
        <f>IF(COUNT(IF20,IF16,IF13,IF10,IF4)=0,"",SUM($B$4*IF(COUNT(IF4)=0,0,IF4),$B$10*IF(COUNT(IF10)=0,0,IF10),$B$13*IF(COUNT(IF13)=0,0,IF13),$B$16*IF(COUNT(IF16)=0,0,IF16),$B$20*IF(COUNT(IF20)=0,0,IF20))/SUM($B$4*COUNT(IF4),$B$10*COUNT(IF10),$B$13*COUNT(IF13),$B$16*COUNT(IF16),$B$20*COUNT(IF20)))</f>
        <v>2.25</v>
      </c>
      <c r="IG22" s="204">
        <f>IF(IF22="","",IF22*5)</f>
        <v>11.25</v>
      </c>
      <c r="IH22" s="82"/>
      <c r="II22" s="82"/>
      <c r="IJ22" s="82"/>
      <c r="IK22" s="82"/>
      <c r="IL22" s="197" t="str">
        <f>IF(COUNT(IL20,IL16,IL13,IL10,IL4)=0,"",SUM($B$4*IF(COUNT(IL4)=0,0,IL4),$B$10*IF(COUNT(IL10)=0,0,IL10),$B$13*IF(COUNT(IL13)=0,0,IL13),$B$16*IF(COUNT(IL16)=0,0,IL16),$B$20*IF(COUNT(IL20)=0,0,IL20))/SUM($B$4*COUNT(IL4),$B$10*COUNT(IL10),$B$13*COUNT(IL13),$B$16*COUNT(IL16),$B$20*COUNT(IL20)))</f>
        <v/>
      </c>
      <c r="IM22" s="221" t="str">
        <f>IF(IL22="","",IL22*5)</f>
        <v/>
      </c>
      <c r="IN22" s="184"/>
      <c r="IO22" s="184"/>
      <c r="IP22" s="160"/>
      <c r="IQ22" s="160"/>
      <c r="IR22" s="160"/>
      <c r="IS22" s="197">
        <f>IF(COUNT(IS20,IS16,IS13,IS10,IS4)=0,"",SUM($B$4*IF(COUNT(IS4)=0,0,IS4),$B$10*IF(COUNT(IS10)=0,0,IS10),$B$13*IF(COUNT(IS13)=0,0,IS13),$B$16*IF(COUNT(IS16)=0,0,IS16),$B$20*IF(COUNT(IS20)=0,0,IS20))/SUM($B$4*COUNT(IS4),$B$10*COUNT(IS10),$B$13*COUNT(IS13),$B$16*COUNT(IS16),$B$20*COUNT(IS20)))</f>
        <v>3.3518518518518516</v>
      </c>
      <c r="IT22" s="198">
        <f>IF(IS22="","",IS22*5)</f>
        <v>16.75925925925926</v>
      </c>
      <c r="IU22" s="82"/>
      <c r="IV22" s="82"/>
      <c r="IW22" s="82"/>
      <c r="IX22" s="82"/>
      <c r="IY22" s="197">
        <f>IF(COUNT(IY20,IY16,IY13,IY10,IY4)=0,"",SUM($B$4*IF(COUNT(IY4)=0,0,IY4),$B$10*IF(COUNT(IY10)=0,0,IY10),$B$13*IF(COUNT(IY13)=0,0,IY13),$B$16*IF(COUNT(IY16)=0,0,IY16),$B$20*IF(COUNT(IY20)=0,0,IY20))/SUM($B$4*COUNT(IY4),$B$10*COUNT(IY10),$B$13*COUNT(IY13),$B$16*COUNT(IY16),$B$20*COUNT(IY20)))</f>
        <v>3.074074074074074</v>
      </c>
      <c r="IZ22" s="204">
        <f>IF(IY22="","",IY22*5)</f>
        <v>15.37037037037037</v>
      </c>
      <c r="JA22" s="82"/>
      <c r="JB22" s="82"/>
      <c r="JC22" s="82"/>
      <c r="JD22" s="82"/>
      <c r="JE22" s="197" t="str">
        <f>IF(COUNT(JE20,JE16,JE13,JE10,JE4)=0,"",SUM($B$4*IF(COUNT(JE4)=0,0,JE4),$B$10*IF(COUNT(JE10)=0,0,JE10),$B$13*IF(COUNT(JE13)=0,0,JE13),$B$16*IF(COUNT(JE16)=0,0,JE16),$B$20*IF(COUNT(JE20)=0,0,JE20))/SUM($B$4*COUNT(JE4),$B$10*COUNT(JE10),$B$13*COUNT(JE13),$B$16*COUNT(JE16),$B$20*COUNT(JE20)))</f>
        <v/>
      </c>
      <c r="JF22" s="221" t="str">
        <f>IF(JE22="","",JE22*5)</f>
        <v/>
      </c>
      <c r="JG22" s="184"/>
      <c r="JH22" s="184"/>
      <c r="JI22" s="160"/>
      <c r="JJ22" s="160"/>
      <c r="JK22" s="160"/>
      <c r="JL22" s="197">
        <f>IF(COUNT(JL20,JL16,JL13,JL10,JL4)=0,"",SUM($B$4*IF(COUNT(JL4)=0,0,JL4),$B$10*IF(COUNT(JL10)=0,0,JL10),$B$13*IF(COUNT(JL13)=0,0,JL13),$B$16*IF(COUNT(JL16)=0,0,JL16),$B$20*IF(COUNT(JL20)=0,0,JL20))/SUM($B$4*COUNT(JL4),$B$10*COUNT(JL10),$B$13*COUNT(JL13),$B$16*COUNT(JL16),$B$20*COUNT(JL20)))</f>
        <v>2.7037037037037037</v>
      </c>
      <c r="JM22" s="198">
        <f>IF(JL22="","",JL22*5)</f>
        <v>13.518518518518519</v>
      </c>
      <c r="JN22" s="82"/>
      <c r="JO22" s="82"/>
      <c r="JP22" s="82"/>
      <c r="JQ22" s="82"/>
      <c r="JR22" s="197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2.8981481481481484</v>
      </c>
      <c r="JS22" s="204">
        <f>IF(JR22="","",JR22*5)</f>
        <v>14.490740740740742</v>
      </c>
      <c r="JT22" s="82"/>
      <c r="JU22" s="82"/>
      <c r="JV22" s="82"/>
      <c r="JW22" s="82"/>
      <c r="JX22" s="197" t="str">
        <f>IF(COUNT(JX20,JX16,JX13,JX10,JX4)=0,"",SUM($B$4*IF(COUNT(JX4)=0,0,JX4),$B$10*IF(COUNT(JX10)=0,0,JX10),$B$13*IF(COUNT(JX13)=0,0,JX13),$B$16*IF(COUNT(JX16)=0,0,JX16),$B$20*IF(COUNT(JX20)=0,0,JX20))/SUM($B$4*COUNT(JX4),$B$10*COUNT(JX10),$B$13*COUNT(JX13),$B$16*COUNT(JX16),$B$20*COUNT(JX20)))</f>
        <v/>
      </c>
      <c r="JY22" s="221" t="str">
        <f>IF(JX22="","",JX22*5)</f>
        <v/>
      </c>
      <c r="JZ22" s="184"/>
      <c r="KA22" s="184"/>
      <c r="KB22" s="160"/>
      <c r="KC22" s="160"/>
      <c r="KD22" s="160"/>
      <c r="KE22" s="197">
        <f>IF(COUNT(KE20,KE16,KE13,KE10,KE4)=0,"",SUM($B$4*IF(COUNT(KE4)=0,0,KE4),$B$10*IF(COUNT(KE10)=0,0,KE10),$B$13*IF(COUNT(KE13)=0,0,KE13),$B$16*IF(COUNT(KE16)=0,0,KE16),$B$20*IF(COUNT(KE20)=0,0,KE20))/SUM($B$4*COUNT(KE4),$B$10*COUNT(KE10),$B$13*COUNT(KE13),$B$16*COUNT(KE16),$B$20*COUNT(KE20)))</f>
        <v>3.1481481481481484</v>
      </c>
      <c r="KF22" s="198">
        <f>IF(KE22="","",KE22*5)</f>
        <v>15.740740740740742</v>
      </c>
      <c r="KG22" s="82"/>
      <c r="KH22" s="82"/>
      <c r="KI22" s="82"/>
      <c r="KJ22" s="82"/>
      <c r="KK22" s="197">
        <f>IF(COUNT(KK20,KK16,KK13,KK10,KK4)=0,"",SUM($B$4*IF(COUNT(KK4)=0,0,KK4),$B$10*IF(COUNT(KK10)=0,0,KK10),$B$13*IF(COUNT(KK13)=0,0,KK13),$B$16*IF(COUNT(KK16)=0,0,KK16),$B$20*IF(COUNT(KK20)=0,0,KK20))/SUM($B$4*COUNT(KK4),$B$10*COUNT(KK10),$B$13*COUNT(KK13),$B$16*COUNT(KK16),$B$20*COUNT(KK20)))</f>
        <v>2.75</v>
      </c>
      <c r="KL22" s="204">
        <f>IF(KK22="","",KK22*5)</f>
        <v>13.75</v>
      </c>
      <c r="KM22" s="82"/>
      <c r="KN22" s="82"/>
      <c r="KO22" s="82"/>
      <c r="KP22" s="82"/>
      <c r="KQ22" s="197" t="str">
        <f>IF(COUNT(KQ20,KQ16,KQ13,KQ10,KQ4)=0,"",SUM($B$4*IF(COUNT(KQ4)=0,0,KQ4),$B$10*IF(COUNT(KQ10)=0,0,KQ10),$B$13*IF(COUNT(KQ13)=0,0,KQ13),$B$16*IF(COUNT(KQ16)=0,0,KQ16),$B$20*IF(COUNT(KQ20)=0,0,KQ20))/SUM($B$4*COUNT(KQ4),$B$10*COUNT(KQ10),$B$13*COUNT(KQ13),$B$16*COUNT(KQ16),$B$20*COUNT(KQ20)))</f>
        <v/>
      </c>
      <c r="KR22" s="221" t="str">
        <f>IF(KQ22="","",KQ22*5)</f>
        <v/>
      </c>
      <c r="KS22" s="184"/>
      <c r="KT22" s="184"/>
      <c r="KU22" s="160"/>
      <c r="KV22" s="160"/>
      <c r="KW22" s="160"/>
      <c r="KX22" s="197">
        <f>IF(COUNT(KX20,KX16,KX13,KX10,KX4)=0,"",SUM($B$4*IF(COUNT(KX4)=0,0,KX4),$B$10*IF(COUNT(KX10)=0,0,KX10),$B$13*IF(COUNT(KX13)=0,0,KX13),$B$16*IF(COUNT(KX16)=0,0,KX16),$B$20*IF(COUNT(KX20)=0,0,KX20))/SUM($B$4*COUNT(KX4),$B$10*COUNT(KX10),$B$13*COUNT(KX13),$B$16*COUNT(KX16),$B$20*COUNT(KX20)))</f>
        <v>2.7592592592592595</v>
      </c>
      <c r="KY22" s="198">
        <f>IF(KX22="","",KX22*5)</f>
        <v>13.796296296296298</v>
      </c>
      <c r="KZ22" s="82"/>
      <c r="LA22" s="82"/>
      <c r="LB22" s="82"/>
      <c r="LC22" s="82"/>
      <c r="LD22" s="197">
        <f>IF(COUNT(LD20,LD16,LD13,LD10,LD4)=0,"",SUM($B$4*IF(COUNT(LD4)=0,0,LD4),$B$10*IF(COUNT(LD10)=0,0,LD10),$B$13*IF(COUNT(LD13)=0,0,LD13),$B$16*IF(COUNT(LD16)=0,0,LD16),$B$20*IF(COUNT(LD20)=0,0,LD20))/SUM($B$4*COUNT(LD4),$B$10*COUNT(LD10),$B$13*COUNT(LD13),$B$16*COUNT(LD16),$B$20*COUNT(LD20)))</f>
        <v>2.4444444444444446</v>
      </c>
      <c r="LE22" s="204">
        <f>IF(LD22="","",LD22*5)</f>
        <v>12.222222222222223</v>
      </c>
      <c r="LF22" s="82"/>
      <c r="LG22" s="82"/>
      <c r="LH22" s="82"/>
      <c r="LI22" s="82"/>
      <c r="LJ22" s="197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21" t="str">
        <f>IF(LJ22="","",LJ22*5)</f>
        <v/>
      </c>
      <c r="LL22" s="184"/>
      <c r="LM22" s="184"/>
      <c r="LN22" s="160"/>
      <c r="LO22" s="160"/>
      <c r="LP22" s="160"/>
      <c r="LQ22" s="197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2.5370370370370372</v>
      </c>
      <c r="LR22" s="198">
        <f>IF(LQ22="","",LQ22*5)</f>
        <v>12.685185185185187</v>
      </c>
      <c r="LS22" s="82"/>
      <c r="LT22" s="82"/>
      <c r="LU22" s="82"/>
      <c r="LV22" s="82"/>
      <c r="LW22" s="197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2.3425925925925926</v>
      </c>
      <c r="LX22" s="204">
        <f>IF(LW22="","",LW22*5)</f>
        <v>11.712962962962962</v>
      </c>
      <c r="LY22" s="82"/>
      <c r="LZ22" s="82"/>
      <c r="MA22" s="82"/>
      <c r="MB22" s="82"/>
      <c r="MC22" s="197" t="str">
        <f>IF(COUNT(MC20,MC16,MC13,MC10,MC4)=0,"",SUM($B$4*IF(COUNT(MC4)=0,0,MC4),$B$10*IF(COUNT(MC10)=0,0,MC10),$B$13*IF(COUNT(MC13)=0,0,MC13),$B$16*IF(COUNT(MC16)=0,0,MC16),$B$20*IF(COUNT(MC20)=0,0,MC20))/SUM($B$4*COUNT(MC4),$B$10*COUNT(MC10),$B$13*COUNT(MC13),$B$16*COUNT(MC16),$B$20*COUNT(MC20)))</f>
        <v/>
      </c>
      <c r="MD22" s="221" t="str">
        <f>IF(MC22="","",MC22*5)</f>
        <v/>
      </c>
      <c r="ME22" s="184"/>
      <c r="MF22" s="184"/>
      <c r="MG22" s="160"/>
      <c r="MH22" s="160"/>
      <c r="MI22" s="160"/>
      <c r="MJ22" s="197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3.2222222222222219</v>
      </c>
      <c r="MK22" s="198">
        <f>IF(MJ22="","",MJ22*5)</f>
        <v>16.111111111111111</v>
      </c>
      <c r="ML22" s="82"/>
      <c r="MM22" s="82"/>
      <c r="MN22" s="82"/>
      <c r="MO22" s="82"/>
      <c r="MP22" s="197">
        <f>IF(COUNT(MP20,MP16,MP13,MP10,MP4)=0,"",SUM($B$4*IF(COUNT(MP4)=0,0,MP4),$B$10*IF(COUNT(MP10)=0,0,MP10),$B$13*IF(COUNT(MP13)=0,0,MP13),$B$16*IF(COUNT(MP16)=0,0,MP16),$B$20*IF(COUNT(MP20)=0,0,MP20))/SUM($B$4*COUNT(MP4),$B$10*COUNT(MP10),$B$13*COUNT(MP13),$B$16*COUNT(MP16),$B$20*COUNT(MP20)))</f>
        <v>3.1481481481481484</v>
      </c>
      <c r="MQ22" s="204">
        <f>IF(MP22="","",MP22*5)</f>
        <v>15.740740740740742</v>
      </c>
      <c r="MR22" s="82"/>
      <c r="MS22" s="82"/>
      <c r="MT22" s="82"/>
      <c r="MU22" s="82"/>
      <c r="MV22" s="197" t="str">
        <f>IF(COUNT(MV20,MV16,MV13,MV10,MV4)=0,"",SUM($B$4*IF(COUNT(MV4)=0,0,MV4),$B$10*IF(COUNT(MV10)=0,0,MV10),$B$13*IF(COUNT(MV13)=0,0,MV13),$B$16*IF(COUNT(MV16)=0,0,MV16),$B$20*IF(COUNT(MV20)=0,0,MV20))/SUM($B$4*COUNT(MV4),$B$10*COUNT(MV10),$B$13*COUNT(MV13),$B$16*COUNT(MV16),$B$20*COUNT(MV20)))</f>
        <v/>
      </c>
      <c r="MW22" s="221" t="str">
        <f>IF(MV22="","",MV22*5)</f>
        <v/>
      </c>
      <c r="MX22" s="184"/>
      <c r="MY22" s="184"/>
      <c r="MZ22" s="160"/>
      <c r="NA22" s="160"/>
      <c r="NB22" s="160"/>
      <c r="NC22" s="197">
        <f>IF(COUNT(NC20,NC16,NC13,NC10,NC4)=0,"",SUM($B$4*IF(COUNT(NC4)=0,0,NC4),$B$10*IF(COUNT(NC10)=0,0,NC10),$B$13*IF(COUNT(NC13)=0,0,NC13),$B$16*IF(COUNT(NC16)=0,0,NC16),$B$20*IF(COUNT(NC20)=0,0,NC20))/SUM($B$4*COUNT(NC4),$B$10*COUNT(NC10),$B$13*COUNT(NC13),$B$16*COUNT(NC16),$B$20*COUNT(NC20)))</f>
        <v>3.0185185185185186</v>
      </c>
      <c r="ND22" s="198">
        <f>IF(NC22="","",NC22*5)</f>
        <v>15.092592592592593</v>
      </c>
      <c r="NE22" s="82"/>
      <c r="NF22" s="82"/>
      <c r="NG22" s="82"/>
      <c r="NH22" s="82"/>
      <c r="NI22" s="197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>2.9722222222222228</v>
      </c>
      <c r="NJ22" s="204">
        <f>IF(NI22="","",NI22*5)</f>
        <v>14.861111111111114</v>
      </c>
      <c r="NK22" s="82"/>
      <c r="NL22" s="82"/>
      <c r="NM22" s="82"/>
      <c r="NN22" s="82"/>
      <c r="NO22" s="197" t="str">
        <f>IF(COUNT(NO20,NO16,NO13,NO10,NO4)=0,"",SUM($B$4*IF(COUNT(NO4)=0,0,NO4),$B$10*IF(COUNT(NO10)=0,0,NO10),$B$13*IF(COUNT(NO13)=0,0,NO13),$B$16*IF(COUNT(NO16)=0,0,NO16),$B$20*IF(COUNT(NO20)=0,0,NO20))/SUM($B$4*COUNT(NO4),$B$10*COUNT(NO10),$B$13*COUNT(NO13),$B$16*COUNT(NO16),$B$20*COUNT(NO20)))</f>
        <v/>
      </c>
      <c r="NP22" s="221" t="str">
        <f>IF(NO22="","",NO22*5)</f>
        <v/>
      </c>
      <c r="NQ22" s="184"/>
      <c r="NR22" s="184"/>
      <c r="NS22" s="160"/>
      <c r="NT22" s="160"/>
      <c r="NU22" s="160"/>
      <c r="NV22" s="197">
        <f>IF(COUNT(NV20,NV16,NV13,NV10,NV4)=0,"",SUM($B$4*IF(COUNT(NV4)=0,0,NV4),$B$10*IF(COUNT(NV10)=0,0,NV10),$B$13*IF(COUNT(NV13)=0,0,NV13),$B$16*IF(COUNT(NV16)=0,0,NV16),$B$20*IF(COUNT(NV20)=0,0,NV20))/SUM($B$4*COUNT(NV4),$B$10*COUNT(NV10),$B$13*COUNT(NV13),$B$16*COUNT(NV16),$B$20*COUNT(NV20)))</f>
        <v>2.1851851851851851</v>
      </c>
      <c r="NW22" s="198">
        <f>IF(NV22="","",NV22*5)</f>
        <v>10.925925925925926</v>
      </c>
      <c r="NX22" s="82"/>
      <c r="NY22" s="82"/>
      <c r="NZ22" s="82"/>
      <c r="OA22" s="82"/>
      <c r="OB22" s="197">
        <f>IF(COUNT(OB20,OB16,OB13,OB10,OB4)=0,"",SUM($B$4*IF(COUNT(OB4)=0,0,OB4),$B$10*IF(COUNT(OB10)=0,0,OB10),$B$13*IF(COUNT(OB13)=0,0,OB13),$B$16*IF(COUNT(OB16)=0,0,OB16),$B$20*IF(COUNT(OB20)=0,0,OB20))/SUM($B$4*COUNT(OB4),$B$10*COUNT(OB10),$B$13*COUNT(OB13),$B$16*COUNT(OB16),$B$20*COUNT(OB20)))</f>
        <v>2.6388888888888888</v>
      </c>
      <c r="OC22" s="204">
        <f>IF(OB22="","",OB22*5)</f>
        <v>13.194444444444445</v>
      </c>
      <c r="OD22" s="82"/>
      <c r="OE22" s="82"/>
      <c r="OF22" s="82"/>
      <c r="OG22" s="82"/>
      <c r="OH22" s="197" t="str">
        <f>IF(COUNT(OH20,OH16,OH13,OH10,OH4)=0,"",SUM($B$4*IF(COUNT(OH4)=0,0,OH4),$B$10*IF(COUNT(OH10)=0,0,OH10),$B$13*IF(COUNT(OH13)=0,0,OH13),$B$16*IF(COUNT(OH16)=0,0,OH16),$B$20*IF(COUNT(OH20)=0,0,OH20))/SUM($B$4*COUNT(OH4),$B$10*COUNT(OH10),$B$13*COUNT(OH13),$B$16*COUNT(OH16),$B$20*COUNT(OH20)))</f>
        <v/>
      </c>
      <c r="OI22" s="221" t="str">
        <f>IF(OH22="","",OH22*5)</f>
        <v/>
      </c>
      <c r="OJ22" s="184"/>
      <c r="OK22" s="184"/>
      <c r="OL22" s="160"/>
      <c r="OM22" s="160"/>
      <c r="ON22" s="160"/>
      <c r="OO22" s="197">
        <f>IF(COUNT(OO20,OO16,OO13,OO10,OO4)=0,"",SUM($B$4*IF(COUNT(OO4)=0,0,OO4),$B$10*IF(COUNT(OO10)=0,0,OO10),$B$13*IF(COUNT(OO13)=0,0,OO13),$B$16*IF(COUNT(OO16)=0,0,OO16),$B$20*IF(COUNT(OO20)=0,0,OO20))/SUM($B$4*COUNT(OO4),$B$10*COUNT(OO10),$B$13*COUNT(OO13),$B$16*COUNT(OO16),$B$20*COUNT(OO20)))</f>
        <v>2.7407407407407405</v>
      </c>
      <c r="OP22" s="198">
        <f>IF(OO22="","",OO22*5)</f>
        <v>13.703703703703702</v>
      </c>
      <c r="OQ22" s="82"/>
      <c r="OR22" s="82"/>
      <c r="OS22" s="82"/>
      <c r="OT22" s="82"/>
      <c r="OU22" s="197">
        <f>IF(COUNT(OU20,OU16,OU13,OU10,OU4)=0,"",SUM($B$4*IF(COUNT(OU4)=0,0,OU4),$B$10*IF(COUNT(OU10)=0,0,OU10),$B$13*IF(COUNT(OU13)=0,0,OU13),$B$16*IF(COUNT(OU16)=0,0,OU16),$B$20*IF(COUNT(OU20)=0,0,OU20))/SUM($B$4*COUNT(OU4),$B$10*COUNT(OU10),$B$13*COUNT(OU13),$B$16*COUNT(OU16),$B$20*COUNT(OU20)))</f>
        <v>2.4907407407407409</v>
      </c>
      <c r="OV22" s="204">
        <f>IF(OU22="","",OU22*5)</f>
        <v>12.453703703703704</v>
      </c>
      <c r="OW22" s="82"/>
      <c r="OX22" s="82"/>
      <c r="OY22" s="82"/>
      <c r="OZ22" s="82"/>
      <c r="PA22" s="197" t="str">
        <f>IF(COUNT(PA20,PA16,PA13,PA10,PA4)=0,"",SUM($B$4*IF(COUNT(PA4)=0,0,PA4),$B$10*IF(COUNT(PA10)=0,0,PA10),$B$13*IF(COUNT(PA13)=0,0,PA13),$B$16*IF(COUNT(PA16)=0,0,PA16),$B$20*IF(COUNT(PA20)=0,0,PA20))/SUM($B$4*COUNT(PA4),$B$10*COUNT(PA10),$B$13*COUNT(PA13),$B$16*COUNT(PA16),$B$20*COUNT(PA20)))</f>
        <v/>
      </c>
      <c r="PB22" s="221" t="str">
        <f>IF(PA22="","",PA22*5)</f>
        <v/>
      </c>
      <c r="PC22" s="184"/>
      <c r="PD22" s="184"/>
      <c r="PE22" s="160"/>
      <c r="PF22" s="160"/>
      <c r="PG22" s="160"/>
      <c r="PH22" s="197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>2.7592592592592595</v>
      </c>
      <c r="PI22" s="198">
        <f>IF(PH22="","",PH22*5)</f>
        <v>13.796296296296298</v>
      </c>
      <c r="PJ22" s="82"/>
      <c r="PK22" s="82"/>
      <c r="PL22" s="82"/>
      <c r="PM22" s="82"/>
      <c r="PN22" s="197">
        <f>IF(COUNT(PN20,PN16,PN13,PN10,PN4)=0,"",SUM($B$4*IF(COUNT(PN4)=0,0,PN4),$B$10*IF(COUNT(PN10)=0,0,PN10),$B$13*IF(COUNT(PN13)=0,0,PN13),$B$16*IF(COUNT(PN16)=0,0,PN16),$B$20*IF(COUNT(PN20)=0,0,PN20))/SUM($B$4*COUNT(PN4),$B$10*COUNT(PN10),$B$13*COUNT(PN13),$B$16*COUNT(PN16),$B$20*COUNT(PN20)))</f>
        <v>2.2870370370370368</v>
      </c>
      <c r="PO22" s="204">
        <f>IF(PN22="","",PN22*5)</f>
        <v>11.435185185185183</v>
      </c>
      <c r="PP22" s="82"/>
      <c r="PQ22" s="82"/>
      <c r="PR22" s="82"/>
      <c r="PS22" s="82"/>
      <c r="PT22" s="197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221" t="str">
        <f>IF(PT22="","",PT22*5)</f>
        <v/>
      </c>
      <c r="PV22" s="184"/>
      <c r="PW22" s="184"/>
      <c r="PX22" s="160"/>
      <c r="PY22" s="160"/>
      <c r="PZ22" s="160"/>
      <c r="QA22" s="197">
        <f>IF(COUNT(QA20,QA16,QA13,QA10,QA4)=0,"",SUM($B$4*IF(COUNT(QA4)=0,0,QA4),$B$10*IF(COUNT(QA10)=0,0,QA10),$B$13*IF(COUNT(QA13)=0,0,QA13),$B$16*IF(COUNT(QA16)=0,0,QA16),$B$20*IF(COUNT(QA20)=0,0,QA20))/SUM($B$4*COUNT(QA4),$B$10*COUNT(QA10),$B$13*COUNT(QA13),$B$16*COUNT(QA16),$B$20*COUNT(QA20)))</f>
        <v>2.8703703703703707</v>
      </c>
      <c r="QB22" s="198">
        <f>IF(QA22="","",QA22*5)</f>
        <v>14.351851851851853</v>
      </c>
      <c r="QC22" s="82"/>
      <c r="QD22" s="82"/>
      <c r="QE22" s="82"/>
      <c r="QF22" s="82"/>
      <c r="QG22" s="197">
        <f>IF(COUNT(QG20,QG16,QG13,QG10,QG4)=0,"",SUM($B$4*IF(COUNT(QG4)=0,0,QG4),$B$10*IF(COUNT(QG10)=0,0,QG10),$B$13*IF(COUNT(QG13)=0,0,QG13),$B$16*IF(COUNT(QG16)=0,0,QG16),$B$20*IF(COUNT(QG20)=0,0,QG20))/SUM($B$4*COUNT(QG4),$B$10*COUNT(QG10),$B$13*COUNT(QG13),$B$16*COUNT(QG16),$B$20*COUNT(QG20)))</f>
        <v>2.8055555555555554</v>
      </c>
      <c r="QH22" s="204">
        <f>IF(QG22="","",QG22*5)</f>
        <v>14.027777777777777</v>
      </c>
      <c r="QI22" s="82"/>
      <c r="QJ22" s="82"/>
      <c r="QK22" s="82"/>
      <c r="QL22" s="82"/>
      <c r="QM22" s="197" t="str">
        <f>IF(COUNT(QM20,QM16,QM13,QM10,QM4)=0,"",SUM($B$4*IF(COUNT(QM4)=0,0,QM4),$B$10*IF(COUNT(QM10)=0,0,QM10),$B$13*IF(COUNT(QM13)=0,0,QM13),$B$16*IF(COUNT(QM16)=0,0,QM16),$B$20*IF(COUNT(QM20)=0,0,QM20))/SUM($B$4*COUNT(QM4),$B$10*COUNT(QM10),$B$13*COUNT(QM13),$B$16*COUNT(QM16),$B$20*COUNT(QM20)))</f>
        <v/>
      </c>
      <c r="QN22" s="221" t="str">
        <f>IF(QM22="","",QM22*5)</f>
        <v/>
      </c>
      <c r="QO22" s="184"/>
      <c r="QP22" s="184"/>
      <c r="QQ22" s="160"/>
      <c r="QR22" s="160"/>
      <c r="QS22" s="160"/>
      <c r="QT22" s="197">
        <f>IF(COUNT(QT20,QT16,QT13,QT10,QT4)=0,"",SUM($B$4*IF(COUNT(QT4)=0,0,QT4),$B$10*IF(COUNT(QT10)=0,0,QT10),$B$13*IF(COUNT(QT13)=0,0,QT13),$B$16*IF(COUNT(QT16)=0,0,QT16),$B$20*IF(COUNT(QT20)=0,0,QT20))/SUM($B$4*COUNT(QT4),$B$10*COUNT(QT10),$B$13*COUNT(QT13),$B$16*COUNT(QT16),$B$20*COUNT(QT20)))</f>
        <v>2.7777777777777781</v>
      </c>
      <c r="QU22" s="198">
        <f>IF(QT22="","",QT22*5)</f>
        <v>13.888888888888891</v>
      </c>
      <c r="QV22" s="82"/>
      <c r="QW22" s="82"/>
      <c r="QX22" s="82"/>
      <c r="QY22" s="82"/>
      <c r="QZ22" s="197">
        <f>IF(COUNT(QZ20,QZ16,QZ13,QZ10,QZ4)=0,"",SUM($B$4*IF(COUNT(QZ4)=0,0,QZ4),$B$10*IF(COUNT(QZ10)=0,0,QZ10),$B$13*IF(COUNT(QZ13)=0,0,QZ13),$B$16*IF(COUNT(QZ16)=0,0,QZ16),$B$20*IF(COUNT(QZ20)=0,0,QZ20))/SUM($B$4*COUNT(QZ4),$B$10*COUNT(QZ10),$B$13*COUNT(QZ13),$B$16*COUNT(QZ16),$B$20*COUNT(QZ20)))</f>
        <v>2.9814814814814814</v>
      </c>
      <c r="RA22" s="204">
        <f>IF(QZ22="","",QZ22*5)</f>
        <v>14.907407407407407</v>
      </c>
      <c r="RB22" s="82"/>
      <c r="RC22" s="82"/>
      <c r="RD22" s="82"/>
      <c r="RE22" s="82"/>
      <c r="RF22" s="197" t="str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/>
      </c>
      <c r="RG22" s="221" t="str">
        <f>IF(RF22="","",RF22*5)</f>
        <v/>
      </c>
      <c r="RH22" s="184"/>
      <c r="RI22" s="184"/>
      <c r="RJ22" s="160"/>
      <c r="RK22" s="160"/>
      <c r="RL22" s="160"/>
      <c r="RM22" s="197">
        <f>IF(COUNT(RM20,RM16,RM13,RM10,RM4)=0,"",SUM($B$4*IF(COUNT(RM4)=0,0,RM4),$B$10*IF(COUNT(RM10)=0,0,RM10),$B$13*IF(COUNT(RM13)=0,0,RM13),$B$16*IF(COUNT(RM16)=0,0,RM16),$B$20*IF(COUNT(RM20)=0,0,RM20))/SUM($B$4*COUNT(RM4),$B$10*COUNT(RM10),$B$13*COUNT(RM13),$B$16*COUNT(RM16),$B$20*COUNT(RM20)))</f>
        <v>2.7592592592592591</v>
      </c>
      <c r="RN22" s="198">
        <f>IF(RM22="","",RM22*5)</f>
        <v>13.796296296296296</v>
      </c>
      <c r="RO22" s="82"/>
      <c r="RP22" s="82"/>
      <c r="RQ22" s="82"/>
      <c r="RR22" s="82"/>
      <c r="RS22" s="197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>2.5462962962962963</v>
      </c>
      <c r="RT22" s="204">
        <f>IF(RS22="","",RS22*5)</f>
        <v>12.731481481481481</v>
      </c>
      <c r="RU22" s="82"/>
      <c r="RV22" s="82"/>
      <c r="RW22" s="82"/>
      <c r="RX22" s="82"/>
      <c r="RY22" s="197" t="str">
        <f>IF(COUNT(RY20,RY16,RY13,RY10,RY4)=0,"",SUM($B$4*IF(COUNT(RY4)=0,0,RY4),$B$10*IF(COUNT(RY10)=0,0,RY10),$B$13*IF(COUNT(RY13)=0,0,RY13),$B$16*IF(COUNT(RY16)=0,0,RY16),$B$20*IF(COUNT(RY20)=0,0,RY20))/SUM($B$4*COUNT(RY4),$B$10*COUNT(RY10),$B$13*COUNT(RY13),$B$16*COUNT(RY16),$B$20*COUNT(RY20)))</f>
        <v/>
      </c>
      <c r="RZ22" s="221" t="str">
        <f>IF(RY22="","",RY22*5)</f>
        <v/>
      </c>
      <c r="SA22" s="184"/>
      <c r="SB22" s="184"/>
      <c r="SC22" s="160"/>
      <c r="SD22" s="160"/>
      <c r="SE22" s="160"/>
      <c r="SF22" s="197">
        <f>IF(COUNT(SF20,SF16,SF13,SF10,SF4)=0,"",SUM($B$4*IF(COUNT(SF4)=0,0,SF4),$B$10*IF(COUNT(SF10)=0,0,SF10),$B$13*IF(COUNT(SF13)=0,0,SF13),$B$16*IF(COUNT(SF16)=0,0,SF16),$B$20*IF(COUNT(SF20)=0,0,SF20))/SUM($B$4*COUNT(SF4),$B$10*COUNT(SF10),$B$13*COUNT(SF13),$B$16*COUNT(SF16),$B$20*COUNT(SF20)))</f>
        <v>3.0185185185185186</v>
      </c>
      <c r="SG22" s="198">
        <f>IF(SF22="","",SF22*5)</f>
        <v>15.092592592592593</v>
      </c>
      <c r="SH22" s="82"/>
      <c r="SI22" s="82"/>
      <c r="SJ22" s="82"/>
      <c r="SK22" s="82"/>
      <c r="SL22" s="197">
        <f>IF(COUNT(SL20,SL16,SL13,SL10,SL4)=0,"",SUM($B$4*IF(COUNT(SL4)=0,0,SL4),$B$10*IF(COUNT(SL10)=0,0,SL10),$B$13*IF(COUNT(SL13)=0,0,SL13),$B$16*IF(COUNT(SL16)=0,0,SL16),$B$20*IF(COUNT(SL20)=0,0,SL20))/SUM($B$4*COUNT(SL4),$B$10*COUNT(SL10),$B$13*COUNT(SL13),$B$16*COUNT(SL16),$B$20*COUNT(SL20)))</f>
        <v>2.8888888888888893</v>
      </c>
      <c r="SM22" s="204">
        <f>IF(SL22="","",SL22*5)</f>
        <v>14.444444444444446</v>
      </c>
      <c r="SN22" s="82"/>
      <c r="SO22" s="82"/>
      <c r="SP22" s="82"/>
      <c r="SQ22" s="82"/>
      <c r="SR22" s="197" t="str">
        <f>IF(COUNT(SR20,SR16,SR13,SR10,SR4)=0,"",SUM($B$4*IF(COUNT(SR4)=0,0,SR4),$B$10*IF(COUNT(SR10)=0,0,SR10),$B$13*IF(COUNT(SR13)=0,0,SR13),$B$16*IF(COUNT(SR16)=0,0,SR16),$B$20*IF(COUNT(SR20)=0,0,SR20))/SUM($B$4*COUNT(SR4),$B$10*COUNT(SR10),$B$13*COUNT(SR13),$B$16*COUNT(SR16),$B$20*COUNT(SR20)))</f>
        <v/>
      </c>
      <c r="SS22" s="221" t="str">
        <f>IF(SR22="","",SR22*5)</f>
        <v/>
      </c>
      <c r="ST22" s="184"/>
      <c r="SU22" s="184"/>
      <c r="SV22" s="160"/>
      <c r="SW22" s="160"/>
      <c r="SX22" s="160"/>
      <c r="SY22" s="161" t="str">
        <f>IF(COUNT(SY20,SY16,SY13,SY10,SY4)=0,"",SUM($B$4*IF(COUNT(SY4)=0,0,SY4),$B$10*IF(COUNT(SY10)=0,0,SY10),$B$13*IF(COUNT(SY13)=0,0,SY13),$B$16*IF(COUNT(SY16)=0,0,SY16),$B$20*IF(COUNT(SY20)=0,0,SY20))/SUM($B$4*COUNT(SY4),$B$10*COUNT(SY10),$B$13*COUNT(SY13),$B$16*COUNT(SY16),$B$20*COUNT(SY20)))</f>
        <v/>
      </c>
      <c r="SZ22" s="162" t="str">
        <f>IF(SY22="","",SY22*5)</f>
        <v/>
      </c>
      <c r="TA22" s="82"/>
      <c r="TB22" s="82"/>
      <c r="TC22" s="82"/>
      <c r="TD22" s="161" t="str">
        <f>IF(COUNT(TD20,TD16,TD13,TD10,TD4)=0,"",SUM($B$4*IF(COUNT(TD4)=0,0,TD4),$B$10*IF(COUNT(TD10)=0,0,TD10),$B$13*IF(COUNT(TD13)=0,0,TD13),$B$16*IF(COUNT(TD16)=0,0,TD16),$B$20*IF(COUNT(TD20)=0,0,TD20))/SUM($B$4*COUNT(TD4),$B$10*COUNT(TD10),$B$13*COUNT(TD13),$B$16*COUNT(TD16),$B$20*COUNT(TD20)))</f>
        <v/>
      </c>
      <c r="TE22" s="163" t="str">
        <f>IF(TD22="","",TD22*5)</f>
        <v/>
      </c>
      <c r="TF22" s="82"/>
      <c r="TG22" s="82"/>
      <c r="TH22" s="82"/>
      <c r="TI22" s="161" t="str">
        <f>IF(COUNT(TI20,TI16,TI13,TI10,TI4)=0,"",SUM($B$4*IF(COUNT(TI4)=0,0,TI4),$B$10*IF(COUNT(TI10)=0,0,TI10),$B$13*IF(COUNT(TI13)=0,0,TI13),$B$16*IF(COUNT(TI16)=0,0,TI16),$B$20*IF(COUNT(TI20)=0,0,TI20))/SUM($B$4*COUNT(TI4),$B$10*COUNT(TI10),$B$13*COUNT(TI13),$B$16*COUNT(TI16),$B$20*COUNT(TI20)))</f>
        <v/>
      </c>
      <c r="TJ22" s="164" t="str">
        <f>IF(TI22="","",TI22*5)</f>
        <v/>
      </c>
      <c r="TK22" s="81"/>
      <c r="TL22" s="81"/>
      <c r="TM22" s="160"/>
      <c r="TN22" s="160"/>
      <c r="TO22" s="160"/>
      <c r="TP22" s="161" t="str">
        <f>IF(COUNT(TP20,TP16,TP13,TP10,TP4)=0,"",SUM($B$4*IF(COUNT(TP4)=0,0,TP4),$B$10*IF(COUNT(TP10)=0,0,TP10),$B$13*IF(COUNT(TP13)=0,0,TP13),$B$16*IF(COUNT(TP16)=0,0,TP16),$B$20*IF(COUNT(TP20)=0,0,TP20))/SUM($B$4*COUNT(TP4),$B$10*COUNT(TP10),$B$13*COUNT(TP13),$B$16*COUNT(TP16),$B$20*COUNT(TP20)))</f>
        <v/>
      </c>
      <c r="TQ22" s="162" t="str">
        <f>IF(TP22="","",TP22*5)</f>
        <v/>
      </c>
      <c r="TR22" s="82"/>
      <c r="TS22" s="82"/>
      <c r="TT22" s="82"/>
      <c r="TU22" s="161" t="str">
        <f>IF(COUNT(TU20,TU16,TU13,TU10,TU4)=0,"",SUM($B$4*IF(COUNT(TU4)=0,0,TU4),$B$10*IF(COUNT(TU10)=0,0,TU10),$B$13*IF(COUNT(TU13)=0,0,TU13),$B$16*IF(COUNT(TU16)=0,0,TU16),$B$20*IF(COUNT(TU20)=0,0,TU20))/SUM($B$4*COUNT(TU4),$B$10*COUNT(TU10),$B$13*COUNT(TU13),$B$16*COUNT(TU16),$B$20*COUNT(TU20)))</f>
        <v/>
      </c>
      <c r="TV22" s="163" t="str">
        <f>IF(TU22="","",TU22*5)</f>
        <v/>
      </c>
      <c r="TW22" s="82"/>
      <c r="TX22" s="82"/>
      <c r="TY22" s="82"/>
      <c r="TZ22" s="161" t="str">
        <f>IF(COUNT(TZ20,TZ16,TZ13,TZ10,TZ4)=0,"",SUM($B$4*IF(COUNT(TZ4)=0,0,TZ4),$B$10*IF(COUNT(TZ10)=0,0,TZ10),$B$13*IF(COUNT(TZ13)=0,0,TZ13),$B$16*IF(COUNT(TZ16)=0,0,TZ16),$B$20*IF(COUNT(TZ20)=0,0,TZ20))/SUM($B$4*COUNT(TZ4),$B$10*COUNT(TZ10),$B$13*COUNT(TZ13),$B$16*COUNT(TZ16),$B$20*COUNT(TZ20)))</f>
        <v/>
      </c>
      <c r="UA22" s="164" t="str">
        <f>IF(TZ22="","",TZ22*5)</f>
        <v/>
      </c>
      <c r="UB22" s="81"/>
      <c r="UC22" s="81"/>
      <c r="UD22" s="160"/>
      <c r="UE22" s="160"/>
      <c r="UF22" s="160"/>
      <c r="UG22" s="161" t="str">
        <f>IF(COUNT(UG20,UG16,UG13,UG10,UG4)=0,"",SUM($B$4*IF(COUNT(UG4)=0,0,UG4),$B$10*IF(COUNT(UG10)=0,0,UG10),$B$13*IF(COUNT(UG13)=0,0,UG13),$B$16*IF(COUNT(UG16)=0,0,UG16),$B$20*IF(COUNT(UG20)=0,0,UG20))/SUM($B$4*COUNT(UG4),$B$10*COUNT(UG10),$B$13*COUNT(UG13),$B$16*COUNT(UG16),$B$20*COUNT(UG20)))</f>
        <v/>
      </c>
      <c r="UH22" s="162" t="str">
        <f>IF(UG22="","",UG22*5)</f>
        <v/>
      </c>
      <c r="UI22" s="82"/>
      <c r="UJ22" s="82"/>
      <c r="UK22" s="82"/>
      <c r="UL22" s="161" t="str">
        <f>IF(COUNT(UL20,UL16,UL13,UL10,UL4)=0,"",SUM($B$4*IF(COUNT(UL4)=0,0,UL4),$B$10*IF(COUNT(UL10)=0,0,UL10),$B$13*IF(COUNT(UL13)=0,0,UL13),$B$16*IF(COUNT(UL16)=0,0,UL16),$B$20*IF(COUNT(UL20)=0,0,UL20))/SUM($B$4*COUNT(UL4),$B$10*COUNT(UL10),$B$13*COUNT(UL13),$B$16*COUNT(UL16),$B$20*COUNT(UL20)))</f>
        <v/>
      </c>
      <c r="UM22" s="163" t="str">
        <f>IF(UL22="","",UL22*5)</f>
        <v/>
      </c>
      <c r="UN22" s="82"/>
      <c r="UO22" s="82"/>
      <c r="UP22" s="82"/>
      <c r="UQ22" s="161" t="str">
        <f>IF(COUNT(UQ20,UQ16,UQ13,UQ10,UQ4)=0,"",SUM($B$4*IF(COUNT(UQ4)=0,0,UQ4),$B$10*IF(COUNT(UQ10)=0,0,UQ10),$B$13*IF(COUNT(UQ13)=0,0,UQ13),$B$16*IF(COUNT(UQ16)=0,0,UQ16),$B$20*IF(COUNT(UQ20)=0,0,UQ20))/SUM($B$4*COUNT(UQ4),$B$10*COUNT(UQ10),$B$13*COUNT(UQ13),$B$16*COUNT(UQ16),$B$20*COUNT(UQ20)))</f>
        <v/>
      </c>
      <c r="UR22" s="164" t="str">
        <f>IF(UQ22="","",UQ22*5)</f>
        <v/>
      </c>
      <c r="US22" s="81"/>
      <c r="UT22" s="81"/>
    </row>
    <row r="23" spans="1:566" s="165" customFormat="1" x14ac:dyDescent="0.35">
      <c r="A23" s="175"/>
      <c r="B23" s="175"/>
      <c r="F23" s="175"/>
      <c r="G23" s="175"/>
      <c r="L23" s="175"/>
      <c r="M23" s="175"/>
      <c r="R23" s="175"/>
      <c r="S23" s="175"/>
      <c r="T23" s="200"/>
      <c r="U23" s="200"/>
      <c r="Y23" s="175"/>
      <c r="Z23" s="175"/>
      <c r="AE23" s="175"/>
      <c r="AF23" s="175"/>
      <c r="AK23" s="175"/>
      <c r="AL23" s="175"/>
      <c r="AM23" s="200"/>
      <c r="AN23" s="200"/>
      <c r="BF23" s="166"/>
      <c r="BG23" s="166"/>
      <c r="BY23" s="166"/>
      <c r="BZ23" s="166"/>
      <c r="CR23" s="166"/>
      <c r="CS23" s="166"/>
      <c r="DK23" s="166"/>
      <c r="DL23" s="166"/>
      <c r="ED23" s="166"/>
      <c r="EE23" s="166"/>
      <c r="EW23" s="166"/>
      <c r="EX23" s="166"/>
      <c r="FP23" s="166"/>
      <c r="FQ23" s="166"/>
      <c r="GI23" s="166"/>
      <c r="GJ23" s="166"/>
      <c r="HB23" s="166"/>
      <c r="HC23" s="166"/>
      <c r="HU23" s="166"/>
      <c r="HV23" s="166"/>
      <c r="IN23" s="166"/>
      <c r="IO23" s="166"/>
      <c r="JG23" s="166"/>
      <c r="JH23" s="166"/>
      <c r="JZ23" s="166"/>
      <c r="KA23" s="166"/>
      <c r="KS23" s="166"/>
      <c r="KT23" s="166"/>
      <c r="LL23" s="166"/>
      <c r="LM23" s="166"/>
      <c r="ME23" s="166"/>
      <c r="MF23" s="166"/>
      <c r="MX23" s="166"/>
      <c r="MY23" s="166"/>
      <c r="NQ23" s="166"/>
      <c r="NR23" s="166"/>
      <c r="OJ23" s="166"/>
      <c r="OK23" s="166"/>
      <c r="PC23" s="166"/>
      <c r="PD23" s="166"/>
      <c r="PV23" s="166"/>
      <c r="PW23" s="166"/>
      <c r="QO23" s="166"/>
      <c r="QP23" s="166"/>
      <c r="RH23" s="166"/>
      <c r="RI23" s="166"/>
      <c r="SA23" s="166"/>
      <c r="SB23" s="166"/>
      <c r="ST23" s="166"/>
      <c r="SU23" s="166"/>
      <c r="TK23" s="166"/>
      <c r="TL23" s="166"/>
      <c r="UB23" s="166"/>
      <c r="UC23" s="166"/>
      <c r="US23" s="166"/>
      <c r="UT23" s="166"/>
    </row>
    <row r="24" spans="1:566" x14ac:dyDescent="0.25">
      <c r="A24" s="176"/>
      <c r="B24" s="176"/>
      <c r="C24" s="167"/>
      <c r="D24" s="166"/>
      <c r="E24" s="166"/>
      <c r="F24" s="176"/>
      <c r="G24" s="176"/>
      <c r="I24" s="166"/>
      <c r="J24" s="166"/>
      <c r="K24" s="166"/>
      <c r="N24" s="168"/>
      <c r="O24" s="168"/>
      <c r="P24" s="168"/>
      <c r="Q24" s="168"/>
      <c r="R24" s="199"/>
      <c r="T24" s="176"/>
      <c r="U24" s="176"/>
      <c r="V24" s="167"/>
      <c r="W24" s="166"/>
      <c r="X24" s="166"/>
      <c r="Y24" s="176"/>
      <c r="Z24" s="176"/>
      <c r="AB24" s="166"/>
      <c r="AC24" s="166"/>
      <c r="AD24" s="166"/>
      <c r="AG24" s="168"/>
      <c r="AH24" s="168"/>
      <c r="AI24" s="168"/>
      <c r="AJ24" s="168"/>
      <c r="AK24" s="199"/>
      <c r="AM24" s="176"/>
      <c r="AN24" s="176"/>
      <c r="AO24" s="167"/>
      <c r="AP24" s="166"/>
      <c r="AQ24" s="166"/>
      <c r="AR24" s="167"/>
      <c r="AS24" s="167"/>
      <c r="AU24" s="166"/>
      <c r="AV24" s="166"/>
      <c r="AW24" s="166"/>
      <c r="AZ24" s="168"/>
      <c r="BA24" s="168"/>
      <c r="BB24" s="168"/>
      <c r="BC24" s="168"/>
      <c r="BD24" s="168"/>
      <c r="BF24" s="167"/>
      <c r="BG24" s="167"/>
      <c r="BH24" s="167"/>
      <c r="BI24" s="166"/>
      <c r="BJ24" s="166"/>
      <c r="BK24" s="167"/>
      <c r="BL24" s="167"/>
      <c r="BN24" s="166"/>
      <c r="BO24" s="166"/>
      <c r="BP24" s="166"/>
      <c r="BS24" s="168"/>
      <c r="BT24" s="168"/>
      <c r="BU24" s="168"/>
      <c r="BV24" s="168"/>
      <c r="BW24" s="168"/>
      <c r="BY24" s="167"/>
      <c r="BZ24" s="167"/>
      <c r="CA24" s="167"/>
      <c r="CB24" s="166"/>
      <c r="CC24" s="166"/>
      <c r="CD24" s="167"/>
      <c r="CE24" s="167"/>
      <c r="CG24" s="166"/>
      <c r="CH24" s="166"/>
      <c r="CI24" s="166"/>
      <c r="CL24" s="168"/>
      <c r="CM24" s="168"/>
      <c r="CN24" s="168"/>
      <c r="CO24" s="168"/>
      <c r="CP24" s="168"/>
      <c r="CR24" s="167"/>
      <c r="CS24" s="167"/>
      <c r="CT24" s="167"/>
      <c r="CU24" s="166"/>
      <c r="CV24" s="166"/>
      <c r="CW24" s="167"/>
      <c r="CX24" s="167"/>
      <c r="CZ24" s="166"/>
      <c r="DA24" s="166"/>
      <c r="DB24" s="166"/>
      <c r="DE24" s="168"/>
      <c r="DF24" s="168"/>
      <c r="DG24" s="168"/>
      <c r="DH24" s="168"/>
      <c r="DI24" s="168"/>
      <c r="DK24" s="167"/>
      <c r="DL24" s="167"/>
      <c r="DM24" s="167"/>
      <c r="DN24" s="166"/>
      <c r="DO24" s="166"/>
      <c r="DP24" s="167"/>
      <c r="DQ24" s="167"/>
      <c r="DS24" s="166"/>
      <c r="DT24" s="166"/>
      <c r="DU24" s="166"/>
      <c r="DX24" s="168"/>
      <c r="DY24" s="168"/>
      <c r="DZ24" s="168"/>
      <c r="EA24" s="168"/>
      <c r="EB24" s="168"/>
      <c r="ED24" s="167"/>
      <c r="EE24" s="167"/>
      <c r="EF24" s="167"/>
      <c r="EG24" s="166"/>
      <c r="EH24" s="166"/>
      <c r="EI24" s="167"/>
      <c r="EJ24" s="167"/>
      <c r="EL24" s="166"/>
      <c r="EM24" s="166"/>
      <c r="EN24" s="166"/>
      <c r="EQ24" s="168"/>
      <c r="ER24" s="168"/>
      <c r="ES24" s="168"/>
      <c r="ET24" s="168"/>
      <c r="EU24" s="168"/>
      <c r="EW24" s="167"/>
      <c r="EX24" s="167"/>
      <c r="EY24" s="167"/>
      <c r="EZ24" s="166"/>
      <c r="FA24" s="166"/>
      <c r="FB24" s="167"/>
      <c r="FC24" s="167"/>
      <c r="FE24" s="166"/>
      <c r="FF24" s="166"/>
      <c r="FG24" s="166"/>
      <c r="FJ24" s="168"/>
      <c r="FK24" s="168"/>
      <c r="FL24" s="168"/>
      <c r="FM24" s="168"/>
      <c r="FN24" s="168"/>
      <c r="FP24" s="167"/>
      <c r="FQ24" s="167"/>
      <c r="FR24" s="167"/>
      <c r="FS24" s="166"/>
      <c r="FT24" s="166"/>
      <c r="FU24" s="167"/>
      <c r="FV24" s="167"/>
      <c r="FX24" s="166"/>
      <c r="FY24" s="166"/>
      <c r="FZ24" s="166"/>
      <c r="GC24" s="168"/>
      <c r="GD24" s="168"/>
      <c r="GE24" s="168"/>
      <c r="GF24" s="168"/>
      <c r="GG24" s="168"/>
      <c r="GI24" s="167"/>
      <c r="GJ24" s="167"/>
      <c r="GK24" s="167"/>
      <c r="GL24" s="166"/>
      <c r="GM24" s="166"/>
      <c r="GN24" s="167"/>
      <c r="GO24" s="167"/>
      <c r="GQ24" s="166"/>
      <c r="GR24" s="166"/>
      <c r="GS24" s="166"/>
      <c r="GV24" s="168"/>
      <c r="GW24" s="168"/>
      <c r="GX24" s="168"/>
      <c r="GY24" s="168"/>
      <c r="GZ24" s="168"/>
      <c r="HB24" s="167"/>
      <c r="HC24" s="167"/>
      <c r="HD24" s="167"/>
      <c r="HE24" s="166"/>
      <c r="HF24" s="166"/>
      <c r="HG24" s="167"/>
      <c r="HH24" s="167"/>
      <c r="HJ24" s="166"/>
      <c r="HK24" s="166"/>
      <c r="HL24" s="166"/>
      <c r="HO24" s="168"/>
      <c r="HP24" s="168"/>
      <c r="HQ24" s="168"/>
      <c r="HR24" s="168"/>
      <c r="HS24" s="168"/>
      <c r="HU24" s="167"/>
      <c r="HV24" s="167"/>
      <c r="HW24" s="167"/>
      <c r="HX24" s="166"/>
      <c r="HY24" s="166"/>
      <c r="HZ24" s="167"/>
      <c r="IA24" s="167"/>
      <c r="IC24" s="166"/>
      <c r="ID24" s="166"/>
      <c r="IE24" s="166"/>
      <c r="IH24" s="168"/>
      <c r="II24" s="168"/>
      <c r="IJ24" s="168"/>
      <c r="IK24" s="168"/>
      <c r="IL24" s="168"/>
      <c r="IN24" s="167"/>
      <c r="IO24" s="167"/>
      <c r="IP24" s="167"/>
      <c r="IQ24" s="166"/>
      <c r="IR24" s="166"/>
      <c r="IS24" s="167"/>
      <c r="IT24" s="167"/>
      <c r="IV24" s="166"/>
      <c r="IW24" s="166"/>
      <c r="IX24" s="166"/>
      <c r="JA24" s="168"/>
      <c r="JB24" s="168"/>
      <c r="JC24" s="168"/>
      <c r="JD24" s="168"/>
      <c r="JE24" s="168"/>
      <c r="JG24" s="167"/>
      <c r="JH24" s="167"/>
      <c r="JI24" s="167"/>
      <c r="JJ24" s="166"/>
      <c r="JK24" s="166"/>
      <c r="JL24" s="167"/>
      <c r="JM24" s="167"/>
      <c r="JO24" s="166"/>
      <c r="JP24" s="166"/>
      <c r="JQ24" s="166"/>
      <c r="JT24" s="168"/>
      <c r="JU24" s="168"/>
      <c r="JV24" s="168"/>
      <c r="JW24" s="168"/>
      <c r="JX24" s="168"/>
      <c r="JZ24" s="167"/>
      <c r="KA24" s="167"/>
      <c r="KB24" s="167"/>
      <c r="KC24" s="166"/>
      <c r="KD24" s="166"/>
      <c r="KE24" s="167"/>
      <c r="KF24" s="167"/>
      <c r="KH24" s="166"/>
      <c r="KI24" s="166"/>
      <c r="KJ24" s="166"/>
      <c r="KM24" s="168"/>
      <c r="KN24" s="168"/>
      <c r="KO24" s="168"/>
      <c r="KP24" s="168"/>
      <c r="KQ24" s="168"/>
      <c r="KS24" s="167"/>
      <c r="KT24" s="167"/>
      <c r="KU24" s="167"/>
      <c r="KV24" s="166"/>
      <c r="KW24" s="166"/>
      <c r="KX24" s="167"/>
      <c r="KY24" s="167"/>
      <c r="LA24" s="166"/>
      <c r="LB24" s="166"/>
      <c r="LC24" s="166"/>
      <c r="LF24" s="168"/>
      <c r="LG24" s="168"/>
      <c r="LH24" s="168"/>
      <c r="LI24" s="168"/>
      <c r="LJ24" s="168"/>
      <c r="LL24" s="167"/>
      <c r="LM24" s="167"/>
      <c r="LN24" s="167"/>
      <c r="LO24" s="166"/>
      <c r="LP24" s="166"/>
      <c r="LQ24" s="167"/>
      <c r="LR24" s="167"/>
      <c r="LT24" s="166"/>
      <c r="LU24" s="166"/>
      <c r="LV24" s="166"/>
      <c r="LY24" s="168"/>
      <c r="LZ24" s="168"/>
      <c r="MA24" s="168"/>
      <c r="MB24" s="168"/>
      <c r="MC24" s="168"/>
      <c r="ME24" s="167"/>
      <c r="MF24" s="167"/>
      <c r="MG24" s="167"/>
      <c r="MH24" s="166"/>
      <c r="MI24" s="166"/>
      <c r="MJ24" s="167"/>
      <c r="MK24" s="167"/>
      <c r="MM24" s="166"/>
      <c r="MN24" s="166"/>
      <c r="MO24" s="166"/>
      <c r="MR24" s="168"/>
      <c r="MS24" s="168"/>
      <c r="MT24" s="168"/>
      <c r="MU24" s="168"/>
      <c r="MV24" s="168"/>
      <c r="MX24" s="167"/>
      <c r="MY24" s="167"/>
      <c r="MZ24" s="167"/>
      <c r="NA24" s="166"/>
      <c r="NB24" s="166"/>
      <c r="NC24" s="167"/>
      <c r="ND24" s="167"/>
      <c r="NF24" s="166"/>
      <c r="NG24" s="166"/>
      <c r="NH24" s="166"/>
      <c r="NK24" s="168"/>
      <c r="NL24" s="168"/>
      <c r="NM24" s="168"/>
      <c r="NN24" s="168"/>
      <c r="NO24" s="168"/>
      <c r="NQ24" s="167"/>
      <c r="NR24" s="167"/>
      <c r="NS24" s="167"/>
      <c r="NT24" s="166"/>
      <c r="NU24" s="166"/>
      <c r="NV24" s="167"/>
      <c r="NW24" s="167"/>
      <c r="NY24" s="166"/>
      <c r="NZ24" s="166"/>
      <c r="OA24" s="166"/>
      <c r="OD24" s="168"/>
      <c r="OE24" s="168"/>
      <c r="OF24" s="168"/>
      <c r="OG24" s="168"/>
      <c r="OH24" s="168"/>
      <c r="OJ24" s="167"/>
      <c r="OK24" s="167"/>
      <c r="OL24" s="167"/>
      <c r="OM24" s="166"/>
      <c r="ON24" s="166"/>
      <c r="OO24" s="167"/>
      <c r="OP24" s="167"/>
      <c r="OR24" s="166"/>
      <c r="OS24" s="166"/>
      <c r="OT24" s="166"/>
      <c r="OW24" s="168"/>
      <c r="OX24" s="168"/>
      <c r="OY24" s="168"/>
      <c r="OZ24" s="168"/>
      <c r="PA24" s="168"/>
      <c r="PC24" s="167"/>
      <c r="PD24" s="167"/>
      <c r="PE24" s="167"/>
      <c r="PF24" s="166"/>
      <c r="PG24" s="166"/>
      <c r="PH24" s="167"/>
      <c r="PI24" s="167"/>
      <c r="PK24" s="166"/>
      <c r="PL24" s="166"/>
      <c r="PM24" s="166"/>
      <c r="PP24" s="168"/>
      <c r="PQ24" s="168"/>
      <c r="PR24" s="168"/>
      <c r="PS24" s="168"/>
      <c r="PT24" s="168"/>
      <c r="PV24" s="167"/>
      <c r="PW24" s="167"/>
      <c r="PX24" s="167"/>
      <c r="PY24" s="166"/>
      <c r="PZ24" s="166"/>
      <c r="QA24" s="167"/>
      <c r="QB24" s="167"/>
      <c r="QD24" s="166"/>
      <c r="QE24" s="166"/>
      <c r="QF24" s="166"/>
      <c r="QI24" s="168"/>
      <c r="QJ24" s="168"/>
      <c r="QK24" s="168"/>
      <c r="QL24" s="168"/>
      <c r="QM24" s="168"/>
      <c r="QO24" s="167"/>
      <c r="QP24" s="167"/>
      <c r="QQ24" s="167"/>
      <c r="QR24" s="166"/>
      <c r="QS24" s="166"/>
      <c r="QT24" s="167"/>
      <c r="QU24" s="167"/>
      <c r="QW24" s="166"/>
      <c r="QX24" s="166"/>
      <c r="QY24" s="166"/>
      <c r="RB24" s="168"/>
      <c r="RC24" s="168"/>
      <c r="RD24" s="168"/>
      <c r="RE24" s="168"/>
      <c r="RF24" s="168"/>
      <c r="RH24" s="167"/>
      <c r="RI24" s="167"/>
      <c r="RJ24" s="167"/>
      <c r="RK24" s="166"/>
      <c r="RL24" s="166"/>
      <c r="RM24" s="167"/>
      <c r="RN24" s="167"/>
      <c r="RP24" s="166"/>
      <c r="RQ24" s="166"/>
      <c r="RR24" s="166"/>
      <c r="RU24" s="168"/>
      <c r="RV24" s="168"/>
      <c r="RW24" s="168"/>
      <c r="RX24" s="168"/>
      <c r="RY24" s="168"/>
      <c r="SA24" s="167"/>
      <c r="SB24" s="167"/>
      <c r="SC24" s="167"/>
      <c r="SD24" s="166"/>
      <c r="SE24" s="166"/>
      <c r="SF24" s="167"/>
      <c r="SG24" s="167"/>
      <c r="SI24" s="166"/>
      <c r="SJ24" s="166"/>
      <c r="SK24" s="166"/>
      <c r="SN24" s="168"/>
      <c r="SO24" s="168"/>
      <c r="SP24" s="168"/>
      <c r="SQ24" s="168"/>
      <c r="SR24" s="168"/>
      <c r="ST24" s="167"/>
      <c r="SU24" s="167"/>
      <c r="SV24" s="167"/>
      <c r="SW24" s="166"/>
      <c r="SX24" s="166"/>
      <c r="SY24" s="167"/>
      <c r="SZ24" s="167"/>
      <c r="TB24" s="166"/>
      <c r="TC24" s="166"/>
      <c r="TF24" s="168"/>
      <c r="TG24" s="168"/>
      <c r="TH24" s="168"/>
      <c r="TI24" s="168"/>
      <c r="TK24" s="167"/>
      <c r="TL24" s="167"/>
      <c r="TM24" s="167"/>
      <c r="TN24" s="166"/>
      <c r="TO24" s="166"/>
      <c r="TP24" s="167"/>
      <c r="TQ24" s="167"/>
      <c r="TS24" s="166"/>
      <c r="TT24" s="166"/>
      <c r="TW24" s="168"/>
      <c r="TX24" s="168"/>
      <c r="TY24" s="168"/>
      <c r="TZ24" s="168"/>
      <c r="UB24" s="167"/>
      <c r="UC24" s="167"/>
      <c r="UD24" s="167"/>
      <c r="UE24" s="166"/>
      <c r="UF24" s="166"/>
      <c r="UG24" s="167"/>
      <c r="UH24" s="167"/>
      <c r="UJ24" s="166"/>
      <c r="UK24" s="166"/>
      <c r="UN24" s="84"/>
      <c r="UO24" s="84"/>
      <c r="UP24" s="84"/>
      <c r="UQ24" s="84"/>
      <c r="UR24" s="84"/>
      <c r="US24" s="84"/>
      <c r="UT24" s="84"/>
    </row>
  </sheetData>
  <sheetProtection algorithmName="SHA-512" hashValue="vTpegaWamX8Kjvr0oRAptNEBIQKxV7YymcbpqkH5mT5dpbj2aFlpGIQiIksqYXLGgLIvd6CvTfID607deAIEsg==" saltValue="laTlaHD3RsCQv6ryU/aYJA==" spinCount="100000" sheet="1"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482B2C-574F-45A1-9DC6-F020F621E996}">
          <x14:formula1>
            <xm:f>ref!$B$3:$B$6</xm:f>
          </x14:formula1>
          <xm:sqref>H5:K9 C5:E9 N5:Q9 V5:X9 AA5:AD9 AG5:AJ9 C11:E12 H11:K12 N11:Q12 V11:X12 AA11:AD12 AG11:AJ12 C14:E15 H14:K15 N14:Q15 V14:X15 AA14:AD15 AG14:AJ15 C17:E19 H17:K19 N17:Q19 V17:X19 AA17:AD19 AG17:AJ19 C21:E21 H21:K21 N21:Q21 V21:X21 AA21:AD21 AG21:AJ21 PX5:PZ9 QC5:QF9 QI5:QL9 PX11:PZ12 QC11:QF12 QI11:QL12 PX14:PZ15 QC14:QF15 QI14:QL15 PX17:PZ19 QC17:QF19 QI17:QL19 PX21:PZ21 QC21:QF21 QI21:QL21 QQ5:QS9 QV5:QY9 RB5:RE9 QQ11:QS12 QV11:QY12 RB11:RE12 QQ14:QS15 QV14:QY15 RB14:RE15 QQ17:QS19 QV17:QY19 RB17:RE19 QQ21:QS21 QV21:QY21 RB21:RE21 SC5:SE9 SH5:SK9 SN5:SQ9 SC11:SE12 SH11:SK12 SN11:SQ12 SC14:SE15 SH14:SK15 SN14:SQ15 SC17:SE19 SH17:SK19 SN17:SQ19 SC21:SE21 SH21:SK21 SN21:SQ21 RJ5:RL9 RO5:RR9 RU5:RX9 RJ11:RL12 RO11:RR12 RU11:RX12 RJ14:RL15 RO14:RR15 RU14:RX15 RJ17:RL19 RO17:RR19 RU17:RX19 RJ21:RL21 RO21:RR21 RU21:RX21 SV5:SX9 TA5:TC9 TF5:TH9 SV11:SX12 TA11:TC12 TF11:TH12 SV14:SX15 TA14:TC15 TF14:TH15 SV17:SX19 TA17:TC19 TF17:TH19 SV21:SX21 TA21:TC21 TF21:TH21 TM5:TO9 TR5:TT9 TW5:TY9 TM11:TO12 TR11:TT12 TW11:TY12 TM14:TO15 TR14:TT15 TW14:TY15 TM17:TO19 TR17:TT19 TW17:TY19 TM21:TO21 TR21:TT21 TW21:TY21 AO5:AQ9 AT5:AW9 AZ5:BC9 AO11:AQ12 AT11:AW12 AZ11:BC12 AO14:AQ15 AT14:AW15 AZ14:BC15 AO17:AQ19 AT17:AW19 AZ17:BC19 AO21:AQ21 AT21:AW21 AZ21:BC21 BH5:BJ9 BM5:BP9 BS5:BV9 BH11:BJ12 BM11:BP12 BS11:BV12 BH14:BJ15 BM14:BP15 BS14:BV15 BH17:BJ19 BM17:BP19 BS17:BV19 BH21:BJ21 BM21:BP21 BS21:BV21 CA5:CC9 CF5:CI9 CL5:CO9 CA11:CC12 CF11:CI12 CL11:CO12 CA14:CC15 CF14:CI15 CL14:CO15 CA17:CC19 CF17:CI19 CL17:CO19 CA21:CC21 CF21:CI21 CL21:CO21 CT5:CV9 CY5:DB9 DE5:DH9 CT11:CV12 CY11:DB12 DE11:DH12 CT14:CV15 CY14:DB15 DE14:DH15 CT17:CV19 CY17:DB19 DE17:DH19 CT21:CV21 CY21:DB21 DE21:DH21 DM5:DO9 DR5:DU9 DX5:EA9 DM11:DO12 DR11:DU12 DX11:EA12 DM14:DO15 DR14:DU15 DX14:EA15 DM17:DO19 DR17:DU19 DX17:EA19 DM21:DO21 DR21:DU21 DX21:EA21 EF5:EH9 EK5:EN9 EQ5:ET9 EF11:EH12 EK11:EN12 EQ11:ET12 EF14:EH15 EK14:EN15 EQ14:ET15 EF17:EH19 EK17:EN19 EQ17:ET19 EF21:EH21 EK21:EN21 EQ21:ET21 EY5:FA9 FD5:FG9 FJ5:FM9 EY11:FA12 FD11:FG12 FJ11:FM12 EY14:FA15 FD14:FG15 FJ14:FM15 EY17:FA19 FD17:FG19 FJ17:FM19 EY21:FA21 FD21:FG21 FJ21:FM21 FR5:FT9 FW5:FZ9 GC5:GF9 FR11:FT12 FW11:FZ12 GC11:GF12 FR14:FT15 FW14:FZ15 GC14:GF15 FR17:FT19 FW17:FZ19 GC17:GF19 FR21:FT21 FW21:FZ21 GC21:GF21 GK5:GM9 GP5:GS9 GV5:GY9 GK11:GM12 GP11:GS12 GV11:GY12 GK14:GM15 GP14:GS15 GV14:GY15 GK17:GM19 GP17:GS19 GV17:GY19 GK21:GM21 GP21:GS21 GV21:GY21 HD5:HF9 HI5:HL9 HO5:HR9 HD11:HF12 HI11:HL12 HO11:HR12 HD14:HF15 HI14:HL15 HO14:HR15 HD17:HF19 HI17:HL19 HO17:HR19 HD21:HF21 HI21:HL21 HO21:HR21 HW5:HY9 IB5:IE9 IH5:IK9 HW11:HY12 IB11:IE12 IH11:IK12 HW14:HY15 IB14:IE15 IH14:IK15 HW17:HY19 IB17:IE19 IH17:IK19 HW21:HY21 IB21:IE21 IH21:IK21 IP5:IR9 IU5:IX9 JA5:JD9 IP11:IR12 IU11:IX12 JA11:JD12 IP14:IR15 IU14:IX15 JA14:JD15 IP17:IR19 IU17:IX19 JA17:JD19 IP21:IR21 IU21:IX21 JA21:JD21 JI5:JK9 JN5:JQ9 JT5:JW9 JI11:JK12 JN11:JQ12 JT11:JW12 JI14:JK15 JN14:JQ15 JT14:JW15 JI17:JK19 JN17:JQ19 JT17:JW19 JI21:JK21 JN21:JQ21 JT21:JW21 KB5:KD9 KG5:KJ9 KM5:KP9 KB11:KD12 KG11:KJ12 KM11:KP12 KB14:KD15 KG14:KJ15 KM14:KP15 KB17:KD19 KG17:KJ19 KM17:KP19 KB21:KD21 KG21:KJ21 KM21:KP21 KU5:KW9 KZ5:LC9 LF5:LI9 KU11:KW12 KZ11:LC12 LF11:LI12 KU14:KW15 KZ14:LC15 LF14:LI15 KU17:KW19 KZ17:LC19 LF17:LI19 KU21:KW21 KZ21:LC21 LF21:LI21 LN5:LP9 LS5:LV9 LY5:MB9 LN11:LP12 LS11:LV12 LY11:MB12 LN14:LP15 LS14:LV15 LY14:MB15 LN17:LP19 LS17:LV19 LY17:MB19 LN21:LP21 LS21:LV21 LY21:MB21 MG5:MI9 ML5:MO9 MR5:MU9 MG11:MI12 ML11:MO12 MR11:MU12 MG14:MI15 ML14:MO15 MR14:MU15 MG17:MI19 ML17:MO19 MR17:MU19 MG21:MI21 ML21:MO21 MR21:MU21 MZ5:NB9 NE5:NH9 NK5:NN9 MZ11:NB12 NE11:NH12 NK11:NN12 MZ14:NB15 NE14:NH15 NK14:NN15 MZ17:NB19 NE17:NH19 NK17:NN19 MZ21:NB21 NE21:NH21 NK21:NN21 NS5:NU9 NX5:OA9 OD5:OG9 NS11:NU12 NX11:OA12 OD11:OG12 NS14:NU15 NX14:OA15 OD14:OG15 NS17:NU19 NX17:OA19 OD17:OG19 NS21:NU21 NX21:OA21 OD21:OG21 OL5:ON9 OQ5:OT9 OW5:OZ9 OL11:ON12 OQ11:OT12 OW11:OZ12 OL14:ON15 OQ14:OT15 OW14:OZ15 OL17:ON19 OQ17:OT19 OW17:OZ19 OL21:ON21 OQ21:OT21 OW21:OZ21 PE5:PG9 PJ5:PM9 PP5:PS9 PE11:PG12 PJ11:PM12 PP11:PS12 PE14:PG15 PJ14:PM15 PP14:PS15 PE17:PG19 PJ17:PM19 PP17:PS19 PE21:PG21 PJ21:PM21 PP21:PS21 UD5:UF9 UI5:UK9 UN5:UP9 UD11:UF12 UI11:UK12 UN11:UP12 UD14:UF15 UI14:UK15 UN14:UP15 UD17:UF19 UI17:UK19 UN17:UP19 UD21:UF21 UI21:UK21 UN21:UP21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C29"/>
  <sheetViews>
    <sheetView zoomScale="90" zoomScaleNormal="90" workbookViewId="0"/>
  </sheetViews>
  <sheetFormatPr baseColWidth="10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55" t="s">
        <v>134</v>
      </c>
      <c r="B1" s="231" t="s">
        <v>0</v>
      </c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2"/>
      <c r="AC1" s="56" t="s">
        <v>43</v>
      </c>
    </row>
    <row r="2" spans="1:29" ht="24.95" customHeight="1" thickTop="1" x14ac:dyDescent="0.25">
      <c r="A2" s="233" t="s">
        <v>1</v>
      </c>
      <c r="B2" s="235" t="s">
        <v>2</v>
      </c>
      <c r="C2" s="235"/>
      <c r="D2" s="235"/>
      <c r="E2" s="236"/>
      <c r="F2" s="237" t="s">
        <v>3</v>
      </c>
      <c r="G2" s="238"/>
      <c r="H2" s="238"/>
      <c r="I2" s="239"/>
      <c r="J2" s="237" t="s">
        <v>4</v>
      </c>
      <c r="K2" s="238"/>
      <c r="L2" s="238"/>
      <c r="M2" s="239"/>
      <c r="N2" s="237" t="s">
        <v>5</v>
      </c>
      <c r="O2" s="238"/>
      <c r="P2" s="238"/>
      <c r="Q2" s="239"/>
      <c r="R2" s="237" t="s">
        <v>6</v>
      </c>
      <c r="S2" s="238"/>
      <c r="T2" s="238"/>
      <c r="U2" s="239"/>
      <c r="V2" s="240" t="s">
        <v>41</v>
      </c>
      <c r="W2" s="241"/>
      <c r="X2" s="242"/>
      <c r="Y2" s="243" t="s">
        <v>38</v>
      </c>
      <c r="Z2" s="244"/>
      <c r="AA2" s="245"/>
      <c r="AC2" s="57" t="s">
        <v>133</v>
      </c>
    </row>
    <row r="3" spans="1:29" ht="24.95" customHeight="1" thickBot="1" x14ac:dyDescent="0.3">
      <c r="A3" s="234"/>
      <c r="B3" s="38" t="s">
        <v>33</v>
      </c>
      <c r="C3" s="39" t="s">
        <v>34</v>
      </c>
      <c r="D3" s="38" t="s">
        <v>35</v>
      </c>
      <c r="E3" s="40" t="s">
        <v>10</v>
      </c>
      <c r="F3" s="41" t="s">
        <v>33</v>
      </c>
      <c r="G3" s="42" t="s">
        <v>34</v>
      </c>
      <c r="H3" s="43" t="s">
        <v>35</v>
      </c>
      <c r="I3" s="44" t="s">
        <v>10</v>
      </c>
      <c r="J3" s="45" t="s">
        <v>33</v>
      </c>
      <c r="K3" s="46" t="s">
        <v>34</v>
      </c>
      <c r="L3" s="43" t="s">
        <v>35</v>
      </c>
      <c r="M3" s="44" t="s">
        <v>10</v>
      </c>
      <c r="N3" s="41" t="s">
        <v>33</v>
      </c>
      <c r="O3" s="47" t="s">
        <v>34</v>
      </c>
      <c r="P3" s="43" t="s">
        <v>35</v>
      </c>
      <c r="Q3" s="44" t="s">
        <v>10</v>
      </c>
      <c r="R3" s="41" t="s">
        <v>33</v>
      </c>
      <c r="S3" s="47" t="s">
        <v>34</v>
      </c>
      <c r="T3" s="43" t="s">
        <v>35</v>
      </c>
      <c r="U3" s="44" t="s">
        <v>10</v>
      </c>
      <c r="V3" s="35" t="s">
        <v>33</v>
      </c>
      <c r="W3" s="36" t="s">
        <v>34</v>
      </c>
      <c r="X3" s="36" t="s">
        <v>35</v>
      </c>
      <c r="Y3" s="37" t="s">
        <v>39</v>
      </c>
      <c r="Z3" s="48" t="s">
        <v>50</v>
      </c>
      <c r="AA3" s="58" t="s">
        <v>40</v>
      </c>
      <c r="AB3" s="59"/>
      <c r="AC3" s="60" t="s">
        <v>194</v>
      </c>
    </row>
    <row r="4" spans="1:29" ht="15.75" customHeight="1" thickTop="1" x14ac:dyDescent="0.25">
      <c r="A4" s="62" t="str">
        <f ca="1">CELL("contenu",INDIRECT(ADDRESS(ROW()-2,7,1,,CELL("contenu",$AC$3))))</f>
        <v>ABOURAHIM Adame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>C</v>
      </c>
      <c r="D4" s="4" t="str">
        <f ca="1">CELL("contenu",INDIRECT(ADDRESS(ref!$K$3,ref!G3,1,,CELL("contenu",$AC$2))))</f>
        <v/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>C</v>
      </c>
      <c r="G4" s="3" t="str">
        <f ca="1">CELL("contenu",INDIRECT(ADDRESS(ref!$K$4,ref!F3,1,,CELL("contenu",$AC$2))))</f>
        <v>A</v>
      </c>
      <c r="H4" s="4" t="str">
        <f ca="1">CELL("contenu",INDIRECT(ADDRESS(ref!$K$4,ref!G3,1,,CELL("contenu",$AC$2))))</f>
        <v/>
      </c>
      <c r="I4" s="5" t="str">
        <f ca="1">CELL("contenu",INDIRECT(ADDRESS(ref!$K$4,ref!H3,1,,CELL("contenu",$AC$2))))</f>
        <v>C</v>
      </c>
      <c r="J4" s="6" t="str">
        <f ca="1">CELL("contenu",INDIRECT(ADDRESS(ref!$K$5,ref!E3,1,,CELL("contenu",$AC$2))))</f>
        <v>A</v>
      </c>
      <c r="K4" s="3" t="str">
        <f ca="1">CELL("contenu",INDIRECT(ADDRESS(ref!$K$5,ref!F3,1,,CELL("contenu",$AC$2))))</f>
        <v>A</v>
      </c>
      <c r="L4" s="4" t="str">
        <f ca="1">CELL("contenu",INDIRECT(ADDRESS(ref!$K$5,ref!G3,1,,CELL("contenu",$AC$2))))</f>
        <v/>
      </c>
      <c r="M4" s="5" t="str">
        <f ca="1">CELL("contenu",INDIRECT(ADDRESS(ref!$K$5,ref!H3,1,,CELL("contenu",$AC$2))))</f>
        <v>A</v>
      </c>
      <c r="N4" s="6" t="str">
        <f ca="1">CELL("contenu",INDIRECT(ADDRESS(ref!$K$6,ref!E3,1,,CELL("contenu",$AC$2))))</f>
        <v>C</v>
      </c>
      <c r="O4" s="3" t="str">
        <f ca="1">CELL("contenu",INDIRECT(ADDRESS(ref!$K$6,ref!F3,1,,CELL("contenu",$AC$2))))</f>
        <v>C</v>
      </c>
      <c r="P4" s="4" t="str">
        <f ca="1">CELL("contenu",INDIRECT(ADDRESS(ref!$K$6,ref!G3,1,,CELL("contenu",$AC$2))))</f>
        <v/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9">
        <f ca="1">CELL("contenu",INDIRECT(ADDRESS(ref!$K$8,ref!E3,1,,CELL("contenu",$AC$2))))</f>
        <v>11.759259259259258</v>
      </c>
      <c r="W4" s="50">
        <f ca="1">CELL("contenu",INDIRECT(ADDRESS(ref!$K$8,ref!F3,1,,CELL("contenu",$AC$2))))</f>
        <v>14.444444444444445</v>
      </c>
      <c r="X4" s="51" t="str">
        <f ca="1">CELL("contenu",INDIRECT(ADDRESS(ref!$K$8,ref!G3,1,,CELL("contenu",$AC$2))))</f>
        <v/>
      </c>
      <c r="Y4" s="7" t="str">
        <f ca="1">CELL("contenu",INDIRECT(ADDRESS(ref!$K$9,ref!H3,1,,CELL("contenu",$AC$2))))</f>
        <v>B</v>
      </c>
      <c r="Z4" s="4" t="str">
        <f ca="1">CELL("contenu",INDIRECT(ADDRESS(ref!$K$10,ref!H3,1,,CELL("contenu",$AC$2))))</f>
        <v>D</v>
      </c>
      <c r="AA4" s="8" t="str">
        <f ca="1">CELL("contenu",INDIRECT(ADDRESS(ref!$K$11,ref!H3,1,,CELL("contenu",$AC$2))))</f>
        <v>A</v>
      </c>
    </row>
    <row r="5" spans="1:29" x14ac:dyDescent="0.25">
      <c r="A5" s="62" t="str">
        <f t="shared" ref="A5:A29" ca="1" si="0">CELL("contenu",INDIRECT(ADDRESS(ROW()-2,7,1,,CELL("contenu",$AC$3))))</f>
        <v>AUBIN Hermine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>B</v>
      </c>
      <c r="D5" s="4" t="str">
        <f ca="1">CELL("contenu",INDIRECT(ADDRESS(ref!$K$3,ref!G4,1,,CELL("contenu",$AC$2))))</f>
        <v/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>C</v>
      </c>
      <c r="G5" s="3" t="str">
        <f ca="1">CELL("contenu",INDIRECT(ADDRESS(ref!$K$4,ref!F4,1,,CELL("contenu",$AC$2))))</f>
        <v>B</v>
      </c>
      <c r="H5" s="4" t="str">
        <f ca="1">CELL("contenu",INDIRECT(ADDRESS(ref!$K$4,ref!G4,1,,CELL("contenu",$AC$2))))</f>
        <v/>
      </c>
      <c r="I5" s="5" t="str">
        <f ca="1">CELL("contenu",INDIRECT(ADDRESS(ref!$K$4,ref!H4,1,,CELL("contenu",$AC$2))))</f>
        <v>C</v>
      </c>
      <c r="J5" s="6" t="str">
        <f ca="1">CELL("contenu",INDIRECT(ADDRESS(ref!$K$5,ref!E4,1,,CELL("contenu",$AC$2))))</f>
        <v>A</v>
      </c>
      <c r="K5" s="3" t="str">
        <f ca="1">CELL("contenu",INDIRECT(ADDRESS(ref!$K$5,ref!F4,1,,CELL("contenu",$AC$2))))</f>
        <v>A</v>
      </c>
      <c r="L5" s="4" t="str">
        <f ca="1">CELL("contenu",INDIRECT(ADDRESS(ref!$K$5,ref!G4,1,,CELL("contenu",$AC$2))))</f>
        <v/>
      </c>
      <c r="M5" s="5" t="str">
        <f ca="1">CELL("contenu",INDIRECT(ADDRESS(ref!$K$5,ref!H4,1,,CELL("contenu",$AC$2))))</f>
        <v>A</v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>C</v>
      </c>
      <c r="P5" s="4" t="str">
        <f ca="1">CELL("contenu",INDIRECT(ADDRESS(ref!$K$6,ref!G4,1,,CELL("contenu",$AC$2))))</f>
        <v/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9">
        <f ca="1">CELL("contenu",INDIRECT(ADDRESS(ref!$K$8,ref!E4,1,,CELL("contenu",$AC$2))))</f>
        <v>12.75462962962963</v>
      </c>
      <c r="W5" s="50">
        <f ca="1">CELL("contenu",INDIRECT(ADDRESS(ref!$K$8,ref!F4,1,,CELL("contenu",$AC$2))))</f>
        <v>14.444444444444445</v>
      </c>
      <c r="X5" s="51" t="str">
        <f ca="1">CELL("contenu",INDIRECT(ADDRESS(ref!$K$8,ref!G4,1,,CELL("contenu",$AC$2))))</f>
        <v/>
      </c>
      <c r="Y5" s="7" t="str">
        <f ca="1">CELL("contenu",INDIRECT(ADDRESS(ref!$K$9,ref!H4,1,,CELL("contenu",$AC$2))))</f>
        <v>B</v>
      </c>
      <c r="Z5" s="4" t="str">
        <f ca="1">CELL("contenu",INDIRECT(ADDRESS(ref!$K$10,ref!H4,1,,CELL("contenu",$AC$2))))</f>
        <v>C</v>
      </c>
      <c r="AA5" s="8" t="str">
        <f ca="1">CELL("contenu",INDIRECT(ADDRESS(ref!$K$11,ref!H4,1,,CELL("contenu",$AC$2))))</f>
        <v>A</v>
      </c>
    </row>
    <row r="6" spans="1:29" x14ac:dyDescent="0.25">
      <c r="A6" s="62" t="str">
        <f t="shared" ca="1" si="0"/>
        <v>AVRIL Toanui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>C</v>
      </c>
      <c r="D6" s="4" t="str">
        <f ca="1">CELL("contenu",INDIRECT(ADDRESS(ref!$K$3,ref!G5,1,,CELL("contenu",$AC$2))))</f>
        <v/>
      </c>
      <c r="E6" s="5" t="str">
        <f ca="1">CELL("contenu",INDIRECT(ADDRESS(ref!$K$3,ref!H5,1,,CELL("contenu",$AC$2))))</f>
        <v>C</v>
      </c>
      <c r="F6" s="6" t="str">
        <f ca="1">CELL("contenu",INDIRECT(ADDRESS(ref!$K$4,ref!E5,1,,CELL("contenu",$AC$2))))</f>
        <v>B</v>
      </c>
      <c r="G6" s="3" t="str">
        <f ca="1">CELL("contenu",INDIRECT(ADDRESS(ref!$K$4,ref!F5,1,,CELL("contenu",$AC$2))))</f>
        <v>B</v>
      </c>
      <c r="H6" s="4" t="str">
        <f ca="1">CELL("contenu",INDIRECT(ADDRESS(ref!$K$4,ref!G5,1,,CELL("contenu",$AC$2))))</f>
        <v/>
      </c>
      <c r="I6" s="5" t="str">
        <f ca="1">CELL("contenu",INDIRECT(ADDRESS(ref!$K$4,ref!H5,1,,CELL("contenu",$AC$2))))</f>
        <v>B</v>
      </c>
      <c r="J6" s="6" t="str">
        <f ca="1">CELL("contenu",INDIRECT(ADDRESS(ref!$K$5,ref!E5,1,,CELL("contenu",$AC$2))))</f>
        <v/>
      </c>
      <c r="K6" s="3" t="str">
        <f ca="1">CELL("contenu",INDIRECT(ADDRESS(ref!$K$5,ref!F5,1,,CELL("contenu",$AC$2))))</f>
        <v>A</v>
      </c>
      <c r="L6" s="4" t="str">
        <f ca="1">CELL("contenu",INDIRECT(ADDRESS(ref!$K$5,ref!G5,1,,CELL("contenu",$AC$2))))</f>
        <v/>
      </c>
      <c r="M6" s="5" t="str">
        <f ca="1">CELL("contenu",INDIRECT(ADDRESS(ref!$K$5,ref!H5,1,,CELL("contenu",$AC$2))))</f>
        <v>A</v>
      </c>
      <c r="N6" s="6" t="str">
        <f ca="1">CELL("contenu",INDIRECT(ADDRESS(ref!$K$6,ref!E5,1,,CELL("contenu",$AC$2))))</f>
        <v>C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/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9">
        <f ca="1">CELL("contenu",INDIRECT(ADDRESS(ref!$K$8,ref!E5,1,,CELL("contenu",$AC$2))))</f>
        <v>13.027777777777779</v>
      </c>
      <c r="W6" s="50">
        <f ca="1">CELL("contenu",INDIRECT(ADDRESS(ref!$K$8,ref!F5,1,,CELL("contenu",$AC$2))))</f>
        <v>13.194444444444445</v>
      </c>
      <c r="X6" s="51" t="str">
        <f ca="1">CELL("contenu",INDIRECT(ADDRESS(ref!$K$8,ref!G5,1,,CELL("contenu",$AC$2))))</f>
        <v/>
      </c>
      <c r="Y6" s="7" t="str">
        <f ca="1">CELL("contenu",INDIRECT(ADDRESS(ref!$K$9,ref!H5,1,,CELL("contenu",$AC$2))))</f>
        <v>B</v>
      </c>
      <c r="Z6" s="4" t="str">
        <f ca="1">CELL("contenu",INDIRECT(ADDRESS(ref!$K$10,ref!H5,1,,CELL("contenu",$AC$2))))</f>
        <v>B</v>
      </c>
      <c r="AA6" s="8" t="str">
        <f ca="1">CELL("contenu",INDIRECT(ADDRESS(ref!$K$11,ref!H5,1,,CELL("contenu",$AC$2))))</f>
        <v>A</v>
      </c>
    </row>
    <row r="7" spans="1:29" x14ac:dyDescent="0.25">
      <c r="A7" s="62" t="str">
        <f t="shared" ca="1" si="0"/>
        <v>BOUTET Nathan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>C</v>
      </c>
      <c r="D7" s="4" t="str">
        <f ca="1">CELL("contenu",INDIRECT(ADDRESS(ref!$K$3,ref!G6,1,,CELL("contenu",$AC$2))))</f>
        <v/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>C</v>
      </c>
      <c r="G7" s="3" t="str">
        <f ca="1">CELL("contenu",INDIRECT(ADDRESS(ref!$K$4,ref!F6,1,,CELL("contenu",$AC$2))))</f>
        <v>B</v>
      </c>
      <c r="H7" s="4" t="str">
        <f ca="1">CELL("contenu",INDIRECT(ADDRESS(ref!$K$4,ref!G6,1,,CELL("contenu",$AC$2))))</f>
        <v/>
      </c>
      <c r="I7" s="5" t="str">
        <f ca="1">CELL("contenu",INDIRECT(ADDRESS(ref!$K$4,ref!H6,1,,CELL("contenu",$AC$2))))</f>
        <v>C</v>
      </c>
      <c r="J7" s="6" t="str">
        <f ca="1">CELL("contenu",INDIRECT(ADDRESS(ref!$K$5,ref!E6,1,,CELL("contenu",$AC$2))))</f>
        <v>A</v>
      </c>
      <c r="K7" s="3" t="str">
        <f ca="1">CELL("contenu",INDIRECT(ADDRESS(ref!$K$5,ref!F6,1,,CELL("contenu",$AC$2))))</f>
        <v>A</v>
      </c>
      <c r="L7" s="4" t="str">
        <f ca="1">CELL("contenu",INDIRECT(ADDRESS(ref!$K$5,ref!G6,1,,CELL("contenu",$AC$2))))</f>
        <v/>
      </c>
      <c r="M7" s="5" t="str">
        <f ca="1">CELL("contenu",INDIRECT(ADDRESS(ref!$K$5,ref!H6,1,,CELL("contenu",$AC$2))))</f>
        <v>A</v>
      </c>
      <c r="N7" s="6" t="str">
        <f ca="1">CELL("contenu",INDIRECT(ADDRESS(ref!$K$6,ref!E6,1,,CELL("contenu",$AC$2))))</f>
        <v>C</v>
      </c>
      <c r="O7" s="3" t="str">
        <f ca="1">CELL("contenu",INDIRECT(ADDRESS(ref!$K$6,ref!F6,1,,CELL("contenu",$AC$2))))</f>
        <v>C</v>
      </c>
      <c r="P7" s="4" t="str">
        <f ca="1">CELL("contenu",INDIRECT(ADDRESS(ref!$K$6,ref!G6,1,,CELL("contenu",$AC$2))))</f>
        <v/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9">
        <f ca="1">CELL("contenu",INDIRECT(ADDRESS(ref!$K$8,ref!E6,1,,CELL("contenu",$AC$2))))</f>
        <v>14.027777777777777</v>
      </c>
      <c r="W7" s="50">
        <f ca="1">CELL("contenu",INDIRECT(ADDRESS(ref!$K$8,ref!F6,1,,CELL("contenu",$AC$2))))</f>
        <v>13.935185185185183</v>
      </c>
      <c r="X7" s="51" t="str">
        <f ca="1">CELL("contenu",INDIRECT(ADDRESS(ref!$K$8,ref!G6,1,,CELL("contenu",$AC$2))))</f>
        <v/>
      </c>
      <c r="Y7" s="7" t="str">
        <f ca="1">CELL("contenu",INDIRECT(ADDRESS(ref!$K$9,ref!H6,1,,CELL("contenu",$AC$2))))</f>
        <v>B</v>
      </c>
      <c r="Z7" s="4" t="str">
        <f ca="1">CELL("contenu",INDIRECT(ADDRESS(ref!$K$10,ref!H6,1,,CELL("contenu",$AC$2))))</f>
        <v>C</v>
      </c>
      <c r="AA7" s="8" t="str">
        <f ca="1">CELL("contenu",INDIRECT(ADDRESS(ref!$K$11,ref!H6,1,,CELL("contenu",$AC$2))))</f>
        <v>A</v>
      </c>
    </row>
    <row r="8" spans="1:29" x14ac:dyDescent="0.25">
      <c r="A8" s="62" t="str">
        <f t="shared" ca="1" si="0"/>
        <v>BRILHAULT Vincent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C</v>
      </c>
      <c r="D8" s="4" t="str">
        <f ca="1">CELL("contenu",INDIRECT(ADDRESS(ref!$K$3,ref!G7,1,,CELL("contenu",$AC$2))))</f>
        <v/>
      </c>
      <c r="E8" s="5" t="str">
        <f ca="1">CELL("contenu",INDIRECT(ADDRESS(ref!$K$3,ref!H7,1,,CELL("contenu",$AC$2))))</f>
        <v>C</v>
      </c>
      <c r="F8" s="6" t="str">
        <f ca="1">CELL("contenu",INDIRECT(ADDRESS(ref!$K$4,ref!E7,1,,CELL("contenu",$AC$2))))</f>
        <v>C</v>
      </c>
      <c r="G8" s="3" t="str">
        <f ca="1">CELL("contenu",INDIRECT(ADDRESS(ref!$K$4,ref!F7,1,,CELL("contenu",$AC$2))))</f>
        <v>B</v>
      </c>
      <c r="H8" s="4" t="str">
        <f ca="1">CELL("contenu",INDIRECT(ADDRESS(ref!$K$4,ref!G7,1,,CELL("contenu",$AC$2))))</f>
        <v/>
      </c>
      <c r="I8" s="5" t="str">
        <f ca="1">CELL("contenu",INDIRECT(ADDRESS(ref!$K$4,ref!H7,1,,CELL("contenu",$AC$2))))</f>
        <v>C</v>
      </c>
      <c r="J8" s="6" t="str">
        <f ca="1">CELL("contenu",INDIRECT(ADDRESS(ref!$K$5,ref!E7,1,,CELL("contenu",$AC$2))))</f>
        <v>A</v>
      </c>
      <c r="K8" s="3" t="str">
        <f ca="1">CELL("contenu",INDIRECT(ADDRESS(ref!$K$5,ref!F7,1,,CELL("contenu",$AC$2))))</f>
        <v>A</v>
      </c>
      <c r="L8" s="4" t="str">
        <f ca="1">CELL("contenu",INDIRECT(ADDRESS(ref!$K$5,ref!G7,1,,CELL("contenu",$AC$2))))</f>
        <v/>
      </c>
      <c r="M8" s="5" t="str">
        <f ca="1">CELL("contenu",INDIRECT(ADDRESS(ref!$K$5,ref!H7,1,,CELL("contenu",$AC$2))))</f>
        <v>A</v>
      </c>
      <c r="N8" s="6" t="str">
        <f ca="1">CELL("contenu",INDIRECT(ADDRESS(ref!$K$6,ref!E7,1,,CELL("contenu",$AC$2))))</f>
        <v>C</v>
      </c>
      <c r="O8" s="3" t="str">
        <f ca="1">CELL("contenu",INDIRECT(ADDRESS(ref!$K$6,ref!F7,1,,CELL("contenu",$AC$2))))</f>
        <v>C</v>
      </c>
      <c r="P8" s="4" t="str">
        <f ca="1">CELL("contenu",INDIRECT(ADDRESS(ref!$K$6,ref!G7,1,,CELL("contenu",$AC$2))))</f>
        <v/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9">
        <f ca="1">CELL("contenu",INDIRECT(ADDRESS(ref!$K$8,ref!E7,1,,CELL("contenu",$AC$2))))</f>
        <v>11.712962962962965</v>
      </c>
      <c r="W8" s="50">
        <f ca="1">CELL("contenu",INDIRECT(ADDRESS(ref!$K$8,ref!F7,1,,CELL("contenu",$AC$2))))</f>
        <v>12.916666666666668</v>
      </c>
      <c r="X8" s="51" t="str">
        <f ca="1">CELL("contenu",INDIRECT(ADDRESS(ref!$K$8,ref!G7,1,,CELL("contenu",$AC$2))))</f>
        <v/>
      </c>
      <c r="Y8" s="7" t="str">
        <f ca="1">CELL("contenu",INDIRECT(ADDRESS(ref!$K$9,ref!H7,1,,CELL("contenu",$AC$2))))</f>
        <v>B</v>
      </c>
      <c r="Z8" s="4" t="str">
        <f ca="1">CELL("contenu",INDIRECT(ADDRESS(ref!$K$10,ref!H7,1,,CELL("contenu",$AC$2))))</f>
        <v>C</v>
      </c>
      <c r="AA8" s="8" t="str">
        <f ca="1">CELL("contenu",INDIRECT(ADDRESS(ref!$K$11,ref!H7,1,,CELL("contenu",$AC$2))))</f>
        <v>A</v>
      </c>
    </row>
    <row r="9" spans="1:29" x14ac:dyDescent="0.25">
      <c r="A9" s="62" t="str">
        <f t="shared" ca="1" si="0"/>
        <v>CHARRIER Simon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>B</v>
      </c>
      <c r="D9" s="4" t="str">
        <f ca="1">CELL("contenu",INDIRECT(ADDRESS(ref!$K$3,ref!G8,1,,CELL("contenu",$AC$2))))</f>
        <v/>
      </c>
      <c r="E9" s="5" t="str">
        <f ca="1">CELL("contenu",INDIRECT(ADDRESS(ref!$K$3,ref!H8,1,,CELL("contenu",$AC$2))))</f>
        <v>B</v>
      </c>
      <c r="F9" s="6" t="str">
        <f ca="1">CELL("contenu",INDIRECT(ADDRESS(ref!$K$4,ref!E8,1,,CELL("contenu",$AC$2))))</f>
        <v>C</v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/>
      </c>
      <c r="I9" s="5" t="str">
        <f ca="1">CELL("contenu",INDIRECT(ADDRESS(ref!$K$4,ref!H8,1,,CELL("contenu",$AC$2))))</f>
        <v>C</v>
      </c>
      <c r="J9" s="6" t="str">
        <f ca="1">CELL("contenu",INDIRECT(ADDRESS(ref!$K$5,ref!E8,1,,CELL("contenu",$AC$2))))</f>
        <v>A</v>
      </c>
      <c r="K9" s="3" t="str">
        <f ca="1">CELL("contenu",INDIRECT(ADDRESS(ref!$K$5,ref!F8,1,,CELL("contenu",$AC$2))))</f>
        <v>A</v>
      </c>
      <c r="L9" s="4" t="str">
        <f ca="1">CELL("contenu",INDIRECT(ADDRESS(ref!$K$5,ref!G8,1,,CELL("contenu",$AC$2))))</f>
        <v/>
      </c>
      <c r="M9" s="5" t="str">
        <f ca="1">CELL("contenu",INDIRECT(ADDRESS(ref!$K$5,ref!H8,1,,CELL("contenu",$AC$2))))</f>
        <v>A</v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>C</v>
      </c>
      <c r="P9" s="4" t="str">
        <f ca="1">CELL("contenu",INDIRECT(ADDRESS(ref!$K$6,ref!G8,1,,CELL("contenu",$AC$2))))</f>
        <v/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9">
        <f ca="1">CELL("contenu",INDIRECT(ADDRESS(ref!$K$8,ref!E8,1,,CELL("contenu",$AC$2))))</f>
        <v>14.53703703703704</v>
      </c>
      <c r="W9" s="50">
        <f ca="1">CELL("contenu",INDIRECT(ADDRESS(ref!$K$8,ref!F8,1,,CELL("contenu",$AC$2))))</f>
        <v>15.046296296296298</v>
      </c>
      <c r="X9" s="51" t="str">
        <f ca="1">CELL("contenu",INDIRECT(ADDRESS(ref!$K$8,ref!G8,1,,CELL("contenu",$AC$2))))</f>
        <v/>
      </c>
      <c r="Y9" s="7" t="str">
        <f ca="1">CELL("contenu",INDIRECT(ADDRESS(ref!$K$9,ref!H8,1,,CELL("contenu",$AC$2))))</f>
        <v>B</v>
      </c>
      <c r="Z9" s="4" t="str">
        <f ca="1">CELL("contenu",INDIRECT(ADDRESS(ref!$K$10,ref!H8,1,,CELL("contenu",$AC$2))))</f>
        <v>C</v>
      </c>
      <c r="AA9" s="8" t="str">
        <f ca="1">CELL("contenu",INDIRECT(ADDRESS(ref!$K$11,ref!H8,1,,CELL("contenu",$AC$2))))</f>
        <v>A</v>
      </c>
    </row>
    <row r="10" spans="1:29" x14ac:dyDescent="0.25">
      <c r="A10" s="62" t="str">
        <f t="shared" ca="1" si="0"/>
        <v>CORNIL Clovis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>B</v>
      </c>
      <c r="D10" s="4" t="str">
        <f ca="1">CELL("contenu",INDIRECT(ADDRESS(ref!$K$3,ref!G9,1,,CELL("contenu",$AC$2))))</f>
        <v/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>C</v>
      </c>
      <c r="G10" s="3" t="str">
        <f ca="1">CELL("contenu",INDIRECT(ADDRESS(ref!$K$4,ref!F9,1,,CELL("contenu",$AC$2))))</f>
        <v>B</v>
      </c>
      <c r="H10" s="4" t="str">
        <f ca="1">CELL("contenu",INDIRECT(ADDRESS(ref!$K$4,ref!G9,1,,CELL("contenu",$AC$2))))</f>
        <v/>
      </c>
      <c r="I10" s="5" t="str">
        <f ca="1">CELL("contenu",INDIRECT(ADDRESS(ref!$K$4,ref!H9,1,,CELL("contenu",$AC$2))))</f>
        <v>B</v>
      </c>
      <c r="J10" s="6" t="str">
        <f ca="1">CELL("contenu",INDIRECT(ADDRESS(ref!$K$5,ref!E9,1,,CELL("contenu",$AC$2))))</f>
        <v>A</v>
      </c>
      <c r="K10" s="3" t="str">
        <f ca="1">CELL("contenu",INDIRECT(ADDRESS(ref!$K$5,ref!F9,1,,CELL("contenu",$AC$2))))</f>
        <v>A</v>
      </c>
      <c r="L10" s="4" t="str">
        <f ca="1">CELL("contenu",INDIRECT(ADDRESS(ref!$K$5,ref!G9,1,,CELL("contenu",$AC$2))))</f>
        <v/>
      </c>
      <c r="M10" s="5" t="str">
        <f ca="1">CELL("contenu",INDIRECT(ADDRESS(ref!$K$5,ref!H9,1,,CELL("contenu",$AC$2))))</f>
        <v>A</v>
      </c>
      <c r="N10" s="6" t="str">
        <f ca="1">CELL("contenu",INDIRECT(ADDRESS(ref!$K$6,ref!E9,1,,CELL("contenu",$AC$2))))</f>
        <v>B</v>
      </c>
      <c r="O10" s="3" t="str">
        <f ca="1">CELL("contenu",INDIRECT(ADDRESS(ref!$K$6,ref!F9,1,,CELL("contenu",$AC$2))))</f>
        <v>C</v>
      </c>
      <c r="P10" s="4" t="str">
        <f ca="1">CELL("contenu",INDIRECT(ADDRESS(ref!$K$6,ref!G9,1,,CELL("contenu",$AC$2))))</f>
        <v/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9">
        <f ca="1">CELL("contenu",INDIRECT(ADDRESS(ref!$K$8,ref!E9,1,,CELL("contenu",$AC$2))))</f>
        <v>15.439814814814811</v>
      </c>
      <c r="W10" s="50">
        <f ca="1">CELL("contenu",INDIRECT(ADDRESS(ref!$K$8,ref!F9,1,,CELL("contenu",$AC$2))))</f>
        <v>13.75</v>
      </c>
      <c r="X10" s="51" t="str">
        <f ca="1">CELL("contenu",INDIRECT(ADDRESS(ref!$K$8,ref!G9,1,,CELL("contenu",$AC$2))))</f>
        <v/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>C</v>
      </c>
      <c r="AA10" s="8" t="str">
        <f ca="1">CELL("contenu",INDIRECT(ADDRESS(ref!$K$11,ref!H9,1,,CELL("contenu",$AC$2))))</f>
        <v>A</v>
      </c>
    </row>
    <row r="11" spans="1:29" x14ac:dyDescent="0.25">
      <c r="A11" s="62" t="str">
        <f t="shared" ca="1" si="0"/>
        <v>COUTIN Agathe</v>
      </c>
      <c r="B11" s="2" t="str">
        <f ca="1">CELL("contenu",INDIRECT(ADDRESS(ref!$K$3,ref!E10,1,,CELL("contenu",$AC$2))))</f>
        <v>B</v>
      </c>
      <c r="C11" s="3" t="str">
        <f ca="1">CELL("contenu",INDIRECT(ADDRESS(ref!$K$3,ref!F10,1,,CELL("contenu",$AC$2))))</f>
        <v>C</v>
      </c>
      <c r="D11" s="4" t="str">
        <f ca="1">CELL("contenu",INDIRECT(ADDRESS(ref!$K$3,ref!G10,1,,CELL("contenu",$AC$2))))</f>
        <v/>
      </c>
      <c r="E11" s="5" t="str">
        <f ca="1">CELL("contenu",INDIRECT(ADDRESS(ref!$K$3,ref!H10,1,,CELL("contenu",$AC$2))))</f>
        <v>C</v>
      </c>
      <c r="F11" s="6" t="str">
        <f ca="1">CELL("contenu",INDIRECT(ADDRESS(ref!$K$4,ref!E10,1,,CELL("contenu",$AC$2))))</f>
        <v>B</v>
      </c>
      <c r="G11" s="3" t="str">
        <f ca="1">CELL("contenu",INDIRECT(ADDRESS(ref!$K$4,ref!F10,1,,CELL("contenu",$AC$2))))</f>
        <v>A</v>
      </c>
      <c r="H11" s="4" t="str">
        <f ca="1">CELL("contenu",INDIRECT(ADDRESS(ref!$K$4,ref!G10,1,,CELL("contenu",$AC$2))))</f>
        <v/>
      </c>
      <c r="I11" s="5" t="str">
        <f ca="1">CELL("contenu",INDIRECT(ADDRESS(ref!$K$4,ref!H10,1,,CELL("contenu",$AC$2))))</f>
        <v>B</v>
      </c>
      <c r="J11" s="6" t="str">
        <f ca="1">CELL("contenu",INDIRECT(ADDRESS(ref!$K$5,ref!E10,1,,CELL("contenu",$AC$2))))</f>
        <v>A</v>
      </c>
      <c r="K11" s="3" t="str">
        <f ca="1">CELL("contenu",INDIRECT(ADDRESS(ref!$K$5,ref!F10,1,,CELL("contenu",$AC$2))))</f>
        <v>B</v>
      </c>
      <c r="L11" s="4" t="str">
        <f ca="1">CELL("contenu",INDIRECT(ADDRESS(ref!$K$5,ref!G10,1,,CELL("contenu",$AC$2))))</f>
        <v/>
      </c>
      <c r="M11" s="5" t="str">
        <f ca="1">CELL("contenu",INDIRECT(ADDRESS(ref!$K$5,ref!H10,1,,CELL("contenu",$AC$2))))</f>
        <v>B</v>
      </c>
      <c r="N11" s="6" t="str">
        <f ca="1">CELL("contenu",INDIRECT(ADDRESS(ref!$K$6,ref!E10,1,,CELL("contenu",$AC$2))))</f>
        <v>B</v>
      </c>
      <c r="O11" s="3" t="str">
        <f ca="1">CELL("contenu",INDIRECT(ADDRESS(ref!$K$6,ref!F10,1,,CELL("contenu",$AC$2))))</f>
        <v>B</v>
      </c>
      <c r="P11" s="4" t="str">
        <f ca="1">CELL("contenu",INDIRECT(ADDRESS(ref!$K$6,ref!G10,1,,CELL("contenu",$AC$2))))</f>
        <v/>
      </c>
      <c r="Q11" s="5" t="str">
        <f ca="1">CELL("contenu",INDIRECT(ADDRESS(ref!$K$6,ref!H10,1,,CELL("contenu",$AC$2))))</f>
        <v>B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9">
        <f ca="1">CELL("contenu",INDIRECT(ADDRESS(ref!$K$8,ref!E10,1,,CELL("contenu",$AC$2))))</f>
        <v>15.763888888888891</v>
      </c>
      <c r="W11" s="50">
        <f ca="1">CELL("contenu",INDIRECT(ADDRESS(ref!$K$8,ref!F10,1,,CELL("contenu",$AC$2))))</f>
        <v>14.907407407407407</v>
      </c>
      <c r="X11" s="51" t="str">
        <f ca="1">CELL("contenu",INDIRECT(ADDRESS(ref!$K$8,ref!G10,1,,CELL("contenu",$AC$2))))</f>
        <v/>
      </c>
      <c r="Y11" s="7" t="str">
        <f ca="1">CELL("contenu",INDIRECT(ADDRESS(ref!$K$9,ref!H10,1,,CELL("contenu",$AC$2))))</f>
        <v>A</v>
      </c>
      <c r="Z11" s="4" t="str">
        <f ca="1">CELL("contenu",INDIRECT(ADDRESS(ref!$K$10,ref!H10,1,,CELL("contenu",$AC$2))))</f>
        <v>B</v>
      </c>
      <c r="AA11" s="8" t="str">
        <f ca="1">CELL("contenu",INDIRECT(ADDRESS(ref!$K$11,ref!H10,1,,CELL("contenu",$AC$2))))</f>
        <v>B</v>
      </c>
    </row>
    <row r="12" spans="1:29" x14ac:dyDescent="0.25">
      <c r="A12" s="62" t="str">
        <f t="shared" ca="1" si="0"/>
        <v>DE PONCHEVILLE Yolaine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>C</v>
      </c>
      <c r="D12" s="4" t="str">
        <f ca="1">CELL("contenu",INDIRECT(ADDRESS(ref!$K$3,ref!G11,1,,CELL("contenu",$AC$2))))</f>
        <v/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>C</v>
      </c>
      <c r="G12" s="3" t="str">
        <f ca="1">CELL("contenu",INDIRECT(ADDRESS(ref!$K$4,ref!F11,1,,CELL("contenu",$AC$2))))</f>
        <v>B</v>
      </c>
      <c r="H12" s="4" t="str">
        <f ca="1">CELL("contenu",INDIRECT(ADDRESS(ref!$K$4,ref!G11,1,,CELL("contenu",$AC$2))))</f>
        <v/>
      </c>
      <c r="I12" s="5" t="str">
        <f ca="1">CELL("contenu",INDIRECT(ADDRESS(ref!$K$4,ref!H11,1,,CELL("contenu",$AC$2))))</f>
        <v>C</v>
      </c>
      <c r="J12" s="6" t="str">
        <f ca="1">CELL("contenu",INDIRECT(ADDRESS(ref!$K$5,ref!E11,1,,CELL("contenu",$AC$2))))</f>
        <v>A</v>
      </c>
      <c r="K12" s="3" t="str">
        <f ca="1">CELL("contenu",INDIRECT(ADDRESS(ref!$K$5,ref!F11,1,,CELL("contenu",$AC$2))))</f>
        <v>A</v>
      </c>
      <c r="L12" s="4" t="str">
        <f ca="1">CELL("contenu",INDIRECT(ADDRESS(ref!$K$5,ref!G11,1,,CELL("contenu",$AC$2))))</f>
        <v/>
      </c>
      <c r="M12" s="5" t="str">
        <f ca="1">CELL("contenu",INDIRECT(ADDRESS(ref!$K$5,ref!H11,1,,CELL("contenu",$AC$2))))</f>
        <v>A</v>
      </c>
      <c r="N12" s="6" t="str">
        <f ca="1">CELL("contenu",INDIRECT(ADDRESS(ref!$K$6,ref!E11,1,,CELL("contenu",$AC$2))))</f>
        <v>C</v>
      </c>
      <c r="O12" s="3" t="str">
        <f ca="1">CELL("contenu",INDIRECT(ADDRESS(ref!$K$6,ref!F11,1,,CELL("contenu",$AC$2))))</f>
        <v>C</v>
      </c>
      <c r="P12" s="4" t="str">
        <f ca="1">CELL("contenu",INDIRECT(ADDRESS(ref!$K$6,ref!G11,1,,CELL("contenu",$AC$2))))</f>
        <v/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9">
        <f ca="1">CELL("contenu",INDIRECT(ADDRESS(ref!$K$8,ref!E11,1,,CELL("contenu",$AC$2))))</f>
        <v>13.564814814814817</v>
      </c>
      <c r="W12" s="50">
        <f ca="1">CELL("contenu",INDIRECT(ADDRESS(ref!$K$8,ref!F11,1,,CELL("contenu",$AC$2))))</f>
        <v>13.148148148148149</v>
      </c>
      <c r="X12" s="51" t="str">
        <f ca="1">CELL("contenu",INDIRECT(ADDRESS(ref!$K$8,ref!G11,1,,CELL("contenu",$AC$2))))</f>
        <v/>
      </c>
      <c r="Y12" s="7" t="str">
        <f ca="1">CELL("contenu",INDIRECT(ADDRESS(ref!$K$9,ref!H11,1,,CELL("contenu",$AC$2))))</f>
        <v>B</v>
      </c>
      <c r="Z12" s="4" t="str">
        <f ca="1">CELL("contenu",INDIRECT(ADDRESS(ref!$K$10,ref!H11,1,,CELL("contenu",$AC$2))))</f>
        <v>C</v>
      </c>
      <c r="AA12" s="8" t="str">
        <f ca="1">CELL("contenu",INDIRECT(ADDRESS(ref!$K$11,ref!H11,1,,CELL("contenu",$AC$2))))</f>
        <v>A</v>
      </c>
    </row>
    <row r="13" spans="1:29" x14ac:dyDescent="0.25">
      <c r="A13" s="62" t="str">
        <f t="shared" ca="1" si="0"/>
        <v>DE SAINT CERAN Jeanne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>C</v>
      </c>
      <c r="D13" s="4" t="str">
        <f ca="1">CELL("contenu",INDIRECT(ADDRESS(ref!$K$3,ref!G12,1,,CELL("contenu",$AC$2))))</f>
        <v/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>C</v>
      </c>
      <c r="G13" s="3" t="str">
        <f ca="1">CELL("contenu",INDIRECT(ADDRESS(ref!$K$4,ref!F12,1,,CELL("contenu",$AC$2))))</f>
        <v>B</v>
      </c>
      <c r="H13" s="4" t="str">
        <f ca="1">CELL("contenu",INDIRECT(ADDRESS(ref!$K$4,ref!G12,1,,CELL("contenu",$AC$2))))</f>
        <v/>
      </c>
      <c r="I13" s="5" t="str">
        <f ca="1">CELL("contenu",INDIRECT(ADDRESS(ref!$K$4,ref!H12,1,,CELL("contenu",$AC$2))))</f>
        <v>C</v>
      </c>
      <c r="J13" s="6" t="str">
        <f ca="1">CELL("contenu",INDIRECT(ADDRESS(ref!$K$5,ref!E12,1,,CELL("contenu",$AC$2))))</f>
        <v>A</v>
      </c>
      <c r="K13" s="3" t="str">
        <f ca="1">CELL("contenu",INDIRECT(ADDRESS(ref!$K$5,ref!F12,1,,CELL("contenu",$AC$2))))</f>
        <v>A</v>
      </c>
      <c r="L13" s="4" t="str">
        <f ca="1">CELL("contenu",INDIRECT(ADDRESS(ref!$K$5,ref!G12,1,,CELL("contenu",$AC$2))))</f>
        <v/>
      </c>
      <c r="M13" s="5" t="str">
        <f ca="1">CELL("contenu",INDIRECT(ADDRESS(ref!$K$5,ref!H12,1,,CELL("contenu",$AC$2))))</f>
        <v>A</v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>C</v>
      </c>
      <c r="P13" s="4" t="str">
        <f ca="1">CELL("contenu",INDIRECT(ADDRESS(ref!$K$6,ref!G12,1,,CELL("contenu",$AC$2))))</f>
        <v/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9">
        <f ca="1">CELL("contenu",INDIRECT(ADDRESS(ref!$K$8,ref!E12,1,,CELL("contenu",$AC$2))))</f>
        <v>13.009259259259258</v>
      </c>
      <c r="W13" s="50">
        <f ca="1">CELL("contenu",INDIRECT(ADDRESS(ref!$K$8,ref!F12,1,,CELL("contenu",$AC$2))))</f>
        <v>14.351851851851851</v>
      </c>
      <c r="X13" s="51" t="str">
        <f ca="1">CELL("contenu",INDIRECT(ADDRESS(ref!$K$8,ref!G12,1,,CELL("contenu",$AC$2))))</f>
        <v/>
      </c>
      <c r="Y13" s="7" t="str">
        <f ca="1">CELL("contenu",INDIRECT(ADDRESS(ref!$K$9,ref!H12,1,,CELL("contenu",$AC$2))))</f>
        <v>B</v>
      </c>
      <c r="Z13" s="4" t="str">
        <f ca="1">CELL("contenu",INDIRECT(ADDRESS(ref!$K$10,ref!H12,1,,CELL("contenu",$AC$2))))</f>
        <v>C</v>
      </c>
      <c r="AA13" s="8" t="str">
        <f ca="1">CELL("contenu",INDIRECT(ADDRESS(ref!$K$11,ref!H12,1,,CELL("contenu",$AC$2))))</f>
        <v>A</v>
      </c>
    </row>
    <row r="14" spans="1:29" x14ac:dyDescent="0.25">
      <c r="A14" s="62" t="str">
        <f t="shared" ca="1" si="0"/>
        <v>DREYFUS Hugues</v>
      </c>
      <c r="B14" s="2" t="str">
        <f ca="1">CELL("contenu",INDIRECT(ADDRESS(ref!$K$3,ref!E13,1,,CELL("contenu",$AC$2))))</f>
        <v>B</v>
      </c>
      <c r="C14" s="3" t="str">
        <f ca="1">CELL("contenu",INDIRECT(ADDRESS(ref!$K$3,ref!F13,1,,CELL("contenu",$AC$2))))</f>
        <v>B</v>
      </c>
      <c r="D14" s="4" t="str">
        <f ca="1">CELL("contenu",INDIRECT(ADDRESS(ref!$K$3,ref!G13,1,,CELL("contenu",$AC$2))))</f>
        <v/>
      </c>
      <c r="E14" s="5" t="str">
        <f ca="1">CELL("contenu",INDIRECT(ADDRESS(ref!$K$3,ref!H13,1,,CELL("contenu",$AC$2))))</f>
        <v>B</v>
      </c>
      <c r="F14" s="6" t="str">
        <f ca="1">CELL("contenu",INDIRECT(ADDRESS(ref!$K$4,ref!E13,1,,CELL("contenu",$AC$2))))</f>
        <v>C</v>
      </c>
      <c r="G14" s="3" t="str">
        <f ca="1">CELL("contenu",INDIRECT(ADDRESS(ref!$K$4,ref!F13,1,,CELL("contenu",$AC$2))))</f>
        <v>B</v>
      </c>
      <c r="H14" s="4" t="str">
        <f ca="1">CELL("contenu",INDIRECT(ADDRESS(ref!$K$4,ref!G13,1,,CELL("contenu",$AC$2))))</f>
        <v/>
      </c>
      <c r="I14" s="5" t="str">
        <f ca="1">CELL("contenu",INDIRECT(ADDRESS(ref!$K$4,ref!H13,1,,CELL("contenu",$AC$2))))</f>
        <v>C</v>
      </c>
      <c r="J14" s="6" t="str">
        <f ca="1">CELL("contenu",INDIRECT(ADDRESS(ref!$K$5,ref!E13,1,,CELL("contenu",$AC$2))))</f>
        <v>A</v>
      </c>
      <c r="K14" s="3" t="str">
        <f ca="1">CELL("contenu",INDIRECT(ADDRESS(ref!$K$5,ref!F13,1,,CELL("contenu",$AC$2))))</f>
        <v>A</v>
      </c>
      <c r="L14" s="4" t="str">
        <f ca="1">CELL("contenu",INDIRECT(ADDRESS(ref!$K$5,ref!G13,1,,CELL("contenu",$AC$2))))</f>
        <v/>
      </c>
      <c r="M14" s="5" t="str">
        <f ca="1">CELL("contenu",INDIRECT(ADDRESS(ref!$K$5,ref!H13,1,,CELL("contenu",$AC$2))))</f>
        <v>A</v>
      </c>
      <c r="N14" s="6" t="str">
        <f ca="1">CELL("contenu",INDIRECT(ADDRESS(ref!$K$6,ref!E13,1,,CELL("contenu",$AC$2))))</f>
        <v>B</v>
      </c>
      <c r="O14" s="3" t="str">
        <f ca="1">CELL("contenu",INDIRECT(ADDRESS(ref!$K$6,ref!F13,1,,CELL("contenu",$AC$2))))</f>
        <v>C</v>
      </c>
      <c r="P14" s="4" t="str">
        <f ca="1">CELL("contenu",INDIRECT(ADDRESS(ref!$K$6,ref!G13,1,,CELL("contenu",$AC$2))))</f>
        <v/>
      </c>
      <c r="Q14" s="5" t="str">
        <f ca="1">CELL("contenu",INDIRECT(ADDRESS(ref!$K$6,ref!H13,1,,CELL("contenu",$AC$2))))</f>
        <v>B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9">
        <f ca="1">CELL("contenu",INDIRECT(ADDRESS(ref!$K$8,ref!E13,1,,CELL("contenu",$AC$2))))</f>
        <v>16.875</v>
      </c>
      <c r="W14" s="50">
        <f ca="1">CELL("contenu",INDIRECT(ADDRESS(ref!$K$8,ref!F13,1,,CELL("contenu",$AC$2))))</f>
        <v>16.018518518518519</v>
      </c>
      <c r="X14" s="51" t="str">
        <f ca="1">CELL("contenu",INDIRECT(ADDRESS(ref!$K$8,ref!G13,1,,CELL("contenu",$AC$2))))</f>
        <v/>
      </c>
      <c r="Y14" s="7" t="str">
        <f ca="1">CELL("contenu",INDIRECT(ADDRESS(ref!$K$9,ref!H13,1,,CELL("contenu",$AC$2))))</f>
        <v>B</v>
      </c>
      <c r="Z14" s="4" t="str">
        <f ca="1">CELL("contenu",INDIRECT(ADDRESS(ref!$K$10,ref!H13,1,,CELL("contenu",$AC$2))))</f>
        <v>D</v>
      </c>
      <c r="AA14" s="8" t="str">
        <f ca="1">CELL("contenu",INDIRECT(ADDRESS(ref!$K$11,ref!H13,1,,CELL("contenu",$AC$2))))</f>
        <v>A</v>
      </c>
    </row>
    <row r="15" spans="1:29" x14ac:dyDescent="0.25">
      <c r="A15" s="62" t="str">
        <f t="shared" ca="1" si="0"/>
        <v>DUPONT Gregoire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>C</v>
      </c>
      <c r="D15" s="4" t="str">
        <f ca="1">CELL("contenu",INDIRECT(ADDRESS(ref!$K$3,ref!G14,1,,CELL("contenu",$AC$2))))</f>
        <v/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>C</v>
      </c>
      <c r="G15" s="3" t="str">
        <f ca="1">CELL("contenu",INDIRECT(ADDRESS(ref!$K$4,ref!F14,1,,CELL("contenu",$AC$2))))</f>
        <v>A</v>
      </c>
      <c r="H15" s="4" t="str">
        <f ca="1">CELL("contenu",INDIRECT(ADDRESS(ref!$K$4,ref!G14,1,,CELL("contenu",$AC$2))))</f>
        <v/>
      </c>
      <c r="I15" s="5" t="str">
        <f ca="1">CELL("contenu",INDIRECT(ADDRESS(ref!$K$4,ref!H14,1,,CELL("contenu",$AC$2))))</f>
        <v>C</v>
      </c>
      <c r="J15" s="6" t="str">
        <f ca="1">CELL("contenu",INDIRECT(ADDRESS(ref!$K$5,ref!E14,1,,CELL("contenu",$AC$2))))</f>
        <v>A</v>
      </c>
      <c r="K15" s="3" t="str">
        <f ca="1">CELL("contenu",INDIRECT(ADDRESS(ref!$K$5,ref!F14,1,,CELL("contenu",$AC$2))))</f>
        <v>A</v>
      </c>
      <c r="L15" s="4" t="str">
        <f ca="1">CELL("contenu",INDIRECT(ADDRESS(ref!$K$5,ref!G14,1,,CELL("contenu",$AC$2))))</f>
        <v/>
      </c>
      <c r="M15" s="5" t="str">
        <f ca="1">CELL("contenu",INDIRECT(ADDRESS(ref!$K$5,ref!H14,1,,CELL("contenu",$AC$2))))</f>
        <v>A</v>
      </c>
      <c r="N15" s="6" t="str">
        <f ca="1">CELL("contenu",INDIRECT(ADDRESS(ref!$K$6,ref!E14,1,,CELL("contenu",$AC$2))))</f>
        <v>B</v>
      </c>
      <c r="O15" s="3" t="str">
        <f ca="1">CELL("contenu",INDIRECT(ADDRESS(ref!$K$6,ref!F14,1,,CELL("contenu",$AC$2))))</f>
        <v>C</v>
      </c>
      <c r="P15" s="4" t="str">
        <f ca="1">CELL("contenu",INDIRECT(ADDRESS(ref!$K$6,ref!G14,1,,CELL("contenu",$AC$2))))</f>
        <v/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9">
        <f ca="1">CELL("contenu",INDIRECT(ADDRESS(ref!$K$8,ref!E14,1,,CELL("contenu",$AC$2))))</f>
        <v>14.398148148148149</v>
      </c>
      <c r="W15" s="50">
        <f ca="1">CELL("contenu",INDIRECT(ADDRESS(ref!$K$8,ref!F14,1,,CELL("contenu",$AC$2))))</f>
        <v>14.861111111111109</v>
      </c>
      <c r="X15" s="51" t="str">
        <f ca="1">CELL("contenu",INDIRECT(ADDRESS(ref!$K$8,ref!G14,1,,CELL("contenu",$AC$2))))</f>
        <v/>
      </c>
      <c r="Y15" s="7" t="str">
        <f ca="1">CELL("contenu",INDIRECT(ADDRESS(ref!$K$9,ref!H14,1,,CELL("contenu",$AC$2))))</f>
        <v>B</v>
      </c>
      <c r="Z15" s="4" t="str">
        <f ca="1">CELL("contenu",INDIRECT(ADDRESS(ref!$K$10,ref!H14,1,,CELL("contenu",$AC$2))))</f>
        <v>C</v>
      </c>
      <c r="AA15" s="8" t="str">
        <f ca="1">CELL("contenu",INDIRECT(ADDRESS(ref!$K$11,ref!H14,1,,CELL("contenu",$AC$2))))</f>
        <v>A</v>
      </c>
    </row>
    <row r="16" spans="1:29" x14ac:dyDescent="0.25">
      <c r="A16" s="62" t="str">
        <f t="shared" ca="1" si="0"/>
        <v>ENGELVIN Blanche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>C</v>
      </c>
      <c r="D16" s="4" t="str">
        <f ca="1">CELL("contenu",INDIRECT(ADDRESS(ref!$K$3,ref!G15,1,,CELL("contenu",$AC$2))))</f>
        <v/>
      </c>
      <c r="E16" s="5" t="str">
        <f ca="1">CELL("contenu",INDIRECT(ADDRESS(ref!$K$3,ref!H15,1,,CELL("contenu",$AC$2))))</f>
        <v>C</v>
      </c>
      <c r="F16" s="6" t="str">
        <f ca="1">CELL("contenu",INDIRECT(ADDRESS(ref!$K$4,ref!E15,1,,CELL("contenu",$AC$2))))</f>
        <v>C</v>
      </c>
      <c r="G16" s="3" t="str">
        <f ca="1">CELL("contenu",INDIRECT(ADDRESS(ref!$K$4,ref!F15,1,,CELL("contenu",$AC$2))))</f>
        <v>A</v>
      </c>
      <c r="H16" s="4" t="str">
        <f ca="1">CELL("contenu",INDIRECT(ADDRESS(ref!$K$4,ref!G15,1,,CELL("contenu",$AC$2))))</f>
        <v/>
      </c>
      <c r="I16" s="5" t="str">
        <f ca="1">CELL("contenu",INDIRECT(ADDRESS(ref!$K$4,ref!H15,1,,CELL("contenu",$AC$2))))</f>
        <v>B</v>
      </c>
      <c r="J16" s="6" t="str">
        <f ca="1">CELL("contenu",INDIRECT(ADDRESS(ref!$K$5,ref!E15,1,,CELL("contenu",$AC$2))))</f>
        <v>A</v>
      </c>
      <c r="K16" s="3" t="str">
        <f ca="1">CELL("contenu",INDIRECT(ADDRESS(ref!$K$5,ref!F15,1,,CELL("contenu",$AC$2))))</f>
        <v>A</v>
      </c>
      <c r="L16" s="4" t="str">
        <f ca="1">CELL("contenu",INDIRECT(ADDRESS(ref!$K$5,ref!G15,1,,CELL("contenu",$AC$2))))</f>
        <v/>
      </c>
      <c r="M16" s="5" t="str">
        <f ca="1">CELL("contenu",INDIRECT(ADDRESS(ref!$K$5,ref!H15,1,,CELL("contenu",$AC$2))))</f>
        <v>A</v>
      </c>
      <c r="N16" s="6" t="str">
        <f ca="1">CELL("contenu",INDIRECT(ADDRESS(ref!$K$6,ref!E15,1,,CELL("contenu",$AC$2))))</f>
        <v>C</v>
      </c>
      <c r="O16" s="3" t="str">
        <f ca="1">CELL("contenu",INDIRECT(ADDRESS(ref!$K$6,ref!F15,1,,CELL("contenu",$AC$2))))</f>
        <v>C</v>
      </c>
      <c r="P16" s="4" t="str">
        <f ca="1">CELL("contenu",INDIRECT(ADDRESS(ref!$K$6,ref!G15,1,,CELL("contenu",$AC$2))))</f>
        <v/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9">
        <f ca="1">CELL("contenu",INDIRECT(ADDRESS(ref!$K$8,ref!E15,1,,CELL("contenu",$AC$2))))</f>
        <v>14.513888888888886</v>
      </c>
      <c r="W16" s="50">
        <f ca="1">CELL("contenu",INDIRECT(ADDRESS(ref!$K$8,ref!F15,1,,CELL("contenu",$AC$2))))</f>
        <v>14.907407407407407</v>
      </c>
      <c r="X16" s="51" t="str">
        <f ca="1">CELL("contenu",INDIRECT(ADDRESS(ref!$K$8,ref!G15,1,,CELL("contenu",$AC$2))))</f>
        <v/>
      </c>
      <c r="Y16" s="7" t="str">
        <f ca="1">CELL("contenu",INDIRECT(ADDRESS(ref!$K$9,ref!H15,1,,CELL("contenu",$AC$2))))</f>
        <v>A</v>
      </c>
      <c r="Z16" s="4" t="str">
        <f ca="1">CELL("contenu",INDIRECT(ADDRESS(ref!$K$10,ref!H15,1,,CELL("contenu",$AC$2))))</f>
        <v>C</v>
      </c>
      <c r="AA16" s="8" t="str">
        <f ca="1">CELL("contenu",INDIRECT(ADDRESS(ref!$K$11,ref!H15,1,,CELL("contenu",$AC$2))))</f>
        <v>A</v>
      </c>
    </row>
    <row r="17" spans="1:27" x14ac:dyDescent="0.25">
      <c r="A17" s="62" t="str">
        <f t="shared" ca="1" si="0"/>
        <v>HUET Antonin</v>
      </c>
      <c r="B17" s="2" t="str">
        <f ca="1">CELL("contenu",INDIRECT(ADDRESS(ref!$K$3,ref!E16,1,,CELL("contenu",$AC$2))))</f>
        <v>C</v>
      </c>
      <c r="C17" s="3" t="str">
        <f ca="1">CELL("contenu",INDIRECT(ADDRESS(ref!$K$3,ref!F16,1,,CELL("contenu",$AC$2))))</f>
        <v>C</v>
      </c>
      <c r="D17" s="4" t="str">
        <f ca="1">CELL("contenu",INDIRECT(ADDRESS(ref!$K$3,ref!G16,1,,CELL("contenu",$AC$2))))</f>
        <v/>
      </c>
      <c r="E17" s="5" t="str">
        <f ca="1">CELL("contenu",INDIRECT(ADDRESS(ref!$K$3,ref!H16,1,,CELL("contenu",$AC$2))))</f>
        <v>C</v>
      </c>
      <c r="F17" s="6" t="str">
        <f ca="1">CELL("contenu",INDIRECT(ADDRESS(ref!$K$4,ref!E16,1,,CELL("contenu",$AC$2))))</f>
        <v>C</v>
      </c>
      <c r="G17" s="3" t="str">
        <f ca="1">CELL("contenu",INDIRECT(ADDRESS(ref!$K$4,ref!F16,1,,CELL("contenu",$AC$2))))</f>
        <v>B</v>
      </c>
      <c r="H17" s="4" t="str">
        <f ca="1">CELL("contenu",INDIRECT(ADDRESS(ref!$K$4,ref!G16,1,,CELL("contenu",$AC$2))))</f>
        <v/>
      </c>
      <c r="I17" s="5" t="str">
        <f ca="1">CELL("contenu",INDIRECT(ADDRESS(ref!$K$4,ref!H16,1,,CELL("contenu",$AC$2))))</f>
        <v>C</v>
      </c>
      <c r="J17" s="6" t="str">
        <f ca="1">CELL("contenu",INDIRECT(ADDRESS(ref!$K$5,ref!E16,1,,CELL("contenu",$AC$2))))</f>
        <v>A</v>
      </c>
      <c r="K17" s="3" t="str">
        <f ca="1">CELL("contenu",INDIRECT(ADDRESS(ref!$K$5,ref!F16,1,,CELL("contenu",$AC$2))))</f>
        <v>A</v>
      </c>
      <c r="L17" s="4" t="str">
        <f ca="1">CELL("contenu",INDIRECT(ADDRESS(ref!$K$5,ref!G16,1,,CELL("contenu",$AC$2))))</f>
        <v/>
      </c>
      <c r="M17" s="5" t="str">
        <f ca="1">CELL("contenu",INDIRECT(ADDRESS(ref!$K$5,ref!H16,1,,CELL("contenu",$AC$2))))</f>
        <v>A</v>
      </c>
      <c r="N17" s="6" t="str">
        <f ca="1">CELL("contenu",INDIRECT(ADDRESS(ref!$K$6,ref!E16,1,,CELL("contenu",$AC$2))))</f>
        <v>C</v>
      </c>
      <c r="O17" s="3" t="str">
        <f ca="1">CELL("contenu",INDIRECT(ADDRESS(ref!$K$6,ref!F16,1,,CELL("contenu",$AC$2))))</f>
        <v>C</v>
      </c>
      <c r="P17" s="4" t="str">
        <f ca="1">CELL("contenu",INDIRECT(ADDRESS(ref!$K$6,ref!G16,1,,CELL("contenu",$AC$2))))</f>
        <v/>
      </c>
      <c r="Q17" s="5" t="str">
        <f ca="1">CELL("contenu",INDIRECT(ADDRESS(ref!$K$6,ref!H16,1,,CELL("contenu",$AC$2))))</f>
        <v>C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9">
        <f ca="1">CELL("contenu",INDIRECT(ADDRESS(ref!$K$8,ref!E16,1,,CELL("contenu",$AC$2))))</f>
        <v>11.666666666666668</v>
      </c>
      <c r="W17" s="50">
        <f ca="1">CELL("contenu",INDIRECT(ADDRESS(ref!$K$8,ref!F16,1,,CELL("contenu",$AC$2))))</f>
        <v>12.592592592592592</v>
      </c>
      <c r="X17" s="51" t="str">
        <f ca="1">CELL("contenu",INDIRECT(ADDRESS(ref!$K$8,ref!G16,1,,CELL("contenu",$AC$2))))</f>
        <v/>
      </c>
      <c r="Y17" s="7" t="str">
        <f ca="1">CELL("contenu",INDIRECT(ADDRESS(ref!$K$9,ref!H16,1,,CELL("contenu",$AC$2))))</f>
        <v>B</v>
      </c>
      <c r="Z17" s="4" t="str">
        <f ca="1">CELL("contenu",INDIRECT(ADDRESS(ref!$K$10,ref!H16,1,,CELL("contenu",$AC$2))))</f>
        <v>D</v>
      </c>
      <c r="AA17" s="8" t="str">
        <f ca="1">CELL("contenu",INDIRECT(ADDRESS(ref!$K$11,ref!H16,1,,CELL("contenu",$AC$2))))</f>
        <v>A</v>
      </c>
    </row>
    <row r="18" spans="1:27" x14ac:dyDescent="0.25">
      <c r="A18" s="62" t="str">
        <f t="shared" ca="1" si="0"/>
        <v>JABOULEY Adrien</v>
      </c>
      <c r="B18" s="2" t="str">
        <f ca="1">CELL("contenu",INDIRECT(ADDRESS(ref!$K$3,ref!E17,1,,CELL("contenu",$AC$2))))</f>
        <v>B</v>
      </c>
      <c r="C18" s="3" t="str">
        <f ca="1">CELL("contenu",INDIRECT(ADDRESS(ref!$K$3,ref!F17,1,,CELL("contenu",$AC$2))))</f>
        <v>C</v>
      </c>
      <c r="D18" s="4" t="str">
        <f ca="1">CELL("contenu",INDIRECT(ADDRESS(ref!$K$3,ref!G17,1,,CELL("contenu",$AC$2))))</f>
        <v/>
      </c>
      <c r="E18" s="5" t="str">
        <f ca="1">CELL("contenu",INDIRECT(ADDRESS(ref!$K$3,ref!H17,1,,CELL("contenu",$AC$2))))</f>
        <v>C</v>
      </c>
      <c r="F18" s="6" t="str">
        <f ca="1">CELL("contenu",INDIRECT(ADDRESS(ref!$K$4,ref!E17,1,,CELL("contenu",$AC$2))))</f>
        <v>C</v>
      </c>
      <c r="G18" s="3" t="str">
        <f ca="1">CELL("contenu",INDIRECT(ADDRESS(ref!$K$4,ref!F17,1,,CELL("contenu",$AC$2))))</f>
        <v>B</v>
      </c>
      <c r="H18" s="4" t="str">
        <f ca="1">CELL("contenu",INDIRECT(ADDRESS(ref!$K$4,ref!G17,1,,CELL("contenu",$AC$2))))</f>
        <v/>
      </c>
      <c r="I18" s="5" t="str">
        <f ca="1">CELL("contenu",INDIRECT(ADDRESS(ref!$K$4,ref!H17,1,,CELL("contenu",$AC$2))))</f>
        <v>C</v>
      </c>
      <c r="J18" s="6" t="str">
        <f ca="1">CELL("contenu",INDIRECT(ADDRESS(ref!$K$5,ref!E17,1,,CELL("contenu",$AC$2))))</f>
        <v/>
      </c>
      <c r="K18" s="3" t="str">
        <f ca="1">CELL("contenu",INDIRECT(ADDRESS(ref!$K$5,ref!F17,1,,CELL("contenu",$AC$2))))</f>
        <v>A</v>
      </c>
      <c r="L18" s="4" t="str">
        <f ca="1">CELL("contenu",INDIRECT(ADDRESS(ref!$K$5,ref!G17,1,,CELL("contenu",$AC$2))))</f>
        <v/>
      </c>
      <c r="M18" s="5" t="str">
        <f ca="1">CELL("contenu",INDIRECT(ADDRESS(ref!$K$5,ref!H17,1,,CELL("contenu",$AC$2))))</f>
        <v>A</v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>C</v>
      </c>
      <c r="P18" s="4" t="str">
        <f ca="1">CELL("contenu",INDIRECT(ADDRESS(ref!$K$6,ref!G17,1,,CELL("contenu",$AC$2))))</f>
        <v/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9">
        <f ca="1">CELL("contenu",INDIRECT(ADDRESS(ref!$K$8,ref!E17,1,,CELL("contenu",$AC$2))))</f>
        <v>12.111111111111111</v>
      </c>
      <c r="W18" s="50">
        <f ca="1">CELL("contenu",INDIRECT(ADDRESS(ref!$K$8,ref!F17,1,,CELL("contenu",$AC$2))))</f>
        <v>13.842592592592593</v>
      </c>
      <c r="X18" s="51" t="str">
        <f ca="1">CELL("contenu",INDIRECT(ADDRESS(ref!$K$8,ref!G17,1,,CELL("contenu",$AC$2))))</f>
        <v/>
      </c>
      <c r="Y18" s="7" t="str">
        <f ca="1">CELL("contenu",INDIRECT(ADDRESS(ref!$K$9,ref!H17,1,,CELL("contenu",$AC$2))))</f>
        <v>B</v>
      </c>
      <c r="Z18" s="4" t="str">
        <f ca="1">CELL("contenu",INDIRECT(ADDRESS(ref!$K$10,ref!H17,1,,CELL("contenu",$AC$2))))</f>
        <v>D</v>
      </c>
      <c r="AA18" s="8" t="str">
        <f ca="1">CELL("contenu",INDIRECT(ADDRESS(ref!$K$11,ref!H17,1,,CELL("contenu",$AC$2))))</f>
        <v>A</v>
      </c>
    </row>
    <row r="19" spans="1:27" x14ac:dyDescent="0.25">
      <c r="A19" s="62" t="str">
        <f t="shared" ca="1" si="0"/>
        <v>JOURDAIN Julie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>C</v>
      </c>
      <c r="D19" s="4" t="str">
        <f ca="1">CELL("contenu",INDIRECT(ADDRESS(ref!$K$3,ref!G18,1,,CELL("contenu",$AC$2))))</f>
        <v/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>C</v>
      </c>
      <c r="G19" s="3" t="str">
        <f ca="1">CELL("contenu",INDIRECT(ADDRESS(ref!$K$4,ref!F18,1,,CELL("contenu",$AC$2))))</f>
        <v>A</v>
      </c>
      <c r="H19" s="4" t="str">
        <f ca="1">CELL("contenu",INDIRECT(ADDRESS(ref!$K$4,ref!G18,1,,CELL("contenu",$AC$2))))</f>
        <v/>
      </c>
      <c r="I19" s="5" t="str">
        <f ca="1">CELL("contenu",INDIRECT(ADDRESS(ref!$K$4,ref!H18,1,,CELL("contenu",$AC$2))))</f>
        <v>C</v>
      </c>
      <c r="J19" s="6" t="str">
        <f ca="1">CELL("contenu",INDIRECT(ADDRESS(ref!$K$5,ref!E18,1,,CELL("contenu",$AC$2))))</f>
        <v>A</v>
      </c>
      <c r="K19" s="3" t="str">
        <f ca="1">CELL("contenu",INDIRECT(ADDRESS(ref!$K$5,ref!F18,1,,CELL("contenu",$AC$2))))</f>
        <v>B</v>
      </c>
      <c r="L19" s="4" t="str">
        <f ca="1">CELL("contenu",INDIRECT(ADDRESS(ref!$K$5,ref!G18,1,,CELL("contenu",$AC$2))))</f>
        <v/>
      </c>
      <c r="M19" s="5" t="str">
        <f ca="1">CELL("contenu",INDIRECT(ADDRESS(ref!$K$5,ref!H18,1,,CELL("contenu",$AC$2))))</f>
        <v>B</v>
      </c>
      <c r="N19" s="6" t="str">
        <f ca="1">CELL("contenu",INDIRECT(ADDRESS(ref!$K$6,ref!E18,1,,CELL("contenu",$AC$2))))</f>
        <v>C</v>
      </c>
      <c r="O19" s="3" t="str">
        <f ca="1">CELL("contenu",INDIRECT(ADDRESS(ref!$K$6,ref!F18,1,,CELL("contenu",$AC$2))))</f>
        <v>C</v>
      </c>
      <c r="P19" s="4" t="str">
        <f ca="1">CELL("contenu",INDIRECT(ADDRESS(ref!$K$6,ref!G18,1,,CELL("contenu",$AC$2))))</f>
        <v/>
      </c>
      <c r="Q19" s="5" t="str">
        <f ca="1">CELL("contenu",INDIRECT(ADDRESS(ref!$K$6,ref!H18,1,,CELL("contenu",$AC$2))))</f>
        <v>C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9">
        <f ca="1">CELL("contenu",INDIRECT(ADDRESS(ref!$K$8,ref!E18,1,,CELL("contenu",$AC$2))))</f>
        <v>13.472222222222223</v>
      </c>
      <c r="W19" s="50">
        <f ca="1">CELL("contenu",INDIRECT(ADDRESS(ref!$K$8,ref!F18,1,,CELL("contenu",$AC$2))))</f>
        <v>13.611111111111114</v>
      </c>
      <c r="X19" s="51" t="str">
        <f ca="1">CELL("contenu",INDIRECT(ADDRESS(ref!$K$8,ref!G18,1,,CELL("contenu",$AC$2))))</f>
        <v/>
      </c>
      <c r="Y19" s="7" t="str">
        <f ca="1">CELL("contenu",INDIRECT(ADDRESS(ref!$K$9,ref!H18,1,,CELL("contenu",$AC$2))))</f>
        <v>B</v>
      </c>
      <c r="Z19" s="4" t="str">
        <f ca="1">CELL("contenu",INDIRECT(ADDRESS(ref!$K$10,ref!H18,1,,CELL("contenu",$AC$2))))</f>
        <v>C</v>
      </c>
      <c r="AA19" s="8" t="str">
        <f ca="1">CELL("contenu",INDIRECT(ADDRESS(ref!$K$11,ref!H18,1,,CELL("contenu",$AC$2))))</f>
        <v>B</v>
      </c>
    </row>
    <row r="20" spans="1:27" x14ac:dyDescent="0.25">
      <c r="A20" s="62" t="str">
        <f t="shared" ca="1" si="0"/>
        <v>KADRIC Emma</v>
      </c>
      <c r="B20" s="2" t="str">
        <f ca="1">CELL("contenu",INDIRECT(ADDRESS(ref!$K$3,ref!E19,1,,CELL("contenu",$AC$2))))</f>
        <v>C</v>
      </c>
      <c r="C20" s="3" t="str">
        <f ca="1">CELL("contenu",INDIRECT(ADDRESS(ref!$K$3,ref!F19,1,,CELL("contenu",$AC$2))))</f>
        <v>C</v>
      </c>
      <c r="D20" s="4" t="str">
        <f ca="1">CELL("contenu",INDIRECT(ADDRESS(ref!$K$3,ref!G19,1,,CELL("contenu",$AC$2))))</f>
        <v/>
      </c>
      <c r="E20" s="5" t="str">
        <f ca="1">CELL("contenu",INDIRECT(ADDRESS(ref!$K$3,ref!H19,1,,CELL("contenu",$AC$2))))</f>
        <v>C</v>
      </c>
      <c r="F20" s="6" t="str">
        <f ca="1">CELL("contenu",INDIRECT(ADDRESS(ref!$K$4,ref!E19,1,,CELL("contenu",$AC$2))))</f>
        <v>C</v>
      </c>
      <c r="G20" s="3" t="str">
        <f ca="1">CELL("contenu",INDIRECT(ADDRESS(ref!$K$4,ref!F19,1,,CELL("contenu",$AC$2))))</f>
        <v>B</v>
      </c>
      <c r="H20" s="4" t="str">
        <f ca="1">CELL("contenu",INDIRECT(ADDRESS(ref!$K$4,ref!G19,1,,CELL("contenu",$AC$2))))</f>
        <v/>
      </c>
      <c r="I20" s="5" t="str">
        <f ca="1">CELL("contenu",INDIRECT(ADDRESS(ref!$K$4,ref!H19,1,,CELL("contenu",$AC$2))))</f>
        <v>C</v>
      </c>
      <c r="J20" s="6" t="str">
        <f ca="1">CELL("contenu",INDIRECT(ADDRESS(ref!$K$5,ref!E19,1,,CELL("contenu",$AC$2))))</f>
        <v>A</v>
      </c>
      <c r="K20" s="3" t="str">
        <f ca="1">CELL("contenu",INDIRECT(ADDRESS(ref!$K$5,ref!F19,1,,CELL("contenu",$AC$2))))</f>
        <v>A</v>
      </c>
      <c r="L20" s="4" t="str">
        <f ca="1">CELL("contenu",INDIRECT(ADDRESS(ref!$K$5,ref!G19,1,,CELL("contenu",$AC$2))))</f>
        <v/>
      </c>
      <c r="M20" s="5" t="str">
        <f ca="1">CELL("contenu",INDIRECT(ADDRESS(ref!$K$5,ref!H19,1,,CELL("contenu",$AC$2))))</f>
        <v>A</v>
      </c>
      <c r="N20" s="6" t="str">
        <f ca="1">CELL("contenu",INDIRECT(ADDRESS(ref!$K$6,ref!E19,1,,CELL("contenu",$AC$2))))</f>
        <v>B</v>
      </c>
      <c r="O20" s="3" t="str">
        <f ca="1">CELL("contenu",INDIRECT(ADDRESS(ref!$K$6,ref!F19,1,,CELL("contenu",$AC$2))))</f>
        <v>C</v>
      </c>
      <c r="P20" s="4" t="str">
        <f ca="1">CELL("contenu",INDIRECT(ADDRESS(ref!$K$6,ref!G19,1,,CELL("contenu",$AC$2))))</f>
        <v/>
      </c>
      <c r="Q20" s="5" t="str">
        <f ca="1">CELL("contenu",INDIRECT(ADDRESS(ref!$K$6,ref!H19,1,,CELL("contenu",$AC$2))))</f>
        <v>C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9">
        <f ca="1">CELL("contenu",INDIRECT(ADDRESS(ref!$K$8,ref!E19,1,,CELL("contenu",$AC$2))))</f>
        <v>14.305555555555555</v>
      </c>
      <c r="W20" s="50">
        <f ca="1">CELL("contenu",INDIRECT(ADDRESS(ref!$K$8,ref!F19,1,,CELL("contenu",$AC$2))))</f>
        <v>14.305555555555554</v>
      </c>
      <c r="X20" s="51" t="str">
        <f ca="1">CELL("contenu",INDIRECT(ADDRESS(ref!$K$8,ref!G19,1,,CELL("contenu",$AC$2))))</f>
        <v/>
      </c>
      <c r="Y20" s="7" t="str">
        <f ca="1">CELL("contenu",INDIRECT(ADDRESS(ref!$K$9,ref!H19,1,,CELL("contenu",$AC$2))))</f>
        <v>B</v>
      </c>
      <c r="Z20" s="4" t="str">
        <f ca="1">CELL("contenu",INDIRECT(ADDRESS(ref!$K$10,ref!H19,1,,CELL("contenu",$AC$2))))</f>
        <v>C</v>
      </c>
      <c r="AA20" s="8" t="str">
        <f ca="1">CELL("contenu",INDIRECT(ADDRESS(ref!$K$11,ref!H19,1,,CELL("contenu",$AC$2))))</f>
        <v>A</v>
      </c>
    </row>
    <row r="21" spans="1:27" x14ac:dyDescent="0.25">
      <c r="A21" s="62" t="str">
        <f t="shared" ca="1" si="0"/>
        <v>LE DIEU DE VILLE Constance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>B</v>
      </c>
      <c r="D21" s="4" t="str">
        <f ca="1">CELL("contenu",INDIRECT(ADDRESS(ref!$K$3,ref!G20,1,,CELL("contenu",$AC$2))))</f>
        <v/>
      </c>
      <c r="E21" s="5" t="str">
        <f ca="1">CELL("contenu",INDIRECT(ADDRESS(ref!$K$3,ref!H20,1,,CELL("contenu",$AC$2))))</f>
        <v>B</v>
      </c>
      <c r="F21" s="6" t="str">
        <f ca="1">CELL("contenu",INDIRECT(ADDRESS(ref!$K$4,ref!E20,1,,CELL("contenu",$AC$2))))</f>
        <v>B</v>
      </c>
      <c r="G21" s="3" t="str">
        <f ca="1">CELL("contenu",INDIRECT(ADDRESS(ref!$K$4,ref!F20,1,,CELL("contenu",$AC$2))))</f>
        <v>B</v>
      </c>
      <c r="H21" s="4" t="str">
        <f ca="1">CELL("contenu",INDIRECT(ADDRESS(ref!$K$4,ref!G20,1,,CELL("contenu",$AC$2))))</f>
        <v/>
      </c>
      <c r="I21" s="5" t="str">
        <f ca="1">CELL("contenu",INDIRECT(ADDRESS(ref!$K$4,ref!H20,1,,CELL("contenu",$AC$2))))</f>
        <v>B</v>
      </c>
      <c r="J21" s="6" t="str">
        <f ca="1">CELL("contenu",INDIRECT(ADDRESS(ref!$K$5,ref!E20,1,,CELL("contenu",$AC$2))))</f>
        <v>A</v>
      </c>
      <c r="K21" s="3" t="str">
        <f ca="1">CELL("contenu",INDIRECT(ADDRESS(ref!$K$5,ref!F20,1,,CELL("contenu",$AC$2))))</f>
        <v>A</v>
      </c>
      <c r="L21" s="4" t="str">
        <f ca="1">CELL("contenu",INDIRECT(ADDRESS(ref!$K$5,ref!G20,1,,CELL("contenu",$AC$2))))</f>
        <v/>
      </c>
      <c r="M21" s="5" t="str">
        <f ca="1">CELL("contenu",INDIRECT(ADDRESS(ref!$K$5,ref!H20,1,,CELL("contenu",$AC$2))))</f>
        <v>A</v>
      </c>
      <c r="N21" s="6" t="str">
        <f ca="1">CELL("contenu",INDIRECT(ADDRESS(ref!$K$6,ref!E20,1,,CELL("contenu",$AC$2))))</f>
        <v>B</v>
      </c>
      <c r="O21" s="3" t="str">
        <f ca="1">CELL("contenu",INDIRECT(ADDRESS(ref!$K$6,ref!F20,1,,CELL("contenu",$AC$2))))</f>
        <v>B</v>
      </c>
      <c r="P21" s="4" t="str">
        <f ca="1">CELL("contenu",INDIRECT(ADDRESS(ref!$K$6,ref!G20,1,,CELL("contenu",$AC$2))))</f>
        <v/>
      </c>
      <c r="Q21" s="5" t="str">
        <f ca="1">CELL("contenu",INDIRECT(ADDRESS(ref!$K$6,ref!H20,1,,CELL("contenu",$AC$2))))</f>
        <v>B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9">
        <f ca="1">CELL("contenu",INDIRECT(ADDRESS(ref!$K$8,ref!E20,1,,CELL("contenu",$AC$2))))</f>
        <v>15.185185185185189</v>
      </c>
      <c r="W21" s="50">
        <f ca="1">CELL("contenu",INDIRECT(ADDRESS(ref!$K$8,ref!F20,1,,CELL("contenu",$AC$2))))</f>
        <v>16.574074074074076</v>
      </c>
      <c r="X21" s="51" t="str">
        <f ca="1">CELL("contenu",INDIRECT(ADDRESS(ref!$K$8,ref!G20,1,,CELL("contenu",$AC$2))))</f>
        <v/>
      </c>
      <c r="Y21" s="7" t="str">
        <f ca="1">CELL("contenu",INDIRECT(ADDRESS(ref!$K$9,ref!H20,1,,CELL("contenu",$AC$2))))</f>
        <v>B</v>
      </c>
      <c r="Z21" s="4" t="str">
        <f ca="1">CELL("contenu",INDIRECT(ADDRESS(ref!$K$10,ref!H20,1,,CELL("contenu",$AC$2))))</f>
        <v>B</v>
      </c>
      <c r="AA21" s="8" t="str">
        <f ca="1">CELL("contenu",INDIRECT(ADDRESS(ref!$K$11,ref!H20,1,,CELL("contenu",$AC$2))))</f>
        <v>A</v>
      </c>
    </row>
    <row r="22" spans="1:27" x14ac:dyDescent="0.25">
      <c r="A22" s="62" t="str">
        <f t="shared" ca="1" si="0"/>
        <v>PEIGNE Orso</v>
      </c>
      <c r="B22" s="2" t="str">
        <f ca="1">CELL("contenu",INDIRECT(ADDRESS(ref!$K$3,ref!E21,1,,CELL("contenu",$AC$2))))</f>
        <v>B</v>
      </c>
      <c r="C22" s="3" t="str">
        <f ca="1">CELL("contenu",INDIRECT(ADDRESS(ref!$K$3,ref!F21,1,,CELL("contenu",$AC$2))))</f>
        <v>B</v>
      </c>
      <c r="D22" s="4" t="str">
        <f ca="1">CELL("contenu",INDIRECT(ADDRESS(ref!$K$3,ref!G21,1,,CELL("contenu",$AC$2))))</f>
        <v/>
      </c>
      <c r="E22" s="5" t="str">
        <f ca="1">CELL("contenu",INDIRECT(ADDRESS(ref!$K$3,ref!H21,1,,CELL("contenu",$AC$2))))</f>
        <v>B</v>
      </c>
      <c r="F22" s="6" t="str">
        <f ca="1">CELL("contenu",INDIRECT(ADDRESS(ref!$K$4,ref!E21,1,,CELL("contenu",$AC$2))))</f>
        <v>C</v>
      </c>
      <c r="G22" s="3" t="str">
        <f ca="1">CELL("contenu",INDIRECT(ADDRESS(ref!$K$4,ref!F21,1,,CELL("contenu",$AC$2))))</f>
        <v>B</v>
      </c>
      <c r="H22" s="4" t="str">
        <f ca="1">CELL("contenu",INDIRECT(ADDRESS(ref!$K$4,ref!G21,1,,CELL("contenu",$AC$2))))</f>
        <v/>
      </c>
      <c r="I22" s="5" t="str">
        <f ca="1">CELL("contenu",INDIRECT(ADDRESS(ref!$K$4,ref!H21,1,,CELL("contenu",$AC$2))))</f>
        <v>C</v>
      </c>
      <c r="J22" s="6" t="str">
        <f ca="1">CELL("contenu",INDIRECT(ADDRESS(ref!$K$5,ref!E21,1,,CELL("contenu",$AC$2))))</f>
        <v>A</v>
      </c>
      <c r="K22" s="3" t="str">
        <f ca="1">CELL("contenu",INDIRECT(ADDRESS(ref!$K$5,ref!F21,1,,CELL("contenu",$AC$2))))</f>
        <v>A</v>
      </c>
      <c r="L22" s="4" t="str">
        <f ca="1">CELL("contenu",INDIRECT(ADDRESS(ref!$K$5,ref!G21,1,,CELL("contenu",$AC$2))))</f>
        <v/>
      </c>
      <c r="M22" s="5" t="str">
        <f ca="1">CELL("contenu",INDIRECT(ADDRESS(ref!$K$5,ref!H21,1,,CELL("contenu",$AC$2))))</f>
        <v>A</v>
      </c>
      <c r="N22" s="6" t="str">
        <f ca="1">CELL("contenu",INDIRECT(ADDRESS(ref!$K$6,ref!E21,1,,CELL("contenu",$AC$2))))</f>
        <v>B</v>
      </c>
      <c r="O22" s="3" t="str">
        <f ca="1">CELL("contenu",INDIRECT(ADDRESS(ref!$K$6,ref!F21,1,,CELL("contenu",$AC$2))))</f>
        <v>C</v>
      </c>
      <c r="P22" s="4" t="str">
        <f ca="1">CELL("contenu",INDIRECT(ADDRESS(ref!$K$6,ref!G21,1,,CELL("contenu",$AC$2))))</f>
        <v/>
      </c>
      <c r="Q22" s="5" t="str">
        <f ca="1">CELL("contenu",INDIRECT(ADDRESS(ref!$K$6,ref!H21,1,,CELL("contenu",$AC$2))))</f>
        <v>C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9">
        <f ca="1">CELL("contenu",INDIRECT(ADDRESS(ref!$K$8,ref!E21,1,,CELL("contenu",$AC$2))))</f>
        <v>14.722222222222223</v>
      </c>
      <c r="W22" s="50">
        <f ca="1">CELL("contenu",INDIRECT(ADDRESS(ref!$K$8,ref!F21,1,,CELL("contenu",$AC$2))))</f>
        <v>15.462962962962965</v>
      </c>
      <c r="X22" s="51" t="str">
        <f ca="1">CELL("contenu",INDIRECT(ADDRESS(ref!$K$8,ref!G21,1,,CELL("contenu",$AC$2))))</f>
        <v/>
      </c>
      <c r="Y22" s="7" t="str">
        <f ca="1">CELL("contenu",INDIRECT(ADDRESS(ref!$K$9,ref!H21,1,,CELL("contenu",$AC$2))))</f>
        <v>B</v>
      </c>
      <c r="Z22" s="4" t="str">
        <f ca="1">CELL("contenu",INDIRECT(ADDRESS(ref!$K$10,ref!H21,1,,CELL("contenu",$AC$2))))</f>
        <v>D</v>
      </c>
      <c r="AA22" s="8" t="str">
        <f ca="1">CELL("contenu",INDIRECT(ADDRESS(ref!$K$11,ref!H21,1,,CELL("contenu",$AC$2))))</f>
        <v>A</v>
      </c>
    </row>
    <row r="23" spans="1:27" x14ac:dyDescent="0.25">
      <c r="A23" s="62" t="str">
        <f t="shared" ca="1" si="0"/>
        <v>POIRIER-BEZARD Lucina</v>
      </c>
      <c r="B23" s="2" t="str">
        <f ca="1">CELL("contenu",INDIRECT(ADDRESS(ref!$K$3,ref!E22,1,,CELL("contenu",$AC$2))))</f>
        <v>B</v>
      </c>
      <c r="C23" s="3" t="str">
        <f ca="1">CELL("contenu",INDIRECT(ADDRESS(ref!$K$3,ref!F22,1,,CELL("contenu",$AC$2))))</f>
        <v>B</v>
      </c>
      <c r="D23" s="4" t="str">
        <f ca="1">CELL("contenu",INDIRECT(ADDRESS(ref!$K$3,ref!G22,1,,CELL("contenu",$AC$2))))</f>
        <v/>
      </c>
      <c r="E23" s="5" t="str">
        <f ca="1">CELL("contenu",INDIRECT(ADDRESS(ref!$K$3,ref!H22,1,,CELL("contenu",$AC$2))))</f>
        <v>B</v>
      </c>
      <c r="F23" s="6" t="str">
        <f ca="1">CELL("contenu",INDIRECT(ADDRESS(ref!$K$4,ref!E22,1,,CELL("contenu",$AC$2))))</f>
        <v>C</v>
      </c>
      <c r="G23" s="3" t="str">
        <f ca="1">CELL("contenu",INDIRECT(ADDRESS(ref!$K$4,ref!F22,1,,CELL("contenu",$AC$2))))</f>
        <v>A</v>
      </c>
      <c r="H23" s="4" t="str">
        <f ca="1">CELL("contenu",INDIRECT(ADDRESS(ref!$K$4,ref!G22,1,,CELL("contenu",$AC$2))))</f>
        <v/>
      </c>
      <c r="I23" s="5" t="str">
        <f ca="1">CELL("contenu",INDIRECT(ADDRESS(ref!$K$4,ref!H22,1,,CELL("contenu",$AC$2))))</f>
        <v>B</v>
      </c>
      <c r="J23" s="6" t="str">
        <f ca="1">CELL("contenu",INDIRECT(ADDRESS(ref!$K$5,ref!E22,1,,CELL("contenu",$AC$2))))</f>
        <v>A</v>
      </c>
      <c r="K23" s="3" t="str">
        <f ca="1">CELL("contenu",INDIRECT(ADDRESS(ref!$K$5,ref!F22,1,,CELL("contenu",$AC$2))))</f>
        <v>A</v>
      </c>
      <c r="L23" s="4" t="str">
        <f ca="1">CELL("contenu",INDIRECT(ADDRESS(ref!$K$5,ref!G22,1,,CELL("contenu",$AC$2))))</f>
        <v/>
      </c>
      <c r="M23" s="5" t="str">
        <f ca="1">CELL("contenu",INDIRECT(ADDRESS(ref!$K$5,ref!H22,1,,CELL("contenu",$AC$2))))</f>
        <v>A</v>
      </c>
      <c r="N23" s="6" t="str">
        <f ca="1">CELL("contenu",INDIRECT(ADDRESS(ref!$K$6,ref!E22,1,,CELL("contenu",$AC$2))))</f>
        <v>C</v>
      </c>
      <c r="O23" s="3" t="str">
        <f ca="1">CELL("contenu",INDIRECT(ADDRESS(ref!$K$6,ref!F22,1,,CELL("contenu",$AC$2))))</f>
        <v>B</v>
      </c>
      <c r="P23" s="4" t="str">
        <f ca="1">CELL("contenu",INDIRECT(ADDRESS(ref!$K$6,ref!G22,1,,CELL("contenu",$AC$2))))</f>
        <v/>
      </c>
      <c r="Q23" s="5" t="str">
        <f ca="1">CELL("contenu",INDIRECT(ADDRESS(ref!$K$6,ref!H22,1,,CELL("contenu",$AC$2))))</f>
        <v>B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9">
        <f ca="1">CELL("contenu",INDIRECT(ADDRESS(ref!$K$8,ref!E22,1,,CELL("contenu",$AC$2))))</f>
        <v>15.532407407407407</v>
      </c>
      <c r="W23" s="50">
        <f ca="1">CELL("contenu",INDIRECT(ADDRESS(ref!$K$8,ref!F22,1,,CELL("contenu",$AC$2))))</f>
        <v>17.5</v>
      </c>
      <c r="X23" s="51" t="str">
        <f ca="1">CELL("contenu",INDIRECT(ADDRESS(ref!$K$8,ref!G22,1,,CELL("contenu",$AC$2))))</f>
        <v/>
      </c>
      <c r="Y23" s="7" t="str">
        <f ca="1">CELL("contenu",INDIRECT(ADDRESS(ref!$K$9,ref!H22,1,,CELL("contenu",$AC$2))))</f>
        <v>A</v>
      </c>
      <c r="Z23" s="4" t="str">
        <f ca="1">CELL("contenu",INDIRECT(ADDRESS(ref!$K$10,ref!H22,1,,CELL("contenu",$AC$2))))</f>
        <v>C</v>
      </c>
      <c r="AA23" s="8" t="str">
        <f ca="1">CELL("contenu",INDIRECT(ADDRESS(ref!$K$11,ref!H22,1,,CELL("contenu",$AC$2))))</f>
        <v>A</v>
      </c>
    </row>
    <row r="24" spans="1:27" x14ac:dyDescent="0.25">
      <c r="A24" s="62" t="str">
        <f t="shared" ca="1" si="0"/>
        <v>PUIG Salome</v>
      </c>
      <c r="B24" s="2" t="str">
        <f ca="1">CELL("contenu",INDIRECT(ADDRESS(ref!$K$3,ref!E23,1,,CELL("contenu",$AC$2))))</f>
        <v>B</v>
      </c>
      <c r="C24" s="3" t="str">
        <f ca="1">CELL("contenu",INDIRECT(ADDRESS(ref!$K$3,ref!F23,1,,CELL("contenu",$AC$2))))</f>
        <v>B</v>
      </c>
      <c r="D24" s="4" t="str">
        <f ca="1">CELL("contenu",INDIRECT(ADDRESS(ref!$K$3,ref!G23,1,,CELL("contenu",$AC$2))))</f>
        <v/>
      </c>
      <c r="E24" s="5" t="str">
        <f ca="1">CELL("contenu",INDIRECT(ADDRESS(ref!$K$3,ref!H23,1,,CELL("contenu",$AC$2))))</f>
        <v>B</v>
      </c>
      <c r="F24" s="6" t="str">
        <f ca="1">CELL("contenu",INDIRECT(ADDRESS(ref!$K$4,ref!E23,1,,CELL("contenu",$AC$2))))</f>
        <v>B</v>
      </c>
      <c r="G24" s="3" t="str">
        <f ca="1">CELL("contenu",INDIRECT(ADDRESS(ref!$K$4,ref!F23,1,,CELL("contenu",$AC$2))))</f>
        <v>A</v>
      </c>
      <c r="H24" s="4" t="str">
        <f ca="1">CELL("contenu",INDIRECT(ADDRESS(ref!$K$4,ref!G23,1,,CELL("contenu",$AC$2))))</f>
        <v/>
      </c>
      <c r="I24" s="5" t="str">
        <f ca="1">CELL("contenu",INDIRECT(ADDRESS(ref!$K$4,ref!H23,1,,CELL("contenu",$AC$2))))</f>
        <v>B</v>
      </c>
      <c r="J24" s="6" t="str">
        <f ca="1">CELL("contenu",INDIRECT(ADDRESS(ref!$K$5,ref!E23,1,,CELL("contenu",$AC$2))))</f>
        <v/>
      </c>
      <c r="K24" s="3" t="str">
        <f ca="1">CELL("contenu",INDIRECT(ADDRESS(ref!$K$5,ref!F23,1,,CELL("contenu",$AC$2))))</f>
        <v>A</v>
      </c>
      <c r="L24" s="4" t="str">
        <f ca="1">CELL("contenu",INDIRECT(ADDRESS(ref!$K$5,ref!G23,1,,CELL("contenu",$AC$2))))</f>
        <v/>
      </c>
      <c r="M24" s="5" t="str">
        <f ca="1">CELL("contenu",INDIRECT(ADDRESS(ref!$K$5,ref!H23,1,,CELL("contenu",$AC$2))))</f>
        <v>A</v>
      </c>
      <c r="N24" s="6" t="str">
        <f ca="1">CELL("contenu",INDIRECT(ADDRESS(ref!$K$6,ref!E23,1,,CELL("contenu",$AC$2))))</f>
        <v>B</v>
      </c>
      <c r="O24" s="3" t="str">
        <f ca="1">CELL("contenu",INDIRECT(ADDRESS(ref!$K$6,ref!F23,1,,CELL("contenu",$AC$2))))</f>
        <v>C</v>
      </c>
      <c r="P24" s="4" t="str">
        <f ca="1">CELL("contenu",INDIRECT(ADDRESS(ref!$K$6,ref!G23,1,,CELL("contenu",$AC$2))))</f>
        <v/>
      </c>
      <c r="Q24" s="5" t="str">
        <f ca="1">CELL("contenu",INDIRECT(ADDRESS(ref!$K$6,ref!H23,1,,CELL("contenu",$AC$2))))</f>
        <v>C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9">
        <f ca="1">CELL("contenu",INDIRECT(ADDRESS(ref!$K$8,ref!E23,1,,CELL("contenu",$AC$2))))</f>
        <v>16.333333333333332</v>
      </c>
      <c r="W24" s="50">
        <f ca="1">CELL("contenu",INDIRECT(ADDRESS(ref!$K$8,ref!F23,1,,CELL("contenu",$AC$2))))</f>
        <v>16.157407407407405</v>
      </c>
      <c r="X24" s="51" t="str">
        <f ca="1">CELL("contenu",INDIRECT(ADDRESS(ref!$K$8,ref!G23,1,,CELL("contenu",$AC$2))))</f>
        <v/>
      </c>
      <c r="Y24" s="7" t="str">
        <f ca="1">CELL("contenu",INDIRECT(ADDRESS(ref!$K$9,ref!H23,1,,CELL("contenu",$AC$2))))</f>
        <v>A</v>
      </c>
      <c r="Z24" s="4" t="str">
        <f ca="1">CELL("contenu",INDIRECT(ADDRESS(ref!$K$10,ref!H23,1,,CELL("contenu",$AC$2))))</f>
        <v>C</v>
      </c>
      <c r="AA24" s="8" t="str">
        <f ca="1">CELL("contenu",INDIRECT(ADDRESS(ref!$K$11,ref!H23,1,,CELL("contenu",$AC$2))))</f>
        <v>A</v>
      </c>
    </row>
    <row r="25" spans="1:27" x14ac:dyDescent="0.25">
      <c r="A25" s="62" t="str">
        <f t="shared" ca="1" si="0"/>
        <v>ROBIN Anne-Solenne</v>
      </c>
      <c r="B25" s="2" t="str">
        <f ca="1">CELL("contenu",INDIRECT(ADDRESS(ref!$K$3,ref!E24,1,,CELL("contenu",$AC$2))))</f>
        <v>B</v>
      </c>
      <c r="C25" s="3" t="str">
        <f ca="1">CELL("contenu",INDIRECT(ADDRESS(ref!$K$3,ref!F24,1,,CELL("contenu",$AC$2))))</f>
        <v>A</v>
      </c>
      <c r="D25" s="4" t="str">
        <f ca="1">CELL("contenu",INDIRECT(ADDRESS(ref!$K$3,ref!G24,1,,CELL("contenu",$AC$2))))</f>
        <v/>
      </c>
      <c r="E25" s="5" t="str">
        <f ca="1">CELL("contenu",INDIRECT(ADDRESS(ref!$K$3,ref!H24,1,,CELL("contenu",$AC$2))))</f>
        <v>A</v>
      </c>
      <c r="F25" s="6" t="str">
        <f ca="1">CELL("contenu",INDIRECT(ADDRESS(ref!$K$4,ref!E24,1,,CELL("contenu",$AC$2))))</f>
        <v>B</v>
      </c>
      <c r="G25" s="3" t="str">
        <f ca="1">CELL("contenu",INDIRECT(ADDRESS(ref!$K$4,ref!F24,1,,CELL("contenu",$AC$2))))</f>
        <v>A</v>
      </c>
      <c r="H25" s="4" t="str">
        <f ca="1">CELL("contenu",INDIRECT(ADDRESS(ref!$K$4,ref!G24,1,,CELL("contenu",$AC$2))))</f>
        <v/>
      </c>
      <c r="I25" s="5" t="str">
        <f ca="1">CELL("contenu",INDIRECT(ADDRESS(ref!$K$4,ref!H24,1,,CELL("contenu",$AC$2))))</f>
        <v>B</v>
      </c>
      <c r="J25" s="6" t="str">
        <f ca="1">CELL("contenu",INDIRECT(ADDRESS(ref!$K$5,ref!E24,1,,CELL("contenu",$AC$2))))</f>
        <v>A</v>
      </c>
      <c r="K25" s="3" t="str">
        <f ca="1">CELL("contenu",INDIRECT(ADDRESS(ref!$K$5,ref!F24,1,,CELL("contenu",$AC$2))))</f>
        <v>A</v>
      </c>
      <c r="L25" s="4" t="str">
        <f ca="1">CELL("contenu",INDIRECT(ADDRESS(ref!$K$5,ref!G24,1,,CELL("contenu",$AC$2))))</f>
        <v/>
      </c>
      <c r="M25" s="5" t="str">
        <f ca="1">CELL("contenu",INDIRECT(ADDRESS(ref!$K$5,ref!H24,1,,CELL("contenu",$AC$2))))</f>
        <v>A</v>
      </c>
      <c r="N25" s="6" t="str">
        <f ca="1">CELL("contenu",INDIRECT(ADDRESS(ref!$K$6,ref!E24,1,,CELL("contenu",$AC$2))))</f>
        <v>B</v>
      </c>
      <c r="O25" s="3" t="str">
        <f ca="1">CELL("contenu",INDIRECT(ADDRESS(ref!$K$6,ref!F24,1,,CELL("contenu",$AC$2))))</f>
        <v>B</v>
      </c>
      <c r="P25" s="4" t="str">
        <f ca="1">CELL("contenu",INDIRECT(ADDRESS(ref!$K$6,ref!G24,1,,CELL("contenu",$AC$2))))</f>
        <v/>
      </c>
      <c r="Q25" s="5" t="str">
        <f ca="1">CELL("contenu",INDIRECT(ADDRESS(ref!$K$6,ref!H24,1,,CELL("contenu",$AC$2))))</f>
        <v>B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9">
        <f ca="1">CELL("contenu",INDIRECT(ADDRESS(ref!$K$8,ref!E24,1,,CELL("contenu",$AC$2))))</f>
        <v>17.708333333333332</v>
      </c>
      <c r="W25" s="50">
        <f ca="1">CELL("contenu",INDIRECT(ADDRESS(ref!$K$8,ref!F24,1,,CELL("contenu",$AC$2))))</f>
        <v>18.657407407407408</v>
      </c>
      <c r="X25" s="51" t="str">
        <f ca="1">CELL("contenu",INDIRECT(ADDRESS(ref!$K$8,ref!G24,1,,CELL("contenu",$AC$2))))</f>
        <v/>
      </c>
      <c r="Y25" s="7" t="str">
        <f ca="1">CELL("contenu",INDIRECT(ADDRESS(ref!$K$9,ref!H24,1,,CELL("contenu",$AC$2))))</f>
        <v>A</v>
      </c>
      <c r="Z25" s="4" t="str">
        <f ca="1">CELL("contenu",INDIRECT(ADDRESS(ref!$K$10,ref!H24,1,,CELL("contenu",$AC$2))))</f>
        <v>B</v>
      </c>
      <c r="AA25" s="8" t="str">
        <f ca="1">CELL("contenu",INDIRECT(ADDRESS(ref!$K$11,ref!H24,1,,CELL("contenu",$AC$2))))</f>
        <v>A</v>
      </c>
    </row>
    <row r="26" spans="1:27" x14ac:dyDescent="0.25">
      <c r="A26" s="62" t="str">
        <f t="shared" ca="1" si="0"/>
        <v>SOLON Emma</v>
      </c>
      <c r="B26" s="2" t="str">
        <f ca="1">CELL("contenu",INDIRECT(ADDRESS(ref!$K$3,ref!E25,1,,CELL("contenu",$AC$2))))</f>
        <v>C</v>
      </c>
      <c r="C26" s="3" t="str">
        <f ca="1">CELL("contenu",INDIRECT(ADDRESS(ref!$K$3,ref!F25,1,,CELL("contenu",$AC$2))))</f>
        <v>C</v>
      </c>
      <c r="D26" s="4" t="str">
        <f ca="1">CELL("contenu",INDIRECT(ADDRESS(ref!$K$3,ref!G25,1,,CELL("contenu",$AC$2))))</f>
        <v/>
      </c>
      <c r="E26" s="5" t="str">
        <f ca="1">CELL("contenu",INDIRECT(ADDRESS(ref!$K$3,ref!H25,1,,CELL("contenu",$AC$2))))</f>
        <v>C</v>
      </c>
      <c r="F26" s="6" t="str">
        <f ca="1">CELL("contenu",INDIRECT(ADDRESS(ref!$K$4,ref!E25,1,,CELL("contenu",$AC$2))))</f>
        <v>C</v>
      </c>
      <c r="G26" s="3" t="str">
        <f ca="1">CELL("contenu",INDIRECT(ADDRESS(ref!$K$4,ref!F25,1,,CELL("contenu",$AC$2))))</f>
        <v>B</v>
      </c>
      <c r="H26" s="4" t="str">
        <f ca="1">CELL("contenu",INDIRECT(ADDRESS(ref!$K$4,ref!G25,1,,CELL("contenu",$AC$2))))</f>
        <v/>
      </c>
      <c r="I26" s="5" t="str">
        <f ca="1">CELL("contenu",INDIRECT(ADDRESS(ref!$K$4,ref!H25,1,,CELL("contenu",$AC$2))))</f>
        <v>C</v>
      </c>
      <c r="J26" s="6" t="str">
        <f ca="1">CELL("contenu",INDIRECT(ADDRESS(ref!$K$5,ref!E25,1,,CELL("contenu",$AC$2))))</f>
        <v>A</v>
      </c>
      <c r="K26" s="3" t="str">
        <f ca="1">CELL("contenu",INDIRECT(ADDRESS(ref!$K$5,ref!F25,1,,CELL("contenu",$AC$2))))</f>
        <v>A</v>
      </c>
      <c r="L26" s="4" t="str">
        <f ca="1">CELL("contenu",INDIRECT(ADDRESS(ref!$K$5,ref!G25,1,,CELL("contenu",$AC$2))))</f>
        <v/>
      </c>
      <c r="M26" s="5" t="str">
        <f ca="1">CELL("contenu",INDIRECT(ADDRESS(ref!$K$5,ref!H25,1,,CELL("contenu",$AC$2))))</f>
        <v>A</v>
      </c>
      <c r="N26" s="6" t="str">
        <f ca="1">CELL("contenu",INDIRECT(ADDRESS(ref!$K$6,ref!E25,1,,CELL("contenu",$AC$2))))</f>
        <v>C</v>
      </c>
      <c r="O26" s="3" t="str">
        <f ca="1">CELL("contenu",INDIRECT(ADDRESS(ref!$K$6,ref!F25,1,,CELL("contenu",$AC$2))))</f>
        <v>C</v>
      </c>
      <c r="P26" s="4" t="str">
        <f ca="1">CELL("contenu",INDIRECT(ADDRESS(ref!$K$6,ref!G25,1,,CELL("contenu",$AC$2))))</f>
        <v/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9">
        <f ca="1">CELL("contenu",INDIRECT(ADDRESS(ref!$K$8,ref!E25,1,,CELL("contenu",$AC$2))))</f>
        <v>13.518518518518519</v>
      </c>
      <c r="W26" s="50">
        <f ca="1">CELL("contenu",INDIRECT(ADDRESS(ref!$K$8,ref!F25,1,,CELL("contenu",$AC$2))))</f>
        <v>14.861111111111109</v>
      </c>
      <c r="X26" s="51" t="str">
        <f ca="1">CELL("contenu",INDIRECT(ADDRESS(ref!$K$8,ref!G25,1,,CELL("contenu",$AC$2))))</f>
        <v/>
      </c>
      <c r="Y26" s="7" t="str">
        <f ca="1">CELL("contenu",INDIRECT(ADDRESS(ref!$K$9,ref!H25,1,,CELL("contenu",$AC$2))))</f>
        <v>B</v>
      </c>
      <c r="Z26" s="4" t="str">
        <f ca="1">CELL("contenu",INDIRECT(ADDRESS(ref!$K$10,ref!H25,1,,CELL("contenu",$AC$2))))</f>
        <v>C</v>
      </c>
      <c r="AA26" s="8" t="str">
        <f ca="1">CELL("contenu",INDIRECT(ADDRESS(ref!$K$11,ref!H25,1,,CELL("contenu",$AC$2))))</f>
        <v>A</v>
      </c>
    </row>
    <row r="27" spans="1:27" x14ac:dyDescent="0.25">
      <c r="A27" s="62" t="str">
        <f t="shared" ca="1" si="0"/>
        <v>TALPAIN Olivier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>B</v>
      </c>
      <c r="D27" s="4" t="str">
        <f ca="1">CELL("contenu",INDIRECT(ADDRESS(ref!$K$3,ref!G26,1,,CELL("contenu",$AC$2))))</f>
        <v/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>C</v>
      </c>
      <c r="G27" s="3" t="str">
        <f ca="1">CELL("contenu",INDIRECT(ADDRESS(ref!$K$4,ref!F26,1,,CELL("contenu",$AC$2))))</f>
        <v>B</v>
      </c>
      <c r="H27" s="4" t="str">
        <f ca="1">CELL("contenu",INDIRECT(ADDRESS(ref!$K$4,ref!G26,1,,CELL("contenu",$AC$2))))</f>
        <v/>
      </c>
      <c r="I27" s="5" t="str">
        <f ca="1">CELL("contenu",INDIRECT(ADDRESS(ref!$K$4,ref!H26,1,,CELL("contenu",$AC$2))))</f>
        <v>C</v>
      </c>
      <c r="J27" s="6" t="str">
        <f ca="1">CELL("contenu",INDIRECT(ADDRESS(ref!$K$5,ref!E26,1,,CELL("contenu",$AC$2))))</f>
        <v>A</v>
      </c>
      <c r="K27" s="3" t="str">
        <f ca="1">CELL("contenu",INDIRECT(ADDRESS(ref!$K$5,ref!F26,1,,CELL("contenu",$AC$2))))</f>
        <v>A</v>
      </c>
      <c r="L27" s="4" t="str">
        <f ca="1">CELL("contenu",INDIRECT(ADDRESS(ref!$K$5,ref!G26,1,,CELL("contenu",$AC$2))))</f>
        <v/>
      </c>
      <c r="M27" s="5" t="str">
        <f ca="1">CELL("contenu",INDIRECT(ADDRESS(ref!$K$5,ref!H26,1,,CELL("contenu",$AC$2))))</f>
        <v>A</v>
      </c>
      <c r="N27" s="6" t="str">
        <f ca="1">CELL("contenu",INDIRECT(ADDRESS(ref!$K$6,ref!E26,1,,CELL("contenu",$AC$2))))</f>
        <v>C</v>
      </c>
      <c r="O27" s="3" t="str">
        <f ca="1">CELL("contenu",INDIRECT(ADDRESS(ref!$K$6,ref!F26,1,,CELL("contenu",$AC$2))))</f>
        <v>B</v>
      </c>
      <c r="P27" s="4" t="str">
        <f ca="1">CELL("contenu",INDIRECT(ADDRESS(ref!$K$6,ref!G26,1,,CELL("contenu",$AC$2))))</f>
        <v/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9">
        <f ca="1">CELL("contenu",INDIRECT(ADDRESS(ref!$K$8,ref!E26,1,,CELL("contenu",$AC$2))))</f>
        <v>13.773148148148149</v>
      </c>
      <c r="W27" s="50">
        <f ca="1">CELL("contenu",INDIRECT(ADDRESS(ref!$K$8,ref!F26,1,,CELL("contenu",$AC$2))))</f>
        <v>15.972222222222223</v>
      </c>
      <c r="X27" s="51" t="str">
        <f ca="1">CELL("contenu",INDIRECT(ADDRESS(ref!$K$8,ref!G26,1,,CELL("contenu",$AC$2))))</f>
        <v/>
      </c>
      <c r="Y27" s="7" t="str">
        <f ca="1">CELL("contenu",INDIRECT(ADDRESS(ref!$K$9,ref!H26,1,,CELL("contenu",$AC$2))))</f>
        <v>B</v>
      </c>
      <c r="Z27" s="4" t="str">
        <f ca="1">CELL("contenu",INDIRECT(ADDRESS(ref!$K$10,ref!H26,1,,CELL("contenu",$AC$2))))</f>
        <v>C</v>
      </c>
      <c r="AA27" s="8" t="str">
        <f ca="1">CELL("contenu",INDIRECT(ADDRESS(ref!$K$11,ref!H26,1,,CELL("contenu",$AC$2))))</f>
        <v>A</v>
      </c>
    </row>
    <row r="28" spans="1:27" x14ac:dyDescent="0.25">
      <c r="A28" s="62" t="str">
        <f t="shared" ca="1" si="0"/>
        <v>TOUZE Valentine</v>
      </c>
      <c r="B28" s="2" t="str">
        <f ca="1">CELL("contenu",INDIRECT(ADDRESS(ref!$K$3,ref!E27,1,,CELL("contenu",$AC$2))))</f>
        <v>B</v>
      </c>
      <c r="C28" s="3" t="str">
        <f ca="1">CELL("contenu",INDIRECT(ADDRESS(ref!$K$3,ref!F27,1,,CELL("contenu",$AC$2))))</f>
        <v>C</v>
      </c>
      <c r="D28" s="4" t="str">
        <f ca="1">CELL("contenu",INDIRECT(ADDRESS(ref!$K$3,ref!G27,1,,CELL("contenu",$AC$2))))</f>
        <v/>
      </c>
      <c r="E28" s="5" t="str">
        <f ca="1">CELL("contenu",INDIRECT(ADDRESS(ref!$K$3,ref!H27,1,,CELL("contenu",$AC$2))))</f>
        <v>C</v>
      </c>
      <c r="F28" s="6" t="str">
        <f ca="1">CELL("contenu",INDIRECT(ADDRESS(ref!$K$4,ref!E27,1,,CELL("contenu",$AC$2))))</f>
        <v>B</v>
      </c>
      <c r="G28" s="3" t="str">
        <f ca="1">CELL("contenu",INDIRECT(ADDRESS(ref!$K$4,ref!F27,1,,CELL("contenu",$AC$2))))</f>
        <v>B</v>
      </c>
      <c r="H28" s="4" t="str">
        <f ca="1">CELL("contenu",INDIRECT(ADDRESS(ref!$K$4,ref!G27,1,,CELL("contenu",$AC$2))))</f>
        <v/>
      </c>
      <c r="I28" s="5" t="str">
        <f ca="1">CELL("contenu",INDIRECT(ADDRESS(ref!$K$4,ref!H27,1,,CELL("contenu",$AC$2))))</f>
        <v>B</v>
      </c>
      <c r="J28" s="6" t="str">
        <f ca="1">CELL("contenu",INDIRECT(ADDRESS(ref!$K$5,ref!E27,1,,CELL("contenu",$AC$2))))</f>
        <v>A</v>
      </c>
      <c r="K28" s="3" t="str">
        <f ca="1">CELL("contenu",INDIRECT(ADDRESS(ref!$K$5,ref!F27,1,,CELL("contenu",$AC$2))))</f>
        <v>A</v>
      </c>
      <c r="L28" s="4" t="str">
        <f ca="1">CELL("contenu",INDIRECT(ADDRESS(ref!$K$5,ref!G27,1,,CELL("contenu",$AC$2))))</f>
        <v/>
      </c>
      <c r="M28" s="5" t="str">
        <f ca="1">CELL("contenu",INDIRECT(ADDRESS(ref!$K$5,ref!H27,1,,CELL("contenu",$AC$2))))</f>
        <v>A</v>
      </c>
      <c r="N28" s="6" t="str">
        <f ca="1">CELL("contenu",INDIRECT(ADDRESS(ref!$K$6,ref!E27,1,,CELL("contenu",$AC$2))))</f>
        <v>B</v>
      </c>
      <c r="O28" s="3" t="str">
        <f ca="1">CELL("contenu",INDIRECT(ADDRESS(ref!$K$6,ref!F27,1,,CELL("contenu",$AC$2))))</f>
        <v>C</v>
      </c>
      <c r="P28" s="4" t="str">
        <f ca="1">CELL("contenu",INDIRECT(ADDRESS(ref!$K$6,ref!G27,1,,CELL("contenu",$AC$2))))</f>
        <v/>
      </c>
      <c r="Q28" s="5" t="str">
        <f ca="1">CELL("contenu",INDIRECT(ADDRESS(ref!$K$6,ref!H27,1,,CELL("contenu",$AC$2))))</f>
        <v>B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9">
        <f ca="1">CELL("contenu",INDIRECT(ADDRESS(ref!$K$8,ref!E27,1,,CELL("contenu",$AC$2))))</f>
        <v>16.504629629629626</v>
      </c>
      <c r="W28" s="50">
        <f ca="1">CELL("contenu",INDIRECT(ADDRESS(ref!$K$8,ref!F27,1,,CELL("contenu",$AC$2))))</f>
        <v>13.796296296296298</v>
      </c>
      <c r="X28" s="51" t="str">
        <f ca="1">CELL("contenu",INDIRECT(ADDRESS(ref!$K$8,ref!G27,1,,CELL("contenu",$AC$2))))</f>
        <v/>
      </c>
      <c r="Y28" s="7" t="str">
        <f ca="1">CELL("contenu",INDIRECT(ADDRESS(ref!$K$9,ref!H27,1,,CELL("contenu",$AC$2))))</f>
        <v>B</v>
      </c>
      <c r="Z28" s="4" t="str">
        <f ca="1">CELL("contenu",INDIRECT(ADDRESS(ref!$K$10,ref!H27,1,,CELL("contenu",$AC$2))))</f>
        <v>B</v>
      </c>
      <c r="AA28" s="8" t="str">
        <f ca="1">CELL("contenu",INDIRECT(ADDRESS(ref!$K$11,ref!H27,1,,CELL("contenu",$AC$2))))</f>
        <v>A</v>
      </c>
    </row>
    <row r="29" spans="1:27" ht="15.75" thickBot="1" x14ac:dyDescent="0.3">
      <c r="A29" s="63" t="str">
        <f t="shared" ca="1" si="0"/>
        <v>VERNIER Paul</v>
      </c>
      <c r="B29" s="23" t="str">
        <f ca="1">CELL("contenu",INDIRECT(ADDRESS(ref!$K$3,ref!E28,1,,CELL("contenu",$AC$2))))</f>
        <v>C</v>
      </c>
      <c r="C29" s="9" t="str">
        <f ca="1">CELL("contenu",INDIRECT(ADDRESS(ref!$K$3,ref!F28,1,,CELL("contenu",$AC$2))))</f>
        <v>C</v>
      </c>
      <c r="D29" s="10" t="str">
        <f ca="1">CELL("contenu",INDIRECT(ADDRESS(ref!$K$3,ref!G28,1,,CELL("contenu",$AC$2))))</f>
        <v/>
      </c>
      <c r="E29" s="11" t="str">
        <f ca="1">CELL("contenu",INDIRECT(ADDRESS(ref!$K$3,ref!H28,1,,CELL("contenu",$AC$2))))</f>
        <v>C</v>
      </c>
      <c r="F29" s="12" t="str">
        <f ca="1">CELL("contenu",INDIRECT(ADDRESS(ref!$K$4,ref!E28,1,,CELL("contenu",$AC$2))))</f>
        <v>C</v>
      </c>
      <c r="G29" s="9" t="str">
        <f ca="1">CELL("contenu",INDIRECT(ADDRESS(ref!$K$4,ref!F28,1,,CELL("contenu",$AC$2))))</f>
        <v>A</v>
      </c>
      <c r="H29" s="10" t="str">
        <f ca="1">CELL("contenu",INDIRECT(ADDRESS(ref!$K$4,ref!G28,1,,CELL("contenu",$AC$2))))</f>
        <v/>
      </c>
      <c r="I29" s="11" t="str">
        <f ca="1">CELL("contenu",INDIRECT(ADDRESS(ref!$K$4,ref!H28,1,,CELL("contenu",$AC$2))))</f>
        <v>C</v>
      </c>
      <c r="J29" s="12" t="str">
        <f ca="1">CELL("contenu",INDIRECT(ADDRESS(ref!$K$5,ref!E28,1,,CELL("contenu",$AC$2))))</f>
        <v>A</v>
      </c>
      <c r="K29" s="9" t="str">
        <f ca="1">CELL("contenu",INDIRECT(ADDRESS(ref!$K$5,ref!F28,1,,CELL("contenu",$AC$2))))</f>
        <v>A</v>
      </c>
      <c r="L29" s="10" t="str">
        <f ca="1">CELL("contenu",INDIRECT(ADDRESS(ref!$K$5,ref!G28,1,,CELL("contenu",$AC$2))))</f>
        <v/>
      </c>
      <c r="M29" s="11" t="str">
        <f ca="1">CELL("contenu",INDIRECT(ADDRESS(ref!$K$5,ref!H28,1,,CELL("contenu",$AC$2))))</f>
        <v>A</v>
      </c>
      <c r="N29" s="12" t="str">
        <f ca="1">CELL("contenu",INDIRECT(ADDRESS(ref!$K$6,ref!E28,1,,CELL("contenu",$AC$2))))</f>
        <v>B</v>
      </c>
      <c r="O29" s="9" t="str">
        <f ca="1">CELL("contenu",INDIRECT(ADDRESS(ref!$K$6,ref!F28,1,,CELL("contenu",$AC$2))))</f>
        <v>C</v>
      </c>
      <c r="P29" s="10" t="str">
        <f ca="1">CELL("contenu",INDIRECT(ADDRESS(ref!$K$6,ref!G28,1,,CELL("contenu",$AC$2))))</f>
        <v/>
      </c>
      <c r="Q29" s="11" t="str">
        <f ca="1">CELL("contenu",INDIRECT(ADDRESS(ref!$K$6,ref!H28,1,,CELL("contenu",$AC$2))))</f>
        <v>C</v>
      </c>
      <c r="R29" s="12" t="str">
        <f ca="1">CELL("contenu",INDIRECT(ADDRESS(ref!$K$7,ref!E28,1,,CELL("contenu",$AC$2))))</f>
        <v/>
      </c>
      <c r="S29" s="9" t="str">
        <f ca="1">CELL("contenu",INDIRECT(ADDRESS(ref!$K$7,ref!F28,1,,CELL("contenu",$AC$2))))</f>
        <v/>
      </c>
      <c r="T29" s="10" t="str">
        <f ca="1">CELL("contenu",INDIRECT(ADDRESS(ref!$K$7,ref!G28,1,,CELL("contenu",$AC$2))))</f>
        <v/>
      </c>
      <c r="U29" s="11" t="str">
        <f ca="1">CELL("contenu",INDIRECT(ADDRESS(ref!$K$7,ref!H28,1,,CELL("contenu",$AC$2))))</f>
        <v/>
      </c>
      <c r="V29" s="52">
        <f ca="1">CELL("contenu",INDIRECT(ADDRESS(ref!$K$8,ref!E28,1,,CELL("contenu",$AC$2))))</f>
        <v>14.074074074074074</v>
      </c>
      <c r="W29" s="53">
        <f ca="1">CELL("contenu",INDIRECT(ADDRESS(ref!$K$8,ref!F28,1,,CELL("contenu",$AC$2))))</f>
        <v>14.907407407407407</v>
      </c>
      <c r="X29" s="54" t="str">
        <f ca="1">CELL("contenu",INDIRECT(ADDRESS(ref!$K$8,ref!G28,1,,CELL("contenu",$AC$2))))</f>
        <v/>
      </c>
      <c r="Y29" s="13" t="str">
        <f ca="1">CELL("contenu",INDIRECT(ADDRESS(ref!$K$9,ref!H28,1,,CELL("contenu",$AC$2))))</f>
        <v>B</v>
      </c>
      <c r="Z29" s="10" t="str">
        <f ca="1">CELL("contenu",INDIRECT(ADDRESS(ref!$K$10,ref!H28,1,,CELL("contenu",$AC$2))))</f>
        <v>D</v>
      </c>
      <c r="AA29" s="14" t="str">
        <f ca="1">CELL("contenu",INDIRECT(ADDRESS(ref!$K$11,ref!H28,1,,CELL("contenu",$AC$2))))</f>
        <v>A</v>
      </c>
    </row>
  </sheetData>
  <sheetProtection algorithmName="SHA-512" hashValue="szbyG+KRviBUQ16Usgfl7its6z0VvC2D7480jiU6tskTx6DHR6xAmHT2aubtAPtqFg3sMwSX8S3T0it4dzFhww==" saltValue="6xdfIb9afMwiOT/JefzRVw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UR24"/>
  <sheetViews>
    <sheetView tabSelected="1" zoomScale="70" zoomScaleNormal="70" workbookViewId="0">
      <pane xSplit="2" topLeftCell="C1" activePane="topRight" state="frozen"/>
      <selection activeCell="A6" sqref="A6:B6"/>
      <selection pane="topRight" activeCell="Q3" sqref="Q3"/>
    </sheetView>
  </sheetViews>
  <sheetFormatPr baseColWidth="10" defaultColWidth="5.7109375" defaultRowHeight="18" x14ac:dyDescent="0.25"/>
  <cols>
    <col min="1" max="1" width="17.7109375" style="177" customWidth="1"/>
    <col min="2" max="2" width="13.7109375" style="177" customWidth="1"/>
    <col min="3" max="5" width="4.7109375" style="168" customWidth="1"/>
    <col min="6" max="6" width="4.7109375" style="199" customWidth="1"/>
    <col min="7" max="7" width="8.7109375" style="200" customWidth="1"/>
    <col min="8" max="11" width="4.7109375" style="167" customWidth="1"/>
    <col min="12" max="12" width="4.7109375" style="200" customWidth="1"/>
    <col min="13" max="13" width="8.7109375" style="200" customWidth="1"/>
    <col min="14" max="17" width="4.7109375" style="167" customWidth="1"/>
    <col min="18" max="18" width="4.7109375" style="200" customWidth="1"/>
    <col min="19" max="19" width="8.7109375" style="200" customWidth="1"/>
    <col min="20" max="20" width="4.7109375" style="200" customWidth="1"/>
    <col min="21" max="21" width="8.7109375" style="200" customWidth="1"/>
    <col min="22" max="24" width="4.7109375" style="168" customWidth="1"/>
    <col min="25" max="25" width="4.7109375" style="199" customWidth="1"/>
    <col min="26" max="26" width="8.7109375" style="200" customWidth="1"/>
    <col min="27" max="30" width="4.7109375" style="167" customWidth="1"/>
    <col min="31" max="31" width="4.7109375" style="200" customWidth="1"/>
    <col min="32" max="32" width="8.7109375" style="200" customWidth="1"/>
    <col min="33" max="36" width="4.7109375" style="167" customWidth="1"/>
    <col min="37" max="37" width="4.7109375" style="200" customWidth="1"/>
    <col min="38" max="38" width="8.7109375" style="200" customWidth="1"/>
    <col min="39" max="39" width="4.7109375" style="200" customWidth="1"/>
    <col min="40" max="40" width="8.7109375" style="200" customWidth="1"/>
    <col min="41" max="44" width="4.7109375" style="168" customWidth="1"/>
    <col min="45" max="45" width="8.7109375" style="166" customWidth="1"/>
    <col min="46" max="49" width="4.7109375" style="167" customWidth="1"/>
    <col min="50" max="50" width="4.7109375" style="166" customWidth="1"/>
    <col min="51" max="51" width="8.7109375" style="166" customWidth="1"/>
    <col min="52" max="55" width="4.7109375" style="167" customWidth="1"/>
    <col min="56" max="56" width="4.7109375" style="166" customWidth="1"/>
    <col min="57" max="57" width="8.7109375" style="166" customWidth="1"/>
    <col min="58" max="58" width="4.7109375" style="166" customWidth="1"/>
    <col min="59" max="59" width="8.7109375" style="166" customWidth="1"/>
    <col min="60" max="63" width="4.7109375" style="168" customWidth="1"/>
    <col min="64" max="64" width="8.7109375" style="166" customWidth="1"/>
    <col min="65" max="68" width="4.7109375" style="167" customWidth="1"/>
    <col min="69" max="69" width="4.7109375" style="166" customWidth="1"/>
    <col min="70" max="70" width="8.7109375" style="166" customWidth="1"/>
    <col min="71" max="74" width="4.7109375" style="167" customWidth="1"/>
    <col min="75" max="75" width="4.7109375" style="166" customWidth="1"/>
    <col min="76" max="76" width="8.7109375" style="166" customWidth="1"/>
    <col min="77" max="77" width="4.7109375" style="166" customWidth="1"/>
    <col min="78" max="78" width="8.7109375" style="166" customWidth="1"/>
    <col min="79" max="82" width="4.7109375" style="168" customWidth="1"/>
    <col min="83" max="83" width="8.7109375" style="166" customWidth="1"/>
    <col min="84" max="87" width="4.7109375" style="167" customWidth="1"/>
    <col min="88" max="88" width="4.7109375" style="166" customWidth="1"/>
    <col min="89" max="89" width="8.7109375" style="166" customWidth="1"/>
    <col min="90" max="93" width="4.7109375" style="167" customWidth="1"/>
    <col min="94" max="94" width="4.7109375" style="166" customWidth="1"/>
    <col min="95" max="95" width="8.7109375" style="166" customWidth="1"/>
    <col min="96" max="96" width="4.7109375" style="166" customWidth="1"/>
    <col min="97" max="97" width="8.7109375" style="166" customWidth="1"/>
    <col min="98" max="101" width="4.7109375" style="168" customWidth="1"/>
    <col min="102" max="102" width="8.7109375" style="166" customWidth="1"/>
    <col min="103" max="106" width="4.7109375" style="167" customWidth="1"/>
    <col min="107" max="107" width="4.7109375" style="166" customWidth="1"/>
    <col min="108" max="108" width="8.7109375" style="166" customWidth="1"/>
    <col min="109" max="112" width="4.7109375" style="167" customWidth="1"/>
    <col min="113" max="113" width="4.7109375" style="166" customWidth="1"/>
    <col min="114" max="114" width="8.7109375" style="166" customWidth="1"/>
    <col min="115" max="115" width="4.7109375" style="166" customWidth="1"/>
    <col min="116" max="116" width="8.7109375" style="166" customWidth="1"/>
    <col min="117" max="120" width="4.7109375" style="168" customWidth="1"/>
    <col min="121" max="121" width="8.7109375" style="166" customWidth="1"/>
    <col min="122" max="125" width="4.7109375" style="167" customWidth="1"/>
    <col min="126" max="126" width="4.7109375" style="166" customWidth="1"/>
    <col min="127" max="127" width="8.7109375" style="166" customWidth="1"/>
    <col min="128" max="131" width="4.7109375" style="167" customWidth="1"/>
    <col min="132" max="132" width="4.7109375" style="166" customWidth="1"/>
    <col min="133" max="133" width="8.7109375" style="166" customWidth="1"/>
    <col min="134" max="134" width="4.7109375" style="166" customWidth="1"/>
    <col min="135" max="135" width="8.7109375" style="166" customWidth="1"/>
    <col min="136" max="139" width="4.7109375" style="168" customWidth="1"/>
    <col min="140" max="140" width="8.7109375" style="166" customWidth="1"/>
    <col min="141" max="144" width="4.7109375" style="167" customWidth="1"/>
    <col min="145" max="145" width="4.7109375" style="166" customWidth="1"/>
    <col min="146" max="146" width="8.7109375" style="166" customWidth="1"/>
    <col min="147" max="150" width="4.7109375" style="167" customWidth="1"/>
    <col min="151" max="151" width="4.7109375" style="166" customWidth="1"/>
    <col min="152" max="152" width="8.7109375" style="166" customWidth="1"/>
    <col min="153" max="153" width="4.7109375" style="166" customWidth="1"/>
    <col min="154" max="154" width="8.7109375" style="166" customWidth="1"/>
    <col min="155" max="158" width="4.7109375" style="168" customWidth="1"/>
    <col min="159" max="159" width="8.7109375" style="166" customWidth="1"/>
    <col min="160" max="163" width="4.7109375" style="167" customWidth="1"/>
    <col min="164" max="164" width="4.7109375" style="166" customWidth="1"/>
    <col min="165" max="165" width="8.7109375" style="166" customWidth="1"/>
    <col min="166" max="169" width="4.7109375" style="167" customWidth="1"/>
    <col min="170" max="170" width="4.7109375" style="166" customWidth="1"/>
    <col min="171" max="171" width="8.7109375" style="166" customWidth="1"/>
    <col min="172" max="172" width="4.7109375" style="166" customWidth="1"/>
    <col min="173" max="173" width="8.7109375" style="166" customWidth="1"/>
    <col min="174" max="177" width="4.7109375" style="168" customWidth="1"/>
    <col min="178" max="178" width="8.7109375" style="166" customWidth="1"/>
    <col min="179" max="182" width="4.7109375" style="167" customWidth="1"/>
    <col min="183" max="183" width="4.7109375" style="166" customWidth="1"/>
    <col min="184" max="184" width="8.7109375" style="166" customWidth="1"/>
    <col min="185" max="188" width="4.7109375" style="167" customWidth="1"/>
    <col min="189" max="189" width="4.7109375" style="166" customWidth="1"/>
    <col min="190" max="190" width="8.7109375" style="166" customWidth="1"/>
    <col min="191" max="191" width="4.7109375" style="166" customWidth="1"/>
    <col min="192" max="192" width="8.7109375" style="166" customWidth="1"/>
    <col min="193" max="196" width="4.7109375" style="168" customWidth="1"/>
    <col min="197" max="197" width="8.7109375" style="166" customWidth="1"/>
    <col min="198" max="201" width="4.7109375" style="167" customWidth="1"/>
    <col min="202" max="202" width="4.7109375" style="166" customWidth="1"/>
    <col min="203" max="203" width="8.7109375" style="166" customWidth="1"/>
    <col min="204" max="207" width="4.7109375" style="167" customWidth="1"/>
    <col min="208" max="208" width="4.7109375" style="166" customWidth="1"/>
    <col min="209" max="209" width="8.7109375" style="166" customWidth="1"/>
    <col min="210" max="210" width="4.7109375" style="166" customWidth="1"/>
    <col min="211" max="211" width="8.7109375" style="166" customWidth="1"/>
    <col min="212" max="215" width="4.7109375" style="168" customWidth="1"/>
    <col min="216" max="216" width="8.7109375" style="166" customWidth="1"/>
    <col min="217" max="220" width="4.7109375" style="167" customWidth="1"/>
    <col min="221" max="221" width="4.7109375" style="166" customWidth="1"/>
    <col min="222" max="222" width="8.7109375" style="166" customWidth="1"/>
    <col min="223" max="226" width="4.7109375" style="167" customWidth="1"/>
    <col min="227" max="227" width="4.7109375" style="166" customWidth="1"/>
    <col min="228" max="228" width="8.7109375" style="166" customWidth="1"/>
    <col min="229" max="229" width="4.7109375" style="166" customWidth="1"/>
    <col min="230" max="230" width="8.7109375" style="166" customWidth="1"/>
    <col min="231" max="234" width="4.7109375" style="168" customWidth="1"/>
    <col min="235" max="235" width="8.7109375" style="166" customWidth="1"/>
    <col min="236" max="239" width="4.7109375" style="167" customWidth="1"/>
    <col min="240" max="240" width="4.7109375" style="166" customWidth="1"/>
    <col min="241" max="241" width="8.7109375" style="166" customWidth="1"/>
    <col min="242" max="245" width="4.7109375" style="167" customWidth="1"/>
    <col min="246" max="246" width="4.7109375" style="166" customWidth="1"/>
    <col min="247" max="247" width="8.7109375" style="166" customWidth="1"/>
    <col min="248" max="248" width="4.7109375" style="166" customWidth="1"/>
    <col min="249" max="249" width="8.7109375" style="166" customWidth="1"/>
    <col min="250" max="253" width="4.7109375" style="168" customWidth="1"/>
    <col min="254" max="254" width="8.7109375" style="166" customWidth="1"/>
    <col min="255" max="258" width="4.7109375" style="167" customWidth="1"/>
    <col min="259" max="259" width="4.7109375" style="166" customWidth="1"/>
    <col min="260" max="260" width="8.7109375" style="166" customWidth="1"/>
    <col min="261" max="264" width="4.7109375" style="167" customWidth="1"/>
    <col min="265" max="265" width="4.7109375" style="166" customWidth="1"/>
    <col min="266" max="266" width="8.7109375" style="166" customWidth="1"/>
    <col min="267" max="267" width="4.7109375" style="166" customWidth="1"/>
    <col min="268" max="268" width="8.7109375" style="166" customWidth="1"/>
    <col min="269" max="272" width="4.7109375" style="168" customWidth="1"/>
    <col min="273" max="273" width="8.7109375" style="166" customWidth="1"/>
    <col min="274" max="277" width="4.7109375" style="167" customWidth="1"/>
    <col min="278" max="278" width="4.7109375" style="166" customWidth="1"/>
    <col min="279" max="279" width="8.7109375" style="166" customWidth="1"/>
    <col min="280" max="283" width="4.7109375" style="167" customWidth="1"/>
    <col min="284" max="284" width="4.7109375" style="166" customWidth="1"/>
    <col min="285" max="285" width="8.7109375" style="166" customWidth="1"/>
    <col min="286" max="286" width="4.7109375" style="166" customWidth="1"/>
    <col min="287" max="287" width="8.7109375" style="166" customWidth="1"/>
    <col min="288" max="291" width="4.7109375" style="168" customWidth="1"/>
    <col min="292" max="292" width="8.7109375" style="166" customWidth="1"/>
    <col min="293" max="296" width="4.7109375" style="167" customWidth="1"/>
    <col min="297" max="297" width="4.7109375" style="166" customWidth="1"/>
    <col min="298" max="298" width="8.7109375" style="166" customWidth="1"/>
    <col min="299" max="302" width="4.7109375" style="167" customWidth="1"/>
    <col min="303" max="303" width="4.7109375" style="166" customWidth="1"/>
    <col min="304" max="304" width="8.7109375" style="166" customWidth="1"/>
    <col min="305" max="305" width="4.7109375" style="166" customWidth="1"/>
    <col min="306" max="306" width="8.7109375" style="166" customWidth="1"/>
    <col min="307" max="310" width="4.7109375" style="168" customWidth="1"/>
    <col min="311" max="311" width="8.7109375" style="166" customWidth="1"/>
    <col min="312" max="315" width="4.7109375" style="167" customWidth="1"/>
    <col min="316" max="316" width="4.7109375" style="166" customWidth="1"/>
    <col min="317" max="317" width="8.7109375" style="166" customWidth="1"/>
    <col min="318" max="321" width="4.7109375" style="167" customWidth="1"/>
    <col min="322" max="322" width="4.7109375" style="166" customWidth="1"/>
    <col min="323" max="323" width="8.7109375" style="166" customWidth="1"/>
    <col min="324" max="324" width="4.7109375" style="166" customWidth="1"/>
    <col min="325" max="325" width="8.7109375" style="166" customWidth="1"/>
    <col min="326" max="329" width="4.7109375" style="168" customWidth="1"/>
    <col min="330" max="330" width="8.7109375" style="166" customWidth="1"/>
    <col min="331" max="334" width="4.7109375" style="167" customWidth="1"/>
    <col min="335" max="335" width="4.7109375" style="166" customWidth="1"/>
    <col min="336" max="336" width="8.7109375" style="166" customWidth="1"/>
    <col min="337" max="340" width="4.7109375" style="167" customWidth="1"/>
    <col min="341" max="341" width="4.7109375" style="166" customWidth="1"/>
    <col min="342" max="342" width="8.7109375" style="166" customWidth="1"/>
    <col min="343" max="343" width="4.7109375" style="166" customWidth="1"/>
    <col min="344" max="344" width="8.7109375" style="166" customWidth="1"/>
    <col min="345" max="348" width="4.7109375" style="168" customWidth="1"/>
    <col min="349" max="349" width="8.7109375" style="166" customWidth="1"/>
    <col min="350" max="353" width="4.7109375" style="167" customWidth="1"/>
    <col min="354" max="354" width="4.7109375" style="166" customWidth="1"/>
    <col min="355" max="355" width="8.7109375" style="166" customWidth="1"/>
    <col min="356" max="359" width="4.7109375" style="167" customWidth="1"/>
    <col min="360" max="360" width="4.7109375" style="166" customWidth="1"/>
    <col min="361" max="361" width="8.7109375" style="166" customWidth="1"/>
    <col min="362" max="362" width="4.7109375" style="166" customWidth="1"/>
    <col min="363" max="363" width="8.7109375" style="166" customWidth="1"/>
    <col min="364" max="367" width="4.7109375" style="168" customWidth="1"/>
    <col min="368" max="368" width="8.7109375" style="166" customWidth="1"/>
    <col min="369" max="372" width="4.7109375" style="167" customWidth="1"/>
    <col min="373" max="373" width="4.7109375" style="166" customWidth="1"/>
    <col min="374" max="374" width="8.7109375" style="166" customWidth="1"/>
    <col min="375" max="378" width="4.7109375" style="167" customWidth="1"/>
    <col min="379" max="379" width="4.7109375" style="166" customWidth="1"/>
    <col min="380" max="380" width="8.7109375" style="166" customWidth="1"/>
    <col min="381" max="381" width="4.7109375" style="166" customWidth="1"/>
    <col min="382" max="382" width="8.7109375" style="166" customWidth="1"/>
    <col min="383" max="386" width="4.7109375" style="168" customWidth="1"/>
    <col min="387" max="387" width="8.7109375" style="166" customWidth="1"/>
    <col min="388" max="391" width="4.7109375" style="167" customWidth="1"/>
    <col min="392" max="392" width="4.7109375" style="166" customWidth="1"/>
    <col min="393" max="393" width="8.7109375" style="166" customWidth="1"/>
    <col min="394" max="397" width="4.7109375" style="167" customWidth="1"/>
    <col min="398" max="398" width="4.7109375" style="166" customWidth="1"/>
    <col min="399" max="399" width="8.7109375" style="166" customWidth="1"/>
    <col min="400" max="400" width="4.7109375" style="166" customWidth="1"/>
    <col min="401" max="401" width="8.7109375" style="166" customWidth="1"/>
    <col min="402" max="405" width="4.7109375" style="168" customWidth="1"/>
    <col min="406" max="406" width="8.7109375" style="166" customWidth="1"/>
    <col min="407" max="410" width="4.7109375" style="167" customWidth="1"/>
    <col min="411" max="411" width="4.7109375" style="166" customWidth="1"/>
    <col min="412" max="412" width="8.7109375" style="166" customWidth="1"/>
    <col min="413" max="416" width="4.7109375" style="167" customWidth="1"/>
    <col min="417" max="417" width="4.7109375" style="166" customWidth="1"/>
    <col min="418" max="418" width="8.7109375" style="166" customWidth="1"/>
    <col min="419" max="419" width="4.7109375" style="166" customWidth="1"/>
    <col min="420" max="420" width="8.7109375" style="166" customWidth="1"/>
    <col min="421" max="424" width="4.7109375" style="168" customWidth="1"/>
    <col min="425" max="425" width="8.7109375" style="166" customWidth="1"/>
    <col min="426" max="429" width="4.7109375" style="167" customWidth="1"/>
    <col min="430" max="430" width="4.7109375" style="166" customWidth="1"/>
    <col min="431" max="431" width="8.7109375" style="166" customWidth="1"/>
    <col min="432" max="435" width="4.7109375" style="167" customWidth="1"/>
    <col min="436" max="436" width="4.7109375" style="166" customWidth="1"/>
    <col min="437" max="437" width="8.7109375" style="166" customWidth="1"/>
    <col min="438" max="438" width="4.7109375" style="166" customWidth="1"/>
    <col min="439" max="439" width="8.7109375" style="166" customWidth="1"/>
    <col min="440" max="443" width="4.7109375" style="168" customWidth="1"/>
    <col min="444" max="444" width="8.7109375" style="166" customWidth="1"/>
    <col min="445" max="448" width="4.7109375" style="167" customWidth="1"/>
    <col min="449" max="449" width="4.7109375" style="166" customWidth="1"/>
    <col min="450" max="450" width="8.7109375" style="166" customWidth="1"/>
    <col min="451" max="454" width="4.7109375" style="167" customWidth="1"/>
    <col min="455" max="455" width="4.7109375" style="166" customWidth="1"/>
    <col min="456" max="456" width="8.7109375" style="166" customWidth="1"/>
    <col min="457" max="457" width="4.7109375" style="166" customWidth="1"/>
    <col min="458" max="458" width="8.7109375" style="166" customWidth="1"/>
    <col min="459" max="462" width="4.7109375" style="168" customWidth="1"/>
    <col min="463" max="463" width="8.7109375" style="166" customWidth="1"/>
    <col min="464" max="467" width="4.7109375" style="167" customWidth="1"/>
    <col min="468" max="468" width="4.7109375" style="166" customWidth="1"/>
    <col min="469" max="469" width="8.7109375" style="166" customWidth="1"/>
    <col min="470" max="473" width="4.7109375" style="167" customWidth="1"/>
    <col min="474" max="474" width="4.7109375" style="166" customWidth="1"/>
    <col min="475" max="475" width="8.7109375" style="166" customWidth="1"/>
    <col min="476" max="476" width="4.7109375" style="166" customWidth="1"/>
    <col min="477" max="477" width="8.7109375" style="166" customWidth="1"/>
    <col min="478" max="481" width="4.7109375" style="168" customWidth="1"/>
    <col min="482" max="482" width="8.7109375" style="166" customWidth="1"/>
    <col min="483" max="486" width="4.7109375" style="167" customWidth="1"/>
    <col min="487" max="487" width="4.7109375" style="166" customWidth="1"/>
    <col min="488" max="488" width="8.7109375" style="166" customWidth="1"/>
    <col min="489" max="492" width="4.7109375" style="167" customWidth="1"/>
    <col min="493" max="493" width="4.7109375" style="166" customWidth="1"/>
    <col min="494" max="494" width="8.7109375" style="166" customWidth="1"/>
    <col min="495" max="495" width="4.7109375" style="166" customWidth="1"/>
    <col min="496" max="496" width="8.7109375" style="166" customWidth="1"/>
    <col min="497" max="500" width="4.7109375" style="168" customWidth="1"/>
    <col min="501" max="501" width="8.7109375" style="166" customWidth="1"/>
    <col min="502" max="504" width="4.7109375" style="167" customWidth="1"/>
    <col min="505" max="505" width="4.7109375" style="166" customWidth="1"/>
    <col min="506" max="506" width="8.7109375" style="166" customWidth="1"/>
    <col min="507" max="509" width="4.7109375" style="167" customWidth="1"/>
    <col min="510" max="510" width="4.7109375" style="166" customWidth="1"/>
    <col min="511" max="511" width="8.7109375" style="166" customWidth="1"/>
    <col min="512" max="512" width="4.7109375" style="166" customWidth="1"/>
    <col min="513" max="513" width="8.7109375" style="166" customWidth="1"/>
    <col min="514" max="517" width="4.7109375" style="168" customWidth="1"/>
    <col min="518" max="518" width="8.7109375" style="166" customWidth="1"/>
    <col min="519" max="521" width="4.7109375" style="167" customWidth="1"/>
    <col min="522" max="522" width="4.7109375" style="166" customWidth="1"/>
    <col min="523" max="523" width="8.7109375" style="166" customWidth="1"/>
    <col min="524" max="526" width="4.7109375" style="167" customWidth="1"/>
    <col min="527" max="527" width="4.7109375" style="166" customWidth="1"/>
    <col min="528" max="528" width="8.7109375" style="166" customWidth="1"/>
    <col min="529" max="529" width="4.7109375" style="166" customWidth="1"/>
    <col min="530" max="530" width="8.7109375" style="166" customWidth="1"/>
    <col min="531" max="534" width="4.7109375" style="168" customWidth="1"/>
    <col min="535" max="535" width="8.7109375" style="166" customWidth="1"/>
    <col min="536" max="538" width="4.7109375" style="167" customWidth="1"/>
    <col min="539" max="539" width="4.7109375" style="166" customWidth="1"/>
    <col min="540" max="540" width="8.7109375" style="166" customWidth="1"/>
    <col min="541" max="543" width="4.7109375" style="167" customWidth="1"/>
    <col min="544" max="544" width="4.7109375" style="166" customWidth="1"/>
    <col min="545" max="545" width="8.7109375" style="166" customWidth="1"/>
    <col min="546" max="546" width="4.7109375" style="166" customWidth="1"/>
    <col min="547" max="547" width="8.7109375" style="166" customWidth="1"/>
    <col min="548" max="551" width="4.7109375" style="168" customWidth="1"/>
    <col min="552" max="552" width="8.7109375" style="166" customWidth="1"/>
    <col min="553" max="555" width="4.7109375" style="167" customWidth="1"/>
    <col min="556" max="556" width="4.7109375" style="166" customWidth="1"/>
    <col min="557" max="557" width="8.7109375" style="166" customWidth="1"/>
    <col min="558" max="560" width="4.7109375" style="167" customWidth="1"/>
    <col min="561" max="561" width="4.7109375" style="166" customWidth="1"/>
    <col min="562" max="562" width="8.7109375" style="166" customWidth="1"/>
    <col min="563" max="563" width="4.7109375" style="166" customWidth="1"/>
    <col min="564" max="564" width="8.7109375" style="166" customWidth="1"/>
    <col min="565" max="16384" width="5.7109375" style="84"/>
  </cols>
  <sheetData>
    <row r="1" spans="1:564" ht="18" customHeight="1" thickBot="1" x14ac:dyDescent="0.3">
      <c r="A1" s="256" t="s">
        <v>44</v>
      </c>
      <c r="B1" s="257"/>
      <c r="C1" s="179">
        <v>4</v>
      </c>
      <c r="D1" s="80"/>
      <c r="E1" s="80"/>
      <c r="F1" s="183"/>
      <c r="G1" s="184"/>
      <c r="H1" s="182"/>
      <c r="I1" s="82"/>
      <c r="J1" s="82"/>
      <c r="K1" s="82"/>
      <c r="L1" s="184"/>
      <c r="M1" s="184"/>
      <c r="N1" s="182"/>
      <c r="O1" s="82"/>
      <c r="P1" s="82"/>
      <c r="Q1" s="82"/>
      <c r="R1" s="184"/>
      <c r="S1" s="184"/>
      <c r="T1" s="184"/>
      <c r="U1" s="205"/>
      <c r="V1" s="222">
        <f>C1+1</f>
        <v>5</v>
      </c>
      <c r="W1" s="80"/>
      <c r="X1" s="80"/>
      <c r="Y1" s="183"/>
      <c r="Z1" s="184"/>
      <c r="AA1" s="182"/>
      <c r="AB1" s="82"/>
      <c r="AC1" s="82"/>
      <c r="AD1" s="82"/>
      <c r="AE1" s="184"/>
      <c r="AF1" s="184"/>
      <c r="AG1" s="182"/>
      <c r="AH1" s="82"/>
      <c r="AI1" s="82"/>
      <c r="AJ1" s="82"/>
      <c r="AK1" s="184"/>
      <c r="AL1" s="184"/>
      <c r="AM1" s="184"/>
      <c r="AN1" s="184"/>
      <c r="AO1" s="222">
        <f>V1+1</f>
        <v>6</v>
      </c>
      <c r="AP1" s="80"/>
      <c r="AQ1" s="80"/>
      <c r="AR1" s="183"/>
      <c r="AS1" s="184"/>
      <c r="AT1" s="182"/>
      <c r="AU1" s="82"/>
      <c r="AV1" s="82"/>
      <c r="AW1" s="82"/>
      <c r="AX1" s="184"/>
      <c r="AY1" s="184"/>
      <c r="AZ1" s="182"/>
      <c r="BA1" s="82"/>
      <c r="BB1" s="82"/>
      <c r="BC1" s="82"/>
      <c r="BD1" s="184"/>
      <c r="BE1" s="184"/>
      <c r="BF1" s="184"/>
      <c r="BG1" s="184"/>
      <c r="BH1" s="222">
        <f>AO1+1</f>
        <v>7</v>
      </c>
      <c r="BI1" s="80"/>
      <c r="BJ1" s="80"/>
      <c r="BK1" s="183"/>
      <c r="BL1" s="184"/>
      <c r="BM1" s="182"/>
      <c r="BN1" s="82"/>
      <c r="BO1" s="82"/>
      <c r="BP1" s="82"/>
      <c r="BQ1" s="184"/>
      <c r="BR1" s="184"/>
      <c r="BS1" s="182"/>
      <c r="BT1" s="82"/>
      <c r="BU1" s="82"/>
      <c r="BV1" s="82"/>
      <c r="BW1" s="184"/>
      <c r="BX1" s="184"/>
      <c r="BY1" s="184"/>
      <c r="BZ1" s="184"/>
      <c r="CA1" s="222">
        <f>BH1+1</f>
        <v>8</v>
      </c>
      <c r="CB1" s="80"/>
      <c r="CC1" s="80"/>
      <c r="CD1" s="183"/>
      <c r="CE1" s="184"/>
      <c r="CF1" s="182"/>
      <c r="CG1" s="82"/>
      <c r="CH1" s="82"/>
      <c r="CI1" s="82"/>
      <c r="CJ1" s="184"/>
      <c r="CK1" s="184"/>
      <c r="CL1" s="182"/>
      <c r="CM1" s="82"/>
      <c r="CN1" s="82"/>
      <c r="CO1" s="82"/>
      <c r="CP1" s="184"/>
      <c r="CQ1" s="184"/>
      <c r="CR1" s="184"/>
      <c r="CS1" s="184"/>
      <c r="CT1" s="222">
        <f>CA1+1</f>
        <v>9</v>
      </c>
      <c r="CU1" s="80"/>
      <c r="CV1" s="80"/>
      <c r="CW1" s="183"/>
      <c r="CX1" s="184"/>
      <c r="CY1" s="182"/>
      <c r="CZ1" s="82"/>
      <c r="DA1" s="82"/>
      <c r="DB1" s="82"/>
      <c r="DC1" s="184"/>
      <c r="DD1" s="184"/>
      <c r="DE1" s="182"/>
      <c r="DF1" s="82"/>
      <c r="DG1" s="82"/>
      <c r="DH1" s="82"/>
      <c r="DI1" s="184"/>
      <c r="DJ1" s="184"/>
      <c r="DK1" s="184"/>
      <c r="DL1" s="184"/>
      <c r="DM1" s="222">
        <f>CT1+1</f>
        <v>10</v>
      </c>
      <c r="DN1" s="80"/>
      <c r="DO1" s="80"/>
      <c r="DP1" s="183"/>
      <c r="DQ1" s="184"/>
      <c r="DR1" s="182"/>
      <c r="DS1" s="82"/>
      <c r="DT1" s="82"/>
      <c r="DU1" s="82"/>
      <c r="DV1" s="184"/>
      <c r="DW1" s="184"/>
      <c r="DX1" s="182"/>
      <c r="DY1" s="82"/>
      <c r="DZ1" s="82"/>
      <c r="EA1" s="82"/>
      <c r="EB1" s="184"/>
      <c r="EC1" s="184"/>
      <c r="ED1" s="184"/>
      <c r="EE1" s="184"/>
      <c r="EF1" s="222">
        <f>DM1+1</f>
        <v>11</v>
      </c>
      <c r="EG1" s="80"/>
      <c r="EH1" s="80"/>
      <c r="EI1" s="183"/>
      <c r="EJ1" s="184"/>
      <c r="EK1" s="182"/>
      <c r="EL1" s="82"/>
      <c r="EM1" s="82"/>
      <c r="EN1" s="82"/>
      <c r="EO1" s="184"/>
      <c r="EP1" s="184"/>
      <c r="EQ1" s="182"/>
      <c r="ER1" s="82"/>
      <c r="ES1" s="82"/>
      <c r="ET1" s="82"/>
      <c r="EU1" s="184"/>
      <c r="EV1" s="184"/>
      <c r="EW1" s="184"/>
      <c r="EX1" s="184"/>
      <c r="EY1" s="222">
        <f>EF1+1</f>
        <v>12</v>
      </c>
      <c r="EZ1" s="80"/>
      <c r="FA1" s="80"/>
      <c r="FB1" s="183"/>
      <c r="FC1" s="184"/>
      <c r="FD1" s="182"/>
      <c r="FE1" s="82"/>
      <c r="FF1" s="82"/>
      <c r="FG1" s="82"/>
      <c r="FH1" s="184"/>
      <c r="FI1" s="184"/>
      <c r="FJ1" s="182"/>
      <c r="FK1" s="82"/>
      <c r="FL1" s="82"/>
      <c r="FM1" s="82"/>
      <c r="FN1" s="184"/>
      <c r="FO1" s="184"/>
      <c r="FP1" s="184"/>
      <c r="FQ1" s="184"/>
      <c r="FR1" s="222">
        <f>EY1+1</f>
        <v>13</v>
      </c>
      <c r="FS1" s="80"/>
      <c r="FT1" s="80"/>
      <c r="FU1" s="183"/>
      <c r="FV1" s="184"/>
      <c r="FW1" s="182"/>
      <c r="FX1" s="82"/>
      <c r="FY1" s="82"/>
      <c r="FZ1" s="82"/>
      <c r="GA1" s="184"/>
      <c r="GB1" s="184"/>
      <c r="GC1" s="182"/>
      <c r="GD1" s="82"/>
      <c r="GE1" s="82"/>
      <c r="GF1" s="82"/>
      <c r="GG1" s="184"/>
      <c r="GH1" s="184"/>
      <c r="GI1" s="184"/>
      <c r="GJ1" s="184"/>
      <c r="GK1" s="222">
        <f>FR1+1</f>
        <v>14</v>
      </c>
      <c r="GL1" s="80"/>
      <c r="GM1" s="80"/>
      <c r="GN1" s="183"/>
      <c r="GO1" s="184"/>
      <c r="GP1" s="182"/>
      <c r="GQ1" s="82"/>
      <c r="GR1" s="82"/>
      <c r="GS1" s="82"/>
      <c r="GT1" s="184"/>
      <c r="GU1" s="184"/>
      <c r="GV1" s="182"/>
      <c r="GW1" s="82"/>
      <c r="GX1" s="82"/>
      <c r="GY1" s="82"/>
      <c r="GZ1" s="184"/>
      <c r="HA1" s="184"/>
      <c r="HB1" s="184"/>
      <c r="HC1" s="184"/>
      <c r="HD1" s="222">
        <f>GK1+1</f>
        <v>15</v>
      </c>
      <c r="HE1" s="80"/>
      <c r="HF1" s="80"/>
      <c r="HG1" s="183"/>
      <c r="HH1" s="184"/>
      <c r="HI1" s="182"/>
      <c r="HJ1" s="82"/>
      <c r="HK1" s="82"/>
      <c r="HL1" s="82"/>
      <c r="HM1" s="184"/>
      <c r="HN1" s="184"/>
      <c r="HO1" s="182"/>
      <c r="HP1" s="82"/>
      <c r="HQ1" s="82"/>
      <c r="HR1" s="82"/>
      <c r="HS1" s="184"/>
      <c r="HT1" s="184"/>
      <c r="HU1" s="184"/>
      <c r="HV1" s="184"/>
      <c r="HW1" s="222">
        <f>HD1+1</f>
        <v>16</v>
      </c>
      <c r="HX1" s="80"/>
      <c r="HY1" s="80"/>
      <c r="HZ1" s="183"/>
      <c r="IA1" s="184"/>
      <c r="IB1" s="182"/>
      <c r="IC1" s="82"/>
      <c r="ID1" s="82"/>
      <c r="IE1" s="82"/>
      <c r="IF1" s="184"/>
      <c r="IG1" s="184"/>
      <c r="IH1" s="182"/>
      <c r="II1" s="82"/>
      <c r="IJ1" s="82"/>
      <c r="IK1" s="82"/>
      <c r="IL1" s="184"/>
      <c r="IM1" s="184"/>
      <c r="IN1" s="184"/>
      <c r="IO1" s="184"/>
      <c r="IP1" s="222">
        <f>HW1+1</f>
        <v>17</v>
      </c>
      <c r="IQ1" s="80"/>
      <c r="IR1" s="80"/>
      <c r="IS1" s="183"/>
      <c r="IT1" s="184"/>
      <c r="IU1" s="182"/>
      <c r="IV1" s="82"/>
      <c r="IW1" s="82"/>
      <c r="IX1" s="82"/>
      <c r="IY1" s="184"/>
      <c r="IZ1" s="184"/>
      <c r="JA1" s="182"/>
      <c r="JB1" s="82"/>
      <c r="JC1" s="82"/>
      <c r="JD1" s="82"/>
      <c r="JE1" s="184"/>
      <c r="JF1" s="184"/>
      <c r="JG1" s="184"/>
      <c r="JH1" s="184"/>
      <c r="JI1" s="222">
        <f>IP1+1</f>
        <v>18</v>
      </c>
      <c r="JJ1" s="80"/>
      <c r="JK1" s="80"/>
      <c r="JL1" s="183"/>
      <c r="JM1" s="184"/>
      <c r="JN1" s="182"/>
      <c r="JO1" s="82"/>
      <c r="JP1" s="82"/>
      <c r="JQ1" s="82"/>
      <c r="JR1" s="184"/>
      <c r="JS1" s="184"/>
      <c r="JT1" s="182"/>
      <c r="JU1" s="82"/>
      <c r="JV1" s="82"/>
      <c r="JW1" s="82"/>
      <c r="JX1" s="184"/>
      <c r="JY1" s="184"/>
      <c r="JZ1" s="184"/>
      <c r="KA1" s="184"/>
      <c r="KB1" s="222">
        <f>JI1+1</f>
        <v>19</v>
      </c>
      <c r="KC1" s="80"/>
      <c r="KD1" s="80"/>
      <c r="KE1" s="183"/>
      <c r="KF1" s="184"/>
      <c r="KG1" s="182"/>
      <c r="KH1" s="82"/>
      <c r="KI1" s="82"/>
      <c r="KJ1" s="82"/>
      <c r="KK1" s="184"/>
      <c r="KL1" s="184"/>
      <c r="KM1" s="182"/>
      <c r="KN1" s="82"/>
      <c r="KO1" s="82"/>
      <c r="KP1" s="82"/>
      <c r="KQ1" s="184"/>
      <c r="KR1" s="184"/>
      <c r="KS1" s="184"/>
      <c r="KT1" s="184"/>
      <c r="KU1" s="222">
        <f>KB1+1</f>
        <v>20</v>
      </c>
      <c r="KV1" s="80"/>
      <c r="KW1" s="80"/>
      <c r="KX1" s="183"/>
      <c r="KY1" s="184"/>
      <c r="KZ1" s="182"/>
      <c r="LA1" s="82"/>
      <c r="LB1" s="82"/>
      <c r="LC1" s="82"/>
      <c r="LD1" s="184"/>
      <c r="LE1" s="184"/>
      <c r="LF1" s="182"/>
      <c r="LG1" s="82"/>
      <c r="LH1" s="82"/>
      <c r="LI1" s="82"/>
      <c r="LJ1" s="184"/>
      <c r="LK1" s="184"/>
      <c r="LL1" s="184"/>
      <c r="LM1" s="184"/>
      <c r="LN1" s="222">
        <f>KU1+1</f>
        <v>21</v>
      </c>
      <c r="LO1" s="80"/>
      <c r="LP1" s="80"/>
      <c r="LQ1" s="183"/>
      <c r="LR1" s="184"/>
      <c r="LS1" s="182"/>
      <c r="LT1" s="82"/>
      <c r="LU1" s="82"/>
      <c r="LV1" s="82"/>
      <c r="LW1" s="184"/>
      <c r="LX1" s="184"/>
      <c r="LY1" s="182"/>
      <c r="LZ1" s="82"/>
      <c r="MA1" s="82"/>
      <c r="MB1" s="82"/>
      <c r="MC1" s="184"/>
      <c r="MD1" s="184"/>
      <c r="ME1" s="184"/>
      <c r="MF1" s="184"/>
      <c r="MG1" s="222">
        <f>LN1+1</f>
        <v>22</v>
      </c>
      <c r="MH1" s="80"/>
      <c r="MI1" s="80"/>
      <c r="MJ1" s="183"/>
      <c r="MK1" s="184"/>
      <c r="ML1" s="182"/>
      <c r="MM1" s="82"/>
      <c r="MN1" s="82"/>
      <c r="MO1" s="82"/>
      <c r="MP1" s="184"/>
      <c r="MQ1" s="184"/>
      <c r="MR1" s="182"/>
      <c r="MS1" s="82"/>
      <c r="MT1" s="82"/>
      <c r="MU1" s="82"/>
      <c r="MV1" s="184"/>
      <c r="MW1" s="184"/>
      <c r="MX1" s="184"/>
      <c r="MY1" s="184"/>
      <c r="MZ1" s="222">
        <f>MG1+1</f>
        <v>23</v>
      </c>
      <c r="NA1" s="80"/>
      <c r="NB1" s="80"/>
      <c r="NC1" s="183"/>
      <c r="ND1" s="184"/>
      <c r="NE1" s="182"/>
      <c r="NF1" s="82"/>
      <c r="NG1" s="82"/>
      <c r="NH1" s="82"/>
      <c r="NI1" s="184"/>
      <c r="NJ1" s="184"/>
      <c r="NK1" s="182"/>
      <c r="NL1" s="82"/>
      <c r="NM1" s="82"/>
      <c r="NN1" s="82"/>
      <c r="NO1" s="184"/>
      <c r="NP1" s="184"/>
      <c r="NQ1" s="184"/>
      <c r="NR1" s="184"/>
      <c r="NS1" s="222">
        <f>MZ1+1</f>
        <v>24</v>
      </c>
      <c r="NT1" s="80"/>
      <c r="NU1" s="80"/>
      <c r="NV1" s="183"/>
      <c r="NW1" s="184"/>
      <c r="NX1" s="182"/>
      <c r="NY1" s="82"/>
      <c r="NZ1" s="82"/>
      <c r="OA1" s="82"/>
      <c r="OB1" s="184"/>
      <c r="OC1" s="184"/>
      <c r="OD1" s="182"/>
      <c r="OE1" s="82"/>
      <c r="OF1" s="82"/>
      <c r="OG1" s="82"/>
      <c r="OH1" s="184"/>
      <c r="OI1" s="184"/>
      <c r="OJ1" s="184"/>
      <c r="OK1" s="184"/>
      <c r="OL1" s="222">
        <f>NS1+1</f>
        <v>25</v>
      </c>
      <c r="OM1" s="80"/>
      <c r="ON1" s="80"/>
      <c r="OO1" s="183"/>
      <c r="OP1" s="184"/>
      <c r="OQ1" s="182"/>
      <c r="OR1" s="82"/>
      <c r="OS1" s="82"/>
      <c r="OT1" s="82"/>
      <c r="OU1" s="184"/>
      <c r="OV1" s="184"/>
      <c r="OW1" s="182"/>
      <c r="OX1" s="82"/>
      <c r="OY1" s="82"/>
      <c r="OZ1" s="82"/>
      <c r="PA1" s="184"/>
      <c r="PB1" s="184"/>
      <c r="PC1" s="184"/>
      <c r="PD1" s="184"/>
      <c r="PE1" s="222">
        <f>OL1+1</f>
        <v>26</v>
      </c>
      <c r="PF1" s="80"/>
      <c r="PG1" s="80"/>
      <c r="PH1" s="183"/>
      <c r="PI1" s="184"/>
      <c r="PJ1" s="182"/>
      <c r="PK1" s="82"/>
      <c r="PL1" s="82"/>
      <c r="PM1" s="82"/>
      <c r="PN1" s="184"/>
      <c r="PO1" s="184"/>
      <c r="PP1" s="182"/>
      <c r="PQ1" s="82"/>
      <c r="PR1" s="82"/>
      <c r="PS1" s="82"/>
      <c r="PT1" s="184"/>
      <c r="PU1" s="184"/>
      <c r="PV1" s="184"/>
      <c r="PW1" s="184"/>
      <c r="PX1" s="222">
        <f>PE1+1</f>
        <v>27</v>
      </c>
      <c r="PY1" s="80"/>
      <c r="PZ1" s="80"/>
      <c r="QA1" s="183"/>
      <c r="QB1" s="184"/>
      <c r="QC1" s="182"/>
      <c r="QD1" s="82"/>
      <c r="QE1" s="82"/>
      <c r="QF1" s="82"/>
      <c r="QG1" s="184"/>
      <c r="QH1" s="184"/>
      <c r="QI1" s="182"/>
      <c r="QJ1" s="82"/>
      <c r="QK1" s="82"/>
      <c r="QL1" s="82"/>
      <c r="QM1" s="184"/>
      <c r="QN1" s="184"/>
      <c r="QO1" s="184"/>
      <c r="QP1" s="184"/>
      <c r="QQ1" s="222">
        <f>PX1+1</f>
        <v>28</v>
      </c>
      <c r="QR1" s="80"/>
      <c r="QS1" s="80"/>
      <c r="QT1" s="183"/>
      <c r="QU1" s="184"/>
      <c r="QV1" s="182"/>
      <c r="QW1" s="82"/>
      <c r="QX1" s="82"/>
      <c r="QY1" s="82"/>
      <c r="QZ1" s="184"/>
      <c r="RA1" s="184"/>
      <c r="RB1" s="182"/>
      <c r="RC1" s="82"/>
      <c r="RD1" s="82"/>
      <c r="RE1" s="82"/>
      <c r="RF1" s="184"/>
      <c r="RG1" s="184"/>
      <c r="RH1" s="184"/>
      <c r="RI1" s="184"/>
      <c r="RJ1" s="222">
        <f>QQ1+1</f>
        <v>29</v>
      </c>
      <c r="RK1" s="80"/>
      <c r="RL1" s="80"/>
      <c r="RM1" s="183"/>
      <c r="RN1" s="184"/>
      <c r="RO1" s="182"/>
      <c r="RP1" s="82"/>
      <c r="RQ1" s="82"/>
      <c r="RR1" s="82"/>
      <c r="RS1" s="184"/>
      <c r="RT1" s="184"/>
      <c r="RU1" s="182"/>
      <c r="RV1" s="82"/>
      <c r="RW1" s="82"/>
      <c r="RX1" s="82"/>
      <c r="RY1" s="184"/>
      <c r="RZ1" s="184"/>
      <c r="SA1" s="184"/>
      <c r="SB1" s="184"/>
      <c r="SC1" s="83">
        <f>RJ1+1</f>
        <v>30</v>
      </c>
      <c r="SD1" s="80"/>
      <c r="SE1" s="80"/>
      <c r="SF1" s="80"/>
      <c r="SG1" s="81"/>
      <c r="SH1" s="82"/>
      <c r="SI1" s="82"/>
      <c r="SJ1" s="82"/>
      <c r="SK1" s="81"/>
      <c r="SL1" s="81"/>
      <c r="SM1" s="82"/>
      <c r="SN1" s="82"/>
      <c r="SO1" s="82"/>
      <c r="SP1" s="81"/>
      <c r="SQ1" s="81"/>
      <c r="SR1" s="81"/>
      <c r="SS1" s="81"/>
      <c r="ST1" s="83">
        <f>SC1+1</f>
        <v>31</v>
      </c>
      <c r="SU1" s="80"/>
      <c r="SV1" s="80"/>
      <c r="SW1" s="80"/>
      <c r="SX1" s="81"/>
      <c r="SY1" s="82"/>
      <c r="SZ1" s="82"/>
      <c r="TA1" s="82"/>
      <c r="TB1" s="81"/>
      <c r="TC1" s="81"/>
      <c r="TD1" s="82"/>
      <c r="TE1" s="82"/>
      <c r="TF1" s="82"/>
      <c r="TG1" s="81"/>
      <c r="TH1" s="81"/>
      <c r="TI1" s="81"/>
      <c r="TJ1" s="81"/>
      <c r="TK1" s="83">
        <f>ST1+1</f>
        <v>32</v>
      </c>
      <c r="TL1" s="80"/>
      <c r="TM1" s="80"/>
      <c r="TN1" s="80"/>
      <c r="TO1" s="81"/>
      <c r="TP1" s="82"/>
      <c r="TQ1" s="82"/>
      <c r="TR1" s="82"/>
      <c r="TS1" s="81"/>
      <c r="TT1" s="81"/>
      <c r="TU1" s="82"/>
      <c r="TV1" s="82"/>
      <c r="TW1" s="82"/>
      <c r="TX1" s="81"/>
      <c r="TY1" s="81"/>
      <c r="TZ1" s="81"/>
      <c r="UA1" s="81"/>
      <c r="UB1" s="83">
        <f>TK1+1</f>
        <v>33</v>
      </c>
      <c r="UC1" s="80"/>
      <c r="UD1" s="80"/>
      <c r="UE1" s="80"/>
      <c r="UF1" s="81"/>
      <c r="UG1" s="82"/>
      <c r="UH1" s="82"/>
      <c r="UI1" s="82"/>
      <c r="UJ1" s="81"/>
      <c r="UK1" s="81"/>
      <c r="UL1" s="82"/>
      <c r="UM1" s="82"/>
      <c r="UN1" s="82"/>
      <c r="UO1" s="81"/>
      <c r="UP1" s="81"/>
      <c r="UQ1" s="81"/>
      <c r="UR1" s="81"/>
    </row>
    <row r="2" spans="1:564" ht="60" customHeight="1" thickBot="1" x14ac:dyDescent="0.3">
      <c r="A2" s="169" t="s">
        <v>43</v>
      </c>
      <c r="B2" s="170" t="s">
        <v>196</v>
      </c>
      <c r="C2" s="180" t="str">
        <f ca="1">IF(CELL("contenu",INDIRECT(ADDRESS(C1,1,1,1,CELL("contenu",$B$2))))="","----",CELL("contenu",INDIRECT(ADDRESS(C1,1,1,1,CELL("contenu",$B$2)))))</f>
        <v>ABOURAHIM Adame</v>
      </c>
      <c r="D2" s="178"/>
      <c r="E2" s="178"/>
      <c r="F2" s="180"/>
      <c r="G2" s="180"/>
      <c r="H2" s="180"/>
      <c r="I2" s="178"/>
      <c r="J2" s="178"/>
      <c r="K2" s="178"/>
      <c r="L2" s="180"/>
      <c r="M2" s="180"/>
      <c r="N2" s="180"/>
      <c r="O2" s="178"/>
      <c r="P2" s="178"/>
      <c r="Q2" s="178"/>
      <c r="R2" s="180"/>
      <c r="S2" s="180"/>
      <c r="T2" s="180"/>
      <c r="U2" s="206"/>
      <c r="V2" s="180" t="str">
        <f ca="1">IF(CELL("contenu",INDIRECT(ADDRESS(V1,1,1,1,CELL("contenu",$B$2))))="","----",CELL("contenu",INDIRECT(ADDRESS(V1,1,1,1,CELL("contenu",$B$2)))))</f>
        <v>AUBIN Hermine</v>
      </c>
      <c r="W2" s="178"/>
      <c r="X2" s="178"/>
      <c r="Y2" s="180"/>
      <c r="Z2" s="180"/>
      <c r="AA2" s="180"/>
      <c r="AB2" s="178"/>
      <c r="AC2" s="178"/>
      <c r="AD2" s="178"/>
      <c r="AE2" s="180"/>
      <c r="AF2" s="180"/>
      <c r="AG2" s="180"/>
      <c r="AH2" s="178"/>
      <c r="AI2" s="178"/>
      <c r="AJ2" s="178"/>
      <c r="AK2" s="180"/>
      <c r="AL2" s="180"/>
      <c r="AM2" s="180"/>
      <c r="AN2" s="206"/>
      <c r="AO2" s="180" t="str">
        <f ca="1">IF(CELL("contenu",INDIRECT(ADDRESS(AO1,1,1,1,CELL("contenu",$B$2))))="","----",CELL("contenu",INDIRECT(ADDRESS(AO1,1,1,1,CELL("contenu",$B$2)))))</f>
        <v>AVRIL Toanui</v>
      </c>
      <c r="AP2" s="178"/>
      <c r="AQ2" s="178"/>
      <c r="AR2" s="180"/>
      <c r="AS2" s="180"/>
      <c r="AT2" s="180"/>
      <c r="AU2" s="178"/>
      <c r="AV2" s="178"/>
      <c r="AW2" s="178"/>
      <c r="AX2" s="180"/>
      <c r="AY2" s="180"/>
      <c r="AZ2" s="180"/>
      <c r="BA2" s="178"/>
      <c r="BB2" s="178"/>
      <c r="BC2" s="178"/>
      <c r="BD2" s="180"/>
      <c r="BE2" s="180"/>
      <c r="BF2" s="180"/>
      <c r="BG2" s="206"/>
      <c r="BH2" s="180" t="str">
        <f ca="1">IF(CELL("contenu",INDIRECT(ADDRESS(BH1,1,1,1,CELL("contenu",$B$2))))="","----",CELL("contenu",INDIRECT(ADDRESS(BH1,1,1,1,CELL("contenu",$B$2)))))</f>
        <v>BOUTET Nathan</v>
      </c>
      <c r="BI2" s="178"/>
      <c r="BJ2" s="178"/>
      <c r="BK2" s="180"/>
      <c r="BL2" s="180"/>
      <c r="BM2" s="180"/>
      <c r="BN2" s="178"/>
      <c r="BO2" s="178"/>
      <c r="BP2" s="178"/>
      <c r="BQ2" s="180"/>
      <c r="BR2" s="180"/>
      <c r="BS2" s="180"/>
      <c r="BT2" s="178"/>
      <c r="BU2" s="178"/>
      <c r="BV2" s="178"/>
      <c r="BW2" s="180"/>
      <c r="BX2" s="180"/>
      <c r="BY2" s="180"/>
      <c r="BZ2" s="206"/>
      <c r="CA2" s="180" t="str">
        <f ca="1">IF(CELL("contenu",INDIRECT(ADDRESS(CA1,1,1,1,CELL("contenu",$B$2))))="","----",CELL("contenu",INDIRECT(ADDRESS(CA1,1,1,1,CELL("contenu",$B$2)))))</f>
        <v>BRILHAULT Vincent</v>
      </c>
      <c r="CB2" s="178"/>
      <c r="CC2" s="178"/>
      <c r="CD2" s="180"/>
      <c r="CE2" s="180"/>
      <c r="CF2" s="180"/>
      <c r="CG2" s="178"/>
      <c r="CH2" s="178"/>
      <c r="CI2" s="178"/>
      <c r="CJ2" s="180"/>
      <c r="CK2" s="180"/>
      <c r="CL2" s="180"/>
      <c r="CM2" s="178"/>
      <c r="CN2" s="178"/>
      <c r="CO2" s="178"/>
      <c r="CP2" s="180"/>
      <c r="CQ2" s="180"/>
      <c r="CR2" s="180"/>
      <c r="CS2" s="206"/>
      <c r="CT2" s="180" t="str">
        <f ca="1">IF(CELL("contenu",INDIRECT(ADDRESS(CT1,1,1,1,CELL("contenu",$B$2))))="","----",CELL("contenu",INDIRECT(ADDRESS(CT1,1,1,1,CELL("contenu",$B$2)))))</f>
        <v>CHARRIER Simon</v>
      </c>
      <c r="CU2" s="178"/>
      <c r="CV2" s="178"/>
      <c r="CW2" s="180"/>
      <c r="CX2" s="180"/>
      <c r="CY2" s="180"/>
      <c r="CZ2" s="178"/>
      <c r="DA2" s="178"/>
      <c r="DB2" s="178"/>
      <c r="DC2" s="180"/>
      <c r="DD2" s="180"/>
      <c r="DE2" s="180"/>
      <c r="DF2" s="178"/>
      <c r="DG2" s="178"/>
      <c r="DH2" s="178"/>
      <c r="DI2" s="180"/>
      <c r="DJ2" s="180"/>
      <c r="DK2" s="180"/>
      <c r="DL2" s="206"/>
      <c r="DM2" s="180" t="str">
        <f ca="1">IF(CELL("contenu",INDIRECT(ADDRESS(DM1,1,1,1,CELL("contenu",$B$2))))="","----",CELL("contenu",INDIRECT(ADDRESS(DM1,1,1,1,CELL("contenu",$B$2)))))</f>
        <v>CORNIL Clovis</v>
      </c>
      <c r="DN2" s="178"/>
      <c r="DO2" s="178"/>
      <c r="DP2" s="180"/>
      <c r="DQ2" s="180"/>
      <c r="DR2" s="180"/>
      <c r="DS2" s="178"/>
      <c r="DT2" s="178"/>
      <c r="DU2" s="178"/>
      <c r="DV2" s="180"/>
      <c r="DW2" s="180"/>
      <c r="DX2" s="180"/>
      <c r="DY2" s="178"/>
      <c r="DZ2" s="178"/>
      <c r="EA2" s="178"/>
      <c r="EB2" s="180"/>
      <c r="EC2" s="180"/>
      <c r="ED2" s="180"/>
      <c r="EE2" s="206"/>
      <c r="EF2" s="180" t="str">
        <f ca="1">IF(CELL("contenu",INDIRECT(ADDRESS(EF1,1,1,1,CELL("contenu",$B$2))))="","----",CELL("contenu",INDIRECT(ADDRESS(EF1,1,1,1,CELL("contenu",$B$2)))))</f>
        <v>COUTIN Agathe</v>
      </c>
      <c r="EG2" s="178"/>
      <c r="EH2" s="178"/>
      <c r="EI2" s="180"/>
      <c r="EJ2" s="180"/>
      <c r="EK2" s="180"/>
      <c r="EL2" s="178"/>
      <c r="EM2" s="178"/>
      <c r="EN2" s="178"/>
      <c r="EO2" s="180"/>
      <c r="EP2" s="180"/>
      <c r="EQ2" s="180"/>
      <c r="ER2" s="178"/>
      <c r="ES2" s="178"/>
      <c r="ET2" s="178"/>
      <c r="EU2" s="180"/>
      <c r="EV2" s="180"/>
      <c r="EW2" s="180"/>
      <c r="EX2" s="206"/>
      <c r="EY2" s="180" t="str">
        <f ca="1">IF(CELL("contenu",INDIRECT(ADDRESS(EY1,1,1,1,CELL("contenu",$B$2))))="","----",CELL("contenu",INDIRECT(ADDRESS(EY1,1,1,1,CELL("contenu",$B$2)))))</f>
        <v>DE PONCHEVILLE Yolaine</v>
      </c>
      <c r="EZ2" s="178"/>
      <c r="FA2" s="178"/>
      <c r="FB2" s="180"/>
      <c r="FC2" s="180"/>
      <c r="FD2" s="180"/>
      <c r="FE2" s="178"/>
      <c r="FF2" s="178"/>
      <c r="FG2" s="178"/>
      <c r="FH2" s="180"/>
      <c r="FI2" s="180"/>
      <c r="FJ2" s="180"/>
      <c r="FK2" s="178"/>
      <c r="FL2" s="178"/>
      <c r="FM2" s="178"/>
      <c r="FN2" s="180"/>
      <c r="FO2" s="180"/>
      <c r="FP2" s="180"/>
      <c r="FQ2" s="206"/>
      <c r="FR2" s="180" t="str">
        <f ca="1">IF(CELL("contenu",INDIRECT(ADDRESS(FR1,1,1,1,CELL("contenu",$B$2))))="","----",CELL("contenu",INDIRECT(ADDRESS(FR1,1,1,1,CELL("contenu",$B$2)))))</f>
        <v>DE SAINT CERAN Jeanne</v>
      </c>
      <c r="FS2" s="178"/>
      <c r="FT2" s="178"/>
      <c r="FU2" s="180"/>
      <c r="FV2" s="180"/>
      <c r="FW2" s="180"/>
      <c r="FX2" s="178"/>
      <c r="FY2" s="178"/>
      <c r="FZ2" s="178"/>
      <c r="GA2" s="180"/>
      <c r="GB2" s="180"/>
      <c r="GC2" s="180"/>
      <c r="GD2" s="178"/>
      <c r="GE2" s="178"/>
      <c r="GF2" s="178"/>
      <c r="GG2" s="180"/>
      <c r="GH2" s="180"/>
      <c r="GI2" s="180"/>
      <c r="GJ2" s="206"/>
      <c r="GK2" s="180" t="str">
        <f ca="1">IF(CELL("contenu",INDIRECT(ADDRESS(GK1,1,1,1,CELL("contenu",$B$2))))="","----",CELL("contenu",INDIRECT(ADDRESS(GK1,1,1,1,CELL("contenu",$B$2)))))</f>
        <v>DREYFUS Hugues</v>
      </c>
      <c r="GL2" s="178"/>
      <c r="GM2" s="178"/>
      <c r="GN2" s="180"/>
      <c r="GO2" s="180"/>
      <c r="GP2" s="180"/>
      <c r="GQ2" s="178"/>
      <c r="GR2" s="178"/>
      <c r="GS2" s="178"/>
      <c r="GT2" s="180"/>
      <c r="GU2" s="180"/>
      <c r="GV2" s="180"/>
      <c r="GW2" s="178"/>
      <c r="GX2" s="178"/>
      <c r="GY2" s="178"/>
      <c r="GZ2" s="180"/>
      <c r="HA2" s="180"/>
      <c r="HB2" s="180"/>
      <c r="HC2" s="206"/>
      <c r="HD2" s="180" t="str">
        <f ca="1">IF(CELL("contenu",INDIRECT(ADDRESS(HD1,1,1,1,CELL("contenu",$B$2))))="","----",CELL("contenu",INDIRECT(ADDRESS(HD1,1,1,1,CELL("contenu",$B$2)))))</f>
        <v>DUPONT Gregoire</v>
      </c>
      <c r="HE2" s="178"/>
      <c r="HF2" s="178"/>
      <c r="HG2" s="180"/>
      <c r="HH2" s="180"/>
      <c r="HI2" s="180"/>
      <c r="HJ2" s="178"/>
      <c r="HK2" s="178"/>
      <c r="HL2" s="178"/>
      <c r="HM2" s="180"/>
      <c r="HN2" s="180"/>
      <c r="HO2" s="180"/>
      <c r="HP2" s="178"/>
      <c r="HQ2" s="178"/>
      <c r="HR2" s="178"/>
      <c r="HS2" s="180"/>
      <c r="HT2" s="180"/>
      <c r="HU2" s="180"/>
      <c r="HV2" s="206"/>
      <c r="HW2" s="180" t="str">
        <f ca="1">IF(CELL("contenu",INDIRECT(ADDRESS(HW1,1,1,1,CELL("contenu",$B$2))))="","----",CELL("contenu",INDIRECT(ADDRESS(HW1,1,1,1,CELL("contenu",$B$2)))))</f>
        <v>ENGELVIN Blanche</v>
      </c>
      <c r="HX2" s="178"/>
      <c r="HY2" s="178"/>
      <c r="HZ2" s="180"/>
      <c r="IA2" s="180"/>
      <c r="IB2" s="180"/>
      <c r="IC2" s="178"/>
      <c r="ID2" s="178"/>
      <c r="IE2" s="178"/>
      <c r="IF2" s="180"/>
      <c r="IG2" s="180"/>
      <c r="IH2" s="180"/>
      <c r="II2" s="178"/>
      <c r="IJ2" s="178"/>
      <c r="IK2" s="178"/>
      <c r="IL2" s="180"/>
      <c r="IM2" s="180"/>
      <c r="IN2" s="180"/>
      <c r="IO2" s="206"/>
      <c r="IP2" s="180" t="str">
        <f ca="1">IF(CELL("contenu",INDIRECT(ADDRESS(IP1,1,1,1,CELL("contenu",$B$2))))="","----",CELL("contenu",INDIRECT(ADDRESS(IP1,1,1,1,CELL("contenu",$B$2)))))</f>
        <v>HUET Antonin</v>
      </c>
      <c r="IQ2" s="178"/>
      <c r="IR2" s="178"/>
      <c r="IS2" s="180"/>
      <c r="IT2" s="180"/>
      <c r="IU2" s="180"/>
      <c r="IV2" s="178"/>
      <c r="IW2" s="178"/>
      <c r="IX2" s="178"/>
      <c r="IY2" s="180"/>
      <c r="IZ2" s="180"/>
      <c r="JA2" s="180"/>
      <c r="JB2" s="178"/>
      <c r="JC2" s="178"/>
      <c r="JD2" s="178"/>
      <c r="JE2" s="180"/>
      <c r="JF2" s="180"/>
      <c r="JG2" s="180"/>
      <c r="JH2" s="206"/>
      <c r="JI2" s="180" t="str">
        <f ca="1">IF(CELL("contenu",INDIRECT(ADDRESS(JI1,1,1,1,CELL("contenu",$B$2))))="","----",CELL("contenu",INDIRECT(ADDRESS(JI1,1,1,1,CELL("contenu",$B$2)))))</f>
        <v>JABOULEY Adrien</v>
      </c>
      <c r="JJ2" s="178"/>
      <c r="JK2" s="178"/>
      <c r="JL2" s="180"/>
      <c r="JM2" s="180"/>
      <c r="JN2" s="180"/>
      <c r="JO2" s="178"/>
      <c r="JP2" s="178"/>
      <c r="JQ2" s="178"/>
      <c r="JR2" s="180"/>
      <c r="JS2" s="180"/>
      <c r="JT2" s="180"/>
      <c r="JU2" s="178"/>
      <c r="JV2" s="178"/>
      <c r="JW2" s="178"/>
      <c r="JX2" s="180"/>
      <c r="JY2" s="180"/>
      <c r="JZ2" s="180"/>
      <c r="KA2" s="206"/>
      <c r="KB2" s="180" t="str">
        <f ca="1">IF(CELL("contenu",INDIRECT(ADDRESS(KB1,1,1,1,CELL("contenu",$B$2))))="","----",CELL("contenu",INDIRECT(ADDRESS(KB1,1,1,1,CELL("contenu",$B$2)))))</f>
        <v>JOURDAIN Julie</v>
      </c>
      <c r="KC2" s="178"/>
      <c r="KD2" s="178"/>
      <c r="KE2" s="180"/>
      <c r="KF2" s="180"/>
      <c r="KG2" s="180"/>
      <c r="KH2" s="178"/>
      <c r="KI2" s="178"/>
      <c r="KJ2" s="178"/>
      <c r="KK2" s="180"/>
      <c r="KL2" s="180"/>
      <c r="KM2" s="180"/>
      <c r="KN2" s="178"/>
      <c r="KO2" s="178"/>
      <c r="KP2" s="178"/>
      <c r="KQ2" s="180"/>
      <c r="KR2" s="180"/>
      <c r="KS2" s="180"/>
      <c r="KT2" s="206"/>
      <c r="KU2" s="180" t="str">
        <f ca="1">IF(CELL("contenu",INDIRECT(ADDRESS(KU1,1,1,1,CELL("contenu",$B$2))))="","----",CELL("contenu",INDIRECT(ADDRESS(KU1,1,1,1,CELL("contenu",$B$2)))))</f>
        <v>KADRIC Emma</v>
      </c>
      <c r="KV2" s="178"/>
      <c r="KW2" s="178"/>
      <c r="KX2" s="180"/>
      <c r="KY2" s="180"/>
      <c r="KZ2" s="180"/>
      <c r="LA2" s="178"/>
      <c r="LB2" s="178"/>
      <c r="LC2" s="178"/>
      <c r="LD2" s="180"/>
      <c r="LE2" s="180"/>
      <c r="LF2" s="180"/>
      <c r="LG2" s="178"/>
      <c r="LH2" s="178"/>
      <c r="LI2" s="178"/>
      <c r="LJ2" s="180"/>
      <c r="LK2" s="180"/>
      <c r="LL2" s="180"/>
      <c r="LM2" s="206"/>
      <c r="LN2" s="180" t="str">
        <f ca="1">IF(CELL("contenu",INDIRECT(ADDRESS(LN1,1,1,1,CELL("contenu",$B$2))))="","----",CELL("contenu",INDIRECT(ADDRESS(LN1,1,1,1,CELL("contenu",$B$2)))))</f>
        <v>LE DIEU DE VILLE Constance</v>
      </c>
      <c r="LO2" s="178"/>
      <c r="LP2" s="178"/>
      <c r="LQ2" s="180"/>
      <c r="LR2" s="180"/>
      <c r="LS2" s="180"/>
      <c r="LT2" s="178"/>
      <c r="LU2" s="178"/>
      <c r="LV2" s="178"/>
      <c r="LW2" s="180"/>
      <c r="LX2" s="180"/>
      <c r="LY2" s="180"/>
      <c r="LZ2" s="178"/>
      <c r="MA2" s="178"/>
      <c r="MB2" s="178"/>
      <c r="MC2" s="180"/>
      <c r="MD2" s="180"/>
      <c r="ME2" s="180"/>
      <c r="MF2" s="206"/>
      <c r="MG2" s="180" t="str">
        <f ca="1">IF(CELL("contenu",INDIRECT(ADDRESS(MG1,1,1,1,CELL("contenu",$B$2))))="","----",CELL("contenu",INDIRECT(ADDRESS(MG1,1,1,1,CELL("contenu",$B$2)))))</f>
        <v>PEIGNE Orso</v>
      </c>
      <c r="MH2" s="178"/>
      <c r="MI2" s="178"/>
      <c r="MJ2" s="180"/>
      <c r="MK2" s="180"/>
      <c r="ML2" s="180"/>
      <c r="MM2" s="178"/>
      <c r="MN2" s="178"/>
      <c r="MO2" s="178"/>
      <c r="MP2" s="180"/>
      <c r="MQ2" s="180"/>
      <c r="MR2" s="180"/>
      <c r="MS2" s="178"/>
      <c r="MT2" s="178"/>
      <c r="MU2" s="178"/>
      <c r="MV2" s="180"/>
      <c r="MW2" s="180"/>
      <c r="MX2" s="180"/>
      <c r="MY2" s="206"/>
      <c r="MZ2" s="180" t="str">
        <f ca="1">IF(CELL("contenu",INDIRECT(ADDRESS(MZ1,1,1,1,CELL("contenu",$B$2))))="","----",CELL("contenu",INDIRECT(ADDRESS(MZ1,1,1,1,CELL("contenu",$B$2)))))</f>
        <v>POIRIER-BEZARD Lucina</v>
      </c>
      <c r="NA2" s="178"/>
      <c r="NB2" s="178"/>
      <c r="NC2" s="180"/>
      <c r="ND2" s="180"/>
      <c r="NE2" s="180"/>
      <c r="NF2" s="178"/>
      <c r="NG2" s="178"/>
      <c r="NH2" s="178"/>
      <c r="NI2" s="180"/>
      <c r="NJ2" s="180"/>
      <c r="NK2" s="180"/>
      <c r="NL2" s="178"/>
      <c r="NM2" s="178"/>
      <c r="NN2" s="178"/>
      <c r="NO2" s="180"/>
      <c r="NP2" s="180"/>
      <c r="NQ2" s="180"/>
      <c r="NR2" s="206"/>
      <c r="NS2" s="180" t="str">
        <f ca="1">IF(CELL("contenu",INDIRECT(ADDRESS(NS1,1,1,1,CELL("contenu",$B$2))))="","----",CELL("contenu",INDIRECT(ADDRESS(NS1,1,1,1,CELL("contenu",$B$2)))))</f>
        <v>PUIG Salome</v>
      </c>
      <c r="NT2" s="178"/>
      <c r="NU2" s="178"/>
      <c r="NV2" s="180"/>
      <c r="NW2" s="180"/>
      <c r="NX2" s="180"/>
      <c r="NY2" s="178"/>
      <c r="NZ2" s="178"/>
      <c r="OA2" s="178"/>
      <c r="OB2" s="180"/>
      <c r="OC2" s="180"/>
      <c r="OD2" s="180"/>
      <c r="OE2" s="178"/>
      <c r="OF2" s="178"/>
      <c r="OG2" s="178"/>
      <c r="OH2" s="180"/>
      <c r="OI2" s="180"/>
      <c r="OJ2" s="180"/>
      <c r="OK2" s="206"/>
      <c r="OL2" s="180" t="str">
        <f ca="1">IF(CELL("contenu",INDIRECT(ADDRESS(OL1,1,1,1,CELL("contenu",$B$2))))="","----",CELL("contenu",INDIRECT(ADDRESS(OL1,1,1,1,CELL("contenu",$B$2)))))</f>
        <v>ROBIN Anne-Solenne</v>
      </c>
      <c r="OM2" s="178"/>
      <c r="ON2" s="178"/>
      <c r="OO2" s="180"/>
      <c r="OP2" s="180"/>
      <c r="OQ2" s="180"/>
      <c r="OR2" s="178"/>
      <c r="OS2" s="178"/>
      <c r="OT2" s="178"/>
      <c r="OU2" s="180"/>
      <c r="OV2" s="180"/>
      <c r="OW2" s="180"/>
      <c r="OX2" s="178"/>
      <c r="OY2" s="178"/>
      <c r="OZ2" s="178"/>
      <c r="PA2" s="180"/>
      <c r="PB2" s="180"/>
      <c r="PC2" s="180"/>
      <c r="PD2" s="206"/>
      <c r="PE2" s="180" t="str">
        <f ca="1">IF(CELL("contenu",INDIRECT(ADDRESS(PE1,1,1,1,CELL("contenu",$B$2))))="","----",CELL("contenu",INDIRECT(ADDRESS(PE1,1,1,1,CELL("contenu",$B$2)))))</f>
        <v>SOLON Emma</v>
      </c>
      <c r="PF2" s="178"/>
      <c r="PG2" s="178"/>
      <c r="PH2" s="180"/>
      <c r="PI2" s="180"/>
      <c r="PJ2" s="180"/>
      <c r="PK2" s="178"/>
      <c r="PL2" s="178"/>
      <c r="PM2" s="178"/>
      <c r="PN2" s="180"/>
      <c r="PO2" s="180"/>
      <c r="PP2" s="180"/>
      <c r="PQ2" s="178"/>
      <c r="PR2" s="178"/>
      <c r="PS2" s="178"/>
      <c r="PT2" s="180"/>
      <c r="PU2" s="180"/>
      <c r="PV2" s="180"/>
      <c r="PW2" s="206"/>
      <c r="PX2" s="180" t="str">
        <f ca="1">IF(CELL("contenu",INDIRECT(ADDRESS(PX1,1,1,1,CELL("contenu",$B$2))))="","----",CELL("contenu",INDIRECT(ADDRESS(PX1,1,1,1,CELL("contenu",$B$2)))))</f>
        <v>TALPAIN Olivier</v>
      </c>
      <c r="PY2" s="178"/>
      <c r="PZ2" s="178"/>
      <c r="QA2" s="180"/>
      <c r="QB2" s="180"/>
      <c r="QC2" s="180"/>
      <c r="QD2" s="178"/>
      <c r="QE2" s="178"/>
      <c r="QF2" s="178"/>
      <c r="QG2" s="180"/>
      <c r="QH2" s="180"/>
      <c r="QI2" s="180"/>
      <c r="QJ2" s="178"/>
      <c r="QK2" s="178"/>
      <c r="QL2" s="178"/>
      <c r="QM2" s="180"/>
      <c r="QN2" s="180"/>
      <c r="QO2" s="180"/>
      <c r="QP2" s="206"/>
      <c r="QQ2" s="180" t="str">
        <f ca="1">IF(CELL("contenu",INDIRECT(ADDRESS(QQ1,1,1,1,CELL("contenu",$B$2))))="","----",CELL("contenu",INDIRECT(ADDRESS(QQ1,1,1,1,CELL("contenu",$B$2)))))</f>
        <v>TOUZE Valentine</v>
      </c>
      <c r="QR2" s="178"/>
      <c r="QS2" s="178"/>
      <c r="QT2" s="180"/>
      <c r="QU2" s="180"/>
      <c r="QV2" s="180"/>
      <c r="QW2" s="178"/>
      <c r="QX2" s="178"/>
      <c r="QY2" s="178"/>
      <c r="QZ2" s="180"/>
      <c r="RA2" s="180"/>
      <c r="RB2" s="180"/>
      <c r="RC2" s="178"/>
      <c r="RD2" s="178"/>
      <c r="RE2" s="178"/>
      <c r="RF2" s="180"/>
      <c r="RG2" s="180"/>
      <c r="RH2" s="180"/>
      <c r="RI2" s="206"/>
      <c r="RJ2" s="180" t="str">
        <f ca="1">IF(CELL("contenu",INDIRECT(ADDRESS(RJ1,1,1,1,CELL("contenu",$B$2))))="","----",CELL("contenu",INDIRECT(ADDRESS(RJ1,1,1,1,CELL("contenu",$B$2)))))</f>
        <v>VERNIER Paul</v>
      </c>
      <c r="RK2" s="178"/>
      <c r="RL2" s="178"/>
      <c r="RM2" s="180"/>
      <c r="RN2" s="180"/>
      <c r="RO2" s="180"/>
      <c r="RP2" s="178"/>
      <c r="RQ2" s="178"/>
      <c r="RR2" s="178"/>
      <c r="RS2" s="180"/>
      <c r="RT2" s="180"/>
      <c r="RU2" s="180"/>
      <c r="RV2" s="178"/>
      <c r="RW2" s="178"/>
      <c r="RX2" s="178"/>
      <c r="RY2" s="180"/>
      <c r="RZ2" s="180"/>
      <c r="SA2" s="180"/>
      <c r="SB2" s="206"/>
      <c r="SC2" s="85" t="str">
        <f ca="1">IF(CELL("contenu",INDIRECT(ADDRESS(SC1,1,1,1,CELL("contenu",$B$2))))="","----",CELL("contenu",INDIRECT(ADDRESS(SC1,1,1,1,CELL("contenu",$B$2)))))</f>
        <v>----</v>
      </c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6"/>
      <c r="ST2" s="85" t="str">
        <f ca="1">IF(CELL("contenu",INDIRECT(ADDRESS(ST1,1,1,1,CELL("contenu",$B$2))))="","----",CELL("contenu",INDIRECT(ADDRESS(ST1,1,1,1,CELL("contenu",$B$2)))))</f>
        <v>----</v>
      </c>
      <c r="SU2" s="85"/>
      <c r="SV2" s="85"/>
      <c r="SW2" s="85"/>
      <c r="SX2" s="85"/>
      <c r="SY2" s="85"/>
      <c r="SZ2" s="85"/>
      <c r="TA2" s="85"/>
      <c r="TB2" s="85"/>
      <c r="TC2" s="85"/>
      <c r="TD2" s="85"/>
      <c r="TE2" s="85"/>
      <c r="TF2" s="85"/>
      <c r="TG2" s="85"/>
      <c r="TH2" s="85"/>
      <c r="TI2" s="85"/>
      <c r="TJ2" s="86"/>
      <c r="TK2" s="85" t="str">
        <f ca="1">IF(CELL("contenu",INDIRECT(ADDRESS(TK1,1,1,1,CELL("contenu",$B$2))))="","----",CELL("contenu",INDIRECT(ADDRESS(TK1,1,1,1,CELL("contenu",$B$2)))))</f>
        <v>----</v>
      </c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6"/>
      <c r="UB2" s="85" t="str">
        <f ca="1">IF(CELL("contenu",INDIRECT(ADDRESS(UB1,1,1,1,CELL("contenu",$B$2))))="","----",CELL("contenu",INDIRECT(ADDRESS(UB1,1,1,1,CELL("contenu",$B$2)))))</f>
        <v>----</v>
      </c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6"/>
    </row>
    <row r="3" spans="1:564" ht="60" customHeight="1" thickBot="1" x14ac:dyDescent="0.3">
      <c r="A3" s="171"/>
      <c r="B3" s="172" t="s">
        <v>36</v>
      </c>
      <c r="C3" s="87" t="s">
        <v>197</v>
      </c>
      <c r="D3" s="225" t="s">
        <v>198</v>
      </c>
      <c r="E3" s="89" t="s">
        <v>199</v>
      </c>
      <c r="F3" s="185" t="s">
        <v>7</v>
      </c>
      <c r="G3" s="186"/>
      <c r="H3" s="87" t="s">
        <v>202</v>
      </c>
      <c r="I3" s="228" t="s">
        <v>205</v>
      </c>
      <c r="J3" s="89" t="s">
        <v>208</v>
      </c>
      <c r="K3" s="89" t="s">
        <v>207</v>
      </c>
      <c r="L3" s="201" t="s">
        <v>8</v>
      </c>
      <c r="M3" s="202"/>
      <c r="N3" s="96"/>
      <c r="O3" s="92"/>
      <c r="P3" s="93"/>
      <c r="Q3" s="93"/>
      <c r="R3" s="207" t="s">
        <v>9</v>
      </c>
      <c r="S3" s="208"/>
      <c r="T3" s="209" t="s">
        <v>10</v>
      </c>
      <c r="U3" s="210"/>
      <c r="V3" s="101" t="str">
        <f>IF(C3="","",C3)</f>
        <v>TP</v>
      </c>
      <c r="W3" s="102" t="str">
        <f>IF(D3="","",D3)</f>
        <v>DMséisme</v>
      </c>
      <c r="X3" s="103" t="str">
        <f>IF(E3="","",E3)</f>
        <v>DS</v>
      </c>
      <c r="Y3" s="185" t="s">
        <v>7</v>
      </c>
      <c r="Z3" s="186"/>
      <c r="AA3" s="104" t="str">
        <f>IF(H3="","",H3)</f>
        <v>TPséismes</v>
      </c>
      <c r="AB3" s="102" t="str">
        <f>IF(I3="","",I3)</f>
        <v>Dsséismes</v>
      </c>
      <c r="AC3" s="227" t="str">
        <f>IF(J3="","",J3)</f>
        <v>TPDMvolc</v>
      </c>
      <c r="AD3" s="103" t="str">
        <f>IF(K3="","",K3)</f>
        <v>Dsvolcans</v>
      </c>
      <c r="AE3" s="201" t="s">
        <v>8</v>
      </c>
      <c r="AF3" s="202"/>
      <c r="AG3" s="104" t="str">
        <f>IF(N3="","",N3)</f>
        <v/>
      </c>
      <c r="AH3" s="102" t="str">
        <f>IF(O3="","",O3)</f>
        <v/>
      </c>
      <c r="AI3" s="227" t="str">
        <f>IF(P3="","",P3)</f>
        <v/>
      </c>
      <c r="AJ3" s="103" t="str">
        <f>IF(Q3="","",Q3)</f>
        <v/>
      </c>
      <c r="AK3" s="207" t="s">
        <v>9</v>
      </c>
      <c r="AL3" s="208"/>
      <c r="AM3" s="209" t="s">
        <v>10</v>
      </c>
      <c r="AN3" s="210"/>
      <c r="AO3" s="101" t="str">
        <f>IF(V3="","",V3)</f>
        <v>TP</v>
      </c>
      <c r="AP3" s="102" t="str">
        <f>IF(W3="","",W3)</f>
        <v>DMséisme</v>
      </c>
      <c r="AQ3" s="103" t="str">
        <f>IF(X3="","",X3)</f>
        <v>DS</v>
      </c>
      <c r="AR3" s="185" t="s">
        <v>7</v>
      </c>
      <c r="AS3" s="186"/>
      <c r="AT3" s="104" t="str">
        <f>IF(AA3="","",AA3)</f>
        <v>TPséismes</v>
      </c>
      <c r="AU3" s="102" t="str">
        <f>IF(AB3="","",AB3)</f>
        <v>Dsséismes</v>
      </c>
      <c r="AV3" s="227" t="str">
        <f>IF(AC3="","",AC3)</f>
        <v>TPDMvolc</v>
      </c>
      <c r="AW3" s="103" t="str">
        <f>IF(AD3="","",AD3)</f>
        <v>Dsvolcans</v>
      </c>
      <c r="AX3" s="201" t="s">
        <v>8</v>
      </c>
      <c r="AY3" s="202"/>
      <c r="AZ3" s="104" t="str">
        <f>IF(AG3="","",AG3)</f>
        <v/>
      </c>
      <c r="BA3" s="102" t="str">
        <f>IF(AH3="","",AH3)</f>
        <v/>
      </c>
      <c r="BB3" s="227" t="str">
        <f>IF(AI3="","",AI3)</f>
        <v/>
      </c>
      <c r="BC3" s="103" t="str">
        <f>IF(AJ3="","",AJ3)</f>
        <v/>
      </c>
      <c r="BD3" s="207" t="s">
        <v>9</v>
      </c>
      <c r="BE3" s="208"/>
      <c r="BF3" s="209" t="s">
        <v>10</v>
      </c>
      <c r="BG3" s="210"/>
      <c r="BH3" s="101" t="str">
        <f>IF(AO3="","",AO3)</f>
        <v>TP</v>
      </c>
      <c r="BI3" s="102" t="str">
        <f>IF(AP3="","",AP3)</f>
        <v>DMséisme</v>
      </c>
      <c r="BJ3" s="103" t="str">
        <f>IF(AQ3="","",AQ3)</f>
        <v>DS</v>
      </c>
      <c r="BK3" s="185" t="s">
        <v>7</v>
      </c>
      <c r="BL3" s="186"/>
      <c r="BM3" s="104" t="str">
        <f>IF(AT3="","",AT3)</f>
        <v>TPséismes</v>
      </c>
      <c r="BN3" s="102" t="str">
        <f>IF(AU3="","",AU3)</f>
        <v>Dsséismes</v>
      </c>
      <c r="BO3" s="227" t="str">
        <f>IF(AV3="","",AV3)</f>
        <v>TPDMvolc</v>
      </c>
      <c r="BP3" s="103" t="str">
        <f>IF(AW3="","",AW3)</f>
        <v>Dsvolcans</v>
      </c>
      <c r="BQ3" s="201" t="s">
        <v>8</v>
      </c>
      <c r="BR3" s="202"/>
      <c r="BS3" s="104" t="str">
        <f>IF(AZ3="","",AZ3)</f>
        <v/>
      </c>
      <c r="BT3" s="102" t="str">
        <f>IF(BA3="","",BA3)</f>
        <v/>
      </c>
      <c r="BU3" s="227" t="str">
        <f>IF(BB3="","",BB3)</f>
        <v/>
      </c>
      <c r="BV3" s="103" t="str">
        <f>IF(BC3="","",BC3)</f>
        <v/>
      </c>
      <c r="BW3" s="207" t="s">
        <v>9</v>
      </c>
      <c r="BX3" s="208"/>
      <c r="BY3" s="209" t="s">
        <v>10</v>
      </c>
      <c r="BZ3" s="210"/>
      <c r="CA3" s="101" t="str">
        <f>IF(BH3="","",BH3)</f>
        <v>TP</v>
      </c>
      <c r="CB3" s="102" t="str">
        <f>IF(BI3="","",BI3)</f>
        <v>DMséisme</v>
      </c>
      <c r="CC3" s="103" t="str">
        <f>IF(BJ3="","",BJ3)</f>
        <v>DS</v>
      </c>
      <c r="CD3" s="185" t="s">
        <v>7</v>
      </c>
      <c r="CE3" s="186"/>
      <c r="CF3" s="104" t="str">
        <f>IF(BM3="","",BM3)</f>
        <v>TPséismes</v>
      </c>
      <c r="CG3" s="102" t="str">
        <f>IF(BN3="","",BN3)</f>
        <v>Dsséismes</v>
      </c>
      <c r="CH3" s="227" t="str">
        <f>IF(BO3="","",BO3)</f>
        <v>TPDMvolc</v>
      </c>
      <c r="CI3" s="103" t="str">
        <f>IF(BP3="","",BP3)</f>
        <v>Dsvolcans</v>
      </c>
      <c r="CJ3" s="201" t="s">
        <v>8</v>
      </c>
      <c r="CK3" s="202"/>
      <c r="CL3" s="104" t="str">
        <f>IF(BS3="","",BS3)</f>
        <v/>
      </c>
      <c r="CM3" s="102" t="str">
        <f>IF(BT3="","",BT3)</f>
        <v/>
      </c>
      <c r="CN3" s="227" t="str">
        <f>IF(BU3="","",BU3)</f>
        <v/>
      </c>
      <c r="CO3" s="103" t="str">
        <f>IF(BV3="","",BV3)</f>
        <v/>
      </c>
      <c r="CP3" s="207" t="s">
        <v>9</v>
      </c>
      <c r="CQ3" s="208"/>
      <c r="CR3" s="209" t="s">
        <v>10</v>
      </c>
      <c r="CS3" s="210"/>
      <c r="CT3" s="101" t="str">
        <f>IF(CA3="","",CA3)</f>
        <v>TP</v>
      </c>
      <c r="CU3" s="102" t="str">
        <f>IF(CB3="","",CB3)</f>
        <v>DMséisme</v>
      </c>
      <c r="CV3" s="103" t="str">
        <f>IF(CC3="","",CC3)</f>
        <v>DS</v>
      </c>
      <c r="CW3" s="185" t="s">
        <v>7</v>
      </c>
      <c r="CX3" s="186"/>
      <c r="CY3" s="104" t="str">
        <f>IF(CF3="","",CF3)</f>
        <v>TPséismes</v>
      </c>
      <c r="CZ3" s="102" t="str">
        <f>IF(CG3="","",CG3)</f>
        <v>Dsséismes</v>
      </c>
      <c r="DA3" s="227" t="str">
        <f>IF(CH3="","",CH3)</f>
        <v>TPDMvolc</v>
      </c>
      <c r="DB3" s="103" t="str">
        <f>IF(CI3="","",CI3)</f>
        <v>Dsvolcans</v>
      </c>
      <c r="DC3" s="201" t="s">
        <v>8</v>
      </c>
      <c r="DD3" s="202"/>
      <c r="DE3" s="104" t="str">
        <f>IF(CL3="","",CL3)</f>
        <v/>
      </c>
      <c r="DF3" s="102" t="str">
        <f>IF(CM3="","",CM3)</f>
        <v/>
      </c>
      <c r="DG3" s="227" t="str">
        <f>IF(CN3="","",CN3)</f>
        <v/>
      </c>
      <c r="DH3" s="103" t="str">
        <f>IF(CO3="","",CO3)</f>
        <v/>
      </c>
      <c r="DI3" s="207" t="s">
        <v>9</v>
      </c>
      <c r="DJ3" s="208"/>
      <c r="DK3" s="209" t="s">
        <v>10</v>
      </c>
      <c r="DL3" s="210"/>
      <c r="DM3" s="101" t="str">
        <f>IF(CT3="","",CT3)</f>
        <v>TP</v>
      </c>
      <c r="DN3" s="102" t="str">
        <f>IF(CU3="","",CU3)</f>
        <v>DMséisme</v>
      </c>
      <c r="DO3" s="103" t="str">
        <f>IF(CV3="","",CV3)</f>
        <v>DS</v>
      </c>
      <c r="DP3" s="185" t="s">
        <v>7</v>
      </c>
      <c r="DQ3" s="186"/>
      <c r="DR3" s="104" t="str">
        <f>IF(CY3="","",CY3)</f>
        <v>TPséismes</v>
      </c>
      <c r="DS3" s="102" t="str">
        <f>IF(CZ3="","",CZ3)</f>
        <v>Dsséismes</v>
      </c>
      <c r="DT3" s="227" t="str">
        <f>IF(DA3="","",DA3)</f>
        <v>TPDMvolc</v>
      </c>
      <c r="DU3" s="103" t="str">
        <f>IF(DB3="","",DB3)</f>
        <v>Dsvolcans</v>
      </c>
      <c r="DV3" s="201" t="s">
        <v>8</v>
      </c>
      <c r="DW3" s="202"/>
      <c r="DX3" s="104" t="str">
        <f>IF(DE3="","",DE3)</f>
        <v/>
      </c>
      <c r="DY3" s="102" t="str">
        <f>IF(DF3="","",DF3)</f>
        <v/>
      </c>
      <c r="DZ3" s="227" t="str">
        <f>IF(DG3="","",DG3)</f>
        <v/>
      </c>
      <c r="EA3" s="103" t="str">
        <f>IF(DH3="","",DH3)</f>
        <v/>
      </c>
      <c r="EB3" s="207" t="s">
        <v>9</v>
      </c>
      <c r="EC3" s="208"/>
      <c r="ED3" s="209" t="s">
        <v>10</v>
      </c>
      <c r="EE3" s="210"/>
      <c r="EF3" s="101" t="str">
        <f>IF(DM3="","",DM3)</f>
        <v>TP</v>
      </c>
      <c r="EG3" s="102" t="str">
        <f>IF(DN3="","",DN3)</f>
        <v>DMséisme</v>
      </c>
      <c r="EH3" s="103" t="str">
        <f>IF(DO3="","",DO3)</f>
        <v>DS</v>
      </c>
      <c r="EI3" s="185" t="s">
        <v>7</v>
      </c>
      <c r="EJ3" s="186"/>
      <c r="EK3" s="104" t="str">
        <f>IF(DR3="","",DR3)</f>
        <v>TPséismes</v>
      </c>
      <c r="EL3" s="102" t="str">
        <f>IF(DS3="","",DS3)</f>
        <v>Dsséismes</v>
      </c>
      <c r="EM3" s="227" t="str">
        <f>IF(DT3="","",DT3)</f>
        <v>TPDMvolc</v>
      </c>
      <c r="EN3" s="103" t="str">
        <f>IF(DU3="","",DU3)</f>
        <v>Dsvolcans</v>
      </c>
      <c r="EO3" s="201" t="s">
        <v>8</v>
      </c>
      <c r="EP3" s="202"/>
      <c r="EQ3" s="104" t="str">
        <f>IF(DX3="","",DX3)</f>
        <v/>
      </c>
      <c r="ER3" s="102" t="str">
        <f>IF(DY3="","",DY3)</f>
        <v/>
      </c>
      <c r="ES3" s="227" t="str">
        <f>IF(DZ3="","",DZ3)</f>
        <v/>
      </c>
      <c r="ET3" s="103" t="str">
        <f>IF(EA3="","",EA3)</f>
        <v/>
      </c>
      <c r="EU3" s="207" t="s">
        <v>9</v>
      </c>
      <c r="EV3" s="208"/>
      <c r="EW3" s="209" t="s">
        <v>10</v>
      </c>
      <c r="EX3" s="210"/>
      <c r="EY3" s="101" t="str">
        <f>IF(EF3="","",EF3)</f>
        <v>TP</v>
      </c>
      <c r="EZ3" s="102" t="str">
        <f>IF(EG3="","",EG3)</f>
        <v>DMséisme</v>
      </c>
      <c r="FA3" s="103" t="str">
        <f>IF(EH3="","",EH3)</f>
        <v>DS</v>
      </c>
      <c r="FB3" s="185" t="s">
        <v>7</v>
      </c>
      <c r="FC3" s="186"/>
      <c r="FD3" s="104" t="str">
        <f>IF(EK3="","",EK3)</f>
        <v>TPséismes</v>
      </c>
      <c r="FE3" s="102" t="str">
        <f>IF(EL3="","",EL3)</f>
        <v>Dsséismes</v>
      </c>
      <c r="FF3" s="227" t="str">
        <f>IF(EM3="","",EM3)</f>
        <v>TPDMvolc</v>
      </c>
      <c r="FG3" s="103" t="str">
        <f>IF(EN3="","",EN3)</f>
        <v>Dsvolcans</v>
      </c>
      <c r="FH3" s="201" t="s">
        <v>8</v>
      </c>
      <c r="FI3" s="202"/>
      <c r="FJ3" s="104" t="str">
        <f>IF(EQ3="","",EQ3)</f>
        <v/>
      </c>
      <c r="FK3" s="102" t="str">
        <f>IF(ER3="","",ER3)</f>
        <v/>
      </c>
      <c r="FL3" s="227" t="str">
        <f>IF(ES3="","",ES3)</f>
        <v/>
      </c>
      <c r="FM3" s="103" t="str">
        <f>IF(ET3="","",ET3)</f>
        <v/>
      </c>
      <c r="FN3" s="207" t="s">
        <v>9</v>
      </c>
      <c r="FO3" s="208"/>
      <c r="FP3" s="209" t="s">
        <v>10</v>
      </c>
      <c r="FQ3" s="210"/>
      <c r="FR3" s="101" t="str">
        <f>IF(EY3="","",EY3)</f>
        <v>TP</v>
      </c>
      <c r="FS3" s="102" t="str">
        <f>IF(EZ3="","",EZ3)</f>
        <v>DMséisme</v>
      </c>
      <c r="FT3" s="103" t="str">
        <f>IF(FA3="","",FA3)</f>
        <v>DS</v>
      </c>
      <c r="FU3" s="185" t="s">
        <v>7</v>
      </c>
      <c r="FV3" s="186"/>
      <c r="FW3" s="104" t="str">
        <f>IF(FD3="","",FD3)</f>
        <v>TPséismes</v>
      </c>
      <c r="FX3" s="102" t="str">
        <f>IF(FE3="","",FE3)</f>
        <v>Dsséismes</v>
      </c>
      <c r="FY3" s="227" t="str">
        <f>IF(FF3="","",FF3)</f>
        <v>TPDMvolc</v>
      </c>
      <c r="FZ3" s="103" t="str">
        <f>IF(FG3="","",FG3)</f>
        <v>Dsvolcans</v>
      </c>
      <c r="GA3" s="201" t="s">
        <v>8</v>
      </c>
      <c r="GB3" s="202"/>
      <c r="GC3" s="104" t="str">
        <f>IF(FJ3="","",FJ3)</f>
        <v/>
      </c>
      <c r="GD3" s="102" t="str">
        <f>IF(FK3="","",FK3)</f>
        <v/>
      </c>
      <c r="GE3" s="227" t="str">
        <f>IF(FL3="","",FL3)</f>
        <v/>
      </c>
      <c r="GF3" s="103" t="str">
        <f>IF(FM3="","",FM3)</f>
        <v/>
      </c>
      <c r="GG3" s="207" t="s">
        <v>9</v>
      </c>
      <c r="GH3" s="208"/>
      <c r="GI3" s="209" t="s">
        <v>10</v>
      </c>
      <c r="GJ3" s="210"/>
      <c r="GK3" s="101" t="str">
        <f>IF(FR3="","",FR3)</f>
        <v>TP</v>
      </c>
      <c r="GL3" s="102" t="str">
        <f>IF(FS3="","",FS3)</f>
        <v>DMséisme</v>
      </c>
      <c r="GM3" s="103" t="str">
        <f>IF(FT3="","",FT3)</f>
        <v>DS</v>
      </c>
      <c r="GN3" s="185" t="s">
        <v>7</v>
      </c>
      <c r="GO3" s="186"/>
      <c r="GP3" s="104" t="str">
        <f>IF(FW3="","",FW3)</f>
        <v>TPséismes</v>
      </c>
      <c r="GQ3" s="102" t="str">
        <f>IF(FX3="","",FX3)</f>
        <v>Dsséismes</v>
      </c>
      <c r="GR3" s="227" t="str">
        <f>IF(FY3="","",FY3)</f>
        <v>TPDMvolc</v>
      </c>
      <c r="GS3" s="103" t="str">
        <f>IF(FZ3="","",FZ3)</f>
        <v>Dsvolcans</v>
      </c>
      <c r="GT3" s="201" t="s">
        <v>8</v>
      </c>
      <c r="GU3" s="202"/>
      <c r="GV3" s="104" t="str">
        <f>IF(GC3="","",GC3)</f>
        <v/>
      </c>
      <c r="GW3" s="102" t="str">
        <f>IF(GD3="","",GD3)</f>
        <v/>
      </c>
      <c r="GX3" s="227" t="str">
        <f>IF(GE3="","",GE3)</f>
        <v/>
      </c>
      <c r="GY3" s="103" t="str">
        <f>IF(GF3="","",GF3)</f>
        <v/>
      </c>
      <c r="GZ3" s="207" t="s">
        <v>9</v>
      </c>
      <c r="HA3" s="208"/>
      <c r="HB3" s="209" t="s">
        <v>10</v>
      </c>
      <c r="HC3" s="210"/>
      <c r="HD3" s="101" t="str">
        <f>IF(GK3="","",GK3)</f>
        <v>TP</v>
      </c>
      <c r="HE3" s="102" t="str">
        <f>IF(GL3="","",GL3)</f>
        <v>DMséisme</v>
      </c>
      <c r="HF3" s="103" t="str">
        <f>IF(GM3="","",GM3)</f>
        <v>DS</v>
      </c>
      <c r="HG3" s="185" t="s">
        <v>7</v>
      </c>
      <c r="HH3" s="186"/>
      <c r="HI3" s="104" t="str">
        <f>IF(GP3="","",GP3)</f>
        <v>TPséismes</v>
      </c>
      <c r="HJ3" s="102" t="str">
        <f>IF(GQ3="","",GQ3)</f>
        <v>Dsséismes</v>
      </c>
      <c r="HK3" s="227" t="str">
        <f>IF(GR3="","",GR3)</f>
        <v>TPDMvolc</v>
      </c>
      <c r="HL3" s="103" t="str">
        <f>IF(GS3="","",GS3)</f>
        <v>Dsvolcans</v>
      </c>
      <c r="HM3" s="201" t="s">
        <v>8</v>
      </c>
      <c r="HN3" s="202"/>
      <c r="HO3" s="104" t="str">
        <f>IF(GV3="","",GV3)</f>
        <v/>
      </c>
      <c r="HP3" s="102" t="str">
        <f>IF(GW3="","",GW3)</f>
        <v/>
      </c>
      <c r="HQ3" s="227" t="str">
        <f>IF(GX3="","",GX3)</f>
        <v/>
      </c>
      <c r="HR3" s="103" t="str">
        <f>IF(GY3="","",GY3)</f>
        <v/>
      </c>
      <c r="HS3" s="207" t="s">
        <v>9</v>
      </c>
      <c r="HT3" s="208"/>
      <c r="HU3" s="209" t="s">
        <v>10</v>
      </c>
      <c r="HV3" s="210"/>
      <c r="HW3" s="101" t="str">
        <f>IF(HD3="","",HD3)</f>
        <v>TP</v>
      </c>
      <c r="HX3" s="102" t="str">
        <f>IF(HE3="","",HE3)</f>
        <v>DMséisme</v>
      </c>
      <c r="HY3" s="103" t="str">
        <f>IF(HF3="","",HF3)</f>
        <v>DS</v>
      </c>
      <c r="HZ3" s="185" t="s">
        <v>7</v>
      </c>
      <c r="IA3" s="186"/>
      <c r="IB3" s="104" t="str">
        <f>IF(HI3="","",HI3)</f>
        <v>TPséismes</v>
      </c>
      <c r="IC3" s="102" t="str">
        <f>IF(HJ3="","",HJ3)</f>
        <v>Dsséismes</v>
      </c>
      <c r="ID3" s="227" t="str">
        <f>IF(HK3="","",HK3)</f>
        <v>TPDMvolc</v>
      </c>
      <c r="IE3" s="103" t="str">
        <f>IF(HL3="","",HL3)</f>
        <v>Dsvolcans</v>
      </c>
      <c r="IF3" s="201" t="s">
        <v>8</v>
      </c>
      <c r="IG3" s="202"/>
      <c r="IH3" s="104" t="str">
        <f>IF(HO3="","",HO3)</f>
        <v/>
      </c>
      <c r="II3" s="102" t="str">
        <f>IF(HP3="","",HP3)</f>
        <v/>
      </c>
      <c r="IJ3" s="227" t="str">
        <f>IF(HQ3="","",HQ3)</f>
        <v/>
      </c>
      <c r="IK3" s="103" t="str">
        <f>IF(HR3="","",HR3)</f>
        <v/>
      </c>
      <c r="IL3" s="207" t="s">
        <v>9</v>
      </c>
      <c r="IM3" s="208"/>
      <c r="IN3" s="209" t="s">
        <v>10</v>
      </c>
      <c r="IO3" s="210"/>
      <c r="IP3" s="101" t="str">
        <f>IF(HW3="","",HW3)</f>
        <v>TP</v>
      </c>
      <c r="IQ3" s="102" t="str">
        <f>IF(HX3="","",HX3)</f>
        <v>DMséisme</v>
      </c>
      <c r="IR3" s="103" t="str">
        <f>IF(HY3="","",HY3)</f>
        <v>DS</v>
      </c>
      <c r="IS3" s="185" t="s">
        <v>7</v>
      </c>
      <c r="IT3" s="186"/>
      <c r="IU3" s="104" t="str">
        <f>IF(IB3="","",IB3)</f>
        <v>TPséismes</v>
      </c>
      <c r="IV3" s="102" t="str">
        <f>IF(IC3="","",IC3)</f>
        <v>Dsséismes</v>
      </c>
      <c r="IW3" s="227" t="str">
        <f>IF(ID3="","",ID3)</f>
        <v>TPDMvolc</v>
      </c>
      <c r="IX3" s="103" t="str">
        <f>IF(IE3="","",IE3)</f>
        <v>Dsvolcans</v>
      </c>
      <c r="IY3" s="201" t="s">
        <v>8</v>
      </c>
      <c r="IZ3" s="202"/>
      <c r="JA3" s="104" t="str">
        <f>IF(IH3="","",IH3)</f>
        <v/>
      </c>
      <c r="JB3" s="102" t="str">
        <f>IF(II3="","",II3)</f>
        <v/>
      </c>
      <c r="JC3" s="227" t="str">
        <f>IF(IJ3="","",IJ3)</f>
        <v/>
      </c>
      <c r="JD3" s="103" t="str">
        <f>IF(IK3="","",IK3)</f>
        <v/>
      </c>
      <c r="JE3" s="207" t="s">
        <v>9</v>
      </c>
      <c r="JF3" s="208"/>
      <c r="JG3" s="209" t="s">
        <v>10</v>
      </c>
      <c r="JH3" s="210"/>
      <c r="JI3" s="101" t="str">
        <f>IF(IP3="","",IP3)</f>
        <v>TP</v>
      </c>
      <c r="JJ3" s="102" t="str">
        <f>IF(IQ3="","",IQ3)</f>
        <v>DMséisme</v>
      </c>
      <c r="JK3" s="103" t="str">
        <f>IF(IR3="","",IR3)</f>
        <v>DS</v>
      </c>
      <c r="JL3" s="185" t="s">
        <v>7</v>
      </c>
      <c r="JM3" s="186"/>
      <c r="JN3" s="104" t="str">
        <f>IF(IU3="","",IU3)</f>
        <v>TPséismes</v>
      </c>
      <c r="JO3" s="102" t="str">
        <f>IF(IV3="","",IV3)</f>
        <v>Dsséismes</v>
      </c>
      <c r="JP3" s="227" t="str">
        <f>IF(IW3="","",IW3)</f>
        <v>TPDMvolc</v>
      </c>
      <c r="JQ3" s="103" t="str">
        <f>IF(IX3="","",IX3)</f>
        <v>Dsvolcans</v>
      </c>
      <c r="JR3" s="201" t="s">
        <v>8</v>
      </c>
      <c r="JS3" s="202"/>
      <c r="JT3" s="104" t="str">
        <f>IF(JA3="","",JA3)</f>
        <v/>
      </c>
      <c r="JU3" s="102" t="str">
        <f>IF(JB3="","",JB3)</f>
        <v/>
      </c>
      <c r="JV3" s="227" t="str">
        <f>IF(JC3="","",JC3)</f>
        <v/>
      </c>
      <c r="JW3" s="103" t="str">
        <f>IF(JD3="","",JD3)</f>
        <v/>
      </c>
      <c r="JX3" s="207" t="s">
        <v>9</v>
      </c>
      <c r="JY3" s="208"/>
      <c r="JZ3" s="209" t="s">
        <v>10</v>
      </c>
      <c r="KA3" s="210"/>
      <c r="KB3" s="101" t="str">
        <f>IF(JI3="","",JI3)</f>
        <v>TP</v>
      </c>
      <c r="KC3" s="102" t="str">
        <f>IF(JJ3="","",JJ3)</f>
        <v>DMséisme</v>
      </c>
      <c r="KD3" s="103" t="str">
        <f>IF(JK3="","",JK3)</f>
        <v>DS</v>
      </c>
      <c r="KE3" s="185" t="s">
        <v>7</v>
      </c>
      <c r="KF3" s="186"/>
      <c r="KG3" s="104" t="str">
        <f>IF(JN3="","",JN3)</f>
        <v>TPséismes</v>
      </c>
      <c r="KH3" s="102" t="str">
        <f>IF(JO3="","",JO3)</f>
        <v>Dsséismes</v>
      </c>
      <c r="KI3" s="227" t="str">
        <f>IF(JP3="","",JP3)</f>
        <v>TPDMvolc</v>
      </c>
      <c r="KJ3" s="103" t="str">
        <f>IF(JQ3="","",JQ3)</f>
        <v>Dsvolcans</v>
      </c>
      <c r="KK3" s="201" t="s">
        <v>8</v>
      </c>
      <c r="KL3" s="202"/>
      <c r="KM3" s="104" t="str">
        <f>IF(JT3="","",JT3)</f>
        <v/>
      </c>
      <c r="KN3" s="102" t="str">
        <f>IF(JU3="","",JU3)</f>
        <v/>
      </c>
      <c r="KO3" s="227" t="str">
        <f>IF(JV3="","",JV3)</f>
        <v/>
      </c>
      <c r="KP3" s="103" t="str">
        <f>IF(JW3="","",JW3)</f>
        <v/>
      </c>
      <c r="KQ3" s="207" t="s">
        <v>9</v>
      </c>
      <c r="KR3" s="208"/>
      <c r="KS3" s="209" t="s">
        <v>10</v>
      </c>
      <c r="KT3" s="210"/>
      <c r="KU3" s="101" t="str">
        <f>IF(KB3="","",KB3)</f>
        <v>TP</v>
      </c>
      <c r="KV3" s="102" t="str">
        <f>IF(KC3="","",KC3)</f>
        <v>DMséisme</v>
      </c>
      <c r="KW3" s="103" t="str">
        <f>IF(KD3="","",KD3)</f>
        <v>DS</v>
      </c>
      <c r="KX3" s="185" t="s">
        <v>7</v>
      </c>
      <c r="KY3" s="186"/>
      <c r="KZ3" s="104" t="str">
        <f>IF(KG3="","",KG3)</f>
        <v>TPséismes</v>
      </c>
      <c r="LA3" s="102" t="str">
        <f>IF(KH3="","",KH3)</f>
        <v>Dsséismes</v>
      </c>
      <c r="LB3" s="227" t="str">
        <f>IF(KI3="","",KI3)</f>
        <v>TPDMvolc</v>
      </c>
      <c r="LC3" s="103" t="str">
        <f>IF(KJ3="","",KJ3)</f>
        <v>Dsvolcans</v>
      </c>
      <c r="LD3" s="201" t="s">
        <v>8</v>
      </c>
      <c r="LE3" s="202"/>
      <c r="LF3" s="104" t="str">
        <f>IF(KM3="","",KM3)</f>
        <v/>
      </c>
      <c r="LG3" s="102" t="str">
        <f>IF(KN3="","",KN3)</f>
        <v/>
      </c>
      <c r="LH3" s="227" t="str">
        <f>IF(KO3="","",KO3)</f>
        <v/>
      </c>
      <c r="LI3" s="103" t="str">
        <f>IF(KP3="","",KP3)</f>
        <v/>
      </c>
      <c r="LJ3" s="207" t="s">
        <v>9</v>
      </c>
      <c r="LK3" s="208"/>
      <c r="LL3" s="209" t="s">
        <v>10</v>
      </c>
      <c r="LM3" s="210"/>
      <c r="LN3" s="101" t="str">
        <f>IF(KU3="","",KU3)</f>
        <v>TP</v>
      </c>
      <c r="LO3" s="102" t="str">
        <f>IF(KV3="","",KV3)</f>
        <v>DMséisme</v>
      </c>
      <c r="LP3" s="103" t="str">
        <f>IF(KW3="","",KW3)</f>
        <v>DS</v>
      </c>
      <c r="LQ3" s="185" t="s">
        <v>7</v>
      </c>
      <c r="LR3" s="186"/>
      <c r="LS3" s="104" t="str">
        <f>IF(KZ3="","",KZ3)</f>
        <v>TPséismes</v>
      </c>
      <c r="LT3" s="102" t="str">
        <f>IF(LA3="","",LA3)</f>
        <v>Dsséismes</v>
      </c>
      <c r="LU3" s="227" t="str">
        <f>IF(LB3="","",LB3)</f>
        <v>TPDMvolc</v>
      </c>
      <c r="LV3" s="103" t="str">
        <f>IF(LC3="","",LC3)</f>
        <v>Dsvolcans</v>
      </c>
      <c r="LW3" s="201" t="s">
        <v>8</v>
      </c>
      <c r="LX3" s="202"/>
      <c r="LY3" s="104" t="str">
        <f>IF(LF3="","",LF3)</f>
        <v/>
      </c>
      <c r="LZ3" s="102" t="str">
        <f>IF(LG3="","",LG3)</f>
        <v/>
      </c>
      <c r="MA3" s="227" t="str">
        <f>IF(LH3="","",LH3)</f>
        <v/>
      </c>
      <c r="MB3" s="103" t="str">
        <f>IF(LI3="","",LI3)</f>
        <v/>
      </c>
      <c r="MC3" s="207" t="s">
        <v>9</v>
      </c>
      <c r="MD3" s="208"/>
      <c r="ME3" s="209" t="s">
        <v>10</v>
      </c>
      <c r="MF3" s="210"/>
      <c r="MG3" s="101" t="str">
        <f>IF(LN3="","",LN3)</f>
        <v>TP</v>
      </c>
      <c r="MH3" s="102" t="str">
        <f>IF(LO3="","",LO3)</f>
        <v>DMséisme</v>
      </c>
      <c r="MI3" s="103" t="str">
        <f>IF(LP3="","",LP3)</f>
        <v>DS</v>
      </c>
      <c r="MJ3" s="185" t="s">
        <v>7</v>
      </c>
      <c r="MK3" s="186"/>
      <c r="ML3" s="104" t="str">
        <f>IF(LS3="","",LS3)</f>
        <v>TPséismes</v>
      </c>
      <c r="MM3" s="102" t="str">
        <f>IF(LT3="","",LT3)</f>
        <v>Dsséismes</v>
      </c>
      <c r="MN3" s="227" t="str">
        <f>IF(LU3="","",LU3)</f>
        <v>TPDMvolc</v>
      </c>
      <c r="MO3" s="103" t="str">
        <f>IF(LV3="","",LV3)</f>
        <v>Dsvolcans</v>
      </c>
      <c r="MP3" s="201" t="s">
        <v>8</v>
      </c>
      <c r="MQ3" s="202"/>
      <c r="MR3" s="104" t="str">
        <f>IF(LY3="","",LY3)</f>
        <v/>
      </c>
      <c r="MS3" s="102" t="str">
        <f>IF(LZ3="","",LZ3)</f>
        <v/>
      </c>
      <c r="MT3" s="227" t="str">
        <f>IF(MA3="","",MA3)</f>
        <v/>
      </c>
      <c r="MU3" s="103" t="str">
        <f>IF(MB3="","",MB3)</f>
        <v/>
      </c>
      <c r="MV3" s="207" t="s">
        <v>9</v>
      </c>
      <c r="MW3" s="208"/>
      <c r="MX3" s="209" t="s">
        <v>10</v>
      </c>
      <c r="MY3" s="210"/>
      <c r="MZ3" s="101" t="str">
        <f>IF(MG3="","",MG3)</f>
        <v>TP</v>
      </c>
      <c r="NA3" s="102" t="str">
        <f>IF(MH3="","",MH3)</f>
        <v>DMséisme</v>
      </c>
      <c r="NB3" s="103" t="str">
        <f>IF(MI3="","",MI3)</f>
        <v>DS</v>
      </c>
      <c r="NC3" s="185" t="s">
        <v>7</v>
      </c>
      <c r="ND3" s="186"/>
      <c r="NE3" s="104" t="str">
        <f>IF(ML3="","",ML3)</f>
        <v>TPséismes</v>
      </c>
      <c r="NF3" s="102" t="str">
        <f>IF(MM3="","",MM3)</f>
        <v>Dsséismes</v>
      </c>
      <c r="NG3" s="227" t="str">
        <f>IF(MN3="","",MN3)</f>
        <v>TPDMvolc</v>
      </c>
      <c r="NH3" s="103" t="str">
        <f>IF(MO3="","",MO3)</f>
        <v>Dsvolcans</v>
      </c>
      <c r="NI3" s="201" t="s">
        <v>8</v>
      </c>
      <c r="NJ3" s="202"/>
      <c r="NK3" s="104" t="str">
        <f>IF(MR3="","",MR3)</f>
        <v/>
      </c>
      <c r="NL3" s="102" t="str">
        <f>IF(MS3="","",MS3)</f>
        <v/>
      </c>
      <c r="NM3" s="227" t="str">
        <f>IF(MT3="","",MT3)</f>
        <v/>
      </c>
      <c r="NN3" s="103" t="str">
        <f>IF(MU3="","",MU3)</f>
        <v/>
      </c>
      <c r="NO3" s="207" t="s">
        <v>9</v>
      </c>
      <c r="NP3" s="208"/>
      <c r="NQ3" s="209" t="s">
        <v>10</v>
      </c>
      <c r="NR3" s="210"/>
      <c r="NS3" s="101" t="str">
        <f>IF(MZ3="","",MZ3)</f>
        <v>TP</v>
      </c>
      <c r="NT3" s="102" t="str">
        <f>IF(NA3="","",NA3)</f>
        <v>DMséisme</v>
      </c>
      <c r="NU3" s="103" t="str">
        <f>IF(NB3="","",NB3)</f>
        <v>DS</v>
      </c>
      <c r="NV3" s="185" t="s">
        <v>7</v>
      </c>
      <c r="NW3" s="186"/>
      <c r="NX3" s="104" t="str">
        <f>IF(NE3="","",NE3)</f>
        <v>TPséismes</v>
      </c>
      <c r="NY3" s="102" t="str">
        <f>IF(NF3="","",NF3)</f>
        <v>Dsséismes</v>
      </c>
      <c r="NZ3" s="227" t="str">
        <f>IF(NG3="","",NG3)</f>
        <v>TPDMvolc</v>
      </c>
      <c r="OA3" s="103" t="str">
        <f>IF(NH3="","",NH3)</f>
        <v>Dsvolcans</v>
      </c>
      <c r="OB3" s="201" t="s">
        <v>8</v>
      </c>
      <c r="OC3" s="202"/>
      <c r="OD3" s="104" t="str">
        <f>IF(NK3="","",NK3)</f>
        <v/>
      </c>
      <c r="OE3" s="102" t="str">
        <f>IF(NL3="","",NL3)</f>
        <v/>
      </c>
      <c r="OF3" s="227" t="str">
        <f>IF(NM3="","",NM3)</f>
        <v/>
      </c>
      <c r="OG3" s="103" t="str">
        <f>IF(NN3="","",NN3)</f>
        <v/>
      </c>
      <c r="OH3" s="207" t="s">
        <v>9</v>
      </c>
      <c r="OI3" s="208"/>
      <c r="OJ3" s="209" t="s">
        <v>10</v>
      </c>
      <c r="OK3" s="210"/>
      <c r="OL3" s="101" t="str">
        <f>IF(NS3="","",NS3)</f>
        <v>TP</v>
      </c>
      <c r="OM3" s="102" t="str">
        <f>IF(NT3="","",NT3)</f>
        <v>DMséisme</v>
      </c>
      <c r="ON3" s="103" t="str">
        <f>IF(NU3="","",NU3)</f>
        <v>DS</v>
      </c>
      <c r="OO3" s="185" t="s">
        <v>7</v>
      </c>
      <c r="OP3" s="186"/>
      <c r="OQ3" s="104" t="str">
        <f>IF(NX3="","",NX3)</f>
        <v>TPséismes</v>
      </c>
      <c r="OR3" s="102" t="str">
        <f>IF(NY3="","",NY3)</f>
        <v>Dsséismes</v>
      </c>
      <c r="OS3" s="227" t="str">
        <f>IF(NZ3="","",NZ3)</f>
        <v>TPDMvolc</v>
      </c>
      <c r="OT3" s="103" t="str">
        <f>IF(OA3="","",OA3)</f>
        <v>Dsvolcans</v>
      </c>
      <c r="OU3" s="201" t="s">
        <v>8</v>
      </c>
      <c r="OV3" s="202"/>
      <c r="OW3" s="104" t="str">
        <f>IF(OD3="","",OD3)</f>
        <v/>
      </c>
      <c r="OX3" s="102" t="str">
        <f>IF(OE3="","",OE3)</f>
        <v/>
      </c>
      <c r="OY3" s="227" t="str">
        <f>IF(OF3="","",OF3)</f>
        <v/>
      </c>
      <c r="OZ3" s="103" t="str">
        <f>IF(OG3="","",OG3)</f>
        <v/>
      </c>
      <c r="PA3" s="207" t="s">
        <v>9</v>
      </c>
      <c r="PB3" s="208"/>
      <c r="PC3" s="209" t="s">
        <v>10</v>
      </c>
      <c r="PD3" s="210"/>
      <c r="PE3" s="101" t="str">
        <f>IF(OL3="","",OL3)</f>
        <v>TP</v>
      </c>
      <c r="PF3" s="102" t="str">
        <f>IF(OM3="","",OM3)</f>
        <v>DMséisme</v>
      </c>
      <c r="PG3" s="103" t="str">
        <f>IF(ON3="","",ON3)</f>
        <v>DS</v>
      </c>
      <c r="PH3" s="185" t="s">
        <v>7</v>
      </c>
      <c r="PI3" s="186"/>
      <c r="PJ3" s="104" t="str">
        <f>IF(OQ3="","",OQ3)</f>
        <v>TPséismes</v>
      </c>
      <c r="PK3" s="102" t="str">
        <f>IF(OR3="","",OR3)</f>
        <v>Dsséismes</v>
      </c>
      <c r="PL3" s="227" t="str">
        <f>IF(OS3="","",OS3)</f>
        <v>TPDMvolc</v>
      </c>
      <c r="PM3" s="103" t="str">
        <f>IF(OT3="","",OT3)</f>
        <v>Dsvolcans</v>
      </c>
      <c r="PN3" s="201" t="s">
        <v>8</v>
      </c>
      <c r="PO3" s="202"/>
      <c r="PP3" s="104" t="str">
        <f>IF(OW3="","",OW3)</f>
        <v/>
      </c>
      <c r="PQ3" s="102" t="str">
        <f>IF(OX3="","",OX3)</f>
        <v/>
      </c>
      <c r="PR3" s="227" t="str">
        <f>IF(OY3="","",OY3)</f>
        <v/>
      </c>
      <c r="PS3" s="103" t="str">
        <f>IF(OZ3="","",OZ3)</f>
        <v/>
      </c>
      <c r="PT3" s="207" t="s">
        <v>9</v>
      </c>
      <c r="PU3" s="208"/>
      <c r="PV3" s="209" t="s">
        <v>10</v>
      </c>
      <c r="PW3" s="210"/>
      <c r="PX3" s="101" t="str">
        <f>IF(PE3="","",PE3)</f>
        <v>TP</v>
      </c>
      <c r="PY3" s="102" t="str">
        <f>IF(PF3="","",PF3)</f>
        <v>DMséisme</v>
      </c>
      <c r="PZ3" s="103" t="str">
        <f>IF(PG3="","",PG3)</f>
        <v>DS</v>
      </c>
      <c r="QA3" s="185" t="s">
        <v>7</v>
      </c>
      <c r="QB3" s="186"/>
      <c r="QC3" s="104" t="str">
        <f>IF(PJ3="","",PJ3)</f>
        <v>TPséismes</v>
      </c>
      <c r="QD3" s="102" t="str">
        <f>IF(PK3="","",PK3)</f>
        <v>Dsséismes</v>
      </c>
      <c r="QE3" s="227" t="str">
        <f>IF(PL3="","",PL3)</f>
        <v>TPDMvolc</v>
      </c>
      <c r="QF3" s="103" t="str">
        <f>IF(PM3="","",PM3)</f>
        <v>Dsvolcans</v>
      </c>
      <c r="QG3" s="201" t="s">
        <v>8</v>
      </c>
      <c r="QH3" s="202"/>
      <c r="QI3" s="104" t="str">
        <f>IF(PP3="","",PP3)</f>
        <v/>
      </c>
      <c r="QJ3" s="102" t="str">
        <f>IF(PQ3="","",PQ3)</f>
        <v/>
      </c>
      <c r="QK3" s="227" t="str">
        <f>IF(PR3="","",PR3)</f>
        <v/>
      </c>
      <c r="QL3" s="103" t="str">
        <f>IF(PS3="","",PS3)</f>
        <v/>
      </c>
      <c r="QM3" s="207" t="s">
        <v>9</v>
      </c>
      <c r="QN3" s="208"/>
      <c r="QO3" s="209" t="s">
        <v>10</v>
      </c>
      <c r="QP3" s="210"/>
      <c r="QQ3" s="101" t="str">
        <f>IF(PX3="","",PX3)</f>
        <v>TP</v>
      </c>
      <c r="QR3" s="102" t="str">
        <f>IF(PY3="","",PY3)</f>
        <v>DMséisme</v>
      </c>
      <c r="QS3" s="103" t="str">
        <f>IF(PZ3="","",PZ3)</f>
        <v>DS</v>
      </c>
      <c r="QT3" s="185" t="s">
        <v>7</v>
      </c>
      <c r="QU3" s="186"/>
      <c r="QV3" s="104" t="str">
        <f>IF(QC3="","",QC3)</f>
        <v>TPséismes</v>
      </c>
      <c r="QW3" s="102" t="str">
        <f>IF(QD3="","",QD3)</f>
        <v>Dsséismes</v>
      </c>
      <c r="QX3" s="227" t="str">
        <f>IF(QE3="","",QE3)</f>
        <v>TPDMvolc</v>
      </c>
      <c r="QY3" s="103" t="str">
        <f>IF(QF3="","",QF3)</f>
        <v>Dsvolcans</v>
      </c>
      <c r="QZ3" s="201" t="s">
        <v>8</v>
      </c>
      <c r="RA3" s="202"/>
      <c r="RB3" s="104" t="str">
        <f>IF(QI3="","",QI3)</f>
        <v/>
      </c>
      <c r="RC3" s="102" t="str">
        <f>IF(QJ3="","",QJ3)</f>
        <v/>
      </c>
      <c r="RD3" s="227" t="str">
        <f>IF(QK3="","",QK3)</f>
        <v/>
      </c>
      <c r="RE3" s="103" t="str">
        <f>IF(QL3="","",QL3)</f>
        <v/>
      </c>
      <c r="RF3" s="207" t="s">
        <v>9</v>
      </c>
      <c r="RG3" s="208"/>
      <c r="RH3" s="209" t="s">
        <v>10</v>
      </c>
      <c r="RI3" s="210"/>
      <c r="RJ3" s="101" t="str">
        <f>IF(QQ3="","",QQ3)</f>
        <v>TP</v>
      </c>
      <c r="RK3" s="102" t="str">
        <f>IF(QR3="","",QR3)</f>
        <v>DMséisme</v>
      </c>
      <c r="RL3" s="103" t="str">
        <f>IF(QS3="","",QS3)</f>
        <v>DS</v>
      </c>
      <c r="RM3" s="185" t="s">
        <v>7</v>
      </c>
      <c r="RN3" s="186"/>
      <c r="RO3" s="104" t="str">
        <f>IF(QV3="","",QV3)</f>
        <v>TPséismes</v>
      </c>
      <c r="RP3" s="102" t="str">
        <f>IF(QW3="","",QW3)</f>
        <v>Dsséismes</v>
      </c>
      <c r="RQ3" s="227" t="str">
        <f>IF(QX3="","",QX3)</f>
        <v>TPDMvolc</v>
      </c>
      <c r="RR3" s="103" t="str">
        <f>IF(QY3="","",QY3)</f>
        <v>Dsvolcans</v>
      </c>
      <c r="RS3" s="201" t="s">
        <v>8</v>
      </c>
      <c r="RT3" s="202"/>
      <c r="RU3" s="104" t="str">
        <f>IF(RB3="","",RB3)</f>
        <v/>
      </c>
      <c r="RV3" s="102" t="str">
        <f>IF(RC3="","",RC3)</f>
        <v/>
      </c>
      <c r="RW3" s="227" t="str">
        <f>IF(RD3="","",RD3)</f>
        <v/>
      </c>
      <c r="RX3" s="103" t="str">
        <f>IF(RE3="","",RE3)</f>
        <v/>
      </c>
      <c r="RY3" s="207" t="s">
        <v>9</v>
      </c>
      <c r="RZ3" s="208"/>
      <c r="SA3" s="209" t="s">
        <v>10</v>
      </c>
      <c r="SB3" s="210"/>
      <c r="SC3" s="101" t="str">
        <f>IF(RJ3="","",RJ3)</f>
        <v>TP</v>
      </c>
      <c r="SD3" s="102" t="str">
        <f>IF(RK3="","",RK3)</f>
        <v>DMséisme</v>
      </c>
      <c r="SE3" s="103" t="str">
        <f>IF(RL3="","",RL3)</f>
        <v>DS</v>
      </c>
      <c r="SF3" s="90" t="s">
        <v>7</v>
      </c>
      <c r="SG3" s="91"/>
      <c r="SH3" s="104" t="str">
        <f>IF(RO3="","",RO3)</f>
        <v>TPséismes</v>
      </c>
      <c r="SI3" s="102" t="str">
        <f>IF(RP3="","",RP3)</f>
        <v>Dsséismes</v>
      </c>
      <c r="SJ3" s="103" t="str">
        <f>IF(RR3="","",RR3)</f>
        <v>Dsvolcans</v>
      </c>
      <c r="SK3" s="94" t="s">
        <v>8</v>
      </c>
      <c r="SL3" s="95"/>
      <c r="SM3" s="104" t="str">
        <f>IF(RU3="","",RU3)</f>
        <v/>
      </c>
      <c r="SN3" s="102" t="str">
        <f>IF(RV3="","",RV3)</f>
        <v/>
      </c>
      <c r="SO3" s="103" t="str">
        <f>IF(RX3="","",RX3)</f>
        <v/>
      </c>
      <c r="SP3" s="97" t="s">
        <v>9</v>
      </c>
      <c r="SQ3" s="98"/>
      <c r="SR3" s="99" t="s">
        <v>10</v>
      </c>
      <c r="SS3" s="100"/>
      <c r="ST3" s="101" t="str">
        <f>IF(SC3="","",SC3)</f>
        <v>TP</v>
      </c>
      <c r="SU3" s="102" t="str">
        <f>IF(SD3="","",SD3)</f>
        <v>DMséisme</v>
      </c>
      <c r="SV3" s="103" t="str">
        <f>IF(SE3="","",SE3)</f>
        <v>DS</v>
      </c>
      <c r="SW3" s="90" t="s">
        <v>7</v>
      </c>
      <c r="SX3" s="91"/>
      <c r="SY3" s="104" t="str">
        <f>IF(SH3="","",SH3)</f>
        <v>TPséismes</v>
      </c>
      <c r="SZ3" s="102" t="str">
        <f>IF(SI3="","",SI3)</f>
        <v>Dsséismes</v>
      </c>
      <c r="TA3" s="103" t="str">
        <f>IF(SJ3="","",SJ3)</f>
        <v>Dsvolcans</v>
      </c>
      <c r="TB3" s="94" t="s">
        <v>8</v>
      </c>
      <c r="TC3" s="95"/>
      <c r="TD3" s="104" t="str">
        <f>IF(SM3="","",SM3)</f>
        <v/>
      </c>
      <c r="TE3" s="102" t="str">
        <f>IF(SN3="","",SN3)</f>
        <v/>
      </c>
      <c r="TF3" s="103" t="str">
        <f>IF(SO3="","",SO3)</f>
        <v/>
      </c>
      <c r="TG3" s="97" t="s">
        <v>9</v>
      </c>
      <c r="TH3" s="98"/>
      <c r="TI3" s="99" t="s">
        <v>10</v>
      </c>
      <c r="TJ3" s="100"/>
      <c r="TK3" s="101" t="str">
        <f>IF(ST3="","",ST3)</f>
        <v>TP</v>
      </c>
      <c r="TL3" s="102" t="str">
        <f>IF(SU3="","",SU3)</f>
        <v>DMséisme</v>
      </c>
      <c r="TM3" s="103" t="str">
        <f>IF(SV3="","",SV3)</f>
        <v>DS</v>
      </c>
      <c r="TN3" s="90" t="s">
        <v>7</v>
      </c>
      <c r="TO3" s="91"/>
      <c r="TP3" s="104" t="str">
        <f>IF(SY3="","",SY3)</f>
        <v>TPséismes</v>
      </c>
      <c r="TQ3" s="102" t="str">
        <f>IF(SZ3="","",SZ3)</f>
        <v>Dsséismes</v>
      </c>
      <c r="TR3" s="103" t="str">
        <f>IF(TA3="","",TA3)</f>
        <v>Dsvolcans</v>
      </c>
      <c r="TS3" s="94" t="s">
        <v>8</v>
      </c>
      <c r="TT3" s="95"/>
      <c r="TU3" s="104" t="str">
        <f>IF(TD3="","",TD3)</f>
        <v/>
      </c>
      <c r="TV3" s="102" t="str">
        <f>IF(TE3="","",TE3)</f>
        <v/>
      </c>
      <c r="TW3" s="103" t="str">
        <f>IF(TF3="","",TF3)</f>
        <v/>
      </c>
      <c r="TX3" s="97" t="s">
        <v>9</v>
      </c>
      <c r="TY3" s="98"/>
      <c r="TZ3" s="99" t="s">
        <v>10</v>
      </c>
      <c r="UA3" s="100"/>
      <c r="UB3" s="101" t="str">
        <f>IF(TK3="","",TK3)</f>
        <v>TP</v>
      </c>
      <c r="UC3" s="102" t="str">
        <f>IF(TL3="","",TL3)</f>
        <v>DMséisme</v>
      </c>
      <c r="UD3" s="103" t="str">
        <f>IF(TM3="","",TM3)</f>
        <v>DS</v>
      </c>
      <c r="UE3" s="90" t="s">
        <v>7</v>
      </c>
      <c r="UF3" s="91"/>
      <c r="UG3" s="104" t="str">
        <f>IF(TP3="","",TP3)</f>
        <v>TPséismes</v>
      </c>
      <c r="UH3" s="102" t="str">
        <f>IF(TQ3="","",TQ3)</f>
        <v>Dsséismes</v>
      </c>
      <c r="UI3" s="103" t="str">
        <f>IF(TR3="","",TR3)</f>
        <v>Dsvolcans</v>
      </c>
      <c r="UJ3" s="94" t="s">
        <v>8</v>
      </c>
      <c r="UK3" s="95"/>
      <c r="UL3" s="104" t="str">
        <f>IF(TU3="","",TU3)</f>
        <v/>
      </c>
      <c r="UM3" s="102" t="str">
        <f>IF(TV3="","",TV3)</f>
        <v/>
      </c>
      <c r="UN3" s="103" t="str">
        <f>IF(TW3="","",TW3)</f>
        <v/>
      </c>
      <c r="UO3" s="97" t="s">
        <v>9</v>
      </c>
      <c r="UP3" s="98"/>
      <c r="UQ3" s="99" t="s">
        <v>10</v>
      </c>
      <c r="UR3" s="100"/>
    </row>
    <row r="4" spans="1:564" s="117" customFormat="1" ht="30" customHeight="1" thickBot="1" x14ac:dyDescent="0.3">
      <c r="A4" s="173" t="s">
        <v>11</v>
      </c>
      <c r="B4" s="105">
        <v>2</v>
      </c>
      <c r="C4" s="230"/>
      <c r="D4" s="85"/>
      <c r="E4" s="107"/>
      <c r="F4" s="187">
        <f>IF(COUNT(F5:F9)=0,"",SUM(F5:F9)/COUNT(F5:F9))</f>
        <v>2.0555555555555558</v>
      </c>
      <c r="G4" s="188" t="str">
        <f t="shared" ref="G4:G21" si="0">IF(F4="","",IF(F4&gt;3.7,"A",IF(F4&gt;2.8,"B",IF(F4&gt;1.5,"C",IF(F4&gt;0,"D",IF(F4=0,""))))))</f>
        <v>C</v>
      </c>
      <c r="H4" s="230"/>
      <c r="I4" s="85"/>
      <c r="J4" s="85"/>
      <c r="K4" s="107"/>
      <c r="L4" s="187">
        <f>IF(COUNT(L5:L9)=0,"",SUM(L5:L9)/COUNT(L5:L9))</f>
        <v>2.6666666666666665</v>
      </c>
      <c r="M4" s="203" t="str">
        <f t="shared" ref="M4:M21" si="1">IF(L4="","",IF(L4&gt;3.7,"A",IF(L4&gt;2.8,"B",IF(L4&gt;1.5,"C",IF(L4&gt;0,"D",IF(L4=0,""))))))</f>
        <v>C</v>
      </c>
      <c r="N4" s="181"/>
      <c r="O4" s="112"/>
      <c r="P4" s="112"/>
      <c r="Q4" s="113"/>
      <c r="R4" s="187" t="str">
        <f>IF(COUNT(R5:R9)=0,"",SUM(R5:R9)/COUNT(R5:R9))</f>
        <v/>
      </c>
      <c r="S4" s="211" t="str">
        <f t="shared" ref="S4:S21" si="2">IF(R4="","",IF(R4&gt;3.7,"A",IF(R4&gt;2.8,"B",IF(R4&gt;1.5,"C",IF(R4&gt;0,"D",IF(R4=0,""))))))</f>
        <v/>
      </c>
      <c r="T4" s="212">
        <f>IF(COUNT(T5:T9)=0,"",SUM(T5:T9)/COUNT(T5:T9))</f>
        <v>2.3611111111111112</v>
      </c>
      <c r="U4" s="213" t="str">
        <f t="shared" ref="U4:U21" si="3">IF(T4="","",IF(T4&gt;3.7,"A",IF(T4&gt;2.8,"B",IF(T4&gt;1.5,"C",IF(T4&gt;0,"D",IF(T4=0,""))))))</f>
        <v>C</v>
      </c>
      <c r="V4" s="230"/>
      <c r="W4" s="85"/>
      <c r="X4" s="107"/>
      <c r="Y4" s="187">
        <f>IF(COUNT(Y5:Y9)=0,"",SUM(Y5:Y9)/COUNT(Y5:Y9))</f>
        <v>2.2777777777777781</v>
      </c>
      <c r="Z4" s="188" t="str">
        <f t="shared" ref="Z4:Z21" si="4">IF(Y4="","",IF(Y4&gt;3.7,"A",IF(Y4&gt;2.8,"B",IF(Y4&gt;1.5,"C",IF(Y4&gt;0,"D",IF(Y4=0,""))))))</f>
        <v>C</v>
      </c>
      <c r="AA4" s="230"/>
      <c r="AB4" s="85"/>
      <c r="AC4" s="85"/>
      <c r="AD4" s="107"/>
      <c r="AE4" s="187">
        <f>IF(COUNT(AE5:AE9)=0,"",SUM(AE5:AE9)/COUNT(AE5:AE9))</f>
        <v>2.8611111111111112</v>
      </c>
      <c r="AF4" s="203" t="str">
        <f t="shared" ref="AF4:AF21" si="5">IF(AE4="","",IF(AE4&gt;3.7,"A",IF(AE4&gt;2.8,"B",IF(AE4&gt;1.5,"C",IF(AE4&gt;0,"D",IF(AE4=0,""))))))</f>
        <v>B</v>
      </c>
      <c r="AG4" s="181"/>
      <c r="AH4" s="112"/>
      <c r="AI4" s="112"/>
      <c r="AJ4" s="113"/>
      <c r="AK4" s="187" t="str">
        <f>IF(COUNT(AK5:AK9)=0,"",SUM(AK5:AK9)/COUNT(AK5:AK9))</f>
        <v/>
      </c>
      <c r="AL4" s="211" t="str">
        <f t="shared" ref="AL4:AL21" si="6">IF(AK4="","",IF(AK4&gt;3.7,"A",IF(AK4&gt;2.8,"B",IF(AK4&gt;1.5,"C",IF(AK4&gt;0,"D",IF(AK4=0,""))))))</f>
        <v/>
      </c>
      <c r="AM4" s="212">
        <f>IF(COUNT(AM5:AM9)=0,"",SUM(AM5:AM9)/COUNT(AM5:AM9))</f>
        <v>2.5694444444444442</v>
      </c>
      <c r="AN4" s="213" t="str">
        <f t="shared" ref="AN4:AN21" si="7">IF(AM4="","",IF(AM4&gt;3.7,"A",IF(AM4&gt;2.8,"B",IF(AM4&gt;1.5,"C",IF(AM4&gt;0,"D",IF(AM4=0,""))))))</f>
        <v>C</v>
      </c>
      <c r="AO4" s="230"/>
      <c r="AP4" s="85"/>
      <c r="AQ4" s="107"/>
      <c r="AR4" s="187">
        <f>IF(COUNT(AR5:AR9)=0,"",SUM(AR5:AR9)/COUNT(AR5:AR9))</f>
        <v>2.7222222222222228</v>
      </c>
      <c r="AS4" s="188" t="str">
        <f t="shared" ref="AS4:AS21" si="8">IF(AR4="","",IF(AR4&gt;3.7,"A",IF(AR4&gt;2.8,"B",IF(AR4&gt;1.5,"C",IF(AR4&gt;0,"D",IF(AR4=0,""))))))</f>
        <v>C</v>
      </c>
      <c r="AT4" s="230"/>
      <c r="AU4" s="85"/>
      <c r="AV4" s="85"/>
      <c r="AW4" s="107"/>
      <c r="AX4" s="187">
        <f>IF(COUNT(AX5:AX9)=0,"",SUM(AX5:AX9)/COUNT(AX5:AX9))</f>
        <v>2.4722222222222219</v>
      </c>
      <c r="AY4" s="203" t="str">
        <f t="shared" ref="AY4:AY21" si="9">IF(AX4="","",IF(AX4&gt;3.7,"A",IF(AX4&gt;2.8,"B",IF(AX4&gt;1.5,"C",IF(AX4&gt;0,"D",IF(AX4=0,""))))))</f>
        <v>C</v>
      </c>
      <c r="AZ4" s="181"/>
      <c r="BA4" s="112"/>
      <c r="BB4" s="112"/>
      <c r="BC4" s="113"/>
      <c r="BD4" s="187" t="str">
        <f>IF(COUNT(BD5:BD9)=0,"",SUM(BD5:BD9)/COUNT(BD5:BD9))</f>
        <v/>
      </c>
      <c r="BE4" s="211" t="str">
        <f t="shared" ref="BE4:BE21" si="10">IF(BD4="","",IF(BD4&gt;3.7,"A",IF(BD4&gt;2.8,"B",IF(BD4&gt;1.5,"C",IF(BD4&gt;0,"D",IF(BD4=0,""))))))</f>
        <v/>
      </c>
      <c r="BF4" s="212">
        <f>IF(COUNT(BF5:BF9)=0,"",SUM(BF5:BF9)/COUNT(BF5:BF9))</f>
        <v>2.5972222222222223</v>
      </c>
      <c r="BG4" s="213" t="str">
        <f t="shared" ref="BG4:BG21" si="11">IF(BF4="","",IF(BF4&gt;3.7,"A",IF(BF4&gt;2.8,"B",IF(BF4&gt;1.5,"C",IF(BF4&gt;0,"D",IF(BF4=0,""))))))</f>
        <v>C</v>
      </c>
      <c r="BH4" s="230"/>
      <c r="BI4" s="85"/>
      <c r="BJ4" s="107"/>
      <c r="BK4" s="187">
        <f>IF(COUNT(BK5:BK9)=0,"",SUM(BK5:BK9)/COUNT(BK5:BK9))</f>
        <v>2.5</v>
      </c>
      <c r="BL4" s="188" t="str">
        <f t="shared" ref="BL4:BL21" si="12">IF(BK4="","",IF(BK4&gt;3.7,"A",IF(BK4&gt;2.8,"B",IF(BK4&gt;1.5,"C",IF(BK4&gt;0,"D",IF(BK4=0,""))))))</f>
        <v>C</v>
      </c>
      <c r="BM4" s="230"/>
      <c r="BN4" s="85"/>
      <c r="BO4" s="85"/>
      <c r="BP4" s="107"/>
      <c r="BQ4" s="187">
        <f>IF(COUNT(BQ5:BQ9)=0,"",SUM(BQ5:BQ9)/COUNT(BQ5:BQ9))</f>
        <v>2.1944444444444446</v>
      </c>
      <c r="BR4" s="203" t="str">
        <f t="shared" ref="BR4:BR21" si="13">IF(BQ4="","",IF(BQ4&gt;3.7,"A",IF(BQ4&gt;2.8,"B",IF(BQ4&gt;1.5,"C",IF(BQ4&gt;0,"D",IF(BQ4=0,""))))))</f>
        <v>C</v>
      </c>
      <c r="BS4" s="181"/>
      <c r="BT4" s="112"/>
      <c r="BU4" s="112"/>
      <c r="BV4" s="113"/>
      <c r="BW4" s="187" t="str">
        <f>IF(COUNT(BW5:BW9)=0,"",SUM(BW5:BW9)/COUNT(BW5:BW9))</f>
        <v/>
      </c>
      <c r="BX4" s="211" t="str">
        <f t="shared" ref="BX4:BX21" si="14">IF(BW4="","",IF(BW4&gt;3.7,"A",IF(BW4&gt;2.8,"B",IF(BW4&gt;1.5,"C",IF(BW4&gt;0,"D",IF(BW4=0,""))))))</f>
        <v/>
      </c>
      <c r="BY4" s="212">
        <f>IF(COUNT(BY5:BY9)=0,"",SUM(BY5:BY9)/COUNT(BY5:BY9))</f>
        <v>2.3472222222222223</v>
      </c>
      <c r="BZ4" s="213" t="str">
        <f t="shared" ref="BZ4:BZ21" si="15">IF(BY4="","",IF(BY4&gt;3.7,"A",IF(BY4&gt;2.8,"B",IF(BY4&gt;1.5,"C",IF(BY4&gt;0,"D",IF(BY4=0,""))))))</f>
        <v>C</v>
      </c>
      <c r="CA4" s="230"/>
      <c r="CB4" s="85"/>
      <c r="CC4" s="107"/>
      <c r="CD4" s="187">
        <f>IF(COUNT(CD5:CD9)=0,"",SUM(CD5:CD9)/COUNT(CD5:CD9))</f>
        <v>2.2777777777777781</v>
      </c>
      <c r="CE4" s="188" t="str">
        <f t="shared" ref="CE4:CE21" si="16">IF(CD4="","",IF(CD4&gt;3.7,"A",IF(CD4&gt;2.8,"B",IF(CD4&gt;1.5,"C",IF(CD4&gt;0,"D",IF(CD4=0,""))))))</f>
        <v>C</v>
      </c>
      <c r="CF4" s="230"/>
      <c r="CG4" s="85"/>
      <c r="CH4" s="85"/>
      <c r="CI4" s="107"/>
      <c r="CJ4" s="187">
        <f>IF(COUNT(CJ5:CJ9)=0,"",SUM(CJ5:CJ9)/COUNT(CJ5:CJ9))</f>
        <v>2.3333333333333335</v>
      </c>
      <c r="CK4" s="203" t="str">
        <f t="shared" ref="CK4:CK21" si="17">IF(CJ4="","",IF(CJ4&gt;3.7,"A",IF(CJ4&gt;2.8,"B",IF(CJ4&gt;1.5,"C",IF(CJ4&gt;0,"D",IF(CJ4=0,""))))))</f>
        <v>C</v>
      </c>
      <c r="CL4" s="181"/>
      <c r="CM4" s="112"/>
      <c r="CN4" s="112"/>
      <c r="CO4" s="113"/>
      <c r="CP4" s="187" t="str">
        <f>IF(COUNT(CP5:CP9)=0,"",SUM(CP5:CP9)/COUNT(CP5:CP9))</f>
        <v/>
      </c>
      <c r="CQ4" s="211" t="str">
        <f t="shared" ref="CQ4:CQ21" si="18">IF(CP4="","",IF(CP4&gt;3.7,"A",IF(CP4&gt;2.8,"B",IF(CP4&gt;1.5,"C",IF(CP4&gt;0,"D",IF(CP4=0,""))))))</f>
        <v/>
      </c>
      <c r="CR4" s="212">
        <f>IF(COUNT(CR5:CR9)=0,"",SUM(CR5:CR9)/COUNT(CR5:CR9))</f>
        <v>2.3055555555555558</v>
      </c>
      <c r="CS4" s="213" t="str">
        <f t="shared" ref="CS4:CS21" si="19">IF(CR4="","",IF(CR4&gt;3.7,"A",IF(CR4&gt;2.8,"B",IF(CR4&gt;1.5,"C",IF(CR4&gt;0,"D",IF(CR4=0,""))))))</f>
        <v>C</v>
      </c>
      <c r="CT4" s="230"/>
      <c r="CU4" s="85"/>
      <c r="CV4" s="107"/>
      <c r="CW4" s="187">
        <f>IF(COUNT(CW5:CW9)=0,"",SUM(CW5:CW9)/COUNT(CW5:CW9))</f>
        <v>2.7222222222222228</v>
      </c>
      <c r="CX4" s="188" t="str">
        <f t="shared" ref="CX4:CX21" si="20">IF(CW4="","",IF(CW4&gt;3.7,"A",IF(CW4&gt;2.8,"B",IF(CW4&gt;1.5,"C",IF(CW4&gt;0,"D",IF(CW4=0,""))))))</f>
        <v>C</v>
      </c>
      <c r="CY4" s="230"/>
      <c r="CZ4" s="85"/>
      <c r="DA4" s="85"/>
      <c r="DB4" s="107"/>
      <c r="DC4" s="187">
        <f>IF(COUNT(DC5:DC9)=0,"",SUM(DC5:DC9)/COUNT(DC5:DC9))</f>
        <v>3.0277777777777781</v>
      </c>
      <c r="DD4" s="203" t="str">
        <f t="shared" ref="DD4:DD21" si="21">IF(DC4="","",IF(DC4&gt;3.7,"A",IF(DC4&gt;2.8,"B",IF(DC4&gt;1.5,"C",IF(DC4&gt;0,"D",IF(DC4=0,""))))))</f>
        <v>B</v>
      </c>
      <c r="DE4" s="181"/>
      <c r="DF4" s="112"/>
      <c r="DG4" s="112"/>
      <c r="DH4" s="113"/>
      <c r="DI4" s="187" t="str">
        <f>IF(COUNT(DI5:DI9)=0,"",SUM(DI5:DI9)/COUNT(DI5:DI9))</f>
        <v/>
      </c>
      <c r="DJ4" s="211" t="str">
        <f t="shared" ref="DJ4:DJ21" si="22">IF(DI4="","",IF(DI4&gt;3.7,"A",IF(DI4&gt;2.8,"B",IF(DI4&gt;1.5,"C",IF(DI4&gt;0,"D",IF(DI4=0,""))))))</f>
        <v/>
      </c>
      <c r="DK4" s="212">
        <f>IF(COUNT(DK5:DK9)=0,"",SUM(DK5:DK9)/COUNT(DK5:DK9))</f>
        <v>2.875</v>
      </c>
      <c r="DL4" s="213" t="str">
        <f t="shared" ref="DL4:DL21" si="23">IF(DK4="","",IF(DK4&gt;3.7,"A",IF(DK4&gt;2.8,"B",IF(DK4&gt;1.5,"C",IF(DK4&gt;0,"D",IF(DK4=0,""))))))</f>
        <v>B</v>
      </c>
      <c r="DM4" s="230"/>
      <c r="DN4" s="85"/>
      <c r="DO4" s="107"/>
      <c r="DP4" s="187">
        <f>IF(COUNT(DP5:DP9)=0,"",SUM(DP5:DP9)/COUNT(DP5:DP9))</f>
        <v>2.7222222222222219</v>
      </c>
      <c r="DQ4" s="188" t="str">
        <f t="shared" ref="DQ4:DQ21" si="24">IF(DP4="","",IF(DP4&gt;3.7,"A",IF(DP4&gt;2.8,"B",IF(DP4&gt;1.5,"C",IF(DP4&gt;0,"D",IF(DP4=0,""))))))</f>
        <v>C</v>
      </c>
      <c r="DR4" s="230"/>
      <c r="DS4" s="85"/>
      <c r="DT4" s="85"/>
      <c r="DU4" s="107"/>
      <c r="DV4" s="187">
        <f>IF(COUNT(DV5:DV9)=0,"",SUM(DV5:DV9)/COUNT(DV5:DV9))</f>
        <v>2.8611111111111112</v>
      </c>
      <c r="DW4" s="203" t="str">
        <f t="shared" ref="DW4:DW21" si="25">IF(DV4="","",IF(DV4&gt;3.7,"A",IF(DV4&gt;2.8,"B",IF(DV4&gt;1.5,"C",IF(DV4&gt;0,"D",IF(DV4=0,""))))))</f>
        <v>B</v>
      </c>
      <c r="DX4" s="181"/>
      <c r="DY4" s="112"/>
      <c r="DZ4" s="112"/>
      <c r="EA4" s="113"/>
      <c r="EB4" s="187" t="str">
        <f>IF(COUNT(EB5:EB9)=0,"",SUM(EB5:EB9)/COUNT(EB5:EB9))</f>
        <v/>
      </c>
      <c r="EC4" s="211" t="str">
        <f t="shared" ref="EC4:EC21" si="26">IF(EB4="","",IF(EB4&gt;3.7,"A",IF(EB4&gt;2.8,"B",IF(EB4&gt;1.5,"C",IF(EB4&gt;0,"D",IF(EB4=0,""))))))</f>
        <v/>
      </c>
      <c r="ED4" s="212">
        <f>IF(COUNT(ED5:ED9)=0,"",SUM(ED5:ED9)/COUNT(ED5:ED9))</f>
        <v>2.7916666666666665</v>
      </c>
      <c r="EE4" s="213" t="str">
        <f t="shared" ref="EE4:EE21" si="27">IF(ED4="","",IF(ED4&gt;3.7,"A",IF(ED4&gt;2.8,"B",IF(ED4&gt;1.5,"C",IF(ED4&gt;0,"D",IF(ED4=0,""))))))</f>
        <v>C</v>
      </c>
      <c r="EF4" s="230"/>
      <c r="EG4" s="85"/>
      <c r="EH4" s="107"/>
      <c r="EI4" s="187">
        <f>IF(COUNT(EI5:EI9)=0,"",SUM(EI5:EI9)/COUNT(EI5:EI9))</f>
        <v>3</v>
      </c>
      <c r="EJ4" s="188" t="str">
        <f t="shared" ref="EJ4:EJ21" si="28">IF(EI4="","",IF(EI4&gt;3.7,"A",IF(EI4&gt;2.8,"B",IF(EI4&gt;1.5,"C",IF(EI4&gt;0,"D",IF(EI4=0,""))))))</f>
        <v>B</v>
      </c>
      <c r="EK4" s="230"/>
      <c r="EL4" s="85"/>
      <c r="EM4" s="85"/>
      <c r="EN4" s="107"/>
      <c r="EO4" s="187">
        <f>IF(COUNT(EO5:EO9)=0,"",SUM(EO5:EO9)/COUNT(EO5:EO9))</f>
        <v>2.5555555555555554</v>
      </c>
      <c r="EP4" s="203" t="str">
        <f t="shared" ref="EP4:EP21" si="29">IF(EO4="","",IF(EO4&gt;3.7,"A",IF(EO4&gt;2.8,"B",IF(EO4&gt;1.5,"C",IF(EO4&gt;0,"D",IF(EO4=0,""))))))</f>
        <v>C</v>
      </c>
      <c r="EQ4" s="181"/>
      <c r="ER4" s="112"/>
      <c r="ES4" s="112"/>
      <c r="ET4" s="113"/>
      <c r="EU4" s="187" t="str">
        <f>IF(COUNT(EU5:EU9)=0,"",SUM(EU5:EU9)/COUNT(EU5:EU9))</f>
        <v/>
      </c>
      <c r="EV4" s="211" t="str">
        <f t="shared" ref="EV4:EV21" si="30">IF(EU4="","",IF(EU4&gt;3.7,"A",IF(EU4&gt;2.8,"B",IF(EU4&gt;1.5,"C",IF(EU4&gt;0,"D",IF(EU4=0,""))))))</f>
        <v/>
      </c>
      <c r="EW4" s="212">
        <f>IF(COUNT(EW5:EW9)=0,"",SUM(EW5:EW9)/COUNT(EW5:EW9))</f>
        <v>2.7777777777777772</v>
      </c>
      <c r="EX4" s="213" t="str">
        <f t="shared" ref="EX4:EX21" si="31">IF(EW4="","",IF(EW4&gt;3.7,"A",IF(EW4&gt;2.8,"B",IF(EW4&gt;1.5,"C",IF(EW4&gt;0,"D",IF(EW4=0,""))))))</f>
        <v>C</v>
      </c>
      <c r="EY4" s="230"/>
      <c r="EZ4" s="85"/>
      <c r="FA4" s="107"/>
      <c r="FB4" s="187">
        <f>IF(COUNT(FB5:FB9)=0,"",SUM(FB5:FB9)/COUNT(FB5:FB9))</f>
        <v>2.3888888888888888</v>
      </c>
      <c r="FC4" s="188" t="str">
        <f t="shared" ref="FC4:FC21" si="32">IF(FB4="","",IF(FB4&gt;3.7,"A",IF(FB4&gt;2.8,"B",IF(FB4&gt;1.5,"C",IF(FB4&gt;0,"D",IF(FB4=0,""))))))</f>
        <v>C</v>
      </c>
      <c r="FD4" s="230"/>
      <c r="FE4" s="85"/>
      <c r="FF4" s="85"/>
      <c r="FG4" s="107"/>
      <c r="FH4" s="187">
        <f>IF(COUNT(FH5:FH9)=0,"",SUM(FH5:FH9)/COUNT(FH5:FH9))</f>
        <v>2.1111111111111112</v>
      </c>
      <c r="FI4" s="203" t="str">
        <f t="shared" ref="FI4:FI21" si="33">IF(FH4="","",IF(FH4&gt;3.7,"A",IF(FH4&gt;2.8,"B",IF(FH4&gt;1.5,"C",IF(FH4&gt;0,"D",IF(FH4=0,""))))))</f>
        <v>C</v>
      </c>
      <c r="FJ4" s="181"/>
      <c r="FK4" s="112"/>
      <c r="FL4" s="112"/>
      <c r="FM4" s="113"/>
      <c r="FN4" s="187" t="str">
        <f>IF(COUNT(FN5:FN9)=0,"",SUM(FN5:FN9)/COUNT(FN5:FN9))</f>
        <v/>
      </c>
      <c r="FO4" s="211" t="str">
        <f t="shared" ref="FO4:FO21" si="34">IF(FN4="","",IF(FN4&gt;3.7,"A",IF(FN4&gt;2.8,"B",IF(FN4&gt;1.5,"C",IF(FN4&gt;0,"D",IF(FN4=0,""))))))</f>
        <v/>
      </c>
      <c r="FP4" s="212">
        <f>IF(COUNT(FP5:FP9)=0,"",SUM(FP5:FP9)/COUNT(FP5:FP9))</f>
        <v>2.25</v>
      </c>
      <c r="FQ4" s="213" t="str">
        <f t="shared" ref="FQ4:FQ21" si="35">IF(FP4="","",IF(FP4&gt;3.7,"A",IF(FP4&gt;2.8,"B",IF(FP4&gt;1.5,"C",IF(FP4&gt;0,"D",IF(FP4=0,""))))))</f>
        <v>C</v>
      </c>
      <c r="FR4" s="230"/>
      <c r="FS4" s="85"/>
      <c r="FT4" s="107"/>
      <c r="FU4" s="187">
        <f>IF(COUNT(FU5:FU9)=0,"",SUM(FU5:FU9)/COUNT(FU5:FU9))</f>
        <v>2.5555555555555554</v>
      </c>
      <c r="FV4" s="188" t="str">
        <f t="shared" ref="FV4:FV21" si="36">IF(FU4="","",IF(FU4&gt;3.7,"A",IF(FU4&gt;2.8,"B",IF(FU4&gt;1.5,"C",IF(FU4&gt;0,"D",IF(FU4=0,""))))))</f>
        <v>C</v>
      </c>
      <c r="FW4" s="230"/>
      <c r="FX4" s="85"/>
      <c r="FY4" s="85"/>
      <c r="FZ4" s="107"/>
      <c r="GA4" s="187">
        <f>IF(COUNT(GA5:GA9)=0,"",SUM(GA5:GA9)/COUNT(GA5:GA9))</f>
        <v>2.4722222222222219</v>
      </c>
      <c r="GB4" s="203" t="str">
        <f t="shared" ref="GB4:GB21" si="37">IF(GA4="","",IF(GA4&gt;3.7,"A",IF(GA4&gt;2.8,"B",IF(GA4&gt;1.5,"C",IF(GA4&gt;0,"D",IF(GA4=0,""))))))</f>
        <v>C</v>
      </c>
      <c r="GC4" s="181"/>
      <c r="GD4" s="112"/>
      <c r="GE4" s="112"/>
      <c r="GF4" s="113"/>
      <c r="GG4" s="187" t="str">
        <f>IF(COUNT(GG5:GG9)=0,"",SUM(GG5:GG9)/COUNT(GG5:GG9))</f>
        <v/>
      </c>
      <c r="GH4" s="211" t="str">
        <f t="shared" ref="GH4:GH21" si="38">IF(GG4="","",IF(GG4&gt;3.7,"A",IF(GG4&gt;2.8,"B",IF(GG4&gt;1.5,"C",IF(GG4&gt;0,"D",IF(GG4=0,""))))))</f>
        <v/>
      </c>
      <c r="GI4" s="212">
        <f>IF(COUNT(GI5:GI9)=0,"",SUM(GI5:GI9)/COUNT(GI5:GI9))</f>
        <v>2.5138888888888888</v>
      </c>
      <c r="GJ4" s="213" t="str">
        <f t="shared" ref="GJ4:GJ21" si="39">IF(GI4="","",IF(GI4&gt;3.7,"A",IF(GI4&gt;2.8,"B",IF(GI4&gt;1.5,"C",IF(GI4&gt;0,"D",IF(GI4=0,""))))))</f>
        <v>C</v>
      </c>
      <c r="GK4" s="230"/>
      <c r="GL4" s="85"/>
      <c r="GM4" s="107"/>
      <c r="GN4" s="187">
        <f>IF(COUNT(GN5:GN9)=0,"",SUM(GN5:GN9)/COUNT(GN5:GN9))</f>
        <v>3.5</v>
      </c>
      <c r="GO4" s="188" t="str">
        <f t="shared" ref="GO4:GO21" si="40">IF(GN4="","",IF(GN4&gt;3.7,"A",IF(GN4&gt;2.8,"B",IF(GN4&gt;1.5,"C",IF(GN4&gt;0,"D",IF(GN4=0,""))))))</f>
        <v>B</v>
      </c>
      <c r="GP4" s="230"/>
      <c r="GQ4" s="85"/>
      <c r="GR4" s="85"/>
      <c r="GS4" s="107"/>
      <c r="GT4" s="187">
        <f>IF(COUNT(GT5:GT9)=0,"",SUM(GT5:GT9)/COUNT(GT5:GT9))</f>
        <v>3.4444444444444446</v>
      </c>
      <c r="GU4" s="203" t="str">
        <f t="shared" ref="GU4:GU21" si="41">IF(GT4="","",IF(GT4&gt;3.7,"A",IF(GT4&gt;2.8,"B",IF(GT4&gt;1.5,"C",IF(GT4&gt;0,"D",IF(GT4=0,""))))))</f>
        <v>B</v>
      </c>
      <c r="GV4" s="181"/>
      <c r="GW4" s="112"/>
      <c r="GX4" s="112"/>
      <c r="GY4" s="113"/>
      <c r="GZ4" s="187" t="str">
        <f>IF(COUNT(GZ5:GZ9)=0,"",SUM(GZ5:GZ9)/COUNT(GZ5:GZ9))</f>
        <v/>
      </c>
      <c r="HA4" s="211" t="str">
        <f t="shared" ref="HA4:HA21" si="42">IF(GZ4="","",IF(GZ4&gt;3.7,"A",IF(GZ4&gt;2.8,"B",IF(GZ4&gt;1.5,"C",IF(GZ4&gt;0,"D",IF(GZ4=0,""))))))</f>
        <v/>
      </c>
      <c r="HB4" s="212">
        <f>IF(COUNT(HB5:HB9)=0,"",SUM(HB5:HB9)/COUNT(HB5:HB9))</f>
        <v>3.4722222222222228</v>
      </c>
      <c r="HC4" s="213" t="str">
        <f t="shared" ref="HC4:HC21" si="43">IF(HB4="","",IF(HB4&gt;3.7,"A",IF(HB4&gt;2.8,"B",IF(HB4&gt;1.5,"C",IF(HB4&gt;0,"D",IF(HB4=0,""))))))</f>
        <v>B</v>
      </c>
      <c r="HD4" s="230"/>
      <c r="HE4" s="85"/>
      <c r="HF4" s="107"/>
      <c r="HG4" s="187">
        <f>IF(COUNT(HG5:HG9)=0,"",SUM(HG5:HG9)/COUNT(HG5:HG9))</f>
        <v>2.5555555555555554</v>
      </c>
      <c r="HH4" s="188" t="str">
        <f t="shared" ref="HH4:HH21" si="44">IF(HG4="","",IF(HG4&gt;3.7,"A",IF(HG4&gt;2.8,"B",IF(HG4&gt;1.5,"C",IF(HG4&gt;0,"D",IF(HG4=0,""))))))</f>
        <v>C</v>
      </c>
      <c r="HI4" s="230"/>
      <c r="HJ4" s="85"/>
      <c r="HK4" s="85"/>
      <c r="HL4" s="107"/>
      <c r="HM4" s="187">
        <f>IF(COUNT(HM5:HM9)=0,"",SUM(HM5:HM9)/COUNT(HM5:HM9))</f>
        <v>2.4166666666666665</v>
      </c>
      <c r="HN4" s="203" t="str">
        <f t="shared" ref="HN4:HN21" si="45">IF(HM4="","",IF(HM4&gt;3.7,"A",IF(HM4&gt;2.8,"B",IF(HM4&gt;1.5,"C",IF(HM4&gt;0,"D",IF(HM4=0,""))))))</f>
        <v>C</v>
      </c>
      <c r="HO4" s="181"/>
      <c r="HP4" s="112"/>
      <c r="HQ4" s="112"/>
      <c r="HR4" s="113"/>
      <c r="HS4" s="187" t="str">
        <f>IF(COUNT(HS5:HS9)=0,"",SUM(HS5:HS9)/COUNT(HS5:HS9))</f>
        <v/>
      </c>
      <c r="HT4" s="211" t="str">
        <f t="shared" ref="HT4:HT21" si="46">IF(HS4="","",IF(HS4&gt;3.7,"A",IF(HS4&gt;2.8,"B",IF(HS4&gt;1.5,"C",IF(HS4&gt;0,"D",IF(HS4=0,""))))))</f>
        <v/>
      </c>
      <c r="HU4" s="212">
        <f>IF(COUNT(HU5:HU9)=0,"",SUM(HU5:HU9)/COUNT(HU5:HU9))</f>
        <v>2.4861111111111112</v>
      </c>
      <c r="HV4" s="213" t="str">
        <f t="shared" ref="HV4:HV21" si="47">IF(HU4="","",IF(HU4&gt;3.7,"A",IF(HU4&gt;2.8,"B",IF(HU4&gt;1.5,"C",IF(HU4&gt;0,"D",IF(HU4=0,""))))))</f>
        <v>C</v>
      </c>
      <c r="HW4" s="230"/>
      <c r="HX4" s="85"/>
      <c r="HY4" s="107"/>
      <c r="HZ4" s="187">
        <f>IF(COUNT(HZ5:HZ9)=0,"",SUM(HZ5:HZ9)/COUNT(HZ5:HZ9))</f>
        <v>2.6666666666666665</v>
      </c>
      <c r="IA4" s="188" t="str">
        <f t="shared" ref="IA4:IA21" si="48">IF(HZ4="","",IF(HZ4&gt;3.7,"A",IF(HZ4&gt;2.8,"B",IF(HZ4&gt;1.5,"C",IF(HZ4&gt;0,"D",IF(HZ4=0,""))))))</f>
        <v>C</v>
      </c>
      <c r="IB4" s="230"/>
      <c r="IC4" s="85"/>
      <c r="ID4" s="85"/>
      <c r="IE4" s="107"/>
      <c r="IF4" s="187">
        <f>IF(COUNT(IF5:IF9)=0,"",SUM(IF5:IF9)/COUNT(IF5:IF9))</f>
        <v>2.3888888888888888</v>
      </c>
      <c r="IG4" s="203" t="str">
        <f t="shared" ref="IG4:IG21" si="49">IF(IF4="","",IF(IF4&gt;3.7,"A",IF(IF4&gt;2.8,"B",IF(IF4&gt;1.5,"C",IF(IF4&gt;0,"D",IF(IF4=0,""))))))</f>
        <v>C</v>
      </c>
      <c r="IH4" s="181"/>
      <c r="II4" s="112"/>
      <c r="IJ4" s="112"/>
      <c r="IK4" s="113"/>
      <c r="IL4" s="187" t="str">
        <f>IF(COUNT(IL5:IL9)=0,"",SUM(IL5:IL9)/COUNT(IL5:IL9))</f>
        <v/>
      </c>
      <c r="IM4" s="211" t="str">
        <f t="shared" ref="IM4:IM21" si="50">IF(IL4="","",IF(IL4&gt;3.7,"A",IF(IL4&gt;2.8,"B",IF(IL4&gt;1.5,"C",IF(IL4&gt;0,"D",IF(IL4=0,""))))))</f>
        <v/>
      </c>
      <c r="IN4" s="212">
        <f>IF(COUNT(IN5:IN9)=0,"",SUM(IN5:IN9)/COUNT(IN5:IN9))</f>
        <v>2.5277777777777777</v>
      </c>
      <c r="IO4" s="213" t="str">
        <f t="shared" ref="IO4:IO21" si="51">IF(IN4="","",IF(IN4&gt;3.7,"A",IF(IN4&gt;2.8,"B",IF(IN4&gt;1.5,"C",IF(IN4&gt;0,"D",IF(IN4=0,""))))))</f>
        <v>C</v>
      </c>
      <c r="IP4" s="230"/>
      <c r="IQ4" s="85"/>
      <c r="IR4" s="107"/>
      <c r="IS4" s="187">
        <f>IF(COUNT(IS5:IS9)=0,"",SUM(IS5:IS9)/COUNT(IS5:IS9))</f>
        <v>2</v>
      </c>
      <c r="IT4" s="188" t="str">
        <f t="shared" ref="IT4:IT21" si="52">IF(IS4="","",IF(IS4&gt;3.7,"A",IF(IS4&gt;2.8,"B",IF(IS4&gt;1.5,"C",IF(IS4&gt;0,"D",IF(IS4=0,""))))))</f>
        <v>C</v>
      </c>
      <c r="IU4" s="230"/>
      <c r="IV4" s="85"/>
      <c r="IW4" s="85"/>
      <c r="IX4" s="107"/>
      <c r="IY4" s="187">
        <f>IF(COUNT(IY5:IY9)=0,"",SUM(IY5:IY9)/COUNT(IY5:IY9))</f>
        <v>2.2222222222222219</v>
      </c>
      <c r="IZ4" s="203" t="str">
        <f t="shared" ref="IZ4:IZ21" si="53">IF(IY4="","",IF(IY4&gt;3.7,"A",IF(IY4&gt;2.8,"B",IF(IY4&gt;1.5,"C",IF(IY4&gt;0,"D",IF(IY4=0,""))))))</f>
        <v>C</v>
      </c>
      <c r="JA4" s="181"/>
      <c r="JB4" s="112"/>
      <c r="JC4" s="112"/>
      <c r="JD4" s="113"/>
      <c r="JE4" s="187" t="str">
        <f>IF(COUNT(JE5:JE9)=0,"",SUM(JE5:JE9)/COUNT(JE5:JE9))</f>
        <v/>
      </c>
      <c r="JF4" s="211" t="str">
        <f t="shared" ref="JF4:JF21" si="54">IF(JE4="","",IF(JE4&gt;3.7,"A",IF(JE4&gt;2.8,"B",IF(JE4&gt;1.5,"C",IF(JE4&gt;0,"D",IF(JE4=0,""))))))</f>
        <v/>
      </c>
      <c r="JG4" s="212">
        <f>IF(COUNT(JG5:JG9)=0,"",SUM(JG5:JG9)/COUNT(JG5:JG9))</f>
        <v>2.1111111111111112</v>
      </c>
      <c r="JH4" s="213" t="str">
        <f t="shared" ref="JH4:JH21" si="55">IF(JG4="","",IF(JG4&gt;3.7,"A",IF(JG4&gt;2.8,"B",IF(JG4&gt;1.5,"C",IF(JG4&gt;0,"D",IF(JG4=0,""))))))</f>
        <v>C</v>
      </c>
      <c r="JI4" s="230"/>
      <c r="JJ4" s="85"/>
      <c r="JK4" s="107"/>
      <c r="JL4" s="187">
        <f>IF(COUNT(JL5:JL9)=0,"",SUM(JL5:JL9)/COUNT(JL5:JL9))</f>
        <v>3.0555555555555558</v>
      </c>
      <c r="JM4" s="188" t="str">
        <f t="shared" ref="JM4:JM21" si="56">IF(JL4="","",IF(JL4&gt;3.7,"A",IF(JL4&gt;2.8,"B",IF(JL4&gt;1.5,"C",IF(JL4&gt;0,"D",IF(JL4=0,""))))))</f>
        <v>B</v>
      </c>
      <c r="JN4" s="230"/>
      <c r="JO4" s="85"/>
      <c r="JP4" s="85"/>
      <c r="JQ4" s="107"/>
      <c r="JR4" s="187">
        <f>IF(COUNT(JR5:JR9)=0,"",SUM(JR5:JR9)/COUNT(JR5:JR9))</f>
        <v>2.4166666666666665</v>
      </c>
      <c r="JS4" s="203" t="str">
        <f t="shared" ref="JS4:JS21" si="57">IF(JR4="","",IF(JR4&gt;3.7,"A",IF(JR4&gt;2.8,"B",IF(JR4&gt;1.5,"C",IF(JR4&gt;0,"D",IF(JR4=0,""))))))</f>
        <v>C</v>
      </c>
      <c r="JT4" s="181"/>
      <c r="JU4" s="112"/>
      <c r="JV4" s="112"/>
      <c r="JW4" s="113"/>
      <c r="JX4" s="187" t="str">
        <f>IF(COUNT(JX5:JX9)=0,"",SUM(JX5:JX9)/COUNT(JX5:JX9))</f>
        <v/>
      </c>
      <c r="JY4" s="211" t="str">
        <f t="shared" ref="JY4:JY21" si="58">IF(JX4="","",IF(JX4&gt;3.7,"A",IF(JX4&gt;2.8,"B",IF(JX4&gt;1.5,"C",IF(JX4&gt;0,"D",IF(JX4=0,""))))))</f>
        <v/>
      </c>
      <c r="JZ4" s="212">
        <f>IF(COUNT(JZ5:JZ9)=0,"",SUM(JZ5:JZ9)/COUNT(JZ5:JZ9))</f>
        <v>2.7361111111111112</v>
      </c>
      <c r="KA4" s="213" t="str">
        <f t="shared" ref="KA4:KA21" si="59">IF(JZ4="","",IF(JZ4&gt;3.7,"A",IF(JZ4&gt;2.8,"B",IF(JZ4&gt;1.5,"C",IF(JZ4&gt;0,"D",IF(JZ4=0,""))))))</f>
        <v>C</v>
      </c>
      <c r="KB4" s="230"/>
      <c r="KC4" s="85"/>
      <c r="KD4" s="107"/>
      <c r="KE4" s="187">
        <f>IF(COUNT(KE5:KE9)=0,"",SUM(KE5:KE9)/COUNT(KE5:KE9))</f>
        <v>2.5</v>
      </c>
      <c r="KF4" s="188" t="str">
        <f t="shared" ref="KF4:KF21" si="60">IF(KE4="","",IF(KE4&gt;3.7,"A",IF(KE4&gt;2.8,"B",IF(KE4&gt;1.5,"C",IF(KE4&gt;0,"D",IF(KE4=0,""))))))</f>
        <v>C</v>
      </c>
      <c r="KG4" s="230"/>
      <c r="KH4" s="85"/>
      <c r="KI4" s="85"/>
      <c r="KJ4" s="107"/>
      <c r="KK4" s="187">
        <f>IF(COUNT(KK5:KK9)=0,"",SUM(KK5:KK9)/COUNT(KK5:KK9))</f>
        <v>2.3888888888888888</v>
      </c>
      <c r="KL4" s="203" t="str">
        <f t="shared" ref="KL4:KL21" si="61">IF(KK4="","",IF(KK4&gt;3.7,"A",IF(KK4&gt;2.8,"B",IF(KK4&gt;1.5,"C",IF(KK4&gt;0,"D",IF(KK4=0,""))))))</f>
        <v>C</v>
      </c>
      <c r="KM4" s="181"/>
      <c r="KN4" s="112"/>
      <c r="KO4" s="112"/>
      <c r="KP4" s="113"/>
      <c r="KQ4" s="187" t="str">
        <f>IF(COUNT(KQ5:KQ9)=0,"",SUM(KQ5:KQ9)/COUNT(KQ5:KQ9))</f>
        <v/>
      </c>
      <c r="KR4" s="211" t="str">
        <f t="shared" ref="KR4:KR21" si="62">IF(KQ4="","",IF(KQ4&gt;3.7,"A",IF(KQ4&gt;2.8,"B",IF(KQ4&gt;1.5,"C",IF(KQ4&gt;0,"D",IF(KQ4=0,""))))))</f>
        <v/>
      </c>
      <c r="KS4" s="212">
        <f>IF(COUNT(KS5:KS9)=0,"",SUM(KS5:KS9)/COUNT(KS5:KS9))</f>
        <v>2.4444444444444442</v>
      </c>
      <c r="KT4" s="213" t="str">
        <f t="shared" ref="KT4:KT21" si="63">IF(KS4="","",IF(KS4&gt;3.7,"A",IF(KS4&gt;2.8,"B",IF(KS4&gt;1.5,"C",IF(KS4&gt;0,"D",IF(KS4=0,""))))))</f>
        <v>C</v>
      </c>
      <c r="KU4" s="230"/>
      <c r="KV4" s="85"/>
      <c r="KW4" s="107"/>
      <c r="KX4" s="187">
        <f>IF(COUNT(KX5:KX9)=0,"",SUM(KX5:KX9)/COUNT(KX5:KX9))</f>
        <v>2.5</v>
      </c>
      <c r="KY4" s="188" t="str">
        <f t="shared" ref="KY4:KY21" si="64">IF(KX4="","",IF(KX4&gt;3.7,"A",IF(KX4&gt;2.8,"B",IF(KX4&gt;1.5,"C",IF(KX4&gt;0,"D",IF(KX4=0,""))))))</f>
        <v>C</v>
      </c>
      <c r="KZ4" s="230"/>
      <c r="LA4" s="85"/>
      <c r="LB4" s="85"/>
      <c r="LC4" s="107"/>
      <c r="LD4" s="187">
        <f>IF(COUNT(LD5:LD9)=0,"",SUM(LD5:LD9)/COUNT(LD5:LD9))</f>
        <v>2.4722222222222219</v>
      </c>
      <c r="LE4" s="203" t="str">
        <f t="shared" ref="LE4:LE21" si="65">IF(LD4="","",IF(LD4&gt;3.7,"A",IF(LD4&gt;2.8,"B",IF(LD4&gt;1.5,"C",IF(LD4&gt;0,"D",IF(LD4=0,""))))))</f>
        <v>C</v>
      </c>
      <c r="LF4" s="181"/>
      <c r="LG4" s="112"/>
      <c r="LH4" s="112"/>
      <c r="LI4" s="113"/>
      <c r="LJ4" s="187" t="str">
        <f>IF(COUNT(LJ5:LJ9)=0,"",SUM(LJ5:LJ9)/COUNT(LJ5:LJ9))</f>
        <v/>
      </c>
      <c r="LK4" s="211" t="str">
        <f t="shared" ref="LK4:LK21" si="66">IF(LJ4="","",IF(LJ4&gt;3.7,"A",IF(LJ4&gt;2.8,"B",IF(LJ4&gt;1.5,"C",IF(LJ4&gt;0,"D",IF(LJ4=0,""))))))</f>
        <v/>
      </c>
      <c r="LL4" s="212">
        <f>IF(COUNT(LL5:LL9)=0,"",SUM(LL5:LL9)/COUNT(LL5:LL9))</f>
        <v>2.4861111111111112</v>
      </c>
      <c r="LM4" s="213" t="str">
        <f t="shared" ref="LM4:LM21" si="67">IF(LL4="","",IF(LL4&gt;3.7,"A",IF(LL4&gt;2.8,"B",IF(LL4&gt;1.5,"C",IF(LL4&gt;0,"D",IF(LL4=0,""))))))</f>
        <v>C</v>
      </c>
      <c r="LN4" s="230"/>
      <c r="LO4" s="85"/>
      <c r="LP4" s="107"/>
      <c r="LQ4" s="187">
        <f>IF(COUNT(LQ5:LQ9)=0,"",SUM(LQ5:LQ9)/COUNT(LQ5:LQ9))</f>
        <v>2.7777777777777781</v>
      </c>
      <c r="LR4" s="188" t="str">
        <f t="shared" ref="LR4:LR21" si="68">IF(LQ4="","",IF(LQ4&gt;3.7,"A",IF(LQ4&gt;2.8,"B",IF(LQ4&gt;1.5,"C",IF(LQ4&gt;0,"D",IF(LQ4=0,""))))))</f>
        <v>C</v>
      </c>
      <c r="LS4" s="230"/>
      <c r="LT4" s="85"/>
      <c r="LU4" s="85"/>
      <c r="LV4" s="107"/>
      <c r="LW4" s="187">
        <f>IF(COUNT(LW5:LW9)=0,"",SUM(LW5:LW9)/COUNT(LW5:LW9))</f>
        <v>3.0277777777777781</v>
      </c>
      <c r="LX4" s="203" t="str">
        <f t="shared" ref="LX4:LX21" si="69">IF(LW4="","",IF(LW4&gt;3.7,"A",IF(LW4&gt;2.8,"B",IF(LW4&gt;1.5,"C",IF(LW4&gt;0,"D",IF(LW4=0,""))))))</f>
        <v>B</v>
      </c>
      <c r="LY4" s="181"/>
      <c r="LZ4" s="112"/>
      <c r="MA4" s="112"/>
      <c r="MB4" s="113"/>
      <c r="MC4" s="187" t="str">
        <f>IF(COUNT(MC5:MC9)=0,"",SUM(MC5:MC9)/COUNT(MC5:MC9))</f>
        <v/>
      </c>
      <c r="MD4" s="211" t="str">
        <f t="shared" ref="MD4:MD21" si="70">IF(MC4="","",IF(MC4&gt;3.7,"A",IF(MC4&gt;2.8,"B",IF(MC4&gt;1.5,"C",IF(MC4&gt;0,"D",IF(MC4=0,""))))))</f>
        <v/>
      </c>
      <c r="ME4" s="212">
        <f>IF(COUNT(ME5:ME9)=0,"",SUM(ME5:ME9)/COUNT(ME5:ME9))</f>
        <v>2.9027777777777781</v>
      </c>
      <c r="MF4" s="213" t="str">
        <f t="shared" ref="MF4:MF21" si="71">IF(ME4="","",IF(ME4&gt;3.7,"A",IF(ME4&gt;2.8,"B",IF(ME4&gt;1.5,"C",IF(ME4&gt;0,"D",IF(ME4=0,""))))))</f>
        <v>B</v>
      </c>
      <c r="MG4" s="230"/>
      <c r="MH4" s="85"/>
      <c r="MI4" s="107"/>
      <c r="MJ4" s="187">
        <f>IF(COUNT(MJ5:MJ9)=0,"",SUM(MJ5:MJ9)/COUNT(MJ5:MJ9))</f>
        <v>2.8333333333333335</v>
      </c>
      <c r="MK4" s="188" t="str">
        <f t="shared" ref="MK4:MK21" si="72">IF(MJ4="","",IF(MJ4&gt;3.7,"A",IF(MJ4&gt;2.8,"B",IF(MJ4&gt;1.5,"C",IF(MJ4&gt;0,"D",IF(MJ4=0,""))))))</f>
        <v>B</v>
      </c>
      <c r="ML4" s="230"/>
      <c r="MM4" s="85"/>
      <c r="MN4" s="85"/>
      <c r="MO4" s="107"/>
      <c r="MP4" s="187">
        <f>IF(COUNT(MP5:MP9)=0,"",SUM(MP5:MP9)/COUNT(MP5:MP9))</f>
        <v>3.1944444444444446</v>
      </c>
      <c r="MQ4" s="203" t="str">
        <f t="shared" ref="MQ4:MQ21" si="73">IF(MP4="","",IF(MP4&gt;3.7,"A",IF(MP4&gt;2.8,"B",IF(MP4&gt;1.5,"C",IF(MP4&gt;0,"D",IF(MP4=0,""))))))</f>
        <v>B</v>
      </c>
      <c r="MR4" s="181"/>
      <c r="MS4" s="112"/>
      <c r="MT4" s="112"/>
      <c r="MU4" s="113"/>
      <c r="MV4" s="187" t="str">
        <f>IF(COUNT(MV5:MV9)=0,"",SUM(MV5:MV9)/COUNT(MV5:MV9))</f>
        <v/>
      </c>
      <c r="MW4" s="211" t="str">
        <f t="shared" ref="MW4:MW21" si="74">IF(MV4="","",IF(MV4&gt;3.7,"A",IF(MV4&gt;2.8,"B",IF(MV4&gt;1.5,"C",IF(MV4&gt;0,"D",IF(MV4=0,""))))))</f>
        <v/>
      </c>
      <c r="MX4" s="212">
        <f>IF(COUNT(MX5:MX9)=0,"",SUM(MX5:MX9)/COUNT(MX5:MX9))</f>
        <v>3.0138888888888893</v>
      </c>
      <c r="MY4" s="213" t="str">
        <f t="shared" ref="MY4:MY21" si="75">IF(MX4="","",IF(MX4&gt;3.7,"A",IF(MX4&gt;2.8,"B",IF(MX4&gt;1.5,"C",IF(MX4&gt;0,"D",IF(MX4=0,""))))))</f>
        <v>B</v>
      </c>
      <c r="MZ4" s="230"/>
      <c r="NA4" s="85"/>
      <c r="NB4" s="107"/>
      <c r="NC4" s="187">
        <f>IF(COUNT(NC5:NC9)=0,"",SUM(NC5:NC9)/COUNT(NC5:NC9))</f>
        <v>3.2777777777777781</v>
      </c>
      <c r="ND4" s="188" t="str">
        <f t="shared" ref="ND4:ND21" si="76">IF(NC4="","",IF(NC4&gt;3.7,"A",IF(NC4&gt;2.8,"B",IF(NC4&gt;1.5,"C",IF(NC4&gt;0,"D",IF(NC4=0,""))))))</f>
        <v>B</v>
      </c>
      <c r="NE4" s="230"/>
      <c r="NF4" s="85"/>
      <c r="NG4" s="85"/>
      <c r="NH4" s="107"/>
      <c r="NI4" s="187">
        <f>IF(COUNT(NI5:NI9)=0,"",SUM(NI5:NI9)/COUNT(NI5:NI9))</f>
        <v>3.4444444444444446</v>
      </c>
      <c r="NJ4" s="203" t="str">
        <f t="shared" ref="NJ4:NJ21" si="77">IF(NI4="","",IF(NI4&gt;3.7,"A",IF(NI4&gt;2.8,"B",IF(NI4&gt;1.5,"C",IF(NI4&gt;0,"D",IF(NI4=0,""))))))</f>
        <v>B</v>
      </c>
      <c r="NK4" s="181"/>
      <c r="NL4" s="112"/>
      <c r="NM4" s="112"/>
      <c r="NN4" s="113"/>
      <c r="NO4" s="187" t="str">
        <f>IF(COUNT(NO5:NO9)=0,"",SUM(NO5:NO9)/COUNT(NO5:NO9))</f>
        <v/>
      </c>
      <c r="NP4" s="211" t="str">
        <f t="shared" ref="NP4:NP21" si="78">IF(NO4="","",IF(NO4&gt;3.7,"A",IF(NO4&gt;2.8,"B",IF(NO4&gt;1.5,"C",IF(NO4&gt;0,"D",IF(NO4=0,""))))))</f>
        <v/>
      </c>
      <c r="NQ4" s="212">
        <f>IF(COUNT(NQ5:NQ9)=0,"",SUM(NQ5:NQ9)/COUNT(NQ5:NQ9))</f>
        <v>3.3611111111111112</v>
      </c>
      <c r="NR4" s="213" t="str">
        <f t="shared" ref="NR4:NR21" si="79">IF(NQ4="","",IF(NQ4&gt;3.7,"A",IF(NQ4&gt;2.8,"B",IF(NQ4&gt;1.5,"C",IF(NQ4&gt;0,"D",IF(NQ4=0,""))))))</f>
        <v>B</v>
      </c>
      <c r="NS4" s="230"/>
      <c r="NT4" s="85"/>
      <c r="NU4" s="107"/>
      <c r="NV4" s="187">
        <f>IF(COUNT(NV5:NV9)=0,"",SUM(NV5:NV9)/COUNT(NV5:NV9))</f>
        <v>3.6666666666666665</v>
      </c>
      <c r="NW4" s="188" t="str">
        <f t="shared" ref="NW4:NW21" si="80">IF(NV4="","",IF(NV4&gt;3.7,"A",IF(NV4&gt;2.8,"B",IF(NV4&gt;1.5,"C",IF(NV4&gt;0,"D",IF(NV4=0,""))))))</f>
        <v>B</v>
      </c>
      <c r="NX4" s="230"/>
      <c r="NY4" s="85"/>
      <c r="NZ4" s="85"/>
      <c r="OA4" s="107"/>
      <c r="OB4" s="187">
        <f>IF(COUNT(OB5:OB9)=0,"",SUM(OB5:OB9)/COUNT(OB5:OB9))</f>
        <v>2.9722222222222219</v>
      </c>
      <c r="OC4" s="203" t="str">
        <f t="shared" ref="OC4:OC21" si="81">IF(OB4="","",IF(OB4&gt;3.7,"A",IF(OB4&gt;2.8,"B",IF(OB4&gt;1.5,"C",IF(OB4&gt;0,"D",IF(OB4=0,""))))))</f>
        <v>B</v>
      </c>
      <c r="OD4" s="181"/>
      <c r="OE4" s="112"/>
      <c r="OF4" s="112"/>
      <c r="OG4" s="113"/>
      <c r="OH4" s="187" t="str">
        <f>IF(COUNT(OH5:OH9)=0,"",SUM(OH5:OH9)/COUNT(OH5:OH9))</f>
        <v/>
      </c>
      <c r="OI4" s="211" t="str">
        <f t="shared" ref="OI4:OI21" si="82">IF(OH4="","",IF(OH4&gt;3.7,"A",IF(OH4&gt;2.8,"B",IF(OH4&gt;1.5,"C",IF(OH4&gt;0,"D",IF(OH4=0,""))))))</f>
        <v/>
      </c>
      <c r="OJ4" s="212">
        <f>IF(COUNT(OJ5:OJ9)=0,"",SUM(OJ5:OJ9)/COUNT(OJ5:OJ9))</f>
        <v>3.3194444444444442</v>
      </c>
      <c r="OK4" s="213" t="str">
        <f t="shared" ref="OK4:OK21" si="83">IF(OJ4="","",IF(OJ4&gt;3.7,"A",IF(OJ4&gt;2.8,"B",IF(OJ4&gt;1.5,"C",IF(OJ4&gt;0,"D",IF(OJ4=0,""))))))</f>
        <v>B</v>
      </c>
      <c r="OL4" s="230"/>
      <c r="OM4" s="85"/>
      <c r="ON4" s="107"/>
      <c r="OO4" s="187">
        <f>IF(COUNT(OO5:OO9)=0,"",SUM(OO5:OO9)/COUNT(OO5:OO9))</f>
        <v>3.5</v>
      </c>
      <c r="OP4" s="188" t="str">
        <f t="shared" ref="OP4:OP21" si="84">IF(OO4="","",IF(OO4&gt;3.7,"A",IF(OO4&gt;2.8,"B",IF(OO4&gt;1.5,"C",IF(OO4&gt;0,"D",IF(OO4=0,""))))))</f>
        <v>B</v>
      </c>
      <c r="OQ4" s="230"/>
      <c r="OR4" s="85"/>
      <c r="OS4" s="85"/>
      <c r="OT4" s="107"/>
      <c r="OU4" s="187">
        <f>IF(COUNT(OU5:OU9)=0,"",SUM(OU5:OU9)/COUNT(OU5:OU9))</f>
        <v>3.9166666666666665</v>
      </c>
      <c r="OV4" s="203" t="str">
        <f t="shared" ref="OV4:OV21" si="85">IF(OU4="","",IF(OU4&gt;3.7,"A",IF(OU4&gt;2.8,"B",IF(OU4&gt;1.5,"C",IF(OU4&gt;0,"D",IF(OU4=0,""))))))</f>
        <v>A</v>
      </c>
      <c r="OW4" s="181"/>
      <c r="OX4" s="112"/>
      <c r="OY4" s="112"/>
      <c r="OZ4" s="113"/>
      <c r="PA4" s="187" t="str">
        <f>IF(COUNT(PA5:PA9)=0,"",SUM(PA5:PA9)/COUNT(PA5:PA9))</f>
        <v/>
      </c>
      <c r="PB4" s="211" t="str">
        <f t="shared" ref="PB4:PB21" si="86">IF(PA4="","",IF(PA4&gt;3.7,"A",IF(PA4&gt;2.8,"B",IF(PA4&gt;1.5,"C",IF(PA4&gt;0,"D",IF(PA4=0,""))))))</f>
        <v/>
      </c>
      <c r="PC4" s="212">
        <f>IF(COUNT(PC5:PC9)=0,"",SUM(PC5:PC9)/COUNT(PC5:PC9))</f>
        <v>3.7083333333333335</v>
      </c>
      <c r="PD4" s="213" t="str">
        <f t="shared" ref="PD4:PD21" si="87">IF(PC4="","",IF(PC4&gt;3.7,"A",IF(PC4&gt;2.8,"B",IF(PC4&gt;1.5,"C",IF(PC4&gt;0,"D",IF(PC4=0,""))))))</f>
        <v>A</v>
      </c>
      <c r="PE4" s="230"/>
      <c r="PF4" s="85"/>
      <c r="PG4" s="107"/>
      <c r="PH4" s="187">
        <f>IF(COUNT(PH5:PH9)=0,"",SUM(PH5:PH9)/COUNT(PH5:PH9))</f>
        <v>2.6111111111111112</v>
      </c>
      <c r="PI4" s="188" t="str">
        <f t="shared" ref="PI4:PI21" si="88">IF(PH4="","",IF(PH4&gt;3.7,"A",IF(PH4&gt;2.8,"B",IF(PH4&gt;1.5,"C",IF(PH4&gt;0,"D",IF(PH4=0,""))))))</f>
        <v>C</v>
      </c>
      <c r="PJ4" s="230"/>
      <c r="PK4" s="85"/>
      <c r="PL4" s="85"/>
      <c r="PM4" s="107"/>
      <c r="PN4" s="187">
        <f>IF(COUNT(PN5:PN9)=0,"",SUM(PN5:PN9)/COUNT(PN5:PN9))</f>
        <v>2.6944444444444446</v>
      </c>
      <c r="PO4" s="203" t="str">
        <f t="shared" ref="PO4:PO21" si="89">IF(PN4="","",IF(PN4&gt;3.7,"A",IF(PN4&gt;2.8,"B",IF(PN4&gt;1.5,"C",IF(PN4&gt;0,"D",IF(PN4=0,""))))))</f>
        <v>C</v>
      </c>
      <c r="PP4" s="181"/>
      <c r="PQ4" s="112"/>
      <c r="PR4" s="112"/>
      <c r="PS4" s="113"/>
      <c r="PT4" s="187" t="str">
        <f>IF(COUNT(PT5:PT9)=0,"",SUM(PT5:PT9)/COUNT(PT5:PT9))</f>
        <v/>
      </c>
      <c r="PU4" s="211" t="str">
        <f t="shared" ref="PU4:PU21" si="90">IF(PT4="","",IF(PT4&gt;3.7,"A",IF(PT4&gt;2.8,"B",IF(PT4&gt;1.5,"C",IF(PT4&gt;0,"D",IF(PT4=0,""))))))</f>
        <v/>
      </c>
      <c r="PV4" s="212">
        <f>IF(COUNT(PV5:PV9)=0,"",SUM(PV5:PV9)/COUNT(PV5:PV9))</f>
        <v>2.6527777777777781</v>
      </c>
      <c r="PW4" s="213" t="str">
        <f t="shared" ref="PW4:PW21" si="91">IF(PV4="","",IF(PV4&gt;3.7,"A",IF(PV4&gt;2.8,"B",IF(PV4&gt;1.5,"C",IF(PV4&gt;0,"D",IF(PV4=0,""))))))</f>
        <v>C</v>
      </c>
      <c r="PX4" s="230"/>
      <c r="PY4" s="85"/>
      <c r="PZ4" s="107"/>
      <c r="QA4" s="187">
        <f>IF(COUNT(QA5:QA9)=0,"",SUM(QA5:QA9)/COUNT(QA5:QA9))</f>
        <v>2.3888888888888888</v>
      </c>
      <c r="QB4" s="188" t="str">
        <f t="shared" ref="QB4:QB21" si="92">IF(QA4="","",IF(QA4&gt;3.7,"A",IF(QA4&gt;2.8,"B",IF(QA4&gt;1.5,"C",IF(QA4&gt;0,"D",IF(QA4=0,""))))))</f>
        <v>C</v>
      </c>
      <c r="QC4" s="230"/>
      <c r="QD4" s="85"/>
      <c r="QE4" s="85"/>
      <c r="QF4" s="107"/>
      <c r="QG4" s="187">
        <f>IF(COUNT(QG5:QG9)=0,"",SUM(QG5:QG9)/COUNT(QG5:QG9))</f>
        <v>2.8888888888888888</v>
      </c>
      <c r="QH4" s="203" t="str">
        <f t="shared" ref="QH4:QH21" si="93">IF(QG4="","",IF(QG4&gt;3.7,"A",IF(QG4&gt;2.8,"B",IF(QG4&gt;1.5,"C",IF(QG4&gt;0,"D",IF(QG4=0,""))))))</f>
        <v>B</v>
      </c>
      <c r="QI4" s="181"/>
      <c r="QJ4" s="112"/>
      <c r="QK4" s="112"/>
      <c r="QL4" s="113"/>
      <c r="QM4" s="187" t="str">
        <f>IF(COUNT(QM5:QM9)=0,"",SUM(QM5:QM9)/COUNT(QM5:QM9))</f>
        <v/>
      </c>
      <c r="QN4" s="211" t="str">
        <f t="shared" ref="QN4:QN21" si="94">IF(QM4="","",IF(QM4&gt;3.7,"A",IF(QM4&gt;2.8,"B",IF(QM4&gt;1.5,"C",IF(QM4&gt;0,"D",IF(QM4=0,""))))))</f>
        <v/>
      </c>
      <c r="QO4" s="212">
        <f>IF(COUNT(QO5:QO9)=0,"",SUM(QO5:QO9)/COUNT(QO5:QO9))</f>
        <v>2.6388888888888888</v>
      </c>
      <c r="QP4" s="213" t="str">
        <f t="shared" ref="QP4:QP21" si="95">IF(QO4="","",IF(QO4&gt;3.7,"A",IF(QO4&gt;2.8,"B",IF(QO4&gt;1.5,"C",IF(QO4&gt;0,"D",IF(QO4=0,""))))))</f>
        <v>C</v>
      </c>
      <c r="QQ4" s="230"/>
      <c r="QR4" s="85"/>
      <c r="QS4" s="107"/>
      <c r="QT4" s="187">
        <f>IF(COUNT(QT5:QT9)=0,"",SUM(QT5:QT9)/COUNT(QT5:QT9))</f>
        <v>3.2777777777777772</v>
      </c>
      <c r="QU4" s="188" t="str">
        <f t="shared" ref="QU4:QU21" si="96">IF(QT4="","",IF(QT4&gt;3.7,"A",IF(QT4&gt;2.8,"B",IF(QT4&gt;1.5,"C",IF(QT4&gt;0,"D",IF(QT4=0,""))))))</f>
        <v>B</v>
      </c>
      <c r="QV4" s="230"/>
      <c r="QW4" s="85"/>
      <c r="QX4" s="85"/>
      <c r="QY4" s="107"/>
      <c r="QZ4" s="187">
        <f>IF(COUNT(QZ5:QZ9)=0,"",SUM(QZ5:QZ9)/COUNT(QZ5:QZ9))</f>
        <v>1.9166666666666667</v>
      </c>
      <c r="RA4" s="203" t="str">
        <f t="shared" ref="RA4:RA21" si="97">IF(QZ4="","",IF(QZ4&gt;3.7,"A",IF(QZ4&gt;2.8,"B",IF(QZ4&gt;1.5,"C",IF(QZ4&gt;0,"D",IF(QZ4=0,""))))))</f>
        <v>C</v>
      </c>
      <c r="RB4" s="181"/>
      <c r="RC4" s="112"/>
      <c r="RD4" s="112"/>
      <c r="RE4" s="113"/>
      <c r="RF4" s="187" t="str">
        <f>IF(COUNT(RF5:RF9)=0,"",SUM(RF5:RF9)/COUNT(RF5:RF9))</f>
        <v/>
      </c>
      <c r="RG4" s="211" t="str">
        <f t="shared" ref="RG4:RG21" si="98">IF(RF4="","",IF(RF4&gt;3.7,"A",IF(RF4&gt;2.8,"B",IF(RF4&gt;1.5,"C",IF(RF4&gt;0,"D",IF(RF4=0,""))))))</f>
        <v/>
      </c>
      <c r="RH4" s="212">
        <f>IF(COUNT(RH5:RH9)=0,"",SUM(RH5:RH9)/COUNT(RH5:RH9))</f>
        <v>2.5972222222222219</v>
      </c>
      <c r="RI4" s="213" t="str">
        <f t="shared" ref="RI4:RI21" si="99">IF(RH4="","",IF(RH4&gt;3.7,"A",IF(RH4&gt;2.8,"B",IF(RH4&gt;1.5,"C",IF(RH4&gt;0,"D",IF(RH4=0,""))))))</f>
        <v>C</v>
      </c>
      <c r="RJ4" s="230"/>
      <c r="RK4" s="85"/>
      <c r="RL4" s="107"/>
      <c r="RM4" s="187">
        <f>IF(COUNT(RM5:RM9)=0,"",SUM(RM5:RM9)/COUNT(RM5:RM9))</f>
        <v>2.4444444444444446</v>
      </c>
      <c r="RN4" s="188" t="str">
        <f t="shared" ref="RN4:RN21" si="100">IF(RM4="","",IF(RM4&gt;3.7,"A",IF(RM4&gt;2.8,"B",IF(RM4&gt;1.5,"C",IF(RM4&gt;0,"D",IF(RM4=0,""))))))</f>
        <v>C</v>
      </c>
      <c r="RO4" s="230"/>
      <c r="RP4" s="85"/>
      <c r="RQ4" s="85"/>
      <c r="RR4" s="107"/>
      <c r="RS4" s="187">
        <f>IF(COUNT(RS5:RS9)=0,"",SUM(RS5:RS9)/COUNT(RS5:RS9))</f>
        <v>2.5</v>
      </c>
      <c r="RT4" s="203" t="str">
        <f t="shared" ref="RT4:RT21" si="101">IF(RS4="","",IF(RS4&gt;3.7,"A",IF(RS4&gt;2.8,"B",IF(RS4&gt;1.5,"C",IF(RS4&gt;0,"D",IF(RS4=0,""))))))</f>
        <v>C</v>
      </c>
      <c r="RU4" s="181"/>
      <c r="RV4" s="112"/>
      <c r="RW4" s="112"/>
      <c r="RX4" s="113"/>
      <c r="RY4" s="187" t="str">
        <f>IF(COUNT(RY5:RY9)=0,"",SUM(RY5:RY9)/COUNT(RY5:RY9))</f>
        <v/>
      </c>
      <c r="RZ4" s="211" t="str">
        <f t="shared" ref="RZ4:RZ21" si="102">IF(RY4="","",IF(RY4&gt;3.7,"A",IF(RY4&gt;2.8,"B",IF(RY4&gt;1.5,"C",IF(RY4&gt;0,"D",IF(RY4=0,""))))))</f>
        <v/>
      </c>
      <c r="SA4" s="212">
        <f>IF(COUNT(SA5:SA9)=0,"",SUM(SA5:SA9)/COUNT(SA5:SA9))</f>
        <v>2.4722222222222223</v>
      </c>
      <c r="SB4" s="213" t="str">
        <f t="shared" ref="SB4:SB21" si="103">IF(SA4="","",IF(SA4&gt;3.7,"A",IF(SA4&gt;2.8,"B",IF(SA4&gt;1.5,"C",IF(SA4&gt;0,"D",IF(SA4=0,""))))))</f>
        <v>C</v>
      </c>
      <c r="SC4" s="106"/>
      <c r="SD4" s="85"/>
      <c r="SE4" s="107"/>
      <c r="SF4" s="108" t="str">
        <f>IF(COUNT(SF5:SF9)=0,"",SUM(SF5:SF9)/COUNT(SF5:SF9))</f>
        <v/>
      </c>
      <c r="SG4" s="109" t="str">
        <f t="shared" ref="SG4:SG21" si="104">IF(SF4="","",IF(SF4&gt;3.7,"A",IF(SF4&gt;2.8,"B",IF(SF4&gt;1.5,"C",IF(SF4&gt;0,"D",IF(SF4=0,""))))))</f>
        <v/>
      </c>
      <c r="SH4" s="106"/>
      <c r="SI4" s="85"/>
      <c r="SJ4" s="107"/>
      <c r="SK4" s="108" t="str">
        <f>IF(COUNT(SK5:SK9)=0,"",SUM(SK5:SK9)/COUNT(SK5:SK9))</f>
        <v/>
      </c>
      <c r="SL4" s="110" t="str">
        <f t="shared" ref="SL4:SL21" si="105">IF(SK4="","",IF(SK4&gt;3.7,"A",IF(SK4&gt;2.8,"B",IF(SK4&gt;1.5,"C",IF(SK4&gt;0,"D",IF(SK4=0,""))))))</f>
        <v/>
      </c>
      <c r="SM4" s="111"/>
      <c r="SN4" s="112"/>
      <c r="SO4" s="113"/>
      <c r="SP4" s="108" t="str">
        <f>IF(COUNT(SP5:SP9)=0,"",SUM(SP5:SP9)/COUNT(SP5:SP9))</f>
        <v/>
      </c>
      <c r="SQ4" s="114" t="str">
        <f t="shared" ref="SQ4:SQ21" si="106">IF(SP4="","",IF(SP4&gt;3.7,"A",IF(SP4&gt;2.8,"B",IF(SP4&gt;1.5,"C",IF(SP4&gt;0,"D",IF(SP4=0,""))))))</f>
        <v/>
      </c>
      <c r="SR4" s="115" t="str">
        <f>IF(COUNT(SR5:SR9)=0,"",SUM(SR5:SR9)/COUNT(SR5:SR9))</f>
        <v/>
      </c>
      <c r="SS4" s="116" t="str">
        <f t="shared" ref="SS4:SS21" si="107">IF(SR4="","",IF(SR4&gt;3.7,"A",IF(SR4&gt;2.8,"B",IF(SR4&gt;1.5,"C",IF(SR4&gt;0,"D",IF(SR4=0,""))))))</f>
        <v/>
      </c>
      <c r="ST4" s="106"/>
      <c r="SU4" s="85"/>
      <c r="SV4" s="107"/>
      <c r="SW4" s="108" t="str">
        <f>IF(COUNT(SW5:SW9)=0,"",SUM(SW5:SW9)/COUNT(SW5:SW9))</f>
        <v/>
      </c>
      <c r="SX4" s="109" t="str">
        <f t="shared" ref="SX4:SX21" si="108">IF(SW4="","",IF(SW4&gt;3.7,"A",IF(SW4&gt;2.8,"B",IF(SW4&gt;1.5,"C",IF(SW4&gt;0,"D",IF(SW4=0,""))))))</f>
        <v/>
      </c>
      <c r="SY4" s="106"/>
      <c r="SZ4" s="85"/>
      <c r="TA4" s="107"/>
      <c r="TB4" s="108" t="str">
        <f>IF(COUNT(TB5:TB9)=0,"",SUM(TB5:TB9)/COUNT(TB5:TB9))</f>
        <v/>
      </c>
      <c r="TC4" s="110" t="str">
        <f t="shared" ref="TC4:TC21" si="109">IF(TB4="","",IF(TB4&gt;3.7,"A",IF(TB4&gt;2.8,"B",IF(TB4&gt;1.5,"C",IF(TB4&gt;0,"D",IF(TB4=0,""))))))</f>
        <v/>
      </c>
      <c r="TD4" s="111"/>
      <c r="TE4" s="112"/>
      <c r="TF4" s="113"/>
      <c r="TG4" s="108" t="str">
        <f>IF(COUNT(TG5:TG9)=0,"",SUM(TG5:TG9)/COUNT(TG5:TG9))</f>
        <v/>
      </c>
      <c r="TH4" s="114" t="str">
        <f t="shared" ref="TH4:TH21" si="110">IF(TG4="","",IF(TG4&gt;3.7,"A",IF(TG4&gt;2.8,"B",IF(TG4&gt;1.5,"C",IF(TG4&gt;0,"D",IF(TG4=0,""))))))</f>
        <v/>
      </c>
      <c r="TI4" s="115" t="str">
        <f>IF(COUNT(TI5:TI9)=0,"",SUM(TI5:TI9)/COUNT(TI5:TI9))</f>
        <v/>
      </c>
      <c r="TJ4" s="116" t="str">
        <f t="shared" ref="TJ4:TJ21" si="111">IF(TI4="","",IF(TI4&gt;3.7,"A",IF(TI4&gt;2.8,"B",IF(TI4&gt;1.5,"C",IF(TI4&gt;0,"D",IF(TI4=0,""))))))</f>
        <v/>
      </c>
      <c r="TK4" s="106"/>
      <c r="TL4" s="85"/>
      <c r="TM4" s="107"/>
      <c r="TN4" s="108" t="str">
        <f>IF(COUNT(TN5:TN9)=0,"",SUM(TN5:TN9)/COUNT(TN5:TN9))</f>
        <v/>
      </c>
      <c r="TO4" s="109" t="str">
        <f t="shared" ref="TO4:TO21" si="112">IF(TN4="","",IF(TN4&gt;3.7,"A",IF(TN4&gt;2.8,"B",IF(TN4&gt;1.5,"C",IF(TN4&gt;0,"D",IF(TN4=0,""))))))</f>
        <v/>
      </c>
      <c r="TP4" s="106"/>
      <c r="TQ4" s="85"/>
      <c r="TR4" s="107"/>
      <c r="TS4" s="108" t="str">
        <f>IF(COUNT(TS5:TS9)=0,"",SUM(TS5:TS9)/COUNT(TS5:TS9))</f>
        <v/>
      </c>
      <c r="TT4" s="110" t="str">
        <f t="shared" ref="TT4:TT21" si="113">IF(TS4="","",IF(TS4&gt;3.7,"A",IF(TS4&gt;2.8,"B",IF(TS4&gt;1.5,"C",IF(TS4&gt;0,"D",IF(TS4=0,""))))))</f>
        <v/>
      </c>
      <c r="TU4" s="111"/>
      <c r="TV4" s="112"/>
      <c r="TW4" s="113"/>
      <c r="TX4" s="108" t="str">
        <f>IF(COUNT(TX5:TX9)=0,"",SUM(TX5:TX9)/COUNT(TX5:TX9))</f>
        <v/>
      </c>
      <c r="TY4" s="114" t="str">
        <f t="shared" ref="TY4:TY21" si="114">IF(TX4="","",IF(TX4&gt;3.7,"A",IF(TX4&gt;2.8,"B",IF(TX4&gt;1.5,"C",IF(TX4&gt;0,"D",IF(TX4=0,""))))))</f>
        <v/>
      </c>
      <c r="TZ4" s="115" t="str">
        <f>IF(COUNT(TZ5:TZ9)=0,"",SUM(TZ5:TZ9)/COUNT(TZ5:TZ9))</f>
        <v/>
      </c>
      <c r="UA4" s="116" t="str">
        <f t="shared" ref="UA4:UA21" si="115">IF(TZ4="","",IF(TZ4&gt;3.7,"A",IF(TZ4&gt;2.8,"B",IF(TZ4&gt;1.5,"C",IF(TZ4&gt;0,"D",IF(TZ4=0,""))))))</f>
        <v/>
      </c>
      <c r="UB4" s="106"/>
      <c r="UC4" s="85"/>
      <c r="UD4" s="107"/>
      <c r="UE4" s="108" t="str">
        <f>IF(COUNT(UE5:UE9)=0,"",SUM(UE5:UE9)/COUNT(UE5:UE9))</f>
        <v/>
      </c>
      <c r="UF4" s="109" t="str">
        <f t="shared" ref="UF4:UF21" si="116">IF(UE4="","",IF(UE4&gt;3.7,"A",IF(UE4&gt;2.8,"B",IF(UE4&gt;1.5,"C",IF(UE4&gt;0,"D",IF(UE4=0,""))))))</f>
        <v/>
      </c>
      <c r="UG4" s="106"/>
      <c r="UH4" s="85"/>
      <c r="UI4" s="107"/>
      <c r="UJ4" s="108" t="str">
        <f>IF(COUNT(UJ5:UJ9)=0,"",SUM(UJ5:UJ9)/COUNT(UJ5:UJ9))</f>
        <v/>
      </c>
      <c r="UK4" s="110" t="str">
        <f t="shared" ref="UK4:UK21" si="117">IF(UJ4="","",IF(UJ4&gt;3.7,"A",IF(UJ4&gt;2.8,"B",IF(UJ4&gt;1.5,"C",IF(UJ4&gt;0,"D",IF(UJ4=0,""))))))</f>
        <v/>
      </c>
      <c r="UL4" s="111"/>
      <c r="UM4" s="112"/>
      <c r="UN4" s="113"/>
      <c r="UO4" s="108" t="str">
        <f>IF(COUNT(UO5:UO9)=0,"",SUM(UO5:UO9)/COUNT(UO5:UO9))</f>
        <v/>
      </c>
      <c r="UP4" s="114" t="str">
        <f t="shared" ref="UP4:UP21" si="118">IF(UO4="","",IF(UO4&gt;3.7,"A",IF(UO4&gt;2.8,"B",IF(UO4&gt;1.5,"C",IF(UO4&gt;0,"D",IF(UO4=0,""))))))</f>
        <v/>
      </c>
      <c r="UQ4" s="115" t="str">
        <f>IF(COUNT(UQ5:UQ9)=0,"",SUM(UQ5:UQ9)/COUNT(UQ5:UQ9))</f>
        <v/>
      </c>
      <c r="UR4" s="116" t="str">
        <f t="shared" ref="UR4:UR21" si="119">IF(UQ4="","",IF(UQ4&gt;3.7,"A",IF(UQ4&gt;2.8,"B",IF(UQ4&gt;1.5,"C",IF(UQ4&gt;0,"D",IF(UQ4=0,""))))))</f>
        <v/>
      </c>
    </row>
    <row r="5" spans="1:564" ht="18" customHeight="1" x14ac:dyDescent="0.25">
      <c r="A5" s="250" t="s">
        <v>12</v>
      </c>
      <c r="B5" s="251"/>
      <c r="C5" s="118" t="s">
        <v>31</v>
      </c>
      <c r="D5" s="119" t="s">
        <v>30</v>
      </c>
      <c r="E5" s="226"/>
      <c r="F5" s="189">
        <f>IFERROR((((COUNTIF('Elève (4ème4)'!C5:E5,"A"))*4)+((COUNTIF('Elève (4ème4)'!C5:E5,"B"))*3)+((COUNTIF('Elève (4ème4)'!C5:E5,"C"))*2)+((COUNTIF('Elève (4ème4)'!C5:E5,"D"))*1))/(COUNTA(C5:E5)),"")</f>
        <v>2.5</v>
      </c>
      <c r="G5" s="190" t="str">
        <f t="shared" si="0"/>
        <v>C</v>
      </c>
      <c r="H5" s="123"/>
      <c r="I5" s="119" t="s">
        <v>30</v>
      </c>
      <c r="J5" s="226" t="s">
        <v>30</v>
      </c>
      <c r="K5" s="226" t="s">
        <v>30</v>
      </c>
      <c r="L5" s="189">
        <f>IFERROR((((COUNTIF('Elève (4ème4)'!H5:K5,"A"))*4)+((COUNTIF('Elève (4ème4)'!H5:K5,"B"))*3)+((COUNTIF('Elève (4ème4)'!H5:K5,"C"))*2)+((COUNTIF('Elève (4ème4)'!H5:K5,"D"))*1))/(COUNTA(H5:K5)),"")</f>
        <v>3</v>
      </c>
      <c r="M5" s="190" t="str">
        <f t="shared" si="1"/>
        <v>B</v>
      </c>
      <c r="N5" s="123"/>
      <c r="O5" s="124"/>
      <c r="P5" s="120"/>
      <c r="Q5" s="120"/>
      <c r="R5" s="189" t="str">
        <f>IFERROR((((COUNTIF('Elève (4ème4)'!N5:Q5,"A"))*4)+((COUNTIF('Elève (4ème4)'!N5:Q5,"B"))*3)+((COUNTIF('Elève (4ème4)'!N5:Q5,"C"))*2)+((COUNTIF('Elève (4ème4)'!N5:Q5,"D"))*1))/(COUNTA(N5:Q5)),"")</f>
        <v/>
      </c>
      <c r="S5" s="190" t="str">
        <f t="shared" si="2"/>
        <v/>
      </c>
      <c r="T5" s="189">
        <f>IF(COUNT(F5,L5,R5)=0,"",SUM(F5,L5,R5)/COUNT(F5,L5,R5))</f>
        <v>2.75</v>
      </c>
      <c r="U5" s="214" t="str">
        <f t="shared" si="3"/>
        <v>C</v>
      </c>
      <c r="V5" s="118" t="s">
        <v>32</v>
      </c>
      <c r="W5" s="119" t="s">
        <v>29</v>
      </c>
      <c r="X5" s="120"/>
      <c r="Y5" s="189">
        <f>IFERROR((((COUNTIF('Elève (4ème4)'!V5:X5,"A"))*4)+((COUNTIF('Elève (4ème4)'!V5:X5,"B"))*3)+((COUNTIF('Elève (4ème4)'!V5:X5,"C"))*2)+((COUNTIF('Elève (4ème4)'!V5:X5,"D"))*1))/(COUNTA(V5:X5)),"")</f>
        <v>2.5</v>
      </c>
      <c r="Z5" s="190" t="str">
        <f t="shared" si="4"/>
        <v>C</v>
      </c>
      <c r="AA5" s="118"/>
      <c r="AB5" s="119" t="s">
        <v>30</v>
      </c>
      <c r="AC5" s="226" t="s">
        <v>30</v>
      </c>
      <c r="AD5" s="226" t="s">
        <v>29</v>
      </c>
      <c r="AE5" s="189">
        <f>IFERROR((((COUNTIF('Elève (4ème4)'!AA5:AD5,"A"))*4)+((COUNTIF('Elève (4ème4)'!AA5:AD5,"B"))*3)+((COUNTIF('Elève (4ème4)'!AA5:AD5,"C"))*2)+((COUNTIF('Elève (4ème4)'!AA5:AD5,"D"))*1))/(COUNTA(AA5:AD5)),"")</f>
        <v>3.3333333333333335</v>
      </c>
      <c r="AF5" s="190" t="str">
        <f t="shared" si="5"/>
        <v>B</v>
      </c>
      <c r="AG5" s="123"/>
      <c r="AH5" s="124"/>
      <c r="AI5" s="120"/>
      <c r="AJ5" s="126"/>
      <c r="AK5" s="189" t="str">
        <f>IFERROR((((COUNTIF('Elève (4ème4)'!AG5:AJ5,"A"))*4)+((COUNTIF('Elève (4ème4)'!AG5:AJ5,"B"))*3)+((COUNTIF('Elève (4ème4)'!AG5:AJ5,"C"))*2)+((COUNTIF('Elève (4ème4)'!AG5:AJ5,"D"))*1))/(COUNTA(AG5:AJ5)),"")</f>
        <v/>
      </c>
      <c r="AL5" s="190" t="str">
        <f t="shared" si="6"/>
        <v/>
      </c>
      <c r="AM5" s="189">
        <f>IF(COUNT(Y5,AE5,AK5)=0,"",SUM(Y5,AE5,AK5)/COUNT(Y5,AE5,AK5))</f>
        <v>2.916666666666667</v>
      </c>
      <c r="AN5" s="214" t="str">
        <f t="shared" si="7"/>
        <v>B</v>
      </c>
      <c r="AO5" s="118" t="s">
        <v>31</v>
      </c>
      <c r="AP5" s="119" t="s">
        <v>30</v>
      </c>
      <c r="AQ5" s="120"/>
      <c r="AR5" s="189">
        <f>IFERROR((((COUNTIF('Elève (4ème4)'!AO5:AQ5,"A"))*4)+((COUNTIF('Elève (4ème4)'!AO5:AQ5,"B"))*3)+((COUNTIF('Elève (4ème4)'!AO5:AQ5,"C"))*2)+((COUNTIF('Elève (4ème4)'!AO5:AQ5,"D"))*1))/(COUNTA(AO5:AQ5)),"")</f>
        <v>2.5</v>
      </c>
      <c r="AS5" s="190" t="str">
        <f t="shared" si="8"/>
        <v>C</v>
      </c>
      <c r="AT5" s="118"/>
      <c r="AU5" s="119" t="s">
        <v>31</v>
      </c>
      <c r="AV5" s="226" t="s">
        <v>30</v>
      </c>
      <c r="AW5" s="226" t="s">
        <v>30</v>
      </c>
      <c r="AX5" s="189">
        <f>IFERROR((((COUNTIF('Elève (4ème4)'!AT5:AW5,"A"))*4)+((COUNTIF('Elève (4ème4)'!AT5:AW5,"B"))*3)+((COUNTIF('Elève (4ème4)'!AT5:AW5,"C"))*2)+((COUNTIF('Elève (4ème4)'!AT5:AW5,"D"))*1))/(COUNTA(AT5:AW5)),"")</f>
        <v>2.6666666666666665</v>
      </c>
      <c r="AY5" s="190" t="str">
        <f t="shared" si="9"/>
        <v>C</v>
      </c>
      <c r="AZ5" s="123"/>
      <c r="BA5" s="124"/>
      <c r="BB5" s="120"/>
      <c r="BC5" s="126"/>
      <c r="BD5" s="189" t="str">
        <f>IFERROR((((COUNTIF('Elève (4ème4)'!AZ5:BC5,"A"))*4)+((COUNTIF('Elève (4ème4)'!AZ5:BC5,"B"))*3)+((COUNTIF('Elève (4ème4)'!AZ5:BC5,"C"))*2)+((COUNTIF('Elève (4ème4)'!AZ5:BC5,"D"))*1))/(COUNTA(AZ5:BC5)),"")</f>
        <v/>
      </c>
      <c r="BE5" s="190" t="str">
        <f t="shared" si="10"/>
        <v/>
      </c>
      <c r="BF5" s="189">
        <f>IF(COUNT(AR5,AX5,BD5)=0,"",SUM(AR5,AX5,BD5)/COUNT(AR5,AX5,BD5))</f>
        <v>2.583333333333333</v>
      </c>
      <c r="BG5" s="214" t="str">
        <f t="shared" si="11"/>
        <v>C</v>
      </c>
      <c r="BH5" s="118" t="s">
        <v>31</v>
      </c>
      <c r="BI5" s="119" t="s">
        <v>30</v>
      </c>
      <c r="BJ5" s="120"/>
      <c r="BK5" s="189">
        <f>IFERROR((((COUNTIF('Elève (4ème4)'!BH5:BJ5,"A"))*4)+((COUNTIF('Elève (4ème4)'!BH5:BJ5,"B"))*3)+((COUNTIF('Elève (4ème4)'!BH5:BJ5,"C"))*2)+((COUNTIF('Elève (4ème4)'!BH5:BJ5,"D"))*1))/(COUNTA(BH5:BJ5)),"")</f>
        <v>2.5</v>
      </c>
      <c r="BL5" s="190" t="str">
        <f t="shared" si="12"/>
        <v>C</v>
      </c>
      <c r="BM5" s="118"/>
      <c r="BN5" s="119" t="s">
        <v>31</v>
      </c>
      <c r="BO5" s="226" t="s">
        <v>30</v>
      </c>
      <c r="BP5" s="226" t="s">
        <v>31</v>
      </c>
      <c r="BQ5" s="189">
        <f>IFERROR((((COUNTIF('Elève (4ème4)'!BM5:BP5,"A"))*4)+((COUNTIF('Elève (4ème4)'!BM5:BP5,"B"))*3)+((COUNTIF('Elève (4ème4)'!BM5:BP5,"C"))*2)+((COUNTIF('Elève (4ème4)'!BM5:BP5,"D"))*1))/(COUNTA(BM5:BP5)),"")</f>
        <v>2.3333333333333335</v>
      </c>
      <c r="BR5" s="190" t="str">
        <f t="shared" si="13"/>
        <v>C</v>
      </c>
      <c r="BS5" s="123"/>
      <c r="BT5" s="124"/>
      <c r="BU5" s="120"/>
      <c r="BV5" s="126"/>
      <c r="BW5" s="189" t="str">
        <f>IFERROR((((COUNTIF('Elève (4ème4)'!BS5:BV5,"A"))*4)+((COUNTIF('Elève (4ème4)'!BS5:BV5,"B"))*3)+((COUNTIF('Elève (4ème4)'!BS5:BV5,"C"))*2)+((COUNTIF('Elève (4ème4)'!BS5:BV5,"D"))*1))/(COUNTA(BS5:BV5)),"")</f>
        <v/>
      </c>
      <c r="BX5" s="190" t="str">
        <f t="shared" si="14"/>
        <v/>
      </c>
      <c r="BY5" s="189">
        <f>IF(COUNT(BK5,BQ5,BW5)=0,"",SUM(BK5,BQ5,BW5)/COUNT(BK5,BQ5,BW5))</f>
        <v>2.416666666666667</v>
      </c>
      <c r="BZ5" s="214" t="str">
        <f t="shared" si="15"/>
        <v>C</v>
      </c>
      <c r="CA5" s="118" t="s">
        <v>31</v>
      </c>
      <c r="CB5" s="119" t="s">
        <v>30</v>
      </c>
      <c r="CC5" s="120"/>
      <c r="CD5" s="189">
        <f>IFERROR((((COUNTIF('Elève (4ème4)'!CA5:CC5,"A"))*4)+((COUNTIF('Elève (4ème4)'!CA5:CC5,"B"))*3)+((COUNTIF('Elève (4ème4)'!CA5:CC5,"C"))*2)+((COUNTIF('Elève (4ème4)'!CA5:CC5,"D"))*1))/(COUNTA(CA5:CC5)),"")</f>
        <v>2.5</v>
      </c>
      <c r="CE5" s="190" t="str">
        <f t="shared" si="16"/>
        <v>C</v>
      </c>
      <c r="CF5" s="118"/>
      <c r="CG5" s="119" t="s">
        <v>30</v>
      </c>
      <c r="CH5" s="226" t="s">
        <v>30</v>
      </c>
      <c r="CI5" s="226" t="s">
        <v>30</v>
      </c>
      <c r="CJ5" s="189">
        <f>IFERROR((((COUNTIF('Elève (4ème4)'!CF5:CI5,"A"))*4)+((COUNTIF('Elève (4ème4)'!CF5:CI5,"B"))*3)+((COUNTIF('Elève (4ème4)'!CF5:CI5,"C"))*2)+((COUNTIF('Elève (4ème4)'!CF5:CI5,"D"))*1))/(COUNTA(CF5:CI5)),"")</f>
        <v>3</v>
      </c>
      <c r="CK5" s="190" t="str">
        <f t="shared" si="17"/>
        <v>B</v>
      </c>
      <c r="CL5" s="123"/>
      <c r="CM5" s="124"/>
      <c r="CN5" s="120"/>
      <c r="CO5" s="126"/>
      <c r="CP5" s="189" t="str">
        <f>IFERROR((((COUNTIF('Elève (4ème4)'!CL5:CO5,"A"))*4)+((COUNTIF('Elève (4ème4)'!CL5:CO5,"B"))*3)+((COUNTIF('Elève (4ème4)'!CL5:CO5,"C"))*2)+((COUNTIF('Elève (4ème4)'!CL5:CO5,"D"))*1))/(COUNTA(CL5:CO5)),"")</f>
        <v/>
      </c>
      <c r="CQ5" s="190" t="str">
        <f t="shared" si="18"/>
        <v/>
      </c>
      <c r="CR5" s="189">
        <f>IF(COUNT(CD5,CJ5,CP5)=0,"",SUM(CD5,CJ5,CP5)/COUNT(CD5,CJ5,CP5))</f>
        <v>2.75</v>
      </c>
      <c r="CS5" s="214" t="str">
        <f t="shared" si="19"/>
        <v>C</v>
      </c>
      <c r="CT5" s="118" t="s">
        <v>31</v>
      </c>
      <c r="CU5" s="119" t="s">
        <v>30</v>
      </c>
      <c r="CV5" s="120"/>
      <c r="CW5" s="189">
        <f>IFERROR((((COUNTIF('Elève (4ème4)'!CT5:CV5,"A"))*4)+((COUNTIF('Elève (4ème4)'!CT5:CV5,"B"))*3)+((COUNTIF('Elève (4ème4)'!CT5:CV5,"C"))*2)+((COUNTIF('Elève (4ème4)'!CT5:CV5,"D"))*1))/(COUNTA(CT5:CV5)),"")</f>
        <v>2.5</v>
      </c>
      <c r="CX5" s="190" t="str">
        <f t="shared" si="20"/>
        <v>C</v>
      </c>
      <c r="CY5" s="118"/>
      <c r="CZ5" s="119" t="s">
        <v>30</v>
      </c>
      <c r="DA5" s="226" t="s">
        <v>30</v>
      </c>
      <c r="DB5" s="226" t="s">
        <v>29</v>
      </c>
      <c r="DC5" s="189">
        <f>IFERROR((((COUNTIF('Elève (4ème4)'!CY5:DB5,"A"))*4)+((COUNTIF('Elève (4ème4)'!CY5:DB5,"B"))*3)+((COUNTIF('Elève (4ème4)'!CY5:DB5,"C"))*2)+((COUNTIF('Elève (4ème4)'!CY5:DB5,"D"))*1))/(COUNTA(CY5:DB5)),"")</f>
        <v>3.3333333333333335</v>
      </c>
      <c r="DD5" s="190" t="str">
        <f t="shared" si="21"/>
        <v>B</v>
      </c>
      <c r="DE5" s="123"/>
      <c r="DF5" s="124"/>
      <c r="DG5" s="120"/>
      <c r="DH5" s="126"/>
      <c r="DI5" s="189" t="str">
        <f>IFERROR((((COUNTIF('Elève (4ème4)'!DE5:DH5,"A"))*4)+((COUNTIF('Elève (4ème4)'!DE5:DH5,"B"))*3)+((COUNTIF('Elève (4ème4)'!DE5:DH5,"C"))*2)+((COUNTIF('Elève (4ème4)'!DE5:DH5,"D"))*1))/(COUNTA(DE5:DH5)),"")</f>
        <v/>
      </c>
      <c r="DJ5" s="190" t="str">
        <f t="shared" si="22"/>
        <v/>
      </c>
      <c r="DK5" s="189">
        <f>IF(COUNT(CW5,DC5,DI5)=0,"",SUM(CW5,DC5,DI5)/COUNT(CW5,DC5,DI5))</f>
        <v>2.916666666666667</v>
      </c>
      <c r="DL5" s="214" t="str">
        <f t="shared" si="23"/>
        <v>B</v>
      </c>
      <c r="DM5" s="118" t="s">
        <v>30</v>
      </c>
      <c r="DN5" s="119" t="s">
        <v>29</v>
      </c>
      <c r="DO5" s="120"/>
      <c r="DP5" s="189">
        <f>IFERROR((((COUNTIF('Elève (4ème4)'!DM5:DO5,"A"))*4)+((COUNTIF('Elève (4ème4)'!DM5:DO5,"B"))*3)+((COUNTIF('Elève (4ème4)'!DM5:DO5,"C"))*2)+((COUNTIF('Elève (4ème4)'!DM5:DO5,"D"))*1))/(COUNTA(DM5:DO5)),"")</f>
        <v>3.5</v>
      </c>
      <c r="DQ5" s="190" t="str">
        <f t="shared" si="24"/>
        <v>B</v>
      </c>
      <c r="DR5" s="118"/>
      <c r="DS5" s="119" t="s">
        <v>29</v>
      </c>
      <c r="DT5" s="226" t="s">
        <v>30</v>
      </c>
      <c r="DU5" s="226" t="s">
        <v>30</v>
      </c>
      <c r="DV5" s="189">
        <f>IFERROR((((COUNTIF('Elève (4ème4)'!DR5:DU5,"A"))*4)+((COUNTIF('Elève (4ème4)'!DR5:DU5,"B"))*3)+((COUNTIF('Elève (4ème4)'!DR5:DU5,"C"))*2)+((COUNTIF('Elève (4ème4)'!DR5:DU5,"D"))*1))/(COUNTA(DR5:DU5)),"")</f>
        <v>3.3333333333333335</v>
      </c>
      <c r="DW5" s="190" t="str">
        <f t="shared" si="25"/>
        <v>B</v>
      </c>
      <c r="DX5" s="123"/>
      <c r="DY5" s="124"/>
      <c r="DZ5" s="120"/>
      <c r="EA5" s="126"/>
      <c r="EB5" s="189" t="str">
        <f>IFERROR((((COUNTIF('Elève (4ème4)'!DX5:EA5,"A"))*4)+((COUNTIF('Elève (4ème4)'!DX5:EA5,"B"))*3)+((COUNTIF('Elève (4ème4)'!DX5:EA5,"C"))*2)+((COUNTIF('Elève (4ème4)'!DX5:EA5,"D"))*1))/(COUNTA(DX5:EA5)),"")</f>
        <v/>
      </c>
      <c r="EC5" s="190" t="str">
        <f t="shared" si="26"/>
        <v/>
      </c>
      <c r="ED5" s="189">
        <f>IF(COUNT(DP5,DV5,EB5)=0,"",SUM(DP5,DV5,EB5)/COUNT(DP5,DV5,EB5))</f>
        <v>3.416666666666667</v>
      </c>
      <c r="EE5" s="214" t="str">
        <f t="shared" si="27"/>
        <v>B</v>
      </c>
      <c r="EF5" s="118" t="s">
        <v>31</v>
      </c>
      <c r="EG5" s="119" t="s">
        <v>29</v>
      </c>
      <c r="EH5" s="120"/>
      <c r="EI5" s="189">
        <f>IFERROR((((COUNTIF('Elève (4ème4)'!EF5:EH5,"A"))*4)+((COUNTIF('Elève (4ème4)'!EF5:EH5,"B"))*3)+((COUNTIF('Elève (4ème4)'!EF5:EH5,"C"))*2)+((COUNTIF('Elève (4ème4)'!EF5:EH5,"D"))*1))/(COUNTA(EF5:EH5)),"")</f>
        <v>3</v>
      </c>
      <c r="EJ5" s="190" t="str">
        <f t="shared" si="28"/>
        <v>B</v>
      </c>
      <c r="EK5" s="118"/>
      <c r="EL5" s="119" t="s">
        <v>29</v>
      </c>
      <c r="EM5" s="226" t="s">
        <v>31</v>
      </c>
      <c r="EN5" s="226" t="s">
        <v>31</v>
      </c>
      <c r="EO5" s="189">
        <f>IFERROR((((COUNTIF('Elève (4ème4)'!EK5:EN5,"A"))*4)+((COUNTIF('Elève (4ème4)'!EK5:EN5,"B"))*3)+((COUNTIF('Elève (4ème4)'!EK5:EN5,"C"))*2)+((COUNTIF('Elève (4ème4)'!EK5:EN5,"D"))*1))/(COUNTA(EK5:EN5)),"")</f>
        <v>2.6666666666666665</v>
      </c>
      <c r="EP5" s="190" t="str">
        <f t="shared" si="29"/>
        <v>C</v>
      </c>
      <c r="EQ5" s="123"/>
      <c r="ER5" s="124"/>
      <c r="ES5" s="120"/>
      <c r="ET5" s="126"/>
      <c r="EU5" s="189" t="str">
        <f>IFERROR((((COUNTIF('Elève (4ème4)'!EQ5:ET5,"A"))*4)+((COUNTIF('Elève (4ème4)'!EQ5:ET5,"B"))*3)+((COUNTIF('Elève (4ème4)'!EQ5:ET5,"C"))*2)+((COUNTIF('Elève (4ème4)'!EQ5:ET5,"D"))*1))/(COUNTA(EQ5:ET5)),"")</f>
        <v/>
      </c>
      <c r="EV5" s="190" t="str">
        <f t="shared" si="30"/>
        <v/>
      </c>
      <c r="EW5" s="189">
        <f>IF(COUNT(EI5,EO5,EU5)=0,"",SUM(EI5,EO5,EU5)/COUNT(EI5,EO5,EU5))</f>
        <v>2.833333333333333</v>
      </c>
      <c r="EX5" s="214" t="str">
        <f t="shared" si="31"/>
        <v>B</v>
      </c>
      <c r="EY5" s="118" t="s">
        <v>31</v>
      </c>
      <c r="EZ5" s="119" t="s">
        <v>30</v>
      </c>
      <c r="FA5" s="120"/>
      <c r="FB5" s="189">
        <f>IFERROR((((COUNTIF('Elève (4ème4)'!EY5:FA5,"A"))*4)+((COUNTIF('Elève (4ème4)'!EY5:FA5,"B"))*3)+((COUNTIF('Elève (4ème4)'!EY5:FA5,"C"))*2)+((COUNTIF('Elève (4ème4)'!EY5:FA5,"D"))*1))/(COUNTA(EY5:FA5)),"")</f>
        <v>2.5</v>
      </c>
      <c r="FC5" s="190" t="str">
        <f t="shared" si="32"/>
        <v>C</v>
      </c>
      <c r="FD5" s="118"/>
      <c r="FE5" s="119" t="s">
        <v>31</v>
      </c>
      <c r="FF5" s="226" t="s">
        <v>30</v>
      </c>
      <c r="FG5" s="226" t="s">
        <v>31</v>
      </c>
      <c r="FH5" s="189">
        <f>IFERROR((((COUNTIF('Elève (4ème4)'!FD5:FG5,"A"))*4)+((COUNTIF('Elève (4ème4)'!FD5:FG5,"B"))*3)+((COUNTIF('Elève (4ème4)'!FD5:FG5,"C"))*2)+((COUNTIF('Elève (4ème4)'!FD5:FG5,"D"))*1))/(COUNTA(FD5:FG5)),"")</f>
        <v>2.3333333333333335</v>
      </c>
      <c r="FI5" s="190" t="str">
        <f t="shared" si="33"/>
        <v>C</v>
      </c>
      <c r="FJ5" s="123"/>
      <c r="FK5" s="124"/>
      <c r="FL5" s="120"/>
      <c r="FM5" s="126"/>
      <c r="FN5" s="189" t="str">
        <f>IFERROR((((COUNTIF('Elève (4ème4)'!FJ5:FM5,"A"))*4)+((COUNTIF('Elève (4ème4)'!FJ5:FM5,"B"))*3)+((COUNTIF('Elève (4ème4)'!FJ5:FM5,"C"))*2)+((COUNTIF('Elève (4ème4)'!FJ5:FM5,"D"))*1))/(COUNTA(FJ5:FM5)),"")</f>
        <v/>
      </c>
      <c r="FO5" s="190" t="str">
        <f t="shared" si="34"/>
        <v/>
      </c>
      <c r="FP5" s="189">
        <f>IF(COUNT(FB5,FH5,FN5)=0,"",SUM(FB5,FH5,FN5)/COUNT(FB5,FH5,FN5))</f>
        <v>2.416666666666667</v>
      </c>
      <c r="FQ5" s="214" t="str">
        <f t="shared" si="35"/>
        <v>C</v>
      </c>
      <c r="FR5" s="118" t="s">
        <v>30</v>
      </c>
      <c r="FS5" s="119" t="s">
        <v>30</v>
      </c>
      <c r="FT5" s="120"/>
      <c r="FU5" s="189">
        <f>IFERROR((((COUNTIF('Elève (4ème4)'!FR5:FT5,"A"))*4)+((COUNTIF('Elève (4ème4)'!FR5:FT5,"B"))*3)+((COUNTIF('Elève (4ème4)'!FR5:FT5,"C"))*2)+((COUNTIF('Elève (4ème4)'!FR5:FT5,"D"))*1))/(COUNTA(FR5:FT5)),"")</f>
        <v>3</v>
      </c>
      <c r="FV5" s="190" t="str">
        <f t="shared" si="36"/>
        <v>B</v>
      </c>
      <c r="FW5" s="118"/>
      <c r="FX5" s="119" t="s">
        <v>31</v>
      </c>
      <c r="FY5" s="226" t="s">
        <v>30</v>
      </c>
      <c r="FZ5" s="226" t="s">
        <v>30</v>
      </c>
      <c r="GA5" s="189">
        <f>IFERROR((((COUNTIF('Elève (4ème4)'!FW5:FZ5,"A"))*4)+((COUNTIF('Elève (4ème4)'!FW5:FZ5,"B"))*3)+((COUNTIF('Elève (4ème4)'!FW5:FZ5,"C"))*2)+((COUNTIF('Elève (4ème4)'!FW5:FZ5,"D"))*1))/(COUNTA(FW5:FZ5)),"")</f>
        <v>2.6666666666666665</v>
      </c>
      <c r="GB5" s="190" t="str">
        <f t="shared" si="37"/>
        <v>C</v>
      </c>
      <c r="GC5" s="123"/>
      <c r="GD5" s="124"/>
      <c r="GE5" s="120"/>
      <c r="GF5" s="126"/>
      <c r="GG5" s="189" t="str">
        <f>IFERROR((((COUNTIF('Elève (4ème4)'!GC5:GF5,"A"))*4)+((COUNTIF('Elève (4ème4)'!GC5:GF5,"B"))*3)+((COUNTIF('Elève (4ème4)'!GC5:GF5,"C"))*2)+((COUNTIF('Elève (4ème4)'!GC5:GF5,"D"))*1))/(COUNTA(GC5:GF5)),"")</f>
        <v/>
      </c>
      <c r="GH5" s="190" t="str">
        <f t="shared" si="38"/>
        <v/>
      </c>
      <c r="GI5" s="189">
        <f>IF(COUNT(FU5,GA5,GG5)=0,"",SUM(FU5,GA5,GG5)/COUNT(FU5,GA5,GG5))</f>
        <v>2.833333333333333</v>
      </c>
      <c r="GJ5" s="214" t="str">
        <f t="shared" si="39"/>
        <v>B</v>
      </c>
      <c r="GK5" s="118" t="s">
        <v>30</v>
      </c>
      <c r="GL5" s="119" t="s">
        <v>29</v>
      </c>
      <c r="GM5" s="120"/>
      <c r="GN5" s="189">
        <f>IFERROR((((COUNTIF('Elève (4ème4)'!GK5:GM5,"A"))*4)+((COUNTIF('Elève (4ème4)'!GK5:GM5,"B"))*3)+((COUNTIF('Elève (4ème4)'!GK5:GM5,"C"))*2)+((COUNTIF('Elève (4ème4)'!GK5:GM5,"D"))*1))/(COUNTA(GK5:GM5)),"")</f>
        <v>3.5</v>
      </c>
      <c r="GO5" s="190" t="str">
        <f t="shared" si="40"/>
        <v>B</v>
      </c>
      <c r="GP5" s="118"/>
      <c r="GQ5" s="119" t="s">
        <v>29</v>
      </c>
      <c r="GR5" s="226" t="s">
        <v>30</v>
      </c>
      <c r="GS5" s="226" t="s">
        <v>30</v>
      </c>
      <c r="GT5" s="189">
        <f>IFERROR((((COUNTIF('Elève (4ème4)'!GP5:GS5,"A"))*4)+((COUNTIF('Elève (4ème4)'!GP5:GS5,"B"))*3)+((COUNTIF('Elève (4ème4)'!GP5:GS5,"C"))*2)+((COUNTIF('Elève (4ème4)'!GP5:GS5,"D"))*1))/(COUNTA(GP5:GS5)),"")</f>
        <v>3.3333333333333335</v>
      </c>
      <c r="GU5" s="190" t="str">
        <f t="shared" si="41"/>
        <v>B</v>
      </c>
      <c r="GV5" s="123"/>
      <c r="GW5" s="124"/>
      <c r="GX5" s="120"/>
      <c r="GY5" s="126"/>
      <c r="GZ5" s="189" t="str">
        <f>IFERROR((((COUNTIF('Elève (4ème4)'!GV5:GY5,"A"))*4)+((COUNTIF('Elève (4ème4)'!GV5:GY5,"B"))*3)+((COUNTIF('Elève (4ème4)'!GV5:GY5,"C"))*2)+((COUNTIF('Elève (4ème4)'!GV5:GY5,"D"))*1))/(COUNTA(GV5:GY5)),"")</f>
        <v/>
      </c>
      <c r="HA5" s="190" t="str">
        <f t="shared" si="42"/>
        <v/>
      </c>
      <c r="HB5" s="189">
        <f>IF(COUNT(GN5,GT5,GZ5)=0,"",SUM(GN5,GT5,GZ5)/COUNT(GN5,GT5,GZ5))</f>
        <v>3.416666666666667</v>
      </c>
      <c r="HC5" s="214" t="str">
        <f t="shared" si="43"/>
        <v>B</v>
      </c>
      <c r="HD5" s="118" t="s">
        <v>30</v>
      </c>
      <c r="HE5" s="119" t="s">
        <v>30</v>
      </c>
      <c r="HF5" s="120"/>
      <c r="HG5" s="189">
        <f>IFERROR((((COUNTIF('Elève (4ème4)'!HD5:HF5,"A"))*4)+((COUNTIF('Elève (4ème4)'!HD5:HF5,"B"))*3)+((COUNTIF('Elève (4ème4)'!HD5:HF5,"C"))*2)+((COUNTIF('Elève (4ème4)'!HD5:HF5,"D"))*1))/(COUNTA(HD5:HF5)),"")</f>
        <v>3</v>
      </c>
      <c r="HH5" s="190" t="str">
        <f t="shared" si="44"/>
        <v>B</v>
      </c>
      <c r="HI5" s="118"/>
      <c r="HJ5" s="119" t="s">
        <v>30</v>
      </c>
      <c r="HK5" s="226" t="s">
        <v>30</v>
      </c>
      <c r="HL5" s="226" t="s">
        <v>30</v>
      </c>
      <c r="HM5" s="189">
        <f>IFERROR((((COUNTIF('Elève (4ème4)'!HI5:HL5,"A"))*4)+((COUNTIF('Elève (4ème4)'!HI5:HL5,"B"))*3)+((COUNTIF('Elève (4ème4)'!HI5:HL5,"C"))*2)+((COUNTIF('Elève (4ème4)'!HI5:HL5,"D"))*1))/(COUNTA(HI5:HL5)),"")</f>
        <v>3</v>
      </c>
      <c r="HN5" s="190" t="str">
        <f t="shared" si="45"/>
        <v>B</v>
      </c>
      <c r="HO5" s="123"/>
      <c r="HP5" s="124"/>
      <c r="HQ5" s="120"/>
      <c r="HR5" s="126"/>
      <c r="HS5" s="189" t="str">
        <f>IFERROR((((COUNTIF('Elève (4ème4)'!HO5:HR5,"A"))*4)+((COUNTIF('Elève (4ème4)'!HO5:HR5,"B"))*3)+((COUNTIF('Elève (4ème4)'!HO5:HR5,"C"))*2)+((COUNTIF('Elève (4ème4)'!HO5:HR5,"D"))*1))/(COUNTA(HO5:HR5)),"")</f>
        <v/>
      </c>
      <c r="HT5" s="190" t="str">
        <f t="shared" si="46"/>
        <v/>
      </c>
      <c r="HU5" s="189">
        <f>IF(COUNT(HG5,HM5,HS5)=0,"",SUM(HG5,HM5,HS5)/COUNT(HG5,HM5,HS5))</f>
        <v>3</v>
      </c>
      <c r="HV5" s="214" t="str">
        <f t="shared" si="47"/>
        <v>B</v>
      </c>
      <c r="HW5" s="118" t="s">
        <v>31</v>
      </c>
      <c r="HX5" s="119" t="s">
        <v>29</v>
      </c>
      <c r="HY5" s="120"/>
      <c r="HZ5" s="189">
        <f>IFERROR((((COUNTIF('Elève (4ème4)'!HW5:HY5,"A"))*4)+((COUNTIF('Elève (4ème4)'!HW5:HY5,"B"))*3)+((COUNTIF('Elève (4ème4)'!HW5:HY5,"C"))*2)+((COUNTIF('Elève (4ème4)'!HW5:HY5,"D"))*1))/(COUNTA(HW5:HY5)),"")</f>
        <v>3</v>
      </c>
      <c r="IA5" s="190" t="str">
        <f t="shared" si="48"/>
        <v>B</v>
      </c>
      <c r="IB5" s="118"/>
      <c r="IC5" s="119" t="s">
        <v>31</v>
      </c>
      <c r="ID5" s="226" t="s">
        <v>30</v>
      </c>
      <c r="IE5" s="226" t="s">
        <v>30</v>
      </c>
      <c r="IF5" s="189">
        <f>IFERROR((((COUNTIF('Elève (4ème4)'!IB5:IE5,"A"))*4)+((COUNTIF('Elève (4ème4)'!IB5:IE5,"B"))*3)+((COUNTIF('Elève (4ème4)'!IB5:IE5,"C"))*2)+((COUNTIF('Elève (4ème4)'!IB5:IE5,"D"))*1))/(COUNTA(IB5:IE5)),"")</f>
        <v>2.6666666666666665</v>
      </c>
      <c r="IG5" s="190" t="str">
        <f t="shared" si="49"/>
        <v>C</v>
      </c>
      <c r="IH5" s="123"/>
      <c r="II5" s="124"/>
      <c r="IJ5" s="120"/>
      <c r="IK5" s="126"/>
      <c r="IL5" s="189" t="str">
        <f>IFERROR((((COUNTIF('Elève (4ème4)'!IH5:IK5,"A"))*4)+((COUNTIF('Elève (4ème4)'!IH5:IK5,"B"))*3)+((COUNTIF('Elève (4ème4)'!IH5:IK5,"C"))*2)+((COUNTIF('Elève (4ème4)'!IH5:IK5,"D"))*1))/(COUNTA(IH5:IK5)),"")</f>
        <v/>
      </c>
      <c r="IM5" s="190" t="str">
        <f t="shared" si="50"/>
        <v/>
      </c>
      <c r="IN5" s="189">
        <f>IF(COUNT(HZ5,IF5,IL5)=0,"",SUM(HZ5,IF5,IL5)/COUNT(HZ5,IF5,IL5))</f>
        <v>2.833333333333333</v>
      </c>
      <c r="IO5" s="214" t="str">
        <f t="shared" si="51"/>
        <v>B</v>
      </c>
      <c r="IP5" s="118" t="s">
        <v>32</v>
      </c>
      <c r="IQ5" s="119" t="s">
        <v>30</v>
      </c>
      <c r="IR5" s="120"/>
      <c r="IS5" s="189">
        <f>IFERROR((((COUNTIF('Elève (4ème4)'!IP5:IR5,"A"))*4)+((COUNTIF('Elève (4ème4)'!IP5:IR5,"B"))*3)+((COUNTIF('Elève (4ème4)'!IP5:IR5,"C"))*2)+((COUNTIF('Elève (4ème4)'!IP5:IR5,"D"))*1))/(COUNTA(IP5:IR5)),"")</f>
        <v>2</v>
      </c>
      <c r="IT5" s="190" t="str">
        <f t="shared" si="52"/>
        <v>C</v>
      </c>
      <c r="IU5" s="118"/>
      <c r="IV5" s="119" t="s">
        <v>30</v>
      </c>
      <c r="IW5" s="226" t="s">
        <v>31</v>
      </c>
      <c r="IX5" s="226" t="s">
        <v>30</v>
      </c>
      <c r="IY5" s="189">
        <f>IFERROR((((COUNTIF('Elève (4ème4)'!IU5:IX5,"A"))*4)+((COUNTIF('Elève (4ème4)'!IU5:IX5,"B"))*3)+((COUNTIF('Elève (4ème4)'!IU5:IX5,"C"))*2)+((COUNTIF('Elève (4ème4)'!IU5:IX5,"D"))*1))/(COUNTA(IU5:IX5)),"")</f>
        <v>2.6666666666666665</v>
      </c>
      <c r="IZ5" s="190" t="str">
        <f t="shared" si="53"/>
        <v>C</v>
      </c>
      <c r="JA5" s="123"/>
      <c r="JB5" s="124"/>
      <c r="JC5" s="120"/>
      <c r="JD5" s="126"/>
      <c r="JE5" s="189" t="str">
        <f>IFERROR((((COUNTIF('Elève (4ème4)'!JA5:JD5,"A"))*4)+((COUNTIF('Elève (4ème4)'!JA5:JD5,"B"))*3)+((COUNTIF('Elève (4ème4)'!JA5:JD5,"C"))*2)+((COUNTIF('Elève (4ème4)'!JA5:JD5,"D"))*1))/(COUNTA(JA5:JD5)),"")</f>
        <v/>
      </c>
      <c r="JF5" s="190" t="str">
        <f t="shared" si="54"/>
        <v/>
      </c>
      <c r="JG5" s="189">
        <f>IF(COUNT(IS5,IY5,JE5)=0,"",SUM(IS5,IY5,JE5)/COUNT(IS5,IY5,JE5))</f>
        <v>2.333333333333333</v>
      </c>
      <c r="JH5" s="214" t="str">
        <f t="shared" si="55"/>
        <v>C</v>
      </c>
      <c r="JI5" s="118" t="s">
        <v>29</v>
      </c>
      <c r="JJ5" s="119" t="s">
        <v>30</v>
      </c>
      <c r="JK5" s="120"/>
      <c r="JL5" s="189">
        <f>IFERROR((((COUNTIF('Elève (4ème4)'!JI5:JK5,"A"))*4)+((COUNTIF('Elève (4ème4)'!JI5:JK5,"B"))*3)+((COUNTIF('Elève (4ème4)'!JI5:JK5,"C"))*2)+((COUNTIF('Elève (4ème4)'!JI5:JK5,"D"))*1))/(COUNTA(JI5:JK5)),"")</f>
        <v>3.5</v>
      </c>
      <c r="JM5" s="190" t="str">
        <f t="shared" si="56"/>
        <v>B</v>
      </c>
      <c r="JN5" s="118"/>
      <c r="JO5" s="119" t="s">
        <v>30</v>
      </c>
      <c r="JP5" s="226" t="s">
        <v>30</v>
      </c>
      <c r="JQ5" s="226" t="s">
        <v>30</v>
      </c>
      <c r="JR5" s="189">
        <f>IFERROR((((COUNTIF('Elève (4ème4)'!JN5:JQ5,"A"))*4)+((COUNTIF('Elève (4ème4)'!JN5:JQ5,"B"))*3)+((COUNTIF('Elève (4ème4)'!JN5:JQ5,"C"))*2)+((COUNTIF('Elève (4ème4)'!JN5:JQ5,"D"))*1))/(COUNTA(JN5:JQ5)),"")</f>
        <v>3</v>
      </c>
      <c r="JS5" s="190" t="str">
        <f t="shared" si="57"/>
        <v>B</v>
      </c>
      <c r="JT5" s="123"/>
      <c r="JU5" s="124"/>
      <c r="JV5" s="120"/>
      <c r="JW5" s="126"/>
      <c r="JX5" s="189" t="str">
        <f>IFERROR((((COUNTIF('Elève (4ème4)'!JT5:JW5,"A"))*4)+((COUNTIF('Elève (4ème4)'!JT5:JW5,"B"))*3)+((COUNTIF('Elève (4ème4)'!JT5:JW5,"C"))*2)+((COUNTIF('Elève (4ème4)'!JT5:JW5,"D"))*1))/(COUNTA(JT5:JW5)),"")</f>
        <v/>
      </c>
      <c r="JY5" s="190" t="str">
        <f t="shared" si="58"/>
        <v/>
      </c>
      <c r="JZ5" s="189">
        <f>IF(COUNT(JL5,JR5,JX5)=0,"",SUM(JL5,JR5,JX5)/COUNT(JL5,JR5,JX5))</f>
        <v>3.25</v>
      </c>
      <c r="KA5" s="214" t="str">
        <f t="shared" si="59"/>
        <v>B</v>
      </c>
      <c r="KB5" s="118" t="s">
        <v>31</v>
      </c>
      <c r="KC5" s="119" t="s">
        <v>30</v>
      </c>
      <c r="KD5" s="120"/>
      <c r="KE5" s="189">
        <f>IFERROR((((COUNTIF('Elève (4ème4)'!KB5:KD5,"A"))*4)+((COUNTIF('Elève (4ème4)'!KB5:KD5,"B"))*3)+((COUNTIF('Elève (4ème4)'!KB5:KD5,"C"))*2)+((COUNTIF('Elève (4ème4)'!KB5:KD5,"D"))*1))/(COUNTA(KB5:KD5)),"")</f>
        <v>2.5</v>
      </c>
      <c r="KF5" s="190" t="str">
        <f t="shared" si="60"/>
        <v>C</v>
      </c>
      <c r="KG5" s="118"/>
      <c r="KH5" s="119" t="s">
        <v>30</v>
      </c>
      <c r="KI5" s="226" t="s">
        <v>31</v>
      </c>
      <c r="KJ5" s="226" t="s">
        <v>30</v>
      </c>
      <c r="KK5" s="189">
        <f>IFERROR((((COUNTIF('Elève (4ème4)'!KG5:KJ5,"A"))*4)+((COUNTIF('Elève (4ème4)'!KG5:KJ5,"B"))*3)+((COUNTIF('Elève (4ème4)'!KG5:KJ5,"C"))*2)+((COUNTIF('Elève (4ème4)'!KG5:KJ5,"D"))*1))/(COUNTA(KG5:KJ5)),"")</f>
        <v>2.6666666666666665</v>
      </c>
      <c r="KL5" s="190" t="str">
        <f t="shared" si="61"/>
        <v>C</v>
      </c>
      <c r="KM5" s="123"/>
      <c r="KN5" s="124"/>
      <c r="KO5" s="120"/>
      <c r="KP5" s="126"/>
      <c r="KQ5" s="189" t="str">
        <f>IFERROR((((COUNTIF('Elève (4ème4)'!KM5:KP5,"A"))*4)+((COUNTIF('Elève (4ème4)'!KM5:KP5,"B"))*3)+((COUNTIF('Elève (4ème4)'!KM5:KP5,"C"))*2)+((COUNTIF('Elève (4ème4)'!KM5:KP5,"D"))*1))/(COUNTA(KM5:KP5)),"")</f>
        <v/>
      </c>
      <c r="KR5" s="190" t="str">
        <f t="shared" si="62"/>
        <v/>
      </c>
      <c r="KS5" s="189">
        <f>IF(COUNT(KE5,KK5,KQ5)=0,"",SUM(KE5,KK5,KQ5)/COUNT(KE5,KK5,KQ5))</f>
        <v>2.583333333333333</v>
      </c>
      <c r="KT5" s="214" t="str">
        <f t="shared" si="63"/>
        <v>C</v>
      </c>
      <c r="KU5" s="118" t="s">
        <v>31</v>
      </c>
      <c r="KV5" s="119" t="s">
        <v>30</v>
      </c>
      <c r="KW5" s="120"/>
      <c r="KX5" s="189">
        <f>IFERROR((((COUNTIF('Elève (4ème4)'!KU5:KW5,"A"))*4)+((COUNTIF('Elève (4ème4)'!KU5:KW5,"B"))*3)+((COUNTIF('Elève (4ème4)'!KU5:KW5,"C"))*2)+((COUNTIF('Elève (4ème4)'!KU5:KW5,"D"))*1))/(COUNTA(KU5:KW5)),"")</f>
        <v>2.5</v>
      </c>
      <c r="KY5" s="190" t="str">
        <f t="shared" si="64"/>
        <v>C</v>
      </c>
      <c r="KZ5" s="118"/>
      <c r="LA5" s="119" t="s">
        <v>30</v>
      </c>
      <c r="LB5" s="226" t="s">
        <v>30</v>
      </c>
      <c r="LC5" s="226" t="s">
        <v>31</v>
      </c>
      <c r="LD5" s="189">
        <f>IFERROR((((COUNTIF('Elève (4ème4)'!KZ5:LC5,"A"))*4)+((COUNTIF('Elève (4ème4)'!KZ5:LC5,"B"))*3)+((COUNTIF('Elève (4ème4)'!KZ5:LC5,"C"))*2)+((COUNTIF('Elève (4ème4)'!KZ5:LC5,"D"))*1))/(COUNTA(KZ5:LC5)),"")</f>
        <v>2.6666666666666665</v>
      </c>
      <c r="LE5" s="190" t="str">
        <f t="shared" si="65"/>
        <v>C</v>
      </c>
      <c r="LF5" s="123"/>
      <c r="LG5" s="124"/>
      <c r="LH5" s="120"/>
      <c r="LI5" s="126"/>
      <c r="LJ5" s="189" t="str">
        <f>IFERROR((((COUNTIF('Elève (4ème4)'!LF5:LI5,"A"))*4)+((COUNTIF('Elève (4ème4)'!LF5:LI5,"B"))*3)+((COUNTIF('Elève (4ème4)'!LF5:LI5,"C"))*2)+((COUNTIF('Elève (4ème4)'!LF5:LI5,"D"))*1))/(COUNTA(LF5:LI5)),"")</f>
        <v/>
      </c>
      <c r="LK5" s="190" t="str">
        <f t="shared" si="66"/>
        <v/>
      </c>
      <c r="LL5" s="189">
        <f>IF(COUNT(KX5,LD5,LJ5)=0,"",SUM(KX5,LD5,LJ5)/COUNT(KX5,LD5,LJ5))</f>
        <v>2.583333333333333</v>
      </c>
      <c r="LM5" s="214" t="str">
        <f t="shared" si="67"/>
        <v>C</v>
      </c>
      <c r="LN5" s="118" t="s">
        <v>30</v>
      </c>
      <c r="LO5" s="119" t="s">
        <v>30</v>
      </c>
      <c r="LP5" s="120"/>
      <c r="LQ5" s="189">
        <f>IFERROR((((COUNTIF('Elève (4ème4)'!LN5:LP5,"A"))*4)+((COUNTIF('Elève (4ème4)'!LN5:LP5,"B"))*3)+((COUNTIF('Elève (4ème4)'!LN5:LP5,"C"))*2)+((COUNTIF('Elève (4ème4)'!LN5:LP5,"D"))*1))/(COUNTA(LN5:LP5)),"")</f>
        <v>3</v>
      </c>
      <c r="LR5" s="190" t="str">
        <f t="shared" si="68"/>
        <v>B</v>
      </c>
      <c r="LS5" s="118"/>
      <c r="LT5" s="119" t="s">
        <v>30</v>
      </c>
      <c r="LU5" s="226" t="s">
        <v>30</v>
      </c>
      <c r="LV5" s="226" t="s">
        <v>29</v>
      </c>
      <c r="LW5" s="189">
        <f>IFERROR((((COUNTIF('Elève (4ème4)'!LS5:LV5,"A"))*4)+((COUNTIF('Elève (4ème4)'!LS5:LV5,"B"))*3)+((COUNTIF('Elève (4ème4)'!LS5:LV5,"C"))*2)+((COUNTIF('Elève (4ème4)'!LS5:LV5,"D"))*1))/(COUNTA(LS5:LV5)),"")</f>
        <v>3.3333333333333335</v>
      </c>
      <c r="LX5" s="190" t="str">
        <f t="shared" si="69"/>
        <v>B</v>
      </c>
      <c r="LY5" s="123"/>
      <c r="LZ5" s="124"/>
      <c r="MA5" s="120"/>
      <c r="MB5" s="126"/>
      <c r="MC5" s="189" t="str">
        <f>IFERROR((((COUNTIF('Elève (4ème4)'!LY5:MB5,"A"))*4)+((COUNTIF('Elève (4ème4)'!LY5:MB5,"B"))*3)+((COUNTIF('Elève (4ème4)'!LY5:MB5,"C"))*2)+((COUNTIF('Elève (4ème4)'!LY5:MB5,"D"))*1))/(COUNTA(LY5:MB5)),"")</f>
        <v/>
      </c>
      <c r="MD5" s="190" t="str">
        <f t="shared" si="70"/>
        <v/>
      </c>
      <c r="ME5" s="189">
        <f>IF(COUNT(LQ5,LW5,MC5)=0,"",SUM(LQ5,LW5,MC5)/COUNT(LQ5,LW5,MC5))</f>
        <v>3.166666666666667</v>
      </c>
      <c r="MF5" s="214" t="str">
        <f t="shared" si="71"/>
        <v>B</v>
      </c>
      <c r="MG5" s="118" t="s">
        <v>31</v>
      </c>
      <c r="MH5" s="119" t="s">
        <v>30</v>
      </c>
      <c r="MI5" s="120"/>
      <c r="MJ5" s="189">
        <f>IFERROR((((COUNTIF('Elève (4ème4)'!MG5:MI5,"A"))*4)+((COUNTIF('Elève (4ème4)'!MG5:MI5,"B"))*3)+((COUNTIF('Elève (4ème4)'!MG5:MI5,"C"))*2)+((COUNTIF('Elève (4ème4)'!MG5:MI5,"D"))*1))/(COUNTA(MG5:MI5)),"")</f>
        <v>2.5</v>
      </c>
      <c r="MK5" s="190" t="str">
        <f t="shared" si="72"/>
        <v>C</v>
      </c>
      <c r="ML5" s="118"/>
      <c r="MM5" s="119" t="s">
        <v>30</v>
      </c>
      <c r="MN5" s="226" t="s">
        <v>30</v>
      </c>
      <c r="MO5" s="226" t="s">
        <v>29</v>
      </c>
      <c r="MP5" s="189">
        <f>IFERROR((((COUNTIF('Elève (4ème4)'!ML5:MO5,"A"))*4)+((COUNTIF('Elève (4ème4)'!ML5:MO5,"B"))*3)+((COUNTIF('Elève (4ème4)'!ML5:MO5,"C"))*2)+((COUNTIF('Elève (4ème4)'!ML5:MO5,"D"))*1))/(COUNTA(ML5:MO5)),"")</f>
        <v>3.3333333333333335</v>
      </c>
      <c r="MQ5" s="190" t="str">
        <f t="shared" si="73"/>
        <v>B</v>
      </c>
      <c r="MR5" s="123"/>
      <c r="MS5" s="124"/>
      <c r="MT5" s="120"/>
      <c r="MU5" s="126"/>
      <c r="MV5" s="189" t="str">
        <f>IFERROR((((COUNTIF('Elève (4ème4)'!MR5:MU5,"A"))*4)+((COUNTIF('Elève (4ème4)'!MR5:MU5,"B"))*3)+((COUNTIF('Elève (4ème4)'!MR5:MU5,"C"))*2)+((COUNTIF('Elève (4ème4)'!MR5:MU5,"D"))*1))/(COUNTA(MR5:MU5)),"")</f>
        <v/>
      </c>
      <c r="MW5" s="190" t="str">
        <f t="shared" si="74"/>
        <v/>
      </c>
      <c r="MX5" s="189">
        <f>IF(COUNT(MJ5,MP5,MV5)=0,"",SUM(MJ5,MP5,MV5)/COUNT(MJ5,MP5,MV5))</f>
        <v>2.916666666666667</v>
      </c>
      <c r="MY5" s="214" t="str">
        <f t="shared" si="75"/>
        <v>B</v>
      </c>
      <c r="MZ5" s="118" t="s">
        <v>30</v>
      </c>
      <c r="NA5" s="119" t="s">
        <v>29</v>
      </c>
      <c r="NB5" s="120"/>
      <c r="NC5" s="189">
        <f>IFERROR((((COUNTIF('Elève (4ème4)'!MZ5:NB5,"A"))*4)+((COUNTIF('Elève (4ème4)'!MZ5:NB5,"B"))*3)+((COUNTIF('Elève (4ème4)'!MZ5:NB5,"C"))*2)+((COUNTIF('Elève (4ème4)'!MZ5:NB5,"D"))*1))/(COUNTA(MZ5:NB5)),"")</f>
        <v>3.5</v>
      </c>
      <c r="ND5" s="190" t="str">
        <f t="shared" si="76"/>
        <v>B</v>
      </c>
      <c r="NE5" s="118"/>
      <c r="NF5" s="119" t="s">
        <v>29</v>
      </c>
      <c r="NG5" s="226" t="s">
        <v>30</v>
      </c>
      <c r="NH5" s="226" t="s">
        <v>30</v>
      </c>
      <c r="NI5" s="189">
        <f>IFERROR((((COUNTIF('Elève (4ème4)'!NE5:NH5,"A"))*4)+((COUNTIF('Elève (4ème4)'!NE5:NH5,"B"))*3)+((COUNTIF('Elève (4ème4)'!NE5:NH5,"C"))*2)+((COUNTIF('Elève (4ème4)'!NE5:NH5,"D"))*1))/(COUNTA(NE5:NH5)),"")</f>
        <v>3.3333333333333335</v>
      </c>
      <c r="NJ5" s="190" t="str">
        <f t="shared" si="77"/>
        <v>B</v>
      </c>
      <c r="NK5" s="123"/>
      <c r="NL5" s="124"/>
      <c r="NM5" s="120"/>
      <c r="NN5" s="126"/>
      <c r="NO5" s="189" t="str">
        <f>IFERROR((((COUNTIF('Elève (4ème4)'!NK5:NN5,"A"))*4)+((COUNTIF('Elève (4ème4)'!NK5:NN5,"B"))*3)+((COUNTIF('Elève (4ème4)'!NK5:NN5,"C"))*2)+((COUNTIF('Elève (4ème4)'!NK5:NN5,"D"))*1))/(COUNTA(NK5:NN5)),"")</f>
        <v/>
      </c>
      <c r="NP5" s="190" t="str">
        <f t="shared" si="78"/>
        <v/>
      </c>
      <c r="NQ5" s="189">
        <f>IF(COUNT(NC5,NI5,NO5)=0,"",SUM(NC5,NI5,NO5)/COUNT(NC5,NI5,NO5))</f>
        <v>3.416666666666667</v>
      </c>
      <c r="NR5" s="214" t="str">
        <f t="shared" si="79"/>
        <v>B</v>
      </c>
      <c r="NS5" s="118"/>
      <c r="NT5" s="119" t="s">
        <v>29</v>
      </c>
      <c r="NU5" s="120"/>
      <c r="NV5" s="189">
        <f>IFERROR((((COUNTIF('Elève (4ème4)'!NS5:NU5,"A"))*4)+((COUNTIF('Elève (4ème4)'!NS5:NU5,"B"))*3)+((COUNTIF('Elève (4ème4)'!NS5:NU5,"C"))*2)+((COUNTIF('Elève (4ème4)'!NS5:NU5,"D"))*1))/(COUNTA(NS5:NU5)),"")</f>
        <v>4</v>
      </c>
      <c r="NW5" s="190" t="str">
        <f t="shared" si="80"/>
        <v>A</v>
      </c>
      <c r="NX5" s="118"/>
      <c r="NY5" s="119" t="s">
        <v>30</v>
      </c>
      <c r="NZ5" s="226" t="s">
        <v>30</v>
      </c>
      <c r="OA5" s="226" t="s">
        <v>31</v>
      </c>
      <c r="OB5" s="189">
        <f>IFERROR((((COUNTIF('Elève (4ème4)'!NX5:OA5,"A"))*4)+((COUNTIF('Elève (4ème4)'!NX5:OA5,"B"))*3)+((COUNTIF('Elève (4ème4)'!NX5:OA5,"C"))*2)+((COUNTIF('Elève (4ème4)'!NX5:OA5,"D"))*1))/(COUNTA(NX5:OA5)),"")</f>
        <v>2.6666666666666665</v>
      </c>
      <c r="OC5" s="190" t="str">
        <f t="shared" si="81"/>
        <v>C</v>
      </c>
      <c r="OD5" s="123"/>
      <c r="OE5" s="124"/>
      <c r="OF5" s="120"/>
      <c r="OG5" s="126"/>
      <c r="OH5" s="189" t="str">
        <f>IFERROR((((COUNTIF('Elève (4ème4)'!OD5:OG5,"A"))*4)+((COUNTIF('Elève (4ème4)'!OD5:OG5,"B"))*3)+((COUNTIF('Elève (4ème4)'!OD5:OG5,"C"))*2)+((COUNTIF('Elève (4ème4)'!OD5:OG5,"D"))*1))/(COUNTA(OD5:OG5)),"")</f>
        <v/>
      </c>
      <c r="OI5" s="190" t="str">
        <f t="shared" si="82"/>
        <v/>
      </c>
      <c r="OJ5" s="189">
        <f>IF(COUNT(NV5,OB5,OH5)=0,"",SUM(NV5,OB5,OH5)/COUNT(NV5,OB5,OH5))</f>
        <v>3.333333333333333</v>
      </c>
      <c r="OK5" s="214" t="str">
        <f t="shared" si="83"/>
        <v>B</v>
      </c>
      <c r="OL5" s="118" t="s">
        <v>30</v>
      </c>
      <c r="OM5" s="119" t="s">
        <v>29</v>
      </c>
      <c r="ON5" s="120"/>
      <c r="OO5" s="189">
        <f>IFERROR((((COUNTIF('Elève (4ème4)'!OL5:ON5,"A"))*4)+((COUNTIF('Elève (4ème4)'!OL5:ON5,"B"))*3)+((COUNTIF('Elève (4ème4)'!OL5:ON5,"C"))*2)+((COUNTIF('Elève (4ème4)'!OL5:ON5,"D"))*1))/(COUNTA(OL5:ON5)),"")</f>
        <v>3.5</v>
      </c>
      <c r="OP5" s="190" t="str">
        <f t="shared" si="84"/>
        <v>B</v>
      </c>
      <c r="OQ5" s="118"/>
      <c r="OR5" s="119" t="s">
        <v>29</v>
      </c>
      <c r="OS5" s="226" t="s">
        <v>29</v>
      </c>
      <c r="OT5" s="226" t="s">
        <v>29</v>
      </c>
      <c r="OU5" s="189">
        <f>IFERROR((((COUNTIF('Elève (4ème4)'!OQ5:OT5,"A"))*4)+((COUNTIF('Elève (4ème4)'!OQ5:OT5,"B"))*3)+((COUNTIF('Elève (4ème4)'!OQ5:OT5,"C"))*2)+((COUNTIF('Elève (4ème4)'!OQ5:OT5,"D"))*1))/(COUNTA(OQ5:OT5)),"")</f>
        <v>4</v>
      </c>
      <c r="OV5" s="190" t="str">
        <f t="shared" si="85"/>
        <v>A</v>
      </c>
      <c r="OW5" s="123"/>
      <c r="OX5" s="124"/>
      <c r="OY5" s="120"/>
      <c r="OZ5" s="126"/>
      <c r="PA5" s="189" t="str">
        <f>IFERROR((((COUNTIF('Elève (4ème4)'!OW5:OZ5,"A"))*4)+((COUNTIF('Elève (4ème4)'!OW5:OZ5,"B"))*3)+((COUNTIF('Elève (4ème4)'!OW5:OZ5,"C"))*2)+((COUNTIF('Elève (4ème4)'!OW5:OZ5,"D"))*1))/(COUNTA(OW5:OZ5)),"")</f>
        <v/>
      </c>
      <c r="PB5" s="190" t="str">
        <f t="shared" si="86"/>
        <v/>
      </c>
      <c r="PC5" s="189">
        <f>IF(COUNT(OO5,OU5,PA5)=0,"",SUM(OO5,OU5,PA5)/COUNT(OO5,OU5,PA5))</f>
        <v>3.75</v>
      </c>
      <c r="PD5" s="214" t="str">
        <f t="shared" si="87"/>
        <v>A</v>
      </c>
      <c r="PE5" s="118" t="s">
        <v>31</v>
      </c>
      <c r="PF5" s="119" t="s">
        <v>30</v>
      </c>
      <c r="PG5" s="120"/>
      <c r="PH5" s="189">
        <f>IFERROR((((COUNTIF('Elève (4ème4)'!PE5:PG5,"A"))*4)+((COUNTIF('Elève (4ème4)'!PE5:PG5,"B"))*3)+((COUNTIF('Elève (4ème4)'!PE5:PG5,"C"))*2)+((COUNTIF('Elève (4ème4)'!PE5:PG5,"D"))*1))/(COUNTA(PE5:PG5)),"")</f>
        <v>2.5</v>
      </c>
      <c r="PI5" s="190" t="str">
        <f t="shared" si="88"/>
        <v>C</v>
      </c>
      <c r="PJ5" s="118"/>
      <c r="PK5" s="119" t="s">
        <v>30</v>
      </c>
      <c r="PL5" s="226" t="s">
        <v>30</v>
      </c>
      <c r="PM5" s="226" t="s">
        <v>29</v>
      </c>
      <c r="PN5" s="189">
        <f>IFERROR((((COUNTIF('Elève (4ème4)'!PJ5:PM5,"A"))*4)+((COUNTIF('Elève (4ème4)'!PJ5:PM5,"B"))*3)+((COUNTIF('Elève (4ème4)'!PJ5:PM5,"C"))*2)+((COUNTIF('Elève (4ème4)'!PJ5:PM5,"D"))*1))/(COUNTA(PJ5:PM5)),"")</f>
        <v>3.3333333333333335</v>
      </c>
      <c r="PO5" s="190" t="str">
        <f t="shared" si="89"/>
        <v>B</v>
      </c>
      <c r="PP5" s="123"/>
      <c r="PQ5" s="124"/>
      <c r="PR5" s="120"/>
      <c r="PS5" s="126"/>
      <c r="PT5" s="189" t="str">
        <f>IFERROR((((COUNTIF('Elève (4ème4)'!PP5:PS5,"A"))*4)+((COUNTIF('Elève (4ème4)'!PP5:PS5,"B"))*3)+((COUNTIF('Elève (4ème4)'!PP5:PS5,"C"))*2)+((COUNTIF('Elève (4ème4)'!PP5:PS5,"D"))*1))/(COUNTA(PP5:PS5)),"")</f>
        <v/>
      </c>
      <c r="PU5" s="190" t="str">
        <f t="shared" si="90"/>
        <v/>
      </c>
      <c r="PV5" s="189">
        <f>IF(COUNT(PH5,PN5,PT5)=0,"",SUM(PH5,PN5,PT5)/COUNT(PH5,PN5,PT5))</f>
        <v>2.916666666666667</v>
      </c>
      <c r="PW5" s="214" t="str">
        <f t="shared" si="91"/>
        <v>B</v>
      </c>
      <c r="PX5" s="118" t="s">
        <v>32</v>
      </c>
      <c r="PY5" s="119" t="s">
        <v>29</v>
      </c>
      <c r="PZ5" s="120"/>
      <c r="QA5" s="189">
        <f>IFERROR((((COUNTIF('Elève (4ème4)'!PX5:PZ5,"A"))*4)+((COUNTIF('Elève (4ème4)'!PX5:PZ5,"B"))*3)+((COUNTIF('Elève (4ème4)'!PX5:PZ5,"C"))*2)+((COUNTIF('Elève (4ème4)'!PX5:PZ5,"D"))*1))/(COUNTA(PX5:PZ5)),"")</f>
        <v>2.5</v>
      </c>
      <c r="QB5" s="190" t="str">
        <f t="shared" si="92"/>
        <v>C</v>
      </c>
      <c r="QC5" s="118"/>
      <c r="QD5" s="119" t="s">
        <v>30</v>
      </c>
      <c r="QE5" s="226" t="s">
        <v>30</v>
      </c>
      <c r="QF5" s="226" t="s">
        <v>31</v>
      </c>
      <c r="QG5" s="189">
        <f>IFERROR((((COUNTIF('Elève (4ème4)'!QC5:QF5,"A"))*4)+((COUNTIF('Elève (4ème4)'!QC5:QF5,"B"))*3)+((COUNTIF('Elève (4ème4)'!QC5:QF5,"C"))*2)+((COUNTIF('Elève (4ème4)'!QC5:QF5,"D"))*1))/(COUNTA(QC5:QF5)),"")</f>
        <v>2.6666666666666665</v>
      </c>
      <c r="QH5" s="190" t="str">
        <f t="shared" si="93"/>
        <v>C</v>
      </c>
      <c r="QI5" s="123"/>
      <c r="QJ5" s="124"/>
      <c r="QK5" s="120"/>
      <c r="QL5" s="126"/>
      <c r="QM5" s="189" t="str">
        <f>IFERROR((((COUNTIF('Elève (4ème4)'!QI5:QL5,"A"))*4)+((COUNTIF('Elève (4ème4)'!QI5:QL5,"B"))*3)+((COUNTIF('Elève (4ème4)'!QI5:QL5,"C"))*2)+((COUNTIF('Elève (4ème4)'!QI5:QL5,"D"))*1))/(COUNTA(QI5:QL5)),"")</f>
        <v/>
      </c>
      <c r="QN5" s="190" t="str">
        <f t="shared" si="94"/>
        <v/>
      </c>
      <c r="QO5" s="189">
        <f>IF(COUNT(QA5,QG5,QM5)=0,"",SUM(QA5,QG5,QM5)/COUNT(QA5,QG5,QM5))</f>
        <v>2.583333333333333</v>
      </c>
      <c r="QP5" s="214" t="str">
        <f t="shared" si="95"/>
        <v>C</v>
      </c>
      <c r="QQ5" s="118" t="s">
        <v>30</v>
      </c>
      <c r="QR5" s="119" t="s">
        <v>29</v>
      </c>
      <c r="QS5" s="120"/>
      <c r="QT5" s="189">
        <f>IFERROR((((COUNTIF('Elève (4ème4)'!QQ5:QS5,"A"))*4)+((COUNTIF('Elève (4ème4)'!QQ5:QS5,"B"))*3)+((COUNTIF('Elève (4ème4)'!QQ5:QS5,"C"))*2)+((COUNTIF('Elève (4ème4)'!QQ5:QS5,"D"))*1))/(COUNTA(QQ5:QS5)),"")</f>
        <v>3.5</v>
      </c>
      <c r="QU5" s="190" t="str">
        <f t="shared" si="96"/>
        <v>B</v>
      </c>
      <c r="QV5" s="118"/>
      <c r="QW5" s="119" t="s">
        <v>31</v>
      </c>
      <c r="QX5" s="226" t="s">
        <v>31</v>
      </c>
      <c r="QY5" s="226" t="s">
        <v>31</v>
      </c>
      <c r="QZ5" s="189">
        <f>IFERROR((((COUNTIF('Elève (4ème4)'!QV5:QY5,"A"))*4)+((COUNTIF('Elève (4ème4)'!QV5:QY5,"B"))*3)+((COUNTIF('Elève (4ème4)'!QV5:QY5,"C"))*2)+((COUNTIF('Elève (4ème4)'!QV5:QY5,"D"))*1))/(COUNTA(QV5:QY5)),"")</f>
        <v>2</v>
      </c>
      <c r="RA5" s="190" t="str">
        <f t="shared" si="97"/>
        <v>C</v>
      </c>
      <c r="RB5" s="123"/>
      <c r="RC5" s="124"/>
      <c r="RD5" s="120"/>
      <c r="RE5" s="126"/>
      <c r="RF5" s="189" t="str">
        <f>IFERROR((((COUNTIF('Elève (4ème4)'!RB5:RE5,"A"))*4)+((COUNTIF('Elève (4ème4)'!RB5:RE5,"B"))*3)+((COUNTIF('Elève (4ème4)'!RB5:RE5,"C"))*2)+((COUNTIF('Elève (4ème4)'!RB5:RE5,"D"))*1))/(COUNTA(RB5:RE5)),"")</f>
        <v/>
      </c>
      <c r="RG5" s="190" t="str">
        <f t="shared" si="98"/>
        <v/>
      </c>
      <c r="RH5" s="189">
        <f>IF(COUNT(QT5,QZ5,RF5)=0,"",SUM(QT5,QZ5,RF5)/COUNT(QT5,QZ5,RF5))</f>
        <v>2.75</v>
      </c>
      <c r="RI5" s="214" t="str">
        <f t="shared" si="99"/>
        <v>C</v>
      </c>
      <c r="RJ5" s="118" t="s">
        <v>30</v>
      </c>
      <c r="RK5" s="119" t="s">
        <v>30</v>
      </c>
      <c r="RL5" s="120"/>
      <c r="RM5" s="189">
        <f>IFERROR((((COUNTIF('Elève (4ème4)'!RJ5:RL5,"A"))*4)+((COUNTIF('Elève (4ème4)'!RJ5:RL5,"B"))*3)+((COUNTIF('Elève (4ème4)'!RJ5:RL5,"C"))*2)+((COUNTIF('Elève (4ème4)'!RJ5:RL5,"D"))*1))/(COUNTA(RJ5:RL5)),"")</f>
        <v>3</v>
      </c>
      <c r="RN5" s="190" t="str">
        <f t="shared" si="100"/>
        <v>B</v>
      </c>
      <c r="RO5" s="118"/>
      <c r="RP5" s="119" t="s">
        <v>30</v>
      </c>
      <c r="RQ5" s="226" t="s">
        <v>30</v>
      </c>
      <c r="RR5" s="226" t="s">
        <v>30</v>
      </c>
      <c r="RS5" s="189">
        <f>IFERROR((((COUNTIF('Elève (4ème4)'!RO5:RR5,"A"))*4)+((COUNTIF('Elève (4ème4)'!RO5:RR5,"B"))*3)+((COUNTIF('Elève (4ème4)'!RO5:RR5,"C"))*2)+((COUNTIF('Elève (4ème4)'!RO5:RR5,"D"))*1))/(COUNTA(RO5:RR5)),"")</f>
        <v>3</v>
      </c>
      <c r="RT5" s="190" t="str">
        <f t="shared" si="101"/>
        <v>B</v>
      </c>
      <c r="RU5" s="123"/>
      <c r="RV5" s="124"/>
      <c r="RW5" s="120"/>
      <c r="RX5" s="126"/>
      <c r="RY5" s="189" t="str">
        <f>IFERROR((((COUNTIF('Elève (4ème4)'!RU5:RX5,"A"))*4)+((COUNTIF('Elève (4ème4)'!RU5:RX5,"B"))*3)+((COUNTIF('Elève (4ème4)'!RU5:RX5,"C"))*2)+((COUNTIF('Elève (4ème4)'!RU5:RX5,"D"))*1))/(COUNTA(RU5:RX5)),"")</f>
        <v/>
      </c>
      <c r="RZ5" s="190" t="str">
        <f t="shared" si="102"/>
        <v/>
      </c>
      <c r="SA5" s="189">
        <f>IF(COUNT(RM5,RS5,RY5)=0,"",SUM(RM5,RS5,RY5)/COUNT(RM5,RS5,RY5))</f>
        <v>3</v>
      </c>
      <c r="SB5" s="214" t="str">
        <f t="shared" si="103"/>
        <v>B</v>
      </c>
      <c r="SC5" s="123"/>
      <c r="SD5" s="124"/>
      <c r="SE5" s="120"/>
      <c r="SF5" s="121" t="str">
        <f>IFERROR((((COUNTIF('Elève (4ème4)'!SC5:SE5,"A"))*4)+((COUNTIF('Elève (4ème4)'!SC5:SE5,"B"))*3)+((COUNTIF('Elève (4ème4)'!SC5:SE5,"C"))*2)+((COUNTIF('Elève (4ème4)'!SC5:SE5,"D"))*1))/(COUNTA(SC5:SE5)),"")</f>
        <v/>
      </c>
      <c r="SG5" s="122" t="str">
        <f t="shared" si="104"/>
        <v/>
      </c>
      <c r="SH5" s="123"/>
      <c r="SI5" s="124"/>
      <c r="SJ5" s="120"/>
      <c r="SK5" s="121" t="str">
        <f>IFERROR((((COUNTIF('Elève (4ème4)'!SH5:SJ5,"A"))*4)+((COUNTIF('Elève (4ème4)'!SH5:SJ5,"B"))*3)+((COUNTIF('Elève (4ème4)'!SH5:SJ5,"C"))*2)+((COUNTIF('Elève (4ème4)'!SH5:SJ5,"D"))*1))/(COUNTA(SH5:SJ5)),"")</f>
        <v/>
      </c>
      <c r="SL5" s="122" t="str">
        <f t="shared" si="105"/>
        <v/>
      </c>
      <c r="SM5" s="123"/>
      <c r="SN5" s="124"/>
      <c r="SO5" s="126"/>
      <c r="SP5" s="121" t="str">
        <f>IFERROR((((COUNTIF('Elève (4ème4)'!SM5:SO5,"A"))*4)+((COUNTIF('Elève (4ème4)'!SM5:SO5,"B"))*3)+((COUNTIF('Elève (4ème4)'!SM5:SO5,"C"))*2)+((COUNTIF('Elève (4ème4)'!SM5:SO5,"D"))*1))/(COUNTA(SM5:SO5)),"")</f>
        <v/>
      </c>
      <c r="SQ5" s="122" t="str">
        <f t="shared" si="106"/>
        <v/>
      </c>
      <c r="SR5" s="121" t="str">
        <f>IF(COUNT(SF5,SK5,SP5)=0,"",SUM(SF5,SK5,SP5)/COUNT(SF5,SK5,SP5))</f>
        <v/>
      </c>
      <c r="SS5" s="125" t="str">
        <f t="shared" si="107"/>
        <v/>
      </c>
      <c r="ST5" s="123"/>
      <c r="SU5" s="124"/>
      <c r="SV5" s="120"/>
      <c r="SW5" s="121" t="str">
        <f>IFERROR((((COUNTIF('Elève (4ème4)'!ST5:SV5,"A"))*4)+((COUNTIF('Elève (4ème4)'!ST5:SV5,"B"))*3)+((COUNTIF('Elève (4ème4)'!ST5:SV5,"C"))*2)+((COUNTIF('Elève (4ème4)'!ST5:SV5,"D"))*1))/(COUNTA(ST5:SV5)),"")</f>
        <v/>
      </c>
      <c r="SX5" s="122" t="str">
        <f t="shared" si="108"/>
        <v/>
      </c>
      <c r="SY5" s="123"/>
      <c r="SZ5" s="124"/>
      <c r="TA5" s="120"/>
      <c r="TB5" s="121" t="str">
        <f>IFERROR((((COUNTIF('Elève (4ème4)'!SY5:TA5,"A"))*4)+((COUNTIF('Elève (4ème4)'!SY5:TA5,"B"))*3)+((COUNTIF('Elève (4ème4)'!SY5:TA5,"C"))*2)+((COUNTIF('Elève (4ème4)'!SY5:TA5,"D"))*1))/(COUNTA(SY5:TA5)),"")</f>
        <v/>
      </c>
      <c r="TC5" s="122" t="str">
        <f t="shared" si="109"/>
        <v/>
      </c>
      <c r="TD5" s="123"/>
      <c r="TE5" s="124"/>
      <c r="TF5" s="126"/>
      <c r="TG5" s="121" t="str">
        <f>IFERROR((((COUNTIF('Elève (4ème4)'!TD5:TF5,"A"))*4)+((COUNTIF('Elève (4ème4)'!TD5:TF5,"B"))*3)+((COUNTIF('Elève (4ème4)'!TD5:TF5,"C"))*2)+((COUNTIF('Elève (4ème4)'!TD5:TF5,"D"))*1))/(COUNTA(TD5:TF5)),"")</f>
        <v/>
      </c>
      <c r="TH5" s="122" t="str">
        <f t="shared" si="110"/>
        <v/>
      </c>
      <c r="TI5" s="121" t="str">
        <f>IF(COUNT(SW5,TB5,TG5)=0,"",SUM(SW5,TB5,TG5)/COUNT(SW5,TB5,TG5))</f>
        <v/>
      </c>
      <c r="TJ5" s="125" t="str">
        <f t="shared" si="111"/>
        <v/>
      </c>
      <c r="TK5" s="123"/>
      <c r="TL5" s="124"/>
      <c r="TM5" s="120"/>
      <c r="TN5" s="121" t="str">
        <f>IFERROR((((COUNTIF('Elève (4ème4)'!TK5:TM5,"A"))*4)+((COUNTIF('Elève (4ème4)'!TK5:TM5,"B"))*3)+((COUNTIF('Elève (4ème4)'!TK5:TM5,"C"))*2)+((COUNTIF('Elève (4ème4)'!TK5:TM5,"D"))*1))/(COUNTA(TK5:TM5)),"")</f>
        <v/>
      </c>
      <c r="TO5" s="122" t="str">
        <f t="shared" si="112"/>
        <v/>
      </c>
      <c r="TP5" s="123"/>
      <c r="TQ5" s="124"/>
      <c r="TR5" s="120"/>
      <c r="TS5" s="121" t="str">
        <f>IFERROR((((COUNTIF('Elève (4ème4)'!TP5:TR5,"A"))*4)+((COUNTIF('Elève (4ème4)'!TP5:TR5,"B"))*3)+((COUNTIF('Elève (4ème4)'!TP5:TR5,"C"))*2)+((COUNTIF('Elève (4ème4)'!TP5:TR5,"D"))*1))/(COUNTA(TP5:TR5)),"")</f>
        <v/>
      </c>
      <c r="TT5" s="122" t="str">
        <f t="shared" si="113"/>
        <v/>
      </c>
      <c r="TU5" s="123"/>
      <c r="TV5" s="124"/>
      <c r="TW5" s="126"/>
      <c r="TX5" s="121" t="str">
        <f>IFERROR((((COUNTIF('Elève (4ème4)'!TU5:TW5,"A"))*4)+((COUNTIF('Elève (4ème4)'!TU5:TW5,"B"))*3)+((COUNTIF('Elève (4ème4)'!TU5:TW5,"C"))*2)+((COUNTIF('Elève (4ème4)'!TU5:TW5,"D"))*1))/(COUNTA(TU5:TW5)),"")</f>
        <v/>
      </c>
      <c r="TY5" s="122" t="str">
        <f t="shared" si="114"/>
        <v/>
      </c>
      <c r="TZ5" s="121" t="str">
        <f>IF(COUNT(TN5,TS5,TX5)=0,"",SUM(TN5,TS5,TX5)/COUNT(TN5,TS5,TX5))</f>
        <v/>
      </c>
      <c r="UA5" s="125" t="str">
        <f t="shared" si="115"/>
        <v/>
      </c>
      <c r="UB5" s="123"/>
      <c r="UC5" s="124"/>
      <c r="UD5" s="120"/>
      <c r="UE5" s="121" t="str">
        <f>IFERROR((((COUNTIF('Elève (4ème4)'!UB5:UD5,"A"))*4)+((COUNTIF('Elève (4ème4)'!UB5:UD5,"B"))*3)+((COUNTIF('Elève (4ème4)'!UB5:UD5,"C"))*2)+((COUNTIF('Elève (4ème4)'!UB5:UD5,"D"))*1))/(COUNTA(UB5:UD5)),"")</f>
        <v/>
      </c>
      <c r="UF5" s="122" t="str">
        <f t="shared" si="116"/>
        <v/>
      </c>
      <c r="UG5" s="123"/>
      <c r="UH5" s="124"/>
      <c r="UI5" s="120"/>
      <c r="UJ5" s="121" t="str">
        <f>IFERROR((((COUNTIF('Elève (4ème4)'!UG5:UI5,"A"))*4)+((COUNTIF('Elève (4ème4)'!UG5:UI5,"B"))*3)+((COUNTIF('Elève (4ème4)'!UG5:UI5,"C"))*2)+((COUNTIF('Elève (4ème4)'!UG5:UI5,"D"))*1))/(COUNTA(UG5:UI5)),"")</f>
        <v/>
      </c>
      <c r="UK5" s="122" t="str">
        <f t="shared" si="117"/>
        <v/>
      </c>
      <c r="UL5" s="123"/>
      <c r="UM5" s="124"/>
      <c r="UN5" s="126"/>
      <c r="UO5" s="121" t="str">
        <f>IFERROR((((COUNTIF('Elève (4ème4)'!UL5:UN5,"A"))*4)+((COUNTIF('Elève (4ème4)'!UL5:UN5,"B"))*3)+((COUNTIF('Elève (4ème4)'!UL5:UN5,"C"))*2)+((COUNTIF('Elève (4ème4)'!UL5:UN5,"D"))*1))/(COUNTA(UL5:UN5)),"")</f>
        <v/>
      </c>
      <c r="UP5" s="122" t="str">
        <f t="shared" si="118"/>
        <v/>
      </c>
      <c r="UQ5" s="121" t="str">
        <f>IF(COUNT(UE5,UJ5,UO5)=0,"",SUM(UE5,UJ5,UO5)/COUNT(UE5,UJ5,UO5))</f>
        <v/>
      </c>
      <c r="UR5" s="125" t="str">
        <f t="shared" si="119"/>
        <v/>
      </c>
    </row>
    <row r="6" spans="1:564" ht="18" customHeight="1" x14ac:dyDescent="0.25">
      <c r="A6" s="252" t="s">
        <v>13</v>
      </c>
      <c r="B6" s="253"/>
      <c r="C6" s="127" t="s">
        <v>31</v>
      </c>
      <c r="D6" s="128" t="s">
        <v>31</v>
      </c>
      <c r="E6" s="129" t="s">
        <v>32</v>
      </c>
      <c r="F6" s="191">
        <f>IFERROR((((COUNTIF('Elève (4ème4)'!C6:E6,"A"))*4)+((COUNTIF('Elève (4ème4)'!C6:E6,"B"))*3)+((COUNTIF('Elève (4ème4)'!C6:E6,"C"))*2)+((COUNTIF('Elève (4ème4)'!C6:E6,"D"))*1))/(COUNTA(C6:E6)),"")</f>
        <v>1.6666666666666667</v>
      </c>
      <c r="G6" s="192" t="str">
        <f t="shared" si="0"/>
        <v>C</v>
      </c>
      <c r="H6" s="127"/>
      <c r="I6" s="128" t="s">
        <v>31</v>
      </c>
      <c r="J6" s="129" t="s">
        <v>31</v>
      </c>
      <c r="K6" s="129" t="s">
        <v>31</v>
      </c>
      <c r="L6" s="191">
        <f>IFERROR((((COUNTIF('Elève (4ème4)'!H6:K6,"A"))*4)+((COUNTIF('Elève (4ème4)'!H6:K6,"B"))*3)+((COUNTIF('Elève (4ème4)'!H6:K6,"C"))*2)+((COUNTIF('Elève (4ème4)'!H6:K6,"D"))*1))/(COUNTA(H6:K6)),"")</f>
        <v>2</v>
      </c>
      <c r="M6" s="192" t="str">
        <f t="shared" si="1"/>
        <v>C</v>
      </c>
      <c r="N6" s="134"/>
      <c r="O6" s="132"/>
      <c r="P6" s="133"/>
      <c r="Q6" s="133"/>
      <c r="R6" s="191" t="str">
        <f>IFERROR((((COUNTIF('Elève (4ème4)'!N6:Q6,"A"))*4)+((COUNTIF('Elève (4ème4)'!N6:Q6,"B"))*3)+((COUNTIF('Elève (4ème4)'!N6:Q6,"C"))*2)+((COUNTIF('Elève (4ème4)'!N6:Q6,"D"))*1))/(COUNTA(N6:Q6)),"")</f>
        <v/>
      </c>
      <c r="S6" s="192" t="str">
        <f t="shared" si="2"/>
        <v/>
      </c>
      <c r="T6" s="191">
        <f>IF(COUNT(F6,L6,R6)=0,"",SUM(F6,L6,R6)/COUNT(F6,L6,R6))</f>
        <v>1.8333333333333335</v>
      </c>
      <c r="U6" s="215" t="str">
        <f t="shared" si="3"/>
        <v>C</v>
      </c>
      <c r="V6" s="127" t="s">
        <v>32</v>
      </c>
      <c r="W6" s="128" t="s">
        <v>31</v>
      </c>
      <c r="X6" s="129" t="s">
        <v>31</v>
      </c>
      <c r="Y6" s="191">
        <f>IFERROR((((COUNTIF('Elève (4ème4)'!V6:X6,"A"))*4)+((COUNTIF('Elève (4ème4)'!V6:X6,"B"))*3)+((COUNTIF('Elève (4ème4)'!V6:X6,"C"))*2)+((COUNTIF('Elève (4ème4)'!V6:X6,"D"))*1))/(COUNTA(V6:X6)),"")</f>
        <v>1.6666666666666667</v>
      </c>
      <c r="Z6" s="192" t="str">
        <f t="shared" si="4"/>
        <v>C</v>
      </c>
      <c r="AA6" s="127" t="s">
        <v>30</v>
      </c>
      <c r="AB6" s="128" t="s">
        <v>31</v>
      </c>
      <c r="AC6" s="129" t="s">
        <v>31</v>
      </c>
      <c r="AD6" s="129" t="s">
        <v>29</v>
      </c>
      <c r="AE6" s="191">
        <f>IFERROR((((COUNTIF('Elève (4ème4)'!AA6:AD6,"A"))*4)+((COUNTIF('Elève (4ème4)'!AA6:AD6,"B"))*3)+((COUNTIF('Elève (4ème4)'!AA6:AD6,"C"))*2)+((COUNTIF('Elève (4ème4)'!AA6:AD6,"D"))*1))/(COUNTA(AA6:AD6)),"")</f>
        <v>2.75</v>
      </c>
      <c r="AF6" s="192" t="str">
        <f t="shared" si="5"/>
        <v>C</v>
      </c>
      <c r="AG6" s="134"/>
      <c r="AH6" s="132"/>
      <c r="AI6" s="133"/>
      <c r="AJ6" s="136"/>
      <c r="AK6" s="191" t="str">
        <f>IFERROR((((COUNTIF('Elève (4ème4)'!AG6:AJ6,"A"))*4)+((COUNTIF('Elève (4ème4)'!AG6:AJ6,"B"))*3)+((COUNTIF('Elève (4ème4)'!AG6:AJ6,"C"))*2)+((COUNTIF('Elève (4ème4)'!AG6:AJ6,"D"))*1))/(COUNTA(AG6:AJ6)),"")</f>
        <v/>
      </c>
      <c r="AL6" s="192" t="str">
        <f t="shared" si="6"/>
        <v/>
      </c>
      <c r="AM6" s="191">
        <f>IF(COUNT(Y6,AE6,AK6)=0,"",SUM(Y6,AE6,AK6)/COUNT(Y6,AE6,AK6))</f>
        <v>2.2083333333333335</v>
      </c>
      <c r="AN6" s="215" t="str">
        <f t="shared" si="7"/>
        <v>C</v>
      </c>
      <c r="AO6" s="127" t="s">
        <v>31</v>
      </c>
      <c r="AP6" s="128" t="s">
        <v>30</v>
      </c>
      <c r="AQ6" s="129" t="s">
        <v>31</v>
      </c>
      <c r="AR6" s="191">
        <f>IFERROR((((COUNTIF('Elève (4ème4)'!AO6:AQ6,"A"))*4)+((COUNTIF('Elève (4ème4)'!AO6:AQ6,"B"))*3)+((COUNTIF('Elève (4ème4)'!AO6:AQ6,"C"))*2)+((COUNTIF('Elève (4ème4)'!AO6:AQ6,"D"))*1))/(COUNTA(AO6:AQ6)),"")</f>
        <v>2.3333333333333335</v>
      </c>
      <c r="AS6" s="192" t="str">
        <f t="shared" si="8"/>
        <v>C</v>
      </c>
      <c r="AT6" s="127" t="s">
        <v>31</v>
      </c>
      <c r="AU6" s="128" t="s">
        <v>30</v>
      </c>
      <c r="AV6" s="129" t="s">
        <v>30</v>
      </c>
      <c r="AW6" s="129" t="s">
        <v>30</v>
      </c>
      <c r="AX6" s="191">
        <f>IFERROR((((COUNTIF('Elève (4ème4)'!AT6:AW6,"A"))*4)+((COUNTIF('Elève (4ème4)'!AT6:AW6,"B"))*3)+((COUNTIF('Elève (4ème4)'!AT6:AW6,"C"))*2)+((COUNTIF('Elève (4ème4)'!AT6:AW6,"D"))*1))/(COUNTA(AT6:AW6)),"")</f>
        <v>2.75</v>
      </c>
      <c r="AY6" s="192" t="str">
        <f t="shared" si="9"/>
        <v>C</v>
      </c>
      <c r="AZ6" s="134"/>
      <c r="BA6" s="132"/>
      <c r="BB6" s="133"/>
      <c r="BC6" s="136"/>
      <c r="BD6" s="191" t="str">
        <f>IFERROR((((COUNTIF('Elève (4ème4)'!AZ6:BC6,"A"))*4)+((COUNTIF('Elève (4ème4)'!AZ6:BC6,"B"))*3)+((COUNTIF('Elève (4ème4)'!AZ6:BC6,"C"))*2)+((COUNTIF('Elève (4ème4)'!AZ6:BC6,"D"))*1))/(COUNTA(AZ6:BC6)),"")</f>
        <v/>
      </c>
      <c r="BE6" s="192" t="str">
        <f t="shared" si="10"/>
        <v/>
      </c>
      <c r="BF6" s="191">
        <f>IF(COUNT(AR6,AX6,BD6)=0,"",SUM(AR6,AX6,BD6)/COUNT(AR6,AX6,BD6))</f>
        <v>2.541666666666667</v>
      </c>
      <c r="BG6" s="215" t="str">
        <f t="shared" si="11"/>
        <v>C</v>
      </c>
      <c r="BH6" s="127" t="s">
        <v>31</v>
      </c>
      <c r="BI6" s="128" t="s">
        <v>31</v>
      </c>
      <c r="BJ6" s="129" t="s">
        <v>31</v>
      </c>
      <c r="BK6" s="191">
        <f>IFERROR((((COUNTIF('Elève (4ème4)'!BH6:BJ6,"A"))*4)+((COUNTIF('Elève (4ème4)'!BH6:BJ6,"B"))*3)+((COUNTIF('Elève (4ème4)'!BH6:BJ6,"C"))*2)+((COUNTIF('Elève (4ème4)'!BH6:BJ6,"D"))*1))/(COUNTA(BH6:BJ6)),"")</f>
        <v>2</v>
      </c>
      <c r="BL6" s="192" t="str">
        <f t="shared" si="12"/>
        <v>C</v>
      </c>
      <c r="BM6" s="127" t="s">
        <v>31</v>
      </c>
      <c r="BN6" s="128" t="s">
        <v>31</v>
      </c>
      <c r="BO6" s="129" t="s">
        <v>31</v>
      </c>
      <c r="BP6" s="129" t="s">
        <v>30</v>
      </c>
      <c r="BQ6" s="191">
        <f>IFERROR((((COUNTIF('Elève (4ème4)'!BM6:BP6,"A"))*4)+((COUNTIF('Elève (4ème4)'!BM6:BP6,"B"))*3)+((COUNTIF('Elève (4ème4)'!BM6:BP6,"C"))*2)+((COUNTIF('Elève (4ème4)'!BM6:BP6,"D"))*1))/(COUNTA(BM6:BP6)),"")</f>
        <v>2.25</v>
      </c>
      <c r="BR6" s="192" t="str">
        <f t="shared" si="13"/>
        <v>C</v>
      </c>
      <c r="BS6" s="134"/>
      <c r="BT6" s="132"/>
      <c r="BU6" s="133"/>
      <c r="BV6" s="136"/>
      <c r="BW6" s="191" t="str">
        <f>IFERROR((((COUNTIF('Elève (4ème4)'!BS6:BV6,"A"))*4)+((COUNTIF('Elève (4ème4)'!BS6:BV6,"B"))*3)+((COUNTIF('Elève (4ème4)'!BS6:BV6,"C"))*2)+((COUNTIF('Elève (4ème4)'!BS6:BV6,"D"))*1))/(COUNTA(BS6:BV6)),"")</f>
        <v/>
      </c>
      <c r="BX6" s="192" t="str">
        <f t="shared" si="14"/>
        <v/>
      </c>
      <c r="BY6" s="191">
        <f>IF(COUNT(BK6,BQ6,BW6)=0,"",SUM(BK6,BQ6,BW6)/COUNT(BK6,BQ6,BW6))</f>
        <v>2.125</v>
      </c>
      <c r="BZ6" s="215" t="str">
        <f t="shared" si="15"/>
        <v>C</v>
      </c>
      <c r="CA6" s="127" t="s">
        <v>31</v>
      </c>
      <c r="CB6" s="128" t="s">
        <v>31</v>
      </c>
      <c r="CC6" s="129" t="s">
        <v>32</v>
      </c>
      <c r="CD6" s="191">
        <f>IFERROR((((COUNTIF('Elève (4ème4)'!CA6:CC6,"A"))*4)+((COUNTIF('Elève (4ème4)'!CA6:CC6,"B"))*3)+((COUNTIF('Elève (4ème4)'!CA6:CC6,"C"))*2)+((COUNTIF('Elève (4ème4)'!CA6:CC6,"D"))*1))/(COUNTA(CA6:CC6)),"")</f>
        <v>1.6666666666666667</v>
      </c>
      <c r="CE6" s="192" t="str">
        <f t="shared" si="16"/>
        <v>C</v>
      </c>
      <c r="CF6" s="127" t="s">
        <v>31</v>
      </c>
      <c r="CG6" s="128" t="s">
        <v>31</v>
      </c>
      <c r="CH6" s="129" t="s">
        <v>32</v>
      </c>
      <c r="CI6" s="129" t="s">
        <v>30</v>
      </c>
      <c r="CJ6" s="191">
        <f>IFERROR((((COUNTIF('Elève (4ème4)'!CF6:CI6,"A"))*4)+((COUNTIF('Elève (4ème4)'!CF6:CI6,"B"))*3)+((COUNTIF('Elève (4ème4)'!CF6:CI6,"C"))*2)+((COUNTIF('Elève (4ème4)'!CF6:CI6,"D"))*1))/(COUNTA(CF6:CI6)),"")</f>
        <v>2</v>
      </c>
      <c r="CK6" s="192" t="str">
        <f t="shared" si="17"/>
        <v>C</v>
      </c>
      <c r="CL6" s="134"/>
      <c r="CM6" s="132"/>
      <c r="CN6" s="133"/>
      <c r="CO6" s="136"/>
      <c r="CP6" s="191" t="str">
        <f>IFERROR((((COUNTIF('Elève (4ème4)'!CL6:CO6,"A"))*4)+((COUNTIF('Elève (4ème4)'!CL6:CO6,"B"))*3)+((COUNTIF('Elève (4ème4)'!CL6:CO6,"C"))*2)+((COUNTIF('Elève (4ème4)'!CL6:CO6,"D"))*1))/(COUNTA(CL6:CO6)),"")</f>
        <v/>
      </c>
      <c r="CQ6" s="192" t="str">
        <f t="shared" si="18"/>
        <v/>
      </c>
      <c r="CR6" s="191">
        <f>IF(COUNT(CD6,CJ6,CP6)=0,"",SUM(CD6,CJ6,CP6)/COUNT(CD6,CJ6,CP6))</f>
        <v>1.8333333333333335</v>
      </c>
      <c r="CS6" s="215" t="str">
        <f t="shared" si="19"/>
        <v>C</v>
      </c>
      <c r="CT6" s="127" t="s">
        <v>31</v>
      </c>
      <c r="CU6" s="128" t="s">
        <v>30</v>
      </c>
      <c r="CV6" s="129" t="s">
        <v>31</v>
      </c>
      <c r="CW6" s="191">
        <f>IFERROR((((COUNTIF('Elève (4ème4)'!CT6:CV6,"A"))*4)+((COUNTIF('Elève (4ème4)'!CT6:CV6,"B"))*3)+((COUNTIF('Elève (4ème4)'!CT6:CV6,"C"))*2)+((COUNTIF('Elève (4ème4)'!CT6:CV6,"D"))*1))/(COUNTA(CT6:CV6)),"")</f>
        <v>2.3333333333333335</v>
      </c>
      <c r="CX6" s="192" t="str">
        <f t="shared" si="20"/>
        <v>C</v>
      </c>
      <c r="CY6" s="127" t="s">
        <v>30</v>
      </c>
      <c r="CZ6" s="128" t="s">
        <v>30</v>
      </c>
      <c r="DA6" s="129" t="s">
        <v>30</v>
      </c>
      <c r="DB6" s="129" t="s">
        <v>29</v>
      </c>
      <c r="DC6" s="191">
        <f>IFERROR((((COUNTIF('Elève (4ème4)'!CY6:DB6,"A"))*4)+((COUNTIF('Elève (4ème4)'!CY6:DB6,"B"))*3)+((COUNTIF('Elève (4ème4)'!CY6:DB6,"C"))*2)+((COUNTIF('Elève (4ème4)'!CY6:DB6,"D"))*1))/(COUNTA(CY6:DB6)),"")</f>
        <v>3.25</v>
      </c>
      <c r="DD6" s="192" t="str">
        <f t="shared" si="21"/>
        <v>B</v>
      </c>
      <c r="DE6" s="134"/>
      <c r="DF6" s="132"/>
      <c r="DG6" s="133"/>
      <c r="DH6" s="136"/>
      <c r="DI6" s="191" t="str">
        <f>IFERROR((((COUNTIF('Elève (4ème4)'!DE6:DH6,"A"))*4)+((COUNTIF('Elève (4ème4)'!DE6:DH6,"B"))*3)+((COUNTIF('Elève (4ème4)'!DE6:DH6,"C"))*2)+((COUNTIF('Elève (4ème4)'!DE6:DH6,"D"))*1))/(COUNTA(DE6:DH6)),"")</f>
        <v/>
      </c>
      <c r="DJ6" s="192" t="str">
        <f t="shared" si="22"/>
        <v/>
      </c>
      <c r="DK6" s="191">
        <f>IF(COUNT(CW6,DC6,DI6)=0,"",SUM(CW6,DC6,DI6)/COUNT(CW6,DC6,DI6))</f>
        <v>2.791666666666667</v>
      </c>
      <c r="DL6" s="215" t="str">
        <f t="shared" si="23"/>
        <v>C</v>
      </c>
      <c r="DM6" s="127" t="s">
        <v>31</v>
      </c>
      <c r="DN6" s="128" t="s">
        <v>31</v>
      </c>
      <c r="DO6" s="129" t="s">
        <v>31</v>
      </c>
      <c r="DP6" s="191">
        <f>IFERROR((((COUNTIF('Elève (4ème4)'!DM6:DO6,"A"))*4)+((COUNTIF('Elève (4ème4)'!DM6:DO6,"B"))*3)+((COUNTIF('Elève (4ème4)'!DM6:DO6,"C"))*2)+((COUNTIF('Elève (4ème4)'!DM6:DO6,"D"))*1))/(COUNTA(DM6:DO6)),"")</f>
        <v>2</v>
      </c>
      <c r="DQ6" s="192" t="str">
        <f t="shared" si="24"/>
        <v>C</v>
      </c>
      <c r="DR6" s="127" t="s">
        <v>31</v>
      </c>
      <c r="DS6" s="128" t="s">
        <v>30</v>
      </c>
      <c r="DT6" s="129" t="s">
        <v>31</v>
      </c>
      <c r="DU6" s="129" t="s">
        <v>31</v>
      </c>
      <c r="DV6" s="191">
        <f>IFERROR((((COUNTIF('Elève (4ème4)'!DR6:DU6,"A"))*4)+((COUNTIF('Elève (4ème4)'!DR6:DU6,"B"))*3)+((COUNTIF('Elève (4ème4)'!DR6:DU6,"C"))*2)+((COUNTIF('Elève (4ème4)'!DR6:DU6,"D"))*1))/(COUNTA(DR6:DU6)),"")</f>
        <v>2.25</v>
      </c>
      <c r="DW6" s="192" t="str">
        <f t="shared" si="25"/>
        <v>C</v>
      </c>
      <c r="DX6" s="134"/>
      <c r="DY6" s="132"/>
      <c r="DZ6" s="133"/>
      <c r="EA6" s="136"/>
      <c r="EB6" s="191" t="str">
        <f>IFERROR((((COUNTIF('Elève (4ème4)'!DX6:EA6,"A"))*4)+((COUNTIF('Elève (4ème4)'!DX6:EA6,"B"))*3)+((COUNTIF('Elève (4ème4)'!DX6:EA6,"C"))*2)+((COUNTIF('Elève (4ème4)'!DX6:EA6,"D"))*1))/(COUNTA(DX6:EA6)),"")</f>
        <v/>
      </c>
      <c r="EC6" s="192" t="str">
        <f t="shared" si="26"/>
        <v/>
      </c>
      <c r="ED6" s="191">
        <f>IF(COUNT(DP6,DV6,EB6)=0,"",SUM(DP6,DV6,EB6)/COUNT(DP6,DV6,EB6))</f>
        <v>2.125</v>
      </c>
      <c r="EE6" s="215" t="str">
        <f t="shared" si="27"/>
        <v>C</v>
      </c>
      <c r="EF6" s="127" t="s">
        <v>31</v>
      </c>
      <c r="EG6" s="128" t="s">
        <v>29</v>
      </c>
      <c r="EH6" s="129" t="s">
        <v>31</v>
      </c>
      <c r="EI6" s="191">
        <f>IFERROR((((COUNTIF('Elève (4ème4)'!EF6:EH6,"A"))*4)+((COUNTIF('Elève (4ème4)'!EF6:EH6,"B"))*3)+((COUNTIF('Elève (4ème4)'!EF6:EH6,"C"))*2)+((COUNTIF('Elève (4ème4)'!EF6:EH6,"D"))*1))/(COUNTA(EF6:EH6)),"")</f>
        <v>2.6666666666666665</v>
      </c>
      <c r="EJ6" s="192" t="str">
        <f t="shared" si="28"/>
        <v>C</v>
      </c>
      <c r="EK6" s="127" t="s">
        <v>31</v>
      </c>
      <c r="EL6" s="128" t="s">
        <v>30</v>
      </c>
      <c r="EM6" s="129" t="s">
        <v>31</v>
      </c>
      <c r="EN6" s="129" t="s">
        <v>30</v>
      </c>
      <c r="EO6" s="191">
        <f>IFERROR((((COUNTIF('Elève (4ème4)'!EK6:EN6,"A"))*4)+((COUNTIF('Elève (4ème4)'!EK6:EN6,"B"))*3)+((COUNTIF('Elève (4ème4)'!EK6:EN6,"C"))*2)+((COUNTIF('Elève (4ème4)'!EK6:EN6,"D"))*1))/(COUNTA(EK6:EN6)),"")</f>
        <v>2.5</v>
      </c>
      <c r="EP6" s="192" t="str">
        <f t="shared" si="29"/>
        <v>C</v>
      </c>
      <c r="EQ6" s="134"/>
      <c r="ER6" s="132"/>
      <c r="ES6" s="133"/>
      <c r="ET6" s="136"/>
      <c r="EU6" s="191" t="str">
        <f>IFERROR((((COUNTIF('Elève (4ème4)'!EQ6:ET6,"A"))*4)+((COUNTIF('Elève (4ème4)'!EQ6:ET6,"B"))*3)+((COUNTIF('Elève (4ème4)'!EQ6:ET6,"C"))*2)+((COUNTIF('Elève (4ème4)'!EQ6:ET6,"D"))*1))/(COUNTA(EQ6:ET6)),"")</f>
        <v/>
      </c>
      <c r="EV6" s="192" t="str">
        <f t="shared" si="30"/>
        <v/>
      </c>
      <c r="EW6" s="191">
        <f>IF(COUNT(EI6,EO6,EU6)=0,"",SUM(EI6,EO6,EU6)/COUNT(EI6,EO6,EU6))</f>
        <v>2.583333333333333</v>
      </c>
      <c r="EX6" s="215" t="str">
        <f t="shared" si="31"/>
        <v>C</v>
      </c>
      <c r="EY6" s="127" t="s">
        <v>31</v>
      </c>
      <c r="EZ6" s="128" t="s">
        <v>30</v>
      </c>
      <c r="FA6" s="129" t="s">
        <v>32</v>
      </c>
      <c r="FB6" s="191">
        <f>IFERROR((((COUNTIF('Elève (4ème4)'!EY6:FA6,"A"))*4)+((COUNTIF('Elève (4ème4)'!EY6:FA6,"B"))*3)+((COUNTIF('Elève (4ème4)'!EY6:FA6,"C"))*2)+((COUNTIF('Elève (4ème4)'!EY6:FA6,"D"))*1))/(COUNTA(EY6:FA6)),"")</f>
        <v>2</v>
      </c>
      <c r="FC6" s="192" t="str">
        <f t="shared" si="32"/>
        <v>C</v>
      </c>
      <c r="FD6" s="127" t="s">
        <v>31</v>
      </c>
      <c r="FE6" s="128" t="s">
        <v>30</v>
      </c>
      <c r="FF6" s="129" t="s">
        <v>31</v>
      </c>
      <c r="FG6" s="129" t="s">
        <v>30</v>
      </c>
      <c r="FH6" s="191">
        <f>IFERROR((((COUNTIF('Elève (4ème4)'!FD6:FG6,"A"))*4)+((COUNTIF('Elève (4ème4)'!FD6:FG6,"B"))*3)+((COUNTIF('Elève (4ème4)'!FD6:FG6,"C"))*2)+((COUNTIF('Elève (4ème4)'!FD6:FG6,"D"))*1))/(COUNTA(FD6:FG6)),"")</f>
        <v>2.5</v>
      </c>
      <c r="FI6" s="192" t="str">
        <f t="shared" si="33"/>
        <v>C</v>
      </c>
      <c r="FJ6" s="134"/>
      <c r="FK6" s="132"/>
      <c r="FL6" s="133"/>
      <c r="FM6" s="136"/>
      <c r="FN6" s="191" t="str">
        <f>IFERROR((((COUNTIF('Elève (4ème4)'!FJ6:FM6,"A"))*4)+((COUNTIF('Elève (4ème4)'!FJ6:FM6,"B"))*3)+((COUNTIF('Elève (4ème4)'!FJ6:FM6,"C"))*2)+((COUNTIF('Elève (4ème4)'!FJ6:FM6,"D"))*1))/(COUNTA(FJ6:FM6)),"")</f>
        <v/>
      </c>
      <c r="FO6" s="192" t="str">
        <f t="shared" si="34"/>
        <v/>
      </c>
      <c r="FP6" s="191">
        <f>IF(COUNT(FB6,FH6,FN6)=0,"",SUM(FB6,FH6,FN6)/COUNT(FB6,FH6,FN6))</f>
        <v>2.25</v>
      </c>
      <c r="FQ6" s="215" t="str">
        <f t="shared" si="35"/>
        <v>C</v>
      </c>
      <c r="FR6" s="127" t="s">
        <v>31</v>
      </c>
      <c r="FS6" s="128" t="s">
        <v>30</v>
      </c>
      <c r="FT6" s="129" t="s">
        <v>32</v>
      </c>
      <c r="FU6" s="191">
        <f>IFERROR((((COUNTIF('Elève (4ème4)'!FR6:FT6,"A"))*4)+((COUNTIF('Elève (4ème4)'!FR6:FT6,"B"))*3)+((COUNTIF('Elève (4ème4)'!FR6:FT6,"C"))*2)+((COUNTIF('Elève (4ème4)'!FR6:FT6,"D"))*1))/(COUNTA(FR6:FT6)),"")</f>
        <v>2</v>
      </c>
      <c r="FV6" s="192" t="str">
        <f t="shared" si="36"/>
        <v>C</v>
      </c>
      <c r="FW6" s="127" t="s">
        <v>31</v>
      </c>
      <c r="FX6" s="128" t="s">
        <v>31</v>
      </c>
      <c r="FY6" s="129" t="s">
        <v>31</v>
      </c>
      <c r="FZ6" s="129" t="s">
        <v>30</v>
      </c>
      <c r="GA6" s="191">
        <f>IFERROR((((COUNTIF('Elève (4ème4)'!FW6:FZ6,"A"))*4)+((COUNTIF('Elève (4ème4)'!FW6:FZ6,"B"))*3)+((COUNTIF('Elève (4ème4)'!FW6:FZ6,"C"))*2)+((COUNTIF('Elève (4ème4)'!FW6:FZ6,"D"))*1))/(COUNTA(FW6:FZ6)),"")</f>
        <v>2.25</v>
      </c>
      <c r="GB6" s="192" t="str">
        <f t="shared" si="37"/>
        <v>C</v>
      </c>
      <c r="GC6" s="134"/>
      <c r="GD6" s="132"/>
      <c r="GE6" s="133"/>
      <c r="GF6" s="136"/>
      <c r="GG6" s="191" t="str">
        <f>IFERROR((((COUNTIF('Elève (4ème4)'!GC6:GF6,"A"))*4)+((COUNTIF('Elève (4ème4)'!GC6:GF6,"B"))*3)+((COUNTIF('Elève (4ème4)'!GC6:GF6,"C"))*2)+((COUNTIF('Elève (4ème4)'!GC6:GF6,"D"))*1))/(COUNTA(GC6:GF6)),"")</f>
        <v/>
      </c>
      <c r="GH6" s="192" t="str">
        <f t="shared" si="38"/>
        <v/>
      </c>
      <c r="GI6" s="191">
        <f>IF(COUNT(FU6,GA6,GG6)=0,"",SUM(FU6,GA6,GG6)/COUNT(FU6,GA6,GG6))</f>
        <v>2.125</v>
      </c>
      <c r="GJ6" s="215" t="str">
        <f t="shared" si="39"/>
        <v>C</v>
      </c>
      <c r="GK6" s="127" t="s">
        <v>30</v>
      </c>
      <c r="GL6" s="128" t="s">
        <v>29</v>
      </c>
      <c r="GM6" s="129" t="s">
        <v>30</v>
      </c>
      <c r="GN6" s="191">
        <f>IFERROR((((COUNTIF('Elève (4ème4)'!GK6:GM6,"A"))*4)+((COUNTIF('Elève (4ème4)'!GK6:GM6,"B"))*3)+((COUNTIF('Elève (4ème4)'!GK6:GM6,"C"))*2)+((COUNTIF('Elève (4ème4)'!GK6:GM6,"D"))*1))/(COUNTA(GK6:GM6)),"")</f>
        <v>3.3333333333333335</v>
      </c>
      <c r="GO6" s="192" t="str">
        <f t="shared" si="40"/>
        <v>B</v>
      </c>
      <c r="GP6" s="127" t="s">
        <v>30</v>
      </c>
      <c r="GQ6" s="128" t="s">
        <v>30</v>
      </c>
      <c r="GR6" s="129" t="s">
        <v>30</v>
      </c>
      <c r="GS6" s="129" t="s">
        <v>30</v>
      </c>
      <c r="GT6" s="191">
        <f>IFERROR((((COUNTIF('Elève (4ème4)'!GP6:GS6,"A"))*4)+((COUNTIF('Elève (4ème4)'!GP6:GS6,"B"))*3)+((COUNTIF('Elève (4ème4)'!GP6:GS6,"C"))*2)+((COUNTIF('Elève (4ème4)'!GP6:GS6,"D"))*1))/(COUNTA(GP6:GS6)),"")</f>
        <v>3</v>
      </c>
      <c r="GU6" s="192" t="str">
        <f t="shared" si="41"/>
        <v>B</v>
      </c>
      <c r="GV6" s="134"/>
      <c r="GW6" s="132"/>
      <c r="GX6" s="133"/>
      <c r="GY6" s="136"/>
      <c r="GZ6" s="191" t="str">
        <f>IFERROR((((COUNTIF('Elève (4ème4)'!GV6:GY6,"A"))*4)+((COUNTIF('Elève (4ème4)'!GV6:GY6,"B"))*3)+((COUNTIF('Elève (4ème4)'!GV6:GY6,"C"))*2)+((COUNTIF('Elève (4ème4)'!GV6:GY6,"D"))*1))/(COUNTA(GV6:GY6)),"")</f>
        <v/>
      </c>
      <c r="HA6" s="192" t="str">
        <f t="shared" si="42"/>
        <v/>
      </c>
      <c r="HB6" s="191">
        <f>IF(COUNT(GN6,GT6,GZ6)=0,"",SUM(GN6,GT6,GZ6)/COUNT(GN6,GT6,GZ6))</f>
        <v>3.166666666666667</v>
      </c>
      <c r="HC6" s="215" t="str">
        <f t="shared" si="43"/>
        <v>B</v>
      </c>
      <c r="HD6" s="127" t="s">
        <v>31</v>
      </c>
      <c r="HE6" s="128" t="s">
        <v>31</v>
      </c>
      <c r="HF6" s="129" t="s">
        <v>31</v>
      </c>
      <c r="HG6" s="191">
        <f>IFERROR((((COUNTIF('Elève (4ème4)'!HD6:HF6,"A"))*4)+((COUNTIF('Elève (4ème4)'!HD6:HF6,"B"))*3)+((COUNTIF('Elève (4ème4)'!HD6:HF6,"C"))*2)+((COUNTIF('Elève (4ème4)'!HD6:HF6,"D"))*1))/(COUNTA(HD6:HF6)),"")</f>
        <v>2</v>
      </c>
      <c r="HH6" s="192" t="str">
        <f t="shared" si="44"/>
        <v>C</v>
      </c>
      <c r="HI6" s="127" t="s">
        <v>31</v>
      </c>
      <c r="HJ6" s="128" t="s">
        <v>32</v>
      </c>
      <c r="HK6" s="129" t="s">
        <v>31</v>
      </c>
      <c r="HL6" s="129" t="s">
        <v>31</v>
      </c>
      <c r="HM6" s="191">
        <f>IFERROR((((COUNTIF('Elève (4ème4)'!HI6:HL6,"A"))*4)+((COUNTIF('Elève (4ème4)'!HI6:HL6,"B"))*3)+((COUNTIF('Elève (4ème4)'!HI6:HL6,"C"))*2)+((COUNTIF('Elève (4ème4)'!HI6:HL6,"D"))*1))/(COUNTA(HI6:HL6)),"")</f>
        <v>1.75</v>
      </c>
      <c r="HN6" s="192" t="str">
        <f t="shared" si="45"/>
        <v>C</v>
      </c>
      <c r="HO6" s="134"/>
      <c r="HP6" s="132"/>
      <c r="HQ6" s="133"/>
      <c r="HR6" s="136"/>
      <c r="HS6" s="191" t="str">
        <f>IFERROR((((COUNTIF('Elève (4ème4)'!HO6:HR6,"A"))*4)+((COUNTIF('Elève (4ème4)'!HO6:HR6,"B"))*3)+((COUNTIF('Elève (4ème4)'!HO6:HR6,"C"))*2)+((COUNTIF('Elève (4ème4)'!HO6:HR6,"D"))*1))/(COUNTA(HO6:HR6)),"")</f>
        <v/>
      </c>
      <c r="HT6" s="192" t="str">
        <f t="shared" si="46"/>
        <v/>
      </c>
      <c r="HU6" s="191">
        <f>IF(COUNT(HG6,HM6,HS6)=0,"",SUM(HG6,HM6,HS6)/COUNT(HG6,HM6,HS6))</f>
        <v>1.875</v>
      </c>
      <c r="HV6" s="215" t="str">
        <f t="shared" si="47"/>
        <v>C</v>
      </c>
      <c r="HW6" s="127" t="s">
        <v>31</v>
      </c>
      <c r="HX6" s="128" t="s">
        <v>31</v>
      </c>
      <c r="HY6" s="129" t="s">
        <v>31</v>
      </c>
      <c r="HZ6" s="191">
        <f>IFERROR((((COUNTIF('Elève (4ème4)'!HW6:HY6,"A"))*4)+((COUNTIF('Elève (4ème4)'!HW6:HY6,"B"))*3)+((COUNTIF('Elève (4ème4)'!HW6:HY6,"C"))*2)+((COUNTIF('Elève (4ème4)'!HW6:HY6,"D"))*1))/(COUNTA(HW6:HY6)),"")</f>
        <v>2</v>
      </c>
      <c r="IA6" s="192" t="str">
        <f t="shared" si="48"/>
        <v>C</v>
      </c>
      <c r="IB6" s="127" t="s">
        <v>31</v>
      </c>
      <c r="IC6" s="128" t="s">
        <v>31</v>
      </c>
      <c r="ID6" s="129" t="s">
        <v>30</v>
      </c>
      <c r="IE6" s="129" t="s">
        <v>30</v>
      </c>
      <c r="IF6" s="191">
        <f>IFERROR((((COUNTIF('Elève (4ème4)'!IB6:IE6,"A"))*4)+((COUNTIF('Elève (4ème4)'!IB6:IE6,"B"))*3)+((COUNTIF('Elève (4ème4)'!IB6:IE6,"C"))*2)+((COUNTIF('Elève (4ème4)'!IB6:IE6,"D"))*1))/(COUNTA(IB6:IE6)),"")</f>
        <v>2.5</v>
      </c>
      <c r="IG6" s="192" t="str">
        <f t="shared" si="49"/>
        <v>C</v>
      </c>
      <c r="IH6" s="134"/>
      <c r="II6" s="132"/>
      <c r="IJ6" s="133"/>
      <c r="IK6" s="136"/>
      <c r="IL6" s="191" t="str">
        <f>IFERROR((((COUNTIF('Elève (4ème4)'!IH6:IK6,"A"))*4)+((COUNTIF('Elève (4ème4)'!IH6:IK6,"B"))*3)+((COUNTIF('Elève (4ème4)'!IH6:IK6,"C"))*2)+((COUNTIF('Elève (4ème4)'!IH6:IK6,"D"))*1))/(COUNTA(IH6:IK6)),"")</f>
        <v/>
      </c>
      <c r="IM6" s="192" t="str">
        <f t="shared" si="50"/>
        <v/>
      </c>
      <c r="IN6" s="191">
        <f>IF(COUNT(HZ6,IF6,IL6)=0,"",SUM(HZ6,IF6,IL6)/COUNT(HZ6,IF6,IL6))</f>
        <v>2.25</v>
      </c>
      <c r="IO6" s="215" t="str">
        <f t="shared" si="51"/>
        <v>C</v>
      </c>
      <c r="IP6" s="127" t="s">
        <v>32</v>
      </c>
      <c r="IQ6" s="128" t="s">
        <v>32</v>
      </c>
      <c r="IR6" s="129" t="s">
        <v>32</v>
      </c>
      <c r="IS6" s="191">
        <f>IFERROR((((COUNTIF('Elève (4ème4)'!IP6:IR6,"A"))*4)+((COUNTIF('Elève (4ème4)'!IP6:IR6,"B"))*3)+((COUNTIF('Elève (4ème4)'!IP6:IR6,"C"))*2)+((COUNTIF('Elève (4ème4)'!IP6:IR6,"D"))*1))/(COUNTA(IP6:IR6)),"")</f>
        <v>1</v>
      </c>
      <c r="IT6" s="192" t="str">
        <f t="shared" si="52"/>
        <v>D</v>
      </c>
      <c r="IU6" s="127" t="s">
        <v>32</v>
      </c>
      <c r="IV6" s="128" t="s">
        <v>31</v>
      </c>
      <c r="IW6" s="129" t="s">
        <v>31</v>
      </c>
      <c r="IX6" s="129" t="s">
        <v>30</v>
      </c>
      <c r="IY6" s="191">
        <f>IFERROR((((COUNTIF('Elève (4ème4)'!IU6:IX6,"A"))*4)+((COUNTIF('Elève (4ème4)'!IU6:IX6,"B"))*3)+((COUNTIF('Elève (4ème4)'!IU6:IX6,"C"))*2)+((COUNTIF('Elève (4ème4)'!IU6:IX6,"D"))*1))/(COUNTA(IU6:IX6)),"")</f>
        <v>2</v>
      </c>
      <c r="IZ6" s="192" t="str">
        <f t="shared" si="53"/>
        <v>C</v>
      </c>
      <c r="JA6" s="134"/>
      <c r="JB6" s="132"/>
      <c r="JC6" s="133"/>
      <c r="JD6" s="136"/>
      <c r="JE6" s="191" t="str">
        <f>IFERROR((((COUNTIF('Elève (4ème4)'!JA6:JD6,"A"))*4)+((COUNTIF('Elève (4ème4)'!JA6:JD6,"B"))*3)+((COUNTIF('Elève (4ème4)'!JA6:JD6,"C"))*2)+((COUNTIF('Elève (4ème4)'!JA6:JD6,"D"))*1))/(COUNTA(JA6:JD6)),"")</f>
        <v/>
      </c>
      <c r="JF6" s="192" t="str">
        <f t="shared" si="54"/>
        <v/>
      </c>
      <c r="JG6" s="191">
        <f>IF(COUNT(IS6,IY6,JE6)=0,"",SUM(IS6,IY6,JE6)/COUNT(IS6,IY6,JE6))</f>
        <v>1.5</v>
      </c>
      <c r="JH6" s="215" t="str">
        <f t="shared" si="55"/>
        <v>D</v>
      </c>
      <c r="JI6" s="127" t="s">
        <v>31</v>
      </c>
      <c r="JJ6" s="128" t="s">
        <v>30</v>
      </c>
      <c r="JK6" s="129" t="s">
        <v>31</v>
      </c>
      <c r="JL6" s="191">
        <f>IFERROR((((COUNTIF('Elève (4ème4)'!JI6:JK6,"A"))*4)+((COUNTIF('Elève (4ème4)'!JI6:JK6,"B"))*3)+((COUNTIF('Elève (4ème4)'!JI6:JK6,"C"))*2)+((COUNTIF('Elève (4ème4)'!JI6:JK6,"D"))*1))/(COUNTA(JI6:JK6)),"")</f>
        <v>2.3333333333333335</v>
      </c>
      <c r="JM6" s="192" t="str">
        <f t="shared" si="56"/>
        <v>C</v>
      </c>
      <c r="JN6" s="127" t="s">
        <v>31</v>
      </c>
      <c r="JO6" s="128" t="s">
        <v>31</v>
      </c>
      <c r="JP6" s="129" t="s">
        <v>30</v>
      </c>
      <c r="JQ6" s="129" t="s">
        <v>31</v>
      </c>
      <c r="JR6" s="191">
        <f>IFERROR((((COUNTIF('Elève (4ème4)'!JN6:JQ6,"A"))*4)+((COUNTIF('Elève (4ème4)'!JN6:JQ6,"B"))*3)+((COUNTIF('Elève (4ème4)'!JN6:JQ6,"C"))*2)+((COUNTIF('Elève (4ème4)'!JN6:JQ6,"D"))*1))/(COUNTA(JN6:JQ6)),"")</f>
        <v>2.25</v>
      </c>
      <c r="JS6" s="192" t="str">
        <f t="shared" si="57"/>
        <v>C</v>
      </c>
      <c r="JT6" s="134"/>
      <c r="JU6" s="132"/>
      <c r="JV6" s="133"/>
      <c r="JW6" s="136"/>
      <c r="JX6" s="191" t="str">
        <f>IFERROR((((COUNTIF('Elève (4ème4)'!JT6:JW6,"A"))*4)+((COUNTIF('Elève (4ème4)'!JT6:JW6,"B"))*3)+((COUNTIF('Elève (4ème4)'!JT6:JW6,"C"))*2)+((COUNTIF('Elève (4ème4)'!JT6:JW6,"D"))*1))/(COUNTA(JT6:JW6)),"")</f>
        <v/>
      </c>
      <c r="JY6" s="192" t="str">
        <f t="shared" si="58"/>
        <v/>
      </c>
      <c r="JZ6" s="191">
        <f>IF(COUNT(JL6,JR6,JX6)=0,"",SUM(JL6,JR6,JX6)/COUNT(JL6,JR6,JX6))</f>
        <v>2.291666666666667</v>
      </c>
      <c r="KA6" s="215" t="str">
        <f t="shared" si="59"/>
        <v>C</v>
      </c>
      <c r="KB6" s="127" t="s">
        <v>31</v>
      </c>
      <c r="KC6" s="128" t="s">
        <v>29</v>
      </c>
      <c r="KD6" s="129" t="s">
        <v>31</v>
      </c>
      <c r="KE6" s="191">
        <f>IFERROR((((COUNTIF('Elève (4ème4)'!KB6:KD6,"A"))*4)+((COUNTIF('Elève (4ème4)'!KB6:KD6,"B"))*3)+((COUNTIF('Elève (4ème4)'!KB6:KD6,"C"))*2)+((COUNTIF('Elève (4ème4)'!KB6:KD6,"D"))*1))/(COUNTA(KB6:KD6)),"")</f>
        <v>2.6666666666666665</v>
      </c>
      <c r="KF6" s="192" t="str">
        <f t="shared" si="60"/>
        <v>C</v>
      </c>
      <c r="KG6" s="127" t="s">
        <v>32</v>
      </c>
      <c r="KH6" s="128" t="s">
        <v>31</v>
      </c>
      <c r="KI6" s="129" t="s">
        <v>31</v>
      </c>
      <c r="KJ6" s="129" t="s">
        <v>30</v>
      </c>
      <c r="KK6" s="191">
        <f>IFERROR((((COUNTIF('Elève (4ème4)'!KG6:KJ6,"A"))*4)+((COUNTIF('Elève (4ème4)'!KG6:KJ6,"B"))*3)+((COUNTIF('Elève (4ème4)'!KG6:KJ6,"C"))*2)+((COUNTIF('Elève (4ème4)'!KG6:KJ6,"D"))*1))/(COUNTA(KG6:KJ6)),"")</f>
        <v>2</v>
      </c>
      <c r="KL6" s="192" t="str">
        <f t="shared" si="61"/>
        <v>C</v>
      </c>
      <c r="KM6" s="134"/>
      <c r="KN6" s="132"/>
      <c r="KO6" s="133"/>
      <c r="KP6" s="136"/>
      <c r="KQ6" s="191" t="str">
        <f>IFERROR((((COUNTIF('Elève (4ème4)'!KM6:KP6,"A"))*4)+((COUNTIF('Elève (4ème4)'!KM6:KP6,"B"))*3)+((COUNTIF('Elève (4ème4)'!KM6:KP6,"C"))*2)+((COUNTIF('Elève (4ème4)'!KM6:KP6,"D"))*1))/(COUNTA(KM6:KP6)),"")</f>
        <v/>
      </c>
      <c r="KR6" s="192" t="str">
        <f t="shared" si="62"/>
        <v/>
      </c>
      <c r="KS6" s="191">
        <f>IF(COUNT(KE6,KK6,KQ6)=0,"",SUM(KE6,KK6,KQ6)/COUNT(KE6,KK6,KQ6))</f>
        <v>2.333333333333333</v>
      </c>
      <c r="KT6" s="215" t="str">
        <f t="shared" si="63"/>
        <v>C</v>
      </c>
      <c r="KU6" s="127" t="s">
        <v>31</v>
      </c>
      <c r="KV6" s="128" t="s">
        <v>30</v>
      </c>
      <c r="KW6" s="129" t="s">
        <v>31</v>
      </c>
      <c r="KX6" s="191">
        <f>IFERROR((((COUNTIF('Elève (4ème4)'!KU6:KW6,"A"))*4)+((COUNTIF('Elève (4ème4)'!KU6:KW6,"B"))*3)+((COUNTIF('Elève (4ème4)'!KU6:KW6,"C"))*2)+((COUNTIF('Elève (4ème4)'!KU6:KW6,"D"))*1))/(COUNTA(KU6:KW6)),"")</f>
        <v>2.3333333333333335</v>
      </c>
      <c r="KY6" s="192" t="str">
        <f t="shared" si="64"/>
        <v>C</v>
      </c>
      <c r="KZ6" s="127" t="s">
        <v>31</v>
      </c>
      <c r="LA6" s="128" t="s">
        <v>31</v>
      </c>
      <c r="LB6" s="129" t="s">
        <v>31</v>
      </c>
      <c r="LC6" s="129" t="s">
        <v>30</v>
      </c>
      <c r="LD6" s="191">
        <f>IFERROR((((COUNTIF('Elève (4ème4)'!KZ6:LC6,"A"))*4)+((COUNTIF('Elève (4ème4)'!KZ6:LC6,"B"))*3)+((COUNTIF('Elève (4ème4)'!KZ6:LC6,"C"))*2)+((COUNTIF('Elève (4ème4)'!KZ6:LC6,"D"))*1))/(COUNTA(KZ6:LC6)),"")</f>
        <v>2.25</v>
      </c>
      <c r="LE6" s="192" t="str">
        <f t="shared" si="65"/>
        <v>C</v>
      </c>
      <c r="LF6" s="134"/>
      <c r="LG6" s="132"/>
      <c r="LH6" s="133"/>
      <c r="LI6" s="136"/>
      <c r="LJ6" s="191" t="str">
        <f>IFERROR((((COUNTIF('Elève (4ème4)'!LF6:LI6,"A"))*4)+((COUNTIF('Elève (4ème4)'!LF6:LI6,"B"))*3)+((COUNTIF('Elève (4ème4)'!LF6:LI6,"C"))*2)+((COUNTIF('Elève (4ème4)'!LF6:LI6,"D"))*1))/(COUNTA(LF6:LI6)),"")</f>
        <v/>
      </c>
      <c r="LK6" s="192" t="str">
        <f t="shared" si="66"/>
        <v/>
      </c>
      <c r="LL6" s="191">
        <f>IF(COUNT(KX6,LD6,LJ6)=0,"",SUM(KX6,LD6,LJ6)/COUNT(KX6,LD6,LJ6))</f>
        <v>2.291666666666667</v>
      </c>
      <c r="LM6" s="215" t="str">
        <f t="shared" si="67"/>
        <v>C</v>
      </c>
      <c r="LN6" s="127" t="s">
        <v>31</v>
      </c>
      <c r="LO6" s="128" t="s">
        <v>31</v>
      </c>
      <c r="LP6" s="129" t="s">
        <v>31</v>
      </c>
      <c r="LQ6" s="191">
        <f>IFERROR((((COUNTIF('Elève (4ème4)'!LN6:LP6,"A"))*4)+((COUNTIF('Elève (4ème4)'!LN6:LP6,"B"))*3)+((COUNTIF('Elève (4ème4)'!LN6:LP6,"C"))*2)+((COUNTIF('Elève (4ème4)'!LN6:LP6,"D"))*1))/(COUNTA(LN6:LP6)),"")</f>
        <v>2</v>
      </c>
      <c r="LR6" s="192" t="str">
        <f t="shared" si="68"/>
        <v>C</v>
      </c>
      <c r="LS6" s="127" t="s">
        <v>30</v>
      </c>
      <c r="LT6" s="128" t="s">
        <v>30</v>
      </c>
      <c r="LU6" s="129" t="s">
        <v>30</v>
      </c>
      <c r="LV6" s="129" t="s">
        <v>29</v>
      </c>
      <c r="LW6" s="191">
        <f>IFERROR((((COUNTIF('Elève (4ème4)'!LS6:LV6,"A"))*4)+((COUNTIF('Elève (4ème4)'!LS6:LV6,"B"))*3)+((COUNTIF('Elève (4ème4)'!LS6:LV6,"C"))*2)+((COUNTIF('Elève (4ème4)'!LS6:LV6,"D"))*1))/(COUNTA(LS6:LV6)),"")</f>
        <v>3.25</v>
      </c>
      <c r="LX6" s="192" t="str">
        <f t="shared" si="69"/>
        <v>B</v>
      </c>
      <c r="LY6" s="134"/>
      <c r="LZ6" s="132"/>
      <c r="MA6" s="133"/>
      <c r="MB6" s="136"/>
      <c r="MC6" s="191" t="str">
        <f>IFERROR((((COUNTIF('Elève (4ème4)'!LY6:MB6,"A"))*4)+((COUNTIF('Elève (4ème4)'!LY6:MB6,"B"))*3)+((COUNTIF('Elève (4ème4)'!LY6:MB6,"C"))*2)+((COUNTIF('Elève (4ème4)'!LY6:MB6,"D"))*1))/(COUNTA(LY6:MB6)),"")</f>
        <v/>
      </c>
      <c r="MD6" s="192" t="str">
        <f t="shared" si="70"/>
        <v/>
      </c>
      <c r="ME6" s="191">
        <f>IF(COUNT(LQ6,LW6,MC6)=0,"",SUM(LQ6,LW6,MC6)/COUNT(LQ6,LW6,MC6))</f>
        <v>2.625</v>
      </c>
      <c r="MF6" s="215" t="str">
        <f t="shared" si="71"/>
        <v>C</v>
      </c>
      <c r="MG6" s="127" t="s">
        <v>31</v>
      </c>
      <c r="MH6" s="128" t="s">
        <v>30</v>
      </c>
      <c r="MI6" s="129" t="s">
        <v>29</v>
      </c>
      <c r="MJ6" s="191">
        <f>IFERROR((((COUNTIF('Elève (4ème4)'!MG6:MI6,"A"))*4)+((COUNTIF('Elève (4ème4)'!MG6:MI6,"B"))*3)+((COUNTIF('Elève (4ème4)'!MG6:MI6,"C"))*2)+((COUNTIF('Elève (4ème4)'!MG6:MI6,"D"))*1))/(COUNTA(MG6:MI6)),"")</f>
        <v>3</v>
      </c>
      <c r="MK6" s="192" t="str">
        <f t="shared" si="72"/>
        <v>B</v>
      </c>
      <c r="ML6" s="127" t="s">
        <v>30</v>
      </c>
      <c r="MM6" s="128" t="s">
        <v>30</v>
      </c>
      <c r="MN6" s="129" t="s">
        <v>30</v>
      </c>
      <c r="MO6" s="129" t="s">
        <v>29</v>
      </c>
      <c r="MP6" s="191">
        <f>IFERROR((((COUNTIF('Elève (4ème4)'!ML6:MO6,"A"))*4)+((COUNTIF('Elève (4ème4)'!ML6:MO6,"B"))*3)+((COUNTIF('Elève (4ème4)'!ML6:MO6,"C"))*2)+((COUNTIF('Elève (4ème4)'!ML6:MO6,"D"))*1))/(COUNTA(ML6:MO6)),"")</f>
        <v>3.25</v>
      </c>
      <c r="MQ6" s="192" t="str">
        <f t="shared" si="73"/>
        <v>B</v>
      </c>
      <c r="MR6" s="134"/>
      <c r="MS6" s="132"/>
      <c r="MT6" s="133"/>
      <c r="MU6" s="136"/>
      <c r="MV6" s="191" t="str">
        <f>IFERROR((((COUNTIF('Elève (4ème4)'!MR6:MU6,"A"))*4)+((COUNTIF('Elève (4ème4)'!MR6:MU6,"B"))*3)+((COUNTIF('Elève (4ème4)'!MR6:MU6,"C"))*2)+((COUNTIF('Elève (4ème4)'!MR6:MU6,"D"))*1))/(COUNTA(MR6:MU6)),"")</f>
        <v/>
      </c>
      <c r="MW6" s="192" t="str">
        <f t="shared" si="74"/>
        <v/>
      </c>
      <c r="MX6" s="191">
        <f>IF(COUNT(MJ6,MP6,MV6)=0,"",SUM(MJ6,MP6,MV6)/COUNT(MJ6,MP6,MV6))</f>
        <v>3.125</v>
      </c>
      <c r="MY6" s="215" t="str">
        <f t="shared" si="75"/>
        <v>B</v>
      </c>
      <c r="MZ6" s="127" t="s">
        <v>31</v>
      </c>
      <c r="NA6" s="128" t="s">
        <v>29</v>
      </c>
      <c r="NB6" s="129" t="s">
        <v>30</v>
      </c>
      <c r="NC6" s="191">
        <f>IFERROR((((COUNTIF('Elève (4ème4)'!MZ6:NB6,"A"))*4)+((COUNTIF('Elève (4ème4)'!MZ6:NB6,"B"))*3)+((COUNTIF('Elève (4ème4)'!MZ6:NB6,"C"))*2)+((COUNTIF('Elève (4ème4)'!MZ6:NB6,"D"))*1))/(COUNTA(MZ6:NB6)),"")</f>
        <v>3</v>
      </c>
      <c r="ND6" s="192" t="str">
        <f t="shared" si="76"/>
        <v>B</v>
      </c>
      <c r="NE6" s="127" t="s">
        <v>29</v>
      </c>
      <c r="NF6" s="128" t="s">
        <v>30</v>
      </c>
      <c r="NG6" s="129" t="s">
        <v>29</v>
      </c>
      <c r="NH6" s="129" t="s">
        <v>30</v>
      </c>
      <c r="NI6" s="191">
        <f>IFERROR((((COUNTIF('Elève (4ème4)'!NE6:NH6,"A"))*4)+((COUNTIF('Elève (4ème4)'!NE6:NH6,"B"))*3)+((COUNTIF('Elève (4ème4)'!NE6:NH6,"C"))*2)+((COUNTIF('Elève (4ème4)'!NE6:NH6,"D"))*1))/(COUNTA(NE6:NH6)),"")</f>
        <v>3.5</v>
      </c>
      <c r="NJ6" s="192" t="str">
        <f t="shared" si="77"/>
        <v>B</v>
      </c>
      <c r="NK6" s="134"/>
      <c r="NL6" s="132"/>
      <c r="NM6" s="133"/>
      <c r="NN6" s="136"/>
      <c r="NO6" s="191" t="str">
        <f>IFERROR((((COUNTIF('Elève (4ème4)'!NK6:NN6,"A"))*4)+((COUNTIF('Elève (4ème4)'!NK6:NN6,"B"))*3)+((COUNTIF('Elève (4ème4)'!NK6:NN6,"C"))*2)+((COUNTIF('Elève (4ème4)'!NK6:NN6,"D"))*1))/(COUNTA(NK6:NN6)),"")</f>
        <v/>
      </c>
      <c r="NP6" s="192" t="str">
        <f t="shared" si="78"/>
        <v/>
      </c>
      <c r="NQ6" s="191">
        <f>IF(COUNT(NC6,NI6,NO6)=0,"",SUM(NC6,NI6,NO6)/COUNT(NC6,NI6,NO6))</f>
        <v>3.25</v>
      </c>
      <c r="NR6" s="215" t="str">
        <f t="shared" si="79"/>
        <v>B</v>
      </c>
      <c r="NS6" s="127"/>
      <c r="NT6" s="128" t="s">
        <v>30</v>
      </c>
      <c r="NU6" s="129"/>
      <c r="NV6" s="191">
        <f>IFERROR((((COUNTIF('Elève (4ème4)'!NS6:NU6,"A"))*4)+((COUNTIF('Elève (4ème4)'!NS6:NU6,"B"))*3)+((COUNTIF('Elève (4ème4)'!NS6:NU6,"C"))*2)+((COUNTIF('Elève (4ème4)'!NS6:NU6,"D"))*1))/(COUNTA(NS6:NU6)),"")</f>
        <v>3</v>
      </c>
      <c r="NW6" s="192" t="str">
        <f t="shared" si="80"/>
        <v>B</v>
      </c>
      <c r="NX6" s="127" t="s">
        <v>30</v>
      </c>
      <c r="NY6" s="128" t="s">
        <v>30</v>
      </c>
      <c r="NZ6" s="129" t="s">
        <v>29</v>
      </c>
      <c r="OA6" s="129" t="s">
        <v>30</v>
      </c>
      <c r="OB6" s="191">
        <f>IFERROR((((COUNTIF('Elève (4ème4)'!NX6:OA6,"A"))*4)+((COUNTIF('Elève (4ème4)'!NX6:OA6,"B"))*3)+((COUNTIF('Elève (4ème4)'!NX6:OA6,"C"))*2)+((COUNTIF('Elève (4ème4)'!NX6:OA6,"D"))*1))/(COUNTA(NX6:OA6)),"")</f>
        <v>3.25</v>
      </c>
      <c r="OC6" s="192" t="str">
        <f t="shared" si="81"/>
        <v>B</v>
      </c>
      <c r="OD6" s="134"/>
      <c r="OE6" s="132"/>
      <c r="OF6" s="133"/>
      <c r="OG6" s="136"/>
      <c r="OH6" s="191" t="str">
        <f>IFERROR((((COUNTIF('Elève (4ème4)'!OD6:OG6,"A"))*4)+((COUNTIF('Elève (4ème4)'!OD6:OG6,"B"))*3)+((COUNTIF('Elève (4ème4)'!OD6:OG6,"C"))*2)+((COUNTIF('Elève (4ème4)'!OD6:OG6,"D"))*1))/(COUNTA(OD6:OG6)),"")</f>
        <v/>
      </c>
      <c r="OI6" s="192" t="str">
        <f t="shared" si="82"/>
        <v/>
      </c>
      <c r="OJ6" s="191">
        <f>IF(COUNT(NV6,OB6,OH6)=0,"",SUM(NV6,OB6,OH6)/COUNT(NV6,OB6,OH6))</f>
        <v>3.125</v>
      </c>
      <c r="OK6" s="215" t="str">
        <f t="shared" si="83"/>
        <v>B</v>
      </c>
      <c r="OL6" s="127" t="s">
        <v>30</v>
      </c>
      <c r="OM6" s="128" t="s">
        <v>29</v>
      </c>
      <c r="ON6" s="129" t="s">
        <v>29</v>
      </c>
      <c r="OO6" s="191">
        <f>IFERROR((((COUNTIF('Elève (4ème4)'!OL6:ON6,"A"))*4)+((COUNTIF('Elève (4ème4)'!OL6:ON6,"B"))*3)+((COUNTIF('Elève (4ème4)'!OL6:ON6,"C"))*2)+((COUNTIF('Elève (4ème4)'!OL6:ON6,"D"))*1))/(COUNTA(OL6:ON6)),"")</f>
        <v>3.6666666666666665</v>
      </c>
      <c r="OP6" s="192" t="str">
        <f t="shared" si="84"/>
        <v>B</v>
      </c>
      <c r="OQ6" s="127" t="s">
        <v>29</v>
      </c>
      <c r="OR6" s="128" t="s">
        <v>30</v>
      </c>
      <c r="OS6" s="129" t="s">
        <v>29</v>
      </c>
      <c r="OT6" s="129" t="s">
        <v>29</v>
      </c>
      <c r="OU6" s="191">
        <f>IFERROR((((COUNTIF('Elève (4ème4)'!OQ6:OT6,"A"))*4)+((COUNTIF('Elève (4ème4)'!OQ6:OT6,"B"))*3)+((COUNTIF('Elève (4ème4)'!OQ6:OT6,"C"))*2)+((COUNTIF('Elève (4ème4)'!OQ6:OT6,"D"))*1))/(COUNTA(OQ6:OT6)),"")</f>
        <v>3.75</v>
      </c>
      <c r="OV6" s="192" t="str">
        <f t="shared" si="85"/>
        <v>A</v>
      </c>
      <c r="OW6" s="134"/>
      <c r="OX6" s="132"/>
      <c r="OY6" s="133"/>
      <c r="OZ6" s="136"/>
      <c r="PA6" s="191" t="str">
        <f>IFERROR((((COUNTIF('Elève (4ème4)'!OW6:OZ6,"A"))*4)+((COUNTIF('Elève (4ème4)'!OW6:OZ6,"B"))*3)+((COUNTIF('Elève (4ème4)'!OW6:OZ6,"C"))*2)+((COUNTIF('Elève (4ème4)'!OW6:OZ6,"D"))*1))/(COUNTA(OW6:OZ6)),"")</f>
        <v/>
      </c>
      <c r="PB6" s="192" t="str">
        <f t="shared" si="86"/>
        <v/>
      </c>
      <c r="PC6" s="191">
        <f>IF(COUNT(OO6,OU6,PA6)=0,"",SUM(OO6,OU6,PA6)/COUNT(OO6,OU6,PA6))</f>
        <v>3.708333333333333</v>
      </c>
      <c r="PD6" s="215" t="str">
        <f t="shared" si="87"/>
        <v>A</v>
      </c>
      <c r="PE6" s="127" t="s">
        <v>31</v>
      </c>
      <c r="PF6" s="128" t="s">
        <v>31</v>
      </c>
      <c r="PG6" s="129" t="s">
        <v>31</v>
      </c>
      <c r="PH6" s="191">
        <f>IFERROR((((COUNTIF('Elève (4ème4)'!PE6:PG6,"A"))*4)+((COUNTIF('Elève (4ème4)'!PE6:PG6,"B"))*3)+((COUNTIF('Elève (4ème4)'!PE6:PG6,"C"))*2)+((COUNTIF('Elève (4ème4)'!PE6:PG6,"D"))*1))/(COUNTA(PE6:PG6)),"")</f>
        <v>2</v>
      </c>
      <c r="PI6" s="192" t="str">
        <f t="shared" si="88"/>
        <v>C</v>
      </c>
      <c r="PJ6" s="127" t="s">
        <v>31</v>
      </c>
      <c r="PK6" s="128" t="s">
        <v>31</v>
      </c>
      <c r="PL6" s="129" t="s">
        <v>31</v>
      </c>
      <c r="PM6" s="129" t="s">
        <v>30</v>
      </c>
      <c r="PN6" s="191">
        <f>IFERROR((((COUNTIF('Elève (4ème4)'!PJ6:PM6,"A"))*4)+((COUNTIF('Elève (4ème4)'!PJ6:PM6,"B"))*3)+((COUNTIF('Elève (4ème4)'!PJ6:PM6,"C"))*2)+((COUNTIF('Elève (4ème4)'!PJ6:PM6,"D"))*1))/(COUNTA(PJ6:PM6)),"")</f>
        <v>2.25</v>
      </c>
      <c r="PO6" s="192" t="str">
        <f t="shared" si="89"/>
        <v>C</v>
      </c>
      <c r="PP6" s="134"/>
      <c r="PQ6" s="132"/>
      <c r="PR6" s="133"/>
      <c r="PS6" s="136"/>
      <c r="PT6" s="191" t="str">
        <f>IFERROR((((COUNTIF('Elève (4ème4)'!PP6:PS6,"A"))*4)+((COUNTIF('Elève (4ème4)'!PP6:PS6,"B"))*3)+((COUNTIF('Elève (4ème4)'!PP6:PS6,"C"))*2)+((COUNTIF('Elève (4ème4)'!PP6:PS6,"D"))*1))/(COUNTA(PP6:PS6)),"")</f>
        <v/>
      </c>
      <c r="PU6" s="192" t="str">
        <f t="shared" si="90"/>
        <v/>
      </c>
      <c r="PV6" s="191">
        <f>IF(COUNT(PH6,PN6,PT6)=0,"",SUM(PH6,PN6,PT6)/COUNT(PH6,PN6,PT6))</f>
        <v>2.125</v>
      </c>
      <c r="PW6" s="215" t="str">
        <f t="shared" si="91"/>
        <v>C</v>
      </c>
      <c r="PX6" s="127" t="s">
        <v>31</v>
      </c>
      <c r="PY6" s="128" t="s">
        <v>30</v>
      </c>
      <c r="PZ6" s="129" t="s">
        <v>32</v>
      </c>
      <c r="QA6" s="191">
        <f>IFERROR((((COUNTIF('Elève (4ème4)'!PX6:PZ6,"A"))*4)+((COUNTIF('Elève (4ème4)'!PX6:PZ6,"B"))*3)+((COUNTIF('Elève (4ème4)'!PX6:PZ6,"C"))*2)+((COUNTIF('Elève (4ème4)'!PX6:PZ6,"D"))*1))/(COUNTA(PX6:PZ6)),"")</f>
        <v>2</v>
      </c>
      <c r="QB6" s="192" t="str">
        <f t="shared" si="92"/>
        <v>C</v>
      </c>
      <c r="QC6" s="127" t="s">
        <v>30</v>
      </c>
      <c r="QD6" s="128" t="s">
        <v>30</v>
      </c>
      <c r="QE6" s="129" t="s">
        <v>30</v>
      </c>
      <c r="QF6" s="129" t="s">
        <v>30</v>
      </c>
      <c r="QG6" s="191">
        <f>IFERROR((((COUNTIF('Elève (4ème4)'!QC6:QF6,"A"))*4)+((COUNTIF('Elève (4ème4)'!QC6:QF6,"B"))*3)+((COUNTIF('Elève (4ème4)'!QC6:QF6,"C"))*2)+((COUNTIF('Elève (4ème4)'!QC6:QF6,"D"))*1))/(COUNTA(QC6:QF6)),"")</f>
        <v>3</v>
      </c>
      <c r="QH6" s="192" t="str">
        <f t="shared" si="93"/>
        <v>B</v>
      </c>
      <c r="QI6" s="134"/>
      <c r="QJ6" s="132"/>
      <c r="QK6" s="133"/>
      <c r="QL6" s="136"/>
      <c r="QM6" s="191" t="str">
        <f>IFERROR((((COUNTIF('Elève (4ème4)'!QI6:QL6,"A"))*4)+((COUNTIF('Elève (4ème4)'!QI6:QL6,"B"))*3)+((COUNTIF('Elève (4ème4)'!QI6:QL6,"C"))*2)+((COUNTIF('Elève (4ème4)'!QI6:QL6,"D"))*1))/(COUNTA(QI6:QL6)),"")</f>
        <v/>
      </c>
      <c r="QN6" s="192" t="str">
        <f t="shared" si="94"/>
        <v/>
      </c>
      <c r="QO6" s="191">
        <f>IF(COUNT(QA6,QG6,QM6)=0,"",SUM(QA6,QG6,QM6)/COUNT(QA6,QG6,QM6))</f>
        <v>2.5</v>
      </c>
      <c r="QP6" s="215" t="str">
        <f t="shared" si="95"/>
        <v>C</v>
      </c>
      <c r="QQ6" s="127" t="s">
        <v>30</v>
      </c>
      <c r="QR6" s="128" t="s">
        <v>30</v>
      </c>
      <c r="QS6" s="129" t="s">
        <v>31</v>
      </c>
      <c r="QT6" s="191">
        <f>IFERROR((((COUNTIF('Elève (4ème4)'!QQ6:QS6,"A"))*4)+((COUNTIF('Elève (4ème4)'!QQ6:QS6,"B"))*3)+((COUNTIF('Elève (4ème4)'!QQ6:QS6,"C"))*2)+((COUNTIF('Elève (4ème4)'!QQ6:QS6,"D"))*1))/(COUNTA(QQ6:QS6)),"")</f>
        <v>2.6666666666666665</v>
      </c>
      <c r="QU6" s="192" t="str">
        <f t="shared" si="96"/>
        <v>C</v>
      </c>
      <c r="QV6" s="127" t="s">
        <v>32</v>
      </c>
      <c r="QW6" s="128" t="s">
        <v>30</v>
      </c>
      <c r="QX6" s="129" t="s">
        <v>31</v>
      </c>
      <c r="QY6" s="129" t="s">
        <v>30</v>
      </c>
      <c r="QZ6" s="191">
        <f>IFERROR((((COUNTIF('Elève (4ème4)'!QV6:QY6,"A"))*4)+((COUNTIF('Elève (4ème4)'!QV6:QY6,"B"))*3)+((COUNTIF('Elève (4ème4)'!QV6:QY6,"C"))*2)+((COUNTIF('Elève (4ème4)'!QV6:QY6,"D"))*1))/(COUNTA(QV6:QY6)),"")</f>
        <v>2.25</v>
      </c>
      <c r="RA6" s="192" t="str">
        <f t="shared" si="97"/>
        <v>C</v>
      </c>
      <c r="RB6" s="134"/>
      <c r="RC6" s="132"/>
      <c r="RD6" s="133"/>
      <c r="RE6" s="136"/>
      <c r="RF6" s="191" t="str">
        <f>IFERROR((((COUNTIF('Elève (4ème4)'!RB6:RE6,"A"))*4)+((COUNTIF('Elève (4ème4)'!RB6:RE6,"B"))*3)+((COUNTIF('Elève (4ème4)'!RB6:RE6,"C"))*2)+((COUNTIF('Elève (4ème4)'!RB6:RE6,"D"))*1))/(COUNTA(RB6:RE6)),"")</f>
        <v/>
      </c>
      <c r="RG6" s="192" t="str">
        <f t="shared" si="98"/>
        <v/>
      </c>
      <c r="RH6" s="191">
        <f>IF(COUNT(QT6,QZ6,RF6)=0,"",SUM(QT6,QZ6,RF6)/COUNT(QT6,QZ6,RF6))</f>
        <v>2.458333333333333</v>
      </c>
      <c r="RI6" s="215" t="str">
        <f t="shared" si="99"/>
        <v>C</v>
      </c>
      <c r="RJ6" s="127" t="s">
        <v>31</v>
      </c>
      <c r="RK6" s="128" t="s">
        <v>31</v>
      </c>
      <c r="RL6" s="129" t="s">
        <v>32</v>
      </c>
      <c r="RM6" s="191">
        <f>IFERROR((((COUNTIF('Elève (4ème4)'!RJ6:RL6,"A"))*4)+((COUNTIF('Elève (4ème4)'!RJ6:RL6,"B"))*3)+((COUNTIF('Elève (4ème4)'!RJ6:RL6,"C"))*2)+((COUNTIF('Elève (4ème4)'!RJ6:RL6,"D"))*1))/(COUNTA(RJ6:RL6)),"")</f>
        <v>1.6666666666666667</v>
      </c>
      <c r="RN6" s="192" t="str">
        <f t="shared" si="100"/>
        <v>C</v>
      </c>
      <c r="RO6" s="127" t="s">
        <v>31</v>
      </c>
      <c r="RP6" s="128" t="s">
        <v>31</v>
      </c>
      <c r="RQ6" s="129" t="s">
        <v>31</v>
      </c>
      <c r="RR6" s="129" t="s">
        <v>31</v>
      </c>
      <c r="RS6" s="191">
        <f>IFERROR((((COUNTIF('Elève (4ème4)'!RO6:RR6,"A"))*4)+((COUNTIF('Elève (4ème4)'!RO6:RR6,"B"))*3)+((COUNTIF('Elève (4ème4)'!RO6:RR6,"C"))*2)+((COUNTIF('Elève (4ème4)'!RO6:RR6,"D"))*1))/(COUNTA(RO6:RR6)),"")</f>
        <v>2</v>
      </c>
      <c r="RT6" s="192" t="str">
        <f t="shared" si="101"/>
        <v>C</v>
      </c>
      <c r="RU6" s="134"/>
      <c r="RV6" s="132"/>
      <c r="RW6" s="133"/>
      <c r="RX6" s="136"/>
      <c r="RY6" s="191" t="str">
        <f>IFERROR((((COUNTIF('Elève (4ème4)'!RU6:RX6,"A"))*4)+((COUNTIF('Elève (4ème4)'!RU6:RX6,"B"))*3)+((COUNTIF('Elève (4ème4)'!RU6:RX6,"C"))*2)+((COUNTIF('Elève (4ème4)'!RU6:RX6,"D"))*1))/(COUNTA(RU6:RX6)),"")</f>
        <v/>
      </c>
      <c r="RZ6" s="192" t="str">
        <f t="shared" si="102"/>
        <v/>
      </c>
      <c r="SA6" s="191">
        <f>IF(COUNT(RM6,RS6,RY6)=0,"",SUM(RM6,RS6,RY6)/COUNT(RM6,RS6,RY6))</f>
        <v>1.8333333333333335</v>
      </c>
      <c r="SB6" s="215" t="str">
        <f t="shared" si="103"/>
        <v>C</v>
      </c>
      <c r="SC6" s="134"/>
      <c r="SD6" s="132"/>
      <c r="SE6" s="133"/>
      <c r="SF6" s="130" t="str">
        <f>IFERROR((((COUNTIF('Elève (4ème4)'!SC6:SE6,"A"))*4)+((COUNTIF('Elève (4ème4)'!SC6:SE6,"B"))*3)+((COUNTIF('Elève (4ème4)'!SC6:SE6,"C"))*2)+((COUNTIF('Elève (4ème4)'!SC6:SE6,"D"))*1))/(COUNTA(SC6:SE6)),"")</f>
        <v/>
      </c>
      <c r="SG6" s="131" t="str">
        <f t="shared" si="104"/>
        <v/>
      </c>
      <c r="SH6" s="134"/>
      <c r="SI6" s="132"/>
      <c r="SJ6" s="133"/>
      <c r="SK6" s="130" t="str">
        <f>IFERROR((((COUNTIF('Elève (4ème4)'!SH6:SJ6,"A"))*4)+((COUNTIF('Elève (4ème4)'!SH6:SJ6,"B"))*3)+((COUNTIF('Elève (4ème4)'!SH6:SJ6,"C"))*2)+((COUNTIF('Elève (4ème4)'!SH6:SJ6,"D"))*1))/(COUNTA(SH6:SJ6)),"")</f>
        <v/>
      </c>
      <c r="SL6" s="131" t="str">
        <f t="shared" si="105"/>
        <v/>
      </c>
      <c r="SM6" s="134"/>
      <c r="SN6" s="132"/>
      <c r="SO6" s="136"/>
      <c r="SP6" s="130" t="str">
        <f>IFERROR((((COUNTIF('Elève (4ème4)'!SM6:SO6,"A"))*4)+((COUNTIF('Elève (4ème4)'!SM6:SO6,"B"))*3)+((COUNTIF('Elève (4ème4)'!SM6:SO6,"C"))*2)+((COUNTIF('Elève (4ème4)'!SM6:SO6,"D"))*1))/(COUNTA(SM6:SO6)),"")</f>
        <v/>
      </c>
      <c r="SQ6" s="131" t="str">
        <f t="shared" si="106"/>
        <v/>
      </c>
      <c r="SR6" s="130" t="str">
        <f>IF(COUNT(SF6,SK6,SP6)=0,"",SUM(SF6,SK6,SP6)/COUNT(SF6,SK6,SP6))</f>
        <v/>
      </c>
      <c r="SS6" s="135" t="str">
        <f t="shared" si="107"/>
        <v/>
      </c>
      <c r="ST6" s="134"/>
      <c r="SU6" s="132"/>
      <c r="SV6" s="133"/>
      <c r="SW6" s="130" t="str">
        <f>IFERROR((((COUNTIF('Elève (4ème4)'!ST6:SV6,"A"))*4)+((COUNTIF('Elève (4ème4)'!ST6:SV6,"B"))*3)+((COUNTIF('Elève (4ème4)'!ST6:SV6,"C"))*2)+((COUNTIF('Elève (4ème4)'!ST6:SV6,"D"))*1))/(COUNTA(ST6:SV6)),"")</f>
        <v/>
      </c>
      <c r="SX6" s="131" t="str">
        <f t="shared" si="108"/>
        <v/>
      </c>
      <c r="SY6" s="134"/>
      <c r="SZ6" s="132"/>
      <c r="TA6" s="133"/>
      <c r="TB6" s="130" t="str">
        <f>IFERROR((((COUNTIF('Elève (4ème4)'!SY6:TA6,"A"))*4)+((COUNTIF('Elève (4ème4)'!SY6:TA6,"B"))*3)+((COUNTIF('Elève (4ème4)'!SY6:TA6,"C"))*2)+((COUNTIF('Elève (4ème4)'!SY6:TA6,"D"))*1))/(COUNTA(SY6:TA6)),"")</f>
        <v/>
      </c>
      <c r="TC6" s="131" t="str">
        <f t="shared" si="109"/>
        <v/>
      </c>
      <c r="TD6" s="134"/>
      <c r="TE6" s="132"/>
      <c r="TF6" s="136"/>
      <c r="TG6" s="130" t="str">
        <f>IFERROR((((COUNTIF('Elève (4ème4)'!TD6:TF6,"A"))*4)+((COUNTIF('Elève (4ème4)'!TD6:TF6,"B"))*3)+((COUNTIF('Elève (4ème4)'!TD6:TF6,"C"))*2)+((COUNTIF('Elève (4ème4)'!TD6:TF6,"D"))*1))/(COUNTA(TD6:TF6)),"")</f>
        <v/>
      </c>
      <c r="TH6" s="131" t="str">
        <f t="shared" si="110"/>
        <v/>
      </c>
      <c r="TI6" s="130" t="str">
        <f>IF(COUNT(SW6,TB6,TG6)=0,"",SUM(SW6,TB6,TG6)/COUNT(SW6,TB6,TG6))</f>
        <v/>
      </c>
      <c r="TJ6" s="135" t="str">
        <f t="shared" si="111"/>
        <v/>
      </c>
      <c r="TK6" s="134"/>
      <c r="TL6" s="132"/>
      <c r="TM6" s="133"/>
      <c r="TN6" s="130" t="str">
        <f>IFERROR((((COUNTIF('Elève (4ème4)'!TK6:TM6,"A"))*4)+((COUNTIF('Elève (4ème4)'!TK6:TM6,"B"))*3)+((COUNTIF('Elève (4ème4)'!TK6:TM6,"C"))*2)+((COUNTIF('Elève (4ème4)'!TK6:TM6,"D"))*1))/(COUNTA(TK6:TM6)),"")</f>
        <v/>
      </c>
      <c r="TO6" s="131" t="str">
        <f t="shared" si="112"/>
        <v/>
      </c>
      <c r="TP6" s="134"/>
      <c r="TQ6" s="132"/>
      <c r="TR6" s="133"/>
      <c r="TS6" s="130" t="str">
        <f>IFERROR((((COUNTIF('Elève (4ème4)'!TP6:TR6,"A"))*4)+((COUNTIF('Elève (4ème4)'!TP6:TR6,"B"))*3)+((COUNTIF('Elève (4ème4)'!TP6:TR6,"C"))*2)+((COUNTIF('Elève (4ème4)'!TP6:TR6,"D"))*1))/(COUNTA(TP6:TR6)),"")</f>
        <v/>
      </c>
      <c r="TT6" s="131" t="str">
        <f t="shared" si="113"/>
        <v/>
      </c>
      <c r="TU6" s="134"/>
      <c r="TV6" s="132"/>
      <c r="TW6" s="136"/>
      <c r="TX6" s="130" t="str">
        <f>IFERROR((((COUNTIF('Elève (4ème4)'!TU6:TW6,"A"))*4)+((COUNTIF('Elève (4ème4)'!TU6:TW6,"B"))*3)+((COUNTIF('Elève (4ème4)'!TU6:TW6,"C"))*2)+((COUNTIF('Elève (4ème4)'!TU6:TW6,"D"))*1))/(COUNTA(TU6:TW6)),"")</f>
        <v/>
      </c>
      <c r="TY6" s="131" t="str">
        <f t="shared" si="114"/>
        <v/>
      </c>
      <c r="TZ6" s="130" t="str">
        <f>IF(COUNT(TN6,TS6,TX6)=0,"",SUM(TN6,TS6,TX6)/COUNT(TN6,TS6,TX6))</f>
        <v/>
      </c>
      <c r="UA6" s="135" t="str">
        <f t="shared" si="115"/>
        <v/>
      </c>
      <c r="UB6" s="134"/>
      <c r="UC6" s="132"/>
      <c r="UD6" s="133"/>
      <c r="UE6" s="130" t="str">
        <f>IFERROR((((COUNTIF('Elève (4ème4)'!UB6:UD6,"A"))*4)+((COUNTIF('Elève (4ème4)'!UB6:UD6,"B"))*3)+((COUNTIF('Elève (4ème4)'!UB6:UD6,"C"))*2)+((COUNTIF('Elève (4ème4)'!UB6:UD6,"D"))*1))/(COUNTA(UB6:UD6)),"")</f>
        <v/>
      </c>
      <c r="UF6" s="131" t="str">
        <f t="shared" si="116"/>
        <v/>
      </c>
      <c r="UG6" s="134"/>
      <c r="UH6" s="132"/>
      <c r="UI6" s="133"/>
      <c r="UJ6" s="130" t="str">
        <f>IFERROR((((COUNTIF('Elève (4ème4)'!UG6:UI6,"A"))*4)+((COUNTIF('Elève (4ème4)'!UG6:UI6,"B"))*3)+((COUNTIF('Elève (4ème4)'!UG6:UI6,"C"))*2)+((COUNTIF('Elève (4ème4)'!UG6:UI6,"D"))*1))/(COUNTA(UG6:UI6)),"")</f>
        <v/>
      </c>
      <c r="UK6" s="131" t="str">
        <f t="shared" si="117"/>
        <v/>
      </c>
      <c r="UL6" s="134"/>
      <c r="UM6" s="132"/>
      <c r="UN6" s="136"/>
      <c r="UO6" s="130" t="str">
        <f>IFERROR((((COUNTIF('Elève (4ème4)'!UL6:UN6,"A"))*4)+((COUNTIF('Elève (4ème4)'!UL6:UN6,"B"))*3)+((COUNTIF('Elève (4ème4)'!UL6:UN6,"C"))*2)+((COUNTIF('Elève (4ème4)'!UL6:UN6,"D"))*1))/(COUNTA(UL6:UN6)),"")</f>
        <v/>
      </c>
      <c r="UP6" s="131" t="str">
        <f t="shared" si="118"/>
        <v/>
      </c>
      <c r="UQ6" s="130" t="str">
        <f>IF(COUNT(UE6,UJ6,UO6)=0,"",SUM(UE6,UJ6,UO6)/COUNT(UE6,UJ6,UO6))</f>
        <v/>
      </c>
      <c r="UR6" s="135" t="str">
        <f t="shared" si="119"/>
        <v/>
      </c>
    </row>
    <row r="7" spans="1:564" ht="18" customHeight="1" x14ac:dyDescent="0.25">
      <c r="A7" s="252" t="s">
        <v>14</v>
      </c>
      <c r="B7" s="253"/>
      <c r="C7" s="134"/>
      <c r="D7" s="132"/>
      <c r="E7" s="133"/>
      <c r="F7" s="191" t="str">
        <f>IFERROR((((COUNTIF('Elève (4ème4)'!C7:E7,"A"))*4)+((COUNTIF('Elève (4ème4)'!C7:E7,"B"))*3)+((COUNTIF('Elève (4ème4)'!C7:E7,"C"))*2)+((COUNTIF('Elève (4ème4)'!C7:E7,"D"))*1))/(COUNTA(C7:E7)),"")</f>
        <v/>
      </c>
      <c r="G7" s="192" t="str">
        <f t="shared" si="0"/>
        <v/>
      </c>
      <c r="H7" s="134"/>
      <c r="I7" s="132"/>
      <c r="J7" s="133"/>
      <c r="K7" s="133"/>
      <c r="L7" s="191" t="str">
        <f>IFERROR((((COUNTIF('Elève (4ème4)'!H7:K7,"A"))*4)+((COUNTIF('Elève (4ème4)'!H7:K7,"B"))*3)+((COUNTIF('Elève (4ème4)'!H7:K7,"C"))*2)+((COUNTIF('Elève (4ème4)'!H7:K7,"D"))*1))/(COUNTA(H7:K7)),"")</f>
        <v/>
      </c>
      <c r="M7" s="192" t="str">
        <f t="shared" si="1"/>
        <v/>
      </c>
      <c r="N7" s="134"/>
      <c r="O7" s="132"/>
      <c r="P7" s="133"/>
      <c r="Q7" s="133"/>
      <c r="R7" s="191" t="str">
        <f>IFERROR((((COUNTIF('Elève (4ème4)'!N7:Q7,"A"))*4)+((COUNTIF('Elève (4ème4)'!N7:Q7,"B"))*3)+((COUNTIF('Elève (4ème4)'!N7:Q7,"C"))*2)+((COUNTIF('Elève (4ème4)'!N7:Q7,"D"))*1))/(COUNTA(N7:Q7)),"")</f>
        <v/>
      </c>
      <c r="S7" s="192" t="str">
        <f t="shared" si="2"/>
        <v/>
      </c>
      <c r="T7" s="191" t="str">
        <f>IF(COUNT(F7,L7,R7)=0,"",SUM(F7,L7,R7)/COUNT(F7,L7,R7))</f>
        <v/>
      </c>
      <c r="U7" s="215" t="str">
        <f t="shared" si="3"/>
        <v/>
      </c>
      <c r="V7" s="134"/>
      <c r="W7" s="132"/>
      <c r="X7" s="133"/>
      <c r="Y7" s="191" t="str">
        <f>IFERROR((((COUNTIF('Elève (4ème4)'!V7:X7,"A"))*4)+((COUNTIF('Elève (4ème4)'!V7:X7,"B"))*3)+((COUNTIF('Elève (4ème4)'!V7:X7,"C"))*2)+((COUNTIF('Elève (4ème4)'!V7:X7,"D"))*1))/(COUNTA(V7:X7)),"")</f>
        <v/>
      </c>
      <c r="Z7" s="192" t="str">
        <f t="shared" si="4"/>
        <v/>
      </c>
      <c r="AA7" s="134"/>
      <c r="AB7" s="132"/>
      <c r="AC7" s="133"/>
      <c r="AD7" s="133"/>
      <c r="AE7" s="191" t="str">
        <f>IFERROR((((COUNTIF('Elève (4ème4)'!AA7:AD7,"A"))*4)+((COUNTIF('Elève (4ème4)'!AA7:AD7,"B"))*3)+((COUNTIF('Elève (4ème4)'!AA7:AD7,"C"))*2)+((COUNTIF('Elève (4ème4)'!AA7:AD7,"D"))*1))/(COUNTA(AA7:AD7)),"")</f>
        <v/>
      </c>
      <c r="AF7" s="192" t="str">
        <f t="shared" si="5"/>
        <v/>
      </c>
      <c r="AG7" s="134"/>
      <c r="AH7" s="132"/>
      <c r="AI7" s="133"/>
      <c r="AJ7" s="136"/>
      <c r="AK7" s="191" t="str">
        <f>IFERROR((((COUNTIF('Elève (4ème4)'!AG7:AJ7,"A"))*4)+((COUNTIF('Elève (4ème4)'!AG7:AJ7,"B"))*3)+((COUNTIF('Elève (4ème4)'!AG7:AJ7,"C"))*2)+((COUNTIF('Elève (4ème4)'!AG7:AJ7,"D"))*1))/(COUNTA(AG7:AJ7)),"")</f>
        <v/>
      </c>
      <c r="AL7" s="192" t="str">
        <f t="shared" si="6"/>
        <v/>
      </c>
      <c r="AM7" s="191" t="str">
        <f>IF(COUNT(Y7,AE7,AK7)=0,"",SUM(Y7,AE7,AK7)/COUNT(Y7,AE7,AK7))</f>
        <v/>
      </c>
      <c r="AN7" s="215" t="str">
        <f t="shared" si="7"/>
        <v/>
      </c>
      <c r="AO7" s="134"/>
      <c r="AP7" s="132"/>
      <c r="AQ7" s="133"/>
      <c r="AR7" s="191" t="str">
        <f>IFERROR((((COUNTIF('Elève (4ème4)'!AO7:AQ7,"A"))*4)+((COUNTIF('Elève (4ème4)'!AO7:AQ7,"B"))*3)+((COUNTIF('Elève (4ème4)'!AO7:AQ7,"C"))*2)+((COUNTIF('Elève (4ème4)'!AO7:AQ7,"D"))*1))/(COUNTA(AO7:AQ7)),"")</f>
        <v/>
      </c>
      <c r="AS7" s="192" t="str">
        <f t="shared" si="8"/>
        <v/>
      </c>
      <c r="AT7" s="134"/>
      <c r="AU7" s="132"/>
      <c r="AV7" s="133"/>
      <c r="AW7" s="133"/>
      <c r="AX7" s="191" t="str">
        <f>IFERROR((((COUNTIF('Elève (4ème4)'!AT7:AW7,"A"))*4)+((COUNTIF('Elève (4ème4)'!AT7:AW7,"B"))*3)+((COUNTIF('Elève (4ème4)'!AT7:AW7,"C"))*2)+((COUNTIF('Elève (4ème4)'!AT7:AW7,"D"))*1))/(COUNTA(AT7:AW7)),"")</f>
        <v/>
      </c>
      <c r="AY7" s="192" t="str">
        <f t="shared" si="9"/>
        <v/>
      </c>
      <c r="AZ7" s="134"/>
      <c r="BA7" s="132"/>
      <c r="BB7" s="133"/>
      <c r="BC7" s="136"/>
      <c r="BD7" s="191" t="str">
        <f>IFERROR((((COUNTIF('Elève (4ème4)'!AZ7:BC7,"A"))*4)+((COUNTIF('Elève (4ème4)'!AZ7:BC7,"B"))*3)+((COUNTIF('Elève (4ème4)'!AZ7:BC7,"C"))*2)+((COUNTIF('Elève (4ème4)'!AZ7:BC7,"D"))*1))/(COUNTA(AZ7:BC7)),"")</f>
        <v/>
      </c>
      <c r="BE7" s="192" t="str">
        <f t="shared" si="10"/>
        <v/>
      </c>
      <c r="BF7" s="191" t="str">
        <f>IF(COUNT(AR7,AX7,BD7)=0,"",SUM(AR7,AX7,BD7)/COUNT(AR7,AX7,BD7))</f>
        <v/>
      </c>
      <c r="BG7" s="215" t="str">
        <f t="shared" si="11"/>
        <v/>
      </c>
      <c r="BH7" s="134"/>
      <c r="BI7" s="132"/>
      <c r="BJ7" s="133"/>
      <c r="BK7" s="191" t="str">
        <f>IFERROR((((COUNTIF('Elève (4ème4)'!BH7:BJ7,"A"))*4)+((COUNTIF('Elève (4ème4)'!BH7:BJ7,"B"))*3)+((COUNTIF('Elève (4ème4)'!BH7:BJ7,"C"))*2)+((COUNTIF('Elève (4ème4)'!BH7:BJ7,"D"))*1))/(COUNTA(BH7:BJ7)),"")</f>
        <v/>
      </c>
      <c r="BL7" s="192" t="str">
        <f t="shared" si="12"/>
        <v/>
      </c>
      <c r="BM7" s="134"/>
      <c r="BN7" s="132"/>
      <c r="BO7" s="133"/>
      <c r="BP7" s="133"/>
      <c r="BQ7" s="191" t="str">
        <f>IFERROR((((COUNTIF('Elève (4ème4)'!BM7:BP7,"A"))*4)+((COUNTIF('Elève (4ème4)'!BM7:BP7,"B"))*3)+((COUNTIF('Elève (4ème4)'!BM7:BP7,"C"))*2)+((COUNTIF('Elève (4ème4)'!BM7:BP7,"D"))*1))/(COUNTA(BM7:BP7)),"")</f>
        <v/>
      </c>
      <c r="BR7" s="192" t="str">
        <f t="shared" si="13"/>
        <v/>
      </c>
      <c r="BS7" s="134"/>
      <c r="BT7" s="132"/>
      <c r="BU7" s="133"/>
      <c r="BV7" s="136"/>
      <c r="BW7" s="191" t="str">
        <f>IFERROR((((COUNTIF('Elève (4ème4)'!BS7:BV7,"A"))*4)+((COUNTIF('Elève (4ème4)'!BS7:BV7,"B"))*3)+((COUNTIF('Elève (4ème4)'!BS7:BV7,"C"))*2)+((COUNTIF('Elève (4ème4)'!BS7:BV7,"D"))*1))/(COUNTA(BS7:BV7)),"")</f>
        <v/>
      </c>
      <c r="BX7" s="192" t="str">
        <f t="shared" si="14"/>
        <v/>
      </c>
      <c r="BY7" s="191" t="str">
        <f>IF(COUNT(BK7,BQ7,BW7)=0,"",SUM(BK7,BQ7,BW7)/COUNT(BK7,BQ7,BW7))</f>
        <v/>
      </c>
      <c r="BZ7" s="215" t="str">
        <f t="shared" si="15"/>
        <v/>
      </c>
      <c r="CA7" s="134"/>
      <c r="CB7" s="132"/>
      <c r="CC7" s="133"/>
      <c r="CD7" s="191" t="str">
        <f>IFERROR((((COUNTIF('Elève (4ème4)'!CA7:CC7,"A"))*4)+((COUNTIF('Elève (4ème4)'!CA7:CC7,"B"))*3)+((COUNTIF('Elève (4ème4)'!CA7:CC7,"C"))*2)+((COUNTIF('Elève (4ème4)'!CA7:CC7,"D"))*1))/(COUNTA(CA7:CC7)),"")</f>
        <v/>
      </c>
      <c r="CE7" s="192" t="str">
        <f t="shared" si="16"/>
        <v/>
      </c>
      <c r="CF7" s="134"/>
      <c r="CG7" s="132"/>
      <c r="CH7" s="133"/>
      <c r="CI7" s="133"/>
      <c r="CJ7" s="191" t="str">
        <f>IFERROR((((COUNTIF('Elève (4ème4)'!CF7:CI7,"A"))*4)+((COUNTIF('Elève (4ème4)'!CF7:CI7,"B"))*3)+((COUNTIF('Elève (4ème4)'!CF7:CI7,"C"))*2)+((COUNTIF('Elève (4ème4)'!CF7:CI7,"D"))*1))/(COUNTA(CF7:CI7)),"")</f>
        <v/>
      </c>
      <c r="CK7" s="192" t="str">
        <f t="shared" si="17"/>
        <v/>
      </c>
      <c r="CL7" s="134"/>
      <c r="CM7" s="132"/>
      <c r="CN7" s="133"/>
      <c r="CO7" s="136"/>
      <c r="CP7" s="191" t="str">
        <f>IFERROR((((COUNTIF('Elève (4ème4)'!CL7:CO7,"A"))*4)+((COUNTIF('Elève (4ème4)'!CL7:CO7,"B"))*3)+((COUNTIF('Elève (4ème4)'!CL7:CO7,"C"))*2)+((COUNTIF('Elève (4ème4)'!CL7:CO7,"D"))*1))/(COUNTA(CL7:CO7)),"")</f>
        <v/>
      </c>
      <c r="CQ7" s="192" t="str">
        <f t="shared" si="18"/>
        <v/>
      </c>
      <c r="CR7" s="191" t="str">
        <f>IF(COUNT(CD7,CJ7,CP7)=0,"",SUM(CD7,CJ7,CP7)/COUNT(CD7,CJ7,CP7))</f>
        <v/>
      </c>
      <c r="CS7" s="215" t="str">
        <f t="shared" si="19"/>
        <v/>
      </c>
      <c r="CT7" s="134"/>
      <c r="CU7" s="132"/>
      <c r="CV7" s="133"/>
      <c r="CW7" s="191" t="str">
        <f>IFERROR((((COUNTIF('Elève (4ème4)'!CT7:CV7,"A"))*4)+((COUNTIF('Elève (4ème4)'!CT7:CV7,"B"))*3)+((COUNTIF('Elève (4ème4)'!CT7:CV7,"C"))*2)+((COUNTIF('Elève (4ème4)'!CT7:CV7,"D"))*1))/(COUNTA(CT7:CV7)),"")</f>
        <v/>
      </c>
      <c r="CX7" s="192" t="str">
        <f t="shared" si="20"/>
        <v/>
      </c>
      <c r="CY7" s="134"/>
      <c r="CZ7" s="132"/>
      <c r="DA7" s="133"/>
      <c r="DB7" s="133"/>
      <c r="DC7" s="191" t="str">
        <f>IFERROR((((COUNTIF('Elève (4ème4)'!CY7:DB7,"A"))*4)+((COUNTIF('Elève (4ème4)'!CY7:DB7,"B"))*3)+((COUNTIF('Elève (4ème4)'!CY7:DB7,"C"))*2)+((COUNTIF('Elève (4ème4)'!CY7:DB7,"D"))*1))/(COUNTA(CY7:DB7)),"")</f>
        <v/>
      </c>
      <c r="DD7" s="192" t="str">
        <f t="shared" si="21"/>
        <v/>
      </c>
      <c r="DE7" s="134"/>
      <c r="DF7" s="132"/>
      <c r="DG7" s="133"/>
      <c r="DH7" s="136"/>
      <c r="DI7" s="191" t="str">
        <f>IFERROR((((COUNTIF('Elève (4ème4)'!DE7:DH7,"A"))*4)+((COUNTIF('Elève (4ème4)'!DE7:DH7,"B"))*3)+((COUNTIF('Elève (4ème4)'!DE7:DH7,"C"))*2)+((COUNTIF('Elève (4ème4)'!DE7:DH7,"D"))*1))/(COUNTA(DE7:DH7)),"")</f>
        <v/>
      </c>
      <c r="DJ7" s="192" t="str">
        <f t="shared" si="22"/>
        <v/>
      </c>
      <c r="DK7" s="191" t="str">
        <f>IF(COUNT(CW7,DC7,DI7)=0,"",SUM(CW7,DC7,DI7)/COUNT(CW7,DC7,DI7))</f>
        <v/>
      </c>
      <c r="DL7" s="215" t="str">
        <f t="shared" si="23"/>
        <v/>
      </c>
      <c r="DM7" s="134"/>
      <c r="DN7" s="132"/>
      <c r="DO7" s="133"/>
      <c r="DP7" s="191" t="str">
        <f>IFERROR((((COUNTIF('Elève (4ème4)'!DM7:DO7,"A"))*4)+((COUNTIF('Elève (4ème4)'!DM7:DO7,"B"))*3)+((COUNTIF('Elève (4ème4)'!DM7:DO7,"C"))*2)+((COUNTIF('Elève (4ème4)'!DM7:DO7,"D"))*1))/(COUNTA(DM7:DO7)),"")</f>
        <v/>
      </c>
      <c r="DQ7" s="192" t="str">
        <f t="shared" si="24"/>
        <v/>
      </c>
      <c r="DR7" s="134"/>
      <c r="DS7" s="132"/>
      <c r="DT7" s="133"/>
      <c r="DU7" s="133"/>
      <c r="DV7" s="191" t="str">
        <f>IFERROR((((COUNTIF('Elève (4ème4)'!DR7:DU7,"A"))*4)+((COUNTIF('Elève (4ème4)'!DR7:DU7,"B"))*3)+((COUNTIF('Elève (4ème4)'!DR7:DU7,"C"))*2)+((COUNTIF('Elève (4ème4)'!DR7:DU7,"D"))*1))/(COUNTA(DR7:DU7)),"")</f>
        <v/>
      </c>
      <c r="DW7" s="192" t="str">
        <f t="shared" si="25"/>
        <v/>
      </c>
      <c r="DX7" s="134"/>
      <c r="DY7" s="132"/>
      <c r="DZ7" s="133"/>
      <c r="EA7" s="136"/>
      <c r="EB7" s="191" t="str">
        <f>IFERROR((((COUNTIF('Elève (4ème4)'!DX7:EA7,"A"))*4)+((COUNTIF('Elève (4ème4)'!DX7:EA7,"B"))*3)+((COUNTIF('Elève (4ème4)'!DX7:EA7,"C"))*2)+((COUNTIF('Elève (4ème4)'!DX7:EA7,"D"))*1))/(COUNTA(DX7:EA7)),"")</f>
        <v/>
      </c>
      <c r="EC7" s="192" t="str">
        <f t="shared" si="26"/>
        <v/>
      </c>
      <c r="ED7" s="191" t="str">
        <f>IF(COUNT(DP7,DV7,EB7)=0,"",SUM(DP7,DV7,EB7)/COUNT(DP7,DV7,EB7))</f>
        <v/>
      </c>
      <c r="EE7" s="215" t="str">
        <f t="shared" si="27"/>
        <v/>
      </c>
      <c r="EF7" s="134"/>
      <c r="EG7" s="132"/>
      <c r="EH7" s="133"/>
      <c r="EI7" s="191" t="str">
        <f>IFERROR((((COUNTIF('Elève (4ème4)'!EF7:EH7,"A"))*4)+((COUNTIF('Elève (4ème4)'!EF7:EH7,"B"))*3)+((COUNTIF('Elève (4ème4)'!EF7:EH7,"C"))*2)+((COUNTIF('Elève (4ème4)'!EF7:EH7,"D"))*1))/(COUNTA(EF7:EH7)),"")</f>
        <v/>
      </c>
      <c r="EJ7" s="192" t="str">
        <f t="shared" si="28"/>
        <v/>
      </c>
      <c r="EK7" s="134"/>
      <c r="EL7" s="132"/>
      <c r="EM7" s="133"/>
      <c r="EN7" s="133"/>
      <c r="EO7" s="191" t="str">
        <f>IFERROR((((COUNTIF('Elève (4ème4)'!EK7:EN7,"A"))*4)+((COUNTIF('Elève (4ème4)'!EK7:EN7,"B"))*3)+((COUNTIF('Elève (4ème4)'!EK7:EN7,"C"))*2)+((COUNTIF('Elève (4ème4)'!EK7:EN7,"D"))*1))/(COUNTA(EK7:EN7)),"")</f>
        <v/>
      </c>
      <c r="EP7" s="192" t="str">
        <f t="shared" si="29"/>
        <v/>
      </c>
      <c r="EQ7" s="134"/>
      <c r="ER7" s="132"/>
      <c r="ES7" s="133"/>
      <c r="ET7" s="136"/>
      <c r="EU7" s="191" t="str">
        <f>IFERROR((((COUNTIF('Elève (4ème4)'!EQ7:ET7,"A"))*4)+((COUNTIF('Elève (4ème4)'!EQ7:ET7,"B"))*3)+((COUNTIF('Elève (4ème4)'!EQ7:ET7,"C"))*2)+((COUNTIF('Elève (4ème4)'!EQ7:ET7,"D"))*1))/(COUNTA(EQ7:ET7)),"")</f>
        <v/>
      </c>
      <c r="EV7" s="192" t="str">
        <f t="shared" si="30"/>
        <v/>
      </c>
      <c r="EW7" s="191" t="str">
        <f>IF(COUNT(EI7,EO7,EU7)=0,"",SUM(EI7,EO7,EU7)/COUNT(EI7,EO7,EU7))</f>
        <v/>
      </c>
      <c r="EX7" s="215" t="str">
        <f t="shared" si="31"/>
        <v/>
      </c>
      <c r="EY7" s="134"/>
      <c r="EZ7" s="132"/>
      <c r="FA7" s="133"/>
      <c r="FB7" s="191" t="str">
        <f>IFERROR((((COUNTIF('Elève (4ème4)'!EY7:FA7,"A"))*4)+((COUNTIF('Elève (4ème4)'!EY7:FA7,"B"))*3)+((COUNTIF('Elève (4ème4)'!EY7:FA7,"C"))*2)+((COUNTIF('Elève (4ème4)'!EY7:FA7,"D"))*1))/(COUNTA(EY7:FA7)),"")</f>
        <v/>
      </c>
      <c r="FC7" s="192" t="str">
        <f t="shared" si="32"/>
        <v/>
      </c>
      <c r="FD7" s="134"/>
      <c r="FE7" s="132"/>
      <c r="FF7" s="133"/>
      <c r="FG7" s="133"/>
      <c r="FH7" s="191" t="str">
        <f>IFERROR((((COUNTIF('Elève (4ème4)'!FD7:FG7,"A"))*4)+((COUNTIF('Elève (4ème4)'!FD7:FG7,"B"))*3)+((COUNTIF('Elève (4ème4)'!FD7:FG7,"C"))*2)+((COUNTIF('Elève (4ème4)'!FD7:FG7,"D"))*1))/(COUNTA(FD7:FG7)),"")</f>
        <v/>
      </c>
      <c r="FI7" s="192" t="str">
        <f t="shared" si="33"/>
        <v/>
      </c>
      <c r="FJ7" s="134"/>
      <c r="FK7" s="132"/>
      <c r="FL7" s="133"/>
      <c r="FM7" s="136"/>
      <c r="FN7" s="191" t="str">
        <f>IFERROR((((COUNTIF('Elève (4ème4)'!FJ7:FM7,"A"))*4)+((COUNTIF('Elève (4ème4)'!FJ7:FM7,"B"))*3)+((COUNTIF('Elève (4ème4)'!FJ7:FM7,"C"))*2)+((COUNTIF('Elève (4ème4)'!FJ7:FM7,"D"))*1))/(COUNTA(FJ7:FM7)),"")</f>
        <v/>
      </c>
      <c r="FO7" s="192" t="str">
        <f t="shared" si="34"/>
        <v/>
      </c>
      <c r="FP7" s="191" t="str">
        <f>IF(COUNT(FB7,FH7,FN7)=0,"",SUM(FB7,FH7,FN7)/COUNT(FB7,FH7,FN7))</f>
        <v/>
      </c>
      <c r="FQ7" s="215" t="str">
        <f t="shared" si="35"/>
        <v/>
      </c>
      <c r="FR7" s="134"/>
      <c r="FS7" s="132"/>
      <c r="FT7" s="133"/>
      <c r="FU7" s="191" t="str">
        <f>IFERROR((((COUNTIF('Elève (4ème4)'!FR7:FT7,"A"))*4)+((COUNTIF('Elève (4ème4)'!FR7:FT7,"B"))*3)+((COUNTIF('Elève (4ème4)'!FR7:FT7,"C"))*2)+((COUNTIF('Elève (4ème4)'!FR7:FT7,"D"))*1))/(COUNTA(FR7:FT7)),"")</f>
        <v/>
      </c>
      <c r="FV7" s="192" t="str">
        <f t="shared" si="36"/>
        <v/>
      </c>
      <c r="FW7" s="134"/>
      <c r="FX7" s="132"/>
      <c r="FY7" s="133"/>
      <c r="FZ7" s="133"/>
      <c r="GA7" s="191" t="str">
        <f>IFERROR((((COUNTIF('Elève (4ème4)'!FW7:FZ7,"A"))*4)+((COUNTIF('Elève (4ème4)'!FW7:FZ7,"B"))*3)+((COUNTIF('Elève (4ème4)'!FW7:FZ7,"C"))*2)+((COUNTIF('Elève (4ème4)'!FW7:FZ7,"D"))*1))/(COUNTA(FW7:FZ7)),"")</f>
        <v/>
      </c>
      <c r="GB7" s="192" t="str">
        <f t="shared" si="37"/>
        <v/>
      </c>
      <c r="GC7" s="134"/>
      <c r="GD7" s="132"/>
      <c r="GE7" s="133"/>
      <c r="GF7" s="136"/>
      <c r="GG7" s="191" t="str">
        <f>IFERROR((((COUNTIF('Elève (4ème4)'!GC7:GF7,"A"))*4)+((COUNTIF('Elève (4ème4)'!GC7:GF7,"B"))*3)+((COUNTIF('Elève (4ème4)'!GC7:GF7,"C"))*2)+((COUNTIF('Elève (4ème4)'!GC7:GF7,"D"))*1))/(COUNTA(GC7:GF7)),"")</f>
        <v/>
      </c>
      <c r="GH7" s="192" t="str">
        <f t="shared" si="38"/>
        <v/>
      </c>
      <c r="GI7" s="191" t="str">
        <f>IF(COUNT(FU7,GA7,GG7)=0,"",SUM(FU7,GA7,GG7)/COUNT(FU7,GA7,GG7))</f>
        <v/>
      </c>
      <c r="GJ7" s="215" t="str">
        <f t="shared" si="39"/>
        <v/>
      </c>
      <c r="GK7" s="134"/>
      <c r="GL7" s="132"/>
      <c r="GM7" s="133"/>
      <c r="GN7" s="191" t="str">
        <f>IFERROR((((COUNTIF('Elève (4ème4)'!GK7:GM7,"A"))*4)+((COUNTIF('Elève (4ème4)'!GK7:GM7,"B"))*3)+((COUNTIF('Elève (4ème4)'!GK7:GM7,"C"))*2)+((COUNTIF('Elève (4ème4)'!GK7:GM7,"D"))*1))/(COUNTA(GK7:GM7)),"")</f>
        <v/>
      </c>
      <c r="GO7" s="192" t="str">
        <f t="shared" si="40"/>
        <v/>
      </c>
      <c r="GP7" s="134"/>
      <c r="GQ7" s="132"/>
      <c r="GR7" s="133"/>
      <c r="GS7" s="133"/>
      <c r="GT7" s="191" t="str">
        <f>IFERROR((((COUNTIF('Elève (4ème4)'!GP7:GS7,"A"))*4)+((COUNTIF('Elève (4ème4)'!GP7:GS7,"B"))*3)+((COUNTIF('Elève (4ème4)'!GP7:GS7,"C"))*2)+((COUNTIF('Elève (4ème4)'!GP7:GS7,"D"))*1))/(COUNTA(GP7:GS7)),"")</f>
        <v/>
      </c>
      <c r="GU7" s="192" t="str">
        <f t="shared" si="41"/>
        <v/>
      </c>
      <c r="GV7" s="134"/>
      <c r="GW7" s="132"/>
      <c r="GX7" s="133"/>
      <c r="GY7" s="136"/>
      <c r="GZ7" s="191" t="str">
        <f>IFERROR((((COUNTIF('Elève (4ème4)'!GV7:GY7,"A"))*4)+((COUNTIF('Elève (4ème4)'!GV7:GY7,"B"))*3)+((COUNTIF('Elève (4ème4)'!GV7:GY7,"C"))*2)+((COUNTIF('Elève (4ème4)'!GV7:GY7,"D"))*1))/(COUNTA(GV7:GY7)),"")</f>
        <v/>
      </c>
      <c r="HA7" s="192" t="str">
        <f t="shared" si="42"/>
        <v/>
      </c>
      <c r="HB7" s="191" t="str">
        <f>IF(COUNT(GN7,GT7,GZ7)=0,"",SUM(GN7,GT7,GZ7)/COUNT(GN7,GT7,GZ7))</f>
        <v/>
      </c>
      <c r="HC7" s="215" t="str">
        <f t="shared" si="43"/>
        <v/>
      </c>
      <c r="HD7" s="134"/>
      <c r="HE7" s="132"/>
      <c r="HF7" s="133"/>
      <c r="HG7" s="191" t="str">
        <f>IFERROR((((COUNTIF('Elève (4ème4)'!HD7:HF7,"A"))*4)+((COUNTIF('Elève (4ème4)'!HD7:HF7,"B"))*3)+((COUNTIF('Elève (4ème4)'!HD7:HF7,"C"))*2)+((COUNTIF('Elève (4ème4)'!HD7:HF7,"D"))*1))/(COUNTA(HD7:HF7)),"")</f>
        <v/>
      </c>
      <c r="HH7" s="192" t="str">
        <f t="shared" si="44"/>
        <v/>
      </c>
      <c r="HI7" s="134"/>
      <c r="HJ7" s="132"/>
      <c r="HK7" s="133"/>
      <c r="HL7" s="133"/>
      <c r="HM7" s="191" t="str">
        <f>IFERROR((((COUNTIF('Elève (4ème4)'!HI7:HL7,"A"))*4)+((COUNTIF('Elève (4ème4)'!HI7:HL7,"B"))*3)+((COUNTIF('Elève (4ème4)'!HI7:HL7,"C"))*2)+((COUNTIF('Elève (4ème4)'!HI7:HL7,"D"))*1))/(COUNTA(HI7:HL7)),"")</f>
        <v/>
      </c>
      <c r="HN7" s="192" t="str">
        <f t="shared" si="45"/>
        <v/>
      </c>
      <c r="HO7" s="134"/>
      <c r="HP7" s="132"/>
      <c r="HQ7" s="133"/>
      <c r="HR7" s="136"/>
      <c r="HS7" s="191" t="str">
        <f>IFERROR((((COUNTIF('Elève (4ème4)'!HO7:HR7,"A"))*4)+((COUNTIF('Elève (4ème4)'!HO7:HR7,"B"))*3)+((COUNTIF('Elève (4ème4)'!HO7:HR7,"C"))*2)+((COUNTIF('Elève (4ème4)'!HO7:HR7,"D"))*1))/(COUNTA(HO7:HR7)),"")</f>
        <v/>
      </c>
      <c r="HT7" s="192" t="str">
        <f t="shared" si="46"/>
        <v/>
      </c>
      <c r="HU7" s="191" t="str">
        <f>IF(COUNT(HG7,HM7,HS7)=0,"",SUM(HG7,HM7,HS7)/COUNT(HG7,HM7,HS7))</f>
        <v/>
      </c>
      <c r="HV7" s="215" t="str">
        <f t="shared" si="47"/>
        <v/>
      </c>
      <c r="HW7" s="134"/>
      <c r="HX7" s="132"/>
      <c r="HY7" s="133"/>
      <c r="HZ7" s="191" t="str">
        <f>IFERROR((((COUNTIF('Elève (4ème4)'!HW7:HY7,"A"))*4)+((COUNTIF('Elève (4ème4)'!HW7:HY7,"B"))*3)+((COUNTIF('Elève (4ème4)'!HW7:HY7,"C"))*2)+((COUNTIF('Elève (4ème4)'!HW7:HY7,"D"))*1))/(COUNTA(HW7:HY7)),"")</f>
        <v/>
      </c>
      <c r="IA7" s="192" t="str">
        <f t="shared" si="48"/>
        <v/>
      </c>
      <c r="IB7" s="134"/>
      <c r="IC7" s="132"/>
      <c r="ID7" s="133"/>
      <c r="IE7" s="133"/>
      <c r="IF7" s="191" t="str">
        <f>IFERROR((((COUNTIF('Elève (4ème4)'!IB7:IE7,"A"))*4)+((COUNTIF('Elève (4ème4)'!IB7:IE7,"B"))*3)+((COUNTIF('Elève (4ème4)'!IB7:IE7,"C"))*2)+((COUNTIF('Elève (4ème4)'!IB7:IE7,"D"))*1))/(COUNTA(IB7:IE7)),"")</f>
        <v/>
      </c>
      <c r="IG7" s="192" t="str">
        <f t="shared" si="49"/>
        <v/>
      </c>
      <c r="IH7" s="134"/>
      <c r="II7" s="132"/>
      <c r="IJ7" s="133"/>
      <c r="IK7" s="136"/>
      <c r="IL7" s="191" t="str">
        <f>IFERROR((((COUNTIF('Elève (4ème4)'!IH7:IK7,"A"))*4)+((COUNTIF('Elève (4ème4)'!IH7:IK7,"B"))*3)+((COUNTIF('Elève (4ème4)'!IH7:IK7,"C"))*2)+((COUNTIF('Elève (4ème4)'!IH7:IK7,"D"))*1))/(COUNTA(IH7:IK7)),"")</f>
        <v/>
      </c>
      <c r="IM7" s="192" t="str">
        <f t="shared" si="50"/>
        <v/>
      </c>
      <c r="IN7" s="191" t="str">
        <f>IF(COUNT(HZ7,IF7,IL7)=0,"",SUM(HZ7,IF7,IL7)/COUNT(HZ7,IF7,IL7))</f>
        <v/>
      </c>
      <c r="IO7" s="215" t="str">
        <f t="shared" si="51"/>
        <v/>
      </c>
      <c r="IP7" s="134"/>
      <c r="IQ7" s="132"/>
      <c r="IR7" s="133"/>
      <c r="IS7" s="191" t="str">
        <f>IFERROR((((COUNTIF('Elève (4ème4)'!IP7:IR7,"A"))*4)+((COUNTIF('Elève (4ème4)'!IP7:IR7,"B"))*3)+((COUNTIF('Elève (4ème4)'!IP7:IR7,"C"))*2)+((COUNTIF('Elève (4ème4)'!IP7:IR7,"D"))*1))/(COUNTA(IP7:IR7)),"")</f>
        <v/>
      </c>
      <c r="IT7" s="192" t="str">
        <f t="shared" si="52"/>
        <v/>
      </c>
      <c r="IU7" s="134"/>
      <c r="IV7" s="132"/>
      <c r="IW7" s="133"/>
      <c r="IX7" s="133"/>
      <c r="IY7" s="191" t="str">
        <f>IFERROR((((COUNTIF('Elève (4ème4)'!IU7:IX7,"A"))*4)+((COUNTIF('Elève (4ème4)'!IU7:IX7,"B"))*3)+((COUNTIF('Elève (4ème4)'!IU7:IX7,"C"))*2)+((COUNTIF('Elève (4ème4)'!IU7:IX7,"D"))*1))/(COUNTA(IU7:IX7)),"")</f>
        <v/>
      </c>
      <c r="IZ7" s="192" t="str">
        <f t="shared" si="53"/>
        <v/>
      </c>
      <c r="JA7" s="134"/>
      <c r="JB7" s="132"/>
      <c r="JC7" s="133"/>
      <c r="JD7" s="136"/>
      <c r="JE7" s="191" t="str">
        <f>IFERROR((((COUNTIF('Elève (4ème4)'!JA7:JD7,"A"))*4)+((COUNTIF('Elève (4ème4)'!JA7:JD7,"B"))*3)+((COUNTIF('Elève (4ème4)'!JA7:JD7,"C"))*2)+((COUNTIF('Elève (4ème4)'!JA7:JD7,"D"))*1))/(COUNTA(JA7:JD7)),"")</f>
        <v/>
      </c>
      <c r="JF7" s="192" t="str">
        <f t="shared" si="54"/>
        <v/>
      </c>
      <c r="JG7" s="191" t="str">
        <f>IF(COUNT(IS7,IY7,JE7)=0,"",SUM(IS7,IY7,JE7)/COUNT(IS7,IY7,JE7))</f>
        <v/>
      </c>
      <c r="JH7" s="215" t="str">
        <f t="shared" si="55"/>
        <v/>
      </c>
      <c r="JI7" s="134"/>
      <c r="JJ7" s="132"/>
      <c r="JK7" s="133"/>
      <c r="JL7" s="191" t="str">
        <f>IFERROR((((COUNTIF('Elève (4ème4)'!JI7:JK7,"A"))*4)+((COUNTIF('Elève (4ème4)'!JI7:JK7,"B"))*3)+((COUNTIF('Elève (4ème4)'!JI7:JK7,"C"))*2)+((COUNTIF('Elève (4ème4)'!JI7:JK7,"D"))*1))/(COUNTA(JI7:JK7)),"")</f>
        <v/>
      </c>
      <c r="JM7" s="192" t="str">
        <f t="shared" si="56"/>
        <v/>
      </c>
      <c r="JN7" s="134"/>
      <c r="JO7" s="132"/>
      <c r="JP7" s="133"/>
      <c r="JQ7" s="133"/>
      <c r="JR7" s="191" t="str">
        <f>IFERROR((((COUNTIF('Elève (4ème4)'!JN7:JQ7,"A"))*4)+((COUNTIF('Elève (4ème4)'!JN7:JQ7,"B"))*3)+((COUNTIF('Elève (4ème4)'!JN7:JQ7,"C"))*2)+((COUNTIF('Elève (4ème4)'!JN7:JQ7,"D"))*1))/(COUNTA(JN7:JQ7)),"")</f>
        <v/>
      </c>
      <c r="JS7" s="192" t="str">
        <f t="shared" si="57"/>
        <v/>
      </c>
      <c r="JT7" s="134"/>
      <c r="JU7" s="132"/>
      <c r="JV7" s="133"/>
      <c r="JW7" s="136"/>
      <c r="JX7" s="191" t="str">
        <f>IFERROR((((COUNTIF('Elève (4ème4)'!JT7:JW7,"A"))*4)+((COUNTIF('Elève (4ème4)'!JT7:JW7,"B"))*3)+((COUNTIF('Elève (4ème4)'!JT7:JW7,"C"))*2)+((COUNTIF('Elève (4ème4)'!JT7:JW7,"D"))*1))/(COUNTA(JT7:JW7)),"")</f>
        <v/>
      </c>
      <c r="JY7" s="192" t="str">
        <f t="shared" si="58"/>
        <v/>
      </c>
      <c r="JZ7" s="191" t="str">
        <f>IF(COUNT(JL7,JR7,JX7)=0,"",SUM(JL7,JR7,JX7)/COUNT(JL7,JR7,JX7))</f>
        <v/>
      </c>
      <c r="KA7" s="215" t="str">
        <f t="shared" si="59"/>
        <v/>
      </c>
      <c r="KB7" s="134"/>
      <c r="KC7" s="132"/>
      <c r="KD7" s="133"/>
      <c r="KE7" s="191" t="str">
        <f>IFERROR((((COUNTIF('Elève (4ème4)'!KB7:KD7,"A"))*4)+((COUNTIF('Elève (4ème4)'!KB7:KD7,"B"))*3)+((COUNTIF('Elève (4ème4)'!KB7:KD7,"C"))*2)+((COUNTIF('Elève (4ème4)'!KB7:KD7,"D"))*1))/(COUNTA(KB7:KD7)),"")</f>
        <v/>
      </c>
      <c r="KF7" s="192" t="str">
        <f t="shared" si="60"/>
        <v/>
      </c>
      <c r="KG7" s="134"/>
      <c r="KH7" s="132"/>
      <c r="KI7" s="133"/>
      <c r="KJ7" s="133"/>
      <c r="KK7" s="191" t="str">
        <f>IFERROR((((COUNTIF('Elève (4ème4)'!KG7:KJ7,"A"))*4)+((COUNTIF('Elève (4ème4)'!KG7:KJ7,"B"))*3)+((COUNTIF('Elève (4ème4)'!KG7:KJ7,"C"))*2)+((COUNTIF('Elève (4ème4)'!KG7:KJ7,"D"))*1))/(COUNTA(KG7:KJ7)),"")</f>
        <v/>
      </c>
      <c r="KL7" s="192" t="str">
        <f t="shared" si="61"/>
        <v/>
      </c>
      <c r="KM7" s="134"/>
      <c r="KN7" s="132"/>
      <c r="KO7" s="133"/>
      <c r="KP7" s="136"/>
      <c r="KQ7" s="191" t="str">
        <f>IFERROR((((COUNTIF('Elève (4ème4)'!KM7:KP7,"A"))*4)+((COUNTIF('Elève (4ème4)'!KM7:KP7,"B"))*3)+((COUNTIF('Elève (4ème4)'!KM7:KP7,"C"))*2)+((COUNTIF('Elève (4ème4)'!KM7:KP7,"D"))*1))/(COUNTA(KM7:KP7)),"")</f>
        <v/>
      </c>
      <c r="KR7" s="192" t="str">
        <f t="shared" si="62"/>
        <v/>
      </c>
      <c r="KS7" s="191" t="str">
        <f>IF(COUNT(KE7,KK7,KQ7)=0,"",SUM(KE7,KK7,KQ7)/COUNT(KE7,KK7,KQ7))</f>
        <v/>
      </c>
      <c r="KT7" s="215" t="str">
        <f t="shared" si="63"/>
        <v/>
      </c>
      <c r="KU7" s="134"/>
      <c r="KV7" s="132"/>
      <c r="KW7" s="133"/>
      <c r="KX7" s="191" t="str">
        <f>IFERROR((((COUNTIF('Elève (4ème4)'!KU7:KW7,"A"))*4)+((COUNTIF('Elève (4ème4)'!KU7:KW7,"B"))*3)+((COUNTIF('Elève (4ème4)'!KU7:KW7,"C"))*2)+((COUNTIF('Elève (4ème4)'!KU7:KW7,"D"))*1))/(COUNTA(KU7:KW7)),"")</f>
        <v/>
      </c>
      <c r="KY7" s="192" t="str">
        <f t="shared" si="64"/>
        <v/>
      </c>
      <c r="KZ7" s="134"/>
      <c r="LA7" s="132"/>
      <c r="LB7" s="133"/>
      <c r="LC7" s="133"/>
      <c r="LD7" s="191" t="str">
        <f>IFERROR((((COUNTIF('Elève (4ème4)'!KZ7:LC7,"A"))*4)+((COUNTIF('Elève (4ème4)'!KZ7:LC7,"B"))*3)+((COUNTIF('Elève (4ème4)'!KZ7:LC7,"C"))*2)+((COUNTIF('Elève (4ème4)'!KZ7:LC7,"D"))*1))/(COUNTA(KZ7:LC7)),"")</f>
        <v/>
      </c>
      <c r="LE7" s="192" t="str">
        <f t="shared" si="65"/>
        <v/>
      </c>
      <c r="LF7" s="134"/>
      <c r="LG7" s="132"/>
      <c r="LH7" s="133"/>
      <c r="LI7" s="136"/>
      <c r="LJ7" s="191" t="str">
        <f>IFERROR((((COUNTIF('Elève (4ème4)'!LF7:LI7,"A"))*4)+((COUNTIF('Elève (4ème4)'!LF7:LI7,"B"))*3)+((COUNTIF('Elève (4ème4)'!LF7:LI7,"C"))*2)+((COUNTIF('Elève (4ème4)'!LF7:LI7,"D"))*1))/(COUNTA(LF7:LI7)),"")</f>
        <v/>
      </c>
      <c r="LK7" s="192" t="str">
        <f t="shared" si="66"/>
        <v/>
      </c>
      <c r="LL7" s="191" t="str">
        <f>IF(COUNT(KX7,LD7,LJ7)=0,"",SUM(KX7,LD7,LJ7)/COUNT(KX7,LD7,LJ7))</f>
        <v/>
      </c>
      <c r="LM7" s="215" t="str">
        <f t="shared" si="67"/>
        <v/>
      </c>
      <c r="LN7" s="134"/>
      <c r="LO7" s="132"/>
      <c r="LP7" s="133"/>
      <c r="LQ7" s="191" t="str">
        <f>IFERROR((((COUNTIF('Elève (4ème4)'!LN7:LP7,"A"))*4)+((COUNTIF('Elève (4ème4)'!LN7:LP7,"B"))*3)+((COUNTIF('Elève (4ème4)'!LN7:LP7,"C"))*2)+((COUNTIF('Elève (4ème4)'!LN7:LP7,"D"))*1))/(COUNTA(LN7:LP7)),"")</f>
        <v/>
      </c>
      <c r="LR7" s="192" t="str">
        <f t="shared" si="68"/>
        <v/>
      </c>
      <c r="LS7" s="134"/>
      <c r="LT7" s="132"/>
      <c r="LU7" s="133"/>
      <c r="LV7" s="133"/>
      <c r="LW7" s="191" t="str">
        <f>IFERROR((((COUNTIF('Elève (4ème4)'!LS7:LV7,"A"))*4)+((COUNTIF('Elève (4ème4)'!LS7:LV7,"B"))*3)+((COUNTIF('Elève (4ème4)'!LS7:LV7,"C"))*2)+((COUNTIF('Elève (4ème4)'!LS7:LV7,"D"))*1))/(COUNTA(LS7:LV7)),"")</f>
        <v/>
      </c>
      <c r="LX7" s="192" t="str">
        <f t="shared" si="69"/>
        <v/>
      </c>
      <c r="LY7" s="134"/>
      <c r="LZ7" s="132"/>
      <c r="MA7" s="133"/>
      <c r="MB7" s="136"/>
      <c r="MC7" s="191" t="str">
        <f>IFERROR((((COUNTIF('Elève (4ème4)'!LY7:MB7,"A"))*4)+((COUNTIF('Elève (4ème4)'!LY7:MB7,"B"))*3)+((COUNTIF('Elève (4ème4)'!LY7:MB7,"C"))*2)+((COUNTIF('Elève (4ème4)'!LY7:MB7,"D"))*1))/(COUNTA(LY7:MB7)),"")</f>
        <v/>
      </c>
      <c r="MD7" s="192" t="str">
        <f t="shared" si="70"/>
        <v/>
      </c>
      <c r="ME7" s="191" t="str">
        <f>IF(COUNT(LQ7,LW7,MC7)=0,"",SUM(LQ7,LW7,MC7)/COUNT(LQ7,LW7,MC7))</f>
        <v/>
      </c>
      <c r="MF7" s="215" t="str">
        <f t="shared" si="71"/>
        <v/>
      </c>
      <c r="MG7" s="134"/>
      <c r="MH7" s="132"/>
      <c r="MI7" s="133"/>
      <c r="MJ7" s="191" t="str">
        <f>IFERROR((((COUNTIF('Elève (4ème4)'!MG7:MI7,"A"))*4)+((COUNTIF('Elève (4ème4)'!MG7:MI7,"B"))*3)+((COUNTIF('Elève (4ème4)'!MG7:MI7,"C"))*2)+((COUNTIF('Elève (4ème4)'!MG7:MI7,"D"))*1))/(COUNTA(MG7:MI7)),"")</f>
        <v/>
      </c>
      <c r="MK7" s="192" t="str">
        <f t="shared" si="72"/>
        <v/>
      </c>
      <c r="ML7" s="134"/>
      <c r="MM7" s="132"/>
      <c r="MN7" s="133"/>
      <c r="MO7" s="133"/>
      <c r="MP7" s="191" t="str">
        <f>IFERROR((((COUNTIF('Elève (4ème4)'!ML7:MO7,"A"))*4)+((COUNTIF('Elève (4ème4)'!ML7:MO7,"B"))*3)+((COUNTIF('Elève (4ème4)'!ML7:MO7,"C"))*2)+((COUNTIF('Elève (4ème4)'!ML7:MO7,"D"))*1))/(COUNTA(ML7:MO7)),"")</f>
        <v/>
      </c>
      <c r="MQ7" s="192" t="str">
        <f t="shared" si="73"/>
        <v/>
      </c>
      <c r="MR7" s="134"/>
      <c r="MS7" s="132"/>
      <c r="MT7" s="133"/>
      <c r="MU7" s="136"/>
      <c r="MV7" s="191" t="str">
        <f>IFERROR((((COUNTIF('Elève (4ème4)'!MR7:MU7,"A"))*4)+((COUNTIF('Elève (4ème4)'!MR7:MU7,"B"))*3)+((COUNTIF('Elève (4ème4)'!MR7:MU7,"C"))*2)+((COUNTIF('Elève (4ème4)'!MR7:MU7,"D"))*1))/(COUNTA(MR7:MU7)),"")</f>
        <v/>
      </c>
      <c r="MW7" s="192" t="str">
        <f t="shared" si="74"/>
        <v/>
      </c>
      <c r="MX7" s="191" t="str">
        <f>IF(COUNT(MJ7,MP7,MV7)=0,"",SUM(MJ7,MP7,MV7)/COUNT(MJ7,MP7,MV7))</f>
        <v/>
      </c>
      <c r="MY7" s="215" t="str">
        <f t="shared" si="75"/>
        <v/>
      </c>
      <c r="MZ7" s="134"/>
      <c r="NA7" s="132"/>
      <c r="NB7" s="133"/>
      <c r="NC7" s="191" t="str">
        <f>IFERROR((((COUNTIF('Elève (4ème4)'!MZ7:NB7,"A"))*4)+((COUNTIF('Elève (4ème4)'!MZ7:NB7,"B"))*3)+((COUNTIF('Elève (4ème4)'!MZ7:NB7,"C"))*2)+((COUNTIF('Elève (4ème4)'!MZ7:NB7,"D"))*1))/(COUNTA(MZ7:NB7)),"")</f>
        <v/>
      </c>
      <c r="ND7" s="192" t="str">
        <f t="shared" si="76"/>
        <v/>
      </c>
      <c r="NE7" s="134"/>
      <c r="NF7" s="132"/>
      <c r="NG7" s="133"/>
      <c r="NH7" s="133"/>
      <c r="NI7" s="191" t="str">
        <f>IFERROR((((COUNTIF('Elève (4ème4)'!NE7:NH7,"A"))*4)+((COUNTIF('Elève (4ème4)'!NE7:NH7,"B"))*3)+((COUNTIF('Elève (4ème4)'!NE7:NH7,"C"))*2)+((COUNTIF('Elève (4ème4)'!NE7:NH7,"D"))*1))/(COUNTA(NE7:NH7)),"")</f>
        <v/>
      </c>
      <c r="NJ7" s="192" t="str">
        <f t="shared" si="77"/>
        <v/>
      </c>
      <c r="NK7" s="134"/>
      <c r="NL7" s="132"/>
      <c r="NM7" s="133"/>
      <c r="NN7" s="136"/>
      <c r="NO7" s="191" t="str">
        <f>IFERROR((((COUNTIF('Elève (4ème4)'!NK7:NN7,"A"))*4)+((COUNTIF('Elève (4ème4)'!NK7:NN7,"B"))*3)+((COUNTIF('Elève (4ème4)'!NK7:NN7,"C"))*2)+((COUNTIF('Elève (4ème4)'!NK7:NN7,"D"))*1))/(COUNTA(NK7:NN7)),"")</f>
        <v/>
      </c>
      <c r="NP7" s="192" t="str">
        <f t="shared" si="78"/>
        <v/>
      </c>
      <c r="NQ7" s="191" t="str">
        <f>IF(COUNT(NC7,NI7,NO7)=0,"",SUM(NC7,NI7,NO7)/COUNT(NC7,NI7,NO7))</f>
        <v/>
      </c>
      <c r="NR7" s="215" t="str">
        <f t="shared" si="79"/>
        <v/>
      </c>
      <c r="NS7" s="134"/>
      <c r="NT7" s="132"/>
      <c r="NU7" s="133"/>
      <c r="NV7" s="191" t="str">
        <f>IFERROR((((COUNTIF('Elève (4ème4)'!NS7:NU7,"A"))*4)+((COUNTIF('Elève (4ème4)'!NS7:NU7,"B"))*3)+((COUNTIF('Elève (4ème4)'!NS7:NU7,"C"))*2)+((COUNTIF('Elève (4ème4)'!NS7:NU7,"D"))*1))/(COUNTA(NS7:NU7)),"")</f>
        <v/>
      </c>
      <c r="NW7" s="192" t="str">
        <f t="shared" si="80"/>
        <v/>
      </c>
      <c r="NX7" s="134"/>
      <c r="NY7" s="132"/>
      <c r="NZ7" s="133"/>
      <c r="OA7" s="133"/>
      <c r="OB7" s="191" t="str">
        <f>IFERROR((((COUNTIF('Elève (4ème4)'!NX7:OA7,"A"))*4)+((COUNTIF('Elève (4ème4)'!NX7:OA7,"B"))*3)+((COUNTIF('Elève (4ème4)'!NX7:OA7,"C"))*2)+((COUNTIF('Elève (4ème4)'!NX7:OA7,"D"))*1))/(COUNTA(NX7:OA7)),"")</f>
        <v/>
      </c>
      <c r="OC7" s="192" t="str">
        <f t="shared" si="81"/>
        <v/>
      </c>
      <c r="OD7" s="134"/>
      <c r="OE7" s="132"/>
      <c r="OF7" s="133"/>
      <c r="OG7" s="136"/>
      <c r="OH7" s="191" t="str">
        <f>IFERROR((((COUNTIF('Elève (4ème4)'!OD7:OG7,"A"))*4)+((COUNTIF('Elève (4ème4)'!OD7:OG7,"B"))*3)+((COUNTIF('Elève (4ème4)'!OD7:OG7,"C"))*2)+((COUNTIF('Elève (4ème4)'!OD7:OG7,"D"))*1))/(COUNTA(OD7:OG7)),"")</f>
        <v/>
      </c>
      <c r="OI7" s="192" t="str">
        <f t="shared" si="82"/>
        <v/>
      </c>
      <c r="OJ7" s="191" t="str">
        <f>IF(COUNT(NV7,OB7,OH7)=0,"",SUM(NV7,OB7,OH7)/COUNT(NV7,OB7,OH7))</f>
        <v/>
      </c>
      <c r="OK7" s="215" t="str">
        <f t="shared" si="83"/>
        <v/>
      </c>
      <c r="OL7" s="134"/>
      <c r="OM7" s="132"/>
      <c r="ON7" s="133"/>
      <c r="OO7" s="191" t="str">
        <f>IFERROR((((COUNTIF('Elève (4ème4)'!OL7:ON7,"A"))*4)+((COUNTIF('Elève (4ème4)'!OL7:ON7,"B"))*3)+((COUNTIF('Elève (4ème4)'!OL7:ON7,"C"))*2)+((COUNTIF('Elève (4ème4)'!OL7:ON7,"D"))*1))/(COUNTA(OL7:ON7)),"")</f>
        <v/>
      </c>
      <c r="OP7" s="192" t="str">
        <f t="shared" si="84"/>
        <v/>
      </c>
      <c r="OQ7" s="134"/>
      <c r="OR7" s="132"/>
      <c r="OS7" s="133"/>
      <c r="OT7" s="133"/>
      <c r="OU7" s="191" t="str">
        <f>IFERROR((((COUNTIF('Elève (4ème4)'!OQ7:OT7,"A"))*4)+((COUNTIF('Elève (4ème4)'!OQ7:OT7,"B"))*3)+((COUNTIF('Elève (4ème4)'!OQ7:OT7,"C"))*2)+((COUNTIF('Elève (4ème4)'!OQ7:OT7,"D"))*1))/(COUNTA(OQ7:OT7)),"")</f>
        <v/>
      </c>
      <c r="OV7" s="192" t="str">
        <f t="shared" si="85"/>
        <v/>
      </c>
      <c r="OW7" s="134"/>
      <c r="OX7" s="132"/>
      <c r="OY7" s="133"/>
      <c r="OZ7" s="136"/>
      <c r="PA7" s="191" t="str">
        <f>IFERROR((((COUNTIF('Elève (4ème4)'!OW7:OZ7,"A"))*4)+((COUNTIF('Elève (4ème4)'!OW7:OZ7,"B"))*3)+((COUNTIF('Elève (4ème4)'!OW7:OZ7,"C"))*2)+((COUNTIF('Elève (4ème4)'!OW7:OZ7,"D"))*1))/(COUNTA(OW7:OZ7)),"")</f>
        <v/>
      </c>
      <c r="PB7" s="192" t="str">
        <f t="shared" si="86"/>
        <v/>
      </c>
      <c r="PC7" s="191" t="str">
        <f>IF(COUNT(OO7,OU7,PA7)=0,"",SUM(OO7,OU7,PA7)/COUNT(OO7,OU7,PA7))</f>
        <v/>
      </c>
      <c r="PD7" s="215" t="str">
        <f t="shared" si="87"/>
        <v/>
      </c>
      <c r="PE7" s="134"/>
      <c r="PF7" s="132"/>
      <c r="PG7" s="133"/>
      <c r="PH7" s="191" t="str">
        <f>IFERROR((((COUNTIF('Elève (4ème4)'!PE7:PG7,"A"))*4)+((COUNTIF('Elève (4ème4)'!PE7:PG7,"B"))*3)+((COUNTIF('Elève (4ème4)'!PE7:PG7,"C"))*2)+((COUNTIF('Elève (4ème4)'!PE7:PG7,"D"))*1))/(COUNTA(PE7:PG7)),"")</f>
        <v/>
      </c>
      <c r="PI7" s="192" t="str">
        <f t="shared" si="88"/>
        <v/>
      </c>
      <c r="PJ7" s="134"/>
      <c r="PK7" s="132"/>
      <c r="PL7" s="133"/>
      <c r="PM7" s="133"/>
      <c r="PN7" s="191" t="str">
        <f>IFERROR((((COUNTIF('Elève (4ème4)'!PJ7:PM7,"A"))*4)+((COUNTIF('Elève (4ème4)'!PJ7:PM7,"B"))*3)+((COUNTIF('Elève (4ème4)'!PJ7:PM7,"C"))*2)+((COUNTIF('Elève (4ème4)'!PJ7:PM7,"D"))*1))/(COUNTA(PJ7:PM7)),"")</f>
        <v/>
      </c>
      <c r="PO7" s="192" t="str">
        <f t="shared" si="89"/>
        <v/>
      </c>
      <c r="PP7" s="134"/>
      <c r="PQ7" s="132"/>
      <c r="PR7" s="133"/>
      <c r="PS7" s="136"/>
      <c r="PT7" s="191" t="str">
        <f>IFERROR((((COUNTIF('Elève (4ème4)'!PP7:PS7,"A"))*4)+((COUNTIF('Elève (4ème4)'!PP7:PS7,"B"))*3)+((COUNTIF('Elève (4ème4)'!PP7:PS7,"C"))*2)+((COUNTIF('Elève (4ème4)'!PP7:PS7,"D"))*1))/(COUNTA(PP7:PS7)),"")</f>
        <v/>
      </c>
      <c r="PU7" s="192" t="str">
        <f t="shared" si="90"/>
        <v/>
      </c>
      <c r="PV7" s="191" t="str">
        <f>IF(COUNT(PH7,PN7,PT7)=0,"",SUM(PH7,PN7,PT7)/COUNT(PH7,PN7,PT7))</f>
        <v/>
      </c>
      <c r="PW7" s="215" t="str">
        <f t="shared" si="91"/>
        <v/>
      </c>
      <c r="PX7" s="134"/>
      <c r="PY7" s="132"/>
      <c r="PZ7" s="133"/>
      <c r="QA7" s="191" t="str">
        <f>IFERROR((((COUNTIF('Elève (4ème4)'!PX7:PZ7,"A"))*4)+((COUNTIF('Elève (4ème4)'!PX7:PZ7,"B"))*3)+((COUNTIF('Elève (4ème4)'!PX7:PZ7,"C"))*2)+((COUNTIF('Elève (4ème4)'!PX7:PZ7,"D"))*1))/(COUNTA(PX7:PZ7)),"")</f>
        <v/>
      </c>
      <c r="QB7" s="192" t="str">
        <f t="shared" si="92"/>
        <v/>
      </c>
      <c r="QC7" s="134"/>
      <c r="QD7" s="132"/>
      <c r="QE7" s="133"/>
      <c r="QF7" s="133"/>
      <c r="QG7" s="191" t="str">
        <f>IFERROR((((COUNTIF('Elève (4ème4)'!QC7:QF7,"A"))*4)+((COUNTIF('Elève (4ème4)'!QC7:QF7,"B"))*3)+((COUNTIF('Elève (4ème4)'!QC7:QF7,"C"))*2)+((COUNTIF('Elève (4ème4)'!QC7:QF7,"D"))*1))/(COUNTA(QC7:QF7)),"")</f>
        <v/>
      </c>
      <c r="QH7" s="192" t="str">
        <f t="shared" si="93"/>
        <v/>
      </c>
      <c r="QI7" s="134"/>
      <c r="QJ7" s="132"/>
      <c r="QK7" s="133"/>
      <c r="QL7" s="136"/>
      <c r="QM7" s="191" t="str">
        <f>IFERROR((((COUNTIF('Elève (4ème4)'!QI7:QL7,"A"))*4)+((COUNTIF('Elève (4ème4)'!QI7:QL7,"B"))*3)+((COUNTIF('Elève (4ème4)'!QI7:QL7,"C"))*2)+((COUNTIF('Elève (4ème4)'!QI7:QL7,"D"))*1))/(COUNTA(QI7:QL7)),"")</f>
        <v/>
      </c>
      <c r="QN7" s="192" t="str">
        <f t="shared" si="94"/>
        <v/>
      </c>
      <c r="QO7" s="191" t="str">
        <f>IF(COUNT(QA7,QG7,QM7)=0,"",SUM(QA7,QG7,QM7)/COUNT(QA7,QG7,QM7))</f>
        <v/>
      </c>
      <c r="QP7" s="215" t="str">
        <f t="shared" si="95"/>
        <v/>
      </c>
      <c r="QQ7" s="134"/>
      <c r="QR7" s="132"/>
      <c r="QS7" s="133"/>
      <c r="QT7" s="191" t="str">
        <f>IFERROR((((COUNTIF('Elève (4ème4)'!QQ7:QS7,"A"))*4)+((COUNTIF('Elève (4ème4)'!QQ7:QS7,"B"))*3)+((COUNTIF('Elève (4ème4)'!QQ7:QS7,"C"))*2)+((COUNTIF('Elève (4ème4)'!QQ7:QS7,"D"))*1))/(COUNTA(QQ7:QS7)),"")</f>
        <v/>
      </c>
      <c r="QU7" s="192" t="str">
        <f t="shared" si="96"/>
        <v/>
      </c>
      <c r="QV7" s="134"/>
      <c r="QW7" s="132"/>
      <c r="QX7" s="133"/>
      <c r="QY7" s="133"/>
      <c r="QZ7" s="191" t="str">
        <f>IFERROR((((COUNTIF('Elève (4ème4)'!QV7:QY7,"A"))*4)+((COUNTIF('Elève (4ème4)'!QV7:QY7,"B"))*3)+((COUNTIF('Elève (4ème4)'!QV7:QY7,"C"))*2)+((COUNTIF('Elève (4ème4)'!QV7:QY7,"D"))*1))/(COUNTA(QV7:QY7)),"")</f>
        <v/>
      </c>
      <c r="RA7" s="192" t="str">
        <f t="shared" si="97"/>
        <v/>
      </c>
      <c r="RB7" s="134"/>
      <c r="RC7" s="132"/>
      <c r="RD7" s="133"/>
      <c r="RE7" s="136"/>
      <c r="RF7" s="191" t="str">
        <f>IFERROR((((COUNTIF('Elève (4ème4)'!RB7:RE7,"A"))*4)+((COUNTIF('Elève (4ème4)'!RB7:RE7,"B"))*3)+((COUNTIF('Elève (4ème4)'!RB7:RE7,"C"))*2)+((COUNTIF('Elève (4ème4)'!RB7:RE7,"D"))*1))/(COUNTA(RB7:RE7)),"")</f>
        <v/>
      </c>
      <c r="RG7" s="192" t="str">
        <f t="shared" si="98"/>
        <v/>
      </c>
      <c r="RH7" s="191" t="str">
        <f>IF(COUNT(QT7,QZ7,RF7)=0,"",SUM(QT7,QZ7,RF7)/COUNT(QT7,QZ7,RF7))</f>
        <v/>
      </c>
      <c r="RI7" s="215" t="str">
        <f t="shared" si="99"/>
        <v/>
      </c>
      <c r="RJ7" s="134"/>
      <c r="RK7" s="132"/>
      <c r="RL7" s="133"/>
      <c r="RM7" s="191" t="str">
        <f>IFERROR((((COUNTIF('Elève (4ème4)'!RJ7:RL7,"A"))*4)+((COUNTIF('Elève (4ème4)'!RJ7:RL7,"B"))*3)+((COUNTIF('Elève (4ème4)'!RJ7:RL7,"C"))*2)+((COUNTIF('Elève (4ème4)'!RJ7:RL7,"D"))*1))/(COUNTA(RJ7:RL7)),"")</f>
        <v/>
      </c>
      <c r="RN7" s="192" t="str">
        <f t="shared" si="100"/>
        <v/>
      </c>
      <c r="RO7" s="134"/>
      <c r="RP7" s="132"/>
      <c r="RQ7" s="133"/>
      <c r="RR7" s="133"/>
      <c r="RS7" s="191" t="str">
        <f>IFERROR((((COUNTIF('Elève (4ème4)'!RO7:RR7,"A"))*4)+((COUNTIF('Elève (4ème4)'!RO7:RR7,"B"))*3)+((COUNTIF('Elève (4ème4)'!RO7:RR7,"C"))*2)+((COUNTIF('Elève (4ème4)'!RO7:RR7,"D"))*1))/(COUNTA(RO7:RR7)),"")</f>
        <v/>
      </c>
      <c r="RT7" s="192" t="str">
        <f t="shared" si="101"/>
        <v/>
      </c>
      <c r="RU7" s="134"/>
      <c r="RV7" s="132"/>
      <c r="RW7" s="133"/>
      <c r="RX7" s="136"/>
      <c r="RY7" s="191" t="str">
        <f>IFERROR((((COUNTIF('Elève (4ème4)'!RU7:RX7,"A"))*4)+((COUNTIF('Elève (4ème4)'!RU7:RX7,"B"))*3)+((COUNTIF('Elève (4ème4)'!RU7:RX7,"C"))*2)+((COUNTIF('Elève (4ème4)'!RU7:RX7,"D"))*1))/(COUNTA(RU7:RX7)),"")</f>
        <v/>
      </c>
      <c r="RZ7" s="192" t="str">
        <f t="shared" si="102"/>
        <v/>
      </c>
      <c r="SA7" s="191" t="str">
        <f>IF(COUNT(RM7,RS7,RY7)=0,"",SUM(RM7,RS7,RY7)/COUNT(RM7,RS7,RY7))</f>
        <v/>
      </c>
      <c r="SB7" s="215" t="str">
        <f t="shared" si="103"/>
        <v/>
      </c>
      <c r="SC7" s="134"/>
      <c r="SD7" s="132"/>
      <c r="SE7" s="133"/>
      <c r="SF7" s="130" t="str">
        <f>IFERROR((((COUNTIF('Elève (4ème4)'!SC7:SE7,"A"))*4)+((COUNTIF('Elève (4ème4)'!SC7:SE7,"B"))*3)+((COUNTIF('Elève (4ème4)'!SC7:SE7,"C"))*2)+((COUNTIF('Elève (4ème4)'!SC7:SE7,"D"))*1))/(COUNTA(SC7:SE7)),"")</f>
        <v/>
      </c>
      <c r="SG7" s="131" t="str">
        <f t="shared" si="104"/>
        <v/>
      </c>
      <c r="SH7" s="134"/>
      <c r="SI7" s="132"/>
      <c r="SJ7" s="133"/>
      <c r="SK7" s="130" t="str">
        <f>IFERROR((((COUNTIF('Elève (4ème4)'!SH7:SJ7,"A"))*4)+((COUNTIF('Elève (4ème4)'!SH7:SJ7,"B"))*3)+((COUNTIF('Elève (4ème4)'!SH7:SJ7,"C"))*2)+((COUNTIF('Elève (4ème4)'!SH7:SJ7,"D"))*1))/(COUNTA(SH7:SJ7)),"")</f>
        <v/>
      </c>
      <c r="SL7" s="131" t="str">
        <f t="shared" si="105"/>
        <v/>
      </c>
      <c r="SM7" s="134"/>
      <c r="SN7" s="132"/>
      <c r="SO7" s="136"/>
      <c r="SP7" s="130" t="str">
        <f>IFERROR((((COUNTIF('Elève (4ème4)'!SM7:SO7,"A"))*4)+((COUNTIF('Elève (4ème4)'!SM7:SO7,"B"))*3)+((COUNTIF('Elève (4ème4)'!SM7:SO7,"C"))*2)+((COUNTIF('Elève (4ème4)'!SM7:SO7,"D"))*1))/(COUNTA(SM7:SO7)),"")</f>
        <v/>
      </c>
      <c r="SQ7" s="131" t="str">
        <f t="shared" si="106"/>
        <v/>
      </c>
      <c r="SR7" s="130" t="str">
        <f>IF(COUNT(SF7,SK7,SP7)=0,"",SUM(SF7,SK7,SP7)/COUNT(SF7,SK7,SP7))</f>
        <v/>
      </c>
      <c r="SS7" s="135" t="str">
        <f t="shared" si="107"/>
        <v/>
      </c>
      <c r="ST7" s="134"/>
      <c r="SU7" s="132"/>
      <c r="SV7" s="133"/>
      <c r="SW7" s="130" t="str">
        <f>IFERROR((((COUNTIF('Elève (4ème4)'!ST7:SV7,"A"))*4)+((COUNTIF('Elève (4ème4)'!ST7:SV7,"B"))*3)+((COUNTIF('Elève (4ème4)'!ST7:SV7,"C"))*2)+((COUNTIF('Elève (4ème4)'!ST7:SV7,"D"))*1))/(COUNTA(ST7:SV7)),"")</f>
        <v/>
      </c>
      <c r="SX7" s="131" t="str">
        <f t="shared" si="108"/>
        <v/>
      </c>
      <c r="SY7" s="134"/>
      <c r="SZ7" s="132"/>
      <c r="TA7" s="133"/>
      <c r="TB7" s="130" t="str">
        <f>IFERROR((((COUNTIF('Elève (4ème4)'!SY7:TA7,"A"))*4)+((COUNTIF('Elève (4ème4)'!SY7:TA7,"B"))*3)+((COUNTIF('Elève (4ème4)'!SY7:TA7,"C"))*2)+((COUNTIF('Elève (4ème4)'!SY7:TA7,"D"))*1))/(COUNTA(SY7:TA7)),"")</f>
        <v/>
      </c>
      <c r="TC7" s="131" t="str">
        <f t="shared" si="109"/>
        <v/>
      </c>
      <c r="TD7" s="134"/>
      <c r="TE7" s="132"/>
      <c r="TF7" s="136"/>
      <c r="TG7" s="130" t="str">
        <f>IFERROR((((COUNTIF('Elève (4ème4)'!TD7:TF7,"A"))*4)+((COUNTIF('Elève (4ème4)'!TD7:TF7,"B"))*3)+((COUNTIF('Elève (4ème4)'!TD7:TF7,"C"))*2)+((COUNTIF('Elève (4ème4)'!TD7:TF7,"D"))*1))/(COUNTA(TD7:TF7)),"")</f>
        <v/>
      </c>
      <c r="TH7" s="131" t="str">
        <f t="shared" si="110"/>
        <v/>
      </c>
      <c r="TI7" s="130" t="str">
        <f>IF(COUNT(SW7,TB7,TG7)=0,"",SUM(SW7,TB7,TG7)/COUNT(SW7,TB7,TG7))</f>
        <v/>
      </c>
      <c r="TJ7" s="135" t="str">
        <f t="shared" si="111"/>
        <v/>
      </c>
      <c r="TK7" s="134"/>
      <c r="TL7" s="132"/>
      <c r="TM7" s="133"/>
      <c r="TN7" s="130" t="str">
        <f>IFERROR((((COUNTIF('Elève (4ème4)'!TK7:TM7,"A"))*4)+((COUNTIF('Elève (4ème4)'!TK7:TM7,"B"))*3)+((COUNTIF('Elève (4ème4)'!TK7:TM7,"C"))*2)+((COUNTIF('Elève (4ème4)'!TK7:TM7,"D"))*1))/(COUNTA(TK7:TM7)),"")</f>
        <v/>
      </c>
      <c r="TO7" s="131" t="str">
        <f t="shared" si="112"/>
        <v/>
      </c>
      <c r="TP7" s="134"/>
      <c r="TQ7" s="132"/>
      <c r="TR7" s="133"/>
      <c r="TS7" s="130" t="str">
        <f>IFERROR((((COUNTIF('Elève (4ème4)'!TP7:TR7,"A"))*4)+((COUNTIF('Elève (4ème4)'!TP7:TR7,"B"))*3)+((COUNTIF('Elève (4ème4)'!TP7:TR7,"C"))*2)+((COUNTIF('Elève (4ème4)'!TP7:TR7,"D"))*1))/(COUNTA(TP7:TR7)),"")</f>
        <v/>
      </c>
      <c r="TT7" s="131" t="str">
        <f t="shared" si="113"/>
        <v/>
      </c>
      <c r="TU7" s="134"/>
      <c r="TV7" s="132"/>
      <c r="TW7" s="136"/>
      <c r="TX7" s="130" t="str">
        <f>IFERROR((((COUNTIF('Elève (4ème4)'!TU7:TW7,"A"))*4)+((COUNTIF('Elève (4ème4)'!TU7:TW7,"B"))*3)+((COUNTIF('Elève (4ème4)'!TU7:TW7,"C"))*2)+((COUNTIF('Elève (4ème4)'!TU7:TW7,"D"))*1))/(COUNTA(TU7:TW7)),"")</f>
        <v/>
      </c>
      <c r="TY7" s="131" t="str">
        <f t="shared" si="114"/>
        <v/>
      </c>
      <c r="TZ7" s="130" t="str">
        <f>IF(COUNT(TN7,TS7,TX7)=0,"",SUM(TN7,TS7,TX7)/COUNT(TN7,TS7,TX7))</f>
        <v/>
      </c>
      <c r="UA7" s="135" t="str">
        <f t="shared" si="115"/>
        <v/>
      </c>
      <c r="UB7" s="134"/>
      <c r="UC7" s="132"/>
      <c r="UD7" s="133"/>
      <c r="UE7" s="130" t="str">
        <f>IFERROR((((COUNTIF('Elève (4ème4)'!UB7:UD7,"A"))*4)+((COUNTIF('Elève (4ème4)'!UB7:UD7,"B"))*3)+((COUNTIF('Elève (4ème4)'!UB7:UD7,"C"))*2)+((COUNTIF('Elève (4ème4)'!UB7:UD7,"D"))*1))/(COUNTA(UB7:UD7)),"")</f>
        <v/>
      </c>
      <c r="UF7" s="131" t="str">
        <f t="shared" si="116"/>
        <v/>
      </c>
      <c r="UG7" s="134"/>
      <c r="UH7" s="132"/>
      <c r="UI7" s="133"/>
      <c r="UJ7" s="130" t="str">
        <f>IFERROR((((COUNTIF('Elève (4ème4)'!UG7:UI7,"A"))*4)+((COUNTIF('Elève (4ème4)'!UG7:UI7,"B"))*3)+((COUNTIF('Elève (4ème4)'!UG7:UI7,"C"))*2)+((COUNTIF('Elève (4ème4)'!UG7:UI7,"D"))*1))/(COUNTA(UG7:UI7)),"")</f>
        <v/>
      </c>
      <c r="UK7" s="131" t="str">
        <f t="shared" si="117"/>
        <v/>
      </c>
      <c r="UL7" s="134"/>
      <c r="UM7" s="132"/>
      <c r="UN7" s="136"/>
      <c r="UO7" s="130" t="str">
        <f>IFERROR((((COUNTIF('Elève (4ème4)'!UL7:UN7,"A"))*4)+((COUNTIF('Elève (4ème4)'!UL7:UN7,"B"))*3)+((COUNTIF('Elève (4ème4)'!UL7:UN7,"C"))*2)+((COUNTIF('Elève (4ème4)'!UL7:UN7,"D"))*1))/(COUNTA(UL7:UN7)),"")</f>
        <v/>
      </c>
      <c r="UP7" s="131" t="str">
        <f t="shared" si="118"/>
        <v/>
      </c>
      <c r="UQ7" s="130" t="str">
        <f>IF(COUNT(UE7,UJ7,UO7)=0,"",SUM(UE7,UJ7,UO7)/COUNT(UE7,UJ7,UO7))</f>
        <v/>
      </c>
      <c r="UR7" s="135" t="str">
        <f t="shared" si="119"/>
        <v/>
      </c>
    </row>
    <row r="8" spans="1:564" ht="18" customHeight="1" x14ac:dyDescent="0.25">
      <c r="A8" s="252" t="s">
        <v>15</v>
      </c>
      <c r="B8" s="253"/>
      <c r="C8" s="127" t="s">
        <v>32</v>
      </c>
      <c r="D8" s="128" t="s">
        <v>30</v>
      </c>
      <c r="E8" s="129" t="s">
        <v>31</v>
      </c>
      <c r="F8" s="191">
        <f>IFERROR((((COUNTIF('Elève (4ème4)'!C8:E8,"A"))*4)+((COUNTIF('Elève (4ème4)'!C8:E8,"B"))*3)+((COUNTIF('Elève (4ème4)'!C8:E8,"C"))*2)+((COUNTIF('Elève (4ème4)'!C8:E8,"D"))*1))/(COUNTA(C8:E8)),"")</f>
        <v>2</v>
      </c>
      <c r="G8" s="192" t="str">
        <f t="shared" si="0"/>
        <v>C</v>
      </c>
      <c r="H8" s="127"/>
      <c r="I8" s="128" t="s">
        <v>30</v>
      </c>
      <c r="J8" s="133"/>
      <c r="K8" s="133"/>
      <c r="L8" s="191">
        <f>IFERROR((((COUNTIF('Elève (4ème4)'!H8:K8,"A"))*4)+((COUNTIF('Elève (4ème4)'!H8:K8,"B"))*3)+((COUNTIF('Elève (4ème4)'!H8:K8,"C"))*2)+((COUNTIF('Elève (4ème4)'!H8:K8,"D"))*1))/(COUNTA(H8:K8)),"")</f>
        <v>3</v>
      </c>
      <c r="M8" s="192" t="str">
        <f t="shared" si="1"/>
        <v>B</v>
      </c>
      <c r="N8" s="134"/>
      <c r="O8" s="132"/>
      <c r="P8" s="133"/>
      <c r="Q8" s="133"/>
      <c r="R8" s="191" t="str">
        <f>IFERROR((((COUNTIF('Elève (4ème4)'!N8:Q8,"A"))*4)+((COUNTIF('Elève (4ème4)'!N8:Q8,"B"))*3)+((COUNTIF('Elève (4ème4)'!N8:Q8,"C"))*2)+((COUNTIF('Elève (4ème4)'!N8:Q8,"D"))*1))/(COUNTA(N8:Q8)),"")</f>
        <v/>
      </c>
      <c r="S8" s="192" t="str">
        <f t="shared" si="2"/>
        <v/>
      </c>
      <c r="T8" s="191">
        <f>IF(COUNT(F8,L8,R8)=0,"",SUM(F8,L8,R8)/COUNT(F8,L8,R8))</f>
        <v>2.5</v>
      </c>
      <c r="U8" s="215" t="str">
        <f t="shared" si="3"/>
        <v>C</v>
      </c>
      <c r="V8" s="127" t="s">
        <v>31</v>
      </c>
      <c r="W8" s="128" t="s">
        <v>30</v>
      </c>
      <c r="X8" s="129" t="s">
        <v>30</v>
      </c>
      <c r="Y8" s="191">
        <f>IFERROR((((COUNTIF('Elève (4ème4)'!V8:X8,"A"))*4)+((COUNTIF('Elève (4ème4)'!V8:X8,"B"))*3)+((COUNTIF('Elève (4ème4)'!V8:X8,"C"))*2)+((COUNTIF('Elève (4ème4)'!V8:X8,"D"))*1))/(COUNTA(V8:X8)),"")</f>
        <v>2.6666666666666665</v>
      </c>
      <c r="Z8" s="192" t="str">
        <f t="shared" si="4"/>
        <v>C</v>
      </c>
      <c r="AA8" s="127" t="s">
        <v>30</v>
      </c>
      <c r="AB8" s="128" t="s">
        <v>31</v>
      </c>
      <c r="AC8" s="133"/>
      <c r="AD8" s="133"/>
      <c r="AE8" s="191">
        <f>IFERROR((((COUNTIF('Elève (4ème4)'!AA8:AD8,"A"))*4)+((COUNTIF('Elève (4ème4)'!AA8:AD8,"B"))*3)+((COUNTIF('Elève (4ème4)'!AA8:AD8,"C"))*2)+((COUNTIF('Elève (4ème4)'!AA8:AD8,"D"))*1))/(COUNTA(AA8:AD8)),"")</f>
        <v>2.5</v>
      </c>
      <c r="AF8" s="192" t="str">
        <f t="shared" si="5"/>
        <v>C</v>
      </c>
      <c r="AG8" s="134"/>
      <c r="AH8" s="132"/>
      <c r="AI8" s="133"/>
      <c r="AJ8" s="136"/>
      <c r="AK8" s="191" t="str">
        <f>IFERROR((((COUNTIF('Elève (4ème4)'!AG8:AJ8,"A"))*4)+((COUNTIF('Elève (4ème4)'!AG8:AJ8,"B"))*3)+((COUNTIF('Elève (4ème4)'!AG8:AJ8,"C"))*2)+((COUNTIF('Elève (4ème4)'!AG8:AJ8,"D"))*1))/(COUNTA(AG8:AJ8)),"")</f>
        <v/>
      </c>
      <c r="AL8" s="192" t="str">
        <f t="shared" si="6"/>
        <v/>
      </c>
      <c r="AM8" s="191">
        <f>IF(COUNT(Y8,AE8,AK8)=0,"",SUM(Y8,AE8,AK8)/COUNT(Y8,AE8,AK8))</f>
        <v>2.583333333333333</v>
      </c>
      <c r="AN8" s="215" t="str">
        <f t="shared" si="7"/>
        <v>C</v>
      </c>
      <c r="AO8" s="127" t="s">
        <v>30</v>
      </c>
      <c r="AP8" s="128" t="s">
        <v>30</v>
      </c>
      <c r="AQ8" s="129" t="s">
        <v>29</v>
      </c>
      <c r="AR8" s="191">
        <f>IFERROR((((COUNTIF('Elève (4ème4)'!AO8:AQ8,"A"))*4)+((COUNTIF('Elève (4ème4)'!AO8:AQ8,"B"))*3)+((COUNTIF('Elève (4ème4)'!AO8:AQ8,"C"))*2)+((COUNTIF('Elève (4ème4)'!AO8:AQ8,"D"))*1))/(COUNTA(AO8:AQ8)),"")</f>
        <v>3.3333333333333335</v>
      </c>
      <c r="AS8" s="192" t="str">
        <f t="shared" si="8"/>
        <v>B</v>
      </c>
      <c r="AT8" s="127" t="s">
        <v>32</v>
      </c>
      <c r="AU8" s="128" t="s">
        <v>30</v>
      </c>
      <c r="AV8" s="133"/>
      <c r="AW8" s="133"/>
      <c r="AX8" s="191">
        <f>IFERROR((((COUNTIF('Elève (4ème4)'!AT8:AW8,"A"))*4)+((COUNTIF('Elève (4ème4)'!AT8:AW8,"B"))*3)+((COUNTIF('Elève (4ème4)'!AT8:AW8,"C"))*2)+((COUNTIF('Elève (4ème4)'!AT8:AW8,"D"))*1))/(COUNTA(AT8:AW8)),"")</f>
        <v>2</v>
      </c>
      <c r="AY8" s="192" t="str">
        <f t="shared" si="9"/>
        <v>C</v>
      </c>
      <c r="AZ8" s="134"/>
      <c r="BA8" s="132"/>
      <c r="BB8" s="133"/>
      <c r="BC8" s="136"/>
      <c r="BD8" s="191" t="str">
        <f>IFERROR((((COUNTIF('Elève (4ème4)'!AZ8:BC8,"A"))*4)+((COUNTIF('Elève (4ème4)'!AZ8:BC8,"B"))*3)+((COUNTIF('Elève (4ème4)'!AZ8:BC8,"C"))*2)+((COUNTIF('Elève (4ème4)'!AZ8:BC8,"D"))*1))/(COUNTA(AZ8:BC8)),"")</f>
        <v/>
      </c>
      <c r="BE8" s="192" t="str">
        <f t="shared" si="10"/>
        <v/>
      </c>
      <c r="BF8" s="191">
        <f>IF(COUNT(AR8,AX8,BD8)=0,"",SUM(AR8,AX8,BD8)/COUNT(AR8,AX8,BD8))</f>
        <v>2.666666666666667</v>
      </c>
      <c r="BG8" s="215" t="str">
        <f t="shared" si="11"/>
        <v>C</v>
      </c>
      <c r="BH8" s="127" t="s">
        <v>31</v>
      </c>
      <c r="BI8" s="128" t="s">
        <v>30</v>
      </c>
      <c r="BJ8" s="129" t="s">
        <v>29</v>
      </c>
      <c r="BK8" s="191">
        <f>IFERROR((((COUNTIF('Elève (4ème4)'!BH8:BJ8,"A"))*4)+((COUNTIF('Elève (4ème4)'!BH8:BJ8,"B"))*3)+((COUNTIF('Elève (4ème4)'!BH8:BJ8,"C"))*2)+((COUNTIF('Elève (4ème4)'!BH8:BJ8,"D"))*1))/(COUNTA(BH8:BJ8)),"")</f>
        <v>3</v>
      </c>
      <c r="BL8" s="192" t="str">
        <f t="shared" si="12"/>
        <v>B</v>
      </c>
      <c r="BM8" s="127" t="s">
        <v>31</v>
      </c>
      <c r="BN8" s="128" t="s">
        <v>31</v>
      </c>
      <c r="BO8" s="133"/>
      <c r="BP8" s="133"/>
      <c r="BQ8" s="191">
        <f>IFERROR((((COUNTIF('Elève (4ème4)'!BM8:BP8,"A"))*4)+((COUNTIF('Elève (4ème4)'!BM8:BP8,"B"))*3)+((COUNTIF('Elève (4ème4)'!BM8:BP8,"C"))*2)+((COUNTIF('Elève (4ème4)'!BM8:BP8,"D"))*1))/(COUNTA(BM8:BP8)),"")</f>
        <v>2</v>
      </c>
      <c r="BR8" s="192" t="str">
        <f t="shared" si="13"/>
        <v>C</v>
      </c>
      <c r="BS8" s="134"/>
      <c r="BT8" s="132"/>
      <c r="BU8" s="133"/>
      <c r="BV8" s="136"/>
      <c r="BW8" s="191" t="str">
        <f>IFERROR((((COUNTIF('Elève (4ème4)'!BS8:BV8,"A"))*4)+((COUNTIF('Elève (4ème4)'!BS8:BV8,"B"))*3)+((COUNTIF('Elève (4ème4)'!BS8:BV8,"C"))*2)+((COUNTIF('Elève (4ème4)'!BS8:BV8,"D"))*1))/(COUNTA(BS8:BV8)),"")</f>
        <v/>
      </c>
      <c r="BX8" s="192" t="str">
        <f t="shared" si="14"/>
        <v/>
      </c>
      <c r="BY8" s="191">
        <f>IF(COUNT(BK8,BQ8,BW8)=0,"",SUM(BK8,BQ8,BW8)/COUNT(BK8,BQ8,BW8))</f>
        <v>2.5</v>
      </c>
      <c r="BZ8" s="215" t="str">
        <f t="shared" si="15"/>
        <v>C</v>
      </c>
      <c r="CA8" s="127" t="s">
        <v>31</v>
      </c>
      <c r="CB8" s="128" t="s">
        <v>30</v>
      </c>
      <c r="CC8" s="129" t="s">
        <v>30</v>
      </c>
      <c r="CD8" s="191">
        <f>IFERROR((((COUNTIF('Elève (4ème4)'!CA8:CC8,"A"))*4)+((COUNTIF('Elève (4ème4)'!CA8:CC8,"B"))*3)+((COUNTIF('Elève (4ème4)'!CA8:CC8,"C"))*2)+((COUNTIF('Elève (4ème4)'!CA8:CC8,"D"))*1))/(COUNTA(CA8:CC8)),"")</f>
        <v>2.6666666666666665</v>
      </c>
      <c r="CE8" s="192" t="str">
        <f t="shared" si="16"/>
        <v>C</v>
      </c>
      <c r="CF8" s="127" t="s">
        <v>31</v>
      </c>
      <c r="CG8" s="128" t="s">
        <v>31</v>
      </c>
      <c r="CH8" s="133"/>
      <c r="CI8" s="133"/>
      <c r="CJ8" s="191">
        <f>IFERROR((((COUNTIF('Elève (4ème4)'!CF8:CI8,"A"))*4)+((COUNTIF('Elève (4ème4)'!CF8:CI8,"B"))*3)+((COUNTIF('Elève (4ème4)'!CF8:CI8,"C"))*2)+((COUNTIF('Elève (4ème4)'!CF8:CI8,"D"))*1))/(COUNTA(CF8:CI8)),"")</f>
        <v>2</v>
      </c>
      <c r="CK8" s="192" t="str">
        <f t="shared" si="17"/>
        <v>C</v>
      </c>
      <c r="CL8" s="134"/>
      <c r="CM8" s="132"/>
      <c r="CN8" s="133"/>
      <c r="CO8" s="136"/>
      <c r="CP8" s="191" t="str">
        <f>IFERROR((((COUNTIF('Elève (4ème4)'!CL8:CO8,"A"))*4)+((COUNTIF('Elève (4ème4)'!CL8:CO8,"B"))*3)+((COUNTIF('Elève (4ème4)'!CL8:CO8,"C"))*2)+((COUNTIF('Elève (4ème4)'!CL8:CO8,"D"))*1))/(COUNTA(CL8:CO8)),"")</f>
        <v/>
      </c>
      <c r="CQ8" s="192" t="str">
        <f t="shared" si="18"/>
        <v/>
      </c>
      <c r="CR8" s="191">
        <f>IF(COUNT(CD8,CJ8,CP8)=0,"",SUM(CD8,CJ8,CP8)/COUNT(CD8,CJ8,CP8))</f>
        <v>2.333333333333333</v>
      </c>
      <c r="CS8" s="215" t="str">
        <f t="shared" si="19"/>
        <v>C</v>
      </c>
      <c r="CT8" s="127" t="s">
        <v>30</v>
      </c>
      <c r="CU8" s="128" t="s">
        <v>30</v>
      </c>
      <c r="CV8" s="129" t="s">
        <v>29</v>
      </c>
      <c r="CW8" s="191">
        <f>IFERROR((((COUNTIF('Elève (4ème4)'!CT8:CV8,"A"))*4)+((COUNTIF('Elève (4ème4)'!CT8:CV8,"B"))*3)+((COUNTIF('Elève (4ème4)'!CT8:CV8,"C"))*2)+((COUNTIF('Elève (4ème4)'!CT8:CV8,"D"))*1))/(COUNTA(CT8:CV8)),"")</f>
        <v>3.3333333333333335</v>
      </c>
      <c r="CX8" s="192" t="str">
        <f t="shared" si="20"/>
        <v>B</v>
      </c>
      <c r="CY8" s="127" t="s">
        <v>31</v>
      </c>
      <c r="CZ8" s="128" t="s">
        <v>30</v>
      </c>
      <c r="DA8" s="133"/>
      <c r="DB8" s="133"/>
      <c r="DC8" s="191">
        <f>IFERROR((((COUNTIF('Elève (4ème4)'!CY8:DB8,"A"))*4)+((COUNTIF('Elève (4ème4)'!CY8:DB8,"B"))*3)+((COUNTIF('Elève (4ème4)'!CY8:DB8,"C"))*2)+((COUNTIF('Elève (4ème4)'!CY8:DB8,"D"))*1))/(COUNTA(CY8:DB8)),"")</f>
        <v>2.5</v>
      </c>
      <c r="DD8" s="192" t="str">
        <f t="shared" si="21"/>
        <v>C</v>
      </c>
      <c r="DE8" s="134"/>
      <c r="DF8" s="132"/>
      <c r="DG8" s="133"/>
      <c r="DH8" s="136"/>
      <c r="DI8" s="191" t="str">
        <f>IFERROR((((COUNTIF('Elève (4ème4)'!DE8:DH8,"A"))*4)+((COUNTIF('Elève (4ème4)'!DE8:DH8,"B"))*3)+((COUNTIF('Elève (4ème4)'!DE8:DH8,"C"))*2)+((COUNTIF('Elève (4ème4)'!DE8:DH8,"D"))*1))/(COUNTA(DE8:DH8)),"")</f>
        <v/>
      </c>
      <c r="DJ8" s="192" t="str">
        <f t="shared" si="22"/>
        <v/>
      </c>
      <c r="DK8" s="191">
        <f>IF(COUNT(CW8,DC8,DI8)=0,"",SUM(CW8,DC8,DI8)/COUNT(CW8,DC8,DI8))</f>
        <v>2.916666666666667</v>
      </c>
      <c r="DL8" s="215" t="str">
        <f t="shared" si="23"/>
        <v>B</v>
      </c>
      <c r="DM8" s="127" t="s">
        <v>31</v>
      </c>
      <c r="DN8" s="128" t="s">
        <v>30</v>
      </c>
      <c r="DO8" s="129" t="s">
        <v>30</v>
      </c>
      <c r="DP8" s="191">
        <f>IFERROR((((COUNTIF('Elève (4ème4)'!DM8:DO8,"A"))*4)+((COUNTIF('Elève (4ème4)'!DM8:DO8,"B"))*3)+((COUNTIF('Elève (4ème4)'!DM8:DO8,"C"))*2)+((COUNTIF('Elève (4ème4)'!DM8:DO8,"D"))*1))/(COUNTA(DM8:DO8)),"")</f>
        <v>2.6666666666666665</v>
      </c>
      <c r="DQ8" s="192" t="str">
        <f t="shared" si="24"/>
        <v>C</v>
      </c>
      <c r="DR8" s="127" t="s">
        <v>31</v>
      </c>
      <c r="DS8" s="128" t="s">
        <v>29</v>
      </c>
      <c r="DT8" s="133"/>
      <c r="DU8" s="133"/>
      <c r="DV8" s="191">
        <f>IFERROR((((COUNTIF('Elève (4ème4)'!DR8:DU8,"A"))*4)+((COUNTIF('Elève (4ème4)'!DR8:DU8,"B"))*3)+((COUNTIF('Elève (4ème4)'!DR8:DU8,"C"))*2)+((COUNTIF('Elève (4ème4)'!DR8:DU8,"D"))*1))/(COUNTA(DR8:DU8)),"")</f>
        <v>3</v>
      </c>
      <c r="DW8" s="192" t="str">
        <f t="shared" si="25"/>
        <v>B</v>
      </c>
      <c r="DX8" s="134"/>
      <c r="DY8" s="132"/>
      <c r="DZ8" s="133"/>
      <c r="EA8" s="136"/>
      <c r="EB8" s="191" t="str">
        <f>IFERROR((((COUNTIF('Elève (4ème4)'!DX8:EA8,"A"))*4)+((COUNTIF('Elève (4ème4)'!DX8:EA8,"B"))*3)+((COUNTIF('Elève (4ème4)'!DX8:EA8,"C"))*2)+((COUNTIF('Elève (4ème4)'!DX8:EA8,"D"))*1))/(COUNTA(DX8:EA8)),"")</f>
        <v/>
      </c>
      <c r="EC8" s="192" t="str">
        <f t="shared" si="26"/>
        <v/>
      </c>
      <c r="ED8" s="191">
        <f>IF(COUNT(DP8,DV8,EB8)=0,"",SUM(DP8,DV8,EB8)/COUNT(DP8,DV8,EB8))</f>
        <v>2.833333333333333</v>
      </c>
      <c r="EE8" s="215" t="str">
        <f t="shared" si="27"/>
        <v>B</v>
      </c>
      <c r="EF8" s="127" t="s">
        <v>30</v>
      </c>
      <c r="EG8" s="128" t="s">
        <v>29</v>
      </c>
      <c r="EH8" s="129" t="s">
        <v>30</v>
      </c>
      <c r="EI8" s="191">
        <f>IFERROR((((COUNTIF('Elève (4ème4)'!EF8:EH8,"A"))*4)+((COUNTIF('Elève (4ème4)'!EF8:EH8,"B"))*3)+((COUNTIF('Elève (4ème4)'!EF8:EH8,"C"))*2)+((COUNTIF('Elève (4ème4)'!EF8:EH8,"D"))*1))/(COUNTA(EF8:EH8)),"")</f>
        <v>3.3333333333333335</v>
      </c>
      <c r="EJ8" s="192" t="str">
        <f t="shared" si="28"/>
        <v>B</v>
      </c>
      <c r="EK8" s="127" t="s">
        <v>31</v>
      </c>
      <c r="EL8" s="128" t="s">
        <v>30</v>
      </c>
      <c r="EM8" s="133"/>
      <c r="EN8" s="133"/>
      <c r="EO8" s="191">
        <f>IFERROR((((COUNTIF('Elève (4ème4)'!EK8:EN8,"A"))*4)+((COUNTIF('Elève (4ème4)'!EK8:EN8,"B"))*3)+((COUNTIF('Elève (4ème4)'!EK8:EN8,"C"))*2)+((COUNTIF('Elève (4ème4)'!EK8:EN8,"D"))*1))/(COUNTA(EK8:EN8)),"")</f>
        <v>2.5</v>
      </c>
      <c r="EP8" s="192" t="str">
        <f t="shared" si="29"/>
        <v>C</v>
      </c>
      <c r="EQ8" s="134"/>
      <c r="ER8" s="132"/>
      <c r="ES8" s="133"/>
      <c r="ET8" s="136"/>
      <c r="EU8" s="191" t="str">
        <f>IFERROR((((COUNTIF('Elève (4ème4)'!EQ8:ET8,"A"))*4)+((COUNTIF('Elève (4ème4)'!EQ8:ET8,"B"))*3)+((COUNTIF('Elève (4ème4)'!EQ8:ET8,"C"))*2)+((COUNTIF('Elève (4ème4)'!EQ8:ET8,"D"))*1))/(COUNTA(EQ8:ET8)),"")</f>
        <v/>
      </c>
      <c r="EV8" s="192" t="str">
        <f t="shared" si="30"/>
        <v/>
      </c>
      <c r="EW8" s="191">
        <f>IF(COUNT(EI8,EO8,EU8)=0,"",SUM(EI8,EO8,EU8)/COUNT(EI8,EO8,EU8))</f>
        <v>2.916666666666667</v>
      </c>
      <c r="EX8" s="215" t="str">
        <f t="shared" si="31"/>
        <v>B</v>
      </c>
      <c r="EY8" s="127" t="s">
        <v>31</v>
      </c>
      <c r="EZ8" s="128" t="s">
        <v>30</v>
      </c>
      <c r="FA8" s="129" t="s">
        <v>30</v>
      </c>
      <c r="FB8" s="191">
        <f>IFERROR((((COUNTIF('Elève (4ème4)'!EY8:FA8,"A"))*4)+((COUNTIF('Elève (4ème4)'!EY8:FA8,"B"))*3)+((COUNTIF('Elève (4ème4)'!EY8:FA8,"C"))*2)+((COUNTIF('Elève (4ème4)'!EY8:FA8,"D"))*1))/(COUNTA(EY8:FA8)),"")</f>
        <v>2.6666666666666665</v>
      </c>
      <c r="FC8" s="192" t="str">
        <f t="shared" si="32"/>
        <v>C</v>
      </c>
      <c r="FD8" s="127" t="s">
        <v>32</v>
      </c>
      <c r="FE8" s="128" t="s">
        <v>31</v>
      </c>
      <c r="FF8" s="133"/>
      <c r="FG8" s="133"/>
      <c r="FH8" s="191">
        <f>IFERROR((((COUNTIF('Elève (4ème4)'!FD8:FG8,"A"))*4)+((COUNTIF('Elève (4ème4)'!FD8:FG8,"B"))*3)+((COUNTIF('Elève (4ème4)'!FD8:FG8,"C"))*2)+((COUNTIF('Elève (4ème4)'!FD8:FG8,"D"))*1))/(COUNTA(FD8:FG8)),"")</f>
        <v>1.5</v>
      </c>
      <c r="FI8" s="192" t="str">
        <f t="shared" si="33"/>
        <v>D</v>
      </c>
      <c r="FJ8" s="134"/>
      <c r="FK8" s="132"/>
      <c r="FL8" s="133"/>
      <c r="FM8" s="136"/>
      <c r="FN8" s="191" t="str">
        <f>IFERROR((((COUNTIF('Elève (4ème4)'!FJ8:FM8,"A"))*4)+((COUNTIF('Elève (4ème4)'!FJ8:FM8,"B"))*3)+((COUNTIF('Elève (4ème4)'!FJ8:FM8,"C"))*2)+((COUNTIF('Elève (4ème4)'!FJ8:FM8,"D"))*1))/(COUNTA(FJ8:FM8)),"")</f>
        <v/>
      </c>
      <c r="FO8" s="192" t="str">
        <f t="shared" si="34"/>
        <v/>
      </c>
      <c r="FP8" s="191">
        <f>IF(COUNT(FB8,FH8,FN8)=0,"",SUM(FB8,FH8,FN8)/COUNT(FB8,FH8,FN8))</f>
        <v>2.083333333333333</v>
      </c>
      <c r="FQ8" s="215" t="str">
        <f t="shared" si="35"/>
        <v>C</v>
      </c>
      <c r="FR8" s="127" t="s">
        <v>30</v>
      </c>
      <c r="FS8" s="128" t="s">
        <v>30</v>
      </c>
      <c r="FT8" s="129" t="s">
        <v>31</v>
      </c>
      <c r="FU8" s="191">
        <f>IFERROR((((COUNTIF('Elève (4ème4)'!FR8:FT8,"A"))*4)+((COUNTIF('Elève (4ème4)'!FR8:FT8,"B"))*3)+((COUNTIF('Elève (4ème4)'!FR8:FT8,"C"))*2)+((COUNTIF('Elève (4ème4)'!FR8:FT8,"D"))*1))/(COUNTA(FR8:FT8)),"")</f>
        <v>2.6666666666666665</v>
      </c>
      <c r="FV8" s="192" t="str">
        <f t="shared" si="36"/>
        <v>C</v>
      </c>
      <c r="FW8" s="127" t="s">
        <v>30</v>
      </c>
      <c r="FX8" s="128" t="s">
        <v>31</v>
      </c>
      <c r="FY8" s="133"/>
      <c r="FZ8" s="133"/>
      <c r="GA8" s="191">
        <f>IFERROR((((COUNTIF('Elève (4ème4)'!FW8:FZ8,"A"))*4)+((COUNTIF('Elève (4ème4)'!FW8:FZ8,"B"))*3)+((COUNTIF('Elève (4ème4)'!FW8:FZ8,"C"))*2)+((COUNTIF('Elève (4ème4)'!FW8:FZ8,"D"))*1))/(COUNTA(FW8:FZ8)),"")</f>
        <v>2.5</v>
      </c>
      <c r="GB8" s="192" t="str">
        <f t="shared" si="37"/>
        <v>C</v>
      </c>
      <c r="GC8" s="134"/>
      <c r="GD8" s="132"/>
      <c r="GE8" s="133"/>
      <c r="GF8" s="136"/>
      <c r="GG8" s="191" t="str">
        <f>IFERROR((((COUNTIF('Elève (4ème4)'!GC8:GF8,"A"))*4)+((COUNTIF('Elève (4ème4)'!GC8:GF8,"B"))*3)+((COUNTIF('Elève (4ème4)'!GC8:GF8,"C"))*2)+((COUNTIF('Elève (4ème4)'!GC8:GF8,"D"))*1))/(COUNTA(GC8:GF8)),"")</f>
        <v/>
      </c>
      <c r="GH8" s="192" t="str">
        <f t="shared" si="38"/>
        <v/>
      </c>
      <c r="GI8" s="191">
        <f>IF(COUNT(FU8,GA8,GG8)=0,"",SUM(FU8,GA8,GG8)/COUNT(FU8,GA8,GG8))</f>
        <v>2.583333333333333</v>
      </c>
      <c r="GJ8" s="215" t="str">
        <f t="shared" si="39"/>
        <v>C</v>
      </c>
      <c r="GK8" s="127" t="s">
        <v>30</v>
      </c>
      <c r="GL8" s="128" t="s">
        <v>29</v>
      </c>
      <c r="GM8" s="129" t="s">
        <v>29</v>
      </c>
      <c r="GN8" s="191">
        <f>IFERROR((((COUNTIF('Elève (4ème4)'!GK8:GM8,"A"))*4)+((COUNTIF('Elève (4ème4)'!GK8:GM8,"B"))*3)+((COUNTIF('Elève (4ème4)'!GK8:GM8,"C"))*2)+((COUNTIF('Elève (4ème4)'!GK8:GM8,"D"))*1))/(COUNTA(GK8:GM8)),"")</f>
        <v>3.6666666666666665</v>
      </c>
      <c r="GO8" s="192" t="str">
        <f t="shared" si="40"/>
        <v>B</v>
      </c>
      <c r="GP8" s="127" t="s">
        <v>29</v>
      </c>
      <c r="GQ8" s="128" t="s">
        <v>29</v>
      </c>
      <c r="GR8" s="133"/>
      <c r="GS8" s="133"/>
      <c r="GT8" s="191">
        <f>IFERROR((((COUNTIF('Elève (4ème4)'!GP8:GS8,"A"))*4)+((COUNTIF('Elève (4ème4)'!GP8:GS8,"B"))*3)+((COUNTIF('Elève (4ème4)'!GP8:GS8,"C"))*2)+((COUNTIF('Elève (4ème4)'!GP8:GS8,"D"))*1))/(COUNTA(GP8:GS8)),"")</f>
        <v>4</v>
      </c>
      <c r="GU8" s="192" t="str">
        <f t="shared" si="41"/>
        <v>A</v>
      </c>
      <c r="GV8" s="134"/>
      <c r="GW8" s="132"/>
      <c r="GX8" s="133"/>
      <c r="GY8" s="136"/>
      <c r="GZ8" s="191" t="str">
        <f>IFERROR((((COUNTIF('Elève (4ème4)'!GV8:GY8,"A"))*4)+((COUNTIF('Elève (4ème4)'!GV8:GY8,"B"))*3)+((COUNTIF('Elève (4ème4)'!GV8:GY8,"C"))*2)+((COUNTIF('Elève (4ème4)'!GV8:GY8,"D"))*1))/(COUNTA(GV8:GY8)),"")</f>
        <v/>
      </c>
      <c r="HA8" s="192" t="str">
        <f t="shared" si="42"/>
        <v/>
      </c>
      <c r="HB8" s="191">
        <f>IF(COUNT(GN8,GT8,GZ8)=0,"",SUM(GN8,GT8,GZ8)/COUNT(GN8,GT8,GZ8))</f>
        <v>3.833333333333333</v>
      </c>
      <c r="HC8" s="215" t="str">
        <f t="shared" si="43"/>
        <v>A</v>
      </c>
      <c r="HD8" s="127" t="s">
        <v>31</v>
      </c>
      <c r="HE8" s="128" t="s">
        <v>30</v>
      </c>
      <c r="HF8" s="129" t="s">
        <v>30</v>
      </c>
      <c r="HG8" s="191">
        <f>IFERROR((((COUNTIF('Elève (4ème4)'!HD8:HF8,"A"))*4)+((COUNTIF('Elève (4ème4)'!HD8:HF8,"B"))*3)+((COUNTIF('Elève (4ème4)'!HD8:HF8,"C"))*2)+((COUNTIF('Elève (4ème4)'!HD8:HF8,"D"))*1))/(COUNTA(HD8:HF8)),"")</f>
        <v>2.6666666666666665</v>
      </c>
      <c r="HH8" s="192" t="str">
        <f t="shared" si="44"/>
        <v>C</v>
      </c>
      <c r="HI8" s="127" t="s">
        <v>30</v>
      </c>
      <c r="HJ8" s="128" t="s">
        <v>31</v>
      </c>
      <c r="HK8" s="133"/>
      <c r="HL8" s="133"/>
      <c r="HM8" s="191">
        <f>IFERROR((((COUNTIF('Elève (4ème4)'!HI8:HL8,"A"))*4)+((COUNTIF('Elève (4ème4)'!HI8:HL8,"B"))*3)+((COUNTIF('Elève (4ème4)'!HI8:HL8,"C"))*2)+((COUNTIF('Elève (4ème4)'!HI8:HL8,"D"))*1))/(COUNTA(HI8:HL8)),"")</f>
        <v>2.5</v>
      </c>
      <c r="HN8" s="192" t="str">
        <f t="shared" si="45"/>
        <v>C</v>
      </c>
      <c r="HO8" s="134"/>
      <c r="HP8" s="132"/>
      <c r="HQ8" s="133"/>
      <c r="HR8" s="136"/>
      <c r="HS8" s="191" t="str">
        <f>IFERROR((((COUNTIF('Elève (4ème4)'!HO8:HR8,"A"))*4)+((COUNTIF('Elève (4ème4)'!HO8:HR8,"B"))*3)+((COUNTIF('Elève (4ème4)'!HO8:HR8,"C"))*2)+((COUNTIF('Elève (4ème4)'!HO8:HR8,"D"))*1))/(COUNTA(HO8:HR8)),"")</f>
        <v/>
      </c>
      <c r="HT8" s="192" t="str">
        <f t="shared" si="46"/>
        <v/>
      </c>
      <c r="HU8" s="191">
        <f>IF(COUNT(HG8,HM8,HS8)=0,"",SUM(HG8,HM8,HS8)/COUNT(HG8,HM8,HS8))</f>
        <v>2.583333333333333</v>
      </c>
      <c r="HV8" s="215" t="str">
        <f t="shared" si="47"/>
        <v>C</v>
      </c>
      <c r="HW8" s="127" t="s">
        <v>30</v>
      </c>
      <c r="HX8" s="128" t="s">
        <v>29</v>
      </c>
      <c r="HY8" s="129" t="s">
        <v>31</v>
      </c>
      <c r="HZ8" s="191">
        <f>IFERROR((((COUNTIF('Elève (4ème4)'!HW8:HY8,"A"))*4)+((COUNTIF('Elève (4ème4)'!HW8:HY8,"B"))*3)+((COUNTIF('Elève (4ème4)'!HW8:HY8,"C"))*2)+((COUNTIF('Elève (4ème4)'!HW8:HY8,"D"))*1))/(COUNTA(HW8:HY8)),"")</f>
        <v>3</v>
      </c>
      <c r="IA8" s="192" t="str">
        <f t="shared" si="48"/>
        <v>B</v>
      </c>
      <c r="IB8" s="127" t="s">
        <v>31</v>
      </c>
      <c r="IC8" s="128" t="s">
        <v>31</v>
      </c>
      <c r="ID8" s="133"/>
      <c r="IE8" s="133"/>
      <c r="IF8" s="191">
        <f>IFERROR((((COUNTIF('Elève (4ème4)'!IB8:IE8,"A"))*4)+((COUNTIF('Elève (4ème4)'!IB8:IE8,"B"))*3)+((COUNTIF('Elève (4ème4)'!IB8:IE8,"C"))*2)+((COUNTIF('Elève (4ème4)'!IB8:IE8,"D"))*1))/(COUNTA(IB8:IE8)),"")</f>
        <v>2</v>
      </c>
      <c r="IG8" s="192" t="str">
        <f t="shared" si="49"/>
        <v>C</v>
      </c>
      <c r="IH8" s="134"/>
      <c r="II8" s="132"/>
      <c r="IJ8" s="133"/>
      <c r="IK8" s="136"/>
      <c r="IL8" s="191" t="str">
        <f>IFERROR((((COUNTIF('Elève (4ème4)'!IH8:IK8,"A"))*4)+((COUNTIF('Elève (4ème4)'!IH8:IK8,"B"))*3)+((COUNTIF('Elève (4ème4)'!IH8:IK8,"C"))*2)+((COUNTIF('Elève (4ème4)'!IH8:IK8,"D"))*1))/(COUNTA(IH8:IK8)),"")</f>
        <v/>
      </c>
      <c r="IM8" s="192" t="str">
        <f t="shared" si="50"/>
        <v/>
      </c>
      <c r="IN8" s="191">
        <f>IF(COUNT(HZ8,IF8,IL8)=0,"",SUM(HZ8,IF8,IL8)/COUNT(HZ8,IF8,IL8))</f>
        <v>2.5</v>
      </c>
      <c r="IO8" s="215" t="str">
        <f t="shared" si="51"/>
        <v>C</v>
      </c>
      <c r="IP8" s="127" t="s">
        <v>31</v>
      </c>
      <c r="IQ8" s="128" t="s">
        <v>30</v>
      </c>
      <c r="IR8" s="129" t="s">
        <v>29</v>
      </c>
      <c r="IS8" s="191">
        <f>IFERROR((((COUNTIF('Elève (4ème4)'!IP8:IR8,"A"))*4)+((COUNTIF('Elève (4ème4)'!IP8:IR8,"B"))*3)+((COUNTIF('Elève (4ème4)'!IP8:IR8,"C"))*2)+((COUNTIF('Elève (4ème4)'!IP8:IR8,"D"))*1))/(COUNTA(IP8:IR8)),"")</f>
        <v>3</v>
      </c>
      <c r="IT8" s="192" t="str">
        <f t="shared" si="52"/>
        <v>B</v>
      </c>
      <c r="IU8" s="127" t="s">
        <v>32</v>
      </c>
      <c r="IV8" s="128" t="s">
        <v>30</v>
      </c>
      <c r="IW8" s="133"/>
      <c r="IX8" s="133"/>
      <c r="IY8" s="191">
        <f>IFERROR((((COUNTIF('Elève (4ème4)'!IU8:IX8,"A"))*4)+((COUNTIF('Elève (4ème4)'!IU8:IX8,"B"))*3)+((COUNTIF('Elève (4ème4)'!IU8:IX8,"C"))*2)+((COUNTIF('Elève (4ème4)'!IU8:IX8,"D"))*1))/(COUNTA(IU8:IX8)),"")</f>
        <v>2</v>
      </c>
      <c r="IZ8" s="192" t="str">
        <f t="shared" si="53"/>
        <v>C</v>
      </c>
      <c r="JA8" s="134"/>
      <c r="JB8" s="132"/>
      <c r="JC8" s="133"/>
      <c r="JD8" s="136"/>
      <c r="JE8" s="191" t="str">
        <f>IFERROR((((COUNTIF('Elève (4ème4)'!JA8:JD8,"A"))*4)+((COUNTIF('Elève (4ème4)'!JA8:JD8,"B"))*3)+((COUNTIF('Elève (4ème4)'!JA8:JD8,"C"))*2)+((COUNTIF('Elève (4ème4)'!JA8:JD8,"D"))*1))/(COUNTA(JA8:JD8)),"")</f>
        <v/>
      </c>
      <c r="JF8" s="192" t="str">
        <f t="shared" si="54"/>
        <v/>
      </c>
      <c r="JG8" s="191">
        <f>IF(COUNT(IS8,IY8,JE8)=0,"",SUM(IS8,IY8,JE8)/COUNT(IS8,IY8,JE8))</f>
        <v>2.5</v>
      </c>
      <c r="JH8" s="215" t="str">
        <f t="shared" si="55"/>
        <v>C</v>
      </c>
      <c r="JI8" s="127" t="s">
        <v>30</v>
      </c>
      <c r="JJ8" s="128" t="s">
        <v>30</v>
      </c>
      <c r="JK8" s="129" t="s">
        <v>29</v>
      </c>
      <c r="JL8" s="191">
        <f>IFERROR((((COUNTIF('Elève (4ème4)'!JI8:JK8,"A"))*4)+((COUNTIF('Elève (4ème4)'!JI8:JK8,"B"))*3)+((COUNTIF('Elève (4ème4)'!JI8:JK8,"C"))*2)+((COUNTIF('Elève (4ème4)'!JI8:JK8,"D"))*1))/(COUNTA(JI8:JK8)),"")</f>
        <v>3.3333333333333335</v>
      </c>
      <c r="JM8" s="192" t="str">
        <f t="shared" si="56"/>
        <v>B</v>
      </c>
      <c r="JN8" s="127" t="s">
        <v>31</v>
      </c>
      <c r="JO8" s="128" t="s">
        <v>31</v>
      </c>
      <c r="JP8" s="133"/>
      <c r="JQ8" s="133"/>
      <c r="JR8" s="191">
        <f>IFERROR((((COUNTIF('Elève (4ème4)'!JN8:JQ8,"A"))*4)+((COUNTIF('Elève (4ème4)'!JN8:JQ8,"B"))*3)+((COUNTIF('Elève (4ème4)'!JN8:JQ8,"C"))*2)+((COUNTIF('Elève (4ème4)'!JN8:JQ8,"D"))*1))/(COUNTA(JN8:JQ8)),"")</f>
        <v>2</v>
      </c>
      <c r="JS8" s="192" t="str">
        <f t="shared" si="57"/>
        <v>C</v>
      </c>
      <c r="JT8" s="134"/>
      <c r="JU8" s="132"/>
      <c r="JV8" s="133"/>
      <c r="JW8" s="136"/>
      <c r="JX8" s="191" t="str">
        <f>IFERROR((((COUNTIF('Elève (4ème4)'!JT8:JW8,"A"))*4)+((COUNTIF('Elève (4ème4)'!JT8:JW8,"B"))*3)+((COUNTIF('Elève (4ème4)'!JT8:JW8,"C"))*2)+((COUNTIF('Elève (4ème4)'!JT8:JW8,"D"))*1))/(COUNTA(JT8:JW8)),"")</f>
        <v/>
      </c>
      <c r="JY8" s="192" t="str">
        <f t="shared" si="58"/>
        <v/>
      </c>
      <c r="JZ8" s="191">
        <f>IF(COUNT(JL8,JR8,JX8)=0,"",SUM(JL8,JR8,JX8)/COUNT(JL8,JR8,JX8))</f>
        <v>2.666666666666667</v>
      </c>
      <c r="KA8" s="215" t="str">
        <f t="shared" si="59"/>
        <v>C</v>
      </c>
      <c r="KB8" s="127" t="s">
        <v>31</v>
      </c>
      <c r="KC8" s="128" t="s">
        <v>30</v>
      </c>
      <c r="KD8" s="129" t="s">
        <v>31</v>
      </c>
      <c r="KE8" s="191">
        <f>IFERROR((((COUNTIF('Elève (4ème4)'!KB8:KD8,"A"))*4)+((COUNTIF('Elève (4ème4)'!KB8:KD8,"B"))*3)+((COUNTIF('Elève (4ème4)'!KB8:KD8,"C"))*2)+((COUNTIF('Elève (4ème4)'!KB8:KD8,"D"))*1))/(COUNTA(KB8:KD8)),"")</f>
        <v>2.3333333333333335</v>
      </c>
      <c r="KF8" s="192" t="str">
        <f t="shared" si="60"/>
        <v>C</v>
      </c>
      <c r="KG8" s="127" t="s">
        <v>31</v>
      </c>
      <c r="KH8" s="128" t="s">
        <v>30</v>
      </c>
      <c r="KI8" s="133"/>
      <c r="KJ8" s="133"/>
      <c r="KK8" s="191">
        <f>IFERROR((((COUNTIF('Elève (4ème4)'!KG8:KJ8,"A"))*4)+((COUNTIF('Elève (4ème4)'!KG8:KJ8,"B"))*3)+((COUNTIF('Elève (4ème4)'!KG8:KJ8,"C"))*2)+((COUNTIF('Elève (4ème4)'!KG8:KJ8,"D"))*1))/(COUNTA(KG8:KJ8)),"")</f>
        <v>2.5</v>
      </c>
      <c r="KL8" s="192" t="str">
        <f t="shared" si="61"/>
        <v>C</v>
      </c>
      <c r="KM8" s="134"/>
      <c r="KN8" s="132"/>
      <c r="KO8" s="133"/>
      <c r="KP8" s="136"/>
      <c r="KQ8" s="191" t="str">
        <f>IFERROR((((COUNTIF('Elève (4ème4)'!KM8:KP8,"A"))*4)+((COUNTIF('Elève (4ème4)'!KM8:KP8,"B"))*3)+((COUNTIF('Elève (4ème4)'!KM8:KP8,"C"))*2)+((COUNTIF('Elève (4ème4)'!KM8:KP8,"D"))*1))/(COUNTA(KM8:KP8)),"")</f>
        <v/>
      </c>
      <c r="KR8" s="192" t="str">
        <f t="shared" si="62"/>
        <v/>
      </c>
      <c r="KS8" s="191">
        <f>IF(COUNT(KE8,KK8,KQ8)=0,"",SUM(KE8,KK8,KQ8)/COUNT(KE8,KK8,KQ8))</f>
        <v>2.416666666666667</v>
      </c>
      <c r="KT8" s="215" t="str">
        <f t="shared" si="63"/>
        <v>C</v>
      </c>
      <c r="KU8" s="127" t="s">
        <v>31</v>
      </c>
      <c r="KV8" s="128" t="s">
        <v>30</v>
      </c>
      <c r="KW8" s="129" t="s">
        <v>30</v>
      </c>
      <c r="KX8" s="191">
        <f>IFERROR((((COUNTIF('Elève (4ème4)'!KU8:KW8,"A"))*4)+((COUNTIF('Elève (4ème4)'!KU8:KW8,"B"))*3)+((COUNTIF('Elève (4ème4)'!KU8:KW8,"C"))*2)+((COUNTIF('Elève (4ème4)'!KU8:KW8,"D"))*1))/(COUNTA(KU8:KW8)),"")</f>
        <v>2.6666666666666665</v>
      </c>
      <c r="KY8" s="192" t="str">
        <f t="shared" si="64"/>
        <v>C</v>
      </c>
      <c r="KZ8" s="127" t="s">
        <v>31</v>
      </c>
      <c r="LA8" s="128" t="s">
        <v>30</v>
      </c>
      <c r="LB8" s="133"/>
      <c r="LC8" s="133"/>
      <c r="LD8" s="191">
        <f>IFERROR((((COUNTIF('Elève (4ème4)'!KZ8:LC8,"A"))*4)+((COUNTIF('Elève (4ème4)'!KZ8:LC8,"B"))*3)+((COUNTIF('Elève (4ème4)'!KZ8:LC8,"C"))*2)+((COUNTIF('Elève (4ème4)'!KZ8:LC8,"D"))*1))/(COUNTA(KZ8:LC8)),"")</f>
        <v>2.5</v>
      </c>
      <c r="LE8" s="192" t="str">
        <f t="shared" si="65"/>
        <v>C</v>
      </c>
      <c r="LF8" s="134"/>
      <c r="LG8" s="132"/>
      <c r="LH8" s="133"/>
      <c r="LI8" s="136"/>
      <c r="LJ8" s="191" t="str">
        <f>IFERROR((((COUNTIF('Elève (4ème4)'!LF8:LI8,"A"))*4)+((COUNTIF('Elève (4ème4)'!LF8:LI8,"B"))*3)+((COUNTIF('Elève (4ème4)'!LF8:LI8,"C"))*2)+((COUNTIF('Elève (4ème4)'!LF8:LI8,"D"))*1))/(COUNTA(LF8:LI8)),"")</f>
        <v/>
      </c>
      <c r="LK8" s="192" t="str">
        <f t="shared" si="66"/>
        <v/>
      </c>
      <c r="LL8" s="191">
        <f>IF(COUNT(KX8,LD8,LJ8)=0,"",SUM(KX8,LD8,LJ8)/COUNT(KX8,LD8,LJ8))</f>
        <v>2.583333333333333</v>
      </c>
      <c r="LM8" s="215" t="str">
        <f t="shared" si="67"/>
        <v>C</v>
      </c>
      <c r="LN8" s="127" t="s">
        <v>30</v>
      </c>
      <c r="LO8" s="128" t="s">
        <v>30</v>
      </c>
      <c r="LP8" s="129" t="s">
        <v>29</v>
      </c>
      <c r="LQ8" s="191">
        <f>IFERROR((((COUNTIF('Elève (4ème4)'!LN8:LP8,"A"))*4)+((COUNTIF('Elève (4ème4)'!LN8:LP8,"B"))*3)+((COUNTIF('Elève (4ème4)'!LN8:LP8,"C"))*2)+((COUNTIF('Elève (4ème4)'!LN8:LP8,"D"))*1))/(COUNTA(LN8:LP8)),"")</f>
        <v>3.3333333333333335</v>
      </c>
      <c r="LR8" s="192" t="str">
        <f t="shared" si="68"/>
        <v>B</v>
      </c>
      <c r="LS8" s="127" t="s">
        <v>31</v>
      </c>
      <c r="LT8" s="128" t="s">
        <v>30</v>
      </c>
      <c r="LU8" s="133"/>
      <c r="LV8" s="133"/>
      <c r="LW8" s="191">
        <f>IFERROR((((COUNTIF('Elève (4ème4)'!LS8:LV8,"A"))*4)+((COUNTIF('Elève (4ème4)'!LS8:LV8,"B"))*3)+((COUNTIF('Elève (4ème4)'!LS8:LV8,"C"))*2)+((COUNTIF('Elève (4ème4)'!LS8:LV8,"D"))*1))/(COUNTA(LS8:LV8)),"")</f>
        <v>2.5</v>
      </c>
      <c r="LX8" s="192" t="str">
        <f t="shared" si="69"/>
        <v>C</v>
      </c>
      <c r="LY8" s="134"/>
      <c r="LZ8" s="132"/>
      <c r="MA8" s="133"/>
      <c r="MB8" s="136"/>
      <c r="MC8" s="191" t="str">
        <f>IFERROR((((COUNTIF('Elève (4ème4)'!LY8:MB8,"A"))*4)+((COUNTIF('Elève (4ème4)'!LY8:MB8,"B"))*3)+((COUNTIF('Elève (4ème4)'!LY8:MB8,"C"))*2)+((COUNTIF('Elève (4ème4)'!LY8:MB8,"D"))*1))/(COUNTA(LY8:MB8)),"")</f>
        <v/>
      </c>
      <c r="MD8" s="192" t="str">
        <f t="shared" si="70"/>
        <v/>
      </c>
      <c r="ME8" s="191">
        <f>IF(COUNT(LQ8,LW8,MC8)=0,"",SUM(LQ8,LW8,MC8)/COUNT(LQ8,LW8,MC8))</f>
        <v>2.916666666666667</v>
      </c>
      <c r="MF8" s="215" t="str">
        <f t="shared" si="71"/>
        <v>B</v>
      </c>
      <c r="MG8" s="127" t="s">
        <v>31</v>
      </c>
      <c r="MH8" s="128" t="s">
        <v>30</v>
      </c>
      <c r="MI8" s="129" t="s">
        <v>29</v>
      </c>
      <c r="MJ8" s="191">
        <f>IFERROR((((COUNTIF('Elève (4ème4)'!MG8:MI8,"A"))*4)+((COUNTIF('Elève (4ème4)'!MG8:MI8,"B"))*3)+((COUNTIF('Elève (4ème4)'!MG8:MI8,"C"))*2)+((COUNTIF('Elève (4ème4)'!MG8:MI8,"D"))*1))/(COUNTA(MG8:MI8)),"")</f>
        <v>3</v>
      </c>
      <c r="MK8" s="192" t="str">
        <f t="shared" si="72"/>
        <v>B</v>
      </c>
      <c r="ML8" s="127" t="s">
        <v>30</v>
      </c>
      <c r="MM8" s="128" t="s">
        <v>30</v>
      </c>
      <c r="MN8" s="133"/>
      <c r="MO8" s="133"/>
      <c r="MP8" s="191">
        <f>IFERROR((((COUNTIF('Elève (4ème4)'!ML8:MO8,"A"))*4)+((COUNTIF('Elève (4ème4)'!ML8:MO8,"B"))*3)+((COUNTIF('Elève (4ème4)'!ML8:MO8,"C"))*2)+((COUNTIF('Elève (4ème4)'!ML8:MO8,"D"))*1))/(COUNTA(ML8:MO8)),"")</f>
        <v>3</v>
      </c>
      <c r="MQ8" s="192" t="str">
        <f t="shared" si="73"/>
        <v>B</v>
      </c>
      <c r="MR8" s="134"/>
      <c r="MS8" s="132"/>
      <c r="MT8" s="133"/>
      <c r="MU8" s="136"/>
      <c r="MV8" s="191" t="str">
        <f>IFERROR((((COUNTIF('Elève (4ème4)'!MR8:MU8,"A"))*4)+((COUNTIF('Elève (4ème4)'!MR8:MU8,"B"))*3)+((COUNTIF('Elève (4ème4)'!MR8:MU8,"C"))*2)+((COUNTIF('Elève (4ème4)'!MR8:MU8,"D"))*1))/(COUNTA(MR8:MU8)),"")</f>
        <v/>
      </c>
      <c r="MW8" s="192" t="str">
        <f t="shared" si="74"/>
        <v/>
      </c>
      <c r="MX8" s="191">
        <f>IF(COUNT(MJ8,MP8,MV8)=0,"",SUM(MJ8,MP8,MV8)/COUNT(MJ8,MP8,MV8))</f>
        <v>3</v>
      </c>
      <c r="MY8" s="215" t="str">
        <f t="shared" si="75"/>
        <v>B</v>
      </c>
      <c r="MZ8" s="127" t="s">
        <v>31</v>
      </c>
      <c r="NA8" s="128" t="s">
        <v>29</v>
      </c>
      <c r="NB8" s="129" t="s">
        <v>29</v>
      </c>
      <c r="NC8" s="191">
        <f>IFERROR((((COUNTIF('Elève (4ème4)'!MZ8:NB8,"A"))*4)+((COUNTIF('Elève (4ème4)'!MZ8:NB8,"B"))*3)+((COUNTIF('Elève (4ème4)'!MZ8:NB8,"C"))*2)+((COUNTIF('Elève (4ème4)'!MZ8:NB8,"D"))*1))/(COUNTA(MZ8:NB8)),"")</f>
        <v>3.3333333333333335</v>
      </c>
      <c r="ND8" s="192" t="str">
        <f t="shared" si="76"/>
        <v>B</v>
      </c>
      <c r="NE8" s="127" t="s">
        <v>29</v>
      </c>
      <c r="NF8" s="128" t="s">
        <v>30</v>
      </c>
      <c r="NG8" s="133"/>
      <c r="NH8" s="133"/>
      <c r="NI8" s="191">
        <f>IFERROR((((COUNTIF('Elève (4ème4)'!NE8:NH8,"A"))*4)+((COUNTIF('Elève (4ème4)'!NE8:NH8,"B"))*3)+((COUNTIF('Elève (4ème4)'!NE8:NH8,"C"))*2)+((COUNTIF('Elève (4ème4)'!NE8:NH8,"D"))*1))/(COUNTA(NE8:NH8)),"")</f>
        <v>3.5</v>
      </c>
      <c r="NJ8" s="192" t="str">
        <f t="shared" si="77"/>
        <v>B</v>
      </c>
      <c r="NK8" s="134"/>
      <c r="NL8" s="132"/>
      <c r="NM8" s="133"/>
      <c r="NN8" s="136"/>
      <c r="NO8" s="191" t="str">
        <f>IFERROR((((COUNTIF('Elève (4ème4)'!NK8:NN8,"A"))*4)+((COUNTIF('Elève (4ème4)'!NK8:NN8,"B"))*3)+((COUNTIF('Elève (4ème4)'!NK8:NN8,"C"))*2)+((COUNTIF('Elève (4ème4)'!NK8:NN8,"D"))*1))/(COUNTA(NK8:NN8)),"")</f>
        <v/>
      </c>
      <c r="NP8" s="192" t="str">
        <f t="shared" si="78"/>
        <v/>
      </c>
      <c r="NQ8" s="191">
        <f>IF(COUNT(NC8,NI8,NO8)=0,"",SUM(NC8,NI8,NO8)/COUNT(NC8,NI8,NO8))</f>
        <v>3.416666666666667</v>
      </c>
      <c r="NR8" s="215" t="str">
        <f t="shared" si="79"/>
        <v>B</v>
      </c>
      <c r="NS8" s="127"/>
      <c r="NT8" s="128" t="s">
        <v>29</v>
      </c>
      <c r="NU8" s="129"/>
      <c r="NV8" s="191">
        <f>IFERROR((((COUNTIF('Elève (4ème4)'!NS8:NU8,"A"))*4)+((COUNTIF('Elève (4ème4)'!NS8:NU8,"B"))*3)+((COUNTIF('Elève (4ème4)'!NS8:NU8,"C"))*2)+((COUNTIF('Elève (4ème4)'!NS8:NU8,"D"))*1))/(COUNTA(NS8:NU8)),"")</f>
        <v>4</v>
      </c>
      <c r="NW8" s="192" t="str">
        <f t="shared" si="80"/>
        <v>A</v>
      </c>
      <c r="NX8" s="127" t="s">
        <v>30</v>
      </c>
      <c r="NY8" s="128" t="s">
        <v>30</v>
      </c>
      <c r="NZ8" s="133"/>
      <c r="OA8" s="133"/>
      <c r="OB8" s="191">
        <f>IFERROR((((COUNTIF('Elève (4ème4)'!NX8:OA8,"A"))*4)+((COUNTIF('Elève (4ème4)'!NX8:OA8,"B"))*3)+((COUNTIF('Elève (4ème4)'!NX8:OA8,"C"))*2)+((COUNTIF('Elève (4ème4)'!NX8:OA8,"D"))*1))/(COUNTA(NX8:OA8)),"")</f>
        <v>3</v>
      </c>
      <c r="OC8" s="192" t="str">
        <f t="shared" si="81"/>
        <v>B</v>
      </c>
      <c r="OD8" s="134"/>
      <c r="OE8" s="132"/>
      <c r="OF8" s="133"/>
      <c r="OG8" s="136"/>
      <c r="OH8" s="191" t="str">
        <f>IFERROR((((COUNTIF('Elève (4ème4)'!OD8:OG8,"A"))*4)+((COUNTIF('Elève (4ème4)'!OD8:OG8,"B"))*3)+((COUNTIF('Elève (4ème4)'!OD8:OG8,"C"))*2)+((COUNTIF('Elève (4ème4)'!OD8:OG8,"D"))*1))/(COUNTA(OD8:OG8)),"")</f>
        <v/>
      </c>
      <c r="OI8" s="192" t="str">
        <f t="shared" si="82"/>
        <v/>
      </c>
      <c r="OJ8" s="191">
        <f>IF(COUNT(NV8,OB8,OH8)=0,"",SUM(NV8,OB8,OH8)/COUNT(NV8,OB8,OH8))</f>
        <v>3.5</v>
      </c>
      <c r="OK8" s="215" t="str">
        <f t="shared" si="83"/>
        <v>B</v>
      </c>
      <c r="OL8" s="127" t="s">
        <v>31</v>
      </c>
      <c r="OM8" s="128" t="s">
        <v>29</v>
      </c>
      <c r="ON8" s="129" t="s">
        <v>29</v>
      </c>
      <c r="OO8" s="191">
        <f>IFERROR((((COUNTIF('Elève (4ème4)'!OL8:ON8,"A"))*4)+((COUNTIF('Elève (4ème4)'!OL8:ON8,"B"))*3)+((COUNTIF('Elève (4ème4)'!OL8:ON8,"C"))*2)+((COUNTIF('Elève (4ème4)'!OL8:ON8,"D"))*1))/(COUNTA(OL8:ON8)),"")</f>
        <v>3.3333333333333335</v>
      </c>
      <c r="OP8" s="192" t="str">
        <f t="shared" si="84"/>
        <v>B</v>
      </c>
      <c r="OQ8" s="127" t="s">
        <v>29</v>
      </c>
      <c r="OR8" s="128" t="s">
        <v>29</v>
      </c>
      <c r="OS8" s="133"/>
      <c r="OT8" s="133"/>
      <c r="OU8" s="191">
        <f>IFERROR((((COUNTIF('Elève (4ème4)'!OQ8:OT8,"A"))*4)+((COUNTIF('Elève (4ème4)'!OQ8:OT8,"B"))*3)+((COUNTIF('Elève (4ème4)'!OQ8:OT8,"C"))*2)+((COUNTIF('Elève (4ème4)'!OQ8:OT8,"D"))*1))/(COUNTA(OQ8:OT8)),"")</f>
        <v>4</v>
      </c>
      <c r="OV8" s="192" t="str">
        <f t="shared" si="85"/>
        <v>A</v>
      </c>
      <c r="OW8" s="134"/>
      <c r="OX8" s="132"/>
      <c r="OY8" s="133"/>
      <c r="OZ8" s="136"/>
      <c r="PA8" s="191" t="str">
        <f>IFERROR((((COUNTIF('Elève (4ème4)'!OW8:OZ8,"A"))*4)+((COUNTIF('Elève (4ème4)'!OW8:OZ8,"B"))*3)+((COUNTIF('Elève (4ème4)'!OW8:OZ8,"C"))*2)+((COUNTIF('Elève (4ème4)'!OW8:OZ8,"D"))*1))/(COUNTA(OW8:OZ8)),"")</f>
        <v/>
      </c>
      <c r="PB8" s="192" t="str">
        <f t="shared" si="86"/>
        <v/>
      </c>
      <c r="PC8" s="191">
        <f>IF(COUNT(OO8,OU8,PA8)=0,"",SUM(OO8,OU8,PA8)/COUNT(OO8,OU8,PA8))</f>
        <v>3.666666666666667</v>
      </c>
      <c r="PD8" s="215" t="str">
        <f t="shared" si="87"/>
        <v>B</v>
      </c>
      <c r="PE8" s="127" t="s">
        <v>30</v>
      </c>
      <c r="PF8" s="128" t="s">
        <v>30</v>
      </c>
      <c r="PG8" s="129" t="s">
        <v>29</v>
      </c>
      <c r="PH8" s="191">
        <f>IFERROR((((COUNTIF('Elève (4ème4)'!PE8:PG8,"A"))*4)+((COUNTIF('Elève (4ème4)'!PE8:PG8,"B"))*3)+((COUNTIF('Elève (4ème4)'!PE8:PG8,"C"))*2)+((COUNTIF('Elève (4ème4)'!PE8:PG8,"D"))*1))/(COUNTA(PE8:PG8)),"")</f>
        <v>3.3333333333333335</v>
      </c>
      <c r="PI8" s="192" t="str">
        <f t="shared" si="88"/>
        <v>B</v>
      </c>
      <c r="PJ8" s="127" t="s">
        <v>31</v>
      </c>
      <c r="PK8" s="128" t="s">
        <v>30</v>
      </c>
      <c r="PL8" s="133"/>
      <c r="PM8" s="133"/>
      <c r="PN8" s="191">
        <f>IFERROR((((COUNTIF('Elève (4ème4)'!PJ8:PM8,"A"))*4)+((COUNTIF('Elève (4ème4)'!PJ8:PM8,"B"))*3)+((COUNTIF('Elève (4ème4)'!PJ8:PM8,"C"))*2)+((COUNTIF('Elève (4ème4)'!PJ8:PM8,"D"))*1))/(COUNTA(PJ8:PM8)),"")</f>
        <v>2.5</v>
      </c>
      <c r="PO8" s="192" t="str">
        <f t="shared" si="89"/>
        <v>C</v>
      </c>
      <c r="PP8" s="134"/>
      <c r="PQ8" s="132"/>
      <c r="PR8" s="133"/>
      <c r="PS8" s="136"/>
      <c r="PT8" s="191" t="str">
        <f>IFERROR((((COUNTIF('Elève (4ème4)'!PP8:PS8,"A"))*4)+((COUNTIF('Elève (4ème4)'!PP8:PS8,"B"))*3)+((COUNTIF('Elève (4ème4)'!PP8:PS8,"C"))*2)+((COUNTIF('Elève (4ème4)'!PP8:PS8,"D"))*1))/(COUNTA(PP8:PS8)),"")</f>
        <v/>
      </c>
      <c r="PU8" s="192" t="str">
        <f t="shared" si="90"/>
        <v/>
      </c>
      <c r="PV8" s="191">
        <f>IF(COUNT(PH8,PN8,PT8)=0,"",SUM(PH8,PN8,PT8)/COUNT(PH8,PN8,PT8))</f>
        <v>2.916666666666667</v>
      </c>
      <c r="PW8" s="215" t="str">
        <f t="shared" si="91"/>
        <v>B</v>
      </c>
      <c r="PX8" s="127" t="s">
        <v>31</v>
      </c>
      <c r="PY8" s="128" t="s">
        <v>29</v>
      </c>
      <c r="PZ8" s="129" t="s">
        <v>31</v>
      </c>
      <c r="QA8" s="191">
        <f>IFERROR((((COUNTIF('Elève (4ème4)'!PX8:PZ8,"A"))*4)+((COUNTIF('Elève (4ème4)'!PX8:PZ8,"B"))*3)+((COUNTIF('Elève (4ème4)'!PX8:PZ8,"C"))*2)+((COUNTIF('Elève (4ème4)'!PX8:PZ8,"D"))*1))/(COUNTA(PX8:PZ8)),"")</f>
        <v>2.6666666666666665</v>
      </c>
      <c r="QB8" s="192" t="str">
        <f t="shared" si="92"/>
        <v>C</v>
      </c>
      <c r="QC8" s="127" t="s">
        <v>30</v>
      </c>
      <c r="QD8" s="128" t="s">
        <v>30</v>
      </c>
      <c r="QE8" s="133"/>
      <c r="QF8" s="133"/>
      <c r="QG8" s="191">
        <f>IFERROR((((COUNTIF('Elève (4ème4)'!QC8:QF8,"A"))*4)+((COUNTIF('Elève (4ème4)'!QC8:QF8,"B"))*3)+((COUNTIF('Elève (4ème4)'!QC8:QF8,"C"))*2)+((COUNTIF('Elève (4ème4)'!QC8:QF8,"D"))*1))/(COUNTA(QC8:QF8)),"")</f>
        <v>3</v>
      </c>
      <c r="QH8" s="192" t="str">
        <f t="shared" si="93"/>
        <v>B</v>
      </c>
      <c r="QI8" s="134"/>
      <c r="QJ8" s="132"/>
      <c r="QK8" s="133"/>
      <c r="QL8" s="136"/>
      <c r="QM8" s="191" t="str">
        <f>IFERROR((((COUNTIF('Elève (4ème4)'!QI8:QL8,"A"))*4)+((COUNTIF('Elève (4ème4)'!QI8:QL8,"B"))*3)+((COUNTIF('Elève (4ème4)'!QI8:QL8,"C"))*2)+((COUNTIF('Elève (4ème4)'!QI8:QL8,"D"))*1))/(COUNTA(QI8:QL8)),"")</f>
        <v/>
      </c>
      <c r="QN8" s="192" t="str">
        <f t="shared" si="94"/>
        <v/>
      </c>
      <c r="QO8" s="191">
        <f>IF(COUNT(QA8,QG8,QM8)=0,"",SUM(QA8,QG8,QM8)/COUNT(QA8,QG8,QM8))</f>
        <v>2.833333333333333</v>
      </c>
      <c r="QP8" s="215" t="str">
        <f t="shared" si="95"/>
        <v>B</v>
      </c>
      <c r="QQ8" s="127" t="s">
        <v>30</v>
      </c>
      <c r="QR8" s="128" t="s">
        <v>29</v>
      </c>
      <c r="QS8" s="129" t="s">
        <v>29</v>
      </c>
      <c r="QT8" s="191">
        <f>IFERROR((((COUNTIF('Elève (4ème4)'!QQ8:QS8,"A"))*4)+((COUNTIF('Elève (4ème4)'!QQ8:QS8,"B"))*3)+((COUNTIF('Elève (4ème4)'!QQ8:QS8,"C"))*2)+((COUNTIF('Elève (4ème4)'!QQ8:QS8,"D"))*1))/(COUNTA(QQ8:QS8)),"")</f>
        <v>3.6666666666666665</v>
      </c>
      <c r="QU8" s="192" t="str">
        <f t="shared" si="96"/>
        <v>B</v>
      </c>
      <c r="QV8" s="127" t="s">
        <v>32</v>
      </c>
      <c r="QW8" s="128" t="s">
        <v>31</v>
      </c>
      <c r="QX8" s="133"/>
      <c r="QY8" s="133"/>
      <c r="QZ8" s="191">
        <f>IFERROR((((COUNTIF('Elève (4ème4)'!QV8:QY8,"A"))*4)+((COUNTIF('Elève (4ème4)'!QV8:QY8,"B"))*3)+((COUNTIF('Elève (4ème4)'!QV8:QY8,"C"))*2)+((COUNTIF('Elève (4ème4)'!QV8:QY8,"D"))*1))/(COUNTA(QV8:QY8)),"")</f>
        <v>1.5</v>
      </c>
      <c r="RA8" s="192" t="str">
        <f t="shared" si="97"/>
        <v>D</v>
      </c>
      <c r="RB8" s="134"/>
      <c r="RC8" s="132"/>
      <c r="RD8" s="133"/>
      <c r="RE8" s="136"/>
      <c r="RF8" s="191" t="str">
        <f>IFERROR((((COUNTIF('Elève (4ème4)'!RB8:RE8,"A"))*4)+((COUNTIF('Elève (4ème4)'!RB8:RE8,"B"))*3)+((COUNTIF('Elève (4ème4)'!RB8:RE8,"C"))*2)+((COUNTIF('Elève (4ème4)'!RB8:RE8,"D"))*1))/(COUNTA(RB8:RE8)),"")</f>
        <v/>
      </c>
      <c r="RG8" s="192" t="str">
        <f t="shared" si="98"/>
        <v/>
      </c>
      <c r="RH8" s="191">
        <f>IF(COUNT(QT8,QZ8,RF8)=0,"",SUM(QT8,QZ8,RF8)/COUNT(QT8,QZ8,RF8))</f>
        <v>2.583333333333333</v>
      </c>
      <c r="RI8" s="215" t="str">
        <f t="shared" si="99"/>
        <v>C</v>
      </c>
      <c r="RJ8" s="127" t="s">
        <v>31</v>
      </c>
      <c r="RK8" s="128" t="s">
        <v>30</v>
      </c>
      <c r="RL8" s="129" t="s">
        <v>30</v>
      </c>
      <c r="RM8" s="191">
        <f>IFERROR((((COUNTIF('Elève (4ème4)'!RJ8:RL8,"A"))*4)+((COUNTIF('Elève (4ème4)'!RJ8:RL8,"B"))*3)+((COUNTIF('Elève (4ème4)'!RJ8:RL8,"C"))*2)+((COUNTIF('Elève (4ème4)'!RJ8:RL8,"D"))*1))/(COUNTA(RJ8:RL8)),"")</f>
        <v>2.6666666666666665</v>
      </c>
      <c r="RN8" s="192" t="str">
        <f t="shared" si="100"/>
        <v>C</v>
      </c>
      <c r="RO8" s="127" t="s">
        <v>31</v>
      </c>
      <c r="RP8" s="128" t="s">
        <v>30</v>
      </c>
      <c r="RQ8" s="133"/>
      <c r="RR8" s="133"/>
      <c r="RS8" s="191">
        <f>IFERROR((((COUNTIF('Elève (4ème4)'!RO8:RR8,"A"))*4)+((COUNTIF('Elève (4ème4)'!RO8:RR8,"B"))*3)+((COUNTIF('Elève (4ème4)'!RO8:RR8,"C"))*2)+((COUNTIF('Elève (4ème4)'!RO8:RR8,"D"))*1))/(COUNTA(RO8:RR8)),"")</f>
        <v>2.5</v>
      </c>
      <c r="RT8" s="192" t="str">
        <f t="shared" si="101"/>
        <v>C</v>
      </c>
      <c r="RU8" s="134"/>
      <c r="RV8" s="132"/>
      <c r="RW8" s="133"/>
      <c r="RX8" s="136"/>
      <c r="RY8" s="191" t="str">
        <f>IFERROR((((COUNTIF('Elève (4ème4)'!RU8:RX8,"A"))*4)+((COUNTIF('Elève (4ème4)'!RU8:RX8,"B"))*3)+((COUNTIF('Elève (4ème4)'!RU8:RX8,"C"))*2)+((COUNTIF('Elève (4ème4)'!RU8:RX8,"D"))*1))/(COUNTA(RU8:RX8)),"")</f>
        <v/>
      </c>
      <c r="RZ8" s="192" t="str">
        <f t="shared" si="102"/>
        <v/>
      </c>
      <c r="SA8" s="191">
        <f>IF(COUNT(RM8,RS8,RY8)=0,"",SUM(RM8,RS8,RY8)/COUNT(RM8,RS8,RY8))</f>
        <v>2.583333333333333</v>
      </c>
      <c r="SB8" s="215" t="str">
        <f t="shared" si="103"/>
        <v>C</v>
      </c>
      <c r="SC8" s="134"/>
      <c r="SD8" s="132"/>
      <c r="SE8" s="133"/>
      <c r="SF8" s="130" t="str">
        <f>IFERROR((((COUNTIF('Elève (4ème4)'!SC8:SE8,"A"))*4)+((COUNTIF('Elève (4ème4)'!SC8:SE8,"B"))*3)+((COUNTIF('Elève (4ème4)'!SC8:SE8,"C"))*2)+((COUNTIF('Elève (4ème4)'!SC8:SE8,"D"))*1))/(COUNTA(SC8:SE8)),"")</f>
        <v/>
      </c>
      <c r="SG8" s="131" t="str">
        <f t="shared" si="104"/>
        <v/>
      </c>
      <c r="SH8" s="134"/>
      <c r="SI8" s="132"/>
      <c r="SJ8" s="133"/>
      <c r="SK8" s="130" t="str">
        <f>IFERROR((((COUNTIF('Elève (4ème4)'!SH8:SJ8,"A"))*4)+((COUNTIF('Elève (4ème4)'!SH8:SJ8,"B"))*3)+((COUNTIF('Elève (4ème4)'!SH8:SJ8,"C"))*2)+((COUNTIF('Elève (4ème4)'!SH8:SJ8,"D"))*1))/(COUNTA(SH8:SJ8)),"")</f>
        <v/>
      </c>
      <c r="SL8" s="131" t="str">
        <f t="shared" si="105"/>
        <v/>
      </c>
      <c r="SM8" s="134"/>
      <c r="SN8" s="132"/>
      <c r="SO8" s="136"/>
      <c r="SP8" s="130" t="str">
        <f>IFERROR((((COUNTIF('Elève (4ème4)'!SM8:SO8,"A"))*4)+((COUNTIF('Elève (4ème4)'!SM8:SO8,"B"))*3)+((COUNTIF('Elève (4ème4)'!SM8:SO8,"C"))*2)+((COUNTIF('Elève (4ème4)'!SM8:SO8,"D"))*1))/(COUNTA(SM8:SO8)),"")</f>
        <v/>
      </c>
      <c r="SQ8" s="131" t="str">
        <f t="shared" si="106"/>
        <v/>
      </c>
      <c r="SR8" s="130" t="str">
        <f>IF(COUNT(SF8,SK8,SP8)=0,"",SUM(SF8,SK8,SP8)/COUNT(SF8,SK8,SP8))</f>
        <v/>
      </c>
      <c r="SS8" s="135" t="str">
        <f t="shared" si="107"/>
        <v/>
      </c>
      <c r="ST8" s="134"/>
      <c r="SU8" s="132"/>
      <c r="SV8" s="133"/>
      <c r="SW8" s="130" t="str">
        <f>IFERROR((((COUNTIF('Elève (4ème4)'!ST8:SV8,"A"))*4)+((COUNTIF('Elève (4ème4)'!ST8:SV8,"B"))*3)+((COUNTIF('Elève (4ème4)'!ST8:SV8,"C"))*2)+((COUNTIF('Elève (4ème4)'!ST8:SV8,"D"))*1))/(COUNTA(ST8:SV8)),"")</f>
        <v/>
      </c>
      <c r="SX8" s="131" t="str">
        <f t="shared" si="108"/>
        <v/>
      </c>
      <c r="SY8" s="134"/>
      <c r="SZ8" s="132"/>
      <c r="TA8" s="133"/>
      <c r="TB8" s="130" t="str">
        <f>IFERROR((((COUNTIF('Elève (4ème4)'!SY8:TA8,"A"))*4)+((COUNTIF('Elève (4ème4)'!SY8:TA8,"B"))*3)+((COUNTIF('Elève (4ème4)'!SY8:TA8,"C"))*2)+((COUNTIF('Elève (4ème4)'!SY8:TA8,"D"))*1))/(COUNTA(SY8:TA8)),"")</f>
        <v/>
      </c>
      <c r="TC8" s="131" t="str">
        <f t="shared" si="109"/>
        <v/>
      </c>
      <c r="TD8" s="134"/>
      <c r="TE8" s="132"/>
      <c r="TF8" s="136"/>
      <c r="TG8" s="130" t="str">
        <f>IFERROR((((COUNTIF('Elève (4ème4)'!TD8:TF8,"A"))*4)+((COUNTIF('Elève (4ème4)'!TD8:TF8,"B"))*3)+((COUNTIF('Elève (4ème4)'!TD8:TF8,"C"))*2)+((COUNTIF('Elève (4ème4)'!TD8:TF8,"D"))*1))/(COUNTA(TD8:TF8)),"")</f>
        <v/>
      </c>
      <c r="TH8" s="131" t="str">
        <f t="shared" si="110"/>
        <v/>
      </c>
      <c r="TI8" s="130" t="str">
        <f>IF(COUNT(SW8,TB8,TG8)=0,"",SUM(SW8,TB8,TG8)/COUNT(SW8,TB8,TG8))</f>
        <v/>
      </c>
      <c r="TJ8" s="135" t="str">
        <f t="shared" si="111"/>
        <v/>
      </c>
      <c r="TK8" s="134"/>
      <c r="TL8" s="132"/>
      <c r="TM8" s="133"/>
      <c r="TN8" s="130" t="str">
        <f>IFERROR((((COUNTIF('Elève (4ème4)'!TK8:TM8,"A"))*4)+((COUNTIF('Elève (4ème4)'!TK8:TM8,"B"))*3)+((COUNTIF('Elève (4ème4)'!TK8:TM8,"C"))*2)+((COUNTIF('Elève (4ème4)'!TK8:TM8,"D"))*1))/(COUNTA(TK8:TM8)),"")</f>
        <v/>
      </c>
      <c r="TO8" s="131" t="str">
        <f t="shared" si="112"/>
        <v/>
      </c>
      <c r="TP8" s="134"/>
      <c r="TQ8" s="132"/>
      <c r="TR8" s="133"/>
      <c r="TS8" s="130" t="str">
        <f>IFERROR((((COUNTIF('Elève (4ème4)'!TP8:TR8,"A"))*4)+((COUNTIF('Elève (4ème4)'!TP8:TR8,"B"))*3)+((COUNTIF('Elève (4ème4)'!TP8:TR8,"C"))*2)+((COUNTIF('Elève (4ème4)'!TP8:TR8,"D"))*1))/(COUNTA(TP8:TR8)),"")</f>
        <v/>
      </c>
      <c r="TT8" s="131" t="str">
        <f t="shared" si="113"/>
        <v/>
      </c>
      <c r="TU8" s="134"/>
      <c r="TV8" s="132"/>
      <c r="TW8" s="136"/>
      <c r="TX8" s="130" t="str">
        <f>IFERROR((((COUNTIF('Elève (4ème4)'!TU8:TW8,"A"))*4)+((COUNTIF('Elève (4ème4)'!TU8:TW8,"B"))*3)+((COUNTIF('Elève (4ème4)'!TU8:TW8,"C"))*2)+((COUNTIF('Elève (4ème4)'!TU8:TW8,"D"))*1))/(COUNTA(TU8:TW8)),"")</f>
        <v/>
      </c>
      <c r="TY8" s="131" t="str">
        <f t="shared" si="114"/>
        <v/>
      </c>
      <c r="TZ8" s="130" t="str">
        <f>IF(COUNT(TN8,TS8,TX8)=0,"",SUM(TN8,TS8,TX8)/COUNT(TN8,TS8,TX8))</f>
        <v/>
      </c>
      <c r="UA8" s="135" t="str">
        <f t="shared" si="115"/>
        <v/>
      </c>
      <c r="UB8" s="134"/>
      <c r="UC8" s="132"/>
      <c r="UD8" s="133"/>
      <c r="UE8" s="130" t="str">
        <f>IFERROR((((COUNTIF('Elève (4ème4)'!UB8:UD8,"A"))*4)+((COUNTIF('Elève (4ème4)'!UB8:UD8,"B"))*3)+((COUNTIF('Elève (4ème4)'!UB8:UD8,"C"))*2)+((COUNTIF('Elève (4ème4)'!UB8:UD8,"D"))*1))/(COUNTA(UB8:UD8)),"")</f>
        <v/>
      </c>
      <c r="UF8" s="131" t="str">
        <f t="shared" si="116"/>
        <v/>
      </c>
      <c r="UG8" s="134"/>
      <c r="UH8" s="132"/>
      <c r="UI8" s="133"/>
      <c r="UJ8" s="130" t="str">
        <f>IFERROR((((COUNTIF('Elève (4ème4)'!UG8:UI8,"A"))*4)+((COUNTIF('Elève (4ème4)'!UG8:UI8,"B"))*3)+((COUNTIF('Elève (4ème4)'!UG8:UI8,"C"))*2)+((COUNTIF('Elève (4ème4)'!UG8:UI8,"D"))*1))/(COUNTA(UG8:UI8)),"")</f>
        <v/>
      </c>
      <c r="UK8" s="131" t="str">
        <f t="shared" si="117"/>
        <v/>
      </c>
      <c r="UL8" s="134"/>
      <c r="UM8" s="132"/>
      <c r="UN8" s="136"/>
      <c r="UO8" s="130" t="str">
        <f>IFERROR((((COUNTIF('Elève (4ème4)'!UL8:UN8,"A"))*4)+((COUNTIF('Elève (4ème4)'!UL8:UN8,"B"))*3)+((COUNTIF('Elève (4ème4)'!UL8:UN8,"C"))*2)+((COUNTIF('Elève (4ème4)'!UL8:UN8,"D"))*1))/(COUNTA(UL8:UN8)),"")</f>
        <v/>
      </c>
      <c r="UP8" s="131" t="str">
        <f t="shared" si="118"/>
        <v/>
      </c>
      <c r="UQ8" s="130" t="str">
        <f>IF(COUNT(UE8,UJ8,UO8)=0,"",SUM(UE8,UJ8,UO8)/COUNT(UE8,UJ8,UO8))</f>
        <v/>
      </c>
      <c r="UR8" s="135" t="str">
        <f t="shared" si="119"/>
        <v/>
      </c>
    </row>
    <row r="9" spans="1:564" ht="18" customHeight="1" thickBot="1" x14ac:dyDescent="0.3">
      <c r="A9" s="254" t="s">
        <v>16</v>
      </c>
      <c r="B9" s="255"/>
      <c r="C9" s="137"/>
      <c r="D9" s="138"/>
      <c r="E9" s="139"/>
      <c r="F9" s="193" t="str">
        <f>IFERROR((((COUNTIF('Elève (4ème4)'!C9:E9,"A"))*4)+((COUNTIF('Elève (4ème4)'!C9:E9,"B"))*3)+((COUNTIF('Elève (4ème4)'!C9:E9,"C"))*2)+((COUNTIF('Elève (4ème4)'!C9:E9,"D"))*1))/(COUNTA(C9:E9)),"")</f>
        <v/>
      </c>
      <c r="G9" s="194" t="str">
        <f t="shared" si="0"/>
        <v/>
      </c>
      <c r="H9" s="137"/>
      <c r="I9" s="138"/>
      <c r="J9" s="139"/>
      <c r="K9" s="139"/>
      <c r="L9" s="193" t="str">
        <f>IFERROR((((COUNTIF('Elève (4ème4)'!H9:K9,"A"))*4)+((COUNTIF('Elève (4ème4)'!H9:K9,"B"))*3)+((COUNTIF('Elève (4ème4)'!H9:K9,"C"))*2)+((COUNTIF('Elève (4ème4)'!H9:K9,"D"))*1))/(COUNTA(H9:K9)),"")</f>
        <v/>
      </c>
      <c r="M9" s="194" t="str">
        <f t="shared" si="1"/>
        <v/>
      </c>
      <c r="N9" s="137"/>
      <c r="O9" s="138"/>
      <c r="P9" s="139"/>
      <c r="Q9" s="139"/>
      <c r="R9" s="193" t="str">
        <f>IFERROR((((COUNTIF('Elève (4ème4)'!N9:Q9,"A"))*4)+((COUNTIF('Elève (4ème4)'!N9:Q9,"B"))*3)+((COUNTIF('Elève (4ème4)'!N9:Q9,"C"))*2)+((COUNTIF('Elève (4ème4)'!N9:Q9,"D"))*1))/(COUNTA(N9:Q9)),"")</f>
        <v/>
      </c>
      <c r="S9" s="194" t="str">
        <f t="shared" si="2"/>
        <v/>
      </c>
      <c r="T9" s="193" t="str">
        <f>IF(COUNT(F9,L9,R9)=0,"",SUM(F9,L9,R9)/COUNT(F9,L9,R9))</f>
        <v/>
      </c>
      <c r="U9" s="216" t="str">
        <f t="shared" si="3"/>
        <v/>
      </c>
      <c r="V9" s="137"/>
      <c r="W9" s="138"/>
      <c r="X9" s="139"/>
      <c r="Y9" s="193" t="str">
        <f>IFERROR((((COUNTIF('Elève (4ème4)'!V9:X9,"A"))*4)+((COUNTIF('Elève (4ème4)'!V9:X9,"B"))*3)+((COUNTIF('Elève (4ème4)'!V9:X9,"C"))*2)+((COUNTIF('Elève (4ème4)'!V9:X9,"D"))*1))/(COUNTA(V9:X9)),"")</f>
        <v/>
      </c>
      <c r="Z9" s="194" t="str">
        <f t="shared" si="4"/>
        <v/>
      </c>
      <c r="AA9" s="137"/>
      <c r="AB9" s="138"/>
      <c r="AC9" s="139"/>
      <c r="AD9" s="139"/>
      <c r="AE9" s="193" t="str">
        <f>IFERROR((((COUNTIF('Elève (4ème4)'!AA9:AD9,"A"))*4)+((COUNTIF('Elève (4ème4)'!AA9:AD9,"B"))*3)+((COUNTIF('Elève (4ème4)'!AA9:AD9,"C"))*2)+((COUNTIF('Elève (4ème4)'!AA9:AD9,"D"))*1))/(COUNTA(AA9:AD9)),"")</f>
        <v/>
      </c>
      <c r="AF9" s="194" t="str">
        <f t="shared" si="5"/>
        <v/>
      </c>
      <c r="AG9" s="137"/>
      <c r="AH9" s="138"/>
      <c r="AI9" s="139"/>
      <c r="AJ9" s="143"/>
      <c r="AK9" s="193" t="str">
        <f>IFERROR((((COUNTIF('Elève (4ème4)'!AG9:AJ9,"A"))*4)+((COUNTIF('Elève (4ème4)'!AG9:AJ9,"B"))*3)+((COUNTIF('Elève (4ème4)'!AG9:AJ9,"C"))*2)+((COUNTIF('Elève (4ème4)'!AG9:AJ9,"D"))*1))/(COUNTA(AG9:AJ9)),"")</f>
        <v/>
      </c>
      <c r="AL9" s="194" t="str">
        <f t="shared" si="6"/>
        <v/>
      </c>
      <c r="AM9" s="193" t="str">
        <f>IF(COUNT(Y9,AE9,AK9)=0,"",SUM(Y9,AE9,AK9)/COUNT(Y9,AE9,AK9))</f>
        <v/>
      </c>
      <c r="AN9" s="216" t="str">
        <f t="shared" si="7"/>
        <v/>
      </c>
      <c r="AO9" s="137"/>
      <c r="AP9" s="138"/>
      <c r="AQ9" s="139"/>
      <c r="AR9" s="193" t="str">
        <f>IFERROR((((COUNTIF('Elève (4ème4)'!AO9:AQ9,"A"))*4)+((COUNTIF('Elève (4ème4)'!AO9:AQ9,"B"))*3)+((COUNTIF('Elève (4ème4)'!AO9:AQ9,"C"))*2)+((COUNTIF('Elève (4ème4)'!AO9:AQ9,"D"))*1))/(COUNTA(AO9:AQ9)),"")</f>
        <v/>
      </c>
      <c r="AS9" s="194" t="str">
        <f t="shared" si="8"/>
        <v/>
      </c>
      <c r="AT9" s="137"/>
      <c r="AU9" s="138"/>
      <c r="AV9" s="139"/>
      <c r="AW9" s="139"/>
      <c r="AX9" s="193" t="str">
        <f>IFERROR((((COUNTIF('Elève (4ème4)'!AT9:AW9,"A"))*4)+((COUNTIF('Elève (4ème4)'!AT9:AW9,"B"))*3)+((COUNTIF('Elève (4ème4)'!AT9:AW9,"C"))*2)+((COUNTIF('Elève (4ème4)'!AT9:AW9,"D"))*1))/(COUNTA(AT9:AW9)),"")</f>
        <v/>
      </c>
      <c r="AY9" s="194" t="str">
        <f t="shared" si="9"/>
        <v/>
      </c>
      <c r="AZ9" s="137"/>
      <c r="BA9" s="138"/>
      <c r="BB9" s="139"/>
      <c r="BC9" s="143"/>
      <c r="BD9" s="193" t="str">
        <f>IFERROR((((COUNTIF('Elève (4ème4)'!AZ9:BC9,"A"))*4)+((COUNTIF('Elève (4ème4)'!AZ9:BC9,"B"))*3)+((COUNTIF('Elève (4ème4)'!AZ9:BC9,"C"))*2)+((COUNTIF('Elève (4ème4)'!AZ9:BC9,"D"))*1))/(COUNTA(AZ9:BC9)),"")</f>
        <v/>
      </c>
      <c r="BE9" s="194" t="str">
        <f t="shared" si="10"/>
        <v/>
      </c>
      <c r="BF9" s="193" t="str">
        <f>IF(COUNT(AR9,AX9,BD9)=0,"",SUM(AR9,AX9,BD9)/COUNT(AR9,AX9,BD9))</f>
        <v/>
      </c>
      <c r="BG9" s="216" t="str">
        <f t="shared" si="11"/>
        <v/>
      </c>
      <c r="BH9" s="137"/>
      <c r="BI9" s="138"/>
      <c r="BJ9" s="139"/>
      <c r="BK9" s="193" t="str">
        <f>IFERROR((((COUNTIF('Elève (4ème4)'!BH9:BJ9,"A"))*4)+((COUNTIF('Elève (4ème4)'!BH9:BJ9,"B"))*3)+((COUNTIF('Elève (4ème4)'!BH9:BJ9,"C"))*2)+((COUNTIF('Elève (4ème4)'!BH9:BJ9,"D"))*1))/(COUNTA(BH9:BJ9)),"")</f>
        <v/>
      </c>
      <c r="BL9" s="194" t="str">
        <f t="shared" si="12"/>
        <v/>
      </c>
      <c r="BM9" s="137"/>
      <c r="BN9" s="138"/>
      <c r="BO9" s="139"/>
      <c r="BP9" s="139"/>
      <c r="BQ9" s="193" t="str">
        <f>IFERROR((((COUNTIF('Elève (4ème4)'!BM9:BP9,"A"))*4)+((COUNTIF('Elève (4ème4)'!BM9:BP9,"B"))*3)+((COUNTIF('Elève (4ème4)'!BM9:BP9,"C"))*2)+((COUNTIF('Elève (4ème4)'!BM9:BP9,"D"))*1))/(COUNTA(BM9:BP9)),"")</f>
        <v/>
      </c>
      <c r="BR9" s="194" t="str">
        <f t="shared" si="13"/>
        <v/>
      </c>
      <c r="BS9" s="137"/>
      <c r="BT9" s="138"/>
      <c r="BU9" s="139"/>
      <c r="BV9" s="143"/>
      <c r="BW9" s="193" t="str">
        <f>IFERROR((((COUNTIF('Elève (4ème4)'!BS9:BV9,"A"))*4)+((COUNTIF('Elève (4ème4)'!BS9:BV9,"B"))*3)+((COUNTIF('Elève (4ème4)'!BS9:BV9,"C"))*2)+((COUNTIF('Elève (4ème4)'!BS9:BV9,"D"))*1))/(COUNTA(BS9:BV9)),"")</f>
        <v/>
      </c>
      <c r="BX9" s="194" t="str">
        <f t="shared" si="14"/>
        <v/>
      </c>
      <c r="BY9" s="193" t="str">
        <f>IF(COUNT(BK9,BQ9,BW9)=0,"",SUM(BK9,BQ9,BW9)/COUNT(BK9,BQ9,BW9))</f>
        <v/>
      </c>
      <c r="BZ9" s="216" t="str">
        <f t="shared" si="15"/>
        <v/>
      </c>
      <c r="CA9" s="137"/>
      <c r="CB9" s="138"/>
      <c r="CC9" s="139"/>
      <c r="CD9" s="193" t="str">
        <f>IFERROR((((COUNTIF('Elève (4ème4)'!CA9:CC9,"A"))*4)+((COUNTIF('Elève (4ème4)'!CA9:CC9,"B"))*3)+((COUNTIF('Elève (4ème4)'!CA9:CC9,"C"))*2)+((COUNTIF('Elève (4ème4)'!CA9:CC9,"D"))*1))/(COUNTA(CA9:CC9)),"")</f>
        <v/>
      </c>
      <c r="CE9" s="194" t="str">
        <f t="shared" si="16"/>
        <v/>
      </c>
      <c r="CF9" s="137"/>
      <c r="CG9" s="138"/>
      <c r="CH9" s="139"/>
      <c r="CI9" s="139"/>
      <c r="CJ9" s="193" t="str">
        <f>IFERROR((((COUNTIF('Elève (4ème4)'!CF9:CI9,"A"))*4)+((COUNTIF('Elève (4ème4)'!CF9:CI9,"B"))*3)+((COUNTIF('Elève (4ème4)'!CF9:CI9,"C"))*2)+((COUNTIF('Elève (4ème4)'!CF9:CI9,"D"))*1))/(COUNTA(CF9:CI9)),"")</f>
        <v/>
      </c>
      <c r="CK9" s="194" t="str">
        <f t="shared" si="17"/>
        <v/>
      </c>
      <c r="CL9" s="137"/>
      <c r="CM9" s="138"/>
      <c r="CN9" s="139"/>
      <c r="CO9" s="143"/>
      <c r="CP9" s="193" t="str">
        <f>IFERROR((((COUNTIF('Elève (4ème4)'!CL9:CO9,"A"))*4)+((COUNTIF('Elève (4ème4)'!CL9:CO9,"B"))*3)+((COUNTIF('Elève (4ème4)'!CL9:CO9,"C"))*2)+((COUNTIF('Elève (4ème4)'!CL9:CO9,"D"))*1))/(COUNTA(CL9:CO9)),"")</f>
        <v/>
      </c>
      <c r="CQ9" s="194" t="str">
        <f t="shared" si="18"/>
        <v/>
      </c>
      <c r="CR9" s="193" t="str">
        <f>IF(COUNT(CD9,CJ9,CP9)=0,"",SUM(CD9,CJ9,CP9)/COUNT(CD9,CJ9,CP9))</f>
        <v/>
      </c>
      <c r="CS9" s="216" t="str">
        <f t="shared" si="19"/>
        <v/>
      </c>
      <c r="CT9" s="137"/>
      <c r="CU9" s="138"/>
      <c r="CV9" s="139"/>
      <c r="CW9" s="193" t="str">
        <f>IFERROR((((COUNTIF('Elève (4ème4)'!CT9:CV9,"A"))*4)+((COUNTIF('Elève (4ème4)'!CT9:CV9,"B"))*3)+((COUNTIF('Elève (4ème4)'!CT9:CV9,"C"))*2)+((COUNTIF('Elève (4ème4)'!CT9:CV9,"D"))*1))/(COUNTA(CT9:CV9)),"")</f>
        <v/>
      </c>
      <c r="CX9" s="194" t="str">
        <f t="shared" si="20"/>
        <v/>
      </c>
      <c r="CY9" s="137"/>
      <c r="CZ9" s="138"/>
      <c r="DA9" s="139"/>
      <c r="DB9" s="139"/>
      <c r="DC9" s="193" t="str">
        <f>IFERROR((((COUNTIF('Elève (4ème4)'!CY9:DB9,"A"))*4)+((COUNTIF('Elève (4ème4)'!CY9:DB9,"B"))*3)+((COUNTIF('Elève (4ème4)'!CY9:DB9,"C"))*2)+((COUNTIF('Elève (4ème4)'!CY9:DB9,"D"))*1))/(COUNTA(CY9:DB9)),"")</f>
        <v/>
      </c>
      <c r="DD9" s="194" t="str">
        <f t="shared" si="21"/>
        <v/>
      </c>
      <c r="DE9" s="137"/>
      <c r="DF9" s="138"/>
      <c r="DG9" s="139"/>
      <c r="DH9" s="143"/>
      <c r="DI9" s="193" t="str">
        <f>IFERROR((((COUNTIF('Elève (4ème4)'!DE9:DH9,"A"))*4)+((COUNTIF('Elève (4ème4)'!DE9:DH9,"B"))*3)+((COUNTIF('Elève (4ème4)'!DE9:DH9,"C"))*2)+((COUNTIF('Elève (4ème4)'!DE9:DH9,"D"))*1))/(COUNTA(DE9:DH9)),"")</f>
        <v/>
      </c>
      <c r="DJ9" s="194" t="str">
        <f t="shared" si="22"/>
        <v/>
      </c>
      <c r="DK9" s="193" t="str">
        <f>IF(COUNT(CW9,DC9,DI9)=0,"",SUM(CW9,DC9,DI9)/COUNT(CW9,DC9,DI9))</f>
        <v/>
      </c>
      <c r="DL9" s="216" t="str">
        <f t="shared" si="23"/>
        <v/>
      </c>
      <c r="DM9" s="137"/>
      <c r="DN9" s="138"/>
      <c r="DO9" s="139"/>
      <c r="DP9" s="193" t="str">
        <f>IFERROR((((COUNTIF('Elève (4ème4)'!DM9:DO9,"A"))*4)+((COUNTIF('Elève (4ème4)'!DM9:DO9,"B"))*3)+((COUNTIF('Elève (4ème4)'!DM9:DO9,"C"))*2)+((COUNTIF('Elève (4ème4)'!DM9:DO9,"D"))*1))/(COUNTA(DM9:DO9)),"")</f>
        <v/>
      </c>
      <c r="DQ9" s="194" t="str">
        <f t="shared" si="24"/>
        <v/>
      </c>
      <c r="DR9" s="137"/>
      <c r="DS9" s="138"/>
      <c r="DT9" s="139"/>
      <c r="DU9" s="139"/>
      <c r="DV9" s="193" t="str">
        <f>IFERROR((((COUNTIF('Elève (4ème4)'!DR9:DU9,"A"))*4)+((COUNTIF('Elève (4ème4)'!DR9:DU9,"B"))*3)+((COUNTIF('Elève (4ème4)'!DR9:DU9,"C"))*2)+((COUNTIF('Elève (4ème4)'!DR9:DU9,"D"))*1))/(COUNTA(DR9:DU9)),"")</f>
        <v/>
      </c>
      <c r="DW9" s="194" t="str">
        <f t="shared" si="25"/>
        <v/>
      </c>
      <c r="DX9" s="137"/>
      <c r="DY9" s="138"/>
      <c r="DZ9" s="139"/>
      <c r="EA9" s="143"/>
      <c r="EB9" s="193" t="str">
        <f>IFERROR((((COUNTIF('Elève (4ème4)'!DX9:EA9,"A"))*4)+((COUNTIF('Elève (4ème4)'!DX9:EA9,"B"))*3)+((COUNTIF('Elève (4ème4)'!DX9:EA9,"C"))*2)+((COUNTIF('Elève (4ème4)'!DX9:EA9,"D"))*1))/(COUNTA(DX9:EA9)),"")</f>
        <v/>
      </c>
      <c r="EC9" s="194" t="str">
        <f t="shared" si="26"/>
        <v/>
      </c>
      <c r="ED9" s="193" t="str">
        <f>IF(COUNT(DP9,DV9,EB9)=0,"",SUM(DP9,DV9,EB9)/COUNT(DP9,DV9,EB9))</f>
        <v/>
      </c>
      <c r="EE9" s="216" t="str">
        <f t="shared" si="27"/>
        <v/>
      </c>
      <c r="EF9" s="137"/>
      <c r="EG9" s="138"/>
      <c r="EH9" s="139"/>
      <c r="EI9" s="193" t="str">
        <f>IFERROR((((COUNTIF('Elève (4ème4)'!EF9:EH9,"A"))*4)+((COUNTIF('Elève (4ème4)'!EF9:EH9,"B"))*3)+((COUNTIF('Elève (4ème4)'!EF9:EH9,"C"))*2)+((COUNTIF('Elève (4ème4)'!EF9:EH9,"D"))*1))/(COUNTA(EF9:EH9)),"")</f>
        <v/>
      </c>
      <c r="EJ9" s="194" t="str">
        <f t="shared" si="28"/>
        <v/>
      </c>
      <c r="EK9" s="137"/>
      <c r="EL9" s="138"/>
      <c r="EM9" s="139"/>
      <c r="EN9" s="139"/>
      <c r="EO9" s="193" t="str">
        <f>IFERROR((((COUNTIF('Elève (4ème4)'!EK9:EN9,"A"))*4)+((COUNTIF('Elève (4ème4)'!EK9:EN9,"B"))*3)+((COUNTIF('Elève (4ème4)'!EK9:EN9,"C"))*2)+((COUNTIF('Elève (4ème4)'!EK9:EN9,"D"))*1))/(COUNTA(EK9:EN9)),"")</f>
        <v/>
      </c>
      <c r="EP9" s="194" t="str">
        <f t="shared" si="29"/>
        <v/>
      </c>
      <c r="EQ9" s="137"/>
      <c r="ER9" s="138"/>
      <c r="ES9" s="139"/>
      <c r="ET9" s="143"/>
      <c r="EU9" s="193" t="str">
        <f>IFERROR((((COUNTIF('Elève (4ème4)'!EQ9:ET9,"A"))*4)+((COUNTIF('Elève (4ème4)'!EQ9:ET9,"B"))*3)+((COUNTIF('Elève (4ème4)'!EQ9:ET9,"C"))*2)+((COUNTIF('Elève (4ème4)'!EQ9:ET9,"D"))*1))/(COUNTA(EQ9:ET9)),"")</f>
        <v/>
      </c>
      <c r="EV9" s="194" t="str">
        <f t="shared" si="30"/>
        <v/>
      </c>
      <c r="EW9" s="193" t="str">
        <f>IF(COUNT(EI9,EO9,EU9)=0,"",SUM(EI9,EO9,EU9)/COUNT(EI9,EO9,EU9))</f>
        <v/>
      </c>
      <c r="EX9" s="216" t="str">
        <f t="shared" si="31"/>
        <v/>
      </c>
      <c r="EY9" s="137"/>
      <c r="EZ9" s="138"/>
      <c r="FA9" s="139"/>
      <c r="FB9" s="193" t="str">
        <f>IFERROR((((COUNTIF('Elève (4ème4)'!EY9:FA9,"A"))*4)+((COUNTIF('Elève (4ème4)'!EY9:FA9,"B"))*3)+((COUNTIF('Elève (4ème4)'!EY9:FA9,"C"))*2)+((COUNTIF('Elève (4ème4)'!EY9:FA9,"D"))*1))/(COUNTA(EY9:FA9)),"")</f>
        <v/>
      </c>
      <c r="FC9" s="194" t="str">
        <f t="shared" si="32"/>
        <v/>
      </c>
      <c r="FD9" s="137"/>
      <c r="FE9" s="138"/>
      <c r="FF9" s="139"/>
      <c r="FG9" s="139"/>
      <c r="FH9" s="193" t="str">
        <f>IFERROR((((COUNTIF('Elève (4ème4)'!FD9:FG9,"A"))*4)+((COUNTIF('Elève (4ème4)'!FD9:FG9,"B"))*3)+((COUNTIF('Elève (4ème4)'!FD9:FG9,"C"))*2)+((COUNTIF('Elève (4ème4)'!FD9:FG9,"D"))*1))/(COUNTA(FD9:FG9)),"")</f>
        <v/>
      </c>
      <c r="FI9" s="194" t="str">
        <f t="shared" si="33"/>
        <v/>
      </c>
      <c r="FJ9" s="137"/>
      <c r="FK9" s="138"/>
      <c r="FL9" s="139"/>
      <c r="FM9" s="143"/>
      <c r="FN9" s="193" t="str">
        <f>IFERROR((((COUNTIF('Elève (4ème4)'!FJ9:FM9,"A"))*4)+((COUNTIF('Elève (4ème4)'!FJ9:FM9,"B"))*3)+((COUNTIF('Elève (4ème4)'!FJ9:FM9,"C"))*2)+((COUNTIF('Elève (4ème4)'!FJ9:FM9,"D"))*1))/(COUNTA(FJ9:FM9)),"")</f>
        <v/>
      </c>
      <c r="FO9" s="194" t="str">
        <f t="shared" si="34"/>
        <v/>
      </c>
      <c r="FP9" s="193" t="str">
        <f>IF(COUNT(FB9,FH9,FN9)=0,"",SUM(FB9,FH9,FN9)/COUNT(FB9,FH9,FN9))</f>
        <v/>
      </c>
      <c r="FQ9" s="216" t="str">
        <f t="shared" si="35"/>
        <v/>
      </c>
      <c r="FR9" s="137"/>
      <c r="FS9" s="138"/>
      <c r="FT9" s="139"/>
      <c r="FU9" s="193" t="str">
        <f>IFERROR((((COUNTIF('Elève (4ème4)'!FR9:FT9,"A"))*4)+((COUNTIF('Elève (4ème4)'!FR9:FT9,"B"))*3)+((COUNTIF('Elève (4ème4)'!FR9:FT9,"C"))*2)+((COUNTIF('Elève (4ème4)'!FR9:FT9,"D"))*1))/(COUNTA(FR9:FT9)),"")</f>
        <v/>
      </c>
      <c r="FV9" s="194" t="str">
        <f t="shared" si="36"/>
        <v/>
      </c>
      <c r="FW9" s="137"/>
      <c r="FX9" s="138"/>
      <c r="FY9" s="139"/>
      <c r="FZ9" s="139"/>
      <c r="GA9" s="193" t="str">
        <f>IFERROR((((COUNTIF('Elève (4ème4)'!FW9:FZ9,"A"))*4)+((COUNTIF('Elève (4ème4)'!FW9:FZ9,"B"))*3)+((COUNTIF('Elève (4ème4)'!FW9:FZ9,"C"))*2)+((COUNTIF('Elève (4ème4)'!FW9:FZ9,"D"))*1))/(COUNTA(FW9:FZ9)),"")</f>
        <v/>
      </c>
      <c r="GB9" s="194" t="str">
        <f t="shared" si="37"/>
        <v/>
      </c>
      <c r="GC9" s="137"/>
      <c r="GD9" s="138"/>
      <c r="GE9" s="139"/>
      <c r="GF9" s="143"/>
      <c r="GG9" s="193" t="str">
        <f>IFERROR((((COUNTIF('Elève (4ème4)'!GC9:GF9,"A"))*4)+((COUNTIF('Elève (4ème4)'!GC9:GF9,"B"))*3)+((COUNTIF('Elève (4ème4)'!GC9:GF9,"C"))*2)+((COUNTIF('Elève (4ème4)'!GC9:GF9,"D"))*1))/(COUNTA(GC9:GF9)),"")</f>
        <v/>
      </c>
      <c r="GH9" s="194" t="str">
        <f t="shared" si="38"/>
        <v/>
      </c>
      <c r="GI9" s="193" t="str">
        <f>IF(COUNT(FU9,GA9,GG9)=0,"",SUM(FU9,GA9,GG9)/COUNT(FU9,GA9,GG9))</f>
        <v/>
      </c>
      <c r="GJ9" s="216" t="str">
        <f t="shared" si="39"/>
        <v/>
      </c>
      <c r="GK9" s="137"/>
      <c r="GL9" s="138"/>
      <c r="GM9" s="139"/>
      <c r="GN9" s="193" t="str">
        <f>IFERROR((((COUNTIF('Elève (4ème4)'!GK9:GM9,"A"))*4)+((COUNTIF('Elève (4ème4)'!GK9:GM9,"B"))*3)+((COUNTIF('Elève (4ème4)'!GK9:GM9,"C"))*2)+((COUNTIF('Elève (4ème4)'!GK9:GM9,"D"))*1))/(COUNTA(GK9:GM9)),"")</f>
        <v/>
      </c>
      <c r="GO9" s="194" t="str">
        <f t="shared" si="40"/>
        <v/>
      </c>
      <c r="GP9" s="137"/>
      <c r="GQ9" s="138"/>
      <c r="GR9" s="139"/>
      <c r="GS9" s="139"/>
      <c r="GT9" s="193" t="str">
        <f>IFERROR((((COUNTIF('Elève (4ème4)'!GP9:GS9,"A"))*4)+((COUNTIF('Elève (4ème4)'!GP9:GS9,"B"))*3)+((COUNTIF('Elève (4ème4)'!GP9:GS9,"C"))*2)+((COUNTIF('Elève (4ème4)'!GP9:GS9,"D"))*1))/(COUNTA(GP9:GS9)),"")</f>
        <v/>
      </c>
      <c r="GU9" s="194" t="str">
        <f t="shared" si="41"/>
        <v/>
      </c>
      <c r="GV9" s="137"/>
      <c r="GW9" s="138"/>
      <c r="GX9" s="139"/>
      <c r="GY9" s="143"/>
      <c r="GZ9" s="193" t="str">
        <f>IFERROR((((COUNTIF('Elève (4ème4)'!GV9:GY9,"A"))*4)+((COUNTIF('Elève (4ème4)'!GV9:GY9,"B"))*3)+((COUNTIF('Elève (4ème4)'!GV9:GY9,"C"))*2)+((COUNTIF('Elève (4ème4)'!GV9:GY9,"D"))*1))/(COUNTA(GV9:GY9)),"")</f>
        <v/>
      </c>
      <c r="HA9" s="194" t="str">
        <f t="shared" si="42"/>
        <v/>
      </c>
      <c r="HB9" s="193" t="str">
        <f>IF(COUNT(GN9,GT9,GZ9)=0,"",SUM(GN9,GT9,GZ9)/COUNT(GN9,GT9,GZ9))</f>
        <v/>
      </c>
      <c r="HC9" s="216" t="str">
        <f t="shared" si="43"/>
        <v/>
      </c>
      <c r="HD9" s="137"/>
      <c r="HE9" s="138"/>
      <c r="HF9" s="139"/>
      <c r="HG9" s="193" t="str">
        <f>IFERROR((((COUNTIF('Elève (4ème4)'!HD9:HF9,"A"))*4)+((COUNTIF('Elève (4ème4)'!HD9:HF9,"B"))*3)+((COUNTIF('Elève (4ème4)'!HD9:HF9,"C"))*2)+((COUNTIF('Elève (4ème4)'!HD9:HF9,"D"))*1))/(COUNTA(HD9:HF9)),"")</f>
        <v/>
      </c>
      <c r="HH9" s="194" t="str">
        <f t="shared" si="44"/>
        <v/>
      </c>
      <c r="HI9" s="137"/>
      <c r="HJ9" s="138"/>
      <c r="HK9" s="139"/>
      <c r="HL9" s="139"/>
      <c r="HM9" s="193" t="str">
        <f>IFERROR((((COUNTIF('Elève (4ème4)'!HI9:HL9,"A"))*4)+((COUNTIF('Elève (4ème4)'!HI9:HL9,"B"))*3)+((COUNTIF('Elève (4ème4)'!HI9:HL9,"C"))*2)+((COUNTIF('Elève (4ème4)'!HI9:HL9,"D"))*1))/(COUNTA(HI9:HL9)),"")</f>
        <v/>
      </c>
      <c r="HN9" s="194" t="str">
        <f t="shared" si="45"/>
        <v/>
      </c>
      <c r="HO9" s="137"/>
      <c r="HP9" s="138"/>
      <c r="HQ9" s="139"/>
      <c r="HR9" s="143"/>
      <c r="HS9" s="193" t="str">
        <f>IFERROR((((COUNTIF('Elève (4ème4)'!HO9:HR9,"A"))*4)+((COUNTIF('Elève (4ème4)'!HO9:HR9,"B"))*3)+((COUNTIF('Elève (4ème4)'!HO9:HR9,"C"))*2)+((COUNTIF('Elève (4ème4)'!HO9:HR9,"D"))*1))/(COUNTA(HO9:HR9)),"")</f>
        <v/>
      </c>
      <c r="HT9" s="194" t="str">
        <f t="shared" si="46"/>
        <v/>
      </c>
      <c r="HU9" s="193" t="str">
        <f>IF(COUNT(HG9,HM9,HS9)=0,"",SUM(HG9,HM9,HS9)/COUNT(HG9,HM9,HS9))</f>
        <v/>
      </c>
      <c r="HV9" s="216" t="str">
        <f t="shared" si="47"/>
        <v/>
      </c>
      <c r="HW9" s="137"/>
      <c r="HX9" s="138"/>
      <c r="HY9" s="139"/>
      <c r="HZ9" s="193" t="str">
        <f>IFERROR((((COUNTIF('Elève (4ème4)'!HW9:HY9,"A"))*4)+((COUNTIF('Elève (4ème4)'!HW9:HY9,"B"))*3)+((COUNTIF('Elève (4ème4)'!HW9:HY9,"C"))*2)+((COUNTIF('Elève (4ème4)'!HW9:HY9,"D"))*1))/(COUNTA(HW9:HY9)),"")</f>
        <v/>
      </c>
      <c r="IA9" s="194" t="str">
        <f t="shared" si="48"/>
        <v/>
      </c>
      <c r="IB9" s="137"/>
      <c r="IC9" s="138"/>
      <c r="ID9" s="139"/>
      <c r="IE9" s="139"/>
      <c r="IF9" s="193" t="str">
        <f>IFERROR((((COUNTIF('Elève (4ème4)'!IB9:IE9,"A"))*4)+((COUNTIF('Elève (4ème4)'!IB9:IE9,"B"))*3)+((COUNTIF('Elève (4ème4)'!IB9:IE9,"C"))*2)+((COUNTIF('Elève (4ème4)'!IB9:IE9,"D"))*1))/(COUNTA(IB9:IE9)),"")</f>
        <v/>
      </c>
      <c r="IG9" s="194" t="str">
        <f t="shared" si="49"/>
        <v/>
      </c>
      <c r="IH9" s="137"/>
      <c r="II9" s="138"/>
      <c r="IJ9" s="139"/>
      <c r="IK9" s="143"/>
      <c r="IL9" s="193" t="str">
        <f>IFERROR((((COUNTIF('Elève (4ème4)'!IH9:IK9,"A"))*4)+((COUNTIF('Elève (4ème4)'!IH9:IK9,"B"))*3)+((COUNTIF('Elève (4ème4)'!IH9:IK9,"C"))*2)+((COUNTIF('Elève (4ème4)'!IH9:IK9,"D"))*1))/(COUNTA(IH9:IK9)),"")</f>
        <v/>
      </c>
      <c r="IM9" s="194" t="str">
        <f t="shared" si="50"/>
        <v/>
      </c>
      <c r="IN9" s="193" t="str">
        <f>IF(COUNT(HZ9,IF9,IL9)=0,"",SUM(HZ9,IF9,IL9)/COUNT(HZ9,IF9,IL9))</f>
        <v/>
      </c>
      <c r="IO9" s="216" t="str">
        <f t="shared" si="51"/>
        <v/>
      </c>
      <c r="IP9" s="137"/>
      <c r="IQ9" s="138"/>
      <c r="IR9" s="139"/>
      <c r="IS9" s="193" t="str">
        <f>IFERROR((((COUNTIF('Elève (4ème4)'!IP9:IR9,"A"))*4)+((COUNTIF('Elève (4ème4)'!IP9:IR9,"B"))*3)+((COUNTIF('Elève (4ème4)'!IP9:IR9,"C"))*2)+((COUNTIF('Elève (4ème4)'!IP9:IR9,"D"))*1))/(COUNTA(IP9:IR9)),"")</f>
        <v/>
      </c>
      <c r="IT9" s="194" t="str">
        <f t="shared" si="52"/>
        <v/>
      </c>
      <c r="IU9" s="137"/>
      <c r="IV9" s="138"/>
      <c r="IW9" s="139"/>
      <c r="IX9" s="139"/>
      <c r="IY9" s="193" t="str">
        <f>IFERROR((((COUNTIF('Elève (4ème4)'!IU9:IX9,"A"))*4)+((COUNTIF('Elève (4ème4)'!IU9:IX9,"B"))*3)+((COUNTIF('Elève (4ème4)'!IU9:IX9,"C"))*2)+((COUNTIF('Elève (4ème4)'!IU9:IX9,"D"))*1))/(COUNTA(IU9:IX9)),"")</f>
        <v/>
      </c>
      <c r="IZ9" s="194" t="str">
        <f t="shared" si="53"/>
        <v/>
      </c>
      <c r="JA9" s="137"/>
      <c r="JB9" s="138"/>
      <c r="JC9" s="139"/>
      <c r="JD9" s="143"/>
      <c r="JE9" s="193" t="str">
        <f>IFERROR((((COUNTIF('Elève (4ème4)'!JA9:JD9,"A"))*4)+((COUNTIF('Elève (4ème4)'!JA9:JD9,"B"))*3)+((COUNTIF('Elève (4ème4)'!JA9:JD9,"C"))*2)+((COUNTIF('Elève (4ème4)'!JA9:JD9,"D"))*1))/(COUNTA(JA9:JD9)),"")</f>
        <v/>
      </c>
      <c r="JF9" s="194" t="str">
        <f t="shared" si="54"/>
        <v/>
      </c>
      <c r="JG9" s="193" t="str">
        <f>IF(COUNT(IS9,IY9,JE9)=0,"",SUM(IS9,IY9,JE9)/COUNT(IS9,IY9,JE9))</f>
        <v/>
      </c>
      <c r="JH9" s="216" t="str">
        <f t="shared" si="55"/>
        <v/>
      </c>
      <c r="JI9" s="137"/>
      <c r="JJ9" s="138"/>
      <c r="JK9" s="139"/>
      <c r="JL9" s="193" t="str">
        <f>IFERROR((((COUNTIF('Elève (4ème4)'!JI9:JK9,"A"))*4)+((COUNTIF('Elève (4ème4)'!JI9:JK9,"B"))*3)+((COUNTIF('Elève (4ème4)'!JI9:JK9,"C"))*2)+((COUNTIF('Elève (4ème4)'!JI9:JK9,"D"))*1))/(COUNTA(JI9:JK9)),"")</f>
        <v/>
      </c>
      <c r="JM9" s="194" t="str">
        <f t="shared" si="56"/>
        <v/>
      </c>
      <c r="JN9" s="137"/>
      <c r="JO9" s="138"/>
      <c r="JP9" s="139"/>
      <c r="JQ9" s="139"/>
      <c r="JR9" s="193" t="str">
        <f>IFERROR((((COUNTIF('Elève (4ème4)'!JN9:JQ9,"A"))*4)+((COUNTIF('Elève (4ème4)'!JN9:JQ9,"B"))*3)+((COUNTIF('Elève (4ème4)'!JN9:JQ9,"C"))*2)+((COUNTIF('Elève (4ème4)'!JN9:JQ9,"D"))*1))/(COUNTA(JN9:JQ9)),"")</f>
        <v/>
      </c>
      <c r="JS9" s="194" t="str">
        <f t="shared" si="57"/>
        <v/>
      </c>
      <c r="JT9" s="137"/>
      <c r="JU9" s="138"/>
      <c r="JV9" s="139"/>
      <c r="JW9" s="143"/>
      <c r="JX9" s="193" t="str">
        <f>IFERROR((((COUNTIF('Elève (4ème4)'!JT9:JW9,"A"))*4)+((COUNTIF('Elève (4ème4)'!JT9:JW9,"B"))*3)+((COUNTIF('Elève (4ème4)'!JT9:JW9,"C"))*2)+((COUNTIF('Elève (4ème4)'!JT9:JW9,"D"))*1))/(COUNTA(JT9:JW9)),"")</f>
        <v/>
      </c>
      <c r="JY9" s="194" t="str">
        <f t="shared" si="58"/>
        <v/>
      </c>
      <c r="JZ9" s="193" t="str">
        <f>IF(COUNT(JL9,JR9,JX9)=0,"",SUM(JL9,JR9,JX9)/COUNT(JL9,JR9,JX9))</f>
        <v/>
      </c>
      <c r="KA9" s="216" t="str">
        <f t="shared" si="59"/>
        <v/>
      </c>
      <c r="KB9" s="137"/>
      <c r="KC9" s="138"/>
      <c r="KD9" s="139"/>
      <c r="KE9" s="193" t="str">
        <f>IFERROR((((COUNTIF('Elève (4ème4)'!KB9:KD9,"A"))*4)+((COUNTIF('Elève (4ème4)'!KB9:KD9,"B"))*3)+((COUNTIF('Elève (4ème4)'!KB9:KD9,"C"))*2)+((COUNTIF('Elève (4ème4)'!KB9:KD9,"D"))*1))/(COUNTA(KB9:KD9)),"")</f>
        <v/>
      </c>
      <c r="KF9" s="194" t="str">
        <f t="shared" si="60"/>
        <v/>
      </c>
      <c r="KG9" s="137"/>
      <c r="KH9" s="138"/>
      <c r="KI9" s="139"/>
      <c r="KJ9" s="139"/>
      <c r="KK9" s="193" t="str">
        <f>IFERROR((((COUNTIF('Elève (4ème4)'!KG9:KJ9,"A"))*4)+((COUNTIF('Elève (4ème4)'!KG9:KJ9,"B"))*3)+((COUNTIF('Elève (4ème4)'!KG9:KJ9,"C"))*2)+((COUNTIF('Elève (4ème4)'!KG9:KJ9,"D"))*1))/(COUNTA(KG9:KJ9)),"")</f>
        <v/>
      </c>
      <c r="KL9" s="194" t="str">
        <f t="shared" si="61"/>
        <v/>
      </c>
      <c r="KM9" s="137"/>
      <c r="KN9" s="138"/>
      <c r="KO9" s="139"/>
      <c r="KP9" s="143"/>
      <c r="KQ9" s="193" t="str">
        <f>IFERROR((((COUNTIF('Elève (4ème4)'!KM9:KP9,"A"))*4)+((COUNTIF('Elève (4ème4)'!KM9:KP9,"B"))*3)+((COUNTIF('Elève (4ème4)'!KM9:KP9,"C"))*2)+((COUNTIF('Elève (4ème4)'!KM9:KP9,"D"))*1))/(COUNTA(KM9:KP9)),"")</f>
        <v/>
      </c>
      <c r="KR9" s="194" t="str">
        <f t="shared" si="62"/>
        <v/>
      </c>
      <c r="KS9" s="193" t="str">
        <f>IF(COUNT(KE9,KK9,KQ9)=0,"",SUM(KE9,KK9,KQ9)/COUNT(KE9,KK9,KQ9))</f>
        <v/>
      </c>
      <c r="KT9" s="216" t="str">
        <f t="shared" si="63"/>
        <v/>
      </c>
      <c r="KU9" s="137"/>
      <c r="KV9" s="138"/>
      <c r="KW9" s="139"/>
      <c r="KX9" s="193" t="str">
        <f>IFERROR((((COUNTIF('Elève (4ème4)'!KU9:KW9,"A"))*4)+((COUNTIF('Elève (4ème4)'!KU9:KW9,"B"))*3)+((COUNTIF('Elève (4ème4)'!KU9:KW9,"C"))*2)+((COUNTIF('Elève (4ème4)'!KU9:KW9,"D"))*1))/(COUNTA(KU9:KW9)),"")</f>
        <v/>
      </c>
      <c r="KY9" s="194" t="str">
        <f t="shared" si="64"/>
        <v/>
      </c>
      <c r="KZ9" s="137"/>
      <c r="LA9" s="138"/>
      <c r="LB9" s="139"/>
      <c r="LC9" s="139"/>
      <c r="LD9" s="193" t="str">
        <f>IFERROR((((COUNTIF('Elève (4ème4)'!KZ9:LC9,"A"))*4)+((COUNTIF('Elève (4ème4)'!KZ9:LC9,"B"))*3)+((COUNTIF('Elève (4ème4)'!KZ9:LC9,"C"))*2)+((COUNTIF('Elève (4ème4)'!KZ9:LC9,"D"))*1))/(COUNTA(KZ9:LC9)),"")</f>
        <v/>
      </c>
      <c r="LE9" s="194" t="str">
        <f t="shared" si="65"/>
        <v/>
      </c>
      <c r="LF9" s="137"/>
      <c r="LG9" s="138"/>
      <c r="LH9" s="139"/>
      <c r="LI9" s="143"/>
      <c r="LJ9" s="193" t="str">
        <f>IFERROR((((COUNTIF('Elève (4ème4)'!LF9:LI9,"A"))*4)+((COUNTIF('Elève (4ème4)'!LF9:LI9,"B"))*3)+((COUNTIF('Elève (4ème4)'!LF9:LI9,"C"))*2)+((COUNTIF('Elève (4ème4)'!LF9:LI9,"D"))*1))/(COUNTA(LF9:LI9)),"")</f>
        <v/>
      </c>
      <c r="LK9" s="194" t="str">
        <f t="shared" si="66"/>
        <v/>
      </c>
      <c r="LL9" s="193" t="str">
        <f>IF(COUNT(KX9,LD9,LJ9)=0,"",SUM(KX9,LD9,LJ9)/COUNT(KX9,LD9,LJ9))</f>
        <v/>
      </c>
      <c r="LM9" s="216" t="str">
        <f t="shared" si="67"/>
        <v/>
      </c>
      <c r="LN9" s="137"/>
      <c r="LO9" s="138"/>
      <c r="LP9" s="139"/>
      <c r="LQ9" s="193" t="str">
        <f>IFERROR((((COUNTIF('Elève (4ème4)'!LN9:LP9,"A"))*4)+((COUNTIF('Elève (4ème4)'!LN9:LP9,"B"))*3)+((COUNTIF('Elève (4ème4)'!LN9:LP9,"C"))*2)+((COUNTIF('Elève (4ème4)'!LN9:LP9,"D"))*1))/(COUNTA(LN9:LP9)),"")</f>
        <v/>
      </c>
      <c r="LR9" s="194" t="str">
        <f t="shared" si="68"/>
        <v/>
      </c>
      <c r="LS9" s="137"/>
      <c r="LT9" s="138"/>
      <c r="LU9" s="139"/>
      <c r="LV9" s="139"/>
      <c r="LW9" s="193" t="str">
        <f>IFERROR((((COUNTIF('Elève (4ème4)'!LS9:LV9,"A"))*4)+((COUNTIF('Elève (4ème4)'!LS9:LV9,"B"))*3)+((COUNTIF('Elève (4ème4)'!LS9:LV9,"C"))*2)+((COUNTIF('Elève (4ème4)'!LS9:LV9,"D"))*1))/(COUNTA(LS9:LV9)),"")</f>
        <v/>
      </c>
      <c r="LX9" s="194" t="str">
        <f t="shared" si="69"/>
        <v/>
      </c>
      <c r="LY9" s="137"/>
      <c r="LZ9" s="138"/>
      <c r="MA9" s="139"/>
      <c r="MB9" s="143"/>
      <c r="MC9" s="193" t="str">
        <f>IFERROR((((COUNTIF('Elève (4ème4)'!LY9:MB9,"A"))*4)+((COUNTIF('Elève (4ème4)'!LY9:MB9,"B"))*3)+((COUNTIF('Elève (4ème4)'!LY9:MB9,"C"))*2)+((COUNTIF('Elève (4ème4)'!LY9:MB9,"D"))*1))/(COUNTA(LY9:MB9)),"")</f>
        <v/>
      </c>
      <c r="MD9" s="194" t="str">
        <f t="shared" si="70"/>
        <v/>
      </c>
      <c r="ME9" s="193" t="str">
        <f>IF(COUNT(LQ9,LW9,MC9)=0,"",SUM(LQ9,LW9,MC9)/COUNT(LQ9,LW9,MC9))</f>
        <v/>
      </c>
      <c r="MF9" s="216" t="str">
        <f t="shared" si="71"/>
        <v/>
      </c>
      <c r="MG9" s="137"/>
      <c r="MH9" s="138"/>
      <c r="MI9" s="139"/>
      <c r="MJ9" s="193" t="str">
        <f>IFERROR((((COUNTIF('Elève (4ème4)'!MG9:MI9,"A"))*4)+((COUNTIF('Elève (4ème4)'!MG9:MI9,"B"))*3)+((COUNTIF('Elève (4ème4)'!MG9:MI9,"C"))*2)+((COUNTIF('Elève (4ème4)'!MG9:MI9,"D"))*1))/(COUNTA(MG9:MI9)),"")</f>
        <v/>
      </c>
      <c r="MK9" s="194" t="str">
        <f t="shared" si="72"/>
        <v/>
      </c>
      <c r="ML9" s="137"/>
      <c r="MM9" s="138"/>
      <c r="MN9" s="139"/>
      <c r="MO9" s="139"/>
      <c r="MP9" s="193" t="str">
        <f>IFERROR((((COUNTIF('Elève (4ème4)'!ML9:MO9,"A"))*4)+((COUNTIF('Elève (4ème4)'!ML9:MO9,"B"))*3)+((COUNTIF('Elève (4ème4)'!ML9:MO9,"C"))*2)+((COUNTIF('Elève (4ème4)'!ML9:MO9,"D"))*1))/(COUNTA(ML9:MO9)),"")</f>
        <v/>
      </c>
      <c r="MQ9" s="194" t="str">
        <f t="shared" si="73"/>
        <v/>
      </c>
      <c r="MR9" s="137"/>
      <c r="MS9" s="138"/>
      <c r="MT9" s="139"/>
      <c r="MU9" s="143"/>
      <c r="MV9" s="193" t="str">
        <f>IFERROR((((COUNTIF('Elève (4ème4)'!MR9:MU9,"A"))*4)+((COUNTIF('Elève (4ème4)'!MR9:MU9,"B"))*3)+((COUNTIF('Elève (4ème4)'!MR9:MU9,"C"))*2)+((COUNTIF('Elève (4ème4)'!MR9:MU9,"D"))*1))/(COUNTA(MR9:MU9)),"")</f>
        <v/>
      </c>
      <c r="MW9" s="194" t="str">
        <f t="shared" si="74"/>
        <v/>
      </c>
      <c r="MX9" s="193" t="str">
        <f>IF(COUNT(MJ9,MP9,MV9)=0,"",SUM(MJ9,MP9,MV9)/COUNT(MJ9,MP9,MV9))</f>
        <v/>
      </c>
      <c r="MY9" s="216" t="str">
        <f t="shared" si="75"/>
        <v/>
      </c>
      <c r="MZ9" s="137"/>
      <c r="NA9" s="138"/>
      <c r="NB9" s="139"/>
      <c r="NC9" s="193" t="str">
        <f>IFERROR((((COUNTIF('Elève (4ème4)'!MZ9:NB9,"A"))*4)+((COUNTIF('Elève (4ème4)'!MZ9:NB9,"B"))*3)+((COUNTIF('Elève (4ème4)'!MZ9:NB9,"C"))*2)+((COUNTIF('Elève (4ème4)'!MZ9:NB9,"D"))*1))/(COUNTA(MZ9:NB9)),"")</f>
        <v/>
      </c>
      <c r="ND9" s="194" t="str">
        <f t="shared" si="76"/>
        <v/>
      </c>
      <c r="NE9" s="137"/>
      <c r="NF9" s="138"/>
      <c r="NG9" s="139"/>
      <c r="NH9" s="139"/>
      <c r="NI9" s="193" t="str">
        <f>IFERROR((((COUNTIF('Elève (4ème4)'!NE9:NH9,"A"))*4)+((COUNTIF('Elève (4ème4)'!NE9:NH9,"B"))*3)+((COUNTIF('Elève (4ème4)'!NE9:NH9,"C"))*2)+((COUNTIF('Elève (4ème4)'!NE9:NH9,"D"))*1))/(COUNTA(NE9:NH9)),"")</f>
        <v/>
      </c>
      <c r="NJ9" s="194" t="str">
        <f t="shared" si="77"/>
        <v/>
      </c>
      <c r="NK9" s="137"/>
      <c r="NL9" s="138"/>
      <c r="NM9" s="139"/>
      <c r="NN9" s="143"/>
      <c r="NO9" s="193" t="str">
        <f>IFERROR((((COUNTIF('Elève (4ème4)'!NK9:NN9,"A"))*4)+((COUNTIF('Elève (4ème4)'!NK9:NN9,"B"))*3)+((COUNTIF('Elève (4ème4)'!NK9:NN9,"C"))*2)+((COUNTIF('Elève (4ème4)'!NK9:NN9,"D"))*1))/(COUNTA(NK9:NN9)),"")</f>
        <v/>
      </c>
      <c r="NP9" s="194" t="str">
        <f t="shared" si="78"/>
        <v/>
      </c>
      <c r="NQ9" s="193" t="str">
        <f>IF(COUNT(NC9,NI9,NO9)=0,"",SUM(NC9,NI9,NO9)/COUNT(NC9,NI9,NO9))</f>
        <v/>
      </c>
      <c r="NR9" s="216" t="str">
        <f t="shared" si="79"/>
        <v/>
      </c>
      <c r="NS9" s="137"/>
      <c r="NT9" s="138"/>
      <c r="NU9" s="139"/>
      <c r="NV9" s="193" t="str">
        <f>IFERROR((((COUNTIF('Elève (4ème4)'!NS9:NU9,"A"))*4)+((COUNTIF('Elève (4ème4)'!NS9:NU9,"B"))*3)+((COUNTIF('Elève (4ème4)'!NS9:NU9,"C"))*2)+((COUNTIF('Elève (4ème4)'!NS9:NU9,"D"))*1))/(COUNTA(NS9:NU9)),"")</f>
        <v/>
      </c>
      <c r="NW9" s="194" t="str">
        <f t="shared" si="80"/>
        <v/>
      </c>
      <c r="NX9" s="137"/>
      <c r="NY9" s="138"/>
      <c r="NZ9" s="139"/>
      <c r="OA9" s="139"/>
      <c r="OB9" s="193" t="str">
        <f>IFERROR((((COUNTIF('Elève (4ème4)'!NX9:OA9,"A"))*4)+((COUNTIF('Elève (4ème4)'!NX9:OA9,"B"))*3)+((COUNTIF('Elève (4ème4)'!NX9:OA9,"C"))*2)+((COUNTIF('Elève (4ème4)'!NX9:OA9,"D"))*1))/(COUNTA(NX9:OA9)),"")</f>
        <v/>
      </c>
      <c r="OC9" s="194" t="str">
        <f t="shared" si="81"/>
        <v/>
      </c>
      <c r="OD9" s="137"/>
      <c r="OE9" s="138"/>
      <c r="OF9" s="139"/>
      <c r="OG9" s="143"/>
      <c r="OH9" s="193" t="str">
        <f>IFERROR((((COUNTIF('Elève (4ème4)'!OD9:OG9,"A"))*4)+((COUNTIF('Elève (4ème4)'!OD9:OG9,"B"))*3)+((COUNTIF('Elève (4ème4)'!OD9:OG9,"C"))*2)+((COUNTIF('Elève (4ème4)'!OD9:OG9,"D"))*1))/(COUNTA(OD9:OG9)),"")</f>
        <v/>
      </c>
      <c r="OI9" s="194" t="str">
        <f t="shared" si="82"/>
        <v/>
      </c>
      <c r="OJ9" s="193" t="str">
        <f>IF(COUNT(NV9,OB9,OH9)=0,"",SUM(NV9,OB9,OH9)/COUNT(NV9,OB9,OH9))</f>
        <v/>
      </c>
      <c r="OK9" s="216" t="str">
        <f t="shared" si="83"/>
        <v/>
      </c>
      <c r="OL9" s="137"/>
      <c r="OM9" s="138"/>
      <c r="ON9" s="139"/>
      <c r="OO9" s="193" t="str">
        <f>IFERROR((((COUNTIF('Elève (4ème4)'!OL9:ON9,"A"))*4)+((COUNTIF('Elève (4ème4)'!OL9:ON9,"B"))*3)+((COUNTIF('Elève (4ème4)'!OL9:ON9,"C"))*2)+((COUNTIF('Elève (4ème4)'!OL9:ON9,"D"))*1))/(COUNTA(OL9:ON9)),"")</f>
        <v/>
      </c>
      <c r="OP9" s="194" t="str">
        <f t="shared" si="84"/>
        <v/>
      </c>
      <c r="OQ9" s="137"/>
      <c r="OR9" s="138"/>
      <c r="OS9" s="139"/>
      <c r="OT9" s="139"/>
      <c r="OU9" s="193" t="str">
        <f>IFERROR((((COUNTIF('Elève (4ème4)'!OQ9:OT9,"A"))*4)+((COUNTIF('Elève (4ème4)'!OQ9:OT9,"B"))*3)+((COUNTIF('Elève (4ème4)'!OQ9:OT9,"C"))*2)+((COUNTIF('Elève (4ème4)'!OQ9:OT9,"D"))*1))/(COUNTA(OQ9:OT9)),"")</f>
        <v/>
      </c>
      <c r="OV9" s="194" t="str">
        <f t="shared" si="85"/>
        <v/>
      </c>
      <c r="OW9" s="137"/>
      <c r="OX9" s="138"/>
      <c r="OY9" s="139"/>
      <c r="OZ9" s="143"/>
      <c r="PA9" s="193" t="str">
        <f>IFERROR((((COUNTIF('Elève (4ème4)'!OW9:OZ9,"A"))*4)+((COUNTIF('Elève (4ème4)'!OW9:OZ9,"B"))*3)+((COUNTIF('Elève (4ème4)'!OW9:OZ9,"C"))*2)+((COUNTIF('Elève (4ème4)'!OW9:OZ9,"D"))*1))/(COUNTA(OW9:OZ9)),"")</f>
        <v/>
      </c>
      <c r="PB9" s="194" t="str">
        <f t="shared" si="86"/>
        <v/>
      </c>
      <c r="PC9" s="193" t="str">
        <f>IF(COUNT(OO9,OU9,PA9)=0,"",SUM(OO9,OU9,PA9)/COUNT(OO9,OU9,PA9))</f>
        <v/>
      </c>
      <c r="PD9" s="216" t="str">
        <f t="shared" si="87"/>
        <v/>
      </c>
      <c r="PE9" s="137"/>
      <c r="PF9" s="138"/>
      <c r="PG9" s="139"/>
      <c r="PH9" s="193" t="str">
        <f>IFERROR((((COUNTIF('Elève (4ème4)'!PE9:PG9,"A"))*4)+((COUNTIF('Elève (4ème4)'!PE9:PG9,"B"))*3)+((COUNTIF('Elève (4ème4)'!PE9:PG9,"C"))*2)+((COUNTIF('Elève (4ème4)'!PE9:PG9,"D"))*1))/(COUNTA(PE9:PG9)),"")</f>
        <v/>
      </c>
      <c r="PI9" s="194" t="str">
        <f t="shared" si="88"/>
        <v/>
      </c>
      <c r="PJ9" s="137"/>
      <c r="PK9" s="138"/>
      <c r="PL9" s="139"/>
      <c r="PM9" s="139"/>
      <c r="PN9" s="193" t="str">
        <f>IFERROR((((COUNTIF('Elève (4ème4)'!PJ9:PM9,"A"))*4)+((COUNTIF('Elève (4ème4)'!PJ9:PM9,"B"))*3)+((COUNTIF('Elève (4ème4)'!PJ9:PM9,"C"))*2)+((COUNTIF('Elève (4ème4)'!PJ9:PM9,"D"))*1))/(COUNTA(PJ9:PM9)),"")</f>
        <v/>
      </c>
      <c r="PO9" s="194" t="str">
        <f t="shared" si="89"/>
        <v/>
      </c>
      <c r="PP9" s="137"/>
      <c r="PQ9" s="138"/>
      <c r="PR9" s="139"/>
      <c r="PS9" s="143"/>
      <c r="PT9" s="193" t="str">
        <f>IFERROR((((COUNTIF('Elève (4ème4)'!PP9:PS9,"A"))*4)+((COUNTIF('Elève (4ème4)'!PP9:PS9,"B"))*3)+((COUNTIF('Elève (4ème4)'!PP9:PS9,"C"))*2)+((COUNTIF('Elève (4ème4)'!PP9:PS9,"D"))*1))/(COUNTA(PP9:PS9)),"")</f>
        <v/>
      </c>
      <c r="PU9" s="194" t="str">
        <f t="shared" si="90"/>
        <v/>
      </c>
      <c r="PV9" s="193" t="str">
        <f>IF(COUNT(PH9,PN9,PT9)=0,"",SUM(PH9,PN9,PT9)/COUNT(PH9,PN9,PT9))</f>
        <v/>
      </c>
      <c r="PW9" s="216" t="str">
        <f t="shared" si="91"/>
        <v/>
      </c>
      <c r="PX9" s="137"/>
      <c r="PY9" s="138"/>
      <c r="PZ9" s="139"/>
      <c r="QA9" s="193" t="str">
        <f>IFERROR((((COUNTIF('Elève (4ème4)'!PX9:PZ9,"A"))*4)+((COUNTIF('Elève (4ème4)'!PX9:PZ9,"B"))*3)+((COUNTIF('Elève (4ème4)'!PX9:PZ9,"C"))*2)+((COUNTIF('Elève (4ème4)'!PX9:PZ9,"D"))*1))/(COUNTA(PX9:PZ9)),"")</f>
        <v/>
      </c>
      <c r="QB9" s="194" t="str">
        <f t="shared" si="92"/>
        <v/>
      </c>
      <c r="QC9" s="137"/>
      <c r="QD9" s="138"/>
      <c r="QE9" s="139"/>
      <c r="QF9" s="139"/>
      <c r="QG9" s="193" t="str">
        <f>IFERROR((((COUNTIF('Elève (4ème4)'!QC9:QF9,"A"))*4)+((COUNTIF('Elève (4ème4)'!QC9:QF9,"B"))*3)+((COUNTIF('Elève (4ème4)'!QC9:QF9,"C"))*2)+((COUNTIF('Elève (4ème4)'!QC9:QF9,"D"))*1))/(COUNTA(QC9:QF9)),"")</f>
        <v/>
      </c>
      <c r="QH9" s="194" t="str">
        <f t="shared" si="93"/>
        <v/>
      </c>
      <c r="QI9" s="137"/>
      <c r="QJ9" s="138"/>
      <c r="QK9" s="139"/>
      <c r="QL9" s="143"/>
      <c r="QM9" s="193" t="str">
        <f>IFERROR((((COUNTIF('Elève (4ème4)'!QI9:QL9,"A"))*4)+((COUNTIF('Elève (4ème4)'!QI9:QL9,"B"))*3)+((COUNTIF('Elève (4ème4)'!QI9:QL9,"C"))*2)+((COUNTIF('Elève (4ème4)'!QI9:QL9,"D"))*1))/(COUNTA(QI9:QL9)),"")</f>
        <v/>
      </c>
      <c r="QN9" s="194" t="str">
        <f t="shared" si="94"/>
        <v/>
      </c>
      <c r="QO9" s="193" t="str">
        <f>IF(COUNT(QA9,QG9,QM9)=0,"",SUM(QA9,QG9,QM9)/COUNT(QA9,QG9,QM9))</f>
        <v/>
      </c>
      <c r="QP9" s="216" t="str">
        <f t="shared" si="95"/>
        <v/>
      </c>
      <c r="QQ9" s="137"/>
      <c r="QR9" s="138"/>
      <c r="QS9" s="139"/>
      <c r="QT9" s="193" t="str">
        <f>IFERROR((((COUNTIF('Elève (4ème4)'!QQ9:QS9,"A"))*4)+((COUNTIF('Elève (4ème4)'!QQ9:QS9,"B"))*3)+((COUNTIF('Elève (4ème4)'!QQ9:QS9,"C"))*2)+((COUNTIF('Elève (4ème4)'!QQ9:QS9,"D"))*1))/(COUNTA(QQ9:QS9)),"")</f>
        <v/>
      </c>
      <c r="QU9" s="194" t="str">
        <f t="shared" si="96"/>
        <v/>
      </c>
      <c r="QV9" s="137"/>
      <c r="QW9" s="138"/>
      <c r="QX9" s="139"/>
      <c r="QY9" s="139"/>
      <c r="QZ9" s="193" t="str">
        <f>IFERROR((((COUNTIF('Elève (4ème4)'!QV9:QY9,"A"))*4)+((COUNTIF('Elève (4ème4)'!QV9:QY9,"B"))*3)+((COUNTIF('Elève (4ème4)'!QV9:QY9,"C"))*2)+((COUNTIF('Elève (4ème4)'!QV9:QY9,"D"))*1))/(COUNTA(QV9:QY9)),"")</f>
        <v/>
      </c>
      <c r="RA9" s="194" t="str">
        <f t="shared" si="97"/>
        <v/>
      </c>
      <c r="RB9" s="137"/>
      <c r="RC9" s="138"/>
      <c r="RD9" s="139"/>
      <c r="RE9" s="143"/>
      <c r="RF9" s="193" t="str">
        <f>IFERROR((((COUNTIF('Elève (4ème4)'!RB9:RE9,"A"))*4)+((COUNTIF('Elève (4ème4)'!RB9:RE9,"B"))*3)+((COUNTIF('Elève (4ème4)'!RB9:RE9,"C"))*2)+((COUNTIF('Elève (4ème4)'!RB9:RE9,"D"))*1))/(COUNTA(RB9:RE9)),"")</f>
        <v/>
      </c>
      <c r="RG9" s="194" t="str">
        <f t="shared" si="98"/>
        <v/>
      </c>
      <c r="RH9" s="193" t="str">
        <f>IF(COUNT(QT9,QZ9,RF9)=0,"",SUM(QT9,QZ9,RF9)/COUNT(QT9,QZ9,RF9))</f>
        <v/>
      </c>
      <c r="RI9" s="216" t="str">
        <f t="shared" si="99"/>
        <v/>
      </c>
      <c r="RJ9" s="137"/>
      <c r="RK9" s="138"/>
      <c r="RL9" s="139"/>
      <c r="RM9" s="193" t="str">
        <f>IFERROR((((COUNTIF('Elève (4ème4)'!RJ9:RL9,"A"))*4)+((COUNTIF('Elève (4ème4)'!RJ9:RL9,"B"))*3)+((COUNTIF('Elève (4ème4)'!RJ9:RL9,"C"))*2)+((COUNTIF('Elève (4ème4)'!RJ9:RL9,"D"))*1))/(COUNTA(RJ9:RL9)),"")</f>
        <v/>
      </c>
      <c r="RN9" s="194" t="str">
        <f t="shared" si="100"/>
        <v/>
      </c>
      <c r="RO9" s="137"/>
      <c r="RP9" s="138"/>
      <c r="RQ9" s="139"/>
      <c r="RR9" s="139"/>
      <c r="RS9" s="193" t="str">
        <f>IFERROR((((COUNTIF('Elève (4ème4)'!RO9:RR9,"A"))*4)+((COUNTIF('Elève (4ème4)'!RO9:RR9,"B"))*3)+((COUNTIF('Elève (4ème4)'!RO9:RR9,"C"))*2)+((COUNTIF('Elève (4ème4)'!RO9:RR9,"D"))*1))/(COUNTA(RO9:RR9)),"")</f>
        <v/>
      </c>
      <c r="RT9" s="194" t="str">
        <f t="shared" si="101"/>
        <v/>
      </c>
      <c r="RU9" s="137"/>
      <c r="RV9" s="138"/>
      <c r="RW9" s="139"/>
      <c r="RX9" s="143"/>
      <c r="RY9" s="193" t="str">
        <f>IFERROR((((COUNTIF('Elève (4ème4)'!RU9:RX9,"A"))*4)+((COUNTIF('Elève (4ème4)'!RU9:RX9,"B"))*3)+((COUNTIF('Elève (4ème4)'!RU9:RX9,"C"))*2)+((COUNTIF('Elève (4ème4)'!RU9:RX9,"D"))*1))/(COUNTA(RU9:RX9)),"")</f>
        <v/>
      </c>
      <c r="RZ9" s="194" t="str">
        <f t="shared" si="102"/>
        <v/>
      </c>
      <c r="SA9" s="193" t="str">
        <f>IF(COUNT(RM9,RS9,RY9)=0,"",SUM(RM9,RS9,RY9)/COUNT(RM9,RS9,RY9))</f>
        <v/>
      </c>
      <c r="SB9" s="216" t="str">
        <f t="shared" si="103"/>
        <v/>
      </c>
      <c r="SC9" s="137"/>
      <c r="SD9" s="138"/>
      <c r="SE9" s="139"/>
      <c r="SF9" s="140" t="str">
        <f>IFERROR((((COUNTIF('Elève (4ème4)'!SC9:SE9,"A"))*4)+((COUNTIF('Elève (4ème4)'!SC9:SE9,"B"))*3)+((COUNTIF('Elève (4ème4)'!SC9:SE9,"C"))*2)+((COUNTIF('Elève (4ème4)'!SC9:SE9,"D"))*1))/(COUNTA(SC9:SE9)),"")</f>
        <v/>
      </c>
      <c r="SG9" s="141" t="str">
        <f t="shared" si="104"/>
        <v/>
      </c>
      <c r="SH9" s="137"/>
      <c r="SI9" s="138"/>
      <c r="SJ9" s="139"/>
      <c r="SK9" s="140" t="str">
        <f>IFERROR((((COUNTIF('Elève (4ème4)'!SH9:SJ9,"A"))*4)+((COUNTIF('Elève (4ème4)'!SH9:SJ9,"B"))*3)+((COUNTIF('Elève (4ème4)'!SH9:SJ9,"C"))*2)+((COUNTIF('Elève (4ème4)'!SH9:SJ9,"D"))*1))/(COUNTA(SH9:SJ9)),"")</f>
        <v/>
      </c>
      <c r="SL9" s="141" t="str">
        <f t="shared" si="105"/>
        <v/>
      </c>
      <c r="SM9" s="137"/>
      <c r="SN9" s="138"/>
      <c r="SO9" s="143"/>
      <c r="SP9" s="140" t="str">
        <f>IFERROR((((COUNTIF('Elève (4ème4)'!SM9:SO9,"A"))*4)+((COUNTIF('Elève (4ème4)'!SM9:SO9,"B"))*3)+((COUNTIF('Elève (4ème4)'!SM9:SO9,"C"))*2)+((COUNTIF('Elève (4ème4)'!SM9:SO9,"D"))*1))/(COUNTA(SM9:SO9)),"")</f>
        <v/>
      </c>
      <c r="SQ9" s="141" t="str">
        <f t="shared" si="106"/>
        <v/>
      </c>
      <c r="SR9" s="140" t="str">
        <f>IF(COUNT(SF9,SK9,SP9)=0,"",SUM(SF9,SK9,SP9)/COUNT(SF9,SK9,SP9))</f>
        <v/>
      </c>
      <c r="SS9" s="142" t="str">
        <f t="shared" si="107"/>
        <v/>
      </c>
      <c r="ST9" s="137"/>
      <c r="SU9" s="138"/>
      <c r="SV9" s="139"/>
      <c r="SW9" s="140" t="str">
        <f>IFERROR((((COUNTIF('Elève (4ème4)'!ST9:SV9,"A"))*4)+((COUNTIF('Elève (4ème4)'!ST9:SV9,"B"))*3)+((COUNTIF('Elève (4ème4)'!ST9:SV9,"C"))*2)+((COUNTIF('Elève (4ème4)'!ST9:SV9,"D"))*1))/(COUNTA(ST9:SV9)),"")</f>
        <v/>
      </c>
      <c r="SX9" s="141" t="str">
        <f t="shared" si="108"/>
        <v/>
      </c>
      <c r="SY9" s="137"/>
      <c r="SZ9" s="138"/>
      <c r="TA9" s="139"/>
      <c r="TB9" s="140" t="str">
        <f>IFERROR((((COUNTIF('Elève (4ème4)'!SY9:TA9,"A"))*4)+((COUNTIF('Elève (4ème4)'!SY9:TA9,"B"))*3)+((COUNTIF('Elève (4ème4)'!SY9:TA9,"C"))*2)+((COUNTIF('Elève (4ème4)'!SY9:TA9,"D"))*1))/(COUNTA(SY9:TA9)),"")</f>
        <v/>
      </c>
      <c r="TC9" s="141" t="str">
        <f t="shared" si="109"/>
        <v/>
      </c>
      <c r="TD9" s="137"/>
      <c r="TE9" s="138"/>
      <c r="TF9" s="143"/>
      <c r="TG9" s="140" t="str">
        <f>IFERROR((((COUNTIF('Elève (4ème4)'!TD9:TF9,"A"))*4)+((COUNTIF('Elève (4ème4)'!TD9:TF9,"B"))*3)+((COUNTIF('Elève (4ème4)'!TD9:TF9,"C"))*2)+((COUNTIF('Elève (4ème4)'!TD9:TF9,"D"))*1))/(COUNTA(TD9:TF9)),"")</f>
        <v/>
      </c>
      <c r="TH9" s="141" t="str">
        <f t="shared" si="110"/>
        <v/>
      </c>
      <c r="TI9" s="140" t="str">
        <f>IF(COUNT(SW9,TB9,TG9)=0,"",SUM(SW9,TB9,TG9)/COUNT(SW9,TB9,TG9))</f>
        <v/>
      </c>
      <c r="TJ9" s="142" t="str">
        <f t="shared" si="111"/>
        <v/>
      </c>
      <c r="TK9" s="137"/>
      <c r="TL9" s="138"/>
      <c r="TM9" s="139"/>
      <c r="TN9" s="140" t="str">
        <f>IFERROR((((COUNTIF('Elève (4ème4)'!TK9:TM9,"A"))*4)+((COUNTIF('Elève (4ème4)'!TK9:TM9,"B"))*3)+((COUNTIF('Elève (4ème4)'!TK9:TM9,"C"))*2)+((COUNTIF('Elève (4ème4)'!TK9:TM9,"D"))*1))/(COUNTA(TK9:TM9)),"")</f>
        <v/>
      </c>
      <c r="TO9" s="141" t="str">
        <f t="shared" si="112"/>
        <v/>
      </c>
      <c r="TP9" s="137"/>
      <c r="TQ9" s="138"/>
      <c r="TR9" s="139"/>
      <c r="TS9" s="140" t="str">
        <f>IFERROR((((COUNTIF('Elève (4ème4)'!TP9:TR9,"A"))*4)+((COUNTIF('Elève (4ème4)'!TP9:TR9,"B"))*3)+((COUNTIF('Elève (4ème4)'!TP9:TR9,"C"))*2)+((COUNTIF('Elève (4ème4)'!TP9:TR9,"D"))*1))/(COUNTA(TP9:TR9)),"")</f>
        <v/>
      </c>
      <c r="TT9" s="141" t="str">
        <f t="shared" si="113"/>
        <v/>
      </c>
      <c r="TU9" s="137"/>
      <c r="TV9" s="138"/>
      <c r="TW9" s="143"/>
      <c r="TX9" s="140" t="str">
        <f>IFERROR((((COUNTIF('Elève (4ème4)'!TU9:TW9,"A"))*4)+((COUNTIF('Elève (4ème4)'!TU9:TW9,"B"))*3)+((COUNTIF('Elève (4ème4)'!TU9:TW9,"C"))*2)+((COUNTIF('Elève (4ème4)'!TU9:TW9,"D"))*1))/(COUNTA(TU9:TW9)),"")</f>
        <v/>
      </c>
      <c r="TY9" s="141" t="str">
        <f t="shared" si="114"/>
        <v/>
      </c>
      <c r="TZ9" s="140" t="str">
        <f>IF(COUNT(TN9,TS9,TX9)=0,"",SUM(TN9,TS9,TX9)/COUNT(TN9,TS9,TX9))</f>
        <v/>
      </c>
      <c r="UA9" s="142" t="str">
        <f t="shared" si="115"/>
        <v/>
      </c>
      <c r="UB9" s="137"/>
      <c r="UC9" s="138"/>
      <c r="UD9" s="139"/>
      <c r="UE9" s="140" t="str">
        <f>IFERROR((((COUNTIF('Elève (4ème4)'!UB9:UD9,"A"))*4)+((COUNTIF('Elève (4ème4)'!UB9:UD9,"B"))*3)+((COUNTIF('Elève (4ème4)'!UB9:UD9,"C"))*2)+((COUNTIF('Elève (4ème4)'!UB9:UD9,"D"))*1))/(COUNTA(UB9:UD9)),"")</f>
        <v/>
      </c>
      <c r="UF9" s="141" t="str">
        <f t="shared" si="116"/>
        <v/>
      </c>
      <c r="UG9" s="137"/>
      <c r="UH9" s="138"/>
      <c r="UI9" s="139"/>
      <c r="UJ9" s="140" t="str">
        <f>IFERROR((((COUNTIF('Elève (4ème4)'!UG9:UI9,"A"))*4)+((COUNTIF('Elève (4ème4)'!UG9:UI9,"B"))*3)+((COUNTIF('Elève (4ème4)'!UG9:UI9,"C"))*2)+((COUNTIF('Elève (4ème4)'!UG9:UI9,"D"))*1))/(COUNTA(UG9:UI9)),"")</f>
        <v/>
      </c>
      <c r="UK9" s="141" t="str">
        <f t="shared" si="117"/>
        <v/>
      </c>
      <c r="UL9" s="137"/>
      <c r="UM9" s="138"/>
      <c r="UN9" s="143"/>
      <c r="UO9" s="140" t="str">
        <f>IFERROR((((COUNTIF('Elève (4ème4)'!UL9:UN9,"A"))*4)+((COUNTIF('Elève (4ème4)'!UL9:UN9,"B"))*3)+((COUNTIF('Elève (4ème4)'!UL9:UN9,"C"))*2)+((COUNTIF('Elève (4ème4)'!UL9:UN9,"D"))*1))/(COUNTA(UL9:UN9)),"")</f>
        <v/>
      </c>
      <c r="UP9" s="141" t="str">
        <f t="shared" si="118"/>
        <v/>
      </c>
      <c r="UQ9" s="140" t="str">
        <f>IF(COUNT(UE9,UJ9,UO9)=0,"",SUM(UE9,UJ9,UO9)/COUNT(UE9,UJ9,UO9))</f>
        <v/>
      </c>
      <c r="UR9" s="142" t="str">
        <f t="shared" si="119"/>
        <v/>
      </c>
    </row>
    <row r="10" spans="1:564" s="145" customFormat="1" ht="17.25" customHeight="1" thickBot="1" x14ac:dyDescent="0.3">
      <c r="A10" s="173" t="s">
        <v>17</v>
      </c>
      <c r="B10" s="105">
        <v>1</v>
      </c>
      <c r="C10" s="181"/>
      <c r="D10" s="112"/>
      <c r="E10" s="113"/>
      <c r="F10" s="187">
        <f>IF(COUNT(F11:F12)=0,"",SUM(F11:F12)/COUNT(F11:F12))</f>
        <v>2</v>
      </c>
      <c r="G10" s="188" t="str">
        <f t="shared" si="0"/>
        <v>C</v>
      </c>
      <c r="H10" s="181"/>
      <c r="I10" s="112"/>
      <c r="J10" s="112"/>
      <c r="K10" s="113"/>
      <c r="L10" s="187">
        <f>IF(COUNT(L11,L12)=0,"",SUM(L11:L12)/COUNT(L11,L12))</f>
        <v>4</v>
      </c>
      <c r="M10" s="203" t="str">
        <f t="shared" si="1"/>
        <v>A</v>
      </c>
      <c r="N10" s="181"/>
      <c r="O10" s="112"/>
      <c r="P10" s="112"/>
      <c r="Q10" s="113"/>
      <c r="R10" s="187" t="str">
        <f>IF(COUNT(R11,R12)=0,"",SUM(R11:R12)/COUNT(R11,R12))</f>
        <v/>
      </c>
      <c r="S10" s="211" t="str">
        <f t="shared" si="2"/>
        <v/>
      </c>
      <c r="T10" s="212">
        <f>IF(COUNT(T11:T12)=0,"",SUM(T11:T12)/COUNT(T11:T12))</f>
        <v>2.25</v>
      </c>
      <c r="U10" s="213" t="str">
        <f t="shared" si="3"/>
        <v>C</v>
      </c>
      <c r="V10" s="223"/>
      <c r="W10" s="112"/>
      <c r="X10" s="113"/>
      <c r="Y10" s="187">
        <f>IF(COUNT(Y11:Y12)=0,"",SUM(Y11:Y12)/COUNT(Y11:Y12))</f>
        <v>2.75</v>
      </c>
      <c r="Z10" s="188" t="str">
        <f t="shared" si="4"/>
        <v>C</v>
      </c>
      <c r="AA10" s="181"/>
      <c r="AB10" s="112"/>
      <c r="AC10" s="112"/>
      <c r="AD10" s="113"/>
      <c r="AE10" s="187">
        <f>IF(COUNT(AE11,AE12)=0,"",SUM(AE11:AE12)/COUNT(AE11,AE12))</f>
        <v>3.5</v>
      </c>
      <c r="AF10" s="203" t="str">
        <f t="shared" si="5"/>
        <v>B</v>
      </c>
      <c r="AG10" s="181"/>
      <c r="AH10" s="112"/>
      <c r="AI10" s="112"/>
      <c r="AJ10" s="113"/>
      <c r="AK10" s="187" t="str">
        <f>IF(COUNT(AK11,AK12)=0,"",SUM(AK11:AK12)/COUNT(AK11,AK12))</f>
        <v/>
      </c>
      <c r="AL10" s="211" t="str">
        <f t="shared" si="6"/>
        <v/>
      </c>
      <c r="AM10" s="212">
        <f>IF(COUNT(AM11:AM12)=0,"",SUM(AM11:AM12)/COUNT(AM11:AM12))</f>
        <v>2.75</v>
      </c>
      <c r="AN10" s="213" t="str">
        <f t="shared" si="7"/>
        <v>C</v>
      </c>
      <c r="AO10" s="223"/>
      <c r="AP10" s="112"/>
      <c r="AQ10" s="113"/>
      <c r="AR10" s="187">
        <f>IF(COUNT(AR11:AR12)=0,"",SUM(AR11:AR12)/COUNT(AR11:AR12))</f>
        <v>3.25</v>
      </c>
      <c r="AS10" s="188" t="str">
        <f t="shared" si="8"/>
        <v>B</v>
      </c>
      <c r="AT10" s="181"/>
      <c r="AU10" s="112"/>
      <c r="AV10" s="112"/>
      <c r="AW10" s="113"/>
      <c r="AX10" s="187">
        <f>IF(COUNT(AX11,AX12)=0,"",SUM(AX11:AX12)/COUNT(AX11,AX12))</f>
        <v>3</v>
      </c>
      <c r="AY10" s="203" t="str">
        <f t="shared" si="9"/>
        <v>B</v>
      </c>
      <c r="AZ10" s="181"/>
      <c r="BA10" s="112"/>
      <c r="BB10" s="112"/>
      <c r="BC10" s="113"/>
      <c r="BD10" s="187" t="str">
        <f>IF(COUNT(BD11,BD12)=0,"",SUM(BD11:BD12)/COUNT(BD11,BD12))</f>
        <v/>
      </c>
      <c r="BE10" s="211" t="str">
        <f t="shared" si="10"/>
        <v/>
      </c>
      <c r="BF10" s="212">
        <f>IF(COUNT(BF11:BF12)=0,"",SUM(BF11:BF12)/COUNT(BF11:BF12))</f>
        <v>3.125</v>
      </c>
      <c r="BG10" s="213" t="str">
        <f t="shared" si="11"/>
        <v>B</v>
      </c>
      <c r="BH10" s="223"/>
      <c r="BI10" s="112"/>
      <c r="BJ10" s="113"/>
      <c r="BK10" s="187">
        <f>IF(COUNT(BK11:BK12)=0,"",SUM(BK11:BK12)/COUNT(BK11:BK12))</f>
        <v>2.5</v>
      </c>
      <c r="BL10" s="188" t="str">
        <f t="shared" si="12"/>
        <v>C</v>
      </c>
      <c r="BM10" s="181"/>
      <c r="BN10" s="112"/>
      <c r="BO10" s="112"/>
      <c r="BP10" s="113"/>
      <c r="BQ10" s="187">
        <f>IF(COUNT(BQ11,BQ12)=0,"",SUM(BQ11:BQ12)/COUNT(BQ11,BQ12))</f>
        <v>3</v>
      </c>
      <c r="BR10" s="203" t="str">
        <f t="shared" si="13"/>
        <v>B</v>
      </c>
      <c r="BS10" s="181"/>
      <c r="BT10" s="112"/>
      <c r="BU10" s="112"/>
      <c r="BV10" s="113"/>
      <c r="BW10" s="187" t="str">
        <f>IF(COUNT(BW11,BW12)=0,"",SUM(BW11:BW12)/COUNT(BW11,BW12))</f>
        <v/>
      </c>
      <c r="BX10" s="211" t="str">
        <f t="shared" si="14"/>
        <v/>
      </c>
      <c r="BY10" s="212">
        <f>IF(COUNT(BY11:BY12)=0,"",SUM(BY11:BY12)/COUNT(BY11:BY12))</f>
        <v>2.5</v>
      </c>
      <c r="BZ10" s="213" t="str">
        <f t="shared" si="15"/>
        <v>C</v>
      </c>
      <c r="CA10" s="223"/>
      <c r="CB10" s="112"/>
      <c r="CC10" s="113"/>
      <c r="CD10" s="187">
        <f>IF(COUNT(CD11:CD12)=0,"",SUM(CD11:CD12)/COUNT(CD11:CD12))</f>
        <v>2</v>
      </c>
      <c r="CE10" s="188" t="str">
        <f t="shared" si="16"/>
        <v>C</v>
      </c>
      <c r="CF10" s="181"/>
      <c r="CG10" s="112"/>
      <c r="CH10" s="112"/>
      <c r="CI10" s="113"/>
      <c r="CJ10" s="187">
        <f>IF(COUNT(CJ11,CJ12)=0,"",SUM(CJ11:CJ12)/COUNT(CJ11,CJ12))</f>
        <v>3.5</v>
      </c>
      <c r="CK10" s="203" t="str">
        <f t="shared" si="17"/>
        <v>B</v>
      </c>
      <c r="CL10" s="181"/>
      <c r="CM10" s="112"/>
      <c r="CN10" s="112"/>
      <c r="CO10" s="113"/>
      <c r="CP10" s="187" t="str">
        <f>IF(COUNT(CP11,CP12)=0,"",SUM(CP11:CP12)/COUNT(CP11,CP12))</f>
        <v/>
      </c>
      <c r="CQ10" s="211" t="str">
        <f t="shared" si="18"/>
        <v/>
      </c>
      <c r="CR10" s="212">
        <f>IF(COUNT(CR11:CR12)=0,"",SUM(CR11:CR12)/COUNT(CR11:CR12))</f>
        <v>2.75</v>
      </c>
      <c r="CS10" s="213" t="str">
        <f t="shared" si="19"/>
        <v>C</v>
      </c>
      <c r="CT10" s="223"/>
      <c r="CU10" s="112"/>
      <c r="CV10" s="113"/>
      <c r="CW10" s="187">
        <f>IF(COUNT(CW11:CW12)=0,"",SUM(CW11:CW12)/COUNT(CW11:CW12))</f>
        <v>2.5</v>
      </c>
      <c r="CX10" s="188" t="str">
        <f t="shared" si="20"/>
        <v>C</v>
      </c>
      <c r="CY10" s="181"/>
      <c r="CZ10" s="112"/>
      <c r="DA10" s="112"/>
      <c r="DB10" s="113"/>
      <c r="DC10" s="187">
        <f>IF(COUNT(DC11,DC12)=0,"",SUM(DC11:DC12)/COUNT(DC11,DC12))</f>
        <v>3</v>
      </c>
      <c r="DD10" s="203" t="str">
        <f t="shared" si="21"/>
        <v>B</v>
      </c>
      <c r="DE10" s="181"/>
      <c r="DF10" s="112"/>
      <c r="DG10" s="112"/>
      <c r="DH10" s="113"/>
      <c r="DI10" s="187" t="str">
        <f>IF(COUNT(DI11,DI12)=0,"",SUM(DI11:DI12)/COUNT(DI11,DI12))</f>
        <v/>
      </c>
      <c r="DJ10" s="211" t="str">
        <f t="shared" si="22"/>
        <v/>
      </c>
      <c r="DK10" s="212">
        <f>IF(COUNT(DK11:DK12)=0,"",SUM(DK11:DK12)/COUNT(DK11:DK12))</f>
        <v>2.5</v>
      </c>
      <c r="DL10" s="213" t="str">
        <f t="shared" si="23"/>
        <v>C</v>
      </c>
      <c r="DM10" s="223"/>
      <c r="DN10" s="112"/>
      <c r="DO10" s="113"/>
      <c r="DP10" s="187">
        <f>IF(COUNT(DP11:DP12)=0,"",SUM(DP11:DP12)/COUNT(DP11:DP12))</f>
        <v>2.75</v>
      </c>
      <c r="DQ10" s="188" t="str">
        <f t="shared" si="24"/>
        <v>C</v>
      </c>
      <c r="DR10" s="181"/>
      <c r="DS10" s="112"/>
      <c r="DT10" s="112"/>
      <c r="DU10" s="113"/>
      <c r="DV10" s="187">
        <f>IF(COUNT(DV11,DV12)=0,"",SUM(DV11:DV12)/COUNT(DV11,DV12))</f>
        <v>3</v>
      </c>
      <c r="DW10" s="203" t="str">
        <f t="shared" si="25"/>
        <v>B</v>
      </c>
      <c r="DX10" s="181"/>
      <c r="DY10" s="112"/>
      <c r="DZ10" s="112"/>
      <c r="EA10" s="113"/>
      <c r="EB10" s="187" t="str">
        <f>IF(COUNT(EB11,EB12)=0,"",SUM(EB11:EB12)/COUNT(EB11,EB12))</f>
        <v/>
      </c>
      <c r="EC10" s="211" t="str">
        <f t="shared" si="26"/>
        <v/>
      </c>
      <c r="ED10" s="212">
        <f>IF(COUNT(ED11:ED12)=0,"",SUM(ED11:ED12)/COUNT(ED11:ED12))</f>
        <v>2.875</v>
      </c>
      <c r="EE10" s="213" t="str">
        <f t="shared" si="27"/>
        <v>B</v>
      </c>
      <c r="EF10" s="223"/>
      <c r="EG10" s="112"/>
      <c r="EH10" s="113"/>
      <c r="EI10" s="187">
        <f>IF(COUNT(EI11:EI12)=0,"",SUM(EI11:EI12)/COUNT(EI11:EI12))</f>
        <v>3.25</v>
      </c>
      <c r="EJ10" s="188" t="str">
        <f t="shared" si="28"/>
        <v>B</v>
      </c>
      <c r="EK10" s="181"/>
      <c r="EL10" s="112"/>
      <c r="EM10" s="112"/>
      <c r="EN10" s="113"/>
      <c r="EO10" s="187">
        <f>IF(COUNT(EO11,EO12)=0,"",SUM(EO11:EO12)/COUNT(EO11,EO12))</f>
        <v>4</v>
      </c>
      <c r="EP10" s="203" t="str">
        <f t="shared" si="29"/>
        <v>A</v>
      </c>
      <c r="EQ10" s="181"/>
      <c r="ER10" s="112"/>
      <c r="ES10" s="112"/>
      <c r="ET10" s="113"/>
      <c r="EU10" s="187" t="str">
        <f>IF(COUNT(EU11,EU12)=0,"",SUM(EU11:EU12)/COUNT(EU11,EU12))</f>
        <v/>
      </c>
      <c r="EV10" s="211" t="str">
        <f t="shared" si="30"/>
        <v/>
      </c>
      <c r="EW10" s="212">
        <f>IF(COUNT(EW11:EW12)=0,"",SUM(EW11:EW12)/COUNT(EW11:EW12))</f>
        <v>3.375</v>
      </c>
      <c r="EX10" s="213" t="str">
        <f t="shared" si="31"/>
        <v>B</v>
      </c>
      <c r="EY10" s="223"/>
      <c r="EZ10" s="112"/>
      <c r="FA10" s="113"/>
      <c r="FB10" s="187">
        <f>IF(COUNT(FB11:FB12)=0,"",SUM(FB11:FB12)/COUNT(FB11:FB12))</f>
        <v>2.5</v>
      </c>
      <c r="FC10" s="188" t="str">
        <f t="shared" si="32"/>
        <v>C</v>
      </c>
      <c r="FD10" s="181"/>
      <c r="FE10" s="112"/>
      <c r="FF10" s="112"/>
      <c r="FG10" s="113"/>
      <c r="FH10" s="187">
        <f>IF(COUNT(FH11,FH12)=0,"",SUM(FH11:FH12)/COUNT(FH11,FH12))</f>
        <v>3</v>
      </c>
      <c r="FI10" s="203" t="str">
        <f t="shared" si="33"/>
        <v>B</v>
      </c>
      <c r="FJ10" s="181"/>
      <c r="FK10" s="112"/>
      <c r="FL10" s="112"/>
      <c r="FM10" s="113"/>
      <c r="FN10" s="187" t="str">
        <f>IF(COUNT(FN11,FN12)=0,"",SUM(FN11:FN12)/COUNT(FN11,FN12))</f>
        <v/>
      </c>
      <c r="FO10" s="211" t="str">
        <f t="shared" si="34"/>
        <v/>
      </c>
      <c r="FP10" s="212">
        <f>IF(COUNT(FP11:FP12)=0,"",SUM(FP11:FP12)/COUNT(FP11:FP12))</f>
        <v>2.5</v>
      </c>
      <c r="FQ10" s="213" t="str">
        <f t="shared" si="35"/>
        <v>C</v>
      </c>
      <c r="FR10" s="223"/>
      <c r="FS10" s="112"/>
      <c r="FT10" s="113"/>
      <c r="FU10" s="187">
        <f>IF(COUNT(FU11:FU12)=0,"",SUM(FU11:FU12)/COUNT(FU11:FU12))</f>
        <v>2.5</v>
      </c>
      <c r="FV10" s="188" t="str">
        <f t="shared" si="36"/>
        <v>C</v>
      </c>
      <c r="FW10" s="181"/>
      <c r="FX10" s="112"/>
      <c r="FY10" s="112"/>
      <c r="FZ10" s="113"/>
      <c r="GA10" s="187">
        <f>IF(COUNT(GA11,GA12)=0,"",SUM(GA11:GA12)/COUNT(GA11,GA12))</f>
        <v>3.5</v>
      </c>
      <c r="GB10" s="203" t="str">
        <f t="shared" si="37"/>
        <v>B</v>
      </c>
      <c r="GC10" s="181"/>
      <c r="GD10" s="112"/>
      <c r="GE10" s="112"/>
      <c r="GF10" s="113"/>
      <c r="GG10" s="187" t="str">
        <f>IF(COUNT(GG11,GG12)=0,"",SUM(GG11:GG12)/COUNT(GG11,GG12))</f>
        <v/>
      </c>
      <c r="GH10" s="211" t="str">
        <f t="shared" si="38"/>
        <v/>
      </c>
      <c r="GI10" s="212">
        <f>IF(COUNT(GI11:GI12)=0,"",SUM(GI11:GI12)/COUNT(GI11:GI12))</f>
        <v>2.625</v>
      </c>
      <c r="GJ10" s="213" t="str">
        <f t="shared" si="39"/>
        <v>C</v>
      </c>
      <c r="GK10" s="223"/>
      <c r="GL10" s="112"/>
      <c r="GM10" s="113"/>
      <c r="GN10" s="187">
        <f>IF(COUNT(GN11:GN12)=0,"",SUM(GN11:GN12)/COUNT(GN11:GN12))</f>
        <v>2.25</v>
      </c>
      <c r="GO10" s="188" t="str">
        <f t="shared" si="40"/>
        <v>C</v>
      </c>
      <c r="GP10" s="181"/>
      <c r="GQ10" s="112"/>
      <c r="GR10" s="112"/>
      <c r="GS10" s="113"/>
      <c r="GT10" s="187">
        <f>IF(COUNT(GT11,GT12)=0,"",SUM(GT11:GT12)/COUNT(GT11,GT12))</f>
        <v>3</v>
      </c>
      <c r="GU10" s="203" t="str">
        <f t="shared" si="41"/>
        <v>B</v>
      </c>
      <c r="GV10" s="181"/>
      <c r="GW10" s="112"/>
      <c r="GX10" s="112"/>
      <c r="GY10" s="113"/>
      <c r="GZ10" s="187" t="str">
        <f>IF(COUNT(GZ11,GZ12)=0,"",SUM(GZ11:GZ12)/COUNT(GZ11,GZ12))</f>
        <v/>
      </c>
      <c r="HA10" s="211" t="str">
        <f t="shared" si="42"/>
        <v/>
      </c>
      <c r="HB10" s="212">
        <f>IF(COUNT(HB11:HB12)=0,"",SUM(HB11:HB12)/COUNT(HB11:HB12))</f>
        <v>2.125</v>
      </c>
      <c r="HC10" s="213" t="str">
        <f t="shared" si="43"/>
        <v>C</v>
      </c>
      <c r="HD10" s="223"/>
      <c r="HE10" s="112"/>
      <c r="HF10" s="113"/>
      <c r="HG10" s="187">
        <f>IF(COUNT(HG11:HG12)=0,"",SUM(HG11:HG12)/COUNT(HG11:HG12))</f>
        <v>2.5</v>
      </c>
      <c r="HH10" s="188" t="str">
        <f t="shared" si="44"/>
        <v>C</v>
      </c>
      <c r="HI10" s="181"/>
      <c r="HJ10" s="112"/>
      <c r="HK10" s="112"/>
      <c r="HL10" s="113"/>
      <c r="HM10" s="187">
        <f>IF(COUNT(HM11,HM12)=0,"",SUM(HM11:HM12)/COUNT(HM11,HM12))</f>
        <v>4</v>
      </c>
      <c r="HN10" s="203" t="str">
        <f t="shared" si="45"/>
        <v>A</v>
      </c>
      <c r="HO10" s="181"/>
      <c r="HP10" s="112"/>
      <c r="HQ10" s="112"/>
      <c r="HR10" s="113"/>
      <c r="HS10" s="187" t="str">
        <f>IF(COUNT(HS11,HS12)=0,"",SUM(HS11:HS12)/COUNT(HS11,HS12))</f>
        <v/>
      </c>
      <c r="HT10" s="211" t="str">
        <f t="shared" si="46"/>
        <v/>
      </c>
      <c r="HU10" s="212">
        <f>IF(COUNT(HU11:HU12)=0,"",SUM(HU11:HU12)/COUNT(HU11:HU12))</f>
        <v>2.75</v>
      </c>
      <c r="HV10" s="213" t="str">
        <f t="shared" si="47"/>
        <v>C</v>
      </c>
      <c r="HW10" s="223"/>
      <c r="HX10" s="112"/>
      <c r="HY10" s="113"/>
      <c r="HZ10" s="187">
        <f>IF(COUNT(HZ11:HZ12)=0,"",SUM(HZ11:HZ12)/COUNT(HZ11:HZ12))</f>
        <v>2.75</v>
      </c>
      <c r="IA10" s="188" t="str">
        <f t="shared" si="48"/>
        <v>C</v>
      </c>
      <c r="IB10" s="181"/>
      <c r="IC10" s="112"/>
      <c r="ID10" s="112"/>
      <c r="IE10" s="113"/>
      <c r="IF10" s="187">
        <f>IF(COUNT(IF11,IF12)=0,"",SUM(IF11:IF12)/COUNT(IF11,IF12))</f>
        <v>4</v>
      </c>
      <c r="IG10" s="203" t="str">
        <f t="shared" si="49"/>
        <v>A</v>
      </c>
      <c r="IH10" s="181"/>
      <c r="II10" s="112"/>
      <c r="IJ10" s="112"/>
      <c r="IK10" s="113"/>
      <c r="IL10" s="187" t="str">
        <f>IF(COUNT(IL11,IL12)=0,"",SUM(IL11:IL12)/COUNT(IL11,IL12))</f>
        <v/>
      </c>
      <c r="IM10" s="211" t="str">
        <f t="shared" si="50"/>
        <v/>
      </c>
      <c r="IN10" s="212">
        <f>IF(COUNT(IN11:IN12)=0,"",SUM(IN11:IN12)/COUNT(IN11:IN12))</f>
        <v>2.875</v>
      </c>
      <c r="IO10" s="213" t="str">
        <f t="shared" si="51"/>
        <v>B</v>
      </c>
      <c r="IP10" s="223"/>
      <c r="IQ10" s="112"/>
      <c r="IR10" s="113"/>
      <c r="IS10" s="187">
        <f>IF(COUNT(IS11:IS12)=0,"",SUM(IS11:IS12)/COUNT(IS11:IS12))</f>
        <v>2</v>
      </c>
      <c r="IT10" s="188" t="str">
        <f t="shared" si="52"/>
        <v>C</v>
      </c>
      <c r="IU10" s="181"/>
      <c r="IV10" s="112"/>
      <c r="IW10" s="112"/>
      <c r="IX10" s="113"/>
      <c r="IY10" s="187">
        <f>IF(COUNT(IY11,IY12)=0,"",SUM(IY11:IY12)/COUNT(IY11,IY12))</f>
        <v>3</v>
      </c>
      <c r="IZ10" s="203" t="str">
        <f t="shared" si="53"/>
        <v>B</v>
      </c>
      <c r="JA10" s="181"/>
      <c r="JB10" s="112"/>
      <c r="JC10" s="112"/>
      <c r="JD10" s="113"/>
      <c r="JE10" s="187" t="str">
        <f>IF(COUNT(JE11,JE12)=0,"",SUM(JE11:JE12)/COUNT(JE11,JE12))</f>
        <v/>
      </c>
      <c r="JF10" s="211" t="str">
        <f t="shared" si="54"/>
        <v/>
      </c>
      <c r="JG10" s="212">
        <f>IF(COUNT(JG11:JG12)=0,"",SUM(JG11:JG12)/COUNT(JG11:JG12))</f>
        <v>2</v>
      </c>
      <c r="JH10" s="213" t="str">
        <f t="shared" si="55"/>
        <v>C</v>
      </c>
      <c r="JI10" s="223"/>
      <c r="JJ10" s="112"/>
      <c r="JK10" s="113"/>
      <c r="JL10" s="187">
        <f>IF(COUNT(JL11:JL12)=0,"",SUM(JL11:JL12)/COUNT(JL11:JL12))</f>
        <v>2</v>
      </c>
      <c r="JM10" s="188" t="str">
        <f t="shared" si="56"/>
        <v>C</v>
      </c>
      <c r="JN10" s="181"/>
      <c r="JO10" s="112"/>
      <c r="JP10" s="112"/>
      <c r="JQ10" s="113"/>
      <c r="JR10" s="187">
        <f>IF(COUNT(JR11,JR12)=0,"",SUM(JR11:JR12)/COUNT(JR11,JR12))</f>
        <v>3</v>
      </c>
      <c r="JS10" s="203" t="str">
        <f t="shared" si="57"/>
        <v>B</v>
      </c>
      <c r="JT10" s="181"/>
      <c r="JU10" s="112"/>
      <c r="JV10" s="112"/>
      <c r="JW10" s="113"/>
      <c r="JX10" s="187" t="str">
        <f>IF(COUNT(JX11,JX12)=0,"",SUM(JX11:JX12)/COUNT(JX11,JX12))</f>
        <v/>
      </c>
      <c r="JY10" s="211" t="str">
        <f t="shared" si="58"/>
        <v/>
      </c>
      <c r="JZ10" s="212">
        <f>IF(COUNT(JZ11:JZ12)=0,"",SUM(JZ11:JZ12)/COUNT(JZ11:JZ12))</f>
        <v>2</v>
      </c>
      <c r="KA10" s="213" t="str">
        <f t="shared" si="59"/>
        <v>C</v>
      </c>
      <c r="KB10" s="223"/>
      <c r="KC10" s="112"/>
      <c r="KD10" s="113"/>
      <c r="KE10" s="187">
        <f>IF(COUNT(KE11:KE12)=0,"",SUM(KE11:KE12)/COUNT(KE11:KE12))</f>
        <v>2.5</v>
      </c>
      <c r="KF10" s="188" t="str">
        <f t="shared" si="60"/>
        <v>C</v>
      </c>
      <c r="KG10" s="181"/>
      <c r="KH10" s="112"/>
      <c r="KI10" s="112"/>
      <c r="KJ10" s="113"/>
      <c r="KK10" s="187">
        <f>IF(COUNT(KK11,KK12)=0,"",SUM(KK11:KK12)/COUNT(KK11,KK12))</f>
        <v>4</v>
      </c>
      <c r="KL10" s="203" t="str">
        <f t="shared" si="61"/>
        <v>A</v>
      </c>
      <c r="KM10" s="181"/>
      <c r="KN10" s="112"/>
      <c r="KO10" s="112"/>
      <c r="KP10" s="113"/>
      <c r="KQ10" s="187" t="str">
        <f>IF(COUNT(KQ11,KQ12)=0,"",SUM(KQ11:KQ12)/COUNT(KQ11,KQ12))</f>
        <v/>
      </c>
      <c r="KR10" s="211" t="str">
        <f t="shared" si="62"/>
        <v/>
      </c>
      <c r="KS10" s="212">
        <f>IF(COUNT(KS11:KS12)=0,"",SUM(KS11:KS12)/COUNT(KS11:KS12))</f>
        <v>2.75</v>
      </c>
      <c r="KT10" s="213" t="str">
        <f t="shared" si="63"/>
        <v>C</v>
      </c>
      <c r="KU10" s="223"/>
      <c r="KV10" s="112"/>
      <c r="KW10" s="113"/>
      <c r="KX10" s="187">
        <f>IF(COUNT(KX11:KX12)=0,"",SUM(KX11:KX12)/COUNT(KX11:KX12))</f>
        <v>2.5</v>
      </c>
      <c r="KY10" s="188" t="str">
        <f t="shared" si="64"/>
        <v>C</v>
      </c>
      <c r="KZ10" s="181"/>
      <c r="LA10" s="112"/>
      <c r="LB10" s="112"/>
      <c r="LC10" s="113"/>
      <c r="LD10" s="187">
        <f>IF(COUNT(LD11,LD12)=0,"",SUM(LD11:LD12)/COUNT(LD11,LD12))</f>
        <v>3</v>
      </c>
      <c r="LE10" s="203" t="str">
        <f t="shared" si="65"/>
        <v>B</v>
      </c>
      <c r="LF10" s="181"/>
      <c r="LG10" s="112"/>
      <c r="LH10" s="112"/>
      <c r="LI10" s="113"/>
      <c r="LJ10" s="187" t="str">
        <f>IF(COUNT(LJ11,LJ12)=0,"",SUM(LJ11:LJ12)/COUNT(LJ11,LJ12))</f>
        <v/>
      </c>
      <c r="LK10" s="211" t="str">
        <f t="shared" si="66"/>
        <v/>
      </c>
      <c r="LL10" s="212">
        <f>IF(COUNT(LL11:LL12)=0,"",SUM(LL11:LL12)/COUNT(LL11:LL12))</f>
        <v>2.5</v>
      </c>
      <c r="LM10" s="213" t="str">
        <f t="shared" si="67"/>
        <v>C</v>
      </c>
      <c r="LN10" s="223"/>
      <c r="LO10" s="112"/>
      <c r="LP10" s="113"/>
      <c r="LQ10" s="187">
        <f>IF(COUNT(LQ11:LQ12)=0,"",SUM(LQ11:LQ12)/COUNT(LQ11:LQ12))</f>
        <v>3</v>
      </c>
      <c r="LR10" s="188" t="str">
        <f t="shared" si="68"/>
        <v>B</v>
      </c>
      <c r="LS10" s="181"/>
      <c r="LT10" s="112"/>
      <c r="LU10" s="112"/>
      <c r="LV10" s="113"/>
      <c r="LW10" s="187">
        <f>IF(COUNT(LW11,LW12)=0,"",SUM(LW11:LW12)/COUNT(LW11,LW12))</f>
        <v>3.5</v>
      </c>
      <c r="LX10" s="203" t="str">
        <f t="shared" si="69"/>
        <v>B</v>
      </c>
      <c r="LY10" s="181"/>
      <c r="LZ10" s="112"/>
      <c r="MA10" s="112"/>
      <c r="MB10" s="113"/>
      <c r="MC10" s="187" t="str">
        <f>IF(COUNT(MC11,MC12)=0,"",SUM(MC11:MC12)/COUNT(MC11,MC12))</f>
        <v/>
      </c>
      <c r="MD10" s="211" t="str">
        <f t="shared" si="70"/>
        <v/>
      </c>
      <c r="ME10" s="212">
        <f>IF(COUNT(ME11:ME12)=0,"",SUM(ME11:ME12)/COUNT(ME11:ME12))</f>
        <v>3.125</v>
      </c>
      <c r="MF10" s="213" t="str">
        <f t="shared" si="71"/>
        <v>B</v>
      </c>
      <c r="MG10" s="223"/>
      <c r="MH10" s="112"/>
      <c r="MI10" s="113"/>
      <c r="MJ10" s="187">
        <f>IF(COUNT(MJ11:MJ12)=0,"",SUM(MJ11:MJ12)/COUNT(MJ11:MJ12))</f>
        <v>2</v>
      </c>
      <c r="MK10" s="188" t="str">
        <f t="shared" si="72"/>
        <v>C</v>
      </c>
      <c r="ML10" s="181"/>
      <c r="MM10" s="112"/>
      <c r="MN10" s="112"/>
      <c r="MO10" s="113"/>
      <c r="MP10" s="187">
        <f>IF(COUNT(MP11,MP12)=0,"",SUM(MP11:MP12)/COUNT(MP11,MP12))</f>
        <v>3.5</v>
      </c>
      <c r="MQ10" s="203" t="str">
        <f t="shared" si="73"/>
        <v>B</v>
      </c>
      <c r="MR10" s="181"/>
      <c r="MS10" s="112"/>
      <c r="MT10" s="112"/>
      <c r="MU10" s="113"/>
      <c r="MV10" s="187" t="str">
        <f>IF(COUNT(MV11,MV12)=0,"",SUM(MV11:MV12)/COUNT(MV11,MV12))</f>
        <v/>
      </c>
      <c r="MW10" s="211" t="str">
        <f t="shared" si="74"/>
        <v/>
      </c>
      <c r="MX10" s="212">
        <f>IF(COUNT(MX11:MX12)=0,"",SUM(MX11:MX12)/COUNT(MX11:MX12))</f>
        <v>2.125</v>
      </c>
      <c r="MY10" s="213" t="str">
        <f t="shared" si="75"/>
        <v>C</v>
      </c>
      <c r="MZ10" s="223"/>
      <c r="NA10" s="112"/>
      <c r="NB10" s="113"/>
      <c r="NC10" s="187">
        <f>IF(COUNT(NC11:NC12)=0,"",SUM(NC11:NC12)/COUNT(NC11:NC12))</f>
        <v>2.75</v>
      </c>
      <c r="ND10" s="188" t="str">
        <f t="shared" si="76"/>
        <v>C</v>
      </c>
      <c r="NE10" s="181"/>
      <c r="NF10" s="112"/>
      <c r="NG10" s="112"/>
      <c r="NH10" s="113"/>
      <c r="NI10" s="187">
        <f>IF(COUNT(NI11,NI12)=0,"",SUM(NI11:NI12)/COUNT(NI11,NI12))</f>
        <v>4</v>
      </c>
      <c r="NJ10" s="203" t="str">
        <f t="shared" si="77"/>
        <v>A</v>
      </c>
      <c r="NK10" s="181"/>
      <c r="NL10" s="112"/>
      <c r="NM10" s="112"/>
      <c r="NN10" s="113"/>
      <c r="NO10" s="187" t="str">
        <f>IF(COUNT(NO11,NO12)=0,"",SUM(NO11:NO12)/COUNT(NO11,NO12))</f>
        <v/>
      </c>
      <c r="NP10" s="211" t="str">
        <f t="shared" si="78"/>
        <v/>
      </c>
      <c r="NQ10" s="212">
        <f>IF(COUNT(NQ11:NQ12)=0,"",SUM(NQ11:NQ12)/COUNT(NQ11:NQ12))</f>
        <v>2.875</v>
      </c>
      <c r="NR10" s="213" t="str">
        <f t="shared" si="79"/>
        <v>B</v>
      </c>
      <c r="NS10" s="223"/>
      <c r="NT10" s="112"/>
      <c r="NU10" s="113"/>
      <c r="NV10" s="187">
        <f>IF(COUNT(NV11:NV12)=0,"",SUM(NV11:NV12)/COUNT(NV11:NV12))</f>
        <v>3</v>
      </c>
      <c r="NW10" s="188" t="str">
        <f t="shared" si="80"/>
        <v>B</v>
      </c>
      <c r="NX10" s="181"/>
      <c r="NY10" s="112"/>
      <c r="NZ10" s="112"/>
      <c r="OA10" s="113"/>
      <c r="OB10" s="187">
        <f>IF(COUNT(OB11,OB12)=0,"",SUM(OB11:OB12)/COUNT(OB11,OB12))</f>
        <v>4</v>
      </c>
      <c r="OC10" s="203" t="str">
        <f t="shared" si="81"/>
        <v>A</v>
      </c>
      <c r="OD10" s="181"/>
      <c r="OE10" s="112"/>
      <c r="OF10" s="112"/>
      <c r="OG10" s="113"/>
      <c r="OH10" s="187" t="str">
        <f>IF(COUNT(OH11,OH12)=0,"",SUM(OH11:OH12)/COUNT(OH11,OH12))</f>
        <v/>
      </c>
      <c r="OI10" s="211" t="str">
        <f t="shared" si="82"/>
        <v/>
      </c>
      <c r="OJ10" s="212">
        <f>IF(COUNT(OJ11:OJ12)=0,"",SUM(OJ11:OJ12)/COUNT(OJ11:OJ12))</f>
        <v>3</v>
      </c>
      <c r="OK10" s="213" t="str">
        <f t="shared" si="83"/>
        <v>B</v>
      </c>
      <c r="OL10" s="223"/>
      <c r="OM10" s="112"/>
      <c r="ON10" s="113"/>
      <c r="OO10" s="187">
        <f>IF(COUNT(OO11:OO12)=0,"",SUM(OO11:OO12)/COUNT(OO11:OO12))</f>
        <v>3.25</v>
      </c>
      <c r="OP10" s="188" t="str">
        <f t="shared" si="84"/>
        <v>B</v>
      </c>
      <c r="OQ10" s="181"/>
      <c r="OR10" s="112"/>
      <c r="OS10" s="112"/>
      <c r="OT10" s="113"/>
      <c r="OU10" s="187">
        <f>IF(COUNT(OU11,OU12)=0,"",SUM(OU11:OU12)/COUNT(OU11,OU12))</f>
        <v>4</v>
      </c>
      <c r="OV10" s="203" t="str">
        <f t="shared" si="85"/>
        <v>A</v>
      </c>
      <c r="OW10" s="181"/>
      <c r="OX10" s="112"/>
      <c r="OY10" s="112"/>
      <c r="OZ10" s="113"/>
      <c r="PA10" s="187" t="str">
        <f>IF(COUNT(PA11,PA12)=0,"",SUM(PA11:PA12)/COUNT(PA11,PA12))</f>
        <v/>
      </c>
      <c r="PB10" s="211" t="str">
        <f t="shared" si="86"/>
        <v/>
      </c>
      <c r="PC10" s="212">
        <f>IF(COUNT(PC11:PC12)=0,"",SUM(PC11:PC12)/COUNT(PC11:PC12))</f>
        <v>3.375</v>
      </c>
      <c r="PD10" s="213" t="str">
        <f t="shared" si="87"/>
        <v>B</v>
      </c>
      <c r="PE10" s="223"/>
      <c r="PF10" s="112"/>
      <c r="PG10" s="113"/>
      <c r="PH10" s="187">
        <f>IF(COUNT(PH11:PH12)=0,"",SUM(PH11:PH12)/COUNT(PH11:PH12))</f>
        <v>2.5</v>
      </c>
      <c r="PI10" s="188" t="str">
        <f t="shared" si="88"/>
        <v>C</v>
      </c>
      <c r="PJ10" s="181"/>
      <c r="PK10" s="112"/>
      <c r="PL10" s="112"/>
      <c r="PM10" s="113"/>
      <c r="PN10" s="187">
        <f>IF(COUNT(PN11,PN12)=0,"",SUM(PN11:PN12)/COUNT(PN11,PN12))</f>
        <v>3</v>
      </c>
      <c r="PO10" s="203" t="str">
        <f t="shared" si="89"/>
        <v>B</v>
      </c>
      <c r="PP10" s="181"/>
      <c r="PQ10" s="112"/>
      <c r="PR10" s="112"/>
      <c r="PS10" s="113"/>
      <c r="PT10" s="187" t="str">
        <f>IF(COUNT(PT11,PT12)=0,"",SUM(PT11:PT12)/COUNT(PT11,PT12))</f>
        <v/>
      </c>
      <c r="PU10" s="211" t="str">
        <f t="shared" si="90"/>
        <v/>
      </c>
      <c r="PV10" s="212">
        <f>IF(COUNT(PV11:PV12)=0,"",SUM(PV11:PV12)/COUNT(PV11:PV12))</f>
        <v>2.5</v>
      </c>
      <c r="PW10" s="213" t="str">
        <f t="shared" si="91"/>
        <v>C</v>
      </c>
      <c r="PX10" s="223"/>
      <c r="PY10" s="112"/>
      <c r="PZ10" s="113"/>
      <c r="QA10" s="187">
        <f>IF(COUNT(QA11:QA12)=0,"",SUM(QA11:QA12)/COUNT(QA11:QA12))</f>
        <v>2.75</v>
      </c>
      <c r="QB10" s="188" t="str">
        <f t="shared" si="92"/>
        <v>C</v>
      </c>
      <c r="QC10" s="181"/>
      <c r="QD10" s="112"/>
      <c r="QE10" s="112"/>
      <c r="QF10" s="113"/>
      <c r="QG10" s="187">
        <f>IF(COUNT(QG11,QG12)=0,"",SUM(QG11:QG12)/COUNT(QG11,QG12))</f>
        <v>3.5</v>
      </c>
      <c r="QH10" s="203" t="str">
        <f t="shared" si="93"/>
        <v>B</v>
      </c>
      <c r="QI10" s="181"/>
      <c r="QJ10" s="112"/>
      <c r="QK10" s="112"/>
      <c r="QL10" s="113"/>
      <c r="QM10" s="187" t="str">
        <f>IF(COUNT(QM11,QM12)=0,"",SUM(QM11:QM12)/COUNT(QM11,QM12))</f>
        <v/>
      </c>
      <c r="QN10" s="211" t="str">
        <f t="shared" si="94"/>
        <v/>
      </c>
      <c r="QO10" s="212">
        <f>IF(COUNT(QO11:QO12)=0,"",SUM(QO11:QO12)/COUNT(QO11:QO12))</f>
        <v>2.75</v>
      </c>
      <c r="QP10" s="213" t="str">
        <f t="shared" si="95"/>
        <v>C</v>
      </c>
      <c r="QQ10" s="223"/>
      <c r="QR10" s="112"/>
      <c r="QS10" s="113"/>
      <c r="QT10" s="187">
        <f>IF(COUNT(QT11:QT12)=0,"",SUM(QT11:QT12)/COUNT(QT11:QT12))</f>
        <v>3.25</v>
      </c>
      <c r="QU10" s="188" t="str">
        <f t="shared" si="96"/>
        <v>B</v>
      </c>
      <c r="QV10" s="181"/>
      <c r="QW10" s="112"/>
      <c r="QX10" s="112"/>
      <c r="QY10" s="113"/>
      <c r="QZ10" s="187">
        <f>IF(COUNT(QZ11,QZ12)=0,"",SUM(QZ11:QZ12)/COUNT(QZ11,QZ12))</f>
        <v>3.5</v>
      </c>
      <c r="RA10" s="203" t="str">
        <f t="shared" si="97"/>
        <v>B</v>
      </c>
      <c r="RB10" s="181"/>
      <c r="RC10" s="112"/>
      <c r="RD10" s="112"/>
      <c r="RE10" s="113"/>
      <c r="RF10" s="187" t="str">
        <f>IF(COUNT(RF11,RF12)=0,"",SUM(RF11:RF12)/COUNT(RF11,RF12))</f>
        <v/>
      </c>
      <c r="RG10" s="211" t="str">
        <f t="shared" si="98"/>
        <v/>
      </c>
      <c r="RH10" s="212">
        <f>IF(COUNT(RH11:RH12)=0,"",SUM(RH11:RH12)/COUNT(RH11:RH12))</f>
        <v>3.25</v>
      </c>
      <c r="RI10" s="213" t="str">
        <f t="shared" si="99"/>
        <v>B</v>
      </c>
      <c r="RJ10" s="223"/>
      <c r="RK10" s="112"/>
      <c r="RL10" s="113"/>
      <c r="RM10" s="187">
        <f>IF(COUNT(RM11:RM12)=0,"",SUM(RM11:RM12)/COUNT(RM11:RM12))</f>
        <v>2</v>
      </c>
      <c r="RN10" s="188" t="str">
        <f t="shared" si="100"/>
        <v>C</v>
      </c>
      <c r="RO10" s="181"/>
      <c r="RP10" s="112"/>
      <c r="RQ10" s="112"/>
      <c r="RR10" s="113"/>
      <c r="RS10" s="187">
        <f>IF(COUNT(RS11,RS12)=0,"",SUM(RS11:RS12)/COUNT(RS11,RS12))</f>
        <v>4</v>
      </c>
      <c r="RT10" s="203" t="str">
        <f t="shared" si="101"/>
        <v>A</v>
      </c>
      <c r="RU10" s="181"/>
      <c r="RV10" s="112"/>
      <c r="RW10" s="112"/>
      <c r="RX10" s="113"/>
      <c r="RY10" s="187" t="str">
        <f>IF(COUNT(RY11,RY12)=0,"",SUM(RY11:RY12)/COUNT(RY11,RY12))</f>
        <v/>
      </c>
      <c r="RZ10" s="211" t="str">
        <f t="shared" si="102"/>
        <v/>
      </c>
      <c r="SA10" s="212">
        <f>IF(COUNT(SA11:SA12)=0,"",SUM(SA11:SA12)/COUNT(SA11:SA12))</f>
        <v>2.25</v>
      </c>
      <c r="SB10" s="213" t="str">
        <f t="shared" si="103"/>
        <v>C</v>
      </c>
      <c r="SC10" s="144"/>
      <c r="SD10" s="112"/>
      <c r="SE10" s="113"/>
      <c r="SF10" s="108" t="str">
        <f>IF(COUNT(SF11:SF12)=0,"",SUM(SF11:SF12)/COUNT(SF11:SF12))</f>
        <v/>
      </c>
      <c r="SG10" s="109" t="str">
        <f t="shared" si="104"/>
        <v/>
      </c>
      <c r="SH10" s="111"/>
      <c r="SI10" s="112"/>
      <c r="SJ10" s="113"/>
      <c r="SK10" s="108" t="str">
        <f>IF(COUNT(SK11,SK12)=0,"",SUM(SK11:SK12)/COUNT(SK11,SK12))</f>
        <v/>
      </c>
      <c r="SL10" s="110" t="str">
        <f t="shared" si="105"/>
        <v/>
      </c>
      <c r="SM10" s="111"/>
      <c r="SN10" s="112"/>
      <c r="SO10" s="113"/>
      <c r="SP10" s="108" t="str">
        <f>IF(COUNT(SP11,SP12)=0,"",SUM(SP11:SP12)/COUNT(SP11,SP12))</f>
        <v/>
      </c>
      <c r="SQ10" s="114" t="str">
        <f t="shared" si="106"/>
        <v/>
      </c>
      <c r="SR10" s="115" t="str">
        <f>IF(COUNT(SR11:SR12)=0,"",SUM(SR11:SR12)/COUNT(SR11:SR12))</f>
        <v/>
      </c>
      <c r="SS10" s="116" t="str">
        <f t="shared" si="107"/>
        <v/>
      </c>
      <c r="ST10" s="144"/>
      <c r="SU10" s="112"/>
      <c r="SV10" s="113"/>
      <c r="SW10" s="108" t="str">
        <f>IF(COUNT(SW11:SW12)=0,"",SUM(SW11:SW12)/COUNT(SW11:SW12))</f>
        <v/>
      </c>
      <c r="SX10" s="109" t="str">
        <f t="shared" si="108"/>
        <v/>
      </c>
      <c r="SY10" s="111"/>
      <c r="SZ10" s="112"/>
      <c r="TA10" s="113"/>
      <c r="TB10" s="108" t="str">
        <f>IF(COUNT(TB11,TB12)=0,"",SUM(TB11:TB12)/COUNT(TB11,TB12))</f>
        <v/>
      </c>
      <c r="TC10" s="110" t="str">
        <f t="shared" si="109"/>
        <v/>
      </c>
      <c r="TD10" s="111"/>
      <c r="TE10" s="112"/>
      <c r="TF10" s="113"/>
      <c r="TG10" s="108" t="str">
        <f>IF(COUNT(TG11,TG12)=0,"",SUM(TG11:TG12)/COUNT(TG11,TG12))</f>
        <v/>
      </c>
      <c r="TH10" s="114" t="str">
        <f t="shared" si="110"/>
        <v/>
      </c>
      <c r="TI10" s="115" t="str">
        <f>IF(COUNT(TI11:TI12)=0,"",SUM(TI11:TI12)/COUNT(TI11:TI12))</f>
        <v/>
      </c>
      <c r="TJ10" s="116" t="str">
        <f t="shared" si="111"/>
        <v/>
      </c>
      <c r="TK10" s="144"/>
      <c r="TL10" s="112"/>
      <c r="TM10" s="113"/>
      <c r="TN10" s="108" t="str">
        <f>IF(COUNT(TN11:TN12)=0,"",SUM(TN11:TN12)/COUNT(TN11:TN12))</f>
        <v/>
      </c>
      <c r="TO10" s="109" t="str">
        <f t="shared" si="112"/>
        <v/>
      </c>
      <c r="TP10" s="111"/>
      <c r="TQ10" s="112"/>
      <c r="TR10" s="113"/>
      <c r="TS10" s="108" t="str">
        <f>IF(COUNT(TS11,TS12)=0,"",SUM(TS11:TS12)/COUNT(TS11,TS12))</f>
        <v/>
      </c>
      <c r="TT10" s="110" t="str">
        <f t="shared" si="113"/>
        <v/>
      </c>
      <c r="TU10" s="111"/>
      <c r="TV10" s="112"/>
      <c r="TW10" s="113"/>
      <c r="TX10" s="108" t="str">
        <f>IF(COUNT(TX11,TX12)=0,"",SUM(TX11:TX12)/COUNT(TX11,TX12))</f>
        <v/>
      </c>
      <c r="TY10" s="114" t="str">
        <f t="shared" si="114"/>
        <v/>
      </c>
      <c r="TZ10" s="115" t="str">
        <f>IF(COUNT(TZ11:TZ12)=0,"",SUM(TZ11:TZ12)/COUNT(TZ11:TZ12))</f>
        <v/>
      </c>
      <c r="UA10" s="116" t="str">
        <f t="shared" si="115"/>
        <v/>
      </c>
      <c r="UB10" s="144"/>
      <c r="UC10" s="112"/>
      <c r="UD10" s="113"/>
      <c r="UE10" s="108" t="str">
        <f>IF(COUNT(UE11:UE12)=0,"",SUM(UE11:UE12)/COUNT(UE11:UE12))</f>
        <v/>
      </c>
      <c r="UF10" s="109" t="str">
        <f t="shared" si="116"/>
        <v/>
      </c>
      <c r="UG10" s="111"/>
      <c r="UH10" s="112"/>
      <c r="UI10" s="113"/>
      <c r="UJ10" s="108" t="str">
        <f>IF(COUNT(UJ11,UJ12)=0,"",SUM(UJ11:UJ12)/COUNT(UJ11,UJ12))</f>
        <v/>
      </c>
      <c r="UK10" s="110" t="str">
        <f t="shared" si="117"/>
        <v/>
      </c>
      <c r="UL10" s="111"/>
      <c r="UM10" s="112"/>
      <c r="UN10" s="113"/>
      <c r="UO10" s="108" t="str">
        <f>IF(COUNT(UO11,UO12)=0,"",SUM(UO11:UO12)/COUNT(UO11,UO12))</f>
        <v/>
      </c>
      <c r="UP10" s="114" t="str">
        <f t="shared" si="118"/>
        <v/>
      </c>
      <c r="UQ10" s="115" t="str">
        <f>IF(COUNT(UQ11:UQ12)=0,"",SUM(UQ11:UQ12)/COUNT(UQ11:UQ12))</f>
        <v/>
      </c>
      <c r="UR10" s="116" t="str">
        <f t="shared" si="119"/>
        <v/>
      </c>
    </row>
    <row r="11" spans="1:564" ht="18" customHeight="1" x14ac:dyDescent="0.25">
      <c r="A11" s="250" t="s">
        <v>18</v>
      </c>
      <c r="B11" s="251"/>
      <c r="C11" s="127" t="s">
        <v>30</v>
      </c>
      <c r="D11" s="128" t="s">
        <v>30</v>
      </c>
      <c r="E11" s="133"/>
      <c r="F11" s="189">
        <f>IFERROR((((COUNTIF('Elève (4ème4)'!C11:E11,"A"))*4)+((COUNTIF('Elève (4ème4)'!C11:E11,"B"))*3)+((COUNTIF('Elève (4ème4)'!C11:E11,"C"))*2)+((COUNTIF('Elève (4ème4)'!C11:E11,"D"))*1))/(COUNTA(C11:E11)),"")</f>
        <v>3</v>
      </c>
      <c r="G11" s="190" t="str">
        <f t="shared" si="0"/>
        <v>B</v>
      </c>
      <c r="H11" s="127"/>
      <c r="I11" s="132"/>
      <c r="J11" s="129" t="s">
        <v>29</v>
      </c>
      <c r="K11" s="133"/>
      <c r="L11" s="189">
        <f>IFERROR((((COUNTIF('Elève (4ème4)'!H11:K11,"A"))*4)+((COUNTIF('Elève (4ème4)'!H11:K11,"B"))*3)+((COUNTIF('Elève (4ème4)'!H11:K11,"C"))*2)+((COUNTIF('Elève (4ème4)'!H11:K11,"D"))*1))/(COUNTA(H11:K11)),"")</f>
        <v>4</v>
      </c>
      <c r="M11" s="190" t="str">
        <f t="shared" si="1"/>
        <v>A</v>
      </c>
      <c r="N11" s="134"/>
      <c r="O11" s="132"/>
      <c r="P11" s="133"/>
      <c r="Q11" s="133"/>
      <c r="R11" s="189" t="str">
        <f>IFERROR((((COUNTIF('Elève (4ème4)'!N11:Q11,"A"))*4)+((COUNTIF('Elève (4ème4)'!N11:Q11,"B"))*3)+((COUNTIF('Elève (4ème4)'!N11:Q11,"C"))*2)+((COUNTIF('Elève (4ème4)'!N11:Q11,"D"))*1))/(COUNTA(N11:Q11)),"")</f>
        <v/>
      </c>
      <c r="S11" s="190" t="str">
        <f t="shared" si="2"/>
        <v/>
      </c>
      <c r="T11" s="217">
        <f>IF(COUNT(F11,L11,R11)=0,"",SUM(F11,L11,R11)/COUNT(F11,L11,R11))</f>
        <v>3.5</v>
      </c>
      <c r="U11" s="214" t="str">
        <f t="shared" si="3"/>
        <v>B</v>
      </c>
      <c r="V11" s="127" t="s">
        <v>30</v>
      </c>
      <c r="W11" s="128" t="s">
        <v>29</v>
      </c>
      <c r="X11" s="133"/>
      <c r="Y11" s="189">
        <f>IFERROR((((COUNTIF('Elève (4ème4)'!V11:X11,"A"))*4)+((COUNTIF('Elève (4ème4)'!V11:X11,"B"))*3)+((COUNTIF('Elève (4ème4)'!V11:X11,"C"))*2)+((COUNTIF('Elève (4ème4)'!V11:X11,"D"))*1))/(COUNTA(V11:X11)),"")</f>
        <v>3.5</v>
      </c>
      <c r="Z11" s="190" t="str">
        <f t="shared" si="4"/>
        <v>B</v>
      </c>
      <c r="AA11" s="127" t="s">
        <v>29</v>
      </c>
      <c r="AB11" s="132"/>
      <c r="AC11" s="129" t="s">
        <v>30</v>
      </c>
      <c r="AD11" s="133"/>
      <c r="AE11" s="189">
        <f>IFERROR((((COUNTIF('Elève (4ème4)'!AA11:AD11,"A"))*4)+((COUNTIF('Elève (4ème4)'!AA11:AD11,"B"))*3)+((COUNTIF('Elève (4ème4)'!AA11:AD11,"C"))*2)+((COUNTIF('Elève (4ème4)'!AA11:AD11,"D"))*1))/(COUNTA(AA11:AD11)),"")</f>
        <v>3.5</v>
      </c>
      <c r="AF11" s="190" t="str">
        <f t="shared" si="5"/>
        <v>B</v>
      </c>
      <c r="AG11" s="134"/>
      <c r="AH11" s="132"/>
      <c r="AI11" s="133"/>
      <c r="AJ11" s="136"/>
      <c r="AK11" s="189" t="str">
        <f>IFERROR((((COUNTIF('Elève (4ème4)'!AG11:AJ11,"A"))*4)+((COUNTIF('Elève (4ème4)'!AG11:AJ11,"B"))*3)+((COUNTIF('Elève (4ème4)'!AG11:AJ11,"C"))*2)+((COUNTIF('Elève (4ème4)'!AG11:AJ11,"D"))*1))/(COUNTA(AG11:AJ11)),"")</f>
        <v/>
      </c>
      <c r="AL11" s="190" t="str">
        <f t="shared" si="6"/>
        <v/>
      </c>
      <c r="AM11" s="217">
        <f>IF(COUNT(Y11,AE11,AK11)=0,"",SUM(Y11,AE11,AK11)/COUNT(Y11,AE11,AK11))</f>
        <v>3.5</v>
      </c>
      <c r="AN11" s="214" t="str">
        <f t="shared" si="7"/>
        <v>B</v>
      </c>
      <c r="AO11" s="127" t="s">
        <v>29</v>
      </c>
      <c r="AP11" s="128" t="s">
        <v>30</v>
      </c>
      <c r="AQ11" s="133"/>
      <c r="AR11" s="189">
        <f>IFERROR((((COUNTIF('Elève (4ème4)'!AO11:AQ11,"A"))*4)+((COUNTIF('Elève (4ème4)'!AO11:AQ11,"B"))*3)+((COUNTIF('Elève (4ème4)'!AO11:AQ11,"C"))*2)+((COUNTIF('Elève (4ème4)'!AO11:AQ11,"D"))*1))/(COUNTA(AO11:AQ11)),"")</f>
        <v>3.5</v>
      </c>
      <c r="AS11" s="190" t="str">
        <f t="shared" si="8"/>
        <v>B</v>
      </c>
      <c r="AT11" s="127" t="s">
        <v>30</v>
      </c>
      <c r="AU11" s="132"/>
      <c r="AV11" s="129" t="s">
        <v>30</v>
      </c>
      <c r="AW11" s="133"/>
      <c r="AX11" s="189">
        <f>IFERROR((((COUNTIF('Elève (4ème4)'!AT11:AW11,"A"))*4)+((COUNTIF('Elève (4ème4)'!AT11:AW11,"B"))*3)+((COUNTIF('Elève (4ème4)'!AT11:AW11,"C"))*2)+((COUNTIF('Elève (4ème4)'!AT11:AW11,"D"))*1))/(COUNTA(AT11:AW11)),"")</f>
        <v>3</v>
      </c>
      <c r="AY11" s="190" t="str">
        <f t="shared" si="9"/>
        <v>B</v>
      </c>
      <c r="AZ11" s="134"/>
      <c r="BA11" s="132"/>
      <c r="BB11" s="133"/>
      <c r="BC11" s="136"/>
      <c r="BD11" s="189" t="str">
        <f>IFERROR((((COUNTIF('Elève (4ème4)'!AZ11:BC11,"A"))*4)+((COUNTIF('Elève (4ème4)'!AZ11:BC11,"B"))*3)+((COUNTIF('Elève (4ème4)'!AZ11:BC11,"C"))*2)+((COUNTIF('Elève (4ème4)'!AZ11:BC11,"D"))*1))/(COUNTA(AZ11:BC11)),"")</f>
        <v/>
      </c>
      <c r="BE11" s="190" t="str">
        <f t="shared" si="10"/>
        <v/>
      </c>
      <c r="BF11" s="217">
        <f>IF(COUNT(AR11,AX11,BD11)=0,"",SUM(AR11,AX11,BD11)/COUNT(AR11,AX11,BD11))</f>
        <v>3.25</v>
      </c>
      <c r="BG11" s="214" t="str">
        <f t="shared" si="11"/>
        <v>B</v>
      </c>
      <c r="BH11" s="127" t="s">
        <v>30</v>
      </c>
      <c r="BI11" s="128" t="s">
        <v>30</v>
      </c>
      <c r="BJ11" s="133"/>
      <c r="BK11" s="189">
        <f>IFERROR((((COUNTIF('Elève (4ème4)'!BH11:BJ11,"A"))*4)+((COUNTIF('Elève (4ème4)'!BH11:BJ11,"B"))*3)+((COUNTIF('Elève (4ème4)'!BH11:BJ11,"C"))*2)+((COUNTIF('Elève (4ème4)'!BH11:BJ11,"D"))*1))/(COUNTA(BH11:BJ11)),"")</f>
        <v>3</v>
      </c>
      <c r="BL11" s="190" t="str">
        <f t="shared" si="12"/>
        <v>B</v>
      </c>
      <c r="BM11" s="127" t="s">
        <v>30</v>
      </c>
      <c r="BN11" s="132"/>
      <c r="BO11" s="129" t="s">
        <v>30</v>
      </c>
      <c r="BP11" s="133"/>
      <c r="BQ11" s="189">
        <f>IFERROR((((COUNTIF('Elève (4ème4)'!BM11:BP11,"A"))*4)+((COUNTIF('Elève (4ème4)'!BM11:BP11,"B"))*3)+((COUNTIF('Elève (4ème4)'!BM11:BP11,"C"))*2)+((COUNTIF('Elève (4ème4)'!BM11:BP11,"D"))*1))/(COUNTA(BM11:BP11)),"")</f>
        <v>3</v>
      </c>
      <c r="BR11" s="190" t="str">
        <f t="shared" si="13"/>
        <v>B</v>
      </c>
      <c r="BS11" s="134"/>
      <c r="BT11" s="132"/>
      <c r="BU11" s="133"/>
      <c r="BV11" s="136"/>
      <c r="BW11" s="189" t="str">
        <f>IFERROR((((COUNTIF('Elève (4ème4)'!BS11:BV11,"A"))*4)+((COUNTIF('Elève (4ème4)'!BS11:BV11,"B"))*3)+((COUNTIF('Elève (4ème4)'!BS11:BV11,"C"))*2)+((COUNTIF('Elève (4ème4)'!BS11:BV11,"D"))*1))/(COUNTA(BS11:BV11)),"")</f>
        <v/>
      </c>
      <c r="BX11" s="190" t="str">
        <f t="shared" si="14"/>
        <v/>
      </c>
      <c r="BY11" s="217">
        <f>IF(COUNT(BK11,BQ11,BW11)=0,"",SUM(BK11,BQ11,BW11)/COUNT(BK11,BQ11,BW11))</f>
        <v>3</v>
      </c>
      <c r="BZ11" s="214" t="str">
        <f t="shared" si="15"/>
        <v>B</v>
      </c>
      <c r="CA11" s="127" t="s">
        <v>30</v>
      </c>
      <c r="CB11" s="128" t="s">
        <v>30</v>
      </c>
      <c r="CC11" s="133"/>
      <c r="CD11" s="189">
        <f>IFERROR((((COUNTIF('Elève (4ème4)'!CA11:CC11,"A"))*4)+((COUNTIF('Elève (4ème4)'!CA11:CC11,"B"))*3)+((COUNTIF('Elève (4ème4)'!CA11:CC11,"C"))*2)+((COUNTIF('Elève (4ème4)'!CA11:CC11,"D"))*1))/(COUNTA(CA11:CC11)),"")</f>
        <v>3</v>
      </c>
      <c r="CE11" s="190" t="str">
        <f t="shared" si="16"/>
        <v>B</v>
      </c>
      <c r="CF11" s="127" t="s">
        <v>29</v>
      </c>
      <c r="CG11" s="132"/>
      <c r="CH11" s="129"/>
      <c r="CI11" s="133"/>
      <c r="CJ11" s="189">
        <f>IFERROR((((COUNTIF('Elève (4ème4)'!CF11:CI11,"A"))*4)+((COUNTIF('Elève (4ème4)'!CF11:CI11,"B"))*3)+((COUNTIF('Elève (4ème4)'!CF11:CI11,"C"))*2)+((COUNTIF('Elève (4ème4)'!CF11:CI11,"D"))*1))/(COUNTA(CF11:CI11)),"")</f>
        <v>4</v>
      </c>
      <c r="CK11" s="190" t="str">
        <f t="shared" si="17"/>
        <v>A</v>
      </c>
      <c r="CL11" s="134"/>
      <c r="CM11" s="132"/>
      <c r="CN11" s="133"/>
      <c r="CO11" s="136"/>
      <c r="CP11" s="189" t="str">
        <f>IFERROR((((COUNTIF('Elève (4ème4)'!CL11:CO11,"A"))*4)+((COUNTIF('Elève (4ème4)'!CL11:CO11,"B"))*3)+((COUNTIF('Elève (4ème4)'!CL11:CO11,"C"))*2)+((COUNTIF('Elève (4ème4)'!CL11:CO11,"D"))*1))/(COUNTA(CL11:CO11)),"")</f>
        <v/>
      </c>
      <c r="CQ11" s="190" t="str">
        <f t="shared" si="18"/>
        <v/>
      </c>
      <c r="CR11" s="217">
        <f>IF(COUNT(CD11,CJ11,CP11)=0,"",SUM(CD11,CJ11,CP11)/COUNT(CD11,CJ11,CP11))</f>
        <v>3.5</v>
      </c>
      <c r="CS11" s="214" t="str">
        <f t="shared" si="19"/>
        <v>B</v>
      </c>
      <c r="CT11" s="127" t="s">
        <v>30</v>
      </c>
      <c r="CU11" s="128" t="s">
        <v>30</v>
      </c>
      <c r="CV11" s="133"/>
      <c r="CW11" s="189">
        <f>IFERROR((((COUNTIF('Elève (4ème4)'!CT11:CV11,"A"))*4)+((COUNTIF('Elève (4ème4)'!CT11:CV11,"B"))*3)+((COUNTIF('Elève (4ème4)'!CT11:CV11,"C"))*2)+((COUNTIF('Elève (4ème4)'!CT11:CV11,"D"))*1))/(COUNTA(CT11:CV11)),"")</f>
        <v>3</v>
      </c>
      <c r="CX11" s="190" t="str">
        <f t="shared" si="20"/>
        <v>B</v>
      </c>
      <c r="CY11" s="127" t="s">
        <v>30</v>
      </c>
      <c r="CZ11" s="132"/>
      <c r="DA11" s="129" t="s">
        <v>30</v>
      </c>
      <c r="DB11" s="133"/>
      <c r="DC11" s="189">
        <f>IFERROR((((COUNTIF('Elève (4ème4)'!CY11:DB11,"A"))*4)+((COUNTIF('Elève (4ème4)'!CY11:DB11,"B"))*3)+((COUNTIF('Elève (4ème4)'!CY11:DB11,"C"))*2)+((COUNTIF('Elève (4ème4)'!CY11:DB11,"D"))*1))/(COUNTA(CY11:DB11)),"")</f>
        <v>3</v>
      </c>
      <c r="DD11" s="190" t="str">
        <f t="shared" si="21"/>
        <v>B</v>
      </c>
      <c r="DE11" s="134"/>
      <c r="DF11" s="132"/>
      <c r="DG11" s="133"/>
      <c r="DH11" s="136"/>
      <c r="DI11" s="189" t="str">
        <f>IFERROR((((COUNTIF('Elève (4ème4)'!DE11:DH11,"A"))*4)+((COUNTIF('Elève (4ème4)'!DE11:DH11,"B"))*3)+((COUNTIF('Elève (4ème4)'!DE11:DH11,"C"))*2)+((COUNTIF('Elève (4ème4)'!DE11:DH11,"D"))*1))/(COUNTA(DE11:DH11)),"")</f>
        <v/>
      </c>
      <c r="DJ11" s="190" t="str">
        <f t="shared" si="22"/>
        <v/>
      </c>
      <c r="DK11" s="217">
        <f>IF(COUNT(CW11,DC11,DI11)=0,"",SUM(CW11,DC11,DI11)/COUNT(CW11,DC11,DI11))</f>
        <v>3</v>
      </c>
      <c r="DL11" s="214" t="str">
        <f t="shared" si="23"/>
        <v>B</v>
      </c>
      <c r="DM11" s="127" t="s">
        <v>30</v>
      </c>
      <c r="DN11" s="128" t="s">
        <v>29</v>
      </c>
      <c r="DO11" s="133"/>
      <c r="DP11" s="189">
        <f>IFERROR((((COUNTIF('Elève (4ème4)'!DM11:DO11,"A"))*4)+((COUNTIF('Elève (4ème4)'!DM11:DO11,"B"))*3)+((COUNTIF('Elève (4ème4)'!DM11:DO11,"C"))*2)+((COUNTIF('Elève (4ème4)'!DM11:DO11,"D"))*1))/(COUNTA(DM11:DO11)),"")</f>
        <v>3.5</v>
      </c>
      <c r="DQ11" s="190" t="str">
        <f t="shared" si="24"/>
        <v>B</v>
      </c>
      <c r="DR11" s="127" t="s">
        <v>30</v>
      </c>
      <c r="DS11" s="132"/>
      <c r="DT11" s="129"/>
      <c r="DU11" s="133"/>
      <c r="DV11" s="189">
        <f>IFERROR((((COUNTIF('Elève (4ème4)'!DR11:DU11,"A"))*4)+((COUNTIF('Elève (4ème4)'!DR11:DU11,"B"))*3)+((COUNTIF('Elève (4ème4)'!DR11:DU11,"C"))*2)+((COUNTIF('Elève (4ème4)'!DR11:DU11,"D"))*1))/(COUNTA(DR11:DU11)),"")</f>
        <v>3</v>
      </c>
      <c r="DW11" s="190" t="str">
        <f t="shared" si="25"/>
        <v>B</v>
      </c>
      <c r="DX11" s="134"/>
      <c r="DY11" s="132"/>
      <c r="DZ11" s="133"/>
      <c r="EA11" s="136"/>
      <c r="EB11" s="189" t="str">
        <f>IFERROR((((COUNTIF('Elève (4ème4)'!DX11:EA11,"A"))*4)+((COUNTIF('Elève (4ème4)'!DX11:EA11,"B"))*3)+((COUNTIF('Elève (4ème4)'!DX11:EA11,"C"))*2)+((COUNTIF('Elève (4ème4)'!DX11:EA11,"D"))*1))/(COUNTA(DX11:EA11)),"")</f>
        <v/>
      </c>
      <c r="EC11" s="190" t="str">
        <f t="shared" si="26"/>
        <v/>
      </c>
      <c r="ED11" s="217">
        <f>IF(COUNT(DP11,DV11,EB11)=0,"",SUM(DP11,DV11,EB11)/COUNT(DP11,DV11,EB11))</f>
        <v>3.25</v>
      </c>
      <c r="EE11" s="214" t="str">
        <f t="shared" si="27"/>
        <v>B</v>
      </c>
      <c r="EF11" s="127" t="s">
        <v>30</v>
      </c>
      <c r="EG11" s="128" t="s">
        <v>29</v>
      </c>
      <c r="EH11" s="133"/>
      <c r="EI11" s="189">
        <f>IFERROR((((COUNTIF('Elève (4ème4)'!EF11:EH11,"A"))*4)+((COUNTIF('Elève (4ème4)'!EF11:EH11,"B"))*3)+((COUNTIF('Elève (4ème4)'!EF11:EH11,"C"))*2)+((COUNTIF('Elève (4ème4)'!EF11:EH11,"D"))*1))/(COUNTA(EF11:EH11)),"")</f>
        <v>3.5</v>
      </c>
      <c r="EJ11" s="190" t="str">
        <f t="shared" si="28"/>
        <v>B</v>
      </c>
      <c r="EK11" s="127" t="s">
        <v>29</v>
      </c>
      <c r="EL11" s="132"/>
      <c r="EM11" s="129" t="s">
        <v>29</v>
      </c>
      <c r="EN11" s="133"/>
      <c r="EO11" s="189">
        <f>IFERROR((((COUNTIF('Elève (4ème4)'!EK11:EN11,"A"))*4)+((COUNTIF('Elève (4ème4)'!EK11:EN11,"B"))*3)+((COUNTIF('Elève (4ème4)'!EK11:EN11,"C"))*2)+((COUNTIF('Elève (4ème4)'!EK11:EN11,"D"))*1))/(COUNTA(EK11:EN11)),"")</f>
        <v>4</v>
      </c>
      <c r="EP11" s="190" t="str">
        <f t="shared" si="29"/>
        <v>A</v>
      </c>
      <c r="EQ11" s="134"/>
      <c r="ER11" s="132"/>
      <c r="ES11" s="133"/>
      <c r="ET11" s="136"/>
      <c r="EU11" s="189" t="str">
        <f>IFERROR((((COUNTIF('Elève (4ème4)'!EQ11:ET11,"A"))*4)+((COUNTIF('Elève (4ème4)'!EQ11:ET11,"B"))*3)+((COUNTIF('Elève (4ème4)'!EQ11:ET11,"C"))*2)+((COUNTIF('Elève (4ème4)'!EQ11:ET11,"D"))*1))/(COUNTA(EQ11:ET11)),"")</f>
        <v/>
      </c>
      <c r="EV11" s="190" t="str">
        <f t="shared" si="30"/>
        <v/>
      </c>
      <c r="EW11" s="217">
        <f>IF(COUNT(EI11,EO11,EU11)=0,"",SUM(EI11,EO11,EU11)/COUNT(EI11,EO11,EU11))</f>
        <v>3.75</v>
      </c>
      <c r="EX11" s="214" t="str">
        <f t="shared" si="31"/>
        <v>A</v>
      </c>
      <c r="EY11" s="127" t="s">
        <v>30</v>
      </c>
      <c r="EZ11" s="128" t="s">
        <v>30</v>
      </c>
      <c r="FA11" s="133"/>
      <c r="FB11" s="189">
        <f>IFERROR((((COUNTIF('Elève (4ème4)'!EY11:FA11,"A"))*4)+((COUNTIF('Elève (4ème4)'!EY11:FA11,"B"))*3)+((COUNTIF('Elève (4ème4)'!EY11:FA11,"C"))*2)+((COUNTIF('Elève (4ème4)'!EY11:FA11,"D"))*1))/(COUNTA(EY11:FA11)),"")</f>
        <v>3</v>
      </c>
      <c r="FC11" s="190" t="str">
        <f t="shared" si="32"/>
        <v>B</v>
      </c>
      <c r="FD11" s="127" t="s">
        <v>30</v>
      </c>
      <c r="FE11" s="132"/>
      <c r="FF11" s="129" t="s">
        <v>30</v>
      </c>
      <c r="FG11" s="133"/>
      <c r="FH11" s="189">
        <f>IFERROR((((COUNTIF('Elève (4ème4)'!FD11:FG11,"A"))*4)+((COUNTIF('Elève (4ème4)'!FD11:FG11,"B"))*3)+((COUNTIF('Elève (4ème4)'!FD11:FG11,"C"))*2)+((COUNTIF('Elève (4ème4)'!FD11:FG11,"D"))*1))/(COUNTA(FD11:FG11)),"")</f>
        <v>3</v>
      </c>
      <c r="FI11" s="190" t="str">
        <f t="shared" si="33"/>
        <v>B</v>
      </c>
      <c r="FJ11" s="134"/>
      <c r="FK11" s="132"/>
      <c r="FL11" s="133"/>
      <c r="FM11" s="136"/>
      <c r="FN11" s="189" t="str">
        <f>IFERROR((((COUNTIF('Elève (4ème4)'!FJ11:FM11,"A"))*4)+((COUNTIF('Elève (4ème4)'!FJ11:FM11,"B"))*3)+((COUNTIF('Elève (4ème4)'!FJ11:FM11,"C"))*2)+((COUNTIF('Elève (4ème4)'!FJ11:FM11,"D"))*1))/(COUNTA(FJ11:FM11)),"")</f>
        <v/>
      </c>
      <c r="FO11" s="190" t="str">
        <f t="shared" si="34"/>
        <v/>
      </c>
      <c r="FP11" s="217">
        <f>IF(COUNT(FB11,FH11,FN11)=0,"",SUM(FB11,FH11,FN11)/COUNT(FB11,FH11,FN11))</f>
        <v>3</v>
      </c>
      <c r="FQ11" s="214" t="str">
        <f t="shared" si="35"/>
        <v>B</v>
      </c>
      <c r="FR11" s="127" t="s">
        <v>30</v>
      </c>
      <c r="FS11" s="128" t="s">
        <v>30</v>
      </c>
      <c r="FT11" s="133"/>
      <c r="FU11" s="189">
        <f>IFERROR((((COUNTIF('Elève (4ème4)'!FR11:FT11,"A"))*4)+((COUNTIF('Elève (4ème4)'!FR11:FT11,"B"))*3)+((COUNTIF('Elève (4ème4)'!FR11:FT11,"C"))*2)+((COUNTIF('Elève (4ème4)'!FR11:FT11,"D"))*1))/(COUNTA(FR11:FT11)),"")</f>
        <v>3</v>
      </c>
      <c r="FV11" s="190" t="str">
        <f t="shared" si="36"/>
        <v>B</v>
      </c>
      <c r="FW11" s="127" t="s">
        <v>30</v>
      </c>
      <c r="FX11" s="132"/>
      <c r="FY11" s="129" t="s">
        <v>29</v>
      </c>
      <c r="FZ11" s="133"/>
      <c r="GA11" s="189">
        <f>IFERROR((((COUNTIF('Elève (4ème4)'!FW11:FZ11,"A"))*4)+((COUNTIF('Elève (4ème4)'!FW11:FZ11,"B"))*3)+((COUNTIF('Elève (4ème4)'!FW11:FZ11,"C"))*2)+((COUNTIF('Elève (4ème4)'!FW11:FZ11,"D"))*1))/(COUNTA(FW11:FZ11)),"")</f>
        <v>3.5</v>
      </c>
      <c r="GB11" s="190" t="str">
        <f t="shared" si="37"/>
        <v>B</v>
      </c>
      <c r="GC11" s="134"/>
      <c r="GD11" s="132"/>
      <c r="GE11" s="133"/>
      <c r="GF11" s="136"/>
      <c r="GG11" s="189" t="str">
        <f>IFERROR((((COUNTIF('Elève (4ème4)'!GC11:GF11,"A"))*4)+((COUNTIF('Elève (4ème4)'!GC11:GF11,"B"))*3)+((COUNTIF('Elève (4ème4)'!GC11:GF11,"C"))*2)+((COUNTIF('Elève (4ème4)'!GC11:GF11,"D"))*1))/(COUNTA(GC11:GF11)),"")</f>
        <v/>
      </c>
      <c r="GH11" s="190" t="str">
        <f t="shared" si="38"/>
        <v/>
      </c>
      <c r="GI11" s="217">
        <f>IF(COUNT(FU11,GA11,GG11)=0,"",SUM(FU11,GA11,GG11)/COUNT(FU11,GA11,GG11))</f>
        <v>3.25</v>
      </c>
      <c r="GJ11" s="214" t="str">
        <f t="shared" si="39"/>
        <v>B</v>
      </c>
      <c r="GK11" s="127" t="s">
        <v>30</v>
      </c>
      <c r="GL11" s="128" t="s">
        <v>29</v>
      </c>
      <c r="GM11" s="133"/>
      <c r="GN11" s="189">
        <f>IFERROR((((COUNTIF('Elève (4ème4)'!GK11:GM11,"A"))*4)+((COUNTIF('Elève (4ème4)'!GK11:GM11,"B"))*3)+((COUNTIF('Elève (4ème4)'!GK11:GM11,"C"))*2)+((COUNTIF('Elève (4ème4)'!GK11:GM11,"D"))*1))/(COUNTA(GK11:GM11)),"")</f>
        <v>3.5</v>
      </c>
      <c r="GO11" s="190" t="str">
        <f t="shared" si="40"/>
        <v>B</v>
      </c>
      <c r="GP11" s="127" t="s">
        <v>29</v>
      </c>
      <c r="GQ11" s="132"/>
      <c r="GR11" s="129" t="s">
        <v>31</v>
      </c>
      <c r="GS11" s="133"/>
      <c r="GT11" s="189">
        <f>IFERROR((((COUNTIF('Elève (4ème4)'!GP11:GS11,"A"))*4)+((COUNTIF('Elève (4ème4)'!GP11:GS11,"B"))*3)+((COUNTIF('Elève (4ème4)'!GP11:GS11,"C"))*2)+((COUNTIF('Elève (4ème4)'!GP11:GS11,"D"))*1))/(COUNTA(GP11:GS11)),"")</f>
        <v>3</v>
      </c>
      <c r="GU11" s="190" t="str">
        <f t="shared" si="41"/>
        <v>B</v>
      </c>
      <c r="GV11" s="134"/>
      <c r="GW11" s="132"/>
      <c r="GX11" s="133"/>
      <c r="GY11" s="136"/>
      <c r="GZ11" s="189" t="str">
        <f>IFERROR((((COUNTIF('Elève (4ème4)'!GV11:GY11,"A"))*4)+((COUNTIF('Elève (4ème4)'!GV11:GY11,"B"))*3)+((COUNTIF('Elève (4ème4)'!GV11:GY11,"C"))*2)+((COUNTIF('Elève (4ème4)'!GV11:GY11,"D"))*1))/(COUNTA(GV11:GY11)),"")</f>
        <v/>
      </c>
      <c r="HA11" s="190" t="str">
        <f t="shared" si="42"/>
        <v/>
      </c>
      <c r="HB11" s="217">
        <f>IF(COUNT(GN11,GT11,GZ11)=0,"",SUM(GN11,GT11,GZ11)/COUNT(GN11,GT11,GZ11))</f>
        <v>3.25</v>
      </c>
      <c r="HC11" s="214" t="str">
        <f t="shared" si="43"/>
        <v>B</v>
      </c>
      <c r="HD11" s="127" t="s">
        <v>30</v>
      </c>
      <c r="HE11" s="128" t="s">
        <v>30</v>
      </c>
      <c r="HF11" s="133"/>
      <c r="HG11" s="189">
        <f>IFERROR((((COUNTIF('Elève (4ème4)'!HD11:HF11,"A"))*4)+((COUNTIF('Elève (4ème4)'!HD11:HF11,"B"))*3)+((COUNTIF('Elève (4ème4)'!HD11:HF11,"C"))*2)+((COUNTIF('Elève (4ème4)'!HD11:HF11,"D"))*1))/(COUNTA(HD11:HF11)),"")</f>
        <v>3</v>
      </c>
      <c r="HH11" s="190" t="str">
        <f t="shared" si="44"/>
        <v>B</v>
      </c>
      <c r="HI11" s="127" t="s">
        <v>29</v>
      </c>
      <c r="HJ11" s="132"/>
      <c r="HK11" s="129" t="s">
        <v>29</v>
      </c>
      <c r="HL11" s="133"/>
      <c r="HM11" s="189">
        <f>IFERROR((((COUNTIF('Elève (4ème4)'!HI11:HL11,"A"))*4)+((COUNTIF('Elève (4ème4)'!HI11:HL11,"B"))*3)+((COUNTIF('Elève (4ème4)'!HI11:HL11,"C"))*2)+((COUNTIF('Elève (4ème4)'!HI11:HL11,"D"))*1))/(COUNTA(HI11:HL11)),"")</f>
        <v>4</v>
      </c>
      <c r="HN11" s="190" t="str">
        <f t="shared" si="45"/>
        <v>A</v>
      </c>
      <c r="HO11" s="134"/>
      <c r="HP11" s="132"/>
      <c r="HQ11" s="133"/>
      <c r="HR11" s="136"/>
      <c r="HS11" s="189" t="str">
        <f>IFERROR((((COUNTIF('Elève (4ème4)'!HO11:HR11,"A"))*4)+((COUNTIF('Elève (4ème4)'!HO11:HR11,"B"))*3)+((COUNTIF('Elève (4ème4)'!HO11:HR11,"C"))*2)+((COUNTIF('Elève (4ème4)'!HO11:HR11,"D"))*1))/(COUNTA(HO11:HR11)),"")</f>
        <v/>
      </c>
      <c r="HT11" s="190" t="str">
        <f t="shared" si="46"/>
        <v/>
      </c>
      <c r="HU11" s="217">
        <f>IF(COUNT(HG11,HM11,HS11)=0,"",SUM(HG11,HM11,HS11)/COUNT(HG11,HM11,HS11))</f>
        <v>3.5</v>
      </c>
      <c r="HV11" s="214" t="str">
        <f t="shared" si="47"/>
        <v>B</v>
      </c>
      <c r="HW11" s="127" t="s">
        <v>30</v>
      </c>
      <c r="HX11" s="128" t="s">
        <v>29</v>
      </c>
      <c r="HY11" s="133"/>
      <c r="HZ11" s="189">
        <f>IFERROR((((COUNTIF('Elève (4ème4)'!HW11:HY11,"A"))*4)+((COUNTIF('Elève (4ème4)'!HW11:HY11,"B"))*3)+((COUNTIF('Elève (4ème4)'!HW11:HY11,"C"))*2)+((COUNTIF('Elève (4ème4)'!HW11:HY11,"D"))*1))/(COUNTA(HW11:HY11)),"")</f>
        <v>3.5</v>
      </c>
      <c r="IA11" s="190" t="str">
        <f t="shared" si="48"/>
        <v>B</v>
      </c>
      <c r="IB11" s="127" t="s">
        <v>29</v>
      </c>
      <c r="IC11" s="132"/>
      <c r="ID11" s="129" t="s">
        <v>29</v>
      </c>
      <c r="IE11" s="133"/>
      <c r="IF11" s="189">
        <f>IFERROR((((COUNTIF('Elève (4ème4)'!IB11:IE11,"A"))*4)+((COUNTIF('Elève (4ème4)'!IB11:IE11,"B"))*3)+((COUNTIF('Elève (4ème4)'!IB11:IE11,"C"))*2)+((COUNTIF('Elève (4ème4)'!IB11:IE11,"D"))*1))/(COUNTA(IB11:IE11)),"")</f>
        <v>4</v>
      </c>
      <c r="IG11" s="190" t="str">
        <f t="shared" si="49"/>
        <v>A</v>
      </c>
      <c r="IH11" s="134"/>
      <c r="II11" s="132"/>
      <c r="IJ11" s="133"/>
      <c r="IK11" s="136"/>
      <c r="IL11" s="189" t="str">
        <f>IFERROR((((COUNTIF('Elève (4ème4)'!IH11:IK11,"A"))*4)+((COUNTIF('Elève (4ème4)'!IH11:IK11,"B"))*3)+((COUNTIF('Elève (4ème4)'!IH11:IK11,"C"))*2)+((COUNTIF('Elève (4ème4)'!IH11:IK11,"D"))*1))/(COUNTA(IH11:IK11)),"")</f>
        <v/>
      </c>
      <c r="IM11" s="190" t="str">
        <f t="shared" si="50"/>
        <v/>
      </c>
      <c r="IN11" s="217">
        <f>IF(COUNT(HZ11,IF11,IL11)=0,"",SUM(HZ11,IF11,IL11)/COUNT(HZ11,IF11,IL11))</f>
        <v>3.75</v>
      </c>
      <c r="IO11" s="214" t="str">
        <f t="shared" si="51"/>
        <v>A</v>
      </c>
      <c r="IP11" s="127" t="s">
        <v>30</v>
      </c>
      <c r="IQ11" s="128" t="s">
        <v>30</v>
      </c>
      <c r="IR11" s="133"/>
      <c r="IS11" s="189">
        <f>IFERROR((((COUNTIF('Elève (4ème4)'!IP11:IR11,"A"))*4)+((COUNTIF('Elève (4ème4)'!IP11:IR11,"B"))*3)+((COUNTIF('Elève (4ème4)'!IP11:IR11,"C"))*2)+((COUNTIF('Elève (4ème4)'!IP11:IR11,"D"))*1))/(COUNTA(IP11:IR11)),"")</f>
        <v>3</v>
      </c>
      <c r="IT11" s="190" t="str">
        <f t="shared" si="52"/>
        <v>B</v>
      </c>
      <c r="IU11" s="127" t="s">
        <v>30</v>
      </c>
      <c r="IV11" s="132"/>
      <c r="IW11" s="129" t="s">
        <v>30</v>
      </c>
      <c r="IX11" s="133"/>
      <c r="IY11" s="189">
        <f>IFERROR((((COUNTIF('Elève (4ème4)'!IU11:IX11,"A"))*4)+((COUNTIF('Elève (4ème4)'!IU11:IX11,"B"))*3)+((COUNTIF('Elève (4ème4)'!IU11:IX11,"C"))*2)+((COUNTIF('Elève (4ème4)'!IU11:IX11,"D"))*1))/(COUNTA(IU11:IX11)),"")</f>
        <v>3</v>
      </c>
      <c r="IZ11" s="190" t="str">
        <f t="shared" si="53"/>
        <v>B</v>
      </c>
      <c r="JA11" s="134"/>
      <c r="JB11" s="132"/>
      <c r="JC11" s="133"/>
      <c r="JD11" s="136"/>
      <c r="JE11" s="189" t="str">
        <f>IFERROR((((COUNTIF('Elève (4ème4)'!JA11:JD11,"A"))*4)+((COUNTIF('Elève (4ème4)'!JA11:JD11,"B"))*3)+((COUNTIF('Elève (4ème4)'!JA11:JD11,"C"))*2)+((COUNTIF('Elève (4ème4)'!JA11:JD11,"D"))*1))/(COUNTA(JA11:JD11)),"")</f>
        <v/>
      </c>
      <c r="JF11" s="190" t="str">
        <f t="shared" si="54"/>
        <v/>
      </c>
      <c r="JG11" s="217">
        <f>IF(COUNT(IS11,IY11,JE11)=0,"",SUM(IS11,IY11,JE11)/COUNT(IS11,IY11,JE11))</f>
        <v>3</v>
      </c>
      <c r="JH11" s="214" t="str">
        <f t="shared" si="55"/>
        <v>B</v>
      </c>
      <c r="JI11" s="127"/>
      <c r="JJ11" s="128" t="s">
        <v>30</v>
      </c>
      <c r="JK11" s="133"/>
      <c r="JL11" s="189">
        <f>IFERROR((((COUNTIF('Elève (4ème4)'!JI11:JK11,"A"))*4)+((COUNTIF('Elève (4ème4)'!JI11:JK11,"B"))*3)+((COUNTIF('Elève (4ème4)'!JI11:JK11,"C"))*2)+((COUNTIF('Elève (4ème4)'!JI11:JK11,"D"))*1))/(COUNTA(JI11:JK11)),"")</f>
        <v>3</v>
      </c>
      <c r="JM11" s="190" t="str">
        <f t="shared" si="56"/>
        <v>B</v>
      </c>
      <c r="JN11" s="127" t="s">
        <v>29</v>
      </c>
      <c r="JO11" s="132"/>
      <c r="JP11" s="129" t="s">
        <v>31</v>
      </c>
      <c r="JQ11" s="133"/>
      <c r="JR11" s="189">
        <f>IFERROR((((COUNTIF('Elève (4ème4)'!JN11:JQ11,"A"))*4)+((COUNTIF('Elève (4ème4)'!JN11:JQ11,"B"))*3)+((COUNTIF('Elève (4ème4)'!JN11:JQ11,"C"))*2)+((COUNTIF('Elève (4ème4)'!JN11:JQ11,"D"))*1))/(COUNTA(JN11:JQ11)),"")</f>
        <v>3</v>
      </c>
      <c r="JS11" s="190" t="str">
        <f t="shared" si="57"/>
        <v>B</v>
      </c>
      <c r="JT11" s="134"/>
      <c r="JU11" s="132"/>
      <c r="JV11" s="133"/>
      <c r="JW11" s="136"/>
      <c r="JX11" s="189" t="str">
        <f>IFERROR((((COUNTIF('Elève (4ème4)'!JT11:JW11,"A"))*4)+((COUNTIF('Elève (4ème4)'!JT11:JW11,"B"))*3)+((COUNTIF('Elève (4ème4)'!JT11:JW11,"C"))*2)+((COUNTIF('Elève (4ème4)'!JT11:JW11,"D"))*1))/(COUNTA(JT11:JW11)),"")</f>
        <v/>
      </c>
      <c r="JY11" s="190" t="str">
        <f t="shared" si="58"/>
        <v/>
      </c>
      <c r="JZ11" s="217">
        <f>IF(COUNT(JL11,JR11,JX11)=0,"",SUM(JL11,JR11,JX11)/COUNT(JL11,JR11,JX11))</f>
        <v>3</v>
      </c>
      <c r="KA11" s="214" t="str">
        <f t="shared" si="59"/>
        <v>B</v>
      </c>
      <c r="KB11" s="127" t="s">
        <v>30</v>
      </c>
      <c r="KC11" s="128" t="s">
        <v>30</v>
      </c>
      <c r="KD11" s="133"/>
      <c r="KE11" s="189">
        <f>IFERROR((((COUNTIF('Elève (4ème4)'!KB11:KD11,"A"))*4)+((COUNTIF('Elève (4ème4)'!KB11:KD11,"B"))*3)+((COUNTIF('Elève (4ème4)'!KB11:KD11,"C"))*2)+((COUNTIF('Elève (4ème4)'!KB11:KD11,"D"))*1))/(COUNTA(KB11:KD11)),"")</f>
        <v>3</v>
      </c>
      <c r="KF11" s="190" t="str">
        <f t="shared" si="60"/>
        <v>B</v>
      </c>
      <c r="KG11" s="127" t="s">
        <v>29</v>
      </c>
      <c r="KH11" s="132"/>
      <c r="KI11" s="129" t="s">
        <v>29</v>
      </c>
      <c r="KJ11" s="133"/>
      <c r="KK11" s="189">
        <f>IFERROR((((COUNTIF('Elève (4ème4)'!KG11:KJ11,"A"))*4)+((COUNTIF('Elève (4ème4)'!KG11:KJ11,"B"))*3)+((COUNTIF('Elève (4ème4)'!KG11:KJ11,"C"))*2)+((COUNTIF('Elève (4ème4)'!KG11:KJ11,"D"))*1))/(COUNTA(KG11:KJ11)),"")</f>
        <v>4</v>
      </c>
      <c r="KL11" s="190" t="str">
        <f t="shared" si="61"/>
        <v>A</v>
      </c>
      <c r="KM11" s="134"/>
      <c r="KN11" s="132"/>
      <c r="KO11" s="133"/>
      <c r="KP11" s="136"/>
      <c r="KQ11" s="189" t="str">
        <f>IFERROR((((COUNTIF('Elève (4ème4)'!KM11:KP11,"A"))*4)+((COUNTIF('Elève (4ème4)'!KM11:KP11,"B"))*3)+((COUNTIF('Elève (4ème4)'!KM11:KP11,"C"))*2)+((COUNTIF('Elève (4ème4)'!KM11:KP11,"D"))*1))/(COUNTA(KM11:KP11)),"")</f>
        <v/>
      </c>
      <c r="KR11" s="190" t="str">
        <f t="shared" si="62"/>
        <v/>
      </c>
      <c r="KS11" s="217">
        <f>IF(COUNT(KE11,KK11,KQ11)=0,"",SUM(KE11,KK11,KQ11)/COUNT(KE11,KK11,KQ11))</f>
        <v>3.5</v>
      </c>
      <c r="KT11" s="214" t="str">
        <f t="shared" si="63"/>
        <v>B</v>
      </c>
      <c r="KU11" s="127" t="s">
        <v>30</v>
      </c>
      <c r="KV11" s="128" t="s">
        <v>30</v>
      </c>
      <c r="KW11" s="133"/>
      <c r="KX11" s="189">
        <f>IFERROR((((COUNTIF('Elève (4ème4)'!KU11:KW11,"A"))*4)+((COUNTIF('Elève (4ème4)'!KU11:KW11,"B"))*3)+((COUNTIF('Elève (4ème4)'!KU11:KW11,"C"))*2)+((COUNTIF('Elève (4ème4)'!KU11:KW11,"D"))*1))/(COUNTA(KU11:KW11)),"")</f>
        <v>3</v>
      </c>
      <c r="KY11" s="190" t="str">
        <f t="shared" si="64"/>
        <v>B</v>
      </c>
      <c r="KZ11" s="127" t="s">
        <v>30</v>
      </c>
      <c r="LA11" s="132"/>
      <c r="LB11" s="129" t="s">
        <v>30</v>
      </c>
      <c r="LC11" s="133"/>
      <c r="LD11" s="189">
        <f>IFERROR((((COUNTIF('Elève (4ème4)'!KZ11:LC11,"A"))*4)+((COUNTIF('Elève (4ème4)'!KZ11:LC11,"B"))*3)+((COUNTIF('Elève (4ème4)'!KZ11:LC11,"C"))*2)+((COUNTIF('Elève (4ème4)'!KZ11:LC11,"D"))*1))/(COUNTA(KZ11:LC11)),"")</f>
        <v>3</v>
      </c>
      <c r="LE11" s="190" t="str">
        <f t="shared" si="65"/>
        <v>B</v>
      </c>
      <c r="LF11" s="134"/>
      <c r="LG11" s="132"/>
      <c r="LH11" s="133"/>
      <c r="LI11" s="136"/>
      <c r="LJ11" s="189" t="str">
        <f>IFERROR((((COUNTIF('Elève (4ème4)'!LF11:LI11,"A"))*4)+((COUNTIF('Elève (4ème4)'!LF11:LI11,"B"))*3)+((COUNTIF('Elève (4ème4)'!LF11:LI11,"C"))*2)+((COUNTIF('Elève (4ème4)'!LF11:LI11,"D"))*1))/(COUNTA(LF11:LI11)),"")</f>
        <v/>
      </c>
      <c r="LK11" s="190" t="str">
        <f t="shared" si="66"/>
        <v/>
      </c>
      <c r="LL11" s="217">
        <f>IF(COUNT(KX11,LD11,LJ11)=0,"",SUM(KX11,LD11,LJ11)/COUNT(KX11,LD11,LJ11))</f>
        <v>3</v>
      </c>
      <c r="LM11" s="214" t="str">
        <f t="shared" si="67"/>
        <v>B</v>
      </c>
      <c r="LN11" s="127" t="s">
        <v>30</v>
      </c>
      <c r="LO11" s="128" t="s">
        <v>30</v>
      </c>
      <c r="LP11" s="133"/>
      <c r="LQ11" s="189">
        <f>IFERROR((((COUNTIF('Elève (4ème4)'!LN11:LP11,"A"))*4)+((COUNTIF('Elève (4ème4)'!LN11:LP11,"B"))*3)+((COUNTIF('Elève (4ème4)'!LN11:LP11,"C"))*2)+((COUNTIF('Elève (4ème4)'!LN11:LP11,"D"))*1))/(COUNTA(LN11:LP11)),"")</f>
        <v>3</v>
      </c>
      <c r="LR11" s="190" t="str">
        <f t="shared" si="68"/>
        <v>B</v>
      </c>
      <c r="LS11" s="127" t="s">
        <v>29</v>
      </c>
      <c r="LT11" s="132"/>
      <c r="LU11" s="129" t="s">
        <v>30</v>
      </c>
      <c r="LV11" s="133"/>
      <c r="LW11" s="189">
        <f>IFERROR((((COUNTIF('Elève (4ème4)'!LS11:LV11,"A"))*4)+((COUNTIF('Elève (4ème4)'!LS11:LV11,"B"))*3)+((COUNTIF('Elève (4ème4)'!LS11:LV11,"C"))*2)+((COUNTIF('Elève (4ème4)'!LS11:LV11,"D"))*1))/(COUNTA(LS11:LV11)),"")</f>
        <v>3.5</v>
      </c>
      <c r="LX11" s="190" t="str">
        <f t="shared" si="69"/>
        <v>B</v>
      </c>
      <c r="LY11" s="134"/>
      <c r="LZ11" s="132"/>
      <c r="MA11" s="133"/>
      <c r="MB11" s="136"/>
      <c r="MC11" s="189" t="str">
        <f>IFERROR((((COUNTIF('Elève (4ème4)'!LY11:MB11,"A"))*4)+((COUNTIF('Elève (4ème4)'!LY11:MB11,"B"))*3)+((COUNTIF('Elève (4ème4)'!LY11:MB11,"C"))*2)+((COUNTIF('Elève (4ème4)'!LY11:MB11,"D"))*1))/(COUNTA(LY11:MB11)),"")</f>
        <v/>
      </c>
      <c r="MD11" s="190" t="str">
        <f t="shared" si="70"/>
        <v/>
      </c>
      <c r="ME11" s="217">
        <f>IF(COUNT(LQ11,LW11,MC11)=0,"",SUM(LQ11,LW11,MC11)/COUNT(LQ11,LW11,MC11))</f>
        <v>3.25</v>
      </c>
      <c r="MF11" s="214" t="str">
        <f t="shared" si="71"/>
        <v>B</v>
      </c>
      <c r="MG11" s="127" t="s">
        <v>30</v>
      </c>
      <c r="MH11" s="128" t="s">
        <v>30</v>
      </c>
      <c r="MI11" s="133"/>
      <c r="MJ11" s="189">
        <f>IFERROR((((COUNTIF('Elève (4ème4)'!MG11:MI11,"A"))*4)+((COUNTIF('Elève (4ème4)'!MG11:MI11,"B"))*3)+((COUNTIF('Elève (4ème4)'!MG11:MI11,"C"))*2)+((COUNTIF('Elève (4ème4)'!MG11:MI11,"D"))*1))/(COUNTA(MG11:MI11)),"")</f>
        <v>3</v>
      </c>
      <c r="MK11" s="190" t="str">
        <f t="shared" si="72"/>
        <v>B</v>
      </c>
      <c r="ML11" s="127" t="s">
        <v>29</v>
      </c>
      <c r="MM11" s="132"/>
      <c r="MN11" s="129" t="s">
        <v>30</v>
      </c>
      <c r="MO11" s="133"/>
      <c r="MP11" s="189">
        <f>IFERROR((((COUNTIF('Elève (4ème4)'!ML11:MO11,"A"))*4)+((COUNTIF('Elève (4ème4)'!ML11:MO11,"B"))*3)+((COUNTIF('Elève (4ème4)'!ML11:MO11,"C"))*2)+((COUNTIF('Elève (4ème4)'!ML11:MO11,"D"))*1))/(COUNTA(ML11:MO11)),"")</f>
        <v>3.5</v>
      </c>
      <c r="MQ11" s="190" t="str">
        <f t="shared" si="73"/>
        <v>B</v>
      </c>
      <c r="MR11" s="134"/>
      <c r="MS11" s="132"/>
      <c r="MT11" s="133"/>
      <c r="MU11" s="136"/>
      <c r="MV11" s="189" t="str">
        <f>IFERROR((((COUNTIF('Elève (4ème4)'!MR11:MU11,"A"))*4)+((COUNTIF('Elève (4ème4)'!MR11:MU11,"B"))*3)+((COUNTIF('Elève (4ème4)'!MR11:MU11,"C"))*2)+((COUNTIF('Elève (4ème4)'!MR11:MU11,"D"))*1))/(COUNTA(MR11:MU11)),"")</f>
        <v/>
      </c>
      <c r="MW11" s="190" t="str">
        <f t="shared" si="74"/>
        <v/>
      </c>
      <c r="MX11" s="217">
        <f>IF(COUNT(MJ11,MP11,MV11)=0,"",SUM(MJ11,MP11,MV11)/COUNT(MJ11,MP11,MV11))</f>
        <v>3.25</v>
      </c>
      <c r="MY11" s="214" t="str">
        <f t="shared" si="75"/>
        <v>B</v>
      </c>
      <c r="MZ11" s="127" t="s">
        <v>30</v>
      </c>
      <c r="NA11" s="128" t="s">
        <v>29</v>
      </c>
      <c r="NB11" s="133"/>
      <c r="NC11" s="189">
        <f>IFERROR((((COUNTIF('Elève (4ème4)'!MZ11:NB11,"A"))*4)+((COUNTIF('Elève (4ème4)'!MZ11:NB11,"B"))*3)+((COUNTIF('Elève (4ème4)'!MZ11:NB11,"C"))*2)+((COUNTIF('Elève (4ème4)'!MZ11:NB11,"D"))*1))/(COUNTA(MZ11:NB11)),"")</f>
        <v>3.5</v>
      </c>
      <c r="ND11" s="190" t="str">
        <f t="shared" si="76"/>
        <v>B</v>
      </c>
      <c r="NE11" s="127" t="s">
        <v>29</v>
      </c>
      <c r="NF11" s="132"/>
      <c r="NG11" s="129" t="s">
        <v>29</v>
      </c>
      <c r="NH11" s="133"/>
      <c r="NI11" s="189">
        <f>IFERROR((((COUNTIF('Elève (4ème4)'!NE11:NH11,"A"))*4)+((COUNTIF('Elève (4ème4)'!NE11:NH11,"B"))*3)+((COUNTIF('Elève (4ème4)'!NE11:NH11,"C"))*2)+((COUNTIF('Elève (4ème4)'!NE11:NH11,"D"))*1))/(COUNTA(NE11:NH11)),"")</f>
        <v>4</v>
      </c>
      <c r="NJ11" s="190" t="str">
        <f t="shared" si="77"/>
        <v>A</v>
      </c>
      <c r="NK11" s="134"/>
      <c r="NL11" s="132"/>
      <c r="NM11" s="133"/>
      <c r="NN11" s="136"/>
      <c r="NO11" s="189" t="str">
        <f>IFERROR((((COUNTIF('Elève (4ème4)'!NK11:NN11,"A"))*4)+((COUNTIF('Elève (4ème4)'!NK11:NN11,"B"))*3)+((COUNTIF('Elève (4ème4)'!NK11:NN11,"C"))*2)+((COUNTIF('Elève (4ème4)'!NK11:NN11,"D"))*1))/(COUNTA(NK11:NN11)),"")</f>
        <v/>
      </c>
      <c r="NP11" s="190" t="str">
        <f t="shared" si="78"/>
        <v/>
      </c>
      <c r="NQ11" s="217">
        <f>IF(COUNT(NC11,NI11,NO11)=0,"",SUM(NC11,NI11,NO11)/COUNT(NC11,NI11,NO11))</f>
        <v>3.75</v>
      </c>
      <c r="NR11" s="214" t="str">
        <f t="shared" si="79"/>
        <v>A</v>
      </c>
      <c r="NS11" s="127"/>
      <c r="NT11" s="128" t="s">
        <v>29</v>
      </c>
      <c r="NU11" s="133"/>
      <c r="NV11" s="189">
        <f>IFERROR((((COUNTIF('Elève (4ème4)'!NS11:NU11,"A"))*4)+((COUNTIF('Elève (4ème4)'!NS11:NU11,"B"))*3)+((COUNTIF('Elève (4ème4)'!NS11:NU11,"C"))*2)+((COUNTIF('Elève (4ème4)'!NS11:NU11,"D"))*1))/(COUNTA(NS11:NU11)),"")</f>
        <v>4</v>
      </c>
      <c r="NW11" s="190" t="str">
        <f t="shared" si="80"/>
        <v>A</v>
      </c>
      <c r="NX11" s="127" t="s">
        <v>29</v>
      </c>
      <c r="NY11" s="132"/>
      <c r="NZ11" s="129" t="s">
        <v>29</v>
      </c>
      <c r="OA11" s="133"/>
      <c r="OB11" s="189">
        <f>IFERROR((((COUNTIF('Elève (4ème4)'!NX11:OA11,"A"))*4)+((COUNTIF('Elève (4ème4)'!NX11:OA11,"B"))*3)+((COUNTIF('Elève (4ème4)'!NX11:OA11,"C"))*2)+((COUNTIF('Elève (4ème4)'!NX11:OA11,"D"))*1))/(COUNTA(NX11:OA11)),"")</f>
        <v>4</v>
      </c>
      <c r="OC11" s="190" t="str">
        <f t="shared" si="81"/>
        <v>A</v>
      </c>
      <c r="OD11" s="134"/>
      <c r="OE11" s="132"/>
      <c r="OF11" s="133"/>
      <c r="OG11" s="136"/>
      <c r="OH11" s="189" t="str">
        <f>IFERROR((((COUNTIF('Elève (4ème4)'!OD11:OG11,"A"))*4)+((COUNTIF('Elève (4ème4)'!OD11:OG11,"B"))*3)+((COUNTIF('Elève (4ème4)'!OD11:OG11,"C"))*2)+((COUNTIF('Elève (4ème4)'!OD11:OG11,"D"))*1))/(COUNTA(OD11:OG11)),"")</f>
        <v/>
      </c>
      <c r="OI11" s="190" t="str">
        <f t="shared" si="82"/>
        <v/>
      </c>
      <c r="OJ11" s="217">
        <f>IF(COUNT(NV11,OB11,OH11)=0,"",SUM(NV11,OB11,OH11)/COUNT(NV11,OB11,OH11))</f>
        <v>4</v>
      </c>
      <c r="OK11" s="214" t="str">
        <f t="shared" si="83"/>
        <v>A</v>
      </c>
      <c r="OL11" s="127" t="s">
        <v>30</v>
      </c>
      <c r="OM11" s="128" t="s">
        <v>29</v>
      </c>
      <c r="ON11" s="133"/>
      <c r="OO11" s="189">
        <f>IFERROR((((COUNTIF('Elève (4ème4)'!OL11:ON11,"A"))*4)+((COUNTIF('Elève (4ème4)'!OL11:ON11,"B"))*3)+((COUNTIF('Elève (4ème4)'!OL11:ON11,"C"))*2)+((COUNTIF('Elève (4ème4)'!OL11:ON11,"D"))*1))/(COUNTA(OL11:ON11)),"")</f>
        <v>3.5</v>
      </c>
      <c r="OP11" s="190" t="str">
        <f t="shared" si="84"/>
        <v>B</v>
      </c>
      <c r="OQ11" s="127" t="s">
        <v>29</v>
      </c>
      <c r="OR11" s="132"/>
      <c r="OS11" s="129" t="s">
        <v>29</v>
      </c>
      <c r="OT11" s="133"/>
      <c r="OU11" s="189">
        <f>IFERROR((((COUNTIF('Elève (4ème4)'!OQ11:OT11,"A"))*4)+((COUNTIF('Elève (4ème4)'!OQ11:OT11,"B"))*3)+((COUNTIF('Elève (4ème4)'!OQ11:OT11,"C"))*2)+((COUNTIF('Elève (4ème4)'!OQ11:OT11,"D"))*1))/(COUNTA(OQ11:OT11)),"")</f>
        <v>4</v>
      </c>
      <c r="OV11" s="190" t="str">
        <f t="shared" si="85"/>
        <v>A</v>
      </c>
      <c r="OW11" s="134"/>
      <c r="OX11" s="132"/>
      <c r="OY11" s="133"/>
      <c r="OZ11" s="136"/>
      <c r="PA11" s="189" t="str">
        <f>IFERROR((((COUNTIF('Elève (4ème4)'!OW11:OZ11,"A"))*4)+((COUNTIF('Elève (4ème4)'!OW11:OZ11,"B"))*3)+((COUNTIF('Elève (4ème4)'!OW11:OZ11,"C"))*2)+((COUNTIF('Elève (4ème4)'!OW11:OZ11,"D"))*1))/(COUNTA(OW11:OZ11)),"")</f>
        <v/>
      </c>
      <c r="PB11" s="190" t="str">
        <f t="shared" si="86"/>
        <v/>
      </c>
      <c r="PC11" s="217">
        <f>IF(COUNT(OO11,OU11,PA11)=0,"",SUM(OO11,OU11,PA11)/COUNT(OO11,OU11,PA11))</f>
        <v>3.75</v>
      </c>
      <c r="PD11" s="214" t="str">
        <f t="shared" si="87"/>
        <v>A</v>
      </c>
      <c r="PE11" s="127" t="s">
        <v>30</v>
      </c>
      <c r="PF11" s="128" t="s">
        <v>30</v>
      </c>
      <c r="PG11" s="133"/>
      <c r="PH11" s="189">
        <f>IFERROR((((COUNTIF('Elève (4ème4)'!PE11:PG11,"A"))*4)+((COUNTIF('Elève (4ème4)'!PE11:PG11,"B"))*3)+((COUNTIF('Elève (4ème4)'!PE11:PG11,"C"))*2)+((COUNTIF('Elève (4ème4)'!PE11:PG11,"D"))*1))/(COUNTA(PE11:PG11)),"")</f>
        <v>3</v>
      </c>
      <c r="PI11" s="190" t="str">
        <f t="shared" si="88"/>
        <v>B</v>
      </c>
      <c r="PJ11" s="127" t="s">
        <v>30</v>
      </c>
      <c r="PK11" s="132"/>
      <c r="PL11" s="129" t="s">
        <v>30</v>
      </c>
      <c r="PM11" s="133"/>
      <c r="PN11" s="189">
        <f>IFERROR((((COUNTIF('Elève (4ème4)'!PJ11:PM11,"A"))*4)+((COUNTIF('Elève (4ème4)'!PJ11:PM11,"B"))*3)+((COUNTIF('Elève (4ème4)'!PJ11:PM11,"C"))*2)+((COUNTIF('Elève (4ème4)'!PJ11:PM11,"D"))*1))/(COUNTA(PJ11:PM11)),"")</f>
        <v>3</v>
      </c>
      <c r="PO11" s="190" t="str">
        <f t="shared" si="89"/>
        <v>B</v>
      </c>
      <c r="PP11" s="134"/>
      <c r="PQ11" s="132"/>
      <c r="PR11" s="133"/>
      <c r="PS11" s="136"/>
      <c r="PT11" s="189" t="str">
        <f>IFERROR((((COUNTIF('Elève (4ème4)'!PP11:PS11,"A"))*4)+((COUNTIF('Elève (4ème4)'!PP11:PS11,"B"))*3)+((COUNTIF('Elève (4ème4)'!PP11:PS11,"C"))*2)+((COUNTIF('Elève (4ème4)'!PP11:PS11,"D"))*1))/(COUNTA(PP11:PS11)),"")</f>
        <v/>
      </c>
      <c r="PU11" s="190" t="str">
        <f t="shared" si="90"/>
        <v/>
      </c>
      <c r="PV11" s="217">
        <f>IF(COUNT(PH11,PN11,PT11)=0,"",SUM(PH11,PN11,PT11)/COUNT(PH11,PN11,PT11))</f>
        <v>3</v>
      </c>
      <c r="PW11" s="214" t="str">
        <f t="shared" si="91"/>
        <v>B</v>
      </c>
      <c r="PX11" s="127" t="s">
        <v>30</v>
      </c>
      <c r="PY11" s="128" t="s">
        <v>29</v>
      </c>
      <c r="PZ11" s="133"/>
      <c r="QA11" s="189">
        <f>IFERROR((((COUNTIF('Elève (4ème4)'!PX11:PZ11,"A"))*4)+((COUNTIF('Elève (4ème4)'!PX11:PZ11,"B"))*3)+((COUNTIF('Elève (4ème4)'!PX11:PZ11,"C"))*2)+((COUNTIF('Elève (4ème4)'!PX11:PZ11,"D"))*1))/(COUNTA(PX11:PZ11)),"")</f>
        <v>3.5</v>
      </c>
      <c r="QB11" s="190" t="str">
        <f t="shared" si="92"/>
        <v>B</v>
      </c>
      <c r="QC11" s="127" t="s">
        <v>29</v>
      </c>
      <c r="QD11" s="132"/>
      <c r="QE11" s="129" t="s">
        <v>30</v>
      </c>
      <c r="QF11" s="133"/>
      <c r="QG11" s="189">
        <f>IFERROR((((COUNTIF('Elève (4ème4)'!QC11:QF11,"A"))*4)+((COUNTIF('Elève (4ème4)'!QC11:QF11,"B"))*3)+((COUNTIF('Elève (4ème4)'!QC11:QF11,"C"))*2)+((COUNTIF('Elève (4ème4)'!QC11:QF11,"D"))*1))/(COUNTA(QC11:QF11)),"")</f>
        <v>3.5</v>
      </c>
      <c r="QH11" s="190" t="str">
        <f t="shared" si="93"/>
        <v>B</v>
      </c>
      <c r="QI11" s="134"/>
      <c r="QJ11" s="132"/>
      <c r="QK11" s="133"/>
      <c r="QL11" s="136"/>
      <c r="QM11" s="189" t="str">
        <f>IFERROR((((COUNTIF('Elève (4ème4)'!QI11:QL11,"A"))*4)+((COUNTIF('Elève (4ème4)'!QI11:QL11,"B"))*3)+((COUNTIF('Elève (4ème4)'!QI11:QL11,"C"))*2)+((COUNTIF('Elève (4ème4)'!QI11:QL11,"D"))*1))/(COUNTA(QI11:QL11)),"")</f>
        <v/>
      </c>
      <c r="QN11" s="190" t="str">
        <f t="shared" si="94"/>
        <v/>
      </c>
      <c r="QO11" s="217">
        <f>IF(COUNT(QA11,QG11,QM11)=0,"",SUM(QA11,QG11,QM11)/COUNT(QA11,QG11,QM11))</f>
        <v>3.5</v>
      </c>
      <c r="QP11" s="214" t="str">
        <f t="shared" si="95"/>
        <v>B</v>
      </c>
      <c r="QQ11" s="127" t="s">
        <v>30</v>
      </c>
      <c r="QR11" s="128" t="s">
        <v>29</v>
      </c>
      <c r="QS11" s="133"/>
      <c r="QT11" s="189">
        <f>IFERROR((((COUNTIF('Elève (4ème4)'!QQ11:QS11,"A"))*4)+((COUNTIF('Elève (4ème4)'!QQ11:QS11,"B"))*3)+((COUNTIF('Elève (4ème4)'!QQ11:QS11,"C"))*2)+((COUNTIF('Elève (4ème4)'!QQ11:QS11,"D"))*1))/(COUNTA(QQ11:QS11)),"")</f>
        <v>3.5</v>
      </c>
      <c r="QU11" s="190" t="str">
        <f t="shared" si="96"/>
        <v>B</v>
      </c>
      <c r="QV11" s="127" t="s">
        <v>29</v>
      </c>
      <c r="QW11" s="132"/>
      <c r="QX11" s="129" t="s">
        <v>30</v>
      </c>
      <c r="QY11" s="133"/>
      <c r="QZ11" s="189">
        <f>IFERROR((((COUNTIF('Elève (4ème4)'!QV11:QY11,"A"))*4)+((COUNTIF('Elève (4ème4)'!QV11:QY11,"B"))*3)+((COUNTIF('Elève (4ème4)'!QV11:QY11,"C"))*2)+((COUNTIF('Elève (4ème4)'!QV11:QY11,"D"))*1))/(COUNTA(QV11:QY11)),"")</f>
        <v>3.5</v>
      </c>
      <c r="RA11" s="190" t="str">
        <f t="shared" si="97"/>
        <v>B</v>
      </c>
      <c r="RB11" s="134"/>
      <c r="RC11" s="132"/>
      <c r="RD11" s="133"/>
      <c r="RE11" s="136"/>
      <c r="RF11" s="189" t="str">
        <f>IFERROR((((COUNTIF('Elève (4ème4)'!RB11:RE11,"A"))*4)+((COUNTIF('Elève (4ème4)'!RB11:RE11,"B"))*3)+((COUNTIF('Elève (4ème4)'!RB11:RE11,"C"))*2)+((COUNTIF('Elève (4ème4)'!RB11:RE11,"D"))*1))/(COUNTA(RB11:RE11)),"")</f>
        <v/>
      </c>
      <c r="RG11" s="190" t="str">
        <f t="shared" si="98"/>
        <v/>
      </c>
      <c r="RH11" s="217">
        <f>IF(COUNT(QT11,QZ11,RF11)=0,"",SUM(QT11,QZ11,RF11)/COUNT(QT11,QZ11,RF11))</f>
        <v>3.5</v>
      </c>
      <c r="RI11" s="214" t="str">
        <f t="shared" si="99"/>
        <v>B</v>
      </c>
      <c r="RJ11" s="127" t="s">
        <v>30</v>
      </c>
      <c r="RK11" s="128" t="s">
        <v>30</v>
      </c>
      <c r="RL11" s="133"/>
      <c r="RM11" s="189">
        <f>IFERROR((((COUNTIF('Elève (4ème4)'!RJ11:RL11,"A"))*4)+((COUNTIF('Elève (4ème4)'!RJ11:RL11,"B"))*3)+((COUNTIF('Elève (4ème4)'!RJ11:RL11,"C"))*2)+((COUNTIF('Elève (4ème4)'!RJ11:RL11,"D"))*1))/(COUNTA(RJ11:RL11)),"")</f>
        <v>3</v>
      </c>
      <c r="RN11" s="190" t="str">
        <f t="shared" si="100"/>
        <v>B</v>
      </c>
      <c r="RO11" s="127" t="s">
        <v>29</v>
      </c>
      <c r="RP11" s="132"/>
      <c r="RQ11" s="129" t="s">
        <v>29</v>
      </c>
      <c r="RR11" s="133"/>
      <c r="RS11" s="189">
        <f>IFERROR((((COUNTIF('Elève (4ème4)'!RO11:RR11,"A"))*4)+((COUNTIF('Elève (4ème4)'!RO11:RR11,"B"))*3)+((COUNTIF('Elève (4ème4)'!RO11:RR11,"C"))*2)+((COUNTIF('Elève (4ème4)'!RO11:RR11,"D"))*1))/(COUNTA(RO11:RR11)),"")</f>
        <v>4</v>
      </c>
      <c r="RT11" s="190" t="str">
        <f t="shared" si="101"/>
        <v>A</v>
      </c>
      <c r="RU11" s="134"/>
      <c r="RV11" s="132"/>
      <c r="RW11" s="133"/>
      <c r="RX11" s="136"/>
      <c r="RY11" s="189" t="str">
        <f>IFERROR((((COUNTIF('Elève (4ème4)'!RU11:RX11,"A"))*4)+((COUNTIF('Elève (4ème4)'!RU11:RX11,"B"))*3)+((COUNTIF('Elève (4ème4)'!RU11:RX11,"C"))*2)+((COUNTIF('Elève (4ème4)'!RU11:RX11,"D"))*1))/(COUNTA(RU11:RX11)),"")</f>
        <v/>
      </c>
      <c r="RZ11" s="190" t="str">
        <f t="shared" si="102"/>
        <v/>
      </c>
      <c r="SA11" s="217">
        <f>IF(COUNT(RM11,RS11,RY11)=0,"",SUM(RM11,RS11,RY11)/COUNT(RM11,RS11,RY11))</f>
        <v>3.5</v>
      </c>
      <c r="SB11" s="214" t="str">
        <f t="shared" si="103"/>
        <v>B</v>
      </c>
      <c r="SC11" s="134"/>
      <c r="SD11" s="132"/>
      <c r="SE11" s="133"/>
      <c r="SF11" s="121" t="str">
        <f>IFERROR((((COUNTIF('Elève (4ème4)'!SC11:SE11,"A"))*4)+((COUNTIF('Elève (4ème4)'!SC11:SE11,"B"))*3)+((COUNTIF('Elève (4ème4)'!SC11:SE11,"C"))*2)+((COUNTIF('Elève (4ème4)'!SC11:SE11,"D"))*1))/(COUNTA(SC11:SE11)),"")</f>
        <v/>
      </c>
      <c r="SG11" s="122" t="str">
        <f t="shared" si="104"/>
        <v/>
      </c>
      <c r="SH11" s="134"/>
      <c r="SI11" s="132"/>
      <c r="SJ11" s="133"/>
      <c r="SK11" s="121" t="str">
        <f>IFERROR((((COUNTIF('Elève (4ème4)'!SH11:SJ11,"A"))*4)+((COUNTIF('Elève (4ème4)'!SH11:SJ11,"B"))*3)+((COUNTIF('Elève (4ème4)'!SH11:SJ11,"C"))*2)+((COUNTIF('Elève (4ème4)'!SH11:SJ11,"D"))*1))/(COUNTA(SH11:SJ11)),"")</f>
        <v/>
      </c>
      <c r="SL11" s="122" t="str">
        <f t="shared" si="105"/>
        <v/>
      </c>
      <c r="SM11" s="134"/>
      <c r="SN11" s="132"/>
      <c r="SO11" s="136"/>
      <c r="SP11" s="121" t="str">
        <f>IFERROR((((COUNTIF('Elève (4ème4)'!SM11:SO11,"A"))*4)+((COUNTIF('Elève (4ème4)'!SM11:SO11,"B"))*3)+((COUNTIF('Elève (4ème4)'!SM11:SO11,"C"))*2)+((COUNTIF('Elève (4ème4)'!SM11:SO11,"D"))*1))/(COUNTA(SM11:SO11)),"")</f>
        <v/>
      </c>
      <c r="SQ11" s="122" t="str">
        <f t="shared" si="106"/>
        <v/>
      </c>
      <c r="SR11" s="146" t="str">
        <f>IF(COUNT(SF11,SK11,SP11)=0,"",SUM(SF11,SK11,SP11)/COUNT(SF11,SK11,SP11))</f>
        <v/>
      </c>
      <c r="SS11" s="125" t="str">
        <f t="shared" si="107"/>
        <v/>
      </c>
      <c r="ST11" s="134"/>
      <c r="SU11" s="132"/>
      <c r="SV11" s="133"/>
      <c r="SW11" s="121" t="str">
        <f>IFERROR((((COUNTIF('Elève (4ème4)'!ST11:SV11,"A"))*4)+((COUNTIF('Elève (4ème4)'!ST11:SV11,"B"))*3)+((COUNTIF('Elève (4ème4)'!ST11:SV11,"C"))*2)+((COUNTIF('Elève (4ème4)'!ST11:SV11,"D"))*1))/(COUNTA(ST11:SV11)),"")</f>
        <v/>
      </c>
      <c r="SX11" s="122" t="str">
        <f t="shared" si="108"/>
        <v/>
      </c>
      <c r="SY11" s="134"/>
      <c r="SZ11" s="132"/>
      <c r="TA11" s="133"/>
      <c r="TB11" s="121" t="str">
        <f>IFERROR((((COUNTIF('Elève (4ème4)'!SY11:TA11,"A"))*4)+((COUNTIF('Elève (4ème4)'!SY11:TA11,"B"))*3)+((COUNTIF('Elève (4ème4)'!SY11:TA11,"C"))*2)+((COUNTIF('Elève (4ème4)'!SY11:TA11,"D"))*1))/(COUNTA(SY11:TA11)),"")</f>
        <v/>
      </c>
      <c r="TC11" s="122" t="str">
        <f t="shared" si="109"/>
        <v/>
      </c>
      <c r="TD11" s="134"/>
      <c r="TE11" s="132"/>
      <c r="TF11" s="136"/>
      <c r="TG11" s="121" t="str">
        <f>IFERROR((((COUNTIF('Elève (4ème4)'!TD11:TF11,"A"))*4)+((COUNTIF('Elève (4ème4)'!TD11:TF11,"B"))*3)+((COUNTIF('Elève (4ème4)'!TD11:TF11,"C"))*2)+((COUNTIF('Elève (4ème4)'!TD11:TF11,"D"))*1))/(COUNTA(TD11:TF11)),"")</f>
        <v/>
      </c>
      <c r="TH11" s="122" t="str">
        <f t="shared" si="110"/>
        <v/>
      </c>
      <c r="TI11" s="146" t="str">
        <f>IF(COUNT(SW11,TB11,TG11)=0,"",SUM(SW11,TB11,TG11)/COUNT(SW11,TB11,TG11))</f>
        <v/>
      </c>
      <c r="TJ11" s="125" t="str">
        <f t="shared" si="111"/>
        <v/>
      </c>
      <c r="TK11" s="134"/>
      <c r="TL11" s="132"/>
      <c r="TM11" s="133"/>
      <c r="TN11" s="121" t="str">
        <f>IFERROR((((COUNTIF('Elève (4ème4)'!TK11:TM11,"A"))*4)+((COUNTIF('Elève (4ème4)'!TK11:TM11,"B"))*3)+((COUNTIF('Elève (4ème4)'!TK11:TM11,"C"))*2)+((COUNTIF('Elève (4ème4)'!TK11:TM11,"D"))*1))/(COUNTA(TK11:TM11)),"")</f>
        <v/>
      </c>
      <c r="TO11" s="122" t="str">
        <f t="shared" si="112"/>
        <v/>
      </c>
      <c r="TP11" s="134"/>
      <c r="TQ11" s="132"/>
      <c r="TR11" s="133"/>
      <c r="TS11" s="121" t="str">
        <f>IFERROR((((COUNTIF('Elève (4ème4)'!TP11:TR11,"A"))*4)+((COUNTIF('Elève (4ème4)'!TP11:TR11,"B"))*3)+((COUNTIF('Elève (4ème4)'!TP11:TR11,"C"))*2)+((COUNTIF('Elève (4ème4)'!TP11:TR11,"D"))*1))/(COUNTA(TP11:TR11)),"")</f>
        <v/>
      </c>
      <c r="TT11" s="122" t="str">
        <f t="shared" si="113"/>
        <v/>
      </c>
      <c r="TU11" s="134"/>
      <c r="TV11" s="132"/>
      <c r="TW11" s="136"/>
      <c r="TX11" s="121" t="str">
        <f>IFERROR((((COUNTIF('Elève (4ème4)'!TU11:TW11,"A"))*4)+((COUNTIF('Elève (4ème4)'!TU11:TW11,"B"))*3)+((COUNTIF('Elève (4ème4)'!TU11:TW11,"C"))*2)+((COUNTIF('Elève (4ème4)'!TU11:TW11,"D"))*1))/(COUNTA(TU11:TW11)),"")</f>
        <v/>
      </c>
      <c r="TY11" s="122" t="str">
        <f t="shared" si="114"/>
        <v/>
      </c>
      <c r="TZ11" s="146" t="str">
        <f>IF(COUNT(TN11,TS11,TX11)=0,"",SUM(TN11,TS11,TX11)/COUNT(TN11,TS11,TX11))</f>
        <v/>
      </c>
      <c r="UA11" s="125" t="str">
        <f t="shared" si="115"/>
        <v/>
      </c>
      <c r="UB11" s="134"/>
      <c r="UC11" s="132"/>
      <c r="UD11" s="133"/>
      <c r="UE11" s="121" t="str">
        <f>IFERROR((((COUNTIF('Elève (4ème4)'!UB11:UD11,"A"))*4)+((COUNTIF('Elève (4ème4)'!UB11:UD11,"B"))*3)+((COUNTIF('Elève (4ème4)'!UB11:UD11,"C"))*2)+((COUNTIF('Elève (4ème4)'!UB11:UD11,"D"))*1))/(COUNTA(UB11:UD11)),"")</f>
        <v/>
      </c>
      <c r="UF11" s="122" t="str">
        <f t="shared" si="116"/>
        <v/>
      </c>
      <c r="UG11" s="134"/>
      <c r="UH11" s="132"/>
      <c r="UI11" s="133"/>
      <c r="UJ11" s="121" t="str">
        <f>IFERROR((((COUNTIF('Elève (4ème4)'!UG11:UI11,"A"))*4)+((COUNTIF('Elève (4ème4)'!UG11:UI11,"B"))*3)+((COUNTIF('Elève (4ème4)'!UG11:UI11,"C"))*2)+((COUNTIF('Elève (4ème4)'!UG11:UI11,"D"))*1))/(COUNTA(UG11:UI11)),"")</f>
        <v/>
      </c>
      <c r="UK11" s="122" t="str">
        <f t="shared" si="117"/>
        <v/>
      </c>
      <c r="UL11" s="134"/>
      <c r="UM11" s="132"/>
      <c r="UN11" s="136"/>
      <c r="UO11" s="121" t="str">
        <f>IFERROR((((COUNTIF('Elève (4ème4)'!UL11:UN11,"A"))*4)+((COUNTIF('Elève (4ème4)'!UL11:UN11,"B"))*3)+((COUNTIF('Elève (4ème4)'!UL11:UN11,"C"))*2)+((COUNTIF('Elève (4ème4)'!UL11:UN11,"D"))*1))/(COUNTA(UL11:UN11)),"")</f>
        <v/>
      </c>
      <c r="UP11" s="122" t="str">
        <f t="shared" si="118"/>
        <v/>
      </c>
      <c r="UQ11" s="146" t="str">
        <f>IF(COUNT(UE11,UJ11,UO11)=0,"",SUM(UE11,UJ11,UO11)/COUNT(UE11,UJ11,UO11))</f>
        <v/>
      </c>
      <c r="UR11" s="125" t="str">
        <f t="shared" si="119"/>
        <v/>
      </c>
    </row>
    <row r="12" spans="1:564" ht="18" customHeight="1" thickBot="1" x14ac:dyDescent="0.3">
      <c r="A12" s="254" t="s">
        <v>49</v>
      </c>
      <c r="B12" s="255"/>
      <c r="C12" s="137"/>
      <c r="D12" s="152" t="s">
        <v>32</v>
      </c>
      <c r="E12" s="139"/>
      <c r="F12" s="193">
        <f>IFERROR((((COUNTIF('Elève (4ème4)'!C12:E12,"A"))*4)+((COUNTIF('Elève (4ème4)'!C12:E12,"B"))*3)+((COUNTIF('Elève (4ème4)'!C12:E12,"C"))*2)+((COUNTIF('Elève (4ème4)'!C12:E12,"D"))*1))/(COUNTA(C12:E12)),"")</f>
        <v>1</v>
      </c>
      <c r="G12" s="194" t="str">
        <f t="shared" si="0"/>
        <v>D</v>
      </c>
      <c r="H12" s="137"/>
      <c r="I12" s="138"/>
      <c r="J12" s="139"/>
      <c r="K12" s="139"/>
      <c r="L12" s="193" t="str">
        <f>IFERROR((((COUNTIF('Elève (4ème4)'!H12:K12,"A"))*4)+((COUNTIF('Elève (4ème4)'!H12:K12,"B"))*3)+((COUNTIF('Elève (4ème4)'!H12:K12,"C"))*2)+((COUNTIF('Elève (4ème4)'!H12:K12,"D"))*1))/(COUNTA(H12:K12)),"")</f>
        <v/>
      </c>
      <c r="M12" s="194" t="str">
        <f t="shared" si="1"/>
        <v/>
      </c>
      <c r="N12" s="137"/>
      <c r="O12" s="138"/>
      <c r="P12" s="139"/>
      <c r="Q12" s="139"/>
      <c r="R12" s="193" t="str">
        <f>IFERROR((((COUNTIF('Elève (4ème4)'!N12:Q12,"A"))*4)+((COUNTIF('Elève (4ème4)'!N12:Q12,"B"))*3)+((COUNTIF('Elève (4ème4)'!N12:Q12,"C"))*2)+((COUNTIF('Elève (4ème4)'!N12:Q12,"D"))*1))/(COUNTA(N12:Q12)),"")</f>
        <v/>
      </c>
      <c r="S12" s="194" t="str">
        <f t="shared" si="2"/>
        <v/>
      </c>
      <c r="T12" s="193">
        <f>IF(COUNT(F12,L12,R12)=0,"",SUM(F12,L12,R12)/COUNT(F12,L12,R12))</f>
        <v>1</v>
      </c>
      <c r="U12" s="216" t="str">
        <f t="shared" si="3"/>
        <v>D</v>
      </c>
      <c r="V12" s="137"/>
      <c r="W12" s="152" t="s">
        <v>31</v>
      </c>
      <c r="X12" s="139"/>
      <c r="Y12" s="193">
        <f>IFERROR((((COUNTIF('Elève (4ème4)'!V12:X12,"A"))*4)+((COUNTIF('Elève (4ème4)'!V12:X12,"B"))*3)+((COUNTIF('Elève (4ème4)'!V12:X12,"C"))*2)+((COUNTIF('Elève (4ème4)'!V12:X12,"D"))*1))/(COUNTA(V12:X12)),"")</f>
        <v>2</v>
      </c>
      <c r="Z12" s="194" t="str">
        <f t="shared" si="4"/>
        <v>C</v>
      </c>
      <c r="AA12" s="137"/>
      <c r="AB12" s="138"/>
      <c r="AC12" s="139"/>
      <c r="AD12" s="139"/>
      <c r="AE12" s="193" t="str">
        <f>IFERROR((((COUNTIF('Elève (4ème4)'!AA12:AD12,"A"))*4)+((COUNTIF('Elève (4ème4)'!AA12:AD12,"B"))*3)+((COUNTIF('Elève (4ème4)'!AA12:AD12,"C"))*2)+((COUNTIF('Elève (4ème4)'!AA12:AD12,"D"))*1))/(COUNTA(AA12:AD12)),"")</f>
        <v/>
      </c>
      <c r="AF12" s="194" t="str">
        <f t="shared" si="5"/>
        <v/>
      </c>
      <c r="AG12" s="137"/>
      <c r="AH12" s="138"/>
      <c r="AI12" s="139"/>
      <c r="AJ12" s="143"/>
      <c r="AK12" s="193" t="str">
        <f>IFERROR((((COUNTIF('Elève (4ème4)'!AG12:AJ12,"A"))*4)+((COUNTIF('Elève (4ème4)'!AG12:AJ12,"B"))*3)+((COUNTIF('Elève (4ème4)'!AG12:AJ12,"C"))*2)+((COUNTIF('Elève (4ème4)'!AG12:AJ12,"D"))*1))/(COUNTA(AG12:AJ12)),"")</f>
        <v/>
      </c>
      <c r="AL12" s="194" t="str">
        <f t="shared" si="6"/>
        <v/>
      </c>
      <c r="AM12" s="193">
        <f>IF(COUNT(Y12,AE12,AK12)=0,"",SUM(Y12,AE12,AK12)/COUNT(Y12,AE12,AK12))</f>
        <v>2</v>
      </c>
      <c r="AN12" s="216" t="str">
        <f t="shared" si="7"/>
        <v>C</v>
      </c>
      <c r="AO12" s="137"/>
      <c r="AP12" s="152" t="s">
        <v>30</v>
      </c>
      <c r="AQ12" s="139"/>
      <c r="AR12" s="193">
        <f>IFERROR((((COUNTIF('Elève (4ème4)'!AO12:AQ12,"A"))*4)+((COUNTIF('Elève (4ème4)'!AO12:AQ12,"B"))*3)+((COUNTIF('Elève (4ème4)'!AO12:AQ12,"C"))*2)+((COUNTIF('Elève (4ème4)'!AO12:AQ12,"D"))*1))/(COUNTA(AO12:AQ12)),"")</f>
        <v>3</v>
      </c>
      <c r="AS12" s="194" t="str">
        <f t="shared" si="8"/>
        <v>B</v>
      </c>
      <c r="AT12" s="137"/>
      <c r="AU12" s="138"/>
      <c r="AV12" s="139"/>
      <c r="AW12" s="139"/>
      <c r="AX12" s="193" t="str">
        <f>IFERROR((((COUNTIF('Elève (4ème4)'!AT12:AW12,"A"))*4)+((COUNTIF('Elève (4ème4)'!AT12:AW12,"B"))*3)+((COUNTIF('Elève (4ème4)'!AT12:AW12,"C"))*2)+((COUNTIF('Elève (4ème4)'!AT12:AW12,"D"))*1))/(COUNTA(AT12:AW12)),"")</f>
        <v/>
      </c>
      <c r="AY12" s="194" t="str">
        <f t="shared" si="9"/>
        <v/>
      </c>
      <c r="AZ12" s="137"/>
      <c r="BA12" s="138"/>
      <c r="BB12" s="139"/>
      <c r="BC12" s="143"/>
      <c r="BD12" s="193" t="str">
        <f>IFERROR((((COUNTIF('Elève (4ème4)'!AZ12:BC12,"A"))*4)+((COUNTIF('Elève (4ème4)'!AZ12:BC12,"B"))*3)+((COUNTIF('Elève (4ème4)'!AZ12:BC12,"C"))*2)+((COUNTIF('Elève (4ème4)'!AZ12:BC12,"D"))*1))/(COUNTA(AZ12:BC12)),"")</f>
        <v/>
      </c>
      <c r="BE12" s="194" t="str">
        <f t="shared" si="10"/>
        <v/>
      </c>
      <c r="BF12" s="193">
        <f>IF(COUNT(AR12,AX12,BD12)=0,"",SUM(AR12,AX12,BD12)/COUNT(AR12,AX12,BD12))</f>
        <v>3</v>
      </c>
      <c r="BG12" s="216" t="str">
        <f t="shared" si="11"/>
        <v>B</v>
      </c>
      <c r="BH12" s="137"/>
      <c r="BI12" s="152" t="s">
        <v>31</v>
      </c>
      <c r="BJ12" s="139"/>
      <c r="BK12" s="193">
        <f>IFERROR((((COUNTIF('Elève (4ème4)'!BH12:BJ12,"A"))*4)+((COUNTIF('Elève (4ème4)'!BH12:BJ12,"B"))*3)+((COUNTIF('Elève (4ème4)'!BH12:BJ12,"C"))*2)+((COUNTIF('Elève (4ème4)'!BH12:BJ12,"D"))*1))/(COUNTA(BH12:BJ12)),"")</f>
        <v>2</v>
      </c>
      <c r="BL12" s="194" t="str">
        <f t="shared" si="12"/>
        <v>C</v>
      </c>
      <c r="BM12" s="137"/>
      <c r="BN12" s="138"/>
      <c r="BO12" s="139"/>
      <c r="BP12" s="139"/>
      <c r="BQ12" s="193" t="str">
        <f>IFERROR((((COUNTIF('Elève (4ème4)'!BM12:BP12,"A"))*4)+((COUNTIF('Elève (4ème4)'!BM12:BP12,"B"))*3)+((COUNTIF('Elève (4ème4)'!BM12:BP12,"C"))*2)+((COUNTIF('Elève (4ème4)'!BM12:BP12,"D"))*1))/(COUNTA(BM12:BP12)),"")</f>
        <v/>
      </c>
      <c r="BR12" s="194" t="str">
        <f t="shared" si="13"/>
        <v/>
      </c>
      <c r="BS12" s="137"/>
      <c r="BT12" s="138"/>
      <c r="BU12" s="139"/>
      <c r="BV12" s="143"/>
      <c r="BW12" s="193" t="str">
        <f>IFERROR((((COUNTIF('Elève (4ème4)'!BS12:BV12,"A"))*4)+((COUNTIF('Elève (4ème4)'!BS12:BV12,"B"))*3)+((COUNTIF('Elève (4ème4)'!BS12:BV12,"C"))*2)+((COUNTIF('Elève (4ème4)'!BS12:BV12,"D"))*1))/(COUNTA(BS12:BV12)),"")</f>
        <v/>
      </c>
      <c r="BX12" s="194" t="str">
        <f t="shared" si="14"/>
        <v/>
      </c>
      <c r="BY12" s="193">
        <f>IF(COUNT(BK12,BQ12,BW12)=0,"",SUM(BK12,BQ12,BW12)/COUNT(BK12,BQ12,BW12))</f>
        <v>2</v>
      </c>
      <c r="BZ12" s="216" t="str">
        <f t="shared" si="15"/>
        <v>C</v>
      </c>
      <c r="CA12" s="137"/>
      <c r="CB12" s="152" t="s">
        <v>32</v>
      </c>
      <c r="CC12" s="139"/>
      <c r="CD12" s="193">
        <f>IFERROR((((COUNTIF('Elève (4ème4)'!CA12:CC12,"A"))*4)+((COUNTIF('Elève (4ème4)'!CA12:CC12,"B"))*3)+((COUNTIF('Elève (4ème4)'!CA12:CC12,"C"))*2)+((COUNTIF('Elève (4ème4)'!CA12:CC12,"D"))*1))/(COUNTA(CA12:CC12)),"")</f>
        <v>1</v>
      </c>
      <c r="CE12" s="194" t="str">
        <f t="shared" si="16"/>
        <v>D</v>
      </c>
      <c r="CF12" s="137"/>
      <c r="CG12" s="138"/>
      <c r="CH12" s="139" t="s">
        <v>30</v>
      </c>
      <c r="CI12" s="139"/>
      <c r="CJ12" s="193">
        <f>IFERROR((((COUNTIF('Elève (4ème4)'!CF12:CI12,"A"))*4)+((COUNTIF('Elève (4ème4)'!CF12:CI12,"B"))*3)+((COUNTIF('Elève (4ème4)'!CF12:CI12,"C"))*2)+((COUNTIF('Elève (4ème4)'!CF12:CI12,"D"))*1))/(COUNTA(CF12:CI12)),"")</f>
        <v>3</v>
      </c>
      <c r="CK12" s="194" t="str">
        <f t="shared" si="17"/>
        <v>B</v>
      </c>
      <c r="CL12" s="137"/>
      <c r="CM12" s="138"/>
      <c r="CN12" s="139"/>
      <c r="CO12" s="143"/>
      <c r="CP12" s="193" t="str">
        <f>IFERROR((((COUNTIF('Elève (4ème4)'!CL12:CO12,"A"))*4)+((COUNTIF('Elève (4ème4)'!CL12:CO12,"B"))*3)+((COUNTIF('Elève (4ème4)'!CL12:CO12,"C"))*2)+((COUNTIF('Elève (4ème4)'!CL12:CO12,"D"))*1))/(COUNTA(CL12:CO12)),"")</f>
        <v/>
      </c>
      <c r="CQ12" s="194" t="str">
        <f t="shared" si="18"/>
        <v/>
      </c>
      <c r="CR12" s="193">
        <f>IF(COUNT(CD12,CJ12,CP12)=0,"",SUM(CD12,CJ12,CP12)/COUNT(CD12,CJ12,CP12))</f>
        <v>2</v>
      </c>
      <c r="CS12" s="216" t="str">
        <f t="shared" si="19"/>
        <v>C</v>
      </c>
      <c r="CT12" s="137"/>
      <c r="CU12" s="152" t="s">
        <v>31</v>
      </c>
      <c r="CV12" s="139"/>
      <c r="CW12" s="193">
        <f>IFERROR((((COUNTIF('Elève (4ème4)'!CT12:CV12,"A"))*4)+((COUNTIF('Elève (4ème4)'!CT12:CV12,"B"))*3)+((COUNTIF('Elève (4ème4)'!CT12:CV12,"C"))*2)+((COUNTIF('Elève (4ème4)'!CT12:CV12,"D"))*1))/(COUNTA(CT12:CV12)),"")</f>
        <v>2</v>
      </c>
      <c r="CX12" s="194" t="str">
        <f t="shared" si="20"/>
        <v>C</v>
      </c>
      <c r="CY12" s="137"/>
      <c r="CZ12" s="138"/>
      <c r="DA12" s="139"/>
      <c r="DB12" s="139"/>
      <c r="DC12" s="193" t="str">
        <f>IFERROR((((COUNTIF('Elève (4ème4)'!CY12:DB12,"A"))*4)+((COUNTIF('Elève (4ème4)'!CY12:DB12,"B"))*3)+((COUNTIF('Elève (4ème4)'!CY12:DB12,"C"))*2)+((COUNTIF('Elève (4ème4)'!CY12:DB12,"D"))*1))/(COUNTA(CY12:DB12)),"")</f>
        <v/>
      </c>
      <c r="DD12" s="194" t="str">
        <f t="shared" si="21"/>
        <v/>
      </c>
      <c r="DE12" s="137"/>
      <c r="DF12" s="138"/>
      <c r="DG12" s="139"/>
      <c r="DH12" s="143"/>
      <c r="DI12" s="193" t="str">
        <f>IFERROR((((COUNTIF('Elève (4ème4)'!DE12:DH12,"A"))*4)+((COUNTIF('Elève (4ème4)'!DE12:DH12,"B"))*3)+((COUNTIF('Elève (4ème4)'!DE12:DH12,"C"))*2)+((COUNTIF('Elève (4ème4)'!DE12:DH12,"D"))*1))/(COUNTA(DE12:DH12)),"")</f>
        <v/>
      </c>
      <c r="DJ12" s="194" t="str">
        <f t="shared" si="22"/>
        <v/>
      </c>
      <c r="DK12" s="193">
        <f>IF(COUNT(CW12,DC12,DI12)=0,"",SUM(CW12,DC12,DI12)/COUNT(CW12,DC12,DI12))</f>
        <v>2</v>
      </c>
      <c r="DL12" s="216" t="str">
        <f t="shared" si="23"/>
        <v>C</v>
      </c>
      <c r="DM12" s="137"/>
      <c r="DN12" s="152" t="s">
        <v>31</v>
      </c>
      <c r="DO12" s="139"/>
      <c r="DP12" s="193">
        <f>IFERROR((((COUNTIF('Elève (4ème4)'!DM12:DO12,"A"))*4)+((COUNTIF('Elève (4ème4)'!DM12:DO12,"B"))*3)+((COUNTIF('Elève (4ème4)'!DM12:DO12,"C"))*2)+((COUNTIF('Elève (4ème4)'!DM12:DO12,"D"))*1))/(COUNTA(DM12:DO12)),"")</f>
        <v>2</v>
      </c>
      <c r="DQ12" s="194" t="str">
        <f t="shared" si="24"/>
        <v>C</v>
      </c>
      <c r="DR12" s="137"/>
      <c r="DS12" s="138"/>
      <c r="DT12" s="139" t="s">
        <v>30</v>
      </c>
      <c r="DU12" s="139"/>
      <c r="DV12" s="193">
        <f>IFERROR((((COUNTIF('Elève (4ème4)'!DR12:DU12,"A"))*4)+((COUNTIF('Elève (4ème4)'!DR12:DU12,"B"))*3)+((COUNTIF('Elève (4ème4)'!DR12:DU12,"C"))*2)+((COUNTIF('Elève (4ème4)'!DR12:DU12,"D"))*1))/(COUNTA(DR12:DU12)),"")</f>
        <v>3</v>
      </c>
      <c r="DW12" s="194" t="str">
        <f t="shared" si="25"/>
        <v>B</v>
      </c>
      <c r="DX12" s="137"/>
      <c r="DY12" s="138"/>
      <c r="DZ12" s="139"/>
      <c r="EA12" s="143"/>
      <c r="EB12" s="193" t="str">
        <f>IFERROR((((COUNTIF('Elève (4ème4)'!DX12:EA12,"A"))*4)+((COUNTIF('Elève (4ème4)'!DX12:EA12,"B"))*3)+((COUNTIF('Elève (4ème4)'!DX12:EA12,"C"))*2)+((COUNTIF('Elève (4ème4)'!DX12:EA12,"D"))*1))/(COUNTA(DX12:EA12)),"")</f>
        <v/>
      </c>
      <c r="EC12" s="194" t="str">
        <f t="shared" si="26"/>
        <v/>
      </c>
      <c r="ED12" s="193">
        <f>IF(COUNT(DP12,DV12,EB12)=0,"",SUM(DP12,DV12,EB12)/COUNT(DP12,DV12,EB12))</f>
        <v>2.5</v>
      </c>
      <c r="EE12" s="216" t="str">
        <f t="shared" si="27"/>
        <v>C</v>
      </c>
      <c r="EF12" s="137"/>
      <c r="EG12" s="152" t="s">
        <v>30</v>
      </c>
      <c r="EH12" s="139"/>
      <c r="EI12" s="193">
        <f>IFERROR((((COUNTIF('Elève (4ème4)'!EF12:EH12,"A"))*4)+((COUNTIF('Elève (4ème4)'!EF12:EH12,"B"))*3)+((COUNTIF('Elève (4ème4)'!EF12:EH12,"C"))*2)+((COUNTIF('Elève (4ème4)'!EF12:EH12,"D"))*1))/(COUNTA(EF12:EH12)),"")</f>
        <v>3</v>
      </c>
      <c r="EJ12" s="194" t="str">
        <f t="shared" si="28"/>
        <v>B</v>
      </c>
      <c r="EK12" s="137"/>
      <c r="EL12" s="138"/>
      <c r="EM12" s="139"/>
      <c r="EN12" s="139"/>
      <c r="EO12" s="193" t="str">
        <f>IFERROR((((COUNTIF('Elève (4ème4)'!EK12:EN12,"A"))*4)+((COUNTIF('Elève (4ème4)'!EK12:EN12,"B"))*3)+((COUNTIF('Elève (4ème4)'!EK12:EN12,"C"))*2)+((COUNTIF('Elève (4ème4)'!EK12:EN12,"D"))*1))/(COUNTA(EK12:EN12)),"")</f>
        <v/>
      </c>
      <c r="EP12" s="194" t="str">
        <f t="shared" si="29"/>
        <v/>
      </c>
      <c r="EQ12" s="137"/>
      <c r="ER12" s="138"/>
      <c r="ES12" s="139"/>
      <c r="ET12" s="143"/>
      <c r="EU12" s="193" t="str">
        <f>IFERROR((((COUNTIF('Elève (4ème4)'!EQ12:ET12,"A"))*4)+((COUNTIF('Elève (4ème4)'!EQ12:ET12,"B"))*3)+((COUNTIF('Elève (4ème4)'!EQ12:ET12,"C"))*2)+((COUNTIF('Elève (4ème4)'!EQ12:ET12,"D"))*1))/(COUNTA(EQ12:ET12)),"")</f>
        <v/>
      </c>
      <c r="EV12" s="194" t="str">
        <f t="shared" si="30"/>
        <v/>
      </c>
      <c r="EW12" s="193">
        <f>IF(COUNT(EI12,EO12,EU12)=0,"",SUM(EI12,EO12,EU12)/COUNT(EI12,EO12,EU12))</f>
        <v>3</v>
      </c>
      <c r="EX12" s="216" t="str">
        <f t="shared" si="31"/>
        <v>B</v>
      </c>
      <c r="EY12" s="137"/>
      <c r="EZ12" s="152" t="s">
        <v>31</v>
      </c>
      <c r="FA12" s="139"/>
      <c r="FB12" s="193">
        <f>IFERROR((((COUNTIF('Elève (4ème4)'!EY12:FA12,"A"))*4)+((COUNTIF('Elève (4ème4)'!EY12:FA12,"B"))*3)+((COUNTIF('Elève (4ème4)'!EY12:FA12,"C"))*2)+((COUNTIF('Elève (4ème4)'!EY12:FA12,"D"))*1))/(COUNTA(EY12:FA12)),"")</f>
        <v>2</v>
      </c>
      <c r="FC12" s="194" t="str">
        <f t="shared" si="32"/>
        <v>C</v>
      </c>
      <c r="FD12" s="137"/>
      <c r="FE12" s="138"/>
      <c r="FF12" s="139"/>
      <c r="FG12" s="139"/>
      <c r="FH12" s="193" t="str">
        <f>IFERROR((((COUNTIF('Elève (4ème4)'!FD12:FG12,"A"))*4)+((COUNTIF('Elève (4ème4)'!FD12:FG12,"B"))*3)+((COUNTIF('Elève (4ème4)'!FD12:FG12,"C"))*2)+((COUNTIF('Elève (4ème4)'!FD12:FG12,"D"))*1))/(COUNTA(FD12:FG12)),"")</f>
        <v/>
      </c>
      <c r="FI12" s="194" t="str">
        <f t="shared" si="33"/>
        <v/>
      </c>
      <c r="FJ12" s="137"/>
      <c r="FK12" s="138"/>
      <c r="FL12" s="139"/>
      <c r="FM12" s="143"/>
      <c r="FN12" s="193" t="str">
        <f>IFERROR((((COUNTIF('Elève (4ème4)'!FJ12:FM12,"A"))*4)+((COUNTIF('Elève (4ème4)'!FJ12:FM12,"B"))*3)+((COUNTIF('Elève (4ème4)'!FJ12:FM12,"C"))*2)+((COUNTIF('Elève (4ème4)'!FJ12:FM12,"D"))*1))/(COUNTA(FJ12:FM12)),"")</f>
        <v/>
      </c>
      <c r="FO12" s="194" t="str">
        <f t="shared" si="34"/>
        <v/>
      </c>
      <c r="FP12" s="193">
        <f>IF(COUNT(FB12,FH12,FN12)=0,"",SUM(FB12,FH12,FN12)/COUNT(FB12,FH12,FN12))</f>
        <v>2</v>
      </c>
      <c r="FQ12" s="216" t="str">
        <f t="shared" si="35"/>
        <v>C</v>
      </c>
      <c r="FR12" s="137"/>
      <c r="FS12" s="152" t="s">
        <v>31</v>
      </c>
      <c r="FT12" s="139"/>
      <c r="FU12" s="193">
        <f>IFERROR((((COUNTIF('Elève (4ème4)'!FR12:FT12,"A"))*4)+((COUNTIF('Elève (4ème4)'!FR12:FT12,"B"))*3)+((COUNTIF('Elève (4ème4)'!FR12:FT12,"C"))*2)+((COUNTIF('Elève (4ème4)'!FR12:FT12,"D"))*1))/(COUNTA(FR12:FT12)),"")</f>
        <v>2</v>
      </c>
      <c r="FV12" s="194" t="str">
        <f t="shared" si="36"/>
        <v>C</v>
      </c>
      <c r="FW12" s="137"/>
      <c r="FX12" s="138"/>
      <c r="FY12" s="139"/>
      <c r="FZ12" s="139"/>
      <c r="GA12" s="193" t="str">
        <f>IFERROR((((COUNTIF('Elève (4ème4)'!FW12:FZ12,"A"))*4)+((COUNTIF('Elève (4ème4)'!FW12:FZ12,"B"))*3)+((COUNTIF('Elève (4ème4)'!FW12:FZ12,"C"))*2)+((COUNTIF('Elève (4ème4)'!FW12:FZ12,"D"))*1))/(COUNTA(FW12:FZ12)),"")</f>
        <v/>
      </c>
      <c r="GB12" s="194" t="str">
        <f t="shared" si="37"/>
        <v/>
      </c>
      <c r="GC12" s="137"/>
      <c r="GD12" s="138"/>
      <c r="GE12" s="139"/>
      <c r="GF12" s="143"/>
      <c r="GG12" s="193" t="str">
        <f>IFERROR((((COUNTIF('Elève (4ème4)'!GC12:GF12,"A"))*4)+((COUNTIF('Elève (4ème4)'!GC12:GF12,"B"))*3)+((COUNTIF('Elève (4ème4)'!GC12:GF12,"C"))*2)+((COUNTIF('Elève (4ème4)'!GC12:GF12,"D"))*1))/(COUNTA(GC12:GF12)),"")</f>
        <v/>
      </c>
      <c r="GH12" s="194" t="str">
        <f t="shared" si="38"/>
        <v/>
      </c>
      <c r="GI12" s="193">
        <f>IF(COUNT(FU12,GA12,GG12)=0,"",SUM(FU12,GA12,GG12)/COUNT(FU12,GA12,GG12))</f>
        <v>2</v>
      </c>
      <c r="GJ12" s="216" t="str">
        <f t="shared" si="39"/>
        <v>C</v>
      </c>
      <c r="GK12" s="137"/>
      <c r="GL12" s="152" t="s">
        <v>32</v>
      </c>
      <c r="GM12" s="139"/>
      <c r="GN12" s="193">
        <f>IFERROR((((COUNTIF('Elève (4ème4)'!GK12:GM12,"A"))*4)+((COUNTIF('Elève (4ème4)'!GK12:GM12,"B"))*3)+((COUNTIF('Elève (4ème4)'!GK12:GM12,"C"))*2)+((COUNTIF('Elève (4ème4)'!GK12:GM12,"D"))*1))/(COUNTA(GK12:GM12)),"")</f>
        <v>1</v>
      </c>
      <c r="GO12" s="194" t="str">
        <f t="shared" si="40"/>
        <v>D</v>
      </c>
      <c r="GP12" s="137"/>
      <c r="GQ12" s="138"/>
      <c r="GR12" s="139"/>
      <c r="GS12" s="139"/>
      <c r="GT12" s="193" t="str">
        <f>IFERROR((((COUNTIF('Elève (4ème4)'!GP12:GS12,"A"))*4)+((COUNTIF('Elève (4ème4)'!GP12:GS12,"B"))*3)+((COUNTIF('Elève (4ème4)'!GP12:GS12,"C"))*2)+((COUNTIF('Elève (4ème4)'!GP12:GS12,"D"))*1))/(COUNTA(GP12:GS12)),"")</f>
        <v/>
      </c>
      <c r="GU12" s="194" t="str">
        <f t="shared" si="41"/>
        <v/>
      </c>
      <c r="GV12" s="137"/>
      <c r="GW12" s="138"/>
      <c r="GX12" s="139"/>
      <c r="GY12" s="143"/>
      <c r="GZ12" s="193" t="str">
        <f>IFERROR((((COUNTIF('Elève (4ème4)'!GV12:GY12,"A"))*4)+((COUNTIF('Elève (4ème4)'!GV12:GY12,"B"))*3)+((COUNTIF('Elève (4ème4)'!GV12:GY12,"C"))*2)+((COUNTIF('Elève (4ème4)'!GV12:GY12,"D"))*1))/(COUNTA(GV12:GY12)),"")</f>
        <v/>
      </c>
      <c r="HA12" s="194" t="str">
        <f t="shared" si="42"/>
        <v/>
      </c>
      <c r="HB12" s="193">
        <f>IF(COUNT(GN12,GT12,GZ12)=0,"",SUM(GN12,GT12,GZ12)/COUNT(GN12,GT12,GZ12))</f>
        <v>1</v>
      </c>
      <c r="HC12" s="216" t="str">
        <f t="shared" si="43"/>
        <v>D</v>
      </c>
      <c r="HD12" s="137"/>
      <c r="HE12" s="152" t="s">
        <v>31</v>
      </c>
      <c r="HF12" s="139"/>
      <c r="HG12" s="193">
        <f>IFERROR((((COUNTIF('Elève (4ème4)'!HD12:HF12,"A"))*4)+((COUNTIF('Elève (4ème4)'!HD12:HF12,"B"))*3)+((COUNTIF('Elève (4ème4)'!HD12:HF12,"C"))*2)+((COUNTIF('Elève (4ème4)'!HD12:HF12,"D"))*1))/(COUNTA(HD12:HF12)),"")</f>
        <v>2</v>
      </c>
      <c r="HH12" s="194" t="str">
        <f t="shared" si="44"/>
        <v>C</v>
      </c>
      <c r="HI12" s="137"/>
      <c r="HJ12" s="138"/>
      <c r="HK12" s="139"/>
      <c r="HL12" s="139"/>
      <c r="HM12" s="193" t="str">
        <f>IFERROR((((COUNTIF('Elève (4ème4)'!HI12:HL12,"A"))*4)+((COUNTIF('Elève (4ème4)'!HI12:HL12,"B"))*3)+((COUNTIF('Elève (4ème4)'!HI12:HL12,"C"))*2)+((COUNTIF('Elève (4ème4)'!HI12:HL12,"D"))*1))/(COUNTA(HI12:HL12)),"")</f>
        <v/>
      </c>
      <c r="HN12" s="194" t="str">
        <f t="shared" si="45"/>
        <v/>
      </c>
      <c r="HO12" s="137"/>
      <c r="HP12" s="138"/>
      <c r="HQ12" s="139"/>
      <c r="HR12" s="143"/>
      <c r="HS12" s="193" t="str">
        <f>IFERROR((((COUNTIF('Elève (4ème4)'!HO12:HR12,"A"))*4)+((COUNTIF('Elève (4ème4)'!HO12:HR12,"B"))*3)+((COUNTIF('Elève (4ème4)'!HO12:HR12,"C"))*2)+((COUNTIF('Elève (4ème4)'!HO12:HR12,"D"))*1))/(COUNTA(HO12:HR12)),"")</f>
        <v/>
      </c>
      <c r="HT12" s="194" t="str">
        <f t="shared" si="46"/>
        <v/>
      </c>
      <c r="HU12" s="193">
        <f>IF(COUNT(HG12,HM12,HS12)=0,"",SUM(HG12,HM12,HS12)/COUNT(HG12,HM12,HS12))</f>
        <v>2</v>
      </c>
      <c r="HV12" s="216" t="str">
        <f t="shared" si="47"/>
        <v>C</v>
      </c>
      <c r="HW12" s="137"/>
      <c r="HX12" s="152" t="s">
        <v>31</v>
      </c>
      <c r="HY12" s="139"/>
      <c r="HZ12" s="193">
        <f>IFERROR((((COUNTIF('Elève (4ème4)'!HW12:HY12,"A"))*4)+((COUNTIF('Elève (4ème4)'!HW12:HY12,"B"))*3)+((COUNTIF('Elève (4ème4)'!HW12:HY12,"C"))*2)+((COUNTIF('Elève (4ème4)'!HW12:HY12,"D"))*1))/(COUNTA(HW12:HY12)),"")</f>
        <v>2</v>
      </c>
      <c r="IA12" s="194" t="str">
        <f t="shared" si="48"/>
        <v>C</v>
      </c>
      <c r="IB12" s="137"/>
      <c r="IC12" s="138"/>
      <c r="ID12" s="139"/>
      <c r="IE12" s="139"/>
      <c r="IF12" s="193" t="str">
        <f>IFERROR((((COUNTIF('Elève (4ème4)'!IB12:IE12,"A"))*4)+((COUNTIF('Elève (4ème4)'!IB12:IE12,"B"))*3)+((COUNTIF('Elève (4ème4)'!IB12:IE12,"C"))*2)+((COUNTIF('Elève (4ème4)'!IB12:IE12,"D"))*1))/(COUNTA(IB12:IE12)),"")</f>
        <v/>
      </c>
      <c r="IG12" s="194" t="str">
        <f t="shared" si="49"/>
        <v/>
      </c>
      <c r="IH12" s="137"/>
      <c r="II12" s="138"/>
      <c r="IJ12" s="139"/>
      <c r="IK12" s="143"/>
      <c r="IL12" s="193" t="str">
        <f>IFERROR((((COUNTIF('Elève (4ème4)'!IH12:IK12,"A"))*4)+((COUNTIF('Elève (4ème4)'!IH12:IK12,"B"))*3)+((COUNTIF('Elève (4ème4)'!IH12:IK12,"C"))*2)+((COUNTIF('Elève (4ème4)'!IH12:IK12,"D"))*1))/(COUNTA(IH12:IK12)),"")</f>
        <v/>
      </c>
      <c r="IM12" s="194" t="str">
        <f t="shared" si="50"/>
        <v/>
      </c>
      <c r="IN12" s="193">
        <f>IF(COUNT(HZ12,IF12,IL12)=0,"",SUM(HZ12,IF12,IL12)/COUNT(HZ12,IF12,IL12))</f>
        <v>2</v>
      </c>
      <c r="IO12" s="216" t="str">
        <f t="shared" si="51"/>
        <v>C</v>
      </c>
      <c r="IP12" s="137"/>
      <c r="IQ12" s="152" t="s">
        <v>32</v>
      </c>
      <c r="IR12" s="139"/>
      <c r="IS12" s="193">
        <f>IFERROR((((COUNTIF('Elève (4ème4)'!IP12:IR12,"A"))*4)+((COUNTIF('Elève (4ème4)'!IP12:IR12,"B"))*3)+((COUNTIF('Elève (4ème4)'!IP12:IR12,"C"))*2)+((COUNTIF('Elève (4ème4)'!IP12:IR12,"D"))*1))/(COUNTA(IP12:IR12)),"")</f>
        <v>1</v>
      </c>
      <c r="IT12" s="194" t="str">
        <f t="shared" si="52"/>
        <v>D</v>
      </c>
      <c r="IU12" s="137"/>
      <c r="IV12" s="138"/>
      <c r="IW12" s="139"/>
      <c r="IX12" s="139"/>
      <c r="IY12" s="193" t="str">
        <f>IFERROR((((COUNTIF('Elève (4ème4)'!IU12:IX12,"A"))*4)+((COUNTIF('Elève (4ème4)'!IU12:IX12,"B"))*3)+((COUNTIF('Elève (4ème4)'!IU12:IX12,"C"))*2)+((COUNTIF('Elève (4ème4)'!IU12:IX12,"D"))*1))/(COUNTA(IU12:IX12)),"")</f>
        <v/>
      </c>
      <c r="IZ12" s="194" t="str">
        <f t="shared" si="53"/>
        <v/>
      </c>
      <c r="JA12" s="137"/>
      <c r="JB12" s="138"/>
      <c r="JC12" s="139"/>
      <c r="JD12" s="143"/>
      <c r="JE12" s="193" t="str">
        <f>IFERROR((((COUNTIF('Elève (4ème4)'!JA12:JD12,"A"))*4)+((COUNTIF('Elève (4ème4)'!JA12:JD12,"B"))*3)+((COUNTIF('Elève (4ème4)'!JA12:JD12,"C"))*2)+((COUNTIF('Elève (4ème4)'!JA12:JD12,"D"))*1))/(COUNTA(JA12:JD12)),"")</f>
        <v/>
      </c>
      <c r="JF12" s="194" t="str">
        <f t="shared" si="54"/>
        <v/>
      </c>
      <c r="JG12" s="193">
        <f>IF(COUNT(IS12,IY12,JE12)=0,"",SUM(IS12,IY12,JE12)/COUNT(IS12,IY12,JE12))</f>
        <v>1</v>
      </c>
      <c r="JH12" s="216" t="str">
        <f t="shared" si="55"/>
        <v>D</v>
      </c>
      <c r="JI12" s="137"/>
      <c r="JJ12" s="152" t="s">
        <v>32</v>
      </c>
      <c r="JK12" s="139"/>
      <c r="JL12" s="193">
        <f>IFERROR((((COUNTIF('Elève (4ème4)'!JI12:JK12,"A"))*4)+((COUNTIF('Elève (4ème4)'!JI12:JK12,"B"))*3)+((COUNTIF('Elève (4ème4)'!JI12:JK12,"C"))*2)+((COUNTIF('Elève (4ème4)'!JI12:JK12,"D"))*1))/(COUNTA(JI12:JK12)),"")</f>
        <v>1</v>
      </c>
      <c r="JM12" s="194" t="str">
        <f t="shared" si="56"/>
        <v>D</v>
      </c>
      <c r="JN12" s="137"/>
      <c r="JO12" s="138"/>
      <c r="JP12" s="139"/>
      <c r="JQ12" s="139"/>
      <c r="JR12" s="193" t="str">
        <f>IFERROR((((COUNTIF('Elève (4ème4)'!JN12:JQ12,"A"))*4)+((COUNTIF('Elève (4ème4)'!JN12:JQ12,"B"))*3)+((COUNTIF('Elève (4ème4)'!JN12:JQ12,"C"))*2)+((COUNTIF('Elève (4ème4)'!JN12:JQ12,"D"))*1))/(COUNTA(JN12:JQ12)),"")</f>
        <v/>
      </c>
      <c r="JS12" s="194" t="str">
        <f t="shared" si="57"/>
        <v/>
      </c>
      <c r="JT12" s="137"/>
      <c r="JU12" s="138"/>
      <c r="JV12" s="139"/>
      <c r="JW12" s="143"/>
      <c r="JX12" s="193" t="str">
        <f>IFERROR((((COUNTIF('Elève (4ème4)'!JT12:JW12,"A"))*4)+((COUNTIF('Elève (4ème4)'!JT12:JW12,"B"))*3)+((COUNTIF('Elève (4ème4)'!JT12:JW12,"C"))*2)+((COUNTIF('Elève (4ème4)'!JT12:JW12,"D"))*1))/(COUNTA(JT12:JW12)),"")</f>
        <v/>
      </c>
      <c r="JY12" s="194" t="str">
        <f t="shared" si="58"/>
        <v/>
      </c>
      <c r="JZ12" s="193">
        <f>IF(COUNT(JL12,JR12,JX12)=0,"",SUM(JL12,JR12,JX12)/COUNT(JL12,JR12,JX12))</f>
        <v>1</v>
      </c>
      <c r="KA12" s="216" t="str">
        <f t="shared" si="59"/>
        <v>D</v>
      </c>
      <c r="KB12" s="137"/>
      <c r="KC12" s="152" t="s">
        <v>31</v>
      </c>
      <c r="KD12" s="139"/>
      <c r="KE12" s="193">
        <f>IFERROR((((COUNTIF('Elève (4ème4)'!KB12:KD12,"A"))*4)+((COUNTIF('Elève (4ème4)'!KB12:KD12,"B"))*3)+((COUNTIF('Elève (4ème4)'!KB12:KD12,"C"))*2)+((COUNTIF('Elève (4ème4)'!KB12:KD12,"D"))*1))/(COUNTA(KB12:KD12)),"")</f>
        <v>2</v>
      </c>
      <c r="KF12" s="194" t="str">
        <f t="shared" si="60"/>
        <v>C</v>
      </c>
      <c r="KG12" s="137"/>
      <c r="KH12" s="138"/>
      <c r="KI12" s="139"/>
      <c r="KJ12" s="139"/>
      <c r="KK12" s="193" t="str">
        <f>IFERROR((((COUNTIF('Elève (4ème4)'!KG12:KJ12,"A"))*4)+((COUNTIF('Elève (4ème4)'!KG12:KJ12,"B"))*3)+((COUNTIF('Elève (4ème4)'!KG12:KJ12,"C"))*2)+((COUNTIF('Elève (4ème4)'!KG12:KJ12,"D"))*1))/(COUNTA(KG12:KJ12)),"")</f>
        <v/>
      </c>
      <c r="KL12" s="194" t="str">
        <f t="shared" si="61"/>
        <v/>
      </c>
      <c r="KM12" s="137"/>
      <c r="KN12" s="138"/>
      <c r="KO12" s="139"/>
      <c r="KP12" s="143"/>
      <c r="KQ12" s="193" t="str">
        <f>IFERROR((((COUNTIF('Elève (4ème4)'!KM12:KP12,"A"))*4)+((COUNTIF('Elève (4ème4)'!KM12:KP12,"B"))*3)+((COUNTIF('Elève (4ème4)'!KM12:KP12,"C"))*2)+((COUNTIF('Elève (4ème4)'!KM12:KP12,"D"))*1))/(COUNTA(KM12:KP12)),"")</f>
        <v/>
      </c>
      <c r="KR12" s="194" t="str">
        <f t="shared" si="62"/>
        <v/>
      </c>
      <c r="KS12" s="193">
        <f>IF(COUNT(KE12,KK12,KQ12)=0,"",SUM(KE12,KK12,KQ12)/COUNT(KE12,KK12,KQ12))</f>
        <v>2</v>
      </c>
      <c r="KT12" s="216" t="str">
        <f t="shared" si="63"/>
        <v>C</v>
      </c>
      <c r="KU12" s="137"/>
      <c r="KV12" s="152" t="s">
        <v>31</v>
      </c>
      <c r="KW12" s="139"/>
      <c r="KX12" s="193">
        <f>IFERROR((((COUNTIF('Elève (4ème4)'!KU12:KW12,"A"))*4)+((COUNTIF('Elève (4ème4)'!KU12:KW12,"B"))*3)+((COUNTIF('Elève (4ème4)'!KU12:KW12,"C"))*2)+((COUNTIF('Elève (4ème4)'!KU12:KW12,"D"))*1))/(COUNTA(KU12:KW12)),"")</f>
        <v>2</v>
      </c>
      <c r="KY12" s="194" t="str">
        <f t="shared" si="64"/>
        <v>C</v>
      </c>
      <c r="KZ12" s="137"/>
      <c r="LA12" s="138"/>
      <c r="LB12" s="139"/>
      <c r="LC12" s="139"/>
      <c r="LD12" s="193" t="str">
        <f>IFERROR((((COUNTIF('Elève (4ème4)'!KZ12:LC12,"A"))*4)+((COUNTIF('Elève (4ème4)'!KZ12:LC12,"B"))*3)+((COUNTIF('Elève (4ème4)'!KZ12:LC12,"C"))*2)+((COUNTIF('Elève (4ème4)'!KZ12:LC12,"D"))*1))/(COUNTA(KZ12:LC12)),"")</f>
        <v/>
      </c>
      <c r="LE12" s="194" t="str">
        <f t="shared" si="65"/>
        <v/>
      </c>
      <c r="LF12" s="137"/>
      <c r="LG12" s="138"/>
      <c r="LH12" s="139"/>
      <c r="LI12" s="143"/>
      <c r="LJ12" s="193" t="str">
        <f>IFERROR((((COUNTIF('Elève (4ème4)'!LF12:LI12,"A"))*4)+((COUNTIF('Elève (4ème4)'!LF12:LI12,"B"))*3)+((COUNTIF('Elève (4ème4)'!LF12:LI12,"C"))*2)+((COUNTIF('Elève (4ème4)'!LF12:LI12,"D"))*1))/(COUNTA(LF12:LI12)),"")</f>
        <v/>
      </c>
      <c r="LK12" s="194" t="str">
        <f t="shared" si="66"/>
        <v/>
      </c>
      <c r="LL12" s="193">
        <f>IF(COUNT(KX12,LD12,LJ12)=0,"",SUM(KX12,LD12,LJ12)/COUNT(KX12,LD12,LJ12))</f>
        <v>2</v>
      </c>
      <c r="LM12" s="216" t="str">
        <f t="shared" si="67"/>
        <v>C</v>
      </c>
      <c r="LN12" s="137" t="s">
        <v>29</v>
      </c>
      <c r="LO12" s="152" t="s">
        <v>31</v>
      </c>
      <c r="LP12" s="139"/>
      <c r="LQ12" s="193">
        <f>IFERROR((((COUNTIF('Elève (4ème4)'!LN12:LP12,"A"))*4)+((COUNTIF('Elève (4ème4)'!LN12:LP12,"B"))*3)+((COUNTIF('Elève (4ème4)'!LN12:LP12,"C"))*2)+((COUNTIF('Elève (4ème4)'!LN12:LP12,"D"))*1))/(COUNTA(LN12:LP12)),"")</f>
        <v>3</v>
      </c>
      <c r="LR12" s="194" t="str">
        <f t="shared" si="68"/>
        <v>B</v>
      </c>
      <c r="LS12" s="137"/>
      <c r="LT12" s="138"/>
      <c r="LU12" s="139"/>
      <c r="LV12" s="139"/>
      <c r="LW12" s="193" t="str">
        <f>IFERROR((((COUNTIF('Elève (4ème4)'!LS12:LV12,"A"))*4)+((COUNTIF('Elève (4ème4)'!LS12:LV12,"B"))*3)+((COUNTIF('Elève (4ème4)'!LS12:LV12,"C"))*2)+((COUNTIF('Elève (4ème4)'!LS12:LV12,"D"))*1))/(COUNTA(LS12:LV12)),"")</f>
        <v/>
      </c>
      <c r="LX12" s="194" t="str">
        <f t="shared" si="69"/>
        <v/>
      </c>
      <c r="LY12" s="137"/>
      <c r="LZ12" s="138"/>
      <c r="MA12" s="139"/>
      <c r="MB12" s="143"/>
      <c r="MC12" s="193" t="str">
        <f>IFERROR((((COUNTIF('Elève (4ème4)'!LY12:MB12,"A"))*4)+((COUNTIF('Elève (4ème4)'!LY12:MB12,"B"))*3)+((COUNTIF('Elève (4ème4)'!LY12:MB12,"C"))*2)+((COUNTIF('Elève (4ème4)'!LY12:MB12,"D"))*1))/(COUNTA(LY12:MB12)),"")</f>
        <v/>
      </c>
      <c r="MD12" s="194" t="str">
        <f t="shared" si="70"/>
        <v/>
      </c>
      <c r="ME12" s="193">
        <f>IF(COUNT(LQ12,LW12,MC12)=0,"",SUM(LQ12,LW12,MC12)/COUNT(LQ12,LW12,MC12))</f>
        <v>3</v>
      </c>
      <c r="MF12" s="216" t="str">
        <f t="shared" si="71"/>
        <v>B</v>
      </c>
      <c r="MG12" s="137"/>
      <c r="MH12" s="152" t="s">
        <v>32</v>
      </c>
      <c r="MI12" s="139"/>
      <c r="MJ12" s="193">
        <f>IFERROR((((COUNTIF('Elève (4ème4)'!MG12:MI12,"A"))*4)+((COUNTIF('Elève (4ème4)'!MG12:MI12,"B"))*3)+((COUNTIF('Elève (4ème4)'!MG12:MI12,"C"))*2)+((COUNTIF('Elève (4ème4)'!MG12:MI12,"D"))*1))/(COUNTA(MG12:MI12)),"")</f>
        <v>1</v>
      </c>
      <c r="MK12" s="194" t="str">
        <f t="shared" si="72"/>
        <v>D</v>
      </c>
      <c r="ML12" s="137"/>
      <c r="MM12" s="138"/>
      <c r="MN12" s="139"/>
      <c r="MO12" s="139"/>
      <c r="MP12" s="193" t="str">
        <f>IFERROR((((COUNTIF('Elève (4ème4)'!ML12:MO12,"A"))*4)+((COUNTIF('Elève (4ème4)'!ML12:MO12,"B"))*3)+((COUNTIF('Elève (4ème4)'!ML12:MO12,"C"))*2)+((COUNTIF('Elève (4ème4)'!ML12:MO12,"D"))*1))/(COUNTA(ML12:MO12)),"")</f>
        <v/>
      </c>
      <c r="MQ12" s="194" t="str">
        <f t="shared" si="73"/>
        <v/>
      </c>
      <c r="MR12" s="137"/>
      <c r="MS12" s="138"/>
      <c r="MT12" s="139"/>
      <c r="MU12" s="143"/>
      <c r="MV12" s="193" t="str">
        <f>IFERROR((((COUNTIF('Elève (4ème4)'!MR12:MU12,"A"))*4)+((COUNTIF('Elève (4ème4)'!MR12:MU12,"B"))*3)+((COUNTIF('Elève (4ème4)'!MR12:MU12,"C"))*2)+((COUNTIF('Elève (4ème4)'!MR12:MU12,"D"))*1))/(COUNTA(MR12:MU12)),"")</f>
        <v/>
      </c>
      <c r="MW12" s="194" t="str">
        <f t="shared" si="74"/>
        <v/>
      </c>
      <c r="MX12" s="193">
        <f>IF(COUNT(MJ12,MP12,MV12)=0,"",SUM(MJ12,MP12,MV12)/COUNT(MJ12,MP12,MV12))</f>
        <v>1</v>
      </c>
      <c r="MY12" s="216" t="str">
        <f t="shared" si="75"/>
        <v>D</v>
      </c>
      <c r="MZ12" s="137"/>
      <c r="NA12" s="152" t="s">
        <v>31</v>
      </c>
      <c r="NB12" s="139"/>
      <c r="NC12" s="193">
        <f>IFERROR((((COUNTIF('Elève (4ème4)'!MZ12:NB12,"A"))*4)+((COUNTIF('Elève (4ème4)'!MZ12:NB12,"B"))*3)+((COUNTIF('Elève (4ème4)'!MZ12:NB12,"C"))*2)+((COUNTIF('Elève (4ème4)'!MZ12:NB12,"D"))*1))/(COUNTA(MZ12:NB12)),"")</f>
        <v>2</v>
      </c>
      <c r="ND12" s="194" t="str">
        <f t="shared" si="76"/>
        <v>C</v>
      </c>
      <c r="NE12" s="137"/>
      <c r="NF12" s="138"/>
      <c r="NG12" s="139"/>
      <c r="NH12" s="139"/>
      <c r="NI12" s="193" t="str">
        <f>IFERROR((((COUNTIF('Elève (4ème4)'!NE12:NH12,"A"))*4)+((COUNTIF('Elève (4ème4)'!NE12:NH12,"B"))*3)+((COUNTIF('Elève (4ème4)'!NE12:NH12,"C"))*2)+((COUNTIF('Elève (4ème4)'!NE12:NH12,"D"))*1))/(COUNTA(NE12:NH12)),"")</f>
        <v/>
      </c>
      <c r="NJ12" s="194" t="str">
        <f t="shared" si="77"/>
        <v/>
      </c>
      <c r="NK12" s="137"/>
      <c r="NL12" s="138"/>
      <c r="NM12" s="139"/>
      <c r="NN12" s="143"/>
      <c r="NO12" s="193" t="str">
        <f>IFERROR((((COUNTIF('Elève (4ème4)'!NK12:NN12,"A"))*4)+((COUNTIF('Elève (4ème4)'!NK12:NN12,"B"))*3)+((COUNTIF('Elève (4ème4)'!NK12:NN12,"C"))*2)+((COUNTIF('Elève (4ème4)'!NK12:NN12,"D"))*1))/(COUNTA(NK12:NN12)),"")</f>
        <v/>
      </c>
      <c r="NP12" s="194" t="str">
        <f t="shared" si="78"/>
        <v/>
      </c>
      <c r="NQ12" s="193">
        <f>IF(COUNT(NC12,NI12,NO12)=0,"",SUM(NC12,NI12,NO12)/COUNT(NC12,NI12,NO12))</f>
        <v>2</v>
      </c>
      <c r="NR12" s="216" t="str">
        <f t="shared" si="79"/>
        <v>C</v>
      </c>
      <c r="NS12" s="137"/>
      <c r="NT12" s="152" t="s">
        <v>31</v>
      </c>
      <c r="NU12" s="139"/>
      <c r="NV12" s="193">
        <f>IFERROR((((COUNTIF('Elève (4ème4)'!NS12:NU12,"A"))*4)+((COUNTIF('Elève (4ème4)'!NS12:NU12,"B"))*3)+((COUNTIF('Elève (4ème4)'!NS12:NU12,"C"))*2)+((COUNTIF('Elève (4ème4)'!NS12:NU12,"D"))*1))/(COUNTA(NS12:NU12)),"")</f>
        <v>2</v>
      </c>
      <c r="NW12" s="194" t="str">
        <f t="shared" si="80"/>
        <v>C</v>
      </c>
      <c r="NX12" s="137"/>
      <c r="NY12" s="138"/>
      <c r="NZ12" s="139"/>
      <c r="OA12" s="139"/>
      <c r="OB12" s="193" t="str">
        <f>IFERROR((((COUNTIF('Elève (4ème4)'!NX12:OA12,"A"))*4)+((COUNTIF('Elève (4ème4)'!NX12:OA12,"B"))*3)+((COUNTIF('Elève (4ème4)'!NX12:OA12,"C"))*2)+((COUNTIF('Elève (4ème4)'!NX12:OA12,"D"))*1))/(COUNTA(NX12:OA12)),"")</f>
        <v/>
      </c>
      <c r="OC12" s="194" t="str">
        <f t="shared" si="81"/>
        <v/>
      </c>
      <c r="OD12" s="137"/>
      <c r="OE12" s="138"/>
      <c r="OF12" s="139"/>
      <c r="OG12" s="143"/>
      <c r="OH12" s="193" t="str">
        <f>IFERROR((((COUNTIF('Elève (4ème4)'!OD12:OG12,"A"))*4)+((COUNTIF('Elève (4ème4)'!OD12:OG12,"B"))*3)+((COUNTIF('Elève (4ème4)'!OD12:OG12,"C"))*2)+((COUNTIF('Elève (4ème4)'!OD12:OG12,"D"))*1))/(COUNTA(OD12:OG12)),"")</f>
        <v/>
      </c>
      <c r="OI12" s="194" t="str">
        <f t="shared" si="82"/>
        <v/>
      </c>
      <c r="OJ12" s="193">
        <f>IF(COUNT(NV12,OB12,OH12)=0,"",SUM(NV12,OB12,OH12)/COUNT(NV12,OB12,OH12))</f>
        <v>2</v>
      </c>
      <c r="OK12" s="216" t="str">
        <f t="shared" si="83"/>
        <v>C</v>
      </c>
      <c r="OL12" s="137"/>
      <c r="OM12" s="152" t="s">
        <v>30</v>
      </c>
      <c r="ON12" s="139"/>
      <c r="OO12" s="193">
        <f>IFERROR((((COUNTIF('Elève (4ème4)'!OL12:ON12,"A"))*4)+((COUNTIF('Elève (4ème4)'!OL12:ON12,"B"))*3)+((COUNTIF('Elève (4ème4)'!OL12:ON12,"C"))*2)+((COUNTIF('Elève (4ème4)'!OL12:ON12,"D"))*1))/(COUNTA(OL12:ON12)),"")</f>
        <v>3</v>
      </c>
      <c r="OP12" s="194" t="str">
        <f t="shared" si="84"/>
        <v>B</v>
      </c>
      <c r="OQ12" s="137"/>
      <c r="OR12" s="138"/>
      <c r="OS12" s="139"/>
      <c r="OT12" s="139"/>
      <c r="OU12" s="193" t="str">
        <f>IFERROR((((COUNTIF('Elève (4ème4)'!OQ12:OT12,"A"))*4)+((COUNTIF('Elève (4ème4)'!OQ12:OT12,"B"))*3)+((COUNTIF('Elève (4ème4)'!OQ12:OT12,"C"))*2)+((COUNTIF('Elève (4ème4)'!OQ12:OT12,"D"))*1))/(COUNTA(OQ12:OT12)),"")</f>
        <v/>
      </c>
      <c r="OV12" s="194" t="str">
        <f t="shared" si="85"/>
        <v/>
      </c>
      <c r="OW12" s="137"/>
      <c r="OX12" s="138"/>
      <c r="OY12" s="139"/>
      <c r="OZ12" s="143"/>
      <c r="PA12" s="193" t="str">
        <f>IFERROR((((COUNTIF('Elève (4ème4)'!OW12:OZ12,"A"))*4)+((COUNTIF('Elève (4ème4)'!OW12:OZ12,"B"))*3)+((COUNTIF('Elève (4ème4)'!OW12:OZ12,"C"))*2)+((COUNTIF('Elève (4ème4)'!OW12:OZ12,"D"))*1))/(COUNTA(OW12:OZ12)),"")</f>
        <v/>
      </c>
      <c r="PB12" s="194" t="str">
        <f t="shared" si="86"/>
        <v/>
      </c>
      <c r="PC12" s="193">
        <f>IF(COUNT(OO12,OU12,PA12)=0,"",SUM(OO12,OU12,PA12)/COUNT(OO12,OU12,PA12))</f>
        <v>3</v>
      </c>
      <c r="PD12" s="216" t="str">
        <f t="shared" si="87"/>
        <v>B</v>
      </c>
      <c r="PE12" s="137"/>
      <c r="PF12" s="152" t="s">
        <v>31</v>
      </c>
      <c r="PG12" s="139"/>
      <c r="PH12" s="193">
        <f>IFERROR((((COUNTIF('Elève (4ème4)'!PE12:PG12,"A"))*4)+((COUNTIF('Elève (4ème4)'!PE12:PG12,"B"))*3)+((COUNTIF('Elève (4ème4)'!PE12:PG12,"C"))*2)+((COUNTIF('Elève (4ème4)'!PE12:PG12,"D"))*1))/(COUNTA(PE12:PG12)),"")</f>
        <v>2</v>
      </c>
      <c r="PI12" s="194" t="str">
        <f t="shared" si="88"/>
        <v>C</v>
      </c>
      <c r="PJ12" s="137"/>
      <c r="PK12" s="138"/>
      <c r="PL12" s="139"/>
      <c r="PM12" s="139"/>
      <c r="PN12" s="193" t="str">
        <f>IFERROR((((COUNTIF('Elève (4ème4)'!PJ12:PM12,"A"))*4)+((COUNTIF('Elève (4ème4)'!PJ12:PM12,"B"))*3)+((COUNTIF('Elève (4ème4)'!PJ12:PM12,"C"))*2)+((COUNTIF('Elève (4ème4)'!PJ12:PM12,"D"))*1))/(COUNTA(PJ12:PM12)),"")</f>
        <v/>
      </c>
      <c r="PO12" s="194" t="str">
        <f t="shared" si="89"/>
        <v/>
      </c>
      <c r="PP12" s="137"/>
      <c r="PQ12" s="138"/>
      <c r="PR12" s="139"/>
      <c r="PS12" s="143"/>
      <c r="PT12" s="193" t="str">
        <f>IFERROR((((COUNTIF('Elève (4ème4)'!PP12:PS12,"A"))*4)+((COUNTIF('Elève (4ème4)'!PP12:PS12,"B"))*3)+((COUNTIF('Elève (4ème4)'!PP12:PS12,"C"))*2)+((COUNTIF('Elève (4ème4)'!PP12:PS12,"D"))*1))/(COUNTA(PP12:PS12)),"")</f>
        <v/>
      </c>
      <c r="PU12" s="194" t="str">
        <f t="shared" si="90"/>
        <v/>
      </c>
      <c r="PV12" s="193">
        <f>IF(COUNT(PH12,PN12,PT12)=0,"",SUM(PH12,PN12,PT12)/COUNT(PH12,PN12,PT12))</f>
        <v>2</v>
      </c>
      <c r="PW12" s="216" t="str">
        <f t="shared" si="91"/>
        <v>C</v>
      </c>
      <c r="PX12" s="137"/>
      <c r="PY12" s="152" t="s">
        <v>31</v>
      </c>
      <c r="PZ12" s="139"/>
      <c r="QA12" s="193">
        <f>IFERROR((((COUNTIF('Elève (4ème4)'!PX12:PZ12,"A"))*4)+((COUNTIF('Elève (4ème4)'!PX12:PZ12,"B"))*3)+((COUNTIF('Elève (4ème4)'!PX12:PZ12,"C"))*2)+((COUNTIF('Elève (4ème4)'!PX12:PZ12,"D"))*1))/(COUNTA(PX12:PZ12)),"")</f>
        <v>2</v>
      </c>
      <c r="QB12" s="194" t="str">
        <f t="shared" si="92"/>
        <v>C</v>
      </c>
      <c r="QC12" s="137"/>
      <c r="QD12" s="138"/>
      <c r="QE12" s="139"/>
      <c r="QF12" s="139"/>
      <c r="QG12" s="193" t="str">
        <f>IFERROR((((COUNTIF('Elève (4ème4)'!QC12:QF12,"A"))*4)+((COUNTIF('Elève (4ème4)'!QC12:QF12,"B"))*3)+((COUNTIF('Elève (4ème4)'!QC12:QF12,"C"))*2)+((COUNTIF('Elève (4ème4)'!QC12:QF12,"D"))*1))/(COUNTA(QC12:QF12)),"")</f>
        <v/>
      </c>
      <c r="QH12" s="194" t="str">
        <f t="shared" si="93"/>
        <v/>
      </c>
      <c r="QI12" s="137"/>
      <c r="QJ12" s="138"/>
      <c r="QK12" s="139"/>
      <c r="QL12" s="143"/>
      <c r="QM12" s="193" t="str">
        <f>IFERROR((((COUNTIF('Elève (4ème4)'!QI12:QL12,"A"))*4)+((COUNTIF('Elève (4ème4)'!QI12:QL12,"B"))*3)+((COUNTIF('Elève (4ème4)'!QI12:QL12,"C"))*2)+((COUNTIF('Elève (4ème4)'!QI12:QL12,"D"))*1))/(COUNTA(QI12:QL12)),"")</f>
        <v/>
      </c>
      <c r="QN12" s="194" t="str">
        <f t="shared" si="94"/>
        <v/>
      </c>
      <c r="QO12" s="193">
        <f>IF(COUNT(QA12,QG12,QM12)=0,"",SUM(QA12,QG12,QM12)/COUNT(QA12,QG12,QM12))</f>
        <v>2</v>
      </c>
      <c r="QP12" s="216" t="str">
        <f t="shared" si="95"/>
        <v>C</v>
      </c>
      <c r="QQ12" s="137"/>
      <c r="QR12" s="152" t="s">
        <v>30</v>
      </c>
      <c r="QS12" s="139"/>
      <c r="QT12" s="193">
        <f>IFERROR((((COUNTIF('Elève (4ème4)'!QQ12:QS12,"A"))*4)+((COUNTIF('Elève (4ème4)'!QQ12:QS12,"B"))*3)+((COUNTIF('Elève (4ème4)'!QQ12:QS12,"C"))*2)+((COUNTIF('Elève (4ème4)'!QQ12:QS12,"D"))*1))/(COUNTA(QQ12:QS12)),"")</f>
        <v>3</v>
      </c>
      <c r="QU12" s="194" t="str">
        <f t="shared" si="96"/>
        <v>B</v>
      </c>
      <c r="QV12" s="137"/>
      <c r="QW12" s="138"/>
      <c r="QX12" s="139"/>
      <c r="QY12" s="139"/>
      <c r="QZ12" s="193" t="str">
        <f>IFERROR((((COUNTIF('Elève (4ème4)'!QV12:QY12,"A"))*4)+((COUNTIF('Elève (4ème4)'!QV12:QY12,"B"))*3)+((COUNTIF('Elève (4ème4)'!QV12:QY12,"C"))*2)+((COUNTIF('Elève (4ème4)'!QV12:QY12,"D"))*1))/(COUNTA(QV12:QY12)),"")</f>
        <v/>
      </c>
      <c r="RA12" s="194" t="str">
        <f t="shared" si="97"/>
        <v/>
      </c>
      <c r="RB12" s="137"/>
      <c r="RC12" s="138"/>
      <c r="RD12" s="139"/>
      <c r="RE12" s="143"/>
      <c r="RF12" s="193" t="str">
        <f>IFERROR((((COUNTIF('Elève (4ème4)'!RB12:RE12,"A"))*4)+((COUNTIF('Elève (4ème4)'!RB12:RE12,"B"))*3)+((COUNTIF('Elève (4ème4)'!RB12:RE12,"C"))*2)+((COUNTIF('Elève (4ème4)'!RB12:RE12,"D"))*1))/(COUNTA(RB12:RE12)),"")</f>
        <v/>
      </c>
      <c r="RG12" s="194" t="str">
        <f t="shared" si="98"/>
        <v/>
      </c>
      <c r="RH12" s="193">
        <f>IF(COUNT(QT12,QZ12,RF12)=0,"",SUM(QT12,QZ12,RF12)/COUNT(QT12,QZ12,RF12))</f>
        <v>3</v>
      </c>
      <c r="RI12" s="216" t="str">
        <f t="shared" si="99"/>
        <v>B</v>
      </c>
      <c r="RJ12" s="137"/>
      <c r="RK12" s="152" t="s">
        <v>32</v>
      </c>
      <c r="RL12" s="139"/>
      <c r="RM12" s="193">
        <f>IFERROR((((COUNTIF('Elève (4ème4)'!RJ12:RL12,"A"))*4)+((COUNTIF('Elève (4ème4)'!RJ12:RL12,"B"))*3)+((COUNTIF('Elève (4ème4)'!RJ12:RL12,"C"))*2)+((COUNTIF('Elève (4ème4)'!RJ12:RL12,"D"))*1))/(COUNTA(RJ12:RL12)),"")</f>
        <v>1</v>
      </c>
      <c r="RN12" s="194" t="str">
        <f t="shared" si="100"/>
        <v>D</v>
      </c>
      <c r="RO12" s="137"/>
      <c r="RP12" s="138"/>
      <c r="RQ12" s="139"/>
      <c r="RR12" s="139"/>
      <c r="RS12" s="193" t="str">
        <f>IFERROR((((COUNTIF('Elève (4ème4)'!RO12:RR12,"A"))*4)+((COUNTIF('Elève (4ème4)'!RO12:RR12,"B"))*3)+((COUNTIF('Elève (4ème4)'!RO12:RR12,"C"))*2)+((COUNTIF('Elève (4ème4)'!RO12:RR12,"D"))*1))/(COUNTA(RO12:RR12)),"")</f>
        <v/>
      </c>
      <c r="RT12" s="194" t="str">
        <f t="shared" si="101"/>
        <v/>
      </c>
      <c r="RU12" s="137"/>
      <c r="RV12" s="138"/>
      <c r="RW12" s="139"/>
      <c r="RX12" s="143"/>
      <c r="RY12" s="193" t="str">
        <f>IFERROR((((COUNTIF('Elève (4ème4)'!RU12:RX12,"A"))*4)+((COUNTIF('Elève (4ème4)'!RU12:RX12,"B"))*3)+((COUNTIF('Elève (4ème4)'!RU12:RX12,"C"))*2)+((COUNTIF('Elève (4ème4)'!RU12:RX12,"D"))*1))/(COUNTA(RU12:RX12)),"")</f>
        <v/>
      </c>
      <c r="RZ12" s="194" t="str">
        <f t="shared" si="102"/>
        <v/>
      </c>
      <c r="SA12" s="193">
        <f>IF(COUNT(RM12,RS12,RY12)=0,"",SUM(RM12,RS12,RY12)/COUNT(RM12,RS12,RY12))</f>
        <v>1</v>
      </c>
      <c r="SB12" s="216" t="str">
        <f t="shared" si="103"/>
        <v>D</v>
      </c>
      <c r="SC12" s="137"/>
      <c r="SD12" s="138"/>
      <c r="SE12" s="139"/>
      <c r="SF12" s="140" t="str">
        <f>IFERROR((((COUNTIF('Elève (4ème4)'!SC12:SE12,"A"))*4)+((COUNTIF('Elève (4ème4)'!SC12:SE12,"B"))*3)+((COUNTIF('Elève (4ème4)'!SC12:SE12,"C"))*2)+((COUNTIF('Elève (4ème4)'!SC12:SE12,"D"))*1))/(COUNTA(SC12:SE12)),"")</f>
        <v/>
      </c>
      <c r="SG12" s="141" t="str">
        <f t="shared" si="104"/>
        <v/>
      </c>
      <c r="SH12" s="137"/>
      <c r="SI12" s="138"/>
      <c r="SJ12" s="139"/>
      <c r="SK12" s="140" t="str">
        <f>IFERROR((((COUNTIF('Elève (4ème4)'!SH12:SJ12,"A"))*4)+((COUNTIF('Elève (4ème4)'!SH12:SJ12,"B"))*3)+((COUNTIF('Elève (4ème4)'!SH12:SJ12,"C"))*2)+((COUNTIF('Elève (4ème4)'!SH12:SJ12,"D"))*1))/(COUNTA(SH12:SJ12)),"")</f>
        <v/>
      </c>
      <c r="SL12" s="141" t="str">
        <f t="shared" si="105"/>
        <v/>
      </c>
      <c r="SM12" s="137"/>
      <c r="SN12" s="138"/>
      <c r="SO12" s="143"/>
      <c r="SP12" s="140" t="str">
        <f>IFERROR((((COUNTIF('Elève (4ème4)'!SM12:SO12,"A"))*4)+((COUNTIF('Elève (4ème4)'!SM12:SO12,"B"))*3)+((COUNTIF('Elève (4ème4)'!SM12:SO12,"C"))*2)+((COUNTIF('Elève (4ème4)'!SM12:SO12,"D"))*1))/(COUNTA(SM12:SO12)),"")</f>
        <v/>
      </c>
      <c r="SQ12" s="141" t="str">
        <f t="shared" si="106"/>
        <v/>
      </c>
      <c r="SR12" s="140" t="str">
        <f>IF(COUNT(SF12,SK12,SP12)=0,"",SUM(SF12,SK12,SP12)/COUNT(SF12,SK12,SP12))</f>
        <v/>
      </c>
      <c r="SS12" s="142" t="str">
        <f t="shared" si="107"/>
        <v/>
      </c>
      <c r="ST12" s="137"/>
      <c r="SU12" s="138"/>
      <c r="SV12" s="139"/>
      <c r="SW12" s="140" t="str">
        <f>IFERROR((((COUNTIF('Elève (4ème4)'!ST12:SV12,"A"))*4)+((COUNTIF('Elève (4ème4)'!ST12:SV12,"B"))*3)+((COUNTIF('Elève (4ème4)'!ST12:SV12,"C"))*2)+((COUNTIF('Elève (4ème4)'!ST12:SV12,"D"))*1))/(COUNTA(ST12:SV12)),"")</f>
        <v/>
      </c>
      <c r="SX12" s="141" t="str">
        <f t="shared" si="108"/>
        <v/>
      </c>
      <c r="SY12" s="137"/>
      <c r="SZ12" s="138"/>
      <c r="TA12" s="139"/>
      <c r="TB12" s="140" t="str">
        <f>IFERROR((((COUNTIF('Elève (4ème4)'!SY12:TA12,"A"))*4)+((COUNTIF('Elève (4ème4)'!SY12:TA12,"B"))*3)+((COUNTIF('Elève (4ème4)'!SY12:TA12,"C"))*2)+((COUNTIF('Elève (4ème4)'!SY12:TA12,"D"))*1))/(COUNTA(SY12:TA12)),"")</f>
        <v/>
      </c>
      <c r="TC12" s="141" t="str">
        <f t="shared" si="109"/>
        <v/>
      </c>
      <c r="TD12" s="137"/>
      <c r="TE12" s="138"/>
      <c r="TF12" s="143"/>
      <c r="TG12" s="140" t="str">
        <f>IFERROR((((COUNTIF('Elève (4ème4)'!TD12:TF12,"A"))*4)+((COUNTIF('Elève (4ème4)'!TD12:TF12,"B"))*3)+((COUNTIF('Elève (4ème4)'!TD12:TF12,"C"))*2)+((COUNTIF('Elève (4ème4)'!TD12:TF12,"D"))*1))/(COUNTA(TD12:TF12)),"")</f>
        <v/>
      </c>
      <c r="TH12" s="141" t="str">
        <f t="shared" si="110"/>
        <v/>
      </c>
      <c r="TI12" s="140" t="str">
        <f>IF(COUNT(SW12,TB12,TG12)=0,"",SUM(SW12,TB12,TG12)/COUNT(SW12,TB12,TG12))</f>
        <v/>
      </c>
      <c r="TJ12" s="142" t="str">
        <f t="shared" si="111"/>
        <v/>
      </c>
      <c r="TK12" s="137"/>
      <c r="TL12" s="138"/>
      <c r="TM12" s="139"/>
      <c r="TN12" s="140" t="str">
        <f>IFERROR((((COUNTIF('Elève (4ème4)'!TK12:TM12,"A"))*4)+((COUNTIF('Elève (4ème4)'!TK12:TM12,"B"))*3)+((COUNTIF('Elève (4ème4)'!TK12:TM12,"C"))*2)+((COUNTIF('Elève (4ème4)'!TK12:TM12,"D"))*1))/(COUNTA(TK12:TM12)),"")</f>
        <v/>
      </c>
      <c r="TO12" s="141" t="str">
        <f t="shared" si="112"/>
        <v/>
      </c>
      <c r="TP12" s="137"/>
      <c r="TQ12" s="138"/>
      <c r="TR12" s="139"/>
      <c r="TS12" s="140" t="str">
        <f>IFERROR((((COUNTIF('Elève (4ème4)'!TP12:TR12,"A"))*4)+((COUNTIF('Elève (4ème4)'!TP12:TR12,"B"))*3)+((COUNTIF('Elève (4ème4)'!TP12:TR12,"C"))*2)+((COUNTIF('Elève (4ème4)'!TP12:TR12,"D"))*1))/(COUNTA(TP12:TR12)),"")</f>
        <v/>
      </c>
      <c r="TT12" s="141" t="str">
        <f t="shared" si="113"/>
        <v/>
      </c>
      <c r="TU12" s="137"/>
      <c r="TV12" s="138"/>
      <c r="TW12" s="143"/>
      <c r="TX12" s="140" t="str">
        <f>IFERROR((((COUNTIF('Elève (4ème4)'!TU12:TW12,"A"))*4)+((COUNTIF('Elève (4ème4)'!TU12:TW12,"B"))*3)+((COUNTIF('Elève (4ème4)'!TU12:TW12,"C"))*2)+((COUNTIF('Elève (4ème4)'!TU12:TW12,"D"))*1))/(COUNTA(TU12:TW12)),"")</f>
        <v/>
      </c>
      <c r="TY12" s="141" t="str">
        <f t="shared" si="114"/>
        <v/>
      </c>
      <c r="TZ12" s="140" t="str">
        <f>IF(COUNT(TN12,TS12,TX12)=0,"",SUM(TN12,TS12,TX12)/COUNT(TN12,TS12,TX12))</f>
        <v/>
      </c>
      <c r="UA12" s="142" t="str">
        <f t="shared" si="115"/>
        <v/>
      </c>
      <c r="UB12" s="137"/>
      <c r="UC12" s="138"/>
      <c r="UD12" s="139"/>
      <c r="UE12" s="140" t="str">
        <f>IFERROR((((COUNTIF('Elève (4ème4)'!UB12:UD12,"A"))*4)+((COUNTIF('Elève (4ème4)'!UB12:UD12,"B"))*3)+((COUNTIF('Elève (4ème4)'!UB12:UD12,"C"))*2)+((COUNTIF('Elève (4ème4)'!UB12:UD12,"D"))*1))/(COUNTA(UB12:UD12)),"")</f>
        <v/>
      </c>
      <c r="UF12" s="141" t="str">
        <f t="shared" si="116"/>
        <v/>
      </c>
      <c r="UG12" s="137"/>
      <c r="UH12" s="138"/>
      <c r="UI12" s="139"/>
      <c r="UJ12" s="140" t="str">
        <f>IFERROR((((COUNTIF('Elève (4ème4)'!UG12:UI12,"A"))*4)+((COUNTIF('Elève (4ème4)'!UG12:UI12,"B"))*3)+((COUNTIF('Elève (4ème4)'!UG12:UI12,"C"))*2)+((COUNTIF('Elève (4ème4)'!UG12:UI12,"D"))*1))/(COUNTA(UG12:UI12)),"")</f>
        <v/>
      </c>
      <c r="UK12" s="141" t="str">
        <f t="shared" si="117"/>
        <v/>
      </c>
      <c r="UL12" s="137"/>
      <c r="UM12" s="138"/>
      <c r="UN12" s="143"/>
      <c r="UO12" s="140" t="str">
        <f>IFERROR((((COUNTIF('Elève (4ème4)'!UL12:UN12,"A"))*4)+((COUNTIF('Elève (4ème4)'!UL12:UN12,"B"))*3)+((COUNTIF('Elève (4ème4)'!UL12:UN12,"C"))*2)+((COUNTIF('Elève (4ème4)'!UL12:UN12,"D"))*1))/(COUNTA(UL12:UN12)),"")</f>
        <v/>
      </c>
      <c r="UP12" s="141" t="str">
        <f t="shared" si="118"/>
        <v/>
      </c>
      <c r="UQ12" s="140" t="str">
        <f>IF(COUNT(UE12,UJ12,UO12)=0,"",SUM(UE12,UJ12,UO12)/COUNT(UE12,UJ12,UO12))</f>
        <v/>
      </c>
      <c r="UR12" s="142" t="str">
        <f t="shared" si="119"/>
        <v/>
      </c>
    </row>
    <row r="13" spans="1:564" s="117" customFormat="1" ht="16.5" customHeight="1" thickBot="1" x14ac:dyDescent="0.3">
      <c r="A13" s="174" t="s">
        <v>19</v>
      </c>
      <c r="B13" s="147">
        <v>1</v>
      </c>
      <c r="C13" s="230"/>
      <c r="D13" s="85"/>
      <c r="E13" s="107"/>
      <c r="F13" s="187">
        <f>IF(COUNT(F14:F15)=0,"",SUM(F14:F15)/COUNT(F14:F15))</f>
        <v>4</v>
      </c>
      <c r="G13" s="188" t="str">
        <f t="shared" si="0"/>
        <v>A</v>
      </c>
      <c r="H13" s="230"/>
      <c r="I13" s="85"/>
      <c r="J13" s="85"/>
      <c r="K13" s="107"/>
      <c r="L13" s="187">
        <f>IF(COUNT(L14,L15)=0,"",SUM(L14:L15)/COUNT(L14,L15))</f>
        <v>4</v>
      </c>
      <c r="M13" s="203" t="str">
        <f t="shared" si="1"/>
        <v>A</v>
      </c>
      <c r="N13" s="181"/>
      <c r="O13" s="112"/>
      <c r="P13" s="112"/>
      <c r="Q13" s="113"/>
      <c r="R13" s="187" t="str">
        <f>IF(COUNT(R14,R15)=0,"",SUM(R14:R15)/COUNT(R14,R15))</f>
        <v/>
      </c>
      <c r="S13" s="211" t="str">
        <f t="shared" si="2"/>
        <v/>
      </c>
      <c r="T13" s="212">
        <f>IF(COUNT(T14:T15)=0,"",SUM(T14:T15)/COUNT(T14:T15))</f>
        <v>4</v>
      </c>
      <c r="U13" s="213" t="str">
        <f t="shared" si="3"/>
        <v>A</v>
      </c>
      <c r="V13" s="224"/>
      <c r="W13" s="85"/>
      <c r="X13" s="107"/>
      <c r="Y13" s="187">
        <f>IF(COUNT(Y14:Y15)=0,"",SUM(Y14:Y15)/COUNT(Y14:Y15))</f>
        <v>4</v>
      </c>
      <c r="Z13" s="188" t="str">
        <f t="shared" si="4"/>
        <v>A</v>
      </c>
      <c r="AA13" s="230"/>
      <c r="AB13" s="85"/>
      <c r="AC13" s="85"/>
      <c r="AD13" s="107"/>
      <c r="AE13" s="187">
        <f>IF(COUNT(AE14,AE15)=0,"",SUM(AE14:AE15)/COUNT(AE14,AE15))</f>
        <v>4</v>
      </c>
      <c r="AF13" s="203" t="str">
        <f t="shared" si="5"/>
        <v>A</v>
      </c>
      <c r="AG13" s="181"/>
      <c r="AH13" s="112"/>
      <c r="AI13" s="112"/>
      <c r="AJ13" s="113"/>
      <c r="AK13" s="187" t="str">
        <f>IF(COUNT(AK14,AK15)=0,"",SUM(AK14:AK15)/COUNT(AK14,AK15))</f>
        <v/>
      </c>
      <c r="AL13" s="211" t="str">
        <f t="shared" si="6"/>
        <v/>
      </c>
      <c r="AM13" s="212">
        <f>IF(COUNT(AM14:AM15)=0,"",SUM(AM14:AM15)/COUNT(AM14:AM15))</f>
        <v>4</v>
      </c>
      <c r="AN13" s="213" t="str">
        <f t="shared" si="7"/>
        <v>A</v>
      </c>
      <c r="AO13" s="224"/>
      <c r="AP13" s="85"/>
      <c r="AQ13" s="107"/>
      <c r="AR13" s="187" t="str">
        <f>IF(COUNT(AR14:AR15)=0,"",SUM(AR14:AR15)/COUNT(AR14:AR15))</f>
        <v/>
      </c>
      <c r="AS13" s="188" t="str">
        <f t="shared" si="8"/>
        <v/>
      </c>
      <c r="AT13" s="230"/>
      <c r="AU13" s="85"/>
      <c r="AV13" s="85"/>
      <c r="AW13" s="107"/>
      <c r="AX13" s="187">
        <f>IF(COUNT(AX14,AX15)=0,"",SUM(AX14:AX15)/COUNT(AX14,AX15))</f>
        <v>4</v>
      </c>
      <c r="AY13" s="203" t="str">
        <f t="shared" si="9"/>
        <v>A</v>
      </c>
      <c r="AZ13" s="181"/>
      <c r="BA13" s="112"/>
      <c r="BB13" s="112"/>
      <c r="BC13" s="113"/>
      <c r="BD13" s="187" t="str">
        <f>IF(COUNT(BD14,BD15)=0,"",SUM(BD14:BD15)/COUNT(BD14,BD15))</f>
        <v/>
      </c>
      <c r="BE13" s="211" t="str">
        <f t="shared" si="10"/>
        <v/>
      </c>
      <c r="BF13" s="212">
        <f>IF(COUNT(BF14:BF15)=0,"",SUM(BF14:BF15)/COUNT(BF14:BF15))</f>
        <v>4</v>
      </c>
      <c r="BG13" s="213" t="str">
        <f t="shared" si="11"/>
        <v>A</v>
      </c>
      <c r="BH13" s="224"/>
      <c r="BI13" s="85"/>
      <c r="BJ13" s="107"/>
      <c r="BK13" s="187">
        <f>IF(COUNT(BK14:BK15)=0,"",SUM(BK14:BK15)/COUNT(BK14:BK15))</f>
        <v>4</v>
      </c>
      <c r="BL13" s="188" t="str">
        <f t="shared" si="12"/>
        <v>A</v>
      </c>
      <c r="BM13" s="230"/>
      <c r="BN13" s="85"/>
      <c r="BO13" s="85"/>
      <c r="BP13" s="107"/>
      <c r="BQ13" s="187">
        <f>IF(COUNT(BQ14,BQ15)=0,"",SUM(BQ14:BQ15)/COUNT(BQ14,BQ15))</f>
        <v>4</v>
      </c>
      <c r="BR13" s="203" t="str">
        <f t="shared" si="13"/>
        <v>A</v>
      </c>
      <c r="BS13" s="181"/>
      <c r="BT13" s="112"/>
      <c r="BU13" s="112"/>
      <c r="BV13" s="113"/>
      <c r="BW13" s="187" t="str">
        <f>IF(COUNT(BW14,BW15)=0,"",SUM(BW14:BW15)/COUNT(BW14,BW15))</f>
        <v/>
      </c>
      <c r="BX13" s="211" t="str">
        <f t="shared" si="14"/>
        <v/>
      </c>
      <c r="BY13" s="212">
        <f>IF(COUNT(BY14:BY15)=0,"",SUM(BY14:BY15)/COUNT(BY14:BY15))</f>
        <v>4</v>
      </c>
      <c r="BZ13" s="213" t="str">
        <f t="shared" si="15"/>
        <v>A</v>
      </c>
      <c r="CA13" s="224"/>
      <c r="CB13" s="85"/>
      <c r="CC13" s="107"/>
      <c r="CD13" s="187">
        <f>IF(COUNT(CD14:CD15)=0,"",SUM(CD14:CD15)/COUNT(CD14:CD15))</f>
        <v>4</v>
      </c>
      <c r="CE13" s="188" t="str">
        <f t="shared" si="16"/>
        <v>A</v>
      </c>
      <c r="CF13" s="230"/>
      <c r="CG13" s="85"/>
      <c r="CH13" s="85"/>
      <c r="CI13" s="107"/>
      <c r="CJ13" s="187">
        <f>IF(COUNT(CJ14,CJ15)=0,"",SUM(CJ14:CJ15)/COUNT(CJ14,CJ15))</f>
        <v>4</v>
      </c>
      <c r="CK13" s="203" t="str">
        <f t="shared" si="17"/>
        <v>A</v>
      </c>
      <c r="CL13" s="181"/>
      <c r="CM13" s="112"/>
      <c r="CN13" s="112"/>
      <c r="CO13" s="113"/>
      <c r="CP13" s="187" t="str">
        <f>IF(COUNT(CP14,CP15)=0,"",SUM(CP14:CP15)/COUNT(CP14,CP15))</f>
        <v/>
      </c>
      <c r="CQ13" s="211" t="str">
        <f t="shared" si="18"/>
        <v/>
      </c>
      <c r="CR13" s="212">
        <f>IF(COUNT(CR14:CR15)=0,"",SUM(CR14:CR15)/COUNT(CR14:CR15))</f>
        <v>4</v>
      </c>
      <c r="CS13" s="213" t="str">
        <f t="shared" si="19"/>
        <v>A</v>
      </c>
      <c r="CT13" s="224"/>
      <c r="CU13" s="85"/>
      <c r="CV13" s="107"/>
      <c r="CW13" s="187">
        <f>IF(COUNT(CW14:CW15)=0,"",SUM(CW14:CW15)/COUNT(CW14:CW15))</f>
        <v>4</v>
      </c>
      <c r="CX13" s="188" t="str">
        <f t="shared" si="20"/>
        <v>A</v>
      </c>
      <c r="CY13" s="230"/>
      <c r="CZ13" s="85"/>
      <c r="DA13" s="85"/>
      <c r="DB13" s="107"/>
      <c r="DC13" s="187">
        <f>IF(COUNT(DC14,DC15)=0,"",SUM(DC14:DC15)/COUNT(DC14,DC15))</f>
        <v>4</v>
      </c>
      <c r="DD13" s="203" t="str">
        <f t="shared" si="21"/>
        <v>A</v>
      </c>
      <c r="DE13" s="181"/>
      <c r="DF13" s="112"/>
      <c r="DG13" s="112"/>
      <c r="DH13" s="113"/>
      <c r="DI13" s="187" t="str">
        <f>IF(COUNT(DI14,DI15)=0,"",SUM(DI14:DI15)/COUNT(DI14,DI15))</f>
        <v/>
      </c>
      <c r="DJ13" s="211" t="str">
        <f t="shared" si="22"/>
        <v/>
      </c>
      <c r="DK13" s="212">
        <f>IF(COUNT(DK14:DK15)=0,"",SUM(DK14:DK15)/COUNT(DK14:DK15))</f>
        <v>4</v>
      </c>
      <c r="DL13" s="213" t="str">
        <f t="shared" si="23"/>
        <v>A</v>
      </c>
      <c r="DM13" s="224"/>
      <c r="DN13" s="85"/>
      <c r="DO13" s="107"/>
      <c r="DP13" s="187">
        <f>IF(COUNT(DP14:DP15)=0,"",SUM(DP14:DP15)/COUNT(DP14:DP15))</f>
        <v>4</v>
      </c>
      <c r="DQ13" s="188" t="str">
        <f t="shared" si="24"/>
        <v>A</v>
      </c>
      <c r="DR13" s="230"/>
      <c r="DS13" s="85"/>
      <c r="DT13" s="85"/>
      <c r="DU13" s="107"/>
      <c r="DV13" s="187">
        <f>IF(COUNT(DV14,DV15)=0,"",SUM(DV14:DV15)/COUNT(DV14,DV15))</f>
        <v>4</v>
      </c>
      <c r="DW13" s="203" t="str">
        <f t="shared" si="25"/>
        <v>A</v>
      </c>
      <c r="DX13" s="181"/>
      <c r="DY13" s="112"/>
      <c r="DZ13" s="112"/>
      <c r="EA13" s="113"/>
      <c r="EB13" s="187" t="str">
        <f>IF(COUNT(EB14,EB15)=0,"",SUM(EB14:EB15)/COUNT(EB14,EB15))</f>
        <v/>
      </c>
      <c r="EC13" s="211" t="str">
        <f t="shared" si="26"/>
        <v/>
      </c>
      <c r="ED13" s="212">
        <f>IF(COUNT(ED14:ED15)=0,"",SUM(ED14:ED15)/COUNT(ED14:ED15))</f>
        <v>4</v>
      </c>
      <c r="EE13" s="213" t="str">
        <f t="shared" si="27"/>
        <v>A</v>
      </c>
      <c r="EF13" s="224"/>
      <c r="EG13" s="85"/>
      <c r="EH13" s="107"/>
      <c r="EI13" s="187">
        <f>IF(COUNT(EI14:EI15)=0,"",SUM(EI14:EI15)/COUNT(EI14:EI15))</f>
        <v>4</v>
      </c>
      <c r="EJ13" s="188" t="str">
        <f t="shared" si="28"/>
        <v>A</v>
      </c>
      <c r="EK13" s="230"/>
      <c r="EL13" s="85"/>
      <c r="EM13" s="85"/>
      <c r="EN13" s="107"/>
      <c r="EO13" s="187">
        <f>IF(COUNT(EO14,EO15)=0,"",SUM(EO14:EO15)/COUNT(EO14,EO15))</f>
        <v>3</v>
      </c>
      <c r="EP13" s="203" t="str">
        <f t="shared" si="29"/>
        <v>B</v>
      </c>
      <c r="EQ13" s="181"/>
      <c r="ER13" s="112"/>
      <c r="ES13" s="112"/>
      <c r="ET13" s="113"/>
      <c r="EU13" s="187" t="str">
        <f>IF(COUNT(EU14,EU15)=0,"",SUM(EU14:EU15)/COUNT(EU14,EU15))</f>
        <v/>
      </c>
      <c r="EV13" s="211" t="str">
        <f t="shared" si="30"/>
        <v/>
      </c>
      <c r="EW13" s="212">
        <f>IF(COUNT(EW14:EW15)=0,"",SUM(EW14:EW15)/COUNT(EW14:EW15))</f>
        <v>3.5</v>
      </c>
      <c r="EX13" s="213" t="str">
        <f t="shared" si="31"/>
        <v>B</v>
      </c>
      <c r="EY13" s="224"/>
      <c r="EZ13" s="85"/>
      <c r="FA13" s="107"/>
      <c r="FB13" s="187">
        <f>IF(COUNT(FB14:FB15)=0,"",SUM(FB14:FB15)/COUNT(FB14:FB15))</f>
        <v>4</v>
      </c>
      <c r="FC13" s="188" t="str">
        <f t="shared" si="32"/>
        <v>A</v>
      </c>
      <c r="FD13" s="230"/>
      <c r="FE13" s="85"/>
      <c r="FF13" s="85"/>
      <c r="FG13" s="107"/>
      <c r="FH13" s="187">
        <f>IF(COUNT(FH14,FH15)=0,"",SUM(FH14:FH15)/COUNT(FH14,FH15))</f>
        <v>4</v>
      </c>
      <c r="FI13" s="203" t="str">
        <f t="shared" si="33"/>
        <v>A</v>
      </c>
      <c r="FJ13" s="181"/>
      <c r="FK13" s="112"/>
      <c r="FL13" s="112"/>
      <c r="FM13" s="113"/>
      <c r="FN13" s="187" t="str">
        <f>IF(COUNT(FN14,FN15)=0,"",SUM(FN14:FN15)/COUNT(FN14,FN15))</f>
        <v/>
      </c>
      <c r="FO13" s="211" t="str">
        <f t="shared" si="34"/>
        <v/>
      </c>
      <c r="FP13" s="212">
        <f>IF(COUNT(FP14:FP15)=0,"",SUM(FP14:FP15)/COUNT(FP14:FP15))</f>
        <v>4</v>
      </c>
      <c r="FQ13" s="213" t="str">
        <f t="shared" si="35"/>
        <v>A</v>
      </c>
      <c r="FR13" s="224"/>
      <c r="FS13" s="85"/>
      <c r="FT13" s="107"/>
      <c r="FU13" s="187">
        <f>IF(COUNT(FU14:FU15)=0,"",SUM(FU14:FU15)/COUNT(FU14:FU15))</f>
        <v>4</v>
      </c>
      <c r="FV13" s="188" t="str">
        <f t="shared" si="36"/>
        <v>A</v>
      </c>
      <c r="FW13" s="230"/>
      <c r="FX13" s="85"/>
      <c r="FY13" s="85"/>
      <c r="FZ13" s="107"/>
      <c r="GA13" s="187">
        <f>IF(COUNT(GA14,GA15)=0,"",SUM(GA14:GA15)/COUNT(GA14,GA15))</f>
        <v>4</v>
      </c>
      <c r="GB13" s="203" t="str">
        <f t="shared" si="37"/>
        <v>A</v>
      </c>
      <c r="GC13" s="181"/>
      <c r="GD13" s="112"/>
      <c r="GE13" s="112"/>
      <c r="GF13" s="113"/>
      <c r="GG13" s="187" t="str">
        <f>IF(COUNT(GG14,GG15)=0,"",SUM(GG14:GG15)/COUNT(GG14,GG15))</f>
        <v/>
      </c>
      <c r="GH13" s="211" t="str">
        <f t="shared" si="38"/>
        <v/>
      </c>
      <c r="GI13" s="212">
        <f>IF(COUNT(GI14:GI15)=0,"",SUM(GI14:GI15)/COUNT(GI14:GI15))</f>
        <v>4</v>
      </c>
      <c r="GJ13" s="213" t="str">
        <f t="shared" si="39"/>
        <v>A</v>
      </c>
      <c r="GK13" s="224"/>
      <c r="GL13" s="85"/>
      <c r="GM13" s="107"/>
      <c r="GN13" s="187">
        <f>IF(COUNT(GN14:GN15)=0,"",SUM(GN14:GN15)/COUNT(GN14:GN15))</f>
        <v>4</v>
      </c>
      <c r="GO13" s="188" t="str">
        <f t="shared" si="40"/>
        <v>A</v>
      </c>
      <c r="GP13" s="230"/>
      <c r="GQ13" s="85"/>
      <c r="GR13" s="85"/>
      <c r="GS13" s="107"/>
      <c r="GT13" s="187">
        <f>IF(COUNT(GT14,GT15)=0,"",SUM(GT14:GT15)/COUNT(GT14,GT15))</f>
        <v>4</v>
      </c>
      <c r="GU13" s="203" t="str">
        <f t="shared" si="41"/>
        <v>A</v>
      </c>
      <c r="GV13" s="181"/>
      <c r="GW13" s="112"/>
      <c r="GX13" s="112"/>
      <c r="GY13" s="113"/>
      <c r="GZ13" s="187" t="str">
        <f>IF(COUNT(GZ14,GZ15)=0,"",SUM(GZ14:GZ15)/COUNT(GZ14,GZ15))</f>
        <v/>
      </c>
      <c r="HA13" s="211" t="str">
        <f t="shared" si="42"/>
        <v/>
      </c>
      <c r="HB13" s="212">
        <f>IF(COUNT(HB14:HB15)=0,"",SUM(HB14:HB15)/COUNT(HB14:HB15))</f>
        <v>4</v>
      </c>
      <c r="HC13" s="213" t="str">
        <f t="shared" si="43"/>
        <v>A</v>
      </c>
      <c r="HD13" s="224"/>
      <c r="HE13" s="85"/>
      <c r="HF13" s="107"/>
      <c r="HG13" s="187">
        <f>IF(COUNT(HG14:HG15)=0,"",SUM(HG14:HG15)/COUNT(HG14:HG15))</f>
        <v>4</v>
      </c>
      <c r="HH13" s="188" t="str">
        <f t="shared" si="44"/>
        <v>A</v>
      </c>
      <c r="HI13" s="230"/>
      <c r="HJ13" s="85"/>
      <c r="HK13" s="85"/>
      <c r="HL13" s="107"/>
      <c r="HM13" s="187">
        <f>IF(COUNT(HM14,HM15)=0,"",SUM(HM14:HM15)/COUNT(HM14,HM15))</f>
        <v>4</v>
      </c>
      <c r="HN13" s="203" t="str">
        <f t="shared" si="45"/>
        <v>A</v>
      </c>
      <c r="HO13" s="181"/>
      <c r="HP13" s="112"/>
      <c r="HQ13" s="112"/>
      <c r="HR13" s="113"/>
      <c r="HS13" s="187" t="str">
        <f>IF(COUNT(HS14,HS15)=0,"",SUM(HS14:HS15)/COUNT(HS14,HS15))</f>
        <v/>
      </c>
      <c r="HT13" s="211" t="str">
        <f t="shared" si="46"/>
        <v/>
      </c>
      <c r="HU13" s="212">
        <f>IF(COUNT(HU14:HU15)=0,"",SUM(HU14:HU15)/COUNT(HU14:HU15))</f>
        <v>4</v>
      </c>
      <c r="HV13" s="213" t="str">
        <f t="shared" si="47"/>
        <v>A</v>
      </c>
      <c r="HW13" s="224"/>
      <c r="HX13" s="85"/>
      <c r="HY13" s="107"/>
      <c r="HZ13" s="187">
        <f>IF(COUNT(HZ14:HZ15)=0,"",SUM(HZ14:HZ15)/COUNT(HZ14:HZ15))</f>
        <v>4</v>
      </c>
      <c r="IA13" s="188" t="str">
        <f t="shared" si="48"/>
        <v>A</v>
      </c>
      <c r="IB13" s="230"/>
      <c r="IC13" s="85"/>
      <c r="ID13" s="85"/>
      <c r="IE13" s="107"/>
      <c r="IF13" s="187">
        <f>IF(COUNT(IF14,IF15)=0,"",SUM(IF14:IF15)/COUNT(IF14,IF15))</f>
        <v>4</v>
      </c>
      <c r="IG13" s="203" t="str">
        <f t="shared" si="49"/>
        <v>A</v>
      </c>
      <c r="IH13" s="181"/>
      <c r="II13" s="112"/>
      <c r="IJ13" s="112"/>
      <c r="IK13" s="113"/>
      <c r="IL13" s="187" t="str">
        <f>IF(COUNT(IL14,IL15)=0,"",SUM(IL14:IL15)/COUNT(IL14,IL15))</f>
        <v/>
      </c>
      <c r="IM13" s="211" t="str">
        <f t="shared" si="50"/>
        <v/>
      </c>
      <c r="IN13" s="212">
        <f>IF(COUNT(IN14:IN15)=0,"",SUM(IN14:IN15)/COUNT(IN14:IN15))</f>
        <v>4</v>
      </c>
      <c r="IO13" s="213" t="str">
        <f t="shared" si="51"/>
        <v>A</v>
      </c>
      <c r="IP13" s="224"/>
      <c r="IQ13" s="85"/>
      <c r="IR13" s="107"/>
      <c r="IS13" s="187">
        <f>IF(COUNT(IS14:IS15)=0,"",SUM(IS14:IS15)/COUNT(IS14:IS15))</f>
        <v>4</v>
      </c>
      <c r="IT13" s="188" t="str">
        <f t="shared" si="52"/>
        <v>A</v>
      </c>
      <c r="IU13" s="230"/>
      <c r="IV13" s="85"/>
      <c r="IW13" s="85"/>
      <c r="IX13" s="107"/>
      <c r="IY13" s="187">
        <f>IF(COUNT(IY14,IY15)=0,"",SUM(IY14:IY15)/COUNT(IY14,IY15))</f>
        <v>4</v>
      </c>
      <c r="IZ13" s="203" t="str">
        <f t="shared" si="53"/>
        <v>A</v>
      </c>
      <c r="JA13" s="181"/>
      <c r="JB13" s="112"/>
      <c r="JC13" s="112"/>
      <c r="JD13" s="113"/>
      <c r="JE13" s="187" t="str">
        <f>IF(COUNT(JE14,JE15)=0,"",SUM(JE14:JE15)/COUNT(JE14,JE15))</f>
        <v/>
      </c>
      <c r="JF13" s="211" t="str">
        <f t="shared" si="54"/>
        <v/>
      </c>
      <c r="JG13" s="212">
        <f>IF(COUNT(JG14:JG15)=0,"",SUM(JG14:JG15)/COUNT(JG14:JG15))</f>
        <v>4</v>
      </c>
      <c r="JH13" s="213" t="str">
        <f t="shared" si="55"/>
        <v>A</v>
      </c>
      <c r="JI13" s="224"/>
      <c r="JJ13" s="85"/>
      <c r="JK13" s="107"/>
      <c r="JL13" s="187" t="str">
        <f>IF(COUNT(JL14:JL15)=0,"",SUM(JL14:JL15)/COUNT(JL14:JL15))</f>
        <v/>
      </c>
      <c r="JM13" s="188" t="str">
        <f t="shared" si="56"/>
        <v/>
      </c>
      <c r="JN13" s="230"/>
      <c r="JO13" s="85"/>
      <c r="JP13" s="85"/>
      <c r="JQ13" s="107"/>
      <c r="JR13" s="187">
        <f>IF(COUNT(JR14,JR15)=0,"",SUM(JR14:JR15)/COUNT(JR14,JR15))</f>
        <v>4</v>
      </c>
      <c r="JS13" s="203" t="str">
        <f t="shared" si="57"/>
        <v>A</v>
      </c>
      <c r="JT13" s="181"/>
      <c r="JU13" s="112"/>
      <c r="JV13" s="112"/>
      <c r="JW13" s="113"/>
      <c r="JX13" s="187" t="str">
        <f>IF(COUNT(JX14,JX15)=0,"",SUM(JX14:JX15)/COUNT(JX14,JX15))</f>
        <v/>
      </c>
      <c r="JY13" s="211" t="str">
        <f t="shared" si="58"/>
        <v/>
      </c>
      <c r="JZ13" s="212">
        <f>IF(COUNT(JZ14:JZ15)=0,"",SUM(JZ14:JZ15)/COUNT(JZ14:JZ15))</f>
        <v>4</v>
      </c>
      <c r="KA13" s="213" t="str">
        <f t="shared" si="59"/>
        <v>A</v>
      </c>
      <c r="KB13" s="224"/>
      <c r="KC13" s="85"/>
      <c r="KD13" s="107"/>
      <c r="KE13" s="187">
        <f>IF(COUNT(KE14:KE15)=0,"",SUM(KE14:KE15)/COUNT(KE14:KE15))</f>
        <v>4</v>
      </c>
      <c r="KF13" s="188" t="str">
        <f t="shared" si="60"/>
        <v>A</v>
      </c>
      <c r="KG13" s="230"/>
      <c r="KH13" s="85"/>
      <c r="KI13" s="85"/>
      <c r="KJ13" s="107"/>
      <c r="KK13" s="187">
        <f>IF(COUNT(KK14,KK15)=0,"",SUM(KK14:KK15)/COUNT(KK14,KK15))</f>
        <v>3</v>
      </c>
      <c r="KL13" s="203" t="str">
        <f t="shared" si="61"/>
        <v>B</v>
      </c>
      <c r="KM13" s="181"/>
      <c r="KN13" s="112"/>
      <c r="KO13" s="112"/>
      <c r="KP13" s="113"/>
      <c r="KQ13" s="187" t="str">
        <f>IF(COUNT(KQ14,KQ15)=0,"",SUM(KQ14:KQ15)/COUNT(KQ14,KQ15))</f>
        <v/>
      </c>
      <c r="KR13" s="211" t="str">
        <f t="shared" si="62"/>
        <v/>
      </c>
      <c r="KS13" s="212">
        <f>IF(COUNT(KS14:KS15)=0,"",SUM(KS14:KS15)/COUNT(KS14:KS15))</f>
        <v>3.5</v>
      </c>
      <c r="KT13" s="213" t="str">
        <f t="shared" si="63"/>
        <v>B</v>
      </c>
      <c r="KU13" s="224"/>
      <c r="KV13" s="85"/>
      <c r="KW13" s="107"/>
      <c r="KX13" s="187">
        <f>IF(COUNT(KX14:KX15)=0,"",SUM(KX14:KX15)/COUNT(KX14:KX15))</f>
        <v>4</v>
      </c>
      <c r="KY13" s="188" t="str">
        <f t="shared" si="64"/>
        <v>A</v>
      </c>
      <c r="KZ13" s="230"/>
      <c r="LA13" s="85"/>
      <c r="LB13" s="85"/>
      <c r="LC13" s="107"/>
      <c r="LD13" s="187">
        <f>IF(COUNT(LD14,LD15)=0,"",SUM(LD14:LD15)/COUNT(LD14,LD15))</f>
        <v>4</v>
      </c>
      <c r="LE13" s="203" t="str">
        <f t="shared" si="65"/>
        <v>A</v>
      </c>
      <c r="LF13" s="181"/>
      <c r="LG13" s="112"/>
      <c r="LH13" s="112"/>
      <c r="LI13" s="113"/>
      <c r="LJ13" s="187" t="str">
        <f>IF(COUNT(LJ14,LJ15)=0,"",SUM(LJ14:LJ15)/COUNT(LJ14,LJ15))</f>
        <v/>
      </c>
      <c r="LK13" s="211" t="str">
        <f t="shared" si="66"/>
        <v/>
      </c>
      <c r="LL13" s="212">
        <f>IF(COUNT(LL14:LL15)=0,"",SUM(LL14:LL15)/COUNT(LL14:LL15))</f>
        <v>4</v>
      </c>
      <c r="LM13" s="213" t="str">
        <f t="shared" si="67"/>
        <v>A</v>
      </c>
      <c r="LN13" s="224"/>
      <c r="LO13" s="85"/>
      <c r="LP13" s="107"/>
      <c r="LQ13" s="187">
        <f>IF(COUNT(LQ14:LQ15)=0,"",SUM(LQ14:LQ15)/COUNT(LQ14:LQ15))</f>
        <v>4</v>
      </c>
      <c r="LR13" s="188" t="str">
        <f t="shared" si="68"/>
        <v>A</v>
      </c>
      <c r="LS13" s="230"/>
      <c r="LT13" s="85"/>
      <c r="LU13" s="85"/>
      <c r="LV13" s="107"/>
      <c r="LW13" s="187">
        <f>IF(COUNT(LW14,LW15)=0,"",SUM(LW14:LW15)/COUNT(LW14,LW15))</f>
        <v>4</v>
      </c>
      <c r="LX13" s="203" t="str">
        <f t="shared" si="69"/>
        <v>A</v>
      </c>
      <c r="LY13" s="181"/>
      <c r="LZ13" s="112"/>
      <c r="MA13" s="112"/>
      <c r="MB13" s="113"/>
      <c r="MC13" s="187" t="str">
        <f>IF(COUNT(MC14,MC15)=0,"",SUM(MC14:MC15)/COUNT(MC14,MC15))</f>
        <v/>
      </c>
      <c r="MD13" s="211" t="str">
        <f t="shared" si="70"/>
        <v/>
      </c>
      <c r="ME13" s="212">
        <f>IF(COUNT(ME14:ME15)=0,"",SUM(ME14:ME15)/COUNT(ME14:ME15))</f>
        <v>4</v>
      </c>
      <c r="MF13" s="213" t="str">
        <f t="shared" si="71"/>
        <v>A</v>
      </c>
      <c r="MG13" s="224"/>
      <c r="MH13" s="85"/>
      <c r="MI13" s="107"/>
      <c r="MJ13" s="187">
        <f>IF(COUNT(MJ14:MJ15)=0,"",SUM(MJ14:MJ15)/COUNT(MJ14:MJ15))</f>
        <v>4</v>
      </c>
      <c r="MK13" s="188" t="str">
        <f t="shared" si="72"/>
        <v>A</v>
      </c>
      <c r="ML13" s="230"/>
      <c r="MM13" s="85"/>
      <c r="MN13" s="85"/>
      <c r="MO13" s="107"/>
      <c r="MP13" s="187">
        <f>IF(COUNT(MP14,MP15)=0,"",SUM(MP14:MP15)/COUNT(MP14,MP15))</f>
        <v>4</v>
      </c>
      <c r="MQ13" s="203" t="str">
        <f t="shared" si="73"/>
        <v>A</v>
      </c>
      <c r="MR13" s="181"/>
      <c r="MS13" s="112"/>
      <c r="MT13" s="112"/>
      <c r="MU13" s="113"/>
      <c r="MV13" s="187" t="str">
        <f>IF(COUNT(MV14,MV15)=0,"",SUM(MV14:MV15)/COUNT(MV14,MV15))</f>
        <v/>
      </c>
      <c r="MW13" s="211" t="str">
        <f t="shared" si="74"/>
        <v/>
      </c>
      <c r="MX13" s="212">
        <f>IF(COUNT(MX14:MX15)=0,"",SUM(MX14:MX15)/COUNT(MX14:MX15))</f>
        <v>4</v>
      </c>
      <c r="MY13" s="213" t="str">
        <f t="shared" si="75"/>
        <v>A</v>
      </c>
      <c r="MZ13" s="224"/>
      <c r="NA13" s="85"/>
      <c r="NB13" s="107"/>
      <c r="NC13" s="187">
        <f>IF(COUNT(NC14:NC15)=0,"",SUM(NC14:NC15)/COUNT(NC14:NC15))</f>
        <v>4</v>
      </c>
      <c r="ND13" s="188" t="str">
        <f t="shared" si="76"/>
        <v>A</v>
      </c>
      <c r="NE13" s="230"/>
      <c r="NF13" s="85"/>
      <c r="NG13" s="85"/>
      <c r="NH13" s="107"/>
      <c r="NI13" s="187">
        <f>IF(COUNT(NI14,NI15)=0,"",SUM(NI14:NI15)/COUNT(NI14,NI15))</f>
        <v>4</v>
      </c>
      <c r="NJ13" s="203" t="str">
        <f t="shared" si="77"/>
        <v>A</v>
      </c>
      <c r="NK13" s="181"/>
      <c r="NL13" s="112"/>
      <c r="NM13" s="112"/>
      <c r="NN13" s="113"/>
      <c r="NO13" s="187" t="str">
        <f>IF(COUNT(NO14,NO15)=0,"",SUM(NO14:NO15)/COUNT(NO14,NO15))</f>
        <v/>
      </c>
      <c r="NP13" s="211" t="str">
        <f t="shared" si="78"/>
        <v/>
      </c>
      <c r="NQ13" s="212">
        <f>IF(COUNT(NQ14:NQ15)=0,"",SUM(NQ14:NQ15)/COUNT(NQ14:NQ15))</f>
        <v>4</v>
      </c>
      <c r="NR13" s="213" t="str">
        <f t="shared" si="79"/>
        <v>A</v>
      </c>
      <c r="NS13" s="224"/>
      <c r="NT13" s="85"/>
      <c r="NU13" s="107"/>
      <c r="NV13" s="187" t="str">
        <f>IF(COUNT(NV14:NV15)=0,"",SUM(NV14:NV15)/COUNT(NV14:NV15))</f>
        <v/>
      </c>
      <c r="NW13" s="188" t="str">
        <f t="shared" si="80"/>
        <v/>
      </c>
      <c r="NX13" s="230"/>
      <c r="NY13" s="85"/>
      <c r="NZ13" s="85"/>
      <c r="OA13" s="107"/>
      <c r="OB13" s="187">
        <f>IF(COUNT(OB14,OB15)=0,"",SUM(OB14:OB15)/COUNT(OB14,OB15))</f>
        <v>4</v>
      </c>
      <c r="OC13" s="203" t="str">
        <f t="shared" si="81"/>
        <v>A</v>
      </c>
      <c r="OD13" s="181"/>
      <c r="OE13" s="112"/>
      <c r="OF13" s="112"/>
      <c r="OG13" s="113"/>
      <c r="OH13" s="187" t="str">
        <f>IF(COUNT(OH14,OH15)=0,"",SUM(OH14:OH15)/COUNT(OH14,OH15))</f>
        <v/>
      </c>
      <c r="OI13" s="211" t="str">
        <f t="shared" si="82"/>
        <v/>
      </c>
      <c r="OJ13" s="212">
        <f>IF(COUNT(OJ14:OJ15)=0,"",SUM(OJ14:OJ15)/COUNT(OJ14:OJ15))</f>
        <v>4</v>
      </c>
      <c r="OK13" s="213" t="str">
        <f t="shared" si="83"/>
        <v>A</v>
      </c>
      <c r="OL13" s="224"/>
      <c r="OM13" s="85"/>
      <c r="ON13" s="107"/>
      <c r="OO13" s="187">
        <f>IF(COUNT(OO14:OO15)=0,"",SUM(OO14:OO15)/COUNT(OO14:OO15))</f>
        <v>4</v>
      </c>
      <c r="OP13" s="188" t="str">
        <f t="shared" si="84"/>
        <v>A</v>
      </c>
      <c r="OQ13" s="230"/>
      <c r="OR13" s="85"/>
      <c r="OS13" s="85"/>
      <c r="OT13" s="107"/>
      <c r="OU13" s="187">
        <f>IF(COUNT(OU14,OU15)=0,"",SUM(OU14:OU15)/COUNT(OU14,OU15))</f>
        <v>4</v>
      </c>
      <c r="OV13" s="203" t="str">
        <f t="shared" si="85"/>
        <v>A</v>
      </c>
      <c r="OW13" s="181"/>
      <c r="OX13" s="112"/>
      <c r="OY13" s="112"/>
      <c r="OZ13" s="113"/>
      <c r="PA13" s="187" t="str">
        <f>IF(COUNT(PA14,PA15)=0,"",SUM(PA14:PA15)/COUNT(PA14,PA15))</f>
        <v/>
      </c>
      <c r="PB13" s="211" t="str">
        <f t="shared" si="86"/>
        <v/>
      </c>
      <c r="PC13" s="212">
        <f>IF(COUNT(PC14:PC15)=0,"",SUM(PC14:PC15)/COUNT(PC14:PC15))</f>
        <v>4</v>
      </c>
      <c r="PD13" s="213" t="str">
        <f t="shared" si="87"/>
        <v>A</v>
      </c>
      <c r="PE13" s="224"/>
      <c r="PF13" s="85"/>
      <c r="PG13" s="107"/>
      <c r="PH13" s="187">
        <f>IF(COUNT(PH14:PH15)=0,"",SUM(PH14:PH15)/COUNT(PH14:PH15))</f>
        <v>4</v>
      </c>
      <c r="PI13" s="188" t="str">
        <f t="shared" si="88"/>
        <v>A</v>
      </c>
      <c r="PJ13" s="230"/>
      <c r="PK13" s="85"/>
      <c r="PL13" s="85"/>
      <c r="PM13" s="107"/>
      <c r="PN13" s="187">
        <f>IF(COUNT(PN14,PN15)=0,"",SUM(PN14:PN15)/COUNT(PN14,PN15))</f>
        <v>4</v>
      </c>
      <c r="PO13" s="203" t="str">
        <f t="shared" si="89"/>
        <v>A</v>
      </c>
      <c r="PP13" s="181"/>
      <c r="PQ13" s="112"/>
      <c r="PR13" s="112"/>
      <c r="PS13" s="113"/>
      <c r="PT13" s="187" t="str">
        <f>IF(COUNT(PT14,PT15)=0,"",SUM(PT14:PT15)/COUNT(PT14,PT15))</f>
        <v/>
      </c>
      <c r="PU13" s="211" t="str">
        <f t="shared" si="90"/>
        <v/>
      </c>
      <c r="PV13" s="212">
        <f>IF(COUNT(PV14:PV15)=0,"",SUM(PV14:PV15)/COUNT(PV14:PV15))</f>
        <v>4</v>
      </c>
      <c r="PW13" s="213" t="str">
        <f t="shared" si="91"/>
        <v>A</v>
      </c>
      <c r="PX13" s="224"/>
      <c r="PY13" s="85"/>
      <c r="PZ13" s="107"/>
      <c r="QA13" s="187">
        <f>IF(COUNT(QA14:QA15)=0,"",SUM(QA14:QA15)/COUNT(QA14:QA15))</f>
        <v>4</v>
      </c>
      <c r="QB13" s="188" t="str">
        <f t="shared" si="92"/>
        <v>A</v>
      </c>
      <c r="QC13" s="230"/>
      <c r="QD13" s="85"/>
      <c r="QE13" s="85"/>
      <c r="QF13" s="107"/>
      <c r="QG13" s="187">
        <f>IF(COUNT(QG14,QG15)=0,"",SUM(QG14:QG15)/COUNT(QG14,QG15))</f>
        <v>4</v>
      </c>
      <c r="QH13" s="203" t="str">
        <f t="shared" si="93"/>
        <v>A</v>
      </c>
      <c r="QI13" s="181"/>
      <c r="QJ13" s="112"/>
      <c r="QK13" s="112"/>
      <c r="QL13" s="113"/>
      <c r="QM13" s="187" t="str">
        <f>IF(COUNT(QM14,QM15)=0,"",SUM(QM14:QM15)/COUNT(QM14,QM15))</f>
        <v/>
      </c>
      <c r="QN13" s="211" t="str">
        <f t="shared" si="94"/>
        <v/>
      </c>
      <c r="QO13" s="212">
        <f>IF(COUNT(QO14:QO15)=0,"",SUM(QO14:QO15)/COUNT(QO14:QO15))</f>
        <v>4</v>
      </c>
      <c r="QP13" s="213" t="str">
        <f t="shared" si="95"/>
        <v>A</v>
      </c>
      <c r="QQ13" s="224"/>
      <c r="QR13" s="85"/>
      <c r="QS13" s="107"/>
      <c r="QT13" s="187">
        <f>IF(COUNT(QT14:QT15)=0,"",SUM(QT14:QT15)/COUNT(QT14:QT15))</f>
        <v>4</v>
      </c>
      <c r="QU13" s="188" t="str">
        <f t="shared" si="96"/>
        <v>A</v>
      </c>
      <c r="QV13" s="230"/>
      <c r="QW13" s="85"/>
      <c r="QX13" s="85"/>
      <c r="QY13" s="107"/>
      <c r="QZ13" s="187">
        <f>IF(COUNT(QZ14,QZ15)=0,"",SUM(QZ14:QZ15)/COUNT(QZ14,QZ15))</f>
        <v>4</v>
      </c>
      <c r="RA13" s="203" t="str">
        <f t="shared" si="97"/>
        <v>A</v>
      </c>
      <c r="RB13" s="181"/>
      <c r="RC13" s="112"/>
      <c r="RD13" s="112"/>
      <c r="RE13" s="113"/>
      <c r="RF13" s="187" t="str">
        <f>IF(COUNT(RF14,RF15)=0,"",SUM(RF14:RF15)/COUNT(RF14,RF15))</f>
        <v/>
      </c>
      <c r="RG13" s="211" t="str">
        <f t="shared" si="98"/>
        <v/>
      </c>
      <c r="RH13" s="212">
        <f>IF(COUNT(RH14:RH15)=0,"",SUM(RH14:RH15)/COUNT(RH14:RH15))</f>
        <v>4</v>
      </c>
      <c r="RI13" s="213" t="str">
        <f t="shared" si="99"/>
        <v>A</v>
      </c>
      <c r="RJ13" s="224"/>
      <c r="RK13" s="85"/>
      <c r="RL13" s="107"/>
      <c r="RM13" s="187">
        <f>IF(COUNT(RM14:RM15)=0,"",SUM(RM14:RM15)/COUNT(RM14:RM15))</f>
        <v>4</v>
      </c>
      <c r="RN13" s="188" t="str">
        <f t="shared" si="100"/>
        <v>A</v>
      </c>
      <c r="RO13" s="230"/>
      <c r="RP13" s="85"/>
      <c r="RQ13" s="85"/>
      <c r="RR13" s="107"/>
      <c r="RS13" s="187">
        <f>IF(COUNT(RS14,RS15)=0,"",SUM(RS14:RS15)/COUNT(RS14,RS15))</f>
        <v>4</v>
      </c>
      <c r="RT13" s="203" t="str">
        <f t="shared" si="101"/>
        <v>A</v>
      </c>
      <c r="RU13" s="181"/>
      <c r="RV13" s="112"/>
      <c r="RW13" s="112"/>
      <c r="RX13" s="113"/>
      <c r="RY13" s="187" t="str">
        <f>IF(COUNT(RY14,RY15)=0,"",SUM(RY14:RY15)/COUNT(RY14,RY15))</f>
        <v/>
      </c>
      <c r="RZ13" s="211" t="str">
        <f t="shared" si="102"/>
        <v/>
      </c>
      <c r="SA13" s="212">
        <f>IF(COUNT(SA14:SA15)=0,"",SUM(SA14:SA15)/COUNT(SA14:SA15))</f>
        <v>4</v>
      </c>
      <c r="SB13" s="213" t="str">
        <f t="shared" si="103"/>
        <v>A</v>
      </c>
      <c r="SC13" s="148"/>
      <c r="SD13" s="85"/>
      <c r="SE13" s="107"/>
      <c r="SF13" s="108" t="str">
        <f>IF(COUNT(SF14:SF15)=0,"",SUM(SF14:SF15)/COUNT(SF14:SF15))</f>
        <v/>
      </c>
      <c r="SG13" s="109" t="str">
        <f t="shared" si="104"/>
        <v/>
      </c>
      <c r="SH13" s="106"/>
      <c r="SI13" s="85"/>
      <c r="SJ13" s="107"/>
      <c r="SK13" s="108" t="str">
        <f>IF(COUNT(SK14,SK15)=0,"",SUM(SK14:SK15)/COUNT(SK14,SK15))</f>
        <v/>
      </c>
      <c r="SL13" s="110" t="str">
        <f t="shared" si="105"/>
        <v/>
      </c>
      <c r="SM13" s="111"/>
      <c r="SN13" s="112"/>
      <c r="SO13" s="113"/>
      <c r="SP13" s="108" t="str">
        <f>IF(COUNT(SP14,SP15)=0,"",SUM(SP14:SP15)/COUNT(SP14,SP15))</f>
        <v/>
      </c>
      <c r="SQ13" s="114" t="str">
        <f t="shared" si="106"/>
        <v/>
      </c>
      <c r="SR13" s="115" t="str">
        <f>IF(COUNT(SR14:SR15)=0,"",SUM(SR14:SR15)/COUNT(SR14:SR15))</f>
        <v/>
      </c>
      <c r="SS13" s="116" t="str">
        <f t="shared" si="107"/>
        <v/>
      </c>
      <c r="ST13" s="148"/>
      <c r="SU13" s="85"/>
      <c r="SV13" s="107"/>
      <c r="SW13" s="108" t="str">
        <f>IF(COUNT(SW14:SW15)=0,"",SUM(SW14:SW15)/COUNT(SW14:SW15))</f>
        <v/>
      </c>
      <c r="SX13" s="109" t="str">
        <f t="shared" si="108"/>
        <v/>
      </c>
      <c r="SY13" s="106"/>
      <c r="SZ13" s="85"/>
      <c r="TA13" s="107"/>
      <c r="TB13" s="108" t="str">
        <f>IF(COUNT(TB14,TB15)=0,"",SUM(TB14:TB15)/COUNT(TB14,TB15))</f>
        <v/>
      </c>
      <c r="TC13" s="110" t="str">
        <f t="shared" si="109"/>
        <v/>
      </c>
      <c r="TD13" s="111"/>
      <c r="TE13" s="112"/>
      <c r="TF13" s="113"/>
      <c r="TG13" s="108" t="str">
        <f>IF(COUNT(TG14,TG15)=0,"",SUM(TG14:TG15)/COUNT(TG14,TG15))</f>
        <v/>
      </c>
      <c r="TH13" s="114" t="str">
        <f t="shared" si="110"/>
        <v/>
      </c>
      <c r="TI13" s="115" t="str">
        <f>IF(COUNT(TI14:TI15)=0,"",SUM(TI14:TI15)/COUNT(TI14:TI15))</f>
        <v/>
      </c>
      <c r="TJ13" s="116" t="str">
        <f t="shared" si="111"/>
        <v/>
      </c>
      <c r="TK13" s="148"/>
      <c r="TL13" s="85"/>
      <c r="TM13" s="107"/>
      <c r="TN13" s="108" t="str">
        <f>IF(COUNT(TN14:TN15)=0,"",SUM(TN14:TN15)/COUNT(TN14:TN15))</f>
        <v/>
      </c>
      <c r="TO13" s="109" t="str">
        <f t="shared" si="112"/>
        <v/>
      </c>
      <c r="TP13" s="106"/>
      <c r="TQ13" s="85"/>
      <c r="TR13" s="107"/>
      <c r="TS13" s="108" t="str">
        <f>IF(COUNT(TS14,TS15)=0,"",SUM(TS14:TS15)/COUNT(TS14,TS15))</f>
        <v/>
      </c>
      <c r="TT13" s="110" t="str">
        <f t="shared" si="113"/>
        <v/>
      </c>
      <c r="TU13" s="111"/>
      <c r="TV13" s="112"/>
      <c r="TW13" s="113"/>
      <c r="TX13" s="108" t="str">
        <f>IF(COUNT(TX14,TX15)=0,"",SUM(TX14:TX15)/COUNT(TX14,TX15))</f>
        <v/>
      </c>
      <c r="TY13" s="114" t="str">
        <f t="shared" si="114"/>
        <v/>
      </c>
      <c r="TZ13" s="115" t="str">
        <f>IF(COUNT(TZ14:TZ15)=0,"",SUM(TZ14:TZ15)/COUNT(TZ14:TZ15))</f>
        <v/>
      </c>
      <c r="UA13" s="116" t="str">
        <f t="shared" si="115"/>
        <v/>
      </c>
      <c r="UB13" s="148"/>
      <c r="UC13" s="85"/>
      <c r="UD13" s="107"/>
      <c r="UE13" s="108" t="str">
        <f>IF(COUNT(UE14:UE15)=0,"",SUM(UE14:UE15)/COUNT(UE14:UE15))</f>
        <v/>
      </c>
      <c r="UF13" s="109" t="str">
        <f t="shared" si="116"/>
        <v/>
      </c>
      <c r="UG13" s="106"/>
      <c r="UH13" s="85"/>
      <c r="UI13" s="107"/>
      <c r="UJ13" s="108" t="str">
        <f>IF(COUNT(UJ14,UJ15)=0,"",SUM(UJ14:UJ15)/COUNT(UJ14,UJ15))</f>
        <v/>
      </c>
      <c r="UK13" s="110" t="str">
        <f t="shared" si="117"/>
        <v/>
      </c>
      <c r="UL13" s="111"/>
      <c r="UM13" s="112"/>
      <c r="UN13" s="113"/>
      <c r="UO13" s="108" t="str">
        <f>IF(COUNT(UO14,UO15)=0,"",SUM(UO14:UO15)/COUNT(UO14,UO15))</f>
        <v/>
      </c>
      <c r="UP13" s="114" t="str">
        <f t="shared" si="118"/>
        <v/>
      </c>
      <c r="UQ13" s="115" t="str">
        <f>IF(COUNT(UQ14:UQ15)=0,"",SUM(UQ14:UQ15)/COUNT(UQ14:UQ15))</f>
        <v/>
      </c>
      <c r="UR13" s="116" t="str">
        <f t="shared" si="119"/>
        <v/>
      </c>
    </row>
    <row r="14" spans="1:564" ht="18" customHeight="1" x14ac:dyDescent="0.25">
      <c r="A14" s="250" t="s">
        <v>20</v>
      </c>
      <c r="B14" s="251"/>
      <c r="C14" s="127" t="s">
        <v>29</v>
      </c>
      <c r="D14" s="132"/>
      <c r="E14" s="133"/>
      <c r="F14" s="189">
        <f>IFERROR((((COUNTIF('Elève (4ème4)'!C14:E14,"A"))*4)+((COUNTIF('Elève (4ème4)'!C14:E14,"B"))*3)+((COUNTIF('Elève (4ème4)'!C14:E14,"C"))*2)+((COUNTIF('Elève (4ème4)'!C14:E14,"D"))*1))/(COUNTA(C14:E14)),"")</f>
        <v>4</v>
      </c>
      <c r="G14" s="190" t="str">
        <f t="shared" si="0"/>
        <v>A</v>
      </c>
      <c r="H14" s="134"/>
      <c r="I14" s="132"/>
      <c r="J14" s="133"/>
      <c r="K14" s="133"/>
      <c r="L14" s="189" t="str">
        <f>IFERROR((((COUNTIF('Elève (4ème4)'!H14:K14,"A"))*4)+((COUNTIF('Elève (4ème4)'!H14:K14,"B"))*3)+((COUNTIF('Elève (4ème4)'!H14:K14,"C"))*2)+((COUNTIF('Elève (4ème4)'!H14:K14,"D"))*1))/(COUNTA(H14:K14)),"")</f>
        <v/>
      </c>
      <c r="M14" s="190" t="str">
        <f t="shared" si="1"/>
        <v/>
      </c>
      <c r="N14" s="134"/>
      <c r="O14" s="132"/>
      <c r="P14" s="133"/>
      <c r="Q14" s="133"/>
      <c r="R14" s="189" t="str">
        <f>IFERROR((((COUNTIF('Elève (4ème4)'!N14:Q14,"A"))*4)+((COUNTIF('Elève (4ème4)'!N14:Q14,"B"))*3)+((COUNTIF('Elève (4ème4)'!N14:Q14,"C"))*2)+((COUNTIF('Elève (4ème4)'!N14:Q14,"D"))*1))/(COUNTA(N14:Q14)),"")</f>
        <v/>
      </c>
      <c r="S14" s="190" t="str">
        <f t="shared" si="2"/>
        <v/>
      </c>
      <c r="T14" s="189">
        <f>IF(COUNT(F14,L14,R14)=0,"",SUM(F14,L14,R14)/COUNT(F14,L14,R14))</f>
        <v>4</v>
      </c>
      <c r="U14" s="214" t="str">
        <f t="shared" si="3"/>
        <v>A</v>
      </c>
      <c r="V14" s="127" t="s">
        <v>29</v>
      </c>
      <c r="W14" s="132"/>
      <c r="X14" s="133"/>
      <c r="Y14" s="189">
        <f>IFERROR((((COUNTIF('Elève (4ème4)'!V14:X14,"A"))*4)+((COUNTIF('Elève (4ème4)'!V14:X14,"B"))*3)+((COUNTIF('Elève (4ème4)'!V14:X14,"C"))*2)+((COUNTIF('Elève (4ème4)'!V14:X14,"D"))*1))/(COUNTA(V14:X14)),"")</f>
        <v>4</v>
      </c>
      <c r="Z14" s="190" t="str">
        <f t="shared" si="4"/>
        <v>A</v>
      </c>
      <c r="AA14" s="134"/>
      <c r="AB14" s="132"/>
      <c r="AC14" s="133"/>
      <c r="AD14" s="133"/>
      <c r="AE14" s="189" t="str">
        <f>IFERROR((((COUNTIF('Elève (4ème4)'!AA14:AD14,"A"))*4)+((COUNTIF('Elève (4ème4)'!AA14:AD14,"B"))*3)+((COUNTIF('Elève (4ème4)'!AA14:AD14,"C"))*2)+((COUNTIF('Elève (4ème4)'!AA14:AD14,"D"))*1))/(COUNTA(AA14:AD14)),"")</f>
        <v/>
      </c>
      <c r="AF14" s="190" t="str">
        <f t="shared" si="5"/>
        <v/>
      </c>
      <c r="AG14" s="134"/>
      <c r="AH14" s="132"/>
      <c r="AI14" s="133"/>
      <c r="AJ14" s="136"/>
      <c r="AK14" s="189" t="str">
        <f>IFERROR((((COUNTIF('Elève (4ème4)'!AG14:AJ14,"A"))*4)+((COUNTIF('Elève (4ème4)'!AG14:AJ14,"B"))*3)+((COUNTIF('Elève (4ème4)'!AG14:AJ14,"C"))*2)+((COUNTIF('Elève (4ème4)'!AG14:AJ14,"D"))*1))/(COUNTA(AG14:AJ14)),"")</f>
        <v/>
      </c>
      <c r="AL14" s="190" t="str">
        <f t="shared" si="6"/>
        <v/>
      </c>
      <c r="AM14" s="189">
        <f>IF(COUNT(Y14,AE14,AK14)=0,"",SUM(Y14,AE14,AK14)/COUNT(Y14,AE14,AK14))</f>
        <v>4</v>
      </c>
      <c r="AN14" s="214" t="str">
        <f t="shared" si="7"/>
        <v>A</v>
      </c>
      <c r="AO14" s="127"/>
      <c r="AP14" s="132"/>
      <c r="AQ14" s="133"/>
      <c r="AR14" s="189" t="str">
        <f>IFERROR((((COUNTIF('Elève (4ème4)'!AO14:AQ14,"A"))*4)+((COUNTIF('Elève (4ème4)'!AO14:AQ14,"B"))*3)+((COUNTIF('Elève (4ème4)'!AO14:AQ14,"C"))*2)+((COUNTIF('Elève (4ème4)'!AO14:AQ14,"D"))*1))/(COUNTA(AO14:AQ14)),"")</f>
        <v/>
      </c>
      <c r="AS14" s="190" t="str">
        <f t="shared" si="8"/>
        <v/>
      </c>
      <c r="AT14" s="134"/>
      <c r="AU14" s="132"/>
      <c r="AV14" s="133"/>
      <c r="AW14" s="133"/>
      <c r="AX14" s="189" t="str">
        <f>IFERROR((((COUNTIF('Elève (4ème4)'!AT14:AW14,"A"))*4)+((COUNTIF('Elève (4ème4)'!AT14:AW14,"B"))*3)+((COUNTIF('Elève (4ème4)'!AT14:AW14,"C"))*2)+((COUNTIF('Elève (4ème4)'!AT14:AW14,"D"))*1))/(COUNTA(AT14:AW14)),"")</f>
        <v/>
      </c>
      <c r="AY14" s="190" t="str">
        <f t="shared" si="9"/>
        <v/>
      </c>
      <c r="AZ14" s="134"/>
      <c r="BA14" s="132"/>
      <c r="BB14" s="133"/>
      <c r="BC14" s="136"/>
      <c r="BD14" s="189" t="str">
        <f>IFERROR((((COUNTIF('Elève (4ème4)'!AZ14:BC14,"A"))*4)+((COUNTIF('Elève (4ème4)'!AZ14:BC14,"B"))*3)+((COUNTIF('Elève (4ème4)'!AZ14:BC14,"C"))*2)+((COUNTIF('Elève (4ème4)'!AZ14:BC14,"D"))*1))/(COUNTA(AZ14:BC14)),"")</f>
        <v/>
      </c>
      <c r="BE14" s="190" t="str">
        <f t="shared" si="10"/>
        <v/>
      </c>
      <c r="BF14" s="189" t="str">
        <f>IF(COUNT(AR14,AX14,BD14)=0,"",SUM(AR14,AX14,BD14)/COUNT(AR14,AX14,BD14))</f>
        <v/>
      </c>
      <c r="BG14" s="214" t="str">
        <f t="shared" si="11"/>
        <v/>
      </c>
      <c r="BH14" s="127"/>
      <c r="BI14" s="132"/>
      <c r="BJ14" s="133"/>
      <c r="BK14" s="189" t="str">
        <f>IFERROR((((COUNTIF('Elève (4ème4)'!BH14:BJ14,"A"))*4)+((COUNTIF('Elève (4ème4)'!BH14:BJ14,"B"))*3)+((COUNTIF('Elève (4ème4)'!BH14:BJ14,"C"))*2)+((COUNTIF('Elève (4ème4)'!BH14:BJ14,"D"))*1))/(COUNTA(BH14:BJ14)),"")</f>
        <v/>
      </c>
      <c r="BL14" s="190" t="str">
        <f t="shared" si="12"/>
        <v/>
      </c>
      <c r="BM14" s="134"/>
      <c r="BN14" s="132"/>
      <c r="BO14" s="133"/>
      <c r="BP14" s="133"/>
      <c r="BQ14" s="189" t="str">
        <f>IFERROR((((COUNTIF('Elève (4ème4)'!BM14:BP14,"A"))*4)+((COUNTIF('Elève (4ème4)'!BM14:BP14,"B"))*3)+((COUNTIF('Elève (4ème4)'!BM14:BP14,"C"))*2)+((COUNTIF('Elève (4ème4)'!BM14:BP14,"D"))*1))/(COUNTA(BM14:BP14)),"")</f>
        <v/>
      </c>
      <c r="BR14" s="190" t="str">
        <f t="shared" si="13"/>
        <v/>
      </c>
      <c r="BS14" s="134"/>
      <c r="BT14" s="132"/>
      <c r="BU14" s="133"/>
      <c r="BV14" s="136"/>
      <c r="BW14" s="189" t="str">
        <f>IFERROR((((COUNTIF('Elève (4ème4)'!BS14:BV14,"A"))*4)+((COUNTIF('Elève (4ème4)'!BS14:BV14,"B"))*3)+((COUNTIF('Elève (4ème4)'!BS14:BV14,"C"))*2)+((COUNTIF('Elève (4ème4)'!BS14:BV14,"D"))*1))/(COUNTA(BS14:BV14)),"")</f>
        <v/>
      </c>
      <c r="BX14" s="190" t="str">
        <f t="shared" si="14"/>
        <v/>
      </c>
      <c r="BY14" s="189" t="str">
        <f>IF(COUNT(BK14,BQ14,BW14)=0,"",SUM(BK14,BQ14,BW14)/COUNT(BK14,BQ14,BW14))</f>
        <v/>
      </c>
      <c r="BZ14" s="214" t="str">
        <f t="shared" si="15"/>
        <v/>
      </c>
      <c r="CA14" s="127"/>
      <c r="CB14" s="132"/>
      <c r="CC14" s="133"/>
      <c r="CD14" s="189" t="str">
        <f>IFERROR((((COUNTIF('Elève (4ème4)'!CA14:CC14,"A"))*4)+((COUNTIF('Elève (4ème4)'!CA14:CC14,"B"))*3)+((COUNTIF('Elève (4ème4)'!CA14:CC14,"C"))*2)+((COUNTIF('Elève (4ème4)'!CA14:CC14,"D"))*1))/(COUNTA(CA14:CC14)),"")</f>
        <v/>
      </c>
      <c r="CE14" s="190" t="str">
        <f t="shared" si="16"/>
        <v/>
      </c>
      <c r="CF14" s="134"/>
      <c r="CG14" s="132"/>
      <c r="CH14" s="133"/>
      <c r="CI14" s="133"/>
      <c r="CJ14" s="189" t="str">
        <f>IFERROR((((COUNTIF('Elève (4ème4)'!CF14:CI14,"A"))*4)+((COUNTIF('Elève (4ème4)'!CF14:CI14,"B"))*3)+((COUNTIF('Elève (4ème4)'!CF14:CI14,"C"))*2)+((COUNTIF('Elève (4ème4)'!CF14:CI14,"D"))*1))/(COUNTA(CF14:CI14)),"")</f>
        <v/>
      </c>
      <c r="CK14" s="190" t="str">
        <f t="shared" si="17"/>
        <v/>
      </c>
      <c r="CL14" s="134"/>
      <c r="CM14" s="132"/>
      <c r="CN14" s="133"/>
      <c r="CO14" s="136"/>
      <c r="CP14" s="189" t="str">
        <f>IFERROR((((COUNTIF('Elève (4ème4)'!CL14:CO14,"A"))*4)+((COUNTIF('Elève (4ème4)'!CL14:CO14,"B"))*3)+((COUNTIF('Elève (4ème4)'!CL14:CO14,"C"))*2)+((COUNTIF('Elève (4ème4)'!CL14:CO14,"D"))*1))/(COUNTA(CL14:CO14)),"")</f>
        <v/>
      </c>
      <c r="CQ14" s="190" t="str">
        <f t="shared" si="18"/>
        <v/>
      </c>
      <c r="CR14" s="189" t="str">
        <f>IF(COUNT(CD14,CJ14,CP14)=0,"",SUM(CD14,CJ14,CP14)/COUNT(CD14,CJ14,CP14))</f>
        <v/>
      </c>
      <c r="CS14" s="214" t="str">
        <f t="shared" si="19"/>
        <v/>
      </c>
      <c r="CT14" s="127"/>
      <c r="CU14" s="132"/>
      <c r="CV14" s="133"/>
      <c r="CW14" s="189" t="str">
        <f>IFERROR((((COUNTIF('Elève (4ème4)'!CT14:CV14,"A"))*4)+((COUNTIF('Elève (4ème4)'!CT14:CV14,"B"))*3)+((COUNTIF('Elève (4ème4)'!CT14:CV14,"C"))*2)+((COUNTIF('Elève (4ème4)'!CT14:CV14,"D"))*1))/(COUNTA(CT14:CV14)),"")</f>
        <v/>
      </c>
      <c r="CX14" s="190" t="str">
        <f t="shared" si="20"/>
        <v/>
      </c>
      <c r="CY14" s="134"/>
      <c r="CZ14" s="132"/>
      <c r="DA14" s="133"/>
      <c r="DB14" s="133"/>
      <c r="DC14" s="189" t="str">
        <f>IFERROR((((COUNTIF('Elève (4ème4)'!CY14:DB14,"A"))*4)+((COUNTIF('Elève (4ème4)'!CY14:DB14,"B"))*3)+((COUNTIF('Elève (4ème4)'!CY14:DB14,"C"))*2)+((COUNTIF('Elève (4ème4)'!CY14:DB14,"D"))*1))/(COUNTA(CY14:DB14)),"")</f>
        <v/>
      </c>
      <c r="DD14" s="190" t="str">
        <f t="shared" si="21"/>
        <v/>
      </c>
      <c r="DE14" s="134"/>
      <c r="DF14" s="132"/>
      <c r="DG14" s="133"/>
      <c r="DH14" s="136"/>
      <c r="DI14" s="189" t="str">
        <f>IFERROR((((COUNTIF('Elève (4ème4)'!DE14:DH14,"A"))*4)+((COUNTIF('Elève (4ème4)'!DE14:DH14,"B"))*3)+((COUNTIF('Elève (4ème4)'!DE14:DH14,"C"))*2)+((COUNTIF('Elève (4ème4)'!DE14:DH14,"D"))*1))/(COUNTA(DE14:DH14)),"")</f>
        <v/>
      </c>
      <c r="DJ14" s="190" t="str">
        <f t="shared" si="22"/>
        <v/>
      </c>
      <c r="DK14" s="189" t="str">
        <f>IF(COUNT(CW14,DC14,DI14)=0,"",SUM(CW14,DC14,DI14)/COUNT(CW14,DC14,DI14))</f>
        <v/>
      </c>
      <c r="DL14" s="214" t="str">
        <f t="shared" si="23"/>
        <v/>
      </c>
      <c r="DM14" s="127"/>
      <c r="DN14" s="132"/>
      <c r="DO14" s="133"/>
      <c r="DP14" s="189" t="str">
        <f>IFERROR((((COUNTIF('Elève (4ème4)'!DM14:DO14,"A"))*4)+((COUNTIF('Elève (4ème4)'!DM14:DO14,"B"))*3)+((COUNTIF('Elève (4ème4)'!DM14:DO14,"C"))*2)+((COUNTIF('Elève (4ème4)'!DM14:DO14,"D"))*1))/(COUNTA(DM14:DO14)),"")</f>
        <v/>
      </c>
      <c r="DQ14" s="190" t="str">
        <f t="shared" si="24"/>
        <v/>
      </c>
      <c r="DR14" s="134"/>
      <c r="DS14" s="132"/>
      <c r="DT14" s="133"/>
      <c r="DU14" s="133"/>
      <c r="DV14" s="189" t="str">
        <f>IFERROR((((COUNTIF('Elève (4ème4)'!DR14:DU14,"A"))*4)+((COUNTIF('Elève (4ème4)'!DR14:DU14,"B"))*3)+((COUNTIF('Elève (4ème4)'!DR14:DU14,"C"))*2)+((COUNTIF('Elève (4ème4)'!DR14:DU14,"D"))*1))/(COUNTA(DR14:DU14)),"")</f>
        <v/>
      </c>
      <c r="DW14" s="190" t="str">
        <f t="shared" si="25"/>
        <v/>
      </c>
      <c r="DX14" s="134"/>
      <c r="DY14" s="132"/>
      <c r="DZ14" s="133"/>
      <c r="EA14" s="136"/>
      <c r="EB14" s="189" t="str">
        <f>IFERROR((((COUNTIF('Elève (4ème4)'!DX14:EA14,"A"))*4)+((COUNTIF('Elève (4ème4)'!DX14:EA14,"B"))*3)+((COUNTIF('Elève (4ème4)'!DX14:EA14,"C"))*2)+((COUNTIF('Elève (4ème4)'!DX14:EA14,"D"))*1))/(COUNTA(DX14:EA14)),"")</f>
        <v/>
      </c>
      <c r="EC14" s="190" t="str">
        <f t="shared" si="26"/>
        <v/>
      </c>
      <c r="ED14" s="189" t="str">
        <f>IF(COUNT(DP14,DV14,EB14)=0,"",SUM(DP14,DV14,EB14)/COUNT(DP14,DV14,EB14))</f>
        <v/>
      </c>
      <c r="EE14" s="214" t="str">
        <f t="shared" si="27"/>
        <v/>
      </c>
      <c r="EF14" s="127"/>
      <c r="EG14" s="132"/>
      <c r="EH14" s="133"/>
      <c r="EI14" s="189" t="str">
        <f>IFERROR((((COUNTIF('Elève (4ème4)'!EF14:EH14,"A"))*4)+((COUNTIF('Elève (4ème4)'!EF14:EH14,"B"))*3)+((COUNTIF('Elève (4ème4)'!EF14:EH14,"C"))*2)+((COUNTIF('Elève (4ème4)'!EF14:EH14,"D"))*1))/(COUNTA(EF14:EH14)),"")</f>
        <v/>
      </c>
      <c r="EJ14" s="190" t="str">
        <f t="shared" si="28"/>
        <v/>
      </c>
      <c r="EK14" s="134"/>
      <c r="EL14" s="132"/>
      <c r="EM14" s="133"/>
      <c r="EN14" s="133"/>
      <c r="EO14" s="189" t="str">
        <f>IFERROR((((COUNTIF('Elève (4ème4)'!EK14:EN14,"A"))*4)+((COUNTIF('Elève (4ème4)'!EK14:EN14,"B"))*3)+((COUNTIF('Elève (4ème4)'!EK14:EN14,"C"))*2)+((COUNTIF('Elève (4ème4)'!EK14:EN14,"D"))*1))/(COUNTA(EK14:EN14)),"")</f>
        <v/>
      </c>
      <c r="EP14" s="190" t="str">
        <f t="shared" si="29"/>
        <v/>
      </c>
      <c r="EQ14" s="134"/>
      <c r="ER14" s="132"/>
      <c r="ES14" s="133"/>
      <c r="ET14" s="136"/>
      <c r="EU14" s="189" t="str">
        <f>IFERROR((((COUNTIF('Elève (4ème4)'!EQ14:ET14,"A"))*4)+((COUNTIF('Elève (4ème4)'!EQ14:ET14,"B"))*3)+((COUNTIF('Elève (4ème4)'!EQ14:ET14,"C"))*2)+((COUNTIF('Elève (4ème4)'!EQ14:ET14,"D"))*1))/(COUNTA(EQ14:ET14)),"")</f>
        <v/>
      </c>
      <c r="EV14" s="190" t="str">
        <f t="shared" si="30"/>
        <v/>
      </c>
      <c r="EW14" s="189" t="str">
        <f>IF(COUNT(EI14,EO14,EU14)=0,"",SUM(EI14,EO14,EU14)/COUNT(EI14,EO14,EU14))</f>
        <v/>
      </c>
      <c r="EX14" s="214" t="str">
        <f t="shared" si="31"/>
        <v/>
      </c>
      <c r="EY14" s="127"/>
      <c r="EZ14" s="132"/>
      <c r="FA14" s="133"/>
      <c r="FB14" s="189" t="str">
        <f>IFERROR((((COUNTIF('Elève (4ème4)'!EY14:FA14,"A"))*4)+((COUNTIF('Elève (4ème4)'!EY14:FA14,"B"))*3)+((COUNTIF('Elève (4ème4)'!EY14:FA14,"C"))*2)+((COUNTIF('Elève (4ème4)'!EY14:FA14,"D"))*1))/(COUNTA(EY14:FA14)),"")</f>
        <v/>
      </c>
      <c r="FC14" s="190" t="str">
        <f t="shared" si="32"/>
        <v/>
      </c>
      <c r="FD14" s="134"/>
      <c r="FE14" s="132"/>
      <c r="FF14" s="133"/>
      <c r="FG14" s="133"/>
      <c r="FH14" s="189" t="str">
        <f>IFERROR((((COUNTIF('Elève (4ème4)'!FD14:FG14,"A"))*4)+((COUNTIF('Elève (4ème4)'!FD14:FG14,"B"))*3)+((COUNTIF('Elève (4ème4)'!FD14:FG14,"C"))*2)+((COUNTIF('Elève (4ème4)'!FD14:FG14,"D"))*1))/(COUNTA(FD14:FG14)),"")</f>
        <v/>
      </c>
      <c r="FI14" s="190" t="str">
        <f t="shared" si="33"/>
        <v/>
      </c>
      <c r="FJ14" s="134"/>
      <c r="FK14" s="132"/>
      <c r="FL14" s="133"/>
      <c r="FM14" s="136"/>
      <c r="FN14" s="189" t="str">
        <f>IFERROR((((COUNTIF('Elève (4ème4)'!FJ14:FM14,"A"))*4)+((COUNTIF('Elève (4ème4)'!FJ14:FM14,"B"))*3)+((COUNTIF('Elève (4ème4)'!FJ14:FM14,"C"))*2)+((COUNTIF('Elève (4ème4)'!FJ14:FM14,"D"))*1))/(COUNTA(FJ14:FM14)),"")</f>
        <v/>
      </c>
      <c r="FO14" s="190" t="str">
        <f t="shared" si="34"/>
        <v/>
      </c>
      <c r="FP14" s="189" t="str">
        <f>IF(COUNT(FB14,FH14,FN14)=0,"",SUM(FB14,FH14,FN14)/COUNT(FB14,FH14,FN14))</f>
        <v/>
      </c>
      <c r="FQ14" s="214" t="str">
        <f t="shared" si="35"/>
        <v/>
      </c>
      <c r="FR14" s="127"/>
      <c r="FS14" s="132"/>
      <c r="FT14" s="133"/>
      <c r="FU14" s="189" t="str">
        <f>IFERROR((((COUNTIF('Elève (4ème4)'!FR14:FT14,"A"))*4)+((COUNTIF('Elève (4ème4)'!FR14:FT14,"B"))*3)+((COUNTIF('Elève (4ème4)'!FR14:FT14,"C"))*2)+((COUNTIF('Elève (4ème4)'!FR14:FT14,"D"))*1))/(COUNTA(FR14:FT14)),"")</f>
        <v/>
      </c>
      <c r="FV14" s="190" t="str">
        <f t="shared" si="36"/>
        <v/>
      </c>
      <c r="FW14" s="134"/>
      <c r="FX14" s="132"/>
      <c r="FY14" s="133"/>
      <c r="FZ14" s="133"/>
      <c r="GA14" s="189" t="str">
        <f>IFERROR((((COUNTIF('Elève (4ème4)'!FW14:FZ14,"A"))*4)+((COUNTIF('Elève (4ème4)'!FW14:FZ14,"B"))*3)+((COUNTIF('Elève (4ème4)'!FW14:FZ14,"C"))*2)+((COUNTIF('Elève (4ème4)'!FW14:FZ14,"D"))*1))/(COUNTA(FW14:FZ14)),"")</f>
        <v/>
      </c>
      <c r="GB14" s="190" t="str">
        <f t="shared" si="37"/>
        <v/>
      </c>
      <c r="GC14" s="134"/>
      <c r="GD14" s="132"/>
      <c r="GE14" s="133"/>
      <c r="GF14" s="136"/>
      <c r="GG14" s="189" t="str">
        <f>IFERROR((((COUNTIF('Elève (4ème4)'!GC14:GF14,"A"))*4)+((COUNTIF('Elève (4ème4)'!GC14:GF14,"B"))*3)+((COUNTIF('Elève (4ème4)'!GC14:GF14,"C"))*2)+((COUNTIF('Elève (4ème4)'!GC14:GF14,"D"))*1))/(COUNTA(GC14:GF14)),"")</f>
        <v/>
      </c>
      <c r="GH14" s="190" t="str">
        <f t="shared" si="38"/>
        <v/>
      </c>
      <c r="GI14" s="189" t="str">
        <f>IF(COUNT(FU14,GA14,GG14)=0,"",SUM(FU14,GA14,GG14)/COUNT(FU14,GA14,GG14))</f>
        <v/>
      </c>
      <c r="GJ14" s="214" t="str">
        <f t="shared" si="39"/>
        <v/>
      </c>
      <c r="GK14" s="127"/>
      <c r="GL14" s="132"/>
      <c r="GM14" s="133"/>
      <c r="GN14" s="189" t="str">
        <f>IFERROR((((COUNTIF('Elève (4ème4)'!GK14:GM14,"A"))*4)+((COUNTIF('Elève (4ème4)'!GK14:GM14,"B"))*3)+((COUNTIF('Elève (4ème4)'!GK14:GM14,"C"))*2)+((COUNTIF('Elève (4ème4)'!GK14:GM14,"D"))*1))/(COUNTA(GK14:GM14)),"")</f>
        <v/>
      </c>
      <c r="GO14" s="190" t="str">
        <f t="shared" si="40"/>
        <v/>
      </c>
      <c r="GP14" s="134"/>
      <c r="GQ14" s="132"/>
      <c r="GR14" s="133"/>
      <c r="GS14" s="133"/>
      <c r="GT14" s="189" t="str">
        <f>IFERROR((((COUNTIF('Elève (4ème4)'!GP14:GS14,"A"))*4)+((COUNTIF('Elève (4ème4)'!GP14:GS14,"B"))*3)+((COUNTIF('Elève (4ème4)'!GP14:GS14,"C"))*2)+((COUNTIF('Elève (4ème4)'!GP14:GS14,"D"))*1))/(COUNTA(GP14:GS14)),"")</f>
        <v/>
      </c>
      <c r="GU14" s="190" t="str">
        <f t="shared" si="41"/>
        <v/>
      </c>
      <c r="GV14" s="134"/>
      <c r="GW14" s="132"/>
      <c r="GX14" s="133"/>
      <c r="GY14" s="136"/>
      <c r="GZ14" s="189" t="str">
        <f>IFERROR((((COUNTIF('Elève (4ème4)'!GV14:GY14,"A"))*4)+((COUNTIF('Elève (4ème4)'!GV14:GY14,"B"))*3)+((COUNTIF('Elève (4ème4)'!GV14:GY14,"C"))*2)+((COUNTIF('Elève (4ème4)'!GV14:GY14,"D"))*1))/(COUNTA(GV14:GY14)),"")</f>
        <v/>
      </c>
      <c r="HA14" s="190" t="str">
        <f t="shared" si="42"/>
        <v/>
      </c>
      <c r="HB14" s="189" t="str">
        <f>IF(COUNT(GN14,GT14,GZ14)=0,"",SUM(GN14,GT14,GZ14)/COUNT(GN14,GT14,GZ14))</f>
        <v/>
      </c>
      <c r="HC14" s="214" t="str">
        <f t="shared" si="43"/>
        <v/>
      </c>
      <c r="HD14" s="127"/>
      <c r="HE14" s="132"/>
      <c r="HF14" s="133"/>
      <c r="HG14" s="189" t="str">
        <f>IFERROR((((COUNTIF('Elève (4ème4)'!HD14:HF14,"A"))*4)+((COUNTIF('Elève (4ème4)'!HD14:HF14,"B"))*3)+((COUNTIF('Elève (4ème4)'!HD14:HF14,"C"))*2)+((COUNTIF('Elève (4ème4)'!HD14:HF14,"D"))*1))/(COUNTA(HD14:HF14)),"")</f>
        <v/>
      </c>
      <c r="HH14" s="190" t="str">
        <f t="shared" si="44"/>
        <v/>
      </c>
      <c r="HI14" s="134"/>
      <c r="HJ14" s="132"/>
      <c r="HK14" s="133"/>
      <c r="HL14" s="133"/>
      <c r="HM14" s="189" t="str">
        <f>IFERROR((((COUNTIF('Elève (4ème4)'!HI14:HL14,"A"))*4)+((COUNTIF('Elève (4ème4)'!HI14:HL14,"B"))*3)+((COUNTIF('Elève (4ème4)'!HI14:HL14,"C"))*2)+((COUNTIF('Elève (4ème4)'!HI14:HL14,"D"))*1))/(COUNTA(HI14:HL14)),"")</f>
        <v/>
      </c>
      <c r="HN14" s="190" t="str">
        <f t="shared" si="45"/>
        <v/>
      </c>
      <c r="HO14" s="134"/>
      <c r="HP14" s="132"/>
      <c r="HQ14" s="133"/>
      <c r="HR14" s="136"/>
      <c r="HS14" s="189" t="str">
        <f>IFERROR((((COUNTIF('Elève (4ème4)'!HO14:HR14,"A"))*4)+((COUNTIF('Elève (4ème4)'!HO14:HR14,"B"))*3)+((COUNTIF('Elève (4ème4)'!HO14:HR14,"C"))*2)+((COUNTIF('Elève (4ème4)'!HO14:HR14,"D"))*1))/(COUNTA(HO14:HR14)),"")</f>
        <v/>
      </c>
      <c r="HT14" s="190" t="str">
        <f t="shared" si="46"/>
        <v/>
      </c>
      <c r="HU14" s="189" t="str">
        <f>IF(COUNT(HG14,HM14,HS14)=0,"",SUM(HG14,HM14,HS14)/COUNT(HG14,HM14,HS14))</f>
        <v/>
      </c>
      <c r="HV14" s="214" t="str">
        <f t="shared" si="47"/>
        <v/>
      </c>
      <c r="HW14" s="127"/>
      <c r="HX14" s="132"/>
      <c r="HY14" s="133"/>
      <c r="HZ14" s="189" t="str">
        <f>IFERROR((((COUNTIF('Elève (4ème4)'!HW14:HY14,"A"))*4)+((COUNTIF('Elève (4ème4)'!HW14:HY14,"B"))*3)+((COUNTIF('Elève (4ème4)'!HW14:HY14,"C"))*2)+((COUNTIF('Elève (4ème4)'!HW14:HY14,"D"))*1))/(COUNTA(HW14:HY14)),"")</f>
        <v/>
      </c>
      <c r="IA14" s="190" t="str">
        <f t="shared" si="48"/>
        <v/>
      </c>
      <c r="IB14" s="134"/>
      <c r="IC14" s="132"/>
      <c r="ID14" s="133"/>
      <c r="IE14" s="133"/>
      <c r="IF14" s="189" t="str">
        <f>IFERROR((((COUNTIF('Elève (4ème4)'!IB14:IE14,"A"))*4)+((COUNTIF('Elève (4ème4)'!IB14:IE14,"B"))*3)+((COUNTIF('Elève (4ème4)'!IB14:IE14,"C"))*2)+((COUNTIF('Elève (4ème4)'!IB14:IE14,"D"))*1))/(COUNTA(IB14:IE14)),"")</f>
        <v/>
      </c>
      <c r="IG14" s="190" t="str">
        <f t="shared" si="49"/>
        <v/>
      </c>
      <c r="IH14" s="134"/>
      <c r="II14" s="132"/>
      <c r="IJ14" s="133"/>
      <c r="IK14" s="136"/>
      <c r="IL14" s="189" t="str">
        <f>IFERROR((((COUNTIF('Elève (4ème4)'!IH14:IK14,"A"))*4)+((COUNTIF('Elève (4ème4)'!IH14:IK14,"B"))*3)+((COUNTIF('Elève (4ème4)'!IH14:IK14,"C"))*2)+((COUNTIF('Elève (4ème4)'!IH14:IK14,"D"))*1))/(COUNTA(IH14:IK14)),"")</f>
        <v/>
      </c>
      <c r="IM14" s="190" t="str">
        <f t="shared" si="50"/>
        <v/>
      </c>
      <c r="IN14" s="189" t="str">
        <f>IF(COUNT(HZ14,IF14,IL14)=0,"",SUM(HZ14,IF14,IL14)/COUNT(HZ14,IF14,IL14))</f>
        <v/>
      </c>
      <c r="IO14" s="214" t="str">
        <f t="shared" si="51"/>
        <v/>
      </c>
      <c r="IP14" s="127"/>
      <c r="IQ14" s="132"/>
      <c r="IR14" s="133"/>
      <c r="IS14" s="189" t="str">
        <f>IFERROR((((COUNTIF('Elève (4ème4)'!IP14:IR14,"A"))*4)+((COUNTIF('Elève (4ème4)'!IP14:IR14,"B"))*3)+((COUNTIF('Elève (4ème4)'!IP14:IR14,"C"))*2)+((COUNTIF('Elève (4ème4)'!IP14:IR14,"D"))*1))/(COUNTA(IP14:IR14)),"")</f>
        <v/>
      </c>
      <c r="IT14" s="190" t="str">
        <f t="shared" si="52"/>
        <v/>
      </c>
      <c r="IU14" s="134"/>
      <c r="IV14" s="132"/>
      <c r="IW14" s="133"/>
      <c r="IX14" s="133"/>
      <c r="IY14" s="189" t="str">
        <f>IFERROR((((COUNTIF('Elève (4ème4)'!IU14:IX14,"A"))*4)+((COUNTIF('Elève (4ème4)'!IU14:IX14,"B"))*3)+((COUNTIF('Elève (4ème4)'!IU14:IX14,"C"))*2)+((COUNTIF('Elève (4ème4)'!IU14:IX14,"D"))*1))/(COUNTA(IU14:IX14)),"")</f>
        <v/>
      </c>
      <c r="IZ14" s="190" t="str">
        <f t="shared" si="53"/>
        <v/>
      </c>
      <c r="JA14" s="134"/>
      <c r="JB14" s="132"/>
      <c r="JC14" s="133"/>
      <c r="JD14" s="136"/>
      <c r="JE14" s="189" t="str">
        <f>IFERROR((((COUNTIF('Elève (4ème4)'!JA14:JD14,"A"))*4)+((COUNTIF('Elève (4ème4)'!JA14:JD14,"B"))*3)+((COUNTIF('Elève (4ème4)'!JA14:JD14,"C"))*2)+((COUNTIF('Elève (4ème4)'!JA14:JD14,"D"))*1))/(COUNTA(JA14:JD14)),"")</f>
        <v/>
      </c>
      <c r="JF14" s="190" t="str">
        <f t="shared" si="54"/>
        <v/>
      </c>
      <c r="JG14" s="189" t="str">
        <f>IF(COUNT(IS14,IY14,JE14)=0,"",SUM(IS14,IY14,JE14)/COUNT(IS14,IY14,JE14))</f>
        <v/>
      </c>
      <c r="JH14" s="214" t="str">
        <f t="shared" si="55"/>
        <v/>
      </c>
      <c r="JI14" s="127"/>
      <c r="JJ14" s="132"/>
      <c r="JK14" s="133"/>
      <c r="JL14" s="189" t="str">
        <f>IFERROR((((COUNTIF('Elève (4ème4)'!JI14:JK14,"A"))*4)+((COUNTIF('Elève (4ème4)'!JI14:JK14,"B"))*3)+((COUNTIF('Elève (4ème4)'!JI14:JK14,"C"))*2)+((COUNTIF('Elève (4ème4)'!JI14:JK14,"D"))*1))/(COUNTA(JI14:JK14)),"")</f>
        <v/>
      </c>
      <c r="JM14" s="190" t="str">
        <f t="shared" si="56"/>
        <v/>
      </c>
      <c r="JN14" s="134"/>
      <c r="JO14" s="132"/>
      <c r="JP14" s="133"/>
      <c r="JQ14" s="133"/>
      <c r="JR14" s="189" t="str">
        <f>IFERROR((((COUNTIF('Elève (4ème4)'!JN14:JQ14,"A"))*4)+((COUNTIF('Elève (4ème4)'!JN14:JQ14,"B"))*3)+((COUNTIF('Elève (4ème4)'!JN14:JQ14,"C"))*2)+((COUNTIF('Elève (4ème4)'!JN14:JQ14,"D"))*1))/(COUNTA(JN14:JQ14)),"")</f>
        <v/>
      </c>
      <c r="JS14" s="190" t="str">
        <f t="shared" si="57"/>
        <v/>
      </c>
      <c r="JT14" s="134"/>
      <c r="JU14" s="132"/>
      <c r="JV14" s="133"/>
      <c r="JW14" s="136"/>
      <c r="JX14" s="189" t="str">
        <f>IFERROR((((COUNTIF('Elève (4ème4)'!JT14:JW14,"A"))*4)+((COUNTIF('Elève (4ème4)'!JT14:JW14,"B"))*3)+((COUNTIF('Elève (4ème4)'!JT14:JW14,"C"))*2)+((COUNTIF('Elève (4ème4)'!JT14:JW14,"D"))*1))/(COUNTA(JT14:JW14)),"")</f>
        <v/>
      </c>
      <c r="JY14" s="190" t="str">
        <f t="shared" si="58"/>
        <v/>
      </c>
      <c r="JZ14" s="189" t="str">
        <f>IF(COUNT(JL14,JR14,JX14)=0,"",SUM(JL14,JR14,JX14)/COUNT(JL14,JR14,JX14))</f>
        <v/>
      </c>
      <c r="KA14" s="214" t="str">
        <f t="shared" si="59"/>
        <v/>
      </c>
      <c r="KB14" s="127"/>
      <c r="KC14" s="132"/>
      <c r="KD14" s="133"/>
      <c r="KE14" s="189" t="str">
        <f>IFERROR((((COUNTIF('Elève (4ème4)'!KB14:KD14,"A"))*4)+((COUNTIF('Elève (4ème4)'!KB14:KD14,"B"))*3)+((COUNTIF('Elève (4ème4)'!KB14:KD14,"C"))*2)+((COUNTIF('Elève (4ème4)'!KB14:KD14,"D"))*1))/(COUNTA(KB14:KD14)),"")</f>
        <v/>
      </c>
      <c r="KF14" s="190" t="str">
        <f t="shared" si="60"/>
        <v/>
      </c>
      <c r="KG14" s="134"/>
      <c r="KH14" s="132"/>
      <c r="KI14" s="133"/>
      <c r="KJ14" s="133"/>
      <c r="KK14" s="189" t="str">
        <f>IFERROR((((COUNTIF('Elève (4ème4)'!KG14:KJ14,"A"))*4)+((COUNTIF('Elève (4ème4)'!KG14:KJ14,"B"))*3)+((COUNTIF('Elève (4ème4)'!KG14:KJ14,"C"))*2)+((COUNTIF('Elève (4ème4)'!KG14:KJ14,"D"))*1))/(COUNTA(KG14:KJ14)),"")</f>
        <v/>
      </c>
      <c r="KL14" s="190" t="str">
        <f t="shared" si="61"/>
        <v/>
      </c>
      <c r="KM14" s="134"/>
      <c r="KN14" s="132"/>
      <c r="KO14" s="133"/>
      <c r="KP14" s="136"/>
      <c r="KQ14" s="189" t="str">
        <f>IFERROR((((COUNTIF('Elève (4ème4)'!KM14:KP14,"A"))*4)+((COUNTIF('Elève (4ème4)'!KM14:KP14,"B"))*3)+((COUNTIF('Elève (4ème4)'!KM14:KP14,"C"))*2)+((COUNTIF('Elève (4ème4)'!KM14:KP14,"D"))*1))/(COUNTA(KM14:KP14)),"")</f>
        <v/>
      </c>
      <c r="KR14" s="190" t="str">
        <f t="shared" si="62"/>
        <v/>
      </c>
      <c r="KS14" s="189" t="str">
        <f>IF(COUNT(KE14,KK14,KQ14)=0,"",SUM(KE14,KK14,KQ14)/COUNT(KE14,KK14,KQ14))</f>
        <v/>
      </c>
      <c r="KT14" s="214" t="str">
        <f t="shared" si="63"/>
        <v/>
      </c>
      <c r="KU14" s="127"/>
      <c r="KV14" s="132"/>
      <c r="KW14" s="133"/>
      <c r="KX14" s="189" t="str">
        <f>IFERROR((((COUNTIF('Elève (4ème4)'!KU14:KW14,"A"))*4)+((COUNTIF('Elève (4ème4)'!KU14:KW14,"B"))*3)+((COUNTIF('Elève (4ème4)'!KU14:KW14,"C"))*2)+((COUNTIF('Elève (4ème4)'!KU14:KW14,"D"))*1))/(COUNTA(KU14:KW14)),"")</f>
        <v/>
      </c>
      <c r="KY14" s="190" t="str">
        <f t="shared" si="64"/>
        <v/>
      </c>
      <c r="KZ14" s="134"/>
      <c r="LA14" s="132"/>
      <c r="LB14" s="133"/>
      <c r="LC14" s="133"/>
      <c r="LD14" s="189" t="str">
        <f>IFERROR((((COUNTIF('Elève (4ème4)'!KZ14:LC14,"A"))*4)+((COUNTIF('Elève (4ème4)'!KZ14:LC14,"B"))*3)+((COUNTIF('Elève (4ème4)'!KZ14:LC14,"C"))*2)+((COUNTIF('Elève (4ème4)'!KZ14:LC14,"D"))*1))/(COUNTA(KZ14:LC14)),"")</f>
        <v/>
      </c>
      <c r="LE14" s="190" t="str">
        <f t="shared" si="65"/>
        <v/>
      </c>
      <c r="LF14" s="134"/>
      <c r="LG14" s="132"/>
      <c r="LH14" s="133"/>
      <c r="LI14" s="136"/>
      <c r="LJ14" s="189" t="str">
        <f>IFERROR((((COUNTIF('Elève (4ème4)'!LF14:LI14,"A"))*4)+((COUNTIF('Elève (4ème4)'!LF14:LI14,"B"))*3)+((COUNTIF('Elève (4ème4)'!LF14:LI14,"C"))*2)+((COUNTIF('Elève (4ème4)'!LF14:LI14,"D"))*1))/(COUNTA(LF14:LI14)),"")</f>
        <v/>
      </c>
      <c r="LK14" s="190" t="str">
        <f t="shared" si="66"/>
        <v/>
      </c>
      <c r="LL14" s="189" t="str">
        <f>IF(COUNT(KX14,LD14,LJ14)=0,"",SUM(KX14,LD14,LJ14)/COUNT(KX14,LD14,LJ14))</f>
        <v/>
      </c>
      <c r="LM14" s="214" t="str">
        <f t="shared" si="67"/>
        <v/>
      </c>
      <c r="LN14" s="127"/>
      <c r="LO14" s="132"/>
      <c r="LP14" s="133"/>
      <c r="LQ14" s="189" t="str">
        <f>IFERROR((((COUNTIF('Elève (4ème4)'!LN14:LP14,"A"))*4)+((COUNTIF('Elève (4ème4)'!LN14:LP14,"B"))*3)+((COUNTIF('Elève (4ème4)'!LN14:LP14,"C"))*2)+((COUNTIF('Elève (4ème4)'!LN14:LP14,"D"))*1))/(COUNTA(LN14:LP14)),"")</f>
        <v/>
      </c>
      <c r="LR14" s="190" t="str">
        <f t="shared" si="68"/>
        <v/>
      </c>
      <c r="LS14" s="134"/>
      <c r="LT14" s="132"/>
      <c r="LU14" s="133"/>
      <c r="LV14" s="133"/>
      <c r="LW14" s="189" t="str">
        <f>IFERROR((((COUNTIF('Elève (4ème4)'!LS14:LV14,"A"))*4)+((COUNTIF('Elève (4ème4)'!LS14:LV14,"B"))*3)+((COUNTIF('Elève (4ème4)'!LS14:LV14,"C"))*2)+((COUNTIF('Elève (4ème4)'!LS14:LV14,"D"))*1))/(COUNTA(LS14:LV14)),"")</f>
        <v/>
      </c>
      <c r="LX14" s="190" t="str">
        <f t="shared" si="69"/>
        <v/>
      </c>
      <c r="LY14" s="134"/>
      <c r="LZ14" s="132"/>
      <c r="MA14" s="133"/>
      <c r="MB14" s="136"/>
      <c r="MC14" s="189" t="str">
        <f>IFERROR((((COUNTIF('Elève (4ème4)'!LY14:MB14,"A"))*4)+((COUNTIF('Elève (4ème4)'!LY14:MB14,"B"))*3)+((COUNTIF('Elève (4ème4)'!LY14:MB14,"C"))*2)+((COUNTIF('Elève (4ème4)'!LY14:MB14,"D"))*1))/(COUNTA(LY14:MB14)),"")</f>
        <v/>
      </c>
      <c r="MD14" s="190" t="str">
        <f t="shared" si="70"/>
        <v/>
      </c>
      <c r="ME14" s="189" t="str">
        <f>IF(COUNT(LQ14,LW14,MC14)=0,"",SUM(LQ14,LW14,MC14)/COUNT(LQ14,LW14,MC14))</f>
        <v/>
      </c>
      <c r="MF14" s="214" t="str">
        <f t="shared" si="71"/>
        <v/>
      </c>
      <c r="MG14" s="127"/>
      <c r="MH14" s="132"/>
      <c r="MI14" s="133"/>
      <c r="MJ14" s="189" t="str">
        <f>IFERROR((((COUNTIF('Elève (4ème4)'!MG14:MI14,"A"))*4)+((COUNTIF('Elève (4ème4)'!MG14:MI14,"B"))*3)+((COUNTIF('Elève (4ème4)'!MG14:MI14,"C"))*2)+((COUNTIF('Elève (4ème4)'!MG14:MI14,"D"))*1))/(COUNTA(MG14:MI14)),"")</f>
        <v/>
      </c>
      <c r="MK14" s="190" t="str">
        <f t="shared" si="72"/>
        <v/>
      </c>
      <c r="ML14" s="134"/>
      <c r="MM14" s="132"/>
      <c r="MN14" s="133"/>
      <c r="MO14" s="133"/>
      <c r="MP14" s="189" t="str">
        <f>IFERROR((((COUNTIF('Elève (4ème4)'!ML14:MO14,"A"))*4)+((COUNTIF('Elève (4ème4)'!ML14:MO14,"B"))*3)+((COUNTIF('Elève (4ème4)'!ML14:MO14,"C"))*2)+((COUNTIF('Elève (4ème4)'!ML14:MO14,"D"))*1))/(COUNTA(ML14:MO14)),"")</f>
        <v/>
      </c>
      <c r="MQ14" s="190" t="str">
        <f t="shared" si="73"/>
        <v/>
      </c>
      <c r="MR14" s="134"/>
      <c r="MS14" s="132"/>
      <c r="MT14" s="133"/>
      <c r="MU14" s="136"/>
      <c r="MV14" s="189" t="str">
        <f>IFERROR((((COUNTIF('Elève (4ème4)'!MR14:MU14,"A"))*4)+((COUNTIF('Elève (4ème4)'!MR14:MU14,"B"))*3)+((COUNTIF('Elève (4ème4)'!MR14:MU14,"C"))*2)+((COUNTIF('Elève (4ème4)'!MR14:MU14,"D"))*1))/(COUNTA(MR14:MU14)),"")</f>
        <v/>
      </c>
      <c r="MW14" s="190" t="str">
        <f t="shared" si="74"/>
        <v/>
      </c>
      <c r="MX14" s="189" t="str">
        <f>IF(COUNT(MJ14,MP14,MV14)=0,"",SUM(MJ14,MP14,MV14)/COUNT(MJ14,MP14,MV14))</f>
        <v/>
      </c>
      <c r="MY14" s="214" t="str">
        <f t="shared" si="75"/>
        <v/>
      </c>
      <c r="MZ14" s="127"/>
      <c r="NA14" s="132"/>
      <c r="NB14" s="133"/>
      <c r="NC14" s="189" t="str">
        <f>IFERROR((((COUNTIF('Elève (4ème4)'!MZ14:NB14,"A"))*4)+((COUNTIF('Elève (4ème4)'!MZ14:NB14,"B"))*3)+((COUNTIF('Elève (4ème4)'!MZ14:NB14,"C"))*2)+((COUNTIF('Elève (4ème4)'!MZ14:NB14,"D"))*1))/(COUNTA(MZ14:NB14)),"")</f>
        <v/>
      </c>
      <c r="ND14" s="190" t="str">
        <f t="shared" si="76"/>
        <v/>
      </c>
      <c r="NE14" s="134"/>
      <c r="NF14" s="132"/>
      <c r="NG14" s="133"/>
      <c r="NH14" s="133"/>
      <c r="NI14" s="189" t="str">
        <f>IFERROR((((COUNTIF('Elève (4ème4)'!NE14:NH14,"A"))*4)+((COUNTIF('Elève (4ème4)'!NE14:NH14,"B"))*3)+((COUNTIF('Elève (4ème4)'!NE14:NH14,"C"))*2)+((COUNTIF('Elève (4ème4)'!NE14:NH14,"D"))*1))/(COUNTA(NE14:NH14)),"")</f>
        <v/>
      </c>
      <c r="NJ14" s="190" t="str">
        <f t="shared" si="77"/>
        <v/>
      </c>
      <c r="NK14" s="134"/>
      <c r="NL14" s="132"/>
      <c r="NM14" s="133"/>
      <c r="NN14" s="136"/>
      <c r="NO14" s="189" t="str">
        <f>IFERROR((((COUNTIF('Elève (4ème4)'!NK14:NN14,"A"))*4)+((COUNTIF('Elève (4ème4)'!NK14:NN14,"B"))*3)+((COUNTIF('Elève (4ème4)'!NK14:NN14,"C"))*2)+((COUNTIF('Elève (4ème4)'!NK14:NN14,"D"))*1))/(COUNTA(NK14:NN14)),"")</f>
        <v/>
      </c>
      <c r="NP14" s="190" t="str">
        <f t="shared" si="78"/>
        <v/>
      </c>
      <c r="NQ14" s="189" t="str">
        <f>IF(COUNT(NC14,NI14,NO14)=0,"",SUM(NC14,NI14,NO14)/COUNT(NC14,NI14,NO14))</f>
        <v/>
      </c>
      <c r="NR14" s="214" t="str">
        <f t="shared" si="79"/>
        <v/>
      </c>
      <c r="NS14" s="127"/>
      <c r="NT14" s="132"/>
      <c r="NU14" s="133"/>
      <c r="NV14" s="189" t="str">
        <f>IFERROR((((COUNTIF('Elève (4ème4)'!NS14:NU14,"A"))*4)+((COUNTIF('Elève (4ème4)'!NS14:NU14,"B"))*3)+((COUNTIF('Elève (4ème4)'!NS14:NU14,"C"))*2)+((COUNTIF('Elève (4ème4)'!NS14:NU14,"D"))*1))/(COUNTA(NS14:NU14)),"")</f>
        <v/>
      </c>
      <c r="NW14" s="190" t="str">
        <f t="shared" si="80"/>
        <v/>
      </c>
      <c r="NX14" s="134"/>
      <c r="NY14" s="132"/>
      <c r="NZ14" s="133"/>
      <c r="OA14" s="133"/>
      <c r="OB14" s="189" t="str">
        <f>IFERROR((((COUNTIF('Elève (4ème4)'!NX14:OA14,"A"))*4)+((COUNTIF('Elève (4ème4)'!NX14:OA14,"B"))*3)+((COUNTIF('Elève (4ème4)'!NX14:OA14,"C"))*2)+((COUNTIF('Elève (4ème4)'!NX14:OA14,"D"))*1))/(COUNTA(NX14:OA14)),"")</f>
        <v/>
      </c>
      <c r="OC14" s="190" t="str">
        <f t="shared" si="81"/>
        <v/>
      </c>
      <c r="OD14" s="134"/>
      <c r="OE14" s="132"/>
      <c r="OF14" s="133"/>
      <c r="OG14" s="136"/>
      <c r="OH14" s="189" t="str">
        <f>IFERROR((((COUNTIF('Elève (4ème4)'!OD14:OG14,"A"))*4)+((COUNTIF('Elève (4ème4)'!OD14:OG14,"B"))*3)+((COUNTIF('Elève (4ème4)'!OD14:OG14,"C"))*2)+((COUNTIF('Elève (4ème4)'!OD14:OG14,"D"))*1))/(COUNTA(OD14:OG14)),"")</f>
        <v/>
      </c>
      <c r="OI14" s="190" t="str">
        <f t="shared" si="82"/>
        <v/>
      </c>
      <c r="OJ14" s="189" t="str">
        <f>IF(COUNT(NV14,OB14,OH14)=0,"",SUM(NV14,OB14,OH14)/COUNT(NV14,OB14,OH14))</f>
        <v/>
      </c>
      <c r="OK14" s="214" t="str">
        <f t="shared" si="83"/>
        <v/>
      </c>
      <c r="OL14" s="127"/>
      <c r="OM14" s="132"/>
      <c r="ON14" s="133"/>
      <c r="OO14" s="189" t="str">
        <f>IFERROR((((COUNTIF('Elève (4ème4)'!OL14:ON14,"A"))*4)+((COUNTIF('Elève (4ème4)'!OL14:ON14,"B"))*3)+((COUNTIF('Elève (4ème4)'!OL14:ON14,"C"))*2)+((COUNTIF('Elève (4ème4)'!OL14:ON14,"D"))*1))/(COUNTA(OL14:ON14)),"")</f>
        <v/>
      </c>
      <c r="OP14" s="190" t="str">
        <f t="shared" si="84"/>
        <v/>
      </c>
      <c r="OQ14" s="134"/>
      <c r="OR14" s="132"/>
      <c r="OS14" s="133"/>
      <c r="OT14" s="133"/>
      <c r="OU14" s="189" t="str">
        <f>IFERROR((((COUNTIF('Elève (4ème4)'!OQ14:OT14,"A"))*4)+((COUNTIF('Elève (4ème4)'!OQ14:OT14,"B"))*3)+((COUNTIF('Elève (4ème4)'!OQ14:OT14,"C"))*2)+((COUNTIF('Elève (4ème4)'!OQ14:OT14,"D"))*1))/(COUNTA(OQ14:OT14)),"")</f>
        <v/>
      </c>
      <c r="OV14" s="190" t="str">
        <f t="shared" si="85"/>
        <v/>
      </c>
      <c r="OW14" s="134"/>
      <c r="OX14" s="132"/>
      <c r="OY14" s="133"/>
      <c r="OZ14" s="136"/>
      <c r="PA14" s="189" t="str">
        <f>IFERROR((((COUNTIF('Elève (4ème4)'!OW14:OZ14,"A"))*4)+((COUNTIF('Elève (4ème4)'!OW14:OZ14,"B"))*3)+((COUNTIF('Elève (4ème4)'!OW14:OZ14,"C"))*2)+((COUNTIF('Elève (4ème4)'!OW14:OZ14,"D"))*1))/(COUNTA(OW14:OZ14)),"")</f>
        <v/>
      </c>
      <c r="PB14" s="190" t="str">
        <f t="shared" si="86"/>
        <v/>
      </c>
      <c r="PC14" s="189" t="str">
        <f>IF(COUNT(OO14,OU14,PA14)=0,"",SUM(OO14,OU14,PA14)/COUNT(OO14,OU14,PA14))</f>
        <v/>
      </c>
      <c r="PD14" s="214" t="str">
        <f t="shared" si="87"/>
        <v/>
      </c>
      <c r="PE14" s="127"/>
      <c r="PF14" s="132"/>
      <c r="PG14" s="133"/>
      <c r="PH14" s="189" t="str">
        <f>IFERROR((((COUNTIF('Elève (4ème4)'!PE14:PG14,"A"))*4)+((COUNTIF('Elève (4ème4)'!PE14:PG14,"B"))*3)+((COUNTIF('Elève (4ème4)'!PE14:PG14,"C"))*2)+((COUNTIF('Elève (4ème4)'!PE14:PG14,"D"))*1))/(COUNTA(PE14:PG14)),"")</f>
        <v/>
      </c>
      <c r="PI14" s="190" t="str">
        <f t="shared" si="88"/>
        <v/>
      </c>
      <c r="PJ14" s="134"/>
      <c r="PK14" s="132"/>
      <c r="PL14" s="133"/>
      <c r="PM14" s="133"/>
      <c r="PN14" s="189" t="str">
        <f>IFERROR((((COUNTIF('Elève (4ème4)'!PJ14:PM14,"A"))*4)+((COUNTIF('Elève (4ème4)'!PJ14:PM14,"B"))*3)+((COUNTIF('Elève (4ème4)'!PJ14:PM14,"C"))*2)+((COUNTIF('Elève (4ème4)'!PJ14:PM14,"D"))*1))/(COUNTA(PJ14:PM14)),"")</f>
        <v/>
      </c>
      <c r="PO14" s="190" t="str">
        <f t="shared" si="89"/>
        <v/>
      </c>
      <c r="PP14" s="134"/>
      <c r="PQ14" s="132"/>
      <c r="PR14" s="133"/>
      <c r="PS14" s="136"/>
      <c r="PT14" s="189" t="str">
        <f>IFERROR((((COUNTIF('Elève (4ème4)'!PP14:PS14,"A"))*4)+((COUNTIF('Elève (4ème4)'!PP14:PS14,"B"))*3)+((COUNTIF('Elève (4ème4)'!PP14:PS14,"C"))*2)+((COUNTIF('Elève (4ème4)'!PP14:PS14,"D"))*1))/(COUNTA(PP14:PS14)),"")</f>
        <v/>
      </c>
      <c r="PU14" s="190" t="str">
        <f t="shared" si="90"/>
        <v/>
      </c>
      <c r="PV14" s="189" t="str">
        <f>IF(COUNT(PH14,PN14,PT14)=0,"",SUM(PH14,PN14,PT14)/COUNT(PH14,PN14,PT14))</f>
        <v/>
      </c>
      <c r="PW14" s="214" t="str">
        <f t="shared" si="91"/>
        <v/>
      </c>
      <c r="PX14" s="127"/>
      <c r="PY14" s="132"/>
      <c r="PZ14" s="133"/>
      <c r="QA14" s="189" t="str">
        <f>IFERROR((((COUNTIF('Elève (4ème4)'!PX14:PZ14,"A"))*4)+((COUNTIF('Elève (4ème4)'!PX14:PZ14,"B"))*3)+((COUNTIF('Elève (4ème4)'!PX14:PZ14,"C"))*2)+((COUNTIF('Elève (4ème4)'!PX14:PZ14,"D"))*1))/(COUNTA(PX14:PZ14)),"")</f>
        <v/>
      </c>
      <c r="QB14" s="190" t="str">
        <f t="shared" si="92"/>
        <v/>
      </c>
      <c r="QC14" s="134"/>
      <c r="QD14" s="132"/>
      <c r="QE14" s="133"/>
      <c r="QF14" s="133"/>
      <c r="QG14" s="189" t="str">
        <f>IFERROR((((COUNTIF('Elève (4ème4)'!QC14:QF14,"A"))*4)+((COUNTIF('Elève (4ème4)'!QC14:QF14,"B"))*3)+((COUNTIF('Elève (4ème4)'!QC14:QF14,"C"))*2)+((COUNTIF('Elève (4ème4)'!QC14:QF14,"D"))*1))/(COUNTA(QC14:QF14)),"")</f>
        <v/>
      </c>
      <c r="QH14" s="190" t="str">
        <f t="shared" si="93"/>
        <v/>
      </c>
      <c r="QI14" s="134"/>
      <c r="QJ14" s="132"/>
      <c r="QK14" s="133"/>
      <c r="QL14" s="136"/>
      <c r="QM14" s="189" t="str">
        <f>IFERROR((((COUNTIF('Elève (4ème4)'!QI14:QL14,"A"))*4)+((COUNTIF('Elève (4ème4)'!QI14:QL14,"B"))*3)+((COUNTIF('Elève (4ème4)'!QI14:QL14,"C"))*2)+((COUNTIF('Elève (4ème4)'!QI14:QL14,"D"))*1))/(COUNTA(QI14:QL14)),"")</f>
        <v/>
      </c>
      <c r="QN14" s="190" t="str">
        <f t="shared" si="94"/>
        <v/>
      </c>
      <c r="QO14" s="189" t="str">
        <f>IF(COUNT(QA14,QG14,QM14)=0,"",SUM(QA14,QG14,QM14)/COUNT(QA14,QG14,QM14))</f>
        <v/>
      </c>
      <c r="QP14" s="214" t="str">
        <f t="shared" si="95"/>
        <v/>
      </c>
      <c r="QQ14" s="127"/>
      <c r="QR14" s="132"/>
      <c r="QS14" s="133"/>
      <c r="QT14" s="189" t="str">
        <f>IFERROR((((COUNTIF('Elève (4ème4)'!QQ14:QS14,"A"))*4)+((COUNTIF('Elève (4ème4)'!QQ14:QS14,"B"))*3)+((COUNTIF('Elève (4ème4)'!QQ14:QS14,"C"))*2)+((COUNTIF('Elève (4ème4)'!QQ14:QS14,"D"))*1))/(COUNTA(QQ14:QS14)),"")</f>
        <v/>
      </c>
      <c r="QU14" s="190" t="str">
        <f t="shared" si="96"/>
        <v/>
      </c>
      <c r="QV14" s="134"/>
      <c r="QW14" s="132"/>
      <c r="QX14" s="133"/>
      <c r="QY14" s="133"/>
      <c r="QZ14" s="189" t="str">
        <f>IFERROR((((COUNTIF('Elève (4ème4)'!QV14:QY14,"A"))*4)+((COUNTIF('Elève (4ème4)'!QV14:QY14,"B"))*3)+((COUNTIF('Elève (4ème4)'!QV14:QY14,"C"))*2)+((COUNTIF('Elève (4ème4)'!QV14:QY14,"D"))*1))/(COUNTA(QV14:QY14)),"")</f>
        <v/>
      </c>
      <c r="RA14" s="190" t="str">
        <f t="shared" si="97"/>
        <v/>
      </c>
      <c r="RB14" s="134"/>
      <c r="RC14" s="132"/>
      <c r="RD14" s="133"/>
      <c r="RE14" s="136"/>
      <c r="RF14" s="189" t="str">
        <f>IFERROR((((COUNTIF('Elève (4ème4)'!RB14:RE14,"A"))*4)+((COUNTIF('Elève (4ème4)'!RB14:RE14,"B"))*3)+((COUNTIF('Elève (4ème4)'!RB14:RE14,"C"))*2)+((COUNTIF('Elève (4ème4)'!RB14:RE14,"D"))*1))/(COUNTA(RB14:RE14)),"")</f>
        <v/>
      </c>
      <c r="RG14" s="190" t="str">
        <f t="shared" si="98"/>
        <v/>
      </c>
      <c r="RH14" s="189" t="str">
        <f>IF(COUNT(QT14,QZ14,RF14)=0,"",SUM(QT14,QZ14,RF14)/COUNT(QT14,QZ14,RF14))</f>
        <v/>
      </c>
      <c r="RI14" s="214" t="str">
        <f t="shared" si="99"/>
        <v/>
      </c>
      <c r="RJ14" s="127"/>
      <c r="RK14" s="132"/>
      <c r="RL14" s="133"/>
      <c r="RM14" s="189" t="str">
        <f>IFERROR((((COUNTIF('Elève (4ème4)'!RJ14:RL14,"A"))*4)+((COUNTIF('Elève (4ème4)'!RJ14:RL14,"B"))*3)+((COUNTIF('Elève (4ème4)'!RJ14:RL14,"C"))*2)+((COUNTIF('Elève (4ème4)'!RJ14:RL14,"D"))*1))/(COUNTA(RJ14:RL14)),"")</f>
        <v/>
      </c>
      <c r="RN14" s="190" t="str">
        <f t="shared" si="100"/>
        <v/>
      </c>
      <c r="RO14" s="134"/>
      <c r="RP14" s="132"/>
      <c r="RQ14" s="133"/>
      <c r="RR14" s="133"/>
      <c r="RS14" s="189" t="str">
        <f>IFERROR((((COUNTIF('Elève (4ème4)'!RO14:RR14,"A"))*4)+((COUNTIF('Elève (4ème4)'!RO14:RR14,"B"))*3)+((COUNTIF('Elève (4ème4)'!RO14:RR14,"C"))*2)+((COUNTIF('Elève (4ème4)'!RO14:RR14,"D"))*1))/(COUNTA(RO14:RR14)),"")</f>
        <v/>
      </c>
      <c r="RT14" s="190" t="str">
        <f t="shared" si="101"/>
        <v/>
      </c>
      <c r="RU14" s="134"/>
      <c r="RV14" s="132"/>
      <c r="RW14" s="133"/>
      <c r="RX14" s="136"/>
      <c r="RY14" s="189" t="str">
        <f>IFERROR((((COUNTIF('Elève (4ème4)'!RU14:RX14,"A"))*4)+((COUNTIF('Elève (4ème4)'!RU14:RX14,"B"))*3)+((COUNTIF('Elève (4ème4)'!RU14:RX14,"C"))*2)+((COUNTIF('Elève (4ème4)'!RU14:RX14,"D"))*1))/(COUNTA(RU14:RX14)),"")</f>
        <v/>
      </c>
      <c r="RZ14" s="190" t="str">
        <f t="shared" si="102"/>
        <v/>
      </c>
      <c r="SA14" s="189" t="str">
        <f>IF(COUNT(RM14,RS14,RY14)=0,"",SUM(RM14,RS14,RY14)/COUNT(RM14,RS14,RY14))</f>
        <v/>
      </c>
      <c r="SB14" s="214" t="str">
        <f t="shared" si="103"/>
        <v/>
      </c>
      <c r="SC14" s="134"/>
      <c r="SD14" s="132"/>
      <c r="SE14" s="133"/>
      <c r="SF14" s="121" t="str">
        <f>IFERROR((((COUNTIF('Elève (4ème4)'!SC14:SE14,"A"))*4)+((COUNTIF('Elève (4ème4)'!SC14:SE14,"B"))*3)+((COUNTIF('Elève (4ème4)'!SC14:SE14,"C"))*2)+((COUNTIF('Elève (4ème4)'!SC14:SE14,"D"))*1))/(COUNTA(SC14:SE14)),"")</f>
        <v/>
      </c>
      <c r="SG14" s="122" t="str">
        <f t="shared" si="104"/>
        <v/>
      </c>
      <c r="SH14" s="134"/>
      <c r="SI14" s="132"/>
      <c r="SJ14" s="133"/>
      <c r="SK14" s="121" t="str">
        <f>IFERROR((((COUNTIF('Elève (4ème4)'!SH14:SJ14,"A"))*4)+((COUNTIF('Elève (4ème4)'!SH14:SJ14,"B"))*3)+((COUNTIF('Elève (4ème4)'!SH14:SJ14,"C"))*2)+((COUNTIF('Elève (4ème4)'!SH14:SJ14,"D"))*1))/(COUNTA(SH14:SJ14)),"")</f>
        <v/>
      </c>
      <c r="SL14" s="122" t="str">
        <f t="shared" si="105"/>
        <v/>
      </c>
      <c r="SM14" s="134"/>
      <c r="SN14" s="132"/>
      <c r="SO14" s="136"/>
      <c r="SP14" s="121" t="str">
        <f>IFERROR((((COUNTIF('Elève (4ème4)'!SM14:SO14,"A"))*4)+((COUNTIF('Elève (4ème4)'!SM14:SO14,"B"))*3)+((COUNTIF('Elève (4ème4)'!SM14:SO14,"C"))*2)+((COUNTIF('Elève (4ème4)'!SM14:SO14,"D"))*1))/(COUNTA(SM14:SO14)),"")</f>
        <v/>
      </c>
      <c r="SQ14" s="122" t="str">
        <f t="shared" si="106"/>
        <v/>
      </c>
      <c r="SR14" s="121" t="str">
        <f>IF(COUNT(SF14,SK14,SP14)=0,"",SUM(SF14,SK14,SP14)/COUNT(SF14,SK14,SP14))</f>
        <v/>
      </c>
      <c r="SS14" s="125" t="str">
        <f t="shared" si="107"/>
        <v/>
      </c>
      <c r="ST14" s="134"/>
      <c r="SU14" s="132"/>
      <c r="SV14" s="133"/>
      <c r="SW14" s="121" t="str">
        <f>IFERROR((((COUNTIF('Elève (4ème4)'!ST14:SV14,"A"))*4)+((COUNTIF('Elève (4ème4)'!ST14:SV14,"B"))*3)+((COUNTIF('Elève (4ème4)'!ST14:SV14,"C"))*2)+((COUNTIF('Elève (4ème4)'!ST14:SV14,"D"))*1))/(COUNTA(ST14:SV14)),"")</f>
        <v/>
      </c>
      <c r="SX14" s="122" t="str">
        <f t="shared" si="108"/>
        <v/>
      </c>
      <c r="SY14" s="134"/>
      <c r="SZ14" s="132"/>
      <c r="TA14" s="133"/>
      <c r="TB14" s="121" t="str">
        <f>IFERROR((((COUNTIF('Elève (4ème4)'!SY14:TA14,"A"))*4)+((COUNTIF('Elève (4ème4)'!SY14:TA14,"B"))*3)+((COUNTIF('Elève (4ème4)'!SY14:TA14,"C"))*2)+((COUNTIF('Elève (4ème4)'!SY14:TA14,"D"))*1))/(COUNTA(SY14:TA14)),"")</f>
        <v/>
      </c>
      <c r="TC14" s="122" t="str">
        <f t="shared" si="109"/>
        <v/>
      </c>
      <c r="TD14" s="134"/>
      <c r="TE14" s="132"/>
      <c r="TF14" s="136"/>
      <c r="TG14" s="121" t="str">
        <f>IFERROR((((COUNTIF('Elève (4ème4)'!TD14:TF14,"A"))*4)+((COUNTIF('Elève (4ème4)'!TD14:TF14,"B"))*3)+((COUNTIF('Elève (4ème4)'!TD14:TF14,"C"))*2)+((COUNTIF('Elève (4ème4)'!TD14:TF14,"D"))*1))/(COUNTA(TD14:TF14)),"")</f>
        <v/>
      </c>
      <c r="TH14" s="122" t="str">
        <f t="shared" si="110"/>
        <v/>
      </c>
      <c r="TI14" s="121" t="str">
        <f>IF(COUNT(SW14,TB14,TG14)=0,"",SUM(SW14,TB14,TG14)/COUNT(SW14,TB14,TG14))</f>
        <v/>
      </c>
      <c r="TJ14" s="125" t="str">
        <f t="shared" si="111"/>
        <v/>
      </c>
      <c r="TK14" s="134"/>
      <c r="TL14" s="132"/>
      <c r="TM14" s="133"/>
      <c r="TN14" s="121" t="str">
        <f>IFERROR((((COUNTIF('Elève (4ème4)'!TK14:TM14,"A"))*4)+((COUNTIF('Elève (4ème4)'!TK14:TM14,"B"))*3)+((COUNTIF('Elève (4ème4)'!TK14:TM14,"C"))*2)+((COUNTIF('Elève (4ème4)'!TK14:TM14,"D"))*1))/(COUNTA(TK14:TM14)),"")</f>
        <v/>
      </c>
      <c r="TO14" s="122" t="str">
        <f t="shared" si="112"/>
        <v/>
      </c>
      <c r="TP14" s="134"/>
      <c r="TQ14" s="132"/>
      <c r="TR14" s="133"/>
      <c r="TS14" s="121" t="str">
        <f>IFERROR((((COUNTIF('Elève (4ème4)'!TP14:TR14,"A"))*4)+((COUNTIF('Elève (4ème4)'!TP14:TR14,"B"))*3)+((COUNTIF('Elève (4ème4)'!TP14:TR14,"C"))*2)+((COUNTIF('Elève (4ème4)'!TP14:TR14,"D"))*1))/(COUNTA(TP14:TR14)),"")</f>
        <v/>
      </c>
      <c r="TT14" s="122" t="str">
        <f t="shared" si="113"/>
        <v/>
      </c>
      <c r="TU14" s="134"/>
      <c r="TV14" s="132"/>
      <c r="TW14" s="136"/>
      <c r="TX14" s="121" t="str">
        <f>IFERROR((((COUNTIF('Elève (4ème4)'!TU14:TW14,"A"))*4)+((COUNTIF('Elève (4ème4)'!TU14:TW14,"B"))*3)+((COUNTIF('Elève (4ème4)'!TU14:TW14,"C"))*2)+((COUNTIF('Elève (4ème4)'!TU14:TW14,"D"))*1))/(COUNTA(TU14:TW14)),"")</f>
        <v/>
      </c>
      <c r="TY14" s="122" t="str">
        <f t="shared" si="114"/>
        <v/>
      </c>
      <c r="TZ14" s="121" t="str">
        <f>IF(COUNT(TN14,TS14,TX14)=0,"",SUM(TN14,TS14,TX14)/COUNT(TN14,TS14,TX14))</f>
        <v/>
      </c>
      <c r="UA14" s="125" t="str">
        <f t="shared" si="115"/>
        <v/>
      </c>
      <c r="UB14" s="134"/>
      <c r="UC14" s="132"/>
      <c r="UD14" s="133"/>
      <c r="UE14" s="121" t="str">
        <f>IFERROR((((COUNTIF('Elève (4ème4)'!UB14:UD14,"A"))*4)+((COUNTIF('Elève (4ème4)'!UB14:UD14,"B"))*3)+((COUNTIF('Elève (4ème4)'!UB14:UD14,"C"))*2)+((COUNTIF('Elève (4ème4)'!UB14:UD14,"D"))*1))/(COUNTA(UB14:UD14)),"")</f>
        <v/>
      </c>
      <c r="UF14" s="122" t="str">
        <f t="shared" si="116"/>
        <v/>
      </c>
      <c r="UG14" s="134"/>
      <c r="UH14" s="132"/>
      <c r="UI14" s="133"/>
      <c r="UJ14" s="121" t="str">
        <f>IFERROR((((COUNTIF('Elève (4ème4)'!UG14:UI14,"A"))*4)+((COUNTIF('Elève (4ème4)'!UG14:UI14,"B"))*3)+((COUNTIF('Elève (4ème4)'!UG14:UI14,"C"))*2)+((COUNTIF('Elève (4ème4)'!UG14:UI14,"D"))*1))/(COUNTA(UG14:UI14)),"")</f>
        <v/>
      </c>
      <c r="UK14" s="122" t="str">
        <f t="shared" si="117"/>
        <v/>
      </c>
      <c r="UL14" s="134"/>
      <c r="UM14" s="132"/>
      <c r="UN14" s="136"/>
      <c r="UO14" s="121" t="str">
        <f>IFERROR((((COUNTIF('Elève (4ème4)'!UL14:UN14,"A"))*4)+((COUNTIF('Elève (4ème4)'!UL14:UN14,"B"))*3)+((COUNTIF('Elève (4ème4)'!UL14:UN14,"C"))*2)+((COUNTIF('Elève (4ème4)'!UL14:UN14,"D"))*1))/(COUNTA(UL14:UN14)),"")</f>
        <v/>
      </c>
      <c r="UP14" s="122" t="str">
        <f t="shared" si="118"/>
        <v/>
      </c>
      <c r="UQ14" s="121" t="str">
        <f>IF(COUNT(UE14,UJ14,UO14)=0,"",SUM(UE14,UJ14,UO14)/COUNT(UE14,UJ14,UO14))</f>
        <v/>
      </c>
      <c r="UR14" s="125" t="str">
        <f t="shared" si="119"/>
        <v/>
      </c>
    </row>
    <row r="15" spans="1:564" ht="18" customHeight="1" thickBot="1" x14ac:dyDescent="0.3">
      <c r="A15" s="254" t="s">
        <v>21</v>
      </c>
      <c r="B15" s="255"/>
      <c r="C15" s="137"/>
      <c r="D15" s="138"/>
      <c r="E15" s="139"/>
      <c r="F15" s="193" t="str">
        <f>IFERROR((((COUNTIF('Elève (4ème4)'!C15:E15,"A"))*4)+((COUNTIF('Elève (4ème4)'!C15:E15,"B"))*3)+((COUNTIF('Elève (4ème4)'!C15:E15,"C"))*2)+((COUNTIF('Elève (4ème4)'!C15:E15,"D"))*1))/(COUNTA(C15:E15)),"")</f>
        <v/>
      </c>
      <c r="G15" s="194" t="str">
        <f t="shared" si="0"/>
        <v/>
      </c>
      <c r="H15" s="137"/>
      <c r="I15" s="138"/>
      <c r="J15" s="229" t="s">
        <v>29</v>
      </c>
      <c r="K15" s="139"/>
      <c r="L15" s="193">
        <f>IFERROR((((COUNTIF('Elève (4ème4)'!H15:K15,"A"))*4)+((COUNTIF('Elève (4ème4)'!H15:K15,"B"))*3)+((COUNTIF('Elève (4ème4)'!H15:K15,"C"))*2)+((COUNTIF('Elève (4ème4)'!H15:K15,"D"))*1))/(COUNTA(H15:K15)),"")</f>
        <v>4</v>
      </c>
      <c r="M15" s="194" t="str">
        <f t="shared" si="1"/>
        <v>A</v>
      </c>
      <c r="N15" s="137"/>
      <c r="O15" s="138"/>
      <c r="P15" s="139"/>
      <c r="Q15" s="139"/>
      <c r="R15" s="193" t="str">
        <f>IFERROR((((COUNTIF('Elève (4ème4)'!N15:Q15,"A"))*4)+((COUNTIF('Elève (4ème4)'!N15:Q15,"B"))*3)+((COUNTIF('Elève (4ème4)'!N15:Q15,"C"))*2)+((COUNTIF('Elève (4ème4)'!N15:Q15,"D"))*1))/(COUNTA(N15:Q15)),"")</f>
        <v/>
      </c>
      <c r="S15" s="194" t="str">
        <f t="shared" si="2"/>
        <v/>
      </c>
      <c r="T15" s="218">
        <f>IF(COUNT(F15,L15,R15)=0,"",SUM(F15,L15,R15)/COUNT(F15,L15,R15))</f>
        <v>4</v>
      </c>
      <c r="U15" s="216" t="str">
        <f t="shared" si="3"/>
        <v>A</v>
      </c>
      <c r="V15" s="137"/>
      <c r="W15" s="138"/>
      <c r="X15" s="139"/>
      <c r="Y15" s="193" t="str">
        <f>IFERROR((((COUNTIF('Elève (4ème4)'!V15:X15,"A"))*4)+((COUNTIF('Elève (4ème4)'!V15:X15,"B"))*3)+((COUNTIF('Elève (4ème4)'!V15:X15,"C"))*2)+((COUNTIF('Elève (4ème4)'!V15:X15,"D"))*1))/(COUNTA(V15:X15)),"")</f>
        <v/>
      </c>
      <c r="Z15" s="194" t="str">
        <f t="shared" si="4"/>
        <v/>
      </c>
      <c r="AA15" s="137"/>
      <c r="AB15" s="138"/>
      <c r="AC15" s="229" t="s">
        <v>29</v>
      </c>
      <c r="AD15" s="139"/>
      <c r="AE15" s="193">
        <f>IFERROR((((COUNTIF('Elève (4ème4)'!AA15:AD15,"A"))*4)+((COUNTIF('Elève (4ème4)'!AA15:AD15,"B"))*3)+((COUNTIF('Elève (4ème4)'!AA15:AD15,"C"))*2)+((COUNTIF('Elève (4ème4)'!AA15:AD15,"D"))*1))/(COUNTA(AA15:AD15)),"")</f>
        <v>4</v>
      </c>
      <c r="AF15" s="194" t="str">
        <f t="shared" si="5"/>
        <v>A</v>
      </c>
      <c r="AG15" s="137"/>
      <c r="AH15" s="138"/>
      <c r="AI15" s="139"/>
      <c r="AJ15" s="143"/>
      <c r="AK15" s="193" t="str">
        <f>IFERROR((((COUNTIF('Elève (4ème4)'!AG15:AJ15,"A"))*4)+((COUNTIF('Elève (4ème4)'!AG15:AJ15,"B"))*3)+((COUNTIF('Elève (4ème4)'!AG15:AJ15,"C"))*2)+((COUNTIF('Elève (4ème4)'!AG15:AJ15,"D"))*1))/(COUNTA(AG15:AJ15)),"")</f>
        <v/>
      </c>
      <c r="AL15" s="194" t="str">
        <f t="shared" si="6"/>
        <v/>
      </c>
      <c r="AM15" s="218">
        <f>IF(COUNT(Y15,AE15,AK15)=0,"",SUM(Y15,AE15,AK15)/COUNT(Y15,AE15,AK15))</f>
        <v>4</v>
      </c>
      <c r="AN15" s="216" t="str">
        <f t="shared" si="7"/>
        <v>A</v>
      </c>
      <c r="AO15" s="137"/>
      <c r="AP15" s="138"/>
      <c r="AQ15" s="139"/>
      <c r="AR15" s="193" t="str">
        <f>IFERROR((((COUNTIF('Elève (4ème4)'!AO15:AQ15,"A"))*4)+((COUNTIF('Elève (4ème4)'!AO15:AQ15,"B"))*3)+((COUNTIF('Elève (4ème4)'!AO15:AQ15,"C"))*2)+((COUNTIF('Elève (4ème4)'!AO15:AQ15,"D"))*1))/(COUNTA(AO15:AQ15)),"")</f>
        <v/>
      </c>
      <c r="AS15" s="194" t="str">
        <f t="shared" si="8"/>
        <v/>
      </c>
      <c r="AT15" s="137"/>
      <c r="AU15" s="138"/>
      <c r="AV15" s="229" t="s">
        <v>29</v>
      </c>
      <c r="AW15" s="139"/>
      <c r="AX15" s="193">
        <f>IFERROR((((COUNTIF('Elève (4ème4)'!AT15:AW15,"A"))*4)+((COUNTIF('Elève (4ème4)'!AT15:AW15,"B"))*3)+((COUNTIF('Elève (4ème4)'!AT15:AW15,"C"))*2)+((COUNTIF('Elève (4ème4)'!AT15:AW15,"D"))*1))/(COUNTA(AT15:AW15)),"")</f>
        <v>4</v>
      </c>
      <c r="AY15" s="194" t="str">
        <f t="shared" si="9"/>
        <v>A</v>
      </c>
      <c r="AZ15" s="137"/>
      <c r="BA15" s="138"/>
      <c r="BB15" s="139"/>
      <c r="BC15" s="143"/>
      <c r="BD15" s="193" t="str">
        <f>IFERROR((((COUNTIF('Elève (4ème4)'!AZ15:BC15,"A"))*4)+((COUNTIF('Elève (4ème4)'!AZ15:BC15,"B"))*3)+((COUNTIF('Elève (4ème4)'!AZ15:BC15,"C"))*2)+((COUNTIF('Elève (4ème4)'!AZ15:BC15,"D"))*1))/(COUNTA(AZ15:BC15)),"")</f>
        <v/>
      </c>
      <c r="BE15" s="194" t="str">
        <f t="shared" si="10"/>
        <v/>
      </c>
      <c r="BF15" s="218">
        <f>IF(COUNT(AR15,AX15,BD15)=0,"",SUM(AR15,AX15,BD15)/COUNT(AR15,AX15,BD15))</f>
        <v>4</v>
      </c>
      <c r="BG15" s="216" t="str">
        <f t="shared" si="11"/>
        <v>A</v>
      </c>
      <c r="BH15" s="137" t="s">
        <v>29</v>
      </c>
      <c r="BI15" s="138"/>
      <c r="BJ15" s="139"/>
      <c r="BK15" s="193">
        <f>IFERROR((((COUNTIF('Elève (4ème4)'!BH15:BJ15,"A"))*4)+((COUNTIF('Elève (4ème4)'!BH15:BJ15,"B"))*3)+((COUNTIF('Elève (4ème4)'!BH15:BJ15,"C"))*2)+((COUNTIF('Elève (4ème4)'!BH15:BJ15,"D"))*1))/(COUNTA(BH15:BJ15)),"")</f>
        <v>4</v>
      </c>
      <c r="BL15" s="194" t="str">
        <f t="shared" si="12"/>
        <v>A</v>
      </c>
      <c r="BM15" s="137"/>
      <c r="BN15" s="138"/>
      <c r="BO15" s="229" t="s">
        <v>29</v>
      </c>
      <c r="BP15" s="139"/>
      <c r="BQ15" s="193">
        <f>IFERROR((((COUNTIF('Elève (4ème4)'!BM15:BP15,"A"))*4)+((COUNTIF('Elève (4ème4)'!BM15:BP15,"B"))*3)+((COUNTIF('Elève (4ème4)'!BM15:BP15,"C"))*2)+((COUNTIF('Elève (4ème4)'!BM15:BP15,"D"))*1))/(COUNTA(BM15:BP15)),"")</f>
        <v>4</v>
      </c>
      <c r="BR15" s="194" t="str">
        <f t="shared" si="13"/>
        <v>A</v>
      </c>
      <c r="BS15" s="137"/>
      <c r="BT15" s="138"/>
      <c r="BU15" s="139"/>
      <c r="BV15" s="143"/>
      <c r="BW15" s="193" t="str">
        <f>IFERROR((((COUNTIF('Elève (4ème4)'!BS15:BV15,"A"))*4)+((COUNTIF('Elève (4ème4)'!BS15:BV15,"B"))*3)+((COUNTIF('Elève (4ème4)'!BS15:BV15,"C"))*2)+((COUNTIF('Elève (4ème4)'!BS15:BV15,"D"))*1))/(COUNTA(BS15:BV15)),"")</f>
        <v/>
      </c>
      <c r="BX15" s="194" t="str">
        <f t="shared" si="14"/>
        <v/>
      </c>
      <c r="BY15" s="218">
        <f>IF(COUNT(BK15,BQ15,BW15)=0,"",SUM(BK15,BQ15,BW15)/COUNT(BK15,BQ15,BW15))</f>
        <v>4</v>
      </c>
      <c r="BZ15" s="216" t="str">
        <f t="shared" si="15"/>
        <v>A</v>
      </c>
      <c r="CA15" s="137" t="s">
        <v>29</v>
      </c>
      <c r="CB15" s="138"/>
      <c r="CC15" s="139"/>
      <c r="CD15" s="193">
        <f>IFERROR((((COUNTIF('Elève (4ème4)'!CA15:CC15,"A"))*4)+((COUNTIF('Elève (4ème4)'!CA15:CC15,"B"))*3)+((COUNTIF('Elève (4ème4)'!CA15:CC15,"C"))*2)+((COUNTIF('Elève (4ème4)'!CA15:CC15,"D"))*1))/(COUNTA(CA15:CC15)),"")</f>
        <v>4</v>
      </c>
      <c r="CE15" s="194" t="str">
        <f t="shared" si="16"/>
        <v>A</v>
      </c>
      <c r="CF15" s="137"/>
      <c r="CG15" s="138"/>
      <c r="CH15" s="229" t="s">
        <v>29</v>
      </c>
      <c r="CI15" s="139"/>
      <c r="CJ15" s="193">
        <f>IFERROR((((COUNTIF('Elève (4ème4)'!CF15:CI15,"A"))*4)+((COUNTIF('Elève (4ème4)'!CF15:CI15,"B"))*3)+((COUNTIF('Elève (4ème4)'!CF15:CI15,"C"))*2)+((COUNTIF('Elève (4ème4)'!CF15:CI15,"D"))*1))/(COUNTA(CF15:CI15)),"")</f>
        <v>4</v>
      </c>
      <c r="CK15" s="194" t="str">
        <f t="shared" si="17"/>
        <v>A</v>
      </c>
      <c r="CL15" s="137"/>
      <c r="CM15" s="138"/>
      <c r="CN15" s="139"/>
      <c r="CO15" s="143"/>
      <c r="CP15" s="193" t="str">
        <f>IFERROR((((COUNTIF('Elève (4ème4)'!CL15:CO15,"A"))*4)+((COUNTIF('Elève (4ème4)'!CL15:CO15,"B"))*3)+((COUNTIF('Elève (4ème4)'!CL15:CO15,"C"))*2)+((COUNTIF('Elève (4ème4)'!CL15:CO15,"D"))*1))/(COUNTA(CL15:CO15)),"")</f>
        <v/>
      </c>
      <c r="CQ15" s="194" t="str">
        <f t="shared" si="18"/>
        <v/>
      </c>
      <c r="CR15" s="218">
        <f>IF(COUNT(CD15,CJ15,CP15)=0,"",SUM(CD15,CJ15,CP15)/COUNT(CD15,CJ15,CP15))</f>
        <v>4</v>
      </c>
      <c r="CS15" s="216" t="str">
        <f t="shared" si="19"/>
        <v>A</v>
      </c>
      <c r="CT15" s="137" t="s">
        <v>29</v>
      </c>
      <c r="CU15" s="138"/>
      <c r="CV15" s="139"/>
      <c r="CW15" s="193">
        <f>IFERROR((((COUNTIF('Elève (4ème4)'!CT15:CV15,"A"))*4)+((COUNTIF('Elève (4ème4)'!CT15:CV15,"B"))*3)+((COUNTIF('Elève (4ème4)'!CT15:CV15,"C"))*2)+((COUNTIF('Elève (4ème4)'!CT15:CV15,"D"))*1))/(COUNTA(CT15:CV15)),"")</f>
        <v>4</v>
      </c>
      <c r="CX15" s="194" t="str">
        <f t="shared" si="20"/>
        <v>A</v>
      </c>
      <c r="CY15" s="137"/>
      <c r="CZ15" s="138"/>
      <c r="DA15" s="229" t="s">
        <v>29</v>
      </c>
      <c r="DB15" s="139"/>
      <c r="DC15" s="193">
        <f>IFERROR((((COUNTIF('Elève (4ème4)'!CY15:DB15,"A"))*4)+((COUNTIF('Elève (4ème4)'!CY15:DB15,"B"))*3)+((COUNTIF('Elève (4ème4)'!CY15:DB15,"C"))*2)+((COUNTIF('Elève (4ème4)'!CY15:DB15,"D"))*1))/(COUNTA(CY15:DB15)),"")</f>
        <v>4</v>
      </c>
      <c r="DD15" s="194" t="str">
        <f t="shared" si="21"/>
        <v>A</v>
      </c>
      <c r="DE15" s="137"/>
      <c r="DF15" s="138"/>
      <c r="DG15" s="139"/>
      <c r="DH15" s="143"/>
      <c r="DI15" s="193" t="str">
        <f>IFERROR((((COUNTIF('Elève (4ème4)'!DE15:DH15,"A"))*4)+((COUNTIF('Elève (4ème4)'!DE15:DH15,"B"))*3)+((COUNTIF('Elève (4ème4)'!DE15:DH15,"C"))*2)+((COUNTIF('Elève (4ème4)'!DE15:DH15,"D"))*1))/(COUNTA(DE15:DH15)),"")</f>
        <v/>
      </c>
      <c r="DJ15" s="194" t="str">
        <f t="shared" si="22"/>
        <v/>
      </c>
      <c r="DK15" s="218">
        <f>IF(COUNT(CW15,DC15,DI15)=0,"",SUM(CW15,DC15,DI15)/COUNT(CW15,DC15,DI15))</f>
        <v>4</v>
      </c>
      <c r="DL15" s="216" t="str">
        <f t="shared" si="23"/>
        <v>A</v>
      </c>
      <c r="DM15" s="137" t="s">
        <v>29</v>
      </c>
      <c r="DN15" s="138"/>
      <c r="DO15" s="139"/>
      <c r="DP15" s="193">
        <f>IFERROR((((COUNTIF('Elève (4ème4)'!DM15:DO15,"A"))*4)+((COUNTIF('Elève (4ème4)'!DM15:DO15,"B"))*3)+((COUNTIF('Elève (4ème4)'!DM15:DO15,"C"))*2)+((COUNTIF('Elève (4ème4)'!DM15:DO15,"D"))*1))/(COUNTA(DM15:DO15)),"")</f>
        <v>4</v>
      </c>
      <c r="DQ15" s="194" t="str">
        <f t="shared" si="24"/>
        <v>A</v>
      </c>
      <c r="DR15" s="137"/>
      <c r="DS15" s="138"/>
      <c r="DT15" s="229" t="s">
        <v>29</v>
      </c>
      <c r="DU15" s="139"/>
      <c r="DV15" s="193">
        <f>IFERROR((((COUNTIF('Elève (4ème4)'!DR15:DU15,"A"))*4)+((COUNTIF('Elève (4ème4)'!DR15:DU15,"B"))*3)+((COUNTIF('Elève (4ème4)'!DR15:DU15,"C"))*2)+((COUNTIF('Elève (4ème4)'!DR15:DU15,"D"))*1))/(COUNTA(DR15:DU15)),"")</f>
        <v>4</v>
      </c>
      <c r="DW15" s="194" t="str">
        <f t="shared" si="25"/>
        <v>A</v>
      </c>
      <c r="DX15" s="137"/>
      <c r="DY15" s="138"/>
      <c r="DZ15" s="139"/>
      <c r="EA15" s="143"/>
      <c r="EB15" s="193" t="str">
        <f>IFERROR((((COUNTIF('Elève (4ème4)'!DX15:EA15,"A"))*4)+((COUNTIF('Elève (4ème4)'!DX15:EA15,"B"))*3)+((COUNTIF('Elève (4ème4)'!DX15:EA15,"C"))*2)+((COUNTIF('Elève (4ème4)'!DX15:EA15,"D"))*1))/(COUNTA(DX15:EA15)),"")</f>
        <v/>
      </c>
      <c r="EC15" s="194" t="str">
        <f t="shared" si="26"/>
        <v/>
      </c>
      <c r="ED15" s="218">
        <f>IF(COUNT(DP15,DV15,EB15)=0,"",SUM(DP15,DV15,EB15)/COUNT(DP15,DV15,EB15))</f>
        <v>4</v>
      </c>
      <c r="EE15" s="216" t="str">
        <f t="shared" si="27"/>
        <v>A</v>
      </c>
      <c r="EF15" s="137" t="s">
        <v>29</v>
      </c>
      <c r="EG15" s="138"/>
      <c r="EH15" s="139"/>
      <c r="EI15" s="193">
        <f>IFERROR((((COUNTIF('Elève (4ème4)'!EF15:EH15,"A"))*4)+((COUNTIF('Elève (4ème4)'!EF15:EH15,"B"))*3)+((COUNTIF('Elève (4ème4)'!EF15:EH15,"C"))*2)+((COUNTIF('Elève (4ème4)'!EF15:EH15,"D"))*1))/(COUNTA(EF15:EH15)),"")</f>
        <v>4</v>
      </c>
      <c r="EJ15" s="194" t="str">
        <f t="shared" si="28"/>
        <v>A</v>
      </c>
      <c r="EK15" s="137"/>
      <c r="EL15" s="138"/>
      <c r="EM15" s="229" t="s">
        <v>30</v>
      </c>
      <c r="EN15" s="139"/>
      <c r="EO15" s="193">
        <f>IFERROR((((COUNTIF('Elève (4ème4)'!EK15:EN15,"A"))*4)+((COUNTIF('Elève (4ème4)'!EK15:EN15,"B"))*3)+((COUNTIF('Elève (4ème4)'!EK15:EN15,"C"))*2)+((COUNTIF('Elève (4ème4)'!EK15:EN15,"D"))*1))/(COUNTA(EK15:EN15)),"")</f>
        <v>3</v>
      </c>
      <c r="EP15" s="194" t="str">
        <f t="shared" si="29"/>
        <v>B</v>
      </c>
      <c r="EQ15" s="137"/>
      <c r="ER15" s="138"/>
      <c r="ES15" s="139"/>
      <c r="ET15" s="143"/>
      <c r="EU15" s="193" t="str">
        <f>IFERROR((((COUNTIF('Elève (4ème4)'!EQ15:ET15,"A"))*4)+((COUNTIF('Elève (4ème4)'!EQ15:ET15,"B"))*3)+((COUNTIF('Elève (4ème4)'!EQ15:ET15,"C"))*2)+((COUNTIF('Elève (4ème4)'!EQ15:ET15,"D"))*1))/(COUNTA(EQ15:ET15)),"")</f>
        <v/>
      </c>
      <c r="EV15" s="194" t="str">
        <f t="shared" si="30"/>
        <v/>
      </c>
      <c r="EW15" s="218">
        <f>IF(COUNT(EI15,EO15,EU15)=0,"",SUM(EI15,EO15,EU15)/COUNT(EI15,EO15,EU15))</f>
        <v>3.5</v>
      </c>
      <c r="EX15" s="216" t="str">
        <f t="shared" si="31"/>
        <v>B</v>
      </c>
      <c r="EY15" s="137" t="s">
        <v>29</v>
      </c>
      <c r="EZ15" s="138"/>
      <c r="FA15" s="139"/>
      <c r="FB15" s="193">
        <f>IFERROR((((COUNTIF('Elève (4ème4)'!EY15:FA15,"A"))*4)+((COUNTIF('Elève (4ème4)'!EY15:FA15,"B"))*3)+((COUNTIF('Elève (4ème4)'!EY15:FA15,"C"))*2)+((COUNTIF('Elève (4ème4)'!EY15:FA15,"D"))*1))/(COUNTA(EY15:FA15)),"")</f>
        <v>4</v>
      </c>
      <c r="FC15" s="194" t="str">
        <f t="shared" si="32"/>
        <v>A</v>
      </c>
      <c r="FD15" s="137"/>
      <c r="FE15" s="138"/>
      <c r="FF15" s="229" t="s">
        <v>29</v>
      </c>
      <c r="FG15" s="139"/>
      <c r="FH15" s="193">
        <f>IFERROR((((COUNTIF('Elève (4ème4)'!FD15:FG15,"A"))*4)+((COUNTIF('Elève (4ème4)'!FD15:FG15,"B"))*3)+((COUNTIF('Elève (4ème4)'!FD15:FG15,"C"))*2)+((COUNTIF('Elève (4ème4)'!FD15:FG15,"D"))*1))/(COUNTA(FD15:FG15)),"")</f>
        <v>4</v>
      </c>
      <c r="FI15" s="194" t="str">
        <f t="shared" si="33"/>
        <v>A</v>
      </c>
      <c r="FJ15" s="137"/>
      <c r="FK15" s="138"/>
      <c r="FL15" s="139"/>
      <c r="FM15" s="143"/>
      <c r="FN15" s="193" t="str">
        <f>IFERROR((((COUNTIF('Elève (4ème4)'!FJ15:FM15,"A"))*4)+((COUNTIF('Elève (4ème4)'!FJ15:FM15,"B"))*3)+((COUNTIF('Elève (4ème4)'!FJ15:FM15,"C"))*2)+((COUNTIF('Elève (4ème4)'!FJ15:FM15,"D"))*1))/(COUNTA(FJ15:FM15)),"")</f>
        <v/>
      </c>
      <c r="FO15" s="194" t="str">
        <f t="shared" si="34"/>
        <v/>
      </c>
      <c r="FP15" s="218">
        <f>IF(COUNT(FB15,FH15,FN15)=0,"",SUM(FB15,FH15,FN15)/COUNT(FB15,FH15,FN15))</f>
        <v>4</v>
      </c>
      <c r="FQ15" s="216" t="str">
        <f t="shared" si="35"/>
        <v>A</v>
      </c>
      <c r="FR15" s="137" t="s">
        <v>29</v>
      </c>
      <c r="FS15" s="138"/>
      <c r="FT15" s="139"/>
      <c r="FU15" s="193">
        <f>IFERROR((((COUNTIF('Elève (4ème4)'!FR15:FT15,"A"))*4)+((COUNTIF('Elève (4ème4)'!FR15:FT15,"B"))*3)+((COUNTIF('Elève (4ème4)'!FR15:FT15,"C"))*2)+((COUNTIF('Elève (4ème4)'!FR15:FT15,"D"))*1))/(COUNTA(FR15:FT15)),"")</f>
        <v>4</v>
      </c>
      <c r="FV15" s="194" t="str">
        <f t="shared" si="36"/>
        <v>A</v>
      </c>
      <c r="FW15" s="137"/>
      <c r="FX15" s="138"/>
      <c r="FY15" s="229" t="s">
        <v>29</v>
      </c>
      <c r="FZ15" s="139"/>
      <c r="GA15" s="193">
        <f>IFERROR((((COUNTIF('Elève (4ème4)'!FW15:FZ15,"A"))*4)+((COUNTIF('Elève (4ème4)'!FW15:FZ15,"B"))*3)+((COUNTIF('Elève (4ème4)'!FW15:FZ15,"C"))*2)+((COUNTIF('Elève (4ème4)'!FW15:FZ15,"D"))*1))/(COUNTA(FW15:FZ15)),"")</f>
        <v>4</v>
      </c>
      <c r="GB15" s="194" t="str">
        <f t="shared" si="37"/>
        <v>A</v>
      </c>
      <c r="GC15" s="137"/>
      <c r="GD15" s="138"/>
      <c r="GE15" s="139"/>
      <c r="GF15" s="143"/>
      <c r="GG15" s="193" t="str">
        <f>IFERROR((((COUNTIF('Elève (4ème4)'!GC15:GF15,"A"))*4)+((COUNTIF('Elève (4ème4)'!GC15:GF15,"B"))*3)+((COUNTIF('Elève (4ème4)'!GC15:GF15,"C"))*2)+((COUNTIF('Elève (4ème4)'!GC15:GF15,"D"))*1))/(COUNTA(GC15:GF15)),"")</f>
        <v/>
      </c>
      <c r="GH15" s="194" t="str">
        <f t="shared" si="38"/>
        <v/>
      </c>
      <c r="GI15" s="218">
        <f>IF(COUNT(FU15,GA15,GG15)=0,"",SUM(FU15,GA15,GG15)/COUNT(FU15,GA15,GG15))</f>
        <v>4</v>
      </c>
      <c r="GJ15" s="216" t="str">
        <f t="shared" si="39"/>
        <v>A</v>
      </c>
      <c r="GK15" s="137" t="s">
        <v>29</v>
      </c>
      <c r="GL15" s="138"/>
      <c r="GM15" s="139"/>
      <c r="GN15" s="193">
        <f>IFERROR((((COUNTIF('Elève (4ème4)'!GK15:GM15,"A"))*4)+((COUNTIF('Elève (4ème4)'!GK15:GM15,"B"))*3)+((COUNTIF('Elève (4ème4)'!GK15:GM15,"C"))*2)+((COUNTIF('Elève (4ème4)'!GK15:GM15,"D"))*1))/(COUNTA(GK15:GM15)),"")</f>
        <v>4</v>
      </c>
      <c r="GO15" s="194" t="str">
        <f t="shared" si="40"/>
        <v>A</v>
      </c>
      <c r="GP15" s="137"/>
      <c r="GQ15" s="138"/>
      <c r="GR15" s="229" t="s">
        <v>29</v>
      </c>
      <c r="GS15" s="139"/>
      <c r="GT15" s="193">
        <f>IFERROR((((COUNTIF('Elève (4ème4)'!GP15:GS15,"A"))*4)+((COUNTIF('Elève (4ème4)'!GP15:GS15,"B"))*3)+((COUNTIF('Elève (4ème4)'!GP15:GS15,"C"))*2)+((COUNTIF('Elève (4ème4)'!GP15:GS15,"D"))*1))/(COUNTA(GP15:GS15)),"")</f>
        <v>4</v>
      </c>
      <c r="GU15" s="194" t="str">
        <f t="shared" si="41"/>
        <v>A</v>
      </c>
      <c r="GV15" s="137"/>
      <c r="GW15" s="138"/>
      <c r="GX15" s="139"/>
      <c r="GY15" s="143"/>
      <c r="GZ15" s="193" t="str">
        <f>IFERROR((((COUNTIF('Elève (4ème4)'!GV15:GY15,"A"))*4)+((COUNTIF('Elève (4ème4)'!GV15:GY15,"B"))*3)+((COUNTIF('Elève (4ème4)'!GV15:GY15,"C"))*2)+((COUNTIF('Elève (4ème4)'!GV15:GY15,"D"))*1))/(COUNTA(GV15:GY15)),"")</f>
        <v/>
      </c>
      <c r="HA15" s="194" t="str">
        <f t="shared" si="42"/>
        <v/>
      </c>
      <c r="HB15" s="218">
        <f>IF(COUNT(GN15,GT15,GZ15)=0,"",SUM(GN15,GT15,GZ15)/COUNT(GN15,GT15,GZ15))</f>
        <v>4</v>
      </c>
      <c r="HC15" s="216" t="str">
        <f t="shared" si="43"/>
        <v>A</v>
      </c>
      <c r="HD15" s="137" t="s">
        <v>29</v>
      </c>
      <c r="HE15" s="138"/>
      <c r="HF15" s="139"/>
      <c r="HG15" s="193">
        <f>IFERROR((((COUNTIF('Elève (4ème4)'!HD15:HF15,"A"))*4)+((COUNTIF('Elève (4ème4)'!HD15:HF15,"B"))*3)+((COUNTIF('Elève (4ème4)'!HD15:HF15,"C"))*2)+((COUNTIF('Elève (4ème4)'!HD15:HF15,"D"))*1))/(COUNTA(HD15:HF15)),"")</f>
        <v>4</v>
      </c>
      <c r="HH15" s="194" t="str">
        <f t="shared" si="44"/>
        <v>A</v>
      </c>
      <c r="HI15" s="137"/>
      <c r="HJ15" s="138"/>
      <c r="HK15" s="229" t="s">
        <v>29</v>
      </c>
      <c r="HL15" s="139"/>
      <c r="HM15" s="193">
        <f>IFERROR((((COUNTIF('Elève (4ème4)'!HI15:HL15,"A"))*4)+((COUNTIF('Elève (4ème4)'!HI15:HL15,"B"))*3)+((COUNTIF('Elève (4ème4)'!HI15:HL15,"C"))*2)+((COUNTIF('Elève (4ème4)'!HI15:HL15,"D"))*1))/(COUNTA(HI15:HL15)),"")</f>
        <v>4</v>
      </c>
      <c r="HN15" s="194" t="str">
        <f t="shared" si="45"/>
        <v>A</v>
      </c>
      <c r="HO15" s="137"/>
      <c r="HP15" s="138"/>
      <c r="HQ15" s="139"/>
      <c r="HR15" s="143"/>
      <c r="HS15" s="193" t="str">
        <f>IFERROR((((COUNTIF('Elève (4ème4)'!HO15:HR15,"A"))*4)+((COUNTIF('Elève (4ème4)'!HO15:HR15,"B"))*3)+((COUNTIF('Elève (4ème4)'!HO15:HR15,"C"))*2)+((COUNTIF('Elève (4ème4)'!HO15:HR15,"D"))*1))/(COUNTA(HO15:HR15)),"")</f>
        <v/>
      </c>
      <c r="HT15" s="194" t="str">
        <f t="shared" si="46"/>
        <v/>
      </c>
      <c r="HU15" s="218">
        <f>IF(COUNT(HG15,HM15,HS15)=0,"",SUM(HG15,HM15,HS15)/COUNT(HG15,HM15,HS15))</f>
        <v>4</v>
      </c>
      <c r="HV15" s="216" t="str">
        <f t="shared" si="47"/>
        <v>A</v>
      </c>
      <c r="HW15" s="137" t="s">
        <v>29</v>
      </c>
      <c r="HX15" s="138"/>
      <c r="HY15" s="139"/>
      <c r="HZ15" s="193">
        <f>IFERROR((((COUNTIF('Elève (4ème4)'!HW15:HY15,"A"))*4)+((COUNTIF('Elève (4ème4)'!HW15:HY15,"B"))*3)+((COUNTIF('Elève (4ème4)'!HW15:HY15,"C"))*2)+((COUNTIF('Elève (4ème4)'!HW15:HY15,"D"))*1))/(COUNTA(HW15:HY15)),"")</f>
        <v>4</v>
      </c>
      <c r="IA15" s="194" t="str">
        <f t="shared" si="48"/>
        <v>A</v>
      </c>
      <c r="IB15" s="137"/>
      <c r="IC15" s="138"/>
      <c r="ID15" s="229" t="s">
        <v>29</v>
      </c>
      <c r="IE15" s="139"/>
      <c r="IF15" s="193">
        <f>IFERROR((((COUNTIF('Elève (4ème4)'!IB15:IE15,"A"))*4)+((COUNTIF('Elève (4ème4)'!IB15:IE15,"B"))*3)+((COUNTIF('Elève (4ème4)'!IB15:IE15,"C"))*2)+((COUNTIF('Elève (4ème4)'!IB15:IE15,"D"))*1))/(COUNTA(IB15:IE15)),"")</f>
        <v>4</v>
      </c>
      <c r="IG15" s="194" t="str">
        <f t="shared" si="49"/>
        <v>A</v>
      </c>
      <c r="IH15" s="137"/>
      <c r="II15" s="138"/>
      <c r="IJ15" s="139"/>
      <c r="IK15" s="143"/>
      <c r="IL15" s="193" t="str">
        <f>IFERROR((((COUNTIF('Elève (4ème4)'!IH15:IK15,"A"))*4)+((COUNTIF('Elève (4ème4)'!IH15:IK15,"B"))*3)+((COUNTIF('Elève (4ème4)'!IH15:IK15,"C"))*2)+((COUNTIF('Elève (4ème4)'!IH15:IK15,"D"))*1))/(COUNTA(IH15:IK15)),"")</f>
        <v/>
      </c>
      <c r="IM15" s="194" t="str">
        <f t="shared" si="50"/>
        <v/>
      </c>
      <c r="IN15" s="218">
        <f>IF(COUNT(HZ15,IF15,IL15)=0,"",SUM(HZ15,IF15,IL15)/COUNT(HZ15,IF15,IL15))</f>
        <v>4</v>
      </c>
      <c r="IO15" s="216" t="str">
        <f t="shared" si="51"/>
        <v>A</v>
      </c>
      <c r="IP15" s="137" t="s">
        <v>29</v>
      </c>
      <c r="IQ15" s="138"/>
      <c r="IR15" s="139"/>
      <c r="IS15" s="193">
        <f>IFERROR((((COUNTIF('Elève (4ème4)'!IP15:IR15,"A"))*4)+((COUNTIF('Elève (4ème4)'!IP15:IR15,"B"))*3)+((COUNTIF('Elève (4ème4)'!IP15:IR15,"C"))*2)+((COUNTIF('Elève (4ème4)'!IP15:IR15,"D"))*1))/(COUNTA(IP15:IR15)),"")</f>
        <v>4</v>
      </c>
      <c r="IT15" s="194" t="str">
        <f t="shared" si="52"/>
        <v>A</v>
      </c>
      <c r="IU15" s="137"/>
      <c r="IV15" s="138"/>
      <c r="IW15" s="229" t="s">
        <v>29</v>
      </c>
      <c r="IX15" s="139"/>
      <c r="IY15" s="193">
        <f>IFERROR((((COUNTIF('Elève (4ème4)'!IU15:IX15,"A"))*4)+((COUNTIF('Elève (4ème4)'!IU15:IX15,"B"))*3)+((COUNTIF('Elève (4ème4)'!IU15:IX15,"C"))*2)+((COUNTIF('Elève (4ème4)'!IU15:IX15,"D"))*1))/(COUNTA(IU15:IX15)),"")</f>
        <v>4</v>
      </c>
      <c r="IZ15" s="194" t="str">
        <f t="shared" si="53"/>
        <v>A</v>
      </c>
      <c r="JA15" s="137"/>
      <c r="JB15" s="138"/>
      <c r="JC15" s="139"/>
      <c r="JD15" s="143"/>
      <c r="JE15" s="193" t="str">
        <f>IFERROR((((COUNTIF('Elève (4ème4)'!JA15:JD15,"A"))*4)+((COUNTIF('Elève (4ème4)'!JA15:JD15,"B"))*3)+((COUNTIF('Elève (4ème4)'!JA15:JD15,"C"))*2)+((COUNTIF('Elève (4ème4)'!JA15:JD15,"D"))*1))/(COUNTA(JA15:JD15)),"")</f>
        <v/>
      </c>
      <c r="JF15" s="194" t="str">
        <f t="shared" si="54"/>
        <v/>
      </c>
      <c r="JG15" s="218">
        <f>IF(COUNT(IS15,IY15,JE15)=0,"",SUM(IS15,IY15,JE15)/COUNT(IS15,IY15,JE15))</f>
        <v>4</v>
      </c>
      <c r="JH15" s="216" t="str">
        <f t="shared" si="55"/>
        <v>A</v>
      </c>
      <c r="JI15" s="137"/>
      <c r="JJ15" s="138"/>
      <c r="JK15" s="139"/>
      <c r="JL15" s="193" t="str">
        <f>IFERROR((((COUNTIF('Elève (4ème4)'!JI15:JK15,"A"))*4)+((COUNTIF('Elève (4ème4)'!JI15:JK15,"B"))*3)+((COUNTIF('Elève (4ème4)'!JI15:JK15,"C"))*2)+((COUNTIF('Elève (4ème4)'!JI15:JK15,"D"))*1))/(COUNTA(JI15:JK15)),"")</f>
        <v/>
      </c>
      <c r="JM15" s="194" t="str">
        <f t="shared" si="56"/>
        <v/>
      </c>
      <c r="JN15" s="137"/>
      <c r="JO15" s="138"/>
      <c r="JP15" s="229" t="s">
        <v>29</v>
      </c>
      <c r="JQ15" s="139"/>
      <c r="JR15" s="193">
        <f>IFERROR((((COUNTIF('Elève (4ème4)'!JN15:JQ15,"A"))*4)+((COUNTIF('Elève (4ème4)'!JN15:JQ15,"B"))*3)+((COUNTIF('Elève (4ème4)'!JN15:JQ15,"C"))*2)+((COUNTIF('Elève (4ème4)'!JN15:JQ15,"D"))*1))/(COUNTA(JN15:JQ15)),"")</f>
        <v>4</v>
      </c>
      <c r="JS15" s="194" t="str">
        <f t="shared" si="57"/>
        <v>A</v>
      </c>
      <c r="JT15" s="137"/>
      <c r="JU15" s="138"/>
      <c r="JV15" s="139"/>
      <c r="JW15" s="143"/>
      <c r="JX15" s="193" t="str">
        <f>IFERROR((((COUNTIF('Elève (4ème4)'!JT15:JW15,"A"))*4)+((COUNTIF('Elève (4ème4)'!JT15:JW15,"B"))*3)+((COUNTIF('Elève (4ème4)'!JT15:JW15,"C"))*2)+((COUNTIF('Elève (4ème4)'!JT15:JW15,"D"))*1))/(COUNTA(JT15:JW15)),"")</f>
        <v/>
      </c>
      <c r="JY15" s="194" t="str">
        <f t="shared" si="58"/>
        <v/>
      </c>
      <c r="JZ15" s="218">
        <f>IF(COUNT(JL15,JR15,JX15)=0,"",SUM(JL15,JR15,JX15)/COUNT(JL15,JR15,JX15))</f>
        <v>4</v>
      </c>
      <c r="KA15" s="216" t="str">
        <f t="shared" si="59"/>
        <v>A</v>
      </c>
      <c r="KB15" s="137" t="s">
        <v>29</v>
      </c>
      <c r="KC15" s="138"/>
      <c r="KD15" s="139"/>
      <c r="KE15" s="193">
        <f>IFERROR((((COUNTIF('Elève (4ème4)'!KB15:KD15,"A"))*4)+((COUNTIF('Elève (4ème4)'!KB15:KD15,"B"))*3)+((COUNTIF('Elève (4ème4)'!KB15:KD15,"C"))*2)+((COUNTIF('Elève (4ème4)'!KB15:KD15,"D"))*1))/(COUNTA(KB15:KD15)),"")</f>
        <v>4</v>
      </c>
      <c r="KF15" s="194" t="str">
        <f t="shared" si="60"/>
        <v>A</v>
      </c>
      <c r="KG15" s="137"/>
      <c r="KH15" s="138"/>
      <c r="KI15" s="229" t="s">
        <v>30</v>
      </c>
      <c r="KJ15" s="139"/>
      <c r="KK15" s="193">
        <f>IFERROR((((COUNTIF('Elève (4ème4)'!KG15:KJ15,"A"))*4)+((COUNTIF('Elève (4ème4)'!KG15:KJ15,"B"))*3)+((COUNTIF('Elève (4ème4)'!KG15:KJ15,"C"))*2)+((COUNTIF('Elève (4ème4)'!KG15:KJ15,"D"))*1))/(COUNTA(KG15:KJ15)),"")</f>
        <v>3</v>
      </c>
      <c r="KL15" s="194" t="str">
        <f t="shared" si="61"/>
        <v>B</v>
      </c>
      <c r="KM15" s="137"/>
      <c r="KN15" s="138"/>
      <c r="KO15" s="139"/>
      <c r="KP15" s="143"/>
      <c r="KQ15" s="193" t="str">
        <f>IFERROR((((COUNTIF('Elève (4ème4)'!KM15:KP15,"A"))*4)+((COUNTIF('Elève (4ème4)'!KM15:KP15,"B"))*3)+((COUNTIF('Elève (4ème4)'!KM15:KP15,"C"))*2)+((COUNTIF('Elève (4ème4)'!KM15:KP15,"D"))*1))/(COUNTA(KM15:KP15)),"")</f>
        <v/>
      </c>
      <c r="KR15" s="194" t="str">
        <f t="shared" si="62"/>
        <v/>
      </c>
      <c r="KS15" s="218">
        <f>IF(COUNT(KE15,KK15,KQ15)=0,"",SUM(KE15,KK15,KQ15)/COUNT(KE15,KK15,KQ15))</f>
        <v>3.5</v>
      </c>
      <c r="KT15" s="216" t="str">
        <f t="shared" si="63"/>
        <v>B</v>
      </c>
      <c r="KU15" s="137" t="s">
        <v>29</v>
      </c>
      <c r="KV15" s="138"/>
      <c r="KW15" s="139"/>
      <c r="KX15" s="193">
        <f>IFERROR((((COUNTIF('Elève (4ème4)'!KU15:KW15,"A"))*4)+((COUNTIF('Elève (4ème4)'!KU15:KW15,"B"))*3)+((COUNTIF('Elève (4ème4)'!KU15:KW15,"C"))*2)+((COUNTIF('Elève (4ème4)'!KU15:KW15,"D"))*1))/(COUNTA(KU15:KW15)),"")</f>
        <v>4</v>
      </c>
      <c r="KY15" s="194" t="str">
        <f t="shared" si="64"/>
        <v>A</v>
      </c>
      <c r="KZ15" s="137"/>
      <c r="LA15" s="138"/>
      <c r="LB15" s="229" t="s">
        <v>29</v>
      </c>
      <c r="LC15" s="139"/>
      <c r="LD15" s="193">
        <f>IFERROR((((COUNTIF('Elève (4ème4)'!KZ15:LC15,"A"))*4)+((COUNTIF('Elève (4ème4)'!KZ15:LC15,"B"))*3)+((COUNTIF('Elève (4ème4)'!KZ15:LC15,"C"))*2)+((COUNTIF('Elève (4ème4)'!KZ15:LC15,"D"))*1))/(COUNTA(KZ15:LC15)),"")</f>
        <v>4</v>
      </c>
      <c r="LE15" s="194" t="str">
        <f t="shared" si="65"/>
        <v>A</v>
      </c>
      <c r="LF15" s="137"/>
      <c r="LG15" s="138"/>
      <c r="LH15" s="139"/>
      <c r="LI15" s="143"/>
      <c r="LJ15" s="193" t="str">
        <f>IFERROR((((COUNTIF('Elève (4ème4)'!LF15:LI15,"A"))*4)+((COUNTIF('Elève (4ème4)'!LF15:LI15,"B"))*3)+((COUNTIF('Elève (4ème4)'!LF15:LI15,"C"))*2)+((COUNTIF('Elève (4ème4)'!LF15:LI15,"D"))*1))/(COUNTA(LF15:LI15)),"")</f>
        <v/>
      </c>
      <c r="LK15" s="194" t="str">
        <f t="shared" si="66"/>
        <v/>
      </c>
      <c r="LL15" s="218">
        <f>IF(COUNT(KX15,LD15,LJ15)=0,"",SUM(KX15,LD15,LJ15)/COUNT(KX15,LD15,LJ15))</f>
        <v>4</v>
      </c>
      <c r="LM15" s="216" t="str">
        <f t="shared" si="67"/>
        <v>A</v>
      </c>
      <c r="LN15" s="137" t="s">
        <v>29</v>
      </c>
      <c r="LO15" s="138"/>
      <c r="LP15" s="139"/>
      <c r="LQ15" s="193">
        <f>IFERROR((((COUNTIF('Elève (4ème4)'!LN15:LP15,"A"))*4)+((COUNTIF('Elève (4ème4)'!LN15:LP15,"B"))*3)+((COUNTIF('Elève (4ème4)'!LN15:LP15,"C"))*2)+((COUNTIF('Elève (4ème4)'!LN15:LP15,"D"))*1))/(COUNTA(LN15:LP15)),"")</f>
        <v>4</v>
      </c>
      <c r="LR15" s="194" t="str">
        <f t="shared" si="68"/>
        <v>A</v>
      </c>
      <c r="LS15" s="137"/>
      <c r="LT15" s="138"/>
      <c r="LU15" s="229" t="s">
        <v>29</v>
      </c>
      <c r="LV15" s="139"/>
      <c r="LW15" s="193">
        <f>IFERROR((((COUNTIF('Elève (4ème4)'!LS15:LV15,"A"))*4)+((COUNTIF('Elève (4ème4)'!LS15:LV15,"B"))*3)+((COUNTIF('Elève (4ème4)'!LS15:LV15,"C"))*2)+((COUNTIF('Elève (4ème4)'!LS15:LV15,"D"))*1))/(COUNTA(LS15:LV15)),"")</f>
        <v>4</v>
      </c>
      <c r="LX15" s="194" t="str">
        <f t="shared" si="69"/>
        <v>A</v>
      </c>
      <c r="LY15" s="137"/>
      <c r="LZ15" s="138"/>
      <c r="MA15" s="139"/>
      <c r="MB15" s="143"/>
      <c r="MC15" s="193" t="str">
        <f>IFERROR((((COUNTIF('Elève (4ème4)'!LY15:MB15,"A"))*4)+((COUNTIF('Elève (4ème4)'!LY15:MB15,"B"))*3)+((COUNTIF('Elève (4ème4)'!LY15:MB15,"C"))*2)+((COUNTIF('Elève (4ème4)'!LY15:MB15,"D"))*1))/(COUNTA(LY15:MB15)),"")</f>
        <v/>
      </c>
      <c r="MD15" s="194" t="str">
        <f t="shared" si="70"/>
        <v/>
      </c>
      <c r="ME15" s="218">
        <f>IF(COUNT(LQ15,LW15,MC15)=0,"",SUM(LQ15,LW15,MC15)/COUNT(LQ15,LW15,MC15))</f>
        <v>4</v>
      </c>
      <c r="MF15" s="216" t="str">
        <f t="shared" si="71"/>
        <v>A</v>
      </c>
      <c r="MG15" s="137" t="s">
        <v>29</v>
      </c>
      <c r="MH15" s="138"/>
      <c r="MI15" s="139"/>
      <c r="MJ15" s="193">
        <f>IFERROR((((COUNTIF('Elève (4ème4)'!MG15:MI15,"A"))*4)+((COUNTIF('Elève (4ème4)'!MG15:MI15,"B"))*3)+((COUNTIF('Elève (4ème4)'!MG15:MI15,"C"))*2)+((COUNTIF('Elève (4ème4)'!MG15:MI15,"D"))*1))/(COUNTA(MG15:MI15)),"")</f>
        <v>4</v>
      </c>
      <c r="MK15" s="194" t="str">
        <f t="shared" si="72"/>
        <v>A</v>
      </c>
      <c r="ML15" s="137"/>
      <c r="MM15" s="138"/>
      <c r="MN15" s="229" t="s">
        <v>29</v>
      </c>
      <c r="MO15" s="139"/>
      <c r="MP15" s="193">
        <f>IFERROR((((COUNTIF('Elève (4ème4)'!ML15:MO15,"A"))*4)+((COUNTIF('Elève (4ème4)'!ML15:MO15,"B"))*3)+((COUNTIF('Elève (4ème4)'!ML15:MO15,"C"))*2)+((COUNTIF('Elève (4ème4)'!ML15:MO15,"D"))*1))/(COUNTA(ML15:MO15)),"")</f>
        <v>4</v>
      </c>
      <c r="MQ15" s="194" t="str">
        <f t="shared" si="73"/>
        <v>A</v>
      </c>
      <c r="MR15" s="137"/>
      <c r="MS15" s="138"/>
      <c r="MT15" s="139"/>
      <c r="MU15" s="143"/>
      <c r="MV15" s="193" t="str">
        <f>IFERROR((((COUNTIF('Elève (4ème4)'!MR15:MU15,"A"))*4)+((COUNTIF('Elève (4ème4)'!MR15:MU15,"B"))*3)+((COUNTIF('Elève (4ème4)'!MR15:MU15,"C"))*2)+((COUNTIF('Elève (4ème4)'!MR15:MU15,"D"))*1))/(COUNTA(MR15:MU15)),"")</f>
        <v/>
      </c>
      <c r="MW15" s="194" t="str">
        <f t="shared" si="74"/>
        <v/>
      </c>
      <c r="MX15" s="218">
        <f>IF(COUNT(MJ15,MP15,MV15)=0,"",SUM(MJ15,MP15,MV15)/COUNT(MJ15,MP15,MV15))</f>
        <v>4</v>
      </c>
      <c r="MY15" s="216" t="str">
        <f t="shared" si="75"/>
        <v>A</v>
      </c>
      <c r="MZ15" s="137" t="s">
        <v>29</v>
      </c>
      <c r="NA15" s="138"/>
      <c r="NB15" s="139"/>
      <c r="NC15" s="193">
        <f>IFERROR((((COUNTIF('Elève (4ème4)'!MZ15:NB15,"A"))*4)+((COUNTIF('Elève (4ème4)'!MZ15:NB15,"B"))*3)+((COUNTIF('Elève (4ème4)'!MZ15:NB15,"C"))*2)+((COUNTIF('Elève (4ème4)'!MZ15:NB15,"D"))*1))/(COUNTA(MZ15:NB15)),"")</f>
        <v>4</v>
      </c>
      <c r="ND15" s="194" t="str">
        <f t="shared" si="76"/>
        <v>A</v>
      </c>
      <c r="NE15" s="137"/>
      <c r="NF15" s="138"/>
      <c r="NG15" s="229" t="s">
        <v>29</v>
      </c>
      <c r="NH15" s="139"/>
      <c r="NI15" s="193">
        <f>IFERROR((((COUNTIF('Elève (4ème4)'!NE15:NH15,"A"))*4)+((COUNTIF('Elève (4ème4)'!NE15:NH15,"B"))*3)+((COUNTIF('Elève (4ème4)'!NE15:NH15,"C"))*2)+((COUNTIF('Elève (4ème4)'!NE15:NH15,"D"))*1))/(COUNTA(NE15:NH15)),"")</f>
        <v>4</v>
      </c>
      <c r="NJ15" s="194" t="str">
        <f t="shared" si="77"/>
        <v>A</v>
      </c>
      <c r="NK15" s="137"/>
      <c r="NL15" s="138"/>
      <c r="NM15" s="139"/>
      <c r="NN15" s="143"/>
      <c r="NO15" s="193" t="str">
        <f>IFERROR((((COUNTIF('Elève (4ème4)'!NK15:NN15,"A"))*4)+((COUNTIF('Elève (4ème4)'!NK15:NN15,"B"))*3)+((COUNTIF('Elève (4ème4)'!NK15:NN15,"C"))*2)+((COUNTIF('Elève (4ème4)'!NK15:NN15,"D"))*1))/(COUNTA(NK15:NN15)),"")</f>
        <v/>
      </c>
      <c r="NP15" s="194" t="str">
        <f t="shared" si="78"/>
        <v/>
      </c>
      <c r="NQ15" s="218">
        <f>IF(COUNT(NC15,NI15,NO15)=0,"",SUM(NC15,NI15,NO15)/COUNT(NC15,NI15,NO15))</f>
        <v>4</v>
      </c>
      <c r="NR15" s="216" t="str">
        <f t="shared" si="79"/>
        <v>A</v>
      </c>
      <c r="NS15" s="137"/>
      <c r="NT15" s="138"/>
      <c r="NU15" s="139"/>
      <c r="NV15" s="193" t="str">
        <f>IFERROR((((COUNTIF('Elève (4ème4)'!NS15:NU15,"A"))*4)+((COUNTIF('Elève (4ème4)'!NS15:NU15,"B"))*3)+((COUNTIF('Elève (4ème4)'!NS15:NU15,"C"))*2)+((COUNTIF('Elève (4ème4)'!NS15:NU15,"D"))*1))/(COUNTA(NS15:NU15)),"")</f>
        <v/>
      </c>
      <c r="NW15" s="194" t="str">
        <f t="shared" si="80"/>
        <v/>
      </c>
      <c r="NX15" s="137"/>
      <c r="NY15" s="138"/>
      <c r="NZ15" s="229" t="s">
        <v>29</v>
      </c>
      <c r="OA15" s="139"/>
      <c r="OB15" s="193">
        <f>IFERROR((((COUNTIF('Elève (4ème4)'!NX15:OA15,"A"))*4)+((COUNTIF('Elève (4ème4)'!NX15:OA15,"B"))*3)+((COUNTIF('Elève (4ème4)'!NX15:OA15,"C"))*2)+((COUNTIF('Elève (4ème4)'!NX15:OA15,"D"))*1))/(COUNTA(NX15:OA15)),"")</f>
        <v>4</v>
      </c>
      <c r="OC15" s="194" t="str">
        <f t="shared" si="81"/>
        <v>A</v>
      </c>
      <c r="OD15" s="137"/>
      <c r="OE15" s="138"/>
      <c r="OF15" s="139"/>
      <c r="OG15" s="143"/>
      <c r="OH15" s="193" t="str">
        <f>IFERROR((((COUNTIF('Elève (4ème4)'!OD15:OG15,"A"))*4)+((COUNTIF('Elève (4ème4)'!OD15:OG15,"B"))*3)+((COUNTIF('Elève (4ème4)'!OD15:OG15,"C"))*2)+((COUNTIF('Elève (4ème4)'!OD15:OG15,"D"))*1))/(COUNTA(OD15:OG15)),"")</f>
        <v/>
      </c>
      <c r="OI15" s="194" t="str">
        <f t="shared" si="82"/>
        <v/>
      </c>
      <c r="OJ15" s="218">
        <f>IF(COUNT(NV15,OB15,OH15)=0,"",SUM(NV15,OB15,OH15)/COUNT(NV15,OB15,OH15))</f>
        <v>4</v>
      </c>
      <c r="OK15" s="216" t="str">
        <f t="shared" si="83"/>
        <v>A</v>
      </c>
      <c r="OL15" s="137" t="s">
        <v>29</v>
      </c>
      <c r="OM15" s="138"/>
      <c r="ON15" s="139"/>
      <c r="OO15" s="193">
        <f>IFERROR((((COUNTIF('Elève (4ème4)'!OL15:ON15,"A"))*4)+((COUNTIF('Elève (4ème4)'!OL15:ON15,"B"))*3)+((COUNTIF('Elève (4ème4)'!OL15:ON15,"C"))*2)+((COUNTIF('Elève (4ème4)'!OL15:ON15,"D"))*1))/(COUNTA(OL15:ON15)),"")</f>
        <v>4</v>
      </c>
      <c r="OP15" s="194" t="str">
        <f t="shared" si="84"/>
        <v>A</v>
      </c>
      <c r="OQ15" s="137"/>
      <c r="OR15" s="138"/>
      <c r="OS15" s="229" t="s">
        <v>29</v>
      </c>
      <c r="OT15" s="139"/>
      <c r="OU15" s="193">
        <f>IFERROR((((COUNTIF('Elève (4ème4)'!OQ15:OT15,"A"))*4)+((COUNTIF('Elève (4ème4)'!OQ15:OT15,"B"))*3)+((COUNTIF('Elève (4ème4)'!OQ15:OT15,"C"))*2)+((COUNTIF('Elève (4ème4)'!OQ15:OT15,"D"))*1))/(COUNTA(OQ15:OT15)),"")</f>
        <v>4</v>
      </c>
      <c r="OV15" s="194" t="str">
        <f t="shared" si="85"/>
        <v>A</v>
      </c>
      <c r="OW15" s="137"/>
      <c r="OX15" s="138"/>
      <c r="OY15" s="139"/>
      <c r="OZ15" s="143"/>
      <c r="PA15" s="193" t="str">
        <f>IFERROR((((COUNTIF('Elève (4ème4)'!OW15:OZ15,"A"))*4)+((COUNTIF('Elève (4ème4)'!OW15:OZ15,"B"))*3)+((COUNTIF('Elève (4ème4)'!OW15:OZ15,"C"))*2)+((COUNTIF('Elève (4ème4)'!OW15:OZ15,"D"))*1))/(COUNTA(OW15:OZ15)),"")</f>
        <v/>
      </c>
      <c r="PB15" s="194" t="str">
        <f t="shared" si="86"/>
        <v/>
      </c>
      <c r="PC15" s="218">
        <f>IF(COUNT(OO15,OU15,PA15)=0,"",SUM(OO15,OU15,PA15)/COUNT(OO15,OU15,PA15))</f>
        <v>4</v>
      </c>
      <c r="PD15" s="216" t="str">
        <f t="shared" si="87"/>
        <v>A</v>
      </c>
      <c r="PE15" s="137" t="s">
        <v>29</v>
      </c>
      <c r="PF15" s="138"/>
      <c r="PG15" s="139"/>
      <c r="PH15" s="193">
        <f>IFERROR((((COUNTIF('Elève (4ème4)'!PE15:PG15,"A"))*4)+((COUNTIF('Elève (4ème4)'!PE15:PG15,"B"))*3)+((COUNTIF('Elève (4ème4)'!PE15:PG15,"C"))*2)+((COUNTIF('Elève (4ème4)'!PE15:PG15,"D"))*1))/(COUNTA(PE15:PG15)),"")</f>
        <v>4</v>
      </c>
      <c r="PI15" s="194" t="str">
        <f t="shared" si="88"/>
        <v>A</v>
      </c>
      <c r="PJ15" s="137"/>
      <c r="PK15" s="138"/>
      <c r="PL15" s="229" t="s">
        <v>29</v>
      </c>
      <c r="PM15" s="139"/>
      <c r="PN15" s="193">
        <f>IFERROR((((COUNTIF('Elève (4ème4)'!PJ15:PM15,"A"))*4)+((COUNTIF('Elève (4ème4)'!PJ15:PM15,"B"))*3)+((COUNTIF('Elève (4ème4)'!PJ15:PM15,"C"))*2)+((COUNTIF('Elève (4ème4)'!PJ15:PM15,"D"))*1))/(COUNTA(PJ15:PM15)),"")</f>
        <v>4</v>
      </c>
      <c r="PO15" s="194" t="str">
        <f t="shared" si="89"/>
        <v>A</v>
      </c>
      <c r="PP15" s="137"/>
      <c r="PQ15" s="138"/>
      <c r="PR15" s="139"/>
      <c r="PS15" s="143"/>
      <c r="PT15" s="193" t="str">
        <f>IFERROR((((COUNTIF('Elève (4ème4)'!PP15:PS15,"A"))*4)+((COUNTIF('Elève (4ème4)'!PP15:PS15,"B"))*3)+((COUNTIF('Elève (4ème4)'!PP15:PS15,"C"))*2)+((COUNTIF('Elève (4ème4)'!PP15:PS15,"D"))*1))/(COUNTA(PP15:PS15)),"")</f>
        <v/>
      </c>
      <c r="PU15" s="194" t="str">
        <f t="shared" si="90"/>
        <v/>
      </c>
      <c r="PV15" s="218">
        <f>IF(COUNT(PH15,PN15,PT15)=0,"",SUM(PH15,PN15,PT15)/COUNT(PH15,PN15,PT15))</f>
        <v>4</v>
      </c>
      <c r="PW15" s="216" t="str">
        <f t="shared" si="91"/>
        <v>A</v>
      </c>
      <c r="PX15" s="137" t="s">
        <v>29</v>
      </c>
      <c r="PY15" s="138"/>
      <c r="PZ15" s="139"/>
      <c r="QA15" s="193">
        <f>IFERROR((((COUNTIF('Elève (4ème4)'!PX15:PZ15,"A"))*4)+((COUNTIF('Elève (4ème4)'!PX15:PZ15,"B"))*3)+((COUNTIF('Elève (4ème4)'!PX15:PZ15,"C"))*2)+((COUNTIF('Elève (4ème4)'!PX15:PZ15,"D"))*1))/(COUNTA(PX15:PZ15)),"")</f>
        <v>4</v>
      </c>
      <c r="QB15" s="194" t="str">
        <f t="shared" si="92"/>
        <v>A</v>
      </c>
      <c r="QC15" s="137"/>
      <c r="QD15" s="138"/>
      <c r="QE15" s="229" t="s">
        <v>29</v>
      </c>
      <c r="QF15" s="139"/>
      <c r="QG15" s="193">
        <f>IFERROR((((COUNTIF('Elève (4ème4)'!QC15:QF15,"A"))*4)+((COUNTIF('Elève (4ème4)'!QC15:QF15,"B"))*3)+((COUNTIF('Elève (4ème4)'!QC15:QF15,"C"))*2)+((COUNTIF('Elève (4ème4)'!QC15:QF15,"D"))*1))/(COUNTA(QC15:QF15)),"")</f>
        <v>4</v>
      </c>
      <c r="QH15" s="194" t="str">
        <f t="shared" si="93"/>
        <v>A</v>
      </c>
      <c r="QI15" s="137"/>
      <c r="QJ15" s="138"/>
      <c r="QK15" s="139"/>
      <c r="QL15" s="143"/>
      <c r="QM15" s="193" t="str">
        <f>IFERROR((((COUNTIF('Elève (4ème4)'!QI15:QL15,"A"))*4)+((COUNTIF('Elève (4ème4)'!QI15:QL15,"B"))*3)+((COUNTIF('Elève (4ème4)'!QI15:QL15,"C"))*2)+((COUNTIF('Elève (4ème4)'!QI15:QL15,"D"))*1))/(COUNTA(QI15:QL15)),"")</f>
        <v/>
      </c>
      <c r="QN15" s="194" t="str">
        <f t="shared" si="94"/>
        <v/>
      </c>
      <c r="QO15" s="218">
        <f>IF(COUNT(QA15,QG15,QM15)=0,"",SUM(QA15,QG15,QM15)/COUNT(QA15,QG15,QM15))</f>
        <v>4</v>
      </c>
      <c r="QP15" s="216" t="str">
        <f t="shared" si="95"/>
        <v>A</v>
      </c>
      <c r="QQ15" s="137" t="s">
        <v>29</v>
      </c>
      <c r="QR15" s="138"/>
      <c r="QS15" s="139"/>
      <c r="QT15" s="193">
        <f>IFERROR((((COUNTIF('Elève (4ème4)'!QQ15:QS15,"A"))*4)+((COUNTIF('Elève (4ème4)'!QQ15:QS15,"B"))*3)+((COUNTIF('Elève (4ème4)'!QQ15:QS15,"C"))*2)+((COUNTIF('Elève (4ème4)'!QQ15:QS15,"D"))*1))/(COUNTA(QQ15:QS15)),"")</f>
        <v>4</v>
      </c>
      <c r="QU15" s="194" t="str">
        <f t="shared" si="96"/>
        <v>A</v>
      </c>
      <c r="QV15" s="137"/>
      <c r="QW15" s="138"/>
      <c r="QX15" s="229" t="s">
        <v>29</v>
      </c>
      <c r="QY15" s="139"/>
      <c r="QZ15" s="193">
        <f>IFERROR((((COUNTIF('Elève (4ème4)'!QV15:QY15,"A"))*4)+((COUNTIF('Elève (4ème4)'!QV15:QY15,"B"))*3)+((COUNTIF('Elève (4ème4)'!QV15:QY15,"C"))*2)+((COUNTIF('Elève (4ème4)'!QV15:QY15,"D"))*1))/(COUNTA(QV15:QY15)),"")</f>
        <v>4</v>
      </c>
      <c r="RA15" s="194" t="str">
        <f t="shared" si="97"/>
        <v>A</v>
      </c>
      <c r="RB15" s="137"/>
      <c r="RC15" s="138"/>
      <c r="RD15" s="139"/>
      <c r="RE15" s="143"/>
      <c r="RF15" s="193" t="str">
        <f>IFERROR((((COUNTIF('Elève (4ème4)'!RB15:RE15,"A"))*4)+((COUNTIF('Elève (4ème4)'!RB15:RE15,"B"))*3)+((COUNTIF('Elève (4ème4)'!RB15:RE15,"C"))*2)+((COUNTIF('Elève (4ème4)'!RB15:RE15,"D"))*1))/(COUNTA(RB15:RE15)),"")</f>
        <v/>
      </c>
      <c r="RG15" s="194" t="str">
        <f t="shared" si="98"/>
        <v/>
      </c>
      <c r="RH15" s="218">
        <f>IF(COUNT(QT15,QZ15,RF15)=0,"",SUM(QT15,QZ15,RF15)/COUNT(QT15,QZ15,RF15))</f>
        <v>4</v>
      </c>
      <c r="RI15" s="216" t="str">
        <f t="shared" si="99"/>
        <v>A</v>
      </c>
      <c r="RJ15" s="137" t="s">
        <v>29</v>
      </c>
      <c r="RK15" s="138"/>
      <c r="RL15" s="139"/>
      <c r="RM15" s="193">
        <f>IFERROR((((COUNTIF('Elève (4ème4)'!RJ15:RL15,"A"))*4)+((COUNTIF('Elève (4ème4)'!RJ15:RL15,"B"))*3)+((COUNTIF('Elève (4ème4)'!RJ15:RL15,"C"))*2)+((COUNTIF('Elève (4ème4)'!RJ15:RL15,"D"))*1))/(COUNTA(RJ15:RL15)),"")</f>
        <v>4</v>
      </c>
      <c r="RN15" s="194" t="str">
        <f t="shared" si="100"/>
        <v>A</v>
      </c>
      <c r="RO15" s="137"/>
      <c r="RP15" s="138"/>
      <c r="RQ15" s="229" t="s">
        <v>29</v>
      </c>
      <c r="RR15" s="139"/>
      <c r="RS15" s="193">
        <f>IFERROR((((COUNTIF('Elève (4ème4)'!RO15:RR15,"A"))*4)+((COUNTIF('Elève (4ème4)'!RO15:RR15,"B"))*3)+((COUNTIF('Elève (4ème4)'!RO15:RR15,"C"))*2)+((COUNTIF('Elève (4ème4)'!RO15:RR15,"D"))*1))/(COUNTA(RO15:RR15)),"")</f>
        <v>4</v>
      </c>
      <c r="RT15" s="194" t="str">
        <f t="shared" si="101"/>
        <v>A</v>
      </c>
      <c r="RU15" s="137"/>
      <c r="RV15" s="138"/>
      <c r="RW15" s="139"/>
      <c r="RX15" s="143"/>
      <c r="RY15" s="193" t="str">
        <f>IFERROR((((COUNTIF('Elève (4ème4)'!RU15:RX15,"A"))*4)+((COUNTIF('Elève (4ème4)'!RU15:RX15,"B"))*3)+((COUNTIF('Elève (4ème4)'!RU15:RX15,"C"))*2)+((COUNTIF('Elève (4ème4)'!RU15:RX15,"D"))*1))/(COUNTA(RU15:RX15)),"")</f>
        <v/>
      </c>
      <c r="RZ15" s="194" t="str">
        <f t="shared" si="102"/>
        <v/>
      </c>
      <c r="SA15" s="218">
        <f>IF(COUNT(RM15,RS15,RY15)=0,"",SUM(RM15,RS15,RY15)/COUNT(RM15,RS15,RY15))</f>
        <v>4</v>
      </c>
      <c r="SB15" s="216" t="str">
        <f t="shared" si="103"/>
        <v>A</v>
      </c>
      <c r="SC15" s="137"/>
      <c r="SD15" s="138"/>
      <c r="SE15" s="139"/>
      <c r="SF15" s="140" t="str">
        <f>IFERROR((((COUNTIF('Elève (4ème4)'!SC15:SE15,"A"))*4)+((COUNTIF('Elève (4ème4)'!SC15:SE15,"B"))*3)+((COUNTIF('Elève (4ème4)'!SC15:SE15,"C"))*2)+((COUNTIF('Elève (4ème4)'!SC15:SE15,"D"))*1))/(COUNTA(SC15:SE15)),"")</f>
        <v/>
      </c>
      <c r="SG15" s="141" t="str">
        <f t="shared" si="104"/>
        <v/>
      </c>
      <c r="SH15" s="137"/>
      <c r="SI15" s="138"/>
      <c r="SJ15" s="139"/>
      <c r="SK15" s="140" t="str">
        <f>IFERROR((((COUNTIF('Elève (4ème4)'!SH15:SJ15,"A"))*4)+((COUNTIF('Elève (4ème4)'!SH15:SJ15,"B"))*3)+((COUNTIF('Elève (4ème4)'!SH15:SJ15,"C"))*2)+((COUNTIF('Elève (4ème4)'!SH15:SJ15,"D"))*1))/(COUNTA(SH15:SJ15)),"")</f>
        <v/>
      </c>
      <c r="SL15" s="141" t="str">
        <f t="shared" si="105"/>
        <v/>
      </c>
      <c r="SM15" s="137"/>
      <c r="SN15" s="138"/>
      <c r="SO15" s="143"/>
      <c r="SP15" s="140" t="str">
        <f>IFERROR((((COUNTIF('Elève (4ème4)'!SM15:SO15,"A"))*4)+((COUNTIF('Elève (4ème4)'!SM15:SO15,"B"))*3)+((COUNTIF('Elève (4ème4)'!SM15:SO15,"C"))*2)+((COUNTIF('Elève (4ème4)'!SM15:SO15,"D"))*1))/(COUNTA(SM15:SO15)),"")</f>
        <v/>
      </c>
      <c r="SQ15" s="141" t="str">
        <f t="shared" si="106"/>
        <v/>
      </c>
      <c r="SR15" s="150" t="str">
        <f>IF(COUNT(SF15,SK15,SP15)=0,"",SUM(SF15,SK15,SP15)/COUNT(SF15,SK15,SP15))</f>
        <v/>
      </c>
      <c r="SS15" s="142" t="str">
        <f t="shared" si="107"/>
        <v/>
      </c>
      <c r="ST15" s="137"/>
      <c r="SU15" s="138"/>
      <c r="SV15" s="139"/>
      <c r="SW15" s="140" t="str">
        <f>IFERROR((((COUNTIF('Elève (4ème4)'!ST15:SV15,"A"))*4)+((COUNTIF('Elève (4ème4)'!ST15:SV15,"B"))*3)+((COUNTIF('Elève (4ème4)'!ST15:SV15,"C"))*2)+((COUNTIF('Elève (4ème4)'!ST15:SV15,"D"))*1))/(COUNTA(ST15:SV15)),"")</f>
        <v/>
      </c>
      <c r="SX15" s="141" t="str">
        <f t="shared" si="108"/>
        <v/>
      </c>
      <c r="SY15" s="137"/>
      <c r="SZ15" s="138"/>
      <c r="TA15" s="139"/>
      <c r="TB15" s="140" t="str">
        <f>IFERROR((((COUNTIF('Elève (4ème4)'!SY15:TA15,"A"))*4)+((COUNTIF('Elève (4ème4)'!SY15:TA15,"B"))*3)+((COUNTIF('Elève (4ème4)'!SY15:TA15,"C"))*2)+((COUNTIF('Elève (4ème4)'!SY15:TA15,"D"))*1))/(COUNTA(SY15:TA15)),"")</f>
        <v/>
      </c>
      <c r="TC15" s="141" t="str">
        <f t="shared" si="109"/>
        <v/>
      </c>
      <c r="TD15" s="137"/>
      <c r="TE15" s="138"/>
      <c r="TF15" s="143"/>
      <c r="TG15" s="140" t="str">
        <f>IFERROR((((COUNTIF('Elève (4ème4)'!TD15:TF15,"A"))*4)+((COUNTIF('Elève (4ème4)'!TD15:TF15,"B"))*3)+((COUNTIF('Elève (4ème4)'!TD15:TF15,"C"))*2)+((COUNTIF('Elève (4ème4)'!TD15:TF15,"D"))*1))/(COUNTA(TD15:TF15)),"")</f>
        <v/>
      </c>
      <c r="TH15" s="141" t="str">
        <f t="shared" si="110"/>
        <v/>
      </c>
      <c r="TI15" s="150" t="str">
        <f>IF(COUNT(SW15,TB15,TG15)=0,"",SUM(SW15,TB15,TG15)/COUNT(SW15,TB15,TG15))</f>
        <v/>
      </c>
      <c r="TJ15" s="142" t="str">
        <f t="shared" si="111"/>
        <v/>
      </c>
      <c r="TK15" s="137"/>
      <c r="TL15" s="138"/>
      <c r="TM15" s="139"/>
      <c r="TN15" s="140" t="str">
        <f>IFERROR((((COUNTIF('Elève (4ème4)'!TK15:TM15,"A"))*4)+((COUNTIF('Elève (4ème4)'!TK15:TM15,"B"))*3)+((COUNTIF('Elève (4ème4)'!TK15:TM15,"C"))*2)+((COUNTIF('Elève (4ème4)'!TK15:TM15,"D"))*1))/(COUNTA(TK15:TM15)),"")</f>
        <v/>
      </c>
      <c r="TO15" s="141" t="str">
        <f t="shared" si="112"/>
        <v/>
      </c>
      <c r="TP15" s="137"/>
      <c r="TQ15" s="138"/>
      <c r="TR15" s="139"/>
      <c r="TS15" s="140" t="str">
        <f>IFERROR((((COUNTIF('Elève (4ème4)'!TP15:TR15,"A"))*4)+((COUNTIF('Elève (4ème4)'!TP15:TR15,"B"))*3)+((COUNTIF('Elève (4ème4)'!TP15:TR15,"C"))*2)+((COUNTIF('Elève (4ème4)'!TP15:TR15,"D"))*1))/(COUNTA(TP15:TR15)),"")</f>
        <v/>
      </c>
      <c r="TT15" s="141" t="str">
        <f t="shared" si="113"/>
        <v/>
      </c>
      <c r="TU15" s="137"/>
      <c r="TV15" s="138"/>
      <c r="TW15" s="143"/>
      <c r="TX15" s="140" t="str">
        <f>IFERROR((((COUNTIF('Elève (4ème4)'!TU15:TW15,"A"))*4)+((COUNTIF('Elève (4ème4)'!TU15:TW15,"B"))*3)+((COUNTIF('Elève (4ème4)'!TU15:TW15,"C"))*2)+((COUNTIF('Elève (4ème4)'!TU15:TW15,"D"))*1))/(COUNTA(TU15:TW15)),"")</f>
        <v/>
      </c>
      <c r="TY15" s="141" t="str">
        <f t="shared" si="114"/>
        <v/>
      </c>
      <c r="TZ15" s="150" t="str">
        <f>IF(COUNT(TN15,TS15,TX15)=0,"",SUM(TN15,TS15,TX15)/COUNT(TN15,TS15,TX15))</f>
        <v/>
      </c>
      <c r="UA15" s="142" t="str">
        <f t="shared" si="115"/>
        <v/>
      </c>
      <c r="UB15" s="137"/>
      <c r="UC15" s="138"/>
      <c r="UD15" s="139"/>
      <c r="UE15" s="140" t="str">
        <f>IFERROR((((COUNTIF('Elève (4ème4)'!UB15:UD15,"A"))*4)+((COUNTIF('Elève (4ème4)'!UB15:UD15,"B"))*3)+((COUNTIF('Elève (4ème4)'!UB15:UD15,"C"))*2)+((COUNTIF('Elève (4ème4)'!UB15:UD15,"D"))*1))/(COUNTA(UB15:UD15)),"")</f>
        <v/>
      </c>
      <c r="UF15" s="141" t="str">
        <f t="shared" si="116"/>
        <v/>
      </c>
      <c r="UG15" s="137"/>
      <c r="UH15" s="138"/>
      <c r="UI15" s="139"/>
      <c r="UJ15" s="140" t="str">
        <f>IFERROR((((COUNTIF('Elève (4ème4)'!UG15:UI15,"A"))*4)+((COUNTIF('Elève (4ème4)'!UG15:UI15,"B"))*3)+((COUNTIF('Elève (4ème4)'!UG15:UI15,"C"))*2)+((COUNTIF('Elève (4ème4)'!UG15:UI15,"D"))*1))/(COUNTA(UG15:UI15)),"")</f>
        <v/>
      </c>
      <c r="UK15" s="141" t="str">
        <f t="shared" si="117"/>
        <v/>
      </c>
      <c r="UL15" s="137"/>
      <c r="UM15" s="138"/>
      <c r="UN15" s="143"/>
      <c r="UO15" s="140" t="str">
        <f>IFERROR((((COUNTIF('Elève (4ème4)'!UL15:UN15,"A"))*4)+((COUNTIF('Elève (4ème4)'!UL15:UN15,"B"))*3)+((COUNTIF('Elève (4ème4)'!UL15:UN15,"C"))*2)+((COUNTIF('Elève (4ème4)'!UL15:UN15,"D"))*1))/(COUNTA(UL15:UN15)),"")</f>
        <v/>
      </c>
      <c r="UP15" s="141" t="str">
        <f t="shared" si="118"/>
        <v/>
      </c>
      <c r="UQ15" s="150" t="str">
        <f>IF(COUNT(UE15,UJ15,UO15)=0,"",SUM(UE15,UJ15,UO15)/COUNT(UE15,UJ15,UO15))</f>
        <v/>
      </c>
      <c r="UR15" s="142" t="str">
        <f t="shared" si="119"/>
        <v/>
      </c>
    </row>
    <row r="16" spans="1:564" s="117" customFormat="1" ht="16.5" customHeight="1" thickBot="1" x14ac:dyDescent="0.3">
      <c r="A16" s="174" t="s">
        <v>22</v>
      </c>
      <c r="B16" s="147">
        <v>2</v>
      </c>
      <c r="C16" s="230"/>
      <c r="D16" s="85"/>
      <c r="E16" s="107"/>
      <c r="F16" s="187">
        <f>IF(COUNT(F17:F19)=0,"",SUM(F17:F19)/COUNT(F17:F19))</f>
        <v>2</v>
      </c>
      <c r="G16" s="188" t="str">
        <f t="shared" si="0"/>
        <v>C</v>
      </c>
      <c r="H16" s="230"/>
      <c r="I16" s="85"/>
      <c r="J16" s="85"/>
      <c r="K16" s="107"/>
      <c r="L16" s="187">
        <f>IF(COUNT(L17:L19)=0,"",SUM(L17:L19)/COUNT(L17:L19))</f>
        <v>2</v>
      </c>
      <c r="M16" s="203" t="str">
        <f t="shared" si="1"/>
        <v>C</v>
      </c>
      <c r="N16" s="181"/>
      <c r="O16" s="112"/>
      <c r="P16" s="112"/>
      <c r="Q16" s="113"/>
      <c r="R16" s="187" t="str">
        <f>IF(COUNT(R17:R19)=0,"",SUM(R17:R19)/COUNT(R17:R19))</f>
        <v/>
      </c>
      <c r="S16" s="211" t="str">
        <f t="shared" si="2"/>
        <v/>
      </c>
      <c r="T16" s="212">
        <f>IF(COUNT(T17:T19)=0,"",SUM(T17:T19)/COUNT(T17:T19))</f>
        <v>2</v>
      </c>
      <c r="U16" s="213" t="str">
        <f t="shared" si="3"/>
        <v>C</v>
      </c>
      <c r="V16" s="224"/>
      <c r="W16" s="85"/>
      <c r="X16" s="107"/>
      <c r="Y16" s="187">
        <f>IF(COUNT(Y17:Y19)=0,"",SUM(Y17:Y19)/COUNT(Y17:Y19))</f>
        <v>2</v>
      </c>
      <c r="Z16" s="188" t="str">
        <f t="shared" si="4"/>
        <v>C</v>
      </c>
      <c r="AA16" s="230"/>
      <c r="AB16" s="85"/>
      <c r="AC16" s="85"/>
      <c r="AD16" s="107"/>
      <c r="AE16" s="187">
        <f>IF(COUNT(AE17:AE19)=0,"",SUM(AE17:AE19)/COUNT(AE17:AE19))</f>
        <v>2.0555555555555554</v>
      </c>
      <c r="AF16" s="203" t="str">
        <f t="shared" si="5"/>
        <v>C</v>
      </c>
      <c r="AG16" s="181"/>
      <c r="AH16" s="112"/>
      <c r="AI16" s="112"/>
      <c r="AJ16" s="113"/>
      <c r="AK16" s="187" t="str">
        <f>IF(COUNT(AK17:AK19)=0,"",SUM(AK17:AK19)/COUNT(AK17:AK19))</f>
        <v/>
      </c>
      <c r="AL16" s="211" t="str">
        <f t="shared" si="6"/>
        <v/>
      </c>
      <c r="AM16" s="212">
        <f>IF(COUNT(AM17:AM19)=0,"",SUM(AM17:AM19)/COUNT(AM17:AM19))</f>
        <v>1.8611111111111109</v>
      </c>
      <c r="AN16" s="213" t="str">
        <f t="shared" si="7"/>
        <v>C</v>
      </c>
      <c r="AO16" s="224"/>
      <c r="AP16" s="85"/>
      <c r="AQ16" s="107"/>
      <c r="AR16" s="187">
        <f>IF(COUNT(AR17:AR19)=0,"",SUM(AR17:AR19)/COUNT(AR17:AR19))</f>
        <v>2.1666666666666665</v>
      </c>
      <c r="AS16" s="188" t="str">
        <f t="shared" si="8"/>
        <v>C</v>
      </c>
      <c r="AT16" s="230"/>
      <c r="AU16" s="85"/>
      <c r="AV16" s="85"/>
      <c r="AW16" s="107"/>
      <c r="AX16" s="187">
        <f>IF(COUNT(AX17:AX19)=0,"",SUM(AX17:AX19)/COUNT(AX17:AX19))</f>
        <v>1.9444444444444446</v>
      </c>
      <c r="AY16" s="203" t="str">
        <f t="shared" si="9"/>
        <v>C</v>
      </c>
      <c r="AZ16" s="181"/>
      <c r="BA16" s="112"/>
      <c r="BB16" s="112"/>
      <c r="BC16" s="113"/>
      <c r="BD16" s="187" t="str">
        <f>IF(COUNT(BD17:BD19)=0,"",SUM(BD17:BD19)/COUNT(BD17:BD19))</f>
        <v/>
      </c>
      <c r="BE16" s="211" t="str">
        <f t="shared" si="10"/>
        <v/>
      </c>
      <c r="BF16" s="212">
        <f>IF(COUNT(BF17:BF19)=0,"",SUM(BF17:BF19)/COUNT(BF17:BF19))</f>
        <v>2.0555555555555558</v>
      </c>
      <c r="BG16" s="213" t="str">
        <f t="shared" si="11"/>
        <v>C</v>
      </c>
      <c r="BH16" s="224"/>
      <c r="BI16" s="85"/>
      <c r="BJ16" s="107"/>
      <c r="BK16" s="187">
        <f>IF(COUNT(BK17:BK19)=0,"",SUM(BK17:BK19)/COUNT(BK17:BK19))</f>
        <v>2.6666666666666665</v>
      </c>
      <c r="BL16" s="188" t="str">
        <f t="shared" si="12"/>
        <v>C</v>
      </c>
      <c r="BM16" s="230"/>
      <c r="BN16" s="85"/>
      <c r="BO16" s="85"/>
      <c r="BP16" s="107"/>
      <c r="BQ16" s="187">
        <f>IF(COUNT(BQ17:BQ19)=0,"",SUM(BQ17:BQ19)/COUNT(BQ17:BQ19))</f>
        <v>2.6666666666666665</v>
      </c>
      <c r="BR16" s="203" t="str">
        <f t="shared" si="13"/>
        <v>C</v>
      </c>
      <c r="BS16" s="181"/>
      <c r="BT16" s="112"/>
      <c r="BU16" s="112"/>
      <c r="BV16" s="113"/>
      <c r="BW16" s="187" t="str">
        <f>IF(COUNT(BW17:BW19)=0,"",SUM(BW17:BW19)/COUNT(BW17:BW19))</f>
        <v/>
      </c>
      <c r="BX16" s="211" t="str">
        <f t="shared" si="14"/>
        <v/>
      </c>
      <c r="BY16" s="212">
        <f>IF(COUNT(BY17:BY19)=0,"",SUM(BY17:BY19)/COUNT(BY17:BY19))</f>
        <v>2.6666666666666665</v>
      </c>
      <c r="BZ16" s="213" t="str">
        <f t="shared" si="15"/>
        <v>C</v>
      </c>
      <c r="CA16" s="224"/>
      <c r="CB16" s="85"/>
      <c r="CC16" s="107"/>
      <c r="CD16" s="187">
        <f>IF(COUNT(CD17:CD19)=0,"",SUM(CD17:CD19)/COUNT(CD17:CD19))</f>
        <v>1.75</v>
      </c>
      <c r="CE16" s="188" t="str">
        <f t="shared" si="16"/>
        <v>C</v>
      </c>
      <c r="CF16" s="230"/>
      <c r="CG16" s="85"/>
      <c r="CH16" s="85"/>
      <c r="CI16" s="107"/>
      <c r="CJ16" s="187">
        <f>IF(COUNT(CJ17:CJ19)=0,"",SUM(CJ17:CJ19)/COUNT(CJ17:CJ19))</f>
        <v>1.6666666666666667</v>
      </c>
      <c r="CK16" s="203" t="str">
        <f t="shared" si="17"/>
        <v>C</v>
      </c>
      <c r="CL16" s="181"/>
      <c r="CM16" s="112"/>
      <c r="CN16" s="112"/>
      <c r="CO16" s="113"/>
      <c r="CP16" s="187" t="str">
        <f>IF(COUNT(CP17:CP19)=0,"",SUM(CP17:CP19)/COUNT(CP17:CP19))</f>
        <v/>
      </c>
      <c r="CQ16" s="211" t="str">
        <f t="shared" si="18"/>
        <v/>
      </c>
      <c r="CR16" s="212">
        <f>IF(COUNT(CR17:CR19)=0,"",SUM(CR17:CR19)/COUNT(CR17:CR19))</f>
        <v>1.5833333333333333</v>
      </c>
      <c r="CS16" s="213" t="str">
        <f t="shared" si="19"/>
        <v>C</v>
      </c>
      <c r="CT16" s="224"/>
      <c r="CU16" s="85"/>
      <c r="CV16" s="107"/>
      <c r="CW16" s="187">
        <f>IF(COUNT(CW17:CW19)=0,"",SUM(CW17:CW19)/COUNT(CW17:CW19))</f>
        <v>2.75</v>
      </c>
      <c r="CX16" s="188" t="str">
        <f t="shared" si="20"/>
        <v>C</v>
      </c>
      <c r="CY16" s="230"/>
      <c r="CZ16" s="85"/>
      <c r="DA16" s="85"/>
      <c r="DB16" s="107"/>
      <c r="DC16" s="187">
        <f>IF(COUNT(DC17:DC19)=0,"",SUM(DC17:DC19)/COUNT(DC17:DC19))</f>
        <v>2.5</v>
      </c>
      <c r="DD16" s="203" t="str">
        <f t="shared" si="21"/>
        <v>C</v>
      </c>
      <c r="DE16" s="181"/>
      <c r="DF16" s="112"/>
      <c r="DG16" s="112"/>
      <c r="DH16" s="113"/>
      <c r="DI16" s="187" t="str">
        <f>IF(COUNT(DI17:DI19)=0,"",SUM(DI17:DI19)/COUNT(DI17:DI19))</f>
        <v/>
      </c>
      <c r="DJ16" s="211" t="str">
        <f t="shared" si="22"/>
        <v/>
      </c>
      <c r="DK16" s="212">
        <f>IF(COUNT(DK17:DK19)=0,"",SUM(DK17:DK19)/COUNT(DK17:DK19))</f>
        <v>2.5</v>
      </c>
      <c r="DL16" s="213" t="str">
        <f t="shared" si="23"/>
        <v>C</v>
      </c>
      <c r="DM16" s="224"/>
      <c r="DN16" s="85"/>
      <c r="DO16" s="107"/>
      <c r="DP16" s="187">
        <f>IF(COUNT(DP17:DP19)=0,"",SUM(DP17:DP19)/COUNT(DP17:DP19))</f>
        <v>3.1666666666666665</v>
      </c>
      <c r="DQ16" s="188" t="str">
        <f t="shared" si="24"/>
        <v>B</v>
      </c>
      <c r="DR16" s="230"/>
      <c r="DS16" s="85"/>
      <c r="DT16" s="85"/>
      <c r="DU16" s="107"/>
      <c r="DV16" s="187">
        <f>IF(COUNT(DV17:DV19)=0,"",SUM(DV17:DV19)/COUNT(DV17:DV19))</f>
        <v>1.8888888888888886</v>
      </c>
      <c r="DW16" s="203" t="str">
        <f t="shared" si="25"/>
        <v>C</v>
      </c>
      <c r="DX16" s="181"/>
      <c r="DY16" s="112"/>
      <c r="DZ16" s="112"/>
      <c r="EA16" s="113"/>
      <c r="EB16" s="187" t="str">
        <f>IF(COUNT(EB17:EB19)=0,"",SUM(EB17:EB19)/COUNT(EB17:EB19))</f>
        <v/>
      </c>
      <c r="EC16" s="211" t="str">
        <f t="shared" si="26"/>
        <v/>
      </c>
      <c r="ED16" s="212">
        <f>IF(COUNT(ED17:ED19)=0,"",SUM(ED17:ED19)/COUNT(ED17:ED19))</f>
        <v>2.5277777777777777</v>
      </c>
      <c r="EE16" s="213" t="str">
        <f t="shared" si="27"/>
        <v>C</v>
      </c>
      <c r="EF16" s="224"/>
      <c r="EG16" s="85"/>
      <c r="EH16" s="107"/>
      <c r="EI16" s="187">
        <f>IF(COUNT(EI17:EI19)=0,"",SUM(EI17:EI19)/COUNT(EI17:EI19))</f>
        <v>2.8333333333333335</v>
      </c>
      <c r="EJ16" s="188" t="str">
        <f t="shared" si="28"/>
        <v>B</v>
      </c>
      <c r="EK16" s="230"/>
      <c r="EL16" s="85"/>
      <c r="EM16" s="85"/>
      <c r="EN16" s="107"/>
      <c r="EO16" s="187">
        <f>IF(COUNT(EO17:EO19)=0,"",SUM(EO17:EO19)/COUNT(EO17:EO19))</f>
        <v>2.8888888888888888</v>
      </c>
      <c r="EP16" s="203" t="str">
        <f t="shared" si="29"/>
        <v>B</v>
      </c>
      <c r="EQ16" s="181"/>
      <c r="ER16" s="112"/>
      <c r="ES16" s="112"/>
      <c r="ET16" s="113"/>
      <c r="EU16" s="187" t="str">
        <f>IF(COUNT(EU17:EU19)=0,"",SUM(EU17:EU19)/COUNT(EU17:EU19))</f>
        <v/>
      </c>
      <c r="EV16" s="211" t="str">
        <f t="shared" si="30"/>
        <v/>
      </c>
      <c r="EW16" s="212">
        <f>IF(COUNT(EW17:EW19)=0,"",SUM(EW17:EW19)/COUNT(EW17:EW19))</f>
        <v>2.8611111111111107</v>
      </c>
      <c r="EX16" s="213" t="str">
        <f t="shared" si="31"/>
        <v>B</v>
      </c>
      <c r="EY16" s="224"/>
      <c r="EZ16" s="85"/>
      <c r="FA16" s="107"/>
      <c r="FB16" s="187">
        <f>IF(COUNT(FB17:FB19)=0,"",SUM(FB17:FB19)/COUNT(FB17:FB19))</f>
        <v>2.5</v>
      </c>
      <c r="FC16" s="188" t="str">
        <f t="shared" si="32"/>
        <v>C</v>
      </c>
      <c r="FD16" s="230"/>
      <c r="FE16" s="85"/>
      <c r="FF16" s="85"/>
      <c r="FG16" s="107"/>
      <c r="FH16" s="187">
        <f>IF(COUNT(FH17:FH19)=0,"",SUM(FH17:FH19)/COUNT(FH17:FH19))</f>
        <v>2.2777777777777781</v>
      </c>
      <c r="FI16" s="203" t="str">
        <f t="shared" si="33"/>
        <v>C</v>
      </c>
      <c r="FJ16" s="181"/>
      <c r="FK16" s="112"/>
      <c r="FL16" s="112"/>
      <c r="FM16" s="113"/>
      <c r="FN16" s="187" t="str">
        <f>IF(COUNT(FN17:FN19)=0,"",SUM(FN17:FN19)/COUNT(FN17:FN19))</f>
        <v/>
      </c>
      <c r="FO16" s="211" t="str">
        <f t="shared" si="34"/>
        <v/>
      </c>
      <c r="FP16" s="212">
        <f>IF(COUNT(FP17:FP19)=0,"",SUM(FP17:FP19)/COUNT(FP17:FP19))</f>
        <v>2.3888888888888888</v>
      </c>
      <c r="FQ16" s="213" t="str">
        <f t="shared" si="35"/>
        <v>C</v>
      </c>
      <c r="FR16" s="224"/>
      <c r="FS16" s="85"/>
      <c r="FT16" s="107"/>
      <c r="FU16" s="187">
        <f>IF(COUNT(FU17:FU19)=0,"",SUM(FU17:FU19)/COUNT(FU17:FU19))</f>
        <v>2</v>
      </c>
      <c r="FV16" s="188" t="str">
        <f t="shared" si="36"/>
        <v>C</v>
      </c>
      <c r="FW16" s="230"/>
      <c r="FX16" s="85"/>
      <c r="FY16" s="85"/>
      <c r="FZ16" s="107"/>
      <c r="GA16" s="187">
        <f>IF(COUNT(GA17:GA19)=0,"",SUM(GA17:GA19)/COUNT(GA17:GA19))</f>
        <v>2.3888888888888888</v>
      </c>
      <c r="GB16" s="203" t="str">
        <f t="shared" si="37"/>
        <v>C</v>
      </c>
      <c r="GC16" s="181"/>
      <c r="GD16" s="112"/>
      <c r="GE16" s="112"/>
      <c r="GF16" s="113"/>
      <c r="GG16" s="187" t="str">
        <f>IF(COUNT(GG17:GG19)=0,"",SUM(GG17:GG19)/COUNT(GG17:GG19))</f>
        <v/>
      </c>
      <c r="GH16" s="211" t="str">
        <f t="shared" si="38"/>
        <v/>
      </c>
      <c r="GI16" s="212">
        <f>IF(COUNT(GI17:GI19)=0,"",SUM(GI17:GI19)/COUNT(GI17:GI19))</f>
        <v>2.3611111111111112</v>
      </c>
      <c r="GJ16" s="213" t="str">
        <f t="shared" si="39"/>
        <v>C</v>
      </c>
      <c r="GK16" s="224"/>
      <c r="GL16" s="85"/>
      <c r="GM16" s="107"/>
      <c r="GN16" s="187">
        <f>IF(COUNT(GN17:GN19)=0,"",SUM(GN17:GN19)/COUNT(GN17:GN19))</f>
        <v>3.5</v>
      </c>
      <c r="GO16" s="188" t="str">
        <f t="shared" si="40"/>
        <v>B</v>
      </c>
      <c r="GP16" s="230"/>
      <c r="GQ16" s="85"/>
      <c r="GR16" s="85"/>
      <c r="GS16" s="107"/>
      <c r="GT16" s="187">
        <f>IF(COUNT(GT17:GT19)=0,"",SUM(GT17:GT19)/COUNT(GT17:GT19))</f>
        <v>2.6666666666666665</v>
      </c>
      <c r="GU16" s="203" t="str">
        <f t="shared" si="41"/>
        <v>C</v>
      </c>
      <c r="GV16" s="181"/>
      <c r="GW16" s="112"/>
      <c r="GX16" s="112"/>
      <c r="GY16" s="113"/>
      <c r="GZ16" s="187" t="str">
        <f>IF(COUNT(GZ17:GZ19)=0,"",SUM(GZ17:GZ19)/COUNT(GZ17:GZ19))</f>
        <v/>
      </c>
      <c r="HA16" s="211" t="str">
        <f t="shared" si="42"/>
        <v/>
      </c>
      <c r="HB16" s="212">
        <f>IF(COUNT(HB17:HB19)=0,"",SUM(HB17:HB19)/COUNT(HB17:HB19))</f>
        <v>3.0833333333333335</v>
      </c>
      <c r="HC16" s="213" t="str">
        <f t="shared" si="43"/>
        <v>B</v>
      </c>
      <c r="HD16" s="224"/>
      <c r="HE16" s="85"/>
      <c r="HF16" s="107"/>
      <c r="HG16" s="187">
        <f>IF(COUNT(HG17:HG19)=0,"",SUM(HG17:HG19)/COUNT(HG17:HG19))</f>
        <v>2.8333333333333335</v>
      </c>
      <c r="HH16" s="188" t="str">
        <f t="shared" si="44"/>
        <v>B</v>
      </c>
      <c r="HI16" s="230"/>
      <c r="HJ16" s="85"/>
      <c r="HK16" s="85"/>
      <c r="HL16" s="107"/>
      <c r="HM16" s="187">
        <f>IF(COUNT(HM17:HM19)=0,"",SUM(HM17:HM19)/COUNT(HM17:HM19))</f>
        <v>2.5</v>
      </c>
      <c r="HN16" s="203" t="str">
        <f t="shared" si="45"/>
        <v>C</v>
      </c>
      <c r="HO16" s="181"/>
      <c r="HP16" s="112"/>
      <c r="HQ16" s="112"/>
      <c r="HR16" s="113"/>
      <c r="HS16" s="187" t="str">
        <f>IF(COUNT(HS17:HS19)=0,"",SUM(HS17:HS19)/COUNT(HS17:HS19))</f>
        <v/>
      </c>
      <c r="HT16" s="211" t="str">
        <f t="shared" si="46"/>
        <v/>
      </c>
      <c r="HU16" s="212">
        <f>IF(COUNT(HU17:HU19)=0,"",SUM(HU17:HU19)/COUNT(HU17:HU19))</f>
        <v>2.6666666666666665</v>
      </c>
      <c r="HV16" s="213" t="str">
        <f t="shared" si="47"/>
        <v>C</v>
      </c>
      <c r="HW16" s="224"/>
      <c r="HX16" s="85"/>
      <c r="HY16" s="107"/>
      <c r="HZ16" s="187">
        <f>IF(COUNT(HZ17:HZ19)=0,"",SUM(HZ17:HZ19)/COUNT(HZ17:HZ19))</f>
        <v>2.6666666666666665</v>
      </c>
      <c r="IA16" s="188" t="str">
        <f t="shared" si="48"/>
        <v>C</v>
      </c>
      <c r="IB16" s="230"/>
      <c r="IC16" s="85"/>
      <c r="ID16" s="85"/>
      <c r="IE16" s="107"/>
      <c r="IF16" s="187">
        <f>IF(COUNT(IF17:IF19)=0,"",SUM(IF17:IF19)/COUNT(IF17:IF19))</f>
        <v>2.5555555555555554</v>
      </c>
      <c r="IG16" s="203" t="str">
        <f t="shared" si="49"/>
        <v>C</v>
      </c>
      <c r="IH16" s="181"/>
      <c r="II16" s="112"/>
      <c r="IJ16" s="112"/>
      <c r="IK16" s="113"/>
      <c r="IL16" s="187" t="str">
        <f>IF(COUNT(IL17:IL19)=0,"",SUM(IL17:IL19)/COUNT(IL17:IL19))</f>
        <v/>
      </c>
      <c r="IM16" s="211" t="str">
        <f t="shared" si="50"/>
        <v/>
      </c>
      <c r="IN16" s="212">
        <f>IF(COUNT(IN17:IN19)=0,"",SUM(IN17:IN19)/COUNT(IN17:IN19))</f>
        <v>2.6111111111111112</v>
      </c>
      <c r="IO16" s="213" t="str">
        <f t="shared" si="51"/>
        <v>C</v>
      </c>
      <c r="IP16" s="224"/>
      <c r="IQ16" s="85"/>
      <c r="IR16" s="107"/>
      <c r="IS16" s="187">
        <f>IF(COUNT(IS17:IS19)=0,"",SUM(IS17:IS19)/COUNT(IS17:IS19))</f>
        <v>2</v>
      </c>
      <c r="IT16" s="188" t="str">
        <f t="shared" si="52"/>
        <v>C</v>
      </c>
      <c r="IU16" s="230"/>
      <c r="IV16" s="85"/>
      <c r="IW16" s="85"/>
      <c r="IX16" s="107"/>
      <c r="IY16" s="187">
        <f>IF(COUNT(IY17:IY19)=0,"",SUM(IY17:IY19)/COUNT(IY17:IY19))</f>
        <v>1.8333333333333333</v>
      </c>
      <c r="IZ16" s="203" t="str">
        <f t="shared" si="53"/>
        <v>C</v>
      </c>
      <c r="JA16" s="181"/>
      <c r="JB16" s="112"/>
      <c r="JC16" s="112"/>
      <c r="JD16" s="113"/>
      <c r="JE16" s="187" t="str">
        <f>IF(COUNT(JE17:JE19)=0,"",SUM(JE17:JE19)/COUNT(JE17:JE19))</f>
        <v/>
      </c>
      <c r="JF16" s="211" t="str">
        <f t="shared" si="54"/>
        <v/>
      </c>
      <c r="JG16" s="212">
        <f>IF(COUNT(JG17:JG19)=0,"",SUM(JG17:JG19)/COUNT(JG17:JG19))</f>
        <v>1.75</v>
      </c>
      <c r="JH16" s="213" t="str">
        <f t="shared" si="55"/>
        <v>C</v>
      </c>
      <c r="JI16" s="224"/>
      <c r="JJ16" s="85"/>
      <c r="JK16" s="107"/>
      <c r="JL16" s="187">
        <f>IF(COUNT(JL17:JL19)=0,"",SUM(JL17:JL19)/COUNT(JL17:JL19))</f>
        <v>2</v>
      </c>
      <c r="JM16" s="188" t="str">
        <f t="shared" si="56"/>
        <v>C</v>
      </c>
      <c r="JN16" s="230"/>
      <c r="JO16" s="85"/>
      <c r="JP16" s="85"/>
      <c r="JQ16" s="107"/>
      <c r="JR16" s="187">
        <f>IF(COUNT(JR17:JR19)=0,"",SUM(JR17:JR19)/COUNT(JR17:JR19))</f>
        <v>2.3888888888888888</v>
      </c>
      <c r="JS16" s="203" t="str">
        <f t="shared" si="57"/>
        <v>C</v>
      </c>
      <c r="JT16" s="181"/>
      <c r="JU16" s="112"/>
      <c r="JV16" s="112"/>
      <c r="JW16" s="113"/>
      <c r="JX16" s="187" t="str">
        <f>IF(COUNT(JX17:JX19)=0,"",SUM(JX17:JX19)/COUNT(JX17:JX19))</f>
        <v/>
      </c>
      <c r="JY16" s="211" t="str">
        <f t="shared" si="58"/>
        <v/>
      </c>
      <c r="JZ16" s="212">
        <f>IF(COUNT(JZ17:JZ19)=0,"",SUM(JZ17:JZ19)/COUNT(JZ17:JZ19))</f>
        <v>2.1944444444444442</v>
      </c>
      <c r="KA16" s="213" t="str">
        <f t="shared" si="59"/>
        <v>C</v>
      </c>
      <c r="KB16" s="224"/>
      <c r="KC16" s="85"/>
      <c r="KD16" s="107"/>
      <c r="KE16" s="187">
        <f>IF(COUNT(KE17:KE19)=0,"",SUM(KE17:KE19)/COUNT(KE17:KE19))</f>
        <v>2.3333333333333335</v>
      </c>
      <c r="KF16" s="188" t="str">
        <f t="shared" si="60"/>
        <v>C</v>
      </c>
      <c r="KG16" s="230"/>
      <c r="KH16" s="85"/>
      <c r="KI16" s="85"/>
      <c r="KJ16" s="107"/>
      <c r="KK16" s="187">
        <f>IF(COUNT(KK17:KK19)=0,"",SUM(KK17:KK19)/COUNT(KK17:KK19))</f>
        <v>2.2777777777777781</v>
      </c>
      <c r="KL16" s="203" t="str">
        <f t="shared" si="61"/>
        <v>C</v>
      </c>
      <c r="KM16" s="181"/>
      <c r="KN16" s="112"/>
      <c r="KO16" s="112"/>
      <c r="KP16" s="113"/>
      <c r="KQ16" s="187" t="str">
        <f>IF(COUNT(KQ17:KQ19)=0,"",SUM(KQ17:KQ19)/COUNT(KQ17:KQ19))</f>
        <v/>
      </c>
      <c r="KR16" s="211" t="str">
        <f t="shared" si="62"/>
        <v/>
      </c>
      <c r="KS16" s="212">
        <f>IF(COUNT(KS17:KS19)=0,"",SUM(KS17:KS19)/COUNT(KS17:KS19))</f>
        <v>2.3055555555555558</v>
      </c>
      <c r="KT16" s="213" t="str">
        <f t="shared" si="63"/>
        <v>C</v>
      </c>
      <c r="KU16" s="224"/>
      <c r="KV16" s="85"/>
      <c r="KW16" s="107"/>
      <c r="KX16" s="187">
        <f>IF(COUNT(KX17:KX19)=0,"",SUM(KX17:KX19)/COUNT(KX17:KX19))</f>
        <v>2.8333333333333335</v>
      </c>
      <c r="KY16" s="188" t="str">
        <f t="shared" si="64"/>
        <v>B</v>
      </c>
      <c r="KZ16" s="230"/>
      <c r="LA16" s="85"/>
      <c r="LB16" s="85"/>
      <c r="LC16" s="107"/>
      <c r="LD16" s="187">
        <f>IF(COUNT(LD17:LD19)=0,"",SUM(LD17:LD19)/COUNT(LD17:LD19))</f>
        <v>2.6111111111111112</v>
      </c>
      <c r="LE16" s="203" t="str">
        <f t="shared" si="65"/>
        <v>C</v>
      </c>
      <c r="LF16" s="181"/>
      <c r="LG16" s="112"/>
      <c r="LH16" s="112"/>
      <c r="LI16" s="113"/>
      <c r="LJ16" s="187" t="str">
        <f>IF(COUNT(LJ17:LJ19)=0,"",SUM(LJ17:LJ19)/COUNT(LJ17:LJ19))</f>
        <v/>
      </c>
      <c r="LK16" s="211" t="str">
        <f t="shared" si="66"/>
        <v/>
      </c>
      <c r="LL16" s="212">
        <f>IF(COUNT(LL17:LL19)=0,"",SUM(LL17:LL19)/COUNT(LL17:LL19))</f>
        <v>2.7222222222222228</v>
      </c>
      <c r="LM16" s="213" t="str">
        <f t="shared" si="67"/>
        <v>C</v>
      </c>
      <c r="LN16" s="224"/>
      <c r="LO16" s="85"/>
      <c r="LP16" s="107"/>
      <c r="LQ16" s="187">
        <f>IF(COUNT(LQ17:LQ19)=0,"",SUM(LQ17:LQ19)/COUNT(LQ17:LQ19))</f>
        <v>2.8333333333333335</v>
      </c>
      <c r="LR16" s="188" t="str">
        <f t="shared" si="68"/>
        <v>B</v>
      </c>
      <c r="LS16" s="230"/>
      <c r="LT16" s="85"/>
      <c r="LU16" s="85"/>
      <c r="LV16" s="107"/>
      <c r="LW16" s="187">
        <f>IF(COUNT(LW17:LW19)=0,"",SUM(LW17:LW19)/COUNT(LW17:LW19))</f>
        <v>3.1666666666666665</v>
      </c>
      <c r="LX16" s="203" t="str">
        <f t="shared" si="69"/>
        <v>B</v>
      </c>
      <c r="LY16" s="181"/>
      <c r="LZ16" s="112"/>
      <c r="MA16" s="112"/>
      <c r="MB16" s="113"/>
      <c r="MC16" s="187" t="str">
        <f>IF(COUNT(MC17:MC19)=0,"",SUM(MC17:MC19)/COUNT(MC17:MC19))</f>
        <v/>
      </c>
      <c r="MD16" s="211" t="str">
        <f t="shared" si="70"/>
        <v/>
      </c>
      <c r="ME16" s="212">
        <f>IF(COUNT(ME17:ME19)=0,"",SUM(ME17:ME19)/COUNT(ME17:ME19))</f>
        <v>3</v>
      </c>
      <c r="MF16" s="213" t="str">
        <f t="shared" si="71"/>
        <v>B</v>
      </c>
      <c r="MG16" s="224"/>
      <c r="MH16" s="85"/>
      <c r="MI16" s="107"/>
      <c r="MJ16" s="187">
        <f>IF(COUNT(MJ17:MJ19)=0,"",SUM(MJ17:MJ19)/COUNT(MJ17:MJ19))</f>
        <v>3</v>
      </c>
      <c r="MK16" s="188" t="str">
        <f t="shared" si="72"/>
        <v>B</v>
      </c>
      <c r="ML16" s="230"/>
      <c r="MM16" s="85"/>
      <c r="MN16" s="85"/>
      <c r="MO16" s="107"/>
      <c r="MP16" s="187">
        <f>IF(COUNT(MP17:MP19)=0,"",SUM(MP17:MP19)/COUNT(MP17:MP19))</f>
        <v>2.3333333333333335</v>
      </c>
      <c r="MQ16" s="203" t="str">
        <f t="shared" si="73"/>
        <v>C</v>
      </c>
      <c r="MR16" s="181"/>
      <c r="MS16" s="112"/>
      <c r="MT16" s="112"/>
      <c r="MU16" s="113"/>
      <c r="MV16" s="187" t="str">
        <f>IF(COUNT(MV17:MV19)=0,"",SUM(MV17:MV19)/COUNT(MV17:MV19))</f>
        <v/>
      </c>
      <c r="MW16" s="211" t="str">
        <f t="shared" si="74"/>
        <v/>
      </c>
      <c r="MX16" s="212">
        <f>IF(COUNT(MX17:MX19)=0,"",SUM(MX17:MX19)/COUNT(MX17:MX19))</f>
        <v>2.6666666666666665</v>
      </c>
      <c r="MY16" s="213" t="str">
        <f t="shared" si="75"/>
        <v>C</v>
      </c>
      <c r="MZ16" s="224"/>
      <c r="NA16" s="85"/>
      <c r="NB16" s="107"/>
      <c r="NC16" s="187">
        <f>IF(COUNT(NC17:NC19)=0,"",SUM(NC17:NC19)/COUNT(NC17:NC19))</f>
        <v>2.6666666666666665</v>
      </c>
      <c r="ND16" s="188" t="str">
        <f t="shared" si="76"/>
        <v>C</v>
      </c>
      <c r="NE16" s="230"/>
      <c r="NF16" s="85"/>
      <c r="NG16" s="85"/>
      <c r="NH16" s="107"/>
      <c r="NI16" s="187">
        <f>IF(COUNT(NI17:NI19)=0,"",SUM(NI17:NI19)/COUNT(NI17:NI19))</f>
        <v>3.0555555555555554</v>
      </c>
      <c r="NJ16" s="203" t="str">
        <f t="shared" si="77"/>
        <v>B</v>
      </c>
      <c r="NK16" s="181"/>
      <c r="NL16" s="112"/>
      <c r="NM16" s="112"/>
      <c r="NN16" s="113"/>
      <c r="NO16" s="187" t="str">
        <f>IF(COUNT(NO17:NO19)=0,"",SUM(NO17:NO19)/COUNT(NO17:NO19))</f>
        <v/>
      </c>
      <c r="NP16" s="211" t="str">
        <f t="shared" si="78"/>
        <v/>
      </c>
      <c r="NQ16" s="212">
        <f>IF(COUNT(NQ17:NQ19)=0,"",SUM(NQ17:NQ19)/COUNT(NQ17:NQ19))</f>
        <v>2.8611111111111107</v>
      </c>
      <c r="NR16" s="213" t="str">
        <f t="shared" si="79"/>
        <v>B</v>
      </c>
      <c r="NS16" s="224"/>
      <c r="NT16" s="85"/>
      <c r="NU16" s="107"/>
      <c r="NV16" s="187">
        <f>IF(COUNT(NV17:NV19)=0,"",SUM(NV17:NV19)/COUNT(NV17:NV19))</f>
        <v>3</v>
      </c>
      <c r="NW16" s="188" t="str">
        <f t="shared" si="80"/>
        <v>B</v>
      </c>
      <c r="NX16" s="230"/>
      <c r="NY16" s="85"/>
      <c r="NZ16" s="85"/>
      <c r="OA16" s="107"/>
      <c r="OB16" s="187">
        <f>IF(COUNT(OB17:OB19)=0,"",SUM(OB17:OB19)/COUNT(OB17:OB19))</f>
        <v>2.7222222222222219</v>
      </c>
      <c r="OC16" s="203" t="str">
        <f t="shared" si="81"/>
        <v>C</v>
      </c>
      <c r="OD16" s="181"/>
      <c r="OE16" s="112"/>
      <c r="OF16" s="112"/>
      <c r="OG16" s="113"/>
      <c r="OH16" s="187" t="str">
        <f>IF(COUNT(OH17:OH19)=0,"",SUM(OH17:OH19)/COUNT(OH17:OH19))</f>
        <v/>
      </c>
      <c r="OI16" s="211" t="str">
        <f t="shared" si="82"/>
        <v/>
      </c>
      <c r="OJ16" s="212">
        <f>IF(COUNT(OJ17:OJ19)=0,"",SUM(OJ17:OJ19)/COUNT(OJ17:OJ19))</f>
        <v>2.7777777777777772</v>
      </c>
      <c r="OK16" s="213" t="str">
        <f t="shared" si="83"/>
        <v>C</v>
      </c>
      <c r="OL16" s="224"/>
      <c r="OM16" s="85"/>
      <c r="ON16" s="107"/>
      <c r="OO16" s="187">
        <f>IF(COUNT(OO17:OO19)=0,"",SUM(OO17:OO19)/COUNT(OO17:OO19))</f>
        <v>3.5</v>
      </c>
      <c r="OP16" s="188" t="str">
        <f t="shared" si="84"/>
        <v>B</v>
      </c>
      <c r="OQ16" s="230"/>
      <c r="OR16" s="85"/>
      <c r="OS16" s="85"/>
      <c r="OT16" s="107"/>
      <c r="OU16" s="187">
        <f>IF(COUNT(OU17:OU19)=0,"",SUM(OU17:OU19)/COUNT(OU17:OU19))</f>
        <v>3.2777777777777781</v>
      </c>
      <c r="OV16" s="203" t="str">
        <f t="shared" si="85"/>
        <v>B</v>
      </c>
      <c r="OW16" s="181"/>
      <c r="OX16" s="112"/>
      <c r="OY16" s="112"/>
      <c r="OZ16" s="113"/>
      <c r="PA16" s="187" t="str">
        <f>IF(COUNT(PA17:PA19)=0,"",SUM(PA17:PA19)/COUNT(PA17:PA19))</f>
        <v/>
      </c>
      <c r="PB16" s="211" t="str">
        <f t="shared" si="86"/>
        <v/>
      </c>
      <c r="PC16" s="212">
        <f>IF(COUNT(PC17:PC19)=0,"",SUM(PC17:PC19)/COUNT(PC17:PC19))</f>
        <v>3.3888888888888893</v>
      </c>
      <c r="PD16" s="213" t="str">
        <f t="shared" si="87"/>
        <v>B</v>
      </c>
      <c r="PE16" s="224"/>
      <c r="PF16" s="85"/>
      <c r="PG16" s="107"/>
      <c r="PH16" s="187">
        <f>IF(COUNT(PH17:PH19)=0,"",SUM(PH17:PH19)/COUNT(PH17:PH19))</f>
        <v>2.25</v>
      </c>
      <c r="PI16" s="188" t="str">
        <f t="shared" si="88"/>
        <v>C</v>
      </c>
      <c r="PJ16" s="230"/>
      <c r="PK16" s="85"/>
      <c r="PL16" s="85"/>
      <c r="PM16" s="107"/>
      <c r="PN16" s="187">
        <f>IF(COUNT(PN17:PN19)=0,"",SUM(PN17:PN19)/COUNT(PN17:PN19))</f>
        <v>2.7222222222222219</v>
      </c>
      <c r="PO16" s="203" t="str">
        <f t="shared" si="89"/>
        <v>C</v>
      </c>
      <c r="PP16" s="181"/>
      <c r="PQ16" s="112"/>
      <c r="PR16" s="112"/>
      <c r="PS16" s="113"/>
      <c r="PT16" s="187" t="str">
        <f>IF(COUNT(PT17:PT19)=0,"",SUM(PT17:PT19)/COUNT(PT17:PT19))</f>
        <v/>
      </c>
      <c r="PU16" s="211" t="str">
        <f t="shared" si="90"/>
        <v/>
      </c>
      <c r="PV16" s="212">
        <f>IF(COUNT(PV17:PV19)=0,"",SUM(PV17:PV19)/COUNT(PV17:PV19))</f>
        <v>2.6111111111111112</v>
      </c>
      <c r="PW16" s="213" t="str">
        <f t="shared" si="91"/>
        <v>C</v>
      </c>
      <c r="PX16" s="224"/>
      <c r="PY16" s="85"/>
      <c r="PZ16" s="107"/>
      <c r="QA16" s="187">
        <f>IF(COUNT(QA17:QA19)=0,"",SUM(QA17:QA19)/COUNT(QA17:QA19))</f>
        <v>2.5</v>
      </c>
      <c r="QB16" s="188" t="str">
        <f t="shared" si="92"/>
        <v>C</v>
      </c>
      <c r="QC16" s="230"/>
      <c r="QD16" s="85"/>
      <c r="QE16" s="85"/>
      <c r="QF16" s="107"/>
      <c r="QG16" s="187">
        <f>IF(COUNT(QG17:QG19)=0,"",SUM(QG17:QG19)/COUNT(QG17:QG19))</f>
        <v>2.9444444444444446</v>
      </c>
      <c r="QH16" s="203" t="str">
        <f t="shared" si="93"/>
        <v>B</v>
      </c>
      <c r="QI16" s="181"/>
      <c r="QJ16" s="112"/>
      <c r="QK16" s="112"/>
      <c r="QL16" s="113"/>
      <c r="QM16" s="187" t="str">
        <f>IF(COUNT(QM17:QM19)=0,"",SUM(QM17:QM19)/COUNT(QM17:QM19))</f>
        <v/>
      </c>
      <c r="QN16" s="211" t="str">
        <f t="shared" si="94"/>
        <v/>
      </c>
      <c r="QO16" s="212">
        <f>IF(COUNT(QO17:QO19)=0,"",SUM(QO17:QO19)/COUNT(QO17:QO19))</f>
        <v>2.7222222222222228</v>
      </c>
      <c r="QP16" s="213" t="str">
        <f t="shared" si="95"/>
        <v>C</v>
      </c>
      <c r="QQ16" s="224"/>
      <c r="QR16" s="85"/>
      <c r="QS16" s="107"/>
      <c r="QT16" s="187">
        <f>IF(COUNT(QT17:QT19)=0,"",SUM(QT17:QT19)/COUNT(QT17:QT19))</f>
        <v>3</v>
      </c>
      <c r="QU16" s="188" t="str">
        <f t="shared" si="96"/>
        <v>B</v>
      </c>
      <c r="QV16" s="230"/>
      <c r="QW16" s="85"/>
      <c r="QX16" s="85"/>
      <c r="QY16" s="107"/>
      <c r="QZ16" s="187">
        <f>IF(COUNT(QZ17:QZ19)=0,"",SUM(QZ17:QZ19)/COUNT(QZ17:QZ19))</f>
        <v>2.6111111111111112</v>
      </c>
      <c r="RA16" s="203" t="str">
        <f t="shared" si="97"/>
        <v>C</v>
      </c>
      <c r="RB16" s="181"/>
      <c r="RC16" s="112"/>
      <c r="RD16" s="112"/>
      <c r="RE16" s="113"/>
      <c r="RF16" s="187" t="str">
        <f>IF(COUNT(RF17:RF19)=0,"",SUM(RF17:RF19)/COUNT(RF17:RF19))</f>
        <v/>
      </c>
      <c r="RG16" s="211" t="str">
        <f t="shared" si="98"/>
        <v/>
      </c>
      <c r="RH16" s="212">
        <f>IF(COUNT(RH17:RH19)=0,"",SUM(RH17:RH19)/COUNT(RH17:RH19))</f>
        <v>2.8055555555555558</v>
      </c>
      <c r="RI16" s="213" t="str">
        <f t="shared" si="99"/>
        <v>B</v>
      </c>
      <c r="RJ16" s="224"/>
      <c r="RK16" s="85"/>
      <c r="RL16" s="107"/>
      <c r="RM16" s="187">
        <f>IF(COUNT(RM17:RM19)=0,"",SUM(RM17:RM19)/COUNT(RM17:RM19))</f>
        <v>3</v>
      </c>
      <c r="RN16" s="188" t="str">
        <f t="shared" si="100"/>
        <v>B</v>
      </c>
      <c r="RO16" s="230"/>
      <c r="RP16" s="85"/>
      <c r="RQ16" s="85"/>
      <c r="RR16" s="107"/>
      <c r="RS16" s="187">
        <f>IF(COUNT(RS17:RS19)=0,"",SUM(RS17:RS19)/COUNT(RS17:RS19))</f>
        <v>2.4444444444444446</v>
      </c>
      <c r="RT16" s="203" t="str">
        <f t="shared" si="101"/>
        <v>C</v>
      </c>
      <c r="RU16" s="181"/>
      <c r="RV16" s="112"/>
      <c r="RW16" s="112"/>
      <c r="RX16" s="113"/>
      <c r="RY16" s="187" t="str">
        <f>IF(COUNT(RY17:RY19)=0,"",SUM(RY17:RY19)/COUNT(RY17:RY19))</f>
        <v/>
      </c>
      <c r="RZ16" s="211" t="str">
        <f t="shared" si="102"/>
        <v/>
      </c>
      <c r="SA16" s="212">
        <f>IF(COUNT(SA17:SA19)=0,"",SUM(SA17:SA19)/COUNT(SA17:SA19))</f>
        <v>2.7222222222222228</v>
      </c>
      <c r="SB16" s="213" t="str">
        <f t="shared" si="103"/>
        <v>C</v>
      </c>
      <c r="SC16" s="148"/>
      <c r="SD16" s="85"/>
      <c r="SE16" s="107"/>
      <c r="SF16" s="108" t="str">
        <f>IF(COUNT(SF17:SF19)=0,"",SUM(SF17:SF19)/COUNT(SF17:SF19))</f>
        <v/>
      </c>
      <c r="SG16" s="109" t="str">
        <f t="shared" si="104"/>
        <v/>
      </c>
      <c r="SH16" s="106"/>
      <c r="SI16" s="85"/>
      <c r="SJ16" s="107"/>
      <c r="SK16" s="108" t="str">
        <f>IF(COUNT(SK17:SK19)=0,"",SUM(SK17:SK19)/COUNT(SK17:SK19))</f>
        <v/>
      </c>
      <c r="SL16" s="110" t="str">
        <f t="shared" si="105"/>
        <v/>
      </c>
      <c r="SM16" s="111"/>
      <c r="SN16" s="112"/>
      <c r="SO16" s="113"/>
      <c r="SP16" s="108" t="str">
        <f>IF(COUNT(SP17:SP19)=0,"",SUM(SP17:SP19)/COUNT(SP17:SP19))</f>
        <v/>
      </c>
      <c r="SQ16" s="114" t="str">
        <f t="shared" si="106"/>
        <v/>
      </c>
      <c r="SR16" s="115" t="str">
        <f>IF(COUNT(SR17:SR19)=0,"",SUM(SR17:SR19)/COUNT(SR17:SR19))</f>
        <v/>
      </c>
      <c r="SS16" s="116" t="str">
        <f t="shared" si="107"/>
        <v/>
      </c>
      <c r="ST16" s="148"/>
      <c r="SU16" s="85"/>
      <c r="SV16" s="107"/>
      <c r="SW16" s="108" t="str">
        <f>IF(COUNT(SW17:SW19)=0,"",SUM(SW17:SW19)/COUNT(SW17:SW19))</f>
        <v/>
      </c>
      <c r="SX16" s="109" t="str">
        <f t="shared" si="108"/>
        <v/>
      </c>
      <c r="SY16" s="106"/>
      <c r="SZ16" s="85"/>
      <c r="TA16" s="107"/>
      <c r="TB16" s="108" t="str">
        <f>IF(COUNT(TB17:TB19)=0,"",SUM(TB17:TB19)/COUNT(TB17:TB19))</f>
        <v/>
      </c>
      <c r="TC16" s="110" t="str">
        <f t="shared" si="109"/>
        <v/>
      </c>
      <c r="TD16" s="111"/>
      <c r="TE16" s="112"/>
      <c r="TF16" s="113"/>
      <c r="TG16" s="108" t="str">
        <f>IF(COUNT(TG17:TG19)=0,"",SUM(TG17:TG19)/COUNT(TG17:TG19))</f>
        <v/>
      </c>
      <c r="TH16" s="114" t="str">
        <f t="shared" si="110"/>
        <v/>
      </c>
      <c r="TI16" s="115" t="str">
        <f>IF(COUNT(TI17:TI19)=0,"",SUM(TI17:TI19)/COUNT(TI17:TI19))</f>
        <v/>
      </c>
      <c r="TJ16" s="116" t="str">
        <f t="shared" si="111"/>
        <v/>
      </c>
      <c r="TK16" s="148"/>
      <c r="TL16" s="85"/>
      <c r="TM16" s="107"/>
      <c r="TN16" s="108" t="str">
        <f>IF(COUNT(TN17:TN19)=0,"",SUM(TN17:TN19)/COUNT(TN17:TN19))</f>
        <v/>
      </c>
      <c r="TO16" s="109" t="str">
        <f t="shared" si="112"/>
        <v/>
      </c>
      <c r="TP16" s="106"/>
      <c r="TQ16" s="85"/>
      <c r="TR16" s="107"/>
      <c r="TS16" s="108" t="str">
        <f>IF(COUNT(TS17:TS19)=0,"",SUM(TS17:TS19)/COUNT(TS17:TS19))</f>
        <v/>
      </c>
      <c r="TT16" s="110" t="str">
        <f t="shared" si="113"/>
        <v/>
      </c>
      <c r="TU16" s="111"/>
      <c r="TV16" s="112"/>
      <c r="TW16" s="113"/>
      <c r="TX16" s="108" t="str">
        <f>IF(COUNT(TX17:TX19)=0,"",SUM(TX17:TX19)/COUNT(TX17:TX19))</f>
        <v/>
      </c>
      <c r="TY16" s="114" t="str">
        <f t="shared" si="114"/>
        <v/>
      </c>
      <c r="TZ16" s="115" t="str">
        <f>IF(COUNT(TZ17:TZ19)=0,"",SUM(TZ17:TZ19)/COUNT(TZ17:TZ19))</f>
        <v/>
      </c>
      <c r="UA16" s="116" t="str">
        <f t="shared" si="115"/>
        <v/>
      </c>
      <c r="UB16" s="148"/>
      <c r="UC16" s="85"/>
      <c r="UD16" s="107"/>
      <c r="UE16" s="108" t="str">
        <f>IF(COUNT(UE17:UE19)=0,"",SUM(UE17:UE19)/COUNT(UE17:UE19))</f>
        <v/>
      </c>
      <c r="UF16" s="109" t="str">
        <f t="shared" si="116"/>
        <v/>
      </c>
      <c r="UG16" s="106"/>
      <c r="UH16" s="85"/>
      <c r="UI16" s="107"/>
      <c r="UJ16" s="108" t="str">
        <f>IF(COUNT(UJ17:UJ19)=0,"",SUM(UJ17:UJ19)/COUNT(UJ17:UJ19))</f>
        <v/>
      </c>
      <c r="UK16" s="110" t="str">
        <f t="shared" si="117"/>
        <v/>
      </c>
      <c r="UL16" s="111"/>
      <c r="UM16" s="112"/>
      <c r="UN16" s="113"/>
      <c r="UO16" s="108" t="str">
        <f>IF(COUNT(UO17:UO19)=0,"",SUM(UO17:UO19)/COUNT(UO17:UO19))</f>
        <v/>
      </c>
      <c r="UP16" s="114" t="str">
        <f t="shared" si="118"/>
        <v/>
      </c>
      <c r="UQ16" s="115" t="str">
        <f>IF(COUNT(UQ17:UQ19)=0,"",SUM(UQ17:UQ19)/COUNT(UQ17:UQ19))</f>
        <v/>
      </c>
      <c r="UR16" s="116" t="str">
        <f t="shared" si="119"/>
        <v/>
      </c>
    </row>
    <row r="17" spans="1:564" ht="18" customHeight="1" x14ac:dyDescent="0.25">
      <c r="A17" s="250" t="s">
        <v>23</v>
      </c>
      <c r="B17" s="251"/>
      <c r="C17" s="134"/>
      <c r="D17" s="128" t="s">
        <v>31</v>
      </c>
      <c r="E17" s="129" t="s">
        <v>31</v>
      </c>
      <c r="F17" s="189">
        <f>IFERROR((((COUNTIF('Elève (4ème4)'!C17:E17,"A"))*4)+((COUNTIF('Elève (4ème4)'!C17:E17,"B"))*3)+((COUNTIF('Elève (4ème4)'!C17:E17,"C"))*2)+((COUNTIF('Elève (4ème4)'!C17:E17,"D"))*1))/(COUNTA(C17:E17)),"")</f>
        <v>2</v>
      </c>
      <c r="G17" s="190" t="str">
        <f t="shared" si="0"/>
        <v>C</v>
      </c>
      <c r="H17" s="134"/>
      <c r="I17" s="128" t="s">
        <v>31</v>
      </c>
      <c r="J17" s="129" t="s">
        <v>31</v>
      </c>
      <c r="K17" s="129" t="s">
        <v>31</v>
      </c>
      <c r="L17" s="189">
        <f>IFERROR((((COUNTIF('Elève (4ème4)'!H17:K17,"A"))*4)+((COUNTIF('Elève (4ème4)'!H17:K17,"B"))*3)+((COUNTIF('Elève (4ème4)'!H17:K17,"C"))*2)+((COUNTIF('Elève (4ème4)'!H17:K17,"D"))*1))/(COUNTA(H17:K17)),"")</f>
        <v>2</v>
      </c>
      <c r="M17" s="190" t="str">
        <f t="shared" si="1"/>
        <v>C</v>
      </c>
      <c r="N17" s="134"/>
      <c r="O17" s="132"/>
      <c r="P17" s="133"/>
      <c r="Q17" s="133"/>
      <c r="R17" s="189" t="str">
        <f>IFERROR((((COUNTIF('Elève (4ème4)'!N17:Q17,"A"))*4)+((COUNTIF('Elève (4ème4)'!N17:Q17,"B"))*3)+((COUNTIF('Elève (4ème4)'!N17:Q17,"C"))*2)+((COUNTIF('Elève (4ème4)'!N17:Q17,"D"))*1))/(COUNTA(N17:Q17)),"")</f>
        <v/>
      </c>
      <c r="S17" s="190" t="str">
        <f t="shared" si="2"/>
        <v/>
      </c>
      <c r="T17" s="189">
        <f>IF(COUNT(F17,L17,R17)=0,"",SUM(F17,L17,R17)/COUNT(F17,L17,R17))</f>
        <v>2</v>
      </c>
      <c r="U17" s="219" t="str">
        <f t="shared" si="3"/>
        <v>C</v>
      </c>
      <c r="V17" s="134"/>
      <c r="W17" s="128" t="s">
        <v>31</v>
      </c>
      <c r="X17" s="129" t="s">
        <v>31</v>
      </c>
      <c r="Y17" s="189">
        <f>IFERROR((((COUNTIF('Elève (4ème4)'!V17:X17,"A"))*4)+((COUNTIF('Elève (4ème4)'!V17:X17,"B"))*3)+((COUNTIF('Elève (4ème4)'!V17:X17,"C"))*2)+((COUNTIF('Elève (4ème4)'!V17:X17,"D"))*1))/(COUNTA(V17:X17)),"")</f>
        <v>2</v>
      </c>
      <c r="Z17" s="190" t="str">
        <f t="shared" si="4"/>
        <v>C</v>
      </c>
      <c r="AA17" s="134"/>
      <c r="AB17" s="128" t="s">
        <v>31</v>
      </c>
      <c r="AC17" s="129" t="s">
        <v>30</v>
      </c>
      <c r="AD17" s="129" t="s">
        <v>30</v>
      </c>
      <c r="AE17" s="189">
        <f>IFERROR((((COUNTIF('Elève (4ème4)'!AA17:AD17,"A"))*4)+((COUNTIF('Elève (4ème4)'!AA17:AD17,"B"))*3)+((COUNTIF('Elève (4ème4)'!AA17:AD17,"C"))*2)+((COUNTIF('Elève (4ème4)'!AA17:AD17,"D"))*1))/(COUNTA(AA17:AD17)),"")</f>
        <v>2.6666666666666665</v>
      </c>
      <c r="AF17" s="190" t="str">
        <f t="shared" si="5"/>
        <v>C</v>
      </c>
      <c r="AG17" s="134"/>
      <c r="AH17" s="132"/>
      <c r="AI17" s="133"/>
      <c r="AJ17" s="136"/>
      <c r="AK17" s="189" t="str">
        <f>IFERROR((((COUNTIF('Elève (4ème4)'!AG17:AJ17,"A"))*4)+((COUNTIF('Elève (4ème4)'!AG17:AJ17,"B"))*3)+((COUNTIF('Elève (4ème4)'!AG17:AJ17,"C"))*2)+((COUNTIF('Elève (4ème4)'!AG17:AJ17,"D"))*1))/(COUNTA(AG17:AJ17)),"")</f>
        <v/>
      </c>
      <c r="AL17" s="190" t="str">
        <f t="shared" si="6"/>
        <v/>
      </c>
      <c r="AM17" s="189">
        <f>IF(COUNT(Y17,AE17,AK17)=0,"",SUM(Y17,AE17,AK17)/COUNT(Y17,AE17,AK17))</f>
        <v>2.333333333333333</v>
      </c>
      <c r="AN17" s="219" t="str">
        <f t="shared" si="7"/>
        <v>C</v>
      </c>
      <c r="AO17" s="134"/>
      <c r="AP17" s="128" t="s">
        <v>30</v>
      </c>
      <c r="AQ17" s="129" t="s">
        <v>31</v>
      </c>
      <c r="AR17" s="189">
        <f>IFERROR((((COUNTIF('Elève (4ème4)'!AO17:AQ17,"A"))*4)+((COUNTIF('Elève (4ème4)'!AO17:AQ17,"B"))*3)+((COUNTIF('Elève (4ème4)'!AO17:AQ17,"C"))*2)+((COUNTIF('Elève (4ème4)'!AO17:AQ17,"D"))*1))/(COUNTA(AO17:AQ17)),"")</f>
        <v>2.5</v>
      </c>
      <c r="AS17" s="190" t="str">
        <f t="shared" si="8"/>
        <v>C</v>
      </c>
      <c r="AT17" s="134"/>
      <c r="AU17" s="128" t="s">
        <v>31</v>
      </c>
      <c r="AV17" s="129" t="s">
        <v>30</v>
      </c>
      <c r="AW17" s="129" t="s">
        <v>31</v>
      </c>
      <c r="AX17" s="189">
        <f>IFERROR((((COUNTIF('Elève (4ème4)'!AT17:AW17,"A"))*4)+((COUNTIF('Elève (4ème4)'!AT17:AW17,"B"))*3)+((COUNTIF('Elève (4ème4)'!AT17:AW17,"C"))*2)+((COUNTIF('Elève (4ème4)'!AT17:AW17,"D"))*1))/(COUNTA(AT17:AW17)),"")</f>
        <v>2.3333333333333335</v>
      </c>
      <c r="AY17" s="190" t="str">
        <f t="shared" si="9"/>
        <v>C</v>
      </c>
      <c r="AZ17" s="134"/>
      <c r="BA17" s="132"/>
      <c r="BB17" s="133"/>
      <c r="BC17" s="136"/>
      <c r="BD17" s="189" t="str">
        <f>IFERROR((((COUNTIF('Elève (4ème4)'!AZ17:BC17,"A"))*4)+((COUNTIF('Elève (4ème4)'!AZ17:BC17,"B"))*3)+((COUNTIF('Elève (4ème4)'!AZ17:BC17,"C"))*2)+((COUNTIF('Elève (4ème4)'!AZ17:BC17,"D"))*1))/(COUNTA(AZ17:BC17)),"")</f>
        <v/>
      </c>
      <c r="BE17" s="190" t="str">
        <f t="shared" si="10"/>
        <v/>
      </c>
      <c r="BF17" s="189">
        <f>IF(COUNT(AR17,AX17,BD17)=0,"",SUM(AR17,AX17,BD17)/COUNT(AR17,AX17,BD17))</f>
        <v>2.416666666666667</v>
      </c>
      <c r="BG17" s="219" t="str">
        <f t="shared" si="11"/>
        <v>C</v>
      </c>
      <c r="BH17" s="134"/>
      <c r="BI17" s="128" t="s">
        <v>31</v>
      </c>
      <c r="BJ17" s="129" t="s">
        <v>31</v>
      </c>
      <c r="BK17" s="189">
        <f>IFERROR((((COUNTIF('Elève (4ème4)'!BH17:BJ17,"A"))*4)+((COUNTIF('Elève (4ème4)'!BH17:BJ17,"B"))*3)+((COUNTIF('Elève (4ème4)'!BH17:BJ17,"C"))*2)+((COUNTIF('Elève (4ème4)'!BH17:BJ17,"D"))*1))/(COUNTA(BH17:BJ17)),"")</f>
        <v>2</v>
      </c>
      <c r="BL17" s="190" t="str">
        <f t="shared" si="12"/>
        <v>C</v>
      </c>
      <c r="BM17" s="134"/>
      <c r="BN17" s="128" t="s">
        <v>31</v>
      </c>
      <c r="BO17" s="129" t="s">
        <v>29</v>
      </c>
      <c r="BP17" s="129" t="s">
        <v>30</v>
      </c>
      <c r="BQ17" s="189">
        <f>IFERROR((((COUNTIF('Elève (4ème4)'!BM17:BP17,"A"))*4)+((COUNTIF('Elève (4ème4)'!BM17:BP17,"B"))*3)+((COUNTIF('Elève (4ème4)'!BM17:BP17,"C"))*2)+((COUNTIF('Elève (4ème4)'!BM17:BP17,"D"))*1))/(COUNTA(BM17:BP17)),"")</f>
        <v>3</v>
      </c>
      <c r="BR17" s="190" t="str">
        <f t="shared" si="13"/>
        <v>B</v>
      </c>
      <c r="BS17" s="134"/>
      <c r="BT17" s="132"/>
      <c r="BU17" s="133"/>
      <c r="BV17" s="136"/>
      <c r="BW17" s="189" t="str">
        <f>IFERROR((((COUNTIF('Elève (4ème4)'!BS17:BV17,"A"))*4)+((COUNTIF('Elève (4ème4)'!BS17:BV17,"B"))*3)+((COUNTIF('Elève (4ème4)'!BS17:BV17,"C"))*2)+((COUNTIF('Elève (4ème4)'!BS17:BV17,"D"))*1))/(COUNTA(BS17:BV17)),"")</f>
        <v/>
      </c>
      <c r="BX17" s="190" t="str">
        <f t="shared" si="14"/>
        <v/>
      </c>
      <c r="BY17" s="189">
        <f>IF(COUNT(BK17,BQ17,BW17)=0,"",SUM(BK17,BQ17,BW17)/COUNT(BK17,BQ17,BW17))</f>
        <v>2.5</v>
      </c>
      <c r="BZ17" s="219" t="str">
        <f t="shared" si="15"/>
        <v>C</v>
      </c>
      <c r="CA17" s="134"/>
      <c r="CB17" s="128" t="s">
        <v>31</v>
      </c>
      <c r="CC17" s="129" t="s">
        <v>32</v>
      </c>
      <c r="CD17" s="189">
        <f>IFERROR((((COUNTIF('Elève (4ème4)'!CA17:CC17,"A"))*4)+((COUNTIF('Elève (4ème4)'!CA17:CC17,"B"))*3)+((COUNTIF('Elève (4ème4)'!CA17:CC17,"C"))*2)+((COUNTIF('Elève (4ème4)'!CA17:CC17,"D"))*1))/(COUNTA(CA17:CC17)),"")</f>
        <v>1.5</v>
      </c>
      <c r="CE17" s="190" t="str">
        <f t="shared" si="16"/>
        <v>D</v>
      </c>
      <c r="CF17" s="134"/>
      <c r="CG17" s="128" t="s">
        <v>31</v>
      </c>
      <c r="CH17" s="129" t="s">
        <v>31</v>
      </c>
      <c r="CI17" s="129" t="s">
        <v>31</v>
      </c>
      <c r="CJ17" s="189">
        <f>IFERROR((((COUNTIF('Elève (4ème4)'!CF17:CI17,"A"))*4)+((COUNTIF('Elève (4ème4)'!CF17:CI17,"B"))*3)+((COUNTIF('Elève (4ème4)'!CF17:CI17,"C"))*2)+((COUNTIF('Elève (4ème4)'!CF17:CI17,"D"))*1))/(COUNTA(CF17:CI17)),"")</f>
        <v>2</v>
      </c>
      <c r="CK17" s="190" t="str">
        <f t="shared" si="17"/>
        <v>C</v>
      </c>
      <c r="CL17" s="134"/>
      <c r="CM17" s="132"/>
      <c r="CN17" s="133"/>
      <c r="CO17" s="136"/>
      <c r="CP17" s="189" t="str">
        <f>IFERROR((((COUNTIF('Elève (4ème4)'!CL17:CO17,"A"))*4)+((COUNTIF('Elève (4ème4)'!CL17:CO17,"B"))*3)+((COUNTIF('Elève (4ème4)'!CL17:CO17,"C"))*2)+((COUNTIF('Elève (4ème4)'!CL17:CO17,"D"))*1))/(COUNTA(CL17:CO17)),"")</f>
        <v/>
      </c>
      <c r="CQ17" s="190" t="str">
        <f t="shared" si="18"/>
        <v/>
      </c>
      <c r="CR17" s="189">
        <f>IF(COUNT(CD17,CJ17,CP17)=0,"",SUM(CD17,CJ17,CP17)/COUNT(CD17,CJ17,CP17))</f>
        <v>1.75</v>
      </c>
      <c r="CS17" s="219" t="str">
        <f t="shared" si="19"/>
        <v>C</v>
      </c>
      <c r="CT17" s="134"/>
      <c r="CU17" s="128" t="s">
        <v>30</v>
      </c>
      <c r="CV17" s="129" t="s">
        <v>31</v>
      </c>
      <c r="CW17" s="189">
        <f>IFERROR((((COUNTIF('Elève (4ème4)'!CT17:CV17,"A"))*4)+((COUNTIF('Elève (4ème4)'!CT17:CV17,"B"))*3)+((COUNTIF('Elève (4ème4)'!CT17:CV17,"C"))*2)+((COUNTIF('Elève (4ème4)'!CT17:CV17,"D"))*1))/(COUNTA(CT17:CV17)),"")</f>
        <v>2.5</v>
      </c>
      <c r="CX17" s="190" t="str">
        <f t="shared" si="20"/>
        <v>C</v>
      </c>
      <c r="CY17" s="134"/>
      <c r="CZ17" s="128" t="s">
        <v>30</v>
      </c>
      <c r="DA17" s="129" t="s">
        <v>30</v>
      </c>
      <c r="DB17" s="129" t="s">
        <v>30</v>
      </c>
      <c r="DC17" s="189">
        <f>IFERROR((((COUNTIF('Elève (4ème4)'!CY17:DB17,"A"))*4)+((COUNTIF('Elève (4ème4)'!CY17:DB17,"B"))*3)+((COUNTIF('Elève (4ème4)'!CY17:DB17,"C"))*2)+((COUNTIF('Elève (4ème4)'!CY17:DB17,"D"))*1))/(COUNTA(CY17:DB17)),"")</f>
        <v>3</v>
      </c>
      <c r="DD17" s="190" t="str">
        <f t="shared" si="21"/>
        <v>B</v>
      </c>
      <c r="DE17" s="134"/>
      <c r="DF17" s="132"/>
      <c r="DG17" s="133"/>
      <c r="DH17" s="136"/>
      <c r="DI17" s="189" t="str">
        <f>IFERROR((((COUNTIF('Elève (4ème4)'!DE17:DH17,"A"))*4)+((COUNTIF('Elève (4ème4)'!DE17:DH17,"B"))*3)+((COUNTIF('Elève (4ème4)'!DE17:DH17,"C"))*2)+((COUNTIF('Elève (4ème4)'!DE17:DH17,"D"))*1))/(COUNTA(DE17:DH17)),"")</f>
        <v/>
      </c>
      <c r="DJ17" s="190" t="str">
        <f t="shared" si="22"/>
        <v/>
      </c>
      <c r="DK17" s="189">
        <f>IF(COUNT(CW17,DC17,DI17)=0,"",SUM(CW17,DC17,DI17)/COUNT(CW17,DC17,DI17))</f>
        <v>2.75</v>
      </c>
      <c r="DL17" s="219" t="str">
        <f t="shared" si="23"/>
        <v>C</v>
      </c>
      <c r="DM17" s="134"/>
      <c r="DN17" s="128" t="s">
        <v>30</v>
      </c>
      <c r="DO17" s="129" t="s">
        <v>31</v>
      </c>
      <c r="DP17" s="189">
        <f>IFERROR((((COUNTIF('Elève (4ème4)'!DM17:DO17,"A"))*4)+((COUNTIF('Elève (4ème4)'!DM17:DO17,"B"))*3)+((COUNTIF('Elève (4ème4)'!DM17:DO17,"C"))*2)+((COUNTIF('Elève (4ème4)'!DM17:DO17,"D"))*1))/(COUNTA(DM17:DO17)),"")</f>
        <v>2.5</v>
      </c>
      <c r="DQ17" s="190" t="str">
        <f t="shared" si="24"/>
        <v>C</v>
      </c>
      <c r="DR17" s="134"/>
      <c r="DS17" s="128" t="s">
        <v>30</v>
      </c>
      <c r="DT17" s="129" t="s">
        <v>30</v>
      </c>
      <c r="DU17" s="129" t="s">
        <v>31</v>
      </c>
      <c r="DV17" s="189">
        <f>IFERROR((((COUNTIF('Elève (4ème4)'!DR17:DU17,"A"))*4)+((COUNTIF('Elève (4ème4)'!DR17:DU17,"B"))*3)+((COUNTIF('Elève (4ème4)'!DR17:DU17,"C"))*2)+((COUNTIF('Elève (4ème4)'!DR17:DU17,"D"))*1))/(COUNTA(DR17:DU17)),"")</f>
        <v>2.6666666666666665</v>
      </c>
      <c r="DW17" s="190" t="str">
        <f t="shared" si="25"/>
        <v>C</v>
      </c>
      <c r="DX17" s="134"/>
      <c r="DY17" s="132"/>
      <c r="DZ17" s="133"/>
      <c r="EA17" s="136"/>
      <c r="EB17" s="189" t="str">
        <f>IFERROR((((COUNTIF('Elève (4ème4)'!DX17:EA17,"A"))*4)+((COUNTIF('Elève (4ème4)'!DX17:EA17,"B"))*3)+((COUNTIF('Elève (4ème4)'!DX17:EA17,"C"))*2)+((COUNTIF('Elève (4ème4)'!DX17:EA17,"D"))*1))/(COUNTA(DX17:EA17)),"")</f>
        <v/>
      </c>
      <c r="EC17" s="190" t="str">
        <f t="shared" si="26"/>
        <v/>
      </c>
      <c r="ED17" s="189">
        <f>IF(COUNT(DP17,DV17,EB17)=0,"",SUM(DP17,DV17,EB17)/COUNT(DP17,DV17,EB17))</f>
        <v>2.583333333333333</v>
      </c>
      <c r="EE17" s="219" t="str">
        <f t="shared" si="27"/>
        <v>C</v>
      </c>
      <c r="EF17" s="134"/>
      <c r="EG17" s="128" t="s">
        <v>29</v>
      </c>
      <c r="EH17" s="129" t="s">
        <v>30</v>
      </c>
      <c r="EI17" s="189">
        <f>IFERROR((((COUNTIF('Elève (4ème4)'!EF17:EH17,"A"))*4)+((COUNTIF('Elève (4ème4)'!EF17:EH17,"B"))*3)+((COUNTIF('Elève (4ème4)'!EF17:EH17,"C"))*2)+((COUNTIF('Elève (4ème4)'!EF17:EH17,"D"))*1))/(COUNTA(EF17:EH17)),"")</f>
        <v>3.5</v>
      </c>
      <c r="EJ17" s="190" t="str">
        <f t="shared" si="28"/>
        <v>B</v>
      </c>
      <c r="EK17" s="134"/>
      <c r="EL17" s="128" t="s">
        <v>31</v>
      </c>
      <c r="EM17" s="129" t="s">
        <v>30</v>
      </c>
      <c r="EN17" s="129" t="s">
        <v>30</v>
      </c>
      <c r="EO17" s="189">
        <f>IFERROR((((COUNTIF('Elève (4ème4)'!EK17:EN17,"A"))*4)+((COUNTIF('Elève (4ème4)'!EK17:EN17,"B"))*3)+((COUNTIF('Elève (4ème4)'!EK17:EN17,"C"))*2)+((COUNTIF('Elève (4ème4)'!EK17:EN17,"D"))*1))/(COUNTA(EK17:EN17)),"")</f>
        <v>2.6666666666666665</v>
      </c>
      <c r="EP17" s="190" t="str">
        <f t="shared" si="29"/>
        <v>C</v>
      </c>
      <c r="EQ17" s="134"/>
      <c r="ER17" s="132"/>
      <c r="ES17" s="133"/>
      <c r="ET17" s="136"/>
      <c r="EU17" s="189" t="str">
        <f>IFERROR((((COUNTIF('Elève (4ème4)'!EQ17:ET17,"A"))*4)+((COUNTIF('Elève (4ème4)'!EQ17:ET17,"B"))*3)+((COUNTIF('Elève (4ème4)'!EQ17:ET17,"C"))*2)+((COUNTIF('Elève (4ème4)'!EQ17:ET17,"D"))*1))/(COUNTA(EQ17:ET17)),"")</f>
        <v/>
      </c>
      <c r="EV17" s="190" t="str">
        <f t="shared" si="30"/>
        <v/>
      </c>
      <c r="EW17" s="189">
        <f>IF(COUNT(EI17,EO17,EU17)=0,"",SUM(EI17,EO17,EU17)/COUNT(EI17,EO17,EU17))</f>
        <v>3.083333333333333</v>
      </c>
      <c r="EX17" s="219" t="str">
        <f t="shared" si="31"/>
        <v>B</v>
      </c>
      <c r="EY17" s="134"/>
      <c r="EZ17" s="128" t="s">
        <v>30</v>
      </c>
      <c r="FA17" s="129" t="s">
        <v>31</v>
      </c>
      <c r="FB17" s="189">
        <f>IFERROR((((COUNTIF('Elève (4ème4)'!EY17:FA17,"A"))*4)+((COUNTIF('Elève (4ème4)'!EY17:FA17,"B"))*3)+((COUNTIF('Elève (4ème4)'!EY17:FA17,"C"))*2)+((COUNTIF('Elève (4ème4)'!EY17:FA17,"D"))*1))/(COUNTA(EY17:FA17)),"")</f>
        <v>2.5</v>
      </c>
      <c r="FC17" s="190" t="str">
        <f t="shared" si="32"/>
        <v>C</v>
      </c>
      <c r="FD17" s="134"/>
      <c r="FE17" s="128" t="s">
        <v>31</v>
      </c>
      <c r="FF17" s="129" t="s">
        <v>30</v>
      </c>
      <c r="FG17" s="129" t="s">
        <v>31</v>
      </c>
      <c r="FH17" s="189">
        <f>IFERROR((((COUNTIF('Elève (4ème4)'!FD17:FG17,"A"))*4)+((COUNTIF('Elève (4ème4)'!FD17:FG17,"B"))*3)+((COUNTIF('Elève (4ème4)'!FD17:FG17,"C"))*2)+((COUNTIF('Elève (4ème4)'!FD17:FG17,"D"))*1))/(COUNTA(FD17:FG17)),"")</f>
        <v>2.3333333333333335</v>
      </c>
      <c r="FI17" s="190" t="str">
        <f t="shared" si="33"/>
        <v>C</v>
      </c>
      <c r="FJ17" s="134"/>
      <c r="FK17" s="132"/>
      <c r="FL17" s="133"/>
      <c r="FM17" s="136"/>
      <c r="FN17" s="189" t="str">
        <f>IFERROR((((COUNTIF('Elève (4ème4)'!FJ17:FM17,"A"))*4)+((COUNTIF('Elève (4ème4)'!FJ17:FM17,"B"))*3)+((COUNTIF('Elève (4ème4)'!FJ17:FM17,"C"))*2)+((COUNTIF('Elève (4ème4)'!FJ17:FM17,"D"))*1))/(COUNTA(FJ17:FM17)),"")</f>
        <v/>
      </c>
      <c r="FO17" s="190" t="str">
        <f t="shared" si="34"/>
        <v/>
      </c>
      <c r="FP17" s="189">
        <f>IF(COUNT(FB17,FH17,FN17)=0,"",SUM(FB17,FH17,FN17)/COUNT(FB17,FH17,FN17))</f>
        <v>2.416666666666667</v>
      </c>
      <c r="FQ17" s="219" t="str">
        <f t="shared" si="35"/>
        <v>C</v>
      </c>
      <c r="FR17" s="134"/>
      <c r="FS17" s="128" t="s">
        <v>30</v>
      </c>
      <c r="FT17" s="129" t="s">
        <v>32</v>
      </c>
      <c r="FU17" s="189">
        <f>IFERROR((((COUNTIF('Elève (4ème4)'!FR17:FT17,"A"))*4)+((COUNTIF('Elève (4ème4)'!FR17:FT17,"B"))*3)+((COUNTIF('Elève (4ème4)'!FR17:FT17,"C"))*2)+((COUNTIF('Elève (4ème4)'!FR17:FT17,"D"))*1))/(COUNTA(FR17:FT17)),"")</f>
        <v>2</v>
      </c>
      <c r="FV17" s="190" t="str">
        <f t="shared" si="36"/>
        <v>C</v>
      </c>
      <c r="FW17" s="134"/>
      <c r="FX17" s="128" t="s">
        <v>32</v>
      </c>
      <c r="FY17" s="129" t="s">
        <v>30</v>
      </c>
      <c r="FZ17" s="129" t="s">
        <v>32</v>
      </c>
      <c r="GA17" s="189">
        <f>IFERROR((((COUNTIF('Elève (4ème4)'!FW17:FZ17,"A"))*4)+((COUNTIF('Elève (4ème4)'!FW17:FZ17,"B"))*3)+((COUNTIF('Elève (4ème4)'!FW17:FZ17,"C"))*2)+((COUNTIF('Elève (4ème4)'!FW17:FZ17,"D"))*1))/(COUNTA(FW17:FZ17)),"")</f>
        <v>1.6666666666666667</v>
      </c>
      <c r="GB17" s="190" t="str">
        <f t="shared" si="37"/>
        <v>C</v>
      </c>
      <c r="GC17" s="134"/>
      <c r="GD17" s="132"/>
      <c r="GE17" s="133"/>
      <c r="GF17" s="136"/>
      <c r="GG17" s="189" t="str">
        <f>IFERROR((((COUNTIF('Elève (4ème4)'!GC17:GF17,"A"))*4)+((COUNTIF('Elève (4ème4)'!GC17:GF17,"B"))*3)+((COUNTIF('Elève (4ème4)'!GC17:GF17,"C"))*2)+((COUNTIF('Elève (4ème4)'!GC17:GF17,"D"))*1))/(COUNTA(GC17:GF17)),"")</f>
        <v/>
      </c>
      <c r="GH17" s="190" t="str">
        <f t="shared" si="38"/>
        <v/>
      </c>
      <c r="GI17" s="189">
        <f>IF(COUNT(FU17,GA17,GG17)=0,"",SUM(FU17,GA17,GG17)/COUNT(FU17,GA17,GG17))</f>
        <v>1.8333333333333335</v>
      </c>
      <c r="GJ17" s="219" t="str">
        <f t="shared" si="39"/>
        <v>C</v>
      </c>
      <c r="GK17" s="134"/>
      <c r="GL17" s="128" t="s">
        <v>29</v>
      </c>
      <c r="GM17" s="129" t="s">
        <v>30</v>
      </c>
      <c r="GN17" s="189">
        <f>IFERROR((((COUNTIF('Elève (4ème4)'!GK17:GM17,"A"))*4)+((COUNTIF('Elève (4ème4)'!GK17:GM17,"B"))*3)+((COUNTIF('Elève (4ème4)'!GK17:GM17,"C"))*2)+((COUNTIF('Elève (4ème4)'!GK17:GM17,"D"))*1))/(COUNTA(GK17:GM17)),"")</f>
        <v>3.5</v>
      </c>
      <c r="GO17" s="190" t="str">
        <f t="shared" si="40"/>
        <v>B</v>
      </c>
      <c r="GP17" s="134"/>
      <c r="GQ17" s="128" t="s">
        <v>30</v>
      </c>
      <c r="GR17" s="129" t="s">
        <v>30</v>
      </c>
      <c r="GS17" s="129" t="s">
        <v>30</v>
      </c>
      <c r="GT17" s="189">
        <f>IFERROR((((COUNTIF('Elève (4ème4)'!GP17:GS17,"A"))*4)+((COUNTIF('Elève (4ème4)'!GP17:GS17,"B"))*3)+((COUNTIF('Elève (4ème4)'!GP17:GS17,"C"))*2)+((COUNTIF('Elève (4ème4)'!GP17:GS17,"D"))*1))/(COUNTA(GP17:GS17)),"")</f>
        <v>3</v>
      </c>
      <c r="GU17" s="190" t="str">
        <f t="shared" si="41"/>
        <v>B</v>
      </c>
      <c r="GV17" s="134"/>
      <c r="GW17" s="132"/>
      <c r="GX17" s="133"/>
      <c r="GY17" s="136"/>
      <c r="GZ17" s="189" t="str">
        <f>IFERROR((((COUNTIF('Elève (4ème4)'!GV17:GY17,"A"))*4)+((COUNTIF('Elève (4ème4)'!GV17:GY17,"B"))*3)+((COUNTIF('Elève (4ème4)'!GV17:GY17,"C"))*2)+((COUNTIF('Elève (4ème4)'!GV17:GY17,"D"))*1))/(COUNTA(GV17:GY17)),"")</f>
        <v/>
      </c>
      <c r="HA17" s="190" t="str">
        <f t="shared" si="42"/>
        <v/>
      </c>
      <c r="HB17" s="189">
        <f>IF(COUNT(GN17,GT17,GZ17)=0,"",SUM(GN17,GT17,GZ17)/COUNT(GN17,GT17,GZ17))</f>
        <v>3.25</v>
      </c>
      <c r="HC17" s="219" t="str">
        <f t="shared" si="43"/>
        <v>B</v>
      </c>
      <c r="HD17" s="134"/>
      <c r="HE17" s="128" t="s">
        <v>31</v>
      </c>
      <c r="HF17" s="129" t="s">
        <v>30</v>
      </c>
      <c r="HG17" s="189">
        <f>IFERROR((((COUNTIF('Elève (4ème4)'!HD17:HF17,"A"))*4)+((COUNTIF('Elève (4ème4)'!HD17:HF17,"B"))*3)+((COUNTIF('Elève (4ème4)'!HD17:HF17,"C"))*2)+((COUNTIF('Elève (4ème4)'!HD17:HF17,"D"))*1))/(COUNTA(HD17:HF17)),"")</f>
        <v>2.5</v>
      </c>
      <c r="HH17" s="190" t="str">
        <f t="shared" si="44"/>
        <v>C</v>
      </c>
      <c r="HI17" s="134"/>
      <c r="HJ17" s="128" t="s">
        <v>31</v>
      </c>
      <c r="HK17" s="129" t="s">
        <v>31</v>
      </c>
      <c r="HL17" s="129" t="s">
        <v>31</v>
      </c>
      <c r="HM17" s="189">
        <f>IFERROR((((COUNTIF('Elève (4ème4)'!HI17:HL17,"A"))*4)+((COUNTIF('Elève (4ème4)'!HI17:HL17,"B"))*3)+((COUNTIF('Elève (4ème4)'!HI17:HL17,"C"))*2)+((COUNTIF('Elève (4ème4)'!HI17:HL17,"D"))*1))/(COUNTA(HI17:HL17)),"")</f>
        <v>2</v>
      </c>
      <c r="HN17" s="190" t="str">
        <f t="shared" si="45"/>
        <v>C</v>
      </c>
      <c r="HO17" s="134"/>
      <c r="HP17" s="132"/>
      <c r="HQ17" s="133"/>
      <c r="HR17" s="136"/>
      <c r="HS17" s="189" t="str">
        <f>IFERROR((((COUNTIF('Elève (4ème4)'!HO17:HR17,"A"))*4)+((COUNTIF('Elève (4ème4)'!HO17:HR17,"B"))*3)+((COUNTIF('Elève (4ème4)'!HO17:HR17,"C"))*2)+((COUNTIF('Elève (4ème4)'!HO17:HR17,"D"))*1))/(COUNTA(HO17:HR17)),"")</f>
        <v/>
      </c>
      <c r="HT17" s="190" t="str">
        <f t="shared" si="46"/>
        <v/>
      </c>
      <c r="HU17" s="189">
        <f>IF(COUNT(HG17,HM17,HS17)=0,"",SUM(HG17,HM17,HS17)/COUNT(HG17,HM17,HS17))</f>
        <v>2.25</v>
      </c>
      <c r="HV17" s="219" t="str">
        <f t="shared" si="47"/>
        <v>C</v>
      </c>
      <c r="HW17" s="134"/>
      <c r="HX17" s="128" t="s">
        <v>31</v>
      </c>
      <c r="HY17" s="129" t="s">
        <v>31</v>
      </c>
      <c r="HZ17" s="189">
        <f>IFERROR((((COUNTIF('Elève (4ème4)'!HW17:HY17,"A"))*4)+((COUNTIF('Elève (4ème4)'!HW17:HY17,"B"))*3)+((COUNTIF('Elève (4ème4)'!HW17:HY17,"C"))*2)+((COUNTIF('Elève (4ème4)'!HW17:HY17,"D"))*1))/(COUNTA(HW17:HY17)),"")</f>
        <v>2</v>
      </c>
      <c r="IA17" s="190" t="str">
        <f t="shared" si="48"/>
        <v>C</v>
      </c>
      <c r="IB17" s="134"/>
      <c r="IC17" s="128" t="s">
        <v>31</v>
      </c>
      <c r="ID17" s="129" t="s">
        <v>30</v>
      </c>
      <c r="IE17" s="129" t="s">
        <v>30</v>
      </c>
      <c r="IF17" s="189">
        <f>IFERROR((((COUNTIF('Elève (4ème4)'!IB17:IE17,"A"))*4)+((COUNTIF('Elève (4ème4)'!IB17:IE17,"B"))*3)+((COUNTIF('Elève (4ème4)'!IB17:IE17,"C"))*2)+((COUNTIF('Elève (4ème4)'!IB17:IE17,"D"))*1))/(COUNTA(IB17:IE17)),"")</f>
        <v>2.6666666666666665</v>
      </c>
      <c r="IG17" s="190" t="str">
        <f t="shared" si="49"/>
        <v>C</v>
      </c>
      <c r="IH17" s="134"/>
      <c r="II17" s="132"/>
      <c r="IJ17" s="133"/>
      <c r="IK17" s="136"/>
      <c r="IL17" s="189" t="str">
        <f>IFERROR((((COUNTIF('Elève (4ème4)'!IH17:IK17,"A"))*4)+((COUNTIF('Elève (4ème4)'!IH17:IK17,"B"))*3)+((COUNTIF('Elève (4ème4)'!IH17:IK17,"C"))*2)+((COUNTIF('Elève (4ème4)'!IH17:IK17,"D"))*1))/(COUNTA(IH17:IK17)),"")</f>
        <v/>
      </c>
      <c r="IM17" s="190" t="str">
        <f t="shared" si="50"/>
        <v/>
      </c>
      <c r="IN17" s="189">
        <f>IF(COUNT(HZ17,IF17,IL17)=0,"",SUM(HZ17,IF17,IL17)/COUNT(HZ17,IF17,IL17))</f>
        <v>2.333333333333333</v>
      </c>
      <c r="IO17" s="219" t="str">
        <f t="shared" si="51"/>
        <v>C</v>
      </c>
      <c r="IP17" s="134"/>
      <c r="IQ17" s="128" t="s">
        <v>31</v>
      </c>
      <c r="IR17" s="129" t="s">
        <v>31</v>
      </c>
      <c r="IS17" s="189">
        <f>IFERROR((((COUNTIF('Elève (4ème4)'!IP17:IR17,"A"))*4)+((COUNTIF('Elève (4ème4)'!IP17:IR17,"B"))*3)+((COUNTIF('Elève (4ème4)'!IP17:IR17,"C"))*2)+((COUNTIF('Elève (4ème4)'!IP17:IR17,"D"))*1))/(COUNTA(IP17:IR17)),"")</f>
        <v>2</v>
      </c>
      <c r="IT17" s="190" t="str">
        <f t="shared" si="52"/>
        <v>C</v>
      </c>
      <c r="IU17" s="134"/>
      <c r="IV17" s="128" t="s">
        <v>31</v>
      </c>
      <c r="IW17" s="129" t="s">
        <v>31</v>
      </c>
      <c r="IX17" s="129" t="s">
        <v>31</v>
      </c>
      <c r="IY17" s="189">
        <f>IFERROR((((COUNTIF('Elève (4ème4)'!IU17:IX17,"A"))*4)+((COUNTIF('Elève (4ème4)'!IU17:IX17,"B"))*3)+((COUNTIF('Elève (4ème4)'!IU17:IX17,"C"))*2)+((COUNTIF('Elève (4ème4)'!IU17:IX17,"D"))*1))/(COUNTA(IU17:IX17)),"")</f>
        <v>2</v>
      </c>
      <c r="IZ17" s="190" t="str">
        <f t="shared" si="53"/>
        <v>C</v>
      </c>
      <c r="JA17" s="134"/>
      <c r="JB17" s="132"/>
      <c r="JC17" s="133"/>
      <c r="JD17" s="136"/>
      <c r="JE17" s="189" t="str">
        <f>IFERROR((((COUNTIF('Elève (4ème4)'!JA17:JD17,"A"))*4)+((COUNTIF('Elève (4ème4)'!JA17:JD17,"B"))*3)+((COUNTIF('Elève (4ème4)'!JA17:JD17,"C"))*2)+((COUNTIF('Elève (4ème4)'!JA17:JD17,"D"))*1))/(COUNTA(JA17:JD17)),"")</f>
        <v/>
      </c>
      <c r="JF17" s="190" t="str">
        <f t="shared" si="54"/>
        <v/>
      </c>
      <c r="JG17" s="189">
        <f>IF(COUNT(IS17,IY17,JE17)=0,"",SUM(IS17,IY17,JE17)/COUNT(IS17,IY17,JE17))</f>
        <v>2</v>
      </c>
      <c r="JH17" s="219" t="str">
        <f t="shared" si="55"/>
        <v>C</v>
      </c>
      <c r="JI17" s="134"/>
      <c r="JJ17" s="128" t="s">
        <v>30</v>
      </c>
      <c r="JK17" s="129" t="s">
        <v>30</v>
      </c>
      <c r="JL17" s="189">
        <f>IFERROR((((COUNTIF('Elève (4ème4)'!JI17:JK17,"A"))*4)+((COUNTIF('Elève (4ème4)'!JI17:JK17,"B"))*3)+((COUNTIF('Elève (4ème4)'!JI17:JK17,"C"))*2)+((COUNTIF('Elève (4ème4)'!JI17:JK17,"D"))*1))/(COUNTA(JI17:JK17)),"")</f>
        <v>3</v>
      </c>
      <c r="JM17" s="190" t="str">
        <f t="shared" si="56"/>
        <v>B</v>
      </c>
      <c r="JN17" s="134"/>
      <c r="JO17" s="128" t="s">
        <v>31</v>
      </c>
      <c r="JP17" s="129" t="s">
        <v>30</v>
      </c>
      <c r="JQ17" s="129" t="s">
        <v>30</v>
      </c>
      <c r="JR17" s="189">
        <f>IFERROR((((COUNTIF('Elève (4ème4)'!JN17:JQ17,"A"))*4)+((COUNTIF('Elève (4ème4)'!JN17:JQ17,"B"))*3)+((COUNTIF('Elève (4ème4)'!JN17:JQ17,"C"))*2)+((COUNTIF('Elève (4ème4)'!JN17:JQ17,"D"))*1))/(COUNTA(JN17:JQ17)),"")</f>
        <v>2.6666666666666665</v>
      </c>
      <c r="JS17" s="190" t="str">
        <f t="shared" si="57"/>
        <v>C</v>
      </c>
      <c r="JT17" s="134"/>
      <c r="JU17" s="132"/>
      <c r="JV17" s="133"/>
      <c r="JW17" s="136"/>
      <c r="JX17" s="189" t="str">
        <f>IFERROR((((COUNTIF('Elève (4ème4)'!JT17:JW17,"A"))*4)+((COUNTIF('Elève (4ème4)'!JT17:JW17,"B"))*3)+((COUNTIF('Elève (4ème4)'!JT17:JW17,"C"))*2)+((COUNTIF('Elève (4ème4)'!JT17:JW17,"D"))*1))/(COUNTA(JT17:JW17)),"")</f>
        <v/>
      </c>
      <c r="JY17" s="190" t="str">
        <f t="shared" si="58"/>
        <v/>
      </c>
      <c r="JZ17" s="189">
        <f>IF(COUNT(JL17,JR17,JX17)=0,"",SUM(JL17,JR17,JX17)/COUNT(JL17,JR17,JX17))</f>
        <v>2.833333333333333</v>
      </c>
      <c r="KA17" s="219" t="str">
        <f t="shared" si="59"/>
        <v>B</v>
      </c>
      <c r="KB17" s="134"/>
      <c r="KC17" s="128" t="s">
        <v>29</v>
      </c>
      <c r="KD17" s="129" t="s">
        <v>31</v>
      </c>
      <c r="KE17" s="189">
        <f>IFERROR((((COUNTIF('Elève (4ème4)'!KB17:KD17,"A"))*4)+((COUNTIF('Elève (4ème4)'!KB17:KD17,"B"))*3)+((COUNTIF('Elève (4ème4)'!KB17:KD17,"C"))*2)+((COUNTIF('Elève (4ème4)'!KB17:KD17,"D"))*1))/(COUNTA(KB17:KD17)),"")</f>
        <v>3</v>
      </c>
      <c r="KF17" s="190" t="str">
        <f t="shared" si="60"/>
        <v>B</v>
      </c>
      <c r="KG17" s="134"/>
      <c r="KH17" s="128" t="s">
        <v>31</v>
      </c>
      <c r="KI17" s="129" t="s">
        <v>30</v>
      </c>
      <c r="KJ17" s="129" t="s">
        <v>31</v>
      </c>
      <c r="KK17" s="189">
        <f>IFERROR((((COUNTIF('Elève (4ème4)'!KG17:KJ17,"A"))*4)+((COUNTIF('Elève (4ème4)'!KG17:KJ17,"B"))*3)+((COUNTIF('Elève (4ème4)'!KG17:KJ17,"C"))*2)+((COUNTIF('Elève (4ème4)'!KG17:KJ17,"D"))*1))/(COUNTA(KG17:KJ17)),"")</f>
        <v>2.3333333333333335</v>
      </c>
      <c r="KL17" s="190" t="str">
        <f t="shared" si="61"/>
        <v>C</v>
      </c>
      <c r="KM17" s="134"/>
      <c r="KN17" s="132"/>
      <c r="KO17" s="133"/>
      <c r="KP17" s="136"/>
      <c r="KQ17" s="189" t="str">
        <f>IFERROR((((COUNTIF('Elève (4ème4)'!KM17:KP17,"A"))*4)+((COUNTIF('Elève (4ème4)'!KM17:KP17,"B"))*3)+((COUNTIF('Elève (4ème4)'!KM17:KP17,"C"))*2)+((COUNTIF('Elève (4ème4)'!KM17:KP17,"D"))*1))/(COUNTA(KM17:KP17)),"")</f>
        <v/>
      </c>
      <c r="KR17" s="190" t="str">
        <f t="shared" si="62"/>
        <v/>
      </c>
      <c r="KS17" s="189">
        <f>IF(COUNT(KE17,KK17,KQ17)=0,"",SUM(KE17,KK17,KQ17)/COUNT(KE17,KK17,KQ17))</f>
        <v>2.666666666666667</v>
      </c>
      <c r="KT17" s="219" t="str">
        <f t="shared" si="63"/>
        <v>C</v>
      </c>
      <c r="KU17" s="134"/>
      <c r="KV17" s="128" t="s">
        <v>30</v>
      </c>
      <c r="KW17" s="129" t="s">
        <v>31</v>
      </c>
      <c r="KX17" s="189">
        <f>IFERROR((((COUNTIF('Elève (4ème4)'!KU17:KW17,"A"))*4)+((COUNTIF('Elève (4ème4)'!KU17:KW17,"B"))*3)+((COUNTIF('Elève (4ème4)'!KU17:KW17,"C"))*2)+((COUNTIF('Elève (4ème4)'!KU17:KW17,"D"))*1))/(COUNTA(KU17:KW17)),"")</f>
        <v>2.5</v>
      </c>
      <c r="KY17" s="190" t="str">
        <f t="shared" si="64"/>
        <v>C</v>
      </c>
      <c r="KZ17" s="134"/>
      <c r="LA17" s="128" t="s">
        <v>31</v>
      </c>
      <c r="LB17" s="129" t="s">
        <v>30</v>
      </c>
      <c r="LC17" s="129" t="s">
        <v>31</v>
      </c>
      <c r="LD17" s="189">
        <f>IFERROR((((COUNTIF('Elève (4ème4)'!KZ17:LC17,"A"))*4)+((COUNTIF('Elève (4ème4)'!KZ17:LC17,"B"))*3)+((COUNTIF('Elève (4ème4)'!KZ17:LC17,"C"))*2)+((COUNTIF('Elève (4ème4)'!KZ17:LC17,"D"))*1))/(COUNTA(KZ17:LC17)),"")</f>
        <v>2.3333333333333335</v>
      </c>
      <c r="LE17" s="190" t="str">
        <f t="shared" si="65"/>
        <v>C</v>
      </c>
      <c r="LF17" s="134"/>
      <c r="LG17" s="132"/>
      <c r="LH17" s="133"/>
      <c r="LI17" s="136"/>
      <c r="LJ17" s="189" t="str">
        <f>IFERROR((((COUNTIF('Elève (4ème4)'!LF17:LI17,"A"))*4)+((COUNTIF('Elève (4ème4)'!LF17:LI17,"B"))*3)+((COUNTIF('Elève (4ème4)'!LF17:LI17,"C"))*2)+((COUNTIF('Elève (4ème4)'!LF17:LI17,"D"))*1))/(COUNTA(LF17:LI17)),"")</f>
        <v/>
      </c>
      <c r="LK17" s="190" t="str">
        <f t="shared" si="66"/>
        <v/>
      </c>
      <c r="LL17" s="189">
        <f>IF(COUNT(KX17,LD17,LJ17)=0,"",SUM(KX17,LD17,LJ17)/COUNT(KX17,LD17,LJ17))</f>
        <v>2.416666666666667</v>
      </c>
      <c r="LM17" s="219" t="str">
        <f t="shared" si="67"/>
        <v>C</v>
      </c>
      <c r="LN17" s="134"/>
      <c r="LO17" s="128" t="s">
        <v>31</v>
      </c>
      <c r="LP17" s="129" t="s">
        <v>30</v>
      </c>
      <c r="LQ17" s="189">
        <f>IFERROR((((COUNTIF('Elève (4ème4)'!LN17:LP17,"A"))*4)+((COUNTIF('Elève (4ème4)'!LN17:LP17,"B"))*3)+((COUNTIF('Elève (4ème4)'!LN17:LP17,"C"))*2)+((COUNTIF('Elève (4ème4)'!LN17:LP17,"D"))*1))/(COUNTA(LN17:LP17)),"")</f>
        <v>2.5</v>
      </c>
      <c r="LR17" s="190" t="str">
        <f t="shared" si="68"/>
        <v>C</v>
      </c>
      <c r="LS17" s="134"/>
      <c r="LT17" s="128" t="s">
        <v>30</v>
      </c>
      <c r="LU17" s="129" t="s">
        <v>29</v>
      </c>
      <c r="LV17" s="129" t="s">
        <v>31</v>
      </c>
      <c r="LW17" s="189">
        <f>IFERROR((((COUNTIF('Elève (4ème4)'!LS17:LV17,"A"))*4)+((COUNTIF('Elève (4ème4)'!LS17:LV17,"B"))*3)+((COUNTIF('Elève (4ème4)'!LS17:LV17,"C"))*2)+((COUNTIF('Elève (4ème4)'!LS17:LV17,"D"))*1))/(COUNTA(LS17:LV17)),"")</f>
        <v>3</v>
      </c>
      <c r="LX17" s="190" t="str">
        <f t="shared" si="69"/>
        <v>B</v>
      </c>
      <c r="LY17" s="134"/>
      <c r="LZ17" s="132"/>
      <c r="MA17" s="133"/>
      <c r="MB17" s="136"/>
      <c r="MC17" s="189" t="str">
        <f>IFERROR((((COUNTIF('Elève (4ème4)'!LY17:MB17,"A"))*4)+((COUNTIF('Elève (4ème4)'!LY17:MB17,"B"))*3)+((COUNTIF('Elève (4ème4)'!LY17:MB17,"C"))*2)+((COUNTIF('Elève (4ème4)'!LY17:MB17,"D"))*1))/(COUNTA(LY17:MB17)),"")</f>
        <v/>
      </c>
      <c r="MD17" s="190" t="str">
        <f t="shared" si="70"/>
        <v/>
      </c>
      <c r="ME17" s="189">
        <f>IF(COUNT(LQ17,LW17,MC17)=0,"",SUM(LQ17,LW17,MC17)/COUNT(LQ17,LW17,MC17))</f>
        <v>2.75</v>
      </c>
      <c r="MF17" s="219" t="str">
        <f t="shared" si="71"/>
        <v>C</v>
      </c>
      <c r="MG17" s="134"/>
      <c r="MH17" s="128" t="s">
        <v>30</v>
      </c>
      <c r="MI17" s="129" t="s">
        <v>30</v>
      </c>
      <c r="MJ17" s="189">
        <f>IFERROR((((COUNTIF('Elève (4ème4)'!MG17:MI17,"A"))*4)+((COUNTIF('Elève (4ème4)'!MG17:MI17,"B"))*3)+((COUNTIF('Elève (4ème4)'!MG17:MI17,"C"))*2)+((COUNTIF('Elève (4ème4)'!MG17:MI17,"D"))*1))/(COUNTA(MG17:MI17)),"")</f>
        <v>3</v>
      </c>
      <c r="MK17" s="190" t="str">
        <f t="shared" si="72"/>
        <v>B</v>
      </c>
      <c r="ML17" s="134"/>
      <c r="MM17" s="128" t="s">
        <v>31</v>
      </c>
      <c r="MN17" s="129" t="s">
        <v>31</v>
      </c>
      <c r="MO17" s="129" t="s">
        <v>31</v>
      </c>
      <c r="MP17" s="189">
        <f>IFERROR((((COUNTIF('Elève (4ème4)'!ML17:MO17,"A"))*4)+((COUNTIF('Elève (4ème4)'!ML17:MO17,"B"))*3)+((COUNTIF('Elève (4ème4)'!ML17:MO17,"C"))*2)+((COUNTIF('Elève (4ème4)'!ML17:MO17,"D"))*1))/(COUNTA(ML17:MO17)),"")</f>
        <v>2</v>
      </c>
      <c r="MQ17" s="190" t="str">
        <f t="shared" si="73"/>
        <v>C</v>
      </c>
      <c r="MR17" s="134"/>
      <c r="MS17" s="132"/>
      <c r="MT17" s="133"/>
      <c r="MU17" s="136"/>
      <c r="MV17" s="189" t="str">
        <f>IFERROR((((COUNTIF('Elève (4ème4)'!MR17:MU17,"A"))*4)+((COUNTIF('Elève (4ème4)'!MR17:MU17,"B"))*3)+((COUNTIF('Elève (4ème4)'!MR17:MU17,"C"))*2)+((COUNTIF('Elève (4ème4)'!MR17:MU17,"D"))*1))/(COUNTA(MR17:MU17)),"")</f>
        <v/>
      </c>
      <c r="MW17" s="190" t="str">
        <f t="shared" si="74"/>
        <v/>
      </c>
      <c r="MX17" s="189">
        <f>IF(COUNT(MJ17,MP17,MV17)=0,"",SUM(MJ17,MP17,MV17)/COUNT(MJ17,MP17,MV17))</f>
        <v>2.5</v>
      </c>
      <c r="MY17" s="219" t="str">
        <f t="shared" si="75"/>
        <v>C</v>
      </c>
      <c r="MZ17" s="134"/>
      <c r="NA17" s="128" t="s">
        <v>29</v>
      </c>
      <c r="NB17" s="129" t="s">
        <v>29</v>
      </c>
      <c r="NC17" s="189">
        <f>IFERROR((((COUNTIF('Elève (4ème4)'!MZ17:NB17,"A"))*4)+((COUNTIF('Elève (4ème4)'!MZ17:NB17,"B"))*3)+((COUNTIF('Elève (4ème4)'!MZ17:NB17,"C"))*2)+((COUNTIF('Elève (4ème4)'!MZ17:NB17,"D"))*1))/(COUNTA(MZ17:NB17)),"")</f>
        <v>4</v>
      </c>
      <c r="ND17" s="190" t="str">
        <f t="shared" si="76"/>
        <v>A</v>
      </c>
      <c r="NE17" s="134"/>
      <c r="NF17" s="128" t="s">
        <v>31</v>
      </c>
      <c r="NG17" s="129" t="s">
        <v>29</v>
      </c>
      <c r="NH17" s="129" t="s">
        <v>31</v>
      </c>
      <c r="NI17" s="189">
        <f>IFERROR((((COUNTIF('Elève (4ème4)'!NE17:NH17,"A"))*4)+((COUNTIF('Elève (4ème4)'!NE17:NH17,"B"))*3)+((COUNTIF('Elève (4ème4)'!NE17:NH17,"C"))*2)+((COUNTIF('Elève (4ème4)'!NE17:NH17,"D"))*1))/(COUNTA(NE17:NH17)),"")</f>
        <v>2.6666666666666665</v>
      </c>
      <c r="NJ17" s="190" t="str">
        <f t="shared" si="77"/>
        <v>C</v>
      </c>
      <c r="NK17" s="134"/>
      <c r="NL17" s="132"/>
      <c r="NM17" s="133"/>
      <c r="NN17" s="136"/>
      <c r="NO17" s="189" t="str">
        <f>IFERROR((((COUNTIF('Elève (4ème4)'!NK17:NN17,"A"))*4)+((COUNTIF('Elève (4ème4)'!NK17:NN17,"B"))*3)+((COUNTIF('Elève (4ème4)'!NK17:NN17,"C"))*2)+((COUNTIF('Elève (4ème4)'!NK17:NN17,"D"))*1))/(COUNTA(NK17:NN17)),"")</f>
        <v/>
      </c>
      <c r="NP17" s="190" t="str">
        <f t="shared" si="78"/>
        <v/>
      </c>
      <c r="NQ17" s="189">
        <f>IF(COUNT(NC17,NI17,NO17)=0,"",SUM(NC17,NI17,NO17)/COUNT(NC17,NI17,NO17))</f>
        <v>3.333333333333333</v>
      </c>
      <c r="NR17" s="219" t="str">
        <f t="shared" si="79"/>
        <v>B</v>
      </c>
      <c r="NS17" s="134"/>
      <c r="NT17" s="128" t="s">
        <v>30</v>
      </c>
      <c r="NU17" s="129"/>
      <c r="NV17" s="189">
        <f>IFERROR((((COUNTIF('Elève (4ème4)'!NS17:NU17,"A"))*4)+((COUNTIF('Elève (4ème4)'!NS17:NU17,"B"))*3)+((COUNTIF('Elève (4ème4)'!NS17:NU17,"C"))*2)+((COUNTIF('Elève (4ème4)'!NS17:NU17,"D"))*1))/(COUNTA(NS17:NU17)),"")</f>
        <v>3</v>
      </c>
      <c r="NW17" s="190" t="str">
        <f t="shared" si="80"/>
        <v>B</v>
      </c>
      <c r="NX17" s="134"/>
      <c r="NY17" s="128" t="s">
        <v>31</v>
      </c>
      <c r="NZ17" s="129" t="s">
        <v>29</v>
      </c>
      <c r="OA17" s="129" t="s">
        <v>31</v>
      </c>
      <c r="OB17" s="189">
        <f>IFERROR((((COUNTIF('Elève (4ème4)'!NX17:OA17,"A"))*4)+((COUNTIF('Elève (4ème4)'!NX17:OA17,"B"))*3)+((COUNTIF('Elève (4ème4)'!NX17:OA17,"C"))*2)+((COUNTIF('Elève (4ème4)'!NX17:OA17,"D"))*1))/(COUNTA(NX17:OA17)),"")</f>
        <v>2.6666666666666665</v>
      </c>
      <c r="OC17" s="190" t="str">
        <f t="shared" si="81"/>
        <v>C</v>
      </c>
      <c r="OD17" s="134"/>
      <c r="OE17" s="132"/>
      <c r="OF17" s="133"/>
      <c r="OG17" s="136"/>
      <c r="OH17" s="189" t="str">
        <f>IFERROR((((COUNTIF('Elève (4ème4)'!OD17:OG17,"A"))*4)+((COUNTIF('Elève (4ème4)'!OD17:OG17,"B"))*3)+((COUNTIF('Elève (4ème4)'!OD17:OG17,"C"))*2)+((COUNTIF('Elève (4ème4)'!OD17:OG17,"D"))*1))/(COUNTA(OD17:OG17)),"")</f>
        <v/>
      </c>
      <c r="OI17" s="190" t="str">
        <f t="shared" si="82"/>
        <v/>
      </c>
      <c r="OJ17" s="189">
        <f>IF(COUNT(NV17,OB17,OH17)=0,"",SUM(NV17,OB17,OH17)/COUNT(NV17,OB17,OH17))</f>
        <v>2.833333333333333</v>
      </c>
      <c r="OK17" s="219" t="str">
        <f t="shared" si="83"/>
        <v>B</v>
      </c>
      <c r="OL17" s="134"/>
      <c r="OM17" s="128" t="s">
        <v>29</v>
      </c>
      <c r="ON17" s="129" t="s">
        <v>30</v>
      </c>
      <c r="OO17" s="189">
        <f>IFERROR((((COUNTIF('Elève (4ème4)'!OL17:ON17,"A"))*4)+((COUNTIF('Elève (4ème4)'!OL17:ON17,"B"))*3)+((COUNTIF('Elève (4ème4)'!OL17:ON17,"C"))*2)+((COUNTIF('Elève (4ème4)'!OL17:ON17,"D"))*1))/(COUNTA(OL17:ON17)),"")</f>
        <v>3.5</v>
      </c>
      <c r="OP17" s="190" t="str">
        <f t="shared" si="84"/>
        <v>B</v>
      </c>
      <c r="OQ17" s="134"/>
      <c r="OR17" s="128" t="s">
        <v>30</v>
      </c>
      <c r="OS17" s="129" t="s">
        <v>29</v>
      </c>
      <c r="OT17" s="129" t="s">
        <v>30</v>
      </c>
      <c r="OU17" s="189">
        <f>IFERROR((((COUNTIF('Elève (4ème4)'!OQ17:OT17,"A"))*4)+((COUNTIF('Elève (4ème4)'!OQ17:OT17,"B"))*3)+((COUNTIF('Elève (4ème4)'!OQ17:OT17,"C"))*2)+((COUNTIF('Elève (4ème4)'!OQ17:OT17,"D"))*1))/(COUNTA(OQ17:OT17)),"")</f>
        <v>3.3333333333333335</v>
      </c>
      <c r="OV17" s="190" t="str">
        <f t="shared" si="85"/>
        <v>B</v>
      </c>
      <c r="OW17" s="134"/>
      <c r="OX17" s="132"/>
      <c r="OY17" s="133"/>
      <c r="OZ17" s="136"/>
      <c r="PA17" s="189" t="str">
        <f>IFERROR((((COUNTIF('Elève (4ème4)'!OW17:OZ17,"A"))*4)+((COUNTIF('Elève (4ème4)'!OW17:OZ17,"B"))*3)+((COUNTIF('Elève (4ème4)'!OW17:OZ17,"C"))*2)+((COUNTIF('Elève (4ème4)'!OW17:OZ17,"D"))*1))/(COUNTA(OW17:OZ17)),"")</f>
        <v/>
      </c>
      <c r="PB17" s="190" t="str">
        <f t="shared" si="86"/>
        <v/>
      </c>
      <c r="PC17" s="189">
        <f>IF(COUNT(OO17,OU17,PA17)=0,"",SUM(OO17,OU17,PA17)/COUNT(OO17,OU17,PA17))</f>
        <v>3.416666666666667</v>
      </c>
      <c r="PD17" s="219" t="str">
        <f t="shared" si="87"/>
        <v>B</v>
      </c>
      <c r="PE17" s="134"/>
      <c r="PF17" s="128" t="s">
        <v>31</v>
      </c>
      <c r="PG17" s="129" t="s">
        <v>30</v>
      </c>
      <c r="PH17" s="189">
        <f>IFERROR((((COUNTIF('Elève (4ème4)'!PE17:PG17,"A"))*4)+((COUNTIF('Elève (4ème4)'!PE17:PG17,"B"))*3)+((COUNTIF('Elève (4ème4)'!PE17:PG17,"C"))*2)+((COUNTIF('Elève (4ème4)'!PE17:PG17,"D"))*1))/(COUNTA(PE17:PG17)),"")</f>
        <v>2.5</v>
      </c>
      <c r="PI17" s="190" t="str">
        <f t="shared" si="88"/>
        <v>C</v>
      </c>
      <c r="PJ17" s="134"/>
      <c r="PK17" s="128" t="s">
        <v>31</v>
      </c>
      <c r="PL17" s="129" t="s">
        <v>30</v>
      </c>
      <c r="PM17" s="129" t="s">
        <v>30</v>
      </c>
      <c r="PN17" s="189">
        <f>IFERROR((((COUNTIF('Elève (4ème4)'!PJ17:PM17,"A"))*4)+((COUNTIF('Elève (4ème4)'!PJ17:PM17,"B"))*3)+((COUNTIF('Elève (4ème4)'!PJ17:PM17,"C"))*2)+((COUNTIF('Elève (4ème4)'!PJ17:PM17,"D"))*1))/(COUNTA(PJ17:PM17)),"")</f>
        <v>2.6666666666666665</v>
      </c>
      <c r="PO17" s="190" t="str">
        <f t="shared" si="89"/>
        <v>C</v>
      </c>
      <c r="PP17" s="134"/>
      <c r="PQ17" s="132"/>
      <c r="PR17" s="133"/>
      <c r="PS17" s="136"/>
      <c r="PT17" s="189" t="str">
        <f>IFERROR((((COUNTIF('Elève (4ème4)'!PP17:PS17,"A"))*4)+((COUNTIF('Elève (4ème4)'!PP17:PS17,"B"))*3)+((COUNTIF('Elève (4ème4)'!PP17:PS17,"C"))*2)+((COUNTIF('Elève (4ème4)'!PP17:PS17,"D"))*1))/(COUNTA(PP17:PS17)),"")</f>
        <v/>
      </c>
      <c r="PU17" s="190" t="str">
        <f t="shared" si="90"/>
        <v/>
      </c>
      <c r="PV17" s="189">
        <f>IF(COUNT(PH17,PN17,PT17)=0,"",SUM(PH17,PN17,PT17)/COUNT(PH17,PN17,PT17))</f>
        <v>2.583333333333333</v>
      </c>
      <c r="PW17" s="219" t="str">
        <f t="shared" si="91"/>
        <v>C</v>
      </c>
      <c r="PX17" s="134"/>
      <c r="PY17" s="128" t="s">
        <v>30</v>
      </c>
      <c r="PZ17" s="129" t="s">
        <v>31</v>
      </c>
      <c r="QA17" s="189">
        <f>IFERROR((((COUNTIF('Elève (4ème4)'!PX17:PZ17,"A"))*4)+((COUNTIF('Elève (4ème4)'!PX17:PZ17,"B"))*3)+((COUNTIF('Elève (4ème4)'!PX17:PZ17,"C"))*2)+((COUNTIF('Elève (4ème4)'!PX17:PZ17,"D"))*1))/(COUNTA(PX17:PZ17)),"")</f>
        <v>2.5</v>
      </c>
      <c r="QB17" s="190" t="str">
        <f t="shared" si="92"/>
        <v>C</v>
      </c>
      <c r="QC17" s="134"/>
      <c r="QD17" s="128" t="s">
        <v>31</v>
      </c>
      <c r="QE17" s="129" t="s">
        <v>30</v>
      </c>
      <c r="QF17" s="129" t="s">
        <v>31</v>
      </c>
      <c r="QG17" s="189">
        <f>IFERROR((((COUNTIF('Elève (4ème4)'!QC17:QF17,"A"))*4)+((COUNTIF('Elève (4ème4)'!QC17:QF17,"B"))*3)+((COUNTIF('Elève (4ème4)'!QC17:QF17,"C"))*2)+((COUNTIF('Elève (4ème4)'!QC17:QF17,"D"))*1))/(COUNTA(QC17:QF17)),"")</f>
        <v>2.3333333333333335</v>
      </c>
      <c r="QH17" s="190" t="str">
        <f t="shared" si="93"/>
        <v>C</v>
      </c>
      <c r="QI17" s="134"/>
      <c r="QJ17" s="132"/>
      <c r="QK17" s="133"/>
      <c r="QL17" s="136"/>
      <c r="QM17" s="189" t="str">
        <f>IFERROR((((COUNTIF('Elève (4ème4)'!QI17:QL17,"A"))*4)+((COUNTIF('Elève (4ème4)'!QI17:QL17,"B"))*3)+((COUNTIF('Elève (4ème4)'!QI17:QL17,"C"))*2)+((COUNTIF('Elève (4ème4)'!QI17:QL17,"D"))*1))/(COUNTA(QI17:QL17)),"")</f>
        <v/>
      </c>
      <c r="QN17" s="190" t="str">
        <f t="shared" si="94"/>
        <v/>
      </c>
      <c r="QO17" s="189">
        <f>IF(COUNT(QA17,QG17,QM17)=0,"",SUM(QA17,QG17,QM17)/COUNT(QA17,QG17,QM17))</f>
        <v>2.416666666666667</v>
      </c>
      <c r="QP17" s="219" t="str">
        <f t="shared" si="95"/>
        <v>C</v>
      </c>
      <c r="QQ17" s="134"/>
      <c r="QR17" s="128" t="s">
        <v>30</v>
      </c>
      <c r="QS17" s="129" t="s">
        <v>30</v>
      </c>
      <c r="QT17" s="189">
        <f>IFERROR((((COUNTIF('Elève (4ème4)'!QQ17:QS17,"A"))*4)+((COUNTIF('Elève (4ème4)'!QQ17:QS17,"B"))*3)+((COUNTIF('Elève (4ème4)'!QQ17:QS17,"C"))*2)+((COUNTIF('Elève (4ème4)'!QQ17:QS17,"D"))*1))/(COUNTA(QQ17:QS17)),"")</f>
        <v>3</v>
      </c>
      <c r="QU17" s="190" t="str">
        <f t="shared" si="96"/>
        <v>B</v>
      </c>
      <c r="QV17" s="134"/>
      <c r="QW17" s="128" t="s">
        <v>31</v>
      </c>
      <c r="QX17" s="129" t="s">
        <v>30</v>
      </c>
      <c r="QY17" s="129" t="s">
        <v>31</v>
      </c>
      <c r="QZ17" s="189">
        <f>IFERROR((((COUNTIF('Elève (4ème4)'!QV17:QY17,"A"))*4)+((COUNTIF('Elève (4ème4)'!QV17:QY17,"B"))*3)+((COUNTIF('Elève (4ème4)'!QV17:QY17,"C"))*2)+((COUNTIF('Elève (4ème4)'!QV17:QY17,"D"))*1))/(COUNTA(QV17:QY17)),"")</f>
        <v>2.3333333333333335</v>
      </c>
      <c r="RA17" s="190" t="str">
        <f t="shared" si="97"/>
        <v>C</v>
      </c>
      <c r="RB17" s="134"/>
      <c r="RC17" s="132"/>
      <c r="RD17" s="133"/>
      <c r="RE17" s="136"/>
      <c r="RF17" s="189" t="str">
        <f>IFERROR((((COUNTIF('Elève (4ème4)'!RB17:RE17,"A"))*4)+((COUNTIF('Elève (4ème4)'!RB17:RE17,"B"))*3)+((COUNTIF('Elève (4ème4)'!RB17:RE17,"C"))*2)+((COUNTIF('Elève (4ème4)'!RB17:RE17,"D"))*1))/(COUNTA(RB17:RE17)),"")</f>
        <v/>
      </c>
      <c r="RG17" s="190" t="str">
        <f t="shared" si="98"/>
        <v/>
      </c>
      <c r="RH17" s="189">
        <f>IF(COUNT(QT17,QZ17,RF17)=0,"",SUM(QT17,QZ17,RF17)/COUNT(QT17,QZ17,RF17))</f>
        <v>2.666666666666667</v>
      </c>
      <c r="RI17" s="219" t="str">
        <f t="shared" si="99"/>
        <v>C</v>
      </c>
      <c r="RJ17" s="134"/>
      <c r="RK17" s="128" t="s">
        <v>31</v>
      </c>
      <c r="RL17" s="129" t="s">
        <v>31</v>
      </c>
      <c r="RM17" s="189">
        <f>IFERROR((((COUNTIF('Elève (4ème4)'!RJ17:RL17,"A"))*4)+((COUNTIF('Elève (4ème4)'!RJ17:RL17,"B"))*3)+((COUNTIF('Elève (4ème4)'!RJ17:RL17,"C"))*2)+((COUNTIF('Elève (4ème4)'!RJ17:RL17,"D"))*1))/(COUNTA(RJ17:RL17)),"")</f>
        <v>2</v>
      </c>
      <c r="RN17" s="190" t="str">
        <f t="shared" si="100"/>
        <v>C</v>
      </c>
      <c r="RO17" s="134"/>
      <c r="RP17" s="128" t="s">
        <v>31</v>
      </c>
      <c r="RQ17" s="129" t="s">
        <v>30</v>
      </c>
      <c r="RR17" s="129" t="s">
        <v>31</v>
      </c>
      <c r="RS17" s="189">
        <f>IFERROR((((COUNTIF('Elève (4ème4)'!RO17:RR17,"A"))*4)+((COUNTIF('Elève (4ème4)'!RO17:RR17,"B"))*3)+((COUNTIF('Elève (4ème4)'!RO17:RR17,"C"))*2)+((COUNTIF('Elève (4ème4)'!RO17:RR17,"D"))*1))/(COUNTA(RO17:RR17)),"")</f>
        <v>2.3333333333333335</v>
      </c>
      <c r="RT17" s="190" t="str">
        <f t="shared" si="101"/>
        <v>C</v>
      </c>
      <c r="RU17" s="134"/>
      <c r="RV17" s="132"/>
      <c r="RW17" s="133"/>
      <c r="RX17" s="136"/>
      <c r="RY17" s="189" t="str">
        <f>IFERROR((((COUNTIF('Elève (4ème4)'!RU17:RX17,"A"))*4)+((COUNTIF('Elève (4ème4)'!RU17:RX17,"B"))*3)+((COUNTIF('Elève (4ème4)'!RU17:RX17,"C"))*2)+((COUNTIF('Elève (4ème4)'!RU17:RX17,"D"))*1))/(COUNTA(RU17:RX17)),"")</f>
        <v/>
      </c>
      <c r="RZ17" s="190" t="str">
        <f t="shared" si="102"/>
        <v/>
      </c>
      <c r="SA17" s="189">
        <f>IF(COUNT(RM17,RS17,RY17)=0,"",SUM(RM17,RS17,RY17)/COUNT(RM17,RS17,RY17))</f>
        <v>2.166666666666667</v>
      </c>
      <c r="SB17" s="219" t="str">
        <f t="shared" si="103"/>
        <v>C</v>
      </c>
      <c r="SC17" s="134"/>
      <c r="SD17" s="132"/>
      <c r="SE17" s="133"/>
      <c r="SF17" s="121" t="str">
        <f>IFERROR((((COUNTIF('Elève (4ème4)'!SC17:SE17,"A"))*4)+((COUNTIF('Elève (4ème4)'!SC17:SE17,"B"))*3)+((COUNTIF('Elève (4ème4)'!SC17:SE17,"C"))*2)+((COUNTIF('Elève (4ème4)'!SC17:SE17,"D"))*1))/(COUNTA(SC17:SE17)),"")</f>
        <v/>
      </c>
      <c r="SG17" s="122" t="str">
        <f t="shared" si="104"/>
        <v/>
      </c>
      <c r="SH17" s="134"/>
      <c r="SI17" s="132"/>
      <c r="SJ17" s="133"/>
      <c r="SK17" s="121" t="str">
        <f>IFERROR((((COUNTIF('Elève (4ème4)'!SH17:SJ17,"A"))*4)+((COUNTIF('Elève (4ème4)'!SH17:SJ17,"B"))*3)+((COUNTIF('Elève (4ème4)'!SH17:SJ17,"C"))*2)+((COUNTIF('Elève (4ème4)'!SH17:SJ17,"D"))*1))/(COUNTA(SH17:SJ17)),"")</f>
        <v/>
      </c>
      <c r="SL17" s="122" t="str">
        <f t="shared" si="105"/>
        <v/>
      </c>
      <c r="SM17" s="134"/>
      <c r="SN17" s="132"/>
      <c r="SO17" s="136"/>
      <c r="SP17" s="121" t="str">
        <f>IFERROR((((COUNTIF('Elève (4ème4)'!SM17:SO17,"A"))*4)+((COUNTIF('Elève (4ème4)'!SM17:SO17,"B"))*3)+((COUNTIF('Elève (4ème4)'!SM17:SO17,"C"))*2)+((COUNTIF('Elève (4ème4)'!SM17:SO17,"D"))*1))/(COUNTA(SM17:SO17)),"")</f>
        <v/>
      </c>
      <c r="SQ17" s="122" t="str">
        <f t="shared" si="106"/>
        <v/>
      </c>
      <c r="SR17" s="121" t="str">
        <f>IF(COUNT(SF17,SK17,SP17)=0,"",SUM(SF17,SK17,SP17)/COUNT(SF17,SK17,SP17))</f>
        <v/>
      </c>
      <c r="SS17" s="151" t="str">
        <f t="shared" si="107"/>
        <v/>
      </c>
      <c r="ST17" s="134"/>
      <c r="SU17" s="132"/>
      <c r="SV17" s="133"/>
      <c r="SW17" s="121" t="str">
        <f>IFERROR((((COUNTIF('Elève (4ème4)'!ST17:SV17,"A"))*4)+((COUNTIF('Elève (4ème4)'!ST17:SV17,"B"))*3)+((COUNTIF('Elève (4ème4)'!ST17:SV17,"C"))*2)+((COUNTIF('Elève (4ème4)'!ST17:SV17,"D"))*1))/(COUNTA(ST17:SV17)),"")</f>
        <v/>
      </c>
      <c r="SX17" s="122" t="str">
        <f t="shared" si="108"/>
        <v/>
      </c>
      <c r="SY17" s="134"/>
      <c r="SZ17" s="132"/>
      <c r="TA17" s="133"/>
      <c r="TB17" s="121" t="str">
        <f>IFERROR((((COUNTIF('Elève (4ème4)'!SY17:TA17,"A"))*4)+((COUNTIF('Elève (4ème4)'!SY17:TA17,"B"))*3)+((COUNTIF('Elève (4ème4)'!SY17:TA17,"C"))*2)+((COUNTIF('Elève (4ème4)'!SY17:TA17,"D"))*1))/(COUNTA(SY17:TA17)),"")</f>
        <v/>
      </c>
      <c r="TC17" s="122" t="str">
        <f t="shared" si="109"/>
        <v/>
      </c>
      <c r="TD17" s="134"/>
      <c r="TE17" s="132"/>
      <c r="TF17" s="136"/>
      <c r="TG17" s="121" t="str">
        <f>IFERROR((((COUNTIF('Elève (4ème4)'!TD17:TF17,"A"))*4)+((COUNTIF('Elève (4ème4)'!TD17:TF17,"B"))*3)+((COUNTIF('Elève (4ème4)'!TD17:TF17,"C"))*2)+((COUNTIF('Elève (4ème4)'!TD17:TF17,"D"))*1))/(COUNTA(TD17:TF17)),"")</f>
        <v/>
      </c>
      <c r="TH17" s="122" t="str">
        <f t="shared" si="110"/>
        <v/>
      </c>
      <c r="TI17" s="121" t="str">
        <f>IF(COUNT(SW17,TB17,TG17)=0,"",SUM(SW17,TB17,TG17)/COUNT(SW17,TB17,TG17))</f>
        <v/>
      </c>
      <c r="TJ17" s="151" t="str">
        <f t="shared" si="111"/>
        <v/>
      </c>
      <c r="TK17" s="134"/>
      <c r="TL17" s="132"/>
      <c r="TM17" s="133"/>
      <c r="TN17" s="121" t="str">
        <f>IFERROR((((COUNTIF('Elève (4ème4)'!TK17:TM17,"A"))*4)+((COUNTIF('Elève (4ème4)'!TK17:TM17,"B"))*3)+((COUNTIF('Elève (4ème4)'!TK17:TM17,"C"))*2)+((COUNTIF('Elève (4ème4)'!TK17:TM17,"D"))*1))/(COUNTA(TK17:TM17)),"")</f>
        <v/>
      </c>
      <c r="TO17" s="122" t="str">
        <f t="shared" si="112"/>
        <v/>
      </c>
      <c r="TP17" s="134"/>
      <c r="TQ17" s="132"/>
      <c r="TR17" s="133"/>
      <c r="TS17" s="121" t="str">
        <f>IFERROR((((COUNTIF('Elève (4ème4)'!TP17:TR17,"A"))*4)+((COUNTIF('Elève (4ème4)'!TP17:TR17,"B"))*3)+((COUNTIF('Elève (4ème4)'!TP17:TR17,"C"))*2)+((COUNTIF('Elève (4ème4)'!TP17:TR17,"D"))*1))/(COUNTA(TP17:TR17)),"")</f>
        <v/>
      </c>
      <c r="TT17" s="122" t="str">
        <f t="shared" si="113"/>
        <v/>
      </c>
      <c r="TU17" s="134"/>
      <c r="TV17" s="132"/>
      <c r="TW17" s="136"/>
      <c r="TX17" s="121" t="str">
        <f>IFERROR((((COUNTIF('Elève (4ème4)'!TU17:TW17,"A"))*4)+((COUNTIF('Elève (4ème4)'!TU17:TW17,"B"))*3)+((COUNTIF('Elève (4ème4)'!TU17:TW17,"C"))*2)+((COUNTIF('Elève (4ème4)'!TU17:TW17,"D"))*1))/(COUNTA(TU17:TW17)),"")</f>
        <v/>
      </c>
      <c r="TY17" s="122" t="str">
        <f t="shared" si="114"/>
        <v/>
      </c>
      <c r="TZ17" s="121" t="str">
        <f>IF(COUNT(TN17,TS17,TX17)=0,"",SUM(TN17,TS17,TX17)/COUNT(TN17,TS17,TX17))</f>
        <v/>
      </c>
      <c r="UA17" s="151" t="str">
        <f t="shared" si="115"/>
        <v/>
      </c>
      <c r="UB17" s="134"/>
      <c r="UC17" s="132"/>
      <c r="UD17" s="133"/>
      <c r="UE17" s="121" t="str">
        <f>IFERROR((((COUNTIF('Elève (4ème4)'!UB17:UD17,"A"))*4)+((COUNTIF('Elève (4ème4)'!UB17:UD17,"B"))*3)+((COUNTIF('Elève (4ème4)'!UB17:UD17,"C"))*2)+((COUNTIF('Elève (4ème4)'!UB17:UD17,"D"))*1))/(COUNTA(UB17:UD17)),"")</f>
        <v/>
      </c>
      <c r="UF17" s="122" t="str">
        <f t="shared" si="116"/>
        <v/>
      </c>
      <c r="UG17" s="134"/>
      <c r="UH17" s="132"/>
      <c r="UI17" s="133"/>
      <c r="UJ17" s="121" t="str">
        <f>IFERROR((((COUNTIF('Elève (4ème4)'!UG17:UI17,"A"))*4)+((COUNTIF('Elève (4ème4)'!UG17:UI17,"B"))*3)+((COUNTIF('Elève (4ème4)'!UG17:UI17,"C"))*2)+((COUNTIF('Elève (4ème4)'!UG17:UI17,"D"))*1))/(COUNTA(UG17:UI17)),"")</f>
        <v/>
      </c>
      <c r="UK17" s="122" t="str">
        <f t="shared" si="117"/>
        <v/>
      </c>
      <c r="UL17" s="134"/>
      <c r="UM17" s="132"/>
      <c r="UN17" s="136"/>
      <c r="UO17" s="121" t="str">
        <f>IFERROR((((COUNTIF('Elève (4ème4)'!UL17:UN17,"A"))*4)+((COUNTIF('Elève (4ème4)'!UL17:UN17,"B"))*3)+((COUNTIF('Elève (4ème4)'!UL17:UN17,"C"))*2)+((COUNTIF('Elève (4ème4)'!UL17:UN17,"D"))*1))/(COUNTA(UL17:UN17)),"")</f>
        <v/>
      </c>
      <c r="UP17" s="122" t="str">
        <f t="shared" si="118"/>
        <v/>
      </c>
      <c r="UQ17" s="121" t="str">
        <f>IF(COUNT(UE17,UJ17,UO17)=0,"",SUM(UE17,UJ17,UO17)/COUNT(UE17,UJ17,UO17))</f>
        <v/>
      </c>
      <c r="UR17" s="151" t="str">
        <f t="shared" si="119"/>
        <v/>
      </c>
    </row>
    <row r="18" spans="1:564" ht="18" customHeight="1" x14ac:dyDescent="0.25">
      <c r="A18" s="252" t="s">
        <v>24</v>
      </c>
      <c r="B18" s="253"/>
      <c r="C18" s="134"/>
      <c r="D18" s="132"/>
      <c r="E18" s="133"/>
      <c r="F18" s="191" t="str">
        <f>IFERROR((((COUNTIF('Elève (4ème4)'!C18:E18,"A"))*4)+((COUNTIF('Elève (4ème4)'!C18:E18,"B"))*3)+((COUNTIF('Elève (4ème4)'!C18:E18,"C"))*2)+((COUNTIF('Elève (4ème4)'!C18:E18,"D"))*1))/(COUNTA(C18:E18)),"")</f>
        <v/>
      </c>
      <c r="G18" s="192" t="str">
        <f t="shared" si="0"/>
        <v/>
      </c>
      <c r="H18" s="134"/>
      <c r="I18" s="132"/>
      <c r="J18" s="129" t="s">
        <v>31</v>
      </c>
      <c r="K18" s="133"/>
      <c r="L18" s="191">
        <f>IFERROR((((COUNTIF('Elève (4ème4)'!H18:K18,"A"))*4)+((COUNTIF('Elève (4ème4)'!H18:K18,"B"))*3)+((COUNTIF('Elève (4ème4)'!H18:K18,"C"))*2)+((COUNTIF('Elève (4ème4)'!H18:K18,"D"))*1))/(COUNTA(H18:K18)),"")</f>
        <v>2</v>
      </c>
      <c r="M18" s="192" t="str">
        <f t="shared" si="1"/>
        <v>C</v>
      </c>
      <c r="N18" s="134"/>
      <c r="O18" s="132"/>
      <c r="P18" s="133"/>
      <c r="Q18" s="133"/>
      <c r="R18" s="191" t="str">
        <f>IFERROR((((COUNTIF('Elève (4ème4)'!N18:Q18,"A"))*4)+((COUNTIF('Elève (4ème4)'!N18:Q18,"B"))*3)+((COUNTIF('Elève (4ème4)'!N18:Q18,"C"))*2)+((COUNTIF('Elève (4ème4)'!N18:Q18,"D"))*1))/(COUNTA(N18:Q18)),"")</f>
        <v/>
      </c>
      <c r="S18" s="192" t="str">
        <f t="shared" si="2"/>
        <v/>
      </c>
      <c r="T18" s="191">
        <f>IF(COUNT(F18,L18,R18)=0,"",SUM(F18,L18,R18)/COUNT(F18,L18,R18))</f>
        <v>2</v>
      </c>
      <c r="U18" s="215" t="str">
        <f t="shared" si="3"/>
        <v>C</v>
      </c>
      <c r="V18" s="134"/>
      <c r="W18" s="132"/>
      <c r="X18" s="133"/>
      <c r="Y18" s="191" t="str">
        <f>IFERROR((((COUNTIF('Elève (4ème4)'!V18:X18,"A"))*4)+((COUNTIF('Elève (4ème4)'!V18:X18,"B"))*3)+((COUNTIF('Elève (4ème4)'!V18:X18,"C"))*2)+((COUNTIF('Elève (4ème4)'!V18:X18,"D"))*1))/(COUNTA(V18:X18)),"")</f>
        <v/>
      </c>
      <c r="Z18" s="192" t="str">
        <f t="shared" si="4"/>
        <v/>
      </c>
      <c r="AA18" s="134"/>
      <c r="AB18" s="132"/>
      <c r="AC18" s="129" t="s">
        <v>32</v>
      </c>
      <c r="AD18" s="133"/>
      <c r="AE18" s="191">
        <f>IFERROR((((COUNTIF('Elève (4ème4)'!AA18:AD18,"A"))*4)+((COUNTIF('Elève (4ème4)'!AA18:AD18,"B"))*3)+((COUNTIF('Elève (4ème4)'!AA18:AD18,"C"))*2)+((COUNTIF('Elève (4ème4)'!AA18:AD18,"D"))*1))/(COUNTA(AA18:AD18)),"")</f>
        <v>1</v>
      </c>
      <c r="AF18" s="192" t="str">
        <f t="shared" si="5"/>
        <v>D</v>
      </c>
      <c r="AG18" s="134"/>
      <c r="AH18" s="132"/>
      <c r="AI18" s="133"/>
      <c r="AJ18" s="136"/>
      <c r="AK18" s="191" t="str">
        <f>IFERROR((((COUNTIF('Elève (4ème4)'!AG18:AJ18,"A"))*4)+((COUNTIF('Elève (4ème4)'!AG18:AJ18,"B"))*3)+((COUNTIF('Elève (4ème4)'!AG18:AJ18,"C"))*2)+((COUNTIF('Elève (4ème4)'!AG18:AJ18,"D"))*1))/(COUNTA(AG18:AJ18)),"")</f>
        <v/>
      </c>
      <c r="AL18" s="192" t="str">
        <f t="shared" si="6"/>
        <v/>
      </c>
      <c r="AM18" s="191">
        <f>IF(COUNT(Y18,AE18,AK18)=0,"",SUM(Y18,AE18,AK18)/COUNT(Y18,AE18,AK18))</f>
        <v>1</v>
      </c>
      <c r="AN18" s="215" t="str">
        <f t="shared" si="7"/>
        <v>D</v>
      </c>
      <c r="AO18" s="134" t="s">
        <v>31</v>
      </c>
      <c r="AP18" s="132"/>
      <c r="AQ18" s="133"/>
      <c r="AR18" s="191">
        <f>IFERROR((((COUNTIF('Elève (4ème4)'!AO18:AQ18,"A"))*4)+((COUNTIF('Elève (4ème4)'!AO18:AQ18,"B"))*3)+((COUNTIF('Elève (4ème4)'!AO18:AQ18,"C"))*2)+((COUNTIF('Elève (4ème4)'!AO18:AQ18,"D"))*1))/(COUNTA(AO18:AQ18)),"")</f>
        <v>2</v>
      </c>
      <c r="AS18" s="192" t="str">
        <f t="shared" si="8"/>
        <v>C</v>
      </c>
      <c r="AT18" s="134"/>
      <c r="AU18" s="132"/>
      <c r="AV18" s="129" t="s">
        <v>32</v>
      </c>
      <c r="AW18" s="133"/>
      <c r="AX18" s="191">
        <f>IFERROR((((COUNTIF('Elève (4ème4)'!AT18:AW18,"A"))*4)+((COUNTIF('Elève (4ème4)'!AT18:AW18,"B"))*3)+((COUNTIF('Elève (4ème4)'!AT18:AW18,"C"))*2)+((COUNTIF('Elève (4ème4)'!AT18:AW18,"D"))*1))/(COUNTA(AT18:AW18)),"")</f>
        <v>1</v>
      </c>
      <c r="AY18" s="192" t="str">
        <f t="shared" si="9"/>
        <v>D</v>
      </c>
      <c r="AZ18" s="134"/>
      <c r="BA18" s="132"/>
      <c r="BB18" s="133"/>
      <c r="BC18" s="136"/>
      <c r="BD18" s="191" t="str">
        <f>IFERROR((((COUNTIF('Elève (4ème4)'!AZ18:BC18,"A"))*4)+((COUNTIF('Elève (4ème4)'!AZ18:BC18,"B"))*3)+((COUNTIF('Elève (4ème4)'!AZ18:BC18,"C"))*2)+((COUNTIF('Elève (4ème4)'!AZ18:BC18,"D"))*1))/(COUNTA(AZ18:BC18)),"")</f>
        <v/>
      </c>
      <c r="BE18" s="192" t="str">
        <f t="shared" si="10"/>
        <v/>
      </c>
      <c r="BF18" s="191">
        <f>IF(COUNT(AR18,AX18,BD18)=0,"",SUM(AR18,AX18,BD18)/COUNT(AR18,AX18,BD18))</f>
        <v>1.5</v>
      </c>
      <c r="BG18" s="215" t="str">
        <f t="shared" si="11"/>
        <v>D</v>
      </c>
      <c r="BH18" s="134" t="s">
        <v>29</v>
      </c>
      <c r="BI18" s="132"/>
      <c r="BJ18" s="133"/>
      <c r="BK18" s="191">
        <f>IFERROR((((COUNTIF('Elève (4ème4)'!BH18:BJ18,"A"))*4)+((COUNTIF('Elève (4ème4)'!BH18:BJ18,"B"))*3)+((COUNTIF('Elève (4ème4)'!BH18:BJ18,"C"))*2)+((COUNTIF('Elève (4ème4)'!BH18:BJ18,"D"))*1))/(COUNTA(BH18:BJ18)),"")</f>
        <v>4</v>
      </c>
      <c r="BL18" s="192" t="str">
        <f t="shared" si="12"/>
        <v>A</v>
      </c>
      <c r="BM18" s="134"/>
      <c r="BN18" s="132"/>
      <c r="BO18" s="129" t="s">
        <v>30</v>
      </c>
      <c r="BP18" s="133"/>
      <c r="BQ18" s="191">
        <f>IFERROR((((COUNTIF('Elève (4ème4)'!BM18:BP18,"A"))*4)+((COUNTIF('Elève (4ème4)'!BM18:BP18,"B"))*3)+((COUNTIF('Elève (4ème4)'!BM18:BP18,"C"))*2)+((COUNTIF('Elève (4ème4)'!BM18:BP18,"D"))*1))/(COUNTA(BM18:BP18)),"")</f>
        <v>3</v>
      </c>
      <c r="BR18" s="192" t="str">
        <f t="shared" si="13"/>
        <v>B</v>
      </c>
      <c r="BS18" s="134"/>
      <c r="BT18" s="132"/>
      <c r="BU18" s="133"/>
      <c r="BV18" s="136"/>
      <c r="BW18" s="191" t="str">
        <f>IFERROR((((COUNTIF('Elève (4ème4)'!BS18:BV18,"A"))*4)+((COUNTIF('Elève (4ème4)'!BS18:BV18,"B"))*3)+((COUNTIF('Elève (4ème4)'!BS18:BV18,"C"))*2)+((COUNTIF('Elève (4ème4)'!BS18:BV18,"D"))*1))/(COUNTA(BS18:BV18)),"")</f>
        <v/>
      </c>
      <c r="BX18" s="192" t="str">
        <f t="shared" si="14"/>
        <v/>
      </c>
      <c r="BY18" s="191">
        <f>IF(COUNT(BK18,BQ18,BW18)=0,"",SUM(BK18,BQ18,BW18)/COUNT(BK18,BQ18,BW18))</f>
        <v>3.5</v>
      </c>
      <c r="BZ18" s="215" t="str">
        <f t="shared" si="15"/>
        <v>B</v>
      </c>
      <c r="CA18" s="134"/>
      <c r="CB18" s="132"/>
      <c r="CC18" s="133"/>
      <c r="CD18" s="191" t="str">
        <f>IFERROR((((COUNTIF('Elève (4ème4)'!CA18:CC18,"A"))*4)+((COUNTIF('Elève (4ème4)'!CA18:CC18,"B"))*3)+((COUNTIF('Elève (4ème4)'!CA18:CC18,"C"))*2)+((COUNTIF('Elève (4ème4)'!CA18:CC18,"D"))*1))/(COUNTA(CA18:CC18)),"")</f>
        <v/>
      </c>
      <c r="CE18" s="192" t="str">
        <f t="shared" si="16"/>
        <v/>
      </c>
      <c r="CF18" s="134"/>
      <c r="CG18" s="132"/>
      <c r="CH18" s="129" t="s">
        <v>32</v>
      </c>
      <c r="CI18" s="133"/>
      <c r="CJ18" s="191">
        <f>IFERROR((((COUNTIF('Elève (4ème4)'!CF18:CI18,"A"))*4)+((COUNTIF('Elève (4ème4)'!CF18:CI18,"B"))*3)+((COUNTIF('Elève (4ème4)'!CF18:CI18,"C"))*2)+((COUNTIF('Elève (4ème4)'!CF18:CI18,"D"))*1))/(COUNTA(CF18:CI18)),"")</f>
        <v>1</v>
      </c>
      <c r="CK18" s="192" t="str">
        <f t="shared" si="17"/>
        <v>D</v>
      </c>
      <c r="CL18" s="134"/>
      <c r="CM18" s="132"/>
      <c r="CN18" s="133"/>
      <c r="CO18" s="136"/>
      <c r="CP18" s="191" t="str">
        <f>IFERROR((((COUNTIF('Elève (4ème4)'!CL18:CO18,"A"))*4)+((COUNTIF('Elève (4ème4)'!CL18:CO18,"B"))*3)+((COUNTIF('Elève (4ème4)'!CL18:CO18,"C"))*2)+((COUNTIF('Elève (4ème4)'!CL18:CO18,"D"))*1))/(COUNTA(CL18:CO18)),"")</f>
        <v/>
      </c>
      <c r="CQ18" s="192" t="str">
        <f t="shared" si="18"/>
        <v/>
      </c>
      <c r="CR18" s="191">
        <f>IF(COUNT(CD18,CJ18,CP18)=0,"",SUM(CD18,CJ18,CP18)/COUNT(CD18,CJ18,CP18))</f>
        <v>1</v>
      </c>
      <c r="CS18" s="215" t="str">
        <f t="shared" si="19"/>
        <v>D</v>
      </c>
      <c r="CT18" s="134"/>
      <c r="CU18" s="132"/>
      <c r="CV18" s="133"/>
      <c r="CW18" s="191" t="str">
        <f>IFERROR((((COUNTIF('Elève (4ème4)'!CT18:CV18,"A"))*4)+((COUNTIF('Elève (4ème4)'!CT18:CV18,"B"))*3)+((COUNTIF('Elève (4ème4)'!CT18:CV18,"C"))*2)+((COUNTIF('Elève (4ème4)'!CT18:CV18,"D"))*1))/(COUNTA(CT18:CV18)),"")</f>
        <v/>
      </c>
      <c r="CX18" s="192" t="str">
        <f t="shared" si="20"/>
        <v/>
      </c>
      <c r="CY18" s="134"/>
      <c r="CZ18" s="132"/>
      <c r="DA18" s="129" t="s">
        <v>31</v>
      </c>
      <c r="DB18" s="133"/>
      <c r="DC18" s="191">
        <f>IFERROR((((COUNTIF('Elève (4ème4)'!CY18:DB18,"A"))*4)+((COUNTIF('Elève (4ème4)'!CY18:DB18,"B"))*3)+((COUNTIF('Elève (4ème4)'!CY18:DB18,"C"))*2)+((COUNTIF('Elève (4ème4)'!CY18:DB18,"D"))*1))/(COUNTA(CY18:DB18)),"")</f>
        <v>2</v>
      </c>
      <c r="DD18" s="192" t="str">
        <f t="shared" si="21"/>
        <v>C</v>
      </c>
      <c r="DE18" s="134"/>
      <c r="DF18" s="132"/>
      <c r="DG18" s="133"/>
      <c r="DH18" s="136"/>
      <c r="DI18" s="191" t="str">
        <f>IFERROR((((COUNTIF('Elève (4ème4)'!DE18:DH18,"A"))*4)+((COUNTIF('Elève (4ème4)'!DE18:DH18,"B"))*3)+((COUNTIF('Elève (4ème4)'!DE18:DH18,"C"))*2)+((COUNTIF('Elève (4ème4)'!DE18:DH18,"D"))*1))/(COUNTA(DE18:DH18)),"")</f>
        <v/>
      </c>
      <c r="DJ18" s="192" t="str">
        <f t="shared" si="22"/>
        <v/>
      </c>
      <c r="DK18" s="191">
        <f>IF(COUNT(CW18,DC18,DI18)=0,"",SUM(CW18,DC18,DI18)/COUNT(CW18,DC18,DI18))</f>
        <v>2</v>
      </c>
      <c r="DL18" s="215" t="str">
        <f t="shared" si="23"/>
        <v>C</v>
      </c>
      <c r="DM18" s="134" t="s">
        <v>29</v>
      </c>
      <c r="DN18" s="132"/>
      <c r="DO18" s="133"/>
      <c r="DP18" s="191">
        <f>IFERROR((((COUNTIF('Elève (4ème4)'!DM18:DO18,"A"))*4)+((COUNTIF('Elève (4ème4)'!DM18:DO18,"B"))*3)+((COUNTIF('Elève (4ème4)'!DM18:DO18,"C"))*2)+((COUNTIF('Elève (4ème4)'!DM18:DO18,"D"))*1))/(COUNTA(DM18:DO18)),"")</f>
        <v>4</v>
      </c>
      <c r="DQ18" s="192" t="str">
        <f t="shared" si="24"/>
        <v>A</v>
      </c>
      <c r="DR18" s="134"/>
      <c r="DS18" s="132"/>
      <c r="DT18" s="129" t="s">
        <v>32</v>
      </c>
      <c r="DU18" s="133"/>
      <c r="DV18" s="191">
        <f>IFERROR((((COUNTIF('Elève (4ème4)'!DR18:DU18,"A"))*4)+((COUNTIF('Elève (4ème4)'!DR18:DU18,"B"))*3)+((COUNTIF('Elève (4ème4)'!DR18:DU18,"C"))*2)+((COUNTIF('Elève (4ème4)'!DR18:DU18,"D"))*1))/(COUNTA(DR18:DU18)),"")</f>
        <v>1</v>
      </c>
      <c r="DW18" s="192" t="str">
        <f t="shared" si="25"/>
        <v>D</v>
      </c>
      <c r="DX18" s="134"/>
      <c r="DY18" s="132"/>
      <c r="DZ18" s="133"/>
      <c r="EA18" s="136"/>
      <c r="EB18" s="191" t="str">
        <f>IFERROR((((COUNTIF('Elève (4ème4)'!DX18:EA18,"A"))*4)+((COUNTIF('Elève (4ème4)'!DX18:EA18,"B"))*3)+((COUNTIF('Elève (4ème4)'!DX18:EA18,"C"))*2)+((COUNTIF('Elève (4ème4)'!DX18:EA18,"D"))*1))/(COUNTA(DX18:EA18)),"")</f>
        <v/>
      </c>
      <c r="EC18" s="192" t="str">
        <f t="shared" si="26"/>
        <v/>
      </c>
      <c r="ED18" s="191">
        <f>IF(COUNT(DP18,DV18,EB18)=0,"",SUM(DP18,DV18,EB18)/COUNT(DP18,DV18,EB18))</f>
        <v>2.5</v>
      </c>
      <c r="EE18" s="215" t="str">
        <f t="shared" si="27"/>
        <v>C</v>
      </c>
      <c r="EF18" s="134" t="s">
        <v>30</v>
      </c>
      <c r="EG18" s="132"/>
      <c r="EH18" s="133"/>
      <c r="EI18" s="191">
        <f>IFERROR((((COUNTIF('Elève (4ème4)'!EF18:EH18,"A"))*4)+((COUNTIF('Elève (4ème4)'!EF18:EH18,"B"))*3)+((COUNTIF('Elève (4ème4)'!EF18:EH18,"C"))*2)+((COUNTIF('Elève (4ème4)'!EF18:EH18,"D"))*1))/(COUNTA(EF18:EH18)),"")</f>
        <v>3</v>
      </c>
      <c r="EJ18" s="192" t="str">
        <f t="shared" si="28"/>
        <v>B</v>
      </c>
      <c r="EK18" s="134"/>
      <c r="EL18" s="132"/>
      <c r="EM18" s="129" t="s">
        <v>30</v>
      </c>
      <c r="EN18" s="133"/>
      <c r="EO18" s="191">
        <f>IFERROR((((COUNTIF('Elève (4ème4)'!EK18:EN18,"A"))*4)+((COUNTIF('Elève (4ème4)'!EK18:EN18,"B"))*3)+((COUNTIF('Elève (4ème4)'!EK18:EN18,"C"))*2)+((COUNTIF('Elève (4ème4)'!EK18:EN18,"D"))*1))/(COUNTA(EK18:EN18)),"")</f>
        <v>3</v>
      </c>
      <c r="EP18" s="192" t="str">
        <f t="shared" si="29"/>
        <v>B</v>
      </c>
      <c r="EQ18" s="134"/>
      <c r="ER18" s="132"/>
      <c r="ES18" s="133"/>
      <c r="ET18" s="136"/>
      <c r="EU18" s="191" t="str">
        <f>IFERROR((((COUNTIF('Elève (4ème4)'!EQ18:ET18,"A"))*4)+((COUNTIF('Elève (4ème4)'!EQ18:ET18,"B"))*3)+((COUNTIF('Elève (4ème4)'!EQ18:ET18,"C"))*2)+((COUNTIF('Elève (4ème4)'!EQ18:ET18,"D"))*1))/(COUNTA(EQ18:ET18)),"")</f>
        <v/>
      </c>
      <c r="EV18" s="192" t="str">
        <f t="shared" si="30"/>
        <v/>
      </c>
      <c r="EW18" s="191">
        <f>IF(COUNT(EI18,EO18,EU18)=0,"",SUM(EI18,EO18,EU18)/COUNT(EI18,EO18,EU18))</f>
        <v>3</v>
      </c>
      <c r="EX18" s="215" t="str">
        <f t="shared" si="31"/>
        <v>B</v>
      </c>
      <c r="EY18" s="134" t="s">
        <v>30</v>
      </c>
      <c r="EZ18" s="132"/>
      <c r="FA18" s="133"/>
      <c r="FB18" s="191">
        <f>IFERROR((((COUNTIF('Elève (4ème4)'!EY18:FA18,"A"))*4)+((COUNTIF('Elève (4ème4)'!EY18:FA18,"B"))*3)+((COUNTIF('Elève (4ème4)'!EY18:FA18,"C"))*2)+((COUNTIF('Elève (4ème4)'!EY18:FA18,"D"))*1))/(COUNTA(EY18:FA18)),"")</f>
        <v>3</v>
      </c>
      <c r="FC18" s="192" t="str">
        <f t="shared" si="32"/>
        <v>B</v>
      </c>
      <c r="FD18" s="134"/>
      <c r="FE18" s="132"/>
      <c r="FF18" s="129" t="s">
        <v>31</v>
      </c>
      <c r="FG18" s="133"/>
      <c r="FH18" s="191">
        <f>IFERROR((((COUNTIF('Elève (4ème4)'!FD18:FG18,"A"))*4)+((COUNTIF('Elève (4ème4)'!FD18:FG18,"B"))*3)+((COUNTIF('Elève (4ème4)'!FD18:FG18,"C"))*2)+((COUNTIF('Elève (4ème4)'!FD18:FG18,"D"))*1))/(COUNTA(FD18:FG18)),"")</f>
        <v>2</v>
      </c>
      <c r="FI18" s="192" t="str">
        <f t="shared" si="33"/>
        <v>C</v>
      </c>
      <c r="FJ18" s="134"/>
      <c r="FK18" s="132"/>
      <c r="FL18" s="133"/>
      <c r="FM18" s="136"/>
      <c r="FN18" s="191" t="str">
        <f>IFERROR((((COUNTIF('Elève (4ème4)'!FJ18:FM18,"A"))*4)+((COUNTIF('Elève (4ème4)'!FJ18:FM18,"B"))*3)+((COUNTIF('Elève (4ème4)'!FJ18:FM18,"C"))*2)+((COUNTIF('Elève (4ème4)'!FJ18:FM18,"D"))*1))/(COUNTA(FJ18:FM18)),"")</f>
        <v/>
      </c>
      <c r="FO18" s="192" t="str">
        <f t="shared" si="34"/>
        <v/>
      </c>
      <c r="FP18" s="191">
        <f>IF(COUNT(FB18,FH18,FN18)=0,"",SUM(FB18,FH18,FN18)/COUNT(FB18,FH18,FN18))</f>
        <v>2.5</v>
      </c>
      <c r="FQ18" s="215" t="str">
        <f t="shared" si="35"/>
        <v>C</v>
      </c>
      <c r="FR18" s="134"/>
      <c r="FS18" s="132"/>
      <c r="FT18" s="133"/>
      <c r="FU18" s="191" t="str">
        <f>IFERROR((((COUNTIF('Elève (4ème4)'!FR18:FT18,"A"))*4)+((COUNTIF('Elève (4ème4)'!FR18:FT18,"B"))*3)+((COUNTIF('Elève (4ème4)'!FR18:FT18,"C"))*2)+((COUNTIF('Elève (4ème4)'!FR18:FT18,"D"))*1))/(COUNTA(FR18:FT18)),"")</f>
        <v/>
      </c>
      <c r="FV18" s="192" t="str">
        <f t="shared" si="36"/>
        <v/>
      </c>
      <c r="FW18" s="134"/>
      <c r="FX18" s="132"/>
      <c r="FY18" s="129" t="s">
        <v>30</v>
      </c>
      <c r="FZ18" s="133"/>
      <c r="GA18" s="191">
        <f>IFERROR((((COUNTIF('Elève (4ème4)'!FW18:FZ18,"A"))*4)+((COUNTIF('Elève (4ème4)'!FW18:FZ18,"B"))*3)+((COUNTIF('Elève (4ème4)'!FW18:FZ18,"C"))*2)+((COUNTIF('Elève (4ème4)'!FW18:FZ18,"D"))*1))/(COUNTA(FW18:FZ18)),"")</f>
        <v>3</v>
      </c>
      <c r="GB18" s="192" t="str">
        <f t="shared" si="37"/>
        <v>B</v>
      </c>
      <c r="GC18" s="134"/>
      <c r="GD18" s="132"/>
      <c r="GE18" s="133"/>
      <c r="GF18" s="136"/>
      <c r="GG18" s="191" t="str">
        <f>IFERROR((((COUNTIF('Elève (4ème4)'!GC18:GF18,"A"))*4)+((COUNTIF('Elève (4ème4)'!GC18:GF18,"B"))*3)+((COUNTIF('Elève (4ème4)'!GC18:GF18,"C"))*2)+((COUNTIF('Elève (4ème4)'!GC18:GF18,"D"))*1))/(COUNTA(GC18:GF18)),"")</f>
        <v/>
      </c>
      <c r="GH18" s="192" t="str">
        <f t="shared" si="38"/>
        <v/>
      </c>
      <c r="GI18" s="191">
        <f>IF(COUNT(FU18,GA18,GG18)=0,"",SUM(FU18,GA18,GG18)/COUNT(FU18,GA18,GG18))</f>
        <v>3</v>
      </c>
      <c r="GJ18" s="215" t="str">
        <f t="shared" si="39"/>
        <v>B</v>
      </c>
      <c r="GK18" s="134" t="s">
        <v>29</v>
      </c>
      <c r="GL18" s="132"/>
      <c r="GM18" s="133"/>
      <c r="GN18" s="191">
        <f>IFERROR((((COUNTIF('Elève (4ème4)'!GK18:GM18,"A"))*4)+((COUNTIF('Elève (4ème4)'!GK18:GM18,"B"))*3)+((COUNTIF('Elève (4ème4)'!GK18:GM18,"C"))*2)+((COUNTIF('Elève (4ème4)'!GK18:GM18,"D"))*1))/(COUNTA(GK18:GM18)),"")</f>
        <v>4</v>
      </c>
      <c r="GO18" s="192" t="str">
        <f t="shared" si="40"/>
        <v>A</v>
      </c>
      <c r="GP18" s="134"/>
      <c r="GQ18" s="132"/>
      <c r="GR18" s="129" t="s">
        <v>31</v>
      </c>
      <c r="GS18" s="133"/>
      <c r="GT18" s="191">
        <f>IFERROR((((COUNTIF('Elève (4ème4)'!GP18:GS18,"A"))*4)+((COUNTIF('Elève (4ème4)'!GP18:GS18,"B"))*3)+((COUNTIF('Elève (4ème4)'!GP18:GS18,"C"))*2)+((COUNTIF('Elève (4ème4)'!GP18:GS18,"D"))*1))/(COUNTA(GP18:GS18)),"")</f>
        <v>2</v>
      </c>
      <c r="GU18" s="192" t="str">
        <f t="shared" si="41"/>
        <v>C</v>
      </c>
      <c r="GV18" s="134"/>
      <c r="GW18" s="132"/>
      <c r="GX18" s="133"/>
      <c r="GY18" s="136"/>
      <c r="GZ18" s="191" t="str">
        <f>IFERROR((((COUNTIF('Elève (4ème4)'!GV18:GY18,"A"))*4)+((COUNTIF('Elève (4ème4)'!GV18:GY18,"B"))*3)+((COUNTIF('Elève (4ème4)'!GV18:GY18,"C"))*2)+((COUNTIF('Elève (4ème4)'!GV18:GY18,"D"))*1))/(COUNTA(GV18:GY18)),"")</f>
        <v/>
      </c>
      <c r="HA18" s="192" t="str">
        <f t="shared" si="42"/>
        <v/>
      </c>
      <c r="HB18" s="191">
        <f>IF(COUNT(GN18,GT18,GZ18)=0,"",SUM(GN18,GT18,GZ18)/COUNT(GN18,GT18,GZ18))</f>
        <v>3</v>
      </c>
      <c r="HC18" s="215" t="str">
        <f t="shared" si="43"/>
        <v>B</v>
      </c>
      <c r="HD18" s="134" t="s">
        <v>30</v>
      </c>
      <c r="HE18" s="132"/>
      <c r="HF18" s="133"/>
      <c r="HG18" s="191">
        <f>IFERROR((((COUNTIF('Elève (4ème4)'!HD18:HF18,"A"))*4)+((COUNTIF('Elève (4ème4)'!HD18:HF18,"B"))*3)+((COUNTIF('Elève (4ème4)'!HD18:HF18,"C"))*2)+((COUNTIF('Elève (4ème4)'!HD18:HF18,"D"))*1))/(COUNTA(HD18:HF18)),"")</f>
        <v>3</v>
      </c>
      <c r="HH18" s="192" t="str">
        <f t="shared" si="44"/>
        <v>B</v>
      </c>
      <c r="HI18" s="134"/>
      <c r="HJ18" s="132"/>
      <c r="HK18" s="129" t="s">
        <v>30</v>
      </c>
      <c r="HL18" s="133"/>
      <c r="HM18" s="191">
        <f>IFERROR((((COUNTIF('Elève (4ème4)'!HI18:HL18,"A"))*4)+((COUNTIF('Elève (4ème4)'!HI18:HL18,"B"))*3)+((COUNTIF('Elève (4ème4)'!HI18:HL18,"C"))*2)+((COUNTIF('Elève (4ème4)'!HI18:HL18,"D"))*1))/(COUNTA(HI18:HL18)),"")</f>
        <v>3</v>
      </c>
      <c r="HN18" s="192" t="str">
        <f t="shared" si="45"/>
        <v>B</v>
      </c>
      <c r="HO18" s="134"/>
      <c r="HP18" s="132"/>
      <c r="HQ18" s="133"/>
      <c r="HR18" s="136"/>
      <c r="HS18" s="191" t="str">
        <f>IFERROR((((COUNTIF('Elève (4ème4)'!HO18:HR18,"A"))*4)+((COUNTIF('Elève (4ème4)'!HO18:HR18,"B"))*3)+((COUNTIF('Elève (4ème4)'!HO18:HR18,"C"))*2)+((COUNTIF('Elève (4ème4)'!HO18:HR18,"D"))*1))/(COUNTA(HO18:HR18)),"")</f>
        <v/>
      </c>
      <c r="HT18" s="192" t="str">
        <f t="shared" si="46"/>
        <v/>
      </c>
      <c r="HU18" s="191">
        <f>IF(COUNT(HG18,HM18,HS18)=0,"",SUM(HG18,HM18,HS18)/COUNT(HG18,HM18,HS18))</f>
        <v>3</v>
      </c>
      <c r="HV18" s="215" t="str">
        <f t="shared" si="47"/>
        <v>B</v>
      </c>
      <c r="HW18" s="134" t="s">
        <v>29</v>
      </c>
      <c r="HX18" s="132"/>
      <c r="HY18" s="133"/>
      <c r="HZ18" s="191">
        <f>IFERROR((((COUNTIF('Elève (4ème4)'!HW18:HY18,"A"))*4)+((COUNTIF('Elève (4ème4)'!HW18:HY18,"B"))*3)+((COUNTIF('Elève (4ème4)'!HW18:HY18,"C"))*2)+((COUNTIF('Elève (4ème4)'!HW18:HY18,"D"))*1))/(COUNTA(HW18:HY18)),"")</f>
        <v>4</v>
      </c>
      <c r="IA18" s="192" t="str">
        <f t="shared" si="48"/>
        <v>A</v>
      </c>
      <c r="IB18" s="134"/>
      <c r="IC18" s="132"/>
      <c r="ID18" s="129" t="s">
        <v>30</v>
      </c>
      <c r="IE18" s="133"/>
      <c r="IF18" s="191">
        <f>IFERROR((((COUNTIF('Elève (4ème4)'!IB18:IE18,"A"))*4)+((COUNTIF('Elève (4ème4)'!IB18:IE18,"B"))*3)+((COUNTIF('Elève (4ème4)'!IB18:IE18,"C"))*2)+((COUNTIF('Elève (4ème4)'!IB18:IE18,"D"))*1))/(COUNTA(IB18:IE18)),"")</f>
        <v>3</v>
      </c>
      <c r="IG18" s="192" t="str">
        <f t="shared" si="49"/>
        <v>B</v>
      </c>
      <c r="IH18" s="134"/>
      <c r="II18" s="132"/>
      <c r="IJ18" s="133"/>
      <c r="IK18" s="136"/>
      <c r="IL18" s="191" t="str">
        <f>IFERROR((((COUNTIF('Elève (4ème4)'!IH18:IK18,"A"))*4)+((COUNTIF('Elève (4ème4)'!IH18:IK18,"B"))*3)+((COUNTIF('Elève (4ème4)'!IH18:IK18,"C"))*2)+((COUNTIF('Elève (4ème4)'!IH18:IK18,"D"))*1))/(COUNTA(IH18:IK18)),"")</f>
        <v/>
      </c>
      <c r="IM18" s="192" t="str">
        <f t="shared" si="50"/>
        <v/>
      </c>
      <c r="IN18" s="191">
        <f>IF(COUNT(HZ18,IF18,IL18)=0,"",SUM(HZ18,IF18,IL18)/COUNT(HZ18,IF18,IL18))</f>
        <v>3.5</v>
      </c>
      <c r="IO18" s="215" t="str">
        <f t="shared" si="51"/>
        <v>B</v>
      </c>
      <c r="IP18" s="134"/>
      <c r="IQ18" s="132"/>
      <c r="IR18" s="133"/>
      <c r="IS18" s="191" t="str">
        <f>IFERROR((((COUNTIF('Elève (4ème4)'!IP18:IR18,"A"))*4)+((COUNTIF('Elève (4ème4)'!IP18:IR18,"B"))*3)+((COUNTIF('Elève (4ème4)'!IP18:IR18,"C"))*2)+((COUNTIF('Elève (4ème4)'!IP18:IR18,"D"))*1))/(COUNTA(IP18:IR18)),"")</f>
        <v/>
      </c>
      <c r="IT18" s="192" t="str">
        <f t="shared" si="52"/>
        <v/>
      </c>
      <c r="IU18" s="134"/>
      <c r="IV18" s="132"/>
      <c r="IW18" s="129" t="s">
        <v>32</v>
      </c>
      <c r="IX18" s="133"/>
      <c r="IY18" s="191">
        <f>IFERROR((((COUNTIF('Elève (4ème4)'!IU18:IX18,"A"))*4)+((COUNTIF('Elève (4ème4)'!IU18:IX18,"B"))*3)+((COUNTIF('Elève (4ème4)'!IU18:IX18,"C"))*2)+((COUNTIF('Elève (4ème4)'!IU18:IX18,"D"))*1))/(COUNTA(IU18:IX18)),"")</f>
        <v>1</v>
      </c>
      <c r="IZ18" s="192" t="str">
        <f t="shared" si="53"/>
        <v>D</v>
      </c>
      <c r="JA18" s="134"/>
      <c r="JB18" s="132"/>
      <c r="JC18" s="133"/>
      <c r="JD18" s="136"/>
      <c r="JE18" s="191" t="str">
        <f>IFERROR((((COUNTIF('Elève (4ème4)'!JA18:JD18,"A"))*4)+((COUNTIF('Elève (4ème4)'!JA18:JD18,"B"))*3)+((COUNTIF('Elève (4ème4)'!JA18:JD18,"C"))*2)+((COUNTIF('Elève (4ème4)'!JA18:JD18,"D"))*1))/(COUNTA(JA18:JD18)),"")</f>
        <v/>
      </c>
      <c r="JF18" s="192" t="str">
        <f t="shared" si="54"/>
        <v/>
      </c>
      <c r="JG18" s="191">
        <f>IF(COUNT(IS18,IY18,JE18)=0,"",SUM(IS18,IY18,JE18)/COUNT(IS18,IY18,JE18))</f>
        <v>1</v>
      </c>
      <c r="JH18" s="215" t="str">
        <f t="shared" si="55"/>
        <v>D</v>
      </c>
      <c r="JI18" s="134"/>
      <c r="JJ18" s="132"/>
      <c r="JK18" s="133"/>
      <c r="JL18" s="191" t="str">
        <f>IFERROR((((COUNTIF('Elève (4ème4)'!JI18:JK18,"A"))*4)+((COUNTIF('Elève (4ème4)'!JI18:JK18,"B"))*3)+((COUNTIF('Elève (4ème4)'!JI18:JK18,"C"))*2)+((COUNTIF('Elève (4ème4)'!JI18:JK18,"D"))*1))/(COUNTA(JI18:JK18)),"")</f>
        <v/>
      </c>
      <c r="JM18" s="192" t="str">
        <f t="shared" si="56"/>
        <v/>
      </c>
      <c r="JN18" s="134"/>
      <c r="JO18" s="132"/>
      <c r="JP18" s="129" t="s">
        <v>31</v>
      </c>
      <c r="JQ18" s="133"/>
      <c r="JR18" s="191">
        <f>IFERROR((((COUNTIF('Elève (4ème4)'!JN18:JQ18,"A"))*4)+((COUNTIF('Elève (4ème4)'!JN18:JQ18,"B"))*3)+((COUNTIF('Elève (4ème4)'!JN18:JQ18,"C"))*2)+((COUNTIF('Elève (4ème4)'!JN18:JQ18,"D"))*1))/(COUNTA(JN18:JQ18)),"")</f>
        <v>2</v>
      </c>
      <c r="JS18" s="192" t="str">
        <f t="shared" si="57"/>
        <v>C</v>
      </c>
      <c r="JT18" s="134"/>
      <c r="JU18" s="132"/>
      <c r="JV18" s="133"/>
      <c r="JW18" s="136"/>
      <c r="JX18" s="191" t="str">
        <f>IFERROR((((COUNTIF('Elève (4ème4)'!JT18:JW18,"A"))*4)+((COUNTIF('Elève (4ème4)'!JT18:JW18,"B"))*3)+((COUNTIF('Elève (4ème4)'!JT18:JW18,"C"))*2)+((COUNTIF('Elève (4ème4)'!JT18:JW18,"D"))*1))/(COUNTA(JT18:JW18)),"")</f>
        <v/>
      </c>
      <c r="JY18" s="192" t="str">
        <f t="shared" si="58"/>
        <v/>
      </c>
      <c r="JZ18" s="191">
        <f>IF(COUNT(JL18,JR18,JX18)=0,"",SUM(JL18,JR18,JX18)/COUNT(JL18,JR18,JX18))</f>
        <v>2</v>
      </c>
      <c r="KA18" s="215" t="str">
        <f t="shared" si="59"/>
        <v>C</v>
      </c>
      <c r="KB18" s="134" t="s">
        <v>31</v>
      </c>
      <c r="KC18" s="132"/>
      <c r="KD18" s="133"/>
      <c r="KE18" s="191">
        <f>IFERROR((((COUNTIF('Elève (4ème4)'!KB18:KD18,"A"))*4)+((COUNTIF('Elève (4ème4)'!KB18:KD18,"B"))*3)+((COUNTIF('Elève (4ème4)'!KB18:KD18,"C"))*2)+((COUNTIF('Elève (4ème4)'!KB18:KD18,"D"))*1))/(COUNTA(KB18:KD18)),"")</f>
        <v>2</v>
      </c>
      <c r="KF18" s="192" t="str">
        <f t="shared" si="60"/>
        <v>C</v>
      </c>
      <c r="KG18" s="134"/>
      <c r="KH18" s="132"/>
      <c r="KI18" s="129" t="s">
        <v>31</v>
      </c>
      <c r="KJ18" s="133"/>
      <c r="KK18" s="191">
        <f>IFERROR((((COUNTIF('Elève (4ème4)'!KG18:KJ18,"A"))*4)+((COUNTIF('Elève (4ème4)'!KG18:KJ18,"B"))*3)+((COUNTIF('Elève (4ème4)'!KG18:KJ18,"C"))*2)+((COUNTIF('Elève (4ème4)'!KG18:KJ18,"D"))*1))/(COUNTA(KG18:KJ18)),"")</f>
        <v>2</v>
      </c>
      <c r="KL18" s="192" t="str">
        <f t="shared" si="61"/>
        <v>C</v>
      </c>
      <c r="KM18" s="134"/>
      <c r="KN18" s="132"/>
      <c r="KO18" s="133"/>
      <c r="KP18" s="136"/>
      <c r="KQ18" s="191" t="str">
        <f>IFERROR((((COUNTIF('Elève (4ème4)'!KM18:KP18,"A"))*4)+((COUNTIF('Elève (4ème4)'!KM18:KP18,"B"))*3)+((COUNTIF('Elève (4ème4)'!KM18:KP18,"C"))*2)+((COUNTIF('Elève (4ème4)'!KM18:KP18,"D"))*1))/(COUNTA(KM18:KP18)),"")</f>
        <v/>
      </c>
      <c r="KR18" s="192" t="str">
        <f t="shared" si="62"/>
        <v/>
      </c>
      <c r="KS18" s="191">
        <f>IF(COUNT(KE18,KK18,KQ18)=0,"",SUM(KE18,KK18,KQ18)/COUNT(KE18,KK18,KQ18))</f>
        <v>2</v>
      </c>
      <c r="KT18" s="215" t="str">
        <f t="shared" si="63"/>
        <v>C</v>
      </c>
      <c r="KU18" s="134" t="s">
        <v>29</v>
      </c>
      <c r="KV18" s="132"/>
      <c r="KW18" s="133"/>
      <c r="KX18" s="191">
        <f>IFERROR((((COUNTIF('Elève (4ème4)'!KU18:KW18,"A"))*4)+((COUNTIF('Elève (4ème4)'!KU18:KW18,"B"))*3)+((COUNTIF('Elève (4ème4)'!KU18:KW18,"C"))*2)+((COUNTIF('Elève (4ème4)'!KU18:KW18,"D"))*1))/(COUNTA(KU18:KW18)),"")</f>
        <v>4</v>
      </c>
      <c r="KY18" s="192" t="str">
        <f t="shared" si="64"/>
        <v>A</v>
      </c>
      <c r="KZ18" s="134"/>
      <c r="LA18" s="132"/>
      <c r="LB18" s="129" t="s">
        <v>30</v>
      </c>
      <c r="LC18" s="133"/>
      <c r="LD18" s="191">
        <f>IFERROR((((COUNTIF('Elève (4ème4)'!KZ18:LC18,"A"))*4)+((COUNTIF('Elève (4ème4)'!KZ18:LC18,"B"))*3)+((COUNTIF('Elève (4ème4)'!KZ18:LC18,"C"))*2)+((COUNTIF('Elève (4ème4)'!KZ18:LC18,"D"))*1))/(COUNTA(KZ18:LC18)),"")</f>
        <v>3</v>
      </c>
      <c r="LE18" s="192" t="str">
        <f t="shared" si="65"/>
        <v>B</v>
      </c>
      <c r="LF18" s="134"/>
      <c r="LG18" s="132"/>
      <c r="LH18" s="133"/>
      <c r="LI18" s="136"/>
      <c r="LJ18" s="191" t="str">
        <f>IFERROR((((COUNTIF('Elève (4ème4)'!LF18:LI18,"A"))*4)+((COUNTIF('Elève (4ème4)'!LF18:LI18,"B"))*3)+((COUNTIF('Elève (4ème4)'!LF18:LI18,"C"))*2)+((COUNTIF('Elève (4ème4)'!LF18:LI18,"D"))*1))/(COUNTA(LF18:LI18)),"")</f>
        <v/>
      </c>
      <c r="LK18" s="192" t="str">
        <f t="shared" si="66"/>
        <v/>
      </c>
      <c r="LL18" s="191">
        <f>IF(COUNT(KX18,LD18,LJ18)=0,"",SUM(KX18,LD18,LJ18)/COUNT(KX18,LD18,LJ18))</f>
        <v>3.5</v>
      </c>
      <c r="LM18" s="215" t="str">
        <f t="shared" si="67"/>
        <v>B</v>
      </c>
      <c r="LN18" s="134" t="s">
        <v>29</v>
      </c>
      <c r="LO18" s="132"/>
      <c r="LP18" s="133"/>
      <c r="LQ18" s="191">
        <f>IFERROR((((COUNTIF('Elève (4ème4)'!LN18:LP18,"A"))*4)+((COUNTIF('Elève (4ème4)'!LN18:LP18,"B"))*3)+((COUNTIF('Elève (4ème4)'!LN18:LP18,"C"))*2)+((COUNTIF('Elève (4ème4)'!LN18:LP18,"D"))*1))/(COUNTA(LN18:LP18)),"")</f>
        <v>4</v>
      </c>
      <c r="LR18" s="192" t="str">
        <f t="shared" si="68"/>
        <v>A</v>
      </c>
      <c r="LS18" s="134"/>
      <c r="LT18" s="132"/>
      <c r="LU18" s="129" t="s">
        <v>29</v>
      </c>
      <c r="LV18" s="133"/>
      <c r="LW18" s="191">
        <f>IFERROR((((COUNTIF('Elève (4ème4)'!LS18:LV18,"A"))*4)+((COUNTIF('Elève (4ème4)'!LS18:LV18,"B"))*3)+((COUNTIF('Elève (4ème4)'!LS18:LV18,"C"))*2)+((COUNTIF('Elève (4ème4)'!LS18:LV18,"D"))*1))/(COUNTA(LS18:LV18)),"")</f>
        <v>4</v>
      </c>
      <c r="LX18" s="192" t="str">
        <f t="shared" si="69"/>
        <v>A</v>
      </c>
      <c r="LY18" s="134"/>
      <c r="LZ18" s="132"/>
      <c r="MA18" s="133"/>
      <c r="MB18" s="136"/>
      <c r="MC18" s="191" t="str">
        <f>IFERROR((((COUNTIF('Elève (4ème4)'!LY18:MB18,"A"))*4)+((COUNTIF('Elève (4ème4)'!LY18:MB18,"B"))*3)+((COUNTIF('Elève (4ème4)'!LY18:MB18,"C"))*2)+((COUNTIF('Elève (4ème4)'!LY18:MB18,"D"))*1))/(COUNTA(LY18:MB18)),"")</f>
        <v/>
      </c>
      <c r="MD18" s="192" t="str">
        <f t="shared" si="70"/>
        <v/>
      </c>
      <c r="ME18" s="191">
        <f>IF(COUNT(LQ18,LW18,MC18)=0,"",SUM(LQ18,LW18,MC18)/COUNT(LQ18,LW18,MC18))</f>
        <v>4</v>
      </c>
      <c r="MF18" s="215" t="str">
        <f t="shared" si="71"/>
        <v>A</v>
      </c>
      <c r="MG18" s="134" t="s">
        <v>29</v>
      </c>
      <c r="MH18" s="132"/>
      <c r="MI18" s="133"/>
      <c r="MJ18" s="191">
        <f>IFERROR((((COUNTIF('Elève (4ème4)'!MG18:MI18,"A"))*4)+((COUNTIF('Elève (4ème4)'!MG18:MI18,"B"))*3)+((COUNTIF('Elève (4ème4)'!MG18:MI18,"C"))*2)+((COUNTIF('Elève (4ème4)'!MG18:MI18,"D"))*1))/(COUNTA(MG18:MI18)),"")</f>
        <v>4</v>
      </c>
      <c r="MK18" s="192" t="str">
        <f t="shared" si="72"/>
        <v>A</v>
      </c>
      <c r="ML18" s="134"/>
      <c r="MM18" s="132"/>
      <c r="MN18" s="129" t="s">
        <v>31</v>
      </c>
      <c r="MO18" s="133"/>
      <c r="MP18" s="191">
        <f>IFERROR((((COUNTIF('Elève (4ème4)'!ML18:MO18,"A"))*4)+((COUNTIF('Elève (4ème4)'!ML18:MO18,"B"))*3)+((COUNTIF('Elève (4ème4)'!ML18:MO18,"C"))*2)+((COUNTIF('Elève (4ème4)'!ML18:MO18,"D"))*1))/(COUNTA(ML18:MO18)),"")</f>
        <v>2</v>
      </c>
      <c r="MQ18" s="192" t="str">
        <f t="shared" si="73"/>
        <v>C</v>
      </c>
      <c r="MR18" s="134"/>
      <c r="MS18" s="132"/>
      <c r="MT18" s="133"/>
      <c r="MU18" s="136"/>
      <c r="MV18" s="191" t="str">
        <f>IFERROR((((COUNTIF('Elève (4ème4)'!MR18:MU18,"A"))*4)+((COUNTIF('Elève (4ème4)'!MR18:MU18,"B"))*3)+((COUNTIF('Elève (4ème4)'!MR18:MU18,"C"))*2)+((COUNTIF('Elève (4ème4)'!MR18:MU18,"D"))*1))/(COUNTA(MR18:MU18)),"")</f>
        <v/>
      </c>
      <c r="MW18" s="192" t="str">
        <f t="shared" si="74"/>
        <v/>
      </c>
      <c r="MX18" s="191">
        <f>IF(COUNT(MJ18,MP18,MV18)=0,"",SUM(MJ18,MP18,MV18)/COUNT(MJ18,MP18,MV18))</f>
        <v>3</v>
      </c>
      <c r="MY18" s="215" t="str">
        <f t="shared" si="75"/>
        <v>B</v>
      </c>
      <c r="MZ18" s="134" t="s">
        <v>31</v>
      </c>
      <c r="NA18" s="132"/>
      <c r="NB18" s="133"/>
      <c r="NC18" s="191">
        <f>IFERROR((((COUNTIF('Elève (4ème4)'!MZ18:NB18,"A"))*4)+((COUNTIF('Elève (4ème4)'!MZ18:NB18,"B"))*3)+((COUNTIF('Elève (4ème4)'!MZ18:NB18,"C"))*2)+((COUNTIF('Elève (4ème4)'!MZ18:NB18,"D"))*1))/(COUNTA(MZ18:NB18)),"")</f>
        <v>2</v>
      </c>
      <c r="ND18" s="192" t="str">
        <f t="shared" si="76"/>
        <v>C</v>
      </c>
      <c r="NE18" s="134"/>
      <c r="NF18" s="132"/>
      <c r="NG18" s="129" t="s">
        <v>29</v>
      </c>
      <c r="NH18" s="133"/>
      <c r="NI18" s="191">
        <f>IFERROR((((COUNTIF('Elève (4ème4)'!NE18:NH18,"A"))*4)+((COUNTIF('Elève (4ème4)'!NE18:NH18,"B"))*3)+((COUNTIF('Elève (4ème4)'!NE18:NH18,"C"))*2)+((COUNTIF('Elève (4ème4)'!NE18:NH18,"D"))*1))/(COUNTA(NE18:NH18)),"")</f>
        <v>4</v>
      </c>
      <c r="NJ18" s="192" t="str">
        <f t="shared" si="77"/>
        <v>A</v>
      </c>
      <c r="NK18" s="134"/>
      <c r="NL18" s="132"/>
      <c r="NM18" s="133"/>
      <c r="NN18" s="136"/>
      <c r="NO18" s="191" t="str">
        <f>IFERROR((((COUNTIF('Elève (4ème4)'!NK18:NN18,"A"))*4)+((COUNTIF('Elève (4ème4)'!NK18:NN18,"B"))*3)+((COUNTIF('Elève (4ème4)'!NK18:NN18,"C"))*2)+((COUNTIF('Elève (4ème4)'!NK18:NN18,"D"))*1))/(COUNTA(NK18:NN18)),"")</f>
        <v/>
      </c>
      <c r="NP18" s="192" t="str">
        <f t="shared" si="78"/>
        <v/>
      </c>
      <c r="NQ18" s="191">
        <f>IF(COUNT(NC18,NI18,NO18)=0,"",SUM(NC18,NI18,NO18)/COUNT(NC18,NI18,NO18))</f>
        <v>3</v>
      </c>
      <c r="NR18" s="215" t="str">
        <f t="shared" si="79"/>
        <v>B</v>
      </c>
      <c r="NS18" s="134"/>
      <c r="NT18" s="132"/>
      <c r="NU18" s="133"/>
      <c r="NV18" s="191" t="str">
        <f>IFERROR((((COUNTIF('Elève (4ème4)'!NS18:NU18,"A"))*4)+((COUNTIF('Elève (4ème4)'!NS18:NU18,"B"))*3)+((COUNTIF('Elève (4ème4)'!NS18:NU18,"C"))*2)+((COUNTIF('Elève (4ème4)'!NS18:NU18,"D"))*1))/(COUNTA(NS18:NU18)),"")</f>
        <v/>
      </c>
      <c r="NW18" s="192" t="str">
        <f t="shared" si="80"/>
        <v/>
      </c>
      <c r="NX18" s="134"/>
      <c r="NY18" s="132"/>
      <c r="NZ18" s="129" t="s">
        <v>31</v>
      </c>
      <c r="OA18" s="133"/>
      <c r="OB18" s="191">
        <f>IFERROR((((COUNTIF('Elève (4ème4)'!NX18:OA18,"A"))*4)+((COUNTIF('Elève (4ème4)'!NX18:OA18,"B"))*3)+((COUNTIF('Elève (4ème4)'!NX18:OA18,"C"))*2)+((COUNTIF('Elève (4ème4)'!NX18:OA18,"D"))*1))/(COUNTA(NX18:OA18)),"")</f>
        <v>2</v>
      </c>
      <c r="OC18" s="192" t="str">
        <f t="shared" si="81"/>
        <v>C</v>
      </c>
      <c r="OD18" s="134"/>
      <c r="OE18" s="132"/>
      <c r="OF18" s="133"/>
      <c r="OG18" s="136"/>
      <c r="OH18" s="191" t="str">
        <f>IFERROR((((COUNTIF('Elève (4ème4)'!OD18:OG18,"A"))*4)+((COUNTIF('Elève (4ème4)'!OD18:OG18,"B"))*3)+((COUNTIF('Elève (4ème4)'!OD18:OG18,"C"))*2)+((COUNTIF('Elève (4ème4)'!OD18:OG18,"D"))*1))/(COUNTA(OD18:OG18)),"")</f>
        <v/>
      </c>
      <c r="OI18" s="192" t="str">
        <f t="shared" si="82"/>
        <v/>
      </c>
      <c r="OJ18" s="191">
        <f>IF(COUNT(NV18,OB18,OH18)=0,"",SUM(NV18,OB18,OH18)/COUNT(NV18,OB18,OH18))</f>
        <v>2</v>
      </c>
      <c r="OK18" s="215" t="str">
        <f t="shared" si="83"/>
        <v>C</v>
      </c>
      <c r="OL18" s="134" t="s">
        <v>29</v>
      </c>
      <c r="OM18" s="132"/>
      <c r="ON18" s="133"/>
      <c r="OO18" s="191">
        <f>IFERROR((((COUNTIF('Elève (4ème4)'!OL18:ON18,"A"))*4)+((COUNTIF('Elève (4ème4)'!OL18:ON18,"B"))*3)+((COUNTIF('Elève (4ème4)'!OL18:ON18,"C"))*2)+((COUNTIF('Elève (4ème4)'!OL18:ON18,"D"))*1))/(COUNTA(OL18:ON18)),"")</f>
        <v>4</v>
      </c>
      <c r="OP18" s="192" t="str">
        <f t="shared" si="84"/>
        <v>A</v>
      </c>
      <c r="OQ18" s="134"/>
      <c r="OR18" s="132"/>
      <c r="OS18" s="129" t="s">
        <v>30</v>
      </c>
      <c r="OT18" s="133"/>
      <c r="OU18" s="191">
        <f>IFERROR((((COUNTIF('Elève (4ème4)'!OQ18:OT18,"A"))*4)+((COUNTIF('Elève (4ème4)'!OQ18:OT18,"B"))*3)+((COUNTIF('Elève (4ème4)'!OQ18:OT18,"C"))*2)+((COUNTIF('Elève (4ème4)'!OQ18:OT18,"D"))*1))/(COUNTA(OQ18:OT18)),"")</f>
        <v>3</v>
      </c>
      <c r="OV18" s="192" t="str">
        <f t="shared" si="85"/>
        <v>B</v>
      </c>
      <c r="OW18" s="134"/>
      <c r="OX18" s="132"/>
      <c r="OY18" s="133"/>
      <c r="OZ18" s="136"/>
      <c r="PA18" s="191" t="str">
        <f>IFERROR((((COUNTIF('Elève (4ème4)'!OW18:OZ18,"A"))*4)+((COUNTIF('Elève (4ème4)'!OW18:OZ18,"B"))*3)+((COUNTIF('Elève (4ème4)'!OW18:OZ18,"C"))*2)+((COUNTIF('Elève (4ème4)'!OW18:OZ18,"D"))*1))/(COUNTA(OW18:OZ18)),"")</f>
        <v/>
      </c>
      <c r="PB18" s="192" t="str">
        <f t="shared" si="86"/>
        <v/>
      </c>
      <c r="PC18" s="191">
        <f>IF(COUNT(OO18,OU18,PA18)=0,"",SUM(OO18,OU18,PA18)/COUNT(OO18,OU18,PA18))</f>
        <v>3.5</v>
      </c>
      <c r="PD18" s="215" t="str">
        <f t="shared" si="87"/>
        <v>B</v>
      </c>
      <c r="PE18" s="134"/>
      <c r="PF18" s="132"/>
      <c r="PG18" s="133"/>
      <c r="PH18" s="191" t="str">
        <f>IFERROR((((COUNTIF('Elève (4ème4)'!PE18:PG18,"A"))*4)+((COUNTIF('Elève (4ème4)'!PE18:PG18,"B"))*3)+((COUNTIF('Elève (4ème4)'!PE18:PG18,"C"))*2)+((COUNTIF('Elève (4ème4)'!PE18:PG18,"D"))*1))/(COUNTA(PE18:PG18)),"")</f>
        <v/>
      </c>
      <c r="PI18" s="192" t="str">
        <f t="shared" si="88"/>
        <v/>
      </c>
      <c r="PJ18" s="134"/>
      <c r="PK18" s="132"/>
      <c r="PL18" s="129" t="s">
        <v>30</v>
      </c>
      <c r="PM18" s="133"/>
      <c r="PN18" s="191">
        <f>IFERROR((((COUNTIF('Elève (4ème4)'!PJ18:PM18,"A"))*4)+((COUNTIF('Elève (4ème4)'!PJ18:PM18,"B"))*3)+((COUNTIF('Elève (4ème4)'!PJ18:PM18,"C"))*2)+((COUNTIF('Elève (4ème4)'!PJ18:PM18,"D"))*1))/(COUNTA(PJ18:PM18)),"")</f>
        <v>3</v>
      </c>
      <c r="PO18" s="192" t="str">
        <f t="shared" si="89"/>
        <v>B</v>
      </c>
      <c r="PP18" s="134"/>
      <c r="PQ18" s="132"/>
      <c r="PR18" s="133"/>
      <c r="PS18" s="136"/>
      <c r="PT18" s="191" t="str">
        <f>IFERROR((((COUNTIF('Elève (4ème4)'!PP18:PS18,"A"))*4)+((COUNTIF('Elève (4ème4)'!PP18:PS18,"B"))*3)+((COUNTIF('Elève (4ème4)'!PP18:PS18,"C"))*2)+((COUNTIF('Elève (4ème4)'!PP18:PS18,"D"))*1))/(COUNTA(PP18:PS18)),"")</f>
        <v/>
      </c>
      <c r="PU18" s="192" t="str">
        <f t="shared" si="90"/>
        <v/>
      </c>
      <c r="PV18" s="191">
        <f>IF(COUNT(PH18,PN18,PT18)=0,"",SUM(PH18,PN18,PT18)/COUNT(PH18,PN18,PT18))</f>
        <v>3</v>
      </c>
      <c r="PW18" s="215" t="str">
        <f t="shared" si="91"/>
        <v>B</v>
      </c>
      <c r="PX18" s="134" t="s">
        <v>30</v>
      </c>
      <c r="PY18" s="132"/>
      <c r="PZ18" s="133"/>
      <c r="QA18" s="191">
        <f>IFERROR((((COUNTIF('Elève (4ème4)'!PX18:PZ18,"A"))*4)+((COUNTIF('Elève (4ème4)'!PX18:PZ18,"B"))*3)+((COUNTIF('Elève (4ème4)'!PX18:PZ18,"C"))*2)+((COUNTIF('Elève (4ème4)'!PX18:PZ18,"D"))*1))/(COUNTA(PX18:PZ18)),"")</f>
        <v>3</v>
      </c>
      <c r="QB18" s="192" t="str">
        <f t="shared" si="92"/>
        <v>B</v>
      </c>
      <c r="QC18" s="134"/>
      <c r="QD18" s="132"/>
      <c r="QE18" s="129" t="s">
        <v>29</v>
      </c>
      <c r="QF18" s="133"/>
      <c r="QG18" s="191">
        <f>IFERROR((((COUNTIF('Elève (4ème4)'!QC18:QF18,"A"))*4)+((COUNTIF('Elève (4ème4)'!QC18:QF18,"B"))*3)+((COUNTIF('Elève (4ème4)'!QC18:QF18,"C"))*2)+((COUNTIF('Elève (4ème4)'!QC18:QF18,"D"))*1))/(COUNTA(QC18:QF18)),"")</f>
        <v>4</v>
      </c>
      <c r="QH18" s="192" t="str">
        <f t="shared" si="93"/>
        <v>A</v>
      </c>
      <c r="QI18" s="134"/>
      <c r="QJ18" s="132"/>
      <c r="QK18" s="133"/>
      <c r="QL18" s="136"/>
      <c r="QM18" s="191" t="str">
        <f>IFERROR((((COUNTIF('Elève (4ème4)'!QI18:QL18,"A"))*4)+((COUNTIF('Elève (4ème4)'!QI18:QL18,"B"))*3)+((COUNTIF('Elève (4ème4)'!QI18:QL18,"C"))*2)+((COUNTIF('Elève (4ème4)'!QI18:QL18,"D"))*1))/(COUNTA(QI18:QL18)),"")</f>
        <v/>
      </c>
      <c r="QN18" s="192" t="str">
        <f t="shared" si="94"/>
        <v/>
      </c>
      <c r="QO18" s="191">
        <f>IF(COUNT(QA18,QG18,QM18)=0,"",SUM(QA18,QG18,QM18)/COUNT(QA18,QG18,QM18))</f>
        <v>3.5</v>
      </c>
      <c r="QP18" s="215" t="str">
        <f t="shared" si="95"/>
        <v>B</v>
      </c>
      <c r="QQ18" s="134"/>
      <c r="QR18" s="132"/>
      <c r="QS18" s="133"/>
      <c r="QT18" s="191" t="str">
        <f>IFERROR((((COUNTIF('Elève (4ème4)'!QQ18:QS18,"A"))*4)+((COUNTIF('Elève (4ème4)'!QQ18:QS18,"B"))*3)+((COUNTIF('Elève (4ème4)'!QQ18:QS18,"C"))*2)+((COUNTIF('Elève (4ème4)'!QQ18:QS18,"D"))*1))/(COUNTA(QQ18:QS18)),"")</f>
        <v/>
      </c>
      <c r="QU18" s="192" t="str">
        <f t="shared" si="96"/>
        <v/>
      </c>
      <c r="QV18" s="134"/>
      <c r="QW18" s="132"/>
      <c r="QX18" s="129" t="s">
        <v>30</v>
      </c>
      <c r="QY18" s="133"/>
      <c r="QZ18" s="191">
        <f>IFERROR((((COUNTIF('Elève (4ème4)'!QV18:QY18,"A"))*4)+((COUNTIF('Elève (4ème4)'!QV18:QY18,"B"))*3)+((COUNTIF('Elève (4ème4)'!QV18:QY18,"C"))*2)+((COUNTIF('Elève (4ème4)'!QV18:QY18,"D"))*1))/(COUNTA(QV18:QY18)),"")</f>
        <v>3</v>
      </c>
      <c r="RA18" s="192" t="str">
        <f t="shared" si="97"/>
        <v>B</v>
      </c>
      <c r="RB18" s="134"/>
      <c r="RC18" s="132"/>
      <c r="RD18" s="133"/>
      <c r="RE18" s="136"/>
      <c r="RF18" s="191" t="str">
        <f>IFERROR((((COUNTIF('Elève (4ème4)'!RB18:RE18,"A"))*4)+((COUNTIF('Elève (4ème4)'!RB18:RE18,"B"))*3)+((COUNTIF('Elève (4ème4)'!RB18:RE18,"C"))*2)+((COUNTIF('Elève (4ème4)'!RB18:RE18,"D"))*1))/(COUNTA(RB18:RE18)),"")</f>
        <v/>
      </c>
      <c r="RG18" s="192" t="str">
        <f t="shared" si="98"/>
        <v/>
      </c>
      <c r="RH18" s="191">
        <f>IF(COUNT(QT18,QZ18,RF18)=0,"",SUM(QT18,QZ18,RF18)/COUNT(QT18,QZ18,RF18))</f>
        <v>3</v>
      </c>
      <c r="RI18" s="215" t="str">
        <f t="shared" si="99"/>
        <v>B</v>
      </c>
      <c r="RJ18" s="134" t="s">
        <v>29</v>
      </c>
      <c r="RK18" s="132"/>
      <c r="RL18" s="133"/>
      <c r="RM18" s="191">
        <f>IFERROR((((COUNTIF('Elève (4ème4)'!RJ18:RL18,"A"))*4)+((COUNTIF('Elève (4ème4)'!RJ18:RL18,"B"))*3)+((COUNTIF('Elève (4ème4)'!RJ18:RL18,"C"))*2)+((COUNTIF('Elève (4ème4)'!RJ18:RL18,"D"))*1))/(COUNTA(RJ18:RL18)),"")</f>
        <v>4</v>
      </c>
      <c r="RN18" s="192" t="str">
        <f t="shared" si="100"/>
        <v>A</v>
      </c>
      <c r="RO18" s="134"/>
      <c r="RP18" s="132"/>
      <c r="RQ18" s="129" t="s">
        <v>30</v>
      </c>
      <c r="RR18" s="133"/>
      <c r="RS18" s="191">
        <f>IFERROR((((COUNTIF('Elève (4ème4)'!RO18:RR18,"A"))*4)+((COUNTIF('Elève (4ème4)'!RO18:RR18,"B"))*3)+((COUNTIF('Elève (4ème4)'!RO18:RR18,"C"))*2)+((COUNTIF('Elève (4ème4)'!RO18:RR18,"D"))*1))/(COUNTA(RO18:RR18)),"")</f>
        <v>3</v>
      </c>
      <c r="RT18" s="192" t="str">
        <f t="shared" si="101"/>
        <v>B</v>
      </c>
      <c r="RU18" s="134"/>
      <c r="RV18" s="132"/>
      <c r="RW18" s="133"/>
      <c r="RX18" s="136"/>
      <c r="RY18" s="191" t="str">
        <f>IFERROR((((COUNTIF('Elève (4ème4)'!RU18:RX18,"A"))*4)+((COUNTIF('Elève (4ème4)'!RU18:RX18,"B"))*3)+((COUNTIF('Elève (4ème4)'!RU18:RX18,"C"))*2)+((COUNTIF('Elève (4ème4)'!RU18:RX18,"D"))*1))/(COUNTA(RU18:RX18)),"")</f>
        <v/>
      </c>
      <c r="RZ18" s="192" t="str">
        <f t="shared" si="102"/>
        <v/>
      </c>
      <c r="SA18" s="191">
        <f>IF(COUNT(RM18,RS18,RY18)=0,"",SUM(RM18,RS18,RY18)/COUNT(RM18,RS18,RY18))</f>
        <v>3.5</v>
      </c>
      <c r="SB18" s="215" t="str">
        <f t="shared" si="103"/>
        <v>B</v>
      </c>
      <c r="SC18" s="134"/>
      <c r="SD18" s="132"/>
      <c r="SE18" s="133"/>
      <c r="SF18" s="130" t="str">
        <f>IFERROR((((COUNTIF('Elève (4ème4)'!SC18:SE18,"A"))*4)+((COUNTIF('Elève (4ème4)'!SC18:SE18,"B"))*3)+((COUNTIF('Elève (4ème4)'!SC18:SE18,"C"))*2)+((COUNTIF('Elève (4ème4)'!SC18:SE18,"D"))*1))/(COUNTA(SC18:SE18)),"")</f>
        <v/>
      </c>
      <c r="SG18" s="131" t="str">
        <f t="shared" si="104"/>
        <v/>
      </c>
      <c r="SH18" s="134"/>
      <c r="SI18" s="132"/>
      <c r="SJ18" s="133"/>
      <c r="SK18" s="130" t="str">
        <f>IFERROR((((COUNTIF('Elève (4ème4)'!SH18:SJ18,"A"))*4)+((COUNTIF('Elève (4ème4)'!SH18:SJ18,"B"))*3)+((COUNTIF('Elève (4ème4)'!SH18:SJ18,"C"))*2)+((COUNTIF('Elève (4ème4)'!SH18:SJ18,"D"))*1))/(COUNTA(SH18:SJ18)),"")</f>
        <v/>
      </c>
      <c r="SL18" s="131" t="str">
        <f t="shared" si="105"/>
        <v/>
      </c>
      <c r="SM18" s="134"/>
      <c r="SN18" s="132"/>
      <c r="SO18" s="136"/>
      <c r="SP18" s="130" t="str">
        <f>IFERROR((((COUNTIF('Elève (4ème4)'!SM18:SO18,"A"))*4)+((COUNTIF('Elève (4ème4)'!SM18:SO18,"B"))*3)+((COUNTIF('Elève (4ème4)'!SM18:SO18,"C"))*2)+((COUNTIF('Elève (4ème4)'!SM18:SO18,"D"))*1))/(COUNTA(SM18:SO18)),"")</f>
        <v/>
      </c>
      <c r="SQ18" s="131" t="str">
        <f t="shared" si="106"/>
        <v/>
      </c>
      <c r="SR18" s="130" t="str">
        <f>IF(COUNT(SF18,SK18,SP18)=0,"",SUM(SF18,SK18,SP18)/COUNT(SF18,SK18,SP18))</f>
        <v/>
      </c>
      <c r="SS18" s="135" t="str">
        <f t="shared" si="107"/>
        <v/>
      </c>
      <c r="ST18" s="134"/>
      <c r="SU18" s="132"/>
      <c r="SV18" s="133"/>
      <c r="SW18" s="130" t="str">
        <f>IFERROR((((COUNTIF('Elève (4ème4)'!ST18:SV18,"A"))*4)+((COUNTIF('Elève (4ème4)'!ST18:SV18,"B"))*3)+((COUNTIF('Elève (4ème4)'!ST18:SV18,"C"))*2)+((COUNTIF('Elève (4ème4)'!ST18:SV18,"D"))*1))/(COUNTA(ST18:SV18)),"")</f>
        <v/>
      </c>
      <c r="SX18" s="131" t="str">
        <f t="shared" si="108"/>
        <v/>
      </c>
      <c r="SY18" s="134"/>
      <c r="SZ18" s="132"/>
      <c r="TA18" s="133"/>
      <c r="TB18" s="130" t="str">
        <f>IFERROR((((COUNTIF('Elève (4ème4)'!SY18:TA18,"A"))*4)+((COUNTIF('Elève (4ème4)'!SY18:TA18,"B"))*3)+((COUNTIF('Elève (4ème4)'!SY18:TA18,"C"))*2)+((COUNTIF('Elève (4ème4)'!SY18:TA18,"D"))*1))/(COUNTA(SY18:TA18)),"")</f>
        <v/>
      </c>
      <c r="TC18" s="131" t="str">
        <f t="shared" si="109"/>
        <v/>
      </c>
      <c r="TD18" s="134"/>
      <c r="TE18" s="132"/>
      <c r="TF18" s="136"/>
      <c r="TG18" s="130" t="str">
        <f>IFERROR((((COUNTIF('Elève (4ème4)'!TD18:TF18,"A"))*4)+((COUNTIF('Elève (4ème4)'!TD18:TF18,"B"))*3)+((COUNTIF('Elève (4ème4)'!TD18:TF18,"C"))*2)+((COUNTIF('Elève (4ème4)'!TD18:TF18,"D"))*1))/(COUNTA(TD18:TF18)),"")</f>
        <v/>
      </c>
      <c r="TH18" s="131" t="str">
        <f t="shared" si="110"/>
        <v/>
      </c>
      <c r="TI18" s="130" t="str">
        <f>IF(COUNT(SW18,TB18,TG18)=0,"",SUM(SW18,TB18,TG18)/COUNT(SW18,TB18,TG18))</f>
        <v/>
      </c>
      <c r="TJ18" s="135" t="str">
        <f t="shared" si="111"/>
        <v/>
      </c>
      <c r="TK18" s="134"/>
      <c r="TL18" s="132"/>
      <c r="TM18" s="133"/>
      <c r="TN18" s="130" t="str">
        <f>IFERROR((((COUNTIF('Elève (4ème4)'!TK18:TM18,"A"))*4)+((COUNTIF('Elève (4ème4)'!TK18:TM18,"B"))*3)+((COUNTIF('Elève (4ème4)'!TK18:TM18,"C"))*2)+((COUNTIF('Elève (4ème4)'!TK18:TM18,"D"))*1))/(COUNTA(TK18:TM18)),"")</f>
        <v/>
      </c>
      <c r="TO18" s="131" t="str">
        <f t="shared" si="112"/>
        <v/>
      </c>
      <c r="TP18" s="134"/>
      <c r="TQ18" s="132"/>
      <c r="TR18" s="133"/>
      <c r="TS18" s="130" t="str">
        <f>IFERROR((((COUNTIF('Elève (4ème4)'!TP18:TR18,"A"))*4)+((COUNTIF('Elève (4ème4)'!TP18:TR18,"B"))*3)+((COUNTIF('Elève (4ème4)'!TP18:TR18,"C"))*2)+((COUNTIF('Elève (4ème4)'!TP18:TR18,"D"))*1))/(COUNTA(TP18:TR18)),"")</f>
        <v/>
      </c>
      <c r="TT18" s="131" t="str">
        <f t="shared" si="113"/>
        <v/>
      </c>
      <c r="TU18" s="134"/>
      <c r="TV18" s="132"/>
      <c r="TW18" s="136"/>
      <c r="TX18" s="130" t="str">
        <f>IFERROR((((COUNTIF('Elève (4ème4)'!TU18:TW18,"A"))*4)+((COUNTIF('Elève (4ème4)'!TU18:TW18,"B"))*3)+((COUNTIF('Elève (4ème4)'!TU18:TW18,"C"))*2)+((COUNTIF('Elève (4ème4)'!TU18:TW18,"D"))*1))/(COUNTA(TU18:TW18)),"")</f>
        <v/>
      </c>
      <c r="TY18" s="131" t="str">
        <f t="shared" si="114"/>
        <v/>
      </c>
      <c r="TZ18" s="130" t="str">
        <f>IF(COUNT(TN18,TS18,TX18)=0,"",SUM(TN18,TS18,TX18)/COUNT(TN18,TS18,TX18))</f>
        <v/>
      </c>
      <c r="UA18" s="135" t="str">
        <f t="shared" si="115"/>
        <v/>
      </c>
      <c r="UB18" s="134"/>
      <c r="UC18" s="132"/>
      <c r="UD18" s="133"/>
      <c r="UE18" s="130" t="str">
        <f>IFERROR((((COUNTIF('Elève (4ème4)'!UB18:UD18,"A"))*4)+((COUNTIF('Elève (4ème4)'!UB18:UD18,"B"))*3)+((COUNTIF('Elève (4ème4)'!UB18:UD18,"C"))*2)+((COUNTIF('Elève (4ème4)'!UB18:UD18,"D"))*1))/(COUNTA(UB18:UD18)),"")</f>
        <v/>
      </c>
      <c r="UF18" s="131" t="str">
        <f t="shared" si="116"/>
        <v/>
      </c>
      <c r="UG18" s="134"/>
      <c r="UH18" s="132"/>
      <c r="UI18" s="133"/>
      <c r="UJ18" s="130" t="str">
        <f>IFERROR((((COUNTIF('Elève (4ème4)'!UG18:UI18,"A"))*4)+((COUNTIF('Elève (4ème4)'!UG18:UI18,"B"))*3)+((COUNTIF('Elève (4ème4)'!UG18:UI18,"C"))*2)+((COUNTIF('Elève (4ème4)'!UG18:UI18,"D"))*1))/(COUNTA(UG18:UI18)),"")</f>
        <v/>
      </c>
      <c r="UK18" s="131" t="str">
        <f t="shared" si="117"/>
        <v/>
      </c>
      <c r="UL18" s="134"/>
      <c r="UM18" s="132"/>
      <c r="UN18" s="136"/>
      <c r="UO18" s="130" t="str">
        <f>IFERROR((((COUNTIF('Elève (4ème4)'!UL18:UN18,"A"))*4)+((COUNTIF('Elève (4ème4)'!UL18:UN18,"B"))*3)+((COUNTIF('Elève (4ème4)'!UL18:UN18,"C"))*2)+((COUNTIF('Elève (4ème4)'!UL18:UN18,"D"))*1))/(COUNTA(UL18:UN18)),"")</f>
        <v/>
      </c>
      <c r="UP18" s="131" t="str">
        <f t="shared" si="118"/>
        <v/>
      </c>
      <c r="UQ18" s="130" t="str">
        <f>IF(COUNT(UE18,UJ18,UO18)=0,"",SUM(UE18,UJ18,UO18)/COUNT(UE18,UJ18,UO18))</f>
        <v/>
      </c>
      <c r="UR18" s="135" t="str">
        <f t="shared" si="119"/>
        <v/>
      </c>
    </row>
    <row r="19" spans="1:564" ht="18" customHeight="1" thickBot="1" x14ac:dyDescent="0.3">
      <c r="A19" s="254" t="s">
        <v>25</v>
      </c>
      <c r="B19" s="255"/>
      <c r="C19" s="149" t="s">
        <v>31</v>
      </c>
      <c r="D19" s="138"/>
      <c r="E19" s="139"/>
      <c r="F19" s="193">
        <f>IFERROR((((COUNTIF('Elève (4ème4)'!C19:E19,"A"))*4)+((COUNTIF('Elève (4ème4)'!C19:E19,"B"))*3)+((COUNTIF('Elève (4ème4)'!C19:E19,"C"))*2)+((COUNTIF('Elève (4ème4)'!C19:E19,"D"))*1))/(COUNTA(C19:E19)),"")</f>
        <v>2</v>
      </c>
      <c r="G19" s="194" t="str">
        <f t="shared" si="0"/>
        <v>C</v>
      </c>
      <c r="H19" s="149"/>
      <c r="I19" s="138"/>
      <c r="J19" s="229" t="s">
        <v>31</v>
      </c>
      <c r="K19" s="139"/>
      <c r="L19" s="193">
        <f>IFERROR((((COUNTIF('Elève (4ème4)'!H19:K19,"A"))*4)+((COUNTIF('Elève (4ème4)'!H19:K19,"B"))*3)+((COUNTIF('Elève (4ème4)'!H19:K19,"C"))*2)+((COUNTIF('Elève (4ème4)'!H19:K19,"D"))*1))/(COUNTA(H19:K19)),"")</f>
        <v>2</v>
      </c>
      <c r="M19" s="194" t="str">
        <f t="shared" si="1"/>
        <v>C</v>
      </c>
      <c r="N19" s="137"/>
      <c r="O19" s="138"/>
      <c r="P19" s="139"/>
      <c r="Q19" s="139"/>
      <c r="R19" s="193" t="str">
        <f>IFERROR((((COUNTIF('Elève (4ème4)'!N19:Q19,"A"))*4)+((COUNTIF('Elève (4ème4)'!N19:Q19,"B"))*3)+((COUNTIF('Elève (4ème4)'!N19:Q19,"C"))*2)+((COUNTIF('Elève (4ème4)'!N19:Q19,"D"))*1))/(COUNTA(N19:Q19)),"")</f>
        <v/>
      </c>
      <c r="S19" s="194" t="str">
        <f t="shared" si="2"/>
        <v/>
      </c>
      <c r="T19" s="193">
        <f>IF(COUNT(F19,L19,R19)=0,"",SUM(F19,L19,R19)/COUNT(F19,L19,R19))</f>
        <v>2</v>
      </c>
      <c r="U19" s="216" t="str">
        <f t="shared" si="3"/>
        <v>C</v>
      </c>
      <c r="V19" s="149" t="s">
        <v>31</v>
      </c>
      <c r="W19" s="138"/>
      <c r="X19" s="139"/>
      <c r="Y19" s="193">
        <f>IFERROR((((COUNTIF('Elève (4ème4)'!V19:X19,"A"))*4)+((COUNTIF('Elève (4ème4)'!V19:X19,"B"))*3)+((COUNTIF('Elève (4ème4)'!V19:X19,"C"))*2)+((COUNTIF('Elève (4ème4)'!V19:X19,"D"))*1))/(COUNTA(V19:X19)),"")</f>
        <v>2</v>
      </c>
      <c r="Z19" s="194" t="str">
        <f t="shared" si="4"/>
        <v>C</v>
      </c>
      <c r="AA19" s="149" t="s">
        <v>30</v>
      </c>
      <c r="AB19" s="138"/>
      <c r="AC19" s="229" t="s">
        <v>31</v>
      </c>
      <c r="AD19" s="139"/>
      <c r="AE19" s="193">
        <f>IFERROR((((COUNTIF('Elève (4ème4)'!AA19:AD19,"A"))*4)+((COUNTIF('Elève (4ème4)'!AA19:AD19,"B"))*3)+((COUNTIF('Elève (4ème4)'!AA19:AD19,"C"))*2)+((COUNTIF('Elève (4ème4)'!AA19:AD19,"D"))*1))/(COUNTA(AA19:AD19)),"")</f>
        <v>2.5</v>
      </c>
      <c r="AF19" s="194" t="str">
        <f t="shared" si="5"/>
        <v>C</v>
      </c>
      <c r="AG19" s="137"/>
      <c r="AH19" s="138"/>
      <c r="AI19" s="139"/>
      <c r="AJ19" s="143"/>
      <c r="AK19" s="193" t="str">
        <f>IFERROR((((COUNTIF('Elève (4ème4)'!AG19:AJ19,"A"))*4)+((COUNTIF('Elève (4ème4)'!AG19:AJ19,"B"))*3)+((COUNTIF('Elève (4ème4)'!AG19:AJ19,"C"))*2)+((COUNTIF('Elève (4ème4)'!AG19:AJ19,"D"))*1))/(COUNTA(AG19:AJ19)),"")</f>
        <v/>
      </c>
      <c r="AL19" s="194" t="str">
        <f t="shared" si="6"/>
        <v/>
      </c>
      <c r="AM19" s="193">
        <f>IF(COUNT(Y19,AE19,AK19)=0,"",SUM(Y19,AE19,AK19)/COUNT(Y19,AE19,AK19))</f>
        <v>2.25</v>
      </c>
      <c r="AN19" s="216" t="str">
        <f t="shared" si="7"/>
        <v>C</v>
      </c>
      <c r="AO19" s="149" t="s">
        <v>31</v>
      </c>
      <c r="AP19" s="138"/>
      <c r="AQ19" s="139"/>
      <c r="AR19" s="193">
        <f>IFERROR((((COUNTIF('Elève (4ème4)'!AO19:AQ19,"A"))*4)+((COUNTIF('Elève (4ème4)'!AO19:AQ19,"B"))*3)+((COUNTIF('Elève (4ème4)'!AO19:AQ19,"C"))*2)+((COUNTIF('Elève (4ème4)'!AO19:AQ19,"D"))*1))/(COUNTA(AO19:AQ19)),"")</f>
        <v>2</v>
      </c>
      <c r="AS19" s="194" t="str">
        <f t="shared" si="8"/>
        <v>C</v>
      </c>
      <c r="AT19" s="149" t="s">
        <v>31</v>
      </c>
      <c r="AU19" s="138"/>
      <c r="AV19" s="229" t="s">
        <v>30</v>
      </c>
      <c r="AW19" s="139"/>
      <c r="AX19" s="193">
        <f>IFERROR((((COUNTIF('Elève (4ème4)'!AT19:AW19,"A"))*4)+((COUNTIF('Elève (4ème4)'!AT19:AW19,"B"))*3)+((COUNTIF('Elève (4ème4)'!AT19:AW19,"C"))*2)+((COUNTIF('Elève (4ème4)'!AT19:AW19,"D"))*1))/(COUNTA(AT19:AW19)),"")</f>
        <v>2.5</v>
      </c>
      <c r="AY19" s="194" t="str">
        <f t="shared" si="9"/>
        <v>C</v>
      </c>
      <c r="AZ19" s="137"/>
      <c r="BA19" s="138"/>
      <c r="BB19" s="139"/>
      <c r="BC19" s="143"/>
      <c r="BD19" s="193" t="str">
        <f>IFERROR((((COUNTIF('Elève (4ème4)'!AZ19:BC19,"A"))*4)+((COUNTIF('Elève (4ème4)'!AZ19:BC19,"B"))*3)+((COUNTIF('Elève (4ème4)'!AZ19:BC19,"C"))*2)+((COUNTIF('Elève (4ème4)'!AZ19:BC19,"D"))*1))/(COUNTA(AZ19:BC19)),"")</f>
        <v/>
      </c>
      <c r="BE19" s="194" t="str">
        <f t="shared" si="10"/>
        <v/>
      </c>
      <c r="BF19" s="193">
        <f>IF(COUNT(AR19,AX19,BD19)=0,"",SUM(AR19,AX19,BD19)/COUNT(AR19,AX19,BD19))</f>
        <v>2.25</v>
      </c>
      <c r="BG19" s="216" t="str">
        <f t="shared" si="11"/>
        <v>C</v>
      </c>
      <c r="BH19" s="149" t="s">
        <v>31</v>
      </c>
      <c r="BI19" s="138"/>
      <c r="BJ19" s="139"/>
      <c r="BK19" s="193">
        <f>IFERROR((((COUNTIF('Elève (4ème4)'!BH19:BJ19,"A"))*4)+((COUNTIF('Elève (4ème4)'!BH19:BJ19,"B"))*3)+((COUNTIF('Elève (4ème4)'!BH19:BJ19,"C"))*2)+((COUNTIF('Elève (4ème4)'!BH19:BJ19,"D"))*1))/(COUNTA(BH19:BJ19)),"")</f>
        <v>2</v>
      </c>
      <c r="BL19" s="194" t="str">
        <f t="shared" si="12"/>
        <v>C</v>
      </c>
      <c r="BM19" s="149" t="s">
        <v>31</v>
      </c>
      <c r="BN19" s="138"/>
      <c r="BO19" s="229" t="s">
        <v>31</v>
      </c>
      <c r="BP19" s="139"/>
      <c r="BQ19" s="193">
        <f>IFERROR((((COUNTIF('Elève (4ème4)'!BM19:BP19,"A"))*4)+((COUNTIF('Elève (4ème4)'!BM19:BP19,"B"))*3)+((COUNTIF('Elève (4ème4)'!BM19:BP19,"C"))*2)+((COUNTIF('Elève (4ème4)'!BM19:BP19,"D"))*1))/(COUNTA(BM19:BP19)),"")</f>
        <v>2</v>
      </c>
      <c r="BR19" s="194" t="str">
        <f t="shared" si="13"/>
        <v>C</v>
      </c>
      <c r="BS19" s="137"/>
      <c r="BT19" s="138"/>
      <c r="BU19" s="139"/>
      <c r="BV19" s="143"/>
      <c r="BW19" s="193" t="str">
        <f>IFERROR((((COUNTIF('Elève (4ème4)'!BS19:BV19,"A"))*4)+((COUNTIF('Elève (4ème4)'!BS19:BV19,"B"))*3)+((COUNTIF('Elève (4ème4)'!BS19:BV19,"C"))*2)+((COUNTIF('Elève (4ème4)'!BS19:BV19,"D"))*1))/(COUNTA(BS19:BV19)),"")</f>
        <v/>
      </c>
      <c r="BX19" s="194" t="str">
        <f t="shared" si="14"/>
        <v/>
      </c>
      <c r="BY19" s="193">
        <f>IF(COUNT(BK19,BQ19,BW19)=0,"",SUM(BK19,BQ19,BW19)/COUNT(BK19,BQ19,BW19))</f>
        <v>2</v>
      </c>
      <c r="BZ19" s="216" t="str">
        <f t="shared" si="15"/>
        <v>C</v>
      </c>
      <c r="CA19" s="149" t="s">
        <v>31</v>
      </c>
      <c r="CB19" s="138"/>
      <c r="CC19" s="139"/>
      <c r="CD19" s="193">
        <f>IFERROR((((COUNTIF('Elève (4ème4)'!CA19:CC19,"A"))*4)+((COUNTIF('Elève (4ème4)'!CA19:CC19,"B"))*3)+((COUNTIF('Elève (4ème4)'!CA19:CC19,"C"))*2)+((COUNTIF('Elève (4ème4)'!CA19:CC19,"D"))*1))/(COUNTA(CA19:CC19)),"")</f>
        <v>2</v>
      </c>
      <c r="CE19" s="194" t="str">
        <f t="shared" si="16"/>
        <v>C</v>
      </c>
      <c r="CF19" s="149" t="s">
        <v>31</v>
      </c>
      <c r="CG19" s="138"/>
      <c r="CH19" s="229" t="s">
        <v>31</v>
      </c>
      <c r="CI19" s="139"/>
      <c r="CJ19" s="193">
        <f>IFERROR((((COUNTIF('Elève (4ème4)'!CF19:CI19,"A"))*4)+((COUNTIF('Elève (4ème4)'!CF19:CI19,"B"))*3)+((COUNTIF('Elève (4ème4)'!CF19:CI19,"C"))*2)+((COUNTIF('Elève (4ème4)'!CF19:CI19,"D"))*1))/(COUNTA(CF19:CI19)),"")</f>
        <v>2</v>
      </c>
      <c r="CK19" s="194" t="str">
        <f t="shared" si="17"/>
        <v>C</v>
      </c>
      <c r="CL19" s="137"/>
      <c r="CM19" s="138"/>
      <c r="CN19" s="139"/>
      <c r="CO19" s="143"/>
      <c r="CP19" s="193" t="str">
        <f>IFERROR((((COUNTIF('Elève (4ème4)'!CL19:CO19,"A"))*4)+((COUNTIF('Elève (4ème4)'!CL19:CO19,"B"))*3)+((COUNTIF('Elève (4ème4)'!CL19:CO19,"C"))*2)+((COUNTIF('Elève (4ème4)'!CL19:CO19,"D"))*1))/(COUNTA(CL19:CO19)),"")</f>
        <v/>
      </c>
      <c r="CQ19" s="194" t="str">
        <f t="shared" si="18"/>
        <v/>
      </c>
      <c r="CR19" s="193">
        <f>IF(COUNT(CD19,CJ19,CP19)=0,"",SUM(CD19,CJ19,CP19)/COUNT(CD19,CJ19,CP19))</f>
        <v>2</v>
      </c>
      <c r="CS19" s="216" t="str">
        <f t="shared" si="19"/>
        <v>C</v>
      </c>
      <c r="CT19" s="149" t="s">
        <v>30</v>
      </c>
      <c r="CU19" s="138"/>
      <c r="CV19" s="139"/>
      <c r="CW19" s="193">
        <f>IFERROR((((COUNTIF('Elève (4ème4)'!CT19:CV19,"A"))*4)+((COUNTIF('Elève (4ème4)'!CT19:CV19,"B"))*3)+((COUNTIF('Elève (4ème4)'!CT19:CV19,"C"))*2)+((COUNTIF('Elève (4ème4)'!CT19:CV19,"D"))*1))/(COUNTA(CT19:CV19)),"")</f>
        <v>3</v>
      </c>
      <c r="CX19" s="194" t="str">
        <f t="shared" si="20"/>
        <v>B</v>
      </c>
      <c r="CY19" s="149" t="s">
        <v>31</v>
      </c>
      <c r="CZ19" s="138"/>
      <c r="DA19" s="229" t="s">
        <v>30</v>
      </c>
      <c r="DB19" s="139"/>
      <c r="DC19" s="193">
        <f>IFERROR((((COUNTIF('Elève (4ème4)'!CY19:DB19,"A"))*4)+((COUNTIF('Elève (4ème4)'!CY19:DB19,"B"))*3)+((COUNTIF('Elève (4ème4)'!CY19:DB19,"C"))*2)+((COUNTIF('Elève (4ème4)'!CY19:DB19,"D"))*1))/(COUNTA(CY19:DB19)),"")</f>
        <v>2.5</v>
      </c>
      <c r="DD19" s="194" t="str">
        <f t="shared" si="21"/>
        <v>C</v>
      </c>
      <c r="DE19" s="137"/>
      <c r="DF19" s="138"/>
      <c r="DG19" s="139"/>
      <c r="DH19" s="143"/>
      <c r="DI19" s="193" t="str">
        <f>IFERROR((((COUNTIF('Elève (4ème4)'!DE19:DH19,"A"))*4)+((COUNTIF('Elève (4ème4)'!DE19:DH19,"B"))*3)+((COUNTIF('Elève (4ème4)'!DE19:DH19,"C"))*2)+((COUNTIF('Elève (4ème4)'!DE19:DH19,"D"))*1))/(COUNTA(DE19:DH19)),"")</f>
        <v/>
      </c>
      <c r="DJ19" s="194" t="str">
        <f t="shared" si="22"/>
        <v/>
      </c>
      <c r="DK19" s="193">
        <f>IF(COUNT(CW19,DC19,DI19)=0,"",SUM(CW19,DC19,DI19)/COUNT(CW19,DC19,DI19))</f>
        <v>2.75</v>
      </c>
      <c r="DL19" s="216" t="str">
        <f t="shared" si="23"/>
        <v>C</v>
      </c>
      <c r="DM19" s="149" t="s">
        <v>30</v>
      </c>
      <c r="DN19" s="138"/>
      <c r="DO19" s="139"/>
      <c r="DP19" s="193">
        <f>IFERROR((((COUNTIF('Elève (4ème4)'!DM19:DO19,"A"))*4)+((COUNTIF('Elève (4ème4)'!DM19:DO19,"B"))*3)+((COUNTIF('Elève (4ème4)'!DM19:DO19,"C"))*2)+((COUNTIF('Elève (4ème4)'!DM19:DO19,"D"))*1))/(COUNTA(DM19:DO19)),"")</f>
        <v>3</v>
      </c>
      <c r="DQ19" s="194" t="str">
        <f t="shared" si="24"/>
        <v>B</v>
      </c>
      <c r="DR19" s="149" t="s">
        <v>31</v>
      </c>
      <c r="DS19" s="138"/>
      <c r="DT19" s="229" t="s">
        <v>31</v>
      </c>
      <c r="DU19" s="139"/>
      <c r="DV19" s="193">
        <f>IFERROR((((COUNTIF('Elève (4ème4)'!DR19:DU19,"A"))*4)+((COUNTIF('Elève (4ème4)'!DR19:DU19,"B"))*3)+((COUNTIF('Elève (4ème4)'!DR19:DU19,"C"))*2)+((COUNTIF('Elève (4ème4)'!DR19:DU19,"D"))*1))/(COUNTA(DR19:DU19)),"")</f>
        <v>2</v>
      </c>
      <c r="DW19" s="194" t="str">
        <f t="shared" si="25"/>
        <v>C</v>
      </c>
      <c r="DX19" s="137"/>
      <c r="DY19" s="138"/>
      <c r="DZ19" s="139"/>
      <c r="EA19" s="143"/>
      <c r="EB19" s="193" t="str">
        <f>IFERROR((((COUNTIF('Elève (4ème4)'!DX19:EA19,"A"))*4)+((COUNTIF('Elève (4ème4)'!DX19:EA19,"B"))*3)+((COUNTIF('Elève (4ème4)'!DX19:EA19,"C"))*2)+((COUNTIF('Elève (4ème4)'!DX19:EA19,"D"))*1))/(COUNTA(DX19:EA19)),"")</f>
        <v/>
      </c>
      <c r="EC19" s="194" t="str">
        <f t="shared" si="26"/>
        <v/>
      </c>
      <c r="ED19" s="193">
        <f>IF(COUNT(DP19,DV19,EB19)=0,"",SUM(DP19,DV19,EB19)/COUNT(DP19,DV19,EB19))</f>
        <v>2.5</v>
      </c>
      <c r="EE19" s="216" t="str">
        <f t="shared" si="27"/>
        <v>C</v>
      </c>
      <c r="EF19" s="149" t="s">
        <v>31</v>
      </c>
      <c r="EG19" s="138"/>
      <c r="EH19" s="139"/>
      <c r="EI19" s="193">
        <f>IFERROR((((COUNTIF('Elève (4ème4)'!EF19:EH19,"A"))*4)+((COUNTIF('Elève (4ème4)'!EF19:EH19,"B"))*3)+((COUNTIF('Elève (4ème4)'!EF19:EH19,"C"))*2)+((COUNTIF('Elève (4ème4)'!EF19:EH19,"D"))*1))/(COUNTA(EF19:EH19)),"")</f>
        <v>2</v>
      </c>
      <c r="EJ19" s="194" t="str">
        <f t="shared" si="28"/>
        <v>C</v>
      </c>
      <c r="EK19" s="149" t="s">
        <v>30</v>
      </c>
      <c r="EL19" s="138"/>
      <c r="EM19" s="229" t="s">
        <v>30</v>
      </c>
      <c r="EN19" s="139"/>
      <c r="EO19" s="193">
        <f>IFERROR((((COUNTIF('Elève (4ème4)'!EK19:EN19,"A"))*4)+((COUNTIF('Elève (4ème4)'!EK19:EN19,"B"))*3)+((COUNTIF('Elève (4ème4)'!EK19:EN19,"C"))*2)+((COUNTIF('Elève (4ème4)'!EK19:EN19,"D"))*1))/(COUNTA(EK19:EN19)),"")</f>
        <v>3</v>
      </c>
      <c r="EP19" s="194" t="str">
        <f t="shared" si="29"/>
        <v>B</v>
      </c>
      <c r="EQ19" s="137"/>
      <c r="ER19" s="138"/>
      <c r="ES19" s="139"/>
      <c r="ET19" s="143"/>
      <c r="EU19" s="193" t="str">
        <f>IFERROR((((COUNTIF('Elève (4ème4)'!EQ19:ET19,"A"))*4)+((COUNTIF('Elève (4ème4)'!EQ19:ET19,"B"))*3)+((COUNTIF('Elève (4ème4)'!EQ19:ET19,"C"))*2)+((COUNTIF('Elève (4ème4)'!EQ19:ET19,"D"))*1))/(COUNTA(EQ19:ET19)),"")</f>
        <v/>
      </c>
      <c r="EV19" s="194" t="str">
        <f t="shared" si="30"/>
        <v/>
      </c>
      <c r="EW19" s="193">
        <f>IF(COUNT(EI19,EO19,EU19)=0,"",SUM(EI19,EO19,EU19)/COUNT(EI19,EO19,EU19))</f>
        <v>2.5</v>
      </c>
      <c r="EX19" s="216" t="str">
        <f t="shared" si="31"/>
        <v>C</v>
      </c>
      <c r="EY19" s="149" t="s">
        <v>31</v>
      </c>
      <c r="EZ19" s="138"/>
      <c r="FA19" s="139"/>
      <c r="FB19" s="193">
        <f>IFERROR((((COUNTIF('Elève (4ème4)'!EY19:FA19,"A"))*4)+((COUNTIF('Elève (4ème4)'!EY19:FA19,"B"))*3)+((COUNTIF('Elève (4ème4)'!EY19:FA19,"C"))*2)+((COUNTIF('Elève (4ème4)'!EY19:FA19,"D"))*1))/(COUNTA(EY19:FA19)),"")</f>
        <v>2</v>
      </c>
      <c r="FC19" s="194" t="str">
        <f t="shared" si="32"/>
        <v>C</v>
      </c>
      <c r="FD19" s="149" t="s">
        <v>31</v>
      </c>
      <c r="FE19" s="138"/>
      <c r="FF19" s="229" t="s">
        <v>30</v>
      </c>
      <c r="FG19" s="139"/>
      <c r="FH19" s="193">
        <f>IFERROR((((COUNTIF('Elève (4ème4)'!FD19:FG19,"A"))*4)+((COUNTIF('Elève (4ème4)'!FD19:FG19,"B"))*3)+((COUNTIF('Elève (4ème4)'!FD19:FG19,"C"))*2)+((COUNTIF('Elève (4ème4)'!FD19:FG19,"D"))*1))/(COUNTA(FD19:FG19)),"")</f>
        <v>2.5</v>
      </c>
      <c r="FI19" s="194" t="str">
        <f t="shared" si="33"/>
        <v>C</v>
      </c>
      <c r="FJ19" s="137"/>
      <c r="FK19" s="138"/>
      <c r="FL19" s="139"/>
      <c r="FM19" s="143"/>
      <c r="FN19" s="193" t="str">
        <f>IFERROR((((COUNTIF('Elève (4ème4)'!FJ19:FM19,"A"))*4)+((COUNTIF('Elève (4ème4)'!FJ19:FM19,"B"))*3)+((COUNTIF('Elève (4ème4)'!FJ19:FM19,"C"))*2)+((COUNTIF('Elève (4ème4)'!FJ19:FM19,"D"))*1))/(COUNTA(FJ19:FM19)),"")</f>
        <v/>
      </c>
      <c r="FO19" s="194" t="str">
        <f t="shared" si="34"/>
        <v/>
      </c>
      <c r="FP19" s="193">
        <f>IF(COUNT(FB19,FH19,FN19)=0,"",SUM(FB19,FH19,FN19)/COUNT(FB19,FH19,FN19))</f>
        <v>2.25</v>
      </c>
      <c r="FQ19" s="216" t="str">
        <f t="shared" si="35"/>
        <v>C</v>
      </c>
      <c r="FR19" s="149" t="s">
        <v>31</v>
      </c>
      <c r="FS19" s="138"/>
      <c r="FT19" s="139"/>
      <c r="FU19" s="193">
        <f>IFERROR((((COUNTIF('Elève (4ème4)'!FR19:FT19,"A"))*4)+((COUNTIF('Elève (4ème4)'!FR19:FT19,"B"))*3)+((COUNTIF('Elève (4ème4)'!FR19:FT19,"C"))*2)+((COUNTIF('Elève (4ème4)'!FR19:FT19,"D"))*1))/(COUNTA(FR19:FT19)),"")</f>
        <v>2</v>
      </c>
      <c r="FV19" s="194" t="str">
        <f t="shared" si="36"/>
        <v>C</v>
      </c>
      <c r="FW19" s="149" t="s">
        <v>30</v>
      </c>
      <c r="FX19" s="138"/>
      <c r="FY19" s="229" t="s">
        <v>31</v>
      </c>
      <c r="FZ19" s="139"/>
      <c r="GA19" s="193">
        <f>IFERROR((((COUNTIF('Elève (4ème4)'!FW19:FZ19,"A"))*4)+((COUNTIF('Elève (4ème4)'!FW19:FZ19,"B"))*3)+((COUNTIF('Elève (4ème4)'!FW19:FZ19,"C"))*2)+((COUNTIF('Elève (4ème4)'!FW19:FZ19,"D"))*1))/(COUNTA(FW19:FZ19)),"")</f>
        <v>2.5</v>
      </c>
      <c r="GB19" s="194" t="str">
        <f t="shared" si="37"/>
        <v>C</v>
      </c>
      <c r="GC19" s="137"/>
      <c r="GD19" s="138"/>
      <c r="GE19" s="139"/>
      <c r="GF19" s="143"/>
      <c r="GG19" s="193" t="str">
        <f>IFERROR((((COUNTIF('Elève (4ème4)'!GC19:GF19,"A"))*4)+((COUNTIF('Elève (4ème4)'!GC19:GF19,"B"))*3)+((COUNTIF('Elève (4ème4)'!GC19:GF19,"C"))*2)+((COUNTIF('Elève (4ème4)'!GC19:GF19,"D"))*1))/(COUNTA(GC19:GF19)),"")</f>
        <v/>
      </c>
      <c r="GH19" s="194" t="str">
        <f t="shared" si="38"/>
        <v/>
      </c>
      <c r="GI19" s="193">
        <f>IF(COUNT(FU19,GA19,GG19)=0,"",SUM(FU19,GA19,GG19)/COUNT(FU19,GA19,GG19))</f>
        <v>2.25</v>
      </c>
      <c r="GJ19" s="216" t="str">
        <f t="shared" si="39"/>
        <v>C</v>
      </c>
      <c r="GK19" s="149" t="s">
        <v>30</v>
      </c>
      <c r="GL19" s="138"/>
      <c r="GM19" s="139"/>
      <c r="GN19" s="193">
        <f>IFERROR((((COUNTIF('Elève (4ème4)'!GK19:GM19,"A"))*4)+((COUNTIF('Elève (4ème4)'!GK19:GM19,"B"))*3)+((COUNTIF('Elève (4ème4)'!GK19:GM19,"C"))*2)+((COUNTIF('Elève (4ème4)'!GK19:GM19,"D"))*1))/(COUNTA(GK19:GM19)),"")</f>
        <v>3</v>
      </c>
      <c r="GO19" s="194" t="str">
        <f t="shared" si="40"/>
        <v>B</v>
      </c>
      <c r="GP19" s="149" t="s">
        <v>30</v>
      </c>
      <c r="GQ19" s="138"/>
      <c r="GR19" s="229" t="s">
        <v>30</v>
      </c>
      <c r="GS19" s="139"/>
      <c r="GT19" s="193">
        <f>IFERROR((((COUNTIF('Elève (4ème4)'!GP19:GS19,"A"))*4)+((COUNTIF('Elève (4ème4)'!GP19:GS19,"B"))*3)+((COUNTIF('Elève (4ème4)'!GP19:GS19,"C"))*2)+((COUNTIF('Elève (4ème4)'!GP19:GS19,"D"))*1))/(COUNTA(GP19:GS19)),"")</f>
        <v>3</v>
      </c>
      <c r="GU19" s="194" t="str">
        <f t="shared" si="41"/>
        <v>B</v>
      </c>
      <c r="GV19" s="137"/>
      <c r="GW19" s="138"/>
      <c r="GX19" s="139"/>
      <c r="GY19" s="143"/>
      <c r="GZ19" s="193" t="str">
        <f>IFERROR((((COUNTIF('Elève (4ème4)'!GV19:GY19,"A"))*4)+((COUNTIF('Elève (4ème4)'!GV19:GY19,"B"))*3)+((COUNTIF('Elève (4ème4)'!GV19:GY19,"C"))*2)+((COUNTIF('Elève (4ème4)'!GV19:GY19,"D"))*1))/(COUNTA(GV19:GY19)),"")</f>
        <v/>
      </c>
      <c r="HA19" s="194" t="str">
        <f t="shared" si="42"/>
        <v/>
      </c>
      <c r="HB19" s="193">
        <f>IF(COUNT(GN19,GT19,GZ19)=0,"",SUM(GN19,GT19,GZ19)/COUNT(GN19,GT19,GZ19))</f>
        <v>3</v>
      </c>
      <c r="HC19" s="216" t="str">
        <f t="shared" si="43"/>
        <v>B</v>
      </c>
      <c r="HD19" s="149" t="s">
        <v>30</v>
      </c>
      <c r="HE19" s="138"/>
      <c r="HF19" s="139"/>
      <c r="HG19" s="193">
        <f>IFERROR((((COUNTIF('Elève (4ème4)'!HD19:HF19,"A"))*4)+((COUNTIF('Elève (4ème4)'!HD19:HF19,"B"))*3)+((COUNTIF('Elève (4ème4)'!HD19:HF19,"C"))*2)+((COUNTIF('Elève (4ème4)'!HD19:HF19,"D"))*1))/(COUNTA(HD19:HF19)),"")</f>
        <v>3</v>
      </c>
      <c r="HH19" s="194" t="str">
        <f t="shared" si="44"/>
        <v>B</v>
      </c>
      <c r="HI19" s="149" t="s">
        <v>30</v>
      </c>
      <c r="HJ19" s="138"/>
      <c r="HK19" s="229" t="s">
        <v>31</v>
      </c>
      <c r="HL19" s="139"/>
      <c r="HM19" s="193">
        <f>IFERROR((((COUNTIF('Elève (4ème4)'!HI19:HL19,"A"))*4)+((COUNTIF('Elève (4ème4)'!HI19:HL19,"B"))*3)+((COUNTIF('Elève (4ème4)'!HI19:HL19,"C"))*2)+((COUNTIF('Elève (4ème4)'!HI19:HL19,"D"))*1))/(COUNTA(HI19:HL19)),"")</f>
        <v>2.5</v>
      </c>
      <c r="HN19" s="194" t="str">
        <f t="shared" si="45"/>
        <v>C</v>
      </c>
      <c r="HO19" s="137"/>
      <c r="HP19" s="138"/>
      <c r="HQ19" s="139"/>
      <c r="HR19" s="143"/>
      <c r="HS19" s="193" t="str">
        <f>IFERROR((((COUNTIF('Elève (4ème4)'!HO19:HR19,"A"))*4)+((COUNTIF('Elève (4ème4)'!HO19:HR19,"B"))*3)+((COUNTIF('Elève (4ème4)'!HO19:HR19,"C"))*2)+((COUNTIF('Elève (4ème4)'!HO19:HR19,"D"))*1))/(COUNTA(HO19:HR19)),"")</f>
        <v/>
      </c>
      <c r="HT19" s="194" t="str">
        <f t="shared" si="46"/>
        <v/>
      </c>
      <c r="HU19" s="193">
        <f>IF(COUNT(HG19,HM19,HS19)=0,"",SUM(HG19,HM19,HS19)/COUNT(HG19,HM19,HS19))</f>
        <v>2.75</v>
      </c>
      <c r="HV19" s="216" t="str">
        <f t="shared" si="47"/>
        <v>C</v>
      </c>
      <c r="HW19" s="149" t="s">
        <v>31</v>
      </c>
      <c r="HX19" s="138"/>
      <c r="HY19" s="139"/>
      <c r="HZ19" s="193">
        <f>IFERROR((((COUNTIF('Elève (4ème4)'!HW19:HY19,"A"))*4)+((COUNTIF('Elève (4ème4)'!HW19:HY19,"B"))*3)+((COUNTIF('Elève (4ème4)'!HW19:HY19,"C"))*2)+((COUNTIF('Elève (4ème4)'!HW19:HY19,"D"))*1))/(COUNTA(HW19:HY19)),"")</f>
        <v>2</v>
      </c>
      <c r="IA19" s="194" t="str">
        <f t="shared" si="48"/>
        <v>C</v>
      </c>
      <c r="IB19" s="149" t="s">
        <v>31</v>
      </c>
      <c r="IC19" s="138"/>
      <c r="ID19" s="229" t="s">
        <v>31</v>
      </c>
      <c r="IE19" s="139"/>
      <c r="IF19" s="193">
        <f>IFERROR((((COUNTIF('Elève (4ème4)'!IB19:IE19,"A"))*4)+((COUNTIF('Elève (4ème4)'!IB19:IE19,"B"))*3)+((COUNTIF('Elève (4ème4)'!IB19:IE19,"C"))*2)+((COUNTIF('Elève (4ème4)'!IB19:IE19,"D"))*1))/(COUNTA(IB19:IE19)),"")</f>
        <v>2</v>
      </c>
      <c r="IG19" s="194" t="str">
        <f t="shared" si="49"/>
        <v>C</v>
      </c>
      <c r="IH19" s="137"/>
      <c r="II19" s="138"/>
      <c r="IJ19" s="139"/>
      <c r="IK19" s="143"/>
      <c r="IL19" s="193" t="str">
        <f>IFERROR((((COUNTIF('Elève (4ème4)'!IH19:IK19,"A"))*4)+((COUNTIF('Elève (4ème4)'!IH19:IK19,"B"))*3)+((COUNTIF('Elève (4ème4)'!IH19:IK19,"C"))*2)+((COUNTIF('Elève (4ème4)'!IH19:IK19,"D"))*1))/(COUNTA(IH19:IK19)),"")</f>
        <v/>
      </c>
      <c r="IM19" s="194" t="str">
        <f t="shared" si="50"/>
        <v/>
      </c>
      <c r="IN19" s="193">
        <f>IF(COUNT(HZ19,IF19,IL19)=0,"",SUM(HZ19,IF19,IL19)/COUNT(HZ19,IF19,IL19))</f>
        <v>2</v>
      </c>
      <c r="IO19" s="216" t="str">
        <f t="shared" si="51"/>
        <v>C</v>
      </c>
      <c r="IP19" s="149" t="s">
        <v>31</v>
      </c>
      <c r="IQ19" s="138"/>
      <c r="IR19" s="139"/>
      <c r="IS19" s="193">
        <f>IFERROR((((COUNTIF('Elève (4ème4)'!IP19:IR19,"A"))*4)+((COUNTIF('Elève (4ème4)'!IP19:IR19,"B"))*3)+((COUNTIF('Elève (4ème4)'!IP19:IR19,"C"))*2)+((COUNTIF('Elève (4ème4)'!IP19:IR19,"D"))*1))/(COUNTA(IP19:IR19)),"")</f>
        <v>2</v>
      </c>
      <c r="IT19" s="194" t="str">
        <f t="shared" si="52"/>
        <v>C</v>
      </c>
      <c r="IU19" s="149" t="s">
        <v>31</v>
      </c>
      <c r="IV19" s="138"/>
      <c r="IW19" s="229" t="s">
        <v>30</v>
      </c>
      <c r="IX19" s="139"/>
      <c r="IY19" s="193">
        <f>IFERROR((((COUNTIF('Elève (4ème4)'!IU19:IX19,"A"))*4)+((COUNTIF('Elève (4ème4)'!IU19:IX19,"B"))*3)+((COUNTIF('Elève (4ème4)'!IU19:IX19,"C"))*2)+((COUNTIF('Elève (4ème4)'!IU19:IX19,"D"))*1))/(COUNTA(IU19:IX19)),"")</f>
        <v>2.5</v>
      </c>
      <c r="IZ19" s="194" t="str">
        <f t="shared" si="53"/>
        <v>C</v>
      </c>
      <c r="JA19" s="137"/>
      <c r="JB19" s="138"/>
      <c r="JC19" s="139"/>
      <c r="JD19" s="143"/>
      <c r="JE19" s="193" t="str">
        <f>IFERROR((((COUNTIF('Elève (4ème4)'!JA19:JD19,"A"))*4)+((COUNTIF('Elève (4ème4)'!JA19:JD19,"B"))*3)+((COUNTIF('Elève (4ème4)'!JA19:JD19,"C"))*2)+((COUNTIF('Elève (4ème4)'!JA19:JD19,"D"))*1))/(COUNTA(JA19:JD19)),"")</f>
        <v/>
      </c>
      <c r="JF19" s="194" t="str">
        <f t="shared" si="54"/>
        <v/>
      </c>
      <c r="JG19" s="193">
        <f>IF(COUNT(IS19,IY19,JE19)=0,"",SUM(IS19,IY19,JE19)/COUNT(IS19,IY19,JE19))</f>
        <v>2.25</v>
      </c>
      <c r="JH19" s="216" t="str">
        <f t="shared" si="55"/>
        <v>C</v>
      </c>
      <c r="JI19" s="149" t="s">
        <v>32</v>
      </c>
      <c r="JJ19" s="138"/>
      <c r="JK19" s="139"/>
      <c r="JL19" s="193">
        <f>IFERROR((((COUNTIF('Elève (4ème4)'!JI19:JK19,"A"))*4)+((COUNTIF('Elève (4ème4)'!JI19:JK19,"B"))*3)+((COUNTIF('Elève (4ème4)'!JI19:JK19,"C"))*2)+((COUNTIF('Elève (4ème4)'!JI19:JK19,"D"))*1))/(COUNTA(JI19:JK19)),"")</f>
        <v>1</v>
      </c>
      <c r="JM19" s="194" t="str">
        <f t="shared" si="56"/>
        <v>D</v>
      </c>
      <c r="JN19" s="149" t="s">
        <v>31</v>
      </c>
      <c r="JO19" s="138"/>
      <c r="JP19" s="229" t="s">
        <v>30</v>
      </c>
      <c r="JQ19" s="139"/>
      <c r="JR19" s="193">
        <f>IFERROR((((COUNTIF('Elève (4ème4)'!JN19:JQ19,"A"))*4)+((COUNTIF('Elève (4ème4)'!JN19:JQ19,"B"))*3)+((COUNTIF('Elève (4ème4)'!JN19:JQ19,"C"))*2)+((COUNTIF('Elève (4ème4)'!JN19:JQ19,"D"))*1))/(COUNTA(JN19:JQ19)),"")</f>
        <v>2.5</v>
      </c>
      <c r="JS19" s="194" t="str">
        <f t="shared" si="57"/>
        <v>C</v>
      </c>
      <c r="JT19" s="137"/>
      <c r="JU19" s="138"/>
      <c r="JV19" s="139"/>
      <c r="JW19" s="143"/>
      <c r="JX19" s="193" t="str">
        <f>IFERROR((((COUNTIF('Elève (4ème4)'!JT19:JW19,"A"))*4)+((COUNTIF('Elève (4ème4)'!JT19:JW19,"B"))*3)+((COUNTIF('Elève (4ème4)'!JT19:JW19,"C"))*2)+((COUNTIF('Elève (4ème4)'!JT19:JW19,"D"))*1))/(COUNTA(JT19:JW19)),"")</f>
        <v/>
      </c>
      <c r="JY19" s="194" t="str">
        <f t="shared" si="58"/>
        <v/>
      </c>
      <c r="JZ19" s="193">
        <f>IF(COUNT(JL19,JR19,JX19)=0,"",SUM(JL19,JR19,JX19)/COUNT(JL19,JR19,JX19))</f>
        <v>1.75</v>
      </c>
      <c r="KA19" s="216" t="str">
        <f t="shared" si="59"/>
        <v>C</v>
      </c>
      <c r="KB19" s="149" t="s">
        <v>31</v>
      </c>
      <c r="KC19" s="138"/>
      <c r="KD19" s="139"/>
      <c r="KE19" s="193">
        <f>IFERROR((((COUNTIF('Elève (4ème4)'!KB19:KD19,"A"))*4)+((COUNTIF('Elève (4ème4)'!KB19:KD19,"B"))*3)+((COUNTIF('Elève (4ème4)'!KB19:KD19,"C"))*2)+((COUNTIF('Elève (4ème4)'!KB19:KD19,"D"))*1))/(COUNTA(KB19:KD19)),"")</f>
        <v>2</v>
      </c>
      <c r="KF19" s="194" t="str">
        <f t="shared" si="60"/>
        <v>C</v>
      </c>
      <c r="KG19" s="149" t="s">
        <v>31</v>
      </c>
      <c r="KH19" s="138"/>
      <c r="KI19" s="229" t="s">
        <v>30</v>
      </c>
      <c r="KJ19" s="139"/>
      <c r="KK19" s="193">
        <f>IFERROR((((COUNTIF('Elève (4ème4)'!KG19:KJ19,"A"))*4)+((COUNTIF('Elève (4ème4)'!KG19:KJ19,"B"))*3)+((COUNTIF('Elève (4ème4)'!KG19:KJ19,"C"))*2)+((COUNTIF('Elève (4ème4)'!KG19:KJ19,"D"))*1))/(COUNTA(KG19:KJ19)),"")</f>
        <v>2.5</v>
      </c>
      <c r="KL19" s="194" t="str">
        <f t="shared" si="61"/>
        <v>C</v>
      </c>
      <c r="KM19" s="137"/>
      <c r="KN19" s="138"/>
      <c r="KO19" s="139"/>
      <c r="KP19" s="143"/>
      <c r="KQ19" s="193" t="str">
        <f>IFERROR((((COUNTIF('Elève (4ème4)'!KM19:KP19,"A"))*4)+((COUNTIF('Elève (4ème4)'!KM19:KP19,"B"))*3)+((COUNTIF('Elève (4ème4)'!KM19:KP19,"C"))*2)+((COUNTIF('Elève (4ème4)'!KM19:KP19,"D"))*1))/(COUNTA(KM19:KP19)),"")</f>
        <v/>
      </c>
      <c r="KR19" s="194" t="str">
        <f t="shared" si="62"/>
        <v/>
      </c>
      <c r="KS19" s="193">
        <f>IF(COUNT(KE19,KK19,KQ19)=0,"",SUM(KE19,KK19,KQ19)/COUNT(KE19,KK19,KQ19))</f>
        <v>2.25</v>
      </c>
      <c r="KT19" s="216" t="str">
        <f t="shared" si="63"/>
        <v>C</v>
      </c>
      <c r="KU19" s="149" t="s">
        <v>31</v>
      </c>
      <c r="KV19" s="138"/>
      <c r="KW19" s="139"/>
      <c r="KX19" s="193">
        <f>IFERROR((((COUNTIF('Elève (4ème4)'!KU19:KW19,"A"))*4)+((COUNTIF('Elève (4ème4)'!KU19:KW19,"B"))*3)+((COUNTIF('Elève (4ème4)'!KU19:KW19,"C"))*2)+((COUNTIF('Elève (4ème4)'!KU19:KW19,"D"))*1))/(COUNTA(KU19:KW19)),"")</f>
        <v>2</v>
      </c>
      <c r="KY19" s="194" t="str">
        <f t="shared" si="64"/>
        <v>C</v>
      </c>
      <c r="KZ19" s="149" t="s">
        <v>30</v>
      </c>
      <c r="LA19" s="138"/>
      <c r="LB19" s="229" t="s">
        <v>31</v>
      </c>
      <c r="LC19" s="139"/>
      <c r="LD19" s="193">
        <f>IFERROR((((COUNTIF('Elève (4ème4)'!KZ19:LC19,"A"))*4)+((COUNTIF('Elève (4ème4)'!KZ19:LC19,"B"))*3)+((COUNTIF('Elève (4ème4)'!KZ19:LC19,"C"))*2)+((COUNTIF('Elève (4ème4)'!KZ19:LC19,"D"))*1))/(COUNTA(KZ19:LC19)),"")</f>
        <v>2.5</v>
      </c>
      <c r="LE19" s="194" t="str">
        <f t="shared" si="65"/>
        <v>C</v>
      </c>
      <c r="LF19" s="137"/>
      <c r="LG19" s="138"/>
      <c r="LH19" s="139"/>
      <c r="LI19" s="143"/>
      <c r="LJ19" s="193" t="str">
        <f>IFERROR((((COUNTIF('Elève (4ème4)'!LF19:LI19,"A"))*4)+((COUNTIF('Elève (4ème4)'!LF19:LI19,"B"))*3)+((COUNTIF('Elève (4ème4)'!LF19:LI19,"C"))*2)+((COUNTIF('Elève (4ème4)'!LF19:LI19,"D"))*1))/(COUNTA(LF19:LI19)),"")</f>
        <v/>
      </c>
      <c r="LK19" s="194" t="str">
        <f t="shared" si="66"/>
        <v/>
      </c>
      <c r="LL19" s="193">
        <f>IF(COUNT(KX19,LD19,LJ19)=0,"",SUM(KX19,LD19,LJ19)/COUNT(KX19,LD19,LJ19))</f>
        <v>2.25</v>
      </c>
      <c r="LM19" s="216" t="str">
        <f t="shared" si="67"/>
        <v>C</v>
      </c>
      <c r="LN19" s="149" t="s">
        <v>31</v>
      </c>
      <c r="LO19" s="138"/>
      <c r="LP19" s="139"/>
      <c r="LQ19" s="193">
        <f>IFERROR((((COUNTIF('Elève (4ème4)'!LN19:LP19,"A"))*4)+((COUNTIF('Elève (4ème4)'!LN19:LP19,"B"))*3)+((COUNTIF('Elève (4ème4)'!LN19:LP19,"C"))*2)+((COUNTIF('Elève (4ème4)'!LN19:LP19,"D"))*1))/(COUNTA(LN19:LP19)),"")</f>
        <v>2</v>
      </c>
      <c r="LR19" s="194" t="str">
        <f t="shared" si="68"/>
        <v>C</v>
      </c>
      <c r="LS19" s="149" t="s">
        <v>31</v>
      </c>
      <c r="LT19" s="138"/>
      <c r="LU19" s="229" t="s">
        <v>30</v>
      </c>
      <c r="LV19" s="139"/>
      <c r="LW19" s="193">
        <f>IFERROR((((COUNTIF('Elève (4ème4)'!LS19:LV19,"A"))*4)+((COUNTIF('Elève (4ème4)'!LS19:LV19,"B"))*3)+((COUNTIF('Elève (4ème4)'!LS19:LV19,"C"))*2)+((COUNTIF('Elève (4ème4)'!LS19:LV19,"D"))*1))/(COUNTA(LS19:LV19)),"")</f>
        <v>2.5</v>
      </c>
      <c r="LX19" s="194" t="str">
        <f t="shared" si="69"/>
        <v>C</v>
      </c>
      <c r="LY19" s="137"/>
      <c r="LZ19" s="138"/>
      <c r="MA19" s="139"/>
      <c r="MB19" s="143"/>
      <c r="MC19" s="193" t="str">
        <f>IFERROR((((COUNTIF('Elève (4ème4)'!LY19:MB19,"A"))*4)+((COUNTIF('Elève (4ème4)'!LY19:MB19,"B"))*3)+((COUNTIF('Elève (4ème4)'!LY19:MB19,"C"))*2)+((COUNTIF('Elève (4ème4)'!LY19:MB19,"D"))*1))/(COUNTA(LY19:MB19)),"")</f>
        <v/>
      </c>
      <c r="MD19" s="194" t="str">
        <f t="shared" si="70"/>
        <v/>
      </c>
      <c r="ME19" s="193">
        <f>IF(COUNT(LQ19,LW19,MC19)=0,"",SUM(LQ19,LW19,MC19)/COUNT(LQ19,LW19,MC19))</f>
        <v>2.25</v>
      </c>
      <c r="MF19" s="216" t="str">
        <f t="shared" si="71"/>
        <v>C</v>
      </c>
      <c r="MG19" s="149" t="s">
        <v>31</v>
      </c>
      <c r="MH19" s="138"/>
      <c r="MI19" s="139"/>
      <c r="MJ19" s="193">
        <f>IFERROR((((COUNTIF('Elève (4ème4)'!MG19:MI19,"A"))*4)+((COUNTIF('Elève (4ème4)'!MG19:MI19,"B"))*3)+((COUNTIF('Elève (4ème4)'!MG19:MI19,"C"))*2)+((COUNTIF('Elève (4ème4)'!MG19:MI19,"D"))*1))/(COUNTA(MG19:MI19)),"")</f>
        <v>2</v>
      </c>
      <c r="MK19" s="194" t="str">
        <f t="shared" si="72"/>
        <v>C</v>
      </c>
      <c r="ML19" s="149" t="s">
        <v>30</v>
      </c>
      <c r="MM19" s="138"/>
      <c r="MN19" s="229" t="s">
        <v>30</v>
      </c>
      <c r="MO19" s="139"/>
      <c r="MP19" s="193">
        <f>IFERROR((((COUNTIF('Elève (4ème4)'!ML19:MO19,"A"))*4)+((COUNTIF('Elève (4ème4)'!ML19:MO19,"B"))*3)+((COUNTIF('Elève (4ème4)'!ML19:MO19,"C"))*2)+((COUNTIF('Elève (4ème4)'!ML19:MO19,"D"))*1))/(COUNTA(ML19:MO19)),"")</f>
        <v>3</v>
      </c>
      <c r="MQ19" s="194" t="str">
        <f t="shared" si="73"/>
        <v>B</v>
      </c>
      <c r="MR19" s="137"/>
      <c r="MS19" s="138"/>
      <c r="MT19" s="139"/>
      <c r="MU19" s="143"/>
      <c r="MV19" s="193" t="str">
        <f>IFERROR((((COUNTIF('Elève (4ème4)'!MR19:MU19,"A"))*4)+((COUNTIF('Elève (4ème4)'!MR19:MU19,"B"))*3)+((COUNTIF('Elève (4ème4)'!MR19:MU19,"C"))*2)+((COUNTIF('Elève (4ème4)'!MR19:MU19,"D"))*1))/(COUNTA(MR19:MU19)),"")</f>
        <v/>
      </c>
      <c r="MW19" s="194" t="str">
        <f t="shared" si="74"/>
        <v/>
      </c>
      <c r="MX19" s="193">
        <f>IF(COUNT(MJ19,MP19,MV19)=0,"",SUM(MJ19,MP19,MV19)/COUNT(MJ19,MP19,MV19))</f>
        <v>2.5</v>
      </c>
      <c r="MY19" s="216" t="str">
        <f t="shared" si="75"/>
        <v>C</v>
      </c>
      <c r="MZ19" s="149" t="s">
        <v>31</v>
      </c>
      <c r="NA19" s="138"/>
      <c r="NB19" s="139"/>
      <c r="NC19" s="193">
        <f>IFERROR((((COUNTIF('Elève (4ème4)'!MZ19:NB19,"A"))*4)+((COUNTIF('Elève (4ème4)'!MZ19:NB19,"B"))*3)+((COUNTIF('Elève (4ème4)'!MZ19:NB19,"C"))*2)+((COUNTIF('Elève (4ème4)'!MZ19:NB19,"D"))*1))/(COUNTA(MZ19:NB19)),"")</f>
        <v>2</v>
      </c>
      <c r="ND19" s="194" t="str">
        <f t="shared" si="76"/>
        <v>C</v>
      </c>
      <c r="NE19" s="149" t="s">
        <v>30</v>
      </c>
      <c r="NF19" s="138"/>
      <c r="NG19" s="229" t="s">
        <v>31</v>
      </c>
      <c r="NH19" s="139"/>
      <c r="NI19" s="193">
        <f>IFERROR((((COUNTIF('Elève (4ème4)'!NE19:NH19,"A"))*4)+((COUNTIF('Elève (4ème4)'!NE19:NH19,"B"))*3)+((COUNTIF('Elève (4ème4)'!NE19:NH19,"C"))*2)+((COUNTIF('Elève (4ème4)'!NE19:NH19,"D"))*1))/(COUNTA(NE19:NH19)),"")</f>
        <v>2.5</v>
      </c>
      <c r="NJ19" s="194" t="str">
        <f t="shared" si="77"/>
        <v>C</v>
      </c>
      <c r="NK19" s="137"/>
      <c r="NL19" s="138"/>
      <c r="NM19" s="139"/>
      <c r="NN19" s="143"/>
      <c r="NO19" s="193" t="str">
        <f>IFERROR((((COUNTIF('Elève (4ème4)'!NK19:NN19,"A"))*4)+((COUNTIF('Elève (4ème4)'!NK19:NN19,"B"))*3)+((COUNTIF('Elève (4ème4)'!NK19:NN19,"C"))*2)+((COUNTIF('Elève (4ème4)'!NK19:NN19,"D"))*1))/(COUNTA(NK19:NN19)),"")</f>
        <v/>
      </c>
      <c r="NP19" s="194" t="str">
        <f t="shared" si="78"/>
        <v/>
      </c>
      <c r="NQ19" s="193">
        <f>IF(COUNT(NC19,NI19,NO19)=0,"",SUM(NC19,NI19,NO19)/COUNT(NC19,NI19,NO19))</f>
        <v>2.25</v>
      </c>
      <c r="NR19" s="216" t="str">
        <f t="shared" si="79"/>
        <v>C</v>
      </c>
      <c r="NS19" s="149"/>
      <c r="NT19" s="138"/>
      <c r="NU19" s="139"/>
      <c r="NV19" s="193" t="str">
        <f>IFERROR((((COUNTIF('Elève (4ème4)'!NS19:NU19,"A"))*4)+((COUNTIF('Elève (4ème4)'!NS19:NU19,"B"))*3)+((COUNTIF('Elève (4ème4)'!NS19:NU19,"C"))*2)+((COUNTIF('Elève (4ème4)'!NS19:NU19,"D"))*1))/(COUNTA(NS19:NU19)),"")</f>
        <v/>
      </c>
      <c r="NW19" s="194" t="str">
        <f t="shared" si="80"/>
        <v/>
      </c>
      <c r="NX19" s="149" t="s">
        <v>30</v>
      </c>
      <c r="NY19" s="138"/>
      <c r="NZ19" s="229" t="s">
        <v>29</v>
      </c>
      <c r="OA19" s="139"/>
      <c r="OB19" s="193">
        <f>IFERROR((((COUNTIF('Elève (4ème4)'!NX19:OA19,"A"))*4)+((COUNTIF('Elève (4ème4)'!NX19:OA19,"B"))*3)+((COUNTIF('Elève (4ème4)'!NX19:OA19,"C"))*2)+((COUNTIF('Elève (4ème4)'!NX19:OA19,"D"))*1))/(COUNTA(NX19:OA19)),"")</f>
        <v>3.5</v>
      </c>
      <c r="OC19" s="194" t="str">
        <f t="shared" si="81"/>
        <v>B</v>
      </c>
      <c r="OD19" s="137"/>
      <c r="OE19" s="138"/>
      <c r="OF19" s="139"/>
      <c r="OG19" s="143"/>
      <c r="OH19" s="193" t="str">
        <f>IFERROR((((COUNTIF('Elève (4ème4)'!OD19:OG19,"A"))*4)+((COUNTIF('Elève (4ème4)'!OD19:OG19,"B"))*3)+((COUNTIF('Elève (4ème4)'!OD19:OG19,"C"))*2)+((COUNTIF('Elève (4ème4)'!OD19:OG19,"D"))*1))/(COUNTA(OD19:OG19)),"")</f>
        <v/>
      </c>
      <c r="OI19" s="194" t="str">
        <f t="shared" si="82"/>
        <v/>
      </c>
      <c r="OJ19" s="193">
        <f>IF(COUNT(NV19,OB19,OH19)=0,"",SUM(NV19,OB19,OH19)/COUNT(NV19,OB19,OH19))</f>
        <v>3.5</v>
      </c>
      <c r="OK19" s="216" t="str">
        <f t="shared" si="83"/>
        <v>B</v>
      </c>
      <c r="OL19" s="149" t="s">
        <v>30</v>
      </c>
      <c r="OM19" s="138"/>
      <c r="ON19" s="139"/>
      <c r="OO19" s="193">
        <f>IFERROR((((COUNTIF('Elève (4ème4)'!OL19:ON19,"A"))*4)+((COUNTIF('Elève (4ème4)'!OL19:ON19,"B"))*3)+((COUNTIF('Elève (4ème4)'!OL19:ON19,"C"))*2)+((COUNTIF('Elève (4ème4)'!OL19:ON19,"D"))*1))/(COUNTA(OL19:ON19)),"")</f>
        <v>3</v>
      </c>
      <c r="OP19" s="194" t="str">
        <f t="shared" si="84"/>
        <v>B</v>
      </c>
      <c r="OQ19" s="149" t="s">
        <v>30</v>
      </c>
      <c r="OR19" s="138"/>
      <c r="OS19" s="229" t="s">
        <v>29</v>
      </c>
      <c r="OT19" s="139"/>
      <c r="OU19" s="193">
        <f>IFERROR((((COUNTIF('Elève (4ème4)'!OQ19:OT19,"A"))*4)+((COUNTIF('Elève (4ème4)'!OQ19:OT19,"B"))*3)+((COUNTIF('Elève (4ème4)'!OQ19:OT19,"C"))*2)+((COUNTIF('Elève (4ème4)'!OQ19:OT19,"D"))*1))/(COUNTA(OQ19:OT19)),"")</f>
        <v>3.5</v>
      </c>
      <c r="OV19" s="194" t="str">
        <f t="shared" si="85"/>
        <v>B</v>
      </c>
      <c r="OW19" s="137"/>
      <c r="OX19" s="138"/>
      <c r="OY19" s="139"/>
      <c r="OZ19" s="143"/>
      <c r="PA19" s="193" t="str">
        <f>IFERROR((((COUNTIF('Elève (4ème4)'!OW19:OZ19,"A"))*4)+((COUNTIF('Elève (4ème4)'!OW19:OZ19,"B"))*3)+((COUNTIF('Elève (4ème4)'!OW19:OZ19,"C"))*2)+((COUNTIF('Elève (4ème4)'!OW19:OZ19,"D"))*1))/(COUNTA(OW19:OZ19)),"")</f>
        <v/>
      </c>
      <c r="PB19" s="194" t="str">
        <f t="shared" si="86"/>
        <v/>
      </c>
      <c r="PC19" s="193">
        <f>IF(COUNT(OO19,OU19,PA19)=0,"",SUM(OO19,OU19,PA19)/COUNT(OO19,OU19,PA19))</f>
        <v>3.25</v>
      </c>
      <c r="PD19" s="216" t="str">
        <f t="shared" si="87"/>
        <v>B</v>
      </c>
      <c r="PE19" s="149" t="s">
        <v>31</v>
      </c>
      <c r="PF19" s="138"/>
      <c r="PG19" s="139"/>
      <c r="PH19" s="193">
        <f>IFERROR((((COUNTIF('Elève (4ème4)'!PE19:PG19,"A"))*4)+((COUNTIF('Elève (4ème4)'!PE19:PG19,"B"))*3)+((COUNTIF('Elève (4ème4)'!PE19:PG19,"C"))*2)+((COUNTIF('Elève (4ème4)'!PE19:PG19,"D"))*1))/(COUNTA(PE19:PG19)),"")</f>
        <v>2</v>
      </c>
      <c r="PI19" s="194" t="str">
        <f t="shared" si="88"/>
        <v>C</v>
      </c>
      <c r="PJ19" s="149" t="s">
        <v>31</v>
      </c>
      <c r="PK19" s="138"/>
      <c r="PL19" s="229" t="s">
        <v>30</v>
      </c>
      <c r="PM19" s="139"/>
      <c r="PN19" s="193">
        <f>IFERROR((((COUNTIF('Elève (4ème4)'!PJ19:PM19,"A"))*4)+((COUNTIF('Elève (4ème4)'!PJ19:PM19,"B"))*3)+((COUNTIF('Elève (4ème4)'!PJ19:PM19,"C"))*2)+((COUNTIF('Elève (4ème4)'!PJ19:PM19,"D"))*1))/(COUNTA(PJ19:PM19)),"")</f>
        <v>2.5</v>
      </c>
      <c r="PO19" s="194" t="str">
        <f t="shared" si="89"/>
        <v>C</v>
      </c>
      <c r="PP19" s="137"/>
      <c r="PQ19" s="138"/>
      <c r="PR19" s="139"/>
      <c r="PS19" s="143"/>
      <c r="PT19" s="193" t="str">
        <f>IFERROR((((COUNTIF('Elève (4ème4)'!PP19:PS19,"A"))*4)+((COUNTIF('Elève (4ème4)'!PP19:PS19,"B"))*3)+((COUNTIF('Elève (4ème4)'!PP19:PS19,"C"))*2)+((COUNTIF('Elève (4ème4)'!PP19:PS19,"D"))*1))/(COUNTA(PP19:PS19)),"")</f>
        <v/>
      </c>
      <c r="PU19" s="194" t="str">
        <f t="shared" si="90"/>
        <v/>
      </c>
      <c r="PV19" s="193">
        <f>IF(COUNT(PH19,PN19,PT19)=0,"",SUM(PH19,PN19,PT19)/COUNT(PH19,PN19,PT19))</f>
        <v>2.25</v>
      </c>
      <c r="PW19" s="216" t="str">
        <f t="shared" si="91"/>
        <v>C</v>
      </c>
      <c r="PX19" s="149" t="s">
        <v>31</v>
      </c>
      <c r="PY19" s="138"/>
      <c r="PZ19" s="139"/>
      <c r="QA19" s="193">
        <f>IFERROR((((COUNTIF('Elève (4ème4)'!PX19:PZ19,"A"))*4)+((COUNTIF('Elève (4ème4)'!PX19:PZ19,"B"))*3)+((COUNTIF('Elève (4ème4)'!PX19:PZ19,"C"))*2)+((COUNTIF('Elève (4ème4)'!PX19:PZ19,"D"))*1))/(COUNTA(PX19:PZ19)),"")</f>
        <v>2</v>
      </c>
      <c r="QB19" s="194" t="str">
        <f t="shared" si="92"/>
        <v>C</v>
      </c>
      <c r="QC19" s="149" t="s">
        <v>30</v>
      </c>
      <c r="QD19" s="138"/>
      <c r="QE19" s="229" t="s">
        <v>31</v>
      </c>
      <c r="QF19" s="139"/>
      <c r="QG19" s="193">
        <f>IFERROR((((COUNTIF('Elève (4ème4)'!QC19:QF19,"A"))*4)+((COUNTIF('Elève (4ème4)'!QC19:QF19,"B"))*3)+((COUNTIF('Elève (4ème4)'!QC19:QF19,"C"))*2)+((COUNTIF('Elève (4ème4)'!QC19:QF19,"D"))*1))/(COUNTA(QC19:QF19)),"")</f>
        <v>2.5</v>
      </c>
      <c r="QH19" s="194" t="str">
        <f t="shared" si="93"/>
        <v>C</v>
      </c>
      <c r="QI19" s="137"/>
      <c r="QJ19" s="138"/>
      <c r="QK19" s="139"/>
      <c r="QL19" s="143"/>
      <c r="QM19" s="193" t="str">
        <f>IFERROR((((COUNTIF('Elève (4ème4)'!QI19:QL19,"A"))*4)+((COUNTIF('Elève (4ème4)'!QI19:QL19,"B"))*3)+((COUNTIF('Elève (4ème4)'!QI19:QL19,"C"))*2)+((COUNTIF('Elève (4ème4)'!QI19:QL19,"D"))*1))/(COUNTA(QI19:QL19)),"")</f>
        <v/>
      </c>
      <c r="QN19" s="194" t="str">
        <f t="shared" si="94"/>
        <v/>
      </c>
      <c r="QO19" s="193">
        <f>IF(COUNT(QA19,QG19,QM19)=0,"",SUM(QA19,QG19,QM19)/COUNT(QA19,QG19,QM19))</f>
        <v>2.25</v>
      </c>
      <c r="QP19" s="216" t="str">
        <f t="shared" si="95"/>
        <v>C</v>
      </c>
      <c r="QQ19" s="149" t="s">
        <v>30</v>
      </c>
      <c r="QR19" s="138"/>
      <c r="QS19" s="139"/>
      <c r="QT19" s="193">
        <f>IFERROR((((COUNTIF('Elève (4ème4)'!QQ19:QS19,"A"))*4)+((COUNTIF('Elève (4ème4)'!QQ19:QS19,"B"))*3)+((COUNTIF('Elève (4ème4)'!QQ19:QS19,"C"))*2)+((COUNTIF('Elève (4ème4)'!QQ19:QS19,"D"))*1))/(COUNTA(QQ19:QS19)),"")</f>
        <v>3</v>
      </c>
      <c r="QU19" s="194" t="str">
        <f t="shared" si="96"/>
        <v>B</v>
      </c>
      <c r="QV19" s="149" t="s">
        <v>31</v>
      </c>
      <c r="QW19" s="138"/>
      <c r="QX19" s="229" t="s">
        <v>30</v>
      </c>
      <c r="QY19" s="139"/>
      <c r="QZ19" s="193">
        <f>IFERROR((((COUNTIF('Elève (4ème4)'!QV19:QY19,"A"))*4)+((COUNTIF('Elève (4ème4)'!QV19:QY19,"B"))*3)+((COUNTIF('Elève (4ème4)'!QV19:QY19,"C"))*2)+((COUNTIF('Elève (4ème4)'!QV19:QY19,"D"))*1))/(COUNTA(QV19:QY19)),"")</f>
        <v>2.5</v>
      </c>
      <c r="RA19" s="194" t="str">
        <f t="shared" si="97"/>
        <v>C</v>
      </c>
      <c r="RB19" s="137"/>
      <c r="RC19" s="138"/>
      <c r="RD19" s="139"/>
      <c r="RE19" s="143"/>
      <c r="RF19" s="193" t="str">
        <f>IFERROR((((COUNTIF('Elève (4ème4)'!RB19:RE19,"A"))*4)+((COUNTIF('Elève (4ème4)'!RB19:RE19,"B"))*3)+((COUNTIF('Elève (4ème4)'!RB19:RE19,"C"))*2)+((COUNTIF('Elève (4ème4)'!RB19:RE19,"D"))*1))/(COUNTA(RB19:RE19)),"")</f>
        <v/>
      </c>
      <c r="RG19" s="194" t="str">
        <f t="shared" si="98"/>
        <v/>
      </c>
      <c r="RH19" s="193">
        <f>IF(COUNT(QT19,QZ19,RF19)=0,"",SUM(QT19,QZ19,RF19)/COUNT(QT19,QZ19,RF19))</f>
        <v>2.75</v>
      </c>
      <c r="RI19" s="216" t="str">
        <f t="shared" si="99"/>
        <v>C</v>
      </c>
      <c r="RJ19" s="149" t="s">
        <v>30</v>
      </c>
      <c r="RK19" s="138"/>
      <c r="RL19" s="139"/>
      <c r="RM19" s="193">
        <f>IFERROR((((COUNTIF('Elève (4ème4)'!RJ19:RL19,"A"))*4)+((COUNTIF('Elève (4ème4)'!RJ19:RL19,"B"))*3)+((COUNTIF('Elève (4ème4)'!RJ19:RL19,"C"))*2)+((COUNTIF('Elève (4ème4)'!RJ19:RL19,"D"))*1))/(COUNTA(RJ19:RL19)),"")</f>
        <v>3</v>
      </c>
      <c r="RN19" s="194" t="str">
        <f t="shared" si="100"/>
        <v>B</v>
      </c>
      <c r="RO19" s="149" t="s">
        <v>31</v>
      </c>
      <c r="RP19" s="138"/>
      <c r="RQ19" s="229" t="s">
        <v>31</v>
      </c>
      <c r="RR19" s="139"/>
      <c r="RS19" s="193">
        <f>IFERROR((((COUNTIF('Elève (4ème4)'!RO19:RR19,"A"))*4)+((COUNTIF('Elève (4ème4)'!RO19:RR19,"B"))*3)+((COUNTIF('Elève (4ème4)'!RO19:RR19,"C"))*2)+((COUNTIF('Elève (4ème4)'!RO19:RR19,"D"))*1))/(COUNTA(RO19:RR19)),"")</f>
        <v>2</v>
      </c>
      <c r="RT19" s="194" t="str">
        <f t="shared" si="101"/>
        <v>C</v>
      </c>
      <c r="RU19" s="137"/>
      <c r="RV19" s="138"/>
      <c r="RW19" s="139"/>
      <c r="RX19" s="143"/>
      <c r="RY19" s="193" t="str">
        <f>IFERROR((((COUNTIF('Elève (4ème4)'!RU19:RX19,"A"))*4)+((COUNTIF('Elève (4ème4)'!RU19:RX19,"B"))*3)+((COUNTIF('Elève (4ème4)'!RU19:RX19,"C"))*2)+((COUNTIF('Elève (4ème4)'!RU19:RX19,"D"))*1))/(COUNTA(RU19:RX19)),"")</f>
        <v/>
      </c>
      <c r="RZ19" s="194" t="str">
        <f t="shared" si="102"/>
        <v/>
      </c>
      <c r="SA19" s="193">
        <f>IF(COUNT(RM19,RS19,RY19)=0,"",SUM(RM19,RS19,RY19)/COUNT(RM19,RS19,RY19))</f>
        <v>2.5</v>
      </c>
      <c r="SB19" s="216" t="str">
        <f t="shared" si="103"/>
        <v>C</v>
      </c>
      <c r="SC19" s="137"/>
      <c r="SD19" s="138"/>
      <c r="SE19" s="139"/>
      <c r="SF19" s="140" t="str">
        <f>IFERROR((((COUNTIF('Elève (4ème4)'!SC19:SE19,"A"))*4)+((COUNTIF('Elève (4ème4)'!SC19:SE19,"B"))*3)+((COUNTIF('Elève (4ème4)'!SC19:SE19,"C"))*2)+((COUNTIF('Elève (4ème4)'!SC19:SE19,"D"))*1))/(COUNTA(SC19:SE19)),"")</f>
        <v/>
      </c>
      <c r="SG19" s="141" t="str">
        <f t="shared" si="104"/>
        <v/>
      </c>
      <c r="SH19" s="137"/>
      <c r="SI19" s="138"/>
      <c r="SJ19" s="139"/>
      <c r="SK19" s="140" t="str">
        <f>IFERROR((((COUNTIF('Elève (4ème4)'!SH19:SJ19,"A"))*4)+((COUNTIF('Elève (4ème4)'!SH19:SJ19,"B"))*3)+((COUNTIF('Elève (4ème4)'!SH19:SJ19,"C"))*2)+((COUNTIF('Elève (4ème4)'!SH19:SJ19,"D"))*1))/(COUNTA(SH19:SJ19)),"")</f>
        <v/>
      </c>
      <c r="SL19" s="141" t="str">
        <f t="shared" si="105"/>
        <v/>
      </c>
      <c r="SM19" s="137"/>
      <c r="SN19" s="138"/>
      <c r="SO19" s="143"/>
      <c r="SP19" s="140" t="str">
        <f>IFERROR((((COUNTIF('Elève (4ème4)'!SM19:SO19,"A"))*4)+((COUNTIF('Elève (4ème4)'!SM19:SO19,"B"))*3)+((COUNTIF('Elève (4ème4)'!SM19:SO19,"C"))*2)+((COUNTIF('Elève (4ème4)'!SM19:SO19,"D"))*1))/(COUNTA(SM19:SO19)),"")</f>
        <v/>
      </c>
      <c r="SQ19" s="141" t="str">
        <f t="shared" si="106"/>
        <v/>
      </c>
      <c r="SR19" s="140" t="str">
        <f>IF(COUNT(SF19,SK19,SP19)=0,"",SUM(SF19,SK19,SP19)/COUNT(SF19,SK19,SP19))</f>
        <v/>
      </c>
      <c r="SS19" s="142" t="str">
        <f t="shared" si="107"/>
        <v/>
      </c>
      <c r="ST19" s="137"/>
      <c r="SU19" s="138"/>
      <c r="SV19" s="139"/>
      <c r="SW19" s="140" t="str">
        <f>IFERROR((((COUNTIF('Elève (4ème4)'!ST19:SV19,"A"))*4)+((COUNTIF('Elève (4ème4)'!ST19:SV19,"B"))*3)+((COUNTIF('Elève (4ème4)'!ST19:SV19,"C"))*2)+((COUNTIF('Elève (4ème4)'!ST19:SV19,"D"))*1))/(COUNTA(ST19:SV19)),"")</f>
        <v/>
      </c>
      <c r="SX19" s="141" t="str">
        <f t="shared" si="108"/>
        <v/>
      </c>
      <c r="SY19" s="137"/>
      <c r="SZ19" s="138"/>
      <c r="TA19" s="139"/>
      <c r="TB19" s="140" t="str">
        <f>IFERROR((((COUNTIF('Elève (4ème4)'!SY19:TA19,"A"))*4)+((COUNTIF('Elève (4ème4)'!SY19:TA19,"B"))*3)+((COUNTIF('Elève (4ème4)'!SY19:TA19,"C"))*2)+((COUNTIF('Elève (4ème4)'!SY19:TA19,"D"))*1))/(COUNTA(SY19:TA19)),"")</f>
        <v/>
      </c>
      <c r="TC19" s="141" t="str">
        <f t="shared" si="109"/>
        <v/>
      </c>
      <c r="TD19" s="137"/>
      <c r="TE19" s="138"/>
      <c r="TF19" s="143"/>
      <c r="TG19" s="140" t="str">
        <f>IFERROR((((COUNTIF('Elève (4ème4)'!TD19:TF19,"A"))*4)+((COUNTIF('Elève (4ème4)'!TD19:TF19,"B"))*3)+((COUNTIF('Elève (4ème4)'!TD19:TF19,"C"))*2)+((COUNTIF('Elève (4ème4)'!TD19:TF19,"D"))*1))/(COUNTA(TD19:TF19)),"")</f>
        <v/>
      </c>
      <c r="TH19" s="141" t="str">
        <f t="shared" si="110"/>
        <v/>
      </c>
      <c r="TI19" s="140" t="str">
        <f>IF(COUNT(SW19,TB19,TG19)=0,"",SUM(SW19,TB19,TG19)/COUNT(SW19,TB19,TG19))</f>
        <v/>
      </c>
      <c r="TJ19" s="142" t="str">
        <f t="shared" si="111"/>
        <v/>
      </c>
      <c r="TK19" s="137"/>
      <c r="TL19" s="138"/>
      <c r="TM19" s="139"/>
      <c r="TN19" s="140" t="str">
        <f>IFERROR((((COUNTIF('Elève (4ème4)'!TK19:TM19,"A"))*4)+((COUNTIF('Elève (4ème4)'!TK19:TM19,"B"))*3)+((COUNTIF('Elève (4ème4)'!TK19:TM19,"C"))*2)+((COUNTIF('Elève (4ème4)'!TK19:TM19,"D"))*1))/(COUNTA(TK19:TM19)),"")</f>
        <v/>
      </c>
      <c r="TO19" s="141" t="str">
        <f t="shared" si="112"/>
        <v/>
      </c>
      <c r="TP19" s="137"/>
      <c r="TQ19" s="138"/>
      <c r="TR19" s="139"/>
      <c r="TS19" s="140" t="str">
        <f>IFERROR((((COUNTIF('Elève (4ème4)'!TP19:TR19,"A"))*4)+((COUNTIF('Elève (4ème4)'!TP19:TR19,"B"))*3)+((COUNTIF('Elève (4ème4)'!TP19:TR19,"C"))*2)+((COUNTIF('Elève (4ème4)'!TP19:TR19,"D"))*1))/(COUNTA(TP19:TR19)),"")</f>
        <v/>
      </c>
      <c r="TT19" s="141" t="str">
        <f t="shared" si="113"/>
        <v/>
      </c>
      <c r="TU19" s="137"/>
      <c r="TV19" s="138"/>
      <c r="TW19" s="143"/>
      <c r="TX19" s="140" t="str">
        <f>IFERROR((((COUNTIF('Elève (4ème4)'!TU19:TW19,"A"))*4)+((COUNTIF('Elève (4ème4)'!TU19:TW19,"B"))*3)+((COUNTIF('Elève (4ème4)'!TU19:TW19,"C"))*2)+((COUNTIF('Elève (4ème4)'!TU19:TW19,"D"))*1))/(COUNTA(TU19:TW19)),"")</f>
        <v/>
      </c>
      <c r="TY19" s="141" t="str">
        <f t="shared" si="114"/>
        <v/>
      </c>
      <c r="TZ19" s="140" t="str">
        <f>IF(COUNT(TN19,TS19,TX19)=0,"",SUM(TN19,TS19,TX19)/COUNT(TN19,TS19,TX19))</f>
        <v/>
      </c>
      <c r="UA19" s="142" t="str">
        <f t="shared" si="115"/>
        <v/>
      </c>
      <c r="UB19" s="137"/>
      <c r="UC19" s="138"/>
      <c r="UD19" s="139"/>
      <c r="UE19" s="140" t="str">
        <f>IFERROR((((COUNTIF('Elève (4ème4)'!UB19:UD19,"A"))*4)+((COUNTIF('Elève (4ème4)'!UB19:UD19,"B"))*3)+((COUNTIF('Elève (4ème4)'!UB19:UD19,"C"))*2)+((COUNTIF('Elève (4ème4)'!UB19:UD19,"D"))*1))/(COUNTA(UB19:UD19)),"")</f>
        <v/>
      </c>
      <c r="UF19" s="141" t="str">
        <f t="shared" si="116"/>
        <v/>
      </c>
      <c r="UG19" s="137"/>
      <c r="UH19" s="138"/>
      <c r="UI19" s="139"/>
      <c r="UJ19" s="140" t="str">
        <f>IFERROR((((COUNTIF('Elève (4ème4)'!UG19:UI19,"A"))*4)+((COUNTIF('Elève (4ème4)'!UG19:UI19,"B"))*3)+((COUNTIF('Elève (4ème4)'!UG19:UI19,"C"))*2)+((COUNTIF('Elève (4ème4)'!UG19:UI19,"D"))*1))/(COUNTA(UG19:UI19)),"")</f>
        <v/>
      </c>
      <c r="UK19" s="141" t="str">
        <f t="shared" si="117"/>
        <v/>
      </c>
      <c r="UL19" s="137"/>
      <c r="UM19" s="138"/>
      <c r="UN19" s="143"/>
      <c r="UO19" s="140" t="str">
        <f>IFERROR((((COUNTIF('Elève (4ème4)'!UL19:UN19,"A"))*4)+((COUNTIF('Elève (4ème4)'!UL19:UN19,"B"))*3)+((COUNTIF('Elève (4ème4)'!UL19:UN19,"C"))*2)+((COUNTIF('Elève (4ème4)'!UL19:UN19,"D"))*1))/(COUNTA(UL19:UN19)),"")</f>
        <v/>
      </c>
      <c r="UP19" s="141" t="str">
        <f t="shared" si="118"/>
        <v/>
      </c>
      <c r="UQ19" s="140" t="str">
        <f>IF(COUNT(UE19,UJ19,UO19)=0,"",SUM(UE19,UJ19,UO19)/COUNT(UE19,UJ19,UO19))</f>
        <v/>
      </c>
      <c r="UR19" s="142" t="str">
        <f t="shared" si="119"/>
        <v/>
      </c>
    </row>
    <row r="20" spans="1:564" s="117" customFormat="1" ht="16.5" customHeight="1" thickBot="1" x14ac:dyDescent="0.3">
      <c r="A20" s="174" t="s">
        <v>26</v>
      </c>
      <c r="B20" s="147">
        <v>1</v>
      </c>
      <c r="C20" s="230"/>
      <c r="D20" s="85"/>
      <c r="E20" s="107"/>
      <c r="F20" s="187" t="str">
        <f>IF(COUNT(F21)=0,"",SUM(F21)/COUNT(F21))</f>
        <v/>
      </c>
      <c r="G20" s="188" t="str">
        <f t="shared" si="0"/>
        <v/>
      </c>
      <c r="H20" s="230"/>
      <c r="I20" s="85"/>
      <c r="J20" s="85"/>
      <c r="K20" s="107"/>
      <c r="L20" s="187" t="str">
        <f>IF(COUNT(L21)=0,"",SUM(L21)/COUNT(L21))</f>
        <v/>
      </c>
      <c r="M20" s="203" t="str">
        <f t="shared" si="1"/>
        <v/>
      </c>
      <c r="N20" s="181"/>
      <c r="O20" s="112"/>
      <c r="P20" s="112"/>
      <c r="Q20" s="113"/>
      <c r="R20" s="187" t="str">
        <f>IF(COUNT(R21)=0,"",SUM(R21)/COUNT(R21))</f>
        <v/>
      </c>
      <c r="S20" s="211" t="str">
        <f t="shared" si="2"/>
        <v/>
      </c>
      <c r="T20" s="212" t="str">
        <f>IF(COUNT(T21)=0,"",SUM(T21)/COUNT(T21))</f>
        <v/>
      </c>
      <c r="U20" s="213" t="str">
        <f t="shared" si="3"/>
        <v/>
      </c>
      <c r="V20" s="224"/>
      <c r="W20" s="85"/>
      <c r="X20" s="107"/>
      <c r="Y20" s="187" t="str">
        <f>IF(COUNT(Y21)=0,"",SUM(Y21)/COUNT(Y21))</f>
        <v/>
      </c>
      <c r="Z20" s="188" t="str">
        <f t="shared" si="4"/>
        <v/>
      </c>
      <c r="AA20" s="230"/>
      <c r="AB20" s="85"/>
      <c r="AC20" s="85"/>
      <c r="AD20" s="107"/>
      <c r="AE20" s="187" t="str">
        <f>IF(COUNT(AE21)=0,"",SUM(AE21)/COUNT(AE21))</f>
        <v/>
      </c>
      <c r="AF20" s="203" t="str">
        <f t="shared" si="5"/>
        <v/>
      </c>
      <c r="AG20" s="181"/>
      <c r="AH20" s="112"/>
      <c r="AI20" s="112"/>
      <c r="AJ20" s="113"/>
      <c r="AK20" s="187" t="str">
        <f>IF(COUNT(AK21)=0,"",SUM(AK21)/COUNT(AK21))</f>
        <v/>
      </c>
      <c r="AL20" s="211" t="str">
        <f t="shared" si="6"/>
        <v/>
      </c>
      <c r="AM20" s="212" t="str">
        <f>IF(COUNT(AM21)=0,"",SUM(AM21)/COUNT(AM21))</f>
        <v/>
      </c>
      <c r="AN20" s="213" t="str">
        <f t="shared" si="7"/>
        <v/>
      </c>
      <c r="AO20" s="224"/>
      <c r="AP20" s="85"/>
      <c r="AQ20" s="107"/>
      <c r="AR20" s="187" t="str">
        <f>IF(COUNT(AR21)=0,"",SUM(AR21)/COUNT(AR21))</f>
        <v/>
      </c>
      <c r="AS20" s="188" t="str">
        <f t="shared" si="8"/>
        <v/>
      </c>
      <c r="AT20" s="230"/>
      <c r="AU20" s="85"/>
      <c r="AV20" s="85"/>
      <c r="AW20" s="107"/>
      <c r="AX20" s="187" t="str">
        <f>IF(COUNT(AX21)=0,"",SUM(AX21)/COUNT(AX21))</f>
        <v/>
      </c>
      <c r="AY20" s="203" t="str">
        <f t="shared" si="9"/>
        <v/>
      </c>
      <c r="AZ20" s="181"/>
      <c r="BA20" s="112"/>
      <c r="BB20" s="112"/>
      <c r="BC20" s="113"/>
      <c r="BD20" s="187" t="str">
        <f>IF(COUNT(BD21)=0,"",SUM(BD21)/COUNT(BD21))</f>
        <v/>
      </c>
      <c r="BE20" s="211" t="str">
        <f t="shared" si="10"/>
        <v/>
      </c>
      <c r="BF20" s="212" t="str">
        <f>IF(COUNT(BF21)=0,"",SUM(BF21)/COUNT(BF21))</f>
        <v/>
      </c>
      <c r="BG20" s="213" t="str">
        <f t="shared" si="11"/>
        <v/>
      </c>
      <c r="BH20" s="224"/>
      <c r="BI20" s="85"/>
      <c r="BJ20" s="107"/>
      <c r="BK20" s="187" t="str">
        <f>IF(COUNT(BK21)=0,"",SUM(BK21)/COUNT(BK21))</f>
        <v/>
      </c>
      <c r="BL20" s="188" t="str">
        <f t="shared" si="12"/>
        <v/>
      </c>
      <c r="BM20" s="230"/>
      <c r="BN20" s="85"/>
      <c r="BO20" s="85"/>
      <c r="BP20" s="107"/>
      <c r="BQ20" s="187" t="str">
        <f>IF(COUNT(BQ21)=0,"",SUM(BQ21)/COUNT(BQ21))</f>
        <v/>
      </c>
      <c r="BR20" s="203" t="str">
        <f t="shared" si="13"/>
        <v/>
      </c>
      <c r="BS20" s="181"/>
      <c r="BT20" s="112"/>
      <c r="BU20" s="112"/>
      <c r="BV20" s="113"/>
      <c r="BW20" s="187" t="str">
        <f>IF(COUNT(BW21)=0,"",SUM(BW21)/COUNT(BW21))</f>
        <v/>
      </c>
      <c r="BX20" s="211" t="str">
        <f t="shared" si="14"/>
        <v/>
      </c>
      <c r="BY20" s="212" t="str">
        <f>IF(COUNT(BY21)=0,"",SUM(BY21)/COUNT(BY21))</f>
        <v/>
      </c>
      <c r="BZ20" s="213" t="str">
        <f t="shared" si="15"/>
        <v/>
      </c>
      <c r="CA20" s="224"/>
      <c r="CB20" s="85"/>
      <c r="CC20" s="107"/>
      <c r="CD20" s="187" t="str">
        <f>IF(COUNT(CD21)=0,"",SUM(CD21)/COUNT(CD21))</f>
        <v/>
      </c>
      <c r="CE20" s="188" t="str">
        <f t="shared" si="16"/>
        <v/>
      </c>
      <c r="CF20" s="230"/>
      <c r="CG20" s="85"/>
      <c r="CH20" s="85"/>
      <c r="CI20" s="107"/>
      <c r="CJ20" s="187" t="str">
        <f>IF(COUNT(CJ21)=0,"",SUM(CJ21)/COUNT(CJ21))</f>
        <v/>
      </c>
      <c r="CK20" s="203" t="str">
        <f t="shared" si="17"/>
        <v/>
      </c>
      <c r="CL20" s="181"/>
      <c r="CM20" s="112"/>
      <c r="CN20" s="112"/>
      <c r="CO20" s="113"/>
      <c r="CP20" s="187" t="str">
        <f>IF(COUNT(CP21)=0,"",SUM(CP21)/COUNT(CP21))</f>
        <v/>
      </c>
      <c r="CQ20" s="211" t="str">
        <f t="shared" si="18"/>
        <v/>
      </c>
      <c r="CR20" s="212" t="str">
        <f>IF(COUNT(CR21)=0,"",SUM(CR21)/COUNT(CR21))</f>
        <v/>
      </c>
      <c r="CS20" s="213" t="str">
        <f t="shared" si="19"/>
        <v/>
      </c>
      <c r="CT20" s="224"/>
      <c r="CU20" s="85"/>
      <c r="CV20" s="107"/>
      <c r="CW20" s="187" t="str">
        <f>IF(COUNT(CW21)=0,"",SUM(CW21)/COUNT(CW21))</f>
        <v/>
      </c>
      <c r="CX20" s="188" t="str">
        <f t="shared" si="20"/>
        <v/>
      </c>
      <c r="CY20" s="230"/>
      <c r="CZ20" s="85"/>
      <c r="DA20" s="85"/>
      <c r="DB20" s="107"/>
      <c r="DC20" s="187" t="str">
        <f>IF(COUNT(DC21)=0,"",SUM(DC21)/COUNT(DC21))</f>
        <v/>
      </c>
      <c r="DD20" s="203" t="str">
        <f t="shared" si="21"/>
        <v/>
      </c>
      <c r="DE20" s="181"/>
      <c r="DF20" s="112"/>
      <c r="DG20" s="112"/>
      <c r="DH20" s="113"/>
      <c r="DI20" s="187" t="str">
        <f>IF(COUNT(DI21)=0,"",SUM(DI21)/COUNT(DI21))</f>
        <v/>
      </c>
      <c r="DJ20" s="211" t="str">
        <f t="shared" si="22"/>
        <v/>
      </c>
      <c r="DK20" s="212" t="str">
        <f>IF(COUNT(DK21)=0,"",SUM(DK21)/COUNT(DK21))</f>
        <v/>
      </c>
      <c r="DL20" s="213" t="str">
        <f t="shared" si="23"/>
        <v/>
      </c>
      <c r="DM20" s="224"/>
      <c r="DN20" s="85"/>
      <c r="DO20" s="107"/>
      <c r="DP20" s="187" t="str">
        <f>IF(COUNT(DP21)=0,"",SUM(DP21)/COUNT(DP21))</f>
        <v/>
      </c>
      <c r="DQ20" s="188" t="str">
        <f t="shared" si="24"/>
        <v/>
      </c>
      <c r="DR20" s="230"/>
      <c r="DS20" s="85"/>
      <c r="DT20" s="85"/>
      <c r="DU20" s="107"/>
      <c r="DV20" s="187" t="str">
        <f>IF(COUNT(DV21)=0,"",SUM(DV21)/COUNT(DV21))</f>
        <v/>
      </c>
      <c r="DW20" s="203" t="str">
        <f t="shared" si="25"/>
        <v/>
      </c>
      <c r="DX20" s="181"/>
      <c r="DY20" s="112"/>
      <c r="DZ20" s="112"/>
      <c r="EA20" s="113"/>
      <c r="EB20" s="187" t="str">
        <f>IF(COUNT(EB21)=0,"",SUM(EB21)/COUNT(EB21))</f>
        <v/>
      </c>
      <c r="EC20" s="211" t="str">
        <f t="shared" si="26"/>
        <v/>
      </c>
      <c r="ED20" s="212" t="str">
        <f>IF(COUNT(ED21)=0,"",SUM(ED21)/COUNT(ED21))</f>
        <v/>
      </c>
      <c r="EE20" s="213" t="str">
        <f t="shared" si="27"/>
        <v/>
      </c>
      <c r="EF20" s="224"/>
      <c r="EG20" s="85"/>
      <c r="EH20" s="107"/>
      <c r="EI20" s="187" t="str">
        <f>IF(COUNT(EI21)=0,"",SUM(EI21)/COUNT(EI21))</f>
        <v/>
      </c>
      <c r="EJ20" s="188" t="str">
        <f t="shared" si="28"/>
        <v/>
      </c>
      <c r="EK20" s="230"/>
      <c r="EL20" s="85"/>
      <c r="EM20" s="85"/>
      <c r="EN20" s="107"/>
      <c r="EO20" s="187" t="str">
        <f>IF(COUNT(EO21)=0,"",SUM(EO21)/COUNT(EO21))</f>
        <v/>
      </c>
      <c r="EP20" s="203" t="str">
        <f t="shared" si="29"/>
        <v/>
      </c>
      <c r="EQ20" s="181"/>
      <c r="ER20" s="112"/>
      <c r="ES20" s="112"/>
      <c r="ET20" s="113"/>
      <c r="EU20" s="187" t="str">
        <f>IF(COUNT(EU21)=0,"",SUM(EU21)/COUNT(EU21))</f>
        <v/>
      </c>
      <c r="EV20" s="211" t="str">
        <f t="shared" si="30"/>
        <v/>
      </c>
      <c r="EW20" s="212" t="str">
        <f>IF(COUNT(EW21)=0,"",SUM(EW21)/COUNT(EW21))</f>
        <v/>
      </c>
      <c r="EX20" s="213" t="str">
        <f t="shared" si="31"/>
        <v/>
      </c>
      <c r="EY20" s="224"/>
      <c r="EZ20" s="85"/>
      <c r="FA20" s="107"/>
      <c r="FB20" s="187" t="str">
        <f>IF(COUNT(FB21)=0,"",SUM(FB21)/COUNT(FB21))</f>
        <v/>
      </c>
      <c r="FC20" s="188" t="str">
        <f t="shared" si="32"/>
        <v/>
      </c>
      <c r="FD20" s="230"/>
      <c r="FE20" s="85"/>
      <c r="FF20" s="85"/>
      <c r="FG20" s="107"/>
      <c r="FH20" s="187" t="str">
        <f>IF(COUNT(FH21)=0,"",SUM(FH21)/COUNT(FH21))</f>
        <v/>
      </c>
      <c r="FI20" s="203" t="str">
        <f t="shared" si="33"/>
        <v/>
      </c>
      <c r="FJ20" s="181"/>
      <c r="FK20" s="112"/>
      <c r="FL20" s="112"/>
      <c r="FM20" s="113"/>
      <c r="FN20" s="187" t="str">
        <f>IF(COUNT(FN21)=0,"",SUM(FN21)/COUNT(FN21))</f>
        <v/>
      </c>
      <c r="FO20" s="211" t="str">
        <f t="shared" si="34"/>
        <v/>
      </c>
      <c r="FP20" s="212" t="str">
        <f>IF(COUNT(FP21)=0,"",SUM(FP21)/COUNT(FP21))</f>
        <v/>
      </c>
      <c r="FQ20" s="213" t="str">
        <f t="shared" si="35"/>
        <v/>
      </c>
      <c r="FR20" s="224"/>
      <c r="FS20" s="85"/>
      <c r="FT20" s="107"/>
      <c r="FU20" s="187" t="str">
        <f>IF(COUNT(FU21)=0,"",SUM(FU21)/COUNT(FU21))</f>
        <v/>
      </c>
      <c r="FV20" s="188" t="str">
        <f t="shared" si="36"/>
        <v/>
      </c>
      <c r="FW20" s="230"/>
      <c r="FX20" s="85"/>
      <c r="FY20" s="85"/>
      <c r="FZ20" s="107"/>
      <c r="GA20" s="187" t="str">
        <f>IF(COUNT(GA21)=0,"",SUM(GA21)/COUNT(GA21))</f>
        <v/>
      </c>
      <c r="GB20" s="203" t="str">
        <f t="shared" si="37"/>
        <v/>
      </c>
      <c r="GC20" s="181"/>
      <c r="GD20" s="112"/>
      <c r="GE20" s="112"/>
      <c r="GF20" s="113"/>
      <c r="GG20" s="187" t="str">
        <f>IF(COUNT(GG21)=0,"",SUM(GG21)/COUNT(GG21))</f>
        <v/>
      </c>
      <c r="GH20" s="211" t="str">
        <f t="shared" si="38"/>
        <v/>
      </c>
      <c r="GI20" s="212" t="str">
        <f>IF(COUNT(GI21)=0,"",SUM(GI21)/COUNT(GI21))</f>
        <v/>
      </c>
      <c r="GJ20" s="213" t="str">
        <f t="shared" si="39"/>
        <v/>
      </c>
      <c r="GK20" s="224"/>
      <c r="GL20" s="85"/>
      <c r="GM20" s="107"/>
      <c r="GN20" s="187" t="str">
        <f>IF(COUNT(GN21)=0,"",SUM(GN21)/COUNT(GN21))</f>
        <v/>
      </c>
      <c r="GO20" s="188" t="str">
        <f t="shared" si="40"/>
        <v/>
      </c>
      <c r="GP20" s="230"/>
      <c r="GQ20" s="85"/>
      <c r="GR20" s="85"/>
      <c r="GS20" s="107"/>
      <c r="GT20" s="187" t="str">
        <f>IF(COUNT(GT21)=0,"",SUM(GT21)/COUNT(GT21))</f>
        <v/>
      </c>
      <c r="GU20" s="203" t="str">
        <f t="shared" si="41"/>
        <v/>
      </c>
      <c r="GV20" s="181"/>
      <c r="GW20" s="112"/>
      <c r="GX20" s="112"/>
      <c r="GY20" s="113"/>
      <c r="GZ20" s="187" t="str">
        <f>IF(COUNT(GZ21)=0,"",SUM(GZ21)/COUNT(GZ21))</f>
        <v/>
      </c>
      <c r="HA20" s="211" t="str">
        <f t="shared" si="42"/>
        <v/>
      </c>
      <c r="HB20" s="212" t="str">
        <f>IF(COUNT(HB21)=0,"",SUM(HB21)/COUNT(HB21))</f>
        <v/>
      </c>
      <c r="HC20" s="213" t="str">
        <f t="shared" si="43"/>
        <v/>
      </c>
      <c r="HD20" s="224"/>
      <c r="HE20" s="85"/>
      <c r="HF20" s="107"/>
      <c r="HG20" s="187" t="str">
        <f>IF(COUNT(HG21)=0,"",SUM(HG21)/COUNT(HG21))</f>
        <v/>
      </c>
      <c r="HH20" s="188" t="str">
        <f t="shared" si="44"/>
        <v/>
      </c>
      <c r="HI20" s="230"/>
      <c r="HJ20" s="85"/>
      <c r="HK20" s="85"/>
      <c r="HL20" s="107"/>
      <c r="HM20" s="187" t="str">
        <f>IF(COUNT(HM21)=0,"",SUM(HM21)/COUNT(HM21))</f>
        <v/>
      </c>
      <c r="HN20" s="203" t="str">
        <f t="shared" si="45"/>
        <v/>
      </c>
      <c r="HO20" s="181"/>
      <c r="HP20" s="112"/>
      <c r="HQ20" s="112"/>
      <c r="HR20" s="113"/>
      <c r="HS20" s="187" t="str">
        <f>IF(COUNT(HS21)=0,"",SUM(HS21)/COUNT(HS21))</f>
        <v/>
      </c>
      <c r="HT20" s="211" t="str">
        <f t="shared" si="46"/>
        <v/>
      </c>
      <c r="HU20" s="212" t="str">
        <f>IF(COUNT(HU21)=0,"",SUM(HU21)/COUNT(HU21))</f>
        <v/>
      </c>
      <c r="HV20" s="213" t="str">
        <f t="shared" si="47"/>
        <v/>
      </c>
      <c r="HW20" s="224"/>
      <c r="HX20" s="85"/>
      <c r="HY20" s="107"/>
      <c r="HZ20" s="187" t="str">
        <f>IF(COUNT(HZ21)=0,"",SUM(HZ21)/COUNT(HZ21))</f>
        <v/>
      </c>
      <c r="IA20" s="188" t="str">
        <f t="shared" si="48"/>
        <v/>
      </c>
      <c r="IB20" s="230"/>
      <c r="IC20" s="85"/>
      <c r="ID20" s="85"/>
      <c r="IE20" s="107"/>
      <c r="IF20" s="187" t="str">
        <f>IF(COUNT(IF21)=0,"",SUM(IF21)/COUNT(IF21))</f>
        <v/>
      </c>
      <c r="IG20" s="203" t="str">
        <f t="shared" si="49"/>
        <v/>
      </c>
      <c r="IH20" s="181"/>
      <c r="II20" s="112"/>
      <c r="IJ20" s="112"/>
      <c r="IK20" s="113"/>
      <c r="IL20" s="187" t="str">
        <f>IF(COUNT(IL21)=0,"",SUM(IL21)/COUNT(IL21))</f>
        <v/>
      </c>
      <c r="IM20" s="211" t="str">
        <f t="shared" si="50"/>
        <v/>
      </c>
      <c r="IN20" s="212" t="str">
        <f>IF(COUNT(IN21)=0,"",SUM(IN21)/COUNT(IN21))</f>
        <v/>
      </c>
      <c r="IO20" s="213" t="str">
        <f t="shared" si="51"/>
        <v/>
      </c>
      <c r="IP20" s="224"/>
      <c r="IQ20" s="85"/>
      <c r="IR20" s="107"/>
      <c r="IS20" s="187" t="str">
        <f>IF(COUNT(IS21)=0,"",SUM(IS21)/COUNT(IS21))</f>
        <v/>
      </c>
      <c r="IT20" s="188" t="str">
        <f t="shared" si="52"/>
        <v/>
      </c>
      <c r="IU20" s="230"/>
      <c r="IV20" s="85"/>
      <c r="IW20" s="85"/>
      <c r="IX20" s="107"/>
      <c r="IY20" s="187" t="str">
        <f>IF(COUNT(IY21)=0,"",SUM(IY21)/COUNT(IY21))</f>
        <v/>
      </c>
      <c r="IZ20" s="203" t="str">
        <f t="shared" si="53"/>
        <v/>
      </c>
      <c r="JA20" s="181"/>
      <c r="JB20" s="112"/>
      <c r="JC20" s="112"/>
      <c r="JD20" s="113"/>
      <c r="JE20" s="187" t="str">
        <f>IF(COUNT(JE21)=0,"",SUM(JE21)/COUNT(JE21))</f>
        <v/>
      </c>
      <c r="JF20" s="211" t="str">
        <f t="shared" si="54"/>
        <v/>
      </c>
      <c r="JG20" s="212" t="str">
        <f>IF(COUNT(JG21)=0,"",SUM(JG21)/COUNT(JG21))</f>
        <v/>
      </c>
      <c r="JH20" s="213" t="str">
        <f t="shared" si="55"/>
        <v/>
      </c>
      <c r="JI20" s="224"/>
      <c r="JJ20" s="85"/>
      <c r="JK20" s="107"/>
      <c r="JL20" s="187" t="str">
        <f>IF(COUNT(JL21)=0,"",SUM(JL21)/COUNT(JL21))</f>
        <v/>
      </c>
      <c r="JM20" s="188" t="str">
        <f t="shared" si="56"/>
        <v/>
      </c>
      <c r="JN20" s="230"/>
      <c r="JO20" s="85"/>
      <c r="JP20" s="85"/>
      <c r="JQ20" s="107"/>
      <c r="JR20" s="187" t="str">
        <f>IF(COUNT(JR21)=0,"",SUM(JR21)/COUNT(JR21))</f>
        <v/>
      </c>
      <c r="JS20" s="203" t="str">
        <f t="shared" si="57"/>
        <v/>
      </c>
      <c r="JT20" s="181"/>
      <c r="JU20" s="112"/>
      <c r="JV20" s="112"/>
      <c r="JW20" s="113"/>
      <c r="JX20" s="187" t="str">
        <f>IF(COUNT(JX21)=0,"",SUM(JX21)/COUNT(JX21))</f>
        <v/>
      </c>
      <c r="JY20" s="211" t="str">
        <f t="shared" si="58"/>
        <v/>
      </c>
      <c r="JZ20" s="212" t="str">
        <f>IF(COUNT(JZ21)=0,"",SUM(JZ21)/COUNT(JZ21))</f>
        <v/>
      </c>
      <c r="KA20" s="213" t="str">
        <f t="shared" si="59"/>
        <v/>
      </c>
      <c r="KB20" s="224"/>
      <c r="KC20" s="85"/>
      <c r="KD20" s="107"/>
      <c r="KE20" s="187" t="str">
        <f>IF(COUNT(KE21)=0,"",SUM(KE21)/COUNT(KE21))</f>
        <v/>
      </c>
      <c r="KF20" s="188" t="str">
        <f t="shared" si="60"/>
        <v/>
      </c>
      <c r="KG20" s="230"/>
      <c r="KH20" s="85"/>
      <c r="KI20" s="85"/>
      <c r="KJ20" s="107"/>
      <c r="KK20" s="187" t="str">
        <f>IF(COUNT(KK21)=0,"",SUM(KK21)/COUNT(KK21))</f>
        <v/>
      </c>
      <c r="KL20" s="203" t="str">
        <f t="shared" si="61"/>
        <v/>
      </c>
      <c r="KM20" s="181"/>
      <c r="KN20" s="112"/>
      <c r="KO20" s="112"/>
      <c r="KP20" s="113"/>
      <c r="KQ20" s="187" t="str">
        <f>IF(COUNT(KQ21)=0,"",SUM(KQ21)/COUNT(KQ21))</f>
        <v/>
      </c>
      <c r="KR20" s="211" t="str">
        <f t="shared" si="62"/>
        <v/>
      </c>
      <c r="KS20" s="212" t="str">
        <f>IF(COUNT(KS21)=0,"",SUM(KS21)/COUNT(KS21))</f>
        <v/>
      </c>
      <c r="KT20" s="213" t="str">
        <f t="shared" si="63"/>
        <v/>
      </c>
      <c r="KU20" s="224"/>
      <c r="KV20" s="85"/>
      <c r="KW20" s="107"/>
      <c r="KX20" s="187" t="str">
        <f>IF(COUNT(KX21)=0,"",SUM(KX21)/COUNT(KX21))</f>
        <v/>
      </c>
      <c r="KY20" s="188" t="str">
        <f t="shared" si="64"/>
        <v/>
      </c>
      <c r="KZ20" s="230"/>
      <c r="LA20" s="85"/>
      <c r="LB20" s="85"/>
      <c r="LC20" s="107"/>
      <c r="LD20" s="187" t="str">
        <f>IF(COUNT(LD21)=0,"",SUM(LD21)/COUNT(LD21))</f>
        <v/>
      </c>
      <c r="LE20" s="203" t="str">
        <f t="shared" si="65"/>
        <v/>
      </c>
      <c r="LF20" s="181"/>
      <c r="LG20" s="112"/>
      <c r="LH20" s="112"/>
      <c r="LI20" s="113"/>
      <c r="LJ20" s="187" t="str">
        <f>IF(COUNT(LJ21)=0,"",SUM(LJ21)/COUNT(LJ21))</f>
        <v/>
      </c>
      <c r="LK20" s="211" t="str">
        <f t="shared" si="66"/>
        <v/>
      </c>
      <c r="LL20" s="212" t="str">
        <f>IF(COUNT(LL21)=0,"",SUM(LL21)/COUNT(LL21))</f>
        <v/>
      </c>
      <c r="LM20" s="213" t="str">
        <f t="shared" si="67"/>
        <v/>
      </c>
      <c r="LN20" s="224"/>
      <c r="LO20" s="85"/>
      <c r="LP20" s="107"/>
      <c r="LQ20" s="187" t="str">
        <f>IF(COUNT(LQ21)=0,"",SUM(LQ21)/COUNT(LQ21))</f>
        <v/>
      </c>
      <c r="LR20" s="188" t="str">
        <f t="shared" si="68"/>
        <v/>
      </c>
      <c r="LS20" s="230"/>
      <c r="LT20" s="85"/>
      <c r="LU20" s="85"/>
      <c r="LV20" s="107"/>
      <c r="LW20" s="187" t="str">
        <f>IF(COUNT(LW21)=0,"",SUM(LW21)/COUNT(LW21))</f>
        <v/>
      </c>
      <c r="LX20" s="203" t="str">
        <f t="shared" si="69"/>
        <v/>
      </c>
      <c r="LY20" s="181"/>
      <c r="LZ20" s="112"/>
      <c r="MA20" s="112"/>
      <c r="MB20" s="113"/>
      <c r="MC20" s="187" t="str">
        <f>IF(COUNT(MC21)=0,"",SUM(MC21)/COUNT(MC21))</f>
        <v/>
      </c>
      <c r="MD20" s="211" t="str">
        <f t="shared" si="70"/>
        <v/>
      </c>
      <c r="ME20" s="212" t="str">
        <f>IF(COUNT(ME21)=0,"",SUM(ME21)/COUNT(ME21))</f>
        <v/>
      </c>
      <c r="MF20" s="213" t="str">
        <f t="shared" si="71"/>
        <v/>
      </c>
      <c r="MG20" s="224"/>
      <c r="MH20" s="85"/>
      <c r="MI20" s="107"/>
      <c r="MJ20" s="187" t="str">
        <f>IF(COUNT(MJ21)=0,"",SUM(MJ21)/COUNT(MJ21))</f>
        <v/>
      </c>
      <c r="MK20" s="188" t="str">
        <f t="shared" si="72"/>
        <v/>
      </c>
      <c r="ML20" s="230"/>
      <c r="MM20" s="85"/>
      <c r="MN20" s="85"/>
      <c r="MO20" s="107"/>
      <c r="MP20" s="187" t="str">
        <f>IF(COUNT(MP21)=0,"",SUM(MP21)/COUNT(MP21))</f>
        <v/>
      </c>
      <c r="MQ20" s="203" t="str">
        <f t="shared" si="73"/>
        <v/>
      </c>
      <c r="MR20" s="181"/>
      <c r="MS20" s="112"/>
      <c r="MT20" s="112"/>
      <c r="MU20" s="113"/>
      <c r="MV20" s="187" t="str">
        <f>IF(COUNT(MV21)=0,"",SUM(MV21)/COUNT(MV21))</f>
        <v/>
      </c>
      <c r="MW20" s="211" t="str">
        <f t="shared" si="74"/>
        <v/>
      </c>
      <c r="MX20" s="212" t="str">
        <f>IF(COUNT(MX21)=0,"",SUM(MX21)/COUNT(MX21))</f>
        <v/>
      </c>
      <c r="MY20" s="213" t="str">
        <f t="shared" si="75"/>
        <v/>
      </c>
      <c r="MZ20" s="224"/>
      <c r="NA20" s="85"/>
      <c r="NB20" s="107"/>
      <c r="NC20" s="187" t="str">
        <f>IF(COUNT(NC21)=0,"",SUM(NC21)/COUNT(NC21))</f>
        <v/>
      </c>
      <c r="ND20" s="188" t="str">
        <f t="shared" si="76"/>
        <v/>
      </c>
      <c r="NE20" s="230"/>
      <c r="NF20" s="85"/>
      <c r="NG20" s="85"/>
      <c r="NH20" s="107"/>
      <c r="NI20" s="187" t="str">
        <f>IF(COUNT(NI21)=0,"",SUM(NI21)/COUNT(NI21))</f>
        <v/>
      </c>
      <c r="NJ20" s="203" t="str">
        <f t="shared" si="77"/>
        <v/>
      </c>
      <c r="NK20" s="181"/>
      <c r="NL20" s="112"/>
      <c r="NM20" s="112"/>
      <c r="NN20" s="113"/>
      <c r="NO20" s="187" t="str">
        <f>IF(COUNT(NO21)=0,"",SUM(NO21)/COUNT(NO21))</f>
        <v/>
      </c>
      <c r="NP20" s="211" t="str">
        <f t="shared" si="78"/>
        <v/>
      </c>
      <c r="NQ20" s="212" t="str">
        <f>IF(COUNT(NQ21)=0,"",SUM(NQ21)/COUNT(NQ21))</f>
        <v/>
      </c>
      <c r="NR20" s="213" t="str">
        <f t="shared" si="79"/>
        <v/>
      </c>
      <c r="NS20" s="224"/>
      <c r="NT20" s="85"/>
      <c r="NU20" s="107"/>
      <c r="NV20" s="187" t="str">
        <f>IF(COUNT(NV21)=0,"",SUM(NV21)/COUNT(NV21))</f>
        <v/>
      </c>
      <c r="NW20" s="188" t="str">
        <f t="shared" si="80"/>
        <v/>
      </c>
      <c r="NX20" s="230"/>
      <c r="NY20" s="85"/>
      <c r="NZ20" s="85"/>
      <c r="OA20" s="107"/>
      <c r="OB20" s="187" t="str">
        <f>IF(COUNT(OB21)=0,"",SUM(OB21)/COUNT(OB21))</f>
        <v/>
      </c>
      <c r="OC20" s="203" t="str">
        <f t="shared" si="81"/>
        <v/>
      </c>
      <c r="OD20" s="181"/>
      <c r="OE20" s="112"/>
      <c r="OF20" s="112"/>
      <c r="OG20" s="113"/>
      <c r="OH20" s="187" t="str">
        <f>IF(COUNT(OH21)=0,"",SUM(OH21)/COUNT(OH21))</f>
        <v/>
      </c>
      <c r="OI20" s="211" t="str">
        <f t="shared" si="82"/>
        <v/>
      </c>
      <c r="OJ20" s="212" t="str">
        <f>IF(COUNT(OJ21)=0,"",SUM(OJ21)/COUNT(OJ21))</f>
        <v/>
      </c>
      <c r="OK20" s="213" t="str">
        <f t="shared" si="83"/>
        <v/>
      </c>
      <c r="OL20" s="224"/>
      <c r="OM20" s="85"/>
      <c r="ON20" s="107"/>
      <c r="OO20" s="187" t="str">
        <f>IF(COUNT(OO21)=0,"",SUM(OO21)/COUNT(OO21))</f>
        <v/>
      </c>
      <c r="OP20" s="188" t="str">
        <f t="shared" si="84"/>
        <v/>
      </c>
      <c r="OQ20" s="230"/>
      <c r="OR20" s="85"/>
      <c r="OS20" s="85"/>
      <c r="OT20" s="107"/>
      <c r="OU20" s="187" t="str">
        <f>IF(COUNT(OU21)=0,"",SUM(OU21)/COUNT(OU21))</f>
        <v/>
      </c>
      <c r="OV20" s="203" t="str">
        <f t="shared" si="85"/>
        <v/>
      </c>
      <c r="OW20" s="181"/>
      <c r="OX20" s="112"/>
      <c r="OY20" s="112"/>
      <c r="OZ20" s="113"/>
      <c r="PA20" s="187" t="str">
        <f>IF(COUNT(PA21)=0,"",SUM(PA21)/COUNT(PA21))</f>
        <v/>
      </c>
      <c r="PB20" s="211" t="str">
        <f t="shared" si="86"/>
        <v/>
      </c>
      <c r="PC20" s="212" t="str">
        <f>IF(COUNT(PC21)=0,"",SUM(PC21)/COUNT(PC21))</f>
        <v/>
      </c>
      <c r="PD20" s="213" t="str">
        <f t="shared" si="87"/>
        <v/>
      </c>
      <c r="PE20" s="224"/>
      <c r="PF20" s="85"/>
      <c r="PG20" s="107"/>
      <c r="PH20" s="187" t="str">
        <f>IF(COUNT(PH21)=0,"",SUM(PH21)/COUNT(PH21))</f>
        <v/>
      </c>
      <c r="PI20" s="188" t="str">
        <f t="shared" si="88"/>
        <v/>
      </c>
      <c r="PJ20" s="230"/>
      <c r="PK20" s="85"/>
      <c r="PL20" s="85"/>
      <c r="PM20" s="107"/>
      <c r="PN20" s="187" t="str">
        <f>IF(COUNT(PN21)=0,"",SUM(PN21)/COUNT(PN21))</f>
        <v/>
      </c>
      <c r="PO20" s="203" t="str">
        <f t="shared" si="89"/>
        <v/>
      </c>
      <c r="PP20" s="181"/>
      <c r="PQ20" s="112"/>
      <c r="PR20" s="112"/>
      <c r="PS20" s="113"/>
      <c r="PT20" s="187" t="str">
        <f>IF(COUNT(PT21)=0,"",SUM(PT21)/COUNT(PT21))</f>
        <v/>
      </c>
      <c r="PU20" s="211" t="str">
        <f t="shared" si="90"/>
        <v/>
      </c>
      <c r="PV20" s="212" t="str">
        <f>IF(COUNT(PV21)=0,"",SUM(PV21)/COUNT(PV21))</f>
        <v/>
      </c>
      <c r="PW20" s="213" t="str">
        <f t="shared" si="91"/>
        <v/>
      </c>
      <c r="PX20" s="224"/>
      <c r="PY20" s="85"/>
      <c r="PZ20" s="107"/>
      <c r="QA20" s="187" t="str">
        <f>IF(COUNT(QA21)=0,"",SUM(QA21)/COUNT(QA21))</f>
        <v/>
      </c>
      <c r="QB20" s="188" t="str">
        <f t="shared" si="92"/>
        <v/>
      </c>
      <c r="QC20" s="230"/>
      <c r="QD20" s="85"/>
      <c r="QE20" s="85"/>
      <c r="QF20" s="107"/>
      <c r="QG20" s="187" t="str">
        <f>IF(COUNT(QG21)=0,"",SUM(QG21)/COUNT(QG21))</f>
        <v/>
      </c>
      <c r="QH20" s="203" t="str">
        <f t="shared" si="93"/>
        <v/>
      </c>
      <c r="QI20" s="181"/>
      <c r="QJ20" s="112"/>
      <c r="QK20" s="112"/>
      <c r="QL20" s="113"/>
      <c r="QM20" s="187" t="str">
        <f>IF(COUNT(QM21)=0,"",SUM(QM21)/COUNT(QM21))</f>
        <v/>
      </c>
      <c r="QN20" s="211" t="str">
        <f t="shared" si="94"/>
        <v/>
      </c>
      <c r="QO20" s="212" t="str">
        <f>IF(COUNT(QO21)=0,"",SUM(QO21)/COUNT(QO21))</f>
        <v/>
      </c>
      <c r="QP20" s="213" t="str">
        <f t="shared" si="95"/>
        <v/>
      </c>
      <c r="QQ20" s="224"/>
      <c r="QR20" s="85"/>
      <c r="QS20" s="107"/>
      <c r="QT20" s="187" t="str">
        <f>IF(COUNT(QT21)=0,"",SUM(QT21)/COUNT(QT21))</f>
        <v/>
      </c>
      <c r="QU20" s="188" t="str">
        <f t="shared" si="96"/>
        <v/>
      </c>
      <c r="QV20" s="230"/>
      <c r="QW20" s="85"/>
      <c r="QX20" s="85"/>
      <c r="QY20" s="107"/>
      <c r="QZ20" s="187" t="str">
        <f>IF(COUNT(QZ21)=0,"",SUM(QZ21)/COUNT(QZ21))</f>
        <v/>
      </c>
      <c r="RA20" s="203" t="str">
        <f t="shared" si="97"/>
        <v/>
      </c>
      <c r="RB20" s="181"/>
      <c r="RC20" s="112"/>
      <c r="RD20" s="112"/>
      <c r="RE20" s="113"/>
      <c r="RF20" s="187" t="str">
        <f>IF(COUNT(RF21)=0,"",SUM(RF21)/COUNT(RF21))</f>
        <v/>
      </c>
      <c r="RG20" s="211" t="str">
        <f t="shared" si="98"/>
        <v/>
      </c>
      <c r="RH20" s="212" t="str">
        <f>IF(COUNT(RH21)=0,"",SUM(RH21)/COUNT(RH21))</f>
        <v/>
      </c>
      <c r="RI20" s="213" t="str">
        <f t="shared" si="99"/>
        <v/>
      </c>
      <c r="RJ20" s="224"/>
      <c r="RK20" s="85"/>
      <c r="RL20" s="107"/>
      <c r="RM20" s="187" t="str">
        <f>IF(COUNT(RM21)=0,"",SUM(RM21)/COUNT(RM21))</f>
        <v/>
      </c>
      <c r="RN20" s="188" t="str">
        <f t="shared" si="100"/>
        <v/>
      </c>
      <c r="RO20" s="230"/>
      <c r="RP20" s="85"/>
      <c r="RQ20" s="85"/>
      <c r="RR20" s="107"/>
      <c r="RS20" s="187" t="str">
        <f>IF(COUNT(RS21)=0,"",SUM(RS21)/COUNT(RS21))</f>
        <v/>
      </c>
      <c r="RT20" s="203" t="str">
        <f t="shared" si="101"/>
        <v/>
      </c>
      <c r="RU20" s="181"/>
      <c r="RV20" s="112"/>
      <c r="RW20" s="112"/>
      <c r="RX20" s="113"/>
      <c r="RY20" s="187" t="str">
        <f>IF(COUNT(RY21)=0,"",SUM(RY21)/COUNT(RY21))</f>
        <v/>
      </c>
      <c r="RZ20" s="211" t="str">
        <f t="shared" si="102"/>
        <v/>
      </c>
      <c r="SA20" s="212" t="str">
        <f>IF(COUNT(SA21)=0,"",SUM(SA21)/COUNT(SA21))</f>
        <v/>
      </c>
      <c r="SB20" s="213" t="str">
        <f t="shared" si="103"/>
        <v/>
      </c>
      <c r="SC20" s="148"/>
      <c r="SD20" s="85"/>
      <c r="SE20" s="107"/>
      <c r="SF20" s="108" t="str">
        <f>IF(COUNT(SF21)=0,"",SUM(SF21)/COUNT(SF21))</f>
        <v/>
      </c>
      <c r="SG20" s="109" t="str">
        <f t="shared" si="104"/>
        <v/>
      </c>
      <c r="SH20" s="106"/>
      <c r="SI20" s="85"/>
      <c r="SJ20" s="107"/>
      <c r="SK20" s="108" t="str">
        <f>IF(COUNT(SK21)=0,"",SUM(SK21)/COUNT(SK21))</f>
        <v/>
      </c>
      <c r="SL20" s="110" t="str">
        <f t="shared" si="105"/>
        <v/>
      </c>
      <c r="SM20" s="111"/>
      <c r="SN20" s="112"/>
      <c r="SO20" s="113"/>
      <c r="SP20" s="108" t="str">
        <f>IF(COUNT(SP21)=0,"",SUM(SP21)/COUNT(SP21))</f>
        <v/>
      </c>
      <c r="SQ20" s="114" t="str">
        <f t="shared" si="106"/>
        <v/>
      </c>
      <c r="SR20" s="115" t="str">
        <f>IF(COUNT(SR21)=0,"",SUM(SR21)/COUNT(SR21))</f>
        <v/>
      </c>
      <c r="SS20" s="116" t="str">
        <f t="shared" si="107"/>
        <v/>
      </c>
      <c r="ST20" s="148"/>
      <c r="SU20" s="85"/>
      <c r="SV20" s="107"/>
      <c r="SW20" s="108" t="str">
        <f>IF(COUNT(SW21)=0,"",SUM(SW21)/COUNT(SW21))</f>
        <v/>
      </c>
      <c r="SX20" s="109" t="str">
        <f t="shared" si="108"/>
        <v/>
      </c>
      <c r="SY20" s="106"/>
      <c r="SZ20" s="85"/>
      <c r="TA20" s="107"/>
      <c r="TB20" s="108" t="str">
        <f>IF(COUNT(TB21)=0,"",SUM(TB21)/COUNT(TB21))</f>
        <v/>
      </c>
      <c r="TC20" s="110" t="str">
        <f t="shared" si="109"/>
        <v/>
      </c>
      <c r="TD20" s="111"/>
      <c r="TE20" s="112"/>
      <c r="TF20" s="113"/>
      <c r="TG20" s="108" t="str">
        <f>IF(COUNT(TG21)=0,"",SUM(TG21)/COUNT(TG21))</f>
        <v/>
      </c>
      <c r="TH20" s="114" t="str">
        <f t="shared" si="110"/>
        <v/>
      </c>
      <c r="TI20" s="115" t="str">
        <f>IF(COUNT(TI21)=0,"",SUM(TI21)/COUNT(TI21))</f>
        <v/>
      </c>
      <c r="TJ20" s="116" t="str">
        <f t="shared" si="111"/>
        <v/>
      </c>
      <c r="TK20" s="148"/>
      <c r="TL20" s="85"/>
      <c r="TM20" s="107"/>
      <c r="TN20" s="108" t="str">
        <f>IF(COUNT(TN21)=0,"",SUM(TN21)/COUNT(TN21))</f>
        <v/>
      </c>
      <c r="TO20" s="109" t="str">
        <f t="shared" si="112"/>
        <v/>
      </c>
      <c r="TP20" s="106"/>
      <c r="TQ20" s="85"/>
      <c r="TR20" s="107"/>
      <c r="TS20" s="108" t="str">
        <f>IF(COUNT(TS21)=0,"",SUM(TS21)/COUNT(TS21))</f>
        <v/>
      </c>
      <c r="TT20" s="110" t="str">
        <f t="shared" si="113"/>
        <v/>
      </c>
      <c r="TU20" s="111"/>
      <c r="TV20" s="112"/>
      <c r="TW20" s="113"/>
      <c r="TX20" s="108" t="str">
        <f>IF(COUNT(TX21)=0,"",SUM(TX21)/COUNT(TX21))</f>
        <v/>
      </c>
      <c r="TY20" s="114" t="str">
        <f t="shared" si="114"/>
        <v/>
      </c>
      <c r="TZ20" s="115" t="str">
        <f>IF(COUNT(TZ21)=0,"",SUM(TZ21)/COUNT(TZ21))</f>
        <v/>
      </c>
      <c r="UA20" s="116" t="str">
        <f t="shared" si="115"/>
        <v/>
      </c>
      <c r="UB20" s="148"/>
      <c r="UC20" s="85"/>
      <c r="UD20" s="107"/>
      <c r="UE20" s="108" t="str">
        <f>IF(COUNT(UE21)=0,"",SUM(UE21)/COUNT(UE21))</f>
        <v/>
      </c>
      <c r="UF20" s="109" t="str">
        <f t="shared" si="116"/>
        <v/>
      </c>
      <c r="UG20" s="106"/>
      <c r="UH20" s="85"/>
      <c r="UI20" s="107"/>
      <c r="UJ20" s="108" t="str">
        <f>IF(COUNT(UJ21)=0,"",SUM(UJ21)/COUNT(UJ21))</f>
        <v/>
      </c>
      <c r="UK20" s="110" t="str">
        <f t="shared" si="117"/>
        <v/>
      </c>
      <c r="UL20" s="111"/>
      <c r="UM20" s="112"/>
      <c r="UN20" s="113"/>
      <c r="UO20" s="108" t="str">
        <f>IF(COUNT(UO21)=0,"",SUM(UO21)/COUNT(UO21))</f>
        <v/>
      </c>
      <c r="UP20" s="114" t="str">
        <f t="shared" si="118"/>
        <v/>
      </c>
      <c r="UQ20" s="115" t="str">
        <f>IF(COUNT(UQ21)=0,"",SUM(UQ21)/COUNT(UQ21))</f>
        <v/>
      </c>
      <c r="UR20" s="116" t="str">
        <f t="shared" si="119"/>
        <v/>
      </c>
    </row>
    <row r="21" spans="1:564" ht="18" customHeight="1" thickBot="1" x14ac:dyDescent="0.3">
      <c r="A21" s="246" t="s">
        <v>27</v>
      </c>
      <c r="B21" s="247"/>
      <c r="C21" s="153"/>
      <c r="D21" s="154"/>
      <c r="E21" s="155"/>
      <c r="F21" s="195" t="str">
        <f>IFERROR((((COUNTIF('Elève (4ème4)'!C21:E21,"A"))*4)+((COUNTIF('Elève (4ème4)'!C21:E21,"B"))*3)+((COUNTIF('Elève (4ème4)'!C21:E21,"C"))*2)+((COUNTIF('Elève (4ème4)'!C21:E21,"D"))*1))/(COUNTA(C21:E21)),"")</f>
        <v/>
      </c>
      <c r="G21" s="196" t="str">
        <f t="shared" si="0"/>
        <v/>
      </c>
      <c r="H21" s="153"/>
      <c r="I21" s="154"/>
      <c r="J21" s="155"/>
      <c r="K21" s="155"/>
      <c r="L21" s="195" t="str">
        <f>IFERROR((((COUNTIF('Elève (4ème4)'!H21:K21,"A"))*4)+((COUNTIF('Elève (4ème4)'!H21:K21,"B"))*3)+((COUNTIF('Elève (4ème4)'!H21:K21,"C"))*2)+((COUNTIF('Elève (4ème4)'!H21:K21,"D"))*1))/(COUNTA(H21:K21)),"")</f>
        <v/>
      </c>
      <c r="M21" s="196" t="str">
        <f t="shared" si="1"/>
        <v/>
      </c>
      <c r="N21" s="153"/>
      <c r="O21" s="154"/>
      <c r="P21" s="155"/>
      <c r="Q21" s="155"/>
      <c r="R21" s="195" t="str">
        <f>IFERROR((((COUNTIF('Elève (4ème4)'!N21:Q21,"A"))*4)+((COUNTIF('Elève (4ème4)'!N21:Q21,"B"))*3)+((COUNTIF('Elève (4ème4)'!N21:Q21,"C"))*2)+((COUNTIF('Elève (4ème4)'!N21:Q21,"D"))*1))/(COUNTA(N21:Q21)),"")</f>
        <v/>
      </c>
      <c r="S21" s="196" t="str">
        <f t="shared" si="2"/>
        <v/>
      </c>
      <c r="T21" s="195" t="str">
        <f>IF(COUNT(F21,L21,R21)=0,"",SUM(F21,L21,R21)/COUNT(F21,L21,R21))</f>
        <v/>
      </c>
      <c r="U21" s="220" t="str">
        <f t="shared" si="3"/>
        <v/>
      </c>
      <c r="V21" s="153"/>
      <c r="W21" s="154"/>
      <c r="X21" s="155"/>
      <c r="Y21" s="195" t="str">
        <f>IFERROR((((COUNTIF('Elève (4ème4)'!V21:X21,"A"))*4)+((COUNTIF('Elève (4ème4)'!V21:X21,"B"))*3)+((COUNTIF('Elève (4ème4)'!V21:X21,"C"))*2)+((COUNTIF('Elève (4ème4)'!V21:X21,"D"))*1))/(COUNTA(V21:X21)),"")</f>
        <v/>
      </c>
      <c r="Z21" s="196" t="str">
        <f t="shared" si="4"/>
        <v/>
      </c>
      <c r="AA21" s="153"/>
      <c r="AB21" s="154"/>
      <c r="AC21" s="155"/>
      <c r="AD21" s="155"/>
      <c r="AE21" s="195" t="str">
        <f>IFERROR((((COUNTIF('Elève (4ème4)'!AA21:AD21,"A"))*4)+((COUNTIF('Elève (4ème4)'!AA21:AD21,"B"))*3)+((COUNTIF('Elève (4ème4)'!AA21:AD21,"C"))*2)+((COUNTIF('Elève (4ème4)'!AA21:AD21,"D"))*1))/(COUNTA(AA21:AD21)),"")</f>
        <v/>
      </c>
      <c r="AF21" s="196" t="str">
        <f t="shared" si="5"/>
        <v/>
      </c>
      <c r="AG21" s="153"/>
      <c r="AH21" s="154"/>
      <c r="AI21" s="155"/>
      <c r="AJ21" s="159"/>
      <c r="AK21" s="195" t="str">
        <f>IFERROR((((COUNTIF('Elève (4ème4)'!AG21:AJ21,"A"))*4)+((COUNTIF('Elève (4ème4)'!AG21:AJ21,"B"))*3)+((COUNTIF('Elève (4ème4)'!AG21:AJ21,"C"))*2)+((COUNTIF('Elève (4ème4)'!AG21:AJ21,"D"))*1))/(COUNTA(AG21:AJ21)),"")</f>
        <v/>
      </c>
      <c r="AL21" s="196" t="str">
        <f t="shared" si="6"/>
        <v/>
      </c>
      <c r="AM21" s="195" t="str">
        <f>IF(COUNT(Y21,AE21,AK21)=0,"",SUM(Y21,AE21,AK21)/COUNT(Y21,AE21,AK21))</f>
        <v/>
      </c>
      <c r="AN21" s="220" t="str">
        <f t="shared" si="7"/>
        <v/>
      </c>
      <c r="AO21" s="153"/>
      <c r="AP21" s="154"/>
      <c r="AQ21" s="155"/>
      <c r="AR21" s="195" t="str">
        <f>IFERROR((((COUNTIF('Elève (4ème4)'!AO21:AQ21,"A"))*4)+((COUNTIF('Elève (4ème4)'!AO21:AQ21,"B"))*3)+((COUNTIF('Elève (4ème4)'!AO21:AQ21,"C"))*2)+((COUNTIF('Elève (4ème4)'!AO21:AQ21,"D"))*1))/(COUNTA(AO21:AQ21)),"")</f>
        <v/>
      </c>
      <c r="AS21" s="196" t="str">
        <f t="shared" si="8"/>
        <v/>
      </c>
      <c r="AT21" s="153"/>
      <c r="AU21" s="154"/>
      <c r="AV21" s="155"/>
      <c r="AW21" s="155"/>
      <c r="AX21" s="195" t="str">
        <f>IFERROR((((COUNTIF('Elève (4ème4)'!AT21:AW21,"A"))*4)+((COUNTIF('Elève (4ème4)'!AT21:AW21,"B"))*3)+((COUNTIF('Elève (4ème4)'!AT21:AW21,"C"))*2)+((COUNTIF('Elève (4ème4)'!AT21:AW21,"D"))*1))/(COUNTA(AT21:AW21)),"")</f>
        <v/>
      </c>
      <c r="AY21" s="196" t="str">
        <f t="shared" si="9"/>
        <v/>
      </c>
      <c r="AZ21" s="153"/>
      <c r="BA21" s="154"/>
      <c r="BB21" s="155"/>
      <c r="BC21" s="159"/>
      <c r="BD21" s="195" t="str">
        <f>IFERROR((((COUNTIF('Elève (4ème4)'!AZ21:BC21,"A"))*4)+((COUNTIF('Elève (4ème4)'!AZ21:BC21,"B"))*3)+((COUNTIF('Elève (4ème4)'!AZ21:BC21,"C"))*2)+((COUNTIF('Elève (4ème4)'!AZ21:BC21,"D"))*1))/(COUNTA(AZ21:BC21)),"")</f>
        <v/>
      </c>
      <c r="BE21" s="196" t="str">
        <f t="shared" si="10"/>
        <v/>
      </c>
      <c r="BF21" s="195" t="str">
        <f>IF(COUNT(AR21,AX21,BD21)=0,"",SUM(AR21,AX21,BD21)/COUNT(AR21,AX21,BD21))</f>
        <v/>
      </c>
      <c r="BG21" s="220" t="str">
        <f t="shared" si="11"/>
        <v/>
      </c>
      <c r="BH21" s="153"/>
      <c r="BI21" s="154"/>
      <c r="BJ21" s="155"/>
      <c r="BK21" s="195" t="str">
        <f>IFERROR((((COUNTIF('Elève (4ème4)'!BH21:BJ21,"A"))*4)+((COUNTIF('Elève (4ème4)'!BH21:BJ21,"B"))*3)+((COUNTIF('Elève (4ème4)'!BH21:BJ21,"C"))*2)+((COUNTIF('Elève (4ème4)'!BH21:BJ21,"D"))*1))/(COUNTA(BH21:BJ21)),"")</f>
        <v/>
      </c>
      <c r="BL21" s="196" t="str">
        <f t="shared" si="12"/>
        <v/>
      </c>
      <c r="BM21" s="153"/>
      <c r="BN21" s="154"/>
      <c r="BO21" s="155"/>
      <c r="BP21" s="155"/>
      <c r="BQ21" s="195" t="str">
        <f>IFERROR((((COUNTIF('Elève (4ème4)'!BM21:BP21,"A"))*4)+((COUNTIF('Elève (4ème4)'!BM21:BP21,"B"))*3)+((COUNTIF('Elève (4ème4)'!BM21:BP21,"C"))*2)+((COUNTIF('Elève (4ème4)'!BM21:BP21,"D"))*1))/(COUNTA(BM21:BP21)),"")</f>
        <v/>
      </c>
      <c r="BR21" s="196" t="str">
        <f t="shared" si="13"/>
        <v/>
      </c>
      <c r="BS21" s="153"/>
      <c r="BT21" s="154"/>
      <c r="BU21" s="155"/>
      <c r="BV21" s="159"/>
      <c r="BW21" s="195" t="str">
        <f>IFERROR((((COUNTIF('Elève (4ème4)'!BS21:BV21,"A"))*4)+((COUNTIF('Elève (4ème4)'!BS21:BV21,"B"))*3)+((COUNTIF('Elève (4ème4)'!BS21:BV21,"C"))*2)+((COUNTIF('Elève (4ème4)'!BS21:BV21,"D"))*1))/(COUNTA(BS21:BV21)),"")</f>
        <v/>
      </c>
      <c r="BX21" s="196" t="str">
        <f t="shared" si="14"/>
        <v/>
      </c>
      <c r="BY21" s="195" t="str">
        <f>IF(COUNT(BK21,BQ21,BW21)=0,"",SUM(BK21,BQ21,BW21)/COUNT(BK21,BQ21,BW21))</f>
        <v/>
      </c>
      <c r="BZ21" s="220" t="str">
        <f t="shared" si="15"/>
        <v/>
      </c>
      <c r="CA21" s="153"/>
      <c r="CB21" s="154"/>
      <c r="CC21" s="155"/>
      <c r="CD21" s="195" t="str">
        <f>IFERROR((((COUNTIF('Elève (4ème4)'!CA21:CC21,"A"))*4)+((COUNTIF('Elève (4ème4)'!CA21:CC21,"B"))*3)+((COUNTIF('Elève (4ème4)'!CA21:CC21,"C"))*2)+((COUNTIF('Elève (4ème4)'!CA21:CC21,"D"))*1))/(COUNTA(CA21:CC21)),"")</f>
        <v/>
      </c>
      <c r="CE21" s="196" t="str">
        <f t="shared" si="16"/>
        <v/>
      </c>
      <c r="CF21" s="153"/>
      <c r="CG21" s="154"/>
      <c r="CH21" s="155"/>
      <c r="CI21" s="155"/>
      <c r="CJ21" s="195" t="str">
        <f>IFERROR((((COUNTIF('Elève (4ème4)'!CF21:CI21,"A"))*4)+((COUNTIF('Elève (4ème4)'!CF21:CI21,"B"))*3)+((COUNTIF('Elève (4ème4)'!CF21:CI21,"C"))*2)+((COUNTIF('Elève (4ème4)'!CF21:CI21,"D"))*1))/(COUNTA(CF21:CI21)),"")</f>
        <v/>
      </c>
      <c r="CK21" s="196" t="str">
        <f t="shared" si="17"/>
        <v/>
      </c>
      <c r="CL21" s="153"/>
      <c r="CM21" s="154"/>
      <c r="CN21" s="155"/>
      <c r="CO21" s="159"/>
      <c r="CP21" s="195" t="str">
        <f>IFERROR((((COUNTIF('Elève (4ème4)'!CL21:CO21,"A"))*4)+((COUNTIF('Elève (4ème4)'!CL21:CO21,"B"))*3)+((COUNTIF('Elève (4ème4)'!CL21:CO21,"C"))*2)+((COUNTIF('Elève (4ème4)'!CL21:CO21,"D"))*1))/(COUNTA(CL21:CO21)),"")</f>
        <v/>
      </c>
      <c r="CQ21" s="196" t="str">
        <f t="shared" si="18"/>
        <v/>
      </c>
      <c r="CR21" s="195" t="str">
        <f>IF(COUNT(CD21,CJ21,CP21)=0,"",SUM(CD21,CJ21,CP21)/COUNT(CD21,CJ21,CP21))</f>
        <v/>
      </c>
      <c r="CS21" s="220" t="str">
        <f t="shared" si="19"/>
        <v/>
      </c>
      <c r="CT21" s="153"/>
      <c r="CU21" s="154"/>
      <c r="CV21" s="155"/>
      <c r="CW21" s="195" t="str">
        <f>IFERROR((((COUNTIF('Elève (4ème4)'!CT21:CV21,"A"))*4)+((COUNTIF('Elève (4ème4)'!CT21:CV21,"B"))*3)+((COUNTIF('Elève (4ème4)'!CT21:CV21,"C"))*2)+((COUNTIF('Elève (4ème4)'!CT21:CV21,"D"))*1))/(COUNTA(CT21:CV21)),"")</f>
        <v/>
      </c>
      <c r="CX21" s="196" t="str">
        <f t="shared" si="20"/>
        <v/>
      </c>
      <c r="CY21" s="153"/>
      <c r="CZ21" s="154"/>
      <c r="DA21" s="155"/>
      <c r="DB21" s="155"/>
      <c r="DC21" s="195" t="str">
        <f>IFERROR((((COUNTIF('Elève (4ème4)'!CY21:DB21,"A"))*4)+((COUNTIF('Elève (4ème4)'!CY21:DB21,"B"))*3)+((COUNTIF('Elève (4ème4)'!CY21:DB21,"C"))*2)+((COUNTIF('Elève (4ème4)'!CY21:DB21,"D"))*1))/(COUNTA(CY21:DB21)),"")</f>
        <v/>
      </c>
      <c r="DD21" s="196" t="str">
        <f t="shared" si="21"/>
        <v/>
      </c>
      <c r="DE21" s="153"/>
      <c r="DF21" s="154"/>
      <c r="DG21" s="155"/>
      <c r="DH21" s="159"/>
      <c r="DI21" s="195" t="str">
        <f>IFERROR((((COUNTIF('Elève (4ème4)'!DE21:DH21,"A"))*4)+((COUNTIF('Elève (4ème4)'!DE21:DH21,"B"))*3)+((COUNTIF('Elève (4ème4)'!DE21:DH21,"C"))*2)+((COUNTIF('Elève (4ème4)'!DE21:DH21,"D"))*1))/(COUNTA(DE21:DH21)),"")</f>
        <v/>
      </c>
      <c r="DJ21" s="196" t="str">
        <f t="shared" si="22"/>
        <v/>
      </c>
      <c r="DK21" s="195" t="str">
        <f>IF(COUNT(CW21,DC21,DI21)=0,"",SUM(CW21,DC21,DI21)/COUNT(CW21,DC21,DI21))</f>
        <v/>
      </c>
      <c r="DL21" s="220" t="str">
        <f t="shared" si="23"/>
        <v/>
      </c>
      <c r="DM21" s="153"/>
      <c r="DN21" s="154"/>
      <c r="DO21" s="155"/>
      <c r="DP21" s="195" t="str">
        <f>IFERROR((((COUNTIF('Elève (4ème4)'!DM21:DO21,"A"))*4)+((COUNTIF('Elève (4ème4)'!DM21:DO21,"B"))*3)+((COUNTIF('Elève (4ème4)'!DM21:DO21,"C"))*2)+((COUNTIF('Elève (4ème4)'!DM21:DO21,"D"))*1))/(COUNTA(DM21:DO21)),"")</f>
        <v/>
      </c>
      <c r="DQ21" s="196" t="str">
        <f t="shared" si="24"/>
        <v/>
      </c>
      <c r="DR21" s="153"/>
      <c r="DS21" s="154"/>
      <c r="DT21" s="155"/>
      <c r="DU21" s="155"/>
      <c r="DV21" s="195" t="str">
        <f>IFERROR((((COUNTIF('Elève (4ème4)'!DR21:DU21,"A"))*4)+((COUNTIF('Elève (4ème4)'!DR21:DU21,"B"))*3)+((COUNTIF('Elève (4ème4)'!DR21:DU21,"C"))*2)+((COUNTIF('Elève (4ème4)'!DR21:DU21,"D"))*1))/(COUNTA(DR21:DU21)),"")</f>
        <v/>
      </c>
      <c r="DW21" s="196" t="str">
        <f t="shared" si="25"/>
        <v/>
      </c>
      <c r="DX21" s="153"/>
      <c r="DY21" s="154"/>
      <c r="DZ21" s="155"/>
      <c r="EA21" s="159"/>
      <c r="EB21" s="195" t="str">
        <f>IFERROR((((COUNTIF('Elève (4ème4)'!DX21:EA21,"A"))*4)+((COUNTIF('Elève (4ème4)'!DX21:EA21,"B"))*3)+((COUNTIF('Elève (4ème4)'!DX21:EA21,"C"))*2)+((COUNTIF('Elève (4ème4)'!DX21:EA21,"D"))*1))/(COUNTA(DX21:EA21)),"")</f>
        <v/>
      </c>
      <c r="EC21" s="196" t="str">
        <f t="shared" si="26"/>
        <v/>
      </c>
      <c r="ED21" s="195" t="str">
        <f>IF(COUNT(DP21,DV21,EB21)=0,"",SUM(DP21,DV21,EB21)/COUNT(DP21,DV21,EB21))</f>
        <v/>
      </c>
      <c r="EE21" s="220" t="str">
        <f t="shared" si="27"/>
        <v/>
      </c>
      <c r="EF21" s="153"/>
      <c r="EG21" s="154"/>
      <c r="EH21" s="155"/>
      <c r="EI21" s="195" t="str">
        <f>IFERROR((((COUNTIF('Elève (4ème4)'!EF21:EH21,"A"))*4)+((COUNTIF('Elève (4ème4)'!EF21:EH21,"B"))*3)+((COUNTIF('Elève (4ème4)'!EF21:EH21,"C"))*2)+((COUNTIF('Elève (4ème4)'!EF21:EH21,"D"))*1))/(COUNTA(EF21:EH21)),"")</f>
        <v/>
      </c>
      <c r="EJ21" s="196" t="str">
        <f t="shared" si="28"/>
        <v/>
      </c>
      <c r="EK21" s="153"/>
      <c r="EL21" s="154"/>
      <c r="EM21" s="155"/>
      <c r="EN21" s="155"/>
      <c r="EO21" s="195" t="str">
        <f>IFERROR((((COUNTIF('Elève (4ème4)'!EK21:EN21,"A"))*4)+((COUNTIF('Elève (4ème4)'!EK21:EN21,"B"))*3)+((COUNTIF('Elève (4ème4)'!EK21:EN21,"C"))*2)+((COUNTIF('Elève (4ème4)'!EK21:EN21,"D"))*1))/(COUNTA(EK21:EN21)),"")</f>
        <v/>
      </c>
      <c r="EP21" s="196" t="str">
        <f t="shared" si="29"/>
        <v/>
      </c>
      <c r="EQ21" s="153"/>
      <c r="ER21" s="154"/>
      <c r="ES21" s="155"/>
      <c r="ET21" s="159"/>
      <c r="EU21" s="195" t="str">
        <f>IFERROR((((COUNTIF('Elève (4ème4)'!EQ21:ET21,"A"))*4)+((COUNTIF('Elève (4ème4)'!EQ21:ET21,"B"))*3)+((COUNTIF('Elève (4ème4)'!EQ21:ET21,"C"))*2)+((COUNTIF('Elève (4ème4)'!EQ21:ET21,"D"))*1))/(COUNTA(EQ21:ET21)),"")</f>
        <v/>
      </c>
      <c r="EV21" s="196" t="str">
        <f t="shared" si="30"/>
        <v/>
      </c>
      <c r="EW21" s="195" t="str">
        <f>IF(COUNT(EI21,EO21,EU21)=0,"",SUM(EI21,EO21,EU21)/COUNT(EI21,EO21,EU21))</f>
        <v/>
      </c>
      <c r="EX21" s="220" t="str">
        <f t="shared" si="31"/>
        <v/>
      </c>
      <c r="EY21" s="153"/>
      <c r="EZ21" s="154"/>
      <c r="FA21" s="155"/>
      <c r="FB21" s="195" t="str">
        <f>IFERROR((((COUNTIF('Elève (4ème4)'!EY21:FA21,"A"))*4)+((COUNTIF('Elève (4ème4)'!EY21:FA21,"B"))*3)+((COUNTIF('Elève (4ème4)'!EY21:FA21,"C"))*2)+((COUNTIF('Elève (4ème4)'!EY21:FA21,"D"))*1))/(COUNTA(EY21:FA21)),"")</f>
        <v/>
      </c>
      <c r="FC21" s="196" t="str">
        <f t="shared" si="32"/>
        <v/>
      </c>
      <c r="FD21" s="153"/>
      <c r="FE21" s="154"/>
      <c r="FF21" s="155"/>
      <c r="FG21" s="155"/>
      <c r="FH21" s="195" t="str">
        <f>IFERROR((((COUNTIF('Elève (4ème4)'!FD21:FG21,"A"))*4)+((COUNTIF('Elève (4ème4)'!FD21:FG21,"B"))*3)+((COUNTIF('Elève (4ème4)'!FD21:FG21,"C"))*2)+((COUNTIF('Elève (4ème4)'!FD21:FG21,"D"))*1))/(COUNTA(FD21:FG21)),"")</f>
        <v/>
      </c>
      <c r="FI21" s="196" t="str">
        <f t="shared" si="33"/>
        <v/>
      </c>
      <c r="FJ21" s="153"/>
      <c r="FK21" s="154"/>
      <c r="FL21" s="155"/>
      <c r="FM21" s="159"/>
      <c r="FN21" s="195" t="str">
        <f>IFERROR((((COUNTIF('Elève (4ème4)'!FJ21:FM21,"A"))*4)+((COUNTIF('Elève (4ème4)'!FJ21:FM21,"B"))*3)+((COUNTIF('Elève (4ème4)'!FJ21:FM21,"C"))*2)+((COUNTIF('Elève (4ème4)'!FJ21:FM21,"D"))*1))/(COUNTA(FJ21:FM21)),"")</f>
        <v/>
      </c>
      <c r="FO21" s="196" t="str">
        <f t="shared" si="34"/>
        <v/>
      </c>
      <c r="FP21" s="195" t="str">
        <f>IF(COUNT(FB21,FH21,FN21)=0,"",SUM(FB21,FH21,FN21)/COUNT(FB21,FH21,FN21))</f>
        <v/>
      </c>
      <c r="FQ21" s="220" t="str">
        <f t="shared" si="35"/>
        <v/>
      </c>
      <c r="FR21" s="153"/>
      <c r="FS21" s="154"/>
      <c r="FT21" s="155"/>
      <c r="FU21" s="195" t="str">
        <f>IFERROR((((COUNTIF('Elève (4ème4)'!FR21:FT21,"A"))*4)+((COUNTIF('Elève (4ème4)'!FR21:FT21,"B"))*3)+((COUNTIF('Elève (4ème4)'!FR21:FT21,"C"))*2)+((COUNTIF('Elève (4ème4)'!FR21:FT21,"D"))*1))/(COUNTA(FR21:FT21)),"")</f>
        <v/>
      </c>
      <c r="FV21" s="196" t="str">
        <f t="shared" si="36"/>
        <v/>
      </c>
      <c r="FW21" s="153"/>
      <c r="FX21" s="154"/>
      <c r="FY21" s="155"/>
      <c r="FZ21" s="155"/>
      <c r="GA21" s="195" t="str">
        <f>IFERROR((((COUNTIF('Elève (4ème4)'!FW21:FZ21,"A"))*4)+((COUNTIF('Elève (4ème4)'!FW21:FZ21,"B"))*3)+((COUNTIF('Elève (4ème4)'!FW21:FZ21,"C"))*2)+((COUNTIF('Elève (4ème4)'!FW21:FZ21,"D"))*1))/(COUNTA(FW21:FZ21)),"")</f>
        <v/>
      </c>
      <c r="GB21" s="196" t="str">
        <f t="shared" si="37"/>
        <v/>
      </c>
      <c r="GC21" s="153"/>
      <c r="GD21" s="154"/>
      <c r="GE21" s="155"/>
      <c r="GF21" s="159"/>
      <c r="GG21" s="195" t="str">
        <f>IFERROR((((COUNTIF('Elève (4ème4)'!GC21:GF21,"A"))*4)+((COUNTIF('Elève (4ème4)'!GC21:GF21,"B"))*3)+((COUNTIF('Elève (4ème4)'!GC21:GF21,"C"))*2)+((COUNTIF('Elève (4ème4)'!GC21:GF21,"D"))*1))/(COUNTA(GC21:GF21)),"")</f>
        <v/>
      </c>
      <c r="GH21" s="196" t="str">
        <f t="shared" si="38"/>
        <v/>
      </c>
      <c r="GI21" s="195" t="str">
        <f>IF(COUNT(FU21,GA21,GG21)=0,"",SUM(FU21,GA21,GG21)/COUNT(FU21,GA21,GG21))</f>
        <v/>
      </c>
      <c r="GJ21" s="220" t="str">
        <f t="shared" si="39"/>
        <v/>
      </c>
      <c r="GK21" s="153"/>
      <c r="GL21" s="154"/>
      <c r="GM21" s="155"/>
      <c r="GN21" s="195" t="str">
        <f>IFERROR((((COUNTIF('Elève (4ème4)'!GK21:GM21,"A"))*4)+((COUNTIF('Elève (4ème4)'!GK21:GM21,"B"))*3)+((COUNTIF('Elève (4ème4)'!GK21:GM21,"C"))*2)+((COUNTIF('Elève (4ème4)'!GK21:GM21,"D"))*1))/(COUNTA(GK21:GM21)),"")</f>
        <v/>
      </c>
      <c r="GO21" s="196" t="str">
        <f t="shared" si="40"/>
        <v/>
      </c>
      <c r="GP21" s="153"/>
      <c r="GQ21" s="154"/>
      <c r="GR21" s="155"/>
      <c r="GS21" s="155"/>
      <c r="GT21" s="195" t="str">
        <f>IFERROR((((COUNTIF('Elève (4ème4)'!GP21:GS21,"A"))*4)+((COUNTIF('Elève (4ème4)'!GP21:GS21,"B"))*3)+((COUNTIF('Elève (4ème4)'!GP21:GS21,"C"))*2)+((COUNTIF('Elève (4ème4)'!GP21:GS21,"D"))*1))/(COUNTA(GP21:GS21)),"")</f>
        <v/>
      </c>
      <c r="GU21" s="196" t="str">
        <f t="shared" si="41"/>
        <v/>
      </c>
      <c r="GV21" s="153"/>
      <c r="GW21" s="154"/>
      <c r="GX21" s="155"/>
      <c r="GY21" s="159"/>
      <c r="GZ21" s="195" t="str">
        <f>IFERROR((((COUNTIF('Elève (4ème4)'!GV21:GY21,"A"))*4)+((COUNTIF('Elève (4ème4)'!GV21:GY21,"B"))*3)+((COUNTIF('Elève (4ème4)'!GV21:GY21,"C"))*2)+((COUNTIF('Elève (4ème4)'!GV21:GY21,"D"))*1))/(COUNTA(GV21:GY21)),"")</f>
        <v/>
      </c>
      <c r="HA21" s="196" t="str">
        <f t="shared" si="42"/>
        <v/>
      </c>
      <c r="HB21" s="195" t="str">
        <f>IF(COUNT(GN21,GT21,GZ21)=0,"",SUM(GN21,GT21,GZ21)/COUNT(GN21,GT21,GZ21))</f>
        <v/>
      </c>
      <c r="HC21" s="220" t="str">
        <f t="shared" si="43"/>
        <v/>
      </c>
      <c r="HD21" s="153"/>
      <c r="HE21" s="154"/>
      <c r="HF21" s="155"/>
      <c r="HG21" s="195" t="str">
        <f>IFERROR((((COUNTIF('Elève (4ème4)'!HD21:HF21,"A"))*4)+((COUNTIF('Elève (4ème4)'!HD21:HF21,"B"))*3)+((COUNTIF('Elève (4ème4)'!HD21:HF21,"C"))*2)+((COUNTIF('Elève (4ème4)'!HD21:HF21,"D"))*1))/(COUNTA(HD21:HF21)),"")</f>
        <v/>
      </c>
      <c r="HH21" s="196" t="str">
        <f t="shared" si="44"/>
        <v/>
      </c>
      <c r="HI21" s="153"/>
      <c r="HJ21" s="154"/>
      <c r="HK21" s="155"/>
      <c r="HL21" s="155"/>
      <c r="HM21" s="195" t="str">
        <f>IFERROR((((COUNTIF('Elève (4ème4)'!HI21:HL21,"A"))*4)+((COUNTIF('Elève (4ème4)'!HI21:HL21,"B"))*3)+((COUNTIF('Elève (4ème4)'!HI21:HL21,"C"))*2)+((COUNTIF('Elève (4ème4)'!HI21:HL21,"D"))*1))/(COUNTA(HI21:HL21)),"")</f>
        <v/>
      </c>
      <c r="HN21" s="196" t="str">
        <f t="shared" si="45"/>
        <v/>
      </c>
      <c r="HO21" s="153"/>
      <c r="HP21" s="154"/>
      <c r="HQ21" s="155"/>
      <c r="HR21" s="159"/>
      <c r="HS21" s="195" t="str">
        <f>IFERROR((((COUNTIF('Elève (4ème4)'!HO21:HR21,"A"))*4)+((COUNTIF('Elève (4ème4)'!HO21:HR21,"B"))*3)+((COUNTIF('Elève (4ème4)'!HO21:HR21,"C"))*2)+((COUNTIF('Elève (4ème4)'!HO21:HR21,"D"))*1))/(COUNTA(HO21:HR21)),"")</f>
        <v/>
      </c>
      <c r="HT21" s="196" t="str">
        <f t="shared" si="46"/>
        <v/>
      </c>
      <c r="HU21" s="195" t="str">
        <f>IF(COUNT(HG21,HM21,HS21)=0,"",SUM(HG21,HM21,HS21)/COUNT(HG21,HM21,HS21))</f>
        <v/>
      </c>
      <c r="HV21" s="220" t="str">
        <f t="shared" si="47"/>
        <v/>
      </c>
      <c r="HW21" s="153"/>
      <c r="HX21" s="154"/>
      <c r="HY21" s="155"/>
      <c r="HZ21" s="195" t="str">
        <f>IFERROR((((COUNTIF('Elève (4ème4)'!HW21:HY21,"A"))*4)+((COUNTIF('Elève (4ème4)'!HW21:HY21,"B"))*3)+((COUNTIF('Elève (4ème4)'!HW21:HY21,"C"))*2)+((COUNTIF('Elève (4ème4)'!HW21:HY21,"D"))*1))/(COUNTA(HW21:HY21)),"")</f>
        <v/>
      </c>
      <c r="IA21" s="196" t="str">
        <f t="shared" si="48"/>
        <v/>
      </c>
      <c r="IB21" s="153"/>
      <c r="IC21" s="154"/>
      <c r="ID21" s="155"/>
      <c r="IE21" s="155"/>
      <c r="IF21" s="195" t="str">
        <f>IFERROR((((COUNTIF('Elève (4ème4)'!IB21:IE21,"A"))*4)+((COUNTIF('Elève (4ème4)'!IB21:IE21,"B"))*3)+((COUNTIF('Elève (4ème4)'!IB21:IE21,"C"))*2)+((COUNTIF('Elève (4ème4)'!IB21:IE21,"D"))*1))/(COUNTA(IB21:IE21)),"")</f>
        <v/>
      </c>
      <c r="IG21" s="196" t="str">
        <f t="shared" si="49"/>
        <v/>
      </c>
      <c r="IH21" s="153"/>
      <c r="II21" s="154"/>
      <c r="IJ21" s="155"/>
      <c r="IK21" s="159"/>
      <c r="IL21" s="195" t="str">
        <f>IFERROR((((COUNTIF('Elève (4ème4)'!IH21:IK21,"A"))*4)+((COUNTIF('Elève (4ème4)'!IH21:IK21,"B"))*3)+((COUNTIF('Elève (4ème4)'!IH21:IK21,"C"))*2)+((COUNTIF('Elève (4ème4)'!IH21:IK21,"D"))*1))/(COUNTA(IH21:IK21)),"")</f>
        <v/>
      </c>
      <c r="IM21" s="196" t="str">
        <f t="shared" si="50"/>
        <v/>
      </c>
      <c r="IN21" s="195" t="str">
        <f>IF(COUNT(HZ21,IF21,IL21)=0,"",SUM(HZ21,IF21,IL21)/COUNT(HZ21,IF21,IL21))</f>
        <v/>
      </c>
      <c r="IO21" s="220" t="str">
        <f t="shared" si="51"/>
        <v/>
      </c>
      <c r="IP21" s="153"/>
      <c r="IQ21" s="154"/>
      <c r="IR21" s="155"/>
      <c r="IS21" s="195" t="str">
        <f>IFERROR((((COUNTIF('Elève (4ème4)'!IP21:IR21,"A"))*4)+((COUNTIF('Elève (4ème4)'!IP21:IR21,"B"))*3)+((COUNTIF('Elève (4ème4)'!IP21:IR21,"C"))*2)+((COUNTIF('Elève (4ème4)'!IP21:IR21,"D"))*1))/(COUNTA(IP21:IR21)),"")</f>
        <v/>
      </c>
      <c r="IT21" s="196" t="str">
        <f t="shared" si="52"/>
        <v/>
      </c>
      <c r="IU21" s="153"/>
      <c r="IV21" s="154"/>
      <c r="IW21" s="155"/>
      <c r="IX21" s="155"/>
      <c r="IY21" s="195" t="str">
        <f>IFERROR((((COUNTIF('Elève (4ème4)'!IU21:IX21,"A"))*4)+((COUNTIF('Elève (4ème4)'!IU21:IX21,"B"))*3)+((COUNTIF('Elève (4ème4)'!IU21:IX21,"C"))*2)+((COUNTIF('Elève (4ème4)'!IU21:IX21,"D"))*1))/(COUNTA(IU21:IX21)),"")</f>
        <v/>
      </c>
      <c r="IZ21" s="196" t="str">
        <f t="shared" si="53"/>
        <v/>
      </c>
      <c r="JA21" s="153"/>
      <c r="JB21" s="154"/>
      <c r="JC21" s="155"/>
      <c r="JD21" s="159"/>
      <c r="JE21" s="195" t="str">
        <f>IFERROR((((COUNTIF('Elève (4ème4)'!JA21:JD21,"A"))*4)+((COUNTIF('Elève (4ème4)'!JA21:JD21,"B"))*3)+((COUNTIF('Elève (4ème4)'!JA21:JD21,"C"))*2)+((COUNTIF('Elève (4ème4)'!JA21:JD21,"D"))*1))/(COUNTA(JA21:JD21)),"")</f>
        <v/>
      </c>
      <c r="JF21" s="196" t="str">
        <f t="shared" si="54"/>
        <v/>
      </c>
      <c r="JG21" s="195" t="str">
        <f>IF(COUNT(IS21,IY21,JE21)=0,"",SUM(IS21,IY21,JE21)/COUNT(IS21,IY21,JE21))</f>
        <v/>
      </c>
      <c r="JH21" s="220" t="str">
        <f t="shared" si="55"/>
        <v/>
      </c>
      <c r="JI21" s="153"/>
      <c r="JJ21" s="154"/>
      <c r="JK21" s="155"/>
      <c r="JL21" s="195" t="str">
        <f>IFERROR((((COUNTIF('Elève (4ème4)'!JI21:JK21,"A"))*4)+((COUNTIF('Elève (4ème4)'!JI21:JK21,"B"))*3)+((COUNTIF('Elève (4ème4)'!JI21:JK21,"C"))*2)+((COUNTIF('Elève (4ème4)'!JI21:JK21,"D"))*1))/(COUNTA(JI21:JK21)),"")</f>
        <v/>
      </c>
      <c r="JM21" s="196" t="str">
        <f t="shared" si="56"/>
        <v/>
      </c>
      <c r="JN21" s="153"/>
      <c r="JO21" s="154"/>
      <c r="JP21" s="155"/>
      <c r="JQ21" s="155"/>
      <c r="JR21" s="195" t="str">
        <f>IFERROR((((COUNTIF('Elève (4ème4)'!JN21:JQ21,"A"))*4)+((COUNTIF('Elève (4ème4)'!JN21:JQ21,"B"))*3)+((COUNTIF('Elève (4ème4)'!JN21:JQ21,"C"))*2)+((COUNTIF('Elève (4ème4)'!JN21:JQ21,"D"))*1))/(COUNTA(JN21:JQ21)),"")</f>
        <v/>
      </c>
      <c r="JS21" s="196" t="str">
        <f t="shared" si="57"/>
        <v/>
      </c>
      <c r="JT21" s="153"/>
      <c r="JU21" s="154"/>
      <c r="JV21" s="155"/>
      <c r="JW21" s="159"/>
      <c r="JX21" s="195" t="str">
        <f>IFERROR((((COUNTIF('Elève (4ème4)'!JT21:JW21,"A"))*4)+((COUNTIF('Elève (4ème4)'!JT21:JW21,"B"))*3)+((COUNTIF('Elève (4ème4)'!JT21:JW21,"C"))*2)+((COUNTIF('Elève (4ème4)'!JT21:JW21,"D"))*1))/(COUNTA(JT21:JW21)),"")</f>
        <v/>
      </c>
      <c r="JY21" s="196" t="str">
        <f t="shared" si="58"/>
        <v/>
      </c>
      <c r="JZ21" s="195" t="str">
        <f>IF(COUNT(JL21,JR21,JX21)=0,"",SUM(JL21,JR21,JX21)/COUNT(JL21,JR21,JX21))</f>
        <v/>
      </c>
      <c r="KA21" s="220" t="str">
        <f t="shared" si="59"/>
        <v/>
      </c>
      <c r="KB21" s="153"/>
      <c r="KC21" s="154"/>
      <c r="KD21" s="155"/>
      <c r="KE21" s="195" t="str">
        <f>IFERROR((((COUNTIF('Elève (4ème4)'!KB21:KD21,"A"))*4)+((COUNTIF('Elève (4ème4)'!KB21:KD21,"B"))*3)+((COUNTIF('Elève (4ème4)'!KB21:KD21,"C"))*2)+((COUNTIF('Elève (4ème4)'!KB21:KD21,"D"))*1))/(COUNTA(KB21:KD21)),"")</f>
        <v/>
      </c>
      <c r="KF21" s="196" t="str">
        <f t="shared" si="60"/>
        <v/>
      </c>
      <c r="KG21" s="153"/>
      <c r="KH21" s="154"/>
      <c r="KI21" s="155"/>
      <c r="KJ21" s="155"/>
      <c r="KK21" s="195" t="str">
        <f>IFERROR((((COUNTIF('Elève (4ème4)'!KG21:KJ21,"A"))*4)+((COUNTIF('Elève (4ème4)'!KG21:KJ21,"B"))*3)+((COUNTIF('Elève (4ème4)'!KG21:KJ21,"C"))*2)+((COUNTIF('Elève (4ème4)'!KG21:KJ21,"D"))*1))/(COUNTA(KG21:KJ21)),"")</f>
        <v/>
      </c>
      <c r="KL21" s="196" t="str">
        <f t="shared" si="61"/>
        <v/>
      </c>
      <c r="KM21" s="153"/>
      <c r="KN21" s="154"/>
      <c r="KO21" s="155"/>
      <c r="KP21" s="159"/>
      <c r="KQ21" s="195" t="str">
        <f>IFERROR((((COUNTIF('Elève (4ème4)'!KM21:KP21,"A"))*4)+((COUNTIF('Elève (4ème4)'!KM21:KP21,"B"))*3)+((COUNTIF('Elève (4ème4)'!KM21:KP21,"C"))*2)+((COUNTIF('Elève (4ème4)'!KM21:KP21,"D"))*1))/(COUNTA(KM21:KP21)),"")</f>
        <v/>
      </c>
      <c r="KR21" s="196" t="str">
        <f t="shared" si="62"/>
        <v/>
      </c>
      <c r="KS21" s="195" t="str">
        <f>IF(COUNT(KE21,KK21,KQ21)=0,"",SUM(KE21,KK21,KQ21)/COUNT(KE21,KK21,KQ21))</f>
        <v/>
      </c>
      <c r="KT21" s="220" t="str">
        <f t="shared" si="63"/>
        <v/>
      </c>
      <c r="KU21" s="153"/>
      <c r="KV21" s="154"/>
      <c r="KW21" s="155"/>
      <c r="KX21" s="195" t="str">
        <f>IFERROR((((COUNTIF('Elève (4ème4)'!KU21:KW21,"A"))*4)+((COUNTIF('Elève (4ème4)'!KU21:KW21,"B"))*3)+((COUNTIF('Elève (4ème4)'!KU21:KW21,"C"))*2)+((COUNTIF('Elève (4ème4)'!KU21:KW21,"D"))*1))/(COUNTA(KU21:KW21)),"")</f>
        <v/>
      </c>
      <c r="KY21" s="196" t="str">
        <f t="shared" si="64"/>
        <v/>
      </c>
      <c r="KZ21" s="153"/>
      <c r="LA21" s="154"/>
      <c r="LB21" s="155"/>
      <c r="LC21" s="155"/>
      <c r="LD21" s="195" t="str">
        <f>IFERROR((((COUNTIF('Elève (4ème4)'!KZ21:LC21,"A"))*4)+((COUNTIF('Elève (4ème4)'!KZ21:LC21,"B"))*3)+((COUNTIF('Elève (4ème4)'!KZ21:LC21,"C"))*2)+((COUNTIF('Elève (4ème4)'!KZ21:LC21,"D"))*1))/(COUNTA(KZ21:LC21)),"")</f>
        <v/>
      </c>
      <c r="LE21" s="196" t="str">
        <f t="shared" si="65"/>
        <v/>
      </c>
      <c r="LF21" s="153"/>
      <c r="LG21" s="154"/>
      <c r="LH21" s="155"/>
      <c r="LI21" s="159"/>
      <c r="LJ21" s="195" t="str">
        <f>IFERROR((((COUNTIF('Elève (4ème4)'!LF21:LI21,"A"))*4)+((COUNTIF('Elève (4ème4)'!LF21:LI21,"B"))*3)+((COUNTIF('Elève (4ème4)'!LF21:LI21,"C"))*2)+((COUNTIF('Elève (4ème4)'!LF21:LI21,"D"))*1))/(COUNTA(LF21:LI21)),"")</f>
        <v/>
      </c>
      <c r="LK21" s="196" t="str">
        <f t="shared" si="66"/>
        <v/>
      </c>
      <c r="LL21" s="195" t="str">
        <f>IF(COUNT(KX21,LD21,LJ21)=0,"",SUM(KX21,LD21,LJ21)/COUNT(KX21,LD21,LJ21))</f>
        <v/>
      </c>
      <c r="LM21" s="220" t="str">
        <f t="shared" si="67"/>
        <v/>
      </c>
      <c r="LN21" s="153"/>
      <c r="LO21" s="154"/>
      <c r="LP21" s="155"/>
      <c r="LQ21" s="195" t="str">
        <f>IFERROR((((COUNTIF('Elève (4ème4)'!LN21:LP21,"A"))*4)+((COUNTIF('Elève (4ème4)'!LN21:LP21,"B"))*3)+((COUNTIF('Elève (4ème4)'!LN21:LP21,"C"))*2)+((COUNTIF('Elève (4ème4)'!LN21:LP21,"D"))*1))/(COUNTA(LN21:LP21)),"")</f>
        <v/>
      </c>
      <c r="LR21" s="196" t="str">
        <f t="shared" si="68"/>
        <v/>
      </c>
      <c r="LS21" s="153"/>
      <c r="LT21" s="154"/>
      <c r="LU21" s="155"/>
      <c r="LV21" s="155"/>
      <c r="LW21" s="195" t="str">
        <f>IFERROR((((COUNTIF('Elève (4ème4)'!LS21:LV21,"A"))*4)+((COUNTIF('Elève (4ème4)'!LS21:LV21,"B"))*3)+((COUNTIF('Elève (4ème4)'!LS21:LV21,"C"))*2)+((COUNTIF('Elève (4ème4)'!LS21:LV21,"D"))*1))/(COUNTA(LS21:LV21)),"")</f>
        <v/>
      </c>
      <c r="LX21" s="196" t="str">
        <f t="shared" si="69"/>
        <v/>
      </c>
      <c r="LY21" s="153"/>
      <c r="LZ21" s="154"/>
      <c r="MA21" s="155"/>
      <c r="MB21" s="159"/>
      <c r="MC21" s="195" t="str">
        <f>IFERROR((((COUNTIF('Elève (4ème4)'!LY21:MB21,"A"))*4)+((COUNTIF('Elève (4ème4)'!LY21:MB21,"B"))*3)+((COUNTIF('Elève (4ème4)'!LY21:MB21,"C"))*2)+((COUNTIF('Elève (4ème4)'!LY21:MB21,"D"))*1))/(COUNTA(LY21:MB21)),"")</f>
        <v/>
      </c>
      <c r="MD21" s="196" t="str">
        <f t="shared" si="70"/>
        <v/>
      </c>
      <c r="ME21" s="195" t="str">
        <f>IF(COUNT(LQ21,LW21,MC21)=0,"",SUM(LQ21,LW21,MC21)/COUNT(LQ21,LW21,MC21))</f>
        <v/>
      </c>
      <c r="MF21" s="220" t="str">
        <f t="shared" si="71"/>
        <v/>
      </c>
      <c r="MG21" s="153"/>
      <c r="MH21" s="154"/>
      <c r="MI21" s="155"/>
      <c r="MJ21" s="195" t="str">
        <f>IFERROR((((COUNTIF('Elève (4ème4)'!MG21:MI21,"A"))*4)+((COUNTIF('Elève (4ème4)'!MG21:MI21,"B"))*3)+((COUNTIF('Elève (4ème4)'!MG21:MI21,"C"))*2)+((COUNTIF('Elève (4ème4)'!MG21:MI21,"D"))*1))/(COUNTA(MG21:MI21)),"")</f>
        <v/>
      </c>
      <c r="MK21" s="196" t="str">
        <f t="shared" si="72"/>
        <v/>
      </c>
      <c r="ML21" s="153"/>
      <c r="MM21" s="154"/>
      <c r="MN21" s="155"/>
      <c r="MO21" s="155"/>
      <c r="MP21" s="195" t="str">
        <f>IFERROR((((COUNTIF('Elève (4ème4)'!ML21:MO21,"A"))*4)+((COUNTIF('Elève (4ème4)'!ML21:MO21,"B"))*3)+((COUNTIF('Elève (4ème4)'!ML21:MO21,"C"))*2)+((COUNTIF('Elève (4ème4)'!ML21:MO21,"D"))*1))/(COUNTA(ML21:MO21)),"")</f>
        <v/>
      </c>
      <c r="MQ21" s="196" t="str">
        <f t="shared" si="73"/>
        <v/>
      </c>
      <c r="MR21" s="153"/>
      <c r="MS21" s="154"/>
      <c r="MT21" s="155"/>
      <c r="MU21" s="159"/>
      <c r="MV21" s="195" t="str">
        <f>IFERROR((((COUNTIF('Elève (4ème4)'!MR21:MU21,"A"))*4)+((COUNTIF('Elève (4ème4)'!MR21:MU21,"B"))*3)+((COUNTIF('Elève (4ème4)'!MR21:MU21,"C"))*2)+((COUNTIF('Elève (4ème4)'!MR21:MU21,"D"))*1))/(COUNTA(MR21:MU21)),"")</f>
        <v/>
      </c>
      <c r="MW21" s="196" t="str">
        <f t="shared" si="74"/>
        <v/>
      </c>
      <c r="MX21" s="195" t="str">
        <f>IF(COUNT(MJ21,MP21,MV21)=0,"",SUM(MJ21,MP21,MV21)/COUNT(MJ21,MP21,MV21))</f>
        <v/>
      </c>
      <c r="MY21" s="220" t="str">
        <f t="shared" si="75"/>
        <v/>
      </c>
      <c r="MZ21" s="153"/>
      <c r="NA21" s="154"/>
      <c r="NB21" s="155"/>
      <c r="NC21" s="195" t="str">
        <f>IFERROR((((COUNTIF('Elève (4ème4)'!MZ21:NB21,"A"))*4)+((COUNTIF('Elève (4ème4)'!MZ21:NB21,"B"))*3)+((COUNTIF('Elève (4ème4)'!MZ21:NB21,"C"))*2)+((COUNTIF('Elève (4ème4)'!MZ21:NB21,"D"))*1))/(COUNTA(MZ21:NB21)),"")</f>
        <v/>
      </c>
      <c r="ND21" s="196" t="str">
        <f t="shared" si="76"/>
        <v/>
      </c>
      <c r="NE21" s="153"/>
      <c r="NF21" s="154"/>
      <c r="NG21" s="155"/>
      <c r="NH21" s="155"/>
      <c r="NI21" s="195" t="str">
        <f>IFERROR((((COUNTIF('Elève (4ème4)'!NE21:NH21,"A"))*4)+((COUNTIF('Elève (4ème4)'!NE21:NH21,"B"))*3)+((COUNTIF('Elève (4ème4)'!NE21:NH21,"C"))*2)+((COUNTIF('Elève (4ème4)'!NE21:NH21,"D"))*1))/(COUNTA(NE21:NH21)),"")</f>
        <v/>
      </c>
      <c r="NJ21" s="196" t="str">
        <f t="shared" si="77"/>
        <v/>
      </c>
      <c r="NK21" s="153"/>
      <c r="NL21" s="154"/>
      <c r="NM21" s="155"/>
      <c r="NN21" s="159"/>
      <c r="NO21" s="195" t="str">
        <f>IFERROR((((COUNTIF('Elève (4ème4)'!NK21:NN21,"A"))*4)+((COUNTIF('Elève (4ème4)'!NK21:NN21,"B"))*3)+((COUNTIF('Elève (4ème4)'!NK21:NN21,"C"))*2)+((COUNTIF('Elève (4ème4)'!NK21:NN21,"D"))*1))/(COUNTA(NK21:NN21)),"")</f>
        <v/>
      </c>
      <c r="NP21" s="196" t="str">
        <f t="shared" si="78"/>
        <v/>
      </c>
      <c r="NQ21" s="195" t="str">
        <f>IF(COUNT(NC21,NI21,NO21)=0,"",SUM(NC21,NI21,NO21)/COUNT(NC21,NI21,NO21))</f>
        <v/>
      </c>
      <c r="NR21" s="220" t="str">
        <f t="shared" si="79"/>
        <v/>
      </c>
      <c r="NS21" s="153"/>
      <c r="NT21" s="154"/>
      <c r="NU21" s="155"/>
      <c r="NV21" s="195" t="str">
        <f>IFERROR((((COUNTIF('Elève (4ème4)'!NS21:NU21,"A"))*4)+((COUNTIF('Elève (4ème4)'!NS21:NU21,"B"))*3)+((COUNTIF('Elève (4ème4)'!NS21:NU21,"C"))*2)+((COUNTIF('Elève (4ème4)'!NS21:NU21,"D"))*1))/(COUNTA(NS21:NU21)),"")</f>
        <v/>
      </c>
      <c r="NW21" s="196" t="str">
        <f t="shared" si="80"/>
        <v/>
      </c>
      <c r="NX21" s="153"/>
      <c r="NY21" s="154"/>
      <c r="NZ21" s="155"/>
      <c r="OA21" s="155"/>
      <c r="OB21" s="195" t="str">
        <f>IFERROR((((COUNTIF('Elève (4ème4)'!NX21:OA21,"A"))*4)+((COUNTIF('Elève (4ème4)'!NX21:OA21,"B"))*3)+((COUNTIF('Elève (4ème4)'!NX21:OA21,"C"))*2)+((COUNTIF('Elève (4ème4)'!NX21:OA21,"D"))*1))/(COUNTA(NX21:OA21)),"")</f>
        <v/>
      </c>
      <c r="OC21" s="196" t="str">
        <f t="shared" si="81"/>
        <v/>
      </c>
      <c r="OD21" s="153"/>
      <c r="OE21" s="154"/>
      <c r="OF21" s="155"/>
      <c r="OG21" s="159"/>
      <c r="OH21" s="195" t="str">
        <f>IFERROR((((COUNTIF('Elève (4ème4)'!OD21:OG21,"A"))*4)+((COUNTIF('Elève (4ème4)'!OD21:OG21,"B"))*3)+((COUNTIF('Elève (4ème4)'!OD21:OG21,"C"))*2)+((COUNTIF('Elève (4ème4)'!OD21:OG21,"D"))*1))/(COUNTA(OD21:OG21)),"")</f>
        <v/>
      </c>
      <c r="OI21" s="196" t="str">
        <f t="shared" si="82"/>
        <v/>
      </c>
      <c r="OJ21" s="195" t="str">
        <f>IF(COUNT(NV21,OB21,OH21)=0,"",SUM(NV21,OB21,OH21)/COUNT(NV21,OB21,OH21))</f>
        <v/>
      </c>
      <c r="OK21" s="220" t="str">
        <f t="shared" si="83"/>
        <v/>
      </c>
      <c r="OL21" s="153"/>
      <c r="OM21" s="154"/>
      <c r="ON21" s="155"/>
      <c r="OO21" s="195" t="str">
        <f>IFERROR((((COUNTIF('Elève (4ème4)'!OL21:ON21,"A"))*4)+((COUNTIF('Elève (4ème4)'!OL21:ON21,"B"))*3)+((COUNTIF('Elève (4ème4)'!OL21:ON21,"C"))*2)+((COUNTIF('Elève (4ème4)'!OL21:ON21,"D"))*1))/(COUNTA(OL21:ON21)),"")</f>
        <v/>
      </c>
      <c r="OP21" s="196" t="str">
        <f t="shared" si="84"/>
        <v/>
      </c>
      <c r="OQ21" s="153"/>
      <c r="OR21" s="154"/>
      <c r="OS21" s="155"/>
      <c r="OT21" s="155"/>
      <c r="OU21" s="195" t="str">
        <f>IFERROR((((COUNTIF('Elève (4ème4)'!OQ21:OT21,"A"))*4)+((COUNTIF('Elève (4ème4)'!OQ21:OT21,"B"))*3)+((COUNTIF('Elève (4ème4)'!OQ21:OT21,"C"))*2)+((COUNTIF('Elève (4ème4)'!OQ21:OT21,"D"))*1))/(COUNTA(OQ21:OT21)),"")</f>
        <v/>
      </c>
      <c r="OV21" s="196" t="str">
        <f t="shared" si="85"/>
        <v/>
      </c>
      <c r="OW21" s="153"/>
      <c r="OX21" s="154"/>
      <c r="OY21" s="155"/>
      <c r="OZ21" s="159"/>
      <c r="PA21" s="195" t="str">
        <f>IFERROR((((COUNTIF('Elève (4ème4)'!OW21:OZ21,"A"))*4)+((COUNTIF('Elève (4ème4)'!OW21:OZ21,"B"))*3)+((COUNTIF('Elève (4ème4)'!OW21:OZ21,"C"))*2)+((COUNTIF('Elève (4ème4)'!OW21:OZ21,"D"))*1))/(COUNTA(OW21:OZ21)),"")</f>
        <v/>
      </c>
      <c r="PB21" s="196" t="str">
        <f t="shared" si="86"/>
        <v/>
      </c>
      <c r="PC21" s="195" t="str">
        <f>IF(COUNT(OO21,OU21,PA21)=0,"",SUM(OO21,OU21,PA21)/COUNT(OO21,OU21,PA21))</f>
        <v/>
      </c>
      <c r="PD21" s="220" t="str">
        <f t="shared" si="87"/>
        <v/>
      </c>
      <c r="PE21" s="153"/>
      <c r="PF21" s="154"/>
      <c r="PG21" s="155"/>
      <c r="PH21" s="195" t="str">
        <f>IFERROR((((COUNTIF('Elève (4ème4)'!PE21:PG21,"A"))*4)+((COUNTIF('Elève (4ème4)'!PE21:PG21,"B"))*3)+((COUNTIF('Elève (4ème4)'!PE21:PG21,"C"))*2)+((COUNTIF('Elève (4ème4)'!PE21:PG21,"D"))*1))/(COUNTA(PE21:PG21)),"")</f>
        <v/>
      </c>
      <c r="PI21" s="196" t="str">
        <f t="shared" si="88"/>
        <v/>
      </c>
      <c r="PJ21" s="153"/>
      <c r="PK21" s="154"/>
      <c r="PL21" s="155"/>
      <c r="PM21" s="155"/>
      <c r="PN21" s="195" t="str">
        <f>IFERROR((((COUNTIF('Elève (4ème4)'!PJ21:PM21,"A"))*4)+((COUNTIF('Elève (4ème4)'!PJ21:PM21,"B"))*3)+((COUNTIF('Elève (4ème4)'!PJ21:PM21,"C"))*2)+((COUNTIF('Elève (4ème4)'!PJ21:PM21,"D"))*1))/(COUNTA(PJ21:PM21)),"")</f>
        <v/>
      </c>
      <c r="PO21" s="196" t="str">
        <f t="shared" si="89"/>
        <v/>
      </c>
      <c r="PP21" s="153"/>
      <c r="PQ21" s="154"/>
      <c r="PR21" s="155"/>
      <c r="PS21" s="159"/>
      <c r="PT21" s="195" t="str">
        <f>IFERROR((((COUNTIF('Elève (4ème4)'!PP21:PS21,"A"))*4)+((COUNTIF('Elève (4ème4)'!PP21:PS21,"B"))*3)+((COUNTIF('Elève (4ème4)'!PP21:PS21,"C"))*2)+((COUNTIF('Elève (4ème4)'!PP21:PS21,"D"))*1))/(COUNTA(PP21:PS21)),"")</f>
        <v/>
      </c>
      <c r="PU21" s="196" t="str">
        <f t="shared" si="90"/>
        <v/>
      </c>
      <c r="PV21" s="195" t="str">
        <f>IF(COUNT(PH21,PN21,PT21)=0,"",SUM(PH21,PN21,PT21)/COUNT(PH21,PN21,PT21))</f>
        <v/>
      </c>
      <c r="PW21" s="220" t="str">
        <f t="shared" si="91"/>
        <v/>
      </c>
      <c r="PX21" s="153"/>
      <c r="PY21" s="154"/>
      <c r="PZ21" s="155"/>
      <c r="QA21" s="195" t="str">
        <f>IFERROR((((COUNTIF('Elève (4ème4)'!PX21:PZ21,"A"))*4)+((COUNTIF('Elève (4ème4)'!PX21:PZ21,"B"))*3)+((COUNTIF('Elève (4ème4)'!PX21:PZ21,"C"))*2)+((COUNTIF('Elève (4ème4)'!PX21:PZ21,"D"))*1))/(COUNTA(PX21:PZ21)),"")</f>
        <v/>
      </c>
      <c r="QB21" s="196" t="str">
        <f t="shared" si="92"/>
        <v/>
      </c>
      <c r="QC21" s="153"/>
      <c r="QD21" s="154"/>
      <c r="QE21" s="155"/>
      <c r="QF21" s="155"/>
      <c r="QG21" s="195" t="str">
        <f>IFERROR((((COUNTIF('Elève (4ème4)'!QC21:QF21,"A"))*4)+((COUNTIF('Elève (4ème4)'!QC21:QF21,"B"))*3)+((COUNTIF('Elève (4ème4)'!QC21:QF21,"C"))*2)+((COUNTIF('Elève (4ème4)'!QC21:QF21,"D"))*1))/(COUNTA(QC21:QF21)),"")</f>
        <v/>
      </c>
      <c r="QH21" s="196" t="str">
        <f t="shared" si="93"/>
        <v/>
      </c>
      <c r="QI21" s="153"/>
      <c r="QJ21" s="154"/>
      <c r="QK21" s="155"/>
      <c r="QL21" s="159"/>
      <c r="QM21" s="195" t="str">
        <f>IFERROR((((COUNTIF('Elève (4ème4)'!QI21:QL21,"A"))*4)+((COUNTIF('Elève (4ème4)'!QI21:QL21,"B"))*3)+((COUNTIF('Elève (4ème4)'!QI21:QL21,"C"))*2)+((COUNTIF('Elève (4ème4)'!QI21:QL21,"D"))*1))/(COUNTA(QI21:QL21)),"")</f>
        <v/>
      </c>
      <c r="QN21" s="196" t="str">
        <f t="shared" si="94"/>
        <v/>
      </c>
      <c r="QO21" s="195" t="str">
        <f>IF(COUNT(QA21,QG21,QM21)=0,"",SUM(QA21,QG21,QM21)/COUNT(QA21,QG21,QM21))</f>
        <v/>
      </c>
      <c r="QP21" s="220" t="str">
        <f t="shared" si="95"/>
        <v/>
      </c>
      <c r="QQ21" s="153"/>
      <c r="QR21" s="154"/>
      <c r="QS21" s="155"/>
      <c r="QT21" s="195" t="str">
        <f>IFERROR((((COUNTIF('Elève (4ème4)'!QQ21:QS21,"A"))*4)+((COUNTIF('Elève (4ème4)'!QQ21:QS21,"B"))*3)+((COUNTIF('Elève (4ème4)'!QQ21:QS21,"C"))*2)+((COUNTIF('Elève (4ème4)'!QQ21:QS21,"D"))*1))/(COUNTA(QQ21:QS21)),"")</f>
        <v/>
      </c>
      <c r="QU21" s="196" t="str">
        <f t="shared" si="96"/>
        <v/>
      </c>
      <c r="QV21" s="153"/>
      <c r="QW21" s="154"/>
      <c r="QX21" s="155"/>
      <c r="QY21" s="155"/>
      <c r="QZ21" s="195" t="str">
        <f>IFERROR((((COUNTIF('Elève (4ème4)'!QV21:QY21,"A"))*4)+((COUNTIF('Elève (4ème4)'!QV21:QY21,"B"))*3)+((COUNTIF('Elève (4ème4)'!QV21:QY21,"C"))*2)+((COUNTIF('Elève (4ème4)'!QV21:QY21,"D"))*1))/(COUNTA(QV21:QY21)),"")</f>
        <v/>
      </c>
      <c r="RA21" s="196" t="str">
        <f t="shared" si="97"/>
        <v/>
      </c>
      <c r="RB21" s="153"/>
      <c r="RC21" s="154"/>
      <c r="RD21" s="155"/>
      <c r="RE21" s="159"/>
      <c r="RF21" s="195" t="str">
        <f>IFERROR((((COUNTIF('Elève (4ème4)'!RB21:RE21,"A"))*4)+((COUNTIF('Elève (4ème4)'!RB21:RE21,"B"))*3)+((COUNTIF('Elève (4ème4)'!RB21:RE21,"C"))*2)+((COUNTIF('Elève (4ème4)'!RB21:RE21,"D"))*1))/(COUNTA(RB21:RE21)),"")</f>
        <v/>
      </c>
      <c r="RG21" s="196" t="str">
        <f t="shared" si="98"/>
        <v/>
      </c>
      <c r="RH21" s="195" t="str">
        <f>IF(COUNT(QT21,QZ21,RF21)=0,"",SUM(QT21,QZ21,RF21)/COUNT(QT21,QZ21,RF21))</f>
        <v/>
      </c>
      <c r="RI21" s="220" t="str">
        <f t="shared" si="99"/>
        <v/>
      </c>
      <c r="RJ21" s="153"/>
      <c r="RK21" s="154"/>
      <c r="RL21" s="155"/>
      <c r="RM21" s="195" t="str">
        <f>IFERROR((((COUNTIF('Elève (4ème4)'!RJ21:RL21,"A"))*4)+((COUNTIF('Elève (4ème4)'!RJ21:RL21,"B"))*3)+((COUNTIF('Elève (4ème4)'!RJ21:RL21,"C"))*2)+((COUNTIF('Elève (4ème4)'!RJ21:RL21,"D"))*1))/(COUNTA(RJ21:RL21)),"")</f>
        <v/>
      </c>
      <c r="RN21" s="196" t="str">
        <f t="shared" si="100"/>
        <v/>
      </c>
      <c r="RO21" s="153"/>
      <c r="RP21" s="154"/>
      <c r="RQ21" s="155"/>
      <c r="RR21" s="155"/>
      <c r="RS21" s="195" t="str">
        <f>IFERROR((((COUNTIF('Elève (4ème4)'!RO21:RR21,"A"))*4)+((COUNTIF('Elève (4ème4)'!RO21:RR21,"B"))*3)+((COUNTIF('Elève (4ème4)'!RO21:RR21,"C"))*2)+((COUNTIF('Elève (4ème4)'!RO21:RR21,"D"))*1))/(COUNTA(RO21:RR21)),"")</f>
        <v/>
      </c>
      <c r="RT21" s="196" t="str">
        <f t="shared" si="101"/>
        <v/>
      </c>
      <c r="RU21" s="153"/>
      <c r="RV21" s="154"/>
      <c r="RW21" s="155"/>
      <c r="RX21" s="159"/>
      <c r="RY21" s="195" t="str">
        <f>IFERROR((((COUNTIF('Elève (4ème4)'!RU21:RX21,"A"))*4)+((COUNTIF('Elève (4ème4)'!RU21:RX21,"B"))*3)+((COUNTIF('Elève (4ème4)'!RU21:RX21,"C"))*2)+((COUNTIF('Elève (4ème4)'!RU21:RX21,"D"))*1))/(COUNTA(RU21:RX21)),"")</f>
        <v/>
      </c>
      <c r="RZ21" s="196" t="str">
        <f t="shared" si="102"/>
        <v/>
      </c>
      <c r="SA21" s="195" t="str">
        <f>IF(COUNT(RM21,RS21,RY21)=0,"",SUM(RM21,RS21,RY21)/COUNT(RM21,RS21,RY21))</f>
        <v/>
      </c>
      <c r="SB21" s="220" t="str">
        <f t="shared" si="103"/>
        <v/>
      </c>
      <c r="SC21" s="153"/>
      <c r="SD21" s="154"/>
      <c r="SE21" s="155"/>
      <c r="SF21" s="156" t="str">
        <f>IFERROR((((COUNTIF('Elève (4ème4)'!SC21:SE21,"A"))*4)+((COUNTIF('Elève (4ème4)'!SC21:SE21,"B"))*3)+((COUNTIF('Elève (4ème4)'!SC21:SE21,"C"))*2)+((COUNTIF('Elève (4ème4)'!SC21:SE21,"D"))*1))/(COUNTA(SC21:SE21)),"")</f>
        <v/>
      </c>
      <c r="SG21" s="157" t="str">
        <f t="shared" si="104"/>
        <v/>
      </c>
      <c r="SH21" s="153"/>
      <c r="SI21" s="154"/>
      <c r="SJ21" s="155"/>
      <c r="SK21" s="156" t="str">
        <f>IFERROR((((COUNTIF('Elève (4ème4)'!SH21:SJ21,"A"))*4)+((COUNTIF('Elève (4ème4)'!SH21:SJ21,"B"))*3)+((COUNTIF('Elève (4ème4)'!SH21:SJ21,"C"))*2)+((COUNTIF('Elève (4ème4)'!SH21:SJ21,"D"))*1))/(COUNTA(SH21:SJ21)),"")</f>
        <v/>
      </c>
      <c r="SL21" s="157" t="str">
        <f t="shared" si="105"/>
        <v/>
      </c>
      <c r="SM21" s="153"/>
      <c r="SN21" s="154"/>
      <c r="SO21" s="159"/>
      <c r="SP21" s="156" t="str">
        <f>IFERROR((((COUNTIF('Elève (4ème4)'!SM21:SO21,"A"))*4)+((COUNTIF('Elève (4ème4)'!SM21:SO21,"B"))*3)+((COUNTIF('Elève (4ème4)'!SM21:SO21,"C"))*2)+((COUNTIF('Elève (4ème4)'!SM21:SO21,"D"))*1))/(COUNTA(SM21:SO21)),"")</f>
        <v/>
      </c>
      <c r="SQ21" s="157" t="str">
        <f t="shared" si="106"/>
        <v/>
      </c>
      <c r="SR21" s="156" t="str">
        <f>IF(COUNT(SF21,SK21,SP21)=0,"",SUM(SF21,SK21,SP21)/COUNT(SF21,SK21,SP21))</f>
        <v/>
      </c>
      <c r="SS21" s="158" t="str">
        <f t="shared" si="107"/>
        <v/>
      </c>
      <c r="ST21" s="153"/>
      <c r="SU21" s="154"/>
      <c r="SV21" s="155"/>
      <c r="SW21" s="156" t="str">
        <f>IFERROR((((COUNTIF('Elève (4ème4)'!ST21:SV21,"A"))*4)+((COUNTIF('Elève (4ème4)'!ST21:SV21,"B"))*3)+((COUNTIF('Elève (4ème4)'!ST21:SV21,"C"))*2)+((COUNTIF('Elève (4ème4)'!ST21:SV21,"D"))*1))/(COUNTA(ST21:SV21)),"")</f>
        <v/>
      </c>
      <c r="SX21" s="157" t="str">
        <f t="shared" si="108"/>
        <v/>
      </c>
      <c r="SY21" s="153"/>
      <c r="SZ21" s="154"/>
      <c r="TA21" s="155"/>
      <c r="TB21" s="156" t="str">
        <f>IFERROR((((COUNTIF('Elève (4ème4)'!SY21:TA21,"A"))*4)+((COUNTIF('Elève (4ème4)'!SY21:TA21,"B"))*3)+((COUNTIF('Elève (4ème4)'!SY21:TA21,"C"))*2)+((COUNTIF('Elève (4ème4)'!SY21:TA21,"D"))*1))/(COUNTA(SY21:TA21)),"")</f>
        <v/>
      </c>
      <c r="TC21" s="157" t="str">
        <f t="shared" si="109"/>
        <v/>
      </c>
      <c r="TD21" s="153"/>
      <c r="TE21" s="154"/>
      <c r="TF21" s="159"/>
      <c r="TG21" s="156" t="str">
        <f>IFERROR((((COUNTIF('Elève (4ème4)'!TD21:TF21,"A"))*4)+((COUNTIF('Elève (4ème4)'!TD21:TF21,"B"))*3)+((COUNTIF('Elève (4ème4)'!TD21:TF21,"C"))*2)+((COUNTIF('Elève (4ème4)'!TD21:TF21,"D"))*1))/(COUNTA(TD21:TF21)),"")</f>
        <v/>
      </c>
      <c r="TH21" s="157" t="str">
        <f t="shared" si="110"/>
        <v/>
      </c>
      <c r="TI21" s="156" t="str">
        <f>IF(COUNT(SW21,TB21,TG21)=0,"",SUM(SW21,TB21,TG21)/COUNT(SW21,TB21,TG21))</f>
        <v/>
      </c>
      <c r="TJ21" s="158" t="str">
        <f t="shared" si="111"/>
        <v/>
      </c>
      <c r="TK21" s="153"/>
      <c r="TL21" s="154"/>
      <c r="TM21" s="155"/>
      <c r="TN21" s="156" t="str">
        <f>IFERROR((((COUNTIF('Elève (4ème4)'!TK21:TM21,"A"))*4)+((COUNTIF('Elève (4ème4)'!TK21:TM21,"B"))*3)+((COUNTIF('Elève (4ème4)'!TK21:TM21,"C"))*2)+((COUNTIF('Elève (4ème4)'!TK21:TM21,"D"))*1))/(COUNTA(TK21:TM21)),"")</f>
        <v/>
      </c>
      <c r="TO21" s="157" t="str">
        <f t="shared" si="112"/>
        <v/>
      </c>
      <c r="TP21" s="153"/>
      <c r="TQ21" s="154"/>
      <c r="TR21" s="155"/>
      <c r="TS21" s="156" t="str">
        <f>IFERROR((((COUNTIF('Elève (4ème4)'!TP21:TR21,"A"))*4)+((COUNTIF('Elève (4ème4)'!TP21:TR21,"B"))*3)+((COUNTIF('Elève (4ème4)'!TP21:TR21,"C"))*2)+((COUNTIF('Elève (4ème4)'!TP21:TR21,"D"))*1))/(COUNTA(TP21:TR21)),"")</f>
        <v/>
      </c>
      <c r="TT21" s="157" t="str">
        <f t="shared" si="113"/>
        <v/>
      </c>
      <c r="TU21" s="153"/>
      <c r="TV21" s="154"/>
      <c r="TW21" s="159"/>
      <c r="TX21" s="156" t="str">
        <f>IFERROR((((COUNTIF('Elève (4ème4)'!TU21:TW21,"A"))*4)+((COUNTIF('Elève (4ème4)'!TU21:TW21,"B"))*3)+((COUNTIF('Elève (4ème4)'!TU21:TW21,"C"))*2)+((COUNTIF('Elève (4ème4)'!TU21:TW21,"D"))*1))/(COUNTA(TU21:TW21)),"")</f>
        <v/>
      </c>
      <c r="TY21" s="157" t="str">
        <f t="shared" si="114"/>
        <v/>
      </c>
      <c r="TZ21" s="156" t="str">
        <f>IF(COUNT(TN21,TS21,TX21)=0,"",SUM(TN21,TS21,TX21)/COUNT(TN21,TS21,TX21))</f>
        <v/>
      </c>
      <c r="UA21" s="158" t="str">
        <f t="shared" si="115"/>
        <v/>
      </c>
      <c r="UB21" s="153"/>
      <c r="UC21" s="154"/>
      <c r="UD21" s="155"/>
      <c r="UE21" s="156" t="str">
        <f>IFERROR((((COUNTIF('Elève (4ème4)'!UB21:UD21,"A"))*4)+((COUNTIF('Elève (4ème4)'!UB21:UD21,"B"))*3)+((COUNTIF('Elève (4ème4)'!UB21:UD21,"C"))*2)+((COUNTIF('Elève (4ème4)'!UB21:UD21,"D"))*1))/(COUNTA(UB21:UD21)),"")</f>
        <v/>
      </c>
      <c r="UF21" s="157" t="str">
        <f t="shared" si="116"/>
        <v/>
      </c>
      <c r="UG21" s="153"/>
      <c r="UH21" s="154"/>
      <c r="UI21" s="155"/>
      <c r="UJ21" s="156" t="str">
        <f>IFERROR((((COUNTIF('Elève (4ème4)'!UG21:UI21,"A"))*4)+((COUNTIF('Elève (4ème4)'!UG21:UI21,"B"))*3)+((COUNTIF('Elève (4ème4)'!UG21:UI21,"C"))*2)+((COUNTIF('Elève (4ème4)'!UG21:UI21,"D"))*1))/(COUNTA(UG21:UI21)),"")</f>
        <v/>
      </c>
      <c r="UK21" s="157" t="str">
        <f t="shared" si="117"/>
        <v/>
      </c>
      <c r="UL21" s="153"/>
      <c r="UM21" s="154"/>
      <c r="UN21" s="159"/>
      <c r="UO21" s="156" t="str">
        <f>IFERROR((((COUNTIF('Elève (4ème4)'!UL21:UN21,"A"))*4)+((COUNTIF('Elève (4ème4)'!UL21:UN21,"B"))*3)+((COUNTIF('Elève (4ème4)'!UL21:UN21,"C"))*2)+((COUNTIF('Elève (4ème4)'!UL21:UN21,"D"))*1))/(COUNTA(UL21:UN21)),"")</f>
        <v/>
      </c>
      <c r="UP21" s="157" t="str">
        <f t="shared" si="118"/>
        <v/>
      </c>
      <c r="UQ21" s="156" t="str">
        <f>IF(COUNT(UE21,UJ21,UO21)=0,"",SUM(UE21,UJ21,UO21)/COUNT(UE21,UJ21,UO21))</f>
        <v/>
      </c>
      <c r="UR21" s="158" t="str">
        <f t="shared" si="119"/>
        <v/>
      </c>
    </row>
    <row r="22" spans="1:564" ht="15.75" thickBot="1" x14ac:dyDescent="0.3">
      <c r="A22" s="248" t="s">
        <v>28</v>
      </c>
      <c r="B22" s="249"/>
      <c r="C22" s="160"/>
      <c r="D22" s="160"/>
      <c r="E22" s="160"/>
      <c r="F22" s="197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2.3518518518518516</v>
      </c>
      <c r="G22" s="198">
        <f>IF(F22="","",F22*5)</f>
        <v>11.759259259259258</v>
      </c>
      <c r="H22" s="82"/>
      <c r="I22" s="82"/>
      <c r="J22" s="82"/>
      <c r="K22" s="82"/>
      <c r="L22" s="197">
        <f>IF(COUNT(L20,L16,L13,L10,L4)=0,"",SUM($B$4*IF(COUNT(L4)=0,0,L4),$B$10*IF(COUNT(L10)=0,0,L10),$B$13*IF(COUNT(L13)=0,0,L13),$B$16*IF(COUNT(L16)=0,0,L16),$B$20*IF(COUNT(L20)=0,0,L20))/SUM($B$4*COUNT(L4),$B$10*COUNT(L10),$B$13*COUNT(L13),$B$16*COUNT(L16),$B$20*COUNT(L20)))</f>
        <v>2.8888888888888888</v>
      </c>
      <c r="M22" s="204">
        <f>IF(L22="","",L22*5)</f>
        <v>14.444444444444445</v>
      </c>
      <c r="N22" s="82"/>
      <c r="O22" s="82"/>
      <c r="P22" s="82"/>
      <c r="Q22" s="82"/>
      <c r="R22" s="197" t="str">
        <f>IF(COUNT(R20,R16,R13,R10,R4)=0,"",SUM($B$4*IF(COUNT(R4)=0,0,R4),$B$10*IF(COUNT(R10)=0,0,R10),$B$13*IF(COUNT(R13)=0,0,R13),$B$16*IF(COUNT(R16)=0,0,R16),$B$20*IF(COUNT(R20)=0,0,R20))/SUM($B$4*COUNT(R4),$B$10*COUNT(R10),$B$13*COUNT(R13),$B$16*COUNT(R16),$B$20*COUNT(R20)))</f>
        <v/>
      </c>
      <c r="S22" s="221" t="str">
        <f>IF(R22="","",R22*5)</f>
        <v/>
      </c>
      <c r="T22" s="184"/>
      <c r="U22" s="184"/>
      <c r="V22" s="160"/>
      <c r="W22" s="160"/>
      <c r="X22" s="160"/>
      <c r="Y22" s="197">
        <f>IF(COUNT(Y20,Y16,Y13,Y10,Y4)=0,"",SUM($B$4*IF(COUNT(Y4)=0,0,Y4),$B$10*IF(COUNT(Y10)=0,0,Y10),$B$13*IF(COUNT(Y13)=0,0,Y13),$B$16*IF(COUNT(Y16)=0,0,Y16),$B$20*IF(COUNT(Y20)=0,0,Y20))/SUM($B$4*COUNT(Y4),$B$10*COUNT(Y10),$B$13*COUNT(Y13),$B$16*COUNT(Y16),$B$20*COUNT(Y20)))</f>
        <v>2.550925925925926</v>
      </c>
      <c r="Z22" s="198">
        <f>IF(Y22="","",Y22*5)</f>
        <v>12.75462962962963</v>
      </c>
      <c r="AA22" s="82"/>
      <c r="AB22" s="82"/>
      <c r="AC22" s="82"/>
      <c r="AD22" s="82"/>
      <c r="AE22" s="197">
        <f>IF(COUNT(AE20,AE16,AE13,AE10,AE4)=0,"",SUM($B$4*IF(COUNT(AE4)=0,0,AE4),$B$10*IF(COUNT(AE10)=0,0,AE10),$B$13*IF(COUNT(AE13)=0,0,AE13),$B$16*IF(COUNT(AE16)=0,0,AE16),$B$20*IF(COUNT(AE20)=0,0,AE20))/SUM($B$4*COUNT(AE4),$B$10*COUNT(AE10),$B$13*COUNT(AE13),$B$16*COUNT(AE16),$B$20*COUNT(AE20)))</f>
        <v>2.8888888888888888</v>
      </c>
      <c r="AF22" s="204">
        <f>IF(AE22="","",AE22*5)</f>
        <v>14.444444444444445</v>
      </c>
      <c r="AG22" s="82"/>
      <c r="AH22" s="82"/>
      <c r="AI22" s="82"/>
      <c r="AJ22" s="82"/>
      <c r="AK22" s="197" t="str">
        <f>IF(COUNT(AK20,AK16,AK13,AK10,AK4)=0,"",SUM($B$4*IF(COUNT(AK4)=0,0,AK4),$B$10*IF(COUNT(AK10)=0,0,AK10),$B$13*IF(COUNT(AK13)=0,0,AK13),$B$16*IF(COUNT(AK16)=0,0,AK16),$B$20*IF(COUNT(AK20)=0,0,AK20))/SUM($B$4*COUNT(AK4),$B$10*COUNT(AK10),$B$13*COUNT(AK13),$B$16*COUNT(AK16),$B$20*COUNT(AK20)))</f>
        <v/>
      </c>
      <c r="AL22" s="221" t="str">
        <f>IF(AK22="","",AK22*5)</f>
        <v/>
      </c>
      <c r="AM22" s="184"/>
      <c r="AN22" s="184"/>
      <c r="AO22" s="160"/>
      <c r="AP22" s="160"/>
      <c r="AQ22" s="160"/>
      <c r="AR22" s="197">
        <f>IF(COUNT(AR20,AR16,AR13,AR10,AR4)=0,"",SUM($B$4*IF(COUNT(AR4)=0,0,AR4),$B$10*IF(COUNT(AR10)=0,0,AR10),$B$13*IF(COUNT(AR13)=0,0,AR13),$B$16*IF(COUNT(AR16)=0,0,AR16),$B$20*IF(COUNT(AR20)=0,0,AR20))/SUM($B$4*COUNT(AR4),$B$10*COUNT(AR10),$B$13*COUNT(AR13),$B$16*COUNT(AR16),$B$20*COUNT(AR20)))</f>
        <v>2.6055555555555556</v>
      </c>
      <c r="AS22" s="198">
        <f>IF(AR22="","",AR22*5)</f>
        <v>13.027777777777779</v>
      </c>
      <c r="AT22" s="82"/>
      <c r="AU22" s="82"/>
      <c r="AV22" s="82"/>
      <c r="AW22" s="82"/>
      <c r="AX22" s="197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>2.6388888888888888</v>
      </c>
      <c r="AY22" s="204">
        <f>IF(AX22="","",AX22*5)</f>
        <v>13.194444444444445</v>
      </c>
      <c r="AZ22" s="82"/>
      <c r="BA22" s="82"/>
      <c r="BB22" s="82"/>
      <c r="BC22" s="82"/>
      <c r="BD22" s="197" t="str">
        <f>IF(COUNT(BD20,BD16,BD13,BD10,BD4)=0,"",SUM($B$4*IF(COUNT(BD4)=0,0,BD4),$B$10*IF(COUNT(BD10)=0,0,BD10),$B$13*IF(COUNT(BD13)=0,0,BD13),$B$16*IF(COUNT(BD16)=0,0,BD16),$B$20*IF(COUNT(BD20)=0,0,BD20))/SUM($B$4*COUNT(BD4),$B$10*COUNT(BD10),$B$13*COUNT(BD13),$B$16*COUNT(BD16),$B$20*COUNT(BD20)))</f>
        <v/>
      </c>
      <c r="BE22" s="221" t="str">
        <f>IF(BD22="","",BD22*5)</f>
        <v/>
      </c>
      <c r="BF22" s="184"/>
      <c r="BG22" s="184"/>
      <c r="BH22" s="160"/>
      <c r="BI22" s="160"/>
      <c r="BJ22" s="160"/>
      <c r="BK22" s="197">
        <f>IF(COUNT(BK20,BK16,BK13,BK10,BK4)=0,"",SUM($B$4*IF(COUNT(BK4)=0,0,BK4),$B$10*IF(COUNT(BK10)=0,0,BK10),$B$13*IF(COUNT(BK13)=0,0,BK13),$B$16*IF(COUNT(BK16)=0,0,BK16),$B$20*IF(COUNT(BK20)=0,0,BK20))/SUM($B$4*COUNT(BK4),$B$10*COUNT(BK10),$B$13*COUNT(BK13),$B$16*COUNT(BK16),$B$20*COUNT(BK20)))</f>
        <v>2.8055555555555554</v>
      </c>
      <c r="BL22" s="198">
        <f>IF(BK22="","",BK22*5)</f>
        <v>14.027777777777777</v>
      </c>
      <c r="BM22" s="82"/>
      <c r="BN22" s="82"/>
      <c r="BO22" s="82"/>
      <c r="BP22" s="82"/>
      <c r="BQ22" s="197">
        <f>IF(COUNT(BQ20,BQ16,BQ13,BQ10,BQ4)=0,"",SUM($B$4*IF(COUNT(BQ4)=0,0,BQ4),$B$10*IF(COUNT(BQ10)=0,0,BQ10),$B$13*IF(COUNT(BQ13)=0,0,BQ13),$B$16*IF(COUNT(BQ16)=0,0,BQ16),$B$20*IF(COUNT(BQ20)=0,0,BQ20))/SUM($B$4*COUNT(BQ4),$B$10*COUNT(BQ10),$B$13*COUNT(BQ13),$B$16*COUNT(BQ16),$B$20*COUNT(BQ20)))</f>
        <v>2.7870370370370368</v>
      </c>
      <c r="BR22" s="204">
        <f>IF(BQ22="","",BQ22*5)</f>
        <v>13.935185185185183</v>
      </c>
      <c r="BS22" s="82"/>
      <c r="BT22" s="82"/>
      <c r="BU22" s="82"/>
      <c r="BV22" s="82"/>
      <c r="BW22" s="197" t="str">
        <f>IF(COUNT(BW20,BW16,BW13,BW10,BW4)=0,"",SUM($B$4*IF(COUNT(BW4)=0,0,BW4),$B$10*IF(COUNT(BW10)=0,0,BW10),$B$13*IF(COUNT(BW13)=0,0,BW13),$B$16*IF(COUNT(BW16)=0,0,BW16),$B$20*IF(COUNT(BW20)=0,0,BW20))/SUM($B$4*COUNT(BW4),$B$10*COUNT(BW10),$B$13*COUNT(BW13),$B$16*COUNT(BW16),$B$20*COUNT(BW20)))</f>
        <v/>
      </c>
      <c r="BX22" s="221" t="str">
        <f>IF(BW22="","",BW22*5)</f>
        <v/>
      </c>
      <c r="BY22" s="184"/>
      <c r="BZ22" s="184"/>
      <c r="CA22" s="160"/>
      <c r="CB22" s="160"/>
      <c r="CC22" s="160"/>
      <c r="CD22" s="197">
        <f>IF(COUNT(CD20,CD16,CD13,CD10,CD4)=0,"",SUM($B$4*IF(COUNT(CD4)=0,0,CD4),$B$10*IF(COUNT(CD10)=0,0,CD10),$B$13*IF(COUNT(CD13)=0,0,CD13),$B$16*IF(COUNT(CD16)=0,0,CD16),$B$20*IF(COUNT(CD20)=0,0,CD20))/SUM($B$4*COUNT(CD4),$B$10*COUNT(CD10),$B$13*COUNT(CD13),$B$16*COUNT(CD16),$B$20*COUNT(CD20)))</f>
        <v>2.342592592592593</v>
      </c>
      <c r="CE22" s="198">
        <f>IF(CD22="","",CD22*5)</f>
        <v>11.712962962962965</v>
      </c>
      <c r="CF22" s="82"/>
      <c r="CG22" s="82"/>
      <c r="CH22" s="82"/>
      <c r="CI22" s="82"/>
      <c r="CJ22" s="197">
        <f>IF(COUNT(CJ20,CJ16,CJ13,CJ10,CJ4)=0,"",SUM($B$4*IF(COUNT(CJ4)=0,0,CJ4),$B$10*IF(COUNT(CJ10)=0,0,CJ10),$B$13*IF(COUNT(CJ13)=0,0,CJ13),$B$16*IF(COUNT(CJ16)=0,0,CJ16),$B$20*IF(COUNT(CJ20)=0,0,CJ20))/SUM($B$4*COUNT(CJ4),$B$10*COUNT(CJ10),$B$13*COUNT(CJ13),$B$16*COUNT(CJ16),$B$20*COUNT(CJ20)))</f>
        <v>2.5833333333333335</v>
      </c>
      <c r="CK22" s="204">
        <f>IF(CJ22="","",CJ22*5)</f>
        <v>12.916666666666668</v>
      </c>
      <c r="CL22" s="82"/>
      <c r="CM22" s="82"/>
      <c r="CN22" s="82"/>
      <c r="CO22" s="82"/>
      <c r="CP22" s="197" t="str">
        <f>IF(COUNT(CP20,CP16,CP13,CP10,CP4)=0,"",SUM($B$4*IF(COUNT(CP4)=0,0,CP4),$B$10*IF(COUNT(CP10)=0,0,CP10),$B$13*IF(COUNT(CP13)=0,0,CP13),$B$16*IF(COUNT(CP16)=0,0,CP16),$B$20*IF(COUNT(CP20)=0,0,CP20))/SUM($B$4*COUNT(CP4),$B$10*COUNT(CP10),$B$13*COUNT(CP13),$B$16*COUNT(CP16),$B$20*COUNT(CP20)))</f>
        <v/>
      </c>
      <c r="CQ22" s="221" t="str">
        <f>IF(CP22="","",CP22*5)</f>
        <v/>
      </c>
      <c r="CR22" s="184"/>
      <c r="CS22" s="184"/>
      <c r="CT22" s="160"/>
      <c r="CU22" s="160"/>
      <c r="CV22" s="160"/>
      <c r="CW22" s="197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>2.9074074074074079</v>
      </c>
      <c r="CX22" s="198">
        <f>IF(CW22="","",CW22*5)</f>
        <v>14.53703703703704</v>
      </c>
      <c r="CY22" s="82"/>
      <c r="CZ22" s="82"/>
      <c r="DA22" s="82"/>
      <c r="DB22" s="82"/>
      <c r="DC22" s="197">
        <f>IF(COUNT(DC20,DC16,DC13,DC10,DC4)=0,"",SUM($B$4*IF(COUNT(DC4)=0,0,DC4),$B$10*IF(COUNT(DC10)=0,0,DC10),$B$13*IF(COUNT(DC13)=0,0,DC13),$B$16*IF(COUNT(DC16)=0,0,DC16),$B$20*IF(COUNT(DC20)=0,0,DC20))/SUM($B$4*COUNT(DC4),$B$10*COUNT(DC10),$B$13*COUNT(DC13),$B$16*COUNT(DC16),$B$20*COUNT(DC20)))</f>
        <v>3.0092592592592595</v>
      </c>
      <c r="DD22" s="204">
        <f>IF(DC22="","",DC22*5)</f>
        <v>15.046296296296298</v>
      </c>
      <c r="DE22" s="82"/>
      <c r="DF22" s="82"/>
      <c r="DG22" s="82"/>
      <c r="DH22" s="82"/>
      <c r="DI22" s="197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221" t="str">
        <f>IF(DI22="","",DI22*5)</f>
        <v/>
      </c>
      <c r="DK22" s="184"/>
      <c r="DL22" s="184"/>
      <c r="DM22" s="160"/>
      <c r="DN22" s="160"/>
      <c r="DO22" s="160"/>
      <c r="DP22" s="197">
        <f>IF(COUNT(DP20,DP16,DP13,DP10,DP4)=0,"",SUM($B$4*IF(COUNT(DP4)=0,0,DP4),$B$10*IF(COUNT(DP10)=0,0,DP10),$B$13*IF(COUNT(DP13)=0,0,DP13),$B$16*IF(COUNT(DP16)=0,0,DP16),$B$20*IF(COUNT(DP20)=0,0,DP20))/SUM($B$4*COUNT(DP4),$B$10*COUNT(DP10),$B$13*COUNT(DP13),$B$16*COUNT(DP16),$B$20*COUNT(DP20)))</f>
        <v>3.0879629629629624</v>
      </c>
      <c r="DQ22" s="198">
        <f>IF(DP22="","",DP22*5)</f>
        <v>15.439814814814811</v>
      </c>
      <c r="DR22" s="82"/>
      <c r="DS22" s="82"/>
      <c r="DT22" s="82"/>
      <c r="DU22" s="82"/>
      <c r="DV22" s="197">
        <f>IF(COUNT(DV20,DV16,DV13,DV10,DV4)=0,"",SUM($B$4*IF(COUNT(DV4)=0,0,DV4),$B$10*IF(COUNT(DV10)=0,0,DV10),$B$13*IF(COUNT(DV13)=0,0,DV13),$B$16*IF(COUNT(DV16)=0,0,DV16),$B$20*IF(COUNT(DV20)=0,0,DV20))/SUM($B$4*COUNT(DV4),$B$10*COUNT(DV10),$B$13*COUNT(DV13),$B$16*COUNT(DV16),$B$20*COUNT(DV20)))</f>
        <v>2.75</v>
      </c>
      <c r="DW22" s="204">
        <f>IF(DV22="","",DV22*5)</f>
        <v>13.75</v>
      </c>
      <c r="DX22" s="82"/>
      <c r="DY22" s="82"/>
      <c r="DZ22" s="82"/>
      <c r="EA22" s="82"/>
      <c r="EB22" s="197" t="str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/>
      </c>
      <c r="EC22" s="221" t="str">
        <f>IF(EB22="","",EB22*5)</f>
        <v/>
      </c>
      <c r="ED22" s="184"/>
      <c r="EE22" s="184"/>
      <c r="EF22" s="160"/>
      <c r="EG22" s="160"/>
      <c r="EH22" s="160"/>
      <c r="EI22" s="197">
        <f>IF(COUNT(EI20,EI16,EI13,EI10,EI4)=0,"",SUM($B$4*IF(COUNT(EI4)=0,0,EI4),$B$10*IF(COUNT(EI10)=0,0,EI10),$B$13*IF(COUNT(EI13)=0,0,EI13),$B$16*IF(COUNT(EI16)=0,0,EI16),$B$20*IF(COUNT(EI20)=0,0,EI20))/SUM($B$4*COUNT(EI4),$B$10*COUNT(EI10),$B$13*COUNT(EI13),$B$16*COUNT(EI16),$B$20*COUNT(EI20)))</f>
        <v>3.1527777777777781</v>
      </c>
      <c r="EJ22" s="198">
        <f>IF(EI22="","",EI22*5)</f>
        <v>15.763888888888891</v>
      </c>
      <c r="EK22" s="82"/>
      <c r="EL22" s="82"/>
      <c r="EM22" s="82"/>
      <c r="EN22" s="82"/>
      <c r="EO22" s="197">
        <f>IF(COUNT(EO20,EO16,EO13,EO10,EO4)=0,"",SUM($B$4*IF(COUNT(EO4)=0,0,EO4),$B$10*IF(COUNT(EO10)=0,0,EO10),$B$13*IF(COUNT(EO13)=0,0,EO13),$B$16*IF(COUNT(EO16)=0,0,EO16),$B$20*IF(COUNT(EO20)=0,0,EO20))/SUM($B$4*COUNT(EO4),$B$10*COUNT(EO10),$B$13*COUNT(EO13),$B$16*COUNT(EO16),$B$20*COUNT(EO20)))</f>
        <v>2.9814814814814814</v>
      </c>
      <c r="EP22" s="204">
        <f>IF(EO22="","",EO22*5)</f>
        <v>14.907407407407407</v>
      </c>
      <c r="EQ22" s="82"/>
      <c r="ER22" s="82"/>
      <c r="ES22" s="82"/>
      <c r="ET22" s="82"/>
      <c r="EU22" s="197" t="str">
        <f>IF(COUNT(EU20,EU16,EU13,EU10,EU4)=0,"",SUM($B$4*IF(COUNT(EU4)=0,0,EU4),$B$10*IF(COUNT(EU10)=0,0,EU10),$B$13*IF(COUNT(EU13)=0,0,EU13),$B$16*IF(COUNT(EU16)=0,0,EU16),$B$20*IF(COUNT(EU20)=0,0,EU20))/SUM($B$4*COUNT(EU4),$B$10*COUNT(EU10),$B$13*COUNT(EU13),$B$16*COUNT(EU16),$B$20*COUNT(EU20)))</f>
        <v/>
      </c>
      <c r="EV22" s="221" t="str">
        <f>IF(EU22="","",EU22*5)</f>
        <v/>
      </c>
      <c r="EW22" s="184"/>
      <c r="EX22" s="184"/>
      <c r="EY22" s="160"/>
      <c r="EZ22" s="160"/>
      <c r="FA22" s="160"/>
      <c r="FB22" s="197">
        <f>IF(COUNT(FB20,FB16,FB13,FB10,FB4)=0,"",SUM($B$4*IF(COUNT(FB4)=0,0,FB4),$B$10*IF(COUNT(FB10)=0,0,FB10),$B$13*IF(COUNT(FB13)=0,0,FB13),$B$16*IF(COUNT(FB16)=0,0,FB16),$B$20*IF(COUNT(FB20)=0,0,FB20))/SUM($B$4*COUNT(FB4),$B$10*COUNT(FB10),$B$13*COUNT(FB13),$B$16*COUNT(FB16),$B$20*COUNT(FB20)))</f>
        <v>2.7129629629629632</v>
      </c>
      <c r="FC22" s="198">
        <f>IF(FB22="","",FB22*5)</f>
        <v>13.564814814814817</v>
      </c>
      <c r="FD22" s="82"/>
      <c r="FE22" s="82"/>
      <c r="FF22" s="82"/>
      <c r="FG22" s="82"/>
      <c r="FH22" s="197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>2.6296296296296298</v>
      </c>
      <c r="FI22" s="204">
        <f>IF(FH22="","",FH22*5)</f>
        <v>13.148148148148149</v>
      </c>
      <c r="FJ22" s="82"/>
      <c r="FK22" s="82"/>
      <c r="FL22" s="82"/>
      <c r="FM22" s="82"/>
      <c r="FN22" s="197" t="str">
        <f>IF(COUNT(FN20,FN16,FN13,FN10,FN4)=0,"",SUM($B$4*IF(COUNT(FN4)=0,0,FN4),$B$10*IF(COUNT(FN10)=0,0,FN10),$B$13*IF(COUNT(FN13)=0,0,FN13),$B$16*IF(COUNT(FN16)=0,0,FN16),$B$20*IF(COUNT(FN20)=0,0,FN20))/SUM($B$4*COUNT(FN4),$B$10*COUNT(FN10),$B$13*COUNT(FN13),$B$16*COUNT(FN16),$B$20*COUNT(FN20)))</f>
        <v/>
      </c>
      <c r="FO22" s="221" t="str">
        <f>IF(FN22="","",FN22*5)</f>
        <v/>
      </c>
      <c r="FP22" s="184"/>
      <c r="FQ22" s="184"/>
      <c r="FR22" s="160"/>
      <c r="FS22" s="160"/>
      <c r="FT22" s="160"/>
      <c r="FU22" s="197">
        <f>IF(COUNT(FU20,FU16,FU13,FU10,FU4)=0,"",SUM($B$4*IF(COUNT(FU4)=0,0,FU4),$B$10*IF(COUNT(FU10)=0,0,FU10),$B$13*IF(COUNT(FU13)=0,0,FU13),$B$16*IF(COUNT(FU16)=0,0,FU16),$B$20*IF(COUNT(FU20)=0,0,FU20))/SUM($B$4*COUNT(FU4),$B$10*COUNT(FU10),$B$13*COUNT(FU13),$B$16*COUNT(FU16),$B$20*COUNT(FU20)))</f>
        <v>2.6018518518518516</v>
      </c>
      <c r="FV22" s="198">
        <f>IF(FU22="","",FU22*5)</f>
        <v>13.009259259259258</v>
      </c>
      <c r="FW22" s="82"/>
      <c r="FX22" s="82"/>
      <c r="FY22" s="82"/>
      <c r="FZ22" s="82"/>
      <c r="GA22" s="197">
        <f>IF(COUNT(GA20,GA16,GA13,GA10,GA4)=0,"",SUM($B$4*IF(COUNT(GA4)=0,0,GA4),$B$10*IF(COUNT(GA10)=0,0,GA10),$B$13*IF(COUNT(GA13)=0,0,GA13),$B$16*IF(COUNT(GA16)=0,0,GA16),$B$20*IF(COUNT(GA20)=0,0,GA20))/SUM($B$4*COUNT(GA4),$B$10*COUNT(GA10),$B$13*COUNT(GA13),$B$16*COUNT(GA16),$B$20*COUNT(GA20)))</f>
        <v>2.8703703703703702</v>
      </c>
      <c r="GB22" s="204">
        <f>IF(GA22="","",GA22*5)</f>
        <v>14.351851851851851</v>
      </c>
      <c r="GC22" s="82"/>
      <c r="GD22" s="82"/>
      <c r="GE22" s="82"/>
      <c r="GF22" s="82"/>
      <c r="GG22" s="197" t="str">
        <f>IF(COUNT(GG20,GG16,GG13,GG10,GG4)=0,"",SUM($B$4*IF(COUNT(GG4)=0,0,GG4),$B$10*IF(COUNT(GG10)=0,0,GG10),$B$13*IF(COUNT(GG13)=0,0,GG13),$B$16*IF(COUNT(GG16)=0,0,GG16),$B$20*IF(COUNT(GG20)=0,0,GG20))/SUM($B$4*COUNT(GG4),$B$10*COUNT(GG10),$B$13*COUNT(GG13),$B$16*COUNT(GG16),$B$20*COUNT(GG20)))</f>
        <v/>
      </c>
      <c r="GH22" s="221" t="str">
        <f>IF(GG22="","",GG22*5)</f>
        <v/>
      </c>
      <c r="GI22" s="184"/>
      <c r="GJ22" s="184"/>
      <c r="GK22" s="160"/>
      <c r="GL22" s="160"/>
      <c r="GM22" s="160"/>
      <c r="GN22" s="197">
        <f>IF(COUNT(GN20,GN16,GN13,GN10,GN4)=0,"",SUM($B$4*IF(COUNT(GN4)=0,0,GN4),$B$10*IF(COUNT(GN10)=0,0,GN10),$B$13*IF(COUNT(GN13)=0,0,GN13),$B$16*IF(COUNT(GN16)=0,0,GN16),$B$20*IF(COUNT(GN20)=0,0,GN20))/SUM($B$4*COUNT(GN4),$B$10*COUNT(GN10),$B$13*COUNT(GN13),$B$16*COUNT(GN16),$B$20*COUNT(GN20)))</f>
        <v>3.375</v>
      </c>
      <c r="GO22" s="198">
        <f>IF(GN22="","",GN22*5)</f>
        <v>16.875</v>
      </c>
      <c r="GP22" s="82"/>
      <c r="GQ22" s="82"/>
      <c r="GR22" s="82"/>
      <c r="GS22" s="82"/>
      <c r="GT22" s="197">
        <f>IF(COUNT(GT20,GT16,GT13,GT10,GT4)=0,"",SUM($B$4*IF(COUNT(GT4)=0,0,GT4),$B$10*IF(COUNT(GT10)=0,0,GT10),$B$13*IF(COUNT(GT13)=0,0,GT13),$B$16*IF(COUNT(GT16)=0,0,GT16),$B$20*IF(COUNT(GT20)=0,0,GT20))/SUM($B$4*COUNT(GT4),$B$10*COUNT(GT10),$B$13*COUNT(GT13),$B$16*COUNT(GT16),$B$20*COUNT(GT20)))</f>
        <v>3.2037037037037037</v>
      </c>
      <c r="GU22" s="204">
        <f>IF(GT22="","",GT22*5)</f>
        <v>16.018518518518519</v>
      </c>
      <c r="GV22" s="82"/>
      <c r="GW22" s="82"/>
      <c r="GX22" s="82"/>
      <c r="GY22" s="82"/>
      <c r="GZ22" s="197" t="str">
        <f>IF(COUNT(GZ20,GZ16,GZ13,GZ10,GZ4)=0,"",SUM($B$4*IF(COUNT(GZ4)=0,0,GZ4),$B$10*IF(COUNT(GZ10)=0,0,GZ10),$B$13*IF(COUNT(GZ13)=0,0,GZ13),$B$16*IF(COUNT(GZ16)=0,0,GZ16),$B$20*IF(COUNT(GZ20)=0,0,GZ20))/SUM($B$4*COUNT(GZ4),$B$10*COUNT(GZ10),$B$13*COUNT(GZ13),$B$16*COUNT(GZ16),$B$20*COUNT(GZ20)))</f>
        <v/>
      </c>
      <c r="HA22" s="221" t="str">
        <f>IF(GZ22="","",GZ22*5)</f>
        <v/>
      </c>
      <c r="HB22" s="184"/>
      <c r="HC22" s="184"/>
      <c r="HD22" s="160"/>
      <c r="HE22" s="160"/>
      <c r="HF22" s="160"/>
      <c r="HG22" s="197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2.8796296296296298</v>
      </c>
      <c r="HH22" s="198">
        <f>IF(HG22="","",HG22*5)</f>
        <v>14.398148148148149</v>
      </c>
      <c r="HI22" s="82"/>
      <c r="HJ22" s="82"/>
      <c r="HK22" s="82"/>
      <c r="HL22" s="82"/>
      <c r="HM22" s="197">
        <f>IF(COUNT(HM20,HM16,HM13,HM10,HM4)=0,"",SUM($B$4*IF(COUNT(HM4)=0,0,HM4),$B$10*IF(COUNT(HM10)=0,0,HM10),$B$13*IF(COUNT(HM13)=0,0,HM13),$B$16*IF(COUNT(HM16)=0,0,HM16),$B$20*IF(COUNT(HM20)=0,0,HM20))/SUM($B$4*COUNT(HM4),$B$10*COUNT(HM10),$B$13*COUNT(HM13),$B$16*COUNT(HM16),$B$20*COUNT(HM20)))</f>
        <v>2.9722222222222219</v>
      </c>
      <c r="HN22" s="204">
        <f>IF(HM22="","",HM22*5)</f>
        <v>14.861111111111109</v>
      </c>
      <c r="HO22" s="82"/>
      <c r="HP22" s="82"/>
      <c r="HQ22" s="82"/>
      <c r="HR22" s="82"/>
      <c r="HS22" s="197" t="str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/>
      </c>
      <c r="HT22" s="221" t="str">
        <f>IF(HS22="","",HS22*5)</f>
        <v/>
      </c>
      <c r="HU22" s="184"/>
      <c r="HV22" s="184"/>
      <c r="HW22" s="160"/>
      <c r="HX22" s="160"/>
      <c r="HY22" s="160"/>
      <c r="HZ22" s="197">
        <f>IF(COUNT(HZ20,HZ16,HZ13,HZ10,HZ4)=0,"",SUM($B$4*IF(COUNT(HZ4)=0,0,HZ4),$B$10*IF(COUNT(HZ10)=0,0,HZ10),$B$13*IF(COUNT(HZ13)=0,0,HZ13),$B$16*IF(COUNT(HZ16)=0,0,HZ16),$B$20*IF(COUNT(HZ20)=0,0,HZ20))/SUM($B$4*COUNT(HZ4),$B$10*COUNT(HZ10),$B$13*COUNT(HZ13),$B$16*COUNT(HZ16),$B$20*COUNT(HZ20)))</f>
        <v>2.9027777777777772</v>
      </c>
      <c r="IA22" s="198">
        <f>IF(HZ22="","",HZ22*5)</f>
        <v>14.513888888888886</v>
      </c>
      <c r="IB22" s="82"/>
      <c r="IC22" s="82"/>
      <c r="ID22" s="82"/>
      <c r="IE22" s="82"/>
      <c r="IF22" s="197">
        <f>IF(COUNT(IF20,IF16,IF13,IF10,IF4)=0,"",SUM($B$4*IF(COUNT(IF4)=0,0,IF4),$B$10*IF(COUNT(IF10)=0,0,IF10),$B$13*IF(COUNT(IF13)=0,0,IF13),$B$16*IF(COUNT(IF16)=0,0,IF16),$B$20*IF(COUNT(IF20)=0,0,IF20))/SUM($B$4*COUNT(IF4),$B$10*COUNT(IF10),$B$13*COUNT(IF13),$B$16*COUNT(IF16),$B$20*COUNT(IF20)))</f>
        <v>2.9814814814814814</v>
      </c>
      <c r="IG22" s="204">
        <f>IF(IF22="","",IF22*5)</f>
        <v>14.907407407407407</v>
      </c>
      <c r="IH22" s="82"/>
      <c r="II22" s="82"/>
      <c r="IJ22" s="82"/>
      <c r="IK22" s="82"/>
      <c r="IL22" s="197" t="str">
        <f>IF(COUNT(IL20,IL16,IL13,IL10,IL4)=0,"",SUM($B$4*IF(COUNT(IL4)=0,0,IL4),$B$10*IF(COUNT(IL10)=0,0,IL10),$B$13*IF(COUNT(IL13)=0,0,IL13),$B$16*IF(COUNT(IL16)=0,0,IL16),$B$20*IF(COUNT(IL20)=0,0,IL20))/SUM($B$4*COUNT(IL4),$B$10*COUNT(IL10),$B$13*COUNT(IL13),$B$16*COUNT(IL16),$B$20*COUNT(IL20)))</f>
        <v/>
      </c>
      <c r="IM22" s="221" t="str">
        <f>IF(IL22="","",IL22*5)</f>
        <v/>
      </c>
      <c r="IN22" s="184"/>
      <c r="IO22" s="184"/>
      <c r="IP22" s="160"/>
      <c r="IQ22" s="160"/>
      <c r="IR22" s="160"/>
      <c r="IS22" s="197">
        <f>IF(COUNT(IS20,IS16,IS13,IS10,IS4)=0,"",SUM($B$4*IF(COUNT(IS4)=0,0,IS4),$B$10*IF(COUNT(IS10)=0,0,IS10),$B$13*IF(COUNT(IS13)=0,0,IS13),$B$16*IF(COUNT(IS16)=0,0,IS16),$B$20*IF(COUNT(IS20)=0,0,IS20))/SUM($B$4*COUNT(IS4),$B$10*COUNT(IS10),$B$13*COUNT(IS13),$B$16*COUNT(IS16),$B$20*COUNT(IS20)))</f>
        <v>2.3333333333333335</v>
      </c>
      <c r="IT22" s="198">
        <f>IF(IS22="","",IS22*5)</f>
        <v>11.666666666666668</v>
      </c>
      <c r="IU22" s="82"/>
      <c r="IV22" s="82"/>
      <c r="IW22" s="82"/>
      <c r="IX22" s="82"/>
      <c r="IY22" s="197">
        <f>IF(COUNT(IY20,IY16,IY13,IY10,IY4)=0,"",SUM($B$4*IF(COUNT(IY4)=0,0,IY4),$B$10*IF(COUNT(IY10)=0,0,IY10),$B$13*IF(COUNT(IY13)=0,0,IY13),$B$16*IF(COUNT(IY16)=0,0,IY16),$B$20*IF(COUNT(IY20)=0,0,IY20))/SUM($B$4*COUNT(IY4),$B$10*COUNT(IY10),$B$13*COUNT(IY13),$B$16*COUNT(IY16),$B$20*COUNT(IY20)))</f>
        <v>2.5185185185185182</v>
      </c>
      <c r="IZ22" s="204">
        <f>IF(IY22="","",IY22*5)</f>
        <v>12.592592592592592</v>
      </c>
      <c r="JA22" s="82"/>
      <c r="JB22" s="82"/>
      <c r="JC22" s="82"/>
      <c r="JD22" s="82"/>
      <c r="JE22" s="197" t="str">
        <f>IF(COUNT(JE20,JE16,JE13,JE10,JE4)=0,"",SUM($B$4*IF(COUNT(JE4)=0,0,JE4),$B$10*IF(COUNT(JE10)=0,0,JE10),$B$13*IF(COUNT(JE13)=0,0,JE13),$B$16*IF(COUNT(JE16)=0,0,JE16),$B$20*IF(COUNT(JE20)=0,0,JE20))/SUM($B$4*COUNT(JE4),$B$10*COUNT(JE10),$B$13*COUNT(JE13),$B$16*COUNT(JE16),$B$20*COUNT(JE20)))</f>
        <v/>
      </c>
      <c r="JF22" s="221" t="str">
        <f>IF(JE22="","",JE22*5)</f>
        <v/>
      </c>
      <c r="JG22" s="184"/>
      <c r="JH22" s="184"/>
      <c r="JI22" s="160"/>
      <c r="JJ22" s="160"/>
      <c r="JK22" s="160"/>
      <c r="JL22" s="197">
        <f>IF(COUNT(JL20,JL16,JL13,JL10,JL4)=0,"",SUM($B$4*IF(COUNT(JL4)=0,0,JL4),$B$10*IF(COUNT(JL10)=0,0,JL10),$B$13*IF(COUNT(JL13)=0,0,JL13),$B$16*IF(COUNT(JL16)=0,0,JL16),$B$20*IF(COUNT(JL20)=0,0,JL20))/SUM($B$4*COUNT(JL4),$B$10*COUNT(JL10),$B$13*COUNT(JL13),$B$16*COUNT(JL16),$B$20*COUNT(JL20)))</f>
        <v>2.4222222222222221</v>
      </c>
      <c r="JM22" s="198">
        <f>IF(JL22="","",JL22*5)</f>
        <v>12.111111111111111</v>
      </c>
      <c r="JN22" s="82"/>
      <c r="JO22" s="82"/>
      <c r="JP22" s="82"/>
      <c r="JQ22" s="82"/>
      <c r="JR22" s="197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2.7685185185185186</v>
      </c>
      <c r="JS22" s="204">
        <f>IF(JR22="","",JR22*5)</f>
        <v>13.842592592592593</v>
      </c>
      <c r="JT22" s="82"/>
      <c r="JU22" s="82"/>
      <c r="JV22" s="82"/>
      <c r="JW22" s="82"/>
      <c r="JX22" s="197" t="str">
        <f>IF(COUNT(JX20,JX16,JX13,JX10,JX4)=0,"",SUM($B$4*IF(COUNT(JX4)=0,0,JX4),$B$10*IF(COUNT(JX10)=0,0,JX10),$B$13*IF(COUNT(JX13)=0,0,JX13),$B$16*IF(COUNT(JX16)=0,0,JX16),$B$20*IF(COUNT(JX20)=0,0,JX20))/SUM($B$4*COUNT(JX4),$B$10*COUNT(JX10),$B$13*COUNT(JX13),$B$16*COUNT(JX16),$B$20*COUNT(JX20)))</f>
        <v/>
      </c>
      <c r="JY22" s="221" t="str">
        <f>IF(JX22="","",JX22*5)</f>
        <v/>
      </c>
      <c r="JZ22" s="184"/>
      <c r="KA22" s="184"/>
      <c r="KB22" s="160"/>
      <c r="KC22" s="160"/>
      <c r="KD22" s="160"/>
      <c r="KE22" s="197">
        <f>IF(COUNT(KE20,KE16,KE13,KE10,KE4)=0,"",SUM($B$4*IF(COUNT(KE4)=0,0,KE4),$B$10*IF(COUNT(KE10)=0,0,KE10),$B$13*IF(COUNT(KE13)=0,0,KE13),$B$16*IF(COUNT(KE16)=0,0,KE16),$B$20*IF(COUNT(KE20)=0,0,KE20))/SUM($B$4*COUNT(KE4),$B$10*COUNT(KE10),$B$13*COUNT(KE13),$B$16*COUNT(KE16),$B$20*COUNT(KE20)))</f>
        <v>2.6944444444444446</v>
      </c>
      <c r="KF22" s="198">
        <f>IF(KE22="","",KE22*5)</f>
        <v>13.472222222222223</v>
      </c>
      <c r="KG22" s="82"/>
      <c r="KH22" s="82"/>
      <c r="KI22" s="82"/>
      <c r="KJ22" s="82"/>
      <c r="KK22" s="197">
        <f>IF(COUNT(KK20,KK16,KK13,KK10,KK4)=0,"",SUM($B$4*IF(COUNT(KK4)=0,0,KK4),$B$10*IF(COUNT(KK10)=0,0,KK10),$B$13*IF(COUNT(KK13)=0,0,KK13),$B$16*IF(COUNT(KK16)=0,0,KK16),$B$20*IF(COUNT(KK20)=0,0,KK20))/SUM($B$4*COUNT(KK4),$B$10*COUNT(KK10),$B$13*COUNT(KK13),$B$16*COUNT(KK16),$B$20*COUNT(KK20)))</f>
        <v>2.7222222222222228</v>
      </c>
      <c r="KL22" s="204">
        <f>IF(KK22="","",KK22*5)</f>
        <v>13.611111111111114</v>
      </c>
      <c r="KM22" s="82"/>
      <c r="KN22" s="82"/>
      <c r="KO22" s="82"/>
      <c r="KP22" s="82"/>
      <c r="KQ22" s="197" t="str">
        <f>IF(COUNT(KQ20,KQ16,KQ13,KQ10,KQ4)=0,"",SUM($B$4*IF(COUNT(KQ4)=0,0,KQ4),$B$10*IF(COUNT(KQ10)=0,0,KQ10),$B$13*IF(COUNT(KQ13)=0,0,KQ13),$B$16*IF(COUNT(KQ16)=0,0,KQ16),$B$20*IF(COUNT(KQ20)=0,0,KQ20))/SUM($B$4*COUNT(KQ4),$B$10*COUNT(KQ10),$B$13*COUNT(KQ13),$B$16*COUNT(KQ16),$B$20*COUNT(KQ20)))</f>
        <v/>
      </c>
      <c r="KR22" s="221" t="str">
        <f>IF(KQ22="","",KQ22*5)</f>
        <v/>
      </c>
      <c r="KS22" s="184"/>
      <c r="KT22" s="184"/>
      <c r="KU22" s="160"/>
      <c r="KV22" s="160"/>
      <c r="KW22" s="160"/>
      <c r="KX22" s="197">
        <f>IF(COUNT(KX20,KX16,KX13,KX10,KX4)=0,"",SUM($B$4*IF(COUNT(KX4)=0,0,KX4),$B$10*IF(COUNT(KX10)=0,0,KX10),$B$13*IF(COUNT(KX13)=0,0,KX13),$B$16*IF(COUNT(KX16)=0,0,KX16),$B$20*IF(COUNT(KX20)=0,0,KX20))/SUM($B$4*COUNT(KX4),$B$10*COUNT(KX10),$B$13*COUNT(KX13),$B$16*COUNT(KX16),$B$20*COUNT(KX20)))</f>
        <v>2.8611111111111112</v>
      </c>
      <c r="KY22" s="198">
        <f>IF(KX22="","",KX22*5)</f>
        <v>14.305555555555555</v>
      </c>
      <c r="KZ22" s="82"/>
      <c r="LA22" s="82"/>
      <c r="LB22" s="82"/>
      <c r="LC22" s="82"/>
      <c r="LD22" s="197">
        <f>IF(COUNT(LD20,LD16,LD13,LD10,LD4)=0,"",SUM($B$4*IF(COUNT(LD4)=0,0,LD4),$B$10*IF(COUNT(LD10)=0,0,LD10),$B$13*IF(COUNT(LD13)=0,0,LD13),$B$16*IF(COUNT(LD16)=0,0,LD16),$B$20*IF(COUNT(LD20)=0,0,LD20))/SUM($B$4*COUNT(LD4),$B$10*COUNT(LD10),$B$13*COUNT(LD13),$B$16*COUNT(LD16),$B$20*COUNT(LD20)))</f>
        <v>2.8611111111111107</v>
      </c>
      <c r="LE22" s="204">
        <f>IF(LD22="","",LD22*5)</f>
        <v>14.305555555555554</v>
      </c>
      <c r="LF22" s="82"/>
      <c r="LG22" s="82"/>
      <c r="LH22" s="82"/>
      <c r="LI22" s="82"/>
      <c r="LJ22" s="197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21" t="str">
        <f>IF(LJ22="","",LJ22*5)</f>
        <v/>
      </c>
      <c r="LL22" s="184"/>
      <c r="LM22" s="184"/>
      <c r="LN22" s="160"/>
      <c r="LO22" s="160"/>
      <c r="LP22" s="160"/>
      <c r="LQ22" s="197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3.0370370370370376</v>
      </c>
      <c r="LR22" s="198">
        <f>IF(LQ22="","",LQ22*5)</f>
        <v>15.185185185185189</v>
      </c>
      <c r="LS22" s="82"/>
      <c r="LT22" s="82"/>
      <c r="LU22" s="82"/>
      <c r="LV22" s="82"/>
      <c r="LW22" s="197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3.3148148148148149</v>
      </c>
      <c r="LX22" s="204">
        <f>IF(LW22="","",LW22*5)</f>
        <v>16.574074074074076</v>
      </c>
      <c r="LY22" s="82"/>
      <c r="LZ22" s="82"/>
      <c r="MA22" s="82"/>
      <c r="MB22" s="82"/>
      <c r="MC22" s="197" t="str">
        <f>IF(COUNT(MC20,MC16,MC13,MC10,MC4)=0,"",SUM($B$4*IF(COUNT(MC4)=0,0,MC4),$B$10*IF(COUNT(MC10)=0,0,MC10),$B$13*IF(COUNT(MC13)=0,0,MC13),$B$16*IF(COUNT(MC16)=0,0,MC16),$B$20*IF(COUNT(MC20)=0,0,MC20))/SUM($B$4*COUNT(MC4),$B$10*COUNT(MC10),$B$13*COUNT(MC13),$B$16*COUNT(MC16),$B$20*COUNT(MC20)))</f>
        <v/>
      </c>
      <c r="MD22" s="221" t="str">
        <f>IF(MC22="","",MC22*5)</f>
        <v/>
      </c>
      <c r="ME22" s="184"/>
      <c r="MF22" s="184"/>
      <c r="MG22" s="160"/>
      <c r="MH22" s="160"/>
      <c r="MI22" s="160"/>
      <c r="MJ22" s="197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2.9444444444444446</v>
      </c>
      <c r="MK22" s="198">
        <f>IF(MJ22="","",MJ22*5)</f>
        <v>14.722222222222223</v>
      </c>
      <c r="ML22" s="82"/>
      <c r="MM22" s="82"/>
      <c r="MN22" s="82"/>
      <c r="MO22" s="82"/>
      <c r="MP22" s="197">
        <f>IF(COUNT(MP20,MP16,MP13,MP10,MP4)=0,"",SUM($B$4*IF(COUNT(MP4)=0,0,MP4),$B$10*IF(COUNT(MP10)=0,0,MP10),$B$13*IF(COUNT(MP13)=0,0,MP13),$B$16*IF(COUNT(MP16)=0,0,MP16),$B$20*IF(COUNT(MP20)=0,0,MP20))/SUM($B$4*COUNT(MP4),$B$10*COUNT(MP10),$B$13*COUNT(MP13),$B$16*COUNT(MP16),$B$20*COUNT(MP20)))</f>
        <v>3.092592592592593</v>
      </c>
      <c r="MQ22" s="204">
        <f>IF(MP22="","",MP22*5)</f>
        <v>15.462962962962965</v>
      </c>
      <c r="MR22" s="82"/>
      <c r="MS22" s="82"/>
      <c r="MT22" s="82"/>
      <c r="MU22" s="82"/>
      <c r="MV22" s="197" t="str">
        <f>IF(COUNT(MV20,MV16,MV13,MV10,MV4)=0,"",SUM($B$4*IF(COUNT(MV4)=0,0,MV4),$B$10*IF(COUNT(MV10)=0,0,MV10),$B$13*IF(COUNT(MV13)=0,0,MV13),$B$16*IF(COUNT(MV16)=0,0,MV16),$B$20*IF(COUNT(MV20)=0,0,MV20))/SUM($B$4*COUNT(MV4),$B$10*COUNT(MV10),$B$13*COUNT(MV13),$B$16*COUNT(MV16),$B$20*COUNT(MV20)))</f>
        <v/>
      </c>
      <c r="MW22" s="221" t="str">
        <f>IF(MV22="","",MV22*5)</f>
        <v/>
      </c>
      <c r="MX22" s="184"/>
      <c r="MY22" s="184"/>
      <c r="MZ22" s="160"/>
      <c r="NA22" s="160"/>
      <c r="NB22" s="160"/>
      <c r="NC22" s="197">
        <f>IF(COUNT(NC20,NC16,NC13,NC10,NC4)=0,"",SUM($B$4*IF(COUNT(NC4)=0,0,NC4),$B$10*IF(COUNT(NC10)=0,0,NC10),$B$13*IF(COUNT(NC13)=0,0,NC13),$B$16*IF(COUNT(NC16)=0,0,NC16),$B$20*IF(COUNT(NC20)=0,0,NC20))/SUM($B$4*COUNT(NC4),$B$10*COUNT(NC10),$B$13*COUNT(NC13),$B$16*COUNT(NC16),$B$20*COUNT(NC20)))</f>
        <v>3.1064814814814814</v>
      </c>
      <c r="ND22" s="198">
        <f>IF(NC22="","",NC22*5)</f>
        <v>15.532407407407407</v>
      </c>
      <c r="NE22" s="82"/>
      <c r="NF22" s="82"/>
      <c r="NG22" s="82"/>
      <c r="NH22" s="82"/>
      <c r="NI22" s="197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>3.5</v>
      </c>
      <c r="NJ22" s="204">
        <f>IF(NI22="","",NI22*5)</f>
        <v>17.5</v>
      </c>
      <c r="NK22" s="82"/>
      <c r="NL22" s="82"/>
      <c r="NM22" s="82"/>
      <c r="NN22" s="82"/>
      <c r="NO22" s="197" t="str">
        <f>IF(COUNT(NO20,NO16,NO13,NO10,NO4)=0,"",SUM($B$4*IF(COUNT(NO4)=0,0,NO4),$B$10*IF(COUNT(NO10)=0,0,NO10),$B$13*IF(COUNT(NO13)=0,0,NO13),$B$16*IF(COUNT(NO16)=0,0,NO16),$B$20*IF(COUNT(NO20)=0,0,NO20))/SUM($B$4*COUNT(NO4),$B$10*COUNT(NO10),$B$13*COUNT(NO13),$B$16*COUNT(NO16),$B$20*COUNT(NO20)))</f>
        <v/>
      </c>
      <c r="NP22" s="221" t="str">
        <f>IF(NO22="","",NO22*5)</f>
        <v/>
      </c>
      <c r="NQ22" s="184"/>
      <c r="NR22" s="184"/>
      <c r="NS22" s="160"/>
      <c r="NT22" s="160"/>
      <c r="NU22" s="160"/>
      <c r="NV22" s="197">
        <f>IF(COUNT(NV20,NV16,NV13,NV10,NV4)=0,"",SUM($B$4*IF(COUNT(NV4)=0,0,NV4),$B$10*IF(COUNT(NV10)=0,0,NV10),$B$13*IF(COUNT(NV13)=0,0,NV13),$B$16*IF(COUNT(NV16)=0,0,NV16),$B$20*IF(COUNT(NV20)=0,0,NV20))/SUM($B$4*COUNT(NV4),$B$10*COUNT(NV10),$B$13*COUNT(NV13),$B$16*COUNT(NV16),$B$20*COUNT(NV20)))</f>
        <v>3.2666666666666666</v>
      </c>
      <c r="NW22" s="198">
        <f>IF(NV22="","",NV22*5)</f>
        <v>16.333333333333332</v>
      </c>
      <c r="NX22" s="82"/>
      <c r="NY22" s="82"/>
      <c r="NZ22" s="82"/>
      <c r="OA22" s="82"/>
      <c r="OB22" s="197">
        <f>IF(COUNT(OB20,OB16,OB13,OB10,OB4)=0,"",SUM($B$4*IF(COUNT(OB4)=0,0,OB4),$B$10*IF(COUNT(OB10)=0,0,OB10),$B$13*IF(COUNT(OB13)=0,0,OB13),$B$16*IF(COUNT(OB16)=0,0,OB16),$B$20*IF(COUNT(OB20)=0,0,OB20))/SUM($B$4*COUNT(OB4),$B$10*COUNT(OB10),$B$13*COUNT(OB13),$B$16*COUNT(OB16),$B$20*COUNT(OB20)))</f>
        <v>3.231481481481481</v>
      </c>
      <c r="OC22" s="204">
        <f>IF(OB22="","",OB22*5)</f>
        <v>16.157407407407405</v>
      </c>
      <c r="OD22" s="82"/>
      <c r="OE22" s="82"/>
      <c r="OF22" s="82"/>
      <c r="OG22" s="82"/>
      <c r="OH22" s="197" t="str">
        <f>IF(COUNT(OH20,OH16,OH13,OH10,OH4)=0,"",SUM($B$4*IF(COUNT(OH4)=0,0,OH4),$B$10*IF(COUNT(OH10)=0,0,OH10),$B$13*IF(COUNT(OH13)=0,0,OH13),$B$16*IF(COUNT(OH16)=0,0,OH16),$B$20*IF(COUNT(OH20)=0,0,OH20))/SUM($B$4*COUNT(OH4),$B$10*COUNT(OH10),$B$13*COUNT(OH13),$B$16*COUNT(OH16),$B$20*COUNT(OH20)))</f>
        <v/>
      </c>
      <c r="OI22" s="221" t="str">
        <f>IF(OH22="","",OH22*5)</f>
        <v/>
      </c>
      <c r="OJ22" s="184"/>
      <c r="OK22" s="184"/>
      <c r="OL22" s="160"/>
      <c r="OM22" s="160"/>
      <c r="ON22" s="160"/>
      <c r="OO22" s="197">
        <f>IF(COUNT(OO20,OO16,OO13,OO10,OO4)=0,"",SUM($B$4*IF(COUNT(OO4)=0,0,OO4),$B$10*IF(COUNT(OO10)=0,0,OO10),$B$13*IF(COUNT(OO13)=0,0,OO13),$B$16*IF(COUNT(OO16)=0,0,OO16),$B$20*IF(COUNT(OO20)=0,0,OO20))/SUM($B$4*COUNT(OO4),$B$10*COUNT(OO10),$B$13*COUNT(OO13),$B$16*COUNT(OO16),$B$20*COUNT(OO20)))</f>
        <v>3.5416666666666665</v>
      </c>
      <c r="OP22" s="198">
        <f>IF(OO22="","",OO22*5)</f>
        <v>17.708333333333332</v>
      </c>
      <c r="OQ22" s="82"/>
      <c r="OR22" s="82"/>
      <c r="OS22" s="82"/>
      <c r="OT22" s="82"/>
      <c r="OU22" s="197">
        <f>IF(COUNT(OU20,OU16,OU13,OU10,OU4)=0,"",SUM($B$4*IF(COUNT(OU4)=0,0,OU4),$B$10*IF(COUNT(OU10)=0,0,OU10),$B$13*IF(COUNT(OU13)=0,0,OU13),$B$16*IF(COUNT(OU16)=0,0,OU16),$B$20*IF(COUNT(OU20)=0,0,OU20))/SUM($B$4*COUNT(OU4),$B$10*COUNT(OU10),$B$13*COUNT(OU13),$B$16*COUNT(OU16),$B$20*COUNT(OU20)))</f>
        <v>3.7314814814814814</v>
      </c>
      <c r="OV22" s="204">
        <f>IF(OU22="","",OU22*5)</f>
        <v>18.657407407407408</v>
      </c>
      <c r="OW22" s="82"/>
      <c r="OX22" s="82"/>
      <c r="OY22" s="82"/>
      <c r="OZ22" s="82"/>
      <c r="PA22" s="197" t="str">
        <f>IF(COUNT(PA20,PA16,PA13,PA10,PA4)=0,"",SUM($B$4*IF(COUNT(PA4)=0,0,PA4),$B$10*IF(COUNT(PA10)=0,0,PA10),$B$13*IF(COUNT(PA13)=0,0,PA13),$B$16*IF(COUNT(PA16)=0,0,PA16),$B$20*IF(COUNT(PA20)=0,0,PA20))/SUM($B$4*COUNT(PA4),$B$10*COUNT(PA10),$B$13*COUNT(PA13),$B$16*COUNT(PA16),$B$20*COUNT(PA20)))</f>
        <v/>
      </c>
      <c r="PB22" s="221" t="str">
        <f>IF(PA22="","",PA22*5)</f>
        <v/>
      </c>
      <c r="PC22" s="184"/>
      <c r="PD22" s="184"/>
      <c r="PE22" s="160"/>
      <c r="PF22" s="160"/>
      <c r="PG22" s="160"/>
      <c r="PH22" s="197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>2.7037037037037037</v>
      </c>
      <c r="PI22" s="198">
        <f>IF(PH22="","",PH22*5)</f>
        <v>13.518518518518519</v>
      </c>
      <c r="PJ22" s="82"/>
      <c r="PK22" s="82"/>
      <c r="PL22" s="82"/>
      <c r="PM22" s="82"/>
      <c r="PN22" s="197">
        <f>IF(COUNT(PN20,PN16,PN13,PN10,PN4)=0,"",SUM($B$4*IF(COUNT(PN4)=0,0,PN4),$B$10*IF(COUNT(PN10)=0,0,PN10),$B$13*IF(COUNT(PN13)=0,0,PN13),$B$16*IF(COUNT(PN16)=0,0,PN16),$B$20*IF(COUNT(PN20)=0,0,PN20))/SUM($B$4*COUNT(PN4),$B$10*COUNT(PN10),$B$13*COUNT(PN13),$B$16*COUNT(PN16),$B$20*COUNT(PN20)))</f>
        <v>2.9722222222222219</v>
      </c>
      <c r="PO22" s="204">
        <f>IF(PN22="","",PN22*5)</f>
        <v>14.861111111111109</v>
      </c>
      <c r="PP22" s="82"/>
      <c r="PQ22" s="82"/>
      <c r="PR22" s="82"/>
      <c r="PS22" s="82"/>
      <c r="PT22" s="197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221" t="str">
        <f>IF(PT22="","",PT22*5)</f>
        <v/>
      </c>
      <c r="PV22" s="184"/>
      <c r="PW22" s="184"/>
      <c r="PX22" s="160"/>
      <c r="PY22" s="160"/>
      <c r="PZ22" s="160"/>
      <c r="QA22" s="197">
        <f>IF(COUNT(QA20,QA16,QA13,QA10,QA4)=0,"",SUM($B$4*IF(COUNT(QA4)=0,0,QA4),$B$10*IF(COUNT(QA10)=0,0,QA10),$B$13*IF(COUNT(QA13)=0,0,QA13),$B$16*IF(COUNT(QA16)=0,0,QA16),$B$20*IF(COUNT(QA20)=0,0,QA20))/SUM($B$4*COUNT(QA4),$B$10*COUNT(QA10),$B$13*COUNT(QA13),$B$16*COUNT(QA16),$B$20*COUNT(QA20)))</f>
        <v>2.7546296296296298</v>
      </c>
      <c r="QB22" s="198">
        <f>IF(QA22="","",QA22*5)</f>
        <v>13.773148148148149</v>
      </c>
      <c r="QC22" s="82"/>
      <c r="QD22" s="82"/>
      <c r="QE22" s="82"/>
      <c r="QF22" s="82"/>
      <c r="QG22" s="197">
        <f>IF(COUNT(QG20,QG16,QG13,QG10,QG4)=0,"",SUM($B$4*IF(COUNT(QG4)=0,0,QG4),$B$10*IF(COUNT(QG10)=0,0,QG10),$B$13*IF(COUNT(QG13)=0,0,QG13),$B$16*IF(COUNT(QG16)=0,0,QG16),$B$20*IF(COUNT(QG20)=0,0,QG20))/SUM($B$4*COUNT(QG4),$B$10*COUNT(QG10),$B$13*COUNT(QG13),$B$16*COUNT(QG16),$B$20*COUNT(QG20)))</f>
        <v>3.1944444444444446</v>
      </c>
      <c r="QH22" s="204">
        <f>IF(QG22="","",QG22*5)</f>
        <v>15.972222222222223</v>
      </c>
      <c r="QI22" s="82"/>
      <c r="QJ22" s="82"/>
      <c r="QK22" s="82"/>
      <c r="QL22" s="82"/>
      <c r="QM22" s="197" t="str">
        <f>IF(COUNT(QM20,QM16,QM13,QM10,QM4)=0,"",SUM($B$4*IF(COUNT(QM4)=0,0,QM4),$B$10*IF(COUNT(QM10)=0,0,QM10),$B$13*IF(COUNT(QM13)=0,0,QM13),$B$16*IF(COUNT(QM16)=0,0,QM16),$B$20*IF(COUNT(QM20)=0,0,QM20))/SUM($B$4*COUNT(QM4),$B$10*COUNT(QM10),$B$13*COUNT(QM13),$B$16*COUNT(QM16),$B$20*COUNT(QM20)))</f>
        <v/>
      </c>
      <c r="QN22" s="221" t="str">
        <f>IF(QM22="","",QM22*5)</f>
        <v/>
      </c>
      <c r="QO22" s="184"/>
      <c r="QP22" s="184"/>
      <c r="QQ22" s="160"/>
      <c r="QR22" s="160"/>
      <c r="QS22" s="160"/>
      <c r="QT22" s="197">
        <f>IF(COUNT(QT20,QT16,QT13,QT10,QT4)=0,"",SUM($B$4*IF(COUNT(QT4)=0,0,QT4),$B$10*IF(COUNT(QT10)=0,0,QT10),$B$13*IF(COUNT(QT13)=0,0,QT13),$B$16*IF(COUNT(QT16)=0,0,QT16),$B$20*IF(COUNT(QT20)=0,0,QT20))/SUM($B$4*COUNT(QT4),$B$10*COUNT(QT10),$B$13*COUNT(QT13),$B$16*COUNT(QT16),$B$20*COUNT(QT20)))</f>
        <v>3.3009259259259256</v>
      </c>
      <c r="QU22" s="198">
        <f>IF(QT22="","",QT22*5)</f>
        <v>16.504629629629626</v>
      </c>
      <c r="QV22" s="82"/>
      <c r="QW22" s="82"/>
      <c r="QX22" s="82"/>
      <c r="QY22" s="82"/>
      <c r="QZ22" s="197">
        <f>IF(COUNT(QZ20,QZ16,QZ13,QZ10,QZ4)=0,"",SUM($B$4*IF(COUNT(QZ4)=0,0,QZ4),$B$10*IF(COUNT(QZ10)=0,0,QZ10),$B$13*IF(COUNT(QZ13)=0,0,QZ13),$B$16*IF(COUNT(QZ16)=0,0,QZ16),$B$20*IF(COUNT(QZ20)=0,0,QZ20))/SUM($B$4*COUNT(QZ4),$B$10*COUNT(QZ10),$B$13*COUNT(QZ13),$B$16*COUNT(QZ16),$B$20*COUNT(QZ20)))</f>
        <v>2.7592592592592595</v>
      </c>
      <c r="RA22" s="204">
        <f>IF(QZ22="","",QZ22*5)</f>
        <v>13.796296296296298</v>
      </c>
      <c r="RB22" s="82"/>
      <c r="RC22" s="82"/>
      <c r="RD22" s="82"/>
      <c r="RE22" s="82"/>
      <c r="RF22" s="197" t="str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/>
      </c>
      <c r="RG22" s="221" t="str">
        <f>IF(RF22="","",RF22*5)</f>
        <v/>
      </c>
      <c r="RH22" s="184"/>
      <c r="RI22" s="184"/>
      <c r="RJ22" s="160"/>
      <c r="RK22" s="160"/>
      <c r="RL22" s="160"/>
      <c r="RM22" s="197">
        <f>IF(COUNT(RM20,RM16,RM13,RM10,RM4)=0,"",SUM($B$4*IF(COUNT(RM4)=0,0,RM4),$B$10*IF(COUNT(RM10)=0,0,RM10),$B$13*IF(COUNT(RM13)=0,0,RM13),$B$16*IF(COUNT(RM16)=0,0,RM16),$B$20*IF(COUNT(RM20)=0,0,RM20))/SUM($B$4*COUNT(RM4),$B$10*COUNT(RM10),$B$13*COUNT(RM13),$B$16*COUNT(RM16),$B$20*COUNT(RM20)))</f>
        <v>2.8148148148148149</v>
      </c>
      <c r="RN22" s="198">
        <f>IF(RM22="","",RM22*5)</f>
        <v>14.074074074074074</v>
      </c>
      <c r="RO22" s="82"/>
      <c r="RP22" s="82"/>
      <c r="RQ22" s="82"/>
      <c r="RR22" s="82"/>
      <c r="RS22" s="197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>2.9814814814814814</v>
      </c>
      <c r="RT22" s="204">
        <f>IF(RS22="","",RS22*5)</f>
        <v>14.907407407407407</v>
      </c>
      <c r="RU22" s="82"/>
      <c r="RV22" s="82"/>
      <c r="RW22" s="82"/>
      <c r="RX22" s="82"/>
      <c r="RY22" s="197" t="str">
        <f>IF(COUNT(RY20,RY16,RY13,RY10,RY4)=0,"",SUM($B$4*IF(COUNT(RY4)=0,0,RY4),$B$10*IF(COUNT(RY10)=0,0,RY10),$B$13*IF(COUNT(RY13)=0,0,RY13),$B$16*IF(COUNT(RY16)=0,0,RY16),$B$20*IF(COUNT(RY20)=0,0,RY20))/SUM($B$4*COUNT(RY4),$B$10*COUNT(RY10),$B$13*COUNT(RY13),$B$16*COUNT(RY16),$B$20*COUNT(RY20)))</f>
        <v/>
      </c>
      <c r="RZ22" s="221" t="str">
        <f>IF(RY22="","",RY22*5)</f>
        <v/>
      </c>
      <c r="SA22" s="184"/>
      <c r="SB22" s="184"/>
      <c r="SC22" s="160"/>
      <c r="SD22" s="160"/>
      <c r="SE22" s="160"/>
      <c r="SF22" s="161" t="str">
        <f>IF(COUNT(SF20,SF16,SF13,SF10,SF4)=0,"",SUM($B$4*IF(COUNT(SF4)=0,0,SF4),$B$10*IF(COUNT(SF10)=0,0,SF10),$B$13*IF(COUNT(SF13)=0,0,SF13),$B$16*IF(COUNT(SF16)=0,0,SF16),$B$20*IF(COUNT(SF20)=0,0,SF20))/SUM($B$4*COUNT(SF4),$B$10*COUNT(SF10),$B$13*COUNT(SF13),$B$16*COUNT(SF16),$B$20*COUNT(SF20)))</f>
        <v/>
      </c>
      <c r="SG22" s="162" t="str">
        <f>IF(SF22="","",SF22*5)</f>
        <v/>
      </c>
      <c r="SH22" s="82"/>
      <c r="SI22" s="82"/>
      <c r="SJ22" s="82"/>
      <c r="SK22" s="161" t="str">
        <f>IF(COUNT(SK20,SK16,SK13,SK10,SK4)=0,"",SUM($B$4*IF(COUNT(SK4)=0,0,SK4),$B$10*IF(COUNT(SK10)=0,0,SK10),$B$13*IF(COUNT(SK13)=0,0,SK13),$B$16*IF(COUNT(SK16)=0,0,SK16),$B$20*IF(COUNT(SK20)=0,0,SK20))/SUM($B$4*COUNT(SK4),$B$10*COUNT(SK10),$B$13*COUNT(SK13),$B$16*COUNT(SK16),$B$20*COUNT(SK20)))</f>
        <v/>
      </c>
      <c r="SL22" s="163" t="str">
        <f>IF(SK22="","",SK22*5)</f>
        <v/>
      </c>
      <c r="SM22" s="82"/>
      <c r="SN22" s="82"/>
      <c r="SO22" s="82"/>
      <c r="SP22" s="161" t="str">
        <f>IF(COUNT(SP20,SP16,SP13,SP10,SP4)=0,"",SUM($B$4*IF(COUNT(SP4)=0,0,SP4),$B$10*IF(COUNT(SP10)=0,0,SP10),$B$13*IF(COUNT(SP13)=0,0,SP13),$B$16*IF(COUNT(SP16)=0,0,SP16),$B$20*IF(COUNT(SP20)=0,0,SP20))/SUM($B$4*COUNT(SP4),$B$10*COUNT(SP10),$B$13*COUNT(SP13),$B$16*COUNT(SP16),$B$20*COUNT(SP20)))</f>
        <v/>
      </c>
      <c r="SQ22" s="164" t="str">
        <f>IF(SP22="","",SP22*5)</f>
        <v/>
      </c>
      <c r="SR22" s="81"/>
      <c r="SS22" s="81"/>
      <c r="ST22" s="160"/>
      <c r="SU22" s="160"/>
      <c r="SV22" s="160"/>
      <c r="SW22" s="161" t="str">
        <f>IF(COUNT(SW20,SW16,SW13,SW10,SW4)=0,"",SUM($B$4*IF(COUNT(SW4)=0,0,SW4),$B$10*IF(COUNT(SW10)=0,0,SW10),$B$13*IF(COUNT(SW13)=0,0,SW13),$B$16*IF(COUNT(SW16)=0,0,SW16),$B$20*IF(COUNT(SW20)=0,0,SW20))/SUM($B$4*COUNT(SW4),$B$10*COUNT(SW10),$B$13*COUNT(SW13),$B$16*COUNT(SW16),$B$20*COUNT(SW20)))</f>
        <v/>
      </c>
      <c r="SX22" s="162" t="str">
        <f>IF(SW22="","",SW22*5)</f>
        <v/>
      </c>
      <c r="SY22" s="82"/>
      <c r="SZ22" s="82"/>
      <c r="TA22" s="82"/>
      <c r="TB22" s="161" t="str">
        <f>IF(COUNT(TB20,TB16,TB13,TB10,TB4)=0,"",SUM($B$4*IF(COUNT(TB4)=0,0,TB4),$B$10*IF(COUNT(TB10)=0,0,TB10),$B$13*IF(COUNT(TB13)=0,0,TB13),$B$16*IF(COUNT(TB16)=0,0,TB16),$B$20*IF(COUNT(TB20)=0,0,TB20))/SUM($B$4*COUNT(TB4),$B$10*COUNT(TB10),$B$13*COUNT(TB13),$B$16*COUNT(TB16),$B$20*COUNT(TB20)))</f>
        <v/>
      </c>
      <c r="TC22" s="163" t="str">
        <f>IF(TB22="","",TB22*5)</f>
        <v/>
      </c>
      <c r="TD22" s="82"/>
      <c r="TE22" s="82"/>
      <c r="TF22" s="82"/>
      <c r="TG22" s="161" t="str">
        <f>IF(COUNT(TG20,TG16,TG13,TG10,TG4)=0,"",SUM($B$4*IF(COUNT(TG4)=0,0,TG4),$B$10*IF(COUNT(TG10)=0,0,TG10),$B$13*IF(COUNT(TG13)=0,0,TG13),$B$16*IF(COUNT(TG16)=0,0,TG16),$B$20*IF(COUNT(TG20)=0,0,TG20))/SUM($B$4*COUNT(TG4),$B$10*COUNT(TG10),$B$13*COUNT(TG13),$B$16*COUNT(TG16),$B$20*COUNT(TG20)))</f>
        <v/>
      </c>
      <c r="TH22" s="164" t="str">
        <f>IF(TG22="","",TG22*5)</f>
        <v/>
      </c>
      <c r="TI22" s="81"/>
      <c r="TJ22" s="81"/>
      <c r="TK22" s="160"/>
      <c r="TL22" s="160"/>
      <c r="TM22" s="160"/>
      <c r="TN22" s="161" t="str">
        <f>IF(COUNT(TN20,TN16,TN13,TN10,TN4)=0,"",SUM($B$4*IF(COUNT(TN4)=0,0,TN4),$B$10*IF(COUNT(TN10)=0,0,TN10),$B$13*IF(COUNT(TN13)=0,0,TN13),$B$16*IF(COUNT(TN16)=0,0,TN16),$B$20*IF(COUNT(TN20)=0,0,TN20))/SUM($B$4*COUNT(TN4),$B$10*COUNT(TN10),$B$13*COUNT(TN13),$B$16*COUNT(TN16),$B$20*COUNT(TN20)))</f>
        <v/>
      </c>
      <c r="TO22" s="162" t="str">
        <f>IF(TN22="","",TN22*5)</f>
        <v/>
      </c>
      <c r="TP22" s="82"/>
      <c r="TQ22" s="82"/>
      <c r="TR22" s="82"/>
      <c r="TS22" s="161" t="str">
        <f>IF(COUNT(TS20,TS16,TS13,TS10,TS4)=0,"",SUM($B$4*IF(COUNT(TS4)=0,0,TS4),$B$10*IF(COUNT(TS10)=0,0,TS10),$B$13*IF(COUNT(TS13)=0,0,TS13),$B$16*IF(COUNT(TS16)=0,0,TS16),$B$20*IF(COUNT(TS20)=0,0,TS20))/SUM($B$4*COUNT(TS4),$B$10*COUNT(TS10),$B$13*COUNT(TS13),$B$16*COUNT(TS16),$B$20*COUNT(TS20)))</f>
        <v/>
      </c>
      <c r="TT22" s="163" t="str">
        <f>IF(TS22="","",TS22*5)</f>
        <v/>
      </c>
      <c r="TU22" s="82"/>
      <c r="TV22" s="82"/>
      <c r="TW22" s="82"/>
      <c r="TX22" s="161" t="str">
        <f>IF(COUNT(TX20,TX16,TX13,TX10,TX4)=0,"",SUM($B$4*IF(COUNT(TX4)=0,0,TX4),$B$10*IF(COUNT(TX10)=0,0,TX10),$B$13*IF(COUNT(TX13)=0,0,TX13),$B$16*IF(COUNT(TX16)=0,0,TX16),$B$20*IF(COUNT(TX20)=0,0,TX20))/SUM($B$4*COUNT(TX4),$B$10*COUNT(TX10),$B$13*COUNT(TX13),$B$16*COUNT(TX16),$B$20*COUNT(TX20)))</f>
        <v/>
      </c>
      <c r="TY22" s="164" t="str">
        <f>IF(TX22="","",TX22*5)</f>
        <v/>
      </c>
      <c r="TZ22" s="81"/>
      <c r="UA22" s="81"/>
      <c r="UB22" s="160"/>
      <c r="UC22" s="160"/>
      <c r="UD22" s="160"/>
      <c r="UE22" s="161" t="str">
        <f>IF(COUNT(UE20,UE16,UE13,UE10,UE4)=0,"",SUM($B$4*IF(COUNT(UE4)=0,0,UE4),$B$10*IF(COUNT(UE10)=0,0,UE10),$B$13*IF(COUNT(UE13)=0,0,UE13),$B$16*IF(COUNT(UE16)=0,0,UE16),$B$20*IF(COUNT(UE20)=0,0,UE20))/SUM($B$4*COUNT(UE4),$B$10*COUNT(UE10),$B$13*COUNT(UE13),$B$16*COUNT(UE16),$B$20*COUNT(UE20)))</f>
        <v/>
      </c>
      <c r="UF22" s="162" t="str">
        <f>IF(UE22="","",UE22*5)</f>
        <v/>
      </c>
      <c r="UG22" s="82"/>
      <c r="UH22" s="82"/>
      <c r="UI22" s="82"/>
      <c r="UJ22" s="161" t="str">
        <f>IF(COUNT(UJ20,UJ16,UJ13,UJ10,UJ4)=0,"",SUM($B$4*IF(COUNT(UJ4)=0,0,UJ4),$B$10*IF(COUNT(UJ10)=0,0,UJ10),$B$13*IF(COUNT(UJ13)=0,0,UJ13),$B$16*IF(COUNT(UJ16)=0,0,UJ16),$B$20*IF(COUNT(UJ20)=0,0,UJ20))/SUM($B$4*COUNT(UJ4),$B$10*COUNT(UJ10),$B$13*COUNT(UJ13),$B$16*COUNT(UJ16),$B$20*COUNT(UJ20)))</f>
        <v/>
      </c>
      <c r="UK22" s="163" t="str">
        <f>IF(UJ22="","",UJ22*5)</f>
        <v/>
      </c>
      <c r="UL22" s="82"/>
      <c r="UM22" s="82"/>
      <c r="UN22" s="82"/>
      <c r="UO22" s="161" t="str">
        <f>IF(COUNT(UO20,UO16,UO13,UO10,UO4)=0,"",SUM($B$4*IF(COUNT(UO4)=0,0,UO4),$B$10*IF(COUNT(UO10)=0,0,UO10),$B$13*IF(COUNT(UO13)=0,0,UO13),$B$16*IF(COUNT(UO16)=0,0,UO16),$B$20*IF(COUNT(UO20)=0,0,UO20))/SUM($B$4*COUNT(UO4),$B$10*COUNT(UO10),$B$13*COUNT(UO13),$B$16*COUNT(UO16),$B$20*COUNT(UO20)))</f>
        <v/>
      </c>
      <c r="UP22" s="164" t="str">
        <f>IF(UO22="","",UO22*5)</f>
        <v/>
      </c>
      <c r="UQ22" s="81"/>
      <c r="UR22" s="81"/>
    </row>
    <row r="23" spans="1:564" s="165" customFormat="1" x14ac:dyDescent="0.35">
      <c r="A23" s="175"/>
      <c r="B23" s="175"/>
      <c r="F23" s="175"/>
      <c r="G23" s="175"/>
      <c r="L23" s="175"/>
      <c r="M23" s="175"/>
      <c r="R23" s="175"/>
      <c r="S23" s="175"/>
      <c r="T23" s="200"/>
      <c r="U23" s="200"/>
      <c r="Y23" s="175"/>
      <c r="Z23" s="175"/>
      <c r="AE23" s="175"/>
      <c r="AF23" s="175"/>
      <c r="AK23" s="175"/>
      <c r="AL23" s="175"/>
      <c r="AM23" s="200"/>
      <c r="AN23" s="200"/>
      <c r="BF23" s="166"/>
      <c r="BG23" s="166"/>
      <c r="BY23" s="166"/>
      <c r="BZ23" s="166"/>
      <c r="CR23" s="166"/>
      <c r="CS23" s="166"/>
      <c r="DK23" s="166"/>
      <c r="DL23" s="166"/>
      <c r="ED23" s="166"/>
      <c r="EE23" s="166"/>
      <c r="EW23" s="166"/>
      <c r="EX23" s="166"/>
      <c r="FP23" s="166"/>
      <c r="FQ23" s="166"/>
      <c r="GI23" s="166"/>
      <c r="GJ23" s="166"/>
      <c r="HB23" s="166"/>
      <c r="HC23" s="166"/>
      <c r="HU23" s="166"/>
      <c r="HV23" s="166"/>
      <c r="IN23" s="166"/>
      <c r="IO23" s="166"/>
      <c r="JG23" s="166"/>
      <c r="JH23" s="166"/>
      <c r="JZ23" s="166"/>
      <c r="KA23" s="166"/>
      <c r="KS23" s="166"/>
      <c r="KT23" s="166"/>
      <c r="LL23" s="166"/>
      <c r="LM23" s="166"/>
      <c r="ME23" s="166"/>
      <c r="MF23" s="166"/>
      <c r="MX23" s="166"/>
      <c r="MY23" s="166"/>
      <c r="NQ23" s="166"/>
      <c r="NR23" s="166"/>
      <c r="OJ23" s="166"/>
      <c r="OK23" s="166"/>
      <c r="PC23" s="166"/>
      <c r="PD23" s="166"/>
      <c r="PV23" s="166"/>
      <c r="PW23" s="166"/>
      <c r="QO23" s="166"/>
      <c r="QP23" s="166"/>
      <c r="RH23" s="166"/>
      <c r="RI23" s="166"/>
      <c r="SA23" s="166"/>
      <c r="SB23" s="166"/>
      <c r="SR23" s="166"/>
      <c r="SS23" s="166"/>
      <c r="TI23" s="166"/>
      <c r="TJ23" s="166"/>
      <c r="TZ23" s="166"/>
      <c r="UA23" s="166"/>
      <c r="UQ23" s="166"/>
      <c r="UR23" s="166"/>
    </row>
    <row r="24" spans="1:564" x14ac:dyDescent="0.25">
      <c r="A24" s="176"/>
      <c r="B24" s="176"/>
      <c r="C24" s="167"/>
      <c r="D24" s="166"/>
      <c r="E24" s="166"/>
      <c r="F24" s="176"/>
      <c r="G24" s="176"/>
      <c r="I24" s="166"/>
      <c r="J24" s="166"/>
      <c r="K24" s="166"/>
      <c r="N24" s="168"/>
      <c r="O24" s="168"/>
      <c r="P24" s="168"/>
      <c r="Q24" s="168"/>
      <c r="R24" s="199"/>
      <c r="T24" s="176"/>
      <c r="U24" s="176"/>
      <c r="V24" s="167"/>
      <c r="W24" s="166"/>
      <c r="X24" s="166"/>
      <c r="Y24" s="176"/>
      <c r="Z24" s="176"/>
      <c r="AB24" s="166"/>
      <c r="AC24" s="166"/>
      <c r="AD24" s="166"/>
      <c r="AG24" s="168"/>
      <c r="AH24" s="168"/>
      <c r="AI24" s="168"/>
      <c r="AJ24" s="168"/>
      <c r="AK24" s="199"/>
      <c r="AM24" s="176"/>
      <c r="AN24" s="176"/>
      <c r="AO24" s="167"/>
      <c r="AP24" s="166"/>
      <c r="AQ24" s="166"/>
      <c r="AR24" s="167"/>
      <c r="AS24" s="167"/>
      <c r="AU24" s="166"/>
      <c r="AV24" s="166"/>
      <c r="AW24" s="166"/>
      <c r="AZ24" s="168"/>
      <c r="BA24" s="168"/>
      <c r="BB24" s="168"/>
      <c r="BC24" s="168"/>
      <c r="BD24" s="168"/>
      <c r="BF24" s="167"/>
      <c r="BG24" s="167"/>
      <c r="BH24" s="167"/>
      <c r="BI24" s="166"/>
      <c r="BJ24" s="166"/>
      <c r="BK24" s="167"/>
      <c r="BL24" s="167"/>
      <c r="BN24" s="166"/>
      <c r="BO24" s="166"/>
      <c r="BP24" s="166"/>
      <c r="BS24" s="168"/>
      <c r="BT24" s="168"/>
      <c r="BU24" s="168"/>
      <c r="BV24" s="168"/>
      <c r="BW24" s="168"/>
      <c r="BY24" s="167"/>
      <c r="BZ24" s="167"/>
      <c r="CA24" s="167"/>
      <c r="CB24" s="166"/>
      <c r="CC24" s="166"/>
      <c r="CD24" s="167"/>
      <c r="CE24" s="167"/>
      <c r="CG24" s="166"/>
      <c r="CH24" s="166"/>
      <c r="CI24" s="166"/>
      <c r="CL24" s="168"/>
      <c r="CM24" s="168"/>
      <c r="CN24" s="168"/>
      <c r="CO24" s="168"/>
      <c r="CP24" s="168"/>
      <c r="CR24" s="167"/>
      <c r="CS24" s="167"/>
      <c r="CT24" s="167"/>
      <c r="CU24" s="166"/>
      <c r="CV24" s="166"/>
      <c r="CW24" s="167"/>
      <c r="CX24" s="167"/>
      <c r="CZ24" s="166"/>
      <c r="DA24" s="166"/>
      <c r="DB24" s="166"/>
      <c r="DE24" s="168"/>
      <c r="DF24" s="168"/>
      <c r="DG24" s="168"/>
      <c r="DH24" s="168"/>
      <c r="DI24" s="168"/>
      <c r="DK24" s="167"/>
      <c r="DL24" s="167"/>
      <c r="DM24" s="167"/>
      <c r="DN24" s="166"/>
      <c r="DO24" s="166"/>
      <c r="DP24" s="167"/>
      <c r="DQ24" s="167"/>
      <c r="DS24" s="166"/>
      <c r="DT24" s="166"/>
      <c r="DU24" s="166"/>
      <c r="DX24" s="168"/>
      <c r="DY24" s="168"/>
      <c r="DZ24" s="168"/>
      <c r="EA24" s="168"/>
      <c r="EB24" s="168"/>
      <c r="ED24" s="167"/>
      <c r="EE24" s="167"/>
      <c r="EF24" s="167"/>
      <c r="EG24" s="166"/>
      <c r="EH24" s="166"/>
      <c r="EI24" s="167"/>
      <c r="EJ24" s="167"/>
      <c r="EL24" s="166"/>
      <c r="EM24" s="166"/>
      <c r="EN24" s="166"/>
      <c r="EQ24" s="168"/>
      <c r="ER24" s="168"/>
      <c r="ES24" s="168"/>
      <c r="ET24" s="168"/>
      <c r="EU24" s="168"/>
      <c r="EW24" s="167"/>
      <c r="EX24" s="167"/>
      <c r="EY24" s="167"/>
      <c r="EZ24" s="166"/>
      <c r="FA24" s="166"/>
      <c r="FB24" s="167"/>
      <c r="FC24" s="167"/>
      <c r="FE24" s="166"/>
      <c r="FF24" s="166"/>
      <c r="FG24" s="166"/>
      <c r="FJ24" s="168"/>
      <c r="FK24" s="168"/>
      <c r="FL24" s="168"/>
      <c r="FM24" s="168"/>
      <c r="FN24" s="168"/>
      <c r="FP24" s="167"/>
      <c r="FQ24" s="167"/>
      <c r="FR24" s="167"/>
      <c r="FS24" s="166"/>
      <c r="FT24" s="166"/>
      <c r="FU24" s="167"/>
      <c r="FV24" s="167"/>
      <c r="FX24" s="166"/>
      <c r="FY24" s="166"/>
      <c r="FZ24" s="166"/>
      <c r="GC24" s="168"/>
      <c r="GD24" s="168"/>
      <c r="GE24" s="168"/>
      <c r="GF24" s="168"/>
      <c r="GG24" s="168"/>
      <c r="GI24" s="167"/>
      <c r="GJ24" s="167"/>
      <c r="GK24" s="167"/>
      <c r="GL24" s="166"/>
      <c r="GM24" s="166"/>
      <c r="GN24" s="167"/>
      <c r="GO24" s="167"/>
      <c r="GQ24" s="166"/>
      <c r="GR24" s="166"/>
      <c r="GS24" s="166"/>
      <c r="GV24" s="168"/>
      <c r="GW24" s="168"/>
      <c r="GX24" s="168"/>
      <c r="GY24" s="168"/>
      <c r="GZ24" s="168"/>
      <c r="HB24" s="167"/>
      <c r="HC24" s="167"/>
      <c r="HD24" s="167"/>
      <c r="HE24" s="166"/>
      <c r="HF24" s="166"/>
      <c r="HG24" s="167"/>
      <c r="HH24" s="167"/>
      <c r="HJ24" s="166"/>
      <c r="HK24" s="166"/>
      <c r="HL24" s="166"/>
      <c r="HO24" s="168"/>
      <c r="HP24" s="168"/>
      <c r="HQ24" s="168"/>
      <c r="HR24" s="168"/>
      <c r="HS24" s="168"/>
      <c r="HU24" s="167"/>
      <c r="HV24" s="167"/>
      <c r="HW24" s="167"/>
      <c r="HX24" s="166"/>
      <c r="HY24" s="166"/>
      <c r="HZ24" s="167"/>
      <c r="IA24" s="167"/>
      <c r="IC24" s="166"/>
      <c r="ID24" s="166"/>
      <c r="IE24" s="166"/>
      <c r="IH24" s="168"/>
      <c r="II24" s="168"/>
      <c r="IJ24" s="168"/>
      <c r="IK24" s="168"/>
      <c r="IL24" s="168"/>
      <c r="IN24" s="167"/>
      <c r="IO24" s="167"/>
      <c r="IP24" s="167"/>
      <c r="IQ24" s="166"/>
      <c r="IR24" s="166"/>
      <c r="IS24" s="167"/>
      <c r="IT24" s="167"/>
      <c r="IV24" s="166"/>
      <c r="IW24" s="166"/>
      <c r="IX24" s="166"/>
      <c r="JA24" s="168"/>
      <c r="JB24" s="168"/>
      <c r="JC24" s="168"/>
      <c r="JD24" s="168"/>
      <c r="JE24" s="168"/>
      <c r="JG24" s="167"/>
      <c r="JH24" s="167"/>
      <c r="JI24" s="167"/>
      <c r="JJ24" s="166"/>
      <c r="JK24" s="166"/>
      <c r="JL24" s="167"/>
      <c r="JM24" s="167"/>
      <c r="JO24" s="166"/>
      <c r="JP24" s="166"/>
      <c r="JQ24" s="166"/>
      <c r="JT24" s="168"/>
      <c r="JU24" s="168"/>
      <c r="JV24" s="168"/>
      <c r="JW24" s="168"/>
      <c r="JX24" s="168"/>
      <c r="JZ24" s="167"/>
      <c r="KA24" s="167"/>
      <c r="KB24" s="167"/>
      <c r="KC24" s="166"/>
      <c r="KD24" s="166"/>
      <c r="KE24" s="167"/>
      <c r="KF24" s="167"/>
      <c r="KH24" s="166"/>
      <c r="KI24" s="166"/>
      <c r="KJ24" s="166"/>
      <c r="KM24" s="168"/>
      <c r="KN24" s="168"/>
      <c r="KO24" s="168"/>
      <c r="KP24" s="168"/>
      <c r="KQ24" s="168"/>
      <c r="KS24" s="167"/>
      <c r="KT24" s="167"/>
      <c r="KU24" s="167"/>
      <c r="KV24" s="166"/>
      <c r="KW24" s="166"/>
      <c r="KX24" s="167"/>
      <c r="KY24" s="167"/>
      <c r="LA24" s="166"/>
      <c r="LB24" s="166"/>
      <c r="LC24" s="166"/>
      <c r="LF24" s="168"/>
      <c r="LG24" s="168"/>
      <c r="LH24" s="168"/>
      <c r="LI24" s="168"/>
      <c r="LJ24" s="168"/>
      <c r="LL24" s="167"/>
      <c r="LM24" s="167"/>
      <c r="LN24" s="167"/>
      <c r="LO24" s="166"/>
      <c r="LP24" s="166"/>
      <c r="LQ24" s="167"/>
      <c r="LR24" s="167"/>
      <c r="LT24" s="166"/>
      <c r="LU24" s="166"/>
      <c r="LV24" s="166"/>
      <c r="LY24" s="168"/>
      <c r="LZ24" s="168"/>
      <c r="MA24" s="168"/>
      <c r="MB24" s="168"/>
      <c r="MC24" s="168"/>
      <c r="ME24" s="167"/>
      <c r="MF24" s="167"/>
      <c r="MG24" s="167"/>
      <c r="MH24" s="166"/>
      <c r="MI24" s="166"/>
      <c r="MJ24" s="167"/>
      <c r="MK24" s="167"/>
      <c r="MM24" s="166"/>
      <c r="MN24" s="166"/>
      <c r="MO24" s="166"/>
      <c r="MR24" s="168"/>
      <c r="MS24" s="168"/>
      <c r="MT24" s="168"/>
      <c r="MU24" s="168"/>
      <c r="MV24" s="168"/>
      <c r="MX24" s="167"/>
      <c r="MY24" s="167"/>
      <c r="MZ24" s="167"/>
      <c r="NA24" s="166"/>
      <c r="NB24" s="166"/>
      <c r="NC24" s="167"/>
      <c r="ND24" s="167"/>
      <c r="NF24" s="166"/>
      <c r="NG24" s="166"/>
      <c r="NH24" s="166"/>
      <c r="NK24" s="168"/>
      <c r="NL24" s="168"/>
      <c r="NM24" s="168"/>
      <c r="NN24" s="168"/>
      <c r="NO24" s="168"/>
      <c r="NQ24" s="167"/>
      <c r="NR24" s="167"/>
      <c r="NS24" s="167"/>
      <c r="NT24" s="166"/>
      <c r="NU24" s="166"/>
      <c r="NV24" s="167"/>
      <c r="NW24" s="167"/>
      <c r="NY24" s="166"/>
      <c r="NZ24" s="166"/>
      <c r="OA24" s="166"/>
      <c r="OD24" s="168"/>
      <c r="OE24" s="168"/>
      <c r="OF24" s="168"/>
      <c r="OG24" s="168"/>
      <c r="OH24" s="168"/>
      <c r="OJ24" s="167"/>
      <c r="OK24" s="167"/>
      <c r="OL24" s="167"/>
      <c r="OM24" s="166"/>
      <c r="ON24" s="166"/>
      <c r="OO24" s="167"/>
      <c r="OP24" s="167"/>
      <c r="OR24" s="166"/>
      <c r="OS24" s="166"/>
      <c r="OT24" s="166"/>
      <c r="OW24" s="168"/>
      <c r="OX24" s="168"/>
      <c r="OY24" s="168"/>
      <c r="OZ24" s="168"/>
      <c r="PA24" s="168"/>
      <c r="PC24" s="167"/>
      <c r="PD24" s="167"/>
      <c r="PE24" s="167"/>
      <c r="PF24" s="166"/>
      <c r="PG24" s="166"/>
      <c r="PH24" s="167"/>
      <c r="PI24" s="167"/>
      <c r="PK24" s="166"/>
      <c r="PL24" s="166"/>
      <c r="PM24" s="166"/>
      <c r="PP24" s="168"/>
      <c r="PQ24" s="168"/>
      <c r="PR24" s="168"/>
      <c r="PS24" s="168"/>
      <c r="PT24" s="168"/>
      <c r="PV24" s="167"/>
      <c r="PW24" s="167"/>
      <c r="PX24" s="167"/>
      <c r="PY24" s="166"/>
      <c r="PZ24" s="166"/>
      <c r="QA24" s="167"/>
      <c r="QB24" s="167"/>
      <c r="QD24" s="166"/>
      <c r="QE24" s="166"/>
      <c r="QF24" s="166"/>
      <c r="QI24" s="168"/>
      <c r="QJ24" s="168"/>
      <c r="QK24" s="168"/>
      <c r="QL24" s="168"/>
      <c r="QM24" s="168"/>
      <c r="QO24" s="167"/>
      <c r="QP24" s="167"/>
      <c r="QQ24" s="167"/>
      <c r="QR24" s="166"/>
      <c r="QS24" s="166"/>
      <c r="QT24" s="167"/>
      <c r="QU24" s="167"/>
      <c r="QW24" s="166"/>
      <c r="QX24" s="166"/>
      <c r="QY24" s="166"/>
      <c r="RB24" s="168"/>
      <c r="RC24" s="168"/>
      <c r="RD24" s="168"/>
      <c r="RE24" s="168"/>
      <c r="RF24" s="168"/>
      <c r="RH24" s="167"/>
      <c r="RI24" s="167"/>
      <c r="RJ24" s="167"/>
      <c r="RK24" s="166"/>
      <c r="RL24" s="166"/>
      <c r="RM24" s="167"/>
      <c r="RN24" s="167"/>
      <c r="RP24" s="166"/>
      <c r="RQ24" s="166"/>
      <c r="RR24" s="166"/>
      <c r="RU24" s="168"/>
      <c r="RV24" s="168"/>
      <c r="RW24" s="168"/>
      <c r="RX24" s="168"/>
      <c r="RY24" s="168"/>
      <c r="SA24" s="167"/>
      <c r="SB24" s="167"/>
      <c r="SC24" s="167"/>
      <c r="SD24" s="166"/>
      <c r="SE24" s="166"/>
      <c r="SF24" s="167"/>
      <c r="SG24" s="167"/>
      <c r="SI24" s="166"/>
      <c r="SJ24" s="166"/>
      <c r="SM24" s="168"/>
      <c r="SN24" s="168"/>
      <c r="SO24" s="168"/>
      <c r="SP24" s="168"/>
      <c r="SR24" s="167"/>
      <c r="SS24" s="167"/>
      <c r="ST24" s="167"/>
      <c r="SU24" s="166"/>
      <c r="SV24" s="166"/>
      <c r="SW24" s="167"/>
      <c r="SX24" s="167"/>
      <c r="SZ24" s="166"/>
      <c r="TA24" s="166"/>
      <c r="TD24" s="168"/>
      <c r="TE24" s="168"/>
      <c r="TF24" s="168"/>
      <c r="TG24" s="168"/>
      <c r="TI24" s="167"/>
      <c r="TJ24" s="167"/>
      <c r="TK24" s="167"/>
      <c r="TL24" s="166"/>
      <c r="TM24" s="166"/>
      <c r="TN24" s="167"/>
      <c r="TO24" s="167"/>
      <c r="TQ24" s="166"/>
      <c r="TR24" s="166"/>
      <c r="TU24" s="168"/>
      <c r="TV24" s="168"/>
      <c r="TW24" s="168"/>
      <c r="TX24" s="168"/>
      <c r="TZ24" s="167"/>
      <c r="UA24" s="167"/>
      <c r="UB24" s="167"/>
      <c r="UC24" s="166"/>
      <c r="UD24" s="166"/>
      <c r="UE24" s="167"/>
      <c r="UF24" s="167"/>
      <c r="UH24" s="166"/>
      <c r="UI24" s="166"/>
      <c r="UL24" s="84"/>
      <c r="UM24" s="84"/>
      <c r="UN24" s="84"/>
      <c r="UO24" s="84"/>
      <c r="UP24" s="84"/>
      <c r="UQ24" s="84"/>
      <c r="UR24" s="84"/>
    </row>
  </sheetData>
  <sheetProtection algorithmName="SHA-512" hashValue="Wz/UaZoZwJs7HlrnPCD57CBNXVdor0l1RuklibCxtTuwxXiOeAMeolBxTedUb4t95fuRiJQFdJgQbYc/Xe1+6Q==" saltValue="xpNySmVvtP9DWuhQypD+hw==" spinCount="100000" sheet="1"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3525AA-4C04-41C6-95AE-6999E4437649}">
          <x14:formula1>
            <xm:f>ref!$B$3:$B$6</xm:f>
          </x14:formula1>
          <xm:sqref>H5:K9 C5:E9 N5:Q9 V5:X9 AA5:AD9 AG5:AJ9 C11:E12 H11:K12 N11:Q12 V11:X12 AA11:AD12 AG11:AJ12 C14:E15 H14:K15 N14:Q15 V14:X15 AA14:AD15 AG14:AJ15 C17:E19 H17:K19 N17:Q19 V17:X19 AA17:AD19 AG17:AJ19 C21:E21 H21:K21 N21:Q21 V21:X21 AA21:AD21 AG21:AJ21 PX5:PZ9 QC5:QF9 QI5:QL9 PX11:PZ12 QC11:QF12 QI11:QL12 PX14:PZ15 QC14:QF15 QI14:QL15 PX17:PZ19 QC17:QF19 QI17:QL19 PX21:PZ21 QC21:QF21 QI21:QL21 QQ5:QS9 QV5:QY9 RB5:RE9 QQ11:QS12 QV11:QY12 RB11:RE12 QQ14:QS15 QV14:QY15 RB14:RE15 QQ17:QS19 QV17:QY19 RB17:RE19 QQ21:QS21 QV21:QY21 RB21:RE21 SC5:SE9 SH5:SJ9 SM5:SO9 SC11:SE12 SH11:SJ12 SM11:SO12 SC14:SE15 SH14:SJ15 SM14:SO15 SC17:SE19 SH17:SJ19 SM17:SO19 SC21:SE21 SH21:SJ21 SM21:SO21 RJ5:RL9 RO5:RR9 RU5:RX9 RJ11:RL12 RO11:RR12 RU11:RX12 RJ14:RL15 RO14:RR15 RU14:RX15 RJ17:RL19 RO17:RR19 RU17:RX19 RJ21:RL21 RO21:RR21 RU21:RX21 ST5:SV9 SY5:TA9 TD5:TF9 ST11:SV12 SY11:TA12 TD11:TF12 ST14:SV15 SY14:TA15 TD14:TF15 ST17:SV19 SY17:TA19 TD17:TF19 ST21:SV21 SY21:TA21 TD21:TF21 TK5:TM9 TP5:TR9 TU5:TW9 TK11:TM12 TP11:TR12 TU11:TW12 TK14:TM15 TP14:TR15 TU14:TW15 TK17:TM19 TP17:TR19 TU17:TW19 TK21:TM21 TP21:TR21 TU21:TW21 AO5:AQ9 AT5:AW9 AZ5:BC9 AO11:AQ12 AT11:AW12 AZ11:BC12 AO14:AQ15 AT14:AW15 AZ14:BC15 AO17:AQ19 AT17:AW19 AZ17:BC19 AO21:AQ21 AT21:AW21 AZ21:BC21 BH5:BJ9 BM5:BP9 BS5:BV9 BH11:BJ12 BM11:BP12 BS11:BV12 BH14:BJ15 BM14:BP15 BS14:BV15 BH17:BJ19 BM17:BP19 BS17:BV19 BH21:BJ21 BM21:BP21 BS21:BV21 CA5:CC9 CF5:CI9 CL5:CO9 CA11:CC12 CF11:CI12 CL11:CO12 CA14:CC15 CF14:CI15 CL14:CO15 CA17:CC19 CF17:CI19 CL17:CO19 CA21:CC21 CF21:CI21 CL21:CO21 CT5:CV9 CY5:DB9 DE5:DH9 CT11:CV12 CY11:DB12 DE11:DH12 CT14:CV15 CY14:DB15 DE14:DH15 CT17:CV19 CY17:DB19 DE17:DH19 CT21:CV21 CY21:DB21 DE21:DH21 DM5:DO9 DR5:DU9 DX5:EA9 DM11:DO12 DR11:DU12 DX11:EA12 DM14:DO15 DR14:DU15 DX14:EA15 DM17:DO19 DR17:DU19 DX17:EA19 DM21:DO21 DR21:DU21 DX21:EA21 EF5:EH9 EK5:EN9 EQ5:ET9 EF11:EH12 EK11:EN12 EQ11:ET12 EF14:EH15 EK14:EN15 EQ14:ET15 EF17:EH19 EK17:EN19 EQ17:ET19 EF21:EH21 EK21:EN21 EQ21:ET21 EY5:FA9 FD5:FG9 FJ5:FM9 EY11:FA12 FD11:FG12 FJ11:FM12 EY14:FA15 FD14:FG15 FJ14:FM15 EY17:FA19 FD17:FG19 FJ17:FM19 EY21:FA21 FD21:FG21 FJ21:FM21 FR5:FT9 FW5:FZ9 GC5:GF9 FR11:FT12 FW11:FZ12 GC11:GF12 FR14:FT15 FW14:FZ15 GC14:GF15 FR17:FT19 FW17:FZ19 GC17:GF19 FR21:FT21 FW21:FZ21 GC21:GF21 GK5:GM9 GP5:GS9 GV5:GY9 GK11:GM12 GP11:GS12 GV11:GY12 GK14:GM15 GP14:GS15 GV14:GY15 GK17:GM19 GP17:GS19 GV17:GY19 GK21:GM21 GP21:GS21 GV21:GY21 HD5:HF9 HI5:HL9 HO5:HR9 HD11:HF12 HI11:HL12 HO11:HR12 HD14:HF15 HI14:HL15 HO14:HR15 HD17:HF19 HI17:HL19 HO17:HR19 HD21:HF21 HI21:HL21 HO21:HR21 HW5:HY9 IB5:IE9 IH5:IK9 HW11:HY12 IB11:IE12 IH11:IK12 HW14:HY15 IB14:IE15 IH14:IK15 HW17:HY19 IB17:IE19 IH17:IK19 HW21:HY21 IB21:IE21 IH21:IK21 IP5:IR9 IU5:IX9 JA5:JD9 IP11:IR12 IU11:IX12 JA11:JD12 IP14:IR15 IU14:IX15 JA14:JD15 IP17:IR19 IU17:IX19 JA17:JD19 IP21:IR21 IU21:IX21 JA21:JD21 JI5:JK9 JN5:JQ9 JT5:JW9 JI11:JK12 JN11:JQ12 JT11:JW12 JI14:JK15 JN14:JQ15 JT14:JW15 JI17:JK19 JN17:JQ19 JT17:JW19 JI21:JK21 JN21:JQ21 JT21:JW21 KB5:KD9 KG5:KJ9 KM5:KP9 KB11:KD12 KG11:KJ12 KM11:KP12 KB14:KD15 KG14:KJ15 KM14:KP15 KB17:KD19 KG17:KJ19 KM17:KP19 KB21:KD21 KG21:KJ21 KM21:KP21 KU5:KW9 KZ5:LC9 LF5:LI9 KU11:KW12 KZ11:LC12 LF11:LI12 KU14:KW15 KZ14:LC15 LF14:LI15 KU17:KW19 KZ17:LC19 LF17:LI19 KU21:KW21 KZ21:LC21 LF21:LI21 LN5:LP9 LS5:LV9 LY5:MB9 LN11:LP12 LS11:LV12 LY11:MB12 LN14:LP15 LS14:LV15 LY14:MB15 LN17:LP19 LS17:LV19 LY17:MB19 LN21:LP21 LS21:LV21 LY21:MB21 MG5:MI9 ML5:MO9 MR5:MU9 MG11:MI12 ML11:MO12 MR11:MU12 MG14:MI15 ML14:MO15 MR14:MU15 MG17:MI19 ML17:MO19 MR17:MU19 MG21:MI21 ML21:MO21 MR21:MU21 MZ5:NB9 NE5:NH9 NK5:NN9 MZ11:NB12 NE11:NH12 NK11:NN12 MZ14:NB15 NE14:NH15 NK14:NN15 MZ17:NB19 NE17:NH19 NK17:NN19 MZ21:NB21 NE21:NH21 NK21:NN21 NS5:NU9 NX5:OA9 OD5:OG9 NS11:NU12 NX11:OA12 OD11:OG12 NS14:NU15 NX14:OA15 OD14:OG15 NS17:NU19 NX17:OA19 OD17:OG19 NS21:NU21 NX21:OA21 OD21:OG21 OL5:ON9 OQ5:OT9 OW5:OZ9 OL11:ON12 OQ11:OT12 OW11:OZ12 OL14:ON15 OQ14:OT15 OW14:OZ15 OL17:ON19 OQ17:OT19 OW17:OZ19 OL21:ON21 OQ21:OT21 OW21:OZ21 PE5:PG9 PJ5:PM9 PP5:PS9 PE11:PG12 PJ11:PM12 PP11:PS12 PE14:PG15 PJ14:PM15 PP14:PS15 PE17:PG19 PJ17:PM19 PP17:PS19 PE21:PG21 PJ21:PM21 PP21:PS21 UB5:UD9 UG5:UI9 UL5:UN9 UB11:UD12 UG11:UI12 UL11:UN12 UB14:UD15 UG14:UI15 UL14:UN15 UB17:UD19 UG17:UI19 UL17:UN19 UB21:UD21 UG21:UI21 UL21:UN21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I29"/>
  <sheetViews>
    <sheetView workbookViewId="0">
      <selection activeCell="G12" sqref="G12"/>
    </sheetView>
  </sheetViews>
  <sheetFormatPr baseColWidth="10" defaultRowHeight="15" x14ac:dyDescent="0.25"/>
  <cols>
    <col min="1" max="1" width="33.7109375" style="15" customWidth="1"/>
    <col min="2" max="2" width="4.7109375" style="15" customWidth="1"/>
    <col min="3" max="3" width="33.7109375" style="15" customWidth="1"/>
    <col min="4" max="4" width="4.7109375" style="15" customWidth="1"/>
    <col min="5" max="5" width="33.7109375" style="15" customWidth="1"/>
    <col min="6" max="6" width="4.7109375" style="15" customWidth="1"/>
    <col min="7" max="7" width="33.7109375" style="15" customWidth="1"/>
    <col min="8" max="8" width="4.7109375" style="15" customWidth="1"/>
    <col min="9" max="9" width="33.7109375" style="15" customWidth="1"/>
    <col min="10" max="10" width="11" style="15" customWidth="1"/>
    <col min="11" max="16384" width="11.42578125" style="15"/>
  </cols>
  <sheetData>
    <row r="1" spans="1:9" s="66" customFormat="1" ht="15.75" thickBot="1" x14ac:dyDescent="0.3">
      <c r="A1" s="65" t="s">
        <v>189</v>
      </c>
      <c r="C1" s="65" t="s">
        <v>190</v>
      </c>
      <c r="E1" s="65" t="s">
        <v>191</v>
      </c>
      <c r="G1" s="65" t="s">
        <v>192</v>
      </c>
      <c r="I1" s="65" t="s">
        <v>193</v>
      </c>
    </row>
    <row r="2" spans="1:9" x14ac:dyDescent="0.25">
      <c r="A2" s="67" t="s">
        <v>51</v>
      </c>
      <c r="C2" s="68" t="s">
        <v>79</v>
      </c>
      <c r="E2" s="67" t="s">
        <v>106</v>
      </c>
      <c r="G2" s="67" t="s">
        <v>135</v>
      </c>
      <c r="I2" s="68" t="s">
        <v>161</v>
      </c>
    </row>
    <row r="3" spans="1:9" x14ac:dyDescent="0.25">
      <c r="A3" s="69" t="s">
        <v>52</v>
      </c>
      <c r="C3" s="70" t="s">
        <v>80</v>
      </c>
      <c r="E3" s="69" t="s">
        <v>107</v>
      </c>
      <c r="G3" s="69" t="s">
        <v>136</v>
      </c>
      <c r="I3" s="70" t="s">
        <v>162</v>
      </c>
    </row>
    <row r="4" spans="1:9" x14ac:dyDescent="0.25">
      <c r="A4" s="69" t="s">
        <v>53</v>
      </c>
      <c r="C4" s="70" t="s">
        <v>81</v>
      </c>
      <c r="E4" s="69" t="s">
        <v>108</v>
      </c>
      <c r="G4" s="69" t="s">
        <v>137</v>
      </c>
      <c r="I4" s="70" t="s">
        <v>163</v>
      </c>
    </row>
    <row r="5" spans="1:9" x14ac:dyDescent="0.25">
      <c r="A5" s="69" t="s">
        <v>54</v>
      </c>
      <c r="C5" s="70" t="s">
        <v>82</v>
      </c>
      <c r="E5" s="69" t="s">
        <v>109</v>
      </c>
      <c r="G5" s="69" t="s">
        <v>138</v>
      </c>
      <c r="I5" s="70" t="s">
        <v>164</v>
      </c>
    </row>
    <row r="6" spans="1:9" x14ac:dyDescent="0.25">
      <c r="A6" s="69" t="s">
        <v>55</v>
      </c>
      <c r="C6" s="70" t="s">
        <v>83</v>
      </c>
      <c r="E6" s="69" t="s">
        <v>110</v>
      </c>
      <c r="G6" s="69" t="s">
        <v>139</v>
      </c>
      <c r="I6" s="70" t="s">
        <v>165</v>
      </c>
    </row>
    <row r="7" spans="1:9" x14ac:dyDescent="0.25">
      <c r="A7" s="69" t="s">
        <v>56</v>
      </c>
      <c r="C7" s="70" t="s">
        <v>84</v>
      </c>
      <c r="E7" s="69" t="s">
        <v>111</v>
      </c>
      <c r="G7" s="69" t="s">
        <v>140</v>
      </c>
      <c r="I7" s="70" t="s">
        <v>166</v>
      </c>
    </row>
    <row r="8" spans="1:9" x14ac:dyDescent="0.25">
      <c r="A8" s="69" t="s">
        <v>57</v>
      </c>
      <c r="C8" s="70" t="s">
        <v>85</v>
      </c>
      <c r="E8" s="69" t="s">
        <v>112</v>
      </c>
      <c r="G8" s="69" t="s">
        <v>141</v>
      </c>
      <c r="I8" s="70" t="s">
        <v>167</v>
      </c>
    </row>
    <row r="9" spans="1:9" x14ac:dyDescent="0.25">
      <c r="A9" s="69" t="s">
        <v>58</v>
      </c>
      <c r="C9" s="70" t="s">
        <v>86</v>
      </c>
      <c r="E9" s="69" t="s">
        <v>113</v>
      </c>
      <c r="G9" s="69" t="s">
        <v>142</v>
      </c>
      <c r="I9" s="70" t="s">
        <v>168</v>
      </c>
    </row>
    <row r="10" spans="1:9" x14ac:dyDescent="0.25">
      <c r="A10" s="69" t="s">
        <v>59</v>
      </c>
      <c r="C10" s="70" t="s">
        <v>87</v>
      </c>
      <c r="E10" s="69" t="s">
        <v>114</v>
      </c>
      <c r="G10" s="69" t="s">
        <v>143</v>
      </c>
      <c r="I10" s="70" t="s">
        <v>169</v>
      </c>
    </row>
    <row r="11" spans="1:9" x14ac:dyDescent="0.25">
      <c r="A11" s="69" t="s">
        <v>60</v>
      </c>
      <c r="C11" s="70" t="s">
        <v>88</v>
      </c>
      <c r="E11" s="69" t="s">
        <v>115</v>
      </c>
      <c r="G11" s="69" t="s">
        <v>144</v>
      </c>
      <c r="I11" s="70" t="s">
        <v>170</v>
      </c>
    </row>
    <row r="12" spans="1:9" x14ac:dyDescent="0.25">
      <c r="A12" s="69" t="s">
        <v>61</v>
      </c>
      <c r="C12" s="70" t="s">
        <v>89</v>
      </c>
      <c r="E12" s="71" t="s">
        <v>116</v>
      </c>
      <c r="G12" s="69" t="s">
        <v>145</v>
      </c>
      <c r="I12" s="70" t="s">
        <v>171</v>
      </c>
    </row>
    <row r="13" spans="1:9" x14ac:dyDescent="0.25">
      <c r="A13" s="69" t="s">
        <v>62</v>
      </c>
      <c r="C13" s="70" t="s">
        <v>90</v>
      </c>
      <c r="E13" s="69" t="s">
        <v>117</v>
      </c>
      <c r="G13" s="69" t="s">
        <v>146</v>
      </c>
      <c r="I13" s="70" t="s">
        <v>172</v>
      </c>
    </row>
    <row r="14" spans="1:9" x14ac:dyDescent="0.25">
      <c r="A14" s="69" t="s">
        <v>63</v>
      </c>
      <c r="C14" s="70" t="s">
        <v>91</v>
      </c>
      <c r="E14" s="69" t="s">
        <v>118</v>
      </c>
      <c r="G14" s="69" t="s">
        <v>147</v>
      </c>
      <c r="I14" s="70" t="s">
        <v>173</v>
      </c>
    </row>
    <row r="15" spans="1:9" x14ac:dyDescent="0.25">
      <c r="A15" s="69" t="s">
        <v>64</v>
      </c>
      <c r="C15" s="70" t="s">
        <v>92</v>
      </c>
      <c r="E15" s="69" t="s">
        <v>119</v>
      </c>
      <c r="G15" s="69" t="s">
        <v>148</v>
      </c>
      <c r="I15" s="70" t="s">
        <v>174</v>
      </c>
    </row>
    <row r="16" spans="1:9" x14ac:dyDescent="0.25">
      <c r="A16" s="69" t="s">
        <v>65</v>
      </c>
      <c r="C16" s="70" t="s">
        <v>93</v>
      </c>
      <c r="E16" s="71" t="s">
        <v>120</v>
      </c>
      <c r="G16" s="69" t="s">
        <v>149</v>
      </c>
      <c r="I16" s="70" t="s">
        <v>175</v>
      </c>
    </row>
    <row r="17" spans="1:9" x14ac:dyDescent="0.25">
      <c r="A17" s="69" t="s">
        <v>66</v>
      </c>
      <c r="C17" s="70" t="s">
        <v>94</v>
      </c>
      <c r="E17" s="69" t="s">
        <v>121</v>
      </c>
      <c r="G17" s="69" t="s">
        <v>150</v>
      </c>
      <c r="I17" s="70" t="s">
        <v>176</v>
      </c>
    </row>
    <row r="18" spans="1:9" x14ac:dyDescent="0.25">
      <c r="A18" s="69" t="s">
        <v>67</v>
      </c>
      <c r="C18" s="70" t="s">
        <v>95</v>
      </c>
      <c r="E18" s="69" t="s">
        <v>122</v>
      </c>
      <c r="G18" s="69" t="s">
        <v>151</v>
      </c>
      <c r="I18" s="70" t="s">
        <v>177</v>
      </c>
    </row>
    <row r="19" spans="1:9" x14ac:dyDescent="0.25">
      <c r="A19" s="69" t="s">
        <v>68</v>
      </c>
      <c r="C19" s="70" t="s">
        <v>96</v>
      </c>
      <c r="E19" s="69" t="s">
        <v>123</v>
      </c>
      <c r="G19" s="69" t="s">
        <v>152</v>
      </c>
      <c r="I19" s="70" t="s">
        <v>178</v>
      </c>
    </row>
    <row r="20" spans="1:9" x14ac:dyDescent="0.25">
      <c r="A20" s="69" t="s">
        <v>69</v>
      </c>
      <c r="C20" s="70" t="s">
        <v>97</v>
      </c>
      <c r="E20" s="69" t="s">
        <v>124</v>
      </c>
      <c r="G20" s="69" t="s">
        <v>153</v>
      </c>
      <c r="I20" s="70" t="s">
        <v>179</v>
      </c>
    </row>
    <row r="21" spans="1:9" x14ac:dyDescent="0.25">
      <c r="A21" s="69" t="s">
        <v>70</v>
      </c>
      <c r="C21" s="70" t="s">
        <v>98</v>
      </c>
      <c r="E21" s="69" t="s">
        <v>125</v>
      </c>
      <c r="G21" s="69" t="s">
        <v>154</v>
      </c>
      <c r="I21" s="70" t="s">
        <v>180</v>
      </c>
    </row>
    <row r="22" spans="1:9" x14ac:dyDescent="0.25">
      <c r="A22" s="69" t="s">
        <v>71</v>
      </c>
      <c r="C22" s="70" t="s">
        <v>99</v>
      </c>
      <c r="E22" s="69" t="s">
        <v>126</v>
      </c>
      <c r="G22" s="69" t="s">
        <v>155</v>
      </c>
      <c r="I22" s="70" t="s">
        <v>181</v>
      </c>
    </row>
    <row r="23" spans="1:9" x14ac:dyDescent="0.25">
      <c r="A23" s="69" t="s">
        <v>72</v>
      </c>
      <c r="C23" s="70" t="s">
        <v>100</v>
      </c>
      <c r="E23" s="69" t="s">
        <v>127</v>
      </c>
      <c r="G23" s="69" t="s">
        <v>156</v>
      </c>
      <c r="I23" s="70" t="s">
        <v>182</v>
      </c>
    </row>
    <row r="24" spans="1:9" x14ac:dyDescent="0.25">
      <c r="A24" s="69" t="s">
        <v>73</v>
      </c>
      <c r="C24" s="70" t="s">
        <v>101</v>
      </c>
      <c r="E24" s="69" t="s">
        <v>128</v>
      </c>
      <c r="G24" s="69" t="s">
        <v>157</v>
      </c>
      <c r="I24" s="70" t="s">
        <v>183</v>
      </c>
    </row>
    <row r="25" spans="1:9" x14ac:dyDescent="0.25">
      <c r="A25" s="69" t="s">
        <v>74</v>
      </c>
      <c r="C25" s="70" t="s">
        <v>102</v>
      </c>
      <c r="E25" s="69" t="s">
        <v>129</v>
      </c>
      <c r="G25" s="69" t="s">
        <v>158</v>
      </c>
      <c r="I25" s="70" t="s">
        <v>184</v>
      </c>
    </row>
    <row r="26" spans="1:9" x14ac:dyDescent="0.25">
      <c r="A26" s="69" t="s">
        <v>75</v>
      </c>
      <c r="C26" s="70" t="s">
        <v>103</v>
      </c>
      <c r="E26" s="69" t="s">
        <v>130</v>
      </c>
      <c r="G26" s="69" t="s">
        <v>159</v>
      </c>
      <c r="I26" s="70" t="s">
        <v>185</v>
      </c>
    </row>
    <row r="27" spans="1:9" ht="15.75" thickBot="1" x14ac:dyDescent="0.3">
      <c r="A27" s="72" t="s">
        <v>76</v>
      </c>
      <c r="C27" s="70" t="s">
        <v>104</v>
      </c>
      <c r="E27" s="69" t="s">
        <v>131</v>
      </c>
      <c r="G27" s="72" t="s">
        <v>160</v>
      </c>
      <c r="I27" s="70" t="s">
        <v>186</v>
      </c>
    </row>
    <row r="28" spans="1:9" ht="15.75" thickBot="1" x14ac:dyDescent="0.3">
      <c r="C28" s="73" t="s">
        <v>105</v>
      </c>
      <c r="E28" s="72" t="s">
        <v>132</v>
      </c>
      <c r="I28" s="70" t="s">
        <v>187</v>
      </c>
    </row>
    <row r="29" spans="1:9" ht="15.75" thickBot="1" x14ac:dyDescent="0.3">
      <c r="I29" s="73" t="s">
        <v>188</v>
      </c>
    </row>
  </sheetData>
  <sheetProtection algorithmName="SHA-512" hashValue="xBr+TKFR6qFfGZgLkB+WhLSz0OP1fO6WOx7qczqKxduo8EytAGUQLaN2wdR9Ucea5NkvddATk1HkuYJMsHxzvA==" saltValue="33R1vBLX8xKFaYZkL/Zs1w==" spinCount="100000" sheet="1" objects="1" scenarios="1"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P35"/>
  <sheetViews>
    <sheetView workbookViewId="0">
      <selection activeCell="N5" sqref="N5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6" ht="15" customHeight="1" thickBot="1" x14ac:dyDescent="0.3">
      <c r="A1" s="24"/>
      <c r="B1" s="24"/>
      <c r="C1" s="24"/>
      <c r="D1" s="1"/>
      <c r="E1" s="1"/>
      <c r="F1" s="1"/>
      <c r="G1" s="1"/>
      <c r="H1" s="1"/>
      <c r="I1" s="1"/>
      <c r="J1" s="1"/>
      <c r="K1" s="1"/>
    </row>
    <row r="2" spans="1:16" ht="24.95" customHeight="1" thickBot="1" x14ac:dyDescent="0.3">
      <c r="A2" s="24"/>
      <c r="B2" s="31" t="s">
        <v>42</v>
      </c>
      <c r="C2" s="1"/>
      <c r="D2" s="32" t="s">
        <v>37</v>
      </c>
      <c r="E2" s="33" t="s">
        <v>33</v>
      </c>
      <c r="F2" s="33" t="s">
        <v>34</v>
      </c>
      <c r="G2" s="33" t="s">
        <v>35</v>
      </c>
      <c r="H2" s="34" t="s">
        <v>10</v>
      </c>
      <c r="I2" s="1"/>
      <c r="J2" s="258" t="s">
        <v>45</v>
      </c>
      <c r="K2" s="259"/>
      <c r="M2" s="76" t="s">
        <v>203</v>
      </c>
      <c r="N2" s="77"/>
      <c r="P2" s="79" t="s">
        <v>47</v>
      </c>
    </row>
    <row r="3" spans="1:16" ht="15" customHeight="1" thickBot="1" x14ac:dyDescent="0.3">
      <c r="A3" s="24"/>
      <c r="B3" s="29" t="s">
        <v>29</v>
      </c>
      <c r="C3" s="1"/>
      <c r="D3" s="16">
        <v>1</v>
      </c>
      <c r="E3" s="17">
        <f>N3+4</f>
        <v>7</v>
      </c>
      <c r="F3" s="17">
        <f>E3+N4+2</f>
        <v>13</v>
      </c>
      <c r="G3" s="17">
        <f>F3+N5+2</f>
        <v>19</v>
      </c>
      <c r="H3" s="18">
        <f>G3+2</f>
        <v>21</v>
      </c>
      <c r="I3" s="1"/>
      <c r="J3" s="74" t="s">
        <v>2</v>
      </c>
      <c r="K3" s="75">
        <v>4</v>
      </c>
      <c r="M3" s="74" t="s">
        <v>204</v>
      </c>
      <c r="N3" s="260">
        <v>3</v>
      </c>
      <c r="P3" s="78">
        <f>N3+N4+N5+8</f>
        <v>19</v>
      </c>
    </row>
    <row r="4" spans="1:16" ht="15" customHeight="1" x14ac:dyDescent="0.25">
      <c r="A4" s="24"/>
      <c r="B4" s="29" t="s">
        <v>30</v>
      </c>
      <c r="C4" s="1"/>
      <c r="D4" s="19">
        <v>2</v>
      </c>
      <c r="E4" s="20">
        <f>E3+ $P$3</f>
        <v>26</v>
      </c>
      <c r="F4" s="20">
        <f>F3+ $P$3</f>
        <v>32</v>
      </c>
      <c r="G4" s="20">
        <f>G3+ $P$3</f>
        <v>38</v>
      </c>
      <c r="H4" s="21">
        <f>H3+ $P$3</f>
        <v>40</v>
      </c>
      <c r="I4" s="1"/>
      <c r="J4" s="25" t="s">
        <v>3</v>
      </c>
      <c r="K4" s="26">
        <v>10</v>
      </c>
      <c r="M4" s="25" t="s">
        <v>34</v>
      </c>
      <c r="N4" s="261">
        <v>4</v>
      </c>
    </row>
    <row r="5" spans="1:16" ht="15" customHeight="1" thickBot="1" x14ac:dyDescent="0.3">
      <c r="A5" s="24"/>
      <c r="B5" s="29" t="s">
        <v>31</v>
      </c>
      <c r="C5" s="1"/>
      <c r="D5" s="19">
        <v>3</v>
      </c>
      <c r="E5" s="20">
        <f>E4+ $P$3</f>
        <v>45</v>
      </c>
      <c r="F5" s="20">
        <f>F4+ $P$3</f>
        <v>51</v>
      </c>
      <c r="G5" s="20">
        <f>G4+ $P$3</f>
        <v>57</v>
      </c>
      <c r="H5" s="21">
        <f>H4+ $P$3</f>
        <v>59</v>
      </c>
      <c r="I5" s="1"/>
      <c r="J5" s="25" t="s">
        <v>4</v>
      </c>
      <c r="K5" s="26">
        <v>13</v>
      </c>
      <c r="M5" s="27" t="s">
        <v>35</v>
      </c>
      <c r="N5" s="262">
        <v>4</v>
      </c>
    </row>
    <row r="6" spans="1:16" ht="15" customHeight="1" thickBot="1" x14ac:dyDescent="0.3">
      <c r="A6" s="24"/>
      <c r="B6" s="30" t="s">
        <v>32</v>
      </c>
      <c r="C6" s="1"/>
      <c r="D6" s="19">
        <v>4</v>
      </c>
      <c r="E6" s="20">
        <f>E5+ $P$3</f>
        <v>64</v>
      </c>
      <c r="F6" s="20">
        <f>F5+ $P$3</f>
        <v>70</v>
      </c>
      <c r="G6" s="20">
        <f>G5+ $P$3</f>
        <v>76</v>
      </c>
      <c r="H6" s="21">
        <f>H5+ $P$3</f>
        <v>78</v>
      </c>
      <c r="I6" s="1"/>
      <c r="J6" s="25" t="s">
        <v>5</v>
      </c>
      <c r="K6" s="26">
        <v>16</v>
      </c>
    </row>
    <row r="7" spans="1:16" ht="15" customHeight="1" x14ac:dyDescent="0.25">
      <c r="A7" s="24"/>
      <c r="B7" s="1"/>
      <c r="C7" s="1"/>
      <c r="D7" s="19">
        <v>5</v>
      </c>
      <c r="E7" s="20">
        <f>E6+ $P$3</f>
        <v>83</v>
      </c>
      <c r="F7" s="20">
        <f>F6+ $P$3</f>
        <v>89</v>
      </c>
      <c r="G7" s="20">
        <f>G6+ $P$3</f>
        <v>95</v>
      </c>
      <c r="H7" s="21">
        <f>H6+ $P$3</f>
        <v>97</v>
      </c>
      <c r="I7" s="1"/>
      <c r="J7" s="25" t="s">
        <v>6</v>
      </c>
      <c r="K7" s="26">
        <v>20</v>
      </c>
    </row>
    <row r="8" spans="1:16" ht="15" customHeight="1" x14ac:dyDescent="0.25">
      <c r="A8" s="24"/>
      <c r="B8" s="1"/>
      <c r="C8" s="1"/>
      <c r="D8" s="19">
        <v>6</v>
      </c>
      <c r="E8" s="20">
        <f>E7+ $P$3</f>
        <v>102</v>
      </c>
      <c r="F8" s="20">
        <f>F7+ $P$3</f>
        <v>108</v>
      </c>
      <c r="G8" s="20">
        <f>G7+ $P$3</f>
        <v>114</v>
      </c>
      <c r="H8" s="21">
        <f>H7+ $P$3</f>
        <v>116</v>
      </c>
      <c r="I8" s="1"/>
      <c r="J8" s="25" t="s">
        <v>41</v>
      </c>
      <c r="K8" s="26">
        <v>22</v>
      </c>
    </row>
    <row r="9" spans="1:16" ht="15" customHeight="1" x14ac:dyDescent="0.25">
      <c r="A9" s="24"/>
      <c r="B9" s="1"/>
      <c r="C9" s="1"/>
      <c r="D9" s="19">
        <v>7</v>
      </c>
      <c r="E9" s="20">
        <f>E8+ $P$3</f>
        <v>121</v>
      </c>
      <c r="F9" s="20">
        <f>F8+ $P$3</f>
        <v>127</v>
      </c>
      <c r="G9" s="20">
        <f>G8+ $P$3</f>
        <v>133</v>
      </c>
      <c r="H9" s="21">
        <f>H8+ $P$3</f>
        <v>135</v>
      </c>
      <c r="I9" s="1"/>
      <c r="J9" s="25" t="s">
        <v>46</v>
      </c>
      <c r="K9" s="26">
        <v>11</v>
      </c>
    </row>
    <row r="10" spans="1:16" ht="15" customHeight="1" x14ac:dyDescent="0.25">
      <c r="A10" s="24"/>
      <c r="B10" s="1"/>
      <c r="C10" s="1"/>
      <c r="D10" s="19">
        <v>8</v>
      </c>
      <c r="E10" s="20">
        <f>E9+ $P$3</f>
        <v>140</v>
      </c>
      <c r="F10" s="20">
        <f>F9+ $P$3</f>
        <v>146</v>
      </c>
      <c r="G10" s="20">
        <f>G9+ $P$3</f>
        <v>152</v>
      </c>
      <c r="H10" s="21">
        <f>H9+ $P$3</f>
        <v>154</v>
      </c>
      <c r="I10" s="1"/>
      <c r="J10" s="25" t="s">
        <v>48</v>
      </c>
      <c r="K10" s="26">
        <v>12</v>
      </c>
    </row>
    <row r="11" spans="1:16" ht="15" customHeight="1" thickBot="1" x14ac:dyDescent="0.3">
      <c r="A11" s="24"/>
      <c r="B11" s="1"/>
      <c r="C11" s="1"/>
      <c r="D11" s="19">
        <v>9</v>
      </c>
      <c r="E11" s="20">
        <f>E10+ $P$3</f>
        <v>159</v>
      </c>
      <c r="F11" s="20">
        <f>F10+ $P$3</f>
        <v>165</v>
      </c>
      <c r="G11" s="20">
        <f>G10+ $P$3</f>
        <v>171</v>
      </c>
      <c r="H11" s="21">
        <f>H10+ $P$3</f>
        <v>173</v>
      </c>
      <c r="I11" s="1"/>
      <c r="J11" s="27" t="s">
        <v>21</v>
      </c>
      <c r="K11" s="28">
        <v>15</v>
      </c>
    </row>
    <row r="12" spans="1:16" ht="15" customHeight="1" x14ac:dyDescent="0.25">
      <c r="A12" s="24"/>
      <c r="B12" s="1"/>
      <c r="C12" s="1"/>
      <c r="D12" s="19">
        <v>10</v>
      </c>
      <c r="E12" s="20">
        <f>E11+ $P$3</f>
        <v>178</v>
      </c>
      <c r="F12" s="20">
        <f>F11+ $P$3</f>
        <v>184</v>
      </c>
      <c r="G12" s="20">
        <f>G11+ $P$3</f>
        <v>190</v>
      </c>
      <c r="H12" s="21">
        <f>H11+ $P$3</f>
        <v>192</v>
      </c>
      <c r="I12" s="1"/>
      <c r="J12" s="1"/>
      <c r="K12" s="1"/>
    </row>
    <row r="13" spans="1:16" ht="15" customHeight="1" x14ac:dyDescent="0.25">
      <c r="A13" s="24"/>
      <c r="B13" s="1"/>
      <c r="C13" s="1"/>
      <c r="D13" s="19">
        <v>11</v>
      </c>
      <c r="E13" s="20">
        <f>E12+ $P$3</f>
        <v>197</v>
      </c>
      <c r="F13" s="20">
        <f>F12+ $P$3</f>
        <v>203</v>
      </c>
      <c r="G13" s="20">
        <f>G12+ $P$3</f>
        <v>209</v>
      </c>
      <c r="H13" s="21">
        <f>H12+ $P$3</f>
        <v>211</v>
      </c>
      <c r="I13" s="1"/>
      <c r="J13" s="1"/>
      <c r="K13" s="1"/>
    </row>
    <row r="14" spans="1:16" ht="15" customHeight="1" x14ac:dyDescent="0.25">
      <c r="A14" s="24"/>
      <c r="B14" s="1"/>
      <c r="C14" s="1"/>
      <c r="D14" s="19">
        <v>12</v>
      </c>
      <c r="E14" s="20">
        <f>E13+ $P$3</f>
        <v>216</v>
      </c>
      <c r="F14" s="20">
        <f>F13+ $P$3</f>
        <v>222</v>
      </c>
      <c r="G14" s="20">
        <f>G13+ $P$3</f>
        <v>228</v>
      </c>
      <c r="H14" s="21">
        <f>H13+ $P$3</f>
        <v>230</v>
      </c>
      <c r="I14" s="1"/>
      <c r="J14" s="1"/>
      <c r="K14" s="1"/>
    </row>
    <row r="15" spans="1:16" ht="15" customHeight="1" x14ac:dyDescent="0.25">
      <c r="A15" s="24"/>
      <c r="B15" s="1"/>
      <c r="C15" s="1"/>
      <c r="D15" s="19">
        <v>13</v>
      </c>
      <c r="E15" s="20">
        <f>E14+ $P$3</f>
        <v>235</v>
      </c>
      <c r="F15" s="20">
        <f>F14+ $P$3</f>
        <v>241</v>
      </c>
      <c r="G15" s="20">
        <f>G14+ $P$3</f>
        <v>247</v>
      </c>
      <c r="H15" s="21">
        <f>H14+ $P$3</f>
        <v>249</v>
      </c>
      <c r="I15" s="1"/>
      <c r="J15" s="1"/>
      <c r="K15" s="1"/>
    </row>
    <row r="16" spans="1:16" ht="15" customHeight="1" x14ac:dyDescent="0.25">
      <c r="A16" s="24"/>
      <c r="B16" s="1"/>
      <c r="C16" s="1"/>
      <c r="D16" s="19">
        <v>14</v>
      </c>
      <c r="E16" s="20">
        <f>E15+ $P$3</f>
        <v>254</v>
      </c>
      <c r="F16" s="20">
        <f>F15+ $P$3</f>
        <v>260</v>
      </c>
      <c r="G16" s="20">
        <f>G15+ $P$3</f>
        <v>266</v>
      </c>
      <c r="H16" s="21">
        <f>H15+ $P$3</f>
        <v>268</v>
      </c>
      <c r="I16" s="1"/>
      <c r="J16" s="1"/>
      <c r="K16" s="1"/>
    </row>
    <row r="17" spans="1:11" ht="15" customHeight="1" x14ac:dyDescent="0.25">
      <c r="A17" s="24"/>
      <c r="B17" s="1"/>
      <c r="C17" s="1"/>
      <c r="D17" s="19">
        <v>15</v>
      </c>
      <c r="E17" s="20">
        <f>E16+ $P$3</f>
        <v>273</v>
      </c>
      <c r="F17" s="20">
        <f>F16+ $P$3</f>
        <v>279</v>
      </c>
      <c r="G17" s="20">
        <f>G16+ $P$3</f>
        <v>285</v>
      </c>
      <c r="H17" s="21">
        <f>H16+ $P$3</f>
        <v>287</v>
      </c>
      <c r="I17" s="1"/>
      <c r="J17" s="1"/>
      <c r="K17" s="1"/>
    </row>
    <row r="18" spans="1:11" ht="15" customHeight="1" x14ac:dyDescent="0.25">
      <c r="A18" s="24"/>
      <c r="B18" s="1"/>
      <c r="C18" s="1"/>
      <c r="D18" s="19">
        <v>16</v>
      </c>
      <c r="E18" s="20">
        <f>E17+ $P$3</f>
        <v>292</v>
      </c>
      <c r="F18" s="20">
        <f>F17+ $P$3</f>
        <v>298</v>
      </c>
      <c r="G18" s="20">
        <f>G17+ $P$3</f>
        <v>304</v>
      </c>
      <c r="H18" s="21">
        <f>H17+ $P$3</f>
        <v>306</v>
      </c>
      <c r="I18" s="1"/>
      <c r="J18" s="1"/>
      <c r="K18" s="1"/>
    </row>
    <row r="19" spans="1:11" ht="15" customHeight="1" x14ac:dyDescent="0.25">
      <c r="A19" s="24"/>
      <c r="B19" s="1"/>
      <c r="C19" s="1"/>
      <c r="D19" s="19">
        <v>17</v>
      </c>
      <c r="E19" s="20">
        <f>E18+ $P$3</f>
        <v>311</v>
      </c>
      <c r="F19" s="20">
        <f>F18+ $P$3</f>
        <v>317</v>
      </c>
      <c r="G19" s="20">
        <f>G18+ $P$3</f>
        <v>323</v>
      </c>
      <c r="H19" s="21">
        <f>H18+ $P$3</f>
        <v>325</v>
      </c>
      <c r="I19" s="1"/>
      <c r="J19" s="1"/>
      <c r="K19" s="1"/>
    </row>
    <row r="20" spans="1:11" ht="15" customHeight="1" x14ac:dyDescent="0.25">
      <c r="A20" s="24"/>
      <c r="B20" s="1"/>
      <c r="C20" s="1"/>
      <c r="D20" s="19">
        <v>18</v>
      </c>
      <c r="E20" s="20">
        <f>E19+ $P$3</f>
        <v>330</v>
      </c>
      <c r="F20" s="20">
        <f>F19+ $P$3</f>
        <v>336</v>
      </c>
      <c r="G20" s="20">
        <f>G19+ $P$3</f>
        <v>342</v>
      </c>
      <c r="H20" s="21">
        <f>H19+ $P$3</f>
        <v>344</v>
      </c>
      <c r="I20" s="1"/>
      <c r="J20" s="1"/>
      <c r="K20" s="1"/>
    </row>
    <row r="21" spans="1:11" ht="15" customHeight="1" x14ac:dyDescent="0.25">
      <c r="A21" s="24"/>
      <c r="B21" s="1"/>
      <c r="C21" s="1"/>
      <c r="D21" s="19">
        <v>19</v>
      </c>
      <c r="E21" s="20">
        <f>E20+ $P$3</f>
        <v>349</v>
      </c>
      <c r="F21" s="20">
        <f>F20+ $P$3</f>
        <v>355</v>
      </c>
      <c r="G21" s="20">
        <f>G20+ $P$3</f>
        <v>361</v>
      </c>
      <c r="H21" s="21">
        <f>H20+ $P$3</f>
        <v>363</v>
      </c>
      <c r="I21" s="1"/>
      <c r="J21" s="1"/>
      <c r="K21" s="1"/>
    </row>
    <row r="22" spans="1:11" ht="15" customHeight="1" x14ac:dyDescent="0.25">
      <c r="A22" s="24"/>
      <c r="B22" s="1"/>
      <c r="C22" s="1"/>
      <c r="D22" s="19">
        <v>20</v>
      </c>
      <c r="E22" s="20">
        <f>E21+ $P$3</f>
        <v>368</v>
      </c>
      <c r="F22" s="20">
        <f>F21+ $P$3</f>
        <v>374</v>
      </c>
      <c r="G22" s="20">
        <f>G21+ $P$3</f>
        <v>380</v>
      </c>
      <c r="H22" s="21">
        <f>H21+ $P$3</f>
        <v>382</v>
      </c>
      <c r="I22" s="1"/>
      <c r="J22" s="1"/>
      <c r="K22" s="1"/>
    </row>
    <row r="23" spans="1:11" ht="15" customHeight="1" x14ac:dyDescent="0.25">
      <c r="A23" s="24"/>
      <c r="B23" s="1"/>
      <c r="C23" s="1"/>
      <c r="D23" s="19">
        <v>21</v>
      </c>
      <c r="E23" s="20">
        <f>E22+ $P$3</f>
        <v>387</v>
      </c>
      <c r="F23" s="20">
        <f>F22+ $P$3</f>
        <v>393</v>
      </c>
      <c r="G23" s="20">
        <f>G22+ $P$3</f>
        <v>399</v>
      </c>
      <c r="H23" s="21">
        <f>H22+ $P$3</f>
        <v>401</v>
      </c>
      <c r="I23" s="1"/>
      <c r="J23" s="1"/>
      <c r="K23" s="1"/>
    </row>
    <row r="24" spans="1:11" ht="15" customHeight="1" x14ac:dyDescent="0.25">
      <c r="A24" s="24"/>
      <c r="B24" s="1"/>
      <c r="C24" s="1"/>
      <c r="D24" s="19">
        <v>22</v>
      </c>
      <c r="E24" s="20">
        <f>E23+ $P$3</f>
        <v>406</v>
      </c>
      <c r="F24" s="20">
        <f>F23+ $P$3</f>
        <v>412</v>
      </c>
      <c r="G24" s="20">
        <f>G23+ $P$3</f>
        <v>418</v>
      </c>
      <c r="H24" s="21">
        <f>H23+ $P$3</f>
        <v>420</v>
      </c>
      <c r="I24" s="1"/>
      <c r="J24" s="1"/>
      <c r="K24" s="1"/>
    </row>
    <row r="25" spans="1:11" ht="15" customHeight="1" x14ac:dyDescent="0.25">
      <c r="A25" s="24"/>
      <c r="B25" s="1"/>
      <c r="C25" s="1"/>
      <c r="D25" s="19">
        <v>23</v>
      </c>
      <c r="E25" s="20">
        <f>E24+ $P$3</f>
        <v>425</v>
      </c>
      <c r="F25" s="20">
        <f>F24+ $P$3</f>
        <v>431</v>
      </c>
      <c r="G25" s="20">
        <f>G24+ $P$3</f>
        <v>437</v>
      </c>
      <c r="H25" s="21">
        <f>H24+ $P$3</f>
        <v>439</v>
      </c>
      <c r="I25" s="1"/>
      <c r="J25" s="1"/>
      <c r="K25" s="1"/>
    </row>
    <row r="26" spans="1:11" ht="15" customHeight="1" x14ac:dyDescent="0.25">
      <c r="A26" s="24"/>
      <c r="B26" s="1"/>
      <c r="C26" s="1"/>
      <c r="D26" s="19">
        <v>24</v>
      </c>
      <c r="E26" s="20">
        <f>E25+ $P$3</f>
        <v>444</v>
      </c>
      <c r="F26" s="20">
        <f>F25+ $P$3</f>
        <v>450</v>
      </c>
      <c r="G26" s="20">
        <f>G25+ $P$3</f>
        <v>456</v>
      </c>
      <c r="H26" s="21">
        <f>H25+ $P$3</f>
        <v>458</v>
      </c>
      <c r="I26" s="1"/>
      <c r="J26" s="1"/>
      <c r="K26" s="1"/>
    </row>
    <row r="27" spans="1:11" ht="15" customHeight="1" x14ac:dyDescent="0.25">
      <c r="A27" s="24"/>
      <c r="B27" s="1"/>
      <c r="C27" s="1"/>
      <c r="D27" s="19">
        <v>25</v>
      </c>
      <c r="E27" s="20">
        <f>E26+ $P$3</f>
        <v>463</v>
      </c>
      <c r="F27" s="20">
        <f>F26+ $P$3</f>
        <v>469</v>
      </c>
      <c r="G27" s="20">
        <f>G26+ $P$3</f>
        <v>475</v>
      </c>
      <c r="H27" s="21">
        <f>H26+ $P$3</f>
        <v>477</v>
      </c>
      <c r="I27" s="1"/>
      <c r="J27" s="1"/>
      <c r="K27" s="1"/>
    </row>
    <row r="28" spans="1:11" ht="15" customHeight="1" x14ac:dyDescent="0.25">
      <c r="A28" s="24"/>
      <c r="B28" s="1"/>
      <c r="C28" s="1"/>
      <c r="D28" s="19">
        <v>26</v>
      </c>
      <c r="E28" s="20">
        <f>E27+ $P$3</f>
        <v>482</v>
      </c>
      <c r="F28" s="20">
        <f>F27+ $P$3</f>
        <v>488</v>
      </c>
      <c r="G28" s="20">
        <f>G27+ $P$3</f>
        <v>494</v>
      </c>
      <c r="H28" s="21">
        <f>H27+ $P$3</f>
        <v>496</v>
      </c>
      <c r="I28" s="1"/>
      <c r="J28" s="1"/>
      <c r="K28" s="1"/>
    </row>
    <row r="29" spans="1:11" ht="15" customHeight="1" x14ac:dyDescent="0.25">
      <c r="A29" s="24"/>
      <c r="B29" s="1"/>
      <c r="C29" s="1"/>
      <c r="D29" s="19">
        <v>27</v>
      </c>
      <c r="E29" s="20">
        <f>E28+ $P$3</f>
        <v>501</v>
      </c>
      <c r="F29" s="20">
        <f>F28+ $P$3</f>
        <v>507</v>
      </c>
      <c r="G29" s="20">
        <f>G28+ $P$3</f>
        <v>513</v>
      </c>
      <c r="H29" s="21">
        <f>H28+ $P$3</f>
        <v>515</v>
      </c>
      <c r="I29" s="1"/>
      <c r="J29" s="1"/>
      <c r="K29" s="1"/>
    </row>
    <row r="30" spans="1:11" ht="15" customHeight="1" x14ac:dyDescent="0.25">
      <c r="A30" s="24"/>
      <c r="B30" s="1"/>
      <c r="C30" s="1"/>
      <c r="D30" s="19">
        <v>28</v>
      </c>
      <c r="E30" s="20">
        <f>E29+ $P$3</f>
        <v>520</v>
      </c>
      <c r="F30" s="20">
        <f>F29+ $P$3</f>
        <v>526</v>
      </c>
      <c r="G30" s="20">
        <f>G29+ $P$3</f>
        <v>532</v>
      </c>
      <c r="H30" s="21">
        <f>H29+ $P$3</f>
        <v>534</v>
      </c>
      <c r="I30" s="1"/>
      <c r="J30" s="1"/>
      <c r="K30" s="1"/>
    </row>
    <row r="31" spans="1:11" ht="15" customHeight="1" x14ac:dyDescent="0.25">
      <c r="A31" s="24"/>
      <c r="B31" s="1"/>
      <c r="C31" s="1"/>
      <c r="D31" s="19">
        <v>29</v>
      </c>
      <c r="E31" s="20">
        <f>E30+ $P$3</f>
        <v>539</v>
      </c>
      <c r="F31" s="20">
        <f>F30+ $P$3</f>
        <v>545</v>
      </c>
      <c r="G31" s="20">
        <f>G30+ $P$3</f>
        <v>551</v>
      </c>
      <c r="H31" s="21">
        <f>H30+ $P$3</f>
        <v>553</v>
      </c>
      <c r="I31" s="1"/>
      <c r="J31" s="1"/>
      <c r="K31" s="1"/>
    </row>
    <row r="32" spans="1:11" ht="15" customHeight="1" x14ac:dyDescent="0.25">
      <c r="A32" s="24"/>
      <c r="B32" s="1"/>
      <c r="C32" s="1"/>
      <c r="D32" s="19">
        <v>30</v>
      </c>
      <c r="E32" s="20">
        <f>E31+ $P$3</f>
        <v>558</v>
      </c>
      <c r="F32" s="20">
        <f>F31+ $P$3</f>
        <v>564</v>
      </c>
      <c r="G32" s="20">
        <f>G31+ $P$3</f>
        <v>570</v>
      </c>
      <c r="H32" s="21">
        <f>H31+ $P$3</f>
        <v>572</v>
      </c>
      <c r="I32" s="1"/>
      <c r="J32" s="1"/>
      <c r="K32" s="1"/>
    </row>
    <row r="33" spans="1:11" ht="15" customHeight="1" x14ac:dyDescent="0.25">
      <c r="A33" s="24"/>
      <c r="B33" s="1"/>
      <c r="C33" s="1"/>
      <c r="D33" s="19">
        <v>31</v>
      </c>
      <c r="E33" s="20">
        <f>E32+ $P$3</f>
        <v>577</v>
      </c>
      <c r="F33" s="20">
        <f>F32+ $P$3</f>
        <v>583</v>
      </c>
      <c r="G33" s="20">
        <f>G32+ $P$3</f>
        <v>589</v>
      </c>
      <c r="H33" s="21">
        <f>H32+ $P$3</f>
        <v>591</v>
      </c>
      <c r="I33" s="1"/>
      <c r="J33" s="1"/>
      <c r="K33" s="1"/>
    </row>
    <row r="34" spans="1:11" ht="15" customHeight="1" thickBot="1" x14ac:dyDescent="0.3">
      <c r="A34" s="24"/>
      <c r="B34" s="1"/>
      <c r="C34" s="1"/>
      <c r="D34" s="22">
        <v>32</v>
      </c>
      <c r="E34" s="20">
        <f>E33+ $P$3</f>
        <v>596</v>
      </c>
      <c r="F34" s="20">
        <f>F33+ $P$3</f>
        <v>602</v>
      </c>
      <c r="G34" s="20">
        <f>G33+ $P$3</f>
        <v>608</v>
      </c>
      <c r="H34" s="21">
        <f>H33+ $P$3</f>
        <v>610</v>
      </c>
      <c r="I34" s="1"/>
      <c r="J34" s="1"/>
      <c r="K34" s="1"/>
    </row>
    <row r="35" spans="1:11" x14ac:dyDescent="0.25">
      <c r="A35" s="24"/>
      <c r="B35" s="24"/>
      <c r="C35" s="24"/>
      <c r="D35" s="24"/>
      <c r="E35" s="24"/>
      <c r="F35" s="24"/>
      <c r="G35" s="24"/>
      <c r="H35" s="1"/>
      <c r="I35" s="1"/>
      <c r="J35" s="1"/>
      <c r="K35" s="1"/>
    </row>
  </sheetData>
  <sheetProtection algorithmName="SHA-512" hashValue="ObzXjkAUSjCSRQVL+GlYJD93sXchAhuqx0ZGrRrPZbHO2qXzBA3n5ZWQwpgKT81+ZgAhumNx6cg82eNA0FrtwQ==" saltValue="rMTgTd0IATxMrlrM0iQNzQ==" spinCount="100000" sheet="1" objects="1" scenarios="1" selectLockedCells="1" selectUnlockedCells="1"/>
  <mergeCells count="1">
    <mergeCell ref="J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Classe (4ème2)</vt:lpstr>
      <vt:lpstr>Elève (4ème2)</vt:lpstr>
      <vt:lpstr>Classe (4ème4)</vt:lpstr>
      <vt:lpstr>Elève (4ème4)</vt:lpstr>
      <vt:lpstr>Liste 4ème</vt:lpstr>
      <vt:lpstr>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chatelain celine</cp:lastModifiedBy>
  <dcterms:created xsi:type="dcterms:W3CDTF">2017-10-30T16:06:34Z</dcterms:created>
  <dcterms:modified xsi:type="dcterms:W3CDTF">2018-03-06T15:00:39Z</dcterms:modified>
</cp:coreProperties>
</file>